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IMPRIMIR OP" sheetId="1" state="visible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\ &quot;Dias&quot;"/>
    <numFmt numFmtId="165" formatCode="#,##0\ &quot;gramos&quot;"/>
    <numFmt numFmtId="166" formatCode="#,##0\ &quot;Horas&quot;"/>
    <numFmt numFmtId="167" formatCode="#,##0\ &quot;Cavidad(es)&quot;"/>
    <numFmt numFmtId="168" formatCode="#,##0\ &quot;coladas&quot;"/>
    <numFmt numFmtId="169" formatCode="#,##0\ &quot;segudos&quot;"/>
    <numFmt numFmtId="170" formatCode="_ * #,##0.00_ ;_ * \-#,##0.00_ ;_ * &quot;-&quot;??_ ;_ @_ "/>
    <numFmt numFmtId="171" formatCode="_ * #,##0_ ;_ * \-#,##0_ ;_ * &quot;-&quot;??_ ;_ @_ "/>
    <numFmt numFmtId="172" formatCode="_ * #,##0.0_ ;_ * \-#,##0.0_ ;_ * &quot;-&quot;??_ ;_ @_ "/>
  </numFmts>
  <fonts count="1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6"/>
      <scheme val="minor"/>
    </font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rgb="FFFF0000"/>
      <sz val="14"/>
      <scheme val="minor"/>
    </font>
    <font>
      <name val="Aptos Narrow"/>
      <family val="2"/>
      <color theme="0"/>
      <sz val="12"/>
      <scheme val="minor"/>
    </font>
    <font>
      <name val="Aptos Narrow"/>
      <family val="2"/>
      <b val="1"/>
      <color rgb="FFFF0000"/>
      <sz val="12"/>
      <scheme val="minor"/>
    </font>
    <font>
      <name val="Aptos Narrow"/>
      <family val="2"/>
      <b val="1"/>
      <color theme="1"/>
      <sz val="12"/>
      <u val="single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9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170" fontId="1" fillId="0" borderId="0"/>
  </cellStyleXfs>
  <cellXfs count="93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  <xf numFmtId="14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  <xf numFmtId="14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vertical="center"/>
    </xf>
    <xf numFmtId="3" fontId="6" fillId="0" borderId="0" applyAlignment="1" pivotButton="0" quotePrefix="0" xfId="0">
      <alignment horizontal="left"/>
    </xf>
    <xf numFmtId="0" fontId="7" fillId="0" borderId="0" pivotButton="0" quotePrefix="0" xfId="0"/>
    <xf numFmtId="0" fontId="5" fillId="2" borderId="1" applyAlignment="1" pivotButton="0" quotePrefix="0" xfId="0">
      <alignment horizontal="left"/>
    </xf>
    <xf numFmtId="164" fontId="4" fillId="0" borderId="1" applyAlignment="1" pivotButton="0" quotePrefix="0" xfId="0">
      <alignment horizontal="left"/>
    </xf>
    <xf numFmtId="0" fontId="4" fillId="0" borderId="2" pivotButton="0" quotePrefix="0" xfId="0"/>
    <xf numFmtId="165" fontId="4" fillId="0" borderId="3" applyAlignment="1" pivotButton="0" quotePrefix="0" xfId="0">
      <alignment horizontal="left"/>
    </xf>
    <xf numFmtId="166" fontId="4" fillId="0" borderId="1" applyAlignment="1" pivotButton="0" quotePrefix="0" xfId="0">
      <alignment horizontal="left"/>
    </xf>
    <xf numFmtId="167" fontId="4" fillId="0" borderId="1" applyAlignment="1" pivotButton="0" quotePrefix="0" xfId="0">
      <alignment horizontal="left"/>
    </xf>
    <xf numFmtId="9" fontId="4" fillId="0" borderId="3" applyAlignment="1" pivotButton="0" quotePrefix="0" xfId="0">
      <alignment horizontal="left"/>
    </xf>
    <xf numFmtId="168" fontId="4" fillId="0" borderId="1" applyAlignment="1" pivotButton="0" quotePrefix="0" xfId="0">
      <alignment horizontal="left"/>
    </xf>
    <xf numFmtId="0" fontId="4" fillId="0" borderId="3" applyAlignment="1" pivotButton="0" quotePrefix="0" xfId="0">
      <alignment horizontal="left"/>
    </xf>
    <xf numFmtId="168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169" fontId="4" fillId="0" borderId="0" applyAlignment="1" pivotButton="0" quotePrefix="0" xfId="0">
      <alignment horizontal="right"/>
    </xf>
    <xf numFmtId="0" fontId="5" fillId="3" borderId="0" applyAlignment="1" pivotButton="0" quotePrefix="0" xfId="0">
      <alignment horizontal="center" vertical="center"/>
    </xf>
    <xf numFmtId="166" fontId="5" fillId="3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4" fontId="5" fillId="3" borderId="0" applyAlignment="1" pivotButton="0" quotePrefix="0" xfId="0">
      <alignment horizontal="center"/>
    </xf>
    <xf numFmtId="0" fontId="9" fillId="3" borderId="0" pivotButton="0" quotePrefix="0" xfId="0"/>
    <xf numFmtId="0" fontId="4" fillId="3" borderId="0" pivotButton="0" quotePrefix="0" xfId="0"/>
    <xf numFmtId="0" fontId="9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70" fontId="5" fillId="0" borderId="0" applyAlignment="1" pivotButton="0" quotePrefix="0" xfId="0">
      <alignment vertical="center"/>
    </xf>
    <xf numFmtId="170" fontId="5" fillId="0" borderId="0" pivotButton="0" quotePrefix="0" xfId="0"/>
    <xf numFmtId="0" fontId="9" fillId="4" borderId="1" pivotButton="0" quotePrefix="0" xfId="0"/>
    <xf numFmtId="171" fontId="4" fillId="3" borderId="0" pivotButton="0" quotePrefix="0" xfId="0"/>
    <xf numFmtId="171" fontId="5" fillId="3" borderId="0" pivotButton="0" quotePrefix="0" xfId="0"/>
    <xf numFmtId="172" fontId="5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horizontal="left" vertical="center"/>
    </xf>
    <xf numFmtId="170" fontId="5" fillId="3" borderId="0" pivotButton="0" quotePrefix="0" xfId="0"/>
    <xf numFmtId="0" fontId="10" fillId="0" borderId="0" pivotButton="0" quotePrefix="0" xfId="0"/>
    <xf numFmtId="0" fontId="11" fillId="0" borderId="0" pivotButton="0" quotePrefix="0" xfId="0"/>
    <xf numFmtId="170" fontId="4" fillId="0" borderId="0" pivotButton="0" quotePrefix="0" xfId="1"/>
    <xf numFmtId="170" fontId="7" fillId="0" borderId="0" pivotButton="0" quotePrefix="0" xfId="1"/>
    <xf numFmtId="170" fontId="8" fillId="0" borderId="0" applyAlignment="1" pivotButton="0" quotePrefix="0" xfId="1">
      <alignment horizontal="left"/>
    </xf>
    <xf numFmtId="170" fontId="0" fillId="0" borderId="0" pivotButton="0" quotePrefix="0" xfId="1"/>
    <xf numFmtId="170" fontId="11" fillId="0" borderId="0" pivotButton="0" quotePrefix="0" xfId="1"/>
    <xf numFmtId="170" fontId="2" fillId="0" borderId="0" pivotButton="0" quotePrefix="0" xfId="1"/>
    <xf numFmtId="4" fontId="1" fillId="0" borderId="0" pivotButton="0" quotePrefix="0" xfId="1"/>
    <xf numFmtId="3" fontId="5" fillId="0" borderId="0" applyAlignment="1" pivotButton="0" quotePrefix="0" xfId="1">
      <alignment horizontal="center"/>
    </xf>
    <xf numFmtId="0" fontId="0" fillId="0" borderId="0" applyAlignment="1" pivotButton="0" quotePrefix="0" xfId="0">
      <alignment horizontal="center"/>
    </xf>
    <xf numFmtId="0" fontId="12" fillId="0" borderId="0" pivotButton="0" quotePrefix="0" xfId="0"/>
    <xf numFmtId="171" fontId="4" fillId="0" borderId="0" pivotButton="0" quotePrefix="0" xfId="1"/>
    <xf numFmtId="171" fontId="5" fillId="0" borderId="0" applyAlignment="1" pivotButton="0" quotePrefix="0" xfId="1">
      <alignment horizontal="right"/>
    </xf>
    <xf numFmtId="170" fontId="4" fillId="0" borderId="0" pivotButton="0" quotePrefix="0" xfId="1"/>
    <xf numFmtId="171" fontId="4" fillId="0" borderId="0" pivotButton="0" quotePrefix="0" xfId="1"/>
    <xf numFmtId="171" fontId="5" fillId="0" borderId="0" pivotButton="0" quotePrefix="0" xfId="1"/>
    <xf numFmtId="170" fontId="4" fillId="0" borderId="4" pivotButton="0" quotePrefix="0" xfId="1"/>
    <xf numFmtId="170" fontId="5" fillId="0" borderId="0" pivotButton="0" quotePrefix="0" xfId="1"/>
    <xf numFmtId="170" fontId="1" fillId="0" borderId="1" pivotButton="0" quotePrefix="0" xfId="1"/>
    <xf numFmtId="171" fontId="11" fillId="0" borderId="0" pivotButton="0" quotePrefix="0" xfId="0"/>
    <xf numFmtId="171" fontId="0" fillId="0" borderId="0" pivotButton="0" quotePrefix="0" xfId="0"/>
    <xf numFmtId="170" fontId="5" fillId="4" borderId="1" pivotButton="0" quotePrefix="0" xfId="1"/>
    <xf numFmtId="170" fontId="1" fillId="0" borderId="1" applyAlignment="1" pivotButton="0" quotePrefix="0" xfId="1">
      <alignment horizontal="left"/>
    </xf>
    <xf numFmtId="170" fontId="1" fillId="0" borderId="1" applyAlignment="1" pivotButton="0" quotePrefix="0" xfId="1">
      <alignment horizontal="right"/>
    </xf>
    <xf numFmtId="170" fontId="1" fillId="0" borderId="0" pivotButton="0" quotePrefix="0" xfId="1"/>
    <xf numFmtId="170" fontId="4" fillId="0" borderId="0" pivotButton="0" quotePrefix="0" xfId="1"/>
    <xf numFmtId="170" fontId="7" fillId="0" borderId="0" pivotButton="0" quotePrefix="0" xfId="1"/>
    <xf numFmtId="170" fontId="0" fillId="0" borderId="0" pivotButton="0" quotePrefix="0" xfId="1"/>
    <xf numFmtId="170" fontId="8" fillId="0" borderId="0" applyAlignment="1" pivotButton="0" quotePrefix="0" xfId="1">
      <alignment horizontal="left"/>
    </xf>
    <xf numFmtId="170" fontId="11" fillId="0" borderId="0" pivotButton="0" quotePrefix="0" xfId="1"/>
    <xf numFmtId="164" fontId="4" fillId="0" borderId="1" applyAlignment="1" pivotButton="0" quotePrefix="0" xfId="0">
      <alignment horizontal="left"/>
    </xf>
    <xf numFmtId="165" fontId="4" fillId="0" borderId="3" applyAlignment="1" pivotButton="0" quotePrefix="0" xfId="0">
      <alignment horizontal="left"/>
    </xf>
    <xf numFmtId="166" fontId="4" fillId="0" borderId="1" applyAlignment="1" pivotButton="0" quotePrefix="0" xfId="0">
      <alignment horizontal="left"/>
    </xf>
    <xf numFmtId="167" fontId="4" fillId="0" borderId="1" applyAlignment="1" pivotButton="0" quotePrefix="0" xfId="0">
      <alignment horizontal="left"/>
    </xf>
    <xf numFmtId="168" fontId="4" fillId="0" borderId="1" applyAlignment="1" pivotButton="0" quotePrefix="0" xfId="0">
      <alignment horizontal="left"/>
    </xf>
    <xf numFmtId="168" fontId="4" fillId="0" borderId="0" applyAlignment="1" pivotButton="0" quotePrefix="0" xfId="0">
      <alignment horizontal="right"/>
    </xf>
    <xf numFmtId="169" fontId="4" fillId="0" borderId="0" applyAlignment="1" pivotButton="0" quotePrefix="0" xfId="0">
      <alignment horizontal="right"/>
    </xf>
    <xf numFmtId="166" fontId="5" fillId="3" borderId="0" applyAlignment="1" pivotButton="0" quotePrefix="0" xfId="0">
      <alignment horizontal="center" vertical="center"/>
    </xf>
    <xf numFmtId="170" fontId="2" fillId="0" borderId="0" pivotButton="0" quotePrefix="0" xfId="1"/>
    <xf numFmtId="170" fontId="4" fillId="0" borderId="4" pivotButton="0" quotePrefix="0" xfId="1"/>
    <xf numFmtId="170" fontId="5" fillId="0" borderId="0" pivotButton="0" quotePrefix="0" xfId="1"/>
    <xf numFmtId="170" fontId="5" fillId="0" borderId="0" applyAlignment="1" pivotButton="0" quotePrefix="0" xfId="0">
      <alignment vertical="center"/>
    </xf>
    <xf numFmtId="170" fontId="5" fillId="0" borderId="0" pivotButton="0" quotePrefix="0" xfId="0"/>
    <xf numFmtId="170" fontId="1" fillId="0" borderId="1" pivotButton="0" quotePrefix="0" xfId="1"/>
    <xf numFmtId="170" fontId="5" fillId="4" borderId="1" pivotButton="0" quotePrefix="0" xfId="1"/>
    <xf numFmtId="170" fontId="1" fillId="0" borderId="1" applyAlignment="1" pivotButton="0" quotePrefix="0" xfId="1">
      <alignment horizontal="left"/>
    </xf>
    <xf numFmtId="170" fontId="1" fillId="0" borderId="0" pivotButton="0" quotePrefix="0" xfId="1"/>
    <xf numFmtId="170" fontId="1" fillId="0" borderId="1" applyAlignment="1" pivotButton="0" quotePrefix="0" xfId="1">
      <alignment horizontal="right"/>
    </xf>
    <xf numFmtId="170" fontId="5" fillId="3" borderId="0" pivotButton="0" quotePrefix="0" xfId="0"/>
  </cellXfs>
  <cellStyles count="2">
    <cellStyle name="Normal" xfId="0" builtinId="0"/>
    <cellStyle name="Comma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Hoja3">
    <tabColor theme="3" tint="-0.499984740745262"/>
    <outlinePr summaryBelow="1" summaryRight="1"/>
    <pageSetUpPr fitToPage="1"/>
  </sheetPr>
  <dimension ref="A1:I61"/>
  <sheetViews>
    <sheetView tabSelected="1" zoomScale="96" zoomScaleNormal="100" workbookViewId="0">
      <selection activeCell="C9" sqref="C9"/>
    </sheetView>
  </sheetViews>
  <sheetFormatPr baseColWidth="8" defaultColWidth="11.5546875" defaultRowHeight="15.6"/>
  <cols>
    <col width="1.88671875" customWidth="1" min="1" max="1"/>
    <col width="18.88671875" customWidth="1" style="2" min="2" max="2"/>
    <col width="27.88671875" customWidth="1" style="2" min="3" max="3"/>
    <col width="9.5546875" customWidth="1" style="2" min="4" max="4"/>
    <col width="24.6640625" customWidth="1" style="2" min="5" max="5"/>
    <col width="10" customWidth="1" style="2" min="6" max="6"/>
    <col width="24.6640625" customWidth="1" style="2" min="7" max="7"/>
    <col width="10" customWidth="1" style="2" min="8" max="8"/>
    <col width="1" customWidth="1" style="54" min="9" max="9"/>
  </cols>
  <sheetData>
    <row r="1" ht="23.4" customFormat="1" customHeight="1" s="43">
      <c r="B1" s="1" t="inlineStr">
        <is>
          <t xml:space="preserve">ORDEN DE PRODUCCION:    </t>
        </is>
      </c>
      <c r="C1" s="2" t="n"/>
      <c r="D1" s="1" t="inlineStr">
        <is>
          <t>OP1322</t>
        </is>
      </c>
      <c r="E1" s="2" t="n"/>
      <c r="F1" s="2" t="n"/>
      <c r="G1" s="2" t="n"/>
      <c r="H1" s="2" t="n"/>
    </row>
    <row r="2" ht="4.5" customHeight="1">
      <c r="I2" s="44" t="n"/>
    </row>
    <row r="3" customFormat="1" s="2">
      <c r="B3" s="3" t="inlineStr">
        <is>
          <t>Fecha</t>
        </is>
      </c>
      <c r="C3" s="4" t="n">
        <v>46010</v>
      </c>
      <c r="E3" s="5" t="n"/>
      <c r="F3" s="6" t="n"/>
    </row>
    <row r="4" customFormat="1" s="2">
      <c r="B4" s="3" t="inlineStr">
        <is>
          <t>Producto:</t>
        </is>
      </c>
      <c r="C4" s="7" t="inlineStr">
        <is>
          <t>Balde Payero Romano</t>
        </is>
      </c>
      <c r="D4" s="8" t="inlineStr">
        <is>
          <t>Y</t>
        </is>
      </c>
      <c r="E4" s="9" t="inlineStr"/>
      <c r="F4" s="10" t="inlineStr">
        <is>
          <t>Maquina:</t>
        </is>
      </c>
      <c r="G4" s="69" t="inlineStr">
        <is>
          <t>HT-320 A</t>
        </is>
      </c>
    </row>
    <row r="5" ht="15" customFormat="1" customHeight="1" s="2">
      <c r="B5" s="3" t="inlineStr">
        <is>
          <t>Total DOC:</t>
        </is>
      </c>
      <c r="C5" s="11" t="n">
        <v>1005.747126436782</v>
      </c>
      <c r="G5" s="12">
        <f>CONCATENATE("https://docs.google.com/forms/d/e/1FAIpQLSdf85x8DVmY_szgqvlwBgOWcdJWLqJZI5IafMdygaNk-QcA8g/viewform?usp=pp_url&amp;entry.374896580=",SUBSTITUTE(D1," ","+"),"&amp;entry.1779940712=",G6,"&amp;entry.885430358=",SUBSTITUTE(G8," ","+"),"&amp;entry.873760233=",SUBSTITUTE(G4," ",+""))</f>
        <v/>
      </c>
    </row>
    <row r="6" ht="15" customHeight="1">
      <c r="G6" s="70">
        <f>SUBSTITUTE(SUBSTITUTE(B7," ","+"),"#","%23")</f>
        <v/>
      </c>
      <c r="I6" s="44" t="n"/>
    </row>
    <row r="7" ht="15" customFormat="1" customHeight="1" s="71">
      <c r="B7" s="72" t="inlineStr">
        <is>
          <t>BALDE PLAYERO ROMANO</t>
        </is>
      </c>
      <c r="D7" s="69" t="n"/>
      <c r="E7" s="69" t="n"/>
      <c r="F7" s="69" t="n"/>
      <c r="G7" s="69" t="n"/>
      <c r="H7" s="69" t="n"/>
      <c r="I7" s="73" t="n"/>
    </row>
    <row r="8" ht="15" customFormat="1" customHeight="1" s="2">
      <c r="B8" t="inlineStr">
        <is>
          <t>Composición</t>
        </is>
      </c>
      <c r="C8" t="inlineStr">
        <is>
          <t>Cav</t>
        </is>
      </c>
      <c r="D8" t="inlineStr">
        <is>
          <t>Peso Unit</t>
        </is>
      </c>
      <c r="E8" t="inlineStr">
        <is>
          <t>Subtotal</t>
        </is>
      </c>
    </row>
    <row r="9" ht="15" customFormat="1" customHeight="1" s="2"/>
    <row r="10" ht="15" customFormat="1" customHeight="1" s="2"/>
    <row r="11" ht="15" customFormat="1" customHeight="1" s="2"/>
    <row r="12">
      <c r="B12" s="13" t="inlineStr">
        <is>
          <t>Dias:</t>
        </is>
      </c>
      <c r="C12" s="74" t="n">
        <v>2.186406796601699</v>
      </c>
      <c r="E12" s="13" t="inlineStr">
        <is>
          <t>Peso Unitario:</t>
        </is>
      </c>
      <c r="F12" s="15" t="inlineStr">
        <is>
          <t>Peso Neto Golpe:</t>
        </is>
      </c>
      <c r="G12" s="75" t="n">
        <v>87</v>
      </c>
    </row>
    <row r="13">
      <c r="B13" s="13" t="inlineStr">
        <is>
          <t>Turno:</t>
        </is>
      </c>
      <c r="C13" s="76" t="n">
        <v>23</v>
      </c>
      <c r="E13" s="13" t="inlineStr">
        <is>
          <t>Peso Colada:</t>
        </is>
      </c>
      <c r="F13" s="15" t="inlineStr">
        <is>
          <t>Peso Colada:</t>
        </is>
      </c>
      <c r="G13" s="75" t="n">
        <v>176</v>
      </c>
    </row>
    <row r="14">
      <c r="B14" s="13" t="inlineStr">
        <is>
          <t>Cavidad:</t>
        </is>
      </c>
      <c r="C14" s="77" t="n">
        <v>2</v>
      </c>
      <c r="E14" s="13" t="inlineStr">
        <is>
          <t>Merma:</t>
        </is>
      </c>
      <c r="F14" s="15" t="inlineStr">
        <is>
          <t>Peso Tiro:</t>
        </is>
      </c>
      <c r="G14" s="19" t="n">
        <v>0.01136363636363636</v>
      </c>
    </row>
    <row r="15" customFormat="1" s="2">
      <c r="B15" s="13" t="inlineStr">
        <is>
          <t>Cola. x Hora</t>
        </is>
      </c>
      <c r="C15" s="78" t="n">
        <v>120</v>
      </c>
      <c r="E15" s="13" t="inlineStr">
        <is>
          <t>Fecha:</t>
        </is>
      </c>
      <c r="F15" s="15" t="inlineStr">
        <is>
          <t>Merma:</t>
        </is>
      </c>
      <c r="G15" s="21" t="inlineStr">
        <is>
          <t>20/11 a 22/11</t>
        </is>
      </c>
    </row>
    <row r="16" customFormat="1" s="2">
      <c r="B16" s="79" t="n"/>
      <c r="C16" s="79" t="n"/>
      <c r="F16" t="inlineStr">
        <is>
          <t>Fecha:</t>
        </is>
      </c>
      <c r="G16" s="23" t="n"/>
      <c r="I16" s="44" t="n"/>
    </row>
    <row r="17" customFormat="1" s="2">
      <c r="B17" s="9" t="n"/>
      <c r="C17" s="80" t="n"/>
      <c r="D17" s="80" t="n"/>
      <c r="E17" s="9" t="n"/>
      <c r="F17" s="9" t="n"/>
      <c r="G17" s="23" t="n"/>
      <c r="I17" s="44" t="n"/>
    </row>
    <row r="18" customFormat="1" s="2">
      <c r="B18" s="25" t="inlineStr">
        <is>
          <t>Color</t>
        </is>
      </c>
      <c r="C18" s="81" t="inlineStr">
        <is>
          <t>Peso Produccion</t>
        </is>
      </c>
      <c r="D18" s="81" t="n"/>
      <c r="E18" s="25" t="inlineStr">
        <is>
          <t>Merma a Recuperar KG</t>
        </is>
      </c>
      <c r="F18" s="25" t="n"/>
      <c r="G18" s="25" t="inlineStr">
        <is>
          <t>Cantidad Coladas</t>
        </is>
      </c>
      <c r="H18" s="25" t="n"/>
      <c r="I18" s="44" t="n"/>
    </row>
    <row r="19">
      <c r="B19" s="82" t="inlineStr">
        <is>
          <t>Amarillo</t>
        </is>
      </c>
      <c r="C19" s="51" t="n">
        <v>176.9886363636364</v>
      </c>
      <c r="D19" s="51" t="n"/>
      <c r="E19" s="51" t="n">
        <v>2.011234504132231</v>
      </c>
      <c r="F19" s="51" t="n"/>
      <c r="G19" s="52" t="n">
        <v>1017.176071055381</v>
      </c>
      <c r="H19" s="27" t="n"/>
    </row>
    <row r="20">
      <c r="B20" s="82" t="inlineStr">
        <is>
          <t>Azul</t>
        </is>
      </c>
      <c r="C20" s="51" t="n">
        <v>176.9886363636364</v>
      </c>
      <c r="D20" s="51" t="n"/>
      <c r="E20" s="51" t="n">
        <v>2.011234504132231</v>
      </c>
      <c r="F20" s="51" t="n"/>
      <c r="G20" s="52" t="n">
        <v>1017.176071055381</v>
      </c>
      <c r="H20" s="27" t="n"/>
    </row>
    <row r="21" customFormat="1" s="53">
      <c r="B21" s="82" t="inlineStr">
        <is>
          <t>Rojo</t>
        </is>
      </c>
      <c r="C21" s="51" t="n">
        <v>176.9886363636364</v>
      </c>
      <c r="D21" s="51" t="n"/>
      <c r="E21" s="51" t="n">
        <v>2.011234504132231</v>
      </c>
      <c r="F21" s="51" t="n"/>
      <c r="G21" s="52" t="n">
        <v>1017.176071055381</v>
      </c>
      <c r="H21" s="27" t="n"/>
    </row>
    <row r="22" customFormat="1" s="54">
      <c r="B22" s="82" t="inlineStr">
        <is>
          <t>Fucsia</t>
        </is>
      </c>
      <c r="C22" s="51" t="n">
        <v>176.9886363636364</v>
      </c>
      <c r="D22" s="51" t="n"/>
      <c r="E22" s="51" t="n">
        <v>2.011234504132231</v>
      </c>
      <c r="F22" s="51" t="n"/>
      <c r="G22" s="52" t="n">
        <v>1017.176071055381</v>
      </c>
      <c r="H22" s="27" t="n"/>
    </row>
    <row r="23">
      <c r="B23" s="82" t="inlineStr">
        <is>
          <t>Verde</t>
        </is>
      </c>
      <c r="C23" s="51" t="n">
        <v>176.9886363636364</v>
      </c>
      <c r="D23" s="51" t="n"/>
      <c r="E23" s="51" t="n">
        <v>2.011234504132231</v>
      </c>
      <c r="F23" s="51" t="n"/>
      <c r="G23" s="52" t="n">
        <v>1017.176071055381</v>
      </c>
      <c r="H23" s="27" t="n"/>
      <c r="I23" s="44" t="n"/>
    </row>
    <row r="24" customFormat="1" s="2">
      <c r="B24" s="82" t="inlineStr">
        <is>
          <t>Lila</t>
        </is>
      </c>
      <c r="C24" s="51" t="n">
        <v>176.9886363636364</v>
      </c>
      <c r="D24" s="51" t="n"/>
      <c r="E24" s="51" t="n">
        <v>2.011234504132231</v>
      </c>
      <c r="F24" s="51" t="n"/>
      <c r="G24" s="52" t="n">
        <v>1017.176071055381</v>
      </c>
      <c r="H24" s="27" t="n"/>
      <c r="I24" s="44" t="n"/>
    </row>
    <row r="25" customFormat="1" s="58">
      <c r="B25" s="28" t="n"/>
      <c r="C25" s="29">
        <f>SUM(C15:C20)</f>
        <v/>
      </c>
      <c r="D25" s="29" t="n"/>
      <c r="E25" s="29">
        <f>SUM(E15:E20)</f>
        <v/>
      </c>
      <c r="F25" s="29" t="n"/>
      <c r="G25" s="29">
        <f>SUM(G15:G20)</f>
        <v/>
      </c>
      <c r="H25" s="29" t="n"/>
      <c r="I25" s="44" t="n"/>
    </row>
    <row r="26" customFormat="1" s="58">
      <c r="B26" s="2" t="n"/>
      <c r="C26" s="2" t="n"/>
      <c r="D26" s="2" t="n"/>
      <c r="E26" s="2" t="n"/>
      <c r="F26" s="2" t="n"/>
      <c r="G26" s="2" t="n"/>
      <c r="H26" s="2" t="n"/>
    </row>
    <row r="27" customFormat="1" s="58">
      <c r="B27" s="30" t="inlineStr">
        <is>
          <t>Materia Prima</t>
        </is>
      </c>
      <c r="C27" s="31" t="n"/>
      <c r="D27" s="31" t="n"/>
      <c r="E27" s="31" t="n"/>
      <c r="F27" s="31" t="n"/>
      <c r="G27" s="31" t="n"/>
      <c r="H27" s="31" t="n"/>
      <c r="I27" s="44" t="n"/>
    </row>
    <row r="28" customFormat="1" s="58">
      <c r="F28" s="8" t="inlineStr">
        <is>
          <t>Peso (Kg)</t>
        </is>
      </c>
      <c r="G28" s="8" t="n"/>
    </row>
    <row r="29">
      <c r="C29" s="56">
        <f>IF(D25=0,"","Virgen 1")</f>
        <v/>
      </c>
      <c r="D29" s="58" t="n">
        <v>0</v>
      </c>
      <c r="F29" s="69" t="n">
        <v>536.9996126033059</v>
      </c>
      <c r="G29" s="58" t="n"/>
      <c r="H29" s="59" t="n"/>
    </row>
    <row r="30">
      <c r="C30" s="56">
        <f>IF(D26=0,"","Virgen 2")</f>
        <v/>
      </c>
      <c r="D30" s="58" t="n">
        <v>0</v>
      </c>
      <c r="F30" s="69" t="n">
        <v>0</v>
      </c>
      <c r="G30" s="58" t="n"/>
      <c r="H30" s="59" t="n"/>
    </row>
    <row r="31">
      <c r="C31" s="56">
        <f>IF(D27=0,"","Segunda")</f>
        <v/>
      </c>
      <c r="D31" s="58" t="n">
        <v>0</v>
      </c>
      <c r="F31" s="83" t="n">
        <v>536.9996126033059</v>
      </c>
      <c r="G31" s="58" t="n"/>
      <c r="H31" s="59" t="n"/>
    </row>
    <row r="32" customFormat="1" s="69">
      <c r="F32" s="84">
        <f>SUM(F25:F27)</f>
        <v/>
      </c>
    </row>
    <row r="33" customFormat="1" s="69">
      <c r="I33" s="44" t="n"/>
    </row>
    <row r="34" customFormat="1" s="69">
      <c r="B34" s="32" t="inlineStr">
        <is>
          <t>Materia Prima por Color</t>
        </is>
      </c>
      <c r="C34" s="33" t="n"/>
      <c r="D34" s="85" t="n"/>
      <c r="F34" s="86" t="n"/>
      <c r="I34" s="44" t="n"/>
    </row>
    <row r="35" customFormat="1" s="69">
      <c r="B35" s="36" t="inlineStr">
        <is>
          <t xml:space="preserve">Color </t>
        </is>
      </c>
      <c r="C35" s="36" t="inlineStr">
        <is>
          <t>Virgen 1</t>
        </is>
      </c>
      <c r="D35" s="36" t="inlineStr">
        <is>
          <t>Peso</t>
        </is>
      </c>
      <c r="E35" s="36" t="inlineStr">
        <is>
          <t>Virgen 2</t>
        </is>
      </c>
      <c r="F35" s="36" t="inlineStr">
        <is>
          <t>Peso</t>
        </is>
      </c>
      <c r="G35" s="36" t="inlineStr">
        <is>
          <t>Segunda</t>
        </is>
      </c>
      <c r="H35" s="36" t="inlineStr">
        <is>
          <t>Peso</t>
        </is>
      </c>
      <c r="I35" s="44" t="n"/>
    </row>
    <row r="36" customFormat="1" s="69">
      <c r="B36" s="87" t="inlineStr">
        <is>
          <t>Amarillo</t>
        </is>
      </c>
      <c r="C36" s="87" t="inlineStr">
        <is>
          <t>PP Clarif. (Mayor 80 ) = 3/6</t>
        </is>
      </c>
      <c r="D36" s="87" t="n">
        <v>89.49993543388432</v>
      </c>
      <c r="E36" s="87" t="inlineStr"/>
      <c r="F36" s="87" t="n">
        <v>0</v>
      </c>
      <c r="G36" s="87" t="inlineStr">
        <is>
          <t>PP Iny. Molido Segunda = 3/6</t>
        </is>
      </c>
      <c r="H36" s="87" t="n">
        <v>89.49993543388432</v>
      </c>
    </row>
    <row r="37" customFormat="1" s="69">
      <c r="B37" s="87" t="inlineStr">
        <is>
          <t>Azul</t>
        </is>
      </c>
      <c r="C37" s="87" t="inlineStr">
        <is>
          <t>PP Clarif. (Mayor 80 ) = 3/6</t>
        </is>
      </c>
      <c r="D37" s="87" t="n">
        <v>89.49993543388432</v>
      </c>
      <c r="E37" s="87" t="inlineStr"/>
      <c r="F37" s="87" t="n">
        <v>0</v>
      </c>
      <c r="G37" s="87" t="inlineStr">
        <is>
          <t>PP Iny. Molido Segunda = 3/6</t>
        </is>
      </c>
      <c r="H37" s="87" t="n">
        <v>89.49993543388432</v>
      </c>
    </row>
    <row r="38" customFormat="1" s="64">
      <c r="B38" s="87" t="inlineStr">
        <is>
          <t>Rojo</t>
        </is>
      </c>
      <c r="C38" s="87" t="inlineStr">
        <is>
          <t>PP Clarif. (Mayor 80 ) = 3/6</t>
        </is>
      </c>
      <c r="D38" s="87" t="n">
        <v>89.49993543388432</v>
      </c>
      <c r="E38" s="87" t="inlineStr"/>
      <c r="F38" s="87" t="n">
        <v>0</v>
      </c>
      <c r="G38" s="87" t="inlineStr">
        <is>
          <t>PP Iny. Molido Segunda = 3/6</t>
        </is>
      </c>
      <c r="H38" s="87" t="n">
        <v>89.49993543388432</v>
      </c>
    </row>
    <row r="39">
      <c r="B39" s="87" t="inlineStr">
        <is>
          <t>Fucsia</t>
        </is>
      </c>
      <c r="C39" s="87" t="inlineStr">
        <is>
          <t>PP Clarif. (Mayor 80 ) = 3/6</t>
        </is>
      </c>
      <c r="D39" s="87" t="n">
        <v>89.49993543388432</v>
      </c>
      <c r="E39" s="87" t="inlineStr"/>
      <c r="F39" s="87" t="n">
        <v>0</v>
      </c>
      <c r="G39" s="87" t="inlineStr">
        <is>
          <t>PP Iny. Molido Segunda = 3/6</t>
        </is>
      </c>
      <c r="H39" s="87" t="n">
        <v>89.49993543388432</v>
      </c>
    </row>
    <row r="40">
      <c r="B40" s="87" t="inlineStr">
        <is>
          <t>Verde</t>
        </is>
      </c>
      <c r="C40" s="87" t="inlineStr">
        <is>
          <t>PP Clarif. (Mayor 80 ) = 3/6</t>
        </is>
      </c>
      <c r="D40" s="87" t="n">
        <v>89.49993543388432</v>
      </c>
      <c r="E40" s="87" t="inlineStr"/>
      <c r="F40" s="87" t="n">
        <v>0</v>
      </c>
      <c r="G40" s="87" t="inlineStr">
        <is>
          <t>PP Iny. Molido Segunda = 3/6</t>
        </is>
      </c>
      <c r="H40" s="87" t="n">
        <v>89.49993543388432</v>
      </c>
    </row>
    <row r="41" customFormat="1" s="71">
      <c r="B41" s="87" t="inlineStr">
        <is>
          <t>Lila</t>
        </is>
      </c>
      <c r="C41" s="87" t="inlineStr">
        <is>
          <t>PP Clarif. (Mayor 80 ) = 3/6</t>
        </is>
      </c>
      <c r="D41" s="87" t="n">
        <v>89.49993543388432</v>
      </c>
      <c r="E41" s="87" t="inlineStr"/>
      <c r="F41" s="87" t="n">
        <v>0</v>
      </c>
      <c r="G41" s="87" t="inlineStr">
        <is>
          <t>PP Iny. Molido Segunda = 3/6</t>
        </is>
      </c>
      <c r="H41" s="87" t="n">
        <v>89.49993543388432</v>
      </c>
    </row>
    <row r="42" customFormat="1" s="69">
      <c r="B42" s="37" t="n"/>
      <c r="C42" s="37" t="n"/>
      <c r="D42" s="38">
        <f>SUM(D32:D37)</f>
        <v/>
      </c>
      <c r="E42" s="38" t="n"/>
      <c r="F42" s="37">
        <f>SUM(F32:F37)</f>
        <v/>
      </c>
      <c r="G42" s="37" t="n"/>
      <c r="H42" s="39">
        <f>SUM(H32:H37)</f>
        <v/>
      </c>
      <c r="I42" s="63" t="n"/>
    </row>
    <row r="43" customFormat="1" s="69">
      <c r="D43" s="86" t="n"/>
      <c r="F43" s="86" t="n"/>
      <c r="I43" s="44" t="n"/>
    </row>
    <row r="44" customFormat="1" s="69">
      <c r="B44" s="40" t="inlineStr">
        <is>
          <t>Colorante</t>
        </is>
      </c>
      <c r="C44" s="41" t="inlineStr">
        <is>
          <t>x 1 Bolsa (25Kg)</t>
        </is>
      </c>
      <c r="D44" s="31" t="n"/>
      <c r="E44" s="31" t="n"/>
      <c r="F44" s="31" t="n"/>
      <c r="G44" s="31" t="n"/>
      <c r="H44" s="31" t="n"/>
      <c r="I44" s="44" t="n"/>
    </row>
    <row r="45" customFormat="1" s="69">
      <c r="B45" s="69" t="n"/>
      <c r="C45" s="88" t="inlineStr">
        <is>
          <t>Amarillo</t>
        </is>
      </c>
      <c r="D45" s="88" t="inlineStr">
        <is>
          <t>Gr.</t>
        </is>
      </c>
      <c r="E45" s="88" t="inlineStr">
        <is>
          <t>Azul</t>
        </is>
      </c>
      <c r="F45" s="88" t="inlineStr">
        <is>
          <t>Gr.</t>
        </is>
      </c>
      <c r="G45" s="88" t="inlineStr">
        <is>
          <t>Rojo</t>
        </is>
      </c>
      <c r="H45" s="88" t="inlineStr">
        <is>
          <t>Gr.</t>
        </is>
      </c>
      <c r="I45" s="73" t="n"/>
    </row>
    <row r="46" customFormat="1" s="69">
      <c r="C46" s="89" t="inlineStr">
        <is>
          <t>Amarillo CH 1041</t>
        </is>
      </c>
      <c r="D46" s="87" t="n">
        <v>60</v>
      </c>
      <c r="E46" s="89" t="inlineStr">
        <is>
          <t>Azul UltramarEP-24</t>
        </is>
      </c>
      <c r="F46" s="87" t="n">
        <v>120</v>
      </c>
      <c r="G46" s="89" t="inlineStr">
        <is>
          <t>Rojo R120</t>
        </is>
      </c>
      <c r="H46" s="87" t="n">
        <v>80</v>
      </c>
    </row>
    <row r="47" customFormat="1" s="69">
      <c r="C47" s="89" t="inlineStr">
        <is>
          <t>Dioxido de Titanio 2220</t>
        </is>
      </c>
      <c r="D47" s="87" t="n">
        <v>10</v>
      </c>
      <c r="E47" s="89" t="inlineStr">
        <is>
          <t>Dioxido de Titanio 2220</t>
        </is>
      </c>
      <c r="F47" s="87" t="n">
        <v>10</v>
      </c>
      <c r="G47" s="89" t="inlineStr">
        <is>
          <t>Dioxido de Titanio 2220</t>
        </is>
      </c>
      <c r="H47" s="87" t="n">
        <v>10</v>
      </c>
    </row>
    <row r="48" customFormat="1" s="69">
      <c r="C48" s="89" t="n">
        <v>0</v>
      </c>
      <c r="D48" s="87" t="n">
        <v>0</v>
      </c>
      <c r="E48" s="89" t="n">
        <v>0</v>
      </c>
      <c r="F48" s="87" t="n">
        <v>0</v>
      </c>
      <c r="G48" s="89" t="n">
        <v>0</v>
      </c>
      <c r="H48" s="87" t="n">
        <v>0</v>
      </c>
    </row>
    <row r="49" customFormat="1" s="90">
      <c r="C49" s="89" t="n"/>
      <c r="D49" s="87" t="n"/>
      <c r="E49" s="89" t="n"/>
      <c r="F49" s="87" t="n"/>
      <c r="G49" s="89" t="n"/>
      <c r="H49" s="87" t="n"/>
    </row>
    <row r="50" customFormat="1" s="69">
      <c r="C50" s="89" t="n"/>
      <c r="D50" s="87" t="n"/>
      <c r="E50" s="89" t="n"/>
      <c r="F50" s="87" t="n"/>
      <c r="G50" s="89" t="n"/>
      <c r="H50" s="87" t="n"/>
    </row>
    <row r="51" customFormat="1" s="69">
      <c r="C51" s="89" t="n"/>
      <c r="D51" s="87" t="n"/>
      <c r="E51" s="89" t="n"/>
      <c r="F51" s="87" t="n"/>
      <c r="G51" s="89" t="n"/>
      <c r="H51" s="87" t="n"/>
    </row>
    <row r="52" customFormat="1" s="69">
      <c r="C52" s="91" t="n">
        <v>0</v>
      </c>
      <c r="D52" s="87" t="n">
        <v>0</v>
      </c>
      <c r="E52" s="89" t="n">
        <v>0</v>
      </c>
      <c r="F52" s="87" t="n">
        <v>0</v>
      </c>
      <c r="G52" s="89" t="n">
        <v>0</v>
      </c>
      <c r="H52" s="87" t="n">
        <v>0</v>
      </c>
    </row>
    <row r="53" customFormat="1" s="69">
      <c r="B53" s="69" t="n"/>
      <c r="C53" s="88" t="inlineStr">
        <is>
          <t>Fucsia</t>
        </is>
      </c>
      <c r="D53" s="88" t="n"/>
      <c r="E53" s="88" t="inlineStr">
        <is>
          <t>Verde</t>
        </is>
      </c>
      <c r="F53" s="88" t="n"/>
      <c r="G53" s="88" t="inlineStr">
        <is>
          <t>Lila</t>
        </is>
      </c>
      <c r="H53" s="88" t="n"/>
      <c r="I53" s="73" t="n"/>
    </row>
    <row r="54" customFormat="1" s="69">
      <c r="C54" s="89" t="inlineStr">
        <is>
          <t>Magenta 21</t>
        </is>
      </c>
      <c r="D54" s="87" t="n">
        <v>80</v>
      </c>
      <c r="E54" s="89" t="inlineStr">
        <is>
          <t>Verde 7041</t>
        </is>
      </c>
      <c r="F54" s="87" t="n">
        <v>40</v>
      </c>
      <c r="G54" s="89" t="inlineStr">
        <is>
          <t>Dioxido de Titanio 2220</t>
        </is>
      </c>
      <c r="H54" s="87" t="n">
        <v>10</v>
      </c>
    </row>
    <row r="55" customFormat="1" s="69">
      <c r="C55" s="89" t="inlineStr">
        <is>
          <t>Dioxido de Titanio 2220</t>
        </is>
      </c>
      <c r="D55" s="87" t="n">
        <v>10</v>
      </c>
      <c r="E55" s="89" t="inlineStr">
        <is>
          <t>Amarillo CH 1041</t>
        </is>
      </c>
      <c r="F55" s="87" t="n">
        <v>10</v>
      </c>
      <c r="G55" s="89" t="inlineStr">
        <is>
          <t>Magenta 21</t>
        </is>
      </c>
      <c r="H55" s="87" t="n">
        <v>80</v>
      </c>
    </row>
    <row r="56" customFormat="1" s="69">
      <c r="C56" s="89" t="n">
        <v>0</v>
      </c>
      <c r="D56" s="87" t="n">
        <v>0</v>
      </c>
      <c r="E56" s="89" t="inlineStr">
        <is>
          <t>Dioxido de Titanio 2220</t>
        </is>
      </c>
      <c r="F56" s="87" t="n">
        <v>10</v>
      </c>
      <c r="G56" s="89" t="inlineStr">
        <is>
          <t>Azul UltramarEP-24</t>
        </is>
      </c>
      <c r="H56" s="87" t="n">
        <v>84</v>
      </c>
    </row>
    <row r="57">
      <c r="C57" s="89" t="n"/>
      <c r="D57" s="87" t="n"/>
      <c r="E57" s="89" t="n"/>
      <c r="F57" s="87" t="n"/>
      <c r="G57" s="89" t="n"/>
      <c r="H57" s="87" t="n"/>
    </row>
    <row r="58">
      <c r="C58" s="89" t="n"/>
      <c r="D58" s="87" t="n"/>
      <c r="E58" s="89" t="n"/>
      <c r="F58" s="87" t="n"/>
      <c r="G58" s="89" t="n"/>
      <c r="H58" s="87" t="n"/>
    </row>
    <row r="59">
      <c r="C59" s="89" t="n"/>
      <c r="D59" s="87" t="n"/>
      <c r="E59" s="89" t="n"/>
      <c r="F59" s="87" t="n"/>
      <c r="G59" s="89" t="n"/>
      <c r="H59" s="87" t="n"/>
    </row>
    <row r="60">
      <c r="C60" s="89" t="n">
        <v>0</v>
      </c>
      <c r="D60" s="87" t="n">
        <v>0</v>
      </c>
      <c r="E60" s="89" t="n">
        <v>0</v>
      </c>
      <c r="F60" s="87" t="n">
        <v>0</v>
      </c>
      <c r="G60" s="89" t="n">
        <v>0</v>
      </c>
      <c r="H60" s="87" t="n">
        <v>0</v>
      </c>
    </row>
    <row r="61">
      <c r="B61" s="31" t="n"/>
      <c r="C61" s="31" t="n"/>
      <c r="D61" s="31" t="n"/>
      <c r="E61" s="92" t="n"/>
      <c r="F61" s="92" t="n"/>
      <c r="G61" s="31" t="n"/>
      <c r="H61" s="31" t="n"/>
      <c r="I61" s="44" t="n"/>
    </row>
  </sheetData>
  <pageMargins left="0.25" right="0.25" top="0.33" bottom="0.75" header="0.3" footer="0.3"/>
  <pageSetup orientation="portrait" paperSize="9" scale="26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Esteban Jose Sulca Infante</dc:creator>
  <dcterms:created xsi:type="dcterms:W3CDTF">2025-12-19T16:22:11Z</dcterms:created>
  <dcterms:modified xsi:type="dcterms:W3CDTF">2026-07-11T18:54:25Z</dcterms:modified>
  <cp:lastModifiedBy>Esteban Jose Sulca Infante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0x0101002D84E171788B4744A133AFE555EE15AA</vt:lpwstr>
  </property>
</Properties>
</file>