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steb\envaperu-workflow\app\templates\excel\"/>
    </mc:Choice>
  </mc:AlternateContent>
  <xr:revisionPtr revIDLastSave="0" documentId="13_ncr:1_{B269ECEA-FA36-4FBB-886C-77187F1CF16C}" xr6:coauthVersionLast="47" xr6:coauthVersionMax="47" xr10:uidLastSave="{00000000-0000-0000-0000-000000000000}"/>
  <bookViews>
    <workbookView xWindow="-108" yWindow="-108" windowWidth="23256" windowHeight="12576" xr2:uid="{93421655-6C0E-4735-8097-F5DA55509E24}"/>
  </bookViews>
  <sheets>
    <sheet name="IMPRIMIR OP" sheetId="2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2" l="1"/>
  <c r="F38" i="2"/>
  <c r="D38" i="2"/>
  <c r="C27" i="2"/>
  <c r="C26" i="2"/>
  <c r="F28" i="2"/>
  <c r="C25" i="2"/>
  <c r="G6" i="2"/>
  <c r="G5" i="2" s="1"/>
  <c r="G21" i="2" l="1"/>
  <c r="C21" i="2"/>
  <c r="E21" i="2" l="1"/>
</calcChain>
</file>

<file path=xl/sharedStrings.xml><?xml version="1.0" encoding="utf-8"?>
<sst xmlns="http://schemas.openxmlformats.org/spreadsheetml/2006/main" count="89" uniqueCount="49">
  <si>
    <t>Fecha</t>
  </si>
  <si>
    <t>Producto:</t>
  </si>
  <si>
    <t>Y</t>
  </si>
  <si>
    <t>Maquina:</t>
  </si>
  <si>
    <t>Total DOC:</t>
  </si>
  <si>
    <t>Dias:</t>
  </si>
  <si>
    <t>Peso Unitario:</t>
  </si>
  <si>
    <t>Turno:</t>
  </si>
  <si>
    <t>Peso Colada:</t>
  </si>
  <si>
    <t>Cavidad:</t>
  </si>
  <si>
    <t>Merma:</t>
  </si>
  <si>
    <t>Cola. x Hora</t>
  </si>
  <si>
    <t>Fecha:</t>
  </si>
  <si>
    <t>Color</t>
  </si>
  <si>
    <t>Peso Produccion</t>
  </si>
  <si>
    <t>Merma a Recuperar KG</t>
  </si>
  <si>
    <t>Cantidad Coladas</t>
  </si>
  <si>
    <t>Materia Prima</t>
  </si>
  <si>
    <t>Peso (Kg)</t>
  </si>
  <si>
    <t>Materia Prima por Color</t>
  </si>
  <si>
    <t xml:space="preserve">Color </t>
  </si>
  <si>
    <t>Virgen 1</t>
  </si>
  <si>
    <t>Peso</t>
  </si>
  <si>
    <t>Virgen 2</t>
  </si>
  <si>
    <t>Segunda</t>
  </si>
  <si>
    <t>Colorante</t>
  </si>
  <si>
    <t>x 1 Bolsa (25Kg)</t>
  </si>
  <si>
    <t>Gr.</t>
  </si>
  <si>
    <t xml:space="preserve">ORDEN DE PRODUCCION:    </t>
  </si>
  <si>
    <t>OP1322</t>
  </si>
  <si>
    <t>Balde Payero Romano</t>
  </si>
  <si>
    <t/>
  </si>
  <si>
    <t>HT-320 A</t>
  </si>
  <si>
    <t>BALDE PLAYERO ROMANO</t>
  </si>
  <si>
    <t>20/11 a 22/11</t>
  </si>
  <si>
    <t>Amarillo</t>
  </si>
  <si>
    <t>Azul</t>
  </si>
  <si>
    <t>Rojo</t>
  </si>
  <si>
    <t>Fucsia</t>
  </si>
  <si>
    <t>Verde</t>
  </si>
  <si>
    <t>Lila</t>
  </si>
  <si>
    <t>PP Clarif. (Mayor 80 ) = 3/6</t>
  </si>
  <si>
    <t>PP Iny. Molido Segunda = 3/6</t>
  </si>
  <si>
    <t>Amarillo CH 1041</t>
  </si>
  <si>
    <t>Azul UltramarEP-24</t>
  </si>
  <si>
    <t>Rojo R120</t>
  </si>
  <si>
    <t>Dioxido de Titanio 2220</t>
  </si>
  <si>
    <t>Magenta 21</t>
  </si>
  <si>
    <t>Verde 7041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</si>
</sst>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#,##0\ &quot;Dias&quot;"/>
    <numFmt numFmtId="166" formatCode="#,##0\ &quot;gramos&quot;"/>
    <numFmt numFmtId="167" formatCode="#,##0\ &quot;Horas&quot;"/>
    <numFmt numFmtId="168" formatCode="#,##0\ &quot;Cavidad(es)&quot;"/>
    <numFmt numFmtId="169" formatCode="#,##0\ &quot;coladas&quot;"/>
    <numFmt numFmtId="170" formatCode="#,##0\ &quot;segudos&quot;"/>
    <numFmt numFmtId="171" formatCode="_ * #,##0_ ;_ * \-#,##0_ ;_ * &quot;-&quot;??_ ;_ @_ "/>
    <numFmt numFmtId="172" formatCode="_ * #,##0.0_ ;_ * \-#,##0.0_ ;_ * &quot;-&quot;??_ ;_ @_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/>
    </xf>
    <xf numFmtId="0" fontId="7" fillId="0" borderId="0" xfId="0" applyFont="1"/>
    <xf numFmtId="0" fontId="5" fillId="2" borderId="1" xfId="0" applyFont="1" applyFill="1" applyBorder="1" applyAlignment="1">
      <alignment horizontal="left"/>
    </xf>
    <xf numFmtId="165" fontId="4" fillId="0" borderId="1" xfId="0" applyNumberFormat="1" applyFont="1" applyBorder="1" applyAlignment="1">
      <alignment horizontal="left"/>
    </xf>
    <xf numFmtId="0" fontId="4" fillId="0" borderId="2" xfId="0" applyFont="1" applyBorder="1"/>
    <xf numFmtId="166" fontId="4" fillId="0" borderId="3" xfId="0" applyNumberFormat="1" applyFont="1" applyBorder="1" applyAlignment="1">
      <alignment horizontal="left"/>
    </xf>
    <xf numFmtId="167" fontId="4" fillId="0" borderId="1" xfId="0" applyNumberFormat="1" applyFont="1" applyBorder="1" applyAlignment="1">
      <alignment horizontal="left"/>
    </xf>
    <xf numFmtId="168" fontId="4" fillId="0" borderId="1" xfId="0" applyNumberFormat="1" applyFont="1" applyBorder="1" applyAlignment="1">
      <alignment horizontal="left"/>
    </xf>
    <xf numFmtId="9" fontId="4" fillId="0" borderId="3" xfId="0" applyNumberFormat="1" applyFont="1" applyBorder="1" applyAlignment="1">
      <alignment horizontal="left"/>
    </xf>
    <xf numFmtId="169" fontId="4" fillId="0" borderId="1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69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70" fontId="4" fillId="0" borderId="0" xfId="0" applyNumberFormat="1" applyFont="1" applyAlignment="1">
      <alignment horizontal="right"/>
    </xf>
    <xf numFmtId="0" fontId="5" fillId="3" borderId="0" xfId="0" applyFont="1" applyFill="1" applyAlignment="1">
      <alignment horizontal="center" vertical="center"/>
    </xf>
    <xf numFmtId="167" fontId="5" fillId="3" borderId="0" xfId="0" applyNumberFormat="1" applyFont="1" applyFill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4" fontId="5" fillId="3" borderId="0" xfId="0" applyNumberFormat="1" applyFont="1" applyFill="1" applyAlignment="1">
      <alignment horizontal="center"/>
    </xf>
    <xf numFmtId="0" fontId="9" fillId="3" borderId="0" xfId="0" applyFont="1" applyFill="1"/>
    <xf numFmtId="0" fontId="4" fillId="3" borderId="0" xfId="0" applyFont="1" applyFill="1"/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/>
    <xf numFmtId="0" fontId="9" fillId="4" borderId="1" xfId="0" applyFont="1" applyFill="1" applyBorder="1"/>
    <xf numFmtId="171" fontId="4" fillId="3" borderId="0" xfId="0" applyNumberFormat="1" applyFont="1" applyFill="1"/>
    <xf numFmtId="171" fontId="5" fillId="3" borderId="0" xfId="0" applyNumberFormat="1" applyFont="1" applyFill="1"/>
    <xf numFmtId="172" fontId="5" fillId="3" borderId="0" xfId="0" applyNumberFormat="1" applyFont="1" applyFill="1"/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/>
    </xf>
    <xf numFmtId="164" fontId="5" fillId="3" borderId="0" xfId="0" applyNumberFormat="1" applyFont="1" applyFill="1"/>
    <xf numFmtId="0" fontId="10" fillId="0" borderId="0" xfId="0" applyFont="1"/>
    <xf numFmtId="0" fontId="11" fillId="0" borderId="0" xfId="0" applyFont="1"/>
    <xf numFmtId="164" fontId="4" fillId="0" borderId="0" xfId="1" applyFont="1"/>
    <xf numFmtId="164" fontId="7" fillId="0" borderId="0" xfId="1" applyFont="1"/>
    <xf numFmtId="164" fontId="8" fillId="0" borderId="0" xfId="1" applyFont="1" applyAlignment="1">
      <alignment horizontal="left"/>
    </xf>
    <xf numFmtId="164" fontId="0" fillId="0" borderId="0" xfId="1" applyFont="1"/>
    <xf numFmtId="164" fontId="11" fillId="0" borderId="0" xfId="1" applyFont="1"/>
    <xf numFmtId="164" fontId="2" fillId="0" borderId="0" xfId="1" applyFont="1"/>
    <xf numFmtId="4" fontId="1" fillId="0" borderId="0" xfId="1" applyNumberFormat="1" applyFont="1"/>
    <xf numFmtId="3" fontId="5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  <xf numFmtId="171" fontId="4" fillId="0" borderId="0" xfId="1" applyNumberFormat="1" applyFont="1"/>
    <xf numFmtId="171" fontId="5" fillId="0" borderId="0" xfId="1" applyNumberFormat="1" applyFont="1" applyAlignment="1">
      <alignment horizontal="right"/>
    </xf>
    <xf numFmtId="164" fontId="4" fillId="0" borderId="0" xfId="1" applyFont="1" applyBorder="1"/>
    <xf numFmtId="171" fontId="4" fillId="0" borderId="0" xfId="1" applyNumberFormat="1" applyFont="1" applyFill="1"/>
    <xf numFmtId="171" fontId="5" fillId="0" borderId="0" xfId="1" applyNumberFormat="1" applyFont="1"/>
    <xf numFmtId="164" fontId="4" fillId="0" borderId="4" xfId="1" applyFont="1" applyBorder="1"/>
    <xf numFmtId="164" fontId="5" fillId="0" borderId="0" xfId="1" applyFont="1"/>
    <xf numFmtId="164" fontId="1" fillId="0" borderId="1" xfId="1" applyFont="1" applyBorder="1"/>
    <xf numFmtId="171" fontId="11" fillId="0" borderId="0" xfId="0" applyNumberFormat="1" applyFont="1"/>
    <xf numFmtId="171" fontId="0" fillId="0" borderId="0" xfId="0" applyNumberFormat="1"/>
    <xf numFmtId="164" fontId="5" fillId="4" borderId="1" xfId="1" applyFont="1" applyFill="1" applyBorder="1"/>
    <xf numFmtId="164" fontId="1" fillId="0" borderId="1" xfId="1" applyFont="1" applyBorder="1" applyAlignment="1">
      <alignment horizontal="left"/>
    </xf>
    <xf numFmtId="164" fontId="1" fillId="0" borderId="1" xfId="1" applyFont="1" applyBorder="1" applyAlignment="1">
      <alignment horizontal="right"/>
    </xf>
    <xf numFmtId="164" fontId="1" fillId="0" borderId="0" xfId="1" applyFont="1"/>
  </cellXfs>
  <cellStyles count="2">
    <cellStyle name="Comma 2" xfId="1" xr:uid="{597650C8-227B-4EDA-B13A-C8F84C10D1F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julio\AppData\Local\Temp\qr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428715</xdr:colOff>
      <xdr:row>57</xdr:row>
      <xdr:rowOff>185827</xdr:rowOff>
    </xdr:from>
    <xdr:to>
      <xdr:col>29</xdr:col>
      <xdr:colOff>333286</xdr:colOff>
      <xdr:row>65</xdr:row>
      <xdr:rowOff>14198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CDD899E-7470-4B9F-A842-4205CD9E6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23509695" y="11410087"/>
          <a:ext cx="1489531" cy="14133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171A-FAA7-45EE-8717-6EFE9D4E4A6A}">
  <sheetPr codeName="Hoja3">
    <tabColor theme="3" tint="-0.499984740745262"/>
    <pageSetUpPr fitToPage="1"/>
  </sheetPr>
  <dimension ref="B1:I57"/>
  <sheetViews>
    <sheetView tabSelected="1" zoomScale="96" zoomScaleNormal="100" workbookViewId="0">
      <selection activeCell="C9" sqref="C9"/>
    </sheetView>
  </sheetViews>
  <sheetFormatPr defaultColWidth="11.5546875" defaultRowHeight="15.6" x14ac:dyDescent="0.3"/>
  <cols>
    <col min="1" max="1" width="1.88671875" customWidth="1"/>
    <col min="2" max="2" width="18.88671875" style="2" customWidth="1"/>
    <col min="3" max="3" width="27.88671875" style="2" customWidth="1"/>
    <col min="4" max="4" width="9.5546875" style="2" customWidth="1"/>
    <col min="5" max="5" width="24.6640625" style="2" customWidth="1"/>
    <col min="6" max="6" width="10" style="2" customWidth="1"/>
    <col min="7" max="7" width="24.6640625" style="2" customWidth="1"/>
    <col min="8" max="8" width="10" style="2" customWidth="1"/>
    <col min="9" max="9" width="1" style="54" customWidth="1"/>
  </cols>
  <sheetData>
    <row r="1" spans="2:9" s="43" customFormat="1" ht="23.4" x14ac:dyDescent="0.45">
      <c r="B1" s="1" t="s">
        <v>28</v>
      </c>
      <c r="C1" s="2"/>
      <c r="D1" s="1" t="s">
        <v>29</v>
      </c>
      <c r="E1" s="2"/>
      <c r="F1" s="2"/>
      <c r="G1" s="2"/>
      <c r="H1" s="2"/>
    </row>
    <row r="2" spans="2:9" ht="4.5" customHeight="1" x14ac:dyDescent="0.3">
      <c r="I2" s="44"/>
    </row>
    <row r="3" spans="2:9" s="2" customFormat="1" x14ac:dyDescent="0.3">
      <c r="B3" s="3" t="s">
        <v>0</v>
      </c>
      <c r="C3" s="4">
        <v>46010</v>
      </c>
      <c r="E3" s="5"/>
      <c r="F3" s="6"/>
    </row>
    <row r="4" spans="2:9" s="2" customFormat="1" x14ac:dyDescent="0.3">
      <c r="B4" s="3" t="s">
        <v>1</v>
      </c>
      <c r="C4" s="7" t="s">
        <v>30</v>
      </c>
      <c r="D4" s="8" t="s">
        <v>2</v>
      </c>
      <c r="E4" s="9" t="s">
        <v>31</v>
      </c>
      <c r="F4" s="10" t="s">
        <v>3</v>
      </c>
      <c r="G4" s="45" t="s">
        <v>32</v>
      </c>
    </row>
    <row r="5" spans="2:9" s="2" customFormat="1" ht="15" customHeight="1" x14ac:dyDescent="0.35">
      <c r="B5" s="3" t="s">
        <v>4</v>
      </c>
      <c r="C5" s="11">
        <v>1005.7471264367815</v>
      </c>
      <c r="G5" s="12" t="str">
        <f>CONCATENATE("https://docs.google.com/forms/d/e/1FAIpQLSdf85x8DVmY_szgqvlwBgOWcdJWLqJZI5IafMdygaNk-QcA8g/viewform?usp=pp_url&amp;entry.374896580=",SUBSTITUTE(D1," ","+"),"&amp;entry.1779940712=",G6,"&amp;entry.885430358=",SUBSTITUTE(G8," ","+"),"&amp;entry.873760233=",SUBSTITUTE(G4," ",+""))</f>
        <v>https://docs.google.com/forms/d/e/1FAIpQLSdf85x8DVmY_szgqvlwBgOWcdJWLqJZI5IafMdygaNk-QcA8g/viewform?usp=pp_url&amp;entry.374896580=OP1322&amp;entry.1779940712=BALDE+PLAYERO+ROMANO&amp;entry.885430358=87&amp;entry.873760233=HT-320A</v>
      </c>
    </row>
    <row r="6" spans="2:9" ht="15" customHeight="1" x14ac:dyDescent="0.3">
      <c r="G6" s="46" t="str">
        <f>SUBSTITUTE(SUBSTITUTE(B7," ","+"),"#","%23")</f>
        <v>BALDE+PLAYERO+ROMANO</v>
      </c>
      <c r="I6" s="44"/>
    </row>
    <row r="7" spans="2:9" s="48" customFormat="1" ht="15" customHeight="1" x14ac:dyDescent="0.3">
      <c r="B7" s="47" t="s">
        <v>33</v>
      </c>
      <c r="D7" s="45"/>
      <c r="E7" s="45"/>
      <c r="F7" s="45"/>
      <c r="G7" s="45"/>
      <c r="H7" s="45"/>
      <c r="I7" s="49"/>
    </row>
    <row r="8" spans="2:9" s="2" customFormat="1" x14ac:dyDescent="0.3">
      <c r="B8" s="13" t="s">
        <v>5</v>
      </c>
      <c r="C8" s="14">
        <v>2.1864067966016991</v>
      </c>
      <c r="E8" s="13" t="s">
        <v>6</v>
      </c>
      <c r="F8" s="15"/>
      <c r="G8" s="16">
        <v>87</v>
      </c>
    </row>
    <row r="9" spans="2:9" s="2" customFormat="1" x14ac:dyDescent="0.3">
      <c r="B9" s="13" t="s">
        <v>7</v>
      </c>
      <c r="C9" s="17">
        <v>23</v>
      </c>
      <c r="E9" s="13" t="s">
        <v>8</v>
      </c>
      <c r="F9" s="15"/>
      <c r="G9" s="16">
        <v>176</v>
      </c>
    </row>
    <row r="10" spans="2:9" s="2" customFormat="1" x14ac:dyDescent="0.3">
      <c r="B10" s="13" t="s">
        <v>9</v>
      </c>
      <c r="C10" s="18">
        <v>2</v>
      </c>
      <c r="E10" s="13" t="s">
        <v>10</v>
      </c>
      <c r="F10" s="15"/>
      <c r="G10" s="19">
        <v>1.1363636363636364E-2</v>
      </c>
    </row>
    <row r="11" spans="2:9" s="2" customFormat="1" x14ac:dyDescent="0.3">
      <c r="B11" s="13" t="s">
        <v>11</v>
      </c>
      <c r="C11" s="20">
        <v>120</v>
      </c>
      <c r="E11" s="13" t="s">
        <v>12</v>
      </c>
      <c r="F11" s="15"/>
      <c r="G11" s="21" t="s">
        <v>34</v>
      </c>
    </row>
    <row r="12" spans="2:9" x14ac:dyDescent="0.3">
      <c r="B12" s="22"/>
      <c r="C12" s="22"/>
      <c r="G12" s="23"/>
      <c r="I12" s="44"/>
    </row>
    <row r="13" spans="2:9" x14ac:dyDescent="0.3">
      <c r="B13" s="9"/>
      <c r="C13" s="24"/>
      <c r="D13" s="24"/>
      <c r="E13" s="9"/>
      <c r="F13" s="9"/>
      <c r="G13" s="23"/>
      <c r="I13" s="44"/>
    </row>
    <row r="14" spans="2:9" x14ac:dyDescent="0.3">
      <c r="B14" s="25" t="s">
        <v>13</v>
      </c>
      <c r="C14" s="26" t="s">
        <v>14</v>
      </c>
      <c r="D14" s="26"/>
      <c r="E14" s="25" t="s">
        <v>15</v>
      </c>
      <c r="F14" s="25"/>
      <c r="G14" s="25" t="s">
        <v>16</v>
      </c>
      <c r="H14" s="25"/>
      <c r="I14" s="44"/>
    </row>
    <row r="15" spans="2:9" s="2" customFormat="1" x14ac:dyDescent="0.3">
      <c r="B15" s="50" t="s">
        <v>35</v>
      </c>
      <c r="C15" s="51">
        <v>176.98863636363637</v>
      </c>
      <c r="D15" s="51"/>
      <c r="E15" s="51">
        <v>2.0112345041322315</v>
      </c>
      <c r="F15" s="51"/>
      <c r="G15" s="52">
        <v>1017.1760710553815</v>
      </c>
      <c r="H15" s="27"/>
    </row>
    <row r="16" spans="2:9" s="2" customFormat="1" x14ac:dyDescent="0.3">
      <c r="B16" s="50" t="s">
        <v>36</v>
      </c>
      <c r="C16" s="51">
        <v>176.98863636363637</v>
      </c>
      <c r="D16" s="51"/>
      <c r="E16" s="51">
        <v>2.0112345041322315</v>
      </c>
      <c r="F16" s="51"/>
      <c r="G16" s="52">
        <v>1017.1760710553815</v>
      </c>
      <c r="H16" s="27"/>
    </row>
    <row r="17" spans="2:9" s="2" customFormat="1" x14ac:dyDescent="0.3">
      <c r="B17" s="50" t="s">
        <v>37</v>
      </c>
      <c r="C17" s="51">
        <v>176.98863636363637</v>
      </c>
      <c r="D17" s="51"/>
      <c r="E17" s="51">
        <v>2.0112345041322315</v>
      </c>
      <c r="F17" s="51"/>
      <c r="G17" s="52">
        <v>1017.1760710553815</v>
      </c>
      <c r="H17" s="27"/>
    </row>
    <row r="18" spans="2:9" s="2" customFormat="1" x14ac:dyDescent="0.3">
      <c r="B18" s="50" t="s">
        <v>38</v>
      </c>
      <c r="C18" s="51">
        <v>176.98863636363637</v>
      </c>
      <c r="D18" s="51"/>
      <c r="E18" s="51">
        <v>2.0112345041322315</v>
      </c>
      <c r="F18" s="51"/>
      <c r="G18" s="52">
        <v>1017.1760710553815</v>
      </c>
      <c r="H18" s="27"/>
    </row>
    <row r="19" spans="2:9" x14ac:dyDescent="0.3">
      <c r="B19" s="50" t="s">
        <v>39</v>
      </c>
      <c r="C19" s="51">
        <v>176.98863636363637</v>
      </c>
      <c r="D19" s="51"/>
      <c r="E19" s="51">
        <v>2.0112345041322315</v>
      </c>
      <c r="F19" s="51"/>
      <c r="G19" s="52">
        <v>1017.1760710553815</v>
      </c>
      <c r="H19" s="27"/>
      <c r="I19" s="44"/>
    </row>
    <row r="20" spans="2:9" x14ac:dyDescent="0.3">
      <c r="B20" s="50" t="s">
        <v>40</v>
      </c>
      <c r="C20" s="51">
        <v>176.98863636363637</v>
      </c>
      <c r="D20" s="51"/>
      <c r="E20" s="51">
        <v>2.0112345041322315</v>
      </c>
      <c r="F20" s="51"/>
      <c r="G20" s="52">
        <v>1017.1760710553815</v>
      </c>
      <c r="H20" s="27"/>
      <c r="I20" s="44"/>
    </row>
    <row r="21" spans="2:9" s="53" customFormat="1" x14ac:dyDescent="0.3">
      <c r="B21" s="28"/>
      <c r="C21" s="29">
        <f>SUM(C15:C20)</f>
        <v>1061.9318181818182</v>
      </c>
      <c r="D21" s="29"/>
      <c r="E21" s="29">
        <f>SUM(E15:E20)</f>
        <v>12.067407024793388</v>
      </c>
      <c r="F21" s="29"/>
      <c r="G21" s="29">
        <f>SUM(G15:G20)</f>
        <v>6103.0564263322894</v>
      </c>
      <c r="H21" s="29"/>
      <c r="I21" s="44"/>
    </row>
    <row r="22" spans="2:9" s="54" customFormat="1" x14ac:dyDescent="0.3">
      <c r="B22" s="2"/>
      <c r="C22" s="2"/>
      <c r="D22" s="2"/>
      <c r="E22" s="2"/>
      <c r="F22" s="2"/>
      <c r="G22" s="2"/>
      <c r="H22" s="2"/>
    </row>
    <row r="23" spans="2:9" x14ac:dyDescent="0.3">
      <c r="B23" s="30" t="s">
        <v>17</v>
      </c>
      <c r="C23" s="31"/>
      <c r="D23" s="31"/>
      <c r="E23" s="31"/>
      <c r="F23" s="31"/>
      <c r="G23" s="31"/>
      <c r="H23" s="31"/>
      <c r="I23" s="44"/>
    </row>
    <row r="24" spans="2:9" s="2" customFormat="1" x14ac:dyDescent="0.3">
      <c r="F24" s="8" t="s">
        <v>18</v>
      </c>
      <c r="G24" s="8"/>
    </row>
    <row r="25" spans="2:9" s="55" customFormat="1" x14ac:dyDescent="0.3">
      <c r="C25" s="56" t="str">
        <f>IF(D25=0,"","Virgen 1")</f>
        <v/>
      </c>
      <c r="D25" s="55">
        <v>0</v>
      </c>
      <c r="F25" s="57">
        <v>536.99961260330588</v>
      </c>
      <c r="G25" s="58"/>
      <c r="H25" s="59"/>
    </row>
    <row r="26" spans="2:9" s="55" customFormat="1" x14ac:dyDescent="0.3">
      <c r="C26" s="56" t="str">
        <f>IF(D26=0,"","Virgen 2")</f>
        <v/>
      </c>
      <c r="D26" s="55">
        <v>0</v>
      </c>
      <c r="F26" s="57">
        <v>0</v>
      </c>
      <c r="G26" s="58"/>
      <c r="H26" s="59"/>
    </row>
    <row r="27" spans="2:9" s="55" customFormat="1" x14ac:dyDescent="0.3">
      <c r="C27" s="56" t="str">
        <f>IF(D27=0,"","Segunda")</f>
        <v/>
      </c>
      <c r="D27" s="55">
        <v>0</v>
      </c>
      <c r="F27" s="60">
        <v>536.99961260330588</v>
      </c>
      <c r="G27" s="58"/>
      <c r="H27" s="59"/>
    </row>
    <row r="28" spans="2:9" s="55" customFormat="1" x14ac:dyDescent="0.3">
      <c r="F28" s="61">
        <f>SUM(F25:F27)</f>
        <v>1073.9992252066118</v>
      </c>
    </row>
    <row r="29" spans="2:9" x14ac:dyDescent="0.3">
      <c r="I29" s="44"/>
    </row>
    <row r="30" spans="2:9" x14ac:dyDescent="0.3">
      <c r="B30" s="32" t="s">
        <v>19</v>
      </c>
      <c r="C30" s="33"/>
      <c r="D30" s="34"/>
      <c r="F30" s="35"/>
      <c r="I30" s="44"/>
    </row>
    <row r="31" spans="2:9" x14ac:dyDescent="0.3">
      <c r="B31" s="36" t="s">
        <v>20</v>
      </c>
      <c r="C31" s="36" t="s">
        <v>21</v>
      </c>
      <c r="D31" s="36" t="s">
        <v>22</v>
      </c>
      <c r="E31" s="36" t="s">
        <v>23</v>
      </c>
      <c r="F31" s="36" t="s">
        <v>22</v>
      </c>
      <c r="G31" s="36" t="s">
        <v>24</v>
      </c>
      <c r="H31" s="36" t="s">
        <v>22</v>
      </c>
      <c r="I31" s="44"/>
    </row>
    <row r="32" spans="2:9" s="45" customFormat="1" x14ac:dyDescent="0.3">
      <c r="B32" s="62" t="s">
        <v>35</v>
      </c>
      <c r="C32" s="62" t="s">
        <v>41</v>
      </c>
      <c r="D32" s="62">
        <v>89.499935433884318</v>
      </c>
      <c r="E32" s="62" t="s">
        <v>31</v>
      </c>
      <c r="F32" s="62">
        <v>0</v>
      </c>
      <c r="G32" s="62" t="s">
        <v>42</v>
      </c>
      <c r="H32" s="62">
        <v>89.499935433884318</v>
      </c>
    </row>
    <row r="33" spans="2:9" s="45" customFormat="1" x14ac:dyDescent="0.3">
      <c r="B33" s="62" t="s">
        <v>36</v>
      </c>
      <c r="C33" s="62" t="s">
        <v>41</v>
      </c>
      <c r="D33" s="62">
        <v>89.499935433884318</v>
      </c>
      <c r="E33" s="62" t="s">
        <v>31</v>
      </c>
      <c r="F33" s="62">
        <v>0</v>
      </c>
      <c r="G33" s="62" t="s">
        <v>42</v>
      </c>
      <c r="H33" s="62">
        <v>89.499935433884318</v>
      </c>
    </row>
    <row r="34" spans="2:9" s="45" customFormat="1" x14ac:dyDescent="0.3">
      <c r="B34" s="62" t="s">
        <v>37</v>
      </c>
      <c r="C34" s="62" t="s">
        <v>41</v>
      </c>
      <c r="D34" s="62">
        <v>89.499935433884318</v>
      </c>
      <c r="E34" s="62" t="s">
        <v>31</v>
      </c>
      <c r="F34" s="62">
        <v>0</v>
      </c>
      <c r="G34" s="62" t="s">
        <v>42</v>
      </c>
      <c r="H34" s="62">
        <v>89.499935433884318</v>
      </c>
    </row>
    <row r="35" spans="2:9" s="45" customFormat="1" x14ac:dyDescent="0.3">
      <c r="B35" s="62" t="s">
        <v>38</v>
      </c>
      <c r="C35" s="62" t="s">
        <v>41</v>
      </c>
      <c r="D35" s="62">
        <v>89.499935433884318</v>
      </c>
      <c r="E35" s="62" t="s">
        <v>31</v>
      </c>
      <c r="F35" s="62">
        <v>0</v>
      </c>
      <c r="G35" s="62" t="s">
        <v>42</v>
      </c>
      <c r="H35" s="62">
        <v>89.499935433884318</v>
      </c>
    </row>
    <row r="36" spans="2:9" s="45" customFormat="1" x14ac:dyDescent="0.3">
      <c r="B36" s="62" t="s">
        <v>39</v>
      </c>
      <c r="C36" s="62" t="s">
        <v>41</v>
      </c>
      <c r="D36" s="62">
        <v>89.499935433884318</v>
      </c>
      <c r="E36" s="62" t="s">
        <v>31</v>
      </c>
      <c r="F36" s="62">
        <v>0</v>
      </c>
      <c r="G36" s="62" t="s">
        <v>42</v>
      </c>
      <c r="H36" s="62">
        <v>89.499935433884318</v>
      </c>
    </row>
    <row r="37" spans="2:9" s="45" customFormat="1" x14ac:dyDescent="0.3">
      <c r="B37" s="62" t="s">
        <v>40</v>
      </c>
      <c r="C37" s="62" t="s">
        <v>41</v>
      </c>
      <c r="D37" s="62">
        <v>89.499935433884318</v>
      </c>
      <c r="E37" s="62" t="s">
        <v>31</v>
      </c>
      <c r="F37" s="62">
        <v>0</v>
      </c>
      <c r="G37" s="62" t="s">
        <v>42</v>
      </c>
      <c r="H37" s="62">
        <v>89.499935433884318</v>
      </c>
    </row>
    <row r="38" spans="2:9" s="64" customFormat="1" x14ac:dyDescent="0.3">
      <c r="B38" s="37"/>
      <c r="C38" s="37"/>
      <c r="D38" s="38">
        <f>SUM(D32:D37)</f>
        <v>536.99961260330588</v>
      </c>
      <c r="E38" s="38"/>
      <c r="F38" s="37">
        <f>SUM(F32:F37)</f>
        <v>0</v>
      </c>
      <c r="G38" s="37"/>
      <c r="H38" s="39">
        <f>SUM(H32:H37)</f>
        <v>536.99961260330588</v>
      </c>
      <c r="I38" s="63"/>
    </row>
    <row r="39" spans="2:9" x14ac:dyDescent="0.3">
      <c r="D39" s="35"/>
      <c r="F39" s="35"/>
      <c r="I39" s="44"/>
    </row>
    <row r="40" spans="2:9" x14ac:dyDescent="0.3">
      <c r="B40" s="40" t="s">
        <v>25</v>
      </c>
      <c r="C40" s="41" t="s">
        <v>26</v>
      </c>
      <c r="D40" s="31"/>
      <c r="E40" s="31"/>
      <c r="F40" s="31"/>
      <c r="G40" s="31"/>
      <c r="H40" s="31"/>
      <c r="I40" s="44"/>
    </row>
    <row r="41" spans="2:9" s="48" customFormat="1" x14ac:dyDescent="0.3">
      <c r="B41" s="45"/>
      <c r="C41" s="65" t="s">
        <v>35</v>
      </c>
      <c r="D41" s="65" t="s">
        <v>27</v>
      </c>
      <c r="E41" s="65" t="s">
        <v>36</v>
      </c>
      <c r="F41" s="65" t="s">
        <v>27</v>
      </c>
      <c r="G41" s="65" t="s">
        <v>37</v>
      </c>
      <c r="H41" s="65" t="s">
        <v>27</v>
      </c>
      <c r="I41" s="49"/>
    </row>
    <row r="42" spans="2:9" s="45" customFormat="1" x14ac:dyDescent="0.3">
      <c r="C42" s="66" t="s">
        <v>43</v>
      </c>
      <c r="D42" s="62">
        <v>60</v>
      </c>
      <c r="E42" s="66" t="s">
        <v>44</v>
      </c>
      <c r="F42" s="62">
        <v>120</v>
      </c>
      <c r="G42" s="66" t="s">
        <v>45</v>
      </c>
      <c r="H42" s="62">
        <v>80</v>
      </c>
    </row>
    <row r="43" spans="2:9" s="45" customFormat="1" x14ac:dyDescent="0.3">
      <c r="C43" s="66" t="s">
        <v>46</v>
      </c>
      <c r="D43" s="62">
        <v>10</v>
      </c>
      <c r="E43" s="66" t="s">
        <v>46</v>
      </c>
      <c r="F43" s="62">
        <v>10</v>
      </c>
      <c r="G43" s="66" t="s">
        <v>46</v>
      </c>
      <c r="H43" s="62">
        <v>10</v>
      </c>
    </row>
    <row r="44" spans="2:9" s="45" customFormat="1" x14ac:dyDescent="0.3">
      <c r="C44" s="66">
        <v>0</v>
      </c>
      <c r="D44" s="62">
        <v>0</v>
      </c>
      <c r="E44" s="66">
        <v>0</v>
      </c>
      <c r="F44" s="62">
        <v>0</v>
      </c>
      <c r="G44" s="66">
        <v>0</v>
      </c>
      <c r="H44" s="62">
        <v>0</v>
      </c>
    </row>
    <row r="45" spans="2:9" s="45" customFormat="1" x14ac:dyDescent="0.3">
      <c r="C45" s="66"/>
      <c r="D45" s="62"/>
      <c r="E45" s="66"/>
      <c r="F45" s="62"/>
      <c r="G45" s="66"/>
      <c r="H45" s="62"/>
    </row>
    <row r="46" spans="2:9" s="45" customFormat="1" x14ac:dyDescent="0.3">
      <c r="C46" s="66"/>
      <c r="D46" s="62"/>
      <c r="E46" s="66"/>
      <c r="F46" s="62"/>
      <c r="G46" s="66"/>
      <c r="H46" s="62"/>
    </row>
    <row r="47" spans="2:9" s="45" customFormat="1" x14ac:dyDescent="0.3">
      <c r="C47" s="66"/>
      <c r="D47" s="62"/>
      <c r="E47" s="66"/>
      <c r="F47" s="62"/>
      <c r="G47" s="66"/>
      <c r="H47" s="62"/>
    </row>
    <row r="48" spans="2:9" s="45" customFormat="1" x14ac:dyDescent="0.3">
      <c r="C48" s="67">
        <v>0</v>
      </c>
      <c r="D48" s="62">
        <v>0</v>
      </c>
      <c r="E48" s="66">
        <v>0</v>
      </c>
      <c r="F48" s="62">
        <v>0</v>
      </c>
      <c r="G48" s="66">
        <v>0</v>
      </c>
      <c r="H48" s="62">
        <v>0</v>
      </c>
    </row>
    <row r="49" spans="2:9" s="68" customFormat="1" x14ac:dyDescent="0.3">
      <c r="B49" s="45"/>
      <c r="C49" s="65" t="s">
        <v>38</v>
      </c>
      <c r="D49" s="65"/>
      <c r="E49" s="65" t="s">
        <v>39</v>
      </c>
      <c r="F49" s="65"/>
      <c r="G49" s="65" t="s">
        <v>40</v>
      </c>
      <c r="H49" s="65"/>
      <c r="I49" s="49"/>
    </row>
    <row r="50" spans="2:9" s="45" customFormat="1" x14ac:dyDescent="0.3">
      <c r="C50" s="66" t="s">
        <v>47</v>
      </c>
      <c r="D50" s="62">
        <v>80</v>
      </c>
      <c r="E50" s="66" t="s">
        <v>48</v>
      </c>
      <c r="F50" s="62">
        <v>40</v>
      </c>
      <c r="G50" s="66" t="s">
        <v>46</v>
      </c>
      <c r="H50" s="62">
        <v>10</v>
      </c>
    </row>
    <row r="51" spans="2:9" s="45" customFormat="1" x14ac:dyDescent="0.3">
      <c r="C51" s="66" t="s">
        <v>46</v>
      </c>
      <c r="D51" s="62">
        <v>10</v>
      </c>
      <c r="E51" s="66" t="s">
        <v>43</v>
      </c>
      <c r="F51" s="62">
        <v>10</v>
      </c>
      <c r="G51" s="66" t="s">
        <v>47</v>
      </c>
      <c r="H51" s="62">
        <v>80</v>
      </c>
    </row>
    <row r="52" spans="2:9" s="45" customFormat="1" x14ac:dyDescent="0.3">
      <c r="C52" s="66">
        <v>0</v>
      </c>
      <c r="D52" s="62">
        <v>0</v>
      </c>
      <c r="E52" s="66" t="s">
        <v>46</v>
      </c>
      <c r="F52" s="62">
        <v>10</v>
      </c>
      <c r="G52" s="66" t="s">
        <v>44</v>
      </c>
      <c r="H52" s="62">
        <v>84</v>
      </c>
    </row>
    <row r="53" spans="2:9" s="45" customFormat="1" x14ac:dyDescent="0.3">
      <c r="C53" s="66"/>
      <c r="D53" s="62"/>
      <c r="E53" s="66"/>
      <c r="F53" s="62"/>
      <c r="G53" s="66"/>
      <c r="H53" s="62"/>
    </row>
    <row r="54" spans="2:9" s="45" customFormat="1" x14ac:dyDescent="0.3">
      <c r="C54" s="66"/>
      <c r="D54" s="62"/>
      <c r="E54" s="66"/>
      <c r="F54" s="62"/>
      <c r="G54" s="66"/>
      <c r="H54" s="62"/>
    </row>
    <row r="55" spans="2:9" s="45" customFormat="1" x14ac:dyDescent="0.3">
      <c r="C55" s="66"/>
      <c r="D55" s="62"/>
      <c r="E55" s="66"/>
      <c r="F55" s="62"/>
      <c r="G55" s="66"/>
      <c r="H55" s="62"/>
    </row>
    <row r="56" spans="2:9" s="45" customFormat="1" x14ac:dyDescent="0.3">
      <c r="C56" s="66">
        <v>0</v>
      </c>
      <c r="D56" s="62">
        <v>0</v>
      </c>
      <c r="E56" s="66">
        <v>0</v>
      </c>
      <c r="F56" s="62">
        <v>0</v>
      </c>
      <c r="G56" s="66">
        <v>0</v>
      </c>
      <c r="H56" s="62">
        <v>0</v>
      </c>
    </row>
    <row r="57" spans="2:9" x14ac:dyDescent="0.3">
      <c r="B57" s="31"/>
      <c r="C57" s="31"/>
      <c r="D57" s="31"/>
      <c r="E57" s="42"/>
      <c r="F57" s="42"/>
      <c r="G57" s="31"/>
      <c r="H57" s="31"/>
      <c r="I57" s="44"/>
    </row>
  </sheetData>
  <pageMargins left="0.25" right="0.25" top="0.33" bottom="0.75" header="0.3" footer="0.3"/>
  <pageSetup paperSize="9" scale="26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84E171788B4744A133AFE555EE15AA" ma:contentTypeVersion="8" ma:contentTypeDescription="Crear nuevo documento." ma:contentTypeScope="" ma:versionID="591657be05b442f6af7a65644eccaeb0">
  <xsd:schema xmlns:xsd="http://www.w3.org/2001/XMLSchema" xmlns:xs="http://www.w3.org/2001/XMLSchema" xmlns:p="http://schemas.microsoft.com/office/2006/metadata/properties" xmlns:ns3="ce6d359a-0170-4728-981d-defcd12ab3cb" targetNamespace="http://schemas.microsoft.com/office/2006/metadata/properties" ma:root="true" ma:fieldsID="e49b783a54dbd9115abcc704373bed0d" ns3:_="">
    <xsd:import namespace="ce6d359a-0170-4728-981d-defcd12ab3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d359a-0170-4728-981d-defcd12ab3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6d359a-0170-4728-981d-defcd12ab3cb" xsi:nil="true"/>
  </documentManagement>
</p:properties>
</file>

<file path=customXml/itemProps1.xml><?xml version="1.0" encoding="utf-8"?>
<ds:datastoreItem xmlns:ds="http://schemas.openxmlformats.org/officeDocument/2006/customXml" ds:itemID="{49E9364D-A923-4F9D-B5B1-75F49CFC76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6d359a-0170-4728-981d-defcd12ab3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435D33-E8B5-4614-B0DA-965DE01B86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FD9D6C-1948-4AC5-9FF7-FEE1432879E7}">
  <ds:schemaRefs>
    <ds:schemaRef ds:uri="http://schemas.microsoft.com/office/2006/metadata/properties"/>
    <ds:schemaRef ds:uri="ce6d359a-0170-4728-981d-defcd12ab3cb"/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IMPRIMIR 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Jose Sulca Infante</dc:creator>
  <cp:lastModifiedBy>Esteban Jose Sulca Infante</cp:lastModifiedBy>
  <dcterms:created xsi:type="dcterms:W3CDTF">2025-12-19T16:22:11Z</dcterms:created>
  <dcterms:modified xsi:type="dcterms:W3CDTF">2025-12-19T16:36:37Z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0x0101002D84E171788B4744A133AFE555EE15AA</vt:lpwstr>
  </property>
</Properties>
</file>