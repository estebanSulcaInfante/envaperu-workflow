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steb\envaperu-workflow\app\templates\excel\RegistroDiarioProduccion\"/>
    </mc:Choice>
  </mc:AlternateContent>
  <xr:revisionPtr revIDLastSave="0" documentId="13_ncr:1_{6D058785-3568-4AFA-8BCD-DC78DEAB7EE4}" xr6:coauthVersionLast="47" xr6:coauthVersionMax="47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SKU PIEZAS" sheetId="109" r:id="rId1"/>
    <sheet name="DATOS" sheetId="45" r:id="rId2"/>
    <sheet name="PRODUCCION" sheetId="2" r:id="rId3"/>
    <sheet name="RESUMEN DIARIO" sheetId="13" r:id="rId4"/>
    <sheet name="Hoja10" sheetId="54" state="hidden" r:id="rId5"/>
    <sheet name="Hoja12" sheetId="56" state="hidden" r:id="rId6"/>
    <sheet name="Hoja14" sheetId="58" state="hidden" r:id="rId7"/>
    <sheet name="Hoja15" sheetId="59" state="hidden" r:id="rId8"/>
    <sheet name="Hoja17" sheetId="61" state="hidden" r:id="rId9"/>
    <sheet name="Hoja18" sheetId="62" state="hidden" r:id="rId10"/>
    <sheet name="Hoja19" sheetId="63" state="hidden" r:id="rId11"/>
    <sheet name="Hoja21" sheetId="66" state="hidden" r:id="rId12"/>
    <sheet name="Hoja22" sheetId="67" state="hidden" r:id="rId13"/>
    <sheet name="Hoja23" sheetId="68" state="hidden" r:id="rId14"/>
    <sheet name="Hoja24" sheetId="69" state="hidden" r:id="rId15"/>
    <sheet name="Hoja20" sheetId="71" state="hidden" r:id="rId16"/>
    <sheet name="Hoja31" sheetId="78" state="hidden" r:id="rId17"/>
    <sheet name="Hoja32" sheetId="79" state="hidden" r:id="rId18"/>
    <sheet name="Hoja33" sheetId="80" state="hidden" r:id="rId19"/>
    <sheet name="Hoja34" sheetId="81" state="hidden" r:id="rId20"/>
    <sheet name="Hoja35" sheetId="82" state="hidden" r:id="rId21"/>
    <sheet name="Hoja36" sheetId="83" state="hidden" r:id="rId22"/>
    <sheet name="Hoja47" sheetId="97" state="hidden" r:id="rId23"/>
    <sheet name="Hoja48" sheetId="98" state="hidden" r:id="rId24"/>
    <sheet name="Hoja49" sheetId="99" state="hidden" r:id="rId25"/>
    <sheet name="Hoja50" sheetId="100" state="hidden" r:id="rId26"/>
    <sheet name="Hoja51" sheetId="101" state="hidden" r:id="rId27"/>
    <sheet name="Hoja52" sheetId="102" state="hidden" r:id="rId28"/>
    <sheet name="Hoja55" sheetId="105" state="hidden" r:id="rId29"/>
    <sheet name="Hoja56" sheetId="106" state="hidden" r:id="rId30"/>
    <sheet name="Hoja57" sheetId="107" state="hidden" r:id="rId31"/>
    <sheet name="Hoja58" sheetId="108" state="hidden" r:id="rId32"/>
    <sheet name="&gt;&gt;" sheetId="10" r:id="rId33"/>
    <sheet name="Hoja1" sheetId="14" state="hidden" r:id="rId34"/>
  </sheets>
  <definedNames>
    <definedName name="_xlnm._FilterDatabase" localSheetId="1" hidden="1">DATOS!$B$1:$O$175</definedName>
    <definedName name="_xlnm._FilterDatabase" localSheetId="2" hidden="1">PRODUCCION!$A$1:$AK$35</definedName>
    <definedName name="_xlnm._FilterDatabase" localSheetId="0" hidden="1">'SKU PIEZAS'!$A$1:$AA$1011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pivotCaches>
    <pivotCache cacheId="20" r:id="rId35"/>
    <pivotCache cacheId="22" r:id="rId3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2" l="1"/>
  <c r="Y3" i="2"/>
  <c r="W3" i="2" s="1"/>
  <c r="AA3" i="2"/>
  <c r="AB3" i="2"/>
  <c r="AC3" i="2"/>
  <c r="AD3" i="2"/>
  <c r="AE3" i="2" s="1"/>
  <c r="X4" i="2"/>
  <c r="Y4" i="2"/>
  <c r="AA4" i="2"/>
  <c r="AB4" i="2"/>
  <c r="AC4" i="2"/>
  <c r="AD4" i="2"/>
  <c r="AE4" i="2" s="1"/>
  <c r="X5" i="2"/>
  <c r="Y5" i="2"/>
  <c r="Z5" i="2" s="1"/>
  <c r="AA5" i="2"/>
  <c r="AB5" i="2"/>
  <c r="AC5" i="2"/>
  <c r="AD5" i="2"/>
  <c r="AE5" i="2" s="1"/>
  <c r="X6" i="2"/>
  <c r="Y6" i="2"/>
  <c r="Z6" i="2" s="1"/>
  <c r="AA6" i="2"/>
  <c r="AB6" i="2"/>
  <c r="AC6" i="2"/>
  <c r="AD6" i="2"/>
  <c r="AE6" i="2" s="1"/>
  <c r="X7" i="2"/>
  <c r="Y7" i="2"/>
  <c r="W7" i="2" s="1"/>
  <c r="AA7" i="2"/>
  <c r="AB7" i="2"/>
  <c r="AC7" i="2"/>
  <c r="AD7" i="2"/>
  <c r="AE7" i="2" s="1"/>
  <c r="X8" i="2"/>
  <c r="Y8" i="2"/>
  <c r="Z8" i="2" s="1"/>
  <c r="AA8" i="2"/>
  <c r="AB8" i="2"/>
  <c r="AC8" i="2"/>
  <c r="AD8" i="2"/>
  <c r="AE8" i="2" s="1"/>
  <c r="X9" i="2"/>
  <c r="Y9" i="2"/>
  <c r="W9" i="2" s="1"/>
  <c r="AA9" i="2"/>
  <c r="AB9" i="2"/>
  <c r="AC9" i="2"/>
  <c r="AD9" i="2"/>
  <c r="AE9" i="2" s="1"/>
  <c r="X10" i="2"/>
  <c r="Y10" i="2"/>
  <c r="W10" i="2" s="1"/>
  <c r="AA10" i="2"/>
  <c r="AB10" i="2"/>
  <c r="AC10" i="2"/>
  <c r="AD10" i="2"/>
  <c r="AE10" i="2" s="1"/>
  <c r="X11" i="2"/>
  <c r="Y11" i="2"/>
  <c r="W11" i="2" s="1"/>
  <c r="AA11" i="2"/>
  <c r="AB11" i="2"/>
  <c r="AC11" i="2"/>
  <c r="AD11" i="2"/>
  <c r="AE11" i="2" s="1"/>
  <c r="X12" i="2"/>
  <c r="Y12" i="2"/>
  <c r="AA12" i="2"/>
  <c r="AB12" i="2"/>
  <c r="AC12" i="2"/>
  <c r="AD12" i="2"/>
  <c r="AE12" i="2" s="1"/>
  <c r="X13" i="2"/>
  <c r="Y13" i="2"/>
  <c r="Z13" i="2" s="1"/>
  <c r="AA13" i="2"/>
  <c r="AB13" i="2"/>
  <c r="AC13" i="2"/>
  <c r="AD13" i="2"/>
  <c r="AE13" i="2" s="1"/>
  <c r="X14" i="2"/>
  <c r="Y14" i="2"/>
  <c r="Z14" i="2" s="1"/>
  <c r="AA14" i="2"/>
  <c r="AB14" i="2"/>
  <c r="AC14" i="2"/>
  <c r="AD14" i="2"/>
  <c r="AE14" i="2" s="1"/>
  <c r="X15" i="2"/>
  <c r="Y15" i="2"/>
  <c r="W15" i="2" s="1"/>
  <c r="AA15" i="2"/>
  <c r="AB15" i="2"/>
  <c r="AC15" i="2"/>
  <c r="AD15" i="2"/>
  <c r="AE15" i="2" s="1"/>
  <c r="X16" i="2"/>
  <c r="Y16" i="2"/>
  <c r="W16" i="2" s="1"/>
  <c r="AA16" i="2"/>
  <c r="AB16" i="2"/>
  <c r="AC16" i="2"/>
  <c r="AD16" i="2"/>
  <c r="AE16" i="2" s="1"/>
  <c r="X17" i="2"/>
  <c r="Y17" i="2"/>
  <c r="Z17" i="2" s="1"/>
  <c r="AA17" i="2"/>
  <c r="AB17" i="2"/>
  <c r="AC17" i="2"/>
  <c r="AD17" i="2"/>
  <c r="AE17" i="2" s="1"/>
  <c r="X18" i="2"/>
  <c r="Y18" i="2"/>
  <c r="W18" i="2" s="1"/>
  <c r="AA18" i="2"/>
  <c r="AB18" i="2"/>
  <c r="AC18" i="2"/>
  <c r="AD18" i="2"/>
  <c r="AE18" i="2" s="1"/>
  <c r="X19" i="2"/>
  <c r="Y19" i="2"/>
  <c r="W19" i="2" s="1"/>
  <c r="AA19" i="2"/>
  <c r="AB19" i="2"/>
  <c r="AC19" i="2"/>
  <c r="AD19" i="2"/>
  <c r="AE19" i="2" s="1"/>
  <c r="X20" i="2"/>
  <c r="Y20" i="2"/>
  <c r="AA20" i="2"/>
  <c r="AB20" i="2"/>
  <c r="AC20" i="2"/>
  <c r="AD20" i="2"/>
  <c r="AE20" i="2" s="1"/>
  <c r="X21" i="2"/>
  <c r="Y21" i="2"/>
  <c r="AA21" i="2"/>
  <c r="AB21" i="2"/>
  <c r="AC21" i="2"/>
  <c r="AD21" i="2"/>
  <c r="AE21" i="2" s="1"/>
  <c r="X22" i="2"/>
  <c r="Y22" i="2"/>
  <c r="W22" i="2" s="1"/>
  <c r="AA22" i="2"/>
  <c r="AB22" i="2"/>
  <c r="AC22" i="2"/>
  <c r="AD22" i="2"/>
  <c r="AE22" i="2" s="1"/>
  <c r="X23" i="2"/>
  <c r="Y23" i="2"/>
  <c r="Z23" i="2" s="1"/>
  <c r="AA23" i="2"/>
  <c r="AB23" i="2"/>
  <c r="AC23" i="2"/>
  <c r="AD23" i="2"/>
  <c r="AE23" i="2" s="1"/>
  <c r="X24" i="2"/>
  <c r="Y24" i="2"/>
  <c r="Z24" i="2" s="1"/>
  <c r="AA24" i="2"/>
  <c r="AB24" i="2"/>
  <c r="AC24" i="2"/>
  <c r="AD24" i="2"/>
  <c r="AE24" i="2" s="1"/>
  <c r="X25" i="2"/>
  <c r="Y25" i="2"/>
  <c r="Z25" i="2" s="1"/>
  <c r="AA25" i="2"/>
  <c r="AB25" i="2"/>
  <c r="AC25" i="2"/>
  <c r="AD25" i="2"/>
  <c r="AE25" i="2" s="1"/>
  <c r="X26" i="2"/>
  <c r="Y26" i="2"/>
  <c r="Z26" i="2" s="1"/>
  <c r="AA26" i="2"/>
  <c r="AB26" i="2"/>
  <c r="AC26" i="2"/>
  <c r="AD26" i="2"/>
  <c r="AE26" i="2" s="1"/>
  <c r="X27" i="2"/>
  <c r="Y27" i="2"/>
  <c r="W27" i="2" s="1"/>
  <c r="AA27" i="2"/>
  <c r="AB27" i="2"/>
  <c r="AC27" i="2"/>
  <c r="AD27" i="2"/>
  <c r="AE27" i="2" s="1"/>
  <c r="X28" i="2"/>
  <c r="Y28" i="2"/>
  <c r="AA28" i="2"/>
  <c r="AB28" i="2"/>
  <c r="AC28" i="2"/>
  <c r="AD28" i="2"/>
  <c r="AE28" i="2" s="1"/>
  <c r="X29" i="2"/>
  <c r="Y29" i="2"/>
  <c r="Z29" i="2" s="1"/>
  <c r="AA29" i="2"/>
  <c r="AB29" i="2"/>
  <c r="AC29" i="2"/>
  <c r="AD29" i="2"/>
  <c r="AE29" i="2" s="1"/>
  <c r="X30" i="2"/>
  <c r="Y30" i="2"/>
  <c r="Z30" i="2" s="1"/>
  <c r="AA30" i="2"/>
  <c r="AB30" i="2"/>
  <c r="AC30" i="2"/>
  <c r="AD30" i="2"/>
  <c r="AE30" i="2" s="1"/>
  <c r="X31" i="2"/>
  <c r="Y31" i="2"/>
  <c r="W31" i="2" s="1"/>
  <c r="AA31" i="2"/>
  <c r="AB31" i="2"/>
  <c r="AC31" i="2"/>
  <c r="AD31" i="2"/>
  <c r="AE31" i="2" s="1"/>
  <c r="X32" i="2"/>
  <c r="Y32" i="2"/>
  <c r="W32" i="2" s="1"/>
  <c r="AA32" i="2"/>
  <c r="AB32" i="2"/>
  <c r="AC32" i="2"/>
  <c r="AD32" i="2"/>
  <c r="AE32" i="2" s="1"/>
  <c r="X33" i="2"/>
  <c r="Y33" i="2"/>
  <c r="Z33" i="2" s="1"/>
  <c r="AA33" i="2"/>
  <c r="AB33" i="2"/>
  <c r="AC33" i="2"/>
  <c r="AD33" i="2"/>
  <c r="AE33" i="2" s="1"/>
  <c r="X34" i="2"/>
  <c r="Y34" i="2"/>
  <c r="Z34" i="2" s="1"/>
  <c r="AA34" i="2"/>
  <c r="AB34" i="2"/>
  <c r="AC34" i="2"/>
  <c r="AD34" i="2"/>
  <c r="AE34" i="2" s="1"/>
  <c r="X35" i="2"/>
  <c r="Y35" i="2"/>
  <c r="W35" i="2" s="1"/>
  <c r="AA35" i="2"/>
  <c r="AB35" i="2"/>
  <c r="AC35" i="2"/>
  <c r="AD35" i="2"/>
  <c r="AE35" i="2" s="1"/>
  <c r="Z22" i="2" l="1"/>
  <c r="Z21" i="2"/>
  <c r="W21" i="2"/>
  <c r="Z10" i="2"/>
  <c r="W6" i="2"/>
  <c r="W5" i="2"/>
  <c r="W34" i="2"/>
  <c r="W30" i="2"/>
  <c r="W26" i="2"/>
  <c r="W23" i="2"/>
  <c r="W14" i="2"/>
  <c r="W8" i="2"/>
  <c r="Z7" i="2"/>
  <c r="Z31" i="2"/>
  <c r="Z18" i="2"/>
  <c r="Z15" i="2"/>
  <c r="W29" i="2"/>
  <c r="W13" i="2"/>
  <c r="Z9" i="2"/>
  <c r="W24" i="2"/>
  <c r="Z20" i="2"/>
  <c r="W20" i="2"/>
  <c r="Z4" i="2"/>
  <c r="W4" i="2"/>
  <c r="Z28" i="2"/>
  <c r="W28" i="2"/>
  <c r="Z12" i="2"/>
  <c r="W12" i="2"/>
  <c r="W33" i="2"/>
  <c r="W25" i="2"/>
  <c r="W17" i="2"/>
  <c r="Z32" i="2"/>
  <c r="Z16" i="2"/>
  <c r="Z35" i="2"/>
  <c r="Z27" i="2"/>
  <c r="Z19" i="2"/>
  <c r="Z11" i="2"/>
  <c r="Z3" i="2"/>
  <c r="AD2" i="2" l="1"/>
  <c r="Y2" i="2" l="1"/>
  <c r="Z2" i="2" l="1"/>
  <c r="AA2" i="2"/>
  <c r="X2" i="2" s="1"/>
  <c r="AB2" i="2"/>
  <c r="AC2" i="2"/>
  <c r="AE2" i="2"/>
  <c r="W2" i="2" l="1"/>
  <c r="T1011" i="109" l="1"/>
  <c r="S1011" i="109"/>
  <c r="R1011" i="109"/>
  <c r="T1010" i="109"/>
  <c r="S1010" i="109"/>
  <c r="R1010" i="109"/>
  <c r="T1009" i="109"/>
  <c r="S1009" i="109"/>
  <c r="R1009" i="109"/>
  <c r="T1008" i="109"/>
  <c r="S1008" i="109"/>
  <c r="R1008" i="109"/>
  <c r="T1007" i="109"/>
  <c r="S1007" i="109"/>
  <c r="R1007" i="109"/>
  <c r="T1006" i="109"/>
  <c r="S1006" i="109"/>
  <c r="R1006" i="109"/>
  <c r="S1003" i="109"/>
  <c r="S1004" i="109"/>
  <c r="S1005" i="109"/>
  <c r="R1005" i="109"/>
  <c r="R1004" i="109"/>
  <c r="R1003" i="109"/>
  <c r="S1002" i="109"/>
  <c r="R1002" i="109"/>
  <c r="R1000" i="109"/>
  <c r="T1001" i="109"/>
  <c r="S1001" i="109"/>
  <c r="R1001" i="109"/>
  <c r="T1000" i="109"/>
  <c r="S1000" i="109"/>
  <c r="R135" i="109"/>
  <c r="T161" i="109"/>
  <c r="T999" i="109"/>
  <c r="R999" i="109"/>
  <c r="R998" i="109"/>
  <c r="R872" i="109"/>
  <c r="R22" i="109"/>
  <c r="S22" i="109"/>
  <c r="T22" i="109"/>
  <c r="R866" i="109" l="1"/>
  <c r="R867" i="109"/>
  <c r="R868" i="109"/>
  <c r="R869" i="109"/>
  <c r="R870" i="109"/>
  <c r="R871" i="109"/>
  <c r="R865" i="109"/>
  <c r="R859" i="109"/>
  <c r="R860" i="109"/>
  <c r="R861" i="109"/>
  <c r="R862" i="109"/>
  <c r="R863" i="109"/>
  <c r="R864" i="109"/>
  <c r="S853" i="109"/>
  <c r="S854" i="109"/>
  <c r="S855" i="109"/>
  <c r="S856" i="109"/>
  <c r="S857" i="109"/>
  <c r="S858" i="109"/>
  <c r="R852" i="109"/>
  <c r="R853" i="109"/>
  <c r="R854" i="109"/>
  <c r="R855" i="109"/>
  <c r="R856" i="109"/>
  <c r="R857" i="109"/>
  <c r="R858" i="109"/>
  <c r="S852" i="109" l="1"/>
  <c r="R6" i="109" l="1"/>
  <c r="R834" i="109"/>
  <c r="S834" i="109"/>
  <c r="R835" i="109"/>
  <c r="S835" i="109"/>
  <c r="R836" i="109"/>
  <c r="S836" i="109"/>
  <c r="R837" i="109"/>
  <c r="S837" i="109"/>
  <c r="R838" i="109"/>
  <c r="S838" i="109"/>
  <c r="R839" i="109"/>
  <c r="S839" i="109"/>
  <c r="R840" i="109"/>
  <c r="S840" i="109"/>
  <c r="R841" i="109"/>
  <c r="S841" i="109"/>
  <c r="R842" i="109"/>
  <c r="S842" i="109"/>
  <c r="R843" i="109"/>
  <c r="S843" i="109"/>
  <c r="R844" i="109"/>
  <c r="S844" i="109"/>
  <c r="R845" i="109"/>
  <c r="S845" i="109"/>
  <c r="R846" i="109"/>
  <c r="S846" i="109"/>
  <c r="R847" i="109"/>
  <c r="S847" i="109"/>
  <c r="R848" i="109"/>
  <c r="S848" i="109"/>
  <c r="R849" i="109"/>
  <c r="S849" i="109"/>
  <c r="R850" i="109"/>
  <c r="S850" i="109"/>
  <c r="R851" i="109"/>
  <c r="S851" i="109"/>
  <c r="R832" i="109"/>
  <c r="S832" i="109"/>
  <c r="R833" i="109"/>
  <c r="S833" i="109"/>
  <c r="S819" i="109"/>
  <c r="S820" i="109"/>
  <c r="T820" i="109"/>
  <c r="S821" i="109"/>
  <c r="T821" i="109"/>
  <c r="S822" i="109"/>
  <c r="T822" i="109"/>
  <c r="S823" i="109"/>
  <c r="T823" i="109"/>
  <c r="S824" i="109"/>
  <c r="T824" i="109"/>
  <c r="S825" i="109"/>
  <c r="T825" i="109"/>
  <c r="S826" i="109"/>
  <c r="T826" i="109"/>
  <c r="S3" i="109"/>
  <c r="S4" i="109"/>
  <c r="S5" i="109"/>
  <c r="S6" i="109"/>
  <c r="T6" i="109"/>
  <c r="S7" i="109"/>
  <c r="T7" i="109"/>
  <c r="S8" i="109"/>
  <c r="T8" i="109"/>
  <c r="S9" i="109"/>
  <c r="T9" i="109"/>
  <c r="S797" i="109"/>
  <c r="T797" i="109"/>
  <c r="S798" i="109"/>
  <c r="T798" i="109"/>
  <c r="S799" i="109"/>
  <c r="T799" i="109"/>
  <c r="S800" i="109"/>
  <c r="T800" i="109"/>
  <c r="S801" i="109"/>
  <c r="T801" i="109"/>
  <c r="S802" i="109"/>
  <c r="T802" i="109"/>
  <c r="S803" i="109"/>
  <c r="T803" i="109"/>
  <c r="S804" i="109"/>
  <c r="T804" i="109"/>
  <c r="S805" i="109"/>
  <c r="T805" i="109"/>
  <c r="S806" i="109"/>
  <c r="T806" i="109"/>
  <c r="S807" i="109"/>
  <c r="T807" i="109"/>
  <c r="S808" i="109"/>
  <c r="T808" i="109"/>
  <c r="R829" i="109"/>
  <c r="S829" i="109"/>
  <c r="R830" i="109"/>
  <c r="S830" i="109"/>
  <c r="R831" i="109"/>
  <c r="S831" i="109"/>
  <c r="S302" i="109" l="1"/>
  <c r="R302" i="109"/>
  <c r="S301" i="109"/>
  <c r="R301" i="109"/>
  <c r="S300" i="109"/>
  <c r="R300" i="109"/>
  <c r="S299" i="109"/>
  <c r="R299" i="109"/>
  <c r="S298" i="109"/>
  <c r="R298" i="109"/>
  <c r="S297" i="109"/>
  <c r="R297" i="109"/>
  <c r="S828" i="109"/>
  <c r="R828" i="109"/>
  <c r="S827" i="109"/>
  <c r="R827" i="109"/>
  <c r="R821" i="109"/>
  <c r="R822" i="109"/>
  <c r="R823" i="109"/>
  <c r="R824" i="109"/>
  <c r="R825" i="109"/>
  <c r="R826" i="109"/>
  <c r="R820" i="109"/>
  <c r="R819" i="109"/>
  <c r="S818" i="109"/>
  <c r="R818" i="109"/>
  <c r="R816" i="109" l="1"/>
  <c r="S816" i="109"/>
  <c r="T816" i="109"/>
  <c r="S817" i="109"/>
  <c r="R815" i="109"/>
  <c r="R239" i="109"/>
  <c r="S239" i="109"/>
  <c r="T239" i="109"/>
  <c r="T95" i="109"/>
  <c r="S95" i="109"/>
  <c r="R789" i="109" l="1"/>
  <c r="T815" i="109"/>
  <c r="S815" i="109"/>
  <c r="T814" i="109"/>
  <c r="S814" i="109"/>
  <c r="R814" i="109"/>
  <c r="T813" i="109"/>
  <c r="S813" i="109"/>
  <c r="R813" i="109"/>
  <c r="T812" i="109"/>
  <c r="S812" i="109"/>
  <c r="R812" i="109"/>
  <c r="T811" i="109"/>
  <c r="S811" i="109"/>
  <c r="R811" i="109"/>
  <c r="T810" i="109"/>
  <c r="S810" i="109"/>
  <c r="R810" i="109"/>
  <c r="T809" i="109"/>
  <c r="S809" i="109"/>
  <c r="R809" i="109"/>
  <c r="R800" i="109"/>
  <c r="S728" i="109"/>
  <c r="T728" i="109"/>
  <c r="S729" i="109"/>
  <c r="T729" i="109"/>
  <c r="S730" i="109"/>
  <c r="T730" i="109"/>
  <c r="S731" i="109"/>
  <c r="T731" i="109"/>
  <c r="S732" i="109"/>
  <c r="T732" i="109"/>
  <c r="S733" i="109"/>
  <c r="T733" i="109"/>
  <c r="S734" i="109"/>
  <c r="T734" i="109"/>
  <c r="S735" i="109"/>
  <c r="T735" i="109"/>
  <c r="S736" i="109"/>
  <c r="T736" i="109"/>
  <c r="S737" i="109"/>
  <c r="T737" i="109"/>
  <c r="S738" i="109"/>
  <c r="T738" i="109"/>
  <c r="S739" i="109"/>
  <c r="T739" i="109"/>
  <c r="S740" i="109"/>
  <c r="T740" i="109"/>
  <c r="S741" i="109"/>
  <c r="T741" i="109"/>
  <c r="S742" i="109"/>
  <c r="T742" i="109"/>
  <c r="S743" i="109"/>
  <c r="T743" i="109"/>
  <c r="S744" i="109"/>
  <c r="T744" i="109"/>
  <c r="S745" i="109"/>
  <c r="T745" i="109"/>
  <c r="S746" i="109"/>
  <c r="T746" i="109"/>
  <c r="S747" i="109"/>
  <c r="T747" i="109"/>
  <c r="S748" i="109"/>
  <c r="T748" i="109"/>
  <c r="S749" i="109"/>
  <c r="T749" i="109"/>
  <c r="S750" i="109"/>
  <c r="T750" i="109"/>
  <c r="S751" i="109"/>
  <c r="T751" i="109"/>
  <c r="S752" i="109"/>
  <c r="T752" i="109"/>
  <c r="S753" i="109"/>
  <c r="T753" i="109"/>
  <c r="S754" i="109"/>
  <c r="T754" i="109"/>
  <c r="S755" i="109"/>
  <c r="T755" i="109"/>
  <c r="S756" i="109"/>
  <c r="T756" i="109"/>
  <c r="S757" i="109"/>
  <c r="T757" i="109"/>
  <c r="S758" i="109"/>
  <c r="T758" i="109"/>
  <c r="S759" i="109"/>
  <c r="T759" i="109"/>
  <c r="S760" i="109"/>
  <c r="T760" i="109"/>
  <c r="S761" i="109"/>
  <c r="T761" i="109"/>
  <c r="S762" i="109"/>
  <c r="T762" i="109"/>
  <c r="S763" i="109"/>
  <c r="T763" i="109"/>
  <c r="S764" i="109"/>
  <c r="T764" i="109"/>
  <c r="S765" i="109"/>
  <c r="T765" i="109"/>
  <c r="S766" i="109"/>
  <c r="T766" i="109"/>
  <c r="S767" i="109"/>
  <c r="T767" i="109"/>
  <c r="S768" i="109"/>
  <c r="T768" i="109"/>
  <c r="S769" i="109"/>
  <c r="T769" i="109"/>
  <c r="S770" i="109"/>
  <c r="T770" i="109"/>
  <c r="S771" i="109"/>
  <c r="T771" i="109"/>
  <c r="S772" i="109"/>
  <c r="T772" i="109"/>
  <c r="S773" i="109"/>
  <c r="S774" i="109"/>
  <c r="S775" i="109"/>
  <c r="S776" i="109"/>
  <c r="S777" i="109"/>
  <c r="S778" i="109"/>
  <c r="S779" i="109"/>
  <c r="T779" i="109"/>
  <c r="S780" i="109"/>
  <c r="T780" i="109"/>
  <c r="S781" i="109"/>
  <c r="T781" i="109"/>
  <c r="S782" i="109"/>
  <c r="T782" i="109"/>
  <c r="S783" i="109"/>
  <c r="T783" i="109"/>
  <c r="S784" i="109"/>
  <c r="T784" i="109"/>
  <c r="S785" i="109"/>
  <c r="T785" i="109"/>
  <c r="S786" i="109"/>
  <c r="T786" i="109"/>
  <c r="S787" i="109"/>
  <c r="T787" i="109"/>
  <c r="S788" i="109"/>
  <c r="T788" i="109"/>
  <c r="S789" i="109"/>
  <c r="T789" i="109"/>
  <c r="S790" i="109"/>
  <c r="T790" i="109"/>
  <c r="S724" i="109"/>
  <c r="T724" i="109"/>
  <c r="S725" i="109"/>
  <c r="T725" i="109"/>
  <c r="S726" i="109"/>
  <c r="T726" i="109"/>
  <c r="S727" i="109"/>
  <c r="T727" i="109"/>
  <c r="R801" i="109"/>
  <c r="R802" i="109"/>
  <c r="R803" i="109"/>
  <c r="R804" i="109"/>
  <c r="R805" i="109"/>
  <c r="R806" i="109"/>
  <c r="R807" i="109"/>
  <c r="R808" i="109"/>
  <c r="R799" i="109"/>
  <c r="R313" i="109"/>
  <c r="R465" i="109"/>
  <c r="R156" i="109"/>
  <c r="R798" i="109"/>
  <c r="R797" i="109"/>
  <c r="S26" i="109"/>
  <c r="S25" i="109"/>
  <c r="S24" i="109"/>
  <c r="R54" i="109"/>
  <c r="R53" i="109"/>
  <c r="R471" i="109"/>
  <c r="R791" i="109"/>
  <c r="R792" i="109"/>
  <c r="R793" i="109"/>
  <c r="R794" i="109"/>
  <c r="R795" i="109"/>
  <c r="R796" i="109"/>
  <c r="R790" i="109"/>
  <c r="R785" i="109" l="1"/>
  <c r="R786" i="109"/>
  <c r="R787" i="109"/>
  <c r="R788" i="109"/>
  <c r="R779" i="109" l="1"/>
  <c r="R780" i="109"/>
  <c r="R781" i="109"/>
  <c r="R782" i="109"/>
  <c r="R783" i="109"/>
  <c r="R784" i="109"/>
  <c r="R772" i="109"/>
  <c r="R773" i="109"/>
  <c r="R774" i="109"/>
  <c r="R775" i="109"/>
  <c r="R776" i="109"/>
  <c r="R777" i="109"/>
  <c r="R778" i="109"/>
  <c r="R768" i="109" l="1"/>
  <c r="R769" i="109"/>
  <c r="R770" i="109"/>
  <c r="R771" i="109"/>
  <c r="R762" i="109"/>
  <c r="R763" i="109"/>
  <c r="R764" i="109"/>
  <c r="R765" i="109"/>
  <c r="R766" i="109"/>
  <c r="R767" i="109"/>
  <c r="R758" i="109"/>
  <c r="R759" i="109"/>
  <c r="R760" i="109"/>
  <c r="R761" i="109"/>
  <c r="R756" i="109"/>
  <c r="R757" i="109"/>
  <c r="R750" i="109"/>
  <c r="R751" i="109"/>
  <c r="R752" i="109"/>
  <c r="R753" i="109"/>
  <c r="R754" i="109"/>
  <c r="R755" i="109"/>
  <c r="R744" i="109"/>
  <c r="R745" i="109"/>
  <c r="R746" i="109"/>
  <c r="R747" i="109"/>
  <c r="R748" i="109"/>
  <c r="R749" i="109"/>
  <c r="R740" i="109" l="1"/>
  <c r="R741" i="109"/>
  <c r="R742" i="109"/>
  <c r="R743" i="109"/>
  <c r="R739" i="109"/>
  <c r="R738" i="109"/>
  <c r="R737" i="109"/>
  <c r="R736" i="109"/>
  <c r="R735" i="109"/>
  <c r="R734" i="109"/>
  <c r="R727" i="109" l="1"/>
  <c r="R728" i="109"/>
  <c r="R729" i="109"/>
  <c r="R730" i="109"/>
  <c r="R731" i="109"/>
  <c r="R732" i="109"/>
  <c r="R733" i="109"/>
  <c r="R723" i="109"/>
  <c r="S723" i="109"/>
  <c r="T723" i="109"/>
  <c r="R724" i="109"/>
  <c r="R725" i="109"/>
  <c r="R726" i="109"/>
  <c r="R717" i="109"/>
  <c r="S717" i="109"/>
  <c r="T717" i="109"/>
  <c r="R718" i="109"/>
  <c r="S718" i="109"/>
  <c r="T718" i="109"/>
  <c r="R719" i="109"/>
  <c r="S719" i="109"/>
  <c r="T719" i="109"/>
  <c r="R720" i="109"/>
  <c r="S720" i="109"/>
  <c r="T720" i="109"/>
  <c r="R721" i="109"/>
  <c r="S721" i="109"/>
  <c r="T721" i="109"/>
  <c r="R722" i="109"/>
  <c r="S722" i="109"/>
  <c r="T722" i="109"/>
  <c r="R716" i="109"/>
  <c r="S716" i="109"/>
  <c r="T716" i="109"/>
  <c r="R715" i="109" l="1"/>
  <c r="S715" i="109"/>
  <c r="T715" i="109"/>
  <c r="R435" i="109"/>
  <c r="S435" i="109"/>
  <c r="R436" i="109"/>
  <c r="S436" i="109"/>
  <c r="R437" i="109"/>
  <c r="S437" i="109"/>
  <c r="R438" i="109"/>
  <c r="S438" i="109"/>
  <c r="R439" i="109"/>
  <c r="S439" i="109"/>
  <c r="R440" i="109"/>
  <c r="S440" i="109"/>
  <c r="R694" i="109"/>
  <c r="S694" i="109"/>
  <c r="T694" i="109"/>
  <c r="R695" i="109"/>
  <c r="S695" i="109"/>
  <c r="T695" i="109"/>
  <c r="R696" i="109"/>
  <c r="S696" i="109"/>
  <c r="T696" i="109"/>
  <c r="R697" i="109"/>
  <c r="S697" i="109"/>
  <c r="T697" i="109"/>
  <c r="R698" i="109"/>
  <c r="S698" i="109"/>
  <c r="T698" i="109"/>
  <c r="R699" i="109"/>
  <c r="S699" i="109"/>
  <c r="T699" i="109"/>
  <c r="R700" i="109"/>
  <c r="S700" i="109"/>
  <c r="T700" i="109"/>
  <c r="R701" i="109"/>
  <c r="S701" i="109"/>
  <c r="T701" i="109"/>
  <c r="R702" i="109"/>
  <c r="S702" i="109"/>
  <c r="T702" i="109"/>
  <c r="R703" i="109"/>
  <c r="S703" i="109"/>
  <c r="T703" i="109"/>
  <c r="R704" i="109"/>
  <c r="S704" i="109"/>
  <c r="T704" i="109"/>
  <c r="R705" i="109"/>
  <c r="S705" i="109"/>
  <c r="T705" i="109"/>
  <c r="R706" i="109"/>
  <c r="S706" i="109"/>
  <c r="T706" i="109"/>
  <c r="R707" i="109"/>
  <c r="S707" i="109"/>
  <c r="T707" i="109"/>
  <c r="R708" i="109"/>
  <c r="S708" i="109"/>
  <c r="T708" i="109"/>
  <c r="R709" i="109"/>
  <c r="S709" i="109"/>
  <c r="T709" i="109"/>
  <c r="R710" i="109"/>
  <c r="S710" i="109"/>
  <c r="T710" i="109"/>
  <c r="R711" i="109"/>
  <c r="S711" i="109"/>
  <c r="T711" i="109"/>
  <c r="R712" i="109"/>
  <c r="S712" i="109"/>
  <c r="T712" i="109"/>
  <c r="R713" i="109"/>
  <c r="S713" i="109"/>
  <c r="T713" i="109"/>
  <c r="R714" i="109"/>
  <c r="S714" i="109"/>
  <c r="T714" i="109"/>
  <c r="R288" i="109"/>
  <c r="R693" i="109"/>
  <c r="R692" i="109"/>
  <c r="R691" i="109"/>
  <c r="R690" i="109"/>
  <c r="R689" i="109"/>
  <c r="R688" i="109"/>
  <c r="R687" i="109"/>
  <c r="R686" i="109"/>
  <c r="R685" i="109"/>
  <c r="R684" i="109"/>
  <c r="R683" i="109"/>
  <c r="R682" i="109"/>
  <c r="R681" i="109"/>
  <c r="R680" i="109"/>
  <c r="R679" i="109"/>
  <c r="R678" i="109"/>
  <c r="R677" i="109"/>
  <c r="R676" i="109"/>
  <c r="R675" i="109"/>
  <c r="R674" i="109"/>
  <c r="R673" i="109"/>
  <c r="R672" i="109"/>
  <c r="R671" i="109"/>
  <c r="R670" i="109"/>
  <c r="R669" i="109"/>
  <c r="R668" i="109"/>
  <c r="R667" i="109"/>
  <c r="R666" i="109"/>
  <c r="R665" i="109"/>
  <c r="R664" i="109"/>
  <c r="R663" i="109"/>
  <c r="R662" i="109"/>
  <c r="R661" i="109"/>
  <c r="R660" i="109"/>
  <c r="R659" i="109"/>
  <c r="R658" i="109"/>
  <c r="R657" i="109"/>
  <c r="R656" i="109"/>
  <c r="R655" i="109"/>
  <c r="R654" i="109"/>
  <c r="R653" i="109"/>
  <c r="R652" i="109"/>
  <c r="R651" i="109"/>
  <c r="R650" i="109"/>
  <c r="R649" i="109"/>
  <c r="R648" i="109"/>
  <c r="R647" i="109"/>
  <c r="R646" i="109"/>
  <c r="R645" i="109"/>
  <c r="R644" i="109"/>
  <c r="R643" i="109"/>
  <c r="R642" i="109"/>
  <c r="R641" i="109"/>
  <c r="R640" i="109"/>
  <c r="R639" i="109"/>
  <c r="R638" i="109"/>
  <c r="R637" i="109"/>
  <c r="R636" i="109"/>
  <c r="R635" i="109"/>
  <c r="R634" i="109"/>
  <c r="R633" i="109"/>
  <c r="R632" i="109"/>
  <c r="R631" i="109"/>
  <c r="R630" i="109"/>
  <c r="R629" i="109"/>
  <c r="R628" i="109"/>
  <c r="R627" i="109"/>
  <c r="R626" i="109"/>
  <c r="R625" i="109"/>
  <c r="R624" i="109"/>
  <c r="R623" i="109"/>
  <c r="R622" i="109"/>
  <c r="R621" i="109"/>
  <c r="R620" i="109"/>
  <c r="R619" i="109"/>
  <c r="R618" i="109"/>
  <c r="R617" i="109"/>
  <c r="R616" i="109"/>
  <c r="R615" i="109"/>
  <c r="R614" i="109"/>
  <c r="R613" i="109"/>
  <c r="R612" i="109"/>
  <c r="R611" i="109"/>
  <c r="R610" i="109"/>
  <c r="R609" i="109"/>
  <c r="R608" i="109"/>
  <c r="R607" i="109"/>
  <c r="R606" i="109"/>
  <c r="R605" i="109"/>
  <c r="R604" i="109"/>
  <c r="R603" i="109"/>
  <c r="R602" i="109"/>
  <c r="R601" i="109"/>
  <c r="R600" i="109"/>
  <c r="R599" i="109"/>
  <c r="R598" i="109"/>
  <c r="R597" i="109"/>
  <c r="R596" i="109"/>
  <c r="R595" i="109"/>
  <c r="R594" i="109"/>
  <c r="R593" i="109"/>
  <c r="R592" i="109"/>
  <c r="R591" i="109"/>
  <c r="R590" i="109"/>
  <c r="R589" i="109"/>
  <c r="R588" i="109"/>
  <c r="R587" i="109"/>
  <c r="R586" i="109"/>
  <c r="R585" i="109"/>
  <c r="R584" i="109"/>
  <c r="R583" i="109"/>
  <c r="R582" i="109"/>
  <c r="R581" i="109"/>
  <c r="R580" i="109"/>
  <c r="R579" i="109"/>
  <c r="R578" i="109"/>
  <c r="R577" i="109"/>
  <c r="R576" i="109"/>
  <c r="R575" i="109"/>
  <c r="R574" i="109"/>
  <c r="R573" i="109"/>
  <c r="R572" i="109"/>
  <c r="R571" i="109"/>
  <c r="R570" i="109"/>
  <c r="R569" i="109"/>
  <c r="R568" i="109"/>
  <c r="R567" i="109"/>
  <c r="R566" i="109"/>
  <c r="R565" i="109"/>
  <c r="R564" i="109"/>
  <c r="R563" i="109"/>
  <c r="R562" i="109"/>
  <c r="R561" i="109"/>
  <c r="R560" i="109"/>
  <c r="R559" i="109"/>
  <c r="R558" i="109"/>
  <c r="R557" i="109"/>
  <c r="R556" i="109"/>
  <c r="R555" i="109"/>
  <c r="R554" i="109"/>
  <c r="R553" i="109"/>
  <c r="R552" i="109"/>
  <c r="R551" i="109"/>
  <c r="R550" i="109"/>
  <c r="R549" i="109"/>
  <c r="R548" i="109"/>
  <c r="R547" i="109"/>
  <c r="R546" i="109"/>
  <c r="R545" i="109"/>
  <c r="R544" i="109"/>
  <c r="R543" i="109"/>
  <c r="R542" i="109"/>
  <c r="R541" i="109"/>
  <c r="R540" i="109"/>
  <c r="R539" i="109"/>
  <c r="R538" i="109"/>
  <c r="R537" i="109"/>
  <c r="R536" i="109"/>
  <c r="R535" i="109"/>
  <c r="R534" i="109"/>
  <c r="R533" i="109"/>
  <c r="R532" i="109"/>
  <c r="R531" i="109"/>
  <c r="R530" i="109"/>
  <c r="R529" i="109"/>
  <c r="R528" i="109"/>
  <c r="R527" i="109"/>
  <c r="R526" i="109"/>
  <c r="R525" i="109"/>
  <c r="R524" i="109"/>
  <c r="R523" i="109"/>
  <c r="R522" i="109"/>
  <c r="R521" i="109"/>
  <c r="R520" i="109"/>
  <c r="R519" i="109"/>
  <c r="R518" i="109"/>
  <c r="R517" i="109"/>
  <c r="R516" i="109"/>
  <c r="R515" i="109"/>
  <c r="R514" i="109"/>
  <c r="R513" i="109"/>
  <c r="R512" i="109"/>
  <c r="R511" i="109"/>
  <c r="R510" i="109"/>
  <c r="R509" i="109"/>
  <c r="R508" i="109"/>
  <c r="R507" i="109"/>
  <c r="R506" i="109"/>
  <c r="R505" i="109"/>
  <c r="R504" i="109"/>
  <c r="R503" i="109"/>
  <c r="R502" i="109"/>
  <c r="R501" i="109"/>
  <c r="R500" i="109"/>
  <c r="R499" i="109"/>
  <c r="R498" i="109"/>
  <c r="R497" i="109"/>
  <c r="R496" i="109"/>
  <c r="R495" i="109"/>
  <c r="R494" i="109"/>
  <c r="R493" i="109"/>
  <c r="R492" i="109"/>
  <c r="R491" i="109"/>
  <c r="R490" i="109"/>
  <c r="R489" i="109"/>
  <c r="R488" i="109"/>
  <c r="R487" i="109"/>
  <c r="R486" i="109"/>
  <c r="R485" i="109"/>
  <c r="R484" i="109"/>
  <c r="R483" i="109"/>
  <c r="R482" i="109"/>
  <c r="R481" i="109"/>
  <c r="R480" i="109"/>
  <c r="R479" i="109"/>
  <c r="R478" i="109"/>
  <c r="R477" i="109"/>
  <c r="R476" i="109"/>
  <c r="R475" i="109"/>
  <c r="R474" i="109"/>
  <c r="R473" i="109"/>
  <c r="R472" i="109"/>
  <c r="R470" i="109"/>
  <c r="R469" i="109"/>
  <c r="R468" i="109"/>
  <c r="R467" i="109"/>
  <c r="R466" i="109"/>
  <c r="R464" i="109"/>
  <c r="R463" i="109"/>
  <c r="R462" i="109"/>
  <c r="R461" i="109"/>
  <c r="R460" i="109"/>
  <c r="R459" i="109"/>
  <c r="R458" i="109"/>
  <c r="R457" i="109"/>
  <c r="R456" i="109"/>
  <c r="R455" i="109"/>
  <c r="R454" i="109"/>
  <c r="R453" i="109"/>
  <c r="R452" i="109"/>
  <c r="R451" i="109"/>
  <c r="R450" i="109"/>
  <c r="R449" i="109"/>
  <c r="R448" i="109"/>
  <c r="R447" i="109"/>
  <c r="R446" i="109"/>
  <c r="R445" i="109"/>
  <c r="R444" i="109"/>
  <c r="R443" i="109"/>
  <c r="R442" i="109"/>
  <c r="R441" i="109"/>
  <c r="R434" i="109"/>
  <c r="R433" i="109"/>
  <c r="R432" i="109"/>
  <c r="R431" i="109"/>
  <c r="R430" i="109"/>
  <c r="R429" i="109"/>
  <c r="R428" i="109"/>
  <c r="R427" i="109"/>
  <c r="R426" i="109"/>
  <c r="R425" i="109"/>
  <c r="R424" i="109"/>
  <c r="R423" i="109"/>
  <c r="R422" i="109"/>
  <c r="R421" i="109"/>
  <c r="R420" i="109"/>
  <c r="R419" i="109"/>
  <c r="R418" i="109"/>
  <c r="R417" i="109"/>
  <c r="R416" i="109"/>
  <c r="R415" i="109"/>
  <c r="R414" i="109"/>
  <c r="R413" i="109"/>
  <c r="R412" i="109"/>
  <c r="R411" i="109"/>
  <c r="R410" i="109"/>
  <c r="R409" i="109"/>
  <c r="R408" i="109"/>
  <c r="R407" i="109"/>
  <c r="R406" i="109"/>
  <c r="R405" i="109"/>
  <c r="R404" i="109"/>
  <c r="R403" i="109"/>
  <c r="R402" i="109"/>
  <c r="R401" i="109"/>
  <c r="R400" i="109"/>
  <c r="R399" i="109"/>
  <c r="R398" i="109"/>
  <c r="R397" i="109"/>
  <c r="R396" i="109"/>
  <c r="R395" i="109"/>
  <c r="R394" i="109"/>
  <c r="R393" i="109"/>
  <c r="R392" i="109"/>
  <c r="R391" i="109"/>
  <c r="R390" i="109"/>
  <c r="R389" i="109"/>
  <c r="R388" i="109"/>
  <c r="R387" i="109"/>
  <c r="R386" i="109"/>
  <c r="R385" i="109"/>
  <c r="R384" i="109"/>
  <c r="R383" i="109"/>
  <c r="R382" i="109"/>
  <c r="R381" i="109"/>
  <c r="R380" i="109"/>
  <c r="R379" i="109"/>
  <c r="R378" i="109"/>
  <c r="R377" i="109"/>
  <c r="R376" i="109"/>
  <c r="R375" i="109"/>
  <c r="R374" i="109"/>
  <c r="R373" i="109"/>
  <c r="R372" i="109"/>
  <c r="R371" i="109"/>
  <c r="R370" i="109"/>
  <c r="R369" i="109"/>
  <c r="R368" i="109"/>
  <c r="R367" i="109"/>
  <c r="R366" i="109"/>
  <c r="R365" i="109"/>
  <c r="R364" i="109"/>
  <c r="R363" i="109"/>
  <c r="R362" i="109"/>
  <c r="R361" i="109"/>
  <c r="R360" i="109"/>
  <c r="R359" i="109"/>
  <c r="R358" i="109"/>
  <c r="R357" i="109"/>
  <c r="R356" i="109"/>
  <c r="R355" i="109"/>
  <c r="R354" i="109"/>
  <c r="R353" i="109"/>
  <c r="R352" i="109"/>
  <c r="R351" i="109"/>
  <c r="R350" i="109"/>
  <c r="R349" i="109"/>
  <c r="R348" i="109"/>
  <c r="R347" i="109"/>
  <c r="R346" i="109"/>
  <c r="R345" i="109"/>
  <c r="R344" i="109"/>
  <c r="R343" i="109"/>
  <c r="R342" i="109"/>
  <c r="R341" i="109"/>
  <c r="R340" i="109"/>
  <c r="R339" i="109"/>
  <c r="R338" i="109"/>
  <c r="R337" i="109"/>
  <c r="R336" i="109"/>
  <c r="R335" i="109"/>
  <c r="R334" i="109"/>
  <c r="R333" i="109"/>
  <c r="R332" i="109"/>
  <c r="R331" i="109"/>
  <c r="R330" i="109"/>
  <c r="R329" i="109"/>
  <c r="R328" i="109"/>
  <c r="R327" i="109"/>
  <c r="R326" i="109"/>
  <c r="R325" i="109"/>
  <c r="R324" i="109"/>
  <c r="R323" i="109"/>
  <c r="R322" i="109"/>
  <c r="R321" i="109"/>
  <c r="R320" i="109"/>
  <c r="R319" i="109"/>
  <c r="R318" i="109"/>
  <c r="R317" i="109"/>
  <c r="R316" i="109"/>
  <c r="R315" i="109"/>
  <c r="R314" i="109"/>
  <c r="R312" i="109"/>
  <c r="R311" i="109"/>
  <c r="R310" i="109"/>
  <c r="R309" i="109"/>
  <c r="R308" i="109"/>
  <c r="R307" i="109"/>
  <c r="R306" i="109"/>
  <c r="R305" i="109"/>
  <c r="R304" i="109"/>
  <c r="R303" i="109"/>
  <c r="R296" i="109"/>
  <c r="R295" i="109"/>
  <c r="R294" i="109"/>
  <c r="R293" i="109"/>
  <c r="R292" i="109"/>
  <c r="R291" i="109"/>
  <c r="R290" i="109"/>
  <c r="R289" i="109"/>
  <c r="R287" i="109"/>
  <c r="R286" i="109"/>
  <c r="R285" i="109"/>
  <c r="R284" i="109"/>
  <c r="R283" i="109"/>
  <c r="R282" i="109"/>
  <c r="R281" i="109"/>
  <c r="R280" i="109"/>
  <c r="R279" i="109"/>
  <c r="R278" i="109"/>
  <c r="R277" i="109"/>
  <c r="R276" i="109"/>
  <c r="R275" i="109"/>
  <c r="R274" i="109"/>
  <c r="R273" i="109"/>
  <c r="R272" i="109"/>
  <c r="R271" i="109"/>
  <c r="R270" i="109"/>
  <c r="R269" i="109"/>
  <c r="R268" i="109"/>
  <c r="R267" i="109"/>
  <c r="R266" i="109"/>
  <c r="R265" i="109"/>
  <c r="R264" i="109"/>
  <c r="R263" i="109"/>
  <c r="R262" i="109"/>
  <c r="R261" i="109"/>
  <c r="R260" i="109"/>
  <c r="R259" i="109"/>
  <c r="R258" i="109"/>
  <c r="R257" i="109"/>
  <c r="R256" i="109"/>
  <c r="R255" i="109"/>
  <c r="R254" i="109"/>
  <c r="R253" i="109"/>
  <c r="R252" i="109"/>
  <c r="R251" i="109"/>
  <c r="R250" i="109"/>
  <c r="R249" i="109"/>
  <c r="R248" i="109"/>
  <c r="R247" i="109"/>
  <c r="R246" i="109"/>
  <c r="R245" i="109"/>
  <c r="R244" i="109"/>
  <c r="R243" i="109"/>
  <c r="R242" i="109"/>
  <c r="R241" i="109"/>
  <c r="R240" i="109"/>
  <c r="R238" i="109"/>
  <c r="R237" i="109"/>
  <c r="R236" i="109"/>
  <c r="R235" i="109"/>
  <c r="R234" i="109"/>
  <c r="R233" i="109"/>
  <c r="R232" i="109"/>
  <c r="R231" i="109"/>
  <c r="R230" i="109"/>
  <c r="R229" i="109"/>
  <c r="R228" i="109"/>
  <c r="R227" i="109"/>
  <c r="R226" i="109"/>
  <c r="R225" i="109"/>
  <c r="R224" i="109"/>
  <c r="R223" i="109"/>
  <c r="R222" i="109"/>
  <c r="R221" i="109"/>
  <c r="R220" i="109"/>
  <c r="R219" i="109"/>
  <c r="R218" i="109"/>
  <c r="R217" i="109"/>
  <c r="R216" i="109"/>
  <c r="R215" i="109"/>
  <c r="R214" i="109"/>
  <c r="R213" i="109"/>
  <c r="R212" i="109"/>
  <c r="R211" i="109"/>
  <c r="R210" i="109"/>
  <c r="R209" i="109"/>
  <c r="R208" i="109"/>
  <c r="R207" i="109"/>
  <c r="R206" i="109"/>
  <c r="R205" i="109"/>
  <c r="R204" i="109"/>
  <c r="R203" i="109"/>
  <c r="R202" i="109"/>
  <c r="R201" i="109"/>
  <c r="R200" i="109"/>
  <c r="R199" i="109"/>
  <c r="R198" i="109"/>
  <c r="R197" i="109"/>
  <c r="R196" i="109"/>
  <c r="R195" i="109"/>
  <c r="R194" i="109"/>
  <c r="R193" i="109"/>
  <c r="R192" i="109"/>
  <c r="R191" i="109"/>
  <c r="R190" i="109"/>
  <c r="R189" i="109"/>
  <c r="R188" i="109"/>
  <c r="R187" i="109"/>
  <c r="R186" i="109"/>
  <c r="R185" i="109"/>
  <c r="R184" i="109"/>
  <c r="R183" i="109"/>
  <c r="R182" i="109"/>
  <c r="R181" i="109"/>
  <c r="R180" i="109"/>
  <c r="R179" i="109"/>
  <c r="R178" i="109"/>
  <c r="R177" i="109"/>
  <c r="R176" i="109"/>
  <c r="R175" i="109"/>
  <c r="R174" i="109"/>
  <c r="R173" i="109"/>
  <c r="R172" i="109"/>
  <c r="R171" i="109"/>
  <c r="R170" i="109"/>
  <c r="R169" i="109"/>
  <c r="R168" i="109"/>
  <c r="R167" i="109"/>
  <c r="R166" i="109"/>
  <c r="R165" i="109"/>
  <c r="R164" i="109"/>
  <c r="R163" i="109"/>
  <c r="R162" i="109"/>
  <c r="R161" i="109"/>
  <c r="R160" i="109"/>
  <c r="R159" i="109"/>
  <c r="R158" i="109"/>
  <c r="R157" i="109"/>
  <c r="R155" i="109"/>
  <c r="R154" i="109"/>
  <c r="R153" i="109"/>
  <c r="R152" i="109"/>
  <c r="R151" i="109"/>
  <c r="R150" i="109"/>
  <c r="R149" i="109"/>
  <c r="R148" i="109"/>
  <c r="R147" i="109"/>
  <c r="R146" i="109"/>
  <c r="R145" i="109"/>
  <c r="R144" i="109"/>
  <c r="R143" i="109"/>
  <c r="R142" i="109"/>
  <c r="R141" i="109"/>
  <c r="R140" i="109"/>
  <c r="R139" i="109"/>
  <c r="R138" i="109"/>
  <c r="R137" i="109"/>
  <c r="R136" i="109"/>
  <c r="R134" i="109"/>
  <c r="R133" i="109"/>
  <c r="R132" i="109"/>
  <c r="R131" i="109"/>
  <c r="R130" i="109"/>
  <c r="R129" i="109"/>
  <c r="R128" i="109"/>
  <c r="R127" i="109"/>
  <c r="R126" i="109"/>
  <c r="R125" i="109"/>
  <c r="R124" i="109"/>
  <c r="R123" i="109"/>
  <c r="R122" i="109"/>
  <c r="R121" i="109"/>
  <c r="R120" i="109"/>
  <c r="R119" i="109"/>
  <c r="R118" i="109"/>
  <c r="R117" i="109"/>
  <c r="R116" i="109"/>
  <c r="R115" i="109"/>
  <c r="R114" i="109"/>
  <c r="R113" i="109"/>
  <c r="R112" i="109"/>
  <c r="R111" i="109"/>
  <c r="R110" i="109"/>
  <c r="R109" i="109"/>
  <c r="R108" i="109"/>
  <c r="R107" i="109"/>
  <c r="R106" i="109"/>
  <c r="R105" i="109"/>
  <c r="R104" i="109"/>
  <c r="R103" i="109"/>
  <c r="R102" i="109"/>
  <c r="R101" i="109"/>
  <c r="R100" i="109"/>
  <c r="R99" i="109"/>
  <c r="R98" i="109"/>
  <c r="R97" i="109"/>
  <c r="R96" i="109"/>
  <c r="R95" i="109"/>
  <c r="R94" i="109"/>
  <c r="R93" i="109"/>
  <c r="R92" i="109"/>
  <c r="R91" i="109"/>
  <c r="R90" i="109"/>
  <c r="R89" i="109"/>
  <c r="R88" i="109"/>
  <c r="R87" i="109"/>
  <c r="R86" i="109"/>
  <c r="R85" i="109"/>
  <c r="R84" i="109"/>
  <c r="R83" i="109"/>
  <c r="R82" i="109"/>
  <c r="R81" i="109"/>
  <c r="R80" i="109"/>
  <c r="R79" i="109"/>
  <c r="R78" i="109"/>
  <c r="R77" i="109"/>
  <c r="R76" i="109"/>
  <c r="R75" i="109"/>
  <c r="R74" i="109"/>
  <c r="R73" i="109"/>
  <c r="R72" i="109"/>
  <c r="R71" i="109"/>
  <c r="R70" i="109"/>
  <c r="R69" i="109"/>
  <c r="R68" i="109"/>
  <c r="R67" i="109"/>
  <c r="R66" i="109"/>
  <c r="R65" i="109"/>
  <c r="R64" i="109"/>
  <c r="R63" i="109"/>
  <c r="R62" i="109"/>
  <c r="R61" i="109"/>
  <c r="R60" i="109"/>
  <c r="R59" i="109"/>
  <c r="R58" i="109"/>
  <c r="R57" i="109"/>
  <c r="R56" i="109"/>
  <c r="R55" i="109"/>
  <c r="R52" i="109"/>
  <c r="R51" i="109"/>
  <c r="R50" i="109"/>
  <c r="R49" i="109"/>
  <c r="R48" i="109"/>
  <c r="R47" i="109"/>
  <c r="R46" i="109"/>
  <c r="R45" i="109"/>
  <c r="R44" i="109"/>
  <c r="R43" i="109"/>
  <c r="R42" i="109"/>
  <c r="R41" i="109"/>
  <c r="R40" i="109"/>
  <c r="R39" i="109"/>
  <c r="R38" i="109"/>
  <c r="R37" i="109"/>
  <c r="R36" i="109"/>
  <c r="R35" i="109"/>
  <c r="R34" i="109"/>
  <c r="R33" i="109"/>
  <c r="R32" i="109"/>
  <c r="R31" i="109"/>
  <c r="R30" i="109"/>
  <c r="R29" i="109"/>
  <c r="R28" i="109"/>
  <c r="R27" i="109"/>
  <c r="R26" i="109"/>
  <c r="R25" i="109"/>
  <c r="R24" i="109"/>
  <c r="R23" i="109"/>
  <c r="R5" i="109"/>
  <c r="R4" i="109"/>
  <c r="R3" i="109"/>
  <c r="R2" i="109"/>
  <c r="R21" i="109"/>
  <c r="R20" i="109"/>
  <c r="R19" i="109"/>
  <c r="R18" i="109"/>
  <c r="R17" i="109"/>
  <c r="R16" i="109"/>
  <c r="R15" i="109"/>
  <c r="R14" i="109"/>
  <c r="R9" i="109"/>
  <c r="R13" i="109"/>
  <c r="R12" i="109"/>
  <c r="R11" i="109"/>
  <c r="R10" i="109"/>
  <c r="R8" i="109"/>
  <c r="R7" i="109"/>
  <c r="S10" i="109"/>
  <c r="T10" i="109"/>
  <c r="S11" i="109"/>
  <c r="T11" i="109"/>
  <c r="S12" i="109"/>
  <c r="T12" i="109"/>
  <c r="S13" i="109"/>
  <c r="T13" i="109"/>
  <c r="S14" i="109"/>
  <c r="T14" i="109"/>
  <c r="S15" i="109"/>
  <c r="T15" i="109"/>
  <c r="S16" i="109"/>
  <c r="T16" i="109"/>
  <c r="S17" i="109"/>
  <c r="T17" i="109"/>
  <c r="S18" i="109"/>
  <c r="S19" i="109"/>
  <c r="S20" i="109"/>
  <c r="S21" i="109"/>
  <c r="S2" i="109"/>
  <c r="S23" i="109"/>
  <c r="S27" i="109"/>
  <c r="T27" i="109"/>
  <c r="S28" i="109"/>
  <c r="T28" i="109"/>
  <c r="S29" i="109"/>
  <c r="T29" i="109"/>
  <c r="S30" i="109"/>
  <c r="T30" i="109"/>
  <c r="S31" i="109"/>
  <c r="T31" i="109"/>
  <c r="S32" i="109"/>
  <c r="T32" i="109"/>
  <c r="S33" i="109"/>
  <c r="T33" i="109"/>
  <c r="S34" i="109"/>
  <c r="T34" i="109"/>
  <c r="S35" i="109"/>
  <c r="T35" i="109"/>
  <c r="S36" i="109"/>
  <c r="T36" i="109"/>
  <c r="S37" i="109"/>
  <c r="T37" i="109"/>
  <c r="S38" i="109"/>
  <c r="T38" i="109"/>
  <c r="S39" i="109"/>
  <c r="T39" i="109"/>
  <c r="S40" i="109"/>
  <c r="T40" i="109"/>
  <c r="S41" i="109"/>
  <c r="T41" i="109"/>
  <c r="S42" i="109"/>
  <c r="T42" i="109"/>
  <c r="S43" i="109"/>
  <c r="T43" i="109"/>
  <c r="S44" i="109"/>
  <c r="T44" i="109"/>
  <c r="S45" i="109"/>
  <c r="T45" i="109"/>
  <c r="S46" i="109"/>
  <c r="T46" i="109"/>
  <c r="S47" i="109"/>
  <c r="T47" i="109"/>
  <c r="S48" i="109"/>
  <c r="T48" i="109"/>
  <c r="S49" i="109"/>
  <c r="T49" i="109"/>
  <c r="S50" i="109"/>
  <c r="T50" i="109"/>
  <c r="S51" i="109"/>
  <c r="T51" i="109"/>
  <c r="S52" i="109"/>
  <c r="T52" i="109"/>
  <c r="S59" i="109"/>
  <c r="T59" i="109"/>
  <c r="S60" i="109"/>
  <c r="T60" i="109"/>
  <c r="S61" i="109"/>
  <c r="T61" i="109"/>
  <c r="S62" i="109"/>
  <c r="T62" i="109"/>
  <c r="S63" i="109"/>
  <c r="T63" i="109"/>
  <c r="S64" i="109"/>
  <c r="T64" i="109"/>
  <c r="S65" i="109"/>
  <c r="T65" i="109"/>
  <c r="S66" i="109"/>
  <c r="T66" i="109"/>
  <c r="S67" i="109"/>
  <c r="T67" i="109"/>
  <c r="S68" i="109"/>
  <c r="T68" i="109"/>
  <c r="S69" i="109"/>
  <c r="T69" i="109"/>
  <c r="S70" i="109"/>
  <c r="T70" i="109"/>
  <c r="S71" i="109"/>
  <c r="T71" i="109"/>
  <c r="S72" i="109"/>
  <c r="T72" i="109"/>
  <c r="S73" i="109"/>
  <c r="T73" i="109"/>
  <c r="S74" i="109"/>
  <c r="T74" i="109"/>
  <c r="S75" i="109"/>
  <c r="T75" i="109"/>
  <c r="S76" i="109"/>
  <c r="T76" i="109"/>
  <c r="S77" i="109"/>
  <c r="T77" i="109"/>
  <c r="S78" i="109"/>
  <c r="T78" i="109"/>
  <c r="S79" i="109"/>
  <c r="T79" i="109"/>
  <c r="S80" i="109"/>
  <c r="T80" i="109"/>
  <c r="S81" i="109"/>
  <c r="T81" i="109"/>
  <c r="S82" i="109"/>
  <c r="S83" i="109"/>
  <c r="T83" i="109"/>
  <c r="S84" i="109"/>
  <c r="T84" i="109"/>
  <c r="S85" i="109"/>
  <c r="T85" i="109"/>
  <c r="S86" i="109"/>
  <c r="S87" i="109"/>
  <c r="T87" i="109"/>
  <c r="S88" i="109"/>
  <c r="T88" i="109"/>
  <c r="S89" i="109"/>
  <c r="T89" i="109"/>
  <c r="S90" i="109"/>
  <c r="T90" i="109"/>
  <c r="S92" i="109"/>
  <c r="T92" i="109"/>
  <c r="T93" i="109"/>
  <c r="T94" i="109"/>
  <c r="T96" i="109"/>
  <c r="S98" i="109"/>
  <c r="T98" i="109"/>
  <c r="S99" i="109"/>
  <c r="T99" i="109"/>
  <c r="S100" i="109"/>
  <c r="T100" i="109"/>
  <c r="S101" i="109"/>
  <c r="T101" i="109"/>
  <c r="S102" i="109"/>
  <c r="T102" i="109"/>
  <c r="S103" i="109"/>
  <c r="T103" i="109"/>
  <c r="S104" i="109"/>
  <c r="T104" i="109"/>
  <c r="S105" i="109"/>
  <c r="T105" i="109"/>
  <c r="S106" i="109"/>
  <c r="T106" i="109"/>
  <c r="S107" i="109"/>
  <c r="T107" i="109"/>
  <c r="S108" i="109"/>
  <c r="T108" i="109"/>
  <c r="S109" i="109"/>
  <c r="T109" i="109"/>
  <c r="S110" i="109"/>
  <c r="T110" i="109"/>
  <c r="S111" i="109"/>
  <c r="T111" i="109"/>
  <c r="S112" i="109"/>
  <c r="T112" i="109"/>
  <c r="S113" i="109"/>
  <c r="T113" i="109"/>
  <c r="S114" i="109"/>
  <c r="T114" i="109"/>
  <c r="S115" i="109"/>
  <c r="T115" i="109"/>
  <c r="S116" i="109"/>
  <c r="T116" i="109"/>
  <c r="S117" i="109"/>
  <c r="T117" i="109"/>
  <c r="S118" i="109"/>
  <c r="T118" i="109"/>
  <c r="S119" i="109"/>
  <c r="T119" i="109"/>
  <c r="S138" i="109"/>
  <c r="T138" i="109"/>
  <c r="S157" i="109"/>
  <c r="T157" i="109"/>
  <c r="T158" i="109"/>
  <c r="T159" i="109"/>
  <c r="T160" i="109"/>
  <c r="T162" i="109"/>
  <c r="T163" i="109"/>
  <c r="S164" i="109"/>
  <c r="T164" i="109"/>
  <c r="S165" i="109"/>
  <c r="T165" i="109"/>
  <c r="S166" i="109"/>
  <c r="T166" i="109"/>
  <c r="S167" i="109"/>
  <c r="T167" i="109"/>
  <c r="S168" i="109"/>
  <c r="T168" i="109"/>
  <c r="S169" i="109"/>
  <c r="T169" i="109"/>
  <c r="S170" i="109"/>
  <c r="T170" i="109"/>
  <c r="S171" i="109"/>
  <c r="T171" i="109"/>
  <c r="S172" i="109"/>
  <c r="T172" i="109"/>
  <c r="S173" i="109"/>
  <c r="T173" i="109"/>
  <c r="S174" i="109"/>
  <c r="T174" i="109"/>
  <c r="S175" i="109"/>
  <c r="T175" i="109"/>
  <c r="S176" i="109"/>
  <c r="T176" i="109"/>
  <c r="S177" i="109"/>
  <c r="T177" i="109"/>
  <c r="S178" i="109"/>
  <c r="T178" i="109"/>
  <c r="S179" i="109"/>
  <c r="T179" i="109"/>
  <c r="S180" i="109"/>
  <c r="T180" i="109"/>
  <c r="S181" i="109"/>
  <c r="T181" i="109"/>
  <c r="S182" i="109"/>
  <c r="T182" i="109"/>
  <c r="S183" i="109"/>
  <c r="T183" i="109"/>
  <c r="S184" i="109"/>
  <c r="T184" i="109"/>
  <c r="S185" i="109"/>
  <c r="T185" i="109"/>
  <c r="S186" i="109"/>
  <c r="T186" i="109"/>
  <c r="S187" i="109"/>
  <c r="T187" i="109"/>
  <c r="S188" i="109"/>
  <c r="T188" i="109"/>
  <c r="S189" i="109"/>
  <c r="T189" i="109"/>
  <c r="S190" i="109"/>
  <c r="T190" i="109"/>
  <c r="S191" i="109"/>
  <c r="T191" i="109"/>
  <c r="S192" i="109"/>
  <c r="T192" i="109"/>
  <c r="S193" i="109"/>
  <c r="T193" i="109"/>
  <c r="S194" i="109"/>
  <c r="T194" i="109"/>
  <c r="S195" i="109"/>
  <c r="T195" i="109"/>
  <c r="S196" i="109"/>
  <c r="T196" i="109"/>
  <c r="S197" i="109"/>
  <c r="T197" i="109"/>
  <c r="S198" i="109"/>
  <c r="T198" i="109"/>
  <c r="S199" i="109"/>
  <c r="T199" i="109"/>
  <c r="S200" i="109"/>
  <c r="T200" i="109"/>
  <c r="S201" i="109"/>
  <c r="T201" i="109"/>
  <c r="S202" i="109"/>
  <c r="T202" i="109"/>
  <c r="S203" i="109"/>
  <c r="T203" i="109"/>
  <c r="S204" i="109"/>
  <c r="T204" i="109"/>
  <c r="S205" i="109"/>
  <c r="T205" i="109"/>
  <c r="S206" i="109"/>
  <c r="T206" i="109"/>
  <c r="S207" i="109"/>
  <c r="T207" i="109"/>
  <c r="S208" i="109"/>
  <c r="T208" i="109"/>
  <c r="S209" i="109"/>
  <c r="T209" i="109"/>
  <c r="S210" i="109"/>
  <c r="T210" i="109"/>
  <c r="S211" i="109"/>
  <c r="T211" i="109"/>
  <c r="S212" i="109"/>
  <c r="T212" i="109"/>
  <c r="S213" i="109"/>
  <c r="T213" i="109"/>
  <c r="S214" i="109"/>
  <c r="T214" i="109"/>
  <c r="S215" i="109"/>
  <c r="T215" i="109"/>
  <c r="S216" i="109"/>
  <c r="T216" i="109"/>
  <c r="S217" i="109"/>
  <c r="T217" i="109"/>
  <c r="S218" i="109"/>
  <c r="T218" i="109"/>
  <c r="S219" i="109"/>
  <c r="S220" i="109"/>
  <c r="S221" i="109"/>
  <c r="S222" i="109"/>
  <c r="S223" i="109"/>
  <c r="S224" i="109"/>
  <c r="S225" i="109"/>
  <c r="S226" i="109"/>
  <c r="S233" i="109"/>
  <c r="T233" i="109"/>
  <c r="S234" i="109"/>
  <c r="T234" i="109"/>
  <c r="S235" i="109"/>
  <c r="T235" i="109"/>
  <c r="S236" i="109"/>
  <c r="T236" i="109"/>
  <c r="S237" i="109"/>
  <c r="T237" i="109"/>
  <c r="S238" i="109"/>
  <c r="T238" i="109"/>
  <c r="S240" i="109"/>
  <c r="T240" i="109"/>
  <c r="S241" i="109"/>
  <c r="T241" i="109"/>
  <c r="S242" i="109"/>
  <c r="T242" i="109"/>
  <c r="S243" i="109"/>
  <c r="T243" i="109"/>
  <c r="S244" i="109"/>
  <c r="T244" i="109"/>
  <c r="S245" i="109"/>
  <c r="T245" i="109"/>
  <c r="S246" i="109"/>
  <c r="T246" i="109"/>
  <c r="S247" i="109"/>
  <c r="S248" i="109"/>
  <c r="S249" i="109"/>
  <c r="S250" i="109"/>
  <c r="S251" i="109"/>
  <c r="S252" i="109"/>
  <c r="S253" i="109"/>
  <c r="T253" i="109"/>
  <c r="S254" i="109"/>
  <c r="T254" i="109"/>
  <c r="S255" i="109"/>
  <c r="T255" i="109"/>
  <c r="S256" i="109"/>
  <c r="T256" i="109"/>
  <c r="S257" i="109"/>
  <c r="T257" i="109"/>
  <c r="S258" i="109"/>
  <c r="T258" i="109"/>
  <c r="S259" i="109"/>
  <c r="T259" i="109"/>
  <c r="S260" i="109"/>
  <c r="T260" i="109"/>
  <c r="S261" i="109"/>
  <c r="T261" i="109"/>
  <c r="S262" i="109"/>
  <c r="T262" i="109"/>
  <c r="S263" i="109"/>
  <c r="T263" i="109"/>
  <c r="S264" i="109"/>
  <c r="T264" i="109"/>
  <c r="S265" i="109"/>
  <c r="T265" i="109"/>
  <c r="S266" i="109"/>
  <c r="T266" i="109"/>
  <c r="S267" i="109"/>
  <c r="T267" i="109"/>
  <c r="S268" i="109"/>
  <c r="T268" i="109"/>
  <c r="S269" i="109"/>
  <c r="T269" i="109"/>
  <c r="S270" i="109"/>
  <c r="T270" i="109"/>
  <c r="S271" i="109"/>
  <c r="T271" i="109"/>
  <c r="S272" i="109"/>
  <c r="T272" i="109"/>
  <c r="S273" i="109"/>
  <c r="T273" i="109"/>
  <c r="S274" i="109"/>
  <c r="T274" i="109"/>
  <c r="S275" i="109"/>
  <c r="T275" i="109"/>
  <c r="S276" i="109"/>
  <c r="T276" i="109"/>
  <c r="S277" i="109"/>
  <c r="T277" i="109"/>
  <c r="S278" i="109"/>
  <c r="T278" i="109"/>
  <c r="S279" i="109"/>
  <c r="T279" i="109"/>
  <c r="S280" i="109"/>
  <c r="T280" i="109"/>
  <c r="S281" i="109"/>
  <c r="T281" i="109"/>
  <c r="S282" i="109"/>
  <c r="T282" i="109"/>
  <c r="S283" i="109"/>
  <c r="T283" i="109"/>
  <c r="S284" i="109"/>
  <c r="T284" i="109"/>
  <c r="S285" i="109"/>
  <c r="T285" i="109"/>
  <c r="S286" i="109"/>
  <c r="T286" i="109"/>
  <c r="S287" i="109"/>
  <c r="T287" i="109"/>
  <c r="S288" i="109"/>
  <c r="T288" i="109"/>
  <c r="S289" i="109"/>
  <c r="T289" i="109"/>
  <c r="S290" i="109"/>
  <c r="T290" i="109"/>
  <c r="S291" i="109"/>
  <c r="T291" i="109"/>
  <c r="S292" i="109"/>
  <c r="T292" i="109"/>
  <c r="S293" i="109"/>
  <c r="T293" i="109"/>
  <c r="S294" i="109"/>
  <c r="T294" i="109"/>
  <c r="S295" i="109"/>
  <c r="T295" i="109"/>
  <c r="S296" i="109"/>
  <c r="T296" i="109"/>
  <c r="S303" i="109"/>
  <c r="T303" i="109"/>
  <c r="S304" i="109"/>
  <c r="T304" i="109"/>
  <c r="S305" i="109"/>
  <c r="T305" i="109"/>
  <c r="S306" i="109"/>
  <c r="T306" i="109"/>
  <c r="S307" i="109"/>
  <c r="T307" i="109"/>
  <c r="S308" i="109"/>
  <c r="T308" i="109"/>
  <c r="S309" i="109"/>
  <c r="T309" i="109"/>
  <c r="S310" i="109"/>
  <c r="T310" i="109"/>
  <c r="S311" i="109"/>
  <c r="T311" i="109"/>
  <c r="S312" i="109"/>
  <c r="T312" i="109"/>
  <c r="S313" i="109"/>
  <c r="T313" i="109"/>
  <c r="S314" i="109"/>
  <c r="T314" i="109"/>
  <c r="S315" i="109"/>
  <c r="T315" i="109"/>
  <c r="S316" i="109"/>
  <c r="T316" i="109"/>
  <c r="S317" i="109"/>
  <c r="T317" i="109"/>
  <c r="S318" i="109"/>
  <c r="T318" i="109"/>
  <c r="S319" i="109"/>
  <c r="T319" i="109"/>
  <c r="S320" i="109"/>
  <c r="T320" i="109"/>
  <c r="S321" i="109"/>
  <c r="T321" i="109"/>
  <c r="S322" i="109"/>
  <c r="T322" i="109"/>
  <c r="S323" i="109"/>
  <c r="T323" i="109"/>
  <c r="S324" i="109"/>
  <c r="T324" i="109"/>
  <c r="S325" i="109"/>
  <c r="T325" i="109"/>
  <c r="S326" i="109"/>
  <c r="T326" i="109"/>
  <c r="S327" i="109"/>
  <c r="T327" i="109"/>
  <c r="S328" i="109"/>
  <c r="T328" i="109"/>
  <c r="S329" i="109"/>
  <c r="T329" i="109"/>
  <c r="S330" i="109"/>
  <c r="T330" i="109"/>
  <c r="S331" i="109"/>
  <c r="T331" i="109"/>
  <c r="S332" i="109"/>
  <c r="T332" i="109"/>
  <c r="S333" i="109"/>
  <c r="T333" i="109"/>
  <c r="S334" i="109"/>
  <c r="T334" i="109"/>
  <c r="S335" i="109"/>
  <c r="T335" i="109"/>
  <c r="S336" i="109"/>
  <c r="T336" i="109"/>
  <c r="S337" i="109"/>
  <c r="T337" i="109"/>
  <c r="S338" i="109"/>
  <c r="T338" i="109"/>
  <c r="S339" i="109"/>
  <c r="T339" i="109"/>
  <c r="S340" i="109"/>
  <c r="T340" i="109"/>
  <c r="S341" i="109"/>
  <c r="T341" i="109"/>
  <c r="S342" i="109"/>
  <c r="T342" i="109"/>
  <c r="S343" i="109"/>
  <c r="T343" i="109"/>
  <c r="S344" i="109"/>
  <c r="T344" i="109"/>
  <c r="S345" i="109"/>
  <c r="T345" i="109"/>
  <c r="S346" i="109"/>
  <c r="T346" i="109"/>
  <c r="S347" i="109"/>
  <c r="T347" i="109"/>
  <c r="S348" i="109"/>
  <c r="T348" i="109"/>
  <c r="S349" i="109"/>
  <c r="T349" i="109"/>
  <c r="S350" i="109"/>
  <c r="T350" i="109"/>
  <c r="T351" i="109"/>
  <c r="T352" i="109"/>
  <c r="T353" i="109"/>
  <c r="T354" i="109"/>
  <c r="T355" i="109"/>
  <c r="T356" i="109"/>
  <c r="T357" i="109"/>
  <c r="S358" i="109"/>
  <c r="T358" i="109"/>
  <c r="S359" i="109"/>
  <c r="T359" i="109"/>
  <c r="S360" i="109"/>
  <c r="T360" i="109"/>
  <c r="S361" i="109"/>
  <c r="T361" i="109"/>
  <c r="S362" i="109"/>
  <c r="T362" i="109"/>
  <c r="S363" i="109"/>
  <c r="T363" i="109"/>
  <c r="S364" i="109"/>
  <c r="T364" i="109"/>
  <c r="S365" i="109"/>
  <c r="T365" i="109"/>
  <c r="S366" i="109"/>
  <c r="T366" i="109"/>
  <c r="S367" i="109"/>
  <c r="T367" i="109"/>
  <c r="S368" i="109"/>
  <c r="T368" i="109"/>
  <c r="S369" i="109"/>
  <c r="T369" i="109"/>
  <c r="S370" i="109"/>
  <c r="T370" i="109"/>
  <c r="S371" i="109"/>
  <c r="T371" i="109"/>
  <c r="S372" i="109"/>
  <c r="T372" i="109"/>
  <c r="S373" i="109"/>
  <c r="T373" i="109"/>
  <c r="S374" i="109"/>
  <c r="T374" i="109"/>
  <c r="S375" i="109"/>
  <c r="T375" i="109"/>
  <c r="S376" i="109"/>
  <c r="T376" i="109"/>
  <c r="S377" i="109"/>
  <c r="T377" i="109"/>
  <c r="S378" i="109"/>
  <c r="T378" i="109"/>
  <c r="S379" i="109"/>
  <c r="T379" i="109"/>
  <c r="S380" i="109"/>
  <c r="T380" i="109"/>
  <c r="S381" i="109"/>
  <c r="T381" i="109"/>
  <c r="S382" i="109"/>
  <c r="T382" i="109"/>
  <c r="S383" i="109"/>
  <c r="T383" i="109"/>
  <c r="S384" i="109"/>
  <c r="T384" i="109"/>
  <c r="S385" i="109"/>
  <c r="T385" i="109"/>
  <c r="S386" i="109"/>
  <c r="T386" i="109"/>
  <c r="S387" i="109"/>
  <c r="T387" i="109"/>
  <c r="S388" i="109"/>
  <c r="T388" i="109"/>
  <c r="S389" i="109"/>
  <c r="T389" i="109"/>
  <c r="S390" i="109"/>
  <c r="T390" i="109"/>
  <c r="S391" i="109"/>
  <c r="T391" i="109"/>
  <c r="S392" i="109"/>
  <c r="T392" i="109"/>
  <c r="S393" i="109"/>
  <c r="T393" i="109"/>
  <c r="S394" i="109"/>
  <c r="T394" i="109"/>
  <c r="S395" i="109"/>
  <c r="T395" i="109"/>
  <c r="S396" i="109"/>
  <c r="T396" i="109"/>
  <c r="S397" i="109"/>
  <c r="T397" i="109"/>
  <c r="S398" i="109"/>
  <c r="T398" i="109"/>
  <c r="S399" i="109"/>
  <c r="T399" i="109"/>
  <c r="S400" i="109"/>
  <c r="T400" i="109"/>
  <c r="S401" i="109"/>
  <c r="T401" i="109"/>
  <c r="S402" i="109"/>
  <c r="T402" i="109"/>
  <c r="S403" i="109"/>
  <c r="T403" i="109"/>
  <c r="S404" i="109"/>
  <c r="T404" i="109"/>
  <c r="S405" i="109"/>
  <c r="T405" i="109"/>
  <c r="S406" i="109"/>
  <c r="T406" i="109"/>
  <c r="S407" i="109"/>
  <c r="T407" i="109"/>
  <c r="S408" i="109"/>
  <c r="T408" i="109"/>
  <c r="S409" i="109"/>
  <c r="T409" i="109"/>
  <c r="S410" i="109"/>
  <c r="T410" i="109"/>
  <c r="S411" i="109"/>
  <c r="T411" i="109"/>
  <c r="S412" i="109"/>
  <c r="T412" i="109"/>
  <c r="S413" i="109"/>
  <c r="T413" i="109"/>
  <c r="S414" i="109"/>
  <c r="T414" i="109"/>
  <c r="S415" i="109"/>
  <c r="T415" i="109"/>
  <c r="S416" i="109"/>
  <c r="T416" i="109"/>
  <c r="S417" i="109"/>
  <c r="T417" i="109"/>
  <c r="S418" i="109"/>
  <c r="T418" i="109"/>
  <c r="S419" i="109"/>
  <c r="T419" i="109"/>
  <c r="S420" i="109"/>
  <c r="T420" i="109"/>
  <c r="S421" i="109"/>
  <c r="T421" i="109"/>
  <c r="S422" i="109"/>
  <c r="T422" i="109"/>
  <c r="S423" i="109"/>
  <c r="T423" i="109"/>
  <c r="S424" i="109"/>
  <c r="T424" i="109"/>
  <c r="S425" i="109"/>
  <c r="T425" i="109"/>
  <c r="S426" i="109"/>
  <c r="T426" i="109"/>
  <c r="S427" i="109"/>
  <c r="T427" i="109"/>
  <c r="S428" i="109"/>
  <c r="T428" i="109"/>
  <c r="S429" i="109"/>
  <c r="T429" i="109"/>
  <c r="S430" i="109"/>
  <c r="T430" i="109"/>
  <c r="S431" i="109"/>
  <c r="T431" i="109"/>
  <c r="S432" i="109"/>
  <c r="T432" i="109"/>
  <c r="S433" i="109"/>
  <c r="T433" i="109"/>
  <c r="S434" i="109"/>
  <c r="T434" i="109"/>
  <c r="S441" i="109"/>
  <c r="T441" i="109"/>
  <c r="S442" i="109"/>
  <c r="T442" i="109"/>
  <c r="S443" i="109"/>
  <c r="T443" i="109"/>
  <c r="S444" i="109"/>
  <c r="T444" i="109"/>
  <c r="S445" i="109"/>
  <c r="T445" i="109"/>
  <c r="S446" i="109"/>
  <c r="T446" i="109"/>
  <c r="S447" i="109"/>
  <c r="T447" i="109"/>
  <c r="S448" i="109"/>
  <c r="T448" i="109"/>
  <c r="S449" i="109"/>
  <c r="T449" i="109"/>
  <c r="S450" i="109"/>
  <c r="T450" i="109"/>
  <c r="S451" i="109"/>
  <c r="T451" i="109"/>
  <c r="S452" i="109"/>
  <c r="T452" i="109"/>
  <c r="S453" i="109"/>
  <c r="T453" i="109"/>
  <c r="S454" i="109"/>
  <c r="T454" i="109"/>
  <c r="S455" i="109"/>
  <c r="T455" i="109"/>
  <c r="S456" i="109"/>
  <c r="T456" i="109"/>
  <c r="S457" i="109"/>
  <c r="T457" i="109"/>
  <c r="S458" i="109"/>
  <c r="T458" i="109"/>
  <c r="S459" i="109"/>
  <c r="T459" i="109"/>
  <c r="S460" i="109"/>
  <c r="T460" i="109"/>
  <c r="S461" i="109"/>
  <c r="T461" i="109"/>
  <c r="S462" i="109"/>
  <c r="T462" i="109"/>
  <c r="S463" i="109"/>
  <c r="T463" i="109"/>
  <c r="S464" i="109"/>
  <c r="T464" i="109"/>
  <c r="S465" i="109"/>
  <c r="T465" i="109"/>
  <c r="T466" i="109"/>
  <c r="T467" i="109"/>
  <c r="T468" i="109"/>
  <c r="T469" i="109"/>
  <c r="T470" i="109"/>
  <c r="T471" i="109"/>
  <c r="S472" i="109"/>
  <c r="T472" i="109"/>
  <c r="S473" i="109"/>
  <c r="T473" i="109"/>
  <c r="S474" i="109"/>
  <c r="T474" i="109"/>
  <c r="S475" i="109"/>
  <c r="T475" i="109"/>
  <c r="S476" i="109"/>
  <c r="T476" i="109"/>
  <c r="S477" i="109"/>
  <c r="T477" i="109"/>
  <c r="S478" i="109"/>
  <c r="T478" i="109"/>
  <c r="S479" i="109"/>
  <c r="T479" i="109"/>
  <c r="S480" i="109"/>
  <c r="T480" i="109"/>
  <c r="S481" i="109"/>
  <c r="T481" i="109"/>
  <c r="S482" i="109"/>
  <c r="T482" i="109"/>
  <c r="S483" i="109"/>
  <c r="T483" i="109"/>
  <c r="S484" i="109"/>
  <c r="T484" i="109"/>
  <c r="S485" i="109"/>
  <c r="T485" i="109"/>
  <c r="S486" i="109"/>
  <c r="T486" i="109"/>
  <c r="S487" i="109"/>
  <c r="T487" i="109"/>
  <c r="S488" i="109"/>
  <c r="T488" i="109"/>
  <c r="S489" i="109"/>
  <c r="T489" i="109"/>
  <c r="S490" i="109"/>
  <c r="T490" i="109"/>
  <c r="S491" i="109"/>
  <c r="T491" i="109"/>
  <c r="S492" i="109"/>
  <c r="T492" i="109"/>
  <c r="S493" i="109"/>
  <c r="T493" i="109"/>
  <c r="S494" i="109"/>
  <c r="T494" i="109"/>
  <c r="S495" i="109"/>
  <c r="T495" i="109"/>
  <c r="S496" i="109"/>
  <c r="T496" i="109"/>
  <c r="S497" i="109"/>
  <c r="T497" i="109"/>
  <c r="S498" i="109"/>
  <c r="T498" i="109"/>
  <c r="S499" i="109"/>
  <c r="T499" i="109"/>
  <c r="S500" i="109"/>
  <c r="T500" i="109"/>
  <c r="S501" i="109"/>
  <c r="T501" i="109"/>
  <c r="S502" i="109"/>
  <c r="T502" i="109"/>
  <c r="S503" i="109"/>
  <c r="T503" i="109"/>
  <c r="S504" i="109"/>
  <c r="T504" i="109"/>
  <c r="S505" i="109"/>
  <c r="T505" i="109"/>
  <c r="S506" i="109"/>
  <c r="T506" i="109"/>
  <c r="S507" i="109"/>
  <c r="T507" i="109"/>
  <c r="S508" i="109"/>
  <c r="T508" i="109"/>
  <c r="S509" i="109"/>
  <c r="T509" i="109"/>
  <c r="S510" i="109"/>
  <c r="T510" i="109"/>
  <c r="S511" i="109"/>
  <c r="T511" i="109"/>
  <c r="S512" i="109"/>
  <c r="T512" i="109"/>
  <c r="S513" i="109"/>
  <c r="T513" i="109"/>
  <c r="S514" i="109"/>
  <c r="T514" i="109"/>
  <c r="S515" i="109"/>
  <c r="T515" i="109"/>
  <c r="S516" i="109"/>
  <c r="T516" i="109"/>
  <c r="S517" i="109"/>
  <c r="T517" i="109"/>
  <c r="S518" i="109"/>
  <c r="T518" i="109"/>
  <c r="S519" i="109"/>
  <c r="T519" i="109"/>
  <c r="S520" i="109"/>
  <c r="T520" i="109"/>
  <c r="S521" i="109"/>
  <c r="T521" i="109"/>
  <c r="S522" i="109"/>
  <c r="T522" i="109"/>
  <c r="S523" i="109"/>
  <c r="T523" i="109"/>
  <c r="S524" i="109"/>
  <c r="T524" i="109"/>
  <c r="S525" i="109"/>
  <c r="T525" i="109"/>
  <c r="S526" i="109"/>
  <c r="T526" i="109"/>
  <c r="S527" i="109"/>
  <c r="T527" i="109"/>
  <c r="S528" i="109"/>
  <c r="T528" i="109"/>
  <c r="S529" i="109"/>
  <c r="T529" i="109"/>
  <c r="S530" i="109"/>
  <c r="T530" i="109"/>
  <c r="S531" i="109"/>
  <c r="T531" i="109"/>
  <c r="S532" i="109"/>
  <c r="T532" i="109"/>
  <c r="S533" i="109"/>
  <c r="T533" i="109"/>
  <c r="S534" i="109"/>
  <c r="T534" i="109"/>
  <c r="S535" i="109"/>
  <c r="T535" i="109"/>
  <c r="S536" i="109"/>
  <c r="T536" i="109"/>
  <c r="S537" i="109"/>
  <c r="T537" i="109"/>
  <c r="S538" i="109"/>
  <c r="T538" i="109"/>
  <c r="T539" i="109"/>
  <c r="S540" i="109"/>
  <c r="T540" i="109"/>
  <c r="S541" i="109"/>
  <c r="T541" i="109"/>
  <c r="S542" i="109"/>
  <c r="T542" i="109"/>
  <c r="S543" i="109"/>
  <c r="T543" i="109"/>
  <c r="S544" i="109"/>
  <c r="T544" i="109"/>
  <c r="S545" i="109"/>
  <c r="T545" i="109"/>
  <c r="S546" i="109"/>
  <c r="T546" i="109"/>
  <c r="S547" i="109"/>
  <c r="T547" i="109"/>
  <c r="S548" i="109"/>
  <c r="T548" i="109"/>
  <c r="S549" i="109"/>
  <c r="T549" i="109"/>
  <c r="S550" i="109"/>
  <c r="T550" i="109"/>
  <c r="S551" i="109"/>
  <c r="T551" i="109"/>
  <c r="S552" i="109"/>
  <c r="T552" i="109"/>
  <c r="S553" i="109"/>
  <c r="T553" i="109"/>
  <c r="S554" i="109"/>
  <c r="T554" i="109"/>
  <c r="S555" i="109"/>
  <c r="T555" i="109"/>
  <c r="S556" i="109"/>
  <c r="T556" i="109"/>
  <c r="S557" i="109"/>
  <c r="T557" i="109"/>
  <c r="S558" i="109"/>
  <c r="T558" i="109"/>
  <c r="S559" i="109"/>
  <c r="T559" i="109"/>
  <c r="S560" i="109"/>
  <c r="T560" i="109"/>
  <c r="S561" i="109"/>
  <c r="T561" i="109"/>
  <c r="S562" i="109"/>
  <c r="T562" i="109"/>
  <c r="S563" i="109"/>
  <c r="T563" i="109"/>
  <c r="S564" i="109"/>
  <c r="T564" i="109"/>
  <c r="S565" i="109"/>
  <c r="T565" i="109"/>
  <c r="S566" i="109"/>
  <c r="T566" i="109"/>
  <c r="S567" i="109"/>
  <c r="T567" i="109"/>
  <c r="S568" i="109"/>
  <c r="T568" i="109"/>
  <c r="S569" i="109"/>
  <c r="T569" i="109"/>
  <c r="S570" i="109"/>
  <c r="T570" i="109"/>
  <c r="S571" i="109"/>
  <c r="T571" i="109"/>
  <c r="S572" i="109"/>
  <c r="T572" i="109"/>
  <c r="S573" i="109"/>
  <c r="T573" i="109"/>
  <c r="S574" i="109"/>
  <c r="T574" i="109"/>
  <c r="S575" i="109"/>
  <c r="T575" i="109"/>
  <c r="S576" i="109"/>
  <c r="T576" i="109"/>
  <c r="S577" i="109"/>
  <c r="T577" i="109"/>
  <c r="S578" i="109"/>
  <c r="T578" i="109"/>
  <c r="S579" i="109"/>
  <c r="T579" i="109"/>
  <c r="S580" i="109"/>
  <c r="T580" i="109"/>
  <c r="S581" i="109"/>
  <c r="T581" i="109"/>
  <c r="S582" i="109"/>
  <c r="T582" i="109"/>
  <c r="S583" i="109"/>
  <c r="T583" i="109"/>
  <c r="S584" i="109"/>
  <c r="T584" i="109"/>
  <c r="S585" i="109"/>
  <c r="T585" i="109"/>
  <c r="S586" i="109"/>
  <c r="T586" i="109"/>
  <c r="S587" i="109"/>
  <c r="T587" i="109"/>
  <c r="S588" i="109"/>
  <c r="T588" i="109"/>
  <c r="S589" i="109"/>
  <c r="T589" i="109"/>
  <c r="S590" i="109"/>
  <c r="T590" i="109"/>
  <c r="S591" i="109"/>
  <c r="T591" i="109"/>
  <c r="S592" i="109"/>
  <c r="T592" i="109"/>
  <c r="S593" i="109"/>
  <c r="T593" i="109"/>
  <c r="S594" i="109"/>
  <c r="T594" i="109"/>
  <c r="S595" i="109"/>
  <c r="T595" i="109"/>
  <c r="S596" i="109"/>
  <c r="T596" i="109"/>
  <c r="S597" i="109"/>
  <c r="T597" i="109"/>
  <c r="S598" i="109"/>
  <c r="T598" i="109"/>
  <c r="S599" i="109"/>
  <c r="T599" i="109"/>
  <c r="S600" i="109"/>
  <c r="T600" i="109"/>
  <c r="S601" i="109"/>
  <c r="T601" i="109"/>
  <c r="S602" i="109"/>
  <c r="T602" i="109"/>
  <c r="S603" i="109"/>
  <c r="T603" i="109"/>
  <c r="S604" i="109"/>
  <c r="T604" i="109"/>
  <c r="S605" i="109"/>
  <c r="T605" i="109"/>
  <c r="S606" i="109"/>
  <c r="T606" i="109"/>
  <c r="S607" i="109"/>
  <c r="T607" i="109"/>
  <c r="S608" i="109"/>
  <c r="T608" i="109"/>
  <c r="S609" i="109"/>
  <c r="T609" i="109"/>
  <c r="S610" i="109"/>
  <c r="T610" i="109"/>
  <c r="S611" i="109"/>
  <c r="T611" i="109"/>
  <c r="S612" i="109"/>
  <c r="T612" i="109"/>
  <c r="S613" i="109"/>
  <c r="T613" i="109"/>
  <c r="S614" i="109"/>
  <c r="T614" i="109"/>
  <c r="S615" i="109"/>
  <c r="T615" i="109"/>
  <c r="S616" i="109"/>
  <c r="T616" i="109"/>
  <c r="S617" i="109"/>
  <c r="T617" i="109"/>
  <c r="S618" i="109"/>
  <c r="T618" i="109"/>
  <c r="S619" i="109"/>
  <c r="T619" i="109"/>
  <c r="S620" i="109"/>
  <c r="T620" i="109"/>
  <c r="S621" i="109"/>
  <c r="T621" i="109"/>
  <c r="S622" i="109"/>
  <c r="T622" i="109"/>
  <c r="S623" i="109"/>
  <c r="T623" i="109"/>
  <c r="S624" i="109"/>
  <c r="T624" i="109"/>
  <c r="S625" i="109"/>
  <c r="T625" i="109"/>
  <c r="S626" i="109"/>
  <c r="T626" i="109"/>
  <c r="S627" i="109"/>
  <c r="T627" i="109"/>
  <c r="S628" i="109"/>
  <c r="T628" i="109"/>
  <c r="S629" i="109"/>
  <c r="T629" i="109"/>
  <c r="S630" i="109"/>
  <c r="T630" i="109"/>
  <c r="S631" i="109"/>
  <c r="T631" i="109"/>
  <c r="S632" i="109"/>
  <c r="T632" i="109"/>
  <c r="S633" i="109"/>
  <c r="T633" i="109"/>
  <c r="S634" i="109"/>
  <c r="T634" i="109"/>
  <c r="S635" i="109"/>
  <c r="T635" i="109"/>
  <c r="S636" i="109"/>
  <c r="T636" i="109"/>
  <c r="S637" i="109"/>
  <c r="T637" i="109"/>
  <c r="S638" i="109"/>
  <c r="T638" i="109"/>
  <c r="S639" i="109"/>
  <c r="T639" i="109"/>
  <c r="S640" i="109"/>
  <c r="T640" i="109"/>
  <c r="S641" i="109"/>
  <c r="T641" i="109"/>
  <c r="S642" i="109"/>
  <c r="T642" i="109"/>
  <c r="S643" i="109"/>
  <c r="T643" i="109"/>
  <c r="S644" i="109"/>
  <c r="T644" i="109"/>
  <c r="S645" i="109"/>
  <c r="T645" i="109"/>
  <c r="S646" i="109"/>
  <c r="T646" i="109"/>
  <c r="S647" i="109"/>
  <c r="T647" i="109"/>
  <c r="S648" i="109"/>
  <c r="T648" i="109"/>
  <c r="S649" i="109"/>
  <c r="T649" i="109"/>
  <c r="S650" i="109"/>
  <c r="T650" i="109"/>
  <c r="S651" i="109"/>
  <c r="T651" i="109"/>
  <c r="S652" i="109"/>
  <c r="T652" i="109"/>
  <c r="S653" i="109"/>
  <c r="T653" i="109"/>
  <c r="S654" i="109"/>
  <c r="T654" i="109"/>
  <c r="S655" i="109"/>
  <c r="T655" i="109"/>
  <c r="S656" i="109"/>
  <c r="T656" i="109"/>
  <c r="S657" i="109"/>
  <c r="T657" i="109"/>
  <c r="S658" i="109"/>
  <c r="T658" i="109"/>
  <c r="S659" i="109"/>
  <c r="T659" i="109"/>
  <c r="S660" i="109"/>
  <c r="T660" i="109"/>
  <c r="S661" i="109"/>
  <c r="T661" i="109"/>
  <c r="S662" i="109"/>
  <c r="T662" i="109"/>
  <c r="S663" i="109"/>
  <c r="T663" i="109"/>
  <c r="S664" i="109"/>
  <c r="T664" i="109"/>
  <c r="S665" i="109"/>
  <c r="T665" i="109"/>
  <c r="S666" i="109"/>
  <c r="T666" i="109"/>
  <c r="S667" i="109"/>
  <c r="T667" i="109"/>
  <c r="S668" i="109"/>
  <c r="T668" i="109"/>
  <c r="S669" i="109"/>
  <c r="T669" i="109"/>
  <c r="S670" i="109"/>
  <c r="T670" i="109"/>
  <c r="S671" i="109"/>
  <c r="T671" i="109"/>
  <c r="S672" i="109"/>
  <c r="T672" i="109"/>
  <c r="S673" i="109"/>
  <c r="T673" i="109"/>
  <c r="S674" i="109"/>
  <c r="T674" i="109"/>
  <c r="S675" i="109"/>
  <c r="T675" i="109"/>
  <c r="S676" i="109"/>
  <c r="T676" i="109"/>
  <c r="S677" i="109"/>
  <c r="T677" i="109"/>
  <c r="S678" i="109"/>
  <c r="T678" i="109"/>
  <c r="S679" i="109"/>
  <c r="T679" i="109"/>
  <c r="S680" i="109"/>
  <c r="T680" i="109"/>
  <c r="S681" i="109"/>
  <c r="T681" i="109"/>
  <c r="S682" i="109"/>
  <c r="T682" i="109"/>
  <c r="S683" i="109"/>
  <c r="T683" i="109"/>
  <c r="S684" i="109"/>
  <c r="T684" i="109"/>
  <c r="S685" i="109"/>
  <c r="T685" i="109"/>
  <c r="S686" i="109"/>
  <c r="T686" i="109"/>
  <c r="S687" i="109"/>
  <c r="T687" i="109"/>
  <c r="S688" i="109"/>
  <c r="T688" i="109"/>
  <c r="S689" i="109"/>
  <c r="T689" i="109"/>
  <c r="S690" i="109"/>
  <c r="T690" i="109"/>
  <c r="S691" i="109"/>
  <c r="T691" i="109"/>
  <c r="S692" i="109"/>
  <c r="T692" i="109"/>
  <c r="S693" i="109"/>
  <c r="T693" i="109"/>
  <c r="AJ4" i="2" l="1"/>
  <c r="AI5" i="2"/>
  <c r="AH6" i="2"/>
  <c r="AJ12" i="2"/>
  <c r="AI13" i="2"/>
  <c r="AH14" i="2"/>
  <c r="AJ20" i="2"/>
  <c r="AI21" i="2"/>
  <c r="AH22" i="2"/>
  <c r="AJ28" i="2"/>
  <c r="AI29" i="2"/>
  <c r="AH30" i="2"/>
  <c r="AJ5" i="2"/>
  <c r="AI6" i="2"/>
  <c r="AH7" i="2"/>
  <c r="AJ13" i="2"/>
  <c r="AI14" i="2"/>
  <c r="AH15" i="2"/>
  <c r="AJ21" i="2"/>
  <c r="AI22" i="2"/>
  <c r="AH23" i="2"/>
  <c r="AJ29" i="2"/>
  <c r="AI30" i="2"/>
  <c r="AH31" i="2"/>
  <c r="AJ6" i="2"/>
  <c r="AI7" i="2"/>
  <c r="AH8" i="2"/>
  <c r="AJ14" i="2"/>
  <c r="AI15" i="2"/>
  <c r="AH16" i="2"/>
  <c r="AJ22" i="2"/>
  <c r="AI23" i="2"/>
  <c r="AH24" i="2"/>
  <c r="AJ30" i="2"/>
  <c r="AI31" i="2"/>
  <c r="AH32" i="2"/>
  <c r="AJ7" i="2"/>
  <c r="AI8" i="2"/>
  <c r="AH9" i="2"/>
  <c r="AJ15" i="2"/>
  <c r="AI16" i="2"/>
  <c r="AH17" i="2"/>
  <c r="AJ23" i="2"/>
  <c r="AI24" i="2"/>
  <c r="AH25" i="2"/>
  <c r="AJ31" i="2"/>
  <c r="AI32" i="2"/>
  <c r="AH33" i="2"/>
  <c r="AJ3" i="2"/>
  <c r="AI4" i="2"/>
  <c r="AH5" i="2"/>
  <c r="AJ11" i="2"/>
  <c r="AI12" i="2"/>
  <c r="AH13" i="2"/>
  <c r="AJ19" i="2"/>
  <c r="AI20" i="2"/>
  <c r="AH21" i="2"/>
  <c r="AJ27" i="2"/>
  <c r="AI28" i="2"/>
  <c r="AH29" i="2"/>
  <c r="AJ35" i="2"/>
  <c r="AJ18" i="2"/>
  <c r="AI19" i="2"/>
  <c r="AJ24" i="2"/>
  <c r="AJ25" i="2"/>
  <c r="AJ26" i="2"/>
  <c r="AI27" i="2"/>
  <c r="AJ32" i="2"/>
  <c r="AJ33" i="2"/>
  <c r="AI34" i="2"/>
  <c r="AH35" i="2"/>
  <c r="AJ34" i="2"/>
  <c r="AI35" i="2"/>
  <c r="AH26" i="2"/>
  <c r="AH27" i="2"/>
  <c r="AJ10" i="2"/>
  <c r="AI11" i="2"/>
  <c r="AJ16" i="2"/>
  <c r="AJ17" i="2"/>
  <c r="AI18" i="2"/>
  <c r="AH34" i="2"/>
  <c r="AI33" i="2"/>
  <c r="AI25" i="2"/>
  <c r="AH20" i="2"/>
  <c r="AH19" i="2"/>
  <c r="AH18" i="2"/>
  <c r="AI17" i="2"/>
  <c r="AH28" i="2"/>
  <c r="AI26" i="2"/>
  <c r="AH12" i="2"/>
  <c r="AH3" i="2"/>
  <c r="AH4" i="2"/>
  <c r="AI9" i="2"/>
  <c r="AH10" i="2"/>
  <c r="AH11" i="2"/>
  <c r="AJ8" i="2"/>
  <c r="AI3" i="2"/>
  <c r="AI10" i="2"/>
  <c r="AJ9" i="2"/>
  <c r="AI2" i="2"/>
  <c r="AJ2" i="2"/>
  <c r="AH2" i="2"/>
  <c r="AK20" i="2" l="1"/>
  <c r="AK12" i="2"/>
  <c r="AK4" i="2"/>
  <c r="AK28" i="2"/>
  <c r="AK26" i="2"/>
  <c r="AK19" i="2"/>
  <c r="AK34" i="2"/>
  <c r="AK31" i="2"/>
  <c r="AK5" i="2"/>
  <c r="AK9" i="2"/>
  <c r="AK18" i="2"/>
  <c r="AK16" i="2"/>
  <c r="AK25" i="2"/>
  <c r="AK7" i="2"/>
  <c r="AK10" i="2"/>
  <c r="AK27" i="2"/>
  <c r="AK35" i="2"/>
  <c r="AK3" i="2"/>
  <c r="AK15" i="2"/>
  <c r="AK14" i="2"/>
  <c r="AK17" i="2"/>
  <c r="AK21" i="2"/>
  <c r="AK30" i="2"/>
  <c r="AK33" i="2"/>
  <c r="AK32" i="2"/>
  <c r="AK6" i="2"/>
  <c r="AK11" i="2"/>
  <c r="AK8" i="2"/>
  <c r="AK13" i="2"/>
  <c r="AK23" i="2"/>
  <c r="AK22" i="2"/>
  <c r="AK24" i="2"/>
  <c r="AK29" i="2"/>
  <c r="AK2" i="2"/>
</calcChain>
</file>

<file path=xl/sharedStrings.xml><?xml version="1.0" encoding="utf-8"?>
<sst xmlns="http://schemas.openxmlformats.org/spreadsheetml/2006/main" count="22105" uniqueCount="2332">
  <si>
    <t>Maquina</t>
  </si>
  <si>
    <t>Fecha</t>
  </si>
  <si>
    <t>Maquinista</t>
  </si>
  <si>
    <t>Molde</t>
  </si>
  <si>
    <t>Total general</t>
  </si>
  <si>
    <t>Peso Aprox. (Kg)</t>
  </si>
  <si>
    <t>Peso Real (Kg)</t>
  </si>
  <si>
    <t>Peso (kg)</t>
  </si>
  <si>
    <t>Peso unitario (Gr)</t>
  </si>
  <si>
    <t>Cantidad Real</t>
  </si>
  <si>
    <t>ALCANCIA PABLO GRANDE</t>
  </si>
  <si>
    <t>FLORERO AMERICANO</t>
  </si>
  <si>
    <t>SOPLADO</t>
  </si>
  <si>
    <t>INYECTADO</t>
  </si>
  <si>
    <t>MES</t>
  </si>
  <si>
    <t>Cavidades</t>
  </si>
  <si>
    <t>SEMANA</t>
  </si>
  <si>
    <t>DOC</t>
  </si>
  <si>
    <t>Suma de Peso Real (Kg)</t>
  </si>
  <si>
    <t>Turno</t>
  </si>
  <si>
    <t>Fecha/hora</t>
  </si>
  <si>
    <t>Diurno</t>
  </si>
  <si>
    <t>Color</t>
  </si>
  <si>
    <t>Nocturno</t>
  </si>
  <si>
    <t>AZUL</t>
  </si>
  <si>
    <t>BLANCO</t>
  </si>
  <si>
    <t>AMARILLO</t>
  </si>
  <si>
    <t>ROJO</t>
  </si>
  <si>
    <t>NARANJA</t>
  </si>
  <si>
    <t>#Bultos</t>
  </si>
  <si>
    <t>Cantidad x Bulto</t>
  </si>
  <si>
    <t>#Doc. Registro</t>
  </si>
  <si>
    <t>EMBUDO GIGANTE</t>
  </si>
  <si>
    <t>Tipo MP</t>
  </si>
  <si>
    <t>Material</t>
  </si>
  <si>
    <t>Topo Maq</t>
  </si>
  <si>
    <t>Peso x Cav</t>
  </si>
  <si>
    <t>Tipo</t>
  </si>
  <si>
    <t>Material 1</t>
  </si>
  <si>
    <t>Material 2</t>
  </si>
  <si>
    <t>SEGUNDA</t>
  </si>
  <si>
    <t>VIRGEN</t>
  </si>
  <si>
    <t>Nº OP</t>
  </si>
  <si>
    <t>PATRULLERO MILITAR</t>
  </si>
  <si>
    <t>CISTERNA ANDINO</t>
  </si>
  <si>
    <t>Extra</t>
  </si>
  <si>
    <t>OP142</t>
  </si>
  <si>
    <t>OP166</t>
  </si>
  <si>
    <t>.</t>
  </si>
  <si>
    <t>SKU</t>
  </si>
  <si>
    <t>1100SO110</t>
  </si>
  <si>
    <t>1101SO111</t>
  </si>
  <si>
    <t>1102SO114</t>
  </si>
  <si>
    <t>1103SO116</t>
  </si>
  <si>
    <t>1104SO120</t>
  </si>
  <si>
    <t>1105SO123</t>
  </si>
  <si>
    <t>1106SO110</t>
  </si>
  <si>
    <t>1107SO111</t>
  </si>
  <si>
    <t>1108SO114</t>
  </si>
  <si>
    <t>1109SO116</t>
  </si>
  <si>
    <t>1110SO120</t>
  </si>
  <si>
    <t>1111SO123</t>
  </si>
  <si>
    <t>1112SO110</t>
  </si>
  <si>
    <t>1113SO112</t>
  </si>
  <si>
    <t>1114SO119</t>
  </si>
  <si>
    <t>1115SO123</t>
  </si>
  <si>
    <t>1116SO110</t>
  </si>
  <si>
    <t>1117SO112</t>
  </si>
  <si>
    <t>1118SO119</t>
  </si>
  <si>
    <t>1119SO123</t>
  </si>
  <si>
    <t>1120TR121</t>
  </si>
  <si>
    <t>1121SO110</t>
  </si>
  <si>
    <t>1122SO112</t>
  </si>
  <si>
    <t>1123SO119</t>
  </si>
  <si>
    <t>1124SO123</t>
  </si>
  <si>
    <t>1125TR121</t>
  </si>
  <si>
    <t>1126SO213</t>
  </si>
  <si>
    <t>1130SO213</t>
  </si>
  <si>
    <t>1134SO213</t>
  </si>
  <si>
    <t>1138SO213</t>
  </si>
  <si>
    <t>1142SO213</t>
  </si>
  <si>
    <t>1146SO213</t>
  </si>
  <si>
    <t>1150TR121</t>
  </si>
  <si>
    <t>1151CA110</t>
  </si>
  <si>
    <t>1152CA111</t>
  </si>
  <si>
    <t>1153CA112</t>
  </si>
  <si>
    <t>1154CA115</t>
  </si>
  <si>
    <t>1155CA116</t>
  </si>
  <si>
    <t>1156CA123</t>
  </si>
  <si>
    <t>1157TR121</t>
  </si>
  <si>
    <t>1158SO110</t>
  </si>
  <si>
    <t>1159SO112</t>
  </si>
  <si>
    <t>1160SO119</t>
  </si>
  <si>
    <t>1161SO123</t>
  </si>
  <si>
    <t>1162SO110</t>
  </si>
  <si>
    <t>1163SO112</t>
  </si>
  <si>
    <t>1164SO119</t>
  </si>
  <si>
    <t>1165SO123</t>
  </si>
  <si>
    <t>1166TR121</t>
  </si>
  <si>
    <t>1167TR121</t>
  </si>
  <si>
    <t>1168SO110</t>
  </si>
  <si>
    <t>1169SO112</t>
  </si>
  <si>
    <t>1170SO119</t>
  </si>
  <si>
    <t>1171SO123</t>
  </si>
  <si>
    <t>1172SO110</t>
  </si>
  <si>
    <t>1173SO112</t>
  </si>
  <si>
    <t>1174SO119</t>
  </si>
  <si>
    <t>1175SO123</t>
  </si>
  <si>
    <t>1176SO210</t>
  </si>
  <si>
    <t>1177SO213</t>
  </si>
  <si>
    <t>1178SO219</t>
  </si>
  <si>
    <t>1179SO223</t>
  </si>
  <si>
    <t>1180SO110</t>
  </si>
  <si>
    <t>1181SO113</t>
  </si>
  <si>
    <t>1182SO119</t>
  </si>
  <si>
    <t>1183SO123</t>
  </si>
  <si>
    <t>1184TR221</t>
  </si>
  <si>
    <t>1185SO110</t>
  </si>
  <si>
    <t>1186SO113</t>
  </si>
  <si>
    <t>1187SO119</t>
  </si>
  <si>
    <t>1188SO123</t>
  </si>
  <si>
    <t>1189TR221</t>
  </si>
  <si>
    <t>1194TR221</t>
  </si>
  <si>
    <t>EMBUDO Nº4-AMARILLO PATO</t>
  </si>
  <si>
    <t>EMBUDO Nº4-ROJO</t>
  </si>
  <si>
    <t>EMBUDO Nº4-VERDE</t>
  </si>
  <si>
    <t>REPOSTERO 4KG-TRANSPARENTE</t>
  </si>
  <si>
    <t>TAPA REPOSTEROS-AZUL</t>
  </si>
  <si>
    <t>TAPA REPOSTEROS-ROJO</t>
  </si>
  <si>
    <t>REPOSTERO 6KG -TRANSPARENTE</t>
  </si>
  <si>
    <t>FLORERO AMERICANO-BLANCO</t>
  </si>
  <si>
    <t>FLORERO CISNE-BLANCO</t>
  </si>
  <si>
    <t>FLORERO ITALIANO-BLANCO</t>
  </si>
  <si>
    <t>FLORERO ITALIANO GRANDE-BLANCO</t>
  </si>
  <si>
    <t>FLORERO ORIENTAL-BLANCO</t>
  </si>
  <si>
    <t>FLORERO PERSA-BLANCO</t>
  </si>
  <si>
    <t>JARRA GRECIA 500ML-TRANSPARENTE</t>
  </si>
  <si>
    <t>JARRA GRECIA 500ML CARAMELO-AMARILLO</t>
  </si>
  <si>
    <t>JARRA GRECIA 500ML CARAMELO-ANARANJADO</t>
  </si>
  <si>
    <t>JARRA GRECIA 500ML CARAMELO-AZUL</t>
  </si>
  <si>
    <t>JARRA GRECIA 500ML CARAMELO-FUCSIA</t>
  </si>
  <si>
    <t>JARRA GRECIA 500ML CARAMELO-LILA</t>
  </si>
  <si>
    <t>JARRA GRECIA 500ML CARAMELO-VERDE</t>
  </si>
  <si>
    <t>JARRA GRECIA 5LT-TRANSPARENTE</t>
  </si>
  <si>
    <t>PICO TAPAS JARRAS GRANDES-AMARILLO PATO</t>
  </si>
  <si>
    <t>PICO TAPAS JARRAS GRANDES-AZUL</t>
  </si>
  <si>
    <t>PICO TAPAS JARRAS GRANDES-ROJO</t>
  </si>
  <si>
    <t>PICO TAPAS JARRAS GRANDES-VERDE PASTO</t>
  </si>
  <si>
    <t>TAPAS JARRAS GRANDES-AMARILLO PATO</t>
  </si>
  <si>
    <t>TAPAS JARRAS GRANDES-AZUL</t>
  </si>
  <si>
    <t>TAPAS JARRAS GRANDES-ROJO</t>
  </si>
  <si>
    <t>TAPAS JARRAS GRANDES-VERDE PASTO</t>
  </si>
  <si>
    <t>JARRA REAL 6 LT.-TRANSPARENTE</t>
  </si>
  <si>
    <t>JARRA REAL 1.200 LT.-TRANSPARENTE</t>
  </si>
  <si>
    <t>PICO TAPA JARRA 1.2LT-AMARILLO PATO</t>
  </si>
  <si>
    <t>PICO TAPA JARRA 1.2LT-AZUL</t>
  </si>
  <si>
    <t>PICO TAPA JARRA 1.2LT-ROJO</t>
  </si>
  <si>
    <t>PICO TAPA JARRA 1.2LT-VERDE PASTO</t>
  </si>
  <si>
    <t>TAPA JARRA 1200ML-AMARILLO PATO</t>
  </si>
  <si>
    <t>TAPA JARRA 1200ML-AZUL</t>
  </si>
  <si>
    <t>TAPA JARRA 1200ML-ROJO</t>
  </si>
  <si>
    <t>TAPA JARRA 1200ML-VERDE PASTO</t>
  </si>
  <si>
    <t>SALSERO MULTIUSO 600ML-AMARILLO PATO</t>
  </si>
  <si>
    <t>SALSERO MULTIUSO 600ML-BLANCO</t>
  </si>
  <si>
    <t>SALSERO MULTIUSO 600ML-ROJO</t>
  </si>
  <si>
    <t>SALSERO MULTIUSO 600ML-VERD TELEFONICO</t>
  </si>
  <si>
    <t>TAPA SALSERO MULTIUSO-BLANCO</t>
  </si>
  <si>
    <t>TAPA SALSERO MULTIUSO-ROJO</t>
  </si>
  <si>
    <t>SALSERO IDEAL 300ML.-TRANSPARENTE</t>
  </si>
  <si>
    <t>SALSERO IDEAL 400ML.-TRANSPARENTE</t>
  </si>
  <si>
    <t>SALSERO MULTIUSO 1200ML-TRANSPARENTE</t>
  </si>
  <si>
    <t>TAPA SALSERO MULTIUSO-NEGRO</t>
  </si>
  <si>
    <t>TAPA SALSERO MULTIUSO-TRANSPARENTE</t>
  </si>
  <si>
    <t>SALSERO MULTIUSO 380ML-TRANSPARENTE</t>
  </si>
  <si>
    <t>SALSERO MULTIUSO 480ML-TRANSPARENTE</t>
  </si>
  <si>
    <t>SALSERO MULTIUSO 600ML-TRANSPARENTE</t>
  </si>
  <si>
    <t>TAPA CLICK-AMARILLO PATITO</t>
  </si>
  <si>
    <t>TAPA CLICK-ANARANJADO</t>
  </si>
  <si>
    <t>TAPA CLICK-FUCSIA</t>
  </si>
  <si>
    <t>TAPA CLICK-LILA</t>
  </si>
  <si>
    <t>TAPA CLICK-TURQUEZA</t>
  </si>
  <si>
    <t>TAPA CLICK-VERDE PASTO</t>
  </si>
  <si>
    <t>ORING ANILLO-TRANSPARENTE</t>
  </si>
  <si>
    <t>ORING ARGOLLA-TRANSPARENTE</t>
  </si>
  <si>
    <t>ORING PUNTA-TRANSPARENTE</t>
  </si>
  <si>
    <t>PUNTA TAPA SORBETE-TRANSPARENTE</t>
  </si>
  <si>
    <t>TAPAS SORBETE-AMARILLO PATITO</t>
  </si>
  <si>
    <t>TAPAS SORBETE-ANARANJADO</t>
  </si>
  <si>
    <t>TAPAS SORBETE-FUCSIA</t>
  </si>
  <si>
    <t>TAPAS SORBETE-LILA</t>
  </si>
  <si>
    <t>TAPAS SORBETE-TURQUEZA</t>
  </si>
  <si>
    <t>TAPAS SORBETE-VERDE PASTO</t>
  </si>
  <si>
    <t>TAPER 1100ML CARAMELO-AMARILLO</t>
  </si>
  <si>
    <t>TAPER 1100ML CARAMELO-ANARANJADO</t>
  </si>
  <si>
    <t>TAPER 1100ML CARAMELO-AZUL</t>
  </si>
  <si>
    <t>TAPER 1100ML CARAMELO-FUCSIA</t>
  </si>
  <si>
    <t>TAPER 1100ML CARAMELO-LILA</t>
  </si>
  <si>
    <t>TAPER 1100ML CARAMELO-VERDE</t>
  </si>
  <si>
    <t>TAPER 1100ML PASTEL-AMARILLO PASTEL</t>
  </si>
  <si>
    <t>TAPER 1100ML PASTEL-AZUL PASTEL</t>
  </si>
  <si>
    <t>TAPER 1100ML PASTEL-LILA BEBE</t>
  </si>
  <si>
    <t>TAPER 1100ML PASTEL-MELON PASTEL</t>
  </si>
  <si>
    <t>TAPER 1100ML PASTEL-ROSADO BEBE</t>
  </si>
  <si>
    <t>TAPER 1100ML SOLIDO-AMARILLO PATO</t>
  </si>
  <si>
    <t>TAPER 1100ML SOLIDO-ANARANJADO</t>
  </si>
  <si>
    <t>TAPER 1100ML SOLIDO-AZUL</t>
  </si>
  <si>
    <t>TAPER 1100ML SOLIDO-ROJO</t>
  </si>
  <si>
    <t>TAPER 1100ML SOLIDO-VERDE TELEFONICO</t>
  </si>
  <si>
    <t>TAPER 1100ML TRANSP.-TRANSPARENTE</t>
  </si>
  <si>
    <t>TAPER 550ML CARAMELO-AMARILLO</t>
  </si>
  <si>
    <t>TAPER 550ML CARAMELO-AZUL</t>
  </si>
  <si>
    <t>TAPER 550ML CARAMELO-FUCSIA</t>
  </si>
  <si>
    <t>TAPER 550ML CARAMELO-LILA</t>
  </si>
  <si>
    <t>TAPER 550ML CARAMELO-VERDE</t>
  </si>
  <si>
    <t>TAPER 550ML SOLIDO-AZUL</t>
  </si>
  <si>
    <t>TAPER 550ML SOLIDO-ROJO</t>
  </si>
  <si>
    <t>TAPER 550ML TRANSP.-TRANSPARENTE</t>
  </si>
  <si>
    <t>TAPER 2800ML CARAMELO-AMARILLO</t>
  </si>
  <si>
    <t>TAPER 2800ML CARAMELO-ANARANJADO</t>
  </si>
  <si>
    <t>TAPER 2800ML CARAMELO-AZUL</t>
  </si>
  <si>
    <t>TAPER 2800ML CARAMELO-FUCSIA</t>
  </si>
  <si>
    <t>TAPER 2800ML CARAMELO-LILA</t>
  </si>
  <si>
    <t>TAPER 2800ML CARAMELO-VERDE</t>
  </si>
  <si>
    <t>TAPER 2800ML PASTEL-AMARILLO PASTEL</t>
  </si>
  <si>
    <t>TAPER 2800ML PASTEL-AZUL PASTEL</t>
  </si>
  <si>
    <t>TAPER 2800ML PASTEL-LILA BEBE</t>
  </si>
  <si>
    <t>TAPER 2800ML PASTEL-MELON PASTEL</t>
  </si>
  <si>
    <t>TAPER 2800ML PASTEL-ROSADO BEBE</t>
  </si>
  <si>
    <t>TAPER 2800ML PASTEL-TURQUEZA PASTEL</t>
  </si>
  <si>
    <t>TAPER 2800ML SOLIDO-AMARILLO PATO</t>
  </si>
  <si>
    <t>TAPER 2800ML SOLIDO-ANARANJADO</t>
  </si>
  <si>
    <t>TAPER 2800ML SOLIDO-AZUL</t>
  </si>
  <si>
    <t>TAPER 2800ML SOLIDO-ROJO</t>
  </si>
  <si>
    <t>TAPER 2800ML SOLIDO-TURQUEZA</t>
  </si>
  <si>
    <t>TAPER 2800ML SOLIDO-VERDE TELEFONICO</t>
  </si>
  <si>
    <t>TAPER 2800ML TRANSP.-TRANSPARENTE</t>
  </si>
  <si>
    <t>TAPA TAZON 3.5KG. CARAMELO-AMARILLO</t>
  </si>
  <si>
    <t>TAPA TAZON 3.5KG. CARAMELO-ANARANJADO</t>
  </si>
  <si>
    <t>TAPA TAZON 3.5KG. CARAMELO-AZUL</t>
  </si>
  <si>
    <t>TAPA TAZON 3.5KG. CARAMELO-FUCSIA</t>
  </si>
  <si>
    <t>TAPA TAZON 3.5KG. CARAMELO-LILA</t>
  </si>
  <si>
    <t>TAPA TAZON 3.5KG. CARAMELO-VERDE</t>
  </si>
  <si>
    <t>TAZON 3.5KG. CARAMELO-AMARILLO</t>
  </si>
  <si>
    <t>TAZON 3.5KG. CARAMELO-ANARANJADO</t>
  </si>
  <si>
    <t>TAZON 3.5KG. CARAMELO-AZUL</t>
  </si>
  <si>
    <t>TAZON 3.5KG. CARAMELO-FUCSIA</t>
  </si>
  <si>
    <t>TAZON 3.5KG. CARAMELO-LILA</t>
  </si>
  <si>
    <t>TAZON 3.5KG. CARAMELO-VERDE</t>
  </si>
  <si>
    <t>TAPA TAZON 7KG. CARAMELO-AMARILLO</t>
  </si>
  <si>
    <t>TAPA TAZON 7KG. CARAMELO-ANARANJADO</t>
  </si>
  <si>
    <t>TAPA TAZON 7KG. CARAMELO-AZUL</t>
  </si>
  <si>
    <t>TAPA TAZON 7KG. CARAMELO-FUCSIA</t>
  </si>
  <si>
    <t>TAPA TAZON 7KG. CARAMELO-LILA</t>
  </si>
  <si>
    <t>TAPA TAZON 7KG. CARAMELO-VERDE</t>
  </si>
  <si>
    <t>TAZON 7KG. CARAMELO-AMARILLO</t>
  </si>
  <si>
    <t>TAZON 7KG. CARAMELO-ANARANJADO</t>
  </si>
  <si>
    <t>TAZON 7KG. CARAMELO-AZUL</t>
  </si>
  <si>
    <t>TAZON 7KG. CARAMELO-FUCSIA</t>
  </si>
  <si>
    <t>TAZON 7KG. CARAMELO-LILA</t>
  </si>
  <si>
    <t>VASO SORBETE CARAMELO-AMARILLO</t>
  </si>
  <si>
    <t>VASO SORBETE CARAMELO-ANARANJADO</t>
  </si>
  <si>
    <t>VASO SORBETE CARAMELO-AZUL</t>
  </si>
  <si>
    <t>VASO SORBETE CARAMELO-FUCSIA</t>
  </si>
  <si>
    <t>VASO SORBETE CARAMELO-LILA</t>
  </si>
  <si>
    <t>VASO SORBETE CARAMELO-VERDE</t>
  </si>
  <si>
    <t>VASO SORBETE SOLIDO-AMARILLO PATO</t>
  </si>
  <si>
    <t>VASO SORBETE SOLIDO-ANARANJADO</t>
  </si>
  <si>
    <t>VASO SORBETE SOLIDO-AZUL</t>
  </si>
  <si>
    <t>VASO SORBETE SOLIDO-FUCSIA</t>
  </si>
  <si>
    <t>VASO SORBETE SOLIDO-LILA</t>
  </si>
  <si>
    <t>VASO SORBETE SOLIDO-VERDE TELEFONICO</t>
  </si>
  <si>
    <t>2100SO210</t>
  </si>
  <si>
    <t>2102SO211</t>
  </si>
  <si>
    <t>2104SO214</t>
  </si>
  <si>
    <t>2106SO216</t>
  </si>
  <si>
    <t>2108SO219</t>
  </si>
  <si>
    <t>2110SO223</t>
  </si>
  <si>
    <t>2112SO210</t>
  </si>
  <si>
    <t>2114SO211</t>
  </si>
  <si>
    <t>2116SO214</t>
  </si>
  <si>
    <t>2118SO216</t>
  </si>
  <si>
    <t>2120SO219</t>
  </si>
  <si>
    <t>2122SO223</t>
  </si>
  <si>
    <t>2124SO210</t>
  </si>
  <si>
    <t>2126SO211</t>
  </si>
  <si>
    <t>2128SO214</t>
  </si>
  <si>
    <t>2130SO216</t>
  </si>
  <si>
    <t>2132SO219</t>
  </si>
  <si>
    <t>2134SO223</t>
  </si>
  <si>
    <t>2136SO210</t>
  </si>
  <si>
    <t>2138SO211</t>
  </si>
  <si>
    <t>2140SO214</t>
  </si>
  <si>
    <t>2142SO216</t>
  </si>
  <si>
    <t>2144SO219</t>
  </si>
  <si>
    <t>2146SO223</t>
  </si>
  <si>
    <t>2148SO210</t>
  </si>
  <si>
    <t>2150SO211</t>
  </si>
  <si>
    <t>2152SO214</t>
  </si>
  <si>
    <t>2154SO216</t>
  </si>
  <si>
    <t>2156SO219</t>
  </si>
  <si>
    <t>2158SO223</t>
  </si>
  <si>
    <t>2160SO210</t>
  </si>
  <si>
    <t>2162SO211</t>
  </si>
  <si>
    <t>2164SO214</t>
  </si>
  <si>
    <t>2166SO216</t>
  </si>
  <si>
    <t>2168SO219</t>
  </si>
  <si>
    <t>2170SO223</t>
  </si>
  <si>
    <t>2172SO210</t>
  </si>
  <si>
    <t>2174SO211</t>
  </si>
  <si>
    <t>2176SO214</t>
  </si>
  <si>
    <t>2178SO216</t>
  </si>
  <si>
    <t>2180SO219</t>
  </si>
  <si>
    <t>2182SO223</t>
  </si>
  <si>
    <t>2184SO210</t>
  </si>
  <si>
    <t>2186SO211</t>
  </si>
  <si>
    <t>2188SO214</t>
  </si>
  <si>
    <t>2190SO216</t>
  </si>
  <si>
    <t>2192SO219</t>
  </si>
  <si>
    <t>2194SO223</t>
  </si>
  <si>
    <t>2196SO210</t>
  </si>
  <si>
    <t>2198SO211</t>
  </si>
  <si>
    <t>2200SO214</t>
  </si>
  <si>
    <t>2202SO216</t>
  </si>
  <si>
    <t>2204SO219</t>
  </si>
  <si>
    <t>2206SO223</t>
  </si>
  <si>
    <t>2208SO224</t>
  </si>
  <si>
    <t>2212SO224</t>
  </si>
  <si>
    <t>2216SO110</t>
  </si>
  <si>
    <t>2217SO111</t>
  </si>
  <si>
    <t>2218SO115</t>
  </si>
  <si>
    <t>2219SO123</t>
  </si>
  <si>
    <t>2220SO110</t>
  </si>
  <si>
    <t>2221SO111</t>
  </si>
  <si>
    <t>2222SO112</t>
  </si>
  <si>
    <t>2223SO115</t>
  </si>
  <si>
    <t>2224SO116</t>
  </si>
  <si>
    <t>2225SO123</t>
  </si>
  <si>
    <t>2232SO110</t>
  </si>
  <si>
    <t>2233SO111</t>
  </si>
  <si>
    <t>2234SO112</t>
  </si>
  <si>
    <t>2235SO115</t>
  </si>
  <si>
    <t>2236SO116</t>
  </si>
  <si>
    <t>2237SO123</t>
  </si>
  <si>
    <t>2238SO113</t>
  </si>
  <si>
    <t>2239SO110</t>
  </si>
  <si>
    <t>2240SO111</t>
  </si>
  <si>
    <t>2241SO112</t>
  </si>
  <si>
    <t>2242SO115</t>
  </si>
  <si>
    <t>2243SO116</t>
  </si>
  <si>
    <t>2244SO123</t>
  </si>
  <si>
    <t>2245SO110</t>
  </si>
  <si>
    <t>2246SO111</t>
  </si>
  <si>
    <t>2247SO112</t>
  </si>
  <si>
    <t>2248SO115</t>
  </si>
  <si>
    <t>2249SO116</t>
  </si>
  <si>
    <t>2250SO123</t>
  </si>
  <si>
    <t>2257SO110</t>
  </si>
  <si>
    <t>2258SO111</t>
  </si>
  <si>
    <t>2259SO112</t>
  </si>
  <si>
    <t>2260SO115</t>
  </si>
  <si>
    <t>2261SO116</t>
  </si>
  <si>
    <t>2262SO123</t>
  </si>
  <si>
    <t>2263SO110</t>
  </si>
  <si>
    <t>2264SO111</t>
  </si>
  <si>
    <t>2265SO112</t>
  </si>
  <si>
    <t>2266SO115</t>
  </si>
  <si>
    <t>2267SO116</t>
  </si>
  <si>
    <t>2268SO123</t>
  </si>
  <si>
    <t>2338SO110</t>
  </si>
  <si>
    <t>2339SO111</t>
  </si>
  <si>
    <t>2340SO112</t>
  </si>
  <si>
    <t>2343SO123</t>
  </si>
  <si>
    <t>2353SO123</t>
  </si>
  <si>
    <t>2407SO123</t>
  </si>
  <si>
    <t>2415SO123</t>
  </si>
  <si>
    <t>2487SO123</t>
  </si>
  <si>
    <t>ALCANCIA ALBERTO GRANDE-AMARILLO</t>
  </si>
  <si>
    <t>ALCANCIA ALBERTO GRANDE-ANARANJADO</t>
  </si>
  <si>
    <t>ALCANCIA ALBERTO GRANDE-CELESTE</t>
  </si>
  <si>
    <t>ALCANCIA ALBERTO GRANDE-LILA</t>
  </si>
  <si>
    <t>ALCANCIA ALBERTO GRANDE-ROJO</t>
  </si>
  <si>
    <t>ALCANCIA ALBERTO GRANDE-VERDE TELEFONICO</t>
  </si>
  <si>
    <t>ALCANCIA ALBERTO MEDIANO-AMARILLO</t>
  </si>
  <si>
    <t>ALCANCIA ALBERTO MEDIANO-ANARANJADO</t>
  </si>
  <si>
    <t>ALCANCIA ALBERTO MEDIANO-CELESTE</t>
  </si>
  <si>
    <t>ALCANCIA ALBERTO MEDIANO-LILA</t>
  </si>
  <si>
    <t>ALCANCIA ALBERTO MEDIANO-ROJO</t>
  </si>
  <si>
    <t>ALCANCIA ALBERTO MEDIANO-VERDE TELEFONICO</t>
  </si>
  <si>
    <t>ALCANCIA BABY-AMARILLO</t>
  </si>
  <si>
    <t>ALCANCIA BABY-ANARANJADO</t>
  </si>
  <si>
    <t>ALCANCIA BABY-CELESTE</t>
  </si>
  <si>
    <t>ALCANCIA BABY-LILA</t>
  </si>
  <si>
    <t>ALCANCIA BABY-ROJO</t>
  </si>
  <si>
    <t>ALCANCIA BABY-VERDE TELEFONICO</t>
  </si>
  <si>
    <t>ALCANCIA CHAVEZ-AMARILLO</t>
  </si>
  <si>
    <t>ALCANCIA CHAVEZ-ANARANJADO</t>
  </si>
  <si>
    <t>ALCANCIA CHAVEZ-CELESTE</t>
  </si>
  <si>
    <t>ALCANCIA CHAVEZ-LILA</t>
  </si>
  <si>
    <t>ALCANCIA CHAVEZ-ROJO</t>
  </si>
  <si>
    <t>ALCANCIA CHAVEZ-VERDE TELEFONICO</t>
  </si>
  <si>
    <t>ALCANCIA CHICO-AMARILLO</t>
  </si>
  <si>
    <t>ALCANCIA CHICO-ANARANJADO</t>
  </si>
  <si>
    <t>ALCANCIA CHICO-CELESTE</t>
  </si>
  <si>
    <t>ALCANCIA CHICO-LILA</t>
  </si>
  <si>
    <t>ALCANCIA CHICO-ROJO</t>
  </si>
  <si>
    <t>ALCANCIA CHICO-VERDE TELEFONICO</t>
  </si>
  <si>
    <t>ALCANCIA C/CRIA-AMARILLO</t>
  </si>
  <si>
    <t>ALCANCIA C/CRIA-ANARANJADO</t>
  </si>
  <si>
    <t>ALCANCIA C/CRIA-CELESTE</t>
  </si>
  <si>
    <t>ALCANCIA C/CRIA-LILA</t>
  </si>
  <si>
    <t>ALCANCIA C/CRIA-ROJO</t>
  </si>
  <si>
    <t>ALCANCIA C/CRIA-VERDE TELEFONICO</t>
  </si>
  <si>
    <t>ALCANCIA CONEJO CHICO-AMARILLO</t>
  </si>
  <si>
    <t>ALCANCIA CONEJO CHICO-ANARANJADO</t>
  </si>
  <si>
    <t>ALCANCIA CONEJO CHICO-CELESTE</t>
  </si>
  <si>
    <t>ALCANCIA CONEJO CHICO-LILA</t>
  </si>
  <si>
    <t>ALCANCIA CONEJO CHICO-ROJO</t>
  </si>
  <si>
    <t>ALCANCIA CONEJO CHICO-VERDE TELEFONICO</t>
  </si>
  <si>
    <t>ALCANCIA CONEJO MEDIANO-AMARILLO</t>
  </si>
  <si>
    <t>ALCANCIA CONEJO MEDIANO-ANARANJADO</t>
  </si>
  <si>
    <t>ALCANCIA CONEJO MEDIANO-CELESTE</t>
  </si>
  <si>
    <t>ALCANCIA CONEJO MEDIANO-LILA</t>
  </si>
  <si>
    <t>ALCANCIA CONEJO MEDIANO-ROJO</t>
  </si>
  <si>
    <t>ALCANCIA CONEJO MEDIANO-VERDE TELEFONICO</t>
  </si>
  <si>
    <t>ALCANCIA MEDIANA-AMARILLO</t>
  </si>
  <si>
    <t>ALCANCIA MEDIANA-ANARANJADO</t>
  </si>
  <si>
    <t>ALCANCIA MEDIANA-CELESTE</t>
  </si>
  <si>
    <t>ALCANCIA MEDIANA-LILA</t>
  </si>
  <si>
    <t>ALCANCIA MEDIANA-ROJO</t>
  </si>
  <si>
    <t>ALCANCIA MEDIANA-VERDE TELEFONICO</t>
  </si>
  <si>
    <t>ALCANCIA PABLO GRANDE-CARNE</t>
  </si>
  <si>
    <t>ALCANCIA PABLO MEDIANO -CARNE</t>
  </si>
  <si>
    <t>ACCESORIOS PLAYEROS-AMARILLO</t>
  </si>
  <si>
    <t>ACCESORIOS PLAYEROS-ANARANJADO</t>
  </si>
  <si>
    <t>ACCESORIOS PLAYEROS-FUCSIA</t>
  </si>
  <si>
    <t>ACCESORIOS PLAYEROS-VERDE TELEFONICO</t>
  </si>
  <si>
    <t>BALDE CASTILLO-AMARILLO</t>
  </si>
  <si>
    <t>BALDE CASTILLO-ANARANJADO</t>
  </si>
  <si>
    <t>BALDE CASTILLO-AZUL</t>
  </si>
  <si>
    <t>BALDE CASTILLO-FUCSIA</t>
  </si>
  <si>
    <t>BALDE CASTILLO-LILA</t>
  </si>
  <si>
    <t>BALDE CASTILLO-VERDE TELEFONICO</t>
  </si>
  <si>
    <t>BROCHE BALDE PLAYERO-BLANCO</t>
  </si>
  <si>
    <t>CERNIDOR CASTILLO-AMARILLO</t>
  </si>
  <si>
    <t>CERNIDOR CASTILLO-ANARANJADO</t>
  </si>
  <si>
    <t>CERNIDOR CASTILLO-AZUL</t>
  </si>
  <si>
    <t>CERNIDOR CASTILLO-LILA</t>
  </si>
  <si>
    <t>CERNIDOR CASTILLO-VERDE TELEFONICO</t>
  </si>
  <si>
    <t>PALA RASTRILLO CASTILLO-AMARILLO</t>
  </si>
  <si>
    <t>PALA RASTRILLO CASTILLO-ANARANJADO</t>
  </si>
  <si>
    <t>PALA RASTRILLO CASTILLO-AZUL</t>
  </si>
  <si>
    <t>PALA RASTRILLO CASTILLO-VERDE TELEFONICO</t>
  </si>
  <si>
    <t>PALA RASTRILLO CASTILLO-FUCCIA</t>
  </si>
  <si>
    <t>BALDE ROMANO-AMARILLO</t>
  </si>
  <si>
    <t>BALDE ROMANO-ANARANJADO</t>
  </si>
  <si>
    <t>BALDE ROMANO-AZUL</t>
  </si>
  <si>
    <t>BALDE ROMANO-LILA</t>
  </si>
  <si>
    <t>PALA RASTRILLO ROMANO-AMARILLO</t>
  </si>
  <si>
    <t>PALA RASTRILLO ROMANO-ANARANJADO</t>
  </si>
  <si>
    <t>PALA RASTRILLO ROMANO-AZUL</t>
  </si>
  <si>
    <t>PALA RASTRILLO ROMANO-FUCCIA</t>
  </si>
  <si>
    <t>PALA RASTRILLO ROMANO-LILA</t>
  </si>
  <si>
    <t>CERNIDOR ROMANO-AMARILLO</t>
  </si>
  <si>
    <t>CERNIDOR ROMANO-ANARANJADO</t>
  </si>
  <si>
    <t>CERNIDOR ROMANO-AZUL</t>
  </si>
  <si>
    <t>CERNIDOR ROMANO-LILA</t>
  </si>
  <si>
    <t>CERNIDOR ROMANO-VERDE TELEFONICO</t>
  </si>
  <si>
    <t>CABEZA CABALLO-AMARILLO PATO</t>
  </si>
  <si>
    <t>CABEZA CABALLO-BLANCO</t>
  </si>
  <si>
    <t>CABEZA CABALLO-CREMA</t>
  </si>
  <si>
    <t>CABEZA CABALLO-NEGRO</t>
  </si>
  <si>
    <t>CABEZA CABALLO-PLOMO</t>
  </si>
  <si>
    <t>CABEZA CABALLO-ROJO</t>
  </si>
  <si>
    <t>EJE CABALLO-BLANCO</t>
  </si>
  <si>
    <t>LLANTAS CABALLO-BLANCO</t>
  </si>
  <si>
    <t>CANASTA CANDY-CREMA</t>
  </si>
  <si>
    <t>ANIMALES GANADERO-BLANCO</t>
  </si>
  <si>
    <t>ANIMALES GANADERO-NEGRO</t>
  </si>
  <si>
    <t>CHASIS ANDINO-AMARILLO</t>
  </si>
  <si>
    <t>CHASIS ANDINO-ANARANJADO</t>
  </si>
  <si>
    <t>CHASIS ANDINO-AZUL</t>
  </si>
  <si>
    <t>CHASIS ANDINO-CELESTE</t>
  </si>
  <si>
    <t>CHASIS ANDINO-ROJO</t>
  </si>
  <si>
    <t>CHASIS ANIDNO-VERDE</t>
  </si>
  <si>
    <t>LLANTAS CAMION-NEGRO</t>
  </si>
  <si>
    <t>TOLVA CAMION-AMARILLO</t>
  </si>
  <si>
    <t>TOLVA CAMION-ANARANJADO</t>
  </si>
  <si>
    <t>TOLVA CAMION-AZUL</t>
  </si>
  <si>
    <t>TOLVA CAMION-CELESTE</t>
  </si>
  <si>
    <t>TOLVA CAMION-ROJO</t>
  </si>
  <si>
    <t>TOLVA CAMION-VERDE</t>
  </si>
  <si>
    <t>CISTERNA AGUILA-BLANCO</t>
  </si>
  <si>
    <t>CISTERNA ANDINO-BLANCO</t>
  </si>
  <si>
    <t>CHASIS TOLVA TAXI-AMARILLO</t>
  </si>
  <si>
    <t>CHASIS TOLVA TAXI-ANARANJADO</t>
  </si>
  <si>
    <t>CHASIS TOLVA TAXI-AZUL</t>
  </si>
  <si>
    <t>CHASIS TOLVA TAXI-CELESTE</t>
  </si>
  <si>
    <t>CHASIS TOLVA TAXI-ROJO</t>
  </si>
  <si>
    <t>CHASIS TOLVA TAXI-VERDE</t>
  </si>
  <si>
    <t>LETRERO TAXI-BLANCO</t>
  </si>
  <si>
    <t>LLANTAS TAXI-NEGRO</t>
  </si>
  <si>
    <t>ANIMALES AGUILA-BLANCO</t>
  </si>
  <si>
    <t>ANIMALES AGUILA-NEGRO</t>
  </si>
  <si>
    <t>CHASIS AGUILA-AMARILLO</t>
  </si>
  <si>
    <t>CHASIS AGUILA-ANARANJADO</t>
  </si>
  <si>
    <t>CHASIS AGUILA-AZUL</t>
  </si>
  <si>
    <t>CHASIS AGUILA-CELESTE</t>
  </si>
  <si>
    <t>CHASIS AGUILA-ROJO</t>
  </si>
  <si>
    <t>CHASIS AGUILA-VERDE</t>
  </si>
  <si>
    <t>LLANTAS AGUILA-NEGRO</t>
  </si>
  <si>
    <t>TOLVA AGUILA-AMARILLO</t>
  </si>
  <si>
    <t>TOLVA AGUILA-ANARANJADO</t>
  </si>
  <si>
    <t>TOLVA AGUILA-AZUL</t>
  </si>
  <si>
    <t>TOLVA AGUILA-CELESTE</t>
  </si>
  <si>
    <t>TOLVA AGUILA-ROJO</t>
  </si>
  <si>
    <t>TOLVA AGUILA-VERDE</t>
  </si>
  <si>
    <t>CHASIS TOLVA JEEP-AMARILLO</t>
  </si>
  <si>
    <t>CHASIS TOLVA JEEP-ANARANJADO</t>
  </si>
  <si>
    <t>CHASIS TOLVA JEEP-AZUL</t>
  </si>
  <si>
    <t>CHASIS TOLVA JEEP-CELESTE</t>
  </si>
  <si>
    <t>CHASIS TOLVA JEEP-ROJO</t>
  </si>
  <si>
    <t>CHASIS TOLVA JEEP-VERDE</t>
  </si>
  <si>
    <t>ACCESORIOS PATRULLERO-NEGRO</t>
  </si>
  <si>
    <t>ARMAS PATRULLERO-NEGRO</t>
  </si>
  <si>
    <t>LLANTAS PATRULLERO-NEGRO</t>
  </si>
  <si>
    <t>PATRULLERO MILITAR-VERDE MILITAR</t>
  </si>
  <si>
    <t>PIN LLANTA PATRULLERO-BLANCO</t>
  </si>
  <si>
    <t>PLATAFORMA ARMA PATRULLERO-VERDE MILITAR</t>
  </si>
  <si>
    <t>SOLDADO PATRULLERO-VERDE MILITAR</t>
  </si>
  <si>
    <t>TANQUE PATRULLERO-NEGRO</t>
  </si>
  <si>
    <t>CHASIS VOLVO-AMARILLO</t>
  </si>
  <si>
    <t>CHASIS VOLVO-ANARANJADO</t>
  </si>
  <si>
    <t>CHASIS VOLVO-AZUL</t>
  </si>
  <si>
    <t>CHASIS VOLVO-CELESTE</t>
  </si>
  <si>
    <t>CHASIS VOLVO-ROJO</t>
  </si>
  <si>
    <t>CHASIS VOLVO-VERDE</t>
  </si>
  <si>
    <t>CISTERNA VOLVO-BLANCO</t>
  </si>
  <si>
    <t>DELANTERO VOLVO-AMARILLO</t>
  </si>
  <si>
    <t>DELANTERO VOLVO-ANARANJADO</t>
  </si>
  <si>
    <t>DELANTERO VOLVO-AZUL</t>
  </si>
  <si>
    <t>DELANTERO VOLVO-CELESTE</t>
  </si>
  <si>
    <t>DELANTERO VOLVO-ROJO</t>
  </si>
  <si>
    <t>DELANTERO VOLVO-VERDE</t>
  </si>
  <si>
    <t>LLANTAS VOLVO-NEGRO</t>
  </si>
  <si>
    <t>PIN LLANTA VOLVO-BLANCO</t>
  </si>
  <si>
    <t>PLATAFORMA VOLVO-AMARILLO</t>
  </si>
  <si>
    <t>PLATAFORMA VOLVO-ANARANJADO</t>
  </si>
  <si>
    <t>PLATAFORMA VOLVO-AZUL</t>
  </si>
  <si>
    <t>PLATAFORMA VOLVO-CELESTE</t>
  </si>
  <si>
    <t>PLATAFORMA VOLVO-ROJO</t>
  </si>
  <si>
    <t>PLATAFORMA VOLVO-VERDE</t>
  </si>
  <si>
    <t>TOLVA VOLQUETE AGUILA-AMARILLO</t>
  </si>
  <si>
    <t>TOLVA VOLQUETE AGUILA-ANARANJADO</t>
  </si>
  <si>
    <t>TOLVA VOLQUETE AGUILA-AZUL</t>
  </si>
  <si>
    <t>TOLVA VOLQUETE AGUILA-CELESTE</t>
  </si>
  <si>
    <t>TOLVA VOLQUETE AGUILA-ROJO</t>
  </si>
  <si>
    <t>TOLVA VOLQUETE AGUILA-VERDE</t>
  </si>
  <si>
    <t>PIEDRAS MINERAS-PLOMO</t>
  </si>
  <si>
    <t>TOLVA VOLQUETE ANDINO-AMARILLO</t>
  </si>
  <si>
    <t>TOLVA VOLQUETE ANDINO-ANARANJADO</t>
  </si>
  <si>
    <t>TOLVA VOLQUETE ANDINO-AZUL</t>
  </si>
  <si>
    <t>TOLVA VOLQUETE ANDINO-CELESTE</t>
  </si>
  <si>
    <t>TOLVA VOLQUETE ANDINO-ROJO</t>
  </si>
  <si>
    <t>TOLVA VOLQUETE ANDINO-VERDE</t>
  </si>
  <si>
    <t>TRONCO MADERA-MARRON</t>
  </si>
  <si>
    <t>CASCO-VERDE MILITAR</t>
  </si>
  <si>
    <t>CORREA CASCO-NEGRO</t>
  </si>
  <si>
    <t>CAMUFLAJE CASCO-VERDE MILITAR</t>
  </si>
  <si>
    <t>HORNILLA SET ANITA-BLANCO</t>
  </si>
  <si>
    <t>HUEVO Y CHOCLO ANITA-BLANCO</t>
  </si>
  <si>
    <t>PERILLAS ANITA-BLANCO</t>
  </si>
  <si>
    <t>SET DE COCINA ANITA-LILA BEBE</t>
  </si>
  <si>
    <t>SET DE COCINA ANITA-ROSADO</t>
  </si>
  <si>
    <t>SET DE COCINA ANITA-VERDE</t>
  </si>
  <si>
    <t>OLLA Y TETERA DANIELA-AMARILLO</t>
  </si>
  <si>
    <t>OLLA Y TETERA DANIELA-LILA BEBE</t>
  </si>
  <si>
    <t>OLLA Y TETERA DANIELA-ROJO</t>
  </si>
  <si>
    <t>OLLA Y TETERA DANIELA-ROSADO</t>
  </si>
  <si>
    <t>PLATOS DANIELA-AMARILLO</t>
  </si>
  <si>
    <t>PLATOS DANIELA-ANARANJADO</t>
  </si>
  <si>
    <t>PLATOS DANIELA-LILA BEBE</t>
  </si>
  <si>
    <t>PLATOS DANIELA-ROJO</t>
  </si>
  <si>
    <t>PLATOS DANIELA-ROSADO</t>
  </si>
  <si>
    <t>PLATOS DANIELA-VERDE</t>
  </si>
  <si>
    <t>TAZAS DANIELA-AMARILLO</t>
  </si>
  <si>
    <t>TAZAS DANIELA-LILA BEBE</t>
  </si>
  <si>
    <t>TAZAS DANIELA-ROJO</t>
  </si>
  <si>
    <t>TAZAS DANIELA-ROSADO</t>
  </si>
  <si>
    <t>JARRA PATTY-BLANCO</t>
  </si>
  <si>
    <t>MANTEQUILLERO PATTY-BLANCO</t>
  </si>
  <si>
    <t>PLATOS PATTY-AMARILLO</t>
  </si>
  <si>
    <t>PLATOS PATTY-ANARANJADO</t>
  </si>
  <si>
    <t>PLATOS PATTY-LILA BEBE</t>
  </si>
  <si>
    <t>PLATOS PATTY-ROSADO</t>
  </si>
  <si>
    <t>PLATOS PATTY-TURQUEZA</t>
  </si>
  <si>
    <t>PLATOS PATTY-VERDE</t>
  </si>
  <si>
    <t>TAZAS PATTY-AMARILLO</t>
  </si>
  <si>
    <t>TAZAS PATTY-ANARANJADO</t>
  </si>
  <si>
    <t>TAZAS PATTY-LILA BEBE</t>
  </si>
  <si>
    <t>TAZAS PATTY-ROSADO</t>
  </si>
  <si>
    <t>TAZAS PATTY-TURQUEZA</t>
  </si>
  <si>
    <t>TAZAS PATTY-VERDE</t>
  </si>
  <si>
    <t>CABEZA FABIOLA-CARNE</t>
  </si>
  <si>
    <t>CUERPO FABIOLA-CARNE</t>
  </si>
  <si>
    <t>CUERPO FABIOLA-CARNE PERFORADO</t>
  </si>
  <si>
    <t>EXTREMIDADES FABIOLA-CARNE</t>
  </si>
  <si>
    <t>ASA TETERA JANETH-BLANCO</t>
  </si>
  <si>
    <t>BASE TETERA JANETH-BLANCO</t>
  </si>
  <si>
    <t>CACEROLA JANETH-AMARILLO</t>
  </si>
  <si>
    <t>CACEROLA JANETH-ANARANJADO</t>
  </si>
  <si>
    <t>CACEROLA JANETH-LILA BEBE</t>
  </si>
  <si>
    <t>CACEROLA JANETH-ROSADO</t>
  </si>
  <si>
    <t>CACEROLA JANETH-TURQUEZA</t>
  </si>
  <si>
    <t>CACEROLA JANETH-VERDE</t>
  </si>
  <si>
    <t>COCINA JANETH-AMARILLO</t>
  </si>
  <si>
    <t>COCINA JANETH-ANARANJADO</t>
  </si>
  <si>
    <t>COCINA JANETH-LILA BEBE</t>
  </si>
  <si>
    <t>COCINA JANETH-ROSADO</t>
  </si>
  <si>
    <t>COCINA JANETH-TURQUEZA</t>
  </si>
  <si>
    <t>COCINA JANETH-VERDE</t>
  </si>
  <si>
    <t>HORNILLA JANETH-BLANCO</t>
  </si>
  <si>
    <t>MANGOS SARTEN Y CACEROLA JANETH-NEGRO</t>
  </si>
  <si>
    <t>SARTEN JANETH-NEGRO</t>
  </si>
  <si>
    <t>TAPAS CACEROLA JANETH-AMARILLO</t>
  </si>
  <si>
    <t>TAPAS CACEROLA JANETH-ANARANJADO</t>
  </si>
  <si>
    <t>TAPAS CACEROLA JANETH-LILA BEBE</t>
  </si>
  <si>
    <t>TAPAS CACEROLA JANETH-ROSADO</t>
  </si>
  <si>
    <t>TAPAS CACEROLA JANETH-TURQUEZA</t>
  </si>
  <si>
    <t>TAPAS CACEROLA JANETH-VERDE</t>
  </si>
  <si>
    <t>TETERA JANETH-AMARILLO</t>
  </si>
  <si>
    <t>TETERA JANETH-ANARANJADO</t>
  </si>
  <si>
    <t>TETERA JANETH-LILA BEBE</t>
  </si>
  <si>
    <t>TETERA JANETH-ROSADO</t>
  </si>
  <si>
    <t>TETERA JANETH-TURQUEZA</t>
  </si>
  <si>
    <t>TETERA JANETH-VERDE</t>
  </si>
  <si>
    <t>SOLDADO ATAQUE COLORES-AMARILLO</t>
  </si>
  <si>
    <t>SOLDADO ATAQUE COLORES-AZUL</t>
  </si>
  <si>
    <t>SOLDADO ATAQUE COLORES-ROJO</t>
  </si>
  <si>
    <t>SOLDADO ATAQUE COLORES-VERDE</t>
  </si>
  <si>
    <t>SOLDADO ATAQUE MILITAR-VERDE MILITAR</t>
  </si>
  <si>
    <t>BAQUETAS TAMBOR PERU-BLANCO</t>
  </si>
  <si>
    <t>TAPAS TAMBOR-BLANCO</t>
  </si>
  <si>
    <t>1190TR221</t>
  </si>
  <si>
    <t>1191SO118</t>
  </si>
  <si>
    <t>1192TR121</t>
  </si>
  <si>
    <t>1193TR221</t>
  </si>
  <si>
    <t>1195TR221</t>
  </si>
  <si>
    <t>1196SO110</t>
  </si>
  <si>
    <t>1197SO111</t>
  </si>
  <si>
    <t>1198SO115</t>
  </si>
  <si>
    <t>1199SO116</t>
  </si>
  <si>
    <t>1200SO122</t>
  </si>
  <si>
    <t>1201SO123</t>
  </si>
  <si>
    <t>1202SO110</t>
  </si>
  <si>
    <t>1203SO111</t>
  </si>
  <si>
    <t>1204SO115</t>
  </si>
  <si>
    <t>1205SO116</t>
  </si>
  <si>
    <t>1206SO122</t>
  </si>
  <si>
    <t>1207SO123</t>
  </si>
  <si>
    <t>1208TR121</t>
  </si>
  <si>
    <t>1209TR121</t>
  </si>
  <si>
    <t>1210TR121</t>
  </si>
  <si>
    <t>1211TR121</t>
  </si>
  <si>
    <t>1212SO110</t>
  </si>
  <si>
    <t>1213SO111</t>
  </si>
  <si>
    <t>1214SO115</t>
  </si>
  <si>
    <t>1215SO116</t>
  </si>
  <si>
    <t>1216SO122</t>
  </si>
  <si>
    <t>1217SO123</t>
  </si>
  <si>
    <t>1218CA110</t>
  </si>
  <si>
    <t>1219CA111</t>
  </si>
  <si>
    <t>1220CA112</t>
  </si>
  <si>
    <t>1221CA115</t>
  </si>
  <si>
    <t>1222CA116</t>
  </si>
  <si>
    <t>1223CA123</t>
  </si>
  <si>
    <t>1224PA110</t>
  </si>
  <si>
    <t>1225PA112</t>
  </si>
  <si>
    <t>1226PA116</t>
  </si>
  <si>
    <t>1227PA117</t>
  </si>
  <si>
    <t>1228PA120</t>
  </si>
  <si>
    <t>1229PA122</t>
  </si>
  <si>
    <t>1230SO110</t>
  </si>
  <si>
    <t>1231SO111</t>
  </si>
  <si>
    <t>1232SO112</t>
  </si>
  <si>
    <t>1233SO119</t>
  </si>
  <si>
    <t>1234SO122</t>
  </si>
  <si>
    <t>1235SO123</t>
  </si>
  <si>
    <t>1236TR121</t>
  </si>
  <si>
    <t>1237CA110</t>
  </si>
  <si>
    <t>1238CA111</t>
  </si>
  <si>
    <t>1239CA112</t>
  </si>
  <si>
    <t>1240CA115</t>
  </si>
  <si>
    <t>1241CA116</t>
  </si>
  <si>
    <t>1242CA123</t>
  </si>
  <si>
    <t>1243PA110</t>
  </si>
  <si>
    <t>1244PA112</t>
  </si>
  <si>
    <t>1245PA116</t>
  </si>
  <si>
    <t>1246PA117</t>
  </si>
  <si>
    <t>1247PA120</t>
  </si>
  <si>
    <t>1248PA122</t>
  </si>
  <si>
    <t>1249SO110</t>
  </si>
  <si>
    <t>1250SO111</t>
  </si>
  <si>
    <t>1251SO112</t>
  </si>
  <si>
    <t>1252SO119</t>
  </si>
  <si>
    <t>1253SO122</t>
  </si>
  <si>
    <t>1254SO123</t>
  </si>
  <si>
    <t>1255TR121</t>
  </si>
  <si>
    <t>1256CA110</t>
  </si>
  <si>
    <t>1257CA111</t>
  </si>
  <si>
    <t>1258CA112</t>
  </si>
  <si>
    <t>1259CA115</t>
  </si>
  <si>
    <t>1260CA116</t>
  </si>
  <si>
    <t>1261CA123</t>
  </si>
  <si>
    <t>1262PA110</t>
  </si>
  <si>
    <t>1263PA112</t>
  </si>
  <si>
    <t>1264PA116</t>
  </si>
  <si>
    <t>1265PA117</t>
  </si>
  <si>
    <t>1266PA120</t>
  </si>
  <si>
    <t>1267PA122</t>
  </si>
  <si>
    <t>1268SO110</t>
  </si>
  <si>
    <t>1269SO111</t>
  </si>
  <si>
    <t>1270SO112</t>
  </si>
  <si>
    <t>1271SO119</t>
  </si>
  <si>
    <t>1272SO122</t>
  </si>
  <si>
    <t>1273SO123</t>
  </si>
  <si>
    <t>1274TR121</t>
  </si>
  <si>
    <t>1275CA110</t>
  </si>
  <si>
    <t>1276CA111</t>
  </si>
  <si>
    <t>1277CA112</t>
  </si>
  <si>
    <t>1278CA115</t>
  </si>
  <si>
    <t>1279CA116</t>
  </si>
  <si>
    <t>1280CA123</t>
  </si>
  <si>
    <t>1281CA110</t>
  </si>
  <si>
    <t>1282CA111</t>
  </si>
  <si>
    <t>1283CA112</t>
  </si>
  <si>
    <t>1284CA115</t>
  </si>
  <si>
    <t>1285CA116</t>
  </si>
  <si>
    <t>1286CA123</t>
  </si>
  <si>
    <t>1293CA110</t>
  </si>
  <si>
    <t>1294CA111</t>
  </si>
  <si>
    <t>1295CA112</t>
  </si>
  <si>
    <t>1296CA115</t>
  </si>
  <si>
    <t>1297CA116</t>
  </si>
  <si>
    <t>1298CA123</t>
  </si>
  <si>
    <t>1299CA110</t>
  </si>
  <si>
    <t>1300CA111</t>
  </si>
  <si>
    <t>1301CA112</t>
  </si>
  <si>
    <t>1302CA115</t>
  </si>
  <si>
    <t>1303CA116</t>
  </si>
  <si>
    <t>1305CA110</t>
  </si>
  <si>
    <t>1306CA111</t>
  </si>
  <si>
    <t>1307CA112</t>
  </si>
  <si>
    <t>1308CA115</t>
  </si>
  <si>
    <t>1309CA116</t>
  </si>
  <si>
    <t>1310CA123</t>
  </si>
  <si>
    <t>1311SO110</t>
  </si>
  <si>
    <t>1312SO111</t>
  </si>
  <si>
    <t>1313SO112</t>
  </si>
  <si>
    <t>1314SO115</t>
  </si>
  <si>
    <t>1315SO116</t>
  </si>
  <si>
    <t>1316SO123</t>
  </si>
  <si>
    <t>2300SO110</t>
  </si>
  <si>
    <t>2301SO111</t>
  </si>
  <si>
    <t>2302SO112</t>
  </si>
  <si>
    <t>2305SO123</t>
  </si>
  <si>
    <t>2356SO123</t>
  </si>
  <si>
    <t>2382SO118</t>
  </si>
  <si>
    <t>2389SO123</t>
  </si>
  <si>
    <t>2397SO110</t>
  </si>
  <si>
    <t>2398SO111</t>
  </si>
  <si>
    <t>2399SO112</t>
  </si>
  <si>
    <t>2400SO114</t>
  </si>
  <si>
    <t>2401SO119</t>
  </si>
  <si>
    <t>2402SO123</t>
  </si>
  <si>
    <t>2425SO119</t>
  </si>
  <si>
    <t>2428SO110</t>
  </si>
  <si>
    <t>2429SO111</t>
  </si>
  <si>
    <t>2433SO123</t>
  </si>
  <si>
    <t>2446SO127</t>
  </si>
  <si>
    <t>2447SO123</t>
  </si>
  <si>
    <t>2371SO123</t>
  </si>
  <si>
    <t>2422SO110</t>
  </si>
  <si>
    <t>2423SO111</t>
  </si>
  <si>
    <t>2427SO123</t>
  </si>
  <si>
    <t>2434SO113</t>
  </si>
  <si>
    <t>2437SO111</t>
  </si>
  <si>
    <t>2438SO116</t>
  </si>
  <si>
    <t>2439SO120</t>
  </si>
  <si>
    <t>2459SO113</t>
  </si>
  <si>
    <t>2460SO113</t>
  </si>
  <si>
    <t>2461SO110</t>
  </si>
  <si>
    <t>2462SO111</t>
  </si>
  <si>
    <t>2463SO116</t>
  </si>
  <si>
    <t>2464SO120</t>
  </si>
  <si>
    <t>2465SO127</t>
  </si>
  <si>
    <t>2466SO123</t>
  </si>
  <si>
    <t>2491SO123</t>
  </si>
  <si>
    <t>2269SO113</t>
  </si>
  <si>
    <t>2270SO110</t>
  </si>
  <si>
    <t>2271SO111</t>
  </si>
  <si>
    <t>2272SO112</t>
  </si>
  <si>
    <t>2273SO115</t>
  </si>
  <si>
    <t>2274SO116</t>
  </si>
  <si>
    <t>2275SO123</t>
  </si>
  <si>
    <t>2276SO210</t>
  </si>
  <si>
    <t>2278SO213</t>
  </si>
  <si>
    <t>2280SO225</t>
  </si>
  <si>
    <t>2282SO218</t>
  </si>
  <si>
    <t>2284SO226</t>
  </si>
  <si>
    <t>2286SO219</t>
  </si>
  <si>
    <t>2288SO113</t>
  </si>
  <si>
    <t>2289SO113</t>
  </si>
  <si>
    <t>2296SO125</t>
  </si>
  <si>
    <t>2298SO213</t>
  </si>
  <si>
    <t>2299SO218</t>
  </si>
  <si>
    <t>2303SO114</t>
  </si>
  <si>
    <t>2304SO119</t>
  </si>
  <si>
    <t>2306SO118</t>
  </si>
  <si>
    <t>2307SO110</t>
  </si>
  <si>
    <t>2308SO111</t>
  </si>
  <si>
    <t>2309SO112</t>
  </si>
  <si>
    <t>2310SO114</t>
  </si>
  <si>
    <t>2311SO119</t>
  </si>
  <si>
    <t>2312SO123</t>
  </si>
  <si>
    <t>2313SO213</t>
  </si>
  <si>
    <t>2317SO213</t>
  </si>
  <si>
    <t>2321SO110</t>
  </si>
  <si>
    <t>2322SO111</t>
  </si>
  <si>
    <t>2323SO112</t>
  </si>
  <si>
    <t>2324SO114</t>
  </si>
  <si>
    <t>2325SO119</t>
  </si>
  <si>
    <t>2326SO123</t>
  </si>
  <si>
    <t>2327SO113</t>
  </si>
  <si>
    <t>2328SO118</t>
  </si>
  <si>
    <t>2329SO113</t>
  </si>
  <si>
    <t>2330SO118</t>
  </si>
  <si>
    <t>2331SO110</t>
  </si>
  <si>
    <t>2332SO111</t>
  </si>
  <si>
    <t>2333SO112</t>
  </si>
  <si>
    <t>2334SO114</t>
  </si>
  <si>
    <t>2335SO119</t>
  </si>
  <si>
    <t>2336SO123</t>
  </si>
  <si>
    <t>2337SO118</t>
  </si>
  <si>
    <t>2341SO114</t>
  </si>
  <si>
    <t>2342SO119</t>
  </si>
  <si>
    <t>2344SO110</t>
  </si>
  <si>
    <t>2345SO111</t>
  </si>
  <si>
    <t>2346SO112</t>
  </si>
  <si>
    <t>2347SO114</t>
  </si>
  <si>
    <t>2348SO119</t>
  </si>
  <si>
    <t>2349SO123</t>
  </si>
  <si>
    <t>2351SO118</t>
  </si>
  <si>
    <t>2352SO118</t>
  </si>
  <si>
    <t>2357SO123</t>
  </si>
  <si>
    <t>2445SO120</t>
  </si>
  <si>
    <t>2473SO113</t>
  </si>
  <si>
    <t>2350SO118</t>
  </si>
  <si>
    <t>2355SO113</t>
  </si>
  <si>
    <t>2359SO118</t>
  </si>
  <si>
    <t>2366SO110</t>
  </si>
  <si>
    <t>2367SO111</t>
  </si>
  <si>
    <t>2368SO112</t>
  </si>
  <si>
    <t>2369SO114</t>
  </si>
  <si>
    <t>2370SO119</t>
  </si>
  <si>
    <t>2372SO213</t>
  </si>
  <si>
    <t>2376SO110</t>
  </si>
  <si>
    <t>2377SO111</t>
  </si>
  <si>
    <t>2378SO112</t>
  </si>
  <si>
    <t>2379SO114</t>
  </si>
  <si>
    <t>2380SO119</t>
  </si>
  <si>
    <t>2381SO123</t>
  </si>
  <si>
    <t>2383SO113</t>
  </si>
  <si>
    <t>2384SO110</t>
  </si>
  <si>
    <t>2385SO111</t>
  </si>
  <si>
    <t>2386SO112</t>
  </si>
  <si>
    <t>2387SO114</t>
  </si>
  <si>
    <t>2388SO119</t>
  </si>
  <si>
    <t>2390SO110</t>
  </si>
  <si>
    <t>2391SO111</t>
  </si>
  <si>
    <t>2392SO112</t>
  </si>
  <si>
    <t>2393SO114</t>
  </si>
  <si>
    <t>2394SO119</t>
  </si>
  <si>
    <t>2395SO123</t>
  </si>
  <si>
    <t>2396SO126</t>
  </si>
  <si>
    <t>2403SO127</t>
  </si>
  <si>
    <t>2404SO123</t>
  </si>
  <si>
    <t>2406SO118</t>
  </si>
  <si>
    <t>2409SO113</t>
  </si>
  <si>
    <t>2410SO213</t>
  </si>
  <si>
    <t>2411SO113</t>
  </si>
  <si>
    <t>2412SO111</t>
  </si>
  <si>
    <t>2413SO116</t>
  </si>
  <si>
    <t>2414SO120</t>
  </si>
  <si>
    <t>2416SO210</t>
  </si>
  <si>
    <t>2417SO211</t>
  </si>
  <si>
    <t>2418SO216</t>
  </si>
  <si>
    <t>2419SO219</t>
  </si>
  <si>
    <t>2420SO220</t>
  </si>
  <si>
    <t>2421SO223</t>
  </si>
  <si>
    <t>2424SO116</t>
  </si>
  <si>
    <t>2426SO120</t>
  </si>
  <si>
    <t>2430SO116</t>
  </si>
  <si>
    <t>2431SO119</t>
  </si>
  <si>
    <t>2432SO120</t>
  </si>
  <si>
    <t>2435SO113</t>
  </si>
  <si>
    <t>2436SO110</t>
  </si>
  <si>
    <t>2440SO127</t>
  </si>
  <si>
    <t>2441SO123</t>
  </si>
  <si>
    <t>2442SO110</t>
  </si>
  <si>
    <t>2443SO111</t>
  </si>
  <si>
    <t>2444SO116</t>
  </si>
  <si>
    <t>2448SO224</t>
  </si>
  <si>
    <t>2452SO224</t>
  </si>
  <si>
    <t>2453SO224</t>
  </si>
  <si>
    <t>2454SO224</t>
  </si>
  <si>
    <t>2467SO210</t>
  </si>
  <si>
    <t>2468SO211</t>
  </si>
  <si>
    <t>2469SO216</t>
  </si>
  <si>
    <t>2470SO220</t>
  </si>
  <si>
    <t>2471SO227</t>
  </si>
  <si>
    <t>2472SO223</t>
  </si>
  <si>
    <t>2474SO118</t>
  </si>
  <si>
    <t>2475SO118</t>
  </si>
  <si>
    <t>2476SO110</t>
  </si>
  <si>
    <t>2477SO111</t>
  </si>
  <si>
    <t>2478SO116</t>
  </si>
  <si>
    <t>2479SO120</t>
  </si>
  <si>
    <t>2480SO127</t>
  </si>
  <si>
    <t>2481SO123</t>
  </si>
  <si>
    <t>2482SO110</t>
  </si>
  <si>
    <t>2483SO111</t>
  </si>
  <si>
    <t>2484SO116</t>
  </si>
  <si>
    <t>2485SO120</t>
  </si>
  <si>
    <t>2486SO127</t>
  </si>
  <si>
    <t>2488SO110</t>
  </si>
  <si>
    <t>2489SO112</t>
  </si>
  <si>
    <t>2490SO119</t>
  </si>
  <si>
    <t>2492SO123</t>
  </si>
  <si>
    <t>2493SO113</t>
  </si>
  <si>
    <t>2494SO113</t>
  </si>
  <si>
    <t>ALTA INYECCION</t>
  </si>
  <si>
    <t>ALTA SOPLADO</t>
  </si>
  <si>
    <t>PP SOPLADO</t>
  </si>
  <si>
    <t>PP CLARIFICADO</t>
  </si>
  <si>
    <t>ALTA INY COLORES</t>
  </si>
  <si>
    <t>ALTA SOP COLORES</t>
  </si>
  <si>
    <t>PP INY COLORES</t>
  </si>
  <si>
    <t>BALDE ROMANO-ROJO</t>
  </si>
  <si>
    <t>PALA RASTRILLO ROMANO-ROJO</t>
  </si>
  <si>
    <t>TAPA REPOSTEROS-ANARANJADO</t>
  </si>
  <si>
    <t>PP HOMOPOLIMERO</t>
  </si>
  <si>
    <t>PP COPOLIMERO</t>
  </si>
  <si>
    <t>HT 250 B</t>
  </si>
  <si>
    <t>LUIS PINEDO</t>
  </si>
  <si>
    <t>MIXTO</t>
  </si>
  <si>
    <t>TAPA REPOSTEROS</t>
  </si>
  <si>
    <t>FLORERO ITALIANO</t>
  </si>
  <si>
    <t>FLORERO CISNE</t>
  </si>
  <si>
    <t>FLORERO ORIENTAL</t>
  </si>
  <si>
    <t>FLORERO PERSA</t>
  </si>
  <si>
    <t>ACCESORIOS PLAYERO  X 4</t>
  </si>
  <si>
    <t>ANIMALES AGUILA</t>
  </si>
  <si>
    <t>TAPA TAZON REAL 7KG.</t>
  </si>
  <si>
    <t>CERNIDOR CASTILLO</t>
  </si>
  <si>
    <t>CERNIDOR ROMANO</t>
  </si>
  <si>
    <t>CHASIS AGUILA</t>
  </si>
  <si>
    <t>CHASIS GANADERO</t>
  </si>
  <si>
    <t>EMBUDO Nº4</t>
  </si>
  <si>
    <t>HORNILLA JANETH</t>
  </si>
  <si>
    <t>HORNILLA SET ANITA</t>
  </si>
  <si>
    <t>HUEVO Y CHOCLO ANITA</t>
  </si>
  <si>
    <t>JARRA PATTY</t>
  </si>
  <si>
    <t>LETRERO TAXI</t>
  </si>
  <si>
    <t>LLANTAS AGUILA</t>
  </si>
  <si>
    <t>LLANTAS CABALLO</t>
  </si>
  <si>
    <t>LLANTAS PATRULLERO</t>
  </si>
  <si>
    <t>LLANTAS TAXI</t>
  </si>
  <si>
    <t>LLANTAS VOLVO</t>
  </si>
  <si>
    <t>MANGOS SARTEN Y CACEROLA JANETH</t>
  </si>
  <si>
    <t>MANTEQUILLERO PATTY</t>
  </si>
  <si>
    <t>MTAPA MOSTACEROS</t>
  </si>
  <si>
    <t>OLLA Y TETERA DANIELA</t>
  </si>
  <si>
    <t>ORING DE TAPAS CHICO</t>
  </si>
  <si>
    <t>ORING ANILLO</t>
  </si>
  <si>
    <t>PALA Y RASTRILLO CASTILLO</t>
  </si>
  <si>
    <t>PALA Y RASTRILLO ROMANO</t>
  </si>
  <si>
    <t>PERILLAS ANITA</t>
  </si>
  <si>
    <t>PICO TAPA JARRA 1.200 LT</t>
  </si>
  <si>
    <t>PICO TAPA JARRA 5 Y 6 LT.</t>
  </si>
  <si>
    <t>PIN LLANTA PATRULLERO</t>
  </si>
  <si>
    <t>PIN LLANTA VOLVO</t>
  </si>
  <si>
    <t>PLATAFORMA ARMA PATRULLERO</t>
  </si>
  <si>
    <t>PLATAFORMA VOLVO</t>
  </si>
  <si>
    <t>PLATOS DANIELA</t>
  </si>
  <si>
    <t>PLATOS PATTY</t>
  </si>
  <si>
    <t>PTAPA PULPIN</t>
  </si>
  <si>
    <t>PUNTA MOSTACEROS</t>
  </si>
  <si>
    <t>REJAS VOLVO</t>
  </si>
  <si>
    <t>REPOSTERO REAL 4 KG</t>
  </si>
  <si>
    <t>REPOSTERO REAL 6 KG</t>
  </si>
  <si>
    <t>SARTEN JANETH</t>
  </si>
  <si>
    <t>SET DE COCINA ANITA</t>
  </si>
  <si>
    <t>SOLDADO COLORES</t>
  </si>
  <si>
    <t>SOLDADO MILITAR</t>
  </si>
  <si>
    <t>TAPA SALSEROS MULTIUSO</t>
  </si>
  <si>
    <t>TANQUE PATRULLERO</t>
  </si>
  <si>
    <t>TAPAS CACEROLA JANETH</t>
  </si>
  <si>
    <t>TAPAS TAMBOR</t>
  </si>
  <si>
    <t>TAZAS DANIELA</t>
  </si>
  <si>
    <t>TAZAS PATTY</t>
  </si>
  <si>
    <t>TAZON REAL 7KG.</t>
  </si>
  <si>
    <t>TETERA JANETH</t>
  </si>
  <si>
    <t>TOLVA AGUILA</t>
  </si>
  <si>
    <t>TOLVA VOLQUETE AGUILA</t>
  </si>
  <si>
    <t>TOLVA VOLQUETE ANDINO</t>
  </si>
  <si>
    <t>TOLVA VOLQUETE VOLVO</t>
  </si>
  <si>
    <t>TRONCO MADERA</t>
  </si>
  <si>
    <t>VASO SORBETE SOLIDO</t>
  </si>
  <si>
    <t>SOLDADO COMANDO MILITAR</t>
  </si>
  <si>
    <t>PIEDRAS MINERAS</t>
  </si>
  <si>
    <t>REGADERA ELEFANTE</t>
  </si>
  <si>
    <t>CAV</t>
  </si>
  <si>
    <t>TAPA  JARRA 1200 ML.</t>
  </si>
  <si>
    <t>TAPA JARRA 5 Y 6 LT.</t>
  </si>
  <si>
    <t>MOSTACERO #3</t>
  </si>
  <si>
    <t>TAZON REAL 3.5KG.</t>
  </si>
  <si>
    <t>Pieza-Color</t>
  </si>
  <si>
    <t>BRAYAN PINEDO</t>
  </si>
  <si>
    <t xml:space="preserve">HT160 B </t>
  </si>
  <si>
    <t>HT 250 A</t>
  </si>
  <si>
    <t>SOP B</t>
  </si>
  <si>
    <t>NELSON PINEDO</t>
  </si>
  <si>
    <t>EDUARDO HERNANDEZ</t>
  </si>
  <si>
    <t>JOSE AMADOR</t>
  </si>
  <si>
    <t>JOSE LUIS RENGIFO</t>
  </si>
  <si>
    <t>ROSA MERINO</t>
  </si>
  <si>
    <t>VASO SORBETE CARAMELO</t>
  </si>
  <si>
    <t>TAPER ALEMAN 1100ML. CARAMELO</t>
  </si>
  <si>
    <t>TAPER ALEMAN 550ML. CARAMELO</t>
  </si>
  <si>
    <t>TAPER ALEMAN 2800ML. CARAMELO</t>
  </si>
  <si>
    <t>TAPER ALEMAN 1100ML. PASTEL</t>
  </si>
  <si>
    <t>TAPER ALEMAN 1100ML. TRANSP.</t>
  </si>
  <si>
    <t>ALCANCIA ALBERTO GRANDE</t>
  </si>
  <si>
    <t>ALCANCIA BABY</t>
  </si>
  <si>
    <t>ALCANCIA CHICO</t>
  </si>
  <si>
    <t>ALCANCIA CONEJO CHICO</t>
  </si>
  <si>
    <t>ALCANCIA CONEJO MEDIANO</t>
  </si>
  <si>
    <t>ALCANCIA CHAVEZ</t>
  </si>
  <si>
    <t>BALDE CASTILLO</t>
  </si>
  <si>
    <t>JARRA GRECIA 5LT.</t>
  </si>
  <si>
    <t>JARRA REAL 1200 ML.</t>
  </si>
  <si>
    <t>JARRA GRECIA 500ML. CARAMELO</t>
  </si>
  <si>
    <t>JARRA GRECIA 500ML. TRANSP.</t>
  </si>
  <si>
    <t>JARRA REAL 6LT.</t>
  </si>
  <si>
    <t>LLANTAS CAMION</t>
  </si>
  <si>
    <t>PUNTA TAPA SORBETE</t>
  </si>
  <si>
    <t>TAPA TAZON REAL 3.5KG.</t>
  </si>
  <si>
    <t>TAPAS SORBETE</t>
  </si>
  <si>
    <t>Horas Trab.</t>
  </si>
  <si>
    <t>Coladas</t>
  </si>
  <si>
    <t xml:space="preserve"> HT 250 A</t>
  </si>
  <si>
    <t>TAPA SALSEROS CLICK</t>
  </si>
  <si>
    <t>1317SO119</t>
  </si>
  <si>
    <t>1318SO110</t>
  </si>
  <si>
    <t>1319SO113</t>
  </si>
  <si>
    <t>1320SO123</t>
  </si>
  <si>
    <t>1321SO119</t>
  </si>
  <si>
    <t>1322SO110</t>
  </si>
  <si>
    <t>1323SO113</t>
  </si>
  <si>
    <t>1324SO123</t>
  </si>
  <si>
    <t>PUNTA SALSERO CLICK-ROJO</t>
  </si>
  <si>
    <t>PUNTA SALSERO CLICK -AMARILLO</t>
  </si>
  <si>
    <t>PUNTA SALSERO CLICK -BLANCO</t>
  </si>
  <si>
    <t>PUNTA SALSERO CLICK -VERDE</t>
  </si>
  <si>
    <t>TAPA SALSERO CLICK-ROJO</t>
  </si>
  <si>
    <t>TAPA SALSERO CLICK -AMARILLO</t>
  </si>
  <si>
    <t>TAPA SALSERO CLICK -BLANCO</t>
  </si>
  <si>
    <t>TAPA SALSERO CLICK -VERDE</t>
  </si>
  <si>
    <t>SOP AUTOM.</t>
  </si>
  <si>
    <t xml:space="preserve">SALSERO IDEAL </t>
  </si>
  <si>
    <t>HT160 A</t>
  </si>
  <si>
    <t>DAINER AGUDENO</t>
  </si>
  <si>
    <t>JUANA CRUCES</t>
  </si>
  <si>
    <t>SET DE COCINA ANITA-AMARILLO</t>
  </si>
  <si>
    <t>SALSERO 300 ML.</t>
  </si>
  <si>
    <t>TAPA PARA GEL</t>
  </si>
  <si>
    <t>AÑO</t>
  </si>
  <si>
    <t>2021</t>
  </si>
  <si>
    <t>ROCEADOR REDONDO</t>
  </si>
  <si>
    <t>ROCEADOR ROLLITO</t>
  </si>
  <si>
    <t>GUSTAVO IBARRA</t>
  </si>
  <si>
    <t>PP SOP TRANSP.</t>
  </si>
  <si>
    <t>CYNTHIA MURGA</t>
  </si>
  <si>
    <t>CANASTA CAROLINA-ROSADO</t>
  </si>
  <si>
    <t>CANASTA CAROLINA-LILA</t>
  </si>
  <si>
    <t>CANASTA CAROLINA-MELON</t>
  </si>
  <si>
    <t>ASA DE CANASTA CAROLINA-BLANCO</t>
  </si>
  <si>
    <t>ASA MINICANASTA-BLANCO</t>
  </si>
  <si>
    <t>CEPILLO ESPONJA-LILA</t>
  </si>
  <si>
    <t>MINICANASTA-ROSADO</t>
  </si>
  <si>
    <t>MINICANASTA-LILA</t>
  </si>
  <si>
    <t>MINICANASTA-MELON</t>
  </si>
  <si>
    <t>MINICANASTA-TURQUEZA</t>
  </si>
  <si>
    <t>MINICANASTA</t>
  </si>
  <si>
    <t>ASAS DE MINICANASTA</t>
  </si>
  <si>
    <t>BETSABETH CANTARO</t>
  </si>
  <si>
    <t>RICARDO MURGA</t>
  </si>
  <si>
    <t>PANERITA MANZANA-ROSADO</t>
  </si>
  <si>
    <t xml:space="preserve">PANERITA CORAZON </t>
  </si>
  <si>
    <t>PANERITA MANZANA</t>
  </si>
  <si>
    <t>SALSERO REAL 400 ML</t>
  </si>
  <si>
    <t>TAPA JARRA 1200 PASTEL</t>
  </si>
  <si>
    <t>PICO DE TAPA DE JARRA 1200 PASTEL</t>
  </si>
  <si>
    <t>TAPAS NUEVAS SALSAS</t>
  </si>
  <si>
    <t>MARIELA ZEGARRA</t>
  </si>
  <si>
    <t>EMBUDO GIGANTE-ANARANJADO</t>
  </si>
  <si>
    <t>PUNTA DOBLE CLICK-AMARILLO PATITO</t>
  </si>
  <si>
    <t>PUNTA DOBLE CLICK-ANARANJADO</t>
  </si>
  <si>
    <t>PUNTA DOBLE CLICK-FUCSIA</t>
  </si>
  <si>
    <t>PUNTA DOBLE CLICK-LILA</t>
  </si>
  <si>
    <t>PUNTA DOBLE CLICK-TURQUEZA</t>
  </si>
  <si>
    <t>PUNTA DOBLE CLICK-VERDE TELEFONICO</t>
  </si>
  <si>
    <t>TAPA TOMATODO 2 CLICK-AMARILLO PATITO</t>
  </si>
  <si>
    <t>TAPA  TOMATODO 2 CLICK-ANARANJADO</t>
  </si>
  <si>
    <t>TAPA TOMATODO 2 CLICK-FUCSIA</t>
  </si>
  <si>
    <t>TAPA TOMATODO 2 CLICK-LILA</t>
  </si>
  <si>
    <t>PUNTA DOBLE CLICK</t>
  </si>
  <si>
    <t>TAPA TOMATODO 2 CLICK</t>
  </si>
  <si>
    <t>HT 250 C</t>
  </si>
  <si>
    <t>VASO SORBETE PASTEL</t>
  </si>
  <si>
    <t>NOEMI JULCA</t>
  </si>
  <si>
    <t>STIVEN CRISPIN</t>
  </si>
  <si>
    <t>HT 380 A</t>
  </si>
  <si>
    <t>NICIDA FERIA</t>
  </si>
  <si>
    <t>SET DE COCINA ANITA-TURQUEZA</t>
  </si>
  <si>
    <t>TOMA TODO 750-AMARILLO</t>
  </si>
  <si>
    <t>TOMATODO 750-AZUL</t>
  </si>
  <si>
    <t>TOMATODO 750 -LILA</t>
  </si>
  <si>
    <t>TOMATODO 750 -FUCSIA</t>
  </si>
  <si>
    <t>TOMATODO 750 -ANARANJADO</t>
  </si>
  <si>
    <t>TOMA TODO 750ML</t>
  </si>
  <si>
    <t>EMBUDO Nº4-TURQUEZA</t>
  </si>
  <si>
    <t>EMBUDO Nº4-ANARANJADO</t>
  </si>
  <si>
    <t>EMBUDO Nº4-LILA</t>
  </si>
  <si>
    <t>EMBUDO Nº4-AZUL-CELESTE</t>
  </si>
  <si>
    <t>BALDE REAL</t>
  </si>
  <si>
    <t>BALDE REAL-AMARILLO</t>
  </si>
  <si>
    <t>BALDE REAL-AZUL</t>
  </si>
  <si>
    <t>BALDE REAL-VERDE</t>
  </si>
  <si>
    <t>BALDE REAL-FUCCIA</t>
  </si>
  <si>
    <t>BALDE REAL-ANARANJADO</t>
  </si>
  <si>
    <t>BALDE REAL-ROJO</t>
  </si>
  <si>
    <t>FLORERO ITALIANO GRANDE</t>
  </si>
  <si>
    <t>septiembre</t>
  </si>
  <si>
    <t>ACCESORIOS PLAYEROS-AZUL</t>
  </si>
  <si>
    <t>BARCO PLAYERO-AMARILLO</t>
  </si>
  <si>
    <t>BARCO PLAYERO-AZUL</t>
  </si>
  <si>
    <t>BARCO PLAYERO-VERDE</t>
  </si>
  <si>
    <t>BARCO PLAYERO-ANARANJADO</t>
  </si>
  <si>
    <t>BARCO PLAYERO-ROJO</t>
  </si>
  <si>
    <t>BARCO PLAYERO FUCSIA</t>
  </si>
  <si>
    <t>BARCO PLAYERO</t>
  </si>
  <si>
    <t>CONO CASTILLOO-AMARILLO PATO</t>
  </si>
  <si>
    <t>CONO CASTILLO-VERDE</t>
  </si>
  <si>
    <t>CONO CASTILLO-ROJO</t>
  </si>
  <si>
    <t>BALDE ROMANO IMPORTADO-AMARILLO</t>
  </si>
  <si>
    <t>BALDE ROMANO IMPORTADO-ANARANJADO</t>
  </si>
  <si>
    <t>BALDE ROMANO IMPORTADO-ROJO</t>
  </si>
  <si>
    <t>BALDE ROMANO IMPORTADO-VERDE</t>
  </si>
  <si>
    <t>BALDE ROMANO IMPORTADO-AZUL</t>
  </si>
  <si>
    <t>SEBASTIAN CRUZ</t>
  </si>
  <si>
    <t>CONO CASTILLO PASTEL-MELON</t>
  </si>
  <si>
    <t>PP INY MOLIDO</t>
  </si>
  <si>
    <t>TAZAS DANIELA-MELON</t>
  </si>
  <si>
    <t>JOSE BATISTA</t>
  </si>
  <si>
    <t>CERNIDOR ROMANO-ROJO</t>
  </si>
  <si>
    <t>noviembre</t>
  </si>
  <si>
    <t>PALA RASTRILLO CASTILLO-LILA</t>
  </si>
  <si>
    <t>ALTA INY SEGUNDA R1</t>
  </si>
  <si>
    <t>CHASIS DE CAMION GRANDE-CELESTE</t>
  </si>
  <si>
    <t>CHASIS DE CAMION GRANDE-ANARANJADO</t>
  </si>
  <si>
    <t>CHASIS DE CAMION GRANDE-ROJO</t>
  </si>
  <si>
    <t>Noviembre</t>
  </si>
  <si>
    <t>TOLVAS DE CAMION GRANDE</t>
  </si>
  <si>
    <t>BALDE CASTILLO-ROJO</t>
  </si>
  <si>
    <t>CHASIS DE CAMION GRANDE</t>
  </si>
  <si>
    <t>diciembre</t>
  </si>
  <si>
    <t>PUNTA DOBLE CLICK-CELESTE</t>
  </si>
  <si>
    <t>CUERNOS DE TORO-BLANCO</t>
  </si>
  <si>
    <t>TOVAS DE CAMION GRANDE-AZUL</t>
  </si>
  <si>
    <t>TOVAS DE CAMION GRANDE-CELESTE</t>
  </si>
  <si>
    <t>BARCO PLAYERO-LILA</t>
  </si>
  <si>
    <t>BROCHE CAMPANA-BLANCO</t>
  </si>
  <si>
    <t>BROCHE CAMPANA</t>
  </si>
  <si>
    <t>enero</t>
  </si>
  <si>
    <t>2022</t>
  </si>
  <si>
    <t>FECHA</t>
  </si>
  <si>
    <t>ALTA INY MOLIDO</t>
  </si>
  <si>
    <t>TOMA TODO 300</t>
  </si>
  <si>
    <t>RAQUEL SERNAQUE</t>
  </si>
  <si>
    <t>PORTA ACCESORIO</t>
  </si>
  <si>
    <t>FLORERO ITALIANO CARAMELO-AMARILLO</t>
  </si>
  <si>
    <t>FLORERO ITALIANO CARAMELO-VERDE</t>
  </si>
  <si>
    <t>FLORERO ITALIANO CARAMELO-AZUL</t>
  </si>
  <si>
    <t>FLORERO ITALIANO CARAMELO-LILA</t>
  </si>
  <si>
    <t>FLORERO ITALIANO CARAMELO</t>
  </si>
  <si>
    <t>COLORES</t>
  </si>
  <si>
    <t>ANARANJADO</t>
  </si>
  <si>
    <t>CARNE</t>
  </si>
  <si>
    <t>CELESTE</t>
  </si>
  <si>
    <t>CREMA</t>
  </si>
  <si>
    <t>FUCSIA</t>
  </si>
  <si>
    <t>LILA</t>
  </si>
  <si>
    <t>MARRON</t>
  </si>
  <si>
    <t>MELON</t>
  </si>
  <si>
    <t>NEGRO</t>
  </si>
  <si>
    <t>PLOMO</t>
  </si>
  <si>
    <t>ROSADO</t>
  </si>
  <si>
    <t>TRANSPARENTE</t>
  </si>
  <si>
    <t>TURQUEZA</t>
  </si>
  <si>
    <t>PASTEL TURQUEZA</t>
  </si>
  <si>
    <t>VERDE</t>
  </si>
  <si>
    <t>Color Merma</t>
  </si>
  <si>
    <t>Peso Merma</t>
  </si>
  <si>
    <t>Peso Chancaca</t>
  </si>
  <si>
    <t>CANASTA PICNIC-ROSADO</t>
  </si>
  <si>
    <t>ASA DE CANASTA PICNIC-BLANCO</t>
  </si>
  <si>
    <t>VASO MUNDO MANZANITA</t>
  </si>
  <si>
    <t>VASO MUNDO MANZANITA CARAMELO-AMARILLO</t>
  </si>
  <si>
    <t>VASO MUNDO MANZANITA CARAMELO-VERDE</t>
  </si>
  <si>
    <t>VASO MUNDO MANZANITA CARAMELO-AZUL</t>
  </si>
  <si>
    <t>VASO MUNDO MANZANITA CARAMELO-LILA</t>
  </si>
  <si>
    <t>FRUTERO CORONA-LILA</t>
  </si>
  <si>
    <t>FRUTERO CORONA-MELON</t>
  </si>
  <si>
    <t xml:space="preserve">VASO MUNDO MANZANITA </t>
  </si>
  <si>
    <t xml:space="preserve">FRUTERO CORONITA </t>
  </si>
  <si>
    <t>BASE PORTA VAJILLA</t>
  </si>
  <si>
    <t>BASE PORTA VAJILLA-TRANSPARENTE</t>
  </si>
  <si>
    <t>ESCURRIDOR PORTAVAJILLA-MELON</t>
  </si>
  <si>
    <t>ESCURRIDOR PORTAVAJILLA-ROSADO</t>
  </si>
  <si>
    <t>ESCURRIDOR PORTAVAJILLA-LILA</t>
  </si>
  <si>
    <t>LAVACUELA REDONDO</t>
  </si>
  <si>
    <t>LAVACUELA REDONDO-CREMA</t>
  </si>
  <si>
    <t>LAVACUELA REDONDO-ROSADO</t>
  </si>
  <si>
    <t>LAVACUELA REDONDO-LILA</t>
  </si>
  <si>
    <t>BASE PORTA VAJILLA CARAMELO-LILA</t>
  </si>
  <si>
    <t>BASE PORTA VAJILLA CARAMELO-CREMA</t>
  </si>
  <si>
    <t>BASE PORTA VAJILLA CARAMELO-MELON</t>
  </si>
  <si>
    <t>BASE PORTA VAJILLA CARAMELO-VERDE</t>
  </si>
  <si>
    <t>BASE PORTA VAJILLA CARAMELO</t>
  </si>
  <si>
    <t>Suma de Peso Merma</t>
  </si>
  <si>
    <t>JUAN SORIA</t>
  </si>
  <si>
    <t>TAPER 1100ML CARAMELO-ROJO</t>
  </si>
  <si>
    <t>TAPER 550ML CARAMELO-ROJO</t>
  </si>
  <si>
    <t>Junio</t>
  </si>
  <si>
    <t>LESLIE CALDERAS</t>
  </si>
  <si>
    <t>PLATOS DANIELA-TURQUESA</t>
  </si>
  <si>
    <t>PLATOS DANIELA-MELON</t>
  </si>
  <si>
    <t>TAPA FLIP TOP</t>
  </si>
  <si>
    <t>HT120 A</t>
  </si>
  <si>
    <t>PLATOS PATTY-MELON</t>
  </si>
  <si>
    <t>ANIMALES AGUILA-PLOMO</t>
  </si>
  <si>
    <t>ESCURRIDOR PORTAVAJILLA-CREMA</t>
  </si>
  <si>
    <t>Julio</t>
  </si>
  <si>
    <t>OP0161</t>
  </si>
  <si>
    <t>OP0174</t>
  </si>
  <si>
    <t>OP0196</t>
  </si>
  <si>
    <t>HT 200 A</t>
  </si>
  <si>
    <t>OP0191</t>
  </si>
  <si>
    <t>OP0175</t>
  </si>
  <si>
    <t>Cod Linea</t>
  </si>
  <si>
    <t>Linea</t>
  </si>
  <si>
    <t>FAMILIA</t>
  </si>
  <si>
    <t>PRODUCTO</t>
  </si>
  <si>
    <t>Cod Pieza</t>
  </si>
  <si>
    <t>Piezas 1</t>
  </si>
  <si>
    <t>Cod Col</t>
  </si>
  <si>
    <t>Tipo Color</t>
  </si>
  <si>
    <t>Cavidad</t>
  </si>
  <si>
    <t>Peso</t>
  </si>
  <si>
    <t>Cod Extru</t>
  </si>
  <si>
    <t>Tipo Extruccion</t>
  </si>
  <si>
    <t>Cod MP</t>
  </si>
  <si>
    <t>MP</t>
  </si>
  <si>
    <t>Cod Color</t>
  </si>
  <si>
    <t>JUGUETE</t>
  </si>
  <si>
    <t>ALCANCIAS</t>
  </si>
  <si>
    <t>SO</t>
  </si>
  <si>
    <t>SOLIDO</t>
  </si>
  <si>
    <t>2101SO210</t>
  </si>
  <si>
    <t>ALCANCIA ALBERTO GRANDE-AMARILLO PINTADO</t>
  </si>
  <si>
    <t>2103SO211</t>
  </si>
  <si>
    <t>ALCANCIA ALBERTO GRANDE-ANARANJADO PINTADO</t>
  </si>
  <si>
    <t>2105SO214</t>
  </si>
  <si>
    <t>ALCANCIA ALBERTO GRANDE-CELESTE PINTADO</t>
  </si>
  <si>
    <t>2107SO216</t>
  </si>
  <si>
    <t>ALCANCIA ALBERTO GRANDE-LILA PINTADO</t>
  </si>
  <si>
    <t>2109SO219</t>
  </si>
  <si>
    <t>ALCANCIA ALBERTO GRANDE-ROJO PINTADO</t>
  </si>
  <si>
    <t>2111SO223</t>
  </si>
  <si>
    <t>ALCANCIA ALBERTO GRANDE-VERDE TELEFONICO PINTADO</t>
  </si>
  <si>
    <t>ALCANCIA ALBERTO MEDIANO</t>
  </si>
  <si>
    <t>2113SO210</t>
  </si>
  <si>
    <t>ALCANCIA ALBERTO MEDIANO-AMARILLO PINTADO</t>
  </si>
  <si>
    <t>2115SO211</t>
  </si>
  <si>
    <t>ALCANCIA ALBERTO MEDIANO-ANARANJADO PINTADO</t>
  </si>
  <si>
    <t>2117SO214</t>
  </si>
  <si>
    <t>ALCANCIA ALBERTO MEDIANO-CELESTE PINTADO</t>
  </si>
  <si>
    <t>2119SO216</t>
  </si>
  <si>
    <t>ALCANCIA ALBERTO MEDIANO-LILA PINTADO</t>
  </si>
  <si>
    <t>2121SO219</t>
  </si>
  <si>
    <t>ALCANCIA ALBERTO MEDIANO-ROJO PINTADO</t>
  </si>
  <si>
    <t>2123SO223</t>
  </si>
  <si>
    <t>ALCANCIA ALBERTO MEDIANO-VERDE TELEFONICO PINTADO</t>
  </si>
  <si>
    <t>2125SO210</t>
  </si>
  <si>
    <t>ALCANCIA BABY-AMARILLO PINTADO</t>
  </si>
  <si>
    <t>2127SO211</t>
  </si>
  <si>
    <t>ALCANCIA BABY-ANARANJADO PINTADO</t>
  </si>
  <si>
    <t>2129SO214</t>
  </si>
  <si>
    <t>ALCANCIA BABY-CELESTE PINTADO</t>
  </si>
  <si>
    <t>2131SO216</t>
  </si>
  <si>
    <t>ALCANCIA BABY-LILA PINTADO</t>
  </si>
  <si>
    <t>2133SO219</t>
  </si>
  <si>
    <t>ALCANCIA BABY-ROJO PINTADO</t>
  </si>
  <si>
    <t>2135SO223</t>
  </si>
  <si>
    <t>ALCANCIA BABY-VERDE TELEFONICO PINTADO</t>
  </si>
  <si>
    <t>2137SO210</t>
  </si>
  <si>
    <t>ALCANCIA CHAVEZ-AMARILLO PINTADO</t>
  </si>
  <si>
    <t>2139SO211</t>
  </si>
  <si>
    <t>ALCANCIA CHAVEZ-ANARANJADO PINTADO</t>
  </si>
  <si>
    <t>2141SO214</t>
  </si>
  <si>
    <t>ALCANCIA CHAVEZ-CELESTE PINTADO</t>
  </si>
  <si>
    <t>2143SO216</t>
  </si>
  <si>
    <t>ALCANCIA CHAVEZ-LILA PINTADO</t>
  </si>
  <si>
    <t>2145SO219</t>
  </si>
  <si>
    <t>ALCANCIA CHAVEZ-ROJO PINTADO</t>
  </si>
  <si>
    <t>2147SO223</t>
  </si>
  <si>
    <t>ALCANCIA CHAVEZ-VERDE TELEFONICO PINTADO</t>
  </si>
  <si>
    <t>2149SO210</t>
  </si>
  <si>
    <t>ALCANCIA CHICO-AMARILLO PINTADO</t>
  </si>
  <si>
    <t>2151SO211</t>
  </si>
  <si>
    <t>ALCANCIA CHICO-ANARANJADO PINTADO</t>
  </si>
  <si>
    <t>2153SO214</t>
  </si>
  <si>
    <t>ALCANCIA CHICO-CELESTE PINTADO</t>
  </si>
  <si>
    <t>2155SO216</t>
  </si>
  <si>
    <t>ALCANCIA CHICO-LILA PINTADO</t>
  </si>
  <si>
    <t>2157SO219</t>
  </si>
  <si>
    <t>ALCANCIA CHICO-ROJO PINTADO</t>
  </si>
  <si>
    <t>2159SO223</t>
  </si>
  <si>
    <t>ALCANCIA CHICO-VERDE TELEFONICO PINTADO</t>
  </si>
  <si>
    <t>ALCANCIA CON CRIA</t>
  </si>
  <si>
    <t>2161SO210</t>
  </si>
  <si>
    <t>ALCANCIA C/CRIA-AMARILLO PINTADO</t>
  </si>
  <si>
    <t>2163SO211</t>
  </si>
  <si>
    <t>ALCANCIA C/CRIA-ANARANJADO PINTADO</t>
  </si>
  <si>
    <t>2165SO214</t>
  </si>
  <si>
    <t>ALCANCIA C/CRIA-CELESTE PINTADO</t>
  </si>
  <si>
    <t>2167SO216</t>
  </si>
  <si>
    <t>ALCANCIA C/CRIA-LILA PINTADO</t>
  </si>
  <si>
    <t>2169SO219</t>
  </si>
  <si>
    <t>ALCANCIA C/CRIA-ROJO PINTADO</t>
  </si>
  <si>
    <t>2171SO223</t>
  </si>
  <si>
    <t>ALCANCIA C/CRIA-VERDE TELEFONICO PINTADO</t>
  </si>
  <si>
    <t>2173SO210</t>
  </si>
  <si>
    <t>ALCANCIA CONEJO CHICO-AMARILLO PINTADO</t>
  </si>
  <si>
    <t>2175SO211</t>
  </si>
  <si>
    <t>ALCANCIA CONEJO CHICO-ANARANJADO PINTADO</t>
  </si>
  <si>
    <t>2177SO214</t>
  </si>
  <si>
    <t>ALCANCIA CONEJO CHICO-CELESTE PINTADO</t>
  </si>
  <si>
    <t>2179SO216</t>
  </si>
  <si>
    <t>ALCANCIA CONEJO CHICO-LILA PINTADO</t>
  </si>
  <si>
    <t>2181SO219</t>
  </si>
  <si>
    <t>ALCANCIA CONEJO CHICO-ROJO PINTADO</t>
  </si>
  <si>
    <t>2183SO223</t>
  </si>
  <si>
    <t>ALCANCIA CONEJO CHICO-VERDE TELEFONICO PINTADO</t>
  </si>
  <si>
    <t>2185SO210</t>
  </si>
  <si>
    <t>ALCANCIA CONEJO MEDIANO-AMARILLO PINTADO</t>
  </si>
  <si>
    <t>2187SO211</t>
  </si>
  <si>
    <t>ALCANCIA CONEJO MEDIANO-ANARANJADO PINTADO</t>
  </si>
  <si>
    <t>2189SO214</t>
  </si>
  <si>
    <t>ALCANCIA CONEJO MEDIANO-CELESTE PINTADO</t>
  </si>
  <si>
    <t>2191SO216</t>
  </si>
  <si>
    <t>ALCANCIA CONEJO MEDIANO-LILA PINTADO</t>
  </si>
  <si>
    <t>2193SO219</t>
  </si>
  <si>
    <t>ALCANCIA CONEJO MEDIANO-ROJO PINTADO</t>
  </si>
  <si>
    <t>2195SO223</t>
  </si>
  <si>
    <t>ALCANCIA CONEJO MEDIANO-VERDE TELEFONICO PINTADO</t>
  </si>
  <si>
    <t>ALCANCIA MEDIANO</t>
  </si>
  <si>
    <t>2197SO210</t>
  </si>
  <si>
    <t>ALCANCIA MEDIANA-AMARILLO PINTADO</t>
  </si>
  <si>
    <t>2199SO211</t>
  </si>
  <si>
    <t>ALCANCIA MEDIANA-ANARANJADO PINTADO</t>
  </si>
  <si>
    <t>2201SO214</t>
  </si>
  <si>
    <t>ALCANCIA MEDIANA-CELESTE PINTADO</t>
  </si>
  <si>
    <t>2203SO216</t>
  </si>
  <si>
    <t>ALCANCIA MEDIANA-LILA PINTADO</t>
  </si>
  <si>
    <t>2205SO219</t>
  </si>
  <si>
    <t>ALCANCIA MEDIANA-ROJO PINTADO</t>
  </si>
  <si>
    <t>2207SO223</t>
  </si>
  <si>
    <t>ALCANCIA MEDIANA-VERDE TELEFONICO PINTADO</t>
  </si>
  <si>
    <t>2209SO210</t>
  </si>
  <si>
    <t>ALCANCIA PABLO GRANDE-CARNE PINTADO AMARILLO</t>
  </si>
  <si>
    <t>2210SO211</t>
  </si>
  <si>
    <t>ALCANCIA PABLO GRANDE-CARNE PINTADO ANARANJADO</t>
  </si>
  <si>
    <t>2211SO215</t>
  </si>
  <si>
    <t>ALCANCIA PABLO GRANDE-CARNE PINTADO FUCSIA</t>
  </si>
  <si>
    <t>ALCANCIA PABLO MEDIANO</t>
  </si>
  <si>
    <t>2213SO210</t>
  </si>
  <si>
    <t>ALCANCIA PABLO MEDIANO-CARNE PINTADO AMARILLO</t>
  </si>
  <si>
    <t>2214SO211</t>
  </si>
  <si>
    <t>ALCANCIA PABLO MEDIANO-CARNE PINTADO ANARANJADO</t>
  </si>
  <si>
    <t>2215SO215</t>
  </si>
  <si>
    <t>ALCANCIA PABLO MEDIANO-CARNE PINTADO FUCSIA</t>
  </si>
  <si>
    <t>PLAYEROS</t>
  </si>
  <si>
    <t>2226SO110</t>
  </si>
  <si>
    <t>BALDE CASTILLO AMARILLO CON ASA</t>
  </si>
  <si>
    <t>2227SO111</t>
  </si>
  <si>
    <t>BALDE CASTILLO ANARANJADO CON ASA</t>
  </si>
  <si>
    <t>2228SO112</t>
  </si>
  <si>
    <t>BALDE CASTILLO AZUL CON ASA</t>
  </si>
  <si>
    <t>2229SO115</t>
  </si>
  <si>
    <t>BALDE CASTILLO FUCSIA CON ASA</t>
  </si>
  <si>
    <t>2230SO116</t>
  </si>
  <si>
    <t>BALDE CASTILLO LILA CON ASA</t>
  </si>
  <si>
    <t>2231SO123</t>
  </si>
  <si>
    <t>BALDE CASTILLO VERDE TELEFONICO CON ASA</t>
  </si>
  <si>
    <t>CERNIDOR CASTILLO-FUCSIA</t>
  </si>
  <si>
    <t>2251SO110</t>
  </si>
  <si>
    <t>BALDE ROMANO AMARILLO CON ASA</t>
  </si>
  <si>
    <t>2252SO111</t>
  </si>
  <si>
    <t>BALDE ROMANO ANARANJADO CON ASA</t>
  </si>
  <si>
    <t>2253SO112</t>
  </si>
  <si>
    <t>BALDE ROMANO AZUL CON ASA</t>
  </si>
  <si>
    <t>2254SO115</t>
  </si>
  <si>
    <t>BALDE ROMANO FUCSIA CON ASA</t>
  </si>
  <si>
    <t>2255SO116</t>
  </si>
  <si>
    <t>BALDE ROMANO LILA CON ASA</t>
  </si>
  <si>
    <t>2256SO123</t>
  </si>
  <si>
    <t>BALDE ROMANO VERDE TELEFONICO CON ASA</t>
  </si>
  <si>
    <t>MILITAR</t>
  </si>
  <si>
    <t>CABALLO CON PALO</t>
  </si>
  <si>
    <t>2277SO210</t>
  </si>
  <si>
    <t>CABEZA CABALLO-AMARILLO PATO PINTADO</t>
  </si>
  <si>
    <t>2279SO213</t>
  </si>
  <si>
    <t>CABEZA CABALLO-BLANCO PINTADO</t>
  </si>
  <si>
    <t>2281SO225</t>
  </si>
  <si>
    <t>CABEZA CABALLO-CREMA PINTADO</t>
  </si>
  <si>
    <t>2283SO218</t>
  </si>
  <si>
    <t>CABEZA CABALLO-NEGRO PINTADO</t>
  </si>
  <si>
    <t>2285SO226</t>
  </si>
  <si>
    <t>CABEZA CABALLO-PLOMO PINTADO</t>
  </si>
  <si>
    <t>2287SO219</t>
  </si>
  <si>
    <t>CABEZA CABALLO-ROJO PINTADO</t>
  </si>
  <si>
    <t>2290SO110</t>
  </si>
  <si>
    <t>CANASTA CANDY</t>
  </si>
  <si>
    <t>ASAS CANDY-AMARILLO</t>
  </si>
  <si>
    <t>2291SO111</t>
  </si>
  <si>
    <t>SET COCINA</t>
  </si>
  <si>
    <t>ASAS CANDY-ANARANJADO</t>
  </si>
  <si>
    <t>2292SO112</t>
  </si>
  <si>
    <t>ASAS CANDY-AZUL</t>
  </si>
  <si>
    <t>2293SO115</t>
  </si>
  <si>
    <t>ASAS CANDY-FUCCIA</t>
  </si>
  <si>
    <t>2294SO116</t>
  </si>
  <si>
    <t>ASAS CANDY-LILA</t>
  </si>
  <si>
    <t>2295SO123</t>
  </si>
  <si>
    <t>ASAS CANDY-VERDE TELEFONICO</t>
  </si>
  <si>
    <t>2297SO125</t>
  </si>
  <si>
    <t>CANASTA CANDY-CREMA PINTADO</t>
  </si>
  <si>
    <t>CARROS</t>
  </si>
  <si>
    <t>CARRO CAMION ANDINO C/GANADO</t>
  </si>
  <si>
    <t>CARRO CISTERNA AGUILA</t>
  </si>
  <si>
    <t>2314SO210</t>
  </si>
  <si>
    <t>CISTERNA AGUILA-BLANCO PINTADO AMARILLO</t>
  </si>
  <si>
    <t>2315SO212</t>
  </si>
  <si>
    <t>CISTERNA AGUILA-BLANCO PINTADO AZUL</t>
  </si>
  <si>
    <t>2316SO219</t>
  </si>
  <si>
    <t>CISTERNA AGUILA-BLANCO PINTADO ROJO</t>
  </si>
  <si>
    <t>CARRO CISTERNA ANDINO</t>
  </si>
  <si>
    <t>2318SO210</t>
  </si>
  <si>
    <t>CISTERNA ANDINO-BLANCO PINTADO AMARILLO</t>
  </si>
  <si>
    <t>2319SO212</t>
  </si>
  <si>
    <t>CISTERNA ANDINO-BLANCO PINTADO AZUL</t>
  </si>
  <si>
    <t>2320SO219</t>
  </si>
  <si>
    <t>CISTERNA ANDINO-BLANCO PINTADO ROJO</t>
  </si>
  <si>
    <t>CARRO ESCARABAJO TAXI</t>
  </si>
  <si>
    <t>CARRO JEEP TAXI</t>
  </si>
  <si>
    <t>CARRO PATRULLERO MILITAR</t>
  </si>
  <si>
    <t>2354SO123</t>
  </si>
  <si>
    <t>PATRULLERO MILITAR-VERDE MILITAR PINTADO</t>
  </si>
  <si>
    <t>2358SO123</t>
  </si>
  <si>
    <t>SOLDADO PATRULLERO-VERDE MILITAR PINTADO</t>
  </si>
  <si>
    <t>2360SO110</t>
  </si>
  <si>
    <t>CARRO TRAILER VOLVO MADERERO</t>
  </si>
  <si>
    <t>REJAS VOLVO-AMARILLO</t>
  </si>
  <si>
    <t>2361SO111</t>
  </si>
  <si>
    <t>REJAS VOLVO-ANARANJADO</t>
  </si>
  <si>
    <t>2362SO112</t>
  </si>
  <si>
    <t>REJAS VOLVO-AZUL</t>
  </si>
  <si>
    <t>2363SO114</t>
  </si>
  <si>
    <t>REJAS VOLVO-CELESTE</t>
  </si>
  <si>
    <t>2364SO119</t>
  </si>
  <si>
    <t>REJAS VOLVO-ROJO</t>
  </si>
  <si>
    <t>2365SO123</t>
  </si>
  <si>
    <t>REJAS VOLVO-VERDE</t>
  </si>
  <si>
    <t>CARRO TRAILER VOLVO PETROLERO</t>
  </si>
  <si>
    <t>2373SO210</t>
  </si>
  <si>
    <t>CISTERNA VOLVO-BLANCO PINTADO AMARILLO</t>
  </si>
  <si>
    <t>2374SO212</t>
  </si>
  <si>
    <t>CISTERNA VOLVO-BLANCO PINTADO AZUL</t>
  </si>
  <si>
    <t>2375SO219</t>
  </si>
  <si>
    <t>CISTERNA VOLVO-BLANCO PINTADO ROJO</t>
  </si>
  <si>
    <t>CARRO VOLQUETE ANDINO</t>
  </si>
  <si>
    <t>CARRO VOLQUETE MADERERO</t>
  </si>
  <si>
    <t>CASCO C/MALLA</t>
  </si>
  <si>
    <t>2405SO123</t>
  </si>
  <si>
    <t>CASCO-VERDE MILITAR PINTADO</t>
  </si>
  <si>
    <t>CASCO CAMUFLADO</t>
  </si>
  <si>
    <t>2408SO123</t>
  </si>
  <si>
    <t>CAMUFLAJE CASCO-VERDE MILITAR PINTADO</t>
  </si>
  <si>
    <t>JUEGO DE COCINA ANITA</t>
  </si>
  <si>
    <t>SET DE COCINA ANITA-ANARANJADO</t>
  </si>
  <si>
    <t>JUEGO DE TE DANIELA</t>
  </si>
  <si>
    <t>JUEGO DE TE PATTY</t>
  </si>
  <si>
    <t>MUÑECAS</t>
  </si>
  <si>
    <t>MUÑECA FABIOLA</t>
  </si>
  <si>
    <t>2449SO210</t>
  </si>
  <si>
    <t>CABEZA FABIOLA-CARNE PINTADO AMARILLO</t>
  </si>
  <si>
    <t>2450SO211</t>
  </si>
  <si>
    <t>CABEZA FABIOLA-CARNE PINTADO ANARANJADO</t>
  </si>
  <si>
    <t>2451SO224</t>
  </si>
  <si>
    <t>CABEZA FABIOLA-CARNE PINTADO MARRON</t>
  </si>
  <si>
    <t>2455SO110</t>
  </si>
  <si>
    <t>SET DE COCINA JANET</t>
  </si>
  <si>
    <t>SOLDADO COMANDO X12 COLORES</t>
  </si>
  <si>
    <t>SOLDADO COMANDO X12 MILITAR</t>
  </si>
  <si>
    <t>TAMBOR PERUANITO GRANDE</t>
  </si>
  <si>
    <t>2495SO110</t>
  </si>
  <si>
    <t>CAMION ANDINO CON GANADO GRANDE</t>
  </si>
  <si>
    <t>CHASIS GANADERO GRANDE</t>
  </si>
  <si>
    <t>2496SO218</t>
  </si>
  <si>
    <t>ANIMALES GANADERO GRANDE</t>
  </si>
  <si>
    <t>2497SO110</t>
  </si>
  <si>
    <t>TOLVA DE GANADERO GRANDE</t>
  </si>
  <si>
    <t>2497SO111</t>
  </si>
  <si>
    <t>2497SO123</t>
  </si>
  <si>
    <t>2497SO112</t>
  </si>
  <si>
    <t>2497SO119</t>
  </si>
  <si>
    <t>2497SO114</t>
  </si>
  <si>
    <t>2498SO112</t>
  </si>
  <si>
    <t>BARQUITOS PLAYEROS</t>
  </si>
  <si>
    <t>2498SO123</t>
  </si>
  <si>
    <t>2498SO111</t>
  </si>
  <si>
    <t>2498SO119</t>
  </si>
  <si>
    <t>2498SO110</t>
  </si>
  <si>
    <t>2498SO116</t>
  </si>
  <si>
    <t>HOGAR</t>
  </si>
  <si>
    <t>EMBUDOS</t>
  </si>
  <si>
    <t>EMBUDO #4</t>
  </si>
  <si>
    <t>ENVASES</t>
  </si>
  <si>
    <t>ENVASE BELGICA 4KG. TRANSPARENTE</t>
  </si>
  <si>
    <t>TR</t>
  </si>
  <si>
    <t>ENVASE BELGICA 6KG. TRANSPARENTE</t>
  </si>
  <si>
    <t>FLOREROS</t>
  </si>
  <si>
    <t>1127SO210</t>
  </si>
  <si>
    <t>FLORERO AMERICANO-PINTADO AMARILLO</t>
  </si>
  <si>
    <t>1128SO212</t>
  </si>
  <si>
    <t>FLORERO AMERICANO-PINTADO AZUL</t>
  </si>
  <si>
    <t>1129SO215</t>
  </si>
  <si>
    <t>FLORERO AMERICANO-PINTADO FUCSIA</t>
  </si>
  <si>
    <t>1131SO210</t>
  </si>
  <si>
    <t>FLORERO CISNE-PINTADO AMARILLO</t>
  </si>
  <si>
    <t>1132SO212</t>
  </si>
  <si>
    <t>FLORERO CISNE-PINTADO AZUL</t>
  </si>
  <si>
    <t>1133SO215</t>
  </si>
  <si>
    <t>FLORERO CISNE-PINTADO FUCSIA</t>
  </si>
  <si>
    <t>1135SO210</t>
  </si>
  <si>
    <t>FLORERO ITALIANO-PINTADO AMARILLO</t>
  </si>
  <si>
    <t>1136SO212</t>
  </si>
  <si>
    <t>FLORERO ITALIANO-PINTADO AZUL</t>
  </si>
  <si>
    <t>1137SO215</t>
  </si>
  <si>
    <t>FLORERO ITALIANO-PINTADO FUCSIA</t>
  </si>
  <si>
    <t>1139SO210</t>
  </si>
  <si>
    <t>FLORERO ITALIANO GRANDE-PINTADO AMARILLO</t>
  </si>
  <si>
    <t>1140SO212</t>
  </si>
  <si>
    <t>FLORERO ITALIANO GRANDE-PINTADO AZUL</t>
  </si>
  <si>
    <t>1141SO215</t>
  </si>
  <si>
    <t>FLORERO ITALIANO GRANDE-PINTADO FUCSIA</t>
  </si>
  <si>
    <t>1143SO210</t>
  </si>
  <si>
    <t>FLORERO ORIENTAL-PINTADO AMARILLO</t>
  </si>
  <si>
    <t>1144SO212</t>
  </si>
  <si>
    <t>FLORERO ORIENTAL-PINTADO AZUL</t>
  </si>
  <si>
    <t>1145SO215</t>
  </si>
  <si>
    <t>FLORERO ORIENTAL-PINTADO FUCSIA</t>
  </si>
  <si>
    <t>1147SO210</t>
  </si>
  <si>
    <t>FLORERO PERSA-PINTADO AMARILLO</t>
  </si>
  <si>
    <t>1148SO212</t>
  </si>
  <si>
    <t>FLORERO PERSA-PINTADO AZUL</t>
  </si>
  <si>
    <t>1149SO215</t>
  </si>
  <si>
    <t>FLORERO PERSA-PINTADO FUCSIA</t>
  </si>
  <si>
    <t>JARRAS</t>
  </si>
  <si>
    <t>JARRA GRECIA 500ML</t>
  </si>
  <si>
    <t>JARRA GRECIA 500ML CARAMELO</t>
  </si>
  <si>
    <t>CA</t>
  </si>
  <si>
    <t>CARAMELO</t>
  </si>
  <si>
    <t>JARRA REAL 1.2LT.</t>
  </si>
  <si>
    <t>SALSEROS</t>
  </si>
  <si>
    <t>SALSERO IDEAL CARITAS 600ML.</t>
  </si>
  <si>
    <t>TAPAS DOBLE SALSERO IDEAL -AMARILLO PATO</t>
  </si>
  <si>
    <t>TAPAS DOBLE SALSERO IDEAL -BLANCO</t>
  </si>
  <si>
    <t>TAPAS DOBLE SALSERO IDEAL -ROJO</t>
  </si>
  <si>
    <t>TAPAS DOBLE SALSERO IDEAL -VERDE TELEFONICO</t>
  </si>
  <si>
    <t>SPORT BOTTLE</t>
  </si>
  <si>
    <t>SPORT BOTTLE CLICK 300ML.</t>
  </si>
  <si>
    <t>TURQUESA</t>
  </si>
  <si>
    <t>SPORT BOTTLE SORBETE 350ML.</t>
  </si>
  <si>
    <t>TAPERS</t>
  </si>
  <si>
    <t>PA</t>
  </si>
  <si>
    <t>PASTEL</t>
  </si>
  <si>
    <t>TAPER ALEMAN 1.1KG. SOLIDO</t>
  </si>
  <si>
    <t>TAPER ALEMAN 1.1KG. TRANSP.</t>
  </si>
  <si>
    <t>TAPER ALEMAN 1/2KG. TRANSP.</t>
  </si>
  <si>
    <t>TAPER ALEMAN 2.8KG. PASTEL</t>
  </si>
  <si>
    <t>TAPER ALEMAN 2.8KG. SOLIDO</t>
  </si>
  <si>
    <t>TAPER ALEMAN 2.8KG. TRANSP.</t>
  </si>
  <si>
    <t>TAZONES</t>
  </si>
  <si>
    <t>TAZON MULTIUSO 3.5KG. CARAMELO</t>
  </si>
  <si>
    <t>1287SO110</t>
  </si>
  <si>
    <t>TAZON MULTIUSO 3.5KG. SOLIDO</t>
  </si>
  <si>
    <t>TAZON 3.5KG. SOLIDO-AMARILLO</t>
  </si>
  <si>
    <t>1288SO111</t>
  </si>
  <si>
    <t>TAZON 3.5KG. SOLIDO-ANARANJADO</t>
  </si>
  <si>
    <t>1289SO112</t>
  </si>
  <si>
    <t>TAZON 3.5KG. SOLIDO-AZUL</t>
  </si>
  <si>
    <t>1290SO115</t>
  </si>
  <si>
    <t>TAZON 3.5KG. SOLIDO-FUCSIA</t>
  </si>
  <si>
    <t>1291SO116</t>
  </si>
  <si>
    <t>TAZON 3.5KG. SOLIDO-LILA</t>
  </si>
  <si>
    <t>1292SO123</t>
  </si>
  <si>
    <t>TAZON 3.5KG. SOLIDO-VERDE</t>
  </si>
  <si>
    <t>TAZON MULTIUSO 7KG. CARAMELO</t>
  </si>
  <si>
    <t>1304CA123</t>
  </si>
  <si>
    <t>TAZON 7KG. CARAMELO-VERDE</t>
  </si>
  <si>
    <t>VASOS</t>
  </si>
  <si>
    <t>1325CA215</t>
  </si>
  <si>
    <t>TOMATODO 350ML</t>
  </si>
  <si>
    <t>1326CA216</t>
  </si>
  <si>
    <t>1327CA223</t>
  </si>
  <si>
    <t>1328CA210</t>
  </si>
  <si>
    <t>1329CA211</t>
  </si>
  <si>
    <t>1330CA212</t>
  </si>
  <si>
    <t>1331SO119</t>
  </si>
  <si>
    <t>SALSERO CLICK 400ML REAL</t>
  </si>
  <si>
    <t>1332SO110</t>
  </si>
  <si>
    <t>1333SO113</t>
  </si>
  <si>
    <t>1334SO123</t>
  </si>
  <si>
    <t>1335SO119</t>
  </si>
  <si>
    <t>1336SO110</t>
  </si>
  <si>
    <t>1337SO113</t>
  </si>
  <si>
    <t>1338SO123</t>
  </si>
  <si>
    <t>1339TR221</t>
  </si>
  <si>
    <t>SALSERO CLICK 400ML</t>
  </si>
  <si>
    <t>1340PA117</t>
  </si>
  <si>
    <t>PANERAS</t>
  </si>
  <si>
    <t>PANERA CORAZON</t>
  </si>
  <si>
    <t>PANERITA CORAZON</t>
  </si>
  <si>
    <t>1341PA116</t>
  </si>
  <si>
    <t>1342PA122</t>
  </si>
  <si>
    <t>1343PA120</t>
  </si>
  <si>
    <t>1344TR121</t>
  </si>
  <si>
    <t>1345PA124</t>
  </si>
  <si>
    <t>CESTOS</t>
  </si>
  <si>
    <t>CESTO MULTIUSO</t>
  </si>
  <si>
    <t>1´346PA122</t>
  </si>
  <si>
    <t>´346</t>
  </si>
  <si>
    <t>1347PA116</t>
  </si>
  <si>
    <t>1348PA117</t>
  </si>
  <si>
    <t>1349PA120</t>
  </si>
  <si>
    <t>1350PA123</t>
  </si>
  <si>
    <t>1351PA124</t>
  </si>
  <si>
    <t>1352PA122</t>
  </si>
  <si>
    <t>1353PA116</t>
  </si>
  <si>
    <t>1354PA117</t>
  </si>
  <si>
    <t>1355PA120</t>
  </si>
  <si>
    <t>1356PA123</t>
  </si>
  <si>
    <t>1357CA110</t>
  </si>
  <si>
    <t>1358CA111</t>
  </si>
  <si>
    <t>1359CA112</t>
  </si>
  <si>
    <t>1400CA115</t>
  </si>
  <si>
    <t>1401CA116</t>
  </si>
  <si>
    <t>1402CA123</t>
  </si>
  <si>
    <t>1403PA122</t>
  </si>
  <si>
    <t>CANASTAS</t>
  </si>
  <si>
    <t>CANASTA PICNIC PASTEL</t>
  </si>
  <si>
    <t>CANASTA PICNI PASTEL</t>
  </si>
  <si>
    <t>1404PA116</t>
  </si>
  <si>
    <t>1405PA117</t>
  </si>
  <si>
    <t>1406PA120</t>
  </si>
  <si>
    <t>1407SO113</t>
  </si>
  <si>
    <t>ASAS</t>
  </si>
  <si>
    <t>ASAS DE CANASTA PICNIC</t>
  </si>
  <si>
    <t>1409CA210</t>
  </si>
  <si>
    <t>1410CA211</t>
  </si>
  <si>
    <t>1411CA212</t>
  </si>
  <si>
    <t>1412CA215</t>
  </si>
  <si>
    <t>1413CA216</t>
  </si>
  <si>
    <t>1414CA223</t>
  </si>
  <si>
    <t>1415CA210</t>
  </si>
  <si>
    <t>1416CA211</t>
  </si>
  <si>
    <t>1417CA212</t>
  </si>
  <si>
    <t>1418CA215</t>
  </si>
  <si>
    <t>1419CA216</t>
  </si>
  <si>
    <t>1420CA223</t>
  </si>
  <si>
    <t>1421PA124</t>
  </si>
  <si>
    <t>PORTAVAJILLA</t>
  </si>
  <si>
    <t>PORTA VAJILLA MUNDO HOGAR PASTEL</t>
  </si>
  <si>
    <t>1422PA122</t>
  </si>
  <si>
    <t>1423PA116</t>
  </si>
  <si>
    <t>1424PA117</t>
  </si>
  <si>
    <t>1425PA120</t>
  </si>
  <si>
    <t>1426PA123</t>
  </si>
  <si>
    <t>1427PA122</t>
  </si>
  <si>
    <t>FRUTERO</t>
  </si>
  <si>
    <t>1428PA116</t>
  </si>
  <si>
    <t>1429PA117</t>
  </si>
  <si>
    <t>1430PA120</t>
  </si>
  <si>
    <t>1431TR121</t>
  </si>
  <si>
    <t>1432PA122</t>
  </si>
  <si>
    <t>TAPA DE CANASTA PICNIC</t>
  </si>
  <si>
    <t>1433PA116</t>
  </si>
  <si>
    <t>1434PA117</t>
  </si>
  <si>
    <t>1435PA120</t>
  </si>
  <si>
    <t>1436PA123</t>
  </si>
  <si>
    <t>SKU PIEZA</t>
  </si>
  <si>
    <t>Fracion Virgen</t>
  </si>
  <si>
    <t>Kg Virgen</t>
  </si>
  <si>
    <t>Kg Segunda</t>
  </si>
  <si>
    <t>2509SO126</t>
  </si>
  <si>
    <t>CANASTA</t>
  </si>
  <si>
    <t>MINICANASTA SUPERMERCADO 1KG. PASTEL</t>
  </si>
  <si>
    <t>MINI CANASTA MERCADO-ROSADO</t>
  </si>
  <si>
    <t>MINI CANASTA MERCADO-LILA</t>
  </si>
  <si>
    <t>MINI CANASTA MERCADO-MELON</t>
  </si>
  <si>
    <t>MINI CANASTA MERCADO-TURQUESA</t>
  </si>
  <si>
    <t>2510PA120</t>
  </si>
  <si>
    <t>2511PA116</t>
  </si>
  <si>
    <t>2512PA117</t>
  </si>
  <si>
    <t>2513PA122</t>
  </si>
  <si>
    <t>FRUTERO CORONITA-TURQUESA</t>
  </si>
  <si>
    <t>FRUTERO CORONITA-LILA</t>
  </si>
  <si>
    <t>FRUTERO CORONITA-MELON</t>
  </si>
  <si>
    <t>FRUTERO CORONITA-ROSADO</t>
  </si>
  <si>
    <t>FRUTERO CORONITA PASTEL</t>
  </si>
  <si>
    <t>FRUTERO CORONITA-CREMA</t>
  </si>
  <si>
    <t>FRUTERO CORONITA-VERDE</t>
  </si>
  <si>
    <t>1401PA124</t>
  </si>
  <si>
    <t>1402PA123</t>
  </si>
  <si>
    <t>BALDE CASTILLO CON ASA</t>
  </si>
  <si>
    <t>PALA RASTRILLO CASTILLO</t>
  </si>
  <si>
    <t>BALDE ROMANO CON ASA</t>
  </si>
  <si>
    <t>PALA RASTRILLO ROMANO</t>
  </si>
  <si>
    <t>FLORERO ITALIANO CARAMELO-ANARANJADO</t>
  </si>
  <si>
    <t>FLORERO ITALIANO CARAMELO-FUCSIA</t>
  </si>
  <si>
    <t>FLORERO ITALIANO GRANDE CARAMELO-AMARILLO</t>
  </si>
  <si>
    <t>FLORERO ITALIANO GRANDE CARAMELO-ANARANJADO</t>
  </si>
  <si>
    <t>FLORERO ITALIANO GRANDE CARAMELO-AZUL</t>
  </si>
  <si>
    <t>FLORERO ITALIANO GRANDE CARAMELO-FUCSIA</t>
  </si>
  <si>
    <t>FLORERO ITALIANO GRANDE CARAMELO-LILA</t>
  </si>
  <si>
    <t>FLORERO ITALIANO GRANDE CARAMELO-VERDE</t>
  </si>
  <si>
    <t>TOLVA GANADERO AGUILA</t>
  </si>
  <si>
    <t>2514SO113</t>
  </si>
  <si>
    <t>ASA DE MINICANASTA MERCADO-BLANCO</t>
  </si>
  <si>
    <t>2260SO119</t>
  </si>
  <si>
    <t>FLORERO DIAMANTE</t>
  </si>
  <si>
    <t>FLORERO DIAMANTE CARAMELO-AMARILLO</t>
  </si>
  <si>
    <t>FLORERO DIAMANTE CARAMELO-ANARANJADO</t>
  </si>
  <si>
    <t>FLORERO DIAMANTE CARAMELO-AZUL</t>
  </si>
  <si>
    <t>FLORERO DIAMANTE CARAMELO-FUCSIA</t>
  </si>
  <si>
    <t>FLORERO DIAMANTE CARAMELO-LILA</t>
  </si>
  <si>
    <t>FLORERO DIAMANTE CARAMELO-VERDE</t>
  </si>
  <si>
    <t>1403CA210</t>
  </si>
  <si>
    <t>1404CA211</t>
  </si>
  <si>
    <t>1405CA212</t>
  </si>
  <si>
    <t>1406CA215</t>
  </si>
  <si>
    <t>1407CA216</t>
  </si>
  <si>
    <t>1408CA223</t>
  </si>
  <si>
    <t>PANERA MANZANA</t>
  </si>
  <si>
    <t>1409PA117</t>
  </si>
  <si>
    <t>1410PA116</t>
  </si>
  <si>
    <t>1411PA122</t>
  </si>
  <si>
    <t>1412PA120</t>
  </si>
  <si>
    <t>PANERITA MANZANA-MELON</t>
  </si>
  <si>
    <t>PANERITA MANZANA-LILA</t>
  </si>
  <si>
    <t>PANERITA MANZANA-TURQUESA</t>
  </si>
  <si>
    <t>MANTEQUILLERO PATY</t>
  </si>
  <si>
    <t>1419TR121</t>
  </si>
  <si>
    <t>1420CA124</t>
  </si>
  <si>
    <t>1421CA117</t>
  </si>
  <si>
    <t>1422CA122</t>
  </si>
  <si>
    <t>1423CA115</t>
  </si>
  <si>
    <t>1424CA116</t>
  </si>
  <si>
    <t>1425CA123</t>
  </si>
  <si>
    <t>TOMATODO</t>
  </si>
  <si>
    <t>TAPA TOMATODO DOBLE CLICK</t>
  </si>
  <si>
    <t>TAPA TOMATODO DOBLE CLICK-AMARILLO</t>
  </si>
  <si>
    <t>TAPA TOMATODO DOBLE CLICK-TURQUESA</t>
  </si>
  <si>
    <t>TAPA TOMATODO DOBLE CLICK-FUCSIA</t>
  </si>
  <si>
    <t>TAPA TOMATODO DOBLE CLICK-LILA</t>
  </si>
  <si>
    <t>TAPA TOMATODO DOBLE CLICK-VERDE</t>
  </si>
  <si>
    <t>1426SO110</t>
  </si>
  <si>
    <t>1427SO111</t>
  </si>
  <si>
    <t>1428SO122</t>
  </si>
  <si>
    <t>1429SO115</t>
  </si>
  <si>
    <t>1430SO116</t>
  </si>
  <si>
    <t>1431SO123</t>
  </si>
  <si>
    <t>LLANTA PANDA</t>
  </si>
  <si>
    <t>LLANTA PANDA-AMARILLO</t>
  </si>
  <si>
    <t>LLANTA PANDA-VERDE</t>
  </si>
  <si>
    <t>LLANTA PANDA-CELESTE</t>
  </si>
  <si>
    <t>LLANTA PANDA-ROJO</t>
  </si>
  <si>
    <t>2516SO110</t>
  </si>
  <si>
    <t>2517SO119</t>
  </si>
  <si>
    <t>2518SO123</t>
  </si>
  <si>
    <t>2519SO114</t>
  </si>
  <si>
    <t>CISTERNA AGUILA-AZUL</t>
  </si>
  <si>
    <t>CISTERNA AGUILA-VERDE</t>
  </si>
  <si>
    <t>CISTERNA AGUILA-ANARANJADO</t>
  </si>
  <si>
    <t>CISTERNA AGUILA-ROJO</t>
  </si>
  <si>
    <t>CISTERNA AGUILA-AMARILLO</t>
  </si>
  <si>
    <t>CISTERNA AGUILA-CELESTE</t>
  </si>
  <si>
    <t xml:space="preserve"> CISTERNA AGUILA</t>
  </si>
  <si>
    <t>2520SO112</t>
  </si>
  <si>
    <t>2521SO123</t>
  </si>
  <si>
    <t>2522SO111</t>
  </si>
  <si>
    <t>2523SO119</t>
  </si>
  <si>
    <t>2524SO110</t>
  </si>
  <si>
    <t>2525SO114</t>
  </si>
  <si>
    <t>CISTERNA ANDINO-AZUL</t>
  </si>
  <si>
    <t>CISTERNA ANDINO-VERDE</t>
  </si>
  <si>
    <t>CISTERNA ANDINO-ANARANJADO</t>
  </si>
  <si>
    <t>CISTERNA ANDINO-ROJO</t>
  </si>
  <si>
    <t>CISTERNA ANDINO-AMARILLO</t>
  </si>
  <si>
    <t>CISTERNA ANDINO-CELESTE</t>
  </si>
  <si>
    <t>2526SO112</t>
  </si>
  <si>
    <t>2527SO123</t>
  </si>
  <si>
    <t>2528SO111</t>
  </si>
  <si>
    <t>2529SO119</t>
  </si>
  <si>
    <t>2530SO110</t>
  </si>
  <si>
    <t>2531SO114</t>
  </si>
  <si>
    <t>HUEVO CHOCLO</t>
  </si>
  <si>
    <t>TAZAS DANIELA-TURQUESA</t>
  </si>
  <si>
    <t>CARRO GANADERO CORDILLERANO</t>
  </si>
  <si>
    <t>2532SO113</t>
  </si>
  <si>
    <t>CANASTA FANNY</t>
  </si>
  <si>
    <t>ASA DE CANASTA FANNY</t>
  </si>
  <si>
    <t>2534SO110</t>
  </si>
  <si>
    <t>2535SO119</t>
  </si>
  <si>
    <t>2536SO123</t>
  </si>
  <si>
    <t>2537SO114</t>
  </si>
  <si>
    <t>2533SO113</t>
  </si>
  <si>
    <t>TOLVA PANDA-AMARILLO</t>
  </si>
  <si>
    <t>TOLVA PANDA-ROJO</t>
  </si>
  <si>
    <t>TOLVA PANDA-VERDE</t>
  </si>
  <si>
    <t>TOLVA PANDA-CELESTE</t>
  </si>
  <si>
    <t>TOLVA PANDA</t>
  </si>
  <si>
    <t>BALDE PLAYERO REAL</t>
  </si>
  <si>
    <t>BALDE REAL-FUCSIA</t>
  </si>
  <si>
    <t>BALDE REAL-LILA</t>
  </si>
  <si>
    <t>2538SO110</t>
  </si>
  <si>
    <t>2539SO111</t>
  </si>
  <si>
    <t>2540SO112</t>
  </si>
  <si>
    <t>2541SO115</t>
  </si>
  <si>
    <t>2542SO116</t>
  </si>
  <si>
    <t>2543SO123</t>
  </si>
  <si>
    <t>LLANTAS CAMION-AMARILLO</t>
  </si>
  <si>
    <t>LLANTAS CAMION-VERDE</t>
  </si>
  <si>
    <t>LLANTAS CAMION-CELESTE</t>
  </si>
  <si>
    <t>LLANTAS CAMION-ROJO</t>
  </si>
  <si>
    <t>2545SO110</t>
  </si>
  <si>
    <t>2546SO123</t>
  </si>
  <si>
    <t>2547SO114</t>
  </si>
  <si>
    <t>2548SO119</t>
  </si>
  <si>
    <t>REGADERA PLAYERA-AMARILLO</t>
  </si>
  <si>
    <t>REGADERA PLAYERA-ROJO</t>
  </si>
  <si>
    <t>REGADERA PLAYERA-AZUL</t>
  </si>
  <si>
    <t>REGADERA PLAYERA-FUCSIA</t>
  </si>
  <si>
    <t>REGADERA PLAYERA-LILA</t>
  </si>
  <si>
    <t>REGADERA PLAYERA-VERDE</t>
  </si>
  <si>
    <t>2553SO110</t>
  </si>
  <si>
    <t>2554SO119</t>
  </si>
  <si>
    <t>2555SO112</t>
  </si>
  <si>
    <t>2556SO115</t>
  </si>
  <si>
    <t>2557SO116</t>
  </si>
  <si>
    <t>2558SO123</t>
  </si>
  <si>
    <t>1434PA120</t>
  </si>
  <si>
    <t>1435PA122</t>
  </si>
  <si>
    <t>1437PA114</t>
  </si>
  <si>
    <t>1438PA112</t>
  </si>
  <si>
    <t>1432TR221</t>
  </si>
  <si>
    <t>REAGADERA PLAYERA</t>
  </si>
  <si>
    <t>PALA RASTRILLO ROMANO-FUCSIA</t>
  </si>
  <si>
    <t>PALA RASTRILLO MEDIEVAL</t>
  </si>
  <si>
    <t>PALA RASTRILLO MEDIEVAL-AMARILLO</t>
  </si>
  <si>
    <t>PALA RASTRILLO MEDIEVAL-AZUL</t>
  </si>
  <si>
    <t>PALA RASTRILLO MEDIEVAL-VERDE</t>
  </si>
  <si>
    <t>PALA RASTRILLO MEDIEVAL-ROJO</t>
  </si>
  <si>
    <t>2559SO110</t>
  </si>
  <si>
    <t>2560SO112</t>
  </si>
  <si>
    <t>2561SO123</t>
  </si>
  <si>
    <t>2562SO119</t>
  </si>
  <si>
    <t>CERNIDOR ROMANO-FUCSIA</t>
  </si>
  <si>
    <t>BARQUITOS PLAYEROS-AZUL</t>
  </si>
  <si>
    <t>BARQUITOS PLAYEROS-ANARANJADO</t>
  </si>
  <si>
    <t>BARQUITOS PLAYEROS-AMARILLO</t>
  </si>
  <si>
    <t>BARQUITOS PLAYEROS-VERDE</t>
  </si>
  <si>
    <t>BARQUITOS PLAYEROS-ROJO</t>
  </si>
  <si>
    <t>BARQUITOS PLAYEROS-LILA</t>
  </si>
  <si>
    <t>BALDE CASTILLO MEDIEVAL-AZUL</t>
  </si>
  <si>
    <t>BALDE CASTILLO MEDIEVAL-FUCSIA</t>
  </si>
  <si>
    <t>BALDE CASTILLO MEDIEVAL-AMARILLO</t>
  </si>
  <si>
    <t>BALDE CASTILLO MEDIEVAL-LILA</t>
  </si>
  <si>
    <t>BALDE CASTILLO MEDIEVAL-ANARANJADO</t>
  </si>
  <si>
    <t>BALDE ROMANO-FUCSIA</t>
  </si>
  <si>
    <t>TOMATODO ULTRA 900ML</t>
  </si>
  <si>
    <t>VASO MUNDO MANZANITA CARAMELO-FUCSIA</t>
  </si>
  <si>
    <t>CONO CASTILLO-FUCSIA</t>
  </si>
  <si>
    <t>BASE PORTA VAJILLA CARAMELO-FUCSIA</t>
  </si>
  <si>
    <t>BALDE ROMANO IMPORTADO-FUCSIA</t>
  </si>
  <si>
    <t>BARCO PLAYERO-FUCSIA</t>
  </si>
  <si>
    <t>REGADERA PLAYERA</t>
  </si>
  <si>
    <t>ASA DE TOMATODO ULTRA</t>
  </si>
  <si>
    <t>PUNTA DE TOMATODO ULTRA-LILA</t>
  </si>
  <si>
    <t>PUNTA DE TOMATODO ULTRA-VERDE</t>
  </si>
  <si>
    <t>PUNTA DE TOMATODO ULTRA-ROSADO</t>
  </si>
  <si>
    <t>PUNTA DE TOMATODO ULTRA-CELESTE</t>
  </si>
  <si>
    <t>PUNTA DE TOMATODO ULTRA-AZUL</t>
  </si>
  <si>
    <t>ASA DE TOMATODO ULTRA-PLOMO</t>
  </si>
  <si>
    <t>PUNTA DE TOMATODO ULTRA-TURQUESA</t>
  </si>
  <si>
    <t>TAPA DE TOMATODO ULTRA</t>
  </si>
  <si>
    <t>TAPA DE TOMATODO ULTRA-LILA</t>
  </si>
  <si>
    <t>TAPA DE TOMATODO ULTRA-ROSADO</t>
  </si>
  <si>
    <t>TAPA DE TOMATODO ULTRA-VERDE</t>
  </si>
  <si>
    <t>TAPA DE TOMATODO ULTRA-CELESTE</t>
  </si>
  <si>
    <t>TAPA DE TOMATODO ULTRA-AZUL</t>
  </si>
  <si>
    <t>TAPA DE TOMATODO ULTRA-TURQUESA</t>
  </si>
  <si>
    <t>TOMATODO ULTRA 900ML-TRANSPARENTE</t>
  </si>
  <si>
    <t>Ciclo</t>
  </si>
  <si>
    <t>Cavidades SKU</t>
  </si>
  <si>
    <t>Ciclo SKU</t>
  </si>
  <si>
    <t>Peso Unit SKU</t>
  </si>
  <si>
    <t>Produccion esperada</t>
  </si>
  <si>
    <t>HT 120 A</t>
  </si>
  <si>
    <t>TAPA REPOSTEROS-TURQUESA</t>
  </si>
  <si>
    <t>TAPA REPOSTEROS-VERDE</t>
  </si>
  <si>
    <t>PUNTA DOBLE CLICK-AMARILLO</t>
  </si>
  <si>
    <t>VALVULA VAPOR</t>
  </si>
  <si>
    <t>VALVULA VAPOR-PLOMO</t>
  </si>
  <si>
    <t>ALCANCIA ALBERTO GRANDE-VERDE</t>
  </si>
  <si>
    <t>TOMATODO AVENTURA 600ML</t>
  </si>
  <si>
    <t>TOMATODO AVENTURA 600ML-TRANSPARENTE</t>
  </si>
  <si>
    <t>TOMATODO 350ML-TRANSPARENTE</t>
  </si>
  <si>
    <t>2562SO120</t>
  </si>
  <si>
    <t>TAPA TOMATODO DOBLE CLICK-ANARANJADO</t>
  </si>
  <si>
    <t>PUNTA DOBLE CLICK-VERDE</t>
  </si>
  <si>
    <t>ORRING ARGOLLA-TRANSPARENTE</t>
  </si>
  <si>
    <t>ORRING ARGOLLA</t>
  </si>
  <si>
    <t>TOMOATODO 350ML</t>
  </si>
  <si>
    <t>TOMATODO 350ML-FUCSIA</t>
  </si>
  <si>
    <t>TOMATODO 350ML-LILA</t>
  </si>
  <si>
    <t>TOMATODO 350ML-VERDE</t>
  </si>
  <si>
    <t>TOMATODO 350ML-AMARILLO</t>
  </si>
  <si>
    <t>TOMATODO 350ML-ANARANJADO</t>
  </si>
  <si>
    <t>TOMATODO 350ML-AZUL</t>
  </si>
  <si>
    <t>1448PA116</t>
  </si>
  <si>
    <t>1449PA115</t>
  </si>
  <si>
    <t>1450PA123</t>
  </si>
  <si>
    <t>1446SO126</t>
  </si>
  <si>
    <t xml:space="preserve">BALDE PLAYERO CASTILLO </t>
  </si>
  <si>
    <t>PALA RASTRILLO ROMANO-VERDE</t>
  </si>
  <si>
    <t>TAPER ALEMAN 550ML CARAMELO</t>
  </si>
  <si>
    <t>TAPA REPOSTEROS-AMARILLO</t>
  </si>
  <si>
    <t>EMBUDO #2</t>
  </si>
  <si>
    <t>EMBUDO #2-AMARILLO</t>
  </si>
  <si>
    <t>EMBUDO #2-ANARANJADO</t>
  </si>
  <si>
    <t>EMBUDO #2-CELESTE</t>
  </si>
  <si>
    <t>EMBUDO #2-VERDE</t>
  </si>
  <si>
    <t>EMBUDO #2-AZUL</t>
  </si>
  <si>
    <t>EMBUDO #2-ROJO</t>
  </si>
  <si>
    <t>TAPER 550ML PASTEL-CREMA</t>
  </si>
  <si>
    <t>TAPER 550ML PASTEL-LILA</t>
  </si>
  <si>
    <t>TAPER 550ML PASTEL-MELON</t>
  </si>
  <si>
    <t>TAPER 550ML PASTEL-TURQUESA</t>
  </si>
  <si>
    <t>TAPER ALEMAN 550ML PASTEL</t>
  </si>
  <si>
    <t>TAPER 550ML PASTEL-CELESTE</t>
  </si>
  <si>
    <t>TAPER 550ML SOLIDO-AMARILLO</t>
  </si>
  <si>
    <t>TAPER 550ML SOLIDO-FUCSIA</t>
  </si>
  <si>
    <t>TAPER 550ML SOLIDO-TURQUESA</t>
  </si>
  <si>
    <t>TAPER 550ML SOLIDO-VERDE</t>
  </si>
  <si>
    <t>TAPER ALEMAN 550ML SOLIDO</t>
  </si>
  <si>
    <t>BALDE PLAYERO ROMANO</t>
  </si>
  <si>
    <t>BALDE ROMANO-VERDE</t>
  </si>
  <si>
    <t>ESCURRIDOR PORTAVAJILLA-VERDE</t>
  </si>
  <si>
    <t>ESCURRIDOR PORTAVAJILLA</t>
  </si>
  <si>
    <t>ESCURRIDOR PORTAVAJILLA-TURQUESA</t>
  </si>
  <si>
    <t>TAPA PORTAVAJILLA</t>
  </si>
  <si>
    <t>TAPA PORTAVAJILLA-TRANSPARENTE</t>
  </si>
  <si>
    <t>ACCESORIOS PLAYEROS #1</t>
  </si>
  <si>
    <t>ACCESORIOS PLAYEROS-VERDE</t>
  </si>
  <si>
    <t>TAPER REDONDO 2500ML</t>
  </si>
  <si>
    <t>TAPA TAPER REDONDO 2500ML-FUCSIA</t>
  </si>
  <si>
    <t>TAPA TAPER REDONDO 2500ML-AMARILLO</t>
  </si>
  <si>
    <t>TAPA TAPER REDONDO 2500ML-VERDE</t>
  </si>
  <si>
    <t>TAPA TAPER REDONDO 2500ML-TURQUESA</t>
  </si>
  <si>
    <t>TAPA TAPER REDONDO 2500ML-ROJO</t>
  </si>
  <si>
    <t>TAPA TAPER REDONDO 2500ML-AZUL</t>
  </si>
  <si>
    <t>1451PA122</t>
  </si>
  <si>
    <t>1453PA114</t>
  </si>
  <si>
    <t>1444TR121</t>
  </si>
  <si>
    <t>1445SO126</t>
  </si>
  <si>
    <t>1448SO115</t>
  </si>
  <si>
    <t>1449SO110</t>
  </si>
  <si>
    <t>1450SO123</t>
  </si>
  <si>
    <t>1451SO122</t>
  </si>
  <si>
    <t>TAPER REDONDO 2500ML-TRANSPARENTE</t>
  </si>
  <si>
    <t>TAPA TAPERS REDONDOS</t>
  </si>
  <si>
    <t xml:space="preserve">            </t>
  </si>
  <si>
    <t>SALSERO MULTIUSO 1200ML</t>
  </si>
  <si>
    <t>EMBUDO #3</t>
  </si>
  <si>
    <t>EMBUDO #3-AMARILLO</t>
  </si>
  <si>
    <t>EMBUDO #3-VERDE</t>
  </si>
  <si>
    <t>EMBUDO #3-ROJO</t>
  </si>
  <si>
    <t>EMBUDO #3-ANARANJADO</t>
  </si>
  <si>
    <t>EMBUDO #3-CELESTE</t>
  </si>
  <si>
    <t>1455SO110</t>
  </si>
  <si>
    <t>1456SO123</t>
  </si>
  <si>
    <t>1457SO119</t>
  </si>
  <si>
    <t>1458SO111</t>
  </si>
  <si>
    <t>1459SO114</t>
  </si>
  <si>
    <t>1460SO112</t>
  </si>
  <si>
    <t>CRISALIDA ZAPATA</t>
  </si>
  <si>
    <t>GANCHITO CLICK SALSERO-VERDE</t>
  </si>
  <si>
    <t>GANCHITO CLICK SALSERO-ROJO</t>
  </si>
  <si>
    <t>GANCHITO CLICK SALSERO-AMARILLO</t>
  </si>
  <si>
    <t>GANCHITO CLICK SALSERO-BLANCO</t>
  </si>
  <si>
    <t>TAPA SALSERO MULTIUSO-VERDE</t>
  </si>
  <si>
    <t>TAPA SALSERO MULTIUSO-AMARILLO</t>
  </si>
  <si>
    <t>SALSERO PERITA 225ML-TRANSPARENTE</t>
  </si>
  <si>
    <t>Tipo Maq</t>
  </si>
  <si>
    <t>TAPA TAPER REDONDO-FUCSIA</t>
  </si>
  <si>
    <t>TAPA TAPER REDONDO-VERDE</t>
  </si>
  <si>
    <t>TAPA TAPER REDONDO-AMARILLO</t>
  </si>
  <si>
    <t>TAPA TAPER REDONDO-ROJO</t>
  </si>
  <si>
    <t>TAPA TAPER REDONDO-AZUL</t>
  </si>
  <si>
    <t>TAPA TAPER REDONDO-TURQUESA</t>
  </si>
  <si>
    <t>TOMATODO ULTRA 650ML</t>
  </si>
  <si>
    <t>SALSERO MULTIUSO 380ML</t>
  </si>
  <si>
    <t>TAPA SALSERO CLICK</t>
  </si>
  <si>
    <t>EMBUDO GIGANTE-VERDE</t>
  </si>
  <si>
    <t>EMBUDO GIGANTE-AMARILLO</t>
  </si>
  <si>
    <t>EMBUDO GIGANTE-ROJO</t>
  </si>
  <si>
    <t>EMBUDO GIGANTE-AZUL</t>
  </si>
  <si>
    <t>EMBUDO GIGANTE-CELESTE</t>
  </si>
  <si>
    <t>TAPER REDONDO 1500ML-TRANSPARENTE</t>
  </si>
  <si>
    <t>TAPER REDONDO 1500ML</t>
  </si>
  <si>
    <t>EMBUDO #4-AMARILLO</t>
  </si>
  <si>
    <t>EMBUDO #4-AZUL</t>
  </si>
  <si>
    <t>EMBUDO #4-VERDE</t>
  </si>
  <si>
    <t>EMBUDO #4-CELESTE</t>
  </si>
  <si>
    <t>EMBUDO #4-ROJO</t>
  </si>
  <si>
    <t>EMBUDO #4-ANARANJADO</t>
  </si>
  <si>
    <t>HT 160 A</t>
  </si>
  <si>
    <t>LAVACUELA REDONDO-VERDE</t>
  </si>
  <si>
    <t>LAVACUELA REDONDO-TURQUESA</t>
  </si>
  <si>
    <t>LAVACUELA REDONDO-MELON</t>
  </si>
  <si>
    <t>CESTO MULTIUSO-CREMA</t>
  </si>
  <si>
    <t>PUNTA DE TOMATODO ULTRA</t>
  </si>
  <si>
    <t>SALSERO MULTIUSO 380 ML</t>
  </si>
  <si>
    <t>SALSERO PERITA 225ML</t>
  </si>
  <si>
    <t>SALSERO PERA 375ML-TRANSPARENTE</t>
  </si>
  <si>
    <t>1466TR221</t>
  </si>
  <si>
    <t>1467TR221</t>
  </si>
  <si>
    <t>GANCHITO CLICK SALSERO</t>
  </si>
  <si>
    <t>TAPA DE TAPER REDONDO</t>
  </si>
  <si>
    <t>1395PA124</t>
  </si>
  <si>
    <t>1396PA122</t>
  </si>
  <si>
    <t>1397PA116</t>
  </si>
  <si>
    <t>1398PA117</t>
  </si>
  <si>
    <t>1399PA120</t>
  </si>
  <si>
    <t>1400PA123</t>
  </si>
  <si>
    <t>TAPA SALSERO MULTIUSO</t>
  </si>
  <si>
    <t>ASAS DE BALDE PLAYERO</t>
  </si>
  <si>
    <t>ASA DE BALDE PLAYERO</t>
  </si>
  <si>
    <t>ASA DE BALDE PLAYERO-AMARILLO</t>
  </si>
  <si>
    <t>ASA DE BALDE PLAYERO-ROJO</t>
  </si>
  <si>
    <t>ASA DE BALDE PLAYERO-AZUL</t>
  </si>
  <si>
    <t>ASA DE BALDE PLAYERO-FUCSIA</t>
  </si>
  <si>
    <t>ASA DE BALDE PLAYERO-LILA</t>
  </si>
  <si>
    <t>ASA DE BALDE PLAYERO-VERDE</t>
  </si>
  <si>
    <t>ASA DE BALDE PLAYERO-ANARANJADO</t>
  </si>
  <si>
    <t>VASO MUNDO MANZANITA CARAMELO-ANARANJADO</t>
  </si>
  <si>
    <t>CESTO MULTIUSO-LILA</t>
  </si>
  <si>
    <t>CESTO MULTIUSO-MELON</t>
  </si>
  <si>
    <t>CESTO MULTIUSO-ROSADO</t>
  </si>
  <si>
    <t>CESTO MULTIUSO-TURQUESA</t>
  </si>
  <si>
    <t>CESTO MULTIUSO-VERDE</t>
  </si>
  <si>
    <t>TAPER 550ML PASTEL-ROSADO</t>
  </si>
  <si>
    <t>EMBUDO #3-AZUL</t>
  </si>
  <si>
    <t>ASA LATERAL DE ORGANIZADOR-PLOMO</t>
  </si>
  <si>
    <t>ASA LATERAL DE ORGANIZADOR</t>
  </si>
  <si>
    <t>ORGANIZADOR</t>
  </si>
  <si>
    <t>ORGANIZADOR DE 5KG</t>
  </si>
  <si>
    <t>ORGANIZADOR DE 5KG-TRANSPARENTE</t>
  </si>
  <si>
    <t>ORGANIZADOR DE 10KG</t>
  </si>
  <si>
    <t>ORGANIZADOR DE 10KG-TRANSPARENTE</t>
  </si>
  <si>
    <t>ORGANIZADOR DE 15KG</t>
  </si>
  <si>
    <t>ORGANIZADOR DE 15KG-TRANSPARENTE</t>
  </si>
  <si>
    <t>1468TR121</t>
  </si>
  <si>
    <t>1469TR121</t>
  </si>
  <si>
    <t>1470TR121</t>
  </si>
  <si>
    <t>ASA DE CARGA ORGANIZADOR-PLOMO</t>
  </si>
  <si>
    <t>ASA DE CARGA ORGANIZADOR</t>
  </si>
  <si>
    <t>1471SO126</t>
  </si>
  <si>
    <t>1472SO126</t>
  </si>
  <si>
    <t>TAPA ORGANIZADOR DE 5KG</t>
  </si>
  <si>
    <t>TAPA ORGANIZADOR DE 5KG-AMARILLO</t>
  </si>
  <si>
    <t>TAPA ORGANIZADOR DE 5KG-VERDE</t>
  </si>
  <si>
    <t>TAPA ORGANIZADOR DE 5KG-TURQUESA</t>
  </si>
  <si>
    <t>TAPA ORGANIZADOR DE 5KG-AZUL</t>
  </si>
  <si>
    <t>TAPA ORGANIZADOR DE 5KG-FUCSIA</t>
  </si>
  <si>
    <t>TAPA ORGANIZADOR DE 5KG-ROJO</t>
  </si>
  <si>
    <t>TAPA ORGANIZADOR DE 10KG</t>
  </si>
  <si>
    <t>TAPA ORGANIZADOR DE 10KG-AMARILLO</t>
  </si>
  <si>
    <t>TAPA ORGANIZADOR DE 10KG-VERDE</t>
  </si>
  <si>
    <t>TAPA ORGANIZADOR DE 10KG-TURQUESA</t>
  </si>
  <si>
    <t>TAPA ORGANIZADOR DE 10KG-AZUL</t>
  </si>
  <si>
    <t>TAPA ORGANIZADOR DE 10KG-FUCSIA</t>
  </si>
  <si>
    <t>TAPA ORGANIZADOR DE 10KG-ROJO</t>
  </si>
  <si>
    <t>TAPA ORGANIZADOR DE 15KG</t>
  </si>
  <si>
    <t>TAPA ORGANIZADOR DE 15KG-AMARILLO</t>
  </si>
  <si>
    <t>TAPA ORGANIZADOR DE 15KG-VERDE</t>
  </si>
  <si>
    <t>TAPA ORGANIZADOR DE 15KG-TURQUESA</t>
  </si>
  <si>
    <t>TAPA ORGANIZADOR DE 15KG-AZUL</t>
  </si>
  <si>
    <t>TAPA ORGANIZADOR DE 15KG-FUCSIA</t>
  </si>
  <si>
    <t>TAPA ORGANIZADOR DE 15KG-ROJO</t>
  </si>
  <si>
    <t>1473SO110</t>
  </si>
  <si>
    <t>1474SO123</t>
  </si>
  <si>
    <t>1475SO122</t>
  </si>
  <si>
    <t>1476SO112</t>
  </si>
  <si>
    <t>1477SO115</t>
  </si>
  <si>
    <t>1478SO119</t>
  </si>
  <si>
    <t>1479SO110</t>
  </si>
  <si>
    <t>1480SO123</t>
  </si>
  <si>
    <t>1481SO122</t>
  </si>
  <si>
    <t>1482SO112</t>
  </si>
  <si>
    <t>1483SO115</t>
  </si>
  <si>
    <t>1484SO119</t>
  </si>
  <si>
    <t>1485SO110</t>
  </si>
  <si>
    <t>1486SO123</t>
  </si>
  <si>
    <t>1487SO122</t>
  </si>
  <si>
    <t>1488SO112</t>
  </si>
  <si>
    <t>1489SO115</t>
  </si>
  <si>
    <t>1490SO119</t>
  </si>
  <si>
    <t>EMBUDO #1-AMARILLO</t>
  </si>
  <si>
    <t>EMBUDO #1-ANARANJADO</t>
  </si>
  <si>
    <t>EMBUDO #1-CELESTE</t>
  </si>
  <si>
    <t>EMBUDO #1-LILA</t>
  </si>
  <si>
    <t>EMBUDO #1-ROSADO</t>
  </si>
  <si>
    <t>EMBUDO #1-VERDE</t>
  </si>
  <si>
    <t>EMBUDO #1</t>
  </si>
  <si>
    <t>VALVULA VAPOR-BLANCO</t>
  </si>
  <si>
    <t>TAPER CON COMPARTIMIENTO</t>
  </si>
  <si>
    <t>TAPER CON COMPARTIMIENTO-TRANSPARENTE</t>
  </si>
  <si>
    <t>TAPER REDONDO 2500ML CARAMELO-AMARILLO</t>
  </si>
  <si>
    <t>TAPER REDONDO 2500ML CARAMELO-AZUL</t>
  </si>
  <si>
    <t>TAPER REDONDO 2500ML CARAMELO-VERDE</t>
  </si>
  <si>
    <t>TAPER REDONDO 2500ML CARAMELO-ROJO</t>
  </si>
  <si>
    <t>FLORERO ROMANO</t>
  </si>
  <si>
    <t>JARRA REAL 6LT</t>
  </si>
  <si>
    <t>TAPER REDONDO 1500ML CARAMELO-AMARILLO</t>
  </si>
  <si>
    <t>JARRA REAL 6 LT-TRANSPARENTE</t>
  </si>
  <si>
    <t>JARRA GRECIA 6LT</t>
  </si>
  <si>
    <t>JARRA REAL 1200 ML</t>
  </si>
  <si>
    <t>JARRA REAL 1200 LT-TRANSPARENTE</t>
  </si>
  <si>
    <t>1489SO116</t>
  </si>
  <si>
    <t>1490SO120</t>
  </si>
  <si>
    <t>1451PA123</t>
  </si>
  <si>
    <t>1489SO117</t>
  </si>
  <si>
    <t>1490SO121</t>
  </si>
  <si>
    <t>1451PA124</t>
  </si>
  <si>
    <t>TAPER REDONDO 2500ML CARAMELO-FUCSIA</t>
  </si>
  <si>
    <t>TAPER REDONDO 2500ML CARAMELO-LILA</t>
  </si>
  <si>
    <t>TAPER REDONDO 2500ML CARAMELO</t>
  </si>
  <si>
    <t>TAPER REDONDO 1500ML CARAMELO</t>
  </si>
  <si>
    <t>TAPER REDONDO 1500ML CARAMELO-ROJO</t>
  </si>
  <si>
    <t>TAPER REDONDO 1500ML CARAMELO-AZUL</t>
  </si>
  <si>
    <t>TAPER REDONDO 1500ML CARAMELO-FUCSIA</t>
  </si>
  <si>
    <t>TAPER REDONDO 1500ML CARAMELO-LILA</t>
  </si>
  <si>
    <t>TAPER REDONDO 1500ML CARAMELO-VERDE</t>
  </si>
  <si>
    <t>1489SO118</t>
  </si>
  <si>
    <t>1490SO122</t>
  </si>
  <si>
    <t>1451PA125</t>
  </si>
  <si>
    <t>FLORERO ROMANO CARAMELO-AMARILLO</t>
  </si>
  <si>
    <t>FLORERO ROMANO CARAMELO-ANARANJADO</t>
  </si>
  <si>
    <t>FLORERO ROMANO CARAMELO-AZUL</t>
  </si>
  <si>
    <t>FLORERO ROMANO CARAMELO-FUCSIA</t>
  </si>
  <si>
    <t>FLORERO ROMANO CARAMELO-LILA</t>
  </si>
  <si>
    <t>FLORERO ROMANO CARAMELO-VERDE</t>
  </si>
  <si>
    <t>1492CA210</t>
  </si>
  <si>
    <t>1493CA211</t>
  </si>
  <si>
    <t>1494CA212</t>
  </si>
  <si>
    <t>1495CA215</t>
  </si>
  <si>
    <t>1496CA216</t>
  </si>
  <si>
    <t>1497CA223</t>
  </si>
  <si>
    <t>CANASTA CAROLINA-TURQUESA</t>
  </si>
  <si>
    <t>EMBUDO #3-LILA</t>
  </si>
  <si>
    <t>EMBUDO #3-FUCSIA</t>
  </si>
  <si>
    <t>1497CA224</t>
  </si>
  <si>
    <t>SALSERO MULTIUSO 480 ML</t>
  </si>
  <si>
    <t>SALSERO IDEAL 400 ML.</t>
  </si>
  <si>
    <t>SALSERO PERITA 375 ML</t>
  </si>
  <si>
    <t>SALSERO PERITA 375ML-TRANSPARENTE</t>
  </si>
  <si>
    <t xml:space="preserve">SALSERO IDEAL 300ML </t>
  </si>
  <si>
    <t>TAPER 2800ML CARAMELO-ROJO</t>
  </si>
  <si>
    <t>TAPER 1100ML PASTEL-TURQUESA PASTEL</t>
  </si>
  <si>
    <t>TAPER 1100ML SOLIDO-TURQUESA</t>
  </si>
  <si>
    <t>BASE PORTA VAJILLA CARAMELO-TURQUESA</t>
  </si>
  <si>
    <t>TAPA TAPERS REDONDOS CARAMELO</t>
  </si>
  <si>
    <t>TAPA TAPERS REDONDOS CARAMELO-AMARILLO</t>
  </si>
  <si>
    <t>TAPA TAPERS REDONDOS CARAMELO-VERDE</t>
  </si>
  <si>
    <t>TAPA TAPERS REDONDOS CARAMELO-AZUL</t>
  </si>
  <si>
    <t>TAPA TAPERS REDONDOS CARAMELO-ROJO</t>
  </si>
  <si>
    <t>TAPA TAPERS REDONDOS CARAMELO-FUCSIA</t>
  </si>
  <si>
    <t>TAPA TAPERS REDONDOS CARAMELO-LILA</t>
  </si>
  <si>
    <t>PIN DE LLANTA CORDILLERANO</t>
  </si>
  <si>
    <t>OLLA Y TETERA DANIELA-TURQUESA</t>
  </si>
  <si>
    <t>OLLA Y TETERA DANIELA-MELON</t>
  </si>
  <si>
    <t>ANIMALES CORDILLERANO-NEGRO</t>
  </si>
  <si>
    <t>TOLVA GANADERO ANDINO</t>
  </si>
  <si>
    <t>TOLVA VOLQUETE PANDA</t>
  </si>
  <si>
    <t>LLANTAS DE PANDA</t>
  </si>
  <si>
    <t>CHASIS PANDA-AMARILLO</t>
  </si>
  <si>
    <t>CHASIS PANDA-VERDE</t>
  </si>
  <si>
    <t>CHASIS PANDA-ROJO</t>
  </si>
  <si>
    <t>CABINA PANDA-VERDE</t>
  </si>
  <si>
    <t>TOLVAS CORDILLERANO</t>
  </si>
  <si>
    <t>HUEVO Y CHOCLO</t>
  </si>
  <si>
    <t>LLANTAS DE CORDILLERANO</t>
  </si>
  <si>
    <t>CHASIS DE CORDILLERANO-ANARANJADO</t>
  </si>
  <si>
    <t>CHASIS DE CORDILLERANO-AZUL</t>
  </si>
  <si>
    <t>CHASIS DE CORDILLERANO-CELESTE</t>
  </si>
  <si>
    <t>CHASIS DE CORDILLERANO-ROJO</t>
  </si>
  <si>
    <t>CHASIS DE CORDILLERANO-VERDE</t>
  </si>
  <si>
    <t>CHASIS DE CORDILLERANO-AMARILLO</t>
  </si>
  <si>
    <t>ASAS DE ORGANIZADOR 2 Y 3-AMARILLO</t>
  </si>
  <si>
    <t>ASAS DE ORGANIZADOR 2 Y 3-VERDE</t>
  </si>
  <si>
    <t>ASAS DE ORGANIZADOR 2 Y 3-AZUL</t>
  </si>
  <si>
    <t>ASAS DE ORGANIZADOR 2 Y 3-ROJO</t>
  </si>
  <si>
    <t>ASAS DE ORGANIZADOR 2 Y 3-FUCSIA</t>
  </si>
  <si>
    <t>ASAS DE ORGANIZADOR 2 Y 3-CELESTE PASTEL</t>
  </si>
  <si>
    <t>ASAS DE ORGANIZADOR 2 Y 3-TURQUESA PASTEL</t>
  </si>
  <si>
    <t>ASAS DE ORGANIZADOR 2 Y 3-ROSADO PASTEL</t>
  </si>
  <si>
    <t>ASAS DE ORGANIZADOR 2 Y 3-LILA PASTEL</t>
  </si>
  <si>
    <t>ASAS DE ORGANIZADOR 2 Y 3-LILA</t>
  </si>
  <si>
    <t>HT 160 B</t>
  </si>
  <si>
    <t>TAPA DE ORGANIZADOR #3</t>
  </si>
  <si>
    <t>TAPA DE ORGANIZADOR #2</t>
  </si>
  <si>
    <t>BALDE CASTILLO MEDIEVAL-VERDE</t>
  </si>
  <si>
    <t>ORGANIZADOR DE 5KG PASTEL</t>
  </si>
  <si>
    <t>ASAS CARGA ORG 5,10,15 -PLOMO</t>
  </si>
  <si>
    <t>BALDE CASTILLO-VERDE</t>
  </si>
  <si>
    <t>TAPA DE ORGANIZADOR #3 CARAMELO</t>
  </si>
  <si>
    <t>TAPA DE ORGANIZADOR #2 CARAMELO</t>
  </si>
  <si>
    <t>ORGANIZADOR  DE 3KG CARAMELO</t>
  </si>
  <si>
    <t>ORGANIZADOR  DE 3KG</t>
  </si>
  <si>
    <t>ORGANIZADOR  DE 2KG PASTEL</t>
  </si>
  <si>
    <t>TOMATODO AVENTURA 350 ML</t>
  </si>
  <si>
    <t>TOMATODO 350ML PASTEL</t>
  </si>
  <si>
    <t>TAPA DE ORGANIZADOR #2 PASTEL</t>
  </si>
  <si>
    <t>TAPA ORGANIZADOR DE 10KG GLITER</t>
  </si>
  <si>
    <t>ALCANCIA MEDIANA-VERDE</t>
  </si>
  <si>
    <t>PIEZAS - COLOR</t>
  </si>
  <si>
    <t>MOLDE</t>
  </si>
  <si>
    <t>TAPAS DE JARRA 5 Y 6L</t>
  </si>
  <si>
    <t>(Varios elementos)</t>
  </si>
  <si>
    <t>ALCANCIA CHICO-VERDE</t>
  </si>
  <si>
    <t>FLORERO ROMANO CARAMELO</t>
  </si>
  <si>
    <t>FLORERO ROMANO PASTEL</t>
  </si>
  <si>
    <t>JOSDER GONZALEZ</t>
  </si>
  <si>
    <t>JUAN MANUEL PEREZ</t>
  </si>
  <si>
    <t>DIURNO</t>
  </si>
  <si>
    <t>NOCTURNO</t>
  </si>
  <si>
    <t>ALEXANDER MORENO</t>
  </si>
  <si>
    <t>WALTER GUEVARA</t>
  </si>
  <si>
    <t>SEBASTIAN MURGA</t>
  </si>
  <si>
    <t>2025</t>
  </si>
  <si>
    <t>JUAN CARLOS CEDENO</t>
  </si>
  <si>
    <t>ANARNJADO</t>
  </si>
  <si>
    <t>TAPA TOMATODO DOBLE CLICK PASTEL</t>
  </si>
  <si>
    <t>TAPA TOMATODO DOBLE CLICK SOLIDO</t>
  </si>
  <si>
    <t>HT 320 A</t>
  </si>
  <si>
    <t>HT 360 A</t>
  </si>
  <si>
    <t>SALSERO MULTIUSO 600 ML</t>
  </si>
  <si>
    <t>TAPER ALEMAN 550ML TRANSP</t>
  </si>
  <si>
    <t>SOP 2A</t>
  </si>
  <si>
    <t>TAPA DE ORGANIZADOR #3 PASTEL</t>
  </si>
  <si>
    <t>Febrero</t>
  </si>
  <si>
    <t>SOP 2B</t>
  </si>
  <si>
    <t>SOP 2C</t>
  </si>
  <si>
    <t>SALSERO 1200 ML</t>
  </si>
  <si>
    <t>MINICANASTA SUPERMERCADO</t>
  </si>
  <si>
    <t>JABONERA CARAMELO</t>
  </si>
  <si>
    <t>JABONERA PASTEL</t>
  </si>
  <si>
    <t>SALSERO IDEAL 400 ML</t>
  </si>
  <si>
    <t>PORTA CUBIERTOS PASTEL</t>
  </si>
  <si>
    <t>TAPER ALEMAN 2800ML CARAMELO</t>
  </si>
  <si>
    <t>TAPER ALEMAN 2800ML PASTEL</t>
  </si>
  <si>
    <t>TAPER ALEMAN 2800ML SOLIDO</t>
  </si>
  <si>
    <t>TAPER ALEMAN 2800ML TRANSP</t>
  </si>
  <si>
    <t>JARRA GRECIA 5LT</t>
  </si>
  <si>
    <t>TAPER ALEMAN 1100ML SOLIDO</t>
  </si>
  <si>
    <t>TAPER ALEMAN 1100ML PASTEL</t>
  </si>
  <si>
    <t>TAPER ALEMAN 1100ML CARAMELO</t>
  </si>
  <si>
    <t>TAPER ALEMAN 1100ML TRANSP</t>
  </si>
  <si>
    <t>EXTRA</t>
  </si>
  <si>
    <t>SOP M-C</t>
  </si>
  <si>
    <t>PORTA YOGURT</t>
  </si>
  <si>
    <t>SOP-2B</t>
  </si>
  <si>
    <t>ORGANIZADOR  DE 2KG NAVIDAD</t>
  </si>
  <si>
    <t>SALSERO CARITAS 600ML</t>
  </si>
  <si>
    <t>FLORERO GRIEGO</t>
  </si>
  <si>
    <t>SOP-2A</t>
  </si>
  <si>
    <t>Hora de Ingreso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</si>
</sst>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S/&quot;* #,##0.00_);_(&quot;S/&quot;* \(#,##0.00\);_(&quot;S/&quot;* &quot;-&quot;??_);_(@_)"/>
    <numFmt numFmtId="165" formatCode="_ * #,##0.00_ ;_ * \-#,##0.00_ ;_ * &quot;-&quot;??_ ;_ @_ "/>
    <numFmt numFmtId="166" formatCode="_ * #,##0_ ;_ * \-#,##0_ ;_ * &quot;-&quot;??_ ;_ @_ 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3FFFF"/>
        <bgColor indexed="64"/>
      </patternFill>
    </fill>
    <fill>
      <patternFill patternType="solid">
        <fgColor rgb="FF8BE9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</borders>
  <cellStyleXfs count="4">
    <xf numFmtId="0" fontId="0" fillId="0" borderId="0"/>
    <xf numFmtId="0" fontId="1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90">
    <xf numFmtId="0" fontId="0" fillId="0" borderId="0" xfId="0"/>
    <xf numFmtId="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5" fillId="0" borderId="1" xfId="0" applyFont="1" applyBorder="1"/>
    <xf numFmtId="0" fontId="5" fillId="0" borderId="0" xfId="0" applyFont="1"/>
    <xf numFmtId="0" fontId="6" fillId="4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0" fontId="7" fillId="0" borderId="1" xfId="0" applyFont="1" applyBorder="1" applyAlignment="1">
      <alignment vertic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2" fontId="0" fillId="0" borderId="0" xfId="0" applyNumberFormat="1"/>
    <xf numFmtId="2" fontId="0" fillId="0" borderId="0" xfId="0" applyNumberFormat="1"/>
    <xf numFmtId="0" fontId="5" fillId="0" borderId="0" xfId="0" applyFont="1" applyAlignment="1">
      <alignment horizontal="right"/>
    </xf>
    <xf numFmtId="14" fontId="5" fillId="0" borderId="0" xfId="0" applyNumberFormat="1" applyFont="1" applyAlignment="1">
      <alignment horizontal="right"/>
    </xf>
    <xf numFmtId="0" fontId="0" fillId="0" borderId="6" xfId="0" applyBorder="1" applyAlignment="1">
      <alignment horizontal="center" wrapText="1"/>
    </xf>
    <xf numFmtId="0" fontId="10" fillId="0" borderId="6" xfId="0" applyFont="1" applyBorder="1" applyAlignment="1">
      <alignment horizontal="center" wrapText="1"/>
    </xf>
    <xf numFmtId="0" fontId="9" fillId="6" borderId="5" xfId="0" applyFont="1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wrapText="1"/>
    </xf>
    <xf numFmtId="0" fontId="10" fillId="0" borderId="6" xfId="0" applyFont="1" applyBorder="1" applyAlignment="1">
      <alignment wrapText="1"/>
    </xf>
    <xf numFmtId="0" fontId="0" fillId="0" borderId="6" xfId="0" applyBorder="1" applyAlignment="1">
      <alignment wrapText="1"/>
    </xf>
    <xf numFmtId="0" fontId="10" fillId="0" borderId="6" xfId="0" applyFont="1" applyBorder="1" applyAlignment="1">
      <alignment horizontal="right" wrapText="1"/>
    </xf>
    <xf numFmtId="14" fontId="10" fillId="0" borderId="0" xfId="0" applyNumberFormat="1" applyFont="1" applyAlignment="1">
      <alignment horizontal="left"/>
    </xf>
    <xf numFmtId="14" fontId="10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0" fontId="10" fillId="0" borderId="0" xfId="0" applyFont="1" applyAlignment="1">
      <alignment horizontal="center"/>
    </xf>
    <xf numFmtId="0" fontId="5" fillId="3" borderId="1" xfId="0" applyFont="1" applyFill="1" applyBorder="1"/>
    <xf numFmtId="0" fontId="7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/>
    </xf>
    <xf numFmtId="0" fontId="5" fillId="0" borderId="1" xfId="0" applyFont="1" applyBorder="1" applyAlignment="1">
      <alignment wrapText="1"/>
    </xf>
    <xf numFmtId="0" fontId="5" fillId="0" borderId="9" xfId="0" applyFont="1" applyBorder="1"/>
    <xf numFmtId="0" fontId="5" fillId="3" borderId="1" xfId="0" applyFont="1" applyFill="1" applyBorder="1" applyAlignment="1">
      <alignment wrapText="1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left"/>
    </xf>
    <xf numFmtId="0" fontId="7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wrapText="1"/>
    </xf>
    <xf numFmtId="0" fontId="5" fillId="0" borderId="10" xfId="0" applyFont="1" applyBorder="1"/>
    <xf numFmtId="14" fontId="5" fillId="0" borderId="0" xfId="0" applyNumberFormat="1" applyFont="1" applyAlignment="1">
      <alignment horizontal="left"/>
    </xf>
    <xf numFmtId="164" fontId="5" fillId="0" borderId="0" xfId="3" applyFont="1" applyFill="1" applyBorder="1"/>
    <xf numFmtId="0" fontId="10" fillId="0" borderId="7" xfId="0" applyFont="1" applyBorder="1" applyAlignment="1">
      <alignment horizontal="center" wrapText="1"/>
    </xf>
    <xf numFmtId="0" fontId="10" fillId="0" borderId="7" xfId="0" applyFont="1" applyBorder="1" applyAlignment="1">
      <alignment wrapText="1"/>
    </xf>
    <xf numFmtId="0" fontId="10" fillId="0" borderId="7" xfId="0" applyFont="1" applyBorder="1" applyAlignment="1">
      <alignment horizontal="right" wrapText="1"/>
    </xf>
    <xf numFmtId="0" fontId="10" fillId="0" borderId="6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1" fillId="0" borderId="0" xfId="0" applyFont="1"/>
    <xf numFmtId="0" fontId="5" fillId="0" borderId="6" xfId="0" applyFont="1" applyBorder="1" applyAlignment="1">
      <alignment horizontal="center" wrapText="1"/>
    </xf>
    <xf numFmtId="0" fontId="10" fillId="0" borderId="0" xfId="0" applyFont="1" applyAlignment="1">
      <alignment horizontal="left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14" fontId="4" fillId="5" borderId="1" xfId="0" applyNumberFormat="1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/>
    </xf>
    <xf numFmtId="4" fontId="4" fillId="5" borderId="1" xfId="0" applyNumberFormat="1" applyFont="1" applyFill="1" applyBorder="1" applyAlignment="1">
      <alignment horizontal="center" vertical="center" wrapText="1"/>
    </xf>
    <xf numFmtId="4" fontId="5" fillId="0" borderId="0" xfId="0" applyNumberFormat="1" applyFont="1" applyAlignment="1">
      <alignment horizontal="center"/>
    </xf>
    <xf numFmtId="0" fontId="4" fillId="5" borderId="1" xfId="0" applyFont="1" applyFill="1" applyBorder="1" applyAlignment="1">
      <alignment horizontal="center" vertical="center" wrapText="1"/>
    </xf>
    <xf numFmtId="14" fontId="4" fillId="5" borderId="8" xfId="0" applyNumberFormat="1" applyFont="1" applyFill="1" applyBorder="1" applyAlignment="1">
      <alignment horizontal="center" vertical="center" wrapText="1"/>
    </xf>
    <xf numFmtId="14" fontId="4" fillId="5" borderId="11" xfId="0" applyNumberFormat="1" applyFont="1" applyFill="1" applyBorder="1" applyAlignment="1">
      <alignment horizontal="center" vertical="center" wrapText="1"/>
    </xf>
    <xf numFmtId="4" fontId="4" fillId="5" borderId="3" xfId="0" applyNumberFormat="1" applyFont="1" applyFill="1" applyBorder="1" applyAlignment="1">
      <alignment horizontal="center" vertical="center" wrapText="1"/>
    </xf>
    <xf numFmtId="166" fontId="4" fillId="5" borderId="1" xfId="2" applyNumberFormat="1" applyFont="1" applyFill="1" applyBorder="1" applyAlignment="1">
      <alignment horizontal="center" vertical="center" wrapText="1"/>
    </xf>
    <xf numFmtId="165" fontId="4" fillId="5" borderId="1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22" fontId="5" fillId="0" borderId="0" xfId="0" applyNumberFormat="1" applyFont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4" fontId="5" fillId="2" borderId="0" xfId="0" applyNumberFormat="1" applyFont="1" applyFill="1" applyAlignment="1">
      <alignment horizontal="center"/>
    </xf>
    <xf numFmtId="4" fontId="5" fillId="2" borderId="2" xfId="0" applyNumberFormat="1" applyFont="1" applyFill="1" applyBorder="1" applyAlignment="1">
      <alignment horizontal="center"/>
    </xf>
    <xf numFmtId="14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2" xfId="0" applyFont="1" applyFill="1" applyBorder="1" applyAlignment="1">
      <alignment horizontal="center"/>
    </xf>
    <xf numFmtId="166" fontId="5" fillId="2" borderId="0" xfId="2" applyNumberFormat="1" applyFont="1" applyFill="1" applyAlignment="1">
      <alignment horizontal="center"/>
    </xf>
    <xf numFmtId="165" fontId="5" fillId="2" borderId="0" xfId="2" applyFont="1" applyFill="1" applyAlignment="1">
      <alignment horizontal="center"/>
    </xf>
    <xf numFmtId="0" fontId="7" fillId="3" borderId="10" xfId="0" applyFont="1" applyFill="1" applyBorder="1" applyAlignment="1">
      <alignment horizontal="center" vertical="center"/>
    </xf>
    <xf numFmtId="166" fontId="5" fillId="0" borderId="0" xfId="2" applyNumberFormat="1" applyFont="1" applyAlignment="1">
      <alignment horizontal="center"/>
    </xf>
    <xf numFmtId="165" fontId="5" fillId="0" borderId="0" xfId="2" applyFont="1" applyAlignment="1">
      <alignment horizontal="center"/>
    </xf>
    <xf numFmtId="0" fontId="5" fillId="0" borderId="0" xfId="0" quotePrefix="1" applyFont="1" applyAlignment="1">
      <alignment horizontal="center"/>
    </xf>
    <xf numFmtId="0" fontId="0" fillId="0" borderId="0" xfId="0" pivotButton="1"/>
    <xf numFmtId="0" fontId="8" fillId="0" borderId="0" xfId="0" applyFont="1"/>
    <xf numFmtId="0" fontId="8" fillId="2" borderId="0" xfId="0" applyFont="1" applyFill="1"/>
    <xf numFmtId="0" fontId="0" fillId="9" borderId="0" xfId="0" applyFill="1"/>
    <xf numFmtId="4" fontId="0" fillId="8" borderId="0" xfId="0" applyNumberFormat="1" applyFill="1"/>
    <xf numFmtId="4" fontId="0" fillId="2" borderId="0" xfId="0" applyNumberFormat="1" applyFill="1"/>
  </cellXfs>
  <cellStyles count="4">
    <cellStyle name="Comma" xfId="2" builtinId="3"/>
    <cellStyle name="Currency" xfId="3" builtinId="4"/>
    <cellStyle name="Normal" xfId="0" builtinId="0"/>
    <cellStyle name="Normal 2" xfId="1" xr:uid="{00000000-0005-0000-0000-000003000000}"/>
  </cellStyles>
  <dxfs count="478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67" formatCode="m/d/yyyy"/>
    </dxf>
    <dxf>
      <numFmt numFmtId="168" formatCode="m/d/yyyy\ 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67" formatCode="m/d/yyyy"/>
    </dxf>
    <dxf>
      <numFmt numFmtId="168" formatCode="m/d/yyyy\ 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2" formatCode="0.00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numFmt numFmtId="27" formatCode="dd/mm/yyyy\ hh:mm"/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4" formatCode="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4" tint="0.39997558519241921"/>
        </patternFill>
      </fill>
    </dxf>
    <dxf>
      <numFmt numFmtId="4" formatCode="#,##0.00"/>
    </dxf>
    <dxf>
      <numFmt numFmtId="4" formatCode="#,##0.00"/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ill>
        <patternFill patternType="solid">
          <bgColor rgb="FFFFDDDD"/>
        </patternFill>
      </fill>
    </dxf>
    <dxf>
      <fill>
        <patternFill patternType="solid">
          <bgColor rgb="FFFFDDDD"/>
        </patternFill>
      </fill>
    </dxf>
    <dxf>
      <font>
        <color auto="1"/>
      </font>
    </dxf>
    <dxf>
      <font>
        <color auto="1"/>
      </font>
    </dxf>
    <dxf>
      <font>
        <sz val="11"/>
      </font>
    </dxf>
    <dxf>
      <numFmt numFmtId="4" formatCode="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4" tint="0.39997558519241921"/>
        </patternFill>
      </fill>
    </dxf>
    <dxf>
      <numFmt numFmtId="4" formatCode="#,##0.00"/>
    </dxf>
    <dxf>
      <numFmt numFmtId="4" formatCode="#,##0.0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>
          <bgColor rgb="FF99FF66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bottom/>
      </border>
    </dxf>
    <dxf>
      <border>
        <left/>
        <right/>
        <top/>
        <vertic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00E600"/>
        </patternFill>
      </fill>
    </dxf>
    <dxf>
      <fill>
        <patternFill patternType="solid">
          <bgColor rgb="FF00E600"/>
        </patternFill>
      </fill>
    </dxf>
    <dxf>
      <fill>
        <patternFill>
          <bgColor rgb="FF00E600"/>
        </patternFill>
      </fill>
    </dxf>
    <dxf>
      <fill>
        <patternFill>
          <bgColor rgb="FF00E600"/>
        </patternFill>
      </fill>
    </dxf>
    <dxf>
      <fill>
        <patternFill>
          <bgColor rgb="FF00E600"/>
        </patternFill>
      </fill>
    </dxf>
    <dxf>
      <fill>
        <patternFill>
          <bgColor rgb="FF00E600"/>
        </patternFill>
      </fill>
    </dxf>
    <dxf>
      <fill>
        <patternFill>
          <bgColor rgb="FF00E60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sz val="8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99FF66"/>
        </patternFill>
      </fill>
    </dxf>
    <dxf>
      <fill>
        <patternFill patternType="solid">
          <bgColor rgb="FFFFDDDD"/>
        </patternFill>
      </fill>
    </dxf>
    <dxf>
      <fill>
        <patternFill patternType="solid">
          <bgColor rgb="FFFFDDDD"/>
        </patternFill>
      </fill>
    </dxf>
    <dxf>
      <font>
        <color auto="1"/>
      </font>
    </dxf>
    <dxf>
      <font>
        <color auto="1"/>
      </font>
    </dxf>
    <dxf>
      <font>
        <sz val="11"/>
      </font>
    </dxf>
    <dxf>
      <numFmt numFmtId="4" formatCode="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4" tint="0.39997558519241921"/>
        </patternFill>
      </fill>
    </dxf>
    <dxf>
      <numFmt numFmtId="4" formatCode="#,##0.00"/>
    </dxf>
    <dxf>
      <numFmt numFmtId="4" formatCode="#,##0.0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788"/>
      <tableStyleElement type="headerRow" dxfId="4787"/>
    </tableStyle>
  </tableStyles>
  <colors>
    <mruColors>
      <color rgb="FF99FF66"/>
      <color rgb="FF00E600"/>
      <color rgb="FFFF99FF"/>
      <color rgb="FFFFD1D1"/>
      <color rgb="FFFFBBAB"/>
      <color rgb="FFFFDDDD"/>
      <color rgb="FFFFFFCC"/>
      <color rgb="FF66FF99"/>
      <color rgb="FF93FF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74.527712268522" createdVersion="8" refreshedVersion="8" minRefreshableVersion="3" recordCount="3007" xr:uid="{00000000-000A-0000-FFFF-FFFF01000000}">
  <cacheSource type="worksheet">
    <worksheetSource ref="A1:AE76939" sheet="PRODUCCION"/>
  </cacheSource>
  <cacheFields count="33">
    <cacheField name="Fecha/hora" numFmtId="0">
      <sharedItems containsNonDate="0" containsDate="1" containsString="0" containsBlank="1" minDate="2025-01-06T15:38:00" maxDate="2025-08-02T09:10:00"/>
    </cacheField>
    <cacheField name="Tipo Maq" numFmtId="0">
      <sharedItems containsBlank="1"/>
    </cacheField>
    <cacheField name="Maquina" numFmtId="0">
      <sharedItems containsBlank="1" count="40">
        <s v="HT 160 B"/>
        <s v="HT 200 A"/>
        <s v="HT 250 B"/>
        <s v="HT 250 C"/>
        <s v="HT 120 A"/>
        <s v="HT 160 A"/>
        <s v="HT 250 A"/>
        <s v="HT 320 A"/>
        <s v="HT 360 A"/>
        <s v="SOP 2B"/>
        <s v="HT 380 A"/>
        <s v="SOP 2A"/>
        <s v="SOP 2C"/>
        <m/>
        <s v="SOP M-C"/>
        <s v="SOPLADORA  C" u="1"/>
        <s v="SOP C" u="1"/>
        <s v="SOPLADORA MC" u="1"/>
        <s v=" HT 250 A" u="1"/>
        <s v="HT 160 A " u="1"/>
        <s v="SOP B" u="1"/>
        <s v="HT 250 A " u="1"/>
        <s v="SOP AUTOM." u="1"/>
        <s v="HT 120A" u="1"/>
        <s v="SOP A" u="1"/>
        <s v="SOPLADORA C" u="1"/>
        <s v="SOP C " u="1"/>
        <s v="SOP2B" u="1"/>
        <s v="SOPLADORA 2B" u="1"/>
        <s v=" HT 250 C" u="1"/>
        <s v="HT 320 A " u="1"/>
        <s v="HT 250 C " u="1"/>
        <s v=" HT 250 B" u="1"/>
        <s v="SOPLADORA 2A" u="1"/>
        <s v="SOPLADORA  2B" u="1"/>
        <s v=" HT 200 A" u="1"/>
        <s v="HT160 A" u="1"/>
        <s v="HT 160 B " u="1"/>
        <s v="HT 200 A " u="1"/>
        <s v="HT 250 B " u="1"/>
      </sharedItems>
    </cacheField>
    <cacheField name="FECHA" numFmtId="0">
      <sharedItems containsNonDate="0" containsDate="1" containsString="0" containsBlank="1" minDate="2020-01-02T00:00:00" maxDate="2025-08-01T00:00:00" count="1636">
        <d v="2025-01-02T00:00:00"/>
        <d v="2025-01-03T00:00:00"/>
        <d v="2025-01-04T00:00:00"/>
        <d v="2025-01-05T00:00:00"/>
        <d v="2025-01-11T00:00:00"/>
        <d v="2025-01-13T00:00:00"/>
        <d v="2025-01-14T00:00:00"/>
        <d v="2025-01-27T00:00:00"/>
        <d v="2025-01-28T00:00:00"/>
        <d v="2025-01-15T00:00:00"/>
        <d v="2025-01-16T00:00:00"/>
        <d v="2025-01-17T00:00:00"/>
        <d v="2025-01-20T00:00:00"/>
        <d v="2025-01-21T00:00:00"/>
        <d v="2025-01-24T00:00:00"/>
        <d v="2025-01-25T00:00:00"/>
        <d v="2025-01-29T00:00:00"/>
        <d v="2025-01-30T00:00:00"/>
        <d v="2025-01-06T00:00:00"/>
        <d v="2025-01-07T00:00:00"/>
        <d v="2025-01-08T00:00:00"/>
        <d v="2025-01-09T00:00:00"/>
        <d v="2025-01-10T00:00:00"/>
        <d v="2025-01-18T00:00:00"/>
        <d v="2025-01-22T00:00:00"/>
        <d v="2025-01-23T00:00:00"/>
        <d v="2025-01-31T00:00:00"/>
        <d v="2025-01-19T00:00:00"/>
        <d v="2025-01-12T00:00:00"/>
        <d v="2025-01-26T00:00:00"/>
        <d v="2025-02-10T00:00:00"/>
        <d v="2025-02-11T00:00:00"/>
        <d v="2025-02-14T00:00:00"/>
        <d v="2025-02-15T00:00:00"/>
        <d v="2025-02-17T00:00:00"/>
        <d v="2025-02-04T00:00:00"/>
        <d v="2025-02-12T00:00:00"/>
        <d v="2025-02-13T00:00:00"/>
        <d v="2025-02-25T00:00:00"/>
        <d v="2025-02-27T00:00:00"/>
        <d v="2025-02-28T00:00:00"/>
        <d v="2025-02-01T00:00:00"/>
        <d v="2025-02-03T00:00:00"/>
        <d v="2025-02-18T00:00:00"/>
        <d v="2025-02-19T00:00:00"/>
        <d v="2025-02-24T00:00:00"/>
        <d v="2025-02-26T00:00:00"/>
        <d v="2025-02-05T00:00:00"/>
        <d v="2025-02-06T00:00:00"/>
        <d v="2025-02-07T00:00:00"/>
        <d v="2025-02-08T00:00:00"/>
        <d v="2025-02-20T00:00:00"/>
        <d v="2025-02-21T00:00:00"/>
        <d v="2025-02-22T00:00:00"/>
        <d v="2025-02-02T00:00:00"/>
        <m/>
        <d v="2025-02-23T00:00:00"/>
        <d v="2025-04-01T00:00:00"/>
        <d v="2025-04-03T00:00:00"/>
        <d v="2025-04-04T00:00:00"/>
        <d v="2025-04-23T00:00:00"/>
        <d v="2025-04-02T00:00:00"/>
        <d v="2025-04-05T00:00:00"/>
        <d v="2025-04-10T00:00:00"/>
        <d v="2025-04-11T00:00:00"/>
        <d v="2025-04-12T00:00:00"/>
        <d v="2025-04-14T00:00:00"/>
        <d v="2025-04-07T00:00:00"/>
        <d v="2025-04-08T00:00:00"/>
        <d v="2025-04-09T00:00:00"/>
        <d v="2025-04-15T00:00:00"/>
        <d v="2025-04-16T00:00:00"/>
        <d v="2025-04-17T00:00:00"/>
        <d v="2025-04-21T00:00:00"/>
        <d v="2025-04-22T00:00:00"/>
        <d v="2025-04-24T00:00:00"/>
        <d v="2025-04-25T00:00:00"/>
        <d v="2025-04-26T00:00:00"/>
        <d v="2025-04-28T00:00:00"/>
        <d v="2025-04-29T00:00:00"/>
        <d v="2025-04-30T00:00:00"/>
        <d v="2025-05-02T00:00:00"/>
        <d v="2025-05-05T00:00:00"/>
        <d v="2025-05-06T00:00:00"/>
        <d v="2025-05-13T00:00:00"/>
        <d v="2025-05-14T00:00:00"/>
        <d v="2025-05-15T00:00:00"/>
        <d v="2025-05-16T00:00:00"/>
        <d v="2025-05-17T00:00:00"/>
        <d v="2025-05-23T00:00:00"/>
        <d v="2025-05-24T00:00:00"/>
        <d v="2025-05-26T00:00:00"/>
        <d v="2025-05-27T00:00:00"/>
        <d v="2025-05-07T00:00:00"/>
        <d v="2025-05-08T00:00:00"/>
        <d v="2025-05-30T00:00:00"/>
        <d v="2025-05-09T00:00:00"/>
        <d v="2025-05-10T00:00:00"/>
        <d v="2025-05-19T00:00:00"/>
        <d v="2025-05-20T00:00:00"/>
        <d v="2025-05-21T00:00:00"/>
        <d v="2025-05-22T00:00:00"/>
        <d v="2025-05-28T00:00:00"/>
        <d v="2025-05-29T00:00:00"/>
        <d v="2025-05-01T00:00:00"/>
        <d v="2025-05-12T00:00:00"/>
        <d v="2025-05-31T00:00:00"/>
        <d v="2025-05-11T00:00:00"/>
        <d v="2025-05-18T00:00:00"/>
        <d v="2025-05-25T00:00:00"/>
        <d v="2025-05-04T00:00:00"/>
        <d v="2025-06-02T00:00:00"/>
        <d v="2025-06-07T00:00:00"/>
        <d v="2025-06-09T00:00:00"/>
        <d v="2025-06-16T00:00:00"/>
        <d v="2025-06-17T00:00:00"/>
        <d v="2025-06-18T00:00:00"/>
        <d v="2025-06-19T00:00:00"/>
        <d v="2025-06-20T00:00:00"/>
        <d v="2025-06-21T00:00:00"/>
        <d v="2025-06-28T00:00:00"/>
        <d v="2025-06-05T00:00:00"/>
        <d v="2025-06-06T00:00:00"/>
        <d v="2025-06-25T00:00:00"/>
        <d v="2025-06-26T00:00:00"/>
        <d v="2025-06-27T00:00:00"/>
        <d v="2025-06-13T00:00:00"/>
        <d v="2025-06-14T00:00:00"/>
        <d v="2025-06-24T00:00:00"/>
        <d v="2025-06-30T00:00:00"/>
        <d v="2025-06-03T00:00:00"/>
        <d v="2025-06-04T00:00:00"/>
        <d v="2025-06-10T00:00:00"/>
        <d v="2025-06-11T00:00:00"/>
        <d v="2025-06-12T00:00:00"/>
        <d v="2025-06-15T00:00:00"/>
        <d v="2025-06-23T00:00:00"/>
        <d v="2025-06-01T00:00:00"/>
        <d v="2025-06-08T00:00:00"/>
        <d v="2025-06-22T00:00:00"/>
        <d v="2025-06-29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01T00:00:00"/>
        <d v="2025-07-02T00:00:00"/>
        <d v="2025-07-24T00:00:00"/>
        <d v="2025-07-25T00:00:00"/>
        <d v="2025-07-26T00:00:00"/>
        <d v="2025-07-27T00:00:00"/>
        <d v="2025-07-21T00:00:00"/>
        <d v="2025-07-22T00:00:00"/>
        <d v="2025-07-23T00:00:00"/>
        <d v="2025-07-03T00:00:00"/>
        <d v="2025-07-16T00:00:00"/>
        <d v="2025-07-17T00:00:00"/>
        <d v="2025-07-18T00:00:00"/>
        <d v="2025-07-19T00:00:00"/>
        <d v="2025-07-20T00:00:00"/>
        <d v="2025-07-28T00:00:00"/>
        <d v="2025-07-29T00:00:00"/>
        <d v="2025-07-30T00:00:00"/>
        <d v="2025-07-31T00:00:00"/>
        <d v="2025-07-13T00:00:00"/>
        <d v="2020-09-29T00:00:00" u="1"/>
        <d v="2021-09-29T00:00:00" u="1"/>
        <d v="2020-10-25T00:00:00" u="1"/>
        <d v="2022-09-29T00:00:00" u="1"/>
        <d v="2021-10-25T00:00:00" u="1"/>
        <d v="2020-11-21T00:00:00" u="1"/>
        <d v="2022-10-25T00:00:00" u="1"/>
        <d v="2021-11-21T00:00:00" u="1"/>
        <d v="2023-10-25T00:00:00" u="1"/>
        <d v="2020-12-17T00:00:00" u="1"/>
        <d v="2021-12-17T00:00:00" u="1"/>
        <d v="2023-11-21T00:00:00" u="1"/>
        <d v="2022-12-17T00:00:00" u="1"/>
        <d v="2020-10-27T00:00:00" u="1"/>
        <d v="2021-10-27T00:00:00" u="1"/>
        <d v="2020-11-23T00:00:00" u="1"/>
        <d v="2022-10-27T00:00:00" u="1"/>
        <d v="2021-11-23T00:00:00" u="1"/>
        <d v="2023-10-27T00:00:00" u="1"/>
        <d v="2020-12-19T00:00:00" u="1"/>
        <d v="2021-12-19T00:00:00" u="1"/>
        <d v="2023-11-23T00:00:00" u="1"/>
        <d v="2022-12-19T00:00:00" u="1"/>
        <d v="2023-12-19T00:00:00" u="1"/>
        <d v="2020-10-29T00:00:00" u="1"/>
        <d v="2021-10-29T00:00:00" u="1"/>
        <d v="2020-11-25T00:00:00" u="1"/>
        <d v="2022-10-29T00:00:00" u="1"/>
        <d v="2021-11-25T00:00:00" u="1"/>
        <d v="2023-10-29T00:00:00" u="1"/>
        <d v="2020-12-21T00:00:00" u="1"/>
        <d v="2021-12-21T00:00:00" u="1"/>
        <d v="2023-11-25T00:00:00" u="1"/>
        <d v="2023-12-21T00:00:00" u="1"/>
        <d v="2020-01-02T00:00:00" u="1"/>
        <d v="2021-01-02T00:00:00" u="1"/>
        <d v="2022-01-02T00:00:00" u="1"/>
        <d v="2024-01-02T00:00:00" u="1"/>
        <d v="2020-10-31T00:00:00" u="1"/>
        <d v="2021-10-31T00:00:00" u="1"/>
        <d v="2020-11-27T00:00:00" u="1"/>
        <d v="2022-10-31T00:00:00" u="1"/>
        <d v="2021-11-27T00:00:00" u="1"/>
        <d v="2023-10-31T00:00:00" u="1"/>
        <d v="2020-12-23T00:00:00" u="1"/>
        <d v="2021-12-23T00:00:00" u="1"/>
        <d v="2023-11-27T00:00:00" u="1"/>
        <d v="2023-12-23T00:00:00" u="1"/>
        <d v="2020-01-04T00:00:00" u="1"/>
        <d v="2021-01-04T00:00:00" u="1"/>
        <d v="2022-01-04T00:00:00" u="1"/>
        <d v="2023-01-04T00:00:00" u="1"/>
        <d v="2024-01-04T00:00:00" u="1"/>
        <d v="2020-11-29T00:00:00" u="1"/>
        <d v="2021-11-29T00:00:00" u="1"/>
        <d v="2023-11-29T00:00:00" u="1"/>
        <d v="2020-01-06T00:00:00" u="1"/>
        <d v="2021-01-06T00:00:00" u="1"/>
        <d v="2020-02-02T00:00:00" u="1"/>
        <d v="2022-01-06T00:00:00" u="1"/>
        <d v="2021-02-02T00:00:00" u="1"/>
        <d v="2023-01-06T00:00:00" u="1"/>
        <d v="2022-02-02T00:00:00" u="1"/>
        <d v="2024-01-06T00:00:00" u="1"/>
        <d v="2023-02-02T00:00:00" u="1"/>
        <d v="2024-02-02T00:00:00" u="1"/>
        <d v="2020-12-27T00:00:00" u="1"/>
        <d v="2021-12-27T00:00:00" u="1"/>
        <d v="2020-01-08T00:00:00" u="1"/>
        <d v="2021-01-08T00:00:00" u="1"/>
        <d v="2020-02-04T00:00:00" u="1"/>
        <d v="2022-01-08T00:00:00" u="1"/>
        <d v="2021-02-04T00:00:00" u="1"/>
        <d v="2022-02-04T00:00:00" u="1"/>
        <d v="2024-01-08T00:00:00" u="1"/>
        <d v="2023-02-04T00:00:00" u="1"/>
        <d v="2020-12-29T00:00:00" u="1"/>
        <d v="2021-12-29T00:00:00" u="1"/>
        <d v="2020-01-10T00:00:00" u="1"/>
        <d v="2021-01-10T00:00:00" u="1"/>
        <d v="2020-02-06T00:00:00" u="1"/>
        <d v="2022-01-10T00:00:00" u="1"/>
        <d v="2021-02-06T00:00:00" u="1"/>
        <d v="2023-01-10T00:00:00" u="1"/>
        <d v="2020-03-02T00:00:00" u="1"/>
        <d v="2022-02-06T00:00:00" u="1"/>
        <d v="2024-01-10T00:00:00" u="1"/>
        <d v="2021-03-02T00:00:00" u="1"/>
        <d v="2023-02-06T00:00:00" u="1"/>
        <d v="2022-03-02T00:00:00" u="1"/>
        <d v="2024-02-06T00:00:00" u="1"/>
        <d v="2023-03-02T00:00:00" u="1"/>
        <d v="2024-03-02T00:00:00" u="1"/>
        <d v="2020-12-31T00:00:00" u="1"/>
        <d v="2021-12-31T00:00:00" u="1"/>
        <d v="2020-01-12T00:00:00" u="1"/>
        <d v="2021-01-12T00:00:00" u="1"/>
        <d v="2020-02-08T00:00:00" u="1"/>
        <d v="2022-01-12T00:00:00" u="1"/>
        <d v="2021-02-08T00:00:00" u="1"/>
        <d v="2023-01-12T00:00:00" u="1"/>
        <d v="2020-03-04T00:00:00" u="1"/>
        <d v="2022-02-08T00:00:00" u="1"/>
        <d v="2024-01-12T00:00:00" u="1"/>
        <d v="2021-03-04T00:00:00" u="1"/>
        <d v="2023-02-08T00:00:00" u="1"/>
        <d v="2022-03-04T00:00:00" u="1"/>
        <d v="2024-02-08T00:00:00" u="1"/>
        <d v="2023-03-04T00:00:00" u="1"/>
        <d v="2024-03-04T00:00:00" u="1"/>
        <d v="2020-01-14T00:00:00" u="1"/>
        <d v="2021-01-14T00:00:00" u="1"/>
        <d v="2020-02-10T00:00:00" u="1"/>
        <d v="2022-01-14T00:00:00" u="1"/>
        <d v="2021-02-10T00:00:00" u="1"/>
        <d v="2023-01-14T00:00:00" u="1"/>
        <d v="2020-03-06T00:00:00" u="1"/>
        <d v="2022-02-10T00:00:00" u="1"/>
        <d v="2024-01-14T00:00:00" u="1"/>
        <d v="2021-03-06T00:00:00" u="1"/>
        <d v="2023-02-10T00:00:00" u="1"/>
        <d v="2022-03-06T00:00:00" u="1"/>
        <d v="2024-02-10T00:00:00" u="1"/>
        <d v="2023-03-06T00:00:00" u="1"/>
        <d v="2022-04-02T00:00:00" u="1"/>
        <d v="2024-03-06T00:00:00" u="1"/>
        <d v="2023-04-02T00:00:00" u="1"/>
        <d v="2024-04-02T00:00:00" u="1"/>
        <d v="2020-01-16T00:00:00" u="1"/>
        <d v="2021-01-16T00:00:00" u="1"/>
        <d v="2020-02-12T00:00:00" u="1"/>
        <d v="2022-01-16T00:00:00" u="1"/>
        <d v="2021-02-12T00:00:00" u="1"/>
        <d v="2023-01-16T00:00:00" u="1"/>
        <d v="2022-02-12T00:00:00" u="1"/>
        <d v="2024-01-16T00:00:00" u="1"/>
        <d v="2021-03-08T00:00:00" u="1"/>
        <d v="2023-02-12T00:00:00" u="1"/>
        <d v="2022-03-08T00:00:00" u="1"/>
        <d v="2024-02-12T00:00:00" u="1"/>
        <d v="2021-04-04T00:00:00" u="1"/>
        <d v="2023-03-08T00:00:00" u="1"/>
        <d v="2022-04-04T00:00:00" u="1"/>
        <d v="2024-03-08T00:00:00" u="1"/>
        <d v="2023-04-04T00:00:00" u="1"/>
        <d v="2024-04-04T00:00:00" u="1"/>
        <d v="2020-01-18T00:00:00" u="1"/>
        <d v="2021-01-18T00:00:00" u="1"/>
        <d v="2020-02-14T00:00:00" u="1"/>
        <d v="2022-01-18T00:00:00" u="1"/>
        <d v="2021-02-14T00:00:00" u="1"/>
        <d v="2023-01-18T00:00:00" u="1"/>
        <d v="2020-03-10T00:00:00" u="1"/>
        <d v="2022-02-14T00:00:00" u="1"/>
        <d v="2024-01-18T00:00:00" u="1"/>
        <d v="2021-03-10T00:00:00" u="1"/>
        <d v="2023-02-14T00:00:00" u="1"/>
        <d v="2022-03-10T00:00:00" u="1"/>
        <d v="2024-02-14T00:00:00" u="1"/>
        <d v="2021-04-06T00:00:00" u="1"/>
        <d v="2023-03-10T00:00:00" u="1"/>
        <d v="2022-04-06T00:00:00" u="1"/>
        <d v="2024-03-10T00:00:00" u="1"/>
        <d v="2021-05-02T00:00:00" u="1"/>
        <d v="2023-04-06T00:00:00" u="1"/>
        <d v="2022-05-02T00:00:00" u="1"/>
        <d v="2024-04-06T00:00:00" u="1"/>
        <d v="2023-05-02T00:00:00" u="1"/>
        <d v="2024-05-02T00:00:00" u="1"/>
        <d v="2020-01-20T00:00:00" u="1"/>
        <d v="2021-01-20T00:00:00" u="1"/>
        <d v="2020-02-16T00:00:00" u="1"/>
        <d v="2022-01-20T00:00:00" u="1"/>
        <d v="2021-02-16T00:00:00" u="1"/>
        <d v="2023-01-20T00:00:00" u="1"/>
        <d v="2020-03-12T00:00:00" u="1"/>
        <d v="2022-02-16T00:00:00" u="1"/>
        <d v="2024-01-20T00:00:00" u="1"/>
        <d v="2021-03-12T00:00:00" u="1"/>
        <d v="2023-02-16T00:00:00" u="1"/>
        <d v="2022-03-12T00:00:00" u="1"/>
        <d v="2024-02-16T00:00:00" u="1"/>
        <d v="2021-04-08T00:00:00" u="1"/>
        <d v="2023-03-12T00:00:00" u="1"/>
        <d v="2022-04-08T00:00:00" u="1"/>
        <d v="2024-03-12T00:00:00" u="1"/>
        <d v="2021-05-04T00:00:00" u="1"/>
        <d v="2022-05-04T00:00:00" u="1"/>
        <d v="2024-04-08T00:00:00" u="1"/>
        <d v="2023-05-04T00:00:00" u="1"/>
        <d v="2024-05-04T00:00:00" u="1"/>
        <d v="2020-01-22T00:00:00" u="1"/>
        <d v="2021-01-22T00:00:00" u="1"/>
        <d v="2020-02-18T00:00:00" u="1"/>
        <d v="2022-01-22T00:00:00" u="1"/>
        <d v="2021-02-18T00:00:00" u="1"/>
        <d v="2023-01-22T00:00:00" u="1"/>
        <d v="2020-03-14T00:00:00" u="1"/>
        <d v="2022-02-18T00:00:00" u="1"/>
        <d v="2024-01-22T00:00:00" u="1"/>
        <d v="2021-03-14T00:00:00" u="1"/>
        <d v="2023-02-18T00:00:00" u="1"/>
        <d v="2022-03-14T00:00:00" u="1"/>
        <d v="2021-04-10T00:00:00" u="1"/>
        <d v="2023-03-14T00:00:00" u="1"/>
        <d v="2022-04-10T00:00:00" u="1"/>
        <d v="2024-03-14T00:00:00" u="1"/>
        <d v="2021-05-06T00:00:00" u="1"/>
        <d v="2023-04-10T00:00:00" u="1"/>
        <d v="2020-06-02T00:00:00" u="1"/>
        <d v="2022-05-06T00:00:00" u="1"/>
        <d v="2024-04-10T00:00:00" u="1"/>
        <d v="2021-06-02T00:00:00" u="1"/>
        <d v="2023-05-06T00:00:00" u="1"/>
        <d v="2022-06-02T00:00:00" u="1"/>
        <d v="2024-05-06T00:00:00" u="1"/>
        <d v="2023-06-02T00:00:00" u="1"/>
        <d v="2020-01-24T00:00:00" u="1"/>
        <d v="2021-01-24T00:00:00" u="1"/>
        <d v="2020-02-20T00:00:00" u="1"/>
        <d v="2022-01-24T00:00:00" u="1"/>
        <d v="2021-02-20T00:00:00" u="1"/>
        <d v="2023-01-24T00:00:00" u="1"/>
        <d v="2020-03-16T00:00:00" u="1"/>
        <d v="2022-02-20T00:00:00" u="1"/>
        <d v="2024-01-24T00:00:00" u="1"/>
        <d v="2021-03-16T00:00:00" u="1"/>
        <d v="2023-02-20T00:00:00" u="1"/>
        <d v="2022-03-16T00:00:00" u="1"/>
        <d v="2024-02-20T00:00:00" u="1"/>
        <d v="2021-04-12T00:00:00" u="1"/>
        <d v="2023-03-16T00:00:00" u="1"/>
        <d v="2022-04-12T00:00:00" u="1"/>
        <d v="2024-03-16T00:00:00" u="1"/>
        <d v="2021-05-08T00:00:00" u="1"/>
        <d v="2023-04-12T00:00:00" u="1"/>
        <d v="2020-06-04T00:00:00" u="1"/>
        <d v="2022-05-08T00:00:00" u="1"/>
        <d v="2024-04-12T00:00:00" u="1"/>
        <d v="2021-06-04T00:00:00" u="1"/>
        <d v="2023-05-08T00:00:00" u="1"/>
        <d v="2022-06-04T00:00:00" u="1"/>
        <d v="2024-05-08T00:00:00" u="1"/>
        <d v="2024-06-04T00:00:00" u="1"/>
        <d v="2020-01-26T00:00:00" u="1"/>
        <d v="2021-01-26T00:00:00" u="1"/>
        <d v="2020-02-22T00:00:00" u="1"/>
        <d v="2022-01-26T00:00:00" u="1"/>
        <d v="2021-02-22T00:00:00" u="1"/>
        <d v="2023-01-26T00:00:00" u="1"/>
        <d v="2020-03-18T00:00:00" u="1"/>
        <d v="2022-02-22T00:00:00" u="1"/>
        <d v="2024-01-26T00:00:00" u="1"/>
        <d v="2021-03-18T00:00:00" u="1"/>
        <d v="2023-02-22T00:00:00" u="1"/>
        <d v="2022-03-18T00:00:00" u="1"/>
        <d v="2024-02-22T00:00:00" u="1"/>
        <d v="2021-04-14T00:00:00" u="1"/>
        <d v="2023-03-18T00:00:00" u="1"/>
        <d v="2022-04-14T00:00:00" u="1"/>
        <d v="2024-03-18T00:00:00" u="1"/>
        <d v="2021-05-10T00:00:00" u="1"/>
        <d v="2023-04-14T00:00:00" u="1"/>
        <d v="2020-06-06T00:00:00" u="1"/>
        <d v="2022-05-10T00:00:00" u="1"/>
        <d v="2024-04-14T00:00:00" u="1"/>
        <d v="2021-06-06T00:00:00" u="1"/>
        <d v="2023-05-10T00:00:00" u="1"/>
        <d v="2020-07-02T00:00:00" u="1"/>
        <d v="2022-06-06T00:00:00" u="1"/>
        <d v="2024-05-10T00:00:00" u="1"/>
        <d v="2021-07-02T00:00:00" u="1"/>
        <d v="2023-06-06T00:00:00" u="1"/>
        <d v="2022-07-02T00:00:00" u="1"/>
        <d v="2024-06-06T00:00:00" u="1"/>
        <d v="2024-07-02T00:00:00" u="1"/>
        <d v="2020-01-28T00:00:00" u="1"/>
        <d v="2021-01-28T00:00:00" u="1"/>
        <d v="2020-02-24T00:00:00" u="1"/>
        <d v="2022-01-28T00:00:00" u="1"/>
        <d v="2021-02-24T00:00:00" u="1"/>
        <d v="2023-01-28T00:00:00" u="1"/>
        <d v="2020-03-20T00:00:00" u="1"/>
        <d v="2022-02-24T00:00:00" u="1"/>
        <d v="2024-01-28T00:00:00" u="1"/>
        <d v="2021-03-20T00:00:00" u="1"/>
        <d v="2023-02-24T00:00:00" u="1"/>
        <d v="2022-03-20T00:00:00" u="1"/>
        <d v="2024-02-24T00:00:00" u="1"/>
        <d v="2021-04-16T00:00:00" u="1"/>
        <d v="2023-03-20T00:00:00" u="1"/>
        <d v="2020-05-12T00:00:00" u="1"/>
        <d v="2024-03-20T00:00:00" u="1"/>
        <d v="2021-05-12T00:00:00" u="1"/>
        <d v="2023-04-16T00:00:00" u="1"/>
        <d v="2020-06-08T00:00:00" u="1"/>
        <d v="2022-05-12T00:00:00" u="1"/>
        <d v="2024-04-16T00:00:00" u="1"/>
        <d v="2021-06-08T00:00:00" u="1"/>
        <d v="2023-05-12T00:00:00" u="1"/>
        <d v="2020-07-04T00:00:00" u="1"/>
        <d v="2022-06-08T00:00:00" u="1"/>
        <d v="2024-05-12T00:00:00" u="1"/>
        <d v="2021-07-04T00:00:00" u="1"/>
        <d v="2023-06-08T00:00:00" u="1"/>
        <d v="2022-07-04T00:00:00" u="1"/>
        <d v="2024-06-08T00:00:00" u="1"/>
        <d v="2023-07-04T00:00:00" u="1"/>
        <d v="2024-07-04T00:00:00" u="1"/>
        <d v="2020-01-30T00:00:00" u="1"/>
        <d v="2021-01-30T00:00:00" u="1"/>
        <d v="2020-02-26T00:00:00" u="1"/>
        <d v="2022-01-30T00:00:00" u="1"/>
        <d v="2021-02-26T00:00:00" u="1"/>
        <d v="2023-01-30T00:00:00" u="1"/>
        <d v="2022-02-26T00:00:00" u="1"/>
        <d v="2024-01-30T00:00:00" u="1"/>
        <d v="2021-03-22T00:00:00" u="1"/>
        <d v="2023-02-26T00:00:00" u="1"/>
        <d v="2022-03-22T00:00:00" u="1"/>
        <d v="2024-02-26T00:00:00" u="1"/>
        <d v="2021-04-18T00:00:00" u="1"/>
        <d v="2023-03-22T00:00:00" u="1"/>
        <d v="2020-05-14T00:00:00" u="1"/>
        <d v="2022-04-18T00:00:00" u="1"/>
        <d v="2024-03-22T00:00:00" u="1"/>
        <d v="2021-05-14T00:00:00" u="1"/>
        <d v="2023-04-18T00:00:00" u="1"/>
        <d v="2020-06-10T00:00:00" u="1"/>
        <d v="2022-05-14T00:00:00" u="1"/>
        <d v="2024-04-18T00:00:00" u="1"/>
        <d v="2021-06-10T00:00:00" u="1"/>
        <d v="2023-05-14T00:00:00" u="1"/>
        <d v="2020-07-06T00:00:00" u="1"/>
        <d v="2022-06-10T00:00:00" u="1"/>
        <d v="2024-05-14T00:00:00" u="1"/>
        <d v="2021-07-06T00:00:00" u="1"/>
        <d v="2023-06-10T00:00:00" u="1"/>
        <d v="2022-07-06T00:00:00" u="1"/>
        <d v="2024-06-10T00:00:00" u="1"/>
        <d v="2021-08-02T00:00:00" u="1"/>
        <d v="2023-07-06T00:00:00" u="1"/>
        <d v="2022-08-02T00:00:00" u="1"/>
        <d v="2024-07-06T00:00:00" u="1"/>
        <d v="2023-08-02T00:00:00" u="1"/>
        <d v="2020-02-28T00:00:00" u="1"/>
        <d v="2021-02-28T00:00:00" u="1"/>
        <d v="2022-02-28T00:00:00" u="1"/>
        <d v="2021-03-24T00:00:00" u="1"/>
        <d v="2023-02-28T00:00:00" u="1"/>
        <d v="2022-03-24T00:00:00" u="1"/>
        <d v="2024-02-28T00:00:00" u="1"/>
        <d v="2021-04-20T00:00:00" u="1"/>
        <d v="2023-03-24T00:00:00" u="1"/>
        <d v="2020-05-16T00:00:00" u="1"/>
        <d v="2022-04-20T00:00:00" u="1"/>
        <d v="2024-03-24T00:00:00" u="1"/>
        <d v="2021-05-16T00:00:00" u="1"/>
        <d v="2023-04-20T00:00:00" u="1"/>
        <d v="2020-06-12T00:00:00" u="1"/>
        <d v="2022-05-16T00:00:00" u="1"/>
        <d v="2024-04-20T00:00:00" u="1"/>
        <d v="2021-06-12T00:00:00" u="1"/>
        <d v="2023-05-16T00:00:00" u="1"/>
        <d v="2020-07-08T00:00:00" u="1"/>
        <d v="2024-05-16T00:00:00" u="1"/>
        <d v="2021-07-08T00:00:00" u="1"/>
        <d v="2023-06-12T00:00:00" u="1"/>
        <d v="2020-08-04T00:00:00" u="1"/>
        <d v="2022-07-08T00:00:00" u="1"/>
        <d v="2024-06-12T00:00:00" u="1"/>
        <d v="2021-08-04T00:00:00" u="1"/>
        <d v="2023-07-08T00:00:00" u="1"/>
        <d v="2022-08-04T00:00:00" u="1"/>
        <d v="2024-07-08T00:00:00" u="1"/>
        <d v="2023-08-04T00:00:00" u="1"/>
        <d v="2021-03-26T00:00:00" u="1"/>
        <d v="2022-03-26T00:00:00" u="1"/>
        <d v="2021-04-22T00:00:00" u="1"/>
        <d v="2023-03-26T00:00:00" u="1"/>
        <d v="2020-05-18T00:00:00" u="1"/>
        <d v="2022-04-22T00:00:00" u="1"/>
        <d v="2024-03-26T00:00:00" u="1"/>
        <d v="2021-05-18T00:00:00" u="1"/>
        <d v="2023-04-22T00:00:00" u="1"/>
        <d v="2022-05-18T00:00:00" u="1"/>
        <d v="2024-04-22T00:00:00" u="1"/>
        <d v="2021-06-14T00:00:00" u="1"/>
        <d v="2023-05-18T00:00:00" u="1"/>
        <d v="2020-07-10T00:00:00" u="1"/>
        <d v="2022-06-14T00:00:00" u="1"/>
        <d v="2024-05-18T00:00:00" u="1"/>
        <d v="2021-07-10T00:00:00" u="1"/>
        <d v="2023-06-14T00:00:00" u="1"/>
        <d v="2020-08-06T00:00:00" u="1"/>
        <d v="2022-07-10T00:00:00" u="1"/>
        <d v="2024-06-14T00:00:00" u="1"/>
        <d v="2021-08-06T00:00:00" u="1"/>
        <d v="2023-07-10T00:00:00" u="1"/>
        <d v="2020-09-02T00:00:00" u="1"/>
        <d v="2022-08-06T00:00:00" u="1"/>
        <d v="2024-07-10T00:00:00" u="1"/>
        <d v="2021-09-02T00:00:00" u="1"/>
        <d v="2022-09-02T00:00:00" u="1"/>
        <d v="2023-09-02T00:00:00" u="1"/>
        <d v="2024-09-02T00:00:00" u="1"/>
        <d v="2021-03-28T00:00:00" u="1"/>
        <d v="2022-03-28T00:00:00" u="1"/>
        <d v="2021-04-24T00:00:00" u="1"/>
        <d v="2023-03-28T00:00:00" u="1"/>
        <d v="2020-05-20T00:00:00" u="1"/>
        <d v="2022-04-24T00:00:00" u="1"/>
        <d v="2024-03-28T00:00:00" u="1"/>
        <d v="2021-05-20T00:00:00" u="1"/>
        <d v="2023-04-24T00:00:00" u="1"/>
        <d v="2020-06-16T00:00:00" u="1"/>
        <d v="2022-05-20T00:00:00" u="1"/>
        <d v="2024-04-24T00:00:00" u="1"/>
        <d v="2021-06-16T00:00:00" u="1"/>
        <d v="2023-05-20T00:00:00" u="1"/>
        <d v="2022-06-16T00:00:00" u="1"/>
        <d v="2024-05-20T00:00:00" u="1"/>
        <d v="2021-07-12T00:00:00" u="1"/>
        <d v="2023-06-16T00:00:00" u="1"/>
        <d v="2020-08-08T00:00:00" u="1"/>
        <d v="2022-07-12T00:00:00" u="1"/>
        <d v="2021-08-08T00:00:00" u="1"/>
        <d v="2023-07-12T00:00:00" u="1"/>
        <d v="2020-09-04T00:00:00" u="1"/>
        <d v="2022-08-08T00:00:00" u="1"/>
        <d v="2024-07-12T00:00:00" u="1"/>
        <d v="2021-09-04T00:00:00" u="1"/>
        <d v="2023-08-08T00:00:00" u="1"/>
        <d v="2023-09-04T00:00:00" u="1"/>
        <d v="2024-09-04T00:00:00" u="1"/>
        <d v="2021-03-30T00:00:00" u="1"/>
        <d v="2022-03-30T00:00:00" u="1"/>
        <d v="2021-04-26T00:00:00" u="1"/>
        <d v="2023-03-30T00:00:00" u="1"/>
        <d v="2020-05-22T00:00:00" u="1"/>
        <d v="2022-04-26T00:00:00" u="1"/>
        <d v="2021-05-22T00:00:00" u="1"/>
        <d v="2023-04-26T00:00:00" u="1"/>
        <d v="2020-06-18T00:00:00" u="1"/>
        <d v="2022-05-22T00:00:00" u="1"/>
        <d v="2024-04-26T00:00:00" u="1"/>
        <d v="2021-06-18T00:00:00" u="1"/>
        <d v="2023-05-22T00:00:00" u="1"/>
        <d v="2020-07-14T00:00:00" u="1"/>
        <d v="2022-06-18T00:00:00" u="1"/>
        <d v="2024-05-22T00:00:00" u="1"/>
        <d v="2021-07-14T00:00:00" u="1"/>
        <d v="2023-06-18T00:00:00" u="1"/>
        <d v="2020-08-10T00:00:00" u="1"/>
        <d v="2022-07-14T00:00:00" u="1"/>
        <d v="2024-06-18T00:00:00" u="1"/>
        <d v="2021-08-10T00:00:00" u="1"/>
        <d v="2023-07-14T00:00:00" u="1"/>
        <d v="2022-08-10T00:00:00" u="1"/>
        <d v="2021-09-06T00:00:00" u="1"/>
        <d v="2023-08-10T00:00:00" u="1"/>
        <d v="2020-10-02T00:00:00" u="1"/>
        <d v="2022-09-06T00:00:00" u="1"/>
        <d v="2021-10-02T00:00:00" u="1"/>
        <d v="2023-09-06T00:00:00" u="1"/>
        <d v="2022-10-02T00:00:00" u="1"/>
        <d v="2024-09-06T00:00:00" u="1"/>
        <d v="2023-10-02T00:00:00" u="1"/>
        <d v="2021-04-28T00:00:00" u="1"/>
        <d v="2022-04-28T00:00:00" u="1"/>
        <d v="2021-05-24T00:00:00" u="1"/>
        <d v="2023-04-28T00:00:00" u="1"/>
        <d v="2020-06-20T00:00:00" u="1"/>
        <d v="2022-05-24T00:00:00" u="1"/>
        <d v="2024-04-28T00:00:00" u="1"/>
        <d v="2023-05-24T00:00:00" u="1"/>
        <d v="2020-07-16T00:00:00" u="1"/>
        <d v="2022-06-20T00:00:00" u="1"/>
        <d v="2024-05-24T00:00:00" u="1"/>
        <d v="2021-07-16T00:00:00" u="1"/>
        <d v="2023-06-20T00:00:00" u="1"/>
        <d v="2020-08-12T00:00:00" u="1"/>
        <d v="2022-07-16T00:00:00" u="1"/>
        <d v="2024-06-20T00:00:00" u="1"/>
        <d v="2021-08-12T00:00:00" u="1"/>
        <d v="2020-09-08T00:00:00" u="1"/>
        <d v="2022-08-12T00:00:00" u="1"/>
        <d v="2021-09-08T00:00:00" u="1"/>
        <d v="2023-08-12T00:00:00" u="1"/>
        <d v="2020-10-04T00:00:00" u="1"/>
        <d v="2021-10-04T00:00:00" u="1"/>
        <d v="2023-09-08T00:00:00" u="1"/>
        <d v="2022-10-04T00:00:00" u="1"/>
        <d v="2023-10-04T00:00:00" u="1"/>
        <d v="2021-04-30T00:00:00" u="1"/>
        <d v="2020-05-26T00:00:00" u="1"/>
        <d v="2022-04-30T00:00:00" u="1"/>
        <d v="2021-05-26T00:00:00" u="1"/>
        <d v="2023-04-30T00:00:00" u="1"/>
        <d v="2020-06-22T00:00:00" u="1"/>
        <d v="2022-05-26T00:00:00" u="1"/>
        <d v="2024-04-30T00:00:00" u="1"/>
        <d v="2021-06-22T00:00:00" u="1"/>
        <d v="2023-05-26T00:00:00" u="1"/>
        <d v="2020-07-18T00:00:00" u="1"/>
        <d v="2022-06-22T00:00:00" u="1"/>
        <d v="2024-05-26T00:00:00" u="1"/>
        <d v="2021-07-18T00:00:00" u="1"/>
        <d v="2023-06-22T00:00:00" u="1"/>
        <d v="2020-08-14T00:00:00" u="1"/>
        <d v="2022-07-18T00:00:00" u="1"/>
        <d v="2024-06-22T00:00:00" u="1"/>
        <d v="2021-08-14T00:00:00" u="1"/>
        <d v="2023-07-18T00:00:00" u="1"/>
        <d v="2020-09-10T00:00:00" u="1"/>
        <d v="2021-09-10T00:00:00" u="1"/>
        <d v="2023-08-14T00:00:00" u="1"/>
        <d v="2020-10-06T00:00:00" u="1"/>
        <d v="2022-09-10T00:00:00" u="1"/>
        <d v="2021-10-06T00:00:00" u="1"/>
        <d v="2023-09-10T00:00:00" u="1"/>
        <d v="2020-11-02T00:00:00" u="1"/>
        <d v="2022-10-06T00:00:00" u="1"/>
        <d v="2024-09-10T00:00:00" u="1"/>
        <d v="2021-11-02T00:00:00" u="1"/>
        <d v="2023-10-06T00:00:00" u="1"/>
        <d v="2023-11-02T00:00:00" u="1"/>
        <d v="2020-05-28T00:00:00" u="1"/>
        <d v="2021-05-28T00:00:00" u="1"/>
        <d v="2020-06-24T00:00:00" u="1"/>
        <d v="2022-05-28T00:00:00" u="1"/>
        <d v="2021-06-24T00:00:00" u="1"/>
        <d v="2023-05-28T00:00:00" u="1"/>
        <d v="2020-07-20T00:00:00" u="1"/>
        <d v="2022-06-24T00:00:00" u="1"/>
        <d v="2024-05-28T00:00:00" u="1"/>
        <d v="2021-07-20T00:00:00" u="1"/>
        <d v="2023-06-24T00:00:00" u="1"/>
        <d v="2022-07-20T00:00:00" u="1"/>
        <d v="2024-06-24T00:00:00" u="1"/>
        <d v="2021-08-16T00:00:00" u="1"/>
        <d v="2023-07-20T00:00:00" u="1"/>
        <d v="2020-09-12T00:00:00" u="1"/>
        <d v="2022-08-16T00:00:00" u="1"/>
        <d v="2021-09-12T00:00:00" u="1"/>
        <d v="2023-08-16T00:00:00" u="1"/>
        <d v="2020-10-08T00:00:00" u="1"/>
        <d v="2022-09-12T00:00:00" u="1"/>
        <d v="2021-10-08T00:00:00" u="1"/>
        <d v="2023-09-12T00:00:00" u="1"/>
        <d v="2020-11-04T00:00:00" u="1"/>
        <d v="2022-10-08T00:00:00" u="1"/>
        <d v="2024-09-12T00:00:00" u="1"/>
        <d v="2021-11-04T00:00:00" u="1"/>
        <d v="2023-11-04T00:00:00" u="1"/>
        <d v="2020-05-30T00:00:00" u="1"/>
        <d v="2021-05-30T00:00:00" u="1"/>
        <d v="2020-06-26T00:00:00" u="1"/>
        <d v="2022-05-30T00:00:00" u="1"/>
        <d v="2021-06-26T00:00:00" u="1"/>
        <d v="2023-05-30T00:00:00" u="1"/>
        <d v="2020-07-22T00:00:00" u="1"/>
        <d v="2022-06-26T00:00:00" u="1"/>
        <d v="2024-05-30T00:00:00" u="1"/>
        <d v="2021-07-22T00:00:00" u="1"/>
        <d v="2023-06-26T00:00:00" u="1"/>
        <d v="2020-08-18T00:00:00" u="1"/>
        <d v="2022-07-22T00:00:00" u="1"/>
        <d v="2024-06-26T00:00:00" u="1"/>
        <d v="2021-08-18T00:00:00" u="1"/>
        <d v="2023-07-22T00:00:00" u="1"/>
        <d v="2020-09-14T00:00:00" u="1"/>
        <d v="2022-08-18T00:00:00" u="1"/>
        <d v="2021-09-14T00:00:00" u="1"/>
        <d v="2023-08-18T00:00:00" u="1"/>
        <d v="2020-10-10T00:00:00" u="1"/>
        <d v="2022-09-14T00:00:00" u="1"/>
        <d v="2021-10-10T00:00:00" u="1"/>
        <d v="2023-09-14T00:00:00" u="1"/>
        <d v="2020-11-06T00:00:00" u="1"/>
        <d v="2022-10-10T00:00:00" u="1"/>
        <d v="2024-09-14T00:00:00" u="1"/>
        <d v="2021-11-06T00:00:00" u="1"/>
        <d v="2023-10-10T00:00:00" u="1"/>
        <d v="2020-12-02T00:00:00" u="1"/>
        <d v="2021-12-02T00:00:00" u="1"/>
        <d v="2023-11-06T00:00:00" u="1"/>
        <d v="2022-12-02T00:00:00" u="1"/>
        <d v="2023-12-02T00:00:00" u="1"/>
        <d v="2021-06-28T00:00:00" u="1"/>
        <d v="2020-07-24T00:00:00" u="1"/>
        <d v="2022-06-28T00:00:00" u="1"/>
        <d v="2021-07-24T00:00:00" u="1"/>
        <d v="2023-06-28T00:00:00" u="1"/>
        <d v="2020-08-20T00:00:00" u="1"/>
        <d v="2022-07-24T00:00:00" u="1"/>
        <d v="2024-06-28T00:00:00" u="1"/>
        <d v="2021-08-20T00:00:00" u="1"/>
        <d v="2023-07-24T00:00:00" u="1"/>
        <d v="2020-09-16T00:00:00" u="1"/>
        <d v="2022-08-20T00:00:00" u="1"/>
        <d v="2021-09-16T00:00:00" u="1"/>
        <d v="2023-08-20T00:00:00" u="1"/>
        <d v="2020-10-12T00:00:00" u="1"/>
        <d v="2022-09-16T00:00:00" u="1"/>
        <d v="2021-10-12T00:00:00" u="1"/>
        <d v="2023-09-16T00:00:00" u="1"/>
        <d v="2022-10-12T00:00:00" u="1"/>
        <d v="2024-09-16T00:00:00" u="1"/>
        <d v="2021-11-08T00:00:00" u="1"/>
        <d v="2023-10-12T00:00:00" u="1"/>
        <d v="2020-12-04T00:00:00" u="1"/>
        <d v="2021-12-04T00:00:00" u="1"/>
        <d v="2023-11-08T00:00:00" u="1"/>
        <d v="2023-12-04T00:00:00" u="1"/>
        <d v="2020-06-30T00:00:00" u="1"/>
        <d v="2021-06-30T00:00:00" u="1"/>
        <d v="2022-06-30T00:00:00" u="1"/>
        <d v="2021-07-26T00:00:00" u="1"/>
        <d v="2023-06-30T00:00:00" u="1"/>
        <d v="2020-08-22T00:00:00" u="1"/>
        <d v="2022-07-26T00:00:00" u="1"/>
        <d v="2024-06-30T00:00:00" u="1"/>
        <d v="2021-08-22T00:00:00" u="1"/>
        <d v="2023-07-26T00:00:00" u="1"/>
        <d v="2020-09-18T00:00:00" u="1"/>
        <d v="2022-08-22T00:00:00" u="1"/>
        <d v="2021-09-18T00:00:00" u="1"/>
        <d v="2023-08-22T00:00:00" u="1"/>
        <d v="2020-10-14T00:00:00" u="1"/>
        <d v="2021-10-14T00:00:00" u="1"/>
        <d v="2023-09-18T00:00:00" u="1"/>
        <d v="2020-11-10T00:00:00" u="1"/>
        <d v="2022-10-14T00:00:00" u="1"/>
        <d v="2024-09-18T00:00:00" u="1"/>
        <d v="2021-11-10T00:00:00" u="1"/>
        <d v="2023-10-14T00:00:00" u="1"/>
        <d v="2020-12-06T00:00:00" u="1"/>
        <d v="2021-12-06T00:00:00" u="1"/>
        <d v="2023-11-10T00:00:00" u="1"/>
        <d v="2022-12-06T00:00:00" u="1"/>
        <d v="2023-12-06T00:00:00" u="1"/>
        <d v="2021-07-28T00:00:00" u="1"/>
        <d v="2020-08-24T00:00:00" u="1"/>
        <d v="2022-07-28T00:00:00" u="1"/>
        <d v="2021-08-24T00:00:00" u="1"/>
        <d v="2022-08-24T00:00:00" u="1"/>
        <d v="2021-09-20T00:00:00" u="1"/>
        <d v="2023-08-24T00:00:00" u="1"/>
        <d v="2020-10-16T00:00:00" u="1"/>
        <d v="2022-09-20T00:00:00" u="1"/>
        <d v="2021-10-16T00:00:00" u="1"/>
        <d v="2023-09-20T00:00:00" u="1"/>
        <d v="2020-11-12T00:00:00" u="1"/>
        <d v="2022-10-16T00:00:00" u="1"/>
        <d v="2024-09-20T00:00:00" u="1"/>
        <d v="2021-11-12T00:00:00" u="1"/>
        <d v="2023-10-16T00:00:00" u="1"/>
        <d v="2020-12-08T00:00:00" u="1"/>
        <d v="2021-12-08T00:00:00" u="1"/>
        <d v="2022-12-08T00:00:00" u="1"/>
        <d v="2023-12-08T00:00:00" u="1"/>
        <d v="2020-07-30T00:00:00" u="1"/>
        <d v="2021-07-30T00:00:00" u="1"/>
        <d v="2020-08-26T00:00:00" u="1"/>
        <d v="2021-08-26T00:00:00" u="1"/>
        <d v="2020-09-22T00:00:00" u="1"/>
        <d v="2022-08-26T00:00:00" u="1"/>
        <d v="2021-09-22T00:00:00" u="1"/>
        <d v="2023-08-26T00:00:00" u="1"/>
        <d v="2020-10-18T00:00:00" u="1"/>
        <d v="2022-09-22T00:00:00" u="1"/>
        <d v="2021-10-18T00:00:00" u="1"/>
        <d v="2023-09-22T00:00:00" u="1"/>
        <d v="2020-11-14T00:00:00" u="1"/>
        <d v="2022-10-18T00:00:00" u="1"/>
        <d v="2021-11-14T00:00:00" u="1"/>
        <d v="2023-10-18T00:00:00" u="1"/>
        <d v="2020-12-10T00:00:00" u="1"/>
        <d v="2021-12-10T00:00:00" u="1"/>
        <d v="2023-11-14T00:00:00" u="1"/>
        <d v="2022-12-10T00:00:00" u="1"/>
        <d v="2020-08-28T00:00:00" u="1"/>
        <d v="2021-08-28T00:00:00" u="1"/>
        <d v="2020-09-24T00:00:00" u="1"/>
        <d v="2021-09-24T00:00:00" u="1"/>
        <d v="2023-08-28T00:00:00" u="1"/>
        <d v="2020-10-20T00:00:00" u="1"/>
        <d v="2022-09-24T00:00:00" u="1"/>
        <d v="2021-10-20T00:00:00" u="1"/>
        <d v="2023-09-24T00:00:00" u="1"/>
        <d v="2020-11-16T00:00:00" u="1"/>
        <d v="2022-10-20T00:00:00" u="1"/>
        <d v="2024-09-24T00:00:00" u="1"/>
        <d v="2021-11-16T00:00:00" u="1"/>
        <d v="2023-10-20T00:00:00" u="1"/>
        <d v="2020-12-12T00:00:00" u="1"/>
        <d v="2021-12-12T00:00:00" u="1"/>
        <d v="2023-11-16T00:00:00" u="1"/>
        <d v="2022-12-12T00:00:00" u="1"/>
        <d v="2023-12-12T00:00:00" u="1"/>
        <d v="2021-08-30T00:00:00" u="1"/>
        <d v="2020-09-26T00:00:00" u="1"/>
        <d v="2021-09-26T00:00:00" u="1"/>
        <d v="2023-08-30T00:00:00" u="1"/>
        <d v="2020-10-22T00:00:00" u="1"/>
        <d v="2022-09-26T00:00:00" u="1"/>
        <d v="2021-10-22T00:00:00" u="1"/>
        <d v="2023-09-26T00:00:00" u="1"/>
        <d v="2020-11-18T00:00:00" u="1"/>
        <d v="2022-10-22T00:00:00" u="1"/>
        <d v="2021-11-18T00:00:00" u="1"/>
        <d v="2023-10-22T00:00:00" u="1"/>
        <d v="2020-12-14T00:00:00" u="1"/>
        <d v="2021-12-14T00:00:00" u="1"/>
        <d v="2023-11-18T00:00:00" u="1"/>
        <d v="2022-12-14T00:00:00" u="1"/>
        <d v="2023-12-14T00:00:00" u="1"/>
        <d v="2020-09-28T00:00:00" u="1"/>
        <d v="2021-09-28T00:00:00" u="1"/>
        <d v="2020-10-24T00:00:00" u="1"/>
        <d v="2022-09-28T00:00:00" u="1"/>
        <d v="2021-10-24T00:00:00" u="1"/>
        <d v="2020-11-20T00:00:00" u="1"/>
        <d v="2022-10-24T00:00:00" u="1"/>
        <d v="2021-11-20T00:00:00" u="1"/>
        <d v="2023-10-24T00:00:00" u="1"/>
        <d v="2020-12-16T00:00:00" u="1"/>
        <d v="2021-12-16T00:00:00" u="1"/>
        <d v="2023-11-20T00:00:00" u="1"/>
        <d v="2023-12-16T00:00:00" u="1"/>
        <d v="2020-09-30T00:00:00" u="1"/>
        <d v="2021-09-30T00:00:00" u="1"/>
        <d v="2020-10-26T00:00:00" u="1"/>
        <d v="2022-09-30T00:00:00" u="1"/>
        <d v="2021-10-26T00:00:00" u="1"/>
        <d v="2020-11-22T00:00:00" u="1"/>
        <d v="2022-10-26T00:00:00" u="1"/>
        <d v="2021-11-22T00:00:00" u="1"/>
        <d v="2023-10-26T00:00:00" u="1"/>
        <d v="2020-12-18T00:00:00" u="1"/>
        <d v="2021-12-18T00:00:00" u="1"/>
        <d v="2023-11-22T00:00:00" u="1"/>
        <d v="2023-12-18T00:00:00" u="1"/>
        <d v="2020-10-28T00:00:00" u="1"/>
        <d v="2021-10-28T00:00:00" u="1"/>
        <d v="2020-11-24T00:00:00" u="1"/>
        <d v="2022-10-28T00:00:00" u="1"/>
        <d v="2021-11-24T00:00:00" u="1"/>
        <d v="2023-10-28T00:00:00" u="1"/>
        <d v="2020-12-20T00:00:00" u="1"/>
        <d v="2021-12-20T00:00:00" u="1"/>
        <d v="2023-11-24T00:00:00" u="1"/>
        <d v="2023-12-20T00:00:00" u="1"/>
        <d v="2021-01-01T00:00:00" u="1"/>
        <d v="2020-10-30T00:00:00" u="1"/>
        <d v="2021-10-30T00:00:00" u="1"/>
        <d v="2020-11-26T00:00:00" u="1"/>
        <d v="2022-10-30T00:00:00" u="1"/>
        <d v="2021-11-26T00:00:00" u="1"/>
        <d v="2023-10-30T00:00:00" u="1"/>
        <d v="2020-12-22T00:00:00" u="1"/>
        <d v="2021-12-22T00:00:00" u="1"/>
        <d v="2023-11-26T00:00:00" u="1"/>
        <d v="2023-12-22T00:00:00" u="1"/>
        <d v="2020-01-03T00:00:00" u="1"/>
        <d v="2021-01-03T00:00:00" u="1"/>
        <d v="2022-01-03T00:00:00" u="1"/>
        <d v="2023-01-03T00:00:00" u="1"/>
        <d v="2024-01-03T00:00:00" u="1"/>
        <d v="2020-11-28T00:00:00" u="1"/>
        <d v="2021-11-28T00:00:00" u="1"/>
        <d v="2020-12-24T00:00:00" u="1"/>
        <d v="2021-12-24T00:00:00" u="1"/>
        <d v="2023-11-28T00:00:00" u="1"/>
        <d v="2020-01-05T00:00:00" u="1"/>
        <d v="2021-01-05T00:00:00" u="1"/>
        <d v="2020-02-01T00:00:00" u="1"/>
        <d v="2022-01-05T00:00:00" u="1"/>
        <d v="2021-02-01T00:00:00" u="1"/>
        <d v="2023-01-05T00:00:00" u="1"/>
        <d v="2022-02-01T00:00:00" u="1"/>
        <d v="2024-01-05T00:00:00" u="1"/>
        <d v="2023-02-01T00:00:00" u="1"/>
        <d v="2024-02-01T00:00:00" u="1"/>
        <d v="2020-11-30T00:00:00" u="1"/>
        <d v="2021-11-30T00:00:00" u="1"/>
        <d v="2020-12-26T00:00:00" u="1"/>
        <d v="2023-11-30T00:00:00" u="1"/>
        <d v="2023-12-26T00:00:00" u="1"/>
        <d v="2020-01-07T00:00:00" u="1"/>
        <d v="2021-01-07T00:00:00" u="1"/>
        <d v="2020-02-03T00:00:00" u="1"/>
        <d v="2022-01-07T00:00:00" u="1"/>
        <d v="2021-02-03T00:00:00" u="1"/>
        <d v="2023-01-07T00:00:00" u="1"/>
        <d v="2022-02-03T00:00:00" u="1"/>
        <d v="2024-01-07T00:00:00" u="1"/>
        <d v="2023-02-03T00:00:00" u="1"/>
        <d v="2024-02-03T00:00:00" u="1"/>
        <d v="2020-12-28T00:00:00" u="1"/>
        <d v="2021-12-28T00:00:00" u="1"/>
        <d v="2020-01-09T00:00:00" u="1"/>
        <d v="2021-01-09T00:00:00" u="1"/>
        <d v="2020-02-05T00:00:00" u="1"/>
        <d v="2022-01-09T00:00:00" u="1"/>
        <d v="2021-02-05T00:00:00" u="1"/>
        <d v="2023-01-09T00:00:00" u="1"/>
        <d v="2022-02-05T00:00:00" u="1"/>
        <d v="2024-01-09T00:00:00" u="1"/>
        <d v="2021-03-01T00:00:00" u="1"/>
        <d v="2023-02-05T00:00:00" u="1"/>
        <d v="2022-03-01T00:00:00" u="1"/>
        <d v="2024-02-05T00:00:00" u="1"/>
        <d v="2023-03-01T00:00:00" u="1"/>
        <d v="2024-03-01T00:00:00" u="1"/>
        <d v="2020-12-30T00:00:00" u="1"/>
        <d v="2021-12-30T00:00:00" u="1"/>
        <d v="2020-01-11T00:00:00" u="1"/>
        <d v="2021-01-11T00:00:00" u="1"/>
        <d v="2020-02-07T00:00:00" u="1"/>
        <d v="2022-01-11T00:00:00" u="1"/>
        <d v="2023-01-11T00:00:00" u="1"/>
        <d v="2020-03-03T00:00:00" u="1"/>
        <d v="2022-02-07T00:00:00" u="1"/>
        <d v="2024-01-11T00:00:00" u="1"/>
        <d v="2021-03-03T00:00:00" u="1"/>
        <d v="2023-02-07T00:00:00" u="1"/>
        <d v="2022-03-03T00:00:00" u="1"/>
        <d v="2024-02-07T00:00:00" u="1"/>
        <d v="2023-03-03T00:00:00" u="1"/>
        <d v="2020-01-13T00:00:00" u="1"/>
        <d v="2021-01-13T00:00:00" u="1"/>
        <d v="2022-01-13T00:00:00" u="1"/>
        <d v="2021-02-09T00:00:00" u="1"/>
        <d v="2023-01-13T00:00:00" u="1"/>
        <d v="2020-03-05T00:00:00" u="1"/>
        <d v="2022-02-09T00:00:00" u="1"/>
        <d v="2024-01-13T00:00:00" u="1"/>
        <d v="2021-03-05T00:00:00" u="1"/>
        <d v="2023-02-09T00:00:00" u="1"/>
        <d v="2022-03-05T00:00:00" u="1"/>
        <d v="2024-02-09T00:00:00" u="1"/>
        <d v="2023-03-05T00:00:00" u="1"/>
        <d v="2022-04-01T00:00:00" u="1"/>
        <d v="2024-03-05T00:00:00" u="1"/>
        <d v="2023-04-01T00:00:00" u="1"/>
        <d v="2024-04-01T00:00:00" u="1"/>
        <d v="2020-01-15T00:00:00" u="1"/>
        <d v="2021-01-15T00:00:00" u="1"/>
        <d v="2020-02-11T00:00:00" u="1"/>
        <d v="2022-01-15T00:00:00" u="1"/>
        <d v="2021-02-11T00:00:00" u="1"/>
        <d v="2023-01-15T00:00:00" u="1"/>
        <d v="2020-03-07T00:00:00" u="1"/>
        <d v="2022-02-11T00:00:00" u="1"/>
        <d v="2024-01-15T00:00:00" u="1"/>
        <d v="2021-03-07T00:00:00" u="1"/>
        <d v="2023-02-11T00:00:00" u="1"/>
        <d v="2022-03-07T00:00:00" u="1"/>
        <d v="2021-04-03T00:00:00" u="1"/>
        <d v="2023-03-07T00:00:00" u="1"/>
        <d v="2024-03-07T00:00:00" u="1"/>
        <d v="2023-04-03T00:00:00" u="1"/>
        <d v="2024-04-03T00:00:00" u="1"/>
        <d v="2020-01-17T00:00:00" u="1"/>
        <d v="2021-01-17T00:00:00" u="1"/>
        <d v="2020-02-13T00:00:00" u="1"/>
        <d v="2022-01-17T00:00:00" u="1"/>
        <d v="2021-02-13T00:00:00" u="1"/>
        <d v="2023-01-17T00:00:00" u="1"/>
        <d v="2020-03-09T00:00:00" u="1"/>
        <d v="2024-01-17T00:00:00" u="1"/>
        <d v="2021-03-09T00:00:00" u="1"/>
        <d v="2023-02-13T00:00:00" u="1"/>
        <d v="2022-03-09T00:00:00" u="1"/>
        <d v="2024-02-13T00:00:00" u="1"/>
        <d v="2021-04-05T00:00:00" u="1"/>
        <d v="2023-03-09T00:00:00" u="1"/>
        <d v="2022-04-05T00:00:00" u="1"/>
        <d v="2024-03-09T00:00:00" u="1"/>
        <d v="2023-04-05T00:00:00" u="1"/>
        <d v="2022-05-01T00:00:00" u="1"/>
        <d v="2024-04-05T00:00:00" u="1"/>
        <d v="2024-05-01T00:00:00" u="1"/>
        <d v="2020-01-19T00:00:00" u="1"/>
        <d v="2021-01-19T00:00:00" u="1"/>
        <d v="2020-02-15T00:00:00" u="1"/>
        <d v="2022-01-19T00:00:00" u="1"/>
        <d v="2021-02-15T00:00:00" u="1"/>
        <d v="2023-01-19T00:00:00" u="1"/>
        <d v="2020-03-11T00:00:00" u="1"/>
        <d v="2022-02-15T00:00:00" u="1"/>
        <d v="2024-01-19T00:00:00" u="1"/>
        <d v="2021-03-11T00:00:00" u="1"/>
        <d v="2023-02-15T00:00:00" u="1"/>
        <d v="2022-03-11T00:00:00" u="1"/>
        <d v="2024-02-15T00:00:00" u="1"/>
        <d v="2021-04-07T00:00:00" u="1"/>
        <d v="2023-03-11T00:00:00" u="1"/>
        <d v="2022-04-07T00:00:00" u="1"/>
        <d v="2024-03-11T00:00:00" u="1"/>
        <d v="2021-05-03T00:00:00" u="1"/>
        <d v="2022-05-03T00:00:00" u="1"/>
        <d v="2023-05-03T00:00:00" u="1"/>
        <d v="2024-05-03T00:00:00" u="1"/>
        <d v="2020-01-21T00:00:00" u="1"/>
        <d v="2021-01-21T00:00:00" u="1"/>
        <d v="2020-02-17T00:00:00" u="1"/>
        <d v="2022-01-21T00:00:00" u="1"/>
        <d v="2021-02-17T00:00:00" u="1"/>
        <d v="2023-01-21T00:00:00" u="1"/>
        <d v="2020-03-13T00:00:00" u="1"/>
        <d v="2022-02-17T00:00:00" u="1"/>
        <d v="2024-01-21T00:00:00" u="1"/>
        <d v="2021-03-13T00:00:00" u="1"/>
        <d v="2023-02-17T00:00:00" u="1"/>
        <d v="2022-03-13T00:00:00" u="1"/>
        <d v="2024-02-17T00:00:00" u="1"/>
        <d v="2021-04-09T00:00:00" u="1"/>
        <d v="2023-03-13T00:00:00" u="1"/>
        <d v="2022-04-09T00:00:00" u="1"/>
        <d v="2024-03-13T00:00:00" u="1"/>
        <d v="2021-05-05T00:00:00" u="1"/>
        <d v="2020-06-01T00:00:00" u="1"/>
        <d v="2022-05-05T00:00:00" u="1"/>
        <d v="2024-04-09T00:00:00" u="1"/>
        <d v="2021-06-01T00:00:00" u="1"/>
        <d v="2023-05-05T00:00:00" u="1"/>
        <d v="2022-06-01T00:00:00" u="1"/>
        <d v="2023-06-01T00:00:00" u="1"/>
        <d v="2024-06-01T00:00:00" u="1"/>
        <d v="2020-01-23T00:00:00" u="1"/>
        <d v="2021-01-23T00:00:00" u="1"/>
        <d v="2020-02-19T00:00:00" u="1"/>
        <d v="2022-01-23T00:00:00" u="1"/>
        <d v="2021-02-19T00:00:00" u="1"/>
        <d v="2023-01-23T00:00:00" u="1"/>
        <d v="2022-02-19T00:00:00" u="1"/>
        <d v="2024-01-23T00:00:00" u="1"/>
        <d v="2021-03-15T00:00:00" u="1"/>
        <d v="2023-02-19T00:00:00" u="1"/>
        <d v="2022-03-15T00:00:00" u="1"/>
        <d v="2024-02-19T00:00:00" u="1"/>
        <d v="2021-04-11T00:00:00" u="1"/>
        <d v="2023-03-15T00:00:00" u="1"/>
        <d v="2022-04-11T00:00:00" u="1"/>
        <d v="2024-03-15T00:00:00" u="1"/>
        <d v="2021-05-07T00:00:00" u="1"/>
        <d v="2023-04-11T00:00:00" u="1"/>
        <d v="2020-06-03T00:00:00" u="1"/>
        <d v="2022-05-07T00:00:00" u="1"/>
        <d v="2024-04-11T00:00:00" u="1"/>
        <d v="2021-06-03T00:00:00" u="1"/>
        <d v="2023-05-07T00:00:00" u="1"/>
        <d v="2022-06-03T00:00:00" u="1"/>
        <d v="2024-05-07T00:00:00" u="1"/>
        <d v="2023-06-03T00:00:00" u="1"/>
        <d v="2024-06-03T00:00:00" u="1"/>
        <d v="2020-01-25T00:00:00" u="1"/>
        <d v="2021-01-25T00:00:00" u="1"/>
        <d v="2020-02-21T00:00:00" u="1"/>
        <d v="2022-01-25T00:00:00" u="1"/>
        <d v="2021-02-21T00:00:00" u="1"/>
        <d v="2023-01-25T00:00:00" u="1"/>
        <d v="2020-03-17T00:00:00" u="1"/>
        <d v="2022-02-21T00:00:00" u="1"/>
        <d v="2024-01-25T00:00:00" u="1"/>
        <d v="2021-03-17T00:00:00" u="1"/>
        <d v="2023-02-21T00:00:00" u="1"/>
        <d v="2022-03-17T00:00:00" u="1"/>
        <d v="2024-02-21T00:00:00" u="1"/>
        <d v="2021-04-13T00:00:00" u="1"/>
        <d v="2023-03-17T00:00:00" u="1"/>
        <d v="2022-04-13T00:00:00" u="1"/>
        <d v="2024-03-17T00:00:00" u="1"/>
        <d v="2021-05-09T00:00:00" u="1"/>
        <d v="2023-04-13T00:00:00" u="1"/>
        <d v="2020-06-05T00:00:00" u="1"/>
        <d v="2022-05-09T00:00:00" u="1"/>
        <d v="2024-04-13T00:00:00" u="1"/>
        <d v="2021-06-05T00:00:00" u="1"/>
        <d v="2023-05-09T00:00:00" u="1"/>
        <d v="2020-07-01T00:00:00" u="1"/>
        <d v="2022-06-05T00:00:00" u="1"/>
        <d v="2024-05-09T00:00:00" u="1"/>
        <d v="2021-07-01T00:00:00" u="1"/>
        <d v="2023-06-05T00:00:00" u="1"/>
        <d v="2022-07-01T00:00:00" u="1"/>
        <d v="2024-06-05T00:00:00" u="1"/>
        <d v="2023-07-01T00:00:00" u="1"/>
        <d v="2024-07-01T00:00:00" u="1"/>
        <d v="2020-01-27T00:00:00" u="1"/>
        <d v="2021-01-27T00:00:00" u="1"/>
        <d v="2020-02-23T00:00:00" u="1"/>
        <d v="2022-01-27T00:00:00" u="1"/>
        <d v="2021-02-23T00:00:00" u="1"/>
        <d v="2023-01-27T00:00:00" u="1"/>
        <d v="2020-03-19T00:00:00" u="1"/>
        <d v="2022-02-23T00:00:00" u="1"/>
        <d v="2024-01-27T00:00:00" u="1"/>
        <d v="2021-03-19T00:00:00" u="1"/>
        <d v="2023-02-23T00:00:00" u="1"/>
        <d v="2022-03-19T00:00:00" u="1"/>
        <d v="2024-02-23T00:00:00" u="1"/>
        <d v="2021-04-15T00:00:00" u="1"/>
        <d v="2023-03-19T00:00:00" u="1"/>
        <d v="2020-05-11T00:00:00" u="1"/>
        <d v="2024-03-19T00:00:00" u="1"/>
        <d v="2021-05-11T00:00:00" u="1"/>
        <d v="2023-04-15T00:00:00" u="1"/>
        <d v="2020-06-07T00:00:00" u="1"/>
        <d v="2022-05-11T00:00:00" u="1"/>
        <d v="2024-04-15T00:00:00" u="1"/>
        <d v="2021-06-07T00:00:00" u="1"/>
        <d v="2023-05-11T00:00:00" u="1"/>
        <d v="2020-07-03T00:00:00" u="1"/>
        <d v="2022-06-07T00:00:00" u="1"/>
        <d v="2024-05-11T00:00:00" u="1"/>
        <d v="2021-07-03T00:00:00" u="1"/>
        <d v="2023-06-07T00:00:00" u="1"/>
        <d v="2022-07-03T00:00:00" u="1"/>
        <d v="2024-06-07T00:00:00" u="1"/>
        <d v="2023-07-03T00:00:00" u="1"/>
        <d v="2024-07-03T00:00:00" u="1"/>
        <d v="2020-01-29T00:00:00" u="1"/>
        <d v="2021-01-29T00:00:00" u="1"/>
        <d v="2020-02-25T00:00:00" u="1"/>
        <d v="2022-01-29T00:00:00" u="1"/>
        <d v="2021-02-25T00:00:00" u="1"/>
        <d v="2020-03-21T00:00:00" u="1"/>
        <d v="2022-02-25T00:00:00" u="1"/>
        <d v="2024-01-29T00:00:00" u="1"/>
        <d v="2021-03-21T00:00:00" u="1"/>
        <d v="2023-02-25T00:00:00" u="1"/>
        <d v="2022-03-21T00:00:00" u="1"/>
        <d v="2024-02-25T00:00:00" u="1"/>
        <d v="2021-04-17T00:00:00" u="1"/>
        <d v="2023-03-21T00:00:00" u="1"/>
        <d v="2022-04-17T00:00:00" u="1"/>
        <d v="2024-03-21T00:00:00" u="1"/>
        <d v="2021-05-13T00:00:00" u="1"/>
        <d v="2023-04-17T00:00:00" u="1"/>
        <d v="2020-06-09T00:00:00" u="1"/>
        <d v="2022-05-13T00:00:00" u="1"/>
        <d v="2024-04-17T00:00:00" u="1"/>
        <d v="2021-06-09T00:00:00" u="1"/>
        <d v="2023-05-13T00:00:00" u="1"/>
        <d v="2022-06-09T00:00:00" u="1"/>
        <d v="2024-05-13T00:00:00" u="1"/>
        <d v="2021-07-05T00:00:00" u="1"/>
        <d v="2023-06-09T00:00:00" u="1"/>
        <d v="2020-08-01T00:00:00" u="1"/>
        <d v="2022-07-05T00:00:00" u="1"/>
        <d v="2024-06-09T00:00:00" u="1"/>
        <d v="2021-08-01T00:00:00" u="1"/>
        <d v="2023-07-05T00:00:00" u="1"/>
        <d v="2022-08-01T00:00:00" u="1"/>
        <d v="2024-07-05T00:00:00" u="1"/>
        <d v="2023-08-01T00:00:00" u="1"/>
        <d v="2020-01-31T00:00:00" u="1"/>
        <d v="2020-02-27T00:00:00" u="1"/>
        <d v="2022-01-31T00:00:00" u="1"/>
        <d v="2021-02-27T00:00:00" u="1"/>
        <d v="2023-01-31T00:00:00" u="1"/>
        <d v="2022-02-27T00:00:00" u="1"/>
        <d v="2024-01-31T00:00:00" u="1"/>
        <d v="2021-03-23T00:00:00" u="1"/>
        <d v="2023-02-27T00:00:00" u="1"/>
        <d v="2022-03-23T00:00:00" u="1"/>
        <d v="2024-02-27T00:00:00" u="1"/>
        <d v="2021-04-19T00:00:00" u="1"/>
        <d v="2023-03-23T00:00:00" u="1"/>
        <d v="2020-05-15T00:00:00" u="1"/>
        <d v="2022-04-19T00:00:00" u="1"/>
        <d v="2024-03-23T00:00:00" u="1"/>
        <d v="2021-05-15T00:00:00" u="1"/>
        <d v="2023-04-19T00:00:00" u="1"/>
        <d v="2020-06-11T00:00:00" u="1"/>
        <d v="2022-05-15T00:00:00" u="1"/>
        <d v="2024-04-19T00:00:00" u="1"/>
        <d v="2021-06-11T00:00:00" u="1"/>
        <d v="2023-05-15T00:00:00" u="1"/>
        <d v="2020-07-07T00:00:00" u="1"/>
        <d v="2022-06-11T00:00:00" u="1"/>
        <d v="2024-05-15T00:00:00" u="1"/>
        <d v="2021-07-07T00:00:00" u="1"/>
        <d v="2020-08-03T00:00:00" u="1"/>
        <d v="2022-07-07T00:00:00" u="1"/>
        <d v="2024-06-11T00:00:00" u="1"/>
        <d v="2021-08-03T00:00:00" u="1"/>
        <d v="2023-07-07T00:00:00" u="1"/>
        <d v="2022-08-03T00:00:00" u="1"/>
        <d v="2023-08-03T00:00:00" u="1"/>
        <d v="2020-02-29T00:00:00" u="1"/>
        <d v="2021-03-25T00:00:00" u="1"/>
        <d v="2022-03-25T00:00:00" u="1"/>
        <d v="2024-02-29T00:00:00" u="1"/>
        <d v="2021-04-21T00:00:00" u="1"/>
        <d v="2023-03-25T00:00:00" u="1"/>
        <d v="2022-04-21T00:00:00" u="1"/>
        <d v="2024-03-25T00:00:00" u="1"/>
        <d v="2021-05-17T00:00:00" u="1"/>
        <d v="2023-04-21T00:00:00" u="1"/>
        <d v="2020-06-13T00:00:00" u="1"/>
        <d v="2022-05-17T00:00:00" u="1"/>
        <d v="2021-06-13T00:00:00" u="1"/>
        <d v="2023-05-17T00:00:00" u="1"/>
        <d v="2020-07-09T00:00:00" u="1"/>
        <d v="2022-06-13T00:00:00" u="1"/>
        <d v="2024-05-17T00:00:00" u="1"/>
        <d v="2021-07-09T00:00:00" u="1"/>
        <d v="2023-06-13T00:00:00" u="1"/>
        <d v="2020-08-05T00:00:00" u="1"/>
        <d v="2022-07-09T00:00:00" u="1"/>
        <d v="2024-06-13T00:00:00" u="1"/>
        <d v="2021-08-05T00:00:00" u="1"/>
        <d v="2023-07-09T00:00:00" u="1"/>
        <d v="2020-09-01T00:00:00" u="1"/>
        <d v="2022-08-05T00:00:00" u="1"/>
        <d v="2024-07-09T00:00:00" u="1"/>
        <d v="2021-09-01T00:00:00" u="1"/>
        <d v="2023-08-05T00:00:00" u="1"/>
        <d v="2022-09-01T00:00:00" u="1"/>
        <d v="2023-09-01T00:00:00" u="1"/>
        <d v="2021-03-27T00:00:00" u="1"/>
        <d v="2022-03-27T00:00:00" u="1"/>
        <d v="2021-04-23T00:00:00" u="1"/>
        <d v="2023-03-27T00:00:00" u="1"/>
        <d v="2020-05-19T00:00:00" u="1"/>
        <d v="2022-04-23T00:00:00" u="1"/>
        <d v="2024-03-27T00:00:00" u="1"/>
        <d v="2021-05-19T00:00:00" u="1"/>
        <d v="2023-04-23T00:00:00" u="1"/>
        <d v="2020-06-15T00:00:00" u="1"/>
        <d v="2022-05-19T00:00:00" u="1"/>
        <d v="2024-04-23T00:00:00" u="1"/>
        <d v="2021-06-15T00:00:00" u="1"/>
        <d v="2023-05-19T00:00:00" u="1"/>
        <d v="2020-07-11T00:00:00" u="1"/>
        <d v="2022-06-15T00:00:00" u="1"/>
        <d v="2021-07-11T00:00:00" u="1"/>
        <d v="2023-06-15T00:00:00" u="1"/>
        <d v="2020-08-07T00:00:00" u="1"/>
        <d v="2022-07-11T00:00:00" u="1"/>
        <d v="2024-06-15T00:00:00" u="1"/>
        <d v="2021-08-07T00:00:00" u="1"/>
        <d v="2023-07-11T00:00:00" u="1"/>
        <d v="2020-09-03T00:00:00" u="1"/>
        <d v="2022-08-07T00:00:00" u="1"/>
        <d v="2024-07-11T00:00:00" u="1"/>
        <d v="2021-09-03T00:00:00" u="1"/>
        <d v="2023-08-07T00:00:00" u="1"/>
        <d v="2022-09-03T00:00:00" u="1"/>
        <d v="2024-09-03T00:00:00" u="1"/>
        <d v="2021-03-29T00:00:00" u="1"/>
        <d v="2022-03-29T00:00:00" u="1"/>
        <d v="2021-04-25T00:00:00" u="1"/>
        <d v="2023-03-29T00:00:00" u="1"/>
        <d v="2020-05-21T00:00:00" u="1"/>
        <d v="2022-04-25T00:00:00" u="1"/>
        <d v="2021-05-21T00:00:00" u="1"/>
        <d v="2023-04-25T00:00:00" u="1"/>
        <d v="2020-06-17T00:00:00" u="1"/>
        <d v="2022-05-21T00:00:00" u="1"/>
        <d v="2024-04-25T00:00:00" u="1"/>
        <d v="2021-06-17T00:00:00" u="1"/>
        <d v="2023-05-21T00:00:00" u="1"/>
        <d v="2020-07-13T00:00:00" u="1"/>
        <d v="2022-06-17T00:00:00" u="1"/>
        <d v="2024-05-21T00:00:00" u="1"/>
        <d v="2021-07-13T00:00:00" u="1"/>
        <d v="2023-06-17T00:00:00" u="1"/>
        <d v="2022-07-13T00:00:00" u="1"/>
        <d v="2024-06-17T00:00:00" u="1"/>
        <d v="2021-08-09T00:00:00" u="1"/>
        <d v="2023-07-13T00:00:00" u="1"/>
        <d v="2020-09-05T00:00:00" u="1"/>
        <d v="2022-08-09T00:00:00" u="1"/>
        <d v="2021-09-05T00:00:00" u="1"/>
        <d v="2023-08-09T00:00:00" u="1"/>
        <d v="2020-10-01T00:00:00" u="1"/>
        <d v="2022-09-05T00:00:00" u="1"/>
        <d v="2021-10-01T00:00:00" u="1"/>
        <d v="2023-09-05T00:00:00" u="1"/>
        <d v="2022-10-01T00:00:00" u="1"/>
        <d v="2024-09-05T00:00:00" u="1"/>
        <d v="2021-03-31T00:00:00" u="1"/>
        <d v="2022-03-31T00:00:00" u="1"/>
        <d v="2021-04-27T00:00:00" u="1"/>
        <d v="2023-03-31T00:00:00" u="1"/>
        <d v="2020-05-23T00:00:00" u="1"/>
        <d v="2022-04-27T00:00:00" u="1"/>
        <d v="2021-05-23T00:00:00" u="1"/>
        <d v="2023-04-27T00:00:00" u="1"/>
        <d v="2020-06-19T00:00:00" u="1"/>
        <d v="2022-05-23T00:00:00" u="1"/>
        <d v="2024-04-27T00:00:00" u="1"/>
        <d v="2021-06-19T00:00:00" u="1"/>
        <d v="2023-05-23T00:00:00" u="1"/>
        <d v="2020-07-15T00:00:00" u="1"/>
        <d v="2022-06-19T00:00:00" u="1"/>
        <d v="2024-05-23T00:00:00" u="1"/>
        <d v="2021-07-15T00:00:00" u="1"/>
        <d v="2023-06-19T00:00:00" u="1"/>
        <d v="2020-08-11T00:00:00" u="1"/>
        <d v="2022-07-15T00:00:00" u="1"/>
        <d v="2024-06-19T00:00:00" u="1"/>
        <d v="2021-08-11T00:00:00" u="1"/>
        <d v="2023-07-15T00:00:00" u="1"/>
        <d v="2020-09-07T00:00:00" u="1"/>
        <d v="2022-08-11T00:00:00" u="1"/>
        <d v="2021-09-07T00:00:00" u="1"/>
        <d v="2023-08-11T00:00:00" u="1"/>
        <d v="2020-10-03T00:00:00" u="1"/>
        <d v="2022-09-07T00:00:00" u="1"/>
        <d v="2021-10-03T00:00:00" u="1"/>
        <d v="2023-09-07T00:00:00" u="1"/>
        <d v="2022-10-03T00:00:00" u="1"/>
        <d v="2024-09-07T00:00:00" u="1"/>
        <d v="2023-10-03T00:00:00" u="1"/>
        <d v="2021-04-29T00:00:00" u="1"/>
        <d v="2020-05-25T00:00:00" u="1"/>
        <d v="2022-04-29T00:00:00" u="1"/>
        <d v="2021-05-25T00:00:00" u="1"/>
        <d v="2023-04-29T00:00:00" u="1"/>
        <d v="2022-05-25T00:00:00" u="1"/>
        <d v="2024-04-29T00:00:00" u="1"/>
        <d v="2021-06-21T00:00:00" u="1"/>
        <d v="2023-05-25T00:00:00" u="1"/>
        <d v="2020-07-17T00:00:00" u="1"/>
        <d v="2022-06-21T00:00:00" u="1"/>
        <d v="2024-05-25T00:00:00" u="1"/>
        <d v="2021-07-17T00:00:00" u="1"/>
        <d v="2023-06-21T00:00:00" u="1"/>
        <d v="2020-08-13T00:00:00" u="1"/>
        <d v="2022-07-17T00:00:00" u="1"/>
        <d v="2024-06-21T00:00:00" u="1"/>
        <d v="2021-08-13T00:00:00" u="1"/>
        <d v="2023-07-17T00:00:00" u="1"/>
        <d v="2020-09-09T00:00:00" u="1"/>
        <d v="2022-08-13T00:00:00" u="1"/>
        <d v="2021-09-09T00:00:00" u="1"/>
        <d v="2023-08-13T00:00:00" u="1"/>
        <d v="2020-10-05T00:00:00" u="1"/>
        <d v="2022-09-09T00:00:00" u="1"/>
        <d v="2021-10-05T00:00:00" u="1"/>
        <d v="2023-09-09T00:00:00" u="1"/>
        <d v="2020-11-01T00:00:00" u="1"/>
        <d v="2022-10-05T00:00:00" u="1"/>
        <d v="2024-09-09T00:00:00" u="1"/>
        <d v="2021-11-01T00:00:00" u="1"/>
        <d v="2023-10-05T00:00:00" u="1"/>
        <d v="2023-11-01T00:00:00" u="1"/>
        <d v="2020-05-27T00:00:00" u="1"/>
        <d v="2021-05-27T00:00:00" u="1"/>
        <d v="2020-06-23T00:00:00" u="1"/>
        <d v="2022-05-27T00:00:00" u="1"/>
        <d v="2021-06-23T00:00:00" u="1"/>
        <d v="2023-05-27T00:00:00" u="1"/>
        <d v="2022-06-23T00:00:00" u="1"/>
        <d v="2024-05-27T00:00:00" u="1"/>
        <d v="2021-07-19T00:00:00" u="1"/>
        <d v="2023-06-23T00:00:00" u="1"/>
        <d v="2020-08-15T00:00:00" u="1"/>
        <d v="2022-07-19T00:00:00" u="1"/>
        <d v="2024-06-23T00:00:00" u="1"/>
        <d v="2021-08-15T00:00:00" u="1"/>
        <d v="2023-07-19T00:00:00" u="1"/>
        <d v="2020-09-11T00:00:00" u="1"/>
        <d v="2022-08-15T00:00:00" u="1"/>
        <d v="2021-09-11T00:00:00" u="1"/>
        <d v="2023-08-15T00:00:00" u="1"/>
        <d v="2020-10-07T00:00:00" u="1"/>
        <d v="2021-10-07T00:00:00" u="1"/>
        <d v="2023-09-11T00:00:00" u="1"/>
        <d v="2020-11-03T00:00:00" u="1"/>
        <d v="2022-10-07T00:00:00" u="1"/>
        <d v="2024-09-11T00:00:00" u="1"/>
        <d v="2021-11-03T00:00:00" u="1"/>
        <d v="2023-10-07T00:00:00" u="1"/>
        <d v="2023-11-03T00:00:00" u="1"/>
        <d v="2020-05-29T00:00:00" u="1"/>
        <d v="2021-05-29T00:00:00" u="1"/>
        <d v="2020-06-25T00:00:00" u="1"/>
        <d v="2022-05-29T00:00:00" u="1"/>
        <d v="2021-06-25T00:00:00" u="1"/>
        <d v="2023-05-29T00:00:00" u="1"/>
        <d v="2020-07-21T00:00:00" u="1"/>
        <d v="2022-06-25T00:00:00" u="1"/>
        <d v="2024-05-29T00:00:00" u="1"/>
        <d v="2021-07-21T00:00:00" u="1"/>
        <d v="2020-08-17T00:00:00" u="1"/>
        <d v="2022-07-21T00:00:00" u="1"/>
        <d v="2024-06-25T00:00:00" u="1"/>
        <d v="2021-08-17T00:00:00" u="1"/>
        <d v="2023-07-21T00:00:00" u="1"/>
        <d v="2022-08-17T00:00:00" u="1"/>
        <d v="2021-09-13T00:00:00" u="1"/>
        <d v="2023-08-17T00:00:00" u="1"/>
        <d v="2020-10-09T00:00:00" u="1"/>
        <d v="2022-09-13T00:00:00" u="1"/>
        <d v="2021-10-09T00:00:00" u="1"/>
        <d v="2023-09-13T00:00:00" u="1"/>
        <d v="2020-11-05T00:00:00" u="1"/>
        <d v="2022-10-09T00:00:00" u="1"/>
        <d v="2024-09-13T00:00:00" u="1"/>
        <d v="2021-11-05T00:00:00" u="1"/>
        <d v="2023-10-09T00:00:00" u="1"/>
        <d v="2020-12-01T00:00:00" u="1"/>
        <d v="2021-12-01T00:00:00" u="1"/>
        <d v="2023-11-05T00:00:00" u="1"/>
        <d v="2022-12-01T00:00:00" u="1"/>
        <d v="2021-05-31T00:00:00" u="1"/>
        <d v="2020-06-27T00:00:00" u="1"/>
        <d v="2021-06-27T00:00:00" u="1"/>
        <d v="2023-05-31T00:00:00" u="1"/>
        <d v="2020-07-23T00:00:00" u="1"/>
        <d v="2022-06-27T00:00:00" u="1"/>
        <d v="2024-05-31T00:00:00" u="1"/>
        <d v="2021-07-23T00:00:00" u="1"/>
        <d v="2023-06-27T00:00:00" u="1"/>
        <d v="2020-08-19T00:00:00" u="1"/>
        <d v="2022-07-23T00:00:00" u="1"/>
        <d v="2024-06-27T00:00:00" u="1"/>
        <d v="2021-08-19T00:00:00" u="1"/>
        <d v="2020-09-15T00:00:00" u="1"/>
        <d v="2022-08-19T00:00:00" u="1"/>
        <d v="2021-09-15T00:00:00" u="1"/>
        <d v="2023-08-19T00:00:00" u="1"/>
        <d v="2020-10-11T00:00:00" u="1"/>
        <d v="2022-09-15T00:00:00" u="1"/>
        <d v="2021-10-11T00:00:00" u="1"/>
        <d v="2023-09-15T00:00:00" u="1"/>
        <d v="2020-11-07T00:00:00" u="1"/>
        <d v="2022-10-11T00:00:00" u="1"/>
        <d v="2021-11-07T00:00:00" u="1"/>
        <d v="2023-10-11T00:00:00" u="1"/>
        <d v="2020-12-03T00:00:00" u="1"/>
        <d v="2021-12-03T00:00:00" u="1"/>
        <d v="2023-11-07T00:00:00" u="1"/>
        <d v="2022-12-03T00:00:00" u="1"/>
        <d v="2020-06-29T00:00:00" u="1"/>
        <d v="2021-06-29T00:00:00" u="1"/>
        <d v="2020-07-25T00:00:00" u="1"/>
        <d v="2022-06-29T00:00:00" u="1"/>
        <d v="2021-07-25T00:00:00" u="1"/>
        <d v="2023-06-29T00:00:00" u="1"/>
        <d v="2020-08-21T00:00:00" u="1"/>
        <d v="2022-07-25T00:00:00" u="1"/>
        <d v="2024-06-29T00:00:00" u="1"/>
        <d v="2021-08-21T00:00:00" u="1"/>
        <d v="2023-07-25T00:00:00" u="1"/>
        <d v="2020-09-17T00:00:00" u="1"/>
        <d v="2021-09-17T00:00:00" u="1"/>
        <d v="2023-08-21T00:00:00" u="1"/>
        <d v="2020-10-13T00:00:00" u="1"/>
        <d v="2022-09-17T00:00:00" u="1"/>
        <d v="2021-10-13T00:00:00" u="1"/>
        <d v="2023-09-17T00:00:00" u="1"/>
        <d v="2020-11-09T00:00:00" u="1"/>
        <d v="2022-10-13T00:00:00" u="1"/>
        <d v="2021-11-09T00:00:00" u="1"/>
        <d v="2023-10-13T00:00:00" u="1"/>
        <d v="2020-12-05T00:00:00" u="1"/>
        <d v="2021-12-05T00:00:00" u="1"/>
        <d v="2023-11-09T00:00:00" u="1"/>
        <d v="2022-12-05T00:00:00" u="1"/>
        <d v="2023-12-05T00:00:00" u="1"/>
        <d v="2020-07-27T00:00:00" u="1"/>
        <d v="2021-07-27T00:00:00" u="1"/>
        <d v="2022-07-27T00:00:00" u="1"/>
        <d v="2021-08-23T00:00:00" u="1"/>
        <d v="2023-07-27T00:00:00" u="1"/>
        <d v="2020-09-19T00:00:00" u="1"/>
        <d v="2022-08-23T00:00:00" u="1"/>
        <d v="2021-09-19T00:00:00" u="1"/>
        <d v="2023-08-23T00:00:00" u="1"/>
        <d v="2020-10-15T00:00:00" u="1"/>
        <d v="2021-10-15T00:00:00" u="1"/>
        <d v="2023-09-19T00:00:00" u="1"/>
        <d v="2020-11-11T00:00:00" u="1"/>
        <d v="2022-10-15T00:00:00" u="1"/>
        <d v="2024-09-19T00:00:00" u="1"/>
        <d v="2021-11-11T00:00:00" u="1"/>
        <d v="2020-12-07T00:00:00" u="1"/>
        <d v="2021-12-07T00:00:00" u="1"/>
        <d v="2023-11-11T00:00:00" u="1"/>
        <d v="2022-12-07T00:00:00" u="1"/>
        <d v="2023-12-07T00:00:00" u="1"/>
        <d v="2020-07-29T00:00:00" u="1"/>
        <d v="2021-07-29T00:00:00" u="1"/>
        <d v="2020-08-25T00:00:00" u="1"/>
        <d v="2022-07-29T00:00:00" u="1"/>
        <d v="2021-08-25T00:00:00" u="1"/>
        <d v="2020-09-21T00:00:00" u="1"/>
        <d v="2022-08-25T00:00:00" u="1"/>
        <d v="2021-09-21T00:00:00" u="1"/>
        <d v="2023-08-25T00:00:00" u="1"/>
        <d v="2020-10-17T00:00:00" u="1"/>
        <d v="2022-09-21T00:00:00" u="1"/>
        <d v="2023-09-21T00:00:00" u="1"/>
        <d v="2020-11-13T00:00:00" u="1"/>
        <d v="2022-10-17T00:00:00" u="1"/>
        <d v="2024-09-21T00:00:00" u="1"/>
        <d v="2021-11-13T00:00:00" u="1"/>
        <d v="2023-10-17T00:00:00" u="1"/>
        <d v="2020-12-09T00:00:00" u="1"/>
        <d v="2021-12-09T00:00:00" u="1"/>
        <d v="2023-11-13T00:00:00" u="1"/>
        <d v="2022-12-09T00:00:00" u="1"/>
        <d v="2020-07-31T00:00:00" u="1"/>
        <d v="2021-07-31T00:00:00" u="1"/>
        <d v="2020-08-27T00:00:00" u="1"/>
        <d v="2021-08-27T00:00:00" u="1"/>
        <d v="2023-07-31T00:00:00" u="1"/>
        <d v="2020-09-23T00:00:00" u="1"/>
        <d v="2022-08-27T00:00:00" u="1"/>
        <d v="2021-09-23T00:00:00" u="1"/>
        <d v="2023-08-27T00:00:00" u="1"/>
        <d v="2020-10-19T00:00:00" u="1"/>
        <d v="2022-09-23T00:00:00" u="1"/>
        <d v="2021-10-19T00:00:00" u="1"/>
        <d v="2023-09-23T00:00:00" u="1"/>
        <d v="2020-11-15T00:00:00" u="1"/>
        <d v="2022-10-19T00:00:00" u="1"/>
        <d v="2024-09-23T00:00:00" u="1"/>
        <d v="2021-11-15T00:00:00" u="1"/>
        <d v="2023-10-19T00:00:00" u="1"/>
        <d v="2020-12-11T00:00:00" u="1"/>
        <d v="2021-12-11T00:00:00" u="1"/>
        <d v="2023-11-15T00:00:00" u="1"/>
        <d v="2023-12-11T00:00:00" u="1"/>
        <d v="2020-08-29T00:00:00" u="1"/>
        <d v="2021-08-29T00:00:00" u="1"/>
        <d v="2020-09-25T00:00:00" u="1"/>
        <d v="2021-09-25T00:00:00" u="1"/>
        <d v="2023-08-29T00:00:00" u="1"/>
        <d v="2020-10-21T00:00:00" u="1"/>
        <d v="2022-09-25T00:00:00" u="1"/>
        <d v="2021-10-21T00:00:00" u="1"/>
        <d v="2023-09-25T00:00:00" u="1"/>
        <d v="2020-11-17T00:00:00" u="1"/>
        <d v="2022-10-21T00:00:00" u="1"/>
        <d v="2024-09-25T00:00:00" u="1"/>
        <d v="2021-11-17T00:00:00" u="1"/>
        <d v="2023-10-21T00:00:00" u="1"/>
        <d v="2020-12-13T00:00:00" u="1"/>
        <d v="2021-12-13T00:00:00" u="1"/>
        <d v="2023-11-17T00:00:00" u="1"/>
        <d v="2022-12-13T00:00:00" u="1"/>
        <d v="2023-12-13T00:00:00" u="1"/>
        <d v="2020-08-31T00:00:00" u="1"/>
        <d v="2021-08-31T00:00:00" u="1"/>
        <d v="2021-09-27T00:00:00" u="1"/>
        <d v="2023-08-31T00:00:00" u="1"/>
        <d v="2020-10-23T00:00:00" u="1"/>
        <d v="2022-09-27T00:00:00" u="1"/>
        <d v="2021-10-23T00:00:00" u="1"/>
        <d v="2020-11-19T00:00:00" u="1"/>
        <d v="2021-11-19T00:00:00" u="1"/>
        <d v="2023-10-23T00:00:00" u="1"/>
        <d v="2020-12-15T00:00:00" u="1"/>
        <d v="2021-12-15T00:00:00" u="1"/>
        <d v="2023-12-15T00:00:00" u="1"/>
      </sharedItems>
    </cacheField>
    <cacheField name="Maquinista" numFmtId="0">
      <sharedItems containsBlank="1"/>
    </cacheField>
    <cacheField name="Tipo MP" numFmtId="0">
      <sharedItems containsBlank="1"/>
    </cacheField>
    <cacheField name="Material 1" numFmtId="0">
      <sharedItems containsBlank="1"/>
    </cacheField>
    <cacheField name="Material 2" numFmtId="0">
      <sharedItems containsBlank="1"/>
    </cacheField>
    <cacheField name="Molde" numFmtId="0">
      <sharedItems containsBlank="1" count="371">
        <s v="ASAS DE BALDE PLAYERO"/>
        <s v="PALA Y RASTRILLO ROMANO"/>
        <s v="EMBUDO #2"/>
        <s v="CERNIDOR CASTILLO"/>
        <s v="PUNTA DOBLE CLICK"/>
        <s v="PUNTA TAPA SORBETE"/>
        <s v="TAPA TOMATODO DOBLE CLICK"/>
        <s v="ASAS ORGANIZADOR 2 Y 3 SOLIDO"/>
        <s v="EMBUDO #1"/>
        <s v="TAPA TOMATODO DOBLE CLICK SOLIDO"/>
        <s v="TAPA TOMATODO DOBLE CLICK PASTEL"/>
        <s v="LAVACUELA REDONDO"/>
        <s v="TAPAS DE JARRA 5 Y 6L"/>
        <s v="COLADOR HOGAR SOLIDO #3"/>
        <s v="REGADERA PLAYERA"/>
        <s v="VASO MUNDO MANZANITA "/>
        <s v="COLADOR HOGAR SOLIDO #4"/>
        <s v="TAPA DE ORGANIZADOR #2 CARAMELO"/>
        <s v="BALDE PLAYERO ROMANO"/>
        <s v="BALDE CASTILLO MEDIEVAL"/>
        <s v="ACCESORIOS PLAYEROS TERRESTRES"/>
        <s v="ORGANIZADOR  DE 3KG PASTEL"/>
        <s v="ORGANIZADOR  DE 3KG"/>
        <s v="JARRA GRECIA 5LT."/>
        <s v="TAPA TAPERS REDONDOS"/>
        <s v="TAPA TAPERS REDONDOS CARAMELO"/>
        <s v="BALDE REAL"/>
        <s v="TOMATODO ULTRA 900ML"/>
        <s v="TOMATODO AVENTURA 600ML"/>
        <s v="SALSERO MULTIUSO 600 ML"/>
        <s v="SALSERO MULTIUSO 480 ML"/>
        <s v="ACCESORIOS PLAYEROS MARINOS"/>
        <s v="ORGANIZADOR  DE 2KG CARAMELO"/>
        <s v="ORGANIZADOR  DE 2KG PASTEL"/>
        <s v="ORGANIZADOR  DE 2KG"/>
        <s v="TAPER ALEMAN 550ML PASTEL"/>
        <s v="TAPER ALEMAN 550ML CARAMELO"/>
        <s v="TAPER ALEMAN 550ML TRANSP"/>
        <s v="EMBUDO #4"/>
        <s v="TOMATODO 350ML"/>
        <s v="TOMATODO 350ML PASTEL"/>
        <s v="ASAS PRESION ORG 5,10,15"/>
        <s v="CANASTA CAROLINA"/>
        <s v="REPOSTERO REAL 4 KG"/>
        <s v="ORGANIZADOR DE 5KG"/>
        <s v="ORGANIZADOR DE 5KG PASTEL"/>
        <s v="BALDE CASTILLO"/>
        <s v="COLADOR HOGAR SOLIDO #2"/>
        <s v="TAPA DE ORGANIZADOR #3 PASTEL"/>
        <s v="TAPA DE ORGANIZADOR #3"/>
        <s v="ORGANIZADOR DE 10KG"/>
        <s v="TAPA DE ORGANIZADOR #2 PASTEL"/>
        <s v="CESTO MULTIUSO"/>
        <s v="TAPA DE ORGANIZADOR #2"/>
        <s v="ESCURRIDOR PORTA VAJILLA"/>
        <s v="JARRA REAL 6LT"/>
        <s v="ORGANIZADOR  DE 3KG CARAMELO"/>
        <s v="JARRA REAL 1200 ML"/>
        <s v="ORGANIZADOR DE 15KG"/>
        <s v="BASE PORTA VAJILLA"/>
        <s v="EMBUDO #3"/>
        <s v="TAPER ALEMAN 550ML SOLIDO"/>
        <s v="SALSERO MULTIUSO 380 ML"/>
        <s v="SALSERO 1200 ML"/>
        <s v="ASA CANASTA CANDY"/>
        <s v="ASAS PRESION ORG 5,10,15 PASTEL"/>
        <s v="ASAS ORGANIZADOR 2 Y 3 PASTEL"/>
        <s v="PORTA ACCESORIO"/>
        <s v="CASCO"/>
        <s v="CANASTA CANDY"/>
        <s v="REPOSTERO REAL 6 KG"/>
        <s v="VASO SORBETE PASTEL"/>
        <s v="VASO SORBETE SOLIDO"/>
        <m/>
        <s v="MINICANASTA SUPERMERCADO"/>
        <s v="PANERITA MANZANA"/>
        <s v="ASAS ORGANIZADOR 2 Y 3"/>
        <s v="COLADOR HOGAR SOLIDO #1"/>
        <s v="PORTA CUBIERTOS PASTEL"/>
        <s v="TAPER REDONDO 2500ML"/>
        <s v="TAPA ORGANIZADOR DE 15KG"/>
        <s v="TAPA DE ORGANIZADOR #3 CARAMELO"/>
        <s v="JABONERA CARAMELO"/>
        <s v="SALSERO PERITA 225ML"/>
        <s v="SALSERO IDEAL 400 ML"/>
        <s v="ALCANCIA MEDIANA"/>
        <s v="ALCANCIA CHICO"/>
        <s v="TAPER ALEMAN 2800ML CARAMELO"/>
        <s v="TAPER ALEMAN 2800ML TRANSP"/>
        <s v="TAPER ALEMAN 2800ML PASTEL"/>
        <s v="TAPA PORTAVAJILLA"/>
        <s v="EMBUDO GIGANTE"/>
        <s v="JARRA GRECIA 5LT"/>
        <s v="TAPER ALEMAN 1100ML TRANSP"/>
        <s v="TAPER ALEMAN 1100ML CARAMELO"/>
        <s v="TAPER ALEMAN 1100ML PASTEL"/>
        <s v="TAPER ALEMAN 1100ML SOLIDO"/>
        <s v="ASA DE TOMATODO ULTRA"/>
        <s v="TAPA REPOSTEROS"/>
        <s v="BASE ORGANIZADOR #3"/>
        <s v="BASE ORGANIZADOR  DE 3KG PASTEL"/>
        <s v="JARRA REAL 1200 LT"/>
        <s v="JARRA REAL 6 LT-TRANSPARENTE"/>
        <s v="BASE ORGANIZADOR DE 15KG"/>
        <s v="BASE ORGANIZADOR  DE 2KG "/>
        <s v="BASE ORGANIZADOR  DE 2KG"/>
        <s v="BASE ORGANIZADOR  DE 2KG CARAMELO"/>
        <s v="ORGANIZADOR DE 10KG PASTEL"/>
        <s v="PORTA CUBIERTOS CARAMELO"/>
        <s v="PORTA CUBIERTOS PASTEL-"/>
        <s v="SALSERO MULTIUSO 380ML"/>
        <s v="SALSERO MULTIUSO 1200ML"/>
        <s v="FLORERO AMERICANO"/>
        <s v="FLORERO CISNE"/>
        <s v="TAPA ORGANIZADOR DE 5KG"/>
        <s v="CASCO MILITAR"/>
        <s v="ENVASE BELGICA 6KG. TRANSPARENTE"/>
        <s v="VASO MUNDO MANZANITA"/>
        <s v="VALVULA VAPOR"/>
        <s v="JARRA GRECIA 500ML CARAMELO"/>
        <s v="JARRA GRECIA 500ML"/>
        <s v="ALCANCIA PABLO GRANDE"/>
        <s v="VASO SORBETE"/>
        <s v="TAPA DE ORGANIZADOR #3 "/>
        <s v="CHASIS AGUILA" u="1"/>
        <s v="CUERPO FABIOLA" u="1"/>
        <s v="LLANTAS CAMION" u="1"/>
        <s v="TAPER ALEMAN 1100ML. PASTEL" u="1"/>
        <s v="TAPER ALEMAN 2800ML. PASTEL" u="1"/>
        <s v="TAPER ALEMAN 1.1KG. CARAMELO" u="1"/>
        <s v="TAPER ALEMAN 550ML. CARAMELO" u="1"/>
        <s v="CONO CASTILLO" u="1"/>
        <s v="ASAS DE MINICANASTA" u="1"/>
        <s v="ASA DE BALDE PLAYERO" u="1"/>
        <s v="ALCANCIA ALBERTO GRANDE" u="1"/>
        <s v="ASA DE CANASTA CANDY" u="1"/>
        <s v="TAPA  JARRA 1200 ML." u="1"/>
        <s v="TAPAS SORBETE" u="1"/>
        <s v="ALCANCIA ALBERTO CHICO" u="1"/>
        <s v="TAPAS TAMBOR" u="1"/>
        <s v="VASO MANZANITA" u="1"/>
        <s v="FLORERO ITALIANO" u="1"/>
        <s v="HORNILLA SET ANITA" u="1"/>
        <s v="LLANTAS PATRULLERO" u="1"/>
        <s v="PALA RASTRILLO ROMANO" u="1"/>
        <s v="MINICANASTA SUPERMERCADO 1KG. PASTEL" u="1"/>
        <s v="TAPA PORTA VAJILLA" u="1"/>
        <s v="ASAS DE BALDES" u="1"/>
        <s v="REGADERA ELEFANTE" u="1"/>
        <s v="SALSERO REAL 400 ML" u="1"/>
        <s v="ASA DE CANASTA PICNIC" u="1"/>
        <s v="SALSERO IDEAL 400 ML." u="1"/>
        <s v="TAPA SALSERO MULTIUSO " u="1"/>
        <s v="TAPA JARRA 5 Y 6 LT." u="1"/>
        <s v="TOMA TODO AVENTURA 350 ML" u="1"/>
        <s v="TAPAS CLICK" u="1"/>
        <s v="BARCO PLAYERO" u="1"/>
        <s v="CACEROLA JANETH" u="1"/>
        <s v="PUNTA DE TOMATODO ULTRA" u="1"/>
        <s v="ORRIN ARGOLLA" u="1"/>
        <s v="TAPA CANASTA PICNIC" u="1"/>
        <s v="ASAS CARGA ORG 5,10,15 PASTEL" u="1"/>
        <s v="CHASIS VOLVO" u="1"/>
        <s v="PLATOS DANIELA" u="1"/>
        <s v="ROCEADOR REDONDO" u="1"/>
        <s v="PANERITA CORAZON " u="1"/>
        <s v="TOMATODO ULTRA 650ML" u="1"/>
        <s v="SALSERO MULTIUSO 600 ML." u="1"/>
        <s v="PICO TAPA JARRA 5 Y 6 LT." u="1"/>
        <s v="CABINA PANDA" u="1"/>
        <s v="BROCHE CAMPANA" u="1"/>
        <s v="FRUTERO CORONA" u="1"/>
        <s v="TOMA TODO 750ML" u="1"/>
        <s v="PICO TAPA JARRA 1.200 LT" u="1"/>
        <s v="ASA CANASTA" u="1"/>
        <s v="TOLVA AGUILA" u="1"/>
        <s v="CERNIDOR ROMANO" u="1"/>
        <s v="TAPER REDONDO CARAMELO 2500ML" u="1"/>
        <s v="TAPA DE PORTAVAJILLA" u="1"/>
        <s v="SET DE COCINA ANITA" u="1"/>
        <s v="TOLVAS CORDILLERANO" u="1"/>
        <s v="GANCHITO CLICK SALSERO" u="1"/>
        <s v="ASA DE CANASTA CAROLINA" u="1"/>
        <s v="SALSERO 380 ML." u="1"/>
        <s v="SALSERO PERITA 225 ML" u="1"/>
        <s v="HUEVO Y CHOCLO" u="1"/>
        <s v="LLANTAS CABALLO" u="1"/>
        <s v="SALSERO 400 ML." u="1"/>
        <s v="SALSERO PERITA 375 ML" u="1"/>
        <s v="CARRO PANDA" u="1"/>
        <s v="LLANTA PANDA" u="1"/>
        <s v="CISTERNA ANDINO" u="1"/>
        <s v="FLORERO ORIENTAL" u="1"/>
        <s v="VALVULA DE VAPOR " u="1"/>
        <s v="OTGANIZADOR DE 5KG" u="1"/>
        <s v="TRONCO MADERA" u="1"/>
        <s v="CISTERNA AGUILA" u="1"/>
        <s v="TAPA ORGANIZADOR DE 10KG" u="1"/>
        <s v="TAPER ALEMAN 1100ML. CARAMELO" u="1"/>
        <s v="TAPER ALEMAN 2800ML. CARAMELO" u="1"/>
        <s v="TAPER REDONDO 1500ML CARAMELO" u="1"/>
        <s v="TAPER REDONDO 2500ML CARAMELO" u="1"/>
        <s v="TAPA DE ORGANIZADOR #2 TRANSPARENTE" u="1"/>
        <s v="TAPA DE ORGANIZADOR #3 TRANSPARENTE" u="1"/>
        <s v="TOLVA GANADERO" u="1"/>
        <s v="ORGANIZADOR DE 5K PASTEL" u="1"/>
        <s v="ANIMALES CORDILLERANO" u="1"/>
        <s v="PALA Y RASTRILLO CASTILLO" u="1"/>
        <s v="LLANTAS DE GANADERO CORDILLERANO" u="1"/>
        <s v="ALBERTO GRANDE" u="1"/>
        <s v="SOLDADO MILITAR" u="1"/>
        <s v="PIN LLANTA PATRULLERO" u="1"/>
        <s v="TAPA DE ORGANIZADOR #3 BLANCO" u="1"/>
        <s v="BALDE ROMANO" u="1"/>
        <s v="JARRA REAL 6L" u="1"/>
        <s v="ASAS DE BALDES " u="1"/>
        <s v="CHASIS PANDA" u="1"/>
        <s v="HORNILLA JANETH" u="1"/>
        <s v="PICO TAPA JARRA 1200 PASTEL" u="1"/>
        <s v="SALSERO 1200 ML." u="1"/>
        <s v="PALA RASTRILLO CASTILLO" u="1"/>
        <s v="PIN DE LLANTA CORDILLERANO" u="1"/>
        <s v="MINICANASTA" u="1"/>
        <s v="TOMA TODO 350 ML" u="1"/>
        <s v="ORRIN GRANDE" u="1"/>
        <s v="TAPER REDONDO 1500 CARAMELO" u="1"/>
        <s v="FRUTERO CORONA " u="1"/>
        <s v="TOLVA GANADERO ANDINO" u="1"/>
        <s v="CEPILLO ESPONJA" u="1"/>
        <s v="BALDE PLAYERO REAL" u="1"/>
        <s v="MANTEQUILLERO PATTY" u="1"/>
        <s v="PICO DE JARRA 5 Y 6" u="1"/>
        <s v="TAPAS NUEVAS SALSAS" u="1"/>
        <s v="VASO SORBETE CARAMELO" u="1"/>
        <s v="FLORERO ITALIANO GRANDE" u="1"/>
        <s v="SARTEN JANETH" u="1"/>
        <s v="TOLVAS DE CAMION GRANDE" u="1"/>
        <s v="CANASTA PICNIC" u="1"/>
        <s v="TAZON REAL 3.5KG." u="1"/>
        <s v="FRUTERO CORONITA PASTEL" u="1"/>
        <s v="TAPER ALEMAN 550ML SOLIDO " u="1"/>
        <s v="ACCESORIOS PLAYERO  X 4" u="1"/>
        <s v="TAPER ALEMAN 1100ML. TRANSP." u="1"/>
        <s v="TAPER ALEMAN 2800ML. TRANSP." u="1"/>
        <s v="ORING ANILLO" u="1"/>
        <s v="ORING ARGOLLA" u="1"/>
        <s v="LLANTAS ANDINO" u="1"/>
        <s v="PUNTA TAPA CLICK" u="1"/>
        <s v="ASAS CARGA ORG 5,10,15" u="1"/>
        <s v="ASA DE CARGA ORGANIZADOR" u="1"/>
        <s v="PICO DE JARRA 1200" u="1"/>
        <s v="TAPA TAPER REDONDO" u="1"/>
        <s v="TOMA TODO PULPIN Nº1" u="1"/>
        <s v="ACCESORIOS PLAYERO #1" u="1"/>
        <s v="TAPER ALEMAN 550ML. SOLIDO" u="1"/>
        <s v="in" u="1"/>
        <s v="PATRULLERO MILITAR" u="1"/>
        <s v="PANERA MANZANA" u="1"/>
        <s v="JARRA GRECIA 500ML. TRANSP." u="1"/>
        <s v="TAPA ORGANIZADOR DE 10KG GLITER" u="1"/>
        <s v="CHASIS GANADERO" u="1"/>
        <s v="JARRA GRECIA 500ML. CARAMELO" u="1"/>
        <s v="TAPA PARA GEL" u="1"/>
        <s v="TOMA TODO 350" u="1"/>
        <s v="SALSERO 300 ML." u="1"/>
        <s v=" CISTERNA AGUILA" u="1"/>
        <s v="CARRO VOLQUETE ANDINO" u="1"/>
        <s v="PUNTA DOBLE CLICK PASTEL" u="1"/>
        <s v="CARRO CAMION ANDINO C/GANADO" u="1"/>
        <s v="ALCANCIA BABY" u="1"/>
        <s v="TAPER CON COMPARTIMIENTO" u="1"/>
        <s v="JARRA PATTY" u="1"/>
        <s v="SALSERO IDEAL " u="1"/>
        <s v="TAPA TAZON REAL 7KG." u="1"/>
        <s v="ANIMALES TOROS GRANDES" u="1"/>
        <s v="ANIMALES GANADERO ANDINO" u="1"/>
        <s v="FLORERO ITALIANO CHICO" u="1"/>
        <s v="CHASIS DE CAMION GRANDE" u="1"/>
        <s v="ASA LATERAL DE ORGANIZADOR" u="1"/>
        <s v="ASAS CARGA ORG 5,10,15 SOLIDO" u="1"/>
        <s v="EMBUDO Nº1" u="1"/>
        <s v="CABEZA FABIOLA" u="1"/>
        <s v="SALSERO 600 ML." u="1"/>
        <s v="ANIMALES GANADERO" u="1"/>
        <s v="ANIMALITOS AGUILA" u="1"/>
        <s v="OLLA Y TETERA DANIELA" u="1"/>
        <s v="AROS DE LLANTAS GRANDES" u="1"/>
        <s v="FRUTERO CORONITA " u="1"/>
        <s v="SET DE COCINA JANET" u="1"/>
        <s v="ALCANCIA CHAVEZ" u="1"/>
        <s v="TAPER ALEMAN 1100ML. SOLIDO" u="1"/>
        <s v="TAPER ALEMAN 2800ML. SOLIDO" u="1"/>
        <s v="FLORERO PERSA" u="1"/>
        <s v="LLANTAS AGUILA" u="1"/>
        <s v="ACCESORIO PLAYERO MARINO" u="1"/>
        <s v="EJE CABALLO" u="1"/>
        <s v="CANSTA CANDY" u="1"/>
        <s v="COCINA JANETH" u="1"/>
        <s v="TAZAS DANIELA" u="1"/>
        <s v="SOLDADO COLORES" u="1"/>
        <s v="FLORERO DIAMANTE" u="1"/>
        <s v="COLADOR HOGAR SOLIDO" u="1"/>
        <s v="TAPA TAZON REAL 3.5KG." u="1"/>
        <s v="FLORERO ITALIANO CARAMELO" u="1"/>
        <s v="JARRA GRECIA 550ML" u="1"/>
        <s v="LANTAS ANDINO COLORES" u="1"/>
        <s v="LLANTAS CAMION GRANDE" u="1"/>
        <s v="ORRING ARGOLLA" u="1"/>
        <s v="TAPA DE TOMATODO ULTRA" u="1"/>
        <s v="PLATOS PATTY" u="1"/>
        <s v="ANIMALES ANDINO" u="1"/>
        <s v="ALCANCIA CONEJO MEDIANO" u="1"/>
        <s v="FLORERO ROMANO CARAMELO" u="1"/>
        <s v="ASAS CARGA ORG 5,10,15 NEON" u="1"/>
        <s v="ORGANIZADOR 3" u="1"/>
        <s v="FLORERO ROMANO" u="1"/>
        <s v="ANIMALES AGUILA" u="1"/>
        <s v="ROCEADOR ROLLITO" u="1"/>
        <s v="TOLVA VOLQUETE PANDA" u="1"/>
        <s v="ESCURRIDOR PORTAVAJILLA" u="1"/>
        <s v="PANERA MANAZANA" u="1"/>
        <s v="CORREA CASCO" u="1"/>
        <s v="CISTERNA PETROLERO" u="1"/>
        <s v="MANTEQUILLERO PATY" u="1"/>
        <s v="ALCANCIA PABLO CHICO" u="1"/>
        <s v="EXTREMIDADES FABIOLA" u="1"/>
        <s v="TAPA TAPER REDONDO CARAMELO" u="1"/>
        <s v="ACCESORIO PLAYERO TERRESTRE" u="1"/>
        <s v="LLANTAS DE CORDILLERANO" u="1"/>
        <s v="F. ITALIANO GRANDE CARAMELO" u="1"/>
        <s v="CUERNOS DE TOROS" u="1"/>
        <s v="JUEGO DE TE PATTY" u="1"/>
        <s v="SALSERO IDEAL 300ML " u="1"/>
        <s v="SALSERO PERITA 300 ML" u="1"/>
        <s v="CHASIS DE CORDILLERANO" u="1"/>
        <s v="PALA RASTRILLO MEDIEVAL" u="1"/>
        <s v="CUERNOS DE TORO CORDILLERANO" u="1"/>
        <s v="CANASTA FANNY" u="1"/>
        <s v="CABEZA CABALLO" u="1"/>
        <s v="TAPA DE JARRA 5Y6L" u="1"/>
        <s v="BASE PORTA VAJILLA CARAMELO" u="1"/>
        <s v="TAPA DE JARRA 1200ML" u="1"/>
        <s v="TAPAS CACEROLA JANETH" u="1"/>
        <s v="BASE ORGANIZADOR  DE 2KG PASTEL-LILA" u="1"/>
        <s v="TAPA JARRA 1200ML." u="1"/>
        <s v="ACCESORIOS PATRULLERO" u="1"/>
        <s v="BALDE PLAYERO CASTILLO" u="1"/>
        <s v="PORTA VAJILLA MUNDO HOGAR PASTEL" u="1"/>
        <s v="LLANTA AGUILA" u="1"/>
        <s v="HUEVO Y CHOCLO ANITA" u="1"/>
        <s v="ASA DE BALDE PLAYERO " u="1"/>
        <s v="MANGOS SARTEN Y CACEROLA JANETH" u="1"/>
        <s v="TAZAS PATTY" u="1"/>
        <s v="TETERA JANETH" u="1"/>
        <s v="JARRA REAL 6LT." u="1"/>
        <s v="SALSERO 480 ML." u="1"/>
        <s v="CONO CASTILLO PASTEL" u="1"/>
        <s v="TOMA TODO PULPIN Nº2" u="1"/>
        <s v="SALSERO REAL 300 ML" u="1"/>
        <s v="TAPA SALSEROS CLICK" u="1"/>
        <s v="JUEGO DE COCINA ANITA" u="1"/>
        <s v="TOLVA ANDINO " u="1"/>
        <s v="JARRA REAL 1.2LT." u="1"/>
        <s v="TAPER REDONDO 1500ML" u="1"/>
        <s v="ASAS DE CANASTA CANDY" u="1"/>
        <s v="FLORERO ROMANO PASTEL" u="1"/>
        <s v="TAPA JARRA 1200 PASTEL" u="1"/>
        <s v="BADE ORGANIZADOR  DE 3KG PASTEL-AZURE" u="1"/>
        <s v="TAPER ALEMAN 550ML" u="1"/>
        <s v="JARRA REAL 1200 ML." u="1"/>
        <s v="TAPER ALEMAN 550ML. TRANSP." u="1"/>
      </sharedItems>
    </cacheField>
    <cacheField name="Pieza-Color" numFmtId="0">
      <sharedItems containsBlank="1"/>
    </cacheField>
    <cacheField name="Coladas" numFmtId="0">
      <sharedItems containsString="0" containsBlank="1" containsNumber="1" minValue="8" maxValue="2819"/>
    </cacheField>
    <cacheField name="Horas Trab." numFmtId="0">
      <sharedItems containsString="0" containsBlank="1" containsNumber="1" containsInteger="1" minValue="1" maxValue="33"/>
    </cacheField>
    <cacheField name="Peso Real (Kg)" numFmtId="0">
      <sharedItems containsString="0" containsBlank="1" containsNumber="1" minValue="0.7" maxValue="468.6"/>
    </cacheField>
    <cacheField name="Turno" numFmtId="0">
      <sharedItems containsBlank="1"/>
    </cacheField>
    <cacheField name="Cantidad x Bulto" numFmtId="0">
      <sharedItems containsString="0" containsBlank="1" containsNumber="1" containsInteger="1" minValue="0" maxValue="240"/>
    </cacheField>
    <cacheField name="#Bultos" numFmtId="0">
      <sharedItems containsString="0" containsBlank="1" containsNumber="1" minValue="0" maxValue="71"/>
    </cacheField>
    <cacheField name="Nº OP" numFmtId="0">
      <sharedItems containsString="0" containsBlank="1" containsNumber="1" containsInteger="1" minValue="0" maxValue="2242"/>
    </cacheField>
    <cacheField name="#Doc. Registro" numFmtId="0">
      <sharedItems containsString="0" containsBlank="1" containsNumber="1" containsInteger="1" minValue="1000" maxValue="22613"/>
    </cacheField>
    <cacheField name="Color Merma" numFmtId="0">
      <sharedItems containsBlank="1" containsMixedTypes="1" containsNumber="1" containsInteger="1" minValue="0" maxValue="0"/>
    </cacheField>
    <cacheField name="Peso Merma" numFmtId="0">
      <sharedItems containsBlank="1" containsMixedTypes="1" containsNumber="1" minValue="0" maxValue="268"/>
    </cacheField>
    <cacheField name="Peso Chancaca" numFmtId="0">
      <sharedItems containsString="0" containsBlank="1" containsNumber="1" containsInteger="1" minValue="0" maxValue="0"/>
    </cacheField>
    <cacheField name="Fracion Virgen" numFmtId="0">
      <sharedItems containsString="0" containsBlank="1" containsNumber="1" containsInteger="1" minValue="0" maxValue="0"/>
    </cacheField>
    <cacheField name="Peso Aprox. (Kg)" numFmtId="0">
      <sharedItems containsBlank="1" containsMixedTypes="1" containsNumber="1" minValue="0.17" maxValue="450.84"/>
    </cacheField>
    <cacheField name="Peso (kg)" numFmtId="0">
      <sharedItems containsBlank="1" containsMixedTypes="1" containsNumber="1" minValue="0.7" maxValue="468.6"/>
    </cacheField>
    <cacheField name="Peso unitario (Gr)" numFmtId="0">
      <sharedItems containsBlank="1" containsMixedTypes="1" containsNumber="1" minValue="2.5" maxValue="520"/>
    </cacheField>
    <cacheField name="Cantidad Real" numFmtId="0">
      <sharedItems containsString="0" containsBlank="1" containsNumber="1" minValue="0" maxValue="41700"/>
    </cacheField>
    <cacheField name="MES" numFmtId="0">
      <sharedItems containsBlank="1" count="19">
        <s v="Enero"/>
        <s v="Febrero"/>
        <s v=""/>
        <s v="Abril"/>
        <s v="Mayo"/>
        <s v="Junio"/>
        <s v="Julio"/>
        <m/>
        <s v="Setiembre" u="1"/>
        <s v="01/03/203" u="1"/>
        <s v="Noviembre" u="1"/>
        <s v="Diciembre" u="1"/>
        <e v="#REF!" u="1"/>
        <s v="Octubre" u="1"/>
        <s v="NO HAY " u="1"/>
        <s v="15/04/203" u="1"/>
        <s v="20/16/2023" u="1"/>
        <s v="Marzo" u="1"/>
        <s v="Agosto" u="1"/>
      </sharedItems>
    </cacheField>
    <cacheField name="AÑO" numFmtId="0">
      <sharedItems containsBlank="1" count="13">
        <s v="2025"/>
        <s v=""/>
        <m/>
        <s v="01/03/203" u="1"/>
        <e v="#REF!" u="1"/>
        <s v="2024" u="1"/>
        <s v="NO HAY " u="1"/>
        <s v="15/04/203" u="1"/>
        <s v="20/16/2023" u="1"/>
        <s v="2023" u="1"/>
        <s v="2022" u="1"/>
        <s v="2021" u="1"/>
        <s v="2020" u="1"/>
      </sharedItems>
    </cacheField>
    <cacheField name="SEMANA" numFmtId="0">
      <sharedItems containsString="0" containsBlank="1" containsNumber="1" containsInteger="1" minValue="1" maxValue="31"/>
    </cacheField>
    <cacheField name="Cavidades" numFmtId="0">
      <sharedItems containsBlank="1" containsMixedTypes="1" containsNumber="1" containsInteger="1" minValue="1" maxValue="12"/>
    </cacheField>
    <cacheField name="DOC" numFmtId="0">
      <sharedItems containsBlank="1" containsMixedTypes="1" containsNumber="1" minValue="1.0833333333333333" maxValue="1739"/>
    </cacheField>
    <cacheField name=" Variacion" numFmtId="0" formula="'Peso Real (Kg)'-'Peso Aprox. (Kg)'" databaseField="0"/>
    <cacheField name="%Variacion" numFmtId="0" formula="' Variacion'/'Peso Real (Kg)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97.6304431713" createdVersion="5" refreshedVersion="8" minRefreshableVersion="3" recordCount="4594" xr:uid="{00000000-000A-0000-FFFF-FFFF02000000}">
  <cacheSource type="worksheet">
    <worksheetSource ref="A1:AE952405" sheet="PRODUCCION"/>
  </cacheSource>
  <cacheFields count="33">
    <cacheField name="Hora de Ingreso" numFmtId="0">
      <sharedItems containsNonDate="0" containsDate="1" containsString="0" containsBlank="1" minDate="2025-01-06T15:38:00" maxDate="2025-12-01T12:00:00"/>
    </cacheField>
    <cacheField name="Tipo Maq" numFmtId="0">
      <sharedItems containsBlank="1"/>
    </cacheField>
    <cacheField name="Maquina" numFmtId="0">
      <sharedItems containsBlank="1" count="48">
        <s v="HT 160 B"/>
        <s v="HT 200 A"/>
        <s v="HT 250 B"/>
        <s v="HT 250 C"/>
        <s v="HT 120 A"/>
        <s v="HT 160 A"/>
        <s v="HT 250 A"/>
        <s v="HT 320 A"/>
        <s v="HT 360 A"/>
        <s v="SOP-2B"/>
        <s v="HT 380 A"/>
        <s v="SOP-2A"/>
        <s v="SOP-2C"/>
        <s v="SOP-MC"/>
        <m/>
        <s v="SOPLADORA  C" u="1"/>
        <s v="SOP C" u="1"/>
        <s v="SOPLADORA MC" u="1"/>
        <s v=" HT 250 A" u="1"/>
        <s v="HT 160 A " u="1"/>
        <s v="SOP B" u="1"/>
        <s v="SOP M-C" u="1"/>
        <s v="HT 250 A " u="1"/>
        <s v="SOP AUTOM." u="1"/>
        <s v="HT 120A" u="1"/>
        <s v="SOP MC" u="1"/>
        <s v="SOP A" u="1"/>
        <s v="SOPLADORA C" u="1"/>
        <s v="SOP C " u="1"/>
        <s v="SOP2B" u="1"/>
        <s v="SOP 2A" u="1"/>
        <s v="SOPLADORA 2B" u="1"/>
        <s v="SOP 2B" u="1"/>
        <s v="SOP 2C" u="1"/>
        <s v=" HT 250 C" u="1"/>
        <s v=" " u="1"/>
        <s v="HT 320 A " u="1"/>
        <s v="HT 120 A " u="1"/>
        <s v="HT 250 C " u="1"/>
        <s v=" HT 250 B" u="1"/>
        <s v="SOPLADORA 2A" u="1"/>
        <s v="SOPLADORA  2B" u="1"/>
        <s v=" HT 200 A" u="1"/>
        <s v="HT160 A" u="1"/>
        <s v="HT 160 B " u="1"/>
        <s v="HT 200 A " u="1"/>
        <s v="HT160 B" u="1"/>
        <s v="HT 250 B " u="1"/>
      </sharedItems>
    </cacheField>
    <cacheField name="FECHA" numFmtId="0">
      <sharedItems containsDate="1" containsBlank="1" containsMixedTypes="1" minDate="2011-11-18T00:00:00" maxDate="2025-11-30T00:00:00" count="1782">
        <d v="2025-01-02T00:00:00"/>
        <d v="2025-01-03T00:00:00"/>
        <d v="2025-01-04T00:00:00"/>
        <d v="2025-01-05T00:00:00"/>
        <d v="2025-01-11T00:00:00"/>
        <d v="2025-01-13T00:00:00"/>
        <d v="2025-01-14T00:00:00"/>
        <d v="2025-01-27T00:00:00"/>
        <d v="2025-01-28T00:00:00"/>
        <d v="2025-01-15T00:00:00"/>
        <d v="2025-01-16T00:00:00"/>
        <d v="2025-01-17T00:00:00"/>
        <d v="2025-01-20T00:00:00"/>
        <d v="2025-01-21T00:00:00"/>
        <d v="2025-01-24T00:00:00"/>
        <d v="2025-01-25T00:00:00"/>
        <d v="2025-01-29T00:00:00"/>
        <d v="2025-01-30T00:00:00"/>
        <d v="2025-01-06T00:00:00"/>
        <d v="2025-01-07T00:00:00"/>
        <d v="2025-01-08T00:00:00"/>
        <d v="2025-01-09T00:00:00"/>
        <d v="2025-01-10T00:00:00"/>
        <d v="2025-01-18T00:00:00"/>
        <d v="2025-01-22T00:00:00"/>
        <d v="2025-01-23T00:00:00"/>
        <d v="2025-01-31T00:00:00"/>
        <d v="2025-01-19T00:00:00"/>
        <d v="2025-01-12T00:00:00"/>
        <d v="2025-01-26T00:00:00"/>
        <d v="2025-02-10T00:00:00"/>
        <d v="2025-02-11T00:00:00"/>
        <d v="2025-02-14T00:00:00"/>
        <d v="2025-02-15T00:00:00"/>
        <d v="2025-02-17T00:00:00"/>
        <d v="2025-02-04T00:00:00"/>
        <d v="2025-02-12T00:00:00"/>
        <d v="2025-02-13T00:00:00"/>
        <d v="2025-02-25T00:00:00"/>
        <d v="2025-02-27T00:00:00"/>
        <d v="2025-02-28T00:00:00"/>
        <d v="2025-02-01T00:00:00"/>
        <d v="2025-02-03T00:00:00"/>
        <d v="2025-02-18T00:00:00"/>
        <d v="2025-02-19T00:00:00"/>
        <d v="2025-02-24T00:00:00"/>
        <d v="2025-02-26T00:00:00"/>
        <d v="2025-02-05T00:00:00"/>
        <d v="2025-02-06T00:00:00"/>
        <d v="2025-02-07T00:00:00"/>
        <d v="2025-02-08T00:00:00"/>
        <d v="2025-02-20T00:00:00"/>
        <d v="2025-02-21T00:00:00"/>
        <d v="2025-02-22T00:00:00"/>
        <d v="2025-02-02T00:00:00"/>
        <m/>
        <d v="2025-02-23T00:00:00"/>
        <d v="2025-04-01T00:00:00"/>
        <d v="2025-04-03T00:00:00"/>
        <d v="2025-04-04T00:00:00"/>
        <d v="2025-04-23T00:00:00"/>
        <d v="2025-04-02T00:00:00"/>
        <d v="2025-04-05T00:00:00"/>
        <d v="2025-04-10T00:00:00"/>
        <d v="2025-04-11T00:00:00"/>
        <d v="2025-04-12T00:00:00"/>
        <d v="2025-04-14T00:00:00"/>
        <d v="2025-04-07T00:00:00"/>
        <d v="2025-04-08T00:00:00"/>
        <d v="2025-04-09T00:00:00"/>
        <d v="2025-04-15T00:00:00"/>
        <d v="2025-04-16T00:00:00"/>
        <d v="2025-04-17T00:00:00"/>
        <d v="2025-04-21T00:00:00"/>
        <d v="2025-04-22T00:00:00"/>
        <d v="2025-04-24T00:00:00"/>
        <d v="2025-04-25T00:00:00"/>
        <d v="2025-04-26T00:00:00"/>
        <d v="2025-04-28T00:00:00"/>
        <d v="2025-04-29T00:00:00"/>
        <d v="2025-04-30T00:00:00"/>
        <d v="2025-05-02T00:00:00"/>
        <d v="2025-05-05T00:00:00"/>
        <d v="2025-05-06T00:00:00"/>
        <d v="2025-05-13T00:00:00"/>
        <d v="2025-05-14T00:00:00"/>
        <d v="2025-05-15T00:00:00"/>
        <d v="2025-05-16T00:00:00"/>
        <d v="2025-05-17T00:00:00"/>
        <d v="2025-05-23T00:00:00"/>
        <d v="2025-05-24T00:00:00"/>
        <d v="2025-05-26T00:00:00"/>
        <d v="2025-05-27T00:00:00"/>
        <d v="2025-05-07T00:00:00"/>
        <d v="2025-05-08T00:00:00"/>
        <d v="2025-05-30T00:00:00"/>
        <d v="2025-05-09T00:00:00"/>
        <d v="2025-05-10T00:00:00"/>
        <d v="2025-05-19T00:00:00"/>
        <d v="2025-05-20T00:00:00"/>
        <d v="2025-05-21T00:00:00"/>
        <d v="2025-05-22T00:00:00"/>
        <d v="2025-05-28T00:00:00"/>
        <d v="2025-05-29T00:00:00"/>
        <d v="2025-05-01T00:00:00"/>
        <d v="2025-05-12T00:00:00"/>
        <d v="2025-05-31T00:00:00"/>
        <d v="2025-05-11T00:00:00"/>
        <d v="2025-05-18T00:00:00"/>
        <d v="2025-05-25T00:00:00"/>
        <d v="2025-05-04T00:00:00"/>
        <d v="2025-06-02T00:00:00"/>
        <d v="2025-06-07T00:00:00"/>
        <d v="2025-06-09T00:00:00"/>
        <d v="2025-06-16T00:00:00"/>
        <d v="2025-06-17T00:00:00"/>
        <d v="2025-06-18T00:00:00"/>
        <d v="2025-06-19T00:00:00"/>
        <d v="2025-06-20T00:00:00"/>
        <d v="2025-06-21T00:00:00"/>
        <d v="2025-06-28T00:00:00"/>
        <d v="2025-06-05T00:00:00"/>
        <d v="2025-06-06T00:00:00"/>
        <d v="2025-06-25T00:00:00"/>
        <d v="2025-06-26T00:00:00"/>
        <d v="2025-06-27T00:00:00"/>
        <d v="2025-06-13T00:00:00"/>
        <d v="2025-06-14T00:00:00"/>
        <d v="2025-06-24T00:00:00"/>
        <d v="2025-06-30T00:00:00"/>
        <d v="2025-06-03T00:00:00"/>
        <d v="2025-06-04T00:00:00"/>
        <d v="2025-06-10T00:00:00"/>
        <d v="2025-06-11T00:00:00"/>
        <d v="2025-06-12T00:00:00"/>
        <d v="2025-06-15T00:00:00"/>
        <d v="2025-06-23T00:00:00"/>
        <d v="2025-06-01T00:00:00"/>
        <d v="2025-06-08T00:00:00"/>
        <d v="2025-06-22T00:00:00"/>
        <d v="2025-06-29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31T00:00:00"/>
        <d v="2025-07-01T00:00:00"/>
        <d v="2025-07-02T00:00:00"/>
        <d v="2025-07-24T00:00:00"/>
        <d v="2025-07-25T00:00:00"/>
        <d v="2025-07-26T00:00:00"/>
        <d v="2025-07-27T00:00:00"/>
        <d v="2025-07-21T00:00:00"/>
        <d v="2025-07-22T00:00:00"/>
        <d v="2025-07-23T00:00:00"/>
        <d v="2025-07-03T00:00:00"/>
        <d v="2025-07-16T00:00:00"/>
        <d v="2025-07-17T00:00:00"/>
        <d v="2025-07-18T00:00:00"/>
        <d v="2025-07-19T00:00:00"/>
        <d v="2025-07-28T00:00:00"/>
        <d v="2025-07-29T00:00:00"/>
        <d v="2025-07-30T00:00:00"/>
        <d v="2025-07-13T00:00:00"/>
        <d v="2025-07-20T00:00:00"/>
        <d v="2025-08-01T00:00:00"/>
        <d v="2025-08-02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04T00:00:00"/>
        <d v="2025-08-05T00:00:00"/>
        <d v="2025-08-06T00:00:00"/>
        <d v="2025-08-07T00:00:00"/>
        <d v="2025-08-08T00:00:00"/>
        <d v="2025-08-09T00:00:00"/>
        <d v="2025-08-19T00:00:00"/>
        <d v="2025-08-03T00:00:00"/>
        <d v="2025-08-10T00:00:00"/>
        <d v="2025-08-20T00:00:00"/>
        <d v="2025-08-21T00:00:00"/>
        <d v="2025-08-22T00:00:00"/>
        <d v="2025-08-29T00:00:00"/>
        <d v="2025-08-23T00:00:00"/>
        <d v="2025-08-25T00:00:00"/>
        <d v="2025-08-26T00:00:00"/>
        <d v="2025-08-27T00:00:00"/>
        <d v="2025-08-28T00:00:00"/>
        <d v="2025-08-30T00:00:00"/>
        <d v="2025-08-17T00:00:00"/>
        <d v="2025-08-24T00:00:00"/>
        <d v="2025-09-09T00:00:00"/>
        <d v="2025-09-22T00:00:00"/>
        <d v="2025-09-16T00:00:00"/>
        <d v="2025-09-17T00:00:00"/>
        <d v="2025-09-18T00:00:00"/>
        <d v="2025-09-19T00:00:00"/>
        <d v="2025-09-20T00:00:00"/>
        <d v="2025-09-23T00:00:00"/>
        <d v="2025-09-24T00:00:00"/>
        <d v="2025-09-25T00:00:00"/>
        <d v="2025-09-29T00:00:00"/>
        <d v="2025-09-30T00:00:00"/>
        <d v="2025-09-01T00:00:00"/>
        <d v="2025-09-02T00:00:00"/>
        <d v="2025-09-03T00:00:00"/>
        <d v="2025-09-05T00:00:00"/>
        <d v="2025-09-06T00:00:00"/>
        <d v="2025-09-07T00:00:00"/>
        <d v="2025-09-08T00:00:00"/>
        <d v="2025-09-12T00:00:00"/>
        <d v="2025-09-04T00:00:00"/>
        <d v="2025-09-10T00:00:00"/>
        <d v="2025-09-11T00:00:00"/>
        <d v="2025-09-13T00:00:00"/>
        <d v="2025-09-15T00:00:00"/>
        <d v="2025-09-27T00:00:00"/>
        <d v="2025-09-26T00:00:00"/>
        <d v="2025-09-28T00:00:00"/>
        <d v="2025-09-14T00:00:00"/>
        <s v=" 20/09/2025"/>
        <d v="2025-10-06T00:00:00"/>
        <d v="2025-10-07T00:00:00"/>
        <d v="2025-10-08T00:00:00"/>
        <d v="2025-10-09T00:00:00"/>
        <d v="2025-10-10T00:00:00"/>
        <d v="2025-10-11T00:00:00"/>
        <d v="2025-10-13T00:00:00"/>
        <d v="2025-10-14T00:00:00"/>
        <d v="2025-10-16T00:00:00"/>
        <d v="2025-10-17T00:00:00"/>
        <d v="2025-10-18T00:00:00"/>
        <d v="2025-10-20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0-04T00:00:00"/>
        <d v="2025-10-05T00:00:00"/>
        <d v="2025-10-01T00:00:00"/>
        <d v="2025-10-02T00:00:00"/>
        <d v="2025-10-03T00:00:00"/>
        <d v="2025-10-21T00:00:00"/>
        <d v="2025-10-22T00:00:00"/>
        <d v="2025-10-23T00:00:00"/>
        <d v="2025-10-15T00:00:00"/>
        <s v=" 06/10/2025"/>
        <d v="2025-10-12T00:00:00"/>
        <d v="2025-10-19T00:00:00"/>
        <d v="2025-10-26T00:00:00"/>
        <d v="2025-11-08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01T00:00:00"/>
        <d v="2025-11-03T00:00:00"/>
        <d v="2025-11-02T00:00:00"/>
        <d v="2025-11-04T00:00:00"/>
        <d v="2025-11-05T00:00:00"/>
        <d v="2025-11-06T00:00:00"/>
        <d v="2025-11-07T00:00:00"/>
        <d v="2025-11-15T00:00:00"/>
        <d v="2025-11-19T00:00:00"/>
        <d v="2025-11-16T00:00:00"/>
        <d v="2025-11-09T00:00:00"/>
        <d v="2025-11-20T00:00:00"/>
        <d v="2025-11-21T00:00:00"/>
        <d v="2025-11-22T00:00:00"/>
        <d v="2025-11-24T00:00:00"/>
        <d v="2025-11-27T00:00:00"/>
        <d v="2025-11-25T00:00:00"/>
        <d v="2025-11-26T00:00:00"/>
        <d v="2025-11-28T00:00:00"/>
        <d v="2025-11-29T00:00:00"/>
        <d v="2020-09-29T00:00:00" u="1"/>
        <d v="2021-09-29T00:00:00" u="1"/>
        <d v="2020-10-25T00:00:00" u="1"/>
        <d v="2022-09-29T00:00:00" u="1"/>
        <d v="2021-10-25T00:00:00" u="1"/>
        <d v="2023-09-29T00:00:00" u="1"/>
        <d v="2020-11-21T00:00:00" u="1"/>
        <d v="2022-10-25T00:00:00" u="1"/>
        <d v="2021-11-21T00:00:00" u="1"/>
        <d v="2023-10-25T00:00:00" u="1"/>
        <d v="2020-12-17T00:00:00" u="1"/>
        <d v="2021-12-17T00:00:00" u="1"/>
        <d v="2023-11-21T00:00:00" u="1"/>
        <d v="2022-12-17T00:00:00" u="1"/>
        <d v="2023-12-17T00:00:00" u="1"/>
        <d v="2024-12-17T00:00:00" u="1"/>
        <d v="2020-10-27T00:00:00" u="1"/>
        <d v="2021-10-27T00:00:00" u="1"/>
        <d v="2020-11-23T00:00:00" u="1"/>
        <d v="2022-10-27T00:00:00" u="1"/>
        <d v="2021-11-23T00:00:00" u="1"/>
        <d v="2023-10-27T00:00:00" u="1"/>
        <d v="2020-12-19T00:00:00" u="1"/>
        <d v="2021-12-19T00:00:00" u="1"/>
        <d v="2023-11-23T00:00:00" u="1"/>
        <d v="2022-12-19T00:00:00" u="1"/>
        <d v="2023-12-19T00:00:00" u="1"/>
        <d v="2020-10-29T00:00:00" u="1"/>
        <d v="2021-10-29T00:00:00" u="1"/>
        <d v="2020-11-25T00:00:00" u="1"/>
        <d v="2022-10-29T00:00:00" u="1"/>
        <d v="2021-11-25T00:00:00" u="1"/>
        <d v="2023-10-29T00:00:00" u="1"/>
        <d v="2020-12-21T00:00:00" u="1"/>
        <d v="2021-12-21T00:00:00" u="1"/>
        <d v="2023-11-25T00:00:00" u="1"/>
        <d v="2023-12-21T00:00:00" u="1"/>
        <d v="2024-12-21T00:00:00" u="1"/>
        <d v="2020-01-02T00:00:00" u="1"/>
        <d v="2021-01-02T00:00:00" u="1"/>
        <d v="2022-01-02T00:00:00" u="1"/>
        <d v="2024-01-02T00:00:00" u="1"/>
        <d v="2020-10-31T00:00:00" u="1"/>
        <d v="2021-10-31T00:00:00" u="1"/>
        <d v="2020-11-27T00:00:00" u="1"/>
        <d v="2022-10-31T00:00:00" u="1"/>
        <d v="2021-11-27T00:00:00" u="1"/>
        <d v="2023-10-31T00:00:00" u="1"/>
        <d v="2020-12-23T00:00:00" u="1"/>
        <d v="2021-12-23T00:00:00" u="1"/>
        <d v="2023-11-27T00:00:00" u="1"/>
        <d v="2023-12-23T00:00:00" u="1"/>
        <d v="2024-12-23T00:00:00" u="1"/>
        <d v="2020-01-04T00:00:00" u="1"/>
        <d v="2021-01-04T00:00:00" u="1"/>
        <d v="2022-01-04T00:00:00" u="1"/>
        <d v="2023-01-04T00:00:00" u="1"/>
        <d v="2024-01-04T00:00:00" u="1"/>
        <d v="2020-11-29T00:00:00" u="1"/>
        <d v="2021-11-29T00:00:00" u="1"/>
        <d v="2023-11-29T00:00:00" u="1"/>
        <d v="2020-01-06T00:00:00" u="1"/>
        <d v="2021-01-06T00:00:00" u="1"/>
        <d v="2020-02-02T00:00:00" u="1"/>
        <d v="2022-01-06T00:00:00" u="1"/>
        <d v="2021-02-02T00:00:00" u="1"/>
        <d v="2023-01-06T00:00:00" u="1"/>
        <d v="2022-02-02T00:00:00" u="1"/>
        <d v="2024-01-06T00:00:00" u="1"/>
        <d v="2023-02-02T00:00:00" u="1"/>
        <d v="2024-02-02T00:00:00" u="1"/>
        <d v="2020-12-27T00:00:00" u="1"/>
        <d v="2021-12-27T00:00:00" u="1"/>
        <d v="2023-12-27T00:00:00" u="1"/>
        <d v="2020-01-08T00:00:00" u="1"/>
        <d v="2021-01-08T00:00:00" u="1"/>
        <d v="2020-02-04T00:00:00" u="1"/>
        <d v="2022-01-08T00:00:00" u="1"/>
        <d v="2021-02-04T00:00:00" u="1"/>
        <d v="2022-02-04T00:00:00" u="1"/>
        <d v="2024-01-08T00:00:00" u="1"/>
        <d v="2023-02-04T00:00:00" u="1"/>
        <d v="2020-12-29T00:00:00" u="1"/>
        <d v="2021-12-29T00:00:00" u="1"/>
        <d v="2023-12-29T00:00:00" u="1"/>
        <d v="2020-01-10T00:00:00" u="1"/>
        <d v="2021-01-10T00:00:00" u="1"/>
        <d v="2020-02-06T00:00:00" u="1"/>
        <d v="2022-01-10T00:00:00" u="1"/>
        <d v="2021-02-06T00:00:00" u="1"/>
        <d v="2023-01-10T00:00:00" u="1"/>
        <d v="2020-03-02T00:00:00" u="1"/>
        <d v="2022-02-06T00:00:00" u="1"/>
        <d v="2024-01-10T00:00:00" u="1"/>
        <d v="2021-03-02T00:00:00" u="1"/>
        <d v="2023-02-06T00:00:00" u="1"/>
        <d v="2022-03-02T00:00:00" u="1"/>
        <d v="2024-02-06T00:00:00" u="1"/>
        <d v="2023-03-02T00:00:00" u="1"/>
        <d v="2024-03-02T00:00:00" u="1"/>
        <d v="2020-12-31T00:00:00" u="1"/>
        <d v="2021-12-31T00:00:00" u="1"/>
        <d v="2023-12-31T00:00:00" u="1"/>
        <d v="2020-01-12T00:00:00" u="1"/>
        <d v="2021-01-12T00:00:00" u="1"/>
        <d v="2020-02-08T00:00:00" u="1"/>
        <d v="2022-01-12T00:00:00" u="1"/>
        <d v="2021-02-08T00:00:00" u="1"/>
        <d v="2023-01-12T00:00:00" u="1"/>
        <d v="2020-03-04T00:00:00" u="1"/>
        <d v="2022-02-08T00:00:00" u="1"/>
        <d v="2024-01-12T00:00:00" u="1"/>
        <d v="2021-03-04T00:00:00" u="1"/>
        <d v="2023-02-08T00:00:00" u="1"/>
        <d v="2022-03-04T00:00:00" u="1"/>
        <d v="2024-02-08T00:00:00" u="1"/>
        <d v="2023-03-04T00:00:00" u="1"/>
        <d v="2024-03-04T00:00:00" u="1"/>
        <d v="2020-01-14T00:00:00" u="1"/>
        <d v="2021-01-14T00:00:00" u="1"/>
        <d v="2020-02-10T00:00:00" u="1"/>
        <d v="2022-01-14T00:00:00" u="1"/>
        <d v="2021-02-10T00:00:00" u="1"/>
        <d v="2023-01-14T00:00:00" u="1"/>
        <d v="2020-03-06T00:00:00" u="1"/>
        <d v="2022-02-10T00:00:00" u="1"/>
        <d v="2024-01-14T00:00:00" u="1"/>
        <d v="2021-03-06T00:00:00" u="1"/>
        <d v="2023-02-10T00:00:00" u="1"/>
        <d v="2022-03-06T00:00:00" u="1"/>
        <d v="2024-02-10T00:00:00" u="1"/>
        <d v="2023-03-06T00:00:00" u="1"/>
        <d v="2022-04-02T00:00:00" u="1"/>
        <d v="2024-03-06T00:00:00" u="1"/>
        <d v="2023-04-02T00:00:00" u="1"/>
        <d v="2024-04-02T00:00:00" u="1"/>
        <d v="2020-01-16T00:00:00" u="1"/>
        <d v="2021-01-16T00:00:00" u="1"/>
        <d v="2020-02-12T00:00:00" u="1"/>
        <d v="2022-01-16T00:00:00" u="1"/>
        <d v="2021-02-12T00:00:00" u="1"/>
        <d v="2023-01-16T00:00:00" u="1"/>
        <d v="2022-02-12T00:00:00" u="1"/>
        <d v="2024-01-16T00:00:00" u="1"/>
        <d v="2021-03-08T00:00:00" u="1"/>
        <d v="2023-02-12T00:00:00" u="1"/>
        <d v="2022-03-08T00:00:00" u="1"/>
        <d v="2024-02-12T00:00:00" u="1"/>
        <d v="2021-04-04T00:00:00" u="1"/>
        <d v="2023-03-08T00:00:00" u="1"/>
        <d v="2022-04-04T00:00:00" u="1"/>
        <d v="2024-03-08T00:00:00" u="1"/>
        <d v="2023-04-04T00:00:00" u="1"/>
        <d v="2024-04-04T00:00:00" u="1"/>
        <d v="2020-01-18T00:00:00" u="1"/>
        <d v="2021-01-18T00:00:00" u="1"/>
        <d v="2020-02-14T00:00:00" u="1"/>
        <d v="2022-01-18T00:00:00" u="1"/>
        <d v="2021-02-14T00:00:00" u="1"/>
        <d v="2023-01-18T00:00:00" u="1"/>
        <d v="2020-03-10T00:00:00" u="1"/>
        <d v="2022-02-14T00:00:00" u="1"/>
        <d v="2024-01-18T00:00:00" u="1"/>
        <d v="2021-03-10T00:00:00" u="1"/>
        <d v="2023-02-14T00:00:00" u="1"/>
        <d v="2022-03-10T00:00:00" u="1"/>
        <d v="2024-02-14T00:00:00" u="1"/>
        <d v="2021-04-06T00:00:00" u="1"/>
        <d v="2023-03-10T00:00:00" u="1"/>
        <d v="2022-04-06T00:00:00" u="1"/>
        <d v="2024-03-10T00:00:00" u="1"/>
        <d v="2021-05-02T00:00:00" u="1"/>
        <d v="2023-04-06T00:00:00" u="1"/>
        <d v="2022-05-02T00:00:00" u="1"/>
        <d v="2024-04-06T00:00:00" u="1"/>
        <d v="2023-05-02T00:00:00" u="1"/>
        <d v="2024-05-02T00:00:00" u="1"/>
        <d v="2020-01-20T00:00:00" u="1"/>
        <d v="2021-01-20T00:00:00" u="1"/>
        <d v="2020-02-16T00:00:00" u="1"/>
        <d v="2022-01-20T00:00:00" u="1"/>
        <d v="2021-02-16T00:00:00" u="1"/>
        <d v="2023-01-20T00:00:00" u="1"/>
        <d v="2020-03-12T00:00:00" u="1"/>
        <d v="2022-02-16T00:00:00" u="1"/>
        <d v="2024-01-20T00:00:00" u="1"/>
        <d v="2021-03-12T00:00:00" u="1"/>
        <d v="2023-02-16T00:00:00" u="1"/>
        <d v="2022-03-12T00:00:00" u="1"/>
        <d v="2024-02-16T00:00:00" u="1"/>
        <d v="2021-04-08T00:00:00" u="1"/>
        <d v="2023-03-12T00:00:00" u="1"/>
        <d v="2022-04-08T00:00:00" u="1"/>
        <d v="2024-03-12T00:00:00" u="1"/>
        <d v="2021-05-04T00:00:00" u="1"/>
        <d v="2022-05-04T00:00:00" u="1"/>
        <d v="2024-04-08T00:00:00" u="1"/>
        <d v="2023-05-04T00:00:00" u="1"/>
        <d v="2024-05-04T00:00:00" u="1"/>
        <d v="2020-01-22T00:00:00" u="1"/>
        <d v="2021-01-22T00:00:00" u="1"/>
        <d v="2020-02-18T00:00:00" u="1"/>
        <d v="2022-01-22T00:00:00" u="1"/>
        <d v="2021-02-18T00:00:00" u="1"/>
        <d v="2023-01-22T00:00:00" u="1"/>
        <d v="2020-03-14T00:00:00" u="1"/>
        <d v="2022-02-18T00:00:00" u="1"/>
        <d v="2024-01-22T00:00:00" u="1"/>
        <d v="2021-03-14T00:00:00" u="1"/>
        <d v="2023-02-18T00:00:00" u="1"/>
        <d v="2022-03-14T00:00:00" u="1"/>
        <d v="2021-04-10T00:00:00" u="1"/>
        <d v="2023-03-14T00:00:00" u="1"/>
        <d v="2022-04-10T00:00:00" u="1"/>
        <d v="2024-03-14T00:00:00" u="1"/>
        <d v="2021-05-06T00:00:00" u="1"/>
        <d v="2023-04-10T00:00:00" u="1"/>
        <d v="2020-06-02T00:00:00" u="1"/>
        <d v="2022-05-06T00:00:00" u="1"/>
        <d v="2024-04-10T00:00:00" u="1"/>
        <d v="2021-06-02T00:00:00" u="1"/>
        <d v="2023-05-06T00:00:00" u="1"/>
        <d v="2022-06-02T00:00:00" u="1"/>
        <d v="2024-05-06T00:00:00" u="1"/>
        <d v="2023-06-02T00:00:00" u="1"/>
        <d v="2020-01-24T00:00:00" u="1"/>
        <d v="2021-01-24T00:00:00" u="1"/>
        <d v="2020-02-20T00:00:00" u="1"/>
        <d v="2022-01-24T00:00:00" u="1"/>
        <d v="2021-02-20T00:00:00" u="1"/>
        <d v="2023-01-24T00:00:00" u="1"/>
        <d v="2020-03-16T00:00:00" u="1"/>
        <d v="2022-02-20T00:00:00" u="1"/>
        <d v="2024-01-24T00:00:00" u="1"/>
        <d v="2021-03-16T00:00:00" u="1"/>
        <d v="2023-02-20T00:00:00" u="1"/>
        <d v="2022-03-16T00:00:00" u="1"/>
        <d v="2024-02-20T00:00:00" u="1"/>
        <d v="2021-04-12T00:00:00" u="1"/>
        <d v="2023-03-16T00:00:00" u="1"/>
        <d v="2022-04-12T00:00:00" u="1"/>
        <d v="2024-03-16T00:00:00" u="1"/>
        <d v="2021-05-08T00:00:00" u="1"/>
        <d v="2023-04-12T00:00:00" u="1"/>
        <d v="2020-06-04T00:00:00" u="1"/>
        <d v="2022-05-08T00:00:00" u="1"/>
        <d v="2024-04-12T00:00:00" u="1"/>
        <d v="2021-06-04T00:00:00" u="1"/>
        <d v="2023-05-08T00:00:00" u="1"/>
        <d v="2022-06-04T00:00:00" u="1"/>
        <d v="2024-05-08T00:00:00" u="1"/>
        <d v="2024-06-04T00:00:00" u="1"/>
        <d v="2020-01-26T00:00:00" u="1"/>
        <d v="2021-01-26T00:00:00" u="1"/>
        <d v="2020-02-22T00:00:00" u="1"/>
        <d v="2022-01-26T00:00:00" u="1"/>
        <d v="2021-02-22T00:00:00" u="1"/>
        <d v="2023-01-26T00:00:00" u="1"/>
        <d v="2020-03-18T00:00:00" u="1"/>
        <d v="2022-02-22T00:00:00" u="1"/>
        <d v="2024-01-26T00:00:00" u="1"/>
        <d v="2021-03-18T00:00:00" u="1"/>
        <d v="2023-02-22T00:00:00" u="1"/>
        <d v="2022-03-18T00:00:00" u="1"/>
        <d v="2024-02-22T00:00:00" u="1"/>
        <d v="2021-04-14T00:00:00" u="1"/>
        <d v="2023-03-18T00:00:00" u="1"/>
        <d v="2022-04-14T00:00:00" u="1"/>
        <d v="2024-03-18T00:00:00" u="1"/>
        <d v="2021-05-10T00:00:00" u="1"/>
        <d v="2023-04-14T00:00:00" u="1"/>
        <d v="2020-06-06T00:00:00" u="1"/>
        <d v="2022-05-10T00:00:00" u="1"/>
        <d v="2024-04-14T00:00:00" u="1"/>
        <d v="2021-06-06T00:00:00" u="1"/>
        <d v="2023-05-10T00:00:00" u="1"/>
        <d v="2020-07-02T00:00:00" u="1"/>
        <d v="2022-06-06T00:00:00" u="1"/>
        <d v="2024-05-10T00:00:00" u="1"/>
        <d v="2021-07-02T00:00:00" u="1"/>
        <d v="2023-06-06T00:00:00" u="1"/>
        <d v="2022-07-02T00:00:00" u="1"/>
        <d v="2024-06-06T00:00:00" u="1"/>
        <d v="2024-07-02T00:00:00" u="1"/>
        <d v="2020-01-28T00:00:00" u="1"/>
        <d v="2021-01-28T00:00:00" u="1"/>
        <d v="2020-02-24T00:00:00" u="1"/>
        <d v="2022-01-28T00:00:00" u="1"/>
        <d v="2021-02-24T00:00:00" u="1"/>
        <d v="2023-01-28T00:00:00" u="1"/>
        <d v="2020-03-20T00:00:00" u="1"/>
        <d v="2022-02-24T00:00:00" u="1"/>
        <d v="2024-01-28T00:00:00" u="1"/>
        <d v="2021-03-20T00:00:00" u="1"/>
        <d v="2023-02-24T00:00:00" u="1"/>
        <d v="2022-03-20T00:00:00" u="1"/>
        <d v="2024-02-24T00:00:00" u="1"/>
        <d v="2021-04-16T00:00:00" u="1"/>
        <d v="2023-03-20T00:00:00" u="1"/>
        <d v="2020-05-12T00:00:00" u="1"/>
        <d v="2024-03-20T00:00:00" u="1"/>
        <d v="2021-05-12T00:00:00" u="1"/>
        <d v="2023-04-16T00:00:00" u="1"/>
        <d v="2020-06-08T00:00:00" u="1"/>
        <d v="2022-05-12T00:00:00" u="1"/>
        <d v="2024-04-16T00:00:00" u="1"/>
        <d v="2021-06-08T00:00:00" u="1"/>
        <d v="2023-05-12T00:00:00" u="1"/>
        <d v="2020-07-04T00:00:00" u="1"/>
        <d v="2022-06-08T00:00:00" u="1"/>
        <d v="2024-05-12T00:00:00" u="1"/>
        <d v="2021-07-04T00:00:00" u="1"/>
        <d v="2023-06-08T00:00:00" u="1"/>
        <d v="2022-07-04T00:00:00" u="1"/>
        <d v="2024-06-08T00:00:00" u="1"/>
        <d v="2023-07-04T00:00:00" u="1"/>
        <d v="2024-07-04T00:00:00" u="1"/>
        <d v="2020-01-30T00:00:00" u="1"/>
        <d v="2021-01-30T00:00:00" u="1"/>
        <d v="2020-02-26T00:00:00" u="1"/>
        <d v="2022-01-30T00:00:00" u="1"/>
        <d v="2021-02-26T00:00:00" u="1"/>
        <d v="2023-01-30T00:00:00" u="1"/>
        <d v="2022-02-26T00:00:00" u="1"/>
        <d v="2024-01-30T00:00:00" u="1"/>
        <d v="2021-03-22T00:00:00" u="1"/>
        <d v="2023-02-26T00:00:00" u="1"/>
        <d v="2022-03-22T00:00:00" u="1"/>
        <d v="2024-02-26T00:00:00" u="1"/>
        <d v="2021-04-18T00:00:00" u="1"/>
        <d v="2023-03-22T00:00:00" u="1"/>
        <d v="2020-05-14T00:00:00" u="1"/>
        <d v="2022-04-18T00:00:00" u="1"/>
        <d v="2024-03-22T00:00:00" u="1"/>
        <d v="2021-05-14T00:00:00" u="1"/>
        <d v="2023-04-18T00:00:00" u="1"/>
        <d v="2020-06-10T00:00:00" u="1"/>
        <d v="2022-05-14T00:00:00" u="1"/>
        <d v="2024-04-18T00:00:00" u="1"/>
        <d v="2021-06-10T00:00:00" u="1"/>
        <d v="2023-05-14T00:00:00" u="1"/>
        <d v="2020-07-06T00:00:00" u="1"/>
        <d v="2022-06-10T00:00:00" u="1"/>
        <d v="2024-05-14T00:00:00" u="1"/>
        <d v="2021-07-06T00:00:00" u="1"/>
        <d v="2023-06-10T00:00:00" u="1"/>
        <d v="2022-07-06T00:00:00" u="1"/>
        <d v="2024-06-10T00:00:00" u="1"/>
        <d v="2021-08-02T00:00:00" u="1"/>
        <d v="2023-07-06T00:00:00" u="1"/>
        <d v="2022-08-02T00:00:00" u="1"/>
        <d v="2024-07-06T00:00:00" u="1"/>
        <d v="2023-08-02T00:00:00" u="1"/>
        <d v="2020-02-28T00:00:00" u="1"/>
        <d v="2021-02-28T00:00:00" u="1"/>
        <d v="2022-02-28T00:00:00" u="1"/>
        <d v="2021-03-24T00:00:00" u="1"/>
        <d v="2023-02-28T00:00:00" u="1"/>
        <d v="2022-03-24T00:00:00" u="1"/>
        <d v="2024-02-28T00:00:00" u="1"/>
        <d v="2021-04-20T00:00:00" u="1"/>
        <d v="2023-03-24T00:00:00" u="1"/>
        <d v="2020-05-16T00:00:00" u="1"/>
        <d v="2022-04-20T00:00:00" u="1"/>
        <d v="2024-03-24T00:00:00" u="1"/>
        <d v="2021-05-16T00:00:00" u="1"/>
        <d v="2023-04-20T00:00:00" u="1"/>
        <d v="2020-06-12T00:00:00" u="1"/>
        <d v="2022-05-16T00:00:00" u="1"/>
        <d v="2024-04-20T00:00:00" u="1"/>
        <d v="2021-06-12T00:00:00" u="1"/>
        <d v="2023-05-16T00:00:00" u="1"/>
        <d v="2020-07-08T00:00:00" u="1"/>
        <d v="2024-05-16T00:00:00" u="1"/>
        <d v="2021-07-08T00:00:00" u="1"/>
        <d v="2023-06-12T00:00:00" u="1"/>
        <d v="2020-08-04T00:00:00" u="1"/>
        <d v="2022-07-08T00:00:00" u="1"/>
        <d v="2024-06-12T00:00:00" u="1"/>
        <d v="2021-08-04T00:00:00" u="1"/>
        <d v="2023-07-08T00:00:00" u="1"/>
        <d v="2022-08-04T00:00:00" u="1"/>
        <d v="2024-07-08T00:00:00" u="1"/>
        <d v="2023-08-04T00:00:00" u="1"/>
        <d v="2015-06-14T00:00:00" u="1"/>
        <d v="2021-03-26T00:00:00" u="1"/>
        <d v="2022-03-26T00:00:00" u="1"/>
        <d v="2021-04-22T00:00:00" u="1"/>
        <d v="2023-03-26T00:00:00" u="1"/>
        <d v="2020-05-18T00:00:00" u="1"/>
        <d v="2022-04-22T00:00:00" u="1"/>
        <d v="2024-03-26T00:00:00" u="1"/>
        <d v="2021-05-18T00:00:00" u="1"/>
        <d v="2023-04-22T00:00:00" u="1"/>
        <d v="2022-05-18T00:00:00" u="1"/>
        <d v="2024-04-22T00:00:00" u="1"/>
        <d v="2021-06-14T00:00:00" u="1"/>
        <d v="2023-05-18T00:00:00" u="1"/>
        <d v="2020-07-10T00:00:00" u="1"/>
        <d v="2022-06-14T00:00:00" u="1"/>
        <d v="2024-05-18T00:00:00" u="1"/>
        <d v="2021-07-10T00:00:00" u="1"/>
        <d v="2023-06-14T00:00:00" u="1"/>
        <d v="2020-08-06T00:00:00" u="1"/>
        <d v="2022-07-10T00:00:00" u="1"/>
        <d v="2024-06-14T00:00:00" u="1"/>
        <d v="2021-08-06T00:00:00" u="1"/>
        <d v="2023-07-10T00:00:00" u="1"/>
        <d v="2020-09-02T00:00:00" u="1"/>
        <d v="2022-08-06T00:00:00" u="1"/>
        <d v="2024-07-10T00:00:00" u="1"/>
        <d v="2021-09-02T00:00:00" u="1"/>
        <d v="2022-09-02T00:00:00" u="1"/>
        <d v="2023-09-02T00:00:00" u="1"/>
        <d v="2024-09-02T00:00:00" u="1"/>
        <d v="2021-03-28T00:00:00" u="1"/>
        <d v="2022-03-28T00:00:00" u="1"/>
        <d v="2021-04-24T00:00:00" u="1"/>
        <d v="2023-03-28T00:00:00" u="1"/>
        <d v="2020-05-20T00:00:00" u="1"/>
        <d v="2022-04-24T00:00:00" u="1"/>
        <d v="2024-03-28T00:00:00" u="1"/>
        <d v="2021-05-20T00:00:00" u="1"/>
        <d v="2023-04-24T00:00:00" u="1"/>
        <d v="2020-06-16T00:00:00" u="1"/>
        <d v="2022-05-20T00:00:00" u="1"/>
        <d v="2024-04-24T00:00:00" u="1"/>
        <d v="2021-06-16T00:00:00" u="1"/>
        <d v="2023-05-20T00:00:00" u="1"/>
        <d v="2022-06-16T00:00:00" u="1"/>
        <d v="2024-05-20T00:00:00" u="1"/>
        <d v="2021-07-12T00:00:00" u="1"/>
        <d v="2023-06-16T00:00:00" u="1"/>
        <d v="2020-08-08T00:00:00" u="1"/>
        <d v="2022-07-12T00:00:00" u="1"/>
        <d v="2021-08-08T00:00:00" u="1"/>
        <d v="2023-07-12T00:00:00" u="1"/>
        <d v="2020-09-04T00:00:00" u="1"/>
        <d v="2022-08-08T00:00:00" u="1"/>
        <d v="2024-07-12T00:00:00" u="1"/>
        <d v="2021-09-04T00:00:00" u="1"/>
        <d v="2023-08-08T00:00:00" u="1"/>
        <d v="2023-09-04T00:00:00" u="1"/>
        <d v="2024-09-04T00:00:00" u="1"/>
        <d v="2021-03-30T00:00:00" u="1"/>
        <d v="2022-03-30T00:00:00" u="1"/>
        <d v="2021-04-26T00:00:00" u="1"/>
        <d v="2023-03-30T00:00:00" u="1"/>
        <d v="2020-05-22T00:00:00" u="1"/>
        <d v="2022-04-26T00:00:00" u="1"/>
        <d v="2021-05-22T00:00:00" u="1"/>
        <d v="2023-04-26T00:00:00" u="1"/>
        <d v="2020-06-18T00:00:00" u="1"/>
        <d v="2022-05-22T00:00:00" u="1"/>
        <d v="2024-04-26T00:00:00" u="1"/>
        <d v="2021-06-18T00:00:00" u="1"/>
        <d v="2023-05-22T00:00:00" u="1"/>
        <d v="2020-07-14T00:00:00" u="1"/>
        <d v="2022-06-18T00:00:00" u="1"/>
        <d v="2024-05-22T00:00:00" u="1"/>
        <d v="2021-07-14T00:00:00" u="1"/>
        <d v="2023-06-18T00:00:00" u="1"/>
        <d v="2020-08-10T00:00:00" u="1"/>
        <d v="2022-07-14T00:00:00" u="1"/>
        <d v="2024-06-18T00:00:00" u="1"/>
        <d v="2021-08-10T00:00:00" u="1"/>
        <d v="2023-07-14T00:00:00" u="1"/>
        <d v="2022-08-10T00:00:00" u="1"/>
        <d v="2021-09-06T00:00:00" u="1"/>
        <d v="2023-08-10T00:00:00" u="1"/>
        <d v="2020-10-02T00:00:00" u="1"/>
        <d v="2022-09-06T00:00:00" u="1"/>
        <d v="2021-10-02T00:00:00" u="1"/>
        <d v="2023-09-06T00:00:00" u="1"/>
        <d v="2022-10-02T00:00:00" u="1"/>
        <d v="2024-09-06T00:00:00" u="1"/>
        <d v="2023-10-02T00:00:00" u="1"/>
        <d v="2021-04-28T00:00:00" u="1"/>
        <d v="2022-04-28T00:00:00" u="1"/>
        <d v="2021-05-24T00:00:00" u="1"/>
        <d v="2023-04-28T00:00:00" u="1"/>
        <d v="2020-06-20T00:00:00" u="1"/>
        <d v="2022-05-24T00:00:00" u="1"/>
        <d v="2024-04-28T00:00:00" u="1"/>
        <d v="2023-05-24T00:00:00" u="1"/>
        <d v="2020-07-16T00:00:00" u="1"/>
        <d v="2022-06-20T00:00:00" u="1"/>
        <d v="2024-05-24T00:00:00" u="1"/>
        <d v="2021-07-16T00:00:00" u="1"/>
        <d v="2023-06-20T00:00:00" u="1"/>
        <d v="2020-08-12T00:00:00" u="1"/>
        <d v="2022-07-16T00:00:00" u="1"/>
        <d v="2024-06-20T00:00:00" u="1"/>
        <d v="2021-08-12T00:00:00" u="1"/>
        <d v="2020-09-08T00:00:00" u="1"/>
        <d v="2022-08-12T00:00:00" u="1"/>
        <d v="2021-09-08T00:00:00" u="1"/>
        <d v="2023-08-12T00:00:00" u="1"/>
        <d v="2020-10-04T00:00:00" u="1"/>
        <d v="2021-10-04T00:00:00" u="1"/>
        <d v="2023-09-08T00:00:00" u="1"/>
        <d v="2022-10-04T00:00:00" u="1"/>
        <d v="2023-10-04T00:00:00" u="1"/>
        <d v="2021-04-30T00:00:00" u="1"/>
        <d v="2020-05-26T00:00:00" u="1"/>
        <d v="2022-04-30T00:00:00" u="1"/>
        <d v="2021-05-26T00:00:00" u="1"/>
        <d v="2023-04-30T00:00:00" u="1"/>
        <d v="2020-06-22T00:00:00" u="1"/>
        <d v="2022-05-26T00:00:00" u="1"/>
        <d v="2024-04-30T00:00:00" u="1"/>
        <d v="2021-06-22T00:00:00" u="1"/>
        <d v="2023-05-26T00:00:00" u="1"/>
        <d v="2020-07-18T00:00:00" u="1"/>
        <d v="2022-06-22T00:00:00" u="1"/>
        <d v="2024-05-26T00:00:00" u="1"/>
        <d v="2021-07-18T00:00:00" u="1"/>
        <d v="2023-06-22T00:00:00" u="1"/>
        <d v="2020-08-14T00:00:00" u="1"/>
        <d v="2022-07-18T00:00:00" u="1"/>
        <d v="2024-06-22T00:00:00" u="1"/>
        <d v="2021-08-14T00:00:00" u="1"/>
        <d v="2023-07-18T00:00:00" u="1"/>
        <d v="2020-09-10T00:00:00" u="1"/>
        <d v="2021-09-10T00:00:00" u="1"/>
        <d v="2023-08-14T00:00:00" u="1"/>
        <d v="2020-10-06T00:00:00" u="1"/>
        <d v="2022-09-10T00:00:00" u="1"/>
        <d v="2021-10-06T00:00:00" u="1"/>
        <d v="2023-09-10T00:00:00" u="1"/>
        <d v="2020-11-02T00:00:00" u="1"/>
        <d v="2022-10-06T00:00:00" u="1"/>
        <d v="2024-09-10T00:00:00" u="1"/>
        <d v="2021-11-02T00:00:00" u="1"/>
        <d v="2023-10-06T00:00:00" u="1"/>
        <d v="2023-11-02T00:00:00" u="1"/>
        <d v="2020-05-28T00:00:00" u="1"/>
        <d v="2021-05-28T00:00:00" u="1"/>
        <d v="2020-06-24T00:00:00" u="1"/>
        <d v="2022-05-28T00:00:00" u="1"/>
        <d v="2021-06-24T00:00:00" u="1"/>
        <d v="2023-05-28T00:00:00" u="1"/>
        <d v="2020-07-20T00:00:00" u="1"/>
        <d v="2022-06-24T00:00:00" u="1"/>
        <d v="2024-05-28T00:00:00" u="1"/>
        <d v="2021-07-20T00:00:00" u="1"/>
        <d v="2023-06-24T00:00:00" u="1"/>
        <d v="2022-07-20T00:00:00" u="1"/>
        <d v="2024-06-24T00:00:00" u="1"/>
        <d v="2021-08-16T00:00:00" u="1"/>
        <d v="2023-07-20T00:00:00" u="1"/>
        <d v="2020-09-12T00:00:00" u="1"/>
        <d v="2022-08-16T00:00:00" u="1"/>
        <d v="2021-09-12T00:00:00" u="1"/>
        <d v="2023-08-16T00:00:00" u="1"/>
        <d v="2020-10-08T00:00:00" u="1"/>
        <d v="2022-09-12T00:00:00" u="1"/>
        <d v="2021-10-08T00:00:00" u="1"/>
        <d v="2023-09-12T00:00:00" u="1"/>
        <d v="2020-11-04T00:00:00" u="1"/>
        <d v="2022-10-08T00:00:00" u="1"/>
        <d v="2024-09-12T00:00:00" u="1"/>
        <d v="2021-11-04T00:00:00" u="1"/>
        <d v="2023-11-04T00:00:00" u="1"/>
        <d v="2020-05-30T00:00:00" u="1"/>
        <d v="2021-05-30T00:00:00" u="1"/>
        <d v="2020-06-26T00:00:00" u="1"/>
        <d v="2022-05-30T00:00:00" u="1"/>
        <d v="2021-06-26T00:00:00" u="1"/>
        <d v="2023-05-30T00:00:00" u="1"/>
        <d v="2020-07-22T00:00:00" u="1"/>
        <d v="2022-06-26T00:00:00" u="1"/>
        <d v="2024-05-30T00:00:00" u="1"/>
        <d v="2021-07-22T00:00:00" u="1"/>
        <d v="2023-06-26T00:00:00" u="1"/>
        <d v="2020-08-18T00:00:00" u="1"/>
        <d v="2022-07-22T00:00:00" u="1"/>
        <d v="2024-06-26T00:00:00" u="1"/>
        <d v="2021-08-18T00:00:00" u="1"/>
        <d v="2023-07-22T00:00:00" u="1"/>
        <d v="2020-09-14T00:00:00" u="1"/>
        <d v="2022-08-18T00:00:00" u="1"/>
        <d v="2021-09-14T00:00:00" u="1"/>
        <d v="2023-08-18T00:00:00" u="1"/>
        <d v="2020-10-10T00:00:00" u="1"/>
        <d v="2022-09-14T00:00:00" u="1"/>
        <d v="2021-10-10T00:00:00" u="1"/>
        <d v="2023-09-14T00:00:00" u="1"/>
        <d v="2020-11-06T00:00:00" u="1"/>
        <d v="2022-10-10T00:00:00" u="1"/>
        <d v="2024-09-14T00:00:00" u="1"/>
        <d v="2021-11-06T00:00:00" u="1"/>
        <d v="2023-10-10T00:00:00" u="1"/>
        <d v="2020-12-02T00:00:00" u="1"/>
        <d v="2021-12-02T00:00:00" u="1"/>
        <d v="2023-11-06T00:00:00" u="1"/>
        <d v="2022-12-02T00:00:00" u="1"/>
        <d v="2023-12-02T00:00:00" u="1"/>
        <d v="2021-06-28T00:00:00" u="1"/>
        <d v="2020-07-24T00:00:00" u="1"/>
        <d v="2022-06-28T00:00:00" u="1"/>
        <d v="2021-07-24T00:00:00" u="1"/>
        <d v="2023-06-28T00:00:00" u="1"/>
        <d v="2020-08-20T00:00:00" u="1"/>
        <d v="2022-07-24T00:00:00" u="1"/>
        <d v="2024-06-28T00:00:00" u="1"/>
        <d v="2021-08-20T00:00:00" u="1"/>
        <d v="2023-07-24T00:00:00" u="1"/>
        <d v="2020-09-16T00:00:00" u="1"/>
        <d v="2022-08-20T00:00:00" u="1"/>
        <d v="2021-09-16T00:00:00" u="1"/>
        <d v="2023-08-20T00:00:00" u="1"/>
        <d v="2020-10-12T00:00:00" u="1"/>
        <d v="2022-09-16T00:00:00" u="1"/>
        <d v="2021-10-12T00:00:00" u="1"/>
        <d v="2023-09-16T00:00:00" u="1"/>
        <d v="2022-10-12T00:00:00" u="1"/>
        <d v="2024-09-16T00:00:00" u="1"/>
        <d v="2021-11-08T00:00:00" u="1"/>
        <d v="2023-10-12T00:00:00" u="1"/>
        <d v="2020-12-04T00:00:00" u="1"/>
        <d v="2021-12-04T00:00:00" u="1"/>
        <d v="2023-11-08T00:00:00" u="1"/>
        <d v="2023-12-04T00:00:00" u="1"/>
        <d v="2020-06-30T00:00:00" u="1"/>
        <d v="2021-06-30T00:00:00" u="1"/>
        <d v="2022-06-30T00:00:00" u="1"/>
        <d v="2021-07-26T00:00:00" u="1"/>
        <d v="2023-06-30T00:00:00" u="1"/>
        <d v="2020-08-22T00:00:00" u="1"/>
        <d v="2022-07-26T00:00:00" u="1"/>
        <d v="2024-06-30T00:00:00" u="1"/>
        <d v="2021-08-22T00:00:00" u="1"/>
        <d v="2023-07-26T00:00:00" u="1"/>
        <d v="2020-09-18T00:00:00" u="1"/>
        <d v="2022-08-22T00:00:00" u="1"/>
        <d v="2021-09-18T00:00:00" u="1"/>
        <d v="2023-08-22T00:00:00" u="1"/>
        <d v="2020-10-14T00:00:00" u="1"/>
        <d v="2021-10-14T00:00:00" u="1"/>
        <d v="2023-09-18T00:00:00" u="1"/>
        <d v="2020-11-10T00:00:00" u="1"/>
        <d v="2022-10-14T00:00:00" u="1"/>
        <d v="2024-09-18T00:00:00" u="1"/>
        <d v="2021-11-10T00:00:00" u="1"/>
        <d v="2023-10-14T00:00:00" u="1"/>
        <d v="2020-12-06T00:00:00" u="1"/>
        <d v="2021-12-06T00:00:00" u="1"/>
        <d v="2023-11-10T00:00:00" u="1"/>
        <d v="2022-12-06T00:00:00" u="1"/>
        <d v="2023-12-06T00:00:00" u="1"/>
        <d v="2024-12-06T00:00:00" u="1"/>
        <d v="2021-07-28T00:00:00" u="1"/>
        <d v="2020-08-24T00:00:00" u="1"/>
        <d v="2022-07-28T00:00:00" u="1"/>
        <d v="2021-08-24T00:00:00" u="1"/>
        <d v="2022-08-24T00:00:00" u="1"/>
        <d v="2021-09-20T00:00:00" u="1"/>
        <d v="2023-08-24T00:00:00" u="1"/>
        <d v="2020-10-16T00:00:00" u="1"/>
        <d v="2022-09-20T00:00:00" u="1"/>
        <d v="2021-10-16T00:00:00" u="1"/>
        <d v="2023-09-20T00:00:00" u="1"/>
        <d v="2020-11-12T00:00:00" u="1"/>
        <d v="2022-10-16T00:00:00" u="1"/>
        <d v="2024-09-20T00:00:00" u="1"/>
        <d v="2021-11-12T00:00:00" u="1"/>
        <d v="2023-10-16T00:00:00" u="1"/>
        <d v="2020-12-08T00:00:00" u="1"/>
        <d v="2021-12-08T00:00:00" u="1"/>
        <d v="2022-12-08T00:00:00" u="1"/>
        <d v="2023-12-08T00:00:00" u="1"/>
        <d v="2020-07-30T00:00:00" u="1"/>
        <d v="2021-07-30T00:00:00" u="1"/>
        <d v="2020-08-26T00:00:00" u="1"/>
        <d v="2021-08-26T00:00:00" u="1"/>
        <d v="2020-09-22T00:00:00" u="1"/>
        <d v="2022-08-26T00:00:00" u="1"/>
        <d v="2021-09-22T00:00:00" u="1"/>
        <d v="2023-08-26T00:00:00" u="1"/>
        <d v="2020-10-18T00:00:00" u="1"/>
        <d v="2022-09-22T00:00:00" u="1"/>
        <d v="2021-10-18T00:00:00" u="1"/>
        <d v="2023-09-22T00:00:00" u="1"/>
        <d v="2020-11-14T00:00:00" u="1"/>
        <d v="2022-10-18T00:00:00" u="1"/>
        <d v="2021-11-14T00:00:00" u="1"/>
        <d v="2023-10-18T00:00:00" u="1"/>
        <d v="2020-12-10T00:00:00" u="1"/>
        <d v="2021-12-10T00:00:00" u="1"/>
        <d v="2023-11-14T00:00:00" u="1"/>
        <d v="2022-12-10T00:00:00" u="1"/>
        <d v="2020-08-28T00:00:00" u="1"/>
        <d v="2021-08-28T00:00:00" u="1"/>
        <d v="2020-09-24T00:00:00" u="1"/>
        <d v="2021-09-24T00:00:00" u="1"/>
        <d v="2023-08-28T00:00:00" u="1"/>
        <d v="2020-10-20T00:00:00" u="1"/>
        <d v="2022-09-24T00:00:00" u="1"/>
        <d v="2021-10-20T00:00:00" u="1"/>
        <d v="2023-09-24T00:00:00" u="1"/>
        <d v="2020-11-16T00:00:00" u="1"/>
        <d v="2022-10-20T00:00:00" u="1"/>
        <d v="2024-09-24T00:00:00" u="1"/>
        <d v="2021-11-16T00:00:00" u="1"/>
        <d v="2023-10-20T00:00:00" u="1"/>
        <d v="2020-12-12T00:00:00" u="1"/>
        <d v="2021-12-12T00:00:00" u="1"/>
        <d v="2023-11-16T00:00:00" u="1"/>
        <d v="2022-12-12T00:00:00" u="1"/>
        <d v="2023-12-12T00:00:00" u="1"/>
        <d v="2011-11-18T00:00:00" u="1"/>
        <d v="2021-08-30T00:00:00" u="1"/>
        <d v="2020-09-26T00:00:00" u="1"/>
        <d v="2021-09-26T00:00:00" u="1"/>
        <d v="2023-08-30T00:00:00" u="1"/>
        <d v="2020-10-22T00:00:00" u="1"/>
        <d v="2022-09-26T00:00:00" u="1"/>
        <d v="2021-10-22T00:00:00" u="1"/>
        <d v="2023-09-26T00:00:00" u="1"/>
        <d v="2020-11-18T00:00:00" u="1"/>
        <d v="2022-10-22T00:00:00" u="1"/>
        <d v="2021-11-18T00:00:00" u="1"/>
        <d v="2023-10-22T00:00:00" u="1"/>
        <d v="2020-12-14T00:00:00" u="1"/>
        <d v="2021-12-14T00:00:00" u="1"/>
        <d v="2023-11-18T00:00:00" u="1"/>
        <d v="2022-12-14T00:00:00" u="1"/>
        <d v="2023-12-14T00:00:00" u="1"/>
        <s v=" 02/09/2025" u="1"/>
        <d v="2020-09-28T00:00:00" u="1"/>
        <d v="2021-09-28T00:00:00" u="1"/>
        <d v="2020-10-24T00:00:00" u="1"/>
        <d v="2022-09-28T00:00:00" u="1"/>
        <d v="2021-10-24T00:00:00" u="1"/>
        <d v="2023-09-28T00:00:00" u="1"/>
        <d v="2020-11-20T00:00:00" u="1"/>
        <d v="2022-10-24T00:00:00" u="1"/>
        <d v="2024-09-28T00:00:00" u="1"/>
        <d v="2021-11-20T00:00:00" u="1"/>
        <d v="2023-10-24T00:00:00" u="1"/>
        <d v="2020-12-16T00:00:00" u="1"/>
        <d v="2021-12-16T00:00:00" u="1"/>
        <d v="2023-11-20T00:00:00" u="1"/>
        <d v="2023-12-16T00:00:00" u="1"/>
        <d v="2024-12-16T00:00:00" u="1"/>
        <d v="2020-09-30T00:00:00" u="1"/>
        <d v="2021-09-30T00:00:00" u="1"/>
        <d v="2020-10-26T00:00:00" u="1"/>
        <d v="2022-09-30T00:00:00" u="1"/>
        <d v="2021-10-26T00:00:00" u="1"/>
        <d v="2023-09-30T00:00:00" u="1"/>
        <d v="2020-11-22T00:00:00" u="1"/>
        <d v="2022-10-26T00:00:00" u="1"/>
        <d v="2021-11-22T00:00:00" u="1"/>
        <d v="2023-10-26T00:00:00" u="1"/>
        <d v="2020-12-18T00:00:00" u="1"/>
        <d v="2021-12-18T00:00:00" u="1"/>
        <d v="2023-11-22T00:00:00" u="1"/>
        <d v="2023-12-18T00:00:00" u="1"/>
        <d v="2024-12-18T00:00:00" u="1"/>
        <d v="2020-10-28T00:00:00" u="1"/>
        <d v="2021-10-28T00:00:00" u="1"/>
        <d v="2020-11-24T00:00:00" u="1"/>
        <d v="2022-10-28T00:00:00" u="1"/>
        <d v="2021-11-24T00:00:00" u="1"/>
        <d v="2023-10-28T00:00:00" u="1"/>
        <d v="2020-12-20T00:00:00" u="1"/>
        <d v="2021-12-20T00:00:00" u="1"/>
        <d v="2023-11-24T00:00:00" u="1"/>
        <d v="2023-12-20T00:00:00" u="1"/>
        <d v="2021-01-01T00:00:00" u="1"/>
        <d v="2020-10-30T00:00:00" u="1"/>
        <d v="2021-10-30T00:00:00" u="1"/>
        <d v="2020-11-26T00:00:00" u="1"/>
        <d v="2022-10-30T00:00:00" u="1"/>
        <d v="2021-11-26T00:00:00" u="1"/>
        <d v="2023-10-30T00:00:00" u="1"/>
        <d v="2020-12-22T00:00:00" u="1"/>
        <d v="2021-12-22T00:00:00" u="1"/>
        <d v="2023-11-26T00:00:00" u="1"/>
        <d v="2023-12-22T00:00:00" u="1"/>
        <d v="2020-01-03T00:00:00" u="1"/>
        <d v="2021-01-03T00:00:00" u="1"/>
        <d v="2022-01-03T00:00:00" u="1"/>
        <d v="2023-01-03T00:00:00" u="1"/>
        <d v="2024-01-03T00:00:00" u="1"/>
        <d v="2020-11-28T00:00:00" u="1"/>
        <d v="2021-11-28T00:00:00" u="1"/>
        <d v="2020-12-24T00:00:00" u="1"/>
        <d v="2021-12-24T00:00:00" u="1"/>
        <d v="2023-11-28T00:00:00" u="1"/>
        <d v="2020-01-05T00:00:00" u="1"/>
        <d v="2021-01-05T00:00:00" u="1"/>
        <d v="2020-02-01T00:00:00" u="1"/>
        <d v="2022-01-05T00:00:00" u="1"/>
        <d v="2021-02-01T00:00:00" u="1"/>
        <d v="2023-01-05T00:00:00" u="1"/>
        <d v="2022-02-01T00:00:00" u="1"/>
        <d v="2024-01-05T00:00:00" u="1"/>
        <d v="2023-02-01T00:00:00" u="1"/>
        <d v="2024-02-01T00:00:00" u="1"/>
        <d v="2020-11-30T00:00:00" u="1"/>
        <d v="2021-11-30T00:00:00" u="1"/>
        <d v="2020-12-26T00:00:00" u="1"/>
        <d v="2023-11-30T00:00:00" u="1"/>
        <d v="2023-12-26T00:00:00" u="1"/>
        <d v="2020-01-07T00:00:00" u="1"/>
        <d v="2021-01-07T00:00:00" u="1"/>
        <d v="2020-02-03T00:00:00" u="1"/>
        <d v="2022-01-07T00:00:00" u="1"/>
        <d v="2021-02-03T00:00:00" u="1"/>
        <d v="2023-01-07T00:00:00" u="1"/>
        <d v="2022-02-03T00:00:00" u="1"/>
        <d v="2024-01-07T00:00:00" u="1"/>
        <d v="2023-02-03T00:00:00" u="1"/>
        <d v="2024-02-03T00:00:00" u="1"/>
        <d v="2020-12-28T00:00:00" u="1"/>
        <d v="2021-12-28T00:00:00" u="1"/>
        <d v="2023-12-28T00:00:00" u="1"/>
        <d v="2020-01-09T00:00:00" u="1"/>
        <d v="2021-01-09T00:00:00" u="1"/>
        <d v="2020-02-05T00:00:00" u="1"/>
        <d v="2022-01-09T00:00:00" u="1"/>
        <d v="2021-02-05T00:00:00" u="1"/>
        <d v="2023-01-09T00:00:00" u="1"/>
        <d v="2022-02-05T00:00:00" u="1"/>
        <d v="2024-01-09T00:00:00" u="1"/>
        <d v="2021-03-01T00:00:00" u="1"/>
        <d v="2023-02-05T00:00:00" u="1"/>
        <d v="2022-03-01T00:00:00" u="1"/>
        <d v="2024-02-05T00:00:00" u="1"/>
        <d v="2023-03-01T00:00:00" u="1"/>
        <d v="2024-03-01T00:00:00" u="1"/>
        <d v="2020-12-30T00:00:00" u="1"/>
        <d v="2021-12-30T00:00:00" u="1"/>
        <d v="2023-12-30T00:00:00" u="1"/>
        <d v="2020-01-11T00:00:00" u="1"/>
        <d v="2021-01-11T00:00:00" u="1"/>
        <d v="2020-02-07T00:00:00" u="1"/>
        <d v="2022-01-11T00:00:00" u="1"/>
        <d v="2023-01-11T00:00:00" u="1"/>
        <d v="2020-03-03T00:00:00" u="1"/>
        <d v="2022-02-07T00:00:00" u="1"/>
        <d v="2024-01-11T00:00:00" u="1"/>
        <d v="2021-03-03T00:00:00" u="1"/>
        <d v="2023-02-07T00:00:00" u="1"/>
        <d v="2022-03-03T00:00:00" u="1"/>
        <d v="2024-02-07T00:00:00" u="1"/>
        <d v="2023-03-03T00:00:00" u="1"/>
        <d v="2020-01-13T00:00:00" u="1"/>
        <d v="2021-01-13T00:00:00" u="1"/>
        <d v="2022-01-13T00:00:00" u="1"/>
        <d v="2021-02-09T00:00:00" u="1"/>
        <d v="2023-01-13T00:00:00" u="1"/>
        <d v="2020-03-05T00:00:00" u="1"/>
        <d v="2022-02-09T00:00:00" u="1"/>
        <d v="2024-01-13T00:00:00" u="1"/>
        <d v="2021-03-05T00:00:00" u="1"/>
        <d v="2023-02-09T00:00:00" u="1"/>
        <d v="2022-03-05T00:00:00" u="1"/>
        <d v="2024-02-09T00:00:00" u="1"/>
        <d v="2022-04-01T00:00:00" u="1"/>
        <d v="2024-03-05T00:00:00" u="1"/>
        <d v="2023-04-01T00:00:00" u="1"/>
        <d v="2024-04-01T00:00:00" u="1"/>
        <d v="2020-01-15T00:00:00" u="1"/>
        <d v="2021-01-15T00:00:00" u="1"/>
        <d v="2020-02-11T00:00:00" u="1"/>
        <d v="2022-01-15T00:00:00" u="1"/>
        <d v="2021-02-11T00:00:00" u="1"/>
        <d v="2023-01-15T00:00:00" u="1"/>
        <d v="2020-03-07T00:00:00" u="1"/>
        <d v="2022-02-11T00:00:00" u="1"/>
        <d v="2024-01-15T00:00:00" u="1"/>
        <d v="2021-03-07T00:00:00" u="1"/>
        <d v="2023-02-11T00:00:00" u="1"/>
        <d v="2022-03-07T00:00:00" u="1"/>
        <d v="2021-04-03T00:00:00" u="1"/>
        <d v="2023-03-07T00:00:00" u="1"/>
        <d v="2024-03-07T00:00:00" u="1"/>
        <d v="2023-04-03T00:00:00" u="1"/>
        <d v="2024-04-03T00:00:00" u="1"/>
        <d v="2020-01-17T00:00:00" u="1"/>
        <d v="2021-01-17T00:00:00" u="1"/>
        <d v="2020-02-13T00:00:00" u="1"/>
        <d v="2022-01-17T00:00:00" u="1"/>
        <d v="2021-02-13T00:00:00" u="1"/>
        <d v="2023-01-17T00:00:00" u="1"/>
        <d v="2020-03-09T00:00:00" u="1"/>
        <d v="2024-01-17T00:00:00" u="1"/>
        <d v="2021-03-09T00:00:00" u="1"/>
        <d v="2023-02-13T00:00:00" u="1"/>
        <d v="2022-03-09T00:00:00" u="1"/>
        <d v="2024-02-13T00:00:00" u="1"/>
        <d v="2021-04-05T00:00:00" u="1"/>
        <d v="2023-03-09T00:00:00" u="1"/>
        <d v="2022-04-05T00:00:00" u="1"/>
        <d v="2024-03-09T00:00:00" u="1"/>
        <d v="2023-04-05T00:00:00" u="1"/>
        <d v="2022-05-01T00:00:00" u="1"/>
        <d v="2024-04-05T00:00:00" u="1"/>
        <d v="2024-05-01T00:00:00" u="1"/>
        <d v="2020-01-19T00:00:00" u="1"/>
        <d v="2021-01-19T00:00:00" u="1"/>
        <d v="2020-02-15T00:00:00" u="1"/>
        <d v="2022-01-19T00:00:00" u="1"/>
        <d v="2021-02-15T00:00:00" u="1"/>
        <d v="2023-01-19T00:00:00" u="1"/>
        <d v="2020-03-11T00:00:00" u="1"/>
        <d v="2022-02-15T00:00:00" u="1"/>
        <d v="2024-01-19T00:00:00" u="1"/>
        <d v="2021-03-11T00:00:00" u="1"/>
        <d v="2023-02-15T00:00:00" u="1"/>
        <d v="2022-03-11T00:00:00" u="1"/>
        <d v="2024-02-15T00:00:00" u="1"/>
        <d v="2021-04-07T00:00:00" u="1"/>
        <d v="2023-03-11T00:00:00" u="1"/>
        <d v="2022-04-07T00:00:00" u="1"/>
        <d v="2024-03-11T00:00:00" u="1"/>
        <d v="2021-05-03T00:00:00" u="1"/>
        <d v="2022-05-03T00:00:00" u="1"/>
        <d v="2024-04-07T00:00:00" u="1"/>
        <d v="2023-05-03T00:00:00" u="1"/>
        <d v="2024-05-03T00:00:00" u="1"/>
        <d v="2020-01-21T00:00:00" u="1"/>
        <d v="2021-01-21T00:00:00" u="1"/>
        <d v="2020-02-17T00:00:00" u="1"/>
        <d v="2022-01-21T00:00:00" u="1"/>
        <d v="2021-02-17T00:00:00" u="1"/>
        <d v="2023-01-21T00:00:00" u="1"/>
        <d v="2020-03-13T00:00:00" u="1"/>
        <d v="2022-02-17T00:00:00" u="1"/>
        <d v="2024-01-21T00:00:00" u="1"/>
        <d v="2021-03-13T00:00:00" u="1"/>
        <d v="2023-02-17T00:00:00" u="1"/>
        <d v="2022-03-13T00:00:00" u="1"/>
        <d v="2024-02-17T00:00:00" u="1"/>
        <d v="2021-04-09T00:00:00" u="1"/>
        <d v="2023-03-13T00:00:00" u="1"/>
        <d v="2022-04-09T00:00:00" u="1"/>
        <d v="2024-03-13T00:00:00" u="1"/>
        <d v="2021-05-05T00:00:00" u="1"/>
        <d v="2020-06-01T00:00:00" u="1"/>
        <d v="2022-05-05T00:00:00" u="1"/>
        <d v="2024-04-09T00:00:00" u="1"/>
        <d v="2021-06-01T00:00:00" u="1"/>
        <d v="2023-05-05T00:00:00" u="1"/>
        <d v="2022-06-01T00:00:00" u="1"/>
        <d v="2023-06-01T00:00:00" u="1"/>
        <d v="2024-06-01T00:00:00" u="1"/>
        <d v="2020-01-23T00:00:00" u="1"/>
        <d v="2021-01-23T00:00:00" u="1"/>
        <d v="2020-02-19T00:00:00" u="1"/>
        <d v="2022-01-23T00:00:00" u="1"/>
        <d v="2021-02-19T00:00:00" u="1"/>
        <d v="2023-01-23T00:00:00" u="1"/>
        <d v="2022-02-19T00:00:00" u="1"/>
        <d v="2024-01-23T00:00:00" u="1"/>
        <d v="2021-03-15T00:00:00" u="1"/>
        <d v="2023-02-19T00:00:00" u="1"/>
        <d v="2022-03-15T00:00:00" u="1"/>
        <d v="2024-02-19T00:00:00" u="1"/>
        <d v="2021-04-11T00:00:00" u="1"/>
        <d v="2023-03-15T00:00:00" u="1"/>
        <d v="2022-04-11T00:00:00" u="1"/>
        <d v="2024-03-15T00:00:00" u="1"/>
        <d v="2021-05-07T00:00:00" u="1"/>
        <d v="2023-04-11T00:00:00" u="1"/>
        <d v="2020-06-03T00:00:00" u="1"/>
        <d v="2022-05-07T00:00:00" u="1"/>
        <d v="2024-04-11T00:00:00" u="1"/>
        <d v="2021-06-03T00:00:00" u="1"/>
        <d v="2023-05-07T00:00:00" u="1"/>
        <d v="2022-06-03T00:00:00" u="1"/>
        <d v="2024-05-07T00:00:00" u="1"/>
        <d v="2023-06-03T00:00:00" u="1"/>
        <d v="2024-06-03T00:00:00" u="1"/>
        <d v="2020-01-25T00:00:00" u="1"/>
        <d v="2021-01-25T00:00:00" u="1"/>
        <d v="2020-02-21T00:00:00" u="1"/>
        <d v="2022-01-25T00:00:00" u="1"/>
        <d v="2021-02-21T00:00:00" u="1"/>
        <d v="2023-01-25T00:00:00" u="1"/>
        <d v="2020-03-17T00:00:00" u="1"/>
        <d v="2022-02-21T00:00:00" u="1"/>
        <d v="2024-01-25T00:00:00" u="1"/>
        <d v="2021-03-17T00:00:00" u="1"/>
        <d v="2023-02-21T00:00:00" u="1"/>
        <d v="2022-03-17T00:00:00" u="1"/>
        <d v="2024-02-21T00:00:00" u="1"/>
        <d v="2021-04-13T00:00:00" u="1"/>
        <d v="2023-03-17T00:00:00" u="1"/>
        <d v="2022-04-13T00:00:00" u="1"/>
        <d v="2024-03-17T00:00:00" u="1"/>
        <d v="2021-05-09T00:00:00" u="1"/>
        <d v="2023-04-13T00:00:00" u="1"/>
        <d v="2020-06-05T00:00:00" u="1"/>
        <d v="2022-05-09T00:00:00" u="1"/>
        <d v="2024-04-13T00:00:00" u="1"/>
        <d v="2021-06-05T00:00:00" u="1"/>
        <d v="2023-05-09T00:00:00" u="1"/>
        <d v="2020-07-01T00:00:00" u="1"/>
        <d v="2022-06-05T00:00:00" u="1"/>
        <d v="2024-05-09T00:00:00" u="1"/>
        <d v="2021-07-01T00:00:00" u="1"/>
        <d v="2023-06-05T00:00:00" u="1"/>
        <d v="2022-07-01T00:00:00" u="1"/>
        <d v="2024-06-05T00:00:00" u="1"/>
        <d v="2023-07-01T00:00:00" u="1"/>
        <d v="2024-07-01T00:00:00" u="1"/>
        <d v="2020-01-27T00:00:00" u="1"/>
        <d v="2021-01-27T00:00:00" u="1"/>
        <d v="2020-02-23T00:00:00" u="1"/>
        <d v="2022-01-27T00:00:00" u="1"/>
        <d v="2021-02-23T00:00:00" u="1"/>
        <d v="2023-01-27T00:00:00" u="1"/>
        <d v="2020-03-19T00:00:00" u="1"/>
        <d v="2022-02-23T00:00:00" u="1"/>
        <d v="2024-01-27T00:00:00" u="1"/>
        <d v="2021-03-19T00:00:00" u="1"/>
        <d v="2023-02-23T00:00:00" u="1"/>
        <d v="2022-03-19T00:00:00" u="1"/>
        <d v="2024-02-23T00:00:00" u="1"/>
        <d v="2021-04-15T00:00:00" u="1"/>
        <d v="2023-03-19T00:00:00" u="1"/>
        <d v="2020-05-11T00:00:00" u="1"/>
        <d v="2024-03-19T00:00:00" u="1"/>
        <d v="2021-05-11T00:00:00" u="1"/>
        <d v="2023-04-15T00:00:00" u="1"/>
        <d v="2020-06-07T00:00:00" u="1"/>
        <d v="2022-05-11T00:00:00" u="1"/>
        <d v="2024-04-15T00:00:00" u="1"/>
        <d v="2021-06-07T00:00:00" u="1"/>
        <d v="2023-05-11T00:00:00" u="1"/>
        <d v="2020-07-03T00:00:00" u="1"/>
        <d v="2022-06-07T00:00:00" u="1"/>
        <d v="2024-05-11T00:00:00" u="1"/>
        <d v="2021-07-03T00:00:00" u="1"/>
        <d v="2023-06-07T00:00:00" u="1"/>
        <d v="2022-07-03T00:00:00" u="1"/>
        <d v="2024-06-07T00:00:00" u="1"/>
        <d v="2023-07-03T00:00:00" u="1"/>
        <d v="2024-07-03T00:00:00" u="1"/>
        <d v="2020-01-29T00:00:00" u="1"/>
        <d v="2021-01-29T00:00:00" u="1"/>
        <d v="2020-02-25T00:00:00" u="1"/>
        <d v="2022-01-29T00:00:00" u="1"/>
        <d v="2021-02-25T00:00:00" u="1"/>
        <d v="2020-03-21T00:00:00" u="1"/>
        <d v="2022-02-25T00:00:00" u="1"/>
        <d v="2024-01-29T00:00:00" u="1"/>
        <d v="2021-03-21T00:00:00" u="1"/>
        <d v="2023-02-25T00:00:00" u="1"/>
        <d v="2022-03-21T00:00:00" u="1"/>
        <d v="2024-02-25T00:00:00" u="1"/>
        <d v="2021-04-17T00:00:00" u="1"/>
        <d v="2023-03-21T00:00:00" u="1"/>
        <d v="2022-04-17T00:00:00" u="1"/>
        <d v="2024-03-21T00:00:00" u="1"/>
        <d v="2021-05-13T00:00:00" u="1"/>
        <d v="2023-04-17T00:00:00" u="1"/>
        <d v="2020-06-09T00:00:00" u="1"/>
        <d v="2022-05-13T00:00:00" u="1"/>
        <d v="2024-04-17T00:00:00" u="1"/>
        <d v="2021-06-09T00:00:00" u="1"/>
        <d v="2023-05-13T00:00:00" u="1"/>
        <d v="2022-06-09T00:00:00" u="1"/>
        <d v="2024-05-13T00:00:00" u="1"/>
        <d v="2021-07-05T00:00:00" u="1"/>
        <d v="2023-06-09T00:00:00" u="1"/>
        <d v="2020-08-01T00:00:00" u="1"/>
        <d v="2022-07-05T00:00:00" u="1"/>
        <d v="2024-06-09T00:00:00" u="1"/>
        <d v="2021-08-01T00:00:00" u="1"/>
        <d v="2023-07-05T00:00:00" u="1"/>
        <d v="2022-08-01T00:00:00" u="1"/>
        <d v="2024-07-05T00:00:00" u="1"/>
        <d v="2023-08-01T00:00:00" u="1"/>
        <d v="2020-01-31T00:00:00" u="1"/>
        <d v="2020-02-27T00:00:00" u="1"/>
        <d v="2022-01-31T00:00:00" u="1"/>
        <d v="2021-02-27T00:00:00" u="1"/>
        <d v="2023-01-31T00:00:00" u="1"/>
        <d v="2022-02-27T00:00:00" u="1"/>
        <d v="2024-01-31T00:00:00" u="1"/>
        <d v="2021-03-23T00:00:00" u="1"/>
        <d v="2023-02-27T00:00:00" u="1"/>
        <d v="2022-03-23T00:00:00" u="1"/>
        <d v="2024-02-27T00:00:00" u="1"/>
        <d v="2021-04-19T00:00:00" u="1"/>
        <d v="2023-03-23T00:00:00" u="1"/>
        <d v="2020-05-15T00:00:00" u="1"/>
        <d v="2022-04-19T00:00:00" u="1"/>
        <d v="2024-03-23T00:00:00" u="1"/>
        <d v="2021-05-15T00:00:00" u="1"/>
        <d v="2023-04-19T00:00:00" u="1"/>
        <d v="2020-06-11T00:00:00" u="1"/>
        <d v="2022-05-15T00:00:00" u="1"/>
        <d v="2024-04-19T00:00:00" u="1"/>
        <d v="2021-06-11T00:00:00" u="1"/>
        <d v="2023-05-15T00:00:00" u="1"/>
        <d v="2020-07-07T00:00:00" u="1"/>
        <d v="2022-06-11T00:00:00" u="1"/>
        <d v="2024-05-15T00:00:00" u="1"/>
        <d v="2021-07-07T00:00:00" u="1"/>
        <d v="2020-08-03T00:00:00" u="1"/>
        <d v="2022-07-07T00:00:00" u="1"/>
        <d v="2024-06-11T00:00:00" u="1"/>
        <d v="2021-08-03T00:00:00" u="1"/>
        <d v="2023-07-07T00:00:00" u="1"/>
        <d v="2022-08-03T00:00:00" u="1"/>
        <d v="2023-08-03T00:00:00" u="1"/>
        <d v="2020-02-29T00:00:00" u="1"/>
        <d v="2021-03-25T00:00:00" u="1"/>
        <d v="2022-03-25T00:00:00" u="1"/>
        <d v="2024-02-29T00:00:00" u="1"/>
        <d v="2021-04-21T00:00:00" u="1"/>
        <d v="2023-03-25T00:00:00" u="1"/>
        <d v="2018-06-13T00:00:00" u="1"/>
        <d v="2022-04-21T00:00:00" u="1"/>
        <d v="2024-03-25T00:00:00" u="1"/>
        <d v="2021-05-17T00:00:00" u="1"/>
        <d v="2023-04-21T00:00:00" u="1"/>
        <d v="2020-06-13T00:00:00" u="1"/>
        <d v="2022-05-17T00:00:00" u="1"/>
        <d v="2021-06-13T00:00:00" u="1"/>
        <d v="2023-05-17T00:00:00" u="1"/>
        <d v="2020-07-09T00:00:00" u="1"/>
        <d v="2022-06-13T00:00:00" u="1"/>
        <d v="2024-05-17T00:00:00" u="1"/>
        <d v="2021-07-09T00:00:00" u="1"/>
        <d v="2023-06-13T00:00:00" u="1"/>
        <d v="2020-08-05T00:00:00" u="1"/>
        <d v="2022-07-09T00:00:00" u="1"/>
        <d v="2024-06-13T00:00:00" u="1"/>
        <d v="2021-08-05T00:00:00" u="1"/>
        <d v="2023-07-09T00:00:00" u="1"/>
        <d v="2020-09-01T00:00:00" u="1"/>
        <d v="2022-08-05T00:00:00" u="1"/>
        <d v="2024-07-09T00:00:00" u="1"/>
        <d v="2021-09-01T00:00:00" u="1"/>
        <d v="2023-08-05T00:00:00" u="1"/>
        <d v="2022-09-01T00:00:00" u="1"/>
        <d v="2023-09-01T00:00:00" u="1"/>
        <d v="2021-03-27T00:00:00" u="1"/>
        <d v="2022-03-27T00:00:00" u="1"/>
        <d v="2021-04-23T00:00:00" u="1"/>
        <d v="2023-03-27T00:00:00" u="1"/>
        <d v="2020-05-19T00:00:00" u="1"/>
        <d v="2022-04-23T00:00:00" u="1"/>
        <d v="2024-03-27T00:00:00" u="1"/>
        <d v="2021-05-19T00:00:00" u="1"/>
        <d v="2023-04-23T00:00:00" u="1"/>
        <d v="2020-06-15T00:00:00" u="1"/>
        <d v="2022-05-19T00:00:00" u="1"/>
        <d v="2024-04-23T00:00:00" u="1"/>
        <d v="2021-06-15T00:00:00" u="1"/>
        <d v="2023-05-19T00:00:00" u="1"/>
        <d v="2020-07-11T00:00:00" u="1"/>
        <d v="2022-06-15T00:00:00" u="1"/>
        <d v="2021-07-11T00:00:00" u="1"/>
        <d v="2023-06-15T00:00:00" u="1"/>
        <d v="2020-08-07T00:00:00" u="1"/>
        <d v="2022-07-11T00:00:00" u="1"/>
        <d v="2024-06-15T00:00:00" u="1"/>
        <d v="2021-08-07T00:00:00" u="1"/>
        <d v="2023-07-11T00:00:00" u="1"/>
        <d v="2020-09-03T00:00:00" u="1"/>
        <d v="2022-08-07T00:00:00" u="1"/>
        <d v="2024-07-11T00:00:00" u="1"/>
        <d v="2021-09-03T00:00:00" u="1"/>
        <d v="2023-08-07T00:00:00" u="1"/>
        <d v="2022-09-03T00:00:00" u="1"/>
        <d v="2024-09-03T00:00:00" u="1"/>
        <d v="2021-03-29T00:00:00" u="1"/>
        <d v="2022-03-29T00:00:00" u="1"/>
        <d v="2021-04-25T00:00:00" u="1"/>
        <d v="2023-03-29T00:00:00" u="1"/>
        <d v="2020-05-21T00:00:00" u="1"/>
        <d v="2022-04-25T00:00:00" u="1"/>
        <d v="2021-05-21T00:00:00" u="1"/>
        <d v="2023-04-25T00:00:00" u="1"/>
        <d v="2020-06-17T00:00:00" u="1"/>
        <d v="2022-05-21T00:00:00" u="1"/>
        <d v="2024-04-25T00:00:00" u="1"/>
        <d v="2021-06-17T00:00:00" u="1"/>
        <d v="2023-05-21T00:00:00" u="1"/>
        <d v="2020-07-13T00:00:00" u="1"/>
        <d v="2022-06-17T00:00:00" u="1"/>
        <d v="2024-05-21T00:00:00" u="1"/>
        <d v="2021-07-13T00:00:00" u="1"/>
        <d v="2023-06-17T00:00:00" u="1"/>
        <d v="2022-07-13T00:00:00" u="1"/>
        <d v="2024-06-17T00:00:00" u="1"/>
        <d v="2021-08-09T00:00:00" u="1"/>
        <d v="2023-07-13T00:00:00" u="1"/>
        <d v="2020-09-05T00:00:00" u="1"/>
        <d v="2022-08-09T00:00:00" u="1"/>
        <d v="2021-09-05T00:00:00" u="1"/>
        <d v="2023-08-09T00:00:00" u="1"/>
        <d v="2020-10-01T00:00:00" u="1"/>
        <d v="2022-09-05T00:00:00" u="1"/>
        <d v="2021-10-01T00:00:00" u="1"/>
        <d v="2023-09-05T00:00:00" u="1"/>
        <d v="2022-10-01T00:00:00" u="1"/>
        <d v="2024-09-05T00:00:00" u="1"/>
        <d v="2021-03-31T00:00:00" u="1"/>
        <d v="2022-03-31T00:00:00" u="1"/>
        <d v="2021-04-27T00:00:00" u="1"/>
        <d v="2023-03-31T00:00:00" u="1"/>
        <d v="2020-05-23T00:00:00" u="1"/>
        <d v="2022-04-27T00:00:00" u="1"/>
        <d v="2021-05-23T00:00:00" u="1"/>
        <d v="2023-04-27T00:00:00" u="1"/>
        <d v="2020-06-19T00:00:00" u="1"/>
        <d v="2022-05-23T00:00:00" u="1"/>
        <d v="2024-04-27T00:00:00" u="1"/>
        <d v="2021-06-19T00:00:00" u="1"/>
        <d v="2023-05-23T00:00:00" u="1"/>
        <d v="2020-07-15T00:00:00" u="1"/>
        <d v="2022-06-19T00:00:00" u="1"/>
        <d v="2024-05-23T00:00:00" u="1"/>
        <d v="2021-07-15T00:00:00" u="1"/>
        <d v="2023-06-19T00:00:00" u="1"/>
        <d v="2020-08-11T00:00:00" u="1"/>
        <d v="2022-07-15T00:00:00" u="1"/>
        <d v="2024-06-19T00:00:00" u="1"/>
        <d v="2021-08-11T00:00:00" u="1"/>
        <d v="2023-07-15T00:00:00" u="1"/>
        <d v="2020-09-07T00:00:00" u="1"/>
        <d v="2022-08-11T00:00:00" u="1"/>
        <d v="2021-09-07T00:00:00" u="1"/>
        <d v="2023-08-11T00:00:00" u="1"/>
        <d v="2020-10-03T00:00:00" u="1"/>
        <d v="2022-09-07T00:00:00" u="1"/>
        <d v="2021-10-03T00:00:00" u="1"/>
        <d v="2023-09-07T00:00:00" u="1"/>
        <d v="2022-10-03T00:00:00" u="1"/>
        <d v="2024-09-07T00:00:00" u="1"/>
        <d v="2023-10-03T00:00:00" u="1"/>
        <d v="2021-04-29T00:00:00" u="1"/>
        <d v="2020-05-25T00:00:00" u="1"/>
        <d v="2022-04-29T00:00:00" u="1"/>
        <d v="2021-05-25T00:00:00" u="1"/>
        <d v="2023-04-29T00:00:00" u="1"/>
        <d v="2022-05-25T00:00:00" u="1"/>
        <d v="2024-04-29T00:00:00" u="1"/>
        <d v="2021-06-21T00:00:00" u="1"/>
        <d v="2023-05-25T00:00:00" u="1"/>
        <d v="2020-07-17T00:00:00" u="1"/>
        <d v="2022-06-21T00:00:00" u="1"/>
        <d v="2024-05-25T00:00:00" u="1"/>
        <d v="2021-07-17T00:00:00" u="1"/>
        <d v="2023-06-21T00:00:00" u="1"/>
        <d v="2020-08-13T00:00:00" u="1"/>
        <d v="2022-07-17T00:00:00" u="1"/>
        <d v="2024-06-21T00:00:00" u="1"/>
        <d v="2021-08-13T00:00:00" u="1"/>
        <d v="2023-07-17T00:00:00" u="1"/>
        <d v="2020-09-09T00:00:00" u="1"/>
        <d v="2022-08-13T00:00:00" u="1"/>
        <d v="2021-09-09T00:00:00" u="1"/>
        <d v="2023-08-13T00:00:00" u="1"/>
        <d v="2020-10-05T00:00:00" u="1"/>
        <d v="2022-09-09T00:00:00" u="1"/>
        <d v="2021-10-05T00:00:00" u="1"/>
        <d v="2023-09-09T00:00:00" u="1"/>
        <d v="2020-11-01T00:00:00" u="1"/>
        <d v="2022-10-05T00:00:00" u="1"/>
        <d v="2024-09-09T00:00:00" u="1"/>
        <d v="2021-11-01T00:00:00" u="1"/>
        <d v="2023-10-05T00:00:00" u="1"/>
        <d v="2023-11-01T00:00:00" u="1"/>
        <d v="2020-05-27T00:00:00" u="1"/>
        <d v="2021-05-27T00:00:00" u="1"/>
        <d v="2020-06-23T00:00:00" u="1"/>
        <d v="2022-05-27T00:00:00" u="1"/>
        <d v="2021-06-23T00:00:00" u="1"/>
        <d v="2023-05-27T00:00:00" u="1"/>
        <d v="2022-06-23T00:00:00" u="1"/>
        <d v="2024-05-27T00:00:00" u="1"/>
        <d v="2021-07-19T00:00:00" u="1"/>
        <d v="2023-06-23T00:00:00" u="1"/>
        <d v="2020-08-15T00:00:00" u="1"/>
        <d v="2022-07-19T00:00:00" u="1"/>
        <d v="2024-06-23T00:00:00" u="1"/>
        <d v="2021-08-15T00:00:00" u="1"/>
        <d v="2023-07-19T00:00:00" u="1"/>
        <d v="2020-09-11T00:00:00" u="1"/>
        <d v="2022-08-15T00:00:00" u="1"/>
        <d v="2021-09-11T00:00:00" u="1"/>
        <d v="2023-08-15T00:00:00" u="1"/>
        <d v="2020-10-07T00:00:00" u="1"/>
        <d v="2021-10-07T00:00:00" u="1"/>
        <d v="2023-09-11T00:00:00" u="1"/>
        <d v="2020-11-03T00:00:00" u="1"/>
        <d v="2022-10-07T00:00:00" u="1"/>
        <d v="2024-09-11T00:00:00" u="1"/>
        <d v="2021-11-03T00:00:00" u="1"/>
        <d v="2023-10-07T00:00:00" u="1"/>
        <d v="2023-11-03T00:00:00" u="1"/>
        <d v="2020-05-29T00:00:00" u="1"/>
        <d v="2021-05-29T00:00:00" u="1"/>
        <d v="2020-06-25T00:00:00" u="1"/>
        <d v="2022-05-29T00:00:00" u="1"/>
        <d v="2021-06-25T00:00:00" u="1"/>
        <d v="2023-05-29T00:00:00" u="1"/>
        <d v="2020-07-21T00:00:00" u="1"/>
        <d v="2022-06-25T00:00:00" u="1"/>
        <d v="2024-05-29T00:00:00" u="1"/>
        <d v="2021-07-21T00:00:00" u="1"/>
        <d v="2020-08-17T00:00:00" u="1"/>
        <d v="2022-07-21T00:00:00" u="1"/>
        <d v="2024-06-25T00:00:00" u="1"/>
        <d v="2021-08-17T00:00:00" u="1"/>
        <d v="2023-07-21T00:00:00" u="1"/>
        <d v="2022-08-17T00:00:00" u="1"/>
        <d v="2021-09-13T00:00:00" u="1"/>
        <d v="2023-08-17T00:00:00" u="1"/>
        <d v="2020-10-09T00:00:00" u="1"/>
        <d v="2022-09-13T00:00:00" u="1"/>
        <d v="2021-10-09T00:00:00" u="1"/>
        <d v="2023-09-13T00:00:00" u="1"/>
        <d v="2020-11-05T00:00:00" u="1"/>
        <d v="2022-10-09T00:00:00" u="1"/>
        <d v="2024-09-13T00:00:00" u="1"/>
        <d v="2021-11-05T00:00:00" u="1"/>
        <d v="2023-10-09T00:00:00" u="1"/>
        <d v="2020-12-01T00:00:00" u="1"/>
        <d v="2021-12-01T00:00:00" u="1"/>
        <d v="2023-11-05T00:00:00" u="1"/>
        <d v="2022-12-01T00:00:00" u="1"/>
        <d v="2023-12-01T00:00:00" u="1"/>
        <d v="2021-05-31T00:00:00" u="1"/>
        <d v="2020-06-27T00:00:00" u="1"/>
        <d v="2021-06-27T00:00:00" u="1"/>
        <d v="2023-05-31T00:00:00" u="1"/>
        <d v="2020-07-23T00:00:00" u="1"/>
        <d v="2022-06-27T00:00:00" u="1"/>
        <d v="2024-05-31T00:00:00" u="1"/>
        <d v="2021-07-23T00:00:00" u="1"/>
        <d v="2023-06-27T00:00:00" u="1"/>
        <d v="2020-08-19T00:00:00" u="1"/>
        <d v="2022-07-23T00:00:00" u="1"/>
        <d v="2024-06-27T00:00:00" u="1"/>
        <d v="2021-08-19T00:00:00" u="1"/>
        <d v="2020-09-15T00:00:00" u="1"/>
        <d v="2022-08-19T00:00:00" u="1"/>
        <d v="2021-09-15T00:00:00" u="1"/>
        <d v="2023-08-19T00:00:00" u="1"/>
        <d v="2020-10-11T00:00:00" u="1"/>
        <d v="2022-09-15T00:00:00" u="1"/>
        <d v="2021-10-11T00:00:00" u="1"/>
        <d v="2023-09-15T00:00:00" u="1"/>
        <d v="2020-11-07T00:00:00" u="1"/>
        <d v="2022-10-11T00:00:00" u="1"/>
        <d v="2021-11-07T00:00:00" u="1"/>
        <d v="2023-10-11T00:00:00" u="1"/>
        <d v="2020-12-03T00:00:00" u="1"/>
        <d v="2021-12-03T00:00:00" u="1"/>
        <d v="2023-11-07T00:00:00" u="1"/>
        <d v="2022-12-03T00:00:00" u="1"/>
        <d v="2023-12-03T00:00:00" u="1"/>
        <d v="2020-06-29T00:00:00" u="1"/>
        <d v="2021-06-29T00:00:00" u="1"/>
        <d v="2020-07-25T00:00:00" u="1"/>
        <d v="2022-06-29T00:00:00" u="1"/>
        <d v="2021-07-25T00:00:00" u="1"/>
        <d v="2023-06-29T00:00:00" u="1"/>
        <d v="2020-08-21T00:00:00" u="1"/>
        <d v="2022-07-25T00:00:00" u="1"/>
        <d v="2024-06-29T00:00:00" u="1"/>
        <d v="2021-08-21T00:00:00" u="1"/>
        <d v="2023-07-25T00:00:00" u="1"/>
        <d v="2020-09-17T00:00:00" u="1"/>
        <d v="2021-09-17T00:00:00" u="1"/>
        <d v="2023-08-21T00:00:00" u="1"/>
        <d v="2020-10-13T00:00:00" u="1"/>
        <d v="2022-09-17T00:00:00" u="1"/>
        <d v="2021-10-13T00:00:00" u="1"/>
        <d v="2023-09-17T00:00:00" u="1"/>
        <d v="2020-11-09T00:00:00" u="1"/>
        <d v="2022-10-13T00:00:00" u="1"/>
        <d v="2021-11-09T00:00:00" u="1"/>
        <d v="2023-10-13T00:00:00" u="1"/>
        <d v="2020-12-05T00:00:00" u="1"/>
        <d v="2021-12-05T00:00:00" u="1"/>
        <d v="2023-11-09T00:00:00" u="1"/>
        <d v="2022-12-05T00:00:00" u="1"/>
        <d v="2023-12-05T00:00:00" u="1"/>
        <d v="2024-12-05T00:00:00" u="1"/>
        <d v="2020-07-27T00:00:00" u="1"/>
        <d v="2021-07-27T00:00:00" u="1"/>
        <d v="2022-07-27T00:00:00" u="1"/>
        <d v="2021-08-23T00:00:00" u="1"/>
        <d v="2023-07-27T00:00:00" u="1"/>
        <d v="2020-09-19T00:00:00" u="1"/>
        <d v="2022-08-23T00:00:00" u="1"/>
        <d v="2021-09-19T00:00:00" u="1"/>
        <d v="2023-08-23T00:00:00" u="1"/>
        <d v="2020-10-15T00:00:00" u="1"/>
        <d v="2021-10-15T00:00:00" u="1"/>
        <d v="2023-09-19T00:00:00" u="1"/>
        <d v="2020-11-11T00:00:00" u="1"/>
        <d v="2022-10-15T00:00:00" u="1"/>
        <d v="2024-09-19T00:00:00" u="1"/>
        <d v="2021-11-11T00:00:00" u="1"/>
        <d v="2020-12-07T00:00:00" u="1"/>
        <d v="2021-12-07T00:00:00" u="1"/>
        <d v="2023-11-11T00:00:00" u="1"/>
        <d v="2022-12-07T00:00:00" u="1"/>
        <d v="2023-12-07T00:00:00" u="1"/>
        <d v="2020-07-29T00:00:00" u="1"/>
        <d v="2021-07-29T00:00:00" u="1"/>
        <d v="2020-08-25T00:00:00" u="1"/>
        <d v="2022-07-29T00:00:00" u="1"/>
        <d v="2021-08-25T00:00:00" u="1"/>
        <d v="2020-09-21T00:00:00" u="1"/>
        <d v="2022-08-25T00:00:00" u="1"/>
        <d v="2021-09-21T00:00:00" u="1"/>
        <d v="2023-08-25T00:00:00" u="1"/>
        <d v="2020-10-17T00:00:00" u="1"/>
        <d v="2022-09-21T00:00:00" u="1"/>
        <d v="2023-09-21T00:00:00" u="1"/>
        <d v="2020-11-13T00:00:00" u="1"/>
        <d v="2022-10-17T00:00:00" u="1"/>
        <d v="2024-09-21T00:00:00" u="1"/>
        <d v="2021-11-13T00:00:00" u="1"/>
        <d v="2023-10-17T00:00:00" u="1"/>
        <d v="2020-12-09T00:00:00" u="1"/>
        <d v="2021-12-09T00:00:00" u="1"/>
        <d v="2023-11-13T00:00:00" u="1"/>
        <d v="2022-12-09T00:00:00" u="1"/>
        <d v="2023-12-09T00:00:00" u="1"/>
        <d v="2020-07-31T00:00:00" u="1"/>
        <d v="2021-07-31T00:00:00" u="1"/>
        <d v="2020-08-27T00:00:00" u="1"/>
        <d v="2021-08-27T00:00:00" u="1"/>
        <d v="2023-07-31T00:00:00" u="1"/>
        <d v="2020-09-23T00:00:00" u="1"/>
        <d v="2022-08-27T00:00:00" u="1"/>
        <d v="2021-09-23T00:00:00" u="1"/>
        <d v="2023-08-27T00:00:00" u="1"/>
        <d v="2020-10-19T00:00:00" u="1"/>
        <d v="2022-09-23T00:00:00" u="1"/>
        <d v="2021-10-19T00:00:00" u="1"/>
        <d v="2023-09-23T00:00:00" u="1"/>
        <d v="2020-11-15T00:00:00" u="1"/>
        <d v="2022-10-19T00:00:00" u="1"/>
        <d v="2024-09-23T00:00:00" u="1"/>
        <d v="2021-11-15T00:00:00" u="1"/>
        <d v="2023-10-19T00:00:00" u="1"/>
        <d v="2020-12-11T00:00:00" u="1"/>
        <d v="2021-12-11T00:00:00" u="1"/>
        <d v="2023-11-15T00:00:00" u="1"/>
        <d v="2023-12-11T00:00:00" u="1"/>
        <d v="2020-08-29T00:00:00" u="1"/>
        <d v="2021-08-29T00:00:00" u="1"/>
        <d v="2020-09-25T00:00:00" u="1"/>
        <d v="2021-09-25T00:00:00" u="1"/>
        <d v="2023-08-29T00:00:00" u="1"/>
        <d v="2020-10-21T00:00:00" u="1"/>
        <d v="2022-09-25T00:00:00" u="1"/>
        <d v="2021-10-21T00:00:00" u="1"/>
        <d v="2023-09-25T00:00:00" u="1"/>
        <d v="2020-11-17T00:00:00" u="1"/>
        <d v="2022-10-21T00:00:00" u="1"/>
        <d v="2024-09-25T00:00:00" u="1"/>
        <d v="2021-11-17T00:00:00" u="1"/>
        <d v="2023-10-21T00:00:00" u="1"/>
        <d v="2020-12-13T00:00:00" u="1"/>
        <d v="2021-12-13T00:00:00" u="1"/>
        <d v="2023-11-17T00:00:00" u="1"/>
        <d v="2022-12-13T00:00:00" u="1"/>
        <d v="2023-12-13T00:00:00" u="1"/>
        <d v="2020-08-31T00:00:00" u="1"/>
        <d v="2021-08-31T00:00:00" u="1"/>
        <d v="2021-09-27T00:00:00" u="1"/>
        <d v="2023-08-31T00:00:00" u="1"/>
        <d v="2020-10-23T00:00:00" u="1"/>
        <d v="2022-09-27T00:00:00" u="1"/>
        <d v="2021-10-23T00:00:00" u="1"/>
        <d v="2023-09-27T00:00:00" u="1"/>
        <d v="2020-11-19T00:00:00" u="1"/>
        <d v="2024-09-27T00:00:00" u="1"/>
        <d v="2021-11-19T00:00:00" u="1"/>
        <d v="2023-10-23T00:00:00" u="1"/>
        <d v="2020-12-15T00:00:00" u="1"/>
        <d v="2021-12-15T00:00:00" u="1"/>
        <d v="2023-12-15T00:00:00" u="1"/>
      </sharedItems>
    </cacheField>
    <cacheField name="Maquinista" numFmtId="0">
      <sharedItems containsBlank="1"/>
    </cacheField>
    <cacheField name="Tipo MP" numFmtId="0">
      <sharedItems containsBlank="1"/>
    </cacheField>
    <cacheField name="Material 1" numFmtId="0">
      <sharedItems containsBlank="1"/>
    </cacheField>
    <cacheField name="Material 2" numFmtId="0">
      <sharedItems containsBlank="1"/>
    </cacheField>
    <cacheField name="Molde" numFmtId="0">
      <sharedItems containsBlank="1"/>
    </cacheField>
    <cacheField name="Pieza-Color" numFmtId="0">
      <sharedItems containsBlank="1"/>
    </cacheField>
    <cacheField name="Coladas" numFmtId="0">
      <sharedItems containsString="0" containsBlank="1" containsNumber="1" minValue="4" maxValue="2819"/>
    </cacheField>
    <cacheField name="Horas Trab." numFmtId="0">
      <sharedItems containsString="0" containsBlank="1" containsNumber="1" containsInteger="1" minValue="1" maxValue="41"/>
    </cacheField>
    <cacheField name="Peso Real (Kg)" numFmtId="0">
      <sharedItems containsString="0" containsBlank="1" containsNumber="1" minValue="0" maxValue="587.4"/>
    </cacheField>
    <cacheField name="Turno" numFmtId="0">
      <sharedItems containsBlank="1" containsMixedTypes="1" containsNumber="1" containsInteger="1" minValue="5" maxValue="5" count="5">
        <s v="DIURNO"/>
        <s v="NOCTURNO"/>
        <m/>
        <s v="EXTRA"/>
        <n v="5" u="1"/>
      </sharedItems>
    </cacheField>
    <cacheField name="Cantidad x Bulto" numFmtId="0">
      <sharedItems containsString="0" containsBlank="1" containsNumber="1" containsInteger="1" minValue="0" maxValue="240"/>
    </cacheField>
    <cacheField name="#Bultos" numFmtId="0">
      <sharedItems containsString="0" containsBlank="1" containsNumber="1" minValue="0" maxValue="91"/>
    </cacheField>
    <cacheField name="Nº OP" numFmtId="0">
      <sharedItems containsBlank="1" containsMixedTypes="1" containsNumber="1" containsInteger="1" minValue="0" maxValue="2242"/>
    </cacheField>
    <cacheField name="#Doc. Registro" numFmtId="0">
      <sharedItems containsBlank="1" containsMixedTypes="1" containsNumber="1" containsInteger="1" minValue="1000" maxValue="23808"/>
    </cacheField>
    <cacheField name="Color Merma" numFmtId="0">
      <sharedItems containsBlank="1" containsMixedTypes="1" containsNumber="1" minValue="0" maxValue="8.9"/>
    </cacheField>
    <cacheField name="Peso Merma" numFmtId="0">
      <sharedItems containsBlank="1" containsMixedTypes="1" containsNumber="1" minValue="0" maxValue="280.89999999999998"/>
    </cacheField>
    <cacheField name="Peso Chancaca" numFmtId="0">
      <sharedItems containsString="0" containsBlank="1" containsNumber="1" containsInteger="1" minValue="0" maxValue="0"/>
    </cacheField>
    <cacheField name="Fracion Virgen" numFmtId="0">
      <sharedItems containsString="0" containsBlank="1" containsNumber="1" containsInteger="1" minValue="0" maxValue="0"/>
    </cacheField>
    <cacheField name="Peso Aprox. (Kg)" numFmtId="0">
      <sharedItems containsBlank="1" containsMixedTypes="1" containsNumber="1" minValue="0" maxValue="567.84"/>
    </cacheField>
    <cacheField name="Peso (kg)" numFmtId="0">
      <sharedItems containsBlank="1" containsMixedTypes="1" containsNumber="1" minValue="0.5" maxValue="587.4"/>
    </cacheField>
    <cacheField name="Peso unitario (Gr)" numFmtId="0">
      <sharedItems containsBlank="1" containsMixedTypes="1" containsNumber="1" minValue="0" maxValue="520"/>
    </cacheField>
    <cacheField name="Cantidad Real" numFmtId="0">
      <sharedItems containsString="0" containsBlank="1" containsNumber="1" minValue="0" maxValue="41700"/>
    </cacheField>
    <cacheField name="MES" numFmtId="0">
      <sharedItems containsBlank="1" containsMixedTypes="1" containsNumber="1" containsInteger="1" minValue="22" maxValue="96" count="16">
        <s v="Enero"/>
        <s v="Febrero"/>
        <s v=""/>
        <s v="Abril"/>
        <s v="Mayo"/>
        <s v="Junio"/>
        <s v="Julio"/>
        <s v="Agosto"/>
        <s v="Setiembre"/>
        <s v=" 20/09/2025"/>
        <s v="Octubre"/>
        <s v=" 06/10/2025"/>
        <s v="Noviembre"/>
        <m/>
        <n v="96" u="1"/>
        <n v="22" u="1"/>
      </sharedItems>
    </cacheField>
    <cacheField name="AÑO" numFmtId="0">
      <sharedItems containsBlank="1" containsMixedTypes="1" containsNumber="1" containsInteger="1" minValue="1" maxValue="1" count="6">
        <s v="2025"/>
        <s v=""/>
        <s v=" 20/09/2025"/>
        <s v=" 06/10/2025"/>
        <m/>
        <n v="1" u="1"/>
      </sharedItems>
    </cacheField>
    <cacheField name="SEMANA" numFmtId="0">
      <sharedItems containsBlank="1" containsMixedTypes="1" containsNumber="1" containsInteger="1" minValue="1" maxValue="48"/>
    </cacheField>
    <cacheField name="Cavidades" numFmtId="0">
      <sharedItems containsBlank="1" containsMixedTypes="1" containsNumber="1" containsInteger="1" minValue="0" maxValue="16"/>
    </cacheField>
    <cacheField name="DOC" numFmtId="0">
      <sharedItems containsBlank="1" containsMixedTypes="1" containsNumber="1" minValue="0" maxValue="1739"/>
    </cacheField>
    <cacheField name=" Variacion" numFmtId="0" formula="'Peso Real (Kg)'-'Peso Aprox. (Kg)'" databaseField="0"/>
    <cacheField name="%Variacion" numFmtId="0" formula="' Variacion'/'Peso Real (Kg)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7">
  <r>
    <d v="2025-01-06T15:38:00"/>
    <s v="INYECTADO"/>
    <x v="0"/>
    <x v="0"/>
    <s v="CRISALIDA ZAPATA"/>
    <s v="SEGUNDA"/>
    <s v="."/>
    <s v="MIXTO"/>
    <x v="0"/>
    <s v="ASA DE BALDE PLAYERO-FUCSIA"/>
    <n v="468"/>
    <n v="4"/>
    <n v="20.7"/>
    <s v="DIURNO"/>
    <n v="0"/>
    <n v="1"/>
    <n v="956"/>
    <n v="20709"/>
    <s v="FUCSIA"/>
    <n v="9.3000000000000007"/>
    <n v="0"/>
    <n v="0"/>
    <n v="4.68"/>
    <n v="20.7"/>
    <n v="10"/>
    <n v="2070"/>
    <x v="0"/>
    <x v="0"/>
    <n v="1"/>
    <n v="4"/>
    <n v="156"/>
  </r>
  <r>
    <d v="2025-01-06T15:38:00"/>
    <s v="INYECTADO"/>
    <x v="0"/>
    <x v="0"/>
    <s v="CRISALIDA ZAPATA"/>
    <s v="SEGUNDA"/>
    <s v="."/>
    <s v="MIXTO"/>
    <x v="0"/>
    <s v="ASA DE BALDE PLAYERO-ROJO"/>
    <n v="520"/>
    <n v="4"/>
    <n v="21.6"/>
    <s v="DIURNO"/>
    <n v="0"/>
    <n v="1"/>
    <n v="956"/>
    <n v="20709"/>
    <s v="ROJO"/>
    <n v="5"/>
    <n v="0"/>
    <n v="0"/>
    <n v="5.2"/>
    <n v="21.6"/>
    <n v="10"/>
    <n v="2160"/>
    <x v="0"/>
    <x v="0"/>
    <n v="1"/>
    <n v="4"/>
    <n v="173.33333333333334"/>
  </r>
  <r>
    <d v="2025-01-06T15:38:00"/>
    <s v="INYECTADO"/>
    <x v="0"/>
    <x v="0"/>
    <s v="CRISALIDA ZAPATA"/>
    <s v="SEGUNDA"/>
    <s v="."/>
    <s v="MIXTO"/>
    <x v="0"/>
    <s v="ASA DE BALDE PLAYERO-LILA"/>
    <n v="359"/>
    <n v="3"/>
    <n v="14.9"/>
    <s v="DIURNO"/>
    <n v="0"/>
    <n v="1"/>
    <n v="956"/>
    <n v="20709"/>
    <s v="LILA"/>
    <n v="3"/>
    <n v="0"/>
    <n v="0"/>
    <n v="3.59"/>
    <n v="14.9"/>
    <n v="10"/>
    <n v="1490"/>
    <x v="0"/>
    <x v="0"/>
    <n v="1"/>
    <n v="4"/>
    <n v="119.66666666666667"/>
  </r>
  <r>
    <d v="2025-01-06T15:38:00"/>
    <s v="INYECTADO"/>
    <x v="0"/>
    <x v="1"/>
    <s v="JOSDER GONZALEZ"/>
    <s v="VIRGEN"/>
    <s v="PP CLARIFICADO"/>
    <s v="."/>
    <x v="0"/>
    <s v="ASA DE BALDE PLAYERO-AMARILLO"/>
    <n v="549"/>
    <n v="4"/>
    <n v="22.8"/>
    <s v="DIURNO"/>
    <n v="0"/>
    <n v="2"/>
    <n v="956"/>
    <n v="20710"/>
    <s v="AMARILLO"/>
    <n v="11.7"/>
    <n v="0"/>
    <n v="0"/>
    <n v="5.49"/>
    <n v="22.8"/>
    <n v="10"/>
    <n v="2280"/>
    <x v="0"/>
    <x v="0"/>
    <n v="1"/>
    <n v="4"/>
    <n v="183"/>
  </r>
  <r>
    <d v="2025-01-06T15:38:00"/>
    <s v="INYECTADO"/>
    <x v="0"/>
    <x v="1"/>
    <s v="JOSDER GONZALEZ"/>
    <s v="SEGUNDA"/>
    <s v="."/>
    <s v="MIXTO"/>
    <x v="0"/>
    <s v="ASA DE BALDE PLAYERO-AZUL"/>
    <n v="450"/>
    <n v="4"/>
    <n v="18.7"/>
    <s v="DIURNO"/>
    <n v="0"/>
    <n v="1"/>
    <n v="956"/>
    <n v="20710"/>
    <s v="AZUL"/>
    <n v="6.7"/>
    <n v="0"/>
    <n v="0"/>
    <n v="4.5"/>
    <n v="18.7"/>
    <n v="10"/>
    <n v="1870"/>
    <x v="0"/>
    <x v="0"/>
    <n v="1"/>
    <n v="4"/>
    <n v="150"/>
  </r>
  <r>
    <d v="2025-01-06T15:38:00"/>
    <s v="INYECTADO"/>
    <x v="0"/>
    <x v="1"/>
    <s v="JOSDER GONZALEZ"/>
    <s v="SEGUNDA"/>
    <s v="."/>
    <s v="MIXTO"/>
    <x v="0"/>
    <s v="ASA DE BALDE PLAYERO-VERDE"/>
    <n v="183"/>
    <n v="2"/>
    <n v="7.6"/>
    <s v="DIURNO"/>
    <n v="0"/>
    <n v="1"/>
    <n v="956"/>
    <n v="20710"/>
    <s v="VERDE"/>
    <n v="3"/>
    <n v="0"/>
    <n v="0"/>
    <n v="1.83"/>
    <n v="7.6"/>
    <n v="10"/>
    <n v="760"/>
    <x v="0"/>
    <x v="0"/>
    <n v="1"/>
    <n v="4"/>
    <n v="61"/>
  </r>
  <r>
    <d v="2025-01-06T15:38:00"/>
    <s v="INYECTADO"/>
    <x v="0"/>
    <x v="2"/>
    <s v="CRISALIDA ZAPATA"/>
    <s v="SEGUNDA"/>
    <s v="."/>
    <s v="MIXTO"/>
    <x v="0"/>
    <s v="ASA DE BALDE PLAYERO-VERDE"/>
    <n v="262"/>
    <n v="3"/>
    <n v="10.9"/>
    <s v="DIURNO"/>
    <n v="0"/>
    <n v="1"/>
    <n v="956"/>
    <n v="20711"/>
    <s v="VERDE"/>
    <n v="4.5"/>
    <n v="0"/>
    <n v="0"/>
    <n v="2.62"/>
    <n v="10.9"/>
    <n v="10"/>
    <n v="1090"/>
    <x v="0"/>
    <x v="0"/>
    <n v="1"/>
    <n v="4"/>
    <n v="87.333333333333329"/>
  </r>
  <r>
    <d v="2025-01-06T15:38:00"/>
    <s v="INYECTADO"/>
    <x v="0"/>
    <x v="2"/>
    <s v="CRISALIDA ZAPATA"/>
    <s v="VIRGEN"/>
    <s v="PP CLARIFICADO"/>
    <s v="."/>
    <x v="0"/>
    <s v="ASA DE BALDE PLAYERO-AMARILLO"/>
    <n v="506"/>
    <n v="4"/>
    <n v="20.5"/>
    <s v="DIURNO"/>
    <n v="0"/>
    <n v="1"/>
    <n v="956"/>
    <n v="20711"/>
    <s v="AMARILLO"/>
    <n v="9.6"/>
    <n v="0"/>
    <n v="0"/>
    <n v="5.0599999999999996"/>
    <n v="20.5"/>
    <n v="10"/>
    <n v="2050"/>
    <x v="0"/>
    <x v="0"/>
    <n v="1"/>
    <n v="4"/>
    <n v="168.66666666666666"/>
  </r>
  <r>
    <d v="2025-01-06T15:38:00"/>
    <s v="INYECTADO"/>
    <x v="0"/>
    <x v="2"/>
    <s v="CRISALIDA ZAPATA"/>
    <s v="SEGUNDA"/>
    <s v="."/>
    <s v="MIXTO"/>
    <x v="0"/>
    <s v="ASA DE BALDE PLAYERO-FUCSIA"/>
    <n v="255"/>
    <n v="3"/>
    <n v="10.6"/>
    <s v="DIURNO"/>
    <n v="0"/>
    <n v="1"/>
    <n v="956"/>
    <n v="20711"/>
    <s v="FUCSIA"/>
    <n v="3.5"/>
    <n v="0"/>
    <n v="0"/>
    <n v="2.5499999999999998"/>
    <n v="10.6"/>
    <n v="10"/>
    <n v="1060"/>
    <x v="0"/>
    <x v="0"/>
    <n v="1"/>
    <n v="4"/>
    <n v="85"/>
  </r>
  <r>
    <d v="2025-01-06T15:38:00"/>
    <s v="INYECTADO"/>
    <x v="1"/>
    <x v="0"/>
    <s v="JOSDER GONZALEZ"/>
    <s v="VIRGEN"/>
    <s v="PP CLARIFICADO"/>
    <s v="."/>
    <x v="1"/>
    <s v="PALA RASTRILLO ROMANO-AMARILLO"/>
    <n v="438"/>
    <n v="4"/>
    <n v="32"/>
    <s v="DIURNO"/>
    <n v="0"/>
    <n v="5"/>
    <n v="953"/>
    <n v="20633"/>
    <s v="AMARILLO"/>
    <n v="8.1"/>
    <n v="0"/>
    <n v="0"/>
    <n v="16.643999999999998"/>
    <n v="32"/>
    <n v="38"/>
    <n v="842.10526315789468"/>
    <x v="0"/>
    <x v="0"/>
    <n v="1"/>
    <n v="2"/>
    <n v="73"/>
  </r>
  <r>
    <d v="2025-01-06T15:38:00"/>
    <s v="INYECTADO"/>
    <x v="1"/>
    <x v="0"/>
    <s v="JOSDER GONZALEZ"/>
    <s v="SEGUNDA"/>
    <s v="."/>
    <s v="PP INY MOLIDO"/>
    <x v="1"/>
    <s v="PALA RASTRILLO ROMANO-VERDE"/>
    <n v="643"/>
    <n v="6"/>
    <n v="47"/>
    <s v="DIURNO"/>
    <n v="0"/>
    <n v="7"/>
    <n v="953"/>
    <n v="20633"/>
    <s v="VERDE"/>
    <n v="5.5"/>
    <n v="0"/>
    <n v="0"/>
    <n v="24.434000000000001"/>
    <n v="47"/>
    <n v="38"/>
    <n v="1236.8421052631579"/>
    <x v="0"/>
    <x v="0"/>
    <n v="1"/>
    <n v="2"/>
    <n v="107.16666666666667"/>
  </r>
  <r>
    <d v="2025-01-06T15:38:00"/>
    <s v="INYECTADO"/>
    <x v="1"/>
    <x v="1"/>
    <s v="CRISALIDA ZAPATA"/>
    <s v="SEGUNDA"/>
    <s v="."/>
    <s v="PP INY MOLIDO"/>
    <x v="1"/>
    <s v="PALA RASTRILLO ROMANO-FUCSIA"/>
    <n v="314"/>
    <n v="2"/>
    <n v="23.1"/>
    <s v="DIURNO"/>
    <n v="0"/>
    <n v="4"/>
    <n v="953"/>
    <n v="20634"/>
    <s v="FUCSIA"/>
    <n v="4.0999999999999996"/>
    <n v="0"/>
    <n v="0"/>
    <n v="11.932"/>
    <n v="23.1"/>
    <n v="38"/>
    <n v="607.89473684210532"/>
    <x v="0"/>
    <x v="0"/>
    <n v="1"/>
    <n v="2"/>
    <n v="52.333333333333336"/>
  </r>
  <r>
    <d v="2025-01-06T15:38:00"/>
    <s v="INYECTADO"/>
    <x v="1"/>
    <x v="1"/>
    <s v="CRISALIDA ZAPATA"/>
    <s v="SEGUNDA"/>
    <s v="."/>
    <s v="PP INY MOLIDO"/>
    <x v="1"/>
    <s v="PALA RASTRILLO ROMANO-LILA"/>
    <n v="291"/>
    <n v="3"/>
    <n v="21.4"/>
    <s v="DIURNO"/>
    <n v="0"/>
    <n v="4"/>
    <n v="953"/>
    <n v="20634"/>
    <s v="LILA"/>
    <n v="14.8"/>
    <n v="0"/>
    <n v="0"/>
    <n v="11.058"/>
    <n v="21.4"/>
    <n v="38"/>
    <n v="563.15789473684208"/>
    <x v="0"/>
    <x v="0"/>
    <n v="1"/>
    <n v="2"/>
    <n v="48.5"/>
  </r>
  <r>
    <d v="2025-01-06T15:38:00"/>
    <s v="INYECTADO"/>
    <x v="1"/>
    <x v="1"/>
    <s v="CRISALIDA ZAPATA"/>
    <s v="SEGUNDA"/>
    <s v="."/>
    <s v="PP INY MOLIDO"/>
    <x v="1"/>
    <s v="PALA RASTRILLO ROMANO-AZUL"/>
    <n v="304"/>
    <n v="4"/>
    <n v="22.4"/>
    <s v="DIURNO"/>
    <n v="0"/>
    <n v="4"/>
    <n v="953"/>
    <n v="20634"/>
    <s v="AZUL"/>
    <n v="1.5"/>
    <n v="0"/>
    <n v="0"/>
    <n v="11.552"/>
    <n v="22.4"/>
    <n v="38"/>
    <n v="589.47368421052636"/>
    <x v="0"/>
    <x v="0"/>
    <n v="1"/>
    <n v="2"/>
    <n v="50.666666666666664"/>
  </r>
  <r>
    <d v="2025-01-06T15:38:00"/>
    <s v="INYECTADO"/>
    <x v="1"/>
    <x v="1"/>
    <s v="JUAN MANUEL PEREZ"/>
    <s v="SEGUNDA"/>
    <s v="."/>
    <s v="PP INY MOLIDO"/>
    <x v="1"/>
    <s v="PALA RASTRILLO ROMANO-AZUL"/>
    <n v="223"/>
    <n v="2"/>
    <n v="16.399999999999999"/>
    <s v="NOCTURNO"/>
    <n v="0"/>
    <n v="2"/>
    <n v="953"/>
    <n v="20635"/>
    <s v="AZUL"/>
    <n v="3.2"/>
    <n v="0"/>
    <n v="0"/>
    <n v="8.4740000000000002"/>
    <n v="16.399999999999999"/>
    <n v="38"/>
    <n v="431.57894736842104"/>
    <x v="0"/>
    <x v="0"/>
    <n v="1"/>
    <n v="2"/>
    <n v="37.166666666666664"/>
  </r>
  <r>
    <d v="2025-01-06T15:38:00"/>
    <s v="INYECTADO"/>
    <x v="1"/>
    <x v="1"/>
    <s v="JUAN MANUEL PEREZ"/>
    <s v="SEGUNDA"/>
    <s v="."/>
    <s v="PP INY MOLIDO"/>
    <x v="1"/>
    <s v="PALA RASTRILLO ROMANO-ROJO"/>
    <n v="421"/>
    <n v="4"/>
    <n v="31"/>
    <s v="NOCTURNO"/>
    <n v="0"/>
    <n v="4"/>
    <n v="953"/>
    <n v="20635"/>
    <s v="ROJO"/>
    <n v="5.2"/>
    <n v="0"/>
    <n v="0"/>
    <n v="15.997999999999999"/>
    <n v="31"/>
    <n v="38"/>
    <n v="815.78947368421052"/>
    <x v="0"/>
    <x v="0"/>
    <n v="1"/>
    <n v="2"/>
    <n v="70.166666666666671"/>
  </r>
  <r>
    <d v="2025-01-06T15:38:00"/>
    <s v="INYECTADO"/>
    <x v="1"/>
    <x v="1"/>
    <s v="JUAN MANUEL PEREZ"/>
    <s v="VIRGEN"/>
    <s v="PP CLARIFICADO"/>
    <s v="."/>
    <x v="1"/>
    <s v="PALA RASTRILLO ROMANO-AMARILLO"/>
    <n v="397"/>
    <n v="4"/>
    <n v="29.2"/>
    <s v="NOCTURNO"/>
    <n v="0"/>
    <n v="4"/>
    <n v="953"/>
    <n v="20635"/>
    <s v="AMARILLO"/>
    <n v="3.3"/>
    <n v="0"/>
    <n v="0"/>
    <n v="15.086"/>
    <n v="29.2"/>
    <n v="38"/>
    <n v="768.42105263157896"/>
    <x v="0"/>
    <x v="0"/>
    <n v="1"/>
    <n v="2"/>
    <n v="66.166666666666671"/>
  </r>
  <r>
    <d v="2025-01-06T15:38:00"/>
    <s v="INYECTADO"/>
    <x v="1"/>
    <x v="1"/>
    <s v="JUAN MANUEL PEREZ"/>
    <s v="SEGUNDA"/>
    <s v="."/>
    <s v="PP INY MOLIDO"/>
    <x v="1"/>
    <s v="PALA RASTRILLO ROMANO-VERDE"/>
    <n v="210"/>
    <n v="2"/>
    <n v="15.5"/>
    <s v="NOCTURNO"/>
    <n v="0"/>
    <n v="2"/>
    <n v="953"/>
    <n v="20635"/>
    <s v="VERDE"/>
    <n v="0"/>
    <n v="0"/>
    <n v="0"/>
    <n v="7.98"/>
    <n v="15.5"/>
    <n v="38"/>
    <n v="407.89473684210526"/>
    <x v="0"/>
    <x v="0"/>
    <n v="1"/>
    <n v="2"/>
    <n v="35"/>
  </r>
  <r>
    <d v="2025-01-06T15:38:00"/>
    <s v="INYECTADO"/>
    <x v="1"/>
    <x v="2"/>
    <s v="ALEXANDER MORENO"/>
    <s v="SEGUNDA"/>
    <s v="."/>
    <s v="PP INY MOLIDO"/>
    <x v="1"/>
    <s v="PALA RASTRILLO ROMANO-LILA"/>
    <n v="393"/>
    <n v="6"/>
    <n v="28.7"/>
    <s v="DIURNO"/>
    <n v="0"/>
    <n v="5"/>
    <n v="953"/>
    <n v="20636"/>
    <s v="LILA"/>
    <n v="7.8"/>
    <n v="0"/>
    <n v="0"/>
    <n v="14.933999999999999"/>
    <n v="28.7"/>
    <n v="38"/>
    <n v="755.26315789473688"/>
    <x v="0"/>
    <x v="0"/>
    <n v="1"/>
    <n v="2"/>
    <n v="65.5"/>
  </r>
  <r>
    <d v="2025-01-06T15:38:00"/>
    <s v="INYECTADO"/>
    <x v="1"/>
    <x v="2"/>
    <s v="ALEXANDER MORENO"/>
    <s v="SEGUNDA"/>
    <s v="."/>
    <s v="PP INY MOLIDO"/>
    <x v="1"/>
    <s v="PALA RASTRILLO ROMANO-ROJO"/>
    <n v="454"/>
    <n v="4"/>
    <n v="33.200000000000003"/>
    <s v="DIURNO"/>
    <n v="0"/>
    <n v="6"/>
    <n v="953"/>
    <n v="20636"/>
    <s v="ROJO"/>
    <n v="5.4"/>
    <n v="0"/>
    <n v="0"/>
    <n v="17.251999999999999"/>
    <n v="33.200000000000003"/>
    <n v="38"/>
    <n v="873.68421052631584"/>
    <x v="0"/>
    <x v="0"/>
    <n v="1"/>
    <n v="2"/>
    <n v="75.666666666666671"/>
  </r>
  <r>
    <d v="2025-01-06T15:38:00"/>
    <s v="INYECTADO"/>
    <x v="1"/>
    <x v="2"/>
    <s v="WALTER GUEVARA"/>
    <s v="SEGUNDA"/>
    <s v="."/>
    <s v="PP INY MOLIDO"/>
    <x v="1"/>
    <s v="PALA RASTRILLO ROMANO-ROJO"/>
    <n v="338"/>
    <n v="4"/>
    <n v="24.9"/>
    <s v="NOCTURNO"/>
    <n v="0"/>
    <n v="4"/>
    <n v="953"/>
    <n v="20637"/>
    <s v="ROJO"/>
    <n v="3.9"/>
    <n v="0"/>
    <n v="0"/>
    <n v="12.843999999999999"/>
    <n v="24.9"/>
    <n v="38"/>
    <n v="655.26315789473688"/>
    <x v="0"/>
    <x v="0"/>
    <n v="1"/>
    <n v="2"/>
    <n v="56.333333333333336"/>
  </r>
  <r>
    <d v="2025-01-06T15:38:00"/>
    <s v="INYECTADO"/>
    <x v="1"/>
    <x v="2"/>
    <s v="WALTER GUEVARA"/>
    <s v="SEGUNDA"/>
    <s v="."/>
    <s v="PP INY MOLIDO"/>
    <x v="1"/>
    <s v="PALA RASTRILLO ROMANO-FUCSIA"/>
    <n v="680"/>
    <n v="6"/>
    <n v="50"/>
    <s v="NOCTURNO"/>
    <n v="0"/>
    <n v="6"/>
    <n v="953"/>
    <n v="20637"/>
    <s v="FUCSIA"/>
    <n v="9.6"/>
    <n v="0"/>
    <n v="0"/>
    <n v="25.84"/>
    <n v="50"/>
    <n v="38"/>
    <n v="1315.7894736842106"/>
    <x v="0"/>
    <x v="0"/>
    <n v="1"/>
    <n v="2"/>
    <n v="113.33333333333333"/>
  </r>
  <r>
    <d v="2025-01-06T15:38:00"/>
    <s v="INYECTADO"/>
    <x v="1"/>
    <x v="2"/>
    <s v="WALTER GUEVARA"/>
    <s v="SEGUNDA"/>
    <s v="."/>
    <s v="PP INY MOLIDO"/>
    <x v="1"/>
    <s v="PALA RASTRILLO ROMANO-VERDE"/>
    <n v="204"/>
    <n v="2"/>
    <n v="15"/>
    <s v="NOCTURNO"/>
    <n v="0"/>
    <n v="2"/>
    <n v="953"/>
    <n v="20637"/>
    <s v="VERDE"/>
    <n v="0"/>
    <n v="0"/>
    <n v="0"/>
    <n v="7.7519999999999998"/>
    <n v="15"/>
    <n v="38"/>
    <n v="394.73684210526318"/>
    <x v="0"/>
    <x v="0"/>
    <n v="1"/>
    <n v="2"/>
    <n v="34"/>
  </r>
  <r>
    <d v="2025-01-06T15:38:00"/>
    <s v="INYECTADO"/>
    <x v="1"/>
    <x v="3"/>
    <s v="SEBASTIAN MURGA"/>
    <s v="SEGUNDA"/>
    <s v="."/>
    <s v="PP INY MOLIDO"/>
    <x v="1"/>
    <s v="PALA RASTRILLO ROMANO-VERDE"/>
    <n v="289"/>
    <n v="3"/>
    <n v="21.3"/>
    <s v="DIURNO"/>
    <n v="0"/>
    <n v="4"/>
    <n v="953"/>
    <n v="20638"/>
    <s v="VERDE"/>
    <n v="1.3"/>
    <n v="0"/>
    <n v="0"/>
    <n v="10.981999999999999"/>
    <n v="21.3"/>
    <n v="38"/>
    <n v="560.52631578947364"/>
    <x v="0"/>
    <x v="0"/>
    <n v="1"/>
    <n v="2"/>
    <n v="48.166666666666664"/>
  </r>
  <r>
    <d v="2025-01-06T15:38:00"/>
    <s v="INYECTADO"/>
    <x v="1"/>
    <x v="3"/>
    <s v="SEBASTIAN MURGA"/>
    <s v="SEGUNDA"/>
    <s v="."/>
    <s v="PP INY MOLIDO"/>
    <x v="1"/>
    <s v="PALA RASTRILLO ROMANO-AZUL"/>
    <n v="404"/>
    <n v="4"/>
    <n v="29.7"/>
    <s v="DIURNO"/>
    <n v="0"/>
    <n v="4"/>
    <n v="953"/>
    <n v="20638"/>
    <s v="AZUL"/>
    <n v="8.4"/>
    <n v="0"/>
    <n v="0"/>
    <n v="15.352"/>
    <n v="29.7"/>
    <n v="38"/>
    <n v="781.57894736842104"/>
    <x v="0"/>
    <x v="0"/>
    <n v="1"/>
    <n v="2"/>
    <n v="67.333333333333329"/>
  </r>
  <r>
    <d v="2025-01-06T15:38:00"/>
    <s v="INYECTADO"/>
    <x v="1"/>
    <x v="3"/>
    <s v="SEBASTIAN MURGA"/>
    <s v="VIRGEN"/>
    <s v="PP CLARIFICADO"/>
    <s v="."/>
    <x v="1"/>
    <s v="PALA RASTRILLO ROMANO-AMARILLO"/>
    <n v="107"/>
    <n v="1"/>
    <n v="7.9"/>
    <s v="DIURNO"/>
    <n v="0"/>
    <n v="2"/>
    <n v="953"/>
    <n v="20638"/>
    <s v="AMARILLO"/>
    <n v="2.9"/>
    <n v="0"/>
    <n v="0"/>
    <n v="4.0659999999999998"/>
    <n v="7.9"/>
    <n v="38"/>
    <n v="207.89473684210526"/>
    <x v="0"/>
    <x v="0"/>
    <n v="1"/>
    <n v="2"/>
    <n v="17.833333333333332"/>
  </r>
  <r>
    <d v="2025-01-06T15:38:00"/>
    <s v="INYECTADO"/>
    <x v="1"/>
    <x v="3"/>
    <s v="JUAN MANUEL PEREZ"/>
    <s v="SEGUNDA"/>
    <s v="."/>
    <s v="PP INY MOLIDO"/>
    <x v="1"/>
    <s v="PALA RASTRILLO ROMANO-AZUL"/>
    <n v="293"/>
    <n v="3"/>
    <n v="21.6"/>
    <s v="NOCTURNO"/>
    <n v="0"/>
    <n v="2"/>
    <n v="953"/>
    <n v="20639"/>
    <s v="AZUL"/>
    <n v="2.2000000000000002"/>
    <n v="0"/>
    <n v="0"/>
    <n v="11.134"/>
    <n v="21.6"/>
    <n v="38"/>
    <n v="568.42105263157896"/>
    <x v="0"/>
    <x v="0"/>
    <n v="1"/>
    <n v="2"/>
    <n v="48.833333333333336"/>
  </r>
  <r>
    <d v="2025-01-06T15:38:00"/>
    <s v="INYECTADO"/>
    <x v="1"/>
    <x v="3"/>
    <s v="JUAN MANUEL PEREZ"/>
    <s v="VIRGEN"/>
    <s v="PP CLARIFICADO"/>
    <s v="."/>
    <x v="1"/>
    <s v="PALA RASTRILLO ROMANO-AMARILLO"/>
    <n v="544"/>
    <n v="5"/>
    <n v="40"/>
    <s v="NOCTURNO"/>
    <n v="0"/>
    <n v="6"/>
    <n v="953"/>
    <n v="20639"/>
    <s v="AMARILLO"/>
    <n v="3.2"/>
    <n v="0"/>
    <n v="0"/>
    <n v="20.672000000000001"/>
    <n v="40"/>
    <n v="38"/>
    <n v="1052.6315789473683"/>
    <x v="0"/>
    <x v="0"/>
    <n v="1"/>
    <n v="2"/>
    <n v="90.666666666666671"/>
  </r>
  <r>
    <d v="2025-01-06T15:38:00"/>
    <s v="INYECTADO"/>
    <x v="2"/>
    <x v="0"/>
    <s v="JUAN CARLOS CEDENO"/>
    <s v="SEGUNDA"/>
    <s v="."/>
    <s v="MIXTO"/>
    <x v="2"/>
    <s v="EMBUDO #2-ROJO"/>
    <n v="165"/>
    <n v="3"/>
    <n v="21.9"/>
    <s v="DIURNO"/>
    <n v="0"/>
    <n v="2"/>
    <n v="949"/>
    <n v="19692"/>
    <s v="ROJO"/>
    <n v="9.6999999999999993"/>
    <n v="0"/>
    <n v="0"/>
    <n v="5.7750000000000004"/>
    <n v="21.9"/>
    <n v="35"/>
    <n v="625.71428571428567"/>
    <x v="0"/>
    <x v="0"/>
    <n v="1"/>
    <n v="4"/>
    <n v="55"/>
  </r>
  <r>
    <d v="2025-01-06T15:38:00"/>
    <s v="INYECTADO"/>
    <x v="2"/>
    <x v="0"/>
    <s v="JUAN CARLOS CEDENO"/>
    <s v="SEGUNDA"/>
    <s v="."/>
    <s v="MIXTO"/>
    <x v="2"/>
    <s v="EMBUDO #2-AMARILLO"/>
    <n v="561"/>
    <n v="6"/>
    <n v="74.400000000000006"/>
    <s v="DIURNO"/>
    <n v="0"/>
    <n v="9"/>
    <n v="949"/>
    <n v="19692"/>
    <s v="AMARILLO"/>
    <n v="10.1"/>
    <n v="0"/>
    <n v="0"/>
    <n v="19.635000000000002"/>
    <n v="74.400000000000006"/>
    <n v="35"/>
    <n v="2125.7142857142858"/>
    <x v="0"/>
    <x v="0"/>
    <n v="1"/>
    <n v="4"/>
    <n v="187"/>
  </r>
  <r>
    <d v="2025-01-06T15:38:00"/>
    <s v="INYECTADO"/>
    <x v="2"/>
    <x v="1"/>
    <s v="JUAN CARLOS CEDENO"/>
    <s v="SEGUNDA"/>
    <s v="."/>
    <s v="MIXTO"/>
    <x v="2"/>
    <s v="EMBUDO #2-AMARILLO"/>
    <n v="34"/>
    <n v="1"/>
    <n v="4.5999999999999996"/>
    <s v="DIURNO"/>
    <n v="0"/>
    <n v="1"/>
    <n v="949"/>
    <n v="19693"/>
    <s v="AMARILLO"/>
    <n v="4.3"/>
    <n v="0"/>
    <n v="0"/>
    <n v="1.19"/>
    <n v="4.5999999999999996"/>
    <n v="35"/>
    <n v="131.42857142857142"/>
    <x v="0"/>
    <x v="0"/>
    <n v="1"/>
    <n v="4"/>
    <n v="11.333333333333334"/>
  </r>
  <r>
    <d v="2025-01-06T15:38:00"/>
    <s v="INYECTADO"/>
    <x v="2"/>
    <x v="1"/>
    <s v="JUAN CARLOS CEDENO"/>
    <s v="SEGUNDA"/>
    <s v="."/>
    <s v="MIXTO"/>
    <x v="2"/>
    <s v="EMBUDO #2-ANARANJADO"/>
    <n v="641"/>
    <n v="6"/>
    <n v="85"/>
    <s v="DIURNO"/>
    <n v="0"/>
    <n v="8"/>
    <n v="949"/>
    <n v="19693"/>
    <s v="ANARNJADO"/>
    <n v="19.8"/>
    <n v="0"/>
    <n v="0"/>
    <n v="22.434999999999999"/>
    <n v="85"/>
    <n v="35"/>
    <n v="2428.5714285714284"/>
    <x v="0"/>
    <x v="0"/>
    <n v="1"/>
    <n v="4"/>
    <n v="213.66666666666666"/>
  </r>
  <r>
    <d v="2025-01-06T15:38:00"/>
    <s v="INYECTADO"/>
    <x v="2"/>
    <x v="1"/>
    <s v="JUAN CARLOS CEDENO"/>
    <s v="SEGUNDA"/>
    <s v="."/>
    <s v="MIXTO"/>
    <x v="2"/>
    <s v="EMBUDO #2-ROJO"/>
    <n v="155"/>
    <n v="2"/>
    <n v="20.6"/>
    <s v="DIURNO"/>
    <n v="0"/>
    <n v="2"/>
    <n v="949"/>
    <n v="19693"/>
    <s v="ROJO"/>
    <n v="5"/>
    <n v="0"/>
    <n v="0"/>
    <n v="5.4249999999999998"/>
    <n v="20.6"/>
    <n v="35"/>
    <n v="588.57142857142856"/>
    <x v="0"/>
    <x v="0"/>
    <n v="1"/>
    <n v="4"/>
    <n v="51.666666666666664"/>
  </r>
  <r>
    <d v="2025-01-06T15:38:00"/>
    <s v="INYECTADO"/>
    <x v="2"/>
    <x v="1"/>
    <s v="JUAN CARLOS CEDENO"/>
    <s v="SEGUNDA"/>
    <s v="."/>
    <s v="MIXTO"/>
    <x v="2"/>
    <s v="EMBUDO #2-AZUL"/>
    <n v="93"/>
    <n v="1"/>
    <n v="12.4"/>
    <s v="DIURNO"/>
    <n v="0"/>
    <n v="1"/>
    <n v="949"/>
    <n v="19693"/>
    <s v="AZUL"/>
    <n v="0"/>
    <n v="0"/>
    <n v="0"/>
    <n v="3.2549999999999999"/>
    <n v="12.4"/>
    <n v="35"/>
    <n v="354.28571428571428"/>
    <x v="0"/>
    <x v="0"/>
    <n v="1"/>
    <n v="4"/>
    <n v="31"/>
  </r>
  <r>
    <d v="2025-01-06T15:38:00"/>
    <s v="INYECTADO"/>
    <x v="3"/>
    <x v="0"/>
    <s v="NELSON PINEDO"/>
    <s v="SEGUNDA"/>
    <s v="."/>
    <s v="PP INY MOLIDO"/>
    <x v="3"/>
    <s v="CERNIDOR CASTILLO-ROJO"/>
    <n v="290"/>
    <n v="3"/>
    <n v="43.6"/>
    <s v="DIURNO"/>
    <n v="0"/>
    <n v="9"/>
    <n v="958"/>
    <n v="19365"/>
    <s v="ROJO"/>
    <n v="21.5"/>
    <n v="0"/>
    <n v="0"/>
    <n v="21.75"/>
    <n v="43.6"/>
    <n v="75"/>
    <n v="581.33333333333337"/>
    <x v="0"/>
    <x v="0"/>
    <n v="1"/>
    <n v="2"/>
    <n v="48.333333333333336"/>
  </r>
  <r>
    <d v="2025-01-06T15:38:00"/>
    <s v="INYECTADO"/>
    <x v="3"/>
    <x v="0"/>
    <s v="NELSON PINEDO"/>
    <s v="SEGUNDA"/>
    <s v="."/>
    <s v="PP INY MOLIDO"/>
    <x v="3"/>
    <s v="CERNIDOR CASTILLO-VERDE"/>
    <n v="270"/>
    <n v="3"/>
    <n v="41.3"/>
    <s v="DIURNO"/>
    <n v="0"/>
    <n v="8"/>
    <n v="958"/>
    <n v="19365"/>
    <s v="VERDE"/>
    <n v="5.9"/>
    <n v="0"/>
    <n v="0"/>
    <n v="20.25"/>
    <n v="41.3"/>
    <n v="75"/>
    <n v="550.66666666666663"/>
    <x v="0"/>
    <x v="0"/>
    <n v="1"/>
    <n v="2"/>
    <n v="45"/>
  </r>
  <r>
    <d v="2025-01-06T15:38:00"/>
    <s v="INYECTADO"/>
    <x v="3"/>
    <x v="0"/>
    <s v="NELSON PINEDO"/>
    <s v="SEGUNDA"/>
    <s v="."/>
    <s v="PP INY MOLIDO"/>
    <x v="3"/>
    <s v="CERNIDOR CASTILLO-AZUL"/>
    <n v="195"/>
    <n v="3"/>
    <n v="29.3"/>
    <s v="DIURNO"/>
    <n v="0"/>
    <n v="6"/>
    <n v="958"/>
    <n v="19365"/>
    <s v="AZUL"/>
    <n v="0"/>
    <n v="0"/>
    <n v="0"/>
    <n v="14.625"/>
    <n v="29.3"/>
    <n v="75"/>
    <n v="390.66666666666669"/>
    <x v="0"/>
    <x v="0"/>
    <n v="1"/>
    <n v="2"/>
    <n v="32.5"/>
  </r>
  <r>
    <d v="2025-01-06T15:38:00"/>
    <s v="INYECTADO"/>
    <x v="3"/>
    <x v="1"/>
    <s v="ALEXANDER MORENO"/>
    <s v="SEGUNDA"/>
    <s v="."/>
    <s v="PP INY MOLIDO"/>
    <x v="3"/>
    <s v="CERNIDOR CASTILLO-AZUL"/>
    <n v="185"/>
    <n v="2"/>
    <n v="27.8"/>
    <s v="DIURNO"/>
    <n v="0"/>
    <n v="5"/>
    <n v="958"/>
    <n v="19366"/>
    <s v="AZUL"/>
    <n v="5.3"/>
    <n v="0"/>
    <n v="0"/>
    <n v="13.875"/>
    <n v="27.8"/>
    <n v="75"/>
    <n v="370.66666666666669"/>
    <x v="0"/>
    <x v="0"/>
    <n v="1"/>
    <n v="2"/>
    <n v="30.833333333333332"/>
  </r>
  <r>
    <d v="2025-01-06T15:38:00"/>
    <s v="INYECTADO"/>
    <x v="3"/>
    <x v="1"/>
    <s v="ALEXANDER MORENO"/>
    <s v="SEGUNDA"/>
    <s v="."/>
    <s v="PP INY MOLIDO"/>
    <x v="3"/>
    <s v="CERNIDOR CASTILLO-FUCSIA"/>
    <n v="212"/>
    <n v="5"/>
    <n v="31.7"/>
    <s v="DIURNO"/>
    <n v="0"/>
    <n v="6"/>
    <n v="958"/>
    <n v="19366"/>
    <s v="FUCSIA"/>
    <n v="16.3"/>
    <n v="0"/>
    <n v="0"/>
    <n v="15.9"/>
    <n v="31.7"/>
    <n v="75"/>
    <n v="422.66666666666669"/>
    <x v="0"/>
    <x v="0"/>
    <n v="1"/>
    <n v="2"/>
    <n v="35.333333333333336"/>
  </r>
  <r>
    <d v="2025-01-06T15:38:00"/>
    <s v="INYECTADO"/>
    <x v="3"/>
    <x v="1"/>
    <s v="ALEXANDER MORENO"/>
    <s v="SEGUNDA"/>
    <s v="."/>
    <s v="PP INY MOLIDO"/>
    <x v="3"/>
    <s v="CERNIDOR CASTILLO-LILA"/>
    <n v="195"/>
    <n v="3"/>
    <n v="29.3"/>
    <s v="DIURNO"/>
    <n v="0"/>
    <n v="6"/>
    <n v="958"/>
    <n v="19366"/>
    <s v="LILA"/>
    <n v="10"/>
    <n v="0"/>
    <n v="0"/>
    <n v="14.625"/>
    <n v="29.3"/>
    <n v="75"/>
    <n v="390.66666666666669"/>
    <x v="0"/>
    <x v="0"/>
    <n v="1"/>
    <n v="2"/>
    <n v="32.5"/>
  </r>
  <r>
    <d v="2025-01-06T15:38:00"/>
    <s v="INYECTADO"/>
    <x v="3"/>
    <x v="2"/>
    <s v="JUAN CARLOS CEDENO"/>
    <s v="VIRGEN"/>
    <s v="PP CLARIFICADO"/>
    <s v="."/>
    <x v="3"/>
    <s v="CERNIDOR CASTILLO-AMARILLO"/>
    <n v="489"/>
    <n v="6"/>
    <n v="71.900000000000006"/>
    <s v="DIURNO"/>
    <n v="0"/>
    <n v="15"/>
    <n v="958"/>
    <n v="19367"/>
    <s v="AMARILLO"/>
    <n v="12.9"/>
    <n v="0"/>
    <n v="0"/>
    <n v="36.674999999999997"/>
    <n v="71.900000000000006"/>
    <n v="75"/>
    <n v="958.66666666666663"/>
    <x v="0"/>
    <x v="0"/>
    <n v="1"/>
    <n v="2"/>
    <n v="81.5"/>
  </r>
  <r>
    <d v="2025-01-06T15:38:00"/>
    <s v="INYECTADO"/>
    <x v="3"/>
    <x v="2"/>
    <s v="JUAN CARLOS CEDENO"/>
    <s v="SEGUNDA"/>
    <s v="."/>
    <s v="PP INY MOLIDO"/>
    <x v="3"/>
    <s v="CERNIDOR CASTILLO-VERDE"/>
    <n v="331"/>
    <n v="3"/>
    <n v="48.8"/>
    <s v="DIURNO"/>
    <n v="0"/>
    <n v="10"/>
    <n v="958"/>
    <n v="19367"/>
    <s v="VERDE"/>
    <n v="8.5"/>
    <n v="0"/>
    <n v="0"/>
    <n v="24.824999999999999"/>
    <n v="48.8"/>
    <n v="75"/>
    <n v="650.66666666666663"/>
    <x v="0"/>
    <x v="0"/>
    <n v="1"/>
    <n v="2"/>
    <n v="55.166666666666664"/>
  </r>
  <r>
    <d v="2025-01-06T15:38:00"/>
    <s v="INYECTADO"/>
    <x v="3"/>
    <x v="2"/>
    <s v="JUAN CARLOS CEDENO"/>
    <s v="SEGUNDA"/>
    <s v="."/>
    <s v="PP INY MOLIDO"/>
    <x v="3"/>
    <s v="CERNIDOR CASTILLO-ROJO"/>
    <n v="70"/>
    <n v="1"/>
    <n v="10.3"/>
    <s v="DIURNO"/>
    <n v="0"/>
    <n v="2"/>
    <n v="958"/>
    <n v="19367"/>
    <s v="ROJO"/>
    <n v="1.6"/>
    <n v="0"/>
    <n v="0"/>
    <n v="5.25"/>
    <n v="10.3"/>
    <n v="75"/>
    <n v="137.33333333333334"/>
    <x v="0"/>
    <x v="0"/>
    <n v="1"/>
    <n v="2"/>
    <n v="11.666666666666666"/>
  </r>
  <r>
    <d v="2025-01-06T15:38:00"/>
    <s v="INYECTADO"/>
    <x v="3"/>
    <x v="3"/>
    <s v="SAID VILLAMIZAR"/>
    <s v="SEGUNDA"/>
    <s v="."/>
    <s v="PP INY MOLIDO"/>
    <x v="3"/>
    <s v="CERNIDOR CASTILLO-ROJO"/>
    <n v="276"/>
    <n v="3"/>
    <n v="40.299999999999997"/>
    <s v="DIURNO"/>
    <n v="0"/>
    <n v="0"/>
    <n v="958"/>
    <n v="19368"/>
    <s v="ROJO"/>
    <n v="7.6"/>
    <n v="0"/>
    <n v="0"/>
    <n v="20.7"/>
    <n v="40.299999999999997"/>
    <n v="75"/>
    <n v="537.33333333333337"/>
    <x v="0"/>
    <x v="0"/>
    <n v="1"/>
    <n v="2"/>
    <n v="46"/>
  </r>
  <r>
    <d v="2025-01-06T15:38:00"/>
    <s v="INYECTADO"/>
    <x v="3"/>
    <x v="3"/>
    <s v="SAID VILLAMIZAR"/>
    <s v="SEGUNDA"/>
    <s v="."/>
    <s v="PP INY MOLIDO"/>
    <x v="3"/>
    <s v="CERNIDOR CASTILLO-FUCSIA"/>
    <n v="337"/>
    <n v="4"/>
    <n v="49.3"/>
    <s v="DIURNO"/>
    <n v="0"/>
    <n v="0"/>
    <n v="958"/>
    <n v="19368"/>
    <s v="FUCSIA"/>
    <n v="0"/>
    <n v="0"/>
    <n v="0"/>
    <n v="25.274999999999999"/>
    <n v="49.3"/>
    <n v="75"/>
    <n v="657.33333333333337"/>
    <x v="0"/>
    <x v="0"/>
    <n v="1"/>
    <n v="2"/>
    <n v="56.166666666666664"/>
  </r>
  <r>
    <d v="2025-01-06T15:38:00"/>
    <s v="INYECTADO"/>
    <x v="3"/>
    <x v="3"/>
    <s v="SAID VILLAMIZAR"/>
    <s v="SEGUNDA"/>
    <s v="."/>
    <s v="PP INY MOLIDO"/>
    <x v="3"/>
    <s v="CERNIDOR CASTILLO-AZUL"/>
    <n v="112"/>
    <n v="1"/>
    <n v="16.399999999999999"/>
    <s v="DIURNO"/>
    <n v="0"/>
    <n v="0"/>
    <n v="958"/>
    <n v="19367"/>
    <s v="AZUL"/>
    <n v="0"/>
    <n v="0"/>
    <n v="0"/>
    <n v="8.4"/>
    <n v="16.399999999999999"/>
    <n v="75"/>
    <n v="218.66666666666666"/>
    <x v="0"/>
    <x v="0"/>
    <n v="1"/>
    <n v="2"/>
    <n v="18.666666666666668"/>
  </r>
  <r>
    <d v="2025-01-19T16:13:00"/>
    <s v="INYECTADO"/>
    <x v="4"/>
    <x v="4"/>
    <s v="GABRIEL REQUENA"/>
    <s v="VIRGEN"/>
    <s v="PP CLARIFICADO"/>
    <s v="."/>
    <x v="4"/>
    <s v="PUNTA DOBLE CLICK-NEGRO"/>
    <n v="1739"/>
    <n v="9"/>
    <n v="71.3"/>
    <s v="DIURNO"/>
    <n v="0"/>
    <n v="5"/>
    <n v="944"/>
    <n v="20406"/>
    <s v="NEGRO"/>
    <n v="18.100000000000001"/>
    <n v="0"/>
    <n v="0"/>
    <n v="6.0865"/>
    <n v="71.3"/>
    <n v="3.5"/>
    <n v="20371.428571428572"/>
    <x v="0"/>
    <x v="0"/>
    <n v="2"/>
    <n v="12"/>
    <n v="1739"/>
  </r>
  <r>
    <d v="2025-01-19T16:13:00"/>
    <s v="INYECTADO"/>
    <x v="4"/>
    <x v="5"/>
    <s v="LUIS RENGIFO"/>
    <s v="VIRGEN"/>
    <s v="CRISTAL"/>
    <s v="."/>
    <x v="5"/>
    <s v="PUNTA TAPA SORBETE-TRANSPARENTE"/>
    <n v="150"/>
    <n v="1"/>
    <n v="10.6"/>
    <s v="DIURNO"/>
    <n v="0"/>
    <n v="1"/>
    <n v="968"/>
    <n v="20407"/>
    <s v="TRANSPARENTE"/>
    <n v="4.5999999999999996"/>
    <n v="0"/>
    <n v="0"/>
    <n v="0.9"/>
    <n v="10.6"/>
    <n v="6"/>
    <n v="1766.6666666666667"/>
    <x v="0"/>
    <x v="0"/>
    <n v="3"/>
    <n v="12"/>
    <n v="150"/>
  </r>
  <r>
    <d v="2025-01-19T16:13:00"/>
    <s v="INYECTADO"/>
    <x v="4"/>
    <x v="6"/>
    <s v="JUAN CARLOS CEDENO"/>
    <s v="VIRGEN"/>
    <s v="CRISTAL"/>
    <s v="."/>
    <x v="5"/>
    <s v="PUNTA TAPA SORBETE-TRANSPARENTE"/>
    <n v="301"/>
    <n v="5"/>
    <n v="21.6"/>
    <s v="DIURNO"/>
    <n v="0"/>
    <n v="2"/>
    <n v="968"/>
    <n v="20408"/>
    <s v="TRANSPARENTE"/>
    <n v="11.3"/>
    <n v="0"/>
    <n v="0"/>
    <n v="1.806"/>
    <n v="21.6"/>
    <n v="6"/>
    <n v="3600"/>
    <x v="0"/>
    <x v="0"/>
    <n v="3"/>
    <n v="12"/>
    <n v="301"/>
  </r>
  <r>
    <d v="2025-02-09T10:08:00"/>
    <s v="INYECTADO"/>
    <x v="4"/>
    <x v="7"/>
    <s v="CARLOS SULCA"/>
    <s v="VIRGEN"/>
    <s v="CRISTAL"/>
    <s v="."/>
    <x v="5"/>
    <s v="PUNTA TAPA SORBETE-TRANSPARENTE"/>
    <n v="177"/>
    <n v="1"/>
    <n v="11.6"/>
    <s v="DIURNO"/>
    <n v="0"/>
    <n v="1"/>
    <n v="968"/>
    <n v="20409"/>
    <s v="TRANSPARENTE"/>
    <n v="5.4"/>
    <n v="0"/>
    <n v="0"/>
    <n v="1.0620000000000001"/>
    <n v="11.6"/>
    <n v="6"/>
    <n v="1933.3333333333333"/>
    <x v="0"/>
    <x v="0"/>
    <n v="5"/>
    <n v="12"/>
    <n v="177"/>
  </r>
  <r>
    <d v="2025-02-09T10:08:00"/>
    <s v="INYECTADO"/>
    <x v="4"/>
    <x v="8"/>
    <s v="FABIAN HERNANDEZ"/>
    <s v="VIRGEN"/>
    <s v="PP CLARIFICADO"/>
    <s v="."/>
    <x v="4"/>
    <s v="PUNTA DOBLE CLICK-AMARILLO"/>
    <n v="785"/>
    <n v="4"/>
    <n v="37"/>
    <s v="NOCTURNO"/>
    <n v="0"/>
    <n v="4"/>
    <n v="983"/>
    <n v="20410"/>
    <s v="AMARILLO"/>
    <n v="16.2"/>
    <n v="0"/>
    <n v="0"/>
    <n v="2.7475000000000001"/>
    <n v="37"/>
    <n v="3.5"/>
    <n v="10571.428571428571"/>
    <x v="0"/>
    <x v="0"/>
    <n v="5"/>
    <n v="12"/>
    <n v="785"/>
  </r>
  <r>
    <d v="2025-02-09T10:08:00"/>
    <s v="INYECTADO"/>
    <x v="4"/>
    <x v="8"/>
    <s v="FABIAN HERNANDEZ"/>
    <s v="VIRGEN"/>
    <s v="PP CLARIFICADO"/>
    <s v="."/>
    <x v="4"/>
    <s v="PUNTA DOBLE CLICK-LILA"/>
    <n v="607"/>
    <n v="5"/>
    <n v="25.5"/>
    <s v="NOCTURNO"/>
    <n v="0"/>
    <n v="2"/>
    <n v="983"/>
    <n v="20410"/>
    <s v="LILA"/>
    <n v="13.4"/>
    <n v="0"/>
    <n v="0"/>
    <n v="2.1244999999999998"/>
    <n v="25.5"/>
    <n v="3.5"/>
    <n v="7285.7142857142853"/>
    <x v="0"/>
    <x v="0"/>
    <n v="5"/>
    <n v="12"/>
    <n v="607"/>
  </r>
  <r>
    <d v="2025-01-19T16:13:00"/>
    <s v="INYECTADO"/>
    <x v="5"/>
    <x v="4"/>
    <s v="SAID VILLAMIZAR"/>
    <s v="VIRGEN"/>
    <s v="PP CLARIFICADO"/>
    <s v="."/>
    <x v="6"/>
    <s v="TAPA TOMATODO DOBLE CLICK-TURQUESA"/>
    <n v="60"/>
    <n v="1"/>
    <n v="11"/>
    <s v="DIURNO"/>
    <n v="0"/>
    <n v="2"/>
    <n v="966"/>
    <n v="20325"/>
    <s v="TURQUESA"/>
    <n v="11"/>
    <n v="0"/>
    <n v="0"/>
    <n v="1.3284"/>
    <n v="11"/>
    <n v="22.14"/>
    <n v="496.83830171635049"/>
    <x v="0"/>
    <x v="0"/>
    <n v="2"/>
    <n v="7"/>
    <n v="35"/>
  </r>
  <r>
    <d v="2025-01-19T16:13:00"/>
    <s v="INYECTADO"/>
    <x v="5"/>
    <x v="5"/>
    <s v="ISABEL LINARIZ "/>
    <s v="VIRGEN"/>
    <s v="PP CLARIFICADO"/>
    <s v="."/>
    <x v="6"/>
    <s v="TAPA TOMATODO DOBLE CLICK-TURQUESA"/>
    <n v="245"/>
    <n v="4"/>
    <n v="39.1"/>
    <s v="DIURNO"/>
    <n v="0"/>
    <n v="0"/>
    <n v="966"/>
    <n v="20329"/>
    <s v="TURQUESA"/>
    <n v="39.1"/>
    <n v="0"/>
    <n v="0"/>
    <n v="5.4243000000000006"/>
    <n v="39.1"/>
    <n v="22.14"/>
    <n v="1766.0343270099368"/>
    <x v="0"/>
    <x v="0"/>
    <n v="3"/>
    <n v="7"/>
    <n v="142.91666666666666"/>
  </r>
  <r>
    <d v="2025-01-19T16:13:00"/>
    <s v="INYECTADO"/>
    <x v="5"/>
    <x v="5"/>
    <s v="ISABEL LINARIZ "/>
    <s v="VIRGEN"/>
    <s v="PP CLARIFICADO"/>
    <s v="."/>
    <x v="6"/>
    <s v="TAPA TOMATODO DOBLE CLICK-FUCSIA"/>
    <n v="213"/>
    <n v="5"/>
    <n v="45.08"/>
    <s v="DIURNO"/>
    <n v="0"/>
    <n v="0"/>
    <n v="966"/>
    <n v="20329"/>
    <s v="FUCSIA"/>
    <n v="8.6999999999999993"/>
    <n v="0"/>
    <n v="0"/>
    <n v="4.7158199999999999"/>
    <n v="45.08"/>
    <n v="22.14"/>
    <n v="2036.13369467028"/>
    <x v="0"/>
    <x v="0"/>
    <n v="3"/>
    <n v="7"/>
    <n v="124.25"/>
  </r>
  <r>
    <d v="2025-01-19T16:13:00"/>
    <s v="INYECTADO"/>
    <x v="5"/>
    <x v="5"/>
    <s v="ISABEL LINARIZ "/>
    <s v="VIRGEN"/>
    <s v="PP CLARIFICADO"/>
    <s v="."/>
    <x v="6"/>
    <s v="TAPA TOMATODO DOBLE CLICK-LILA"/>
    <n v="35"/>
    <n v="1"/>
    <n v="6.4"/>
    <s v="DIURNO"/>
    <n v="0"/>
    <n v="0"/>
    <n v="966"/>
    <n v="20329"/>
    <s v="LILA"/>
    <n v="6.4"/>
    <n v="0"/>
    <n v="0"/>
    <n v="0.77489999999999992"/>
    <n v="6.4"/>
    <n v="22.14"/>
    <n v="289.06955736224029"/>
    <x v="0"/>
    <x v="0"/>
    <n v="3"/>
    <n v="7"/>
    <n v="20.416666666666668"/>
  </r>
  <r>
    <d v="2025-01-19T16:13:00"/>
    <s v="INYECTADO"/>
    <x v="5"/>
    <x v="6"/>
    <s v="GABRIEL REQUENA"/>
    <s v="VIRGEN"/>
    <s v="PP CLARIFICADO"/>
    <s v="."/>
    <x v="6"/>
    <s v="TAPA TOMATODO DOBLE CLICK-LILA"/>
    <n v="78"/>
    <n v="1"/>
    <n v="14.3"/>
    <s v="DIURNO"/>
    <n v="0"/>
    <n v="0"/>
    <n v="966"/>
    <n v="20334"/>
    <s v="LILA"/>
    <n v="6.9"/>
    <n v="0"/>
    <n v="0"/>
    <n v="1.72692"/>
    <n v="14.3"/>
    <n v="22.14"/>
    <n v="645.88979223125568"/>
    <x v="0"/>
    <x v="0"/>
    <n v="3"/>
    <n v="7"/>
    <n v="45.5"/>
  </r>
  <r>
    <d v="2025-01-19T16:13:00"/>
    <s v="INYECTADO"/>
    <x v="5"/>
    <x v="6"/>
    <s v="GABRIEL REQUENA"/>
    <s v="VIRGEN"/>
    <s v="PP CLARIFICADO"/>
    <s v="."/>
    <x v="6"/>
    <s v="TAPA TOMATODO DOBLE CLICK-AZURE"/>
    <n v="264"/>
    <n v="4"/>
    <n v="48.8"/>
    <s v="DIURNO"/>
    <n v="0"/>
    <n v="0"/>
    <n v="966"/>
    <n v="20334"/>
    <s v="AZURE"/>
    <n v="0"/>
    <n v="0"/>
    <n v="0"/>
    <n v="5.8449600000000004"/>
    <n v="48.8"/>
    <n v="22.14"/>
    <n v="2204.155374887082"/>
    <x v="0"/>
    <x v="0"/>
    <n v="3"/>
    <n v="7"/>
    <n v="154"/>
  </r>
  <r>
    <d v="2025-01-19T16:13:00"/>
    <s v="INYECTADO"/>
    <x v="5"/>
    <x v="6"/>
    <s v="GABRIEL REQUENA"/>
    <s v="VIRGEN"/>
    <s v="PP CLARIFICADO"/>
    <s v="."/>
    <x v="6"/>
    <s v="TAPA TOMATODO DOBLE CLICK-CELESTE"/>
    <n v="141"/>
    <n v="2"/>
    <n v="26.1"/>
    <s v="DIURNO"/>
    <n v="0"/>
    <n v="0"/>
    <n v="966"/>
    <n v="20334"/>
    <s v="CELESTE"/>
    <n v="14.6"/>
    <n v="0"/>
    <n v="0"/>
    <n v="3.1217400000000004"/>
    <n v="26.1"/>
    <n v="22.14"/>
    <n v="1178.8617886178861"/>
    <x v="0"/>
    <x v="0"/>
    <n v="3"/>
    <n v="7"/>
    <n v="82.25"/>
  </r>
  <r>
    <d v="2025-01-19T16:13:00"/>
    <s v="INYECTADO"/>
    <x v="5"/>
    <x v="9"/>
    <s v="WALTER GUEVARA"/>
    <s v="VIRGEN"/>
    <s v="PP CLARIFICADO"/>
    <s v="."/>
    <x v="6"/>
    <s v="TAPA TOMATODO DOBLE CLICK-CELESTE"/>
    <n v="156"/>
    <n v="2"/>
    <n v="25.1"/>
    <s v="NOCTURNO"/>
    <n v="0"/>
    <n v="0"/>
    <n v="966"/>
    <n v="20335"/>
    <s v="CELESTE"/>
    <n v="4.5999999999999996"/>
    <n v="0"/>
    <n v="0"/>
    <n v="3.45384"/>
    <n v="25.1"/>
    <n v="22.14"/>
    <n v="1133.694670280036"/>
    <x v="0"/>
    <x v="0"/>
    <n v="3"/>
    <n v="7"/>
    <n v="91"/>
  </r>
  <r>
    <d v="2025-01-19T16:13:00"/>
    <s v="INYECTADO"/>
    <x v="5"/>
    <x v="9"/>
    <s v="WALTER GUEVARA"/>
    <s v="VIRGEN"/>
    <s v="PP CLARIFICADO"/>
    <s v="."/>
    <x v="6"/>
    <s v="TAPA TOMATODO DOBLE CLICK-NEGRO"/>
    <n v="532"/>
    <n v="8"/>
    <n v="97.8"/>
    <s v="NOCTURNO"/>
    <n v="0"/>
    <n v="0"/>
    <n v="966"/>
    <n v="20335"/>
    <s v="NEGRO"/>
    <n v="10.5"/>
    <n v="0"/>
    <n v="0"/>
    <n v="11.77848"/>
    <n v="97.8"/>
    <n v="22.14"/>
    <n v="4417.3441734417347"/>
    <x v="0"/>
    <x v="0"/>
    <n v="3"/>
    <n v="5"/>
    <n v="221.66666666666666"/>
  </r>
  <r>
    <d v="2025-01-19T16:13:00"/>
    <s v="INYECTADO"/>
    <x v="5"/>
    <x v="10"/>
    <s v="JUAN CARLOS CEDENO"/>
    <s v="VIRGEN"/>
    <s v="PP CLARIFICADO"/>
    <s v="."/>
    <x v="6"/>
    <s v="TAPA TOMATODO DOBLE CLICK-NEGRO"/>
    <n v="545"/>
    <n v="8"/>
    <n v="100.2"/>
    <s v="DIURNO"/>
    <n v="0"/>
    <n v="0"/>
    <n v="966"/>
    <n v="20336"/>
    <s v="NEGRO"/>
    <n v="10.7"/>
    <n v="0"/>
    <n v="0"/>
    <n v="12.066300000000002"/>
    <n v="100.2"/>
    <n v="22.14"/>
    <n v="4525.7452574525742"/>
    <x v="0"/>
    <x v="0"/>
    <n v="3"/>
    <n v="5"/>
    <n v="227.08333333333334"/>
  </r>
  <r>
    <d v="2025-01-19T16:13:00"/>
    <s v="INYECTADO"/>
    <x v="5"/>
    <x v="11"/>
    <s v="JUAN MANUEL PEREZ"/>
    <s v="VIRGEN"/>
    <s v="ALTA INYECCION"/>
    <s v="."/>
    <x v="7"/>
    <s v="ASAS DE ORGANIZADOR 2 Y 3-AMARILLO"/>
    <n v="1118"/>
    <n v="7"/>
    <n v="35.299999999999997"/>
    <s v="NOCTURNO"/>
    <n v="0"/>
    <n v="0"/>
    <n v="972"/>
    <n v="20337"/>
    <s v="AMARILLO"/>
    <n v="14.2"/>
    <n v="0"/>
    <n v="0"/>
    <n v="12.298"/>
    <n v="35.299999999999997"/>
    <n v="11"/>
    <n v="3209.090909090909"/>
    <x v="0"/>
    <x v="0"/>
    <n v="3"/>
    <n v="3"/>
    <n v="279.5"/>
  </r>
  <r>
    <d v="2025-01-19T16:13:00"/>
    <s v="INYECTADO"/>
    <x v="5"/>
    <x v="11"/>
    <s v="JUAN MANUEL PEREZ"/>
    <s v="VIRGEN"/>
    <s v="ALTA INYECCION"/>
    <s v="."/>
    <x v="7"/>
    <s v="ASAS DE ORGANIZADOR 2 Y 3-LILA"/>
    <n v="590"/>
    <n v="4"/>
    <n v="18.8"/>
    <s v="NOCTURNO"/>
    <n v="0"/>
    <n v="0"/>
    <n v="972"/>
    <n v="20337"/>
    <s v="LILA"/>
    <n v="8.1"/>
    <n v="0"/>
    <n v="0"/>
    <n v="6.49"/>
    <n v="18.8"/>
    <n v="11"/>
    <n v="1709.090909090909"/>
    <x v="0"/>
    <x v="0"/>
    <n v="3"/>
    <n v="3"/>
    <n v="147.5"/>
  </r>
  <r>
    <d v="2025-02-09T10:08:00"/>
    <s v="INYECTADO"/>
    <x v="5"/>
    <x v="12"/>
    <s v="ISABEL LINARIZ "/>
    <s v="VIRGEN"/>
    <s v="ALTA INYECCION"/>
    <s v="."/>
    <x v="7"/>
    <s v="ASAS DE ORGANIZADOR 2 Y 3-LILA"/>
    <n v="228"/>
    <n v="2"/>
    <n v="7.3"/>
    <s v="DIURNO"/>
    <n v="0"/>
    <n v="0"/>
    <n v="972"/>
    <n v="20338"/>
    <s v="LILA"/>
    <n v="7.3"/>
    <n v="0"/>
    <n v="0"/>
    <n v="2.508"/>
    <n v="7.3"/>
    <n v="11"/>
    <n v="663.63636363636363"/>
    <x v="0"/>
    <x v="0"/>
    <n v="4"/>
    <n v="3"/>
    <n v="57"/>
  </r>
  <r>
    <d v="2025-02-09T10:08:00"/>
    <s v="INYECTADO"/>
    <x v="5"/>
    <x v="12"/>
    <s v="ISABEL LINARIZ "/>
    <s v="VIRGEN"/>
    <s v="ALTA INYECCION"/>
    <s v="."/>
    <x v="7"/>
    <s v="ASAS DE ORGANIZADOR 2 Y 3-AMARILLO"/>
    <n v="1090"/>
    <n v="8"/>
    <n v="35.299999999999997"/>
    <s v="DIURNO"/>
    <n v="0"/>
    <n v="0"/>
    <n v="972"/>
    <n v="20338"/>
    <s v="AMARILLO"/>
    <n v="16.2"/>
    <n v="0"/>
    <n v="0"/>
    <n v="11.99"/>
    <n v="35.299999999999997"/>
    <n v="11"/>
    <n v="3209.090909090909"/>
    <x v="0"/>
    <x v="0"/>
    <n v="4"/>
    <n v="3"/>
    <n v="272.5"/>
  </r>
  <r>
    <d v="2025-02-09T10:08:00"/>
    <s v="INYECTADO"/>
    <x v="5"/>
    <x v="13"/>
    <s v="JOSDER GONZALEZ"/>
    <s v="VIRGEN"/>
    <s v="ALTA INYECCION"/>
    <s v="."/>
    <x v="7"/>
    <s v="ASAS DE ORGANIZADOR 2 Y 3-LILA"/>
    <n v="896"/>
    <n v="6"/>
    <n v="27.8"/>
    <s v="DIURNO"/>
    <n v="0"/>
    <n v="0"/>
    <n v="972"/>
    <n v="20339"/>
    <s v="LILA"/>
    <n v="12.2"/>
    <n v="0"/>
    <n v="0"/>
    <n v="9.8559999999999999"/>
    <n v="27.8"/>
    <n v="11"/>
    <n v="2527.2727272727275"/>
    <x v="0"/>
    <x v="0"/>
    <n v="4"/>
    <n v="3"/>
    <n v="224"/>
  </r>
  <r>
    <d v="2025-02-09T10:08:00"/>
    <s v="INYECTADO"/>
    <x v="5"/>
    <x v="13"/>
    <s v="JOSDER GONZALEZ"/>
    <s v="VIRGEN"/>
    <s v="ALTA INYECCION"/>
    <s v="."/>
    <x v="7"/>
    <s v="ASAS DE ORGANIZADOR 2 Y 3-FUCSIA"/>
    <n v="403"/>
    <n v="4"/>
    <n v="12.5"/>
    <s v="DIURNO"/>
    <n v="0"/>
    <n v="0"/>
    <n v="972"/>
    <n v="20339"/>
    <s v="FUCSIA"/>
    <n v="2.2000000000000002"/>
    <n v="0"/>
    <n v="0"/>
    <n v="4.4329999999999998"/>
    <n v="12.5"/>
    <n v="11"/>
    <n v="1136.3636363636363"/>
    <x v="0"/>
    <x v="0"/>
    <n v="4"/>
    <n v="3"/>
    <n v="100.75"/>
  </r>
  <r>
    <d v="2025-02-09T10:08:00"/>
    <s v="INYECTADO"/>
    <x v="5"/>
    <x v="14"/>
    <s v="GABRIEL REQUENA"/>
    <s v="SEGUNDA"/>
    <s v="."/>
    <s v="MIXTO"/>
    <x v="8"/>
    <s v="EMBUDO #1-ANARANJADO"/>
    <n v="107"/>
    <n v="1"/>
    <n v="9.1"/>
    <s v="NOCTURNO"/>
    <n v="0"/>
    <n v="0"/>
    <n v="948"/>
    <n v="20340"/>
    <s v="NARANJA"/>
    <n v="2"/>
    <n v="0"/>
    <n v="0"/>
    <n v="2.3540000000000001"/>
    <n v="9.1"/>
    <n v="22"/>
    <n v="413.63636363636363"/>
    <x v="0"/>
    <x v="0"/>
    <n v="4"/>
    <n v="4"/>
    <n v="35.666666666666664"/>
  </r>
  <r>
    <d v="2025-02-09T10:08:00"/>
    <s v="INYECTADO"/>
    <x v="5"/>
    <x v="14"/>
    <s v="PAUL MILLER"/>
    <s v="SEGUNDA"/>
    <s v="."/>
    <s v="MIXTO"/>
    <x v="8"/>
    <s v="EMBUDO #1-ANARANJADO"/>
    <n v="1015"/>
    <n v="9"/>
    <n v="85.3"/>
    <s v="NOCTURNO"/>
    <n v="0"/>
    <n v="0"/>
    <n v="948"/>
    <n v="20341"/>
    <s v="NARANJA"/>
    <n v="13.4"/>
    <n v="0"/>
    <n v="0"/>
    <n v="22.33"/>
    <n v="85.3"/>
    <n v="22"/>
    <n v="3877.2727272727275"/>
    <x v="0"/>
    <x v="0"/>
    <n v="4"/>
    <n v="4"/>
    <n v="338.33333333333331"/>
  </r>
  <r>
    <d v="2025-02-09T10:08:00"/>
    <s v="INYECTADO"/>
    <x v="5"/>
    <x v="14"/>
    <s v="PAUL MILLER"/>
    <s v="SEGUNDA"/>
    <s v="."/>
    <s v="MIXTO"/>
    <x v="8"/>
    <s v="EMBUDO #1-VERDE"/>
    <n v="310"/>
    <n v="2"/>
    <n v="26.1"/>
    <s v="NOCTURNO"/>
    <n v="0"/>
    <n v="0"/>
    <n v="948"/>
    <n v="20341"/>
    <s v="VERDE"/>
    <n v="4.5999999999999996"/>
    <n v="0"/>
    <n v="0"/>
    <n v="6.82"/>
    <n v="26.1"/>
    <n v="22"/>
    <n v="1186.3636363636363"/>
    <x v="0"/>
    <x v="0"/>
    <n v="4"/>
    <n v="4"/>
    <n v="103.33333333333333"/>
  </r>
  <r>
    <d v="2025-02-09T10:08:00"/>
    <s v="INYECTADO"/>
    <x v="5"/>
    <x v="15"/>
    <s v="KARLA"/>
    <s v="SEGUNDA"/>
    <s v="."/>
    <s v="MIXTO"/>
    <x v="8"/>
    <s v="EMBUDO #1-VERDE"/>
    <n v="876"/>
    <n v="9"/>
    <n v="71.900000000000006"/>
    <s v="DIURNO"/>
    <n v="0"/>
    <n v="0"/>
    <n v="948"/>
    <n v="20342"/>
    <s v="VERDE"/>
    <n v="7.4"/>
    <n v="0"/>
    <n v="0"/>
    <n v="19.271999999999998"/>
    <n v="71.900000000000006"/>
    <n v="22"/>
    <n v="3268.181818181818"/>
    <x v="0"/>
    <x v="0"/>
    <n v="4"/>
    <n v="4"/>
    <n v="292"/>
  </r>
  <r>
    <d v="2025-02-09T10:08:00"/>
    <s v="INYECTADO"/>
    <x v="5"/>
    <x v="15"/>
    <s v="KARLA"/>
    <s v="SEGUNDA"/>
    <s v="."/>
    <s v="MIXTO"/>
    <x v="8"/>
    <s v="EMBUDO #1-CELESTE"/>
    <n v="75"/>
    <n v="1"/>
    <n v="6.2"/>
    <s v="DIURNO"/>
    <n v="0"/>
    <n v="0"/>
    <n v="948"/>
    <n v="20342"/>
    <s v="CELESTE"/>
    <n v="5.7"/>
    <n v="0"/>
    <n v="0"/>
    <n v="1.65"/>
    <n v="6.2"/>
    <n v="22"/>
    <n v="281.81818181818181"/>
    <x v="0"/>
    <x v="0"/>
    <n v="4"/>
    <n v="4"/>
    <n v="25"/>
  </r>
  <r>
    <d v="2025-02-09T10:08:00"/>
    <s v="INYECTADO"/>
    <x v="5"/>
    <x v="8"/>
    <s v="JOSDER GONZALEZ"/>
    <s v="SEGUNDA"/>
    <s v="."/>
    <s v="MIXTO"/>
    <x v="8"/>
    <s v="EMBUDO #1-CELESTE"/>
    <n v="375"/>
    <n v="4"/>
    <n v="30.4"/>
    <s v="DIURNO"/>
    <n v="0"/>
    <n v="0"/>
    <n v="948"/>
    <n v="20343"/>
    <s v="CELESTE"/>
    <n v="10.5"/>
    <n v="0"/>
    <n v="0"/>
    <n v="8.25"/>
    <n v="30.4"/>
    <n v="22"/>
    <n v="1381.8181818181818"/>
    <x v="0"/>
    <x v="0"/>
    <n v="5"/>
    <n v="4"/>
    <n v="125"/>
  </r>
  <r>
    <d v="2025-02-09T10:08:00"/>
    <s v="INYECTADO"/>
    <x v="5"/>
    <x v="8"/>
    <s v="JOSDER GONZALEZ"/>
    <s v="SEGUNDA"/>
    <s v="."/>
    <s v="MIXTO"/>
    <x v="8"/>
    <s v="EMBUDO #1-AMARILLO"/>
    <n v="406"/>
    <n v="5"/>
    <n v="35.200000000000003"/>
    <s v="DIURNO"/>
    <n v="0"/>
    <n v="0"/>
    <n v="948"/>
    <n v="20343"/>
    <s v="AMARILLO"/>
    <n v="9.1"/>
    <n v="0"/>
    <n v="0"/>
    <n v="8.9320000000000004"/>
    <n v="35.200000000000003"/>
    <n v="22"/>
    <n v="1600"/>
    <x v="0"/>
    <x v="0"/>
    <n v="5"/>
    <n v="4"/>
    <n v="135.33333333333334"/>
  </r>
  <r>
    <d v="2025-02-09T10:08:00"/>
    <s v="INYECTADO"/>
    <x v="5"/>
    <x v="8"/>
    <s v="FABIAN HERNANDEZ"/>
    <s v="SEGUNDA"/>
    <s v="."/>
    <s v="MIXTO"/>
    <x v="8"/>
    <s v="EMBUDO #1-AMARILLO"/>
    <n v="118"/>
    <n v="1"/>
    <n v="10.1"/>
    <s v="NOCTURNO"/>
    <n v="0"/>
    <n v="0"/>
    <n v="948"/>
    <n v="20344"/>
    <s v="AMARILLO"/>
    <n v="0"/>
    <n v="0"/>
    <n v="0"/>
    <n v="2.5960000000000001"/>
    <n v="10.1"/>
    <n v="22"/>
    <n v="459.09090909090907"/>
    <x v="0"/>
    <x v="0"/>
    <n v="5"/>
    <n v="4"/>
    <n v="39.333333333333336"/>
  </r>
  <r>
    <d v="2025-02-09T10:08:00"/>
    <s v="INYECTADO"/>
    <x v="5"/>
    <x v="8"/>
    <s v="FABIAN HERNANDEZ"/>
    <s v="SEGUNDA"/>
    <s v="."/>
    <s v="MIXTO"/>
    <x v="8"/>
    <s v="EMBUDO #1-FUCSIA"/>
    <n v="137"/>
    <n v="2"/>
    <n v="11.8"/>
    <s v="NOCTURNO"/>
    <n v="0"/>
    <n v="0"/>
    <n v="948"/>
    <n v="20344"/>
    <s v="FUCSIA"/>
    <n v="6.4"/>
    <n v="0"/>
    <n v="0"/>
    <n v="3.0139999999999998"/>
    <n v="11.8"/>
    <n v="22"/>
    <n v="536.36363636363637"/>
    <x v="0"/>
    <x v="0"/>
    <n v="5"/>
    <n v="4"/>
    <n v="45.666666666666664"/>
  </r>
  <r>
    <d v="2025-02-09T10:08:00"/>
    <s v="INYECTADO"/>
    <x v="5"/>
    <x v="16"/>
    <s v="ISABEL LINARIZ "/>
    <s v="SEGUNDA"/>
    <s v="."/>
    <s v="MIXTO"/>
    <x v="8"/>
    <s v="EMBUDO #1-FUCSIA"/>
    <n v="741"/>
    <n v="8"/>
    <n v="63.8"/>
    <s v="DIURNO"/>
    <n v="0"/>
    <n v="0"/>
    <n v="948"/>
    <n v="20345"/>
    <s v="FUCSIA"/>
    <n v="14.2"/>
    <n v="0"/>
    <n v="0"/>
    <n v="16.302"/>
    <n v="63.8"/>
    <n v="22"/>
    <n v="2900"/>
    <x v="0"/>
    <x v="0"/>
    <n v="5"/>
    <n v="4"/>
    <n v="247"/>
  </r>
  <r>
    <d v="2025-02-09T10:08:00"/>
    <s v="INYECTADO"/>
    <x v="5"/>
    <x v="17"/>
    <s v="CARMEN AUCAPUMA"/>
    <s v="SEGUNDA"/>
    <s v="."/>
    <s v="MIXTO"/>
    <x v="8"/>
    <s v="EMBUDO #1-FUCSIA"/>
    <n v="77"/>
    <n v="1"/>
    <n v="6.7"/>
    <s v="DIURNO"/>
    <n v="0"/>
    <n v="0"/>
    <n v="948"/>
    <n v="20346"/>
    <s v="FUCSIA"/>
    <n v="0"/>
    <n v="0"/>
    <n v="0"/>
    <n v="1.694"/>
    <n v="6.7"/>
    <n v="22"/>
    <n v="304.54545454545456"/>
    <x v="0"/>
    <x v="0"/>
    <n v="5"/>
    <n v="4"/>
    <n v="25.666666666666668"/>
  </r>
  <r>
    <d v="2025-02-09T10:08:00"/>
    <s v="INYECTADO"/>
    <x v="5"/>
    <x v="17"/>
    <s v="CARMEN AUCAPUMA"/>
    <s v="SEGUNDA"/>
    <s v="."/>
    <s v="MIXTO"/>
    <x v="8"/>
    <s v="EMBUDO #1-LILA"/>
    <n v="252"/>
    <n v="3"/>
    <n v="21.7"/>
    <s v="DIURNO"/>
    <n v="0"/>
    <n v="0"/>
    <n v="948"/>
    <n v="20346"/>
    <s v="LILA"/>
    <n v="0"/>
    <n v="0"/>
    <n v="0"/>
    <n v="5.5439999999999996"/>
    <n v="21.7"/>
    <n v="22"/>
    <n v="986.36363636363637"/>
    <x v="0"/>
    <x v="0"/>
    <n v="5"/>
    <n v="4"/>
    <n v="84"/>
  </r>
  <r>
    <d v="2025-02-09T10:08:00"/>
    <s v="INYECTADO"/>
    <x v="0"/>
    <x v="18"/>
    <s v="JOSDER GONZALEZ"/>
    <s v="SEGUNDA"/>
    <s v="."/>
    <s v="MIXTO"/>
    <x v="0"/>
    <s v="ASA DE BALDE PLAYERO-FUCSIA"/>
    <n v="139"/>
    <n v="1"/>
    <n v="5.7"/>
    <s v="DIURNO"/>
    <n v="0"/>
    <n v="1"/>
    <n v="956"/>
    <n v="20712"/>
    <s v="FUCSIA"/>
    <n v="4.0999999999999996"/>
    <n v="0"/>
    <n v="0"/>
    <n v="1.39"/>
    <n v="5.7"/>
    <n v="10"/>
    <n v="570"/>
    <x v="0"/>
    <x v="0"/>
    <n v="2"/>
    <n v="4"/>
    <n v="46.333333333333336"/>
  </r>
  <r>
    <d v="2025-02-09T10:08:00"/>
    <s v="INYECTADO"/>
    <x v="0"/>
    <x v="18"/>
    <s v="JOSDER GONZALEZ"/>
    <s v="SEGUNDA"/>
    <s v="."/>
    <s v="MIXTO"/>
    <x v="0"/>
    <s v="ASA DE BALDE PLAYERO-ROJO"/>
    <n v="439"/>
    <n v="4"/>
    <n v="18"/>
    <s v="DIURNO"/>
    <n v="0"/>
    <n v="1"/>
    <n v="956"/>
    <n v="20712"/>
    <s v="ROJO"/>
    <n v="6.6"/>
    <n v="0"/>
    <n v="0"/>
    <n v="4.3899999999999997"/>
    <n v="18"/>
    <n v="10"/>
    <n v="1800"/>
    <x v="0"/>
    <x v="0"/>
    <n v="2"/>
    <n v="4"/>
    <n v="146.33333333333334"/>
  </r>
  <r>
    <d v="2025-02-09T10:08:00"/>
    <s v="INYECTADO"/>
    <x v="0"/>
    <x v="18"/>
    <s v="JOSDER GONZALEZ"/>
    <s v="VIRGEN"/>
    <s v="PP CLARIFICADO"/>
    <s v="."/>
    <x v="0"/>
    <s v="ASA DE BALDE PLAYERO-AMARILLO"/>
    <n v="256"/>
    <n v="2"/>
    <n v="104"/>
    <s v="DIURNO"/>
    <n v="0"/>
    <n v="1"/>
    <n v="956"/>
    <n v="20712"/>
    <s v="AMARILLO"/>
    <n v="2.9"/>
    <n v="0"/>
    <n v="0"/>
    <n v="2.56"/>
    <n v="104"/>
    <n v="10"/>
    <n v="10400"/>
    <x v="0"/>
    <x v="0"/>
    <n v="2"/>
    <n v="4"/>
    <n v="85.333333333333329"/>
  </r>
  <r>
    <d v="2025-02-09T10:08:00"/>
    <s v="INYECTADO"/>
    <x v="0"/>
    <x v="19"/>
    <s v="ISABEL LINARIZ "/>
    <s v="VIRGEN"/>
    <s v="PP CLARIFICADO"/>
    <s v="."/>
    <x v="0"/>
    <s v="ASA DE BALDE PLAYERO-AMARILLO"/>
    <n v="200"/>
    <n v="2"/>
    <n v="8.1"/>
    <s v="DIURNO"/>
    <n v="0"/>
    <n v="1"/>
    <n v="956"/>
    <n v="20713"/>
    <s v="AMARILLO"/>
    <n v="4.8"/>
    <n v="0"/>
    <n v="0"/>
    <n v="2"/>
    <n v="8.1"/>
    <n v="10"/>
    <n v="810"/>
    <x v="0"/>
    <x v="0"/>
    <n v="2"/>
    <n v="4"/>
    <n v="66.666666666666671"/>
  </r>
  <r>
    <d v="2025-02-09T10:08:00"/>
    <s v="INYECTADO"/>
    <x v="0"/>
    <x v="19"/>
    <s v="ISABEL LINARIZ "/>
    <s v="SEGUNDA"/>
    <s v="."/>
    <s v="MIXTO"/>
    <x v="0"/>
    <s v="ASA DE BALDE PLAYERO-FUCSIA"/>
    <n v="441"/>
    <n v="4"/>
    <n v="17.899999999999999"/>
    <s v="DIURNO"/>
    <n v="0"/>
    <n v="1"/>
    <n v="956"/>
    <n v="20713"/>
    <s v="FUCSIA"/>
    <n v="6.5"/>
    <n v="0"/>
    <n v="0"/>
    <n v="4.41"/>
    <n v="17.899999999999999"/>
    <n v="10"/>
    <n v="1790"/>
    <x v="0"/>
    <x v="0"/>
    <n v="2"/>
    <n v="4"/>
    <n v="147"/>
  </r>
  <r>
    <d v="2025-02-09T10:08:00"/>
    <s v="INYECTADO"/>
    <x v="0"/>
    <x v="19"/>
    <s v="ISABEL LINARIZ "/>
    <s v="SEGUNDA"/>
    <s v="."/>
    <s v="MIXTO"/>
    <x v="0"/>
    <s v="ASA DE BALDE PLAYERO-LILA"/>
    <n v="229"/>
    <n v="2"/>
    <n v="9.3000000000000007"/>
    <s v="DIURNO"/>
    <n v="0"/>
    <n v="1"/>
    <n v="956"/>
    <n v="20713"/>
    <s v="LILA"/>
    <n v="3"/>
    <n v="0"/>
    <n v="0"/>
    <n v="2.29"/>
    <n v="9.3000000000000007"/>
    <n v="10"/>
    <n v="930"/>
    <x v="0"/>
    <x v="0"/>
    <n v="2"/>
    <n v="4"/>
    <n v="76.333333333333329"/>
  </r>
  <r>
    <d v="2025-02-09T10:08:00"/>
    <s v="INYECTADO"/>
    <x v="0"/>
    <x v="20"/>
    <s v="SAID VILLAMIZAR"/>
    <s v="SEGUNDA"/>
    <s v="."/>
    <s v="MIXTO"/>
    <x v="0"/>
    <s v="ASA DE BALDE PLAYERO-LILA"/>
    <n v="709"/>
    <n v="6"/>
    <n v="29.1"/>
    <s v="DIURNO"/>
    <n v="0"/>
    <n v="3"/>
    <n v="956"/>
    <n v="20714"/>
    <s v="LILA"/>
    <n v="11.2"/>
    <n v="0"/>
    <n v="0"/>
    <n v="7.09"/>
    <n v="29.1"/>
    <n v="10"/>
    <n v="2910"/>
    <x v="0"/>
    <x v="0"/>
    <n v="2"/>
    <n v="4"/>
    <n v="236.33333333333334"/>
  </r>
  <r>
    <d v="2025-02-09T10:08:00"/>
    <s v="INYECTADO"/>
    <x v="0"/>
    <x v="20"/>
    <s v="SAID VILLAMIZAR"/>
    <s v="SEGUNDA"/>
    <s v="."/>
    <s v="MIXTO"/>
    <x v="0"/>
    <s v="ASA DE BALDE PLAYERO-ROJO"/>
    <n v="426"/>
    <n v="3"/>
    <n v="17.5"/>
    <s v="DIURNO"/>
    <n v="0"/>
    <n v="3"/>
    <n v="956"/>
    <n v="20714"/>
    <s v="ROJO"/>
    <n v="6.8"/>
    <n v="0"/>
    <n v="0"/>
    <n v="4.26"/>
    <n v="17.5"/>
    <n v="10"/>
    <n v="1750"/>
    <x v="0"/>
    <x v="0"/>
    <n v="2"/>
    <n v="4"/>
    <n v="142"/>
  </r>
  <r>
    <d v="2025-02-09T10:08:00"/>
    <s v="INYECTADO"/>
    <x v="0"/>
    <x v="21"/>
    <s v="ALGIMIRO CALDERAS"/>
    <s v="SEGUNDA"/>
    <s v="."/>
    <s v="MIXTO"/>
    <x v="0"/>
    <s v="ASA DE BALDE PLAYERO-FUCSIA"/>
    <n v="50"/>
    <n v="1"/>
    <n v="2"/>
    <s v="DIURNO"/>
    <n v="0"/>
    <n v="1"/>
    <n v="956"/>
    <n v="20715"/>
    <s v="FUCSIA"/>
    <n v="3.7"/>
    <n v="0"/>
    <n v="0"/>
    <n v="0.5"/>
    <n v="2"/>
    <n v="10"/>
    <n v="200"/>
    <x v="0"/>
    <x v="0"/>
    <n v="2"/>
    <n v="4"/>
    <n v="16.666666666666668"/>
  </r>
  <r>
    <d v="2025-02-09T10:08:00"/>
    <s v="INYECTADO"/>
    <x v="0"/>
    <x v="21"/>
    <s v="ALGIMIRO CALDERAS"/>
    <s v="SEGUNDA"/>
    <s v="."/>
    <s v="MIXTO"/>
    <x v="0"/>
    <s v="ASA DE BALDE PLAYERO-VERDE"/>
    <n v="377"/>
    <n v="3"/>
    <n v="15.3"/>
    <s v="DIURNO"/>
    <n v="0"/>
    <n v="1"/>
    <n v="956"/>
    <n v="20715"/>
    <s v="VERDE"/>
    <n v="8"/>
    <n v="0"/>
    <n v="0"/>
    <n v="3.77"/>
    <n v="15.3"/>
    <n v="10"/>
    <n v="1530"/>
    <x v="0"/>
    <x v="0"/>
    <n v="2"/>
    <n v="4"/>
    <n v="125.66666666666667"/>
  </r>
  <r>
    <d v="2025-02-09T10:08:00"/>
    <s v="INYECTADO"/>
    <x v="0"/>
    <x v="21"/>
    <s v="ALGIMIRO CALDERAS"/>
    <s v="SEGUNDA"/>
    <s v="."/>
    <s v="MIXTO"/>
    <x v="0"/>
    <s v="ASA DE BALDE PLAYERO-AZUL"/>
    <n v="481"/>
    <n v="4"/>
    <n v="19.3"/>
    <s v="DIURNO"/>
    <n v="0"/>
    <n v="1"/>
    <n v="956"/>
    <n v="20715"/>
    <s v="CELESTE"/>
    <n v="8.8000000000000007"/>
    <n v="0"/>
    <n v="0"/>
    <n v="4.8099999999999996"/>
    <n v="19.3"/>
    <n v="10"/>
    <n v="1930"/>
    <x v="0"/>
    <x v="0"/>
    <n v="2"/>
    <n v="4"/>
    <n v="160.33333333333334"/>
  </r>
  <r>
    <d v="2025-02-09T10:08:00"/>
    <s v="INYECTADO"/>
    <x v="0"/>
    <x v="22"/>
    <s v="GABRIEL REQUENA"/>
    <s v="SEGUNDA"/>
    <s v="."/>
    <s v="MIXTO"/>
    <x v="0"/>
    <s v="ASA DE BALDE PLAYERO-FUCSIA"/>
    <n v="607"/>
    <n v="5"/>
    <n v="24.3"/>
    <s v="DIURNO"/>
    <n v="0"/>
    <n v="2"/>
    <n v="956"/>
    <n v="20716"/>
    <s v="FUCSIA"/>
    <n v="7.9"/>
    <n v="0"/>
    <n v="0"/>
    <n v="6.07"/>
    <n v="24.3"/>
    <n v="10"/>
    <n v="2430"/>
    <x v="0"/>
    <x v="0"/>
    <n v="2"/>
    <n v="4"/>
    <n v="202.33333333333334"/>
  </r>
  <r>
    <d v="2025-02-09T10:08:00"/>
    <s v="INYECTADO"/>
    <x v="0"/>
    <x v="22"/>
    <s v="GABRIEL REQUENA"/>
    <s v="SEGUNDA"/>
    <s v="."/>
    <s v="MIXTO"/>
    <x v="0"/>
    <s v="ASA DE BALDE PLAYERO-ROJO"/>
    <n v="315"/>
    <n v="3"/>
    <n v="12.6"/>
    <s v="DIURNO"/>
    <n v="0"/>
    <n v="1"/>
    <n v="956"/>
    <n v="20716"/>
    <s v="ROJO"/>
    <n v="6.6"/>
    <n v="0"/>
    <n v="0"/>
    <n v="3.15"/>
    <n v="12.6"/>
    <n v="10"/>
    <n v="1260"/>
    <x v="0"/>
    <x v="0"/>
    <n v="2"/>
    <n v="4"/>
    <n v="105"/>
  </r>
  <r>
    <d v="2025-02-09T10:08:00"/>
    <s v="INYECTADO"/>
    <x v="0"/>
    <x v="22"/>
    <s v="GABRIEL REQUENA"/>
    <s v="SEGUNDA"/>
    <s v="."/>
    <s v="MIXTO"/>
    <x v="0"/>
    <s v="ASA DE BALDE PLAYERO-LILA"/>
    <n v="365"/>
    <n v="3"/>
    <n v="14.7"/>
    <s v="DIURNO"/>
    <n v="0"/>
    <n v="1"/>
    <n v="956"/>
    <n v="20716"/>
    <s v="LILA"/>
    <n v="4.8"/>
    <n v="0"/>
    <n v="0"/>
    <n v="3.65"/>
    <n v="14.7"/>
    <n v="10"/>
    <n v="1470"/>
    <x v="0"/>
    <x v="0"/>
    <n v="2"/>
    <n v="4"/>
    <n v="121.66666666666667"/>
  </r>
  <r>
    <d v="2025-02-09T10:08:00"/>
    <s v="INYECTADO"/>
    <x v="0"/>
    <x v="11"/>
    <s v="JUAN CARLOS CEDENO"/>
    <s v="SEGUNDA"/>
    <s v="."/>
    <s v="MIXTO"/>
    <x v="0"/>
    <s v="ASA DE BALDE PLAYERO-LILA"/>
    <n v="568"/>
    <n v="5"/>
    <n v="23.4"/>
    <s v="DIURNO"/>
    <n v="0"/>
    <n v="2"/>
    <n v="956"/>
    <n v="20717"/>
    <s v="LILA"/>
    <n v="6.7"/>
    <n v="0"/>
    <n v="0"/>
    <n v="5.68"/>
    <n v="23.4"/>
    <n v="10"/>
    <n v="2340"/>
    <x v="0"/>
    <x v="0"/>
    <n v="3"/>
    <n v="4"/>
    <n v="189.33333333333334"/>
  </r>
  <r>
    <d v="2025-02-09T10:08:00"/>
    <s v="INYECTADO"/>
    <x v="0"/>
    <x v="11"/>
    <s v="JUAN CARLOS CEDENO"/>
    <s v="SEGUNDA"/>
    <s v="."/>
    <s v="MIXTO"/>
    <x v="0"/>
    <s v="ASA DE BALDE PLAYERO-FUCSIA"/>
    <n v="166"/>
    <n v="1"/>
    <n v="7"/>
    <s v="DIURNO"/>
    <n v="0"/>
    <n v="1"/>
    <n v="956"/>
    <n v="20717"/>
    <s v="FUCSIA"/>
    <n v="1.1000000000000001"/>
    <n v="0"/>
    <n v="0"/>
    <n v="1.66"/>
    <n v="7"/>
    <n v="10"/>
    <n v="700"/>
    <x v="0"/>
    <x v="0"/>
    <n v="3"/>
    <n v="4"/>
    <n v="55.333333333333336"/>
  </r>
  <r>
    <d v="2025-02-09T10:08:00"/>
    <s v="INYECTADO"/>
    <x v="0"/>
    <x v="11"/>
    <s v="FABIAN HERNANDEZ"/>
    <s v="SEGUNDA"/>
    <s v="."/>
    <s v="MIXTO"/>
    <x v="0"/>
    <s v="ASA DE BALDE PLAYERO-FUCSIA"/>
    <n v="332"/>
    <n v="3"/>
    <n v="13.9"/>
    <s v="NOCTURNO"/>
    <n v="0"/>
    <n v="1"/>
    <n v="956"/>
    <n v="20718"/>
    <s v="FUCSIA"/>
    <n v="8.6999999999999993"/>
    <n v="0"/>
    <n v="0"/>
    <n v="3.32"/>
    <n v="13.9"/>
    <n v="10"/>
    <n v="1390"/>
    <x v="0"/>
    <x v="0"/>
    <n v="3"/>
    <n v="4"/>
    <n v="110.66666666666667"/>
  </r>
  <r>
    <d v="2025-02-09T10:08:00"/>
    <s v="INYECTADO"/>
    <x v="0"/>
    <x v="11"/>
    <s v="FABIAN HERNANDEZ"/>
    <s v="SEGUNDA"/>
    <s v="."/>
    <s v="MIXTO"/>
    <x v="0"/>
    <s v="ASA DE BALDE PLAYERO-VERDE"/>
    <n v="446"/>
    <n v="4"/>
    <n v="18.2"/>
    <s v="NOCTURNO"/>
    <n v="0"/>
    <n v="1"/>
    <n v="956"/>
    <n v="20718"/>
    <s v="VERDE"/>
    <n v="3.2"/>
    <n v="0"/>
    <n v="0"/>
    <n v="4.46"/>
    <n v="18.2"/>
    <n v="10"/>
    <n v="1820"/>
    <x v="0"/>
    <x v="0"/>
    <n v="3"/>
    <n v="4"/>
    <n v="148.66666666666666"/>
  </r>
  <r>
    <d v="2025-02-09T10:08:00"/>
    <s v="INYECTADO"/>
    <x v="0"/>
    <x v="23"/>
    <s v="ISABEL LINARIZ "/>
    <s v="VIRGEN"/>
    <s v="PP CLARIFICADO"/>
    <s v="."/>
    <x v="0"/>
    <s v="ASA DE BALDE PLAYERO-AMARILLO"/>
    <n v="432"/>
    <n v="4"/>
    <n v="17.7"/>
    <s v="DIURNO"/>
    <n v="0"/>
    <n v="1"/>
    <n v="956"/>
    <n v="20719"/>
    <s v="AMARILLO"/>
    <n v="7.9"/>
    <n v="0"/>
    <n v="0"/>
    <n v="4.32"/>
    <n v="17.7"/>
    <n v="10"/>
    <n v="1770"/>
    <x v="0"/>
    <x v="0"/>
    <n v="3"/>
    <n v="4"/>
    <n v="144"/>
  </r>
  <r>
    <d v="2025-02-09T10:08:00"/>
    <s v="INYECTADO"/>
    <x v="0"/>
    <x v="12"/>
    <s v="LUIS RENGIFO"/>
    <s v="VIRGEN"/>
    <s v="PP CLARIFICADO"/>
    <s v="."/>
    <x v="9"/>
    <s v="TAPA TOMATODO DOBLE CLICK-ANARANJADO"/>
    <n v="237"/>
    <n v="3"/>
    <n v="43.8"/>
    <s v="DIURNO"/>
    <n v="0"/>
    <n v="6"/>
    <n v="966"/>
    <n v="20720"/>
    <s v="ANARNJADO"/>
    <n v="13.1"/>
    <n v="0"/>
    <n v="0"/>
    <n v="5.2471800000000002"/>
    <n v="43.8"/>
    <n v="22.14"/>
    <n v="1978.3197831978318"/>
    <x v="0"/>
    <x v="0"/>
    <n v="4"/>
    <n v="7"/>
    <n v="138.25"/>
  </r>
  <r>
    <d v="2025-02-09T10:08:00"/>
    <s v="INYECTADO"/>
    <x v="0"/>
    <x v="13"/>
    <s v="JUAN CARLOS CEDENO"/>
    <s v="VIRGEN"/>
    <s v="PP CLARIFICADO"/>
    <s v="."/>
    <x v="9"/>
    <s v="TAPA TOMATODO DOBLE CLICK-AMARILLO"/>
    <n v="253"/>
    <n v="3"/>
    <n v="44.2"/>
    <s v="DIURNO"/>
    <n v="0"/>
    <n v="5"/>
    <n v="966"/>
    <n v="20721"/>
    <s v="AMARILLO"/>
    <n v="7.9"/>
    <n v="0"/>
    <n v="0"/>
    <n v="5.6014200000000001"/>
    <n v="44.2"/>
    <n v="22.14"/>
    <n v="1996.386630532972"/>
    <x v="0"/>
    <x v="0"/>
    <n v="4"/>
    <n v="7"/>
    <n v="147.58333333333334"/>
  </r>
  <r>
    <d v="2025-02-09T10:08:00"/>
    <s v="INYECTADO"/>
    <x v="0"/>
    <x v="13"/>
    <s v="JUAN CARLOS CEDENO"/>
    <s v="VIRGEN"/>
    <s v="PP CLARIFICADO"/>
    <s v="."/>
    <x v="9"/>
    <s v="TAPA TOMATODO DOBLE CLICK-VERDE"/>
    <n v="228"/>
    <n v="3"/>
    <n v="22.4"/>
    <s v="DIURNO"/>
    <n v="0"/>
    <n v="2"/>
    <n v="966"/>
    <n v="20721"/>
    <s v="VERDE"/>
    <n v="12.6"/>
    <n v="0"/>
    <n v="0"/>
    <n v="5.0479200000000004"/>
    <n v="22.4"/>
    <n v="22.14"/>
    <n v="1011.743450767841"/>
    <x v="0"/>
    <x v="0"/>
    <n v="4"/>
    <n v="7"/>
    <n v="133"/>
  </r>
  <r>
    <d v="2025-02-09T10:08:00"/>
    <s v="INYECTADO"/>
    <x v="0"/>
    <x v="13"/>
    <s v="JUAN CARLOS CEDENO"/>
    <s v="VIRGEN"/>
    <s v="PP CLARIFICADO"/>
    <s v="."/>
    <x v="9"/>
    <s v="TAPA TOMATODO DOBLE CLICK-TURQUESA"/>
    <n v="150"/>
    <n v="2"/>
    <n v="26.4"/>
    <s v="DIURNO"/>
    <n v="0"/>
    <n v="2"/>
    <n v="966"/>
    <n v="20721"/>
    <s v="TURQUESA"/>
    <n v="3.4"/>
    <n v="0"/>
    <n v="0"/>
    <n v="3.3210000000000002"/>
    <n v="26.4"/>
    <n v="22.14"/>
    <n v="1192.4119241192411"/>
    <x v="0"/>
    <x v="0"/>
    <n v="4"/>
    <n v="7"/>
    <n v="87.5"/>
  </r>
  <r>
    <d v="2025-02-09T10:08:00"/>
    <s v="INYECTADO"/>
    <x v="0"/>
    <x v="24"/>
    <s v="JOSDER GONZALEZ"/>
    <s v="VIRGEN"/>
    <s v="PP CLARIFICADO"/>
    <s v="."/>
    <x v="9"/>
    <s v="TAPA TOMATODO DOBLE CLICK-TURQUESA"/>
    <n v="100"/>
    <n v="2"/>
    <n v="17.5"/>
    <s v="DIURNO"/>
    <n v="0"/>
    <n v="2"/>
    <n v="966"/>
    <n v="20722"/>
    <s v="TURQUESA"/>
    <n v="5.2"/>
    <n v="0"/>
    <n v="0"/>
    <n v="2.214"/>
    <n v="17.5"/>
    <n v="22.14"/>
    <n v="790.42457091237577"/>
    <x v="0"/>
    <x v="0"/>
    <n v="4"/>
    <n v="7"/>
    <n v="58.333333333333336"/>
  </r>
  <r>
    <d v="2025-02-09T10:08:00"/>
    <s v="INYECTADO"/>
    <x v="0"/>
    <x v="24"/>
    <s v="JOSDER GONZALEZ"/>
    <s v="VIRGEN"/>
    <s v="PP CLARIFICADO"/>
    <s v="."/>
    <x v="9"/>
    <s v="TAPA TOMATODO DOBLE CLICK-LILA"/>
    <n v="248"/>
    <n v="3"/>
    <n v="43.4"/>
    <s v="DIURNO"/>
    <n v="0"/>
    <n v="6"/>
    <n v="966"/>
    <n v="20722"/>
    <s v="LILA"/>
    <n v="7.2"/>
    <n v="0"/>
    <n v="0"/>
    <n v="5.4907200000000005"/>
    <n v="43.4"/>
    <n v="22.14"/>
    <n v="1960.2529358626919"/>
    <x v="0"/>
    <x v="0"/>
    <n v="4"/>
    <n v="7"/>
    <n v="144.66666666666666"/>
  </r>
  <r>
    <d v="2025-02-09T10:08:00"/>
    <s v="INYECTADO"/>
    <x v="0"/>
    <x v="24"/>
    <s v="JOSDER GONZALEZ"/>
    <s v="VIRGEN"/>
    <s v="PP CLARIFICADO"/>
    <s v="."/>
    <x v="9"/>
    <s v="TAPA TOMATODO DOBLE CLICK-FUCSIA"/>
    <n v="115"/>
    <n v="2"/>
    <n v="20.100000000000001"/>
    <s v="DIURNO"/>
    <n v="0"/>
    <n v="3"/>
    <n v="966"/>
    <n v="20722"/>
    <s v="FUCSIA"/>
    <n v="3.4"/>
    <n v="0"/>
    <n v="0"/>
    <n v="2.5461"/>
    <n v="20.100000000000001"/>
    <n v="22.14"/>
    <n v="907.85907859078588"/>
    <x v="0"/>
    <x v="0"/>
    <n v="4"/>
    <n v="7"/>
    <n v="67.083333333333329"/>
  </r>
  <r>
    <d v="2025-02-09T10:08:00"/>
    <s v="INYECTADO"/>
    <x v="0"/>
    <x v="24"/>
    <s v="JOSDER GONZALEZ"/>
    <s v="VIRGEN"/>
    <s v="PP CLARIFICADO"/>
    <s v="."/>
    <x v="9"/>
    <s v="TAPA TOMATODO DOBLE CLICK-VERDE"/>
    <n v="85"/>
    <n v="1"/>
    <n v="14.8"/>
    <s v="DIURNO"/>
    <n v="0"/>
    <n v="2"/>
    <n v="966"/>
    <n v="20722"/>
    <s v="VERDE"/>
    <n v="0"/>
    <n v="0"/>
    <n v="0"/>
    <n v="1.8819000000000001"/>
    <n v="14.8"/>
    <n v="22.14"/>
    <n v="668.4733514001806"/>
    <x v="0"/>
    <x v="0"/>
    <n v="4"/>
    <n v="7"/>
    <n v="49.583333333333336"/>
  </r>
  <r>
    <d v="2025-02-09T10:08:00"/>
    <s v="INYECTADO"/>
    <x v="0"/>
    <x v="25"/>
    <s v="JUAN CARLOS CEDENO"/>
    <s v="VIRGEN"/>
    <s v="PP CLARIFICADO"/>
    <s v="."/>
    <x v="10"/>
    <s v="TAPA TOMATODO DOBLE CLICK-ROSADO"/>
    <n v="250"/>
    <n v="3"/>
    <n v="43.8"/>
    <s v="DIURNO"/>
    <n v="0"/>
    <n v="4"/>
    <n v="976"/>
    <n v="20723"/>
    <s v="ROSADO"/>
    <n v="6.6"/>
    <n v="0"/>
    <n v="0"/>
    <n v="5.5350000000000001"/>
    <n v="43.8"/>
    <n v="22.14"/>
    <n v="1978.3197831978318"/>
    <x v="0"/>
    <x v="0"/>
    <n v="4"/>
    <n v="5"/>
    <n v="104.16666666666667"/>
  </r>
  <r>
    <d v="2025-02-09T10:08:00"/>
    <s v="INYECTADO"/>
    <x v="0"/>
    <x v="25"/>
    <s v="JUAN CARLOS CEDENO"/>
    <s v="VIRGEN"/>
    <s v="PP CLARIFICADO"/>
    <s v="."/>
    <x v="10"/>
    <s v="TAPA TOMATODO DOBLE CLICK-LILA"/>
    <n v="263"/>
    <n v="3"/>
    <n v="46"/>
    <s v="DIURNO"/>
    <n v="0"/>
    <n v="5"/>
    <n v="976"/>
    <n v="20723"/>
    <s v="LILA"/>
    <n v="7"/>
    <n v="0"/>
    <n v="0"/>
    <n v="5.8228200000000001"/>
    <n v="46"/>
    <n v="22.14"/>
    <n v="2077.6874435411019"/>
    <x v="0"/>
    <x v="0"/>
    <n v="4"/>
    <n v="7"/>
    <n v="153.41666666666666"/>
  </r>
  <r>
    <d v="2025-02-09T10:08:00"/>
    <s v="INYECTADO"/>
    <x v="0"/>
    <x v="25"/>
    <s v="JUAN CARLOS CEDENO"/>
    <s v="VIRGEN"/>
    <s v="PP CLARIFICADO"/>
    <s v="."/>
    <x v="10"/>
    <s v="TAPA TOMATODO DOBLE CLICK-CELESTE"/>
    <n v="176"/>
    <n v="2"/>
    <n v="30.8"/>
    <s v="DIURNO"/>
    <n v="0"/>
    <n v="4"/>
    <n v="976"/>
    <n v="20723"/>
    <s v="CELESTE"/>
    <n v="3.8"/>
    <n v="0"/>
    <n v="0"/>
    <n v="3.8966400000000005"/>
    <n v="30.8"/>
    <n v="22.14"/>
    <n v="1391.1472448057814"/>
    <x v="0"/>
    <x v="0"/>
    <n v="4"/>
    <n v="7"/>
    <n v="102.66666666666667"/>
  </r>
  <r>
    <d v="2025-02-09T10:08:00"/>
    <s v="INYECTADO"/>
    <x v="0"/>
    <x v="14"/>
    <s v="CARMEN AUCAPUMA"/>
    <s v="VIRGEN"/>
    <s v="PP CLARIFICADO"/>
    <s v="."/>
    <x v="10"/>
    <s v="TAPA TOMATODO DOBLE CLICK-TURQUESA"/>
    <n v="176"/>
    <n v="2"/>
    <n v="30.8"/>
    <s v="DIURNO"/>
    <n v="0"/>
    <n v="3"/>
    <n v="976"/>
    <n v="20724"/>
    <s v="TURQUESA"/>
    <n v="6.8"/>
    <n v="0"/>
    <n v="0"/>
    <n v="3.8966400000000005"/>
    <n v="30.8"/>
    <n v="22.14"/>
    <n v="1391.1472448057814"/>
    <x v="0"/>
    <x v="0"/>
    <n v="4"/>
    <n v="7"/>
    <n v="102.66666666666667"/>
  </r>
  <r>
    <d v="2025-02-09T10:08:00"/>
    <s v="INYECTADO"/>
    <x v="0"/>
    <x v="14"/>
    <s v="CARMEN AUCAPUMA"/>
    <s v="VIRGEN"/>
    <s v="PP CLARIFICADO"/>
    <s v="."/>
    <x v="10"/>
    <s v="TAPA TOMATODO DOBLE CLICK-AZURE"/>
    <n v="477"/>
    <n v="7"/>
    <n v="83.6"/>
    <s v="DIURNO"/>
    <n v="0"/>
    <n v="9"/>
    <n v="976"/>
    <n v="20724"/>
    <s v="AZURE"/>
    <n v="12.7"/>
    <n v="0"/>
    <n v="0"/>
    <n v="10.560780000000001"/>
    <n v="83.6"/>
    <n v="22.14"/>
    <n v="3775.9710930442639"/>
    <x v="0"/>
    <x v="0"/>
    <n v="4"/>
    <n v="7"/>
    <n v="278.25"/>
  </r>
  <r>
    <d v="2025-02-09T10:08:00"/>
    <s v="INYECTADO"/>
    <x v="0"/>
    <x v="15"/>
    <s v="LEONOR "/>
    <s v="VIRGEN"/>
    <s v="PP CLARIFICADO"/>
    <s v="."/>
    <x v="10"/>
    <s v="TAPA TOMATODO DOBLE CLICK-SANDIA"/>
    <n v="476"/>
    <n v="7"/>
    <n v="83.3"/>
    <s v="DIURNO"/>
    <n v="0"/>
    <n v="10"/>
    <n v="976"/>
    <n v="20725"/>
    <s v="SANDIA"/>
    <n v="10.5"/>
    <n v="0"/>
    <n v="0"/>
    <n v="10.538639999999999"/>
    <n v="83.3"/>
    <n v="22.14"/>
    <n v="3762.4209575429086"/>
    <x v="0"/>
    <x v="0"/>
    <n v="4"/>
    <n v="7"/>
    <n v="277.66666666666669"/>
  </r>
  <r>
    <d v="2025-02-09T10:08:00"/>
    <s v="INYECTADO"/>
    <x v="0"/>
    <x v="15"/>
    <s v="LEONOR "/>
    <s v="VIRGEN"/>
    <s v="PP CLARIFICADO"/>
    <s v="."/>
    <x v="9"/>
    <s v="TAPA TOMATODO DOBLE CLICK-ANARANJADO"/>
    <n v="153"/>
    <n v="1"/>
    <n v="26.7"/>
    <s v="DIURNO"/>
    <n v="0"/>
    <n v="3"/>
    <n v="966"/>
    <n v="20725"/>
    <s v="ANARANJADO"/>
    <n v="3.1"/>
    <n v="0"/>
    <n v="0"/>
    <n v="3.3874200000000001"/>
    <n v="26.7"/>
    <n v="22.14"/>
    <n v="1205.9620596205962"/>
    <x v="0"/>
    <x v="0"/>
    <n v="4"/>
    <n v="7"/>
    <n v="89.25"/>
  </r>
  <r>
    <d v="2025-02-09T10:08:00"/>
    <s v="INYECTADO"/>
    <x v="0"/>
    <x v="7"/>
    <s v="LUIS PINEDO"/>
    <s v="VIRGEN"/>
    <s v="PP CLARIFICADO"/>
    <s v="."/>
    <x v="9"/>
    <s v="TAPA TOMATODO DOBLE CLICK-ANARANJADO"/>
    <n v="88"/>
    <n v="1"/>
    <n v="15.3"/>
    <s v="DIURNO"/>
    <n v="0"/>
    <n v="2"/>
    <n v="966"/>
    <n v="20726"/>
    <s v="ANARANJADO"/>
    <n v="6"/>
    <n v="0"/>
    <n v="0"/>
    <n v="1.9483200000000003"/>
    <n v="15.3"/>
    <n v="22.14"/>
    <n v="691.05691056910564"/>
    <x v="0"/>
    <x v="0"/>
    <n v="5"/>
    <n v="7"/>
    <n v="51.333333333333336"/>
  </r>
  <r>
    <d v="2025-02-09T10:08:00"/>
    <s v="INYECTADO"/>
    <x v="0"/>
    <x v="7"/>
    <s v="LUIS PINEDO"/>
    <s v="VIRGEN"/>
    <s v="PP CLARIFICADO"/>
    <s v="."/>
    <x v="9"/>
    <s v="TAPA TOMATODO DOBLE CLICK-VERDE"/>
    <n v="270"/>
    <n v="3"/>
    <n v="47.2"/>
    <s v="DIURNO"/>
    <n v="0"/>
    <n v="5"/>
    <n v="966"/>
    <n v="20726"/>
    <s v="VERDE"/>
    <n v="7.8"/>
    <n v="0"/>
    <n v="0"/>
    <n v="5.9778000000000002"/>
    <n v="47.2"/>
    <n v="22.14"/>
    <n v="2131.887985546522"/>
    <x v="0"/>
    <x v="0"/>
    <n v="5"/>
    <n v="7"/>
    <n v="157.5"/>
  </r>
  <r>
    <d v="2025-02-09T10:08:00"/>
    <s v="INYECTADO"/>
    <x v="0"/>
    <x v="7"/>
    <s v="LUIS PINEDO"/>
    <s v="VIRGEN"/>
    <s v="PP CLARIFICADO"/>
    <s v="."/>
    <x v="9"/>
    <s v="TAPA TOMATODO DOBLE CLICK-FUCSIA"/>
    <n v="48"/>
    <n v="1"/>
    <n v="8.5"/>
    <s v="DIURNO"/>
    <n v="0"/>
    <n v="1"/>
    <n v="966"/>
    <n v="20726"/>
    <s v="FUCSIA"/>
    <n v="1.4"/>
    <n v="0"/>
    <n v="0"/>
    <n v="1.0627200000000001"/>
    <n v="8.5"/>
    <n v="22.14"/>
    <n v="383.92050587172537"/>
    <x v="0"/>
    <x v="0"/>
    <n v="5"/>
    <n v="7"/>
    <n v="28"/>
  </r>
  <r>
    <d v="2025-02-09T10:08:00"/>
    <s v="INYECTADO"/>
    <x v="0"/>
    <x v="8"/>
    <s v="JUAN CARLOS CEDENO"/>
    <s v="VIRGEN"/>
    <s v="PP CLARIFICADO"/>
    <s v="."/>
    <x v="9"/>
    <s v="TAPA TOMATODO DOBLE CLICK-FUCSIA"/>
    <n v="212"/>
    <n v="3"/>
    <n v="37.200000000000003"/>
    <s v="DIURNO"/>
    <n v="0"/>
    <n v="4"/>
    <n v="966"/>
    <n v="20726"/>
    <s v="FUCSIA"/>
    <n v="7.3"/>
    <n v="0"/>
    <n v="0"/>
    <n v="4.6936800000000005"/>
    <n v="37.200000000000003"/>
    <n v="22.14"/>
    <n v="1680.2168021680216"/>
    <x v="0"/>
    <x v="0"/>
    <n v="5"/>
    <n v="7"/>
    <n v="123.66666666666667"/>
  </r>
  <r>
    <d v="2025-02-09T10:08:00"/>
    <s v="INYECTADO"/>
    <x v="0"/>
    <x v="8"/>
    <s v="JUAN CARLOS CEDENO"/>
    <s v="VIRGEN"/>
    <s v="PP CLARIFICADO"/>
    <s v="."/>
    <x v="9"/>
    <s v="TAPA TOMATODO DOBLE CLICK-AMARILLO"/>
    <n v="259"/>
    <n v="3"/>
    <n v="45"/>
    <s v="DIURNO"/>
    <n v="0"/>
    <n v="7"/>
    <n v="966"/>
    <n v="20726"/>
    <s v="AMARILLO"/>
    <n v="9.3000000000000007"/>
    <n v="0"/>
    <n v="0"/>
    <n v="5.7342599999999999"/>
    <n v="45"/>
    <n v="22.14"/>
    <n v="2032.520325203252"/>
    <x v="0"/>
    <x v="0"/>
    <n v="5"/>
    <n v="7"/>
    <n v="151.08333333333334"/>
  </r>
  <r>
    <d v="2025-02-09T10:08:00"/>
    <s v="INYECTADO"/>
    <x v="0"/>
    <x v="8"/>
    <s v="JUAN CARLOS CEDENO"/>
    <s v="VIRGEN"/>
    <s v="PP CLARIFICADO"/>
    <s v="."/>
    <x v="9"/>
    <s v="TAPA TOMATODO DOBLE CLICK-LILA"/>
    <n v="234"/>
    <n v="3"/>
    <n v="40.9"/>
    <s v="DIURNO"/>
    <n v="0"/>
    <n v="5"/>
    <n v="966"/>
    <n v="20726"/>
    <s v="LILA"/>
    <n v="6.7"/>
    <n v="0"/>
    <n v="0"/>
    <n v="5.1807600000000003"/>
    <n v="40.9"/>
    <n v="22.14"/>
    <n v="1847.3351400180668"/>
    <x v="0"/>
    <x v="0"/>
    <n v="5"/>
    <n v="7"/>
    <n v="136.5"/>
  </r>
  <r>
    <d v="2025-02-09T10:08:00"/>
    <s v="INYECTADO"/>
    <x v="0"/>
    <x v="16"/>
    <s v="JOSDER GONZALEZ"/>
    <s v="VIRGEN"/>
    <s v="PP CLARIFICADO"/>
    <s v="."/>
    <x v="10"/>
    <s v="TAPA TOMATODO DOBLE CLICK-LILA"/>
    <n v="31"/>
    <n v="1"/>
    <n v="5.4"/>
    <s v="DIURNO"/>
    <n v="0"/>
    <n v="1"/>
    <n v="966"/>
    <n v="20728"/>
    <s v="LILA"/>
    <n v="3.1"/>
    <n v="0"/>
    <n v="0"/>
    <n v="0.68634000000000006"/>
    <n v="5.4"/>
    <n v="22.14"/>
    <n v="243.90243902439025"/>
    <x v="0"/>
    <x v="0"/>
    <n v="5"/>
    <n v="7"/>
    <n v="18.083333333333332"/>
  </r>
  <r>
    <d v="2025-02-09T10:08:00"/>
    <s v="INYECTADO"/>
    <x v="0"/>
    <x v="16"/>
    <s v="JOSDER GONZALEZ"/>
    <s v="VIRGEN"/>
    <s v="PP CLARIFICADO"/>
    <s v="."/>
    <x v="10"/>
    <s v="TAPA TOMATODO DOBLE CLICK-TURQUESA"/>
    <n v="138"/>
    <n v="2"/>
    <n v="24.1"/>
    <s v="DIURNO"/>
    <n v="0"/>
    <n v="3"/>
    <n v="966"/>
    <n v="20728"/>
    <s v="TURQUESA"/>
    <n v="4.2"/>
    <n v="0"/>
    <n v="0"/>
    <n v="3.05532"/>
    <n v="24.1"/>
    <n v="22.14"/>
    <n v="1088.5275519421862"/>
    <x v="0"/>
    <x v="0"/>
    <n v="5"/>
    <n v="7"/>
    <n v="80.5"/>
  </r>
  <r>
    <d v="2025-02-09T10:08:00"/>
    <s v="INYECTADO"/>
    <x v="0"/>
    <x v="16"/>
    <s v="JOSDER GONZALEZ"/>
    <s v="VIRGEN"/>
    <s v="PP CLARIFICADO"/>
    <s v="."/>
    <x v="10"/>
    <s v="TAPA TOMATODO DOBLE CLICK-CELESTE"/>
    <n v="214"/>
    <n v="4"/>
    <n v="37.4"/>
    <s v="DIURNO"/>
    <n v="0"/>
    <n v="5"/>
    <n v="976"/>
    <n v="20728"/>
    <s v="CELESTE"/>
    <n v="5.2"/>
    <n v="0"/>
    <n v="0"/>
    <n v="4.7379600000000002"/>
    <n v="37.4"/>
    <n v="22.14"/>
    <n v="1689.2502258355917"/>
    <x v="0"/>
    <x v="0"/>
    <n v="5"/>
    <n v="7"/>
    <n v="124.83333333333333"/>
  </r>
  <r>
    <d v="2025-02-09T10:08:00"/>
    <s v="INYECTADO"/>
    <x v="0"/>
    <x v="16"/>
    <s v="PAUL MILLER"/>
    <s v="VIRGEN"/>
    <s v="PP CLARIFICADO"/>
    <s v="."/>
    <x v="10"/>
    <s v="TAPA TOMATODO DOBLE CLICK-CELESTE"/>
    <n v="34"/>
    <n v="1"/>
    <n v="5.9"/>
    <s v="NOCTURNO"/>
    <n v="0"/>
    <n v="1"/>
    <n v="976"/>
    <n v="20729"/>
    <s v="CELESTE"/>
    <n v="1.5"/>
    <n v="0"/>
    <n v="0"/>
    <n v="0.75275999999999998"/>
    <n v="5.9"/>
    <n v="22.14"/>
    <n v="266.48599819331525"/>
    <x v="0"/>
    <x v="0"/>
    <n v="5"/>
    <n v="7"/>
    <n v="19.833333333333332"/>
  </r>
  <r>
    <d v="2025-02-09T10:08:00"/>
    <s v="INYECTADO"/>
    <x v="0"/>
    <x v="16"/>
    <s v="PAUL MILLER"/>
    <s v="VIRGEN"/>
    <s v="PP CLARIFICADO"/>
    <s v="."/>
    <x v="10"/>
    <s v="TAPA TOMATODO DOBLE CLICK-ROSADO"/>
    <n v="301"/>
    <n v="4"/>
    <n v="52.7"/>
    <s v="NOCTURNO"/>
    <n v="0"/>
    <n v="5"/>
    <n v="976"/>
    <n v="20729"/>
    <s v="ROSADO"/>
    <n v="6.7"/>
    <n v="0"/>
    <n v="0"/>
    <n v="6.6641400000000006"/>
    <n v="52.7"/>
    <n v="22.14"/>
    <n v="2380.3071364046973"/>
    <x v="0"/>
    <x v="0"/>
    <n v="5"/>
    <n v="5"/>
    <n v="125.41666666666667"/>
  </r>
  <r>
    <d v="2025-02-09T10:08:00"/>
    <s v="INYECTADO"/>
    <x v="0"/>
    <x v="16"/>
    <s v="PAUL MILLER"/>
    <s v="VIRGEN"/>
    <s v="PP CLARIFICADO"/>
    <s v="."/>
    <x v="10"/>
    <s v="TAPA TOMATODO DOBLE CLICK-LILA"/>
    <n v="259"/>
    <n v="3"/>
    <n v="45.3"/>
    <s v="NOCTURNO"/>
    <n v="0"/>
    <n v="5"/>
    <n v="976"/>
    <n v="20729"/>
    <s v="LILA"/>
    <n v="4.5999999999999996"/>
    <n v="0"/>
    <n v="0"/>
    <n v="5.7342599999999999"/>
    <n v="45.3"/>
    <n v="22.14"/>
    <n v="2046.0704607046071"/>
    <x v="0"/>
    <x v="0"/>
    <n v="5"/>
    <n v="7"/>
    <n v="151.08333333333334"/>
  </r>
  <r>
    <d v="2025-02-09T10:08:00"/>
    <s v="INYECTADO"/>
    <x v="0"/>
    <x v="16"/>
    <s v="PAUL MILLER"/>
    <s v="VIRGEN"/>
    <s v="PP CLARIFICADO"/>
    <s v="."/>
    <x v="10"/>
    <s v="TAPA TOMATODO DOBLE CLICK-AZURE"/>
    <n v="96"/>
    <n v="1"/>
    <n v="16.8"/>
    <s v="NOCTURNO"/>
    <n v="0"/>
    <n v="2"/>
    <n v="976"/>
    <n v="20729"/>
    <s v="AZURE"/>
    <n v="2.6"/>
    <n v="0"/>
    <n v="0"/>
    <n v="2.1254400000000002"/>
    <n v="16.8"/>
    <n v="22.14"/>
    <n v="758.80758807588074"/>
    <x v="0"/>
    <x v="0"/>
    <n v="5"/>
    <n v="7"/>
    <n v="56"/>
  </r>
  <r>
    <d v="2025-02-09T10:08:00"/>
    <s v="INYECTADO"/>
    <x v="0"/>
    <x v="17"/>
    <s v="ISABEL LINARIZ "/>
    <s v="VIRGEN"/>
    <s v="PP CLARIFICADO"/>
    <s v="."/>
    <x v="10"/>
    <s v="TAPA TOMATODO DOBLE CLICK-AZURE"/>
    <n v="162"/>
    <n v="2"/>
    <n v="30.4"/>
    <s v="DIURNO"/>
    <n v="0"/>
    <n v="3"/>
    <n v="976"/>
    <n v="20730"/>
    <s v="AZURE"/>
    <n v="7.9"/>
    <n v="0"/>
    <n v="0"/>
    <n v="3.5866800000000003"/>
    <n v="30.4"/>
    <n v="22.14"/>
    <n v="1373.0803974706414"/>
    <x v="0"/>
    <x v="0"/>
    <n v="5"/>
    <n v="7"/>
    <n v="94.5"/>
  </r>
  <r>
    <d v="2025-02-09T10:08:00"/>
    <s v="INYECTADO"/>
    <x v="0"/>
    <x v="17"/>
    <s v="ISABEL LINARIZ "/>
    <s v="VIRGEN"/>
    <s v="PP CLARIFICADO"/>
    <s v="."/>
    <x v="9"/>
    <s v="TAPA TOMATODO DOBLE CLICK-AMARILLO"/>
    <n v="263"/>
    <n v="3"/>
    <n v="46"/>
    <s v="DIURNO"/>
    <n v="0"/>
    <n v="2"/>
    <n v="976"/>
    <n v="20730"/>
    <s v="AMARILLO"/>
    <n v="10.199999999999999"/>
    <n v="0"/>
    <n v="0"/>
    <n v="5.8228200000000001"/>
    <n v="46"/>
    <n v="22.14"/>
    <n v="2077.6874435411019"/>
    <x v="0"/>
    <x v="0"/>
    <n v="5"/>
    <n v="7"/>
    <n v="153.41666666666666"/>
  </r>
  <r>
    <d v="2025-02-09T10:08:00"/>
    <s v="INYECTADO"/>
    <x v="0"/>
    <x v="17"/>
    <s v="ISABEL LINARIZ "/>
    <s v="VIRGEN"/>
    <s v="PP CLARIFICADO"/>
    <s v="."/>
    <x v="9"/>
    <s v="TAPA TOMATODO DOBLE CLICK-FUCSIA"/>
    <n v="174"/>
    <n v="2"/>
    <n v="30.6"/>
    <s v="DIURNO"/>
    <n v="0"/>
    <n v="2"/>
    <n v="976"/>
    <n v="20730"/>
    <s v="FUCSIA"/>
    <n v="7.9"/>
    <n v="0"/>
    <n v="0"/>
    <n v="3.85236"/>
    <n v="30.6"/>
    <n v="22.14"/>
    <n v="1382.1138211382113"/>
    <x v="0"/>
    <x v="0"/>
    <n v="5"/>
    <n v="7"/>
    <n v="101.5"/>
  </r>
  <r>
    <d v="2025-02-09T10:08:00"/>
    <s v="INYECTADO"/>
    <x v="0"/>
    <x v="26"/>
    <s v="LEIDY VALLEZ"/>
    <s v="VIRGEN"/>
    <s v="PP CLARIFICADO"/>
    <s v="."/>
    <x v="9"/>
    <s v="TAPA TOMATODO DOBLE CLICK-ROSADO"/>
    <n v="41"/>
    <n v="1"/>
    <n v="7.2"/>
    <s v="DIURNO"/>
    <n v="0"/>
    <n v="2"/>
    <n v="976"/>
    <n v="20731"/>
    <s v="ROSADO"/>
    <n v="2.8"/>
    <n v="0"/>
    <n v="0"/>
    <n v="0.90773999999999999"/>
    <n v="7.2"/>
    <n v="22.14"/>
    <n v="325.20325203252031"/>
    <x v="0"/>
    <x v="0"/>
    <n v="5"/>
    <n v="5"/>
    <n v="17.083333333333332"/>
  </r>
  <r>
    <d v="2025-02-09T10:08:00"/>
    <s v="INYECTADO"/>
    <x v="0"/>
    <x v="26"/>
    <s v="LEIDY VALLEZ"/>
    <s v="VIRGEN"/>
    <s v="PP CLARIFICADO"/>
    <s v="."/>
    <x v="9"/>
    <s v="TAPA TOMATODO DOBLE CLICK-TURQUESA"/>
    <n v="130"/>
    <n v="2"/>
    <n v="22.8"/>
    <s v="DIURNO"/>
    <n v="0"/>
    <n v="2"/>
    <n v="976"/>
    <n v="20731"/>
    <s v="TURQUESA"/>
    <n v="6.2"/>
    <n v="0"/>
    <n v="0"/>
    <n v="2.8782000000000001"/>
    <n v="22.8"/>
    <n v="22.14"/>
    <n v="1029.8102981029811"/>
    <x v="0"/>
    <x v="0"/>
    <n v="5"/>
    <n v="7"/>
    <n v="75.833333333333329"/>
  </r>
  <r>
    <d v="2025-02-09T10:08:00"/>
    <s v="INYECTADO"/>
    <x v="0"/>
    <x v="26"/>
    <s v="LEIDY VALLEZ"/>
    <s v="VIRGEN"/>
    <s v="PP CLARIFICADO"/>
    <s v="."/>
    <x v="9"/>
    <s v="TAPA TOMATODO DOBLE CLICK-ANARANJADO"/>
    <n v="253"/>
    <n v="3"/>
    <n v="44.5"/>
    <s v="DIURNO"/>
    <n v="0"/>
    <n v="2"/>
    <n v="976"/>
    <n v="20731"/>
    <s v="ANARANJADO"/>
    <n v="8.5"/>
    <n v="0"/>
    <n v="0"/>
    <n v="5.6014200000000001"/>
    <n v="44.5"/>
    <n v="22.14"/>
    <n v="2009.9367660343269"/>
    <x v="0"/>
    <x v="0"/>
    <n v="5"/>
    <n v="7"/>
    <n v="147.58333333333334"/>
  </r>
  <r>
    <d v="2025-02-09T10:08:00"/>
    <s v="INYECTADO"/>
    <x v="0"/>
    <x v="26"/>
    <s v="LEIDY VALLEZ"/>
    <s v="VIRGEN"/>
    <s v="PP CLARIFICADO"/>
    <s v="."/>
    <x v="9"/>
    <s v="TAPA TOMATODO DOBLE CLICK-LILA"/>
    <n v="146"/>
    <n v="2"/>
    <n v="25.6"/>
    <s v="DIURNO"/>
    <n v="0"/>
    <n v="2"/>
    <n v="976"/>
    <n v="20731"/>
    <s v="LILA"/>
    <n v="3.8"/>
    <n v="0"/>
    <n v="0"/>
    <n v="3.23244"/>
    <n v="25.6"/>
    <n v="22.14"/>
    <n v="1156.2782294489612"/>
    <x v="0"/>
    <x v="0"/>
    <n v="5"/>
    <n v="7"/>
    <n v="85.166666666666671"/>
  </r>
  <r>
    <d v="2025-02-09T10:08:00"/>
    <s v="INYECTADO"/>
    <x v="1"/>
    <x v="18"/>
    <s v="CRISALIDA ZAPATA"/>
    <s v="SEGUNDA"/>
    <s v="."/>
    <s v="PP INY MOLIDO"/>
    <x v="1"/>
    <s v="PALA RASTRILLO ROMANO-AZUL"/>
    <n v="190"/>
    <n v="1"/>
    <n v="14"/>
    <s v="DIURNO"/>
    <n v="0"/>
    <n v="3"/>
    <n v="953"/>
    <n v="20640"/>
    <s v="AZUL"/>
    <n v="5.5"/>
    <n v="0"/>
    <n v="0"/>
    <n v="7.22"/>
    <n v="14"/>
    <n v="38"/>
    <n v="368.42105263157896"/>
    <x v="0"/>
    <x v="0"/>
    <n v="2"/>
    <n v="2"/>
    <n v="31.666666666666668"/>
  </r>
  <r>
    <d v="2025-02-09T10:08:00"/>
    <s v="INYECTADO"/>
    <x v="1"/>
    <x v="18"/>
    <s v="CRISALIDA ZAPATA"/>
    <s v="SEGUNDA"/>
    <s v="."/>
    <s v="PP INY MOLIDO"/>
    <x v="1"/>
    <s v="PALA RASTRILLO ROMANO-LILA"/>
    <n v="518"/>
    <n v="4"/>
    <n v="38.1"/>
    <s v="DIURNO"/>
    <n v="0"/>
    <n v="5"/>
    <n v="953"/>
    <n v="20640"/>
    <s v="ROJO"/>
    <n v="0"/>
    <n v="0"/>
    <n v="0"/>
    <n v="19.684000000000001"/>
    <n v="38.1"/>
    <n v="38"/>
    <n v="1002.6315789473684"/>
    <x v="0"/>
    <x v="0"/>
    <n v="2"/>
    <n v="2"/>
    <n v="86.333333333333329"/>
  </r>
  <r>
    <d v="2025-02-09T10:08:00"/>
    <s v="INYECTADO"/>
    <x v="1"/>
    <x v="18"/>
    <s v="CRISALIDA ZAPATA"/>
    <s v="SEGUNDA"/>
    <s v="."/>
    <s v="PP INY MOLIDO"/>
    <x v="1"/>
    <s v="PALA RASTRILLO ROMANO-ROJO"/>
    <n v="244"/>
    <n v="2"/>
    <n v="18"/>
    <s v="DIURNO"/>
    <n v="0"/>
    <n v="2"/>
    <n v="953"/>
    <n v="20640"/>
    <s v="ROJO"/>
    <n v="0"/>
    <n v="0"/>
    <n v="0"/>
    <n v="9.2720000000000002"/>
    <n v="18"/>
    <n v="38"/>
    <n v="473.68421052631578"/>
    <x v="0"/>
    <x v="0"/>
    <n v="2"/>
    <n v="2"/>
    <n v="40.666666666666664"/>
  </r>
  <r>
    <d v="2025-02-09T10:08:00"/>
    <s v="INYECTADO"/>
    <x v="1"/>
    <x v="18"/>
    <s v="JUAN MANUEL PEREZ"/>
    <s v="SEGUNDA"/>
    <s v="."/>
    <s v="PP INY MOLIDO"/>
    <x v="1"/>
    <s v="PALA RASTRILLO ROMANO-ROJO"/>
    <n v="299"/>
    <n v="2"/>
    <n v="22"/>
    <s v="NOCTURNO"/>
    <n v="0"/>
    <n v="0"/>
    <n v="953"/>
    <n v="20641"/>
    <s v="ROJO"/>
    <n v="0"/>
    <n v="0"/>
    <n v="0"/>
    <n v="11.362"/>
    <n v="22"/>
    <n v="38"/>
    <n v="578.9473684210526"/>
    <x v="0"/>
    <x v="0"/>
    <n v="2"/>
    <n v="2"/>
    <n v="49.833333333333336"/>
  </r>
  <r>
    <d v="2025-02-09T10:08:00"/>
    <s v="INYECTADO"/>
    <x v="1"/>
    <x v="18"/>
    <s v="JUAN MANUEL PEREZ"/>
    <s v="SEGUNDA"/>
    <s v="."/>
    <s v="PP INY MOLIDO"/>
    <x v="1"/>
    <s v="PALA RASTRILLO ROMANO-VERDE"/>
    <n v="425"/>
    <n v="4"/>
    <n v="31.3"/>
    <s v="NOCTURNO"/>
    <n v="0"/>
    <n v="0"/>
    <n v="953"/>
    <n v="20641"/>
    <s v="VERDE"/>
    <n v="5.4"/>
    <n v="0"/>
    <n v="0"/>
    <n v="16.149999999999999"/>
    <n v="31.3"/>
    <n v="38"/>
    <n v="823.68421052631584"/>
    <x v="0"/>
    <x v="0"/>
    <n v="2"/>
    <n v="2"/>
    <n v="70.833333333333329"/>
  </r>
  <r>
    <d v="2025-02-09T10:08:00"/>
    <s v="INYECTADO"/>
    <x v="1"/>
    <x v="18"/>
    <s v="JUAN MANUEL PEREZ"/>
    <s v="VIRGEN"/>
    <s v="PP CLARIFICADO"/>
    <s v="."/>
    <x v="1"/>
    <s v="PALA RASTRILLO ROMANO-AMARILLO"/>
    <n v="628"/>
    <n v="5"/>
    <n v="46.2"/>
    <s v="NOCTURNO"/>
    <n v="0"/>
    <n v="0"/>
    <n v="953"/>
    <n v="20641"/>
    <s v="AMARILLO"/>
    <n v="4.2"/>
    <n v="0"/>
    <n v="0"/>
    <n v="23.864000000000001"/>
    <n v="46.2"/>
    <n v="38"/>
    <n v="1215.7894736842106"/>
    <x v="0"/>
    <x v="0"/>
    <n v="2"/>
    <n v="2"/>
    <n v="104.66666666666667"/>
  </r>
  <r>
    <d v="2025-02-09T10:08:00"/>
    <s v="INYECTADO"/>
    <x v="1"/>
    <x v="19"/>
    <s v="JUAN CARLOS CEDENO"/>
    <s v="VIRGEN"/>
    <s v="PP CLARIFICADO"/>
    <s v="."/>
    <x v="1"/>
    <s v="PALA RASTRILLO ROMANO-AMARILLO"/>
    <n v="93"/>
    <n v="1"/>
    <n v="6.8"/>
    <s v="DIURNO"/>
    <n v="0"/>
    <n v="0"/>
    <n v="953"/>
    <n v="20642"/>
    <s v="AMARILLO"/>
    <n v="5.7"/>
    <n v="0"/>
    <n v="0"/>
    <n v="3.5339999999999998"/>
    <n v="6.8"/>
    <n v="38"/>
    <n v="178.94736842105263"/>
    <x v="0"/>
    <x v="0"/>
    <n v="2"/>
    <n v="2"/>
    <n v="15.5"/>
  </r>
  <r>
    <d v="2025-02-09T10:08:00"/>
    <s v="INYECTADO"/>
    <x v="1"/>
    <x v="19"/>
    <s v="JUAN CARLOS CEDENO"/>
    <s v="SEGUNDA"/>
    <s v="."/>
    <s v="PP INY MOLIDO"/>
    <x v="1"/>
    <s v="PALA RASTRILLO ROMANO-FUCSIA"/>
    <n v="602"/>
    <n v="5"/>
    <n v="44.3"/>
    <s v="DIURNO"/>
    <n v="0"/>
    <n v="4"/>
    <n v="953"/>
    <n v="20642"/>
    <s v="FUCSIA"/>
    <n v="0"/>
    <n v="0"/>
    <n v="0"/>
    <n v="22.876000000000001"/>
    <n v="44.3"/>
    <n v="38"/>
    <n v="1165.7894736842106"/>
    <x v="0"/>
    <x v="0"/>
    <n v="2"/>
    <n v="2"/>
    <n v="100.33333333333333"/>
  </r>
  <r>
    <d v="2025-02-09T10:08:00"/>
    <s v="INYECTADO"/>
    <x v="1"/>
    <x v="19"/>
    <s v="JUAN CARLOS CEDENO"/>
    <s v="SEGUNDA"/>
    <s v="."/>
    <s v="PP INY MOLIDO"/>
    <x v="1"/>
    <s v="PALA RASTRILLO ROMANO-ROJO"/>
    <n v="395"/>
    <n v="2"/>
    <n v="29.1"/>
    <s v="DIURNO"/>
    <n v="0"/>
    <n v="0"/>
    <n v="953"/>
    <n v="20642"/>
    <s v="ROJO"/>
    <n v="0"/>
    <n v="0"/>
    <n v="0"/>
    <n v="15.01"/>
    <n v="29.1"/>
    <n v="38"/>
    <n v="765.78947368421052"/>
    <x v="0"/>
    <x v="0"/>
    <n v="2"/>
    <n v="2"/>
    <n v="65.833333333333329"/>
  </r>
  <r>
    <d v="2025-02-09T10:08:00"/>
    <s v="INYECTADO"/>
    <x v="1"/>
    <x v="19"/>
    <s v="FABIAN HERNANDEZ"/>
    <s v="SEGUNDA"/>
    <s v="."/>
    <s v="PP INY MOLIDO"/>
    <x v="1"/>
    <s v="PALA RASTRILLO ROMANO-ROJO"/>
    <n v="219"/>
    <n v="2"/>
    <n v="16.100000000000001"/>
    <s v="NOCTURNO"/>
    <n v="0"/>
    <n v="2"/>
    <n v="953"/>
    <n v="20643"/>
    <s v="ROJO"/>
    <n v="5.6"/>
    <n v="0"/>
    <n v="0"/>
    <n v="8.3219999999999992"/>
    <n v="16.100000000000001"/>
    <n v="38"/>
    <n v="423.68421052631584"/>
    <x v="0"/>
    <x v="0"/>
    <n v="2"/>
    <n v="2"/>
    <n v="36.5"/>
  </r>
  <r>
    <d v="2025-02-09T10:08:00"/>
    <s v="INYECTADO"/>
    <x v="1"/>
    <x v="19"/>
    <s v="FABIAN HERNANDEZ"/>
    <s v="SEGUNDA"/>
    <s v="."/>
    <s v="PP INY MOLIDO"/>
    <x v="1"/>
    <s v="PALA RASTRILLO ROMANO-VERDE"/>
    <n v="650"/>
    <n v="5"/>
    <n v="47.8"/>
    <s v="NOCTURNO"/>
    <n v="0"/>
    <n v="8"/>
    <n v="953"/>
    <n v="20643"/>
    <s v="VERDE"/>
    <n v="3.6"/>
    <n v="0"/>
    <n v="0"/>
    <n v="24.7"/>
    <n v="47.8"/>
    <n v="38"/>
    <n v="1257.8947368421052"/>
    <x v="0"/>
    <x v="0"/>
    <n v="2"/>
    <n v="2"/>
    <n v="108.33333333333333"/>
  </r>
  <r>
    <d v="2025-02-09T10:08:00"/>
    <s v="INYECTADO"/>
    <x v="1"/>
    <x v="19"/>
    <s v="FABIAN HERNANDEZ"/>
    <s v="SEGUNDA"/>
    <s v="."/>
    <s v="PP INY MOLIDO"/>
    <x v="1"/>
    <s v="PALA RASTRILLO ROMANO-AZUL"/>
    <n v="402"/>
    <n v="3"/>
    <n v="29.6"/>
    <s v="NOCTURNO"/>
    <n v="0"/>
    <n v="4"/>
    <n v="953"/>
    <n v="20643"/>
    <s v="AZUL"/>
    <n v="4.2"/>
    <n v="0"/>
    <n v="0"/>
    <n v="15.276"/>
    <n v="29.6"/>
    <n v="38"/>
    <n v="778.9473684210526"/>
    <x v="0"/>
    <x v="0"/>
    <n v="2"/>
    <n v="2"/>
    <n v="67"/>
  </r>
  <r>
    <d v="2025-02-09T10:08:00"/>
    <s v="INYECTADO"/>
    <x v="1"/>
    <x v="20"/>
    <s v="GABRIEL REQUENA"/>
    <s v="SEGUNDA"/>
    <s v="."/>
    <s v="PP INY MOLIDO"/>
    <x v="1"/>
    <s v="PALA RASTRILLO ROMANO-AZUL"/>
    <n v="179"/>
    <n v="2"/>
    <n v="13.1"/>
    <s v="DIURNO"/>
    <n v="0"/>
    <n v="2"/>
    <n v="953"/>
    <n v="20644"/>
    <s v="AZUL"/>
    <n v="7.7"/>
    <n v="0"/>
    <n v="0"/>
    <n v="6.8019999999999996"/>
    <n v="13.1"/>
    <n v="38"/>
    <n v="344.73684210526318"/>
    <x v="0"/>
    <x v="0"/>
    <n v="2"/>
    <n v="2"/>
    <n v="29.833333333333332"/>
  </r>
  <r>
    <d v="2025-02-09T10:08:00"/>
    <s v="INYECTADO"/>
    <x v="1"/>
    <x v="20"/>
    <s v="GABRIEL REQUENA"/>
    <s v="SEGUNDA"/>
    <s v="."/>
    <s v="PP INY MOLIDO"/>
    <x v="1"/>
    <s v="PALA RASTRILLO ROMANO-LILA"/>
    <n v="217"/>
    <n v="2"/>
    <n v="15.9"/>
    <s v="DIURNO"/>
    <n v="0"/>
    <n v="2"/>
    <n v="953"/>
    <n v="20644"/>
    <s v="LILA"/>
    <n v="6.9"/>
    <n v="0"/>
    <n v="0"/>
    <n v="8.2460000000000004"/>
    <n v="15.9"/>
    <n v="38"/>
    <n v="418.42105263157896"/>
    <x v="0"/>
    <x v="0"/>
    <n v="2"/>
    <n v="2"/>
    <n v="36.166666666666664"/>
  </r>
  <r>
    <d v="2025-02-09T10:08:00"/>
    <s v="INYECTADO"/>
    <x v="1"/>
    <x v="20"/>
    <s v="GABRIEL REQUENA"/>
    <s v="VIRGEN"/>
    <s v="PP CLARIFICADO"/>
    <s v="."/>
    <x v="1"/>
    <s v="PALA RASTRILLO ROMANO-AMARILLO"/>
    <n v="628"/>
    <n v="5"/>
    <n v="45.9"/>
    <s v="DIURNO"/>
    <n v="0"/>
    <n v="7"/>
    <n v="953"/>
    <n v="20644"/>
    <s v="AMARILLO"/>
    <n v="8.9"/>
    <n v="0"/>
    <n v="0"/>
    <n v="23.864000000000001"/>
    <n v="45.9"/>
    <n v="38"/>
    <n v="1207.8947368421052"/>
    <x v="0"/>
    <x v="0"/>
    <n v="2"/>
    <n v="2"/>
    <n v="104.66666666666667"/>
  </r>
  <r>
    <d v="2025-02-09T10:08:00"/>
    <s v="INYECTADO"/>
    <x v="1"/>
    <x v="20"/>
    <s v="GABRIEL REQUENA"/>
    <s v="SEGUNDA"/>
    <s v="."/>
    <s v="PP INY MOLIDO"/>
    <x v="1"/>
    <s v="PALA RASTRILLO ROMANO-FUCSIA"/>
    <n v="113"/>
    <n v="2"/>
    <n v="8.3000000000000007"/>
    <s v="DIURNO"/>
    <n v="0"/>
    <n v="4"/>
    <n v="953"/>
    <n v="20644"/>
    <s v="FUCSIA"/>
    <n v="2.6"/>
    <n v="0"/>
    <n v="0"/>
    <n v="4.2939999999999996"/>
    <n v="8.3000000000000007"/>
    <n v="38"/>
    <n v="218.42105263157896"/>
    <x v="0"/>
    <x v="0"/>
    <n v="2"/>
    <n v="2"/>
    <n v="18.833333333333332"/>
  </r>
  <r>
    <d v="2025-02-09T10:08:00"/>
    <s v="INYECTADO"/>
    <x v="1"/>
    <x v="20"/>
    <s v="WALTER GUEVARA"/>
    <s v="SEGUNDA"/>
    <s v="."/>
    <s v="PP INY MOLIDO"/>
    <x v="1"/>
    <s v="PALA RASTRILLO ROMANO-FUCSIA"/>
    <n v="846"/>
    <n v="7"/>
    <n v="62"/>
    <s v="NOCTURNO"/>
    <n v="0"/>
    <n v="9"/>
    <n v="953"/>
    <n v="20645"/>
    <s v="FUCSIA"/>
    <n v="11.5"/>
    <n v="0"/>
    <n v="0"/>
    <n v="32.148000000000003"/>
    <n v="62"/>
    <n v="38"/>
    <n v="1631.578947368421"/>
    <x v="0"/>
    <x v="0"/>
    <n v="2"/>
    <n v="2"/>
    <n v="141"/>
  </r>
  <r>
    <d v="2025-02-09T10:08:00"/>
    <s v="INYECTADO"/>
    <x v="1"/>
    <x v="20"/>
    <s v="WALTER GUEVARA"/>
    <s v="SEGUNDA"/>
    <s v="."/>
    <s v="PP INY MOLIDO"/>
    <x v="1"/>
    <s v="PALA RASTRILLO ROMANO-LILA"/>
    <n v="589"/>
    <n v="4"/>
    <n v="43.3"/>
    <s v="NOCTURNO"/>
    <n v="0"/>
    <n v="6"/>
    <n v="953"/>
    <n v="20645"/>
    <s v="LILA"/>
    <n v="6.7"/>
    <n v="0"/>
    <n v="0"/>
    <n v="22.382000000000001"/>
    <n v="43.3"/>
    <n v="38"/>
    <n v="1139.4736842105262"/>
    <x v="0"/>
    <x v="0"/>
    <n v="2"/>
    <n v="2"/>
    <n v="98.166666666666671"/>
  </r>
  <r>
    <d v="2025-02-09T10:08:00"/>
    <s v="INYECTADO"/>
    <x v="1"/>
    <x v="21"/>
    <s v="ISABEL LINARIZ "/>
    <s v="SEGUNDA"/>
    <s v="."/>
    <s v="PP INY MOLIDO"/>
    <x v="1"/>
    <s v="PALA RASTRILLO ROMANO-ROJO"/>
    <n v="435"/>
    <n v="4"/>
    <n v="31.8"/>
    <s v="DIURNO"/>
    <n v="0"/>
    <n v="4"/>
    <n v="953"/>
    <n v="20646"/>
    <s v="ROJO"/>
    <n v="6.1"/>
    <n v="0"/>
    <n v="0"/>
    <n v="16.53"/>
    <n v="31.8"/>
    <n v="38"/>
    <n v="836.84210526315792"/>
    <x v="0"/>
    <x v="0"/>
    <n v="2"/>
    <n v="2"/>
    <n v="72.5"/>
  </r>
  <r>
    <d v="2025-02-09T10:08:00"/>
    <s v="INYECTADO"/>
    <x v="1"/>
    <x v="21"/>
    <s v="ISABEL LINARIZ "/>
    <s v="SEGUNDA"/>
    <s v="."/>
    <s v="PP INY MOLIDO"/>
    <x v="1"/>
    <s v="PALA RASTRILLO ROMANO-VERDE"/>
    <n v="701"/>
    <n v="6"/>
    <n v="51.2"/>
    <s v="DIURNO"/>
    <n v="0"/>
    <n v="7"/>
    <n v="953"/>
    <n v="20646"/>
    <s v="VERDE"/>
    <n v="10.3"/>
    <n v="0"/>
    <n v="0"/>
    <n v="26.638000000000002"/>
    <n v="51.2"/>
    <n v="38"/>
    <n v="1347.3684210526317"/>
    <x v="0"/>
    <x v="0"/>
    <n v="2"/>
    <n v="2"/>
    <n v="116.83333333333333"/>
  </r>
  <r>
    <d v="2025-02-09T10:08:00"/>
    <s v="INYECTADO"/>
    <x v="1"/>
    <x v="21"/>
    <s v="ISABEL LINARIZ "/>
    <s v="SEGUNDA"/>
    <s v="."/>
    <s v="PP INY MOLIDO"/>
    <x v="1"/>
    <s v="PALA RASTRILLO ROMANO-LILA"/>
    <n v="38"/>
    <n v="1"/>
    <n v="2.8"/>
    <s v="DIURNO"/>
    <n v="0"/>
    <n v="1"/>
    <n v="953"/>
    <n v="20646"/>
    <s v="LILA"/>
    <n v="0"/>
    <n v="0"/>
    <n v="0"/>
    <n v="1.444"/>
    <n v="2.8"/>
    <n v="38"/>
    <n v="73.684210526315795"/>
    <x v="0"/>
    <x v="0"/>
    <n v="2"/>
    <n v="2"/>
    <n v="6.333333333333333"/>
  </r>
  <r>
    <d v="2025-02-09T10:08:00"/>
    <s v="INYECTADO"/>
    <x v="1"/>
    <x v="21"/>
    <s v="FABIAN HERNANDEZ"/>
    <s v="SEGUNDA"/>
    <s v="."/>
    <s v="PP INY MOLIDO"/>
    <x v="1"/>
    <s v="PALA RASTRILLO ROMANO-ROJO"/>
    <n v="78"/>
    <n v="1"/>
    <n v="5.7"/>
    <s v="NOCTURNO"/>
    <n v="0"/>
    <n v="1"/>
    <n v="953"/>
    <n v="20647"/>
    <s v="ROJO"/>
    <n v="1.6"/>
    <n v="0"/>
    <n v="0"/>
    <n v="2.964"/>
    <n v="5.7"/>
    <n v="38"/>
    <n v="150"/>
    <x v="0"/>
    <x v="0"/>
    <n v="2"/>
    <n v="2"/>
    <n v="13"/>
  </r>
  <r>
    <d v="2025-02-09T10:08:00"/>
    <s v="INYECTADO"/>
    <x v="1"/>
    <x v="21"/>
    <s v="FABIAN HERNANDEZ"/>
    <s v="SEGUNDA"/>
    <s v="."/>
    <s v="PP INY MOLIDO"/>
    <x v="1"/>
    <s v="PALA RASTRILLO ROMANO-AZUL"/>
    <n v="586"/>
    <n v="5"/>
    <n v="42.5"/>
    <s v="NOCTURNO"/>
    <n v="0"/>
    <n v="3"/>
    <n v="953"/>
    <n v="20647"/>
    <s v="AZUL"/>
    <n v="9.3000000000000007"/>
    <n v="0"/>
    <n v="0"/>
    <n v="22.268000000000001"/>
    <n v="42.5"/>
    <n v="38"/>
    <n v="1118.421052631579"/>
    <x v="0"/>
    <x v="0"/>
    <n v="2"/>
    <n v="2"/>
    <n v="97.666666666666671"/>
  </r>
  <r>
    <d v="2025-02-09T10:08:00"/>
    <s v="INYECTADO"/>
    <x v="1"/>
    <x v="21"/>
    <s v="FABIAN HERNANDEZ"/>
    <s v="SEGUNDA"/>
    <s v="."/>
    <s v="PP INY MOLIDO"/>
    <x v="1"/>
    <s v="PALA RASTRILLO ROMANO-LILA"/>
    <n v="548"/>
    <n v="5"/>
    <n v="39.799999999999997"/>
    <s v="NOCTURNO"/>
    <n v="0"/>
    <n v="3"/>
    <n v="953"/>
    <n v="20647"/>
    <s v="LILA"/>
    <n v="6.2"/>
    <n v="0"/>
    <n v="0"/>
    <n v="20.824000000000002"/>
    <n v="39.799999999999997"/>
    <n v="38"/>
    <n v="1047.3684210526317"/>
    <x v="0"/>
    <x v="0"/>
    <n v="2"/>
    <n v="2"/>
    <n v="91.333333333333329"/>
  </r>
  <r>
    <d v="2025-02-09T10:08:00"/>
    <s v="INYECTADO"/>
    <x v="1"/>
    <x v="22"/>
    <s v="JOSDER GONZALEZ"/>
    <s v="SEGUNDA"/>
    <s v="."/>
    <s v="PP INY MOLIDO"/>
    <x v="1"/>
    <s v="PALA RASTRILLO ROMANO-LILA"/>
    <n v="52"/>
    <n v="1"/>
    <n v="3.7"/>
    <s v="DIURNO"/>
    <n v="0"/>
    <n v="1"/>
    <n v="953"/>
    <n v="20648"/>
    <s v="LILA"/>
    <n v="0"/>
    <n v="0"/>
    <n v="0"/>
    <n v="1.976"/>
    <n v="3.7"/>
    <n v="38"/>
    <n v="97.368421052631575"/>
    <x v="0"/>
    <x v="0"/>
    <n v="2"/>
    <n v="2"/>
    <n v="8.6666666666666661"/>
  </r>
  <r>
    <d v="2025-02-09T10:08:00"/>
    <s v="INYECTADO"/>
    <x v="1"/>
    <x v="22"/>
    <s v="JOSDER GONZALEZ"/>
    <s v="SEGUNDA"/>
    <s v="."/>
    <s v="PP INY MOLIDO"/>
    <x v="1"/>
    <s v="PALA RASTRILLO ROMANO-FUCSIA"/>
    <n v="362"/>
    <n v="3"/>
    <n v="26.3"/>
    <s v="DIURNO"/>
    <n v="0"/>
    <n v="4"/>
    <n v="953"/>
    <n v="20648"/>
    <s v="FUCSIA"/>
    <n v="7"/>
    <n v="0"/>
    <n v="0"/>
    <n v="13.756"/>
    <n v="26.3"/>
    <n v="38"/>
    <n v="692.10526315789468"/>
    <x v="0"/>
    <x v="0"/>
    <n v="2"/>
    <n v="2"/>
    <n v="60.333333333333336"/>
  </r>
  <r>
    <d v="2025-02-09T10:08:00"/>
    <s v="INYECTADO"/>
    <x v="1"/>
    <x v="22"/>
    <s v="JOSDER GONZALEZ"/>
    <s v="VIRGEN"/>
    <s v="PP CLARIFICADO"/>
    <s v="."/>
    <x v="1"/>
    <s v="PALA RASTRILLO ROMANO-AMARILLO"/>
    <n v="652"/>
    <n v="6"/>
    <n v="47.3"/>
    <s v="DIURNO"/>
    <n v="0"/>
    <n v="8"/>
    <n v="953"/>
    <n v="20648"/>
    <s v="AMARILLO"/>
    <n v="7.1"/>
    <n v="0"/>
    <n v="0"/>
    <n v="24.776"/>
    <n v="47.3"/>
    <n v="38"/>
    <n v="1244.7368421052631"/>
    <x v="0"/>
    <x v="0"/>
    <n v="2"/>
    <n v="2"/>
    <n v="108.66666666666667"/>
  </r>
  <r>
    <d v="2025-02-09T10:08:00"/>
    <s v="INYECTADO"/>
    <x v="1"/>
    <x v="5"/>
    <s v="JUAN CARLOS CEDENO"/>
    <s v="SEGUNDA"/>
    <s v="."/>
    <s v="PP INY MOLIDO"/>
    <x v="1"/>
    <s v="PALA RASTRILLO ROMANO-VERDE"/>
    <n v="386"/>
    <n v="3"/>
    <n v="28.2"/>
    <s v="DIURNO"/>
    <n v="0"/>
    <n v="5"/>
    <n v="953"/>
    <n v="20649"/>
    <s v="VERDE"/>
    <n v="5.3"/>
    <n v="0"/>
    <n v="0"/>
    <n v="14.667999999999999"/>
    <n v="28.2"/>
    <n v="38"/>
    <n v="742.10526315789468"/>
    <x v="0"/>
    <x v="0"/>
    <n v="3"/>
    <n v="2"/>
    <n v="64.333333333333329"/>
  </r>
  <r>
    <d v="2025-02-09T10:08:00"/>
    <s v="INYECTADO"/>
    <x v="1"/>
    <x v="5"/>
    <s v="JUAN CARLOS CEDENO"/>
    <s v="SEGUNDA"/>
    <s v="."/>
    <s v="PP INY MOLIDO"/>
    <x v="1"/>
    <s v="PALA RASTRILLO ROMANO-LILA"/>
    <n v="234"/>
    <n v="2"/>
    <n v="17.100000000000001"/>
    <s v="DIURNO"/>
    <n v="0"/>
    <n v="2"/>
    <n v="953"/>
    <n v="20649"/>
    <s v="LILA"/>
    <n v="2.2999999999999998"/>
    <n v="0"/>
    <n v="0"/>
    <n v="8.8919999999999995"/>
    <n v="17.100000000000001"/>
    <n v="38"/>
    <n v="450"/>
    <x v="0"/>
    <x v="0"/>
    <n v="3"/>
    <n v="2"/>
    <n v="39"/>
  </r>
  <r>
    <d v="2025-02-09T10:08:00"/>
    <s v="INYECTADO"/>
    <x v="1"/>
    <x v="5"/>
    <s v="JUAN CARLOS CEDENO"/>
    <s v="SEGUNDA"/>
    <s v="."/>
    <s v="PP INY MOLIDO"/>
    <x v="1"/>
    <s v="PALA RASTRILLO ROMANO-AZUL"/>
    <n v="267"/>
    <n v="2"/>
    <n v="19.399999999999999"/>
    <s v="DIURNO"/>
    <n v="0"/>
    <n v="3"/>
    <n v="953"/>
    <n v="20649"/>
    <s v="AZUL"/>
    <n v="3.1"/>
    <n v="0"/>
    <n v="0"/>
    <n v="10.146000000000001"/>
    <n v="19.399999999999999"/>
    <n v="38"/>
    <n v="510.5263157894737"/>
    <x v="0"/>
    <x v="0"/>
    <n v="3"/>
    <n v="2"/>
    <n v="44.5"/>
  </r>
  <r>
    <d v="2025-02-09T10:08:00"/>
    <s v="INYECTADO"/>
    <x v="1"/>
    <x v="5"/>
    <s v="JUAN CARLOS CEDENO"/>
    <s v="SEGUNDA"/>
    <s v="."/>
    <s v="PP INY MOLIDO"/>
    <x v="1"/>
    <s v="PALA RASTRILLO ROMANO-ROJO"/>
    <n v="265"/>
    <n v="2"/>
    <n v="19.399999999999999"/>
    <s v="DIURNO"/>
    <n v="0"/>
    <n v="2"/>
    <n v="953"/>
    <n v="20649"/>
    <s v="ROJO"/>
    <n v="0.9"/>
    <n v="0"/>
    <n v="0"/>
    <n v="10.07"/>
    <n v="19.399999999999999"/>
    <n v="38"/>
    <n v="510.5263157894737"/>
    <x v="0"/>
    <x v="0"/>
    <n v="3"/>
    <n v="2"/>
    <n v="44.166666666666664"/>
  </r>
  <r>
    <d v="2025-02-09T10:08:00"/>
    <s v="INYECTADO"/>
    <x v="1"/>
    <x v="23"/>
    <s v="ISABEL LINARIZ "/>
    <s v="SEGUNDA"/>
    <s v="."/>
    <s v="PP INY MOLIDO"/>
    <x v="1"/>
    <s v="PALA RASTRILLO ROMANO-ROJO"/>
    <n v="95"/>
    <n v="1"/>
    <n v="7"/>
    <s v="DIURNO"/>
    <n v="0"/>
    <n v="1"/>
    <n v="953"/>
    <n v="20650"/>
    <s v="ROJO"/>
    <n v="4.9000000000000004"/>
    <n v="0"/>
    <n v="0"/>
    <n v="3.61"/>
    <n v="7"/>
    <n v="38"/>
    <n v="184.21052631578948"/>
    <x v="0"/>
    <x v="0"/>
    <n v="3"/>
    <n v="2"/>
    <n v="15.833333333333334"/>
  </r>
  <r>
    <d v="2025-02-09T10:08:00"/>
    <s v="INYECTADO"/>
    <x v="1"/>
    <x v="23"/>
    <s v="ISABEL LINARIZ "/>
    <s v="SEGUNDA"/>
    <s v="."/>
    <s v="PP INY MOLIDO"/>
    <x v="1"/>
    <s v="PALA RASTRILLO ROMANO-LILA"/>
    <n v="142"/>
    <n v="1"/>
    <n v="10.3"/>
    <s v="DIURNO"/>
    <n v="0"/>
    <n v="2"/>
    <n v="953"/>
    <n v="20650"/>
    <s v="LILA"/>
    <n v="4.8"/>
    <n v="0"/>
    <n v="0"/>
    <n v="5.3959999999999999"/>
    <n v="10.3"/>
    <n v="38"/>
    <n v="271.05263157894734"/>
    <x v="0"/>
    <x v="0"/>
    <n v="3"/>
    <n v="2"/>
    <n v="23.666666666666668"/>
  </r>
  <r>
    <d v="2025-02-09T10:08:00"/>
    <s v="INYECTADO"/>
    <x v="1"/>
    <x v="23"/>
    <s v="ISABEL LINARIZ "/>
    <s v="SEGUNDA"/>
    <s v="."/>
    <s v="PP INY MOLIDO"/>
    <x v="1"/>
    <s v="PALA RASTRILLO ROMANO-FUCSIA"/>
    <n v="320"/>
    <n v="3"/>
    <n v="23.2"/>
    <s v="DIURNO"/>
    <n v="0"/>
    <n v="3"/>
    <n v="953"/>
    <n v="20650"/>
    <s v="FUCSIA"/>
    <n v="3.4"/>
    <n v="0"/>
    <n v="0"/>
    <n v="12.16"/>
    <n v="23.2"/>
    <n v="38"/>
    <n v="610.52631578947364"/>
    <x v="0"/>
    <x v="0"/>
    <n v="3"/>
    <n v="2"/>
    <n v="53.333333333333336"/>
  </r>
  <r>
    <d v="2025-02-12T11:15:00"/>
    <s v="INYECTADO"/>
    <x v="1"/>
    <x v="12"/>
    <s v="JUAN CARLOS CEDENO"/>
    <s v="SEGUNDA"/>
    <s v="."/>
    <s v="PP INY MOLIDO"/>
    <x v="1"/>
    <s v="PALA RASTRILLO ROMANO-ROJO"/>
    <n v="78"/>
    <n v="1"/>
    <n v="5.7"/>
    <s v="DIURNO"/>
    <n v="0"/>
    <n v="2"/>
    <n v="953"/>
    <n v="20651"/>
    <s v="ROJO"/>
    <n v="1.8"/>
    <n v="0"/>
    <n v="0"/>
    <n v="2.964"/>
    <n v="5.7"/>
    <n v="38"/>
    <n v="150"/>
    <x v="0"/>
    <x v="0"/>
    <n v="4"/>
    <n v="2"/>
    <n v="13"/>
  </r>
  <r>
    <d v="2025-02-12T11:15:00"/>
    <s v="INYECTADO"/>
    <x v="1"/>
    <x v="12"/>
    <s v="JUAN CARLOS CEDENO"/>
    <s v="SEGUNDA"/>
    <s v="."/>
    <s v="PP INY MOLIDO"/>
    <x v="1"/>
    <s v="PALA RASTRILLO ROMANO-AZUL"/>
    <n v="264"/>
    <n v="2"/>
    <n v="19.3"/>
    <s v="DIURNO"/>
    <n v="0"/>
    <n v="3"/>
    <n v="953"/>
    <n v="20651"/>
    <s v="AZUL"/>
    <n v="6.7"/>
    <n v="0"/>
    <n v="0"/>
    <n v="10.032"/>
    <n v="19.3"/>
    <n v="38"/>
    <n v="507.89473684210526"/>
    <x v="0"/>
    <x v="0"/>
    <n v="4"/>
    <n v="2"/>
    <n v="44"/>
  </r>
  <r>
    <d v="2025-02-12T11:15:00"/>
    <s v="INYECTADO"/>
    <x v="1"/>
    <x v="12"/>
    <s v="JUAN CARLOS CEDENO"/>
    <s v="SEGUNDA"/>
    <s v="."/>
    <s v="PP INY MOLIDO"/>
    <x v="1"/>
    <s v="PALA RASTRILLO ROMANO-VERDE"/>
    <n v="360"/>
    <n v="3"/>
    <n v="26.3"/>
    <s v="DIURNO"/>
    <n v="0"/>
    <n v="4"/>
    <n v="953"/>
    <n v="20651"/>
    <s v="VERDE"/>
    <n v="5"/>
    <n v="0"/>
    <n v="0"/>
    <n v="13.68"/>
    <n v="26.3"/>
    <n v="38"/>
    <n v="692.10526315789468"/>
    <x v="0"/>
    <x v="0"/>
    <n v="4"/>
    <n v="2"/>
    <n v="60"/>
  </r>
  <r>
    <d v="2025-02-12T11:15:00"/>
    <s v="INYECTADO"/>
    <x v="1"/>
    <x v="12"/>
    <s v="JUAN CARLOS CEDENO"/>
    <s v="VIRGEN"/>
    <s v="PP CLARIFICADO"/>
    <s v="."/>
    <x v="1"/>
    <s v="PALA RASTRILLO ROMANO-AMARILLO"/>
    <n v="283"/>
    <n v="2"/>
    <n v="20.7"/>
    <s v="DIURNO"/>
    <n v="0"/>
    <n v="3"/>
    <n v="953"/>
    <n v="20651"/>
    <s v="AMARILLO"/>
    <n v="8.3000000000000007"/>
    <n v="0"/>
    <n v="0"/>
    <n v="10.754"/>
    <n v="20.7"/>
    <n v="38"/>
    <n v="544.73684210526312"/>
    <x v="0"/>
    <x v="0"/>
    <n v="4"/>
    <n v="2"/>
    <n v="47.166666666666664"/>
  </r>
  <r>
    <d v="2025-02-12T11:15:00"/>
    <s v="INYECTADO"/>
    <x v="1"/>
    <x v="12"/>
    <s v="JUAN CARLOS CEDENO"/>
    <s v="SEGUNDA"/>
    <s v="."/>
    <s v="PP INY MOLIDO"/>
    <x v="1"/>
    <s v="PALA RASTRILLO ROMANO-FUCSIA"/>
    <n v="157"/>
    <n v="1"/>
    <n v="11.5"/>
    <s v="DIURNO"/>
    <n v="0"/>
    <n v="2"/>
    <n v="953"/>
    <n v="20651"/>
    <s v="FUCSIA"/>
    <n v="1.9"/>
    <n v="0"/>
    <n v="0"/>
    <n v="5.9660000000000002"/>
    <n v="11.5"/>
    <n v="38"/>
    <n v="302.63157894736844"/>
    <x v="0"/>
    <x v="0"/>
    <n v="4"/>
    <n v="2"/>
    <n v="26.166666666666668"/>
  </r>
  <r>
    <d v="2025-02-12T11:15:00"/>
    <s v="INYECTADO"/>
    <x v="1"/>
    <x v="14"/>
    <s v="JUAN MANUEL PEREZ"/>
    <s v="SEGUNDA"/>
    <s v="."/>
    <s v="PP INY MOLIDO"/>
    <x v="1"/>
    <s v="PALA RASTRILLO ROMANO-ROJO"/>
    <n v="478"/>
    <n v="4"/>
    <n v="35.9"/>
    <s v="NOCTURNO"/>
    <n v="0"/>
    <n v="5"/>
    <n v="953"/>
    <n v="20652"/>
    <s v="ROJO"/>
    <n v="0"/>
    <n v="0"/>
    <n v="0"/>
    <n v="18.164000000000001"/>
    <n v="35.9"/>
    <n v="38"/>
    <n v="944.73684210526312"/>
    <x v="0"/>
    <x v="0"/>
    <n v="4"/>
    <n v="2"/>
    <n v="79.666666666666671"/>
  </r>
  <r>
    <d v="2025-02-12T11:15:00"/>
    <s v="INYECTADO"/>
    <x v="1"/>
    <x v="14"/>
    <s v="JUAN MANUEL PEREZ"/>
    <s v="SEGUNDA"/>
    <s v="."/>
    <s v="PP INY MOLIDO"/>
    <x v="1"/>
    <s v="PALA RASTRILLO ROMANO-AZUL"/>
    <n v="326"/>
    <n v="3"/>
    <n v="24.5"/>
    <s v="NOCTURNO"/>
    <n v="0"/>
    <n v="4"/>
    <n v="953"/>
    <n v="20652"/>
    <s v="AZUL"/>
    <n v="0"/>
    <n v="0"/>
    <n v="0"/>
    <n v="12.388"/>
    <n v="24.5"/>
    <n v="38"/>
    <n v="644.73684210526312"/>
    <x v="0"/>
    <x v="0"/>
    <n v="4"/>
    <n v="2"/>
    <n v="54.333333333333336"/>
  </r>
  <r>
    <d v="2025-02-12T11:15:00"/>
    <s v="INYECTADO"/>
    <x v="1"/>
    <x v="14"/>
    <s v="JUAN MANUEL PEREZ"/>
    <s v="SEGUNDA"/>
    <s v="."/>
    <s v="PP INY MOLIDO"/>
    <x v="1"/>
    <s v="PALA RASTRILLO ROMANO-FUCSIA"/>
    <n v="297"/>
    <n v="2"/>
    <n v="22.3"/>
    <s v="NOCTURNO"/>
    <n v="0"/>
    <n v="3"/>
    <n v="953"/>
    <n v="20652"/>
    <s v="FUCSIA"/>
    <n v="0"/>
    <n v="0"/>
    <n v="0"/>
    <n v="11.286"/>
    <n v="22.3"/>
    <n v="38"/>
    <n v="586.84210526315792"/>
    <x v="0"/>
    <x v="0"/>
    <n v="4"/>
    <n v="2"/>
    <n v="49.5"/>
  </r>
  <r>
    <d v="2025-02-12T11:15:00"/>
    <s v="INYECTADO"/>
    <x v="1"/>
    <x v="14"/>
    <s v="JUAN MANUEL PEREZ"/>
    <s v="SEGUNDA"/>
    <s v="."/>
    <s v="PP INY MOLIDO"/>
    <x v="1"/>
    <s v="PALA RASTRILLO ROMANO-LILA"/>
    <n v="296"/>
    <n v="2"/>
    <n v="22.3"/>
    <s v="NOCTURNO"/>
    <n v="0"/>
    <n v="2"/>
    <n v="953"/>
    <n v="20652"/>
    <s v="LILA"/>
    <n v="0"/>
    <n v="0"/>
    <n v="0"/>
    <n v="11.247999999999999"/>
    <n v="22.3"/>
    <n v="38"/>
    <n v="586.84210526315792"/>
    <x v="0"/>
    <x v="0"/>
    <n v="4"/>
    <n v="2"/>
    <n v="49.333333333333336"/>
  </r>
  <r>
    <d v="2025-02-12T11:15:00"/>
    <s v="INYECTADO"/>
    <x v="1"/>
    <x v="15"/>
    <s v="JUAN CARLOS CEDENO"/>
    <s v="SEGUNDA"/>
    <s v="."/>
    <s v="PP INY MOLIDO"/>
    <x v="1"/>
    <s v="PALA RASTRILLO ROMANO-LILA"/>
    <n v="75"/>
    <n v="1"/>
    <n v="5.6"/>
    <s v="DIURNO"/>
    <n v="0"/>
    <n v="2"/>
    <n v="953"/>
    <n v="20653"/>
    <s v="LILA"/>
    <n v="3.4"/>
    <n v="0"/>
    <n v="0"/>
    <n v="2.85"/>
    <n v="5.6"/>
    <n v="38"/>
    <n v="147.36842105263159"/>
    <x v="0"/>
    <x v="0"/>
    <n v="4"/>
    <n v="2"/>
    <n v="12.5"/>
  </r>
  <r>
    <d v="2025-02-12T11:15:00"/>
    <s v="INYECTADO"/>
    <x v="1"/>
    <x v="15"/>
    <s v="JUAN CARLOS CEDENO"/>
    <s v="SEGUNDA"/>
    <s v="."/>
    <s v="PP INY MOLIDO"/>
    <x v="1"/>
    <s v="PALA RASTRILLO ROMANO-VERDE"/>
    <n v="545"/>
    <n v="6"/>
    <n v="40.9"/>
    <s v="DIURNO"/>
    <n v="0"/>
    <n v="2"/>
    <n v="953"/>
    <n v="20653"/>
    <s v="VERDE"/>
    <n v="2.6"/>
    <n v="0"/>
    <n v="0"/>
    <n v="20.71"/>
    <n v="40.9"/>
    <n v="38"/>
    <n v="1076.3157894736842"/>
    <x v="0"/>
    <x v="0"/>
    <n v="4"/>
    <n v="2"/>
    <n v="90.833333333333329"/>
  </r>
  <r>
    <d v="2025-02-12T11:15:00"/>
    <s v="INYECTADO"/>
    <x v="1"/>
    <x v="15"/>
    <s v="JUAN CARLOS CEDENO"/>
    <s v="SEGUNDA"/>
    <s v="."/>
    <s v="PP INY MOLIDO"/>
    <x v="1"/>
    <s v="PALA RASTRILLO ROMANO-AZUL"/>
    <n v="288"/>
    <n v="2"/>
    <n v="21.6"/>
    <s v="DIURNO"/>
    <n v="0"/>
    <n v="6"/>
    <n v="953"/>
    <n v="20653"/>
    <s v="AZUL"/>
    <n v="6.7"/>
    <n v="0"/>
    <n v="0"/>
    <n v="10.944000000000001"/>
    <n v="21.6"/>
    <n v="38"/>
    <n v="568.42105263157896"/>
    <x v="0"/>
    <x v="0"/>
    <n v="4"/>
    <n v="2"/>
    <n v="48"/>
  </r>
  <r>
    <d v="2025-02-12T11:15:00"/>
    <s v="INYECTADO"/>
    <x v="1"/>
    <x v="15"/>
    <s v="JUAN CARLOS CEDENO"/>
    <s v="VIRGEN"/>
    <s v="PP CLARIFICADO"/>
    <s v="."/>
    <x v="1"/>
    <s v="PALA RASTRILLO ROMANO-AMARILLO"/>
    <n v="152"/>
    <n v="2"/>
    <n v="11.4"/>
    <s v="DIURNO"/>
    <n v="0"/>
    <n v="2"/>
    <n v="953"/>
    <n v="20653"/>
    <s v="AMARILLO"/>
    <n v="7.6"/>
    <n v="0"/>
    <n v="0"/>
    <n v="5.7759999999999998"/>
    <n v="11.4"/>
    <n v="38"/>
    <n v="300"/>
    <x v="0"/>
    <x v="0"/>
    <n v="4"/>
    <n v="2"/>
    <n v="25.333333333333332"/>
  </r>
  <r>
    <d v="2025-02-12T16:16:00"/>
    <s v="INYECTADO"/>
    <x v="6"/>
    <x v="5"/>
    <s v="NELSON PINEDO"/>
    <s v="VIRGEN"/>
    <s v="PP CLARIFICADO"/>
    <s v="."/>
    <x v="11"/>
    <s v="LAVACUELA REDONDO-ROSADO"/>
    <n v="160"/>
    <n v="2"/>
    <n v="15.2"/>
    <s v="DIURNO"/>
    <n v="0"/>
    <n v="2"/>
    <n v="969"/>
    <n v="19972"/>
    <s v="ROSADO"/>
    <n v="0"/>
    <n v="0"/>
    <n v="0"/>
    <n v="14.8"/>
    <n v="15.2"/>
    <n v="92.5"/>
    <n v="164.32432432432432"/>
    <x v="0"/>
    <x v="0"/>
    <n v="3"/>
    <n v="1"/>
    <n v="13.333333333333334"/>
  </r>
  <r>
    <d v="2025-02-12T16:16:00"/>
    <s v="INYECTADO"/>
    <x v="6"/>
    <x v="6"/>
    <s v="JUAN CARLOS CEDENO"/>
    <s v="VIRGEN"/>
    <s v="PP CLARIFICADO"/>
    <s v="."/>
    <x v="11"/>
    <s v="LAVACUELA REDONDO-ROSADO"/>
    <n v="58"/>
    <n v="1"/>
    <n v="5.5"/>
    <s v="DIURNO"/>
    <n v="0"/>
    <n v="1"/>
    <n v="969"/>
    <n v="19973"/>
    <s v="ROSADO"/>
    <n v="6.4"/>
    <n v="0"/>
    <n v="0"/>
    <n v="5.3650000000000002"/>
    <n v="5.5"/>
    <n v="92.5"/>
    <n v="59.45945945945946"/>
    <x v="0"/>
    <x v="0"/>
    <n v="3"/>
    <n v="1"/>
    <n v="4.833333333333333"/>
  </r>
  <r>
    <d v="2025-02-12T16:16:00"/>
    <s v="INYECTADO"/>
    <x v="6"/>
    <x v="6"/>
    <s v="JUAN CARLOS CEDENO"/>
    <s v="VIRGEN"/>
    <s v="PP CLARIFICADO"/>
    <s v="."/>
    <x v="11"/>
    <s v="LAVACUELA REDONDO-MELON"/>
    <n v="32"/>
    <n v="1"/>
    <n v="3.1"/>
    <s v="DIURNO"/>
    <n v="0"/>
    <n v="1"/>
    <n v="969"/>
    <n v="19973"/>
    <s v="MELON"/>
    <n v="0.1"/>
    <n v="0"/>
    <n v="0"/>
    <n v="2.96"/>
    <n v="3.1"/>
    <n v="92.5"/>
    <n v="33.513513513513516"/>
    <x v="0"/>
    <x v="0"/>
    <n v="3"/>
    <n v="1"/>
    <n v="2.6666666666666665"/>
  </r>
  <r>
    <d v="2025-02-12T16:16:00"/>
    <s v="INYECTADO"/>
    <x v="6"/>
    <x v="9"/>
    <s v="JUAN CARLOS CEDENO"/>
    <s v="VIRGEN"/>
    <s v="PP CLARIFICADO"/>
    <s v="."/>
    <x v="11"/>
    <s v="LAVACUELA REDONDO-VERDE"/>
    <n v="222"/>
    <n v="2"/>
    <n v="20.7"/>
    <s v="DIURNO"/>
    <n v="0"/>
    <n v="2"/>
    <n v="969"/>
    <n v="19974"/>
    <s v="VERDE"/>
    <n v="7.1"/>
    <n v="0"/>
    <n v="0"/>
    <n v="20.535"/>
    <n v="20.7"/>
    <n v="92.5"/>
    <n v="223.78378378378378"/>
    <x v="0"/>
    <x v="0"/>
    <n v="3"/>
    <n v="1"/>
    <n v="18.5"/>
  </r>
  <r>
    <d v="2025-02-12T16:16:00"/>
    <s v="INYECTADO"/>
    <x v="6"/>
    <x v="9"/>
    <s v="JUAN CARLOS CEDENO"/>
    <s v="VIRGEN"/>
    <s v="PP CLARIFICADO"/>
    <s v="."/>
    <x v="11"/>
    <s v="LAVACUELA REDONDO-CREMA"/>
    <n v="244"/>
    <n v="2"/>
    <n v="22.7"/>
    <s v="DIURNO"/>
    <n v="0"/>
    <n v="2"/>
    <n v="969"/>
    <n v="19974"/>
    <s v="CREMA"/>
    <n v="3.6"/>
    <n v="0"/>
    <n v="0"/>
    <n v="22.57"/>
    <n v="22.7"/>
    <n v="92.5"/>
    <n v="245.40540540540542"/>
    <x v="0"/>
    <x v="0"/>
    <n v="3"/>
    <n v="1"/>
    <n v="20.333333333333332"/>
  </r>
  <r>
    <d v="2025-02-12T16:16:00"/>
    <s v="INYECTADO"/>
    <x v="6"/>
    <x v="9"/>
    <s v="JUAN CARLOS CEDENO"/>
    <s v="VIRGEN"/>
    <s v="PP CLARIFICADO"/>
    <s v="."/>
    <x v="11"/>
    <s v="LAVACUELA REDONDO-TURQUESA"/>
    <n v="250"/>
    <n v="2"/>
    <n v="23.3"/>
    <s v="DIURNO"/>
    <n v="0"/>
    <n v="2"/>
    <n v="969"/>
    <n v="19974"/>
    <s v="TURQUESA"/>
    <n v="4.2"/>
    <n v="0"/>
    <n v="0"/>
    <n v="23.125"/>
    <n v="23.3"/>
    <n v="92.5"/>
    <n v="251.8918918918919"/>
    <x v="0"/>
    <x v="0"/>
    <n v="3"/>
    <n v="1"/>
    <n v="20.833333333333332"/>
  </r>
  <r>
    <d v="2025-02-12T16:16:00"/>
    <s v="INYECTADO"/>
    <x v="6"/>
    <x v="9"/>
    <s v="JUAN CARLOS CEDENO"/>
    <s v="VIRGEN"/>
    <s v="PP CLARIFICADO"/>
    <s v="."/>
    <x v="11"/>
    <s v="LAVACUELA REDONDO-MELON"/>
    <n v="254"/>
    <n v="2"/>
    <n v="23.7"/>
    <s v="DIURNO"/>
    <n v="0"/>
    <n v="2"/>
    <n v="969"/>
    <n v="19974"/>
    <s v="MELON"/>
    <n v="3.3"/>
    <n v="0"/>
    <n v="0"/>
    <n v="23.495000000000001"/>
    <n v="23.7"/>
    <n v="92.5"/>
    <n v="256.2162162162162"/>
    <x v="0"/>
    <x v="0"/>
    <n v="3"/>
    <n v="1"/>
    <n v="21.166666666666668"/>
  </r>
  <r>
    <d v="2025-02-12T16:16:00"/>
    <s v="INYECTADO"/>
    <x v="6"/>
    <x v="9"/>
    <s v="JUAN CARLOS CEDENO"/>
    <s v="VIRGEN"/>
    <s v="PP CLARIFICADO"/>
    <s v="."/>
    <x v="11"/>
    <s v="LAVACUELA REDONDO-LILA"/>
    <n v="38"/>
    <n v="1"/>
    <n v="3.6"/>
    <s v="DIURNO"/>
    <n v="0"/>
    <n v="1"/>
    <n v="969"/>
    <n v="19974"/>
    <s v="LILA"/>
    <n v="0"/>
    <n v="0"/>
    <n v="0"/>
    <n v="3.5150000000000001"/>
    <n v="3.6"/>
    <n v="92.5"/>
    <n v="38.918918918918919"/>
    <x v="0"/>
    <x v="0"/>
    <n v="3"/>
    <n v="1"/>
    <n v="3.1666666666666665"/>
  </r>
  <r>
    <d v="2025-02-12T16:16:00"/>
    <s v="INYECTADO"/>
    <x v="6"/>
    <x v="10"/>
    <s v="CRISALIDA ZAPATA"/>
    <s v="VIRGEN"/>
    <s v="PP CLARIFICADO"/>
    <s v="."/>
    <x v="11"/>
    <s v="LAVACUELA REDONDO-LILA"/>
    <n v="962"/>
    <n v="8"/>
    <n v="86.8"/>
    <s v="DIURNO"/>
    <n v="0"/>
    <n v="9"/>
    <n v="969"/>
    <n v="19975"/>
    <s v="LILA"/>
    <n v="3.1"/>
    <n v="0"/>
    <n v="0"/>
    <n v="88.984999999999999"/>
    <n v="86.8"/>
    <n v="92.5"/>
    <n v="938.37837837837833"/>
    <x v="0"/>
    <x v="0"/>
    <n v="3"/>
    <n v="1"/>
    <n v="80.166666666666671"/>
  </r>
  <r>
    <d v="2025-02-12T16:16:00"/>
    <s v="INYECTADO"/>
    <x v="6"/>
    <x v="10"/>
    <s v="CRISALIDA ZAPATA"/>
    <s v="VIRGEN"/>
    <s v="PP CLARIFICADO"/>
    <s v="."/>
    <x v="11"/>
    <s v="LAVACUELA REDONDO-ROSADO"/>
    <n v="240"/>
    <n v="2"/>
    <n v="22.5"/>
    <s v="DIURNO"/>
    <n v="0"/>
    <n v="4"/>
    <n v="969"/>
    <n v="19975"/>
    <s v="FUCSIA"/>
    <n v="0.9"/>
    <n v="0"/>
    <n v="0"/>
    <n v="22.2"/>
    <n v="22.5"/>
    <n v="92.5"/>
    <n v="243.24324324324326"/>
    <x v="0"/>
    <x v="0"/>
    <n v="3"/>
    <n v="1"/>
    <n v="20"/>
  </r>
  <r>
    <d v="2025-02-12T16:16:00"/>
    <s v="INYECTADO"/>
    <x v="6"/>
    <x v="11"/>
    <s v="CRISALIDA ZAPATA"/>
    <s v="VIRGEN"/>
    <s v="PP CLARIFICADO"/>
    <s v="."/>
    <x v="11"/>
    <s v="LAVACUELA REDONDO-ROSADO"/>
    <n v="497"/>
    <n v="4"/>
    <n v="46.5"/>
    <s v="DIURNO"/>
    <n v="0"/>
    <n v="5"/>
    <n v="969"/>
    <n v="19976"/>
    <s v="ROSADO"/>
    <n v="6.3"/>
    <n v="0"/>
    <n v="0"/>
    <n v="45.972499999999997"/>
    <n v="46.5"/>
    <n v="92.5"/>
    <n v="502.70270270270271"/>
    <x v="0"/>
    <x v="0"/>
    <n v="3"/>
    <n v="1"/>
    <n v="41.416666666666664"/>
  </r>
  <r>
    <d v="2025-02-12T16:16:00"/>
    <s v="INYECTADO"/>
    <x v="6"/>
    <x v="11"/>
    <s v="CRISALIDA ZAPATA"/>
    <s v="VIRGEN"/>
    <s v="PP CLARIFICADO"/>
    <s v="."/>
    <x v="11"/>
    <s v="LAVACUELA REDONDO-MELON"/>
    <n v="194"/>
    <n v="2"/>
    <n v="18.2"/>
    <s v="DIURNO"/>
    <n v="0"/>
    <n v="6"/>
    <n v="969"/>
    <n v="19976"/>
    <s v="MELON"/>
    <n v="0.6"/>
    <n v="0"/>
    <n v="0"/>
    <n v="17.945"/>
    <n v="18.2"/>
    <n v="92.5"/>
    <n v="196.75675675675674"/>
    <x v="0"/>
    <x v="0"/>
    <n v="3"/>
    <n v="1"/>
    <n v="16.166666666666668"/>
  </r>
  <r>
    <d v="2025-02-12T16:16:00"/>
    <s v="INYECTADO"/>
    <x v="6"/>
    <x v="23"/>
    <s v="CRISALIDA ZAPATA"/>
    <s v="VIRGEN"/>
    <s v="PP CLARIFICADO"/>
    <s v="."/>
    <x v="11"/>
    <s v="LAVACUELA REDONDO-MELON"/>
    <n v="597"/>
    <n v="5"/>
    <n v="56.1"/>
    <s v="DIURNO"/>
    <n v="0"/>
    <n v="6"/>
    <n v="969"/>
    <n v="19977"/>
    <s v="MELON"/>
    <n v="4.4000000000000004"/>
    <n v="0"/>
    <n v="0"/>
    <n v="55.222499999999997"/>
    <n v="56.1"/>
    <n v="92.5"/>
    <n v="606.48648648648646"/>
    <x v="0"/>
    <x v="0"/>
    <n v="3"/>
    <n v="1"/>
    <n v="49.75"/>
  </r>
  <r>
    <d v="2025-02-12T16:16:00"/>
    <s v="INYECTADO"/>
    <x v="6"/>
    <x v="23"/>
    <s v="CRISALIDA ZAPATA"/>
    <s v="VIRGEN"/>
    <s v="PP CLARIFICADO"/>
    <s v="."/>
    <x v="11"/>
    <s v="LAVACUELA REDONDO-VERDE"/>
    <n v="352"/>
    <n v="3"/>
    <n v="33.1"/>
    <s v="DIURNO"/>
    <n v="0"/>
    <n v="3"/>
    <n v="969"/>
    <n v="19977"/>
    <s v="VERDE"/>
    <n v="1.9"/>
    <n v="0"/>
    <n v="0"/>
    <n v="32.56"/>
    <n v="33.1"/>
    <n v="92.5"/>
    <n v="357.83783783783781"/>
    <x v="0"/>
    <x v="0"/>
    <n v="3"/>
    <n v="1"/>
    <n v="29.333333333333332"/>
  </r>
  <r>
    <d v="2025-02-12T16:16:00"/>
    <s v="INYECTADO"/>
    <x v="6"/>
    <x v="23"/>
    <s v="JUAN MANUEL PEREZ"/>
    <s v="VIRGEN"/>
    <s v="PP CLARIFICADO"/>
    <s v="."/>
    <x v="12"/>
    <s v="TAPAS DE JARRA DE 5 Y 6L-AMARILLO"/>
    <n v="259"/>
    <n v="3"/>
    <n v="23.8"/>
    <s v="NOCTURNO"/>
    <n v="0"/>
    <n v="4"/>
    <n v="942"/>
    <n v="19978"/>
    <s v="AMARILLO"/>
    <n v="10"/>
    <n v="0"/>
    <n v="0"/>
    <n v="20.978999999999999"/>
    <n v="23.8"/>
    <n v="81"/>
    <n v="293.82716049382714"/>
    <x v="0"/>
    <x v="0"/>
    <n v="3"/>
    <n v="2"/>
    <n v="43.166666666666664"/>
  </r>
  <r>
    <d v="2025-02-12T16:16:00"/>
    <s v="INYECTADO"/>
    <x v="6"/>
    <x v="23"/>
    <s v="JUAN MANUEL PEREZ"/>
    <s v="VIRGEN"/>
    <s v="ALTA INYECCION"/>
    <s v="."/>
    <x v="12"/>
    <s v="TAPAS DE JARRA DE 5 Y 6L-VERDE"/>
    <n v="479"/>
    <n v="4"/>
    <n v="44"/>
    <s v="NOCTURNO"/>
    <n v="0"/>
    <n v="8"/>
    <n v="942"/>
    <n v="19978"/>
    <s v="VERDE"/>
    <n v="6.2"/>
    <n v="0"/>
    <n v="0"/>
    <n v="38.798999999999999"/>
    <n v="44"/>
    <n v="81"/>
    <n v="543.20987654320993"/>
    <x v="0"/>
    <x v="0"/>
    <n v="3"/>
    <n v="2"/>
    <n v="79.833333333333329"/>
  </r>
  <r>
    <d v="2025-02-12T17:19:00"/>
    <s v="INYECTADO"/>
    <x v="6"/>
    <x v="16"/>
    <s v="LUIS RENGIFO"/>
    <s v="SEGUNDA"/>
    <s v="."/>
    <s v="MIXTO"/>
    <x v="13"/>
    <s v="COLADOR HOGAR SOLIDO#3-AZUL"/>
    <n v="706"/>
    <n v="6"/>
    <n v="65"/>
    <s v="DIURNO"/>
    <n v="0"/>
    <n v="6"/>
    <n v="982"/>
    <n v="19980"/>
    <s v="AZUL"/>
    <n v="2.9"/>
    <n v="0"/>
    <n v="0"/>
    <n v="65.658000000000001"/>
    <n v="65"/>
    <n v="93"/>
    <n v="698.92473118279565"/>
    <x v="0"/>
    <x v="0"/>
    <n v="5"/>
    <n v="1"/>
    <n v="58.833333333333336"/>
  </r>
  <r>
    <d v="2025-02-12T17:19:00"/>
    <s v="INYECTADO"/>
    <x v="6"/>
    <x v="16"/>
    <s v="FABIAN HERNANDEZ"/>
    <s v="SEGUNDA"/>
    <s v="."/>
    <s v="MIXTO"/>
    <x v="13"/>
    <s v="COLADOR HOGAR SOLIDO#3-AZUL"/>
    <n v="486"/>
    <n v="4"/>
    <n v="45.2"/>
    <s v="NOCTURNO"/>
    <n v="0"/>
    <n v="4"/>
    <n v="982"/>
    <n v="19982"/>
    <s v="AZUL"/>
    <n v="2.4"/>
    <n v="0"/>
    <n v="0"/>
    <n v="45.198"/>
    <n v="45.2"/>
    <n v="93"/>
    <n v="486.02150537634407"/>
    <x v="0"/>
    <x v="0"/>
    <n v="5"/>
    <n v="1"/>
    <n v="40.5"/>
  </r>
  <r>
    <d v="2025-02-12T17:19:00"/>
    <s v="INYECTADO"/>
    <x v="6"/>
    <x v="16"/>
    <s v="FABIAN HERNANDEZ"/>
    <s v="VIRGEN"/>
    <s v="PP CLARIFICADO"/>
    <s v="."/>
    <x v="13"/>
    <s v="COLADOR HOGAR SOLIDO#3-CREMA"/>
    <n v="980"/>
    <n v="9"/>
    <n v="91.2"/>
    <s v="NOCTURNO"/>
    <n v="0"/>
    <n v="8"/>
    <n v="982"/>
    <n v="19982"/>
    <s v="CREMA"/>
    <n v="1.2"/>
    <n v="0"/>
    <n v="0"/>
    <n v="91.14"/>
    <n v="91.2"/>
    <n v="93"/>
    <n v="980.64516129032256"/>
    <x v="0"/>
    <x v="0"/>
    <n v="5"/>
    <n v="1"/>
    <n v="81.666666666666671"/>
  </r>
  <r>
    <d v="2025-02-12T17:19:00"/>
    <s v="INYECTADO"/>
    <x v="6"/>
    <x v="17"/>
    <s v="JUAN CARLOS CEDENO"/>
    <s v="SEGUNDA"/>
    <s v="."/>
    <s v="MIXTO"/>
    <x v="13"/>
    <s v="COLADOR HOGAR SOLIDO#3-VERDE"/>
    <n v="1134"/>
    <n v="8"/>
    <n v="104.4"/>
    <s v="DIURNO"/>
    <n v="0"/>
    <n v="10"/>
    <n v="982"/>
    <n v="19983"/>
    <s v="VERDE"/>
    <n v="11.3"/>
    <n v="0"/>
    <n v="0"/>
    <n v="105.462"/>
    <n v="104.4"/>
    <n v="93"/>
    <n v="1122.5806451612902"/>
    <x v="0"/>
    <x v="0"/>
    <n v="5"/>
    <n v="1"/>
    <n v="94.5"/>
  </r>
  <r>
    <d v="2025-02-12T17:19:00"/>
    <s v="INYECTADO"/>
    <x v="6"/>
    <x v="17"/>
    <s v="JUAN CARLOS CEDENO"/>
    <s v="VIRGEN"/>
    <s v="PP CLARIFICADO"/>
    <s v="."/>
    <x v="13"/>
    <s v="COLADOR HOGAR SOLIDO#3-CREMA"/>
    <n v="46"/>
    <n v="1"/>
    <n v="4.3"/>
    <s v="DIURNO"/>
    <n v="0"/>
    <n v="1"/>
    <n v="982"/>
    <n v="19983"/>
    <s v="CREMA"/>
    <n v="5.0999999999999996"/>
    <n v="0"/>
    <n v="0"/>
    <n v="4.2779999999999996"/>
    <n v="4.3"/>
    <n v="93"/>
    <n v="46.236559139784944"/>
    <x v="0"/>
    <x v="0"/>
    <n v="5"/>
    <n v="1"/>
    <n v="3.8333333333333335"/>
  </r>
  <r>
    <d v="2025-02-12T17:19:00"/>
    <s v="INYECTADO"/>
    <x v="6"/>
    <x v="26"/>
    <s v="JUAN CARLOS CEDENO"/>
    <s v="SEGUNDA"/>
    <s v="."/>
    <s v="MIXTO"/>
    <x v="13"/>
    <s v="COLADOR HOGAR SOLIDO#3-AZURE"/>
    <n v="1036"/>
    <n v="7"/>
    <n v="101.6"/>
    <s v="DIURNO"/>
    <n v="0"/>
    <n v="11"/>
    <n v="982"/>
    <n v="19985"/>
    <s v="AZURE"/>
    <n v="4.7"/>
    <n v="0"/>
    <n v="0"/>
    <n v="96.347999999999999"/>
    <n v="101.6"/>
    <n v="93"/>
    <n v="1092.4731182795699"/>
    <x v="0"/>
    <x v="0"/>
    <n v="5"/>
    <n v="1"/>
    <n v="86.333333333333329"/>
  </r>
  <r>
    <d v="2025-02-12T17:19:00"/>
    <s v="INYECTADO"/>
    <x v="6"/>
    <x v="26"/>
    <s v="JUAN CARLOS CEDENO"/>
    <s v="SEGUNDA"/>
    <s v="."/>
    <s v="MIXTO"/>
    <x v="13"/>
    <s v="COLADOR HOGAR SOLIDO#3-ANARANJADO"/>
    <n v="348"/>
    <n v="3"/>
    <n v="33.1"/>
    <s v="DIURNO"/>
    <n v="0"/>
    <n v="4"/>
    <n v="982"/>
    <n v="19985"/>
    <s v="ANARANJADO"/>
    <n v="1.2"/>
    <n v="0"/>
    <n v="0"/>
    <n v="32.363999999999997"/>
    <n v="33.1"/>
    <n v="93"/>
    <n v="355.91397849462368"/>
    <x v="0"/>
    <x v="0"/>
    <n v="5"/>
    <n v="1"/>
    <n v="29"/>
  </r>
  <r>
    <d v="2025-02-12T17:19:00"/>
    <s v="INYECTADO"/>
    <x v="6"/>
    <x v="26"/>
    <s v="PAUL MILLER"/>
    <s v="SEGUNDA"/>
    <s v="."/>
    <s v="MIXTO"/>
    <x v="13"/>
    <s v="COLADOR HOGAR SOLIDO#3-ANARANJADO"/>
    <n v="604"/>
    <n v="5"/>
    <n v="56.5"/>
    <s v="NOCTURNO"/>
    <n v="0"/>
    <n v="5"/>
    <n v="982"/>
    <n v="19986"/>
    <s v="ANARANJADO"/>
    <n v="2.6"/>
    <n v="0"/>
    <n v="0"/>
    <n v="56.171999999999997"/>
    <n v="56.5"/>
    <n v="93"/>
    <n v="607.52688172043008"/>
    <x v="0"/>
    <x v="0"/>
    <n v="5"/>
    <n v="1"/>
    <n v="50.333333333333336"/>
  </r>
  <r>
    <d v="2025-02-12T19:13:00"/>
    <s v="INYECTADO"/>
    <x v="2"/>
    <x v="18"/>
    <s v="FABIAN HERNANDEZ"/>
    <s v="VIRGEN"/>
    <s v="PP CLARIFICADO"/>
    <s v="."/>
    <x v="14"/>
    <s v="REGADERA PLAYERA-AMARILLO"/>
    <n v="393"/>
    <n v="4"/>
    <n v="37.6"/>
    <s v="NOCTURNO"/>
    <n v="0"/>
    <n v="5"/>
    <n v="960"/>
    <n v="19694"/>
    <s v="AMARILLO"/>
    <n v="6.9"/>
    <n v="0"/>
    <n v="0"/>
    <n v="12.968999999999999"/>
    <n v="37.6"/>
    <n v="33"/>
    <n v="1139.3939393939395"/>
    <x v="0"/>
    <x v="0"/>
    <n v="2"/>
    <n v="3"/>
    <n v="98.25"/>
  </r>
  <r>
    <d v="2025-02-12T19:13:00"/>
    <s v="INYECTADO"/>
    <x v="2"/>
    <x v="19"/>
    <s v="CRISALIDA ZAPATA"/>
    <s v="SEGUNDA"/>
    <s v="."/>
    <s v="PP INY MOLIDO"/>
    <x v="14"/>
    <s v="REGADERA PLAYERA-ROJO"/>
    <n v="418"/>
    <n v="4"/>
    <n v="40"/>
    <s v="DIURNO"/>
    <n v="0"/>
    <n v="6"/>
    <n v="960"/>
    <n v="19695"/>
    <s v="ROJO"/>
    <n v="28.900000000000002"/>
    <n v="0"/>
    <n v="0"/>
    <n v="13.794"/>
    <n v="40"/>
    <n v="33"/>
    <n v="1212.121212121212"/>
    <x v="0"/>
    <x v="0"/>
    <n v="2"/>
    <n v="3"/>
    <n v="104.5"/>
  </r>
  <r>
    <d v="2025-02-12T19:13:00"/>
    <s v="INYECTADO"/>
    <x v="2"/>
    <x v="19"/>
    <s v="CRISALIDA ZAPATA"/>
    <s v="SEGUNDA"/>
    <s v="."/>
    <s v="PP INY MOLIDO"/>
    <x v="14"/>
    <s v="REGADERA PLAYERA-AZUL"/>
    <n v="404"/>
    <n v="4"/>
    <n v="38.6"/>
    <s v="DIURNO"/>
    <n v="0"/>
    <n v="3"/>
    <n v="960"/>
    <n v="19695"/>
    <s v="AZUL"/>
    <n v="2.2000000000000002"/>
    <n v="0"/>
    <n v="0"/>
    <n v="13.332000000000001"/>
    <n v="38.6"/>
    <n v="33"/>
    <n v="1169.6969696969697"/>
    <x v="0"/>
    <x v="0"/>
    <n v="2"/>
    <n v="3"/>
    <n v="101"/>
  </r>
  <r>
    <d v="2025-02-12T19:13:00"/>
    <s v="INYECTADO"/>
    <x v="2"/>
    <x v="4"/>
    <s v="ISABEL LINARIZ "/>
    <s v="SEGUNDA"/>
    <s v="."/>
    <s v="PP INY MOLIDO"/>
    <x v="14"/>
    <s v="REGADERA PLAYERA-FUCSIA"/>
    <n v="380"/>
    <n v="3"/>
    <n v="36.299999999999997"/>
    <s v="DIURNO"/>
    <n v="0"/>
    <n v="4"/>
    <n v="960"/>
    <n v="19696"/>
    <s v="FUCSIA"/>
    <n v="11.4"/>
    <n v="0"/>
    <n v="0"/>
    <n v="12.54"/>
    <n v="36.299999999999997"/>
    <n v="33"/>
    <n v="1100"/>
    <x v="0"/>
    <x v="0"/>
    <n v="2"/>
    <n v="3"/>
    <n v="95"/>
  </r>
  <r>
    <d v="2025-02-12T19:13:00"/>
    <s v="INYECTADO"/>
    <x v="2"/>
    <x v="4"/>
    <s v="ISABEL LINARIZ "/>
    <s v="SEGUNDA"/>
    <s v="."/>
    <s v="PP INY MOLIDO"/>
    <x v="14"/>
    <s v="REGADERA PLAYERA-VERDE"/>
    <n v="475"/>
    <n v="4"/>
    <n v="45.6"/>
    <s v="DIURNO"/>
    <n v="0"/>
    <n v="5"/>
    <n v="960"/>
    <n v="19696"/>
    <s v="VERDE"/>
    <n v="15.2"/>
    <n v="0"/>
    <n v="0"/>
    <n v="15.675000000000001"/>
    <n v="45.6"/>
    <n v="33"/>
    <n v="1381.8181818181818"/>
    <x v="0"/>
    <x v="0"/>
    <n v="2"/>
    <n v="3"/>
    <n v="118.75"/>
  </r>
  <r>
    <d v="2025-02-12T19:13:00"/>
    <s v="INYECTADO"/>
    <x v="2"/>
    <x v="4"/>
    <s v="ISABEL LINARIZ "/>
    <s v="SEGUNDA"/>
    <s v="."/>
    <s v="PP INY MOLIDO"/>
    <x v="14"/>
    <s v="REGADERA PLAYERA-LILA"/>
    <n v="37"/>
    <n v="1"/>
    <n v="3.6"/>
    <s v="DIURNO"/>
    <n v="0"/>
    <n v="1"/>
    <n v="960"/>
    <n v="19696"/>
    <s v="LILA"/>
    <n v="2.4"/>
    <n v="0"/>
    <n v="0"/>
    <n v="1.2210000000000001"/>
    <n v="3.6"/>
    <n v="33"/>
    <n v="109.09090909090909"/>
    <x v="0"/>
    <x v="0"/>
    <n v="2"/>
    <n v="3"/>
    <n v="9.25"/>
  </r>
  <r>
    <d v="2025-02-12T19:13:00"/>
    <s v="INYECTADO"/>
    <x v="2"/>
    <x v="5"/>
    <s v="CRISALIDA ZAPATA"/>
    <s v="SEGUNDA"/>
    <s v="."/>
    <s v="PP INY MOLIDO"/>
    <x v="14"/>
    <s v="REGADERA PLAYERA-LILA"/>
    <n v="773"/>
    <n v="8"/>
    <n v="73.900000000000006"/>
    <s v="DIURNO"/>
    <n v="0"/>
    <n v="10"/>
    <n v="960"/>
    <n v="19697"/>
    <s v="LILA"/>
    <n v="27.1"/>
    <n v="0"/>
    <n v="0"/>
    <n v="25.509"/>
    <n v="73.900000000000006"/>
    <n v="33"/>
    <n v="2239.3939393939395"/>
    <x v="0"/>
    <x v="0"/>
    <n v="3"/>
    <n v="3"/>
    <n v="193.25"/>
  </r>
  <r>
    <d v="2025-02-12T19:13:00"/>
    <s v="INYECTADO"/>
    <x v="2"/>
    <x v="5"/>
    <s v="CRISALIDA ZAPATA"/>
    <s v="SEGUNDA"/>
    <s v="."/>
    <s v="PP INY MOLIDO"/>
    <x v="14"/>
    <s v="REGADERA PLAYERA-FUCSIA"/>
    <n v="12"/>
    <n v="1"/>
    <n v="1.2"/>
    <s v="DIURNO"/>
    <n v="0"/>
    <n v="1"/>
    <n v="960"/>
    <n v="19697"/>
    <s v="FUCSIA"/>
    <n v="2.4"/>
    <n v="0"/>
    <n v="0"/>
    <n v="0.39600000000000002"/>
    <n v="1.2"/>
    <n v="33"/>
    <n v="36.363636363636367"/>
    <x v="0"/>
    <x v="0"/>
    <n v="3"/>
    <n v="3"/>
    <n v="3"/>
  </r>
  <r>
    <d v="2025-02-12T19:13:00"/>
    <s v="INYECTADO"/>
    <x v="2"/>
    <x v="6"/>
    <s v="JOSDER GONZALEZ"/>
    <s v="SEGUNDA"/>
    <s v="."/>
    <s v="PP INY MOLIDO"/>
    <x v="14"/>
    <s v="REGADERA PLAYERA-FUCSIA"/>
    <n v="408"/>
    <n v="4"/>
    <n v="39"/>
    <s v="DIURNO"/>
    <n v="0"/>
    <n v="5"/>
    <n v="960"/>
    <n v="19698"/>
    <s v="FUCSIA"/>
    <n v="11.8"/>
    <n v="0"/>
    <n v="0"/>
    <n v="13.464"/>
    <n v="39"/>
    <n v="33"/>
    <n v="1181.8181818181818"/>
    <x v="0"/>
    <x v="0"/>
    <n v="3"/>
    <n v="3"/>
    <n v="102"/>
  </r>
  <r>
    <d v="2025-02-12T19:13:00"/>
    <s v="INYECTADO"/>
    <x v="2"/>
    <x v="6"/>
    <s v="JOSDER GONZALEZ"/>
    <s v="SEGUNDA"/>
    <s v="."/>
    <s v="PP INY MOLIDO"/>
    <x v="14"/>
    <s v="REGADERA PLAYERA-ROJO"/>
    <n v="327"/>
    <n v="3"/>
    <n v="31.3"/>
    <s v="DIURNO"/>
    <n v="0"/>
    <n v="5"/>
    <n v="960"/>
    <n v="19698"/>
    <s v="ROJO"/>
    <n v="11.9"/>
    <n v="0"/>
    <n v="0"/>
    <n v="10.791"/>
    <n v="31.3"/>
    <n v="33"/>
    <n v="948.4848484848485"/>
    <x v="0"/>
    <x v="0"/>
    <n v="3"/>
    <n v="3"/>
    <n v="81.75"/>
  </r>
  <r>
    <d v="2025-02-12T19:13:00"/>
    <s v="INYECTADO"/>
    <x v="2"/>
    <x v="9"/>
    <s v="SAID VILLAMIZAR"/>
    <s v="SEGUNDA"/>
    <s v="."/>
    <s v="PP INY MOLIDO"/>
    <x v="14"/>
    <s v="REGADERA PLAYERA-ROJO"/>
    <n v="32"/>
    <n v="1"/>
    <n v="3.1"/>
    <s v="DIURNO"/>
    <n v="0"/>
    <n v="2"/>
    <n v="960"/>
    <n v="19699"/>
    <s v="ROJO"/>
    <n v="7"/>
    <n v="0"/>
    <n v="0"/>
    <n v="1.056"/>
    <n v="3.1"/>
    <n v="33"/>
    <n v="93.939393939393938"/>
    <x v="0"/>
    <x v="0"/>
    <n v="3"/>
    <n v="3"/>
    <n v="8"/>
  </r>
  <r>
    <d v="2025-02-12T19:13:00"/>
    <s v="INYECTADO"/>
    <x v="2"/>
    <x v="9"/>
    <s v="SAID VILLAMIZAR"/>
    <s v="SEGUNDA"/>
    <s v="."/>
    <s v="PP INY MOLIDO"/>
    <x v="14"/>
    <s v="REGADERA PLAYERA-VERDE"/>
    <n v="306"/>
    <n v="3"/>
    <n v="29.3"/>
    <s v="DIURNO"/>
    <n v="0"/>
    <n v="4"/>
    <n v="960"/>
    <n v="19699"/>
    <s v="VERDE"/>
    <n v="9.5"/>
    <n v="0"/>
    <n v="0"/>
    <n v="10.098000000000001"/>
    <n v="29.3"/>
    <n v="33"/>
    <n v="887.87878787878788"/>
    <x v="0"/>
    <x v="0"/>
    <n v="3"/>
    <n v="3"/>
    <n v="76.5"/>
  </r>
  <r>
    <d v="2025-02-12T19:13:00"/>
    <s v="INYECTADO"/>
    <x v="2"/>
    <x v="9"/>
    <s v="SAID VILLAMIZAR"/>
    <s v="VIRGEN"/>
    <s v="PP CLARIFICADO"/>
    <s v="."/>
    <x v="14"/>
    <s v="REGADERA PLAYERA-AMARILLO"/>
    <n v="362"/>
    <n v="3"/>
    <n v="34.6"/>
    <s v="DIURNO"/>
    <n v="0"/>
    <n v="4"/>
    <n v="960"/>
    <n v="19699"/>
    <s v="AMARILLO"/>
    <n v="12.8"/>
    <n v="0"/>
    <n v="0"/>
    <n v="11.946"/>
    <n v="34.6"/>
    <n v="33"/>
    <n v="1048.4848484848485"/>
    <x v="0"/>
    <x v="0"/>
    <n v="3"/>
    <n v="3"/>
    <n v="90.5"/>
  </r>
  <r>
    <d v="2025-02-12T19:13:00"/>
    <s v="INYECTADO"/>
    <x v="2"/>
    <x v="10"/>
    <s v="GABRIEL REQUENA"/>
    <s v="SEGUNDA"/>
    <s v="."/>
    <s v="PP INY MOLIDO"/>
    <x v="14"/>
    <s v="REGADERA PLAYERA-VERDE"/>
    <n v="36"/>
    <n v="1"/>
    <n v="3.5"/>
    <s v="DIURNO"/>
    <n v="0"/>
    <n v="1"/>
    <n v="960"/>
    <n v="21001"/>
    <s v="VERDE"/>
    <n v="7.4"/>
    <n v="0"/>
    <n v="0"/>
    <n v="1.1879999999999999"/>
    <n v="3.5"/>
    <n v="33"/>
    <n v="106.06060606060606"/>
    <x v="0"/>
    <x v="0"/>
    <n v="3"/>
    <n v="3"/>
    <n v="9"/>
  </r>
  <r>
    <d v="2025-02-12T19:13:00"/>
    <s v="INYECTADO"/>
    <x v="2"/>
    <x v="10"/>
    <s v="GABRIEL REQUENA"/>
    <s v="SEGUNDA"/>
    <s v="."/>
    <s v="PP INY MOLIDO"/>
    <x v="14"/>
    <s v="REGADERA PLAYERA-AZUL"/>
    <n v="604"/>
    <n v="5"/>
    <n v="57.7"/>
    <s v="DIURNO"/>
    <n v="0"/>
    <n v="8"/>
    <n v="960"/>
    <n v="21001"/>
    <s v="AZUL"/>
    <n v="12.1"/>
    <n v="0"/>
    <n v="0"/>
    <n v="19.931999999999999"/>
    <n v="57.7"/>
    <n v="33"/>
    <n v="1748.4848484848485"/>
    <x v="0"/>
    <x v="0"/>
    <n v="3"/>
    <n v="3"/>
    <n v="151"/>
  </r>
  <r>
    <d v="2025-02-12T19:13:00"/>
    <s v="INYECTADO"/>
    <x v="2"/>
    <x v="10"/>
    <s v="GABRIEL REQUENA"/>
    <s v="SEGUNDA"/>
    <s v="."/>
    <s v="PP INY MOLIDO"/>
    <x v="14"/>
    <s v="REGADERA PLAYERA-ROJO"/>
    <n v="135"/>
    <n v="1"/>
    <n v="13"/>
    <s v="DIURNO"/>
    <n v="0"/>
    <n v="2"/>
    <n v="960"/>
    <n v="21001"/>
    <s v="ROJO"/>
    <n v="4.4000000000000004"/>
    <n v="0"/>
    <n v="0"/>
    <n v="4.4550000000000001"/>
    <n v="13"/>
    <n v="33"/>
    <n v="393.93939393939394"/>
    <x v="0"/>
    <x v="0"/>
    <n v="3"/>
    <n v="3"/>
    <n v="33.75"/>
  </r>
  <r>
    <d v="2025-02-12T19:13:00"/>
    <s v="INYECTADO"/>
    <x v="2"/>
    <x v="11"/>
    <s v="ALGIMIRO CALDERAS"/>
    <s v="SEGUNDA"/>
    <s v="."/>
    <s v="PP INY MOLIDO"/>
    <x v="14"/>
    <s v="REGADERA PLAYERA-ROJO"/>
    <n v="160"/>
    <n v="2"/>
    <n v="15.3"/>
    <s v="DIURNO"/>
    <n v="0"/>
    <n v="2"/>
    <n v="960"/>
    <n v="21002"/>
    <s v="ROJO"/>
    <n v="6.1"/>
    <n v="0"/>
    <n v="0"/>
    <n v="5.28"/>
    <n v="15.3"/>
    <n v="33"/>
    <n v="463.63636363636363"/>
    <x v="0"/>
    <x v="0"/>
    <n v="3"/>
    <n v="3"/>
    <n v="40"/>
  </r>
  <r>
    <d v="2025-02-12T19:13:00"/>
    <s v="INYECTADO"/>
    <x v="2"/>
    <x v="11"/>
    <s v="ALGIMIRO CALDERAS"/>
    <s v="SEGUNDA"/>
    <s v="."/>
    <s v="PP INY MOLIDO"/>
    <x v="14"/>
    <s v="REGADERA PLAYERA-FUCSIA"/>
    <n v="202"/>
    <n v="2"/>
    <n v="19.3"/>
    <s v="DIURNO"/>
    <n v="0"/>
    <n v="2"/>
    <n v="960"/>
    <n v="21002"/>
    <s v="FUCSIA"/>
    <n v="5.9"/>
    <n v="0"/>
    <n v="0"/>
    <n v="6.6660000000000004"/>
    <n v="19.3"/>
    <n v="33"/>
    <n v="584.84848484848487"/>
    <x v="0"/>
    <x v="0"/>
    <n v="3"/>
    <n v="3"/>
    <n v="50.5"/>
  </r>
  <r>
    <d v="2025-02-12T19:13:00"/>
    <s v="INYECTADO"/>
    <x v="2"/>
    <x v="11"/>
    <s v="ALGIMIRO CALDERAS"/>
    <s v="SEGUNDA"/>
    <s v="."/>
    <s v="PP INY MOLIDO"/>
    <x v="14"/>
    <s v="REGADERA PLAYERA-LILA"/>
    <n v="208"/>
    <n v="2"/>
    <n v="19.8"/>
    <s v="DIURNO"/>
    <n v="0"/>
    <n v="2"/>
    <n v="960"/>
    <n v="21002"/>
    <s v="LILA"/>
    <n v="2.5"/>
    <n v="0"/>
    <n v="0"/>
    <n v="6.8639999999999999"/>
    <n v="19.8"/>
    <n v="33"/>
    <n v="600"/>
    <x v="0"/>
    <x v="0"/>
    <n v="3"/>
    <n v="3"/>
    <n v="52"/>
  </r>
  <r>
    <d v="2025-02-12T19:13:00"/>
    <s v="INYECTADO"/>
    <x v="2"/>
    <x v="11"/>
    <s v="FABIAN HERNANDEZ"/>
    <s v="SEGUNDA"/>
    <s v="."/>
    <s v="PP INY MOLIDO"/>
    <x v="14"/>
    <s v="REGADERA PLAYERA-VERDE"/>
    <n v="206"/>
    <n v="2"/>
    <n v="19.3"/>
    <s v="NOCTURNO"/>
    <n v="0"/>
    <n v="2"/>
    <n v="960"/>
    <n v="21003"/>
    <s v="VERDE"/>
    <n v="4.5999999999999996"/>
    <n v="0"/>
    <n v="0"/>
    <n v="6.798"/>
    <n v="19.3"/>
    <n v="33"/>
    <n v="584.84848484848487"/>
    <x v="0"/>
    <x v="0"/>
    <n v="3"/>
    <n v="3"/>
    <n v="51.5"/>
  </r>
  <r>
    <d v="2025-02-12T19:13:00"/>
    <s v="INYECTADO"/>
    <x v="2"/>
    <x v="11"/>
    <s v="FABIAN HERNANDEZ"/>
    <s v="VIRGEN"/>
    <s v="PP CLARIFICADO"/>
    <s v="."/>
    <x v="14"/>
    <s v="REGADERA PLAYERA-AMARILLO"/>
    <n v="273"/>
    <n v="3"/>
    <n v="26"/>
    <s v="NOCTURNO"/>
    <n v="0"/>
    <n v="2"/>
    <n v="960"/>
    <n v="21003"/>
    <s v="AMARILLO"/>
    <n v="7.9"/>
    <n v="0"/>
    <n v="0"/>
    <n v="9.0090000000000003"/>
    <n v="26"/>
    <n v="33"/>
    <n v="787.87878787878788"/>
    <x v="0"/>
    <x v="0"/>
    <n v="3"/>
    <n v="3"/>
    <n v="68.25"/>
  </r>
  <r>
    <d v="2025-02-12T19:13:00"/>
    <s v="INYECTADO"/>
    <x v="2"/>
    <x v="25"/>
    <s v="SAID VILLAMIZAR"/>
    <s v="VIRGEN"/>
    <s v="PP CLARIFICADO"/>
    <s v="."/>
    <x v="15"/>
    <s v="VASO MUNDO MANZANITA CARAMELO-AMARILLO"/>
    <n v="423"/>
    <n v="4"/>
    <n v="54.6"/>
    <s v="DIURNO"/>
    <n v="0"/>
    <n v="4"/>
    <n v="978"/>
    <n v="21004"/>
    <s v="AMARILLO"/>
    <n v="7.6"/>
    <n v="0"/>
    <n v="0"/>
    <n v="9.3059999999999992"/>
    <n v="54.6"/>
    <n v="22"/>
    <n v="2481.818181818182"/>
    <x v="0"/>
    <x v="0"/>
    <n v="4"/>
    <n v="6"/>
    <n v="211.5"/>
  </r>
  <r>
    <d v="2025-02-12T19:13:00"/>
    <s v="INYECTADO"/>
    <x v="2"/>
    <x v="25"/>
    <s v="PAUL MILLER"/>
    <s v="VIRGEN"/>
    <s v="PP CLARIFICADO"/>
    <s v="."/>
    <x v="15"/>
    <s v="VASO MUNDO MANZANITA CARAMELO-AMARILLO"/>
    <n v="363"/>
    <n v="3"/>
    <n v="47.2"/>
    <s v="NOCTURNO"/>
    <n v="0"/>
    <n v="6"/>
    <n v="978"/>
    <n v="21005"/>
    <s v="AMARILLO"/>
    <n v="3.3"/>
    <n v="0"/>
    <n v="0"/>
    <n v="7.9859999999999998"/>
    <n v="47.2"/>
    <n v="22"/>
    <n v="2145.4545454545455"/>
    <x v="0"/>
    <x v="0"/>
    <n v="4"/>
    <n v="6"/>
    <n v="181.5"/>
  </r>
  <r>
    <d v="2025-02-12T19:13:00"/>
    <s v="INYECTADO"/>
    <x v="2"/>
    <x v="25"/>
    <s v="PAUL MILLER"/>
    <s v="VIRGEN"/>
    <s v="PP CLARIFICADO"/>
    <s v="."/>
    <x v="15"/>
    <s v="VASO MUNDO MANZANITA CARAMELO-VERDE"/>
    <n v="686"/>
    <n v="6"/>
    <n v="89.2"/>
    <s v="NOCTURNO"/>
    <n v="0"/>
    <n v="10"/>
    <n v="978"/>
    <n v="21005"/>
    <s v="VERDE"/>
    <n v="0"/>
    <n v="0"/>
    <n v="0"/>
    <n v="15.092000000000001"/>
    <n v="89.2"/>
    <n v="22"/>
    <n v="4054.5454545454545"/>
    <x v="0"/>
    <x v="0"/>
    <n v="4"/>
    <n v="6"/>
    <n v="343"/>
  </r>
  <r>
    <d v="2025-02-12T19:13:00"/>
    <s v="INYECTADO"/>
    <x v="2"/>
    <x v="14"/>
    <s v="JUAN CARLOS CEDENO"/>
    <s v="VIRGEN"/>
    <s v="PP CLARIFICADO"/>
    <s v="."/>
    <x v="15"/>
    <s v="VASO MUNDO MANZANITA CARAMELO-VERDE"/>
    <n v="73"/>
    <n v="1"/>
    <n v="9.6"/>
    <s v="DIURNO"/>
    <n v="0"/>
    <n v="1"/>
    <n v="978"/>
    <n v="21006"/>
    <s v="VERDE"/>
    <n v="3.1"/>
    <n v="0"/>
    <n v="0"/>
    <n v="1.6060000000000001"/>
    <n v="9.6"/>
    <n v="22"/>
    <n v="436.36363636363637"/>
    <x v="0"/>
    <x v="0"/>
    <n v="4"/>
    <n v="6"/>
    <n v="36.5"/>
  </r>
  <r>
    <d v="2025-02-12T19:13:00"/>
    <s v="INYECTADO"/>
    <x v="2"/>
    <x v="14"/>
    <s v="JUAN CARLOS CEDENO"/>
    <s v="VIRGEN"/>
    <s v="PP CLARIFICADO"/>
    <s v="."/>
    <x v="15"/>
    <s v="VASO MUNDO MANZANITA CARAMELO-ANARANJADO"/>
    <n v="800"/>
    <n v="7"/>
    <n v="104.1"/>
    <s v="DIURNO"/>
    <n v="0"/>
    <n v="10"/>
    <n v="978"/>
    <n v="21006"/>
    <s v="ANARNAJADO"/>
    <n v="2.1"/>
    <n v="0"/>
    <n v="0"/>
    <n v="17.600000000000001"/>
    <n v="104.1"/>
    <n v="22"/>
    <n v="4731.818181818182"/>
    <x v="0"/>
    <x v="0"/>
    <n v="4"/>
    <n v="6"/>
    <n v="400"/>
  </r>
  <r>
    <d v="2025-02-12T19:13:00"/>
    <s v="INYECTADO"/>
    <x v="2"/>
    <x v="14"/>
    <s v="JUAN CARLOS CEDENO"/>
    <s v="VIRGEN"/>
    <s v="PP CLARIFICADO"/>
    <s v="."/>
    <x v="15"/>
    <s v="VASO MUNDO MANZANITA CARAMELO-FUCSIA"/>
    <n v="221"/>
    <n v="2"/>
    <n v="28.8"/>
    <s v="DIURNO"/>
    <n v="0"/>
    <n v="3"/>
    <n v="978"/>
    <n v="21006"/>
    <s v="FUCSIA"/>
    <n v="0.5"/>
    <n v="0"/>
    <n v="0"/>
    <n v="4.8620000000000001"/>
    <n v="28.8"/>
    <n v="22"/>
    <n v="1309.090909090909"/>
    <x v="0"/>
    <x v="0"/>
    <n v="4"/>
    <n v="6"/>
    <n v="110.5"/>
  </r>
  <r>
    <d v="2025-02-12T19:13:00"/>
    <s v="INYECTADO"/>
    <x v="2"/>
    <x v="15"/>
    <s v="LUIS RENGIFO"/>
    <s v="VIRGEN"/>
    <s v="PP CLARIFICADO"/>
    <s v="."/>
    <x v="15"/>
    <s v="VASO MUNDO MANZANITA CARAMELO-FUCSIA"/>
    <n v="475"/>
    <n v="4"/>
    <n v="61.8"/>
    <s v="DIURNO"/>
    <n v="0"/>
    <n v="7"/>
    <n v="978"/>
    <n v="21007"/>
    <s v="FUCSA"/>
    <n v="2.1"/>
    <n v="0"/>
    <n v="0"/>
    <n v="10.45"/>
    <n v="61.8"/>
    <n v="22"/>
    <n v="2809.090909090909"/>
    <x v="0"/>
    <x v="0"/>
    <n v="4"/>
    <n v="6"/>
    <n v="237.5"/>
  </r>
  <r>
    <d v="2025-02-12T19:13:00"/>
    <s v="INYECTADO"/>
    <x v="2"/>
    <x v="15"/>
    <s v="LUIS RENGIFO"/>
    <s v="VIRGEN"/>
    <s v="PP CLARIFICADO"/>
    <s v="."/>
    <x v="15"/>
    <s v="VASO MUNDO MANZANITA CARAMELO-LILA"/>
    <n v="604"/>
    <n v="6"/>
    <n v="78.599999999999994"/>
    <s v="DIURNO"/>
    <n v="0"/>
    <n v="8"/>
    <n v="978"/>
    <n v="21007"/>
    <s v="LILA"/>
    <n v="0"/>
    <n v="0"/>
    <n v="0"/>
    <n v="13.288"/>
    <n v="78.599999999999994"/>
    <n v="22"/>
    <n v="3572.7272727272725"/>
    <x v="0"/>
    <x v="0"/>
    <n v="4"/>
    <n v="6"/>
    <n v="302"/>
  </r>
  <r>
    <d v="2025-02-12T19:13:00"/>
    <s v="INYECTADO"/>
    <x v="2"/>
    <x v="7"/>
    <s v="JUAN CARLOS CEDENO"/>
    <s v="VIRGEN"/>
    <s v="PP CLARIFICADO"/>
    <s v="."/>
    <x v="15"/>
    <s v="VASO MUNDO MANZANITA CARAMELO-LILA"/>
    <n v="763"/>
    <n v="7"/>
    <n v="99.2"/>
    <s v="DIURNO"/>
    <n v="0"/>
    <n v="9"/>
    <n v="978"/>
    <n v="21008"/>
    <s v="LILA"/>
    <n v="3.7"/>
    <n v="0"/>
    <n v="0"/>
    <n v="16.786000000000001"/>
    <n v="99.2"/>
    <n v="22"/>
    <n v="4509.090909090909"/>
    <x v="0"/>
    <x v="0"/>
    <n v="5"/>
    <n v="6"/>
    <n v="381.5"/>
  </r>
  <r>
    <d v="2025-02-12T19:13:00"/>
    <s v="INYECTADO"/>
    <x v="2"/>
    <x v="7"/>
    <s v="JUAN CARLOS CEDENO"/>
    <s v="VIRGEN"/>
    <s v="PP CLARIFICADO"/>
    <s v="."/>
    <x v="15"/>
    <s v="VASO MUNDO MANZANITA CARAMELO-AZUL"/>
    <n v="190"/>
    <n v="2"/>
    <n v="24.8"/>
    <s v="DIURNO"/>
    <n v="0"/>
    <n v="3"/>
    <n v="978"/>
    <n v="21008"/>
    <s v="AZUL"/>
    <n v="0.7"/>
    <n v="0"/>
    <n v="0"/>
    <n v="4.18"/>
    <n v="24.8"/>
    <n v="22"/>
    <n v="1127.2727272727273"/>
    <x v="0"/>
    <x v="0"/>
    <n v="5"/>
    <n v="6"/>
    <n v="95"/>
  </r>
  <r>
    <d v="2025-02-12T19:13:00"/>
    <s v="INYECTADO"/>
    <x v="2"/>
    <x v="8"/>
    <s v="LUIS PINEDO"/>
    <s v="VIRGEN"/>
    <s v="PP CLARIFICADO"/>
    <s v="."/>
    <x v="15"/>
    <s v="VASO MUNDO MANZANITA CARAMELO-AZUL"/>
    <n v="969"/>
    <n v="8"/>
    <n v="126"/>
    <s v="DIURNO"/>
    <n v="0"/>
    <n v="13"/>
    <n v="978"/>
    <n v="21009"/>
    <s v="AZUL"/>
    <n v="3.7"/>
    <n v="0"/>
    <n v="0"/>
    <n v="21.318000000000001"/>
    <n v="126"/>
    <n v="22"/>
    <n v="5727.272727272727"/>
    <x v="0"/>
    <x v="0"/>
    <n v="5"/>
    <n v="6"/>
    <n v="484.5"/>
  </r>
  <r>
    <d v="2025-02-12T19:13:00"/>
    <s v="INYECTADO"/>
    <x v="2"/>
    <x v="8"/>
    <s v="LUIS PINEDO"/>
    <s v="VIRGEN"/>
    <s v="PP CLARIFICADO"/>
    <s v="."/>
    <x v="15"/>
    <s v="VASO MUNDO MANZANITA CARAMELO-AMARILLO"/>
    <n v="94"/>
    <n v="1"/>
    <n v="12.3"/>
    <s v="DIURNO"/>
    <n v="0"/>
    <n v="2"/>
    <n v="978"/>
    <n v="21009"/>
    <s v="AMARILLO"/>
    <n v="0.6"/>
    <n v="0"/>
    <n v="0"/>
    <n v="2.0680000000000001"/>
    <n v="12.3"/>
    <n v="22"/>
    <n v="559.09090909090912"/>
    <x v="0"/>
    <x v="0"/>
    <n v="5"/>
    <n v="6"/>
    <n v="47"/>
  </r>
  <r>
    <d v="2025-02-12T19:13:00"/>
    <s v="INYECTADO"/>
    <x v="2"/>
    <x v="8"/>
    <s v="PAUL MILLER"/>
    <s v="VIRGEN"/>
    <s v="PP CLARIFICADO"/>
    <s v="."/>
    <x v="15"/>
    <s v="VASO MUNDO MANZANITA CARAMELO-AMARILLO"/>
    <n v="479"/>
    <n v="4"/>
    <n v="62.3"/>
    <s v="NOCTURNO"/>
    <n v="0"/>
    <n v="7"/>
    <n v="978"/>
    <n v="21010"/>
    <s v="AMARILLO"/>
    <n v="0.5"/>
    <n v="0"/>
    <n v="0"/>
    <n v="10.538"/>
    <n v="62.3"/>
    <n v="22"/>
    <n v="2831.818181818182"/>
    <x v="0"/>
    <x v="0"/>
    <n v="5"/>
    <n v="6"/>
    <n v="239.5"/>
  </r>
  <r>
    <d v="2025-02-12T19:13:00"/>
    <s v="INYECTADO"/>
    <x v="2"/>
    <x v="8"/>
    <s v="PAUL MILLER"/>
    <s v="VIRGEN"/>
    <s v="PP CLARIFICADO"/>
    <s v="."/>
    <x v="15"/>
    <s v="VASO MUNDO MANZANITA CARAMELO-VERDE"/>
    <n v="580"/>
    <n v="5"/>
    <n v="75.5"/>
    <s v="NOCTURNO"/>
    <n v="0"/>
    <n v="9"/>
    <n v="978"/>
    <n v="21010"/>
    <s v="VERDE"/>
    <n v="1.5"/>
    <n v="0"/>
    <n v="0"/>
    <n v="12.76"/>
    <n v="75.5"/>
    <n v="22"/>
    <n v="3431.818181818182"/>
    <x v="0"/>
    <x v="0"/>
    <n v="5"/>
    <n v="6"/>
    <n v="290"/>
  </r>
  <r>
    <d v="2025-02-12T19:13:00"/>
    <s v="INYECTADO"/>
    <x v="2"/>
    <x v="8"/>
    <s v="PAUL MILLER"/>
    <s v="VIRGEN"/>
    <s v="PP CLARIFICADO"/>
    <s v="."/>
    <x v="15"/>
    <s v="VASO MUNDO MANZANITA CARAMELO-ANARANJADO"/>
    <n v="130"/>
    <n v="1"/>
    <n v="17"/>
    <s v="NOCTURNO"/>
    <n v="0"/>
    <n v="2"/>
    <n v="978"/>
    <n v="21010"/>
    <s v="ANARANJADO"/>
    <n v="0.9"/>
    <n v="0"/>
    <n v="0"/>
    <n v="2.86"/>
    <n v="17"/>
    <n v="22"/>
    <n v="772.72727272727275"/>
    <x v="0"/>
    <x v="0"/>
    <n v="5"/>
    <n v="6"/>
    <n v="65"/>
  </r>
  <r>
    <d v="2025-02-12T19:13:00"/>
    <s v="INYECTADO"/>
    <x v="2"/>
    <x v="16"/>
    <s v="JUAN CARLOS CEDENO"/>
    <s v="VIRGEN"/>
    <s v="PP CLARIFICADO"/>
    <s v="."/>
    <x v="15"/>
    <s v="VASO MUNDO MANZANITA CARAMELO-ANARANJADO"/>
    <n v="444"/>
    <n v="4"/>
    <n v="57.8"/>
    <s v="DIURNO"/>
    <n v="0"/>
    <n v="6"/>
    <n v="978"/>
    <n v="21011"/>
    <s v="ANARANJADO"/>
    <n v="0"/>
    <n v="0"/>
    <n v="0"/>
    <n v="9.7680000000000007"/>
    <n v="57.8"/>
    <n v="22"/>
    <n v="2627.2727272727275"/>
    <x v="0"/>
    <x v="0"/>
    <n v="5"/>
    <n v="6"/>
    <n v="222"/>
  </r>
  <r>
    <d v="2025-02-12T19:13:00"/>
    <s v="INYECTADO"/>
    <x v="2"/>
    <x v="16"/>
    <s v="JUAN CARLOS CEDENO"/>
    <s v="VIRGEN"/>
    <s v="PP CLARIFICADO"/>
    <s v="."/>
    <x v="15"/>
    <s v="VASO MUNDO MANZANITA CARAMELO-FUCSIA"/>
    <n v="489"/>
    <n v="5"/>
    <n v="63"/>
    <s v="DIURNO"/>
    <n v="0"/>
    <n v="7"/>
    <n v="978"/>
    <n v="21011"/>
    <s v="FUCSIA"/>
    <n v="0"/>
    <n v="0"/>
    <n v="0"/>
    <n v="10.757999999999999"/>
    <n v="63"/>
    <n v="22"/>
    <n v="2863.6363636363635"/>
    <x v="0"/>
    <x v="0"/>
    <n v="5"/>
    <n v="6"/>
    <n v="244.5"/>
  </r>
  <r>
    <d v="2025-02-12T19:13:00"/>
    <s v="INYECTADO"/>
    <x v="2"/>
    <x v="17"/>
    <s v="LUIS RENGIFO"/>
    <s v="VIRGEN"/>
    <s v="PP CLARIFICADO"/>
    <s v="."/>
    <x v="15"/>
    <s v="VASO MUNDO MANZANITA CARAMELO-FUCSIA"/>
    <n v="190"/>
    <n v="2"/>
    <n v="24.7"/>
    <s v="DIURNO"/>
    <n v="0"/>
    <n v="3"/>
    <n v="978"/>
    <n v="21011"/>
    <s v="FUCSIA"/>
    <n v="0"/>
    <n v="0"/>
    <n v="0"/>
    <n v="4.18"/>
    <n v="24.7"/>
    <n v="22"/>
    <n v="1122.7272727272727"/>
    <x v="0"/>
    <x v="0"/>
    <n v="5"/>
    <n v="6"/>
    <n v="95"/>
  </r>
  <r>
    <d v="2025-02-12T19:13:00"/>
    <s v="INYECTADO"/>
    <x v="2"/>
    <x v="17"/>
    <s v="LUIS RENGIFO"/>
    <s v="VIRGEN"/>
    <s v="PP CLARIFICADO"/>
    <s v="."/>
    <x v="15"/>
    <s v="VASO MUNDO MANZANITA CARAMELO-AZUL"/>
    <n v="201"/>
    <n v="2"/>
    <n v="26.2"/>
    <s v="DIURNO"/>
    <n v="0"/>
    <n v="3"/>
    <n v="978"/>
    <n v="21011"/>
    <s v="AZUL"/>
    <n v="0"/>
    <n v="0"/>
    <n v="0"/>
    <n v="4.4219999999999997"/>
    <n v="26.2"/>
    <n v="22"/>
    <n v="1190.909090909091"/>
    <x v="0"/>
    <x v="0"/>
    <n v="5"/>
    <n v="6"/>
    <n v="100.5"/>
  </r>
  <r>
    <d v="2025-02-12T20:52:00"/>
    <s v="INYECTADO"/>
    <x v="2"/>
    <x v="26"/>
    <s v="LUIS RENGIFO"/>
    <s v="VIRGEN"/>
    <s v="PP CLARIFICADO"/>
    <s v="."/>
    <x v="16"/>
    <s v="COLADOR HOGAR SOLIDO#4-CREMA"/>
    <n v="882"/>
    <n v="8"/>
    <n v="99.7"/>
    <s v="DIURNO"/>
    <n v="0"/>
    <n v="7"/>
    <n v="987"/>
    <n v="21013"/>
    <s v="CREMA"/>
    <n v="7.4"/>
    <n v="0"/>
    <n v="0"/>
    <n v="97.02"/>
    <n v="99.7"/>
    <n v="110"/>
    <n v="906.36363636363637"/>
    <x v="0"/>
    <x v="0"/>
    <n v="5"/>
    <n v="1"/>
    <n v="73.5"/>
  </r>
  <r>
    <d v="2025-02-12T20:56:00"/>
    <s v="INYECTADO"/>
    <x v="3"/>
    <x v="18"/>
    <s v="JUAN CARLOS CEDENO"/>
    <s v="SEGUNDA"/>
    <s v="."/>
    <s v="PP INY MOLIDO"/>
    <x v="3"/>
    <s v="CERNIDOR CASTILLO-AZUL"/>
    <n v="212"/>
    <n v="2"/>
    <n v="31.2"/>
    <s v="DIURNO"/>
    <n v="0"/>
    <n v="6"/>
    <n v="958"/>
    <n v="19369"/>
    <s v="LILA"/>
    <n v="15"/>
    <n v="0"/>
    <n v="0"/>
    <n v="15.9"/>
    <n v="31.2"/>
    <n v="75"/>
    <n v="416"/>
    <x v="0"/>
    <x v="0"/>
    <n v="2"/>
    <n v="2"/>
    <n v="35.333333333333336"/>
  </r>
  <r>
    <d v="2025-02-12T20:56:00"/>
    <s v="INYECTADO"/>
    <x v="3"/>
    <x v="18"/>
    <s v="JUAN CARLOS CEDENO"/>
    <s v="SEGUNDA"/>
    <s v="."/>
    <s v="PP INY MOLIDO"/>
    <x v="3"/>
    <s v="CERNIDOR CASTILLO-LILA"/>
    <n v="287"/>
    <n v="2"/>
    <n v="42.2"/>
    <s v="DIURNO"/>
    <n v="0"/>
    <n v="8"/>
    <n v="958"/>
    <n v="19369"/>
    <s v="AZUL"/>
    <n v="3.6"/>
    <n v="0"/>
    <n v="0"/>
    <n v="21.524999999999999"/>
    <n v="42.2"/>
    <n v="75"/>
    <n v="562.66666666666663"/>
    <x v="0"/>
    <x v="0"/>
    <n v="2"/>
    <n v="2"/>
    <n v="47.833333333333336"/>
  </r>
  <r>
    <d v="2025-02-12T20:56:00"/>
    <s v="INYECTADO"/>
    <x v="3"/>
    <x v="19"/>
    <s v="GABRIEL REQUENA"/>
    <s v="VIRGEN"/>
    <s v="PP CLARIFICADO"/>
    <s v="."/>
    <x v="17"/>
    <s v="TAPA DE ORGANIZADOR #2 CARAMELO-VERDE"/>
    <n v="893"/>
    <n v="9"/>
    <n v="38.799999999999997"/>
    <s v="DIURNO"/>
    <n v="0"/>
    <n v="8"/>
    <n v="961"/>
    <n v="19370"/>
    <s v="VERDE"/>
    <n v="7.7"/>
    <n v="0"/>
    <n v="0"/>
    <n v="18.753"/>
    <n v="38.799999999999997"/>
    <n v="21"/>
    <n v="1847.6190476190477"/>
    <x v="0"/>
    <x v="0"/>
    <n v="2"/>
    <n v="2"/>
    <n v="148.83333333333334"/>
  </r>
  <r>
    <d v="2025-02-12T20:56:00"/>
    <s v="INYECTADO"/>
    <x v="3"/>
    <x v="20"/>
    <s v="CRISALIDA ZAPATA"/>
    <s v="VIRGEN"/>
    <s v="PP CLARIFICADO"/>
    <s v="."/>
    <x v="17"/>
    <s v="TAPA DE ORGANIZADOR #2 CARAMELO-VERDE"/>
    <n v="623"/>
    <n v="6"/>
    <n v="27.1"/>
    <s v="DIURNO"/>
    <n v="0"/>
    <n v="6"/>
    <n v="961"/>
    <n v="19371"/>
    <s v="VERDE"/>
    <n v="4"/>
    <n v="0"/>
    <n v="0"/>
    <n v="13.083"/>
    <n v="27.1"/>
    <n v="21"/>
    <n v="1290.4761904761904"/>
    <x v="0"/>
    <x v="0"/>
    <n v="2"/>
    <n v="2"/>
    <n v="103.83333333333333"/>
  </r>
  <r>
    <d v="2025-02-12T20:56:00"/>
    <s v="INYECTADO"/>
    <x v="3"/>
    <x v="20"/>
    <s v="CRISALIDA ZAPATA"/>
    <s v="VIRGEN"/>
    <s v="PP CLARIFICADO"/>
    <s v="."/>
    <x v="17"/>
    <s v="TAPA DE ORGANIZADOR #2 CARAMELO-AMARILLO"/>
    <n v="578"/>
    <n v="5"/>
    <n v="25.1"/>
    <s v="DIURNO"/>
    <n v="0"/>
    <n v="5"/>
    <n v="961"/>
    <n v="19371"/>
    <s v="AMARILLO"/>
    <n v="0.8"/>
    <n v="0"/>
    <n v="0"/>
    <n v="12.138"/>
    <n v="25.1"/>
    <n v="21"/>
    <n v="1195.2380952380952"/>
    <x v="0"/>
    <x v="0"/>
    <n v="2"/>
    <n v="2"/>
    <n v="96.333333333333329"/>
  </r>
  <r>
    <d v="2025-02-12T20:56:00"/>
    <s v="INYECTADO"/>
    <x v="3"/>
    <x v="21"/>
    <s v="CRISALIDA ZAPATA"/>
    <s v="VIRGEN"/>
    <s v="PP CLARIFICADO"/>
    <s v="."/>
    <x v="17"/>
    <s v="TAPA DE ORGANIZADOR #2 CARAMELO-AMARILLO"/>
    <n v="559"/>
    <n v="5"/>
    <n v="23.7"/>
    <s v="DIURNO"/>
    <n v="0"/>
    <n v="5"/>
    <n v="961"/>
    <n v="19372"/>
    <s v="AMARILLO"/>
    <n v="2.9"/>
    <n v="0"/>
    <n v="0"/>
    <n v="11.739000000000001"/>
    <n v="23.7"/>
    <n v="21"/>
    <n v="1128.5714285714287"/>
    <x v="0"/>
    <x v="0"/>
    <n v="2"/>
    <n v="2"/>
    <n v="93.166666666666671"/>
  </r>
  <r>
    <d v="2025-02-12T20:56:00"/>
    <s v="INYECTADO"/>
    <x v="3"/>
    <x v="21"/>
    <s v="CRISALIDA ZAPATA"/>
    <s v="VIRGEN"/>
    <s v="PP CLARIFICADO"/>
    <s v="."/>
    <x v="17"/>
    <s v="TAPA DE ORGANIZADOR #2 CARAMELO-FUCSIA"/>
    <n v="551"/>
    <n v="5"/>
    <n v="23.6"/>
    <s v="DIURNO"/>
    <n v="0"/>
    <n v="5"/>
    <n v="961"/>
    <n v="19372"/>
    <s v="FUCSIA"/>
    <n v="6.2"/>
    <n v="0"/>
    <n v="0"/>
    <n v="11.571"/>
    <n v="23.6"/>
    <n v="21"/>
    <n v="1123.8095238095239"/>
    <x v="0"/>
    <x v="0"/>
    <n v="2"/>
    <n v="2"/>
    <n v="91.833333333333329"/>
  </r>
  <r>
    <d v="2025-02-12T20:56:00"/>
    <s v="INYECTADO"/>
    <x v="3"/>
    <x v="22"/>
    <s v="CRISALIDA ZAPATA"/>
    <s v="VIRGEN"/>
    <s v="PP CLARIFICADO"/>
    <s v="."/>
    <x v="17"/>
    <s v="TAPA DE ORGANIZADOR #2 CARAMELO-FUCSIA"/>
    <n v="632"/>
    <n v="6"/>
    <n v="27.4"/>
    <s v="DIURNO"/>
    <n v="0"/>
    <n v="6"/>
    <n v="961"/>
    <n v="19373"/>
    <s v="FUCSIA"/>
    <n v="4.3"/>
    <n v="0"/>
    <n v="0"/>
    <n v="13.272"/>
    <n v="27.4"/>
    <n v="21"/>
    <n v="1304.7619047619048"/>
    <x v="0"/>
    <x v="0"/>
    <n v="2"/>
    <n v="2"/>
    <n v="105.33333333333333"/>
  </r>
  <r>
    <d v="2025-02-12T20:56:00"/>
    <s v="INYECTADO"/>
    <x v="3"/>
    <x v="22"/>
    <s v="CRISALIDA ZAPATA"/>
    <s v="VIRGEN"/>
    <s v="PP CLARIFICADO"/>
    <s v="."/>
    <x v="17"/>
    <s v="TAPA DE ORGANIZADOR #2 CARAMELO-ROJO"/>
    <n v="247"/>
    <n v="2"/>
    <n v="10.7"/>
    <s v="DIURNO"/>
    <n v="0"/>
    <n v="2"/>
    <n v="961"/>
    <n v="19373"/>
    <s v="ROJO"/>
    <n v="3.2"/>
    <n v="0"/>
    <n v="0"/>
    <n v="5.1870000000000003"/>
    <n v="10.7"/>
    <n v="21"/>
    <n v="509.52380952380952"/>
    <x v="0"/>
    <x v="0"/>
    <n v="2"/>
    <n v="2"/>
    <n v="41.166666666666664"/>
  </r>
  <r>
    <d v="2025-02-12T20:56:00"/>
    <s v="INYECTADO"/>
    <x v="3"/>
    <x v="22"/>
    <s v="WALTER GUEVARA"/>
    <s v="VIRGEN"/>
    <s v="PP CLARIFICADO"/>
    <s v="."/>
    <x v="17"/>
    <s v="TAPA DE ORGANIZADOR #2-TRANSPARENTE"/>
    <n v="1184"/>
    <n v="11"/>
    <n v="51.5"/>
    <s v="NOCTURNO"/>
    <n v="0"/>
    <n v="10"/>
    <n v="961"/>
    <n v="19374"/>
    <s v="TRANSPARENTE"/>
    <n v="11.4"/>
    <n v="0"/>
    <n v="0"/>
    <n v="24.864000000000001"/>
    <n v="51.5"/>
    <n v="21"/>
    <n v="2452.3809523809523"/>
    <x v="0"/>
    <x v="0"/>
    <n v="2"/>
    <n v="2"/>
    <n v="197.33333333333334"/>
  </r>
  <r>
    <d v="2025-02-12T21:29:00"/>
    <s v="INYECTADO"/>
    <x v="7"/>
    <x v="0"/>
    <s v="LUIS RENGIFO"/>
    <s v="SEGUNDA"/>
    <s v="."/>
    <s v="MIXTO"/>
    <x v="18"/>
    <s v="BALDE ROMANO-AZUL"/>
    <n v="240"/>
    <n v="2"/>
    <n v="37.6"/>
    <s v="DIURNO"/>
    <n v="0"/>
    <n v="2"/>
    <n v="950"/>
    <n v="20904"/>
    <s v="AZUL"/>
    <n v="7.4"/>
    <n v="0"/>
    <n v="0"/>
    <n v="19.920000000000002"/>
    <n v="37.6"/>
    <n v="83"/>
    <n v="453.01204819277109"/>
    <x v="0"/>
    <x v="0"/>
    <n v="1"/>
    <n v="2"/>
    <n v="40"/>
  </r>
  <r>
    <d v="2025-02-12T21:29:00"/>
    <s v="INYECTADO"/>
    <x v="7"/>
    <x v="0"/>
    <s v="LUIS RENGIFO"/>
    <s v="SEGUNDA"/>
    <s v="."/>
    <s v="MIXTO"/>
    <x v="18"/>
    <s v="BALDE ROMANO-ROJO"/>
    <n v="242"/>
    <n v="2"/>
    <n v="37.9"/>
    <s v="DIURNO"/>
    <n v="0"/>
    <n v="2"/>
    <n v="950"/>
    <n v="20904"/>
    <s v="ROJO"/>
    <n v="11.9"/>
    <n v="0"/>
    <n v="0"/>
    <n v="20.085999999999999"/>
    <n v="37.9"/>
    <n v="83"/>
    <n v="456.62650602409639"/>
    <x v="0"/>
    <x v="0"/>
    <n v="1"/>
    <n v="2"/>
    <n v="40.333333333333336"/>
  </r>
  <r>
    <d v="2025-02-12T21:29:00"/>
    <s v="INYECTADO"/>
    <x v="7"/>
    <x v="0"/>
    <s v="LUIS RENGIFO"/>
    <s v="VIRGEN"/>
    <s v="PP CLARIFICADO"/>
    <s v="."/>
    <x v="18"/>
    <s v="BALDE ROMANO-AMARILLO"/>
    <n v="296"/>
    <n v="3"/>
    <n v="30.7"/>
    <s v="DIURNO"/>
    <n v="0"/>
    <n v="2"/>
    <n v="950"/>
    <n v="20904"/>
    <s v="AMARILLO"/>
    <n v="0"/>
    <n v="0"/>
    <n v="0"/>
    <n v="24.568000000000001"/>
    <n v="30.7"/>
    <n v="83"/>
    <n v="369.87951807228916"/>
    <x v="0"/>
    <x v="0"/>
    <n v="1"/>
    <n v="2"/>
    <n v="49.333333333333336"/>
  </r>
  <r>
    <d v="2025-02-12T21:29:00"/>
    <s v="INYECTADO"/>
    <x v="7"/>
    <x v="0"/>
    <s v="LUIS RENGIFO"/>
    <s v="SEGUNDA"/>
    <s v="."/>
    <s v="MIXTO"/>
    <x v="18"/>
    <s v="BALDE ROMANO-VERDE"/>
    <n v="253"/>
    <n v="3"/>
    <n v="38.9"/>
    <s v="DIURNO"/>
    <n v="0"/>
    <n v="3"/>
    <n v="950"/>
    <n v="20904"/>
    <s v="VERDE"/>
    <n v="14"/>
    <n v="0"/>
    <n v="0"/>
    <n v="20.998999999999999"/>
    <n v="38.9"/>
    <n v="83"/>
    <n v="468.67469879518075"/>
    <x v="0"/>
    <x v="0"/>
    <n v="1"/>
    <n v="2"/>
    <n v="42.166666666666664"/>
  </r>
  <r>
    <d v="2025-02-12T21:29:00"/>
    <s v="INYECTADO"/>
    <x v="7"/>
    <x v="0"/>
    <s v="JUAN MANUEL PEREZ"/>
    <s v="SEGUNDA"/>
    <s v="."/>
    <s v="MIXTO"/>
    <x v="18"/>
    <s v="BALDE ROMANO-FUCSIA"/>
    <n v="240"/>
    <n v="3"/>
    <n v="37.6"/>
    <s v="NOCTURNO"/>
    <n v="0"/>
    <n v="2"/>
    <n v="950"/>
    <n v="20905"/>
    <s v="FUCSIA"/>
    <n v="20"/>
    <n v="0"/>
    <n v="0"/>
    <n v="19.920000000000002"/>
    <n v="37.6"/>
    <n v="83"/>
    <n v="453.01204819277109"/>
    <x v="0"/>
    <x v="0"/>
    <n v="1"/>
    <n v="2"/>
    <n v="40"/>
  </r>
  <r>
    <d v="2025-02-12T21:29:00"/>
    <s v="INYECTADO"/>
    <x v="7"/>
    <x v="0"/>
    <s v="JUAN MANUEL PEREZ"/>
    <s v="SEGUNDA"/>
    <s v="."/>
    <s v="MIXTO"/>
    <x v="18"/>
    <s v="BALDE ROMANO-LILA"/>
    <n v="269"/>
    <n v="2"/>
    <n v="42.2"/>
    <s v="NOCTURNO"/>
    <n v="0"/>
    <n v="3"/>
    <n v="950"/>
    <n v="20905"/>
    <s v="LILA"/>
    <n v="22"/>
    <n v="0"/>
    <n v="0"/>
    <n v="22.327000000000002"/>
    <n v="42.2"/>
    <n v="83"/>
    <n v="508.43373493975906"/>
    <x v="0"/>
    <x v="0"/>
    <n v="1"/>
    <n v="2"/>
    <n v="44.833333333333336"/>
  </r>
  <r>
    <d v="2025-02-12T21:29:00"/>
    <s v="INYECTADO"/>
    <x v="7"/>
    <x v="0"/>
    <s v="JUAN MANUEL PEREZ"/>
    <s v="SEGUNDA"/>
    <s v="."/>
    <s v="MIXTO"/>
    <x v="18"/>
    <s v="BALDE ROMANO-AZUL"/>
    <n v="120"/>
    <n v="1"/>
    <n v="18.8"/>
    <s v="NOCTURNO"/>
    <n v="0"/>
    <n v="1"/>
    <n v="950"/>
    <n v="20905"/>
    <s v="AZUL"/>
    <n v="0"/>
    <n v="0"/>
    <n v="0"/>
    <n v="9.9600000000000009"/>
    <n v="18.8"/>
    <n v="83"/>
    <n v="226.50602409638554"/>
    <x v="0"/>
    <x v="0"/>
    <n v="1"/>
    <n v="2"/>
    <n v="20"/>
  </r>
  <r>
    <d v="2025-02-12T21:29:00"/>
    <s v="INYECTADO"/>
    <x v="7"/>
    <x v="1"/>
    <s v="LUIS RENGIFO"/>
    <s v="SEGUNDA"/>
    <s v="."/>
    <s v="MIXTO"/>
    <x v="18"/>
    <s v="BALDE ROMANO-AZUL"/>
    <n v="183"/>
    <n v="1"/>
    <n v="28.5"/>
    <s v="DIURNO"/>
    <n v="0"/>
    <n v="1"/>
    <n v="950"/>
    <n v="20906"/>
    <s v="AZUL"/>
    <n v="0"/>
    <n v="0"/>
    <n v="0"/>
    <n v="15.189"/>
    <n v="28.5"/>
    <n v="83"/>
    <n v="343.37349397590361"/>
    <x v="0"/>
    <x v="0"/>
    <n v="1"/>
    <n v="2"/>
    <n v="30.5"/>
  </r>
  <r>
    <d v="2025-02-12T21:29:00"/>
    <s v="INYECTADO"/>
    <x v="7"/>
    <x v="1"/>
    <s v="LUIS RENGIFO"/>
    <s v="VIRGEN"/>
    <s v="PP CLARIFICADO"/>
    <s v="."/>
    <x v="18"/>
    <s v="BALDE ROMANO-AMARILLO"/>
    <n v="117"/>
    <n v="1"/>
    <n v="18.2"/>
    <s v="DIURNO"/>
    <n v="0"/>
    <n v="1"/>
    <n v="950"/>
    <n v="20906"/>
    <s v="AMARILLO"/>
    <n v="0"/>
    <n v="0"/>
    <n v="0"/>
    <n v="9.7110000000000003"/>
    <n v="18.2"/>
    <n v="83"/>
    <n v="219.27710843373495"/>
    <x v="0"/>
    <x v="0"/>
    <n v="1"/>
    <n v="2"/>
    <n v="19.5"/>
  </r>
  <r>
    <d v="2025-02-12T21:29:00"/>
    <s v="INYECTADO"/>
    <x v="7"/>
    <x v="1"/>
    <s v="LUIS RENGIFO"/>
    <s v="SEGUNDA"/>
    <s v="."/>
    <s v="MIXTO"/>
    <x v="18"/>
    <s v="BALDE ROMANO-VERDE"/>
    <n v="119"/>
    <n v="1"/>
    <n v="18.5"/>
    <s v="DIURNO"/>
    <n v="0"/>
    <n v="1"/>
    <n v="950"/>
    <n v="20906"/>
    <s v="VERDE"/>
    <n v="0"/>
    <n v="0"/>
    <n v="0"/>
    <n v="9.8770000000000007"/>
    <n v="18.5"/>
    <n v="83"/>
    <n v="222.89156626506025"/>
    <x v="0"/>
    <x v="0"/>
    <n v="1"/>
    <n v="2"/>
    <n v="19.833333333333332"/>
  </r>
  <r>
    <d v="2025-02-12T21:29:00"/>
    <s v="INYECTADO"/>
    <x v="7"/>
    <x v="1"/>
    <s v="LUIS RENGIFO"/>
    <s v="SEGUNDA"/>
    <s v="."/>
    <s v="MIXTO"/>
    <x v="18"/>
    <s v="BALDE ROMANO-ROJO"/>
    <n v="237"/>
    <n v="2"/>
    <n v="36.9"/>
    <s v="DIURNO"/>
    <n v="0"/>
    <n v="2"/>
    <n v="950"/>
    <n v="20906"/>
    <s v="ROJO"/>
    <n v="0"/>
    <n v="0"/>
    <n v="0"/>
    <n v="19.670999999999999"/>
    <n v="36.9"/>
    <n v="83"/>
    <n v="444.57831325301203"/>
    <x v="0"/>
    <x v="0"/>
    <n v="1"/>
    <n v="2"/>
    <n v="39.5"/>
  </r>
  <r>
    <d v="2025-02-12T21:29:00"/>
    <s v="INYECTADO"/>
    <x v="7"/>
    <x v="1"/>
    <s v="LUIS RENGIFO"/>
    <s v="SEGUNDA"/>
    <s v="."/>
    <s v="MIXTO"/>
    <x v="18"/>
    <s v="BALDE ROMANO-FUCSIA"/>
    <n v="110"/>
    <n v="1"/>
    <n v="17.100000000000001"/>
    <s v="DIURNO"/>
    <n v="0"/>
    <n v="1"/>
    <n v="950"/>
    <n v="20906"/>
    <s v="FUCSIA"/>
    <n v="0"/>
    <n v="0"/>
    <n v="0"/>
    <n v="9.1300000000000008"/>
    <n v="17.100000000000001"/>
    <n v="83"/>
    <n v="206.02409638554218"/>
    <x v="0"/>
    <x v="0"/>
    <n v="1"/>
    <n v="2"/>
    <n v="18.333333333333332"/>
  </r>
  <r>
    <d v="2025-02-12T21:29:00"/>
    <s v="INYECTADO"/>
    <x v="7"/>
    <x v="1"/>
    <s v="LUIS RENGIFO"/>
    <s v="SEGUNDA"/>
    <s v="."/>
    <s v="MIXTO"/>
    <x v="18"/>
    <s v="BALDE ROMANO-LILA"/>
    <n v="356"/>
    <n v="3"/>
    <n v="55.5"/>
    <s v="DIURNO"/>
    <n v="0"/>
    <n v="3"/>
    <n v="950"/>
    <n v="20906"/>
    <s v="LILA"/>
    <n v="0"/>
    <n v="0"/>
    <n v="0"/>
    <n v="29.547999999999998"/>
    <n v="55.5"/>
    <n v="83"/>
    <n v="668.67469879518069"/>
    <x v="0"/>
    <x v="0"/>
    <n v="1"/>
    <n v="2"/>
    <n v="59.333333333333336"/>
  </r>
  <r>
    <d v="2025-02-12T21:29:00"/>
    <s v="INYECTADO"/>
    <x v="7"/>
    <x v="1"/>
    <s v="WALTER GUEVARA"/>
    <s v="SEGUNDA"/>
    <s v="."/>
    <s v="MIXTO"/>
    <x v="18"/>
    <s v="BALDE ROMANO-ROJO"/>
    <n v="239"/>
    <n v="2"/>
    <n v="37.200000000000003"/>
    <s v="NOCTURNO"/>
    <n v="0"/>
    <n v="2"/>
    <n v="950"/>
    <n v="20907"/>
    <s v="ROJO"/>
    <n v="0"/>
    <n v="0"/>
    <n v="0"/>
    <n v="19.837"/>
    <n v="37.200000000000003"/>
    <n v="83"/>
    <n v="448.19277108433732"/>
    <x v="0"/>
    <x v="0"/>
    <n v="1"/>
    <n v="2"/>
    <n v="39.833333333333336"/>
  </r>
  <r>
    <d v="2025-02-12T21:29:00"/>
    <s v="INYECTADO"/>
    <x v="7"/>
    <x v="1"/>
    <s v="WALTER GUEVARA"/>
    <s v="SEGUNDA"/>
    <s v="."/>
    <s v="MIXTO"/>
    <x v="18"/>
    <s v="BALDE ROMANO-VERDE"/>
    <n v="234"/>
    <n v="2"/>
    <n v="36.5"/>
    <s v="NOCTURNO"/>
    <n v="0"/>
    <n v="3"/>
    <n v="950"/>
    <n v="20907"/>
    <s v="VERDE"/>
    <n v="0"/>
    <n v="0"/>
    <n v="0"/>
    <n v="19.422000000000001"/>
    <n v="36.5"/>
    <n v="83"/>
    <n v="439.75903614457832"/>
    <x v="0"/>
    <x v="0"/>
    <n v="1"/>
    <n v="2"/>
    <n v="39"/>
  </r>
  <r>
    <d v="2025-02-12T21:29:00"/>
    <s v="INYECTADO"/>
    <x v="7"/>
    <x v="1"/>
    <s v="WALTER GUEVARA"/>
    <s v="VIRGEN"/>
    <s v="PP CLARIFICADO"/>
    <s v="."/>
    <x v="18"/>
    <s v="BALDE ROMANO-AMARILLO"/>
    <n v="274"/>
    <n v="3"/>
    <n v="42.7"/>
    <s v="NOCTURNO"/>
    <n v="0"/>
    <n v="3"/>
    <n v="950"/>
    <n v="20907"/>
    <s v="AMARILLO"/>
    <n v="0"/>
    <n v="0"/>
    <n v="0"/>
    <n v="22.742000000000001"/>
    <n v="42.7"/>
    <n v="83"/>
    <n v="514.45783132530119"/>
    <x v="0"/>
    <x v="0"/>
    <n v="1"/>
    <n v="2"/>
    <n v="45.666666666666664"/>
  </r>
  <r>
    <d v="2025-02-12T21:29:00"/>
    <s v="INYECTADO"/>
    <x v="7"/>
    <x v="1"/>
    <s v="WALTER GUEVARA"/>
    <s v="SEGUNDA"/>
    <s v="."/>
    <s v="MIXTO"/>
    <x v="18"/>
    <s v="BALDE ROMANO-FUCSIA"/>
    <n v="359"/>
    <n v="3"/>
    <n v="56"/>
    <s v="NOCTURNO"/>
    <n v="0"/>
    <n v="3"/>
    <n v="950"/>
    <n v="20907"/>
    <s v="FUCSIA"/>
    <n v="0"/>
    <n v="0"/>
    <n v="0"/>
    <n v="29.797000000000001"/>
    <n v="56"/>
    <n v="83"/>
    <n v="674.69879518072287"/>
    <x v="0"/>
    <x v="0"/>
    <n v="1"/>
    <n v="2"/>
    <n v="59.833333333333336"/>
  </r>
  <r>
    <d v="2025-02-12T21:29:00"/>
    <s v="INYECTADO"/>
    <x v="7"/>
    <x v="1"/>
    <s v="WALTER GUEVARA"/>
    <s v="SEGUNDA"/>
    <s v="."/>
    <s v="MIXTO"/>
    <x v="18"/>
    <s v="BALDE ROMANO-AZUL"/>
    <n v="70"/>
    <n v="1"/>
    <n v="10.9"/>
    <s v="NOCTURNO"/>
    <n v="0"/>
    <n v="1"/>
    <n v="950"/>
    <n v="20907"/>
    <s v="AZUL"/>
    <n v="0"/>
    <n v="0"/>
    <n v="0"/>
    <n v="5.81"/>
    <n v="10.9"/>
    <n v="83"/>
    <n v="131.32530120481928"/>
    <x v="0"/>
    <x v="0"/>
    <n v="1"/>
    <n v="2"/>
    <n v="11.666666666666666"/>
  </r>
  <r>
    <d v="2025-02-12T21:29:00"/>
    <s v="INYECTADO"/>
    <x v="7"/>
    <x v="2"/>
    <s v="ALGIMIRO CALDERAS"/>
    <s v="SEGUNDA"/>
    <s v="."/>
    <s v="MIXTO"/>
    <x v="18"/>
    <s v="BALDE ROMANO-VERDE"/>
    <n v="244"/>
    <n v="2"/>
    <n v="38"/>
    <s v="DIURNO"/>
    <n v="0"/>
    <n v="2"/>
    <n v="950"/>
    <n v="20908"/>
    <s v="VERDE"/>
    <n v="0"/>
    <n v="0"/>
    <n v="0"/>
    <n v="20.251999999999999"/>
    <n v="38"/>
    <n v="83"/>
    <n v="457.8313253012048"/>
    <x v="0"/>
    <x v="0"/>
    <n v="1"/>
    <n v="2"/>
    <n v="40.666666666666664"/>
  </r>
  <r>
    <d v="2025-02-12T21:29:00"/>
    <s v="INYECTADO"/>
    <x v="7"/>
    <x v="2"/>
    <s v="ALGIMIRO CALDERAS"/>
    <s v="SEGUNDA"/>
    <s v="."/>
    <s v="MIXTO"/>
    <x v="18"/>
    <s v="BALDE ROMANO-FUCSIA"/>
    <n v="240"/>
    <n v="2"/>
    <n v="37.4"/>
    <s v="DIURNO"/>
    <n v="0"/>
    <n v="2"/>
    <n v="950"/>
    <n v="20908"/>
    <s v="FUCSIA"/>
    <n v="0"/>
    <n v="0"/>
    <n v="0"/>
    <n v="19.920000000000002"/>
    <n v="37.4"/>
    <n v="83"/>
    <n v="450.60240963855421"/>
    <x v="0"/>
    <x v="0"/>
    <n v="1"/>
    <n v="2"/>
    <n v="40"/>
  </r>
  <r>
    <d v="2025-02-12T21:29:00"/>
    <s v="INYECTADO"/>
    <x v="7"/>
    <x v="2"/>
    <s v="ALGIMIRO CALDERAS"/>
    <s v="VIRGEN"/>
    <s v="PP CLARIFICADO"/>
    <s v="."/>
    <x v="18"/>
    <s v="BALDE ROMANO-AMARILLO"/>
    <n v="204"/>
    <n v="2"/>
    <n v="31.8"/>
    <s v="DIURNO"/>
    <n v="0"/>
    <n v="2"/>
    <n v="950"/>
    <n v="20908"/>
    <s v="AMARILLO"/>
    <n v="0"/>
    <n v="0"/>
    <n v="0"/>
    <n v="16.931999999999999"/>
    <n v="31.8"/>
    <n v="83"/>
    <n v="383.13253012048193"/>
    <x v="0"/>
    <x v="0"/>
    <n v="1"/>
    <n v="2"/>
    <n v="34"/>
  </r>
  <r>
    <d v="2025-02-12T21:29:00"/>
    <s v="INYECTADO"/>
    <x v="7"/>
    <x v="2"/>
    <s v="ALGIMIRO CALDERAS"/>
    <s v="SEGUNDA"/>
    <s v="."/>
    <s v="MIXTO"/>
    <x v="18"/>
    <s v="BALDE ROMANO-LILA"/>
    <n v="241"/>
    <n v="2"/>
    <n v="37.5"/>
    <s v="DIURNO"/>
    <n v="0"/>
    <n v="2"/>
    <n v="950"/>
    <n v="20908"/>
    <s v="LILA"/>
    <n v="0"/>
    <n v="0"/>
    <n v="0"/>
    <n v="20.003"/>
    <n v="37.5"/>
    <n v="83"/>
    <n v="451.80722891566268"/>
    <x v="0"/>
    <x v="0"/>
    <n v="1"/>
    <n v="2"/>
    <n v="40.166666666666664"/>
  </r>
  <r>
    <d v="2025-02-12T21:29:00"/>
    <s v="INYECTADO"/>
    <x v="7"/>
    <x v="2"/>
    <s v="ALGIMIRO CALDERAS"/>
    <s v="SEGUNDA"/>
    <s v="."/>
    <s v="MIXTO"/>
    <x v="18"/>
    <s v="BALDE ROMANO-AZUL"/>
    <n v="120"/>
    <n v="1"/>
    <n v="18.7"/>
    <s v="DIURNO"/>
    <n v="0"/>
    <n v="1"/>
    <n v="950"/>
    <n v="20908"/>
    <s v="AZUL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2"/>
    <s v="JUAN MANUEL PEREZ"/>
    <s v="SEGUNDA"/>
    <s v="."/>
    <s v="MIXTO"/>
    <x v="18"/>
    <s v="BALDE ROMANO-AZUL"/>
    <n v="120"/>
    <n v="1"/>
    <n v="18.7"/>
    <s v="NOCTURNO"/>
    <n v="0"/>
    <n v="1"/>
    <n v="950"/>
    <n v="20909"/>
    <s v="AZUL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2"/>
    <s v="JUAN MANUEL PEREZ"/>
    <s v="SEGUNDA"/>
    <s v="."/>
    <s v="MIXTO"/>
    <x v="18"/>
    <s v="BALDE ROMANO-ROJO"/>
    <n v="838"/>
    <n v="9"/>
    <n v="130.69999999999999"/>
    <s v="NOCTURNO"/>
    <n v="0"/>
    <n v="7"/>
    <n v="950"/>
    <n v="20909"/>
    <s v="ROJO"/>
    <n v="0"/>
    <n v="0"/>
    <n v="0"/>
    <n v="69.554000000000002"/>
    <n v="130.69999999999999"/>
    <n v="83"/>
    <n v="1574.6987951807228"/>
    <x v="0"/>
    <x v="0"/>
    <n v="1"/>
    <n v="2"/>
    <n v="139.66666666666666"/>
  </r>
  <r>
    <d v="2025-02-12T21:29:00"/>
    <s v="INYECTADO"/>
    <x v="7"/>
    <x v="3"/>
    <s v="GABRIEL REQUENA"/>
    <s v="SEGUNDA"/>
    <s v="."/>
    <s v="MIXTO"/>
    <x v="18"/>
    <s v="BALDE ROMANO-LILA"/>
    <n v="120"/>
    <n v="1"/>
    <n v="18.7"/>
    <s v="DIURNO"/>
    <n v="0"/>
    <n v="1"/>
    <n v="950"/>
    <n v="20910"/>
    <s v="LILA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3"/>
    <s v="GABRIEL REQUENA"/>
    <s v="SEGUNDA"/>
    <s v="."/>
    <s v="MIXTO"/>
    <x v="18"/>
    <s v="BALDE ROMANO-FUCSIA"/>
    <n v="600"/>
    <n v="5"/>
    <n v="93.6"/>
    <s v="DIURNO"/>
    <n v="0"/>
    <n v="5"/>
    <n v="950"/>
    <n v="20910"/>
    <s v="FUCSIA"/>
    <n v="0"/>
    <n v="0"/>
    <n v="0"/>
    <n v="49.8"/>
    <n v="93.6"/>
    <n v="83"/>
    <n v="1127.7108433734941"/>
    <x v="0"/>
    <x v="0"/>
    <n v="1"/>
    <n v="2"/>
    <n v="100"/>
  </r>
  <r>
    <d v="2025-02-12T21:29:00"/>
    <s v="INYECTADO"/>
    <x v="7"/>
    <x v="3"/>
    <s v="FABIAN HERNANDEZ"/>
    <s v="SEGUNDA"/>
    <s v="."/>
    <s v="MIXTO"/>
    <x v="18"/>
    <s v="BALDE ROMANO-LILA"/>
    <n v="475"/>
    <n v="4"/>
    <n v="74.099999999999994"/>
    <s v="NOCTURNO"/>
    <n v="0"/>
    <n v="4"/>
    <n v="950"/>
    <n v="20911"/>
    <s v="LILA"/>
    <n v="2"/>
    <n v="0"/>
    <n v="0"/>
    <n v="39.424999999999997"/>
    <n v="74.099999999999994"/>
    <n v="83"/>
    <n v="892.77108433734941"/>
    <x v="0"/>
    <x v="0"/>
    <n v="1"/>
    <n v="2"/>
    <n v="79.166666666666671"/>
  </r>
  <r>
    <d v="2025-02-12T21:29:00"/>
    <s v="INYECTADO"/>
    <x v="7"/>
    <x v="3"/>
    <s v="FABIAN HERNANDEZ"/>
    <s v="SEGUNDA"/>
    <s v="."/>
    <s v="MIXTO"/>
    <x v="18"/>
    <s v="BALDE ROMANO-AZUL"/>
    <n v="469"/>
    <n v="4"/>
    <n v="73.099999999999994"/>
    <s v="NOCTURNO"/>
    <n v="0"/>
    <n v="4"/>
    <n v="950"/>
    <n v="20911"/>
    <s v="AZUL"/>
    <n v="1.2"/>
    <n v="0"/>
    <n v="0"/>
    <n v="38.927"/>
    <n v="73.099999999999994"/>
    <n v="83"/>
    <n v="880.72289156626505"/>
    <x v="0"/>
    <x v="0"/>
    <n v="1"/>
    <n v="2"/>
    <n v="78.166666666666671"/>
  </r>
  <r>
    <d v="2025-02-12T21:29:00"/>
    <s v="INYECTADO"/>
    <x v="7"/>
    <x v="3"/>
    <s v="SAID VILLAMIZAR"/>
    <s v="SEGUNDA"/>
    <s v="."/>
    <s v="MIXTO"/>
    <x v="18"/>
    <s v="BALDE ROMANO-AZUL"/>
    <n v="120"/>
    <n v="1"/>
    <n v="18.7"/>
    <s v="DIURNO"/>
    <n v="0"/>
    <n v="1"/>
    <n v="950"/>
    <n v="20912"/>
    <s v="AZUL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3"/>
    <s v="SAID VILLAMIZAR"/>
    <s v="VIRGEN"/>
    <s v="PP CLARIFICADO"/>
    <s v="."/>
    <x v="18"/>
    <s v="BALDE ROMANO-AMARILLO"/>
    <n v="240"/>
    <n v="2"/>
    <n v="37.4"/>
    <s v="DIURNO"/>
    <n v="0"/>
    <n v="2"/>
    <n v="950"/>
    <n v="20912"/>
    <s v="AMARILLO"/>
    <n v="0"/>
    <n v="0"/>
    <n v="0"/>
    <n v="19.920000000000002"/>
    <n v="37.4"/>
    <n v="83"/>
    <n v="450.60240963855421"/>
    <x v="0"/>
    <x v="0"/>
    <n v="1"/>
    <n v="2"/>
    <n v="40"/>
  </r>
  <r>
    <d v="2025-02-12T21:29:00"/>
    <s v="INYECTADO"/>
    <x v="7"/>
    <x v="3"/>
    <s v="SAID VILLAMIZAR"/>
    <s v="SEGUNDA"/>
    <s v="."/>
    <s v="MIXTO"/>
    <x v="18"/>
    <s v="BALDE ROMANO-VERDE"/>
    <n v="597"/>
    <n v="5"/>
    <n v="93.1"/>
    <s v="DIURNO"/>
    <n v="0"/>
    <n v="5"/>
    <n v="950"/>
    <n v="20912"/>
    <s v="VERDE"/>
    <n v="0"/>
    <n v="0"/>
    <n v="0"/>
    <n v="49.551000000000002"/>
    <n v="93.1"/>
    <n v="83"/>
    <n v="1121.6867469879519"/>
    <x v="0"/>
    <x v="0"/>
    <n v="1"/>
    <n v="2"/>
    <n v="99.5"/>
  </r>
  <r>
    <d v="2025-02-12T21:29:00"/>
    <s v="INYECTADO"/>
    <x v="7"/>
    <x v="18"/>
    <s v="LUIS RENGIFO"/>
    <s v="VIRGEN"/>
    <s v="PP CLARIFICADO"/>
    <s v="."/>
    <x v="18"/>
    <s v="BALDE ROMANO-AMARILLO"/>
    <n v="600"/>
    <n v="5"/>
    <n v="93.6"/>
    <s v="DIURNO"/>
    <n v="0"/>
    <n v="5"/>
    <n v="950"/>
    <n v="20913"/>
    <s v="AMARILLO"/>
    <n v="0"/>
    <n v="0"/>
    <n v="0"/>
    <n v="49.8"/>
    <n v="93.6"/>
    <n v="83"/>
    <n v="1127.7108433734941"/>
    <x v="0"/>
    <x v="0"/>
    <n v="2"/>
    <n v="2"/>
    <n v="100"/>
  </r>
  <r>
    <d v="2025-02-12T21:29:00"/>
    <s v="INYECTADO"/>
    <x v="7"/>
    <x v="18"/>
    <s v="LUIS RENGIFO"/>
    <s v="SEGUNDA"/>
    <s v="."/>
    <s v="MIXTO"/>
    <x v="18"/>
    <s v="BALDE ROMANO-VERDE"/>
    <n v="469"/>
    <n v="4"/>
    <n v="73.099999999999994"/>
    <s v="DIURNO"/>
    <n v="0"/>
    <n v="4"/>
    <n v="950"/>
    <n v="20913"/>
    <s v="VERDE"/>
    <n v="0"/>
    <n v="0"/>
    <n v="0"/>
    <n v="38.927"/>
    <n v="73.099999999999994"/>
    <n v="83"/>
    <n v="880.72289156626505"/>
    <x v="0"/>
    <x v="0"/>
    <n v="2"/>
    <n v="2"/>
    <n v="78.166666666666671"/>
  </r>
  <r>
    <d v="2025-02-12T21:29:00"/>
    <s v="INYECTADO"/>
    <x v="7"/>
    <x v="18"/>
    <s v="WALTER GUEVARA"/>
    <s v="SEGUNDA"/>
    <s v="."/>
    <s v="MIXTO"/>
    <x v="18"/>
    <s v="BALDE ROMANO-VERDE"/>
    <n v="128"/>
    <n v="1"/>
    <n v="19.899999999999999"/>
    <s v="NOCTURNO"/>
    <n v="0"/>
    <n v="1"/>
    <n v="950"/>
    <n v="20914"/>
    <s v="VERDE"/>
    <n v="1.4"/>
    <n v="0"/>
    <n v="0"/>
    <n v="10.624000000000001"/>
    <n v="19.899999999999999"/>
    <n v="83"/>
    <n v="239.75903614457832"/>
    <x v="0"/>
    <x v="0"/>
    <n v="2"/>
    <n v="2"/>
    <n v="21.333333333333332"/>
  </r>
  <r>
    <d v="2025-02-12T21:29:00"/>
    <s v="INYECTADO"/>
    <x v="7"/>
    <x v="18"/>
    <s v="WALTER GUEVARA"/>
    <s v="SEGUNDA"/>
    <s v="."/>
    <s v="MIXTO"/>
    <x v="18"/>
    <s v="BALDE ROMANO-AZUL"/>
    <n v="606"/>
    <n v="6"/>
    <n v="94.5"/>
    <s v="NOCTURNO"/>
    <n v="0"/>
    <n v="6"/>
    <n v="950"/>
    <n v="20914"/>
    <s v="AZUL"/>
    <n v="5.3"/>
    <n v="0"/>
    <n v="0"/>
    <n v="50.298000000000002"/>
    <n v="94.5"/>
    <n v="83"/>
    <n v="1138.5542168674699"/>
    <x v="0"/>
    <x v="0"/>
    <n v="2"/>
    <n v="2"/>
    <n v="101"/>
  </r>
  <r>
    <d v="2025-02-12T21:29:00"/>
    <s v="INYECTADO"/>
    <x v="7"/>
    <x v="18"/>
    <s v="WALTER GUEVARA"/>
    <s v="SEGUNDA"/>
    <s v="."/>
    <s v="MIXTO"/>
    <x v="18"/>
    <s v="BALDE ROMANO-ROJO"/>
    <n v="487"/>
    <n v="4"/>
    <n v="75.900000000000006"/>
    <s v="NOCTURNO"/>
    <n v="0"/>
    <n v="4"/>
    <n v="950"/>
    <n v="20914"/>
    <s v="ROJO"/>
    <n v="1.2"/>
    <n v="0"/>
    <n v="0"/>
    <n v="40.420999999999999"/>
    <n v="75.900000000000006"/>
    <n v="83"/>
    <n v="914.45783132530119"/>
    <x v="0"/>
    <x v="0"/>
    <n v="2"/>
    <n v="2"/>
    <n v="81.166666666666671"/>
  </r>
  <r>
    <d v="2025-02-12T21:29:00"/>
    <s v="INYECTADO"/>
    <x v="7"/>
    <x v="19"/>
    <s v="ALGIMIRO CALDERAS"/>
    <s v="SEGUNDA"/>
    <s v="."/>
    <s v="MIXTO"/>
    <x v="18"/>
    <s v="BALDE ROMANO-LILA"/>
    <n v="596"/>
    <n v="5"/>
    <n v="92.9"/>
    <s v="DIURNO"/>
    <n v="0"/>
    <m/>
    <n v="950"/>
    <n v="20915"/>
    <s v="LILA"/>
    <n v="6.1"/>
    <n v="0"/>
    <n v="0"/>
    <n v="49.468000000000004"/>
    <n v="92.9"/>
    <n v="83"/>
    <n v="1119.2771084337348"/>
    <x v="0"/>
    <x v="0"/>
    <n v="2"/>
    <n v="2"/>
    <n v="99.333333333333329"/>
  </r>
  <r>
    <d v="2025-02-12T21:29:00"/>
    <s v="INYECTADO"/>
    <x v="7"/>
    <x v="19"/>
    <s v="ALGIMIRO CALDERAS"/>
    <s v="SEGUNDA"/>
    <s v="."/>
    <s v="MIXTO"/>
    <x v="18"/>
    <s v="BALDE ROMANO-ROJO"/>
    <n v="360"/>
    <n v="3"/>
    <n v="56.1"/>
    <s v="DIURNO"/>
    <n v="0"/>
    <n v="3"/>
    <n v="950"/>
    <n v="20915"/>
    <s v="ROJO"/>
    <n v="3.4"/>
    <n v="0"/>
    <n v="0"/>
    <n v="29.88"/>
    <n v="56.1"/>
    <n v="83"/>
    <n v="675.90361445783128"/>
    <x v="0"/>
    <x v="0"/>
    <n v="2"/>
    <n v="2"/>
    <n v="60"/>
  </r>
  <r>
    <d v="2025-02-12T21:29:00"/>
    <s v="INYECTADO"/>
    <x v="7"/>
    <x v="19"/>
    <s v="JUAN MANUEL PEREZ"/>
    <s v="SEGUNDA"/>
    <s v="."/>
    <s v="MIXTO"/>
    <x v="18"/>
    <s v="BALDE ROMANO-ROJO"/>
    <n v="361"/>
    <n v="3"/>
    <n v="56.1"/>
    <s v="NOCTURNO"/>
    <n v="0"/>
    <n v="3"/>
    <n v="950"/>
    <n v="20916"/>
    <s v="ROJO"/>
    <n v="3.1"/>
    <n v="0"/>
    <n v="0"/>
    <n v="29.963000000000001"/>
    <n v="56.1"/>
    <n v="83"/>
    <n v="675.90361445783128"/>
    <x v="0"/>
    <x v="0"/>
    <n v="2"/>
    <n v="2"/>
    <n v="60.166666666666664"/>
  </r>
  <r>
    <d v="2025-02-12T21:29:00"/>
    <s v="INYECTADO"/>
    <x v="7"/>
    <x v="19"/>
    <s v="JUAN MANUEL PEREZ"/>
    <s v="SEGUNDA"/>
    <s v="."/>
    <s v="MIXTO"/>
    <x v="18"/>
    <s v="BALDE ROMANO-FUCSIA"/>
    <n v="692"/>
    <n v="6"/>
    <n v="107.9"/>
    <s v="NOCTURNO"/>
    <n v="0"/>
    <n v="6"/>
    <n v="950"/>
    <n v="20916"/>
    <s v="FUCSIA"/>
    <n v="2.2000000000000002"/>
    <n v="0"/>
    <n v="0"/>
    <n v="57.436"/>
    <n v="107.9"/>
    <n v="83"/>
    <n v="1300"/>
    <x v="0"/>
    <x v="0"/>
    <n v="2"/>
    <n v="2"/>
    <n v="115.33333333333333"/>
  </r>
  <r>
    <d v="2025-02-12T21:29:00"/>
    <s v="INYECTADO"/>
    <x v="7"/>
    <x v="19"/>
    <s v="JUAN MANUEL PEREZ"/>
    <s v="SEGUNDA"/>
    <s v="."/>
    <s v="MIXTO"/>
    <x v="18"/>
    <s v="BALDE ROMANO-AZUL"/>
    <n v="40"/>
    <n v="1"/>
    <n v="6.2"/>
    <s v="NOCTURNO"/>
    <n v="0"/>
    <n v="1"/>
    <n v="950"/>
    <n v="20916"/>
    <s v="AZUL"/>
    <n v="0"/>
    <n v="0"/>
    <n v="0"/>
    <n v="3.32"/>
    <n v="6.2"/>
    <n v="83"/>
    <n v="74.698795180722897"/>
    <x v="0"/>
    <x v="0"/>
    <n v="2"/>
    <n v="2"/>
    <n v="6.666666666666667"/>
  </r>
  <r>
    <d v="2025-02-12T21:29:00"/>
    <s v="INYECTADO"/>
    <x v="7"/>
    <x v="20"/>
    <s v="JOSDER GONZALEZ"/>
    <s v="SEGUNDA"/>
    <s v="."/>
    <s v="MIXTO"/>
    <x v="18"/>
    <s v="BALDE ROMANO-AZUL"/>
    <n v="564"/>
    <n v="5"/>
    <n v="89.1"/>
    <s v="DIURNO"/>
    <n v="0"/>
    <n v="5"/>
    <n v="950"/>
    <n v="20917"/>
    <s v="AZUL"/>
    <n v="4.9000000000000004"/>
    <n v="0"/>
    <n v="0"/>
    <n v="46.811999999999998"/>
    <n v="89.1"/>
    <n v="83"/>
    <n v="1073.4939759036145"/>
    <x v="0"/>
    <x v="0"/>
    <n v="2"/>
    <n v="2"/>
    <n v="94"/>
  </r>
  <r>
    <d v="2025-02-12T21:29:00"/>
    <s v="INYECTADO"/>
    <x v="7"/>
    <x v="20"/>
    <s v="JOSDER GONZALEZ"/>
    <s v="VIRGEN"/>
    <s v="PP CLARIFICADO"/>
    <s v="."/>
    <x v="18"/>
    <s v="BALDE ROMANO-AMARILLO"/>
    <n v="634"/>
    <n v="6"/>
    <n v="100.1"/>
    <s v="DIURNO"/>
    <n v="0"/>
    <n v="6"/>
    <n v="950"/>
    <n v="20917"/>
    <s v="AMARILLO"/>
    <n v="3.4"/>
    <n v="0"/>
    <n v="0"/>
    <n v="52.622"/>
    <n v="100.1"/>
    <n v="83"/>
    <n v="1206.0240963855422"/>
    <x v="0"/>
    <x v="0"/>
    <n v="2"/>
    <n v="2"/>
    <n v="105.66666666666667"/>
  </r>
  <r>
    <d v="2025-02-12T21:29:00"/>
    <s v="INYECTADO"/>
    <x v="7"/>
    <x v="20"/>
    <s v="JOSDER GONZALEZ"/>
    <s v="SEGUNDA"/>
    <s v="."/>
    <s v="MIXTO"/>
    <x v="18"/>
    <s v="BALDE ROMANO-VERDE"/>
    <n v="79"/>
    <n v="1"/>
    <n v="12.4"/>
    <s v="DIURNO"/>
    <n v="0"/>
    <n v="1"/>
    <n v="950"/>
    <n v="20917"/>
    <s v="VERDE"/>
    <n v="0"/>
    <n v="0"/>
    <n v="0"/>
    <n v="6.5570000000000004"/>
    <n v="12.4"/>
    <n v="83"/>
    <n v="149.39759036144579"/>
    <x v="0"/>
    <x v="0"/>
    <n v="2"/>
    <n v="2"/>
    <n v="13.166666666666666"/>
  </r>
  <r>
    <d v="2025-02-12T21:29:00"/>
    <s v="INYECTADO"/>
    <x v="7"/>
    <x v="20"/>
    <s v="FABIAN HERNANDEZ"/>
    <s v="SEGUNDA"/>
    <s v="."/>
    <s v="MIXTO"/>
    <x v="18"/>
    <s v="BALDE ROMANO-VERDE"/>
    <n v="592"/>
    <n v="5"/>
    <n v="92.3"/>
    <s v="NOCTURNO"/>
    <n v="0"/>
    <n v="5"/>
    <n v="950"/>
    <n v="20918"/>
    <s v="VERDE"/>
    <n v="0"/>
    <n v="0"/>
    <n v="0"/>
    <n v="49.136000000000003"/>
    <n v="92.3"/>
    <n v="83"/>
    <n v="1112.0481927710844"/>
    <x v="0"/>
    <x v="0"/>
    <n v="2"/>
    <n v="2"/>
    <n v="98.666666666666671"/>
  </r>
  <r>
    <d v="2025-02-12T21:29:00"/>
    <s v="INYECTADO"/>
    <x v="7"/>
    <x v="20"/>
    <s v="FABIAN HERNANDEZ"/>
    <s v="SEGUNDA"/>
    <s v="."/>
    <s v="MIXTO"/>
    <x v="18"/>
    <s v="BALDE ROMANO-FUCSIA"/>
    <n v="371"/>
    <n v="3"/>
    <n v="57.8"/>
    <s v="NOCTURNO"/>
    <n v="0"/>
    <n v="3"/>
    <n v="950"/>
    <n v="20918"/>
    <s v="FUCSIA"/>
    <n v="0"/>
    <n v="0"/>
    <n v="0"/>
    <n v="30.792999999999999"/>
    <n v="57.8"/>
    <n v="83"/>
    <n v="696.38554216867465"/>
    <x v="0"/>
    <x v="0"/>
    <n v="2"/>
    <n v="2"/>
    <n v="61.833333333333336"/>
  </r>
  <r>
    <d v="2025-02-12T21:29:00"/>
    <s v="INYECTADO"/>
    <x v="7"/>
    <x v="20"/>
    <s v="FABIAN HERNANDEZ"/>
    <s v="SEGUNDA"/>
    <s v="."/>
    <s v="MIXTO"/>
    <x v="18"/>
    <s v="BALDE ROMANO-LILA"/>
    <n v="362"/>
    <n v="3"/>
    <n v="57.1"/>
    <s v="NOCTURNO"/>
    <n v="0"/>
    <n v="3"/>
    <n v="950"/>
    <n v="20918"/>
    <s v="LILA"/>
    <n v="0"/>
    <n v="0"/>
    <n v="0"/>
    <n v="30.045999999999999"/>
    <n v="57.1"/>
    <n v="83"/>
    <n v="687.95180722891564"/>
    <x v="0"/>
    <x v="0"/>
    <n v="2"/>
    <n v="2"/>
    <n v="60.333333333333336"/>
  </r>
  <r>
    <d v="2025-02-12T21:29:00"/>
    <s v="INYECTADO"/>
    <x v="7"/>
    <x v="21"/>
    <s v="SAID VILLAMIZAR"/>
    <s v="SEGUNDA"/>
    <s v="."/>
    <s v="MIXTO"/>
    <x v="18"/>
    <s v="BALDE ROMANO-LILA"/>
    <n v="79"/>
    <n v="1"/>
    <n v="12.3"/>
    <s v="DIURNO"/>
    <n v="0"/>
    <n v="1"/>
    <n v="950"/>
    <n v="20919"/>
    <s v="LILA"/>
    <n v="0"/>
    <n v="0"/>
    <n v="0"/>
    <n v="6.5570000000000004"/>
    <n v="12.3"/>
    <n v="83"/>
    <n v="148.19277108433735"/>
    <x v="0"/>
    <x v="0"/>
    <n v="2"/>
    <n v="2"/>
    <n v="13.166666666666666"/>
  </r>
  <r>
    <d v="2025-02-12T21:29:00"/>
    <s v="INYECTADO"/>
    <x v="7"/>
    <x v="21"/>
    <s v="SAID VILLAMIZAR"/>
    <s v="SEGUNDA"/>
    <s v="."/>
    <s v="MIXTO"/>
    <x v="18"/>
    <s v="BALDE ROMANO-VERDE"/>
    <n v="594"/>
    <n v="5"/>
    <n v="93.8"/>
    <s v="DIURNO"/>
    <n v="0"/>
    <n v="5"/>
    <n v="950"/>
    <n v="20919"/>
    <s v="VERDE"/>
    <n v="6.5"/>
    <n v="0"/>
    <n v="0"/>
    <n v="49.302"/>
    <n v="93.8"/>
    <n v="83"/>
    <n v="1130.1204819277109"/>
    <x v="0"/>
    <x v="0"/>
    <n v="2"/>
    <n v="2"/>
    <n v="99"/>
  </r>
  <r>
    <d v="2025-02-12T21:29:00"/>
    <s v="INYECTADO"/>
    <x v="7"/>
    <x v="21"/>
    <s v="SAID VILLAMIZAR"/>
    <s v="VIRGEN"/>
    <s v="PP CLARIFICADO"/>
    <s v="."/>
    <x v="18"/>
    <s v="BALDE ROMANO-AMARILLO"/>
    <n v="474"/>
    <n v="4"/>
    <n v="74.8"/>
    <s v="DIURNO"/>
    <n v="0"/>
    <n v="4"/>
    <n v="950"/>
    <n v="20919"/>
    <s v="AMARILLO"/>
    <n v="0"/>
    <n v="0"/>
    <n v="0"/>
    <n v="39.341999999999999"/>
    <n v="74.8"/>
    <n v="83"/>
    <n v="901.20481927710841"/>
    <x v="0"/>
    <x v="0"/>
    <n v="2"/>
    <n v="2"/>
    <n v="79"/>
  </r>
  <r>
    <d v="2025-02-12T21:29:00"/>
    <s v="INYECTADO"/>
    <x v="7"/>
    <x v="21"/>
    <s v="SAID VILLAMIZAR"/>
    <s v="SEGUNDA"/>
    <s v="."/>
    <s v="MIXTO"/>
    <x v="18"/>
    <s v="BALDE ROMANO-AZUL"/>
    <n v="158"/>
    <n v="2"/>
    <n v="24.9"/>
    <s v="DIURNO"/>
    <n v="0"/>
    <n v="2"/>
    <n v="950"/>
    <n v="20919"/>
    <s v="AZUL"/>
    <n v="0"/>
    <n v="0"/>
    <n v="0"/>
    <n v="13.114000000000001"/>
    <n v="24.9"/>
    <n v="83"/>
    <n v="300"/>
    <x v="0"/>
    <x v="0"/>
    <n v="2"/>
    <n v="2"/>
    <n v="26.333333333333332"/>
  </r>
  <r>
    <d v="2025-02-12T21:29:00"/>
    <s v="INYECTADO"/>
    <x v="7"/>
    <x v="21"/>
    <s v="JUAN MANUEL PEREZ"/>
    <s v="SEGUNDA"/>
    <s v="."/>
    <s v="MIXTO"/>
    <x v="18"/>
    <s v="BALDE ROMANO-AZUL"/>
    <n v="317"/>
    <n v="3"/>
    <n v="50"/>
    <s v="NOCTURNO"/>
    <n v="0"/>
    <n v="3"/>
    <n v="950"/>
    <n v="20920"/>
    <s v="AZUL"/>
    <n v="12.1"/>
    <n v="0"/>
    <n v="0"/>
    <n v="26.311"/>
    <n v="50"/>
    <n v="83"/>
    <n v="602.40963855421683"/>
    <x v="0"/>
    <x v="0"/>
    <n v="2"/>
    <n v="2"/>
    <n v="52.833333333333336"/>
  </r>
  <r>
    <d v="2025-02-12T21:29:00"/>
    <s v="INYECTADO"/>
    <x v="7"/>
    <x v="21"/>
    <s v="JUAN MANUEL PEREZ"/>
    <s v="SEGUNDA"/>
    <s v="."/>
    <s v="MIXTO"/>
    <x v="18"/>
    <s v="BALDE ROMANO-ROJO"/>
    <n v="598"/>
    <n v="6"/>
    <n v="94.4"/>
    <s v="NOCTURNO"/>
    <n v="0"/>
    <n v="5"/>
    <n v="950"/>
    <n v="20920"/>
    <s v="ROJO"/>
    <n v="10.3"/>
    <n v="0"/>
    <n v="0"/>
    <n v="49.634"/>
    <n v="94.4"/>
    <n v="83"/>
    <n v="1137.3493975903614"/>
    <x v="0"/>
    <x v="0"/>
    <n v="2"/>
    <n v="2"/>
    <n v="99.666666666666671"/>
  </r>
  <r>
    <d v="2025-02-12T21:29:00"/>
    <s v="INYECTADO"/>
    <x v="7"/>
    <x v="22"/>
    <s v="ISABEL LINARIZ "/>
    <s v="SEGUNDA"/>
    <s v="."/>
    <s v="MIXTO"/>
    <x v="18"/>
    <s v="BALDE ROMANO-FUCSIA"/>
    <n v="605"/>
    <n v="6"/>
    <n v="94.6"/>
    <s v="DIURNO"/>
    <n v="0"/>
    <n v="6"/>
    <n v="950"/>
    <n v="20921"/>
    <s v="FUCSIA"/>
    <n v="0"/>
    <n v="0"/>
    <n v="0"/>
    <n v="50.215000000000003"/>
    <n v="94.6"/>
    <n v="83"/>
    <n v="1139.7590361445782"/>
    <x v="0"/>
    <x v="0"/>
    <n v="2"/>
    <n v="2"/>
    <n v="100.83333333333333"/>
  </r>
  <r>
    <d v="2025-02-12T21:29:00"/>
    <s v="INYECTADO"/>
    <x v="7"/>
    <x v="22"/>
    <s v="ISABEL LINARIZ "/>
    <s v="SEGUNDA"/>
    <s v="."/>
    <s v="MIXTO"/>
    <x v="18"/>
    <s v="BALDE ROMANO-LILA"/>
    <n v="480"/>
    <n v="4"/>
    <n v="75.8"/>
    <s v="DIURNO"/>
    <n v="0"/>
    <n v="4"/>
    <n v="950"/>
    <n v="20921"/>
    <s v="LILA"/>
    <n v="0"/>
    <n v="0"/>
    <n v="0"/>
    <n v="39.840000000000003"/>
    <n v="75.8"/>
    <n v="83"/>
    <n v="913.25301204819277"/>
    <x v="0"/>
    <x v="0"/>
    <n v="2"/>
    <n v="2"/>
    <n v="80"/>
  </r>
  <r>
    <d v="2025-02-12T21:29:00"/>
    <s v="INYECTADO"/>
    <x v="7"/>
    <x v="13"/>
    <s v="LUIS PINEDO"/>
    <s v="SEGUNDA"/>
    <s v="."/>
    <s v="MIXTO"/>
    <x v="18"/>
    <s v="BALDE ROMANO-FUCSIA"/>
    <n v="751"/>
    <n v="7"/>
    <n v="117.1"/>
    <s v="DIURNO"/>
    <n v="0"/>
    <n v="7"/>
    <n v="950"/>
    <n v="20922"/>
    <s v="FUCSIA"/>
    <n v="2.9"/>
    <n v="0"/>
    <n v="0"/>
    <n v="62.332999999999998"/>
    <n v="117.1"/>
    <n v="83"/>
    <n v="1410.8433734939758"/>
    <x v="0"/>
    <x v="0"/>
    <n v="4"/>
    <n v="2"/>
    <n v="125.16666666666667"/>
  </r>
  <r>
    <d v="2025-02-12T21:29:00"/>
    <s v="INYECTADO"/>
    <x v="7"/>
    <x v="13"/>
    <s v="LUIS PINEDO"/>
    <s v="SEGUNDA"/>
    <s v="."/>
    <s v="MIXTO"/>
    <x v="18"/>
    <s v="BALDE ROMANO-LILA"/>
    <n v="245"/>
    <n v="2"/>
    <n v="38.200000000000003"/>
    <s v="DIURNO"/>
    <n v="0"/>
    <n v="2"/>
    <n v="950"/>
    <n v="20922"/>
    <s v="LILA"/>
    <n v="12.5"/>
    <n v="0"/>
    <n v="0"/>
    <n v="20.335000000000001"/>
    <n v="38.200000000000003"/>
    <n v="83"/>
    <n v="460.24096385542168"/>
    <x v="0"/>
    <x v="0"/>
    <n v="4"/>
    <n v="2"/>
    <n v="40.833333333333336"/>
  </r>
  <r>
    <d v="2025-02-12T21:29:00"/>
    <s v="INYECTADO"/>
    <x v="7"/>
    <x v="24"/>
    <s v="SAID VILLAMIZAR"/>
    <s v="SEGUNDA"/>
    <s v="."/>
    <s v="MIXTO"/>
    <x v="18"/>
    <s v="BALDE ROMANO-LILA"/>
    <n v="325"/>
    <n v="3"/>
    <n v="50.7"/>
    <s v="DIURNO"/>
    <n v="0"/>
    <n v="3"/>
    <n v="950"/>
    <n v="20923"/>
    <s v="LILA"/>
    <n v="8.1"/>
    <n v="0"/>
    <n v="0"/>
    <n v="26.975000000000001"/>
    <n v="50.7"/>
    <n v="83"/>
    <n v="610.84337349397595"/>
    <x v="0"/>
    <x v="0"/>
    <n v="4"/>
    <n v="2"/>
    <n v="54.166666666666664"/>
  </r>
  <r>
    <d v="2025-02-12T21:29:00"/>
    <s v="INYECTADO"/>
    <x v="7"/>
    <x v="24"/>
    <s v="SAID VILLAMIZAR"/>
    <s v="SEGUNDA"/>
    <s v="."/>
    <s v="MIXTO"/>
    <x v="18"/>
    <s v="BALDE ROMANO-AZUL"/>
    <n v="568"/>
    <n v="5"/>
    <n v="88.6"/>
    <s v="DIURNO"/>
    <n v="0"/>
    <n v="5"/>
    <n v="950"/>
    <n v="20923"/>
    <s v="AZUL"/>
    <n v="8.1"/>
    <n v="0"/>
    <n v="0"/>
    <n v="47.143999999999998"/>
    <n v="88.6"/>
    <n v="83"/>
    <n v="1067.4698795180723"/>
    <x v="0"/>
    <x v="0"/>
    <n v="4"/>
    <n v="2"/>
    <n v="94.666666666666671"/>
  </r>
  <r>
    <d v="2025-02-12T21:29:00"/>
    <s v="INYECTADO"/>
    <x v="7"/>
    <x v="24"/>
    <s v="SAID VILLAMIZAR"/>
    <s v="VIRGEN"/>
    <s v="PP CLARIFICADO"/>
    <s v="."/>
    <x v="18"/>
    <s v="BALDE ROMANO-AMARILLO"/>
    <n v="210"/>
    <n v="2"/>
    <n v="32.700000000000003"/>
    <s v="DIURNO"/>
    <n v="0"/>
    <n v="2"/>
    <n v="950"/>
    <n v="20923"/>
    <s v="AMARILLO"/>
    <n v="0"/>
    <n v="0"/>
    <n v="0"/>
    <n v="17.43"/>
    <n v="32.700000000000003"/>
    <n v="83"/>
    <n v="393.97590361445788"/>
    <x v="0"/>
    <x v="0"/>
    <n v="4"/>
    <n v="2"/>
    <n v="35"/>
  </r>
  <r>
    <d v="2025-02-12T21:29:00"/>
    <s v="INYECTADO"/>
    <x v="7"/>
    <x v="25"/>
    <s v="ISABEL LINARIZ "/>
    <s v="VIRGEN"/>
    <s v="PP CLARIFICADO"/>
    <s v="."/>
    <x v="18"/>
    <s v="BALDE ROMANO-AMARILLO"/>
    <n v="346"/>
    <n v="3"/>
    <n v="53.9"/>
    <s v="DIURNO"/>
    <n v="0"/>
    <n v="3"/>
    <n v="950"/>
    <n v="20924"/>
    <s v="AMARILLO"/>
    <n v="11"/>
    <n v="0"/>
    <n v="0"/>
    <n v="28.718"/>
    <n v="53.9"/>
    <n v="83"/>
    <n v="649.39759036144574"/>
    <x v="0"/>
    <x v="0"/>
    <n v="4"/>
    <n v="2"/>
    <n v="57.666666666666664"/>
  </r>
  <r>
    <d v="2025-02-12T21:29:00"/>
    <s v="INYECTADO"/>
    <x v="7"/>
    <x v="25"/>
    <s v="ISABEL LINARIZ "/>
    <s v="SEGUNDA"/>
    <s v="."/>
    <s v="MIXTO"/>
    <x v="18"/>
    <s v="BALDE ROMANO-VERDE"/>
    <n v="416"/>
    <n v="4"/>
    <n v="64.8"/>
    <s v="DIURNO"/>
    <n v="0"/>
    <n v="4"/>
    <n v="950"/>
    <n v="20924"/>
    <s v="VERDE"/>
    <n v="5.2"/>
    <n v="0"/>
    <n v="0"/>
    <n v="34.527999999999999"/>
    <n v="64.8"/>
    <n v="83"/>
    <n v="780.72289156626505"/>
    <x v="0"/>
    <x v="0"/>
    <n v="4"/>
    <n v="2"/>
    <n v="69.333333333333329"/>
  </r>
  <r>
    <d v="2025-02-12T21:29:00"/>
    <s v="INYECTADO"/>
    <x v="7"/>
    <x v="14"/>
    <s v="JOSDER GONZALEZ"/>
    <s v="SEGUNDA"/>
    <s v="."/>
    <s v="MIXTO"/>
    <x v="18"/>
    <s v="BALDE ROMANO-ROJO"/>
    <n v="715"/>
    <n v="7"/>
    <n v="111.5"/>
    <s v="DIURNO"/>
    <n v="0"/>
    <n v="7"/>
    <n v="950"/>
    <n v="20925"/>
    <s v="ROJO"/>
    <n v="0"/>
    <n v="0"/>
    <n v="0"/>
    <n v="59.344999999999999"/>
    <n v="111.5"/>
    <n v="83"/>
    <n v="1343.3734939759036"/>
    <x v="0"/>
    <x v="0"/>
    <n v="4"/>
    <n v="2"/>
    <n v="119.16666666666667"/>
  </r>
  <r>
    <d v="2025-02-12T21:29:00"/>
    <s v="INYECTADO"/>
    <x v="7"/>
    <x v="14"/>
    <s v="JOSDER GONZALEZ"/>
    <s v="SEGUNDA"/>
    <s v="."/>
    <s v="MIXTO"/>
    <x v="18"/>
    <s v="BALDE ROMANO-AZUL"/>
    <n v="160"/>
    <n v="2"/>
    <n v="24.4"/>
    <s v="DIURNO"/>
    <n v="0"/>
    <n v="2"/>
    <n v="950"/>
    <n v="20925"/>
    <s v="AZUL"/>
    <n v="0"/>
    <n v="0"/>
    <n v="0"/>
    <n v="13.28"/>
    <n v="24.4"/>
    <n v="83"/>
    <n v="293.97590361445782"/>
    <x v="0"/>
    <x v="0"/>
    <n v="4"/>
    <n v="2"/>
    <n v="26.666666666666668"/>
  </r>
  <r>
    <d v="2025-02-12T21:29:00"/>
    <s v="INYECTADO"/>
    <x v="7"/>
    <x v="14"/>
    <s v="PAUL MILLER"/>
    <s v="SEGUNDA"/>
    <s v="."/>
    <s v="MIXTO"/>
    <x v="18"/>
    <s v="BALDE ROMANO-LILA"/>
    <n v="321"/>
    <n v="3"/>
    <n v="51"/>
    <s v="NOCTURNO"/>
    <n v="0"/>
    <n v="3"/>
    <n v="950"/>
    <n v="20926"/>
    <s v="LILA"/>
    <n v="0"/>
    <n v="0"/>
    <n v="0"/>
    <n v="26.643000000000001"/>
    <n v="51"/>
    <n v="83"/>
    <n v="614.45783132530119"/>
    <x v="0"/>
    <x v="0"/>
    <n v="4"/>
    <n v="2"/>
    <n v="53.5"/>
  </r>
  <r>
    <d v="2025-02-13T10:20:00"/>
    <s v="INYECTADO"/>
    <x v="8"/>
    <x v="0"/>
    <s v="SAID VILLAMIZAR"/>
    <s v="SEGUNDA"/>
    <s v="."/>
    <s v="MIXTO"/>
    <x v="19"/>
    <s v="BALDE CASTILLO MEDIEVAL-LILA"/>
    <n v="448"/>
    <n v="4"/>
    <n v="78.400000000000006"/>
    <s v="DIURNO"/>
    <n v="0"/>
    <n v="4"/>
    <n v="954"/>
    <n v="20806"/>
    <s v="LILA"/>
    <n v="8.4"/>
    <n v="0"/>
    <n v="0"/>
    <n v="60.48"/>
    <n v="78.400000000000006"/>
    <n v="135"/>
    <n v="580.74074074074076"/>
    <x v="0"/>
    <x v="0"/>
    <n v="1"/>
    <n v="2"/>
    <n v="74.666666666666671"/>
  </r>
  <r>
    <d v="2025-02-13T16:38:00"/>
    <s v="INYECTADO"/>
    <x v="8"/>
    <x v="0"/>
    <s v="SAID VILLAMIZAR"/>
    <s v="SEGUNDA"/>
    <s v="."/>
    <s v="MIXTO"/>
    <x v="19"/>
    <s v="BALDE CASTILLO MEDIEVAL-FUCSIA"/>
    <n v="507"/>
    <n v="5"/>
    <n v="88.2"/>
    <s v="DIURNO"/>
    <n v="0"/>
    <n v="5"/>
    <n v="954"/>
    <n v="20806"/>
    <s v="FUCSIA"/>
    <n v="11.9"/>
    <n v="0"/>
    <n v="0"/>
    <n v="68.444999999999993"/>
    <n v="88.2"/>
    <n v="135"/>
    <n v="653.33333333333337"/>
    <x v="0"/>
    <x v="0"/>
    <n v="1"/>
    <n v="2"/>
    <n v="84.5"/>
  </r>
  <r>
    <d v="2025-02-13T16:38:00"/>
    <s v="INYECTADO"/>
    <x v="8"/>
    <x v="2"/>
    <s v="GABRIEL REQUENA"/>
    <s v="SEGUNDA"/>
    <s v="."/>
    <s v="PP INY MOLIDO"/>
    <x v="20"/>
    <s v="ACCESORIO PLAYERO MARINO-FUCSIA"/>
    <n v="226"/>
    <n v="2"/>
    <n v="28"/>
    <s v="DIURNO"/>
    <n v="0"/>
    <n v="4"/>
    <n v="951"/>
    <n v="20807"/>
    <s v="FUCSIA"/>
    <n v="28"/>
    <n v="0"/>
    <n v="0"/>
    <n v="3.39"/>
    <n v="28"/>
    <n v="15"/>
    <n v="1866.6666666666667"/>
    <x v="0"/>
    <x v="0"/>
    <n v="1"/>
    <n v="8"/>
    <n v="150.66666666666666"/>
  </r>
  <r>
    <d v="2025-02-13T16:38:00"/>
    <s v="INYECTADO"/>
    <x v="8"/>
    <x v="18"/>
    <s v="ISABEL LINARIZ "/>
    <s v="SEGUNDA"/>
    <s v="."/>
    <s v="PP INY MOLIDO"/>
    <x v="20"/>
    <s v="ACCESORIO PLAYERO MARINO-AZUL"/>
    <n v="488"/>
    <n v="4"/>
    <n v="60.3"/>
    <s v="DIURNO"/>
    <n v="0"/>
    <n v="8"/>
    <n v="951"/>
    <n v="20808"/>
    <s v="AZUL"/>
    <n v="30.3"/>
    <n v="0"/>
    <n v="0"/>
    <n v="7.32"/>
    <n v="60.3"/>
    <n v="15"/>
    <n v="4020"/>
    <x v="0"/>
    <x v="0"/>
    <n v="2"/>
    <n v="8"/>
    <n v="325.33333333333331"/>
  </r>
  <r>
    <d v="2025-02-13T16:38:00"/>
    <s v="INYECTADO"/>
    <x v="8"/>
    <x v="18"/>
    <s v="ISABEL LINARIZ "/>
    <s v="SEGUNDA"/>
    <s v="."/>
    <s v="PP INY MOLIDO"/>
    <x v="20"/>
    <s v="ACCESORIO PLAYERO MARINO-FUCSIA"/>
    <n v="552"/>
    <n v="5"/>
    <n v="71.2"/>
    <s v="DIURNO"/>
    <n v="0"/>
    <n v="11"/>
    <n v="951"/>
    <n v="20808"/>
    <s v="FUCSIA"/>
    <n v="44.9"/>
    <n v="0"/>
    <n v="0"/>
    <n v="8.2799999999999994"/>
    <n v="71.2"/>
    <n v="15"/>
    <n v="4746.666666666667"/>
    <x v="0"/>
    <x v="0"/>
    <n v="2"/>
    <n v="8"/>
    <n v="368"/>
  </r>
  <r>
    <d v="2025-02-13T16:38:00"/>
    <s v="INYECTADO"/>
    <x v="8"/>
    <x v="18"/>
    <s v="ISABEL LINARIZ "/>
    <s v="VIRGEN"/>
    <s v="PP CLARIFICADO"/>
    <s v="."/>
    <x v="20"/>
    <s v="ACCESORIO PLAYERO MARINO-AMARILLO"/>
    <n v="24"/>
    <n v="1"/>
    <n v="3"/>
    <s v="DIURNO"/>
    <n v="0"/>
    <n v="1"/>
    <n v="951"/>
    <n v="20808"/>
    <s v="AMARILLO"/>
    <n v="3"/>
    <n v="0"/>
    <n v="0"/>
    <n v="0.36"/>
    <n v="3"/>
    <n v="15"/>
    <n v="200"/>
    <x v="0"/>
    <x v="0"/>
    <n v="2"/>
    <n v="8"/>
    <n v="16"/>
  </r>
  <r>
    <d v="2025-02-13T16:38:00"/>
    <s v="INYECTADO"/>
    <x v="8"/>
    <x v="18"/>
    <s v="FABIAN HERNANDEZ"/>
    <s v="VIRGEN"/>
    <s v="PP CLARIFICADO"/>
    <s v="."/>
    <x v="20"/>
    <s v="ACCESORIO PLAYERO MARINO-AMARILLO"/>
    <n v="746"/>
    <n v="9"/>
    <n v="92.2"/>
    <s v="NOCTURNO"/>
    <n v="0"/>
    <n v="9"/>
    <n v="951"/>
    <n v="20809"/>
    <s v="AMARILLO"/>
    <n v="56.6"/>
    <n v="0"/>
    <n v="0"/>
    <n v="11.19"/>
    <n v="92.2"/>
    <n v="15"/>
    <n v="6146.666666666667"/>
    <x v="0"/>
    <x v="0"/>
    <n v="2"/>
    <n v="8"/>
    <n v="497.33333333333331"/>
  </r>
  <r>
    <d v="2025-02-13T16:38:00"/>
    <s v="INYECTADO"/>
    <x v="8"/>
    <x v="20"/>
    <s v="ISABEL LINARIZ "/>
    <s v="VIRGEN"/>
    <s v="PP CLARIFICADO"/>
    <s v="."/>
    <x v="21"/>
    <s v="BADE ORGANIZADOR  DE 3KG PASTEL-CELESTE"/>
    <n v="267"/>
    <n v="2"/>
    <n v="49.7"/>
    <s v="DIURNO"/>
    <n v="0"/>
    <n v="4"/>
    <n v="963"/>
    <n v="20811"/>
    <s v="CELESTE"/>
    <n v="3.8"/>
    <n v="0"/>
    <n v="0"/>
    <e v="#N/A"/>
    <n v="49.7"/>
    <e v="#N/A"/>
    <n v="0"/>
    <x v="0"/>
    <x v="0"/>
    <n v="2"/>
    <e v="#N/A"/>
    <e v="#N/A"/>
  </r>
  <r>
    <d v="2025-02-13T16:38:00"/>
    <s v="INYECTADO"/>
    <x v="8"/>
    <x v="20"/>
    <s v="ISABEL LINARIZ "/>
    <s v="VIRGEN"/>
    <s v="PP CLARIFICADO"/>
    <s v="."/>
    <x v="21"/>
    <s v="BADE ORGANIZADOR  DE 3KG PASTEL-TURQUESA"/>
    <n v="243"/>
    <n v="2"/>
    <n v="45.6"/>
    <s v="DIURNO"/>
    <n v="0"/>
    <n v="8"/>
    <n v="963"/>
    <n v="20811"/>
    <s v="TURQUESA"/>
    <n v="1.5"/>
    <n v="0"/>
    <n v="0"/>
    <e v="#N/A"/>
    <n v="45.6"/>
    <e v="#N/A"/>
    <n v="0"/>
    <x v="0"/>
    <x v="0"/>
    <n v="2"/>
    <e v="#N/A"/>
    <e v="#N/A"/>
  </r>
  <r>
    <d v="2025-02-13T16:38:00"/>
    <s v="INYECTADO"/>
    <x v="8"/>
    <x v="20"/>
    <s v="ISABEL LINARIZ "/>
    <s v="VIRGEN"/>
    <s v="PP CLARIFICADO"/>
    <s v="."/>
    <x v="21"/>
    <s v="BADE ORGANIZADOR  DE 3KG PASTEL-AZURE"/>
    <n v="244"/>
    <n v="2"/>
    <n v="45.7"/>
    <s v="DIURNO"/>
    <n v="0"/>
    <n v="8"/>
    <n v="963"/>
    <n v="20811"/>
    <s v="AZURE"/>
    <n v="2.7"/>
    <n v="0"/>
    <n v="0"/>
    <e v="#N/A"/>
    <n v="45.7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x v="21"/>
    <s v="BADE ORGANIZADOR  DE 3KG PASTEL-AZURE"/>
    <n v="29"/>
    <n v="1"/>
    <n v="5.5"/>
    <s v="DIURNO"/>
    <n v="0"/>
    <n v="1"/>
    <n v="963"/>
    <n v="20812"/>
    <s v="AZURE"/>
    <n v="0"/>
    <n v="0"/>
    <n v="0"/>
    <e v="#N/A"/>
    <n v="5.5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x v="21"/>
    <s v="BADE ORGANIZADOR  DE 3KG PASTEL-ROSADO"/>
    <n v="332"/>
    <n v="3"/>
    <n v="62.1"/>
    <s v="DIURNO"/>
    <n v="0"/>
    <n v="3"/>
    <n v="963"/>
    <n v="20812"/>
    <s v="ROSADO"/>
    <n v="2.2999999999999998"/>
    <n v="0"/>
    <n v="0"/>
    <e v="#N/A"/>
    <n v="62.1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x v="21"/>
    <s v="BADE ORGANIZADOR  DE 3KG PASTEL-LILA"/>
    <n v="268"/>
    <n v="2"/>
    <n v="50.2"/>
    <s v="DIURNO"/>
    <n v="0"/>
    <n v="2"/>
    <n v="963"/>
    <n v="20812"/>
    <s v="LILA"/>
    <n v="3.7"/>
    <n v="0"/>
    <n v="0"/>
    <e v="#N/A"/>
    <n v="50.2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x v="21"/>
    <s v="BADE ORGANIZADOR  DE 3KG PASTEL-SANDIA"/>
    <n v="205"/>
    <n v="2"/>
    <n v="38.4"/>
    <s v="DIURNO"/>
    <n v="0"/>
    <n v="2"/>
    <n v="963"/>
    <n v="20812"/>
    <s v="SANDIA"/>
    <n v="2"/>
    <n v="0"/>
    <n v="0"/>
    <e v="#N/A"/>
    <n v="38.4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x v="21"/>
    <s v="BADE ORGANIZADOR  DE 3KG PASTEL-SANDIA"/>
    <n v="275"/>
    <n v="3"/>
    <n v="51.6"/>
    <s v="DIURNO"/>
    <n v="0"/>
    <n v="9"/>
    <n v="963"/>
    <n v="20813"/>
    <s v="SANDIA"/>
    <n v="4.7"/>
    <n v="0"/>
    <n v="0"/>
    <e v="#N/A"/>
    <n v="51.6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x v="21"/>
    <s v="BADE ORGANIZADOR  DE 3KG PASTEL-LILA"/>
    <n v="277"/>
    <n v="3"/>
    <n v="51.7"/>
    <s v="DIURNO"/>
    <n v="0"/>
    <n v="9"/>
    <n v="963"/>
    <n v="20813"/>
    <s v="LILA"/>
    <n v="5.2"/>
    <n v="0"/>
    <n v="0"/>
    <e v="#N/A"/>
    <n v="51.7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x v="21"/>
    <s v="BADE ORGANIZADOR  DE 3KG PASTEL-AZURE"/>
    <n v="279"/>
    <n v="3"/>
    <n v="52.3"/>
    <s v="DIURNO"/>
    <n v="0"/>
    <n v="8"/>
    <n v="963"/>
    <n v="20813"/>
    <s v="AZURE"/>
    <n v="11.4"/>
    <n v="0"/>
    <n v="0"/>
    <e v="#N/A"/>
    <n v="52.3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x v="21"/>
    <s v="BADE ORGANIZADOR  DE 3KG PASTEL-TURQUESA"/>
    <n v="17"/>
    <n v="1"/>
    <n v="3.2"/>
    <s v="DIURNO"/>
    <n v="0"/>
    <n v="0"/>
    <n v="963"/>
    <n v="20813"/>
    <s v="TURQUESA"/>
    <n v="0"/>
    <n v="0"/>
    <n v="0"/>
    <e v="#N/A"/>
    <n v="3.2"/>
    <e v="#N/A"/>
    <n v="0"/>
    <x v="0"/>
    <x v="0"/>
    <n v="2"/>
    <e v="#N/A"/>
    <e v="#N/A"/>
  </r>
  <r>
    <d v="2025-02-13T16:38:00"/>
    <s v="INYECTADO"/>
    <x v="8"/>
    <x v="22"/>
    <s v="WALTER GUEVARA"/>
    <s v="VIRGEN"/>
    <s v="PP CLARIFICADO"/>
    <s v="."/>
    <x v="21"/>
    <s v="BADE ORGANIZADOR  DE 3KG PASTEL-TURQUESA"/>
    <n v="270"/>
    <n v="3"/>
    <n v="51.4"/>
    <s v="NOCTURNO"/>
    <n v="0"/>
    <n v="9"/>
    <n v="963"/>
    <n v="20814"/>
    <s v="TURQUESA"/>
    <n v="6.2"/>
    <n v="0"/>
    <n v="0"/>
    <e v="#N/A"/>
    <n v="51.4"/>
    <e v="#N/A"/>
    <n v="0"/>
    <x v="0"/>
    <x v="0"/>
    <n v="2"/>
    <e v="#N/A"/>
    <e v="#N/A"/>
  </r>
  <r>
    <d v="2025-02-13T16:38:00"/>
    <s v="INYECTADO"/>
    <x v="8"/>
    <x v="22"/>
    <s v="WALTER GUEVARA"/>
    <s v="VIRGEN"/>
    <s v="PP CLARIFICADO"/>
    <s v="."/>
    <x v="21"/>
    <s v="BADE ORGANIZADOR  DE 3KG PASTEL-CELESTE"/>
    <n v="270"/>
    <n v="3"/>
    <n v="51.3"/>
    <s v="NOCTURNO"/>
    <n v="0"/>
    <n v="9"/>
    <n v="963"/>
    <n v="20814"/>
    <s v="CELESTE"/>
    <n v="0"/>
    <n v="0"/>
    <n v="0"/>
    <e v="#N/A"/>
    <n v="51.3"/>
    <e v="#N/A"/>
    <n v="0"/>
    <x v="0"/>
    <x v="0"/>
    <n v="2"/>
    <e v="#N/A"/>
    <e v="#N/A"/>
  </r>
  <r>
    <d v="2025-02-13T16:38:00"/>
    <s v="INYECTADO"/>
    <x v="8"/>
    <x v="22"/>
    <s v="WALTER GUEVARA"/>
    <s v="VIRGEN"/>
    <s v="PP CLARIFICADO"/>
    <s v="."/>
    <x v="21"/>
    <s v="BADE ORGANIZADOR  DE 3KG PASTEL-ROSADO"/>
    <n v="270"/>
    <n v="3"/>
    <n v="51.3"/>
    <s v="NOCTURNO"/>
    <n v="0"/>
    <n v="9"/>
    <n v="963"/>
    <n v="20814"/>
    <s v="ROSADO"/>
    <n v="0"/>
    <n v="0"/>
    <n v="0"/>
    <e v="#N/A"/>
    <n v="51.3"/>
    <e v="#N/A"/>
    <n v="0"/>
    <x v="0"/>
    <x v="0"/>
    <n v="2"/>
    <e v="#N/A"/>
    <e v="#N/A"/>
  </r>
  <r>
    <d v="2025-02-13T16:38:00"/>
    <s v="INYECTADO"/>
    <x v="8"/>
    <x v="4"/>
    <s v="JOSDER GONZALEZ"/>
    <s v="VIRGEN"/>
    <s v="PP CLARIFICADO"/>
    <s v="."/>
    <x v="22"/>
    <s v="BASE ORGANIZADOR DE 3KG-TRANSPARENTE"/>
    <n v="855"/>
    <n v="8"/>
    <n v="161.69999999999999"/>
    <s v="DIURNO"/>
    <n v="0"/>
    <n v="28"/>
    <n v="967"/>
    <n v="20825"/>
    <s v="TRANSPARENTE"/>
    <n v="0.9"/>
    <n v="0"/>
    <n v="0"/>
    <n v="82.08"/>
    <n v="161.69999999999999"/>
    <n v="96"/>
    <n v="1684.375"/>
    <x v="0"/>
    <x v="0"/>
    <n v="2"/>
    <n v="2"/>
    <n v="142.5"/>
  </r>
  <r>
    <d v="2025-02-13T16:38:00"/>
    <s v="INYECTADO"/>
    <x v="8"/>
    <x v="6"/>
    <s v="SAID VILLAMIZAR"/>
    <s v="VIRGEN"/>
    <s v="PP CLARIFICADO"/>
    <s v="."/>
    <x v="22"/>
    <s v="BASE ORGANIZADOR DE 3KG-TRANSPARENTE"/>
    <n v="878"/>
    <n v="8"/>
    <n v="166.7"/>
    <s v="DIURNO"/>
    <n v="0"/>
    <n v="27"/>
    <n v="967"/>
    <n v="20816"/>
    <s v="TRANSPARENTE"/>
    <n v="5.6"/>
    <n v="0"/>
    <n v="0"/>
    <n v="84.287999999999997"/>
    <n v="166.7"/>
    <n v="96"/>
    <n v="1736.4583333333333"/>
    <x v="0"/>
    <x v="0"/>
    <n v="3"/>
    <n v="2"/>
    <n v="146.33333333333334"/>
  </r>
  <r>
    <d v="2025-02-13T16:38:00"/>
    <s v="INYECTADO"/>
    <x v="8"/>
    <x v="9"/>
    <s v="ALGIMIRO CALDERAS"/>
    <s v="VIRGEN"/>
    <s v="PP CLARIFICADO"/>
    <s v="."/>
    <x v="22"/>
    <s v="BASE ORGANIZADOR DE 3KG-TRANSPARENTE"/>
    <n v="1009"/>
    <n v="33"/>
    <n v="190.8"/>
    <s v="DIURNO"/>
    <n v="0"/>
    <n v="33"/>
    <n v="967"/>
    <n v="20817"/>
    <s v="TRANSPARENTE"/>
    <n v="1.5"/>
    <n v="0"/>
    <n v="0"/>
    <n v="96.864000000000004"/>
    <n v="190.8"/>
    <n v="96"/>
    <n v="1987.5"/>
    <x v="0"/>
    <x v="0"/>
    <n v="3"/>
    <n v="2"/>
    <n v="168.16666666666666"/>
  </r>
  <r>
    <d v="2025-02-13T16:38:00"/>
    <s v="INYECTADO"/>
    <x v="8"/>
    <x v="10"/>
    <s v="SAID VILLAMIZAR"/>
    <s v="VIRGEN"/>
    <s v="PP CLARIFICADO"/>
    <s v="."/>
    <x v="22"/>
    <s v="BASE ORGANIZADOR DE 3KG-TRANSPARENTE"/>
    <n v="969"/>
    <n v="9"/>
    <n v="183.2"/>
    <s v="DIURNO"/>
    <n v="0"/>
    <n v="33"/>
    <n v="967"/>
    <n v="20818"/>
    <s v="TRANSPARENTE"/>
    <n v="0"/>
    <n v="0"/>
    <n v="0"/>
    <n v="93.024000000000001"/>
    <n v="183.2"/>
    <n v="96"/>
    <n v="1908.3333333333333"/>
    <x v="0"/>
    <x v="0"/>
    <n v="3"/>
    <n v="2"/>
    <n v="161.5"/>
  </r>
  <r>
    <d v="2025-02-13T16:38:00"/>
    <s v="INYECTADO"/>
    <x v="8"/>
    <x v="11"/>
    <s v="JUAN CARLOS CEDENO"/>
    <s v="VIRGEN"/>
    <s v="PP CLARIFICADO"/>
    <s v="."/>
    <x v="23"/>
    <s v="JARRA GRECIA 5LT-TRANSPARENTE"/>
    <n v="1071"/>
    <n v="11"/>
    <n v="233.6"/>
    <s v="DIURNO"/>
    <n v="0"/>
    <n v="19"/>
    <n v="973"/>
    <n v="20819"/>
    <s v="TRANSPARENTE"/>
    <n v="12.2"/>
    <n v="0"/>
    <n v="0"/>
    <n v="237.762"/>
    <n v="233.6"/>
    <n v="222"/>
    <n v="1052.2522522522522"/>
    <x v="0"/>
    <x v="0"/>
    <n v="3"/>
    <n v="1"/>
    <n v="89.25"/>
  </r>
  <r>
    <d v="2025-02-13T16:38:00"/>
    <s v="INYECTADO"/>
    <x v="8"/>
    <x v="23"/>
    <s v="JOSDER GONZALEZ"/>
    <s v="VIRGEN"/>
    <s v="PP CLARIFICADO"/>
    <s v="."/>
    <x v="23"/>
    <s v="JARRA GRECIA 5LT-TRANSPARENTE"/>
    <n v="1140"/>
    <n v="12"/>
    <n v="248.6"/>
    <s v="DIURNO"/>
    <n v="0"/>
    <n v="16"/>
    <n v="973"/>
    <n v="20820"/>
    <s v="TRANSPARENTE"/>
    <n v="0"/>
    <n v="0"/>
    <n v="0"/>
    <n v="253.08"/>
    <n v="248.6"/>
    <n v="222"/>
    <n v="1119.8198198198197"/>
    <x v="0"/>
    <x v="0"/>
    <n v="3"/>
    <n v="1"/>
    <n v="95"/>
  </r>
  <r>
    <d v="2025-02-13T16:38:00"/>
    <s v="INYECTADO"/>
    <x v="8"/>
    <x v="23"/>
    <s v="WALTER GUEVARA"/>
    <s v="VIRGEN"/>
    <s v="PP CLARIFICADO"/>
    <s v="."/>
    <x v="23"/>
    <s v="JARRA GRECIA 5LT-TRANSPARENTE"/>
    <n v="1051"/>
    <n v="12"/>
    <n v="231.3"/>
    <s v="NOCTURNO"/>
    <n v="0"/>
    <n v="7.6"/>
    <n v="973"/>
    <n v="20821"/>
    <s v="TRANSPARENTE"/>
    <n v="7.6"/>
    <n v="0"/>
    <n v="0"/>
    <n v="233.322"/>
    <n v="231.3"/>
    <n v="222"/>
    <n v="1041.8918918918919"/>
    <x v="0"/>
    <x v="0"/>
    <n v="3"/>
    <n v="1"/>
    <n v="87.583333333333329"/>
  </r>
  <r>
    <d v="2025-02-13T16:38:00"/>
    <s v="INYECTADO"/>
    <x v="8"/>
    <x v="27"/>
    <s v="MARIA JOSE"/>
    <s v="VIRGEN"/>
    <s v="PP CLARIFICADO"/>
    <s v="."/>
    <x v="23"/>
    <s v="JARRA GRECIA 5LT-TRANSPARENTE"/>
    <n v="440"/>
    <n v="4"/>
    <n v="97.1"/>
    <s v="DIURNO"/>
    <n v="0"/>
    <n v="0"/>
    <n v="973"/>
    <n v="20822"/>
    <s v="TRANSPARENTE"/>
    <n v="0"/>
    <n v="0"/>
    <n v="0"/>
    <n v="97.68"/>
    <n v="97.1"/>
    <n v="222"/>
    <n v="437.38738738738738"/>
    <x v="0"/>
    <x v="0"/>
    <n v="3"/>
    <n v="1"/>
    <n v="36.666666666666664"/>
  </r>
  <r>
    <d v="2025-02-13T16:38:00"/>
    <s v="INYECTADO"/>
    <x v="8"/>
    <x v="12"/>
    <s v="JOSDER GONZALEZ"/>
    <s v="VIRGEN"/>
    <s v="PP CLARIFICADO"/>
    <s v="."/>
    <x v="23"/>
    <s v="JARRA GRECIA 5LT-TRANSPARENTE"/>
    <n v="680"/>
    <n v="6"/>
    <n v="151"/>
    <s v="DIURNO"/>
    <n v="0"/>
    <n v="11"/>
    <n v="973"/>
    <n v="20823"/>
    <s v="TRANSPARENTE"/>
    <n v="11"/>
    <n v="0"/>
    <n v="0"/>
    <n v="150.96"/>
    <n v="151"/>
    <n v="222"/>
    <n v="680.18018018018017"/>
    <x v="0"/>
    <x v="0"/>
    <n v="4"/>
    <n v="1"/>
    <n v="56.666666666666664"/>
  </r>
  <r>
    <d v="2025-02-13T16:38:00"/>
    <s v="INYECTADO"/>
    <x v="8"/>
    <x v="13"/>
    <s v="KARLA"/>
    <s v="VIRGEN"/>
    <s v="PP CLARIFICADO"/>
    <s v="."/>
    <x v="23"/>
    <s v="JARRA GRECIA 5LT-TRANSPARENTE"/>
    <n v="946"/>
    <n v="11"/>
    <n v="207.2"/>
    <s v="DIURNO"/>
    <n v="0"/>
    <n v="15"/>
    <n v="973"/>
    <n v="20824"/>
    <s v="TRANSPARENTE"/>
    <n v="5.6"/>
    <n v="0"/>
    <n v="0"/>
    <n v="210.012"/>
    <n v="207.2"/>
    <n v="222"/>
    <n v="933.33333333333337"/>
    <x v="0"/>
    <x v="0"/>
    <n v="4"/>
    <n v="1"/>
    <n v="78.833333333333329"/>
  </r>
  <r>
    <d v="2025-02-13T16:38:00"/>
    <s v="INYECTADO"/>
    <x v="8"/>
    <x v="24"/>
    <s v="JUAN CARLOS CEDENO"/>
    <s v="VIRGEN"/>
    <s v="PP CLARIFICADO"/>
    <s v="."/>
    <x v="23"/>
    <s v="JARRA GRECIA 5LT-TRANSPARENTE"/>
    <n v="1007"/>
    <n v="11"/>
    <n v="220.7"/>
    <s v="DIURNO"/>
    <n v="0"/>
    <n v="6"/>
    <n v="973"/>
    <n v="20825"/>
    <s v="TRANSPARENTE"/>
    <n v="1.7"/>
    <n v="0"/>
    <n v="0"/>
    <n v="223.554"/>
    <n v="220.7"/>
    <n v="222"/>
    <n v="994.14414414414409"/>
    <x v="0"/>
    <x v="0"/>
    <n v="4"/>
    <n v="1"/>
    <n v="83.916666666666671"/>
  </r>
  <r>
    <d v="2025-02-13T16:38:00"/>
    <s v="INYECTADO"/>
    <x v="8"/>
    <x v="24"/>
    <s v="JUAN CARLOS CEDENO"/>
    <s v="VIRGEN"/>
    <s v="PP CLARIFICADO"/>
    <s v="."/>
    <x v="23"/>
    <s v="JARRA GRECIA 5LT-TRANSPARENTE"/>
    <n v="945"/>
    <n v="12"/>
    <n v="208.1"/>
    <s v="DIURNO"/>
    <n v="0"/>
    <n v="15"/>
    <n v="973"/>
    <n v="20826"/>
    <s v="TRANSPARENTE"/>
    <n v="5.0999999999999996"/>
    <n v="0"/>
    <n v="0"/>
    <n v="209.79"/>
    <n v="208.1"/>
    <n v="222"/>
    <n v="937.38738738738743"/>
    <x v="0"/>
    <x v="0"/>
    <n v="4"/>
    <n v="1"/>
    <n v="78.75"/>
  </r>
  <r>
    <d v="2025-02-13T16:38:00"/>
    <s v="INYECTADO"/>
    <x v="8"/>
    <x v="25"/>
    <s v="LUIS PINEDO"/>
    <s v="VIRGEN"/>
    <s v="PP CLARIFICADO"/>
    <s v="."/>
    <x v="23"/>
    <s v="JARRA GRECIA 5LT-TRANSPARENTE"/>
    <n v="1058"/>
    <n v="11"/>
    <n v="244.8"/>
    <s v="DIURNO"/>
    <n v="0"/>
    <n v="17"/>
    <n v="973"/>
    <n v="20827"/>
    <s v="TRANSPARENTE"/>
    <n v="2.6"/>
    <n v="0"/>
    <n v="0"/>
    <n v="234.876"/>
    <n v="244.8"/>
    <n v="222"/>
    <n v="1102.7027027027027"/>
    <x v="0"/>
    <x v="0"/>
    <n v="4"/>
    <n v="1"/>
    <n v="88.166666666666671"/>
  </r>
  <r>
    <d v="2025-02-13T16:38:00"/>
    <s v="INYECTADO"/>
    <x v="8"/>
    <x v="25"/>
    <s v="FABIAN HERNANDEZ"/>
    <s v="VIRGEN"/>
    <s v="PP CLARIFICADO"/>
    <s v="."/>
    <x v="23"/>
    <s v="JARRA GRECIA 5LT-TRANSPARENTE"/>
    <n v="1032"/>
    <n v="12"/>
    <n v="247.5"/>
    <s v="NOCTURNO"/>
    <n v="0"/>
    <n v="18"/>
    <n v="973"/>
    <n v="20828"/>
    <s v="TRANSPARENTE"/>
    <n v="6.4"/>
    <n v="0"/>
    <n v="0"/>
    <n v="229.10400000000001"/>
    <n v="247.5"/>
    <n v="222"/>
    <n v="1114.8648648648648"/>
    <x v="0"/>
    <x v="0"/>
    <n v="4"/>
    <n v="1"/>
    <n v="86"/>
  </r>
  <r>
    <d v="2025-02-13T16:38:00"/>
    <s v="INYECTADO"/>
    <x v="8"/>
    <x v="14"/>
    <s v="ISABEL LINARIZ "/>
    <s v="VIRGEN"/>
    <s v="PP CLARIFICADO"/>
    <s v="."/>
    <x v="24"/>
    <s v="TAPA TAPER REDONDO-AMARILLO"/>
    <n v="351"/>
    <n v="3"/>
    <n v="45.3"/>
    <s v="DIURNO"/>
    <n v="0"/>
    <n v="4"/>
    <n v="980"/>
    <n v="20830"/>
    <s v="AMARILLO"/>
    <n v="7.9"/>
    <n v="0"/>
    <n v="0"/>
    <n v="11.583"/>
    <n v="45.3"/>
    <n v="33"/>
    <n v="1372.7272727272727"/>
    <x v="0"/>
    <x v="0"/>
    <n v="4"/>
    <n v="4"/>
    <n v="117"/>
  </r>
  <r>
    <d v="2025-02-13T16:38:00"/>
    <s v="INYECTADO"/>
    <x v="8"/>
    <x v="14"/>
    <s v="ISABEL LINARIZ "/>
    <s v="VIRGEN"/>
    <s v="PP CLARIFICADO"/>
    <s v="."/>
    <x v="24"/>
    <s v="TAPA TAPER REDONDO-VERDE"/>
    <n v="239"/>
    <n v="2"/>
    <n v="30.9"/>
    <s v="DIURNO"/>
    <n v="0"/>
    <n v="6"/>
    <n v="980"/>
    <n v="20830"/>
    <s v="VERDE"/>
    <n v="0"/>
    <n v="0"/>
    <n v="0"/>
    <n v="7.8869999999999996"/>
    <n v="30.9"/>
    <n v="33"/>
    <n v="936.36363636363637"/>
    <x v="0"/>
    <x v="0"/>
    <n v="4"/>
    <n v="4"/>
    <n v="79.666666666666671"/>
  </r>
  <r>
    <d v="2025-02-13T16:38:00"/>
    <s v="INYECTADO"/>
    <x v="8"/>
    <x v="14"/>
    <s v="FABIAN HERNANDEZ"/>
    <s v="VIRGEN"/>
    <s v="PP CLARIFICADO"/>
    <s v="."/>
    <x v="24"/>
    <s v="TAPA TAPER REDONDO-VERDE"/>
    <n v="207"/>
    <n v="2"/>
    <n v="19.3"/>
    <s v="NOCTURNO"/>
    <n v="0"/>
    <n v="3"/>
    <n v="980"/>
    <n v="20831"/>
    <s v="VERDE"/>
    <n v="3.95"/>
    <n v="0"/>
    <n v="0"/>
    <n v="6.8310000000000004"/>
    <n v="19.3"/>
    <n v="33"/>
    <n v="584.84848484848487"/>
    <x v="0"/>
    <x v="0"/>
    <n v="4"/>
    <n v="4"/>
    <n v="69"/>
  </r>
  <r>
    <d v="2025-02-13T16:38:00"/>
    <s v="INYECTADO"/>
    <x v="8"/>
    <x v="14"/>
    <s v="FABIAN HERNANDEZ"/>
    <s v="VIRGEN"/>
    <s v="PP CLARIFICADO"/>
    <s v="."/>
    <x v="24"/>
    <s v="TAPA TAPER REDONDO-TURQUESA"/>
    <n v="498"/>
    <n v="3"/>
    <n v="46.8"/>
    <s v="NOCTURNO"/>
    <n v="0"/>
    <n v="6"/>
    <n v="980"/>
    <n v="20831"/>
    <s v="TURQUESA"/>
    <n v="5.7"/>
    <n v="0"/>
    <n v="0"/>
    <n v="16.434000000000001"/>
    <n v="46.8"/>
    <n v="33"/>
    <n v="1418.1818181818182"/>
    <x v="0"/>
    <x v="0"/>
    <n v="4"/>
    <n v="4"/>
    <n v="166"/>
  </r>
  <r>
    <d v="2025-02-13T16:38:00"/>
    <s v="INYECTADO"/>
    <x v="8"/>
    <x v="14"/>
    <s v="FABIAN HERNANDEZ"/>
    <s v="VIRGEN"/>
    <s v="PP CLARIFICADO"/>
    <s v="."/>
    <x v="24"/>
    <s v="TAPA TAPER REDONDO-FUCSIA"/>
    <n v="535"/>
    <n v="4"/>
    <n v="49.8"/>
    <s v="NOCTURNO"/>
    <n v="0"/>
    <n v="6"/>
    <n v="980"/>
    <n v="20831"/>
    <s v="FUCSIA"/>
    <n v="3.4"/>
    <n v="0"/>
    <n v="0"/>
    <n v="17.655000000000001"/>
    <n v="49.8"/>
    <n v="33"/>
    <n v="1509.090909090909"/>
    <x v="0"/>
    <x v="0"/>
    <n v="4"/>
    <n v="4"/>
    <n v="178.33333333333334"/>
  </r>
  <r>
    <d v="2025-02-13T16:38:00"/>
    <s v="INYECTADO"/>
    <x v="8"/>
    <x v="14"/>
    <s v="FABIAN HERNANDEZ"/>
    <s v="VIRGEN"/>
    <s v="PP CLARIFICADO"/>
    <s v="."/>
    <x v="24"/>
    <s v="TAPA TAPER REDONDO-ROJO"/>
    <n v="411"/>
    <n v="3"/>
    <n v="38.299999999999997"/>
    <s v="NOCTURNO"/>
    <n v="0"/>
    <n v="5"/>
    <n v="980"/>
    <n v="20831"/>
    <s v="ROJO"/>
    <n v="2.7"/>
    <n v="0"/>
    <n v="0"/>
    <n v="13.563000000000001"/>
    <n v="38.299999999999997"/>
    <n v="33"/>
    <n v="1160.6060606060605"/>
    <x v="0"/>
    <x v="0"/>
    <n v="4"/>
    <n v="4"/>
    <n v="137"/>
  </r>
  <r>
    <d v="2025-02-13T16:38:00"/>
    <s v="INYECTADO"/>
    <x v="8"/>
    <x v="15"/>
    <s v="ISABEL LINARIZ "/>
    <s v="VIRGEN"/>
    <s v="PP CLARIFICADO"/>
    <s v="."/>
    <x v="24"/>
    <s v="TAPA TAPER REDONDO-AMARILLO"/>
    <n v="537"/>
    <n v="4"/>
    <n v="50"/>
    <s v="DIURNO"/>
    <n v="0"/>
    <n v="7"/>
    <n v="980"/>
    <n v="20832"/>
    <s v="AMARILLO"/>
    <n v="7.2"/>
    <n v="0"/>
    <n v="0"/>
    <n v="17.721"/>
    <n v="50"/>
    <n v="33"/>
    <n v="1515.1515151515152"/>
    <x v="0"/>
    <x v="0"/>
    <n v="4"/>
    <n v="4"/>
    <n v="179"/>
  </r>
  <r>
    <d v="2025-02-13T16:38:00"/>
    <s v="INYECTADO"/>
    <x v="8"/>
    <x v="15"/>
    <s v="ISABEL LINARIZ "/>
    <s v="VIRGEN"/>
    <s v="PP CLARIFICADO"/>
    <s v="."/>
    <x v="24"/>
    <s v="TAPA TAPER REDONDO-ROJO"/>
    <n v="637"/>
    <n v="6"/>
    <n v="59.3"/>
    <s v="DIURNO"/>
    <n v="0"/>
    <n v="6"/>
    <n v="980"/>
    <n v="20832"/>
    <s v="ROJO"/>
    <n v="7.7"/>
    <n v="0"/>
    <n v="0"/>
    <n v="21.021000000000001"/>
    <n v="59.3"/>
    <n v="33"/>
    <n v="1796.969696969697"/>
    <x v="0"/>
    <x v="0"/>
    <n v="4"/>
    <n v="4"/>
    <n v="212.33333333333334"/>
  </r>
  <r>
    <d v="2025-02-13T16:38:00"/>
    <s v="INYECTADO"/>
    <x v="8"/>
    <x v="15"/>
    <s v="ISABEL LINARIZ "/>
    <s v="VIRGEN"/>
    <s v="PP CLARIFICADO"/>
    <s v="."/>
    <x v="24"/>
    <s v="TAPA TAPER REDONDO-VERDE"/>
    <n v="430"/>
    <n v="4"/>
    <n v="40"/>
    <s v="DIURNO"/>
    <n v="0"/>
    <n v="8"/>
    <n v="980"/>
    <n v="20832"/>
    <s v="VERDE"/>
    <n v="7.2"/>
    <n v="0"/>
    <n v="0"/>
    <n v="14.19"/>
    <n v="40"/>
    <n v="33"/>
    <n v="1212.121212121212"/>
    <x v="0"/>
    <x v="0"/>
    <n v="4"/>
    <n v="4"/>
    <n v="143.33333333333334"/>
  </r>
  <r>
    <d v="2025-02-13T16:38:00"/>
    <s v="INYECTADO"/>
    <x v="8"/>
    <x v="15"/>
    <s v="PAUL MILLER"/>
    <s v="VIRGEN"/>
    <s v="PP CLARIFICADO"/>
    <s v="."/>
    <x v="24"/>
    <s v="TAPA TAPER REDONDO-VERDE"/>
    <n v="135"/>
    <n v="1"/>
    <n v="12.3"/>
    <s v="NOCTURNO"/>
    <n v="0"/>
    <n v="7"/>
    <n v="980"/>
    <n v="20833"/>
    <s v="VERDE"/>
    <n v="2.5"/>
    <n v="0"/>
    <n v="0"/>
    <n v="4.4550000000000001"/>
    <n v="12.3"/>
    <n v="33"/>
    <n v="372.72727272727275"/>
    <x v="0"/>
    <x v="0"/>
    <n v="4"/>
    <n v="4"/>
    <n v="45"/>
  </r>
  <r>
    <d v="2025-02-13T16:38:00"/>
    <s v="INYECTADO"/>
    <x v="8"/>
    <x v="15"/>
    <s v="PAUL MILLER"/>
    <s v="VIRGEN"/>
    <s v="PP CLARIFICADO"/>
    <s v="."/>
    <x v="24"/>
    <s v="TAPA TAPER REDONDO-TURQUESA"/>
    <n v="524"/>
    <n v="5"/>
    <n v="49.2"/>
    <s v="NOCTURNO"/>
    <n v="0"/>
    <n v="6"/>
    <n v="980"/>
    <n v="20833"/>
    <s v="TURQUESA"/>
    <n v="6.9"/>
    <n v="0"/>
    <n v="0"/>
    <n v="17.292000000000002"/>
    <n v="49.2"/>
    <n v="33"/>
    <n v="1490.909090909091"/>
    <x v="0"/>
    <x v="0"/>
    <n v="4"/>
    <n v="4"/>
    <n v="174.66666666666666"/>
  </r>
  <r>
    <d v="2025-02-13T16:38:00"/>
    <s v="INYECTADO"/>
    <x v="8"/>
    <x v="15"/>
    <s v="PAUL MILLER"/>
    <s v="VIRGEN"/>
    <s v="PP CLARIFICADO"/>
    <s v="."/>
    <x v="24"/>
    <s v="TAPA TAPER REDONDO-AZUL"/>
    <n v="486"/>
    <n v="4"/>
    <n v="45.2"/>
    <s v="NOCTURNO"/>
    <n v="0"/>
    <n v="7"/>
    <n v="980"/>
    <n v="20833"/>
    <s v="AZUL"/>
    <n v="1.7"/>
    <n v="0"/>
    <n v="0"/>
    <n v="16.038"/>
    <n v="45.2"/>
    <n v="33"/>
    <n v="1369.6969696969697"/>
    <x v="0"/>
    <x v="0"/>
    <n v="4"/>
    <n v="4"/>
    <n v="162"/>
  </r>
  <r>
    <d v="2025-02-13T16:38:00"/>
    <s v="INYECTADO"/>
    <x v="8"/>
    <x v="15"/>
    <s v="PAUL MILLER"/>
    <s v="VIRGEN"/>
    <s v="PP CLARIFICADO"/>
    <s v="."/>
    <x v="24"/>
    <s v="TAPA TAPER REDONDO-FUCSIA"/>
    <n v="520"/>
    <n v="5"/>
    <n v="48.2"/>
    <s v="DIURNO"/>
    <n v="0"/>
    <n v="5"/>
    <n v="980"/>
    <n v="20833"/>
    <s v="FUCSIA"/>
    <n v="2.1"/>
    <n v="0"/>
    <n v="0"/>
    <n v="17.16"/>
    <n v="48.2"/>
    <n v="33"/>
    <n v="1460.6060606060605"/>
    <x v="0"/>
    <x v="0"/>
    <n v="4"/>
    <n v="4"/>
    <n v="173.33333333333334"/>
  </r>
  <r>
    <d v="2025-02-13T16:38:00"/>
    <s v="INYECTADO"/>
    <x v="8"/>
    <x v="7"/>
    <s v="JOSDER GONZALEZ"/>
    <s v="VIRGEN"/>
    <s v="PP CLARIFICADO"/>
    <s v="."/>
    <x v="25"/>
    <s v="TAPA TAPERS REDONDOS CARAMELO-AMARILLO"/>
    <n v="250"/>
    <n v="2"/>
    <n v="23"/>
    <s v="DIURNO"/>
    <n v="0"/>
    <n v="8"/>
    <n v="985"/>
    <n v="20834"/>
    <s v="AMARILLO"/>
    <n v="3.2"/>
    <n v="0"/>
    <n v="0"/>
    <n v="8.25"/>
    <n v="23"/>
    <n v="33"/>
    <n v="696.969696969697"/>
    <x v="0"/>
    <x v="0"/>
    <n v="5"/>
    <n v="4"/>
    <n v="83.333333333333329"/>
  </r>
  <r>
    <d v="2025-02-13T16:38:00"/>
    <s v="INYECTADO"/>
    <x v="8"/>
    <x v="7"/>
    <s v="JOSDER GONZALEZ"/>
    <s v="VIRGEN"/>
    <s v="PP CLARIFICADO"/>
    <s v="."/>
    <x v="25"/>
    <s v="TAPA TAPERS REDONDOS CARAMELO-VERDE"/>
    <n v="436"/>
    <n v="4"/>
    <n v="40.200000000000003"/>
    <s v="DIURNO"/>
    <n v="0"/>
    <n v="0"/>
    <n v="985"/>
    <n v="20834"/>
    <s v="VERDE"/>
    <n v="2.2000000000000002"/>
    <n v="0"/>
    <n v="0"/>
    <n v="14.388"/>
    <n v="40.200000000000003"/>
    <n v="33"/>
    <n v="1218.1818181818182"/>
    <x v="0"/>
    <x v="0"/>
    <n v="5"/>
    <n v="4"/>
    <n v="145.33333333333334"/>
  </r>
  <r>
    <d v="2025-02-13T16:38:00"/>
    <s v="INYECTADO"/>
    <x v="8"/>
    <x v="7"/>
    <s v="JOSDER GONZALEZ"/>
    <s v="VIRGEN"/>
    <s v="PP CLARIFICADO"/>
    <s v="."/>
    <x v="25"/>
    <s v="TAPA TAPERS REDONDOS CARAMELO-ROJO"/>
    <n v="121"/>
    <n v="1"/>
    <n v="11.2"/>
    <s v="DIURNO"/>
    <n v="0"/>
    <n v="2"/>
    <n v="985"/>
    <n v="20834"/>
    <s v="ROJO"/>
    <n v="0.6"/>
    <n v="0"/>
    <n v="0"/>
    <n v="3.9929999999999999"/>
    <n v="11.2"/>
    <n v="33"/>
    <n v="339.39393939393938"/>
    <x v="0"/>
    <x v="0"/>
    <n v="5"/>
    <n v="4"/>
    <n v="40.333333333333336"/>
  </r>
  <r>
    <d v="2025-02-13T16:38:00"/>
    <s v="INYECTADO"/>
    <x v="8"/>
    <x v="8"/>
    <s v="ISABEL LINARIZ "/>
    <s v="VIRGEN"/>
    <s v="PP CLARIFICADO"/>
    <s v="."/>
    <x v="25"/>
    <s v="TAPA TAPERS REDONDOS CARAMELO-LILA"/>
    <n v="536"/>
    <n v="5"/>
    <n v="49.9"/>
    <s v="DIURNO"/>
    <n v="0"/>
    <n v="7"/>
    <n v="985"/>
    <n v="20835"/>
    <s v="LILA"/>
    <n v="0"/>
    <n v="0"/>
    <n v="0"/>
    <n v="17.687999999999999"/>
    <n v="49.9"/>
    <n v="33"/>
    <n v="1512.121212121212"/>
    <x v="0"/>
    <x v="0"/>
    <n v="5"/>
    <n v="4"/>
    <n v="178.66666666666666"/>
  </r>
  <r>
    <d v="2025-02-13T16:38:00"/>
    <s v="INYECTADO"/>
    <x v="8"/>
    <x v="8"/>
    <s v="ISABEL LINARIZ "/>
    <s v="VIRGEN"/>
    <s v="PP CLARIFICADO"/>
    <s v="."/>
    <x v="25"/>
    <s v="TAPA TAPERS REDONDOS CARAMELO-ROJO"/>
    <n v="288"/>
    <n v="3"/>
    <n v="26.8"/>
    <s v="DIURNO"/>
    <n v="0"/>
    <n v="4"/>
    <n v="985"/>
    <n v="20835"/>
    <s v="ROJO"/>
    <n v="4.0999999999999996"/>
    <n v="0"/>
    <n v="0"/>
    <n v="9.5039999999999996"/>
    <n v="26.8"/>
    <n v="33"/>
    <n v="812.12121212121212"/>
    <x v="0"/>
    <x v="0"/>
    <n v="5"/>
    <n v="4"/>
    <n v="96"/>
  </r>
  <r>
    <d v="2025-02-13T16:38:00"/>
    <s v="INYECTADO"/>
    <x v="8"/>
    <x v="8"/>
    <s v="ISABEL LINARIZ "/>
    <s v="VIRGEN"/>
    <s v="PP CLARIFICADO"/>
    <s v="."/>
    <x v="25"/>
    <s v="TAPA TAPERS REDONDOS CARAMELO-FUCSIA"/>
    <n v="529"/>
    <n v="5"/>
    <n v="49.2"/>
    <s v="DIURNO"/>
    <n v="0"/>
    <n v="7"/>
    <n v="985"/>
    <n v="20835"/>
    <s v="FUCSIA"/>
    <n v="4"/>
    <n v="0"/>
    <n v="0"/>
    <n v="17.457000000000001"/>
    <n v="49.2"/>
    <n v="33"/>
    <n v="1490.909090909091"/>
    <x v="0"/>
    <x v="0"/>
    <n v="5"/>
    <n v="4"/>
    <n v="176.33333333333334"/>
  </r>
  <r>
    <d v="2025-02-13T16:38:00"/>
    <s v="INYECTADO"/>
    <x v="8"/>
    <x v="16"/>
    <s v="SAID VILLAMIZAR"/>
    <s v="VIRGEN"/>
    <s v="PP CLARIFICADO"/>
    <s v="."/>
    <x v="25"/>
    <s v="TAPA TAPERS REDONDOS CARAMELO-AZUL"/>
    <n v="320"/>
    <n v="3"/>
    <n v="30.1"/>
    <s v="DIURNO"/>
    <n v="0"/>
    <n v="4"/>
    <n v="985"/>
    <n v="20836"/>
    <s v="AZUL"/>
    <n v="4"/>
    <n v="0"/>
    <n v="0"/>
    <n v="10.56"/>
    <n v="30.1"/>
    <n v="33"/>
    <n v="912.12121212121212"/>
    <x v="0"/>
    <x v="0"/>
    <n v="5"/>
    <n v="4"/>
    <n v="106.66666666666667"/>
  </r>
  <r>
    <d v="2025-02-13T16:38:00"/>
    <s v="INYECTADO"/>
    <x v="8"/>
    <x v="17"/>
    <s v="NELSON PINEDO"/>
    <s v="VIRGEN"/>
    <s v="PP CLARIFICADO"/>
    <s v="."/>
    <x v="26"/>
    <s v="BALDE REAL-AMARILLO"/>
    <n v="239"/>
    <n v="2"/>
    <n v="42.3"/>
    <s v="DIURNO"/>
    <n v="0"/>
    <n v="2"/>
    <n v="988"/>
    <n v="20837"/>
    <s v="AMARILLO"/>
    <n v="4.0999999999999996"/>
    <n v="0"/>
    <n v="0"/>
    <n v="20.553999999999998"/>
    <n v="42.3"/>
    <n v="86"/>
    <n v="491.86046511627904"/>
    <x v="0"/>
    <x v="0"/>
    <n v="5"/>
    <n v="2"/>
    <n v="39.833333333333336"/>
  </r>
  <r>
    <d v="2025-02-13T16:38:00"/>
    <s v="INYECTADO"/>
    <x v="8"/>
    <x v="26"/>
    <s v="FABIAN HERNANDEZ"/>
    <s v="SEGUNDA"/>
    <s v="."/>
    <s v="MIXTO"/>
    <x v="26"/>
    <s v="BALDE REAL-VERDE"/>
    <n v="240"/>
    <n v="2"/>
    <n v="41.2"/>
    <s v="NOCTURNO"/>
    <n v="0"/>
    <n v="2"/>
    <n v="988"/>
    <n v="20838"/>
    <s v="VERDE"/>
    <n v="6.7"/>
    <n v="0"/>
    <n v="0"/>
    <n v="20.64"/>
    <n v="41.2"/>
    <n v="86"/>
    <n v="479.06976744186045"/>
    <x v="0"/>
    <x v="0"/>
    <n v="5"/>
    <n v="2"/>
    <n v="40"/>
  </r>
  <r>
    <d v="2025-02-13T16:38:00"/>
    <s v="INYECTADO"/>
    <x v="8"/>
    <x v="26"/>
    <s v="FABIAN HERNANDEZ"/>
    <s v="SEGUNDA"/>
    <s v="."/>
    <s v="MIXTO"/>
    <x v="26"/>
    <s v="BALDE REAL-FUCSIA"/>
    <n v="140"/>
    <n v="1"/>
    <n v="24"/>
    <s v="NOCTURNO"/>
    <n v="0"/>
    <n v="1"/>
    <n v="988"/>
    <n v="20838"/>
    <s v="ROSADO"/>
    <n v="6"/>
    <n v="0"/>
    <n v="0"/>
    <n v="12.04"/>
    <n v="24"/>
    <n v="86"/>
    <n v="279.06976744186045"/>
    <x v="0"/>
    <x v="0"/>
    <n v="5"/>
    <n v="2"/>
    <n v="23.333333333333332"/>
  </r>
  <r>
    <d v="2025-02-13T16:38:00"/>
    <s v="INYECTADO"/>
    <x v="8"/>
    <x v="26"/>
    <s v="FABIAN HERNANDEZ"/>
    <s v="SEGUNDA"/>
    <s v="."/>
    <s v="MIXTO"/>
    <x v="26"/>
    <s v="BALDE REAL-AZUL"/>
    <n v="240"/>
    <n v="2"/>
    <n v="41.2"/>
    <s v="NOCTURNO"/>
    <n v="0"/>
    <n v="2"/>
    <n v="988"/>
    <n v="20838"/>
    <s v="AZUL"/>
    <n v="10"/>
    <n v="0"/>
    <n v="0"/>
    <n v="20.64"/>
    <n v="41.2"/>
    <n v="86"/>
    <n v="479.06976744186045"/>
    <x v="0"/>
    <x v="0"/>
    <n v="5"/>
    <n v="2"/>
    <n v="40"/>
  </r>
  <r>
    <d v="2025-02-13T16:38:00"/>
    <s v="INYECTADO"/>
    <x v="8"/>
    <x v="26"/>
    <s v="FABIAN HERNANDEZ"/>
    <s v="SEGUNDA"/>
    <s v="."/>
    <s v="MIXTO"/>
    <x v="26"/>
    <s v="BALDE REAL-LILA"/>
    <n v="228"/>
    <n v="2"/>
    <n v="39.200000000000003"/>
    <s v="NOCTURNO"/>
    <n v="0"/>
    <n v="2"/>
    <n v="988"/>
    <n v="20838"/>
    <s v="LILA"/>
    <n v="12"/>
    <n v="0"/>
    <n v="0"/>
    <n v="19.608000000000001"/>
    <n v="39.200000000000003"/>
    <n v="86"/>
    <n v="455.81395348837208"/>
    <x v="0"/>
    <x v="0"/>
    <n v="5"/>
    <n v="2"/>
    <n v="38"/>
  </r>
  <r>
    <d v="2025-02-13T16:38:00"/>
    <s v="INYECTADO"/>
    <x v="8"/>
    <x v="26"/>
    <s v="FABIAN HERNANDEZ"/>
    <s v="SEGUNDA"/>
    <s v="."/>
    <s v="MIXTO"/>
    <x v="26"/>
    <s v="BALDE REAL-ROJO"/>
    <n v="130"/>
    <n v="1"/>
    <n v="22.3"/>
    <s v="NOCTURNO"/>
    <n v="0"/>
    <n v="1"/>
    <n v="988"/>
    <n v="20838"/>
    <s v="ROJO"/>
    <n v="5.6"/>
    <n v="0"/>
    <n v="0"/>
    <n v="11.18"/>
    <n v="22.3"/>
    <n v="86"/>
    <n v="259.30232558139534"/>
    <x v="0"/>
    <x v="0"/>
    <n v="5"/>
    <n v="2"/>
    <n v="21.666666666666668"/>
  </r>
  <r>
    <d v="2025-02-13T22:15:00"/>
    <s v="INYECTADO"/>
    <x v="9"/>
    <x v="22"/>
    <s v="NELSON PINEDO"/>
    <s v="VIRGEN"/>
    <s v="PP SOPLADO"/>
    <s v="."/>
    <x v="27"/>
    <s v="TOMATODO ULTRA 900ML-TRANSPARENTE"/>
    <n v="905"/>
    <n v="8"/>
    <n v="54.8"/>
    <s v="DIURNO"/>
    <n v="0"/>
    <n v="7"/>
    <n v="937"/>
    <n v="20285"/>
    <s v="TRANSPARENTE"/>
    <n v="33"/>
    <n v="0"/>
    <n v="0"/>
    <n v="54.3"/>
    <n v="54.8"/>
    <n v="60"/>
    <n v="913.33333333333337"/>
    <x v="0"/>
    <x v="0"/>
    <n v="2"/>
    <n v="1"/>
    <n v="75.416666666666671"/>
  </r>
  <r>
    <d v="2025-02-13T22:15:00"/>
    <s v="INYECTADO"/>
    <x v="9"/>
    <x v="4"/>
    <s v="FABIAN HERNANDEZ"/>
    <s v="VIRGEN"/>
    <s v="PP SOPLADO"/>
    <s v="."/>
    <x v="27"/>
    <s v="TOMATODO ULTRA 900ML-TRANSPARENTE"/>
    <n v="350"/>
    <n v="6"/>
    <n v="23.8"/>
    <s v="NOCTURNO"/>
    <n v="0"/>
    <n v="5"/>
    <n v="937"/>
    <n v="20266"/>
    <s v="TRANSPARENTE"/>
    <n v="0"/>
    <n v="0"/>
    <n v="0"/>
    <n v="21"/>
    <n v="23.8"/>
    <n v="60"/>
    <n v="396.66666666666669"/>
    <x v="0"/>
    <x v="0"/>
    <n v="2"/>
    <n v="1"/>
    <n v="29.166666666666668"/>
  </r>
  <r>
    <d v="2025-02-13T22:15:00"/>
    <s v="INYECTADO"/>
    <x v="9"/>
    <x v="28"/>
    <s v="BRAYAN PINEDO"/>
    <s v="VIRGEN"/>
    <s v="PP SOPLADO"/>
    <s v="."/>
    <x v="27"/>
    <s v="TOMATODO ULTRA 900ML-TRANSPARENTE"/>
    <n v="672"/>
    <n v="8"/>
    <n v="41.6"/>
    <s v="DIURNO"/>
    <n v="0"/>
    <n v="6"/>
    <n v="937"/>
    <n v="20267"/>
    <s v="TRANSPARENTE"/>
    <n v="27.5"/>
    <n v="0"/>
    <n v="0"/>
    <n v="40.32"/>
    <n v="41.6"/>
    <n v="60"/>
    <n v="693.33333333333337"/>
    <x v="0"/>
    <x v="0"/>
    <n v="2"/>
    <n v="1"/>
    <n v="56"/>
  </r>
  <r>
    <d v="2025-02-13T22:15:00"/>
    <s v="INYECTADO"/>
    <x v="9"/>
    <x v="5"/>
    <s v="GABRIEL REQUENA"/>
    <s v="VIRGEN"/>
    <s v="PP SOPLADO"/>
    <s v="."/>
    <x v="27"/>
    <s v="TOMATODO ULTRA 900ML-TRANSPARENTE"/>
    <n v="1182"/>
    <n v="12"/>
    <n v="74.5"/>
    <s v="DIURNO"/>
    <n v="0"/>
    <n v="12"/>
    <n v="937"/>
    <n v="20269"/>
    <s v="TRANSPARENTE"/>
    <n v="36.299999999999997"/>
    <n v="0"/>
    <n v="0"/>
    <n v="70.92"/>
    <n v="74.5"/>
    <n v="60"/>
    <n v="1241.6666666666667"/>
    <x v="0"/>
    <x v="0"/>
    <n v="3"/>
    <n v="1"/>
    <n v="98.5"/>
  </r>
  <r>
    <d v="2025-02-13T22:15:00"/>
    <s v="INYECTADO"/>
    <x v="9"/>
    <x v="6"/>
    <s v="NELSON PINEDO"/>
    <s v="VIRGEN"/>
    <s v="PP SOPLADO"/>
    <s v="."/>
    <x v="27"/>
    <s v="TOMATODO ULTRA 900ML-TRANSPARENTE"/>
    <n v="1268"/>
    <n v="12"/>
    <n v="84.2"/>
    <s v="DIURNO"/>
    <n v="0"/>
    <n v="12"/>
    <n v="937"/>
    <n v="20270"/>
    <s v="TRANSPARENTE"/>
    <n v="25"/>
    <n v="0"/>
    <n v="0"/>
    <n v="76.08"/>
    <n v="84.2"/>
    <n v="60"/>
    <n v="1403.3333333333333"/>
    <x v="0"/>
    <x v="0"/>
    <n v="3"/>
    <n v="1"/>
    <n v="105.66666666666667"/>
  </r>
  <r>
    <d v="2025-02-13T22:15:00"/>
    <s v="INYECTADO"/>
    <x v="9"/>
    <x v="9"/>
    <s v="NELSON PINEDO"/>
    <s v="VIRGEN"/>
    <s v="PP SOPLADO"/>
    <s v="."/>
    <x v="27"/>
    <s v="TOMATODO ULTRA 900ML-TRANSPARENTE"/>
    <n v="406"/>
    <n v="5"/>
    <n v="24.8"/>
    <s v="DIURNO"/>
    <n v="0"/>
    <n v="4"/>
    <n v="937"/>
    <n v="20271"/>
    <s v="TRANSPARENTE"/>
    <n v="22.2"/>
    <n v="0"/>
    <n v="0"/>
    <n v="24.36"/>
    <n v="24.8"/>
    <n v="60"/>
    <n v="413.33333333333331"/>
    <x v="0"/>
    <x v="0"/>
    <n v="3"/>
    <n v="1"/>
    <n v="33.833333333333336"/>
  </r>
  <r>
    <d v="2025-02-13T22:15:00"/>
    <s v="INYECTADO"/>
    <x v="9"/>
    <x v="9"/>
    <s v="NELSON PINEDO"/>
    <s v="VIRGEN"/>
    <s v="PP SOPLADO"/>
    <s v="."/>
    <x v="28"/>
    <s v="TOMATODO AVENTURA 600ML-TRANSPARENTE"/>
    <n v="341"/>
    <n v="3"/>
    <n v="16.399999999999999"/>
    <s v="DIURNO"/>
    <n v="0"/>
    <n v="2"/>
    <n v="969"/>
    <n v="20271"/>
    <s v="TRANSPARENTE"/>
    <n v="0"/>
    <n v="0"/>
    <n v="0"/>
    <n v="15.686"/>
    <n v="16.399999999999999"/>
    <n v="46"/>
    <n v="356.52173913043481"/>
    <x v="0"/>
    <x v="0"/>
    <n v="3"/>
    <n v="1"/>
    <n v="28.416666666666668"/>
  </r>
  <r>
    <d v="2025-02-13T22:15:00"/>
    <s v="INYECTADO"/>
    <x v="9"/>
    <x v="9"/>
    <s v="FABIAN HERNANDEZ"/>
    <s v="VIRGEN"/>
    <s v="PP SOPLADO"/>
    <s v="."/>
    <x v="28"/>
    <s v="TOMATODO AVENTURA 600ML-TRANSPARENTE"/>
    <n v="1268"/>
    <n v="12"/>
    <n v="60.9"/>
    <s v="NOCTURNO"/>
    <n v="0"/>
    <n v="8"/>
    <n v="969"/>
    <n v="20272"/>
    <s v="TRANSPARENTE"/>
    <n v="29.1"/>
    <n v="0"/>
    <n v="0"/>
    <n v="58.328000000000003"/>
    <n v="60.9"/>
    <n v="46"/>
    <n v="1323.9130434782608"/>
    <x v="0"/>
    <x v="0"/>
    <n v="3"/>
    <n v="1"/>
    <n v="105.66666666666667"/>
  </r>
  <r>
    <d v="2025-02-13T22:15:00"/>
    <s v="INYECTADO"/>
    <x v="9"/>
    <x v="10"/>
    <s v="NELSON PINEDO"/>
    <s v="VIRGEN"/>
    <s v="PP SOPLADO"/>
    <s v="."/>
    <x v="28"/>
    <s v="TOMATODO AVENTURA 600ML-TRANSPARENTE"/>
    <n v="1445"/>
    <n v="11"/>
    <n v="69.400000000000006"/>
    <s v="DIURNO"/>
    <n v="0"/>
    <n v="9"/>
    <n v="969"/>
    <n v="20273"/>
    <s v="TRANSPARENTE"/>
    <n v="29.4"/>
    <n v="0"/>
    <n v="0"/>
    <n v="66.47"/>
    <n v="69.400000000000006"/>
    <n v="46"/>
    <n v="1508.695652173913"/>
    <x v="0"/>
    <x v="0"/>
    <n v="3"/>
    <n v="1"/>
    <n v="120.41666666666667"/>
  </r>
  <r>
    <d v="2025-02-13T22:15:00"/>
    <s v="INYECTADO"/>
    <x v="9"/>
    <x v="10"/>
    <s v="FABIAN HERNANDEZ"/>
    <s v="VIRGEN"/>
    <s v="PP SOPLADO"/>
    <s v="."/>
    <x v="28"/>
    <s v="TOMATODO AVENTURA 600ML-TRANSPARENTE"/>
    <n v="1356"/>
    <n v="11"/>
    <n v="63.1"/>
    <s v="NOCTURNO"/>
    <n v="0"/>
    <n v="10"/>
    <n v="969"/>
    <n v="20274"/>
    <s v="TRANSPARENTE"/>
    <n v="36.1"/>
    <n v="0"/>
    <n v="0"/>
    <n v="62.375999999999998"/>
    <n v="63.1"/>
    <n v="46"/>
    <n v="1371.7391304347825"/>
    <x v="0"/>
    <x v="0"/>
    <n v="3"/>
    <n v="1"/>
    <n v="113"/>
  </r>
  <r>
    <d v="2025-02-13T22:15:00"/>
    <s v="INYECTADO"/>
    <x v="9"/>
    <x v="11"/>
    <s v="GABRIEL REQUENA"/>
    <s v="VIRGEN"/>
    <s v="PP SOPLADO"/>
    <s v="."/>
    <x v="28"/>
    <s v="TOMATODO AVENTURA 600ML-TRANSPARENTE"/>
    <n v="581"/>
    <n v="4"/>
    <n v="28.5"/>
    <s v="DIURNO"/>
    <n v="0"/>
    <n v="4"/>
    <n v="969"/>
    <n v="20275"/>
    <s v="TRANSPARENTE"/>
    <n v="28.5"/>
    <n v="0"/>
    <n v="0"/>
    <n v="26.725999999999999"/>
    <n v="28.5"/>
    <n v="46"/>
    <n v="619.56521739130437"/>
    <x v="0"/>
    <x v="0"/>
    <n v="3"/>
    <n v="1"/>
    <n v="48.416666666666664"/>
  </r>
  <r>
    <d v="2025-02-13T22:15:00"/>
    <s v="INYECTADO"/>
    <x v="9"/>
    <x v="23"/>
    <s v="LUIS RENGIFO"/>
    <s v="VIRGEN"/>
    <s v="PP SOPLADO"/>
    <s v="."/>
    <x v="29"/>
    <s v="SALSERO MULTIUSO 600ML-TRANSPARENTE"/>
    <n v="1182"/>
    <n v="11"/>
    <n v="49.8"/>
    <s v="DIURNO"/>
    <n v="0"/>
    <n v="8"/>
    <n v="974"/>
    <n v="20276"/>
    <s v="TRANSPARENTE"/>
    <n v="28.6"/>
    <n v="0"/>
    <n v="0"/>
    <n v="47.28"/>
    <n v="49.8"/>
    <n v="40"/>
    <n v="1245"/>
    <x v="0"/>
    <x v="0"/>
    <n v="3"/>
    <n v="1"/>
    <n v="98.5"/>
  </r>
  <r>
    <d v="2025-02-13T22:15:00"/>
    <s v="INYECTADO"/>
    <x v="9"/>
    <x v="12"/>
    <s v="NELSON PINEDO"/>
    <s v="VIRGEN"/>
    <s v="PP SOPLADO"/>
    <s v="."/>
    <x v="29"/>
    <s v="SALSERO MULTIUSO 600ML-TRANSPARENTE"/>
    <n v="1237"/>
    <n v="10"/>
    <n v="49.9"/>
    <s v="DIURNO"/>
    <n v="0"/>
    <n v="8"/>
    <n v="974"/>
    <n v="20277"/>
    <s v="TRANSPARENTE"/>
    <n v="29.5"/>
    <n v="0"/>
    <n v="0"/>
    <n v="49.48"/>
    <n v="49.9"/>
    <n v="40"/>
    <n v="1247.5"/>
    <x v="0"/>
    <x v="0"/>
    <n v="4"/>
    <n v="1"/>
    <n v="103.08333333333333"/>
  </r>
  <r>
    <d v="2025-02-13T22:15:00"/>
    <s v="INYECTADO"/>
    <x v="9"/>
    <x v="13"/>
    <s v="NELSON PINEDO"/>
    <s v="VIRGEN"/>
    <s v="PP SOPLADO"/>
    <s v="."/>
    <x v="29"/>
    <s v="SALSERO MULTIUSO 600ML-TRANSPARENTE"/>
    <n v="685"/>
    <n v="5"/>
    <n v="27.4"/>
    <s v="DIURNO"/>
    <n v="0"/>
    <n v="6"/>
    <n v="974"/>
    <n v="20279"/>
    <s v="TRANSPARENTE"/>
    <n v="0"/>
    <n v="0"/>
    <n v="0"/>
    <n v="27.4"/>
    <n v="27.4"/>
    <n v="40"/>
    <n v="685"/>
    <x v="0"/>
    <x v="0"/>
    <n v="4"/>
    <n v="1"/>
    <n v="57.083333333333336"/>
  </r>
  <r>
    <d v="2025-02-13T22:15:00"/>
    <s v="INYECTADO"/>
    <x v="9"/>
    <x v="13"/>
    <s v="NELSON PINEDO"/>
    <s v="VIRGEN"/>
    <s v="PP SOPLADO"/>
    <s v="."/>
    <x v="30"/>
    <s v="SALSERO MULTIUSO 480ML-TRANSPARENTE"/>
    <n v="156"/>
    <n v="2"/>
    <n v="5.8"/>
    <s v="DIURNO"/>
    <n v="0"/>
    <n v="1"/>
    <n v="974"/>
    <n v="20279"/>
    <s v="TRANSPARENTE"/>
    <n v="0"/>
    <n v="0"/>
    <n v="0"/>
    <n v="5.9279999999999999"/>
    <n v="5.8"/>
    <n v="38"/>
    <n v="152.63157894736841"/>
    <x v="0"/>
    <x v="0"/>
    <n v="4"/>
    <n v="1"/>
    <n v="13"/>
  </r>
  <r>
    <d v="2025-02-13T22:15:00"/>
    <s v="INYECTADO"/>
    <x v="9"/>
    <x v="13"/>
    <s v="FABIAN HERNANDEZ"/>
    <s v="VIRGEN"/>
    <s v="PP SOPLADO"/>
    <s v="."/>
    <x v="30"/>
    <s v="SALSERO MULTIUSO 480ML-TRANSPARENTE"/>
    <n v="1532"/>
    <n v="11"/>
    <n v="56.6"/>
    <s v="NOCTURNO"/>
    <n v="0"/>
    <n v="9"/>
    <n v="974"/>
    <n v="20280"/>
    <s v="TRANSPARENTE"/>
    <n v="30.5"/>
    <n v="0"/>
    <n v="0"/>
    <n v="58.216000000000001"/>
    <n v="56.6"/>
    <n v="38"/>
    <n v="1489.4736842105262"/>
    <x v="0"/>
    <x v="0"/>
    <n v="4"/>
    <n v="1"/>
    <n v="127.66666666666667"/>
  </r>
  <r>
    <d v="2025-02-13T22:15:00"/>
    <s v="INYECTADO"/>
    <x v="9"/>
    <x v="24"/>
    <s v="LUIS PINEDO"/>
    <s v="VIRGEN"/>
    <s v="PP SOPLADO"/>
    <s v="."/>
    <x v="30"/>
    <s v="SALSERO MULTIUSO 480ML-TRANSPARENTE"/>
    <n v="1535"/>
    <n v="11"/>
    <n v="55.2"/>
    <s v="DIURNO"/>
    <n v="0"/>
    <n v="10"/>
    <n v="974"/>
    <n v="20281"/>
    <s v="TRANSPARENTE"/>
    <n v="28.9"/>
    <n v="0"/>
    <n v="0"/>
    <n v="58.33"/>
    <n v="55.2"/>
    <n v="38"/>
    <n v="1452.6315789473683"/>
    <x v="0"/>
    <x v="0"/>
    <n v="4"/>
    <n v="1"/>
    <n v="127.91666666666667"/>
  </r>
  <r>
    <d v="2025-02-13T22:15:00"/>
    <s v="INYECTADO"/>
    <x v="9"/>
    <x v="15"/>
    <s v="NELSON PINEDO"/>
    <s v="VIRGEN"/>
    <s v="PP SOPLADO"/>
    <s v="."/>
    <x v="27"/>
    <s v="TOMATODO ULTRA 900ML-TRANSPARENTE"/>
    <n v="151"/>
    <n v="2"/>
    <n v="9.1"/>
    <s v="DIURNO"/>
    <n v="0"/>
    <n v="2"/>
    <n v="937"/>
    <n v="20282"/>
    <s v="TRANSPARENTE"/>
    <n v="0"/>
    <n v="0"/>
    <n v="0"/>
    <n v="9.06"/>
    <n v="9.1"/>
    <n v="60"/>
    <n v="151.66666666666666"/>
    <x v="0"/>
    <x v="0"/>
    <n v="4"/>
    <n v="1"/>
    <n v="12.583333333333334"/>
  </r>
  <r>
    <d v="2025-02-13T22:15:00"/>
    <s v="INYECTADO"/>
    <x v="9"/>
    <x v="15"/>
    <s v="FABIAN HERNANDEZ"/>
    <s v="VIRGEN"/>
    <s v="PP SOPLADO"/>
    <s v="."/>
    <x v="27"/>
    <s v="TOMATODO ULTRA 900ML-TRANSPARENTE"/>
    <n v="1539"/>
    <n v="12"/>
    <n v="93.9"/>
    <s v="NOCTURNO"/>
    <n v="0"/>
    <n v="16"/>
    <n v="937"/>
    <n v="20283"/>
    <s v="TRANSPARENTE"/>
    <n v="9.5"/>
    <n v="0"/>
    <n v="0"/>
    <n v="92.34"/>
    <n v="93.9"/>
    <n v="60"/>
    <n v="1565"/>
    <x v="0"/>
    <x v="0"/>
    <n v="4"/>
    <n v="1"/>
    <n v="128.25"/>
  </r>
  <r>
    <d v="2025-02-13T22:15:00"/>
    <s v="INYECTADO"/>
    <x v="9"/>
    <x v="29"/>
    <s v="SAID VILLAMIZAR"/>
    <s v="VIRGEN"/>
    <s v="PP SOPLADO"/>
    <s v="."/>
    <x v="27"/>
    <s v="TOMATODO ULTRA 900ML-TRANSPARENTE"/>
    <n v="896"/>
    <n v="8"/>
    <n v="54.7"/>
    <s v="DIURNO"/>
    <n v="0"/>
    <n v="8"/>
    <n v="937"/>
    <n v="20284"/>
    <s v="TRANSPARENTE"/>
    <n v="30.8"/>
    <n v="0"/>
    <n v="0"/>
    <n v="53.76"/>
    <n v="54.7"/>
    <n v="60"/>
    <n v="911.66666666666663"/>
    <x v="0"/>
    <x v="0"/>
    <n v="4"/>
    <n v="1"/>
    <n v="74.666666666666671"/>
  </r>
  <r>
    <d v="2025-02-13T22:15:00"/>
    <s v="INYECTADO"/>
    <x v="10"/>
    <x v="0"/>
    <s v="ALEXANDER MORENO"/>
    <s v="SEGUNDA"/>
    <s v="."/>
    <s v="PP INY MOLIDO"/>
    <x v="31"/>
    <s v="ACCESORIO PLAYERO MARINO-ROJO"/>
    <n v="803"/>
    <n v="8"/>
    <n v="95.4"/>
    <s v="DIURNO"/>
    <n v="0"/>
    <n v="18"/>
    <n v="937"/>
    <n v="20517"/>
    <s v="ROJO"/>
    <n v="58"/>
    <n v="0"/>
    <n v="0"/>
    <n v="12.045"/>
    <n v="95.4"/>
    <n v="15"/>
    <n v="6360"/>
    <x v="0"/>
    <x v="0"/>
    <n v="1"/>
    <n v="8"/>
    <n v="535.33333333333337"/>
  </r>
  <r>
    <d v="2025-02-13T22:15:00"/>
    <s v="INYECTADO"/>
    <x v="10"/>
    <x v="0"/>
    <s v="ALEXANDER MORENO"/>
    <s v="SEGUNDA"/>
    <s v="."/>
    <s v="PP INY MOLIDO"/>
    <x v="31"/>
    <s v="ACCESORIO PLAYERO MARINO-FUCSIA"/>
    <n v="177"/>
    <n v="2"/>
    <n v="21.1"/>
    <s v="DIURNO"/>
    <n v="0"/>
    <n v="2"/>
    <n v="937"/>
    <n v="20517"/>
    <s v="FUCSIA"/>
    <n v="15"/>
    <n v="0"/>
    <n v="0"/>
    <n v="2.6549999999999998"/>
    <n v="21.1"/>
    <n v="15"/>
    <n v="1406.6666666666667"/>
    <x v="0"/>
    <x v="0"/>
    <n v="1"/>
    <n v="8"/>
    <n v="118"/>
  </r>
  <r>
    <d v="2025-02-13T22:15:00"/>
    <s v="INYECTADO"/>
    <x v="10"/>
    <x v="1"/>
    <s v="ISABEL LINARIZ "/>
    <s v="SEGUNDA"/>
    <s v="."/>
    <s v="PP INY MOLIDO"/>
    <x v="31"/>
    <s v="ACCESORIO PLAYERO MARINO-FUCSIA"/>
    <n v="64"/>
    <n v="1"/>
    <n v="8"/>
    <s v="DIURNO"/>
    <n v="0"/>
    <n v="2"/>
    <n v="937"/>
    <n v="20518"/>
    <s v="FUCSIA"/>
    <n v="0"/>
    <n v="0"/>
    <n v="0"/>
    <n v="0.96"/>
    <n v="8"/>
    <n v="15"/>
    <n v="533.33333333333337"/>
    <x v="0"/>
    <x v="0"/>
    <n v="1"/>
    <n v="8"/>
    <n v="42.666666666666664"/>
  </r>
  <r>
    <d v="2025-02-13T22:15:00"/>
    <s v="INYECTADO"/>
    <x v="10"/>
    <x v="1"/>
    <s v="ISABEL LINARIZ "/>
    <s v="SEGUNDA"/>
    <s v="."/>
    <s v="PP INY MOLIDO"/>
    <x v="31"/>
    <s v="ACCESORIO PLAYERO MARINO-VERDE"/>
    <n v="221"/>
    <n v="2"/>
    <n v="27.3"/>
    <s v="DIURNO"/>
    <n v="0"/>
    <n v="4"/>
    <n v="937"/>
    <n v="20518"/>
    <s v="VERDE"/>
    <n v="0"/>
    <n v="0"/>
    <n v="0"/>
    <n v="3.3149999999999999"/>
    <n v="27.3"/>
    <n v="15"/>
    <n v="1820"/>
    <x v="0"/>
    <x v="0"/>
    <n v="1"/>
    <n v="8"/>
    <n v="147.33333333333334"/>
  </r>
  <r>
    <d v="2025-02-13T22:15:00"/>
    <s v="INYECTADO"/>
    <x v="10"/>
    <x v="1"/>
    <s v="ISABEL LINARIZ "/>
    <s v="VIRGEN"/>
    <s v="PP CLARIFICADO"/>
    <s v="."/>
    <x v="32"/>
    <s v="BASE ORGANIZADOR  DE 2KG CARAMELO-FUCSIA"/>
    <n v="256"/>
    <n v="2"/>
    <n v="14.5"/>
    <s v="DIURNO"/>
    <n v="0"/>
    <n v="4"/>
    <n v="959"/>
    <n v="20518"/>
    <s v="FUCSIA"/>
    <n v="0"/>
    <n v="0"/>
    <n v="0"/>
    <n v="12.8"/>
    <n v="14.5"/>
    <n v="50"/>
    <n v="290"/>
    <x v="0"/>
    <x v="0"/>
    <n v="1"/>
    <n v="2"/>
    <n v="42.666666666666664"/>
  </r>
  <r>
    <d v="2025-02-13T22:15:00"/>
    <s v="INYECTADO"/>
    <x v="10"/>
    <x v="1"/>
    <s v="ISABEL LINARIZ "/>
    <s v="VIRGEN"/>
    <s v="PP CLARIFICADO"/>
    <s v="."/>
    <x v="32"/>
    <s v="BASE ORGANIZADOR  DE 2KG CARAMELO-LILA"/>
    <n v="60"/>
    <n v="1"/>
    <n v="3.7"/>
    <s v="DIURNO"/>
    <n v="0"/>
    <n v="1"/>
    <n v="959"/>
    <n v="20518"/>
    <s v="LILA"/>
    <n v="0"/>
    <n v="0"/>
    <n v="0"/>
    <n v="3"/>
    <n v="3.7"/>
    <n v="50"/>
    <n v="74"/>
    <x v="0"/>
    <x v="0"/>
    <n v="1"/>
    <n v="2"/>
    <n v="10"/>
  </r>
  <r>
    <d v="2025-02-13T22:15:00"/>
    <s v="INYECTADO"/>
    <x v="10"/>
    <x v="1"/>
    <s v="WALTER GUEVARA"/>
    <s v="VIRGEN"/>
    <s v="PP CLARIFICADO"/>
    <s v="."/>
    <x v="32"/>
    <s v="BASE ORGANIZADOR  DE 2KG CARAMELO-LILA"/>
    <n v="123"/>
    <n v="2"/>
    <n v="7.6"/>
    <s v="DIURNO"/>
    <n v="0"/>
    <n v="2"/>
    <n v="959"/>
    <n v="20519"/>
    <s v="LILA"/>
    <n v="4.5"/>
    <n v="0"/>
    <n v="0"/>
    <n v="6.15"/>
    <n v="7.6"/>
    <n v="50"/>
    <n v="152"/>
    <x v="0"/>
    <x v="0"/>
    <n v="1"/>
    <n v="2"/>
    <n v="20.5"/>
  </r>
  <r>
    <d v="2025-02-13T22:15:00"/>
    <s v="INYECTADO"/>
    <x v="10"/>
    <x v="1"/>
    <s v="WALTER GUEVARA"/>
    <s v="VIRGEN"/>
    <s v="PP CLARIFICADO"/>
    <s v="."/>
    <x v="32"/>
    <s v="BASE ORGANIZADOR  DE 2KG CARAMELO-AZUL"/>
    <n v="180"/>
    <n v="2"/>
    <n v="11.4"/>
    <s v="DIURNO"/>
    <n v="0"/>
    <n v="3"/>
    <n v="959"/>
    <n v="20519"/>
    <s v="AZUL"/>
    <n v="1.8"/>
    <n v="0"/>
    <n v="0"/>
    <n v="9"/>
    <n v="11.4"/>
    <n v="50"/>
    <n v="228"/>
    <x v="0"/>
    <x v="0"/>
    <n v="1"/>
    <n v="2"/>
    <n v="30"/>
  </r>
  <r>
    <d v="2025-02-13T22:15:00"/>
    <s v="INYECTADO"/>
    <x v="10"/>
    <x v="1"/>
    <s v="WALTER GUEVARA"/>
    <s v="VIRGEN"/>
    <s v="PP CLARIFICADO"/>
    <s v="."/>
    <x v="32"/>
    <s v="BASE ORGANIZADOR  DE 2KG CARAMELO-VERDE"/>
    <n v="180"/>
    <n v="2"/>
    <n v="11.1"/>
    <s v="DIURNO"/>
    <n v="0"/>
    <n v="3"/>
    <n v="959"/>
    <n v="20519"/>
    <s v="VERDE"/>
    <n v="4.4000000000000004"/>
    <n v="0"/>
    <n v="0"/>
    <n v="9"/>
    <n v="11.1"/>
    <n v="50"/>
    <n v="222"/>
    <x v="0"/>
    <x v="0"/>
    <n v="1"/>
    <n v="2"/>
    <n v="30"/>
  </r>
  <r>
    <d v="2025-02-13T22:15:00"/>
    <s v="INYECTADO"/>
    <x v="10"/>
    <x v="1"/>
    <s v="WALTER GUEVARA"/>
    <s v="VIRGEN"/>
    <s v="PP CLARIFICADO"/>
    <s v="."/>
    <x v="32"/>
    <s v="BASE ORGANIZADOR  DE 2KG CARAMELO-AMARILLO"/>
    <n v="182"/>
    <n v="2"/>
    <n v="11.2"/>
    <s v="DIURNO"/>
    <n v="0"/>
    <n v="3"/>
    <n v="959"/>
    <n v="20519"/>
    <s v="AMARILLO"/>
    <n v="0"/>
    <n v="0"/>
    <n v="0"/>
    <n v="9.1"/>
    <n v="11.2"/>
    <n v="50"/>
    <n v="224"/>
    <x v="0"/>
    <x v="0"/>
    <n v="1"/>
    <n v="2"/>
    <n v="30.333333333333332"/>
  </r>
  <r>
    <d v="2025-02-13T22:15:00"/>
    <s v="INYECTADO"/>
    <x v="10"/>
    <x v="1"/>
    <s v="WALTER GUEVARA"/>
    <s v="VIRGEN"/>
    <s v="PP CLARIFICADO"/>
    <s v="."/>
    <x v="32"/>
    <s v="BASE ORGANIZADOR  DE 2KG CARAMELO-ROJO"/>
    <n v="305"/>
    <n v="4"/>
    <n v="18.7"/>
    <s v="DIURNO"/>
    <n v="0"/>
    <n v="5"/>
    <n v="959"/>
    <n v="20519"/>
    <s v="ROJO"/>
    <n v="0"/>
    <n v="0"/>
    <n v="0"/>
    <n v="15.25"/>
    <n v="18.7"/>
    <n v="50"/>
    <n v="374"/>
    <x v="0"/>
    <x v="0"/>
    <n v="1"/>
    <n v="2"/>
    <n v="50.833333333333336"/>
  </r>
  <r>
    <d v="2025-02-13T22:15:00"/>
    <s v="INYECTADO"/>
    <x v="10"/>
    <x v="2"/>
    <s v="JOSDER GONZALEZ"/>
    <s v="VIRGEN"/>
    <s v="PP CLARIFICADO"/>
    <s v="."/>
    <x v="32"/>
    <s v="BASE ORGANIZADOR  DE 2KG CARAMELO-FUCSIA"/>
    <n v="598"/>
    <n v="5"/>
    <n v="35.9"/>
    <s v="DIURNO"/>
    <n v="0"/>
    <n v="11"/>
    <n v="959"/>
    <n v="20520"/>
    <s v="FUCSIA"/>
    <n v="1.5"/>
    <n v="0"/>
    <n v="0"/>
    <n v="29.9"/>
    <n v="35.9"/>
    <n v="50"/>
    <n v="718"/>
    <x v="0"/>
    <x v="0"/>
    <n v="1"/>
    <n v="2"/>
    <n v="99.666666666666671"/>
  </r>
  <r>
    <d v="2025-02-13T22:15:00"/>
    <s v="INYECTADO"/>
    <x v="10"/>
    <x v="2"/>
    <s v="JOSDER GONZALEZ"/>
    <s v="VIRGEN"/>
    <s v="PP CLARIFICADO"/>
    <s v="."/>
    <x v="32"/>
    <s v="BASE ORGANIZADOR  DE 2KG CARAMELO-LILA"/>
    <n v="695"/>
    <n v="6"/>
    <n v="41.7"/>
    <s v="DIURNO"/>
    <n v="0"/>
    <n v="13"/>
    <n v="959"/>
    <n v="20520"/>
    <s v="LILA"/>
    <n v="1.5"/>
    <n v="0"/>
    <n v="0"/>
    <n v="34.75"/>
    <n v="41.7"/>
    <n v="50"/>
    <n v="834"/>
    <x v="0"/>
    <x v="0"/>
    <n v="1"/>
    <n v="2"/>
    <n v="115.83333333333333"/>
  </r>
  <r>
    <d v="2025-02-13T22:15:00"/>
    <s v="INYECTADO"/>
    <x v="10"/>
    <x v="2"/>
    <s v="FABIAN HERNANDEZ"/>
    <s v="VIRGEN"/>
    <s v="PP CLARIFICADO"/>
    <s v="."/>
    <x v="32"/>
    <s v="BASE ORGANIZADOR  DE 2KG CARAMELO-FUCSIA"/>
    <n v="60"/>
    <n v="1"/>
    <n v="3.6"/>
    <s v="NOCTURNO"/>
    <n v="0"/>
    <n v="1"/>
    <n v="959"/>
    <n v="20521"/>
    <s v="FUCSIA"/>
    <n v="0"/>
    <n v="0"/>
    <n v="0"/>
    <n v="3"/>
    <n v="3.6"/>
    <n v="50"/>
    <n v="72"/>
    <x v="0"/>
    <x v="0"/>
    <n v="1"/>
    <n v="2"/>
    <n v="10"/>
  </r>
  <r>
    <d v="2025-02-13T22:15:00"/>
    <s v="INYECTADO"/>
    <x v="10"/>
    <x v="2"/>
    <s v="FABIAN HERNANDEZ"/>
    <s v="VIRGEN"/>
    <s v="PP CLARIFICADO"/>
    <s v="."/>
    <x v="32"/>
    <s v="BASE ORGANIZADOR  DE 2KG CARAMELO-AZUL"/>
    <n v="515"/>
    <n v="4"/>
    <n v="30.9"/>
    <s v="NOCTURNO"/>
    <n v="0"/>
    <n v="9"/>
    <n v="959"/>
    <n v="20521"/>
    <s v="AZUL"/>
    <n v="0"/>
    <n v="0"/>
    <n v="0"/>
    <n v="25.75"/>
    <n v="30.9"/>
    <n v="50"/>
    <n v="618"/>
    <x v="0"/>
    <x v="0"/>
    <n v="1"/>
    <n v="2"/>
    <n v="85.833333333333329"/>
  </r>
  <r>
    <d v="2025-02-13T22:15:00"/>
    <s v="INYECTADO"/>
    <x v="10"/>
    <x v="2"/>
    <s v="FABIAN HERNANDEZ"/>
    <s v="VIRGEN"/>
    <s v="PP CLARIFICADO"/>
    <s v="."/>
    <x v="32"/>
    <s v="BASE ORGANIZADOR  DE 2KG CARAMELO-VERDE"/>
    <n v="641"/>
    <n v="6"/>
    <n v="38.5"/>
    <s v="NOCTURNO"/>
    <n v="0"/>
    <n v="10"/>
    <n v="959"/>
    <n v="20521"/>
    <s v="VERDE"/>
    <n v="0"/>
    <n v="0"/>
    <n v="0"/>
    <n v="32.049999999999997"/>
    <n v="38.5"/>
    <n v="50"/>
    <n v="770"/>
    <x v="0"/>
    <x v="0"/>
    <n v="1"/>
    <n v="2"/>
    <n v="106.83333333333333"/>
  </r>
  <r>
    <d v="2025-02-13T22:15:00"/>
    <s v="INYECTADO"/>
    <x v="10"/>
    <x v="18"/>
    <s v="ALGIMIRO CALDERAS"/>
    <s v="VIRGEN"/>
    <s v="PP CLARIFICADO"/>
    <s v="."/>
    <x v="32"/>
    <s v="BASE ORGANIZADOR  DE 2KG CARAMELO-AZUL"/>
    <n v="180"/>
    <n v="3"/>
    <n v="10.8"/>
    <s v="DIURNO"/>
    <n v="0"/>
    <n v="3"/>
    <n v="959"/>
    <n v="20522"/>
    <s v="AZUL"/>
    <n v="4"/>
    <n v="0"/>
    <n v="0"/>
    <n v="9"/>
    <n v="10.8"/>
    <n v="50"/>
    <n v="216"/>
    <x v="0"/>
    <x v="0"/>
    <n v="2"/>
    <n v="2"/>
    <n v="30"/>
  </r>
  <r>
    <d v="2025-02-13T22:15:00"/>
    <s v="INYECTADO"/>
    <x v="10"/>
    <x v="18"/>
    <s v="ALGIMIRO CALDERAS"/>
    <s v="VIRGEN"/>
    <s v="PP CLARIFICADO"/>
    <s v="."/>
    <x v="32"/>
    <s v="BASE ORGANIZADOR  DE 2KG CARAMELO-ROJO"/>
    <n v="521"/>
    <n v="5"/>
    <n v="31.3"/>
    <s v="DIURNO"/>
    <n v="0"/>
    <n v="9"/>
    <n v="959"/>
    <n v="20522"/>
    <s v="ROJO"/>
    <n v="2.9"/>
    <n v="0"/>
    <n v="0"/>
    <n v="26.05"/>
    <n v="31.3"/>
    <n v="50"/>
    <n v="626"/>
    <x v="0"/>
    <x v="0"/>
    <n v="2"/>
    <n v="2"/>
    <n v="86.833333333333329"/>
  </r>
  <r>
    <d v="2025-02-13T22:15:00"/>
    <s v="INYECTADO"/>
    <x v="10"/>
    <x v="19"/>
    <s v="JOSDER GONZALEZ"/>
    <s v="VIRGEN"/>
    <s v="PP CLARIFICADO"/>
    <s v="."/>
    <x v="32"/>
    <s v="BASE ORGANIZADOR  DE 2KG CARAMELO-AMARILLO"/>
    <n v="674"/>
    <n v="6"/>
    <n v="38.1"/>
    <s v="DIURNO"/>
    <n v="0"/>
    <n v="11"/>
    <n v="959"/>
    <n v="20523"/>
    <s v="AMARILLO"/>
    <n v="6.5"/>
    <n v="0"/>
    <n v="0"/>
    <n v="33.700000000000003"/>
    <n v="38.1"/>
    <n v="50"/>
    <n v="762"/>
    <x v="0"/>
    <x v="0"/>
    <n v="2"/>
    <n v="2"/>
    <n v="112.33333333333333"/>
  </r>
  <r>
    <d v="2025-02-13T22:15:00"/>
    <s v="INYECTADO"/>
    <x v="10"/>
    <x v="19"/>
    <s v="JOSDER GONZALEZ"/>
    <s v="VIRGEN"/>
    <s v="PP CLARIFICADO"/>
    <s v="."/>
    <x v="32"/>
    <s v="BASE ORGANIZADOR  DE 2KG CARAMELO-ROJO"/>
    <n v="40"/>
    <n v="1"/>
    <n v="2.2999999999999998"/>
    <s v="DIURNO"/>
    <n v="0"/>
    <n v="1"/>
    <n v="959"/>
    <n v="20523"/>
    <s v="ROJO"/>
    <n v="4.5999999999999996"/>
    <n v="0"/>
    <n v="0"/>
    <n v="2"/>
    <n v="2.2999999999999998"/>
    <n v="50"/>
    <n v="46"/>
    <x v="0"/>
    <x v="0"/>
    <n v="2"/>
    <n v="2"/>
    <n v="6.666666666666667"/>
  </r>
  <r>
    <d v="2025-02-13T22:15:00"/>
    <s v="INYECTADO"/>
    <x v="10"/>
    <x v="19"/>
    <s v="WALTER GUEVARA"/>
    <s v="VIRGEN"/>
    <s v="PP CLARIFICADO"/>
    <s v="."/>
    <x v="32"/>
    <s v="BASE ORGANIZADOR  DE 2KG CARAMELO-AMARILLO"/>
    <n v="120"/>
    <n v="1"/>
    <n v="7"/>
    <s v="DIURNO"/>
    <n v="0"/>
    <n v="2"/>
    <n v="959"/>
    <n v="20524"/>
    <s v="AMARILLO"/>
    <n v="1"/>
    <n v="0"/>
    <n v="0"/>
    <n v="6"/>
    <n v="7"/>
    <n v="50"/>
    <n v="140"/>
    <x v="0"/>
    <x v="0"/>
    <n v="2"/>
    <n v="2"/>
    <n v="20"/>
  </r>
  <r>
    <d v="2025-02-13T22:15:00"/>
    <s v="INYECTADO"/>
    <x v="10"/>
    <x v="19"/>
    <s v="WALTER GUEVARA"/>
    <s v="VIRGEN"/>
    <s v="PP CLARIFICADO"/>
    <s v="."/>
    <x v="33"/>
    <s v="BASE ORGANIZADOR  DE 2KG PASTEL-TURQUESA"/>
    <n v="783"/>
    <n v="7"/>
    <n v="45.7"/>
    <s v="DIURNO"/>
    <n v="0"/>
    <n v="13"/>
    <n v="962"/>
    <n v="20524"/>
    <s v="TURQUESA"/>
    <n v="4.5999999999999996"/>
    <n v="0"/>
    <n v="0"/>
    <n v="39.15"/>
    <n v="45.7"/>
    <n v="50"/>
    <n v="914"/>
    <x v="0"/>
    <x v="0"/>
    <n v="2"/>
    <n v="2"/>
    <n v="130.5"/>
  </r>
  <r>
    <d v="2025-02-13T22:15:00"/>
    <s v="INYECTADO"/>
    <x v="10"/>
    <x v="19"/>
    <s v="WALTER GUEVARA"/>
    <s v="VIRGEN"/>
    <s v="PP CLARIFICADO"/>
    <s v="."/>
    <x v="33"/>
    <s v="BASE ORGANIZADOR  DE 2KG PASTEL-CELESTE"/>
    <n v="554"/>
    <n v="5"/>
    <n v="32.299999999999997"/>
    <s v="DIURNO"/>
    <n v="0"/>
    <n v="9"/>
    <n v="962"/>
    <n v="20524"/>
    <s v="CELESTE"/>
    <n v="3.5"/>
    <n v="0"/>
    <n v="0"/>
    <n v="27.7"/>
    <n v="32.299999999999997"/>
    <n v="50"/>
    <n v="645.99999999999989"/>
    <x v="0"/>
    <x v="0"/>
    <n v="2"/>
    <n v="2"/>
    <n v="92.333333333333329"/>
  </r>
  <r>
    <d v="2025-02-13T22:15:00"/>
    <s v="INYECTADO"/>
    <x v="10"/>
    <x v="20"/>
    <s v="JUAN CARLOS CEDENO"/>
    <s v="VIRGEN"/>
    <s v="PP CLARIFICADO"/>
    <s v="."/>
    <x v="33"/>
    <s v="BASE ORGANIZADOR  DE 2KG PASTEL-CELESTE"/>
    <n v="143"/>
    <n v="2"/>
    <n v="8.3000000000000007"/>
    <s v="DIURNO"/>
    <n v="0"/>
    <n v="3"/>
    <n v="962"/>
    <n v="20525"/>
    <s v="CELESTE"/>
    <n v="2.1"/>
    <n v="0"/>
    <n v="0"/>
    <n v="7.15"/>
    <n v="8.3000000000000007"/>
    <n v="50"/>
    <n v="166"/>
    <x v="0"/>
    <x v="0"/>
    <n v="2"/>
    <n v="2"/>
    <n v="23.833333333333332"/>
  </r>
  <r>
    <d v="2025-02-13T22:15:00"/>
    <s v="INYECTADO"/>
    <x v="10"/>
    <x v="20"/>
    <s v="JUAN CARLOS CEDENO"/>
    <s v="VIRGEN"/>
    <s v="PP CLARIFICADO"/>
    <s v="."/>
    <x v="33"/>
    <s v="BASE ORGANIZADOR  DE 2KG PASTEL-AZURE"/>
    <n v="1012"/>
    <n v="7"/>
    <n v="58.7"/>
    <s v="DIURNO"/>
    <n v="0"/>
    <n v="17"/>
    <n v="962"/>
    <n v="20525"/>
    <s v="AZURE"/>
    <n v="8.6"/>
    <n v="0"/>
    <n v="0"/>
    <n v="50.6"/>
    <n v="58.7"/>
    <n v="50"/>
    <n v="1174"/>
    <x v="0"/>
    <x v="0"/>
    <n v="2"/>
    <n v="2"/>
    <n v="168.66666666666666"/>
  </r>
  <r>
    <d v="2025-02-13T22:15:00"/>
    <s v="INYECTADO"/>
    <x v="10"/>
    <x v="20"/>
    <s v="JUAN CARLOS CEDENO"/>
    <s v="VIRGEN"/>
    <s v="PP CLARIFICADO"/>
    <s v="."/>
    <x v="33"/>
    <s v="BASE ORGANIZADOR  DE 2KG PASTEL-SANDIA"/>
    <n v="60"/>
    <n v="1"/>
    <n v="3.5"/>
    <s v="DIURNO"/>
    <n v="0"/>
    <n v="1"/>
    <n v="962"/>
    <n v="20525"/>
    <s v="SANDIA"/>
    <n v="5.2"/>
    <n v="0"/>
    <n v="0"/>
    <n v="3"/>
    <n v="3.5"/>
    <n v="50"/>
    <n v="70"/>
    <x v="0"/>
    <x v="0"/>
    <n v="2"/>
    <n v="2"/>
    <n v="10"/>
  </r>
  <r>
    <d v="2025-02-13T22:15:00"/>
    <s v="INYECTADO"/>
    <x v="10"/>
    <x v="20"/>
    <s v="JUAN MANUEL PEREZ"/>
    <s v="VIRGEN"/>
    <s v="PP CLARIFICADO"/>
    <s v="."/>
    <x v="33"/>
    <s v="BASE ORGANIZADOR  DE 2KG PASTEL-SANDIA"/>
    <n v="470"/>
    <n v="5"/>
    <n v="28.2"/>
    <s v="DIURNO"/>
    <n v="0"/>
    <n v="8"/>
    <n v="962"/>
    <n v="20526"/>
    <s v="SANDIA"/>
    <n v="13.4"/>
    <n v="0"/>
    <n v="0"/>
    <n v="23.5"/>
    <n v="28.2"/>
    <n v="50"/>
    <n v="564"/>
    <x v="0"/>
    <x v="0"/>
    <n v="2"/>
    <n v="2"/>
    <n v="78.333333333333329"/>
  </r>
  <r>
    <d v="2025-02-13T22:15:00"/>
    <s v="INYECTADO"/>
    <x v="10"/>
    <x v="20"/>
    <s v="JUAN MANUEL PEREZ"/>
    <s v="VIRGEN"/>
    <s v="PP CLARIFICADO"/>
    <s v="."/>
    <x v="33"/>
    <s v="BASE ORGANIZADOR  DE 2KG PASTEL-ROSADO"/>
    <n v="720"/>
    <n v="8"/>
    <n v="43.2"/>
    <s v="DIURNO"/>
    <n v="0"/>
    <n v="12"/>
    <n v="962"/>
    <n v="20526"/>
    <s v="ROSADO"/>
    <n v="6.2"/>
    <n v="0"/>
    <n v="0"/>
    <n v="36"/>
    <n v="43.2"/>
    <n v="50"/>
    <n v="864"/>
    <x v="0"/>
    <x v="0"/>
    <n v="2"/>
    <n v="2"/>
    <n v="120"/>
  </r>
  <r>
    <d v="2025-02-13T22:15:00"/>
    <s v="INYECTADO"/>
    <x v="10"/>
    <x v="21"/>
    <s v="JOSDER GONZALEZ"/>
    <s v="VIRGEN"/>
    <s v="PP CLARIFICADO"/>
    <s v="."/>
    <x v="33"/>
    <s v="BASE ORGANIZADOR  DE 2KG PASTEL-LILA"/>
    <n v="1468"/>
    <n v="12"/>
    <n v="85.2"/>
    <s v="DIURNO"/>
    <n v="0"/>
    <n v="22"/>
    <n v="962"/>
    <n v="20527"/>
    <s v="LILA"/>
    <n v="6.4"/>
    <n v="0"/>
    <n v="0"/>
    <n v="73.400000000000006"/>
    <n v="85.2"/>
    <n v="50"/>
    <n v="1704"/>
    <x v="0"/>
    <x v="0"/>
    <n v="2"/>
    <n v="2"/>
    <n v="244.66666666666666"/>
  </r>
  <r>
    <d v="2025-02-13T22:15:00"/>
    <s v="INYECTADO"/>
    <x v="10"/>
    <x v="21"/>
    <s v="WALTER GUEVARA"/>
    <s v="VIRGEN"/>
    <s v="PP CLARIFICADO"/>
    <s v="."/>
    <x v="33"/>
    <s v="BASE ORGANIZADOR  DE 2KG PASTEL-LILA"/>
    <n v="591"/>
    <n v="5"/>
    <n v="35.5"/>
    <s v="DIURNO"/>
    <n v="0"/>
    <n v="13"/>
    <n v="962"/>
    <n v="20528"/>
    <s v="LILA"/>
    <n v="3.9"/>
    <n v="0"/>
    <n v="0"/>
    <n v="29.55"/>
    <n v="35.5"/>
    <n v="50"/>
    <n v="710"/>
    <x v="0"/>
    <x v="0"/>
    <n v="2"/>
    <n v="2"/>
    <n v="98.5"/>
  </r>
  <r>
    <d v="2025-02-13T22:15:00"/>
    <s v="INYECTADO"/>
    <x v="10"/>
    <x v="21"/>
    <s v="WALTER GUEVARA"/>
    <s v="VIRGEN"/>
    <s v="PP CLARIFICADO"/>
    <s v="."/>
    <x v="33"/>
    <s v="BASE ORGANIZADOR  DE 2KG PASTEL-ROSADO"/>
    <n v="766"/>
    <n v="7"/>
    <n v="46"/>
    <s v="DIURNO"/>
    <n v="0"/>
    <n v="10"/>
    <n v="962"/>
    <n v="20528"/>
    <s v="ROSADO"/>
    <n v="4.7"/>
    <n v="0"/>
    <n v="0"/>
    <n v="38.299999999999997"/>
    <n v="46"/>
    <n v="50"/>
    <n v="920"/>
    <x v="0"/>
    <x v="0"/>
    <n v="2"/>
    <n v="2"/>
    <n v="127.66666666666667"/>
  </r>
  <r>
    <d v="2025-02-13T22:15:00"/>
    <s v="INYECTADO"/>
    <x v="10"/>
    <x v="22"/>
    <s v="JUAN CARLOS CEDENO"/>
    <s v="VIRGEN"/>
    <s v="PP CLARIFICADO"/>
    <s v="."/>
    <x v="33"/>
    <s v="BASE ORGANIZADOR  DE 2KG PASTEL-ROSADO"/>
    <n v="476"/>
    <n v="5"/>
    <n v="28.6"/>
    <s v="DIURNO"/>
    <n v="0"/>
    <n v="8"/>
    <n v="962"/>
    <n v="20529"/>
    <s v="ROSADO"/>
    <n v="9.1999999999999993"/>
    <n v="0"/>
    <n v="0"/>
    <n v="23.8"/>
    <n v="28.6"/>
    <n v="50"/>
    <n v="572"/>
    <x v="0"/>
    <x v="0"/>
    <n v="2"/>
    <n v="2"/>
    <n v="79.333333333333329"/>
  </r>
  <r>
    <d v="2025-02-13T22:15:00"/>
    <s v="INYECTADO"/>
    <x v="10"/>
    <x v="22"/>
    <s v="JUAN CARLOS CEDENO"/>
    <s v="VIRGEN"/>
    <s v="PP CLARIFICADO"/>
    <s v="."/>
    <x v="33"/>
    <s v="BASE ORGANIZADOR  DE 2KG PASTEL-CELESTE"/>
    <n v="970"/>
    <n v="6"/>
    <n v="56.3"/>
    <s v="DIURNO"/>
    <n v="0"/>
    <n v="16"/>
    <n v="962"/>
    <n v="20529"/>
    <s v="CELESTE"/>
    <n v="3.8"/>
    <n v="0"/>
    <n v="0"/>
    <n v="48.5"/>
    <n v="56.3"/>
    <n v="50"/>
    <n v="1126"/>
    <x v="0"/>
    <x v="0"/>
    <n v="2"/>
    <n v="2"/>
    <n v="161.66666666666666"/>
  </r>
  <r>
    <d v="2025-02-13T22:15:00"/>
    <s v="INYECTADO"/>
    <x v="10"/>
    <x v="22"/>
    <s v="JUAN MANUEL PEREZ"/>
    <s v="VIRGEN"/>
    <s v="PP CLARIFICADO"/>
    <s v="."/>
    <x v="33"/>
    <s v="BASE ORGANIZADOR  DE 2KG PASTEL-CELESTE"/>
    <n v="540"/>
    <n v="4"/>
    <n v="31.5"/>
    <s v="DIURNO"/>
    <n v="0"/>
    <n v="10"/>
    <n v="962"/>
    <n v="20530"/>
    <s v="CELESTE"/>
    <n v="5.0999999999999996"/>
    <n v="0"/>
    <n v="0"/>
    <n v="27"/>
    <n v="31.5"/>
    <n v="50"/>
    <n v="630"/>
    <x v="0"/>
    <x v="0"/>
    <n v="2"/>
    <n v="2"/>
    <n v="90"/>
  </r>
  <r>
    <d v="2025-02-13T22:15:00"/>
    <s v="INYECTADO"/>
    <x v="10"/>
    <x v="22"/>
    <s v="JUAN MANUEL PEREZ"/>
    <s v="VIRGEN"/>
    <s v="PP CLARIFICADO"/>
    <s v="."/>
    <x v="33"/>
    <s v="BASE ORGANIZADOR  DE 2KG PASTEL-TURQUESA"/>
    <n v="596"/>
    <n v="5"/>
    <n v="35.799999999999997"/>
    <s v="DIURNO"/>
    <n v="0"/>
    <n v="10"/>
    <n v="962"/>
    <n v="20530"/>
    <s v="TURQUESA"/>
    <n v="10.1"/>
    <n v="0"/>
    <n v="0"/>
    <n v="29.8"/>
    <n v="35.799999999999997"/>
    <n v="50"/>
    <n v="716"/>
    <x v="0"/>
    <x v="0"/>
    <n v="2"/>
    <n v="2"/>
    <n v="99.333333333333329"/>
  </r>
  <r>
    <d v="2025-02-13T22:15:00"/>
    <s v="INYECTADO"/>
    <x v="10"/>
    <x v="4"/>
    <s v="JUAN CARLOS CEDENO"/>
    <s v="VIRGEN"/>
    <s v="PP CLARIFICADO"/>
    <s v="."/>
    <x v="33"/>
    <s v="BASE ORGANIZADOR  DE 2KG PASTEL-TURQUESA"/>
    <n v="122"/>
    <n v="2"/>
    <n v="7.1"/>
    <s v="DIURNO"/>
    <n v="0"/>
    <n v="2"/>
    <n v="962"/>
    <n v="20531"/>
    <s v="TURQUESA"/>
    <n v="2.7"/>
    <n v="0"/>
    <n v="0"/>
    <n v="6.1"/>
    <n v="7.1"/>
    <n v="50"/>
    <n v="142"/>
    <x v="0"/>
    <x v="0"/>
    <n v="2"/>
    <n v="2"/>
    <n v="20.333333333333332"/>
  </r>
  <r>
    <d v="2025-02-13T22:15:00"/>
    <s v="INYECTADO"/>
    <x v="10"/>
    <x v="4"/>
    <s v="JUAN CARLOS CEDENO"/>
    <s v="VIRGEN"/>
    <s v="PP CLARIFICADO"/>
    <s v="."/>
    <x v="33"/>
    <s v="BASE ORGANIZADOR  DE 2KG PASTEL-AZURE"/>
    <n v="1237"/>
    <n v="8"/>
    <n v="73"/>
    <s v="DIURNO"/>
    <n v="0"/>
    <n v="21"/>
    <n v="962"/>
    <n v="20531"/>
    <s v="AZURE"/>
    <n v="7.2"/>
    <n v="0"/>
    <n v="0"/>
    <n v="61.85"/>
    <n v="73"/>
    <n v="50"/>
    <n v="1460"/>
    <x v="0"/>
    <x v="0"/>
    <n v="2"/>
    <n v="2"/>
    <n v="206.16666666666666"/>
  </r>
  <r>
    <d v="2025-02-13T22:15:00"/>
    <s v="INYECTADO"/>
    <x v="10"/>
    <x v="4"/>
    <s v="JUAN MANUEL PEREZ"/>
    <s v="VIRGEN"/>
    <s v="PP CLARIFICADO"/>
    <s v="."/>
    <x v="33"/>
    <s v="BASE ORGANIZADOR  DE 2KG PASTEL-AZURE"/>
    <n v="20"/>
    <n v="1"/>
    <n v="1.2"/>
    <s v="DIURNO"/>
    <n v="0"/>
    <n v="1"/>
    <n v="962"/>
    <n v="20532"/>
    <s v="AZURE"/>
    <n v="0"/>
    <n v="0"/>
    <n v="0"/>
    <n v="1"/>
    <n v="1.2"/>
    <n v="50"/>
    <n v="24"/>
    <x v="0"/>
    <x v="0"/>
    <n v="2"/>
    <n v="2"/>
    <n v="3.3333333333333335"/>
  </r>
  <r>
    <d v="2025-02-13T22:15:00"/>
    <s v="INYECTADO"/>
    <x v="10"/>
    <x v="4"/>
    <s v="JUAN MANUEL PEREZ"/>
    <s v="VIRGEN"/>
    <s v="PP CLARIFICADO"/>
    <s v="."/>
    <x v="33"/>
    <s v="BASE ORGANIZADOR  DE 2KG PASTEL-SANDIA"/>
    <n v="558"/>
    <n v="4"/>
    <n v="32.9"/>
    <s v="DIURNO"/>
    <n v="0"/>
    <n v="10"/>
    <n v="962"/>
    <n v="20532"/>
    <s v="SANDIA"/>
    <n v="0"/>
    <n v="0"/>
    <n v="0"/>
    <n v="27.9"/>
    <n v="32.9"/>
    <n v="50"/>
    <n v="658"/>
    <x v="0"/>
    <x v="0"/>
    <n v="2"/>
    <n v="2"/>
    <n v="93"/>
  </r>
  <r>
    <d v="2025-02-13T22:15:00"/>
    <s v="INYECTADO"/>
    <x v="10"/>
    <x v="28"/>
    <s v="DAIMARY LINAREZ"/>
    <s v="VIRGEN"/>
    <s v="PP CLARIFICADO"/>
    <s v="."/>
    <x v="33"/>
    <s v="BASE ORGANIZADOR  DE 2KG PASTEL-SANDIA"/>
    <n v="776"/>
    <n v="7"/>
    <n v="46.6"/>
    <s v="DIURNO"/>
    <n v="0"/>
    <n v="13"/>
    <n v="962"/>
    <n v="20533"/>
    <s v="SANDIA"/>
    <n v="9.1999999999999993"/>
    <n v="0"/>
    <n v="0"/>
    <n v="38.799999999999997"/>
    <n v="46.6"/>
    <n v="50"/>
    <n v="932"/>
    <x v="0"/>
    <x v="0"/>
    <n v="2"/>
    <n v="2"/>
    <n v="129.33333333333334"/>
  </r>
  <r>
    <d v="2025-02-14T22:15:00"/>
    <s v="INYECTADO"/>
    <x v="10"/>
    <x v="28"/>
    <s v="DAIMARY LINAREZ"/>
    <s v="VIRGEN"/>
    <s v="PP CLARIFICADO"/>
    <s v="."/>
    <x v="34"/>
    <s v="BASE ORGANIZADOR  DE 2KG-TRANSPARENTE"/>
    <n v="150"/>
    <n v="2"/>
    <n v="9"/>
    <m/>
    <m/>
    <n v="3"/>
    <n v="967"/>
    <n v="20533"/>
    <s v="TRANSPARENTE"/>
    <n v="0"/>
    <n v="0"/>
    <n v="0"/>
    <n v="7.5"/>
    <n v="9"/>
    <n v="50"/>
    <n v="180"/>
    <x v="0"/>
    <x v="0"/>
    <n v="2"/>
    <n v="2"/>
    <n v="25"/>
  </r>
  <r>
    <d v="2025-02-14T22:15:00"/>
    <s v="INYECTADO"/>
    <x v="10"/>
    <x v="28"/>
    <s v="JUAN MANUEL PEREZ"/>
    <s v="VIRGEN"/>
    <s v="PP CLARIFICADO"/>
    <s v="."/>
    <x v="34"/>
    <s v="BASE ORGANIZADOR  DE 2KG-TRANSPARENTE"/>
    <n v="541"/>
    <n v="5"/>
    <n v="32.4"/>
    <m/>
    <m/>
    <n v="9"/>
    <n v="967"/>
    <n v="20534"/>
    <s v="TRANSPARENTE"/>
    <n v="0"/>
    <n v="0"/>
    <n v="0"/>
    <n v="27.05"/>
    <n v="32.4"/>
    <n v="50"/>
    <n v="648"/>
    <x v="0"/>
    <x v="0"/>
    <n v="2"/>
    <n v="2"/>
    <n v="90.166666666666671"/>
  </r>
  <r>
    <d v="2025-02-14T22:15:00"/>
    <s v="INYECTADO"/>
    <x v="10"/>
    <x v="5"/>
    <s v="JOSDER GONZALEZ"/>
    <s v="VIRGEN"/>
    <s v="PP CLARIFICADO"/>
    <s v="."/>
    <x v="34"/>
    <s v="BASE ORGANIZADOR  DE 2KG-TRANSPARENTE"/>
    <n v="660"/>
    <n v="7"/>
    <n v="39.6"/>
    <m/>
    <m/>
    <n v="11"/>
    <n v="967"/>
    <n v="20535"/>
    <s v="TRANSPARENTE"/>
    <n v="9"/>
    <n v="0"/>
    <n v="0"/>
    <n v="33"/>
    <n v="39.6"/>
    <n v="50"/>
    <n v="792"/>
    <x v="0"/>
    <x v="0"/>
    <n v="3"/>
    <n v="2"/>
    <n v="110"/>
  </r>
  <r>
    <d v="2025-02-14T22:15:00"/>
    <s v="INYECTADO"/>
    <x v="10"/>
    <x v="5"/>
    <s v="JUAN MANUEL PEREZ"/>
    <s v="VIRGEN"/>
    <s v="PP CLARIFICADO"/>
    <s v="."/>
    <x v="34"/>
    <s v="BASE ORGANIZADOR  DE 2KG-TRANSPARENTE"/>
    <n v="1273"/>
    <n v="12"/>
    <n v="76.400000000000006"/>
    <m/>
    <m/>
    <n v="12"/>
    <n v="967"/>
    <n v="20536"/>
    <s v="TRANSPARENTE"/>
    <n v="5.0999999999999996"/>
    <n v="0"/>
    <n v="0"/>
    <n v="63.65"/>
    <n v="76.400000000000006"/>
    <n v="50"/>
    <n v="1528"/>
    <x v="0"/>
    <x v="0"/>
    <n v="3"/>
    <n v="2"/>
    <n v="212.16666666666666"/>
  </r>
  <r>
    <d v="2025-02-14T22:15:00"/>
    <s v="INYECTADO"/>
    <x v="10"/>
    <x v="6"/>
    <s v="ALGIMIRO CALDERAS"/>
    <s v="VIRGEN"/>
    <s v="PP CLARIFICADO"/>
    <s v="."/>
    <x v="34"/>
    <s v="BASE ORGANIZADOR  DE 2KG-TRANSPARENTE"/>
    <n v="1708"/>
    <n v="12"/>
    <n v="102.5"/>
    <m/>
    <m/>
    <n v="26"/>
    <n v="967"/>
    <n v="20537"/>
    <s v="TRANSPARENTE"/>
    <n v="0.9"/>
    <n v="0"/>
    <n v="0"/>
    <n v="85.4"/>
    <n v="102.5"/>
    <n v="50"/>
    <n v="2050"/>
    <x v="0"/>
    <x v="0"/>
    <n v="3"/>
    <n v="2"/>
    <n v="284.66666666666669"/>
  </r>
  <r>
    <d v="2025-02-14T22:15:00"/>
    <s v="INYECTADO"/>
    <x v="10"/>
    <x v="6"/>
    <s v="JUAN MANUEL PEREZ"/>
    <s v="VIRGEN"/>
    <s v="PP CLARIFICADO"/>
    <s v="."/>
    <x v="34"/>
    <s v="BASE ORGANIZADOR  DE 2KG-TRANSPARENTE"/>
    <n v="1335"/>
    <n v="12"/>
    <n v="80.099999999999994"/>
    <m/>
    <m/>
    <n v="22"/>
    <n v="967"/>
    <n v="20538"/>
    <s v="TRANSPARENTE"/>
    <n v="3.1"/>
    <n v="0"/>
    <n v="0"/>
    <n v="66.75"/>
    <n v="80.099999999999994"/>
    <n v="50"/>
    <n v="1602"/>
    <x v="0"/>
    <x v="0"/>
    <n v="3"/>
    <n v="2"/>
    <n v="222.5"/>
  </r>
  <r>
    <d v="2025-02-14T22:15:00"/>
    <s v="INYECTADO"/>
    <x v="10"/>
    <x v="9"/>
    <s v="SAID VILLAMIZAR"/>
    <s v="VIRGEN"/>
    <s v="PP CLARIFICADO"/>
    <s v="."/>
    <x v="34"/>
    <s v="BASE ORGANIZADOR  DE 2KG-TRANSPARENTE"/>
    <n v="1742"/>
    <n v="12"/>
    <n v="102.8"/>
    <m/>
    <m/>
    <n v="24"/>
    <n v="967"/>
    <n v="20539"/>
    <s v="TRANSPARENTE"/>
    <n v="0"/>
    <n v="0"/>
    <n v="0"/>
    <n v="87.1"/>
    <n v="102.8"/>
    <n v="50"/>
    <n v="2056"/>
    <x v="0"/>
    <x v="0"/>
    <n v="3"/>
    <n v="2"/>
    <n v="290.33333333333331"/>
  </r>
  <r>
    <d v="2025-02-14T22:15:00"/>
    <s v="INYECTADO"/>
    <x v="10"/>
    <x v="9"/>
    <s v="JUAN MANUEL PEREZ"/>
    <s v="VIRGEN"/>
    <s v="PP CLARIFICADO"/>
    <s v="."/>
    <x v="34"/>
    <s v="BASE ORGANIZADOR  DE 2KG-TRANSPARENTE"/>
    <n v="1369"/>
    <n v="12"/>
    <n v="80.8"/>
    <m/>
    <m/>
    <n v="17"/>
    <n v="967"/>
    <n v="20540"/>
    <s v="TRANSPARENTE"/>
    <n v="2.1"/>
    <n v="0"/>
    <n v="0"/>
    <n v="68.45"/>
    <n v="80.8"/>
    <n v="50"/>
    <n v="1616"/>
    <x v="0"/>
    <x v="0"/>
    <n v="3"/>
    <n v="2"/>
    <n v="228.16666666666666"/>
  </r>
  <r>
    <d v="2025-02-14T22:15:00"/>
    <s v="INYECTADO"/>
    <x v="10"/>
    <x v="10"/>
    <s v="JOSDER GONZALEZ"/>
    <s v="VIRGEN"/>
    <s v="PP CLARIFICADO"/>
    <s v="."/>
    <x v="34"/>
    <s v="BASE ORGANIZADOR  DE 2KG-TRANSPARENTE"/>
    <n v="572"/>
    <n v="4"/>
    <n v="33.200000000000003"/>
    <m/>
    <m/>
    <n v="8"/>
    <n v="967"/>
    <n v="20541"/>
    <s v="TRANSPARENTE"/>
    <n v="0"/>
    <n v="0"/>
    <n v="0"/>
    <n v="28.6"/>
    <n v="33.200000000000003"/>
    <n v="50"/>
    <n v="664"/>
    <x v="0"/>
    <x v="0"/>
    <n v="3"/>
    <n v="2"/>
    <n v="95.333333333333329"/>
  </r>
  <r>
    <d v="2025-02-13T22:15:00"/>
    <s v="INYECTADO"/>
    <x v="10"/>
    <x v="10"/>
    <s v="JOSDER GONZALEZ"/>
    <s v="VIRGEN"/>
    <s v="PP CLARIFICADO"/>
    <s v="."/>
    <x v="32"/>
    <s v="BASE ORGANIZADOR  DE 2KG CARAMELO-AMARILLO"/>
    <n v="825"/>
    <n v="7"/>
    <n v="47.9"/>
    <s v="DIURNO"/>
    <n v="0"/>
    <n v="11"/>
    <n v="937"/>
    <n v="20541"/>
    <s v="AMARILLO"/>
    <n v="4.3"/>
    <n v="0"/>
    <n v="0"/>
    <n v="41.25"/>
    <n v="47.9"/>
    <n v="50"/>
    <n v="958"/>
    <x v="0"/>
    <x v="0"/>
    <n v="3"/>
    <n v="2"/>
    <n v="137.5"/>
  </r>
  <r>
    <d v="2025-02-13T22:15:00"/>
    <s v="INYECTADO"/>
    <x v="10"/>
    <x v="10"/>
    <s v="JOSDER GONZALEZ"/>
    <s v="VIRGEN"/>
    <s v="PP CLARIFICADO"/>
    <s v="."/>
    <x v="32"/>
    <s v="BASE ORGANIZADOR  DE 2KG CARAMELO-VERDE"/>
    <n v="139"/>
    <n v="1"/>
    <n v="8.1"/>
    <s v="DIURNO"/>
    <n v="0"/>
    <n v="2"/>
    <n v="937"/>
    <n v="20541"/>
    <s v="VERDE"/>
    <n v="1.1000000000000001"/>
    <n v="0"/>
    <n v="0"/>
    <n v="6.95"/>
    <n v="8.1"/>
    <n v="50"/>
    <n v="162"/>
    <x v="0"/>
    <x v="0"/>
    <n v="3"/>
    <n v="2"/>
    <n v="23.166666666666668"/>
  </r>
  <r>
    <d v="2025-02-13T22:15:00"/>
    <s v="INYECTADO"/>
    <x v="10"/>
    <x v="10"/>
    <s v="WALTER GUEVARA"/>
    <s v="VIRGEN"/>
    <s v="PP CLARIFICADO"/>
    <s v="."/>
    <x v="32"/>
    <s v="BASE ORGANIZADOR  DE 2KG CARAMELO-VERDE"/>
    <n v="751"/>
    <n v="7"/>
    <n v="43.8"/>
    <s v="DIURNO"/>
    <n v="0"/>
    <n v="13"/>
    <n v="937"/>
    <n v="20542"/>
    <s v="VERDE"/>
    <n v="4.3"/>
    <n v="0"/>
    <n v="0"/>
    <n v="37.549999999999997"/>
    <n v="43.8"/>
    <n v="50"/>
    <n v="876"/>
    <x v="0"/>
    <x v="0"/>
    <n v="3"/>
    <n v="2"/>
    <n v="125.16666666666667"/>
  </r>
  <r>
    <d v="2025-02-13T22:15:00"/>
    <s v="INYECTADO"/>
    <x v="10"/>
    <x v="10"/>
    <s v="WALTER GUEVARA"/>
    <s v="VIRGEN"/>
    <s v="PP CLARIFICADO"/>
    <s v="."/>
    <x v="32"/>
    <s v="BASE ORGANIZADOR  DE 2KG CARAMELO-LILA"/>
    <n v="716"/>
    <n v="6"/>
    <n v="41.8"/>
    <s v="DIURNO"/>
    <n v="0"/>
    <n v="12"/>
    <n v="937"/>
    <n v="20542"/>
    <s v="LILA"/>
    <n v="1"/>
    <n v="0"/>
    <n v="0"/>
    <n v="35.799999999999997"/>
    <n v="41.8"/>
    <n v="50"/>
    <n v="836"/>
    <x v="0"/>
    <x v="0"/>
    <n v="3"/>
    <n v="2"/>
    <n v="119.33333333333333"/>
  </r>
  <r>
    <d v="2025-02-13T22:15:00"/>
    <s v="INYECTADO"/>
    <x v="10"/>
    <x v="11"/>
    <s v="ISABEL LINARIZ "/>
    <s v="VIRGEN"/>
    <s v="PP CLARIFICADO"/>
    <s v="."/>
    <x v="32"/>
    <s v="BASE ORGANIZADOR  DE 2KG CARAMELO-LILA"/>
    <n v="118"/>
    <n v="1"/>
    <n v="6.9"/>
    <s v="DIURNO"/>
    <n v="0"/>
    <n v="1"/>
    <n v="937"/>
    <n v="20543"/>
    <s v="LILA"/>
    <n v="4.8"/>
    <n v="0"/>
    <n v="0"/>
    <n v="5.9"/>
    <n v="6.9"/>
    <n v="50"/>
    <n v="138"/>
    <x v="0"/>
    <x v="0"/>
    <n v="3"/>
    <n v="2"/>
    <n v="19.666666666666668"/>
  </r>
  <r>
    <d v="2025-02-13T22:15:00"/>
    <s v="INYECTADO"/>
    <x v="10"/>
    <x v="11"/>
    <s v="ISABEL LINARIZ "/>
    <s v="VIRGEN"/>
    <s v="PP CLARIFICADO"/>
    <s v="."/>
    <x v="32"/>
    <s v="BASE ORGANIZADOR  DE 2KG CARAMELO-FUCSIA"/>
    <n v="692"/>
    <n v="5"/>
    <n v="40.4"/>
    <s v="DIURNO"/>
    <n v="0"/>
    <n v="5"/>
    <n v="937"/>
    <n v="20543"/>
    <s v="FUCSIA"/>
    <n v="1.3"/>
    <n v="0"/>
    <n v="0"/>
    <n v="34.6"/>
    <n v="40.4"/>
    <n v="50"/>
    <n v="808"/>
    <x v="0"/>
    <x v="0"/>
    <n v="3"/>
    <n v="2"/>
    <n v="115.33333333333333"/>
  </r>
  <r>
    <d v="2025-02-13T22:15:00"/>
    <s v="INYECTADO"/>
    <x v="10"/>
    <x v="11"/>
    <s v="WALTER GUEVARA"/>
    <s v="VIRGEN"/>
    <s v="PP CLARIFICADO"/>
    <s v="."/>
    <x v="32"/>
    <s v="BASE ORGANIZADOR  DE 2KG CARAMELO-ROJO"/>
    <n v="870"/>
    <n v="8"/>
    <n v="52.1"/>
    <s v="DIURNO"/>
    <n v="0"/>
    <n v="15"/>
    <n v="937"/>
    <n v="20544"/>
    <s v="ROJO"/>
    <n v="4.5999999999999996"/>
    <n v="0"/>
    <n v="0"/>
    <n v="43.5"/>
    <n v="52.1"/>
    <n v="50"/>
    <n v="1042"/>
    <x v="0"/>
    <x v="0"/>
    <n v="3"/>
    <n v="2"/>
    <n v="145"/>
  </r>
  <r>
    <d v="2025-02-13T22:15:00"/>
    <s v="INYECTADO"/>
    <x v="10"/>
    <x v="11"/>
    <s v="WALTER GUEVARA"/>
    <s v="VIRGEN"/>
    <s v="PP CLARIFICADO"/>
    <s v="."/>
    <x v="32"/>
    <s v="BASE ORGANIZADOR  DE 2KG CARAMELO-AZUL"/>
    <n v="270"/>
    <n v="2"/>
    <n v="15.5"/>
    <s v="DIURNO"/>
    <n v="0"/>
    <n v="3"/>
    <n v="937"/>
    <n v="20544"/>
    <s v="AZUL"/>
    <n v="1"/>
    <n v="0"/>
    <n v="0"/>
    <n v="13.5"/>
    <n v="15.5"/>
    <n v="50"/>
    <n v="310"/>
    <x v="0"/>
    <x v="0"/>
    <n v="3"/>
    <n v="2"/>
    <n v="45"/>
  </r>
  <r>
    <d v="2025-02-13T22:15:00"/>
    <s v="INYECTADO"/>
    <x v="10"/>
    <x v="11"/>
    <s v="WALTER GUEVARA"/>
    <s v="VIRGEN"/>
    <s v="PP CLARIFICADO"/>
    <s v="."/>
    <x v="32"/>
    <s v="BASE ORGANIZADOR  DE 2KG CARAMELO-FUCSIA"/>
    <n v="182"/>
    <n v="2"/>
    <n v="10.6"/>
    <s v="DIURNO"/>
    <n v="0"/>
    <n v="3"/>
    <n v="937"/>
    <n v="20544"/>
    <s v="FUCSIA"/>
    <n v="6.2"/>
    <n v="0"/>
    <n v="0"/>
    <n v="9.1"/>
    <n v="10.6"/>
    <n v="50"/>
    <n v="212"/>
    <x v="0"/>
    <x v="0"/>
    <n v="3"/>
    <n v="2"/>
    <n v="30.333333333333332"/>
  </r>
  <r>
    <d v="2025-02-13T22:15:00"/>
    <s v="INYECTADO"/>
    <x v="10"/>
    <x v="23"/>
    <s v="JUAN CARLOS CEDENO"/>
    <s v="VIRGEN"/>
    <s v="PP CLARIFICADO"/>
    <s v="."/>
    <x v="32"/>
    <s v="BASE ORGANIZADOR  DE 2KG CARAMELO-AZUL"/>
    <n v="662"/>
    <n v="5"/>
    <n v="38.6"/>
    <s v="DIURNO"/>
    <n v="0"/>
    <n v="5"/>
    <n v="937"/>
    <n v="20545"/>
    <s v="AZUL"/>
    <n v="0"/>
    <n v="0"/>
    <n v="0"/>
    <n v="33.1"/>
    <n v="38.6"/>
    <n v="50"/>
    <n v="772"/>
    <x v="0"/>
    <x v="0"/>
    <n v="3"/>
    <n v="2"/>
    <n v="110.33333333333333"/>
  </r>
  <r>
    <d v="2025-02-13T22:15:00"/>
    <s v="INYECTADO"/>
    <x v="10"/>
    <x v="27"/>
    <s v="DAIMARY LINAREZ"/>
    <s v="VIRGEN"/>
    <s v="PP CLARIFICADO"/>
    <s v="."/>
    <x v="35"/>
    <s v="TAPER 550ML PASTEL-AZURE"/>
    <n v="465"/>
    <n v="3"/>
    <n v="36.799999999999997"/>
    <s v="DIURNO"/>
    <n v="0"/>
    <n v="4"/>
    <n v="975"/>
    <n v="20546"/>
    <s v="AZURE"/>
    <n v="10.6"/>
    <n v="0"/>
    <n v="0"/>
    <n v="17.670000000000002"/>
    <n v="36.799999999999997"/>
    <n v="38"/>
    <n v="968.42105263157896"/>
    <x v="0"/>
    <x v="0"/>
    <n v="3"/>
    <n v="2"/>
    <n v="77.5"/>
  </r>
  <r>
    <d v="2025-02-13T22:15:00"/>
    <s v="INYECTADO"/>
    <x v="10"/>
    <x v="27"/>
    <s v="DAIMARY LINAREZ"/>
    <s v="VIRGEN"/>
    <s v="PP CLARIFICADO"/>
    <s v="."/>
    <x v="35"/>
    <s v="TAPER 550ML PASTEL-SANDIA"/>
    <n v="441"/>
    <n v="4"/>
    <n v="38.9"/>
    <s v="DIURNO"/>
    <n v="0"/>
    <n v="4"/>
    <n v="975"/>
    <n v="20546"/>
    <s v="SANDIA"/>
    <n v="4.2"/>
    <n v="0"/>
    <n v="0"/>
    <n v="16.757999999999999"/>
    <n v="38.9"/>
    <n v="38"/>
    <n v="1023.6842105263158"/>
    <x v="0"/>
    <x v="0"/>
    <n v="3"/>
    <n v="2"/>
    <n v="73.5"/>
  </r>
  <r>
    <d v="2025-02-13T22:15:00"/>
    <s v="INYECTADO"/>
    <x v="10"/>
    <x v="12"/>
    <s v="LUIS PINEDO"/>
    <s v="VIRGEN"/>
    <s v="PP CLARIFICADO"/>
    <s v="."/>
    <x v="35"/>
    <s v="TAPER 550ML PASTEL-SANDIA"/>
    <n v="125"/>
    <n v="1"/>
    <n v="9.6999999999999993"/>
    <s v="DIURNO"/>
    <n v="0"/>
    <n v="1"/>
    <n v="975"/>
    <n v="20548"/>
    <s v="SANDIA"/>
    <n v="1.7"/>
    <n v="0"/>
    <n v="0"/>
    <n v="4.75"/>
    <n v="9.6999999999999993"/>
    <n v="38"/>
    <n v="255.26315789473685"/>
    <x v="0"/>
    <x v="0"/>
    <n v="4"/>
    <n v="2"/>
    <n v="20.833333333333332"/>
  </r>
  <r>
    <d v="2025-02-13T22:15:00"/>
    <s v="INYECTADO"/>
    <x v="10"/>
    <x v="12"/>
    <s v="LUIS PINEDO"/>
    <s v="VIRGEN"/>
    <s v="PP CLARIFICADO"/>
    <s v="."/>
    <x v="35"/>
    <s v="TAPER 550ML PASTEL-ROSADO"/>
    <n v="434"/>
    <n v="4"/>
    <n v="33.1"/>
    <s v="DIURNO"/>
    <n v="0"/>
    <n v="4"/>
    <n v="975"/>
    <n v="20548"/>
    <s v="ROSADO"/>
    <n v="10.199999999999999"/>
    <n v="0"/>
    <n v="0"/>
    <n v="16.492000000000001"/>
    <n v="33.1"/>
    <n v="38"/>
    <n v="871.0526315789474"/>
    <x v="0"/>
    <x v="0"/>
    <n v="4"/>
    <n v="2"/>
    <n v="72.333333333333329"/>
  </r>
  <r>
    <d v="2025-02-13T22:15:00"/>
    <s v="INYECTADO"/>
    <x v="10"/>
    <x v="12"/>
    <s v="FABIAN HERNANDEZ"/>
    <s v="VIRGEN"/>
    <s v="PP CLARIFICADO"/>
    <s v="."/>
    <x v="35"/>
    <s v="TAPER 550ML PASTEL-CELESTE"/>
    <n v="623"/>
    <n v="3"/>
    <n v="48"/>
    <s v="DIURNO"/>
    <n v="0"/>
    <n v="6"/>
    <n v="975"/>
    <n v="20549"/>
    <s v="CELESTE"/>
    <n v="8.3000000000000007"/>
    <n v="0"/>
    <n v="0"/>
    <n v="23.673999999999999"/>
    <n v="48"/>
    <n v="38"/>
    <n v="1263.1578947368421"/>
    <x v="0"/>
    <x v="0"/>
    <n v="4"/>
    <n v="2"/>
    <n v="103.83333333333333"/>
  </r>
  <r>
    <d v="2025-02-13T22:15:00"/>
    <s v="INYECTADO"/>
    <x v="10"/>
    <x v="12"/>
    <s v="FABIAN HERNANDEZ"/>
    <s v="VIRGEN"/>
    <s v="PP CLARIFICADO"/>
    <s v="."/>
    <x v="35"/>
    <s v="TAPER 550ML PASTEL-LILA"/>
    <n v="550"/>
    <n v="3"/>
    <n v="42.2"/>
    <s v="DIURNO"/>
    <n v="0"/>
    <n v="5"/>
    <n v="975"/>
    <n v="20549"/>
    <s v="LILA"/>
    <n v="8.6"/>
    <n v="0"/>
    <n v="0"/>
    <n v="20.9"/>
    <n v="42.2"/>
    <n v="38"/>
    <n v="1110.5263157894738"/>
    <x v="0"/>
    <x v="0"/>
    <n v="4"/>
    <n v="2"/>
    <n v="91.666666666666671"/>
  </r>
  <r>
    <d v="2025-02-13T22:15:00"/>
    <s v="INYECTADO"/>
    <x v="10"/>
    <x v="12"/>
    <s v="FABIAN HERNANDEZ"/>
    <s v="VIRGEN"/>
    <s v="PP CLARIFICADO"/>
    <s v="."/>
    <x v="35"/>
    <s v="TAPER 550ML PASTEL-ROSADO"/>
    <n v="147"/>
    <n v="2"/>
    <n v="11.2"/>
    <s v="DIURNO"/>
    <n v="0"/>
    <n v="2"/>
    <n v="975"/>
    <n v="20549"/>
    <s v="ROSADO"/>
    <n v="7.6"/>
    <n v="0"/>
    <n v="0"/>
    <n v="5.5860000000000003"/>
    <n v="11.2"/>
    <n v="38"/>
    <n v="294.73684210526318"/>
    <x v="0"/>
    <x v="0"/>
    <n v="4"/>
    <n v="2"/>
    <n v="24.5"/>
  </r>
  <r>
    <d v="2025-02-13T22:15:00"/>
    <s v="INYECTADO"/>
    <x v="10"/>
    <x v="12"/>
    <s v="FABIAN HERNANDEZ"/>
    <s v="VIRGEN"/>
    <s v="PP CLARIFICADO"/>
    <s v="."/>
    <x v="35"/>
    <s v="TAPER 550ML PASTEL-TURQUESA"/>
    <n v="80"/>
    <n v="2"/>
    <n v="6.1"/>
    <s v="DIURNO"/>
    <n v="0"/>
    <n v="1"/>
    <n v="975"/>
    <n v="20549"/>
    <s v="TURQUESA"/>
    <n v="3.2"/>
    <n v="0"/>
    <n v="0"/>
    <n v="3.04"/>
    <n v="6.1"/>
    <n v="38"/>
    <n v="160.52631578947367"/>
    <x v="0"/>
    <x v="0"/>
    <n v="4"/>
    <n v="2"/>
    <n v="13.333333333333334"/>
  </r>
  <r>
    <d v="2025-02-13T22:15:00"/>
    <s v="INYECTADO"/>
    <x v="10"/>
    <x v="13"/>
    <s v="GABRIEL REQUENA"/>
    <s v="VIRGEN"/>
    <s v="PP CLARIFICADO"/>
    <s v="."/>
    <x v="35"/>
    <s v="TAPER 550ML PASTEL-TURQUESA"/>
    <n v="976"/>
    <n v="8"/>
    <n v="75.7"/>
    <s v="DIURNO"/>
    <n v="0"/>
    <n v="8"/>
    <n v="975"/>
    <n v="20550"/>
    <s v="TURQUESA"/>
    <n v="11.1"/>
    <n v="0"/>
    <n v="0"/>
    <n v="37.088000000000001"/>
    <n v="75.7"/>
    <n v="38"/>
    <n v="1992.1052631578948"/>
    <x v="0"/>
    <x v="0"/>
    <n v="4"/>
    <n v="2"/>
    <n v="162.66666666666666"/>
  </r>
  <r>
    <d v="2025-02-13T22:15:00"/>
    <s v="INYECTADO"/>
    <x v="10"/>
    <x v="13"/>
    <s v="GABRIEL REQUENA"/>
    <s v="VIRGEN"/>
    <s v="PP CLARIFICADO"/>
    <s v="."/>
    <x v="35"/>
    <s v="TAPER 550ML PASTEL-AZURE"/>
    <n v="611"/>
    <n v="3"/>
    <n v="47.4"/>
    <s v="DIURNO"/>
    <n v="0"/>
    <n v="5"/>
    <n v="975"/>
    <n v="20550"/>
    <s v="AZURE"/>
    <n v="13.3"/>
    <n v="0"/>
    <n v="0"/>
    <n v="23.218"/>
    <n v="47.4"/>
    <n v="38"/>
    <n v="1247.3684210526317"/>
    <x v="0"/>
    <x v="0"/>
    <n v="4"/>
    <n v="2"/>
    <n v="101.83333333333333"/>
  </r>
  <r>
    <d v="2025-02-13T22:15:00"/>
    <s v="INYECTADO"/>
    <x v="10"/>
    <x v="13"/>
    <s v="PAUL MILLER"/>
    <s v="VIRGEN"/>
    <s v="PP CLARIFICADO"/>
    <s v="."/>
    <x v="35"/>
    <s v="TAPER 550ML PASTEL-SANDIA"/>
    <n v="604"/>
    <n v="5"/>
    <n v="46.3"/>
    <s v="DIURNO"/>
    <n v="0"/>
    <n v="5"/>
    <n v="975"/>
    <n v="20551"/>
    <s v="SANDIA"/>
    <n v="11"/>
    <n v="0"/>
    <n v="0"/>
    <n v="22.952000000000002"/>
    <n v="46.3"/>
    <n v="38"/>
    <n v="1218.421052631579"/>
    <x v="0"/>
    <x v="0"/>
    <n v="4"/>
    <n v="2"/>
    <n v="100.66666666666667"/>
  </r>
  <r>
    <d v="2025-02-13T22:15:00"/>
    <s v="INYECTADO"/>
    <x v="10"/>
    <x v="13"/>
    <s v="PAUL MILLER"/>
    <s v="VIRGEN"/>
    <s v="PP CLARIFICADO"/>
    <s v="."/>
    <x v="35"/>
    <s v="TAPER 550ML PASTEL-ROSADO"/>
    <n v="599"/>
    <n v="5"/>
    <n v="45.9"/>
    <s v="DIURNO"/>
    <n v="0"/>
    <n v="4"/>
    <n v="975"/>
    <n v="20551"/>
    <s v="ROSADO"/>
    <n v="5"/>
    <n v="0"/>
    <n v="0"/>
    <n v="22.762"/>
    <n v="45.9"/>
    <n v="38"/>
    <n v="1207.8947368421052"/>
    <x v="0"/>
    <x v="0"/>
    <n v="4"/>
    <n v="2"/>
    <n v="99.833333333333329"/>
  </r>
  <r>
    <d v="2025-02-13T22:15:00"/>
    <s v="INYECTADO"/>
    <x v="10"/>
    <x v="24"/>
    <s v="ISABEL LINARIZ "/>
    <s v="VIRGEN"/>
    <s v="PP CLARIFICADO"/>
    <s v="."/>
    <x v="35"/>
    <s v="TAPER 550ML PASTEL-LILA"/>
    <n v="705"/>
    <n v="5"/>
    <n v="54.7"/>
    <s v="DIURNO"/>
    <n v="0"/>
    <n v="6"/>
    <n v="975"/>
    <n v="20552"/>
    <s v="LILA"/>
    <n v="7"/>
    <n v="0"/>
    <n v="0"/>
    <n v="26.79"/>
    <n v="54.7"/>
    <n v="38"/>
    <n v="1439.4736842105262"/>
    <x v="0"/>
    <x v="0"/>
    <n v="4"/>
    <n v="2"/>
    <n v="117.5"/>
  </r>
  <r>
    <d v="2025-02-13T22:15:00"/>
    <s v="INYECTADO"/>
    <x v="10"/>
    <x v="24"/>
    <s v="ISABEL LINARIZ "/>
    <s v="VIRGEN"/>
    <s v="PP CLARIFICADO"/>
    <s v="."/>
    <x v="35"/>
    <s v="TAPER 550ML PASTEL-ROSADO"/>
    <n v="110"/>
    <n v="1"/>
    <n v="8.6"/>
    <s v="DIURNO"/>
    <n v="0"/>
    <n v="1"/>
    <n v="975"/>
    <n v="20552"/>
    <s v="ROSADO"/>
    <n v="3.4"/>
    <n v="0"/>
    <n v="0"/>
    <n v="4.18"/>
    <n v="8.6"/>
    <n v="38"/>
    <n v="226.31578947368422"/>
    <x v="0"/>
    <x v="0"/>
    <n v="4"/>
    <n v="2"/>
    <n v="18.333333333333332"/>
  </r>
  <r>
    <d v="2025-02-13T22:15:00"/>
    <s v="INYECTADO"/>
    <x v="10"/>
    <x v="24"/>
    <s v="ISABEL LINARIZ "/>
    <s v="VIRGEN"/>
    <s v="PP CLARIFICADO"/>
    <s v="."/>
    <x v="36"/>
    <s v="TAPER 550ML CARAMELO-VERDE"/>
    <n v="732"/>
    <n v="6"/>
    <n v="56.8"/>
    <s v="DIURNO"/>
    <n v="0"/>
    <n v="6"/>
    <n v="979"/>
    <n v="20552"/>
    <s v="VERDE"/>
    <n v="2.9"/>
    <n v="0"/>
    <n v="0"/>
    <n v="27.815999999999999"/>
    <n v="56.8"/>
    <n v="38"/>
    <n v="1494.7368421052631"/>
    <x v="0"/>
    <x v="0"/>
    <n v="4"/>
    <n v="2"/>
    <n v="122"/>
  </r>
  <r>
    <d v="2025-02-13T22:15:00"/>
    <s v="INYECTADO"/>
    <x v="10"/>
    <x v="24"/>
    <s v="FABIAN HERNANDEZ"/>
    <s v="VIRGEN"/>
    <s v="PP CLARIFICADO"/>
    <s v="."/>
    <x v="36"/>
    <s v="TAPER 550ML CARAMELO-VERDE"/>
    <n v="423"/>
    <n v="4"/>
    <n v="32.1"/>
    <s v="DIURNO"/>
    <n v="0"/>
    <n v="4"/>
    <n v="979"/>
    <n v="20553"/>
    <s v="VERDE"/>
    <n v="5.5"/>
    <n v="0"/>
    <n v="0"/>
    <n v="16.074000000000002"/>
    <n v="32.1"/>
    <n v="38"/>
    <n v="844.73684210526312"/>
    <x v="0"/>
    <x v="0"/>
    <n v="4"/>
    <n v="2"/>
    <n v="70.5"/>
  </r>
  <r>
    <d v="2025-02-13T22:15:00"/>
    <s v="INYECTADO"/>
    <x v="10"/>
    <x v="24"/>
    <s v="FABIAN HERNANDEZ"/>
    <s v="VIRGEN"/>
    <s v="PP CLARIFICADO"/>
    <s v="."/>
    <x v="36"/>
    <s v="TAPER 550ML CARAMELO-AMARILLO"/>
    <n v="1203"/>
    <n v="9"/>
    <n v="91.2"/>
    <s v="DIURNO"/>
    <n v="0"/>
    <n v="10"/>
    <n v="979"/>
    <n v="20553"/>
    <s v="AMARILLO"/>
    <n v="3.3"/>
    <n v="0"/>
    <n v="0"/>
    <n v="45.713999999999999"/>
    <n v="91.2"/>
    <n v="38"/>
    <n v="2400"/>
    <x v="0"/>
    <x v="0"/>
    <n v="4"/>
    <n v="2"/>
    <n v="200.5"/>
  </r>
  <r>
    <d v="2025-02-13T22:15:00"/>
    <s v="INYECTADO"/>
    <x v="10"/>
    <x v="25"/>
    <s v="JOSDER GONZALEZ"/>
    <s v="VIRGEN"/>
    <s v="PP CLARIFICADO"/>
    <s v="."/>
    <x v="36"/>
    <s v="TAPER 550ML CARAMELO-FUCSIA"/>
    <n v="892"/>
    <n v="7"/>
    <n v="68.400000000000006"/>
    <s v="DIURNO"/>
    <n v="0"/>
    <n v="8"/>
    <n v="979"/>
    <n v="20554"/>
    <s v="FUCSIA"/>
    <n v="3"/>
    <n v="0"/>
    <n v="0"/>
    <n v="33.896000000000001"/>
    <n v="68.400000000000006"/>
    <n v="38"/>
    <n v="1800"/>
    <x v="0"/>
    <x v="0"/>
    <n v="4"/>
    <n v="2"/>
    <n v="148.66666666666666"/>
  </r>
  <r>
    <d v="2025-02-13T22:15:00"/>
    <s v="INYECTADO"/>
    <x v="10"/>
    <x v="25"/>
    <s v="JOSDER GONZALEZ"/>
    <s v="VIRGEN"/>
    <s v="PP CLARIFICADO"/>
    <s v="."/>
    <x v="35"/>
    <s v="TAPER 550ML PASTEL-CELESTE"/>
    <n v="601"/>
    <n v="4"/>
    <n v="46.1"/>
    <s v="DIURNO"/>
    <n v="0"/>
    <n v="5"/>
    <n v="975"/>
    <n v="20554"/>
    <s v="CELESTE"/>
    <n v="6.4"/>
    <n v="0"/>
    <n v="0"/>
    <n v="22.838000000000001"/>
    <n v="46.1"/>
    <n v="38"/>
    <n v="1213.1578947368421"/>
    <x v="0"/>
    <x v="0"/>
    <n v="4"/>
    <n v="2"/>
    <n v="100.16666666666667"/>
  </r>
  <r>
    <d v="2025-02-13T22:15:00"/>
    <s v="INYECTADO"/>
    <x v="10"/>
    <x v="25"/>
    <s v="JUAN MANUEL PEREZ"/>
    <s v="VIRGEN"/>
    <s v="PP CLARIFICADO"/>
    <s v="."/>
    <x v="36"/>
    <s v="TAPER 550ML CARAMELO-FUCSIA"/>
    <n v="223"/>
    <n v="2"/>
    <n v="17.5"/>
    <s v="DIURNO"/>
    <n v="0"/>
    <n v="2"/>
    <n v="979"/>
    <n v="20555"/>
    <s v="FUCSIA"/>
    <n v="21.3"/>
    <n v="0"/>
    <n v="0"/>
    <n v="8.4740000000000002"/>
    <n v="17.5"/>
    <n v="38"/>
    <n v="460.5263157894737"/>
    <x v="0"/>
    <x v="0"/>
    <n v="4"/>
    <n v="2"/>
    <n v="37.166666666666664"/>
  </r>
  <r>
    <d v="2025-02-13T22:15:00"/>
    <s v="INYECTADO"/>
    <x v="10"/>
    <x v="25"/>
    <s v="JUAN MANUEL PEREZ"/>
    <s v="VIRGEN"/>
    <s v="PP CLARIFICADO"/>
    <s v="."/>
    <x v="36"/>
    <s v="TAPER 550ML CARAMELO-LILA"/>
    <n v="882"/>
    <n v="7"/>
    <n v="69.099999999999994"/>
    <s v="DIURNO"/>
    <n v="0"/>
    <n v="8"/>
    <n v="979"/>
    <n v="20555"/>
    <s v="LILA"/>
    <n v="24.5"/>
    <n v="0"/>
    <n v="0"/>
    <n v="33.515999999999998"/>
    <n v="69.099999999999994"/>
    <n v="38"/>
    <n v="1818.421052631579"/>
    <x v="0"/>
    <x v="0"/>
    <n v="4"/>
    <n v="2"/>
    <n v="147"/>
  </r>
  <r>
    <d v="2025-02-13T22:15:00"/>
    <s v="INYECTADO"/>
    <x v="10"/>
    <x v="14"/>
    <s v="LUIS RENGIFO"/>
    <s v="VIRGEN"/>
    <s v="PP CLARIFICADO"/>
    <s v="."/>
    <x v="36"/>
    <s v="TAPER 550ML CARAMELO-ROJO"/>
    <n v="1050"/>
    <n v="7"/>
    <n v="83.1"/>
    <s v="DIURNO"/>
    <n v="0"/>
    <n v="8"/>
    <n v="979"/>
    <n v="1000"/>
    <s v="ROJO"/>
    <n v="10.8"/>
    <n v="0"/>
    <n v="0"/>
    <n v="39.9"/>
    <n v="83.1"/>
    <n v="38"/>
    <n v="2186.8421052631579"/>
    <x v="0"/>
    <x v="0"/>
    <n v="4"/>
    <n v="2"/>
    <n v="175"/>
  </r>
  <r>
    <d v="2025-02-13T22:15:00"/>
    <s v="INYECTADO"/>
    <x v="10"/>
    <x v="14"/>
    <s v="LUIS RENGIFO"/>
    <s v="VIRGEN"/>
    <s v="PP CLARIFICADO"/>
    <s v="."/>
    <x v="36"/>
    <s v="TAPER 550ML CARAMELO-AZUL"/>
    <n v="319"/>
    <n v="3"/>
    <n v="25.3"/>
    <s v="DIURNO"/>
    <n v="0"/>
    <n v="2"/>
    <n v="979"/>
    <n v="1000"/>
    <s v="AZUL"/>
    <n v="1.7"/>
    <n v="0"/>
    <n v="0"/>
    <n v="12.122"/>
    <n v="25.3"/>
    <n v="38"/>
    <n v="665.78947368421052"/>
    <x v="0"/>
    <x v="0"/>
    <n v="4"/>
    <n v="2"/>
    <n v="53.166666666666664"/>
  </r>
  <r>
    <d v="2025-02-13T22:15:00"/>
    <s v="INYECTADO"/>
    <x v="10"/>
    <x v="15"/>
    <s v="JOSDER GONZALEZ"/>
    <s v="VIRGEN"/>
    <s v="PP CLARIFICADO"/>
    <s v="."/>
    <x v="36"/>
    <s v="TAPER 550ML CARAMELO-AZUL"/>
    <n v="1222"/>
    <n v="8"/>
    <n v="92.9"/>
    <s v="DIURNO"/>
    <n v="0"/>
    <n v="10"/>
    <n v="979"/>
    <n v="20556"/>
    <s v="AZUL"/>
    <n v="11.5"/>
    <n v="0"/>
    <n v="0"/>
    <n v="46.436"/>
    <n v="92.9"/>
    <n v="38"/>
    <n v="2444.7368421052633"/>
    <x v="0"/>
    <x v="0"/>
    <n v="4"/>
    <n v="2"/>
    <n v="203.66666666666666"/>
  </r>
  <r>
    <d v="2025-02-13T22:15:00"/>
    <s v="INYECTADO"/>
    <x v="10"/>
    <x v="15"/>
    <s v="JOSDER GONZALEZ"/>
    <s v="VIRGEN"/>
    <s v="PP CLARIFICADO"/>
    <s v="."/>
    <x v="36"/>
    <s v="TAPER 550ML CARAMELO-LILA"/>
    <n v="181"/>
    <n v="2"/>
    <n v="13.8"/>
    <s v="DIURNO"/>
    <n v="0"/>
    <n v="2"/>
    <n v="979"/>
    <n v="20556"/>
    <s v="LILA"/>
    <n v="1.2"/>
    <n v="0"/>
    <n v="0"/>
    <n v="6.8780000000000001"/>
    <n v="13.8"/>
    <n v="38"/>
    <n v="363.15789473684208"/>
    <x v="0"/>
    <x v="0"/>
    <n v="4"/>
    <n v="2"/>
    <n v="30.166666666666668"/>
  </r>
  <r>
    <d v="2025-02-13T22:15:00"/>
    <s v="INYECTADO"/>
    <x v="10"/>
    <x v="7"/>
    <s v="LUIS RENGIFO"/>
    <s v="VIRGEN"/>
    <s v="PP CLARIFICADO"/>
    <s v="."/>
    <x v="36"/>
    <s v="TAPER 550ML CARAMELO-LILA"/>
    <n v="105"/>
    <n v="1"/>
    <n v="7.8"/>
    <s v="DIURNO"/>
    <n v="0"/>
    <n v="1"/>
    <n v="979"/>
    <n v="20557"/>
    <s v="LILA"/>
    <n v="12.5"/>
    <n v="0"/>
    <n v="0"/>
    <n v="3.99"/>
    <n v="7.8"/>
    <n v="38"/>
    <n v="205.26315789473685"/>
    <x v="0"/>
    <x v="0"/>
    <n v="5"/>
    <n v="2"/>
    <n v="17.5"/>
  </r>
  <r>
    <d v="2025-02-13T22:15:00"/>
    <s v="INYECTADO"/>
    <x v="10"/>
    <x v="7"/>
    <s v="LUIS RENGIFO"/>
    <s v="VIRGEN"/>
    <s v="PP CLARIFICADO"/>
    <s v="."/>
    <x v="37"/>
    <s v="TAPER 550ML TRANSP-TRANSPARENTE"/>
    <n v="769"/>
    <n v="7"/>
    <n v="57.7"/>
    <s v="DIURNO"/>
    <n v="0"/>
    <n v="9"/>
    <n v="937"/>
    <n v="20577"/>
    <s v="TRANSPARENTE"/>
    <n v="0"/>
    <n v="0"/>
    <n v="0"/>
    <n v="28.452999999999999"/>
    <n v="57.7"/>
    <n v="37"/>
    <n v="1559.4594594594594"/>
    <x v="0"/>
    <x v="0"/>
    <n v="5"/>
    <n v="1"/>
    <n v="64.083333333333329"/>
  </r>
  <r>
    <d v="2025-02-13T22:15:00"/>
    <s v="INYECTADO"/>
    <x v="10"/>
    <x v="8"/>
    <s v="SAID VILLAMIZAR"/>
    <s v="VIRGEN"/>
    <s v="PP CLARIFICADO"/>
    <s v="."/>
    <x v="37"/>
    <s v="TAPER 550ML TRANSP-TRANSPARENTE"/>
    <n v="1589"/>
    <n v="11"/>
    <n v="119.2"/>
    <s v="DIURNO"/>
    <n v="0"/>
    <n v="13"/>
    <n v="937"/>
    <n v="20558"/>
    <s v="TRANSPARENTE"/>
    <n v="4.8"/>
    <n v="0"/>
    <n v="0"/>
    <n v="58.792999999999999"/>
    <n v="119.2"/>
    <n v="37"/>
    <n v="3221.6216216216217"/>
    <x v="0"/>
    <x v="0"/>
    <n v="5"/>
    <n v="1"/>
    <n v="132.41666666666666"/>
  </r>
  <r>
    <d v="2025-02-13T22:15:00"/>
    <s v="INYECTADO"/>
    <x v="10"/>
    <x v="17"/>
    <s v="LUIS PINEDO"/>
    <s v="SEGUNDA"/>
    <s v="."/>
    <s v="MIXTO"/>
    <x v="38"/>
    <s v="EMBUDO #4-AMARILLO"/>
    <n v="394"/>
    <n v="5"/>
    <n v="96.2"/>
    <s v="DIURNO"/>
    <n v="0"/>
    <n v="13"/>
    <n v="986"/>
    <n v="20559"/>
    <s v="AMARILLO"/>
    <n v="14.6"/>
    <n v="0"/>
    <n v="0"/>
    <n v="49.643999999999998"/>
    <n v="96.2"/>
    <n v="126"/>
    <n v="763.49206349206349"/>
    <x v="0"/>
    <x v="0"/>
    <n v="5"/>
    <n v="2"/>
    <n v="65.666666666666671"/>
  </r>
  <r>
    <d v="2025-02-13T22:15:00"/>
    <s v="INYECTADO"/>
    <x v="10"/>
    <x v="17"/>
    <s v="LUIS PINEDO"/>
    <s v="SEGUNDA"/>
    <s v="."/>
    <s v="MIXTO"/>
    <x v="38"/>
    <s v="EMBUDO #4-ANARANJADO"/>
    <n v="218"/>
    <n v="3"/>
    <n v="53.2"/>
    <s v="DIURNO"/>
    <n v="0"/>
    <n v="7"/>
    <n v="986"/>
    <n v="20559"/>
    <s v="ANARANJADO"/>
    <n v="3.4"/>
    <n v="0"/>
    <n v="0"/>
    <n v="27.468"/>
    <n v="53.2"/>
    <n v="126"/>
    <n v="422.22222222222223"/>
    <x v="0"/>
    <x v="0"/>
    <n v="5"/>
    <n v="2"/>
    <n v="36.333333333333336"/>
  </r>
  <r>
    <d v="2025-02-13T22:15:00"/>
    <s v="INYECTADO"/>
    <x v="10"/>
    <x v="17"/>
    <s v="FABIAN HERNANDEZ"/>
    <s v="SEGUNDA"/>
    <s v="."/>
    <s v="MIXTO"/>
    <x v="38"/>
    <s v="EMBUDO #4-ROJO"/>
    <n v="364"/>
    <n v="4"/>
    <n v="89.8"/>
    <s v="DIURNO"/>
    <n v="0"/>
    <n v="11"/>
    <n v="986"/>
    <n v="20560"/>
    <s v="ROJO"/>
    <n v="9.8000000000000007"/>
    <n v="0"/>
    <n v="0"/>
    <n v="45.863999999999997"/>
    <n v="89.8"/>
    <n v="126"/>
    <n v="712.69841269841265"/>
    <x v="0"/>
    <x v="0"/>
    <n v="5"/>
    <n v="2"/>
    <n v="60.666666666666664"/>
  </r>
  <r>
    <d v="2025-02-13T22:15:00"/>
    <s v="INYECTADO"/>
    <x v="10"/>
    <x v="17"/>
    <s v="FABIAN HERNANDEZ"/>
    <s v="SEGUNDA"/>
    <s v="."/>
    <s v="MIXTO"/>
    <x v="38"/>
    <s v="EMBUDO #4-VERDE"/>
    <n v="336"/>
    <n v="4"/>
    <n v="83.1"/>
    <s v="DIURNO"/>
    <n v="0"/>
    <n v="11"/>
    <n v="986"/>
    <n v="20560"/>
    <s v="VERDE"/>
    <n v="5.3"/>
    <n v="0"/>
    <n v="0"/>
    <n v="42.335999999999999"/>
    <n v="83.1"/>
    <n v="126"/>
    <n v="659.52380952380952"/>
    <x v="0"/>
    <x v="0"/>
    <n v="5"/>
    <n v="2"/>
    <n v="56"/>
  </r>
  <r>
    <d v="2025-02-13T22:15:00"/>
    <s v="INYECTADO"/>
    <x v="10"/>
    <x v="17"/>
    <s v="FABIAN HERNANDEZ"/>
    <s v="SEGUNDA"/>
    <s v="."/>
    <s v="MIXTO"/>
    <x v="38"/>
    <s v="EMBUDO #4-LILA"/>
    <n v="151"/>
    <n v="2"/>
    <n v="37.799999999999997"/>
    <s v="DIURNO"/>
    <n v="0"/>
    <n v="5"/>
    <n v="986"/>
    <n v="20560"/>
    <s v="LILA"/>
    <n v="6.3"/>
    <n v="0"/>
    <n v="0"/>
    <n v="19.026"/>
    <n v="37.799999999999997"/>
    <n v="126"/>
    <n v="300"/>
    <x v="0"/>
    <x v="0"/>
    <n v="5"/>
    <n v="2"/>
    <n v="25.166666666666668"/>
  </r>
  <r>
    <d v="2025-02-13T22:15:00"/>
    <s v="INYECTADO"/>
    <x v="10"/>
    <x v="26"/>
    <s v="JOSDER GONZALEZ"/>
    <s v="SEGUNDA"/>
    <s v="."/>
    <s v="MIXTO"/>
    <x v="38"/>
    <s v="EMBUDO #4-LILA"/>
    <n v="240"/>
    <n v="3"/>
    <n v="59.2"/>
    <s v="DIURNO"/>
    <n v="0"/>
    <n v="8"/>
    <n v="986"/>
    <n v="20561"/>
    <s v="LILA"/>
    <n v="12"/>
    <n v="0"/>
    <n v="0"/>
    <n v="30.24"/>
    <n v="59.2"/>
    <n v="126"/>
    <n v="469.84126984126982"/>
    <x v="0"/>
    <x v="0"/>
    <n v="5"/>
    <n v="2"/>
    <n v="40"/>
  </r>
  <r>
    <d v="2025-02-13T22:15:00"/>
    <s v="INYECTADO"/>
    <x v="10"/>
    <x v="26"/>
    <s v="JOSDER GONZALEZ"/>
    <s v="SEGUNDA"/>
    <s v="."/>
    <s v="MIXTO"/>
    <x v="38"/>
    <s v="EMBUDO #4-AZUL"/>
    <n v="245"/>
    <n v="3"/>
    <n v="60.6"/>
    <s v="DIURNO"/>
    <n v="0"/>
    <n v="8"/>
    <n v="986"/>
    <n v="20561"/>
    <s v="AZUL"/>
    <n v="21.9"/>
    <n v="0"/>
    <n v="0"/>
    <n v="30.87"/>
    <n v="60.6"/>
    <n v="126"/>
    <n v="480.95238095238096"/>
    <x v="0"/>
    <x v="0"/>
    <n v="5"/>
    <n v="2"/>
    <n v="40.833333333333336"/>
  </r>
  <r>
    <d v="2025-01-20T10:30:00"/>
    <s v="SOPLADO"/>
    <x v="11"/>
    <x v="22"/>
    <s v="NELSON PINEDO"/>
    <s v="VIRGEN"/>
    <s v="PP SOPLADO"/>
    <s v="."/>
    <x v="39"/>
    <s v="TOMATODO 350ML-TRANSPARENTE"/>
    <n v="1198"/>
    <n v="6"/>
    <n v="42.3"/>
    <s v="DIURNO"/>
    <m/>
    <m/>
    <m/>
    <n v="17779"/>
    <s v="TRANSPARENTE"/>
    <n v="20.399999999999999"/>
    <n v="0"/>
    <n v="0"/>
    <n v="74.275999999999996"/>
    <n v="42.3"/>
    <n v="62"/>
    <n v="682.25806451612902"/>
    <x v="0"/>
    <x v="0"/>
    <n v="2"/>
    <n v="2"/>
    <n v="199.66666666666666"/>
  </r>
  <r>
    <d v="2025-01-20T10:30:00"/>
    <s v="SOPLADO"/>
    <x v="11"/>
    <x v="22"/>
    <s v="FABIAN HERNANDEZ"/>
    <s v="VIRGEN"/>
    <s v="PP SOPLADO"/>
    <s v="."/>
    <x v="39"/>
    <s v="TOMATODO 350ML-TRANSPARENTE"/>
    <n v="1891"/>
    <n v="12"/>
    <n v="66.2"/>
    <s v="DIURNO"/>
    <m/>
    <m/>
    <m/>
    <n v="17780"/>
    <s v="TRANSPARENTE"/>
    <n v="35.299999999999997"/>
    <n v="0"/>
    <n v="0"/>
    <n v="117.242"/>
    <n v="66.2"/>
    <n v="62"/>
    <n v="1067.741935483871"/>
    <x v="0"/>
    <x v="0"/>
    <n v="2"/>
    <n v="2"/>
    <n v="315.16666666666669"/>
  </r>
  <r>
    <d v="2025-01-20T10:30:00"/>
    <s v="SOPLADO"/>
    <x v="11"/>
    <x v="4"/>
    <s v="CRISALIDA ZAPATA"/>
    <s v="VIRGEN"/>
    <s v="PP SOPLADO"/>
    <s v="."/>
    <x v="39"/>
    <s v="TOMATODO 350ML-TRANSPARENTE"/>
    <n v="1648"/>
    <n v="11"/>
    <n v="57.7"/>
    <s v="DIURNO"/>
    <m/>
    <m/>
    <m/>
    <n v="17781"/>
    <s v="TRANSPARENTE"/>
    <n v="57.7"/>
    <n v="0"/>
    <n v="0"/>
    <n v="102.176"/>
    <n v="57.7"/>
    <n v="62"/>
    <n v="930.64516129032256"/>
    <x v="0"/>
    <x v="0"/>
    <n v="2"/>
    <n v="2"/>
    <n v="274.66666666666669"/>
  </r>
  <r>
    <d v="2025-01-20T10:30:00"/>
    <s v="SOPLADO"/>
    <x v="11"/>
    <x v="4"/>
    <s v="WALTER GUEVARA"/>
    <s v="VIRGEN"/>
    <s v="PP SOPLADO"/>
    <s v="."/>
    <x v="39"/>
    <s v="TOMATODO 350ML-TRANSPARENTE"/>
    <n v="1190"/>
    <n v="6"/>
    <n v="41.6"/>
    <s v="DIURNO"/>
    <m/>
    <m/>
    <m/>
    <n v="17782"/>
    <s v="TRANSPARENTE"/>
    <n v="41.6"/>
    <n v="0"/>
    <n v="0"/>
    <n v="73.78"/>
    <n v="41.6"/>
    <n v="62"/>
    <n v="670.9677419354839"/>
    <x v="0"/>
    <x v="0"/>
    <n v="2"/>
    <n v="2"/>
    <n v="198.33333333333334"/>
  </r>
  <r>
    <d v="2025-01-20T10:30:00"/>
    <s v="SOPLADO"/>
    <x v="11"/>
    <x v="5"/>
    <s v="SAID VILLAMIZAR"/>
    <s v="VIRGEN"/>
    <s v="PP SOPLADO"/>
    <s v="."/>
    <x v="39"/>
    <s v="TOMATODO 350ML-TRANSPARENTE"/>
    <n v="1500"/>
    <n v="8"/>
    <n v="52.5"/>
    <s v="DIURNO"/>
    <m/>
    <m/>
    <m/>
    <n v="17783"/>
    <s v="TRANSPARENTE"/>
    <n v="45.3"/>
    <n v="0"/>
    <n v="0"/>
    <n v="93"/>
    <n v="52.5"/>
    <n v="62"/>
    <n v="846.77419354838707"/>
    <x v="0"/>
    <x v="0"/>
    <n v="3"/>
    <n v="2"/>
    <n v="250"/>
  </r>
  <r>
    <d v="2025-01-20T10:30:00"/>
    <s v="SOPLADO"/>
    <x v="11"/>
    <x v="5"/>
    <s v="WALTER GUEVARA"/>
    <s v="VIRGEN"/>
    <s v="PP SOPLADO"/>
    <s v="."/>
    <x v="39"/>
    <s v="TOMATODO 350ML-TRANSPARENTE"/>
    <n v="2445"/>
    <n v="12"/>
    <n v="85.6"/>
    <s v="DIURNO"/>
    <m/>
    <m/>
    <m/>
    <n v="17784"/>
    <s v="TRANSPARENTE"/>
    <n v="85.6"/>
    <n v="0"/>
    <n v="0"/>
    <n v="151.59"/>
    <n v="85.6"/>
    <n v="62"/>
    <n v="1380.6451612903227"/>
    <x v="0"/>
    <x v="0"/>
    <n v="3"/>
    <n v="2"/>
    <n v="407.5"/>
  </r>
  <r>
    <d v="2025-01-20T10:30:00"/>
    <s v="SOPLADO"/>
    <x v="11"/>
    <x v="6"/>
    <s v="CRISALIDA ZAPATA"/>
    <s v="VIRGEN"/>
    <s v="PP SOPLADO"/>
    <s v="."/>
    <x v="39"/>
    <s v="TOMATODO 350ML-TRANSPARENTE"/>
    <n v="2162"/>
    <n v="11"/>
    <n v="75.7"/>
    <s v="DIURNO"/>
    <m/>
    <m/>
    <m/>
    <n v="17785"/>
    <s v="TRANSPARENTE"/>
    <n v="75.7"/>
    <n v="0"/>
    <n v="0"/>
    <n v="134.04400000000001"/>
    <n v="75.7"/>
    <n v="62"/>
    <n v="1220.9677419354839"/>
    <x v="0"/>
    <x v="0"/>
    <n v="3"/>
    <n v="2"/>
    <n v="360.33333333333331"/>
  </r>
  <r>
    <d v="2025-01-20T10:30:00"/>
    <s v="SOPLADO"/>
    <x v="11"/>
    <x v="9"/>
    <s v="JOSDER GONZALEZ"/>
    <s v="VIRGEN"/>
    <s v="PP SOPLADO"/>
    <s v="."/>
    <x v="39"/>
    <s v="TOMATODO 350ML-TRANSPARENTE"/>
    <n v="305"/>
    <n v="2"/>
    <n v="10.7"/>
    <s v="DIURNO"/>
    <m/>
    <m/>
    <m/>
    <n v="17786"/>
    <s v="TRANSPARENTE"/>
    <n v="0"/>
    <n v="0"/>
    <n v="0"/>
    <n v="18.91"/>
    <n v="10.7"/>
    <n v="62"/>
    <n v="172.58064516129033"/>
    <x v="0"/>
    <x v="0"/>
    <n v="3"/>
    <n v="2"/>
    <n v="50.833333333333336"/>
  </r>
  <r>
    <d v="2025-01-20T10:30:00"/>
    <s v="SOPLADO"/>
    <x v="11"/>
    <x v="9"/>
    <s v="JOSDER GONZALEZ"/>
    <s v="VIRGEN"/>
    <s v="PP SOPLADO"/>
    <s v="."/>
    <x v="40"/>
    <s v="TOMATODO 350ML PASTEL-TURQUESA"/>
    <n v="1318"/>
    <n v="7"/>
    <n v="47.1"/>
    <s v="DIURNO"/>
    <m/>
    <m/>
    <m/>
    <n v="17786"/>
    <s v="TURQUESA"/>
    <n v="0"/>
    <n v="0"/>
    <n v="0"/>
    <n v="38.222000000000001"/>
    <n v="47.1"/>
    <n v="29"/>
    <n v="1624.1379310344828"/>
    <x v="0"/>
    <x v="0"/>
    <n v="3"/>
    <n v="1"/>
    <n v="109.83333333333333"/>
  </r>
  <r>
    <d v="2025-01-20T10:30:00"/>
    <s v="SOPLADO"/>
    <x v="11"/>
    <x v="10"/>
    <s v="ISABEL LINARIZ "/>
    <s v="VIRGEN"/>
    <s v="PP SOPLADO"/>
    <s v="."/>
    <x v="40"/>
    <s v="TOMATODO 350ML PASTEL-CELESTE"/>
    <n v="1376"/>
    <n v="8"/>
    <n v="47.1"/>
    <s v="DIURNO"/>
    <m/>
    <m/>
    <m/>
    <n v="17787"/>
    <s v="CELESTE"/>
    <n v="47"/>
    <n v="0"/>
    <n v="0"/>
    <n v="39.904000000000003"/>
    <n v="47.1"/>
    <n v="29"/>
    <n v="1624.1379310344828"/>
    <x v="0"/>
    <x v="0"/>
    <n v="3"/>
    <n v="1"/>
    <n v="114.66666666666667"/>
  </r>
  <r>
    <d v="2025-01-20T10:30:00"/>
    <s v="SOPLADO"/>
    <x v="11"/>
    <x v="10"/>
    <s v="ISABEL LINARIZ "/>
    <s v="VIRGEN"/>
    <s v="PP SOPLADO"/>
    <s v="."/>
    <x v="40"/>
    <s v="TOMATODO 350ML PASTEL-ROSADO"/>
    <n v="272"/>
    <n v="2"/>
    <n v="9.3000000000000007"/>
    <s v="DIURNO"/>
    <m/>
    <m/>
    <m/>
    <n v="17787"/>
    <s v="ROSADO"/>
    <n v="8.8000000000000007"/>
    <n v="0"/>
    <n v="0"/>
    <n v="7.8879999999999999"/>
    <n v="9.3000000000000007"/>
    <n v="29"/>
    <n v="320.68965517241378"/>
    <x v="0"/>
    <x v="0"/>
    <n v="3"/>
    <n v="1"/>
    <n v="22.666666666666668"/>
  </r>
  <r>
    <d v="2025-01-20T10:30:00"/>
    <s v="SOPLADO"/>
    <x v="11"/>
    <x v="11"/>
    <s v="JOSDER GONZALEZ"/>
    <s v="VIRGEN"/>
    <s v="PP SOPLADO"/>
    <s v="."/>
    <x v="40"/>
    <s v="TOMATODO 350ML PASTEL-ROSADO"/>
    <n v="432"/>
    <n v="3"/>
    <n v="14.7"/>
    <s v="DIURNO"/>
    <m/>
    <m/>
    <m/>
    <n v="17788"/>
    <s v="ROSADO"/>
    <n v="12.1"/>
    <n v="0"/>
    <n v="0"/>
    <n v="12.528"/>
    <n v="14.7"/>
    <n v="29"/>
    <n v="506.89655172413791"/>
    <x v="0"/>
    <x v="0"/>
    <n v="3"/>
    <n v="1"/>
    <n v="36"/>
  </r>
  <r>
    <d v="2025-01-20T10:30:00"/>
    <s v="SOPLADO"/>
    <x v="11"/>
    <x v="11"/>
    <s v="JOSDER GONZALEZ"/>
    <s v="VIRGEN"/>
    <s v="PP SOPLADO"/>
    <s v="."/>
    <x v="40"/>
    <s v="TOMATODO 350ML PASTEL-LILA"/>
    <n v="458"/>
    <n v="3"/>
    <n v="15.6"/>
    <s v="DIURNO"/>
    <m/>
    <m/>
    <m/>
    <n v="17788"/>
    <s v="LILA"/>
    <n v="9.6"/>
    <n v="0"/>
    <n v="0"/>
    <n v="13.282"/>
    <n v="15.6"/>
    <n v="29"/>
    <n v="537.93103448275861"/>
    <x v="0"/>
    <x v="0"/>
    <n v="3"/>
    <n v="1"/>
    <n v="38.166666666666664"/>
  </r>
  <r>
    <d v="2025-01-20T10:30:00"/>
    <s v="SOPLADO"/>
    <x v="11"/>
    <x v="23"/>
    <s v="SAID VILLAMIZAR"/>
    <s v="VIRGEN"/>
    <s v="PP SOPLADO"/>
    <s v="."/>
    <x v="40"/>
    <s v="TOMATODO 350ML PASTEL-LILA"/>
    <n v="240"/>
    <n v="2"/>
    <n v="7.9"/>
    <s v="DIURNO"/>
    <m/>
    <m/>
    <m/>
    <n v="17789"/>
    <s v="LILA"/>
    <n v="3.3"/>
    <n v="0"/>
    <n v="0"/>
    <n v="6.96"/>
    <n v="7.9"/>
    <n v="29"/>
    <n v="272.41379310344826"/>
    <x v="0"/>
    <x v="0"/>
    <n v="3"/>
    <n v="1"/>
    <n v="20"/>
  </r>
  <r>
    <d v="2025-01-20T10:30:00"/>
    <s v="SOPLADO"/>
    <x v="11"/>
    <x v="23"/>
    <s v="SAID VILLAMIZAR"/>
    <s v="VIRGEN"/>
    <s v="PP SOPLADO"/>
    <s v="."/>
    <x v="40"/>
    <s v="TOMATODO 350ML PASTEL-SANDIA"/>
    <n v="1449"/>
    <n v="8"/>
    <n v="47.1"/>
    <s v="DIURNO"/>
    <m/>
    <m/>
    <m/>
    <n v="17789"/>
    <s v="SANDIA"/>
    <n v="10.4"/>
    <n v="0"/>
    <n v="0"/>
    <n v="42.021000000000001"/>
    <n v="47.1"/>
    <n v="29"/>
    <n v="1624.1379310344828"/>
    <x v="0"/>
    <x v="0"/>
    <n v="3"/>
    <n v="1"/>
    <n v="120.75"/>
  </r>
  <r>
    <d v="2025-01-20T10:30:00"/>
    <s v="SOPLADO"/>
    <x v="11"/>
    <x v="23"/>
    <s v="FABIAN HERNANDEZ"/>
    <s v="VIRGEN"/>
    <s v="PP SOPLADO"/>
    <s v="."/>
    <x v="40"/>
    <s v="TOMATODO 350ML PASTEL-AZURE"/>
    <n v="1360"/>
    <n v="7"/>
    <n v="45.6"/>
    <s v="DIURNO"/>
    <m/>
    <m/>
    <m/>
    <n v="17790"/>
    <s v="AZURE"/>
    <n v="45.6"/>
    <n v="0"/>
    <n v="0"/>
    <n v="39.44"/>
    <n v="45.6"/>
    <n v="29"/>
    <n v="1572.4137931034484"/>
    <x v="0"/>
    <x v="0"/>
    <n v="3"/>
    <n v="1"/>
    <n v="113.33333333333333"/>
  </r>
  <r>
    <d v="2025-01-20T10:30:00"/>
    <s v="SOPLADO"/>
    <x v="11"/>
    <x v="23"/>
    <s v="FABIAN HERNANDEZ"/>
    <s v="VIRGEN"/>
    <s v="PP SOPLADO"/>
    <s v="."/>
    <x v="40"/>
    <s v="TOMATODO 350ML PASTEL-ROSADO"/>
    <n v="637"/>
    <n v="5"/>
    <n v="20.3"/>
    <s v="DIURNO"/>
    <m/>
    <m/>
    <m/>
    <n v="17790"/>
    <s v="ROSADO"/>
    <n v="0"/>
    <n v="0"/>
    <n v="0"/>
    <n v="18.472999999999999"/>
    <n v="20.3"/>
    <n v="29"/>
    <n v="700"/>
    <x v="0"/>
    <x v="0"/>
    <n v="3"/>
    <n v="1"/>
    <n v="53.083333333333336"/>
  </r>
  <r>
    <d v="2025-01-20T10:30:00"/>
    <s v="SOPLADO"/>
    <x v="11"/>
    <x v="27"/>
    <s v="CRISALIDA ZAPATA"/>
    <s v="VIRGEN"/>
    <s v="PP SOPLADO"/>
    <s v="."/>
    <x v="40"/>
    <s v="TOMATODO 350ML PASTEL-LILA"/>
    <n v="630"/>
    <n v="4"/>
    <n v="21.5"/>
    <s v="DIURNO"/>
    <m/>
    <m/>
    <m/>
    <n v="17791"/>
    <s v="LILA"/>
    <n v="15.7"/>
    <n v="0"/>
    <n v="0"/>
    <n v="18.27"/>
    <n v="21.5"/>
    <n v="29"/>
    <n v="741.37931034482756"/>
    <x v="0"/>
    <x v="0"/>
    <n v="3"/>
    <n v="1"/>
    <n v="52.5"/>
  </r>
  <r>
    <d v="2025-01-20T10:30:00"/>
    <s v="SOPLADO"/>
    <x v="11"/>
    <x v="27"/>
    <s v="CRISALIDA ZAPATA"/>
    <s v="VIRGEN"/>
    <s v="PP SOPLADO"/>
    <s v="."/>
    <x v="39"/>
    <s v="TOMATODO 350ML-TRANSPARENTE"/>
    <n v="454"/>
    <n v="3"/>
    <n v="15.9"/>
    <s v="DIURNO"/>
    <m/>
    <m/>
    <m/>
    <n v="17791"/>
    <s v="TRANSPARENTE"/>
    <n v="15.1"/>
    <n v="0"/>
    <n v="0"/>
    <n v="28.148"/>
    <n v="15.9"/>
    <n v="62"/>
    <n v="256.45161290322579"/>
    <x v="0"/>
    <x v="0"/>
    <n v="3"/>
    <n v="2"/>
    <n v="75.666666666666671"/>
  </r>
  <r>
    <d v="2025-01-20T10:30:00"/>
    <s v="SOPLADO"/>
    <x v="11"/>
    <x v="27"/>
    <s v="FABIAN HERNANDEZ"/>
    <s v="VIRGEN"/>
    <s v="PP SOPLADO"/>
    <s v="."/>
    <x v="39"/>
    <s v="TOMATODO 350ML-TRANSPARENTE"/>
    <n v="745"/>
    <n v="5"/>
    <n v="24.7"/>
    <s v="DIURNO"/>
    <m/>
    <m/>
    <m/>
    <n v="17792"/>
    <s v="TRANSPARENTE"/>
    <n v="31.2"/>
    <n v="0"/>
    <n v="0"/>
    <n v="46.19"/>
    <n v="24.7"/>
    <n v="62"/>
    <n v="398.38709677419354"/>
    <x v="0"/>
    <x v="0"/>
    <n v="3"/>
    <n v="2"/>
    <n v="124.16666666666667"/>
  </r>
  <r>
    <d v="2025-01-20T10:30:00"/>
    <s v="SOPLADO"/>
    <x v="11"/>
    <x v="27"/>
    <s v="SAID VILLAMIZAR"/>
    <s v="VIRGEN"/>
    <s v="PP SOPLADO"/>
    <s v="."/>
    <x v="39"/>
    <s v="TOMATODO 350ML-TRANSPARENTE"/>
    <n v="2200"/>
    <n v="10"/>
    <n v="72.599999999999994"/>
    <s v="DIURNO"/>
    <m/>
    <m/>
    <m/>
    <n v="17793"/>
    <s v="TRANSPARENTE"/>
    <n v="72.599999999999994"/>
    <n v="0"/>
    <n v="0"/>
    <n v="136.4"/>
    <n v="72.599999999999994"/>
    <n v="62"/>
    <n v="1170.9677419354839"/>
    <x v="0"/>
    <x v="0"/>
    <n v="3"/>
    <n v="2"/>
    <n v="366.66666666666669"/>
  </r>
  <r>
    <d v="2025-01-20T10:30:00"/>
    <s v="SOPLADO"/>
    <x v="11"/>
    <x v="12"/>
    <s v="CRISALIDA ZAPATA"/>
    <s v="VIRGEN"/>
    <s v="PP SOPLADO"/>
    <s v="."/>
    <x v="39"/>
    <s v="TOMATODO 350ML-TRANSPARENTE"/>
    <n v="2168"/>
    <n v="12"/>
    <n v="75.900000000000006"/>
    <s v="DIURNO"/>
    <m/>
    <m/>
    <m/>
    <n v="17794"/>
    <s v="TRANSPARENTE"/>
    <n v="38.299999999999997"/>
    <n v="0"/>
    <n v="0"/>
    <n v="134.416"/>
    <n v="75.900000000000006"/>
    <n v="62"/>
    <n v="1224.1935483870968"/>
    <x v="0"/>
    <x v="0"/>
    <n v="4"/>
    <n v="2"/>
    <n v="361.33333333333331"/>
  </r>
  <r>
    <d v="2025-01-20T10:30:00"/>
    <s v="SOPLADO"/>
    <x v="11"/>
    <x v="12"/>
    <s v="PAUL MILLER"/>
    <s v="VIRGEN"/>
    <s v="PP SOPLADO"/>
    <s v="."/>
    <x v="39"/>
    <s v="TOMATODO 350ML-TRANSPARENTE"/>
    <n v="2160"/>
    <n v="11"/>
    <n v="71.2"/>
    <s v="DIURNO"/>
    <m/>
    <m/>
    <m/>
    <n v="17795"/>
    <s v="TRANSPARENTE"/>
    <n v="71.2"/>
    <n v="0"/>
    <n v="0"/>
    <n v="133.91999999999999"/>
    <n v="71.2"/>
    <n v="62"/>
    <n v="1148.3870967741937"/>
    <x v="0"/>
    <x v="0"/>
    <n v="4"/>
    <n v="2"/>
    <n v="360"/>
  </r>
  <r>
    <d v="2025-01-20T10:30:00"/>
    <s v="SOPLADO"/>
    <x v="11"/>
    <x v="13"/>
    <s v="CRISALIDA ZAPATA"/>
    <s v="VIRGEN"/>
    <s v="PP SOPLADO"/>
    <s v="."/>
    <x v="39"/>
    <s v="TOMATODO 350ML-TRANSPARENTE"/>
    <n v="2076"/>
    <n v="11"/>
    <n v="68.400000000000006"/>
    <s v="DIURNO"/>
    <m/>
    <m/>
    <m/>
    <n v="17796"/>
    <s v="TRANSPARENTE"/>
    <n v="68.400000000000006"/>
    <n v="0"/>
    <n v="0"/>
    <n v="128.71199999999999"/>
    <n v="68.400000000000006"/>
    <n v="62"/>
    <n v="1103.2258064516129"/>
    <x v="0"/>
    <x v="0"/>
    <n v="4"/>
    <n v="2"/>
    <n v="346"/>
  </r>
  <r>
    <d v="2025-01-20T10:30:00"/>
    <s v="SOPLADO"/>
    <x v="11"/>
    <x v="13"/>
    <s v="JUAN MANUEL"/>
    <s v="VIRGEN"/>
    <s v="PP SOPLADO"/>
    <s v="."/>
    <x v="39"/>
    <s v="TOMATODO 350ML-TRANSPARENTE"/>
    <n v="2372"/>
    <n v="12"/>
    <n v="78.3"/>
    <s v="DIURNO"/>
    <m/>
    <m/>
    <m/>
    <n v="17797"/>
    <s v="TRANSPARENTE"/>
    <n v="35.700000000000003"/>
    <n v="0"/>
    <n v="0"/>
    <n v="147.06399999999999"/>
    <n v="78.3"/>
    <n v="62"/>
    <n v="1262.9032258064517"/>
    <x v="0"/>
    <x v="0"/>
    <n v="4"/>
    <n v="2"/>
    <n v="395.33333333333331"/>
  </r>
  <r>
    <d v="2025-01-20T10:30:00"/>
    <s v="SOPLADO"/>
    <x v="11"/>
    <x v="13"/>
    <s v="CRISALIDA ZAPATA"/>
    <s v="VIRGEN"/>
    <s v="PP SOPLADO"/>
    <s v="."/>
    <x v="39"/>
    <s v="TOMATODO 350ML-TRANSPARENTE"/>
    <n v="2263"/>
    <n v="12"/>
    <n v="74.7"/>
    <s v="DIURNO"/>
    <m/>
    <m/>
    <m/>
    <n v="17798"/>
    <s v="TRANSPARENTE"/>
    <n v="20.3"/>
    <n v="0"/>
    <n v="0"/>
    <n v="140.30600000000001"/>
    <n v="74.7"/>
    <n v="62"/>
    <n v="1204.8387096774193"/>
    <x v="0"/>
    <x v="0"/>
    <n v="4"/>
    <n v="2"/>
    <n v="377.16666666666669"/>
  </r>
  <r>
    <d v="2025-01-20T10:30:00"/>
    <s v="SOPLADO"/>
    <x v="11"/>
    <x v="25"/>
    <s v="CRISALIDA ZAPATA"/>
    <s v="VIRGEN"/>
    <s v="PP SOPLADO"/>
    <s v="."/>
    <x v="39"/>
    <s v="TOMATODO 350ML-TRANSPARENTE"/>
    <n v="2172"/>
    <n v="11"/>
    <n v="71.7"/>
    <s v="DIURNO"/>
    <m/>
    <m/>
    <m/>
    <n v="21101"/>
    <s v="TRANSPARENTE"/>
    <n v="27.5"/>
    <n v="0"/>
    <n v="0"/>
    <n v="134.66399999999999"/>
    <n v="71.7"/>
    <n v="62"/>
    <n v="1156.4516129032259"/>
    <x v="0"/>
    <x v="0"/>
    <n v="4"/>
    <n v="2"/>
    <n v="362"/>
  </r>
  <r>
    <d v="2025-01-20T10:30:00"/>
    <s v="SOPLADO"/>
    <x v="11"/>
    <x v="14"/>
    <s v="CRISALIDA ZAPATA"/>
    <s v="VIRGEN"/>
    <s v="PP SOPLADO"/>
    <s v="."/>
    <x v="39"/>
    <s v="TOMATODO 350ML-TRANSPARENTE"/>
    <n v="1661"/>
    <n v="11"/>
    <n v="54.8"/>
    <s v="DIURNO"/>
    <m/>
    <m/>
    <m/>
    <n v="21102"/>
    <s v="TRANSPARENTE"/>
    <n v="54.8"/>
    <n v="0"/>
    <n v="0"/>
    <n v="102.982"/>
    <n v="54.8"/>
    <n v="62"/>
    <n v="883.87096774193549"/>
    <x v="0"/>
    <x v="0"/>
    <n v="4"/>
    <n v="2"/>
    <n v="276.83333333333331"/>
  </r>
  <r>
    <d v="2025-01-20T10:30:00"/>
    <s v="SOPLADO"/>
    <x v="11"/>
    <x v="15"/>
    <s v="CRISALIDA ZAPATA"/>
    <s v="VIRGEN"/>
    <s v="PP SOPLADO"/>
    <s v="."/>
    <x v="40"/>
    <s v="TOMATODO 350ML PASTEL-CELESTE"/>
    <n v="1500"/>
    <n v="8"/>
    <n v="49.6"/>
    <s v="DIURNO"/>
    <m/>
    <m/>
    <m/>
    <n v="21103"/>
    <s v="CELESTE"/>
    <n v="21.1"/>
    <n v="0"/>
    <n v="0"/>
    <n v="43.5"/>
    <n v="49.6"/>
    <n v="29"/>
    <n v="1710.344827586207"/>
    <x v="0"/>
    <x v="0"/>
    <n v="4"/>
    <n v="1"/>
    <n v="125"/>
  </r>
  <r>
    <d v="2025-01-20T10:30:00"/>
    <s v="SOPLADO"/>
    <x v="11"/>
    <x v="15"/>
    <s v="JUAN MANUEL"/>
    <s v="VIRGEN"/>
    <s v="PP SOPLADO"/>
    <s v="."/>
    <x v="40"/>
    <s v="TOMATODO 350ML PASTEL-CELESTE"/>
    <n v="287"/>
    <n v="2"/>
    <n v="9.1999999999999993"/>
    <s v="DIURNO"/>
    <m/>
    <m/>
    <m/>
    <n v="21104"/>
    <s v="CELESTE"/>
    <n v="9.1999999999999993"/>
    <n v="0"/>
    <n v="0"/>
    <n v="8.3230000000000004"/>
    <n v="9.1999999999999993"/>
    <n v="29"/>
    <n v="317.24137931034483"/>
    <x v="0"/>
    <x v="0"/>
    <n v="4"/>
    <n v="1"/>
    <n v="23.916666666666668"/>
  </r>
  <r>
    <d v="2025-01-20T10:30:00"/>
    <s v="SOPLADO"/>
    <x v="11"/>
    <x v="15"/>
    <s v="JUAN MANUEL"/>
    <s v="VIRGEN"/>
    <s v="PP SOPLADO"/>
    <s v="."/>
    <x v="40"/>
    <s v="TOMATODO 350ML PASTEL-TURQUESA"/>
    <n v="1800"/>
    <n v="9"/>
    <n v="57.6"/>
    <s v="DIURNO"/>
    <m/>
    <m/>
    <m/>
    <n v="21104"/>
    <s v="TURQUESA"/>
    <n v="50.4"/>
    <n v="0"/>
    <n v="0"/>
    <n v="52.2"/>
    <n v="57.6"/>
    <n v="29"/>
    <n v="1986.2068965517242"/>
    <x v="0"/>
    <x v="0"/>
    <n v="4"/>
    <n v="1"/>
    <n v="150"/>
  </r>
  <r>
    <d v="2025-01-20T10:30:00"/>
    <s v="SOPLADO"/>
    <x v="11"/>
    <x v="29"/>
    <s v="DAIMARY LINAREZ"/>
    <s v="VIRGEN"/>
    <s v="PP SOPLADO"/>
    <s v="."/>
    <x v="40"/>
    <s v="TOMATODO 350ML PASTEL-TURQUESA"/>
    <n v="121"/>
    <n v="1"/>
    <n v="3.9"/>
    <s v="DIURNO"/>
    <m/>
    <m/>
    <m/>
    <n v="21105"/>
    <s v="TURQUESA"/>
    <n v="11.9"/>
    <n v="0"/>
    <n v="0"/>
    <n v="3.5089999999999999"/>
    <n v="3.9"/>
    <n v="29"/>
    <n v="134.48275862068965"/>
    <x v="0"/>
    <x v="0"/>
    <n v="4"/>
    <n v="1"/>
    <n v="10.083333333333334"/>
  </r>
  <r>
    <d v="2025-01-20T10:30:00"/>
    <s v="SOPLADO"/>
    <x v="11"/>
    <x v="29"/>
    <s v="DAIMARY LINAREZ"/>
    <s v="VIRGEN"/>
    <s v="PP SOPLADO"/>
    <s v="."/>
    <x v="40"/>
    <s v="TOMATODO 350ML PASTEL-AZURE"/>
    <n v="1200"/>
    <n v="7"/>
    <n v="38.5"/>
    <s v="DIURNO"/>
    <m/>
    <m/>
    <m/>
    <n v="21105"/>
    <s v="AZURE"/>
    <n v="14.7"/>
    <n v="0"/>
    <n v="0"/>
    <n v="34.799999999999997"/>
    <n v="38.5"/>
    <n v="29"/>
    <n v="1327.5862068965516"/>
    <x v="0"/>
    <x v="0"/>
    <n v="4"/>
    <n v="1"/>
    <n v="100"/>
  </r>
  <r>
    <d v="2025-01-20T10:30:00"/>
    <s v="SOPLADO"/>
    <x v="11"/>
    <x v="7"/>
    <s v="CRISALIDA ZAPATA"/>
    <s v="VIRGEN"/>
    <s v="PP SOPLADO"/>
    <s v="."/>
    <x v="40"/>
    <s v="TOMATODO 350ML PASTEL-AZURE"/>
    <n v="796"/>
    <n v="5"/>
    <n v="26.3"/>
    <s v="DIURNO"/>
    <m/>
    <m/>
    <m/>
    <n v="21106"/>
    <s v="AZURE"/>
    <n v="26.3"/>
    <n v="0"/>
    <n v="0"/>
    <n v="23.084"/>
    <n v="26.3"/>
    <n v="29"/>
    <n v="906.89655172413791"/>
    <x v="0"/>
    <x v="0"/>
    <n v="5"/>
    <n v="1"/>
    <n v="66.333333333333329"/>
  </r>
  <r>
    <d v="2025-01-20T10:30:00"/>
    <s v="SOPLADO"/>
    <x v="11"/>
    <x v="7"/>
    <s v="CRISALIDA ZAPATA"/>
    <s v="VIRGEN"/>
    <s v="PP SOPLADO"/>
    <s v="."/>
    <x v="40"/>
    <s v="TOMATODO 350ML PASTEL-ROSADO"/>
    <n v="872"/>
    <n v="4"/>
    <n v="28.8"/>
    <s v="DIURNO"/>
    <m/>
    <m/>
    <m/>
    <n v="21106"/>
    <s v="ROSADO"/>
    <n v="24"/>
    <n v="0"/>
    <n v="0"/>
    <n v="25.288"/>
    <n v="28.8"/>
    <n v="29"/>
    <n v="993.10344827586209"/>
    <x v="0"/>
    <x v="0"/>
    <n v="5"/>
    <n v="1"/>
    <n v="72.666666666666671"/>
  </r>
  <r>
    <d v="2025-01-20T10:30:00"/>
    <s v="SOPLADO"/>
    <x v="11"/>
    <x v="7"/>
    <s v="JUAN MANUEL"/>
    <s v="VIRGEN"/>
    <s v="PP SOPLADO"/>
    <s v="."/>
    <x v="40"/>
    <s v="TOMATODO 350ML PASTEL-ROSADO"/>
    <n v="1042"/>
    <n v="6"/>
    <n v="34.4"/>
    <s v="DIURNO"/>
    <m/>
    <m/>
    <m/>
    <n v="21107"/>
    <s v="ROSADO"/>
    <n v="34.4"/>
    <n v="0"/>
    <n v="0"/>
    <n v="30.218"/>
    <n v="34.4"/>
    <n v="29"/>
    <n v="1186.2068965517242"/>
    <x v="0"/>
    <x v="0"/>
    <n v="5"/>
    <n v="1"/>
    <n v="86.833333333333329"/>
  </r>
  <r>
    <d v="2025-01-20T10:30:00"/>
    <s v="SOPLADO"/>
    <x v="11"/>
    <x v="7"/>
    <s v="JUAN MANUEL"/>
    <s v="VIRGEN"/>
    <s v="PP SOPLADO"/>
    <s v="."/>
    <x v="40"/>
    <s v="TOMATODO 350ML PASTEL-LILA"/>
    <n v="1239"/>
    <n v="6"/>
    <n v="40.9"/>
    <s v="DIURNO"/>
    <m/>
    <m/>
    <m/>
    <n v="21107"/>
    <s v="LILA"/>
    <n v="40.090000000000003"/>
    <n v="0"/>
    <n v="0"/>
    <n v="35.930999999999997"/>
    <n v="40.9"/>
    <n v="29"/>
    <n v="1410.344827586207"/>
    <x v="0"/>
    <x v="0"/>
    <n v="5"/>
    <n v="1"/>
    <n v="103.25"/>
  </r>
  <r>
    <d v="2025-01-20T10:30:00"/>
    <s v="SOPLADO"/>
    <x v="11"/>
    <x v="8"/>
    <s v="CRISALIDA ZAPATA"/>
    <s v="VIRGEN"/>
    <s v="PP SOPLADO"/>
    <s v="."/>
    <x v="40"/>
    <s v="TOMATODO 350ML PASTEL-LILA"/>
    <n v="821"/>
    <n v="5"/>
    <n v="27.1"/>
    <s v="DIURNO"/>
    <m/>
    <m/>
    <m/>
    <n v="21108"/>
    <s v="LILA"/>
    <n v="16.600000000000001"/>
    <n v="0"/>
    <n v="0"/>
    <n v="23.809000000000001"/>
    <n v="27.1"/>
    <n v="29"/>
    <n v="934.48275862068965"/>
    <x v="0"/>
    <x v="0"/>
    <n v="5"/>
    <n v="1"/>
    <n v="68.416666666666671"/>
  </r>
  <r>
    <d v="2025-01-20T10:30:00"/>
    <s v="SOPLADO"/>
    <x v="11"/>
    <x v="8"/>
    <s v="CRISALIDA ZAPATA"/>
    <s v="VIRGEN"/>
    <s v="PP SOPLADO"/>
    <s v="."/>
    <x v="40"/>
    <s v="TOMATODO 350ML PASTEL-SANDIA"/>
    <n v="1281"/>
    <n v="6"/>
    <n v="42.3"/>
    <s v="DIURNO"/>
    <m/>
    <m/>
    <m/>
    <n v="21108"/>
    <s v="SANDIA"/>
    <n v="8.5"/>
    <n v="0"/>
    <n v="0"/>
    <n v="37.149000000000001"/>
    <n v="42.3"/>
    <n v="29"/>
    <n v="1458.6206896551723"/>
    <x v="0"/>
    <x v="0"/>
    <n v="5"/>
    <n v="1"/>
    <n v="106.75"/>
  </r>
  <r>
    <d v="2025-01-20T10:30:00"/>
    <s v="SOPLADO"/>
    <x v="11"/>
    <x v="8"/>
    <s v="JUAN MANUEL"/>
    <s v="VIRGEN"/>
    <s v="PP SOPLADO"/>
    <s v="."/>
    <x v="40"/>
    <s v="TOMATODO 350ML PASTEL-SANDIA"/>
    <n v="839"/>
    <n v="4"/>
    <n v="27.7"/>
    <s v="DIURNO"/>
    <m/>
    <m/>
    <m/>
    <n v="21109"/>
    <s v="SANDIA"/>
    <n v="33.299999999999997"/>
    <n v="0"/>
    <n v="0"/>
    <n v="24.331"/>
    <n v="27.7"/>
    <n v="29"/>
    <n v="955.17241379310349"/>
    <x v="0"/>
    <x v="0"/>
    <n v="5"/>
    <n v="1"/>
    <n v="69.916666666666671"/>
  </r>
  <r>
    <d v="2025-01-20T10:30:00"/>
    <s v="SOPLADO"/>
    <x v="11"/>
    <x v="8"/>
    <s v="JUAN MANUEL"/>
    <s v="VIRGEN"/>
    <s v="PP SOPLADO"/>
    <s v="."/>
    <x v="39"/>
    <s v="TOMATODO 350ML-TRANSPARENTE"/>
    <n v="1036"/>
    <n v="6"/>
    <n v="34.200000000000003"/>
    <s v="DIURNO"/>
    <m/>
    <m/>
    <m/>
    <n v="21109"/>
    <s v="TRANSPARENTE"/>
    <n v="32.299999999999997"/>
    <n v="0"/>
    <n v="0"/>
    <n v="64.231999999999999"/>
    <n v="34.200000000000003"/>
    <n v="62"/>
    <n v="551.61290322580646"/>
    <x v="0"/>
    <x v="0"/>
    <n v="5"/>
    <n v="2"/>
    <n v="172.66666666666666"/>
  </r>
  <r>
    <d v="2025-01-20T10:30:00"/>
    <s v="SOPLADO"/>
    <x v="11"/>
    <x v="16"/>
    <s v="CRISALIDA ZAPATA"/>
    <s v="VIRGEN"/>
    <s v="PP SOPLADO"/>
    <s v="."/>
    <x v="39"/>
    <s v="TOMATODO 350ML-TRANSPARENTE"/>
    <n v="1918"/>
    <n v="10"/>
    <n v="63.3"/>
    <s v="DIURNO"/>
    <m/>
    <m/>
    <m/>
    <n v="21110"/>
    <s v="TRANSPARENTE"/>
    <n v="26.4"/>
    <n v="0"/>
    <n v="0"/>
    <n v="118.916"/>
    <n v="63.3"/>
    <n v="62"/>
    <n v="1020.9677419354839"/>
    <x v="0"/>
    <x v="0"/>
    <n v="5"/>
    <n v="2"/>
    <n v="319.66666666666669"/>
  </r>
  <r>
    <d v="2025-01-20T10:30:00"/>
    <s v="SOPLADO"/>
    <x v="11"/>
    <x v="16"/>
    <s v="JUAN MANUEL"/>
    <s v="VIRGEN"/>
    <s v="PP SOPLADO"/>
    <s v="."/>
    <x v="39"/>
    <s v="TOMATODO 350ML-TRANSPARENTE"/>
    <n v="2439"/>
    <n v="12"/>
    <n v="80.5"/>
    <s v="DIURNO"/>
    <m/>
    <m/>
    <m/>
    <n v="21111"/>
    <s v="TRANSPARENTE"/>
    <n v="80.5"/>
    <n v="0"/>
    <n v="0"/>
    <n v="151.21799999999999"/>
    <n v="80.5"/>
    <n v="62"/>
    <n v="1298.3870967741937"/>
    <x v="0"/>
    <x v="0"/>
    <n v="5"/>
    <n v="2"/>
    <n v="406.5"/>
  </r>
  <r>
    <d v="2025-01-20T10:30:00"/>
    <s v="SOPLADO"/>
    <x v="11"/>
    <x v="17"/>
    <s v="CRISALIDA ZAPATA"/>
    <s v="VIRGEN"/>
    <s v="PP SOPLADO"/>
    <s v="."/>
    <x v="39"/>
    <s v="TOMATODO 350ML-TRANSPARENTE"/>
    <n v="218"/>
    <n v="1"/>
    <n v="7.2"/>
    <s v="DIURNO"/>
    <m/>
    <m/>
    <m/>
    <n v="21112"/>
    <s v="TRANSPARENTE"/>
    <n v="6.5"/>
    <n v="0"/>
    <n v="0"/>
    <n v="13.516"/>
    <n v="7.2"/>
    <n v="62"/>
    <n v="116.12903225806451"/>
    <x v="0"/>
    <x v="0"/>
    <n v="5"/>
    <n v="2"/>
    <n v="36.333333333333336"/>
  </r>
  <r>
    <d v="2025-01-20T10:30:00"/>
    <s v="SOPLADO"/>
    <x v="11"/>
    <x v="17"/>
    <s v="CRISALIDA ZAPATA"/>
    <s v="VIRGEN"/>
    <s v="PP SOPLADO"/>
    <s v="."/>
    <x v="40"/>
    <s v="TOMATODO 350ML PASTEL-CELESTE"/>
    <n v="1078"/>
    <n v="6"/>
    <n v="35.299999999999997"/>
    <s v="DIURNO"/>
    <m/>
    <m/>
    <m/>
    <n v="21112"/>
    <s v="CELESTE"/>
    <n v="19.100000000000001"/>
    <n v="0"/>
    <n v="0"/>
    <n v="31.262"/>
    <n v="35.299999999999997"/>
    <n v="29"/>
    <n v="1217.2413793103449"/>
    <x v="0"/>
    <x v="0"/>
    <n v="5"/>
    <n v="1"/>
    <n v="89.833333333333329"/>
  </r>
  <r>
    <d v="2025-01-20T10:30:00"/>
    <s v="SOPLADO"/>
    <x v="11"/>
    <x v="17"/>
    <s v="CRISALIDA ZAPATA"/>
    <s v="VIRGEN"/>
    <s v="PP SOPLADO"/>
    <s v="."/>
    <x v="40"/>
    <s v="TOMATODO 350ML PASTEL-AZURE"/>
    <n v="464"/>
    <n v="3"/>
    <n v="15.5"/>
    <s v="DIURNO"/>
    <m/>
    <m/>
    <m/>
    <n v="21112"/>
    <s v="AZURE"/>
    <n v="15.5"/>
    <n v="0"/>
    <n v="0"/>
    <n v="13.456"/>
    <n v="15.5"/>
    <n v="29"/>
    <n v="534.48275862068965"/>
    <x v="0"/>
    <x v="0"/>
    <n v="5"/>
    <n v="1"/>
    <n v="38.666666666666664"/>
  </r>
  <r>
    <d v="2025-01-20T10:30:00"/>
    <s v="SOPLADO"/>
    <x v="11"/>
    <x v="17"/>
    <s v="JUAN MANUEL"/>
    <s v="VIRGEN"/>
    <s v="PP SOPLADO"/>
    <s v="."/>
    <x v="40"/>
    <s v="TOMATODO 350ML PASTEL-AZURE"/>
    <n v="45"/>
    <n v="1"/>
    <n v="1.6"/>
    <s v="DIURNO"/>
    <m/>
    <m/>
    <m/>
    <n v="21113"/>
    <s v="AZURE"/>
    <n v="4"/>
    <n v="0"/>
    <n v="0"/>
    <n v="1.3049999999999999"/>
    <n v="1.6"/>
    <n v="29"/>
    <n v="55.172413793103445"/>
    <x v="0"/>
    <x v="0"/>
    <n v="5"/>
    <n v="1"/>
    <n v="3.75"/>
  </r>
  <r>
    <d v="2025-01-20T10:30:00"/>
    <s v="SOPLADO"/>
    <x v="11"/>
    <x v="17"/>
    <s v="JUAN MANUEL"/>
    <s v="VIRGEN"/>
    <s v="PP SOPLADO"/>
    <s v="."/>
    <x v="39"/>
    <s v="TOMATODO 350ML-TRANSPARENTE"/>
    <n v="1185"/>
    <n v="7"/>
    <n v="42.1"/>
    <s v="DIURNO"/>
    <m/>
    <m/>
    <m/>
    <n v="21113"/>
    <s v="TRANSPARENTE"/>
    <n v="35"/>
    <n v="0"/>
    <n v="0"/>
    <n v="73.47"/>
    <n v="42.1"/>
    <n v="62"/>
    <n v="679.0322580645161"/>
    <x v="0"/>
    <x v="0"/>
    <n v="5"/>
    <n v="2"/>
    <n v="197.5"/>
  </r>
  <r>
    <d v="2025-01-20T10:30:00"/>
    <s v="SOPLADO"/>
    <x v="11"/>
    <x v="26"/>
    <s v="CRISALIDA ZAPATA"/>
    <s v="VIRGEN"/>
    <s v="PP SOPLADO"/>
    <s v="."/>
    <x v="39"/>
    <s v="TOMATODO 350ML-TRANSPARENTE"/>
    <n v="1794"/>
    <n v="12"/>
    <n v="62.8"/>
    <s v="DIURNO"/>
    <m/>
    <m/>
    <m/>
    <n v="21114"/>
    <s v="TRANSPARENTE"/>
    <n v="26.8"/>
    <n v="0"/>
    <n v="0"/>
    <n v="111.22799999999999"/>
    <n v="62.8"/>
    <n v="62"/>
    <n v="1012.9032258064516"/>
    <x v="0"/>
    <x v="0"/>
    <n v="5"/>
    <n v="2"/>
    <n v="299"/>
  </r>
  <r>
    <d v="2025-01-20T10:30:00"/>
    <s v="SOPLADO"/>
    <x v="11"/>
    <x v="26"/>
    <s v="JUAN MANUEL"/>
    <s v="VIRGEN"/>
    <s v="PP SOPLADO"/>
    <s v="."/>
    <x v="39"/>
    <s v="TOMATODO 350ML-TRANSPARENTE"/>
    <n v="1900"/>
    <n v="12"/>
    <n v="66.5"/>
    <s v="DIURNO"/>
    <m/>
    <m/>
    <m/>
    <n v="21115"/>
    <s v="TRANSPARENTE"/>
    <n v="32.799999999999997"/>
    <n v="0"/>
    <n v="0"/>
    <n v="117.8"/>
    <n v="66.5"/>
    <n v="62"/>
    <n v="1072.5806451612902"/>
    <x v="0"/>
    <x v="0"/>
    <n v="5"/>
    <n v="2"/>
    <n v="316.66666666666669"/>
  </r>
  <r>
    <d v="2025-03-02T08:46:00"/>
    <s v="INYECTADO"/>
    <x v="4"/>
    <x v="30"/>
    <s v="LUIS RENGIFO"/>
    <s v="VIRGEN"/>
    <s v="PP CLARIFICADO"/>
    <s v="."/>
    <x v="4"/>
    <s v="PUNTA DOBLE CLICK-LILA"/>
    <n v="505"/>
    <n v="3"/>
    <n v="21.2"/>
    <s v="DIURNO"/>
    <n v="0"/>
    <n v="1"/>
    <n v="983"/>
    <n v="20411"/>
    <s v="LILA"/>
    <n v="10.1"/>
    <n v="0"/>
    <n v="0"/>
    <n v="1.7675000000000001"/>
    <n v="21.2"/>
    <n v="3.5"/>
    <n v="6057.1428571428569"/>
    <x v="1"/>
    <x v="0"/>
    <n v="7"/>
    <n v="12"/>
    <n v="505"/>
  </r>
  <r>
    <d v="2025-03-02T08:46:00"/>
    <s v="INYECTADO"/>
    <x v="4"/>
    <x v="30"/>
    <s v="LUIS RENGIFO"/>
    <s v="VIRGEN"/>
    <s v="PP CLARIFICADO"/>
    <s v="."/>
    <x v="4"/>
    <s v="PUNTA DOBLE CLICK-FUCSIA"/>
    <n v="497"/>
    <n v="3"/>
    <n v="20.9"/>
    <s v="DIURNO"/>
    <n v="0"/>
    <n v="1"/>
    <n v="983"/>
    <n v="20411"/>
    <s v="ROSADO"/>
    <n v="20.9"/>
    <n v="0"/>
    <n v="0"/>
    <n v="1.7395"/>
    <n v="20.9"/>
    <n v="3.5"/>
    <n v="5971.4285714285716"/>
    <x v="1"/>
    <x v="0"/>
    <n v="7"/>
    <n v="12"/>
    <n v="497"/>
  </r>
  <r>
    <d v="2025-03-02T08:46:00"/>
    <s v="INYECTADO"/>
    <x v="4"/>
    <x v="31"/>
    <s v="CRISALIDA ZAPATA"/>
    <s v="VIRGEN"/>
    <s v="PP CLARIFICADO"/>
    <s v="."/>
    <x v="4"/>
    <s v="PUNTA DOBLE CLICK-FUCSIA"/>
    <n v="136"/>
    <n v="1"/>
    <n v="5.6"/>
    <s v="DIURNO"/>
    <n v="0"/>
    <n v="1"/>
    <n v="983"/>
    <n v="20412"/>
    <s v="ROSADO"/>
    <n v="4.0999999999999996"/>
    <n v="0"/>
    <n v="0"/>
    <n v="0.47599999999999998"/>
    <n v="5.6"/>
    <n v="3.5"/>
    <n v="1600"/>
    <x v="1"/>
    <x v="0"/>
    <n v="7"/>
    <n v="12"/>
    <n v="136"/>
  </r>
  <r>
    <d v="2025-03-02T08:46:00"/>
    <s v="INYECTADO"/>
    <x v="4"/>
    <x v="31"/>
    <s v="CRISALIDA ZAPATA"/>
    <s v="VIRGEN"/>
    <s v="PP CLARIFICADO"/>
    <s v="."/>
    <x v="4"/>
    <s v="PUNTA DOBLE CLICK-VERDE"/>
    <n v="452"/>
    <n v="3"/>
    <n v="18.100000000000001"/>
    <s v="DIURNO"/>
    <n v="0"/>
    <n v="1"/>
    <n v="983"/>
    <n v="20412"/>
    <s v="VERDE"/>
    <n v="10.4"/>
    <n v="0"/>
    <n v="0"/>
    <n v="1.5820000000000001"/>
    <n v="18.100000000000001"/>
    <n v="3.5"/>
    <n v="5171.4285714285716"/>
    <x v="1"/>
    <x v="0"/>
    <n v="7"/>
    <n v="12"/>
    <n v="452"/>
  </r>
  <r>
    <d v="2025-03-02T08:46:00"/>
    <s v="INYECTADO"/>
    <x v="4"/>
    <x v="31"/>
    <s v="CRISALIDA ZAPATA"/>
    <s v="VIRGEN"/>
    <s v="PP CLARIFICADO"/>
    <s v="."/>
    <x v="4"/>
    <s v="PUNTA DOBLE CLICK-ANARANJADO"/>
    <n v="427"/>
    <n v="3"/>
    <n v="17.100000000000001"/>
    <s v="DIURNO"/>
    <n v="0"/>
    <n v="1"/>
    <n v="983"/>
    <n v="20412"/>
    <s v="NARANJA"/>
    <n v="9.3000000000000007"/>
    <n v="0"/>
    <n v="0"/>
    <n v="1.4944999999999999"/>
    <n v="17.100000000000001"/>
    <n v="3.5"/>
    <n v="4885.7142857142853"/>
    <x v="1"/>
    <x v="0"/>
    <n v="7"/>
    <n v="12"/>
    <n v="427"/>
  </r>
  <r>
    <d v="2025-03-02T08:46:00"/>
    <s v="INYECTADO"/>
    <x v="4"/>
    <x v="31"/>
    <s v="CRISALIDA ZAPATA"/>
    <s v="VIRGEN"/>
    <s v="PP CLARIFICADO"/>
    <s v="."/>
    <x v="4"/>
    <s v="PUNTA DOBLE CLICK-FUCSIA"/>
    <n v="278"/>
    <n v="2"/>
    <n v="11.4"/>
    <s v="DIURNO"/>
    <n v="0"/>
    <n v="1"/>
    <n v="983"/>
    <n v="20412"/>
    <s v="FUCSIA"/>
    <n v="4.8"/>
    <n v="0"/>
    <n v="0"/>
    <n v="0.97299999999999998"/>
    <n v="11.4"/>
    <n v="3.5"/>
    <n v="3257.1428571428573"/>
    <x v="1"/>
    <x v="0"/>
    <n v="7"/>
    <n v="12"/>
    <n v="278"/>
  </r>
  <r>
    <d v="2025-03-02T08:46:00"/>
    <s v="INYECTADO"/>
    <x v="4"/>
    <x v="31"/>
    <s v="CRISALIDA ZAPATA"/>
    <s v="VIRGEN"/>
    <s v="PP CLARIFICADO"/>
    <s v="."/>
    <x v="4"/>
    <s v="PUNTA DOBLE CLICK-LILA"/>
    <n v="278"/>
    <n v="2"/>
    <n v="10.3"/>
    <s v="DIURNO"/>
    <n v="0"/>
    <n v="1"/>
    <n v="983"/>
    <n v="20412"/>
    <s v="LILA"/>
    <n v="5.8"/>
    <n v="0"/>
    <n v="0"/>
    <n v="0.97299999999999998"/>
    <n v="10.3"/>
    <n v="3.5"/>
    <n v="2942.8571428571427"/>
    <x v="1"/>
    <x v="0"/>
    <n v="7"/>
    <n v="12"/>
    <n v="278"/>
  </r>
  <r>
    <d v="2025-03-02T08:46:00"/>
    <s v="INYECTADO"/>
    <x v="4"/>
    <x v="32"/>
    <s v="CRISALIDA ZAPATA"/>
    <s v="VIRGEN"/>
    <s v="PP CLARIFICADO"/>
    <s v="."/>
    <x v="41"/>
    <s v="ASAS PRESION ORG 5,10,15 -PLOMO"/>
    <n v="1384"/>
    <n v="11"/>
    <n v="54.1"/>
    <s v="DIURNO"/>
    <n v="0"/>
    <n v="4"/>
    <n v="1009"/>
    <n v="20413"/>
    <s v="PLOMO"/>
    <n v="9.9"/>
    <n v="0"/>
    <n v="0"/>
    <n v="13.84"/>
    <n v="54.1"/>
    <n v="10"/>
    <n v="5410"/>
    <x v="1"/>
    <x v="0"/>
    <n v="7"/>
    <n v="4"/>
    <n v="461.33333333333331"/>
  </r>
  <r>
    <d v="2025-03-02T08:46:00"/>
    <s v="INYECTADO"/>
    <x v="4"/>
    <x v="33"/>
    <s v="ESTHER GUEVARA"/>
    <s v="VIRGEN"/>
    <s v="PP CLARIFICADO"/>
    <s v="."/>
    <x v="41"/>
    <s v="ASAS PRESION ORG 5,10,15 -PLOMO"/>
    <n v="1230"/>
    <n v="10"/>
    <n v="47.9"/>
    <s v="DIURNO"/>
    <n v="0"/>
    <n v="3"/>
    <n v="1009"/>
    <n v="20414"/>
    <s v="PLOMO"/>
    <n v="4.2"/>
    <n v="0"/>
    <n v="0"/>
    <n v="12.3"/>
    <n v="47.9"/>
    <n v="10"/>
    <n v="4790"/>
    <x v="1"/>
    <x v="0"/>
    <n v="7"/>
    <n v="4"/>
    <n v="410"/>
  </r>
  <r>
    <d v="2025-03-02T08:46:00"/>
    <s v="INYECTADO"/>
    <x v="4"/>
    <x v="34"/>
    <s v="CRISALIDA ZAPATA"/>
    <s v="VIRGEN"/>
    <s v="PP CLARIFICADO"/>
    <s v="."/>
    <x v="41"/>
    <s v="ASAS PRESION ORG 5,10,15 -PLOMO"/>
    <n v="1271"/>
    <n v="11"/>
    <n v="49.6"/>
    <s v="DIURNO"/>
    <n v="0"/>
    <n v="5"/>
    <n v="1009"/>
    <n v="20415"/>
    <s v="PLOMO"/>
    <n v="4.3"/>
    <n v="0"/>
    <n v="0"/>
    <n v="12.71"/>
    <n v="49.6"/>
    <n v="10"/>
    <n v="4960"/>
    <x v="1"/>
    <x v="0"/>
    <n v="8"/>
    <n v="4"/>
    <n v="423.66666666666669"/>
  </r>
  <r>
    <d v="2025-03-02T08:46:00"/>
    <s v="INYECTADO"/>
    <x v="5"/>
    <x v="35"/>
    <s v="JUAN CARLOS CEDENO"/>
    <s v="SEGUNDA"/>
    <s v="."/>
    <s v="MIXTO"/>
    <x v="8"/>
    <s v="EMBUDO #1-LILA"/>
    <n v="554"/>
    <n v="8"/>
    <n v="47.7"/>
    <s v="DIURNO"/>
    <n v="0"/>
    <n v="0"/>
    <n v="948"/>
    <n v="20347"/>
    <s v="LILA"/>
    <n v="23.199999999999996"/>
    <n v="0"/>
    <n v="0"/>
    <n v="12.188000000000001"/>
    <n v="47.7"/>
    <n v="22"/>
    <n v="2168.181818181818"/>
    <x v="1"/>
    <x v="0"/>
    <n v="6"/>
    <n v="4"/>
    <n v="184.66666666666666"/>
  </r>
  <r>
    <d v="2025-03-02T08:46:00"/>
    <s v="INYECTADO"/>
    <x v="5"/>
    <x v="35"/>
    <s v="JUAN MANUEL PEREZ"/>
    <s v="SEGUNDA"/>
    <s v="."/>
    <s v="MIXTO"/>
    <x v="8"/>
    <s v="EMBUDO #1-CELESTE"/>
    <n v="403"/>
    <n v="6"/>
    <n v="34.700000000000003"/>
    <s v="NOCTURNO"/>
    <n v="0"/>
    <n v="0"/>
    <n v="948"/>
    <n v="20348"/>
    <s v="CELESTE"/>
    <n v="7.2"/>
    <n v="0"/>
    <n v="0"/>
    <n v="8.8659999999999997"/>
    <n v="34.700000000000003"/>
    <n v="22"/>
    <n v="1577.2727272727273"/>
    <x v="1"/>
    <x v="0"/>
    <n v="6"/>
    <n v="4"/>
    <n v="134.33333333333334"/>
  </r>
  <r>
    <d v="2025-03-02T08:46:00"/>
    <s v="INYECTADO"/>
    <x v="5"/>
    <x v="35"/>
    <s v="JUAN MANUEL PEREZ"/>
    <s v="SEGUNDA"/>
    <s v="."/>
    <s v="MIXTO"/>
    <x v="8"/>
    <s v="EMBUDO #1-AMARILLO"/>
    <n v="170"/>
    <n v="2"/>
    <n v="14.4"/>
    <s v="NOCTURNO"/>
    <n v="0"/>
    <n v="0"/>
    <n v="948"/>
    <n v="20348"/>
    <s v="AMARILLO"/>
    <n v="4"/>
    <n v="0"/>
    <n v="0"/>
    <n v="3.74"/>
    <n v="14.4"/>
    <n v="22"/>
    <n v="654.5454545454545"/>
    <x v="1"/>
    <x v="0"/>
    <n v="6"/>
    <n v="4"/>
    <n v="56.666666666666664"/>
  </r>
  <r>
    <d v="2025-03-02T08:46:00"/>
    <s v="INYECTADO"/>
    <x v="5"/>
    <x v="35"/>
    <s v="JUAN MANUEL PEREZ"/>
    <s v="SEGUNDA"/>
    <s v="."/>
    <s v="MIXTO"/>
    <x v="8"/>
    <s v="EMBUDO #1-LILA"/>
    <n v="43"/>
    <n v="1"/>
    <n v="3.7"/>
    <s v="NOCTURNO"/>
    <n v="0"/>
    <n v="0"/>
    <n v="948"/>
    <n v="20348"/>
    <s v="LILA"/>
    <n v="0"/>
    <n v="0"/>
    <n v="0"/>
    <n v="0.94599999999999995"/>
    <n v="3.7"/>
    <n v="22"/>
    <n v="168.18181818181819"/>
    <x v="1"/>
    <x v="0"/>
    <n v="6"/>
    <n v="4"/>
    <n v="14.333333333333334"/>
  </r>
  <r>
    <d v="2025-03-02T08:46:00"/>
    <s v="INYECTADO"/>
    <x v="5"/>
    <x v="30"/>
    <s v="ISABEL LINARIZ "/>
    <s v="VIRGEN"/>
    <s v="PP CLARIFICADO"/>
    <s v="."/>
    <x v="42"/>
    <s v="CANASTA CAROLINA-TURQUESA"/>
    <n v="577"/>
    <n v="7"/>
    <n v="72.099999999999994"/>
    <s v="DIURNO"/>
    <n v="0"/>
    <n v="0"/>
    <n v="948"/>
    <n v="20349"/>
    <s v="TURQUESA"/>
    <n v="17"/>
    <n v="0"/>
    <n v="0"/>
    <n v="66.355000000000004"/>
    <n v="72.099999999999994"/>
    <n v="115"/>
    <n v="626.95652173913038"/>
    <x v="1"/>
    <x v="0"/>
    <n v="7"/>
    <n v="1"/>
    <n v="48.083333333333336"/>
  </r>
  <r>
    <d v="2025-03-02T08:46:00"/>
    <s v="INYECTADO"/>
    <x v="5"/>
    <x v="31"/>
    <s v="ISABEL LINARIZ "/>
    <s v="VIRGEN"/>
    <s v="PP CLARIFICADO"/>
    <s v="."/>
    <x v="42"/>
    <s v="CANASTA CAROLINA-TURQUESA"/>
    <n v="37"/>
    <n v="1"/>
    <n v="4.5999999999999996"/>
    <s v="DIURNO"/>
    <n v="0"/>
    <n v="0"/>
    <n v="948"/>
    <n v="20350"/>
    <s v="TURQUESA"/>
    <n v="0"/>
    <n v="0"/>
    <n v="0"/>
    <n v="4.2549999999999999"/>
    <n v="4.5999999999999996"/>
    <n v="115"/>
    <n v="40"/>
    <x v="1"/>
    <x v="0"/>
    <n v="7"/>
    <n v="1"/>
    <n v="3.0833333333333335"/>
  </r>
  <r>
    <d v="2025-03-02T08:46:00"/>
    <s v="INYECTADO"/>
    <x v="5"/>
    <x v="31"/>
    <s v="ISABEL LINARIZ "/>
    <s v="VIRGEN"/>
    <s v="PP CLARIFICADO"/>
    <s v="."/>
    <x v="42"/>
    <s v="CANASTA CAROLINA-LILA"/>
    <n v="620"/>
    <n v="8"/>
    <n v="77.5"/>
    <s v="DIURNO"/>
    <n v="0"/>
    <n v="0"/>
    <n v="948"/>
    <n v="20350"/>
    <s v="LILA"/>
    <n v="12.9"/>
    <n v="0"/>
    <n v="0"/>
    <n v="71.3"/>
    <n v="77.5"/>
    <n v="115"/>
    <n v="673.91304347826087"/>
    <x v="1"/>
    <x v="0"/>
    <n v="7"/>
    <n v="1"/>
    <n v="51.666666666666664"/>
  </r>
  <r>
    <d v="2025-03-02T08:46:00"/>
    <s v="INYECTADO"/>
    <x v="5"/>
    <x v="36"/>
    <s v="JOSE CAHUACHI"/>
    <s v="VIRGEN"/>
    <s v="PP CLARIFICADO"/>
    <s v="."/>
    <x v="42"/>
    <s v="CANASTA CAROLINA-MELON"/>
    <n v="472"/>
    <n v="3"/>
    <n v="59"/>
    <s v="DIURNO"/>
    <n v="0"/>
    <n v="0"/>
    <n v="948"/>
    <n v="20351"/>
    <s v="MELON"/>
    <n v="25.4"/>
    <n v="0"/>
    <n v="0"/>
    <n v="54.28"/>
    <n v="59"/>
    <n v="115"/>
    <n v="513.04347826086962"/>
    <x v="1"/>
    <x v="0"/>
    <n v="7"/>
    <n v="1"/>
    <n v="39.333333333333336"/>
  </r>
  <r>
    <d v="2025-03-02T08:46:00"/>
    <s v="INYECTADO"/>
    <x v="5"/>
    <x v="37"/>
    <s v="JOSE CAHUACHI"/>
    <s v="VIRGEN"/>
    <s v="PP CLARIFICADO"/>
    <s v="."/>
    <x v="42"/>
    <s v="CANASTA CAROLINA-MELON"/>
    <n v="120"/>
    <n v="1"/>
    <n v="15"/>
    <s v="DIURNO"/>
    <n v="0"/>
    <n v="0"/>
    <n v="948"/>
    <n v="20352"/>
    <s v="MELON"/>
    <n v="6.5"/>
    <n v="0"/>
    <n v="0"/>
    <n v="13.8"/>
    <n v="15"/>
    <n v="115"/>
    <n v="130.43478260869566"/>
    <x v="1"/>
    <x v="0"/>
    <n v="7"/>
    <n v="1"/>
    <n v="10"/>
  </r>
  <r>
    <d v="2025-03-02T08:46:00"/>
    <s v="INYECTADO"/>
    <x v="5"/>
    <x v="37"/>
    <s v="JOSE CAHUACHI"/>
    <s v="VIRGEN"/>
    <s v="PP CLARIFICADO"/>
    <s v="."/>
    <x v="42"/>
    <s v="CANASTA CAROLINA-ROSADO"/>
    <n v="300"/>
    <n v="2"/>
    <n v="37.5"/>
    <s v="DIURNO"/>
    <n v="0"/>
    <n v="0"/>
    <n v="948"/>
    <n v="20352"/>
    <s v="ROSADO"/>
    <n v="4.5999999999999996"/>
    <n v="0"/>
    <n v="0"/>
    <n v="34.5"/>
    <n v="37.5"/>
    <n v="115"/>
    <n v="326.08695652173913"/>
    <x v="1"/>
    <x v="0"/>
    <n v="7"/>
    <n v="1"/>
    <n v="25"/>
  </r>
  <r>
    <d v="2025-03-02T08:46:00"/>
    <s v="INYECTADO"/>
    <x v="5"/>
    <x v="32"/>
    <s v="CARLOS SULCA"/>
    <s v="SEGUNDA"/>
    <s v="."/>
    <s v="MIXTO"/>
    <x v="0"/>
    <s v="ASA DE BALDE PLAYERO-LILA"/>
    <n v="939"/>
    <n v="8"/>
    <n v="38.5"/>
    <s v="DIURNO"/>
    <n v="0"/>
    <n v="0"/>
    <n v="1010"/>
    <n v="20353"/>
    <s v="LILA"/>
    <n v="14.9"/>
    <n v="0"/>
    <n v="0"/>
    <n v="9.39"/>
    <n v="38.5"/>
    <n v="10"/>
    <n v="3850"/>
    <x v="1"/>
    <x v="0"/>
    <n v="7"/>
    <n v="4"/>
    <n v="313"/>
  </r>
  <r>
    <d v="2025-03-02T08:46:00"/>
    <s v="INYECTADO"/>
    <x v="5"/>
    <x v="32"/>
    <s v="CARLOS SULCA"/>
    <s v="SEGUNDA"/>
    <s v="."/>
    <s v="MIXTO"/>
    <x v="0"/>
    <s v="ASA DE BALDE PLAYERO-VERDE"/>
    <n v="50"/>
    <n v="1"/>
    <n v="2"/>
    <s v="DIURNO"/>
    <n v="0"/>
    <n v="0"/>
    <n v="1010"/>
    <n v="20353"/>
    <s v="VERDE"/>
    <n v="0"/>
    <n v="0"/>
    <n v="0"/>
    <n v="0.5"/>
    <n v="2"/>
    <n v="10"/>
    <n v="200"/>
    <x v="1"/>
    <x v="0"/>
    <n v="7"/>
    <n v="4"/>
    <n v="16.666666666666668"/>
  </r>
  <r>
    <d v="2025-03-02T08:46:00"/>
    <s v="INYECTADO"/>
    <x v="5"/>
    <x v="34"/>
    <s v="JUAN CARLOS CEDENO"/>
    <s v="SEGUNDA"/>
    <s v="."/>
    <s v="MIXTO"/>
    <x v="0"/>
    <s v="ASA DE BALDE PLAYERO-VERDE"/>
    <n v="862"/>
    <n v="8"/>
    <n v="34.5"/>
    <s v="DIURNO"/>
    <n v="0"/>
    <n v="0"/>
    <n v="1010"/>
    <n v="20355"/>
    <s v="VERDE"/>
    <n v="15.7"/>
    <n v="0"/>
    <n v="0"/>
    <n v="8.6199999999999992"/>
    <n v="34.5"/>
    <n v="10"/>
    <n v="3450"/>
    <x v="1"/>
    <x v="0"/>
    <n v="8"/>
    <n v="4"/>
    <n v="287.33333333333331"/>
  </r>
  <r>
    <d v="2025-03-02T08:46:00"/>
    <s v="INYECTADO"/>
    <x v="5"/>
    <x v="34"/>
    <s v="JUAN CARLOS CEDENO"/>
    <s v="SEGUNDA"/>
    <s v="."/>
    <s v="MIXTO"/>
    <x v="0"/>
    <s v="ASA DE BALDE PLAYERO-AZUL"/>
    <n v="275"/>
    <n v="3"/>
    <n v="11"/>
    <s v="DIURNO"/>
    <n v="0"/>
    <n v="0"/>
    <n v="1010"/>
    <n v="20355"/>
    <s v="AZUL"/>
    <n v="3.9"/>
    <n v="0"/>
    <n v="0"/>
    <n v="2.75"/>
    <n v="11"/>
    <n v="10"/>
    <n v="1100"/>
    <x v="1"/>
    <x v="0"/>
    <n v="8"/>
    <n v="4"/>
    <n v="91.666666666666671"/>
  </r>
  <r>
    <d v="2025-03-02T08:46:00"/>
    <s v="INYECTADO"/>
    <x v="5"/>
    <x v="38"/>
    <s v="FABIAN HERNANDEZ"/>
    <s v="SEGUNDA"/>
    <s v="."/>
    <s v="MIXTO"/>
    <x v="0"/>
    <s v="ASA DE BALDE PLAYERO-AZUL"/>
    <n v="420"/>
    <n v="6"/>
    <n v="16.8"/>
    <s v="DIURNO"/>
    <n v="0"/>
    <n v="0"/>
    <n v="1010"/>
    <n v="20356"/>
    <s v="AZUL"/>
    <n v="12.1"/>
    <n v="0"/>
    <n v="0"/>
    <n v="4.2"/>
    <n v="16.8"/>
    <n v="10"/>
    <n v="1680"/>
    <x v="1"/>
    <x v="0"/>
    <n v="9"/>
    <n v="4"/>
    <n v="140"/>
  </r>
  <r>
    <d v="2025-03-02T08:46:00"/>
    <s v="INYECTADO"/>
    <x v="5"/>
    <x v="38"/>
    <s v="FABIAN HERNANDEZ"/>
    <s v="SEGUNDA"/>
    <s v="."/>
    <s v="MIXTO"/>
    <x v="0"/>
    <s v="ASA DE BALDE PLAYERO-LILA"/>
    <n v="277"/>
    <n v="4"/>
    <n v="11.1"/>
    <s v="DIURNO"/>
    <n v="0"/>
    <n v="0"/>
    <n v="1010"/>
    <n v="20356"/>
    <s v="LILA"/>
    <n v="3.5"/>
    <n v="0"/>
    <n v="0"/>
    <n v="2.77"/>
    <n v="11.1"/>
    <n v="10"/>
    <n v="1110"/>
    <x v="1"/>
    <x v="0"/>
    <n v="9"/>
    <n v="4"/>
    <n v="92.333333333333329"/>
  </r>
  <r>
    <d v="2025-03-02T08:46:00"/>
    <s v="INYECTADO"/>
    <x v="5"/>
    <x v="39"/>
    <s v="SAID VILLAMIZAR"/>
    <s v="VIRGEN"/>
    <s v="PP CLARIFICADO"/>
    <s v="."/>
    <x v="0"/>
    <s v="ASA DE BALDE PLAYERO-AMARILLO"/>
    <n v="345"/>
    <n v="4"/>
    <n v="13.8"/>
    <s v="DIURNO"/>
    <n v="0"/>
    <n v="0"/>
    <n v="1010"/>
    <n v="20354"/>
    <s v="AMARILLO"/>
    <n v="0"/>
    <n v="0"/>
    <n v="0"/>
    <n v="3.45"/>
    <n v="13.8"/>
    <n v="10"/>
    <n v="1380"/>
    <x v="1"/>
    <x v="0"/>
    <n v="9"/>
    <n v="4"/>
    <n v="115"/>
  </r>
  <r>
    <d v="2025-03-02T08:46:00"/>
    <s v="INYECTADO"/>
    <x v="5"/>
    <x v="39"/>
    <s v="SAID VILLAMIZAR"/>
    <s v="SEGUNDA"/>
    <s v="."/>
    <s v="MIXTO"/>
    <x v="0"/>
    <s v="ASA DE BALDE PLAYERO-FUCSIA"/>
    <n v="422"/>
    <n v="3"/>
    <n v="16.899999999999999"/>
    <s v="DIURNO"/>
    <n v="0"/>
    <n v="0"/>
    <n v="1010"/>
    <n v="20354"/>
    <s v="FUCSIA"/>
    <n v="0"/>
    <n v="0"/>
    <n v="0"/>
    <n v="4.22"/>
    <n v="16.899999999999999"/>
    <n v="10"/>
    <n v="1690"/>
    <x v="1"/>
    <x v="0"/>
    <n v="9"/>
    <n v="4"/>
    <n v="140.66666666666666"/>
  </r>
  <r>
    <d v="2025-03-02T08:46:00"/>
    <s v="INYECTADO"/>
    <x v="5"/>
    <x v="40"/>
    <s v="GABRIEL REQUENA"/>
    <s v="SEGUNDA"/>
    <s v="."/>
    <s v="MIXTO"/>
    <x v="0"/>
    <s v="ASA DE BALDE PLAYERO-FUCSIA"/>
    <n v="187"/>
    <n v="2"/>
    <n v="7.7"/>
    <s v="DIURNO"/>
    <n v="0"/>
    <n v="0"/>
    <n v="1010"/>
    <n v="20357"/>
    <s v="FUCSIA"/>
    <n v="3.4"/>
    <n v="0"/>
    <n v="0"/>
    <n v="1.87"/>
    <n v="7.7"/>
    <n v="10"/>
    <n v="770"/>
    <x v="1"/>
    <x v="0"/>
    <n v="9"/>
    <n v="4"/>
    <n v="62.333333333333336"/>
  </r>
  <r>
    <d v="2025-03-02T08:46:00"/>
    <s v="INYECTADO"/>
    <x v="5"/>
    <x v="40"/>
    <s v="GABRIEL REQUENA"/>
    <s v="SEGUNDA"/>
    <s v="."/>
    <s v="MIXTO"/>
    <x v="0"/>
    <s v="ASA DE BALDE PLAYERO-LILA"/>
    <n v="134"/>
    <n v="2"/>
    <n v="5.5"/>
    <s v="DIURNO"/>
    <n v="0"/>
    <n v="0"/>
    <n v="1010"/>
    <n v="20357"/>
    <s v="LILA"/>
    <n v="2.2000000000000002"/>
    <n v="0"/>
    <n v="0"/>
    <n v="1.34"/>
    <n v="5.5"/>
    <n v="10"/>
    <n v="550"/>
    <x v="1"/>
    <x v="0"/>
    <n v="9"/>
    <n v="4"/>
    <n v="44.666666666666664"/>
  </r>
  <r>
    <d v="2025-03-02T08:46:00"/>
    <s v="INYECTADO"/>
    <x v="0"/>
    <x v="41"/>
    <s v="GABRIEL REQUENA"/>
    <s v="VIRGEN"/>
    <s v="PP CLARIFICADO"/>
    <s v="."/>
    <x v="9"/>
    <s v="TAPA TOMATODO DOBLE CLICK-VERDE"/>
    <n v="109"/>
    <n v="2"/>
    <n v="19.2"/>
    <s v="DIURNO"/>
    <n v="0"/>
    <n v="2"/>
    <n v="976"/>
    <n v="20732"/>
    <s v="VERDE"/>
    <n v="3"/>
    <n v="0"/>
    <n v="0"/>
    <n v="2.4132600000000002"/>
    <n v="19.2"/>
    <n v="22.14"/>
    <n v="867.20867208672087"/>
    <x v="1"/>
    <x v="0"/>
    <n v="5"/>
    <n v="7"/>
    <n v="63.583333333333336"/>
  </r>
  <r>
    <d v="2025-03-02T08:46:00"/>
    <s v="INYECTADO"/>
    <x v="0"/>
    <x v="41"/>
    <s v="GABRIEL REQUENA"/>
    <s v="VIRGEN"/>
    <s v="PP CLARIFICADO"/>
    <s v="."/>
    <x v="9"/>
    <s v="TAPA TOMATODO DOBLE CLICK-LILA"/>
    <n v="69"/>
    <n v="1"/>
    <n v="12.2"/>
    <s v="DIURNO"/>
    <n v="0"/>
    <n v="2"/>
    <n v="976"/>
    <n v="20732"/>
    <s v="LILA"/>
    <n v="4.0999999999999996"/>
    <n v="0"/>
    <n v="0"/>
    <n v="1.52766"/>
    <n v="12.2"/>
    <n v="22.14"/>
    <n v="551.03884372177049"/>
    <x v="1"/>
    <x v="0"/>
    <n v="5"/>
    <n v="7"/>
    <n v="40.25"/>
  </r>
  <r>
    <d v="2025-03-02T08:46:00"/>
    <s v="INYECTADO"/>
    <x v="0"/>
    <x v="41"/>
    <s v="GABRIEL REQUENA"/>
    <s v="VIRGEN"/>
    <s v="PP CLARIFICADO"/>
    <s v="."/>
    <x v="9"/>
    <s v="TAPA TOMATODO DOBLE CLICK-TURQUESA"/>
    <n v="390"/>
    <n v="6"/>
    <n v="69"/>
    <s v="DIURNO"/>
    <n v="0"/>
    <n v="8"/>
    <n v="976"/>
    <n v="20732"/>
    <s v="TURQUESA"/>
    <n v="12.3"/>
    <n v="0"/>
    <n v="0"/>
    <n v="8.6346000000000007"/>
    <n v="69"/>
    <n v="22.14"/>
    <n v="3116.5311653116532"/>
    <x v="1"/>
    <x v="0"/>
    <n v="5"/>
    <n v="7"/>
    <n v="227.5"/>
  </r>
  <r>
    <d v="2025-03-02T08:46:00"/>
    <s v="INYECTADO"/>
    <x v="0"/>
    <x v="42"/>
    <s v="ISABEL LINARIZ "/>
    <s v="VIRGEN"/>
    <s v="PP CLARIFICADO"/>
    <s v="."/>
    <x v="9"/>
    <s v="TAPA TOMATODO DOBLE CLICK-FUCSIA"/>
    <n v="255"/>
    <n v="3"/>
    <n v="44.8"/>
    <s v="DIURNO"/>
    <n v="0"/>
    <n v="4"/>
    <n v="976"/>
    <n v="20733"/>
    <s v="ROSADO"/>
    <n v="0"/>
    <n v="0"/>
    <n v="0"/>
    <n v="5.6456999999999997"/>
    <n v="44.8"/>
    <n v="22.14"/>
    <n v="2023.4869015356819"/>
    <x v="1"/>
    <x v="0"/>
    <n v="6"/>
    <n v="7"/>
    <n v="148.75"/>
  </r>
  <r>
    <d v="2025-03-02T08:46:00"/>
    <s v="INYECTADO"/>
    <x v="0"/>
    <x v="42"/>
    <s v="ISABEL LINARIZ "/>
    <s v="VIRGEN"/>
    <s v="PP CLARIFICADO"/>
    <s v="."/>
    <x v="9"/>
    <s v="TAPA TOMATODO DOBLE CLICK-VERDE"/>
    <n v="151"/>
    <n v="2"/>
    <n v="26.5"/>
    <s v="DIURNO"/>
    <n v="0"/>
    <n v="3"/>
    <n v="976"/>
    <n v="20733"/>
    <s v="VERDE"/>
    <n v="5.8"/>
    <n v="0"/>
    <n v="0"/>
    <n v="3.34314"/>
    <n v="26.5"/>
    <n v="22.14"/>
    <n v="1196.9286359530261"/>
    <x v="1"/>
    <x v="0"/>
    <n v="6"/>
    <n v="7"/>
    <n v="88.083333333333329"/>
  </r>
  <r>
    <d v="2025-03-02T08:46:00"/>
    <s v="INYECTADO"/>
    <x v="0"/>
    <x v="36"/>
    <s v="ISABEL LINARIZ "/>
    <s v="VIRGEN"/>
    <s v="PP CLARIFICADO"/>
    <s v="."/>
    <x v="9"/>
    <s v="TAPA TOMATODO DOBLE CLICK-TURQUESA"/>
    <n v="369"/>
    <n v="7"/>
    <n v="65.599999999999994"/>
    <s v="DIURNO"/>
    <n v="0"/>
    <n v="7"/>
    <n v="976"/>
    <n v="20734"/>
    <s v="TURQUESA"/>
    <n v="3"/>
    <n v="0"/>
    <n v="0"/>
    <n v="8.1696600000000004"/>
    <n v="65.599999999999994"/>
    <n v="22.14"/>
    <n v="2962.962962962963"/>
    <x v="1"/>
    <x v="0"/>
    <n v="7"/>
    <n v="7"/>
    <n v="215.25"/>
  </r>
  <r>
    <d v="2025-03-02T08:46:00"/>
    <s v="INYECTADO"/>
    <x v="0"/>
    <x v="37"/>
    <s v="JUAN CARLOS CEDENO"/>
    <s v="VIRGEN"/>
    <s v="PP CLARIFICADO"/>
    <s v="."/>
    <x v="10"/>
    <s v="TAPA TOMATODO DOBLE CLICK-SANDIA"/>
    <n v="268"/>
    <n v="5"/>
    <n v="47.4"/>
    <s v="DIURNO"/>
    <n v="0"/>
    <n v="5"/>
    <n v="976"/>
    <n v="20735"/>
    <s v="SANDIA"/>
    <n v="8"/>
    <n v="0"/>
    <n v="0"/>
    <n v="5.9335200000000006"/>
    <n v="47.4"/>
    <n v="22.14"/>
    <n v="2140.9214092140919"/>
    <x v="1"/>
    <x v="0"/>
    <n v="7"/>
    <n v="7"/>
    <n v="156.33333333333334"/>
  </r>
  <r>
    <d v="2025-03-02T08:46:00"/>
    <s v="INYECTADO"/>
    <x v="0"/>
    <x v="37"/>
    <s v="JOSDER GONZALEZ"/>
    <s v="VIRGEN"/>
    <s v="PP CLARIFICADO"/>
    <s v="."/>
    <x v="10"/>
    <s v="TAPA TOMATODO DOBLE CLICK-CELESTE"/>
    <n v="250"/>
    <n v="6"/>
    <n v="44.2"/>
    <s v="NOCTURNO"/>
    <n v="0"/>
    <n v="7"/>
    <n v="976"/>
    <n v="20736"/>
    <s v="CELESTE"/>
    <n v="6.3"/>
    <n v="0"/>
    <n v="0"/>
    <n v="5.5350000000000001"/>
    <n v="44.2"/>
    <n v="22.14"/>
    <n v="1996.386630532972"/>
    <x v="1"/>
    <x v="0"/>
    <n v="7"/>
    <n v="7"/>
    <n v="145.83333333333334"/>
  </r>
  <r>
    <d v="2025-03-02T08:46:00"/>
    <s v="INYECTADO"/>
    <x v="0"/>
    <x v="37"/>
    <s v="JOSDER GONZALEZ"/>
    <s v="VIRGEN"/>
    <s v="PP CLARIFICADO"/>
    <s v="."/>
    <x v="10"/>
    <s v="TAPA TOMATODO DOBLE CLICK-AZURE"/>
    <n v="243"/>
    <n v="3"/>
    <n v="43.5"/>
    <s v="NOCTURNO"/>
    <n v="0"/>
    <n v="5"/>
    <n v="976"/>
    <n v="20736"/>
    <s v="AZURE"/>
    <n v="5.6"/>
    <n v="0"/>
    <n v="0"/>
    <n v="5.38002"/>
    <n v="43.5"/>
    <n v="22.14"/>
    <n v="1964.769647696477"/>
    <x v="1"/>
    <x v="0"/>
    <n v="7"/>
    <n v="7"/>
    <n v="141.75"/>
  </r>
  <r>
    <d v="2025-03-02T08:46:00"/>
    <s v="INYECTADO"/>
    <x v="0"/>
    <x v="32"/>
    <s v="JUAN CARLOS CEDENO"/>
    <s v="VIRGEN"/>
    <s v="PP CLARIFICADO"/>
    <s v="."/>
    <x v="9"/>
    <s v="TAPA TOMATODO DOBLE CLICK-FUCSIA"/>
    <n v="132"/>
    <n v="3"/>
    <n v="23.3"/>
    <s v="DIURNO"/>
    <n v="0"/>
    <n v="2"/>
    <n v="976"/>
    <n v="20737"/>
    <s v="FUCSIA"/>
    <n v="2.8"/>
    <n v="0"/>
    <n v="0"/>
    <n v="2.9224800000000002"/>
    <n v="23.3"/>
    <n v="22.14"/>
    <n v="1052.393857271906"/>
    <x v="1"/>
    <x v="0"/>
    <n v="7"/>
    <n v="7"/>
    <n v="77"/>
  </r>
  <r>
    <d v="2025-03-02T08:46:00"/>
    <s v="INYECTADO"/>
    <x v="0"/>
    <x v="32"/>
    <s v="JUAN CARLOS CEDENO"/>
    <s v="VIRGEN"/>
    <s v="PP CLARIFICADO"/>
    <s v="."/>
    <x v="9"/>
    <s v="TAPA TOMATODO DOBLE CLICK-LILA"/>
    <n v="263"/>
    <n v="4"/>
    <n v="46.5"/>
    <s v="DIURNO"/>
    <n v="0"/>
    <n v="5"/>
    <n v="976"/>
    <n v="20737"/>
    <s v="LILA"/>
    <n v="11.7"/>
    <n v="0"/>
    <n v="0"/>
    <n v="5.8228200000000001"/>
    <n v="46.5"/>
    <n v="22.14"/>
    <n v="2100.271002710027"/>
    <x v="1"/>
    <x v="0"/>
    <n v="7"/>
    <n v="7"/>
    <n v="153.41666666666666"/>
  </r>
  <r>
    <d v="2025-03-02T08:46:00"/>
    <s v="INYECTADO"/>
    <x v="0"/>
    <x v="32"/>
    <s v="JUAN CARLOS CEDENO"/>
    <s v="VIRGEN"/>
    <s v="PP CLARIFICADO"/>
    <s v="."/>
    <x v="9"/>
    <s v="TAPA TOMATODO DOBLE CLICK-VERDE"/>
    <n v="258"/>
    <n v="4"/>
    <n v="44.1"/>
    <s v="DIURNO"/>
    <n v="0"/>
    <n v="6"/>
    <n v="976"/>
    <n v="20737"/>
    <s v="VERDE"/>
    <n v="13.8"/>
    <n v="0"/>
    <n v="0"/>
    <n v="5.7121199999999996"/>
    <n v="44.1"/>
    <n v="22.14"/>
    <n v="1991.8699186991869"/>
    <x v="1"/>
    <x v="0"/>
    <n v="7"/>
    <n v="7"/>
    <n v="150.5"/>
  </r>
  <r>
    <d v="2025-03-02T08:46:00"/>
    <s v="INYECTADO"/>
    <x v="0"/>
    <x v="33"/>
    <s v="LEONOR "/>
    <s v="VIRGEN"/>
    <s v="PP CLARIFICADO"/>
    <s v="."/>
    <x v="9"/>
    <s v="TAPA TOMATODO DOBLE CLICK-TURQUESA"/>
    <n v="257"/>
    <n v="4"/>
    <n v="44.9"/>
    <s v="DIURNO"/>
    <n v="0"/>
    <n v="4"/>
    <n v="976"/>
    <n v="20738"/>
    <s v="TURQUESA"/>
    <n v="5.7"/>
    <n v="0"/>
    <n v="0"/>
    <n v="5.6899800000000003"/>
    <n v="44.9"/>
    <n v="22.14"/>
    <n v="2028.0036133694671"/>
    <x v="1"/>
    <x v="0"/>
    <n v="7"/>
    <n v="7"/>
    <n v="149.91666666666666"/>
  </r>
  <r>
    <d v="2025-03-02T08:46:00"/>
    <s v="INYECTADO"/>
    <x v="0"/>
    <x v="33"/>
    <s v="LEONOR "/>
    <s v="VIRGEN"/>
    <s v="PP CLARIFICADO"/>
    <s v="."/>
    <x v="9"/>
    <s v="TAPA TOMATODO DOBLE CLICK-ANARANJADO"/>
    <n v="127"/>
    <n v="2"/>
    <n v="22.4"/>
    <s v="DIURNO"/>
    <n v="0"/>
    <n v="3"/>
    <n v="976"/>
    <n v="20738"/>
    <s v="NARANJA"/>
    <n v="7.8"/>
    <n v="0"/>
    <n v="0"/>
    <n v="2.8117800000000002"/>
    <n v="22.4"/>
    <n v="22.14"/>
    <n v="1011.743450767841"/>
    <x v="1"/>
    <x v="0"/>
    <n v="7"/>
    <n v="7"/>
    <n v="74.083333333333329"/>
  </r>
  <r>
    <d v="2025-03-02T08:46:00"/>
    <s v="INYECTADO"/>
    <x v="0"/>
    <x v="33"/>
    <s v="LEONOR "/>
    <s v="VIRGEN"/>
    <s v="PP CLARIFICADO"/>
    <s v="."/>
    <x v="9"/>
    <s v="TAPA TOMATODO DOBLE CLICK-ROSADO"/>
    <n v="128"/>
    <n v="2"/>
    <n v="22.6"/>
    <s v="DIURNO"/>
    <n v="0"/>
    <n v="3"/>
    <n v="976"/>
    <n v="20738"/>
    <s v="ROSADO"/>
    <n v="6.3"/>
    <n v="0"/>
    <n v="0"/>
    <n v="2.83392"/>
    <n v="22.6"/>
    <n v="22.14"/>
    <n v="1020.7768744354109"/>
    <x v="1"/>
    <x v="0"/>
    <n v="7"/>
    <n v="5"/>
    <n v="53.333333333333336"/>
  </r>
  <r>
    <d v="2025-03-02T08:46:00"/>
    <s v="INYECTADO"/>
    <x v="0"/>
    <x v="33"/>
    <s v="LEONOR "/>
    <s v="VIRGEN"/>
    <s v="PP CLARIFICADO"/>
    <s v="."/>
    <x v="9"/>
    <s v="TAPA TOMATODO DOBLE CLICK-LILA"/>
    <n v="92"/>
    <n v="2"/>
    <n v="16.2"/>
    <s v="DIURNO"/>
    <n v="0"/>
    <n v="2"/>
    <n v="976"/>
    <n v="20738"/>
    <s v="LILA"/>
    <n v="2.8"/>
    <n v="0"/>
    <n v="0"/>
    <n v="2.03688"/>
    <n v="16.2"/>
    <n v="22.14"/>
    <n v="731.70731707317066"/>
    <x v="1"/>
    <x v="0"/>
    <n v="7"/>
    <n v="7"/>
    <n v="53.666666666666664"/>
  </r>
  <r>
    <d v="2025-03-02T08:46:00"/>
    <s v="INYECTADO"/>
    <x v="0"/>
    <x v="34"/>
    <s v="LUIS PINEDO"/>
    <s v="VIRGEN"/>
    <s v="PP CLARIFICADO"/>
    <s v="."/>
    <x v="9"/>
    <s v="TAPA TOMATODO DOBLE CLICK-LILA"/>
    <n v="279"/>
    <n v="6"/>
    <n v="49.9"/>
    <s v="DIURNO"/>
    <n v="0"/>
    <n v="6"/>
    <n v="976"/>
    <n v="20739"/>
    <s v="LILA"/>
    <n v="0"/>
    <n v="0"/>
    <n v="0"/>
    <n v="6.17706"/>
    <n v="49.9"/>
    <n v="22.14"/>
    <n v="2253.8392050587172"/>
    <x v="1"/>
    <x v="0"/>
    <n v="8"/>
    <n v="7"/>
    <n v="162.75"/>
  </r>
  <r>
    <d v="2025-03-02T08:46:00"/>
    <s v="INYECTADO"/>
    <x v="0"/>
    <x v="43"/>
    <s v="JUAN CARLOS CEDENO"/>
    <s v="VIRGEN"/>
    <s v="PP CLARIFICADO"/>
    <s v="."/>
    <x v="9"/>
    <s v="TAPA TOMATODO DOBLE CLICK-FUCSIA"/>
    <n v="267"/>
    <n v="5"/>
    <n v="46.9"/>
    <s v="DIURNO"/>
    <n v="0"/>
    <n v="5"/>
    <n v="976"/>
    <n v="20740"/>
    <s v="FUCSIA"/>
    <n v="5.4"/>
    <n v="0"/>
    <n v="0"/>
    <n v="5.9113800000000003"/>
    <n v="46.9"/>
    <n v="22.14"/>
    <n v="2118.3378500451672"/>
    <x v="1"/>
    <x v="0"/>
    <n v="8"/>
    <n v="7"/>
    <n v="155.75"/>
  </r>
  <r>
    <d v="2025-03-02T08:46:00"/>
    <s v="INYECTADO"/>
    <x v="0"/>
    <x v="43"/>
    <s v="JUAN CARLOS CEDENO"/>
    <s v="VIRGEN"/>
    <s v="PP CLARIFICADO"/>
    <s v="."/>
    <x v="9"/>
    <s v="TAPA TOMATODO DOBLE CLICK-ANARANJADO"/>
    <n v="272"/>
    <n v="4"/>
    <n v="48.8"/>
    <s v="DIURNO"/>
    <n v="0"/>
    <n v="4"/>
    <n v="976"/>
    <n v="20740"/>
    <s v="NARANJA"/>
    <n v="10.9"/>
    <n v="0"/>
    <n v="0"/>
    <n v="6.0220799999999999"/>
    <n v="48.8"/>
    <n v="22.14"/>
    <n v="2204.155374887082"/>
    <x v="1"/>
    <x v="0"/>
    <n v="8"/>
    <n v="7"/>
    <n v="158.66666666666666"/>
  </r>
  <r>
    <d v="2025-03-02T08:46:00"/>
    <s v="INYECTADO"/>
    <x v="0"/>
    <x v="43"/>
    <s v="JUAN CARLOS CEDENO"/>
    <s v="VIRGEN"/>
    <s v="PP CLARIFICADO"/>
    <s v="."/>
    <x v="9"/>
    <s v="TAPA TOMATODO DOBLE CLICK-AMARILLO"/>
    <n v="54"/>
    <n v="1"/>
    <n v="9.5"/>
    <s v="DIURNO"/>
    <n v="0"/>
    <n v="1"/>
    <n v="976"/>
    <n v="20740"/>
    <s v="AMARILLO"/>
    <n v="0"/>
    <n v="0"/>
    <n v="0"/>
    <n v="1.19556"/>
    <n v="9.5"/>
    <n v="22.14"/>
    <n v="429.08762420957544"/>
    <x v="1"/>
    <x v="0"/>
    <n v="8"/>
    <n v="7"/>
    <n v="31.5"/>
  </r>
  <r>
    <d v="2025-03-02T08:46:00"/>
    <s v="INYECTADO"/>
    <x v="0"/>
    <x v="44"/>
    <s v="JOSE CAHUACHI"/>
    <s v="VIRGEN"/>
    <s v="PP CLARIFICADO"/>
    <s v="."/>
    <x v="9"/>
    <s v="TAPA TOMATODO DOBLE CLICK-VERDE"/>
    <n v="267"/>
    <n v="4"/>
    <n v="47.2"/>
    <s v="DIURNO"/>
    <n v="0"/>
    <n v="0"/>
    <n v="976"/>
    <n v="20741"/>
    <s v="VERDE"/>
    <n v="14"/>
    <n v="0"/>
    <n v="0"/>
    <n v="5.9113800000000003"/>
    <n v="47.2"/>
    <n v="22.14"/>
    <n v="2131.887985546522"/>
    <x v="1"/>
    <x v="0"/>
    <n v="8"/>
    <n v="7"/>
    <n v="155.75"/>
  </r>
  <r>
    <d v="2025-03-02T08:46:00"/>
    <s v="INYECTADO"/>
    <x v="0"/>
    <x v="44"/>
    <s v="JOSE CAHUACHI"/>
    <s v="VIRGEN"/>
    <s v="PP CLARIFICADO"/>
    <s v="."/>
    <x v="9"/>
    <s v="TAPA TOMATODO DOBLE CLICK-AMARILLO"/>
    <n v="199"/>
    <n v="4"/>
    <n v="35.200000000000003"/>
    <s v="DIURNO"/>
    <n v="0"/>
    <n v="0"/>
    <n v="976"/>
    <n v="20741"/>
    <s v="AMARILLO"/>
    <n v="7.8"/>
    <n v="0"/>
    <n v="0"/>
    <n v="4.4058599999999997"/>
    <n v="35.200000000000003"/>
    <n v="22.14"/>
    <n v="1589.8825654923216"/>
    <x v="1"/>
    <x v="0"/>
    <n v="8"/>
    <n v="7"/>
    <n v="116.08333333333333"/>
  </r>
  <r>
    <d v="2025-03-02T08:46:00"/>
    <s v="INYECTADO"/>
    <x v="0"/>
    <x v="44"/>
    <s v="JOSE CAHUACHI"/>
    <s v="VIRGEN"/>
    <s v="PP CLARIFICADO"/>
    <s v="."/>
    <x v="9"/>
    <s v="TAPA TOMATODO DOBLE CLICK-TURQUESA"/>
    <n v="110"/>
    <n v="3"/>
    <n v="19.399999999999999"/>
    <s v="DIURNO"/>
    <n v="0"/>
    <n v="0"/>
    <n v="976"/>
    <n v="20741"/>
    <s v="TURQUESA"/>
    <n v="2.8"/>
    <n v="0"/>
    <n v="0"/>
    <n v="2.4354"/>
    <n v="19.399999999999999"/>
    <n v="22.14"/>
    <n v="876.24209575429086"/>
    <x v="1"/>
    <x v="0"/>
    <n v="8"/>
    <n v="7"/>
    <n v="64.166666666666671"/>
  </r>
  <r>
    <d v="2025-03-02T08:46:00"/>
    <s v="INYECTADO"/>
    <x v="0"/>
    <x v="45"/>
    <s v="GABRIEL REQUENA"/>
    <s v="VIRGEN"/>
    <s v="PP CLARIFICADO"/>
    <s v="."/>
    <x v="9"/>
    <s v="TAPA TOMATODO DOBLE CLICK-TURQUESA"/>
    <n v="140"/>
    <n v="3"/>
    <n v="24.7"/>
    <s v="DIURNO"/>
    <n v="0"/>
    <n v="3"/>
    <n v="976"/>
    <n v="20742"/>
    <s v="TURQUESA"/>
    <n v="3.5"/>
    <n v="0"/>
    <n v="0"/>
    <n v="3.0995999999999997"/>
    <n v="24.7"/>
    <n v="22.14"/>
    <n v="1115.627822944896"/>
    <x v="1"/>
    <x v="0"/>
    <n v="9"/>
    <n v="7"/>
    <n v="81.666666666666671"/>
  </r>
  <r>
    <d v="2025-03-02T08:46:00"/>
    <s v="INYECTADO"/>
    <x v="0"/>
    <x v="45"/>
    <s v="GABRIEL REQUENA"/>
    <s v="VIRGEN"/>
    <s v="PP CLARIFICADO"/>
    <s v="."/>
    <x v="9"/>
    <s v="TAPA TOMATODO DOBLE CLICK-NEGRO"/>
    <n v="430"/>
    <n v="6"/>
    <n v="76.099999999999994"/>
    <s v="DIURNO"/>
    <n v="0"/>
    <n v="8"/>
    <n v="976"/>
    <n v="20742"/>
    <s v="NEGRO"/>
    <n v="0"/>
    <n v="0"/>
    <n v="0"/>
    <n v="9.5202000000000009"/>
    <n v="76.099999999999994"/>
    <n v="22.14"/>
    <n v="3437.2177055103884"/>
    <x v="1"/>
    <x v="0"/>
    <n v="9"/>
    <n v="5"/>
    <n v="179.16666666666666"/>
  </r>
  <r>
    <d v="2025-03-02T08:46:00"/>
    <s v="INYECTADO"/>
    <x v="0"/>
    <x v="45"/>
    <s v="JOSDER GONZALEZ"/>
    <s v="VIRGEN"/>
    <s v="PP CLARIFICADO"/>
    <s v="."/>
    <x v="9"/>
    <s v="TAPA TOMATODO DOBLE CLICK-NEGRO"/>
    <n v="657"/>
    <n v="11"/>
    <n v="115.6"/>
    <s v="NOCTURNO"/>
    <n v="0"/>
    <n v="12"/>
    <n v="976"/>
    <n v="20743"/>
    <s v="NEGRO"/>
    <n v="15.9"/>
    <n v="0"/>
    <n v="0"/>
    <n v="14.54598"/>
    <n v="115.6"/>
    <n v="22.14"/>
    <n v="5221.3188798554647"/>
    <x v="1"/>
    <x v="0"/>
    <n v="9"/>
    <n v="5"/>
    <n v="273.75"/>
  </r>
  <r>
    <d v="2025-03-02T08:46:00"/>
    <s v="INYECTADO"/>
    <x v="0"/>
    <x v="46"/>
    <s v="JUAN CARLOS CEDENO"/>
    <s v="VIRGEN"/>
    <s v="PP CLARIFICADO"/>
    <s v="."/>
    <x v="9"/>
    <s v="TAPA TOMATODO DOBLE CLICK-SANDIA"/>
    <n v="128"/>
    <n v="2"/>
    <n v="22.6"/>
    <s v="DIURNO"/>
    <n v="0"/>
    <n v="2"/>
    <n v="976"/>
    <n v="20744"/>
    <s v="SANDIA"/>
    <n v="0"/>
    <n v="0"/>
    <n v="0"/>
    <n v="2.83392"/>
    <n v="22.6"/>
    <n v="22.14"/>
    <n v="1020.7768744354109"/>
    <x v="1"/>
    <x v="0"/>
    <n v="9"/>
    <n v="7"/>
    <n v="74.666666666666671"/>
  </r>
  <r>
    <d v="2025-03-02T08:46:00"/>
    <s v="INYECTADO"/>
    <x v="0"/>
    <x v="46"/>
    <s v="JUAN CARLOS CEDENO"/>
    <s v="VIRGEN"/>
    <s v="PP CLARIFICADO"/>
    <s v="."/>
    <x v="10"/>
    <s v="TAPA TOMATODO DOBLE CLICK-TURQUESA"/>
    <n v="42"/>
    <n v="1"/>
    <n v="7.4"/>
    <s v="DIURNO"/>
    <n v="0"/>
    <n v="1"/>
    <n v="976"/>
    <n v="20744"/>
    <s v="TURQUESA"/>
    <n v="0"/>
    <n v="0"/>
    <n v="0"/>
    <n v="0.92988000000000004"/>
    <n v="7.4"/>
    <n v="22.14"/>
    <n v="334.2366757000903"/>
    <x v="1"/>
    <x v="0"/>
    <n v="9"/>
    <n v="7"/>
    <n v="24.5"/>
  </r>
  <r>
    <d v="2025-03-02T08:46:00"/>
    <s v="INYECTADO"/>
    <x v="0"/>
    <x v="46"/>
    <s v="JUAN CARLOS CEDENO"/>
    <s v="VIRGEN"/>
    <s v="PP CLARIFICADO"/>
    <s v="."/>
    <x v="10"/>
    <s v="TAPA TOMATODO DOBLE CLICK-NEGRO"/>
    <n v="601"/>
    <n v="8"/>
    <n v="106.3"/>
    <s v="DIURNO"/>
    <n v="0"/>
    <n v="8"/>
    <n v="976"/>
    <n v="20744"/>
    <s v="NEGRO"/>
    <n v="20.7"/>
    <n v="0"/>
    <n v="0"/>
    <n v="13.306140000000001"/>
    <n v="106.3"/>
    <n v="22.14"/>
    <n v="4801.26467931346"/>
    <x v="1"/>
    <x v="0"/>
    <n v="9"/>
    <n v="5"/>
    <n v="250.41666666666666"/>
  </r>
  <r>
    <d v="2025-03-02T08:46:00"/>
    <s v="INYECTADO"/>
    <x v="0"/>
    <x v="39"/>
    <s v="GABRIEL REQUENA"/>
    <s v="VIRGEN"/>
    <s v="PP CLARIFICADO"/>
    <s v="."/>
    <x v="10"/>
    <s v="TAPA TOMATODO DOBLE CLICK-TURQUESA"/>
    <n v="90"/>
    <n v="1"/>
    <n v="15.9"/>
    <s v="DIURNO"/>
    <n v="0"/>
    <n v="0"/>
    <n v="976"/>
    <n v="20745"/>
    <s v="TURQUESA"/>
    <n v="4.5"/>
    <n v="0"/>
    <n v="0"/>
    <n v="1.9926000000000001"/>
    <n v="15.9"/>
    <n v="22.14"/>
    <n v="718.15718157181573"/>
    <x v="1"/>
    <x v="0"/>
    <n v="9"/>
    <n v="7"/>
    <n v="52.5"/>
  </r>
  <r>
    <d v="2025-03-02T08:46:00"/>
    <s v="INYECTADO"/>
    <x v="0"/>
    <x v="39"/>
    <s v="GABRIEL REQUENA"/>
    <s v="VIRGEN"/>
    <s v="PP CLARIFICADO"/>
    <s v="."/>
    <x v="10"/>
    <s v="TAPA TOMATODO DOBLE CLICK-LILA"/>
    <n v="107"/>
    <n v="1"/>
    <n v="18.899999999999999"/>
    <s v="DIURNO"/>
    <n v="0"/>
    <n v="0"/>
    <n v="976"/>
    <n v="20745"/>
    <s v="LILA"/>
    <n v="6.6"/>
    <n v="0"/>
    <n v="0"/>
    <n v="2.3689800000000001"/>
    <n v="18.899999999999999"/>
    <n v="22.14"/>
    <n v="853.65853658536582"/>
    <x v="1"/>
    <x v="0"/>
    <n v="9"/>
    <n v="7"/>
    <n v="62.416666666666664"/>
  </r>
  <r>
    <d v="2025-03-02T08:46:00"/>
    <s v="INYECTADO"/>
    <x v="0"/>
    <x v="39"/>
    <s v="GABRIEL REQUENA"/>
    <s v="VIRGEN"/>
    <s v="PP CLARIFICADO"/>
    <s v="."/>
    <x v="10"/>
    <s v="TAPA TOMATODO DOBLE CLICK-AZURE"/>
    <n v="8"/>
    <n v="1"/>
    <n v="1.4"/>
    <s v="DIURNO"/>
    <n v="0"/>
    <n v="0"/>
    <n v="976"/>
    <n v="20745"/>
    <s v="AZURE"/>
    <n v="0.8"/>
    <n v="0"/>
    <n v="0"/>
    <n v="0.17712"/>
    <n v="1.4"/>
    <n v="22.14"/>
    <n v="63.23396567299006"/>
    <x v="1"/>
    <x v="0"/>
    <n v="9"/>
    <n v="7"/>
    <n v="4.666666666666667"/>
  </r>
  <r>
    <d v="2025-03-02T08:46:00"/>
    <s v="INYECTADO"/>
    <x v="1"/>
    <x v="41"/>
    <s v="JOSDER GONZALEZ"/>
    <s v="SEGUNDA"/>
    <s v="."/>
    <s v="PP INY MOLIDO"/>
    <x v="1"/>
    <s v="PALA RASTRILLO ROMANO-FUCSIA"/>
    <n v="335"/>
    <n v="3"/>
    <n v="24.5"/>
    <s v="DIURNO"/>
    <n v="0"/>
    <n v="4"/>
    <n v="953"/>
    <n v="20654"/>
    <s v="FUCSIA"/>
    <n v="4.2"/>
    <n v="0"/>
    <n v="0"/>
    <n v="12.73"/>
    <n v="24.5"/>
    <n v="38"/>
    <n v="644.73684210526312"/>
    <x v="1"/>
    <x v="0"/>
    <n v="5"/>
    <n v="2"/>
    <n v="55.833333333333336"/>
  </r>
  <r>
    <d v="2025-03-02T08:46:00"/>
    <s v="INYECTADO"/>
    <x v="1"/>
    <x v="41"/>
    <s v="JOSDER GONZALEZ"/>
    <s v="SEGUNDA"/>
    <s v="."/>
    <s v="PP INY MOLIDO"/>
    <x v="1"/>
    <s v="PALA RASTRILLO ROMANO-LILA"/>
    <n v="305"/>
    <n v="3"/>
    <n v="22.3"/>
    <s v="DIURNO"/>
    <n v="0"/>
    <n v="4"/>
    <n v="953"/>
    <n v="20654"/>
    <s v="LILA"/>
    <n v="5.6"/>
    <n v="0"/>
    <n v="0"/>
    <n v="11.59"/>
    <n v="22.3"/>
    <n v="38"/>
    <n v="586.84210526315792"/>
    <x v="1"/>
    <x v="0"/>
    <n v="5"/>
    <n v="2"/>
    <n v="50.833333333333336"/>
  </r>
  <r>
    <d v="2025-03-02T08:46:00"/>
    <s v="INYECTADO"/>
    <x v="1"/>
    <x v="41"/>
    <s v="JOSDER GONZALEZ"/>
    <s v="SEGUNDA"/>
    <s v="."/>
    <s v="PP INY MOLIDO"/>
    <x v="1"/>
    <s v="PALA RASTRILLO ROMANO-AZUL"/>
    <n v="315"/>
    <n v="3"/>
    <n v="23"/>
    <s v="DIURNO"/>
    <n v="0"/>
    <n v="4"/>
    <n v="953"/>
    <n v="20654"/>
    <s v="AZUL"/>
    <n v="4.8"/>
    <n v="0"/>
    <n v="0"/>
    <n v="11.97"/>
    <n v="23"/>
    <n v="38"/>
    <n v="605.26315789473688"/>
    <x v="1"/>
    <x v="0"/>
    <n v="5"/>
    <n v="2"/>
    <n v="52.5"/>
  </r>
  <r>
    <d v="2025-03-02T08:46:00"/>
    <s v="INYECTADO"/>
    <x v="1"/>
    <x v="41"/>
    <s v="JOSDER GONZALEZ"/>
    <s v="SEGUNDA"/>
    <s v="."/>
    <s v="PP INY MOLIDO"/>
    <x v="1"/>
    <s v="PALA RASTRILLO ROMANO-ROJO"/>
    <n v="58"/>
    <n v="1"/>
    <n v="4.3"/>
    <s v="DIURNO"/>
    <n v="0"/>
    <n v="1"/>
    <n v="953"/>
    <n v="20654"/>
    <s v="ROJO"/>
    <n v="1.3"/>
    <n v="0"/>
    <n v="0"/>
    <n v="2.2040000000000002"/>
    <n v="4.3"/>
    <n v="38"/>
    <n v="113.15789473684211"/>
    <x v="1"/>
    <x v="0"/>
    <n v="5"/>
    <n v="2"/>
    <n v="9.6666666666666661"/>
  </r>
  <r>
    <d v="2025-03-02T08:46:00"/>
    <s v="INYECTADO"/>
    <x v="1"/>
    <x v="42"/>
    <s v="CRISALIDA ZAPATA"/>
    <s v="SEGUNDA"/>
    <s v="."/>
    <s v="PP INY MOLIDO"/>
    <x v="1"/>
    <s v="PALA RASTRILLO ROMANO-ROJO"/>
    <n v="166"/>
    <n v="2"/>
    <n v="12.3"/>
    <s v="DIURNO"/>
    <n v="0"/>
    <n v="2"/>
    <n v="953"/>
    <n v="20655"/>
    <s v="ROJO"/>
    <n v="5.0999999999999996"/>
    <n v="0"/>
    <n v="0"/>
    <n v="6.3079999999999998"/>
    <n v="12.3"/>
    <n v="38"/>
    <n v="323.68421052631578"/>
    <x v="1"/>
    <x v="0"/>
    <n v="6"/>
    <n v="2"/>
    <n v="27.666666666666668"/>
  </r>
  <r>
    <d v="2025-03-02T08:46:00"/>
    <s v="INYECTADO"/>
    <x v="1"/>
    <x v="42"/>
    <s v="CRISALIDA ZAPATA"/>
    <s v="SEGUNDA"/>
    <s v="."/>
    <s v="PP INY MOLIDO"/>
    <x v="1"/>
    <s v="PALA RASTRILLO ROMANO-FUCSIA"/>
    <n v="305"/>
    <n v="3"/>
    <n v="22.3"/>
    <s v="DIURNO"/>
    <n v="0"/>
    <n v="4"/>
    <n v="953"/>
    <n v="20655"/>
    <s v="FUCSIA"/>
    <n v="3.7"/>
    <n v="0"/>
    <n v="0"/>
    <n v="11.59"/>
    <n v="22.3"/>
    <n v="38"/>
    <n v="586.84210526315792"/>
    <x v="1"/>
    <x v="0"/>
    <n v="6"/>
    <n v="2"/>
    <n v="50.833333333333336"/>
  </r>
  <r>
    <d v="2025-03-02T08:46:00"/>
    <s v="INYECTADO"/>
    <x v="1"/>
    <x v="42"/>
    <s v="CRISALIDA ZAPATA"/>
    <s v="SEGUNDA"/>
    <s v="."/>
    <s v="PP INY MOLIDO"/>
    <x v="1"/>
    <s v="PALA RASTRILLO ROMANO-VERDE"/>
    <n v="345"/>
    <n v="3"/>
    <n v="25.2"/>
    <s v="DIURNO"/>
    <n v="0"/>
    <n v="3"/>
    <n v="953"/>
    <n v="20655"/>
    <s v="VERDE"/>
    <n v="5.4"/>
    <n v="0"/>
    <n v="0"/>
    <n v="13.11"/>
    <n v="25.2"/>
    <n v="38"/>
    <n v="663.15789473684208"/>
    <x v="1"/>
    <x v="0"/>
    <n v="6"/>
    <n v="2"/>
    <n v="57.5"/>
  </r>
  <r>
    <d v="2025-03-02T08:46:00"/>
    <s v="INYECTADO"/>
    <x v="1"/>
    <x v="42"/>
    <s v="CRISALIDA ZAPATA"/>
    <s v="SEGUNDA"/>
    <s v="."/>
    <s v="PP INY MOLIDO"/>
    <x v="1"/>
    <s v="PALA RASTRILLO ROMANO-LILA"/>
    <n v="294"/>
    <n v="2"/>
    <n v="21.5"/>
    <s v="DIURNO"/>
    <n v="0"/>
    <n v="2"/>
    <n v="953"/>
    <n v="20655"/>
    <s v="LILA"/>
    <n v="5.9"/>
    <n v="0"/>
    <n v="0"/>
    <n v="11.172000000000001"/>
    <n v="21.5"/>
    <n v="38"/>
    <n v="565.78947368421052"/>
    <x v="1"/>
    <x v="0"/>
    <n v="6"/>
    <n v="2"/>
    <n v="49"/>
  </r>
  <r>
    <d v="2025-03-02T08:46:00"/>
    <s v="INYECTADO"/>
    <x v="1"/>
    <x v="35"/>
    <s v="SAID VILLAMIZAR"/>
    <s v="SEGUNDA"/>
    <s v="."/>
    <s v="PP INY MOLIDO"/>
    <x v="1"/>
    <s v="PALA RASTRILLO ROMANO-VERDE"/>
    <n v="238"/>
    <n v="2"/>
    <n v="18"/>
    <s v="DIURNO"/>
    <n v="0"/>
    <n v="4"/>
    <n v="953"/>
    <n v="20656"/>
    <s v="VERDE"/>
    <n v="3.9"/>
    <n v="0"/>
    <n v="0"/>
    <n v="9.0440000000000005"/>
    <n v="18"/>
    <n v="38"/>
    <n v="473.68421052631578"/>
    <x v="1"/>
    <x v="0"/>
    <n v="6"/>
    <n v="2"/>
    <n v="39.666666666666664"/>
  </r>
  <r>
    <d v="2025-03-02T08:46:00"/>
    <s v="INYECTADO"/>
    <x v="1"/>
    <x v="35"/>
    <s v="SAID VILLAMIZAR"/>
    <s v="SEGUNDA"/>
    <s v="."/>
    <s v="PP INY MOLIDO"/>
    <x v="1"/>
    <s v="PALA RASTRILLO ROMANO-AZUL"/>
    <n v="497"/>
    <n v="5"/>
    <n v="36.299999999999997"/>
    <s v="DIURNO"/>
    <n v="0"/>
    <n v="6"/>
    <n v="953"/>
    <n v="20656"/>
    <s v="AZUL"/>
    <n v="9"/>
    <n v="0"/>
    <n v="0"/>
    <n v="18.885999999999999"/>
    <n v="36.299999999999997"/>
    <n v="38"/>
    <n v="955.26315789473688"/>
    <x v="1"/>
    <x v="0"/>
    <n v="6"/>
    <n v="2"/>
    <n v="82.833333333333329"/>
  </r>
  <r>
    <d v="2025-03-02T08:46:00"/>
    <s v="INYECTADO"/>
    <x v="1"/>
    <x v="35"/>
    <s v="SAID VILLAMIZAR"/>
    <s v="SEGUNDA"/>
    <s v="."/>
    <s v="PP INY MOLIDO"/>
    <x v="1"/>
    <s v="PALA RASTRILLO ROMANO-ROJO"/>
    <n v="17"/>
    <n v="1"/>
    <n v="1.3"/>
    <s v="DIURNO"/>
    <n v="0"/>
    <n v="2"/>
    <n v="953"/>
    <n v="20656"/>
    <s v="ROJO"/>
    <n v="1.2"/>
    <n v="0"/>
    <n v="0"/>
    <n v="0.64600000000000002"/>
    <n v="1.3"/>
    <n v="38"/>
    <n v="34.210526315789473"/>
    <x v="1"/>
    <x v="0"/>
    <n v="6"/>
    <n v="2"/>
    <n v="2.8333333333333335"/>
  </r>
  <r>
    <d v="2025-03-02T08:46:00"/>
    <s v="INYECTADO"/>
    <x v="1"/>
    <x v="47"/>
    <s v="LUIS PINEDO"/>
    <s v="SEGUNDA"/>
    <s v="."/>
    <s v="PP INY MOLIDO"/>
    <x v="1"/>
    <s v="PALA RASTRILLO ROMANO-ROJO"/>
    <n v="276"/>
    <n v="3"/>
    <n v="20.2"/>
    <s v="DIURNO"/>
    <n v="0"/>
    <n v="4"/>
    <n v="953"/>
    <n v="20657"/>
    <s v="ROJO"/>
    <n v="2.2000000000000002"/>
    <n v="0"/>
    <n v="0"/>
    <n v="10.488"/>
    <n v="20.2"/>
    <n v="38"/>
    <n v="531.57894736842104"/>
    <x v="1"/>
    <x v="0"/>
    <n v="6"/>
    <n v="2"/>
    <n v="46"/>
  </r>
  <r>
    <d v="2025-03-02T08:46:00"/>
    <s v="INYECTADO"/>
    <x v="1"/>
    <x v="47"/>
    <s v="LUIS PINEDO"/>
    <s v="VIRGEN"/>
    <s v="PP CLARIFICADO"/>
    <s v="."/>
    <x v="1"/>
    <s v="PALA RASTRILLO ROMANO-AMARILLO"/>
    <n v="610"/>
    <n v="5"/>
    <n v="44.6"/>
    <s v="DIURNO"/>
    <n v="0"/>
    <n v="6"/>
    <n v="953"/>
    <n v="20657"/>
    <s v="AMARILLO"/>
    <n v="2.2000000000000002"/>
    <n v="0"/>
    <n v="0"/>
    <n v="23.18"/>
    <n v="44.6"/>
    <n v="38"/>
    <n v="1173.6842105263158"/>
    <x v="1"/>
    <x v="0"/>
    <n v="6"/>
    <n v="2"/>
    <n v="101.66666666666667"/>
  </r>
  <r>
    <d v="2025-03-02T08:46:00"/>
    <s v="INYECTADO"/>
    <x v="1"/>
    <x v="47"/>
    <s v="LUIS PINEDO"/>
    <s v="SEGUNDA"/>
    <s v="."/>
    <s v="PP INY MOLIDO"/>
    <x v="1"/>
    <s v="PALA RASTRILLO ROMANO-FUCSIA"/>
    <n v="190"/>
    <n v="2"/>
    <n v="13.9"/>
    <s v="DIURNO"/>
    <n v="0"/>
    <n v="2"/>
    <n v="953"/>
    <n v="20657"/>
    <s v="FUCSIA"/>
    <n v="10.8"/>
    <n v="0"/>
    <n v="0"/>
    <n v="7.22"/>
    <n v="13.9"/>
    <n v="38"/>
    <n v="365.78947368421052"/>
    <x v="1"/>
    <x v="0"/>
    <n v="6"/>
    <n v="2"/>
    <n v="31.666666666666668"/>
  </r>
  <r>
    <d v="2025-03-02T08:46:00"/>
    <s v="INYECTADO"/>
    <x v="1"/>
    <x v="48"/>
    <s v="GABRIEL REQUENA"/>
    <s v="SEGUNDA"/>
    <s v="."/>
    <s v="PP INY MOLIDO"/>
    <x v="1"/>
    <s v="PALA RASTRILLO ROMANO-LILA"/>
    <n v="361"/>
    <n v="4"/>
    <n v="26.4"/>
    <s v="DIURNO"/>
    <n v="0"/>
    <n v="5"/>
    <n v="953"/>
    <n v="20658"/>
    <s v="LILA"/>
    <n v="0"/>
    <n v="0"/>
    <n v="0"/>
    <n v="13.718"/>
    <n v="26.4"/>
    <n v="38"/>
    <n v="694.73684210526312"/>
    <x v="1"/>
    <x v="0"/>
    <n v="6"/>
    <n v="2"/>
    <n v="60.166666666666664"/>
  </r>
  <r>
    <d v="2025-03-02T08:46:00"/>
    <s v="INYECTADO"/>
    <x v="1"/>
    <x v="48"/>
    <s v="GABRIEL REQUENA"/>
    <s v="SEGUNDA"/>
    <s v="."/>
    <s v="PP INY MOLIDO"/>
    <x v="1"/>
    <s v="PALA RASTRILLO ROMANO-ROJO"/>
    <n v="280"/>
    <n v="3"/>
    <n v="20.2"/>
    <s v="DIURNO"/>
    <n v="0"/>
    <n v="3"/>
    <n v="953"/>
    <n v="20658"/>
    <s v="ROJO"/>
    <n v="0"/>
    <n v="0"/>
    <n v="0"/>
    <n v="10.64"/>
    <n v="20.2"/>
    <n v="38"/>
    <n v="531.57894736842104"/>
    <x v="1"/>
    <x v="0"/>
    <n v="6"/>
    <n v="2"/>
    <n v="46.666666666666664"/>
  </r>
  <r>
    <d v="2025-03-02T08:46:00"/>
    <s v="INYECTADO"/>
    <x v="1"/>
    <x v="48"/>
    <s v="GABRIEL REQUENA"/>
    <s v="SEGUNDA"/>
    <s v="."/>
    <s v="PP INY MOLIDO"/>
    <x v="1"/>
    <s v="PALA RASTRILLO ROMANO-FUCSIA"/>
    <n v="334"/>
    <n v="3"/>
    <n v="24.1"/>
    <s v="DIURNO"/>
    <n v="0"/>
    <n v="4"/>
    <n v="953"/>
    <n v="20658"/>
    <s v="FUCSIA"/>
    <n v="3.8"/>
    <n v="0"/>
    <n v="0"/>
    <n v="12.692"/>
    <n v="24.1"/>
    <n v="38"/>
    <n v="634.21052631578948"/>
    <x v="1"/>
    <x v="0"/>
    <n v="6"/>
    <n v="2"/>
    <n v="55.666666666666664"/>
  </r>
  <r>
    <d v="2025-03-02T08:46:00"/>
    <s v="INYECTADO"/>
    <x v="1"/>
    <x v="49"/>
    <s v="JOSE CAHUACHI"/>
    <s v="SEGUNDA"/>
    <s v="."/>
    <s v="PP INY MOLIDO"/>
    <x v="1"/>
    <s v="PALA RASTRILLO ROMANO-VERDE"/>
    <n v="353"/>
    <n v="3"/>
    <n v="25.8"/>
    <s v="DIURNO"/>
    <n v="0"/>
    <n v="3"/>
    <n v="953"/>
    <n v="20659"/>
    <s v="VERDE"/>
    <n v="2.6"/>
    <n v="0"/>
    <n v="0"/>
    <n v="13.414"/>
    <n v="25.8"/>
    <n v="38"/>
    <n v="678.9473684210526"/>
    <x v="1"/>
    <x v="0"/>
    <n v="6"/>
    <n v="2"/>
    <n v="58.833333333333336"/>
  </r>
  <r>
    <d v="2025-03-02T08:46:00"/>
    <s v="INYECTADO"/>
    <x v="1"/>
    <x v="49"/>
    <s v="JOSE CAHUACHI"/>
    <s v="SEGUNDA"/>
    <s v="."/>
    <s v="PP INY MOLIDO"/>
    <x v="1"/>
    <s v="PALA RASTRILLO ROMANO-AZUL"/>
    <n v="308"/>
    <n v="2"/>
    <n v="22.5"/>
    <s v="DIURNO"/>
    <n v="0"/>
    <n v="4"/>
    <n v="953"/>
    <n v="20659"/>
    <s v="AZUL"/>
    <n v="2.1"/>
    <n v="0"/>
    <n v="0"/>
    <n v="11.704000000000001"/>
    <n v="22.5"/>
    <n v="38"/>
    <n v="592.10526315789468"/>
    <x v="1"/>
    <x v="0"/>
    <n v="6"/>
    <n v="2"/>
    <n v="51.333333333333336"/>
  </r>
  <r>
    <d v="2025-03-02T08:46:00"/>
    <s v="INYECTADO"/>
    <x v="1"/>
    <x v="49"/>
    <s v="JOSE CAHUACHI"/>
    <s v="SEGUNDA"/>
    <s v="."/>
    <s v="PP INY MOLIDO"/>
    <x v="1"/>
    <s v="PALA RASTRILLO ROMANO-FUCSIA"/>
    <n v="498"/>
    <n v="4"/>
    <n v="36.4"/>
    <s v="DIURNO"/>
    <n v="0"/>
    <n v="5"/>
    <n v="953"/>
    <n v="20659"/>
    <s v="FUCSIA"/>
    <n v="4.5999999999999996"/>
    <n v="0"/>
    <n v="0"/>
    <n v="18.923999999999999"/>
    <n v="36.4"/>
    <n v="38"/>
    <n v="957.89473684210532"/>
    <x v="1"/>
    <x v="0"/>
    <n v="6"/>
    <n v="2"/>
    <n v="83"/>
  </r>
  <r>
    <d v="2025-03-02T08:46:00"/>
    <s v="INYECTADO"/>
    <x v="1"/>
    <x v="50"/>
    <s v="ISABEL LINARIZ "/>
    <s v="SEGUNDA"/>
    <s v="."/>
    <s v="PP INY MOLIDO"/>
    <x v="1"/>
    <s v="PALA RASTRILLO ROMANO-ROJO"/>
    <n v="280"/>
    <n v="2"/>
    <n v="20.5"/>
    <s v="DIURNO"/>
    <n v="0"/>
    <n v="3"/>
    <n v="953"/>
    <n v="20660"/>
    <s v="ROJO"/>
    <n v="1.9"/>
    <n v="0"/>
    <n v="0"/>
    <n v="10.64"/>
    <n v="20.5"/>
    <n v="38"/>
    <n v="539.47368421052636"/>
    <x v="1"/>
    <x v="0"/>
    <n v="6"/>
    <n v="2"/>
    <n v="46.666666666666664"/>
  </r>
  <r>
    <d v="2025-03-02T08:46:00"/>
    <s v="INYECTADO"/>
    <x v="1"/>
    <x v="50"/>
    <s v="ISABEL LINARIZ "/>
    <s v="VIRGEN"/>
    <s v="PP CLARIFICADO"/>
    <s v="."/>
    <x v="1"/>
    <s v="PALA RASTRILLO ROMANO-AMARILLO"/>
    <n v="169"/>
    <n v="2"/>
    <n v="12.4"/>
    <s v="DIURNO"/>
    <n v="0"/>
    <n v="1"/>
    <n v="953"/>
    <n v="20660"/>
    <s v="AMARILLO"/>
    <n v="7.5"/>
    <n v="0"/>
    <n v="0"/>
    <n v="6.4219999999999997"/>
    <n v="12.4"/>
    <n v="38"/>
    <n v="326.31578947368422"/>
    <x v="1"/>
    <x v="0"/>
    <n v="6"/>
    <n v="2"/>
    <n v="28.166666666666668"/>
  </r>
  <r>
    <d v="2025-03-02T08:46:00"/>
    <s v="INYECTADO"/>
    <x v="1"/>
    <x v="30"/>
    <s v="LUIS PINEDO"/>
    <s v="VIRGEN"/>
    <s v="PP CLARIFICADO"/>
    <s v="."/>
    <x v="1"/>
    <s v="PALA RASTRILLO ROMANO-AMARILLO"/>
    <n v="464"/>
    <n v="4"/>
    <n v="33.9"/>
    <s v="DIURNO"/>
    <n v="0"/>
    <n v="4"/>
    <n v="953"/>
    <n v="20661"/>
    <s v="AMARILLO"/>
    <n v="3.8"/>
    <n v="0"/>
    <n v="0"/>
    <n v="17.632000000000001"/>
    <n v="33.9"/>
    <n v="38"/>
    <n v="892.10526315789468"/>
    <x v="1"/>
    <x v="0"/>
    <n v="7"/>
    <n v="2"/>
    <n v="77.333333333333329"/>
  </r>
  <r>
    <d v="2025-03-02T08:46:00"/>
    <s v="INYECTADO"/>
    <x v="1"/>
    <x v="30"/>
    <s v="LUIS PINEDO"/>
    <s v="SEGUNDA"/>
    <s v="."/>
    <s v="PP INY MOLIDO"/>
    <x v="1"/>
    <s v="PALA RASTRILLO ROMANO-AZUL"/>
    <n v="287"/>
    <n v="2"/>
    <n v="21"/>
    <s v="DIURNO"/>
    <n v="0"/>
    <n v="4"/>
    <n v="953"/>
    <n v="20661"/>
    <s v="AZUL"/>
    <n v="2.7"/>
    <n v="0"/>
    <n v="0"/>
    <n v="10.906000000000001"/>
    <n v="21"/>
    <n v="38"/>
    <n v="552.63157894736844"/>
    <x v="1"/>
    <x v="0"/>
    <n v="7"/>
    <n v="2"/>
    <n v="47.833333333333336"/>
  </r>
  <r>
    <d v="2025-03-02T08:46:00"/>
    <s v="INYECTADO"/>
    <x v="1"/>
    <x v="30"/>
    <s v="LUIS PINEDO"/>
    <s v="SEGUNDA"/>
    <s v="."/>
    <s v="PP INY MOLIDO"/>
    <x v="1"/>
    <s v="PALA RASTRILLO ROMANO-LILA"/>
    <n v="253"/>
    <n v="2"/>
    <n v="18.5"/>
    <s v="DIURNO"/>
    <n v="0"/>
    <n v="4"/>
    <n v="953"/>
    <n v="20661"/>
    <s v="LILA"/>
    <n v="6.8"/>
    <n v="0"/>
    <n v="0"/>
    <n v="9.6140000000000008"/>
    <n v="18.5"/>
    <n v="38"/>
    <n v="486.84210526315792"/>
    <x v="1"/>
    <x v="0"/>
    <n v="7"/>
    <n v="2"/>
    <n v="42.166666666666664"/>
  </r>
  <r>
    <d v="2025-03-02T08:46:00"/>
    <s v="INYECTADO"/>
    <x v="1"/>
    <x v="30"/>
    <s v="JOSDER GONZALEZ"/>
    <s v="VIRGEN"/>
    <s v="PP CLARIFICADO"/>
    <s v="."/>
    <x v="1"/>
    <s v="PALA RASTRILLO ROMANO-AMARILLO"/>
    <n v="550"/>
    <n v="5"/>
    <n v="40.200000000000003"/>
    <s v="NOCTURNO"/>
    <n v="0"/>
    <n v="6"/>
    <n v="953"/>
    <n v="20662"/>
    <s v="AMARILLO"/>
    <n v="7.5"/>
    <n v="0"/>
    <n v="0"/>
    <n v="20.9"/>
    <n v="40.200000000000003"/>
    <n v="38"/>
    <n v="1057.8947368421052"/>
    <x v="1"/>
    <x v="0"/>
    <n v="7"/>
    <n v="2"/>
    <n v="91.666666666666671"/>
  </r>
  <r>
    <d v="2025-03-02T08:46:00"/>
    <s v="INYECTADO"/>
    <x v="1"/>
    <x v="30"/>
    <s v="JOSDER GONZALEZ"/>
    <s v="SEGUNDA"/>
    <s v="."/>
    <s v="PP INY MOLIDO"/>
    <x v="1"/>
    <s v="PALA RASTRILLO ROMANO-VERDE"/>
    <n v="294"/>
    <n v="2"/>
    <n v="21.5"/>
    <s v="NOCTURNO"/>
    <n v="0"/>
    <n v="4"/>
    <n v="953"/>
    <n v="20662"/>
    <s v="VERDE"/>
    <n v="5.8"/>
    <n v="0"/>
    <n v="0"/>
    <n v="11.172000000000001"/>
    <n v="21.5"/>
    <n v="38"/>
    <n v="565.78947368421052"/>
    <x v="1"/>
    <x v="0"/>
    <n v="7"/>
    <n v="2"/>
    <n v="49"/>
  </r>
  <r>
    <d v="2025-03-02T08:46:00"/>
    <s v="INYECTADO"/>
    <x v="1"/>
    <x v="30"/>
    <s v="JOSDER GONZALEZ"/>
    <s v="SEGUNDA"/>
    <s v="."/>
    <s v="PP INY MOLIDO"/>
    <x v="1"/>
    <s v="PALA RASTRILLO ROMANO-AZUL"/>
    <n v="197"/>
    <n v="2"/>
    <n v="14.4"/>
    <s v="NOCTURNO"/>
    <n v="0"/>
    <n v="2"/>
    <n v="953"/>
    <n v="20662"/>
    <s v="AZUL"/>
    <n v="0"/>
    <n v="0"/>
    <n v="0"/>
    <n v="7.4859999999999998"/>
    <n v="14.4"/>
    <n v="38"/>
    <n v="378.94736842105266"/>
    <x v="1"/>
    <x v="0"/>
    <n v="7"/>
    <n v="2"/>
    <n v="32.833333333333336"/>
  </r>
  <r>
    <d v="2025-03-02T08:46:00"/>
    <s v="INYECTADO"/>
    <x v="1"/>
    <x v="31"/>
    <s v="JUAN CARLOS CEDENO"/>
    <s v="SEGUNDA"/>
    <s v="."/>
    <s v="PP INY MOLIDO"/>
    <x v="1"/>
    <s v="PALA RASTRILLO ROMANO-AZUL"/>
    <n v="86"/>
    <n v="1"/>
    <n v="6.3"/>
    <s v="DIURNO"/>
    <n v="0"/>
    <n v="2"/>
    <n v="953"/>
    <n v="20663"/>
    <s v="AZUL"/>
    <n v="7.2"/>
    <n v="0"/>
    <n v="0"/>
    <n v="3.2679999999999998"/>
    <n v="6.3"/>
    <n v="38"/>
    <n v="165.78947368421052"/>
    <x v="1"/>
    <x v="0"/>
    <n v="7"/>
    <n v="2"/>
    <n v="14.333333333333334"/>
  </r>
  <r>
    <d v="2025-03-02T08:46:00"/>
    <s v="INYECTADO"/>
    <x v="1"/>
    <x v="31"/>
    <s v="JUAN CARLOS CEDENO"/>
    <s v="SEGUNDA"/>
    <s v="."/>
    <s v="PP INY MOLIDO"/>
    <x v="1"/>
    <s v="PALA RASTRILLO ROMANO-FUCSIA"/>
    <n v="260"/>
    <n v="2"/>
    <n v="19"/>
    <s v="DIURNO"/>
    <n v="0"/>
    <n v="2"/>
    <n v="953"/>
    <n v="20663"/>
    <s v="FUCSIA"/>
    <n v="3.4"/>
    <n v="0"/>
    <n v="0"/>
    <n v="9.8800000000000008"/>
    <n v="19"/>
    <n v="38"/>
    <n v="500"/>
    <x v="1"/>
    <x v="0"/>
    <n v="7"/>
    <n v="2"/>
    <n v="43.333333333333336"/>
  </r>
  <r>
    <d v="2025-03-02T08:46:00"/>
    <s v="INYECTADO"/>
    <x v="1"/>
    <x v="31"/>
    <s v="JUAN CARLOS CEDENO"/>
    <s v="SEGUNDA"/>
    <s v="."/>
    <s v="PP INY MOLIDO"/>
    <x v="1"/>
    <s v="PALA RASTRILLO ROMANO-ROJO"/>
    <n v="300"/>
    <n v="3"/>
    <n v="21.9"/>
    <s v="DIURNO"/>
    <n v="0"/>
    <n v="2"/>
    <n v="953"/>
    <n v="20663"/>
    <s v="ROJO"/>
    <n v="10.8"/>
    <n v="0"/>
    <n v="0"/>
    <n v="11.4"/>
    <n v="21.9"/>
    <n v="38"/>
    <n v="576.31578947368416"/>
    <x v="1"/>
    <x v="0"/>
    <n v="7"/>
    <n v="2"/>
    <n v="50"/>
  </r>
  <r>
    <d v="2025-03-02T08:46:00"/>
    <s v="INYECTADO"/>
    <x v="1"/>
    <x v="31"/>
    <s v="JUAN CARLOS CEDENO"/>
    <s v="SEGUNDA"/>
    <s v="."/>
    <s v="PP INY MOLIDO"/>
    <x v="1"/>
    <s v="PALA RASTRILLO ROMANO-VERDE"/>
    <n v="501"/>
    <n v="5"/>
    <n v="36.6"/>
    <s v="DIURNO"/>
    <n v="0"/>
    <n v="2"/>
    <n v="953"/>
    <n v="20663"/>
    <s v="VERDE"/>
    <n v="7.2"/>
    <n v="0"/>
    <n v="0"/>
    <n v="19.038"/>
    <n v="36.6"/>
    <n v="38"/>
    <n v="963.15789473684208"/>
    <x v="1"/>
    <x v="0"/>
    <n v="7"/>
    <n v="2"/>
    <n v="83.5"/>
  </r>
  <r>
    <d v="2025-03-02T08:46:00"/>
    <s v="INYECTADO"/>
    <x v="1"/>
    <x v="32"/>
    <s v="ESTHER GUEVARA"/>
    <s v="SEGUNDA"/>
    <s v="."/>
    <s v="PP INY MOLIDO"/>
    <x v="1"/>
    <s v="PALA RASTRILLO ROMANO-FUCSIA"/>
    <n v="644"/>
    <n v="7"/>
    <n v="46.4"/>
    <s v="DIURNO"/>
    <n v="0"/>
    <n v="6"/>
    <n v="953"/>
    <n v="20664"/>
    <s v="FUCSIA"/>
    <n v="6.7"/>
    <n v="0"/>
    <n v="0"/>
    <n v="24.472000000000001"/>
    <n v="46.4"/>
    <n v="38"/>
    <n v="1221.0526315789473"/>
    <x v="1"/>
    <x v="0"/>
    <n v="7"/>
    <n v="2"/>
    <n v="107.33333333333333"/>
  </r>
  <r>
    <d v="2025-03-02T08:46:00"/>
    <s v="INYECTADO"/>
    <x v="1"/>
    <x v="32"/>
    <s v="ESTHER GUEVARA"/>
    <s v="VIRGEN"/>
    <s v="PP CLARIFICADO"/>
    <s v="."/>
    <x v="1"/>
    <s v="PALA RASTRILLO ROMANO-AMARILLO"/>
    <n v="273"/>
    <n v="2"/>
    <n v="19.7"/>
    <s v="DIURNO"/>
    <n v="0"/>
    <n v="2"/>
    <n v="953"/>
    <n v="20664"/>
    <s v="AMARILLO"/>
    <n v="7.3"/>
    <n v="0"/>
    <n v="0"/>
    <n v="10.374000000000001"/>
    <n v="19.7"/>
    <n v="38"/>
    <n v="518.42105263157896"/>
    <x v="1"/>
    <x v="0"/>
    <n v="7"/>
    <n v="2"/>
    <n v="45.5"/>
  </r>
  <r>
    <d v="2025-03-02T08:46:00"/>
    <s v="INYECTADO"/>
    <x v="1"/>
    <x v="32"/>
    <s v="ESTHER GUEVARA"/>
    <s v="SEGUNDA"/>
    <s v="."/>
    <s v="PP INY MOLIDO"/>
    <x v="1"/>
    <s v="PALA RASTRILLO ROMANO-LILA"/>
    <n v="190"/>
    <n v="2"/>
    <n v="13.9"/>
    <s v="DIURNO"/>
    <n v="0"/>
    <n v="1"/>
    <n v="953"/>
    <n v="20664"/>
    <s v="LILA"/>
    <n v="3.3"/>
    <n v="0"/>
    <n v="0"/>
    <n v="7.22"/>
    <n v="13.9"/>
    <n v="38"/>
    <n v="365.78947368421052"/>
    <x v="1"/>
    <x v="0"/>
    <n v="7"/>
    <n v="2"/>
    <n v="31.666666666666668"/>
  </r>
  <r>
    <d v="2025-03-02T08:46:00"/>
    <s v="INYECTADO"/>
    <x v="1"/>
    <x v="38"/>
    <s v="JUAN CARLOS CEDENO"/>
    <s v="SEGUNDA"/>
    <s v="."/>
    <s v="PP INY MOLIDO"/>
    <x v="1"/>
    <s v="PALA RASTRILLO ROMANO-ROJO"/>
    <n v="1068"/>
    <n v="9"/>
    <n v="76.900000000000006"/>
    <s v="DIURNO"/>
    <n v="0"/>
    <n v="10"/>
    <n v="953"/>
    <n v="20665"/>
    <s v="ROJO"/>
    <n v="10.9"/>
    <n v="0"/>
    <n v="0"/>
    <n v="40.584000000000003"/>
    <n v="76.900000000000006"/>
    <n v="38"/>
    <n v="2023.6842105263158"/>
    <x v="1"/>
    <x v="0"/>
    <n v="9"/>
    <n v="2"/>
    <n v="178"/>
  </r>
  <r>
    <d v="2025-03-02T08:46:00"/>
    <s v="INYECTADO"/>
    <x v="1"/>
    <x v="38"/>
    <s v="JUAN CARLOS CEDENO"/>
    <s v="SEGUNDA"/>
    <s v="."/>
    <s v="PP INY MOLIDO"/>
    <x v="1"/>
    <s v="PALA RASTRILLO ROMANO-LILA"/>
    <n v="76"/>
    <n v="1"/>
    <n v="5.5"/>
    <s v="DIURNO"/>
    <n v="0"/>
    <n v="1"/>
    <n v="953"/>
    <n v="20665"/>
    <s v="LILA"/>
    <n v="3.6"/>
    <n v="0"/>
    <n v="0"/>
    <n v="2.8879999999999999"/>
    <n v="5.5"/>
    <n v="38"/>
    <n v="144.73684210526315"/>
    <x v="1"/>
    <x v="0"/>
    <n v="9"/>
    <n v="2"/>
    <n v="12.666666666666666"/>
  </r>
  <r>
    <d v="2025-03-02T08:46:00"/>
    <s v="INYECTADO"/>
    <x v="1"/>
    <x v="38"/>
    <s v="JOSDER GONZALEZ"/>
    <s v="SEGUNDA"/>
    <s v="."/>
    <s v="PP INY MOLIDO"/>
    <x v="1"/>
    <s v="PALA RASTRILLO ROMANO-ROJO"/>
    <n v="256"/>
    <n v="2"/>
    <n v="18.5"/>
    <s v="NOCTURNO"/>
    <n v="0"/>
    <n v="4"/>
    <n v="953"/>
    <n v="20666"/>
    <s v="ROJO"/>
    <n v="5.9"/>
    <n v="0"/>
    <n v="0"/>
    <n v="9.7279999999999998"/>
    <n v="18.5"/>
    <n v="38"/>
    <n v="486.84210526315792"/>
    <x v="1"/>
    <x v="0"/>
    <n v="9"/>
    <n v="2"/>
    <n v="42.666666666666664"/>
  </r>
  <r>
    <d v="2025-03-02T08:46:00"/>
    <s v="INYECTADO"/>
    <x v="1"/>
    <x v="38"/>
    <s v="JOSDER GONZALEZ"/>
    <s v="SEGUNDA"/>
    <s v="."/>
    <s v="PP INY MOLIDO"/>
    <x v="1"/>
    <s v="PALA RASTRILLO ROMANO-LILA"/>
    <n v="669"/>
    <n v="5"/>
    <n v="48.2"/>
    <s v="NOCTURNO"/>
    <n v="0"/>
    <n v="8"/>
    <n v="953"/>
    <n v="20666"/>
    <s v="LILA"/>
    <n v="8.4"/>
    <n v="0"/>
    <n v="0"/>
    <n v="25.422000000000001"/>
    <n v="48.2"/>
    <n v="38"/>
    <n v="1268.421052631579"/>
    <x v="1"/>
    <x v="0"/>
    <n v="9"/>
    <n v="2"/>
    <n v="111.5"/>
  </r>
  <r>
    <d v="2025-03-02T08:46:00"/>
    <s v="INYECTADO"/>
    <x v="1"/>
    <x v="38"/>
    <s v="JOSDER GONZALEZ"/>
    <s v="SEGUNDA"/>
    <s v="."/>
    <s v="PP INY MOLIDO"/>
    <x v="1"/>
    <s v="PALA RASTRILLO ROMANO-VERDE"/>
    <n v="525"/>
    <n v="4"/>
    <n v="37.799999999999997"/>
    <s v="NOCTURNO"/>
    <n v="0"/>
    <n v="6"/>
    <n v="953"/>
    <n v="20666"/>
    <s v="AMARILLO"/>
    <n v="2.4"/>
    <n v="0"/>
    <n v="0"/>
    <n v="19.95"/>
    <n v="37.799999999999997"/>
    <n v="38"/>
    <n v="994.73684210526312"/>
    <x v="1"/>
    <x v="0"/>
    <n v="9"/>
    <n v="2"/>
    <n v="87.5"/>
  </r>
  <r>
    <d v="2025-03-02T08:46:00"/>
    <s v="INYECTADO"/>
    <x v="1"/>
    <x v="46"/>
    <s v="CRISALIDA ZAPATA"/>
    <s v="VIRGEN"/>
    <s v="PP CLARIFICADO"/>
    <s v="."/>
    <x v="1"/>
    <s v="PALA RASTRILLO ROMANO-AMARILLO"/>
    <n v="575"/>
    <n v="5"/>
    <n v="41.4"/>
    <s v="DIURNO"/>
    <n v="0"/>
    <n v="6"/>
    <n v="953"/>
    <n v="20667"/>
    <s v="AMARILLO"/>
    <n v="11.6"/>
    <n v="0"/>
    <n v="0"/>
    <n v="21.85"/>
    <n v="41.4"/>
    <n v="38"/>
    <n v="1089.4736842105262"/>
    <x v="1"/>
    <x v="0"/>
    <n v="9"/>
    <n v="2"/>
    <n v="95.833333333333329"/>
  </r>
  <r>
    <d v="2025-03-02T08:46:00"/>
    <s v="INYECTADO"/>
    <x v="1"/>
    <x v="46"/>
    <s v="CRISALIDA ZAPATA"/>
    <s v="SEGUNDA"/>
    <s v="."/>
    <s v="PP INY MOLIDO"/>
    <x v="1"/>
    <s v="PALA RASTRILLO ROMANO-AZUL"/>
    <n v="461"/>
    <n v="4"/>
    <n v="33.200000000000003"/>
    <s v="DIURNO"/>
    <n v="0"/>
    <n v="5"/>
    <n v="953"/>
    <n v="20667"/>
    <s v="AZUL"/>
    <n v="10.8"/>
    <n v="0"/>
    <n v="0"/>
    <n v="17.518000000000001"/>
    <n v="33.200000000000003"/>
    <n v="38"/>
    <n v="873.68421052631584"/>
    <x v="1"/>
    <x v="0"/>
    <n v="9"/>
    <n v="2"/>
    <n v="76.833333333333329"/>
  </r>
  <r>
    <d v="2025-03-02T08:46:00"/>
    <s v="INYECTADO"/>
    <x v="6"/>
    <x v="41"/>
    <s v="JUAN CARLOS CEDENO"/>
    <s v="SEGUNDA"/>
    <s v="."/>
    <s v="MIXTO"/>
    <x v="13"/>
    <s v="COLADOR HOGAR SOLIDO#3-ANARANJADO"/>
    <n v="360"/>
    <n v="3"/>
    <n v="34.200000000000003"/>
    <s v="DIURNO"/>
    <n v="0"/>
    <n v="3"/>
    <n v="987"/>
    <n v="21014"/>
    <s v="VERDE"/>
    <n v="7.3"/>
    <n v="0"/>
    <n v="0"/>
    <n v="33.479999999999997"/>
    <n v="34.200000000000003"/>
    <n v="93"/>
    <n v="367.74193548387098"/>
    <x v="1"/>
    <x v="0"/>
    <n v="5"/>
    <n v="1"/>
    <n v="30"/>
  </r>
  <r>
    <d v="2025-03-02T08:46:00"/>
    <s v="INYECTADO"/>
    <x v="6"/>
    <x v="41"/>
    <s v="JUAN CARLOS CEDENO"/>
    <s v="SEGUNDA"/>
    <s v="."/>
    <s v="MIXTO"/>
    <x v="13"/>
    <s v="COLADOR HOGAR SOLIDO#3-ROJO"/>
    <n v="240"/>
    <n v="2"/>
    <n v="22.5"/>
    <s v="DIURNO"/>
    <n v="0"/>
    <n v="2"/>
    <n v="987"/>
    <n v="21014"/>
    <s v="AZUL"/>
    <n v="4.5999999999999996"/>
    <n v="0"/>
    <n v="0"/>
    <n v="22.32"/>
    <n v="22.5"/>
    <n v="93"/>
    <n v="241.93548387096774"/>
    <x v="1"/>
    <x v="0"/>
    <n v="5"/>
    <n v="1"/>
    <n v="20"/>
  </r>
  <r>
    <d v="2025-03-02T08:46:00"/>
    <s v="INYECTADO"/>
    <x v="6"/>
    <x v="35"/>
    <s v="NELSON PINEDO"/>
    <s v="VIRGEN"/>
    <s v="ALTA INYECCION"/>
    <s v="."/>
    <x v="12"/>
    <s v="TAPAS DE JARRA DE 5 Y 6L-AZUL"/>
    <n v="279"/>
    <n v="2"/>
    <n v="47.1"/>
    <s v="DIURNO"/>
    <n v="0"/>
    <n v="8"/>
    <n v="942"/>
    <n v="19988"/>
    <s v="AZUL"/>
    <n v="7.4"/>
    <n v="0"/>
    <n v="0"/>
    <n v="22.599"/>
    <n v="47.1"/>
    <n v="81"/>
    <n v="581.48148148148152"/>
    <x v="1"/>
    <x v="0"/>
    <n v="6"/>
    <n v="2"/>
    <n v="46.5"/>
  </r>
  <r>
    <d v="2025-03-02T08:46:00"/>
    <s v="INYECTADO"/>
    <x v="6"/>
    <x v="35"/>
    <s v="NELSON PINEDO"/>
    <s v="VIRGEN"/>
    <s v="PP CLARIFICADO"/>
    <s v="."/>
    <x v="12"/>
    <s v="TAPAS DE JARRA DE 5 Y 6L-AMARILLO"/>
    <n v="64"/>
    <n v="1"/>
    <n v="10.8"/>
    <s v="DIURNO"/>
    <n v="0"/>
    <n v="2"/>
    <n v="942"/>
    <n v="19988"/>
    <s v="AMARILLO"/>
    <n v="4.5999999999999996"/>
    <n v="0"/>
    <n v="0"/>
    <n v="5.1840000000000002"/>
    <n v="10.8"/>
    <n v="81"/>
    <n v="133.33333333333334"/>
    <x v="1"/>
    <x v="0"/>
    <n v="6"/>
    <n v="2"/>
    <n v="10.666666666666666"/>
  </r>
  <r>
    <d v="2025-03-02T08:46:00"/>
    <s v="INYECTADO"/>
    <x v="6"/>
    <x v="35"/>
    <s v="NELSON PINEDO"/>
    <s v="VIRGEN"/>
    <s v="ALTA INYECCION"/>
    <s v="."/>
    <x v="12"/>
    <s v="TAPAS DE JARRA DE 5 Y 6L-ROJO"/>
    <n v="72"/>
    <n v="1"/>
    <n v="12.6"/>
    <s v="DIURNO"/>
    <n v="0"/>
    <n v="2"/>
    <n v="942"/>
    <n v="19988"/>
    <s v="ROJO"/>
    <n v="4.8"/>
    <n v="0"/>
    <n v="0"/>
    <n v="5.8319999999999999"/>
    <n v="12.6"/>
    <n v="81"/>
    <n v="155.55555555555554"/>
    <x v="1"/>
    <x v="0"/>
    <n v="6"/>
    <n v="2"/>
    <n v="12"/>
  </r>
  <r>
    <d v="2025-03-02T08:46:00"/>
    <s v="INYECTADO"/>
    <x v="6"/>
    <x v="47"/>
    <s v="JUAN MANUEL PEREZ"/>
    <s v="VIRGEN"/>
    <s v="ALTA INYECCION"/>
    <s v="."/>
    <x v="12"/>
    <s v="TAPAS DE JARRA DE 5 Y 6L-VERDE"/>
    <n v="145"/>
    <n v="2"/>
    <n v="24.5"/>
    <s v="NOCTURNO"/>
    <n v="0"/>
    <n v="5"/>
    <n v="942"/>
    <n v="19989"/>
    <s v="VERDE"/>
    <n v="3.2"/>
    <n v="0"/>
    <n v="0"/>
    <n v="11.744999999999999"/>
    <n v="24.5"/>
    <n v="81"/>
    <n v="302.46913580246911"/>
    <x v="1"/>
    <x v="0"/>
    <n v="6"/>
    <n v="2"/>
    <n v="24.166666666666668"/>
  </r>
  <r>
    <d v="2025-03-02T08:46:00"/>
    <s v="INYECTADO"/>
    <x v="6"/>
    <x v="47"/>
    <s v="JUAN MANUEL PEREZ"/>
    <s v="VIRGEN"/>
    <s v="PP CLARIFICADO"/>
    <s v="."/>
    <x v="12"/>
    <s v="TAPAS DE JARRA DE 5 Y 6L-AMARILLO"/>
    <n v="159"/>
    <n v="2"/>
    <n v="26.8"/>
    <s v="NOCTURNO"/>
    <n v="0"/>
    <n v="5"/>
    <n v="942"/>
    <n v="19989"/>
    <s v="AMARILLO"/>
    <n v="3.2"/>
    <n v="0"/>
    <n v="0"/>
    <n v="12.879"/>
    <n v="26.8"/>
    <n v="81"/>
    <n v="330.8641975308642"/>
    <x v="1"/>
    <x v="0"/>
    <n v="6"/>
    <n v="2"/>
    <n v="26.5"/>
  </r>
  <r>
    <d v="2025-03-02T08:46:00"/>
    <s v="INYECTADO"/>
    <x v="6"/>
    <x v="47"/>
    <s v="JUAN MANUEL PEREZ"/>
    <s v="VIRGEN"/>
    <s v="ALTA INYECCION"/>
    <s v="."/>
    <x v="12"/>
    <s v="TAPAS DE JARRA DE 5 Y 6L-ROJO"/>
    <n v="183"/>
    <n v="2"/>
    <n v="30.9"/>
    <s v="NOCTURNO"/>
    <n v="0"/>
    <n v="6"/>
    <n v="942"/>
    <n v="19989"/>
    <s v="ROJO"/>
    <n v="1"/>
    <n v="0"/>
    <n v="0"/>
    <n v="14.823"/>
    <n v="30.9"/>
    <n v="81"/>
    <n v="381.48148148148147"/>
    <x v="1"/>
    <x v="0"/>
    <n v="6"/>
    <n v="2"/>
    <n v="30.5"/>
  </r>
  <r>
    <d v="2025-03-02T08:46:00"/>
    <s v="INYECTADO"/>
    <x v="6"/>
    <x v="48"/>
    <s v="JUAN MANUEL PEREZ"/>
    <s v="VIRGEN"/>
    <s v="PP CLARIFICADO"/>
    <s v="."/>
    <x v="12"/>
    <s v="TAPAS DE JARRA DE 5 Y 6L-AMARILLO"/>
    <n v="202"/>
    <n v="2"/>
    <n v="34.1"/>
    <s v="NOCTURNO"/>
    <n v="0"/>
    <n v="6"/>
    <n v="942"/>
    <n v="19990"/>
    <s v="AMARILLO"/>
    <n v="5.0999999999999996"/>
    <n v="0"/>
    <n v="0"/>
    <n v="16.361999999999998"/>
    <n v="34.1"/>
    <n v="81"/>
    <n v="420.98765432098764"/>
    <x v="1"/>
    <x v="0"/>
    <n v="6"/>
    <n v="2"/>
    <n v="33.666666666666664"/>
  </r>
  <r>
    <d v="2025-03-02T08:46:00"/>
    <s v="INYECTADO"/>
    <x v="6"/>
    <x v="48"/>
    <s v="JUAN MANUEL PEREZ"/>
    <s v="VIRGEN"/>
    <s v="ALTA INYECCION"/>
    <s v="."/>
    <x v="12"/>
    <s v="TAPAS DE JARRA DE 5 Y 6L-AZUL"/>
    <n v="375"/>
    <n v="3"/>
    <n v="63.3"/>
    <s v="NOCTURNO"/>
    <n v="0"/>
    <n v="11"/>
    <n v="942"/>
    <n v="19990"/>
    <s v="AZUL"/>
    <n v="5.0999999999999996"/>
    <n v="0"/>
    <n v="0"/>
    <n v="30.375"/>
    <n v="63.3"/>
    <n v="81"/>
    <n v="781.48148148148152"/>
    <x v="1"/>
    <x v="0"/>
    <n v="6"/>
    <n v="2"/>
    <n v="62.5"/>
  </r>
  <r>
    <d v="2025-03-02T08:46:00"/>
    <s v="INYECTADO"/>
    <x v="6"/>
    <x v="48"/>
    <s v="JUAN MANUEL PEREZ"/>
    <s v="VIRGEN"/>
    <s v="ALTA INYECCION"/>
    <s v="."/>
    <x v="12"/>
    <s v="TAPAS DE JARRA DE 5 Y 6L-VERDE"/>
    <n v="15"/>
    <n v="1"/>
    <n v="2.9"/>
    <s v="NOCTURNO"/>
    <n v="0"/>
    <n v="1"/>
    <n v="942"/>
    <n v="19990"/>
    <s v="VERDE"/>
    <n v="0"/>
    <n v="0"/>
    <n v="0"/>
    <n v="1.2150000000000001"/>
    <n v="2.9"/>
    <n v="81"/>
    <n v="35.802469135802468"/>
    <x v="1"/>
    <x v="0"/>
    <n v="6"/>
    <n v="2"/>
    <n v="2.5"/>
  </r>
  <r>
    <d v="2025-03-02T08:46:00"/>
    <s v="INYECTADO"/>
    <x v="6"/>
    <x v="48"/>
    <s v="JUAN MANUEL PEREZ"/>
    <s v="VIRGEN"/>
    <s v="ALTA INYECCION"/>
    <s v="."/>
    <x v="12"/>
    <s v="TAPAS DE JARRA DE 5 Y 6L-ROJO"/>
    <n v="371"/>
    <n v="3"/>
    <n v="62.6"/>
    <s v="NOCTURNO"/>
    <n v="0"/>
    <n v="12"/>
    <n v="942"/>
    <n v="19990"/>
    <s v="ROJO"/>
    <n v="5.2"/>
    <n v="0"/>
    <n v="0"/>
    <n v="30.050999999999998"/>
    <n v="62.6"/>
    <n v="81"/>
    <n v="772.83950617283949"/>
    <x v="1"/>
    <x v="0"/>
    <n v="6"/>
    <n v="2"/>
    <n v="61.833333333333336"/>
  </r>
  <r>
    <d v="2025-03-02T08:46:00"/>
    <s v="INYECTADO"/>
    <x v="6"/>
    <x v="49"/>
    <s v="SAID VILLAMIZAR"/>
    <s v="VIRGEN"/>
    <s v="PP CLARIFICADO"/>
    <s v="."/>
    <x v="12"/>
    <s v="TAPAS DE JARRA DE 5 Y 6L-AMARILLO"/>
    <n v="71"/>
    <n v="1"/>
    <n v="11.9"/>
    <s v="DIURNO"/>
    <n v="0"/>
    <n v="2"/>
    <n v="942"/>
    <n v="19991"/>
    <s v="AMARILLO"/>
    <n v="8.6"/>
    <n v="0"/>
    <n v="0"/>
    <n v="5.7510000000000003"/>
    <n v="11.9"/>
    <n v="81"/>
    <n v="146.91358024691357"/>
    <x v="1"/>
    <x v="0"/>
    <n v="6"/>
    <n v="2"/>
    <n v="11.833333333333334"/>
  </r>
  <r>
    <d v="2025-03-02T08:46:00"/>
    <s v="INYECTADO"/>
    <x v="6"/>
    <x v="49"/>
    <s v="SAID VILLAMIZAR"/>
    <s v="VIRGEN"/>
    <s v="ALTA INYECCION"/>
    <s v="."/>
    <x v="12"/>
    <s v="TAPAS DE JARRA DE 5 Y 6L-VERDE"/>
    <n v="284"/>
    <n v="2"/>
    <n v="47.1"/>
    <s v="DIURNO"/>
    <n v="0"/>
    <n v="8"/>
    <n v="942"/>
    <n v="19991"/>
    <s v="VERDE"/>
    <n v="4.0999999999999996"/>
    <n v="0"/>
    <n v="0"/>
    <n v="23.004000000000001"/>
    <n v="47.1"/>
    <n v="81"/>
    <n v="581.48148148148152"/>
    <x v="1"/>
    <x v="0"/>
    <n v="6"/>
    <n v="2"/>
    <n v="47.333333333333336"/>
  </r>
  <r>
    <d v="2025-03-02T08:46:00"/>
    <s v="INYECTADO"/>
    <x v="6"/>
    <x v="36"/>
    <s v="CRISALIDA ZAPATA"/>
    <s v="VIRGEN"/>
    <s v="PP CLARIFICADO"/>
    <s v="."/>
    <x v="43"/>
    <s v="REPOSTERO 4KG-TRANSPARENTE"/>
    <n v="1077"/>
    <n v="11"/>
    <n v="153"/>
    <s v="DIURNO"/>
    <n v="0"/>
    <n v="18"/>
    <n v="942"/>
    <n v="19993"/>
    <s v="TRANSPARENTE"/>
    <n v="2.9"/>
    <n v="0"/>
    <n v="0"/>
    <n v="151.857"/>
    <n v="153"/>
    <n v="141"/>
    <n v="1085.1063829787233"/>
    <x v="1"/>
    <x v="0"/>
    <n v="7"/>
    <n v="1"/>
    <n v="89.75"/>
  </r>
  <r>
    <d v="2025-03-02T08:46:00"/>
    <s v="INYECTADO"/>
    <x v="6"/>
    <x v="36"/>
    <s v="JUAN MANUEL PEREZ"/>
    <s v="VIRGEN"/>
    <s v="PP CLARIFICADO"/>
    <s v="."/>
    <x v="43"/>
    <s v="REPOSTERO 4KG-TRANSPARENTE"/>
    <n v="1216"/>
    <n v="12"/>
    <n v="172.7"/>
    <s v="NOCTURNO"/>
    <n v="0"/>
    <n v="20"/>
    <n v="942"/>
    <n v="19994"/>
    <s v="TRANSPARENTE"/>
    <n v="3"/>
    <n v="0"/>
    <n v="0"/>
    <n v="171.45599999999999"/>
    <n v="172.7"/>
    <n v="141"/>
    <n v="1224.822695035461"/>
    <x v="1"/>
    <x v="0"/>
    <n v="7"/>
    <n v="1"/>
    <n v="101.33333333333333"/>
  </r>
  <r>
    <d v="2025-03-02T08:46:00"/>
    <s v="INYECTADO"/>
    <x v="6"/>
    <x v="37"/>
    <s v="CRISALIDA ZAPATA"/>
    <s v="VIRGEN"/>
    <s v="PP CLARIFICADO"/>
    <s v="."/>
    <x v="43"/>
    <s v="REPOSTERO 4KG-TRANSPARENTE"/>
    <n v="1066"/>
    <n v="11"/>
    <n v="150.4"/>
    <s v="DIURNO"/>
    <n v="0"/>
    <n v="18"/>
    <n v="942"/>
    <n v="19995"/>
    <s v="TRANSPARENTE"/>
    <n v="12.6"/>
    <n v="0"/>
    <n v="0"/>
    <n v="150.30600000000001"/>
    <n v="150.4"/>
    <n v="141"/>
    <n v="1066.6666666666667"/>
    <x v="1"/>
    <x v="0"/>
    <n v="7"/>
    <n v="1"/>
    <n v="88.833333333333329"/>
  </r>
  <r>
    <d v="2025-03-02T08:46:00"/>
    <s v="INYECTADO"/>
    <x v="6"/>
    <x v="44"/>
    <s v="LUIS PINEDO"/>
    <s v="SEGUNDA"/>
    <s v="."/>
    <s v="MIXTO"/>
    <x v="2"/>
    <s v="EMBUDO #2-AZUL"/>
    <n v="636"/>
    <n v="6"/>
    <n v="82.7"/>
    <s v="DIURNO"/>
    <n v="0"/>
    <n v="9"/>
    <n v="1015"/>
    <n v="19996"/>
    <s v="AZUL"/>
    <n v="13.9"/>
    <n v="0"/>
    <n v="0"/>
    <n v="22.26"/>
    <n v="82.7"/>
    <n v="35"/>
    <n v="2362.8571428571427"/>
    <x v="1"/>
    <x v="0"/>
    <n v="8"/>
    <n v="4"/>
    <n v="212"/>
  </r>
  <r>
    <d v="2025-03-02T08:46:00"/>
    <s v="INYECTADO"/>
    <x v="6"/>
    <x v="51"/>
    <s v="JUAN CARLOS CEDENO"/>
    <s v="SEGUNDA"/>
    <s v="."/>
    <s v="MIXTO"/>
    <x v="2"/>
    <s v="EMBUDO #2-AZUL"/>
    <n v="20"/>
    <n v="1"/>
    <n v="2.7"/>
    <s v="DIURNO"/>
    <n v="0"/>
    <n v="2"/>
    <n v="1015"/>
    <n v="19997"/>
    <s v="AZUL"/>
    <n v="0"/>
    <n v="0"/>
    <n v="0"/>
    <n v="0.7"/>
    <n v="2.7"/>
    <n v="35"/>
    <n v="77.142857142857139"/>
    <x v="1"/>
    <x v="0"/>
    <n v="8"/>
    <n v="4"/>
    <n v="6.666666666666667"/>
  </r>
  <r>
    <d v="2025-03-02T08:46:00"/>
    <s v="INYECTADO"/>
    <x v="6"/>
    <x v="51"/>
    <s v="JUAN CARLOS CEDENO"/>
    <s v="SEGUNDA"/>
    <s v="."/>
    <s v="MIXTO"/>
    <x v="2"/>
    <s v="EMBUDO #2-AMARILLO"/>
    <n v="546"/>
    <n v="5"/>
    <n v="71.099999999999994"/>
    <s v="DIURNO"/>
    <n v="0"/>
    <n v="11"/>
    <n v="1015"/>
    <n v="19997"/>
    <s v="AMARILLO"/>
    <n v="14.7"/>
    <n v="0"/>
    <n v="0"/>
    <n v="19.11"/>
    <n v="71.099999999999994"/>
    <n v="35"/>
    <n v="2031.4285714285713"/>
    <x v="1"/>
    <x v="0"/>
    <n v="8"/>
    <n v="4"/>
    <n v="182"/>
  </r>
  <r>
    <d v="2025-03-02T08:46:00"/>
    <s v="INYECTADO"/>
    <x v="6"/>
    <x v="51"/>
    <s v="JUAN CARLOS CEDENO"/>
    <s v="SEGUNDA"/>
    <s v="."/>
    <s v="MIXTO"/>
    <x v="2"/>
    <s v="EMBUDO #2-VERDE"/>
    <n v="193"/>
    <n v="2"/>
    <n v="25.1"/>
    <s v="DIURNO"/>
    <n v="0"/>
    <n v="2"/>
    <n v="1015"/>
    <n v="19997"/>
    <s v="VERDE"/>
    <n v="6"/>
    <n v="0"/>
    <n v="0"/>
    <n v="6.7549999999999999"/>
    <n v="25.1"/>
    <n v="35"/>
    <n v="717.14285714285711"/>
    <x v="1"/>
    <x v="0"/>
    <n v="8"/>
    <n v="4"/>
    <n v="64.333333333333329"/>
  </r>
  <r>
    <d v="2025-03-02T08:46:00"/>
    <s v="INYECTADO"/>
    <x v="6"/>
    <x v="52"/>
    <s v="JUAN CARLOS CEDENO"/>
    <s v="SEGUNDA"/>
    <s v="."/>
    <s v="MIXTO"/>
    <x v="2"/>
    <s v="EMBUDO #2-VERDE"/>
    <n v="453"/>
    <n v="4"/>
    <n v="60.7"/>
    <s v="DIURNO"/>
    <n v="0"/>
    <n v="7"/>
    <n v="1015"/>
    <n v="19998"/>
    <s v="VERDE"/>
    <n v="12.8"/>
    <n v="0"/>
    <n v="0"/>
    <n v="15.855"/>
    <n v="60.7"/>
    <n v="35"/>
    <n v="1734.2857142857142"/>
    <x v="1"/>
    <x v="0"/>
    <n v="8"/>
    <n v="4"/>
    <n v="151"/>
  </r>
  <r>
    <d v="2025-03-02T08:46:00"/>
    <s v="INYECTADO"/>
    <x v="6"/>
    <x v="52"/>
    <s v="JUAN CARLOS CEDENO"/>
    <s v="SEGUNDA"/>
    <s v="."/>
    <s v="MIXTO"/>
    <x v="2"/>
    <s v="EMBUDO #2-ANARANJADO"/>
    <n v="41"/>
    <n v="1"/>
    <n v="5.4"/>
    <s v="DIURNO"/>
    <n v="0"/>
    <n v="1"/>
    <n v="1015"/>
    <n v="19998"/>
    <s v="ANARANJADO"/>
    <n v="1"/>
    <n v="0"/>
    <n v="0"/>
    <n v="1.4350000000000001"/>
    <n v="5.4"/>
    <n v="35"/>
    <n v="154.28571428571428"/>
    <x v="1"/>
    <x v="0"/>
    <n v="8"/>
    <n v="4"/>
    <n v="13.666666666666666"/>
  </r>
  <r>
    <d v="2025-03-02T08:46:00"/>
    <s v="INYECTADO"/>
    <x v="6"/>
    <x v="53"/>
    <s v="JOSDER GONZALEZ"/>
    <s v="SEGUNDA"/>
    <s v="."/>
    <s v="MIXTO"/>
    <x v="2"/>
    <s v="EMBUDO #2-ANARANJADO"/>
    <n v="427"/>
    <n v="4"/>
    <n v="55.2"/>
    <s v="DIURNO"/>
    <n v="0"/>
    <n v="5"/>
    <n v="1015"/>
    <n v="19999"/>
    <s v="ANARANJADO"/>
    <n v="14.4"/>
    <n v="0"/>
    <n v="0"/>
    <n v="14.945"/>
    <n v="55.2"/>
    <n v="35"/>
    <n v="1577.1428571428571"/>
    <x v="1"/>
    <x v="0"/>
    <n v="8"/>
    <n v="4"/>
    <n v="142.33333333333334"/>
  </r>
  <r>
    <d v="2025-03-02T08:46:00"/>
    <s v="INYECTADO"/>
    <x v="6"/>
    <x v="53"/>
    <s v="JOSDER GONZALEZ"/>
    <s v="SEGUNDA"/>
    <s v="."/>
    <s v="MIXTO"/>
    <x v="2"/>
    <s v="EMBUDO #2-ROJO"/>
    <n v="48"/>
    <n v="1"/>
    <n v="6.2"/>
    <s v="DIURNO"/>
    <n v="0"/>
    <n v="3"/>
    <n v="1015"/>
    <n v="19999"/>
    <s v="ROJO"/>
    <n v="15"/>
    <n v="0"/>
    <n v="0"/>
    <n v="1.68"/>
    <n v="6.2"/>
    <n v="35"/>
    <n v="177.14285714285714"/>
    <x v="1"/>
    <x v="0"/>
    <n v="8"/>
    <n v="4"/>
    <n v="16"/>
  </r>
  <r>
    <d v="2025-03-02T08:46:00"/>
    <s v="INYECTADO"/>
    <x v="6"/>
    <x v="53"/>
    <s v="JUAN MANUEL PEREZ"/>
    <s v="SEGUNDA"/>
    <s v="."/>
    <s v="MIXTO"/>
    <x v="2"/>
    <s v="EMBUDO #2-ROJO"/>
    <n v="615"/>
    <n v="5"/>
    <n v="80"/>
    <s v="NOCTURNO"/>
    <n v="0"/>
    <n v="7"/>
    <n v="1015"/>
    <n v="20417"/>
    <s v="ROJO"/>
    <n v="15.6"/>
    <n v="0"/>
    <n v="0"/>
    <n v="21.524999999999999"/>
    <n v="80"/>
    <n v="35"/>
    <n v="2285.7142857142858"/>
    <x v="1"/>
    <x v="0"/>
    <n v="8"/>
    <n v="4"/>
    <n v="205"/>
  </r>
  <r>
    <d v="2025-03-02T08:46:00"/>
    <s v="INYECTADO"/>
    <x v="6"/>
    <x v="53"/>
    <s v="JUAN MANUEL PEREZ"/>
    <s v="SEGUNDA"/>
    <s v="."/>
    <s v="MIXTO"/>
    <x v="2"/>
    <s v="EMBUDO #2-LILA"/>
    <n v="233"/>
    <n v="2"/>
    <n v="30.3"/>
    <s v="NOCTURNO"/>
    <n v="0"/>
    <n v="3"/>
    <n v="1015"/>
    <n v="20417"/>
    <s v="LILA"/>
    <n v="9.6"/>
    <n v="0"/>
    <n v="0"/>
    <n v="8.1549999999999994"/>
    <n v="30.3"/>
    <n v="35"/>
    <n v="865.71428571428567"/>
    <x v="1"/>
    <x v="0"/>
    <n v="8"/>
    <n v="4"/>
    <n v="77.666666666666671"/>
  </r>
  <r>
    <d v="2025-03-02T08:46:00"/>
    <s v="INYECTADO"/>
    <x v="6"/>
    <x v="45"/>
    <s v="JUAN CARLOS CEDENO"/>
    <s v="SEGUNDA"/>
    <s v="."/>
    <s v="MIXTO"/>
    <x v="2"/>
    <s v="EMBUDO #2-LILA"/>
    <n v="365"/>
    <n v="3"/>
    <n v="49.3"/>
    <s v="DIURNO"/>
    <n v="0"/>
    <n v="6"/>
    <n v="1015"/>
    <n v="20418"/>
    <s v="LILA"/>
    <n v="9.8000000000000007"/>
    <n v="0"/>
    <n v="0"/>
    <n v="12.775"/>
    <n v="49.3"/>
    <n v="35"/>
    <n v="1408.5714285714287"/>
    <x v="1"/>
    <x v="0"/>
    <n v="9"/>
    <n v="4"/>
    <n v="121.66666666666667"/>
  </r>
  <r>
    <d v="2025-03-02T08:46:00"/>
    <s v="INYECTADO"/>
    <x v="6"/>
    <x v="45"/>
    <s v="JUAN CARLOS CEDENO"/>
    <s v="SEGUNDA"/>
    <s v="."/>
    <s v="MIXTO"/>
    <x v="2"/>
    <s v="EMBUDO #2-ANARANJADO"/>
    <n v="194"/>
    <n v="2"/>
    <n v="25.3"/>
    <s v="DIURNO"/>
    <n v="0"/>
    <n v="5"/>
    <n v="1015"/>
    <n v="20418"/>
    <s v="ANARANJADO"/>
    <n v="8.8000000000000007"/>
    <n v="0"/>
    <n v="0"/>
    <n v="6.79"/>
    <n v="25.3"/>
    <n v="35"/>
    <n v="722.85714285714289"/>
    <x v="1"/>
    <x v="0"/>
    <n v="9"/>
    <n v="4"/>
    <n v="64.666666666666671"/>
  </r>
  <r>
    <d v="2025-03-02T08:46:00"/>
    <s v="INYECTADO"/>
    <x v="6"/>
    <x v="45"/>
    <s v="JUAN CARLOS CEDENO"/>
    <s v="SEGUNDA"/>
    <s v="."/>
    <s v="MIXTO"/>
    <x v="2"/>
    <s v="EMBUDO #2-AMARILLO"/>
    <n v="77"/>
    <n v="1"/>
    <n v="10.5"/>
    <s v="DIURNO"/>
    <n v="0"/>
    <n v="1"/>
    <n v="1015"/>
    <n v="20418"/>
    <s v="AMARILLO"/>
    <n v="1.5"/>
    <n v="0"/>
    <n v="0"/>
    <n v="2.6949999999999998"/>
    <n v="10.5"/>
    <n v="35"/>
    <n v="300"/>
    <x v="1"/>
    <x v="0"/>
    <n v="9"/>
    <n v="4"/>
    <n v="25.666666666666668"/>
  </r>
  <r>
    <d v="2025-03-02T08:46:00"/>
    <s v="INYECTADO"/>
    <x v="6"/>
    <x v="38"/>
    <s v="NELSON PINEDO"/>
    <s v="VIRGEN"/>
    <s v="PP CLARIFICADO"/>
    <s v="."/>
    <x v="12"/>
    <s v="TAPAS DE JARRA DE 5 Y 6L-AMARILLO"/>
    <n v="286"/>
    <n v="4"/>
    <n v="48.4"/>
    <s v="DIURNO"/>
    <n v="0"/>
    <n v="8"/>
    <n v="996"/>
    <n v="21201"/>
    <s v="AMARILLO"/>
    <n v="2.7"/>
    <n v="0"/>
    <n v="0"/>
    <n v="23.166"/>
    <n v="48.4"/>
    <n v="81"/>
    <n v="597.53086419753083"/>
    <x v="1"/>
    <x v="0"/>
    <n v="9"/>
    <n v="2"/>
    <n v="47.666666666666664"/>
  </r>
  <r>
    <d v="2025-03-02T08:46:00"/>
    <s v="INYECTADO"/>
    <x v="6"/>
    <x v="38"/>
    <s v="JUAN MANUEL PEREZ"/>
    <s v="SEGUNDA"/>
    <s v="."/>
    <s v="MIXTO"/>
    <x v="12"/>
    <s v="TAPAS DE JARRA DE 5 Y 6L-ROJO"/>
    <n v="500"/>
    <n v="6"/>
    <n v="84.7"/>
    <s v="NOCTURNO"/>
    <n v="0"/>
    <n v="6"/>
    <n v="996"/>
    <n v="21202"/>
    <s v="ROJO"/>
    <n v="3"/>
    <n v="0"/>
    <n v="0"/>
    <n v="40.5"/>
    <n v="84.7"/>
    <n v="81"/>
    <n v="1045.679012345679"/>
    <x v="1"/>
    <x v="0"/>
    <n v="9"/>
    <n v="2"/>
    <n v="83.333333333333329"/>
  </r>
  <r>
    <d v="2025-03-02T08:46:00"/>
    <s v="INYECTADO"/>
    <x v="6"/>
    <x v="38"/>
    <s v="JUAN MANUEL PEREZ"/>
    <s v="SEGUNDA"/>
    <s v="."/>
    <s v="MIXTO"/>
    <x v="12"/>
    <s v="TAPAS DE JARRA DE 5 Y 6L-AZUL"/>
    <n v="650"/>
    <n v="7"/>
    <n v="110.1"/>
    <s v="NOCTURNO"/>
    <n v="0"/>
    <n v="19"/>
    <n v="996"/>
    <n v="21202"/>
    <s v="AZUL"/>
    <n v="5"/>
    <n v="0"/>
    <n v="0"/>
    <n v="52.65"/>
    <n v="110.1"/>
    <n v="81"/>
    <n v="1359.2592592592594"/>
    <x v="1"/>
    <x v="0"/>
    <n v="9"/>
    <n v="2"/>
    <n v="108.33333333333333"/>
  </r>
  <r>
    <d v="2025-03-02T08:46:00"/>
    <s v="INYECTADO"/>
    <x v="6"/>
    <x v="46"/>
    <s v="ISABEL LINARIZ "/>
    <s v="SEGUNDA"/>
    <s v="."/>
    <s v="MIXTO"/>
    <x v="12"/>
    <s v="TAPAS DE JARRA DE 5 Y 6L-ROJO"/>
    <n v="147"/>
    <n v="2"/>
    <n v="24.2"/>
    <s v="DIURNO"/>
    <n v="0"/>
    <n v="5"/>
    <n v="996"/>
    <n v="21203"/>
    <s v="ROJO"/>
    <n v="6.3"/>
    <n v="0"/>
    <n v="0"/>
    <n v="11.907"/>
    <n v="24.2"/>
    <n v="81"/>
    <n v="298.76543209876542"/>
    <x v="1"/>
    <x v="0"/>
    <n v="9"/>
    <n v="2"/>
    <n v="24.5"/>
  </r>
  <r>
    <d v="2025-03-02T08:46:00"/>
    <s v="INYECTADO"/>
    <x v="6"/>
    <x v="46"/>
    <s v="ISABEL LINARIZ "/>
    <s v="SEGUNDA"/>
    <s v="."/>
    <s v="MIXTO"/>
    <x v="12"/>
    <s v="TAPAS DE JARRA DE 5 Y 6L-VERDE"/>
    <n v="558"/>
    <n v="6"/>
    <n v="92"/>
    <s v="DIURNO"/>
    <n v="0"/>
    <n v="16"/>
    <n v="996"/>
    <n v="21203"/>
    <s v="VERDE"/>
    <n v="7.2"/>
    <n v="0"/>
    <n v="0"/>
    <n v="45.198"/>
    <n v="92"/>
    <n v="81"/>
    <n v="1135.8024691358025"/>
    <x v="1"/>
    <x v="0"/>
    <n v="9"/>
    <n v="2"/>
    <n v="93"/>
  </r>
  <r>
    <d v="2025-03-02T08:46:00"/>
    <s v="INYECTADO"/>
    <x v="2"/>
    <x v="42"/>
    <s v="JUAN CARLOS CEDENO"/>
    <s v="SEGUNDA"/>
    <s v="."/>
    <s v="MIXTO"/>
    <x v="16"/>
    <s v="COLADOR HOGAR SOLIDO#4-VERDE"/>
    <n v="823"/>
    <n v="8"/>
    <n v="93"/>
    <s v="DIURNO"/>
    <m/>
    <n v="7"/>
    <n v="987"/>
    <n v="21014"/>
    <s v="VERDE"/>
    <n v="7.3"/>
    <n v="0"/>
    <n v="0"/>
    <n v="90.53"/>
    <n v="93"/>
    <n v="110"/>
    <n v="845.4545454545455"/>
    <x v="1"/>
    <x v="0"/>
    <n v="6"/>
    <n v="1"/>
    <n v="68.583333333333329"/>
  </r>
  <r>
    <d v="2025-03-02T08:46:00"/>
    <s v="INYECTADO"/>
    <x v="2"/>
    <x v="42"/>
    <s v="JUAN CARLOS CEDENO"/>
    <s v="SEGUNDA"/>
    <s v="."/>
    <s v="MIXTO"/>
    <x v="16"/>
    <s v="COLADOR HOGAR SOLIDO#4-AZUL"/>
    <n v="423"/>
    <n v="4"/>
    <n v="47.8"/>
    <s v="DIURNO"/>
    <m/>
    <n v="4"/>
    <n v="987"/>
    <n v="21014"/>
    <s v="AZUL"/>
    <n v="4.5999999999999996"/>
    <n v="0"/>
    <n v="0"/>
    <n v="46.53"/>
    <n v="47.8"/>
    <n v="110"/>
    <n v="434.54545454545456"/>
    <x v="1"/>
    <x v="0"/>
    <n v="6"/>
    <n v="1"/>
    <n v="35.25"/>
  </r>
  <r>
    <d v="2025-03-02T08:46:00"/>
    <s v="INYECTADO"/>
    <x v="2"/>
    <x v="35"/>
    <s v="LUIS RENGIFO"/>
    <s v="SEGUNDA"/>
    <s v="."/>
    <s v="MIXTO"/>
    <x v="16"/>
    <s v="COLADOR HOGAR SOLIDO#4-AZUL"/>
    <n v="313"/>
    <n v="3"/>
    <n v="41.8"/>
    <s v="DIURNO"/>
    <m/>
    <n v="4"/>
    <n v="987"/>
    <n v="21015"/>
    <s v="AZUL"/>
    <n v="4.4000000000000004"/>
    <n v="0"/>
    <n v="0"/>
    <n v="34.43"/>
    <n v="41.8"/>
    <n v="110"/>
    <n v="380"/>
    <x v="1"/>
    <x v="0"/>
    <n v="6"/>
    <n v="1"/>
    <n v="26.083333333333332"/>
  </r>
  <r>
    <d v="2025-03-02T08:46:00"/>
    <s v="INYECTADO"/>
    <x v="2"/>
    <x v="35"/>
    <s v="LUIS RENGIFO"/>
    <s v="SEGUNDA"/>
    <s v="."/>
    <s v="MIXTO"/>
    <x v="16"/>
    <s v="COLADOR HOGAR SOLIDO#4-AZURE"/>
    <n v="178"/>
    <n v="2"/>
    <n v="20"/>
    <s v="DIURNO"/>
    <m/>
    <n v="2"/>
    <n v="987"/>
    <n v="21015"/>
    <s v="AZURE"/>
    <n v="4"/>
    <n v="0"/>
    <n v="0"/>
    <n v="19.579999999999998"/>
    <n v="20"/>
    <n v="110"/>
    <n v="181.81818181818181"/>
    <x v="1"/>
    <x v="0"/>
    <n v="6"/>
    <n v="1"/>
    <n v="14.833333333333334"/>
  </r>
  <r>
    <d v="2025-03-02T08:46:00"/>
    <s v="INYECTADO"/>
    <x v="2"/>
    <x v="35"/>
    <s v="JUAN MANUEL PEREZ"/>
    <s v="SEGUNDA"/>
    <s v="."/>
    <s v="MIXTO"/>
    <x v="16"/>
    <s v="COLADOR HOGAR SOLIDO#4-AZURE"/>
    <n v="237"/>
    <n v="2"/>
    <n v="26.8"/>
    <s v="NOCTURNO"/>
    <m/>
    <n v="2"/>
    <n v="987"/>
    <n v="21026"/>
    <s v="CELESTE"/>
    <n v="0"/>
    <n v="0"/>
    <n v="0"/>
    <n v="26.07"/>
    <n v="26.8"/>
    <n v="110"/>
    <n v="243.63636363636363"/>
    <x v="1"/>
    <x v="0"/>
    <n v="6"/>
    <n v="1"/>
    <n v="19.75"/>
  </r>
  <r>
    <d v="2025-03-02T08:46:00"/>
    <s v="INYECTADO"/>
    <x v="2"/>
    <x v="47"/>
    <s v="GABRIEL REQUENA"/>
    <s v="SEGUNDA"/>
    <s v="."/>
    <s v="MIXTO"/>
    <x v="16"/>
    <s v="COLADOR HOGAR SOLIDO#4-ROJO"/>
    <n v="835"/>
    <n v="8"/>
    <n v="91.9"/>
    <s v="DIURNO"/>
    <m/>
    <n v="7"/>
    <n v="987"/>
    <n v="21017"/>
    <s v="ROJO"/>
    <n v="0"/>
    <n v="0"/>
    <n v="0"/>
    <n v="91.85"/>
    <n v="91.9"/>
    <n v="110"/>
    <n v="835.4545454545455"/>
    <x v="1"/>
    <x v="0"/>
    <n v="6"/>
    <n v="1"/>
    <n v="69.583333333333329"/>
  </r>
  <r>
    <d v="2025-03-02T08:46:00"/>
    <s v="INYECTADO"/>
    <x v="2"/>
    <x v="47"/>
    <s v="GABRIEL REQUENA"/>
    <s v="SEGUNDA"/>
    <s v="."/>
    <s v="MIXTO"/>
    <x v="16"/>
    <s v="COLADOR HOGAR SOLIDO#4-AZURE"/>
    <n v="482"/>
    <n v="4"/>
    <n v="53.6"/>
    <s v="DIURNO"/>
    <m/>
    <n v="4"/>
    <n v="987"/>
    <n v="21017"/>
    <s v="CELESTE"/>
    <n v="7.4"/>
    <n v="0"/>
    <n v="0"/>
    <n v="53.02"/>
    <n v="53.6"/>
    <n v="110"/>
    <n v="487.27272727272725"/>
    <x v="1"/>
    <x v="0"/>
    <n v="6"/>
    <n v="1"/>
    <n v="40.166666666666664"/>
  </r>
  <r>
    <d v="2025-03-02T08:46:00"/>
    <s v="INYECTADO"/>
    <x v="2"/>
    <x v="47"/>
    <s v="JUAN MANUEL PEREZ"/>
    <s v="SEGUNDA"/>
    <s v="."/>
    <s v="MIXTO"/>
    <x v="16"/>
    <s v="COLADOR HOGAR SOLIDO#4-ROJO"/>
    <n v="108"/>
    <n v="1"/>
    <n v="12"/>
    <s v="NOCTURNO"/>
    <m/>
    <n v="1"/>
    <n v="987"/>
    <n v="21018"/>
    <s v="ROJO"/>
    <n v="0"/>
    <n v="0"/>
    <n v="0"/>
    <n v="11.88"/>
    <n v="12"/>
    <n v="110"/>
    <n v="109.09090909090909"/>
    <x v="1"/>
    <x v="0"/>
    <n v="6"/>
    <n v="1"/>
    <n v="9"/>
  </r>
  <r>
    <d v="2025-03-02T08:46:00"/>
    <s v="INYECTADO"/>
    <x v="2"/>
    <x v="47"/>
    <s v="JUAN MANUEL PEREZ"/>
    <s v="SEGUNDA"/>
    <s v="."/>
    <s v="MIXTO"/>
    <x v="16"/>
    <s v="COLADOR HOGAR SOLIDO#4-ANARANJADO"/>
    <n v="242"/>
    <n v="2"/>
    <n v="27.4"/>
    <s v="NOCTURNO"/>
    <m/>
    <n v="2"/>
    <n v="987"/>
    <n v="21018"/>
    <s v="ANARANJADO"/>
    <n v="0"/>
    <n v="0"/>
    <n v="0"/>
    <n v="26.62"/>
    <n v="27.4"/>
    <n v="110"/>
    <n v="249.09090909090909"/>
    <x v="1"/>
    <x v="0"/>
    <n v="6"/>
    <n v="1"/>
    <n v="20.166666666666668"/>
  </r>
  <r>
    <d v="2025-03-02T08:46:00"/>
    <s v="INYECTADO"/>
    <x v="2"/>
    <x v="48"/>
    <s v="JUAN CARLOS CEDENO"/>
    <s v="SEGUNDA"/>
    <s v="."/>
    <s v="MIXTO"/>
    <x v="16"/>
    <s v="COLADOR HOGAR SOLIDO#4-ANARANJADO"/>
    <n v="244"/>
    <n v="3"/>
    <n v="27.6"/>
    <s v="DIURNO"/>
    <m/>
    <n v="2"/>
    <n v="987"/>
    <n v="21019"/>
    <s v="ANARANJADO"/>
    <n v="4.5"/>
    <n v="0"/>
    <n v="0"/>
    <n v="26.84"/>
    <n v="27.6"/>
    <n v="110"/>
    <n v="250.90909090909091"/>
    <x v="1"/>
    <x v="0"/>
    <n v="6"/>
    <n v="1"/>
    <n v="20.333333333333332"/>
  </r>
  <r>
    <d v="2025-03-02T08:46:00"/>
    <s v="INYECTADO"/>
    <x v="2"/>
    <x v="48"/>
    <s v="JUAN CARLOS CEDENO"/>
    <s v="SEGUNDA"/>
    <s v="."/>
    <s v="MIXTO"/>
    <x v="16"/>
    <s v="COLADOR HOGAR SOLIDO#4-AZUL"/>
    <n v="184"/>
    <n v="2"/>
    <n v="20.7"/>
    <s v="DIURNO"/>
    <m/>
    <n v="2"/>
    <n v="987"/>
    <n v="21019"/>
    <s v="AZUL"/>
    <n v="0"/>
    <n v="0"/>
    <n v="0"/>
    <n v="20.239999999999998"/>
    <n v="20.7"/>
    <n v="110"/>
    <n v="188.18181818181819"/>
    <x v="1"/>
    <x v="0"/>
    <n v="6"/>
    <n v="1"/>
    <n v="15.333333333333334"/>
  </r>
  <r>
    <d v="2025-03-02T08:46:00"/>
    <s v="INYECTADO"/>
    <x v="2"/>
    <x v="49"/>
    <s v="JUAN CARLOS CEDENO"/>
    <s v="VIRGEN"/>
    <s v="PP CLARIFICADO"/>
    <s v="."/>
    <x v="11"/>
    <s v="LAVACUELA REDONDO-TURQUESA"/>
    <n v="319"/>
    <n v="3"/>
    <n v="30"/>
    <s v="DIURNO"/>
    <m/>
    <n v="6"/>
    <n v="969"/>
    <n v="21020"/>
    <s v="TURQUESA"/>
    <n v="4.5"/>
    <n v="0"/>
    <n v="0"/>
    <n v="29.5075"/>
    <n v="30"/>
    <n v="92.5"/>
    <n v="324.32432432432432"/>
    <x v="1"/>
    <x v="0"/>
    <n v="6"/>
    <n v="1"/>
    <n v="26.583333333333332"/>
  </r>
  <r>
    <d v="2025-03-02T08:46:00"/>
    <s v="INYECTADO"/>
    <x v="2"/>
    <x v="49"/>
    <s v="JUAN CARLOS CEDENO"/>
    <s v="VIRGEN"/>
    <s v="PP CLARIFICADO"/>
    <s v="."/>
    <x v="11"/>
    <s v="LAVACUELA REDONDO-CREMA"/>
    <n v="489"/>
    <n v="4"/>
    <n v="46"/>
    <s v="DIURNO"/>
    <m/>
    <n v="4"/>
    <n v="969"/>
    <n v="21020"/>
    <s v="CREMA"/>
    <n v="4.7"/>
    <n v="0"/>
    <n v="0"/>
    <n v="45.232500000000002"/>
    <n v="46"/>
    <n v="92.5"/>
    <n v="497.29729729729729"/>
    <x v="1"/>
    <x v="0"/>
    <n v="6"/>
    <n v="1"/>
    <n v="40.75"/>
  </r>
  <r>
    <d v="2025-03-02T08:46:00"/>
    <s v="INYECTADO"/>
    <x v="2"/>
    <x v="50"/>
    <s v="NELSON PINEDO"/>
    <s v="VIRGEN"/>
    <s v="PP CLARIFICADO"/>
    <s v="."/>
    <x v="11"/>
    <s v="LAVACUELA REDONDO-CREMA"/>
    <n v="335"/>
    <n v="3"/>
    <n v="31.2"/>
    <s v="DIURNO"/>
    <m/>
    <n v="3"/>
    <n v="969"/>
    <n v="21021"/>
    <s v="CREMA"/>
    <n v="2.9"/>
    <n v="0"/>
    <n v="0"/>
    <n v="30.987500000000001"/>
    <n v="31.2"/>
    <n v="92.5"/>
    <n v="337.29729729729729"/>
    <x v="1"/>
    <x v="0"/>
    <n v="6"/>
    <n v="1"/>
    <n v="27.916666666666668"/>
  </r>
  <r>
    <d v="2025-03-02T08:46:00"/>
    <s v="INYECTADO"/>
    <x v="2"/>
    <x v="30"/>
    <s v="JOSE CAHUACHI"/>
    <s v="VIRGEN"/>
    <s v="PP CLARIFICADO"/>
    <s v="."/>
    <x v="11"/>
    <s v="LAVACUELA REDONDO-TURQUESA"/>
    <n v="98"/>
    <n v="1"/>
    <n v="9.1999999999999993"/>
    <s v="DIURNO"/>
    <m/>
    <n v="1"/>
    <n v="969"/>
    <n v="21022"/>
    <s v="TURQUESA"/>
    <n v="2.8"/>
    <n v="0"/>
    <n v="0"/>
    <n v="9.0649999999999995"/>
    <n v="9.1999999999999993"/>
    <n v="92.5"/>
    <n v="99.459459459459453"/>
    <x v="1"/>
    <x v="0"/>
    <n v="7"/>
    <n v="1"/>
    <n v="8.1666666666666661"/>
  </r>
  <r>
    <d v="2025-03-02T08:46:00"/>
    <s v="INYECTADO"/>
    <x v="2"/>
    <x v="30"/>
    <s v="JOSE CAHUACHI"/>
    <s v="VIRGEN"/>
    <s v="PP CLARIFICADO"/>
    <s v="."/>
    <x v="11"/>
    <s v="LAVACUELA REDONDO-CREMA"/>
    <n v="308"/>
    <n v="3"/>
    <n v="28.7"/>
    <s v="DIURNO"/>
    <m/>
    <n v="3"/>
    <n v="969"/>
    <n v="21022"/>
    <s v="CREMA"/>
    <n v="1.3"/>
    <n v="0"/>
    <n v="0"/>
    <n v="28.49"/>
    <n v="28.7"/>
    <n v="92.5"/>
    <n v="310.27027027027026"/>
    <x v="1"/>
    <x v="0"/>
    <n v="7"/>
    <n v="1"/>
    <n v="25.666666666666668"/>
  </r>
  <r>
    <d v="2025-03-02T08:46:00"/>
    <s v="INYECTADO"/>
    <x v="2"/>
    <x v="30"/>
    <s v="JOSE CAHUACHI"/>
    <s v="VIRGEN"/>
    <s v="PP CLARIFICADO"/>
    <s v="."/>
    <x v="11"/>
    <s v="LAVACUELA REDONDO-VERDE"/>
    <n v="436"/>
    <n v="4"/>
    <n v="40.6"/>
    <s v="DIURNO"/>
    <m/>
    <n v="4"/>
    <n v="969"/>
    <n v="21022"/>
    <s v="VERDE"/>
    <n v="0.8"/>
    <n v="0"/>
    <n v="0"/>
    <n v="40.33"/>
    <n v="40.6"/>
    <n v="92.5"/>
    <n v="438.91891891891891"/>
    <x v="1"/>
    <x v="0"/>
    <n v="7"/>
    <n v="1"/>
    <n v="36.333333333333336"/>
  </r>
  <r>
    <d v="2025-03-02T08:46:00"/>
    <s v="INYECTADO"/>
    <x v="2"/>
    <x v="31"/>
    <s v="LUIS RENGIFO"/>
    <s v="VIRGEN"/>
    <s v="PP CLARIFICADO"/>
    <s v="."/>
    <x v="44"/>
    <s v="BASE ORGANIZADOR DE 5KG-TRANSPARENTE"/>
    <n v="397"/>
    <n v="3"/>
    <n v="75.8"/>
    <s v="DIURNO"/>
    <m/>
    <n v="11"/>
    <n v="1005"/>
    <n v="21023"/>
    <s v="TRANSPARENTE"/>
    <n v="1.7"/>
    <n v="0"/>
    <n v="0"/>
    <n v="75.430000000000007"/>
    <n v="75.8"/>
    <n v="190"/>
    <n v="398.94736842105266"/>
    <x v="1"/>
    <x v="0"/>
    <n v="7"/>
    <n v="1"/>
    <n v="33.083333333333336"/>
  </r>
  <r>
    <d v="2025-03-02T08:46:00"/>
    <s v="INYECTADO"/>
    <x v="2"/>
    <x v="36"/>
    <s v="JOSDER GONZALEZ"/>
    <s v="VIRGEN"/>
    <s v="PP CLARIFICADO"/>
    <s v="."/>
    <x v="44"/>
    <s v="BASE ORGANIZADOR DE 5KG-TRANSPARENTE"/>
    <n v="1192"/>
    <n v="12"/>
    <n v="227"/>
    <s v="DIURNO"/>
    <m/>
    <n v="33"/>
    <n v="1005"/>
    <n v="21025"/>
    <s v="TRANSPARENTE"/>
    <n v="4.3"/>
    <n v="0"/>
    <n v="0"/>
    <n v="226.48"/>
    <n v="227"/>
    <n v="190"/>
    <n v="1194.7368421052631"/>
    <x v="1"/>
    <x v="0"/>
    <n v="7"/>
    <n v="1"/>
    <n v="99.333333333333329"/>
  </r>
  <r>
    <d v="2025-03-02T08:46:00"/>
    <s v="INYECTADO"/>
    <x v="2"/>
    <x v="32"/>
    <s v="FABIAN HERNANDEZ"/>
    <s v="VIRGEN"/>
    <s v="PP CLARIFICADO"/>
    <s v="."/>
    <x v="44"/>
    <s v="BASE ORGANIZADOR DE 5KG-TRANSPARENTE"/>
    <n v="576"/>
    <n v="5"/>
    <n v="110"/>
    <s v="NOCTURNO"/>
    <m/>
    <n v="16"/>
    <n v="1005"/>
    <n v="21026"/>
    <s v="TRANSPARENTE"/>
    <n v="0"/>
    <n v="0"/>
    <n v="0"/>
    <n v="109.44"/>
    <n v="110"/>
    <n v="190"/>
    <n v="578.9473684210526"/>
    <x v="1"/>
    <x v="0"/>
    <n v="7"/>
    <n v="1"/>
    <n v="48"/>
  </r>
  <r>
    <d v="2025-03-02T08:46:00"/>
    <s v="INYECTADO"/>
    <x v="2"/>
    <x v="33"/>
    <s v="JUAN CARLOS CEDENO"/>
    <s v="VIRGEN"/>
    <s v="PP CLARIFICADO"/>
    <s v="."/>
    <x v="44"/>
    <s v="BASE ORGANIZADOR DE 5KG-TRANSPARENTE"/>
    <n v="1285"/>
    <n v="11"/>
    <n v="245"/>
    <s v="DIURNO"/>
    <m/>
    <n v="33"/>
    <n v="1005"/>
    <n v="21027"/>
    <s v="TRANSPARENTE"/>
    <n v="2.1"/>
    <n v="0"/>
    <n v="0"/>
    <n v="244.15"/>
    <n v="245"/>
    <n v="190"/>
    <n v="1289.4736842105262"/>
    <x v="1"/>
    <x v="0"/>
    <n v="7"/>
    <n v="1"/>
    <n v="107.08333333333333"/>
  </r>
  <r>
    <d v="2025-03-02T08:46:00"/>
    <s v="INYECTADO"/>
    <x v="2"/>
    <x v="33"/>
    <s v="FABIAN HERNANDEZ"/>
    <s v="VIRGEN"/>
    <s v="PP CLARIFICADO"/>
    <s v="."/>
    <x v="44"/>
    <s v="BASE ORGANIZADOR DE 5KG-TRANSPARENTE"/>
    <n v="979"/>
    <n v="12"/>
    <n v="186"/>
    <s v="NOCTURNO"/>
    <m/>
    <n v="27"/>
    <n v="1005"/>
    <n v="21028"/>
    <s v="TRANSPARENTE"/>
    <n v="4.7"/>
    <n v="0"/>
    <n v="0"/>
    <n v="186.01"/>
    <n v="186"/>
    <n v="190"/>
    <n v="978.9473684210526"/>
    <x v="1"/>
    <x v="0"/>
    <n v="7"/>
    <n v="1"/>
    <n v="81.583333333333329"/>
  </r>
  <r>
    <d v="2025-03-02T08:46:00"/>
    <s v="INYECTADO"/>
    <x v="2"/>
    <x v="43"/>
    <s v="ISABEL LINARIZ "/>
    <s v="VIRGEN"/>
    <s v="PP CLARIFICADO"/>
    <s v="."/>
    <x v="44"/>
    <s v="BASE ORGANIZADOR DE 5KG-TRANSPARENTE"/>
    <n v="691"/>
    <n v="6"/>
    <n v="136.1"/>
    <s v="DIURNO"/>
    <m/>
    <n v="22"/>
    <n v="1005"/>
    <n v="21029"/>
    <s v="TRANSPARENTE"/>
    <n v="4.3"/>
    <n v="0"/>
    <n v="0"/>
    <n v="131.29"/>
    <n v="136.1"/>
    <n v="190"/>
    <n v="716.31578947368416"/>
    <x v="1"/>
    <x v="0"/>
    <n v="8"/>
    <n v="1"/>
    <n v="57.583333333333336"/>
  </r>
  <r>
    <d v="2025-03-02T08:46:00"/>
    <s v="INYECTADO"/>
    <x v="2"/>
    <x v="44"/>
    <s v="CRISALIDA ZAPATA"/>
    <s v="VIRGEN"/>
    <s v="PP CLARIFICADO"/>
    <s v="."/>
    <x v="44"/>
    <s v="BASE ORGANIZADOR DE 5KG-TRANSPARENTE"/>
    <n v="285"/>
    <n v="2"/>
    <n v="55.5"/>
    <s v="DIURNO"/>
    <m/>
    <n v="8"/>
    <n v="1005"/>
    <n v="21030"/>
    <s v="TRANSPARENTE"/>
    <n v="0"/>
    <n v="0"/>
    <n v="0"/>
    <n v="54.15"/>
    <n v="55.5"/>
    <n v="190"/>
    <n v="292.10526315789474"/>
    <x v="1"/>
    <x v="0"/>
    <n v="8"/>
    <n v="1"/>
    <n v="23.75"/>
  </r>
  <r>
    <d v="2025-03-02T08:46:00"/>
    <s v="INYECTADO"/>
    <x v="2"/>
    <x v="44"/>
    <s v="CRISALIDA ZAPATA"/>
    <s v="VIRGEN"/>
    <s v="PP CLARIFICADO"/>
    <s v="."/>
    <x v="45"/>
    <s v="BASE ORGANIZADOR DE 5KG PASTEL-CELESTE"/>
    <n v="368"/>
    <n v="3"/>
    <n v="72.099999999999994"/>
    <s v="DIURNO"/>
    <m/>
    <n v="11"/>
    <n v="1005"/>
    <n v="21030"/>
    <s v="CELESTE"/>
    <n v="6.1"/>
    <n v="0"/>
    <n v="0"/>
    <n v="69.92"/>
    <n v="72.099999999999994"/>
    <n v="190"/>
    <n v="379.4736842105263"/>
    <x v="1"/>
    <x v="0"/>
    <n v="8"/>
    <n v="1"/>
    <n v="30.666666666666668"/>
  </r>
  <r>
    <d v="2025-03-02T08:46:00"/>
    <s v="INYECTADO"/>
    <x v="2"/>
    <x v="44"/>
    <s v="CRISALIDA ZAPATA"/>
    <s v="VIRGEN"/>
    <s v="PP CLARIFICADO"/>
    <s v="."/>
    <x v="45"/>
    <s v="BASE ORGANIZADOR DE 5KG PASTEL-AZURE"/>
    <n v="113"/>
    <n v="1"/>
    <n v="22.1"/>
    <s v="DIURNO"/>
    <m/>
    <n v="3"/>
    <n v="1005"/>
    <n v="21030"/>
    <s v="AZURE"/>
    <n v="2.1"/>
    <n v="0"/>
    <n v="0"/>
    <n v="21.47"/>
    <n v="22.1"/>
    <n v="190"/>
    <n v="116.31578947368421"/>
    <x v="1"/>
    <x v="0"/>
    <n v="8"/>
    <n v="1"/>
    <n v="9.4166666666666661"/>
  </r>
  <r>
    <d v="2025-03-02T08:46:00"/>
    <s v="INYECTADO"/>
    <x v="2"/>
    <x v="44"/>
    <s v="CRISALIDA ZAPATA"/>
    <s v="VIRGEN"/>
    <s v="PP CLARIFICADO"/>
    <s v="."/>
    <x v="45"/>
    <s v="BASE ORGANIZADOR DE 5KG PASTEL-TURQUESA"/>
    <n v="281"/>
    <n v="2"/>
    <n v="55"/>
    <s v="DIURNO"/>
    <m/>
    <n v="8"/>
    <n v="1005"/>
    <n v="21030"/>
    <s v="TURQUESA"/>
    <n v="4.5999999999999996"/>
    <n v="0"/>
    <n v="0"/>
    <n v="53.39"/>
    <n v="55"/>
    <n v="190"/>
    <n v="289.4736842105263"/>
    <x v="1"/>
    <x v="0"/>
    <n v="8"/>
    <n v="1"/>
    <n v="23.416666666666668"/>
  </r>
  <r>
    <d v="2025-03-02T08:46:00"/>
    <s v="INYECTADO"/>
    <x v="2"/>
    <x v="44"/>
    <s v="JUAN MANUEL PEREZ"/>
    <s v="VIRGEN"/>
    <s v="PP CLARIFICADO"/>
    <s v="."/>
    <x v="45"/>
    <s v="BASE ORGANIZADOR DE 5KG PASTEL-AZURE"/>
    <n v="326"/>
    <n v="3"/>
    <n v="44.2"/>
    <s v="NOCTURNO"/>
    <m/>
    <n v="3"/>
    <n v="1005"/>
    <n v="21031"/>
    <s v="AZURE"/>
    <n v="3.1"/>
    <n v="0"/>
    <n v="0"/>
    <n v="61.94"/>
    <n v="44.2"/>
    <n v="190"/>
    <n v="232.63157894736841"/>
    <x v="1"/>
    <x v="0"/>
    <n v="8"/>
    <n v="1"/>
    <n v="27.166666666666668"/>
  </r>
  <r>
    <d v="2025-03-02T08:46:00"/>
    <s v="INYECTADO"/>
    <x v="2"/>
    <x v="44"/>
    <s v="JUAN MANUEL PEREZ"/>
    <s v="VIRGEN"/>
    <s v="PP CLARIFICADO"/>
    <s v="."/>
    <x v="45"/>
    <s v="BASE ORGANIZADOR DE 5KG PASTEL-ROSADO"/>
    <n v="364"/>
    <n v="3"/>
    <n v="71.3"/>
    <s v="NOCTURNO"/>
    <m/>
    <n v="3"/>
    <n v="1005"/>
    <n v="21031"/>
    <s v="ROSADO"/>
    <n v="2"/>
    <n v="0"/>
    <n v="0"/>
    <n v="69.16"/>
    <n v="71.3"/>
    <n v="190"/>
    <n v="375.26315789473682"/>
    <x v="1"/>
    <x v="0"/>
    <n v="8"/>
    <n v="1"/>
    <n v="30.333333333333332"/>
  </r>
  <r>
    <d v="2025-03-02T08:46:00"/>
    <s v="INYECTADO"/>
    <x v="2"/>
    <x v="44"/>
    <s v="JUAN MANUEL PEREZ"/>
    <s v="VIRGEN"/>
    <s v="PP CLARIFICADO"/>
    <s v="."/>
    <x v="45"/>
    <s v="BASE ORGANIZADOR DE 5KG PASTEL-LILA"/>
    <n v="314"/>
    <n v="3"/>
    <n v="62.5"/>
    <s v="NOCTURNO"/>
    <m/>
    <n v="3"/>
    <n v="1005"/>
    <n v="21031"/>
    <s v="LILA"/>
    <n v="2"/>
    <n v="0"/>
    <n v="0"/>
    <n v="59.66"/>
    <n v="62.5"/>
    <n v="190"/>
    <n v="328.94736842105266"/>
    <x v="1"/>
    <x v="0"/>
    <n v="8"/>
    <n v="1"/>
    <n v="26.166666666666668"/>
  </r>
  <r>
    <d v="2025-03-02T08:46:00"/>
    <s v="INYECTADO"/>
    <x v="2"/>
    <x v="51"/>
    <s v="CRISALIDA ZAPATA"/>
    <s v="VIRGEN"/>
    <s v="PP CLARIFICADO"/>
    <s v="."/>
    <x v="45"/>
    <s v="BASE ORGANIZADOR DE 5KG PASTEL-LILA"/>
    <n v="56"/>
    <n v="1"/>
    <n v="10.9"/>
    <s v="DIURNO"/>
    <m/>
    <n v="2"/>
    <n v="1005"/>
    <n v="21032"/>
    <s v="LILA"/>
    <n v="2"/>
    <n v="0"/>
    <n v="0"/>
    <n v="10.64"/>
    <n v="10.9"/>
    <n v="190"/>
    <n v="57.368421052631582"/>
    <x v="1"/>
    <x v="0"/>
    <n v="8"/>
    <n v="1"/>
    <n v="4.666666666666667"/>
  </r>
  <r>
    <d v="2025-03-02T08:46:00"/>
    <s v="INYECTADO"/>
    <x v="2"/>
    <x v="51"/>
    <s v="CRISALIDA ZAPATA"/>
    <s v="VIRGEN"/>
    <s v="PP CLARIFICADO"/>
    <s v="."/>
    <x v="45"/>
    <s v="BASE ORGANIZADOR DE 5KG PASTEL-SANDIA"/>
    <n v="252"/>
    <n v="2"/>
    <n v="49.3"/>
    <s v="DIURNO"/>
    <m/>
    <n v="7"/>
    <n v="1005"/>
    <n v="21032"/>
    <s v="SANDIA"/>
    <n v="7.5"/>
    <n v="0"/>
    <n v="0"/>
    <n v="47.88"/>
    <n v="49.3"/>
    <n v="190"/>
    <n v="259.4736842105263"/>
    <x v="1"/>
    <x v="0"/>
    <n v="8"/>
    <n v="1"/>
    <n v="21"/>
  </r>
  <r>
    <d v="2025-03-02T08:46:00"/>
    <s v="INYECTADO"/>
    <x v="2"/>
    <x v="52"/>
    <s v="JUAN CARLOS CEDENO"/>
    <s v="SEGUNDA"/>
    <s v="."/>
    <s v="MIXTO"/>
    <x v="46"/>
    <s v="BALDE CASTILLO-VERDE"/>
    <n v="442"/>
    <n v="4"/>
    <n v="59.6"/>
    <s v="DIURNO"/>
    <m/>
    <n v="4"/>
    <n v="1021"/>
    <n v="21033"/>
    <s v="VERDE"/>
    <n v="0"/>
    <n v="0"/>
    <n v="0"/>
    <n v="59.228000000000002"/>
    <n v="59.6"/>
    <n v="134"/>
    <n v="444.7761194029851"/>
    <x v="1"/>
    <x v="0"/>
    <n v="8"/>
    <n v="1"/>
    <n v="36.833333333333336"/>
  </r>
  <r>
    <d v="2025-03-02T08:46:00"/>
    <s v="INYECTADO"/>
    <x v="2"/>
    <x v="52"/>
    <s v="JUAN MANUEL PEREZ"/>
    <s v="SEGUNDA"/>
    <s v="."/>
    <s v="MIXTO"/>
    <x v="46"/>
    <s v="BALDE CASTILLO-VERDE"/>
    <n v="508"/>
    <n v="5"/>
    <n v="69"/>
    <s v="NOCTURNO"/>
    <m/>
    <n v="5"/>
    <n v="1021"/>
    <n v="21034"/>
    <s v="VERDE"/>
    <n v="3"/>
    <n v="0"/>
    <n v="0"/>
    <n v="68.072000000000003"/>
    <n v="69"/>
    <n v="134"/>
    <n v="514.92537313432831"/>
    <x v="1"/>
    <x v="0"/>
    <n v="8"/>
    <n v="1"/>
    <n v="42.333333333333336"/>
  </r>
  <r>
    <d v="2025-03-02T08:46:00"/>
    <s v="INYECTADO"/>
    <x v="2"/>
    <x v="52"/>
    <s v="JUAN MANUEL PEREZ"/>
    <s v="SEGUNDA"/>
    <s v="."/>
    <s v="MIXTO"/>
    <x v="46"/>
    <s v="BALDE CASTILLO-AZUL"/>
    <n v="720"/>
    <n v="7"/>
    <n v="97.9"/>
    <s v="NOCTURNO"/>
    <m/>
    <n v="6"/>
    <n v="1021"/>
    <n v="21034"/>
    <s v="AZUL"/>
    <n v="2"/>
    <n v="0"/>
    <n v="0"/>
    <n v="96.48"/>
    <n v="97.9"/>
    <n v="134"/>
    <n v="730.59701492537317"/>
    <x v="1"/>
    <x v="0"/>
    <n v="8"/>
    <n v="1"/>
    <n v="60"/>
  </r>
  <r>
    <d v="2025-03-02T08:46:00"/>
    <s v="INYECTADO"/>
    <x v="2"/>
    <x v="52"/>
    <s v="JUAN MANUEL PEREZ"/>
    <s v="SEGUNDA"/>
    <s v="."/>
    <s v="MIXTO"/>
    <x v="46"/>
    <s v="BALDE CASTILLO-FUCSIA"/>
    <n v="240"/>
    <n v="2"/>
    <n v="32.6"/>
    <s v="NOCTURNO"/>
    <m/>
    <n v="2"/>
    <n v="1021"/>
    <n v="21034"/>
    <s v="FUCSIA"/>
    <s v="O"/>
    <n v="0"/>
    <n v="0"/>
    <n v="32.159999999999997"/>
    <n v="32.6"/>
    <n v="134"/>
    <n v="243.28358208955223"/>
    <x v="1"/>
    <x v="0"/>
    <n v="8"/>
    <n v="1"/>
    <n v="20"/>
  </r>
  <r>
    <d v="2025-03-02T08:46:00"/>
    <s v="INYECTADO"/>
    <x v="2"/>
    <x v="53"/>
    <s v="JUAN CARLOS CEDENO"/>
    <s v="SEGUNDA"/>
    <s v="."/>
    <s v="MIXTO"/>
    <x v="46"/>
    <s v="BALDE CASTILLO-FUCSIA"/>
    <n v="420"/>
    <n v="4"/>
    <n v="56.2"/>
    <s v="DIURNO"/>
    <m/>
    <n v="0"/>
    <n v="1021"/>
    <n v="21035"/>
    <s v="FUCSIA"/>
    <n v="7"/>
    <n v="0"/>
    <n v="0"/>
    <n v="56.28"/>
    <n v="56.2"/>
    <n v="134"/>
    <n v="419.40298507462688"/>
    <x v="1"/>
    <x v="0"/>
    <n v="8"/>
    <n v="1"/>
    <n v="35"/>
  </r>
  <r>
    <d v="2025-03-02T08:46:00"/>
    <s v="INYECTADO"/>
    <x v="2"/>
    <x v="53"/>
    <s v="JUAN CARLOS CEDENO"/>
    <s v="SEGUNDA"/>
    <s v="."/>
    <s v="MIXTO"/>
    <x v="46"/>
    <s v="BALDE CASTILLO-LILA"/>
    <n v="785"/>
    <n v="7"/>
    <n v="105.1"/>
    <s v="DIURNO"/>
    <m/>
    <n v="0"/>
    <n v="1021"/>
    <n v="21035"/>
    <s v="LILA"/>
    <n v="11"/>
    <n v="0"/>
    <n v="0"/>
    <n v="105.19"/>
    <n v="105.1"/>
    <n v="134"/>
    <n v="784.32835820895525"/>
    <x v="1"/>
    <x v="0"/>
    <n v="8"/>
    <n v="1"/>
    <n v="65.416666666666671"/>
  </r>
  <r>
    <d v="2025-03-02T08:46:00"/>
    <s v="INYECTADO"/>
    <x v="2"/>
    <x v="45"/>
    <s v="CRISALIDA ZAPATA"/>
    <s v="SEGUNDA"/>
    <s v="."/>
    <s v="MIXTO"/>
    <x v="46"/>
    <s v="BALDE CASTILLO-LILA"/>
    <n v="183"/>
    <n v="2"/>
    <n v="24.3"/>
    <s v="DIURNO"/>
    <m/>
    <n v="2"/>
    <n v="1021"/>
    <n v="21039"/>
    <s v="LILA"/>
    <n v="3.4"/>
    <n v="0"/>
    <n v="0"/>
    <n v="24.521999999999998"/>
    <n v="24.3"/>
    <n v="134"/>
    <n v="181.34328358208955"/>
    <x v="1"/>
    <x v="0"/>
    <n v="9"/>
    <n v="1"/>
    <n v="15.25"/>
  </r>
  <r>
    <d v="2025-03-02T08:46:00"/>
    <s v="INYECTADO"/>
    <x v="2"/>
    <x v="45"/>
    <s v="CRISALIDA ZAPATA"/>
    <s v="VIRGEN"/>
    <s v="PP CLARIFICADO"/>
    <s v="."/>
    <x v="46"/>
    <s v="BALDE CASTILLO-AMARILLO"/>
    <n v="604"/>
    <n v="6"/>
    <n v="80.3"/>
    <s v="DIURNO"/>
    <m/>
    <n v="5"/>
    <n v="1021"/>
    <n v="21039"/>
    <s v="AMARILLO"/>
    <n v="3.2"/>
    <n v="0"/>
    <n v="0"/>
    <n v="83.956000000000003"/>
    <n v="80.3"/>
    <n v="139"/>
    <n v="577.69784172661866"/>
    <x v="1"/>
    <x v="0"/>
    <n v="9"/>
    <n v="1"/>
    <n v="50.333333333333336"/>
  </r>
  <r>
    <d v="2025-03-02T08:46:00"/>
    <s v="INYECTADO"/>
    <x v="2"/>
    <x v="39"/>
    <s v="LUIS RENGIFO"/>
    <s v="VIRGEN"/>
    <s v="PP CLARIFICADO"/>
    <s v="."/>
    <x v="47"/>
    <s v="COLADOR HOGAR SOLIDO#2-CREMA"/>
    <n v="364"/>
    <n v="3"/>
    <n v="25.5"/>
    <s v="DIURNO"/>
    <m/>
    <n v="3"/>
    <n v="1022"/>
    <n v="21040"/>
    <s v="CREMA"/>
    <n v="8.6"/>
    <n v="0"/>
    <n v="0"/>
    <n v="25.48"/>
    <n v="25.5"/>
    <n v="70"/>
    <n v="364.28571428571428"/>
    <x v="1"/>
    <x v="0"/>
    <n v="9"/>
    <n v="1"/>
    <n v="30.333333333333332"/>
  </r>
  <r>
    <d v="2025-03-02T08:46:00"/>
    <s v="INYECTADO"/>
    <x v="2"/>
    <x v="40"/>
    <s v="JUAN CARLOS CEDENO"/>
    <s v="VIRGEN"/>
    <s v="PP CLARIFICADO"/>
    <s v="."/>
    <x v="47"/>
    <s v="COLADOR HOGAR SOLIDO#2-CREMA"/>
    <n v="562"/>
    <n v="5"/>
    <n v="40.5"/>
    <s v="DIURNO"/>
    <m/>
    <n v="6"/>
    <n v="1022"/>
    <n v="21041"/>
    <s v="CREMA"/>
    <n v="6"/>
    <n v="0"/>
    <n v="0"/>
    <n v="39.340000000000003"/>
    <n v="40.5"/>
    <n v="70"/>
    <n v="578.57142857142856"/>
    <x v="1"/>
    <x v="0"/>
    <n v="9"/>
    <n v="1"/>
    <n v="46.833333333333336"/>
  </r>
  <r>
    <d v="2025-03-02T08:46:00"/>
    <s v="INYECTADO"/>
    <x v="2"/>
    <x v="40"/>
    <s v="JUAN CARLOS CEDENO"/>
    <s v="SEGUNDA"/>
    <s v="."/>
    <s v="MIXTO"/>
    <x v="47"/>
    <s v="COLADOR HOGAR SOLIDO#2-VERDE"/>
    <n v="413"/>
    <n v="4"/>
    <n v="29.8"/>
    <s v="DIURNO"/>
    <m/>
    <n v="3"/>
    <n v="1022"/>
    <n v="21041"/>
    <s v="VERDE"/>
    <n v="1.4"/>
    <n v="0"/>
    <n v="0"/>
    <n v="28.91"/>
    <n v="29.8"/>
    <n v="70"/>
    <n v="425.71428571428572"/>
    <x v="1"/>
    <x v="0"/>
    <n v="9"/>
    <n v="1"/>
    <n v="34.416666666666664"/>
  </r>
  <r>
    <d v="2025-02-12T20:56:00"/>
    <s v="INYECTADO"/>
    <x v="3"/>
    <x v="47"/>
    <s v="LUIS RENGIFO"/>
    <s v="VIRGEN"/>
    <s v="PP CLARIFICADO"/>
    <s v="."/>
    <x v="48"/>
    <s v="TAPA DE ORGANIZADOR #3-BLANCO"/>
    <n v="280"/>
    <n v="2"/>
    <n v="19.8"/>
    <s v="DIURNO"/>
    <m/>
    <n v="3"/>
    <n v="990"/>
    <n v="18733"/>
    <s v="BLANCO"/>
    <n v="4.5999999999999996"/>
    <n v="0"/>
    <n v="0"/>
    <n v="10.64"/>
    <n v="19.8"/>
    <n v="38"/>
    <n v="521.0526315789474"/>
    <x v="1"/>
    <x v="0"/>
    <n v="6"/>
    <n v="2"/>
    <n v="46.666666666666664"/>
  </r>
  <r>
    <d v="2025-02-12T20:56:00"/>
    <s v="INYECTADO"/>
    <x v="3"/>
    <x v="47"/>
    <s v="JOSDER GONZALEZ"/>
    <s v="VIRGEN"/>
    <s v="PP CLARIFICADO"/>
    <s v="."/>
    <x v="48"/>
    <s v="TAPA DE ORGANIZADOR #3-BLANCO"/>
    <n v="1652"/>
    <n v="12"/>
    <n v="117.2"/>
    <s v="NOCTURNO"/>
    <m/>
    <n v="14"/>
    <n v="990"/>
    <n v="18734"/>
    <s v="BLANCO"/>
    <n v="6.3"/>
    <n v="0"/>
    <n v="0"/>
    <n v="62.776000000000003"/>
    <n v="117.2"/>
    <n v="38"/>
    <n v="3084.2105263157896"/>
    <x v="1"/>
    <x v="0"/>
    <n v="6"/>
    <n v="2"/>
    <n v="275.33333333333331"/>
  </r>
  <r>
    <d v="2025-02-12T20:56:00"/>
    <s v="INYECTADO"/>
    <x v="3"/>
    <x v="48"/>
    <s v="CRISALIDA ZAPATA"/>
    <s v="VIRGEN"/>
    <s v="PP CLARIFICADO"/>
    <s v="."/>
    <x v="48"/>
    <s v="TAPA DE ORGANIZADOR #3-BLANCO"/>
    <n v="1200"/>
    <n v="11"/>
    <n v="85.2"/>
    <s v="DIURNO"/>
    <m/>
    <n v="10"/>
    <n v="990"/>
    <n v="18735"/>
    <s v="BLANCO"/>
    <n v="4"/>
    <n v="0"/>
    <n v="0"/>
    <n v="45.6"/>
    <n v="85.2"/>
    <n v="38"/>
    <n v="2242.1052631578946"/>
    <x v="1"/>
    <x v="0"/>
    <n v="6"/>
    <n v="2"/>
    <n v="200"/>
  </r>
  <r>
    <d v="2025-02-12T20:56:00"/>
    <s v="INYECTADO"/>
    <x v="3"/>
    <x v="49"/>
    <s v="CRISALIDA ZAPATA"/>
    <s v="VIRGEN"/>
    <s v="PP CLARIFICADO"/>
    <s v="."/>
    <x v="48"/>
    <s v="TAPA DE ORGANIZADOR #3-BLANCO"/>
    <n v="1277"/>
    <n v="11"/>
    <n v="90.6"/>
    <s v="DIURNO"/>
    <m/>
    <n v="11"/>
    <n v="990"/>
    <n v="18736"/>
    <s v="BLANCO"/>
    <n v="13.4"/>
    <n v="0"/>
    <n v="0"/>
    <n v="48.526000000000003"/>
    <n v="90.6"/>
    <n v="38"/>
    <n v="2384.2105263157896"/>
    <x v="1"/>
    <x v="0"/>
    <n v="6"/>
    <n v="2"/>
    <n v="212.83333333333334"/>
  </r>
  <r>
    <d v="2025-02-12T20:56:00"/>
    <s v="INYECTADO"/>
    <x v="3"/>
    <x v="49"/>
    <s v="JOSDER GONZALEZ"/>
    <s v="VIRGEN"/>
    <s v="PP CLARIFICADO"/>
    <s v="."/>
    <x v="48"/>
    <s v="TAPA DE ORGANIZADOR #3-BLANCO"/>
    <n v="239"/>
    <n v="2"/>
    <n v="16.899999999999999"/>
    <s v="NOCTURNO"/>
    <m/>
    <n v="2"/>
    <n v="990"/>
    <n v="18737"/>
    <s v="BLANCO"/>
    <n v="3.3"/>
    <n v="0"/>
    <n v="0"/>
    <n v="9.0820000000000007"/>
    <n v="16.899999999999999"/>
    <n v="38"/>
    <n v="444.73684210526318"/>
    <x v="1"/>
    <x v="0"/>
    <n v="6"/>
    <n v="2"/>
    <n v="39.833333333333336"/>
  </r>
  <r>
    <d v="2025-02-12T20:56:00"/>
    <s v="INYECTADO"/>
    <x v="3"/>
    <x v="49"/>
    <s v="JOSDER GONZALEZ"/>
    <s v="VIRGEN"/>
    <s v="PP CLARIFICADO"/>
    <s v="."/>
    <x v="49"/>
    <s v="TAPA DE ORGANIZADOR #3-TRANSPARENTE"/>
    <n v="607"/>
    <n v="6"/>
    <n v="43"/>
    <s v="NOCTURNO"/>
    <m/>
    <n v="5"/>
    <n v="1011"/>
    <n v="18737"/>
    <s v="TRANSPARENTE"/>
    <n v="26.9"/>
    <n v="0"/>
    <n v="0"/>
    <n v="23.065999999999999"/>
    <n v="43"/>
    <n v="38"/>
    <n v="1131.578947368421"/>
    <x v="1"/>
    <x v="0"/>
    <n v="6"/>
    <n v="2"/>
    <n v="101.16666666666667"/>
  </r>
  <r>
    <d v="2025-02-12T20:56:00"/>
    <s v="INYECTADO"/>
    <x v="3"/>
    <x v="32"/>
    <s v="FABIAN HERNANDEZ"/>
    <s v="VIRGEN"/>
    <s v="PP CLARIFICADO"/>
    <s v="."/>
    <x v="49"/>
    <s v="TAPA DE ORGANIZADOR #3-TRANSPARENTE"/>
    <n v="96"/>
    <n v="1"/>
    <n v="31.2"/>
    <s v="NOCTURNO"/>
    <m/>
    <n v="4"/>
    <n v="1011"/>
    <n v="18739"/>
    <s v="TRANSPARENTE"/>
    <n v="12"/>
    <n v="0"/>
    <n v="0"/>
    <n v="3.6480000000000001"/>
    <n v="31.2"/>
    <n v="38"/>
    <n v="821.0526315789474"/>
    <x v="1"/>
    <x v="0"/>
    <n v="7"/>
    <n v="2"/>
    <n v="16"/>
  </r>
  <r>
    <d v="2025-02-12T20:56:00"/>
    <s v="INYECTADO"/>
    <x v="3"/>
    <x v="33"/>
    <s v="CRISALIDA ZAPATA"/>
    <s v="VIRGEN"/>
    <s v="PP CLARIFICADO"/>
    <s v="."/>
    <x v="50"/>
    <s v="BASE ORGANIZADOR DE 10KG-TRANSPARENTE"/>
    <n v="574"/>
    <n v="5"/>
    <n v="190.5"/>
    <s v="DIURNO"/>
    <m/>
    <n v="24"/>
    <n v="1011"/>
    <n v="18740"/>
    <s v="TRANSPARENTE"/>
    <n v="25.8"/>
    <n v="0"/>
    <n v="0"/>
    <n v="191.142"/>
    <n v="190.5"/>
    <n v="333"/>
    <n v="572.07207207207205"/>
    <x v="1"/>
    <x v="0"/>
    <n v="7"/>
    <n v="1"/>
    <n v="47.833333333333336"/>
  </r>
  <r>
    <d v="2025-02-12T20:56:00"/>
    <s v="INYECTADO"/>
    <x v="3"/>
    <x v="33"/>
    <s v="JOSDER GONZALEZ"/>
    <s v="VIRGEN"/>
    <s v="PP CLARIFICADO"/>
    <s v="."/>
    <x v="50"/>
    <s v="BASE ORGANIZADOR DE 10KG-TRANSPARENTE"/>
    <n v="751"/>
    <n v="7"/>
    <n v="249.3"/>
    <s v="NOCTURNO"/>
    <m/>
    <n v="33"/>
    <n v="1011"/>
    <n v="18741"/>
    <s v="TRANSPARENTE"/>
    <n v="8.8000000000000007"/>
    <n v="0"/>
    <n v="0"/>
    <n v="250.083"/>
    <n v="249.3"/>
    <n v="333"/>
    <n v="748.64864864864865"/>
    <x v="1"/>
    <x v="0"/>
    <n v="7"/>
    <n v="1"/>
    <n v="62.583333333333336"/>
  </r>
  <r>
    <d v="2025-02-12T20:56:00"/>
    <s v="INYECTADO"/>
    <x v="3"/>
    <x v="34"/>
    <s v="JUAN CARLOS CEDENO"/>
    <s v="VIRGEN"/>
    <s v="PP CLARIFICADO"/>
    <s v="."/>
    <x v="50"/>
    <s v="BASE ORGANIZADOR DE 10KG-TRANSPARENTE"/>
    <n v="451"/>
    <n v="4"/>
    <n v="151"/>
    <s v="DIURNO"/>
    <m/>
    <n v="19"/>
    <n v="1011"/>
    <n v="18742"/>
    <s v="TRANSPARENTE"/>
    <n v="27.6"/>
    <n v="0"/>
    <n v="0"/>
    <n v="150.18299999999999"/>
    <n v="151"/>
    <n v="333"/>
    <n v="453.45345345345345"/>
    <x v="1"/>
    <x v="0"/>
    <n v="8"/>
    <n v="1"/>
    <n v="37.583333333333336"/>
  </r>
  <r>
    <d v="2025-02-12T20:56:00"/>
    <s v="INYECTADO"/>
    <x v="3"/>
    <x v="43"/>
    <s v="ISABEL LINARIZ "/>
    <s v="VIRGEN"/>
    <s v="PP CLARIFICADO"/>
    <s v="."/>
    <x v="17"/>
    <s v="TAPA DE ORGANIZADOR #2 CARAMELO-LILA"/>
    <n v="246"/>
    <n v="2"/>
    <n v="10.5"/>
    <s v="DIURNO"/>
    <m/>
    <n v="3"/>
    <n v="961"/>
    <n v="18743"/>
    <s v="LILA"/>
    <n v="11.2"/>
    <n v="0"/>
    <n v="0"/>
    <n v="5.1660000000000004"/>
    <n v="10.5"/>
    <n v="21"/>
    <n v="500"/>
    <x v="1"/>
    <x v="0"/>
    <n v="8"/>
    <n v="2"/>
    <n v="41"/>
  </r>
  <r>
    <d v="2025-02-12T20:56:00"/>
    <s v="INYECTADO"/>
    <x v="3"/>
    <x v="51"/>
    <s v="ISABEL LINARIZ "/>
    <s v="VIRGEN"/>
    <s v="PP CLARIFICADO"/>
    <s v="."/>
    <x v="17"/>
    <s v="TAPA DE ORGANIZADOR #2 CARAMELO-LILA"/>
    <n v="804"/>
    <n v="8"/>
    <n v="34.5"/>
    <s v="DIURNO"/>
    <m/>
    <n v="9"/>
    <n v="961"/>
    <n v="18744"/>
    <s v="LILA"/>
    <n v="6.9"/>
    <n v="0"/>
    <n v="0"/>
    <n v="16.884"/>
    <n v="34.5"/>
    <n v="21"/>
    <n v="1642.8571428571429"/>
    <x v="1"/>
    <x v="0"/>
    <n v="8"/>
    <n v="2"/>
    <n v="134"/>
  </r>
  <r>
    <d v="2025-02-12T20:56:00"/>
    <s v="INYECTADO"/>
    <x v="3"/>
    <x v="51"/>
    <s v="ISABEL LINARIZ "/>
    <s v="VIRGEN"/>
    <s v="PP CLARIFICADO"/>
    <s v="."/>
    <x v="51"/>
    <s v="TAPA DE ORGANIZADOR #2-BLANCO"/>
    <n v="431"/>
    <n v="4"/>
    <n v="18.5"/>
    <s v="DIURNO"/>
    <m/>
    <n v="11"/>
    <n v="961"/>
    <n v="18744"/>
    <s v="BLANCO"/>
    <n v="1"/>
    <n v="0"/>
    <n v="0"/>
    <n v="9.0510000000000002"/>
    <n v="18.5"/>
    <n v="21"/>
    <n v="880.95238095238096"/>
    <x v="1"/>
    <x v="0"/>
    <n v="8"/>
    <n v="2"/>
    <n v="71.833333333333329"/>
  </r>
  <r>
    <d v="2025-02-12T20:56:00"/>
    <s v="INYECTADO"/>
    <x v="3"/>
    <x v="52"/>
    <s v="CRISALIDA ZAPATA"/>
    <s v="VIRGEN"/>
    <s v="PP CLARIFICADO"/>
    <s v="."/>
    <x v="51"/>
    <s v="TAPA DE ORGANIZADOR #2-BLANCO"/>
    <n v="1163"/>
    <n v="11"/>
    <n v="48.8"/>
    <s v="DIURNO"/>
    <m/>
    <n v="11"/>
    <n v="961"/>
    <n v="18745"/>
    <s v="BLANCO"/>
    <n v="0"/>
    <n v="0"/>
    <n v="0"/>
    <n v="24.422999999999998"/>
    <n v="48.8"/>
    <n v="21"/>
    <n v="2323.8095238095239"/>
    <x v="1"/>
    <x v="0"/>
    <n v="8"/>
    <n v="2"/>
    <n v="193.83333333333334"/>
  </r>
  <r>
    <d v="2025-02-12T20:56:00"/>
    <s v="INYECTADO"/>
    <x v="3"/>
    <x v="53"/>
    <s v="CRISALIDA ZAPATA"/>
    <s v="VIRGEN"/>
    <s v="PP CLARIFICADO"/>
    <s v="."/>
    <x v="51"/>
    <s v="TAPA DE ORGANIZADOR #2-BLANCO"/>
    <n v="742"/>
    <n v="7"/>
    <n v="31.1"/>
    <s v="DIURNO"/>
    <m/>
    <n v="6"/>
    <n v="961"/>
    <n v="18746"/>
    <s v="BLANCO"/>
    <n v="7.1"/>
    <n v="0"/>
    <n v="0"/>
    <n v="15.582000000000001"/>
    <n v="31.1"/>
    <n v="21"/>
    <n v="1480.952380952381"/>
    <x v="1"/>
    <x v="0"/>
    <n v="8"/>
    <n v="2"/>
    <n v="123.66666666666667"/>
  </r>
  <r>
    <d v="2025-02-12T20:56:00"/>
    <s v="INYECTADO"/>
    <x v="3"/>
    <x v="53"/>
    <s v="ISABEL LINARIZ "/>
    <s v="VIRGEN"/>
    <s v="PP CLARIFICADO"/>
    <s v="."/>
    <x v="51"/>
    <s v="TAPA DE ORGANIZADOR #2-BLANCO"/>
    <n v="102"/>
    <n v="1"/>
    <n v="4.3"/>
    <s v="DIURNO"/>
    <m/>
    <n v="2"/>
    <n v="961"/>
    <n v="18747"/>
    <s v="BLANCO"/>
    <n v="0.4"/>
    <n v="0"/>
    <n v="0"/>
    <n v="2.1419999999999999"/>
    <n v="4.3"/>
    <n v="21"/>
    <n v="204.76190476190476"/>
    <x v="1"/>
    <x v="0"/>
    <n v="8"/>
    <n v="2"/>
    <n v="17"/>
  </r>
  <r>
    <d v="2025-02-12T20:56:00"/>
    <s v="INYECTADO"/>
    <x v="3"/>
    <x v="45"/>
    <s v="CRISALIDA ZAPATA"/>
    <s v="VIRGEN"/>
    <s v="PP CLARIFICADO"/>
    <s v="."/>
    <x v="51"/>
    <s v="TAPA DE ORGANIZADOR #2-BLANCO"/>
    <n v="45"/>
    <n v="1"/>
    <n v="2.4"/>
    <s v="DIURNO"/>
    <m/>
    <n v="2"/>
    <n v="961"/>
    <n v="18748"/>
    <s v="BLANCO"/>
    <n v="0"/>
    <n v="0"/>
    <n v="0"/>
    <n v="0.94499999999999995"/>
    <n v="2.4"/>
    <n v="21"/>
    <n v="114.28571428571429"/>
    <x v="1"/>
    <x v="0"/>
    <n v="9"/>
    <n v="2"/>
    <n v="7.5"/>
  </r>
  <r>
    <d v="2025-02-12T20:56:00"/>
    <s v="INYECTADO"/>
    <x v="3"/>
    <x v="40"/>
    <s v="LUIS RENGIFO"/>
    <s v="VIRGEN"/>
    <s v="PP CLARIFICADO"/>
    <s v="."/>
    <x v="52"/>
    <s v="CESTO MULTIUSO-CREMA"/>
    <n v="312"/>
    <n v="3"/>
    <n v="46.7"/>
    <s v="DIURNO"/>
    <m/>
    <n v="6"/>
    <n v="961"/>
    <n v="18748"/>
    <s v="CREMA"/>
    <n v="4.4000000000000004"/>
    <n v="0"/>
    <n v="0"/>
    <n v="53.04"/>
    <n v="46.7"/>
    <n v="170"/>
    <n v="274.70588235294116"/>
    <x v="1"/>
    <x v="0"/>
    <n v="9"/>
    <n v="1"/>
    <n v="26"/>
  </r>
  <r>
    <d v="2025-02-12T21:29:00"/>
    <s v="INYECTADO"/>
    <x v="7"/>
    <x v="41"/>
    <s v="GABRIEL REQUENA"/>
    <s v="SEGUNDA"/>
    <s v="."/>
    <s v="MIXTO"/>
    <x v="18"/>
    <s v="BALDE ROMANO-FUCSIA"/>
    <n v="125"/>
    <n v="1"/>
    <n v="22.2"/>
    <s v="DIURNO"/>
    <m/>
    <n v="1"/>
    <n v="950"/>
    <n v="20927"/>
    <s v="FUCSIA"/>
    <n v="6.6"/>
    <n v="0"/>
    <n v="0"/>
    <n v="10.375"/>
    <n v="22.2"/>
    <n v="83"/>
    <n v="267.46987951807228"/>
    <x v="1"/>
    <x v="0"/>
    <n v="5"/>
    <n v="2"/>
    <n v="20.833333333333332"/>
  </r>
  <r>
    <d v="2025-02-12T21:29:00"/>
    <s v="INYECTADO"/>
    <x v="7"/>
    <x v="41"/>
    <s v="GABRIEL REQUENA"/>
    <s v="VIRGEN"/>
    <s v="PP CLARIFICADO"/>
    <s v="."/>
    <x v="18"/>
    <s v="BALDE ROMANO-AMARILLO"/>
    <n v="616"/>
    <n v="6"/>
    <n v="97.3"/>
    <s v="DIURNO"/>
    <m/>
    <n v="6"/>
    <n v="950"/>
    <n v="20927"/>
    <s v="AMARILLO"/>
    <n v="6.7"/>
    <n v="0"/>
    <n v="0"/>
    <n v="51.128"/>
    <n v="97.3"/>
    <n v="83"/>
    <n v="1172.2891566265059"/>
    <x v="1"/>
    <x v="0"/>
    <n v="5"/>
    <n v="2"/>
    <n v="102.66666666666667"/>
  </r>
  <r>
    <d v="2025-02-12T21:29:00"/>
    <s v="INYECTADO"/>
    <x v="7"/>
    <x v="41"/>
    <s v="GABRIEL REQUENA"/>
    <s v="SEGUNDA"/>
    <s v="."/>
    <s v="MIXTO"/>
    <x v="18"/>
    <s v="BALDE ROMANO-VERDE"/>
    <n v="281"/>
    <n v="2"/>
    <n v="44.3"/>
    <s v="DIURNO"/>
    <m/>
    <n v="3"/>
    <n v="950"/>
    <n v="20927"/>
    <s v="VERDE"/>
    <n v="7.2"/>
    <n v="0"/>
    <n v="0"/>
    <n v="23.323"/>
    <n v="44.3"/>
    <n v="83"/>
    <n v="533.73493975903614"/>
    <x v="1"/>
    <x v="0"/>
    <n v="5"/>
    <n v="2"/>
    <n v="46.833333333333336"/>
  </r>
  <r>
    <d v="2025-02-12T21:29:00"/>
    <s v="INYECTADO"/>
    <x v="7"/>
    <x v="41"/>
    <s v="JUAN MANUEL PEREZ"/>
    <s v="SEGUNDA"/>
    <s v="."/>
    <s v="MIXTO"/>
    <x v="18"/>
    <s v="BALDE ROMANO-VERDE"/>
    <n v="121"/>
    <n v="2"/>
    <n v="19.100000000000001"/>
    <s v="NOCTURNO"/>
    <m/>
    <n v="1"/>
    <n v="950"/>
    <n v="20928"/>
    <s v="VERDE"/>
    <n v="2"/>
    <n v="0"/>
    <n v="0"/>
    <n v="10.042999999999999"/>
    <n v="19.100000000000001"/>
    <n v="83"/>
    <n v="230.12048192771084"/>
    <x v="1"/>
    <x v="0"/>
    <n v="5"/>
    <n v="2"/>
    <n v="20.166666666666668"/>
  </r>
  <r>
    <d v="2025-02-12T21:29:00"/>
    <s v="INYECTADO"/>
    <x v="7"/>
    <x v="41"/>
    <s v="JUAN MANUEL PEREZ"/>
    <s v="SEGUNDA"/>
    <s v="."/>
    <s v="MIXTO"/>
    <x v="18"/>
    <s v="BALDE ROMANO-LILA"/>
    <n v="332"/>
    <n v="3"/>
    <n v="52.4"/>
    <s v="NOCTURNO"/>
    <m/>
    <n v="3"/>
    <n v="950"/>
    <n v="20928"/>
    <s v="LILA"/>
    <n v="1.1000000000000001"/>
    <n v="0"/>
    <n v="0"/>
    <n v="27.556000000000001"/>
    <n v="52.4"/>
    <n v="83"/>
    <n v="631.32530120481931"/>
    <x v="1"/>
    <x v="0"/>
    <n v="5"/>
    <n v="2"/>
    <n v="55.333333333333336"/>
  </r>
  <r>
    <d v="2025-02-12T21:29:00"/>
    <s v="INYECTADO"/>
    <x v="7"/>
    <x v="41"/>
    <s v="JUAN MANUEL PEREZ"/>
    <s v="SEGUNDA"/>
    <s v="."/>
    <s v="MIXTO"/>
    <x v="18"/>
    <s v="BALDE ROMANO-AZUL"/>
    <n v="176"/>
    <n v="2"/>
    <n v="27.8"/>
    <s v="NOCTURNO"/>
    <m/>
    <n v="2"/>
    <n v="950"/>
    <n v="20928"/>
    <s v="AZUL"/>
    <n v="1.1000000000000001"/>
    <n v="0"/>
    <n v="0"/>
    <n v="14.608000000000001"/>
    <n v="27.8"/>
    <n v="83"/>
    <n v="334.93975903614455"/>
    <x v="1"/>
    <x v="0"/>
    <n v="5"/>
    <n v="2"/>
    <n v="29.333333333333332"/>
  </r>
  <r>
    <d v="2025-02-12T21:29:00"/>
    <s v="INYECTADO"/>
    <x v="7"/>
    <x v="35"/>
    <s v="GABRIEL REQUENA"/>
    <s v="SEGUNDA"/>
    <s v="."/>
    <s v="MIXTO"/>
    <x v="18"/>
    <s v="BALDE ROMANO-AZUL"/>
    <n v="89"/>
    <n v="1"/>
    <n v="14"/>
    <s v="DIURNO"/>
    <m/>
    <n v="1"/>
    <n v="950"/>
    <n v="20930"/>
    <s v="AZUL"/>
    <n v="0"/>
    <n v="0"/>
    <n v="0"/>
    <n v="7.3869999999999996"/>
    <n v="14"/>
    <n v="83"/>
    <n v="168.67469879518072"/>
    <x v="1"/>
    <x v="0"/>
    <n v="6"/>
    <n v="2"/>
    <n v="14.833333333333334"/>
  </r>
  <r>
    <d v="2025-02-12T21:29:00"/>
    <s v="INYECTADO"/>
    <x v="7"/>
    <x v="35"/>
    <s v="GABRIEL REQUENA"/>
    <s v="SEGUNDA"/>
    <s v="."/>
    <s v="MIXTO"/>
    <x v="18"/>
    <s v="BALDE ROMANO-FUCSIA"/>
    <n v="382"/>
    <n v="3"/>
    <n v="60.1"/>
    <s v="DIURNO"/>
    <m/>
    <n v="3"/>
    <n v="950"/>
    <n v="20930"/>
    <s v="FUCSIA"/>
    <n v="9.8000000000000007"/>
    <n v="0"/>
    <n v="0"/>
    <n v="31.706"/>
    <n v="60.1"/>
    <n v="83"/>
    <n v="724.09638554216872"/>
    <x v="1"/>
    <x v="0"/>
    <n v="6"/>
    <n v="2"/>
    <n v="63.666666666666664"/>
  </r>
  <r>
    <d v="2025-02-12T21:29:00"/>
    <s v="INYECTADO"/>
    <x v="7"/>
    <x v="35"/>
    <s v="GABRIEL REQUENA"/>
    <s v="SEGUNDA"/>
    <s v="."/>
    <s v="MIXTO"/>
    <x v="18"/>
    <s v="BALDE ROMANO-VERDE"/>
    <n v="39"/>
    <n v="1"/>
    <n v="6.1"/>
    <s v="DIURNO"/>
    <m/>
    <n v="1"/>
    <n v="950"/>
    <n v="20930"/>
    <s v="VERDE"/>
    <n v="0"/>
    <n v="0"/>
    <n v="0"/>
    <n v="3.2370000000000001"/>
    <n v="6.1"/>
    <n v="83"/>
    <n v="73.493975903614455"/>
    <x v="1"/>
    <x v="0"/>
    <n v="6"/>
    <n v="2"/>
    <n v="6.5"/>
  </r>
  <r>
    <d v="2025-02-12T21:29:00"/>
    <s v="INYECTADO"/>
    <x v="7"/>
    <x v="47"/>
    <s v="LUIS RENGIFO"/>
    <s v="SEGUNDA"/>
    <s v="."/>
    <s v="MIXTO"/>
    <x v="18"/>
    <s v="BALDE ROMANO-VERDE"/>
    <n v="179"/>
    <n v="2"/>
    <n v="28.2"/>
    <s v="DIURNO"/>
    <m/>
    <n v="1"/>
    <n v="950"/>
    <n v="20931"/>
    <s v="VERDE"/>
    <n v="0"/>
    <n v="0"/>
    <n v="0"/>
    <n v="14.856999999999999"/>
    <n v="28.2"/>
    <n v="83"/>
    <n v="339.75903614457832"/>
    <x v="1"/>
    <x v="0"/>
    <n v="6"/>
    <n v="2"/>
    <n v="29.833333333333332"/>
  </r>
  <r>
    <d v="2025-02-12T21:29:00"/>
    <s v="INYECTADO"/>
    <x v="7"/>
    <x v="48"/>
    <s v="LUIS PINEDO"/>
    <s v="SEGUNDA"/>
    <s v="."/>
    <s v="MIXTO"/>
    <x v="18"/>
    <s v="BALDE ROMANO-ROJO"/>
    <n v="126"/>
    <n v="1"/>
    <n v="19.7"/>
    <s v="DIURNO"/>
    <m/>
    <n v="2"/>
    <n v="950"/>
    <n v="20932"/>
    <s v="ROJO"/>
    <n v="14.7"/>
    <n v="0"/>
    <n v="0"/>
    <n v="10.458"/>
    <n v="19.7"/>
    <n v="83"/>
    <n v="237.34939759036143"/>
    <x v="1"/>
    <x v="0"/>
    <n v="6"/>
    <n v="2"/>
    <n v="21"/>
  </r>
  <r>
    <d v="2025-02-12T21:29:00"/>
    <s v="INYECTADO"/>
    <x v="7"/>
    <x v="48"/>
    <s v="LUIS PINEDO"/>
    <s v="SEGUNDA"/>
    <s v="."/>
    <s v="MIXTO"/>
    <x v="18"/>
    <s v="BALDE ROMANO-LILA"/>
    <n v="244"/>
    <n v="2"/>
    <n v="43.4"/>
    <s v="DIURNO"/>
    <m/>
    <n v="2"/>
    <n v="950"/>
    <n v="20932"/>
    <s v="LILA"/>
    <n v="9.8000000000000007"/>
    <n v="0"/>
    <n v="0"/>
    <n v="20.251999999999999"/>
    <n v="43.4"/>
    <n v="83"/>
    <n v="522.89156626506019"/>
    <x v="1"/>
    <x v="0"/>
    <n v="6"/>
    <n v="2"/>
    <n v="40.666666666666664"/>
  </r>
  <r>
    <d v="2025-02-12T21:29:00"/>
    <s v="INYECTADO"/>
    <x v="7"/>
    <x v="48"/>
    <s v="LUIS PINEDO"/>
    <s v="SEGUNDA"/>
    <s v="."/>
    <s v="MIXTO"/>
    <x v="18"/>
    <s v="BALDE ROMANO-FUCSIA"/>
    <n v="313"/>
    <n v="3"/>
    <n v="49.4"/>
    <s v="DIURNO"/>
    <m/>
    <n v="3"/>
    <n v="950"/>
    <n v="20932"/>
    <s v="FUCSIA"/>
    <n v="5.8"/>
    <n v="0"/>
    <n v="0"/>
    <n v="25.978999999999999"/>
    <n v="49.4"/>
    <n v="83"/>
    <n v="595.18072289156623"/>
    <x v="1"/>
    <x v="0"/>
    <n v="6"/>
    <n v="2"/>
    <n v="52.166666666666664"/>
  </r>
  <r>
    <d v="2025-02-12T21:29:00"/>
    <s v="INYECTADO"/>
    <x v="7"/>
    <x v="36"/>
    <s v="NELSON PINEDO"/>
    <s v="SEGUNDA"/>
    <s v="."/>
    <s v="MIXTO"/>
    <x v="18"/>
    <s v="BALDE ROMANO-AZUL"/>
    <n v="597"/>
    <n v="5"/>
    <n v="94.9"/>
    <s v="DIURNO"/>
    <m/>
    <n v="5"/>
    <n v="950"/>
    <n v="20933"/>
    <s v="AZUL"/>
    <n v="4.7"/>
    <n v="0"/>
    <n v="0"/>
    <n v="49.551000000000002"/>
    <n v="94.9"/>
    <n v="83"/>
    <n v="1143.3734939759036"/>
    <x v="1"/>
    <x v="0"/>
    <n v="7"/>
    <n v="2"/>
    <n v="99.5"/>
  </r>
  <r>
    <d v="2025-02-12T21:29:00"/>
    <s v="INYECTADO"/>
    <x v="7"/>
    <x v="36"/>
    <s v="NELSON PINEDO"/>
    <s v="SEGUNDA"/>
    <s v="."/>
    <s v="MIXTO"/>
    <x v="18"/>
    <s v="BALDE ROMANO-VERDE"/>
    <n v="517"/>
    <n v="5"/>
    <n v="82.2"/>
    <s v="DIURNO"/>
    <m/>
    <n v="5"/>
    <n v="950"/>
    <n v="20933"/>
    <s v="VERDE"/>
    <n v="0"/>
    <n v="0"/>
    <n v="0"/>
    <n v="42.911000000000001"/>
    <n v="82.2"/>
    <n v="83"/>
    <n v="990.36144578313258"/>
    <x v="1"/>
    <x v="0"/>
    <n v="7"/>
    <n v="2"/>
    <n v="86.166666666666671"/>
  </r>
  <r>
    <d v="2025-02-12T21:29:00"/>
    <s v="INYECTADO"/>
    <x v="7"/>
    <x v="36"/>
    <s v="FABIAN HERNANDEZ"/>
    <s v="SEGUNDA"/>
    <s v="."/>
    <s v="MIXTO"/>
    <x v="18"/>
    <s v="BALDE ROMANO-VERDE"/>
    <n v="76"/>
    <n v="1"/>
    <n v="12"/>
    <s v="NOCTURNO"/>
    <m/>
    <n v="1"/>
    <n v="950"/>
    <n v="20934"/>
    <s v="VERDE"/>
    <n v="8.6"/>
    <n v="0"/>
    <n v="0"/>
    <n v="6.3079999999999998"/>
    <n v="12"/>
    <n v="83"/>
    <n v="144.57831325301206"/>
    <x v="1"/>
    <x v="0"/>
    <n v="7"/>
    <n v="2"/>
    <n v="12.666666666666666"/>
  </r>
  <r>
    <d v="2025-02-12T21:29:00"/>
    <s v="INYECTADO"/>
    <x v="7"/>
    <x v="36"/>
    <s v="FABIAN HERNANDEZ"/>
    <s v="VIRGEN"/>
    <s v="PP CLARIFICADO"/>
    <s v="."/>
    <x v="18"/>
    <s v="BALDE ROMANO-AMARILLO"/>
    <n v="615"/>
    <n v="6"/>
    <n v="97.9"/>
    <s v="NOCTURNO"/>
    <m/>
    <n v="5"/>
    <n v="950"/>
    <n v="20934"/>
    <s v="AMARILLO"/>
    <n v="6"/>
    <n v="0"/>
    <n v="0"/>
    <n v="51.045000000000002"/>
    <n v="97.9"/>
    <n v="83"/>
    <n v="1179.5180722891566"/>
    <x v="1"/>
    <x v="0"/>
    <n v="7"/>
    <n v="2"/>
    <n v="102.5"/>
  </r>
  <r>
    <d v="2025-02-12T21:29:00"/>
    <s v="INYECTADO"/>
    <x v="7"/>
    <x v="36"/>
    <s v="FABIAN HERNANDEZ"/>
    <s v="SEGUNDA"/>
    <s v="."/>
    <s v="MIXTO"/>
    <x v="18"/>
    <s v="BALDE ROMANO-LILA"/>
    <n v="360"/>
    <n v="3"/>
    <n v="56.2"/>
    <s v="NOCTURNO"/>
    <m/>
    <n v="3"/>
    <n v="950"/>
    <n v="20934"/>
    <s v="LILA"/>
    <n v="9"/>
    <n v="0"/>
    <n v="0"/>
    <n v="29.88"/>
    <n v="56.2"/>
    <n v="83"/>
    <n v="677.10843373493981"/>
    <x v="1"/>
    <x v="0"/>
    <n v="7"/>
    <n v="2"/>
    <n v="60"/>
  </r>
  <r>
    <d v="2025-02-12T21:29:00"/>
    <s v="INYECTADO"/>
    <x v="7"/>
    <x v="37"/>
    <s v="ISABEL LINARIZ "/>
    <s v="SEGUNDA"/>
    <s v="."/>
    <s v="MIXTO"/>
    <x v="18"/>
    <s v="BALDE ROMANO-LILA"/>
    <n v="261"/>
    <n v="2"/>
    <n v="41.4"/>
    <s v="DIURNO"/>
    <m/>
    <n v="3"/>
    <n v="950"/>
    <n v="20935"/>
    <s v="LILA"/>
    <n v="4.5999999999999996"/>
    <n v="0"/>
    <n v="0"/>
    <n v="21.663"/>
    <n v="41.4"/>
    <n v="83"/>
    <n v="498.79518072289159"/>
    <x v="1"/>
    <x v="0"/>
    <n v="7"/>
    <n v="2"/>
    <n v="43.5"/>
  </r>
  <r>
    <d v="2025-02-12T21:29:00"/>
    <s v="INYECTADO"/>
    <x v="7"/>
    <x v="37"/>
    <s v="ISABEL LINARIZ "/>
    <s v="SEGUNDA"/>
    <s v="."/>
    <s v="MIXTO"/>
    <x v="18"/>
    <s v="BALDE ROMANO-FUCSIA"/>
    <n v="608"/>
    <n v="6"/>
    <n v="96.6"/>
    <s v="DIURNO"/>
    <m/>
    <n v="5"/>
    <n v="950"/>
    <n v="20935"/>
    <s v="FUCSIA"/>
    <n v="9.4"/>
    <n v="0"/>
    <n v="0"/>
    <n v="50.463999999999999"/>
    <n v="96.6"/>
    <n v="83"/>
    <n v="1163.8554216867469"/>
    <x v="1"/>
    <x v="0"/>
    <n v="7"/>
    <n v="2"/>
    <n v="101.33333333333333"/>
  </r>
  <r>
    <d v="2025-02-12T21:29:00"/>
    <s v="INYECTADO"/>
    <x v="7"/>
    <x v="37"/>
    <s v="ISABEL LINARIZ "/>
    <s v="SEGUNDA"/>
    <s v="."/>
    <s v="MIXTO"/>
    <x v="18"/>
    <s v="BALDE ROMANO-ROJO"/>
    <n v="280"/>
    <n v="2"/>
    <n v="49.8"/>
    <s v="DIURNO"/>
    <m/>
    <n v="2"/>
    <n v="950"/>
    <n v="20935"/>
    <s v="ROJO"/>
    <n v="1.6"/>
    <n v="0"/>
    <n v="0"/>
    <n v="23.24"/>
    <n v="49.8"/>
    <n v="83"/>
    <n v="600"/>
    <x v="1"/>
    <x v="0"/>
    <n v="7"/>
    <n v="2"/>
    <n v="46.666666666666664"/>
  </r>
  <r>
    <d v="2025-02-12T21:29:00"/>
    <s v="INYECTADO"/>
    <x v="7"/>
    <x v="32"/>
    <s v="ISABEL LINARIZ "/>
    <s v="SEGUNDA"/>
    <s v="."/>
    <s v="MIXTO"/>
    <x v="18"/>
    <s v="BALDE ROMANO-ROJO"/>
    <n v="373"/>
    <n v="3"/>
    <n v="59.3"/>
    <s v="DIURNO"/>
    <m/>
    <n v="3"/>
    <n v="950"/>
    <n v="20936"/>
    <s v="ROJO"/>
    <n v="9.4"/>
    <n v="0"/>
    <n v="0"/>
    <n v="30.959"/>
    <n v="59.3"/>
    <n v="83"/>
    <n v="714.45783132530119"/>
    <x v="1"/>
    <x v="0"/>
    <n v="7"/>
    <n v="2"/>
    <n v="62.166666666666664"/>
  </r>
  <r>
    <d v="2025-02-12T21:29:00"/>
    <s v="INYECTADO"/>
    <x v="7"/>
    <x v="32"/>
    <s v="ISABEL LINARIZ "/>
    <s v="VIRGEN"/>
    <s v="PP CLARIFICADO"/>
    <s v="."/>
    <x v="18"/>
    <s v="BALDE ROMANO-AMARILLO"/>
    <n v="204"/>
    <n v="2"/>
    <n v="32.4"/>
    <s v="DIURNO"/>
    <m/>
    <n v="2"/>
    <n v="950"/>
    <n v="20936"/>
    <s v="AMARILLO"/>
    <n v="24"/>
    <n v="0"/>
    <n v="0"/>
    <n v="16.931999999999999"/>
    <n v="32.4"/>
    <n v="83"/>
    <n v="390.36144578313252"/>
    <x v="1"/>
    <x v="0"/>
    <n v="7"/>
    <n v="2"/>
    <n v="34"/>
  </r>
  <r>
    <d v="2025-02-12T21:29:00"/>
    <s v="INYECTADO"/>
    <x v="7"/>
    <x v="33"/>
    <s v="KARLA "/>
    <s v="VIRGEN"/>
    <s v="PP CLARIFICADO"/>
    <s v="."/>
    <x v="18"/>
    <s v="BALDE ROMANO-AMARILLO"/>
    <n v="247"/>
    <n v="2"/>
    <n v="39"/>
    <s v="DIURNO"/>
    <m/>
    <n v="3"/>
    <n v="950"/>
    <n v="20937"/>
    <s v="AMARILLO"/>
    <n v="8.1"/>
    <n v="0"/>
    <n v="0"/>
    <n v="20.501000000000001"/>
    <n v="39"/>
    <n v="83"/>
    <n v="469.87951807228916"/>
    <x v="1"/>
    <x v="0"/>
    <n v="7"/>
    <n v="2"/>
    <n v="41.166666666666664"/>
  </r>
  <r>
    <d v="2025-02-12T21:29:00"/>
    <s v="INYECTADO"/>
    <x v="7"/>
    <x v="33"/>
    <s v="KARLA "/>
    <s v="SEGUNDA"/>
    <s v="."/>
    <s v="MIXTO"/>
    <x v="18"/>
    <s v="BALDE ROMANO-VERDE"/>
    <n v="483"/>
    <n v="4"/>
    <n v="76.3"/>
    <s v="DIURNO"/>
    <m/>
    <n v="4"/>
    <n v="950"/>
    <n v="20937"/>
    <s v="VERDE"/>
    <n v="11.7"/>
    <n v="0"/>
    <n v="0"/>
    <n v="40.088999999999999"/>
    <n v="76.3"/>
    <n v="83"/>
    <n v="919.27710843373495"/>
    <x v="1"/>
    <x v="0"/>
    <n v="7"/>
    <n v="2"/>
    <n v="80.5"/>
  </r>
  <r>
    <d v="2025-02-12T21:29:00"/>
    <s v="INYECTADO"/>
    <x v="7"/>
    <x v="34"/>
    <s v="JOSDER GONZALEZ"/>
    <s v="SEGUNDA"/>
    <s v="."/>
    <s v="MIXTO"/>
    <x v="18"/>
    <s v="BALDE ROMANO-VERDE"/>
    <n v="106"/>
    <n v="1"/>
    <n v="16.7"/>
    <s v="DIURNO"/>
    <m/>
    <n v="1"/>
    <n v="950"/>
    <n v="20938"/>
    <s v="VERDE"/>
    <n v="3.9"/>
    <n v="0"/>
    <n v="0"/>
    <n v="8.798"/>
    <n v="16.7"/>
    <n v="83"/>
    <n v="201.20481927710844"/>
    <x v="1"/>
    <x v="0"/>
    <n v="8"/>
    <n v="2"/>
    <n v="17.666666666666668"/>
  </r>
  <r>
    <d v="2025-02-12T21:29:00"/>
    <s v="INYECTADO"/>
    <x v="7"/>
    <x v="34"/>
    <s v="JOSDER GONZALEZ"/>
    <s v="SEGUNDA"/>
    <s v="."/>
    <s v="MIXTO"/>
    <x v="18"/>
    <s v="BALDE ROMANO-AZUL"/>
    <n v="484"/>
    <n v="4"/>
    <n v="76.400000000000006"/>
    <s v="DIURNO"/>
    <m/>
    <n v="4"/>
    <n v="950"/>
    <n v="20938"/>
    <s v="AZUL"/>
    <n v="2.5"/>
    <n v="0"/>
    <n v="0"/>
    <n v="40.171999999999997"/>
    <n v="76.400000000000006"/>
    <n v="83"/>
    <n v="920.48192771084337"/>
    <x v="1"/>
    <x v="0"/>
    <n v="8"/>
    <n v="2"/>
    <n v="80.666666666666671"/>
  </r>
  <r>
    <d v="2025-02-12T21:29:00"/>
    <s v="INYECTADO"/>
    <x v="7"/>
    <x v="34"/>
    <s v="JOSDER GONZALEZ"/>
    <s v="SEGUNDA"/>
    <s v="."/>
    <s v="MIXTO"/>
    <x v="18"/>
    <s v="BALDE ROMANO-FUCSIA"/>
    <n v="120"/>
    <n v="1"/>
    <n v="18.899999999999999"/>
    <s v="DIURNO"/>
    <m/>
    <n v="1"/>
    <n v="950"/>
    <n v="20938"/>
    <s v="FUCSIA"/>
    <n v="1.8"/>
    <n v="0"/>
    <n v="0"/>
    <n v="9.9600000000000009"/>
    <n v="18.899999999999999"/>
    <n v="83"/>
    <n v="227.71084337349399"/>
    <x v="1"/>
    <x v="0"/>
    <n v="8"/>
    <n v="2"/>
    <n v="20"/>
  </r>
  <r>
    <d v="2025-02-12T21:29:00"/>
    <s v="INYECTADO"/>
    <x v="7"/>
    <x v="43"/>
    <s v="LEYDI VALLEZ"/>
    <s v="SEGUNDA"/>
    <s v="."/>
    <s v="MIXTO"/>
    <x v="18"/>
    <s v="BALDE ROMANO-FUCSIA"/>
    <n v="479"/>
    <n v="4"/>
    <n v="75.2"/>
    <s v="DIURNO"/>
    <m/>
    <n v="4"/>
    <n v="950"/>
    <n v="20939"/>
    <s v="FUCSIA"/>
    <n v="4.0999999999999996"/>
    <n v="0"/>
    <n v="0"/>
    <n v="39.756999999999998"/>
    <n v="75.2"/>
    <n v="83"/>
    <n v="906.02409638554218"/>
    <x v="1"/>
    <x v="0"/>
    <n v="8"/>
    <n v="2"/>
    <n v="79.833333333333329"/>
  </r>
  <r>
    <d v="2025-02-12T21:29:00"/>
    <s v="INYECTADO"/>
    <x v="7"/>
    <x v="43"/>
    <s v="LEYDI VALLEZ"/>
    <s v="SEGUNDA"/>
    <s v="."/>
    <s v="MIXTO"/>
    <x v="18"/>
    <s v="BALDE ROMANO-ROJO"/>
    <n v="481"/>
    <n v="4"/>
    <n v="75.5"/>
    <s v="DIURNO"/>
    <m/>
    <n v="4"/>
    <n v="950"/>
    <n v="20939"/>
    <s v="ROJO"/>
    <n v="4"/>
    <n v="0"/>
    <n v="0"/>
    <n v="39.923000000000002"/>
    <n v="75.5"/>
    <n v="83"/>
    <n v="909.63855421686742"/>
    <x v="1"/>
    <x v="0"/>
    <n v="8"/>
    <n v="2"/>
    <n v="80.166666666666671"/>
  </r>
  <r>
    <d v="2025-02-12T21:29:00"/>
    <s v="INYECTADO"/>
    <x v="7"/>
    <x v="44"/>
    <s v="JOSDER GONZALEZ"/>
    <s v="SEGUNDA"/>
    <s v="."/>
    <s v="MIXTO"/>
    <x v="18"/>
    <s v="BALDE ROMANO-ROJO"/>
    <n v="109"/>
    <n v="1"/>
    <n v="17.2"/>
    <s v="DIURNO"/>
    <m/>
    <n v="3"/>
    <n v="950"/>
    <n v="20940"/>
    <s v="ROJO"/>
    <n v="3.1"/>
    <n v="0"/>
    <n v="0"/>
    <n v="9.0470000000000006"/>
    <n v="17.2"/>
    <n v="83"/>
    <n v="207.22891566265059"/>
    <x v="1"/>
    <x v="0"/>
    <n v="8"/>
    <n v="2"/>
    <n v="18.166666666666668"/>
  </r>
  <r>
    <d v="2025-02-12T21:29:00"/>
    <s v="INYECTADO"/>
    <x v="7"/>
    <x v="44"/>
    <s v="JOSDER GONZALEZ"/>
    <s v="SEGUNDA"/>
    <s v="."/>
    <s v="MIXTO"/>
    <x v="18"/>
    <s v="BALDE ROMANO-LILA"/>
    <n v="604"/>
    <n v="6"/>
    <n v="95.4"/>
    <s v="DIURNO"/>
    <m/>
    <n v="6"/>
    <n v="950"/>
    <n v="20940"/>
    <s v="LILA"/>
    <n v="16"/>
    <n v="0"/>
    <n v="0"/>
    <n v="50.131999999999998"/>
    <n v="95.4"/>
    <n v="83"/>
    <n v="1149.3975903614457"/>
    <x v="1"/>
    <x v="0"/>
    <n v="8"/>
    <n v="2"/>
    <n v="100.66666666666667"/>
  </r>
  <r>
    <d v="2025-02-12T21:29:00"/>
    <s v="INYECTADO"/>
    <x v="7"/>
    <x v="51"/>
    <s v="FABIAN HERNANDEZ"/>
    <s v="SEGUNDA"/>
    <s v="."/>
    <s v="MIXTO"/>
    <x v="19"/>
    <s v="BALDE CASTILLO MEDIEVAL-LILA"/>
    <n v="242"/>
    <n v="2"/>
    <n v="64.8"/>
    <s v="DIURNO"/>
    <m/>
    <n v="3"/>
    <n v="1020"/>
    <n v="20941"/>
    <s v="LILA"/>
    <n v="0"/>
    <n v="0"/>
    <n v="0"/>
    <n v="32.67"/>
    <n v="64.8"/>
    <n v="135"/>
    <n v="480"/>
    <x v="1"/>
    <x v="0"/>
    <n v="8"/>
    <n v="2"/>
    <n v="40.333333333333336"/>
  </r>
  <r>
    <d v="2025-02-12T21:29:00"/>
    <s v="INYECTADO"/>
    <x v="7"/>
    <x v="51"/>
    <s v="FABIAN HERNANDEZ"/>
    <s v="SEGUNDA"/>
    <s v="."/>
    <s v="MIXTO"/>
    <x v="19"/>
    <s v="BALDE CASTILLO MEDIEVAL-FUCSIA"/>
    <n v="324"/>
    <n v="3"/>
    <n v="86.8"/>
    <s v="DIURNO"/>
    <m/>
    <n v="4"/>
    <n v="1020"/>
    <n v="20941"/>
    <s v="FUCSIA"/>
    <n v="0"/>
    <n v="0"/>
    <n v="0"/>
    <n v="43.74"/>
    <n v="86.8"/>
    <n v="135"/>
    <n v="642.96296296296293"/>
    <x v="1"/>
    <x v="0"/>
    <n v="8"/>
    <n v="2"/>
    <n v="54"/>
  </r>
  <r>
    <d v="2025-02-12T21:29:00"/>
    <s v="INYECTADO"/>
    <x v="7"/>
    <x v="52"/>
    <s v="LUIS PINEDO"/>
    <s v="SEGUNDA"/>
    <s v="."/>
    <s v="MIXTO"/>
    <x v="19"/>
    <s v="BALDE CASTILLO MEDIEVAL-LILA"/>
    <n v="53"/>
    <n v="1"/>
    <n v="14"/>
    <s v="DIURNO"/>
    <m/>
    <n v="1"/>
    <n v="1020"/>
    <n v="20942"/>
    <s v="LILA"/>
    <n v="8.8000000000000007"/>
    <n v="0"/>
    <n v="0"/>
    <n v="7.1550000000000002"/>
    <n v="14"/>
    <n v="135"/>
    <n v="103.70370370370371"/>
    <x v="1"/>
    <x v="0"/>
    <n v="8"/>
    <n v="2"/>
    <n v="8.8333333333333339"/>
  </r>
  <r>
    <d v="2025-02-12T21:29:00"/>
    <s v="INYECTADO"/>
    <x v="7"/>
    <x v="52"/>
    <s v="LUIS PINEDO"/>
    <s v="SEGUNDA"/>
    <s v="."/>
    <s v="MIXTO"/>
    <x v="19"/>
    <s v="BALDE CASTILLO MEDIEVAL-AZUL"/>
    <n v="361"/>
    <n v="3"/>
    <n v="95.6"/>
    <s v="DIURNO"/>
    <m/>
    <n v="5"/>
    <n v="1020"/>
    <n v="20942"/>
    <s v="AZUL"/>
    <n v="4.7"/>
    <n v="0"/>
    <n v="0"/>
    <n v="48.734999999999999"/>
    <n v="95.6"/>
    <n v="135"/>
    <n v="708.14814814814815"/>
    <x v="1"/>
    <x v="0"/>
    <n v="8"/>
    <n v="2"/>
    <n v="60.166666666666664"/>
  </r>
  <r>
    <d v="2025-02-12T21:29:00"/>
    <s v="INYECTADO"/>
    <x v="7"/>
    <x v="52"/>
    <s v="LUIS PINEDO"/>
    <s v="SEGUNDA"/>
    <s v="."/>
    <s v="MIXTO"/>
    <x v="19"/>
    <s v="BALDE CASTILLO MEDIEVAL-ROJO"/>
    <n v="238"/>
    <n v="2"/>
    <n v="63"/>
    <s v="DIURNO"/>
    <m/>
    <n v="3"/>
    <n v="1020"/>
    <n v="20942"/>
    <s v="ROJO"/>
    <n v="9.3000000000000007"/>
    <n v="0"/>
    <n v="0"/>
    <n v="32.130000000000003"/>
    <n v="63"/>
    <n v="135"/>
    <n v="466.66666666666669"/>
    <x v="1"/>
    <x v="0"/>
    <n v="8"/>
    <n v="2"/>
    <n v="39.666666666666664"/>
  </r>
  <r>
    <d v="2025-02-12T21:29:00"/>
    <s v="INYECTADO"/>
    <x v="7"/>
    <x v="53"/>
    <s v="GABRIEL REQUENA"/>
    <s v="SEGUNDA"/>
    <s v="."/>
    <s v="MIXTO"/>
    <x v="19"/>
    <s v="BALDE CASTILLO MEDIEVAL-FUCSIA"/>
    <n v="194"/>
    <n v="2"/>
    <n v="51.6"/>
    <s v="DIURNO"/>
    <m/>
    <n v="3"/>
    <n v="1020"/>
    <n v="20943"/>
    <s v="FUCSIA"/>
    <n v="5.5"/>
    <n v="0"/>
    <n v="0"/>
    <n v="26.19"/>
    <n v="51.6"/>
    <n v="135"/>
    <n v="382.22222222222223"/>
    <x v="1"/>
    <x v="0"/>
    <n v="8"/>
    <n v="2"/>
    <n v="32.333333333333336"/>
  </r>
  <r>
    <d v="2025-02-12T21:29:00"/>
    <s v="INYECTADO"/>
    <x v="7"/>
    <x v="45"/>
    <s v="SAID VILLAMIZAR"/>
    <s v="SEGUNDA"/>
    <s v="."/>
    <s v="MIXTO"/>
    <x v="19"/>
    <s v="BALDE CASTILLO MEDIEVAL-FUCSIA"/>
    <n v="39"/>
    <n v="1"/>
    <n v="10.6"/>
    <s v="DIURNO"/>
    <m/>
    <n v="1"/>
    <n v="1020"/>
    <n v="20944"/>
    <s v="FUCSIA"/>
    <n v="0"/>
    <n v="0"/>
    <n v="0"/>
    <n v="5.2649999999999997"/>
    <n v="10.6"/>
    <n v="135"/>
    <n v="78.518518518518519"/>
    <x v="1"/>
    <x v="0"/>
    <n v="9"/>
    <n v="2"/>
    <n v="6.5"/>
  </r>
  <r>
    <d v="2025-02-12T21:29:00"/>
    <s v="INYECTADO"/>
    <x v="7"/>
    <x v="45"/>
    <s v="SAID VILLAMIZAR"/>
    <s v="SEGUNDA"/>
    <s v="."/>
    <s v="MIXTO"/>
    <x v="19"/>
    <s v="BALDE CASTILLO MEDIEVAL-LILA"/>
    <n v="160"/>
    <n v="2"/>
    <n v="43.5"/>
    <s v="DIURNO"/>
    <m/>
    <n v="2"/>
    <n v="1020"/>
    <n v="20944"/>
    <s v="LILA"/>
    <n v="0"/>
    <n v="0"/>
    <n v="0"/>
    <n v="21.6"/>
    <n v="43.5"/>
    <n v="135"/>
    <n v="322.22222222222223"/>
    <x v="1"/>
    <x v="0"/>
    <n v="9"/>
    <n v="2"/>
    <n v="26.666666666666668"/>
  </r>
  <r>
    <d v="2025-02-12T21:29:00"/>
    <s v="INYECTADO"/>
    <x v="7"/>
    <x v="45"/>
    <s v="SAID VILLAMIZAR"/>
    <s v="VIRGEN"/>
    <s v="PP CLARIFICADO"/>
    <s v="."/>
    <x v="19"/>
    <s v="BALDE CASTILLO MEDIEVAL-AMARILLO"/>
    <n v="321"/>
    <n v="3"/>
    <n v="84.1"/>
    <s v="DIURNO"/>
    <m/>
    <n v="4"/>
    <n v="1020"/>
    <n v="20944"/>
    <s v="AMARILLO"/>
    <n v="0"/>
    <n v="0"/>
    <n v="0"/>
    <n v="43.335000000000001"/>
    <n v="84.1"/>
    <n v="135"/>
    <n v="622.96296296296293"/>
    <x v="1"/>
    <x v="0"/>
    <n v="9"/>
    <n v="2"/>
    <n v="53.5"/>
  </r>
  <r>
    <d v="2025-02-12T21:29:00"/>
    <s v="INYECTADO"/>
    <x v="7"/>
    <x v="45"/>
    <s v="SAID VILLAMIZAR"/>
    <s v="SEGUNDA"/>
    <s v="."/>
    <s v="MIXTO"/>
    <x v="19"/>
    <s v="BALDE CASTILLO MEDIEVAL-VERDE"/>
    <n v="68"/>
    <n v="1"/>
    <n v="17.899999999999999"/>
    <s v="DIURNO"/>
    <m/>
    <n v="1"/>
    <n v="1020"/>
    <n v="20944"/>
    <s v="VERDE"/>
    <n v="0"/>
    <n v="0"/>
    <n v="0"/>
    <n v="9.18"/>
    <n v="17.899999999999999"/>
    <n v="135"/>
    <n v="132.59259259259258"/>
    <x v="1"/>
    <x v="0"/>
    <n v="9"/>
    <n v="2"/>
    <n v="11.333333333333334"/>
  </r>
  <r>
    <d v="2025-02-12T21:29:00"/>
    <s v="INYECTADO"/>
    <x v="7"/>
    <x v="46"/>
    <s v="LUIS PINEDO"/>
    <s v="SEGUNDA"/>
    <s v="."/>
    <s v="MIXTO"/>
    <x v="19"/>
    <s v="BALDE CASTILLO MEDIEVAL-VERDE"/>
    <n v="147"/>
    <n v="2"/>
    <n v="38.799999999999997"/>
    <s v="DIURNO"/>
    <m/>
    <n v="3"/>
    <n v="1020"/>
    <n v="20945"/>
    <s v="VERDE"/>
    <n v="2"/>
    <n v="0"/>
    <n v="0"/>
    <n v="19.844999999999999"/>
    <n v="38.799999999999997"/>
    <n v="135"/>
    <n v="287.40740740740739"/>
    <x v="1"/>
    <x v="0"/>
    <n v="9"/>
    <n v="2"/>
    <n v="24.5"/>
  </r>
  <r>
    <d v="2025-02-12T20:56:00"/>
    <s v="INYECTADO"/>
    <x v="7"/>
    <x v="46"/>
    <s v="JUAN MANUEL PEREZ"/>
    <s v="VIRGEN"/>
    <s v="PP CLARIFICADO"/>
    <s v="."/>
    <x v="53"/>
    <s v="TAPA DE ORGANIZADOR #2-TRANSPARENTE"/>
    <n v="1330"/>
    <n v="11"/>
    <n v="57.2"/>
    <s v="NOCTURNO"/>
    <m/>
    <n v="12"/>
    <n v="961"/>
    <n v="20948"/>
    <s v="TRANSPARENTE"/>
    <n v="3"/>
    <n v="0"/>
    <n v="0"/>
    <n v="27.93"/>
    <n v="57.2"/>
    <n v="21"/>
    <n v="2723.8095238095239"/>
    <x v="1"/>
    <x v="0"/>
    <n v="9"/>
    <n v="2"/>
    <n v="221.66666666666666"/>
  </r>
  <r>
    <d v="2025-02-12T20:56:00"/>
    <s v="INYECTADO"/>
    <x v="7"/>
    <x v="46"/>
    <s v="JUAN MANUEL PEREZ"/>
    <s v="VIRGEN"/>
    <s v="PP CLARIFICADO"/>
    <s v="."/>
    <x v="17"/>
    <s v="TAPA DE ORGANIZADOR #2 CARAMELO-ROJO"/>
    <n v="297"/>
    <n v="2"/>
    <n v="12.8"/>
    <s v="NOCTURNO"/>
    <m/>
    <n v="2"/>
    <n v="961"/>
    <n v="20948"/>
    <s v="ROJO"/>
    <n v="0"/>
    <n v="0"/>
    <n v="0"/>
    <n v="6.2370000000000001"/>
    <n v="12.8"/>
    <n v="21"/>
    <n v="609.52380952380952"/>
    <x v="1"/>
    <x v="0"/>
    <n v="9"/>
    <n v="2"/>
    <n v="49.5"/>
  </r>
  <r>
    <d v="2025-02-12T20:56:00"/>
    <s v="INYECTADO"/>
    <x v="7"/>
    <x v="39"/>
    <s v="CRISALIDA ZAPATA"/>
    <s v="VIRGEN"/>
    <s v="PP CLARIFICADO"/>
    <s v="."/>
    <x v="53"/>
    <s v="TAPA DE ORGANIZADOR #2 CARAMELO-ROJO"/>
    <n v="898"/>
    <n v="8"/>
    <n v="38.6"/>
    <s v="DIURNO"/>
    <m/>
    <n v="8"/>
    <n v="961"/>
    <n v="20949"/>
    <s v="ROJO"/>
    <n v="1.3"/>
    <n v="0"/>
    <n v="0"/>
    <n v="18.858000000000001"/>
    <n v="38.6"/>
    <n v="21"/>
    <n v="1838.0952380952381"/>
    <x v="1"/>
    <x v="0"/>
    <n v="9"/>
    <n v="2"/>
    <n v="149.66666666666666"/>
  </r>
  <r>
    <d v="2025-02-12T20:56:00"/>
    <s v="INYECTADO"/>
    <x v="7"/>
    <x v="39"/>
    <s v="JOSDER GONZALEZ"/>
    <s v="VIRGEN"/>
    <s v="PP CLARIFICADO"/>
    <s v="."/>
    <x v="53"/>
    <s v="TAPA DE ORGANIZADOR #2-TRANSPARENTE"/>
    <n v="1410"/>
    <n v="12"/>
    <n v="68.3"/>
    <s v="DIURNO"/>
    <m/>
    <n v="12"/>
    <n v="961"/>
    <n v="20950"/>
    <s v="TRANSPARENTE"/>
    <n v="2.2000000000000002"/>
    <n v="0"/>
    <n v="0"/>
    <n v="29.61"/>
    <n v="68.3"/>
    <n v="21"/>
    <n v="3252.3809523809523"/>
    <x v="1"/>
    <x v="0"/>
    <n v="9"/>
    <n v="2"/>
    <n v="235"/>
  </r>
  <r>
    <d v="2025-02-12T20:56:00"/>
    <s v="INYECTADO"/>
    <x v="7"/>
    <x v="40"/>
    <s v="CRISALIDA ZAPATA"/>
    <s v="VIRGEN"/>
    <s v="PP CLARIFICADO"/>
    <s v="."/>
    <x v="17"/>
    <s v="TAPA DE ORGANIZADOR #2-TRANSPARENTE"/>
    <n v="570"/>
    <n v="5"/>
    <n v="24.7"/>
    <s v="DIURNO"/>
    <m/>
    <n v="5"/>
    <n v="961"/>
    <n v="20951"/>
    <s v="TRANSPARENTE"/>
    <n v="0"/>
    <n v="0"/>
    <n v="0"/>
    <n v="11.97"/>
    <n v="24.7"/>
    <n v="21"/>
    <n v="1176.1904761904761"/>
    <x v="1"/>
    <x v="0"/>
    <n v="9"/>
    <n v="2"/>
    <n v="95"/>
  </r>
  <r>
    <d v="2025-02-12T20:56:00"/>
    <s v="INYECTADO"/>
    <x v="7"/>
    <x v="40"/>
    <s v="CRISALIDA ZAPATA"/>
    <s v="VIRGEN"/>
    <s v="PP CLARIFICADO"/>
    <s v="."/>
    <x v="53"/>
    <s v="TAPA DE ORGANIZADOR #2 CARAMELO-AZUL"/>
    <n v="731"/>
    <n v="7"/>
    <n v="31.6"/>
    <s v="DIURNO"/>
    <m/>
    <n v="7"/>
    <n v="961"/>
    <n v="20951"/>
    <s v="AZUL"/>
    <n v="2.9"/>
    <n v="0"/>
    <n v="0"/>
    <n v="15.351000000000001"/>
    <n v="31.6"/>
    <n v="21"/>
    <n v="1504.7619047619048"/>
    <x v="1"/>
    <x v="0"/>
    <n v="9"/>
    <n v="2"/>
    <n v="121.83333333333333"/>
  </r>
  <r>
    <d v="2025-02-12T20:56:00"/>
    <s v="INYECTADO"/>
    <x v="7"/>
    <x v="40"/>
    <s v="JUAN MANUEL PEREZ"/>
    <s v="VIRGEN"/>
    <s v="PP CLARIFICADO"/>
    <s v="."/>
    <x v="53"/>
    <s v="TAPA DE ORGANIZADOR #2-TRANSPARENTE"/>
    <n v="1939"/>
    <n v="12"/>
    <n v="84"/>
    <s v="NOCTURNO"/>
    <m/>
    <n v="7"/>
    <n v="961"/>
    <n v="20951"/>
    <s v="TRANSPARENTE"/>
    <n v="3"/>
    <n v="0"/>
    <n v="0"/>
    <n v="40.719000000000001"/>
    <n v="84"/>
    <n v="21"/>
    <n v="4000"/>
    <x v="1"/>
    <x v="0"/>
    <n v="9"/>
    <n v="2"/>
    <n v="323.16666666666669"/>
  </r>
  <r>
    <d v="2025-02-13T16:38:00"/>
    <s v="INYECTADO"/>
    <x v="8"/>
    <x v="41"/>
    <s v="NELSON PINEDO"/>
    <s v="SEGUNDA"/>
    <s v="."/>
    <s v="MIXTO"/>
    <x v="26"/>
    <s v="BALDE REAL-ROJO"/>
    <n v="462"/>
    <n v="5"/>
    <n v="80.3"/>
    <s v="DIURNO"/>
    <m/>
    <n v="9"/>
    <n v="988"/>
    <n v="20839"/>
    <s v="ROJO"/>
    <n v="10.7"/>
    <n v="0"/>
    <n v="0"/>
    <n v="39.731999999999999"/>
    <n v="80.3"/>
    <n v="86"/>
    <n v="933.72093023255809"/>
    <x v="1"/>
    <x v="0"/>
    <n v="5"/>
    <n v="2"/>
    <n v="77"/>
  </r>
  <r>
    <d v="2025-02-13T16:38:00"/>
    <s v="INYECTADO"/>
    <x v="8"/>
    <x v="41"/>
    <s v="NELSON PINEDO"/>
    <s v="SEGUNDA"/>
    <s v="."/>
    <s v="MIXTO"/>
    <x v="26"/>
    <s v="BALDE REAL-VERDE"/>
    <n v="311"/>
    <n v="3"/>
    <n v="54.1"/>
    <s v="DIURNO"/>
    <m/>
    <n v="5"/>
    <n v="988"/>
    <n v="20839"/>
    <s v="VERDE"/>
    <n v="3"/>
    <n v="0"/>
    <n v="0"/>
    <n v="26.745999999999999"/>
    <n v="54.1"/>
    <n v="86"/>
    <n v="629.06976744186045"/>
    <x v="1"/>
    <x v="0"/>
    <n v="5"/>
    <n v="2"/>
    <n v="51.833333333333336"/>
  </r>
  <r>
    <d v="2025-02-13T16:38:00"/>
    <s v="INYECTADO"/>
    <x v="8"/>
    <x v="35"/>
    <s v="LUIS PINEDO"/>
    <s v="SEGUNDA"/>
    <s v="."/>
    <s v="MIXTO"/>
    <x v="26"/>
    <s v="BALDE REAL-AZUL"/>
    <n v="324"/>
    <n v="5"/>
    <n v="56.3"/>
    <s v="DIURNO"/>
    <m/>
    <n v="6"/>
    <n v="988"/>
    <n v="20840"/>
    <s v="AZUL"/>
    <n v="4.0999999999999996"/>
    <n v="0"/>
    <n v="0"/>
    <n v="27.864000000000001"/>
    <n v="56.3"/>
    <n v="86"/>
    <n v="654.65116279069764"/>
    <x v="1"/>
    <x v="0"/>
    <n v="6"/>
    <n v="2"/>
    <n v="54"/>
  </r>
  <r>
    <d v="2025-02-13T16:38:00"/>
    <s v="INYECTADO"/>
    <x v="8"/>
    <x v="47"/>
    <s v="PAUL MILLER"/>
    <s v="SEGUNDA"/>
    <s v="."/>
    <s v="MIXTO"/>
    <x v="26"/>
    <s v="BALDE REAL-AZUL"/>
    <n v="125"/>
    <n v="1"/>
    <n v="21.6"/>
    <s v="DIURNO"/>
    <m/>
    <n v="2"/>
    <n v="988"/>
    <n v="20841"/>
    <s v="AZUL"/>
    <n v="4.8"/>
    <n v="0"/>
    <n v="0"/>
    <n v="10.75"/>
    <n v="21.6"/>
    <n v="86"/>
    <n v="251.16279069767441"/>
    <x v="1"/>
    <x v="0"/>
    <n v="6"/>
    <n v="2"/>
    <n v="20.833333333333332"/>
  </r>
  <r>
    <d v="2025-02-13T16:38:00"/>
    <s v="INYECTADO"/>
    <x v="8"/>
    <x v="47"/>
    <s v="PAUL MILLER"/>
    <s v="SEGUNDA"/>
    <s v="."/>
    <s v="MIXTO"/>
    <x v="26"/>
    <s v="BALDE REAL-LILA"/>
    <n v="495"/>
    <n v="4"/>
    <n v="85.6"/>
    <s v="DIURNO"/>
    <m/>
    <n v="7"/>
    <n v="988"/>
    <n v="20841"/>
    <s v="LILA"/>
    <n v="6.1"/>
    <n v="0"/>
    <n v="0"/>
    <n v="42.57"/>
    <n v="85.6"/>
    <n v="86"/>
    <n v="995.34883720930236"/>
    <x v="1"/>
    <x v="0"/>
    <n v="6"/>
    <n v="2"/>
    <n v="82.5"/>
  </r>
  <r>
    <d v="2025-02-13T16:38:00"/>
    <s v="INYECTADO"/>
    <x v="8"/>
    <x v="47"/>
    <s v="PAUL MILLER"/>
    <s v="SEGUNDA"/>
    <s v="."/>
    <s v="MIXTO"/>
    <x v="26"/>
    <s v="BALDE REAL-VERDE"/>
    <n v="47"/>
    <n v="1"/>
    <n v="9"/>
    <s v="DIURNO"/>
    <m/>
    <n v="1"/>
    <n v="988"/>
    <n v="20841"/>
    <s v="VERDE"/>
    <n v="2.8"/>
    <n v="0"/>
    <n v="0"/>
    <n v="4.0419999999999998"/>
    <n v="9"/>
    <n v="86"/>
    <n v="104.65116279069767"/>
    <x v="1"/>
    <x v="0"/>
    <n v="6"/>
    <n v="2"/>
    <n v="7.833333333333333"/>
  </r>
  <r>
    <d v="2025-02-13T16:38:00"/>
    <s v="INYECTADO"/>
    <x v="8"/>
    <x v="48"/>
    <s v="ISABEL LINARIZ "/>
    <s v="SEGUNDA"/>
    <s v="."/>
    <s v="MIXTO"/>
    <x v="26"/>
    <s v="BALDE REAL-VERDE"/>
    <n v="78"/>
    <n v="1"/>
    <n v="13.4"/>
    <s v="DIURNO"/>
    <m/>
    <n v="2"/>
    <n v="988"/>
    <n v="20842"/>
    <s v="VERDE"/>
    <n v="5.2"/>
    <n v="0"/>
    <n v="0"/>
    <n v="6.7080000000000002"/>
    <n v="13.4"/>
    <n v="86"/>
    <n v="155.81395348837211"/>
    <x v="1"/>
    <x v="0"/>
    <n v="6"/>
    <n v="2"/>
    <n v="13"/>
  </r>
  <r>
    <d v="2025-02-13T16:38:00"/>
    <s v="INYECTADO"/>
    <x v="8"/>
    <x v="48"/>
    <s v="ISABEL LINARIZ "/>
    <s v="SEGUNDA"/>
    <s v="."/>
    <s v="MIXTO"/>
    <x v="26"/>
    <s v="BALDE REAL-FUCSIA"/>
    <n v="408"/>
    <n v="4"/>
    <n v="70.7"/>
    <s v="DIURNO"/>
    <m/>
    <n v="8"/>
    <n v="988"/>
    <n v="20842"/>
    <s v="FUCSIA"/>
    <n v="3.1"/>
    <n v="0"/>
    <n v="0"/>
    <n v="35.088000000000001"/>
    <n v="70.7"/>
    <n v="86"/>
    <n v="822.09302325581393"/>
    <x v="1"/>
    <x v="0"/>
    <n v="6"/>
    <n v="2"/>
    <n v="68"/>
  </r>
  <r>
    <d v="2025-02-13T16:38:00"/>
    <s v="INYECTADO"/>
    <x v="8"/>
    <x v="48"/>
    <s v="ISABEL LINARIZ "/>
    <s v="VIRGEN"/>
    <s v="PP CLARIFICADO"/>
    <s v="."/>
    <x v="26"/>
    <s v="BALDE REAL-AMARILLO"/>
    <n v="160"/>
    <n v="2"/>
    <n v="27.6"/>
    <s v="DIURNO"/>
    <m/>
    <n v="2"/>
    <n v="988"/>
    <n v="20842"/>
    <s v="AMARILLO"/>
    <n v="2.2999999999999998"/>
    <n v="0"/>
    <n v="0"/>
    <n v="13.76"/>
    <n v="27.6"/>
    <n v="86"/>
    <n v="320.93023255813955"/>
    <x v="1"/>
    <x v="0"/>
    <n v="6"/>
    <n v="2"/>
    <n v="26.666666666666668"/>
  </r>
  <r>
    <d v="2025-02-13T16:38:00"/>
    <s v="INYECTADO"/>
    <x v="8"/>
    <x v="48"/>
    <s v="JOSDER GONZALEZ"/>
    <s v="VIRGEN"/>
    <s v="PP CLARIFICADO"/>
    <s v="."/>
    <x v="26"/>
    <s v="BALDE REAL-AMARILLO"/>
    <n v="283"/>
    <n v="2"/>
    <n v="48.9"/>
    <s v="NOCTURNO"/>
    <m/>
    <n v="7"/>
    <n v="988"/>
    <n v="20843"/>
    <s v="AMARILLO"/>
    <n v="9.1"/>
    <n v="0"/>
    <n v="0"/>
    <n v="24.338000000000001"/>
    <n v="48.9"/>
    <n v="86"/>
    <n v="568.60465116279067"/>
    <x v="1"/>
    <x v="0"/>
    <n v="6"/>
    <n v="2"/>
    <n v="47.166666666666664"/>
  </r>
  <r>
    <d v="2025-02-13T16:38:00"/>
    <s v="INYECTADO"/>
    <x v="8"/>
    <x v="48"/>
    <s v="JOSDER GONZALEZ"/>
    <s v="SEGUNDA"/>
    <s v="."/>
    <s v="MIXTO"/>
    <x v="26"/>
    <s v="BALDE REAL-AZUL"/>
    <n v="154"/>
    <n v="2"/>
    <n v="26.6"/>
    <s v="NOCTURNO"/>
    <m/>
    <n v="4"/>
    <n v="988"/>
    <n v="20843"/>
    <s v="AZUL"/>
    <n v="4.2"/>
    <n v="0"/>
    <n v="0"/>
    <n v="13.244"/>
    <n v="26.6"/>
    <n v="86"/>
    <n v="309.30232558139534"/>
    <x v="1"/>
    <x v="0"/>
    <n v="6"/>
    <n v="2"/>
    <n v="25.666666666666668"/>
  </r>
  <r>
    <d v="2025-02-13T16:38:00"/>
    <s v="INYECTADO"/>
    <x v="8"/>
    <x v="48"/>
    <s v="JOSDER GONZALEZ"/>
    <s v="SEGUNDA"/>
    <s v="."/>
    <s v="MIXTO"/>
    <x v="26"/>
    <s v="BALDE REAL-LILA"/>
    <n v="131"/>
    <n v="2"/>
    <n v="22.7"/>
    <s v="NOCTURNO"/>
    <m/>
    <n v="3"/>
    <n v="988"/>
    <n v="20843"/>
    <s v="LILA"/>
    <n v="7.2"/>
    <n v="0"/>
    <n v="0"/>
    <n v="11.266"/>
    <n v="22.7"/>
    <n v="86"/>
    <n v="263.95348837209303"/>
    <x v="1"/>
    <x v="0"/>
    <n v="6"/>
    <n v="2"/>
    <n v="21.833333333333332"/>
  </r>
  <r>
    <d v="2025-02-13T16:38:00"/>
    <s v="INYECTADO"/>
    <x v="8"/>
    <x v="48"/>
    <s v="JOSDER GONZALEZ"/>
    <s v="SEGUNDA"/>
    <s v="."/>
    <s v="MIXTO"/>
    <x v="26"/>
    <s v="BALDE REAL-ROJO"/>
    <n v="157"/>
    <n v="2"/>
    <n v="27.2"/>
    <s v="NOCTURNO"/>
    <m/>
    <n v="4"/>
    <n v="988"/>
    <n v="20843"/>
    <s v="ROJO"/>
    <n v="11.2"/>
    <n v="0"/>
    <n v="0"/>
    <n v="13.502000000000001"/>
    <n v="27.2"/>
    <n v="86"/>
    <n v="316.27906976744185"/>
    <x v="1"/>
    <x v="0"/>
    <n v="6"/>
    <n v="2"/>
    <n v="26.166666666666668"/>
  </r>
  <r>
    <d v="2025-02-13T16:38:00"/>
    <s v="INYECTADO"/>
    <x v="8"/>
    <x v="48"/>
    <s v="JOSDER GONZALEZ"/>
    <s v="SEGUNDA"/>
    <s v="."/>
    <s v="MIXTO"/>
    <x v="26"/>
    <s v="BALDE REAL-FUCSIA"/>
    <n v="182"/>
    <n v="2"/>
    <n v="31.5"/>
    <s v="NOCTURNO"/>
    <m/>
    <n v="4"/>
    <n v="988"/>
    <n v="20843"/>
    <s v="FUCSIA"/>
    <n v="0"/>
    <n v="0"/>
    <n v="0"/>
    <n v="15.651999999999999"/>
    <n v="31.5"/>
    <n v="86"/>
    <n v="366.27906976744185"/>
    <x v="1"/>
    <x v="0"/>
    <n v="6"/>
    <n v="2"/>
    <n v="30.333333333333332"/>
  </r>
  <r>
    <d v="2025-02-13T16:38:00"/>
    <s v="INYECTADO"/>
    <x v="8"/>
    <x v="49"/>
    <s v="SAID VILLAMIZAR"/>
    <s v="SEGUNDA"/>
    <s v="."/>
    <s v="MIXTO"/>
    <x v="26"/>
    <s v="BALDE REAL-VERDE"/>
    <n v="282"/>
    <n v="2"/>
    <n v="48.7"/>
    <s v="DIURNO"/>
    <m/>
    <n v="6"/>
    <n v="988"/>
    <n v="20843"/>
    <s v="VERDE"/>
    <n v="0"/>
    <n v="0"/>
    <n v="0"/>
    <n v="24.251999999999999"/>
    <n v="48.7"/>
    <n v="86"/>
    <n v="566.27906976744191"/>
    <x v="1"/>
    <x v="0"/>
    <n v="6"/>
    <n v="2"/>
    <n v="47"/>
  </r>
  <r>
    <d v="2025-02-13T16:38:00"/>
    <s v="INYECTADO"/>
    <x v="8"/>
    <x v="49"/>
    <s v="SAID VILLAMIZAR"/>
    <s v="SEGUNDA"/>
    <s v="."/>
    <s v="MIXTO"/>
    <x v="26"/>
    <s v="BALDE REAL-FUCSIA"/>
    <n v="183"/>
    <n v="2"/>
    <n v="31.6"/>
    <s v="DIURNO"/>
    <m/>
    <n v="4"/>
    <n v="988"/>
    <n v="20843"/>
    <s v="FUCSIA"/>
    <n v="0"/>
    <n v="0"/>
    <n v="0"/>
    <n v="15.738"/>
    <n v="31.6"/>
    <n v="86"/>
    <n v="367.44186046511629"/>
    <x v="1"/>
    <x v="0"/>
    <n v="6"/>
    <n v="2"/>
    <n v="30.5"/>
  </r>
  <r>
    <d v="2025-02-13T16:38:00"/>
    <s v="INYECTADO"/>
    <x v="8"/>
    <x v="50"/>
    <s v="JOSDER GONZALEZ"/>
    <s v="SEGUNDA"/>
    <s v="."/>
    <s v="PP INY MOLIDO"/>
    <x v="31"/>
    <s v="ACCESORIO PLAYERO MARINO-VERDE"/>
    <n v="495"/>
    <n v="4"/>
    <n v="59.4"/>
    <s v="DIURNO"/>
    <m/>
    <n v="9"/>
    <n v="999"/>
    <n v="20845"/>
    <s v="VERDE"/>
    <n v="31.2"/>
    <n v="0"/>
    <n v="0"/>
    <n v="7.4249999999999998"/>
    <n v="59.4"/>
    <n v="15"/>
    <n v="3960"/>
    <x v="1"/>
    <x v="0"/>
    <n v="6"/>
    <n v="8"/>
    <n v="330"/>
  </r>
  <r>
    <d v="2025-02-13T16:38:00"/>
    <s v="INYECTADO"/>
    <x v="8"/>
    <x v="50"/>
    <s v="JOSDER GONZALEZ"/>
    <s v="SEGUNDA"/>
    <s v="."/>
    <s v="PP INY MOLIDO"/>
    <x v="31"/>
    <s v="ACCESORIO PLAYERO MARINO-FUCSIA"/>
    <n v="496"/>
    <n v="4"/>
    <n v="59.6"/>
    <s v="DIURNO"/>
    <m/>
    <n v="7"/>
    <n v="999"/>
    <n v="20845"/>
    <s v="FUCSIA"/>
    <n v="38"/>
    <n v="0"/>
    <n v="0"/>
    <n v="7.44"/>
    <n v="59.6"/>
    <n v="15"/>
    <n v="3973.3333333333335"/>
    <x v="1"/>
    <x v="0"/>
    <n v="6"/>
    <n v="8"/>
    <n v="330.66666666666669"/>
  </r>
  <r>
    <d v="2025-02-13T16:38:00"/>
    <s v="INYECTADO"/>
    <x v="8"/>
    <x v="30"/>
    <s v="SAID VILLAMIZAR"/>
    <s v="SEGUNDA"/>
    <s v="."/>
    <s v="PP INY MOLIDO"/>
    <x v="31"/>
    <s v="ACCESORIO PLAYERO MARINO-FUCSIA"/>
    <n v="343"/>
    <n v="3"/>
    <n v="40.9"/>
    <s v="DIURNO"/>
    <m/>
    <n v="4"/>
    <n v="999"/>
    <n v="20846"/>
    <s v="FUCSIA"/>
    <n v="24.1"/>
    <n v="0"/>
    <n v="0"/>
    <n v="5.1449999999999996"/>
    <n v="40.9"/>
    <n v="15"/>
    <n v="2726.6666666666665"/>
    <x v="1"/>
    <x v="0"/>
    <n v="7"/>
    <n v="8"/>
    <n v="228.66666666666666"/>
  </r>
  <r>
    <d v="2025-02-13T16:38:00"/>
    <s v="INYECTADO"/>
    <x v="8"/>
    <x v="30"/>
    <s v="SAID VILLAMIZAR"/>
    <s v="VIRGEN"/>
    <s v="PP CLARIFICADO"/>
    <s v="."/>
    <x v="31"/>
    <s v="ACCESORIO PLAYERO MARINO-AMARILLO"/>
    <n v="31"/>
    <n v="1"/>
    <n v="3.8"/>
    <s v="DIURNO"/>
    <m/>
    <n v="1"/>
    <n v="999"/>
    <n v="20846"/>
    <s v="AMARILLO"/>
    <n v="12.3"/>
    <n v="0"/>
    <n v="0"/>
    <n v="0.46500000000000002"/>
    <n v="3.8"/>
    <n v="15"/>
    <n v="253.33333333333334"/>
    <x v="1"/>
    <x v="0"/>
    <n v="7"/>
    <n v="8"/>
    <n v="20.666666666666668"/>
  </r>
  <r>
    <d v="2025-02-13T16:38:00"/>
    <s v="INYECTADO"/>
    <x v="8"/>
    <x v="30"/>
    <s v="SAID VILLAMIZAR"/>
    <s v="SEGUNDA"/>
    <s v="."/>
    <s v="PP INY MOLIDO"/>
    <x v="31"/>
    <s v="ACCESORIO PLAYERO MARINO-AZUL"/>
    <n v="372"/>
    <n v="3"/>
    <n v="45.4"/>
    <s v="DIURNO"/>
    <m/>
    <n v="4"/>
    <n v="999"/>
    <n v="20846"/>
    <s v="AZUL"/>
    <n v="27"/>
    <n v="0"/>
    <n v="0"/>
    <n v="5.58"/>
    <n v="45.4"/>
    <n v="15"/>
    <n v="3026.6666666666665"/>
    <x v="1"/>
    <x v="0"/>
    <n v="7"/>
    <n v="8"/>
    <n v="248"/>
  </r>
  <r>
    <d v="2025-02-13T16:38:00"/>
    <s v="INYECTADO"/>
    <x v="8"/>
    <x v="30"/>
    <s v="JUAN MANUEL PEREZ"/>
    <s v="SEGUNDA"/>
    <s v="."/>
    <s v="PP INY MOLIDO"/>
    <x v="31"/>
    <s v="ACCESORIO PLAYERO MARINO-LILA"/>
    <n v="247"/>
    <n v="2"/>
    <n v="29.4"/>
    <s v="NOCTURNO"/>
    <m/>
    <n v="4"/>
    <n v="999"/>
    <n v="20847"/>
    <s v="LILA"/>
    <n v="24"/>
    <n v="0"/>
    <n v="0"/>
    <n v="3.7050000000000001"/>
    <n v="29.4"/>
    <n v="15"/>
    <n v="1960"/>
    <x v="1"/>
    <x v="0"/>
    <n v="7"/>
    <n v="8"/>
    <n v="164.66666666666666"/>
  </r>
  <r>
    <d v="2025-02-13T16:38:00"/>
    <s v="INYECTADO"/>
    <x v="8"/>
    <x v="30"/>
    <s v="JUAN MANUEL PEREZ"/>
    <s v="SEGUNDA"/>
    <s v="."/>
    <s v="PP INY MOLIDO"/>
    <x v="31"/>
    <s v="ACCESORIO PLAYERO MARINO-FUCSIA"/>
    <n v="263"/>
    <n v="2"/>
    <n v="31.1"/>
    <s v="NOCTURNO"/>
    <m/>
    <n v="4"/>
    <n v="999"/>
    <n v="20847"/>
    <s v="FUCSIA"/>
    <n v="24.2"/>
    <n v="0"/>
    <n v="0"/>
    <n v="3.9449999999999998"/>
    <n v="31.1"/>
    <n v="15"/>
    <n v="2073.3333333333335"/>
    <x v="1"/>
    <x v="0"/>
    <n v="7"/>
    <n v="8"/>
    <n v="175.33333333333334"/>
  </r>
  <r>
    <d v="2025-02-13T16:38:00"/>
    <s v="INYECTADO"/>
    <x v="8"/>
    <x v="30"/>
    <s v="JUAN MANUEL PEREZ"/>
    <s v="SEGUNDA"/>
    <s v="."/>
    <s v="PP INY MOLIDO"/>
    <x v="31"/>
    <s v="ACCESORIO PLAYERO MARINO-VERDE"/>
    <n v="247"/>
    <n v="2"/>
    <n v="29.5"/>
    <s v="NOCTURNO"/>
    <m/>
    <n v="4"/>
    <n v="999"/>
    <n v="20847"/>
    <s v="VERDE"/>
    <n v="24"/>
    <n v="0"/>
    <n v="0"/>
    <n v="3.7050000000000001"/>
    <n v="29.5"/>
    <n v="15"/>
    <n v="1966.6666666666667"/>
    <x v="1"/>
    <x v="0"/>
    <n v="7"/>
    <n v="8"/>
    <n v="164.66666666666666"/>
  </r>
  <r>
    <d v="2025-02-13T16:38:00"/>
    <s v="INYECTADO"/>
    <x v="8"/>
    <x v="30"/>
    <s v="JUAN MANUEL PEREZ"/>
    <s v="SEGUNDA"/>
    <s v="."/>
    <s v="PP INY MOLIDO"/>
    <x v="31"/>
    <s v="ACCESORIO PLAYERO MARINO-ROJO"/>
    <n v="294"/>
    <n v="2"/>
    <n v="34.700000000000003"/>
    <s v="NOCTURNO"/>
    <m/>
    <n v="5"/>
    <n v="999"/>
    <n v="20847"/>
    <s v="ROJO"/>
    <n v="22"/>
    <n v="0"/>
    <n v="0"/>
    <n v="4.41"/>
    <n v="34.700000000000003"/>
    <n v="15"/>
    <n v="2313.3333333333335"/>
    <x v="1"/>
    <x v="0"/>
    <n v="7"/>
    <n v="8"/>
    <n v="196"/>
  </r>
  <r>
    <d v="2025-02-13T16:38:00"/>
    <s v="INYECTADO"/>
    <x v="8"/>
    <x v="31"/>
    <s v="LUIS PINEDO"/>
    <s v="SEGUNDA"/>
    <s v="."/>
    <s v="PP INY MOLIDO"/>
    <x v="54"/>
    <s v="ESCURRIDOR PORTAVAJILLA-VERDE"/>
    <n v="365"/>
    <n v="3"/>
    <n v="89.1"/>
    <s v="DIURNO"/>
    <m/>
    <n v="13"/>
    <n v="999"/>
    <n v="20848"/>
    <s v="VERDE"/>
    <n v="8.1999999999999993"/>
    <n v="0"/>
    <n v="0"/>
    <n v="89.79"/>
    <n v="89.1"/>
    <n v="246"/>
    <n v="362.19512195121951"/>
    <x v="1"/>
    <x v="0"/>
    <n v="7"/>
    <n v="1"/>
    <n v="30.416666666666668"/>
  </r>
  <r>
    <d v="2025-02-13T16:38:00"/>
    <s v="INYECTADO"/>
    <x v="8"/>
    <x v="31"/>
    <s v="LUIS PINEDO"/>
    <s v="VIRGEN"/>
    <s v="PP CLARIFICADO"/>
    <s v="."/>
    <x v="54"/>
    <s v="ESCURRIDOR PORTAVAJILLA-CREMA"/>
    <n v="102"/>
    <n v="1"/>
    <n v="24.9"/>
    <s v="DIURNO"/>
    <m/>
    <n v="6"/>
    <n v="999"/>
    <n v="20848"/>
    <s v="CREMA"/>
    <n v="4.2"/>
    <n v="0"/>
    <n v="0"/>
    <n v="25.091999999999999"/>
    <n v="24.9"/>
    <n v="246"/>
    <n v="101.21951219512195"/>
    <x v="1"/>
    <x v="0"/>
    <n v="7"/>
    <n v="1"/>
    <n v="8.5"/>
  </r>
  <r>
    <d v="2025-02-13T16:38:00"/>
    <s v="INYECTADO"/>
    <x v="8"/>
    <x v="31"/>
    <s v="JUAN MANUEL PEREZ"/>
    <s v="VIRGEN"/>
    <s v="PP CLARIFICADO"/>
    <s v="."/>
    <x v="54"/>
    <s v="ESCURRIDOR PORTAVAJILLA-CREMA"/>
    <n v="204"/>
    <n v="2"/>
    <n v="49.9"/>
    <s v="NOCTURNO"/>
    <m/>
    <n v="7"/>
    <n v="999"/>
    <n v="20849"/>
    <s v="CREMA"/>
    <n v="3"/>
    <n v="0"/>
    <n v="0"/>
    <n v="50.183999999999997"/>
    <n v="49.9"/>
    <n v="246"/>
    <n v="202.84552845528455"/>
    <x v="1"/>
    <x v="0"/>
    <n v="7"/>
    <n v="1"/>
    <n v="17"/>
  </r>
  <r>
    <d v="2025-02-13T16:38:00"/>
    <s v="INYECTADO"/>
    <x v="8"/>
    <x v="31"/>
    <s v="JUAN MANUEL PEREZ"/>
    <s v="SEGUNDA"/>
    <s v="."/>
    <s v="PP INY MOLIDO"/>
    <x v="54"/>
    <s v="ESCURRIDOR PORTAVAJILLA-MELON"/>
    <n v="245"/>
    <n v="2"/>
    <n v="71.900000000000006"/>
    <s v="NOCTURNO"/>
    <m/>
    <n v="2"/>
    <n v="999"/>
    <n v="20849"/>
    <s v="MELON"/>
    <n v="3.1"/>
    <n v="0"/>
    <n v="0"/>
    <n v="60.27"/>
    <n v="71.900000000000006"/>
    <n v="246"/>
    <n v="292.27642276422762"/>
    <x v="1"/>
    <x v="0"/>
    <n v="7"/>
    <n v="1"/>
    <n v="20.416666666666668"/>
  </r>
  <r>
    <d v="2025-02-13T16:38:00"/>
    <s v="INYECTADO"/>
    <x v="8"/>
    <x v="31"/>
    <s v="JUAN MANUEL PEREZ"/>
    <s v="SEGUNDA"/>
    <s v="."/>
    <s v="PP INY MOLIDO"/>
    <x v="54"/>
    <s v="ESCURRIDOR PORTAVAJILLA-ROSADO"/>
    <n v="395"/>
    <n v="3"/>
    <n v="96.3"/>
    <s v="NOCTURNO"/>
    <m/>
    <n v="13"/>
    <n v="999"/>
    <n v="20849"/>
    <s v="FUCSIA"/>
    <n v="2"/>
    <n v="0"/>
    <n v="0"/>
    <n v="97.17"/>
    <n v="96.3"/>
    <n v="246"/>
    <n v="391.46341463414632"/>
    <x v="1"/>
    <x v="0"/>
    <n v="7"/>
    <n v="1"/>
    <n v="32.916666666666664"/>
  </r>
  <r>
    <d v="2025-02-13T16:38:00"/>
    <s v="INYECTADO"/>
    <x v="8"/>
    <x v="31"/>
    <s v="JUAN MANUEL PEREZ"/>
    <s v="SEGUNDA"/>
    <s v="."/>
    <s v="PP INY MOLIDO"/>
    <x v="54"/>
    <s v="ESCURRIDOR PORTAVAJILLA-TURQUESA"/>
    <n v="30"/>
    <n v="1"/>
    <n v="7.3"/>
    <s v="NOCTURNO"/>
    <m/>
    <n v="1"/>
    <n v="999"/>
    <n v="20849"/>
    <s v="TURQUESA"/>
    <n v="1"/>
    <n v="0"/>
    <n v="0"/>
    <n v="7.38"/>
    <n v="7.3"/>
    <n v="246"/>
    <n v="29.674796747967481"/>
    <x v="1"/>
    <x v="0"/>
    <n v="7"/>
    <n v="1"/>
    <n v="2.5"/>
  </r>
  <r>
    <d v="2025-02-13T16:38:00"/>
    <s v="INYECTADO"/>
    <x v="8"/>
    <x v="36"/>
    <s v="SAID VILLAMIZAR"/>
    <s v="SEGUNDA"/>
    <s v="."/>
    <s v="PP INY MOLIDO"/>
    <x v="54"/>
    <s v="ESCURRIDOR PORTAVAJILLA-TURQUESA"/>
    <n v="179"/>
    <n v="2"/>
    <n v="43.8"/>
    <s v="DIURNO"/>
    <m/>
    <n v="2"/>
    <n v="999"/>
    <n v="20850"/>
    <s v="TURQUESA"/>
    <n v="7"/>
    <n v="0"/>
    <n v="0"/>
    <n v="44.033999999999999"/>
    <n v="43.8"/>
    <n v="246"/>
    <n v="178.04878048780489"/>
    <x v="1"/>
    <x v="0"/>
    <n v="7"/>
    <n v="1"/>
    <n v="14.916666666666666"/>
  </r>
  <r>
    <d v="2025-02-13T16:38:00"/>
    <s v="INYECTADO"/>
    <x v="8"/>
    <x v="36"/>
    <s v="SAID VILLAMIZAR"/>
    <s v="SEGUNDA"/>
    <s v="."/>
    <s v="PP INY MOLIDO"/>
    <x v="54"/>
    <s v="ESCURRIDOR PORTAVAJILLA-ROSADO"/>
    <n v="72"/>
    <n v="1"/>
    <n v="17.600000000000001"/>
    <s v="DIURNO"/>
    <m/>
    <n v="1"/>
    <n v="999"/>
    <n v="20850"/>
    <s v="ROSADO"/>
    <n v="3.6"/>
    <n v="0"/>
    <n v="0"/>
    <n v="17.712"/>
    <n v="17.600000000000001"/>
    <n v="246"/>
    <n v="71.544715447154474"/>
    <x v="1"/>
    <x v="0"/>
    <n v="7"/>
    <n v="1"/>
    <n v="6"/>
  </r>
  <r>
    <d v="2025-02-13T16:38:00"/>
    <s v="INYECTADO"/>
    <x v="8"/>
    <x v="36"/>
    <s v="SAID VILLAMIZAR"/>
    <s v="SEGUNDA"/>
    <s v="."/>
    <s v="PP INY MOLIDO"/>
    <x v="54"/>
    <s v="ESCURRIDOR PORTAVAJILLA-LILA"/>
    <n v="60"/>
    <n v="1"/>
    <n v="14.8"/>
    <s v="DIURNO"/>
    <m/>
    <n v="1"/>
    <n v="999"/>
    <n v="20850"/>
    <s v="LILA"/>
    <n v="3.6"/>
    <n v="0"/>
    <n v="0"/>
    <n v="14.76"/>
    <n v="14.8"/>
    <n v="246"/>
    <n v="60.162601626016261"/>
    <x v="1"/>
    <x v="0"/>
    <n v="7"/>
    <n v="1"/>
    <n v="5"/>
  </r>
  <r>
    <d v="2025-02-13T16:38:00"/>
    <s v="INYECTADO"/>
    <x v="8"/>
    <x v="37"/>
    <s v="GABRIEL REQUENA"/>
    <s v="VIRGEN"/>
    <s v="PP CLARIFICADO"/>
    <s v="."/>
    <x v="55"/>
    <s v="JARRA REAL 6 LT-TRANSPARENTE"/>
    <n v="168"/>
    <n v="2"/>
    <n v="40.6"/>
    <s v="DIURNO"/>
    <m/>
    <n v="7"/>
    <n v="1008"/>
    <n v="20852"/>
    <s v="TRANSPARENTE"/>
    <n v="0"/>
    <n v="0"/>
    <n v="0"/>
    <n v="40.32"/>
    <n v="40.6"/>
    <n v="240"/>
    <n v="169.16666666666666"/>
    <x v="1"/>
    <x v="0"/>
    <n v="7"/>
    <n v="1"/>
    <n v="14"/>
  </r>
  <r>
    <d v="2025-02-13T16:38:00"/>
    <s v="INYECTADO"/>
    <x v="8"/>
    <x v="37"/>
    <s v="JUAN MANUEL PEREZ"/>
    <s v="VIRGEN"/>
    <s v="PP CLARIFICADO"/>
    <s v="."/>
    <x v="55"/>
    <s v="JARRA REAL 6 LT-TRANSPARENTE"/>
    <n v="839"/>
    <n v="8"/>
    <n v="198.1"/>
    <s v="NOCTURNO"/>
    <m/>
    <n v="32"/>
    <n v="1008"/>
    <n v="20851"/>
    <s v="TRANSPARENTE"/>
    <n v="12.5"/>
    <n v="0"/>
    <n v="0"/>
    <n v="201.36"/>
    <n v="198.1"/>
    <n v="240"/>
    <n v="825.41666666666663"/>
    <x v="1"/>
    <x v="0"/>
    <n v="7"/>
    <n v="1"/>
    <n v="69.916666666666671"/>
  </r>
  <r>
    <d v="2025-02-13T16:38:00"/>
    <s v="INYECTADO"/>
    <x v="8"/>
    <x v="32"/>
    <s v="LEYDI VALLEZ"/>
    <s v="VIRGEN"/>
    <s v="PP CLARIFICADO"/>
    <s v="."/>
    <x v="55"/>
    <s v="JARRA REAL 6 LT-TRANSPARENTE"/>
    <n v="1029"/>
    <n v="12"/>
    <n v="249.2"/>
    <s v="DIURNO"/>
    <m/>
    <n v="24"/>
    <n v="1008"/>
    <n v="20853"/>
    <s v="TRANSPARENTE"/>
    <n v="17.100000000000001"/>
    <n v="0"/>
    <n v="0"/>
    <n v="246.96"/>
    <n v="249.2"/>
    <n v="240"/>
    <n v="1038.3333333333333"/>
    <x v="1"/>
    <x v="0"/>
    <n v="7"/>
    <n v="1"/>
    <n v="85.75"/>
  </r>
  <r>
    <d v="2025-02-13T16:38:00"/>
    <s v="INYECTADO"/>
    <x v="8"/>
    <x v="32"/>
    <s v="JUAN MANUEL PEREZ"/>
    <s v="VIRGEN"/>
    <s v="PP CLARIFICADO"/>
    <s v="."/>
    <x v="55"/>
    <s v="JARRA REAL 6 LT-TRANSPARENTE"/>
    <n v="854"/>
    <n v="8"/>
    <n v="200.8"/>
    <s v="NOCTURNO"/>
    <m/>
    <n v="32"/>
    <n v="1008"/>
    <n v="20854"/>
    <s v="TRANSPARENTE"/>
    <n v="12"/>
    <n v="0"/>
    <n v="0"/>
    <n v="204.96"/>
    <n v="200.8"/>
    <n v="240"/>
    <n v="836.66666666666663"/>
    <x v="1"/>
    <x v="0"/>
    <n v="7"/>
    <n v="1"/>
    <n v="71.166666666666671"/>
  </r>
  <r>
    <d v="2025-02-13T16:38:00"/>
    <s v="INYECTADO"/>
    <x v="8"/>
    <x v="33"/>
    <s v="ISABEL LINARIZ "/>
    <s v="VIRGEN"/>
    <s v="PP CLARIFICADO"/>
    <s v="."/>
    <x v="55"/>
    <s v="JARRA REAL 6 LT-TRANSPARENTE"/>
    <n v="931"/>
    <n v="12"/>
    <n v="219"/>
    <s v="DIURNO"/>
    <m/>
    <n v="38"/>
    <n v="1008"/>
    <n v="20855"/>
    <s v="TRANSPARENTE"/>
    <n v="10.9"/>
    <n v="0"/>
    <n v="0"/>
    <n v="223.44"/>
    <n v="219"/>
    <n v="240"/>
    <n v="912.5"/>
    <x v="1"/>
    <x v="0"/>
    <n v="7"/>
    <n v="1"/>
    <n v="77.583333333333329"/>
  </r>
  <r>
    <d v="2025-02-13T16:38:00"/>
    <s v="INYECTADO"/>
    <x v="8"/>
    <x v="33"/>
    <s v="JUAN MANUEL PEREZ"/>
    <s v="VIRGEN"/>
    <s v="PP CLARIFICADO"/>
    <s v="."/>
    <x v="55"/>
    <s v="JARRA REAL 6 LT-trANSPARENTE"/>
    <n v="926"/>
    <n v="12"/>
    <n v="227"/>
    <s v="NOCTURNO"/>
    <m/>
    <n v="31"/>
    <n v="1008"/>
    <n v="20856"/>
    <s v="TRANSPARENTE"/>
    <n v="12"/>
    <n v="0"/>
    <n v="0"/>
    <n v="222.24"/>
    <n v="227"/>
    <n v="240"/>
    <n v="945.83333333333337"/>
    <x v="1"/>
    <x v="0"/>
    <n v="7"/>
    <n v="1"/>
    <n v="77.166666666666671"/>
  </r>
  <r>
    <d v="2025-02-13T16:38:00"/>
    <s v="INYECTADO"/>
    <x v="8"/>
    <x v="34"/>
    <s v="ISABEL LINARIZ "/>
    <s v="VIRGEN"/>
    <s v="PP CLARIFICADO"/>
    <s v="."/>
    <x v="55"/>
    <s v="JARRA REAL 6 LT-trANSPARENTE"/>
    <n v="828"/>
    <n v="11"/>
    <n v="203"/>
    <s v="DIURNO"/>
    <m/>
    <n v="35"/>
    <n v="1008"/>
    <n v="20857"/>
    <s v="TRANSPARENTE"/>
    <n v="11.7"/>
    <n v="0"/>
    <n v="0"/>
    <n v="198.72"/>
    <n v="203"/>
    <n v="240"/>
    <n v="845.83333333333337"/>
    <x v="1"/>
    <x v="0"/>
    <n v="8"/>
    <n v="1"/>
    <n v="69"/>
  </r>
  <r>
    <d v="2025-02-13T16:38:00"/>
    <s v="INYECTADO"/>
    <x v="8"/>
    <x v="43"/>
    <s v="LUIS RENGIFO"/>
    <s v="VIRGEN"/>
    <s v="PP CLARIFICADO"/>
    <s v="."/>
    <x v="21"/>
    <s v="BASE ORGANIZADOR DE 3KG PASTEL-CELESTE"/>
    <n v="152"/>
    <n v="2"/>
    <n v="28.9"/>
    <s v="DIURNO"/>
    <m/>
    <n v="5"/>
    <n v="1014"/>
    <n v="20858"/>
    <s v="CELESTE"/>
    <n v="4.5999999999999996"/>
    <n v="0"/>
    <n v="0"/>
    <n v="14.896000000000001"/>
    <n v="28.9"/>
    <n v="98"/>
    <n v="294.89795918367349"/>
    <x v="1"/>
    <x v="0"/>
    <n v="8"/>
    <n v="2"/>
    <n v="25.333333333333332"/>
  </r>
  <r>
    <d v="2025-02-13T16:38:00"/>
    <s v="INYECTADO"/>
    <x v="8"/>
    <x v="43"/>
    <s v="FABIAN HERNANDEZ"/>
    <s v="VIRGEN"/>
    <s v="PP CLARIFICADO"/>
    <s v="."/>
    <x v="21"/>
    <s v="BASE ORGANIZADOR DE 3KG PASTEL-CELESTE"/>
    <n v="92"/>
    <n v="1"/>
    <n v="18.2"/>
    <s v="NOCTURNO"/>
    <m/>
    <n v="3"/>
    <n v="1014"/>
    <n v="20859"/>
    <s v="CELESTE"/>
    <n v="3.6"/>
    <n v="0"/>
    <n v="0"/>
    <n v="9.016"/>
    <n v="18.2"/>
    <n v="98"/>
    <n v="185.71428571428572"/>
    <x v="1"/>
    <x v="0"/>
    <n v="8"/>
    <n v="2"/>
    <n v="15.333333333333334"/>
  </r>
  <r>
    <d v="2025-02-13T16:38:00"/>
    <s v="INYECTADO"/>
    <x v="8"/>
    <x v="43"/>
    <s v="FABIAN HERNANDEZ"/>
    <s v="VIRGEN"/>
    <s v="PP CLARIFICADO"/>
    <s v="."/>
    <x v="21"/>
    <s v="BASE ORGANIZADOR DE 3KG PASTEL-TURQUESA"/>
    <n v="239"/>
    <n v="2"/>
    <n v="47"/>
    <s v="NOCTURNO"/>
    <m/>
    <n v="8"/>
    <n v="1014"/>
    <n v="20859"/>
    <s v="TURQUESA"/>
    <n v="6"/>
    <n v="0"/>
    <n v="0"/>
    <n v="23.422000000000001"/>
    <n v="47"/>
    <n v="98"/>
    <n v="479.59183673469386"/>
    <x v="1"/>
    <x v="0"/>
    <n v="8"/>
    <n v="2"/>
    <n v="39.833333333333336"/>
  </r>
  <r>
    <d v="2025-02-13T16:38:00"/>
    <s v="INYECTADO"/>
    <x v="8"/>
    <x v="43"/>
    <s v="FABIAN HERNANDEZ"/>
    <s v="VIRGEN"/>
    <s v="PP CLARIFICADO"/>
    <s v="."/>
    <x v="21"/>
    <s v="BASE ORGANIZADOR DE 3KG PASTEL-ROSADO"/>
    <n v="238"/>
    <n v="2"/>
    <n v="46.9"/>
    <s v="NOCTURNO"/>
    <m/>
    <n v="8"/>
    <n v="1014"/>
    <n v="20859"/>
    <s v="ROSADO"/>
    <n v="2.5"/>
    <n v="0"/>
    <n v="0"/>
    <n v="23.324000000000002"/>
    <n v="46.9"/>
    <n v="98"/>
    <n v="478.57142857142856"/>
    <x v="1"/>
    <x v="0"/>
    <n v="8"/>
    <n v="2"/>
    <n v="39.666666666666664"/>
  </r>
  <r>
    <d v="2025-02-13T16:38:00"/>
    <s v="INYECTADO"/>
    <x v="8"/>
    <x v="43"/>
    <s v="FABIAN HERNANDEZ"/>
    <s v="VIRGEN"/>
    <s v="PP CLARIFICADO"/>
    <s v="."/>
    <x v="21"/>
    <s v="BASE ORGANIZADOR DE 3KG PASTEL-LILA"/>
    <n v="220"/>
    <n v="2"/>
    <n v="43.3"/>
    <s v="NOCTURNO"/>
    <m/>
    <n v="7"/>
    <n v="1014"/>
    <n v="20859"/>
    <s v="LILA"/>
    <n v="10.5"/>
    <n v="0"/>
    <n v="0"/>
    <n v="21.56"/>
    <n v="43.3"/>
    <n v="98"/>
    <n v="441.83673469387753"/>
    <x v="1"/>
    <x v="0"/>
    <n v="8"/>
    <n v="2"/>
    <n v="36.666666666666664"/>
  </r>
  <r>
    <d v="2025-02-13T16:38:00"/>
    <s v="INYECTADO"/>
    <x v="8"/>
    <x v="43"/>
    <s v="FABIAN HERNANDEZ"/>
    <s v="VIRGEN"/>
    <s v="PP CLARIFICADO"/>
    <s v="."/>
    <x v="21"/>
    <s v="BASE ORGANIZADOR DE 3KG PASTEL-AZURE"/>
    <n v="30"/>
    <n v="1"/>
    <n v="5.9"/>
    <s v="NOCTURNO"/>
    <m/>
    <n v="1"/>
    <n v="1014"/>
    <n v="20859"/>
    <s v="AZUL"/>
    <n v="2.2999999999999998"/>
    <n v="0"/>
    <n v="0"/>
    <n v="2.94"/>
    <n v="5.9"/>
    <n v="98"/>
    <n v="60.204081632653065"/>
    <x v="1"/>
    <x v="0"/>
    <n v="8"/>
    <n v="2"/>
    <n v="5"/>
  </r>
  <r>
    <d v="2025-02-13T16:38:00"/>
    <s v="INYECTADO"/>
    <x v="8"/>
    <x v="44"/>
    <s v="JUAN CARLOS CEDENO"/>
    <s v="VIRGEN"/>
    <s v="PP CLARIFICADO"/>
    <s v="."/>
    <x v="21"/>
    <s v="BASE ORGANIZADOR DE 3KG PASTEL-AZURE"/>
    <n v="187"/>
    <n v="2"/>
    <n v="34.799999999999997"/>
    <s v="DIURNO"/>
    <m/>
    <n v="6"/>
    <n v="1014"/>
    <n v="20860"/>
    <s v="AZURE"/>
    <n v="9"/>
    <n v="0"/>
    <n v="0"/>
    <n v="18.326000000000001"/>
    <n v="34.799999999999997"/>
    <n v="98"/>
    <n v="355.10204081632651"/>
    <x v="1"/>
    <x v="0"/>
    <n v="8"/>
    <n v="2"/>
    <n v="31.166666666666668"/>
  </r>
  <r>
    <d v="2025-02-13T16:38:00"/>
    <s v="INYECTADO"/>
    <x v="8"/>
    <x v="44"/>
    <s v="JUAN CARLOS CEDENO"/>
    <s v="VIRGEN"/>
    <s v="PP CLARIFICADO"/>
    <s v="."/>
    <x v="21"/>
    <s v="BASE ORGANIZADOR DE 3KG PASTEL-SANDIA"/>
    <n v="679"/>
    <n v="6"/>
    <n v="126.3"/>
    <s v="DIURNO"/>
    <m/>
    <n v="22"/>
    <n v="1014"/>
    <n v="20860"/>
    <s v="SANDIA"/>
    <n v="10.6"/>
    <n v="0"/>
    <n v="0"/>
    <n v="66.542000000000002"/>
    <n v="126.3"/>
    <n v="98"/>
    <n v="1288.7755102040817"/>
    <x v="1"/>
    <x v="0"/>
    <n v="8"/>
    <n v="2"/>
    <n v="113.16666666666667"/>
  </r>
  <r>
    <d v="2025-02-13T16:38:00"/>
    <s v="INYECTADO"/>
    <x v="8"/>
    <x v="44"/>
    <s v="JUAN CARLOS CEDENO"/>
    <s v="VIRGEN"/>
    <s v="PP CLARIFICADO"/>
    <s v="."/>
    <x v="21"/>
    <s v="BASE ORGANIZADOR DE 3KG PASTEL-CELESTE"/>
    <n v="349"/>
    <n v="3"/>
    <n v="66"/>
    <s v="DIURNO"/>
    <m/>
    <n v="12"/>
    <n v="1014"/>
    <n v="20860"/>
    <s v="CELESTE"/>
    <n v="8.8000000000000007"/>
    <n v="0"/>
    <n v="0"/>
    <n v="34.201999999999998"/>
    <n v="66"/>
    <n v="98"/>
    <n v="673.46938775510205"/>
    <x v="1"/>
    <x v="0"/>
    <n v="8"/>
    <n v="2"/>
    <n v="58.166666666666664"/>
  </r>
  <r>
    <d v="2025-02-13T16:38:00"/>
    <s v="INYECTADO"/>
    <x v="8"/>
    <x v="51"/>
    <s v="JOSE CAHUACHI"/>
    <s v="VIRGEN"/>
    <s v="PP CLARIFICADO"/>
    <s v="."/>
    <x v="21"/>
    <s v="BASE ORGANIZADOR DE 3KG PASTEL-CELESTE"/>
    <n v="44"/>
    <n v="1"/>
    <n v="8.4"/>
    <s v="DIURNO"/>
    <m/>
    <n v="2"/>
    <n v="1014"/>
    <n v="20861"/>
    <s v="CELESTE"/>
    <n v="2.7"/>
    <n v="0"/>
    <n v="0"/>
    <n v="4.3120000000000003"/>
    <n v="8.4"/>
    <n v="98"/>
    <n v="85.714285714285708"/>
    <x v="1"/>
    <x v="0"/>
    <n v="8"/>
    <n v="2"/>
    <n v="7.333333333333333"/>
  </r>
  <r>
    <d v="2025-02-13T16:38:00"/>
    <s v="INYECTADO"/>
    <x v="8"/>
    <x v="51"/>
    <s v="JOSE CAHUACHI"/>
    <s v="VIRGEN"/>
    <s v="PP CLARIFICADO"/>
    <s v="."/>
    <x v="21"/>
    <s v="BASE ORGANIZADOR DE 3KG PASTEL-AZURE"/>
    <n v="328"/>
    <n v="3"/>
    <n v="62.4"/>
    <s v="DIURNO"/>
    <m/>
    <n v="11"/>
    <n v="1014"/>
    <n v="20861"/>
    <s v="AZURE"/>
    <n v="8.9"/>
    <n v="0"/>
    <n v="0"/>
    <n v="32.143999999999998"/>
    <n v="62.4"/>
    <n v="98"/>
    <n v="636.73469387755097"/>
    <x v="1"/>
    <x v="0"/>
    <n v="8"/>
    <n v="2"/>
    <n v="54.666666666666664"/>
  </r>
  <r>
    <d v="2025-02-13T16:38:00"/>
    <s v="INYECTADO"/>
    <x v="8"/>
    <x v="51"/>
    <s v="JOSE CAHUACHI"/>
    <s v="VIRGEN"/>
    <s v="PP CLARIFICADO"/>
    <s v="."/>
    <x v="21"/>
    <s v="BASE ORGANIZADOR DE 3KG PASTEL-TURQUESA"/>
    <n v="329"/>
    <n v="3"/>
    <n v="62.6"/>
    <s v="DIURNO"/>
    <m/>
    <n v="11"/>
    <n v="1014"/>
    <n v="20861"/>
    <s v="TURQUESA"/>
    <n v="0.8"/>
    <n v="0"/>
    <n v="0"/>
    <n v="32.241999999999997"/>
    <n v="62.6"/>
    <n v="98"/>
    <n v="638.77551020408168"/>
    <x v="1"/>
    <x v="0"/>
    <n v="8"/>
    <n v="2"/>
    <n v="54.833333333333336"/>
  </r>
  <r>
    <d v="2025-02-13T16:38:00"/>
    <s v="INYECTADO"/>
    <x v="8"/>
    <x v="51"/>
    <s v="FABIAN HERNANDEZ"/>
    <s v="VIRGEN"/>
    <s v="PP CLARIFICADO"/>
    <s v="."/>
    <x v="21"/>
    <s v="BASE ORGANIZADOR DE 3KG PASTEL-ROSADO"/>
    <n v="176"/>
    <n v="2"/>
    <n v="33.6"/>
    <s v="NOCTURNO"/>
    <m/>
    <n v="6"/>
    <n v="1014"/>
    <n v="20862"/>
    <s v="ROSADO"/>
    <n v="1.8"/>
    <n v="0"/>
    <n v="0"/>
    <n v="17.248000000000001"/>
    <n v="33.6"/>
    <n v="98"/>
    <n v="342.85714285714283"/>
    <x v="1"/>
    <x v="0"/>
    <n v="8"/>
    <n v="2"/>
    <n v="29.333333333333332"/>
  </r>
  <r>
    <d v="2025-02-13T16:38:00"/>
    <s v="INYECTADO"/>
    <x v="8"/>
    <x v="52"/>
    <s v="JOSDER GONZALEZ"/>
    <s v="VIRGEN"/>
    <s v="PP CLARIFICADO"/>
    <s v="."/>
    <x v="21"/>
    <s v="BASE ORGANIZADOR DE 3KG PASTEL-ROSADO"/>
    <n v="144"/>
    <n v="2"/>
    <n v="27.5"/>
    <s v="DIURNO"/>
    <m/>
    <n v="2"/>
    <n v="1014"/>
    <n v="20863"/>
    <s v="ROSADO"/>
    <n v="9.6999999999999993"/>
    <n v="0"/>
    <n v="0"/>
    <n v="14.112"/>
    <n v="27.5"/>
    <n v="98"/>
    <n v="280.61224489795916"/>
    <x v="1"/>
    <x v="0"/>
    <n v="8"/>
    <n v="2"/>
    <n v="24"/>
  </r>
  <r>
    <d v="2025-02-13T16:38:00"/>
    <s v="INYECTADO"/>
    <x v="8"/>
    <x v="52"/>
    <s v="JOSDER GONZALEZ"/>
    <s v="VIRGEN"/>
    <s v="PP CLARIFICADO"/>
    <s v="."/>
    <x v="21"/>
    <s v="BASE ORGANIZADOR DE 3KG PASTEL-LILA"/>
    <n v="327"/>
    <n v="3"/>
    <n v="62.2"/>
    <s v="DIURNO"/>
    <m/>
    <n v="5"/>
    <n v="1014"/>
    <n v="20863"/>
    <s v="LILA"/>
    <n v="8"/>
    <n v="0"/>
    <n v="0"/>
    <n v="32.045999999999999"/>
    <n v="62.2"/>
    <n v="98"/>
    <n v="634.69387755102036"/>
    <x v="1"/>
    <x v="0"/>
    <n v="8"/>
    <n v="2"/>
    <n v="54.5"/>
  </r>
  <r>
    <d v="2025-02-13T16:38:00"/>
    <s v="INYECTADO"/>
    <x v="8"/>
    <x v="52"/>
    <s v="JOSDER GONZALEZ"/>
    <s v="VIRGEN"/>
    <s v="PP CLARIFICADO"/>
    <s v="."/>
    <x v="56"/>
    <s v="BASE ORGANIZADOR  DE 3KG CARAMELO-AZUL"/>
    <n v="333"/>
    <n v="3"/>
    <n v="63.4"/>
    <s v="DIURNO"/>
    <m/>
    <n v="10"/>
    <n v="1014"/>
    <n v="20863"/>
    <s v="AZUL"/>
    <n v="1.2"/>
    <n v="0"/>
    <n v="0"/>
    <n v="32.634"/>
    <n v="63.4"/>
    <n v="98"/>
    <n v="646.9387755102041"/>
    <x v="1"/>
    <x v="0"/>
    <n v="8"/>
    <n v="2"/>
    <n v="55.5"/>
  </r>
  <r>
    <d v="2025-02-13T16:38:00"/>
    <s v="INYECTADO"/>
    <x v="8"/>
    <x v="52"/>
    <s v="ISABEL LINARIZ "/>
    <s v="VIRGEN"/>
    <s v="PP CLARIFICADO"/>
    <s v="."/>
    <x v="56"/>
    <s v="BASE ORGANIZADOR  DE 3KG CARAMELO-AZUL"/>
    <n v="215"/>
    <n v="2"/>
    <n v="41"/>
    <s v="NOCTURNO"/>
    <m/>
    <n v="8"/>
    <n v="1014"/>
    <n v="20864"/>
    <s v="AZUL"/>
    <n v="0"/>
    <n v="0"/>
    <n v="0"/>
    <n v="21.07"/>
    <n v="41"/>
    <n v="98"/>
    <n v="418.36734693877548"/>
    <x v="1"/>
    <x v="0"/>
    <n v="8"/>
    <n v="2"/>
    <n v="35.833333333333336"/>
  </r>
  <r>
    <d v="2025-02-13T16:38:00"/>
    <s v="INYECTADO"/>
    <x v="8"/>
    <x v="52"/>
    <s v="ISABEL LINARIZ "/>
    <s v="VIRGEN"/>
    <s v="PP CLARIFICADO"/>
    <s v="."/>
    <x v="56"/>
    <s v="BASE ORGANIZADOR  DE 3KG CARAMELO-AMARILLO"/>
    <n v="762"/>
    <n v="7"/>
    <n v="144.9"/>
    <s v="NOCTURNO"/>
    <m/>
    <n v="18"/>
    <n v="1014"/>
    <n v="20864"/>
    <s v="AMARILLO"/>
    <n v="6.9"/>
    <n v="0"/>
    <n v="0"/>
    <n v="74.676000000000002"/>
    <n v="144.9"/>
    <n v="98"/>
    <n v="1478.5714285714287"/>
    <x v="1"/>
    <x v="0"/>
    <n v="8"/>
    <n v="2"/>
    <n v="127"/>
  </r>
  <r>
    <d v="2025-02-13T16:38:00"/>
    <s v="INYECTADO"/>
    <x v="8"/>
    <x v="52"/>
    <s v="ISABEL LINARIZ "/>
    <s v="VIRGEN"/>
    <s v="PP CLARIFICADO"/>
    <s v="."/>
    <x v="56"/>
    <s v="BASE ORGANIZADOR  DE 3KG CARAMELO-VERDE"/>
    <n v="213"/>
    <n v="2"/>
    <n v="40.5"/>
    <s v="NOCTURNO"/>
    <m/>
    <n v="7"/>
    <n v="1014"/>
    <n v="20864"/>
    <s v="VERDE"/>
    <n v="3.7"/>
    <n v="0"/>
    <n v="0"/>
    <n v="20.873999999999999"/>
    <n v="40.5"/>
    <n v="98"/>
    <n v="413.26530612244898"/>
    <x v="1"/>
    <x v="0"/>
    <n v="8"/>
    <n v="2"/>
    <n v="35.5"/>
  </r>
  <r>
    <d v="2025-02-13T16:38:00"/>
    <s v="INYECTADO"/>
    <x v="8"/>
    <x v="53"/>
    <s v="LUIS PINEDO"/>
    <s v="VIRGEN"/>
    <s v="PP CLARIFICADO"/>
    <s v="."/>
    <x v="56"/>
    <s v="BASE ORGANIZADOR  DE 3KG CARAMELO-VERDE"/>
    <n v="348"/>
    <n v="3"/>
    <n v="65.900000000000006"/>
    <s v="DIURNO"/>
    <m/>
    <n v="12"/>
    <n v="1014"/>
    <n v="20865"/>
    <s v="VERDE"/>
    <n v="5.4"/>
    <n v="0"/>
    <n v="0"/>
    <n v="34.103999999999999"/>
    <n v="65.900000000000006"/>
    <n v="98"/>
    <n v="672.44897959183675"/>
    <x v="1"/>
    <x v="0"/>
    <n v="8"/>
    <n v="2"/>
    <n v="58"/>
  </r>
  <r>
    <d v="2025-02-13T16:38:00"/>
    <s v="INYECTADO"/>
    <x v="8"/>
    <x v="53"/>
    <s v="LUIS PINEDO"/>
    <s v="VIRGEN"/>
    <s v="PP CLARIFICADO"/>
    <s v="."/>
    <x v="56"/>
    <s v="BASE ORGANIZADOR  DE 3KG CARAMELO-ROJO"/>
    <n v="122"/>
    <n v="2"/>
    <n v="23.1"/>
    <s v="DIURNO"/>
    <m/>
    <n v="4"/>
    <n v="1014"/>
    <n v="20865"/>
    <s v="ROJO"/>
    <n v="0"/>
    <n v="0"/>
    <n v="0"/>
    <n v="11.956"/>
    <n v="23.1"/>
    <n v="98"/>
    <n v="235.71428571428572"/>
    <x v="1"/>
    <x v="0"/>
    <n v="8"/>
    <n v="2"/>
    <n v="20.333333333333332"/>
  </r>
  <r>
    <d v="2025-02-13T16:38:00"/>
    <s v="INYECTADO"/>
    <x v="8"/>
    <x v="53"/>
    <s v="FABIAN HERNANDEZ"/>
    <s v="VIRGEN"/>
    <s v="PP CLARIFICADO"/>
    <s v="."/>
    <x v="56"/>
    <s v="BASE ORGANIZADOR  DE 3KG CARAMELO-ROJO"/>
    <n v="353"/>
    <n v="4"/>
    <n v="67.2"/>
    <s v="NOCTURNO"/>
    <m/>
    <n v="12"/>
    <n v="1014"/>
    <n v="20866"/>
    <s v="ROJO"/>
    <n v="8.1"/>
    <n v="0"/>
    <n v="0"/>
    <n v="34.594000000000001"/>
    <n v="67.2"/>
    <n v="98"/>
    <n v="685.71428571428567"/>
    <x v="1"/>
    <x v="0"/>
    <n v="8"/>
    <n v="2"/>
    <n v="58.833333333333336"/>
  </r>
  <r>
    <d v="2025-02-13T16:38:00"/>
    <s v="INYECTADO"/>
    <x v="8"/>
    <x v="53"/>
    <s v="FABIAN HERNANDEZ"/>
    <s v="VIRGEN"/>
    <s v="PP CLARIFICADO"/>
    <s v="."/>
    <x v="56"/>
    <s v="BASE ORGANIZADOR  DE 3KG CARAMELO-FUCSIA"/>
    <n v="427"/>
    <n v="5"/>
    <n v="81.2"/>
    <s v="NOCTURNO"/>
    <m/>
    <n v="12"/>
    <n v="1014"/>
    <n v="20866"/>
    <s v="FUCSIA"/>
    <n v="0"/>
    <n v="0"/>
    <n v="0"/>
    <n v="41.845999999999997"/>
    <n v="81.2"/>
    <n v="98"/>
    <n v="828.57142857142856"/>
    <x v="1"/>
    <x v="0"/>
    <n v="8"/>
    <n v="2"/>
    <n v="71.166666666666671"/>
  </r>
  <r>
    <d v="2025-02-13T16:38:00"/>
    <s v="INYECTADO"/>
    <x v="8"/>
    <x v="45"/>
    <s v="ISABEL LINARIZ "/>
    <s v="VIRGEN"/>
    <s v="PP CLARIFICADO"/>
    <s v="."/>
    <x v="56"/>
    <s v="BASE ORGANIZADOR  DE 3KG CARAMELO-FUCSIA"/>
    <n v="122"/>
    <n v="2"/>
    <n v="23.2"/>
    <s v="DIURNO"/>
    <m/>
    <n v="4"/>
    <n v="1014"/>
    <n v="20867"/>
    <s v="FUCSIA"/>
    <n v="2.5"/>
    <n v="0"/>
    <n v="0"/>
    <n v="11.956"/>
    <n v="23.2"/>
    <n v="98"/>
    <n v="236.73469387755102"/>
    <x v="1"/>
    <x v="0"/>
    <n v="9"/>
    <n v="2"/>
    <n v="20.333333333333332"/>
  </r>
  <r>
    <d v="2025-02-13T16:38:00"/>
    <s v="INYECTADO"/>
    <x v="8"/>
    <x v="45"/>
    <s v="ISABEL LINARIZ "/>
    <s v="VIRGEN"/>
    <s v="PP CLARIFICADO"/>
    <s v="."/>
    <x v="56"/>
    <s v="BASE ORGANIZADOR  DE 3KG CARAMELO-LILA"/>
    <n v="518"/>
    <n v="5"/>
    <n v="98.6"/>
    <s v="DIURNO"/>
    <m/>
    <n v="17"/>
    <n v="1014"/>
    <n v="20867"/>
    <s v="LILA"/>
    <n v="4.5"/>
    <n v="0"/>
    <n v="0"/>
    <n v="50.764000000000003"/>
    <n v="98.6"/>
    <n v="98"/>
    <n v="1006.1224489795918"/>
    <x v="1"/>
    <x v="0"/>
    <n v="9"/>
    <n v="2"/>
    <n v="86.333333333333329"/>
  </r>
  <r>
    <d v="2025-02-13T16:38:00"/>
    <s v="INYECTADO"/>
    <x v="8"/>
    <x v="46"/>
    <s v="GABRIEL REQUENA"/>
    <s v="VIRGEN"/>
    <s v="PP CLARIFICADO"/>
    <s v="."/>
    <x v="57"/>
    <s v="JARRA REAL 1200 LT-TRANSPARENTE"/>
    <n v="591"/>
    <n v="5"/>
    <n v="81"/>
    <s v="DIURNO"/>
    <m/>
    <n v="7"/>
    <n v="1026"/>
    <n v="20868"/>
    <s v="TRANSPARENTE"/>
    <n v="6.5"/>
    <n v="0"/>
    <n v="0"/>
    <n v="40.188000000000002"/>
    <n v="81"/>
    <n v="68"/>
    <n v="1191.1764705882354"/>
    <x v="1"/>
    <x v="0"/>
    <n v="9"/>
    <n v="2"/>
    <n v="98.5"/>
  </r>
  <r>
    <d v="2025-02-13T16:38:00"/>
    <s v="INYECTADO"/>
    <x v="8"/>
    <x v="46"/>
    <s v="BRAYAN PINEDO"/>
    <s v="VIRGEN"/>
    <s v="PP CLARIFICADO"/>
    <s v="."/>
    <x v="57"/>
    <s v="JARRA REAL 1200 LT-TRANSPARENTE"/>
    <n v="1219"/>
    <n v="12"/>
    <n v="162.5"/>
    <s v="NOCTURNO"/>
    <m/>
    <n v="14"/>
    <n v="1026"/>
    <n v="20869"/>
    <s v="TRANSPARENTE"/>
    <n v="2.4"/>
    <n v="0"/>
    <n v="0"/>
    <n v="82.891999999999996"/>
    <n v="162.5"/>
    <n v="68"/>
    <n v="2389.705882352941"/>
    <x v="1"/>
    <x v="0"/>
    <n v="9"/>
    <n v="2"/>
    <n v="203.16666666666666"/>
  </r>
  <r>
    <d v="2025-02-13T16:38:00"/>
    <s v="INYECTADO"/>
    <x v="8"/>
    <x v="39"/>
    <s v="JUAN CARLOS CEDENO"/>
    <s v="VIRGEN"/>
    <s v="PP CLARIFICADO"/>
    <s v="."/>
    <x v="57"/>
    <s v="JARRA REAL 1200 LT-TRANSPARENTE"/>
    <n v="654"/>
    <n v="7"/>
    <n v="90.3"/>
    <s v="DIURNO"/>
    <m/>
    <n v="10"/>
    <n v="1026"/>
    <n v="20870"/>
    <s v="TRANSPARENTE"/>
    <n v="0"/>
    <n v="0"/>
    <n v="0"/>
    <n v="44.472000000000001"/>
    <n v="90.3"/>
    <n v="68"/>
    <n v="1327.9411764705883"/>
    <x v="1"/>
    <x v="0"/>
    <n v="9"/>
    <n v="2"/>
    <n v="109"/>
  </r>
  <r>
    <d v="2025-02-13T16:38:00"/>
    <s v="INYECTADO"/>
    <x v="8"/>
    <x v="39"/>
    <s v="BRAYAN PINEDO"/>
    <s v="VIRGEN"/>
    <s v="PP CLARIFICADO"/>
    <s v="."/>
    <x v="57"/>
    <s v="JARRA REAL 1200 LT-TRANSPARENTE"/>
    <n v="1191"/>
    <n v="12"/>
    <n v="161.4"/>
    <s v="NOCTURNO"/>
    <m/>
    <n v="13"/>
    <n v="1026"/>
    <n v="20871"/>
    <s v="TRANSPARENTE"/>
    <n v="0"/>
    <n v="0"/>
    <n v="0"/>
    <n v="80.988"/>
    <n v="161.4"/>
    <n v="68"/>
    <n v="2373.5294117647059"/>
    <x v="1"/>
    <x v="0"/>
    <n v="9"/>
    <n v="2"/>
    <n v="198.5"/>
  </r>
  <r>
    <d v="2025-02-13T16:38:00"/>
    <s v="INYECTADO"/>
    <x v="8"/>
    <x v="40"/>
    <s v="ISABEL LINARIZ "/>
    <s v="VIRGEN"/>
    <s v="PP CLARIFICADO"/>
    <s v="."/>
    <x v="57"/>
    <s v="JARRA REAL 1200 LT-TRANSPARENTE"/>
    <n v="1115"/>
    <n v="11"/>
    <n v="155.80000000000001"/>
    <s v="DIURNO"/>
    <m/>
    <n v="16"/>
    <n v="1026"/>
    <n v="20872"/>
    <s v="TRANSPARENTE"/>
    <n v="0"/>
    <n v="0"/>
    <n v="0"/>
    <n v="75.819999999999993"/>
    <n v="155.80000000000001"/>
    <n v="68"/>
    <n v="2291.1764705882351"/>
    <x v="1"/>
    <x v="0"/>
    <n v="9"/>
    <n v="2"/>
    <n v="185.83333333333334"/>
  </r>
  <r>
    <d v="2025-02-13T16:38:00"/>
    <s v="INYECTADO"/>
    <x v="8"/>
    <x v="40"/>
    <s v="BRAYAN PINEDO"/>
    <s v="VIRGEN"/>
    <s v="PP CLARIFICADO"/>
    <s v="."/>
    <x v="57"/>
    <s v="JARRA REAL 1200 LT-TRANSPARENTE"/>
    <n v="1155"/>
    <n v="12"/>
    <n v="158.5"/>
    <s v="NOCTURNO"/>
    <m/>
    <n v="12"/>
    <n v="1026"/>
    <n v="20873"/>
    <s v="TRANSPARENTE"/>
    <n v="3.6"/>
    <n v="0"/>
    <n v="0"/>
    <n v="78.540000000000006"/>
    <n v="158.5"/>
    <n v="68"/>
    <n v="2330.8823529411766"/>
    <x v="1"/>
    <x v="0"/>
    <n v="9"/>
    <n v="2"/>
    <n v="192.5"/>
  </r>
  <r>
    <d v="2025-02-13T16:38:00"/>
    <s v="INYECTADO"/>
    <x v="10"/>
    <x v="41"/>
    <s v="LUIS PINEDO"/>
    <s v="SEGUNDA"/>
    <s v="."/>
    <s v="MIXTO"/>
    <x v="38"/>
    <s v="EMBUDO #4-AZUL"/>
    <n v="150"/>
    <n v="2"/>
    <n v="38"/>
    <s v="DIURNO"/>
    <m/>
    <n v="5"/>
    <n v="986"/>
    <n v="20562"/>
    <s v="AZUL"/>
    <n v="0"/>
    <n v="0"/>
    <n v="0"/>
    <n v="18.899999999999999"/>
    <n v="38"/>
    <n v="126"/>
    <n v="301.58730158730157"/>
    <x v="1"/>
    <x v="0"/>
    <n v="5"/>
    <n v="2"/>
    <n v="25"/>
  </r>
  <r>
    <d v="2025-02-13T16:38:00"/>
    <s v="INYECTADO"/>
    <x v="10"/>
    <x v="41"/>
    <s v="LUIS PINEDO"/>
    <s v="SEGUNDA"/>
    <s v="."/>
    <s v="MIXTO"/>
    <x v="38"/>
    <s v="EMBUDO #4-ANARANJADO"/>
    <n v="30"/>
    <n v="1"/>
    <n v="7.6"/>
    <s v="DIURNO"/>
    <m/>
    <n v="1"/>
    <n v="986"/>
    <n v="20562"/>
    <s v="ANARANJADO"/>
    <n v="0"/>
    <n v="0"/>
    <n v="0"/>
    <n v="3.78"/>
    <n v="7.6"/>
    <n v="126"/>
    <n v="60.317460317460316"/>
    <x v="1"/>
    <x v="0"/>
    <n v="5"/>
    <n v="2"/>
    <n v="5"/>
  </r>
  <r>
    <d v="2025-02-13T16:38:00"/>
    <s v="INYECTADO"/>
    <x v="10"/>
    <x v="41"/>
    <s v="LUIS PINEDO"/>
    <s v="SEGUNDA"/>
    <s v="."/>
    <s v="MIXTO"/>
    <x v="38"/>
    <s v="EMBUDO #4-VERDE"/>
    <n v="60"/>
    <n v="1"/>
    <n v="15"/>
    <s v="DIURNO"/>
    <m/>
    <n v="2"/>
    <n v="986"/>
    <n v="20562"/>
    <s v="VERDE"/>
    <n v="0"/>
    <n v="0"/>
    <n v="0"/>
    <n v="7.56"/>
    <n v="15"/>
    <n v="126"/>
    <n v="119.04761904761905"/>
    <x v="1"/>
    <x v="0"/>
    <n v="5"/>
    <n v="2"/>
    <n v="10"/>
  </r>
  <r>
    <d v="2025-02-13T16:38:00"/>
    <s v="INYECTADO"/>
    <x v="10"/>
    <x v="41"/>
    <s v="LUIS PINEDO"/>
    <s v="SEGUNDA"/>
    <s v="."/>
    <s v="MIXTO"/>
    <x v="38"/>
    <s v="EMBUDO #4-ROJO"/>
    <n v="60"/>
    <n v="1"/>
    <n v="15.2"/>
    <s v="DIURNO"/>
    <m/>
    <n v="2"/>
    <n v="986"/>
    <n v="20562"/>
    <s v="ROJO"/>
    <n v="0"/>
    <n v="0"/>
    <n v="0"/>
    <n v="7.56"/>
    <n v="15.2"/>
    <n v="126"/>
    <n v="120.63492063492063"/>
    <x v="1"/>
    <x v="0"/>
    <n v="5"/>
    <n v="2"/>
    <n v="10"/>
  </r>
  <r>
    <d v="2025-02-13T22:15:00"/>
    <s v="INYECTADO"/>
    <x v="10"/>
    <x v="41"/>
    <s v="PAUL MILLER"/>
    <s v="VIRGEN"/>
    <s v="PP CLARIFICADO"/>
    <s v="."/>
    <x v="35"/>
    <s v="TAPER 550ML PASTEL-ROSADO"/>
    <n v="60"/>
    <n v="1"/>
    <n v="4.5999999999999996"/>
    <s v="DIURNO"/>
    <m/>
    <n v="1"/>
    <n v="986"/>
    <n v="20563"/>
    <s v="ROSADO"/>
    <n v="5.7"/>
    <n v="0"/>
    <n v="0"/>
    <n v="2.2799999999999998"/>
    <n v="4.5999999999999996"/>
    <n v="38"/>
    <n v="121.05263157894737"/>
    <x v="1"/>
    <x v="0"/>
    <n v="5"/>
    <n v="2"/>
    <n v="10"/>
  </r>
  <r>
    <d v="2025-02-13T22:15:00"/>
    <s v="INYECTADO"/>
    <x v="10"/>
    <x v="41"/>
    <s v="PAUL MILLER"/>
    <s v="VIRGEN"/>
    <s v="PP CLARIFICADO"/>
    <s v="."/>
    <x v="35"/>
    <s v="TAPER 550ML PASTEL-CELESTE"/>
    <n v="610"/>
    <n v="5"/>
    <n v="46.8"/>
    <s v="DIURNO"/>
    <m/>
    <n v="5"/>
    <n v="986"/>
    <n v="20563"/>
    <s v="CELESTE"/>
    <n v="6.2"/>
    <n v="0"/>
    <n v="0"/>
    <n v="23.18"/>
    <n v="46.8"/>
    <n v="38"/>
    <n v="1231.578947368421"/>
    <x v="1"/>
    <x v="0"/>
    <n v="5"/>
    <n v="2"/>
    <n v="101.66666666666667"/>
  </r>
  <r>
    <d v="2025-02-13T22:15:00"/>
    <s v="INYECTADO"/>
    <x v="10"/>
    <x v="41"/>
    <s v="PAUL MILLER"/>
    <s v="VIRGEN"/>
    <s v="PP CLARIFICADO"/>
    <s v="."/>
    <x v="35"/>
    <s v="TAPER 550ML PASTEL-TURQUESA"/>
    <n v="597"/>
    <n v="5"/>
    <n v="45.8"/>
    <s v="DIURNO"/>
    <m/>
    <n v="5"/>
    <n v="986"/>
    <n v="20563"/>
    <s v="TURQUESA"/>
    <n v="10.1"/>
    <n v="0"/>
    <n v="0"/>
    <n v="22.686"/>
    <n v="45.8"/>
    <n v="38"/>
    <n v="1205.2631578947369"/>
    <x v="1"/>
    <x v="0"/>
    <n v="5"/>
    <n v="2"/>
    <n v="99.5"/>
  </r>
  <r>
    <d v="2025-02-13T22:15:00"/>
    <s v="INYECTADO"/>
    <x v="10"/>
    <x v="54"/>
    <s v="DAIMARY LINAREZ"/>
    <s v="VIRGEN"/>
    <s v="PP CLARIFICADO"/>
    <s v="."/>
    <x v="35"/>
    <s v="TAPER 550ML PASTEL-ROSADO"/>
    <n v="467"/>
    <n v="4"/>
    <n v="37.700000000000003"/>
    <s v="DIURNO"/>
    <m/>
    <n v="4"/>
    <n v="986"/>
    <n v="20564"/>
    <s v="ROSADO"/>
    <n v="6.2"/>
    <n v="0"/>
    <n v="0"/>
    <n v="17.745999999999999"/>
    <n v="37.700000000000003"/>
    <n v="38"/>
    <n v="992.10526315789468"/>
    <x v="1"/>
    <x v="0"/>
    <n v="5"/>
    <n v="2"/>
    <n v="77.833333333333329"/>
  </r>
  <r>
    <d v="2025-02-13T22:15:00"/>
    <s v="INYECTADO"/>
    <x v="10"/>
    <x v="54"/>
    <s v="DAIMARY LINAREZ"/>
    <s v="VIRGEN"/>
    <s v="PP CLARIFICADO"/>
    <s v="."/>
    <x v="35"/>
    <s v="TAPER 550ML PASTEL-LILA"/>
    <n v="600"/>
    <n v="4"/>
    <n v="48.5"/>
    <s v="DIURNO"/>
    <m/>
    <n v="5"/>
    <n v="986"/>
    <n v="20564"/>
    <s v="LILA"/>
    <n v="5.5"/>
    <n v="0"/>
    <n v="0"/>
    <n v="22.8"/>
    <n v="48.5"/>
    <n v="38"/>
    <n v="1276.3157894736842"/>
    <x v="1"/>
    <x v="0"/>
    <n v="5"/>
    <n v="2"/>
    <n v="100"/>
  </r>
  <r>
    <d v="2025-02-13T22:15:00"/>
    <s v="INYECTADO"/>
    <x v="10"/>
    <x v="54"/>
    <s v="SAID VILLAMIZAR"/>
    <s v="VIRGEN"/>
    <s v="PP CLARIFICADO"/>
    <s v="."/>
    <x v="35"/>
    <s v="TAPER 550ML PASTEL-AZURE"/>
    <n v="627"/>
    <n v="4"/>
    <n v="48.1"/>
    <s v="DIURNO"/>
    <m/>
    <n v="5"/>
    <n v="986"/>
    <n v="20565"/>
    <s v="AZURE"/>
    <n v="10.5"/>
    <n v="0"/>
    <n v="0"/>
    <n v="23.826000000000001"/>
    <n v="48.1"/>
    <n v="38"/>
    <n v="1265.7894736842106"/>
    <x v="1"/>
    <x v="0"/>
    <n v="5"/>
    <n v="2"/>
    <n v="104.5"/>
  </r>
  <r>
    <d v="2025-02-13T22:15:00"/>
    <s v="INYECTADO"/>
    <x v="10"/>
    <x v="54"/>
    <s v="SAID VILLAMIZAR"/>
    <s v="VIRGEN"/>
    <s v="PP CLARIFICADO"/>
    <s v="."/>
    <x v="35"/>
    <s v="TAPER 550ML PASTEL-SANDIA"/>
    <n v="595"/>
    <n v="5"/>
    <n v="45.6"/>
    <s v="DIURNO"/>
    <m/>
    <n v="5"/>
    <n v="986"/>
    <n v="20565"/>
    <s v="SANDIA"/>
    <n v="4"/>
    <n v="0"/>
    <n v="0"/>
    <n v="22.61"/>
    <n v="45.6"/>
    <n v="38"/>
    <n v="1200"/>
    <x v="1"/>
    <x v="0"/>
    <n v="5"/>
    <n v="2"/>
    <n v="99.166666666666671"/>
  </r>
  <r>
    <d v="2025-02-13T22:15:00"/>
    <s v="INYECTADO"/>
    <x v="10"/>
    <x v="42"/>
    <s v="JOSDER GONZALEZ"/>
    <s v="VIRGEN"/>
    <s v="PP CLARIFICADO"/>
    <s v="."/>
    <x v="35"/>
    <s v="TAPER 550ML PASTEL-ROSADO"/>
    <n v="182"/>
    <n v="2"/>
    <n v="13.8"/>
    <s v="NOCTURNO"/>
    <m/>
    <n v="2"/>
    <n v="986"/>
    <n v="20566"/>
    <s v="ROSADO"/>
    <n v="0"/>
    <n v="0"/>
    <n v="0"/>
    <n v="6.9160000000000004"/>
    <n v="13.8"/>
    <n v="38"/>
    <n v="363.15789473684208"/>
    <x v="1"/>
    <x v="0"/>
    <n v="6"/>
    <n v="2"/>
    <n v="30.333333333333332"/>
  </r>
  <r>
    <d v="2025-02-13T22:15:00"/>
    <s v="INYECTADO"/>
    <x v="10"/>
    <x v="35"/>
    <s v="ISABEL LINARIZ "/>
    <s v="VIRGEN"/>
    <s v="PP CLARIFICADO"/>
    <s v="."/>
    <x v="35"/>
    <s v="TAPER 550ML PASTEL-ROSADO"/>
    <n v="59"/>
    <n v="1"/>
    <n v="4.5"/>
    <s v="DIURNO"/>
    <m/>
    <n v="1"/>
    <n v="986"/>
    <n v="20567"/>
    <s v="ROSADO"/>
    <n v="1"/>
    <n v="0"/>
    <n v="0"/>
    <n v="2.242"/>
    <n v="4.5"/>
    <n v="38"/>
    <n v="118.42105263157895"/>
    <x v="1"/>
    <x v="0"/>
    <n v="6"/>
    <n v="2"/>
    <n v="9.8333333333333339"/>
  </r>
  <r>
    <d v="2025-02-13T22:15:00"/>
    <s v="INYECTADO"/>
    <x v="10"/>
    <x v="35"/>
    <s v="ISABEL LINARIZ "/>
    <s v="VIRGEN"/>
    <s v="PP CLARIFICADO"/>
    <s v="."/>
    <x v="35"/>
    <s v="TAPER 550ML PASTEL-LILA"/>
    <n v="353"/>
    <n v="3"/>
    <n v="27.1"/>
    <s v="DIURNO"/>
    <m/>
    <n v="3"/>
    <n v="986"/>
    <n v="20567"/>
    <s v="LILA"/>
    <n v="11.2"/>
    <n v="0"/>
    <n v="0"/>
    <n v="13.414"/>
    <n v="27.1"/>
    <n v="38"/>
    <n v="713.15789473684208"/>
    <x v="1"/>
    <x v="0"/>
    <n v="6"/>
    <n v="2"/>
    <n v="58.833333333333336"/>
  </r>
  <r>
    <d v="2025-02-13T22:15:00"/>
    <s v="INYECTADO"/>
    <x v="10"/>
    <x v="35"/>
    <s v="ISABEL LINARIZ "/>
    <s v="VIRGEN"/>
    <s v="PP CLARIFICADO"/>
    <s v="."/>
    <x v="35"/>
    <s v="TAPER 550ML CARAMELO-VERDE"/>
    <n v="477"/>
    <n v="3"/>
    <n v="37"/>
    <s v="DIURNO"/>
    <m/>
    <n v="4"/>
    <n v="986"/>
    <n v="20567"/>
    <s v="VERDE"/>
    <n v="7.1"/>
    <n v="0"/>
    <n v="0"/>
    <n v="18.126000000000001"/>
    <n v="37"/>
    <n v="38"/>
    <n v="973.68421052631584"/>
    <x v="1"/>
    <x v="0"/>
    <n v="6"/>
    <n v="2"/>
    <n v="79.5"/>
  </r>
  <r>
    <d v="2025-02-13T22:15:00"/>
    <s v="INYECTADO"/>
    <x v="10"/>
    <x v="35"/>
    <s v="ISABEL LINARIZ "/>
    <s v="VIRGEN"/>
    <s v="PP CLARIFICADO"/>
    <s v="."/>
    <x v="35"/>
    <s v="TAPER 550ML CARAMELO-ROJO"/>
    <n v="143"/>
    <n v="2"/>
    <n v="11"/>
    <s v="DIURNO"/>
    <m/>
    <n v="1"/>
    <n v="986"/>
    <n v="20567"/>
    <s v="ROJO"/>
    <n v="3.1"/>
    <n v="0"/>
    <n v="0"/>
    <n v="5.4340000000000002"/>
    <n v="11"/>
    <n v="38"/>
    <n v="289.4736842105263"/>
    <x v="1"/>
    <x v="0"/>
    <n v="6"/>
    <n v="2"/>
    <n v="23.833333333333332"/>
  </r>
  <r>
    <d v="2025-02-13T22:15:00"/>
    <s v="INYECTADO"/>
    <x v="10"/>
    <x v="35"/>
    <s v="JOSDER GONZALEZ"/>
    <s v="VIRGEN"/>
    <s v="PP CLARIFICADO"/>
    <s v="."/>
    <x v="35"/>
    <s v="TAPER 550ML PASTEL-TURQUESA"/>
    <n v="624"/>
    <n v="5"/>
    <n v="47.8"/>
    <s v="NOCTURNO"/>
    <m/>
    <n v="6"/>
    <n v="986"/>
    <n v="20568"/>
    <s v="TURQUESA"/>
    <n v="7.2"/>
    <n v="0"/>
    <n v="0"/>
    <n v="23.712"/>
    <n v="47.8"/>
    <n v="38"/>
    <n v="1257.8947368421052"/>
    <x v="1"/>
    <x v="0"/>
    <n v="6"/>
    <n v="2"/>
    <n v="104"/>
  </r>
  <r>
    <d v="2025-02-13T22:15:00"/>
    <s v="INYECTADO"/>
    <x v="10"/>
    <x v="35"/>
    <s v="JOSDER GONZALEZ"/>
    <s v="VIRGEN"/>
    <s v="PP CLARIFICADO"/>
    <s v="."/>
    <x v="35"/>
    <s v="TAPER 550ML PASTEL-CELESTE"/>
    <n v="476"/>
    <n v="3"/>
    <n v="36.5"/>
    <s v="NOCTURNO"/>
    <m/>
    <n v="4"/>
    <n v="986"/>
    <n v="20568"/>
    <s v="CELESTE"/>
    <n v="3.2"/>
    <n v="0"/>
    <n v="0"/>
    <n v="18.088000000000001"/>
    <n v="36.5"/>
    <n v="38"/>
    <n v="960.52631578947364"/>
    <x v="1"/>
    <x v="0"/>
    <n v="6"/>
    <n v="2"/>
    <n v="79.333333333333329"/>
  </r>
  <r>
    <d v="2025-02-13T22:15:00"/>
    <s v="INYECTADO"/>
    <x v="10"/>
    <x v="35"/>
    <s v="JOSDER GONZALEZ"/>
    <s v="VIRGEN"/>
    <s v="PP CLARIFICADO"/>
    <s v="."/>
    <x v="35"/>
    <s v="TAPER 550ML PASTEL-ROSADO"/>
    <n v="189"/>
    <n v="2"/>
    <n v="14.5"/>
    <s v="NOCTURNO"/>
    <m/>
    <n v="2"/>
    <n v="986"/>
    <n v="20568"/>
    <s v="ROSADO"/>
    <n v="5.8"/>
    <n v="0"/>
    <n v="0"/>
    <n v="7.1820000000000004"/>
    <n v="14.5"/>
    <n v="38"/>
    <n v="381.57894736842104"/>
    <x v="1"/>
    <x v="0"/>
    <n v="6"/>
    <n v="2"/>
    <n v="31.5"/>
  </r>
  <r>
    <d v="2025-02-13T22:15:00"/>
    <s v="INYECTADO"/>
    <x v="10"/>
    <x v="35"/>
    <s v="JOSDER GONZALEZ"/>
    <s v="VIRGEN"/>
    <s v="PP CLARIFICADO"/>
    <s v="."/>
    <x v="35"/>
    <s v="TAPER 550ML CARAMELO-ROJO"/>
    <n v="134"/>
    <n v="2"/>
    <n v="10.3"/>
    <s v="NOCTURNO"/>
    <m/>
    <n v="2"/>
    <n v="986"/>
    <n v="20568"/>
    <s v="ROJO"/>
    <n v="5.5"/>
    <n v="0"/>
    <n v="0"/>
    <n v="5.0919999999999996"/>
    <n v="10.3"/>
    <n v="38"/>
    <n v="271.05263157894734"/>
    <x v="1"/>
    <x v="0"/>
    <n v="6"/>
    <n v="2"/>
    <n v="22.333333333333332"/>
  </r>
  <r>
    <d v="2025-02-13T22:15:00"/>
    <s v="INYECTADO"/>
    <x v="10"/>
    <x v="47"/>
    <s v="JUAN CARLOS CEDENO"/>
    <s v="VIRGEN"/>
    <s v="PP CLARIFICADO"/>
    <s v="."/>
    <x v="35"/>
    <s v="TAPER 550ML PASTEL-CELESTE"/>
    <n v="172"/>
    <n v="1"/>
    <n v="13.2"/>
    <s v="DIURNO"/>
    <m/>
    <n v="2"/>
    <n v="986"/>
    <n v="20569"/>
    <s v="CELESTE"/>
    <n v="8.3000000000000007"/>
    <n v="0"/>
    <n v="0"/>
    <n v="6.5359999999999996"/>
    <n v="13.2"/>
    <n v="38"/>
    <n v="347.36842105263156"/>
    <x v="1"/>
    <x v="0"/>
    <n v="6"/>
    <n v="2"/>
    <n v="28.666666666666668"/>
  </r>
  <r>
    <d v="2025-02-13T22:15:00"/>
    <s v="INYECTADO"/>
    <x v="10"/>
    <x v="47"/>
    <s v="JUAN CARLOS CEDENO"/>
    <s v="VIRGEN"/>
    <s v="PP CLARIFICADO"/>
    <s v="."/>
    <x v="35"/>
    <s v="TAPER 550ML PASTEL-AZURE"/>
    <n v="614"/>
    <n v="5"/>
    <n v="48.1"/>
    <s v="DIURNO"/>
    <m/>
    <n v="5"/>
    <n v="986"/>
    <n v="20569"/>
    <s v="AZURE"/>
    <n v="18.100000000000001"/>
    <n v="0"/>
    <n v="0"/>
    <n v="23.332000000000001"/>
    <n v="48.1"/>
    <n v="38"/>
    <n v="1265.7894736842106"/>
    <x v="1"/>
    <x v="0"/>
    <n v="6"/>
    <n v="2"/>
    <n v="102.33333333333333"/>
  </r>
  <r>
    <d v="2025-02-13T22:15:00"/>
    <s v="INYECTADO"/>
    <x v="10"/>
    <x v="47"/>
    <s v="JUAN CARLOS CEDENO"/>
    <s v="VIRGEN"/>
    <s v="PP CLARIFICADO"/>
    <s v="."/>
    <x v="35"/>
    <s v="TAPER 550ML PASTEL-ROSADO"/>
    <n v="536"/>
    <n v="4"/>
    <n v="42"/>
    <s v="DIURNO"/>
    <m/>
    <n v="5"/>
    <n v="986"/>
    <n v="20569"/>
    <s v="ROSADO"/>
    <n v="3.2"/>
    <n v="0"/>
    <n v="0"/>
    <n v="20.367999999999999"/>
    <n v="42"/>
    <n v="38"/>
    <n v="1105.2631578947369"/>
    <x v="1"/>
    <x v="0"/>
    <n v="6"/>
    <n v="2"/>
    <n v="89.333333333333329"/>
  </r>
  <r>
    <d v="2025-02-13T22:15:00"/>
    <s v="INYECTADO"/>
    <x v="10"/>
    <x v="47"/>
    <s v="FABIAN HERNANDEZ"/>
    <s v="VIRGEN"/>
    <s v="PP CLARIFICADO"/>
    <s v="."/>
    <x v="35"/>
    <s v="TAPER 550ML PASTEL-ROSADO"/>
    <n v="721"/>
    <n v="5"/>
    <n v="55.3"/>
    <s v="NOCTURNO"/>
    <m/>
    <n v="5"/>
    <n v="986"/>
    <n v="20570"/>
    <s v="ROSADO"/>
    <n v="2.5"/>
    <n v="0"/>
    <n v="0"/>
    <n v="27.398"/>
    <n v="55.3"/>
    <n v="38"/>
    <n v="1455.2631578947369"/>
    <x v="1"/>
    <x v="0"/>
    <n v="6"/>
    <n v="2"/>
    <n v="120.16666666666667"/>
  </r>
  <r>
    <d v="2025-02-13T22:15:00"/>
    <s v="INYECTADO"/>
    <x v="10"/>
    <x v="47"/>
    <s v="FABIAN HERNANDEZ"/>
    <s v="VIRGEN"/>
    <s v="PP CLARIFICADO"/>
    <s v="."/>
    <x v="35"/>
    <s v="TAPER 550ML PASTEL-SANDIA"/>
    <n v="467"/>
    <n v="4"/>
    <n v="35.299999999999997"/>
    <s v="NOCTURNO"/>
    <m/>
    <n v="3"/>
    <n v="986"/>
    <n v="20570"/>
    <s v="SANDIA"/>
    <n v="2"/>
    <n v="0"/>
    <n v="0"/>
    <n v="17.745999999999999"/>
    <n v="35.299999999999997"/>
    <n v="38"/>
    <n v="928.9473684210526"/>
    <x v="1"/>
    <x v="0"/>
    <n v="6"/>
    <n v="2"/>
    <n v="77.833333333333329"/>
  </r>
  <r>
    <d v="2025-02-13T22:15:00"/>
    <s v="INYECTADO"/>
    <x v="10"/>
    <x v="47"/>
    <s v="FABIAN HERNANDEZ"/>
    <s v="VIRGEN"/>
    <s v="PP CLARIFICADO"/>
    <s v="."/>
    <x v="36"/>
    <s v="TAPER 550ML CARAMELO-LILA"/>
    <n v="309"/>
    <n v="2"/>
    <n v="23.7"/>
    <s v="NOCTURNO"/>
    <m/>
    <n v="3"/>
    <n v="986"/>
    <n v="20570"/>
    <s v="LILA"/>
    <n v="3"/>
    <n v="0"/>
    <n v="0"/>
    <n v="11.742000000000001"/>
    <n v="23.7"/>
    <n v="38"/>
    <n v="623.68421052631584"/>
    <x v="1"/>
    <x v="0"/>
    <n v="6"/>
    <n v="2"/>
    <n v="51.5"/>
  </r>
  <r>
    <d v="2025-02-13T22:15:00"/>
    <s v="INYECTADO"/>
    <x v="10"/>
    <x v="48"/>
    <s v="PAUL MILLER"/>
    <s v="VIRGEN"/>
    <s v="PP CLARIFICADO"/>
    <s v="."/>
    <x v="35"/>
    <s v="TAPER 550ML PASTEL-LILA"/>
    <n v="1117"/>
    <n v="10"/>
    <n v="84.7"/>
    <s v="DIURNO"/>
    <m/>
    <n v="10"/>
    <n v="986"/>
    <n v="20570"/>
    <s v="ROJO"/>
    <n v="14.6"/>
    <n v="0"/>
    <n v="0"/>
    <n v="42.445999999999998"/>
    <n v="84.7"/>
    <n v="38"/>
    <n v="2228.9473684210525"/>
    <x v="1"/>
    <x v="0"/>
    <n v="6"/>
    <n v="2"/>
    <n v="186.16666666666666"/>
  </r>
  <r>
    <d v="2025-02-13T22:15:00"/>
    <s v="INYECTADO"/>
    <x v="10"/>
    <x v="48"/>
    <s v="PAUL MILLER"/>
    <s v="VIRGEN"/>
    <s v="PP CLARIFICADO"/>
    <s v="."/>
    <x v="35"/>
    <s v="TAPER 550ML PASTEL-SANDIA"/>
    <n v="139"/>
    <n v="1"/>
    <n v="10.6"/>
    <s v="DIURNO"/>
    <m/>
    <n v="2"/>
    <n v="986"/>
    <n v="20570"/>
    <s v="LILA"/>
    <n v="5.6"/>
    <n v="0"/>
    <n v="0"/>
    <n v="5.282"/>
    <n v="10.6"/>
    <n v="38"/>
    <n v="278.94736842105266"/>
    <x v="1"/>
    <x v="0"/>
    <n v="6"/>
    <n v="2"/>
    <n v="23.166666666666668"/>
  </r>
  <r>
    <d v="2025-02-13T22:15:00"/>
    <s v="INYECTADO"/>
    <x v="10"/>
    <x v="48"/>
    <s v="FABIAN HERNANDEZ"/>
    <s v="VIRGEN"/>
    <s v="PP CLARIFICADO"/>
    <s v="."/>
    <x v="35"/>
    <s v="TAPER 550ML PASTEL-LILA"/>
    <n v="196"/>
    <n v="1"/>
    <n v="14.9"/>
    <s v="NOCTURNO"/>
    <m/>
    <n v="2"/>
    <n v="986"/>
    <n v="20572"/>
    <s v="LILA"/>
    <n v="8.3000000000000007"/>
    <n v="0"/>
    <n v="0"/>
    <n v="7.4480000000000004"/>
    <n v="14.9"/>
    <n v="38"/>
    <n v="392.10526315789474"/>
    <x v="1"/>
    <x v="0"/>
    <n v="6"/>
    <n v="2"/>
    <n v="32.666666666666664"/>
  </r>
  <r>
    <d v="2025-02-13T22:15:00"/>
    <s v="INYECTADO"/>
    <x v="10"/>
    <x v="48"/>
    <s v="FABIAN HERNANDEZ"/>
    <s v="VIRGEN"/>
    <s v="PP CLARIFICADO"/>
    <s v="."/>
    <x v="35"/>
    <s v="TAPER 550ML PASTEL-CELESTE"/>
    <n v="671"/>
    <n v="5"/>
    <n v="50.9"/>
    <s v="NOCTURNO"/>
    <m/>
    <n v="6"/>
    <n v="986"/>
    <n v="20572"/>
    <s v="CELESTE"/>
    <n v="6"/>
    <n v="0"/>
    <n v="0"/>
    <n v="25.498000000000001"/>
    <n v="50.9"/>
    <n v="38"/>
    <n v="1339.4736842105262"/>
    <x v="1"/>
    <x v="0"/>
    <n v="6"/>
    <n v="2"/>
    <n v="111.83333333333333"/>
  </r>
  <r>
    <d v="2025-02-13T22:15:00"/>
    <s v="INYECTADO"/>
    <x v="10"/>
    <x v="48"/>
    <s v="FABIAN HERNANDEZ"/>
    <s v="VIRGEN"/>
    <s v="PP CLARIFICADO"/>
    <s v="."/>
    <x v="35"/>
    <s v="TAPER 550ML PASTEL-TURQUESA"/>
    <n v="633"/>
    <n v="5"/>
    <n v="48"/>
    <s v="NOCTURNO"/>
    <m/>
    <n v="6"/>
    <n v="986"/>
    <n v="20572"/>
    <s v="TURQUESA"/>
    <n v="4.2"/>
    <n v="0"/>
    <n v="0"/>
    <n v="24.053999999999998"/>
    <n v="48"/>
    <n v="38"/>
    <n v="1263.1578947368421"/>
    <x v="1"/>
    <x v="0"/>
    <n v="6"/>
    <n v="2"/>
    <n v="105.5"/>
  </r>
  <r>
    <d v="2025-02-13T22:15:00"/>
    <s v="INYECTADO"/>
    <x v="10"/>
    <x v="48"/>
    <s v="FABIAN HERNANDEZ"/>
    <s v="VIRGEN"/>
    <s v="PP CLARIFICADO"/>
    <s v="."/>
    <x v="35"/>
    <s v="TAPER 550ML PASTEL-AZURE"/>
    <n v="60"/>
    <n v="1"/>
    <n v="4.5"/>
    <s v="NOCTURNO"/>
    <m/>
    <n v="0"/>
    <n v="986"/>
    <n v="20572"/>
    <s v="AZURE"/>
    <n v="2.2999999999999998"/>
    <n v="0"/>
    <n v="0"/>
    <n v="2.2799999999999998"/>
    <n v="4.5"/>
    <n v="38"/>
    <n v="118.42105263157895"/>
    <x v="1"/>
    <x v="0"/>
    <n v="6"/>
    <n v="2"/>
    <n v="10"/>
  </r>
  <r>
    <d v="2025-02-13T22:15:00"/>
    <s v="INYECTADO"/>
    <x v="10"/>
    <x v="49"/>
    <s v="ISABEL LINARIZ "/>
    <s v="VIRGEN"/>
    <s v="PP CLARIFICADO"/>
    <s v="."/>
    <x v="35"/>
    <s v="TAPER 550ML PASTEL-AZURE"/>
    <n v="600"/>
    <n v="6"/>
    <n v="45.5"/>
    <s v="DIURNO"/>
    <m/>
    <n v="5"/>
    <n v="986"/>
    <n v="20573"/>
    <s v="AZURE"/>
    <n v="14.5"/>
    <n v="0"/>
    <n v="0"/>
    <n v="22.8"/>
    <n v="45.5"/>
    <n v="38"/>
    <n v="1197.3684210526317"/>
    <x v="1"/>
    <x v="0"/>
    <n v="6"/>
    <n v="2"/>
    <n v="100"/>
  </r>
  <r>
    <d v="2025-02-13T22:15:00"/>
    <s v="INYECTADO"/>
    <x v="10"/>
    <x v="49"/>
    <s v="ISABEL LINARIZ "/>
    <s v="VIRGEN"/>
    <s v="PP CLARIFICADO"/>
    <s v="."/>
    <x v="36"/>
    <s v="TAPER 550ML CARAMELO-AMARILLO"/>
    <n v="413"/>
    <n v="4"/>
    <n v="31.4"/>
    <s v="DIURNO"/>
    <m/>
    <n v="4"/>
    <n v="986"/>
    <n v="20573"/>
    <s v="AMARILLO"/>
    <n v="7.6"/>
    <n v="0"/>
    <n v="0"/>
    <n v="15.694000000000001"/>
    <n v="31.4"/>
    <n v="38"/>
    <n v="826.31578947368416"/>
    <x v="1"/>
    <x v="0"/>
    <n v="6"/>
    <n v="2"/>
    <n v="68.833333333333329"/>
  </r>
  <r>
    <d v="2025-02-13T22:15:00"/>
    <s v="INYECTADO"/>
    <x v="10"/>
    <x v="49"/>
    <s v="ISABEL LINARIZ "/>
    <s v="VIRGEN"/>
    <s v="PP CLARIFICADO"/>
    <s v="."/>
    <x v="35"/>
    <s v="TAPER 550ML PASTEL-SANDIA"/>
    <n v="365"/>
    <n v="3"/>
    <n v="25.5"/>
    <s v="DIURNO"/>
    <m/>
    <n v="3"/>
    <n v="986"/>
    <n v="20573"/>
    <s v="SANDIA"/>
    <n v="2.8"/>
    <n v="0"/>
    <n v="0"/>
    <n v="13.87"/>
    <n v="25.5"/>
    <n v="38"/>
    <n v="671.0526315789474"/>
    <x v="1"/>
    <x v="0"/>
    <n v="6"/>
    <n v="2"/>
    <n v="60.833333333333336"/>
  </r>
  <r>
    <d v="2025-02-13T22:15:00"/>
    <s v="INYECTADO"/>
    <x v="10"/>
    <x v="49"/>
    <s v="JUAN MANUEL PEREZ"/>
    <s v="VIRGEN"/>
    <s v="PP CLARIFICADO"/>
    <s v="."/>
    <x v="35"/>
    <s v="TAPER 550ML PASTEL-SANDIA"/>
    <n v="784"/>
    <n v="8"/>
    <n v="59.5"/>
    <s v="NOCTURNO"/>
    <m/>
    <n v="7"/>
    <n v="986"/>
    <n v="20574"/>
    <s v="SANDIA"/>
    <n v="6.1"/>
    <n v="0"/>
    <n v="0"/>
    <n v="29.792000000000002"/>
    <n v="59.5"/>
    <n v="38"/>
    <n v="1565.7894736842106"/>
    <x v="1"/>
    <x v="0"/>
    <n v="6"/>
    <n v="2"/>
    <n v="130.66666666666666"/>
  </r>
  <r>
    <d v="2025-02-13T22:15:00"/>
    <s v="INYECTADO"/>
    <x v="10"/>
    <x v="49"/>
    <s v="JUAN MANUEL PEREZ"/>
    <s v="VIRGEN"/>
    <s v="PP CLARIFICADO"/>
    <s v="."/>
    <x v="36"/>
    <s v="TAPER 550ML CARAMELO-FUCSIA"/>
    <n v="246"/>
    <n v="3"/>
    <n v="18.7"/>
    <s v="NOCTURNO"/>
    <m/>
    <n v="3"/>
    <n v="986"/>
    <n v="20574"/>
    <s v="FUCSIA"/>
    <n v="3"/>
    <n v="0"/>
    <n v="0"/>
    <n v="9.3480000000000008"/>
    <n v="18.7"/>
    <n v="38"/>
    <n v="492.10526315789474"/>
    <x v="1"/>
    <x v="0"/>
    <n v="6"/>
    <n v="2"/>
    <n v="41"/>
  </r>
  <r>
    <d v="2025-02-13T22:15:00"/>
    <s v="INYECTADO"/>
    <x v="10"/>
    <x v="50"/>
    <s v="JUAN CARLOS CEDENO"/>
    <s v="VIRGEN"/>
    <s v="PP CLARIFICADO"/>
    <s v="."/>
    <x v="36"/>
    <s v="TAPER 550ML CARAMELO-FUCSIA"/>
    <n v="333"/>
    <n v="2"/>
    <n v="25.3"/>
    <s v="DIURNO"/>
    <m/>
    <n v="3"/>
    <n v="986"/>
    <n v="20575"/>
    <s v="FUCSIA"/>
    <n v="0"/>
    <n v="0"/>
    <n v="0"/>
    <n v="12.654"/>
    <n v="25.3"/>
    <n v="38"/>
    <n v="665.78947368421052"/>
    <x v="1"/>
    <x v="0"/>
    <n v="6"/>
    <n v="2"/>
    <n v="55.5"/>
  </r>
  <r>
    <d v="2025-02-13T22:15:00"/>
    <s v="INYECTADO"/>
    <x v="10"/>
    <x v="50"/>
    <s v="JUAN CARLOS CEDENO"/>
    <s v="VIRGEN"/>
    <s v="PP CLARIFICADO"/>
    <s v="."/>
    <x v="36"/>
    <s v="TAPER 550ML CARAMELO-LILA"/>
    <n v="402"/>
    <n v="4"/>
    <n v="30.5"/>
    <s v="DIURNO"/>
    <m/>
    <n v="4"/>
    <n v="986"/>
    <n v="20575"/>
    <s v="LILA"/>
    <n v="0"/>
    <n v="0"/>
    <n v="0"/>
    <n v="15.276"/>
    <n v="30.5"/>
    <n v="38"/>
    <n v="802.63157894736844"/>
    <x v="1"/>
    <x v="0"/>
    <n v="6"/>
    <n v="2"/>
    <n v="67"/>
  </r>
  <r>
    <d v="2025-02-13T22:15:00"/>
    <s v="INYECTADO"/>
    <x v="10"/>
    <x v="50"/>
    <s v="FABIAN HERNANDEZ"/>
    <s v="VIRGEN"/>
    <s v="PP CLARIFICADO"/>
    <s v="."/>
    <x v="36"/>
    <s v="TAPER 550ML CARAMELO-VERDE"/>
    <n v="476"/>
    <n v="4"/>
    <n v="36.9"/>
    <s v="NOCTURNO"/>
    <m/>
    <n v="4"/>
    <n v="986"/>
    <n v="20576"/>
    <s v="VERDE"/>
    <n v="6.2"/>
    <n v="0"/>
    <n v="0"/>
    <n v="18.088000000000001"/>
    <n v="36.9"/>
    <n v="38"/>
    <n v="971.0526315789474"/>
    <x v="1"/>
    <x v="0"/>
    <n v="6"/>
    <n v="2"/>
    <n v="79.333333333333329"/>
  </r>
  <r>
    <d v="2025-02-13T22:15:00"/>
    <s v="INYECTADO"/>
    <x v="10"/>
    <x v="50"/>
    <s v="FABIAN HERNANDEZ"/>
    <s v="VIRGEN"/>
    <s v="PP CLARIFICADO"/>
    <s v="."/>
    <x v="36"/>
    <s v="TAPER 550ML CARAMELO-AMARILLO"/>
    <n v="641"/>
    <n v="4"/>
    <n v="49.7"/>
    <s v="NOCTURNO"/>
    <m/>
    <n v="6"/>
    <n v="986"/>
    <n v="20576"/>
    <s v="AMARILLO"/>
    <n v="3.3"/>
    <n v="0"/>
    <n v="0"/>
    <n v="24.358000000000001"/>
    <n v="49.7"/>
    <n v="38"/>
    <n v="1307.8947368421052"/>
    <x v="1"/>
    <x v="0"/>
    <n v="6"/>
    <n v="2"/>
    <n v="106.83333333333333"/>
  </r>
  <r>
    <d v="2025-02-13T22:15:00"/>
    <s v="INYECTADO"/>
    <x v="10"/>
    <x v="50"/>
    <s v="FABIAN HERNANDEZ"/>
    <s v="VIRGEN"/>
    <s v="PP CLARIFICADO"/>
    <s v="."/>
    <x v="36"/>
    <s v="TAPER 550ML CARAMELO-LILA"/>
    <n v="309"/>
    <n v="2"/>
    <n v="24"/>
    <s v="NOCTURNO"/>
    <m/>
    <n v="3"/>
    <n v="986"/>
    <n v="20576"/>
    <s v="LILA"/>
    <n v="3.6"/>
    <n v="0"/>
    <n v="0"/>
    <n v="11.742000000000001"/>
    <n v="24"/>
    <n v="38"/>
    <n v="631.57894736842104"/>
    <x v="1"/>
    <x v="0"/>
    <n v="6"/>
    <n v="2"/>
    <n v="51.5"/>
  </r>
  <r>
    <d v="2025-02-13T22:15:00"/>
    <s v="INYECTADO"/>
    <x v="10"/>
    <x v="30"/>
    <s v="GABRIEL REQUENA"/>
    <s v="VIRGEN"/>
    <s v="PP CLARIFICADO"/>
    <s v="."/>
    <x v="36"/>
    <s v="TAPER 550ML CARAMELO-AZUL"/>
    <n v="601"/>
    <n v="5"/>
    <n v="45.1"/>
    <s v="DIURNO"/>
    <m/>
    <n v="5"/>
    <n v="986"/>
    <n v="20577"/>
    <s v="AZUL"/>
    <n v="0"/>
    <n v="0"/>
    <n v="0"/>
    <n v="22.838000000000001"/>
    <n v="45.1"/>
    <n v="38"/>
    <n v="1186.8421052631579"/>
    <x v="1"/>
    <x v="0"/>
    <n v="7"/>
    <n v="2"/>
    <n v="100.16666666666667"/>
  </r>
  <r>
    <d v="2025-02-13T22:15:00"/>
    <s v="INYECTADO"/>
    <x v="10"/>
    <x v="31"/>
    <s v="JOSDER GONZALEZ"/>
    <s v="VIRGEN"/>
    <s v="PP CLARIFICADO"/>
    <s v="."/>
    <x v="58"/>
    <s v="BASE ORGANIZADOR DE 15KG-TRANSPARENTE"/>
    <n v="867"/>
    <n v="12"/>
    <n v="450.8"/>
    <s v="NOCTURNO"/>
    <m/>
    <n v="71"/>
    <m/>
    <n v="20578"/>
    <s v="TRANSPARENTE"/>
    <n v="0"/>
    <n v="0"/>
    <n v="0"/>
    <n v="450.84"/>
    <n v="450.8"/>
    <n v="520"/>
    <n v="866.92307692307691"/>
    <x v="1"/>
    <x v="0"/>
    <n v="7"/>
    <n v="1"/>
    <n v="72.25"/>
  </r>
  <r>
    <d v="2025-02-13T22:15:00"/>
    <s v="INYECTADO"/>
    <x v="10"/>
    <x v="36"/>
    <s v="JUAN CARLOS CEDENO"/>
    <s v="VIRGEN"/>
    <s v="PP CLARIFICADO"/>
    <s v="."/>
    <x v="58"/>
    <s v="BASE ORGANIZADOR DE 15KG-TRANSPARENTE"/>
    <n v="800"/>
    <n v="9"/>
    <n v="416.8"/>
    <s v="DIURNO"/>
    <m/>
    <n v="67"/>
    <m/>
    <n v="20579"/>
    <s v="TRANSPARENTE"/>
    <n v="0"/>
    <n v="0"/>
    <n v="0"/>
    <n v="416"/>
    <n v="416.8"/>
    <n v="520"/>
    <n v="801.53846153846155"/>
    <x v="1"/>
    <x v="0"/>
    <n v="7"/>
    <n v="1"/>
    <n v="66.666666666666671"/>
  </r>
  <r>
    <d v="2025-02-13T22:15:00"/>
    <s v="INYECTADO"/>
    <x v="10"/>
    <x v="37"/>
    <s v="LUIS RENGIFO"/>
    <s v="VIRGEN"/>
    <s v="PP CLARIFICADO"/>
    <s v="."/>
    <x v="58"/>
    <s v="BASE ORGANIZADOR DE 15KG-TRANSPARENTE"/>
    <n v="132"/>
    <n v="2"/>
    <n v="68.2"/>
    <s v="DIURNO"/>
    <m/>
    <n v="5"/>
    <n v="1007"/>
    <n v="20581"/>
    <s v="TRANSPARENTE"/>
    <n v="3.2"/>
    <n v="0"/>
    <n v="0"/>
    <n v="68.64"/>
    <n v="68.2"/>
    <n v="520"/>
    <n v="131.15384615384616"/>
    <x v="1"/>
    <x v="0"/>
    <n v="7"/>
    <n v="1"/>
    <n v="11"/>
  </r>
  <r>
    <d v="2025-02-13T22:15:00"/>
    <s v="INYECTADO"/>
    <x v="10"/>
    <x v="37"/>
    <s v="LUIS RENGIFO"/>
    <s v="VIRGEN"/>
    <s v="PP CLARIFICADO"/>
    <s v="."/>
    <x v="59"/>
    <s v="BASE PORTA VAJILLA-TRANSPARENTE"/>
    <n v="263"/>
    <n v="2"/>
    <n v="104"/>
    <s v="DIURNO"/>
    <m/>
    <n v="4"/>
    <n v="1007"/>
    <n v="20581"/>
    <s v="TRANSPARENTE"/>
    <n v="12.5"/>
    <n v="0"/>
    <n v="0"/>
    <n v="98.888000000000005"/>
    <n v="104"/>
    <n v="376"/>
    <n v="276.59574468085106"/>
    <x v="1"/>
    <x v="0"/>
    <n v="7"/>
    <n v="1"/>
    <n v="21.916666666666668"/>
  </r>
  <r>
    <d v="2025-02-13T22:15:00"/>
    <s v="INYECTADO"/>
    <x v="10"/>
    <x v="37"/>
    <s v="FABIAN HERNANDEZ"/>
    <s v="VIRGEN"/>
    <s v="PP CLARIFICADO"/>
    <s v="."/>
    <x v="59"/>
    <s v="BASE PORTA VAJILLA-TRANSPARENTE"/>
    <n v="894"/>
    <n v="12"/>
    <n v="354.9"/>
    <s v="NOCTURNO"/>
    <m/>
    <n v="29"/>
    <n v="1007"/>
    <n v="20583"/>
    <s v="TRANSPARENTE"/>
    <n v="55"/>
    <n v="0"/>
    <n v="0"/>
    <n v="336.14400000000001"/>
    <n v="354.9"/>
    <n v="376"/>
    <n v="943.88297872340422"/>
    <x v="1"/>
    <x v="0"/>
    <n v="7"/>
    <n v="1"/>
    <n v="74.5"/>
  </r>
  <r>
    <d v="2025-02-13T22:15:00"/>
    <s v="INYECTADO"/>
    <x v="10"/>
    <x v="33"/>
    <s v="LEYDI VALLEZ"/>
    <s v="VIRGEN"/>
    <s v="PP CLARIFICADO"/>
    <s v="."/>
    <x v="59"/>
    <s v="BASE PORTA VAJILLA-TRANSPARENTE"/>
    <n v="690"/>
    <n v="10"/>
    <n v="268"/>
    <s v="DIURNO"/>
    <m/>
    <n v="23"/>
    <n v="1007"/>
    <n v="20584"/>
    <s v="TRANSPARENTE"/>
    <n v="268"/>
    <n v="0"/>
    <n v="0"/>
    <n v="259.44"/>
    <n v="268"/>
    <n v="376"/>
    <n v="712.76595744680856"/>
    <x v="1"/>
    <x v="0"/>
    <n v="7"/>
    <n v="1"/>
    <n v="57.5"/>
  </r>
  <r>
    <d v="2025-02-13T22:15:00"/>
    <s v="INYECTADO"/>
    <x v="10"/>
    <x v="34"/>
    <s v="GABRIEL REQUENA"/>
    <s v="SEGUNDA"/>
    <s v="."/>
    <s v="MIXTO"/>
    <x v="60"/>
    <s v="EMBUDO #3-AMARILLO"/>
    <n v="381"/>
    <n v="2"/>
    <n v="78.599999999999994"/>
    <s v="DIURNO"/>
    <m/>
    <n v="4"/>
    <n v="1013"/>
    <n v="20585"/>
    <s v="AMARILLO"/>
    <n v="13.4"/>
    <n v="0"/>
    <n v="0"/>
    <n v="19.812000000000001"/>
    <n v="78.599999999999994"/>
    <n v="52"/>
    <n v="1511.5384615384614"/>
    <x v="1"/>
    <x v="0"/>
    <n v="8"/>
    <n v="4"/>
    <n v="127"/>
  </r>
  <r>
    <d v="2025-02-13T22:15:00"/>
    <s v="INYECTADO"/>
    <x v="10"/>
    <x v="34"/>
    <s v="GABRIEL REQUENA"/>
    <s v="SEGUNDA"/>
    <s v="."/>
    <s v="MIXTO"/>
    <x v="60"/>
    <s v="EMBUDO #3-AZUL"/>
    <n v="410"/>
    <n v="2"/>
    <n v="84.6"/>
    <s v="DIURNO"/>
    <m/>
    <n v="4"/>
    <n v="1013"/>
    <n v="20585"/>
    <s v="AZUL"/>
    <n v="0"/>
    <n v="0"/>
    <n v="0"/>
    <n v="21.32"/>
    <n v="84.6"/>
    <n v="52"/>
    <n v="1626.9230769230769"/>
    <x v="1"/>
    <x v="0"/>
    <n v="8"/>
    <n v="4"/>
    <n v="136.66666666666666"/>
  </r>
  <r>
    <d v="2025-02-13T22:15:00"/>
    <s v="INYECTADO"/>
    <x v="10"/>
    <x v="34"/>
    <s v="GABRIEL REQUENA"/>
    <s v="SEGUNDA"/>
    <s v="."/>
    <s v="MIXTO"/>
    <x v="60"/>
    <s v="EMBUDO #3-FUCSIA"/>
    <n v="121"/>
    <n v="1"/>
    <n v="25.1"/>
    <s v="DIURNO"/>
    <m/>
    <n v="1"/>
    <n v="1013"/>
    <n v="20585"/>
    <s v="FUCSIA"/>
    <n v="0"/>
    <n v="0"/>
    <n v="0"/>
    <n v="6.2919999999999998"/>
    <n v="25.1"/>
    <n v="52"/>
    <n v="482.69230769230768"/>
    <x v="1"/>
    <x v="0"/>
    <n v="8"/>
    <n v="4"/>
    <n v="40.333333333333336"/>
  </r>
  <r>
    <d v="2025-02-13T22:15:00"/>
    <s v="INYECTADO"/>
    <x v="10"/>
    <x v="34"/>
    <s v="JUAN MANUEL PEREZ"/>
    <s v="SEGUNDA"/>
    <s v="."/>
    <s v="MIXTO"/>
    <x v="60"/>
    <s v="EMBUDO #3-AZUL"/>
    <n v="417"/>
    <n v="7"/>
    <n v="85.9"/>
    <s v="NOCTURNO"/>
    <m/>
    <n v="5"/>
    <n v="1013"/>
    <n v="20586"/>
    <s v="AZUL"/>
    <n v="12"/>
    <n v="0"/>
    <n v="0"/>
    <n v="21.684000000000001"/>
    <n v="85.9"/>
    <n v="52"/>
    <n v="1651.9230769230769"/>
    <x v="1"/>
    <x v="0"/>
    <n v="8"/>
    <n v="4"/>
    <n v="139"/>
  </r>
  <r>
    <d v="2025-02-13T22:15:00"/>
    <s v="INYECTADO"/>
    <x v="10"/>
    <x v="34"/>
    <s v="JUAN MANUEL PEREZ"/>
    <s v="SEGUNDA"/>
    <s v="."/>
    <s v="MIXTO"/>
    <x v="60"/>
    <s v="EMBUDO #3-FUCSIA"/>
    <n v="170"/>
    <n v="4"/>
    <n v="35"/>
    <s v="NOCTURNO"/>
    <m/>
    <n v="3"/>
    <n v="1013"/>
    <n v="20586"/>
    <s v="FUCSIA"/>
    <n v="2"/>
    <n v="0"/>
    <n v="0"/>
    <n v="8.84"/>
    <n v="35"/>
    <n v="52"/>
    <n v="673.07692307692309"/>
    <x v="1"/>
    <x v="0"/>
    <n v="8"/>
    <n v="4"/>
    <n v="56.666666666666664"/>
  </r>
  <r>
    <d v="2025-02-13T22:15:00"/>
    <s v="INYECTADO"/>
    <x v="10"/>
    <x v="43"/>
    <s v="JOSDER GONZALEZ"/>
    <s v="SEGUNDA"/>
    <s v="."/>
    <s v="MIXTO"/>
    <x v="60"/>
    <s v="EMBUDO #3-FUCSIA"/>
    <n v="308"/>
    <n v="4"/>
    <n v="62.4"/>
    <s v="DIURNO"/>
    <m/>
    <n v="3"/>
    <n v="1013"/>
    <n v="20587"/>
    <s v="FUCSIA"/>
    <n v="62.4"/>
    <n v="0"/>
    <n v="0"/>
    <n v="16.015999999999998"/>
    <n v="62.4"/>
    <n v="52"/>
    <n v="1200"/>
    <x v="1"/>
    <x v="0"/>
    <n v="8"/>
    <n v="4"/>
    <n v="102.66666666666667"/>
  </r>
  <r>
    <d v="2025-02-13T22:15:00"/>
    <s v="INYECTADO"/>
    <x v="10"/>
    <x v="43"/>
    <s v="JOSDER GONZALEZ"/>
    <s v="SEGUNDA"/>
    <s v="."/>
    <s v="MIXTO"/>
    <x v="60"/>
    <s v="EMBUDO #3-VERDE"/>
    <n v="450"/>
    <n v="7"/>
    <n v="90.9"/>
    <s v="DIURNO"/>
    <m/>
    <n v="5"/>
    <n v="1013"/>
    <n v="20587"/>
    <s v="TURQUESA"/>
    <n v="90.9"/>
    <n v="0"/>
    <n v="0"/>
    <n v="23.4"/>
    <n v="90.9"/>
    <n v="52"/>
    <n v="1748.0769230769231"/>
    <x v="1"/>
    <x v="0"/>
    <n v="8"/>
    <n v="4"/>
    <n v="150"/>
  </r>
  <r>
    <d v="2025-02-13T22:15:00"/>
    <s v="INYECTADO"/>
    <x v="10"/>
    <x v="43"/>
    <s v="FABIAN HERNANDEZ"/>
    <s v="SEGUNDA"/>
    <s v="."/>
    <s v="MIXTO"/>
    <x v="60"/>
    <s v="EMBUDO #3-VERDE"/>
    <n v="460"/>
    <n v="5"/>
    <n v="93.1"/>
    <s v="NOCTURNO"/>
    <m/>
    <n v="5"/>
    <n v="1013"/>
    <n v="20588"/>
    <s v="VERDE"/>
    <n v="3.1"/>
    <n v="0"/>
    <n v="0"/>
    <n v="23.92"/>
    <n v="93.1"/>
    <n v="52"/>
    <n v="1790.3846153846155"/>
    <x v="1"/>
    <x v="0"/>
    <n v="8"/>
    <n v="4"/>
    <n v="153.33333333333334"/>
  </r>
  <r>
    <d v="2025-02-13T22:15:00"/>
    <s v="INYECTADO"/>
    <x v="10"/>
    <x v="43"/>
    <s v="FABIAN HERNANDEZ"/>
    <s v="SEGUNDA"/>
    <s v="."/>
    <s v="MIXTO"/>
    <x v="60"/>
    <s v="EMBUDO #3-ANARANJADO"/>
    <n v="419"/>
    <n v="5"/>
    <n v="84.7"/>
    <s v="NOCTURNO"/>
    <m/>
    <n v="5"/>
    <n v="1013"/>
    <n v="20588"/>
    <s v="NARANJA"/>
    <n v="9.5"/>
    <n v="0"/>
    <n v="0"/>
    <n v="21.788"/>
    <n v="84.7"/>
    <n v="52"/>
    <n v="1628.8461538461538"/>
    <x v="1"/>
    <x v="0"/>
    <n v="8"/>
    <n v="4"/>
    <n v="139.66666666666666"/>
  </r>
  <r>
    <d v="2025-02-13T22:15:00"/>
    <s v="INYECTADO"/>
    <x v="10"/>
    <x v="44"/>
    <s v="LUIS PINEDO"/>
    <s v="SEGUNDA"/>
    <s v="."/>
    <s v="MIXTO"/>
    <x v="60"/>
    <s v="EMBUDO #3-AMARILLO"/>
    <n v="168"/>
    <n v="3"/>
    <n v="35.299999999999997"/>
    <s v="DIURNO"/>
    <m/>
    <n v="4"/>
    <n v="1013"/>
    <n v="20589"/>
    <s v="AMARILLO"/>
    <n v="5.2"/>
    <n v="0"/>
    <n v="0"/>
    <n v="8.7360000000000007"/>
    <n v="35.299999999999997"/>
    <n v="52"/>
    <n v="678.84615384615381"/>
    <x v="1"/>
    <x v="0"/>
    <n v="8"/>
    <n v="4"/>
    <n v="56"/>
  </r>
  <r>
    <d v="2025-02-13T22:15:00"/>
    <s v="INYECTADO"/>
    <x v="10"/>
    <x v="44"/>
    <s v="LUIS PINEDO"/>
    <s v="SEGUNDA"/>
    <s v="."/>
    <s v="MIXTO"/>
    <x v="60"/>
    <s v="EMBUDO #3-VERDE"/>
    <n v="34"/>
    <n v="1"/>
    <n v="7.2"/>
    <s v="DIURNO"/>
    <m/>
    <n v="1"/>
    <n v="1013"/>
    <n v="20589"/>
    <s v="VERDE"/>
    <n v="9.1999999999999993"/>
    <n v="0"/>
    <n v="0"/>
    <n v="1.768"/>
    <n v="7.2"/>
    <n v="52"/>
    <n v="138.46153846153845"/>
    <x v="1"/>
    <x v="0"/>
    <n v="8"/>
    <n v="4"/>
    <n v="11.333333333333334"/>
  </r>
  <r>
    <d v="2025-02-13T22:15:00"/>
    <s v="INYECTADO"/>
    <x v="10"/>
    <x v="55"/>
    <m/>
    <s v="SEGUNDA"/>
    <s v="."/>
    <s v="MIXTO"/>
    <x v="60"/>
    <s v="EMBUDO #3-"/>
    <m/>
    <m/>
    <m/>
    <s v="DIURNO"/>
    <m/>
    <m/>
    <m/>
    <m/>
    <m/>
    <m/>
    <n v="0"/>
    <n v="0"/>
    <e v="#N/A"/>
    <s v=""/>
    <e v="#N/A"/>
    <n v="0"/>
    <x v="2"/>
    <x v="1"/>
    <n v="1"/>
    <e v="#N/A"/>
    <e v="#N/A"/>
  </r>
  <r>
    <d v="2025-02-13T22:15:00"/>
    <s v="INYECTADO"/>
    <x v="10"/>
    <x v="44"/>
    <s v="ISABEL LINARIZ "/>
    <s v="VIRGEN"/>
    <s v="PP CLARIFICADO"/>
    <s v="."/>
    <x v="35"/>
    <s v="TAPER 550ML PASTEL-CELESTE"/>
    <n v="528"/>
    <n v="5"/>
    <n v="40.700000000000003"/>
    <s v="NOCTURNO"/>
    <m/>
    <n v="5"/>
    <n v="1019"/>
    <n v="20590"/>
    <s v="CELESTE"/>
    <n v="10.1"/>
    <n v="0"/>
    <n v="0"/>
    <n v="20.064"/>
    <n v="40.700000000000003"/>
    <n v="38"/>
    <n v="1071.0526315789473"/>
    <x v="1"/>
    <x v="0"/>
    <n v="8"/>
    <n v="2"/>
    <n v="88"/>
  </r>
  <r>
    <d v="2025-02-13T22:15:00"/>
    <s v="INYECTADO"/>
    <x v="10"/>
    <x v="44"/>
    <s v="ISABEL LINARIZ "/>
    <s v="VIRGEN"/>
    <s v="PP CLARIFICADO"/>
    <s v="."/>
    <x v="35"/>
    <s v="TAPER 550ML PASTEL-TURQUESA"/>
    <n v="544"/>
    <n v="5"/>
    <n v="41.9"/>
    <s v="NOCTURNO"/>
    <m/>
    <n v="5"/>
    <n v="1019"/>
    <n v="20590"/>
    <s v="TURQUESA"/>
    <n v="20.5"/>
    <n v="0"/>
    <n v="0"/>
    <n v="20.672000000000001"/>
    <n v="41.9"/>
    <n v="38"/>
    <n v="1102.6315789473683"/>
    <x v="1"/>
    <x v="0"/>
    <n v="8"/>
    <n v="2"/>
    <n v="90.666666666666671"/>
  </r>
  <r>
    <d v="2025-02-13T22:15:00"/>
    <s v="INYECTADO"/>
    <x v="10"/>
    <x v="44"/>
    <s v="BRAYAN PINEDO"/>
    <s v="VIRGEN"/>
    <s v="PP CLARIFICADO"/>
    <s v="."/>
    <x v="35"/>
    <s v="TAPER 550ML PASTEL-AZURE"/>
    <n v="40"/>
    <n v="1"/>
    <n v="3"/>
    <s v="NOCTURNO"/>
    <m/>
    <n v="0"/>
    <n v="1019"/>
    <n v="20590"/>
    <s v="AZURE"/>
    <n v="4.9000000000000004"/>
    <n v="0"/>
    <n v="0"/>
    <n v="1.52"/>
    <n v="3"/>
    <n v="38"/>
    <n v="78.94736842105263"/>
    <x v="1"/>
    <x v="0"/>
    <n v="8"/>
    <n v="2"/>
    <n v="6.666666666666667"/>
  </r>
  <r>
    <d v="2025-02-13T22:15:00"/>
    <s v="INYECTADO"/>
    <x v="10"/>
    <x v="51"/>
    <s v="JOSDER GONZALEZ"/>
    <s v="VIRGEN"/>
    <s v="PP CLARIFICADO"/>
    <s v="."/>
    <x v="35"/>
    <s v="TAPER 550ML PASTEL-AZURE"/>
    <n v="435"/>
    <n v="3"/>
    <n v="33.1"/>
    <s v="DIURNO"/>
    <m/>
    <n v="3"/>
    <n v="1019"/>
    <n v="20591"/>
    <s v="AZURE"/>
    <n v="10.199999999999999"/>
    <n v="0"/>
    <n v="0"/>
    <n v="16.53"/>
    <n v="33.1"/>
    <n v="38"/>
    <n v="871.0526315789474"/>
    <x v="1"/>
    <x v="0"/>
    <n v="8"/>
    <n v="2"/>
    <n v="72.5"/>
  </r>
  <r>
    <d v="2025-02-13T22:15:00"/>
    <s v="INYECTADO"/>
    <x v="10"/>
    <x v="51"/>
    <s v="JOSDER GONZALEZ"/>
    <s v="VIRGEN"/>
    <s v="PP CLARIFICADO"/>
    <s v="."/>
    <x v="35"/>
    <s v="TAPER 550ML PASTEL-SANDIA"/>
    <n v="633"/>
    <n v="5"/>
    <n v="48.8"/>
    <s v="DIURNO"/>
    <m/>
    <n v="5"/>
    <n v="1019"/>
    <n v="20591"/>
    <s v="ROJO"/>
    <n v="16.7"/>
    <n v="0"/>
    <n v="0"/>
    <n v="24.053999999999998"/>
    <n v="48.8"/>
    <n v="38"/>
    <n v="1284.2105263157894"/>
    <x v="1"/>
    <x v="0"/>
    <n v="8"/>
    <n v="2"/>
    <n v="105.5"/>
  </r>
  <r>
    <d v="2025-02-13T22:15:00"/>
    <s v="INYECTADO"/>
    <x v="10"/>
    <x v="51"/>
    <s v="JOSDER GONZALEZ"/>
    <s v="VIRGEN"/>
    <s v="PP CLARIFICADO"/>
    <s v="."/>
    <x v="35"/>
    <s v="TAPER 550ML PASTEL-ROSADO"/>
    <n v="133"/>
    <n v="1"/>
    <n v="10.3"/>
    <s v="DIURNO"/>
    <m/>
    <n v="2"/>
    <n v="1019"/>
    <n v="20591"/>
    <s v="ROSADO"/>
    <n v="8.3000000000000007"/>
    <n v="0"/>
    <n v="0"/>
    <n v="5.0540000000000003"/>
    <n v="10.3"/>
    <n v="38"/>
    <n v="271.05263157894734"/>
    <x v="1"/>
    <x v="0"/>
    <n v="8"/>
    <n v="2"/>
    <n v="22.166666666666668"/>
  </r>
  <r>
    <d v="2025-02-13T22:15:00"/>
    <s v="INYECTADO"/>
    <x v="10"/>
    <x v="51"/>
    <s v="JUAN MANUEL PEREZ"/>
    <s v="VIRGEN"/>
    <s v="PP CLARIFICADO"/>
    <s v="."/>
    <x v="35"/>
    <s v="TAPER 550ML PASTEL-ROSADO"/>
    <n v="487"/>
    <n v="4"/>
    <n v="37.5"/>
    <s v="NOCTURNO"/>
    <m/>
    <n v="4"/>
    <n v="1019"/>
    <n v="20592"/>
    <s v="ROSADO"/>
    <n v="3"/>
    <n v="0"/>
    <n v="0"/>
    <n v="18.506"/>
    <n v="37.5"/>
    <n v="38"/>
    <n v="986.84210526315792"/>
    <x v="1"/>
    <x v="0"/>
    <n v="8"/>
    <n v="2"/>
    <n v="81.166666666666671"/>
  </r>
  <r>
    <d v="2025-02-13T22:15:00"/>
    <s v="INYECTADO"/>
    <x v="10"/>
    <x v="51"/>
    <s v="JUAN MANUEL PEREZ"/>
    <s v="VIRGEN"/>
    <s v="PP CLARIFICADO"/>
    <s v="."/>
    <x v="35"/>
    <s v="TAPER 550ML PASTEL-LILA"/>
    <n v="987"/>
    <n v="8"/>
    <n v="76"/>
    <s v="NOCTURNO"/>
    <m/>
    <n v="8"/>
    <n v="1019"/>
    <n v="20592"/>
    <s v="LILA"/>
    <n v="3"/>
    <n v="0"/>
    <n v="0"/>
    <n v="37.506"/>
    <n v="76"/>
    <n v="38"/>
    <n v="2000"/>
    <x v="1"/>
    <x v="0"/>
    <n v="8"/>
    <n v="2"/>
    <n v="164.5"/>
  </r>
  <r>
    <d v="2025-02-13T22:15:00"/>
    <s v="INYECTADO"/>
    <x v="10"/>
    <x v="52"/>
    <s v="JOSE CAHUACHI"/>
    <s v="VIRGEN"/>
    <s v="PP CLARIFICADO"/>
    <s v="."/>
    <x v="35"/>
    <s v="TAPER 550ML PASTEL-LILA"/>
    <n v="603"/>
    <n v="4"/>
    <n v="45.9"/>
    <s v="DIURNO"/>
    <m/>
    <n v="5"/>
    <n v="1019"/>
    <n v="20593"/>
    <s v="LILA"/>
    <n v="13.1"/>
    <n v="0"/>
    <n v="0"/>
    <n v="22.914000000000001"/>
    <n v="45.9"/>
    <n v="38"/>
    <n v="1207.8947368421052"/>
    <x v="1"/>
    <x v="0"/>
    <n v="8"/>
    <n v="2"/>
    <n v="100.5"/>
  </r>
  <r>
    <d v="2025-02-13T22:15:00"/>
    <s v="INYECTADO"/>
    <x v="10"/>
    <x v="52"/>
    <s v="JOSE CAHUACHI"/>
    <s v="VIRGEN"/>
    <s v="PP CLARIFICADO"/>
    <s v="."/>
    <x v="35"/>
    <s v="TAPER 550ML PASTEL-ROSADO"/>
    <n v="971"/>
    <n v="7"/>
    <n v="73.8"/>
    <s v="DIURNO"/>
    <m/>
    <n v="8"/>
    <n v="1019"/>
    <n v="20593"/>
    <s v="ROSADO"/>
    <n v="4.0999999999999996"/>
    <n v="0"/>
    <n v="0"/>
    <n v="36.898000000000003"/>
    <n v="73.8"/>
    <n v="38"/>
    <n v="1942.1052631578948"/>
    <x v="1"/>
    <x v="0"/>
    <n v="8"/>
    <n v="2"/>
    <n v="161.83333333333334"/>
  </r>
  <r>
    <d v="2025-02-13T22:15:00"/>
    <s v="INYECTADO"/>
    <x v="10"/>
    <x v="52"/>
    <s v="FABIAN HERNANDEZ"/>
    <s v="VIRGEN"/>
    <s v="PP CLARIFICADO"/>
    <s v="."/>
    <x v="35"/>
    <s v="TAPER 550ML PASTEL-CELESTE"/>
    <n v="720"/>
    <n v="5"/>
    <n v="55.5"/>
    <s v="NOCTURNO"/>
    <m/>
    <n v="6"/>
    <n v="1019"/>
    <n v="20594"/>
    <s v="CELESTE"/>
    <n v="0"/>
    <n v="0"/>
    <n v="0"/>
    <n v="27.36"/>
    <n v="55.5"/>
    <n v="38"/>
    <n v="1460.5263157894738"/>
    <x v="1"/>
    <x v="0"/>
    <n v="8"/>
    <n v="2"/>
    <n v="120"/>
  </r>
  <r>
    <d v="2025-02-13T22:15:00"/>
    <s v="INYECTADO"/>
    <x v="10"/>
    <x v="52"/>
    <s v="FABIAN HERNANDEZ"/>
    <s v="VIRGEN"/>
    <s v="PP CLARIFICADO"/>
    <s v="."/>
    <x v="35"/>
    <s v="TAPER 550ML PASTEL-TURQUESA"/>
    <n v="614"/>
    <n v="5"/>
    <n v="47.3"/>
    <s v="NOCTURNO"/>
    <m/>
    <n v="5"/>
    <n v="1019"/>
    <n v="20594"/>
    <s v="TURQUESA"/>
    <n v="0"/>
    <n v="0"/>
    <n v="0"/>
    <n v="23.332000000000001"/>
    <n v="47.3"/>
    <n v="38"/>
    <n v="1244.7368421052631"/>
    <x v="1"/>
    <x v="0"/>
    <n v="8"/>
    <n v="2"/>
    <n v="102.33333333333333"/>
  </r>
  <r>
    <d v="2025-02-13T22:15:00"/>
    <s v="INYECTADO"/>
    <x v="10"/>
    <x v="53"/>
    <s v="LUIS RENGIFO"/>
    <s v="VIRGEN"/>
    <s v="PP CLARIFICADO"/>
    <s v="."/>
    <x v="35"/>
    <s v="TAPER 550ML PASTEL-TURQUESA"/>
    <n v="481"/>
    <n v="4"/>
    <n v="36.1"/>
    <s v="DIURNO"/>
    <m/>
    <n v="4"/>
    <n v="1019"/>
    <n v="20595"/>
    <s v="TURQUESA"/>
    <n v="10"/>
    <n v="0"/>
    <n v="0"/>
    <n v="18.277999999999999"/>
    <n v="36.1"/>
    <n v="38"/>
    <n v="950"/>
    <x v="1"/>
    <x v="0"/>
    <n v="8"/>
    <n v="2"/>
    <n v="80.166666666666671"/>
  </r>
  <r>
    <d v="2025-02-13T22:15:00"/>
    <s v="INYECTADO"/>
    <x v="10"/>
    <x v="53"/>
    <s v="LUIS RENGIFO"/>
    <s v="VIRGEN"/>
    <s v="PP CLARIFICADO"/>
    <s v="."/>
    <x v="35"/>
    <s v="TAPER 550ML PASTEL-AZURE"/>
    <n v="900"/>
    <n v="6"/>
    <n v="67.5"/>
    <s v="DIURNO"/>
    <m/>
    <n v="8"/>
    <n v="1019"/>
    <n v="20595"/>
    <s v="AZURE"/>
    <n v="8.1999999999999993"/>
    <n v="0"/>
    <n v="0"/>
    <n v="34.200000000000003"/>
    <n v="67.5"/>
    <n v="38"/>
    <n v="1776.3157894736842"/>
    <x v="1"/>
    <x v="0"/>
    <n v="8"/>
    <n v="2"/>
    <n v="150"/>
  </r>
  <r>
    <d v="2025-02-13T22:15:00"/>
    <s v="INYECTADO"/>
    <x v="10"/>
    <x v="53"/>
    <s v="ISABEL LINARIZ "/>
    <s v="VIRGEN"/>
    <s v="PP CLARIFICADO"/>
    <s v="."/>
    <x v="35"/>
    <s v="TAPER 550ML PASTEL-SANDIA"/>
    <n v="953"/>
    <n v="7"/>
    <n v="71.5"/>
    <s v="NOCTURNO"/>
    <m/>
    <n v="7"/>
    <n v="1019"/>
    <n v="20596"/>
    <s v="SANDIA"/>
    <n v="12.4"/>
    <n v="0"/>
    <n v="0"/>
    <n v="36.213999999999999"/>
    <n v="71.5"/>
    <n v="38"/>
    <n v="1881.578947368421"/>
    <x v="1"/>
    <x v="0"/>
    <n v="8"/>
    <n v="2"/>
    <n v="158.83333333333334"/>
  </r>
  <r>
    <d v="2025-02-13T22:15:00"/>
    <s v="INYECTADO"/>
    <x v="10"/>
    <x v="53"/>
    <s v="ISABEL LINARIZ "/>
    <s v="VIRGEN"/>
    <s v="PP CLARIFICADO"/>
    <s v="."/>
    <x v="36"/>
    <s v="TAPER 550ML CARAMELO-ROJO"/>
    <n v="61"/>
    <n v="1"/>
    <n v="4.5999999999999996"/>
    <s v="NOCTURNO"/>
    <m/>
    <n v="1"/>
    <n v="1019"/>
    <n v="20596"/>
    <s v="ROJO"/>
    <n v="4.5999999999999996"/>
    <n v="0"/>
    <n v="0"/>
    <n v="2.3180000000000001"/>
    <n v="4.5999999999999996"/>
    <n v="38"/>
    <n v="121.05263157894737"/>
    <x v="1"/>
    <x v="0"/>
    <n v="8"/>
    <n v="2"/>
    <n v="10.166666666666666"/>
  </r>
  <r>
    <d v="2025-02-13T22:15:00"/>
    <s v="INYECTADO"/>
    <x v="10"/>
    <x v="56"/>
    <s v="SAID VILLAMIZAR"/>
    <s v="VIRGEN"/>
    <s v="PP CLARIFICADO"/>
    <s v="."/>
    <x v="36"/>
    <s v="TAPER 550ML CARAMELO-ROJO"/>
    <n v="1210"/>
    <n v="7"/>
    <n v="44.8"/>
    <s v="DIURNO"/>
    <m/>
    <n v="6"/>
    <n v="1019"/>
    <n v="20597"/>
    <n v="0"/>
    <n v="0"/>
    <n v="0"/>
    <n v="0"/>
    <n v="45.98"/>
    <n v="44.8"/>
    <n v="38"/>
    <n v="1178.9473684210527"/>
    <x v="1"/>
    <x v="0"/>
    <n v="8"/>
    <n v="2"/>
    <n v="201.66666666666666"/>
  </r>
  <r>
    <d v="2025-02-13T22:15:00"/>
    <s v="INYECTADO"/>
    <x v="10"/>
    <x v="45"/>
    <s v="BRAYAN PINEDO"/>
    <s v="VIRGEN"/>
    <s v="PP CLARIFICADO"/>
    <s v="."/>
    <x v="36"/>
    <s v="TAPER 550ML CARAMELO-ROJO"/>
    <n v="614"/>
    <n v="4"/>
    <n v="23.3"/>
    <s v="NOCTURNO"/>
    <m/>
    <n v="4"/>
    <n v="1019"/>
    <n v="20599"/>
    <s v="ROJO"/>
    <n v="4.9000000000000004"/>
    <n v="0"/>
    <n v="0"/>
    <n v="23.332000000000001"/>
    <n v="23.3"/>
    <n v="38"/>
    <n v="613.15789473684208"/>
    <x v="1"/>
    <x v="0"/>
    <n v="9"/>
    <n v="2"/>
    <n v="102.33333333333333"/>
  </r>
  <r>
    <d v="2025-02-13T22:15:00"/>
    <s v="INYECTADO"/>
    <x v="10"/>
    <x v="45"/>
    <s v="BRAYAN PINEDO"/>
    <s v="VIRGEN"/>
    <s v="PP CLARIFICADO"/>
    <s v="."/>
    <x v="36"/>
    <s v="TAPER 550ML CARAMELO-FUCSIA"/>
    <n v="965"/>
    <n v="7"/>
    <n v="36.6"/>
    <s v="NOCTURNO"/>
    <m/>
    <n v="4"/>
    <n v="1019"/>
    <n v="20599"/>
    <s v="FUCSIA"/>
    <n v="0"/>
    <n v="0"/>
    <n v="0"/>
    <n v="36.67"/>
    <n v="36.6"/>
    <n v="38"/>
    <n v="963.15789473684208"/>
    <x v="1"/>
    <x v="0"/>
    <n v="9"/>
    <n v="2"/>
    <n v="160.83333333333334"/>
  </r>
  <r>
    <d v="2025-02-13T22:15:00"/>
    <s v="INYECTADO"/>
    <x v="10"/>
    <x v="45"/>
    <s v="SAID VILLAMIZAR"/>
    <s v="VIRGEN"/>
    <s v="PP CLARIFICADO"/>
    <s v="."/>
    <x v="36"/>
    <s v="TAPER 550ML CARAMELO-ROJO"/>
    <n v="180"/>
    <n v="1"/>
    <n v="6.8"/>
    <s v="DIURNO"/>
    <m/>
    <n v="1"/>
    <n v="1019"/>
    <n v="20598"/>
    <n v="0"/>
    <n v="0"/>
    <n v="0"/>
    <n v="0"/>
    <n v="6.84"/>
    <n v="6.8"/>
    <n v="38"/>
    <n v="178.94736842105263"/>
    <x v="1"/>
    <x v="0"/>
    <n v="9"/>
    <n v="2"/>
    <n v="30"/>
  </r>
  <r>
    <d v="2025-02-13T22:15:00"/>
    <s v="INYECTADO"/>
    <x v="10"/>
    <x v="38"/>
    <s v="LUIS PINEDO"/>
    <s v="VIRGEN"/>
    <s v="PP CLARIFICADO"/>
    <s v="."/>
    <x v="36"/>
    <s v="TAPER 550ML CARAMELO-FUCSIA"/>
    <n v="712"/>
    <n v="4"/>
    <n v="26.7"/>
    <s v="DIURNO"/>
    <m/>
    <n v="4"/>
    <n v="1019"/>
    <n v="20600"/>
    <s v="FUCSIA"/>
    <n v="0"/>
    <n v="0"/>
    <n v="0"/>
    <n v="27.056000000000001"/>
    <n v="26.7"/>
    <n v="38"/>
    <n v="702.63157894736844"/>
    <x v="1"/>
    <x v="0"/>
    <n v="9"/>
    <n v="2"/>
    <n v="118.66666666666667"/>
  </r>
  <r>
    <d v="2025-02-13T22:15:00"/>
    <s v="INYECTADO"/>
    <x v="10"/>
    <x v="38"/>
    <s v="LUIS PINEDO"/>
    <s v="VIRGEN"/>
    <s v="PP CLARIFICADO"/>
    <s v="."/>
    <x v="36"/>
    <s v="TAPER 550ML CARAMELO-LILA"/>
    <n v="1205"/>
    <n v="7"/>
    <n v="45.2"/>
    <s v="DIURNO"/>
    <m/>
    <n v="5"/>
    <n v="1019"/>
    <n v="20600"/>
    <s v="LILA"/>
    <n v="0"/>
    <n v="0"/>
    <n v="0"/>
    <n v="45.79"/>
    <n v="45.2"/>
    <n v="38"/>
    <n v="1189.4736842105262"/>
    <x v="1"/>
    <x v="0"/>
    <n v="9"/>
    <n v="2"/>
    <n v="200.83333333333334"/>
  </r>
  <r>
    <d v="2025-02-13T22:15:00"/>
    <s v="INYECTADO"/>
    <x v="10"/>
    <x v="46"/>
    <s v="FABIAN HERNANDEZ"/>
    <s v="VIRGEN"/>
    <s v="PP CLARIFICADO"/>
    <s v="."/>
    <x v="36"/>
    <s v="TAPER 550ML CARAMELO-LILA"/>
    <n v="790"/>
    <n v="5"/>
    <n v="31.6"/>
    <s v="NOCTURNO"/>
    <m/>
    <n v="4"/>
    <n v="1019"/>
    <n v="21301"/>
    <s v="LILA"/>
    <n v="4.8"/>
    <n v="0"/>
    <n v="0"/>
    <n v="30.02"/>
    <n v="31.6"/>
    <n v="38"/>
    <n v="831.57894736842104"/>
    <x v="1"/>
    <x v="0"/>
    <n v="9"/>
    <n v="2"/>
    <n v="131.66666666666666"/>
  </r>
  <r>
    <d v="2025-02-13T22:15:00"/>
    <s v="INYECTADO"/>
    <x v="10"/>
    <x v="46"/>
    <s v="FABIAN HERNANDEZ"/>
    <s v="VIRGEN"/>
    <s v="PP CLARIFICADO"/>
    <s v="."/>
    <x v="36"/>
    <s v="TAPER 550ML CARAMELO-AZUL"/>
    <n v="522"/>
    <n v="5"/>
    <n v="20.9"/>
    <s v="NOCTURNO"/>
    <m/>
    <n v="3"/>
    <n v="1019"/>
    <n v="21301"/>
    <s v="AZUL"/>
    <n v="0.9"/>
    <n v="0"/>
    <n v="0"/>
    <n v="19.835999999999999"/>
    <n v="20.9"/>
    <n v="38"/>
    <n v="550"/>
    <x v="1"/>
    <x v="0"/>
    <n v="9"/>
    <n v="2"/>
    <n v="87"/>
  </r>
  <r>
    <d v="2025-02-13T22:15:00"/>
    <s v="INYECTADO"/>
    <x v="10"/>
    <x v="46"/>
    <s v="JOSDER GONZALEZ"/>
    <s v="VIRGEN"/>
    <s v="PP CLARIFICADO"/>
    <s v="."/>
    <x v="36"/>
    <s v="TAPER 550ML CARAMELO-AZUL"/>
    <n v="1470"/>
    <n v="9"/>
    <n v="54.4"/>
    <s v="DIURNO"/>
    <m/>
    <n v="7"/>
    <n v="1019"/>
    <n v="21302"/>
    <s v="AZUL"/>
    <n v="2.2999999999999998"/>
    <n v="0"/>
    <n v="0"/>
    <n v="55.86"/>
    <n v="54.4"/>
    <n v="38"/>
    <n v="1431.578947368421"/>
    <x v="1"/>
    <x v="0"/>
    <n v="9"/>
    <n v="2"/>
    <n v="245"/>
  </r>
  <r>
    <d v="2025-02-13T22:15:00"/>
    <s v="INYECTADO"/>
    <x v="10"/>
    <x v="46"/>
    <s v="JOSDER GONZALEZ"/>
    <s v="VIRGEN"/>
    <s v="PP CLARIFICADO"/>
    <s v="."/>
    <x v="36"/>
    <s v="TAPER 550ML CARAMELO-AMARILLO"/>
    <n v="237"/>
    <n v="2"/>
    <n v="8.8000000000000007"/>
    <s v="DIURNO"/>
    <m/>
    <n v="2"/>
    <n v="1019"/>
    <n v="21302"/>
    <s v="AMARILLO"/>
    <n v="4"/>
    <n v="0"/>
    <n v="0"/>
    <n v="9.0060000000000002"/>
    <n v="8.8000000000000007"/>
    <n v="38"/>
    <n v="231.57894736842104"/>
    <x v="1"/>
    <x v="0"/>
    <n v="9"/>
    <n v="2"/>
    <n v="39.5"/>
  </r>
  <r>
    <d v="2025-02-13T22:15:00"/>
    <s v="INYECTADO"/>
    <x v="10"/>
    <x v="39"/>
    <s v="ISABEL LINARIZ "/>
    <s v="VIRGEN"/>
    <s v="PP CLARIFICADO"/>
    <s v="."/>
    <x v="36"/>
    <s v="TAPER 550ML CARAMELO-AMARILLO"/>
    <n v="1224"/>
    <n v="7"/>
    <n v="45.3"/>
    <s v="DIURNO"/>
    <m/>
    <n v="5"/>
    <n v="1019"/>
    <n v="21303"/>
    <s v="AMARILLO"/>
    <n v="0"/>
    <n v="0"/>
    <n v="0"/>
    <n v="46.512"/>
    <n v="45.3"/>
    <n v="38"/>
    <n v="1192.1052631578948"/>
    <x v="1"/>
    <x v="0"/>
    <n v="9"/>
    <n v="2"/>
    <n v="204"/>
  </r>
  <r>
    <d v="2025-02-13T22:15:00"/>
    <s v="INYECTADO"/>
    <x v="10"/>
    <x v="39"/>
    <s v="JUAN MANUEL PEREZ"/>
    <s v="VIRGEN"/>
    <s v="PP CLARIFICADO"/>
    <s v="."/>
    <x v="36"/>
    <s v="TAPER 550ML CARAMELO-AMARILLO"/>
    <n v="737"/>
    <n v="4"/>
    <n v="27.3"/>
    <s v="NOCTURNO"/>
    <m/>
    <n v="3"/>
    <n v="1019"/>
    <n v="21304"/>
    <s v="AMARILLO"/>
    <n v="0"/>
    <n v="0"/>
    <n v="0"/>
    <n v="28.006"/>
    <n v="27.3"/>
    <n v="38"/>
    <n v="718.42105263157896"/>
    <x v="1"/>
    <x v="0"/>
    <n v="9"/>
    <n v="2"/>
    <n v="122.83333333333333"/>
  </r>
  <r>
    <d v="2025-02-13T22:15:00"/>
    <s v="INYECTADO"/>
    <x v="10"/>
    <x v="39"/>
    <s v="JUAN MANUEL PEREZ"/>
    <s v="VIRGEN"/>
    <s v="PP CLARIFICADO"/>
    <s v="."/>
    <x v="36"/>
    <s v="TAPER 550ML CARAMELO-VERDE"/>
    <n v="933"/>
    <n v="7"/>
    <n v="36.4"/>
    <s v="NOCTURNO"/>
    <m/>
    <n v="4"/>
    <n v="1019"/>
    <n v="21304"/>
    <s v="VERDE"/>
    <n v="1"/>
    <n v="0"/>
    <n v="0"/>
    <n v="35.454000000000001"/>
    <n v="36.4"/>
    <n v="38"/>
    <n v="957.89473684210532"/>
    <x v="1"/>
    <x v="0"/>
    <n v="9"/>
    <n v="2"/>
    <n v="155.5"/>
  </r>
  <r>
    <d v="2025-02-13T22:15:00"/>
    <s v="INYECTADO"/>
    <x v="10"/>
    <x v="40"/>
    <s v="FABIAN HERNANDEZ"/>
    <s v="VIRGEN"/>
    <s v="PP CLARIFICADO"/>
    <s v="."/>
    <x v="36"/>
    <s v="TAPER 550ML CARAMELO-VERDE"/>
    <n v="870"/>
    <n v="5"/>
    <n v="32.200000000000003"/>
    <s v="DIURNO"/>
    <m/>
    <n v="3"/>
    <n v="1019"/>
    <n v="21305"/>
    <s v="VERDE"/>
    <n v="1.7"/>
    <n v="0"/>
    <n v="0"/>
    <n v="33.06"/>
    <n v="32.200000000000003"/>
    <n v="38"/>
    <n v="847.36842105263167"/>
    <x v="1"/>
    <x v="0"/>
    <n v="9"/>
    <n v="2"/>
    <n v="145"/>
  </r>
  <r>
    <d v="2025-02-13T22:15:00"/>
    <s v="INYECTADO"/>
    <x v="10"/>
    <x v="40"/>
    <s v="FABIAN HERNANDEZ"/>
    <s v="VIRGEN"/>
    <s v="PP CLARIFICADO"/>
    <s v="."/>
    <x v="61"/>
    <s v="TAPER 550ML SOLIDO-VERDE"/>
    <n v="362"/>
    <n v="2"/>
    <n v="13.4"/>
    <s v="DIURNO"/>
    <m/>
    <n v="2"/>
    <n v="1019"/>
    <n v="21305"/>
    <s v="VERDE"/>
    <n v="5.7"/>
    <n v="0"/>
    <n v="0"/>
    <n v="13.756"/>
    <n v="13.4"/>
    <n v="38"/>
    <n v="352.63157894736844"/>
    <x v="1"/>
    <x v="0"/>
    <n v="9"/>
    <n v="2"/>
    <n v="60.333333333333336"/>
  </r>
  <r>
    <d v="2025-02-13T22:15:00"/>
    <s v="INYECTADO"/>
    <x v="10"/>
    <x v="40"/>
    <s v="FABIAN HERNANDEZ"/>
    <s v="VIRGEN"/>
    <s v="PP CLARIFICADO"/>
    <s v="."/>
    <x v="61"/>
    <s v="TAPER 550ML SOLIDO-FUCSIA"/>
    <n v="400"/>
    <n v="3"/>
    <n v="14.8"/>
    <s v="DIURNO"/>
    <m/>
    <n v="3"/>
    <n v="1019"/>
    <n v="21305"/>
    <s v="FUCSIA"/>
    <n v="2.8"/>
    <n v="0"/>
    <n v="0"/>
    <n v="15.2"/>
    <n v="14.8"/>
    <n v="38"/>
    <n v="389.4736842105263"/>
    <x v="1"/>
    <x v="0"/>
    <n v="9"/>
    <n v="2"/>
    <n v="66.666666666666671"/>
  </r>
  <r>
    <d v="2025-02-18T10:30:00"/>
    <s v="SOPLADO"/>
    <x v="11"/>
    <x v="41"/>
    <s v="ISABEL/CRISALIDA"/>
    <s v="VIRGEN"/>
    <s v="PP SOPLADO"/>
    <s v="."/>
    <x v="40"/>
    <s v="TOMATODO 350ML-TRANSPARENTE"/>
    <n v="768"/>
    <n v="7"/>
    <n v="24.6"/>
    <s v="DIURNO"/>
    <m/>
    <n v="6"/>
    <n v="964"/>
    <n v="21116"/>
    <s v="TRANSPARENTE"/>
    <n v="7.2"/>
    <n v="0"/>
    <n v="0"/>
    <n v="47.616"/>
    <n v="24.6"/>
    <n v="62"/>
    <n v="396.77419354838707"/>
    <x v="1"/>
    <x v="0"/>
    <n v="5"/>
    <n v="2"/>
    <n v="128"/>
  </r>
  <r>
    <d v="2025-02-18T10:30:00"/>
    <s v="SOPLADO"/>
    <x v="11"/>
    <x v="41"/>
    <s v="ISABEL/CRISALIDA"/>
    <s v="VIRGEN"/>
    <s v="PP SOPLADO"/>
    <s v="."/>
    <x v="40"/>
    <s v="TOMATODO 350ML PASTEL-TURQUESA"/>
    <n v="525"/>
    <n v="5"/>
    <n v="16.8"/>
    <s v="DIURNO"/>
    <m/>
    <n v="6"/>
    <n v="964"/>
    <n v="21116"/>
    <s v="TURQUESA"/>
    <n v="19"/>
    <n v="0"/>
    <n v="0"/>
    <n v="15.225"/>
    <n v="16.8"/>
    <n v="29"/>
    <n v="579.31034482758616"/>
    <x v="1"/>
    <x v="0"/>
    <n v="5"/>
    <n v="1"/>
    <n v="43.75"/>
  </r>
  <r>
    <d v="2025-02-18T10:30:00"/>
    <s v="SOPLADO"/>
    <x v="11"/>
    <x v="41"/>
    <s v="FABIAN HERNANDEZ"/>
    <s v="VIRGEN"/>
    <s v="PP SOPLADO"/>
    <s v="."/>
    <x v="40"/>
    <s v="TOMATODO 350ML PASTEL-TURQUESA"/>
    <n v="254"/>
    <n v="2"/>
    <n v="16.3"/>
    <s v="NOCTURNO"/>
    <m/>
    <n v="4"/>
    <n v="964"/>
    <n v="21117"/>
    <s v="TURQUESA"/>
    <n v="29.1"/>
    <n v="0"/>
    <n v="0"/>
    <n v="7.3659999999999997"/>
    <n v="16.3"/>
    <n v="29"/>
    <n v="562.06896551724139"/>
    <x v="1"/>
    <x v="0"/>
    <n v="5"/>
    <n v="1"/>
    <n v="21.166666666666668"/>
  </r>
  <r>
    <d v="2025-02-18T10:30:00"/>
    <s v="SOPLADO"/>
    <x v="11"/>
    <x v="41"/>
    <s v="FABIAN HERNANDEZ"/>
    <s v="VIRGEN"/>
    <s v="PP SOPLADO"/>
    <s v="."/>
    <x v="40"/>
    <s v="TOMATODO 350ML PASTEL-LILA"/>
    <n v="450"/>
    <n v="4"/>
    <n v="28.8"/>
    <s v="NOCTURNO"/>
    <m/>
    <n v="4"/>
    <n v="964"/>
    <n v="21117"/>
    <s v="LILA"/>
    <n v="20.3"/>
    <n v="0"/>
    <n v="0"/>
    <n v="13.05"/>
    <n v="28.8"/>
    <n v="29"/>
    <n v="993.10344827586209"/>
    <x v="1"/>
    <x v="0"/>
    <n v="5"/>
    <n v="1"/>
    <n v="37.5"/>
  </r>
  <r>
    <d v="2025-02-18T10:30:00"/>
    <s v="SOPLADO"/>
    <x v="11"/>
    <x v="41"/>
    <s v="FABIAN HERNANDEZ"/>
    <s v="VIRGEN"/>
    <s v="PP SOPLADO"/>
    <s v="."/>
    <x v="40"/>
    <s v="TOMATODO 350ML PASTEL-CELESTE"/>
    <n v="310"/>
    <n v="3"/>
    <n v="19.899999999999999"/>
    <s v="NOCTURNO"/>
    <m/>
    <n v="2"/>
    <n v="964"/>
    <n v="21117"/>
    <s v="CELESTE"/>
    <n v="20"/>
    <n v="0"/>
    <n v="0"/>
    <n v="8.99"/>
    <n v="19.899999999999999"/>
    <n v="29"/>
    <n v="686.20689655172418"/>
    <x v="1"/>
    <x v="0"/>
    <n v="5"/>
    <n v="1"/>
    <n v="25.833333333333332"/>
  </r>
  <r>
    <d v="2025-02-18T10:30:00"/>
    <s v="SOPLADO"/>
    <x v="11"/>
    <x v="41"/>
    <s v="FABIAN HERNANDEZ"/>
    <s v="VIRGEN"/>
    <s v="PP SOPLADO"/>
    <s v="."/>
    <x v="40"/>
    <s v="TOMATODO 350ML PASTEL-ROSADO"/>
    <n v="507"/>
    <n v="4"/>
    <n v="32.5"/>
    <s v="NOCTURNO"/>
    <m/>
    <n v="4"/>
    <n v="964"/>
    <n v="21117"/>
    <s v="ROSADO"/>
    <n v="22"/>
    <n v="0"/>
    <n v="0"/>
    <n v="14.702999999999999"/>
    <n v="32.5"/>
    <n v="29"/>
    <n v="1120.6896551724137"/>
    <x v="1"/>
    <x v="0"/>
    <n v="5"/>
    <n v="1"/>
    <n v="42.25"/>
  </r>
  <r>
    <d v="2025-02-18T10:30:00"/>
    <s v="SOPLADO"/>
    <x v="11"/>
    <x v="54"/>
    <s v="CRISALIDA ZAPATA"/>
    <s v="VIRGEN"/>
    <s v="PP SOPLADO"/>
    <s v="."/>
    <x v="40"/>
    <s v="TOMATODO 350ML PASTEL-AZURE"/>
    <n v="373"/>
    <n v="3"/>
    <n v="23.8"/>
    <s v="DIURNO"/>
    <m/>
    <n v="5"/>
    <n v="964"/>
    <n v="21118"/>
    <s v="AZURE"/>
    <n v="16"/>
    <n v="0"/>
    <n v="0"/>
    <n v="10.817"/>
    <n v="23.8"/>
    <n v="29"/>
    <n v="820.68965517241384"/>
    <x v="1"/>
    <x v="0"/>
    <n v="5"/>
    <n v="1"/>
    <n v="31.083333333333332"/>
  </r>
  <r>
    <d v="2025-02-18T10:30:00"/>
    <s v="SOPLADO"/>
    <x v="11"/>
    <x v="54"/>
    <s v="CRISALIDA ZAPATA"/>
    <s v="VIRGEN"/>
    <s v="PP SOPLADO"/>
    <s v="."/>
    <x v="40"/>
    <s v="TOMATODO 350ML PASTEL-SANDIA"/>
    <n v="480"/>
    <n v="4"/>
    <n v="30.7"/>
    <s v="DIURNO"/>
    <m/>
    <n v="5"/>
    <n v="964"/>
    <n v="21118"/>
    <s v="SANDIA"/>
    <n v="4.5999999999999996"/>
    <n v="0"/>
    <n v="0"/>
    <n v="13.92"/>
    <n v="30.7"/>
    <n v="29"/>
    <n v="1058.6206896551723"/>
    <x v="1"/>
    <x v="0"/>
    <n v="5"/>
    <n v="1"/>
    <n v="40"/>
  </r>
  <r>
    <d v="2025-02-18T10:30:00"/>
    <s v="SOPLADO"/>
    <x v="11"/>
    <x v="54"/>
    <s v="CRISALIDA ZAPATA"/>
    <s v="VIRGEN"/>
    <s v="PP SOPLADO"/>
    <s v="."/>
    <x v="40"/>
    <s v="TOMATODO 350ML PASTEL-ROSADO"/>
    <n v="250"/>
    <n v="2"/>
    <n v="16"/>
    <s v="DIURNO"/>
    <m/>
    <n v="2"/>
    <n v="964"/>
    <n v="21118"/>
    <s v="ROSADO"/>
    <n v="3.3"/>
    <n v="0"/>
    <n v="0"/>
    <n v="7.25"/>
    <n v="16"/>
    <n v="29"/>
    <n v="551.72413793103453"/>
    <x v="1"/>
    <x v="0"/>
    <n v="5"/>
    <n v="1"/>
    <n v="20.833333333333332"/>
  </r>
  <r>
    <d v="2025-02-18T10:30:00"/>
    <s v="SOPLADO"/>
    <x v="11"/>
    <x v="42"/>
    <s v="ISABEL/CRISALIDA"/>
    <s v="VIRGEN"/>
    <s v="PP SOPLADO"/>
    <s v="."/>
    <x v="40"/>
    <s v="TOMATODO 350ML PASTEL-LILA"/>
    <n v="546"/>
    <n v="4"/>
    <n v="35"/>
    <s v="DIURNO"/>
    <m/>
    <n v="3"/>
    <n v="964"/>
    <n v="21119"/>
    <s v="LILA"/>
    <n v="12.11"/>
    <n v="0"/>
    <n v="0"/>
    <n v="15.834"/>
    <n v="35"/>
    <n v="29"/>
    <n v="1206.8965517241379"/>
    <x v="1"/>
    <x v="0"/>
    <n v="6"/>
    <n v="1"/>
    <n v="45.5"/>
  </r>
  <r>
    <d v="2025-02-18T10:30:00"/>
    <s v="SOPLADO"/>
    <x v="11"/>
    <x v="42"/>
    <s v="ISABEL/CRISALIDA"/>
    <s v="VIRGEN"/>
    <s v="PP SOPLADO"/>
    <s v="."/>
    <x v="40"/>
    <s v="TOMATODO 350ML PASTEL-ROSADO"/>
    <n v="296"/>
    <n v="2"/>
    <n v="19"/>
    <s v="DIURNO"/>
    <m/>
    <n v="2"/>
    <n v="964"/>
    <n v="21119"/>
    <s v="ROSADO"/>
    <n v="1.9"/>
    <n v="0"/>
    <n v="0"/>
    <n v="8.5839999999999996"/>
    <n v="19"/>
    <n v="29"/>
    <n v="655.17241379310349"/>
    <x v="1"/>
    <x v="0"/>
    <n v="6"/>
    <n v="1"/>
    <n v="24.666666666666668"/>
  </r>
  <r>
    <d v="2025-02-18T10:30:00"/>
    <s v="SOPLADO"/>
    <x v="11"/>
    <x v="42"/>
    <s v="JOSDER GONZALEZ"/>
    <s v="VIRGEN"/>
    <s v="PP SOPLADO"/>
    <s v="."/>
    <x v="40"/>
    <s v="TOMATODO 350ML PASTEL-CELESTE"/>
    <n v="750"/>
    <n v="7"/>
    <n v="48"/>
    <s v="NOCTURNO"/>
    <m/>
    <n v="7"/>
    <n v="964"/>
    <n v="21120"/>
    <s v="CELESTE"/>
    <n v="26.6"/>
    <n v="0"/>
    <n v="0"/>
    <n v="21.75"/>
    <n v="48"/>
    <n v="29"/>
    <n v="1655.1724137931035"/>
    <x v="1"/>
    <x v="0"/>
    <n v="6"/>
    <n v="1"/>
    <n v="62.5"/>
  </r>
  <r>
    <d v="2025-02-18T10:30:00"/>
    <s v="SOPLADO"/>
    <x v="11"/>
    <x v="42"/>
    <s v="JOSDER GONZALEZ"/>
    <s v="VIRGEN"/>
    <s v="PP SOPLADO"/>
    <s v="."/>
    <x v="40"/>
    <s v="TOMATODO 350ML PASTEL-AZURE"/>
    <n v="450"/>
    <n v="4"/>
    <n v="28.8"/>
    <s v="NOCTURNO"/>
    <m/>
    <n v="4"/>
    <n v="964"/>
    <n v="21120"/>
    <s v="AZURE"/>
    <n v="20.3"/>
    <n v="0"/>
    <n v="0"/>
    <n v="13.05"/>
    <n v="28.8"/>
    <n v="29"/>
    <n v="993.10344827586209"/>
    <x v="1"/>
    <x v="0"/>
    <n v="6"/>
    <n v="1"/>
    <n v="37.5"/>
  </r>
  <r>
    <d v="2025-02-18T10:30:00"/>
    <s v="SOPLADO"/>
    <x v="11"/>
    <x v="35"/>
    <s v="PAUL/CRISALIDA"/>
    <s v="VIRGEN"/>
    <s v="PP SOPLADO"/>
    <s v="."/>
    <x v="40"/>
    <s v="TOMATODO 350ML PASTEL-SANDIA"/>
    <n v="471"/>
    <n v="4"/>
    <n v="30.2"/>
    <s v="DIURNO"/>
    <m/>
    <n v="4"/>
    <n v="964"/>
    <n v="21121"/>
    <s v="SANDIA"/>
    <n v="8.6999999999999993"/>
    <n v="0"/>
    <n v="0"/>
    <n v="13.659000000000001"/>
    <n v="30.2"/>
    <n v="29"/>
    <n v="1041.3793103448277"/>
    <x v="1"/>
    <x v="0"/>
    <n v="6"/>
    <n v="1"/>
    <n v="39.25"/>
  </r>
  <r>
    <d v="2025-02-18T10:30:00"/>
    <s v="SOPLADO"/>
    <x v="11"/>
    <x v="35"/>
    <s v="PAUL/CRISALIDA"/>
    <s v="VIRGEN"/>
    <s v="PP SOPLADO"/>
    <s v="."/>
    <x v="40"/>
    <s v="TOMATODO 350ML PASTEL-TURQUESA"/>
    <n v="182"/>
    <n v="2"/>
    <n v="11.7"/>
    <s v="DIURNO"/>
    <m/>
    <n v="2"/>
    <n v="964"/>
    <n v="21121"/>
    <s v="AZURE"/>
    <n v="3.1"/>
    <n v="0"/>
    <n v="0"/>
    <n v="5.2779999999999996"/>
    <n v="11.7"/>
    <n v="29"/>
    <n v="403.44827586206895"/>
    <x v="1"/>
    <x v="0"/>
    <n v="6"/>
    <n v="1"/>
    <n v="15.166666666666666"/>
  </r>
  <r>
    <d v="2025-02-18T10:30:00"/>
    <s v="SOPLADO"/>
    <x v="11"/>
    <x v="35"/>
    <s v="PAUL/CRISALIDA"/>
    <s v="VIRGEN"/>
    <s v="PP SOPLADO"/>
    <s v="."/>
    <x v="40"/>
    <s v="TOMATODO 350ML PASTEL-AZURE"/>
    <n v="28"/>
    <n v="1"/>
    <n v="1.8"/>
    <s v="DIURNO"/>
    <m/>
    <n v="1"/>
    <n v="964"/>
    <n v="21121"/>
    <s v="TURQUESA"/>
    <n v="11"/>
    <n v="0"/>
    <n v="0"/>
    <n v="0.81200000000000006"/>
    <n v="1.8"/>
    <n v="29"/>
    <n v="62.068965517241381"/>
    <x v="1"/>
    <x v="0"/>
    <n v="6"/>
    <n v="1"/>
    <n v="2.3333333333333335"/>
  </r>
  <r>
    <d v="2025-02-18T10:30:00"/>
    <s v="SOPLADO"/>
    <x v="11"/>
    <x v="35"/>
    <s v="FABIAN HERNANDEZ"/>
    <s v="VIRGEN"/>
    <s v="PP SOPLADO"/>
    <s v="."/>
    <x v="39"/>
    <s v="TOMATODO 350ML-TRANSPARENTE"/>
    <n v="1635"/>
    <n v="12"/>
    <n v="104.7"/>
    <s v="NOCTURNO"/>
    <m/>
    <n v="17"/>
    <n v="964"/>
    <n v="21122"/>
    <s v="TRANSPARENTE"/>
    <n v="43.5"/>
    <n v="0"/>
    <n v="0"/>
    <n v="101.37"/>
    <n v="104.7"/>
    <n v="62"/>
    <n v="1688.7096774193549"/>
    <x v="1"/>
    <x v="0"/>
    <n v="6"/>
    <n v="2"/>
    <n v="272.5"/>
  </r>
  <r>
    <d v="2025-02-18T10:30:00"/>
    <s v="SOPLADO"/>
    <x v="11"/>
    <x v="47"/>
    <s v="CRISALIDA/SAID"/>
    <s v="VIRGEN"/>
    <s v="PP SOPLADO"/>
    <s v="."/>
    <x v="39"/>
    <s v="TOMATODO 350ML-TRANSPARENTE"/>
    <n v="1428"/>
    <n v="11"/>
    <n v="91.4"/>
    <s v="DIURNO"/>
    <m/>
    <n v="14"/>
    <n v="964"/>
    <n v="21122"/>
    <s v="TRANSPARENTE"/>
    <n v="57.9"/>
    <n v="0"/>
    <n v="0"/>
    <n v="88.536000000000001"/>
    <n v="91.4"/>
    <n v="62"/>
    <n v="1474.1935483870968"/>
    <x v="1"/>
    <x v="0"/>
    <n v="6"/>
    <n v="2"/>
    <n v="238"/>
  </r>
  <r>
    <d v="2025-02-18T10:30:00"/>
    <s v="SOPLADO"/>
    <x v="11"/>
    <x v="49"/>
    <s v="FABIAN HERNANDEZ"/>
    <s v="VIRGEN"/>
    <s v="PP SOPLADO"/>
    <s v="."/>
    <x v="40"/>
    <s v="TOMATODO 350ML PASTEL-CELESTE"/>
    <n v="198"/>
    <n v="2"/>
    <n v="12.7"/>
    <s v="NOCTURNO"/>
    <m/>
    <n v="2"/>
    <n v="964"/>
    <n v="21124"/>
    <s v="CELESTE"/>
    <n v="0"/>
    <n v="0"/>
    <n v="0"/>
    <n v="5.742"/>
    <n v="12.7"/>
    <n v="29"/>
    <n v="437.93103448275861"/>
    <x v="1"/>
    <x v="0"/>
    <n v="6"/>
    <n v="1"/>
    <n v="16.5"/>
  </r>
  <r>
    <d v="2025-02-18T10:30:00"/>
    <s v="SOPLADO"/>
    <x v="11"/>
    <x v="49"/>
    <s v="FABIAN HERNANDEZ"/>
    <s v="VIRGEN"/>
    <s v="PP SOPLADO"/>
    <s v="."/>
    <x v="40"/>
    <s v="TOMATODO 350ML PASTEL-TURQUESA"/>
    <n v="179"/>
    <n v="2"/>
    <n v="11.5"/>
    <s v="NOCTURNO"/>
    <m/>
    <n v="2"/>
    <n v="964"/>
    <n v="21124"/>
    <s v="TURQUESA"/>
    <n v="0"/>
    <n v="0"/>
    <n v="0"/>
    <n v="5.1909999999999998"/>
    <n v="11.5"/>
    <n v="29"/>
    <n v="396.55172413793105"/>
    <x v="1"/>
    <x v="0"/>
    <n v="6"/>
    <n v="1"/>
    <n v="14.916666666666666"/>
  </r>
  <r>
    <d v="2025-02-18T10:30:00"/>
    <s v="SOPLADO"/>
    <x v="11"/>
    <x v="49"/>
    <s v="FABIAN HERNANDEZ"/>
    <s v="VIRGEN"/>
    <s v="PP SOPLADO"/>
    <s v="."/>
    <x v="40"/>
    <s v="TOMATODO 350ML PASTEL-SANDIA"/>
    <n v="364"/>
    <n v="3"/>
    <n v="23.3"/>
    <s v="NOCTURNO"/>
    <m/>
    <n v="4"/>
    <n v="964"/>
    <n v="21124"/>
    <s v="SANDIA"/>
    <n v="0"/>
    <n v="0"/>
    <n v="0"/>
    <n v="10.555999999999999"/>
    <n v="23.3"/>
    <n v="29"/>
    <n v="803.44827586206895"/>
    <x v="1"/>
    <x v="0"/>
    <n v="6"/>
    <n v="1"/>
    <n v="30.333333333333332"/>
  </r>
  <r>
    <d v="2025-02-18T10:30:00"/>
    <s v="SOPLADO"/>
    <x v="11"/>
    <x v="49"/>
    <s v="FABIAN HERNANDEZ"/>
    <s v="VIRGEN"/>
    <s v="PP SOPLADO"/>
    <s v="."/>
    <x v="40"/>
    <s v="TOMATODO 350ML PASTEL-ROSADO"/>
    <n v="204"/>
    <n v="2"/>
    <n v="13.1"/>
    <s v="NOCTURNO"/>
    <m/>
    <n v="2"/>
    <n v="964"/>
    <n v="21124"/>
    <s v="ROSADO"/>
    <n v="0"/>
    <n v="0"/>
    <n v="0"/>
    <n v="5.9160000000000004"/>
    <n v="13.1"/>
    <n v="29"/>
    <n v="451.72413793103448"/>
    <x v="1"/>
    <x v="0"/>
    <n v="6"/>
    <n v="1"/>
    <n v="17"/>
  </r>
  <r>
    <d v="2025-02-18T10:30:00"/>
    <s v="SOPLADO"/>
    <x v="11"/>
    <x v="50"/>
    <s v="GABRIEL REQUENA"/>
    <s v="VIRGEN"/>
    <s v="PP SOPLADO"/>
    <s v="."/>
    <x v="40"/>
    <s v="TOMATODO 350ML PASTEL-AZURE"/>
    <n v="810"/>
    <n v="8"/>
    <n v="51.9"/>
    <s v="DIURNO"/>
    <m/>
    <n v="10"/>
    <n v="964"/>
    <n v="21125"/>
    <s v="AZURE"/>
    <n v="11.1"/>
    <n v="0"/>
    <n v="0"/>
    <n v="23.49"/>
    <n v="51.9"/>
    <n v="29"/>
    <n v="1789.655172413793"/>
    <x v="1"/>
    <x v="0"/>
    <n v="6"/>
    <n v="1"/>
    <n v="67.5"/>
  </r>
  <r>
    <d v="2025-02-18T10:30:00"/>
    <s v="SOPLADO"/>
    <x v="11"/>
    <x v="50"/>
    <s v="JUAN MANUEL PEREZ"/>
    <s v="VIRGEN"/>
    <s v="PP SOPLADO"/>
    <s v="."/>
    <x v="40"/>
    <s v="TOMATODO 350ML PASTEL-CELESTE"/>
    <n v="401"/>
    <n v="4"/>
    <n v="25.7"/>
    <s v="NOCTURNO"/>
    <m/>
    <n v="4"/>
    <n v="964"/>
    <n v="21126"/>
    <s v="CELESTE"/>
    <n v="22.499999999999996"/>
    <n v="0"/>
    <n v="0"/>
    <n v="11.629"/>
    <n v="25.7"/>
    <n v="29"/>
    <n v="886.20689655172418"/>
    <x v="1"/>
    <x v="0"/>
    <n v="6"/>
    <n v="1"/>
    <n v="33.416666666666664"/>
  </r>
  <r>
    <d v="2025-02-18T10:30:00"/>
    <s v="SOPLADO"/>
    <x v="11"/>
    <x v="50"/>
    <s v="JUAN MANUEL PEREZ"/>
    <s v="VIRGEN"/>
    <s v="PP SOPLADO"/>
    <s v="."/>
    <x v="40"/>
    <s v="TOMATODO 350ML PASTEL-SANDIA"/>
    <n v="485"/>
    <n v="4"/>
    <n v="31.1"/>
    <s v="NOCTURNO"/>
    <m/>
    <n v="4"/>
    <n v="964"/>
    <n v="21126"/>
    <s v="SANDIA"/>
    <n v="30.400000000000002"/>
    <n v="0"/>
    <n v="0"/>
    <n v="14.065"/>
    <n v="31.1"/>
    <n v="29"/>
    <n v="1072.4137931034484"/>
    <x v="1"/>
    <x v="0"/>
    <n v="6"/>
    <n v="1"/>
    <n v="40.416666666666664"/>
  </r>
  <r>
    <d v="2025-02-18T10:30:00"/>
    <s v="SOPLADO"/>
    <x v="11"/>
    <x v="50"/>
    <s v="JUAN MANUEL PEREZ"/>
    <s v="VIRGEN"/>
    <s v="PP SOPLADO"/>
    <s v="."/>
    <x v="40"/>
    <s v="TOMATODO 350ML PASTEL-ROSADO"/>
    <n v="467"/>
    <n v="4"/>
    <n v="29.9"/>
    <s v="NOCTURNO"/>
    <m/>
    <n v="4"/>
    <n v="964"/>
    <n v="21126"/>
    <s v="ROSADO"/>
    <n v="29"/>
    <n v="0"/>
    <n v="0"/>
    <n v="13.542999999999999"/>
    <n v="29.9"/>
    <n v="29"/>
    <n v="1031.0344827586207"/>
    <x v="1"/>
    <x v="0"/>
    <n v="6"/>
    <n v="1"/>
    <n v="38.916666666666664"/>
  </r>
  <r>
    <d v="2025-02-18T10:30:00"/>
    <s v="SOPLADO"/>
    <x v="11"/>
    <x v="30"/>
    <s v="JUAN CARLOS/CRISALIDA"/>
    <s v="VIRGEN"/>
    <s v="PP SOPLADO"/>
    <s v="."/>
    <x v="40"/>
    <s v="TOMATODO 350ML PASTEL-TURQUESA"/>
    <n v="475"/>
    <n v="4"/>
    <n v="30.4"/>
    <s v="DIURNO"/>
    <m/>
    <n v="3"/>
    <n v="964"/>
    <n v="21127"/>
    <s v="TURQUESA"/>
    <n v="29.1"/>
    <n v="0"/>
    <n v="0"/>
    <n v="13.775"/>
    <n v="30.4"/>
    <n v="29"/>
    <n v="1048.2758620689656"/>
    <x v="1"/>
    <x v="0"/>
    <n v="7"/>
    <n v="1"/>
    <n v="39.583333333333336"/>
  </r>
  <r>
    <d v="2025-02-18T10:30:00"/>
    <s v="SOPLADO"/>
    <x v="11"/>
    <x v="30"/>
    <s v="JUAN CARLOS/CRISALIDA"/>
    <s v="VIRGEN"/>
    <s v="PP SOPLADO"/>
    <s v="."/>
    <x v="40"/>
    <s v="TOMATODO 350ML PASTEL-LILA"/>
    <n v="456"/>
    <n v="4"/>
    <n v="29.2"/>
    <s v="DIURNO"/>
    <m/>
    <n v="4"/>
    <n v="964"/>
    <n v="21127"/>
    <s v="LILA"/>
    <n v="10.9"/>
    <n v="0"/>
    <n v="0"/>
    <n v="13.224"/>
    <n v="29.2"/>
    <n v="29"/>
    <n v="1006.8965517241379"/>
    <x v="1"/>
    <x v="0"/>
    <n v="7"/>
    <n v="1"/>
    <n v="38"/>
  </r>
  <r>
    <d v="2025-02-18T10:30:00"/>
    <s v="SOPLADO"/>
    <x v="11"/>
    <x v="30"/>
    <s v="JUAN CARLOS/CRISALIDA"/>
    <s v="VIRGEN"/>
    <s v="PP SOPLADO"/>
    <s v="."/>
    <x v="39"/>
    <s v="TOMATODO 350ML-TRANSPARENTE"/>
    <n v="331"/>
    <n v="3"/>
    <n v="21.2"/>
    <s v="DIURNO"/>
    <m/>
    <n v="2"/>
    <n v="964"/>
    <n v="21127"/>
    <s v="TRANSPARENTE"/>
    <n v="7.6"/>
    <n v="0"/>
    <n v="0"/>
    <n v="20.521999999999998"/>
    <n v="21.2"/>
    <n v="62"/>
    <n v="341.93548387096774"/>
    <x v="1"/>
    <x v="0"/>
    <n v="7"/>
    <n v="2"/>
    <n v="55.166666666666664"/>
  </r>
  <r>
    <d v="2025-02-18T10:30:00"/>
    <s v="SOPLADO"/>
    <x v="11"/>
    <x v="30"/>
    <s v="FABIAN HERNANDEZ"/>
    <s v="VIRGEN"/>
    <s v="PP SOPLADO"/>
    <s v="."/>
    <x v="39"/>
    <s v="TOMATODO 350ML-TRANSPARENTE"/>
    <n v="1432"/>
    <n v="12"/>
    <n v="91.7"/>
    <s v="NOCTURNO"/>
    <m/>
    <n v="14"/>
    <n v="964"/>
    <n v="21127"/>
    <s v="TRANSPARENTE"/>
    <n v="61.6"/>
    <n v="0"/>
    <n v="0"/>
    <n v="88.784000000000006"/>
    <n v="91.7"/>
    <n v="62"/>
    <n v="1479.0322580645161"/>
    <x v="1"/>
    <x v="0"/>
    <n v="7"/>
    <n v="2"/>
    <n v="238.66666666666666"/>
  </r>
  <r>
    <d v="2025-02-18T10:30:00"/>
    <s v="SOPLADO"/>
    <x v="11"/>
    <x v="43"/>
    <s v="CRISALIDA ZAPATA"/>
    <s v="VIRGEN"/>
    <s v="PP SOPLADO"/>
    <s v="."/>
    <x v="40"/>
    <s v="TOMATODO 350ML PASTEL-LILA"/>
    <n v="445"/>
    <n v="4"/>
    <n v="28.8"/>
    <s v="DIURNO"/>
    <m/>
    <n v="2"/>
    <n v="964"/>
    <n v="21129"/>
    <s v="LILA"/>
    <n v="6.6"/>
    <n v="0"/>
    <n v="0"/>
    <n v="12.904999999999999"/>
    <n v="28.8"/>
    <n v="29"/>
    <n v="993.10344827586209"/>
    <x v="1"/>
    <x v="0"/>
    <n v="8"/>
    <n v="1"/>
    <n v="37.083333333333336"/>
  </r>
  <r>
    <d v="2025-02-18T10:30:00"/>
    <s v="SOPLADO"/>
    <x v="11"/>
    <x v="43"/>
    <s v="CRISALIDA ZAPATA"/>
    <s v="VIRGEN"/>
    <s v="PP SOPLADO"/>
    <s v="."/>
    <x v="40"/>
    <s v="TOMATODO 350ML PASTEL-SANDIA"/>
    <n v="235"/>
    <n v="2"/>
    <n v="15.1"/>
    <s v="DIURNO"/>
    <m/>
    <n v="2"/>
    <n v="964"/>
    <n v="21129"/>
    <s v="SANDIA"/>
    <n v="6.8"/>
    <n v="0"/>
    <n v="0"/>
    <n v="6.8150000000000004"/>
    <n v="15.1"/>
    <n v="29"/>
    <n v="520.68965517241384"/>
    <x v="1"/>
    <x v="0"/>
    <n v="8"/>
    <n v="1"/>
    <n v="19.583333333333332"/>
  </r>
  <r>
    <d v="2025-02-18T10:30:00"/>
    <s v="SOPLADO"/>
    <x v="11"/>
    <x v="43"/>
    <s v="CRISALIDA ZAPATA"/>
    <s v="VIRGEN"/>
    <s v="PP SOPLADO"/>
    <s v="."/>
    <x v="40"/>
    <s v="TOMATODO 350ML PASTEL-ROSADO"/>
    <n v="335"/>
    <n v="3"/>
    <n v="21.5"/>
    <s v="DIURNO"/>
    <m/>
    <n v="3"/>
    <n v="964"/>
    <n v="21129"/>
    <s v="ROSADO"/>
    <n v="7.4"/>
    <n v="0"/>
    <n v="0"/>
    <n v="9.7149999999999999"/>
    <n v="21.5"/>
    <n v="29"/>
    <n v="741.37931034482756"/>
    <x v="1"/>
    <x v="0"/>
    <n v="8"/>
    <n v="1"/>
    <n v="27.916666666666668"/>
  </r>
  <r>
    <d v="2025-02-18T10:30:00"/>
    <s v="SOPLADO"/>
    <x v="9"/>
    <x v="48"/>
    <s v="SAID VILLAMIZAR"/>
    <s v="VIRGEN"/>
    <s v="PP SOPLADO"/>
    <s v="."/>
    <x v="62"/>
    <s v="SALSERO MULTIUSO 380ML-TRANSPARENTE"/>
    <n v="955"/>
    <n v="7"/>
    <n v="26"/>
    <s v="DIURNO"/>
    <m/>
    <n v="5"/>
    <n v="991"/>
    <n v="20287"/>
    <s v="TRANSPARENTE"/>
    <n v="0"/>
    <n v="0"/>
    <n v="0"/>
    <n v="22.92"/>
    <n v="26"/>
    <n v="24"/>
    <n v="1083.3333333333333"/>
    <x v="1"/>
    <x v="0"/>
    <n v="6"/>
    <n v="1"/>
    <n v="79.583333333333329"/>
  </r>
  <r>
    <d v="2025-02-18T10:30:00"/>
    <s v="SOPLADO"/>
    <x v="9"/>
    <x v="49"/>
    <s v="LUIS PINEDO"/>
    <s v="VIRGEN"/>
    <s v="PP SOPLADO"/>
    <s v="."/>
    <x v="62"/>
    <s v="SALSERO MULTIUSO 380ML-TRANSPARENTE"/>
    <n v="807"/>
    <n v="8"/>
    <n v="21"/>
    <s v="DIURNO"/>
    <m/>
    <n v="3"/>
    <n v="991"/>
    <n v="20287"/>
    <s v="TRANSPARENTE"/>
    <n v="21"/>
    <n v="0"/>
    <n v="0"/>
    <n v="19.367999999999999"/>
    <n v="21"/>
    <n v="24"/>
    <n v="875"/>
    <x v="1"/>
    <x v="0"/>
    <n v="6"/>
    <n v="1"/>
    <n v="67.25"/>
  </r>
  <r>
    <d v="2025-02-18T10:30:00"/>
    <s v="SOPLADO"/>
    <x v="9"/>
    <x v="31"/>
    <s v="GABRIEL REQUENA"/>
    <s v="VIRGEN"/>
    <s v="PP SOPLADO"/>
    <s v="."/>
    <x v="62"/>
    <s v="SALSERO MULTIUSO 380ML-TRANSPARENTE"/>
    <n v="1138"/>
    <n v="9"/>
    <n v="29.6"/>
    <s v="DIURNO"/>
    <m/>
    <n v="6"/>
    <n v="991"/>
    <n v="20288"/>
    <s v="TRANSPARENTE"/>
    <n v="27"/>
    <n v="0"/>
    <n v="0"/>
    <n v="27.312000000000001"/>
    <n v="29.6"/>
    <n v="24"/>
    <n v="1233.3333333333333"/>
    <x v="1"/>
    <x v="0"/>
    <n v="7"/>
    <n v="1"/>
    <n v="94.833333333333329"/>
  </r>
  <r>
    <d v="2025-02-18T10:30:00"/>
    <s v="SOPLADO"/>
    <x v="9"/>
    <x v="36"/>
    <s v="LUIS PINEDO"/>
    <s v="VIRGEN"/>
    <s v="PP SOPLADO"/>
    <s v="."/>
    <x v="28"/>
    <s v="TOMATODO AVENTURA 600ML-TRANSPARENTE"/>
    <n v="174"/>
    <n v="2"/>
    <n v="8.1999999999999993"/>
    <s v="DIURNO"/>
    <m/>
    <n v="2"/>
    <n v="1003"/>
    <n v="20289"/>
    <s v="TRANSPARENTE"/>
    <n v="39.599999999999994"/>
    <n v="0"/>
    <n v="0"/>
    <n v="8.0039999999999996"/>
    <n v="8.1999999999999993"/>
    <n v="46"/>
    <n v="178.2608695652174"/>
    <x v="1"/>
    <x v="0"/>
    <n v="7"/>
    <n v="1"/>
    <n v="14.5"/>
  </r>
  <r>
    <d v="2025-02-18T10:30:00"/>
    <s v="SOPLADO"/>
    <x v="9"/>
    <x v="37"/>
    <s v="LUIS PINEDO"/>
    <s v="VIRGEN"/>
    <s v="PP SOPLADO"/>
    <s v="."/>
    <x v="28"/>
    <s v="TOMATODO AVENTURA 600ML-TRANSPARENTE"/>
    <n v="683"/>
    <n v="6"/>
    <n v="32.799999999999997"/>
    <s v="DIURNO"/>
    <m/>
    <n v="5"/>
    <n v="1003"/>
    <n v="20290"/>
    <s v="TRANSPARENTE"/>
    <n v="38.799999999999997"/>
    <n v="0"/>
    <n v="0"/>
    <n v="31.417999999999999"/>
    <n v="32.799999999999997"/>
    <n v="46"/>
    <n v="713.04347826086962"/>
    <x v="1"/>
    <x v="0"/>
    <n v="7"/>
    <n v="1"/>
    <n v="56.916666666666664"/>
  </r>
  <r>
    <d v="2025-02-18T10:30:00"/>
    <s v="SOPLADO"/>
    <x v="9"/>
    <x v="32"/>
    <s v="LUIS RENGIFO"/>
    <s v="VIRGEN"/>
    <s v="PP SOPLADO"/>
    <s v="."/>
    <x v="28"/>
    <s v="TOMATODO AVENTURA 600ML-TRANSPARENTE"/>
    <n v="908"/>
    <n v="9"/>
    <n v="44.5"/>
    <s v="DIURNO"/>
    <m/>
    <n v="6"/>
    <n v="1003"/>
    <n v="20291"/>
    <s v="TRANSPARENTE"/>
    <n v="0"/>
    <n v="0"/>
    <n v="0"/>
    <n v="41.768000000000001"/>
    <n v="44.5"/>
    <n v="46"/>
    <n v="967.39130434782612"/>
    <x v="1"/>
    <x v="0"/>
    <n v="7"/>
    <n v="1"/>
    <n v="75.666666666666671"/>
  </r>
  <r>
    <d v="2025-02-18T10:30:00"/>
    <s v="SOPLADO"/>
    <x v="9"/>
    <x v="34"/>
    <s v="FABIAN HERNANDEZ"/>
    <s v="VIRGEN"/>
    <s v="PP SOPLADO"/>
    <s v="."/>
    <x v="28"/>
    <s v="TOMATODO AVENTURA 600ML-TRANSPARENTE"/>
    <n v="1244"/>
    <n v="12"/>
    <n v="61"/>
    <s v="NOCTURNO"/>
    <m/>
    <n v="6"/>
    <n v="1003"/>
    <n v="20292"/>
    <s v="TRANSPARENTE"/>
    <n v="32.4"/>
    <n v="0"/>
    <n v="0"/>
    <n v="57.223999999999997"/>
    <n v="61"/>
    <n v="46"/>
    <n v="1326.0869565217392"/>
    <x v="1"/>
    <x v="0"/>
    <n v="8"/>
    <n v="1"/>
    <n v="103.66666666666667"/>
  </r>
  <r>
    <d v="2025-02-18T10:30:00"/>
    <s v="SOPLADO"/>
    <x v="9"/>
    <x v="43"/>
    <s v="SAID VILLAMIZAR"/>
    <s v="VIRGEN"/>
    <s v="PP SOPLADO"/>
    <s v="."/>
    <x v="28"/>
    <s v="TOMATODO AVENTURA 600ML-TRANSPARENTE"/>
    <n v="659"/>
    <n v="6"/>
    <n v="32.299999999999997"/>
    <s v="DIURNO"/>
    <m/>
    <n v="4"/>
    <n v="1003"/>
    <n v="20293"/>
    <s v="TRANSPARENTE"/>
    <n v="33.199999999999996"/>
    <n v="0"/>
    <n v="0"/>
    <n v="30.314"/>
    <n v="32.299999999999997"/>
    <n v="46"/>
    <n v="702.17391304347814"/>
    <x v="1"/>
    <x v="0"/>
    <n v="8"/>
    <n v="1"/>
    <n v="54.916666666666664"/>
  </r>
  <r>
    <d v="2025-02-18T10:30:00"/>
    <s v="SOPLADO"/>
    <x v="9"/>
    <x v="44"/>
    <s v="GABRIEL REQUENA"/>
    <s v="VIRGEN"/>
    <s v="PP SOPLADO"/>
    <s v="."/>
    <x v="27"/>
    <s v="TOMATODO ULTRA 900ML-TRANSPARENTE"/>
    <n v="978"/>
    <n v="9"/>
    <n v="58.7"/>
    <s v="DIURNO"/>
    <m/>
    <n v="10"/>
    <n v="1003"/>
    <n v="20294"/>
    <s v="TRANSPARENTE"/>
    <n v="50.7"/>
    <n v="0"/>
    <n v="0"/>
    <n v="58.68"/>
    <n v="58.7"/>
    <n v="60"/>
    <n v="978.33333333333337"/>
    <x v="1"/>
    <x v="0"/>
    <n v="8"/>
    <n v="1"/>
    <n v="81.5"/>
  </r>
  <r>
    <d v="2025-02-18T10:30:00"/>
    <s v="SOPLADO"/>
    <x v="9"/>
    <x v="51"/>
    <s v="LUIS PINEDO"/>
    <s v="VIRGEN"/>
    <s v="PP SOPLADO"/>
    <s v="."/>
    <x v="27"/>
    <s v="TOMATODO ULTRA 900ML-TRANSPARENTE"/>
    <n v="722"/>
    <n v="7"/>
    <n v="43.3"/>
    <s v="DIURNO"/>
    <m/>
    <n v="10"/>
    <n v="1003"/>
    <n v="20296"/>
    <s v="TRANSPARENTE"/>
    <n v="26.8"/>
    <n v="0"/>
    <n v="0"/>
    <n v="43.32"/>
    <n v="43.3"/>
    <n v="60"/>
    <n v="721.66666666666663"/>
    <x v="1"/>
    <x v="0"/>
    <n v="8"/>
    <n v="1"/>
    <n v="60.166666666666664"/>
  </r>
  <r>
    <d v="2025-02-18T10:30:00"/>
    <s v="SOPLADO"/>
    <x v="9"/>
    <x v="52"/>
    <s v="SAID VILLAMIZAR"/>
    <s v="VIRGEN"/>
    <s v="PP SOPLADO"/>
    <s v="."/>
    <x v="27"/>
    <s v="TOMATODO ULTRA 900ML-TRANSPARENTE"/>
    <n v="861"/>
    <n v="8"/>
    <n v="51.7"/>
    <s v="DIURNO"/>
    <m/>
    <n v="8"/>
    <n v="1003"/>
    <n v="20297"/>
    <s v="TRANSPARENTE"/>
    <n v="43"/>
    <n v="0"/>
    <n v="0"/>
    <n v="51.66"/>
    <n v="51.7"/>
    <n v="60"/>
    <n v="861.66666666666663"/>
    <x v="1"/>
    <x v="0"/>
    <n v="8"/>
    <n v="1"/>
    <n v="71.75"/>
  </r>
  <r>
    <d v="2025-02-18T10:30:00"/>
    <s v="SOPLADO"/>
    <x v="12"/>
    <x v="44"/>
    <s v="NELSON PINEDO"/>
    <s v="VIRGEN"/>
    <s v="PP SOPLADO"/>
    <s v="."/>
    <x v="63"/>
    <s v="SALSERO MULTIUSO 1200ML-TRANSPARENTE"/>
    <n v="915"/>
    <n v="9"/>
    <n v="54.9"/>
    <s v="DIURNO"/>
    <m/>
    <n v="7"/>
    <n v="1000"/>
    <n v="20152"/>
    <s v="TRANSPARENTE"/>
    <n v="0"/>
    <n v="0"/>
    <n v="0"/>
    <n v="59.475000000000001"/>
    <n v="54.9"/>
    <n v="65"/>
    <n v="844.61538461538464"/>
    <x v="1"/>
    <x v="0"/>
    <n v="8"/>
    <n v="1"/>
    <n v="76.25"/>
  </r>
  <r>
    <d v="2025-02-18T10:30:00"/>
    <s v="SOPLADO"/>
    <x v="12"/>
    <x v="51"/>
    <s v="NELSON PINEDO"/>
    <s v="VIRGEN"/>
    <s v="PP SOPLADO"/>
    <s v="."/>
    <x v="63"/>
    <s v="SALSERO MULTIUSO 1200ML-TRANSPARENTE"/>
    <n v="916"/>
    <n v="9"/>
    <n v="54.1"/>
    <s v="DIURNO"/>
    <m/>
    <n v="0"/>
    <n v="1000"/>
    <n v="20153"/>
    <s v="TRANSPARENTE"/>
    <n v="10.3"/>
    <n v="0"/>
    <n v="0"/>
    <n v="59.54"/>
    <n v="54.1"/>
    <n v="65"/>
    <n v="832.30769230769226"/>
    <x v="1"/>
    <x v="0"/>
    <n v="8"/>
    <n v="1"/>
    <n v="76.333333333333329"/>
  </r>
  <r>
    <d v="2025-02-18T10:30:00"/>
    <s v="SOPLADO"/>
    <x v="12"/>
    <x v="52"/>
    <s v="NELSON PINEDO"/>
    <s v="VIRGEN"/>
    <s v="PP SOPLADO"/>
    <s v="."/>
    <x v="29"/>
    <s v="SALSERO MULTIUSO 600ML-TRANSPARENTE"/>
    <n v="657"/>
    <n v="6"/>
    <n v="26.3"/>
    <s v="DIURNO"/>
    <m/>
    <n v="5"/>
    <n v="1000"/>
    <n v="20154"/>
    <s v="TRANSPARENTE"/>
    <n v="0"/>
    <n v="0"/>
    <n v="0"/>
    <n v="26.28"/>
    <n v="26.3"/>
    <n v="40"/>
    <n v="657.5"/>
    <x v="1"/>
    <x v="0"/>
    <n v="8"/>
    <n v="1"/>
    <n v="54.75"/>
  </r>
  <r>
    <d v="2025-02-18T10:30:00"/>
    <s v="SOPLADO"/>
    <x v="12"/>
    <x v="45"/>
    <s v="LUIS RENGIFO"/>
    <s v="VIRGEN"/>
    <s v="PP SOPLADO"/>
    <s v="."/>
    <x v="29"/>
    <s v="SALSERO MULTIUSO 600ML-TRANSPARENTE"/>
    <n v="884"/>
    <n v="8"/>
    <n v="34.5"/>
    <s v="DIURNO"/>
    <m/>
    <n v="7"/>
    <n v="1000"/>
    <n v="20155"/>
    <s v="TRANSPARENTE"/>
    <n v="0"/>
    <n v="0"/>
    <n v="0"/>
    <n v="35.36"/>
    <n v="34.5"/>
    <n v="40"/>
    <n v="862.5"/>
    <x v="1"/>
    <x v="0"/>
    <n v="9"/>
    <n v="1"/>
    <n v="73.666666666666671"/>
  </r>
  <r>
    <d v="2025-02-18T10:30:00"/>
    <s v="SOPLADO"/>
    <x v="12"/>
    <x v="38"/>
    <s v="SAID VILLAMIZAR"/>
    <s v="VIRGEN"/>
    <s v="PP SOPLADO"/>
    <s v="."/>
    <x v="29"/>
    <s v="SALSERO MULTIUSO 600ML-TRANSPARENTE"/>
    <n v="1360"/>
    <n v="9"/>
    <n v="54.4"/>
    <s v="DIURNO"/>
    <m/>
    <n v="7"/>
    <n v="1000"/>
    <n v="20156"/>
    <s v="TRANSPARENTE"/>
    <n v="21.7"/>
    <n v="0"/>
    <n v="0"/>
    <n v="54.4"/>
    <n v="54.4"/>
    <n v="40"/>
    <n v="1360"/>
    <x v="1"/>
    <x v="0"/>
    <n v="9"/>
    <n v="1"/>
    <n v="113.33333333333333"/>
  </r>
  <r>
    <d v="2025-02-18T10:30:00"/>
    <s v="SOPLADO"/>
    <x v="12"/>
    <x v="39"/>
    <s v="NELSON PINEDO"/>
    <s v="VIRGEN"/>
    <s v="PP SOPLADO"/>
    <s v="."/>
    <x v="30"/>
    <s v="SALSERO MULTIUSO 480ML-TRANSPARENTE"/>
    <n v="150"/>
    <n v="2"/>
    <n v="6"/>
    <s v="DIURNO"/>
    <m/>
    <n v="1"/>
    <n v="1027"/>
    <n v="20156"/>
    <s v="TRANSPARENTE"/>
    <n v="0"/>
    <n v="0"/>
    <n v="0"/>
    <n v="5.7"/>
    <n v="6"/>
    <n v="38"/>
    <n v="157.89473684210526"/>
    <x v="1"/>
    <x v="0"/>
    <n v="9"/>
    <n v="1"/>
    <n v="12.5"/>
  </r>
  <r>
    <d v="2025-02-18T10:30:00"/>
    <s v="SOPLADO"/>
    <x v="12"/>
    <x v="40"/>
    <s v="NELSON PINEDO"/>
    <s v="VIRGEN"/>
    <s v="PP SOPLADO"/>
    <s v="."/>
    <x v="30"/>
    <s v="SALSERO MULTIUSO 480ML-TRANSPARENTE"/>
    <n v="1089"/>
    <n v="9"/>
    <n v="37"/>
    <s v="DIURNO"/>
    <m/>
    <n v="7"/>
    <n v="1027"/>
    <n v="20158"/>
    <s v="TRANSPARENTE"/>
    <n v="14.7"/>
    <n v="0"/>
    <n v="0"/>
    <n v="41.381999999999998"/>
    <n v="37"/>
    <n v="38"/>
    <n v="973.68421052631584"/>
    <x v="1"/>
    <x v="0"/>
    <n v="9"/>
    <n v="1"/>
    <n v="90.75"/>
  </r>
  <r>
    <d v="2025-04-28T08:46:00"/>
    <s v="INYECTADO"/>
    <x v="4"/>
    <x v="57"/>
    <s v="CRISALIDA ZAPATA"/>
    <s v="VIRGEN"/>
    <s v="PP CLARIFICADO"/>
    <s v="."/>
    <x v="0"/>
    <s v="ASA DE BALDE PLAYERO-AZUL"/>
    <n v="17"/>
    <n v="1"/>
    <n v="0.7"/>
    <s v="DIURNO"/>
    <n v="0"/>
    <n v="1"/>
    <n v="1009"/>
    <n v="20434"/>
    <s v="AZUL"/>
    <n v="1.5"/>
    <n v="0"/>
    <n v="0"/>
    <n v="0.17"/>
    <n v="0.7"/>
    <n v="10"/>
    <n v="70"/>
    <x v="3"/>
    <x v="0"/>
    <n v="14"/>
    <n v="4"/>
    <n v="5.666666666666667"/>
  </r>
  <r>
    <d v="2025-04-28T08:46:00"/>
    <s v="INYECTADO"/>
    <x v="4"/>
    <x v="57"/>
    <s v="CRISALIDA ZAPATA"/>
    <s v="VIRGEN"/>
    <s v="PP CLARIFICADO"/>
    <s v="."/>
    <x v="0"/>
    <s v="ASA DE BALDE PLAYERO-AMARILLO"/>
    <n v="17.100000000000001"/>
    <n v="3"/>
    <n v="417"/>
    <s v="DIURNO"/>
    <n v="0"/>
    <n v="1"/>
    <n v="1009"/>
    <n v="20434"/>
    <s v="AMARILLO"/>
    <n v="6.5"/>
    <n v="0"/>
    <n v="0"/>
    <n v="0.17100000000000001"/>
    <n v="417"/>
    <n v="10"/>
    <n v="41700"/>
    <x v="3"/>
    <x v="0"/>
    <n v="14"/>
    <n v="4"/>
    <n v="5.7"/>
  </r>
  <r>
    <d v="2025-04-28T08:46:00"/>
    <s v="INYECTADO"/>
    <x v="4"/>
    <x v="57"/>
    <s v="CRISALIDA ZAPATA"/>
    <s v="VIRGEN"/>
    <s v="PP CLARIFICADO"/>
    <s v="."/>
    <x v="0"/>
    <s v="ASA DE BALDE PLAYERO-FUCSIA"/>
    <n v="269"/>
    <n v="2"/>
    <n v="11.3"/>
    <s v="DIURNO"/>
    <n v="0"/>
    <n v="1"/>
    <n v="1009"/>
    <n v="20434"/>
    <s v="FUCSIA"/>
    <n v="4"/>
    <n v="0"/>
    <n v="0"/>
    <n v="2.69"/>
    <n v="11.3"/>
    <n v="10"/>
    <n v="1130"/>
    <x v="3"/>
    <x v="0"/>
    <n v="14"/>
    <n v="4"/>
    <n v="89.666666666666671"/>
  </r>
  <r>
    <d v="2025-04-28T08:46:00"/>
    <s v="INYECTADO"/>
    <x v="4"/>
    <x v="58"/>
    <s v="JUAN CARLOS"/>
    <s v="VIRGEN"/>
    <s v="PP CLARIFICADO"/>
    <s v="."/>
    <x v="64"/>
    <s v="ASAS DE CANASTA CANDY-BLANCO"/>
    <n v="1054"/>
    <n v="8"/>
    <n v="39"/>
    <s v="DIURNO"/>
    <n v="0"/>
    <n v="5"/>
    <m/>
    <n v="20435"/>
    <s v="BLANCO"/>
    <n v="5.9"/>
    <n v="0"/>
    <n v="0"/>
    <n v="10.54"/>
    <n v="39"/>
    <n v="10"/>
    <n v="3900"/>
    <x v="3"/>
    <x v="0"/>
    <n v="14"/>
    <n v="4"/>
    <n v="351.33333333333331"/>
  </r>
  <r>
    <d v="2025-04-28T08:46:00"/>
    <s v="INYECTADO"/>
    <x v="4"/>
    <x v="58"/>
    <s v="JUAN MANUEL PEREZ"/>
    <s v="VIRGEN"/>
    <s v="PP CLARIFICADO"/>
    <s v="."/>
    <x v="64"/>
    <s v="ASAS DE CANASTA CANDY-BLANCO"/>
    <n v="708"/>
    <n v="6"/>
    <n v="26.2"/>
    <s v="NOCTURNO"/>
    <n v="0"/>
    <n v="3"/>
    <m/>
    <n v="20436"/>
    <s v="BLANCO"/>
    <n v="2.2999999999999998"/>
    <n v="0"/>
    <n v="0"/>
    <n v="7.08"/>
    <n v="26.2"/>
    <n v="10"/>
    <n v="2620"/>
    <x v="3"/>
    <x v="0"/>
    <n v="14"/>
    <n v="4"/>
    <n v="236"/>
  </r>
  <r>
    <d v="2025-04-28T08:46:00"/>
    <s v="INYECTADO"/>
    <x v="4"/>
    <x v="59"/>
    <s v="JUAN CARLOS"/>
    <s v="VIRGEN"/>
    <s v="PP CLARIFICADO"/>
    <s v="."/>
    <x v="64"/>
    <s v="ASAS DE CANASTA CANDY-BLANCO"/>
    <n v="1401"/>
    <n v="11"/>
    <n v="51.8"/>
    <s v="DIURNO"/>
    <n v="0"/>
    <n v="6"/>
    <m/>
    <n v="20437"/>
    <s v="BLANCO"/>
    <n v="9.5"/>
    <n v="0"/>
    <n v="0"/>
    <n v="14.01"/>
    <n v="51.8"/>
    <n v="10"/>
    <n v="5180"/>
    <x v="3"/>
    <x v="0"/>
    <n v="14"/>
    <n v="4"/>
    <n v="467"/>
  </r>
  <r>
    <d v="2025-04-28T08:46:00"/>
    <s v="INYECTADO"/>
    <x v="4"/>
    <x v="60"/>
    <s v="NELSON PINEDO"/>
    <s v="VIRGEN"/>
    <s v="PP CLARIFICADO"/>
    <s v="."/>
    <x v="65"/>
    <s v="ASAS PRESION ORG 5,10,15 -SANDIA"/>
    <n v="902"/>
    <n v="8"/>
    <n v="37.9"/>
    <s v="DIURNO"/>
    <n v="0"/>
    <n v="3"/>
    <m/>
    <n v="20438"/>
    <s v="SANDIA"/>
    <n v="3.9"/>
    <n v="0"/>
    <n v="0"/>
    <n v="9.02"/>
    <n v="37.9"/>
    <n v="10"/>
    <n v="3790"/>
    <x v="3"/>
    <x v="0"/>
    <n v="17"/>
    <n v="4"/>
    <n v="300.66666666666669"/>
  </r>
  <r>
    <d v="2025-04-28T08:46:00"/>
    <s v="INYECTADO"/>
    <x v="5"/>
    <x v="61"/>
    <s v="LINDER"/>
    <s v="VIRGEN"/>
    <s v="ALTA INYECCION"/>
    <s v="."/>
    <x v="7"/>
    <s v="ASAS DE ORGANIZADOR 2 Y 3-AZUL"/>
    <n v="530"/>
    <n v="5"/>
    <n v="17.5"/>
    <s v="DIURNO"/>
    <n v="0"/>
    <n v="2"/>
    <m/>
    <n v="20378"/>
    <s v="AZUL"/>
    <n v="9.6999999999999993"/>
    <n v="0"/>
    <n v="0"/>
    <n v="5.83"/>
    <n v="17.5"/>
    <n v="11"/>
    <n v="1590.909090909091"/>
    <x v="3"/>
    <x v="0"/>
    <n v="14"/>
    <n v="3"/>
    <n v="132.5"/>
  </r>
  <r>
    <d v="2025-04-28T08:46:00"/>
    <s v="INYECTADO"/>
    <x v="5"/>
    <x v="61"/>
    <s v="LINDER"/>
    <s v="VIRGEN"/>
    <s v="ALTA INYECCION"/>
    <s v="."/>
    <x v="7"/>
    <s v="ASAS DE ORGANIZADOR 2 Y 3-LILA"/>
    <n v="157"/>
    <n v="2"/>
    <n v="5.2"/>
    <s v="DIURNO"/>
    <n v="0"/>
    <n v="1"/>
    <m/>
    <n v="20378"/>
    <s v="LILA"/>
    <n v="2.4"/>
    <n v="0"/>
    <n v="0"/>
    <n v="1.7270000000000001"/>
    <n v="5.2"/>
    <n v="11"/>
    <n v="472.72727272727275"/>
    <x v="3"/>
    <x v="0"/>
    <n v="14"/>
    <n v="3"/>
    <n v="39.25"/>
  </r>
  <r>
    <d v="2025-04-28T08:46:00"/>
    <s v="INYECTADO"/>
    <x v="5"/>
    <x v="59"/>
    <s v="GABRIEL REQUENA"/>
    <s v="VIRGEN"/>
    <s v="ALTA INYECCION"/>
    <s v="."/>
    <x v="7"/>
    <s v="ASAS DE ORGANIZADOR 2 Y 3-LILA"/>
    <n v="260"/>
    <n v="2"/>
    <n v="8.6"/>
    <s v="DIURNO"/>
    <n v="0"/>
    <n v="1"/>
    <m/>
    <n v="20379"/>
    <s v="LILA"/>
    <n v="0"/>
    <n v="0"/>
    <n v="0"/>
    <n v="2.86"/>
    <n v="8.6"/>
    <n v="11"/>
    <n v="781.81818181818187"/>
    <x v="3"/>
    <x v="0"/>
    <n v="14"/>
    <n v="3"/>
    <n v="65"/>
  </r>
  <r>
    <d v="2025-04-28T08:46:00"/>
    <s v="INYECTADO"/>
    <x v="5"/>
    <x v="59"/>
    <s v="GABRIEL REQUENA"/>
    <s v="VIRGEN"/>
    <s v="ALTA INYECCION"/>
    <s v="."/>
    <x v="7"/>
    <s v="ASAS DE ORGANIZADOR 2 Y 3-AZUL"/>
    <n v="239"/>
    <n v="2"/>
    <n v="7.9"/>
    <s v="DIURNO"/>
    <n v="0"/>
    <n v="1"/>
    <m/>
    <n v="20379"/>
    <s v="AZUL"/>
    <n v="4.5"/>
    <n v="0"/>
    <n v="0"/>
    <n v="2.629"/>
    <n v="7.9"/>
    <n v="11"/>
    <n v="718.18181818181813"/>
    <x v="3"/>
    <x v="0"/>
    <n v="14"/>
    <n v="3"/>
    <n v="59.75"/>
  </r>
  <r>
    <d v="2025-04-28T08:46:00"/>
    <s v="INYECTADO"/>
    <x v="5"/>
    <x v="62"/>
    <s v="JUAN CARLOS"/>
    <s v="VIRGEN"/>
    <s v="ALTA INYECCION"/>
    <s v="."/>
    <x v="7"/>
    <s v="ASAS DE ORGANIZADOR 2 Y 3-ROJO"/>
    <n v="393"/>
    <n v="3"/>
    <n v="13"/>
    <s v="DIURNO"/>
    <n v="0"/>
    <n v="2"/>
    <m/>
    <n v="20380"/>
    <s v="ROJO"/>
    <n v="8.3000000000000007"/>
    <n v="0"/>
    <n v="0"/>
    <n v="4.3230000000000004"/>
    <n v="13"/>
    <n v="11"/>
    <n v="1181.8181818181818"/>
    <x v="3"/>
    <x v="0"/>
    <n v="14"/>
    <n v="3"/>
    <n v="98.25"/>
  </r>
  <r>
    <d v="2025-04-28T08:46:00"/>
    <s v="INYECTADO"/>
    <x v="5"/>
    <x v="62"/>
    <s v="JUAN CARLOS"/>
    <s v="VIRGEN"/>
    <s v="ALTA INYECCION"/>
    <s v="."/>
    <x v="7"/>
    <s v="ASAS DE ORGANIZADOR 2 Y 3-LILA"/>
    <n v="409"/>
    <n v="3"/>
    <n v="13.5"/>
    <s v="DIURNO"/>
    <n v="0"/>
    <n v="3"/>
    <m/>
    <n v="20380"/>
    <s v="LILA"/>
    <n v="0"/>
    <n v="0"/>
    <n v="0"/>
    <n v="4.4989999999999997"/>
    <n v="13.5"/>
    <n v="11"/>
    <n v="1227.2727272727273"/>
    <x v="3"/>
    <x v="0"/>
    <n v="14"/>
    <n v="3"/>
    <n v="102.25"/>
  </r>
  <r>
    <d v="2025-04-28T08:46:00"/>
    <s v="INYECTADO"/>
    <x v="5"/>
    <x v="63"/>
    <s v="LUIS RENGIFO"/>
    <s v="VIRGEN"/>
    <s v="ALTA INYECCION"/>
    <s v="."/>
    <x v="7"/>
    <s v="ASAS DE ORGANIZADOR 2 Y 3-ROJO"/>
    <n v="659"/>
    <n v="6"/>
    <n v="21.1"/>
    <s v="DIURNO"/>
    <n v="0"/>
    <n v="4"/>
    <m/>
    <n v="20381"/>
    <s v="ROJO"/>
    <n v="9.3000000000000007"/>
    <n v="0"/>
    <n v="0"/>
    <n v="7.2489999999999997"/>
    <n v="21.1"/>
    <n v="11"/>
    <n v="1918.1818181818182"/>
    <x v="3"/>
    <x v="0"/>
    <n v="15"/>
    <n v="3"/>
    <n v="164.75"/>
  </r>
  <r>
    <d v="2025-04-28T08:46:00"/>
    <s v="INYECTADO"/>
    <x v="5"/>
    <x v="64"/>
    <s v="ISABEL LINARIZ "/>
    <s v="VIRGEN"/>
    <s v="ALTA INYECCION"/>
    <s v="."/>
    <x v="7"/>
    <s v="ASAS DE ORGANIZADOR 2 Y 3-ROJO"/>
    <n v="1003"/>
    <n v="6"/>
    <n v="32.1"/>
    <s v="DIURNO"/>
    <n v="0"/>
    <n v="5"/>
    <m/>
    <n v="20382"/>
    <s v="ROJO"/>
    <n v="13.4"/>
    <n v="0"/>
    <n v="0"/>
    <n v="11.032999999999999"/>
    <n v="32.1"/>
    <n v="11"/>
    <n v="2918.181818181818"/>
    <x v="3"/>
    <x v="0"/>
    <n v="15"/>
    <n v="3"/>
    <n v="250.75"/>
  </r>
  <r>
    <d v="2025-04-28T08:46:00"/>
    <s v="INYECTADO"/>
    <x v="5"/>
    <x v="65"/>
    <s v="SAMUEL "/>
    <s v="VIRGEN"/>
    <s v="ALTA INYECCION"/>
    <s v="."/>
    <x v="7"/>
    <s v="ASAS DE ORGANIZADOR 2 Y 3-ROJO"/>
    <n v="1221"/>
    <n v="9"/>
    <n v="39.1"/>
    <s v="DIURNO"/>
    <n v="0"/>
    <n v="3"/>
    <m/>
    <n v="20383"/>
    <s v="ROJO"/>
    <n v="17"/>
    <n v="0"/>
    <n v="0"/>
    <n v="13.430999999999999"/>
    <n v="39.1"/>
    <n v="11"/>
    <n v="3554.5454545454545"/>
    <x v="3"/>
    <x v="0"/>
    <n v="15"/>
    <n v="3"/>
    <n v="305.25"/>
  </r>
  <r>
    <d v="2025-04-28T08:46:00"/>
    <s v="INYECTADO"/>
    <x v="5"/>
    <x v="66"/>
    <s v="JOSDER GONZALEZ"/>
    <s v="VIRGEN"/>
    <s v="ALTA INYECCION"/>
    <s v="."/>
    <x v="7"/>
    <s v="ASAS DE ORGANIZADOR 2 Y 3-ROJO"/>
    <n v="476"/>
    <n v="4"/>
    <n v="15.2"/>
    <s v="DIURNO"/>
    <n v="0"/>
    <n v="3"/>
    <m/>
    <n v="20384"/>
    <s v="ROJO"/>
    <n v="6.8"/>
    <n v="0"/>
    <n v="0"/>
    <n v="5.2359999999999998"/>
    <n v="15.2"/>
    <n v="11"/>
    <n v="1381.8181818181818"/>
    <x v="3"/>
    <x v="0"/>
    <n v="16"/>
    <n v="3"/>
    <n v="119"/>
  </r>
  <r>
    <d v="2025-04-28T08:46:00"/>
    <s v="INYECTADO"/>
    <x v="5"/>
    <x v="66"/>
    <s v="JOSDER GONZALEZ"/>
    <s v="VIRGEN"/>
    <s v="ALTA INYECCION"/>
    <s v="."/>
    <x v="7"/>
    <s v="ASAS DE ORGANIZADOR 2 Y 3-AZUL"/>
    <n v="654"/>
    <n v="6"/>
    <n v="20.9"/>
    <s v="DIURNO"/>
    <n v="0"/>
    <n v="2"/>
    <m/>
    <n v="20384"/>
    <s v="AZUL"/>
    <n v="10.5"/>
    <n v="0"/>
    <n v="0"/>
    <n v="7.194"/>
    <n v="20.9"/>
    <n v="11"/>
    <n v="1900"/>
    <x v="3"/>
    <x v="0"/>
    <n v="16"/>
    <n v="3"/>
    <n v="163.5"/>
  </r>
  <r>
    <d v="2025-04-28T08:46:00"/>
    <s v="INYECTADO"/>
    <x v="5"/>
    <x v="66"/>
    <s v="JOSDER GONZALEZ"/>
    <s v="VIRGEN"/>
    <s v="ALTA INYECCION"/>
    <s v="."/>
    <x v="66"/>
    <s v="ASAS DE ORGANIZADOR 2 Y 3 PASTEL-ROSADO"/>
    <n v="198"/>
    <n v="2"/>
    <n v="6.3"/>
    <s v="DIURNO"/>
    <n v="0"/>
    <n v="2"/>
    <m/>
    <n v="20384"/>
    <s v="ROSADO"/>
    <n v="6.8"/>
    <n v="0"/>
    <n v="0"/>
    <e v="#N/A"/>
    <n v="6.3"/>
    <e v="#N/A"/>
    <n v="0"/>
    <x v="3"/>
    <x v="0"/>
    <n v="16"/>
    <e v="#N/A"/>
    <e v="#N/A"/>
  </r>
  <r>
    <d v="2025-04-29T08:46:00"/>
    <s v="INYECTADO"/>
    <x v="0"/>
    <x v="58"/>
    <s v="CRISALIDA ZAPATA"/>
    <s v="VIRGEN"/>
    <s v="PP CLARIFICADO"/>
    <s v="."/>
    <x v="67"/>
    <s v="PORTA ACCESORIO-ROSADO"/>
    <n v="854"/>
    <n v="4"/>
    <n v="50.2"/>
    <s v="DIURNO"/>
    <m/>
    <n v="4"/>
    <m/>
    <n v="20774"/>
    <s v="ROSADO"/>
    <n v="0"/>
    <n v="0"/>
    <n v="0"/>
    <n v="51.24"/>
    <n v="50.2"/>
    <n v="60"/>
    <n v="836.66666666666663"/>
    <x v="3"/>
    <x v="0"/>
    <n v="14"/>
    <n v="1"/>
    <n v="71.166666666666671"/>
  </r>
  <r>
    <d v="2025-04-29T08:46:00"/>
    <s v="INYECTADO"/>
    <x v="0"/>
    <x v="58"/>
    <s v="CRISALIDA ZAPATA"/>
    <s v="VIRGEN"/>
    <s v="PP CLARIFICADO"/>
    <s v="."/>
    <x v="67"/>
    <s v="PORTA ACCESORIO-LILA"/>
    <n v="856"/>
    <n v="4"/>
    <n v="50.3"/>
    <s v="DIURNO"/>
    <m/>
    <n v="4"/>
    <m/>
    <n v="20774"/>
    <s v="LILA"/>
    <n v="3.5"/>
    <n v="0"/>
    <n v="0"/>
    <n v="51.36"/>
    <n v="50.3"/>
    <n v="60"/>
    <n v="838.33333333333337"/>
    <x v="3"/>
    <x v="0"/>
    <n v="14"/>
    <n v="1"/>
    <n v="71.333333333333329"/>
  </r>
  <r>
    <d v="2025-04-29T08:46:00"/>
    <s v="INYECTADO"/>
    <x v="0"/>
    <x v="58"/>
    <s v="CRISALIDA ZAPATA"/>
    <s v="VIRGEN"/>
    <s v="PP CLARIFICADO"/>
    <s v="."/>
    <x v="67"/>
    <s v="PORTA ACCESORIO-CREMA"/>
    <n v="199"/>
    <n v="1"/>
    <n v="11.7"/>
    <s v="DIURNO"/>
    <m/>
    <n v="1"/>
    <m/>
    <n v="20774"/>
    <s v="CREMA"/>
    <n v="2.1"/>
    <n v="0"/>
    <n v="0"/>
    <n v="11.94"/>
    <n v="11.7"/>
    <n v="60"/>
    <n v="195"/>
    <x v="3"/>
    <x v="0"/>
    <n v="14"/>
    <n v="1"/>
    <n v="16.583333333333332"/>
  </r>
  <r>
    <d v="2025-04-29T08:46:00"/>
    <s v="INYECTADO"/>
    <x v="0"/>
    <x v="58"/>
    <s v="ISABEL LINARIZ "/>
    <s v="VIRGEN"/>
    <s v="PP CLARIFICADO"/>
    <s v="."/>
    <x v="67"/>
    <s v="PORTA ACCESORIO-CREMA"/>
    <n v="655"/>
    <n v="4"/>
    <n v="38.5"/>
    <s v="DIURNO"/>
    <m/>
    <n v="4"/>
    <m/>
    <n v="20775"/>
    <s v="CREMA"/>
    <n v="0.5"/>
    <n v="0"/>
    <n v="0"/>
    <n v="39.299999999999997"/>
    <n v="38.5"/>
    <n v="60"/>
    <n v="641.66666666666663"/>
    <x v="3"/>
    <x v="0"/>
    <n v="14"/>
    <n v="1"/>
    <n v="54.583333333333336"/>
  </r>
  <r>
    <d v="2025-04-29T08:46:00"/>
    <s v="INYECTADO"/>
    <x v="0"/>
    <x v="58"/>
    <s v="ISABEL LINARIZ "/>
    <s v="VIRGEN"/>
    <s v="PP CLARIFICADO"/>
    <s v="."/>
    <x v="67"/>
    <s v="PORTA ACCESORIO-MELON"/>
    <n v="854"/>
    <n v="4"/>
    <n v="50.2"/>
    <s v="DIURNO"/>
    <m/>
    <n v="4"/>
    <m/>
    <n v="20775"/>
    <s v="MELON"/>
    <n v="2.9"/>
    <n v="0"/>
    <n v="0"/>
    <n v="51.24"/>
    <n v="50.2"/>
    <n v="60"/>
    <n v="836.66666666666663"/>
    <x v="3"/>
    <x v="0"/>
    <n v="14"/>
    <n v="1"/>
    <n v="71.166666666666671"/>
  </r>
  <r>
    <d v="2025-04-29T08:46:00"/>
    <s v="INYECTADO"/>
    <x v="0"/>
    <x v="58"/>
    <s v="ISABEL LINARIZ "/>
    <s v="VIRGEN"/>
    <s v="PP CLARIFICADO"/>
    <s v="."/>
    <x v="67"/>
    <s v="PORTA ACCESORIO-TURQUESA"/>
    <n v="864"/>
    <n v="4"/>
    <n v="50.8"/>
    <s v="DIURNO"/>
    <m/>
    <n v="4"/>
    <m/>
    <n v="20775"/>
    <s v="TURQUESA"/>
    <n v="0.5"/>
    <n v="0"/>
    <n v="0"/>
    <n v="51.84"/>
    <n v="50.8"/>
    <n v="60"/>
    <n v="846.66666666666663"/>
    <x v="3"/>
    <x v="0"/>
    <n v="14"/>
    <n v="1"/>
    <n v="72"/>
  </r>
  <r>
    <d v="2025-04-29T08:46:00"/>
    <s v="INYECTADO"/>
    <x v="0"/>
    <x v="59"/>
    <s v="CRISALIDA ZAPATA"/>
    <s v="VIRGEN"/>
    <s v="PP CLARIFICADO"/>
    <s v="."/>
    <x v="67"/>
    <s v="PORTA ACCESORIO-VERDE"/>
    <n v="1899"/>
    <n v="11"/>
    <n v="111.6"/>
    <s v="DIURNO"/>
    <m/>
    <n v="7"/>
    <m/>
    <n v="20776"/>
    <s v="VERDE"/>
    <n v="1.9"/>
    <n v="0"/>
    <n v="0"/>
    <n v="113.94"/>
    <n v="111.6"/>
    <n v="60"/>
    <n v="1860"/>
    <x v="3"/>
    <x v="0"/>
    <n v="14"/>
    <n v="1"/>
    <n v="158.25"/>
  </r>
  <r>
    <d v="2025-04-29T08:46:00"/>
    <s v="INYECTADO"/>
    <x v="0"/>
    <x v="62"/>
    <s v="CRISALIDA ZAPATA"/>
    <s v="VIRGEN"/>
    <s v="PP CLARIFICADO"/>
    <s v="."/>
    <x v="67"/>
    <s v="PORTA ACCESORIO-VERDE"/>
    <n v="490"/>
    <n v="4"/>
    <n v="28.8"/>
    <s v="DIURNO"/>
    <m/>
    <n v="2"/>
    <m/>
    <n v="20777"/>
    <s v="VERDE"/>
    <n v="11.6"/>
    <n v="0"/>
    <n v="0"/>
    <n v="29.4"/>
    <n v="28.8"/>
    <n v="60"/>
    <n v="480"/>
    <x v="3"/>
    <x v="0"/>
    <n v="14"/>
    <n v="1"/>
    <n v="40.833333333333336"/>
  </r>
  <r>
    <d v="2025-04-29T08:46:00"/>
    <s v="INYECTADO"/>
    <x v="0"/>
    <x v="62"/>
    <s v="CRISALIDA ZAPATA"/>
    <s v="VIRGEN"/>
    <s v="PP CLARIFICADO"/>
    <s v="."/>
    <x v="67"/>
    <s v="PORTA ACCESORIO-LILA"/>
    <n v="1059"/>
    <n v="6"/>
    <n v="62.2"/>
    <s v="DIURNO"/>
    <m/>
    <n v="5"/>
    <m/>
    <n v="20777"/>
    <s v="LILA"/>
    <n v="0.8"/>
    <n v="0"/>
    <n v="0"/>
    <n v="63.54"/>
    <n v="62.2"/>
    <n v="60"/>
    <n v="1036.6666666666667"/>
    <x v="3"/>
    <x v="0"/>
    <n v="14"/>
    <n v="1"/>
    <n v="88.25"/>
  </r>
  <r>
    <d v="2025-04-29T08:46:00"/>
    <s v="INYECTADO"/>
    <x v="0"/>
    <x v="67"/>
    <s v="CRISALIDA ZAPATA"/>
    <s v="VIRGEN"/>
    <s v="PP CLARIFICADO"/>
    <s v="."/>
    <x v="67"/>
    <s v="PORTA ACCESORIO-LILA"/>
    <n v="505"/>
    <n v="4"/>
    <n v="29.8"/>
    <s v="DIURNO"/>
    <m/>
    <n v="3"/>
    <m/>
    <n v="20778"/>
    <s v="LILA"/>
    <n v="4.0999999999999996"/>
    <n v="0"/>
    <n v="0"/>
    <n v="30.3"/>
    <n v="29.8"/>
    <n v="60"/>
    <n v="496.66666666666669"/>
    <x v="3"/>
    <x v="0"/>
    <n v="15"/>
    <n v="1"/>
    <n v="42.083333333333336"/>
  </r>
  <r>
    <d v="2025-04-29T08:46:00"/>
    <s v="INYECTADO"/>
    <x v="0"/>
    <x v="67"/>
    <s v="CRISALIDA ZAPATA"/>
    <s v="VIRGEN"/>
    <s v="PP CLARIFICADO"/>
    <s v="."/>
    <x v="67"/>
    <s v="PORTA ACCESORIO-ROSADO"/>
    <n v="1155"/>
    <n v="6"/>
    <n v="68.099999999999994"/>
    <s v="DIURNO"/>
    <m/>
    <n v="5"/>
    <m/>
    <n v="20778"/>
    <s v="ROSADO"/>
    <n v="1.1000000000000001"/>
    <n v="0"/>
    <n v="0"/>
    <n v="69.3"/>
    <n v="68.099999999999994"/>
    <n v="60"/>
    <n v="1135"/>
    <x v="3"/>
    <x v="0"/>
    <n v="15"/>
    <n v="1"/>
    <n v="96.25"/>
  </r>
  <r>
    <d v="2025-04-29T08:46:00"/>
    <s v="INYECTADO"/>
    <x v="0"/>
    <x v="68"/>
    <s v="CRISALIDA ZAPATA"/>
    <s v="VIRGEN"/>
    <s v="PP CLARIFICADO"/>
    <s v="."/>
    <x v="67"/>
    <s v="PORTA ACCESORIO-ROSADO"/>
    <n v="120"/>
    <n v="2"/>
    <n v="7"/>
    <s v="DIURNO"/>
    <m/>
    <n v="1"/>
    <m/>
    <n v="20779"/>
    <s v="ROSADO"/>
    <n v="8.3000000000000007"/>
    <n v="0"/>
    <n v="0"/>
    <n v="7.2"/>
    <n v="7"/>
    <n v="60"/>
    <n v="116.66666666666667"/>
    <x v="3"/>
    <x v="0"/>
    <n v="15"/>
    <n v="1"/>
    <n v="10"/>
  </r>
  <r>
    <d v="2025-04-29T08:46:00"/>
    <s v="INYECTADO"/>
    <x v="0"/>
    <x v="68"/>
    <s v="CRISALIDA ZAPATA"/>
    <s v="VIRGEN"/>
    <s v="PP CLARIFICADO"/>
    <s v="."/>
    <x v="67"/>
    <s v="PORTA ACCESORIO-MELON"/>
    <n v="1037"/>
    <n v="6"/>
    <n v="60.2"/>
    <s v="DIURNO"/>
    <m/>
    <n v="5"/>
    <m/>
    <n v="20779"/>
    <s v="MELON"/>
    <n v="9.8000000000000007"/>
    <n v="0"/>
    <n v="0"/>
    <n v="62.22"/>
    <n v="60.2"/>
    <n v="60"/>
    <n v="1003.3333333333334"/>
    <x v="3"/>
    <x v="0"/>
    <n v="15"/>
    <n v="1"/>
    <n v="86.416666666666671"/>
  </r>
  <r>
    <d v="2025-04-29T08:46:00"/>
    <s v="INYECTADO"/>
    <x v="0"/>
    <x v="69"/>
    <s v="CRISALIDA ZAPATA"/>
    <s v="VIRGEN"/>
    <s v="PP CLARIFICADO"/>
    <s v="."/>
    <x v="67"/>
    <s v="PORTA ACCESORIO-MELON"/>
    <n v="522"/>
    <n v="4"/>
    <n v="29.8"/>
    <s v="DIURNO"/>
    <m/>
    <n v="5"/>
    <m/>
    <n v="20780"/>
    <s v="MELON"/>
    <n v="5.5"/>
    <n v="0"/>
    <n v="0"/>
    <n v="31.32"/>
    <n v="29.8"/>
    <n v="60"/>
    <n v="496.66666666666669"/>
    <x v="3"/>
    <x v="0"/>
    <n v="15"/>
    <n v="1"/>
    <n v="43.5"/>
  </r>
  <r>
    <d v="2025-04-29T08:46:00"/>
    <s v="INYECTADO"/>
    <x v="0"/>
    <x v="69"/>
    <s v="CRISALIDA ZAPATA"/>
    <s v="VIRGEN"/>
    <s v="PP CLARIFICADO"/>
    <s v="."/>
    <x v="67"/>
    <s v="PORTA ACCESORIO-CREMA"/>
    <n v="1293"/>
    <n v="6"/>
    <n v="77.599999999999994"/>
    <s v="DIURNO"/>
    <m/>
    <n v="6"/>
    <m/>
    <n v="20780"/>
    <s v="CREMA"/>
    <n v="5.7"/>
    <n v="0"/>
    <n v="0"/>
    <n v="77.58"/>
    <n v="77.599999999999994"/>
    <n v="60"/>
    <n v="1293.3333333333333"/>
    <x v="3"/>
    <x v="0"/>
    <n v="15"/>
    <n v="1"/>
    <n v="107.75"/>
  </r>
  <r>
    <d v="2025-04-29T08:46:00"/>
    <s v="INYECTADO"/>
    <x v="0"/>
    <x v="69"/>
    <s v="JUAN MANUEL PEREZ"/>
    <s v="VIRGEN"/>
    <s v="PP CLARIFICADO"/>
    <s v="."/>
    <x v="67"/>
    <s v="PORTA ACCESORIO-TURQUESA"/>
    <n v="1182"/>
    <n v="6"/>
    <n v="69.400000000000006"/>
    <s v="DIURNO"/>
    <m/>
    <n v="5"/>
    <m/>
    <n v="20781"/>
    <s v="TURQUESA"/>
    <n v="4.7"/>
    <n v="0"/>
    <n v="0"/>
    <n v="70.92"/>
    <n v="69.400000000000006"/>
    <n v="60"/>
    <n v="1156.6666666666667"/>
    <x v="3"/>
    <x v="0"/>
    <n v="15"/>
    <n v="1"/>
    <n v="98.5"/>
  </r>
  <r>
    <d v="2025-04-29T08:46:00"/>
    <s v="INYECTADO"/>
    <x v="0"/>
    <x v="63"/>
    <s v="LUIS PINEDO"/>
    <s v="VIRGEN"/>
    <s v="PP CLARIFICADO"/>
    <s v="."/>
    <x v="68"/>
    <s v="CASCO-VERDE MILITAR"/>
    <n v="836"/>
    <n v="9"/>
    <n v="82"/>
    <s v="DIURNO"/>
    <m/>
    <n v="9"/>
    <m/>
    <n v="20782"/>
    <s v="VERDE MILITAR"/>
    <n v="9.5"/>
    <n v="0"/>
    <n v="0"/>
    <n v="86.108000000000004"/>
    <n v="82"/>
    <n v="103"/>
    <n v="796.11650485436894"/>
    <x v="3"/>
    <x v="0"/>
    <n v="15"/>
    <n v="1"/>
    <n v="69.666666666666671"/>
  </r>
  <r>
    <d v="2025-04-29T08:46:00"/>
    <s v="INYECTADO"/>
    <x v="0"/>
    <x v="63"/>
    <s v="GABRIEL REQUENA"/>
    <s v="VIRGEN"/>
    <s v="PP CLARIFICADO"/>
    <s v="."/>
    <x v="68"/>
    <s v="CASCO-VERDE MILITAR"/>
    <n v="1440"/>
    <n v="12"/>
    <n v="142.80000000000001"/>
    <s v="DIURNO"/>
    <m/>
    <n v="13"/>
    <m/>
    <n v="20783"/>
    <s v="VERDE MILITAR"/>
    <n v="0"/>
    <n v="0"/>
    <n v="0"/>
    <n v="148.32"/>
    <n v="142.80000000000001"/>
    <n v="103"/>
    <n v="1386.4077669902913"/>
    <x v="3"/>
    <x v="0"/>
    <n v="15"/>
    <n v="1"/>
    <n v="120"/>
  </r>
  <r>
    <d v="2025-04-29T08:46:00"/>
    <s v="INYECTADO"/>
    <x v="0"/>
    <x v="64"/>
    <s v="LUIS PINEDO"/>
    <s v="VIRGEN"/>
    <s v="PP CLARIFICADO"/>
    <s v="."/>
    <x v="68"/>
    <s v="CASCO-VERDE MILITAR"/>
    <n v="1305"/>
    <n v="11"/>
    <n v="126.6"/>
    <s v="DIURNO"/>
    <m/>
    <n v="11"/>
    <m/>
    <n v="20784"/>
    <s v="VERDE MILITAR"/>
    <n v="14.7"/>
    <n v="0"/>
    <n v="0"/>
    <n v="134.41499999999999"/>
    <n v="126.6"/>
    <n v="103"/>
    <n v="1229.1262135922329"/>
    <x v="3"/>
    <x v="0"/>
    <n v="15"/>
    <n v="1"/>
    <n v="108.75"/>
  </r>
  <r>
    <d v="2025-04-29T08:46:00"/>
    <s v="INYECTADO"/>
    <x v="0"/>
    <x v="65"/>
    <s v="LINDER"/>
    <s v="VIRGEN"/>
    <s v="PP CLARIFICADO"/>
    <s v="."/>
    <x v="68"/>
    <s v="CASCO-VERDE MILITAR"/>
    <n v="1042"/>
    <n v="11"/>
    <n v="101.1"/>
    <s v="DIURNO"/>
    <m/>
    <n v="11"/>
    <m/>
    <n v="20785"/>
    <s v="VERDE MILITAR"/>
    <n v="2.2000000000000002"/>
    <n v="0"/>
    <n v="0"/>
    <n v="107.32599999999999"/>
    <n v="101.1"/>
    <n v="103"/>
    <n v="981.55339805825247"/>
    <x v="3"/>
    <x v="0"/>
    <n v="15"/>
    <n v="1"/>
    <n v="86.833333333333329"/>
  </r>
  <r>
    <d v="2025-04-29T08:46:00"/>
    <s v="INYECTADO"/>
    <x v="0"/>
    <x v="66"/>
    <s v="ISABEL LINARIZ "/>
    <s v="VIRGEN"/>
    <s v="PP CLARIFICADO"/>
    <s v="."/>
    <x v="68"/>
    <s v="CASCO-VERDE MILITAR"/>
    <n v="1137"/>
    <n v="10"/>
    <n v="110.3"/>
    <s v="DIURNO"/>
    <m/>
    <n v="14"/>
    <m/>
    <n v="20786"/>
    <s v="VERDE MILITAR"/>
    <n v="10"/>
    <n v="0"/>
    <n v="0"/>
    <n v="117.111"/>
    <n v="110.3"/>
    <n v="103"/>
    <n v="1070.8737864077671"/>
    <x v="3"/>
    <x v="0"/>
    <n v="16"/>
    <n v="1"/>
    <n v="94.75"/>
  </r>
  <r>
    <d v="2025-04-29T08:46:00"/>
    <s v="INYECTADO"/>
    <x v="0"/>
    <x v="70"/>
    <s v="GABRIEL REQUENA"/>
    <s v="VIRGEN"/>
    <s v="PP CLARIFICADO"/>
    <s v="."/>
    <x v="68"/>
    <s v="CASCO-VERDE MILITAR"/>
    <n v="291"/>
    <n v="3"/>
    <n v="28.3"/>
    <s v="DIURNO"/>
    <m/>
    <n v="3"/>
    <m/>
    <n v="20787"/>
    <s v="VERDE MILITAR"/>
    <n v="0"/>
    <n v="0"/>
    <n v="0"/>
    <n v="29.972999999999999"/>
    <n v="28.3"/>
    <n v="103"/>
    <n v="274.75728155339806"/>
    <x v="3"/>
    <x v="0"/>
    <n v="16"/>
    <n v="1"/>
    <n v="24.25"/>
  </r>
  <r>
    <d v="2025-04-29T08:46:00"/>
    <s v="INYECTADO"/>
    <x v="1"/>
    <x v="57"/>
    <s v="LEONOR GUTIERREZ"/>
    <s v="SEGUNDA"/>
    <s v="."/>
    <s v="PP INY MOLIDO"/>
    <x v="1"/>
    <s v="PALA RASTRILLO ROMANO-FUCSIA"/>
    <n v="623"/>
    <n v="6"/>
    <n v="45.5"/>
    <s v="DIURNO"/>
    <n v="0"/>
    <n v="6"/>
    <m/>
    <n v="20667"/>
    <s v="FUCSIA"/>
    <n v="10.1"/>
    <n v="0"/>
    <n v="0"/>
    <n v="23.673999999999999"/>
    <n v="45.5"/>
    <n v="38"/>
    <n v="1197.3684210526317"/>
    <x v="3"/>
    <x v="0"/>
    <n v="14"/>
    <n v="2"/>
    <n v="103.83333333333333"/>
  </r>
  <r>
    <d v="2025-04-29T08:46:00"/>
    <s v="INYECTADO"/>
    <x v="1"/>
    <x v="57"/>
    <s v="LEONOR GUTIERREZ"/>
    <s v="SEGUNDA"/>
    <s v="."/>
    <s v="PP INY MOLIDO"/>
    <x v="1"/>
    <s v="PALA RASTRILLO ROMANO-LILA"/>
    <n v="394"/>
    <n v="3"/>
    <n v="28.8"/>
    <s v="DIURNO"/>
    <n v="0"/>
    <n v="4"/>
    <m/>
    <n v="20667"/>
    <s v="LILA"/>
    <n v="8.4"/>
    <n v="0"/>
    <n v="0"/>
    <n v="14.972"/>
    <n v="28.8"/>
    <n v="38"/>
    <n v="757.89473684210532"/>
    <x v="3"/>
    <x v="0"/>
    <n v="14"/>
    <n v="2"/>
    <n v="65.666666666666671"/>
  </r>
  <r>
    <d v="2025-04-29T08:46:00"/>
    <s v="INYECTADO"/>
    <x v="1"/>
    <x v="61"/>
    <s v="CRISALIDA ZAPATA"/>
    <s v="SEGUNDA"/>
    <s v="."/>
    <s v="PP INY MOLIDO"/>
    <x v="1"/>
    <s v="PALA RASTRILLO ROMANO-LILA"/>
    <n v="415"/>
    <n v="4"/>
    <n v="30.3"/>
    <s v="DIURNO"/>
    <n v="0"/>
    <n v="6"/>
    <m/>
    <n v="20667"/>
    <s v="LILA"/>
    <n v="1.8"/>
    <n v="0"/>
    <n v="0"/>
    <n v="15.77"/>
    <n v="30.3"/>
    <n v="38"/>
    <n v="797.36842105263156"/>
    <x v="3"/>
    <x v="0"/>
    <n v="14"/>
    <n v="2"/>
    <n v="69.166666666666671"/>
  </r>
  <r>
    <d v="2025-04-29T08:46:00"/>
    <s v="INYECTADO"/>
    <x v="1"/>
    <x v="61"/>
    <s v="CRISALIDA ZAPATA"/>
    <s v="SEGUNDA"/>
    <s v="."/>
    <s v="PP INY MOLIDO"/>
    <x v="1"/>
    <s v="PALA RASTRILLO ROMANO-AZUL"/>
    <n v="263"/>
    <n v="3"/>
    <n v="15.8"/>
    <s v="DIURNO"/>
    <n v="0"/>
    <n v="2"/>
    <m/>
    <n v="20667"/>
    <s v="AZUL"/>
    <n v="8.4"/>
    <n v="0"/>
    <n v="0"/>
    <n v="9.9939999999999998"/>
    <n v="15.8"/>
    <n v="38"/>
    <n v="415.78947368421052"/>
    <x v="3"/>
    <x v="0"/>
    <n v="14"/>
    <n v="2"/>
    <n v="43.833333333333336"/>
  </r>
  <r>
    <d v="2025-04-29T08:46:00"/>
    <s v="INYECTADO"/>
    <x v="1"/>
    <x v="61"/>
    <s v="JUAN MANUEL PEREZ"/>
    <s v="SEGUNDA"/>
    <s v="."/>
    <s v="PP INY MOLIDO"/>
    <x v="1"/>
    <s v="PALA RASTRILLO ROMANO-AZUL"/>
    <n v="200"/>
    <n v="2"/>
    <n v="14.6"/>
    <s v="DIURNO"/>
    <n v="0"/>
    <n v="2"/>
    <m/>
    <n v="20667"/>
    <s v="AZUL"/>
    <n v="3.1"/>
    <n v="0"/>
    <n v="0"/>
    <n v="7.6"/>
    <n v="14.6"/>
    <n v="38"/>
    <n v="384.21052631578948"/>
    <x v="3"/>
    <x v="0"/>
    <n v="14"/>
    <n v="2"/>
    <n v="33.333333333333336"/>
  </r>
  <r>
    <d v="2025-04-29T08:46:00"/>
    <s v="INYECTADO"/>
    <x v="1"/>
    <x v="61"/>
    <s v="JUAN MANUEL PEREZ"/>
    <s v="SEGUNDA"/>
    <s v="."/>
    <s v="PP INY MOLIDO"/>
    <x v="1"/>
    <s v="PALA RASTRILLO ROMANO-FUCSIA"/>
    <n v="536"/>
    <n v="5"/>
    <n v="39.200000000000003"/>
    <s v="DIURNO"/>
    <n v="0"/>
    <n v="4"/>
    <m/>
    <n v="20667"/>
    <s v="FUCSIA"/>
    <n v="9.6"/>
    <n v="0"/>
    <n v="0"/>
    <n v="20.367999999999999"/>
    <n v="39.200000000000003"/>
    <n v="38"/>
    <n v="1031.578947368421"/>
    <x v="3"/>
    <x v="0"/>
    <n v="14"/>
    <n v="2"/>
    <n v="89.333333333333329"/>
  </r>
  <r>
    <d v="2025-04-29T08:46:00"/>
    <s v="INYECTADO"/>
    <x v="1"/>
    <x v="61"/>
    <s v="JUAN MANUEL PEREZ"/>
    <s v="SEGUNDA"/>
    <s v="."/>
    <s v="PP INY MOLIDO"/>
    <x v="1"/>
    <s v="PALA RASTRILLO ROMANO-ROJO"/>
    <n v="343"/>
    <n v="3"/>
    <n v="25.1"/>
    <s v="DIURNO"/>
    <n v="0"/>
    <n v="4"/>
    <m/>
    <n v="20667"/>
    <s v="ROJO"/>
    <n v="9.6"/>
    <n v="0"/>
    <n v="0"/>
    <n v="13.034000000000001"/>
    <n v="25.1"/>
    <n v="38"/>
    <n v="660.52631578947364"/>
    <x v="3"/>
    <x v="0"/>
    <n v="14"/>
    <n v="2"/>
    <n v="57.166666666666664"/>
  </r>
  <r>
    <d v="2025-04-29T08:46:00"/>
    <s v="INYECTADO"/>
    <x v="1"/>
    <x v="58"/>
    <s v="LINDER"/>
    <s v="SEGUNDA"/>
    <s v="."/>
    <s v="PP INY MOLIDO"/>
    <x v="1"/>
    <s v="PALA RASTRILLO ROMANO-ROJO"/>
    <n v="87"/>
    <n v="1"/>
    <n v="6.3"/>
    <s v="DIURNO"/>
    <n v="0"/>
    <n v="1"/>
    <m/>
    <n v="20667"/>
    <s v="ROJO"/>
    <n v="7.9"/>
    <n v="0"/>
    <n v="0"/>
    <n v="3.306"/>
    <n v="6.3"/>
    <n v="38"/>
    <n v="165.78947368421052"/>
    <x v="3"/>
    <x v="0"/>
    <n v="14"/>
    <n v="2"/>
    <n v="14.5"/>
  </r>
  <r>
    <d v="2025-04-29T08:46:00"/>
    <s v="INYECTADO"/>
    <x v="1"/>
    <x v="58"/>
    <s v="LINDER"/>
    <s v="SEGUNDA"/>
    <s v="."/>
    <s v="PP INY MOLIDO"/>
    <x v="1"/>
    <s v="PALA RASTRILLO ROMANO-AMARILLO"/>
    <n v="401"/>
    <n v="4"/>
    <n v="28.9"/>
    <s v="DIURNO"/>
    <n v="0"/>
    <n v="4"/>
    <m/>
    <n v="20667"/>
    <s v="AMARILLO"/>
    <n v="7.1"/>
    <n v="0"/>
    <n v="0"/>
    <n v="15.238"/>
    <n v="28.9"/>
    <n v="38"/>
    <n v="760.52631578947364"/>
    <x v="3"/>
    <x v="0"/>
    <n v="14"/>
    <n v="2"/>
    <n v="66.833333333333329"/>
  </r>
  <r>
    <d v="2025-04-29T08:46:00"/>
    <s v="INYECTADO"/>
    <x v="1"/>
    <x v="58"/>
    <s v="LINDER"/>
    <s v="SEGUNDA"/>
    <s v="."/>
    <s v="PP INY MOLIDO"/>
    <x v="1"/>
    <s v="PALA RASTRILLO ROMANO-VERDE"/>
    <n v="329"/>
    <n v="3"/>
    <n v="23.7"/>
    <s v="DIURNO"/>
    <n v="0"/>
    <n v="4"/>
    <m/>
    <n v="20667"/>
    <s v="VERDE"/>
    <n v="5.8"/>
    <n v="0"/>
    <n v="0"/>
    <n v="12.502000000000001"/>
    <n v="23.7"/>
    <n v="38"/>
    <n v="623.68421052631584"/>
    <x v="3"/>
    <x v="0"/>
    <n v="14"/>
    <n v="2"/>
    <n v="54.833333333333336"/>
  </r>
  <r>
    <d v="2025-04-29T08:46:00"/>
    <s v="INYECTADO"/>
    <x v="1"/>
    <x v="59"/>
    <s v="JOSDER GONZALEZ"/>
    <s v="SEGUNDA"/>
    <s v="."/>
    <s v="PP INY MOLIDO"/>
    <x v="1"/>
    <s v="PALA RASTRILLO ROMANO-VERDE"/>
    <n v="398"/>
    <n v="3"/>
    <n v="28.7"/>
    <s v="DIURNO"/>
    <n v="0"/>
    <n v="5"/>
    <m/>
    <n v="20667"/>
    <s v="VERDE"/>
    <n v="12.9"/>
    <n v="0"/>
    <n v="0"/>
    <n v="15.124000000000001"/>
    <n v="28.7"/>
    <n v="38"/>
    <n v="755.26315789473688"/>
    <x v="3"/>
    <x v="0"/>
    <n v="14"/>
    <n v="2"/>
    <n v="66.333333333333329"/>
  </r>
  <r>
    <d v="2025-04-29T08:46:00"/>
    <s v="INYECTADO"/>
    <x v="1"/>
    <x v="62"/>
    <s v="JOSDER GONZALEZ"/>
    <m/>
    <m/>
    <m/>
    <x v="69"/>
    <s v="CANASTA CANDY-TURQUESA"/>
    <n v="958"/>
    <n v="10"/>
    <n v="76.099999999999994"/>
    <m/>
    <m/>
    <n v="9"/>
    <m/>
    <n v="20685"/>
    <s v="TURQUESA"/>
    <n v="2.1"/>
    <n v="0"/>
    <n v="0"/>
    <n v="75.682000000000002"/>
    <n v="76.099999999999994"/>
    <n v="79"/>
    <n v="963.29113924050637"/>
    <x v="3"/>
    <x v="0"/>
    <n v="14"/>
    <n v="1"/>
    <n v="79.833333333333329"/>
  </r>
  <r>
    <d v="2025-04-29T08:46:00"/>
    <s v="INYECTADO"/>
    <x v="1"/>
    <x v="67"/>
    <s v="LINDER"/>
    <m/>
    <m/>
    <m/>
    <x v="69"/>
    <s v="CANASTA CANDY-TURQUESA"/>
    <n v="487"/>
    <n v="5"/>
    <n v="38.4"/>
    <m/>
    <m/>
    <n v="5"/>
    <m/>
    <n v="20686"/>
    <s v="TURQUESA"/>
    <n v="0"/>
    <n v="0"/>
    <n v="0"/>
    <n v="38.472999999999999"/>
    <n v="38.4"/>
    <n v="79"/>
    <n v="486.07594936708858"/>
    <x v="3"/>
    <x v="0"/>
    <n v="15"/>
    <n v="1"/>
    <n v="40.583333333333336"/>
  </r>
  <r>
    <d v="2025-04-29T08:46:00"/>
    <s v="INYECTADO"/>
    <x v="1"/>
    <x v="67"/>
    <s v="LINDER"/>
    <m/>
    <m/>
    <m/>
    <x v="69"/>
    <s v="CANASTA CANDY-ROSADO"/>
    <n v="394"/>
    <n v="4"/>
    <n v="30.3"/>
    <m/>
    <m/>
    <n v="4"/>
    <m/>
    <n v="20686"/>
    <s v="ROSADO"/>
    <n v="3.3"/>
    <n v="0"/>
    <n v="0"/>
    <n v="31.126000000000001"/>
    <n v="30.3"/>
    <n v="79"/>
    <n v="383.54430379746833"/>
    <x v="3"/>
    <x v="0"/>
    <n v="15"/>
    <n v="1"/>
    <n v="32.833333333333336"/>
  </r>
  <r>
    <d v="2025-04-29T08:46:00"/>
    <s v="INYECTADO"/>
    <x v="1"/>
    <x v="68"/>
    <s v="ISABEL LINARIZ "/>
    <m/>
    <m/>
    <m/>
    <x v="69"/>
    <s v="CANASTA CANDY-ROSADO"/>
    <n v="593"/>
    <n v="6"/>
    <n v="45.7"/>
    <m/>
    <m/>
    <n v="4"/>
    <m/>
    <n v="20687"/>
    <s v="ROSADO"/>
    <n v="5.7"/>
    <n v="0"/>
    <n v="0"/>
    <n v="46.847000000000001"/>
    <n v="45.7"/>
    <n v="79"/>
    <n v="578.48101265822788"/>
    <x v="3"/>
    <x v="0"/>
    <n v="15"/>
    <n v="1"/>
    <n v="49.416666666666664"/>
  </r>
  <r>
    <d v="2025-04-29T08:46:00"/>
    <s v="INYECTADO"/>
    <x v="1"/>
    <x v="69"/>
    <s v="ISABEL LINARIZ "/>
    <m/>
    <m/>
    <m/>
    <x v="69"/>
    <s v="CANASTA CANDY-LILA"/>
    <n v="225"/>
    <n v="3"/>
    <n v="17.600000000000001"/>
    <m/>
    <m/>
    <n v="2"/>
    <m/>
    <n v="20688"/>
    <s v="LILA"/>
    <n v="5.8"/>
    <n v="0"/>
    <n v="0"/>
    <n v="17.774999999999999"/>
    <n v="17.600000000000001"/>
    <n v="79"/>
    <n v="222.78481012658227"/>
    <x v="3"/>
    <x v="0"/>
    <n v="15"/>
    <n v="1"/>
    <n v="18.75"/>
  </r>
  <r>
    <d v="2025-04-29T08:46:00"/>
    <s v="INYECTADO"/>
    <x v="1"/>
    <x v="69"/>
    <s v="ISABEL LINARIZ "/>
    <m/>
    <m/>
    <m/>
    <x v="69"/>
    <s v="CANASTA CANDY-ROSADO"/>
    <n v="748"/>
    <n v="8"/>
    <n v="58.4"/>
    <m/>
    <m/>
    <n v="6"/>
    <m/>
    <n v="20688"/>
    <s v="ROSADO"/>
    <n v="8.5"/>
    <n v="0"/>
    <n v="0"/>
    <n v="59.091999999999999"/>
    <n v="58.4"/>
    <n v="79"/>
    <n v="739.24050632911394"/>
    <x v="3"/>
    <x v="0"/>
    <n v="15"/>
    <n v="1"/>
    <n v="62.333333333333336"/>
  </r>
  <r>
    <d v="2025-04-29T08:46:00"/>
    <s v="INYECTADO"/>
    <x v="1"/>
    <x v="69"/>
    <s v="JUAN MANUEL PEREZ"/>
    <m/>
    <m/>
    <m/>
    <x v="69"/>
    <s v="CANASTA CANDY-LILA"/>
    <n v="592"/>
    <n v="4"/>
    <n v="46.2"/>
    <m/>
    <m/>
    <n v="4"/>
    <m/>
    <n v="20689"/>
    <s v="LILA"/>
    <n v="8.1"/>
    <n v="0"/>
    <n v="0"/>
    <n v="46.768000000000001"/>
    <n v="46.2"/>
    <n v="79"/>
    <n v="584.81012658227849"/>
    <x v="3"/>
    <x v="0"/>
    <n v="15"/>
    <n v="1"/>
    <n v="49.333333333333336"/>
  </r>
  <r>
    <d v="2025-04-29T08:46:00"/>
    <s v="INYECTADO"/>
    <x v="1"/>
    <x v="63"/>
    <s v="CRISALIDA ZAPATA"/>
    <m/>
    <m/>
    <m/>
    <x v="69"/>
    <s v="CANASTA CANDY-LILA"/>
    <n v="500"/>
    <n v="4"/>
    <n v="39"/>
    <m/>
    <m/>
    <n v="5"/>
    <m/>
    <n v="20691"/>
    <s v="LILA"/>
    <n v="0"/>
    <n v="0"/>
    <n v="0"/>
    <n v="39.5"/>
    <n v="39"/>
    <n v="79"/>
    <n v="493.67088607594934"/>
    <x v="3"/>
    <x v="0"/>
    <n v="15"/>
    <n v="1"/>
    <n v="41.666666666666664"/>
  </r>
  <r>
    <d v="2025-04-29T08:46:00"/>
    <s v="INYECTADO"/>
    <x v="1"/>
    <x v="63"/>
    <s v="JUAN MANUEL PEREZ"/>
    <m/>
    <m/>
    <m/>
    <x v="69"/>
    <s v="CANASTA CANDY-MELON"/>
    <n v="71"/>
    <n v="1"/>
    <n v="5.5"/>
    <m/>
    <m/>
    <n v="1"/>
    <m/>
    <n v="20692"/>
    <s v="MELON"/>
    <n v="0"/>
    <n v="0"/>
    <n v="0"/>
    <n v="5.609"/>
    <n v="5.5"/>
    <n v="79"/>
    <n v="69.620253164556956"/>
    <x v="3"/>
    <x v="0"/>
    <n v="15"/>
    <n v="1"/>
    <n v="5.916666666666667"/>
  </r>
  <r>
    <d v="2025-04-29T08:46:00"/>
    <s v="INYECTADO"/>
    <x v="1"/>
    <x v="63"/>
    <s v="JUAN MANUEL PEREZ"/>
    <m/>
    <m/>
    <m/>
    <x v="69"/>
    <s v="CANASTA CANDY-LILA"/>
    <n v="461"/>
    <n v="4"/>
    <n v="36"/>
    <m/>
    <m/>
    <n v="4"/>
    <m/>
    <n v="20692"/>
    <s v="LILA"/>
    <n v="0"/>
    <n v="0"/>
    <n v="0"/>
    <n v="36.418999999999997"/>
    <n v="36"/>
    <n v="79"/>
    <n v="455.69620253164555"/>
    <x v="3"/>
    <x v="0"/>
    <n v="15"/>
    <n v="1"/>
    <n v="38.416666666666664"/>
  </r>
  <r>
    <d v="2025-04-29T08:46:00"/>
    <s v="INYECTADO"/>
    <x v="1"/>
    <x v="64"/>
    <s v="JOSDER GONZALEZ"/>
    <m/>
    <m/>
    <m/>
    <x v="69"/>
    <s v="CANASTA CANDY-MELON"/>
    <n v="1026"/>
    <n v="10"/>
    <n v="99.2"/>
    <m/>
    <m/>
    <n v="10"/>
    <m/>
    <n v="20693"/>
    <s v="MELON"/>
    <n v="5.8"/>
    <n v="0"/>
    <n v="0"/>
    <n v="81.054000000000002"/>
    <n v="99.2"/>
    <n v="79"/>
    <n v="1255.6962025316457"/>
    <x v="3"/>
    <x v="0"/>
    <n v="15"/>
    <n v="1"/>
    <n v="85.5"/>
  </r>
  <r>
    <d v="2025-04-29T08:46:00"/>
    <s v="INYECTADO"/>
    <x v="1"/>
    <x v="65"/>
    <s v="LINDER"/>
    <m/>
    <m/>
    <m/>
    <x v="69"/>
    <s v="CANASTA CANDY-MELON"/>
    <n v="360"/>
    <n v="3"/>
    <n v="27.7"/>
    <m/>
    <m/>
    <n v="3"/>
    <m/>
    <n v="20694"/>
    <s v="MELON"/>
    <n v="0"/>
    <n v="0"/>
    <n v="0"/>
    <n v="28.44"/>
    <n v="27.7"/>
    <n v="79"/>
    <n v="350.63291139240505"/>
    <x v="3"/>
    <x v="0"/>
    <n v="15"/>
    <n v="1"/>
    <n v="30"/>
  </r>
  <r>
    <d v="2025-04-29T08:46:00"/>
    <s v="INYECTADO"/>
    <x v="1"/>
    <x v="70"/>
    <s v="GABRIEL REQUENA"/>
    <m/>
    <m/>
    <m/>
    <x v="42"/>
    <s v="CANASTA CAROLINA-MELON"/>
    <n v="433"/>
    <n v="4"/>
    <n v="50.2"/>
    <m/>
    <m/>
    <n v="8"/>
    <m/>
    <n v="20695"/>
    <s v="MELON"/>
    <n v="2.2000000000000002"/>
    <n v="0"/>
    <n v="0"/>
    <n v="49.795000000000002"/>
    <n v="50.2"/>
    <n v="115"/>
    <n v="436.52173913043481"/>
    <x v="3"/>
    <x v="0"/>
    <n v="16"/>
    <n v="1"/>
    <n v="36.083333333333336"/>
  </r>
  <r>
    <d v="2025-04-29T08:46:00"/>
    <s v="INYECTADO"/>
    <x v="1"/>
    <x v="70"/>
    <s v="GABRIEL REQUENA"/>
    <m/>
    <m/>
    <m/>
    <x v="42"/>
    <s v="CANASTA CAROLINA-MELON"/>
    <n v="166"/>
    <n v="2"/>
    <n v="19.2"/>
    <m/>
    <m/>
    <n v="3"/>
    <m/>
    <n v="20696"/>
    <s v="MELON"/>
    <n v="2.4"/>
    <n v="0"/>
    <n v="0"/>
    <n v="19.09"/>
    <n v="19.2"/>
    <n v="115"/>
    <n v="166.95652173913044"/>
    <x v="3"/>
    <x v="0"/>
    <n v="16"/>
    <n v="1"/>
    <n v="13.833333333333334"/>
  </r>
  <r>
    <d v="2025-04-29T08:46:00"/>
    <s v="INYECTADO"/>
    <x v="1"/>
    <x v="71"/>
    <s v="ISABEL LINARIZ "/>
    <m/>
    <m/>
    <m/>
    <x v="42"/>
    <s v="CANASTA CAROLINA-MELON"/>
    <n v="241"/>
    <n v="3"/>
    <n v="27.9"/>
    <m/>
    <m/>
    <n v="4"/>
    <m/>
    <n v="20697"/>
    <s v="MELON"/>
    <n v="0"/>
    <n v="0"/>
    <n v="0"/>
    <n v="27.715"/>
    <n v="27.9"/>
    <n v="115"/>
    <n v="242.60869565217391"/>
    <x v="3"/>
    <x v="0"/>
    <n v="16"/>
    <n v="1"/>
    <n v="20.083333333333332"/>
  </r>
  <r>
    <d v="2025-04-29T08:46:00"/>
    <s v="INYECTADO"/>
    <x v="1"/>
    <x v="71"/>
    <s v="ISABEL LINARIZ "/>
    <m/>
    <m/>
    <m/>
    <x v="42"/>
    <s v="CANASTA CAROLINA-ROSADO"/>
    <n v="779"/>
    <n v="7"/>
    <n v="90.3"/>
    <m/>
    <m/>
    <n v="12"/>
    <m/>
    <n v="20697"/>
    <s v="ROSADO"/>
    <n v="8.9"/>
    <n v="0"/>
    <n v="0"/>
    <n v="89.584999999999994"/>
    <n v="90.3"/>
    <n v="115"/>
    <n v="785.21739130434787"/>
    <x v="3"/>
    <x v="0"/>
    <n v="16"/>
    <n v="1"/>
    <n v="64.916666666666671"/>
  </r>
  <r>
    <d v="2025-04-29T08:46:00"/>
    <s v="INYECTADO"/>
    <x v="1"/>
    <x v="72"/>
    <s v="LINDER"/>
    <m/>
    <m/>
    <m/>
    <x v="42"/>
    <s v="CANASTA CAROLINA-ROSADO"/>
    <n v="104"/>
    <n v="2"/>
    <n v="12"/>
    <m/>
    <m/>
    <n v="3"/>
    <m/>
    <n v="20698"/>
    <s v="ROSADO"/>
    <n v="1.6"/>
    <n v="0"/>
    <n v="0"/>
    <n v="11.96"/>
    <n v="12"/>
    <n v="115"/>
    <n v="104.34782608695652"/>
    <x v="3"/>
    <x v="0"/>
    <n v="16"/>
    <n v="1"/>
    <n v="8.6666666666666661"/>
  </r>
  <r>
    <d v="2025-04-29T08:46:00"/>
    <s v="INYECTADO"/>
    <x v="1"/>
    <x v="72"/>
    <s v="LINDER"/>
    <m/>
    <m/>
    <m/>
    <x v="42"/>
    <s v="CANASTA CAROLINA-LILA"/>
    <n v="598"/>
    <n v="5"/>
    <n v="71.099999999999994"/>
    <m/>
    <m/>
    <n v="9"/>
    <m/>
    <n v="20698"/>
    <s v="LILA"/>
    <n v="4.4000000000000004"/>
    <n v="0"/>
    <n v="0"/>
    <n v="68.77"/>
    <n v="71.099999999999994"/>
    <n v="115"/>
    <n v="618.26086956521738"/>
    <x v="3"/>
    <x v="0"/>
    <n v="16"/>
    <n v="1"/>
    <n v="49.833333333333336"/>
  </r>
  <r>
    <d v="2025-04-29T08:46:00"/>
    <s v="INYECTADO"/>
    <x v="1"/>
    <x v="72"/>
    <s v="JUAN MANUEL PEREZ"/>
    <m/>
    <m/>
    <m/>
    <x v="42"/>
    <s v="CANASTA CAROLINA-LILA"/>
    <n v="144"/>
    <n v="2"/>
    <n v="17.7"/>
    <m/>
    <m/>
    <n v="3"/>
    <m/>
    <n v="20699"/>
    <s v="LILA"/>
    <n v="2"/>
    <n v="0"/>
    <n v="0"/>
    <n v="16.559999999999999"/>
    <n v="17.7"/>
    <n v="115"/>
    <n v="153.91304347826087"/>
    <x v="3"/>
    <x v="0"/>
    <n v="16"/>
    <n v="1"/>
    <n v="12"/>
  </r>
  <r>
    <d v="2025-04-29T08:46:00"/>
    <s v="INYECTADO"/>
    <x v="1"/>
    <x v="72"/>
    <s v="JUAN MANUEL PEREZ"/>
    <m/>
    <m/>
    <m/>
    <x v="42"/>
    <s v="CANASTA CAROLINA-TURQUESA"/>
    <n v="780"/>
    <n v="7"/>
    <n v="96.1"/>
    <m/>
    <m/>
    <n v="12"/>
    <m/>
    <n v="20699"/>
    <s v="TURQUESA"/>
    <n v="2"/>
    <n v="0"/>
    <n v="0"/>
    <n v="89.7"/>
    <n v="96.1"/>
    <n v="115"/>
    <n v="835.6521739130435"/>
    <x v="3"/>
    <x v="0"/>
    <n v="16"/>
    <n v="1"/>
    <n v="65"/>
  </r>
  <r>
    <d v="2025-04-29T08:46:00"/>
    <s v="INYECTADO"/>
    <x v="1"/>
    <x v="73"/>
    <s v="ISABEL LINARIZ "/>
    <m/>
    <m/>
    <m/>
    <x v="42"/>
    <s v="CANASTA CAROLINA-TURQUESA"/>
    <n v="60"/>
    <n v="1"/>
    <n v="7.9"/>
    <m/>
    <m/>
    <n v="1"/>
    <m/>
    <n v="20700"/>
    <s v="TURQUESA"/>
    <n v="0"/>
    <n v="0"/>
    <n v="0"/>
    <n v="6.9"/>
    <n v="7.9"/>
    <n v="115"/>
    <n v="68.695652173913047"/>
    <x v="3"/>
    <x v="0"/>
    <n v="17"/>
    <n v="1"/>
    <n v="5"/>
  </r>
  <r>
    <d v="2025-04-29T08:46:00"/>
    <s v="INYECTADO"/>
    <x v="6"/>
    <x v="73"/>
    <s v="ROSA MERINO"/>
    <s v="SEGUNDA"/>
    <s v="."/>
    <s v="MIXTO"/>
    <x v="70"/>
    <s v="REPOSTERO 6KG -TRANSPARENTE"/>
    <n v="900"/>
    <n v="11"/>
    <n v="195.1"/>
    <s v="DIURNO"/>
    <n v="0"/>
    <n v="15"/>
    <n v="1076"/>
    <n v="21212"/>
    <s v="TRANSPARENTE"/>
    <n v="0"/>
    <n v="0"/>
    <n v="0"/>
    <n v="189.9"/>
    <n v="195.1"/>
    <n v="211"/>
    <n v="924.64454976303318"/>
    <x v="3"/>
    <x v="0"/>
    <n v="17"/>
    <n v="1"/>
    <n v="75"/>
  </r>
  <r>
    <d v="2025-04-29T08:46:00"/>
    <s v="INYECTADO"/>
    <x v="6"/>
    <x v="74"/>
    <s v="ISABEL LINARIZ "/>
    <s v="SEGUNDA"/>
    <s v="."/>
    <s v="MIXTO"/>
    <x v="70"/>
    <s v="REPOSTERO 6KG -TRANSPARENTE"/>
    <n v="928"/>
    <n v="11"/>
    <n v="197.2"/>
    <s v="DIURNO"/>
    <n v="0"/>
    <n v="16"/>
    <n v="1076"/>
    <n v="21213"/>
    <s v="TRANSPARENTE"/>
    <n v="0"/>
    <n v="0"/>
    <n v="0"/>
    <n v="195.80799999999999"/>
    <n v="197.2"/>
    <n v="211"/>
    <n v="934.59715639810429"/>
    <x v="3"/>
    <x v="0"/>
    <n v="17"/>
    <n v="1"/>
    <n v="77.333333333333329"/>
  </r>
  <r>
    <d v="2025-04-29T08:46:00"/>
    <s v="INYECTADO"/>
    <x v="6"/>
    <x v="75"/>
    <s v="SAID VILLAMIZAR"/>
    <s v="SEGUNDA"/>
    <s v="."/>
    <s v="MIXTO"/>
    <x v="70"/>
    <s v="REPOSTERO 6KG -TRANSPARENTE"/>
    <n v="900"/>
    <n v="12"/>
    <n v="192.8"/>
    <s v="DIURNO"/>
    <n v="0"/>
    <n v="15"/>
    <n v="1076"/>
    <n v="21214"/>
    <s v="TRANSPARENTE"/>
    <n v="3"/>
    <n v="0"/>
    <n v="0"/>
    <n v="189.9"/>
    <n v="192.8"/>
    <n v="211"/>
    <n v="913.74407582938386"/>
    <x v="3"/>
    <x v="0"/>
    <n v="17"/>
    <n v="1"/>
    <n v="75"/>
  </r>
  <r>
    <d v="2025-04-29T08:46:00"/>
    <s v="INYECTADO"/>
    <x v="6"/>
    <x v="76"/>
    <s v="LUIS RENGIFO"/>
    <s v="SEGUNDA"/>
    <s v="."/>
    <s v="MIXTO"/>
    <x v="43"/>
    <s v="REPOSTERO 4KG-TRANSPARENTE"/>
    <n v="766"/>
    <n v="5"/>
    <n v="105"/>
    <s v="DIURNO"/>
    <n v="0"/>
    <n v="13"/>
    <n v="1084"/>
    <n v="21215"/>
    <s v="TRANSPARENTE"/>
    <n v="0"/>
    <n v="0"/>
    <n v="0"/>
    <n v="108.006"/>
    <n v="105"/>
    <n v="141"/>
    <n v="744.68085106382978"/>
    <x v="3"/>
    <x v="0"/>
    <n v="17"/>
    <n v="1"/>
    <n v="63.833333333333336"/>
  </r>
  <r>
    <d v="2025-04-29T08:46:00"/>
    <s v="INYECTADO"/>
    <x v="6"/>
    <x v="76"/>
    <s v="JUAN MANUEL PEREZ"/>
    <s v="SEGUNDA"/>
    <s v="."/>
    <s v="MIXTO"/>
    <x v="43"/>
    <s v="REPOSTERO 4KG-TRANSPARENTE"/>
    <n v="859"/>
    <n v="9"/>
    <n v="117.7"/>
    <s v="DIURNO"/>
    <n v="0"/>
    <n v="14"/>
    <n v="1084"/>
    <n v="21216"/>
    <s v="TRANSPARENTE"/>
    <n v="3.1"/>
    <n v="0"/>
    <n v="0"/>
    <n v="121.119"/>
    <n v="117.7"/>
    <n v="141"/>
    <n v="834.75177304964541"/>
    <x v="3"/>
    <x v="0"/>
    <n v="17"/>
    <n v="1"/>
    <n v="71.583333333333329"/>
  </r>
  <r>
    <d v="2025-04-29T08:46:00"/>
    <s v="INYECTADO"/>
    <x v="6"/>
    <x v="77"/>
    <s v="CRISALIDA ZAPATA"/>
    <s v="SEGUNDA"/>
    <s v="."/>
    <s v="MIXTO"/>
    <x v="43"/>
    <s v="REPOSTERO 4KG-TRANSPARENTE"/>
    <n v="1302"/>
    <n v="10"/>
    <n v="181"/>
    <s v="DIURNO"/>
    <n v="0"/>
    <n v="22"/>
    <n v="1084"/>
    <n v="21217"/>
    <s v="TRANSPARENTE"/>
    <n v="3.3"/>
    <n v="0"/>
    <n v="0"/>
    <n v="183.58199999999999"/>
    <n v="181"/>
    <n v="141"/>
    <n v="1283.6879432624114"/>
    <x v="3"/>
    <x v="0"/>
    <n v="17"/>
    <n v="1"/>
    <n v="108.5"/>
  </r>
  <r>
    <d v="2025-04-29T08:46:00"/>
    <s v="INYECTADO"/>
    <x v="6"/>
    <x v="78"/>
    <s v="CRISALIDA ZAPATA"/>
    <s v="SEGUNDA"/>
    <s v="."/>
    <s v="MIXTO"/>
    <x v="43"/>
    <s v="REPOSTERO 4KG-TRANSPARENTE"/>
    <n v="1189"/>
    <n v="11"/>
    <n v="165.4"/>
    <s v="DIURNO"/>
    <n v="0"/>
    <n v="21"/>
    <n v="1084"/>
    <n v="21218"/>
    <s v="TRANSPARENTE"/>
    <n v="0"/>
    <n v="0"/>
    <n v="0"/>
    <n v="167.649"/>
    <n v="165.4"/>
    <n v="141"/>
    <n v="1173.049645390071"/>
    <x v="3"/>
    <x v="0"/>
    <n v="18"/>
    <n v="1"/>
    <n v="99.083333333333329"/>
  </r>
  <r>
    <d v="2025-04-29T08:46:00"/>
    <s v="INYECTADO"/>
    <x v="6"/>
    <x v="79"/>
    <s v="LUIS RENGIFO"/>
    <s v="SEGUNDA"/>
    <s v="."/>
    <s v="MIXTO"/>
    <x v="2"/>
    <s v="EMBUDO #2-AZUL"/>
    <n v="333"/>
    <n v="3"/>
    <n v="42.3"/>
    <s v="DIURNO"/>
    <n v="0"/>
    <n v="4"/>
    <n v="1090"/>
    <n v="21219"/>
    <s v="AZUL "/>
    <n v="9.5"/>
    <n v="0"/>
    <n v="0"/>
    <n v="11.654999999999999"/>
    <n v="42.3"/>
    <n v="35"/>
    <n v="1208.5714285714287"/>
    <x v="3"/>
    <x v="0"/>
    <n v="18"/>
    <n v="4"/>
    <n v="111"/>
  </r>
  <r>
    <d v="2025-04-29T08:46:00"/>
    <s v="INYECTADO"/>
    <x v="6"/>
    <x v="79"/>
    <s v="LUIS RENGIFO"/>
    <s v="SEGUNDA"/>
    <s v="."/>
    <s v="MIXTO"/>
    <x v="2"/>
    <s v="EMBUDO #2-FUCSIA"/>
    <n v="185"/>
    <n v="2"/>
    <n v="23.5"/>
    <s v="DIURNO"/>
    <n v="0"/>
    <n v="2"/>
    <n v="1090"/>
    <n v="21219"/>
    <s v="FUCSIA"/>
    <n v="4.3"/>
    <n v="0"/>
    <n v="0"/>
    <n v="6.4749999999999996"/>
    <n v="23.5"/>
    <n v="35"/>
    <n v="671.42857142857144"/>
    <x v="3"/>
    <x v="0"/>
    <n v="18"/>
    <n v="4"/>
    <n v="61.666666666666664"/>
  </r>
  <r>
    <d v="2025-04-29T08:46:00"/>
    <s v="INYECTADO"/>
    <x v="6"/>
    <x v="80"/>
    <s v="CRISALIDA ZAPATA"/>
    <s v="SEGUNDA"/>
    <s v="."/>
    <s v="MIXTO"/>
    <x v="2"/>
    <s v="EMBUDO #2-FUCSIA"/>
    <n v="134"/>
    <n v="2"/>
    <n v="17.5"/>
    <s v="DIURNO"/>
    <n v="0"/>
    <n v="2"/>
    <n v="1090"/>
    <n v="21220"/>
    <s v="FUCSIA"/>
    <n v="0"/>
    <n v="0"/>
    <n v="0"/>
    <n v="4.6900000000000004"/>
    <n v="17.5"/>
    <n v="35"/>
    <n v="500"/>
    <x v="3"/>
    <x v="0"/>
    <n v="18"/>
    <n v="4"/>
    <n v="44.666666666666664"/>
  </r>
  <r>
    <d v="2025-04-29T08:46:00"/>
    <s v="INYECTADO"/>
    <x v="6"/>
    <x v="80"/>
    <s v="CRISALIDA ZAPATA"/>
    <s v="SEGUNDA"/>
    <s v="."/>
    <s v="MIXTO"/>
    <x v="2"/>
    <s v="EMBUDO #2-LILA"/>
    <n v="335"/>
    <n v="4"/>
    <n v="44"/>
    <s v="DIURNO"/>
    <n v="0"/>
    <n v="4"/>
    <n v="1090"/>
    <n v="21220"/>
    <s v="LILA"/>
    <n v="0"/>
    <n v="0"/>
    <n v="0"/>
    <n v="11.725"/>
    <n v="44"/>
    <n v="35"/>
    <n v="1257.1428571428571"/>
    <x v="3"/>
    <x v="0"/>
    <n v="18"/>
    <n v="4"/>
    <n v="111.66666666666667"/>
  </r>
  <r>
    <d v="2025-04-29T08:46:00"/>
    <s v="INYECTADO"/>
    <x v="6"/>
    <x v="80"/>
    <s v="CRISALIDA ZAPATA"/>
    <s v="SEGUNDA"/>
    <s v="."/>
    <s v="MIXTO"/>
    <x v="2"/>
    <s v="EMBUDO #2-AMARILLO"/>
    <n v="332"/>
    <n v="3"/>
    <n v="43.6"/>
    <s v="DIURNO"/>
    <n v="0"/>
    <n v="4"/>
    <n v="1090"/>
    <n v="21220"/>
    <s v="AMARILLO"/>
    <n v="0"/>
    <n v="0"/>
    <n v="0"/>
    <n v="11.62"/>
    <n v="43.6"/>
    <n v="35"/>
    <n v="1245.7142857142858"/>
    <x v="3"/>
    <x v="0"/>
    <n v="18"/>
    <n v="4"/>
    <n v="110.66666666666667"/>
  </r>
  <r>
    <d v="2025-04-30T08:46:00"/>
    <s v="INYECTADO"/>
    <x v="2"/>
    <x v="70"/>
    <s v="LUIS PINEDO"/>
    <s v="VIRGEN"/>
    <s v="PP CLARIFICADO"/>
    <s v="."/>
    <x v="44"/>
    <s v="BASE ORGANIZADOR DE 5KG-TRANSPARENTE"/>
    <n v="453"/>
    <n v="5"/>
    <n v="100.1"/>
    <s v="DIURNO"/>
    <m/>
    <n v="13"/>
    <n v="1070"/>
    <n v="21065"/>
    <s v="TRANSPARENTE"/>
    <n v="10.35"/>
    <n v="0"/>
    <n v="0"/>
    <n v="86.07"/>
    <n v="100.1"/>
    <n v="190"/>
    <n v="526.84210526315792"/>
    <x v="3"/>
    <x v="0"/>
    <n v="16"/>
    <n v="1"/>
    <n v="37.75"/>
  </r>
  <r>
    <d v="2025-04-30T08:46:00"/>
    <s v="INYECTADO"/>
    <x v="2"/>
    <x v="70"/>
    <s v="LUIS PINEDO"/>
    <s v="VIRGEN"/>
    <s v="PP CLARIFICADO"/>
    <s v="."/>
    <x v="45"/>
    <s v="BASE ORGANIZADOR DE 5KG PASTEL-CELESTE"/>
    <n v="531"/>
    <n v="5"/>
    <n v="117.3"/>
    <s v="DIURNO"/>
    <m/>
    <n v="16"/>
    <n v="1070"/>
    <n v="21065"/>
    <s v="CELESTE"/>
    <n v="6.6"/>
    <n v="0"/>
    <n v="0"/>
    <n v="100.89"/>
    <n v="117.3"/>
    <n v="190"/>
    <n v="617.36842105263156"/>
    <x v="3"/>
    <x v="0"/>
    <n v="16"/>
    <n v="1"/>
    <n v="44.25"/>
  </r>
  <r>
    <d v="2025-04-30T08:46:00"/>
    <s v="INYECTADO"/>
    <x v="2"/>
    <x v="71"/>
    <s v="KARLA "/>
    <s v="VIRGEN"/>
    <s v="PP CLARIFICADO"/>
    <s v="."/>
    <x v="45"/>
    <s v="BASE ORGANIZADOR DE 5KG PASTEL-AZURE"/>
    <n v="511"/>
    <n v="5"/>
    <n v="109.8"/>
    <s v="DIURNO"/>
    <m/>
    <n v="15"/>
    <n v="1070"/>
    <n v="21066"/>
    <s v="AZURE"/>
    <n v="15"/>
    <n v="0"/>
    <n v="0"/>
    <n v="97.09"/>
    <n v="109.8"/>
    <n v="190"/>
    <n v="577.89473684210532"/>
    <x v="3"/>
    <x v="0"/>
    <n v="16"/>
    <n v="1"/>
    <n v="42.583333333333336"/>
  </r>
  <r>
    <d v="2025-04-30T08:46:00"/>
    <s v="INYECTADO"/>
    <x v="2"/>
    <x v="71"/>
    <s v="KARLA "/>
    <s v="VIRGEN"/>
    <s v="PP CLARIFICADO"/>
    <s v="."/>
    <x v="45"/>
    <s v="BASE ORGANIZADOR DE 5KG PASTEL-ROSADO"/>
    <n v="121"/>
    <n v="1"/>
    <n v="25.1"/>
    <s v="DIURNO"/>
    <m/>
    <n v="3"/>
    <n v="1070"/>
    <n v="21066"/>
    <s v="ROSADO"/>
    <n v="0"/>
    <n v="0"/>
    <n v="0"/>
    <n v="22.99"/>
    <n v="25.1"/>
    <n v="190"/>
    <n v="132.10526315789474"/>
    <x v="3"/>
    <x v="0"/>
    <n v="16"/>
    <n v="1"/>
    <n v="10.083333333333334"/>
  </r>
  <r>
    <d v="2025-04-30T08:46:00"/>
    <s v="INYECTADO"/>
    <x v="2"/>
    <x v="72"/>
    <s v="SAID VILLAMIZAR"/>
    <s v="VIRGEN"/>
    <s v="PP CLARIFICADO"/>
    <s v="."/>
    <x v="45"/>
    <s v="BASE ORGANIZADOR DE 5KG PASTEL-ROSADO"/>
    <n v="381"/>
    <n v="4"/>
    <n v="81.3"/>
    <s v="DIURNO"/>
    <m/>
    <n v="11"/>
    <n v="1070"/>
    <n v="21067"/>
    <s v="ROSADO"/>
    <n v="7"/>
    <n v="0"/>
    <n v="0"/>
    <n v="72.39"/>
    <n v="81.3"/>
    <n v="190"/>
    <n v="427.89473684210526"/>
    <x v="3"/>
    <x v="0"/>
    <n v="16"/>
    <n v="1"/>
    <n v="31.75"/>
  </r>
  <r>
    <d v="2025-04-30T08:46:00"/>
    <s v="INYECTADO"/>
    <x v="2"/>
    <x v="72"/>
    <s v="SAID VILLAMIZAR"/>
    <s v="VIRGEN"/>
    <s v="PP CLARIFICADO"/>
    <s v="."/>
    <x v="45"/>
    <s v="BASE ORGANIZADOR DE 5KG PASTEL-LILA"/>
    <n v="504"/>
    <n v="5"/>
    <n v="107.8"/>
    <s v="DIURNO"/>
    <m/>
    <n v="14"/>
    <n v="1070"/>
    <n v="21067"/>
    <s v="LILA"/>
    <n v="5.7"/>
    <n v="0"/>
    <n v="0"/>
    <n v="95.76"/>
    <n v="107.8"/>
    <n v="190"/>
    <n v="567.36842105263156"/>
    <x v="3"/>
    <x v="0"/>
    <n v="16"/>
    <n v="1"/>
    <n v="42"/>
  </r>
  <r>
    <d v="2025-04-30T08:46:00"/>
    <s v="INYECTADO"/>
    <x v="2"/>
    <x v="72"/>
    <s v="SAID VILLAMIZAR"/>
    <s v="VIRGEN"/>
    <s v="PP CLARIFICADO"/>
    <s v="."/>
    <x v="45"/>
    <s v="BASE ORGANIZADOR DE 5KG PASTEL-TURQUESA"/>
    <n v="47"/>
    <n v="1"/>
    <n v="9"/>
    <s v="DIURNO"/>
    <m/>
    <n v="1"/>
    <n v="1070"/>
    <n v="21067"/>
    <s v="TURQUESA"/>
    <n v="0"/>
    <n v="0"/>
    <n v="0"/>
    <n v="8.93"/>
    <n v="9"/>
    <n v="190"/>
    <n v="47.368421052631582"/>
    <x v="3"/>
    <x v="0"/>
    <n v="16"/>
    <n v="1"/>
    <n v="3.9166666666666665"/>
  </r>
  <r>
    <d v="2025-04-30T08:46:00"/>
    <s v="INYECTADO"/>
    <x v="2"/>
    <x v="72"/>
    <s v="GABRIEL REQUENA"/>
    <s v="VIRGEN"/>
    <s v="PP CLARIFICADO"/>
    <s v="."/>
    <x v="45"/>
    <s v="BASE ORGANIZADOR DE 5KG PASTEL-TURQUESA"/>
    <n v="430"/>
    <n v="5"/>
    <n v="92.9"/>
    <s v="DIURNO"/>
    <m/>
    <n v="11"/>
    <n v="1070"/>
    <n v="21068"/>
    <s v="TURQUESA"/>
    <n v="17.7"/>
    <n v="0"/>
    <n v="0"/>
    <n v="81.7"/>
    <n v="92.9"/>
    <n v="190"/>
    <n v="488.94736842105266"/>
    <x v="3"/>
    <x v="0"/>
    <n v="16"/>
    <n v="1"/>
    <n v="35.833333333333336"/>
  </r>
  <r>
    <d v="2025-04-30T08:46:00"/>
    <s v="INYECTADO"/>
    <x v="2"/>
    <x v="72"/>
    <s v="GABRIEL REQUENA"/>
    <s v="VIRGEN"/>
    <s v="PP CLARIFICADO"/>
    <s v="."/>
    <x v="45"/>
    <s v="BASE ORGANIZADOR DE 5KG PASTEL-SANDIA"/>
    <n v="214"/>
    <n v="3"/>
    <n v="45.8"/>
    <s v="DIURNO"/>
    <m/>
    <n v="5"/>
    <n v="1070"/>
    <n v="21068"/>
    <s v="SANDIA"/>
    <n v="13.1"/>
    <n v="0"/>
    <n v="0"/>
    <n v="40.659999999999997"/>
    <n v="45.8"/>
    <n v="190"/>
    <n v="241.05263157894737"/>
    <x v="3"/>
    <x v="0"/>
    <n v="16"/>
    <n v="1"/>
    <n v="17.833333333333332"/>
  </r>
  <r>
    <d v="2025-04-30T08:46:00"/>
    <s v="INYECTADO"/>
    <x v="2"/>
    <x v="72"/>
    <s v="GABRIEL REQUENA"/>
    <s v="VIRGEN"/>
    <s v="PP CLARIFICADO"/>
    <s v="."/>
    <x v="44"/>
    <s v="BASE ORGANIZADOR DE 5KG-TRANSPARENTE"/>
    <n v="279"/>
    <n v="3"/>
    <n v="60.2"/>
    <s v="DIURNO"/>
    <m/>
    <n v="5"/>
    <n v="1070"/>
    <n v="21068"/>
    <s v="TRANSPARENTE"/>
    <n v="13"/>
    <n v="0"/>
    <n v="0"/>
    <n v="53.01"/>
    <n v="60.2"/>
    <n v="190"/>
    <n v="316.84210526315792"/>
    <x v="3"/>
    <x v="0"/>
    <n v="16"/>
    <n v="1"/>
    <n v="23.25"/>
  </r>
  <r>
    <d v="2025-04-30T08:46:00"/>
    <s v="INYECTADO"/>
    <x v="2"/>
    <x v="73"/>
    <s v="ISABEL LINARIZ "/>
    <s v="VIRGEN"/>
    <s v="PP CLARIFICADO"/>
    <s v="."/>
    <x v="44"/>
    <s v="BASE ORGANIZADOR DE 5KG-TRANSPARENTE"/>
    <n v="709"/>
    <n v="9"/>
    <n v="169.1"/>
    <s v="DIURNO"/>
    <m/>
    <n v="22"/>
    <n v="1070"/>
    <n v="21069"/>
    <s v="TRANSPARENTE"/>
    <n v="4.2"/>
    <n v="0"/>
    <n v="0"/>
    <n v="134.71"/>
    <n v="169.1"/>
    <n v="190"/>
    <n v="890"/>
    <x v="3"/>
    <x v="0"/>
    <n v="17"/>
    <n v="1"/>
    <n v="59.083333333333336"/>
  </r>
  <r>
    <d v="2025-04-30T08:46:00"/>
    <s v="INYECTADO"/>
    <x v="2"/>
    <x v="60"/>
    <s v="LUIS PINEDO"/>
    <s v="VIRGEN"/>
    <s v="PP CLARIFICADO"/>
    <s v="."/>
    <x v="45"/>
    <s v="BASE ORGANIZADOR DE 5KG PASTEL-SANDIA"/>
    <n v="72"/>
    <n v="1"/>
    <n v="15.9"/>
    <s v="DIURNO"/>
    <m/>
    <n v="2"/>
    <n v="1070"/>
    <n v="21070"/>
    <s v="SANDIA"/>
    <n v="0"/>
    <n v="0"/>
    <n v="0"/>
    <n v="13.68"/>
    <n v="15.9"/>
    <n v="190"/>
    <n v="83.684210526315795"/>
    <x v="3"/>
    <x v="0"/>
    <n v="17"/>
    <n v="1"/>
    <n v="6"/>
  </r>
  <r>
    <d v="2025-04-30T08:46:00"/>
    <s v="INYECTADO"/>
    <x v="2"/>
    <x v="60"/>
    <s v="ROSA MERINO"/>
    <s v="VIRGEN"/>
    <s v="PP CLARIFICADO"/>
    <s v="."/>
    <x v="45"/>
    <s v="BASE ORGANIZADOR DE 5KG PASTEL-SANDIA"/>
    <n v="252"/>
    <n v="3"/>
    <n v="61.7"/>
    <s v="DIURNO"/>
    <m/>
    <n v="7"/>
    <n v="1070"/>
    <n v="21071"/>
    <s v="SANDIA"/>
    <n v="4.0999999999999996"/>
    <n v="0"/>
    <n v="0"/>
    <n v="47.88"/>
    <n v="61.7"/>
    <n v="190"/>
    <n v="324.73684210526318"/>
    <x v="3"/>
    <x v="0"/>
    <n v="17"/>
    <n v="1"/>
    <n v="21"/>
  </r>
  <r>
    <d v="2025-04-30T08:46:00"/>
    <s v="INYECTADO"/>
    <x v="2"/>
    <x v="60"/>
    <s v="ROSA MERINO"/>
    <s v="VIRGEN"/>
    <s v="PP CLARIFICADO"/>
    <s v="."/>
    <x v="45"/>
    <s v="BASE ORGANIZADOR DE 5KG PASTEL-TURQUESA"/>
    <n v="72"/>
    <n v="1"/>
    <n v="17.600000000000001"/>
    <s v="DIURNO"/>
    <m/>
    <n v="2"/>
    <n v="1070"/>
    <n v="21071"/>
    <s v="TURQUESA"/>
    <n v="2"/>
    <n v="0"/>
    <n v="0"/>
    <n v="13.68"/>
    <n v="17.600000000000001"/>
    <n v="190"/>
    <n v="92.631578947368425"/>
    <x v="3"/>
    <x v="0"/>
    <n v="17"/>
    <n v="1"/>
    <n v="6"/>
  </r>
  <r>
    <d v="2025-04-30T08:46:00"/>
    <s v="INYECTADO"/>
    <x v="2"/>
    <x v="75"/>
    <s v="LUIS RENGIFO"/>
    <s v="VIRGEN"/>
    <s v="PP CLARIFICADO"/>
    <s v="."/>
    <x v="11"/>
    <s v="LAVACUELA REDONDO-TURQUESA"/>
    <n v="601"/>
    <n v="5"/>
    <n v="56.5"/>
    <s v="DIURNO"/>
    <m/>
    <n v="5"/>
    <n v="1082"/>
    <n v="21072"/>
    <s v="TURQUESA"/>
    <n v="0"/>
    <n v="0"/>
    <n v="0"/>
    <n v="55.592500000000001"/>
    <n v="56.5"/>
    <n v="92.5"/>
    <n v="610.81081081081084"/>
    <x v="3"/>
    <x v="0"/>
    <n v="17"/>
    <n v="1"/>
    <n v="50.083333333333336"/>
  </r>
  <r>
    <d v="2025-04-30T08:46:00"/>
    <s v="INYECTADO"/>
    <x v="2"/>
    <x v="75"/>
    <s v="ROSA MERINO"/>
    <s v="VIRGEN"/>
    <s v="PP CLARIFICADO"/>
    <s v="."/>
    <x v="11"/>
    <s v="LAVACUELA REDONDO-TURQUESA"/>
    <n v="440"/>
    <n v="4"/>
    <n v="41.8"/>
    <s v="DIURNO"/>
    <m/>
    <n v="4"/>
    <n v="1082"/>
    <n v="21073"/>
    <s v="TURQUESA"/>
    <n v="4.5999999999999996"/>
    <n v="0"/>
    <n v="0"/>
    <n v="40.700000000000003"/>
    <n v="41.8"/>
    <n v="92.5"/>
    <n v="451.89189189189187"/>
    <x v="3"/>
    <x v="0"/>
    <n v="17"/>
    <n v="1"/>
    <n v="36.666666666666664"/>
  </r>
  <r>
    <d v="2025-04-30T08:46:00"/>
    <s v="INYECTADO"/>
    <x v="2"/>
    <x v="76"/>
    <s v="GABRIEL REQUENA"/>
    <s v="VIRGEN"/>
    <s v="PP CLARIFICADO"/>
    <s v="."/>
    <x v="11"/>
    <s v="LAVACUELA REDONDO-TURQUESA"/>
    <n v="42"/>
    <n v="1"/>
    <n v="4"/>
    <s v="DIURNO"/>
    <m/>
    <n v="5"/>
    <n v="1082"/>
    <n v="21074"/>
    <s v="TURQUESA"/>
    <n v="3.7"/>
    <n v="0"/>
    <n v="0"/>
    <n v="3.8849999999999998"/>
    <n v="4"/>
    <n v="92.5"/>
    <n v="43.243243243243242"/>
    <x v="3"/>
    <x v="0"/>
    <n v="17"/>
    <n v="1"/>
    <n v="3.5"/>
  </r>
  <r>
    <d v="2025-04-30T08:46:00"/>
    <s v="INYECTADO"/>
    <x v="2"/>
    <x v="76"/>
    <s v="GABRIEL REQUENA"/>
    <s v="VIRGEN"/>
    <s v="PP CLARIFICADO"/>
    <s v="."/>
    <x v="11"/>
    <s v="LAVACUELA REDONDO-CREMA"/>
    <n v="762"/>
    <n v="9"/>
    <n v="71.7"/>
    <s v="DIURNO"/>
    <m/>
    <n v="1"/>
    <n v="1082"/>
    <n v="21074"/>
    <s v="CREMA"/>
    <n v="5.4"/>
    <n v="0"/>
    <n v="0"/>
    <n v="70.484999999999999"/>
    <n v="71.7"/>
    <n v="92.5"/>
    <n v="775.1351351351351"/>
    <x v="3"/>
    <x v="0"/>
    <n v="17"/>
    <n v="1"/>
    <n v="63.5"/>
  </r>
  <r>
    <d v="2025-04-30T08:46:00"/>
    <s v="INYECTADO"/>
    <x v="2"/>
    <x v="77"/>
    <s v="GABRIEL REQUENA"/>
    <s v="VIRGEN"/>
    <s v="PP CLARIFICADO"/>
    <s v="."/>
    <x v="11"/>
    <s v="LAVACUELA REDONDO-CREMA"/>
    <n v="194"/>
    <n v="2"/>
    <n v="18.100000000000001"/>
    <s v="DIURNO"/>
    <m/>
    <n v="2"/>
    <n v="1082"/>
    <n v="21075"/>
    <s v="CREMA"/>
    <n v="7"/>
    <n v="0"/>
    <n v="0"/>
    <n v="17.945"/>
    <n v="18.100000000000001"/>
    <n v="92.5"/>
    <n v="195.67567567567568"/>
    <x v="3"/>
    <x v="0"/>
    <n v="17"/>
    <n v="1"/>
    <n v="16.166666666666668"/>
  </r>
  <r>
    <d v="2025-04-30T08:46:00"/>
    <s v="INYECTADO"/>
    <x v="2"/>
    <x v="77"/>
    <s v="GABRIEL REQUENA"/>
    <s v="VIRGEN"/>
    <s v="PP CLARIFICADO"/>
    <s v="."/>
    <x v="11"/>
    <s v="LAVACUELA REDONDO-VERDE"/>
    <n v="474"/>
    <n v="4"/>
    <n v="45.1"/>
    <s v="DIURNO"/>
    <m/>
    <n v="4"/>
    <n v="1082"/>
    <n v="21075"/>
    <s v="VERDE"/>
    <n v="0.8"/>
    <n v="0"/>
    <n v="0"/>
    <n v="43.844999999999999"/>
    <n v="45.1"/>
    <n v="92.5"/>
    <n v="487.56756756756755"/>
    <x v="3"/>
    <x v="0"/>
    <n v="17"/>
    <n v="1"/>
    <n v="39.5"/>
  </r>
  <r>
    <d v="2025-04-30T08:46:00"/>
    <s v="INYECTADO"/>
    <x v="2"/>
    <x v="78"/>
    <s v="ANTHONY "/>
    <s v="VIRGEN"/>
    <s v="PP CLARIFICADO"/>
    <s v="."/>
    <x v="11"/>
    <s v="LAVACUELA REDONDO-VERDE"/>
    <n v="573"/>
    <n v="6"/>
    <n v="53.9"/>
    <s v="DIURNO"/>
    <m/>
    <n v="6"/>
    <n v="1082"/>
    <n v="21026"/>
    <s v="VERDE"/>
    <n v="1.2"/>
    <n v="0"/>
    <n v="0"/>
    <n v="53.002499999999998"/>
    <n v="53.9"/>
    <n v="92.5"/>
    <n v="582.70270270270271"/>
    <x v="3"/>
    <x v="0"/>
    <n v="18"/>
    <n v="1"/>
    <n v="47.75"/>
  </r>
  <r>
    <d v="2025-04-30T08:46:00"/>
    <s v="INYECTADO"/>
    <x v="2"/>
    <x v="78"/>
    <s v="ANTHONY "/>
    <s v="VIRGEN"/>
    <s v="PP CLARIFICADO"/>
    <s v="."/>
    <x v="11"/>
    <s v="LAVACUELA REDONDO-ROSADO"/>
    <n v="480"/>
    <n v="4"/>
    <n v="45.2"/>
    <s v="DIURNO"/>
    <m/>
    <n v="4"/>
    <n v="1082"/>
    <n v="21076"/>
    <s v="ROSADO"/>
    <n v="5.7"/>
    <n v="0"/>
    <n v="0"/>
    <n v="44.4"/>
    <n v="45.2"/>
    <n v="92.5"/>
    <n v="488.64864864864865"/>
    <x v="3"/>
    <x v="0"/>
    <n v="18"/>
    <n v="1"/>
    <n v="40"/>
  </r>
  <r>
    <d v="2025-04-30T08:46:00"/>
    <s v="INYECTADO"/>
    <x v="2"/>
    <x v="78"/>
    <s v="JUAN MANUEL PEREZ"/>
    <s v="VIRGEN"/>
    <s v="PP CLARIFICADO"/>
    <s v="."/>
    <x v="11"/>
    <s v="LAVACUELA REDONDO-MELON"/>
    <n v="720"/>
    <n v="7"/>
    <n v="68.400000000000006"/>
    <s v="DIURNO"/>
    <m/>
    <n v="6"/>
    <n v="1082"/>
    <n v="21077"/>
    <s v="MELON"/>
    <n v="1.2"/>
    <n v="0"/>
    <n v="0"/>
    <n v="66.599999999999994"/>
    <n v="68.400000000000006"/>
    <n v="92.5"/>
    <n v="739.45945945945948"/>
    <x v="3"/>
    <x v="0"/>
    <n v="18"/>
    <n v="1"/>
    <n v="60"/>
  </r>
  <r>
    <d v="2025-04-30T08:46:00"/>
    <s v="INYECTADO"/>
    <x v="2"/>
    <x v="78"/>
    <s v="JUAN MANUEL PEREZ"/>
    <s v="VIRGEN"/>
    <s v="PP CLARIFICADO"/>
    <s v="."/>
    <x v="11"/>
    <s v="LAVACUELA REDONDO-ROSADO"/>
    <n v="571"/>
    <n v="5"/>
    <n v="54.3"/>
    <s v="DIURNO"/>
    <m/>
    <n v="5"/>
    <n v="1082"/>
    <n v="21077"/>
    <s v="ROSADO"/>
    <n v="3.6"/>
    <n v="0"/>
    <n v="0"/>
    <n v="52.817500000000003"/>
    <n v="54.3"/>
    <n v="92.5"/>
    <n v="587.02702702702697"/>
    <x v="3"/>
    <x v="0"/>
    <n v="18"/>
    <n v="1"/>
    <n v="47.583333333333336"/>
  </r>
  <r>
    <d v="2025-04-30T08:46:00"/>
    <s v="INYECTADO"/>
    <x v="2"/>
    <x v="79"/>
    <s v="CRISALIDA ZAPATA"/>
    <s v="VIRGEN"/>
    <s v="PP CLARIFICADO"/>
    <s v="."/>
    <x v="11"/>
    <s v="LAVACUELA REDONDO-MELON"/>
    <n v="286"/>
    <n v="3"/>
    <n v="26.9"/>
    <s v="DIURNO"/>
    <m/>
    <n v="3"/>
    <n v="1082"/>
    <n v="21078"/>
    <s v="MELON"/>
    <n v="4.7"/>
    <n v="0"/>
    <n v="0"/>
    <n v="26.454999999999998"/>
    <n v="26.9"/>
    <n v="92.5"/>
    <n v="290.81081081081084"/>
    <x v="3"/>
    <x v="0"/>
    <n v="18"/>
    <n v="1"/>
    <n v="23.833333333333332"/>
  </r>
  <r>
    <d v="2025-04-30T08:46:00"/>
    <s v="INYECTADO"/>
    <x v="2"/>
    <x v="79"/>
    <s v="CRISALIDA ZAPATA"/>
    <s v="VIRGEN"/>
    <s v="PP CLARIFICADO"/>
    <s v="."/>
    <x v="11"/>
    <s v="LAVACUELA REDONDO-LILA"/>
    <n v="876"/>
    <n v="8"/>
    <n v="82.4"/>
    <s v="DIURNO"/>
    <m/>
    <n v="8"/>
    <n v="1082"/>
    <n v="21078"/>
    <s v="LILA"/>
    <n v="1.9"/>
    <n v="0"/>
    <n v="0"/>
    <n v="81.03"/>
    <n v="82.4"/>
    <n v="92.5"/>
    <n v="890.81081081081084"/>
    <x v="3"/>
    <x v="0"/>
    <n v="18"/>
    <n v="1"/>
    <n v="73"/>
  </r>
  <r>
    <d v="2025-04-30T08:46:00"/>
    <s v="INYECTADO"/>
    <x v="2"/>
    <x v="80"/>
    <s v="NELSON PINEDO"/>
    <s v="VIRGEN"/>
    <s v="PP CLARIFICADO"/>
    <s v="."/>
    <x v="11"/>
    <s v="LAVACUELA REDONDO-LILA"/>
    <n v="161"/>
    <n v="2"/>
    <n v="15.2"/>
    <s v="DIURNO"/>
    <m/>
    <n v="2"/>
    <n v="1082"/>
    <n v="21079"/>
    <s v="LILA"/>
    <n v="1.8"/>
    <n v="0"/>
    <n v="0"/>
    <n v="14.8925"/>
    <n v="15.2"/>
    <n v="92.5"/>
    <n v="164.32432432432432"/>
    <x v="3"/>
    <x v="0"/>
    <n v="18"/>
    <n v="1"/>
    <n v="13.416666666666666"/>
  </r>
  <r>
    <d v="2025-04-30T08:46:00"/>
    <s v="INYECTADO"/>
    <x v="2"/>
    <x v="80"/>
    <s v="NELSON PINEDO"/>
    <s v="SEGUNDA"/>
    <s v="."/>
    <s v="MIXTO"/>
    <x v="16"/>
    <s v="COLADOR HOGAR SOLIDO#4-ROJO"/>
    <n v="436"/>
    <n v="4"/>
    <n v="50.2"/>
    <s v="DIURNO"/>
    <m/>
    <n v="3"/>
    <n v="1082"/>
    <n v="21079"/>
    <s v="ROJO"/>
    <n v="4.9000000000000004"/>
    <n v="0"/>
    <n v="0"/>
    <n v="47.96"/>
    <n v="50.2"/>
    <n v="110"/>
    <n v="456.36363636363637"/>
    <x v="3"/>
    <x v="0"/>
    <n v="18"/>
    <n v="1"/>
    <n v="36.333333333333336"/>
  </r>
  <r>
    <d v="2025-04-30T08:46:00"/>
    <s v="INYECTADO"/>
    <x v="2"/>
    <x v="80"/>
    <s v="NELSON PINEDO"/>
    <s v="SEGUNDA"/>
    <s v="."/>
    <s v="MIXTO"/>
    <x v="16"/>
    <s v="COLADOR HOGAR SOLIDO#4-ANARANJADO"/>
    <n v="130"/>
    <n v="2"/>
    <n v="15"/>
    <s v="DIURNO"/>
    <m/>
    <n v="1"/>
    <n v="1082"/>
    <n v="21079"/>
    <s v="ANARANJADO"/>
    <n v="1.8"/>
    <n v="0"/>
    <n v="0"/>
    <n v="14.3"/>
    <n v="15"/>
    <n v="110"/>
    <n v="136.36363636363637"/>
    <x v="3"/>
    <x v="0"/>
    <n v="18"/>
    <n v="1"/>
    <n v="10.833333333333334"/>
  </r>
  <r>
    <d v="2025-04-30T08:46:00"/>
    <s v="INYECTADO"/>
    <x v="2"/>
    <x v="80"/>
    <s v="JUAN MANUEL PEREZ"/>
    <s v="SEGUNDA"/>
    <s v="."/>
    <s v="MIXTO"/>
    <x v="16"/>
    <s v="COLADOR HOGAR SOLIDO#4-ANARANJADO"/>
    <n v="277"/>
    <n v="2"/>
    <n v="31.9"/>
    <s v="DIURNO"/>
    <m/>
    <n v="2"/>
    <n v="1082"/>
    <n v="21080"/>
    <s v="ANARANJADO"/>
    <n v="3.7"/>
    <n v="0"/>
    <n v="0"/>
    <n v="30.47"/>
    <n v="31.9"/>
    <n v="110"/>
    <n v="290"/>
    <x v="3"/>
    <x v="0"/>
    <n v="18"/>
    <n v="1"/>
    <n v="23.083333333333332"/>
  </r>
  <r>
    <d v="2025-04-30T08:46:00"/>
    <s v="INYECTADO"/>
    <x v="2"/>
    <x v="80"/>
    <s v="JUAN MANUEL PEREZ"/>
    <s v="VIRGEN"/>
    <s v="PP CLARIFICADO"/>
    <s v="."/>
    <x v="16"/>
    <s v="COLADOR HOGAR SOLIDO#4-CREMA"/>
    <n v="429"/>
    <n v="4"/>
    <n v="50.1"/>
    <s v="DIURNO"/>
    <m/>
    <n v="3"/>
    <n v="1082"/>
    <n v="21080"/>
    <s v="CREMA"/>
    <n v="0"/>
    <n v="0"/>
    <n v="0"/>
    <n v="47.19"/>
    <n v="50.1"/>
    <n v="110"/>
    <n v="455.45454545454544"/>
    <x v="3"/>
    <x v="0"/>
    <n v="18"/>
    <n v="1"/>
    <n v="35.75"/>
  </r>
  <r>
    <d v="2025-04-30T08:46:00"/>
    <s v="INYECTADO"/>
    <x v="2"/>
    <x v="80"/>
    <s v="JUAN MANUEL PEREZ"/>
    <s v="SEGUNDA"/>
    <s v="."/>
    <s v="MIXTO"/>
    <x v="16"/>
    <s v="COLADOR HOGAR SOLIDO#4-AZURE"/>
    <n v="300"/>
    <n v="4"/>
    <n v="35"/>
    <s v="DIURNO"/>
    <m/>
    <n v="2"/>
    <n v="1082"/>
    <n v="21080"/>
    <s v="CELESTE"/>
    <n v="0"/>
    <n v="0"/>
    <n v="0"/>
    <n v="33"/>
    <n v="35"/>
    <n v="110"/>
    <n v="318.18181818181819"/>
    <x v="3"/>
    <x v="0"/>
    <n v="18"/>
    <n v="1"/>
    <n v="25"/>
  </r>
  <r>
    <d v="2025-04-30T08:46:00"/>
    <s v="INYECTADO"/>
    <x v="3"/>
    <x v="74"/>
    <s v="LUIS RENGIFO"/>
    <s v="VIRGEN"/>
    <s v="PP CLARIFICADO"/>
    <s v="."/>
    <x v="15"/>
    <s v="VASO MUNDO MANZANITA CARAMELO-AMARILLO"/>
    <n v="501"/>
    <n v="4"/>
    <n v="65.7"/>
    <s v="DIURNO"/>
    <m/>
    <n v="7"/>
    <n v="1078"/>
    <n v="18765"/>
    <s v="AMARILLO"/>
    <n v="2"/>
    <n v="0"/>
    <n v="0"/>
    <n v="11.022"/>
    <n v="65.7"/>
    <n v="22"/>
    <n v="2986.3636363636365"/>
    <x v="3"/>
    <x v="0"/>
    <n v="17"/>
    <n v="6"/>
    <n v="250.5"/>
  </r>
  <r>
    <d v="2025-04-30T08:46:00"/>
    <s v="INYECTADO"/>
    <x v="3"/>
    <x v="60"/>
    <s v="GABRIEL REQUENA"/>
    <s v="VIRGEN"/>
    <s v="PP CLARIFICADO"/>
    <s v="."/>
    <x v="15"/>
    <s v="VASO MUNDO MANZANITA CARAMELO-AMARILLO"/>
    <n v="284"/>
    <n v="2"/>
    <n v="37.299999999999997"/>
    <s v="DIURNO"/>
    <m/>
    <n v="4"/>
    <n v="1078"/>
    <n v="18766"/>
    <s v="AMARILLO"/>
    <n v="0"/>
    <n v="0"/>
    <n v="0"/>
    <n v="6.2480000000000002"/>
    <n v="37.299999999999997"/>
    <n v="22"/>
    <n v="1695.4545454545455"/>
    <x v="3"/>
    <x v="0"/>
    <n v="17"/>
    <n v="6"/>
    <n v="142"/>
  </r>
  <r>
    <d v="2025-04-30T08:46:00"/>
    <s v="INYECTADO"/>
    <x v="3"/>
    <x v="60"/>
    <s v="GABRIEL REQUENA"/>
    <s v="VIRGEN"/>
    <s v="PP CLARIFICADO"/>
    <s v="."/>
    <x v="15"/>
    <s v="VASO MUNDO MANZANITA CARAMELO-VERDE"/>
    <n v="529"/>
    <n v="5"/>
    <n v="69.3"/>
    <s v="DIURNO"/>
    <m/>
    <n v="7"/>
    <n v="1078"/>
    <n v="18766"/>
    <s v="VERDE"/>
    <n v="0"/>
    <n v="0"/>
    <n v="0"/>
    <n v="11.638"/>
    <n v="69.3"/>
    <n v="22"/>
    <n v="3150"/>
    <x v="3"/>
    <x v="0"/>
    <n v="17"/>
    <n v="6"/>
    <n v="264.5"/>
  </r>
  <r>
    <d v="2025-04-30T08:46:00"/>
    <s v="INYECTADO"/>
    <x v="3"/>
    <x v="75"/>
    <s v="GABRIEL ORDAZ"/>
    <s v="VIRGEN"/>
    <s v="PP CLARIFICADO"/>
    <s v="."/>
    <x v="15"/>
    <s v="VASO MUNDO MANZANITA CARAMELO-VERDE"/>
    <n v="196"/>
    <n v="2"/>
    <n v="25.8"/>
    <s v="DIURNO"/>
    <m/>
    <n v="2"/>
    <n v="1078"/>
    <n v="18767"/>
    <s v="VERDE"/>
    <n v="0.8"/>
    <n v="0"/>
    <n v="0"/>
    <n v="4.3120000000000003"/>
    <n v="25.8"/>
    <n v="22"/>
    <n v="1172.7272727272727"/>
    <x v="3"/>
    <x v="0"/>
    <n v="17"/>
    <n v="6"/>
    <n v="98"/>
  </r>
  <r>
    <d v="2025-04-30T08:46:00"/>
    <s v="INYECTADO"/>
    <x v="3"/>
    <x v="75"/>
    <s v="GABRIEL ORDAZ"/>
    <s v="VIRGEN"/>
    <s v="PP CLARIFICADO"/>
    <s v="."/>
    <x v="15"/>
    <s v="VASO MUNDO MANZANITA CARAMELO-ANARANJADO"/>
    <n v="538"/>
    <n v="5"/>
    <n v="71.099999999999994"/>
    <s v="DIURNO"/>
    <m/>
    <n v="7"/>
    <n v="1078"/>
    <n v="18767"/>
    <s v="ANARANJADO"/>
    <n v="3.5"/>
    <n v="0"/>
    <n v="0"/>
    <n v="11.836"/>
    <n v="71.099999999999994"/>
    <n v="22"/>
    <n v="3231.818181818182"/>
    <x v="3"/>
    <x v="0"/>
    <n v="17"/>
    <n v="6"/>
    <n v="269"/>
  </r>
  <r>
    <d v="2025-04-30T08:46:00"/>
    <s v="INYECTADO"/>
    <x v="3"/>
    <x v="77"/>
    <s v="LUIS PINEDO"/>
    <s v="VIRGEN"/>
    <s v="PP CLARIFICADO"/>
    <s v="."/>
    <x v="15"/>
    <s v="VASO MUNDO MANZANITA CARAMELO-ANARANJADO"/>
    <n v="246"/>
    <n v="3"/>
    <n v="32.1"/>
    <s v="DIURNO"/>
    <m/>
    <n v="4"/>
    <n v="1078"/>
    <n v="18768"/>
    <s v="ANARANJADO"/>
    <n v="3.5"/>
    <n v="0"/>
    <n v="0"/>
    <n v="5.4119999999999999"/>
    <n v="32.1"/>
    <n v="22"/>
    <n v="1459.090909090909"/>
    <x v="3"/>
    <x v="0"/>
    <n v="17"/>
    <n v="6"/>
    <n v="123"/>
  </r>
  <r>
    <d v="2025-04-30T08:46:00"/>
    <s v="INYECTADO"/>
    <x v="3"/>
    <x v="77"/>
    <s v="LUIS PINEDO"/>
    <s v="VIRGEN"/>
    <s v="PP CLARIFICADO"/>
    <s v="."/>
    <x v="15"/>
    <s v="VASO MUNDO MANZANITA CARAMELO-FUCSIA"/>
    <n v="640"/>
    <n v="7"/>
    <n v="83.9"/>
    <s v="DIURNO"/>
    <m/>
    <n v="9"/>
    <n v="1078"/>
    <n v="18768"/>
    <s v="FUCSIA"/>
    <n v="1.3"/>
    <n v="0"/>
    <n v="0"/>
    <n v="14.08"/>
    <n v="83.9"/>
    <n v="22"/>
    <n v="3813.6363636363635"/>
    <x v="3"/>
    <x v="0"/>
    <n v="17"/>
    <n v="6"/>
    <n v="320"/>
  </r>
  <r>
    <d v="2025-04-30T08:46:00"/>
    <s v="INYECTADO"/>
    <x v="3"/>
    <x v="77"/>
    <s v="JUAN MANUEL PEREZ"/>
    <s v="VIRGEN"/>
    <s v="PP CLARIFICADO"/>
    <s v="."/>
    <x v="15"/>
    <s v="VASO MUNDO MANZANITA CARAMELO-FUCSIA"/>
    <n v="83"/>
    <n v="1"/>
    <n v="11"/>
    <s v="DIURNO"/>
    <m/>
    <n v="2"/>
    <n v="1078"/>
    <n v="18769"/>
    <s v="FUCSIA"/>
    <n v="2.1"/>
    <n v="0"/>
    <n v="0"/>
    <n v="1.8260000000000001"/>
    <n v="11"/>
    <n v="22"/>
    <n v="500"/>
    <x v="3"/>
    <x v="0"/>
    <n v="17"/>
    <n v="6"/>
    <n v="41.5"/>
  </r>
  <r>
    <d v="2025-04-30T08:46:00"/>
    <s v="INYECTADO"/>
    <x v="3"/>
    <x v="77"/>
    <s v="JUAN MANUEL PEREZ"/>
    <s v="VIRGEN"/>
    <s v="PP CLARIFICADO"/>
    <s v="."/>
    <x v="15"/>
    <s v="VASO MUNDO MANZANITA CARAMELO-LILA"/>
    <n v="782"/>
    <n v="8"/>
    <n v="102.5"/>
    <s v="DIURNO"/>
    <m/>
    <n v="11"/>
    <n v="1078"/>
    <n v="18769"/>
    <s v="LILA"/>
    <n v="3.5"/>
    <n v="0"/>
    <n v="0"/>
    <n v="17.204000000000001"/>
    <n v="102.5"/>
    <n v="22"/>
    <n v="4659.090909090909"/>
    <x v="3"/>
    <x v="0"/>
    <n v="17"/>
    <n v="6"/>
    <n v="391"/>
  </r>
  <r>
    <d v="2025-04-30T08:46:00"/>
    <s v="INYECTADO"/>
    <x v="3"/>
    <x v="77"/>
    <s v="JUAN MANUEL PEREZ"/>
    <s v="VIRGEN"/>
    <s v="PP CLARIFICADO"/>
    <s v="."/>
    <x v="15"/>
    <s v="VASO MUNDO MANZANITA CARAMELO-AZUL"/>
    <n v="97"/>
    <n v="1"/>
    <n v="12.8"/>
    <s v="DIURNO"/>
    <m/>
    <n v="1"/>
    <n v="1078"/>
    <n v="18769"/>
    <s v="AZUL"/>
    <n v="0"/>
    <n v="0"/>
    <n v="0"/>
    <n v="2.1339999999999999"/>
    <n v="12.8"/>
    <n v="22"/>
    <n v="581.81818181818187"/>
    <x v="3"/>
    <x v="0"/>
    <n v="17"/>
    <n v="6"/>
    <n v="48.5"/>
  </r>
  <r>
    <d v="2025-04-30T08:46:00"/>
    <s v="INYECTADO"/>
    <x v="3"/>
    <x v="78"/>
    <s v="ISABEL LINARIZ "/>
    <s v="VIRGEN"/>
    <s v="PP CLARIFICADO"/>
    <s v="."/>
    <x v="15"/>
    <s v="VASO MUNDO MANZANITA CARAMELO-AZUL"/>
    <n v="851"/>
    <n v="8"/>
    <n v="111.6"/>
    <s v="DIURNO"/>
    <m/>
    <n v="11"/>
    <n v="1078"/>
    <n v="18770"/>
    <s v="AZUL"/>
    <n v="1.3"/>
    <n v="0"/>
    <n v="0"/>
    <n v="18.722000000000001"/>
    <n v="111.6"/>
    <n v="22"/>
    <n v="5072.727272727273"/>
    <x v="3"/>
    <x v="0"/>
    <n v="18"/>
    <n v="6"/>
    <n v="425.5"/>
  </r>
  <r>
    <d v="2025-04-30T08:46:00"/>
    <s v="INYECTADO"/>
    <x v="3"/>
    <x v="79"/>
    <s v="ANTHONY "/>
    <s v="VIRGEN"/>
    <s v="PP CLARIFICADO"/>
    <s v="."/>
    <x v="15"/>
    <s v="VASO MUNDO MANZANITA CARAMELO-AZUL"/>
    <n v="375"/>
    <n v="3"/>
    <n v="49.2"/>
    <s v="DIURNO"/>
    <m/>
    <n v="5"/>
    <n v="1078"/>
    <n v="18771"/>
    <s v="AZUL"/>
    <n v="5.6"/>
    <n v="0"/>
    <n v="0"/>
    <n v="8.25"/>
    <n v="49.2"/>
    <n v="22"/>
    <n v="2236.3636363636365"/>
    <x v="3"/>
    <x v="0"/>
    <n v="18"/>
    <n v="6"/>
    <n v="187.5"/>
  </r>
  <r>
    <d v="2025-04-30T08:46:00"/>
    <s v="INYECTADO"/>
    <x v="3"/>
    <x v="79"/>
    <s v="ANTHONY "/>
    <s v="VIRGEN"/>
    <s v="PP CLARIFICADO"/>
    <s v="."/>
    <x v="15"/>
    <s v="VASO MUNDO MANZANITA CARAMELO-AMARILLO"/>
    <n v="540"/>
    <n v="6"/>
    <n v="71.3"/>
    <s v="DIURNO"/>
    <m/>
    <n v="8"/>
    <n v="1078"/>
    <n v="18771"/>
    <s v="AMARILLO"/>
    <n v="7.4"/>
    <n v="0"/>
    <n v="0"/>
    <n v="11.88"/>
    <n v="71.3"/>
    <n v="22"/>
    <n v="3240.909090909091"/>
    <x v="3"/>
    <x v="0"/>
    <n v="18"/>
    <n v="6"/>
    <n v="270"/>
  </r>
  <r>
    <d v="2025-04-30T08:46:00"/>
    <s v="INYECTADO"/>
    <x v="3"/>
    <x v="79"/>
    <s v="ANTHONY "/>
    <s v="VIRGEN"/>
    <s v="PP CLARIFICADO"/>
    <s v="."/>
    <x v="15"/>
    <s v="VASO MUNDO MANZANITA CARAMELO-FUCSIA"/>
    <n v="116"/>
    <n v="2"/>
    <n v="15.2"/>
    <s v="DIURNO"/>
    <m/>
    <n v="2"/>
    <n v="1078"/>
    <n v="18771"/>
    <s v="FUCSIA"/>
    <n v="3"/>
    <n v="0"/>
    <n v="0"/>
    <n v="2.552"/>
    <n v="15.2"/>
    <n v="22"/>
    <n v="690.90909090909088"/>
    <x v="3"/>
    <x v="0"/>
    <n v="18"/>
    <n v="6"/>
    <n v="58"/>
  </r>
  <r>
    <d v="2025-04-30T08:46:00"/>
    <s v="INYECTADO"/>
    <x v="3"/>
    <x v="79"/>
    <s v="JUAN MANUEL PEREZ"/>
    <s v="VIRGEN"/>
    <s v="PP CLARIFICADO"/>
    <s v="."/>
    <x v="15"/>
    <s v="VASO MUNDO MANZANITA CARAMELO-FUCSIA"/>
    <n v="510"/>
    <n v="5"/>
    <n v="66.3"/>
    <s v="DIURNO"/>
    <m/>
    <n v="8"/>
    <n v="1078"/>
    <n v="18772"/>
    <s v="FUCSIA"/>
    <n v="0"/>
    <n v="0"/>
    <n v="0"/>
    <n v="11.22"/>
    <n v="66.3"/>
    <n v="22"/>
    <n v="3013.6363636363635"/>
    <x v="3"/>
    <x v="0"/>
    <n v="18"/>
    <n v="6"/>
    <n v="255"/>
  </r>
  <r>
    <d v="2025-04-30T08:46:00"/>
    <s v="INYECTADO"/>
    <x v="3"/>
    <x v="79"/>
    <s v="JUAN MANUEL PEREZ"/>
    <s v="VIRGEN"/>
    <s v="PP CLARIFICADO"/>
    <s v="."/>
    <x v="15"/>
    <s v="VASO MUNDO MANZANITA CARAMELO-LILA"/>
    <n v="340"/>
    <n v="4"/>
    <n v="44.2"/>
    <s v="DIURNO"/>
    <m/>
    <n v="4"/>
    <n v="1078"/>
    <n v="18772"/>
    <s v="LILA"/>
    <n v="0"/>
    <n v="0"/>
    <n v="0"/>
    <n v="7.48"/>
    <n v="44.2"/>
    <n v="22"/>
    <n v="2009.090909090909"/>
    <x v="3"/>
    <x v="0"/>
    <n v="18"/>
    <n v="6"/>
    <n v="170"/>
  </r>
  <r>
    <d v="2025-04-30T08:46:00"/>
    <s v="INYECTADO"/>
    <x v="3"/>
    <x v="80"/>
    <s v="LUIS RENGIFO"/>
    <s v="VIRGEN"/>
    <s v="PP CLARIFICADO"/>
    <s v="."/>
    <x v="15"/>
    <s v="VASO MUNDO MANZANITA CARAMELO-LILA"/>
    <n v="216"/>
    <n v="2"/>
    <n v="28.4"/>
    <s v="DIURNO"/>
    <m/>
    <n v="3"/>
    <n v="1078"/>
    <n v="18773"/>
    <s v="LILA"/>
    <n v="3.9"/>
    <n v="0"/>
    <n v="0"/>
    <n v="4.7519999999999998"/>
    <n v="28.4"/>
    <n v="22"/>
    <n v="1290.909090909091"/>
    <x v="3"/>
    <x v="0"/>
    <n v="18"/>
    <n v="6"/>
    <n v="108"/>
  </r>
  <r>
    <d v="2025-04-30T08:46:00"/>
    <s v="INYECTADO"/>
    <x v="3"/>
    <x v="80"/>
    <s v="LUIS RENGIFO"/>
    <s v="VIRGEN"/>
    <s v="PP CLARIFICADO"/>
    <s v="."/>
    <x v="15"/>
    <s v="VASO MUNDO MANZANITA CARAMELO-ANARANJADO"/>
    <n v="578"/>
    <n v="5"/>
    <n v="75.8"/>
    <s v="DIURNO"/>
    <m/>
    <n v="7"/>
    <n v="1078"/>
    <n v="18773"/>
    <s v="ANARANJADO"/>
    <n v="4"/>
    <n v="0"/>
    <n v="0"/>
    <n v="12.715999999999999"/>
    <n v="75.8"/>
    <n v="22"/>
    <n v="3445.4545454545455"/>
    <x v="3"/>
    <x v="0"/>
    <n v="18"/>
    <n v="6"/>
    <n v="289"/>
  </r>
  <r>
    <d v="2025-04-30T08:46:00"/>
    <s v="INYECTADO"/>
    <x v="3"/>
    <x v="80"/>
    <s v="LUIS RENGIFO"/>
    <s v="VIRGEN"/>
    <s v="PP CLARIFICADO"/>
    <s v="."/>
    <x v="15"/>
    <s v="VASO MUNDO MANZANITA CARAMELO-VERDE"/>
    <n v="363"/>
    <n v="3"/>
    <n v="47.6"/>
    <s v="DIURNO"/>
    <m/>
    <n v="7"/>
    <n v="1078"/>
    <n v="18773"/>
    <s v="VERDE"/>
    <n v="0"/>
    <n v="0"/>
    <n v="0"/>
    <n v="7.9859999999999998"/>
    <n v="47.6"/>
    <n v="22"/>
    <n v="2163.6363636363635"/>
    <x v="3"/>
    <x v="0"/>
    <n v="18"/>
    <n v="6"/>
    <n v="181.5"/>
  </r>
  <r>
    <d v="2025-04-30T08:46:00"/>
    <s v="INYECTADO"/>
    <x v="3"/>
    <x v="80"/>
    <s v="JUAN MANUEL PEREZ"/>
    <s v="VIRGEN"/>
    <s v="PP CLARIFICADO"/>
    <s v="."/>
    <x v="15"/>
    <s v="VASO MUNDO MANZANITA CARAMELO-VERDE"/>
    <n v="112"/>
    <n v="2"/>
    <n v="14.8"/>
    <s v="DIURNO"/>
    <m/>
    <n v="1"/>
    <n v="1078"/>
    <n v="18774"/>
    <s v="VERDE"/>
    <n v="0"/>
    <n v="0"/>
    <n v="0"/>
    <n v="2.464"/>
    <n v="14.8"/>
    <n v="22"/>
    <n v="672.72727272727275"/>
    <x v="3"/>
    <x v="0"/>
    <n v="18"/>
    <n v="6"/>
    <n v="56"/>
  </r>
  <r>
    <d v="2025-04-30T08:46:00"/>
    <s v="INYECTADO"/>
    <x v="7"/>
    <x v="59"/>
    <s v="NELSON PINEDO"/>
    <s v="VIRGEN"/>
    <s v="PP CLARIFICADO"/>
    <s v="."/>
    <x v="71"/>
    <s v="VASO SORBETE PASTEL-VERDE"/>
    <n v="280"/>
    <n v="2"/>
    <n v="41.8"/>
    <s v="NOCTURNO"/>
    <m/>
    <n v="4"/>
    <n v="1058"/>
    <n v="21235"/>
    <s v="VERDE"/>
    <n v="3.7"/>
    <n v="0"/>
    <n v="0"/>
    <e v="#N/A"/>
    <n v="41.8"/>
    <e v="#N/A"/>
    <n v="0"/>
    <x v="3"/>
    <x v="0"/>
    <n v="14"/>
    <e v="#N/A"/>
    <e v="#N/A"/>
  </r>
  <r>
    <d v="2025-04-30T08:46:00"/>
    <s v="INYECTADO"/>
    <x v="7"/>
    <x v="62"/>
    <s v="NELSON PINEDO"/>
    <s v="VIRGEN"/>
    <s v="PP CLARIFICADO"/>
    <s v="."/>
    <x v="71"/>
    <s v="VASO SORBETE PASTEL-VERDE"/>
    <n v="33"/>
    <n v="1"/>
    <n v="5"/>
    <s v="NOCTURNO"/>
    <m/>
    <n v="1"/>
    <n v="1058"/>
    <n v="21236"/>
    <s v="VERDE"/>
    <n v="3.8"/>
    <n v="0"/>
    <n v="0"/>
    <e v="#N/A"/>
    <n v="5"/>
    <e v="#N/A"/>
    <n v="0"/>
    <x v="3"/>
    <x v="0"/>
    <n v="14"/>
    <e v="#N/A"/>
    <e v="#N/A"/>
  </r>
  <r>
    <d v="2025-04-30T08:46:00"/>
    <s v="INYECTADO"/>
    <x v="7"/>
    <x v="62"/>
    <s v="NELSON PINEDO"/>
    <s v="VIRGEN"/>
    <s v="PP CLARIFICADO"/>
    <s v="."/>
    <x v="71"/>
    <s v="VASO SORBETE PASTEL-AZUL"/>
    <n v="367"/>
    <n v="3"/>
    <n v="54.6"/>
    <s v="NOCTURNO"/>
    <m/>
    <n v="4"/>
    <n v="1058"/>
    <n v="21136"/>
    <s v="AZUL"/>
    <n v="3.1"/>
    <n v="0"/>
    <n v="0"/>
    <n v="8.6244999999999994"/>
    <n v="54.6"/>
    <n v="23.5"/>
    <n v="2323.4042553191489"/>
    <x v="3"/>
    <x v="0"/>
    <n v="14"/>
    <n v="2"/>
    <n v="61.166666666666664"/>
  </r>
  <r>
    <d v="2025-04-30T08:46:00"/>
    <s v="INYECTADO"/>
    <x v="7"/>
    <x v="62"/>
    <s v="NELSON PINEDO"/>
    <s v="VIRGEN"/>
    <s v="PP CLARIFICADO"/>
    <s v="."/>
    <x v="71"/>
    <s v="VASO SORBETE PASTEL-FUCSIA"/>
    <n v="339"/>
    <n v="3"/>
    <n v="50.6"/>
    <s v="NOCTURNO"/>
    <m/>
    <n v="6"/>
    <n v="1058"/>
    <n v="21136"/>
    <s v="FUCSIA"/>
    <n v="5.2"/>
    <n v="0"/>
    <n v="0"/>
    <e v="#N/A"/>
    <n v="50.6"/>
    <e v="#N/A"/>
    <n v="0"/>
    <x v="3"/>
    <x v="0"/>
    <n v="14"/>
    <e v="#N/A"/>
    <e v="#N/A"/>
  </r>
  <r>
    <d v="2025-04-30T08:46:00"/>
    <s v="INYECTADO"/>
    <x v="7"/>
    <x v="62"/>
    <s v="NELSON PINEDO"/>
    <s v="VIRGEN"/>
    <s v="PP CLARIFICADO"/>
    <s v="."/>
    <x v="71"/>
    <s v="VASO SORBETE PASTEL-LILA"/>
    <n v="230"/>
    <n v="2"/>
    <n v="34.299999999999997"/>
    <s v="NOCTURNO"/>
    <m/>
    <n v="4"/>
    <n v="1058"/>
    <n v="21136"/>
    <s v="LILA"/>
    <n v="1.2"/>
    <n v="0"/>
    <n v="0"/>
    <n v="5.4050000000000002"/>
    <n v="34.299999999999997"/>
    <n v="23.5"/>
    <n v="1459.5744680851064"/>
    <x v="3"/>
    <x v="0"/>
    <n v="14"/>
    <n v="2"/>
    <n v="38.333333333333336"/>
  </r>
  <r>
    <d v="2025-04-30T08:46:00"/>
    <s v="INYECTADO"/>
    <x v="7"/>
    <x v="67"/>
    <s v="LUIS PINEDO"/>
    <s v="VIRGEN"/>
    <s v="PP CLARIFICADO"/>
    <s v="."/>
    <x v="71"/>
    <s v="VASO SORBETE PASTEL-LILA"/>
    <n v="76"/>
    <n v="1"/>
    <n v="11.4"/>
    <s v="NOCTURNO"/>
    <m/>
    <n v="1"/>
    <n v="1058"/>
    <n v="21137"/>
    <s v="LILA"/>
    <n v="0"/>
    <n v="0"/>
    <n v="0"/>
    <n v="1.786"/>
    <n v="11.4"/>
    <n v="23.5"/>
    <n v="485.10638297872339"/>
    <x v="3"/>
    <x v="0"/>
    <n v="15"/>
    <n v="2"/>
    <n v="12.666666666666666"/>
  </r>
  <r>
    <d v="2025-04-30T08:46:00"/>
    <s v="INYECTADO"/>
    <x v="7"/>
    <x v="68"/>
    <s v="LUIS PINEDO"/>
    <s v="VIRGEN"/>
    <s v="PP CLARIFICADO"/>
    <s v="."/>
    <x v="71"/>
    <s v="VASO SORBETE PASTEL-SANDIA"/>
    <n v="15"/>
    <n v="1"/>
    <n v="2.2999999999999998"/>
    <s v="NOCTURNO"/>
    <m/>
    <n v="1"/>
    <n v="1058"/>
    <n v="21138"/>
    <s v="SANDIA"/>
    <n v="0"/>
    <n v="0"/>
    <n v="0"/>
    <e v="#N/A"/>
    <n v="2.2999999999999998"/>
    <e v="#N/A"/>
    <n v="0"/>
    <x v="3"/>
    <x v="0"/>
    <n v="15"/>
    <e v="#N/A"/>
    <e v="#N/A"/>
  </r>
  <r>
    <d v="2025-04-30T08:46:00"/>
    <s v="INYECTADO"/>
    <x v="7"/>
    <x v="68"/>
    <s v="LUIS PINEDO"/>
    <s v="VIRGEN"/>
    <s v="PP CLARIFICADO"/>
    <s v="."/>
    <x v="71"/>
    <s v="VASO SORBETE SOLIDO-ROJO"/>
    <n v="337"/>
    <n v="3"/>
    <n v="49.9"/>
    <s v="NOCTURNO"/>
    <m/>
    <n v="5"/>
    <n v="1058"/>
    <n v="21138"/>
    <s v="ROJO"/>
    <n v="10.8"/>
    <n v="0"/>
    <n v="0"/>
    <n v="7.9195000000000002"/>
    <n v="49.9"/>
    <n v="23.5"/>
    <n v="2123.4042553191489"/>
    <x v="3"/>
    <x v="0"/>
    <n v="15"/>
    <n v="2"/>
    <n v="56.166666666666664"/>
  </r>
  <r>
    <d v="2025-04-30T08:46:00"/>
    <s v="INYECTADO"/>
    <x v="7"/>
    <x v="69"/>
    <s v="JOSDER GONZALEZ"/>
    <s v="VIRGEN"/>
    <s v="PP CLARIFICADO"/>
    <s v="."/>
    <x v="71"/>
    <s v="VASO SORBETE PASTEL-SANDIA"/>
    <n v="302"/>
    <n v="3"/>
    <n v="45.1"/>
    <s v="NOCTURNO"/>
    <m/>
    <n v="3"/>
    <n v="1058"/>
    <n v="21139"/>
    <s v="SANDIA"/>
    <n v="6.3"/>
    <n v="0"/>
    <n v="0"/>
    <e v="#N/A"/>
    <n v="45.1"/>
    <e v="#N/A"/>
    <n v="0"/>
    <x v="3"/>
    <x v="0"/>
    <n v="15"/>
    <e v="#N/A"/>
    <e v="#N/A"/>
  </r>
  <r>
    <d v="2025-04-30T08:46:00"/>
    <s v="INYECTADO"/>
    <x v="7"/>
    <x v="69"/>
    <s v="JOSDER GONZALEZ"/>
    <s v="VIRGEN"/>
    <s v="PP HOMOPOLIMERO"/>
    <s v="PP COPOLIMERO"/>
    <x v="72"/>
    <s v="VASO SORBETE SOLIDO-CELESTE"/>
    <n v="75"/>
    <n v="1"/>
    <n v="11.2"/>
    <s v="NOCTURNO"/>
    <m/>
    <n v="1"/>
    <n v="1058"/>
    <n v="21139"/>
    <s v="CELESTE"/>
    <n v="3.3"/>
    <n v="0"/>
    <n v="0"/>
    <e v="#N/A"/>
    <n v="11.2"/>
    <e v="#N/A"/>
    <n v="0"/>
    <x v="3"/>
    <x v="0"/>
    <n v="15"/>
    <e v="#N/A"/>
    <e v="#N/A"/>
  </r>
  <r>
    <d v="2025-04-30T08:46:00"/>
    <s v="INYECTADO"/>
    <x v="7"/>
    <x v="69"/>
    <s v="JOSDER GONZALEZ"/>
    <s v="VIRGEN"/>
    <s v="PP HOMOPOLIMERO"/>
    <s v="PP COPOLIMERO"/>
    <x v="72"/>
    <s v="VASO SORBETE SOLIDO-ROSADO"/>
    <n v="309"/>
    <n v="3"/>
    <n v="46"/>
    <s v="NOCTURNO"/>
    <m/>
    <n v="6"/>
    <n v="1058"/>
    <n v="21139"/>
    <s v="ROSADO"/>
    <n v="6.3"/>
    <n v="0"/>
    <n v="0"/>
    <e v="#N/A"/>
    <n v="46"/>
    <e v="#N/A"/>
    <n v="0"/>
    <x v="3"/>
    <x v="0"/>
    <n v="15"/>
    <e v="#N/A"/>
    <e v="#N/A"/>
  </r>
  <r>
    <d v="2025-04-30T08:46:00"/>
    <s v="INYECTADO"/>
    <x v="7"/>
    <x v="69"/>
    <s v="JOSDER GONZALEZ"/>
    <s v="VIRGEN"/>
    <s v="PP HOMOPOLIMERO"/>
    <s v="PP COPOLIMERO"/>
    <x v="72"/>
    <s v="VASO SORBETE SOLIDO-LILA"/>
    <n v="311"/>
    <n v="3"/>
    <n v="46.3"/>
    <s v="NOCTURNO"/>
    <m/>
    <n v="4"/>
    <n v="1058"/>
    <n v="21139"/>
    <s v="LILA"/>
    <n v="6.7"/>
    <n v="0"/>
    <n v="0"/>
    <n v="7.3085000000000004"/>
    <n v="46.3"/>
    <n v="23.5"/>
    <n v="1970.2127659574469"/>
    <x v="3"/>
    <x v="0"/>
    <n v="15"/>
    <n v="2"/>
    <n v="51.833333333333336"/>
  </r>
  <r>
    <d v="2025-04-30T08:46:00"/>
    <s v="INYECTADO"/>
    <x v="7"/>
    <x v="69"/>
    <s v="GABRIEL REQUENA"/>
    <s v="VIRGEN"/>
    <s v="PP HOMOPOLIMERO"/>
    <s v="PP COPOLIMERO"/>
    <x v="72"/>
    <s v="VASO SORBETE SOLIDO-CELESTE"/>
    <n v="248"/>
    <n v="2"/>
    <n v="37.299999999999997"/>
    <s v="NOCTURNO"/>
    <m/>
    <n v="4"/>
    <n v="1058"/>
    <n v="21140"/>
    <s v="CELESTE"/>
    <n v="0.8"/>
    <n v="0"/>
    <n v="0"/>
    <e v="#N/A"/>
    <n v="37.299999999999997"/>
    <e v="#N/A"/>
    <n v="0"/>
    <x v="3"/>
    <x v="0"/>
    <n v="15"/>
    <e v="#N/A"/>
    <e v="#N/A"/>
  </r>
  <r>
    <d v="2025-04-30T08:46:00"/>
    <s v="INYECTADO"/>
    <x v="7"/>
    <x v="69"/>
    <s v="GABRIEL REQUENA"/>
    <s v="VIRGEN"/>
    <s v="PP HOMOPOLIMERO"/>
    <s v="PP COPOLIMERO"/>
    <x v="72"/>
    <s v="VASO SORBETE SOLIDO-AZURE"/>
    <n v="308"/>
    <n v="3"/>
    <n v="46.3"/>
    <s v="NOCTURNO"/>
    <m/>
    <n v="4"/>
    <n v="1058"/>
    <n v="21140"/>
    <s v="AZURE"/>
    <n v="3.7"/>
    <n v="0"/>
    <n v="0"/>
    <e v="#N/A"/>
    <n v="46.3"/>
    <e v="#N/A"/>
    <n v="0"/>
    <x v="3"/>
    <x v="0"/>
    <n v="15"/>
    <e v="#N/A"/>
    <e v="#N/A"/>
  </r>
  <r>
    <d v="2025-04-30T08:46:00"/>
    <s v="INYECTADO"/>
    <x v="7"/>
    <x v="69"/>
    <s v="GABRIEL REQUENA"/>
    <s v="VIRGEN"/>
    <s v="PP HOMOPOLIMERO"/>
    <s v="PP COPOLIMERO"/>
    <x v="72"/>
    <s v="VASO SORBETE SOLIDO-TURQUESA"/>
    <n v="332"/>
    <n v="3"/>
    <n v="49.8"/>
    <s v="NOCTURNO"/>
    <m/>
    <n v="5"/>
    <n v="1058"/>
    <n v="21140"/>
    <s v="TURQUESA"/>
    <n v="1.8"/>
    <n v="0"/>
    <n v="0"/>
    <e v="#N/A"/>
    <n v="49.8"/>
    <e v="#N/A"/>
    <n v="0"/>
    <x v="3"/>
    <x v="0"/>
    <n v="15"/>
    <e v="#N/A"/>
    <e v="#N/A"/>
  </r>
  <r>
    <d v="2025-04-30T08:46:00"/>
    <s v="INYECTADO"/>
    <x v="7"/>
    <x v="63"/>
    <s v="CRISALIDA ZAPATA"/>
    <s v="VIRGEN"/>
    <s v="PP CLARIFICADO"/>
    <s v="."/>
    <x v="49"/>
    <s v="TAPA DE ORGANIZADOR #3-ROJO"/>
    <n v="798"/>
    <n v="6"/>
    <n v="57.5"/>
    <m/>
    <m/>
    <n v="7"/>
    <n v="1058"/>
    <n v="21141"/>
    <s v="ROJO"/>
    <n v="6.5"/>
    <n v="0"/>
    <n v="0"/>
    <n v="30.324000000000002"/>
    <n v="57.5"/>
    <n v="38"/>
    <n v="1513.1578947368421"/>
    <x v="3"/>
    <x v="0"/>
    <n v="15"/>
    <n v="2"/>
    <n v="133"/>
  </r>
  <r>
    <d v="2025-04-30T08:46:00"/>
    <s v="INYECTADO"/>
    <x v="7"/>
    <x v="64"/>
    <s v="CRISALIDA ZAPATA"/>
    <s v="VIRGEN"/>
    <s v="PP CLARIFICADO"/>
    <s v="."/>
    <x v="49"/>
    <s v="TAPA DE ORGANIZADOR #3-ROJO"/>
    <n v="1302"/>
    <n v="12"/>
    <n v="93.8"/>
    <m/>
    <m/>
    <n v="12"/>
    <n v="1058"/>
    <n v="21142"/>
    <s v="ROJO"/>
    <n v="0"/>
    <n v="0"/>
    <n v="0"/>
    <n v="49.475999999999999"/>
    <n v="93.8"/>
    <n v="38"/>
    <n v="2468.4210526315787"/>
    <x v="3"/>
    <x v="0"/>
    <n v="15"/>
    <n v="2"/>
    <n v="217"/>
  </r>
  <r>
    <d v="2025-04-30T08:46:00"/>
    <s v="INYECTADO"/>
    <x v="7"/>
    <x v="64"/>
    <s v="JUAN MANUEL PEREZ"/>
    <s v="VIRGEN"/>
    <s v="PP CLARIFICADO"/>
    <s v="."/>
    <x v="49"/>
    <s v="TAPA DE ORGANIZADOR #3-ROJO"/>
    <n v="1563"/>
    <n v="11"/>
    <n v="112.6"/>
    <m/>
    <m/>
    <n v="12"/>
    <n v="1058"/>
    <n v="21143"/>
    <s v="ROJO"/>
    <n v="0"/>
    <n v="0"/>
    <n v="0"/>
    <n v="59.393999999999998"/>
    <n v="112.6"/>
    <n v="38"/>
    <n v="2963.1578947368421"/>
    <x v="3"/>
    <x v="0"/>
    <n v="15"/>
    <n v="2"/>
    <n v="260.5"/>
  </r>
  <r>
    <d v="2025-04-30T08:46:00"/>
    <s v="INYECTADO"/>
    <x v="7"/>
    <x v="65"/>
    <s v="CRISALIDA ZAPATA"/>
    <s v="VIRGEN"/>
    <s v="PP CLARIFICADO"/>
    <s v="."/>
    <x v="49"/>
    <s v="TAPA DE ORGANIZADOR #3-ROJO"/>
    <n v="1511"/>
    <n v="12"/>
    <n v="108.8"/>
    <m/>
    <m/>
    <n v="12"/>
    <n v="1066"/>
    <n v="21144"/>
    <s v="ROJO"/>
    <n v="0"/>
    <n v="0"/>
    <n v="0"/>
    <n v="57.417999999999999"/>
    <n v="108.8"/>
    <n v="38"/>
    <n v="2863.1578947368421"/>
    <x v="3"/>
    <x v="0"/>
    <n v="15"/>
    <n v="2"/>
    <n v="251.83333333333334"/>
  </r>
  <r>
    <d v="2025-04-30T08:46:00"/>
    <s v="INYECTADO"/>
    <x v="7"/>
    <x v="65"/>
    <s v="JUAN MANUEL PEREZ"/>
    <s v="VIRGEN"/>
    <s v="PP CLARIFICADO"/>
    <s v="."/>
    <x v="49"/>
    <s v="TAPA DE ORGANIZADOR #3-ROJO"/>
    <n v="560"/>
    <n v="5"/>
    <n v="40.299999999999997"/>
    <m/>
    <m/>
    <n v="6"/>
    <n v="1066"/>
    <n v="21145"/>
    <s v="ROJO"/>
    <n v="5"/>
    <n v="0"/>
    <n v="0"/>
    <n v="21.28"/>
    <n v="40.299999999999997"/>
    <n v="38"/>
    <n v="1060.5263157894738"/>
    <x v="3"/>
    <x v="0"/>
    <n v="15"/>
    <n v="2"/>
    <n v="93.333333333333329"/>
  </r>
  <r>
    <d v="2025-04-30T08:46:00"/>
    <s v="INYECTADO"/>
    <x v="7"/>
    <x v="65"/>
    <s v="JUAN MANUEL PEREZ"/>
    <s v="VIRGEN"/>
    <s v="PP CLARIFICADO"/>
    <s v="."/>
    <x v="49"/>
    <s v="TAPA DE ORGANIZADOR #3-TRANSPARENTE"/>
    <n v="801"/>
    <n v="7"/>
    <n v="57.6"/>
    <m/>
    <m/>
    <n v="7"/>
    <n v="1069"/>
    <n v="21145"/>
    <s v="TRANSPARENTE"/>
    <n v="0"/>
    <n v="0"/>
    <n v="0"/>
    <n v="30.437999999999999"/>
    <n v="57.6"/>
    <n v="38"/>
    <n v="1515.7894736842106"/>
    <x v="3"/>
    <x v="0"/>
    <n v="15"/>
    <n v="2"/>
    <n v="133.5"/>
  </r>
  <r>
    <d v="2025-04-30T08:46:00"/>
    <s v="INYECTADO"/>
    <x v="7"/>
    <x v="66"/>
    <s v="CRISALIDA ZAPATA"/>
    <s v="VIRGEN"/>
    <s v="PP CLARIFICADO"/>
    <s v="."/>
    <x v="49"/>
    <s v="TAPA DE ORGANIZADOR #3-TRANSPARENTE"/>
    <n v="1292"/>
    <n v="11"/>
    <n v="105.9"/>
    <m/>
    <m/>
    <n v="11"/>
    <n v="1069"/>
    <n v="21146"/>
    <s v="TRANSPARENTE"/>
    <n v="1.5"/>
    <n v="0"/>
    <n v="0"/>
    <n v="49.095999999999997"/>
    <n v="105.9"/>
    <n v="38"/>
    <n v="2786.8421052631579"/>
    <x v="3"/>
    <x v="0"/>
    <n v="16"/>
    <n v="2"/>
    <n v="215.33333333333334"/>
  </r>
  <r>
    <d v="2025-04-30T08:46:00"/>
    <s v="INYECTADO"/>
    <x v="7"/>
    <x v="70"/>
    <s v="CRISALIDA ZAPATA"/>
    <s v="VIRGEN"/>
    <s v="PP CLARIFICADO"/>
    <s v="."/>
    <x v="49"/>
    <s v="TAPA DE ORGANIZADOR #3-TRANSPARENTE"/>
    <n v="1399"/>
    <n v="12"/>
    <n v="102.1"/>
    <m/>
    <m/>
    <n v="12"/>
    <n v="1069"/>
    <n v="21147"/>
    <s v="TRANSPARENTE"/>
    <n v="9.8000000000000007"/>
    <n v="0"/>
    <n v="0"/>
    <n v="53.161999999999999"/>
    <n v="102.1"/>
    <n v="38"/>
    <n v="2686.8421052631579"/>
    <x v="3"/>
    <x v="0"/>
    <n v="16"/>
    <n v="2"/>
    <n v="233.16666666666666"/>
  </r>
  <r>
    <d v="2025-04-30T08:46:00"/>
    <s v="INYECTADO"/>
    <x v="7"/>
    <x v="70"/>
    <s v="JUAN MANUEL PEREZ"/>
    <s v="VIRGEN"/>
    <s v="PP CLARIFICADO"/>
    <s v="."/>
    <x v="49"/>
    <s v="TAPA DE ORGANIZADOR #3-TRANSPARENTE"/>
    <n v="1333"/>
    <n v="12"/>
    <n v="97.3"/>
    <m/>
    <m/>
    <n v="12"/>
    <n v="1069"/>
    <n v="21148"/>
    <s v="TRANSPARENTE"/>
    <n v="0"/>
    <n v="0"/>
    <n v="0"/>
    <n v="50.654000000000003"/>
    <n v="97.3"/>
    <n v="38"/>
    <n v="2560.5263157894738"/>
    <x v="3"/>
    <x v="0"/>
    <n v="16"/>
    <n v="2"/>
    <n v="222.16666666666666"/>
  </r>
  <r>
    <d v="2025-04-30T08:46:00"/>
    <s v="INYECTADO"/>
    <x v="7"/>
    <x v="71"/>
    <s v="CRISALIDA ZAPATA"/>
    <s v="VIRGEN"/>
    <s v="PP CLARIFICADO"/>
    <s v="."/>
    <x v="49"/>
    <s v="TAPA DE ORGANIZADOR #3-TRANSPARENTE"/>
    <n v="1380"/>
    <n v="12"/>
    <n v="99.3"/>
    <m/>
    <m/>
    <n v="14"/>
    <n v="1069"/>
    <n v="21149"/>
    <s v="TRANSPARENTE"/>
    <n v="0"/>
    <n v="0"/>
    <n v="0"/>
    <n v="52.44"/>
    <n v="99.3"/>
    <n v="38"/>
    <n v="2613.1578947368421"/>
    <x v="3"/>
    <x v="0"/>
    <n v="16"/>
    <n v="2"/>
    <n v="230"/>
  </r>
  <r>
    <d v="2025-04-30T08:46:00"/>
    <s v="INYECTADO"/>
    <x v="7"/>
    <x v="71"/>
    <s v="JUAN MANUEL PEREZ"/>
    <s v="VIRGEN"/>
    <s v="PP CLARIFICADO"/>
    <s v="."/>
    <x v="49"/>
    <s v="TAPA DE ORGANIZADOR #3-TRANSPARENTE"/>
    <n v="986"/>
    <n v="6"/>
    <n v="63.5"/>
    <m/>
    <m/>
    <n v="6"/>
    <n v="1069"/>
    <n v="21150"/>
    <s v="TRANSPARENTE"/>
    <n v="0"/>
    <n v="0"/>
    <n v="0"/>
    <n v="37.468000000000004"/>
    <n v="63.5"/>
    <n v="38"/>
    <n v="1671.0526315789473"/>
    <x v="3"/>
    <x v="0"/>
    <n v="16"/>
    <n v="2"/>
    <n v="164.33333333333334"/>
  </r>
  <r>
    <d v="2025-04-30T08:46:00"/>
    <s v="INYECTADO"/>
    <x v="7"/>
    <x v="73"/>
    <s v="NELSON PINEDO"/>
    <s v="VIRGEN"/>
    <s v="PP CLARIFICADO"/>
    <s v="."/>
    <x v="53"/>
    <s v="TAPA DE ORGANIZADOR #2-BLANCO"/>
    <n v="657"/>
    <n v="6"/>
    <n v="28.2"/>
    <m/>
    <m/>
    <n v="6"/>
    <n v="1074"/>
    <n v="21150"/>
    <s v="BLANCO"/>
    <n v="0"/>
    <n v="0"/>
    <n v="0"/>
    <n v="13.797000000000001"/>
    <n v="28.2"/>
    <n v="21"/>
    <n v="1342.8571428571429"/>
    <x v="3"/>
    <x v="0"/>
    <n v="17"/>
    <n v="2"/>
    <n v="109.5"/>
  </r>
  <r>
    <d v="2025-04-30T08:46:00"/>
    <s v="INYECTADO"/>
    <x v="7"/>
    <x v="73"/>
    <s v="JUAN MANUEL PEREZ"/>
    <s v="VIRGEN"/>
    <s v="PP CLARIFICADO"/>
    <s v="."/>
    <x v="53"/>
    <s v="TAPA DE ORGANIZADOR #2-BLANCO"/>
    <n v="1450"/>
    <n v="12"/>
    <n v="62"/>
    <m/>
    <m/>
    <n v="12"/>
    <n v="1074"/>
    <n v="21153"/>
    <s v="BLANCO"/>
    <n v="0"/>
    <n v="0"/>
    <n v="0"/>
    <n v="30.45"/>
    <n v="62"/>
    <n v="21"/>
    <n v="2952.3809523809523"/>
    <x v="3"/>
    <x v="0"/>
    <n v="17"/>
    <n v="2"/>
    <n v="241.66666666666666"/>
  </r>
  <r>
    <d v="2025-04-30T08:46:00"/>
    <s v="INYECTADO"/>
    <x v="7"/>
    <x v="74"/>
    <s v="CRISALIDA ZAPATA"/>
    <s v="VIRGEN"/>
    <s v="PP CLARIFICADO"/>
    <s v="."/>
    <x v="53"/>
    <s v="TAPA DE ORGANIZADOR #2-BLANCO"/>
    <n v="1329"/>
    <n v="11"/>
    <n v="61.1"/>
    <m/>
    <m/>
    <n v="12"/>
    <n v="1074"/>
    <n v="21154"/>
    <s v="BLANCO"/>
    <n v="0"/>
    <n v="0"/>
    <n v="0"/>
    <n v="27.908999999999999"/>
    <n v="61.1"/>
    <n v="21"/>
    <n v="2909.5238095238096"/>
    <x v="3"/>
    <x v="0"/>
    <n v="17"/>
    <n v="2"/>
    <n v="221.5"/>
  </r>
  <r>
    <d v="2025-04-30T08:46:00"/>
    <s v="INYECTADO"/>
    <x v="7"/>
    <x v="60"/>
    <s v="CRISALIDA ZAPATA"/>
    <s v="VIRGEN"/>
    <s v="PP CLARIFICADO"/>
    <s v="."/>
    <x v="53"/>
    <s v="TAPA DE ORGANIZADOR #2-BLANCO"/>
    <n v="907"/>
    <n v="6"/>
    <n v="38.1"/>
    <m/>
    <m/>
    <n v="6"/>
    <n v="1074"/>
    <n v="21155"/>
    <s v="BLANCO"/>
    <n v="9.8000000000000007"/>
    <n v="0"/>
    <n v="0"/>
    <n v="19.047000000000001"/>
    <n v="38.1"/>
    <n v="21"/>
    <n v="1814.2857142857142"/>
    <x v="3"/>
    <x v="0"/>
    <n v="17"/>
    <n v="2"/>
    <n v="151.16666666666666"/>
  </r>
  <r>
    <d v="2025-05-01T08:46:00"/>
    <s v="INYECTADO"/>
    <x v="7"/>
    <x v="60"/>
    <s v="CRISALIDA ZAPATA"/>
    <s v="VIRGEN"/>
    <s v="PP CLARIFICADO"/>
    <s v="."/>
    <x v="17"/>
    <s v="TAPA DE ORGANIZADOR #2 CARAMELO-AMARILLO"/>
    <n v="543"/>
    <n v="5"/>
    <n v="25"/>
    <m/>
    <m/>
    <n v="4"/>
    <n v="1074"/>
    <n v="21155"/>
    <s v="AMARILLO"/>
    <n v="0"/>
    <n v="0"/>
    <n v="0"/>
    <n v="11.403"/>
    <n v="25"/>
    <n v="21"/>
    <n v="1190.4761904761904"/>
    <x v="3"/>
    <x v="0"/>
    <n v="17"/>
    <n v="2"/>
    <n v="90.5"/>
  </r>
  <r>
    <d v="2025-05-01T08:46:00"/>
    <s v="INYECTADO"/>
    <x v="7"/>
    <x v="60"/>
    <s v="JUAN MANUEL PEREZ"/>
    <s v="VIRGEN"/>
    <s v="PP CLARIFICADO"/>
    <s v="."/>
    <x v="17"/>
    <s v="TAPA DE ORGANIZADOR #2 CARAMELO-AMARILLO"/>
    <n v="469"/>
    <n v="3"/>
    <n v="21.5"/>
    <m/>
    <m/>
    <n v="4"/>
    <n v="1074"/>
    <n v="21156"/>
    <s v="AMARILLO"/>
    <n v="3.7"/>
    <n v="0"/>
    <n v="0"/>
    <n v="9.8490000000000002"/>
    <n v="21.5"/>
    <n v="21"/>
    <n v="1023.8095238095239"/>
    <x v="3"/>
    <x v="0"/>
    <n v="17"/>
    <n v="2"/>
    <n v="78.166666666666671"/>
  </r>
  <r>
    <d v="2025-05-01T08:46:00"/>
    <s v="INYECTADO"/>
    <x v="7"/>
    <x v="60"/>
    <s v="JUAN MANUEL PEREZ"/>
    <s v="VIRGEN"/>
    <s v="PP CLARIFICADO"/>
    <s v="."/>
    <x v="17"/>
    <s v="TAPA DE ORGANIZADOR #2 CARAMELO-VERDE"/>
    <n v="593"/>
    <n v="5"/>
    <n v="27.2"/>
    <m/>
    <m/>
    <n v="5"/>
    <n v="1074"/>
    <n v="21156"/>
    <s v="VERDE"/>
    <n v="2.9"/>
    <n v="0"/>
    <n v="0"/>
    <n v="12.452999999999999"/>
    <n v="27.2"/>
    <n v="21"/>
    <n v="1295.2380952380952"/>
    <x v="3"/>
    <x v="0"/>
    <n v="17"/>
    <n v="2"/>
    <n v="98.833333333333329"/>
  </r>
  <r>
    <d v="2025-05-01T08:46:00"/>
    <s v="INYECTADO"/>
    <x v="7"/>
    <x v="60"/>
    <s v="JUAN MANUEL PEREZ"/>
    <s v="VIRGEN"/>
    <s v="PP CLARIFICADO"/>
    <s v="."/>
    <x v="17"/>
    <s v="TAPA DE ORGANIZADOR #2 CARAMELO-FUCSIA"/>
    <n v="238"/>
    <n v="3"/>
    <n v="10.9"/>
    <m/>
    <m/>
    <n v="2"/>
    <n v="1074"/>
    <n v="21156"/>
    <s v="FUCSIA"/>
    <n v="0"/>
    <n v="0"/>
    <n v="0"/>
    <n v="4.9980000000000002"/>
    <n v="10.9"/>
    <n v="21"/>
    <n v="519.04761904761904"/>
    <x v="3"/>
    <x v="0"/>
    <n v="17"/>
    <n v="2"/>
    <n v="39.666666666666664"/>
  </r>
  <r>
    <d v="2025-05-01T08:46:00"/>
    <s v="INYECTADO"/>
    <x v="7"/>
    <x v="75"/>
    <s v="CRISALIDA ZAPATA"/>
    <s v="VIRGEN"/>
    <s v="PP CLARIFICADO"/>
    <s v="."/>
    <x v="17"/>
    <s v="TAPA DE ORGANIZADOR #2 CARAMELO-FUCSIA"/>
    <n v="509"/>
    <n v="6"/>
    <n v="25.9"/>
    <m/>
    <m/>
    <n v="4"/>
    <n v="1075"/>
    <n v="21157"/>
    <s v="FUCSIA"/>
    <n v="1.1000000000000001"/>
    <n v="0"/>
    <n v="0"/>
    <n v="10.689"/>
    <n v="25.9"/>
    <n v="21"/>
    <n v="1233.3333333333333"/>
    <x v="3"/>
    <x v="0"/>
    <n v="17"/>
    <n v="2"/>
    <n v="84.833333333333329"/>
  </r>
  <r>
    <d v="2025-05-01T08:46:00"/>
    <s v="INYECTADO"/>
    <x v="7"/>
    <x v="75"/>
    <s v="CRISALIDA ZAPATA"/>
    <s v="VIRGEN"/>
    <s v="PP CLARIFICADO"/>
    <s v="."/>
    <x v="17"/>
    <s v="TAPA DE ORGANIZADOR #2 CARAMELO-LILA"/>
    <n v="598"/>
    <n v="5"/>
    <n v="28.7"/>
    <m/>
    <m/>
    <n v="4"/>
    <n v="1075"/>
    <n v="21157"/>
    <s v="LILA"/>
    <n v="4.3"/>
    <n v="0"/>
    <n v="0"/>
    <n v="12.558"/>
    <n v="28.7"/>
    <n v="21"/>
    <n v="1366.6666666666667"/>
    <x v="3"/>
    <x v="0"/>
    <n v="17"/>
    <n v="2"/>
    <n v="99.666666666666671"/>
  </r>
  <r>
    <d v="2025-05-01T08:46:00"/>
    <s v="INYECTADO"/>
    <x v="7"/>
    <x v="76"/>
    <s v="CRISALIDA ZAPATA"/>
    <s v="VIRGEN"/>
    <s v="PP CLARIFICADO"/>
    <s v="."/>
    <x v="17"/>
    <s v="TAPA DE ORGANIZADOR #2 CARAMELO-ROJO"/>
    <n v="630"/>
    <n v="5"/>
    <n v="28.3"/>
    <m/>
    <m/>
    <n v="5"/>
    <n v="1075"/>
    <n v="21158"/>
    <s v="ROJO"/>
    <n v="0.9"/>
    <n v="0"/>
    <n v="0"/>
    <n v="13.23"/>
    <n v="28.3"/>
    <n v="21"/>
    <n v="1347.6190476190477"/>
    <x v="3"/>
    <x v="0"/>
    <n v="17"/>
    <n v="2"/>
    <n v="105"/>
  </r>
  <r>
    <d v="2025-05-01T08:46:00"/>
    <s v="INYECTADO"/>
    <x v="7"/>
    <x v="76"/>
    <s v="CRISALIDA ZAPATA"/>
    <s v="VIRGEN"/>
    <s v="PP CLARIFICADO"/>
    <s v="."/>
    <x v="17"/>
    <s v="TAPA DE ORGANIZADOR #2 CARAMELO-LILA"/>
    <n v="360"/>
    <n v="4"/>
    <n v="16.2"/>
    <m/>
    <m/>
    <n v="5"/>
    <n v="1075"/>
    <n v="21158"/>
    <s v="LILA"/>
    <n v="6"/>
    <n v="0"/>
    <n v="0"/>
    <n v="7.56"/>
    <n v="16.2"/>
    <n v="21"/>
    <n v="771.42857142857144"/>
    <x v="3"/>
    <x v="0"/>
    <n v="17"/>
    <n v="2"/>
    <n v="60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5-26T09:10:00"/>
    <s v="INYECTADO"/>
    <x v="4"/>
    <x v="81"/>
    <s v="NELSON PINEDO"/>
    <s v="SEGUNDA"/>
    <s v="."/>
    <s v="MIXTO"/>
    <x v="74"/>
    <s v="MINICANASTA-TURQUESA"/>
    <n v="312"/>
    <n v="3"/>
    <n v="9.3000000000000007"/>
    <s v="DIURNO"/>
    <n v="240"/>
    <n v="2"/>
    <n v="1095"/>
    <n v="20439"/>
    <s v="TURQUESA"/>
    <n v="0.3"/>
    <n v="0"/>
    <n v="0"/>
    <n v="8.7360000000000007"/>
    <n v="9.3000000000000007"/>
    <n v="28"/>
    <n v="332.14285714285717"/>
    <x v="4"/>
    <x v="0"/>
    <n v="18"/>
    <n v="1"/>
    <n v="26"/>
  </r>
  <r>
    <d v="2025-05-26T09:10:00"/>
    <s v="INYECTADO"/>
    <x v="4"/>
    <x v="82"/>
    <s v="MELISA ZEBALLOS"/>
    <s v="SEGUNDA"/>
    <s v="."/>
    <s v="MIXTO"/>
    <x v="74"/>
    <s v="MINICANASTA-TURQUESA"/>
    <n v="859"/>
    <n v="5"/>
    <n v="23.1"/>
    <s v="DIURNO"/>
    <n v="0"/>
    <n v="3"/>
    <n v="1095"/>
    <n v="20440"/>
    <s v="TURQUESA"/>
    <n v="0"/>
    <n v="0"/>
    <n v="0"/>
    <n v="24.052"/>
    <n v="23.1"/>
    <n v="28"/>
    <n v="825"/>
    <x v="4"/>
    <x v="0"/>
    <n v="19"/>
    <n v="1"/>
    <n v="71.583333333333329"/>
  </r>
  <r>
    <d v="2025-05-26T09:10:00"/>
    <s v="INYECTADO"/>
    <x v="4"/>
    <x v="83"/>
    <s v="ISABEL LINARIZ"/>
    <s v="SEGUNDA"/>
    <s v="."/>
    <s v="MIXTO"/>
    <x v="74"/>
    <s v="MINICANASTA-MELON"/>
    <n v="1296"/>
    <n v="11"/>
    <n v="41.5"/>
    <s v="DIURNO"/>
    <n v="0"/>
    <n v="6"/>
    <n v="1095"/>
    <n v="20441"/>
    <s v="MELON"/>
    <n v="3.8"/>
    <n v="0"/>
    <n v="0"/>
    <n v="36.287999999999997"/>
    <n v="41.5"/>
    <n v="28"/>
    <n v="1482.1428571428571"/>
    <x v="4"/>
    <x v="0"/>
    <n v="19"/>
    <n v="1"/>
    <n v="108"/>
  </r>
  <r>
    <d v="2025-05-27T09:10:00"/>
    <s v="INYECTADO"/>
    <x v="4"/>
    <x v="84"/>
    <s v="ISABEL LINARIZ"/>
    <s v="SEGUNDA"/>
    <s v="."/>
    <s v="MIXTO"/>
    <x v="74"/>
    <s v="MINICANASTA-ROSADO"/>
    <n v="843"/>
    <n v="6"/>
    <n v="26.9"/>
    <s v="DIURNO"/>
    <n v="0"/>
    <n v="4"/>
    <n v="1095"/>
    <n v="20442"/>
    <s v="ROSADO"/>
    <n v="0"/>
    <n v="0"/>
    <n v="0"/>
    <n v="23.603999999999999"/>
    <n v="26.9"/>
    <n v="28"/>
    <n v="960.71428571428567"/>
    <x v="4"/>
    <x v="0"/>
    <n v="20"/>
    <n v="1"/>
    <n v="70.25"/>
  </r>
  <r>
    <d v="2025-05-26T09:10:00"/>
    <s v="INYECTADO"/>
    <x v="4"/>
    <x v="84"/>
    <s v="ISABEL LINARIZ"/>
    <s v="SEGUNDA"/>
    <s v="."/>
    <s v="MIXTO"/>
    <x v="74"/>
    <s v="MINICANASTA-LILA"/>
    <n v="462"/>
    <n v="4"/>
    <n v="14.7"/>
    <s v="DIURNO"/>
    <n v="0"/>
    <n v="2"/>
    <n v="1095"/>
    <n v="20442"/>
    <s v="LILA"/>
    <n v="0"/>
    <n v="0"/>
    <n v="0"/>
    <n v="12.936"/>
    <n v="14.7"/>
    <n v="28"/>
    <n v="525"/>
    <x v="4"/>
    <x v="0"/>
    <n v="20"/>
    <n v="1"/>
    <n v="38.5"/>
  </r>
  <r>
    <d v="2025-05-26T09:10:00"/>
    <s v="INYECTADO"/>
    <x v="4"/>
    <x v="85"/>
    <s v="ANTHONY "/>
    <s v="SEGUNDA"/>
    <s v="."/>
    <s v="MIXTO"/>
    <x v="74"/>
    <s v="MINICANASTA-LILA"/>
    <n v="643"/>
    <n v="3"/>
    <n v="17.3"/>
    <s v="DIURNO"/>
    <n v="0"/>
    <n v="3"/>
    <n v="1095"/>
    <n v="20443"/>
    <s v="LILA"/>
    <n v="0"/>
    <n v="0"/>
    <n v="0"/>
    <n v="18.004000000000001"/>
    <n v="17.3"/>
    <n v="28"/>
    <n v="617.85714285714289"/>
    <x v="4"/>
    <x v="0"/>
    <n v="20"/>
    <n v="1"/>
    <n v="53.583333333333336"/>
  </r>
  <r>
    <d v="2025-05-26T09:10:00"/>
    <s v="INYECTADO"/>
    <x v="4"/>
    <x v="85"/>
    <s v="ANTHONY "/>
    <s v="SEGUNDA"/>
    <s v="."/>
    <s v="MIXTO"/>
    <x v="74"/>
    <s v="MINICANASTA-TURQUESA"/>
    <n v="693"/>
    <n v="3"/>
    <n v="22.2"/>
    <s v="DIURNO"/>
    <n v="0"/>
    <n v="3"/>
    <n v="1095"/>
    <n v="20443"/>
    <s v="TURQUESA"/>
    <n v="0"/>
    <n v="0"/>
    <n v="0"/>
    <n v="19.404"/>
    <n v="22.2"/>
    <n v="28"/>
    <n v="792.85714285714289"/>
    <x v="4"/>
    <x v="0"/>
    <n v="20"/>
    <n v="1"/>
    <n v="57.75"/>
  </r>
  <r>
    <d v="2025-05-26T09:10:00"/>
    <s v="INYECTADO"/>
    <x v="4"/>
    <x v="86"/>
    <s v="ISABEL LINARIZ"/>
    <s v="SEGUNDA"/>
    <s v="."/>
    <s v="MIXTO"/>
    <x v="74"/>
    <s v="MINICANASTA-MELON"/>
    <n v="196"/>
    <n v="2"/>
    <n v="6.3"/>
    <s v="DIURNO"/>
    <n v="0"/>
    <n v="1"/>
    <n v="1095"/>
    <n v="20444"/>
    <s v="MELON"/>
    <n v="2.7"/>
    <n v="0"/>
    <n v="0"/>
    <n v="5.4880000000000004"/>
    <n v="6.3"/>
    <n v="28"/>
    <n v="225"/>
    <x v="4"/>
    <x v="0"/>
    <n v="20"/>
    <n v="1"/>
    <n v="16.333333333333332"/>
  </r>
  <r>
    <d v="2025-05-26T09:10:00"/>
    <s v="INYECTADO"/>
    <x v="4"/>
    <x v="87"/>
    <s v="LUIS RENGIFO"/>
    <s v="SEGUNDA"/>
    <s v="."/>
    <s v="MIXTO"/>
    <x v="75"/>
    <s v="PANERITA MANZANA-LILA"/>
    <n v="380"/>
    <n v="3"/>
    <n v="7.6"/>
    <s v="DIURNO"/>
    <n v="0"/>
    <n v="2"/>
    <n v="1108"/>
    <n v="20445"/>
    <s v="LILA"/>
    <n v="1.2"/>
    <n v="0"/>
    <n v="0"/>
    <n v="7.8280000000000012"/>
    <n v="7.6"/>
    <n v="20.6"/>
    <n v="368.93203883495141"/>
    <x v="4"/>
    <x v="0"/>
    <n v="20"/>
    <n v="1"/>
    <n v="31.666666666666668"/>
  </r>
  <r>
    <d v="2025-05-26T09:10:00"/>
    <s v="INYECTADO"/>
    <x v="4"/>
    <x v="88"/>
    <s v="GABRIEL ORDAZ"/>
    <s v="SEGUNDA"/>
    <s v="."/>
    <s v="MIXTO"/>
    <x v="75"/>
    <s v="PANERITA MANZANA-LILA"/>
    <n v="1925"/>
    <n v="11"/>
    <n v="38.5"/>
    <s v="DIURNO"/>
    <n v="0"/>
    <n v="6"/>
    <n v="1108"/>
    <n v="20446"/>
    <s v="LILA"/>
    <n v="2.6"/>
    <n v="0"/>
    <n v="0"/>
    <n v="39.655000000000001"/>
    <n v="38.5"/>
    <n v="20.6"/>
    <n v="1868.9320388349513"/>
    <x v="4"/>
    <x v="0"/>
    <n v="20"/>
    <n v="1"/>
    <n v="160.41666666666666"/>
  </r>
  <r>
    <d v="2025-05-26T09:10:00"/>
    <s v="INYECTADO"/>
    <x v="4"/>
    <x v="89"/>
    <s v="ISABEL LINARIZ"/>
    <s v="SEGUNDA"/>
    <s v="."/>
    <s v="MIXTO"/>
    <x v="75"/>
    <s v="PANERITA MANZANA-ROSADO"/>
    <n v="1175"/>
    <n v="8"/>
    <n v="23.5"/>
    <s v="DIURNO"/>
    <n v="0"/>
    <n v="5"/>
    <n v="1108"/>
    <n v="20447"/>
    <s v="ROSADO"/>
    <n v="2.5"/>
    <n v="0"/>
    <n v="0"/>
    <n v="24.204999999999998"/>
    <n v="23.5"/>
    <n v="20.6"/>
    <n v="1140.7766990291261"/>
    <x v="4"/>
    <x v="0"/>
    <n v="21"/>
    <n v="1"/>
    <n v="97.916666666666671"/>
  </r>
  <r>
    <d v="2025-05-26T09:10:00"/>
    <s v="INYECTADO"/>
    <x v="4"/>
    <x v="89"/>
    <s v="ISABEL LINARIZ"/>
    <s v="SEGUNDA"/>
    <s v="."/>
    <s v="MIXTO"/>
    <x v="75"/>
    <s v="PANERITA MANZANA-MELON"/>
    <n v="490"/>
    <n v="4"/>
    <n v="9.8000000000000007"/>
    <s v="DIURNO"/>
    <n v="0"/>
    <n v="3"/>
    <n v="1108"/>
    <n v="20447"/>
    <s v="LILA"/>
    <n v="0.7"/>
    <n v="0"/>
    <n v="0"/>
    <n v="10.093999999999999"/>
    <n v="9.8000000000000007"/>
    <n v="20.6"/>
    <n v="475.72815533980577"/>
    <x v="4"/>
    <x v="0"/>
    <n v="21"/>
    <n v="1"/>
    <n v="40.833333333333336"/>
  </r>
  <r>
    <d v="2025-05-26T09:10:00"/>
    <s v="INYECTADO"/>
    <x v="4"/>
    <x v="90"/>
    <s v="CRISALIDA ZAPATA"/>
    <s v="SEGUNDA"/>
    <s v="."/>
    <s v="MIXTO"/>
    <x v="75"/>
    <s v="PANERITA MANZANA-MELON"/>
    <n v="740"/>
    <n v="4"/>
    <n v="14.8"/>
    <s v="DIURNO"/>
    <n v="0"/>
    <n v="4"/>
    <n v="1108"/>
    <n v="20448"/>
    <s v="MELON"/>
    <n v="1.3"/>
    <n v="0"/>
    <n v="0"/>
    <n v="15.244000000000002"/>
    <n v="14.8"/>
    <n v="20.6"/>
    <n v="718.44660194174753"/>
    <x v="4"/>
    <x v="0"/>
    <n v="21"/>
    <n v="1"/>
    <n v="61.666666666666664"/>
  </r>
  <r>
    <d v="2025-05-26T09:10:00"/>
    <s v="INYECTADO"/>
    <x v="4"/>
    <x v="90"/>
    <s v="CRISALIDA ZAPATA"/>
    <s v="SEGUNDA"/>
    <s v="."/>
    <s v="MIXTO"/>
    <x v="75"/>
    <s v="PANERITA MANZANA-TURQUESA"/>
    <n v="1055"/>
    <n v="6"/>
    <n v="21.1"/>
    <s v="DIURNO"/>
    <n v="0"/>
    <n v="3"/>
    <n v="1108"/>
    <n v="20448"/>
    <s v="TURQUESA"/>
    <n v="0"/>
    <n v="0"/>
    <n v="0"/>
    <n v="21.733000000000001"/>
    <n v="21.1"/>
    <n v="20.6"/>
    <n v="1024.2718446601941"/>
    <x v="4"/>
    <x v="0"/>
    <n v="21"/>
    <n v="1"/>
    <n v="87.916666666666671"/>
  </r>
  <r>
    <d v="2025-05-26T09:10:00"/>
    <s v="INYECTADO"/>
    <x v="4"/>
    <x v="91"/>
    <s v="CRISALIDA ZAPATA"/>
    <s v="SEGUNDA"/>
    <s v="."/>
    <s v="MIXTO"/>
    <x v="75"/>
    <s v="PANERITA MANZANA-TURQUESA"/>
    <n v="990"/>
    <n v="6"/>
    <n v="19.8"/>
    <s v="DIURNO"/>
    <n v="0"/>
    <n v="5"/>
    <n v="1108"/>
    <n v="20449"/>
    <s v="TURQUESA"/>
    <n v="1.7"/>
    <n v="0"/>
    <n v="0"/>
    <n v="20.393999999999998"/>
    <n v="19.8"/>
    <n v="20.6"/>
    <n v="961.1650485436893"/>
    <x v="4"/>
    <x v="0"/>
    <n v="22"/>
    <n v="1"/>
    <n v="82.5"/>
  </r>
  <r>
    <d v="2025-05-26T09:10:00"/>
    <s v="INYECTADO"/>
    <x v="4"/>
    <x v="91"/>
    <s v="CRISALIDA ZAPATA"/>
    <s v="SEGUNDA"/>
    <s v="."/>
    <s v="MIXTO"/>
    <x v="75"/>
    <s v="PANERITA MANZANA-MELON"/>
    <n v="375"/>
    <n v="3"/>
    <n v="7.5"/>
    <s v="DIURNO"/>
    <n v="0"/>
    <n v="2"/>
    <n v="1108"/>
    <n v="20449"/>
    <s v="MELON"/>
    <n v="1.9"/>
    <n v="0"/>
    <n v="0"/>
    <n v="7.7250000000000005"/>
    <n v="7.5"/>
    <n v="20.6"/>
    <n v="364.07766990291259"/>
    <x v="4"/>
    <x v="0"/>
    <n v="22"/>
    <n v="1"/>
    <n v="31.25"/>
  </r>
  <r>
    <d v="2025-05-26T09:10:00"/>
    <s v="INYECTADO"/>
    <x v="4"/>
    <x v="92"/>
    <s v="CRISALIDA ZAPATA"/>
    <s v="SEGUNDA"/>
    <s v="."/>
    <s v="MIXTO"/>
    <x v="75"/>
    <s v="PANERITA MANZANA-MELON"/>
    <n v="325"/>
    <n v="3"/>
    <n v="6.5"/>
    <s v="DIURNO"/>
    <n v="0"/>
    <n v="2"/>
    <n v="1108"/>
    <n v="20450"/>
    <s v="MELON"/>
    <n v="1.6"/>
    <n v="0"/>
    <n v="0"/>
    <n v="6.6950000000000012"/>
    <n v="6.5"/>
    <n v="20.6"/>
    <n v="315.53398058252424"/>
    <x v="4"/>
    <x v="0"/>
    <n v="22"/>
    <n v="1"/>
    <n v="27.083333333333332"/>
  </r>
  <r>
    <d v="2025-05-26T09:10:00"/>
    <s v="INYECTADO"/>
    <x v="4"/>
    <x v="92"/>
    <s v="CRISALIDA ZAPATA"/>
    <s v="SEGUNDA"/>
    <s v="."/>
    <s v="MIXTO"/>
    <x v="75"/>
    <s v="PANERITA MANZANA-ROSADO"/>
    <n v="1180"/>
    <n v="7"/>
    <n v="23.6"/>
    <s v="DIURNO"/>
    <n v="0"/>
    <n v="5"/>
    <n v="1108"/>
    <n v="20450"/>
    <s v="ROSADO"/>
    <n v="2.1"/>
    <n v="0"/>
    <n v="0"/>
    <n v="24.308"/>
    <n v="23.6"/>
    <n v="20.6"/>
    <n v="1145.6310679611649"/>
    <x v="4"/>
    <x v="0"/>
    <n v="22"/>
    <n v="1"/>
    <n v="98.333333333333329"/>
  </r>
  <r>
    <d v="2025-05-26T09:10:00"/>
    <s v="INYECTADO"/>
    <x v="5"/>
    <x v="93"/>
    <s v="LUIS RENGIFO"/>
    <s v="VIRGEN"/>
    <s v="ALTA INYECCION"/>
    <s v="."/>
    <x v="76"/>
    <s v="ASAS DE ORGANIZADOR 2 Y 3-ROSADO PASTEL"/>
    <n v="734"/>
    <n v="5"/>
    <n v="23.5"/>
    <s v="DIURNO"/>
    <n v="0"/>
    <n v="3"/>
    <n v="1101"/>
    <n v="20385"/>
    <s v="ROSADO"/>
    <n v="9.5"/>
    <n v="0"/>
    <n v="0"/>
    <n v="8.0739999999999998"/>
    <n v="23.5"/>
    <n v="11"/>
    <n v="2136.3636363636365"/>
    <x v="4"/>
    <x v="0"/>
    <n v="19"/>
    <n v="3"/>
    <n v="183.5"/>
  </r>
  <r>
    <d v="2025-05-26T09:10:00"/>
    <s v="INYECTADO"/>
    <x v="5"/>
    <x v="93"/>
    <s v="LUIS RENGIFO"/>
    <s v="VIRGEN"/>
    <s v="ALTA INYECCION"/>
    <s v="."/>
    <x v="76"/>
    <s v="ASAS DE ORGANIZADOR 2 Y 3-ROJO"/>
    <n v="743"/>
    <n v="6"/>
    <n v="23.8"/>
    <s v="DIURNO"/>
    <n v="0"/>
    <n v="3"/>
    <n v="1101"/>
    <n v="20385"/>
    <s v="ROJO"/>
    <n v="9.6999999999999993"/>
    <n v="0"/>
    <n v="0"/>
    <n v="8.173"/>
    <n v="23.8"/>
    <n v="11"/>
    <n v="2163.6363636363635"/>
    <x v="4"/>
    <x v="0"/>
    <n v="19"/>
    <n v="3"/>
    <n v="185.75"/>
  </r>
  <r>
    <d v="2025-05-26T09:10:00"/>
    <s v="INYECTADO"/>
    <x v="5"/>
    <x v="94"/>
    <s v="ANTHONY "/>
    <s v="VIRGEN"/>
    <s v="ALTA INYECCION"/>
    <s v="."/>
    <x v="76"/>
    <s v="ASAS DE ORGANIZADOR 2 Y 3-ROJO"/>
    <n v="1140"/>
    <n v="11"/>
    <n v="46.1"/>
    <s v="DIURNO"/>
    <n v="0"/>
    <n v="5"/>
    <n v="1101"/>
    <n v="20386"/>
    <s v="ROJO"/>
    <n v="18.899999999999999"/>
    <n v="0"/>
    <n v="0"/>
    <n v="12.54"/>
    <n v="46.1"/>
    <n v="11"/>
    <n v="4190.909090909091"/>
    <x v="4"/>
    <x v="0"/>
    <n v="19"/>
    <n v="3"/>
    <n v="285"/>
  </r>
  <r>
    <d v="2025-05-26T09:10:00"/>
    <s v="INYECTADO"/>
    <x v="5"/>
    <x v="85"/>
    <s v="ISABEL LINARIZ"/>
    <s v="VIRGEN"/>
    <s v="ALTA INYECCION"/>
    <s v="."/>
    <x v="76"/>
    <s v="ASAS DE ORGANIZADOR 2 Y 3-ROJO"/>
    <n v="181"/>
    <n v="2"/>
    <n v="5.8"/>
    <s v="DIURNO"/>
    <n v="0"/>
    <n v="1"/>
    <n v="1101"/>
    <n v="20387"/>
    <s v="ROJO"/>
    <n v="4.5"/>
    <n v="0"/>
    <n v="0"/>
    <n v="1.9910000000000001"/>
    <n v="5.8"/>
    <n v="11"/>
    <n v="527.27272727272725"/>
    <x v="4"/>
    <x v="0"/>
    <n v="20"/>
    <n v="3"/>
    <n v="45.25"/>
  </r>
  <r>
    <d v="2025-05-26T09:10:00"/>
    <s v="INYECTADO"/>
    <x v="5"/>
    <x v="85"/>
    <s v="ISABEL LINARIZ"/>
    <s v="VIRGEN"/>
    <s v="ALTA INYECCION"/>
    <s v="."/>
    <x v="76"/>
    <s v="ASAS DE ORGANIZADOR 2 Y 3-FUCSIA"/>
    <n v="243"/>
    <n v="2"/>
    <n v="7.8"/>
    <s v="DIURNO"/>
    <n v="0"/>
    <n v="1"/>
    <n v="1101"/>
    <n v="20387"/>
    <s v="FUCSIA"/>
    <n v="3.3"/>
    <n v="0"/>
    <n v="0"/>
    <n v="2.673"/>
    <n v="7.8"/>
    <n v="11"/>
    <n v="709.09090909090912"/>
    <x v="4"/>
    <x v="0"/>
    <n v="20"/>
    <n v="3"/>
    <n v="60.75"/>
  </r>
  <r>
    <d v="2025-05-26T09:10:00"/>
    <s v="INYECTADO"/>
    <x v="5"/>
    <x v="86"/>
    <s v="GABRIEL ORDAZ"/>
    <s v="VIRGEN"/>
    <s v="ALTA INYECCION"/>
    <s v="."/>
    <x v="76"/>
    <s v="ASAS DE ORGANIZADOR 2 Y 3-TURQUESA PASTEL"/>
    <n v="478"/>
    <n v="4"/>
    <n v="15.3"/>
    <s v="DIURNO"/>
    <n v="0"/>
    <n v="6"/>
    <n v="1101"/>
    <n v="20388"/>
    <s v="TURQUESA"/>
    <n v="4.8"/>
    <n v="0"/>
    <n v="0"/>
    <n v="5.258"/>
    <n v="15.3"/>
    <n v="11"/>
    <n v="1390.909090909091"/>
    <x v="4"/>
    <x v="0"/>
    <n v="20"/>
    <n v="3"/>
    <n v="119.5"/>
  </r>
  <r>
    <d v="2025-05-26T09:10:00"/>
    <s v="INYECTADO"/>
    <x v="5"/>
    <x v="86"/>
    <s v="GABRIEL ORDAZ"/>
    <s v="VIRGEN"/>
    <s v="ALTA INYECCION"/>
    <s v="."/>
    <x v="76"/>
    <s v="ASAS DE ORGANIZADOR 2 Y 3-ROSADO PASTEL"/>
    <n v="609"/>
    <n v="5"/>
    <n v="11.7"/>
    <s v="DIURNO"/>
    <n v="2"/>
    <n v="3"/>
    <n v="1101"/>
    <n v="20388"/>
    <s v="ROSADO"/>
    <n v="5.7"/>
    <n v="0"/>
    <n v="0"/>
    <n v="6.6989999999999998"/>
    <n v="11.7"/>
    <n v="11"/>
    <n v="1063.6363636363637"/>
    <x v="4"/>
    <x v="0"/>
    <n v="20"/>
    <n v="3"/>
    <n v="152.25"/>
  </r>
  <r>
    <d v="2025-05-26T09:10:00"/>
    <s v="INYECTADO"/>
    <x v="5"/>
    <x v="95"/>
    <s v="ISABEL LINARIZ"/>
    <s v="VIRGEN"/>
    <s v="ALTA INYECCION"/>
    <s v="."/>
    <x v="76"/>
    <s v="ASAS DE ORGANIZADOR 2 Y 3-LILA"/>
    <n v="437"/>
    <n v="4"/>
    <n v="14"/>
    <s v="DIURNO"/>
    <n v="0"/>
    <n v="2"/>
    <n v="1101"/>
    <n v="20389"/>
    <s v="LILA"/>
    <n v="11"/>
    <n v="0"/>
    <n v="0"/>
    <n v="4.8070000000000004"/>
    <n v="14"/>
    <n v="11"/>
    <n v="1272.7272727272727"/>
    <x v="4"/>
    <x v="0"/>
    <n v="22"/>
    <n v="3"/>
    <n v="109.25"/>
  </r>
  <r>
    <d v="2025-05-26T09:10:00"/>
    <s v="INYECTADO"/>
    <x v="5"/>
    <x v="95"/>
    <s v="ISABEL LINARIZ"/>
    <s v="VIRGEN"/>
    <s v="ALTA INYECCION"/>
    <s v="."/>
    <x v="76"/>
    <s v="ASAS DE ORGANIZADOR 2 Y 3-TURQUESA PASTEL"/>
    <n v="90"/>
    <n v="1"/>
    <n v="2.9"/>
    <s v="DIURNO"/>
    <n v="0"/>
    <n v="1"/>
    <n v="1101"/>
    <n v="20389"/>
    <s v="TURQUESA"/>
    <n v="0.9"/>
    <n v="0"/>
    <n v="0"/>
    <n v="0.99"/>
    <n v="2.9"/>
    <n v="11"/>
    <n v="263.63636363636363"/>
    <x v="4"/>
    <x v="0"/>
    <n v="22"/>
    <n v="3"/>
    <n v="22.5"/>
  </r>
  <r>
    <d v="2025-05-26T09:10:00"/>
    <s v="INYECTADO"/>
    <x v="0"/>
    <x v="94"/>
    <s v="LUIS RENGIFO"/>
    <s v="SEGUNDA"/>
    <s v="."/>
    <s v="MIXTO"/>
    <x v="77"/>
    <s v="COLADOR HOGAR SOLIDO#1-VERDE"/>
    <n v="410"/>
    <n v="3"/>
    <n v="11.9"/>
    <s v="DIURNO"/>
    <n v="2"/>
    <n v="2"/>
    <n v="1098"/>
    <n v="20789"/>
    <s v="VERDE"/>
    <n v="2.1"/>
    <n v="0"/>
    <n v="0"/>
    <n v="12.3"/>
    <n v="11.9"/>
    <n v="30"/>
    <n v="396.66666666666669"/>
    <x v="4"/>
    <x v="0"/>
    <n v="19"/>
    <n v="1"/>
    <n v="34.166666666666664"/>
  </r>
  <r>
    <d v="2025-05-26T09:10:00"/>
    <s v="INYECTADO"/>
    <x v="0"/>
    <x v="96"/>
    <s v="CRISALIDA ZAPATA"/>
    <s v="SEGUNDA"/>
    <s v="."/>
    <s v="MIXTO"/>
    <x v="77"/>
    <s v="COLADOR HOGAR SOLIDO#1-ANARANJADO"/>
    <n v="803"/>
    <n v="6"/>
    <n v="24.1"/>
    <s v="DIURNO"/>
    <n v="0"/>
    <n v="4"/>
    <n v="1098"/>
    <n v="20790"/>
    <s v="ANRANJADO"/>
    <n v="8"/>
    <n v="0"/>
    <n v="0"/>
    <n v="24.09"/>
    <n v="24.1"/>
    <n v="30"/>
    <n v="803.33333333333337"/>
    <x v="4"/>
    <x v="0"/>
    <n v="19"/>
    <n v="1"/>
    <n v="66.916666666666671"/>
  </r>
  <r>
    <d v="2025-05-26T09:10:00"/>
    <s v="INYECTADO"/>
    <x v="0"/>
    <x v="96"/>
    <s v="CRISALIDA ZAPATA"/>
    <s v="VIRGEN"/>
    <s v="PP CLARIFICADO"/>
    <s v="."/>
    <x v="77"/>
    <s v="COLADOR HOGAR SOLIDO#1-CREMA"/>
    <n v="310"/>
    <n v="3"/>
    <n v="9.3000000000000007"/>
    <s v="DIURNO"/>
    <n v="0"/>
    <n v="2"/>
    <n v="1098"/>
    <n v="20790"/>
    <s v="CREMA"/>
    <n v="1.7"/>
    <n v="0"/>
    <n v="0"/>
    <n v="9.3000000000000007"/>
    <n v="9.3000000000000007"/>
    <n v="30"/>
    <n v="310"/>
    <x v="4"/>
    <x v="0"/>
    <n v="19"/>
    <n v="1"/>
    <n v="25.833333333333332"/>
  </r>
  <r>
    <d v="2025-05-26T09:10:00"/>
    <s v="INYECTADO"/>
    <x v="0"/>
    <x v="97"/>
    <s v="LUIS RENGIFO"/>
    <s v="SEGUNDA"/>
    <s v="."/>
    <s v="MIXTO"/>
    <x v="77"/>
    <s v="COLADOR HOGAR SOLIDO#1-VERDE"/>
    <n v="737"/>
    <n v="6"/>
    <n v="21.4"/>
    <s v="DIURNO"/>
    <n v="0"/>
    <n v="3"/>
    <n v="1098"/>
    <n v="20791"/>
    <s v="VERDE"/>
    <n v="6.3"/>
    <n v="0"/>
    <n v="0"/>
    <n v="22.11"/>
    <n v="21.4"/>
    <n v="30"/>
    <n v="713.33333333333337"/>
    <x v="4"/>
    <x v="0"/>
    <n v="19"/>
    <n v="1"/>
    <n v="61.416666666666664"/>
  </r>
  <r>
    <d v="2025-05-26T09:10:00"/>
    <s v="INYECTADO"/>
    <x v="0"/>
    <x v="97"/>
    <s v="LUIS RENGIFO"/>
    <s v="SEGUNDA"/>
    <s v="."/>
    <s v="MIXTO"/>
    <x v="77"/>
    <s v="COLADOR HOGAR SOLIDO#1-AZURE"/>
    <n v="244"/>
    <n v="2"/>
    <n v="7.1"/>
    <s v="DIURNO"/>
    <n v="0"/>
    <n v="1"/>
    <n v="1098"/>
    <n v="20791"/>
    <s v="CELESTE"/>
    <n v="2.2000000000000002"/>
    <n v="0"/>
    <n v="0"/>
    <n v="7.32"/>
    <n v="7.1"/>
    <n v="30"/>
    <n v="236.66666666666666"/>
    <x v="4"/>
    <x v="0"/>
    <n v="19"/>
    <n v="1"/>
    <n v="20.333333333333332"/>
  </r>
  <r>
    <d v="2025-05-26T09:10:00"/>
    <s v="INYECTADO"/>
    <x v="0"/>
    <x v="85"/>
    <s v="CRISALIDA ZAPATA"/>
    <s v="SEGUNDA"/>
    <s v="."/>
    <s v="MIXTO"/>
    <x v="77"/>
    <s v="COLADOR HOGAR SOLIDO#1-AZURE"/>
    <n v="62"/>
    <n v="1"/>
    <n v="1.8"/>
    <s v="DIURNO"/>
    <n v="0"/>
    <n v="1"/>
    <n v="1098"/>
    <n v="20794"/>
    <s v="CELESTE"/>
    <n v="5.0999999999999996"/>
    <n v="0"/>
    <n v="0"/>
    <n v="1.86"/>
    <n v="1.8"/>
    <n v="30"/>
    <n v="60"/>
    <x v="4"/>
    <x v="0"/>
    <n v="20"/>
    <n v="1"/>
    <n v="5.166666666666667"/>
  </r>
  <r>
    <d v="2025-05-26T09:10:00"/>
    <s v="INYECTADO"/>
    <x v="0"/>
    <x v="85"/>
    <s v="CRISALIDA ZAPATA"/>
    <s v="SEGUNDA"/>
    <s v="."/>
    <s v="MIXTO"/>
    <x v="77"/>
    <s v="COLADOR HOGAR SOLIDO#1-ROJO"/>
    <n v="766"/>
    <n v="7"/>
    <n v="23"/>
    <s v="DIURNO"/>
    <n v="0"/>
    <n v="3"/>
    <n v="1098"/>
    <n v="20794"/>
    <s v="ROJO"/>
    <n v="6"/>
    <n v="0"/>
    <n v="0"/>
    <n v="22.98"/>
    <n v="23"/>
    <n v="30"/>
    <n v="766.66666666666663"/>
    <x v="4"/>
    <x v="0"/>
    <n v="20"/>
    <n v="1"/>
    <n v="63.833333333333336"/>
  </r>
  <r>
    <d v="2025-05-26T09:10:00"/>
    <s v="INYECTADO"/>
    <x v="0"/>
    <x v="85"/>
    <s v="JOSDER GONZALEZ"/>
    <s v="VIRGEN"/>
    <s v="PP CLARIFICADO"/>
    <s v="."/>
    <x v="77"/>
    <s v="COLADOR HOGAR SOLIDO#1-CREMA"/>
    <n v="1650"/>
    <n v="12"/>
    <n v="49.5"/>
    <s v="NOCTURNO"/>
    <n v="0"/>
    <n v="7"/>
    <n v="1098"/>
    <n v="20795"/>
    <s v="CREMA"/>
    <n v="2.5"/>
    <n v="0"/>
    <n v="0"/>
    <n v="49.5"/>
    <n v="49.5"/>
    <n v="30"/>
    <n v="1650"/>
    <x v="4"/>
    <x v="0"/>
    <n v="20"/>
    <n v="1"/>
    <n v="137.5"/>
  </r>
  <r>
    <d v="2025-05-26T09:10:00"/>
    <s v="INYECTADO"/>
    <x v="0"/>
    <x v="86"/>
    <s v="CRISALIDA ZAPATA"/>
    <s v="VIRGEN"/>
    <s v="PP CLARIFICADO"/>
    <s v="."/>
    <x v="77"/>
    <s v="COLADOR HOGAR SOLIDO#1-CREMA"/>
    <n v="756"/>
    <n v="7"/>
    <n v="22.7"/>
    <s v="DIURNO"/>
    <n v="0"/>
    <n v="3"/>
    <n v="1098"/>
    <n v="20796"/>
    <s v="CREMA"/>
    <n v="3.2"/>
    <n v="0"/>
    <n v="0"/>
    <n v="22.68"/>
    <n v="22.7"/>
    <n v="30"/>
    <n v="756.66666666666663"/>
    <x v="4"/>
    <x v="0"/>
    <n v="20"/>
    <n v="1"/>
    <n v="63"/>
  </r>
  <r>
    <d v="2025-05-26T09:10:00"/>
    <s v="INYECTADO"/>
    <x v="0"/>
    <x v="86"/>
    <s v="CRISALIDA ZAPATA"/>
    <s v="SEGUNDA"/>
    <s v="."/>
    <s v="MIXTO"/>
    <x v="77"/>
    <s v="COLADOR HOGAR SOLIDO#1-ANARANJADO"/>
    <n v="643"/>
    <n v="5"/>
    <n v="19.3"/>
    <s v="DIURNO"/>
    <n v="0"/>
    <n v="3"/>
    <n v="1098"/>
    <n v="20796"/>
    <s v="ANARANJADO"/>
    <n v="1.8"/>
    <n v="0"/>
    <n v="0"/>
    <n v="19.29"/>
    <n v="19.3"/>
    <n v="30"/>
    <n v="643.33333333333337"/>
    <x v="4"/>
    <x v="0"/>
    <n v="20"/>
    <n v="1"/>
    <n v="53.583333333333336"/>
  </r>
  <r>
    <d v="2025-05-26T09:10:00"/>
    <s v="INYECTADO"/>
    <x v="0"/>
    <x v="86"/>
    <s v="JOSDER GONZALEZ"/>
    <s v="SEGUNDA"/>
    <s v="."/>
    <s v="MIXTO"/>
    <x v="77"/>
    <s v="COLADOR HOGAR SOLIDO#1-ANARANJADO"/>
    <n v="690"/>
    <n v="5"/>
    <n v="20.7"/>
    <s v="NOCTURNO"/>
    <n v="0"/>
    <n v="4"/>
    <n v="1098"/>
    <n v="20797"/>
    <s v="ANARANJADO"/>
    <n v="1.3"/>
    <n v="0"/>
    <n v="0"/>
    <n v="20.7"/>
    <n v="20.7"/>
    <n v="30"/>
    <n v="690"/>
    <x v="4"/>
    <x v="0"/>
    <n v="20"/>
    <n v="1"/>
    <n v="57.5"/>
  </r>
  <r>
    <d v="2025-05-26T09:10:00"/>
    <s v="INYECTADO"/>
    <x v="0"/>
    <x v="87"/>
    <s v="CRISALIDA ZAPATA"/>
    <s v="SEGUNDA"/>
    <s v="."/>
    <s v="MIXTO"/>
    <x v="77"/>
    <s v="COLADOR HOGAR SOLIDO#1-ANARANJADO"/>
    <n v="770"/>
    <n v="6"/>
    <n v="23.1"/>
    <s v="DIURNO"/>
    <n v="0"/>
    <n v="4"/>
    <n v="1098"/>
    <n v="20798"/>
    <s v="ANARANJADO"/>
    <n v="4.7"/>
    <n v="0"/>
    <n v="0"/>
    <n v="23.1"/>
    <n v="23.1"/>
    <n v="30"/>
    <n v="770"/>
    <x v="4"/>
    <x v="0"/>
    <n v="20"/>
    <n v="1"/>
    <n v="64.166666666666671"/>
  </r>
  <r>
    <d v="2025-05-26T09:10:00"/>
    <s v="INYECTADO"/>
    <x v="0"/>
    <x v="87"/>
    <s v="CRISALIDA ZAPATA"/>
    <s v="SEGUNDA"/>
    <s v="."/>
    <s v="MIXTO"/>
    <x v="77"/>
    <s v="COLADOR HOGAR SOLIDO#1-AZURE"/>
    <n v="576"/>
    <n v="5"/>
    <n v="17.3"/>
    <s v="DIURNO"/>
    <n v="0"/>
    <n v="2"/>
    <n v="1098"/>
    <n v="20798"/>
    <s v="CELESTE"/>
    <n v="0.9"/>
    <n v="0"/>
    <n v="0"/>
    <n v="17.28"/>
    <n v="17.3"/>
    <n v="30"/>
    <n v="576.66666666666663"/>
    <x v="4"/>
    <x v="0"/>
    <n v="20"/>
    <n v="1"/>
    <n v="48"/>
  </r>
  <r>
    <d v="2025-05-26T09:10:00"/>
    <s v="INYECTADO"/>
    <x v="0"/>
    <x v="87"/>
    <s v="JOSDER GONZALEZ"/>
    <s v="SEGUNDA"/>
    <s v="."/>
    <s v="MIXTO"/>
    <x v="77"/>
    <s v="COLADOR HOGAR SOLIDO#1-AZURE"/>
    <n v="339"/>
    <n v="3"/>
    <n v="10.3"/>
    <s v="NOCTURNO"/>
    <n v="0"/>
    <n v="2"/>
    <n v="1098"/>
    <n v="20799"/>
    <s v="CELESTE"/>
    <n v="1.4"/>
    <n v="0"/>
    <n v="0"/>
    <n v="10.17"/>
    <n v="10.3"/>
    <n v="30"/>
    <n v="343.33333333333331"/>
    <x v="4"/>
    <x v="0"/>
    <n v="20"/>
    <n v="1"/>
    <n v="28.25"/>
  </r>
  <r>
    <d v="2025-05-26T09:10:00"/>
    <s v="INYECTADO"/>
    <x v="0"/>
    <x v="87"/>
    <s v="JOSDER GONZALEZ"/>
    <s v="SEGUNDA"/>
    <s v="."/>
    <s v="MIXTO"/>
    <x v="77"/>
    <s v="COLADOR HOGAR SOLIDO#1-AZUL"/>
    <n v="1194"/>
    <n v="9"/>
    <n v="36.299999999999997"/>
    <s v="NOCTURNO"/>
    <n v="0"/>
    <n v="5"/>
    <n v="1098"/>
    <n v="20799"/>
    <s v="AZUL"/>
    <n v="1.8"/>
    <n v="0"/>
    <n v="0"/>
    <n v="35.82"/>
    <n v="36.299999999999997"/>
    <n v="30"/>
    <n v="1210"/>
    <x v="4"/>
    <x v="0"/>
    <n v="20"/>
    <n v="1"/>
    <n v="99.5"/>
  </r>
  <r>
    <d v="2025-05-26T09:10:00"/>
    <s v="INYECTADO"/>
    <x v="0"/>
    <x v="88"/>
    <s v="CRISALIDA ZAPATA"/>
    <s v="SEGUNDA"/>
    <s v="."/>
    <s v="MIXTO"/>
    <x v="77"/>
    <s v="COLADOR HOGAR SOLIDO#1-AZUL"/>
    <n v="1093"/>
    <n v="8"/>
    <n v="32.799999999999997"/>
    <s v="DIURNO"/>
    <n v="0"/>
    <n v="5"/>
    <n v="1098"/>
    <n v="20799"/>
    <s v="AZUL"/>
    <n v="3.7"/>
    <n v="0"/>
    <n v="0"/>
    <n v="32.79"/>
    <n v="32.799999999999997"/>
    <n v="30"/>
    <n v="1093.3333333333333"/>
    <x v="4"/>
    <x v="0"/>
    <n v="20"/>
    <n v="1"/>
    <n v="91.083333333333329"/>
  </r>
  <r>
    <d v="2025-05-26T09:10:00"/>
    <s v="INYECTADO"/>
    <x v="0"/>
    <x v="88"/>
    <s v="CRISALIDA ZAPATA"/>
    <s v="SEGUNDA"/>
    <s v="."/>
    <s v="MIXTO"/>
    <x v="77"/>
    <s v="COLADOR HOGAR SOLIDO#1-VERDE"/>
    <n v="330"/>
    <n v="4"/>
    <n v="9.9"/>
    <s v="DIURNO"/>
    <n v="0"/>
    <n v="2"/>
    <n v="1098"/>
    <n v="20799"/>
    <s v="VERDE"/>
    <n v="2"/>
    <n v="0"/>
    <n v="0"/>
    <n v="9.9"/>
    <n v="9.9"/>
    <n v="30"/>
    <n v="330"/>
    <x v="4"/>
    <x v="0"/>
    <n v="20"/>
    <n v="1"/>
    <n v="27.5"/>
  </r>
  <r>
    <d v="2025-05-26T09:10:00"/>
    <s v="INYECTADO"/>
    <x v="0"/>
    <x v="98"/>
    <s v="CRISALIDA ZAPATA"/>
    <s v="SEGUNDA"/>
    <s v="."/>
    <s v="MIXTO"/>
    <x v="77"/>
    <s v="COLADOR HOGAR SOLIDO#1-VERDE"/>
    <n v="1003"/>
    <n v="11"/>
    <n v="30.1"/>
    <s v="DIURNO"/>
    <n v="0"/>
    <n v="4"/>
    <n v="1098"/>
    <n v="21701"/>
    <s v="VERDE"/>
    <n v="3.4"/>
    <n v="0"/>
    <n v="0"/>
    <n v="30.09"/>
    <n v="30.1"/>
    <n v="30"/>
    <n v="1003.3333333333334"/>
    <x v="4"/>
    <x v="0"/>
    <n v="21"/>
    <n v="1"/>
    <n v="83.583333333333329"/>
  </r>
  <r>
    <d v="2025-05-26T09:10:00"/>
    <s v="INYECTADO"/>
    <x v="0"/>
    <x v="99"/>
    <s v="CRISALIDA ZAPATA"/>
    <s v="SEGUNDA"/>
    <s v="."/>
    <s v="MIXTO"/>
    <x v="77"/>
    <s v="COLADOR HOGAR SOLIDO#1-AZURE"/>
    <n v="989"/>
    <n v="8"/>
    <n v="28.7"/>
    <s v="DIURNO"/>
    <n v="0"/>
    <n v="5"/>
    <n v="1098"/>
    <n v="21702"/>
    <s v="CELESTE"/>
    <n v="5.6"/>
    <n v="0"/>
    <n v="0"/>
    <n v="29.67"/>
    <n v="28.7"/>
    <n v="30"/>
    <n v="956.66666666666663"/>
    <x v="4"/>
    <x v="0"/>
    <n v="21"/>
    <n v="1"/>
    <n v="82.416666666666671"/>
  </r>
  <r>
    <d v="2025-05-26T09:10:00"/>
    <s v="INYECTADO"/>
    <x v="0"/>
    <x v="99"/>
    <s v="CRISALIDA ZAPATA"/>
    <s v="SEGUNDA"/>
    <s v="."/>
    <s v="MIXTO"/>
    <x v="77"/>
    <s v="COLADOR HOGAR SOLIDO#1-VERDE"/>
    <n v="186"/>
    <n v="2"/>
    <n v="5.4"/>
    <s v="DIURNO"/>
    <n v="0"/>
    <n v="2"/>
    <n v="1098"/>
    <n v="21702"/>
    <s v="VERDE"/>
    <n v="2.9"/>
    <n v="0"/>
    <n v="0"/>
    <n v="5.58"/>
    <n v="5.4"/>
    <n v="30"/>
    <n v="180"/>
    <x v="4"/>
    <x v="0"/>
    <n v="21"/>
    <n v="1"/>
    <n v="15.5"/>
  </r>
  <r>
    <d v="2025-05-26T09:10:00"/>
    <s v="INYECTADO"/>
    <x v="0"/>
    <x v="100"/>
    <s v="CRISALIDA ZAPATA"/>
    <s v="SEGUNDA"/>
    <s v="."/>
    <s v="MIXTO"/>
    <x v="77"/>
    <s v="COLADOR HOGAR SOLIDO#1-AZURE"/>
    <n v="430"/>
    <n v="3"/>
    <n v="12.9"/>
    <s v="DIURNO"/>
    <n v="0"/>
    <n v="2"/>
    <n v="1098"/>
    <n v="21703"/>
    <s v="CELESTE"/>
    <n v="2.2000000000000002"/>
    <n v="0"/>
    <n v="0"/>
    <n v="12.9"/>
    <n v="12.9"/>
    <n v="30"/>
    <n v="430"/>
    <x v="4"/>
    <x v="0"/>
    <n v="21"/>
    <n v="1"/>
    <n v="35.833333333333336"/>
  </r>
  <r>
    <d v="2025-05-26T09:10:00"/>
    <s v="INYECTADO"/>
    <x v="0"/>
    <x v="100"/>
    <s v="CRISALIDA ZAPATA"/>
    <s v="SEGUNDA"/>
    <s v="."/>
    <s v="MIXTO"/>
    <x v="77"/>
    <s v="COLADOR HOGAR SOLIDO#1-ROJO"/>
    <n v="1013"/>
    <n v="8"/>
    <n v="30.4"/>
    <s v="DIURNO"/>
    <n v="0"/>
    <n v="5"/>
    <n v="1098"/>
    <n v="21703"/>
    <s v="ROJO"/>
    <n v="2.5"/>
    <n v="0"/>
    <n v="0"/>
    <n v="30.39"/>
    <n v="30.4"/>
    <n v="30"/>
    <n v="1013.3333333333334"/>
    <x v="4"/>
    <x v="0"/>
    <n v="21"/>
    <n v="1"/>
    <n v="84.416666666666671"/>
  </r>
  <r>
    <d v="2025-05-26T09:10:00"/>
    <s v="INYECTADO"/>
    <x v="0"/>
    <x v="101"/>
    <s v="CRISALIDA ZAPATA"/>
    <s v="SEGUNDA"/>
    <s v="."/>
    <s v="MIXTO"/>
    <x v="77"/>
    <s v="COLADOR HOGAR SOLIDO#1-ROJO"/>
    <n v="1003"/>
    <n v="7"/>
    <n v="30.1"/>
    <s v="DIURNO"/>
    <n v="0"/>
    <n v="5"/>
    <n v="1098"/>
    <n v="21704"/>
    <s v="ROJO"/>
    <n v="7.2"/>
    <n v="0"/>
    <n v="0"/>
    <n v="30.09"/>
    <n v="30.1"/>
    <n v="30"/>
    <n v="1003.3333333333334"/>
    <x v="4"/>
    <x v="0"/>
    <n v="21"/>
    <n v="1"/>
    <n v="83.583333333333329"/>
  </r>
  <r>
    <d v="2025-05-26T09:10:00"/>
    <s v="INYECTADO"/>
    <x v="0"/>
    <x v="101"/>
    <s v="CRISALIDA ZAPATA"/>
    <s v="SEGUNDA"/>
    <s v="."/>
    <s v="MIXTO"/>
    <x v="77"/>
    <s v="COLADOR HOGAR SOLIDO#1-ANARANJADO"/>
    <n v="362"/>
    <n v="3"/>
    <n v="10.5"/>
    <s v="DIURNO"/>
    <n v="0"/>
    <n v="2"/>
    <n v="1098"/>
    <n v="21704"/>
    <s v="ANARANJADO"/>
    <n v="0"/>
    <n v="0"/>
    <n v="0"/>
    <n v="10.86"/>
    <n v="10.5"/>
    <n v="30"/>
    <n v="350"/>
    <x v="4"/>
    <x v="0"/>
    <n v="21"/>
    <n v="1"/>
    <n v="30.166666666666668"/>
  </r>
  <r>
    <d v="2025-05-26T09:10:00"/>
    <s v="INYECTADO"/>
    <x v="0"/>
    <x v="89"/>
    <s v="CRISALIDA ZAPATA"/>
    <s v="SEGUNDA"/>
    <s v="."/>
    <s v="MIXTO"/>
    <x v="77"/>
    <s v="COLADOR HOGAR SOLIDO#1-AZURE"/>
    <n v="358"/>
    <n v="3"/>
    <n v="10.4"/>
    <s v="DIURNO"/>
    <n v="0"/>
    <n v="2"/>
    <n v="1098"/>
    <n v="21705"/>
    <s v="CELESTE"/>
    <n v="5.4"/>
    <n v="0"/>
    <n v="0"/>
    <n v="10.74"/>
    <n v="10.4"/>
    <n v="30"/>
    <n v="346.66666666666669"/>
    <x v="4"/>
    <x v="0"/>
    <n v="21"/>
    <n v="1"/>
    <n v="29.833333333333332"/>
  </r>
  <r>
    <d v="2025-05-26T09:10:00"/>
    <s v="INYECTADO"/>
    <x v="0"/>
    <x v="89"/>
    <s v="CRISALIDA ZAPATA"/>
    <s v="SEGUNDA"/>
    <s v="."/>
    <s v="MIXTO"/>
    <x v="77"/>
    <s v="COLADOR HOGAR SOLIDO#1-ANARANJADO"/>
    <n v="37"/>
    <n v="1"/>
    <n v="1.1000000000000001"/>
    <s v="DIURNO"/>
    <n v="0"/>
    <n v="1"/>
    <n v="1098"/>
    <n v="21705"/>
    <s v="ANARANJADO"/>
    <n v="2.1"/>
    <n v="0"/>
    <n v="0"/>
    <n v="1.1100000000000001"/>
    <n v="1.1000000000000001"/>
    <n v="30"/>
    <n v="36.666666666666664"/>
    <x v="4"/>
    <x v="0"/>
    <n v="21"/>
    <n v="1"/>
    <n v="3.0833333333333335"/>
  </r>
  <r>
    <d v="2025-05-26T09:10:00"/>
    <s v="INYECTADO"/>
    <x v="0"/>
    <x v="89"/>
    <s v="CRISALIDA ZAPATA"/>
    <s v="VIRGEN"/>
    <s v="PP CLARIFICADO"/>
    <s v="."/>
    <x v="77"/>
    <s v="COLADOR HOGAR SOLIDO#1-CREMA"/>
    <n v="248"/>
    <n v="2"/>
    <n v="7.2"/>
    <s v="DIURNO"/>
    <n v="0"/>
    <n v="1"/>
    <n v="1098"/>
    <n v="21705"/>
    <s v="CREMA"/>
    <n v="3.3"/>
    <n v="0"/>
    <n v="0"/>
    <n v="7.44"/>
    <n v="7.2"/>
    <n v="30"/>
    <n v="240"/>
    <x v="4"/>
    <x v="0"/>
    <n v="21"/>
    <n v="1"/>
    <n v="20.666666666666668"/>
  </r>
  <r>
    <d v="2025-05-26T09:10:00"/>
    <s v="INYECTADO"/>
    <x v="0"/>
    <x v="89"/>
    <s v="CRISALIDA ZAPATA"/>
    <s v="SEGUNDA"/>
    <s v="."/>
    <s v="MIXTO"/>
    <x v="77"/>
    <s v="COLADOR HOGAR SOLIDO#1-AZUL"/>
    <n v="372"/>
    <n v="3"/>
    <n v="10.8"/>
    <s v="DIURNO"/>
    <n v="0"/>
    <n v="2"/>
    <n v="1098"/>
    <n v="21705"/>
    <s v="AZUL"/>
    <n v="1.2"/>
    <n v="0"/>
    <n v="0"/>
    <n v="11.16"/>
    <n v="10.8"/>
    <n v="30"/>
    <n v="360"/>
    <x v="4"/>
    <x v="0"/>
    <n v="21"/>
    <n v="1"/>
    <n v="31"/>
  </r>
  <r>
    <d v="2025-05-26T09:10:00"/>
    <s v="INYECTADO"/>
    <x v="0"/>
    <x v="90"/>
    <s v="CRISALIDA ZAPATA"/>
    <s v="SEGUNDA"/>
    <s v="."/>
    <s v="MIXTO"/>
    <x v="77"/>
    <s v="COLADOR HOGAR SOLIDO#1-AZUL"/>
    <n v="303"/>
    <n v="3"/>
    <n v="9.1"/>
    <s v="DIURNO"/>
    <n v="0"/>
    <n v="2"/>
    <n v="1098"/>
    <n v="21706"/>
    <s v="AZUL"/>
    <n v="0.7"/>
    <n v="0"/>
    <n v="0"/>
    <n v="9.09"/>
    <n v="9.1"/>
    <n v="30"/>
    <n v="303.33333333333331"/>
    <x v="4"/>
    <x v="0"/>
    <n v="21"/>
    <n v="1"/>
    <n v="25.25"/>
  </r>
  <r>
    <d v="2025-05-26T09:10:00"/>
    <s v="INYECTADO"/>
    <x v="0"/>
    <x v="102"/>
    <s v="GABRIEL ORDAZ"/>
    <s v="SEGUNDA"/>
    <s v="."/>
    <s v="MIXTO"/>
    <x v="77"/>
    <s v="COLADOR HOGAR SOLIDO#1-AZUL"/>
    <n v="403"/>
    <n v="4"/>
    <n v="11.7"/>
    <s v="DIURNO"/>
    <n v="0"/>
    <n v="2"/>
    <n v="1098"/>
    <n v="21707"/>
    <s v="AZUL"/>
    <n v="4.2"/>
    <n v="0"/>
    <n v="0"/>
    <n v="12.09"/>
    <n v="11.7"/>
    <n v="30"/>
    <n v="390"/>
    <x v="4"/>
    <x v="0"/>
    <n v="22"/>
    <n v="1"/>
    <n v="33.583333333333336"/>
  </r>
  <r>
    <d v="2025-05-26T09:10:00"/>
    <s v="INYECTADO"/>
    <x v="0"/>
    <x v="102"/>
    <s v="GABRIEL ORDAZ"/>
    <s v="SEGUNDA"/>
    <s v="."/>
    <s v="MIXTO"/>
    <x v="77"/>
    <s v="COLADOR HOGAR SOLIDO#1-VERDE"/>
    <n v="355"/>
    <n v="3"/>
    <n v="10.3"/>
    <s v="DIURNO"/>
    <n v="0"/>
    <n v="2"/>
    <n v="1098"/>
    <n v="21707"/>
    <s v="VERDE"/>
    <n v="1.9"/>
    <n v="0"/>
    <n v="0"/>
    <n v="10.65"/>
    <n v="10.3"/>
    <n v="30"/>
    <n v="343.33333333333331"/>
    <x v="4"/>
    <x v="0"/>
    <n v="22"/>
    <n v="1"/>
    <n v="29.583333333333332"/>
  </r>
  <r>
    <d v="2025-05-26T09:10:00"/>
    <s v="INYECTADO"/>
    <x v="0"/>
    <x v="103"/>
    <s v="GABRIEL ORDAZ"/>
    <s v="VIRGEN"/>
    <s v="PP CLARIFICADO"/>
    <s v="."/>
    <x v="77"/>
    <s v="COLADOR HOGAR SOLIDO#1-CREMA"/>
    <n v="546"/>
    <n v="5"/>
    <n v="16.399999999999999"/>
    <s v="DIURNO"/>
    <n v="0"/>
    <n v="3"/>
    <n v="1098"/>
    <n v="21708"/>
    <s v="CREMA"/>
    <n v="4.7"/>
    <n v="0"/>
    <n v="0"/>
    <n v="16.38"/>
    <n v="16.399999999999999"/>
    <n v="30"/>
    <n v="546.66666666666663"/>
    <x v="4"/>
    <x v="0"/>
    <n v="22"/>
    <n v="1"/>
    <n v="45.5"/>
  </r>
  <r>
    <d v="2025-05-26T09:10:00"/>
    <s v="INYECTADO"/>
    <x v="0"/>
    <x v="103"/>
    <s v="GABRIEL ORDAZ"/>
    <s v="SEGUNDA"/>
    <s v="."/>
    <s v="MIXTO"/>
    <x v="77"/>
    <s v="COLADOR HOGAR SOLIDO#1-ANARANJADO"/>
    <n v="306"/>
    <n v="3"/>
    <n v="9.1999999999999993"/>
    <s v="DIURNO"/>
    <n v="0"/>
    <n v="2"/>
    <n v="1098"/>
    <n v="21708"/>
    <s v="ANRANJADO"/>
    <n v="4.5999999999999996"/>
    <n v="0"/>
    <n v="0"/>
    <n v="9.18"/>
    <n v="9.1999999999999993"/>
    <n v="30"/>
    <n v="306.66666666666669"/>
    <x v="4"/>
    <x v="0"/>
    <n v="22"/>
    <n v="1"/>
    <n v="25.5"/>
  </r>
  <r>
    <d v="2025-05-26T09:10:00"/>
    <s v="INYECTADO"/>
    <x v="0"/>
    <x v="103"/>
    <s v="GABRIEL ORDAZ"/>
    <s v="SEGUNDA"/>
    <s v="."/>
    <s v="MIXTO"/>
    <x v="77"/>
    <s v="COLADOR HOGAR SOLIDO#1-VERDE"/>
    <n v="48"/>
    <n v="1"/>
    <n v="1.4"/>
    <s v="DIURNO"/>
    <n v="0"/>
    <n v="1"/>
    <n v="1098"/>
    <n v="21708"/>
    <s v="VERDE"/>
    <n v="5.4"/>
    <n v="0"/>
    <n v="0"/>
    <n v="1.44"/>
    <n v="1.4"/>
    <n v="30"/>
    <n v="46.666666666666664"/>
    <x v="4"/>
    <x v="0"/>
    <n v="22"/>
    <n v="1"/>
    <n v="4"/>
  </r>
  <r>
    <d v="2025-05-26T09:10:00"/>
    <s v="INYECTADO"/>
    <x v="0"/>
    <x v="95"/>
    <s v="GABRIEL ORDAZ"/>
    <s v="SEGUNDA"/>
    <s v="."/>
    <s v="MIXTO"/>
    <x v="77"/>
    <s v="COLADOR HOGAR SOLIDO#1-ANARANJADO"/>
    <n v="251"/>
    <n v="2"/>
    <n v="7.3"/>
    <s v="DIURNO"/>
    <n v="0"/>
    <n v="1"/>
    <n v="1098"/>
    <n v="21709"/>
    <s v="ANARANJADO"/>
    <n v="1.4"/>
    <n v="0"/>
    <n v="0"/>
    <n v="7.53"/>
    <n v="7.3"/>
    <n v="30"/>
    <n v="243.33333333333334"/>
    <x v="4"/>
    <x v="0"/>
    <n v="22"/>
    <n v="1"/>
    <n v="20.916666666666668"/>
  </r>
  <r>
    <d v="2025-05-26T09:10:00"/>
    <s v="INYECTADO"/>
    <x v="0"/>
    <x v="95"/>
    <s v="GABRIEL ORDAZ"/>
    <s v="SEGUNDA"/>
    <s v="."/>
    <s v="MIXTO"/>
    <x v="77"/>
    <s v="COLADOR HOGAR SOLIDO#1-ROJO"/>
    <n v="276"/>
    <n v="2"/>
    <n v="8.3000000000000007"/>
    <s v="DIURNO"/>
    <n v="0"/>
    <n v="1"/>
    <n v="1098"/>
    <n v="21709"/>
    <s v="ROJO"/>
    <n v="0.9"/>
    <n v="0"/>
    <n v="0"/>
    <n v="8.2799999999999994"/>
    <n v="8.3000000000000007"/>
    <n v="30"/>
    <n v="276.66666666666669"/>
    <x v="4"/>
    <x v="0"/>
    <n v="22"/>
    <n v="1"/>
    <n v="23"/>
  </r>
  <r>
    <d v="2025-05-26T09:10:00"/>
    <s v="INYECTADO"/>
    <x v="6"/>
    <x v="104"/>
    <s v="CRISALIDA ZAPATA"/>
    <s v="SEGUNDA"/>
    <s v="."/>
    <s v="MIXTO"/>
    <x v="2"/>
    <s v="EMBUDO #2-VERDE"/>
    <n v="687"/>
    <n v="9"/>
    <n v="89.4"/>
    <s v="DIURNO"/>
    <n v="0"/>
    <n v="6"/>
    <n v="1090"/>
    <n v="21221"/>
    <s v="VERDE"/>
    <n v="27.9"/>
    <n v="0"/>
    <n v="0"/>
    <n v="24.045000000000002"/>
    <n v="89.4"/>
    <n v="35"/>
    <n v="2554.2857142857142"/>
    <x v="4"/>
    <x v="0"/>
    <n v="18"/>
    <n v="4"/>
    <n v="229"/>
  </r>
  <r>
    <d v="2025-05-26T09:10:00"/>
    <s v="INYECTADO"/>
    <x v="6"/>
    <x v="104"/>
    <s v="CRISALIDA ZAPATA"/>
    <s v="SEGUNDA"/>
    <s v="."/>
    <s v="MIXTO"/>
    <x v="2"/>
    <s v="EMBUDO #2-ROJO"/>
    <n v="23"/>
    <n v="1"/>
    <n v="3"/>
    <s v="DIURNO"/>
    <n v="0"/>
    <n v="1"/>
    <n v="1090"/>
    <n v="21221"/>
    <s v="ROJO"/>
    <n v="7.1"/>
    <n v="0"/>
    <n v="0"/>
    <n v="0.80500000000000005"/>
    <n v="3"/>
    <n v="35"/>
    <n v="85.714285714285708"/>
    <x v="4"/>
    <x v="0"/>
    <n v="18"/>
    <n v="4"/>
    <n v="7.666666666666667"/>
  </r>
  <r>
    <d v="2025-05-26T09:10:00"/>
    <s v="INYECTADO"/>
    <x v="6"/>
    <x v="81"/>
    <s v="ANTHONY "/>
    <s v="SEGUNDA"/>
    <s v="."/>
    <s v="MIXTO"/>
    <x v="2"/>
    <s v="EMBUDO #2-ROJO"/>
    <n v="501"/>
    <n v="7"/>
    <n v="65.2"/>
    <s v="DIURNO"/>
    <n v="0"/>
    <n v="6"/>
    <n v="1090"/>
    <n v="21221"/>
    <s v="ROJO"/>
    <n v="13.499999999999998"/>
    <n v="0"/>
    <n v="0"/>
    <n v="17.535"/>
    <n v="65.2"/>
    <n v="35"/>
    <n v="1862.8571428571429"/>
    <x v="4"/>
    <x v="0"/>
    <n v="18"/>
    <n v="4"/>
    <n v="167"/>
  </r>
  <r>
    <d v="2025-05-26T09:10:00"/>
    <s v="INYECTADO"/>
    <x v="6"/>
    <x v="82"/>
    <s v="ISABEL LINARIZ"/>
    <s v="SEGUNDA"/>
    <s v="."/>
    <s v="MIXTO"/>
    <x v="2"/>
    <s v="EMBUDO #2-ROJO"/>
    <n v="491"/>
    <n v="5"/>
    <n v="64.900000000000006"/>
    <s v="DIURNO"/>
    <n v="0"/>
    <n v="5"/>
    <n v="1090"/>
    <n v="21223"/>
    <s v="ROJO"/>
    <n v="15.3"/>
    <n v="0"/>
    <n v="0"/>
    <n v="17.184999999999999"/>
    <n v="64.900000000000006"/>
    <n v="35"/>
    <n v="1854.2857142857144"/>
    <x v="4"/>
    <x v="0"/>
    <n v="19"/>
    <n v="4"/>
    <n v="163.66666666666666"/>
  </r>
  <r>
    <d v="2025-05-26T09:10:00"/>
    <s v="INYECTADO"/>
    <x v="6"/>
    <x v="82"/>
    <s v="ISABEL LINARIZ"/>
    <s v="SEGUNDA"/>
    <s v="."/>
    <s v="MIXTO"/>
    <x v="2"/>
    <s v="EMBUDO #2-FUCSIA"/>
    <n v="287"/>
    <n v="3"/>
    <n v="38"/>
    <s v="DIURNO"/>
    <n v="0"/>
    <n v="3"/>
    <n v="1090"/>
    <n v="21223"/>
    <s v="FUCSIA"/>
    <n v="15.3"/>
    <n v="0"/>
    <n v="0"/>
    <n v="10.045"/>
    <n v="38"/>
    <n v="35"/>
    <n v="1085.7142857142858"/>
    <x v="4"/>
    <x v="0"/>
    <n v="19"/>
    <n v="4"/>
    <n v="95.666666666666671"/>
  </r>
  <r>
    <d v="2025-05-26T09:10:00"/>
    <s v="INYECTADO"/>
    <x v="6"/>
    <x v="82"/>
    <s v="GABRIEL REQUENA"/>
    <s v="SEGUNDA"/>
    <s v="."/>
    <s v="MIXTO"/>
    <x v="2"/>
    <s v="EMBUDO #2-FUCSIA"/>
    <n v="551"/>
    <n v="4"/>
    <n v="72.8"/>
    <s v="DIURNO"/>
    <n v="0"/>
    <n v="6"/>
    <n v="1090"/>
    <n v="21224"/>
    <s v="FUCSIA"/>
    <n v="11.7"/>
    <n v="0"/>
    <n v="0"/>
    <n v="19.285"/>
    <n v="72.8"/>
    <n v="35"/>
    <n v="2080"/>
    <x v="4"/>
    <x v="0"/>
    <n v="19"/>
    <n v="4"/>
    <n v="183.66666666666666"/>
  </r>
  <r>
    <d v="2025-05-26T09:10:00"/>
    <s v="INYECTADO"/>
    <x v="6"/>
    <x v="82"/>
    <s v="GABRIEL REQUENA"/>
    <s v="SEGUNDA"/>
    <s v="."/>
    <s v="MIXTO"/>
    <x v="2"/>
    <s v="EMBUDO #2-LILA"/>
    <n v="424"/>
    <n v="4"/>
    <n v="56"/>
    <s v="DIURNO"/>
    <n v="0"/>
    <n v="5"/>
    <n v="1090"/>
    <n v="21224"/>
    <s v="LILA"/>
    <n v="8.8000000000000007"/>
    <n v="0"/>
    <n v="0"/>
    <n v="14.84"/>
    <n v="56"/>
    <n v="35"/>
    <n v="1600"/>
    <x v="4"/>
    <x v="0"/>
    <n v="19"/>
    <n v="4"/>
    <n v="141.33333333333334"/>
  </r>
  <r>
    <d v="2025-05-26T09:10:00"/>
    <s v="INYECTADO"/>
    <x v="6"/>
    <x v="83"/>
    <s v="NELSON PINEDO"/>
    <s v="SEGUNDA"/>
    <s v="."/>
    <s v="MIXTO"/>
    <x v="2"/>
    <s v="EMBUDO #2-AMARILLO"/>
    <n v="109"/>
    <n v="1"/>
    <n v="14.5"/>
    <s v="DIURNO"/>
    <n v="0"/>
    <n v="2"/>
    <n v="1090"/>
    <n v="21224"/>
    <s v="AMARILLO"/>
    <n v="10"/>
    <n v="0"/>
    <n v="0"/>
    <n v="3.8149999999999999"/>
    <n v="14.5"/>
    <n v="35"/>
    <n v="414.28571428571428"/>
    <x v="4"/>
    <x v="0"/>
    <n v="19"/>
    <n v="4"/>
    <n v="36.333333333333336"/>
  </r>
  <r>
    <d v="2025-05-26T09:10:00"/>
    <s v="INYECTADO"/>
    <x v="6"/>
    <x v="83"/>
    <s v="GABRIEL REQUENA"/>
    <s v="SEGUNDA"/>
    <s v="."/>
    <s v="MIXTO"/>
    <x v="2"/>
    <s v="EMBUDO #2-AMARILLO"/>
    <n v="73"/>
    <n v="1"/>
    <n v="9.6999999999999993"/>
    <s v="DIURNO"/>
    <n v="0"/>
    <n v="1"/>
    <n v="1090"/>
    <n v="21226"/>
    <s v="AMARILLO"/>
    <n v="9.1999999999999993"/>
    <n v="0"/>
    <n v="0"/>
    <n v="2.5550000000000002"/>
    <n v="9.6999999999999993"/>
    <n v="35"/>
    <n v="277.14285714285717"/>
    <x v="4"/>
    <x v="0"/>
    <n v="19"/>
    <n v="4"/>
    <n v="24.333333333333332"/>
  </r>
  <r>
    <d v="2025-05-26T09:10:00"/>
    <s v="INYECTADO"/>
    <x v="6"/>
    <x v="83"/>
    <s v="GABRIEL REQUENA"/>
    <s v="SEGUNDA"/>
    <s v="."/>
    <s v="MIXTO"/>
    <x v="2"/>
    <s v="EMBUDO #2-VERDE"/>
    <n v="532"/>
    <n v="5"/>
    <n v="70.3"/>
    <s v="DIURNO"/>
    <n v="0"/>
    <n v="4"/>
    <n v="1090"/>
    <n v="21226"/>
    <s v="VERDE"/>
    <n v="12.2"/>
    <n v="0"/>
    <n v="0"/>
    <n v="18.62"/>
    <n v="70.3"/>
    <n v="35"/>
    <n v="2008.5714285714287"/>
    <x v="4"/>
    <x v="0"/>
    <n v="19"/>
    <n v="4"/>
    <n v="177.33333333333334"/>
  </r>
  <r>
    <d v="2025-05-26T09:10:00"/>
    <s v="INYECTADO"/>
    <x v="6"/>
    <x v="96"/>
    <s v="ANGIE VALDERRAMA"/>
    <s v="SEGUNDA"/>
    <s v="."/>
    <s v="MIXTO"/>
    <x v="2"/>
    <s v="EMBUDO #2-AMARILLO"/>
    <n v="792"/>
    <n v="7"/>
    <n v="103.8"/>
    <s v="DIURNO"/>
    <n v="0"/>
    <n v="9"/>
    <n v="1090"/>
    <n v="21227"/>
    <s v="AMARILLO"/>
    <n v="19.8"/>
    <n v="0"/>
    <n v="0"/>
    <n v="27.72"/>
    <n v="103.8"/>
    <n v="35"/>
    <n v="2965.7142857142858"/>
    <x v="4"/>
    <x v="0"/>
    <n v="19"/>
    <n v="4"/>
    <n v="264"/>
  </r>
  <r>
    <d v="2025-05-26T09:10:00"/>
    <s v="INYECTADO"/>
    <x v="6"/>
    <x v="97"/>
    <s v="LUIS PINEDO"/>
    <s v="SEGUNDA"/>
    <s v="."/>
    <s v="MIXTO"/>
    <x v="2"/>
    <s v="EMBUDO #2-LILA"/>
    <n v="569"/>
    <n v="5"/>
    <n v="73.5"/>
    <s v="DIURNO"/>
    <n v="0"/>
    <n v="6"/>
    <n v="1090"/>
    <n v="21228"/>
    <s v="LILA"/>
    <n v="17.7"/>
    <n v="0"/>
    <n v="0"/>
    <n v="19.914999999999999"/>
    <n v="73.5"/>
    <n v="35"/>
    <n v="2100"/>
    <x v="4"/>
    <x v="0"/>
    <n v="19"/>
    <n v="4"/>
    <n v="189.66666666666666"/>
  </r>
  <r>
    <d v="2025-05-26T09:10:00"/>
    <s v="INYECTADO"/>
    <x v="6"/>
    <x v="97"/>
    <s v="LUIS PINEDO"/>
    <s v="SEGUNDA"/>
    <s v="."/>
    <s v="MIXTO"/>
    <x v="2"/>
    <s v="EMBUDO #2-CELESTE"/>
    <n v="277"/>
    <n v="2"/>
    <n v="36.299999999999997"/>
    <s v="DIURNO"/>
    <n v="0"/>
    <n v="3"/>
    <n v="1090"/>
    <n v="21228"/>
    <s v="AZURE"/>
    <n v="4.5"/>
    <n v="0"/>
    <n v="0"/>
    <n v="9.6950000000000003"/>
    <n v="36.299999999999997"/>
    <n v="35"/>
    <n v="1037.1428571428571"/>
    <x v="4"/>
    <x v="0"/>
    <n v="19"/>
    <n v="4"/>
    <n v="92.333333333333329"/>
  </r>
  <r>
    <d v="2025-05-26T09:10:00"/>
    <s v="INYECTADO"/>
    <x v="6"/>
    <x v="105"/>
    <s v="SAID VILLAMIZAR"/>
    <s v="SEGUNDA"/>
    <s v="."/>
    <s v="MIXTO"/>
    <x v="2"/>
    <s v="EMBUDO #2-AZUL"/>
    <n v="727"/>
    <n v="7"/>
    <n v="95.3"/>
    <s v="DIURNO"/>
    <n v="0"/>
    <n v="7"/>
    <n v="1090"/>
    <n v="21229"/>
    <s v="AZUL"/>
    <n v="21"/>
    <n v="0"/>
    <n v="0"/>
    <n v="25.445"/>
    <n v="95.3"/>
    <n v="35"/>
    <n v="2722.8571428571427"/>
    <x v="4"/>
    <x v="0"/>
    <n v="20"/>
    <n v="4"/>
    <n v="242.33333333333334"/>
  </r>
  <r>
    <d v="2025-05-26T09:10:00"/>
    <s v="INYECTADO"/>
    <x v="6"/>
    <x v="105"/>
    <s v="SAID VILLAMIZAR"/>
    <s v="SEGUNDA"/>
    <s v="."/>
    <s v="MIXTO"/>
    <x v="2"/>
    <s v="EMBUDO #2-VERDE"/>
    <n v="109"/>
    <n v="1"/>
    <n v="14.4"/>
    <s v="DIURNO"/>
    <n v="0"/>
    <n v="14.4"/>
    <n v="1090"/>
    <n v="21229"/>
    <s v="VERDE"/>
    <n v="0"/>
    <n v="0"/>
    <n v="0"/>
    <n v="3.8149999999999999"/>
    <n v="14.4"/>
    <n v="35"/>
    <n v="411.42857142857144"/>
    <x v="4"/>
    <x v="0"/>
    <n v="20"/>
    <n v="4"/>
    <n v="36.333333333333336"/>
  </r>
  <r>
    <d v="2025-05-26T09:10:00"/>
    <s v="INYECTADO"/>
    <x v="6"/>
    <x v="85"/>
    <s v="SAID VILLAMIZAR"/>
    <s v="VIRGEN"/>
    <s v="ALTA INYECCION"/>
    <s v="."/>
    <x v="12"/>
    <s v="TAPAS DE JARRA DE 5 Y 6L-AMARILLO"/>
    <n v="289"/>
    <n v="4"/>
    <n v="47.6"/>
    <s v="DIURNO"/>
    <n v="0"/>
    <n v="9"/>
    <n v="1104"/>
    <n v="21230"/>
    <s v="AMARILLO"/>
    <n v="0"/>
    <n v="0"/>
    <n v="0"/>
    <n v="23.408999999999999"/>
    <n v="47.6"/>
    <n v="81"/>
    <n v="587.65432098765427"/>
    <x v="4"/>
    <x v="0"/>
    <n v="20"/>
    <n v="2"/>
    <n v="48.166666666666664"/>
  </r>
  <r>
    <d v="2025-05-26T09:10:00"/>
    <s v="INYECTADO"/>
    <x v="6"/>
    <x v="85"/>
    <s v="SAID VILLAMIZAR"/>
    <s v="VIRGEN"/>
    <s v="ALTA INYECCION"/>
    <s v="."/>
    <x v="12"/>
    <s v="TAPAS DE JARRA DE 5 Y 6L-VERDE"/>
    <n v="288"/>
    <n v="3"/>
    <n v="47.5"/>
    <s v="DIURNO"/>
    <n v="0"/>
    <n v="10"/>
    <n v="1104"/>
    <n v="21230"/>
    <s v="VERDE"/>
    <n v="0"/>
    <n v="0"/>
    <n v="0"/>
    <n v="23.327999999999999"/>
    <n v="47.5"/>
    <n v="81"/>
    <n v="586.41975308641975"/>
    <x v="4"/>
    <x v="0"/>
    <n v="20"/>
    <n v="2"/>
    <n v="48"/>
  </r>
  <r>
    <d v="2025-05-26T09:10:00"/>
    <s v="INYECTADO"/>
    <x v="6"/>
    <x v="85"/>
    <s v="SAID VILLAMIZAR"/>
    <s v="VIRGEN"/>
    <s v="ALTA INYECCION"/>
    <s v="."/>
    <x v="12"/>
    <s v="TAPAS DE JARRA DE 5 Y 6L-AZUL"/>
    <n v="296"/>
    <n v="3"/>
    <n v="48.8"/>
    <s v="DIURNO"/>
    <n v="0"/>
    <n v="10"/>
    <n v="1104"/>
    <n v="21230"/>
    <s v="AZUL"/>
    <n v="0"/>
    <n v="0"/>
    <n v="0"/>
    <n v="23.975999999999999"/>
    <n v="48.8"/>
    <n v="81"/>
    <n v="602.46913580246917"/>
    <x v="4"/>
    <x v="0"/>
    <n v="20"/>
    <n v="2"/>
    <n v="49.333333333333336"/>
  </r>
  <r>
    <d v="2025-05-26T09:10:00"/>
    <s v="INYECTADO"/>
    <x v="6"/>
    <x v="85"/>
    <s v="SAID VILLAMIZAR"/>
    <s v="VIRGEN"/>
    <s v="ALTA INYECCION"/>
    <s v="."/>
    <x v="12"/>
    <s v="TAPAS DE JARRA DE 5 Y 6L-ROJO"/>
    <n v="61"/>
    <n v="1"/>
    <n v="10"/>
    <s v="DIURNO"/>
    <n v="0"/>
    <n v="2"/>
    <n v="1104"/>
    <n v="21230"/>
    <s v="ROJO"/>
    <n v="0"/>
    <n v="0"/>
    <n v="0"/>
    <n v="4.9409999999999998"/>
    <n v="10"/>
    <n v="81"/>
    <n v="123.45679012345678"/>
    <x v="4"/>
    <x v="0"/>
    <n v="20"/>
    <n v="2"/>
    <n v="10.166666666666666"/>
  </r>
  <r>
    <d v="2025-05-26T09:10:00"/>
    <s v="INYECTADO"/>
    <x v="6"/>
    <x v="85"/>
    <s v="JUAN MANUEL PEREZ"/>
    <s v="VIRGEN"/>
    <s v="ALTA INYECCION"/>
    <s v="."/>
    <x v="12"/>
    <s v="TAPAS DE JARRA DE 5 Y 6L-AMARILLO"/>
    <n v="36"/>
    <n v="1"/>
    <n v="5.9"/>
    <s v="NOCTURNO"/>
    <n v="0"/>
    <n v="1"/>
    <n v="1104"/>
    <n v="21231"/>
    <s v="AMARILLO"/>
    <n v="7.7"/>
    <n v="0"/>
    <n v="0"/>
    <n v="2.9159999999999999"/>
    <n v="5.9"/>
    <n v="81"/>
    <n v="72.839506172839506"/>
    <x v="4"/>
    <x v="0"/>
    <n v="20"/>
    <n v="2"/>
    <n v="6"/>
  </r>
  <r>
    <d v="2025-05-26T09:10:00"/>
    <s v="INYECTADO"/>
    <x v="6"/>
    <x v="85"/>
    <s v="JUAN MANUEL PEREZ"/>
    <s v="VIRGEN"/>
    <s v="ALTA INYECCION"/>
    <s v="."/>
    <x v="12"/>
    <s v="TAPAS DE JARRA DE 5 Y 6L-AZUL"/>
    <n v="263"/>
    <n v="2"/>
    <n v="43.7"/>
    <s v="NOCTURNO"/>
    <n v="0"/>
    <n v="8"/>
    <n v="1104"/>
    <n v="21231"/>
    <s v="AZUL"/>
    <n v="0"/>
    <n v="0"/>
    <n v="0"/>
    <n v="21.303000000000001"/>
    <n v="43.7"/>
    <n v="81"/>
    <n v="539.50617283950612"/>
    <x v="4"/>
    <x v="0"/>
    <n v="20"/>
    <n v="2"/>
    <n v="43.833333333333336"/>
  </r>
  <r>
    <d v="2025-05-26T09:10:00"/>
    <s v="INYECTADO"/>
    <x v="6"/>
    <x v="85"/>
    <s v="JUAN MANUEL PEREZ"/>
    <s v="VIRGEN"/>
    <s v="ALTA INYECCION"/>
    <s v="."/>
    <x v="12"/>
    <s v="TAPAS DE JARRA DE 5 Y 6L-ROJO"/>
    <n v="691"/>
    <n v="8"/>
    <n v="115"/>
    <s v="NOCTURNO"/>
    <n v="0"/>
    <n v="19"/>
    <n v="1104"/>
    <n v="21231"/>
    <s v="ROJO"/>
    <n v="6"/>
    <n v="0"/>
    <n v="0"/>
    <n v="55.970999999999997"/>
    <n v="115"/>
    <n v="81"/>
    <n v="1419.7530864197531"/>
    <x v="4"/>
    <x v="0"/>
    <n v="20"/>
    <n v="2"/>
    <n v="115.16666666666667"/>
  </r>
  <r>
    <d v="2025-05-26T09:10:00"/>
    <s v="INYECTADO"/>
    <x v="6"/>
    <x v="86"/>
    <s v="ISABEL LINARIZ"/>
    <s v="VIRGEN"/>
    <s v="ALTA INYECCION"/>
    <s v="."/>
    <x v="12"/>
    <s v="TAPAS DE JARRA DE 5 Y 6L-AMARILLO"/>
    <n v="384"/>
    <n v="3"/>
    <n v="63.7"/>
    <s v="DIURNO"/>
    <n v="0"/>
    <n v="13"/>
    <n v="1104"/>
    <n v="21232"/>
    <s v="AMARILLO"/>
    <n v="0"/>
    <n v="0"/>
    <n v="0"/>
    <n v="31.103999999999999"/>
    <n v="63.7"/>
    <n v="81"/>
    <n v="786.41975308641975"/>
    <x v="4"/>
    <x v="0"/>
    <n v="20"/>
    <n v="2"/>
    <n v="64"/>
  </r>
  <r>
    <d v="2025-05-26T09:10:00"/>
    <s v="INYECTADO"/>
    <x v="6"/>
    <x v="88"/>
    <s v="GABRIEL REQUENA"/>
    <s v="VIRGEN"/>
    <s v="ALTA INYECCION"/>
    <s v="."/>
    <x v="12"/>
    <s v="TAPAS DE JARRA DE 5 Y 6L-VERDE"/>
    <n v="446"/>
    <n v="4"/>
    <n v="74.400000000000006"/>
    <s v="DIURNO"/>
    <n v="0"/>
    <n v="15"/>
    <n v="1104"/>
    <n v="21233"/>
    <s v="VERDE"/>
    <n v="2.1"/>
    <n v="0"/>
    <n v="0"/>
    <n v="36.125999999999998"/>
    <n v="74.400000000000006"/>
    <n v="81"/>
    <n v="918.51851851851848"/>
    <x v="4"/>
    <x v="0"/>
    <n v="20"/>
    <n v="2"/>
    <n v="74.333333333333329"/>
  </r>
  <r>
    <d v="2025-05-26T09:10:00"/>
    <s v="INYECTADO"/>
    <x v="6"/>
    <x v="88"/>
    <s v="GABRIEL REQUENA"/>
    <s v="VIRGEN"/>
    <s v="ALTA INYECCION"/>
    <s v="."/>
    <x v="12"/>
    <s v="TAPAS DE JARRA DE 5 Y 6L-AZUL"/>
    <n v="245"/>
    <n v="2"/>
    <n v="40.9"/>
    <s v="DIURNO"/>
    <n v="0"/>
    <n v="9"/>
    <n v="1104"/>
    <n v="21233"/>
    <s v="AZUL"/>
    <n v="7.4"/>
    <n v="0"/>
    <n v="0"/>
    <n v="19.844999999999999"/>
    <n v="40.9"/>
    <n v="81"/>
    <n v="504.93827160493828"/>
    <x v="4"/>
    <x v="0"/>
    <n v="20"/>
    <n v="2"/>
    <n v="40.833333333333336"/>
  </r>
  <r>
    <d v="2025-05-26T09:10:00"/>
    <s v="INYECTADO"/>
    <x v="6"/>
    <x v="98"/>
    <s v="GABRIEL ORDAZ"/>
    <s v="VIRGEN"/>
    <s v="ALTA INYECCION"/>
    <s v="."/>
    <x v="12"/>
    <s v="TAPAS DE JARRA DE 5 Y 6L-AZUL"/>
    <n v="180"/>
    <n v="2"/>
    <n v="30"/>
    <s v="DIURNO"/>
    <n v="0"/>
    <n v="10"/>
    <n v="1104"/>
    <n v="21234"/>
    <s v="AZUL"/>
    <n v="15.1"/>
    <n v="0"/>
    <n v="0"/>
    <n v="14.58"/>
    <n v="30"/>
    <n v="81"/>
    <n v="370.37037037037038"/>
    <x v="4"/>
    <x v="0"/>
    <n v="21"/>
    <n v="2"/>
    <n v="30"/>
  </r>
  <r>
    <d v="2025-05-26T09:10:00"/>
    <s v="INYECTADO"/>
    <x v="6"/>
    <x v="98"/>
    <s v="GABRIEL ORDAZ"/>
    <s v="VIRGEN"/>
    <s v="ALTA INYECCION"/>
    <s v="."/>
    <x v="12"/>
    <s v="TAPAS DE JARRA DE 5 Y 6L-AMARILLO"/>
    <n v="293"/>
    <n v="3"/>
    <n v="48.9"/>
    <s v="DIURNO"/>
    <n v="0"/>
    <n v="6"/>
    <n v="1104"/>
    <n v="21234"/>
    <s v="AMARILLO"/>
    <n v="4.9000000000000004"/>
    <n v="0"/>
    <n v="0"/>
    <n v="23.733000000000001"/>
    <n v="48.9"/>
    <n v="81"/>
    <n v="603.7037037037037"/>
    <x v="4"/>
    <x v="0"/>
    <n v="21"/>
    <n v="2"/>
    <n v="48.833333333333336"/>
  </r>
  <r>
    <d v="2025-05-26T09:10:00"/>
    <s v="INYECTADO"/>
    <x v="6"/>
    <x v="99"/>
    <s v="GABRIEL ORDAZ"/>
    <s v="VIRGEN"/>
    <s v="ALTA INYECCION"/>
    <s v="."/>
    <x v="12"/>
    <s v="TAPAS DE JARRA DE 5 Y 6L-VERDE"/>
    <n v="302"/>
    <n v="3"/>
    <n v="49.8"/>
    <s v="DIURNO"/>
    <n v="0"/>
    <n v="10"/>
    <n v="1104"/>
    <n v="21235"/>
    <s v="VERDE"/>
    <n v="6.6"/>
    <n v="0"/>
    <n v="0"/>
    <n v="24.462"/>
    <n v="49.8"/>
    <n v="81"/>
    <n v="614.81481481481478"/>
    <x v="4"/>
    <x v="0"/>
    <n v="21"/>
    <n v="2"/>
    <n v="50.333333333333336"/>
  </r>
  <r>
    <d v="2025-05-26T09:10:00"/>
    <s v="INYECTADO"/>
    <x v="6"/>
    <x v="99"/>
    <s v="GABRIEL ORDAZ"/>
    <s v="VIRGEN"/>
    <s v="ALTA INYECCION"/>
    <s v="."/>
    <x v="12"/>
    <s v="TAPAS DE JARRA DE 5 Y 6L-ROJO"/>
    <n v="487"/>
    <n v="4"/>
    <n v="81.3"/>
    <s v="DIURNO"/>
    <n v="0"/>
    <n v="16"/>
    <n v="1104"/>
    <n v="21235"/>
    <s v="ROJO"/>
    <n v="0"/>
    <n v="0"/>
    <n v="0"/>
    <n v="39.447000000000003"/>
    <n v="81.3"/>
    <n v="81"/>
    <n v="1003.7037037037037"/>
    <x v="4"/>
    <x v="0"/>
    <n v="21"/>
    <n v="2"/>
    <n v="81.166666666666671"/>
  </r>
  <r>
    <d v="2025-05-26T09:10:00"/>
    <s v="INYECTADO"/>
    <x v="6"/>
    <x v="100"/>
    <s v="SAID VILLAMIZAR"/>
    <s v="VIRGEN"/>
    <s v="ALTA INYECCION"/>
    <s v="."/>
    <x v="12"/>
    <s v="TAPAS DE JARRA DE 5 Y 6L-ROJO"/>
    <n v="229"/>
    <n v="2"/>
    <n v="38.1"/>
    <s v="DIURNO"/>
    <n v="0"/>
    <n v="8"/>
    <n v="1104"/>
    <n v="21236"/>
    <s v="ROJO"/>
    <n v="15.5"/>
    <n v="0"/>
    <n v="0"/>
    <n v="18.548999999999999"/>
    <n v="38.1"/>
    <n v="81"/>
    <n v="470.37037037037038"/>
    <x v="4"/>
    <x v="0"/>
    <n v="21"/>
    <n v="2"/>
    <n v="38.166666666666664"/>
  </r>
  <r>
    <d v="2025-05-26T09:10:00"/>
    <s v="INYECTADO"/>
    <x v="6"/>
    <x v="100"/>
    <s v="SAID VILLAMIZAR"/>
    <s v="VIRGEN"/>
    <s v="ALTA INYECCION"/>
    <s v="."/>
    <x v="12"/>
    <s v="TAPAS DE JARRA DE 5 Y 6L-VERDE"/>
    <n v="410"/>
    <n v="4"/>
    <n v="68"/>
    <s v="DIURNO"/>
    <n v="0"/>
    <n v="14"/>
    <n v="1104"/>
    <n v="21236"/>
    <s v="VERDE"/>
    <n v="13.1"/>
    <n v="0"/>
    <n v="0"/>
    <n v="33.21"/>
    <n v="68"/>
    <n v="81"/>
    <n v="839.50617283950612"/>
    <x v="4"/>
    <x v="0"/>
    <n v="21"/>
    <n v="2"/>
    <n v="68.333333333333329"/>
  </r>
  <r>
    <d v="2025-05-26T09:10:00"/>
    <s v="INYECTADO"/>
    <x v="6"/>
    <x v="101"/>
    <s v="GABRIEL ORDAZ"/>
    <s v="VIRGEN"/>
    <s v="ALTA INYECCION"/>
    <s v="."/>
    <x v="12"/>
    <s v="TAPAS DE JARRA DE 5 Y 6L-AZUL"/>
    <n v="147"/>
    <n v="3"/>
    <n v="25.1"/>
    <s v="DIURNO"/>
    <n v="0"/>
    <n v="9"/>
    <n v="1104"/>
    <n v="21237"/>
    <s v="AZUL"/>
    <n v="5.5"/>
    <n v="0"/>
    <n v="0"/>
    <n v="11.907"/>
    <n v="25.1"/>
    <n v="81"/>
    <n v="309.87654320987656"/>
    <x v="4"/>
    <x v="0"/>
    <n v="21"/>
    <n v="2"/>
    <n v="24.5"/>
  </r>
  <r>
    <d v="2025-05-26T09:10:00"/>
    <s v="INYECTADO"/>
    <x v="6"/>
    <x v="101"/>
    <s v="GABRIEL ORDAZ"/>
    <s v="VIRGEN"/>
    <s v="ALTA INYECCION"/>
    <s v="."/>
    <x v="12"/>
    <s v="TAPAS DE JARRA DE 5 Y 6L-AMARILLO"/>
    <n v="265"/>
    <n v="4"/>
    <n v="46.7"/>
    <s v="DIURNO"/>
    <n v="0"/>
    <n v="5"/>
    <n v="1104"/>
    <n v="21237"/>
    <s v="AMARILLO"/>
    <n v="14.4"/>
    <n v="0"/>
    <n v="0"/>
    <n v="21.465"/>
    <n v="46.7"/>
    <n v="81"/>
    <n v="576.54320987654319"/>
    <x v="4"/>
    <x v="0"/>
    <n v="21"/>
    <n v="2"/>
    <n v="44.166666666666664"/>
  </r>
  <r>
    <d v="2025-05-26T09:10:00"/>
    <s v="INYECTADO"/>
    <x v="6"/>
    <x v="89"/>
    <s v="GABRIEL ORDAZ"/>
    <s v="VIRGEN"/>
    <s v="ALTA INYECCION"/>
    <s v="."/>
    <x v="12"/>
    <s v="TAPAS DE JARRA DE 5 Y 6L-AZUL"/>
    <n v="759"/>
    <n v="11"/>
    <n v="122.9"/>
    <s v="DIURNO"/>
    <n v="0"/>
    <n v="25"/>
    <n v="1104"/>
    <n v="21238"/>
    <s v="AZUL"/>
    <n v="10.5"/>
    <n v="0"/>
    <n v="0"/>
    <n v="61.478999999999999"/>
    <n v="122.9"/>
    <n v="81"/>
    <n v="1517.2839506172841"/>
    <x v="4"/>
    <x v="0"/>
    <n v="21"/>
    <n v="2"/>
    <n v="126.5"/>
  </r>
  <r>
    <d v="2025-05-26T09:10:00"/>
    <s v="INYECTADO"/>
    <x v="6"/>
    <x v="91"/>
    <s v="CRISALIDA ZAPATA"/>
    <s v="VIRGEN"/>
    <s v="ALTA INYECCION"/>
    <s v="."/>
    <x v="12"/>
    <s v="TAPAS DE JARRA DE 5 Y 6L-AMARILLO"/>
    <n v="80"/>
    <n v="1"/>
    <n v="12.9"/>
    <s v="DIURNO"/>
    <n v="0"/>
    <n v="5.8"/>
    <n v="1104"/>
    <n v="21239"/>
    <s v="AMARILLO"/>
    <n v="2.2000000000000002"/>
    <n v="0"/>
    <n v="0"/>
    <n v="6.48"/>
    <n v="12.9"/>
    <n v="81"/>
    <n v="159.25925925925927"/>
    <x v="4"/>
    <x v="0"/>
    <n v="22"/>
    <n v="2"/>
    <n v="13.333333333333334"/>
  </r>
  <r>
    <d v="2025-05-26T09:10:00"/>
    <s v="INYECTADO"/>
    <x v="6"/>
    <x v="106"/>
    <s v="CARLOS SULCA"/>
    <s v="VIRGEN"/>
    <s v="ALTA INYECCION"/>
    <s v="."/>
    <x v="78"/>
    <s v="PORTA CUBIERTOS PASTEL-LILA"/>
    <n v="59"/>
    <n v="1"/>
    <n v="11.4"/>
    <s v="DIURNO"/>
    <n v="0"/>
    <n v="1"/>
    <n v="1104"/>
    <n v="21240"/>
    <s v="LILA"/>
    <n v="1.7"/>
    <n v="0"/>
    <n v="0"/>
    <n v="7.4930000000000003"/>
    <n v="11.4"/>
    <n v="127"/>
    <n v="89.763779527559052"/>
    <x v="4"/>
    <x v="0"/>
    <n v="22"/>
    <n v="6"/>
    <n v="29.5"/>
  </r>
  <r>
    <d v="2025-05-26T09:10:00"/>
    <s v="INYECTADO"/>
    <x v="6"/>
    <x v="106"/>
    <s v="CARLOS SULCA"/>
    <s v="VIRGEN"/>
    <s v="ALTA INYECCION"/>
    <s v="."/>
    <x v="78"/>
    <s v="PORTA CUBIERTOS PASTEL-ROSADO"/>
    <n v="55"/>
    <n v="1"/>
    <n v="10.6"/>
    <s v="DIURNO"/>
    <n v="0"/>
    <n v="1"/>
    <n v="1104"/>
    <n v="21240"/>
    <s v="ROSADO"/>
    <n v="2.2000000000000002"/>
    <n v="0"/>
    <n v="0"/>
    <n v="6.9850000000000003"/>
    <n v="10.6"/>
    <n v="127"/>
    <n v="83.464566929133852"/>
    <x v="4"/>
    <x v="0"/>
    <n v="22"/>
    <n v="6"/>
    <n v="27.5"/>
  </r>
  <r>
    <d v="2025-05-26T09:10:00"/>
    <s v="INYECTADO"/>
    <x v="6"/>
    <x v="106"/>
    <s v="CARLOS SULCA"/>
    <s v="VIRGEN"/>
    <s v="ALTA INYECCION"/>
    <s v="."/>
    <x v="78"/>
    <s v="PORTA CUBIERTOS PASTEL-MELON"/>
    <n v="57"/>
    <n v="1"/>
    <n v="11"/>
    <s v="DIURNO"/>
    <n v="0"/>
    <n v="1"/>
    <n v="1104"/>
    <n v="21240"/>
    <s v="MELON"/>
    <n v="1.2"/>
    <n v="0"/>
    <n v="0"/>
    <n v="7.2389999999999999"/>
    <n v="11"/>
    <n v="127"/>
    <n v="86.614173228346459"/>
    <x v="4"/>
    <x v="0"/>
    <n v="22"/>
    <n v="6"/>
    <n v="28.5"/>
  </r>
  <r>
    <d v="2025-05-26T09:10:00"/>
    <s v="INYECTADO"/>
    <x v="6"/>
    <x v="106"/>
    <s v="CARLOS SULCA"/>
    <s v="VIRGEN"/>
    <s v="ALTA INYECCION"/>
    <s v="."/>
    <x v="78"/>
    <s v="PORTA CUBIERTOS PASTEL-CREMA"/>
    <n v="52"/>
    <n v="1"/>
    <n v="10"/>
    <s v="DIURNO"/>
    <n v="0"/>
    <n v="1"/>
    <n v="1104"/>
    <n v="21240"/>
    <s v="CREMA"/>
    <n v="1.9"/>
    <n v="0"/>
    <n v="0"/>
    <n v="6.6040000000000001"/>
    <n v="10"/>
    <n v="127"/>
    <n v="78.740157480314963"/>
    <x v="4"/>
    <x v="0"/>
    <n v="22"/>
    <n v="6"/>
    <n v="26"/>
  </r>
  <r>
    <d v="2025-05-26T09:10:00"/>
    <s v="INYECTADO"/>
    <x v="6"/>
    <x v="106"/>
    <s v="CARLOS SULCA"/>
    <s v="VIRGEN"/>
    <s v="ALTA INYECCION"/>
    <s v="."/>
    <x v="78"/>
    <s v="PORTA CUBIERTOS PASTEL-CELESTE"/>
    <n v="56"/>
    <n v="1"/>
    <n v="10.9"/>
    <s v="DIURNO"/>
    <n v="0"/>
    <n v="1"/>
    <n v="1104"/>
    <n v="21240"/>
    <s v="CELESTE"/>
    <n v="2.7"/>
    <n v="0"/>
    <n v="0"/>
    <n v="7.1120000000000001"/>
    <n v="10.9"/>
    <n v="127"/>
    <n v="85.826771653543304"/>
    <x v="4"/>
    <x v="0"/>
    <n v="22"/>
    <n v="6"/>
    <n v="28"/>
  </r>
  <r>
    <d v="2025-05-26T09:10:00"/>
    <s v="INYECTADO"/>
    <x v="6"/>
    <x v="106"/>
    <s v="CARLOS SULCA"/>
    <s v="VIRGEN"/>
    <s v="ALTA INYECCION"/>
    <s v="."/>
    <x v="78"/>
    <s v="PORTA CUBIERTOS PASTEL-TURQUESA"/>
    <n v="47"/>
    <n v="1"/>
    <n v="9.1"/>
    <s v="DIURNO"/>
    <n v="0"/>
    <n v="1"/>
    <n v="1104"/>
    <n v="21240"/>
    <s v="TURQUESA"/>
    <n v="4"/>
    <n v="0"/>
    <n v="0"/>
    <n v="5.9690000000000003"/>
    <n v="9.1"/>
    <n v="127"/>
    <n v="71.653543307086608"/>
    <x v="4"/>
    <x v="0"/>
    <n v="22"/>
    <n v="6"/>
    <n v="23.5"/>
  </r>
  <r>
    <d v="2025-05-26T09:10:00"/>
    <s v="INYECTADO"/>
    <x v="2"/>
    <x v="104"/>
    <s v="ISABEL LINARIZ"/>
    <s v="SEGUNDA"/>
    <s v="."/>
    <s v="MIXTO"/>
    <x v="16"/>
    <s v="COLADOR HOGAR SOLIDO#4-AZURE"/>
    <n v="123"/>
    <n v="2"/>
    <n v="14.5"/>
    <s v="DIURNO"/>
    <n v="0"/>
    <n v="1"/>
    <n v="1092"/>
    <n v="21081"/>
    <s v="CELESTE"/>
    <n v="0.6"/>
    <n v="0"/>
    <n v="0"/>
    <n v="13.53"/>
    <n v="14.5"/>
    <n v="110"/>
    <n v="131.81818181818181"/>
    <x v="4"/>
    <x v="0"/>
    <n v="18"/>
    <n v="1"/>
    <n v="10.25"/>
  </r>
  <r>
    <d v="2025-05-26T09:10:00"/>
    <s v="INYECTADO"/>
    <x v="2"/>
    <x v="104"/>
    <s v="ISABEL LINARIZ"/>
    <s v="SEGUNDA"/>
    <s v="."/>
    <s v="MIXTO"/>
    <x v="16"/>
    <s v="COLADOR HOGAR SOLIDO#4-AZUL"/>
    <n v="397"/>
    <n v="3"/>
    <n v="46.1"/>
    <s v="DIURNO"/>
    <n v="0"/>
    <n v="3"/>
    <n v="1092"/>
    <n v="21081"/>
    <s v="AZUL"/>
    <n v="4.7"/>
    <n v="0"/>
    <n v="0"/>
    <n v="43.67"/>
    <n v="46.1"/>
    <n v="110"/>
    <n v="419.09090909090907"/>
    <x v="4"/>
    <x v="0"/>
    <n v="18"/>
    <n v="1"/>
    <n v="33.083333333333336"/>
  </r>
  <r>
    <d v="2025-05-26T09:10:00"/>
    <s v="INYECTADO"/>
    <x v="2"/>
    <x v="104"/>
    <s v="ISABEL LINARIZ"/>
    <s v="SEGUNDA"/>
    <s v="."/>
    <s v="MIXTO"/>
    <x v="16"/>
    <s v="COLADOR HOGAR SOLIDO#4-VERDE"/>
    <n v="841"/>
    <n v="8"/>
    <n v="98.5"/>
    <s v="DIURNO"/>
    <n v="0"/>
    <n v="6"/>
    <n v="1092"/>
    <n v="21081"/>
    <s v="VERDE"/>
    <n v="0.9"/>
    <n v="0"/>
    <n v="0"/>
    <n v="92.51"/>
    <n v="98.5"/>
    <n v="110"/>
    <n v="895.4545454545455"/>
    <x v="4"/>
    <x v="0"/>
    <n v="18"/>
    <n v="1"/>
    <n v="70.083333333333329"/>
  </r>
  <r>
    <d v="2025-05-26T09:10:00"/>
    <s v="INYECTADO"/>
    <x v="2"/>
    <x v="104"/>
    <s v="JUAN MANUEL PEREZ"/>
    <s v="SEGUNDA"/>
    <s v="."/>
    <s v="MIXTO"/>
    <x v="16"/>
    <s v="COLADOR HOGAR SOLIDO#4-VERDE"/>
    <n v="780"/>
    <n v="7"/>
    <n v="91.3"/>
    <s v="NOCTURNO"/>
    <n v="0"/>
    <n v="6"/>
    <n v="1092"/>
    <n v="21082"/>
    <s v="VERDE"/>
    <n v="5.2"/>
    <n v="0"/>
    <n v="0"/>
    <n v="85.8"/>
    <n v="91.3"/>
    <n v="110"/>
    <n v="830"/>
    <x v="4"/>
    <x v="0"/>
    <n v="18"/>
    <n v="1"/>
    <n v="65"/>
  </r>
  <r>
    <d v="2025-05-26T09:10:00"/>
    <s v="INYECTADO"/>
    <x v="2"/>
    <x v="104"/>
    <s v="JUAN MANUEL PEREZ"/>
    <s v="VIRGEN"/>
    <s v="PP CLARIFICADO"/>
    <s v="."/>
    <x v="16"/>
    <s v="COLADOR HOGAR SOLIDO#4-CREMA"/>
    <n v="547"/>
    <n v="5"/>
    <n v="64.099999999999994"/>
    <s v="NOCTURNO"/>
    <n v="0"/>
    <n v="4"/>
    <n v="1092"/>
    <n v="21082"/>
    <s v="CREMA"/>
    <n v="0"/>
    <n v="0"/>
    <n v="0"/>
    <n v="60.17"/>
    <n v="64.099999999999994"/>
    <n v="110"/>
    <n v="582.72727272727263"/>
    <x v="4"/>
    <x v="0"/>
    <n v="18"/>
    <n v="1"/>
    <n v="45.583333333333336"/>
  </r>
  <r>
    <d v="2025-05-26T09:10:00"/>
    <s v="INYECTADO"/>
    <x v="2"/>
    <x v="81"/>
    <s v="JOSDER GONZALEZ"/>
    <s v="VIRGEN"/>
    <s v="PP CLARIFICADO"/>
    <s v="."/>
    <x v="16"/>
    <s v="COLADOR HOGAR SOLIDO#4-CREMA"/>
    <n v="94"/>
    <n v="1"/>
    <n v="11"/>
    <s v="DIURNO"/>
    <n v="0"/>
    <n v="5"/>
    <n v="1092"/>
    <n v="21083"/>
    <s v="CREMA"/>
    <n v="2.7"/>
    <n v="0"/>
    <n v="0"/>
    <n v="10.34"/>
    <n v="11"/>
    <n v="110"/>
    <n v="100"/>
    <x v="4"/>
    <x v="0"/>
    <n v="18"/>
    <n v="1"/>
    <n v="7.833333333333333"/>
  </r>
  <r>
    <d v="2025-05-26T09:10:00"/>
    <s v="INYECTADO"/>
    <x v="2"/>
    <x v="81"/>
    <s v="JOSDER GONZALEZ"/>
    <s v="SEGUNDA"/>
    <s v="."/>
    <s v="MIXTO"/>
    <x v="16"/>
    <s v="COLADOR HOGAR SOLIDO#4-AZURE"/>
    <n v="726"/>
    <n v="7"/>
    <n v="85"/>
    <s v="DIURNO"/>
    <n v="0"/>
    <n v="5"/>
    <n v="1092"/>
    <n v="21083"/>
    <s v="CELESTE"/>
    <n v="1"/>
    <n v="0"/>
    <n v="0"/>
    <n v="79.86"/>
    <n v="85"/>
    <n v="110"/>
    <n v="772.72727272727275"/>
    <x v="4"/>
    <x v="0"/>
    <n v="18"/>
    <n v="1"/>
    <n v="60.5"/>
  </r>
  <r>
    <d v="2025-05-26T09:10:00"/>
    <s v="INYECTADO"/>
    <x v="2"/>
    <x v="82"/>
    <s v="GABRIEL ORDAZ"/>
    <s v="SEGUNDA"/>
    <s v="."/>
    <s v="MIXTO"/>
    <x v="16"/>
    <s v="COLADOR HOGAR SOLIDO#4-AZURE"/>
    <n v="323"/>
    <n v="3"/>
    <n v="37.9"/>
    <s v="DIURNO"/>
    <n v="0"/>
    <n v="3"/>
    <n v="1092"/>
    <n v="21084"/>
    <s v="CELESTE"/>
    <n v="3"/>
    <n v="0"/>
    <n v="0"/>
    <n v="35.53"/>
    <n v="37.9"/>
    <n v="110"/>
    <n v="344.54545454545456"/>
    <x v="4"/>
    <x v="0"/>
    <n v="19"/>
    <n v="1"/>
    <n v="26.916666666666668"/>
  </r>
  <r>
    <d v="2025-05-26T09:10:00"/>
    <s v="INYECTADO"/>
    <x v="2"/>
    <x v="82"/>
    <s v="GABRIEL ORDAZ"/>
    <s v="SEGUNDA"/>
    <s v="."/>
    <s v="MIXTO"/>
    <x v="16"/>
    <s v="COLADOR HOGAR SOLIDO#4-ROJO"/>
    <n v="671"/>
    <n v="6"/>
    <n v="78.599999999999994"/>
    <s v="DIURNO"/>
    <n v="0"/>
    <n v="4"/>
    <n v="1092"/>
    <n v="21084"/>
    <s v="ROJO"/>
    <n v="6.1"/>
    <n v="0"/>
    <n v="0"/>
    <n v="73.81"/>
    <n v="78.599999999999994"/>
    <n v="110"/>
    <n v="714.5454545454545"/>
    <x v="4"/>
    <x v="0"/>
    <n v="19"/>
    <n v="1"/>
    <n v="55.916666666666664"/>
  </r>
  <r>
    <d v="2025-05-26T09:10:00"/>
    <s v="INYECTADO"/>
    <x v="2"/>
    <x v="83"/>
    <s v="LUIS RENGIFO"/>
    <s v="SEGUNDA"/>
    <s v="."/>
    <s v="MIXTO"/>
    <x v="16"/>
    <s v="COLADOR HOGAR SOLIDO#4-ROJO"/>
    <n v="345"/>
    <n v="3"/>
    <n v="40.4"/>
    <s v="DIURNO"/>
    <n v="0"/>
    <n v="3"/>
    <n v="1092"/>
    <n v="21085"/>
    <s v="ROJO"/>
    <n v="6.9"/>
    <n v="0"/>
    <n v="0"/>
    <n v="37.950000000000003"/>
    <n v="40.4"/>
    <n v="110"/>
    <n v="367.27272727272725"/>
    <x v="4"/>
    <x v="0"/>
    <n v="19"/>
    <n v="1"/>
    <n v="28.75"/>
  </r>
  <r>
    <d v="2025-05-26T09:10:00"/>
    <s v="INYECTADO"/>
    <x v="2"/>
    <x v="83"/>
    <s v="LUIS RENGIFO"/>
    <s v="SEGUNDA"/>
    <s v="."/>
    <s v="MIXTO"/>
    <x v="16"/>
    <s v="COLADOR HOGAR SOLIDO#4-AZUL"/>
    <n v="841"/>
    <n v="8"/>
    <n v="98.5"/>
    <s v="DIURNO"/>
    <n v="0"/>
    <n v="6"/>
    <n v="1092"/>
    <n v="21085"/>
    <s v="AZUL"/>
    <n v="1.6"/>
    <n v="0"/>
    <n v="0"/>
    <n v="92.51"/>
    <n v="98.5"/>
    <n v="110"/>
    <n v="895.4545454545455"/>
    <x v="4"/>
    <x v="0"/>
    <n v="19"/>
    <n v="1"/>
    <n v="70.083333333333329"/>
  </r>
  <r>
    <d v="2025-05-26T09:10:00"/>
    <s v="INYECTADO"/>
    <x v="2"/>
    <x v="93"/>
    <s v="ANTHONY "/>
    <s v="SEGUNDA"/>
    <s v="."/>
    <s v="MIXTO"/>
    <x v="16"/>
    <s v="COLADOR HOGAR SOLIDO#4-AZUL"/>
    <n v="349"/>
    <n v="3"/>
    <n v="40.5"/>
    <s v="DIURNO"/>
    <n v="0"/>
    <n v="3"/>
    <n v="1092"/>
    <n v="21086"/>
    <s v="AZUL"/>
    <n v="2.9"/>
    <n v="0"/>
    <n v="0"/>
    <n v="38.39"/>
    <n v="40.5"/>
    <n v="110"/>
    <n v="368.18181818181819"/>
    <x v="4"/>
    <x v="0"/>
    <n v="19"/>
    <n v="1"/>
    <n v="29.083333333333332"/>
  </r>
  <r>
    <d v="2025-05-26T09:10:00"/>
    <s v="INYECTADO"/>
    <x v="2"/>
    <x v="93"/>
    <s v="ANTHONY "/>
    <s v="SEGUNDA"/>
    <s v="."/>
    <s v="MIXTO"/>
    <x v="16"/>
    <s v="COLADOR HOGAR SOLIDO#4-ANARANJADO"/>
    <n v="905"/>
    <n v="7"/>
    <n v="106"/>
    <s v="DIURNO"/>
    <n v="0"/>
    <n v="6"/>
    <n v="1092"/>
    <n v="21086"/>
    <s v="ANARANJADO"/>
    <n v="2.2999999999999998"/>
    <n v="0"/>
    <n v="0"/>
    <n v="99.55"/>
    <n v="106"/>
    <n v="110"/>
    <n v="963.63636363636363"/>
    <x v="4"/>
    <x v="0"/>
    <n v="19"/>
    <n v="1"/>
    <n v="75.416666666666671"/>
  </r>
  <r>
    <d v="2025-05-26T09:10:00"/>
    <s v="INYECTADO"/>
    <x v="2"/>
    <x v="94"/>
    <s v="ISABEL LINARIZ"/>
    <s v="SEGUNDA"/>
    <s v="."/>
    <s v="MIXTO"/>
    <x v="16"/>
    <s v="COLADOR HOGAR SOLIDO#4-ANARANJADO"/>
    <n v="223"/>
    <n v="2"/>
    <n v="25.9"/>
    <s v="DIURNO"/>
    <n v="0"/>
    <n v="2"/>
    <n v="1092"/>
    <n v="21087"/>
    <s v="ANARANJADO"/>
    <n v="4.5"/>
    <n v="0"/>
    <n v="0"/>
    <n v="24.53"/>
    <n v="25.9"/>
    <n v="110"/>
    <n v="235.45454545454547"/>
    <x v="4"/>
    <x v="0"/>
    <n v="19"/>
    <n v="1"/>
    <n v="18.583333333333332"/>
  </r>
  <r>
    <d v="2025-05-26T09:10:00"/>
    <s v="INYECTADO"/>
    <x v="2"/>
    <x v="94"/>
    <s v="ISABEL LINARIZ"/>
    <s v="SEGUNDA"/>
    <s v="."/>
    <s v="MIXTO"/>
    <x v="16"/>
    <s v="COLADOR HOGAR SOLIDO#4-ROJO"/>
    <n v="181"/>
    <n v="2"/>
    <n v="21"/>
    <s v="DIURNO"/>
    <n v="0"/>
    <n v="2"/>
    <n v="1092"/>
    <n v="21087"/>
    <s v="ROJO"/>
    <n v="6.8"/>
    <n v="0"/>
    <n v="0"/>
    <n v="19.91"/>
    <n v="21"/>
    <n v="110"/>
    <n v="190.90909090909091"/>
    <x v="4"/>
    <x v="0"/>
    <n v="19"/>
    <n v="1"/>
    <n v="15.083333333333334"/>
  </r>
  <r>
    <d v="2025-05-26T09:10:00"/>
    <s v="INYECTADO"/>
    <x v="2"/>
    <x v="94"/>
    <s v="ISABEL LINARIZ"/>
    <s v="SEGUNDA"/>
    <s v="."/>
    <s v="MIXTO"/>
    <x v="16"/>
    <s v="COLADOR HOGAR SOLIDO#4-AZURE"/>
    <n v="181"/>
    <n v="2"/>
    <n v="21.1"/>
    <s v="DIURNO"/>
    <n v="0"/>
    <n v="1"/>
    <n v="1092"/>
    <n v="21087"/>
    <s v="CELESTE"/>
    <n v="3.4"/>
    <n v="0"/>
    <n v="0"/>
    <n v="19.91"/>
    <n v="21.1"/>
    <n v="110"/>
    <n v="191.81818181818181"/>
    <x v="4"/>
    <x v="0"/>
    <n v="19"/>
    <n v="1"/>
    <n v="15.083333333333334"/>
  </r>
  <r>
    <d v="2025-05-26T09:10:00"/>
    <s v="INYECTADO"/>
    <x v="2"/>
    <x v="94"/>
    <s v="ISABEL LINARIZ"/>
    <s v="VIRGEN"/>
    <s v="PP CLARIFICADO"/>
    <s v="."/>
    <x v="16"/>
    <s v="COLADOR HOGAR SOLIDO#4-CREMA"/>
    <n v="424"/>
    <n v="4"/>
    <n v="49.2"/>
    <s v="DIURNO"/>
    <n v="0"/>
    <n v="3"/>
    <n v="1092"/>
    <n v="21087"/>
    <s v="CREMA"/>
    <n v="1"/>
    <n v="0"/>
    <n v="0"/>
    <n v="46.64"/>
    <n v="49.2"/>
    <n v="110"/>
    <n v="447.27272727272725"/>
    <x v="4"/>
    <x v="0"/>
    <n v="19"/>
    <n v="1"/>
    <n v="35.333333333333336"/>
  </r>
  <r>
    <d v="2025-05-26T09:10:00"/>
    <s v="INYECTADO"/>
    <x v="2"/>
    <x v="96"/>
    <s v="ANTHONY "/>
    <s v="VIRGEN"/>
    <s v="PP CLARIFICADO"/>
    <s v="."/>
    <x v="16"/>
    <s v="COLADOR HOGAR SOLIDO#4-CREMA"/>
    <n v="259"/>
    <n v="2"/>
    <n v="30.1"/>
    <s v="DIURNO"/>
    <n v="0"/>
    <n v="3"/>
    <n v="1092"/>
    <n v="21088"/>
    <s v="CREMA"/>
    <n v="0"/>
    <n v="0"/>
    <n v="0"/>
    <n v="28.49"/>
    <n v="30.1"/>
    <n v="110"/>
    <n v="273.63636363636363"/>
    <x v="4"/>
    <x v="0"/>
    <n v="19"/>
    <n v="1"/>
    <n v="21.583333333333332"/>
  </r>
  <r>
    <d v="2025-05-26T09:10:00"/>
    <s v="INYECTADO"/>
    <x v="2"/>
    <x v="105"/>
    <s v="LUIS PINEDO"/>
    <s v="VIRGEN"/>
    <s v="PP CLARIFICADO"/>
    <s v="."/>
    <x v="16"/>
    <s v="COLADOR HOGAR SOLIDO#4-CREMA"/>
    <n v="511"/>
    <n v="5"/>
    <n v="59.3"/>
    <s v="DIURNO"/>
    <n v="0"/>
    <n v="4"/>
    <n v="1092"/>
    <n v="21089"/>
    <s v="CREMA"/>
    <n v="3.1"/>
    <n v="0"/>
    <n v="0"/>
    <n v="56.21"/>
    <n v="59.3"/>
    <n v="110"/>
    <n v="539.09090909090912"/>
    <x v="4"/>
    <x v="0"/>
    <n v="20"/>
    <n v="1"/>
    <n v="42.583333333333336"/>
  </r>
  <r>
    <d v="2025-05-26T09:10:00"/>
    <s v="INYECTADO"/>
    <x v="2"/>
    <x v="105"/>
    <s v="LUIS PINEDO"/>
    <s v="SEGUNDA"/>
    <s v="."/>
    <s v="MIXTO"/>
    <x v="16"/>
    <s v="COLADOR HOGAR SOLIDO#4-AZURE"/>
    <n v="412"/>
    <n v="4"/>
    <n v="48.3"/>
    <s v="DIURNO"/>
    <n v="0"/>
    <n v="3"/>
    <n v="1092"/>
    <n v="21089"/>
    <s v="CELESTE"/>
    <n v="6.4"/>
    <n v="0"/>
    <n v="0"/>
    <n v="45.32"/>
    <n v="48.3"/>
    <n v="110"/>
    <n v="439.09090909090907"/>
    <x v="4"/>
    <x v="0"/>
    <n v="20"/>
    <n v="1"/>
    <n v="34.333333333333336"/>
  </r>
  <r>
    <d v="2025-05-26T09:10:00"/>
    <s v="INYECTADO"/>
    <x v="2"/>
    <x v="105"/>
    <s v="LUIS PINEDO"/>
    <s v="SEGUNDA"/>
    <s v="."/>
    <s v="MIXTO"/>
    <x v="16"/>
    <s v="COLADOR HOGAR SOLIDO#4-ANARANJADO"/>
    <n v="97"/>
    <n v="1"/>
    <n v="11.3"/>
    <s v="DIURNO"/>
    <n v="0"/>
    <n v="1"/>
    <n v="1082"/>
    <n v="21089"/>
    <s v="ANARNAJADO"/>
    <n v="4.7"/>
    <n v="0"/>
    <n v="0"/>
    <n v="10.67"/>
    <n v="11.3"/>
    <n v="110"/>
    <n v="102.72727272727273"/>
    <x v="4"/>
    <x v="0"/>
    <n v="20"/>
    <n v="1"/>
    <n v="8.0833333333333339"/>
  </r>
  <r>
    <d v="2025-05-26T09:10:00"/>
    <s v="INYECTADO"/>
    <x v="2"/>
    <x v="105"/>
    <s v="LUIS PINEDO"/>
    <s v="SEGUNDA"/>
    <s v="."/>
    <s v="MIXTO"/>
    <x v="16"/>
    <s v="COLADOR HOGAR SOLIDO#4-VERDE"/>
    <n v="148"/>
    <n v="2"/>
    <n v="17.399999999999999"/>
    <s v="DIURNO"/>
    <n v="0"/>
    <n v="1"/>
    <n v="1082"/>
    <n v="21089"/>
    <s v="VERDE"/>
    <n v="0"/>
    <n v="0"/>
    <n v="0"/>
    <n v="16.28"/>
    <n v="17.399999999999999"/>
    <n v="110"/>
    <n v="158.18181818181819"/>
    <x v="4"/>
    <x v="0"/>
    <n v="20"/>
    <n v="1"/>
    <n v="12.333333333333334"/>
  </r>
  <r>
    <d v="2025-05-26T09:10:00"/>
    <s v="INYECTADO"/>
    <x v="2"/>
    <x v="105"/>
    <s v="JUAN MANUEL PEREZ"/>
    <s v="SEGUNDA"/>
    <s v="."/>
    <s v="MIXTO"/>
    <x v="16"/>
    <s v="COLADOR HOGAR SOLIDO#4-VERDE"/>
    <n v="282"/>
    <n v="2"/>
    <n v="33.1"/>
    <s v="NOCTURNO"/>
    <n v="0"/>
    <n v="2"/>
    <n v="1082"/>
    <n v="21090"/>
    <s v="VERDE"/>
    <n v="2.1"/>
    <n v="0"/>
    <n v="0"/>
    <n v="31.02"/>
    <n v="33.1"/>
    <n v="110"/>
    <n v="300.90909090909093"/>
    <x v="4"/>
    <x v="0"/>
    <n v="20"/>
    <n v="1"/>
    <n v="23.5"/>
  </r>
  <r>
    <d v="2025-05-26T09:10:00"/>
    <s v="INYECTADO"/>
    <x v="2"/>
    <x v="105"/>
    <s v="JUAN MANUEL PEREZ"/>
    <s v="SEGUNDA"/>
    <s v="."/>
    <s v="MIXTO"/>
    <x v="16"/>
    <s v="COLADOR HOGAR SOLIDO#4-AZUL"/>
    <n v="401"/>
    <n v="4"/>
    <n v="47"/>
    <s v="NOCTURNO"/>
    <n v="0"/>
    <n v="3"/>
    <n v="1082"/>
    <n v="21090"/>
    <s v="AZUL"/>
    <n v="1"/>
    <n v="0"/>
    <n v="0"/>
    <n v="44.11"/>
    <n v="47"/>
    <n v="110"/>
    <n v="427.27272727272725"/>
    <x v="4"/>
    <x v="0"/>
    <n v="20"/>
    <n v="1"/>
    <n v="33.416666666666664"/>
  </r>
  <r>
    <d v="2025-05-26T09:10:00"/>
    <s v="INYECTADO"/>
    <x v="2"/>
    <x v="99"/>
    <s v="GABRIEL REQUENA"/>
    <s v="VIRGEN"/>
    <s v="PP CLARIFICADO"/>
    <s v="."/>
    <x v="79"/>
    <s v="TAPER REDONDO 2500ML-TRANSPARENTE"/>
    <n v="1275"/>
    <n v="10"/>
    <n v="82.9"/>
    <s v="DIURNO"/>
    <n v="0"/>
    <n v="11"/>
    <n v="1113"/>
    <n v="21091"/>
    <s v="TRANSPARENTE"/>
    <n v="3.5"/>
    <n v="0"/>
    <n v="0"/>
    <n v="89.25"/>
    <n v="82.9"/>
    <n v="70"/>
    <n v="1184.2857142857142"/>
    <x v="4"/>
    <x v="0"/>
    <n v="21"/>
    <n v="1"/>
    <n v="106.25"/>
  </r>
  <r>
    <d v="2025-05-26T09:10:00"/>
    <s v="INYECTADO"/>
    <x v="2"/>
    <x v="99"/>
    <s v="JOSDER GONZALEZ"/>
    <s v="VIRGEN"/>
    <s v="PP CLARIFICADO"/>
    <s v="."/>
    <x v="79"/>
    <s v="TAPER REDONDO 2500ML-TRANSPARENTE"/>
    <n v="1077"/>
    <n v="11"/>
    <n v="72.7"/>
    <s v="NOCTURNO"/>
    <n v="0"/>
    <n v="9"/>
    <n v="1113"/>
    <n v="21092"/>
    <s v="TRANSPARENTE"/>
    <n v="1.8"/>
    <n v="0"/>
    <n v="0"/>
    <n v="75.39"/>
    <n v="72.7"/>
    <n v="70"/>
    <n v="1038.5714285714287"/>
    <x v="4"/>
    <x v="0"/>
    <n v="21"/>
    <n v="1"/>
    <n v="89.75"/>
  </r>
  <r>
    <d v="2025-05-26T09:10:00"/>
    <s v="INYECTADO"/>
    <x v="2"/>
    <x v="100"/>
    <s v="LUIS PINEDO"/>
    <s v="VIRGEN"/>
    <s v="PP CLARIFICADO"/>
    <s v="."/>
    <x v="79"/>
    <s v="TAPER REDONDO 2500ML-TRANSPARENTE"/>
    <n v="1242"/>
    <n v="11"/>
    <n v="79.5"/>
    <s v="DIURNO"/>
    <n v="0"/>
    <n v="10"/>
    <n v="1113"/>
    <n v="21093"/>
    <s v="TRANSPARENTE"/>
    <n v="1.9"/>
    <n v="0"/>
    <n v="0"/>
    <n v="86.94"/>
    <n v="79.5"/>
    <n v="70"/>
    <n v="1135.7142857142858"/>
    <x v="4"/>
    <x v="0"/>
    <n v="21"/>
    <n v="1"/>
    <n v="103.5"/>
  </r>
  <r>
    <d v="2025-05-26T09:10:00"/>
    <s v="INYECTADO"/>
    <x v="2"/>
    <x v="101"/>
    <s v="ISABEL LINARIZ"/>
    <s v="VIRGEN"/>
    <s v="PP CLARIFICADO"/>
    <s v="."/>
    <x v="79"/>
    <s v="TAPER REDONDO 2500ML-TRANSPARENTE"/>
    <n v="1010"/>
    <n v="11"/>
    <n v="66.7"/>
    <s v="DIURNO"/>
    <n v="0"/>
    <n v="10"/>
    <n v="1113"/>
    <n v="21094"/>
    <s v="TRANSPARENTE"/>
    <n v="2.7"/>
    <n v="0"/>
    <n v="0"/>
    <n v="70.7"/>
    <n v="66.7"/>
    <n v="70"/>
    <n v="952.85714285714289"/>
    <x v="4"/>
    <x v="0"/>
    <n v="21"/>
    <n v="1"/>
    <n v="84.166666666666671"/>
  </r>
  <r>
    <d v="2025-05-26T09:10:00"/>
    <s v="INYECTADO"/>
    <x v="2"/>
    <x v="89"/>
    <s v="SAID VILLAMIZAR"/>
    <s v="VIRGEN"/>
    <s v="PP CLARIFICADO"/>
    <s v="."/>
    <x v="79"/>
    <s v="TAPER REDONDO 2500ML-TRANSPARENTE"/>
    <n v="1115"/>
    <n v="11"/>
    <n v="73.599999999999994"/>
    <s v="DIURNO"/>
    <n v="0"/>
    <n v="9"/>
    <n v="1113"/>
    <n v="21095"/>
    <s v="TRANSPARENTE"/>
    <n v="0"/>
    <n v="0"/>
    <n v="0"/>
    <n v="78.05"/>
    <n v="73.599999999999994"/>
    <n v="70"/>
    <n v="1051.4285714285713"/>
    <x v="4"/>
    <x v="0"/>
    <n v="21"/>
    <n v="1"/>
    <n v="92.916666666666671"/>
  </r>
  <r>
    <d v="2025-05-26T09:10:00"/>
    <s v="INYECTADO"/>
    <x v="2"/>
    <x v="90"/>
    <s v="GABRIEL REQUENA"/>
    <s v="VIRGEN"/>
    <s v="PP CLARIFICADO"/>
    <s v="."/>
    <x v="79"/>
    <s v="TAPER REDONDO 2500ML-TRANSPARENTE"/>
    <n v="1122"/>
    <n v="11"/>
    <n v="74.099999999999994"/>
    <s v="DIURNO"/>
    <n v="0"/>
    <n v="9"/>
    <n v="1113"/>
    <n v="21096"/>
    <s v="TRANSPARENTE"/>
    <n v="0"/>
    <n v="0"/>
    <n v="0"/>
    <n v="78.540000000000006"/>
    <n v="74.099999999999994"/>
    <n v="70"/>
    <n v="1058.5714285714287"/>
    <x v="4"/>
    <x v="0"/>
    <n v="21"/>
    <n v="1"/>
    <n v="93.5"/>
  </r>
  <r>
    <d v="2025-05-26T09:10:00"/>
    <s v="INYECTADO"/>
    <x v="2"/>
    <x v="91"/>
    <s v="ISABEL LINARIZ"/>
    <s v="VIRGEN"/>
    <s v="PP CLARIFICADO"/>
    <s v="."/>
    <x v="79"/>
    <s v="TAPER REDONDO 2500ML-TRANSPARENTE"/>
    <n v="1086"/>
    <n v="10"/>
    <n v="70.599999999999994"/>
    <s v="DIURNO"/>
    <n v="0"/>
    <n v="9"/>
    <n v="1113"/>
    <n v="21097"/>
    <s v="TRANSPARENTE"/>
    <n v="1.6"/>
    <n v="0"/>
    <n v="0"/>
    <n v="76.02"/>
    <n v="70.599999999999994"/>
    <n v="70"/>
    <n v="1008.5714285714286"/>
    <x v="4"/>
    <x v="0"/>
    <n v="22"/>
    <n v="1"/>
    <n v="90.5"/>
  </r>
  <r>
    <d v="2025-05-26T09:10:00"/>
    <s v="INYECTADO"/>
    <x v="2"/>
    <x v="92"/>
    <s v="LUIS PINEDO"/>
    <s v="VIRGEN"/>
    <s v="PP CLARIFICADO"/>
    <s v="."/>
    <x v="79"/>
    <s v="TAPER REDONDO 2500ML-TRANSPARENTE"/>
    <n v="1233"/>
    <n v="11"/>
    <n v="80.2"/>
    <s v="DIURNO"/>
    <n v="0"/>
    <n v="11"/>
    <n v="1113"/>
    <n v="21098"/>
    <s v="TRANSPARENTE"/>
    <n v="0"/>
    <n v="0"/>
    <n v="0"/>
    <n v="86.31"/>
    <n v="80.2"/>
    <n v="70"/>
    <n v="1145.7142857142858"/>
    <x v="4"/>
    <x v="0"/>
    <n v="22"/>
    <n v="1"/>
    <n v="102.75"/>
  </r>
  <r>
    <d v="2025-05-26T09:10:00"/>
    <s v="INYECTADO"/>
    <x v="2"/>
    <x v="102"/>
    <s v="SAID VILLAMIZAR"/>
    <s v="VIRGEN"/>
    <s v="PP CLARIFICADO"/>
    <s v="."/>
    <x v="79"/>
    <s v="TAPER REDONDO 2500ML-TRANSPARENTE"/>
    <n v="1184"/>
    <n v="10"/>
    <n v="73"/>
    <s v="DIURNO"/>
    <n v="0"/>
    <n v="10"/>
    <n v="1113"/>
    <n v="21099"/>
    <s v="TRANSPARENTE"/>
    <n v="1.7"/>
    <n v="0"/>
    <n v="0"/>
    <n v="82.88"/>
    <n v="73"/>
    <n v="70"/>
    <n v="1042.8571428571429"/>
    <x v="4"/>
    <x v="0"/>
    <n v="22"/>
    <n v="1"/>
    <n v="98.666666666666671"/>
  </r>
  <r>
    <d v="2025-05-26T09:10:00"/>
    <s v="INYECTADO"/>
    <x v="2"/>
    <x v="102"/>
    <s v="JOSDER GONZALEZ"/>
    <s v="VIRGEN"/>
    <s v="PP CLARIFICADO"/>
    <s v="."/>
    <x v="79"/>
    <s v="TAPER REDONDO 2500ML-TRANSPARENTE"/>
    <n v="1015"/>
    <n v="9"/>
    <n v="66.900000000000006"/>
    <s v="NOCTURNO"/>
    <n v="0"/>
    <n v="10"/>
    <n v="1113"/>
    <n v="21901"/>
    <s v="TRANSPARENTE"/>
    <n v="0.7"/>
    <n v="0"/>
    <n v="0"/>
    <n v="71.05"/>
    <n v="66.900000000000006"/>
    <n v="70"/>
    <n v="955.71428571428567"/>
    <x v="4"/>
    <x v="0"/>
    <n v="22"/>
    <n v="1"/>
    <n v="84.583333333333329"/>
  </r>
  <r>
    <d v="2025-05-26T09:10:00"/>
    <s v="INYECTADO"/>
    <x v="2"/>
    <x v="103"/>
    <s v="LUIS PINEDO"/>
    <s v="VIRGEN"/>
    <s v="PP CLARIFICADO"/>
    <s v="."/>
    <x v="79"/>
    <s v="TAPER REDONDO 2500ML-TRANSPARENTE"/>
    <n v="1300"/>
    <n v="11"/>
    <n v="85.8"/>
    <s v="DIURNO"/>
    <n v="0"/>
    <n v="11"/>
    <n v="1113"/>
    <n v="21902"/>
    <s v="TRANSPARENTE"/>
    <n v="0"/>
    <n v="0"/>
    <n v="0"/>
    <n v="91"/>
    <n v="85.8"/>
    <n v="70"/>
    <n v="1225.7142857142858"/>
    <x v="4"/>
    <x v="0"/>
    <n v="22"/>
    <n v="1"/>
    <n v="108.33333333333333"/>
  </r>
  <r>
    <d v="2025-05-26T09:10:00"/>
    <s v="INYECTADO"/>
    <x v="2"/>
    <x v="103"/>
    <s v="JUAN MANUEL PEREZ"/>
    <s v="VIRGEN"/>
    <s v="PP CLARIFICADO"/>
    <s v="."/>
    <x v="79"/>
    <s v="TAPER REDONDO 2500ML-TRANSPARENTE"/>
    <n v="768"/>
    <n v="7"/>
    <n v="51.2"/>
    <s v="NOCTURNO"/>
    <n v="0"/>
    <n v="7"/>
    <n v="1113"/>
    <n v="21903"/>
    <s v="TRANSPARENTE"/>
    <n v="0"/>
    <n v="0"/>
    <n v="0"/>
    <n v="53.76"/>
    <n v="51.2"/>
    <n v="70"/>
    <n v="731.42857142857144"/>
    <x v="4"/>
    <x v="0"/>
    <n v="22"/>
    <n v="1"/>
    <n v="64"/>
  </r>
  <r>
    <d v="2025-05-26T09:10:00"/>
    <s v="INYECTADO"/>
    <x v="2"/>
    <x v="95"/>
    <s v="LUIS RENGIFO"/>
    <s v="VIRGEN"/>
    <s v="PP CLARIFICADO"/>
    <s v="."/>
    <x v="70"/>
    <s v="REPOSTERO 6KG -TRANSPARENTE"/>
    <n v="540"/>
    <n v="5"/>
    <n v="115"/>
    <s v="DIURNO"/>
    <n v="0"/>
    <n v="9"/>
    <n v="1122"/>
    <n v="21904"/>
    <s v="TRANSPARENTE"/>
    <n v="1.5"/>
    <n v="0"/>
    <n v="0"/>
    <n v="113.94"/>
    <n v="115"/>
    <n v="211"/>
    <n v="545.02369668246445"/>
    <x v="4"/>
    <x v="0"/>
    <n v="22"/>
    <n v="1"/>
    <n v="45"/>
  </r>
  <r>
    <d v="2025-05-26T09:10:00"/>
    <s v="INYECTADO"/>
    <x v="2"/>
    <x v="106"/>
    <s v="BRAYAN PINEDO"/>
    <s v="VIRGEN"/>
    <s v="PP CLARIFICADO"/>
    <s v="."/>
    <x v="70"/>
    <s v="REPOSTERO 6KG -TRANSPARENTE"/>
    <n v="1015"/>
    <n v="11"/>
    <n v="213.2"/>
    <s v="DIURNO"/>
    <n v="0"/>
    <n v="16"/>
    <n v="1122"/>
    <n v="21905"/>
    <s v="TRANSPARENTE"/>
    <n v="0"/>
    <n v="0"/>
    <n v="0"/>
    <n v="214.16499999999999"/>
    <n v="213.2"/>
    <n v="211"/>
    <n v="1010.4265402843602"/>
    <x v="4"/>
    <x v="0"/>
    <n v="22"/>
    <n v="1"/>
    <n v="84.583333333333329"/>
  </r>
  <r>
    <d v="2025-05-26T09:10:00"/>
    <s v="INYECTADO"/>
    <x v="3"/>
    <x v="104"/>
    <s v="LUIS RENGIFO"/>
    <s v="SEGUNDA"/>
    <s v="."/>
    <s v="MIXTO"/>
    <x v="13"/>
    <s v="COLADOR HOGAR SOLIDO#3-VERDE"/>
    <n v="346"/>
    <n v="3"/>
    <n v="32.9"/>
    <s v="DIURNO"/>
    <n v="0"/>
    <n v="3"/>
    <n v="1093"/>
    <n v="18775"/>
    <s v="VERDE"/>
    <n v="7.1"/>
    <n v="0"/>
    <n v="0"/>
    <n v="32.177999999999997"/>
    <n v="32.9"/>
    <n v="93"/>
    <n v="353.76344086021504"/>
    <x v="4"/>
    <x v="0"/>
    <n v="18"/>
    <n v="1"/>
    <n v="28.833333333333332"/>
  </r>
  <r>
    <d v="2025-05-26T09:10:00"/>
    <s v="INYECTADO"/>
    <x v="3"/>
    <x v="104"/>
    <s v="GABRIEL REQUENA"/>
    <s v="SEGUNDA"/>
    <s v="."/>
    <s v="MIXTO"/>
    <x v="13"/>
    <s v="COLADOR HOGAR SOLIDO#3-VERDE"/>
    <n v="72"/>
    <n v="1"/>
    <n v="7.1"/>
    <s v="DIURNO"/>
    <n v="0"/>
    <n v="2"/>
    <n v="1093"/>
    <n v="18776"/>
    <s v="VERDE"/>
    <n v="1.8"/>
    <n v="0"/>
    <n v="0"/>
    <n v="6.6959999999999997"/>
    <n v="7.1"/>
    <n v="93"/>
    <n v="76.344086021505376"/>
    <x v="4"/>
    <x v="0"/>
    <n v="18"/>
    <n v="1"/>
    <n v="6"/>
  </r>
  <r>
    <d v="2025-05-26T09:10:00"/>
    <s v="INYECTADO"/>
    <x v="3"/>
    <x v="104"/>
    <s v="GABRIEL REQUENA"/>
    <s v="VIRGEN"/>
    <s v="PP CLARIFICADO"/>
    <s v="."/>
    <x v="13"/>
    <s v="COLADOR HOGAR SOLIDO#3-CREMA"/>
    <n v="498"/>
    <n v="4"/>
    <n v="48.9"/>
    <s v="DIURNO"/>
    <n v="0"/>
    <n v="5"/>
    <n v="1093"/>
    <n v="18776"/>
    <s v="CREMA"/>
    <n v="3.4"/>
    <n v="0"/>
    <n v="0"/>
    <n v="46.314"/>
    <n v="48.9"/>
    <n v="93"/>
    <n v="525.80645161290317"/>
    <x v="4"/>
    <x v="0"/>
    <n v="18"/>
    <n v="1"/>
    <n v="41.5"/>
  </r>
  <r>
    <d v="2025-05-26T09:10:00"/>
    <s v="INYECTADO"/>
    <x v="3"/>
    <x v="104"/>
    <s v="GABRIEL REQUENA"/>
    <s v="SEGUNDA"/>
    <s v="."/>
    <s v="MIXTO"/>
    <x v="13"/>
    <s v="COLADOR HOGAR SOLIDO#3-AZURE"/>
    <n v="509"/>
    <n v="5"/>
    <n v="49.9"/>
    <s v="DIURNO"/>
    <n v="0"/>
    <n v="2"/>
    <n v="1093"/>
    <n v="18776"/>
    <s v="CELESTE"/>
    <n v="5.8"/>
    <n v="0"/>
    <n v="0"/>
    <n v="47.337000000000003"/>
    <n v="49.9"/>
    <n v="93"/>
    <n v="536.55913978494618"/>
    <x v="4"/>
    <x v="0"/>
    <n v="18"/>
    <n v="1"/>
    <n v="42.416666666666664"/>
  </r>
  <r>
    <d v="2025-05-26T09:10:00"/>
    <s v="INYECTADO"/>
    <x v="3"/>
    <x v="81"/>
    <s v="CRISALIDA ZAPATA"/>
    <s v="SEGUNDA"/>
    <s v="."/>
    <s v="MIXTO"/>
    <x v="13"/>
    <s v="COLADOR HOGAR SOLIDO#3-AZUL"/>
    <n v="494"/>
    <n v="4"/>
    <n v="48.5"/>
    <s v="DIURNO"/>
    <n v="0"/>
    <n v="3"/>
    <n v="1093"/>
    <n v="18777"/>
    <s v="AZUL"/>
    <n v="0"/>
    <n v="0"/>
    <n v="0"/>
    <n v="45.942"/>
    <n v="48.5"/>
    <n v="93"/>
    <n v="521.50537634408602"/>
    <x v="4"/>
    <x v="0"/>
    <n v="18"/>
    <n v="1"/>
    <n v="41.166666666666664"/>
  </r>
  <r>
    <d v="2025-05-26T09:10:00"/>
    <s v="INYECTADO"/>
    <x v="3"/>
    <x v="81"/>
    <s v="CRISALIDA ZAPATA"/>
    <s v="SEGUNDA"/>
    <s v="."/>
    <s v="MIXTO"/>
    <x v="13"/>
    <s v="COLADOR HOGAR SOLIDO#3-ANARANJADO"/>
    <n v="106"/>
    <n v="1"/>
    <n v="10.3"/>
    <s v="DIURNO"/>
    <n v="0"/>
    <n v="2"/>
    <n v="1093"/>
    <n v="18777"/>
    <s v="ANARANJADO"/>
    <n v="0"/>
    <n v="0"/>
    <n v="0"/>
    <n v="9.8580000000000005"/>
    <n v="10.3"/>
    <n v="93"/>
    <n v="110.75268817204301"/>
    <x v="4"/>
    <x v="0"/>
    <n v="18"/>
    <n v="1"/>
    <n v="8.8333333333333339"/>
  </r>
  <r>
    <d v="2025-05-26T09:10:00"/>
    <s v="INYECTADO"/>
    <x v="3"/>
    <x v="82"/>
    <s v="CRISALIDA ZAPATA"/>
    <s v="SEGUNDA"/>
    <s v="."/>
    <s v="MIXTO"/>
    <x v="13"/>
    <s v="COLADOR HOGAR SOLIDO#3-ROJO"/>
    <n v="451"/>
    <n v="4"/>
    <n v="42.4"/>
    <s v="DIURNO"/>
    <n v="0"/>
    <n v="4"/>
    <n v="1093"/>
    <n v="18778"/>
    <s v="ROJO"/>
    <n v="15.3"/>
    <n v="0"/>
    <n v="0"/>
    <n v="41.942999999999998"/>
    <n v="42.4"/>
    <n v="93"/>
    <n v="455.91397849462368"/>
    <x v="4"/>
    <x v="0"/>
    <n v="19"/>
    <n v="1"/>
    <n v="37.583333333333336"/>
  </r>
  <r>
    <d v="2025-05-26T09:10:00"/>
    <s v="INYECTADO"/>
    <x v="3"/>
    <x v="82"/>
    <s v="CRISALIDA ZAPATA"/>
    <s v="SEGUNDA"/>
    <s v="."/>
    <s v="MIXTO"/>
    <x v="13"/>
    <s v="COLADOR HOGAR SOLIDO#3-ANARANJADO"/>
    <n v="395"/>
    <n v="3"/>
    <n v="37.200000000000003"/>
    <s v="DIURNO"/>
    <n v="0"/>
    <n v="3"/>
    <n v="1093"/>
    <n v="18778"/>
    <s v="ANARANJADO"/>
    <n v="2.2999999999999998"/>
    <n v="0"/>
    <n v="0"/>
    <n v="36.734999999999999"/>
    <n v="37.200000000000003"/>
    <n v="93"/>
    <n v="400"/>
    <x v="4"/>
    <x v="0"/>
    <n v="19"/>
    <n v="1"/>
    <n v="32.916666666666664"/>
  </r>
  <r>
    <d v="2025-05-26T09:10:00"/>
    <s v="INYECTADO"/>
    <x v="3"/>
    <x v="83"/>
    <s v="GABRIEL ORDAZ"/>
    <s v="SEGUNDA"/>
    <s v="."/>
    <s v="MIXTO"/>
    <x v="13"/>
    <s v="COLADOR HOGAR SOLIDO#3-ANARANJADO"/>
    <n v="913"/>
    <n v="9"/>
    <n v="85"/>
    <s v="DIURNO"/>
    <n v="0"/>
    <n v="8"/>
    <n v="1093"/>
    <n v="18779"/>
    <s v="ANARANJADO"/>
    <n v="1.5"/>
    <n v="0"/>
    <n v="0"/>
    <n v="84.909000000000006"/>
    <n v="85"/>
    <n v="93"/>
    <n v="913.97849462365593"/>
    <x v="4"/>
    <x v="0"/>
    <n v="19"/>
    <n v="1"/>
    <n v="76.083333333333329"/>
  </r>
  <r>
    <d v="2025-05-26T09:10:00"/>
    <s v="INYECTADO"/>
    <x v="3"/>
    <x v="93"/>
    <s v="LUIS PINEDO"/>
    <s v="SEGUNDA"/>
    <s v="."/>
    <s v="MIXTO"/>
    <x v="13"/>
    <s v="COLADOR HOGAR SOLIDO#3-ANARANJADO"/>
    <n v="360"/>
    <n v="3"/>
    <n v="35.299999999999997"/>
    <s v="DIURNO"/>
    <n v="0"/>
    <n v="4"/>
    <n v="1093"/>
    <n v="18779"/>
    <s v="ANARANJADO"/>
    <n v="1.6"/>
    <n v="0"/>
    <n v="0"/>
    <n v="33.479999999999997"/>
    <n v="35.299999999999997"/>
    <n v="93"/>
    <n v="379.56989247311827"/>
    <x v="4"/>
    <x v="0"/>
    <n v="19"/>
    <n v="1"/>
    <n v="30"/>
  </r>
  <r>
    <d v="2025-05-26T09:10:00"/>
    <s v="INYECTADO"/>
    <x v="3"/>
    <x v="93"/>
    <s v="LUIS PINEDO"/>
    <s v="SEGUNDA"/>
    <s v="."/>
    <s v="MIXTO"/>
    <x v="13"/>
    <s v="COLADOR HOGAR SOLIDO#3-ROJO"/>
    <n v="642"/>
    <n v="6"/>
    <n v="60.4"/>
    <s v="DIURNO"/>
    <n v="0"/>
    <n v="5"/>
    <n v="1093"/>
    <n v="18780"/>
    <s v="ROJO"/>
    <n v="10.5"/>
    <n v="0"/>
    <n v="0"/>
    <n v="59.706000000000003"/>
    <n v="60.4"/>
    <n v="93"/>
    <n v="649.46236559139788"/>
    <x v="4"/>
    <x v="0"/>
    <n v="19"/>
    <n v="1"/>
    <n v="53.5"/>
  </r>
  <r>
    <d v="2025-05-26T09:10:00"/>
    <s v="INYECTADO"/>
    <x v="3"/>
    <x v="93"/>
    <s v="GABRIEL REQUENA"/>
    <s v="SEGUNDA"/>
    <s v="."/>
    <s v="MIXTO"/>
    <x v="13"/>
    <s v="COLADOR HOGAR SOLIDO#3-VERDE"/>
    <n v="42"/>
    <n v="1"/>
    <n v="4"/>
    <s v="DIURNO"/>
    <n v="0"/>
    <n v="1"/>
    <n v="1093"/>
    <n v="18780"/>
    <s v="VERDE"/>
    <n v="11.9"/>
    <n v="0"/>
    <n v="0"/>
    <n v="3.9060000000000001"/>
    <n v="4"/>
    <n v="93"/>
    <n v="43.01075268817204"/>
    <x v="4"/>
    <x v="0"/>
    <n v="19"/>
    <n v="1"/>
    <n v="3.5"/>
  </r>
  <r>
    <d v="2025-05-26T09:10:00"/>
    <s v="INYECTADO"/>
    <x v="3"/>
    <x v="93"/>
    <s v="GABRIEL REQUENA"/>
    <s v="SEGUNDA"/>
    <s v="."/>
    <s v="MIXTO"/>
    <x v="13"/>
    <s v="COLADOR HOGAR SOLIDO#3-ROJO"/>
    <n v="723"/>
    <n v="7"/>
    <n v="69.3"/>
    <s v="DIURNO"/>
    <n v="0"/>
    <n v="7"/>
    <n v="1093"/>
    <n v="18780"/>
    <s v="ROJO"/>
    <n v="8.5"/>
    <n v="0"/>
    <n v="0"/>
    <n v="67.239000000000004"/>
    <n v="69.3"/>
    <n v="93"/>
    <n v="745.16129032258061"/>
    <x v="4"/>
    <x v="0"/>
    <n v="19"/>
    <n v="1"/>
    <n v="60.25"/>
  </r>
  <r>
    <d v="2025-05-26T09:10:00"/>
    <s v="INYECTADO"/>
    <x v="3"/>
    <x v="93"/>
    <s v="GABRIEL REQUENA"/>
    <s v="SEGUNDA"/>
    <s v="."/>
    <s v="MIXTO"/>
    <x v="13"/>
    <s v="COLADOR HOGAR SOLIDO#3-AZURE"/>
    <n v="366"/>
    <n v="3"/>
    <n v="35.1"/>
    <s v="DIURNO"/>
    <n v="0"/>
    <n v="2"/>
    <n v="1093"/>
    <n v="18780"/>
    <s v="CELESTE"/>
    <n v="12.6"/>
    <n v="0"/>
    <n v="0"/>
    <n v="34.037999999999997"/>
    <n v="35.1"/>
    <n v="93"/>
    <n v="377.41935483870969"/>
    <x v="4"/>
    <x v="0"/>
    <n v="19"/>
    <n v="1"/>
    <n v="30.5"/>
  </r>
  <r>
    <d v="2025-05-26T09:10:00"/>
    <s v="INYECTADO"/>
    <x v="3"/>
    <x v="94"/>
    <s v="ANTHONY "/>
    <s v="SEGUNDA"/>
    <s v="."/>
    <s v="MIXTO"/>
    <x v="13"/>
    <s v="COLADOR HOGAR SOLIDO#3-AZURE"/>
    <n v="774"/>
    <n v="7"/>
    <n v="73.599999999999994"/>
    <s v="DIURNO"/>
    <n v="0"/>
    <n v="6"/>
    <n v="1093"/>
    <n v="18780"/>
    <s v="CELESTE"/>
    <n v="16.100000000000001"/>
    <n v="0"/>
    <n v="0"/>
    <n v="71.981999999999999"/>
    <n v="73.599999999999994"/>
    <n v="93"/>
    <n v="791.39784946236557"/>
    <x v="4"/>
    <x v="0"/>
    <n v="19"/>
    <n v="1"/>
    <n v="64.5"/>
  </r>
  <r>
    <d v="2025-05-26T09:10:00"/>
    <s v="INYECTADO"/>
    <x v="3"/>
    <x v="94"/>
    <s v="ANTHONY "/>
    <s v="SEGUNDA"/>
    <s v="."/>
    <s v="MIXTO"/>
    <x v="13"/>
    <s v="COLADOR HOGAR SOLIDO#3-VERDE"/>
    <n v="487"/>
    <n v="4"/>
    <n v="46.3"/>
    <s v="DIURNO"/>
    <n v="0"/>
    <n v="5"/>
    <n v="1093"/>
    <n v="18780"/>
    <s v="VERDE"/>
    <n v="11.1"/>
    <n v="0"/>
    <n v="0"/>
    <n v="45.290999999999997"/>
    <n v="46.3"/>
    <n v="93"/>
    <n v="497.84946236559142"/>
    <x v="4"/>
    <x v="0"/>
    <n v="19"/>
    <n v="1"/>
    <n v="40.583333333333336"/>
  </r>
  <r>
    <d v="2025-05-26T09:10:00"/>
    <s v="INYECTADO"/>
    <x v="3"/>
    <x v="94"/>
    <s v="JUAN MANUEL PEREZ"/>
    <s v="SEGUNDA"/>
    <s v="."/>
    <s v="MIXTO"/>
    <x v="13"/>
    <s v="COLADOR HOGAR SOLIDO#3-VERDE"/>
    <n v="501"/>
    <n v="5"/>
    <n v="47.1"/>
    <s v="NOCTURNO"/>
    <n v="0"/>
    <n v="4"/>
    <n v="1093"/>
    <n v="18780"/>
    <s v="VERDE"/>
    <n v="3.1"/>
    <n v="0"/>
    <n v="0"/>
    <n v="46.593000000000004"/>
    <n v="47.1"/>
    <n v="93"/>
    <n v="506.45161290322579"/>
    <x v="4"/>
    <x v="0"/>
    <n v="19"/>
    <n v="1"/>
    <n v="41.75"/>
  </r>
  <r>
    <d v="2025-05-26T09:10:00"/>
    <s v="INYECTADO"/>
    <x v="3"/>
    <x v="94"/>
    <s v="JUAN MANUEL PEREZ"/>
    <s v="VIRGEN"/>
    <s v="PP CLARIFICADO"/>
    <s v="."/>
    <x v="13"/>
    <s v="COLADOR HOGAR SOLIDO#3-CREMA"/>
    <n v="874"/>
    <n v="8"/>
    <n v="85.7"/>
    <s v="NOCTURNO"/>
    <n v="0"/>
    <n v="6"/>
    <n v="1093"/>
    <n v="18780"/>
    <s v="CREMA"/>
    <n v="2.1"/>
    <n v="0"/>
    <n v="0"/>
    <n v="81.281999999999996"/>
    <n v="85.7"/>
    <n v="93"/>
    <n v="921.50537634408602"/>
    <x v="4"/>
    <x v="0"/>
    <n v="19"/>
    <n v="1"/>
    <n v="72.833333333333329"/>
  </r>
  <r>
    <d v="2025-05-26T09:10:00"/>
    <s v="INYECTADO"/>
    <x v="3"/>
    <x v="96"/>
    <s v="ANTHONY "/>
    <s v="VIRGEN"/>
    <s v="PP CLARIFICADO"/>
    <s v="."/>
    <x v="13"/>
    <s v="COLADOR HOGAR SOLIDO#3-CREMA"/>
    <n v="395"/>
    <n v="3"/>
    <n v="38.799999999999997"/>
    <s v="DIURNO"/>
    <n v="0"/>
    <n v="3"/>
    <n v="1093"/>
    <n v="18785"/>
    <s v="CREMA"/>
    <n v="4.8"/>
    <n v="0"/>
    <n v="0"/>
    <n v="36.734999999999999"/>
    <n v="38.799999999999997"/>
    <n v="93"/>
    <n v="417.2043010752688"/>
    <x v="4"/>
    <x v="0"/>
    <n v="19"/>
    <n v="1"/>
    <n v="32.916666666666664"/>
  </r>
  <r>
    <d v="2025-05-26T09:10:00"/>
    <s v="INYECTADO"/>
    <x v="3"/>
    <x v="96"/>
    <s v="ANTHONY "/>
    <s v="SEGUNDA"/>
    <s v="."/>
    <s v="MIXTO"/>
    <x v="13"/>
    <s v="COLADOR HOGAR SOLIDO#3-AZUL"/>
    <n v="766"/>
    <n v="7"/>
    <n v="73.599999999999994"/>
    <s v="DIURNO"/>
    <n v="0"/>
    <n v="6"/>
    <n v="1093"/>
    <n v="18785"/>
    <s v="AZUL"/>
    <n v="1.7"/>
    <n v="0"/>
    <n v="0"/>
    <n v="71.238"/>
    <n v="73.599999999999994"/>
    <n v="93"/>
    <n v="791.39784946236557"/>
    <x v="4"/>
    <x v="0"/>
    <n v="19"/>
    <n v="1"/>
    <n v="63.833333333333336"/>
  </r>
  <r>
    <d v="2025-05-26T09:10:00"/>
    <s v="INYECTADO"/>
    <x v="3"/>
    <x v="97"/>
    <s v="GABRIEL REQUENA"/>
    <s v="SEGUNDA"/>
    <s v="."/>
    <s v="MIXTO"/>
    <x v="13"/>
    <s v="COLADOR HOGAR SOLIDO#3-AZUL"/>
    <n v="421"/>
    <n v="4"/>
    <n v="40.799999999999997"/>
    <s v="DIURNO"/>
    <n v="0"/>
    <n v="4"/>
    <n v="1093"/>
    <n v="20793"/>
    <s v="AZUL"/>
    <n v="0"/>
    <n v="0"/>
    <n v="0"/>
    <n v="39.152999999999999"/>
    <n v="40.799999999999997"/>
    <n v="93"/>
    <n v="438.70967741935482"/>
    <x v="4"/>
    <x v="0"/>
    <n v="19"/>
    <n v="1"/>
    <n v="35.083333333333336"/>
  </r>
  <r>
    <d v="2025-05-26T09:10:00"/>
    <s v="INYECTADO"/>
    <x v="3"/>
    <x v="105"/>
    <s v="LUIS RENGIFO"/>
    <s v="SEGUNDA"/>
    <s v="."/>
    <s v="MIXTO"/>
    <x v="13"/>
    <s v="COLADOR HOGAR SOLIDO#3-AZUL"/>
    <n v="122"/>
    <n v="1"/>
    <n v="11.6"/>
    <s v="DIURNO"/>
    <n v="0"/>
    <n v="2"/>
    <n v="1093"/>
    <n v="18786"/>
    <s v="AZUL"/>
    <n v="0"/>
    <n v="0"/>
    <n v="0"/>
    <n v="11.346"/>
    <n v="11.6"/>
    <n v="93"/>
    <n v="124.73118279569893"/>
    <x v="4"/>
    <x v="0"/>
    <n v="20"/>
    <n v="1"/>
    <n v="10.166666666666666"/>
  </r>
  <r>
    <d v="2025-05-26T09:10:00"/>
    <s v="INYECTADO"/>
    <x v="3"/>
    <x v="105"/>
    <s v="LUIS RENGIFO"/>
    <s v="SEGUNDA"/>
    <s v="."/>
    <s v="MIXTO"/>
    <x v="13"/>
    <s v="COLADOR HOGAR SOLIDO#3-VERDE"/>
    <n v="705"/>
    <n v="7"/>
    <n v="67"/>
    <s v="DIURNO"/>
    <n v="0"/>
    <n v="6"/>
    <n v="1093"/>
    <n v="18786"/>
    <s v="VERDE"/>
    <n v="0"/>
    <n v="0"/>
    <n v="0"/>
    <n v="65.564999999999998"/>
    <n v="67"/>
    <n v="93"/>
    <n v="720.43010752688167"/>
    <x v="4"/>
    <x v="0"/>
    <n v="20"/>
    <n v="1"/>
    <n v="58.75"/>
  </r>
  <r>
    <d v="2025-05-26T09:10:00"/>
    <s v="INYECTADO"/>
    <x v="3"/>
    <x v="105"/>
    <s v="LUIS RENGIFO"/>
    <s v="SEGUNDA"/>
    <s v="."/>
    <s v="MIXTO"/>
    <x v="13"/>
    <s v="COLADOR HOGAR SOLIDO#3-ANARANJADO"/>
    <n v="136"/>
    <n v="1"/>
    <n v="12.8"/>
    <s v="DIURNO"/>
    <n v="0"/>
    <n v="1"/>
    <n v="1093"/>
    <n v="18786"/>
    <s v="ANARANJADO"/>
    <n v="0"/>
    <n v="0"/>
    <n v="0"/>
    <n v="12.648"/>
    <n v="12.8"/>
    <n v="93"/>
    <n v="137.63440860215053"/>
    <x v="4"/>
    <x v="0"/>
    <n v="20"/>
    <n v="1"/>
    <n v="11.333333333333334"/>
  </r>
  <r>
    <d v="2025-05-26T09:10:00"/>
    <s v="INYECTADO"/>
    <x v="3"/>
    <x v="105"/>
    <s v="JUAN MANUEL PEREZ"/>
    <s v="SEGUNDA"/>
    <s v="."/>
    <s v="MIXTO"/>
    <x v="13"/>
    <s v="COLADOR HOGAR SOLIDO#3-AZURE"/>
    <n v="215"/>
    <n v="2"/>
    <n v="20.3"/>
    <s v="NOCTURNO"/>
    <n v="0"/>
    <n v="2"/>
    <n v="1093"/>
    <n v="18787"/>
    <s v="CELESTE"/>
    <n v="29.9"/>
    <n v="0"/>
    <n v="0"/>
    <n v="19.995000000000001"/>
    <n v="20.3"/>
    <n v="93"/>
    <n v="218.27956989247312"/>
    <x v="4"/>
    <x v="0"/>
    <n v="20"/>
    <n v="1"/>
    <n v="17.916666666666668"/>
  </r>
  <r>
    <d v="2025-05-26T09:10:00"/>
    <s v="INYECTADO"/>
    <x v="3"/>
    <x v="86"/>
    <s v="LUIS RENGIFO"/>
    <s v="VIRGEN"/>
    <s v="PP CLARIFICADO"/>
    <s v="."/>
    <x v="80"/>
    <s v="TAPA ORGANIZADOR DE 15KG-AMARILLO"/>
    <n v="240"/>
    <n v="2"/>
    <n v="42.2"/>
    <s v="DIURNO"/>
    <n v="0"/>
    <n v="4"/>
    <n v="1112"/>
    <n v="19381"/>
    <s v="AMARILLO"/>
    <n v="6.1"/>
    <n v="0"/>
    <n v="0"/>
    <n v="45.6"/>
    <n v="42.2"/>
    <n v="190"/>
    <n v="222.10526315789474"/>
    <x v="4"/>
    <x v="0"/>
    <n v="20"/>
    <n v="1"/>
    <n v="20"/>
  </r>
  <r>
    <d v="2025-05-26T09:10:00"/>
    <s v="INYECTADO"/>
    <x v="3"/>
    <x v="86"/>
    <s v="JOSDER GONZALEZ"/>
    <s v="VIRGEN"/>
    <s v="PP CLARIFICADO"/>
    <s v="."/>
    <x v="80"/>
    <s v="TAPA ORGANIZADOR DE 15KG-AMARILLO"/>
    <n v="136"/>
    <n v="1"/>
    <n v="24"/>
    <s v="NOCTURNO"/>
    <n v="0"/>
    <n v="3"/>
    <n v="1112"/>
    <n v="19382"/>
    <s v="AMARILLO"/>
    <n v="0"/>
    <n v="0"/>
    <n v="0"/>
    <n v="25.84"/>
    <n v="24"/>
    <n v="190"/>
    <n v="126.31578947368421"/>
    <x v="4"/>
    <x v="0"/>
    <n v="20"/>
    <n v="1"/>
    <n v="11.333333333333334"/>
  </r>
  <r>
    <d v="2025-05-26T09:10:00"/>
    <s v="INYECTADO"/>
    <x v="3"/>
    <x v="86"/>
    <s v="JOSDER GONZALEZ"/>
    <s v="VIRGEN"/>
    <s v="PP CLARIFICADO"/>
    <s v="."/>
    <x v="80"/>
    <s v="TAPA ORGANIZADOR DE 15KG-TURQUESA"/>
    <n v="275"/>
    <n v="2"/>
    <n v="48.6"/>
    <s v="NOCTURNO"/>
    <n v="0"/>
    <n v="5"/>
    <n v="1112"/>
    <n v="19382"/>
    <s v="TURQUESA"/>
    <n v="0"/>
    <n v="0"/>
    <n v="0"/>
    <n v="52.25"/>
    <n v="48.6"/>
    <n v="190"/>
    <n v="255.78947368421052"/>
    <x v="4"/>
    <x v="0"/>
    <n v="20"/>
    <n v="1"/>
    <n v="22.916666666666668"/>
  </r>
  <r>
    <d v="2025-05-26T09:10:00"/>
    <s v="INYECTADO"/>
    <x v="3"/>
    <x v="98"/>
    <s v="LUIS PINEDO"/>
    <s v="VIRGEN"/>
    <s v="PP CLARIFICADO"/>
    <s v="."/>
    <x v="80"/>
    <s v="TAPA ORGANIZADOR DE 15KG-TURQUESA"/>
    <n v="118"/>
    <n v="2"/>
    <n v="20.399999999999999"/>
    <s v="DIURNO"/>
    <n v="0"/>
    <n v="3"/>
    <n v="1112"/>
    <n v="19383"/>
    <s v="TURQUESA"/>
    <n v="0"/>
    <n v="0"/>
    <n v="0"/>
    <n v="22.42"/>
    <n v="20.399999999999999"/>
    <n v="190"/>
    <n v="107.36842105263158"/>
    <x v="4"/>
    <x v="0"/>
    <n v="21"/>
    <n v="1"/>
    <n v="9.8333333333333339"/>
  </r>
  <r>
    <d v="2025-05-26T09:10:00"/>
    <s v="INYECTADO"/>
    <x v="3"/>
    <x v="98"/>
    <s v="LUIS PINEDO"/>
    <s v="VIRGEN"/>
    <s v="PP CLARIFICADO"/>
    <s v="."/>
    <x v="80"/>
    <s v="TAPA ORGANIZADOR DE 15KG-FUCSIA"/>
    <n v="149"/>
    <n v="2"/>
    <n v="29.3"/>
    <s v="DIURNO"/>
    <n v="0"/>
    <n v="3"/>
    <n v="1112"/>
    <n v="19383"/>
    <s v="FUCSIA"/>
    <n v="2"/>
    <n v="0"/>
    <n v="0"/>
    <n v="28.31"/>
    <n v="29.3"/>
    <n v="190"/>
    <n v="154.21052631578948"/>
    <x v="4"/>
    <x v="0"/>
    <n v="21"/>
    <n v="1"/>
    <n v="12.416666666666666"/>
  </r>
  <r>
    <d v="2025-05-26T09:10:00"/>
    <s v="INYECTADO"/>
    <x v="3"/>
    <x v="98"/>
    <s v="LUIS PINEDO"/>
    <s v="VIRGEN"/>
    <s v="PP CLARIFICADO"/>
    <s v="."/>
    <x v="80"/>
    <s v="TAPA ORGANIZADOR DE 15KG-VERDE"/>
    <n v="26"/>
    <n v="1"/>
    <n v="4.7"/>
    <s v="DIURNO"/>
    <n v="0"/>
    <n v="1"/>
    <n v="1112"/>
    <n v="19383"/>
    <s v="VERDE"/>
    <n v="13"/>
    <n v="0"/>
    <n v="0"/>
    <n v="4.9400000000000004"/>
    <n v="4.7"/>
    <n v="190"/>
    <n v="24.736842105263158"/>
    <x v="4"/>
    <x v="0"/>
    <n v="21"/>
    <n v="1"/>
    <n v="2.1666666666666665"/>
  </r>
  <r>
    <d v="2025-05-26T09:10:00"/>
    <s v="INYECTADO"/>
    <x v="3"/>
    <x v="99"/>
    <s v="LUIS RENGIFO"/>
    <s v="VIRGEN"/>
    <s v="PP CLARIFICADO"/>
    <s v="."/>
    <x v="80"/>
    <s v="TAPA ORGANIZADOR DE 15KG-ROJO"/>
    <n v="426"/>
    <n v="5"/>
    <n v="75.8"/>
    <s v="DIURNO"/>
    <n v="0"/>
    <n v="7"/>
    <n v="1112"/>
    <n v="19384"/>
    <s v="ROJO"/>
    <n v="13.3"/>
    <n v="0"/>
    <n v="0"/>
    <n v="80.94"/>
    <n v="75.8"/>
    <n v="190"/>
    <n v="398.94736842105266"/>
    <x v="4"/>
    <x v="0"/>
    <n v="21"/>
    <n v="1"/>
    <n v="35.5"/>
  </r>
  <r>
    <d v="2025-05-26T09:10:00"/>
    <s v="INYECTADO"/>
    <x v="3"/>
    <x v="99"/>
    <s v="LUIS RENGIFO"/>
    <s v="VIRGEN"/>
    <s v="PP CLARIFICADO"/>
    <s v="."/>
    <x v="80"/>
    <s v="TAPA ORGANIZADOR DE 15KG-FUCSIA"/>
    <n v="237"/>
    <n v="3"/>
    <n v="44.6"/>
    <s v="DIURNO"/>
    <n v="0"/>
    <n v="4"/>
    <n v="1112"/>
    <n v="19384"/>
    <s v="FUCSIA"/>
    <n v="3"/>
    <n v="0"/>
    <n v="0"/>
    <n v="45.03"/>
    <n v="44.6"/>
    <n v="190"/>
    <n v="234.73684210526315"/>
    <x v="4"/>
    <x v="0"/>
    <n v="21"/>
    <n v="1"/>
    <n v="19.75"/>
  </r>
  <r>
    <d v="2025-05-26T09:10:00"/>
    <s v="INYECTADO"/>
    <x v="3"/>
    <x v="99"/>
    <s v="LUIS RENGIFO"/>
    <s v="VIRGEN"/>
    <s v="PP CLARIFICADO"/>
    <s v="."/>
    <x v="80"/>
    <s v="TAPA ORGANIZADOR DE 15KG-AZUL"/>
    <n v="101"/>
    <n v="1"/>
    <n v="19"/>
    <s v="DIURNO"/>
    <n v="0"/>
    <n v="2"/>
    <n v="1112"/>
    <n v="19384"/>
    <s v="AZUL"/>
    <n v="1.4"/>
    <n v="0"/>
    <n v="0"/>
    <n v="19.190000000000001"/>
    <n v="19"/>
    <n v="190"/>
    <n v="100"/>
    <x v="4"/>
    <x v="0"/>
    <n v="21"/>
    <n v="1"/>
    <n v="8.4166666666666661"/>
  </r>
  <r>
    <d v="2025-05-26T09:10:00"/>
    <s v="INYECTADO"/>
    <x v="3"/>
    <x v="100"/>
    <s v="LUIS RENGIFO"/>
    <s v="VIRGEN"/>
    <s v="PP CLARIFICADO"/>
    <s v="."/>
    <x v="80"/>
    <s v="TAPA ORGANIZADOR DE 15KG-VERDE"/>
    <n v="337"/>
    <n v="4"/>
    <n v="59.9"/>
    <s v="DIURNO"/>
    <n v="0"/>
    <n v="3"/>
    <n v="1112"/>
    <n v="19385"/>
    <s v="VERDE"/>
    <n v="4.8"/>
    <n v="0"/>
    <n v="0"/>
    <n v="64.03"/>
    <n v="59.9"/>
    <n v="190"/>
    <n v="315.26315789473682"/>
    <x v="4"/>
    <x v="0"/>
    <n v="21"/>
    <n v="1"/>
    <n v="28.083333333333332"/>
  </r>
  <r>
    <d v="2025-05-26T09:10:00"/>
    <s v="INYECTADO"/>
    <x v="3"/>
    <x v="100"/>
    <s v="LUIS RENGIFO"/>
    <s v="VIRGEN"/>
    <s v="PP CLARIFICADO"/>
    <s v="."/>
    <x v="80"/>
    <s v="TAPA ORGANIZADOR DE 15KG-AZUL"/>
    <n v="251"/>
    <n v="3"/>
    <n v="45.4"/>
    <s v="DIURNO"/>
    <n v="0"/>
    <n v="2"/>
    <n v="1112"/>
    <n v="19385"/>
    <s v="AZUL"/>
    <n v="4"/>
    <n v="0"/>
    <n v="0"/>
    <n v="47.69"/>
    <n v="45.4"/>
    <n v="190"/>
    <n v="238.94736842105263"/>
    <x v="4"/>
    <x v="0"/>
    <n v="21"/>
    <n v="1"/>
    <n v="20.916666666666668"/>
  </r>
  <r>
    <d v="2025-05-26T09:10:00"/>
    <s v="INYECTADO"/>
    <x v="3"/>
    <x v="101"/>
    <s v="LUIS RENGIFO"/>
    <s v="VIRGEN"/>
    <s v="PP CLARIFICADO"/>
    <s v="."/>
    <x v="80"/>
    <s v="TAPA ORGANIZADOR DE 15KG-VERDE"/>
    <n v="141"/>
    <n v="2"/>
    <n v="25.9"/>
    <s v="DIURNO"/>
    <n v="0"/>
    <n v="3"/>
    <n v="1112"/>
    <n v="19386"/>
    <s v="VERDE"/>
    <n v="0"/>
    <n v="0"/>
    <n v="0"/>
    <n v="26.79"/>
    <n v="25.9"/>
    <n v="190"/>
    <n v="136.31578947368422"/>
    <x v="4"/>
    <x v="0"/>
    <n v="21"/>
    <n v="1"/>
    <n v="11.75"/>
  </r>
  <r>
    <d v="2025-05-26T09:10:00"/>
    <s v="INYECTADO"/>
    <x v="3"/>
    <x v="101"/>
    <s v="LUIS RENGIFO"/>
    <s v="VIRGEN"/>
    <s v="PP CLARIFICADO"/>
    <s v="."/>
    <x v="80"/>
    <s v="TAPA ORGANIZADOR DE 15KG-TURQUESA"/>
    <n v="127"/>
    <n v="2"/>
    <n v="24.3"/>
    <s v="DIURNO"/>
    <n v="0"/>
    <n v="2"/>
    <n v="1112"/>
    <n v="19386"/>
    <s v="TURQUESA"/>
    <n v="0"/>
    <n v="0"/>
    <n v="0"/>
    <n v="24.13"/>
    <n v="24.3"/>
    <n v="190"/>
    <n v="127.89473684210526"/>
    <x v="4"/>
    <x v="0"/>
    <n v="21"/>
    <n v="1"/>
    <n v="10.583333333333334"/>
  </r>
  <r>
    <d v="2025-05-26T09:10:00"/>
    <s v="INYECTADO"/>
    <x v="3"/>
    <x v="101"/>
    <s v="LUIS RENGIFO"/>
    <s v="VIRGEN"/>
    <s v="PP CLARIFICADO"/>
    <s v="."/>
    <x v="80"/>
    <s v="TAPA ORGANIZADOR DE 15KG-FUCSIA"/>
    <n v="60"/>
    <n v="1"/>
    <n v="11.04"/>
    <s v="DIURNO"/>
    <n v="0"/>
    <n v="1"/>
    <n v="1112"/>
    <n v="19386"/>
    <s v="FUCSIA"/>
    <n v="0"/>
    <n v="0"/>
    <n v="0"/>
    <n v="11.4"/>
    <n v="11.04"/>
    <n v="190"/>
    <n v="58.10526315789474"/>
    <x v="4"/>
    <x v="0"/>
    <n v="21"/>
    <n v="1"/>
    <n v="5"/>
  </r>
  <r>
    <d v="2025-05-26T09:10:00"/>
    <s v="INYECTADO"/>
    <x v="3"/>
    <x v="90"/>
    <s v="CRISALIDA ZAPATA"/>
    <s v="VIRGEN"/>
    <s v="PP CLARIFICADO"/>
    <s v="."/>
    <x v="80"/>
    <s v="TAPA ORGANIZADOR DE 15KG-AMARILLO"/>
    <n v="124"/>
    <n v="2"/>
    <n v="23.06"/>
    <s v="DIURNO"/>
    <n v="0"/>
    <n v="2"/>
    <n v="1112"/>
    <n v="19387"/>
    <s v="AMARILLO"/>
    <n v="6.3"/>
    <n v="0"/>
    <n v="0"/>
    <n v="23.56"/>
    <n v="23.06"/>
    <n v="190"/>
    <n v="121.36842105263158"/>
    <x v="4"/>
    <x v="0"/>
    <n v="21"/>
    <n v="1"/>
    <n v="10.333333333333334"/>
  </r>
  <r>
    <d v="2025-05-26T09:10:00"/>
    <s v="INYECTADO"/>
    <x v="3"/>
    <x v="90"/>
    <s v="CRISALIDA ZAPATA"/>
    <s v="VIRGEN"/>
    <s v="PP CLARIFICADO"/>
    <s v="."/>
    <x v="80"/>
    <s v="TAPA ORGANIZADOR DE 15KG-AZUL"/>
    <n v="66"/>
    <n v="1"/>
    <n v="12.07"/>
    <s v="DIURNO"/>
    <n v="0"/>
    <n v="1"/>
    <n v="1112"/>
    <n v="19387"/>
    <s v="AZUL"/>
    <n v="1.5"/>
    <n v="0"/>
    <n v="0"/>
    <n v="12.54"/>
    <n v="12.07"/>
    <n v="190"/>
    <n v="63.526315789473685"/>
    <x v="4"/>
    <x v="0"/>
    <n v="21"/>
    <n v="1"/>
    <n v="5.5"/>
  </r>
  <r>
    <d v="2025-05-26T09:10:00"/>
    <s v="INYECTADO"/>
    <x v="3"/>
    <x v="91"/>
    <s v="LUIS RENGIFO"/>
    <s v="VIRGEN"/>
    <s v="PP CLARIFICADO"/>
    <s v="."/>
    <x v="47"/>
    <s v="COLADOR HOGAR SOLIDO#2-CREMA"/>
    <n v="347"/>
    <n v="3"/>
    <n v="24"/>
    <s v="DIURNO"/>
    <n v="0"/>
    <n v="3"/>
    <n v="1112"/>
    <n v="19388"/>
    <s v="CREMA"/>
    <n v="3"/>
    <n v="0"/>
    <n v="0"/>
    <n v="24.29"/>
    <n v="24"/>
    <n v="70"/>
    <n v="342.85714285714283"/>
    <x v="4"/>
    <x v="0"/>
    <n v="22"/>
    <n v="1"/>
    <n v="28.916666666666668"/>
  </r>
  <r>
    <d v="2025-05-26T09:10:00"/>
    <s v="INYECTADO"/>
    <x v="3"/>
    <x v="91"/>
    <s v="LUIS RENGIFO"/>
    <s v="SEGUNDA"/>
    <s v="."/>
    <s v="MIXTO"/>
    <x v="47"/>
    <s v="COLADOR HOGAR SOLIDO#2-AZURE"/>
    <n v="344"/>
    <n v="3"/>
    <n v="23.8"/>
    <s v="DIURNO"/>
    <n v="0"/>
    <n v="3"/>
    <n v="1112"/>
    <n v="19388"/>
    <s v="CELESTE"/>
    <n v="2.2999999999999998"/>
    <n v="0"/>
    <n v="0"/>
    <n v="24.08"/>
    <n v="23.8"/>
    <n v="70"/>
    <n v="340"/>
    <x v="4"/>
    <x v="0"/>
    <n v="22"/>
    <n v="1"/>
    <n v="28.666666666666668"/>
  </r>
  <r>
    <d v="2025-05-26T09:10:00"/>
    <s v="INYECTADO"/>
    <x v="3"/>
    <x v="92"/>
    <s v="GABRIEL ORDAZ"/>
    <s v="SEGUNDA"/>
    <s v="."/>
    <s v="MIXTO"/>
    <x v="47"/>
    <s v="COLADOR HOGAR SOLIDO#2-AZUL"/>
    <n v="330"/>
    <n v="3"/>
    <n v="23.1"/>
    <s v="DIURNO"/>
    <n v="0"/>
    <n v="3"/>
    <n v="1112"/>
    <n v="19389"/>
    <s v="AZUL"/>
    <n v="4"/>
    <n v="0"/>
    <n v="0"/>
    <n v="23.1"/>
    <n v="23.1"/>
    <n v="70"/>
    <n v="330"/>
    <x v="4"/>
    <x v="0"/>
    <n v="22"/>
    <n v="1"/>
    <n v="27.5"/>
  </r>
  <r>
    <d v="2025-05-26T09:10:00"/>
    <s v="INYECTADO"/>
    <x v="3"/>
    <x v="92"/>
    <s v="GABRIEL ORDAZ"/>
    <s v="SEGUNDA"/>
    <s v="."/>
    <s v="MIXTO"/>
    <x v="47"/>
    <s v="COLADOR HOGAR SOLIDO#2-VERDE"/>
    <n v="282"/>
    <n v="2"/>
    <n v="19.5"/>
    <s v="DIURNO"/>
    <n v="0"/>
    <n v="3"/>
    <n v="1112"/>
    <n v="19389"/>
    <s v="VERDE"/>
    <n v="5.4"/>
    <n v="0"/>
    <n v="0"/>
    <n v="19.739999999999998"/>
    <n v="19.5"/>
    <n v="70"/>
    <n v="278.57142857142856"/>
    <x v="4"/>
    <x v="0"/>
    <n v="22"/>
    <n v="1"/>
    <n v="23.5"/>
  </r>
  <r>
    <d v="2025-05-26T09:10:00"/>
    <s v="INYECTADO"/>
    <x v="3"/>
    <x v="92"/>
    <s v="GABRIEL ORDAZ"/>
    <s v="SEGUNDA"/>
    <s v="."/>
    <s v="MIXTO"/>
    <x v="47"/>
    <s v="COLADOR HOGAR SOLIDO#2-ANARANJADO"/>
    <n v="344"/>
    <n v="3"/>
    <n v="24.1"/>
    <s v="DIURNO"/>
    <n v="0"/>
    <n v="3"/>
    <n v="1112"/>
    <n v="19389"/>
    <s v="ANARANJADO"/>
    <n v="1.4"/>
    <n v="0"/>
    <n v="0"/>
    <n v="24.08"/>
    <n v="24.1"/>
    <n v="70"/>
    <n v="344.28571428571428"/>
    <x v="4"/>
    <x v="0"/>
    <n v="22"/>
    <n v="1"/>
    <n v="28.666666666666668"/>
  </r>
  <r>
    <d v="2025-05-26T09:10:00"/>
    <s v="INYECTADO"/>
    <x v="3"/>
    <x v="92"/>
    <s v="GABRIEL ORDAZ"/>
    <s v="SEGUNDA"/>
    <s v="."/>
    <s v="MIXTO"/>
    <x v="47"/>
    <s v="COLADOR HOGAR SOLIDO#2-ROJO"/>
    <n v="31"/>
    <n v="1"/>
    <n v="2.2000000000000002"/>
    <s v="DIURNO"/>
    <n v="0"/>
    <n v="1"/>
    <n v="1112"/>
    <n v="19389"/>
    <s v="ROJO"/>
    <n v="0.8"/>
    <n v="0"/>
    <n v="0"/>
    <n v="2.17"/>
    <n v="2.2000000000000002"/>
    <n v="70"/>
    <n v="31.428571428571427"/>
    <x v="4"/>
    <x v="0"/>
    <n v="22"/>
    <n v="1"/>
    <n v="2.5833333333333335"/>
  </r>
  <r>
    <d v="2025-05-26T09:10:00"/>
    <s v="INYECTADO"/>
    <x v="3"/>
    <x v="102"/>
    <s v="CRISALIDA ZAPATA"/>
    <s v="SEGUNDA"/>
    <s v="."/>
    <s v="MIXTO"/>
    <x v="47"/>
    <s v="COLADOR HOGAR SOLIDO#2-ROJO"/>
    <n v="861"/>
    <n v="8"/>
    <n v="66.7"/>
    <s v="DIURNO"/>
    <n v="0"/>
    <n v="7"/>
    <n v="1118"/>
    <n v="19390"/>
    <s v="ROJO"/>
    <n v="10.6"/>
    <n v="0"/>
    <n v="0"/>
    <n v="60.27"/>
    <n v="66.7"/>
    <n v="70"/>
    <n v="952.85714285714289"/>
    <x v="4"/>
    <x v="0"/>
    <n v="22"/>
    <n v="1"/>
    <n v="71.75"/>
  </r>
  <r>
    <d v="2025-05-26T09:10:00"/>
    <s v="INYECTADO"/>
    <x v="3"/>
    <x v="102"/>
    <s v="CRISALIDA ZAPATA"/>
    <s v="SEGUNDA"/>
    <s v="."/>
    <s v="MIXTO"/>
    <x v="47"/>
    <s v="COLADOR HOGAR SOLIDO#2-ANARANJADO"/>
    <n v="77"/>
    <n v="1"/>
    <n v="5.5"/>
    <s v="DIURNO"/>
    <n v="0"/>
    <n v="1"/>
    <n v="1118"/>
    <n v="19390"/>
    <s v="ANARANJADO"/>
    <n v="1.7"/>
    <n v="0"/>
    <n v="0"/>
    <n v="5.39"/>
    <n v="5.5"/>
    <n v="70"/>
    <n v="78.571428571428569"/>
    <x v="4"/>
    <x v="0"/>
    <n v="22"/>
    <n v="1"/>
    <n v="6.416666666666667"/>
  </r>
  <r>
    <d v="2025-05-26T09:10:00"/>
    <s v="INYECTADO"/>
    <x v="3"/>
    <x v="103"/>
    <s v="CRISALIDA ZAPATA"/>
    <s v="SEGUNDA"/>
    <s v="."/>
    <s v="MIXTO"/>
    <x v="47"/>
    <s v="COLADOR HOGAR SOLIDO#2-ANARANJADO"/>
    <n v="615"/>
    <n v="6"/>
    <n v="43.1"/>
    <s v="DIURNO"/>
    <n v="0"/>
    <n v="6"/>
    <n v="1118"/>
    <n v="19391"/>
    <s v="ANARANJADO"/>
    <n v="5.4"/>
    <n v="0"/>
    <n v="0"/>
    <n v="43.05"/>
    <n v="43.1"/>
    <n v="70"/>
    <n v="615.71428571428567"/>
    <x v="4"/>
    <x v="0"/>
    <n v="22"/>
    <n v="1"/>
    <n v="51.25"/>
  </r>
  <r>
    <d v="2025-05-26T09:10:00"/>
    <s v="INYECTADO"/>
    <x v="3"/>
    <x v="103"/>
    <s v="CRISALIDA ZAPATA"/>
    <s v="SEGUNDA"/>
    <s v="."/>
    <s v="MIXTO"/>
    <x v="47"/>
    <s v="COLADOR HOGAR SOLIDO#2-AZURE"/>
    <n v="257"/>
    <n v="2"/>
    <n v="17.8"/>
    <s v="DIURNO"/>
    <n v="0"/>
    <n v="3"/>
    <n v="1118"/>
    <n v="19391"/>
    <s v="CELESTE"/>
    <n v="7"/>
    <n v="0"/>
    <n v="0"/>
    <n v="17.989999999999998"/>
    <n v="17.8"/>
    <n v="70"/>
    <n v="254.28571428571428"/>
    <x v="4"/>
    <x v="0"/>
    <n v="22"/>
    <n v="1"/>
    <n v="21.416666666666668"/>
  </r>
  <r>
    <d v="2025-05-26T09:10:00"/>
    <s v="INYECTADO"/>
    <x v="3"/>
    <x v="95"/>
    <s v="CRISALIDA ZAPATA"/>
    <s v="SEGUNDA"/>
    <s v="."/>
    <s v="MIXTO"/>
    <x v="47"/>
    <s v="COLADOR HOGAR SOLIDO#2-AZURE"/>
    <n v="218"/>
    <n v="2"/>
    <n v="15.3"/>
    <s v="DIURNO"/>
    <n v="0"/>
    <n v="2"/>
    <n v="1118"/>
    <n v="19392"/>
    <s v="CELESTE"/>
    <n v="0"/>
    <n v="0"/>
    <n v="0"/>
    <n v="15.26"/>
    <n v="15.3"/>
    <n v="70"/>
    <n v="218.57142857142858"/>
    <x v="4"/>
    <x v="0"/>
    <n v="22"/>
    <n v="1"/>
    <n v="18.166666666666668"/>
  </r>
  <r>
    <d v="2025-05-26T09:10:00"/>
    <s v="INYECTADO"/>
    <x v="3"/>
    <x v="95"/>
    <s v="CRISALIDA ZAPATA"/>
    <s v="VIRGEN"/>
    <s v="PP CLARIFICADO"/>
    <s v="."/>
    <x v="47"/>
    <s v="COLADOR HOGAR SOLIDO#2-CREMA"/>
    <n v="672"/>
    <n v="6"/>
    <n v="47.1"/>
    <s v="DIURNO"/>
    <n v="0"/>
    <n v="6"/>
    <n v="1118"/>
    <n v="19392"/>
    <s v="CREMA"/>
    <n v="0"/>
    <n v="0"/>
    <n v="0"/>
    <n v="47.04"/>
    <n v="47.1"/>
    <n v="70"/>
    <n v="672.85714285714289"/>
    <x v="4"/>
    <x v="0"/>
    <n v="22"/>
    <n v="1"/>
    <n v="56"/>
  </r>
  <r>
    <d v="2025-05-26T09:10:00"/>
    <s v="INYECTADO"/>
    <x v="3"/>
    <x v="95"/>
    <s v="CRISALIDA ZAPATA"/>
    <s v="SEGUNDA"/>
    <s v="."/>
    <s v="MIXTO"/>
    <x v="47"/>
    <s v="COLADOR HOGAR SOLIDO#2-AZUL"/>
    <n v="151"/>
    <n v="2"/>
    <n v="10.6"/>
    <s v="DIURNO"/>
    <n v="0"/>
    <n v="2"/>
    <n v="1118"/>
    <n v="19392"/>
    <s v="AZUL"/>
    <n v="0"/>
    <n v="0"/>
    <n v="0"/>
    <n v="10.57"/>
    <n v="10.6"/>
    <n v="70"/>
    <n v="151.42857142857142"/>
    <x v="4"/>
    <x v="0"/>
    <n v="22"/>
    <n v="1"/>
    <n v="12.583333333333334"/>
  </r>
  <r>
    <d v="2025-05-26T09:10:00"/>
    <s v="INYECTADO"/>
    <x v="3"/>
    <x v="106"/>
    <s v="CRISALIDA ZAPATA"/>
    <s v="SEGUNDA"/>
    <s v="."/>
    <s v="MIXTO"/>
    <x v="47"/>
    <s v="COLADOR HOGAR SOLIDO#2-AZUL"/>
    <n v="1138"/>
    <n v="11"/>
    <n v="80.8"/>
    <s v="DIURNO"/>
    <n v="0"/>
    <n v="9"/>
    <n v="1118"/>
    <n v="19392"/>
    <s v="AZUL"/>
    <n v="2.2000000000000002"/>
    <n v="0"/>
    <n v="0"/>
    <n v="79.66"/>
    <n v="80.8"/>
    <n v="70"/>
    <n v="1154.2857142857142"/>
    <x v="4"/>
    <x v="0"/>
    <n v="22"/>
    <n v="1"/>
    <n v="94.833333333333329"/>
  </r>
  <r>
    <d v="2025-05-26T09:10:00"/>
    <s v="INYECTADO"/>
    <x v="7"/>
    <x v="83"/>
    <s v="CRISALIDA ZAPATA"/>
    <s v="VIRGEN"/>
    <s v="PP CLARIFICADO"/>
    <s v="."/>
    <x v="17"/>
    <s v="TAPA DE ORGANIZADOR #2 CARAMELO-ROJO"/>
    <n v="148"/>
    <n v="2"/>
    <n v="6.4"/>
    <s v="DIURNO"/>
    <m/>
    <n v="2"/>
    <n v="1075"/>
    <n v="21159"/>
    <s v="ROJO"/>
    <n v="4.7"/>
    <n v="0"/>
    <n v="0"/>
    <n v="3.1080000000000001"/>
    <n v="6.4"/>
    <n v="21"/>
    <n v="304.76190476190476"/>
    <x v="4"/>
    <x v="0"/>
    <n v="19"/>
    <n v="2"/>
    <n v="24.666666666666668"/>
  </r>
  <r>
    <d v="2025-05-26T09:10:00"/>
    <s v="INYECTADO"/>
    <x v="7"/>
    <x v="83"/>
    <s v="CRISALIDA ZAPATA"/>
    <s v="VIRGEN"/>
    <s v="PP CLARIFICADO"/>
    <s v="."/>
    <x v="17"/>
    <s v="TAPA DE ORGANIZADOR #2 CARAMELO-AZUL"/>
    <n v="775"/>
    <n v="7"/>
    <n v="33.299999999999997"/>
    <s v="DIURNO"/>
    <m/>
    <n v="7"/>
    <n v="1075"/>
    <n v="21159"/>
    <s v="AZUL"/>
    <n v="2"/>
    <n v="0"/>
    <n v="0"/>
    <n v="16.274999999999999"/>
    <n v="33.299999999999997"/>
    <n v="21"/>
    <n v="1585.7142857142858"/>
    <x v="4"/>
    <x v="0"/>
    <n v="19"/>
    <n v="2"/>
    <n v="129.16666666666666"/>
  </r>
  <r>
    <d v="2025-05-26T09:10:00"/>
    <s v="INYECTADO"/>
    <x v="7"/>
    <x v="83"/>
    <s v="GABRIEL REQUENA"/>
    <s v="VIRGEN"/>
    <s v="PP CLARIFICADO"/>
    <s v="."/>
    <x v="17"/>
    <s v="TAPA DE ORGANIZADOR #2 CARAMELO-AMARILLO"/>
    <n v="211"/>
    <n v="3"/>
    <n v="9.1"/>
    <s v="NOCTURNO"/>
    <m/>
    <n v="2"/>
    <n v="1075"/>
    <n v="21160"/>
    <s v="AMARILLO"/>
    <n v="0"/>
    <n v="0"/>
    <n v="0"/>
    <n v="4.431"/>
    <n v="9.1"/>
    <n v="21"/>
    <n v="433.33333333333331"/>
    <x v="4"/>
    <x v="0"/>
    <n v="19"/>
    <n v="2"/>
    <n v="35.166666666666664"/>
  </r>
  <r>
    <d v="2025-05-26T09:10:00"/>
    <s v="INYECTADO"/>
    <x v="7"/>
    <x v="83"/>
    <s v="GABRIEL REQUENA"/>
    <s v="VIRGEN"/>
    <s v="PP CLARIFICADO"/>
    <s v="."/>
    <x v="51"/>
    <s v="TAPA DE ORGANIZADOR #2-BLANCO"/>
    <n v="360"/>
    <n v="3"/>
    <n v="15.4"/>
    <s v="NOCTURNO"/>
    <m/>
    <n v="3"/>
    <n v="1075"/>
    <n v="21160"/>
    <s v="BLANCO"/>
    <n v="0"/>
    <n v="0"/>
    <n v="0"/>
    <n v="7.56"/>
    <n v="15.4"/>
    <n v="21"/>
    <n v="733.33333333333337"/>
    <x v="4"/>
    <x v="0"/>
    <n v="19"/>
    <n v="2"/>
    <n v="60"/>
  </r>
  <r>
    <d v="2025-05-26T09:10:00"/>
    <s v="INYECTADO"/>
    <x v="7"/>
    <x v="93"/>
    <s v="CRISALIDA ZAPATA"/>
    <s v="VIRGEN"/>
    <s v="PP CLARIFICADO"/>
    <s v="."/>
    <x v="51"/>
    <s v="TAPA DE ORGANIZADOR #2-BLANCO"/>
    <n v="1397"/>
    <n v="12"/>
    <n v="58.6"/>
    <s v="DIURNO"/>
    <m/>
    <n v="12"/>
    <n v="1075"/>
    <n v="21161"/>
    <s v="BLANCO"/>
    <n v="7.2"/>
    <n v="0"/>
    <n v="0"/>
    <n v="29.337"/>
    <n v="58.6"/>
    <n v="21"/>
    <n v="2790.4761904761904"/>
    <x v="4"/>
    <x v="0"/>
    <n v="19"/>
    <n v="2"/>
    <n v="232.83333333333334"/>
  </r>
  <r>
    <d v="2025-05-26T09:10:00"/>
    <s v="INYECTADO"/>
    <x v="7"/>
    <x v="93"/>
    <s v="JUAN MANUEL PEREZ"/>
    <s v="VIRGEN"/>
    <s v="PP CLARIFICADO"/>
    <s v="."/>
    <x v="53"/>
    <s v="TAPA DE ORGANIZADOR #2-TRANSPARENTE"/>
    <n v="529"/>
    <n v="12"/>
    <n v="22.2"/>
    <s v="NOCTURNO"/>
    <m/>
    <n v="11"/>
    <n v="1075"/>
    <n v="21162"/>
    <s v="BLANCO"/>
    <n v="0"/>
    <n v="0"/>
    <n v="0"/>
    <n v="11.109"/>
    <n v="22.2"/>
    <n v="21"/>
    <n v="1057.1428571428571"/>
    <x v="4"/>
    <x v="0"/>
    <n v="19"/>
    <n v="2"/>
    <n v="88.166666666666671"/>
  </r>
  <r>
    <d v="2025-05-26T09:10:00"/>
    <s v="INYECTADO"/>
    <x v="7"/>
    <x v="94"/>
    <s v="CRISALIDA ZAPATA"/>
    <s v="VIRGEN"/>
    <s v="PP CLARIFICADO"/>
    <s v="."/>
    <x v="49"/>
    <s v="TAPA DE ORGANIZADOR #3-ROJO"/>
    <n v="1216"/>
    <n v="11"/>
    <n v="54.7"/>
    <s v="DIURNO"/>
    <m/>
    <n v="11"/>
    <n v="1075"/>
    <n v="21164"/>
    <s v="TRANSPARENTE"/>
    <n v="0.4"/>
    <n v="0"/>
    <n v="0"/>
    <n v="46.207999999999998"/>
    <n v="54.7"/>
    <n v="38"/>
    <n v="1439.4736842105262"/>
    <x v="4"/>
    <x v="0"/>
    <n v="19"/>
    <n v="2"/>
    <n v="202.66666666666666"/>
  </r>
  <r>
    <d v="2025-05-26T09:10:00"/>
    <s v="INYECTADO"/>
    <x v="7"/>
    <x v="97"/>
    <s v="CRISALIDA ZAPATA"/>
    <s v="VIRGEN"/>
    <s v="PP CLARIFICADO"/>
    <s v="."/>
    <x v="49"/>
    <s v="TAPA DE ORGANIZADOR #3-ROJO"/>
    <n v="1030"/>
    <n v="9"/>
    <n v="73.099999999999994"/>
    <s v="DIURNO"/>
    <m/>
    <n v="9"/>
    <n v="1102"/>
    <n v="21165"/>
    <s v="ROJO"/>
    <n v="6.5"/>
    <n v="0"/>
    <n v="0"/>
    <n v="39.14"/>
    <n v="73.099999999999994"/>
    <n v="38"/>
    <n v="1923.6842105263158"/>
    <x v="4"/>
    <x v="0"/>
    <n v="19"/>
    <n v="2"/>
    <n v="171.66666666666666"/>
  </r>
  <r>
    <d v="2025-05-26T09:10:00"/>
    <s v="INYECTADO"/>
    <x v="7"/>
    <x v="97"/>
    <s v="CRISALIDA ZAPATA"/>
    <s v="VIRGEN"/>
    <s v="PP CLARIFICADO"/>
    <s v="."/>
    <x v="49"/>
    <s v="TAPA DE ORGANIZADOR #3-ROJO"/>
    <n v="992"/>
    <n v="8"/>
    <n v="71.400000000000006"/>
    <s v="NOCTURNO"/>
    <m/>
    <n v="9"/>
    <n v="1102"/>
    <n v="21166"/>
    <s v="ROJO"/>
    <n v="7.9"/>
    <n v="0"/>
    <n v="0"/>
    <n v="37.695999999999998"/>
    <n v="71.400000000000006"/>
    <n v="38"/>
    <n v="1878.9473684210527"/>
    <x v="4"/>
    <x v="0"/>
    <n v="19"/>
    <n v="2"/>
    <n v="165.33333333333334"/>
  </r>
  <r>
    <d v="2025-05-26T09:10:00"/>
    <s v="INYECTADO"/>
    <x v="7"/>
    <x v="105"/>
    <s v="CRISALIDA ZAPATA"/>
    <s v="VIRGEN"/>
    <s v="PP CLARIFICADO"/>
    <s v="."/>
    <x v="81"/>
    <s v="TAPA DE ORGANIZADOR #3 CARAMELO-VERDE"/>
    <n v="670"/>
    <n v="7"/>
    <n v="48.2"/>
    <s v="DIURNO"/>
    <m/>
    <n v="8"/>
    <n v="1102"/>
    <n v="21167"/>
    <s v="VERDE"/>
    <n v="4.8"/>
    <n v="0"/>
    <n v="0"/>
    <n v="25.46"/>
    <n v="48.2"/>
    <n v="38"/>
    <n v="1268.421052631579"/>
    <x v="4"/>
    <x v="0"/>
    <n v="20"/>
    <n v="2"/>
    <n v="111.66666666666667"/>
  </r>
  <r>
    <d v="2025-05-26T09:10:00"/>
    <s v="INYECTADO"/>
    <x v="7"/>
    <x v="105"/>
    <s v="CRISALIDA ZAPATA"/>
    <s v="VIRGEN"/>
    <s v="PP CLARIFICADO"/>
    <s v="."/>
    <x v="81"/>
    <s v="TAPA DE ORGANIZADOR #3 CARAMELO-AMARILLO"/>
    <n v="388"/>
    <n v="4"/>
    <n v="28.3"/>
    <s v="DIURNO"/>
    <m/>
    <n v="2"/>
    <n v="1102"/>
    <n v="21167"/>
    <s v="AMARILLO"/>
    <n v="2.2000000000000002"/>
    <n v="0"/>
    <n v="0"/>
    <n v="14.744"/>
    <n v="28.3"/>
    <n v="38"/>
    <n v="744.73684210526312"/>
    <x v="4"/>
    <x v="0"/>
    <n v="20"/>
    <n v="2"/>
    <n v="64.666666666666671"/>
  </r>
  <r>
    <d v="2025-05-26T09:10:00"/>
    <s v="INYECTADO"/>
    <x v="7"/>
    <x v="105"/>
    <s v="JOSDER GONZALEZ"/>
    <s v="VIRGEN"/>
    <s v="PP CLARIFICADO"/>
    <s v="."/>
    <x v="81"/>
    <s v="TAPA DE ORGANIZADOR #3 CARAMELO-AMARILLO"/>
    <n v="106"/>
    <n v="2"/>
    <n v="7.7"/>
    <s v="NOCTURNO"/>
    <m/>
    <n v="1"/>
    <n v="1102"/>
    <n v="21168"/>
    <s v="AMARILLO"/>
    <n v="2.4"/>
    <n v="0"/>
    <n v="0"/>
    <n v="4.0279999999999996"/>
    <n v="7.7"/>
    <n v="38"/>
    <n v="202.63157894736841"/>
    <x v="4"/>
    <x v="0"/>
    <n v="20"/>
    <n v="2"/>
    <n v="17.666666666666668"/>
  </r>
  <r>
    <d v="2025-05-26T09:10:00"/>
    <s v="INYECTADO"/>
    <x v="7"/>
    <x v="105"/>
    <s v="JOSDER GONZALEZ"/>
    <s v="VIRGEN"/>
    <s v="PP CLARIFICADO"/>
    <s v="."/>
    <x v="81"/>
    <s v="TAPA DE ORGANIZADOR #3 CARAMELO-AZUL"/>
    <n v="382"/>
    <n v="3"/>
    <n v="27.8"/>
    <s v="NOCTURNO"/>
    <m/>
    <n v="3"/>
    <n v="1102"/>
    <n v="21168"/>
    <s v="AZUL"/>
    <n v="1.1000000000000001"/>
    <n v="0"/>
    <n v="0"/>
    <n v="14.516"/>
    <n v="27.8"/>
    <n v="38"/>
    <n v="731.57894736842104"/>
    <x v="4"/>
    <x v="0"/>
    <n v="20"/>
    <n v="2"/>
    <n v="63.666666666666664"/>
  </r>
  <r>
    <d v="2025-05-26T09:10:00"/>
    <s v="INYECTADO"/>
    <x v="7"/>
    <x v="84"/>
    <s v="CRISALIDA ZAPATA"/>
    <s v="VIRGEN"/>
    <s v="PP CLARIFICADO"/>
    <s v="."/>
    <x v="81"/>
    <s v="TAPA DE ORGANIZADOR #3 CARAMELO-AZUL"/>
    <n v="173"/>
    <n v="2"/>
    <n v="12.2"/>
    <s v="DIURNO"/>
    <m/>
    <n v="2"/>
    <n v="1102"/>
    <n v="21169"/>
    <s v="AZUL"/>
    <n v="4.5"/>
    <n v="0"/>
    <n v="0"/>
    <n v="6.5739999999999998"/>
    <n v="12.2"/>
    <n v="38"/>
    <n v="321.05263157894734"/>
    <x v="4"/>
    <x v="0"/>
    <n v="20"/>
    <n v="2"/>
    <n v="28.833333333333332"/>
  </r>
  <r>
    <d v="2025-05-26T09:10:00"/>
    <s v="INYECTADO"/>
    <x v="7"/>
    <x v="84"/>
    <s v="CRISALIDA ZAPATA"/>
    <s v="VIRGEN"/>
    <s v="PP CLARIFICADO"/>
    <s v="."/>
    <x v="81"/>
    <s v="TAPA DE ORGANIZADOR #3 CARAMELO-FUCSIA"/>
    <n v="413"/>
    <n v="4"/>
    <n v="29.3"/>
    <s v="DIURNO"/>
    <m/>
    <n v="4"/>
    <n v="1102"/>
    <n v="21169"/>
    <s v="ROSADO"/>
    <n v="4"/>
    <n v="0"/>
    <n v="0"/>
    <n v="15.694000000000001"/>
    <n v="29.3"/>
    <n v="38"/>
    <n v="771.0526315789474"/>
    <x v="4"/>
    <x v="0"/>
    <n v="20"/>
    <n v="2"/>
    <n v="68.833333333333329"/>
  </r>
  <r>
    <d v="2025-05-26T09:10:00"/>
    <s v="INYECTADO"/>
    <x v="7"/>
    <x v="84"/>
    <s v="CRISALIDA ZAPATA"/>
    <s v="VIRGEN"/>
    <s v="PP CLARIFICADO"/>
    <s v="."/>
    <x v="81"/>
    <s v="TAPA DE ORGANIZADOR #3-BLANCO"/>
    <n v="630"/>
    <n v="5"/>
    <n v="44.7"/>
    <s v="DIURNO"/>
    <m/>
    <n v="6"/>
    <n v="1102"/>
    <n v="21169"/>
    <s v="BLANCO"/>
    <n v="6.5"/>
    <n v="0"/>
    <n v="0"/>
    <n v="23.94"/>
    <n v="44.7"/>
    <n v="38"/>
    <n v="1176.3157894736842"/>
    <x v="4"/>
    <x v="0"/>
    <n v="20"/>
    <n v="2"/>
    <n v="105"/>
  </r>
  <r>
    <d v="2025-05-26T09:10:00"/>
    <s v="INYECTADO"/>
    <x v="7"/>
    <x v="84"/>
    <s v="JUAN MANUEL PEREZ"/>
    <s v="VIRGEN"/>
    <s v="PP CLARIFICADO"/>
    <s v="."/>
    <x v="81"/>
    <s v="TAPA DE ORGANIZADOR #3-BLANCO"/>
    <n v="902"/>
    <n v="9"/>
    <n v="64.900000000000006"/>
    <s v="NOCTURNO"/>
    <m/>
    <n v="9"/>
    <n v="1102"/>
    <n v="21170"/>
    <s v="BLANCO"/>
    <n v="2"/>
    <n v="0"/>
    <n v="0"/>
    <n v="34.276000000000003"/>
    <n v="64.900000000000006"/>
    <n v="38"/>
    <n v="1707.8947368421054"/>
    <x v="4"/>
    <x v="0"/>
    <n v="20"/>
    <n v="2"/>
    <n v="150.33333333333334"/>
  </r>
  <r>
    <d v="2025-05-26T09:10:00"/>
    <s v="INYECTADO"/>
    <x v="7"/>
    <x v="84"/>
    <s v="JUAN MANUEL PEREZ"/>
    <s v="VIRGEN"/>
    <s v="PP CLARIFICADO"/>
    <s v="."/>
    <x v="81"/>
    <s v="TAPA DE ORGANIZADOR #3 CARAMELO-LILA"/>
    <n v="278"/>
    <n v="2"/>
    <n v="20"/>
    <s v="NOCTURNO"/>
    <m/>
    <n v="3"/>
    <n v="1102"/>
    <n v="21170"/>
    <s v="LILA"/>
    <n v="5"/>
    <n v="0"/>
    <n v="0"/>
    <n v="10.564"/>
    <n v="20"/>
    <n v="38"/>
    <n v="526.31578947368416"/>
    <x v="4"/>
    <x v="0"/>
    <n v="20"/>
    <n v="2"/>
    <n v="46.333333333333336"/>
  </r>
  <r>
    <d v="2025-05-26T09:10:00"/>
    <s v="INYECTADO"/>
    <x v="7"/>
    <x v="86"/>
    <s v="LUIS PINEDO"/>
    <s v="VIRGEN"/>
    <s v="PP CLARIFICADO"/>
    <s v="."/>
    <x v="82"/>
    <s v="JABONERA CARAMELO-AMARILLO"/>
    <n v="100"/>
    <n v="1"/>
    <n v="12.1"/>
    <s v="DIURNO"/>
    <m/>
    <n v="1"/>
    <n v="1103"/>
    <n v="21171"/>
    <s v="AMARILLO"/>
    <n v="7.8"/>
    <n v="0"/>
    <n v="0"/>
    <n v="11.2"/>
    <n v="12.1"/>
    <n v="112"/>
    <n v="108.03571428571429"/>
    <x v="4"/>
    <x v="0"/>
    <n v="20"/>
    <n v="4"/>
    <n v="33.333333333333336"/>
  </r>
  <r>
    <d v="2025-05-26T09:10:00"/>
    <s v="INYECTADO"/>
    <x v="7"/>
    <x v="92"/>
    <s v="CARLOS SULCA"/>
    <s v="VIRGEN"/>
    <s v="PP HOMOPOLIMERO"/>
    <s v="PP COPOLIMERO"/>
    <x v="72"/>
    <s v="VASO SORBETE SOLIDO-AMARILLO"/>
    <n v="516"/>
    <n v="5"/>
    <n v="76.400000000000006"/>
    <s v="DIURNO"/>
    <m/>
    <n v="9"/>
    <n v="1121"/>
    <n v="21173"/>
    <s v="AMARILLO"/>
    <n v="5.0999999999999996"/>
    <n v="0"/>
    <n v="0"/>
    <n v="12.125999999999999"/>
    <n v="76.400000000000006"/>
    <n v="23.5"/>
    <n v="3251.0638297872342"/>
    <x v="4"/>
    <x v="0"/>
    <n v="22"/>
    <n v="2"/>
    <n v="86"/>
  </r>
  <r>
    <d v="2025-05-26T09:10:00"/>
    <s v="INYECTADO"/>
    <x v="7"/>
    <x v="102"/>
    <s v="LUIS PINEDO"/>
    <s v="VIRGEN"/>
    <s v="PP HOMOPOLIMERO"/>
    <s v="PP COPOLIMERO"/>
    <x v="72"/>
    <s v="VASO SORBETE SOLIDO-AMARILLO"/>
    <n v="150"/>
    <n v="2"/>
    <n v="22.4"/>
    <s v="DIURNO"/>
    <m/>
    <n v="3"/>
    <n v="1121"/>
    <n v="21174"/>
    <s v="AMARILLO"/>
    <n v="0"/>
    <n v="0"/>
    <n v="0"/>
    <n v="3.5249999999999999"/>
    <n v="22.4"/>
    <n v="23.5"/>
    <n v="953.19148936170211"/>
    <x v="4"/>
    <x v="0"/>
    <n v="22"/>
    <n v="2"/>
    <n v="25"/>
  </r>
  <r>
    <d v="2025-05-26T09:10:00"/>
    <s v="INYECTADO"/>
    <x v="7"/>
    <x v="102"/>
    <s v="LUIS PINEDO"/>
    <s v="VIRGEN"/>
    <s v="PP HOMOPOLIMERO"/>
    <s v="PP COPOLIMERO"/>
    <x v="72"/>
    <s v="VASO SORBETE SOLIDO-FUCSIA"/>
    <n v="686"/>
    <n v="6"/>
    <n v="101.6"/>
    <s v="DIURNO"/>
    <m/>
    <n v="10"/>
    <n v="1121"/>
    <n v="21174"/>
    <s v="FUCSIA"/>
    <n v="0"/>
    <n v="0"/>
    <n v="0"/>
    <n v="16.120999999999999"/>
    <n v="101.6"/>
    <n v="23.5"/>
    <n v="4323.4042553191493"/>
    <x v="4"/>
    <x v="0"/>
    <n v="22"/>
    <n v="2"/>
    <n v="114.33333333333333"/>
  </r>
  <r>
    <d v="2025-05-26T09:10:00"/>
    <s v="INYECTADO"/>
    <x v="7"/>
    <x v="103"/>
    <s v="ROSA MERINO"/>
    <s v="VIRGEN"/>
    <s v="PP HOMOPOLIMERO"/>
    <s v="PP COPOLIMERO"/>
    <x v="72"/>
    <s v="VASO SORBETE SOLIDO-LILA"/>
    <n v="710"/>
    <n v="7"/>
    <n v="105.9"/>
    <s v="DIURNO"/>
    <m/>
    <n v="14"/>
    <n v="1121"/>
    <n v="21175"/>
    <s v="LILA"/>
    <n v="4.5"/>
    <n v="0"/>
    <n v="0"/>
    <n v="16.684999999999999"/>
    <n v="105.9"/>
    <n v="23.5"/>
    <n v="4506.3829787234044"/>
    <x v="4"/>
    <x v="0"/>
    <n v="22"/>
    <n v="2"/>
    <n v="118.33333333333333"/>
  </r>
  <r>
    <d v="2025-05-26T09:10:00"/>
    <s v="INYECTADO"/>
    <x v="7"/>
    <x v="103"/>
    <s v="ROSA MERINO"/>
    <s v="VIRGEN"/>
    <s v="PP HOMOPOLIMERO"/>
    <s v="PP COPOLIMERO"/>
    <x v="72"/>
    <s v="VASO SORBETE SOLIDO-ROJO"/>
    <n v="154"/>
    <n v="2"/>
    <n v="23"/>
    <s v="DIURNO"/>
    <m/>
    <n v="3"/>
    <n v="1121"/>
    <n v="21175"/>
    <s v="ROJO"/>
    <n v="3"/>
    <n v="0"/>
    <n v="0"/>
    <n v="3.6190000000000002"/>
    <n v="23"/>
    <n v="23.5"/>
    <n v="978.72340425531911"/>
    <x v="4"/>
    <x v="0"/>
    <n v="22"/>
    <n v="2"/>
    <n v="25.666666666666668"/>
  </r>
  <r>
    <d v="2025-05-26T09:10:00"/>
    <s v="INYECTADO"/>
    <x v="7"/>
    <x v="95"/>
    <s v="LUIS PINEDO"/>
    <s v="VIRGEN"/>
    <s v="PP HOMOPOLIMERO"/>
    <s v="PP COPOLIMERO"/>
    <x v="72"/>
    <s v="VASO SORBETE SOLIDO-ROJO"/>
    <n v="518"/>
    <n v="5"/>
    <n v="77.2"/>
    <s v="DIURNO"/>
    <m/>
    <n v="11"/>
    <n v="1121"/>
    <n v="21176"/>
    <s v="ROJO"/>
    <n v="0"/>
    <n v="0"/>
    <n v="0"/>
    <n v="12.173"/>
    <n v="77.2"/>
    <n v="23.5"/>
    <n v="3285.1063829787236"/>
    <x v="4"/>
    <x v="0"/>
    <n v="22"/>
    <n v="2"/>
    <n v="86.333333333333329"/>
  </r>
  <r>
    <d v="2025-05-26T09:10:00"/>
    <s v="INYECTADO"/>
    <x v="11"/>
    <x v="86"/>
    <s v="GABRIEL REQUENA"/>
    <s v="VIRGEN"/>
    <s v="PP SOPLADO"/>
    <s v="."/>
    <x v="83"/>
    <s v="SALSERO PERITA 225ML-TRANSPARENTE"/>
    <n v="2081"/>
    <n v="11"/>
    <n v="33.299999999999997"/>
    <s v="DIURNO"/>
    <n v="0"/>
    <n v="11"/>
    <n v="1094"/>
    <n v="21432"/>
    <s v="TRANSPARENTE"/>
    <n v="15"/>
    <n v="0"/>
    <n v="0"/>
    <n v="33.295999999999999"/>
    <n v="33.299999999999997"/>
    <n v="16"/>
    <n v="2081.25"/>
    <x v="4"/>
    <x v="0"/>
    <n v="20"/>
    <n v="2"/>
    <n v="346.83333333333331"/>
  </r>
  <r>
    <d v="2025-05-26T09:10:00"/>
    <s v="SOPLADO"/>
    <x v="9"/>
    <x v="104"/>
    <s v="LUIS PINEDO"/>
    <s v="VIRGEN"/>
    <s v="PP SOPLADO"/>
    <s v="."/>
    <x v="63"/>
    <s v="SALSERO MULTIUSO 1200ML-TRANSPARENTE"/>
    <n v="1166"/>
    <n v="11"/>
    <n v="71.5"/>
    <s v="DIURNO"/>
    <n v="0"/>
    <n v="11"/>
    <n v="1094"/>
    <n v="21432"/>
    <s v="TRANSPARENTE"/>
    <n v="15"/>
    <n v="0"/>
    <n v="0"/>
    <n v="75.790000000000006"/>
    <n v="71.5"/>
    <n v="65"/>
    <n v="1100"/>
    <x v="4"/>
    <x v="0"/>
    <n v="18"/>
    <n v="1"/>
    <n v="97.166666666666671"/>
  </r>
  <r>
    <d v="2025-05-26T09:10:00"/>
    <s v="SOPLADO"/>
    <x v="9"/>
    <x v="81"/>
    <s v="ISABEL LINARIZ"/>
    <s v="VIRGEN"/>
    <s v="PP SOPLADO"/>
    <s v="."/>
    <x v="63"/>
    <s v="SALSERO MULTIUSO 1200ML-TRANSPARENTE"/>
    <n v="683"/>
    <n v="6"/>
    <n v="41"/>
    <s v="DIURNO"/>
    <n v="0"/>
    <n v="7"/>
    <n v="1094"/>
    <n v="21433"/>
    <s v="TRANSPARENTE"/>
    <n v="20.399999999999999"/>
    <n v="0"/>
    <n v="0"/>
    <n v="44.395000000000003"/>
    <n v="41"/>
    <n v="65"/>
    <n v="630.76923076923072"/>
    <x v="4"/>
    <x v="0"/>
    <n v="18"/>
    <n v="1"/>
    <n v="56.916666666666664"/>
  </r>
  <r>
    <d v="2025-05-26T09:10:00"/>
    <s v="SOPLADO"/>
    <x v="9"/>
    <x v="82"/>
    <s v="SAID VILLAMIZAR"/>
    <s v="VIRGEN"/>
    <s v="PP SOPLADO"/>
    <s v="."/>
    <x v="63"/>
    <s v="SALSERO MULTIUSO 1200ML-TRANSPARENTE"/>
    <n v="1116"/>
    <n v="9"/>
    <n v="67"/>
    <s v="DIURNO"/>
    <n v="0"/>
    <n v="11"/>
    <n v="1094"/>
    <n v="21434"/>
    <s v="TRANSPARENTE"/>
    <n v="0"/>
    <n v="0"/>
    <n v="0"/>
    <n v="72.540000000000006"/>
    <n v="67"/>
    <n v="65"/>
    <n v="1030.7692307692307"/>
    <x v="4"/>
    <x v="0"/>
    <n v="19"/>
    <n v="1"/>
    <n v="93"/>
  </r>
  <r>
    <d v="2025-05-26T09:10:00"/>
    <s v="SOPLADO"/>
    <x v="9"/>
    <x v="83"/>
    <s v="LUIS PINEDO"/>
    <s v="VIRGEN"/>
    <s v="PP SOPLADO"/>
    <s v="."/>
    <x v="84"/>
    <s v="SALSERO IDEAL 400ML-TRANSPARENTE"/>
    <n v="721"/>
    <n v="7"/>
    <n v="18.100000000000001"/>
    <s v="DIURNO"/>
    <n v="0"/>
    <n v="3"/>
    <n v="1097"/>
    <n v="21435"/>
    <s v="TRANSPARENTE"/>
    <n v="14.1"/>
    <n v="0"/>
    <n v="0"/>
    <n v="17.303999999999998"/>
    <n v="18.100000000000001"/>
    <n v="24"/>
    <n v="754.16666666666663"/>
    <x v="4"/>
    <x v="0"/>
    <n v="19"/>
    <n v="1"/>
    <n v="60.083333333333336"/>
  </r>
  <r>
    <d v="2025-05-26T09:10:00"/>
    <s v="SOPLADO"/>
    <x v="9"/>
    <x v="93"/>
    <s v="SAID VILLAMIZAR"/>
    <s v="VIRGEN"/>
    <s v="PP SOPLADO"/>
    <s v="."/>
    <x v="84"/>
    <s v="SALSERO IDEAL 400ML-TRANSPARENTE"/>
    <n v="1207"/>
    <n v="11"/>
    <n v="32.6"/>
    <s v="DIURNO"/>
    <n v="0"/>
    <n v="22"/>
    <n v="1097"/>
    <n v="21436"/>
    <s v="TRANSPARENTE"/>
    <n v="22"/>
    <n v="0"/>
    <n v="0"/>
    <n v="28.968"/>
    <n v="32.6"/>
    <n v="24"/>
    <n v="1358.3333333333333"/>
    <x v="4"/>
    <x v="0"/>
    <n v="19"/>
    <n v="1"/>
    <n v="100.58333333333333"/>
  </r>
  <r>
    <d v="2025-05-26T09:10:00"/>
    <s v="SOPLADO"/>
    <x v="9"/>
    <x v="94"/>
    <s v="LUIS PINEDO"/>
    <s v="VIRGEN"/>
    <s v="PP SOPLADO"/>
    <s v="."/>
    <x v="84"/>
    <s v="SALSERO IDEAL 400ML-TRANSPARENTE"/>
    <n v="1007"/>
    <n v="8"/>
    <n v="26.2"/>
    <s v="DIURNO"/>
    <n v="0"/>
    <n v="4"/>
    <n v="1097"/>
    <n v="21437"/>
    <s v="TRANSPARENTE"/>
    <n v="17.600000000000001"/>
    <n v="0"/>
    <n v="0"/>
    <n v="24.167999999999999"/>
    <n v="26.2"/>
    <n v="24"/>
    <n v="1091.6666666666667"/>
    <x v="4"/>
    <x v="0"/>
    <n v="19"/>
    <n v="1"/>
    <n v="83.916666666666671"/>
  </r>
  <r>
    <d v="2025-05-26T09:10:00"/>
    <s v="SOPLADO"/>
    <x v="9"/>
    <x v="96"/>
    <s v="ISABEL LINARIZ"/>
    <s v="VIRGEN"/>
    <s v="PP SOPLADO"/>
    <s v="."/>
    <x v="29"/>
    <s v="SALSERO MULTIUSO 600ML-TRANSPARENTE"/>
    <n v="997"/>
    <n v="8"/>
    <n v="38.9"/>
    <s v="DIURNO"/>
    <n v="0"/>
    <n v="6"/>
    <n v="1097"/>
    <n v="21438"/>
    <s v="TRANSPARENTE"/>
    <n v="16.399999999999999"/>
    <n v="0"/>
    <n v="0"/>
    <n v="39.880000000000003"/>
    <n v="38.9"/>
    <n v="40"/>
    <n v="972.5"/>
    <x v="4"/>
    <x v="0"/>
    <n v="19"/>
    <n v="1"/>
    <n v="83.083333333333329"/>
  </r>
  <r>
    <d v="2025-05-26T09:10:00"/>
    <s v="SOPLADO"/>
    <x v="9"/>
    <x v="86"/>
    <s v="ISABEL LINARIZ"/>
    <s v="VIRGEN"/>
    <s v="PP SOPLADO"/>
    <s v="."/>
    <x v="29"/>
    <s v="SALSERO MULTIUSO 600ML-TRANSPARENTE"/>
    <n v="1053"/>
    <n v="9"/>
    <n v="43"/>
    <s v="DIURNO"/>
    <n v="0"/>
    <n v="8"/>
    <n v="1106"/>
    <n v="21439"/>
    <s v="TRANSPARENTE"/>
    <n v="18.2"/>
    <n v="0"/>
    <n v="0"/>
    <n v="42.12"/>
    <n v="43"/>
    <n v="40"/>
    <n v="1075"/>
    <x v="4"/>
    <x v="0"/>
    <n v="20"/>
    <n v="1"/>
    <n v="87.75"/>
  </r>
  <r>
    <d v="2025-05-26T09:10:00"/>
    <s v="SOPLADO"/>
    <x v="9"/>
    <x v="87"/>
    <s v="LUIS PINEDO"/>
    <s v="VIRGEN"/>
    <s v="PP SOPLADO"/>
    <s v="."/>
    <x v="29"/>
    <s v="SALSERO MULTIUSO 600ML-TRANSPARENTE"/>
    <n v="712"/>
    <n v="6"/>
    <n v="28.5"/>
    <s v="DIURNO"/>
    <n v="0"/>
    <n v="4"/>
    <n v="1106"/>
    <n v="21440"/>
    <s v="TRANSPARENTE"/>
    <n v="19.2"/>
    <n v="0"/>
    <n v="0"/>
    <n v="28.48"/>
    <n v="28.5"/>
    <n v="40"/>
    <n v="712.5"/>
    <x v="4"/>
    <x v="0"/>
    <n v="20"/>
    <n v="1"/>
    <n v="59.333333333333336"/>
  </r>
  <r>
    <d v="2025-05-26T09:10:00"/>
    <s v="SOPLADO"/>
    <x v="9"/>
    <x v="90"/>
    <s v="LUIS RENGIFO"/>
    <s v="VIRGEN"/>
    <s v="PP SOPLADO"/>
    <s v="."/>
    <x v="30"/>
    <s v="SALSERO MULTIUSO 480ML-TRANSPARENTE"/>
    <n v="283"/>
    <n v="2"/>
    <n v="10.5"/>
    <s v="DIURNO"/>
    <n v="0"/>
    <n v="2"/>
    <n v="1116"/>
    <n v="21441"/>
    <s v="TRANSPARENTE"/>
    <n v="6.1"/>
    <n v="0"/>
    <n v="0"/>
    <n v="10.754"/>
    <n v="10.5"/>
    <n v="38"/>
    <n v="276.31578947368422"/>
    <x v="4"/>
    <x v="0"/>
    <n v="21"/>
    <n v="1"/>
    <n v="23.583333333333332"/>
  </r>
  <r>
    <d v="2025-05-26T09:10:00"/>
    <s v="SOPLADO"/>
    <x v="9"/>
    <x v="91"/>
    <s v="SAID VILLAMIZAR"/>
    <s v="VIRGEN"/>
    <s v="PP SOPLADO"/>
    <s v="."/>
    <x v="30"/>
    <s v="SALSERO MULTIUSO 480ML-TRANSPARENTE"/>
    <n v="960"/>
    <n v="9"/>
    <n v="33.6"/>
    <s v="DIURNO"/>
    <n v="0"/>
    <n v="5"/>
    <n v="1116"/>
    <n v="21442"/>
    <s v="TRANSPARENTE"/>
    <n v="11.7"/>
    <n v="0"/>
    <n v="0"/>
    <n v="36.479999999999997"/>
    <n v="33.6"/>
    <n v="38"/>
    <n v="884.21052631578948"/>
    <x v="4"/>
    <x v="0"/>
    <n v="22"/>
    <n v="1"/>
    <n v="80"/>
  </r>
  <r>
    <d v="2025-05-26T09:10:00"/>
    <s v="SOPLADO"/>
    <x v="9"/>
    <x v="92"/>
    <s v="LUIS RENGIFO"/>
    <s v="VIRGEN"/>
    <s v="PP SOPLADO"/>
    <s v="."/>
    <x v="30"/>
    <s v="SALSERO MULTIUSO 480ML-TRANSPARENTE"/>
    <n v="1097"/>
    <n v="10"/>
    <n v="37.299999999999997"/>
    <s v="DIURNO"/>
    <n v="0"/>
    <n v="7"/>
    <n v="1116"/>
    <n v="21443"/>
    <s v="TRANSPARENTE"/>
    <n v="18"/>
    <n v="0"/>
    <n v="0"/>
    <n v="41.686"/>
    <n v="37.299999999999997"/>
    <n v="38"/>
    <n v="981.57894736842104"/>
    <x v="4"/>
    <x v="0"/>
    <n v="22"/>
    <n v="1"/>
    <n v="91.416666666666671"/>
  </r>
  <r>
    <d v="2025-05-26T09:10:00"/>
    <s v="SOPLADO"/>
    <x v="12"/>
    <x v="104"/>
    <s v="NELSON PINEDO"/>
    <s v="SEGUNDA"/>
    <s v="."/>
    <s v="ALTA SOP MOLIDO"/>
    <x v="85"/>
    <s v="ALCANCIA MEDIANA-CELESTE"/>
    <n v="440"/>
    <n v="4"/>
    <n v="22.9"/>
    <s v="DIURNO"/>
    <n v="0"/>
    <n v="3"/>
    <n v="1079"/>
    <n v="20179"/>
    <s v="CELESTE"/>
    <n v="0"/>
    <n v="0"/>
    <n v="0"/>
    <n v="17.600000000000001"/>
    <n v="22.9"/>
    <n v="40"/>
    <n v="572.5"/>
    <x v="4"/>
    <x v="0"/>
    <n v="18"/>
    <n v="2"/>
    <n v="73.333333333333329"/>
  </r>
  <r>
    <d v="2025-05-26T09:10:00"/>
    <s v="SOPLADO"/>
    <x v="12"/>
    <x v="93"/>
    <s v="NELSON PINEDO"/>
    <s v="SEGUNDA"/>
    <s v="."/>
    <s v="ALTA SOP MOLIDO"/>
    <x v="86"/>
    <s v="ALCANCIA CHICO-CELESTE"/>
    <n v="313"/>
    <n v="3"/>
    <n v="11.3"/>
    <s v="DIURNO"/>
    <n v="0"/>
    <n v="2"/>
    <n v="1107"/>
    <n v="20180"/>
    <s v="CELESTE"/>
    <n v="0"/>
    <n v="0"/>
    <n v="0"/>
    <n v="9.39"/>
    <n v="11.3"/>
    <n v="30"/>
    <n v="376.66666666666669"/>
    <x v="4"/>
    <x v="0"/>
    <n v="19"/>
    <n v="2"/>
    <n v="52.166666666666664"/>
  </r>
  <r>
    <d v="2025-05-26T09:10:00"/>
    <s v="SOPLADO"/>
    <x v="12"/>
    <x v="94"/>
    <s v="NELSON PINEDO"/>
    <s v="SEGUNDA"/>
    <s v="."/>
    <s v="ALTA SOP MOLIDO"/>
    <x v="86"/>
    <s v="ALCANCIA CHICO-ROJO"/>
    <n v="255"/>
    <n v="2"/>
    <n v="8.6999999999999993"/>
    <s v="DIURNO"/>
    <n v="0"/>
    <n v="1"/>
    <n v="1107"/>
    <n v="20181"/>
    <s v="ROJO"/>
    <n v="0"/>
    <n v="0"/>
    <n v="0"/>
    <n v="7.65"/>
    <n v="8.6999999999999993"/>
    <n v="30"/>
    <n v="290"/>
    <x v="4"/>
    <x v="0"/>
    <n v="19"/>
    <n v="2"/>
    <n v="42.5"/>
  </r>
  <r>
    <d v="2025-05-26T09:10:00"/>
    <s v="SOPLADO"/>
    <x v="12"/>
    <x v="94"/>
    <s v="NELSON PINEDO"/>
    <s v="SEGUNDA"/>
    <s v="."/>
    <s v="ALTA SOP MOLIDO"/>
    <x v="86"/>
    <s v="ALCANCIA CHICO-CELESTE"/>
    <n v="265"/>
    <n v="2"/>
    <n v="9.3000000000000007"/>
    <s v="DIURNO"/>
    <n v="0"/>
    <n v="2"/>
    <n v="1107"/>
    <n v="20181"/>
    <s v="CELESTE"/>
    <n v="24.2"/>
    <n v="0"/>
    <n v="0"/>
    <n v="7.95"/>
    <n v="9.3000000000000007"/>
    <n v="30"/>
    <n v="310"/>
    <x v="4"/>
    <x v="0"/>
    <n v="19"/>
    <n v="2"/>
    <n v="44.166666666666664"/>
  </r>
  <r>
    <d v="2025-05-26T09:10:00"/>
    <s v="SOPLADO"/>
    <x v="12"/>
    <x v="94"/>
    <s v="NELSON PINEDO"/>
    <s v="SEGUNDA"/>
    <s v="."/>
    <s v="ALTA SOP MOLIDO"/>
    <x v="86"/>
    <s v="ALCANCIA CHICO-VERDE"/>
    <n v="482"/>
    <n v="4"/>
    <n v="16.399999999999999"/>
    <s v="DIURNO"/>
    <n v="0"/>
    <n v="2"/>
    <n v="1107"/>
    <n v="20181"/>
    <s v="VERDE"/>
    <n v="28.2"/>
    <n v="0"/>
    <n v="0"/>
    <n v="14.46"/>
    <n v="16.399999999999999"/>
    <n v="30"/>
    <n v="546.66666666666663"/>
    <x v="4"/>
    <x v="0"/>
    <n v="19"/>
    <n v="2"/>
    <n v="80.333333333333329"/>
  </r>
  <r>
    <d v="2025-05-26T09:10:00"/>
    <s v="SOPLADO"/>
    <x v="12"/>
    <x v="87"/>
    <s v="SAID VILLAMIZAR"/>
    <s v="SEGUNDA"/>
    <s v="."/>
    <s v="ALTA SOP MOLIDO"/>
    <x v="86"/>
    <s v="ALCANCIA CHICO-ROJO"/>
    <n v="238"/>
    <n v="2"/>
    <n v="8.1"/>
    <s v="DIURNO"/>
    <n v="0"/>
    <n v="1"/>
    <n v="1107"/>
    <n v="20182"/>
    <s v="ROJO"/>
    <n v="11.2"/>
    <n v="0"/>
    <n v="0"/>
    <n v="7.14"/>
    <n v="8.1"/>
    <n v="30"/>
    <n v="270"/>
    <x v="4"/>
    <x v="0"/>
    <n v="20"/>
    <n v="2"/>
    <n v="39.666666666666664"/>
  </r>
  <r>
    <d v="2025-05-26T09:10:00"/>
    <s v="SOPLADO"/>
    <x v="12"/>
    <x v="87"/>
    <s v="SAID VILLAMIZAR"/>
    <s v="SEGUNDA"/>
    <s v="."/>
    <s v="ALTA SOP MOLIDO"/>
    <x v="86"/>
    <s v="ALCANCIA CHICO-LILA"/>
    <n v="461"/>
    <n v="4"/>
    <n v="15.7"/>
    <s v="DIURNO"/>
    <n v="0"/>
    <n v="2"/>
    <n v="1107"/>
    <n v="20182"/>
    <s v="LILA"/>
    <n v="37.299999999999997"/>
    <n v="0"/>
    <n v="0"/>
    <n v="13.83"/>
    <n v="15.7"/>
    <n v="30"/>
    <n v="523.33333333333337"/>
    <x v="4"/>
    <x v="0"/>
    <n v="20"/>
    <n v="2"/>
    <n v="76.833333333333329"/>
  </r>
  <r>
    <d v="2025-05-26T09:10:00"/>
    <s v="SOPLADO"/>
    <x v="12"/>
    <x v="95"/>
    <s v="SAID VILLAMIZAR"/>
    <s v="SEGUNDA"/>
    <s v="."/>
    <s v="ALTA SOP MOLIDO"/>
    <x v="86"/>
    <s v="ALCANCIA CHICO-LILA"/>
    <n v="180"/>
    <n v="2"/>
    <n v="6.5"/>
    <s v="DIURNO"/>
    <n v="0"/>
    <n v="1"/>
    <n v="1107"/>
    <n v="20184"/>
    <s v="LILA"/>
    <n v="12"/>
    <n v="0"/>
    <n v="0"/>
    <n v="5.4"/>
    <n v="6.5"/>
    <n v="30"/>
    <n v="216.66666666666666"/>
    <x v="4"/>
    <x v="0"/>
    <n v="22"/>
    <n v="2"/>
    <n v="30"/>
  </r>
  <r>
    <d v="2025-05-26T09:10:00"/>
    <s v="SOPLADO"/>
    <x v="12"/>
    <x v="95"/>
    <s v="SAID VILLAMIZAR"/>
    <s v="SEGUNDA"/>
    <s v="."/>
    <s v="ALTA SOP MOLIDO"/>
    <x v="86"/>
    <s v="ALCANCIA CHICO-AMARILLO"/>
    <n v="440"/>
    <n v="4"/>
    <n v="16.3"/>
    <s v="DIURNO"/>
    <n v="0"/>
    <n v="2"/>
    <n v="1107"/>
    <n v="20184"/>
    <s v="AMARILLO"/>
    <n v="41.6"/>
    <n v="0"/>
    <n v="0"/>
    <n v="13.2"/>
    <n v="16.3"/>
    <n v="30"/>
    <n v="543.33333333333337"/>
    <x v="4"/>
    <x v="0"/>
    <n v="22"/>
    <n v="2"/>
    <n v="73.333333333333329"/>
  </r>
  <r>
    <d v="2025-05-26T09:10:00"/>
    <s v="SOPLADO"/>
    <x v="12"/>
    <x v="95"/>
    <s v="SAID VILLAMIZAR"/>
    <s v="SEGUNDA"/>
    <s v="."/>
    <s v="ALTA SOP MOLIDO"/>
    <x v="86"/>
    <s v="ALCANCIA CHICO-ANARANJADO"/>
    <n v="114"/>
    <n v="2"/>
    <n v="4"/>
    <s v="DIURNO"/>
    <n v="0"/>
    <n v="1"/>
    <n v="1107"/>
    <n v="20184"/>
    <s v="ANRANJADO"/>
    <n v="6.1"/>
    <n v="0"/>
    <n v="0"/>
    <n v="3.42"/>
    <n v="4"/>
    <n v="30"/>
    <n v="133.33333333333334"/>
    <x v="4"/>
    <x v="0"/>
    <n v="22"/>
    <n v="2"/>
    <n v="19"/>
  </r>
  <r>
    <d v="2025-05-26T09:10:00"/>
    <s v="INYECTADO"/>
    <x v="8"/>
    <x v="104"/>
    <s v="SAID VILLAMIZAR"/>
    <s v="VIRGEN"/>
    <s v="PP CLARIFICADO"/>
    <s v="."/>
    <x v="22"/>
    <s v="BASE ORGANIZADOR  DE 3KG-TRANSPARENTE"/>
    <n v="439"/>
    <n v="6"/>
    <n v="87"/>
    <s v="DIURNO"/>
    <n v="0"/>
    <n v="15"/>
    <n v="1087"/>
    <n v="21549"/>
    <s v="TRANSPARENTE"/>
    <n v="14"/>
    <n v="0"/>
    <n v="0"/>
    <n v="21.95"/>
    <n v="87"/>
    <n v="50"/>
    <n v="1740"/>
    <x v="4"/>
    <x v="0"/>
    <n v="18"/>
    <n v="2"/>
    <n v="73.166666666666671"/>
  </r>
  <r>
    <d v="2025-05-26T09:10:00"/>
    <s v="INYECTADO"/>
    <x v="8"/>
    <x v="81"/>
    <s v="LUIS PINEDO"/>
    <s v="VIRGEN"/>
    <s v="PP CLARIFICADO"/>
    <s v="."/>
    <x v="22"/>
    <s v="BASE ORGANIZADOR  DE 3KG-TRANSPARENTE"/>
    <n v="14"/>
    <n v="1"/>
    <n v="2.9"/>
    <s v="DIURNO"/>
    <n v="0"/>
    <n v="1"/>
    <n v="1087"/>
    <n v="21550"/>
    <s v="TRANSPARENTE"/>
    <n v="0"/>
    <n v="0"/>
    <n v="0"/>
    <n v="0.7"/>
    <n v="2.9"/>
    <n v="50"/>
    <n v="58"/>
    <x v="4"/>
    <x v="0"/>
    <n v="18"/>
    <n v="2"/>
    <n v="2.3333333333333335"/>
  </r>
  <r>
    <d v="2025-05-26T09:10:00"/>
    <s v="INYECTADO"/>
    <x v="8"/>
    <x v="81"/>
    <s v="LUIS PINEDO"/>
    <s v="VIRGEN"/>
    <s v="PP CLARIFICADO"/>
    <s v="."/>
    <x v="21"/>
    <s v="BASE ORGANIZADOR DE 3KG PASTEL-CELESTE"/>
    <n v="166"/>
    <n v="4"/>
    <n v="33"/>
    <s v="DIURNO"/>
    <n v="0"/>
    <n v="6"/>
    <n v="1087"/>
    <n v="21550"/>
    <s v="CELESTE"/>
    <n v="0"/>
    <n v="0"/>
    <n v="0"/>
    <n v="16.268000000000001"/>
    <n v="33"/>
    <n v="98"/>
    <n v="336.73469387755102"/>
    <x v="4"/>
    <x v="0"/>
    <n v="18"/>
    <n v="2"/>
    <n v="27.666666666666668"/>
  </r>
  <r>
    <d v="2025-05-26T09:10:00"/>
    <s v="INYECTADO"/>
    <x v="8"/>
    <x v="82"/>
    <s v="LUIS PINEDO"/>
    <s v="VIRGEN"/>
    <s v="PP CLARIFICADO"/>
    <s v="."/>
    <x v="21"/>
    <s v="BASE ORGANIZADOR DE 3KG PASTEL-CELESTE"/>
    <n v="45"/>
    <n v="3"/>
    <n v="9"/>
    <s v="DIURNO"/>
    <n v="0"/>
    <n v="2"/>
    <n v="1088"/>
    <n v="21551"/>
    <s v="CELESTE"/>
    <n v="17.2"/>
    <n v="0"/>
    <n v="0"/>
    <n v="4.41"/>
    <n v="9"/>
    <n v="98"/>
    <n v="91.836734693877546"/>
    <x v="4"/>
    <x v="0"/>
    <n v="19"/>
    <n v="2"/>
    <n v="7.5"/>
  </r>
  <r>
    <d v="2025-05-26T09:10:00"/>
    <s v="INYECTADO"/>
    <x v="8"/>
    <x v="82"/>
    <s v="LUIS PINEDO"/>
    <s v="VIRGEN"/>
    <s v="PP CLARIFICADO"/>
    <s v="."/>
    <x v="21"/>
    <s v="BASE ORGANIZADOR DE 3KG PASTEL-ROSADO"/>
    <n v="243"/>
    <n v="3"/>
    <n v="48"/>
    <s v="DIURNO"/>
    <n v="0"/>
    <n v="8"/>
    <n v="1088"/>
    <n v="21551"/>
    <s v="ROSADO"/>
    <n v="7"/>
    <n v="0"/>
    <n v="0"/>
    <n v="23.814"/>
    <n v="48"/>
    <n v="98"/>
    <n v="489.79591836734693"/>
    <x v="4"/>
    <x v="0"/>
    <n v="19"/>
    <n v="2"/>
    <n v="40.5"/>
  </r>
  <r>
    <d v="2025-05-26T09:10:00"/>
    <s v="INYECTADO"/>
    <x v="8"/>
    <x v="82"/>
    <s v="LUIS PINEDO"/>
    <s v="VIRGEN"/>
    <s v="PP CLARIFICADO"/>
    <s v="."/>
    <x v="21"/>
    <s v="BASE ORGANIZADOR DE 3KG PASTEL-SANDIA"/>
    <n v="122"/>
    <n v="3"/>
    <n v="24.2"/>
    <s v="DIURNO"/>
    <n v="0"/>
    <n v="3"/>
    <n v="1088"/>
    <n v="21551"/>
    <s v="SANDIA"/>
    <n v="0"/>
    <n v="0"/>
    <n v="0"/>
    <n v="11.956"/>
    <n v="24.2"/>
    <n v="98"/>
    <n v="246.9387755102041"/>
    <x v="4"/>
    <x v="0"/>
    <n v="19"/>
    <n v="2"/>
    <n v="20.333333333333332"/>
  </r>
  <r>
    <d v="2025-05-26T09:10:00"/>
    <s v="INYECTADO"/>
    <x v="8"/>
    <x v="83"/>
    <s v="JOSDER GONZALEZ"/>
    <s v="VIRGEN"/>
    <s v="PP CLARIFICADO"/>
    <s v="."/>
    <x v="21"/>
    <s v="BASE ORGANIZADOR DE 3KG PASTEL-SANDIA"/>
    <n v="52"/>
    <n v="2"/>
    <n v="9.9"/>
    <s v="DIURNO"/>
    <n v="0"/>
    <n v="2"/>
    <n v="1088"/>
    <n v="21552"/>
    <s v="SANDIA"/>
    <n v="3.5"/>
    <n v="0"/>
    <n v="0"/>
    <n v="5.0960000000000001"/>
    <n v="9.9"/>
    <n v="98"/>
    <n v="101.0204081632653"/>
    <x v="4"/>
    <x v="0"/>
    <n v="19"/>
    <n v="2"/>
    <n v="8.6666666666666661"/>
  </r>
  <r>
    <d v="2025-05-26T09:10:00"/>
    <s v="INYECTADO"/>
    <x v="8"/>
    <x v="83"/>
    <s v="JOSDER GONZALEZ"/>
    <s v="VIRGEN"/>
    <s v="PP CLARIFICADO"/>
    <s v="."/>
    <x v="21"/>
    <s v="BASE ORGANIZADOR DE 3KG PASTEL-AZURE"/>
    <n v="472"/>
    <n v="5"/>
    <n v="89.7"/>
    <s v="DIURNO"/>
    <n v="0"/>
    <n v="8"/>
    <n v="1088"/>
    <n v="21552"/>
    <s v="AZURE"/>
    <n v="15.2"/>
    <n v="0"/>
    <n v="0"/>
    <n v="46.256"/>
    <n v="89.7"/>
    <n v="98"/>
    <n v="915.30612244897964"/>
    <x v="4"/>
    <x v="0"/>
    <n v="19"/>
    <n v="2"/>
    <n v="78.666666666666671"/>
  </r>
  <r>
    <d v="2025-05-26T09:10:00"/>
    <s v="INYECTADO"/>
    <x v="8"/>
    <x v="83"/>
    <s v="JOSDER GONZALEZ"/>
    <s v="VIRGEN"/>
    <s v="PP CLARIFICADO"/>
    <s v="."/>
    <x v="21"/>
    <s v="BASE ORGANIZADOR DE 3KG PASTEL-LILA"/>
    <n v="221"/>
    <n v="3"/>
    <n v="42.1"/>
    <s v="DIURNO"/>
    <n v="0"/>
    <n v="8"/>
    <n v="1088"/>
    <n v="21552"/>
    <s v="LILA"/>
    <n v="0"/>
    <n v="0"/>
    <n v="0"/>
    <n v="21.658000000000001"/>
    <n v="42.1"/>
    <n v="98"/>
    <n v="429.59183673469386"/>
    <x v="4"/>
    <x v="0"/>
    <n v="19"/>
    <n v="2"/>
    <n v="36.833333333333336"/>
  </r>
  <r>
    <d v="2025-05-26T09:10:00"/>
    <s v="INYECTADO"/>
    <x v="8"/>
    <x v="93"/>
    <s v="ISABEL LINARIZ"/>
    <s v="VIRGEN"/>
    <s v="PP CLARIFICADO"/>
    <s v="."/>
    <x v="21"/>
    <s v="BASE ORGANIZADOR DE 3KG PASTEL-LILA"/>
    <n v="131"/>
    <n v="2"/>
    <n v="24.6"/>
    <s v="DIURNO"/>
    <n v="0"/>
    <n v="5"/>
    <n v="1088"/>
    <n v="21553"/>
    <s v="LILA"/>
    <n v="6.7"/>
    <n v="0"/>
    <n v="0"/>
    <n v="12.837999999999999"/>
    <n v="24.6"/>
    <n v="98"/>
    <n v="251.0204081632653"/>
    <x v="4"/>
    <x v="0"/>
    <n v="19"/>
    <n v="2"/>
    <n v="21.833333333333332"/>
  </r>
  <r>
    <d v="2025-05-26T09:10:00"/>
    <s v="INYECTADO"/>
    <x v="8"/>
    <x v="93"/>
    <s v="ISABEL LINARIZ"/>
    <s v="VIRGEN"/>
    <s v="PP CLARIFICADO"/>
    <s v="."/>
    <x v="21"/>
    <s v="BASE ORGANIZADOR DE 3KG PASTEL-TURQUESA"/>
    <n v="450"/>
    <n v="8"/>
    <n v="74.900000000000006"/>
    <s v="DIURNO"/>
    <n v="0"/>
    <n v="17"/>
    <n v="1088"/>
    <n v="21553"/>
    <s v="TURQUESA"/>
    <n v="17"/>
    <n v="0"/>
    <n v="0"/>
    <n v="44.1"/>
    <n v="74.900000000000006"/>
    <n v="98"/>
    <n v="764.28571428571433"/>
    <x v="4"/>
    <x v="0"/>
    <n v="19"/>
    <n v="2"/>
    <n v="75"/>
  </r>
  <r>
    <d v="2025-05-26T09:10:00"/>
    <s v="INYECTADO"/>
    <x v="8"/>
    <x v="94"/>
    <s v="JOSDER GONZALEZ"/>
    <s v="VIRGEN"/>
    <s v="PP CLARIFICADO"/>
    <s v="."/>
    <x v="21"/>
    <s v="BASE ORGANIZADOR DE 3KG PASTEL-TURQUESA"/>
    <n v="60"/>
    <n v="1"/>
    <n v="5.9"/>
    <s v="DIURNO"/>
    <n v="0"/>
    <n v="1"/>
    <n v="1088"/>
    <n v="21554"/>
    <s v="TURQUESA"/>
    <n v="3.9"/>
    <n v="0"/>
    <n v="0"/>
    <n v="5.88"/>
    <n v="5.9"/>
    <n v="98"/>
    <n v="60.204081632653065"/>
    <x v="4"/>
    <x v="0"/>
    <n v="19"/>
    <n v="2"/>
    <n v="10"/>
  </r>
  <r>
    <d v="2025-05-26T09:10:00"/>
    <s v="INYECTADO"/>
    <x v="8"/>
    <x v="94"/>
    <s v="JOSDER GONZALEZ"/>
    <s v="VIRGEN"/>
    <s v="PP CLARIFICADO"/>
    <s v="."/>
    <x v="21"/>
    <s v="BASE ORGANIZADOR DE 3KG PASTEL-CELESTE"/>
    <n v="469"/>
    <n v="5"/>
    <n v="46.4"/>
    <s v="DIURNO"/>
    <n v="0"/>
    <n v="8"/>
    <n v="1088"/>
    <n v="21554"/>
    <s v="CELESTE"/>
    <n v="6.6"/>
    <n v="0"/>
    <n v="0"/>
    <n v="45.962000000000003"/>
    <n v="46.4"/>
    <n v="98"/>
    <n v="473.46938775510205"/>
    <x v="4"/>
    <x v="0"/>
    <n v="19"/>
    <n v="2"/>
    <n v="78.166666666666671"/>
  </r>
  <r>
    <d v="2025-05-26T09:10:00"/>
    <s v="INYECTADO"/>
    <x v="8"/>
    <x v="94"/>
    <s v="JOSDER GONZALEZ"/>
    <s v="VIRGEN"/>
    <s v="PP CLARIFICADO"/>
    <s v="."/>
    <x v="21"/>
    <s v="BASE ORGANIZADOR DE 3KG PASTEL-ROSADO"/>
    <n v="340"/>
    <n v="4"/>
    <n v="33.6"/>
    <s v="DIURNO"/>
    <n v="0"/>
    <n v="8"/>
    <n v="1088"/>
    <n v="21554"/>
    <s v="ROSADO"/>
    <n v="1.8"/>
    <n v="0"/>
    <n v="0"/>
    <n v="33.32"/>
    <n v="33.6"/>
    <n v="98"/>
    <n v="342.85714285714283"/>
    <x v="4"/>
    <x v="0"/>
    <n v="19"/>
    <n v="2"/>
    <n v="56.666666666666664"/>
  </r>
  <r>
    <d v="2025-05-26T09:10:00"/>
    <s v="INYECTADO"/>
    <x v="8"/>
    <x v="94"/>
    <s v="GABRIEL REQUENA"/>
    <s v="VIRGEN"/>
    <s v="PP CLARIFICADO"/>
    <s v="."/>
    <x v="21"/>
    <s v="BASE ORGANIZADOR DE 3KG PASTEL-LILA"/>
    <n v="240"/>
    <n v="2"/>
    <n v="25.9"/>
    <s v="NOCTURNO"/>
    <n v="0"/>
    <n v="4"/>
    <n v="1088"/>
    <n v="21555"/>
    <s v="LILA"/>
    <n v="0"/>
    <n v="0"/>
    <n v="0"/>
    <n v="23.52"/>
    <n v="25.9"/>
    <n v="98"/>
    <n v="264.28571428571428"/>
    <x v="4"/>
    <x v="0"/>
    <n v="19"/>
    <n v="2"/>
    <n v="40"/>
  </r>
  <r>
    <d v="2025-05-26T09:10:00"/>
    <s v="INYECTADO"/>
    <x v="8"/>
    <x v="94"/>
    <s v="GABRIEL REQUENA"/>
    <s v="VIRGEN"/>
    <s v="PP CLARIFICADO"/>
    <s v="."/>
    <x v="21"/>
    <s v="BASE ORGANIZADOR DE 3KG PASTEL-SANDIA"/>
    <n v="473"/>
    <n v="4"/>
    <n v="46.3"/>
    <s v="NOCTURNO"/>
    <n v="0"/>
    <n v="8"/>
    <n v="1088"/>
    <n v="21555"/>
    <s v="SANDIA"/>
    <n v="0"/>
    <n v="0"/>
    <n v="0"/>
    <n v="46.353999999999999"/>
    <n v="46.3"/>
    <n v="98"/>
    <n v="472.44897959183675"/>
    <x v="4"/>
    <x v="0"/>
    <n v="19"/>
    <n v="2"/>
    <n v="78.833333333333329"/>
  </r>
  <r>
    <d v="2025-05-26T09:10:00"/>
    <s v="INYECTADO"/>
    <x v="8"/>
    <x v="94"/>
    <s v="GABRIEL REQUENA"/>
    <s v="VIRGEN"/>
    <s v="PP CLARIFICADO"/>
    <s v="."/>
    <x v="56"/>
    <s v="BASE ORGANIZADOR  DE 3KG CARAMELO-AZUL"/>
    <n v="362"/>
    <n v="4"/>
    <n v="35.4"/>
    <s v="NOCTURNO"/>
    <n v="0"/>
    <n v="6"/>
    <n v="1088"/>
    <n v="21555"/>
    <s v="AZUL"/>
    <n v="0"/>
    <n v="0"/>
    <n v="0"/>
    <n v="35.475999999999999"/>
    <n v="35.4"/>
    <n v="98"/>
    <n v="361.22448979591837"/>
    <x v="4"/>
    <x v="0"/>
    <n v="19"/>
    <n v="2"/>
    <n v="60.333333333333336"/>
  </r>
  <r>
    <d v="2025-05-26T09:10:00"/>
    <s v="INYECTADO"/>
    <x v="8"/>
    <x v="94"/>
    <s v="GABRIEL REQUENA"/>
    <s v="VIRGEN"/>
    <s v="PP CLARIFICADO"/>
    <s v="."/>
    <x v="56"/>
    <s v="BASE ORGANIZADOR  DE 3KG CARAMELO-LILA"/>
    <n v="119"/>
    <n v="1"/>
    <n v="11.6"/>
    <s v="NOCTURNO"/>
    <n v="0"/>
    <n v="2"/>
    <n v="1088"/>
    <n v="21555"/>
    <s v="LILA"/>
    <n v="0"/>
    <n v="0"/>
    <n v="0"/>
    <n v="11.662000000000001"/>
    <n v="11.6"/>
    <n v="98"/>
    <n v="118.36734693877551"/>
    <x v="4"/>
    <x v="0"/>
    <n v="19"/>
    <n v="2"/>
    <n v="19.833333333333332"/>
  </r>
  <r>
    <d v="2025-05-26T09:10:00"/>
    <s v="INYECTADO"/>
    <x v="8"/>
    <x v="96"/>
    <s v="GABRIEL ORDAZ"/>
    <s v="VIRGEN"/>
    <s v="PP CLARIFICADO"/>
    <s v="."/>
    <x v="56"/>
    <s v="BASE ORGANIZADOR  DE 3KG CARAMELO-LILA"/>
    <n v="219"/>
    <n v="2"/>
    <n v="21.4"/>
    <s v="DIURNO"/>
    <n v="0"/>
    <n v="2"/>
    <n v="1088"/>
    <n v="21556"/>
    <s v="LILA"/>
    <n v="5.4"/>
    <n v="0"/>
    <n v="0"/>
    <n v="21.462"/>
    <n v="21.4"/>
    <n v="98"/>
    <n v="218.36734693877551"/>
    <x v="4"/>
    <x v="0"/>
    <n v="19"/>
    <n v="2"/>
    <n v="36.5"/>
  </r>
  <r>
    <d v="2025-05-26T09:10:00"/>
    <s v="INYECTADO"/>
    <x v="8"/>
    <x v="96"/>
    <s v="GABRIEL ORDAZ"/>
    <s v="VIRGEN"/>
    <s v="PP CLARIFICADO"/>
    <s v="."/>
    <x v="22"/>
    <s v="BASE ORGANIZADOR  DE 3KG-TRANSPARENTE"/>
    <n v="1079"/>
    <n v="8"/>
    <n v="105.7"/>
    <s v="DIURNO"/>
    <n v="0"/>
    <n v="15"/>
    <n v="1088"/>
    <n v="21556"/>
    <s v="TRANSPARENTE"/>
    <n v="2.4"/>
    <n v="0"/>
    <n v="0"/>
    <n v="53.95"/>
    <n v="105.7"/>
    <n v="50"/>
    <n v="2114"/>
    <x v="4"/>
    <x v="0"/>
    <n v="19"/>
    <n v="2"/>
    <n v="179.83333333333334"/>
  </r>
  <r>
    <d v="2025-05-26T09:10:00"/>
    <s v="INYECTADO"/>
    <x v="8"/>
    <x v="96"/>
    <s v="GABRIEL ORDAZ"/>
    <s v="VIRGEN"/>
    <s v="PP CLARIFICADO"/>
    <s v="."/>
    <x v="22"/>
    <s v="BASE ORGANIZADOR  DE 3KG-TRANSPARENTE"/>
    <n v="1168"/>
    <n v="12"/>
    <n v="114.4"/>
    <s v="NOCTURNO"/>
    <n v="0"/>
    <n v="20"/>
    <n v="1088"/>
    <n v="21557"/>
    <s v="TRANSPARENTE"/>
    <n v="3.1"/>
    <n v="0"/>
    <n v="0"/>
    <n v="58.4"/>
    <n v="114.4"/>
    <n v="50"/>
    <n v="2288"/>
    <x v="4"/>
    <x v="0"/>
    <n v="19"/>
    <n v="2"/>
    <n v="194.66666666666666"/>
  </r>
  <r>
    <d v="2025-05-26T09:10:00"/>
    <s v="INYECTADO"/>
    <x v="8"/>
    <x v="97"/>
    <s v="YERIKA"/>
    <s v="VIRGEN"/>
    <s v="PP CLARIFICADO"/>
    <s v="."/>
    <x v="22"/>
    <s v="BASE ORGANIZADOR  DE 3KG-TRANSPARENTE"/>
    <n v="1242"/>
    <n v="11"/>
    <n v="120.4"/>
    <s v="DIURNO"/>
    <n v="0"/>
    <n v="11"/>
    <n v="1100"/>
    <n v="21558"/>
    <s v="TRANSPARENTE"/>
    <n v="4.9000000000000004"/>
    <n v="0"/>
    <n v="0"/>
    <n v="62.1"/>
    <n v="120.4"/>
    <n v="50"/>
    <n v="2408"/>
    <x v="4"/>
    <x v="0"/>
    <n v="19"/>
    <n v="2"/>
    <n v="207"/>
  </r>
  <r>
    <d v="2025-05-26T09:10:00"/>
    <s v="INYECTADO"/>
    <x v="8"/>
    <x v="97"/>
    <s v="JUAN MANUEL PEREZ"/>
    <s v="VIRGEN"/>
    <s v="PP CLARIFICADO"/>
    <s v="."/>
    <x v="22"/>
    <s v="BASE ORGANIZADOR  DE 3KG-TRANSPARENTE"/>
    <n v="1260"/>
    <n v="12"/>
    <n v="122.2"/>
    <s v="NOCTURNO"/>
    <n v="0"/>
    <n v="21"/>
    <n v="1100"/>
    <n v="21559"/>
    <s v="TRANSPARENTE"/>
    <n v="3.1"/>
    <n v="0"/>
    <n v="0"/>
    <n v="63"/>
    <n v="122.2"/>
    <n v="50"/>
    <n v="2444"/>
    <x v="4"/>
    <x v="0"/>
    <n v="19"/>
    <n v="2"/>
    <n v="210"/>
  </r>
  <r>
    <d v="2025-05-26T09:10:00"/>
    <s v="INYECTADO"/>
    <x v="8"/>
    <x v="107"/>
    <s v="SAID VILLAMIZAR"/>
    <s v="VIRGEN"/>
    <s v="PP CLARIFICADO"/>
    <s v="."/>
    <x v="22"/>
    <s v="BASE ORGANIZADOR  DE 3KG-TRANSPARENTE"/>
    <n v="300"/>
    <n v="4"/>
    <n v="29.1"/>
    <s v="DIURNO"/>
    <n v="0"/>
    <n v="5"/>
    <n v="1100"/>
    <n v="21560"/>
    <s v="TRANSPARENTE"/>
    <n v="18.5"/>
    <n v="0"/>
    <n v="0"/>
    <n v="15"/>
    <n v="29.1"/>
    <n v="50"/>
    <n v="582"/>
    <x v="4"/>
    <x v="0"/>
    <n v="19"/>
    <n v="2"/>
    <n v="50"/>
  </r>
  <r>
    <d v="2025-05-26T09:10:00"/>
    <s v="INYECTADO"/>
    <x v="8"/>
    <x v="105"/>
    <s v="ISABEL LINARIZ"/>
    <s v="VIRGEN"/>
    <s v="PP CLARIFICADO"/>
    <s v="."/>
    <x v="22"/>
    <s v="BASE ORGANIZADOR  DE 3KG-TRANSPARENTE"/>
    <n v="645"/>
    <n v="6"/>
    <n v="61.9"/>
    <s v="DIURNO"/>
    <n v="0"/>
    <n v="6"/>
    <n v="1100"/>
    <n v="21561"/>
    <s v="TRANSPARENTE"/>
    <n v="6.2"/>
    <n v="0"/>
    <n v="0"/>
    <n v="32.25"/>
    <n v="61.9"/>
    <n v="50"/>
    <n v="1238"/>
    <x v="4"/>
    <x v="0"/>
    <n v="20"/>
    <n v="2"/>
    <n v="107.5"/>
  </r>
  <r>
    <d v="2025-05-26T09:10:00"/>
    <s v="INYECTADO"/>
    <x v="8"/>
    <x v="105"/>
    <s v="ISABEL LINARIZ"/>
    <s v="VIRGEN"/>
    <s v="PP CLARIFICADO"/>
    <s v="."/>
    <x v="56"/>
    <s v="BASE ORGANIZADOR  DE 3KG CARAMELO-ROJO"/>
    <n v="240"/>
    <n v="2"/>
    <n v="25.2"/>
    <s v="DIURNO"/>
    <n v="0"/>
    <n v="4"/>
    <n v="1100"/>
    <n v="21561"/>
    <s v="ROJO"/>
    <n v="5.7"/>
    <n v="0"/>
    <n v="0"/>
    <n v="23.52"/>
    <n v="25.2"/>
    <n v="98"/>
    <n v="257.14285714285717"/>
    <x v="4"/>
    <x v="0"/>
    <n v="20"/>
    <n v="2"/>
    <n v="40"/>
  </r>
  <r>
    <d v="2025-05-26T09:10:00"/>
    <s v="INYECTADO"/>
    <x v="8"/>
    <x v="105"/>
    <s v="ISABEL LINARIZ"/>
    <s v="VIRGEN"/>
    <s v="PP CLARIFICADO"/>
    <s v="."/>
    <x v="56"/>
    <s v="BASE ORGANIZADOR  DE 3KG CARAMELO-LILA"/>
    <n v="39"/>
    <n v="1"/>
    <n v="3.9"/>
    <s v="DIURNO"/>
    <n v="0"/>
    <n v="1"/>
    <n v="1100"/>
    <n v="21561"/>
    <s v="LILA"/>
    <n v="6.6"/>
    <n v="0"/>
    <n v="0"/>
    <n v="3.8220000000000001"/>
    <n v="3.9"/>
    <n v="98"/>
    <n v="39.795918367346935"/>
    <x v="4"/>
    <x v="0"/>
    <n v="20"/>
    <n v="2"/>
    <n v="6.5"/>
  </r>
  <r>
    <d v="2025-05-26T09:10:00"/>
    <s v="INYECTADO"/>
    <x v="8"/>
    <x v="84"/>
    <s v="ANTHONY "/>
    <s v="VIRGEN"/>
    <s v="PP CLARIFICADO"/>
    <s v="."/>
    <x v="56"/>
    <s v="BASE ORGANIZADOR  DE 3KG CARAMELO-LILA"/>
    <n v="80"/>
    <n v="2"/>
    <n v="0.8"/>
    <s v="DIURNO"/>
    <n v="0"/>
    <n v="2"/>
    <n v="1100"/>
    <n v="21562"/>
    <s v="LILA"/>
    <n v="0"/>
    <n v="0"/>
    <n v="0"/>
    <n v="7.84"/>
    <n v="0.8"/>
    <n v="98"/>
    <n v="8.1632653061224492"/>
    <x v="4"/>
    <x v="0"/>
    <n v="20"/>
    <n v="2"/>
    <n v="13.333333333333334"/>
  </r>
  <r>
    <d v="2025-05-26T09:10:00"/>
    <s v="INYECTADO"/>
    <x v="8"/>
    <x v="84"/>
    <s v="ANTHONY "/>
    <s v="VIRGEN"/>
    <s v="PP CLARIFICADO"/>
    <s v="."/>
    <x v="56"/>
    <s v="BASE ORGANIZADOR  DE 3KG-TRANSPARENTE"/>
    <n v="516"/>
    <n v="4"/>
    <n v="51.6"/>
    <s v="DIURNO"/>
    <n v="0"/>
    <n v="8"/>
    <n v="1100"/>
    <n v="21562"/>
    <s v="TRANSPARENTE"/>
    <n v="0"/>
    <n v="0"/>
    <n v="0"/>
    <n v="25.8"/>
    <n v="51.6"/>
    <n v="50"/>
    <n v="1032"/>
    <x v="4"/>
    <x v="0"/>
    <n v="20"/>
    <n v="2"/>
    <n v="86"/>
  </r>
  <r>
    <d v="2025-05-26T09:10:00"/>
    <s v="INYECTADO"/>
    <x v="8"/>
    <x v="84"/>
    <s v="ANTHONY "/>
    <s v="VIRGEN"/>
    <s v="PP CLARIFICADO"/>
    <s v="."/>
    <x v="56"/>
    <s v="BASE ORGANIZADOR  DE 3KG CARAMELO-VERDE"/>
    <n v="207"/>
    <n v="2"/>
    <n v="20.7"/>
    <s v="DIURNO"/>
    <n v="0"/>
    <n v="4"/>
    <n v="1100"/>
    <n v="21562"/>
    <s v="VERDE"/>
    <n v="0"/>
    <n v="0"/>
    <n v="0"/>
    <n v="20.286000000000001"/>
    <n v="20.7"/>
    <n v="98"/>
    <n v="211.22448979591837"/>
    <x v="4"/>
    <x v="0"/>
    <n v="20"/>
    <n v="2"/>
    <n v="34.5"/>
  </r>
  <r>
    <d v="2025-05-26T09:10:00"/>
    <s v="INYECTADO"/>
    <x v="8"/>
    <x v="84"/>
    <s v="ANTHONY "/>
    <s v="VIRGEN"/>
    <s v="PP CLARIFICADO"/>
    <s v="."/>
    <x v="56"/>
    <s v="BASE ORGANIZADOR  DE 3KG CARAMELO-FUCSIA"/>
    <n v="113"/>
    <n v="1"/>
    <n v="11.3"/>
    <s v="DIURNO"/>
    <n v="0"/>
    <n v="2"/>
    <n v="1100"/>
    <n v="21562"/>
    <s v="FUCSIA"/>
    <n v="0"/>
    <n v="0"/>
    <n v="0"/>
    <n v="11.074"/>
    <n v="11.3"/>
    <n v="98"/>
    <n v="115.30612244897959"/>
    <x v="4"/>
    <x v="0"/>
    <n v="20"/>
    <n v="2"/>
    <n v="18.833333333333332"/>
  </r>
  <r>
    <d v="2025-05-26T09:10:00"/>
    <s v="INYECTADO"/>
    <x v="8"/>
    <x v="84"/>
    <s v="ANTHONY "/>
    <s v="VIRGEN"/>
    <s v="PP CLARIFICADO"/>
    <s v="."/>
    <x v="56"/>
    <s v="BASE ORGANIZADOR  DE 3KG CARAMELO-AMARILLO"/>
    <n v="120"/>
    <n v="2"/>
    <n v="12"/>
    <s v="DIURNO"/>
    <n v="0"/>
    <n v="2"/>
    <n v="1100"/>
    <n v="21562"/>
    <s v="AMARILLO"/>
    <n v="0"/>
    <n v="0"/>
    <n v="0"/>
    <n v="11.76"/>
    <n v="12"/>
    <n v="98"/>
    <n v="122.44897959183673"/>
    <x v="4"/>
    <x v="0"/>
    <n v="20"/>
    <n v="2"/>
    <n v="20"/>
  </r>
  <r>
    <d v="2025-05-26T09:10:00"/>
    <s v="INYECTADO"/>
    <x v="8"/>
    <x v="87"/>
    <s v="NELSON PINEDO"/>
    <s v="VIRGEN"/>
    <s v="PP CLARIFICADO"/>
    <s v="."/>
    <x v="87"/>
    <s v="TAPER 2800ML CARAMELO-AZUL"/>
    <n v="60"/>
    <n v="1"/>
    <n v="8.1"/>
    <s v="DIURNO"/>
    <n v="0"/>
    <n v="1"/>
    <n v="1110"/>
    <n v="21563"/>
    <s v="AZUL"/>
    <n v="0"/>
    <n v="0"/>
    <n v="0"/>
    <n v="8.2799999999999994"/>
    <n v="8.1"/>
    <n v="138"/>
    <n v="58.695652173913047"/>
    <x v="4"/>
    <x v="0"/>
    <n v="20"/>
    <n v="1"/>
    <n v="5"/>
  </r>
  <r>
    <d v="2025-05-26T09:10:00"/>
    <s v="INYECTADO"/>
    <x v="8"/>
    <x v="88"/>
    <s v="ISABEL LINARIZ"/>
    <s v="VIRGEN"/>
    <s v="PP CLARIFICADO"/>
    <s v="."/>
    <x v="87"/>
    <s v="TAPER 2800ML CARAMELO-AZUL"/>
    <n v="283"/>
    <n v="3"/>
    <n v="38.299999999999997"/>
    <s v="DIURNO"/>
    <n v="0"/>
    <n v="5"/>
    <n v="1110"/>
    <n v="21564"/>
    <s v="AZUL"/>
    <n v="2.5"/>
    <n v="0"/>
    <n v="0"/>
    <n v="39.054000000000002"/>
    <n v="38.299999999999997"/>
    <n v="138"/>
    <n v="277.536231884058"/>
    <x v="4"/>
    <x v="0"/>
    <n v="20"/>
    <n v="1"/>
    <n v="23.583333333333332"/>
  </r>
  <r>
    <d v="2025-05-26T09:10:00"/>
    <s v="INYECTADO"/>
    <x v="8"/>
    <x v="88"/>
    <s v="ISABEL LINARIZ"/>
    <s v="VIRGEN"/>
    <s v="PP CLARIFICADO"/>
    <s v="."/>
    <x v="87"/>
    <s v="TAPER 2800ML CARAMELO-LILA"/>
    <n v="359"/>
    <n v="3"/>
    <n v="48.5"/>
    <s v="DIURNO"/>
    <n v="0"/>
    <n v="6"/>
    <n v="1110"/>
    <n v="21564"/>
    <s v="LILA"/>
    <n v="9.1999999999999993"/>
    <n v="0"/>
    <n v="0"/>
    <n v="49.542000000000002"/>
    <n v="48.5"/>
    <n v="138"/>
    <n v="351.44927536231882"/>
    <x v="4"/>
    <x v="0"/>
    <n v="20"/>
    <n v="1"/>
    <n v="29.916666666666668"/>
  </r>
  <r>
    <d v="2025-05-26T09:10:00"/>
    <s v="INYECTADO"/>
    <x v="8"/>
    <x v="88"/>
    <s v="ISABEL LINARIZ"/>
    <s v="VIRGEN"/>
    <s v="PP CLARIFICADO"/>
    <s v="."/>
    <x v="87"/>
    <s v="TAPER 2800ML CARAMELO-FUCSIA"/>
    <n v="343"/>
    <n v="4"/>
    <n v="46.4"/>
    <s v="DIURNO"/>
    <n v="0"/>
    <n v="6"/>
    <n v="1110"/>
    <n v="21564"/>
    <s v="FUCSIA"/>
    <n v="5.2"/>
    <n v="0"/>
    <n v="0"/>
    <n v="47.334000000000003"/>
    <n v="46.4"/>
    <n v="138"/>
    <n v="336.231884057971"/>
    <x v="4"/>
    <x v="0"/>
    <n v="20"/>
    <n v="1"/>
    <n v="28.583333333333332"/>
  </r>
  <r>
    <d v="2025-05-26T09:10:00"/>
    <s v="INYECTADO"/>
    <x v="8"/>
    <x v="88"/>
    <s v="JOSDER GONZALEZ"/>
    <s v="VIRGEN"/>
    <s v="PP CLARIFICADO"/>
    <s v="."/>
    <x v="87"/>
    <s v="TAPER 2800ML CARAMELO-ROJO"/>
    <n v="334"/>
    <n v="4"/>
    <n v="44.8"/>
    <s v="NOCTURNO"/>
    <n v="0"/>
    <n v="6"/>
    <n v="1110"/>
    <n v="21565"/>
    <s v="ROJO"/>
    <n v="11.2"/>
    <n v="0"/>
    <n v="0"/>
    <n v="46.091999999999999"/>
    <n v="44.8"/>
    <n v="138"/>
    <n v="324.63768115942031"/>
    <x v="4"/>
    <x v="0"/>
    <n v="20"/>
    <n v="1"/>
    <n v="27.833333333333332"/>
  </r>
  <r>
    <d v="2025-05-26T09:10:00"/>
    <s v="INYECTADO"/>
    <x v="8"/>
    <x v="88"/>
    <s v="JOSDER GONZALEZ"/>
    <s v="VIRGEN"/>
    <s v="PP CLARIFICADO"/>
    <s v="."/>
    <x v="87"/>
    <s v="TAPER 2800ML CARAMELO-AMARILLO"/>
    <n v="292"/>
    <n v="3"/>
    <n v="39.200000000000003"/>
    <s v="NOCTURNO"/>
    <n v="0"/>
    <n v="5"/>
    <n v="1110"/>
    <n v="21565"/>
    <s v="AMARILLO"/>
    <n v="11.9"/>
    <n v="0"/>
    <n v="0"/>
    <n v="40.295999999999999"/>
    <n v="39.200000000000003"/>
    <n v="138"/>
    <n v="284.05797101449275"/>
    <x v="4"/>
    <x v="0"/>
    <n v="20"/>
    <n v="1"/>
    <n v="24.333333333333332"/>
  </r>
  <r>
    <d v="2025-05-26T09:10:00"/>
    <s v="INYECTADO"/>
    <x v="8"/>
    <x v="88"/>
    <s v="JOSDER GONZALEZ"/>
    <s v="VIRGEN"/>
    <s v="PP CLARIFICADO"/>
    <s v="."/>
    <x v="87"/>
    <s v="TAPER 2800ML CARAMELO-VERDE"/>
    <n v="311"/>
    <n v="3"/>
    <n v="41.7"/>
    <s v="NOCTURNO"/>
    <n v="0"/>
    <n v="5"/>
    <n v="1110"/>
    <n v="21565"/>
    <s v="VERDE"/>
    <n v="11.7"/>
    <n v="0"/>
    <n v="0"/>
    <n v="42.917999999999999"/>
    <n v="41.7"/>
    <n v="138"/>
    <n v="302.17391304347825"/>
    <x v="4"/>
    <x v="0"/>
    <n v="20"/>
    <n v="1"/>
    <n v="25.916666666666668"/>
  </r>
  <r>
    <d v="2025-05-26T09:10:00"/>
    <s v="INYECTADO"/>
    <x v="8"/>
    <x v="88"/>
    <s v="JOSDER GONZALEZ"/>
    <s v="VIRGEN"/>
    <s v="PP CLARIFICADO"/>
    <s v="."/>
    <x v="88"/>
    <s v="TAPER 2800ML TRANSP-TRANSPARENTE"/>
    <n v="30"/>
    <n v="1"/>
    <n v="4.0999999999999996"/>
    <s v="NOCTURNO"/>
    <n v="0"/>
    <n v="1"/>
    <n v="1110"/>
    <n v="21565"/>
    <s v="TRANSPARENTE"/>
    <n v="4.5999999999999996"/>
    <n v="0"/>
    <n v="0"/>
    <n v="4.0199999999999996"/>
    <n v="4.0999999999999996"/>
    <n v="134"/>
    <n v="30.597014925373134"/>
    <x v="4"/>
    <x v="0"/>
    <n v="20"/>
    <n v="1"/>
    <n v="2.5"/>
  </r>
  <r>
    <d v="2025-05-26T09:10:00"/>
    <s v="INYECTADO"/>
    <x v="8"/>
    <x v="108"/>
    <s v="SEBASTIAN MURGA"/>
    <s v="VIRGEN"/>
    <s v="PP CLARIFICADO"/>
    <s v="."/>
    <x v="88"/>
    <s v="TAPER 2800ML TRANSP-TRANSPARENTE"/>
    <n v="803"/>
    <n v="8"/>
    <n v="103.6"/>
    <s v="DIURNO"/>
    <n v="0"/>
    <n v="13"/>
    <n v="1110"/>
    <n v="21566"/>
    <s v="TRANSPARENTE"/>
    <n v="8.6"/>
    <n v="0"/>
    <n v="0"/>
    <n v="107.602"/>
    <n v="103.6"/>
    <n v="134"/>
    <n v="773.1343283582089"/>
    <x v="4"/>
    <x v="0"/>
    <n v="20"/>
    <n v="1"/>
    <n v="66.916666666666671"/>
  </r>
  <r>
    <d v="2025-05-26T09:10:00"/>
    <s v="INYECTADO"/>
    <x v="8"/>
    <x v="98"/>
    <m/>
    <s v="VIRGEN"/>
    <s v="PP CLARIFICADO"/>
    <s v="."/>
    <x v="88"/>
    <s v="TAPER 2800ML TRANSP-TRANSPARENTE"/>
    <n v="306"/>
    <n v="4"/>
    <n v="41.4"/>
    <s v="DIURNO"/>
    <n v="0"/>
    <n v="5"/>
    <n v="1110"/>
    <n v="21567"/>
    <s v="TRANSPARENTE"/>
    <n v="0"/>
    <n v="0"/>
    <n v="0"/>
    <n v="41.003999999999998"/>
    <n v="41.4"/>
    <n v="134"/>
    <n v="308.95522388059703"/>
    <x v="4"/>
    <x v="0"/>
    <n v="21"/>
    <n v="1"/>
    <n v="25.5"/>
  </r>
  <r>
    <d v="2025-05-26T09:10:00"/>
    <s v="INYECTADO"/>
    <x v="8"/>
    <x v="99"/>
    <s v="CARLOS SULCA"/>
    <s v="VIRGEN"/>
    <s v="PP CLARIFICADO"/>
    <s v="."/>
    <x v="88"/>
    <s v="TAPER 2800ML TRANSP-TRANSPARENTE"/>
    <n v="832"/>
    <n v="8"/>
    <n v="114.9"/>
    <s v="DIURNO"/>
    <n v="0"/>
    <n v="14"/>
    <n v="1110"/>
    <n v="21568"/>
    <s v="TRANSPARENTE"/>
    <n v="12.6"/>
    <n v="0"/>
    <n v="0"/>
    <n v="111.488"/>
    <n v="114.9"/>
    <n v="134"/>
    <n v="857.46268656716416"/>
    <x v="4"/>
    <x v="0"/>
    <n v="21"/>
    <n v="1"/>
    <n v="69.333333333333329"/>
  </r>
  <r>
    <d v="2025-05-26T09:10:00"/>
    <s v="INYECTADO"/>
    <x v="8"/>
    <x v="100"/>
    <s v="ANGIE VALDERRAMA"/>
    <s v="VIRGEN"/>
    <s v="PP CLARIFICADO"/>
    <s v="."/>
    <x v="89"/>
    <s v="TAPER 2800ML PASTEL-ROSADO"/>
    <n v="309"/>
    <n v="3"/>
    <n v="40.6"/>
    <s v="DIURNO"/>
    <n v="0"/>
    <n v="5"/>
    <n v="1110"/>
    <n v="21569"/>
    <s v="ROSADO"/>
    <n v="0"/>
    <n v="0"/>
    <n v="0"/>
    <n v="42.642000000000003"/>
    <n v="40.6"/>
    <n v="138"/>
    <n v="294.20289855072463"/>
    <x v="4"/>
    <x v="0"/>
    <n v="21"/>
    <n v="1"/>
    <n v="25.75"/>
  </r>
  <r>
    <d v="2025-05-26T09:10:00"/>
    <s v="INYECTADO"/>
    <x v="8"/>
    <x v="100"/>
    <s v="ANGIE VALDERRAMA"/>
    <s v="VIRGEN"/>
    <s v="PP CLARIFICADO"/>
    <s v="."/>
    <x v="89"/>
    <s v="TAPER 2800ML PASTEL-LILA"/>
    <n v="183"/>
    <n v="2"/>
    <n v="24.1"/>
    <s v="DIURNO"/>
    <n v="0"/>
    <n v="3"/>
    <n v="1110"/>
    <n v="21569"/>
    <s v="LILA"/>
    <n v="0"/>
    <n v="0"/>
    <n v="0"/>
    <n v="25.254000000000001"/>
    <n v="24.1"/>
    <n v="138"/>
    <n v="174.63768115942028"/>
    <x v="4"/>
    <x v="0"/>
    <n v="21"/>
    <n v="1"/>
    <n v="15.25"/>
  </r>
  <r>
    <d v="2025-05-26T09:10:00"/>
    <s v="INYECTADO"/>
    <x v="8"/>
    <x v="101"/>
    <s v="LUIS PINEDO"/>
    <s v="VIRGEN"/>
    <s v="PP CLARIFICADO"/>
    <s v="."/>
    <x v="89"/>
    <s v="TAPER 2800ML PASTEL-LILA"/>
    <n v="76"/>
    <n v="1"/>
    <n v="10"/>
    <s v="DIURNO"/>
    <n v="0"/>
    <n v="2"/>
    <n v="1110"/>
    <n v="21570"/>
    <s v="LILA"/>
    <n v="18.3"/>
    <n v="0"/>
    <n v="0"/>
    <n v="10.488"/>
    <n v="10"/>
    <n v="138"/>
    <n v="72.463768115942031"/>
    <x v="4"/>
    <x v="0"/>
    <n v="21"/>
    <n v="1"/>
    <n v="6.333333333333333"/>
  </r>
  <r>
    <d v="2025-05-26T09:10:00"/>
    <s v="INYECTADO"/>
    <x v="8"/>
    <x v="101"/>
    <s v="LUIS PINEDO"/>
    <s v="VIRGEN"/>
    <s v="PP CLARIFICADO"/>
    <s v="."/>
    <x v="89"/>
    <s v="TAPER 2800ML PASTEL-CELESTE"/>
    <n v="441"/>
    <n v="4"/>
    <n v="57.4"/>
    <s v="DIURNO"/>
    <n v="0"/>
    <n v="8"/>
    <n v="1110"/>
    <n v="21570"/>
    <s v="CELESTE"/>
    <n v="6.7"/>
    <n v="0"/>
    <n v="0"/>
    <n v="60.857999999999997"/>
    <n v="57.4"/>
    <n v="138"/>
    <n v="415.94202898550725"/>
    <x v="4"/>
    <x v="0"/>
    <n v="21"/>
    <n v="1"/>
    <n v="36.75"/>
  </r>
  <r>
    <d v="2025-05-26T09:10:00"/>
    <s v="INYECTADO"/>
    <x v="8"/>
    <x v="101"/>
    <s v="LUIS PINEDO"/>
    <s v="VIRGEN"/>
    <s v="PP CLARIFICADO"/>
    <s v="."/>
    <x v="89"/>
    <s v="TAPER 2800ML PASTEL-TURQUESA"/>
    <n v="439"/>
    <n v="4"/>
    <n v="57.1"/>
    <s v="DIURNO"/>
    <n v="0"/>
    <n v="8"/>
    <n v="1110"/>
    <n v="21570"/>
    <s v="TURQUESA"/>
    <n v="9.8000000000000007"/>
    <n v="0"/>
    <n v="0"/>
    <n v="60.582000000000001"/>
    <n v="57.1"/>
    <n v="138"/>
    <n v="413.768115942029"/>
    <x v="4"/>
    <x v="0"/>
    <n v="21"/>
    <n v="1"/>
    <n v="36.583333333333336"/>
  </r>
  <r>
    <d v="2025-05-26T09:10:00"/>
    <s v="INYECTADO"/>
    <x v="8"/>
    <x v="101"/>
    <s v="JUAN MANUEL PEREZ"/>
    <s v="VIRGEN"/>
    <s v="PP CLARIFICADO"/>
    <s v="."/>
    <x v="87"/>
    <s v="TAPER 2800ML CARAMELO-AMARILLO"/>
    <n v="106"/>
    <n v="1"/>
    <n v="13.9"/>
    <s v="NOCTURNO"/>
    <n v="0"/>
    <n v="2"/>
    <n v="1110"/>
    <n v="21571"/>
    <s v="AMARILLO"/>
    <n v="15.299999999999999"/>
    <n v="0"/>
    <n v="0"/>
    <n v="14.628"/>
    <n v="13.9"/>
    <n v="138"/>
    <n v="100.72463768115942"/>
    <x v="4"/>
    <x v="0"/>
    <n v="21"/>
    <n v="1"/>
    <n v="8.8333333333333339"/>
  </r>
  <r>
    <d v="2025-05-26T09:10:00"/>
    <s v="INYECTADO"/>
    <x v="8"/>
    <x v="101"/>
    <s v="JUAN MANUEL PEREZ"/>
    <s v="VIRGEN"/>
    <s v="PP CLARIFICADO"/>
    <s v="."/>
    <x v="87"/>
    <s v="TAPER 2800ML CARAMELO-VERDE"/>
    <n v="180"/>
    <n v="2"/>
    <n v="23.7"/>
    <s v="NOCTURNO"/>
    <n v="0"/>
    <n v="3"/>
    <n v="1110"/>
    <n v="21571"/>
    <s v="VERDE"/>
    <n v="5"/>
    <n v="0"/>
    <n v="0"/>
    <n v="24.84"/>
    <n v="23.7"/>
    <n v="138"/>
    <n v="171.7391304347826"/>
    <x v="4"/>
    <x v="0"/>
    <n v="21"/>
    <n v="1"/>
    <n v="15"/>
  </r>
  <r>
    <d v="2025-05-26T09:10:00"/>
    <s v="INYECTADO"/>
    <x v="8"/>
    <x v="101"/>
    <s v="JUAN MANUEL PEREZ"/>
    <s v="VIRGEN"/>
    <s v="PP CLARIFICADO"/>
    <s v="."/>
    <x v="87"/>
    <s v="TAPER 2800ML CARAMELO-FUCSIA"/>
    <n v="141"/>
    <n v="2"/>
    <n v="18.5"/>
    <s v="NOCTURNO"/>
    <n v="0"/>
    <n v="3"/>
    <n v="1110"/>
    <n v="21571"/>
    <s v="FUCSIA"/>
    <n v="0"/>
    <n v="0"/>
    <n v="0"/>
    <n v="19.457999999999998"/>
    <n v="18.5"/>
    <n v="138"/>
    <n v="134.05797101449275"/>
    <x v="4"/>
    <x v="0"/>
    <n v="21"/>
    <n v="1"/>
    <n v="11.75"/>
  </r>
  <r>
    <d v="2025-05-26T09:10:00"/>
    <s v="INYECTADO"/>
    <x v="8"/>
    <x v="101"/>
    <s v="JUAN MANUEL PEREZ"/>
    <s v="VIRGEN"/>
    <s v="PP CLARIFICADO"/>
    <s v="."/>
    <x v="87"/>
    <s v="TAPER 2800ML CARAMELO-LILA"/>
    <n v="127"/>
    <n v="1"/>
    <n v="16.7"/>
    <s v="NOCTURNO"/>
    <n v="0"/>
    <n v="3"/>
    <n v="1110"/>
    <n v="21571"/>
    <s v="LILA"/>
    <n v="6"/>
    <n v="0"/>
    <n v="0"/>
    <n v="17.526"/>
    <n v="16.7"/>
    <n v="138"/>
    <n v="121.01449275362319"/>
    <x v="4"/>
    <x v="0"/>
    <n v="21"/>
    <n v="1"/>
    <n v="10.583333333333334"/>
  </r>
  <r>
    <d v="2025-05-26T09:10:00"/>
    <s v="INYECTADO"/>
    <x v="8"/>
    <x v="101"/>
    <s v="JUAN MANUEL PEREZ"/>
    <s v="VIRGEN"/>
    <s v="PP CLARIFICADO"/>
    <s v="."/>
    <x v="87"/>
    <s v="TAPER 2800ML CARAMELO-AZUL"/>
    <n v="141"/>
    <n v="2"/>
    <n v="18.5"/>
    <s v="NOCTURNO"/>
    <n v="0"/>
    <n v="3"/>
    <n v="1110"/>
    <n v="21571"/>
    <s v="AZUL"/>
    <n v="0"/>
    <n v="0"/>
    <n v="0"/>
    <n v="19.457999999999998"/>
    <n v="18.5"/>
    <n v="138"/>
    <n v="134.05797101449275"/>
    <x v="4"/>
    <x v="0"/>
    <n v="21"/>
    <n v="1"/>
    <n v="11.75"/>
  </r>
  <r>
    <d v="2025-05-26T09:10:00"/>
    <s v="INYECTADO"/>
    <x v="8"/>
    <x v="101"/>
    <s v="JUAN MANUEL PEREZ"/>
    <s v="VIRGEN"/>
    <s v="PP CLARIFICADO"/>
    <s v="."/>
    <x v="87"/>
    <s v="TAPER 2800ML CARAMELO-ROJO"/>
    <n v="154"/>
    <n v="2"/>
    <n v="20.2"/>
    <s v="NOCTURNO"/>
    <n v="0"/>
    <n v="3"/>
    <n v="1110"/>
    <n v="21571"/>
    <s v="ROJO"/>
    <n v="3"/>
    <n v="0"/>
    <n v="0"/>
    <n v="21.251999999999999"/>
    <n v="20.2"/>
    <n v="138"/>
    <n v="146.37681159420291"/>
    <x v="4"/>
    <x v="0"/>
    <n v="21"/>
    <n v="1"/>
    <n v="12.833333333333334"/>
  </r>
  <r>
    <d v="2025-05-26T09:10:00"/>
    <s v="INYECTADO"/>
    <x v="8"/>
    <x v="89"/>
    <s v="LUIS RENGIFO"/>
    <s v="VIRGEN"/>
    <s v="PP CLARIFICADO"/>
    <s v="."/>
    <x v="35"/>
    <s v="TAPER 550ML PASTEL-CELESTE"/>
    <n v="362"/>
    <n v="3"/>
    <n v="27.9"/>
    <s v="DIURNO"/>
    <n v="0"/>
    <n v="3"/>
    <n v="1110"/>
    <n v="21572"/>
    <s v="CELESTE"/>
    <n v="0"/>
    <n v="0"/>
    <n v="0"/>
    <n v="13.756"/>
    <n v="27.9"/>
    <n v="38"/>
    <n v="734.21052631578948"/>
    <x v="4"/>
    <x v="0"/>
    <n v="21"/>
    <n v="2"/>
    <n v="60.333333333333336"/>
  </r>
  <r>
    <d v="2025-05-26T09:10:00"/>
    <s v="INYECTADO"/>
    <x v="8"/>
    <x v="89"/>
    <s v="JUAN MANUEL PEREZ"/>
    <s v="VIRGEN"/>
    <s v="PP CLARIFICADO"/>
    <s v="."/>
    <x v="35"/>
    <s v="TAPER 550ML PASTEL-CELESTE"/>
    <n v="616"/>
    <n v="5"/>
    <n v="47.8"/>
    <s v="NOCTURNO"/>
    <n v="0"/>
    <n v="6"/>
    <n v="1115"/>
    <n v="21573"/>
    <s v="CELESTE"/>
    <n v="3"/>
    <n v="0"/>
    <n v="0"/>
    <n v="23.408000000000001"/>
    <n v="47.8"/>
    <n v="38"/>
    <n v="1257.8947368421052"/>
    <x v="4"/>
    <x v="0"/>
    <n v="21"/>
    <n v="2"/>
    <n v="102.66666666666667"/>
  </r>
  <r>
    <d v="2025-05-26T09:10:00"/>
    <s v="INYECTADO"/>
    <x v="8"/>
    <x v="89"/>
    <s v="JUAN MANUEL PEREZ"/>
    <s v="VIRGEN"/>
    <s v="PP CLARIFICADO"/>
    <s v="."/>
    <x v="35"/>
    <s v="TAPER 550ML PASTEL-TURQUESA"/>
    <n v="630"/>
    <n v="6"/>
    <n v="48.9"/>
    <s v="NOCTURNO"/>
    <n v="0"/>
    <n v="5"/>
    <n v="1115"/>
    <n v="21573"/>
    <s v="TURQUESA"/>
    <n v="4.2"/>
    <n v="0"/>
    <n v="0"/>
    <n v="23.94"/>
    <n v="48.9"/>
    <n v="38"/>
    <n v="1286.8421052631579"/>
    <x v="4"/>
    <x v="0"/>
    <n v="21"/>
    <n v="2"/>
    <n v="105"/>
  </r>
  <r>
    <d v="2025-05-26T09:10:00"/>
    <s v="INYECTADO"/>
    <x v="8"/>
    <x v="89"/>
    <s v="JUAN MANUEL PEREZ"/>
    <s v="VIRGEN"/>
    <s v="PP CLARIFICADO"/>
    <s v="."/>
    <x v="35"/>
    <s v="TAPER 550ML PASTEL-ROSADO"/>
    <n v="120"/>
    <n v="1"/>
    <n v="9.3000000000000007"/>
    <s v="NOCTURNO"/>
    <n v="0"/>
    <n v="1"/>
    <n v="1115"/>
    <n v="21573"/>
    <s v="ROSADO"/>
    <n v="0"/>
    <n v="0"/>
    <n v="0"/>
    <n v="4.5599999999999996"/>
    <n v="9.3000000000000007"/>
    <n v="38"/>
    <n v="244.73684210526315"/>
    <x v="4"/>
    <x v="0"/>
    <n v="21"/>
    <n v="2"/>
    <n v="20"/>
  </r>
  <r>
    <d v="2025-05-26T09:10:00"/>
    <s v="INYECTADO"/>
    <x v="8"/>
    <x v="90"/>
    <s v="ISABEL LINARIZ"/>
    <s v="VIRGEN"/>
    <s v="PP CLARIFICADO"/>
    <s v="."/>
    <x v="35"/>
    <s v="TAPER 550ML PASTEL-ROSADO"/>
    <n v="858"/>
    <n v="7"/>
    <n v="66.099999999999994"/>
    <s v="DIURNO"/>
    <n v="0"/>
    <n v="7"/>
    <n v="1115"/>
    <n v="21574"/>
    <s v="FUCSIA"/>
    <n v="3.8"/>
    <n v="0"/>
    <n v="0"/>
    <n v="32.603999999999999"/>
    <n v="66.099999999999994"/>
    <n v="38"/>
    <n v="1739.4736842105262"/>
    <x v="4"/>
    <x v="0"/>
    <n v="21"/>
    <n v="2"/>
    <n v="143"/>
  </r>
  <r>
    <d v="2025-05-26T09:10:00"/>
    <s v="INYECTADO"/>
    <x v="8"/>
    <x v="90"/>
    <s v="ISABEL LINARIZ"/>
    <s v="VIRGEN"/>
    <s v="PP CLARIFICADO"/>
    <s v="."/>
    <x v="35"/>
    <s v="TAPER 550ML PASTEL-LILA"/>
    <n v="558"/>
    <n v="4"/>
    <n v="43"/>
    <s v="DIURNO"/>
    <n v="0"/>
    <n v="4"/>
    <n v="1115"/>
    <n v="21574"/>
    <s v="LILA"/>
    <n v="1.2"/>
    <n v="0"/>
    <n v="0"/>
    <n v="21.204000000000001"/>
    <n v="43"/>
    <n v="38"/>
    <n v="1131.578947368421"/>
    <x v="4"/>
    <x v="0"/>
    <n v="21"/>
    <n v="2"/>
    <n v="93"/>
  </r>
  <r>
    <d v="2025-05-26T09:10:00"/>
    <s v="INYECTADO"/>
    <x v="8"/>
    <x v="90"/>
    <s v="JUAN MANUEL PEREZ"/>
    <s v="VIRGEN"/>
    <s v="PP CLARIFICADO"/>
    <s v="."/>
    <x v="35"/>
    <s v="TAPER 550ML PASTEL-LILA"/>
    <n v="411"/>
    <n v="4"/>
    <n v="32.1"/>
    <s v="NOCTURNO"/>
    <n v="0"/>
    <n v="4"/>
    <n v="1115"/>
    <n v="21575"/>
    <s v="LILA"/>
    <n v="5"/>
    <n v="0"/>
    <n v="0"/>
    <n v="15.618"/>
    <n v="32.1"/>
    <n v="38"/>
    <n v="844.73684210526312"/>
    <x v="4"/>
    <x v="0"/>
    <n v="21"/>
    <n v="2"/>
    <n v="68.5"/>
  </r>
  <r>
    <d v="2025-05-26T09:10:00"/>
    <s v="INYECTADO"/>
    <x v="8"/>
    <x v="90"/>
    <s v="JUAN MANUEL PEREZ"/>
    <s v="VIRGEN"/>
    <s v="PP CLARIFICADO"/>
    <s v="."/>
    <x v="35"/>
    <s v="TAPER 550ML PASTEL-CELESTE"/>
    <n v="964"/>
    <n v="7"/>
    <n v="75.2"/>
    <s v="NOCTURNO"/>
    <n v="0"/>
    <n v="8"/>
    <n v="1115"/>
    <n v="21575"/>
    <s v="AZUL"/>
    <n v="5"/>
    <n v="0"/>
    <n v="0"/>
    <n v="36.631999999999998"/>
    <n v="75.2"/>
    <n v="38"/>
    <n v="1978.9473684210527"/>
    <x v="4"/>
    <x v="0"/>
    <n v="21"/>
    <n v="2"/>
    <n v="160.66666666666666"/>
  </r>
  <r>
    <d v="2025-05-26T09:10:00"/>
    <s v="INYECTADO"/>
    <x v="8"/>
    <x v="109"/>
    <s v="SEBASTIAN MURGA"/>
    <s v="VIRGEN"/>
    <s v="PP CLARIFICADO"/>
    <s v="."/>
    <x v="35"/>
    <s v="TAPER 550ML PASTEL-SANDIA"/>
    <n v="953"/>
    <n v="7"/>
    <n v="73.900000000000006"/>
    <s v="DIURNO"/>
    <n v="0"/>
    <n v="8"/>
    <n v="1115"/>
    <n v="21576"/>
    <s v="ROJO"/>
    <n v="1.3"/>
    <n v="0"/>
    <n v="0"/>
    <n v="36.213999999999999"/>
    <n v="73.900000000000006"/>
    <n v="38"/>
    <n v="1944.7368421052631"/>
    <x v="4"/>
    <x v="0"/>
    <n v="21"/>
    <n v="2"/>
    <n v="158.83333333333334"/>
  </r>
  <r>
    <d v="2025-05-26T09:10:00"/>
    <s v="INYECTADO"/>
    <x v="8"/>
    <x v="91"/>
    <s v="GABRIEL ORDAZ"/>
    <s v="VIRGEN"/>
    <s v="PP CLARIFICADO"/>
    <s v="."/>
    <x v="36"/>
    <s v="TAPER 550ML CARAMELO-FUCSIA"/>
    <n v="505"/>
    <n v="4"/>
    <n v="39.4"/>
    <s v="DIURNO"/>
    <n v="0"/>
    <n v="5"/>
    <n v="1115"/>
    <n v="21577"/>
    <s v="LILA"/>
    <n v="1.7"/>
    <n v="0"/>
    <n v="0"/>
    <n v="19.190000000000001"/>
    <n v="39.4"/>
    <n v="38"/>
    <n v="1036.8421052631579"/>
    <x v="4"/>
    <x v="0"/>
    <n v="22"/>
    <n v="2"/>
    <n v="84.166666666666671"/>
  </r>
  <r>
    <d v="2025-05-26T09:10:00"/>
    <s v="INYECTADO"/>
    <x v="8"/>
    <x v="91"/>
    <s v="GABRIEL ORDAZ"/>
    <s v="VIRGEN"/>
    <s v="PP CLARIFICADO"/>
    <s v="."/>
    <x v="36"/>
    <s v="TAPER 550ML CARAMELO-LILA"/>
    <n v="575"/>
    <n v="5"/>
    <n v="44.9"/>
    <s v="DIURNO"/>
    <n v="0"/>
    <n v="5"/>
    <n v="1115"/>
    <n v="21577"/>
    <s v="FUCSIA"/>
    <n v="3.1"/>
    <n v="0"/>
    <n v="0"/>
    <n v="21.85"/>
    <n v="44.9"/>
    <n v="38"/>
    <n v="1181.578947368421"/>
    <x v="4"/>
    <x v="0"/>
    <n v="22"/>
    <n v="2"/>
    <n v="95.833333333333329"/>
  </r>
  <r>
    <d v="2025-05-26T09:10:00"/>
    <s v="INYECTADO"/>
    <x v="8"/>
    <x v="91"/>
    <s v="JUAN MANUEL PEREZ"/>
    <s v="VIRGEN"/>
    <s v="PP CLARIFICADO"/>
    <s v="."/>
    <x v="36"/>
    <s v="TAPER 550ML CARAMELO-AZUL"/>
    <n v="819"/>
    <n v="7"/>
    <n v="64.2"/>
    <s v="NOCTURNO"/>
    <n v="0"/>
    <n v="7"/>
    <n v="1115"/>
    <n v="21578"/>
    <s v="AZUL"/>
    <n v="3"/>
    <n v="0"/>
    <n v="0"/>
    <n v="31.122"/>
    <n v="64.2"/>
    <n v="38"/>
    <n v="1689.4736842105262"/>
    <x v="4"/>
    <x v="0"/>
    <n v="22"/>
    <n v="2"/>
    <n v="136.5"/>
  </r>
  <r>
    <d v="2025-05-26T09:10:00"/>
    <s v="INYECTADO"/>
    <x v="8"/>
    <x v="91"/>
    <s v="JUAN MANUEL PEREZ"/>
    <s v="VIRGEN"/>
    <s v="PP CLARIFICADO"/>
    <s v="."/>
    <x v="36"/>
    <s v="TAPER 550ML CARAMELO-VERDE"/>
    <n v="587"/>
    <n v="4"/>
    <n v="46"/>
    <s v="NOCTURNO"/>
    <n v="0"/>
    <n v="5"/>
    <n v="1115"/>
    <n v="21578"/>
    <s v="VERDE"/>
    <n v="2"/>
    <n v="0"/>
    <n v="0"/>
    <n v="22.306000000000001"/>
    <n v="46"/>
    <n v="38"/>
    <n v="1210.5263157894738"/>
    <x v="4"/>
    <x v="0"/>
    <n v="22"/>
    <n v="2"/>
    <n v="97.833333333333329"/>
  </r>
  <r>
    <d v="2025-05-26T09:10:00"/>
    <s v="INYECTADO"/>
    <x v="8"/>
    <x v="92"/>
    <s v="GABRIEL REQUENA"/>
    <s v="VIRGEN"/>
    <s v="PP CLARIFICADO"/>
    <s v="."/>
    <x v="36"/>
    <s v="TAPER 550ML CARAMELO-AMARILLO"/>
    <n v="161"/>
    <n v="2"/>
    <n v="12.4"/>
    <s v="DIURNO"/>
    <n v="0"/>
    <n v="1"/>
    <n v="1115"/>
    <n v="21579"/>
    <s v="AMARILLO"/>
    <n v="0"/>
    <n v="0"/>
    <n v="0"/>
    <n v="6.1180000000000003"/>
    <n v="12.4"/>
    <n v="38"/>
    <n v="326.31578947368422"/>
    <x v="4"/>
    <x v="0"/>
    <n v="22"/>
    <n v="2"/>
    <n v="26.833333333333332"/>
  </r>
  <r>
    <d v="2025-05-26T09:10:00"/>
    <s v="INYECTADO"/>
    <x v="8"/>
    <x v="92"/>
    <s v="GABRIEL REQUENA"/>
    <s v="VIRGEN"/>
    <s v="PP CLARIFICADO"/>
    <s v="."/>
    <x v="36"/>
    <s v="TAPER 550ML CARAMELO-ROJO"/>
    <n v="323"/>
    <n v="2"/>
    <n v="24.9"/>
    <s v="DIURNO"/>
    <n v="0"/>
    <n v="3"/>
    <n v="1115"/>
    <n v="21579"/>
    <s v="ROJO CARAMELO"/>
    <n v="0"/>
    <n v="0"/>
    <n v="0"/>
    <n v="12.273999999999999"/>
    <n v="24.9"/>
    <n v="38"/>
    <n v="655.26315789473688"/>
    <x v="4"/>
    <x v="0"/>
    <n v="22"/>
    <n v="2"/>
    <n v="53.833333333333336"/>
  </r>
  <r>
    <d v="2025-05-26T09:10:00"/>
    <s v="INYECTADO"/>
    <x v="8"/>
    <x v="92"/>
    <s v="GABRIEL REQUENA"/>
    <s v="VIRGEN"/>
    <s v="PP CLARIFICADO"/>
    <s v="."/>
    <x v="61"/>
    <s v="TAPER 550ML SOLIDO-ROJO"/>
    <n v="302"/>
    <n v="1"/>
    <n v="23"/>
    <s v="DIURNO"/>
    <n v="0"/>
    <n v="3"/>
    <n v="1115"/>
    <n v="21579"/>
    <s v="ROJO"/>
    <n v="0"/>
    <n v="0"/>
    <n v="0"/>
    <n v="11.476000000000001"/>
    <n v="23"/>
    <n v="38"/>
    <n v="605.26315789473688"/>
    <x v="4"/>
    <x v="0"/>
    <n v="22"/>
    <n v="2"/>
    <n v="50.333333333333336"/>
  </r>
  <r>
    <d v="2025-05-26T09:10:00"/>
    <s v="INYECTADO"/>
    <x v="8"/>
    <x v="92"/>
    <s v="GABRIEL REQUENA"/>
    <s v="VIRGEN"/>
    <s v="PP CLARIFICADO"/>
    <s v="."/>
    <x v="61"/>
    <s v="TAPER 550ML SOLIDO-TURQUESA"/>
    <n v="303"/>
    <n v="1"/>
    <n v="23.4"/>
    <s v="DIURNO"/>
    <n v="0"/>
    <n v="3"/>
    <n v="1115"/>
    <n v="21579"/>
    <s v="TURQUESA"/>
    <n v="0"/>
    <n v="0"/>
    <n v="0"/>
    <n v="11.513999999999999"/>
    <n v="23.4"/>
    <n v="38"/>
    <n v="615.78947368421052"/>
    <x v="4"/>
    <x v="0"/>
    <n v="22"/>
    <n v="2"/>
    <n v="50.5"/>
  </r>
  <r>
    <d v="2025-05-26T09:10:00"/>
    <s v="INYECTADO"/>
    <x v="8"/>
    <x v="92"/>
    <s v="GABRIEL REQUENA"/>
    <s v="VIRGEN"/>
    <s v="PP CLARIFICADO"/>
    <s v="."/>
    <x v="35"/>
    <s v="TAPER 550ML PASTEL-TURQUESA"/>
    <n v="49"/>
    <n v="1"/>
    <n v="3.8"/>
    <s v="DIURNO"/>
    <n v="0"/>
    <n v="1"/>
    <n v="1115"/>
    <n v="21579"/>
    <s v="TURQUESA"/>
    <n v="0"/>
    <n v="0"/>
    <n v="0"/>
    <n v="1.8620000000000001"/>
    <n v="3.8"/>
    <n v="38"/>
    <n v="100"/>
    <x v="4"/>
    <x v="0"/>
    <n v="22"/>
    <n v="2"/>
    <n v="8.1666666666666661"/>
  </r>
  <r>
    <d v="2025-05-26T09:10:00"/>
    <s v="INYECTADO"/>
    <x v="8"/>
    <x v="92"/>
    <s v="JOSDER GONZALEZ"/>
    <s v="VIRGEN"/>
    <s v="PP CLARIFICADO"/>
    <s v="."/>
    <x v="35"/>
    <s v="TAPER 550ML PASTEL-TURQUESA"/>
    <n v="723"/>
    <n v="7"/>
    <n v="56.1"/>
    <s v="NOCTURNO"/>
    <n v="0"/>
    <n v="7"/>
    <n v="1115"/>
    <n v="21580"/>
    <s v="TURQUESA"/>
    <n v="5.5"/>
    <n v="0"/>
    <n v="0"/>
    <n v="27.474"/>
    <n v="56.1"/>
    <n v="38"/>
    <n v="1476.3157894736842"/>
    <x v="4"/>
    <x v="0"/>
    <n v="22"/>
    <n v="2"/>
    <n v="120.5"/>
  </r>
  <r>
    <d v="2025-05-26T09:10:00"/>
    <s v="INYECTADO"/>
    <x v="8"/>
    <x v="92"/>
    <s v="JOSDER GONZALEZ"/>
    <s v="VIRGEN"/>
    <s v="PP CLARIFICADO"/>
    <s v="."/>
    <x v="35"/>
    <s v="TAPER 550ML PASTEL-CELESTE"/>
    <n v="601"/>
    <n v="4"/>
    <n v="46.6"/>
    <s v="NOCTURNO"/>
    <n v="0"/>
    <n v="5"/>
    <n v="1115"/>
    <n v="21580"/>
    <s v="CELESTE"/>
    <n v="1.9"/>
    <n v="0"/>
    <n v="0"/>
    <n v="22.838000000000001"/>
    <n v="46.6"/>
    <n v="38"/>
    <n v="1226.3157894736842"/>
    <x v="4"/>
    <x v="0"/>
    <n v="22"/>
    <n v="2"/>
    <n v="100.16666666666667"/>
  </r>
  <r>
    <d v="2025-05-26T09:10:00"/>
    <s v="INYECTADO"/>
    <x v="8"/>
    <x v="102"/>
    <s v="ISABEL LINARIZ"/>
    <s v="VIRGEN"/>
    <s v="PP CLARIFICADO"/>
    <s v="."/>
    <x v="35"/>
    <s v="TAPER 550ML PASTEL-CELESTE"/>
    <n v="116"/>
    <n v="1"/>
    <n v="9"/>
    <s v="DIURNO"/>
    <n v="0"/>
    <n v="2"/>
    <n v="1115"/>
    <n v="21581"/>
    <s v="CELESTE"/>
    <n v="0"/>
    <n v="0"/>
    <n v="0"/>
    <n v="4.4080000000000004"/>
    <n v="9"/>
    <n v="38"/>
    <n v="236.84210526315789"/>
    <x v="4"/>
    <x v="0"/>
    <n v="22"/>
    <n v="2"/>
    <n v="19.333333333333332"/>
  </r>
  <r>
    <d v="2025-05-26T09:10:00"/>
    <s v="INYECTADO"/>
    <x v="8"/>
    <x v="102"/>
    <s v="ISABEL LINARIZ"/>
    <s v="VIRGEN"/>
    <s v="PP CLARIFICADO"/>
    <s v="."/>
    <x v="35"/>
    <s v="TAPER 550ML PASTEL-ROSADO"/>
    <n v="667"/>
    <n v="5"/>
    <n v="51.4"/>
    <s v="DIURNO"/>
    <n v="0"/>
    <n v="6"/>
    <n v="1115"/>
    <n v="21581"/>
    <s v="FUCSIA"/>
    <n v="2.7"/>
    <n v="0"/>
    <n v="0"/>
    <n v="25.346"/>
    <n v="51.4"/>
    <n v="38"/>
    <n v="1352.6315789473683"/>
    <x v="4"/>
    <x v="0"/>
    <n v="22"/>
    <n v="2"/>
    <n v="111.16666666666667"/>
  </r>
  <r>
    <d v="2025-05-26T09:10:00"/>
    <s v="INYECTADO"/>
    <x v="8"/>
    <x v="102"/>
    <s v="ISABEL LINARIZ"/>
    <s v="VIRGEN"/>
    <s v="PP CLARIFICADO"/>
    <s v="."/>
    <x v="35"/>
    <s v="TAPER 550ML PASTEL-LILA"/>
    <n v="488"/>
    <n v="4"/>
    <n v="37.6"/>
    <s v="DIURNO"/>
    <n v="0"/>
    <n v="4"/>
    <n v="1115"/>
    <n v="21581"/>
    <s v="LILA"/>
    <n v="0"/>
    <n v="0"/>
    <n v="0"/>
    <n v="18.544"/>
    <n v="37.6"/>
    <n v="38"/>
    <n v="989.47368421052636"/>
    <x v="4"/>
    <x v="0"/>
    <n v="22"/>
    <n v="2"/>
    <n v="81.333333333333329"/>
  </r>
  <r>
    <d v="2025-05-26T09:10:00"/>
    <s v="INYECTADO"/>
    <x v="8"/>
    <x v="102"/>
    <s v="ISABEL LINARIZ"/>
    <s v="VIRGEN"/>
    <s v="PP CLARIFICADO"/>
    <s v="."/>
    <x v="35"/>
    <s v="TAPER 550ML PASTEL-SANDIA"/>
    <n v="257"/>
    <n v="2"/>
    <n v="19.8"/>
    <s v="DIURNO"/>
    <n v="0"/>
    <n v="3"/>
    <n v="1115"/>
    <n v="21581"/>
    <s v="SANDIA"/>
    <n v="0"/>
    <n v="0"/>
    <n v="0"/>
    <n v="9.766"/>
    <n v="19.8"/>
    <n v="38"/>
    <n v="521.0526315789474"/>
    <x v="4"/>
    <x v="0"/>
    <n v="22"/>
    <n v="2"/>
    <n v="42.833333333333336"/>
  </r>
  <r>
    <d v="2025-05-26T09:10:00"/>
    <s v="INYECTADO"/>
    <x v="8"/>
    <x v="102"/>
    <s v="JOSDER GONZALEZ"/>
    <s v="VIRGEN"/>
    <s v="PP CLARIFICADO"/>
    <s v="."/>
    <x v="35"/>
    <s v="TAPER 550ML PASTEL-SANDIA"/>
    <n v="301"/>
    <n v="2"/>
    <n v="23.6"/>
    <s v="NOCTURNO"/>
    <n v="0"/>
    <n v="2"/>
    <n v="1115"/>
    <n v="21582"/>
    <s v="SANDIA"/>
    <n v="0"/>
    <n v="0"/>
    <n v="0"/>
    <n v="11.438000000000001"/>
    <n v="23.6"/>
    <n v="38"/>
    <n v="621.0526315789474"/>
    <x v="4"/>
    <x v="0"/>
    <n v="22"/>
    <n v="2"/>
    <n v="50.166666666666664"/>
  </r>
  <r>
    <d v="2025-05-26T09:10:00"/>
    <s v="INYECTADO"/>
    <x v="8"/>
    <x v="103"/>
    <s v="LUCHO"/>
    <s v="VIRGEN"/>
    <s v="PP CLARIFICADO"/>
    <s v="."/>
    <x v="90"/>
    <s v="TAPA PORTAVAJILLA-TRANSPARENTE"/>
    <n v="1027"/>
    <n v="8"/>
    <n v="306.3"/>
    <s v="DIURNO"/>
    <n v="0"/>
    <n v="8"/>
    <n v="1120"/>
    <n v="21583"/>
    <s v="TRANSPARENTE"/>
    <n v="0"/>
    <n v="0"/>
    <n v="0"/>
    <n v="345.072"/>
    <n v="306.3"/>
    <n v="336"/>
    <n v="911.60714285714289"/>
    <x v="4"/>
    <x v="0"/>
    <n v="22"/>
    <n v="1"/>
    <n v="85.583333333333329"/>
  </r>
  <r>
    <d v="2025-05-26T09:10:00"/>
    <s v="INYECTADO"/>
    <x v="8"/>
    <x v="103"/>
    <s v="JUAN MANUEL PEREZ"/>
    <s v="VIRGEN"/>
    <s v="PP CLARIFICADO"/>
    <s v="."/>
    <x v="90"/>
    <s v="TAPA PORTAVAJILLA-TRANSPARENTE"/>
    <n v="321"/>
    <n v="4"/>
    <n v="96.4"/>
    <s v="NOCTURNO"/>
    <n v="0"/>
    <n v="4"/>
    <n v="1120"/>
    <n v="21584"/>
    <s v="TRANSPARENTE"/>
    <n v="0"/>
    <n v="0"/>
    <n v="0"/>
    <n v="107.85599999999999"/>
    <n v="96.4"/>
    <n v="336"/>
    <n v="286.90476190476193"/>
    <x v="4"/>
    <x v="0"/>
    <n v="22"/>
    <n v="1"/>
    <n v="26.75"/>
  </r>
  <r>
    <d v="2025-05-26T09:10:00"/>
    <s v="INYECTADO"/>
    <x v="8"/>
    <x v="95"/>
    <s v="YERIKA"/>
    <s v="VIRGEN"/>
    <s v="PP CLARIFICADO"/>
    <s v="."/>
    <x v="90"/>
    <s v="TAPA PORTAVAJILLA-TRANSPARENTE"/>
    <n v="686"/>
    <n v="5"/>
    <n v="203.1"/>
    <s v="DIURNO"/>
    <n v="0"/>
    <n v="5"/>
    <n v="1120"/>
    <n v="21585"/>
    <s v="TRANSPARENTE"/>
    <n v="0"/>
    <n v="0"/>
    <n v="0"/>
    <n v="230.49600000000001"/>
    <n v="203.1"/>
    <n v="336"/>
    <n v="604.46428571428567"/>
    <x v="4"/>
    <x v="0"/>
    <n v="22"/>
    <n v="1"/>
    <n v="57.166666666666664"/>
  </r>
  <r>
    <d v="2025-05-26T09:10:00"/>
    <s v="INYECTADO"/>
    <x v="8"/>
    <x v="95"/>
    <s v="JUAN MANUEL PEREZ"/>
    <s v="VIRGEN"/>
    <s v="PP CLARIFICADO"/>
    <s v="."/>
    <x v="90"/>
    <s v="TAPA PORTAVAJILLA-TRANSPARENTE"/>
    <n v="1180"/>
    <n v="11"/>
    <n v="354"/>
    <s v="NOCTURNO"/>
    <n v="0"/>
    <n v="19"/>
    <n v="1120"/>
    <n v="21586"/>
    <s v="TRANSPARENTE"/>
    <n v="0"/>
    <n v="0"/>
    <n v="0"/>
    <n v="396.48"/>
    <n v="354"/>
    <n v="336"/>
    <n v="1053.5714285714287"/>
    <x v="4"/>
    <x v="0"/>
    <n v="22"/>
    <n v="1"/>
    <n v="98.333333333333329"/>
  </r>
  <r>
    <d v="2025-05-26T09:10:00"/>
    <s v="INYECTADO"/>
    <x v="8"/>
    <x v="106"/>
    <s v="ISABEL LINARIZ"/>
    <s v="VIRGEN"/>
    <s v="PP CLARIFICADO"/>
    <s v="."/>
    <x v="90"/>
    <s v="TAPA PORTAVAJILLA-TRANSPARENTE"/>
    <n v="1242"/>
    <n v="11"/>
    <n v="367.7"/>
    <s v="DIURNO"/>
    <n v="0"/>
    <n v="21"/>
    <n v="1120"/>
    <n v="21587"/>
    <s v="TRANSPARENTE"/>
    <n v="0"/>
    <n v="0"/>
    <n v="0"/>
    <n v="417.31200000000001"/>
    <n v="367.7"/>
    <n v="336"/>
    <n v="1094.3452380952381"/>
    <x v="4"/>
    <x v="0"/>
    <n v="22"/>
    <n v="1"/>
    <n v="103.5"/>
  </r>
  <r>
    <d v="2025-05-26T09:10:00"/>
    <s v="INYECTADO"/>
    <x v="8"/>
    <x v="106"/>
    <s v="ISABEL LINARIZ"/>
    <s v="VIRGEN"/>
    <s v="PP CLARIFICADO"/>
    <s v="."/>
    <x v="90"/>
    <s v="TAPA PORTAVAJILLA-TRANSPARENTE"/>
    <n v="1152"/>
    <n v="11"/>
    <n v="345.8"/>
    <s v="NOCTURNO"/>
    <n v="0"/>
    <n v="20"/>
    <n v="1120"/>
    <n v="21588"/>
    <s v="TRANSPARENTE"/>
    <n v="0"/>
    <n v="0"/>
    <n v="0"/>
    <n v="387.072"/>
    <n v="345.8"/>
    <n v="336"/>
    <n v="1029.1666666666667"/>
    <x v="4"/>
    <x v="0"/>
    <n v="22"/>
    <n v="1"/>
    <n v="96"/>
  </r>
  <r>
    <d v="2025-05-26T09:10:00"/>
    <s v="INYECTADO"/>
    <x v="10"/>
    <x v="104"/>
    <s v="ANTHONY "/>
    <s v="SEGUNDA"/>
    <s v="."/>
    <s v="MIXTO"/>
    <x v="91"/>
    <s v="EMBUDO GIGANTE-LILA"/>
    <n v="359"/>
    <n v="4"/>
    <n v="56.5"/>
    <s v="DIURNO"/>
    <n v="0"/>
    <n v="6"/>
    <n v="1089"/>
    <n v="21382"/>
    <s v="LILA"/>
    <n v="6.6"/>
    <n v="0"/>
    <n v="0"/>
    <n v="71.441000000000003"/>
    <n v="56.5"/>
    <n v="199"/>
    <n v="283.91959798994975"/>
    <x v="4"/>
    <x v="0"/>
    <n v="18"/>
    <n v="1"/>
    <n v="29.916666666666668"/>
  </r>
  <r>
    <d v="2025-05-26T09:10:00"/>
    <s v="INYECTADO"/>
    <x v="10"/>
    <x v="104"/>
    <s v="ANTHONY "/>
    <s v="SEGUNDA"/>
    <s v="."/>
    <s v="MIXTO"/>
    <x v="91"/>
    <s v="EMBUDO GIGANTE-AZUL"/>
    <n v="190"/>
    <n v="2"/>
    <n v="30.1"/>
    <s v="DIURNO"/>
    <m/>
    <n v="3"/>
    <n v="1089"/>
    <n v="21382"/>
    <s v="AZUL"/>
    <n v="3.4"/>
    <n v="0"/>
    <n v="0"/>
    <n v="37.81"/>
    <n v="30.1"/>
    <n v="199"/>
    <n v="151.25628140703517"/>
    <x v="4"/>
    <x v="0"/>
    <n v="18"/>
    <n v="1"/>
    <n v="15.833333333333334"/>
  </r>
  <r>
    <d v="2025-05-26T09:10:00"/>
    <s v="INYECTADO"/>
    <x v="10"/>
    <x v="104"/>
    <s v="ANTHONY "/>
    <s v="SEGUNDA"/>
    <s v="."/>
    <s v="MIXTO"/>
    <x v="91"/>
    <s v="EMBUDO GIGANTE-AMARILLO"/>
    <n v="281"/>
    <n v="3"/>
    <n v="45.1"/>
    <s v="DIURNO"/>
    <m/>
    <n v="5"/>
    <n v="1089"/>
    <n v="21382"/>
    <s v="AMARILLO"/>
    <n v="11.6"/>
    <n v="0"/>
    <n v="0"/>
    <n v="55.918999999999997"/>
    <n v="45.1"/>
    <n v="199"/>
    <n v="226.63316582914572"/>
    <x v="4"/>
    <x v="0"/>
    <n v="18"/>
    <n v="1"/>
    <n v="23.416666666666668"/>
  </r>
  <r>
    <d v="2025-05-26T09:10:00"/>
    <s v="INYECTADO"/>
    <x v="10"/>
    <x v="81"/>
    <s v="LUIS RENGIFO"/>
    <s v="SEGUNDA"/>
    <s v="."/>
    <s v="MIXTO"/>
    <x v="91"/>
    <s v="EMBUDO GIGANTE-AMARILLO"/>
    <n v="210"/>
    <n v="2"/>
    <n v="32.6"/>
    <s v="DIURNO"/>
    <m/>
    <n v="3"/>
    <n v="1089"/>
    <n v="21383"/>
    <s v="AMARILLO"/>
    <n v="0"/>
    <n v="0"/>
    <n v="0"/>
    <n v="41.79"/>
    <n v="32.6"/>
    <n v="199"/>
    <n v="163.81909547738692"/>
    <x v="4"/>
    <x v="0"/>
    <n v="18"/>
    <n v="1"/>
    <n v="17.5"/>
  </r>
  <r>
    <d v="2025-05-26T09:10:00"/>
    <s v="INYECTADO"/>
    <x v="10"/>
    <x v="81"/>
    <s v="LUIS RENGIFO"/>
    <s v="SEGUNDA"/>
    <s v="."/>
    <s v="MIXTO"/>
    <x v="91"/>
    <s v="EMBUDO GIGANTE-ANARANJADO"/>
    <n v="42"/>
    <n v="1"/>
    <n v="6.7"/>
    <s v="DIURNO"/>
    <m/>
    <n v="2"/>
    <n v="1089"/>
    <n v="21383"/>
    <s v="ANARANJADO"/>
    <n v="0"/>
    <n v="0"/>
    <n v="0"/>
    <n v="8.3580000000000005"/>
    <n v="6.7"/>
    <n v="199"/>
    <n v="33.668341708542712"/>
    <x v="4"/>
    <x v="0"/>
    <n v="18"/>
    <n v="1"/>
    <n v="3.5"/>
  </r>
  <r>
    <d v="2025-05-26T09:10:00"/>
    <s v="INYECTADO"/>
    <x v="10"/>
    <x v="110"/>
    <s v="SAID VILLAMIZAR"/>
    <s v="VIRGEN"/>
    <s v="PP CLARIFICADO"/>
    <s v="."/>
    <x v="55"/>
    <s v="JARRA REAL 6 LT-TRANSPARENTE"/>
    <n v="519"/>
    <n v="5"/>
    <n v="123.3"/>
    <s v="DIURNO"/>
    <n v="0"/>
    <n v="22"/>
    <n v="1096"/>
    <n v="21384"/>
    <s v="TRANSPARENTE"/>
    <n v="5.5"/>
    <n v="0"/>
    <n v="0"/>
    <n v="124.56"/>
    <n v="123.3"/>
    <n v="240"/>
    <n v="513.75"/>
    <x v="4"/>
    <x v="0"/>
    <n v="18"/>
    <n v="1"/>
    <n v="43.25"/>
  </r>
  <r>
    <d v="2025-05-26T09:10:00"/>
    <s v="INYECTADO"/>
    <x v="10"/>
    <x v="82"/>
    <s v="NELSON PINEDO"/>
    <s v="VIRGEN"/>
    <s v="PP CLARIFICADO"/>
    <s v="."/>
    <x v="55"/>
    <s v="JARRA REAL 6 LT-TRANSPARENTE"/>
    <n v="553"/>
    <n v="6"/>
    <n v="134.4"/>
    <s v="DIURNO"/>
    <m/>
    <n v="24"/>
    <n v="1096"/>
    <n v="21385"/>
    <s v="TRANSPARENTE"/>
    <n v="26.8"/>
    <n v="0"/>
    <n v="0"/>
    <n v="132.72"/>
    <n v="134.4"/>
    <n v="240"/>
    <n v="560"/>
    <x v="4"/>
    <x v="0"/>
    <n v="19"/>
    <n v="1"/>
    <n v="46.083333333333336"/>
  </r>
  <r>
    <d v="2025-05-26T09:10:00"/>
    <s v="INYECTADO"/>
    <x v="10"/>
    <x v="82"/>
    <s v="JUAN MANUEL PEREZ"/>
    <s v="VIRGEN"/>
    <s v="PP CLARIFICADO"/>
    <s v="."/>
    <x v="55"/>
    <s v="JARRA REAL 6 LT-TRANSPARENTE"/>
    <n v="830"/>
    <n v="8"/>
    <n v="197"/>
    <s v="NOCTURNO"/>
    <m/>
    <n v="33"/>
    <n v="1096"/>
    <n v="21386"/>
    <s v="TRANSPARENTE"/>
    <n v="0"/>
    <n v="0"/>
    <n v="0"/>
    <n v="199.2"/>
    <n v="197"/>
    <n v="240"/>
    <n v="820.83333333333337"/>
    <x v="4"/>
    <x v="0"/>
    <n v="19"/>
    <n v="1"/>
    <n v="69.166666666666671"/>
  </r>
  <r>
    <d v="2025-05-26T09:10:00"/>
    <s v="INYECTADO"/>
    <x v="10"/>
    <x v="96"/>
    <s v="GABRIEL REQUENA"/>
    <s v="VIRGEN"/>
    <s v="PP CLARIFICADO"/>
    <s v="."/>
    <x v="92"/>
    <s v="JARRA GRECIA 5LT-TRANSPARENTE"/>
    <n v="1123"/>
    <n v="12"/>
    <n v="230"/>
    <s v="DIURNO"/>
    <m/>
    <n v="18"/>
    <n v="1099"/>
    <n v="21387"/>
    <s v="TRANSPARENTE"/>
    <n v="0"/>
    <n v="0"/>
    <n v="0"/>
    <n v="249.30600000000001"/>
    <n v="230"/>
    <n v="222"/>
    <n v="1036.036036036036"/>
    <x v="4"/>
    <x v="0"/>
    <n v="19"/>
    <n v="1"/>
    <n v="93.583333333333329"/>
  </r>
  <r>
    <d v="2025-05-26T09:10:00"/>
    <s v="INYECTADO"/>
    <x v="10"/>
    <x v="97"/>
    <s v="JOSDER GONZALEZ"/>
    <s v="VIRGEN"/>
    <s v="PP CLARIFICADO"/>
    <s v="."/>
    <x v="92"/>
    <s v="JARRA GRECIA 5LT-TRANSPARENTE"/>
    <n v="915"/>
    <n v="9"/>
    <n v="203.3"/>
    <s v="NOCTURNO"/>
    <m/>
    <n v="14"/>
    <n v="1099"/>
    <n v="21388"/>
    <s v="TRANSPARENTE"/>
    <n v="1.6"/>
    <n v="0"/>
    <n v="0"/>
    <n v="203.13"/>
    <n v="203.3"/>
    <n v="222"/>
    <n v="915.76576576576576"/>
    <x v="4"/>
    <x v="0"/>
    <n v="19"/>
    <n v="1"/>
    <n v="76.25"/>
  </r>
  <r>
    <d v="2025-05-26T09:10:00"/>
    <s v="INYECTADO"/>
    <x v="10"/>
    <x v="107"/>
    <s v="SAID VILLAMIZAR"/>
    <s v="VIRGEN"/>
    <s v="PP CLARIFICADO"/>
    <s v="."/>
    <x v="92"/>
    <s v="JARRA GRECIA 5LT-TRANSPARENTE"/>
    <n v="340"/>
    <n v="3"/>
    <n v="75.7"/>
    <s v="DIURNO"/>
    <n v="0"/>
    <n v="6"/>
    <n v="1099"/>
    <n v="21389"/>
    <s v="TRANSPARENTE"/>
    <n v="8.9"/>
    <n v="0"/>
    <n v="0"/>
    <n v="75.48"/>
    <n v="75.7"/>
    <n v="222"/>
    <n v="340.99099099099101"/>
    <x v="4"/>
    <x v="0"/>
    <n v="19"/>
    <n v="1"/>
    <n v="28.333333333333332"/>
  </r>
  <r>
    <d v="2025-05-26T09:10:00"/>
    <s v="INYECTADO"/>
    <x v="10"/>
    <x v="105"/>
    <s v="NELSON PINEDO"/>
    <s v="VIRGEN"/>
    <s v="PP CLARIFICADO"/>
    <s v="."/>
    <x v="92"/>
    <s v="JARRA GRECIA 5LT-TRANSPARENTE"/>
    <n v="982"/>
    <n v="10"/>
    <n v="221.1"/>
    <s v="DIURNO"/>
    <m/>
    <n v="30"/>
    <n v="1099"/>
    <n v="21390"/>
    <s v="TRANSPARENTE"/>
    <n v="13.6"/>
    <n v="0"/>
    <n v="0"/>
    <n v="218.00399999999999"/>
    <n v="221.1"/>
    <n v="222"/>
    <n v="995.94594594594594"/>
    <x v="4"/>
    <x v="0"/>
    <n v="20"/>
    <n v="1"/>
    <n v="81.833333333333329"/>
  </r>
  <r>
    <d v="2025-05-26T09:10:00"/>
    <s v="INYECTADO"/>
    <x v="10"/>
    <x v="105"/>
    <s v="JOSDER GONZALEZ"/>
    <s v="VIRGEN"/>
    <s v="PP CLARIFICADO"/>
    <s v="."/>
    <x v="92"/>
    <s v="JARRA GRECIA 5LT-TRANSPARENTE"/>
    <n v="574"/>
    <n v="6"/>
    <n v="127.5"/>
    <s v="NOCTURNO"/>
    <m/>
    <n v="14"/>
    <n v="1099"/>
    <n v="21391"/>
    <s v="TRANSPARENTE"/>
    <n v="7.9"/>
    <n v="0"/>
    <n v="0"/>
    <n v="127.428"/>
    <n v="127.5"/>
    <n v="222"/>
    <n v="574.32432432432438"/>
    <x v="4"/>
    <x v="0"/>
    <n v="20"/>
    <n v="1"/>
    <n v="47.833333333333336"/>
  </r>
  <r>
    <d v="2025-05-26T09:10:00"/>
    <s v="INYECTADO"/>
    <x v="10"/>
    <x v="84"/>
    <s v="LUIS PINEDO"/>
    <s v="VIRGEN"/>
    <s v="PP CLARIFICADO"/>
    <s v="."/>
    <x v="92"/>
    <s v="JARRA GRECIA 5LT-TRANSPARENTE"/>
    <n v="595"/>
    <n v="7"/>
    <n v="137.5"/>
    <s v="DIURNO"/>
    <m/>
    <n v="25"/>
    <n v="1099"/>
    <n v="21392"/>
    <s v="TRANSPARENTE"/>
    <n v="36.6"/>
    <n v="0"/>
    <n v="0"/>
    <n v="132.09"/>
    <n v="137.5"/>
    <n v="222"/>
    <n v="619.36936936936934"/>
    <x v="4"/>
    <x v="0"/>
    <n v="20"/>
    <n v="1"/>
    <n v="49.583333333333336"/>
  </r>
  <r>
    <d v="2025-05-26T09:10:00"/>
    <s v="INYECTADO"/>
    <x v="10"/>
    <x v="84"/>
    <s v="JOSDER GONZALEZ"/>
    <s v="VIRGEN"/>
    <s v="PP CLARIFICADO"/>
    <s v="."/>
    <x v="92"/>
    <s v="JARRA GRECIA 5LT-TRANSPARENTE"/>
    <n v="986"/>
    <n v="12"/>
    <n v="221.9"/>
    <s v="NOCTURNO"/>
    <m/>
    <n v="44"/>
    <n v="1099"/>
    <n v="21394"/>
    <s v="TRANSPARENTE"/>
    <n v="8.6"/>
    <n v="0"/>
    <n v="0"/>
    <n v="218.892"/>
    <n v="221.9"/>
    <n v="222"/>
    <n v="999.54954954954951"/>
    <x v="4"/>
    <x v="0"/>
    <n v="20"/>
    <n v="1"/>
    <n v="82.166666666666671"/>
  </r>
  <r>
    <d v="2025-05-26T09:10:00"/>
    <s v="INYECTADO"/>
    <x v="10"/>
    <x v="85"/>
    <s v="ISABEL LINARIZ"/>
    <s v="VIRGEN"/>
    <s v="PP CLARIFICADO"/>
    <s v="."/>
    <x v="92"/>
    <s v="JARRA GRECIA 5LT-TRANSPARENTE"/>
    <n v="364"/>
    <n v="4"/>
    <n v="82"/>
    <s v="DIURNO"/>
    <m/>
    <n v="15"/>
    <n v="1099"/>
    <n v="21394"/>
    <s v="TRANSPARENTE"/>
    <n v="24.2"/>
    <n v="0"/>
    <n v="0"/>
    <n v="80.808000000000007"/>
    <n v="82"/>
    <n v="222"/>
    <n v="369.36936936936939"/>
    <x v="4"/>
    <x v="0"/>
    <n v="20"/>
    <n v="1"/>
    <n v="30.333333333333332"/>
  </r>
  <r>
    <d v="2025-05-26T09:10:00"/>
    <s v="INYECTADO"/>
    <x v="10"/>
    <x v="87"/>
    <s v="ISABEL LINARIZ"/>
    <s v="VIRGEN"/>
    <s v="PP CLARIFICADO"/>
    <s v="."/>
    <x v="78"/>
    <s v="CUBIERTOS PASTEL-ROSADO"/>
    <n v="177"/>
    <n v="2"/>
    <n v="22.5"/>
    <s v="DIURNO"/>
    <m/>
    <n v="2"/>
    <n v="1109"/>
    <n v="21395"/>
    <s v="ROSADO"/>
    <n v="6.7"/>
    <n v="0"/>
    <n v="0"/>
    <n v="22.478999999999999"/>
    <n v="22.5"/>
    <n v="127"/>
    <n v="177.16535433070865"/>
    <x v="4"/>
    <x v="0"/>
    <n v="20"/>
    <n v="6"/>
    <n v="88.5"/>
  </r>
  <r>
    <d v="2025-05-26T09:10:00"/>
    <s v="INYECTADO"/>
    <x v="10"/>
    <x v="87"/>
    <s v="ISABEL LINARIZ"/>
    <s v="VIRGEN"/>
    <s v="PP CLARIFICADO"/>
    <s v="."/>
    <x v="78"/>
    <s v="CUBIERTOS PASTEL-CREMA"/>
    <n v="293"/>
    <n v="3"/>
    <n v="37.299999999999997"/>
    <s v="DIURNO"/>
    <m/>
    <n v="1"/>
    <n v="1109"/>
    <n v="21395"/>
    <s v="CREMA"/>
    <n v="13.1"/>
    <n v="0"/>
    <n v="0"/>
    <n v="37.210999999999999"/>
    <n v="37.299999999999997"/>
    <n v="127"/>
    <n v="293.70078740157481"/>
    <x v="4"/>
    <x v="0"/>
    <n v="20"/>
    <n v="6"/>
    <n v="146.5"/>
  </r>
  <r>
    <d v="2025-05-26T09:10:00"/>
    <s v="INYECTADO"/>
    <x v="10"/>
    <x v="87"/>
    <s v="ISABEL LINARIZ"/>
    <s v="VIRGEN"/>
    <s v="PP CLARIFICADO"/>
    <s v="."/>
    <x v="78"/>
    <s v="CUBIERTOS PASTEL-MELON"/>
    <n v="306"/>
    <n v="3"/>
    <n v="38.9"/>
    <s v="DIURNO"/>
    <m/>
    <n v="1"/>
    <n v="1109"/>
    <n v="21395"/>
    <s v="MELON"/>
    <n v="17.2"/>
    <n v="0"/>
    <n v="0"/>
    <n v="38.862000000000002"/>
    <n v="38.9"/>
    <n v="127"/>
    <n v="306.29921259842519"/>
    <x v="4"/>
    <x v="0"/>
    <n v="20"/>
    <n v="6"/>
    <n v="153"/>
  </r>
  <r>
    <d v="2025-05-26T09:10:00"/>
    <s v="INYECTADO"/>
    <x v="10"/>
    <x v="87"/>
    <s v="JUAN MANUEL PEREZ"/>
    <s v="VIRGEN"/>
    <s v="PP CLARIFICADO"/>
    <s v="."/>
    <x v="78"/>
    <s v="CUBIERTOS PASTEL-ROSADO"/>
    <n v="127"/>
    <n v="2"/>
    <n v="16.2"/>
    <s v="NOCTURNO"/>
    <m/>
    <n v="3"/>
    <n v="1109"/>
    <n v="21396"/>
    <s v="ROSADO"/>
    <n v="6.5"/>
    <n v="0"/>
    <n v="0"/>
    <n v="16.129000000000001"/>
    <n v="16.2"/>
    <n v="127"/>
    <n v="127.55905511811024"/>
    <x v="4"/>
    <x v="0"/>
    <n v="20"/>
    <n v="6"/>
    <n v="63.5"/>
  </r>
  <r>
    <d v="2025-05-26T09:10:00"/>
    <s v="INYECTADO"/>
    <x v="10"/>
    <x v="87"/>
    <s v="JUAN MANUEL PEREZ"/>
    <s v="VIRGEN"/>
    <s v="PP CLARIFICADO"/>
    <s v="."/>
    <x v="78"/>
    <s v="CUBIERTOS PASTEL-LILA"/>
    <n v="307"/>
    <n v="3"/>
    <n v="39.1"/>
    <s v="NOCTURNO"/>
    <m/>
    <n v="5"/>
    <n v="1109"/>
    <n v="21396"/>
    <s v="LILA"/>
    <n v="8.5"/>
    <n v="0"/>
    <n v="0"/>
    <n v="38.988999999999997"/>
    <n v="39.1"/>
    <n v="127"/>
    <n v="307.87401574803147"/>
    <x v="4"/>
    <x v="0"/>
    <n v="20"/>
    <n v="6"/>
    <n v="153.5"/>
  </r>
  <r>
    <d v="2025-05-26T09:10:00"/>
    <s v="INYECTADO"/>
    <x v="10"/>
    <x v="87"/>
    <s v="JUAN MANUEL PEREZ"/>
    <s v="VIRGEN"/>
    <s v="PP CLARIFICADO"/>
    <s v="."/>
    <x v="78"/>
    <s v="CUBIERTOS PASTEL-CELESTE"/>
    <n v="308"/>
    <n v="3"/>
    <n v="39.200000000000003"/>
    <s v="NOCTURNO"/>
    <m/>
    <n v="5"/>
    <n v="1109"/>
    <n v="21396"/>
    <s v="CELESTE"/>
    <n v="17.7"/>
    <n v="0"/>
    <n v="0"/>
    <n v="39.116"/>
    <n v="39.200000000000003"/>
    <n v="127"/>
    <n v="308.66141732283467"/>
    <x v="4"/>
    <x v="0"/>
    <n v="20"/>
    <n v="6"/>
    <n v="154"/>
  </r>
  <r>
    <d v="2025-05-26T09:10:00"/>
    <s v="INYECTADO"/>
    <x v="10"/>
    <x v="87"/>
    <s v="JUAN MANUEL PEREZ"/>
    <s v="VIRGEN"/>
    <s v="PP CLARIFICADO"/>
    <s v="."/>
    <x v="78"/>
    <s v="CUBIERTOS PASTEL-TURQUESA"/>
    <n v="304"/>
    <n v="3"/>
    <n v="38.700000000000003"/>
    <s v="NOCTURNO"/>
    <m/>
    <n v="5"/>
    <n v="1109"/>
    <n v="21396"/>
    <s v="TURQUESA"/>
    <n v="0"/>
    <n v="0"/>
    <n v="0"/>
    <n v="38.607999999999997"/>
    <n v="38.700000000000003"/>
    <n v="127"/>
    <n v="304.7244094488189"/>
    <x v="4"/>
    <x v="0"/>
    <n v="20"/>
    <n v="6"/>
    <n v="152"/>
  </r>
  <r>
    <d v="2025-05-26T09:10:00"/>
    <s v="INYECTADO"/>
    <x v="10"/>
    <x v="88"/>
    <s v="SAID VILLAMIZAR"/>
    <s v="VIRGEN"/>
    <s v="PP CLARIFICADO"/>
    <s v="."/>
    <x v="93"/>
    <s v="TAPER ALEMAN 1100ML-TRANSPARENTE"/>
    <n v="361"/>
    <n v="3"/>
    <n v="47.4"/>
    <s v="DIURNO"/>
    <m/>
    <n v="6"/>
    <n v="1111"/>
    <n v="21397"/>
    <s v="TRANSPARENTE"/>
    <n v="0"/>
    <n v="0"/>
    <n v="0"/>
    <n v="24.547999999999998"/>
    <n v="47.4"/>
    <n v="68"/>
    <n v="697.05882352941171"/>
    <x v="4"/>
    <x v="0"/>
    <n v="20"/>
    <n v="1"/>
    <n v="30.083333333333332"/>
  </r>
  <r>
    <d v="2025-05-26T09:10:00"/>
    <s v="INYECTADO"/>
    <x v="10"/>
    <x v="88"/>
    <s v="JUAN MANUEL PEREZ"/>
    <s v="VIRGEN"/>
    <s v="PP CLARIFICADO"/>
    <s v="."/>
    <x v="93"/>
    <s v="TAPER ALEMAN 1100ML-TRANSPARENTE"/>
    <n v="1326"/>
    <n v="11"/>
    <n v="173.8"/>
    <s v="NOCTURNO"/>
    <m/>
    <n v="22"/>
    <n v="1111"/>
    <n v="21398"/>
    <s v="TRANSPARENTE"/>
    <n v="0"/>
    <n v="0"/>
    <n v="0"/>
    <n v="90.168000000000006"/>
    <n v="173.8"/>
    <n v="68"/>
    <n v="2555.8823529411766"/>
    <x v="4"/>
    <x v="0"/>
    <n v="20"/>
    <n v="1"/>
    <n v="110.5"/>
  </r>
  <r>
    <d v="2025-05-26T09:10:00"/>
    <s v="INYECTADO"/>
    <x v="10"/>
    <x v="108"/>
    <s v="SAID VILLAMIZAR"/>
    <s v="VIRGEN"/>
    <s v="PP CLARIFICADO"/>
    <s v="."/>
    <x v="93"/>
    <s v="TAPER ALEMAN 1100ML-TRANSPARENTE"/>
    <n v="907"/>
    <n v="9"/>
    <n v="118.9"/>
    <s v="DIURNO"/>
    <n v="0"/>
    <n v="15"/>
    <n v="1111"/>
    <n v="21399"/>
    <s v="TRANSPARENTE"/>
    <n v="0"/>
    <n v="0"/>
    <n v="0"/>
    <n v="61.676000000000002"/>
    <n v="118.9"/>
    <n v="68"/>
    <n v="1748.5294117647059"/>
    <x v="4"/>
    <x v="0"/>
    <n v="20"/>
    <n v="1"/>
    <n v="75.583333333333329"/>
  </r>
  <r>
    <d v="2025-05-26T09:10:00"/>
    <s v="INYECTADO"/>
    <x v="10"/>
    <x v="98"/>
    <s v="ISABEL LINARIZ"/>
    <s v="VIRGEN"/>
    <s v="PP CLARIFICADO"/>
    <s v="."/>
    <x v="93"/>
    <s v="TAPER ALEMAN 1100ML-TRANSPARENTE"/>
    <n v="600"/>
    <n v="6"/>
    <n v="79.2"/>
    <s v="DIURNO"/>
    <m/>
    <n v="11"/>
    <n v="1111"/>
    <n v="21400"/>
    <s v="TRANSPARENTE"/>
    <n v="0"/>
    <n v="0"/>
    <n v="0"/>
    <n v="40.799999999999997"/>
    <n v="79.2"/>
    <n v="68"/>
    <n v="1164.7058823529412"/>
    <x v="4"/>
    <x v="0"/>
    <n v="21"/>
    <n v="1"/>
    <n v="50"/>
  </r>
  <r>
    <d v="2025-05-26T09:10:00"/>
    <s v="INYECTADO"/>
    <x v="10"/>
    <x v="98"/>
    <s v="ISABEL LINARIZ"/>
    <s v="VIRGEN"/>
    <s v="PP CLARIFICADO"/>
    <s v="."/>
    <x v="94"/>
    <s v="TAPER 1100ML CARAMELO-AMARILLO"/>
    <n v="303"/>
    <n v="3"/>
    <n v="39.700000000000003"/>
    <s v="DIURNO"/>
    <m/>
    <n v="19"/>
    <n v="1111"/>
    <n v="21400"/>
    <s v="AMARILLO"/>
    <n v="0"/>
    <n v="0"/>
    <n v="0"/>
    <n v="20.603999999999999"/>
    <n v="39.700000000000003"/>
    <n v="68"/>
    <n v="583.82352941176475"/>
    <x v="4"/>
    <x v="0"/>
    <n v="21"/>
    <n v="1"/>
    <n v="25.25"/>
  </r>
  <r>
    <d v="2025-05-26T09:10:00"/>
    <s v="INYECTADO"/>
    <x v="10"/>
    <x v="98"/>
    <s v="JOSDER GONZALEZ"/>
    <s v="VIRGEN"/>
    <s v="PP CLARIFICADO"/>
    <s v="."/>
    <x v="94"/>
    <s v="TAPER 1100ML CARAMELO-AMARILLO"/>
    <n v="468"/>
    <n v="4"/>
    <n v="61.7"/>
    <s v="NOCTURNO"/>
    <m/>
    <n v="8"/>
    <n v="1114"/>
    <n v="21801"/>
    <s v="AMARILLO"/>
    <n v="2"/>
    <n v="0"/>
    <n v="0"/>
    <n v="31.824000000000002"/>
    <n v="61.7"/>
    <n v="68"/>
    <n v="907.35294117647061"/>
    <x v="4"/>
    <x v="0"/>
    <n v="21"/>
    <n v="1"/>
    <n v="39"/>
  </r>
  <r>
    <d v="2025-05-26T09:10:00"/>
    <s v="INYECTADO"/>
    <x v="10"/>
    <x v="98"/>
    <s v="JOSDER GONZALEZ"/>
    <s v="VIRGEN"/>
    <s v="PP CLARIFICADO"/>
    <s v="."/>
    <x v="94"/>
    <s v="TAPER 1100ML CARAMELO-VERDE"/>
    <n v="777"/>
    <n v="7"/>
    <n v="102.3"/>
    <s v="NOCTURNO"/>
    <m/>
    <n v="13"/>
    <n v="1114"/>
    <n v="21801"/>
    <s v="VERDE"/>
    <n v="4.8"/>
    <n v="0"/>
    <n v="0"/>
    <n v="52.835999999999999"/>
    <n v="102.3"/>
    <n v="68"/>
    <n v="1504.4117647058824"/>
    <x v="4"/>
    <x v="0"/>
    <n v="21"/>
    <n v="1"/>
    <n v="64.75"/>
  </r>
  <r>
    <d v="2025-05-26T09:10:00"/>
    <s v="INYECTADO"/>
    <x v="10"/>
    <x v="98"/>
    <s v="JOSDER GONZALEZ"/>
    <s v="VIRGEN"/>
    <s v="PP CLARIFICADO"/>
    <s v="."/>
    <x v="94"/>
    <s v="TAPER 1100ML CARAMELO-FUCSIA"/>
    <n v="156"/>
    <n v="2"/>
    <n v="20.399999999999999"/>
    <s v="NOCTURNO"/>
    <m/>
    <n v="3"/>
    <n v="1114"/>
    <n v="21801"/>
    <s v="FUCSIA"/>
    <n v="2.2000000000000002"/>
    <n v="0"/>
    <n v="0"/>
    <n v="10.608000000000001"/>
    <n v="20.399999999999999"/>
    <n v="68"/>
    <n v="300"/>
    <x v="4"/>
    <x v="0"/>
    <n v="21"/>
    <n v="1"/>
    <n v="13"/>
  </r>
  <r>
    <d v="2025-05-26T09:10:00"/>
    <s v="INYECTADO"/>
    <x v="10"/>
    <x v="99"/>
    <s v="LUIS PINEDO"/>
    <s v="VIRGEN"/>
    <s v="PP CLARIFICADO"/>
    <s v="."/>
    <x v="94"/>
    <s v="TAPER 1100ML CARAMELO-FUCSIA"/>
    <n v="773"/>
    <n v="7"/>
    <n v="100.5"/>
    <s v="DIURNO"/>
    <m/>
    <n v="14"/>
    <n v="1114"/>
    <n v="21802"/>
    <s v="FUCSIA"/>
    <n v="0"/>
    <n v="0"/>
    <n v="0"/>
    <n v="52.564"/>
    <n v="100.5"/>
    <n v="68"/>
    <n v="1477.9411764705883"/>
    <x v="4"/>
    <x v="0"/>
    <n v="21"/>
    <n v="1"/>
    <n v="64.416666666666671"/>
  </r>
  <r>
    <d v="2025-05-26T09:10:00"/>
    <s v="INYECTADO"/>
    <x v="10"/>
    <x v="99"/>
    <s v="LUIS PINEDO"/>
    <s v="VIRGEN"/>
    <s v="PP CLARIFICADO"/>
    <s v="."/>
    <x v="94"/>
    <s v="TAPER 1100ML CARAMELO-LILA"/>
    <n v="606"/>
    <n v="6"/>
    <n v="78.900000000000006"/>
    <s v="DIURNO"/>
    <m/>
    <n v="10"/>
    <n v="1114"/>
    <n v="21802"/>
    <s v="LILA"/>
    <n v="0"/>
    <n v="0"/>
    <n v="0"/>
    <n v="41.207999999999998"/>
    <n v="78.900000000000006"/>
    <n v="68"/>
    <n v="1160.2941176470588"/>
    <x v="4"/>
    <x v="0"/>
    <n v="21"/>
    <n v="1"/>
    <n v="50.5"/>
  </r>
  <r>
    <d v="2025-05-26T09:10:00"/>
    <s v="INYECTADO"/>
    <x v="10"/>
    <x v="99"/>
    <s v="LUIS PINEDO"/>
    <s v="VIRGEN"/>
    <s v="PP CLARIFICADO"/>
    <s v="."/>
    <x v="94"/>
    <s v="TAPER 1100ML CARAMELO-AZUL"/>
    <n v="147"/>
    <n v="2"/>
    <n v="19.3"/>
    <s v="DIURNO"/>
    <m/>
    <n v="2"/>
    <n v="1114"/>
    <n v="21802"/>
    <s v="AZUL"/>
    <n v="0"/>
    <n v="0"/>
    <n v="0"/>
    <n v="9.9960000000000004"/>
    <n v="19.3"/>
    <n v="68"/>
    <n v="283.8235294117647"/>
    <x v="4"/>
    <x v="0"/>
    <n v="21"/>
    <n v="1"/>
    <n v="12.25"/>
  </r>
  <r>
    <d v="2025-05-26T09:10:00"/>
    <s v="INYECTADO"/>
    <x v="10"/>
    <x v="99"/>
    <s v="JUAN MANUEL PEREZ"/>
    <s v="VIRGEN"/>
    <s v="PP CLARIFICADO"/>
    <s v="."/>
    <x v="94"/>
    <s v="TAPER 1100ML CARAMELO-AZUL"/>
    <n v="603"/>
    <n v="6"/>
    <n v="79"/>
    <s v="NOCTURNO"/>
    <m/>
    <n v="10"/>
    <n v="1114"/>
    <n v="21803"/>
    <s v="AZUL"/>
    <n v="0"/>
    <n v="0"/>
    <n v="0"/>
    <n v="41.003999999999998"/>
    <n v="79"/>
    <n v="68"/>
    <n v="1161.7647058823529"/>
    <x v="4"/>
    <x v="0"/>
    <n v="21"/>
    <n v="1"/>
    <n v="50.25"/>
  </r>
  <r>
    <d v="2025-05-26T09:10:00"/>
    <s v="INYECTADO"/>
    <x v="10"/>
    <x v="99"/>
    <s v="JUAN MANUEL PEREZ"/>
    <s v="VIRGEN"/>
    <s v="PP CLARIFICADO"/>
    <s v="."/>
    <x v="94"/>
    <s v="TAPER 1100ML CARAMELO-ROJO"/>
    <n v="548"/>
    <n v="5"/>
    <n v="71.900000000000006"/>
    <s v="NOCTURNO"/>
    <m/>
    <n v="10"/>
    <n v="1114"/>
    <n v="21803"/>
    <s v="ROJO"/>
    <n v="0"/>
    <n v="0"/>
    <n v="0"/>
    <n v="37.264000000000003"/>
    <n v="71.900000000000006"/>
    <n v="68"/>
    <n v="1057.3529411764705"/>
    <x v="4"/>
    <x v="0"/>
    <n v="21"/>
    <n v="1"/>
    <n v="45.666666666666664"/>
  </r>
  <r>
    <d v="2025-05-26T09:10:00"/>
    <s v="INYECTADO"/>
    <x v="10"/>
    <x v="99"/>
    <s v="JUAN MANUEL PEREZ"/>
    <s v="VIRGEN"/>
    <s v="PP CLARIFICADO"/>
    <s v="."/>
    <x v="95"/>
    <s v="TAPER 1100ML PASTEL-CELESTE"/>
    <n v="60"/>
    <n v="1"/>
    <n v="7.9"/>
    <s v="NOCTURNO"/>
    <m/>
    <n v="1"/>
    <n v="1114"/>
    <n v="21803"/>
    <s v="CELESTE"/>
    <n v="0"/>
    <n v="0"/>
    <n v="0"/>
    <n v="4.08"/>
    <n v="7.9"/>
    <n v="68"/>
    <n v="116.17647058823529"/>
    <x v="4"/>
    <x v="0"/>
    <n v="21"/>
    <n v="1"/>
    <n v="5"/>
  </r>
  <r>
    <d v="2025-05-26T09:10:00"/>
    <s v="INYECTADO"/>
    <x v="10"/>
    <x v="100"/>
    <s v="ISABEL LINARIZ"/>
    <s v="VIRGEN"/>
    <s v="PP CLARIFICADO"/>
    <s v="."/>
    <x v="95"/>
    <s v="TAPER 1100ML PASTEL-CELESTE"/>
    <n v="554"/>
    <n v="5"/>
    <n v="71.5"/>
    <s v="DIURNO"/>
    <m/>
    <n v="9"/>
    <n v="1114"/>
    <n v="21804"/>
    <s v="CELESTE"/>
    <n v="11.9"/>
    <n v="0"/>
    <n v="0"/>
    <n v="37.671999999999997"/>
    <n v="71.5"/>
    <n v="68"/>
    <n v="1051.4705882352941"/>
    <x v="4"/>
    <x v="0"/>
    <n v="21"/>
    <n v="1"/>
    <n v="46.166666666666664"/>
  </r>
  <r>
    <d v="2025-05-26T09:10:00"/>
    <s v="INYECTADO"/>
    <x v="10"/>
    <x v="100"/>
    <s v="ISABEL LINARIZ"/>
    <s v="VIRGEN"/>
    <s v="PP CLARIFICADO"/>
    <s v="."/>
    <x v="95"/>
    <s v="TAPER 1100ML PASTEL-TURQUESA"/>
    <n v="486"/>
    <n v="4"/>
    <n v="63.2"/>
    <s v="DIURNO"/>
    <m/>
    <n v="8"/>
    <n v="1114"/>
    <n v="21804"/>
    <s v="TURQUESA"/>
    <n v="12.1"/>
    <n v="0"/>
    <n v="0"/>
    <n v="33.048000000000002"/>
    <n v="63.2"/>
    <n v="68"/>
    <n v="929.41176470588232"/>
    <x v="4"/>
    <x v="0"/>
    <n v="21"/>
    <n v="1"/>
    <n v="40.5"/>
  </r>
  <r>
    <d v="2025-05-26T09:10:00"/>
    <s v="INYECTADO"/>
    <x v="10"/>
    <x v="100"/>
    <s v="JUAN MANUEL PEREZ"/>
    <s v="VIRGEN"/>
    <s v="PP CLARIFICADO"/>
    <s v="."/>
    <x v="95"/>
    <s v="TAPER 1100ML PASTEL-TURQUESA"/>
    <n v="60"/>
    <n v="1"/>
    <n v="7.8"/>
    <s v="NOCTURNO"/>
    <m/>
    <n v="9"/>
    <n v="1114"/>
    <n v="21805"/>
    <s v="TURQUESA"/>
    <n v="3"/>
    <n v="0"/>
    <n v="0"/>
    <n v="4.08"/>
    <n v="7.8"/>
    <n v="68"/>
    <n v="114.70588235294117"/>
    <x v="4"/>
    <x v="0"/>
    <n v="21"/>
    <n v="1"/>
    <n v="5"/>
  </r>
  <r>
    <d v="2025-05-26T09:10:00"/>
    <s v="INYECTADO"/>
    <x v="10"/>
    <x v="100"/>
    <s v="JUAN MANUEL PEREZ"/>
    <s v="VIRGEN"/>
    <s v="PP CLARIFICADO"/>
    <s v="."/>
    <x v="95"/>
    <s v="TAPER 1100ML PASTEL-ROSADO"/>
    <n v="591"/>
    <n v="5"/>
    <n v="76.900000000000006"/>
    <s v="NOCTURNO"/>
    <m/>
    <n v="10"/>
    <n v="1114"/>
    <n v="21805"/>
    <s v="ROSADO"/>
    <n v="5"/>
    <n v="0"/>
    <n v="0"/>
    <n v="40.188000000000002"/>
    <n v="76.900000000000006"/>
    <n v="68"/>
    <n v="1130.8823529411766"/>
    <x v="4"/>
    <x v="0"/>
    <n v="21"/>
    <n v="1"/>
    <n v="49.25"/>
  </r>
  <r>
    <d v="2025-05-26T09:10:00"/>
    <s v="INYECTADO"/>
    <x v="10"/>
    <x v="100"/>
    <s v="JUAN MANUEL PEREZ"/>
    <s v="VIRGEN"/>
    <s v="PP CLARIFICADO"/>
    <s v="."/>
    <x v="95"/>
    <s v="TAPER 1100ML PASTEL-LILA"/>
    <n v="554"/>
    <n v="5"/>
    <n v="72.099999999999994"/>
    <s v="NOCTURNO"/>
    <m/>
    <n v="1"/>
    <n v="1114"/>
    <n v="21805"/>
    <s v="LILA"/>
    <n v="3"/>
    <n v="0"/>
    <n v="0"/>
    <n v="37.671999999999997"/>
    <n v="72.099999999999994"/>
    <n v="68"/>
    <n v="1060.2941176470588"/>
    <x v="4"/>
    <x v="0"/>
    <n v="21"/>
    <n v="1"/>
    <n v="46.166666666666664"/>
  </r>
  <r>
    <d v="2025-05-26T09:10:00"/>
    <s v="INYECTADO"/>
    <x v="10"/>
    <x v="101"/>
    <s v="GABRIEL REQUENA"/>
    <s v="VIRGEN"/>
    <s v="PP CLARIFICADO"/>
    <s v="."/>
    <x v="95"/>
    <s v="TAPER 1100ML PASTEL-LILA"/>
    <n v="26"/>
    <n v="1"/>
    <n v="3.5"/>
    <s v="DIURNO"/>
    <m/>
    <n v="1"/>
    <n v="1114"/>
    <n v="21806"/>
    <s v="LILA"/>
    <n v="9.3000000000000007"/>
    <n v="0"/>
    <n v="0"/>
    <n v="1.768"/>
    <n v="3.5"/>
    <n v="68"/>
    <n v="51.470588235294116"/>
    <x v="4"/>
    <x v="0"/>
    <n v="21"/>
    <n v="1"/>
    <n v="2.1666666666666665"/>
  </r>
  <r>
    <d v="2025-05-26T09:10:00"/>
    <s v="INYECTADO"/>
    <x v="10"/>
    <x v="101"/>
    <s v="GABRIEL REQUENA"/>
    <s v="VIRGEN"/>
    <s v="PP CLARIFICADO"/>
    <s v="."/>
    <x v="95"/>
    <s v="TAPER 1100ML PASTEL-AZURE"/>
    <n v="463"/>
    <n v="4"/>
    <n v="59.8"/>
    <s v="DIURNO"/>
    <m/>
    <n v="7"/>
    <n v="1114"/>
    <n v="21806"/>
    <s v="AZURE"/>
    <n v="12.1"/>
    <n v="0"/>
    <n v="0"/>
    <n v="32.872999999999998"/>
    <n v="59.8"/>
    <n v="71"/>
    <n v="842.25352112676057"/>
    <x v="4"/>
    <x v="0"/>
    <n v="21"/>
    <n v="1"/>
    <n v="38.583333333333336"/>
  </r>
  <r>
    <d v="2025-05-26T09:10:00"/>
    <s v="INYECTADO"/>
    <x v="10"/>
    <x v="101"/>
    <s v="GABRIEL REQUENA"/>
    <s v="VIRGEN"/>
    <s v="PP CLARIFICADO"/>
    <s v="."/>
    <x v="95"/>
    <s v="TAPER 1100ML PASTEL-SANDIA"/>
    <n v="489"/>
    <n v="4"/>
    <n v="63.1"/>
    <s v="DIURNO"/>
    <m/>
    <n v="8"/>
    <n v="1114"/>
    <n v="21806"/>
    <s v="SANDIA"/>
    <n v="10.1"/>
    <n v="0"/>
    <n v="0"/>
    <n v="34.719000000000001"/>
    <n v="63.1"/>
    <n v="71"/>
    <n v="888.73239436619713"/>
    <x v="4"/>
    <x v="0"/>
    <n v="21"/>
    <n v="1"/>
    <n v="40.75"/>
  </r>
  <r>
    <d v="2025-05-26T09:10:00"/>
    <s v="INYECTADO"/>
    <x v="10"/>
    <x v="101"/>
    <s v="GABRIEL REQUENA"/>
    <s v="VIRGEN"/>
    <s v="PP CLARIFICADO"/>
    <s v="."/>
    <x v="96"/>
    <s v="TAPER 1100ML SOLIDO-TURQUESA"/>
    <n v="337"/>
    <n v="3"/>
    <n v="44.6"/>
    <s v="DIURNO"/>
    <m/>
    <n v="6"/>
    <n v="1114"/>
    <n v="21806"/>
    <s v="TURQUESA"/>
    <n v="4.7"/>
    <n v="0"/>
    <n v="0"/>
    <n v="22.916"/>
    <n v="44.6"/>
    <n v="68"/>
    <n v="655.88235294117646"/>
    <x v="4"/>
    <x v="0"/>
    <n v="21"/>
    <n v="1"/>
    <n v="28.083333333333332"/>
  </r>
  <r>
    <d v="2025-05-26T09:10:00"/>
    <s v="INYECTADO"/>
    <x v="10"/>
    <x v="101"/>
    <s v="JOSDER GONZALEZ"/>
    <s v="VIRGEN"/>
    <s v="PP CLARIFICADO"/>
    <s v="."/>
    <x v="96"/>
    <s v="TAPER 1100ML SOLIDO-TURQUESA"/>
    <n v="196"/>
    <n v="2"/>
    <n v="26.2"/>
    <s v="NOCTURNO"/>
    <m/>
    <n v="4"/>
    <n v="1114"/>
    <n v="21807"/>
    <s v="TURQUESA"/>
    <n v="9.4"/>
    <n v="0"/>
    <n v="0"/>
    <n v="13.327999999999999"/>
    <n v="26.2"/>
    <n v="68"/>
    <n v="385.29411764705884"/>
    <x v="4"/>
    <x v="0"/>
    <n v="21"/>
    <n v="1"/>
    <n v="16.333333333333332"/>
  </r>
  <r>
    <d v="2025-05-26T09:10:00"/>
    <s v="INYECTADO"/>
    <x v="10"/>
    <x v="101"/>
    <s v="JOSDER GONZALEZ"/>
    <s v="VIRGEN"/>
    <s v="PP CLARIFICADO"/>
    <s v="."/>
    <x v="96"/>
    <s v="TAPER 1100ML SOLIDO-VERDE"/>
    <n v="536"/>
    <n v="5"/>
    <n v="71.5"/>
    <s v="NOCTURNO"/>
    <m/>
    <n v="9"/>
    <n v="1114"/>
    <n v="21807"/>
    <s v="VERDE"/>
    <n v="9.9"/>
    <n v="0"/>
    <n v="0"/>
    <n v="36.448"/>
    <n v="71.5"/>
    <n v="68"/>
    <n v="1051.4705882352941"/>
    <x v="4"/>
    <x v="0"/>
    <n v="21"/>
    <n v="1"/>
    <n v="44.666666666666664"/>
  </r>
  <r>
    <d v="2025-05-26T09:10:00"/>
    <s v="INYECTADO"/>
    <x v="10"/>
    <x v="101"/>
    <s v="JOSDER GONZALEZ"/>
    <s v="VIRGEN"/>
    <s v="PP CLARIFICADO"/>
    <s v="."/>
    <x v="93"/>
    <s v="TAPER ALEMAN 1100ML-TRANSPARENTE"/>
    <n v="408"/>
    <n v="4"/>
    <n v="54.4"/>
    <s v="NOCTURNO"/>
    <m/>
    <n v="7"/>
    <n v="1114"/>
    <n v="21807"/>
    <s v="TRANSPARENTE"/>
    <n v="3"/>
    <n v="0"/>
    <n v="0"/>
    <n v="27.744"/>
    <n v="54.4"/>
    <n v="68"/>
    <n v="800"/>
    <x v="4"/>
    <x v="0"/>
    <n v="21"/>
    <n v="1"/>
    <n v="34"/>
  </r>
  <r>
    <d v="2025-05-26T09:10:00"/>
    <s v="INYECTADO"/>
    <x v="10"/>
    <x v="89"/>
    <s v="LUIS PINEDO"/>
    <s v="VIRGEN"/>
    <s v="PP CLARIFICADO"/>
    <s v="."/>
    <x v="96"/>
    <s v="TAPER 1100ML SOLIDO-FUCSIA"/>
    <n v="518"/>
    <n v="5"/>
    <n v="67.900000000000006"/>
    <s v="DIURNO"/>
    <m/>
    <n v="9"/>
    <n v="1114"/>
    <n v="21808"/>
    <s v="FUCSIA"/>
    <n v="15.3"/>
    <n v="0"/>
    <n v="0"/>
    <n v="35.223999999999997"/>
    <n v="67.900000000000006"/>
    <n v="68"/>
    <n v="998.52941176470586"/>
    <x v="4"/>
    <x v="0"/>
    <n v="21"/>
    <n v="1"/>
    <n v="43.166666666666664"/>
  </r>
  <r>
    <d v="2025-05-26T09:10:00"/>
    <s v="INYECTADO"/>
    <x v="10"/>
    <x v="89"/>
    <s v="LUIS PINEDO"/>
    <s v="VIRGEN"/>
    <s v="PP CLARIFICADO"/>
    <s v="."/>
    <x v="96"/>
    <s v="TAPER 1100ML SOLIDO-AMARILLO"/>
    <n v="581"/>
    <n v="5"/>
    <n v="76.2"/>
    <s v="DIURNO"/>
    <m/>
    <n v="10"/>
    <n v="1114"/>
    <n v="21808"/>
    <s v="AMARILLO"/>
    <n v="12.4"/>
    <n v="0"/>
    <n v="0"/>
    <n v="39.508000000000003"/>
    <n v="76.2"/>
    <n v="68"/>
    <n v="1120.5882352941176"/>
    <x v="4"/>
    <x v="0"/>
    <n v="21"/>
    <n v="1"/>
    <n v="48.416666666666664"/>
  </r>
  <r>
    <d v="2025-05-26T09:10:00"/>
    <s v="INYECTADO"/>
    <x v="10"/>
    <x v="89"/>
    <s v="JOSDER GONZALEZ"/>
    <s v="VIRGEN"/>
    <s v="PP CLARIFICADO"/>
    <s v="."/>
    <x v="96"/>
    <s v="TAPER 1100ML SOLIDO-AZUL"/>
    <n v="480"/>
    <n v="4"/>
    <n v="63.9"/>
    <s v="NOCTURNO"/>
    <m/>
    <n v="5"/>
    <n v="1114"/>
    <n v="21809"/>
    <s v="AZUL"/>
    <n v="10.4"/>
    <n v="0"/>
    <n v="0"/>
    <n v="32.64"/>
    <n v="63.9"/>
    <n v="68"/>
    <n v="939.70588235294122"/>
    <x v="4"/>
    <x v="0"/>
    <n v="21"/>
    <n v="1"/>
    <n v="40"/>
  </r>
  <r>
    <d v="2025-05-26T09:10:00"/>
    <s v="INYECTADO"/>
    <x v="10"/>
    <x v="89"/>
    <s v="JOSDER GONZALEZ"/>
    <s v="VIRGEN"/>
    <s v="PP CLARIFICADO"/>
    <s v="."/>
    <x v="96"/>
    <s v="TAPER 1100ML SOLIDO-ROJO"/>
    <n v="542"/>
    <n v="5"/>
    <n v="71.099999999999994"/>
    <s v="NOCTURNO"/>
    <m/>
    <n v="5"/>
    <n v="1114"/>
    <n v="21809"/>
    <s v="ROJO"/>
    <n v="14.5"/>
    <n v="0"/>
    <n v="0"/>
    <n v="36.856000000000002"/>
    <n v="71.099999999999994"/>
    <n v="68"/>
    <n v="1045.5882352941176"/>
    <x v="4"/>
    <x v="0"/>
    <n v="21"/>
    <n v="1"/>
    <n v="45.166666666666664"/>
  </r>
  <r>
    <d v="2025-05-26T09:10:00"/>
    <s v="INYECTADO"/>
    <x v="10"/>
    <x v="89"/>
    <s v="JOSDER GONZALEZ"/>
    <s v="VIRGEN"/>
    <s v="PP CLARIFICADO"/>
    <s v="."/>
    <x v="96"/>
    <s v="TAPER 1100ML SOLIDO-TURQUESA"/>
    <n v="69"/>
    <n v="1"/>
    <n v="9.1999999999999993"/>
    <s v="NOCTURNO"/>
    <m/>
    <n v="1"/>
    <n v="1114"/>
    <n v="21809"/>
    <s v="TURQUESA"/>
    <n v="3"/>
    <n v="0"/>
    <n v="0"/>
    <n v="4.6920000000000002"/>
    <n v="9.1999999999999993"/>
    <n v="68"/>
    <n v="135.29411764705881"/>
    <x v="4"/>
    <x v="0"/>
    <n v="21"/>
    <n v="1"/>
    <n v="5.75"/>
  </r>
  <r>
    <d v="2025-05-26T09:10:00"/>
    <s v="INYECTADO"/>
    <x v="10"/>
    <x v="90"/>
    <s v="LUIS PINEDO"/>
    <s v="VIRGEN"/>
    <s v="PP CLARIFICADO"/>
    <s v="."/>
    <x v="96"/>
    <s v="TAPER 1100ML SOLIDO-AZUL"/>
    <n v="60"/>
    <n v="1"/>
    <n v="8.9"/>
    <s v="DIURNO"/>
    <m/>
    <n v="1"/>
    <n v="1114"/>
    <n v="21810"/>
    <s v="AZUL"/>
    <n v="0"/>
    <n v="0"/>
    <n v="0"/>
    <n v="4.08"/>
    <n v="8.9"/>
    <n v="68"/>
    <n v="130.88235294117646"/>
    <x v="4"/>
    <x v="0"/>
    <n v="21"/>
    <n v="1"/>
    <n v="5"/>
  </r>
  <r>
    <d v="2025-05-26T09:10:00"/>
    <s v="INYECTADO"/>
    <x v="10"/>
    <x v="90"/>
    <s v="LUIS PINEDO"/>
    <s v="VIRGEN"/>
    <s v="PP CLARIFICADO"/>
    <s v="."/>
    <x v="93"/>
    <s v="TAPER ALEMAN 1100ML-TRANSPARENTE"/>
    <n v="120"/>
    <n v="1"/>
    <n v="6.9"/>
    <s v="DIURNO"/>
    <m/>
    <n v="1"/>
    <n v="1114"/>
    <n v="21810"/>
    <s v="TRANSPARENTE"/>
    <n v="0"/>
    <n v="0"/>
    <n v="0"/>
    <n v="8.16"/>
    <n v="6.9"/>
    <n v="68"/>
    <n v="101.47058823529412"/>
    <x v="4"/>
    <x v="0"/>
    <n v="21"/>
    <n v="1"/>
    <n v="10"/>
  </r>
  <r>
    <d v="2025-05-26T09:10:00"/>
    <s v="INYECTADO"/>
    <x v="10"/>
    <x v="90"/>
    <s v="JOSDER GONZALEZ"/>
    <s v="VIRGEN"/>
    <s v="PP CLARIFICADO"/>
    <s v="."/>
    <x v="34"/>
    <s v="BASE ORGANIZADOR  DE 2KG-TRANSPARENTE"/>
    <n v="613"/>
    <n v="6"/>
    <n v="35.6"/>
    <s v="NOCTURNO"/>
    <m/>
    <n v="1"/>
    <n v="1117"/>
    <n v="21811"/>
    <s v="TRANSPARENTE"/>
    <n v="2.2000000000000002"/>
    <n v="0"/>
    <n v="0"/>
    <n v="30.65"/>
    <n v="35.6"/>
    <n v="50"/>
    <n v="712"/>
    <x v="4"/>
    <x v="0"/>
    <n v="21"/>
    <n v="2"/>
    <n v="102.16666666666667"/>
  </r>
  <r>
    <d v="2025-05-26T09:10:00"/>
    <s v="INYECTADO"/>
    <x v="10"/>
    <x v="90"/>
    <s v="JOSDER GONZALEZ"/>
    <s v="VIRGEN"/>
    <s v="PP CLARIFICADO"/>
    <s v="."/>
    <x v="34"/>
    <s v="BASE ORGANIZADOR  DE 2KG-TRANSPARENTE"/>
    <n v="720"/>
    <n v="7"/>
    <n v="43.2"/>
    <s v="NOCTURNO"/>
    <m/>
    <n v="11"/>
    <n v="1117"/>
    <n v="21811"/>
    <s v="TRANSPARENTE"/>
    <n v="6.3"/>
    <n v="0"/>
    <n v="0"/>
    <n v="36"/>
    <n v="43.2"/>
    <n v="50"/>
    <n v="864"/>
    <x v="4"/>
    <x v="0"/>
    <n v="21"/>
    <n v="2"/>
    <n v="120"/>
  </r>
  <r>
    <d v="2025-05-26T09:10:00"/>
    <s v="INYECTADO"/>
    <x v="10"/>
    <x v="109"/>
    <s v="SAID VILLAMIZAR"/>
    <s v="VIRGEN"/>
    <s v="PP CLARIFICADO"/>
    <s v="."/>
    <x v="33"/>
    <s v="BASE ORGANIZADOR  DE 2KG PASTEL-LILA"/>
    <n v="30"/>
    <n v="1"/>
    <n v="1.7"/>
    <s v="DIURNO"/>
    <n v="0"/>
    <n v="1"/>
    <n v="1117"/>
    <n v="21812"/>
    <s v="LILA"/>
    <n v="5"/>
    <n v="0"/>
    <n v="0"/>
    <n v="1.5"/>
    <n v="1.7"/>
    <n v="50"/>
    <n v="34"/>
    <x v="4"/>
    <x v="0"/>
    <n v="21"/>
    <n v="2"/>
    <n v="5"/>
  </r>
  <r>
    <d v="2025-05-26T09:10:00"/>
    <s v="INYECTADO"/>
    <x v="10"/>
    <x v="109"/>
    <s v="SAID VILLAMIZAR"/>
    <s v="VIRGEN"/>
    <s v="PP CLARIFICADO"/>
    <s v="."/>
    <x v="33"/>
    <s v="BASE ORGANIZADOR  DE 2KG PASTEL-AZURE"/>
    <n v="789"/>
    <n v="7"/>
    <n v="43.4"/>
    <s v="DIURNO"/>
    <n v="0"/>
    <n v="13"/>
    <n v="1117"/>
    <n v="21812"/>
    <s v="AZURE"/>
    <n v="9.3000000000000007"/>
    <n v="0"/>
    <n v="0"/>
    <n v="39.450000000000003"/>
    <n v="43.4"/>
    <n v="50"/>
    <n v="868"/>
    <x v="4"/>
    <x v="0"/>
    <n v="21"/>
    <n v="2"/>
    <n v="131.5"/>
  </r>
  <r>
    <d v="2025-05-26T09:10:00"/>
    <s v="INYECTADO"/>
    <x v="10"/>
    <x v="91"/>
    <s v="LUIS PINEDO"/>
    <s v="VIRGEN"/>
    <s v="PP CLARIFICADO"/>
    <s v="."/>
    <x v="33"/>
    <s v="BASE ORGANIZADOR  DE 2KG PASTEL-SANDIA"/>
    <n v="245"/>
    <n v="2"/>
    <n v="13.5"/>
    <s v="DIURNO"/>
    <m/>
    <n v="4"/>
    <n v="1117"/>
    <n v="21813"/>
    <s v="SANDIA"/>
    <n v="7.9"/>
    <n v="0"/>
    <n v="0"/>
    <n v="12.25"/>
    <n v="13.5"/>
    <n v="50"/>
    <n v="270"/>
    <x v="4"/>
    <x v="0"/>
    <n v="22"/>
    <n v="2"/>
    <n v="40.833333333333336"/>
  </r>
  <r>
    <d v="2025-05-26T09:10:00"/>
    <s v="INYECTADO"/>
    <x v="10"/>
    <x v="91"/>
    <s v="LUIS PINEDO"/>
    <s v="VIRGEN"/>
    <s v="PP CLARIFICADO"/>
    <s v="."/>
    <x v="33"/>
    <s v="BASE ORGANIZADOR  DE 2KG PASTEL-TURQUESA"/>
    <n v="123"/>
    <n v="1"/>
    <n v="6.8"/>
    <s v="DIURNO"/>
    <m/>
    <n v="11"/>
    <n v="1117"/>
    <n v="21813"/>
    <s v="TURQUESA"/>
    <n v="9.8000000000000007"/>
    <n v="0"/>
    <n v="0"/>
    <n v="6.15"/>
    <n v="6.8"/>
    <n v="50"/>
    <n v="136"/>
    <x v="4"/>
    <x v="0"/>
    <n v="22"/>
    <n v="2"/>
    <n v="20.5"/>
  </r>
  <r>
    <d v="2025-05-26T09:10:00"/>
    <s v="INYECTADO"/>
    <x v="10"/>
    <x v="91"/>
    <s v="LUIS PINEDO"/>
    <s v="VIRGEN"/>
    <s v="PP CLARIFICADO"/>
    <s v="."/>
    <x v="33"/>
    <s v="BASE ORGANIZADOR  DE 2KG PASTEL-CELESTE"/>
    <n v="618"/>
    <n v="6"/>
    <n v="34"/>
    <s v="DIURNO"/>
    <m/>
    <n v="2"/>
    <n v="1117"/>
    <n v="21813"/>
    <s v="CELESTE"/>
    <n v="4.8"/>
    <n v="0"/>
    <n v="0"/>
    <n v="30.9"/>
    <n v="34"/>
    <n v="50"/>
    <n v="680"/>
    <x v="4"/>
    <x v="0"/>
    <n v="22"/>
    <n v="2"/>
    <n v="103"/>
  </r>
  <r>
    <d v="2025-05-26T09:10:00"/>
    <s v="INYECTADO"/>
    <x v="10"/>
    <x v="91"/>
    <s v="JOSDER GONZALEZ"/>
    <s v="VIRGEN"/>
    <s v="PP CLARIFICADO"/>
    <s v="."/>
    <x v="33"/>
    <s v="BASE ORGANIZADOR  DE 2KG PASTEL-TURQUESA"/>
    <n v="459"/>
    <n v="4"/>
    <n v="26"/>
    <s v="NOCTURNO"/>
    <m/>
    <n v="8"/>
    <n v="1117"/>
    <n v="21814"/>
    <s v="TURQUESA"/>
    <n v="5.0999999999999996"/>
    <n v="0"/>
    <n v="0"/>
    <n v="22.95"/>
    <n v="26"/>
    <n v="50"/>
    <n v="520"/>
    <x v="4"/>
    <x v="0"/>
    <n v="22"/>
    <n v="2"/>
    <n v="76.5"/>
  </r>
  <r>
    <d v="2025-05-26T09:10:00"/>
    <s v="INYECTADO"/>
    <x v="10"/>
    <x v="91"/>
    <s v="JOSDER GONZALEZ"/>
    <s v="VIRGEN"/>
    <s v="PP CLARIFICADO"/>
    <s v="."/>
    <x v="33"/>
    <s v="BASE ORGANIZADOR  DE 2KG PASTEL-ROSADO"/>
    <n v="660"/>
    <n v="6"/>
    <n v="37.4"/>
    <s v="NOCTURNO"/>
    <m/>
    <n v="11"/>
    <n v="1117"/>
    <n v="21814"/>
    <s v="ROSADO"/>
    <n v="3.9"/>
    <n v="0"/>
    <n v="0"/>
    <n v="33"/>
    <n v="37.4"/>
    <n v="50"/>
    <n v="748"/>
    <x v="4"/>
    <x v="0"/>
    <n v="22"/>
    <n v="2"/>
    <n v="110"/>
  </r>
  <r>
    <d v="2025-05-26T09:10:00"/>
    <s v="INYECTADO"/>
    <x v="10"/>
    <x v="91"/>
    <s v="JOSDER GONZALEZ"/>
    <s v="VIRGEN"/>
    <s v="PP CLARIFICADO"/>
    <s v="."/>
    <x v="33"/>
    <s v="BASE ORGANIZADOR  DE 2KG PASTEL-SANDIA"/>
    <n v="300"/>
    <n v="3"/>
    <n v="17"/>
    <s v="NOCTURNO"/>
    <m/>
    <n v="5"/>
    <n v="1117"/>
    <n v="21814"/>
    <s v="SANDIA"/>
    <n v="1.9"/>
    <n v="0"/>
    <n v="0"/>
    <n v="15"/>
    <n v="17"/>
    <n v="50"/>
    <n v="340"/>
    <x v="4"/>
    <x v="0"/>
    <n v="22"/>
    <n v="2"/>
    <n v="50"/>
  </r>
  <r>
    <d v="2025-05-26T09:10:00"/>
    <s v="INYECTADO"/>
    <x v="10"/>
    <x v="92"/>
    <s v="ISABEL LINARIZ"/>
    <s v="VIRGEN"/>
    <s v="PP CLARIFICADO"/>
    <s v="."/>
    <x v="32"/>
    <s v="BASE ORGANIZADOR  DE 2KG CARAMELO-ROJO"/>
    <n v="294"/>
    <n v="2"/>
    <n v="16.2"/>
    <s v="DIURNO"/>
    <m/>
    <n v="5"/>
    <n v="1117"/>
    <n v="21815"/>
    <s v="ROJO"/>
    <n v="0"/>
    <n v="0"/>
    <n v="0"/>
    <n v="14.7"/>
    <n v="16.2"/>
    <n v="50"/>
    <n v="324"/>
    <x v="4"/>
    <x v="0"/>
    <n v="22"/>
    <n v="2"/>
    <n v="49"/>
  </r>
  <r>
    <d v="2025-05-26T09:10:00"/>
    <s v="INYECTADO"/>
    <x v="10"/>
    <x v="92"/>
    <s v="ISABEL LINARIZ"/>
    <s v="VIRGEN"/>
    <s v="PP CLARIFICADO"/>
    <s v="."/>
    <x v="32"/>
    <s v="BASE ORGANIZADOR  DE 2KG CARAMELO-VERDE"/>
    <n v="243"/>
    <n v="2"/>
    <n v="13.4"/>
    <s v="DIURNO"/>
    <m/>
    <n v="4"/>
    <n v="1117"/>
    <n v="21815"/>
    <s v="VERDE"/>
    <n v="0"/>
    <n v="0"/>
    <n v="0"/>
    <n v="12.15"/>
    <n v="13.4"/>
    <n v="50"/>
    <n v="268"/>
    <x v="4"/>
    <x v="0"/>
    <n v="22"/>
    <n v="2"/>
    <n v="40.5"/>
  </r>
  <r>
    <d v="2025-05-26T09:10:00"/>
    <s v="INYECTADO"/>
    <x v="10"/>
    <x v="92"/>
    <s v="ISABEL LINARIZ"/>
    <s v="VIRGEN"/>
    <s v="PP CLARIFICADO"/>
    <s v="."/>
    <x v="32"/>
    <s v="BASE ORGANIZADOR  DE 2KG CARAMELO-FUCSIA"/>
    <n v="123"/>
    <n v="1"/>
    <n v="6.8"/>
    <s v="DIURNO"/>
    <m/>
    <n v="2"/>
    <n v="1117"/>
    <n v="21815"/>
    <s v="ROSADO"/>
    <n v="0"/>
    <n v="0"/>
    <n v="0"/>
    <n v="6.15"/>
    <n v="6.8"/>
    <n v="50"/>
    <n v="136"/>
    <x v="4"/>
    <x v="0"/>
    <n v="22"/>
    <n v="2"/>
    <n v="20.5"/>
  </r>
  <r>
    <d v="2025-05-26T09:10:00"/>
    <s v="INYECTADO"/>
    <x v="10"/>
    <x v="92"/>
    <s v="ISABEL LINARIZ"/>
    <s v="VIRGEN"/>
    <s v="PP CLARIFICADO"/>
    <s v="."/>
    <x v="32"/>
    <s v="BASE ORGANIZADOR  DE 2KG CARAMELO-LILA"/>
    <n v="96"/>
    <n v="1"/>
    <n v="5.3"/>
    <s v="DIURNO"/>
    <m/>
    <n v="2"/>
    <n v="1117"/>
    <n v="21815"/>
    <s v="LILA"/>
    <n v="0"/>
    <n v="0"/>
    <n v="0"/>
    <n v="4.8"/>
    <n v="5.3"/>
    <n v="50"/>
    <n v="106"/>
    <x v="4"/>
    <x v="0"/>
    <n v="22"/>
    <n v="2"/>
    <n v="16"/>
  </r>
  <r>
    <d v="2025-05-26T09:10:00"/>
    <s v="INYECTADO"/>
    <x v="10"/>
    <x v="92"/>
    <s v="ISABEL LINARIZ"/>
    <s v="VIRGEN"/>
    <s v="PP CLARIFICADO"/>
    <s v="."/>
    <x v="32"/>
    <s v="BASE ORGANIZADOR  DE 2KG CARAMELO-AZUL"/>
    <n v="167"/>
    <n v="2"/>
    <n v="9.1999999999999993"/>
    <s v="DIURNO"/>
    <m/>
    <n v="3"/>
    <n v="1117"/>
    <n v="21815"/>
    <s v="AZUL"/>
    <n v="0"/>
    <n v="0"/>
    <n v="0"/>
    <n v="8.35"/>
    <n v="9.1999999999999993"/>
    <n v="50"/>
    <n v="184"/>
    <x v="4"/>
    <x v="0"/>
    <n v="22"/>
    <n v="2"/>
    <n v="27.833333333333332"/>
  </r>
  <r>
    <d v="2025-05-26T09:10:00"/>
    <s v="INYECTADO"/>
    <x v="10"/>
    <x v="92"/>
    <s v="ISABEL LINARIZ"/>
    <s v="VIRGEN"/>
    <s v="PP CLARIFICADO"/>
    <s v="."/>
    <x v="59"/>
    <s v="BASE PORTA VAJILLA-TRANSPARENTE"/>
    <n v="60"/>
    <n v="1"/>
    <n v="24.4"/>
    <s v="DIURNO"/>
    <m/>
    <n v="1"/>
    <n v="1119"/>
    <n v="21815"/>
    <s v="TRANSPARENTE"/>
    <n v="0"/>
    <n v="0"/>
    <n v="0"/>
    <n v="22.56"/>
    <n v="24.4"/>
    <n v="376"/>
    <n v="64.893617021276597"/>
    <x v="4"/>
    <x v="0"/>
    <n v="22"/>
    <n v="1"/>
    <n v="5"/>
  </r>
  <r>
    <d v="2025-05-26T09:10:00"/>
    <s v="INYECTADO"/>
    <x v="10"/>
    <x v="92"/>
    <s v="JUAN MANUEL PEREZ"/>
    <s v="VIRGEN"/>
    <s v="PP CLARIFICADO"/>
    <s v="."/>
    <x v="59"/>
    <s v="BASE PORTA VAJILLA-TRANSPARENTE"/>
    <n v="720"/>
    <n v="7"/>
    <n v="283.7"/>
    <s v="NOCTURNO"/>
    <m/>
    <n v="24"/>
    <n v="1119"/>
    <n v="21816"/>
    <s v="TRANSPARENTE"/>
    <n v="56.3"/>
    <n v="0"/>
    <n v="0"/>
    <n v="270.72000000000003"/>
    <n v="283.7"/>
    <n v="376"/>
    <n v="754.52127659574467"/>
    <x v="4"/>
    <x v="0"/>
    <n v="22"/>
    <n v="1"/>
    <n v="60"/>
  </r>
  <r>
    <d v="2025-05-26T09:10:00"/>
    <s v="INYECTADO"/>
    <x v="10"/>
    <x v="102"/>
    <s v="LUIS RENGIFO"/>
    <s v="VIRGEN"/>
    <s v="PP CLARIFICADO"/>
    <s v="."/>
    <x v="59"/>
    <s v="BASE PORTA VAJILLA-TRANSPARENTE"/>
    <n v="900"/>
    <n v="10"/>
    <n v="351.1"/>
    <s v="DIURNO"/>
    <m/>
    <n v="27"/>
    <n v="1119"/>
    <n v="21817"/>
    <s v="TRANSPARENTE"/>
    <n v="0"/>
    <n v="0"/>
    <n v="0"/>
    <n v="338.4"/>
    <n v="351.1"/>
    <n v="376"/>
    <n v="933.77659574468089"/>
    <x v="4"/>
    <x v="0"/>
    <n v="22"/>
    <n v="1"/>
    <n v="75"/>
  </r>
  <r>
    <d v="2025-05-26T09:10:00"/>
    <s v="INYECTADO"/>
    <x v="10"/>
    <x v="102"/>
    <s v="JUAN MANUEL PEREZ"/>
    <s v="VIRGEN"/>
    <s v="PP CLARIFICADO"/>
    <s v="."/>
    <x v="59"/>
    <s v="BASE PORTA VAJILLA-TRANSPARENTE"/>
    <n v="393"/>
    <n v="3"/>
    <n v="365.7"/>
    <s v="NOCTURNO"/>
    <m/>
    <n v="31"/>
    <n v="1119"/>
    <n v="21818"/>
    <s v="TRANSPARENTE"/>
    <n v="0"/>
    <n v="0"/>
    <n v="0"/>
    <n v="147.768"/>
    <n v="365.7"/>
    <n v="376"/>
    <n v="972.60638297872345"/>
    <x v="4"/>
    <x v="0"/>
    <n v="22"/>
    <n v="1"/>
    <n v="32.75"/>
  </r>
  <r>
    <d v="2025-05-26T09:10:00"/>
    <s v="INYECTADO"/>
    <x v="10"/>
    <x v="103"/>
    <s v="GABRIEL REQUENA"/>
    <s v="VIRGEN"/>
    <s v="PP CLARIFICADO"/>
    <s v="."/>
    <x v="59"/>
    <s v="BASE PORTA VAJILLA-TRANSPARENTE"/>
    <n v="1102"/>
    <n v="11"/>
    <n v="423.9"/>
    <s v="DIURNO"/>
    <m/>
    <n v="34"/>
    <n v="1119"/>
    <n v="21819"/>
    <s v="TRANSPARENTE"/>
    <n v="13"/>
    <n v="0"/>
    <n v="0"/>
    <n v="414.35199999999998"/>
    <n v="423.9"/>
    <n v="376"/>
    <n v="1127.3936170212767"/>
    <x v="4"/>
    <x v="0"/>
    <n v="22"/>
    <n v="1"/>
    <n v="91.833333333333329"/>
  </r>
  <r>
    <d v="2025-05-26T09:10:00"/>
    <s v="INYECTADO"/>
    <x v="10"/>
    <x v="103"/>
    <s v="JOSDER GONZALEZ"/>
    <s v="VIRGEN"/>
    <s v="PP CLARIFICADO"/>
    <s v="."/>
    <x v="59"/>
    <s v="BASE PORTA VAJILLA-TRANSPARENTE"/>
    <n v="982"/>
    <n v="9"/>
    <n v="386"/>
    <s v="NOCTURNO"/>
    <m/>
    <n v="33"/>
    <n v="1119"/>
    <n v="21820"/>
    <s v="TRANSPARENTE"/>
    <n v="9.9"/>
    <n v="0"/>
    <n v="0"/>
    <n v="369.23200000000003"/>
    <n v="386"/>
    <n v="376"/>
    <n v="1026.5957446808511"/>
    <x v="4"/>
    <x v="0"/>
    <n v="22"/>
    <n v="1"/>
    <n v="81.833333333333329"/>
  </r>
  <r>
    <d v="2025-05-26T09:10:00"/>
    <s v="INYECTADO"/>
    <x v="10"/>
    <x v="95"/>
    <s v="GABRIEL ORDAZ"/>
    <s v="VIRGEN"/>
    <s v="PP CLARIFICADO"/>
    <s v="."/>
    <x v="59"/>
    <s v="BASE PORTA VAJILLA-TRANSPARENTE"/>
    <n v="256"/>
    <n v="2"/>
    <n v="99.5"/>
    <s v="DIURNO"/>
    <m/>
    <n v="9"/>
    <n v="1119"/>
    <n v="21821"/>
    <s v="TRANSPARENTE"/>
    <n v="6"/>
    <n v="0"/>
    <n v="0"/>
    <n v="96.256"/>
    <n v="99.5"/>
    <n v="376"/>
    <n v="264.62765957446811"/>
    <x v="4"/>
    <x v="0"/>
    <n v="22"/>
    <n v="1"/>
    <n v="21.333333333333332"/>
  </r>
  <r>
    <d v="2025-05-26T09:10:00"/>
    <s v="INYECTADO"/>
    <x v="10"/>
    <x v="95"/>
    <s v="JOSDER GONZALEZ"/>
    <s v="VIRGEN"/>
    <s v="PP CLARIFICADO"/>
    <s v="."/>
    <x v="59"/>
    <s v="BASE PORTA VAJILLA-TRANSPARENTE"/>
    <n v="1054"/>
    <n v="12"/>
    <n v="409.1"/>
    <s v="NOCTURNO"/>
    <m/>
    <n v="34"/>
    <n v="1119"/>
    <n v="21822"/>
    <s v="TRANSPARENTE"/>
    <n v="28.7"/>
    <n v="0"/>
    <n v="0"/>
    <n v="396.30399999999997"/>
    <n v="409.1"/>
    <n v="376"/>
    <n v="1088.0319148936171"/>
    <x v="4"/>
    <x v="0"/>
    <n v="22"/>
    <n v="1"/>
    <n v="87.833333333333329"/>
  </r>
  <r>
    <d v="2025-05-26T09:10:00"/>
    <s v="INYECTADO"/>
    <x v="10"/>
    <x v="106"/>
    <s v="GABRIEL REQUENA"/>
    <s v="VIRGEN"/>
    <s v="PP CLARIFICADO"/>
    <s v="."/>
    <x v="59"/>
    <s v="BASE PORTA VAJILLA-TRANSPARENTE"/>
    <n v="1090"/>
    <n v="12"/>
    <n v="416.8"/>
    <s v="DIURNO"/>
    <m/>
    <n v="36"/>
    <n v="1119"/>
    <n v="21823"/>
    <s v="TRANSPARENTE"/>
    <n v="0"/>
    <n v="0"/>
    <n v="0"/>
    <n v="409.84"/>
    <n v="416.8"/>
    <n v="376"/>
    <n v="1108.5106382978724"/>
    <x v="4"/>
    <x v="0"/>
    <n v="22"/>
    <n v="1"/>
    <n v="90.833333333333329"/>
  </r>
  <r>
    <d v="2025-05-26T09:10:00"/>
    <s v="INYECTADO"/>
    <x v="10"/>
    <x v="106"/>
    <s v="JOSDER GONZALEZ"/>
    <s v="VIRGEN"/>
    <s v="PP CLARIFICADO"/>
    <s v="."/>
    <x v="59"/>
    <s v="BASE PORTA VAJILLA-TRANSPARENTE"/>
    <n v="960"/>
    <n v="12"/>
    <n v="371.1"/>
    <s v="NOCTURNO"/>
    <m/>
    <n v="32"/>
    <n v="1119"/>
    <n v="21824"/>
    <s v="TRANSPARENTE"/>
    <n v="6.1"/>
    <n v="0"/>
    <n v="0"/>
    <n v="360.96"/>
    <n v="371.1"/>
    <n v="376"/>
    <n v="986.968085106383"/>
    <x v="4"/>
    <x v="0"/>
    <n v="22"/>
    <n v="1"/>
    <n v="80"/>
  </r>
  <r>
    <d v="2025-06-26T07:20:00"/>
    <s v="INYECTADO"/>
    <x v="4"/>
    <x v="111"/>
    <s v="LUIS PINEDO"/>
    <s v="SEGUNDA"/>
    <s v="."/>
    <s v="MIXTO"/>
    <x v="97"/>
    <s v="ASA DE TOMATODO ULTRA-PLOMO"/>
    <n v="335"/>
    <n v="2"/>
    <n v="4.7"/>
    <s v="DIURNO"/>
    <m/>
    <n v="1"/>
    <n v="1123"/>
    <n v="20452"/>
    <s v="PLOMO"/>
    <n v="0"/>
    <n v="0"/>
    <n v="0"/>
    <n v="1.0049999999999999"/>
    <n v="4.7"/>
    <n v="3"/>
    <n v="1566.6666666666667"/>
    <x v="5"/>
    <x v="0"/>
    <n v="23"/>
    <n v="4"/>
    <n v="111.66666666666667"/>
  </r>
  <r>
    <d v="2025-06-26T07:20:00"/>
    <s v="INYECTADO"/>
    <x v="4"/>
    <x v="112"/>
    <s v="ROSA MERINO"/>
    <s v="SEGUNDA"/>
    <s v="."/>
    <s v="MIXTO"/>
    <x v="97"/>
    <s v="ASA DE TOMATODO ULTRA-PLOMO"/>
    <n v="1400"/>
    <n v="10"/>
    <n v="18.2"/>
    <s v="DIURNO"/>
    <m/>
    <n v="10"/>
    <n v="1123"/>
    <n v="20453"/>
    <s v="PLOMO"/>
    <n v="8.9"/>
    <n v="0"/>
    <n v="0"/>
    <n v="4.2"/>
    <n v="18.2"/>
    <n v="3"/>
    <n v="6066.666666666667"/>
    <x v="5"/>
    <x v="0"/>
    <n v="23"/>
    <n v="4"/>
    <n v="466.66666666666669"/>
  </r>
  <r>
    <d v="2025-06-26T07:20:00"/>
    <s v="INYECTADO"/>
    <x v="4"/>
    <x v="113"/>
    <s v="GABRIEL ORDAZ"/>
    <s v="SEGUNDA"/>
    <s v="."/>
    <s v="MIXTO"/>
    <x v="97"/>
    <s v="ASA DE TOMATODO ULTRA-PLOMO"/>
    <n v="1192"/>
    <n v="10"/>
    <n v="15.5"/>
    <s v="DIURNO"/>
    <m/>
    <n v="1"/>
    <n v="1123"/>
    <n v="20454"/>
    <s v="PLOMO"/>
    <n v="8.8000000000000007"/>
    <n v="0"/>
    <n v="0"/>
    <n v="3.5760000000000001"/>
    <n v="15.5"/>
    <n v="3"/>
    <n v="5166.666666666667"/>
    <x v="5"/>
    <x v="0"/>
    <n v="24"/>
    <n v="4"/>
    <n v="397.33333333333331"/>
  </r>
  <r>
    <d v="2025-06-26T07:20:00"/>
    <s v="INYECTADO"/>
    <x v="4"/>
    <x v="114"/>
    <s v="GABRIEL ORDAZ"/>
    <s v="SEGUNDA"/>
    <s v="."/>
    <s v="MIXTO"/>
    <x v="97"/>
    <s v="ASA DE TOMATODO ULTRA-PLOMO"/>
    <n v="584"/>
    <n v="3"/>
    <n v="7.6"/>
    <s v="DIURNO"/>
    <m/>
    <n v="1"/>
    <n v="1123"/>
    <n v="20455"/>
    <s v="PLOMO"/>
    <n v="3.6"/>
    <n v="0"/>
    <n v="0"/>
    <n v="1.752"/>
    <n v="7.6"/>
    <n v="3"/>
    <n v="2533.3333333333335"/>
    <x v="5"/>
    <x v="0"/>
    <n v="25"/>
    <n v="4"/>
    <n v="194.66666666666666"/>
  </r>
  <r>
    <d v="2025-06-26T07:20:00"/>
    <s v="INYECTADO"/>
    <x v="4"/>
    <x v="115"/>
    <s v="CRISALIDA ZAPATA"/>
    <s v="SEGUNDA"/>
    <s v="."/>
    <s v="MIXTO"/>
    <x v="41"/>
    <s v="ASAS PRESION ORG 5,10,15 -PLOMO"/>
    <n v="1361"/>
    <n v="10"/>
    <n v="53.1"/>
    <s v="DIURNO"/>
    <m/>
    <n v="4"/>
    <n v="1123"/>
    <n v="20456"/>
    <s v="PLOMO"/>
    <n v="4.9000000000000004"/>
    <n v="0"/>
    <n v="0"/>
    <n v="13.61"/>
    <n v="53.1"/>
    <n v="10"/>
    <n v="5310"/>
    <x v="5"/>
    <x v="0"/>
    <n v="25"/>
    <n v="4"/>
    <n v="453.66666666666669"/>
  </r>
  <r>
    <d v="2025-06-26T07:20:00"/>
    <s v="INYECTADO"/>
    <x v="4"/>
    <x v="116"/>
    <s v="CELSO ALEJANDRO"/>
    <s v="SEGUNDA"/>
    <s v="."/>
    <s v="MIXTO"/>
    <x v="41"/>
    <s v="ASAS PRESION ORG 5,10,15 -PLOMO"/>
    <n v="1250"/>
    <n v="11"/>
    <n v="29.4"/>
    <s v="DIURNO"/>
    <m/>
    <n v="2"/>
    <n v="1123"/>
    <n v="20457"/>
    <s v="PLOMO"/>
    <n v="4.8"/>
    <n v="0"/>
    <n v="0"/>
    <n v="12.5"/>
    <n v="29.4"/>
    <n v="10"/>
    <n v="2940"/>
    <x v="5"/>
    <x v="0"/>
    <n v="25"/>
    <n v="4"/>
    <n v="416.66666666666669"/>
  </r>
  <r>
    <d v="2025-06-26T07:20:00"/>
    <s v="INYECTADO"/>
    <x v="4"/>
    <x v="117"/>
    <s v="CELSO ALEJANDRO"/>
    <s v="SEGUNDA"/>
    <s v="."/>
    <s v="MIXTO"/>
    <x v="41"/>
    <s v="ASAS PRESION ORG 5,10,15 -PLOMO"/>
    <n v="1394"/>
    <n v="10"/>
    <n v="54.4"/>
    <s v="DIURNO"/>
    <m/>
    <n v="4"/>
    <n v="1123"/>
    <n v="20458"/>
    <s v="PLOMO"/>
    <n v="4.8"/>
    <n v="0"/>
    <n v="0"/>
    <n v="13.94"/>
    <n v="54.4"/>
    <n v="10"/>
    <n v="5440"/>
    <x v="5"/>
    <x v="0"/>
    <n v="25"/>
    <n v="4"/>
    <n v="464.66666666666669"/>
  </r>
  <r>
    <d v="2025-06-26T07:20:00"/>
    <s v="INYECTADO"/>
    <x v="4"/>
    <x v="118"/>
    <s v="CELSO ALEJANDRO"/>
    <s v="SEGUNDA"/>
    <s v="."/>
    <s v="MIXTO"/>
    <x v="41"/>
    <s v="ASAS PRESION ORG 5,10,15 -PLOMO"/>
    <n v="530"/>
    <n v="5"/>
    <n v="20.7"/>
    <s v="DIURNO"/>
    <m/>
    <n v="2"/>
    <n v="1123"/>
    <n v="20459"/>
    <s v="PLOMO"/>
    <n v="3.5"/>
    <n v="0"/>
    <n v="0"/>
    <n v="5.3"/>
    <n v="20.7"/>
    <n v="10"/>
    <n v="2070"/>
    <x v="5"/>
    <x v="0"/>
    <n v="25"/>
    <n v="4"/>
    <n v="176.66666666666666"/>
  </r>
  <r>
    <d v="2025-06-26T07:20:00"/>
    <s v="INYECTADO"/>
    <x v="4"/>
    <x v="118"/>
    <s v="CELSO ALEJANDRO"/>
    <s v="SEGUNDA"/>
    <s v="."/>
    <s v="MIXTO"/>
    <x v="65"/>
    <s v="ASAS PRESION ORG 5,10,15 -ROSADO"/>
    <n v="289"/>
    <n v="3"/>
    <n v="11.3"/>
    <s v="DIURNO"/>
    <m/>
    <n v="1"/>
    <n v="1123"/>
    <n v="20459"/>
    <s v="ROSADO"/>
    <n v="1.7"/>
    <n v="0"/>
    <n v="0"/>
    <n v="2.89"/>
    <n v="11.3"/>
    <n v="10"/>
    <n v="1130"/>
    <x v="5"/>
    <x v="0"/>
    <n v="25"/>
    <n v="4"/>
    <n v="96.333333333333329"/>
  </r>
  <r>
    <d v="2025-06-26T07:20:00"/>
    <s v="INYECTADO"/>
    <x v="4"/>
    <x v="118"/>
    <s v="CELSO ALEJANDRO"/>
    <s v="SEGUNDA"/>
    <s v="."/>
    <s v="MIXTO"/>
    <x v="65"/>
    <s v="ASAS PRESION ORG 5,10,15 -LILA"/>
    <n v="292"/>
    <n v="3"/>
    <n v="11.4"/>
    <s v="DIURNO"/>
    <m/>
    <n v="1"/>
    <n v="1123"/>
    <n v="20459"/>
    <s v="LILA"/>
    <n v="4.9000000000000004"/>
    <n v="0"/>
    <n v="0"/>
    <n v="2.92"/>
    <n v="11.4"/>
    <n v="10"/>
    <n v="1140"/>
    <x v="5"/>
    <x v="0"/>
    <n v="25"/>
    <n v="4"/>
    <n v="97.333333333333329"/>
  </r>
  <r>
    <d v="2025-06-26T07:20:00"/>
    <s v="INYECTADO"/>
    <x v="4"/>
    <x v="119"/>
    <s v="CELSO ALEJANDRO"/>
    <s v="SEGUNDA"/>
    <s v="."/>
    <s v="MIXTO"/>
    <x v="65"/>
    <s v="ASAS PRESION ORG 5,10,15 -AZURE"/>
    <n v="276"/>
    <n v="3"/>
    <n v="10.9"/>
    <s v="DIURNO"/>
    <m/>
    <n v="1"/>
    <n v="1123"/>
    <n v="20460"/>
    <s v="AZURE"/>
    <n v="1.4"/>
    <n v="0"/>
    <n v="0"/>
    <n v="2.76"/>
    <n v="10.9"/>
    <n v="10"/>
    <n v="1090"/>
    <x v="5"/>
    <x v="0"/>
    <n v="25"/>
    <n v="4"/>
    <n v="92"/>
  </r>
  <r>
    <d v="2025-06-26T07:20:00"/>
    <s v="INYECTADO"/>
    <x v="4"/>
    <x v="119"/>
    <s v="CELSO ALEJANDRO"/>
    <s v="SEGUNDA"/>
    <s v="."/>
    <s v="MIXTO"/>
    <x v="65"/>
    <s v="ASAS PRESION ORG 5,10,15 -TURQUESA"/>
    <n v="164"/>
    <n v="2"/>
    <n v="6.4"/>
    <s v="DIURNO"/>
    <m/>
    <n v="1"/>
    <n v="1123"/>
    <n v="20460"/>
    <s v="TURQUESA"/>
    <n v="0"/>
    <n v="0"/>
    <n v="0"/>
    <n v="1.64"/>
    <n v="6.4"/>
    <n v="10"/>
    <n v="640"/>
    <x v="5"/>
    <x v="0"/>
    <n v="25"/>
    <n v="4"/>
    <n v="54.666666666666664"/>
  </r>
  <r>
    <d v="2025-06-26T07:20:00"/>
    <s v="INYECTADO"/>
    <x v="4"/>
    <x v="119"/>
    <s v="CELSO ALEJANDRO"/>
    <s v="SEGUNDA"/>
    <s v="."/>
    <s v="MIXTO"/>
    <x v="65"/>
    <s v="ASAS PRESION ORG 5,10,15 -SANDIA"/>
    <n v="302"/>
    <n v="3"/>
    <n v="11.8"/>
    <s v="DIURNO"/>
    <m/>
    <n v="2"/>
    <n v="1123"/>
    <n v="20460"/>
    <s v="SANDIA"/>
    <n v="0"/>
    <n v="0"/>
    <n v="0"/>
    <n v="3.02"/>
    <n v="11.8"/>
    <n v="10"/>
    <n v="1180"/>
    <x v="5"/>
    <x v="0"/>
    <n v="25"/>
    <n v="4"/>
    <n v="100.66666666666667"/>
  </r>
  <r>
    <d v="2025-06-26T07:20:00"/>
    <s v="INYECTADO"/>
    <x v="4"/>
    <x v="119"/>
    <s v="CELSO ALEJANDRO"/>
    <s v="SEGUNDA"/>
    <s v="."/>
    <s v="MIXTO"/>
    <x v="65"/>
    <s v="ASAS PRESION ORG 5,10,15 -CELESTE"/>
    <n v="302"/>
    <n v="3"/>
    <n v="11.8"/>
    <s v="DIURNO"/>
    <m/>
    <n v="2"/>
    <n v="1123"/>
    <n v="20460"/>
    <s v="CELESTE"/>
    <n v="3.2"/>
    <n v="0"/>
    <n v="0"/>
    <n v="3.02"/>
    <n v="11.8"/>
    <n v="10"/>
    <n v="1180"/>
    <x v="5"/>
    <x v="0"/>
    <n v="25"/>
    <n v="4"/>
    <n v="100.66666666666667"/>
  </r>
  <r>
    <d v="2025-06-26T07:20:00"/>
    <s v="INYECTADO"/>
    <x v="4"/>
    <x v="120"/>
    <s v="JUAN MANUEL PEREZ"/>
    <s v="SEGUNDA"/>
    <s v="."/>
    <s v="MIXTO"/>
    <x v="41"/>
    <s v="ASAS PRESION ORG 5,10,15 -PLOMO"/>
    <n v="1505"/>
    <n v="12"/>
    <n v="58.7"/>
    <s v="NOCTURNO"/>
    <m/>
    <n v="5"/>
    <n v="1123"/>
    <n v="20461"/>
    <s v="PLOMO"/>
    <n v="5.4"/>
    <n v="0"/>
    <n v="0"/>
    <n v="15.05"/>
    <n v="58.7"/>
    <n v="10"/>
    <n v="5870"/>
    <x v="5"/>
    <x v="0"/>
    <n v="26"/>
    <n v="4"/>
    <n v="501.66666666666669"/>
  </r>
  <r>
    <d v="2025-06-26T07:20:00"/>
    <s v="INYECTADO"/>
    <x v="5"/>
    <x v="121"/>
    <s v="GABRIEL REQUENA"/>
    <s v="VIRGEN"/>
    <s v="ALTA INYECCION"/>
    <s v="."/>
    <x v="7"/>
    <s v="ASAS DE ORGANIZADOR 2 Y 3-ROJO"/>
    <n v="978"/>
    <n v="7"/>
    <n v="31.3"/>
    <s v="DIURNO"/>
    <m/>
    <n v="3"/>
    <n v="1138"/>
    <n v="20390"/>
    <s v="ROJO"/>
    <n v="5.4"/>
    <n v="0"/>
    <n v="0"/>
    <n v="10.757999999999999"/>
    <n v="31.3"/>
    <n v="11"/>
    <n v="2845.4545454545455"/>
    <x v="5"/>
    <x v="0"/>
    <n v="23"/>
    <n v="3"/>
    <n v="244.5"/>
  </r>
  <r>
    <d v="2025-06-26T07:20:00"/>
    <s v="INYECTADO"/>
    <x v="5"/>
    <x v="122"/>
    <s v="GABRIEL REQUENA"/>
    <s v="VIRGEN"/>
    <s v="ALTA INYECCION"/>
    <s v="."/>
    <x v="7"/>
    <s v="ASAS DE ORGANIZADOR 2 Y 3-ROJO"/>
    <n v="1637"/>
    <n v="10"/>
    <n v="52.4"/>
    <s v="DIURNO"/>
    <m/>
    <n v="6"/>
    <n v="1138"/>
    <n v="20391"/>
    <s v="ROJO"/>
    <n v="17.2"/>
    <n v="0"/>
    <n v="0"/>
    <n v="18.007000000000001"/>
    <n v="52.4"/>
    <n v="11"/>
    <n v="4763.636363636364"/>
    <x v="5"/>
    <x v="0"/>
    <n v="23"/>
    <n v="3"/>
    <n v="409.25"/>
  </r>
  <r>
    <d v="2025-06-26T07:20:00"/>
    <s v="INYECTADO"/>
    <x v="5"/>
    <x v="123"/>
    <s v="JUAN MANUEL PEREZ"/>
    <s v="VIRGEN"/>
    <s v="ALTA INYECCION"/>
    <s v="."/>
    <x v="7"/>
    <s v="ASAS DE ORGANIZADOR 2 Y 3-AZUL"/>
    <n v="1496"/>
    <n v="12"/>
    <n v="47.9"/>
    <s v="NOCTURNO"/>
    <m/>
    <n v="5"/>
    <n v="1138"/>
    <n v="20392"/>
    <s v="AZUL"/>
    <n v="16"/>
    <n v="0"/>
    <n v="0"/>
    <n v="16.456"/>
    <n v="47.9"/>
    <n v="11"/>
    <n v="4354.545454545455"/>
    <x v="5"/>
    <x v="0"/>
    <n v="26"/>
    <n v="3"/>
    <n v="374"/>
  </r>
  <r>
    <d v="2025-06-26T07:20:00"/>
    <s v="INYECTADO"/>
    <x v="5"/>
    <x v="124"/>
    <s v="CELSO ALEJANDRO"/>
    <s v="VIRGEN"/>
    <s v="ALTA INYECCION"/>
    <s v="."/>
    <x v="7"/>
    <s v="ASAS DE ORGANIZADOR 2 Y 3-AZUL"/>
    <n v="221"/>
    <n v="3"/>
    <n v="7.1"/>
    <s v="DIURNO"/>
    <m/>
    <n v="1"/>
    <n v="1138"/>
    <n v="20393"/>
    <s v="AZUL"/>
    <n v="0"/>
    <n v="0"/>
    <n v="0"/>
    <n v="2.431"/>
    <n v="7.1"/>
    <n v="11"/>
    <n v="645.4545454545455"/>
    <x v="5"/>
    <x v="0"/>
    <n v="26"/>
    <n v="3"/>
    <n v="55.25"/>
  </r>
  <r>
    <d v="2025-06-26T07:20:00"/>
    <s v="INYECTADO"/>
    <x v="5"/>
    <x v="124"/>
    <s v="CELSO ALEJANDRO"/>
    <s v="VIRGEN"/>
    <s v="ALTA INYECCION"/>
    <s v="."/>
    <x v="7"/>
    <s v="ASAS DE ORGANIZADOR 2 Y 3-AMARILLO"/>
    <n v="1237"/>
    <n v="8"/>
    <n v="39.6"/>
    <s v="DIURNO"/>
    <m/>
    <n v="4"/>
    <n v="1138"/>
    <n v="20393"/>
    <s v="AMARILLO"/>
    <n v="12.1"/>
    <n v="0"/>
    <n v="0"/>
    <n v="13.606999999999999"/>
    <n v="39.6"/>
    <n v="11"/>
    <n v="3600"/>
    <x v="5"/>
    <x v="0"/>
    <n v="26"/>
    <n v="3"/>
    <n v="309.25"/>
  </r>
  <r>
    <d v="2025-06-26T07:20:00"/>
    <s v="INYECTADO"/>
    <x v="5"/>
    <x v="125"/>
    <s v="CELSO ALEJANDRO"/>
    <s v="VIRGEN"/>
    <s v="ALTA INYECCION"/>
    <s v="."/>
    <x v="7"/>
    <s v="ASAS DE ORGANIZADOR 2 Y 3-AMARILLO"/>
    <n v="459"/>
    <n v="4"/>
    <n v="14.7"/>
    <s v="DIURNO"/>
    <m/>
    <n v="2"/>
    <n v="1138"/>
    <n v="20394"/>
    <s v="AMARILLO"/>
    <n v="9.9"/>
    <n v="0"/>
    <n v="0"/>
    <n v="5.0490000000000004"/>
    <n v="14.7"/>
    <n v="11"/>
    <n v="1336.3636363636363"/>
    <x v="5"/>
    <x v="0"/>
    <n v="26"/>
    <n v="3"/>
    <n v="114.75"/>
  </r>
  <r>
    <d v="2025-06-26T07:20:00"/>
    <s v="INYECTADO"/>
    <x v="5"/>
    <x v="125"/>
    <s v="CELSO ALEJANDRO"/>
    <s v="VIRGEN"/>
    <s v="ALTA INYECCION"/>
    <s v="."/>
    <x v="7"/>
    <s v="ASAS DE ORGANIZADOR 2 Y 3-FUCSIA"/>
    <n v="778"/>
    <n v="6"/>
    <n v="24.9"/>
    <s v="DIURNO"/>
    <m/>
    <n v="3"/>
    <n v="1138"/>
    <n v="20394"/>
    <s v="FUCSIA"/>
    <n v="12.4"/>
    <n v="0"/>
    <n v="0"/>
    <n v="8.5579999999999998"/>
    <n v="24.9"/>
    <n v="11"/>
    <n v="2263.6363636363635"/>
    <x v="5"/>
    <x v="0"/>
    <n v="26"/>
    <n v="3"/>
    <n v="194.5"/>
  </r>
  <r>
    <d v="2025-06-26T07:20:00"/>
    <s v="INYECTADO"/>
    <x v="5"/>
    <x v="125"/>
    <s v="JOSDER GONZALEZ"/>
    <s v="VIRGEN"/>
    <s v="ALTA INYECCION"/>
    <s v="."/>
    <x v="7"/>
    <s v="ASAS DE ORGANIZADOR 2 Y 3-FUCSIA"/>
    <n v="715"/>
    <n v="5"/>
    <n v="22.9"/>
    <s v="NOCTURNO"/>
    <m/>
    <n v="3"/>
    <n v="1138"/>
    <n v="20395"/>
    <s v="FUCSIA"/>
    <n v="9.5"/>
    <n v="0"/>
    <n v="0"/>
    <n v="7.8650000000000002"/>
    <n v="22.9"/>
    <n v="11"/>
    <n v="2081.818181818182"/>
    <x v="5"/>
    <x v="0"/>
    <n v="26"/>
    <n v="3"/>
    <n v="178.75"/>
  </r>
  <r>
    <d v="2025-06-26T07:20:00"/>
    <s v="INYECTADO"/>
    <x v="5"/>
    <x v="125"/>
    <s v="JOSDER GONZALEZ"/>
    <s v="VIRGEN"/>
    <s v="ALTA INYECCION"/>
    <s v="."/>
    <x v="7"/>
    <s v="ASAS DE ORGANIZADOR 2 Y 3-LILA"/>
    <n v="996"/>
    <n v="6"/>
    <n v="31.9"/>
    <s v="NOCTURNO"/>
    <m/>
    <n v="2"/>
    <n v="1138"/>
    <n v="20395"/>
    <s v="LILA"/>
    <n v="11.4"/>
    <n v="0"/>
    <n v="0"/>
    <n v="10.956"/>
    <n v="31.9"/>
    <n v="11"/>
    <n v="2900"/>
    <x v="5"/>
    <x v="0"/>
    <n v="26"/>
    <n v="3"/>
    <n v="249"/>
  </r>
  <r>
    <d v="2025-06-26T07:20:00"/>
    <s v="INYECTADO"/>
    <x v="5"/>
    <x v="120"/>
    <s v="GABRIEL ORDAZ"/>
    <s v="VIRGEN"/>
    <s v="ALTA INYECCION"/>
    <s v="."/>
    <x v="7"/>
    <s v="ASAS DE ORGANIZADOR 2 Y 3-LILA"/>
    <n v="131"/>
    <n v="1"/>
    <n v="4.2"/>
    <s v="DIURNO"/>
    <m/>
    <n v="2"/>
    <n v="1138"/>
    <n v="20396"/>
    <s v="LILA"/>
    <n v="5.4"/>
    <n v="0"/>
    <n v="0"/>
    <n v="1.4410000000000001"/>
    <n v="4.2"/>
    <n v="11"/>
    <n v="381.81818181818181"/>
    <x v="5"/>
    <x v="0"/>
    <n v="26"/>
    <n v="3"/>
    <n v="32.75"/>
  </r>
  <r>
    <d v="2025-06-26T07:20:00"/>
    <s v="INYECTADO"/>
    <x v="5"/>
    <x v="120"/>
    <s v="GABRIEL ORDAZ"/>
    <s v="VIRGEN"/>
    <s v="ALTA INYECCION"/>
    <s v="."/>
    <x v="7"/>
    <s v="ASAS DE ORGANIZADOR 2 Y 3-VERDE"/>
    <n v="1143"/>
    <n v="7"/>
    <n v="36.6"/>
    <s v="DIURNO"/>
    <m/>
    <n v="1"/>
    <n v="1138"/>
    <n v="20396"/>
    <s v="VERDE"/>
    <n v="16"/>
    <n v="0"/>
    <n v="0"/>
    <n v="12.573"/>
    <n v="36.6"/>
    <n v="11"/>
    <n v="3327.2727272727275"/>
    <x v="5"/>
    <x v="0"/>
    <n v="26"/>
    <n v="3"/>
    <n v="285.75"/>
  </r>
  <r>
    <d v="2025-06-26T07:20:00"/>
    <s v="INYECTADO"/>
    <x v="5"/>
    <x v="120"/>
    <s v="GABRIEL ORDAZ"/>
    <s v="VIRGEN"/>
    <s v="ALTA INYECCION"/>
    <s v="."/>
    <x v="7"/>
    <s v="ASAS DE ORGANIZADOR 2 Y 3-ROJO"/>
    <n v="171"/>
    <n v="2"/>
    <n v="5.5"/>
    <s v="DIURNO"/>
    <m/>
    <n v="1"/>
    <n v="1138"/>
    <n v="20396"/>
    <s v="ROJO"/>
    <n v="3.8"/>
    <n v="0"/>
    <n v="0"/>
    <n v="1.881"/>
    <n v="5.5"/>
    <n v="11"/>
    <n v="500"/>
    <x v="5"/>
    <x v="0"/>
    <n v="26"/>
    <n v="3"/>
    <n v="42.75"/>
  </r>
  <r>
    <d v="2025-06-26T07:20:00"/>
    <s v="INYECTADO"/>
    <x v="0"/>
    <x v="126"/>
    <s v="NELSON PINEDO"/>
    <s v="SEGUNDA"/>
    <s v="."/>
    <s v="MIXTO"/>
    <x v="8"/>
    <s v="EMBUDO #1-AMARILLO"/>
    <n v="508"/>
    <n v="5"/>
    <n v="41.7"/>
    <s v="DIURNO"/>
    <m/>
    <n v="3"/>
    <n v="1130"/>
    <n v="21710"/>
    <s v="AMARILLO"/>
    <n v="9.3000000000000007"/>
    <n v="0"/>
    <n v="0"/>
    <n v="11.176"/>
    <n v="41.7"/>
    <n v="22"/>
    <n v="1895.4545454545455"/>
    <x v="5"/>
    <x v="0"/>
    <n v="24"/>
    <n v="4"/>
    <n v="169.33333333333334"/>
  </r>
  <r>
    <d v="2025-06-26T07:20:00"/>
    <s v="INYECTADO"/>
    <x v="0"/>
    <x v="126"/>
    <s v="NELSON PINEDO"/>
    <s v="SEGUNDA"/>
    <s v="."/>
    <s v="MIXTO"/>
    <x v="8"/>
    <s v="EMBUDO #1-VERDE"/>
    <n v="492"/>
    <n v="6"/>
    <n v="39.9"/>
    <s v="DIURNO"/>
    <m/>
    <n v="3"/>
    <n v="1130"/>
    <n v="21710"/>
    <s v="VERDE"/>
    <n v="8.1"/>
    <n v="0"/>
    <n v="0"/>
    <n v="10.824"/>
    <n v="39.9"/>
    <n v="22"/>
    <n v="1813.6363636363637"/>
    <x v="5"/>
    <x v="0"/>
    <n v="24"/>
    <n v="4"/>
    <n v="164"/>
  </r>
  <r>
    <d v="2025-06-26T07:20:00"/>
    <s v="INYECTADO"/>
    <x v="0"/>
    <x v="126"/>
    <s v="JOSDER GONZALEZ"/>
    <s v="SEGUNDA"/>
    <s v="."/>
    <s v="MIXTO"/>
    <x v="8"/>
    <s v="EMBUDO #1-AZUL"/>
    <n v="520"/>
    <n v="6"/>
    <n v="42.7"/>
    <s v="NOCTURNO"/>
    <m/>
    <n v="3"/>
    <n v="1130"/>
    <n v="21711"/>
    <s v="AZURE"/>
    <n v="10.1"/>
    <n v="0"/>
    <n v="0"/>
    <n v="11.44"/>
    <n v="42.7"/>
    <n v="22"/>
    <n v="1940.909090909091"/>
    <x v="5"/>
    <x v="0"/>
    <n v="24"/>
    <n v="4"/>
    <n v="173.33333333333334"/>
  </r>
  <r>
    <d v="2025-06-26T07:20:00"/>
    <s v="INYECTADO"/>
    <x v="0"/>
    <x v="126"/>
    <s v="JOSDER GONZALEZ"/>
    <s v="SEGUNDA"/>
    <s v="."/>
    <s v="MIXTO"/>
    <x v="8"/>
    <s v="EMBUDO #1-ROJO"/>
    <n v="142"/>
    <n v="2"/>
    <n v="11.7"/>
    <s v="NOCTURNO"/>
    <m/>
    <n v="1"/>
    <n v="1130"/>
    <n v="21711"/>
    <s v="ROJO"/>
    <n v="2.4"/>
    <n v="0"/>
    <n v="0"/>
    <n v="3.1240000000000001"/>
    <n v="11.7"/>
    <n v="22"/>
    <n v="531.81818181818187"/>
    <x v="5"/>
    <x v="0"/>
    <n v="24"/>
    <n v="4"/>
    <n v="47.333333333333336"/>
  </r>
  <r>
    <d v="2025-06-26T07:20:00"/>
    <s v="INYECTADO"/>
    <x v="0"/>
    <x v="127"/>
    <s v="LUIS RENGIFO"/>
    <s v="SEGUNDA"/>
    <s v="."/>
    <s v="MIXTO"/>
    <x v="8"/>
    <s v="EMBUDO #1-ROJO"/>
    <n v="369"/>
    <n v="4"/>
    <n v="18.600000000000001"/>
    <s v="DIURNO"/>
    <m/>
    <n v="2"/>
    <n v="1130"/>
    <n v="21712"/>
    <s v="ROJO"/>
    <n v="7.8"/>
    <n v="0"/>
    <n v="0"/>
    <n v="8.1180000000000003"/>
    <n v="18.600000000000001"/>
    <n v="22"/>
    <n v="845.4545454545455"/>
    <x v="5"/>
    <x v="0"/>
    <n v="24"/>
    <n v="4"/>
    <n v="123"/>
  </r>
  <r>
    <d v="2025-06-26T07:20:00"/>
    <s v="INYECTADO"/>
    <x v="0"/>
    <x v="127"/>
    <s v="LUIS RENGIFO"/>
    <s v="SEGUNDA"/>
    <s v="."/>
    <s v="MIXTO"/>
    <x v="8"/>
    <s v="EMBUDO #1-FUCSIA"/>
    <n v="340"/>
    <n v="4"/>
    <n v="27.9"/>
    <s v="DIURNO"/>
    <m/>
    <n v="2"/>
    <n v="1130"/>
    <n v="21712"/>
    <s v="FUCSIA"/>
    <n v="4.8"/>
    <n v="0"/>
    <n v="0"/>
    <n v="7.48"/>
    <n v="27.9"/>
    <n v="22"/>
    <n v="1268.1818181818182"/>
    <x v="5"/>
    <x v="0"/>
    <n v="24"/>
    <n v="4"/>
    <n v="113.33333333333333"/>
  </r>
  <r>
    <d v="2025-06-26T07:20:00"/>
    <s v="INYECTADO"/>
    <x v="0"/>
    <x v="127"/>
    <s v="LUIS RENGIFO"/>
    <s v="SEGUNDA"/>
    <s v="."/>
    <s v="MIXTO"/>
    <x v="8"/>
    <s v="EMBUDO #1-LILA"/>
    <n v="345"/>
    <n v="3"/>
    <n v="28.3"/>
    <s v="DIURNO"/>
    <m/>
    <n v="2"/>
    <n v="1130"/>
    <n v="21712"/>
    <s v="LILA"/>
    <n v="4.5"/>
    <n v="0"/>
    <n v="0"/>
    <n v="7.59"/>
    <n v="28.3"/>
    <n v="22"/>
    <n v="1286.3636363636363"/>
    <x v="5"/>
    <x v="0"/>
    <n v="24"/>
    <n v="4"/>
    <n v="115"/>
  </r>
  <r>
    <d v="2025-06-26T07:20:00"/>
    <s v="INYECTADO"/>
    <x v="0"/>
    <x v="114"/>
    <s v="LUIS PINEDO"/>
    <s v="SEGUNDA"/>
    <s v="."/>
    <s v="MIXTO"/>
    <x v="8"/>
    <s v="EMBUDO #1-LILA"/>
    <n v="745"/>
    <n v="9"/>
    <n v="61.1"/>
    <s v="DIURNO"/>
    <m/>
    <n v="5"/>
    <n v="1130"/>
    <n v="21713"/>
    <s v="LILA"/>
    <n v="13.5"/>
    <n v="0"/>
    <n v="0"/>
    <n v="16.39"/>
    <n v="61.1"/>
    <n v="22"/>
    <n v="2777.2727272727275"/>
    <x v="5"/>
    <x v="0"/>
    <n v="25"/>
    <n v="4"/>
    <n v="248.33333333333334"/>
  </r>
  <r>
    <d v="2025-06-26T07:20:00"/>
    <s v="INYECTADO"/>
    <x v="0"/>
    <x v="114"/>
    <s v="LUIS PINEDO"/>
    <s v="SEGUNDA"/>
    <s v="."/>
    <s v="MIXTO"/>
    <x v="8"/>
    <s v="EMBUDO #1-AMARILLO"/>
    <n v="274"/>
    <n v="1"/>
    <n v="22.5"/>
    <s v="DIURNO"/>
    <m/>
    <n v="2"/>
    <n v="1130"/>
    <n v="21713"/>
    <s v="AMARILLO"/>
    <n v="5"/>
    <n v="0"/>
    <n v="0"/>
    <n v="6.0279999999999996"/>
    <n v="22.5"/>
    <n v="22"/>
    <n v="1022.7272727272727"/>
    <x v="5"/>
    <x v="0"/>
    <n v="25"/>
    <n v="4"/>
    <n v="91.333333333333329"/>
  </r>
  <r>
    <d v="2025-06-26T07:20:00"/>
    <s v="INYECTADO"/>
    <x v="0"/>
    <x v="115"/>
    <s v="ISABEL LINARIZ"/>
    <s v="SEGUNDA"/>
    <s v="."/>
    <s v="MIXTO"/>
    <x v="8"/>
    <s v="EMBUDO #1-AMARILLO"/>
    <n v="350"/>
    <n v="4"/>
    <n v="21.1"/>
    <s v="DIURNO"/>
    <m/>
    <n v="2"/>
    <n v="1130"/>
    <n v="21714"/>
    <s v="AMARILLO"/>
    <n v="4.3"/>
    <n v="0"/>
    <n v="0"/>
    <n v="7.7"/>
    <n v="21.1"/>
    <n v="22"/>
    <n v="959.09090909090912"/>
    <x v="5"/>
    <x v="0"/>
    <n v="25"/>
    <n v="4"/>
    <n v="116.66666666666667"/>
  </r>
  <r>
    <d v="2025-06-26T07:20:00"/>
    <s v="INYECTADO"/>
    <x v="0"/>
    <x v="115"/>
    <s v="ISABEL LINARIZ"/>
    <s v="SEGUNDA"/>
    <s v="."/>
    <s v="MIXTO"/>
    <x v="8"/>
    <s v="EMBUDO #1-VERDE"/>
    <n v="525"/>
    <n v="5"/>
    <n v="43.1"/>
    <s v="DIURNO"/>
    <m/>
    <n v="3"/>
    <n v="1130"/>
    <n v="21714"/>
    <s v="VERDE"/>
    <n v="9.8000000000000007"/>
    <n v="0"/>
    <n v="0"/>
    <n v="11.55"/>
    <n v="43.1"/>
    <n v="22"/>
    <n v="1959.090909090909"/>
    <x v="5"/>
    <x v="0"/>
    <n v="25"/>
    <n v="4"/>
    <n v="175"/>
  </r>
  <r>
    <d v="2025-06-26T07:20:00"/>
    <s v="INYECTADO"/>
    <x v="0"/>
    <x v="115"/>
    <s v="ISABEL LINARIZ"/>
    <s v="SEGUNDA"/>
    <s v="."/>
    <s v="MIXTO"/>
    <x v="8"/>
    <s v="EMBUDO #1-FUCSIA"/>
    <n v="32"/>
    <n v="1"/>
    <n v="2.7"/>
    <s v="DIURNO"/>
    <m/>
    <n v="1"/>
    <n v="1130"/>
    <n v="21714"/>
    <s v="FUCSIA"/>
    <n v="1.1000000000000001"/>
    <n v="0"/>
    <n v="0"/>
    <n v="0.70399999999999996"/>
    <n v="2.7"/>
    <n v="22"/>
    <n v="122.72727272727273"/>
    <x v="5"/>
    <x v="0"/>
    <n v="25"/>
    <n v="4"/>
    <n v="10.666666666666666"/>
  </r>
  <r>
    <d v="2025-06-26T07:20:00"/>
    <s v="INYECTADO"/>
    <x v="0"/>
    <x v="115"/>
    <s v="GABRIEL REQUENA"/>
    <s v="SEGUNDA"/>
    <s v="."/>
    <s v="MIXTO"/>
    <x v="8"/>
    <s v="EMBUDO #1-FUCSIA"/>
    <n v="358"/>
    <n v="3"/>
    <n v="29.4"/>
    <s v="NOCTURNO"/>
    <m/>
    <n v="2"/>
    <n v="1130"/>
    <n v="21716"/>
    <s v="FUCSIA"/>
    <n v="0"/>
    <n v="0"/>
    <n v="0"/>
    <n v="7.8760000000000003"/>
    <n v="29.4"/>
    <n v="22"/>
    <n v="1336.3636363636363"/>
    <x v="5"/>
    <x v="0"/>
    <n v="25"/>
    <n v="4"/>
    <n v="119.33333333333333"/>
  </r>
  <r>
    <d v="2025-06-26T07:20:00"/>
    <s v="INYECTADO"/>
    <x v="0"/>
    <x v="116"/>
    <s v="GABRIEL ORDAZ"/>
    <s v="SEGUNDA"/>
    <s v="."/>
    <s v="MIXTO"/>
    <x v="8"/>
    <s v="EMBUDO #1-FUCSIA"/>
    <n v="57"/>
    <n v="1"/>
    <n v="4.7"/>
    <s v="DIURNO"/>
    <m/>
    <n v="1"/>
    <n v="1130"/>
    <n v="21717"/>
    <s v="FUCSIA"/>
    <n v="3.5"/>
    <n v="0"/>
    <n v="0"/>
    <n v="1.254"/>
    <n v="4.7"/>
    <n v="22"/>
    <n v="213.63636363636363"/>
    <x v="5"/>
    <x v="0"/>
    <n v="25"/>
    <n v="4"/>
    <n v="19"/>
  </r>
  <r>
    <d v="2025-06-26T07:20:00"/>
    <s v="INYECTADO"/>
    <x v="0"/>
    <x v="116"/>
    <s v="GABRIEL ORDAZ"/>
    <s v="SEGUNDA"/>
    <s v="."/>
    <s v="MIXTO"/>
    <x v="8"/>
    <s v="EMBUDO #1-ROJO"/>
    <n v="389"/>
    <n v="5"/>
    <n v="31.9"/>
    <s v="DIURNO"/>
    <m/>
    <n v="3"/>
    <n v="1130"/>
    <n v="21717"/>
    <s v="ROJO"/>
    <n v="7.3"/>
    <n v="0"/>
    <n v="0"/>
    <n v="8.5579999999999998"/>
    <n v="31.9"/>
    <n v="22"/>
    <n v="1450"/>
    <x v="5"/>
    <x v="0"/>
    <n v="25"/>
    <n v="4"/>
    <n v="129.66666666666666"/>
  </r>
  <r>
    <d v="2025-06-26T07:20:00"/>
    <s v="INYECTADO"/>
    <x v="0"/>
    <x v="116"/>
    <s v="GABRIEL ORDAZ"/>
    <s v="SEGUNDA"/>
    <s v="."/>
    <s v="MIXTO"/>
    <x v="8"/>
    <s v="EMBUDO #1-AZUL"/>
    <n v="126"/>
    <n v="5"/>
    <n v="10.4"/>
    <s v="DIURNO"/>
    <m/>
    <n v="1"/>
    <n v="1130"/>
    <n v="21717"/>
    <s v="AZUL"/>
    <n v="0"/>
    <n v="0"/>
    <n v="0"/>
    <n v="2.7719999999999998"/>
    <n v="10.4"/>
    <n v="22"/>
    <n v="472.72727272727275"/>
    <x v="5"/>
    <x v="0"/>
    <n v="25"/>
    <n v="4"/>
    <n v="42"/>
  </r>
  <r>
    <d v="2025-06-26T07:20:00"/>
    <s v="INYECTADO"/>
    <x v="0"/>
    <x v="116"/>
    <s v="SAID VILLAMIZAR"/>
    <s v="SEGUNDA"/>
    <s v="."/>
    <s v="MIXTO"/>
    <x v="8"/>
    <s v="EMBUDO #1-AZUL"/>
    <n v="246"/>
    <n v="3"/>
    <n v="20.5"/>
    <s v="DIURNO"/>
    <m/>
    <n v="2"/>
    <n v="1130"/>
    <n v="21718"/>
    <s v="AZUL"/>
    <n v="0"/>
    <n v="0"/>
    <n v="0"/>
    <n v="5.4119999999999999"/>
    <n v="20.5"/>
    <n v="22"/>
    <n v="931.81818181818187"/>
    <x v="5"/>
    <x v="0"/>
    <n v="25"/>
    <n v="4"/>
    <n v="82"/>
  </r>
  <r>
    <d v="2025-06-26T07:20:00"/>
    <s v="INYECTADO"/>
    <x v="0"/>
    <x v="128"/>
    <s v="JOSDER GONZALEZ"/>
    <s v="SEGUNDA"/>
    <s v="."/>
    <s v="MIXTO"/>
    <x v="8"/>
    <s v="EMBUDO #1-AZUL"/>
    <n v="450"/>
    <n v="6"/>
    <n v="39.9"/>
    <s v="NOCTURNO"/>
    <m/>
    <n v="3"/>
    <n v="1130"/>
    <n v="21719"/>
    <s v="AZUL"/>
    <n v="10"/>
    <n v="0"/>
    <n v="0"/>
    <n v="9.9"/>
    <n v="39.9"/>
    <n v="22"/>
    <n v="1813.6363636363637"/>
    <x v="5"/>
    <x v="0"/>
    <n v="26"/>
    <n v="4"/>
    <n v="150"/>
  </r>
  <r>
    <d v="2025-06-26T07:20:00"/>
    <s v="INYECTADO"/>
    <x v="0"/>
    <x v="128"/>
    <s v="JOSDER GONZALEZ"/>
    <s v="SEGUNDA"/>
    <s v="."/>
    <s v="MIXTO"/>
    <x v="8"/>
    <s v="EMBUDO #1-FUCSIA"/>
    <n v="537"/>
    <n v="6"/>
    <n v="45.1"/>
    <s v="NOCTURNO"/>
    <m/>
    <n v="3"/>
    <n v="1130"/>
    <n v="21719"/>
    <s v="FUCSIA"/>
    <n v="10.1"/>
    <n v="0"/>
    <n v="0"/>
    <n v="11.814"/>
    <n v="45.1"/>
    <n v="22"/>
    <n v="2050"/>
    <x v="5"/>
    <x v="0"/>
    <n v="26"/>
    <n v="4"/>
    <n v="179"/>
  </r>
  <r>
    <d v="2025-06-26T07:20:00"/>
    <s v="INYECTADO"/>
    <x v="0"/>
    <x v="128"/>
    <s v="JOSDER GONZALEZ"/>
    <s v="SEGUNDA"/>
    <s v="."/>
    <s v="MIXTO"/>
    <x v="8"/>
    <s v="EMBUDO #1-VERDE"/>
    <n v="40"/>
    <n v="1"/>
    <n v="3.4"/>
    <s v="NOCTURNO"/>
    <m/>
    <n v="1"/>
    <n v="1130"/>
    <n v="21719"/>
    <s v="VERDE"/>
    <n v="0"/>
    <n v="0"/>
    <n v="0"/>
    <n v="0.88"/>
    <n v="3.4"/>
    <n v="22"/>
    <n v="154.54545454545453"/>
    <x v="5"/>
    <x v="0"/>
    <n v="26"/>
    <n v="4"/>
    <n v="13.333333333333334"/>
  </r>
  <r>
    <d v="2025-06-26T07:20:00"/>
    <s v="INYECTADO"/>
    <x v="0"/>
    <x v="123"/>
    <s v="JUANA CRUCES"/>
    <s v="SEGUNDA"/>
    <s v="."/>
    <s v="MIXTO"/>
    <x v="8"/>
    <s v="EMBUDO #1-VERDE"/>
    <n v="528"/>
    <n v="5"/>
    <n v="42.8"/>
    <s v="DIURNO"/>
    <m/>
    <n v="3"/>
    <n v="1130"/>
    <n v="21720"/>
    <s v="VERDE"/>
    <n v="12.4"/>
    <n v="0"/>
    <n v="0"/>
    <n v="11.616"/>
    <n v="42.8"/>
    <n v="22"/>
    <n v="1945.4545454545455"/>
    <x v="5"/>
    <x v="0"/>
    <n v="26"/>
    <n v="4"/>
    <n v="176"/>
  </r>
  <r>
    <d v="2025-06-26T07:20:00"/>
    <s v="INYECTADO"/>
    <x v="0"/>
    <x v="123"/>
    <s v="JUANA CRUCES"/>
    <s v="SEGUNDA"/>
    <s v="."/>
    <s v="MIXTO"/>
    <x v="8"/>
    <s v="EMBUDO #1-AMARILLO"/>
    <n v="343"/>
    <n v="4"/>
    <n v="27.8"/>
    <s v="DIURNO"/>
    <m/>
    <n v="3"/>
    <n v="1130"/>
    <n v="21720"/>
    <s v="AMARILLO"/>
    <n v="7.7"/>
    <n v="0"/>
    <n v="0"/>
    <n v="7.5460000000000003"/>
    <n v="27.8"/>
    <n v="22"/>
    <n v="1263.6363636363637"/>
    <x v="5"/>
    <x v="0"/>
    <n v="26"/>
    <n v="4"/>
    <n v="114.33333333333333"/>
  </r>
  <r>
    <d v="2025-06-26T07:20:00"/>
    <s v="INYECTADO"/>
    <x v="0"/>
    <x v="123"/>
    <s v="JUANA CRUCES"/>
    <s v="SEGUNDA"/>
    <s v="."/>
    <s v="MIXTO"/>
    <x v="8"/>
    <s v="EMBUDO #1-ROJO"/>
    <n v="232"/>
    <n v="2"/>
    <n v="18.8"/>
    <s v="DIURNO"/>
    <m/>
    <n v="2"/>
    <n v="1130"/>
    <n v="21720"/>
    <s v="ROJO"/>
    <n v="4.8"/>
    <n v="0"/>
    <n v="0"/>
    <n v="5.1040000000000001"/>
    <n v="18.8"/>
    <n v="22"/>
    <n v="854.5454545454545"/>
    <x v="5"/>
    <x v="0"/>
    <n v="26"/>
    <n v="4"/>
    <n v="77.333333333333329"/>
  </r>
  <r>
    <d v="2025-06-26T07:20:00"/>
    <s v="INYECTADO"/>
    <x v="0"/>
    <x v="123"/>
    <s v="ISABEL LINARIZ"/>
    <s v="SEGUNDA"/>
    <s v="."/>
    <s v="MIXTO"/>
    <x v="8"/>
    <s v="EMBUDO #1-ROJO"/>
    <n v="506"/>
    <n v="4"/>
    <n v="41"/>
    <s v="NOCTURNO"/>
    <m/>
    <n v="3"/>
    <n v="1130"/>
    <n v="21721"/>
    <s v="ROJO"/>
    <n v="8.1999999999999993"/>
    <n v="0"/>
    <n v="0"/>
    <n v="11.132"/>
    <n v="41"/>
    <n v="22"/>
    <n v="1863.6363636363637"/>
    <x v="5"/>
    <x v="0"/>
    <n v="26"/>
    <n v="4"/>
    <n v="168.66666666666666"/>
  </r>
  <r>
    <d v="2025-06-26T07:20:00"/>
    <s v="INYECTADO"/>
    <x v="0"/>
    <x v="123"/>
    <s v="ISABEL LINARIZ"/>
    <s v="SEGUNDA"/>
    <s v="."/>
    <s v="MIXTO"/>
    <x v="8"/>
    <s v="EMBUDO #1-AZUL"/>
    <n v="606"/>
    <n v="8"/>
    <n v="49.1"/>
    <s v="NOCTURNO"/>
    <m/>
    <n v="3"/>
    <n v="1130"/>
    <n v="21721"/>
    <s v="AZUL"/>
    <n v="11.4"/>
    <n v="0"/>
    <n v="0"/>
    <n v="13.332000000000001"/>
    <n v="49.1"/>
    <n v="22"/>
    <n v="2231.818181818182"/>
    <x v="5"/>
    <x v="0"/>
    <n v="26"/>
    <n v="4"/>
    <n v="202"/>
  </r>
  <r>
    <d v="2025-06-26T07:20:00"/>
    <s v="INYECTADO"/>
    <x v="0"/>
    <x v="124"/>
    <s v="JUANA CRUCES"/>
    <s v="SEGUNDA"/>
    <s v="."/>
    <s v="MIXTO"/>
    <x v="8"/>
    <s v="EMBUDO #1-AZUL"/>
    <n v="332"/>
    <n v="4"/>
    <n v="26.9"/>
    <s v="DIURNO"/>
    <m/>
    <n v="3"/>
    <n v="1130"/>
    <n v="21722"/>
    <s v="AZUL"/>
    <n v="14.8"/>
    <n v="0"/>
    <n v="0"/>
    <n v="7.3040000000000003"/>
    <n v="26.9"/>
    <n v="22"/>
    <n v="1222.7272727272727"/>
    <x v="5"/>
    <x v="0"/>
    <n v="26"/>
    <n v="4"/>
    <n v="110.66666666666667"/>
  </r>
  <r>
    <d v="2025-06-26T07:20:00"/>
    <s v="INYECTADO"/>
    <x v="0"/>
    <x v="124"/>
    <s v="JUANA CRUCES"/>
    <s v="SEGUNDA"/>
    <s v="."/>
    <s v="MIXTO"/>
    <x v="8"/>
    <s v="EMBUDO #1-FUCSIA"/>
    <n v="897"/>
    <n v="7"/>
    <n v="73.599999999999994"/>
    <s v="DIURNO"/>
    <m/>
    <n v="5"/>
    <n v="1130"/>
    <n v="21722"/>
    <s v="FUCSIA"/>
    <n v="3.2"/>
    <n v="0"/>
    <n v="0"/>
    <n v="19.734000000000002"/>
    <n v="73.599999999999994"/>
    <n v="22"/>
    <n v="3345.4545454545455"/>
    <x v="5"/>
    <x v="0"/>
    <n v="26"/>
    <n v="4"/>
    <n v="299"/>
  </r>
  <r>
    <d v="2025-06-26T07:20:00"/>
    <s v="INYECTADO"/>
    <x v="0"/>
    <x v="124"/>
    <s v="JOSDER GONZALEZ"/>
    <s v="SEGUNDA"/>
    <s v="."/>
    <s v="MIXTO"/>
    <x v="8"/>
    <s v="EMBUDO #1-FUCSIA"/>
    <n v="286"/>
    <n v="3"/>
    <n v="23.7"/>
    <s v="NOCTURNO"/>
    <m/>
    <n v="2"/>
    <n v="1130"/>
    <n v="21723"/>
    <s v="FUCSIA"/>
    <n v="6.4"/>
    <n v="0"/>
    <n v="0"/>
    <n v="6.2919999999999998"/>
    <n v="23.7"/>
    <n v="22"/>
    <n v="1077.2727272727273"/>
    <x v="5"/>
    <x v="0"/>
    <n v="26"/>
    <n v="4"/>
    <n v="95.333333333333329"/>
  </r>
  <r>
    <d v="2025-06-26T07:20:00"/>
    <s v="INYECTADO"/>
    <x v="0"/>
    <x v="124"/>
    <s v="JOSDER GONZALEZ"/>
    <s v="SEGUNDA"/>
    <s v="."/>
    <s v="MIXTO"/>
    <x v="8"/>
    <s v="EMBUDO #1-LILA"/>
    <n v="256"/>
    <n v="3"/>
    <n v="21.3"/>
    <s v="NOCTURNO"/>
    <m/>
    <n v="2"/>
    <n v="1130"/>
    <n v="21723"/>
    <s v="LILA"/>
    <n v="5.5"/>
    <n v="0"/>
    <n v="0"/>
    <n v="5.6319999999999997"/>
    <n v="21.3"/>
    <n v="22"/>
    <n v="968.18181818181813"/>
    <x v="5"/>
    <x v="0"/>
    <n v="26"/>
    <n v="4"/>
    <n v="85.333333333333329"/>
  </r>
  <r>
    <d v="2025-06-26T07:20:00"/>
    <s v="INYECTADO"/>
    <x v="0"/>
    <x v="124"/>
    <s v="JOSDER GONZALEZ"/>
    <s v="SEGUNDA"/>
    <s v="."/>
    <s v="MIXTO"/>
    <x v="8"/>
    <s v="EMBUDO #1-ROJO"/>
    <n v="507"/>
    <n v="5"/>
    <n v="35"/>
    <s v="NOCTURNO"/>
    <m/>
    <n v="2"/>
    <n v="1130"/>
    <n v="21723"/>
    <s v="ROJO"/>
    <n v="6.5"/>
    <n v="0"/>
    <n v="0"/>
    <n v="11.154"/>
    <n v="35"/>
    <n v="22"/>
    <n v="1590.909090909091"/>
    <x v="5"/>
    <x v="0"/>
    <n v="26"/>
    <n v="4"/>
    <n v="169"/>
  </r>
  <r>
    <d v="2025-06-26T07:20:00"/>
    <s v="INYECTADO"/>
    <x v="0"/>
    <x v="125"/>
    <s v="LUIS RENGIFO"/>
    <s v="SEGUNDA"/>
    <s v="."/>
    <s v="MIXTO"/>
    <x v="8"/>
    <s v="EMBUDO #1-ROJO"/>
    <n v="514"/>
    <n v="5"/>
    <n v="42.2"/>
    <s v="DIURNO"/>
    <m/>
    <n v="3"/>
    <n v="1130"/>
    <n v="21724"/>
    <s v="ROJO"/>
    <n v="11.4"/>
    <n v="0"/>
    <n v="0"/>
    <n v="11.308"/>
    <n v="42.2"/>
    <n v="22"/>
    <n v="1918.1818181818182"/>
    <x v="5"/>
    <x v="0"/>
    <n v="26"/>
    <n v="4"/>
    <n v="171.33333333333334"/>
  </r>
  <r>
    <d v="2025-06-26T07:20:00"/>
    <s v="INYECTADO"/>
    <x v="0"/>
    <x v="125"/>
    <s v="LUIS RENGIFO"/>
    <s v="SEGUNDA"/>
    <s v="."/>
    <s v="MIXTO"/>
    <x v="8"/>
    <s v="EMBUDO #1-AMARILLO"/>
    <n v="585"/>
    <n v="7"/>
    <n v="47.4"/>
    <s v="DIURNO"/>
    <m/>
    <n v="4"/>
    <n v="1130"/>
    <n v="21724"/>
    <s v="AMARILLO"/>
    <n v="5.9"/>
    <n v="0"/>
    <n v="0"/>
    <n v="12.87"/>
    <n v="47.4"/>
    <n v="22"/>
    <n v="2154.5454545454545"/>
    <x v="5"/>
    <x v="0"/>
    <n v="26"/>
    <n v="4"/>
    <n v="195"/>
  </r>
  <r>
    <d v="2025-06-26T07:20:00"/>
    <s v="INYECTADO"/>
    <x v="0"/>
    <x v="125"/>
    <s v="ISABEL LINARIZ"/>
    <s v="SEGUNDA"/>
    <s v="."/>
    <s v="MIXTO"/>
    <x v="8"/>
    <s v="EMBUDO #1-AMARILLO"/>
    <n v="393"/>
    <n v="4"/>
    <n v="32.299999999999997"/>
    <s v="NOCTURNO"/>
    <m/>
    <n v="2"/>
    <n v="1130"/>
    <n v="21725"/>
    <s v="AMARILLO"/>
    <n v="7.4"/>
    <n v="0"/>
    <n v="0"/>
    <n v="8.6460000000000008"/>
    <n v="32.299999999999997"/>
    <n v="22"/>
    <n v="1468.181818181818"/>
    <x v="5"/>
    <x v="0"/>
    <n v="26"/>
    <n v="4"/>
    <n v="131"/>
  </r>
  <r>
    <d v="2025-06-26T07:20:00"/>
    <s v="INYECTADO"/>
    <x v="0"/>
    <x v="125"/>
    <s v="ISABEL LINARIZ"/>
    <s v="SEGUNDA"/>
    <s v="."/>
    <s v="MIXTO"/>
    <x v="8"/>
    <s v="EMBUDO #1-VERDE"/>
    <n v="643"/>
    <n v="8"/>
    <n v="52.1"/>
    <s v="NOCTURNO"/>
    <m/>
    <n v="3"/>
    <n v="1130"/>
    <n v="21725"/>
    <s v="VERDE"/>
    <n v="7.5"/>
    <n v="0"/>
    <n v="0"/>
    <n v="14.146000000000001"/>
    <n v="52.1"/>
    <n v="22"/>
    <n v="2368.181818181818"/>
    <x v="5"/>
    <x v="0"/>
    <n v="26"/>
    <n v="4"/>
    <n v="214.33333333333334"/>
  </r>
  <r>
    <d v="2025-06-26T07:20:00"/>
    <s v="INYECTADO"/>
    <x v="0"/>
    <x v="120"/>
    <s v="JUANA CRUCES"/>
    <s v="SEGUNDA"/>
    <s v="."/>
    <s v="MIXTO"/>
    <x v="8"/>
    <s v="EMBUDO #1-VERDE"/>
    <n v="346"/>
    <n v="4"/>
    <n v="28.1"/>
    <s v="DIURNO"/>
    <m/>
    <n v="2"/>
    <n v="1130"/>
    <n v="21725"/>
    <s v="VERDE"/>
    <n v="11.9"/>
    <n v="0"/>
    <n v="0"/>
    <n v="7.6120000000000001"/>
    <n v="28.1"/>
    <n v="22"/>
    <n v="1277.2727272727273"/>
    <x v="5"/>
    <x v="0"/>
    <n v="26"/>
    <n v="4"/>
    <n v="115.33333333333333"/>
  </r>
  <r>
    <d v="2025-06-26T07:20:00"/>
    <s v="INYECTADO"/>
    <x v="0"/>
    <x v="120"/>
    <s v="JUANA CRUCES"/>
    <s v="SEGUNDA"/>
    <s v="."/>
    <s v="MIXTO"/>
    <x v="8"/>
    <s v="EMBUDO #1-ANARANJADO"/>
    <n v="788"/>
    <n v="7"/>
    <n v="63.8"/>
    <s v="DIURNO"/>
    <m/>
    <n v="3"/>
    <n v="1130"/>
    <n v="21726"/>
    <s v="NARANJA"/>
    <n v="11.4"/>
    <n v="0"/>
    <n v="0"/>
    <n v="17.335999999999999"/>
    <n v="63.8"/>
    <n v="22"/>
    <n v="2900"/>
    <x v="5"/>
    <x v="0"/>
    <n v="26"/>
    <n v="4"/>
    <n v="262.66666666666669"/>
  </r>
  <r>
    <d v="2025-06-26T07:20:00"/>
    <s v="INYECTADO"/>
    <x v="0"/>
    <x v="129"/>
    <s v="JUANA CRUCES"/>
    <s v="SEGUNDA"/>
    <s v="."/>
    <s v="MIXTO"/>
    <x v="8"/>
    <s v="EMBUDO #1-ANARANJADO"/>
    <n v="263"/>
    <n v="3"/>
    <n v="21.6"/>
    <s v="DIURNO"/>
    <m/>
    <n v="2"/>
    <n v="1130"/>
    <n v="21727"/>
    <s v="NARANJA"/>
    <n v="13.5"/>
    <n v="0"/>
    <n v="0"/>
    <n v="5.7859999999999996"/>
    <n v="21.6"/>
    <n v="22"/>
    <n v="981.81818181818187"/>
    <x v="5"/>
    <x v="0"/>
    <n v="27"/>
    <n v="4"/>
    <n v="87.666666666666671"/>
  </r>
  <r>
    <d v="2025-06-26T07:20:00"/>
    <s v="INYECTADO"/>
    <x v="0"/>
    <x v="129"/>
    <s v="JUANA CRUCES"/>
    <s v="SEGUNDA"/>
    <s v="."/>
    <s v="MIXTO"/>
    <x v="8"/>
    <s v="EMBUDO #1-VERDE"/>
    <n v="517"/>
    <n v="6"/>
    <n v="41.9"/>
    <s v="DIURNO"/>
    <m/>
    <n v="3"/>
    <n v="1130"/>
    <n v="21727"/>
    <s v="VERDE"/>
    <n v="12.6"/>
    <n v="0"/>
    <n v="0"/>
    <n v="11.374000000000001"/>
    <n v="41.9"/>
    <n v="22"/>
    <n v="1904.5454545454545"/>
    <x v="5"/>
    <x v="0"/>
    <n v="27"/>
    <n v="4"/>
    <n v="172.33333333333334"/>
  </r>
  <r>
    <d v="2025-06-26T07:20:00"/>
    <s v="INYECTADO"/>
    <x v="6"/>
    <x v="111"/>
    <s v="GABRIEL ORDAZ"/>
    <s v="SEGUNDA"/>
    <s v="."/>
    <s v="MIXTO"/>
    <x v="98"/>
    <s v="TAPA REPOSTEROS-ROJO"/>
    <n v="687"/>
    <n v="6"/>
    <n v="72.2"/>
    <s v="DIURNO"/>
    <n v="0"/>
    <n v="10"/>
    <n v="1124"/>
    <n v="21241"/>
    <s v="ROJO"/>
    <n v="0"/>
    <n v="0"/>
    <n v="0"/>
    <n v="37.097999999999999"/>
    <n v="72.2"/>
    <n v="54"/>
    <n v="1337.037037037037"/>
    <x v="5"/>
    <x v="0"/>
    <n v="23"/>
    <n v="2"/>
    <n v="114.5"/>
  </r>
  <r>
    <d v="2025-06-26T07:20:00"/>
    <s v="INYECTADO"/>
    <x v="6"/>
    <x v="111"/>
    <s v="JUAN MANUEL PEREZ"/>
    <s v="SEGUNDA"/>
    <s v="."/>
    <s v="MIXTO"/>
    <x v="98"/>
    <s v="TAPA REPOSTEROS-ROJO"/>
    <n v="295"/>
    <n v="3"/>
    <n v="31.1"/>
    <s v="NOCTURNO"/>
    <n v="0"/>
    <n v="4"/>
    <n v="1124"/>
    <n v="21242"/>
    <s v="ROJO"/>
    <n v="4"/>
    <n v="0"/>
    <n v="0"/>
    <n v="15.93"/>
    <n v="31.1"/>
    <n v="54"/>
    <n v="575.92592592592598"/>
    <x v="5"/>
    <x v="0"/>
    <n v="23"/>
    <n v="2"/>
    <n v="49.166666666666664"/>
  </r>
  <r>
    <d v="2025-06-26T07:20:00"/>
    <s v="INYECTADO"/>
    <x v="6"/>
    <x v="111"/>
    <s v="JUAN MANUEL PEREZ"/>
    <s v="SEGUNDA"/>
    <s v="."/>
    <s v="MIXTO"/>
    <x v="98"/>
    <s v="TAPA REPOSTEROS-ANARANJADO"/>
    <n v="879"/>
    <n v="8"/>
    <n v="92.6"/>
    <s v="NOCTURNO"/>
    <m/>
    <n v="12"/>
    <n v="1124"/>
    <n v="21242"/>
    <s v="NARANJA"/>
    <n v="4"/>
    <n v="0"/>
    <n v="0"/>
    <n v="47.466000000000001"/>
    <n v="92.6"/>
    <n v="54"/>
    <n v="1714.8148148148148"/>
    <x v="5"/>
    <x v="0"/>
    <n v="23"/>
    <n v="2"/>
    <n v="146.5"/>
  </r>
  <r>
    <d v="2025-06-26T07:20:00"/>
    <s v="INYECTADO"/>
    <x v="6"/>
    <x v="130"/>
    <s v="MARIA BAZAN"/>
    <s v="SEGUNDA"/>
    <s v="."/>
    <s v="MIXTO"/>
    <x v="98"/>
    <s v="TAPA REPOSTEROS-TURQUESA"/>
    <n v="871"/>
    <n v="8"/>
    <n v="93.3"/>
    <s v="DIURNO"/>
    <m/>
    <n v="12"/>
    <n v="1124"/>
    <n v="21243"/>
    <s v="TURQUESA"/>
    <n v="13.1"/>
    <n v="0"/>
    <n v="0"/>
    <n v="47.033999999999999"/>
    <n v="93.3"/>
    <n v="54"/>
    <n v="1727.7777777777778"/>
    <x v="5"/>
    <x v="0"/>
    <n v="23"/>
    <n v="2"/>
    <n v="145.16666666666666"/>
  </r>
  <r>
    <d v="2025-06-26T07:20:00"/>
    <s v="INYECTADO"/>
    <x v="6"/>
    <x v="130"/>
    <s v="MARIA BAZAN"/>
    <s v="SEGUNDA"/>
    <s v="."/>
    <s v="MIXTO"/>
    <x v="98"/>
    <s v="TAPA REPOSTEROS-VERDE"/>
    <n v="190"/>
    <n v="1"/>
    <n v="7.6"/>
    <s v="DIURNO"/>
    <m/>
    <n v="1"/>
    <n v="1124"/>
    <n v="21243"/>
    <s v="VERDE"/>
    <n v="13"/>
    <n v="0"/>
    <n v="0"/>
    <n v="10.26"/>
    <n v="7.6"/>
    <n v="54"/>
    <n v="140.74074074074073"/>
    <x v="5"/>
    <x v="0"/>
    <n v="23"/>
    <n v="2"/>
    <n v="31.666666666666668"/>
  </r>
  <r>
    <d v="2025-06-26T07:20:00"/>
    <s v="INYECTADO"/>
    <x v="6"/>
    <x v="131"/>
    <s v="GABRIEL ORDAZ"/>
    <s v="SEGUNDA"/>
    <s v="."/>
    <s v="MIXTO"/>
    <x v="98"/>
    <s v="TAPA REPOSTEROS-AMARILLO"/>
    <n v="173"/>
    <n v="8"/>
    <n v="19.100000000000001"/>
    <s v="DIURNO"/>
    <m/>
    <n v="11"/>
    <n v="1124"/>
    <n v="21244"/>
    <s v="VERDE"/>
    <n v="0"/>
    <n v="0"/>
    <n v="0"/>
    <n v="9.3420000000000005"/>
    <n v="19.100000000000001"/>
    <n v="54"/>
    <n v="353.7037037037037"/>
    <x v="5"/>
    <x v="0"/>
    <n v="23"/>
    <n v="2"/>
    <n v="28.833333333333332"/>
  </r>
  <r>
    <d v="2025-06-26T07:20:00"/>
    <s v="INYECTADO"/>
    <x v="6"/>
    <x v="131"/>
    <s v="GABRIEL ORDAZ"/>
    <s v="SEGUNDA"/>
    <s v="."/>
    <s v="MIXTO"/>
    <x v="98"/>
    <s v="TAPA REPOSTEROS-VERDE"/>
    <n v="819"/>
    <n v="2"/>
    <n v="90.1"/>
    <s v="DIURNO"/>
    <m/>
    <n v="3"/>
    <n v="1124"/>
    <n v="21244"/>
    <s v="AMARILLO"/>
    <n v="0"/>
    <n v="0"/>
    <n v="0"/>
    <n v="44.225999999999999"/>
    <n v="90.1"/>
    <n v="54"/>
    <n v="1668.5185185185185"/>
    <x v="5"/>
    <x v="0"/>
    <n v="23"/>
    <n v="2"/>
    <n v="136.5"/>
  </r>
  <r>
    <d v="2025-06-26T07:20:00"/>
    <s v="INYECTADO"/>
    <x v="6"/>
    <x v="121"/>
    <s v="CRISALIDA ZAPATA"/>
    <s v="SEGUNDA"/>
    <s v="."/>
    <s v="MIXTO"/>
    <x v="98"/>
    <s v="TAPA REPOSTEROS-AZUL"/>
    <n v="1037"/>
    <n v="11"/>
    <n v="114.1"/>
    <s v="DIURNO"/>
    <m/>
    <n v="14"/>
    <n v="1124"/>
    <n v="21245"/>
    <s v="AZUL"/>
    <n v="8.1999999999999993"/>
    <n v="0"/>
    <n v="0"/>
    <n v="55.997999999999998"/>
    <n v="114.1"/>
    <n v="54"/>
    <n v="2112.962962962963"/>
    <x v="5"/>
    <x v="0"/>
    <n v="23"/>
    <n v="2"/>
    <n v="172.83333333333334"/>
  </r>
  <r>
    <d v="2025-06-26T07:20:00"/>
    <s v="INYECTADO"/>
    <x v="6"/>
    <x v="121"/>
    <s v="JOSDER GONZALEZ"/>
    <s v="SEGUNDA"/>
    <s v="."/>
    <s v="MIXTO"/>
    <x v="98"/>
    <s v="TAPA REPOSTEROS-AZUL"/>
    <n v="43"/>
    <n v="1"/>
    <n v="4.7"/>
    <s v="NOCTURNO"/>
    <m/>
    <n v="2"/>
    <n v="1124"/>
    <n v="21246"/>
    <s v="AZUL"/>
    <n v="3.1"/>
    <n v="0"/>
    <n v="0"/>
    <n v="2.3220000000000001"/>
    <n v="4.7"/>
    <n v="54"/>
    <n v="87.037037037037038"/>
    <x v="5"/>
    <x v="0"/>
    <n v="23"/>
    <n v="2"/>
    <n v="7.166666666666667"/>
  </r>
  <r>
    <d v="2025-06-26T07:20:00"/>
    <s v="INYECTADO"/>
    <x v="6"/>
    <x v="121"/>
    <s v="JOSDER GONZALEZ"/>
    <s v="SEGUNDA"/>
    <s v="."/>
    <s v="MIXTO"/>
    <x v="98"/>
    <s v="TAPA REPOSTEROS-AMARILLO"/>
    <n v="767"/>
    <n v="8"/>
    <n v="82.9"/>
    <s v="NOCTURNO"/>
    <m/>
    <n v="10"/>
    <n v="1124"/>
    <n v="21246"/>
    <s v="AMARILLO"/>
    <n v="10.4"/>
    <n v="0"/>
    <n v="0"/>
    <n v="41.417999999999999"/>
    <n v="82.9"/>
    <n v="54"/>
    <n v="1535.1851851851852"/>
    <x v="5"/>
    <x v="0"/>
    <n v="23"/>
    <n v="2"/>
    <n v="127.83333333333333"/>
  </r>
  <r>
    <d v="2025-06-26T07:20:00"/>
    <s v="INYECTADO"/>
    <x v="6"/>
    <x v="122"/>
    <s v="CRISALIDA ZAPATA"/>
    <s v="SEGUNDA"/>
    <s v="."/>
    <s v="MIXTO"/>
    <x v="98"/>
    <s v="TAPA REPOSTEROS-AMARILLO"/>
    <n v="158"/>
    <n v="3"/>
    <n v="17.399999999999999"/>
    <s v="DIURNO"/>
    <m/>
    <n v="2"/>
    <n v="1124"/>
    <n v="21247"/>
    <s v="AMARILLO"/>
    <n v="4.9000000000000004"/>
    <n v="0"/>
    <n v="0"/>
    <n v="8.532"/>
    <n v="17.399999999999999"/>
    <n v="54"/>
    <n v="322.22222222222223"/>
    <x v="5"/>
    <x v="0"/>
    <n v="23"/>
    <n v="2"/>
    <n v="26.333333333333332"/>
  </r>
  <r>
    <d v="2025-06-26T07:20:00"/>
    <s v="INYECTADO"/>
    <x v="6"/>
    <x v="122"/>
    <s v="CRISALIDA ZAPATA"/>
    <s v="SEGUNDA"/>
    <s v="."/>
    <s v="MIXTO"/>
    <x v="98"/>
    <s v="TAPA REPOSTEROS-VERDE"/>
    <n v="119"/>
    <n v="2"/>
    <n v="13.1"/>
    <s v="DIURNO"/>
    <m/>
    <n v="2"/>
    <n v="1124"/>
    <n v="21247"/>
    <s v="VERDE"/>
    <n v="6.1"/>
    <n v="0"/>
    <n v="0"/>
    <n v="6.4260000000000002"/>
    <n v="13.1"/>
    <n v="54"/>
    <n v="242.59259259259258"/>
    <x v="5"/>
    <x v="0"/>
    <n v="23"/>
    <n v="2"/>
    <n v="19.833333333333332"/>
  </r>
  <r>
    <d v="2025-06-26T07:20:00"/>
    <s v="INYECTADO"/>
    <x v="6"/>
    <x v="122"/>
    <s v="CRISALIDA ZAPATA"/>
    <s v="SEGUNDA"/>
    <s v="."/>
    <s v="MIXTO"/>
    <x v="98"/>
    <s v="TAPA REPOSTEROS-ANARANJADO"/>
    <n v="260"/>
    <n v="4"/>
    <n v="28.7"/>
    <s v="DIURNO"/>
    <m/>
    <n v="4"/>
    <n v="1124"/>
    <n v="21247"/>
    <s v="NARANJA"/>
    <n v="1.9"/>
    <n v="0"/>
    <n v="0"/>
    <n v="14.04"/>
    <n v="28.7"/>
    <n v="54"/>
    <n v="531.48148148148152"/>
    <x v="5"/>
    <x v="0"/>
    <n v="23"/>
    <n v="2"/>
    <n v="43.333333333333336"/>
  </r>
  <r>
    <d v="2025-06-26T07:20:00"/>
    <s v="INYECTADO"/>
    <x v="6"/>
    <x v="113"/>
    <s v="NELSON PINEDO"/>
    <s v="VIRGEN"/>
    <s v="ALTA INYECCION"/>
    <s v="."/>
    <x v="12"/>
    <s v="TAPAS DE JARRA DE 5 Y 6L-AMARILLO"/>
    <n v="691"/>
    <n v="7"/>
    <n v="114"/>
    <s v="DIURNO"/>
    <m/>
    <n v="21"/>
    <n v="1104"/>
    <n v="21248"/>
    <s v="AMARILLO"/>
    <n v="0"/>
    <n v="0"/>
    <n v="0"/>
    <n v="55.970999999999997"/>
    <n v="114"/>
    <n v="81"/>
    <n v="1407.4074074074074"/>
    <x v="5"/>
    <x v="0"/>
    <n v="24"/>
    <n v="2"/>
    <n v="115.16666666666667"/>
  </r>
  <r>
    <d v="2025-06-26T07:20:00"/>
    <s v="INYECTADO"/>
    <x v="6"/>
    <x v="113"/>
    <s v="JOSDER GONZALEZ"/>
    <s v="VIRGEN"/>
    <s v="ALTA INYECCION"/>
    <s v="."/>
    <x v="12"/>
    <s v="TAPAS DE JARRA DE 5 Y 6L-VERDE"/>
    <n v="752"/>
    <n v="9"/>
    <n v="124"/>
    <s v="NOCTURNO"/>
    <m/>
    <n v="25"/>
    <n v="1104"/>
    <n v="21249"/>
    <s v="VERDE"/>
    <n v="7.8"/>
    <n v="0"/>
    <n v="0"/>
    <n v="60.911999999999999"/>
    <n v="124"/>
    <n v="81"/>
    <n v="1530.8641975308642"/>
    <x v="5"/>
    <x v="0"/>
    <n v="24"/>
    <n v="2"/>
    <n v="125.33333333333333"/>
  </r>
  <r>
    <d v="2025-06-26T07:20:00"/>
    <s v="INYECTADO"/>
    <x v="6"/>
    <x v="113"/>
    <s v="JOSDER GONZALEZ"/>
    <s v="VIRGEN"/>
    <s v="ALTA INYECCION"/>
    <s v="."/>
    <x v="12"/>
    <s v="TAPAS DE JARRA DE 5 Y 6L-AZUL"/>
    <n v="240"/>
    <n v="2"/>
    <n v="39.6"/>
    <s v="NOCTURNO"/>
    <m/>
    <n v="8"/>
    <n v="1104"/>
    <n v="21249"/>
    <s v="AZUL"/>
    <n v="2.5"/>
    <n v="0"/>
    <n v="0"/>
    <n v="19.440000000000001"/>
    <n v="39.6"/>
    <n v="81"/>
    <n v="488.88888888888891"/>
    <x v="5"/>
    <x v="0"/>
    <n v="24"/>
    <n v="2"/>
    <n v="40"/>
  </r>
  <r>
    <d v="2025-06-26T07:20:00"/>
    <s v="INYECTADO"/>
    <x v="6"/>
    <x v="132"/>
    <s v="LUIS PINEDO"/>
    <s v="VIRGEN"/>
    <s v="ALTA INYECCION"/>
    <s v="."/>
    <x v="12"/>
    <s v="TAPAS DE JARRA DE 5 Y 6L-AZUL"/>
    <n v="42"/>
    <n v="1"/>
    <n v="6.8"/>
    <s v="DIURNO"/>
    <m/>
    <n v="1"/>
    <n v="1104"/>
    <n v="21250"/>
    <s v="AZUL"/>
    <n v="6.2"/>
    <n v="0"/>
    <n v="0"/>
    <n v="3.4020000000000001"/>
    <n v="6.8"/>
    <n v="81"/>
    <n v="83.950617283950621"/>
    <x v="5"/>
    <x v="0"/>
    <n v="24"/>
    <n v="2"/>
    <n v="7"/>
  </r>
  <r>
    <d v="2025-06-26T07:20:00"/>
    <s v="INYECTADO"/>
    <x v="6"/>
    <x v="132"/>
    <s v="LUIS PINEDO"/>
    <s v="VIRGEN"/>
    <s v="ALTA INYECCION"/>
    <s v="."/>
    <x v="12"/>
    <s v="TAPAS DE JARRA DE 5 Y 6L-ROJO"/>
    <n v="324"/>
    <n v="3"/>
    <n v="53.1"/>
    <s v="DIURNO"/>
    <m/>
    <n v="11"/>
    <n v="1104"/>
    <n v="21250"/>
    <s v="ROJO"/>
    <n v="3"/>
    <n v="0"/>
    <n v="0"/>
    <n v="26.244"/>
    <n v="53.1"/>
    <n v="81"/>
    <n v="655.55555555555554"/>
    <x v="5"/>
    <x v="0"/>
    <n v="24"/>
    <n v="2"/>
    <n v="54"/>
  </r>
  <r>
    <d v="2025-06-26T07:20:00"/>
    <s v="INYECTADO"/>
    <x v="6"/>
    <x v="132"/>
    <s v="JOSDER GONZALEZ"/>
    <s v="VIRGEN"/>
    <s v="ALTA INYECCION"/>
    <s v="."/>
    <x v="12"/>
    <s v="TAPAS DE JARRA DE 5 Y 6L-ROJO"/>
    <n v="421"/>
    <n v="5"/>
    <n v="70.7"/>
    <s v="NOCTURNO"/>
    <m/>
    <n v="5"/>
    <n v="1104"/>
    <n v="21251"/>
    <s v="ROJO"/>
    <n v="2.6"/>
    <n v="0"/>
    <n v="0"/>
    <n v="34.100999999999999"/>
    <n v="70.7"/>
    <n v="81"/>
    <n v="872.83950617283949"/>
    <x v="5"/>
    <x v="0"/>
    <n v="24"/>
    <n v="2"/>
    <n v="70.166666666666671"/>
  </r>
  <r>
    <d v="2025-06-26T07:20:00"/>
    <s v="INYECTADO"/>
    <x v="6"/>
    <x v="133"/>
    <s v="LUIS PINEDO"/>
    <s v="VIRGEN"/>
    <s v="ALTA INYECCION"/>
    <s v="."/>
    <x v="12"/>
    <s v="TAPAS DE JARRA DE 5 Y 6L-AMARILLO"/>
    <n v="616"/>
    <n v="7"/>
    <n v="96"/>
    <s v="DIURNO"/>
    <m/>
    <n v="19"/>
    <n v="1104"/>
    <n v="21252"/>
    <s v="AMARILLO"/>
    <n v="11.7"/>
    <n v="0"/>
    <n v="0"/>
    <n v="49.896000000000001"/>
    <n v="96"/>
    <n v="81"/>
    <n v="1185.1851851851852"/>
    <x v="5"/>
    <x v="0"/>
    <n v="24"/>
    <n v="2"/>
    <n v="102.66666666666667"/>
  </r>
  <r>
    <d v="2025-06-26T07:20:00"/>
    <s v="INYECTADO"/>
    <x v="6"/>
    <x v="133"/>
    <s v="LUIS PINEDO"/>
    <s v="VIRGEN"/>
    <s v="ALTA INYECCION"/>
    <s v="."/>
    <x v="12"/>
    <s v="TAPAS DE JARRA DE 5 Y 6L-VERDE"/>
    <n v="198"/>
    <n v="2"/>
    <n v="32.299999999999997"/>
    <s v="DIURNO"/>
    <m/>
    <n v="7"/>
    <n v="1104"/>
    <n v="21252"/>
    <s v="VERDE"/>
    <n v="0"/>
    <n v="0"/>
    <n v="0"/>
    <n v="16.038"/>
    <n v="32.299999999999997"/>
    <n v="81"/>
    <n v="398.76543209876536"/>
    <x v="5"/>
    <x v="0"/>
    <n v="24"/>
    <n v="2"/>
    <n v="33"/>
  </r>
  <r>
    <d v="2025-06-26T07:20:00"/>
    <s v="INYECTADO"/>
    <x v="6"/>
    <x v="133"/>
    <s v="LUIS PINEDO"/>
    <s v="VIRGEN"/>
    <s v="ALTA INYECCION"/>
    <s v="."/>
    <x v="12"/>
    <s v="TAPAS DE JARRA DE 5 Y 6L-VERDE"/>
    <n v="692"/>
    <n v="8"/>
    <n v="116.9"/>
    <s v="NOCTURNO"/>
    <m/>
    <n v="22"/>
    <n v="1104"/>
    <n v="21253"/>
    <s v="VERDE"/>
    <n v="8.1999999999999993"/>
    <n v="0"/>
    <n v="0"/>
    <n v="56.052"/>
    <n v="116.9"/>
    <n v="81"/>
    <n v="1443.2098765432099"/>
    <x v="5"/>
    <x v="0"/>
    <n v="24"/>
    <n v="2"/>
    <n v="115.33333333333333"/>
  </r>
  <r>
    <d v="2025-06-26T07:20:00"/>
    <s v="INYECTADO"/>
    <x v="6"/>
    <x v="133"/>
    <s v="LUIS PINEDO"/>
    <s v="VIRGEN"/>
    <s v="ALTA INYECCION"/>
    <s v="."/>
    <x v="12"/>
    <s v="TAPAS DE JARRA DE 5 Y 6L-ROJO"/>
    <n v="336"/>
    <n v="3"/>
    <n v="56.7"/>
    <s v="NOCTURNO"/>
    <m/>
    <n v="11"/>
    <n v="1104"/>
    <n v="21253"/>
    <s v="ROJO"/>
    <n v="0"/>
    <n v="0"/>
    <n v="0"/>
    <n v="27.216000000000001"/>
    <n v="56.7"/>
    <n v="81"/>
    <n v="700"/>
    <x v="5"/>
    <x v="0"/>
    <n v="24"/>
    <n v="2"/>
    <n v="56"/>
  </r>
  <r>
    <d v="2025-06-26T07:20:00"/>
    <s v="INYECTADO"/>
    <x v="6"/>
    <x v="134"/>
    <s v="LUIS PINEDO"/>
    <s v="VIRGEN"/>
    <s v="ALTA INYECCION"/>
    <s v="."/>
    <x v="12"/>
    <s v="TAPAS DE JARRA DE 5 Y 6L-ROJO"/>
    <n v="608"/>
    <n v="7"/>
    <n v="103.1"/>
    <s v="DIURNO"/>
    <m/>
    <n v="20"/>
    <n v="1104"/>
    <n v="21254"/>
    <s v="ROJO"/>
    <n v="3.8"/>
    <n v="0"/>
    <n v="0"/>
    <n v="49.247999999999998"/>
    <n v="103.1"/>
    <n v="81"/>
    <n v="1272.8395061728395"/>
    <x v="5"/>
    <x v="0"/>
    <n v="24"/>
    <n v="2"/>
    <n v="101.33333333333333"/>
  </r>
  <r>
    <d v="2025-06-26T07:20:00"/>
    <s v="INYECTADO"/>
    <x v="6"/>
    <x v="134"/>
    <s v="LUIS PINEDO"/>
    <s v="VIRGEN"/>
    <s v="ALTA INYECCION"/>
    <s v="."/>
    <x v="12"/>
    <s v="TAPAS DE JARRA DE 5 Y 6L-AZUL"/>
    <n v="342"/>
    <n v="4"/>
    <n v="57.4"/>
    <s v="DIURNO"/>
    <m/>
    <n v="11"/>
    <n v="1104"/>
    <n v="21254"/>
    <s v="AZUL"/>
    <n v="14.4"/>
    <n v="0"/>
    <n v="0"/>
    <n v="27.702000000000002"/>
    <n v="57.4"/>
    <n v="81"/>
    <n v="708.64197530864203"/>
    <x v="5"/>
    <x v="0"/>
    <n v="24"/>
    <n v="2"/>
    <n v="57"/>
  </r>
  <r>
    <d v="2025-06-26T07:20:00"/>
    <s v="INYECTADO"/>
    <x v="6"/>
    <x v="126"/>
    <s v="CRISALIDA ZAPATA"/>
    <s v="VIRGEN"/>
    <s v="ALTA INYECCION"/>
    <s v="."/>
    <x v="12"/>
    <s v="TAPAS DE JARRA DE 5 Y 6L-AZUL"/>
    <n v="897"/>
    <n v="10"/>
    <n v="141.4"/>
    <s v="DIURNO"/>
    <m/>
    <n v="28"/>
    <n v="1104"/>
    <n v="21255"/>
    <s v="AZUL"/>
    <n v="16.100000000000001"/>
    <n v="0"/>
    <n v="0"/>
    <n v="72.656999999999996"/>
    <n v="141.4"/>
    <n v="81"/>
    <n v="1745.679012345679"/>
    <x v="5"/>
    <x v="0"/>
    <n v="24"/>
    <n v="2"/>
    <n v="149.5"/>
  </r>
  <r>
    <d v="2025-06-26T07:20:00"/>
    <s v="INYECTADO"/>
    <x v="6"/>
    <x v="126"/>
    <s v="CRISALIDA ZAPATA"/>
    <s v="VIRGEN"/>
    <s v="ALTA INYECCION"/>
    <s v="."/>
    <x v="12"/>
    <s v="TAPAS DE JARRA DE 5 Y 6L-VERDE"/>
    <n v="16"/>
    <n v="1"/>
    <n v="3.1"/>
    <s v="DIURNO"/>
    <m/>
    <n v="1"/>
    <n v="1104"/>
    <n v="21255"/>
    <s v="VERDE"/>
    <n v="7.9"/>
    <n v="0"/>
    <n v="0"/>
    <n v="1.296"/>
    <n v="3.1"/>
    <n v="81"/>
    <n v="38.271604938271608"/>
    <x v="5"/>
    <x v="0"/>
    <n v="24"/>
    <n v="2"/>
    <n v="2.6666666666666665"/>
  </r>
  <r>
    <d v="2025-06-26T07:20:00"/>
    <s v="INYECTADO"/>
    <x v="6"/>
    <x v="126"/>
    <s v="GABRIEL REQUENA"/>
    <s v="VIRGEN"/>
    <s v="ALTA INYECCION"/>
    <s v="."/>
    <x v="12"/>
    <s v="TAPAS DE JARRA DE 5 Y 6L-VERDE"/>
    <n v="165"/>
    <n v="2"/>
    <n v="27.5"/>
    <s v="NOCTURNO"/>
    <m/>
    <n v="6"/>
    <n v="1104"/>
    <n v="21256"/>
    <s v="VERDE"/>
    <n v="0"/>
    <n v="0"/>
    <n v="0"/>
    <n v="13.365"/>
    <n v="27.5"/>
    <n v="81"/>
    <n v="339.50617283950618"/>
    <x v="5"/>
    <x v="0"/>
    <n v="24"/>
    <n v="2"/>
    <n v="27.5"/>
  </r>
  <r>
    <d v="2025-06-26T07:20:00"/>
    <s v="INYECTADO"/>
    <x v="6"/>
    <x v="127"/>
    <s v="CRISALIDA ZAPATA"/>
    <s v="VIRGEN"/>
    <s v="ALTA INYECCION"/>
    <s v="."/>
    <x v="12"/>
    <s v="TAPAS DE JARRA DE 5 Y 6L-VERDE"/>
    <n v="313"/>
    <n v="4"/>
    <n v="52.8"/>
    <s v="DIURNO"/>
    <m/>
    <n v="12"/>
    <n v="1104"/>
    <n v="21257"/>
    <s v="VERDE"/>
    <n v="29.199999999999996"/>
    <n v="0"/>
    <n v="0"/>
    <n v="25.353000000000002"/>
    <n v="52.8"/>
    <n v="81"/>
    <n v="651.85185185185185"/>
    <x v="5"/>
    <x v="0"/>
    <n v="24"/>
    <n v="2"/>
    <n v="52.166666666666664"/>
  </r>
  <r>
    <d v="2025-06-26T07:20:00"/>
    <s v="INYECTADO"/>
    <x v="6"/>
    <x v="127"/>
    <s v="CRISALIDA ZAPATA"/>
    <s v="VIRGEN"/>
    <s v="ALTA INYECCION"/>
    <s v="."/>
    <x v="12"/>
    <s v="TAPAS DE JARRA DE 5 Y 6L-AMARILLO"/>
    <n v="402"/>
    <n v="5"/>
    <n v="67.900000000000006"/>
    <s v="DIURNO"/>
    <m/>
    <n v="10"/>
    <n v="1104"/>
    <n v="21257"/>
    <s v="AMARILLO"/>
    <n v="5.4"/>
    <n v="0"/>
    <n v="0"/>
    <n v="32.561999999999998"/>
    <n v="67.900000000000006"/>
    <n v="81"/>
    <n v="838.27160493827159"/>
    <x v="5"/>
    <x v="0"/>
    <n v="24"/>
    <n v="2"/>
    <n v="67"/>
  </r>
  <r>
    <d v="2025-06-26T07:20:00"/>
    <s v="INYECTADO"/>
    <x v="6"/>
    <x v="135"/>
    <s v="SAID VILLAMIZAR"/>
    <s v="VIRGEN"/>
    <s v="ALTA INYECCION"/>
    <s v="."/>
    <x v="12"/>
    <s v="TAPAS DE JARRA DE 5 Y 6L-AMARILLO"/>
    <n v="178"/>
    <n v="3"/>
    <n v="30"/>
    <s v="DIURNO"/>
    <m/>
    <n v="6"/>
    <n v="1104"/>
    <n v="21258"/>
    <s v="AMARILLO"/>
    <n v="5.3"/>
    <n v="0"/>
    <n v="0"/>
    <n v="14.417999999999999"/>
    <n v="30"/>
    <n v="81"/>
    <n v="370.37037037037038"/>
    <x v="5"/>
    <x v="0"/>
    <n v="24"/>
    <n v="2"/>
    <n v="29.666666666666668"/>
  </r>
  <r>
    <d v="2025-06-26T07:20:00"/>
    <s v="INYECTADO"/>
    <x v="6"/>
    <x v="135"/>
    <s v="SAID VILLAMIZAR"/>
    <s v="VIRGEN"/>
    <s v="ALTA INYECCION"/>
    <s v="."/>
    <x v="12"/>
    <s v="TAPAS DE JARRA DE 5 Y 6L-ROJO"/>
    <n v="470"/>
    <n v="5"/>
    <n v="79.400000000000006"/>
    <s v="DIURNO"/>
    <m/>
    <n v="16"/>
    <n v="1104"/>
    <n v="21258"/>
    <s v="ROJO"/>
    <n v="1.3"/>
    <n v="0"/>
    <n v="0"/>
    <n v="38.07"/>
    <n v="79.400000000000006"/>
    <n v="81"/>
    <n v="980.24691358024688"/>
    <x v="5"/>
    <x v="0"/>
    <n v="24"/>
    <n v="2"/>
    <n v="78.333333333333329"/>
  </r>
  <r>
    <d v="2025-06-26T07:20:00"/>
    <s v="INYECTADO"/>
    <x v="6"/>
    <x v="114"/>
    <s v="CRISALIDA ZAPATA"/>
    <s v="VIRGEN"/>
    <s v="ALTA INYECCION"/>
    <s v="."/>
    <x v="12"/>
    <s v="TAPAS DE JARRA DE 5 Y 6L-AMARILLO"/>
    <n v="414"/>
    <n v="5"/>
    <n v="71.2"/>
    <s v="DIURNO"/>
    <m/>
    <n v="13"/>
    <n v="1104"/>
    <n v="21259"/>
    <s v="AMARILLO"/>
    <n v="3.8"/>
    <n v="0"/>
    <n v="0"/>
    <n v="33.533999999999999"/>
    <n v="71.2"/>
    <n v="81"/>
    <n v="879.01234567901236"/>
    <x v="5"/>
    <x v="0"/>
    <n v="25"/>
    <n v="2"/>
    <n v="69"/>
  </r>
  <r>
    <d v="2025-06-26T07:20:00"/>
    <s v="INYECTADO"/>
    <x v="6"/>
    <x v="114"/>
    <s v="CRISALIDA ZAPATA"/>
    <s v="VIRGEN"/>
    <s v="ALTA INYECCION"/>
    <s v="."/>
    <x v="12"/>
    <s v="TAPAS DE JARRA DE 5 Y 6L-ROJO"/>
    <n v="348"/>
    <n v="3"/>
    <n v="59.8"/>
    <s v="DIURNO"/>
    <m/>
    <n v="14"/>
    <n v="1104"/>
    <n v="21259"/>
    <s v="ROJO"/>
    <n v="22.8"/>
    <n v="0"/>
    <n v="0"/>
    <n v="28.187999999999999"/>
    <n v="59.8"/>
    <n v="81"/>
    <n v="738.27160493827159"/>
    <x v="5"/>
    <x v="0"/>
    <n v="25"/>
    <n v="2"/>
    <n v="58"/>
  </r>
  <r>
    <d v="2025-06-26T07:20:00"/>
    <s v="INYECTADO"/>
    <x v="6"/>
    <x v="118"/>
    <s v="CRISALIDA ZAPATA"/>
    <s v="VIRGEN"/>
    <s v="ALTA INYECCION"/>
    <s v="."/>
    <x v="12"/>
    <s v="TAPAS DE JARRA DE 5 Y 6L-AMARILLO"/>
    <n v="390"/>
    <n v="5"/>
    <n v="72"/>
    <s v="DIURNO"/>
    <m/>
    <n v="14"/>
    <n v="1104"/>
    <n v="21260"/>
    <s v="AMARILLO"/>
    <n v="9.6999999999999993"/>
    <n v="0"/>
    <n v="0"/>
    <n v="31.59"/>
    <n v="72"/>
    <n v="81"/>
    <n v="888.88888888888891"/>
    <x v="5"/>
    <x v="0"/>
    <n v="25"/>
    <n v="2"/>
    <n v="65"/>
  </r>
  <r>
    <d v="2025-06-26T07:20:00"/>
    <s v="INYECTADO"/>
    <x v="6"/>
    <x v="118"/>
    <s v="CRISALIDA ZAPATA"/>
    <s v="VIRGEN"/>
    <s v="ALTA INYECCION"/>
    <s v="."/>
    <x v="12"/>
    <s v="TAPAS DE JARRA DE 5 Y 6L-VERDE"/>
    <n v="382"/>
    <n v="5"/>
    <n v="75.3"/>
    <s v="DIURNO"/>
    <m/>
    <n v="14"/>
    <n v="1104"/>
    <n v="21260"/>
    <s v="VERDE"/>
    <n v="16.7"/>
    <n v="0"/>
    <n v="0"/>
    <n v="30.942"/>
    <n v="75.3"/>
    <n v="81"/>
    <n v="929.62962962962968"/>
    <x v="5"/>
    <x v="0"/>
    <n v="25"/>
    <n v="2"/>
    <n v="63.666666666666664"/>
  </r>
  <r>
    <d v="2025-06-26T07:20:00"/>
    <s v="INYECTADO"/>
    <x v="6"/>
    <x v="118"/>
    <s v="JOSDER GONZALEZ"/>
    <s v="VIRGEN"/>
    <s v="ALTA INYECCION"/>
    <s v="."/>
    <x v="12"/>
    <s v="TAPAS DE JARRA DE 5 Y 6L-AZUL"/>
    <n v="543"/>
    <n v="6"/>
    <n v="109"/>
    <s v="NOCTURNO"/>
    <m/>
    <n v="19"/>
    <n v="1104"/>
    <n v="21262"/>
    <s v="AZUL"/>
    <n v="0"/>
    <n v="0"/>
    <n v="0"/>
    <n v="43.982999999999997"/>
    <n v="109"/>
    <n v="81"/>
    <n v="1345.679012345679"/>
    <x v="5"/>
    <x v="0"/>
    <n v="25"/>
    <n v="2"/>
    <n v="90.5"/>
  </r>
  <r>
    <d v="2025-06-26T07:20:00"/>
    <s v="INYECTADO"/>
    <x v="6"/>
    <x v="119"/>
    <s v="ISABEL LINARIZ"/>
    <s v="VIRGEN"/>
    <s v="PP CLARIFICADO"/>
    <s v="."/>
    <x v="43"/>
    <s v="REPOSTERO 4KG-TRANSPARENTE"/>
    <n v="425"/>
    <n v="4"/>
    <n v="59.2"/>
    <s v="DIURNO"/>
    <m/>
    <n v="7"/>
    <n v="1136"/>
    <n v="21263"/>
    <s v="TRANSPARENTE"/>
    <n v="6.4"/>
    <n v="0"/>
    <n v="0"/>
    <n v="59.924999999999997"/>
    <n v="59.2"/>
    <n v="141"/>
    <n v="419.8581560283688"/>
    <x v="5"/>
    <x v="0"/>
    <n v="25"/>
    <n v="1"/>
    <n v="35.416666666666664"/>
  </r>
  <r>
    <d v="2025-06-26T07:20:00"/>
    <s v="INYECTADO"/>
    <x v="6"/>
    <x v="119"/>
    <s v="JOSDER GONZALEZ"/>
    <s v="VIRGEN"/>
    <s v="PP CLARIFICADO"/>
    <s v="."/>
    <x v="43"/>
    <s v="REPOSTERO 4KG-TRANSPARENTE"/>
    <n v="1206"/>
    <n v="11"/>
    <n v="168.9"/>
    <s v="NOCTURNO"/>
    <m/>
    <n v="20"/>
    <n v="1136"/>
    <n v="21264"/>
    <s v="TRANSPARENTE"/>
    <n v="8.1"/>
    <n v="0"/>
    <n v="0"/>
    <n v="170.04599999999999"/>
    <n v="168.9"/>
    <n v="141"/>
    <n v="1197.872340425532"/>
    <x v="5"/>
    <x v="0"/>
    <n v="25"/>
    <n v="1"/>
    <n v="100.5"/>
  </r>
  <r>
    <d v="2025-06-26T07:20:00"/>
    <s v="INYECTADO"/>
    <x v="6"/>
    <x v="136"/>
    <s v="CRISALIDA ZAPATA"/>
    <s v="VIRGEN"/>
    <s v="PP CLARIFICADO"/>
    <s v="."/>
    <x v="43"/>
    <s v="REPOSTERO 4KG-TRANSPARENTE"/>
    <n v="1072"/>
    <n v="11"/>
    <n v="151.19999999999999"/>
    <s v="DIURNO"/>
    <m/>
    <n v="18"/>
    <n v="1136"/>
    <n v="21265"/>
    <s v="TRANSPARENTE"/>
    <n v="4.9000000000000004"/>
    <n v="0"/>
    <n v="0"/>
    <n v="151.15199999999999"/>
    <n v="151.19999999999999"/>
    <n v="141"/>
    <n v="1072.3404255319149"/>
    <x v="5"/>
    <x v="0"/>
    <n v="26"/>
    <n v="1"/>
    <n v="89.333333333333329"/>
  </r>
  <r>
    <d v="2025-06-26T07:20:00"/>
    <s v="INYECTADO"/>
    <x v="6"/>
    <x v="136"/>
    <s v="ISABEL LINARIZ"/>
    <s v="VIRGEN"/>
    <s v="PP CLARIFICADO"/>
    <s v="."/>
    <x v="43"/>
    <s v="REPOSTERO 4KG-TRANSPARENTE"/>
    <n v="1406"/>
    <n v="12"/>
    <n v="198.3"/>
    <s v="NOCTURNO"/>
    <m/>
    <n v="23"/>
    <n v="1136"/>
    <n v="21266"/>
    <s v="TRANSPARENTE"/>
    <n v="3.4"/>
    <n v="0"/>
    <n v="0"/>
    <n v="198.24600000000001"/>
    <n v="198.3"/>
    <n v="141"/>
    <n v="1406.3829787234042"/>
    <x v="5"/>
    <x v="0"/>
    <n v="26"/>
    <n v="1"/>
    <n v="117.16666666666667"/>
  </r>
  <r>
    <d v="2025-06-26T07:20:00"/>
    <s v="INYECTADO"/>
    <x v="6"/>
    <x v="128"/>
    <s v="CRISALIDA ZAPATA"/>
    <s v="VIRGEN"/>
    <s v="PP CLARIFICADO"/>
    <s v="."/>
    <x v="43"/>
    <s v="REPOSTERO 4KG-TRANSPARENTE"/>
    <n v="1305"/>
    <n v="11"/>
    <n v="184.1"/>
    <s v="DIURNO"/>
    <m/>
    <n v="23"/>
    <n v="1136"/>
    <n v="21267"/>
    <s v="TRANSPARENTE"/>
    <n v="2.8"/>
    <n v="0"/>
    <n v="0"/>
    <n v="184.005"/>
    <n v="184.1"/>
    <n v="141"/>
    <n v="1305.6737588652481"/>
    <x v="5"/>
    <x v="0"/>
    <n v="26"/>
    <n v="1"/>
    <n v="108.75"/>
  </r>
  <r>
    <d v="2025-06-26T07:20:00"/>
    <s v="INYECTADO"/>
    <x v="6"/>
    <x v="123"/>
    <s v="CRISALIDA ZAPATA"/>
    <s v="VIRGEN"/>
    <s v="PP CLARIFICADO"/>
    <s v="."/>
    <x v="43"/>
    <s v="REPOSTERO 4KG-TRANSPARENTE"/>
    <n v="1300"/>
    <n v="12"/>
    <n v="182.1"/>
    <s v="DIURNO"/>
    <m/>
    <n v="21"/>
    <n v="1136"/>
    <n v="21268"/>
    <s v="TRANSPARENTE"/>
    <n v="3.9"/>
    <n v="0"/>
    <n v="0"/>
    <n v="183.3"/>
    <n v="182.1"/>
    <n v="141"/>
    <n v="1291.4893617021276"/>
    <x v="5"/>
    <x v="0"/>
    <n v="26"/>
    <n v="1"/>
    <n v="108.33333333333333"/>
  </r>
  <r>
    <d v="2025-06-26T07:20:00"/>
    <s v="INYECTADO"/>
    <x v="6"/>
    <x v="123"/>
    <s v="GABRIEL REQUENA"/>
    <s v="VIRGEN"/>
    <s v="PP CLARIFICADO"/>
    <s v="."/>
    <x v="43"/>
    <s v="REPOSTERO 4KG-TRANSPARENTE"/>
    <n v="1462"/>
    <n v="12"/>
    <n v="204.8"/>
    <s v="NOCTURNO"/>
    <m/>
    <n v="23"/>
    <n v="1136"/>
    <n v="21269"/>
    <s v="TRANSPARENTE"/>
    <n v="3.1"/>
    <n v="0"/>
    <n v="0"/>
    <n v="206.142"/>
    <n v="204.8"/>
    <n v="141"/>
    <n v="1452.4822695035461"/>
    <x v="5"/>
    <x v="0"/>
    <n v="26"/>
    <n v="1"/>
    <n v="121.83333333333333"/>
  </r>
  <r>
    <d v="2025-06-26T07:20:00"/>
    <s v="INYECTADO"/>
    <x v="6"/>
    <x v="124"/>
    <s v="CRISALIDA ZAPATA"/>
    <s v="VIRGEN"/>
    <s v="PP CLARIFICADO"/>
    <s v="."/>
    <x v="43"/>
    <s v="REPOSTERO 4KG-TRANSPARENTE"/>
    <n v="910"/>
    <n v="8"/>
    <n v="127.5"/>
    <s v="DIURNO"/>
    <m/>
    <n v="15"/>
    <n v="1136"/>
    <n v="21270"/>
    <s v="TRANSPARENTE"/>
    <n v="2.2999999999999998"/>
    <n v="0"/>
    <n v="0"/>
    <n v="128.31"/>
    <n v="127.5"/>
    <n v="141"/>
    <n v="904.25531914893622"/>
    <x v="5"/>
    <x v="0"/>
    <n v="26"/>
    <n v="1"/>
    <n v="75.833333333333329"/>
  </r>
  <r>
    <d v="2025-06-26T07:20:00"/>
    <s v="INYECTADO"/>
    <x v="6"/>
    <x v="120"/>
    <s v="NELSON PINEDO"/>
    <s v="VIRGEN"/>
    <s v="PP CLARIFICADO"/>
    <s v="."/>
    <x v="11"/>
    <s v="LAVACUELA REDONDO-CREMA"/>
    <n v="706"/>
    <n v="7"/>
    <n v="73.8"/>
    <s v="DIURNO"/>
    <m/>
    <n v="7"/>
    <n v="1140"/>
    <n v="21271"/>
    <s v="CREMA"/>
    <n v="2.4"/>
    <n v="0"/>
    <n v="0"/>
    <n v="65.305000000000007"/>
    <n v="73.8"/>
    <n v="92.5"/>
    <n v="797.83783783783781"/>
    <x v="5"/>
    <x v="0"/>
    <n v="26"/>
    <n v="1"/>
    <n v="58.833333333333336"/>
  </r>
  <r>
    <d v="2025-06-26T07:20:00"/>
    <s v="INYECTADO"/>
    <x v="6"/>
    <x v="120"/>
    <s v="GABRIEL REQUENA"/>
    <s v="VIRGEN"/>
    <s v="PP CLARIFICADO"/>
    <s v="."/>
    <x v="11"/>
    <s v="LAVACUELA REDONDO-CREMA"/>
    <n v="300"/>
    <n v="3"/>
    <n v="29.3"/>
    <s v="NOCTURNO"/>
    <m/>
    <n v="3"/>
    <n v="1140"/>
    <n v="21272"/>
    <s v="CREMA"/>
    <n v="2.1"/>
    <n v="0"/>
    <n v="0"/>
    <n v="27.75"/>
    <n v="29.3"/>
    <n v="92.5"/>
    <n v="316.75675675675677"/>
    <x v="5"/>
    <x v="0"/>
    <n v="26"/>
    <n v="1"/>
    <n v="25"/>
  </r>
  <r>
    <d v="2025-06-26T07:20:00"/>
    <s v="INYECTADO"/>
    <x v="6"/>
    <x v="120"/>
    <s v="GABRIEL REQUENA"/>
    <s v="VIRGEN"/>
    <s v="PP CLARIFICADO"/>
    <s v="."/>
    <x v="11"/>
    <s v="LAVACUELA REDONDO-VERDE"/>
    <n v="906"/>
    <n v="8"/>
    <n v="88.4"/>
    <s v="NOCTURNO"/>
    <m/>
    <n v="8"/>
    <n v="1140"/>
    <n v="21272"/>
    <s v="VERDE"/>
    <n v="1.9"/>
    <n v="0"/>
    <n v="0"/>
    <n v="83.805000000000007"/>
    <n v="88.4"/>
    <n v="92.5"/>
    <n v="955.67567567567562"/>
    <x v="5"/>
    <x v="0"/>
    <n v="26"/>
    <n v="1"/>
    <n v="75.5"/>
  </r>
  <r>
    <d v="2025-06-26T07:20:00"/>
    <s v="INYECTADO"/>
    <x v="6"/>
    <x v="129"/>
    <s v="GABRIEL REQUENA"/>
    <s v="VIRGEN"/>
    <s v="PP CLARIFICADO"/>
    <s v="."/>
    <x v="11"/>
    <s v="LAVACUELA REDONDO-VERDE"/>
    <n v="106"/>
    <n v="2"/>
    <n v="10.4"/>
    <s v="NOCTURNO"/>
    <m/>
    <n v="2"/>
    <n v="1140"/>
    <n v="21273"/>
    <s v="VERDE"/>
    <n v="10.9"/>
    <n v="0"/>
    <n v="0"/>
    <n v="9.8049999999999997"/>
    <n v="10.4"/>
    <n v="92.5"/>
    <n v="112.43243243243244"/>
    <x v="5"/>
    <x v="0"/>
    <n v="27"/>
    <n v="1"/>
    <n v="8.8333333333333339"/>
  </r>
  <r>
    <d v="2025-06-26T07:20:00"/>
    <s v="INYECTADO"/>
    <x v="6"/>
    <x v="129"/>
    <s v="GABRIEL REQUENA"/>
    <s v="VIRGEN"/>
    <s v="PP CLARIFICADO"/>
    <s v="."/>
    <x v="11"/>
    <s v="LAVACUELA REDONDO-TURQUESA"/>
    <n v="920"/>
    <n v="10"/>
    <n v="89.7"/>
    <s v="NOCTURNO"/>
    <m/>
    <n v="8"/>
    <n v="1140"/>
    <n v="21273"/>
    <s v="TURQUESA"/>
    <n v="7.2"/>
    <n v="0"/>
    <n v="0"/>
    <n v="85.1"/>
    <n v="89.7"/>
    <n v="92.5"/>
    <n v="969.72972972972968"/>
    <x v="5"/>
    <x v="0"/>
    <n v="27"/>
    <n v="1"/>
    <n v="76.666666666666671"/>
  </r>
  <r>
    <d v="2025-06-26T07:20:00"/>
    <s v="INYECTADO"/>
    <x v="2"/>
    <x v="137"/>
    <s v="SAID VILLAMIZAR"/>
    <s v="VIRGEN"/>
    <s v="PP CLARIFICADO"/>
    <s v="."/>
    <x v="70"/>
    <s v="REPOSTERO 6KG -TRANSPARENTE"/>
    <n v="719"/>
    <n v="8"/>
    <n v="151.1"/>
    <s v="DIURNO"/>
    <m/>
    <n v="13"/>
    <n v="1122"/>
    <n v="21906"/>
    <s v="TRANSPARENTE"/>
    <n v="1.5"/>
    <n v="0"/>
    <n v="0"/>
    <n v="151.709"/>
    <n v="151.1"/>
    <n v="211"/>
    <n v="716.11374407582935"/>
    <x v="5"/>
    <x v="0"/>
    <n v="22"/>
    <n v="1"/>
    <n v="59.916666666666664"/>
  </r>
  <r>
    <d v="2025-06-26T07:20:00"/>
    <s v="INYECTADO"/>
    <x v="2"/>
    <x v="111"/>
    <s v="ISABEL LINARIZ"/>
    <s v="VIRGEN"/>
    <s v="PP CLARIFICADO"/>
    <s v="."/>
    <x v="70"/>
    <s v="REPOSTERO 6KG -TRANSPARENTE"/>
    <n v="1089"/>
    <n v="10"/>
    <n v="222.3"/>
    <s v="DIURNO"/>
    <m/>
    <n v="17"/>
    <n v="1122"/>
    <n v="21907"/>
    <s v="TRANSPARENTE"/>
    <n v="4.0999999999999996"/>
    <n v="0"/>
    <n v="0"/>
    <n v="229.779"/>
    <n v="222.3"/>
    <n v="211"/>
    <n v="1053.5545023696682"/>
    <x v="5"/>
    <x v="0"/>
    <n v="23"/>
    <n v="1"/>
    <n v="90.75"/>
  </r>
  <r>
    <d v="2025-06-26T07:20:00"/>
    <s v="INYECTADO"/>
    <x v="2"/>
    <x v="131"/>
    <s v="LUIS RENGIFO"/>
    <s v="VIRGEN"/>
    <s v="PP CLARIFICADO"/>
    <s v="."/>
    <x v="70"/>
    <s v="REPOSTERO 6KG -TRANSPARENTE"/>
    <n v="922"/>
    <n v="10"/>
    <n v="192.9"/>
    <s v="DIURNO"/>
    <m/>
    <n v="16"/>
    <n v="1122"/>
    <n v="21908"/>
    <s v="TRANSPARENTE"/>
    <n v="5.3"/>
    <n v="0"/>
    <n v="0"/>
    <n v="194.542"/>
    <n v="192.9"/>
    <n v="211"/>
    <n v="914.21800947867303"/>
    <x v="5"/>
    <x v="0"/>
    <n v="23"/>
    <n v="1"/>
    <n v="76.833333333333329"/>
  </r>
  <r>
    <d v="2025-06-26T07:20:00"/>
    <s v="INYECTADO"/>
    <x v="2"/>
    <x v="121"/>
    <m/>
    <s v="VIRGEN"/>
    <s v="PP CLARIFICADO"/>
    <s v="."/>
    <x v="70"/>
    <s v="REPOSTERO 6KG -TRANSPARENTE"/>
    <n v="1075"/>
    <n v="10"/>
    <n v="225.8"/>
    <s v="DIURNO"/>
    <m/>
    <n v="18"/>
    <n v="1122"/>
    <n v="21909"/>
    <s v="TRANSPARENTE"/>
    <n v="5.4"/>
    <n v="0"/>
    <n v="0"/>
    <n v="226.82499999999999"/>
    <n v="225.8"/>
    <n v="211"/>
    <n v="1070.1421800947867"/>
    <x v="5"/>
    <x v="0"/>
    <n v="23"/>
    <n v="1"/>
    <n v="89.583333333333329"/>
  </r>
  <r>
    <d v="2025-06-26T07:20:00"/>
    <s v="INYECTADO"/>
    <x v="2"/>
    <x v="122"/>
    <m/>
    <s v="VIRGEN"/>
    <s v="PP CLARIFICADO"/>
    <s v="."/>
    <x v="70"/>
    <s v="REPOSTERO 6KG -TRANSPARENTE"/>
    <n v="1092"/>
    <n v="10"/>
    <n v="230.5"/>
    <s v="DIURNO"/>
    <m/>
    <n v="18"/>
    <n v="1122"/>
    <n v="21910"/>
    <s v="TRANSPARENTE"/>
    <n v="0"/>
    <n v="0"/>
    <n v="0"/>
    <n v="230.41200000000001"/>
    <n v="230.5"/>
    <n v="211"/>
    <n v="1092.4170616113745"/>
    <x v="5"/>
    <x v="0"/>
    <n v="23"/>
    <n v="1"/>
    <n v="91"/>
  </r>
  <r>
    <d v="2025-06-26T07:20:00"/>
    <s v="INYECTADO"/>
    <x v="2"/>
    <x v="112"/>
    <s v="GABRIEL ORDAZ"/>
    <s v="VIRGEN"/>
    <s v="PP CLARIFICADO"/>
    <s v="."/>
    <x v="70"/>
    <s v="REPOSTERO 6KG -TRANSPARENTE"/>
    <n v="597"/>
    <n v="8"/>
    <n v="126"/>
    <s v="DIURNO"/>
    <m/>
    <n v="10"/>
    <n v="1122"/>
    <n v="21911"/>
    <s v="TRANSPARENTE"/>
    <n v="12.2"/>
    <n v="0"/>
    <n v="0"/>
    <n v="125.967"/>
    <n v="126"/>
    <n v="211"/>
    <n v="597.15639810426535"/>
    <x v="5"/>
    <x v="0"/>
    <n v="23"/>
    <n v="1"/>
    <n v="49.75"/>
  </r>
  <r>
    <d v="2025-06-26T07:20:00"/>
    <s v="INYECTADO"/>
    <x v="2"/>
    <x v="113"/>
    <s v="CRISALIDA ZAPATA"/>
    <s v="VIRGEN"/>
    <s v="PP CLARIFICADO"/>
    <s v="."/>
    <x v="70"/>
    <s v="REPOSTERO 6KG -TRANSPARENTE"/>
    <n v="643"/>
    <n v="6"/>
    <n v="135.80000000000001"/>
    <s v="DIURNO"/>
    <m/>
    <n v="6"/>
    <n v="1122"/>
    <n v="21912"/>
    <s v="TRANSPARENTE"/>
    <n v="9.6"/>
    <n v="0"/>
    <n v="0"/>
    <n v="135.673"/>
    <n v="135.80000000000001"/>
    <n v="211"/>
    <n v="643.60189573459718"/>
    <x v="5"/>
    <x v="0"/>
    <n v="24"/>
    <n v="1"/>
    <n v="53.583333333333336"/>
  </r>
  <r>
    <d v="2025-06-26T07:20:00"/>
    <s v="INYECTADO"/>
    <x v="2"/>
    <x v="132"/>
    <s v="LUIS RENGIFO"/>
    <s v="VIRGEN"/>
    <s v="PP CLARIFICADO"/>
    <s v="."/>
    <x v="15"/>
    <s v="VASO MUNDO MANZANITA CARAMELO-AMARILLO"/>
    <n v="370"/>
    <n v="3"/>
    <n v="48.9"/>
    <s v="DIURNO"/>
    <m/>
    <n v="5"/>
    <n v="1128"/>
    <n v="21913"/>
    <s v="AMARILLO"/>
    <n v="1.9"/>
    <n v="0"/>
    <n v="0"/>
    <n v="8.14"/>
    <n v="48.9"/>
    <n v="22"/>
    <n v="2222.7272727272725"/>
    <x v="5"/>
    <x v="0"/>
    <n v="24"/>
    <n v="6"/>
    <n v="185"/>
  </r>
  <r>
    <d v="2025-06-26T07:20:00"/>
    <s v="INYECTADO"/>
    <x v="2"/>
    <x v="132"/>
    <s v="LUIS RENGIFO"/>
    <s v="VIRGEN"/>
    <s v="PP CLARIFICADO"/>
    <s v="."/>
    <x v="15"/>
    <s v="VASO MUNDO MANZANITA CARAMELO-VERDE"/>
    <n v="359"/>
    <n v="3"/>
    <n v="47.5"/>
    <s v="DIURNO"/>
    <m/>
    <n v="5"/>
    <n v="1128"/>
    <n v="21913"/>
    <s v="VERDE"/>
    <n v="0"/>
    <n v="0"/>
    <n v="0"/>
    <n v="7.8979999999999997"/>
    <n v="47.5"/>
    <n v="22"/>
    <n v="2159.090909090909"/>
    <x v="5"/>
    <x v="0"/>
    <n v="24"/>
    <n v="6"/>
    <n v="179.5"/>
  </r>
  <r>
    <d v="2025-06-26T07:20:00"/>
    <s v="INYECTADO"/>
    <x v="2"/>
    <x v="133"/>
    <s v="LUIS RENGIFO"/>
    <s v="VIRGEN"/>
    <s v="PP CLARIFICADO"/>
    <s v="."/>
    <x v="15"/>
    <s v="VASO MUNDO MANZANITA CARAMELO-FUCSIA"/>
    <n v="361"/>
    <n v="4"/>
    <n v="48.4"/>
    <s v="DIURNO"/>
    <m/>
    <n v="5"/>
    <n v="1128"/>
    <n v="21914"/>
    <s v="FUCSIA"/>
    <n v="0"/>
    <n v="0"/>
    <n v="0"/>
    <n v="7.9420000000000002"/>
    <n v="48.4"/>
    <n v="22"/>
    <n v="2200"/>
    <x v="5"/>
    <x v="0"/>
    <n v="24"/>
    <n v="6"/>
    <n v="180.5"/>
  </r>
  <r>
    <d v="2025-06-26T07:20:00"/>
    <s v="INYECTADO"/>
    <x v="2"/>
    <x v="133"/>
    <s v="LUIS RENGIFO"/>
    <s v="VIRGEN"/>
    <s v="PP CLARIFICADO"/>
    <s v="."/>
    <x v="15"/>
    <s v="VASO MUNDO MANZANITA CARAMELO-ANARANJADO"/>
    <n v="384"/>
    <n v="4"/>
    <n v="50.8"/>
    <s v="DIURNO"/>
    <m/>
    <n v="6"/>
    <n v="128"/>
    <n v="21914"/>
    <s v="NARANJA"/>
    <n v="0"/>
    <n v="0"/>
    <n v="0"/>
    <n v="8.4480000000000004"/>
    <n v="50.8"/>
    <n v="22"/>
    <n v="2309.090909090909"/>
    <x v="5"/>
    <x v="0"/>
    <n v="24"/>
    <n v="6"/>
    <n v="192"/>
  </r>
  <r>
    <d v="2025-06-26T07:20:00"/>
    <s v="INYECTADO"/>
    <x v="2"/>
    <x v="133"/>
    <s v="LUIS RENGIFO"/>
    <s v="VIRGEN"/>
    <s v="PP CLARIFICADO"/>
    <s v="."/>
    <x v="15"/>
    <s v="VASO MUNDO MANZANITA CARAMELO-LILA"/>
    <n v="222"/>
    <n v="1"/>
    <n v="29.6"/>
    <s v="DIURNO"/>
    <m/>
    <n v="3"/>
    <n v="1128"/>
    <n v="21914"/>
    <s v="LILA"/>
    <n v="0"/>
    <n v="0"/>
    <n v="0"/>
    <n v="4.8840000000000003"/>
    <n v="29.6"/>
    <n v="22"/>
    <n v="1345.4545454545455"/>
    <x v="5"/>
    <x v="0"/>
    <n v="24"/>
    <n v="6"/>
    <n v="111"/>
  </r>
  <r>
    <d v="2025-06-26T07:20:00"/>
    <s v="INYECTADO"/>
    <x v="2"/>
    <x v="133"/>
    <s v="LUIS RENGIFO"/>
    <s v="VIRGEN"/>
    <s v="PP CLARIFICADO"/>
    <s v="."/>
    <x v="15"/>
    <s v="VASO MUNDO MANZANITA CARAMELO-VERDE"/>
    <n v="23"/>
    <n v="1"/>
    <n v="3.1"/>
    <s v="DIURNO"/>
    <m/>
    <n v="1"/>
    <n v="1128"/>
    <n v="21914"/>
    <s v="VERDE"/>
    <n v="0"/>
    <n v="0"/>
    <n v="0"/>
    <n v="0.50600000000000001"/>
    <n v="3.1"/>
    <n v="22"/>
    <n v="140.90909090909091"/>
    <x v="5"/>
    <x v="0"/>
    <n v="24"/>
    <n v="6"/>
    <n v="11.5"/>
  </r>
  <r>
    <d v="2025-06-26T07:20:00"/>
    <s v="INYECTADO"/>
    <x v="2"/>
    <x v="134"/>
    <s v="GABRIEL ORDAZ"/>
    <s v="VIRGEN"/>
    <s v="PP CLARIFICADO"/>
    <s v="."/>
    <x v="15"/>
    <s v="VASO MUNDO MANZANITA CARAMELO-ANARANJADO"/>
    <n v="294"/>
    <n v="3"/>
    <n v="38.799999999999997"/>
    <s v="DIURNO"/>
    <m/>
    <n v="3"/>
    <n v="1128"/>
    <n v="21916"/>
    <s v="NARANJA"/>
    <n v="0.8"/>
    <n v="0"/>
    <n v="0"/>
    <n v="6.468"/>
    <n v="38.799999999999997"/>
    <n v="22"/>
    <n v="1763.6363636363637"/>
    <x v="5"/>
    <x v="0"/>
    <n v="24"/>
    <n v="6"/>
    <n v="147"/>
  </r>
  <r>
    <d v="2025-06-26T07:20:00"/>
    <s v="INYECTADO"/>
    <x v="2"/>
    <x v="134"/>
    <s v="GABRIEL ORDAZ"/>
    <s v="VIRGEN"/>
    <s v="PP CLARIFICADO"/>
    <s v="."/>
    <x v="15"/>
    <s v="VASO MUNDO MANZANITA CARAMELO-LILA"/>
    <n v="147"/>
    <n v="2"/>
    <n v="19.5"/>
    <s v="DIURNO"/>
    <m/>
    <n v="2"/>
    <n v="1128"/>
    <n v="21916"/>
    <s v="LILA"/>
    <n v="3.2"/>
    <n v="0"/>
    <n v="0"/>
    <n v="3.234"/>
    <n v="19.5"/>
    <n v="22"/>
    <n v="886.36363636363637"/>
    <x v="5"/>
    <x v="0"/>
    <n v="24"/>
    <n v="6"/>
    <n v="73.5"/>
  </r>
  <r>
    <d v="2025-06-26T07:20:00"/>
    <s v="INYECTADO"/>
    <x v="2"/>
    <x v="134"/>
    <s v="GABRIEL ORDAZ"/>
    <s v="VIRGEN"/>
    <s v="PP CLARIFICADO"/>
    <s v="."/>
    <x v="15"/>
    <s v="VASO MUNDO MANZANITA CARAMELO-FUCSIA"/>
    <n v="385"/>
    <n v="4"/>
    <n v="50.9"/>
    <s v="DIURNO"/>
    <m/>
    <n v="4"/>
    <n v="1128"/>
    <n v="21916"/>
    <s v="ROSADO"/>
    <n v="3.8"/>
    <n v="0"/>
    <n v="0"/>
    <n v="8.4700000000000006"/>
    <n v="50.9"/>
    <n v="22"/>
    <n v="2313.6363636363635"/>
    <x v="5"/>
    <x v="0"/>
    <n v="24"/>
    <n v="6"/>
    <n v="192.5"/>
  </r>
  <r>
    <d v="2025-06-26T07:20:00"/>
    <s v="INYECTADO"/>
    <x v="2"/>
    <x v="134"/>
    <s v="JUAN MANUEL PEREZ"/>
    <s v="VIRGEN"/>
    <s v="PP CLARIFICADO"/>
    <s v="."/>
    <x v="15"/>
    <s v="VASO MUNDO MANZANITA CARAMELO-ANARANJADO"/>
    <n v="60"/>
    <n v="1"/>
    <n v="8"/>
    <s v="NOCTURNO"/>
    <m/>
    <n v="2"/>
    <n v="1128"/>
    <n v="21917"/>
    <s v="NARANJA"/>
    <n v="2"/>
    <n v="0"/>
    <n v="0"/>
    <n v="1.32"/>
    <n v="8"/>
    <n v="22"/>
    <n v="363.63636363636363"/>
    <x v="5"/>
    <x v="0"/>
    <n v="24"/>
    <n v="6"/>
    <n v="30"/>
  </r>
  <r>
    <d v="2025-06-26T07:20:00"/>
    <s v="INYECTADO"/>
    <x v="2"/>
    <x v="134"/>
    <s v="JUAN MANUEL PEREZ"/>
    <s v="VIRGEN"/>
    <s v="PP CLARIFICADO"/>
    <s v="."/>
    <x v="15"/>
    <s v="VASO MUNDO MANZANITA CARAMELO-AMARILLO"/>
    <n v="387"/>
    <n v="4"/>
    <n v="51.2"/>
    <s v="NOCTURNO"/>
    <m/>
    <n v="6"/>
    <n v="1128"/>
    <n v="21917"/>
    <s v="AMARILLO"/>
    <n v="1"/>
    <n v="0"/>
    <n v="0"/>
    <n v="8.5139999999999993"/>
    <n v="51.2"/>
    <n v="22"/>
    <n v="2327.2727272727275"/>
    <x v="5"/>
    <x v="0"/>
    <n v="24"/>
    <n v="6"/>
    <n v="193.5"/>
  </r>
  <r>
    <d v="2025-06-26T07:20:00"/>
    <s v="INYECTADO"/>
    <x v="2"/>
    <x v="134"/>
    <s v="JUAN MANUEL PEREZ"/>
    <s v="VIRGEN"/>
    <s v="PP CLARIFICADO"/>
    <s v="."/>
    <x v="15"/>
    <s v="VASO MUNDO MANZANITA CARAMELO-VERDE"/>
    <n v="386"/>
    <n v="4"/>
    <n v="51"/>
    <s v="NOCTURNO"/>
    <m/>
    <n v="6"/>
    <n v="1128"/>
    <n v="21917"/>
    <s v="VERDE"/>
    <n v="0"/>
    <n v="0"/>
    <n v="0"/>
    <n v="8.4920000000000009"/>
    <n v="51"/>
    <n v="22"/>
    <n v="2318.181818181818"/>
    <x v="5"/>
    <x v="0"/>
    <n v="24"/>
    <n v="6"/>
    <n v="193"/>
  </r>
  <r>
    <d v="2025-06-26T07:20:00"/>
    <s v="INYECTADO"/>
    <x v="2"/>
    <x v="134"/>
    <s v="JUAN MANUEL PEREZ"/>
    <s v="VIRGEN"/>
    <s v="PP CLARIFICADO"/>
    <s v="."/>
    <x v="15"/>
    <s v="VASO MUNDO MANZANITA CARAMELO-AZUL"/>
    <n v="157"/>
    <n v="2"/>
    <n v="20.8"/>
    <s v="NOCTURNO"/>
    <m/>
    <n v="2"/>
    <n v="1128"/>
    <n v="21917"/>
    <s v="AZUL"/>
    <n v="1"/>
    <n v="0"/>
    <n v="0"/>
    <n v="3.4540000000000002"/>
    <n v="20.8"/>
    <n v="22"/>
    <n v="945.4545454545455"/>
    <x v="5"/>
    <x v="0"/>
    <n v="24"/>
    <n v="6"/>
    <n v="78.5"/>
  </r>
  <r>
    <d v="2025-06-26T07:20:00"/>
    <s v="INYECTADO"/>
    <x v="2"/>
    <x v="126"/>
    <s v="SAID VILLAMIZAR"/>
    <s v="VIRGEN"/>
    <s v="PP CLARIFICADO"/>
    <s v="."/>
    <x v="15"/>
    <s v="VASO MUNDO MANZANITA CARAMELO-AZUL"/>
    <n v="517"/>
    <n v="5"/>
    <n v="68.3"/>
    <s v="DIURNO"/>
    <m/>
    <n v="6"/>
    <n v="1128"/>
    <n v="21918"/>
    <s v="AZUL"/>
    <n v="0"/>
    <n v="0"/>
    <n v="0"/>
    <n v="11.374000000000001"/>
    <n v="68.3"/>
    <n v="22"/>
    <n v="3104.5454545454545"/>
    <x v="5"/>
    <x v="0"/>
    <n v="24"/>
    <n v="6"/>
    <n v="258.5"/>
  </r>
  <r>
    <d v="2025-06-26T07:20:00"/>
    <s v="INYECTADO"/>
    <x v="2"/>
    <x v="126"/>
    <s v="SAID VILLAMIZAR"/>
    <s v="VIRGEN"/>
    <s v="PP CLARIFICADO"/>
    <s v="."/>
    <x v="15"/>
    <s v="VASO MUNDO MANZANITA CARAMELO-LILA"/>
    <n v="476"/>
    <n v="5"/>
    <n v="62.9"/>
    <s v="DIURNO"/>
    <m/>
    <n v="5"/>
    <n v="1128"/>
    <n v="21918"/>
    <s v="LILA"/>
    <n v="0"/>
    <n v="0"/>
    <n v="0"/>
    <n v="10.472"/>
    <n v="62.9"/>
    <n v="22"/>
    <n v="2859.090909090909"/>
    <x v="5"/>
    <x v="0"/>
    <n v="24"/>
    <n v="6"/>
    <n v="238"/>
  </r>
  <r>
    <d v="2025-06-26T07:20:00"/>
    <s v="INYECTADO"/>
    <x v="2"/>
    <x v="127"/>
    <m/>
    <s v="VIRGEN"/>
    <s v="PP CLARIFICADO"/>
    <s v="."/>
    <x v="15"/>
    <s v="VASO MUNDO MANZANITA CARAMELO-LILA"/>
    <n v="485"/>
    <n v="4"/>
    <n v="64.099999999999994"/>
    <s v="DIURNO"/>
    <m/>
    <n v="7"/>
    <n v="1128"/>
    <n v="21919"/>
    <s v="LILA"/>
    <n v="3.5"/>
    <n v="0"/>
    <n v="0"/>
    <n v="10.67"/>
    <n v="64.099999999999994"/>
    <n v="22"/>
    <n v="2913.6363636363635"/>
    <x v="5"/>
    <x v="0"/>
    <n v="24"/>
    <n v="6"/>
    <n v="242.5"/>
  </r>
  <r>
    <d v="2025-06-26T07:20:00"/>
    <s v="INYECTADO"/>
    <x v="2"/>
    <x v="127"/>
    <m/>
    <s v="VIRGEN"/>
    <s v="PP CLARIFICADO"/>
    <s v="."/>
    <x v="15"/>
    <s v="VASO MUNDO MANZANITA CARAMELO-ANARANJADO"/>
    <n v="246"/>
    <n v="3"/>
    <n v="32.5"/>
    <s v="DIURNO"/>
    <m/>
    <n v="3"/>
    <n v="1128"/>
    <n v="21919"/>
    <s v="NARANJA"/>
    <n v="0.8"/>
    <n v="0"/>
    <n v="0"/>
    <n v="5.4119999999999999"/>
    <n v="32.5"/>
    <n v="22"/>
    <n v="1477.2727272727273"/>
    <x v="5"/>
    <x v="0"/>
    <n v="24"/>
    <n v="6"/>
    <n v="123"/>
  </r>
  <r>
    <d v="2025-06-26T07:20:00"/>
    <s v="INYECTADO"/>
    <x v="2"/>
    <x v="127"/>
    <m/>
    <s v="VIRGEN"/>
    <s v="PP CLARIFICADO"/>
    <s v="."/>
    <x v="15"/>
    <s v="VASO MUNDO MANZANITA CARAMELO-FUCSIA"/>
    <n v="317"/>
    <n v="2"/>
    <n v="41.9"/>
    <s v="DIURNO"/>
    <m/>
    <n v="4"/>
    <n v="1128"/>
    <n v="21919"/>
    <s v="FUCSIA"/>
    <n v="2.5"/>
    <n v="0"/>
    <n v="0"/>
    <n v="6.9740000000000002"/>
    <n v="41.9"/>
    <n v="22"/>
    <n v="1904.5454545454545"/>
    <x v="5"/>
    <x v="0"/>
    <n v="24"/>
    <n v="6"/>
    <n v="158.5"/>
  </r>
  <r>
    <d v="2025-06-26T07:20:00"/>
    <s v="INYECTADO"/>
    <x v="2"/>
    <x v="127"/>
    <s v="JOSDER GONZALEZ"/>
    <s v="VIRGEN"/>
    <s v="PP CLARIFICADO"/>
    <s v="."/>
    <x v="15"/>
    <s v="VASO MUNDO MANZANITA CARAMELO-ANARANJADO"/>
    <n v="137"/>
    <n v="2"/>
    <n v="17.899999999999999"/>
    <s v="NOCTURNO"/>
    <m/>
    <n v="3"/>
    <n v="1128"/>
    <n v="21920"/>
    <s v="NARANJA"/>
    <n v="2.8"/>
    <n v="0"/>
    <n v="0"/>
    <n v="3.0139999999999998"/>
    <n v="17.899999999999999"/>
    <n v="22"/>
    <n v="813.63636363636363"/>
    <x v="5"/>
    <x v="0"/>
    <n v="24"/>
    <n v="6"/>
    <n v="68.5"/>
  </r>
  <r>
    <d v="2025-06-26T07:20:00"/>
    <s v="INYECTADO"/>
    <x v="2"/>
    <x v="127"/>
    <s v="JOSDER GONZALEZ"/>
    <s v="VIRGEN"/>
    <s v="PP CLARIFICADO"/>
    <s v="."/>
    <x v="15"/>
    <s v="VASO MUNDO MANZANITA CARAMELO-AMARILLO"/>
    <n v="391"/>
    <n v="4"/>
    <n v="50.9"/>
    <s v="NOCTURNO"/>
    <m/>
    <n v="5"/>
    <n v="1128"/>
    <n v="21920"/>
    <s v="AMARILLO"/>
    <n v="0.7"/>
    <n v="0"/>
    <n v="0"/>
    <n v="8.6020000000000003"/>
    <n v="50.9"/>
    <n v="22"/>
    <n v="2313.6363636363635"/>
    <x v="5"/>
    <x v="0"/>
    <n v="24"/>
    <n v="6"/>
    <n v="195.5"/>
  </r>
  <r>
    <d v="2025-06-26T07:20:00"/>
    <s v="INYECTADO"/>
    <x v="2"/>
    <x v="127"/>
    <s v="JOSDER GONZALEZ"/>
    <s v="VIRGEN"/>
    <s v="PP CLARIFICADO"/>
    <s v="."/>
    <x v="15"/>
    <s v="VASO MUNDO MANZANITA CARAMELO-VERDE"/>
    <n v="384"/>
    <n v="4"/>
    <n v="51.2"/>
    <s v="NOCTURNO"/>
    <m/>
    <n v="5"/>
    <n v="1128"/>
    <n v="21920"/>
    <s v="VERDE"/>
    <n v="2.2000000000000002"/>
    <n v="0"/>
    <n v="0"/>
    <n v="8.4480000000000004"/>
    <n v="51.2"/>
    <n v="22"/>
    <n v="2327.2727272727275"/>
    <x v="5"/>
    <x v="0"/>
    <n v="24"/>
    <n v="6"/>
    <n v="192"/>
  </r>
  <r>
    <d v="2025-06-26T07:20:00"/>
    <s v="INYECTADO"/>
    <x v="2"/>
    <x v="127"/>
    <s v="JOSDER GONZALEZ"/>
    <s v="VIRGEN"/>
    <s v="PP CLARIFICADO"/>
    <s v="."/>
    <x v="15"/>
    <s v="VASO MUNDO MANZANITA CARAMELO-AZUL"/>
    <n v="112"/>
    <n v="1"/>
    <n v="15"/>
    <s v="NOCTURNO"/>
    <m/>
    <n v="2"/>
    <n v="1128"/>
    <n v="21920"/>
    <s v="AZUL"/>
    <n v="0.4"/>
    <n v="0"/>
    <n v="0"/>
    <n v="2.464"/>
    <n v="15"/>
    <n v="22"/>
    <n v="681.81818181818187"/>
    <x v="5"/>
    <x v="0"/>
    <n v="24"/>
    <n v="6"/>
    <n v="56"/>
  </r>
  <r>
    <d v="2025-06-26T07:20:00"/>
    <s v="INYECTADO"/>
    <x v="2"/>
    <x v="114"/>
    <s v="SAID VILLAMIZAR"/>
    <s v="VIRGEN"/>
    <s v="PP CLARIFICADO"/>
    <s v="."/>
    <x v="15"/>
    <s v="VASO MUNDO MANZANITA CARAMELO-AMARILLO"/>
    <n v="34"/>
    <n v="1"/>
    <n v="4.5999999999999996"/>
    <s v="DIURNO"/>
    <m/>
    <n v="1"/>
    <n v="1128"/>
    <n v="21921"/>
    <s v="AMARILLO"/>
    <n v="0"/>
    <n v="0"/>
    <n v="0"/>
    <n v="0.748"/>
    <n v="4.5999999999999996"/>
    <n v="22"/>
    <n v="209.09090909090909"/>
    <x v="5"/>
    <x v="0"/>
    <n v="25"/>
    <n v="6"/>
    <n v="17"/>
  </r>
  <r>
    <d v="2025-06-26T07:20:00"/>
    <s v="INYECTADO"/>
    <x v="2"/>
    <x v="114"/>
    <s v="SAID VILLAMIZAR"/>
    <s v="VIRGEN"/>
    <s v="PP CLARIFICADO"/>
    <s v="."/>
    <x v="15"/>
    <s v="VASO MUNDO MANZANITA CARAMELO-VERDE"/>
    <n v="462"/>
    <n v="4"/>
    <n v="50.4"/>
    <s v="DIURNO"/>
    <m/>
    <n v="5"/>
    <n v="1128"/>
    <n v="21921"/>
    <s v="VERDE"/>
    <n v="4.0999999999999996"/>
    <n v="0"/>
    <n v="0"/>
    <n v="10.164"/>
    <n v="50.4"/>
    <n v="22"/>
    <n v="2290.909090909091"/>
    <x v="5"/>
    <x v="0"/>
    <n v="25"/>
    <n v="6"/>
    <n v="231"/>
  </r>
  <r>
    <d v="2025-06-26T07:20:00"/>
    <s v="INYECTADO"/>
    <x v="2"/>
    <x v="114"/>
    <s v="SAID VILLAMIZAR"/>
    <s v="VIRGEN"/>
    <s v="PP CLARIFICADO"/>
    <s v="."/>
    <x v="15"/>
    <s v="VASO MUNDO MANZANITA CARAMELO-AZUL"/>
    <n v="381"/>
    <n v="3"/>
    <n v="61.1"/>
    <s v="DIURNO"/>
    <m/>
    <n v="7"/>
    <n v="1128"/>
    <n v="21921"/>
    <s v="AZUL"/>
    <n v="0"/>
    <n v="0"/>
    <n v="0"/>
    <n v="8.3819999999999997"/>
    <n v="61.1"/>
    <n v="22"/>
    <n v="2777.2727272727275"/>
    <x v="5"/>
    <x v="0"/>
    <n v="25"/>
    <n v="6"/>
    <n v="190.5"/>
  </r>
  <r>
    <d v="2025-06-26T07:20:00"/>
    <s v="INYECTADO"/>
    <x v="2"/>
    <x v="114"/>
    <s v="GABRIEL REQUENA"/>
    <s v="VIRGEN"/>
    <s v="PP CLARIFICADO"/>
    <s v="."/>
    <x v="15"/>
    <s v="VASO MUNDO MANZANITA CARAMELO-AMARILLO"/>
    <n v="251"/>
    <n v="3"/>
    <n v="33.200000000000003"/>
    <s v="DIURNO"/>
    <m/>
    <n v="3"/>
    <n v="1128"/>
    <n v="21922"/>
    <s v="AMARILLO"/>
    <n v="3.3"/>
    <n v="0"/>
    <n v="0"/>
    <n v="5.5220000000000002"/>
    <n v="33.200000000000003"/>
    <n v="22"/>
    <n v="1509.090909090909"/>
    <x v="5"/>
    <x v="0"/>
    <n v="25"/>
    <n v="6"/>
    <n v="125.5"/>
  </r>
  <r>
    <d v="2025-06-26T07:20:00"/>
    <s v="INYECTADO"/>
    <x v="2"/>
    <x v="115"/>
    <s v="LUIS FERNANDO"/>
    <s v="VIRGEN"/>
    <s v="PP CLARIFICADO"/>
    <s v="."/>
    <x v="15"/>
    <s v="VASO MUNDO MANZANITA CARAMELO-ANARANJADO"/>
    <n v="482"/>
    <n v="5"/>
    <n v="63.7"/>
    <s v="DIURNO"/>
    <m/>
    <n v="7"/>
    <n v="1128"/>
    <n v="21923"/>
    <s v="NARANJA"/>
    <n v="0"/>
    <n v="0"/>
    <n v="0"/>
    <n v="10.603999999999999"/>
    <n v="63.7"/>
    <n v="22"/>
    <n v="2895.4545454545455"/>
    <x v="5"/>
    <x v="0"/>
    <n v="25"/>
    <n v="6"/>
    <n v="241"/>
  </r>
  <r>
    <d v="2025-06-26T07:20:00"/>
    <s v="INYECTADO"/>
    <x v="2"/>
    <x v="115"/>
    <s v="LUIS FERNANDO"/>
    <s v="VIRGEN"/>
    <s v="PP CLARIFICADO"/>
    <s v="."/>
    <x v="15"/>
    <s v="VASO MUNDO MANZANITA CARAMELO-LILA"/>
    <n v="462"/>
    <n v="6"/>
    <n v="61.1"/>
    <s v="DIURNO"/>
    <m/>
    <n v="6"/>
    <n v="1128"/>
    <n v="21923"/>
    <s v="LILA"/>
    <n v="0"/>
    <n v="0"/>
    <n v="0"/>
    <n v="10.164"/>
    <n v="61.1"/>
    <n v="22"/>
    <n v="2777.2727272727275"/>
    <x v="5"/>
    <x v="0"/>
    <n v="25"/>
    <n v="6"/>
    <n v="231"/>
  </r>
  <r>
    <d v="2025-06-26T07:20:00"/>
    <s v="INYECTADO"/>
    <x v="2"/>
    <x v="116"/>
    <s v="LUIS FERNANDO"/>
    <s v="VIRGEN"/>
    <s v="PP CLARIFICADO"/>
    <s v="."/>
    <x v="15"/>
    <s v="VASO MUNDO MANZANITA CARAMELO-FUCSIA"/>
    <n v="818"/>
    <n v="8"/>
    <n v="108.9"/>
    <s v="DIURNO"/>
    <m/>
    <n v="10"/>
    <n v="1128"/>
    <n v="21924"/>
    <s v="FUCSIA"/>
    <n v="0"/>
    <n v="0"/>
    <n v="0"/>
    <n v="17.995999999999999"/>
    <n v="108.9"/>
    <n v="22"/>
    <n v="4950"/>
    <x v="5"/>
    <x v="0"/>
    <n v="25"/>
    <n v="6"/>
    <n v="409"/>
  </r>
  <r>
    <d v="2025-06-26T07:20:00"/>
    <s v="INYECTADO"/>
    <x v="2"/>
    <x v="116"/>
    <s v="LUIS FERNANDO"/>
    <s v="VIRGEN"/>
    <s v="PP CLARIFICADO"/>
    <s v="."/>
    <x v="15"/>
    <s v="VASO MUNDO MANZANITA CARAMELO-LILA"/>
    <n v="155"/>
    <n v="2"/>
    <n v="20.7"/>
    <s v="DIURNO"/>
    <m/>
    <n v="1"/>
    <n v="1128"/>
    <n v="21924"/>
    <s v="LILA"/>
    <n v="0"/>
    <n v="0"/>
    <n v="0"/>
    <n v="3.41"/>
    <n v="20.7"/>
    <n v="22"/>
    <n v="940.90909090909088"/>
    <x v="5"/>
    <x v="0"/>
    <n v="25"/>
    <n v="6"/>
    <n v="77.5"/>
  </r>
  <r>
    <d v="2025-06-26T07:20:00"/>
    <s v="INYECTADO"/>
    <x v="2"/>
    <x v="116"/>
    <s v="JOSDER GONZALEZ"/>
    <s v="VIRGEN"/>
    <s v="PP CLARIFICADO"/>
    <s v="."/>
    <x v="15"/>
    <s v="VASO MUNDO MANZANITA CARAMELO-LILA"/>
    <n v="163"/>
    <n v="2"/>
    <n v="21.7"/>
    <s v="NOCTURNO"/>
    <m/>
    <n v="2"/>
    <n v="1128"/>
    <n v="21925"/>
    <s v="LILA"/>
    <n v="2.4"/>
    <n v="0"/>
    <n v="0"/>
    <n v="3.5859999999999999"/>
    <n v="21.7"/>
    <n v="22"/>
    <n v="986.36363636363637"/>
    <x v="5"/>
    <x v="0"/>
    <n v="25"/>
    <n v="6"/>
    <n v="81.5"/>
  </r>
  <r>
    <d v="2025-06-26T07:20:00"/>
    <s v="INYECTADO"/>
    <x v="2"/>
    <x v="116"/>
    <s v="JOSDER GONZALEZ"/>
    <s v="VIRGEN"/>
    <s v="PP CLARIFICADO"/>
    <s v="."/>
    <x v="15"/>
    <s v="VASO MUNDO MANZANITA CARAMELO-ANARANJADO"/>
    <n v="366"/>
    <n v="4"/>
    <n v="48.8"/>
    <s v="NOCTURNO"/>
    <m/>
    <n v="5"/>
    <n v="1128"/>
    <n v="21925"/>
    <s v="NARANJA"/>
    <n v="2.7"/>
    <n v="0"/>
    <n v="0"/>
    <n v="8.0519999999999996"/>
    <n v="48.8"/>
    <n v="22"/>
    <n v="2218.181818181818"/>
    <x v="5"/>
    <x v="0"/>
    <n v="25"/>
    <n v="6"/>
    <n v="183"/>
  </r>
  <r>
    <d v="2025-06-26T07:20:00"/>
    <s v="INYECTADO"/>
    <x v="2"/>
    <x v="116"/>
    <s v="JOSDER GONZALEZ"/>
    <s v="VIRGEN"/>
    <s v="PP CLARIFICADO"/>
    <s v="."/>
    <x v="15"/>
    <s v="VASO MUNDO MANZANITA CARAMELO-VERDE"/>
    <n v="381"/>
    <n v="4"/>
    <n v="50.7"/>
    <s v="NOCTURNO"/>
    <m/>
    <n v="4"/>
    <n v="1128"/>
    <n v="21925"/>
    <s v="VERDE"/>
    <n v="3"/>
    <n v="0"/>
    <n v="0"/>
    <n v="8.3819999999999997"/>
    <n v="50.7"/>
    <n v="22"/>
    <n v="2304.5454545454545"/>
    <x v="5"/>
    <x v="0"/>
    <n v="25"/>
    <n v="6"/>
    <n v="190.5"/>
  </r>
  <r>
    <d v="2025-06-26T07:20:00"/>
    <s v="INYECTADO"/>
    <x v="2"/>
    <x v="116"/>
    <s v="JOSDER GONZALEZ"/>
    <s v="VIRGEN"/>
    <s v="PP CLARIFICADO"/>
    <s v="."/>
    <x v="15"/>
    <s v="VASO MUNDO MANZANITA CARAMELO-AZUL"/>
    <n v="109"/>
    <n v="2"/>
    <n v="14.5"/>
    <s v="NOCTURNO"/>
    <m/>
    <n v="1"/>
    <n v="1128"/>
    <n v="21925"/>
    <s v="AZUL"/>
    <n v="0.5"/>
    <n v="0"/>
    <n v="0"/>
    <n v="2.3980000000000001"/>
    <n v="14.5"/>
    <n v="22"/>
    <n v="659.09090909090912"/>
    <x v="5"/>
    <x v="0"/>
    <n v="25"/>
    <n v="6"/>
    <n v="54.5"/>
  </r>
  <r>
    <d v="2025-06-26T07:20:00"/>
    <s v="INYECTADO"/>
    <x v="2"/>
    <x v="117"/>
    <s v="LUIS FERNANDO"/>
    <s v="VIRGEN"/>
    <s v="PP CLARIFICADO"/>
    <s v="."/>
    <x v="15"/>
    <s v="VASO MUNDO MANZANITA CARAMELO-AZUL"/>
    <n v="809"/>
    <n v="7"/>
    <n v="106.8"/>
    <s v="DIURNO"/>
    <m/>
    <n v="10"/>
    <n v="1128"/>
    <n v="21926"/>
    <s v="AZUL"/>
    <n v="0"/>
    <n v="0"/>
    <n v="0"/>
    <n v="17.797999999999998"/>
    <n v="106.8"/>
    <n v="22"/>
    <n v="4854.545454545455"/>
    <x v="5"/>
    <x v="0"/>
    <n v="25"/>
    <n v="6"/>
    <n v="404.5"/>
  </r>
  <r>
    <d v="2025-06-26T07:20:00"/>
    <s v="INYECTADO"/>
    <x v="2"/>
    <x v="117"/>
    <s v="LUIS FERNANDO"/>
    <s v="VIRGEN"/>
    <s v="PP CLARIFICADO"/>
    <s v="."/>
    <x v="15"/>
    <s v="VASO MUNDO MANZANITA CARAMELO-FUCSIA"/>
    <n v="252"/>
    <n v="2"/>
    <n v="33.299999999999997"/>
    <s v="DIURNO"/>
    <m/>
    <n v="4"/>
    <n v="1128"/>
    <n v="21926"/>
    <s v="FUCSIA"/>
    <n v="0"/>
    <n v="0"/>
    <n v="0"/>
    <n v="5.5439999999999996"/>
    <n v="33.299999999999997"/>
    <n v="22"/>
    <n v="1513.6363636363637"/>
    <x v="5"/>
    <x v="0"/>
    <n v="25"/>
    <n v="6"/>
    <n v="126"/>
  </r>
  <r>
    <d v="2025-06-26T07:20:00"/>
    <s v="INYECTADO"/>
    <x v="2"/>
    <x v="118"/>
    <s v="LUIS FERNANDO"/>
    <s v="VIRGEN"/>
    <s v="PP CLARIFICADO"/>
    <s v="."/>
    <x v="15"/>
    <s v="VASO MUNDO MANZANITA CARAMELO-AMARILLO"/>
    <n v="775"/>
    <n v="8"/>
    <n v="100.4"/>
    <s v="DIURNO"/>
    <m/>
    <n v="11"/>
    <n v="1128"/>
    <n v="21927"/>
    <s v="AMARILLO"/>
    <n v="0"/>
    <n v="0"/>
    <n v="0"/>
    <n v="17.05"/>
    <n v="100.4"/>
    <n v="22"/>
    <n v="4563.636363636364"/>
    <x v="5"/>
    <x v="0"/>
    <n v="25"/>
    <n v="6"/>
    <n v="387.5"/>
  </r>
  <r>
    <d v="2025-06-26T07:20:00"/>
    <s v="INYECTADO"/>
    <x v="2"/>
    <x v="118"/>
    <s v="LUIS FERNANDO"/>
    <s v="VIRGEN"/>
    <s v="PP CLARIFICADO"/>
    <s v="."/>
    <x v="15"/>
    <s v="VASO MUNDO MANZANITA CARAMELO-FUCSIA"/>
    <n v="136"/>
    <n v="2"/>
    <n v="18.5"/>
    <s v="DIURNO"/>
    <m/>
    <n v="3"/>
    <n v="1128"/>
    <n v="21927"/>
    <s v="FUCSIA"/>
    <n v="0"/>
    <n v="0"/>
    <n v="0"/>
    <n v="2.992"/>
    <n v="18.5"/>
    <n v="22"/>
    <n v="840.90909090909088"/>
    <x v="5"/>
    <x v="0"/>
    <n v="25"/>
    <n v="6"/>
    <n v="68"/>
  </r>
  <r>
    <d v="2025-06-26T07:20:00"/>
    <s v="INYECTADO"/>
    <x v="2"/>
    <x v="118"/>
    <s v="JOSDER GONZALEZ"/>
    <s v="VIRGEN"/>
    <s v="PP CLARIFICADO"/>
    <s v="."/>
    <x v="15"/>
    <s v="VASO MUNDO MANZANITA CARAMELO-VERDE"/>
    <n v="577"/>
    <n v="6"/>
    <n v="76.2"/>
    <s v="NOCTURNO"/>
    <m/>
    <n v="7"/>
    <n v="1128"/>
    <n v="21928"/>
    <s v="VERDE"/>
    <n v="2.4"/>
    <n v="0"/>
    <n v="0"/>
    <n v="12.694000000000001"/>
    <n v="76.2"/>
    <n v="22"/>
    <n v="3463.6363636363635"/>
    <x v="5"/>
    <x v="0"/>
    <n v="25"/>
    <n v="6"/>
    <n v="288.5"/>
  </r>
  <r>
    <d v="2025-06-26T07:20:00"/>
    <s v="INYECTADO"/>
    <x v="2"/>
    <x v="118"/>
    <s v="JOSDER GONZALEZ"/>
    <s v="VIRGEN"/>
    <s v="PP CLARIFICADO"/>
    <s v="."/>
    <x v="15"/>
    <s v="VASO MUNDO MANZANITA CARAMELO-AMARILLO"/>
    <n v="181"/>
    <n v="2"/>
    <n v="24"/>
    <s v="NOCTURNO"/>
    <m/>
    <n v="3"/>
    <n v="1128"/>
    <n v="21928"/>
    <s v="AMARILLO"/>
    <n v="1.1000000000000001"/>
    <n v="0"/>
    <n v="0"/>
    <n v="3.9820000000000002"/>
    <n v="24"/>
    <n v="22"/>
    <n v="1090.909090909091"/>
    <x v="5"/>
    <x v="0"/>
    <n v="25"/>
    <n v="6"/>
    <n v="90.5"/>
  </r>
  <r>
    <d v="2025-06-26T07:20:00"/>
    <s v="INYECTADO"/>
    <x v="2"/>
    <x v="119"/>
    <s v="LUIS FERNANDO"/>
    <s v="VIRGEN"/>
    <s v="PP CLARIFICADO"/>
    <s v="."/>
    <x v="15"/>
    <s v="VASO MUNDO MANZANITA CARAMELO-ANARANJADO"/>
    <n v="467"/>
    <n v="4"/>
    <n v="62.6"/>
    <s v="DIURNO"/>
    <m/>
    <n v="6"/>
    <n v="1128"/>
    <n v="21929"/>
    <s v="NARANJA"/>
    <n v="3"/>
    <n v="0"/>
    <n v="0"/>
    <n v="10.273999999999999"/>
    <n v="62.6"/>
    <n v="22"/>
    <n v="2845.4545454545455"/>
    <x v="5"/>
    <x v="0"/>
    <n v="25"/>
    <n v="6"/>
    <n v="233.5"/>
  </r>
  <r>
    <d v="2025-06-26T07:20:00"/>
    <s v="INYECTADO"/>
    <x v="2"/>
    <x v="119"/>
    <s v="LUIS FERNANDO"/>
    <s v="VIRGEN"/>
    <s v="PP CLARIFICADO"/>
    <s v="."/>
    <x v="15"/>
    <s v="VASO MUNDO MANZANITA CARAMELO-LILA"/>
    <n v="567"/>
    <n v="5"/>
    <n v="76.099999999999994"/>
    <s v="DIURNO"/>
    <m/>
    <n v="7"/>
    <n v="1128"/>
    <n v="21929"/>
    <s v="LILA"/>
    <n v="0"/>
    <n v="0"/>
    <n v="0"/>
    <n v="12.474"/>
    <n v="76.099999999999994"/>
    <n v="22"/>
    <n v="3459.090909090909"/>
    <x v="5"/>
    <x v="0"/>
    <n v="25"/>
    <n v="6"/>
    <n v="283.5"/>
  </r>
  <r>
    <d v="2025-06-26T07:20:00"/>
    <s v="INYECTADO"/>
    <x v="2"/>
    <x v="136"/>
    <s v="LUIS FERNANDO"/>
    <s v="VIRGEN"/>
    <s v="PP CLARIFICADO"/>
    <s v="."/>
    <x v="15"/>
    <s v="VASO MUNDO MANZANITA CARAMELO-AMARILLO"/>
    <n v="476"/>
    <n v="5"/>
    <n v="63.8"/>
    <s v="DIURNO"/>
    <m/>
    <n v="6"/>
    <n v="1128"/>
    <n v="21930"/>
    <s v="AMARILLO"/>
    <n v="0"/>
    <n v="0"/>
    <n v="0"/>
    <n v="10.472"/>
    <n v="63.8"/>
    <n v="22"/>
    <n v="2900"/>
    <x v="5"/>
    <x v="0"/>
    <n v="26"/>
    <n v="6"/>
    <n v="238"/>
  </r>
  <r>
    <d v="2025-06-26T07:20:00"/>
    <s v="INYECTADO"/>
    <x v="2"/>
    <x v="136"/>
    <s v="LUIS FERNANDO"/>
    <s v="VIRGEN"/>
    <s v="PP CLARIFICADO"/>
    <s v="."/>
    <x v="15"/>
    <s v="VASO MUNDO MANZANITA CARAMELO-VERDE"/>
    <n v="373"/>
    <n v="4"/>
    <n v="50"/>
    <s v="DIURNO"/>
    <m/>
    <n v="5"/>
    <n v="1128"/>
    <n v="21930"/>
    <s v="VERDE"/>
    <n v="0"/>
    <n v="0"/>
    <n v="0"/>
    <n v="8.2059999999999995"/>
    <n v="50"/>
    <n v="22"/>
    <n v="2272.7272727272725"/>
    <x v="5"/>
    <x v="0"/>
    <n v="26"/>
    <n v="6"/>
    <n v="186.5"/>
  </r>
  <r>
    <d v="2025-06-26T07:20:00"/>
    <s v="INYECTADO"/>
    <x v="2"/>
    <x v="136"/>
    <s v="JUAN MANUEL PEREZ"/>
    <s v="VIRGEN"/>
    <s v="PP CLARIFICADO"/>
    <s v="."/>
    <x v="15"/>
    <s v="VASO MUNDO MANZANITA CARAMELO-ANARANJADO"/>
    <n v="478"/>
    <n v="5"/>
    <n v="63.6"/>
    <s v="NOCTURNO"/>
    <m/>
    <n v="7"/>
    <n v="1128"/>
    <n v="21931"/>
    <s v="NARANJA"/>
    <n v="1"/>
    <n v="0"/>
    <n v="0"/>
    <n v="10.516"/>
    <n v="63.6"/>
    <n v="22"/>
    <n v="2890.909090909091"/>
    <x v="5"/>
    <x v="0"/>
    <n v="26"/>
    <n v="6"/>
    <n v="239"/>
  </r>
  <r>
    <d v="2025-06-26T07:20:00"/>
    <s v="INYECTADO"/>
    <x v="2"/>
    <x v="136"/>
    <s v="JUAN MANUEL PEREZ"/>
    <s v="VIRGEN"/>
    <s v="PP CLARIFICADO"/>
    <s v="."/>
    <x v="15"/>
    <s v="VASO MUNDO MANZANITA CARAMELO-AZUL"/>
    <n v="478"/>
    <n v="5"/>
    <n v="63.7"/>
    <s v="NOCTURNO"/>
    <m/>
    <n v="6"/>
    <n v="1128"/>
    <n v="21931"/>
    <s v="AZUL"/>
    <n v="1"/>
    <n v="0"/>
    <n v="0"/>
    <n v="10.516"/>
    <n v="63.7"/>
    <n v="22"/>
    <n v="2895.4545454545455"/>
    <x v="5"/>
    <x v="0"/>
    <n v="26"/>
    <n v="6"/>
    <n v="239"/>
  </r>
  <r>
    <d v="2025-06-26T07:20:00"/>
    <s v="INYECTADO"/>
    <x v="2"/>
    <x v="136"/>
    <s v="JUAN MANUEL PEREZ"/>
    <s v="VIRGEN"/>
    <s v="PP CLARIFICADO"/>
    <s v="."/>
    <x v="15"/>
    <s v="VASO MUNDO MANZANITA CARAMELO-FUCSIA"/>
    <n v="74"/>
    <n v="1"/>
    <n v="9.9"/>
    <s v="NOCTURNO"/>
    <m/>
    <n v="1"/>
    <n v="1128"/>
    <n v="21931"/>
    <s v="ROSADO"/>
    <n v="0"/>
    <n v="0"/>
    <n v="0"/>
    <n v="1.6279999999999999"/>
    <n v="9.9"/>
    <n v="22"/>
    <n v="450"/>
    <x v="5"/>
    <x v="0"/>
    <n v="26"/>
    <n v="6"/>
    <n v="37"/>
  </r>
  <r>
    <d v="2025-06-26T07:20:00"/>
    <s v="INYECTADO"/>
    <x v="2"/>
    <x v="128"/>
    <s v="JUANA CRUCES"/>
    <s v="VIRGEN"/>
    <s v="PP CLARIFICADO"/>
    <s v="."/>
    <x v="15"/>
    <s v="VASO MUNDO MANZANITA CARAMELO-FUCSIA"/>
    <n v="776"/>
    <n v="8"/>
    <n v="104.1"/>
    <s v="DIURNO"/>
    <m/>
    <n v="11"/>
    <n v="1128"/>
    <n v="21932"/>
    <s v="FUCSIA"/>
    <n v="0.5"/>
    <n v="0"/>
    <n v="0"/>
    <n v="17.071999999999999"/>
    <n v="104.1"/>
    <n v="22"/>
    <n v="4731.818181818182"/>
    <x v="5"/>
    <x v="0"/>
    <n v="26"/>
    <n v="6"/>
    <n v="388"/>
  </r>
  <r>
    <d v="2025-06-26T07:20:00"/>
    <s v="INYECTADO"/>
    <x v="2"/>
    <x v="128"/>
    <s v="JUANA CRUCES"/>
    <s v="VIRGEN"/>
    <s v="PP CLARIFICADO"/>
    <s v="."/>
    <x v="15"/>
    <s v="VASO MUNDO MANZANITA CARAMELO-ANARANJADO"/>
    <n v="298"/>
    <n v="3"/>
    <n v="40"/>
    <s v="DIURNO"/>
    <m/>
    <n v="4"/>
    <n v="1128"/>
    <n v="21932"/>
    <s v="NARANJA"/>
    <n v="2.7"/>
    <n v="0"/>
    <n v="0"/>
    <n v="6.556"/>
    <n v="40"/>
    <n v="22"/>
    <n v="1818.1818181818182"/>
    <x v="5"/>
    <x v="0"/>
    <n v="26"/>
    <n v="6"/>
    <n v="149"/>
  </r>
  <r>
    <d v="2025-06-26T07:20:00"/>
    <s v="INYECTADO"/>
    <x v="2"/>
    <x v="128"/>
    <s v="JUAN MANUEL PEREZ"/>
    <s v="VIRGEN"/>
    <s v="PP CLARIFICADO"/>
    <s v="."/>
    <x v="15"/>
    <s v="VASO MUNDO MANZANITA CARAMELO-LILA"/>
    <n v="217"/>
    <n v="3"/>
    <n v="29.1"/>
    <s v="NOCTURNO"/>
    <m/>
    <n v="3"/>
    <n v="1128"/>
    <n v="21933"/>
    <s v="LILA"/>
    <n v="0"/>
    <n v="0"/>
    <n v="0"/>
    <n v="4.774"/>
    <n v="29.1"/>
    <n v="22"/>
    <n v="1322.7272727272727"/>
    <x v="5"/>
    <x v="0"/>
    <n v="26"/>
    <n v="6"/>
    <n v="108.5"/>
  </r>
  <r>
    <d v="2025-06-26T07:20:00"/>
    <s v="INYECTADO"/>
    <x v="2"/>
    <x v="128"/>
    <s v="JUAN MANUEL PEREZ"/>
    <s v="VIRGEN"/>
    <s v="PP CLARIFICADO"/>
    <s v="."/>
    <x v="15"/>
    <s v="VASO MUNDO MANZANITA CARAMELO-ANARANJADO"/>
    <n v="179"/>
    <n v="2"/>
    <n v="24.1"/>
    <s v="NOCTURNO"/>
    <m/>
    <n v="2"/>
    <n v="1128"/>
    <n v="21933"/>
    <s v="NARANJA"/>
    <n v="1"/>
    <n v="0"/>
    <n v="0"/>
    <n v="3.9380000000000002"/>
    <n v="24.1"/>
    <n v="22"/>
    <n v="1095.4545454545455"/>
    <x v="5"/>
    <x v="0"/>
    <n v="26"/>
    <n v="6"/>
    <n v="89.5"/>
  </r>
  <r>
    <d v="2025-06-26T07:20:00"/>
    <s v="INYECTADO"/>
    <x v="2"/>
    <x v="128"/>
    <s v="JUAN MANUEL PEREZ"/>
    <s v="VIRGEN"/>
    <s v="PP CLARIFICADO"/>
    <s v="."/>
    <x v="15"/>
    <s v="VASO MUNDO MANZANITA CARAMELO-AZUL"/>
    <n v="567"/>
    <n v="6"/>
    <n v="76.099999999999994"/>
    <s v="NOCTURNO"/>
    <m/>
    <n v="7"/>
    <n v="1128"/>
    <n v="21933"/>
    <s v="AZUL"/>
    <n v="1"/>
    <n v="0"/>
    <n v="0"/>
    <n v="12.474"/>
    <n v="76.099999999999994"/>
    <n v="22"/>
    <n v="3459.090909090909"/>
    <x v="5"/>
    <x v="0"/>
    <n v="26"/>
    <n v="6"/>
    <n v="283.5"/>
  </r>
  <r>
    <d v="2025-06-26T07:20:00"/>
    <s v="INYECTADO"/>
    <x v="2"/>
    <x v="123"/>
    <s v="LUIS FERNANDO"/>
    <s v="VIRGEN"/>
    <s v="PP CLARIFICADO"/>
    <s v="."/>
    <x v="15"/>
    <s v="VASO MUNDO MANZANITA CARAMELO-LILA"/>
    <n v="673"/>
    <n v="7"/>
    <n v="90.2"/>
    <s v="DIURNO"/>
    <m/>
    <n v="9"/>
    <n v="1128"/>
    <n v="21934"/>
    <s v="LILA"/>
    <n v="0"/>
    <n v="0"/>
    <n v="0"/>
    <n v="14.805999999999999"/>
    <n v="90.2"/>
    <n v="22"/>
    <n v="4100"/>
    <x v="5"/>
    <x v="0"/>
    <n v="26"/>
    <n v="6"/>
    <n v="336.5"/>
  </r>
  <r>
    <d v="2025-06-26T07:20:00"/>
    <s v="INYECTADO"/>
    <x v="2"/>
    <x v="123"/>
    <s v="LUIS FERNANDO"/>
    <s v="VIRGEN"/>
    <s v="PP CLARIFICADO"/>
    <s v="."/>
    <x v="15"/>
    <s v="VASO MUNDO MANZANITA CARAMELO-AMARILLO"/>
    <n v="317"/>
    <n v="4"/>
    <n v="42.6"/>
    <s v="DIURNO"/>
    <m/>
    <n v="4"/>
    <n v="1128"/>
    <n v="21934"/>
    <s v="AMARILLO"/>
    <n v="0"/>
    <n v="0"/>
    <n v="0"/>
    <n v="6.9740000000000002"/>
    <n v="42.6"/>
    <n v="22"/>
    <n v="1936.3636363636363"/>
    <x v="5"/>
    <x v="0"/>
    <n v="26"/>
    <n v="6"/>
    <n v="158.5"/>
  </r>
  <r>
    <d v="2025-06-26T07:20:00"/>
    <s v="INYECTADO"/>
    <x v="2"/>
    <x v="124"/>
    <s v="GABRIEL ORDAZ"/>
    <s v="VIRGEN"/>
    <s v="PP CLARIFICADO"/>
    <s v="."/>
    <x v="15"/>
    <s v="VASO MUNDO MANZANITA CARAMELO-VERDE"/>
    <n v="256"/>
    <n v="3"/>
    <n v="49.1"/>
    <s v="DIURNO"/>
    <m/>
    <n v="3"/>
    <n v="1128"/>
    <n v="21935"/>
    <s v="VERDE"/>
    <n v="3.4"/>
    <n v="0"/>
    <n v="0"/>
    <n v="5.6319999999999997"/>
    <n v="49.1"/>
    <n v="22"/>
    <n v="2231.818181818182"/>
    <x v="5"/>
    <x v="0"/>
    <n v="26"/>
    <n v="6"/>
    <n v="128"/>
  </r>
  <r>
    <d v="2025-06-26T07:20:00"/>
    <s v="INYECTADO"/>
    <x v="2"/>
    <x v="124"/>
    <s v="GABRIEL ORDAZ"/>
    <s v="VIRGEN"/>
    <s v="PP CLARIFICADO"/>
    <s v="."/>
    <x v="15"/>
    <s v="VASO MUNDO MANZANITA CARAMELO-AMARILLO"/>
    <n v="594"/>
    <n v="6"/>
    <n v="79.099999999999994"/>
    <s v="DIURNO"/>
    <m/>
    <n v="8"/>
    <n v="1128"/>
    <n v="21935"/>
    <s v="AMARILLO"/>
    <n v="5.4"/>
    <n v="0"/>
    <n v="0"/>
    <n v="13.068"/>
    <n v="79.099999999999994"/>
    <n v="22"/>
    <n v="3595.4545454545455"/>
    <x v="5"/>
    <x v="0"/>
    <n v="26"/>
    <n v="6"/>
    <n v="297"/>
  </r>
  <r>
    <d v="2025-06-26T07:20:00"/>
    <s v="INYECTADO"/>
    <x v="2"/>
    <x v="124"/>
    <s v="ISABEL LINARIZ"/>
    <s v="VIRGEN"/>
    <s v="PP CLARIFICADO"/>
    <s v="."/>
    <x v="15"/>
    <s v="VASO MUNDO MANZANITA CARAMELO-VERDE"/>
    <n v="626"/>
    <n v="6"/>
    <n v="84"/>
    <s v="NOCTURNO"/>
    <m/>
    <n v="7"/>
    <n v="1128"/>
    <n v="21936"/>
    <s v="VERDE"/>
    <n v="2.8"/>
    <n v="0"/>
    <n v="0"/>
    <n v="13.772"/>
    <n v="84"/>
    <n v="22"/>
    <n v="3818.181818181818"/>
    <x v="5"/>
    <x v="0"/>
    <n v="26"/>
    <n v="6"/>
    <n v="313"/>
  </r>
  <r>
    <d v="2025-06-26T07:20:00"/>
    <s v="INYECTADO"/>
    <x v="2"/>
    <x v="124"/>
    <s v="ISABEL LINARIZ"/>
    <s v="VIRGEN"/>
    <s v="PP CLARIFICADO"/>
    <s v="."/>
    <x v="15"/>
    <s v="VASO MUNDO MANZANITA CARAMELO-ANARANJADO"/>
    <n v="376"/>
    <n v="4"/>
    <n v="50.4"/>
    <s v="NOCTURNO"/>
    <m/>
    <n v="4"/>
    <n v="1128"/>
    <n v="21936"/>
    <s v="NARANJA"/>
    <n v="2.5"/>
    <n v="0"/>
    <n v="0"/>
    <n v="8.2720000000000002"/>
    <n v="50.4"/>
    <n v="22"/>
    <n v="2290.909090909091"/>
    <x v="5"/>
    <x v="0"/>
    <n v="26"/>
    <n v="6"/>
    <n v="188"/>
  </r>
  <r>
    <d v="2025-06-26T07:20:00"/>
    <s v="INYECTADO"/>
    <x v="2"/>
    <x v="124"/>
    <s v="ISABEL LINARIZ"/>
    <s v="VIRGEN"/>
    <s v="PP CLARIFICADO"/>
    <s v="."/>
    <x v="15"/>
    <s v="VASO MUNDO MANZANITA CARAMELO-AZUL"/>
    <n v="89"/>
    <n v="1"/>
    <n v="12"/>
    <s v="NOCTURNO"/>
    <m/>
    <n v="1"/>
    <n v="1128"/>
    <n v="21936"/>
    <s v="AZUL"/>
    <n v="0"/>
    <n v="0"/>
    <n v="0"/>
    <n v="1.958"/>
    <n v="12"/>
    <n v="22"/>
    <n v="545.4545454545455"/>
    <x v="5"/>
    <x v="0"/>
    <n v="26"/>
    <n v="6"/>
    <n v="44.5"/>
  </r>
  <r>
    <d v="2025-06-26T07:20:00"/>
    <s v="INYECTADO"/>
    <x v="2"/>
    <x v="125"/>
    <s v="JUANA CRUCES"/>
    <s v="VIRGEN"/>
    <s v="PP CLARIFICADO"/>
    <s v="."/>
    <x v="15"/>
    <s v="VASO MUNDO MANZANITA CARAMELO-AZUL"/>
    <n v="236"/>
    <n v="3"/>
    <n v="33.299999999999997"/>
    <s v="DIURNO"/>
    <m/>
    <n v="3"/>
    <n v="1128"/>
    <n v="21937"/>
    <s v="AZUL"/>
    <n v="3.5"/>
    <n v="0"/>
    <n v="0"/>
    <n v="5.1920000000000002"/>
    <n v="33.299999999999997"/>
    <n v="22"/>
    <n v="1513.6363636363637"/>
    <x v="5"/>
    <x v="0"/>
    <n v="26"/>
    <n v="6"/>
    <n v="118"/>
  </r>
  <r>
    <d v="2025-06-26T07:20:00"/>
    <s v="INYECTADO"/>
    <x v="2"/>
    <x v="125"/>
    <s v="JUANA CRUCES"/>
    <s v="VIRGEN"/>
    <s v="PP CLARIFICADO"/>
    <s v="."/>
    <x v="15"/>
    <s v="VASO MUNDO MANZANITA CARAMELO-FUCSIA"/>
    <n v="339"/>
    <n v="4"/>
    <n v="50.2"/>
    <s v="DIURNO"/>
    <m/>
    <n v="5"/>
    <n v="1128"/>
    <n v="21937"/>
    <s v="FUCSIA"/>
    <n v="3.1"/>
    <n v="0"/>
    <n v="0"/>
    <n v="7.4580000000000002"/>
    <n v="50.2"/>
    <n v="22"/>
    <n v="2281.818181818182"/>
    <x v="5"/>
    <x v="0"/>
    <n v="26"/>
    <n v="6"/>
    <n v="169.5"/>
  </r>
  <r>
    <d v="2025-06-26T07:20:00"/>
    <s v="INYECTADO"/>
    <x v="2"/>
    <x v="125"/>
    <s v="JUANA CRUCES"/>
    <s v="VIRGEN"/>
    <s v="PP CLARIFICADO"/>
    <s v="."/>
    <x v="15"/>
    <s v="VASO MUNDO MANZANITA CARAMELO-AMARILLO"/>
    <n v="189"/>
    <n v="3"/>
    <n v="25.1"/>
    <s v="DIURNO"/>
    <m/>
    <n v="2"/>
    <n v="1128"/>
    <n v="21937"/>
    <s v="AMARILLO"/>
    <n v="1.6"/>
    <n v="0"/>
    <n v="0"/>
    <n v="4.1580000000000004"/>
    <n v="25.1"/>
    <n v="22"/>
    <n v="1140.909090909091"/>
    <x v="5"/>
    <x v="0"/>
    <n v="26"/>
    <n v="6"/>
    <n v="94.5"/>
  </r>
  <r>
    <d v="2025-06-26T07:20:00"/>
    <s v="INYECTADO"/>
    <x v="2"/>
    <x v="125"/>
    <s v="JUANA CRUCES"/>
    <s v="VIRGEN"/>
    <s v="PP CLARIFICADO"/>
    <s v="."/>
    <x v="15"/>
    <s v="VASO MUNDO MANZANITA CARAMELO-VERDE"/>
    <n v="85"/>
    <n v="1"/>
    <n v="16.3"/>
    <s v="DIURNO"/>
    <m/>
    <n v="1"/>
    <n v="1128"/>
    <n v="21937"/>
    <s v="VERDE"/>
    <n v="0"/>
    <n v="0"/>
    <n v="0"/>
    <n v="1.87"/>
    <n v="16.3"/>
    <n v="22"/>
    <n v="740.90909090909088"/>
    <x v="5"/>
    <x v="0"/>
    <n v="26"/>
    <n v="6"/>
    <n v="42.5"/>
  </r>
  <r>
    <d v="2025-06-26T07:20:00"/>
    <s v="INYECTADO"/>
    <x v="2"/>
    <x v="129"/>
    <s v="NELSON PINEDO"/>
    <s v="VIRGEN"/>
    <s v="PP CLARIFICADO"/>
    <s v="."/>
    <x v="15"/>
    <s v="VASO MUNDO MANZANITA CARAMELO-VERDE"/>
    <n v="155"/>
    <n v="2"/>
    <n v="20.8"/>
    <s v="DIURNO"/>
    <m/>
    <n v="2"/>
    <n v="1128"/>
    <n v="21938"/>
    <s v="VERDE"/>
    <n v="3.6"/>
    <n v="0"/>
    <n v="0"/>
    <n v="3.41"/>
    <n v="20.8"/>
    <n v="22"/>
    <n v="945.4545454545455"/>
    <x v="5"/>
    <x v="0"/>
    <n v="27"/>
    <n v="6"/>
    <n v="77.5"/>
  </r>
  <r>
    <d v="2025-06-26T07:20:00"/>
    <s v="INYECTADO"/>
    <x v="2"/>
    <x v="129"/>
    <s v="NELSON PINEDO"/>
    <s v="VIRGEN"/>
    <s v="PP CLARIFICADO"/>
    <s v="."/>
    <x v="15"/>
    <s v="VASO MUNDO MANZANITA CARAMELO-ANARANJADO"/>
    <n v="429"/>
    <n v="4"/>
    <n v="57.5"/>
    <s v="DIURNO"/>
    <m/>
    <n v="3"/>
    <n v="1128"/>
    <n v="21938"/>
    <s v="NARANJA"/>
    <n v="57.5"/>
    <n v="0"/>
    <n v="0"/>
    <n v="9.4380000000000006"/>
    <n v="57.5"/>
    <n v="22"/>
    <n v="2613.6363636363635"/>
    <x v="5"/>
    <x v="0"/>
    <n v="27"/>
    <n v="6"/>
    <n v="214.5"/>
  </r>
  <r>
    <d v="2025-06-26T07:20:00"/>
    <s v="INYECTADO"/>
    <x v="2"/>
    <x v="129"/>
    <s v="NELSON PINEDO"/>
    <s v="VIRGEN"/>
    <s v="PP CLARIFICADO"/>
    <s v="."/>
    <x v="15"/>
    <s v="VASO MUNDO MANZANITA CARAMELO-FUCSIA"/>
    <n v="191"/>
    <n v="2"/>
    <n v="25.6"/>
    <s v="DIURNO"/>
    <m/>
    <n v="3"/>
    <n v="1128"/>
    <n v="21938"/>
    <s v="FUCSIA"/>
    <n v="25.6"/>
    <n v="0"/>
    <n v="0"/>
    <n v="4.202"/>
    <n v="25.6"/>
    <n v="22"/>
    <n v="1163.6363636363637"/>
    <x v="5"/>
    <x v="0"/>
    <n v="27"/>
    <n v="6"/>
    <n v="95.5"/>
  </r>
  <r>
    <d v="2025-06-26T07:20:00"/>
    <s v="INYECTADO"/>
    <x v="2"/>
    <x v="129"/>
    <s v="NELSON PINEDO"/>
    <s v="VIRGEN"/>
    <s v="PP CLARIFICADO"/>
    <s v="."/>
    <x v="15"/>
    <s v="VASO MUNDO MANZANITA CARAMELO-AZUL"/>
    <n v="50"/>
    <n v="1"/>
    <n v="6.8"/>
    <s v="DIURNO"/>
    <m/>
    <n v="1"/>
    <n v="1128"/>
    <n v="21938"/>
    <s v="AZUL"/>
    <n v="6.8"/>
    <n v="0"/>
    <n v="0"/>
    <n v="1.1000000000000001"/>
    <n v="6.8"/>
    <n v="22"/>
    <n v="309.09090909090907"/>
    <x v="5"/>
    <x v="0"/>
    <n v="27"/>
    <n v="6"/>
    <n v="25"/>
  </r>
  <r>
    <d v="2025-06-26T07:20:00"/>
    <s v="INYECTADO"/>
    <x v="3"/>
    <x v="111"/>
    <s v="CRISALIDA ZAPATA"/>
    <s v="SEGUNDA"/>
    <s v="."/>
    <s v="MIXTO"/>
    <x v="47"/>
    <s v="COLADOR HOGAR SOLIDO#2-AZUL"/>
    <n v="55"/>
    <n v="2"/>
    <n v="3.9"/>
    <s v="DIURNO"/>
    <m/>
    <n v="2"/>
    <n v="1118"/>
    <n v="19394"/>
    <s v="AZUL"/>
    <n v="3.8"/>
    <n v="0"/>
    <n v="0"/>
    <n v="3.85"/>
    <n v="3.9"/>
    <n v="70"/>
    <n v="55.714285714285715"/>
    <x v="5"/>
    <x v="0"/>
    <n v="23"/>
    <n v="1"/>
    <n v="4.583333333333333"/>
  </r>
  <r>
    <d v="2025-06-26T07:20:00"/>
    <s v="INYECTADO"/>
    <x v="3"/>
    <x v="111"/>
    <s v="CRISALIDA ZAPATA"/>
    <s v="SEGUNDA"/>
    <s v="."/>
    <s v="MIXTO"/>
    <x v="47"/>
    <s v="COLADOR HOGAR SOLIDO#2-VERDE"/>
    <n v="561"/>
    <n v="7"/>
    <n v="39.299999999999997"/>
    <s v="DIURNO"/>
    <m/>
    <n v="5"/>
    <n v="1118"/>
    <n v="19394"/>
    <s v="VERDE"/>
    <n v="15.8"/>
    <n v="0"/>
    <n v="0"/>
    <n v="39.270000000000003"/>
    <n v="39.299999999999997"/>
    <n v="70"/>
    <n v="561.42857142857144"/>
    <x v="5"/>
    <x v="0"/>
    <n v="23"/>
    <n v="1"/>
    <n v="46.75"/>
  </r>
  <r>
    <d v="2025-06-26T07:20:00"/>
    <s v="INYECTADO"/>
    <x v="3"/>
    <x v="111"/>
    <s v="CRISALIDA ZAPATA"/>
    <s v="SEGUNDA"/>
    <s v="."/>
    <s v="MIXTO"/>
    <x v="47"/>
    <s v="COLADOR HOGAR SOLIDO#2-AZURE"/>
    <n v="174"/>
    <n v="2"/>
    <n v="12.2"/>
    <s v="DIURNO"/>
    <m/>
    <n v="2"/>
    <n v="1118"/>
    <n v="19394"/>
    <s v="CELESTE"/>
    <n v="2.4"/>
    <n v="0"/>
    <n v="0"/>
    <n v="12.18"/>
    <n v="12.2"/>
    <n v="70"/>
    <n v="174.28571428571428"/>
    <x v="5"/>
    <x v="0"/>
    <n v="23"/>
    <n v="1"/>
    <n v="14.5"/>
  </r>
  <r>
    <d v="2025-06-26T07:20:00"/>
    <s v="INYECTADO"/>
    <x v="3"/>
    <x v="130"/>
    <s v="CRISALIDA ZAPATA"/>
    <s v="SEGUNDA"/>
    <s v="."/>
    <s v="MIXTO"/>
    <x v="47"/>
    <s v="COLADOR HOGAR SOLIDO#2-AZURE"/>
    <n v="354"/>
    <n v="6"/>
    <n v="24.8"/>
    <s v="DIURNO"/>
    <m/>
    <n v="4"/>
    <n v="1118"/>
    <n v="19395"/>
    <s v="CELESTE"/>
    <n v="15.7"/>
    <n v="0"/>
    <n v="0"/>
    <n v="24.78"/>
    <n v="24.8"/>
    <n v="70"/>
    <n v="354.28571428571428"/>
    <x v="5"/>
    <x v="0"/>
    <n v="23"/>
    <n v="1"/>
    <n v="29.5"/>
  </r>
  <r>
    <d v="2025-06-26T07:20:00"/>
    <s v="INYECTADO"/>
    <x v="3"/>
    <x v="130"/>
    <s v="CRISALIDA ZAPATA"/>
    <s v="SEGUNDA"/>
    <s v="."/>
    <s v="MIXTO"/>
    <x v="47"/>
    <s v="COLADOR HOGAR SOLIDO#2-CREMA"/>
    <n v="347"/>
    <n v="5"/>
    <n v="24.3"/>
    <s v="DIURNO"/>
    <m/>
    <n v="3"/>
    <n v="1118"/>
    <n v="19395"/>
    <s v="CREMA"/>
    <n v="7.2"/>
    <n v="0"/>
    <n v="0"/>
    <n v="24.29"/>
    <n v="24.3"/>
    <n v="70"/>
    <n v="347.14285714285717"/>
    <x v="5"/>
    <x v="0"/>
    <n v="23"/>
    <n v="1"/>
    <n v="28.916666666666668"/>
  </r>
  <r>
    <d v="2025-06-26T07:20:00"/>
    <s v="INYECTADO"/>
    <x v="3"/>
    <x v="131"/>
    <s v="CRISALIDA ZAPATA"/>
    <s v="SEGUNDA"/>
    <s v="."/>
    <s v="MIXTO"/>
    <x v="47"/>
    <s v="COLADOR HOGAR SOLIDO#2-CREMA"/>
    <n v="337"/>
    <n v="6"/>
    <n v="23.6"/>
    <s v="DIURNO"/>
    <m/>
    <n v="4"/>
    <n v="1118"/>
    <n v="19396"/>
    <s v="CREMA"/>
    <n v="12.2"/>
    <n v="0"/>
    <n v="0"/>
    <n v="23.59"/>
    <n v="23.6"/>
    <n v="70"/>
    <n v="337.14285714285717"/>
    <x v="5"/>
    <x v="0"/>
    <n v="23"/>
    <n v="1"/>
    <n v="28.083333333333332"/>
  </r>
  <r>
    <d v="2025-06-26T07:20:00"/>
    <s v="INYECTADO"/>
    <x v="3"/>
    <x v="131"/>
    <s v="CRISALIDA ZAPATA"/>
    <s v="SEGUNDA"/>
    <s v="."/>
    <s v="MIXTO"/>
    <x v="47"/>
    <s v="COLADOR HOGAR SOLIDO#2-VERDE"/>
    <n v="258"/>
    <n v="5"/>
    <n v="18.100000000000001"/>
    <s v="DIURNO"/>
    <m/>
    <n v="3"/>
    <n v="1118"/>
    <n v="19396"/>
    <s v="CELESTE"/>
    <n v="13.3"/>
    <n v="0"/>
    <n v="0"/>
    <n v="18.059999999999999"/>
    <n v="18.100000000000001"/>
    <n v="70"/>
    <n v="258.57142857142856"/>
    <x v="5"/>
    <x v="0"/>
    <n v="23"/>
    <n v="1"/>
    <n v="21.5"/>
  </r>
  <r>
    <d v="2025-06-26T07:20:00"/>
    <s v="INYECTADO"/>
    <x v="3"/>
    <x v="121"/>
    <s v="CRISALIDA ZAPATA"/>
    <s v="SEGUNDA"/>
    <s v="."/>
    <s v="MIXTO"/>
    <x v="47"/>
    <s v="COLADOR HOGAR SOLIDO#2-VERDE"/>
    <n v="57"/>
    <n v="2"/>
    <n v="3.9"/>
    <s v="DIURNO"/>
    <m/>
    <n v="1"/>
    <n v="1118"/>
    <n v="19397"/>
    <s v="VERDE"/>
    <n v="9.6"/>
    <n v="0"/>
    <n v="0"/>
    <n v="3.99"/>
    <n v="3.9"/>
    <n v="70"/>
    <n v="55.714285714285715"/>
    <x v="5"/>
    <x v="0"/>
    <n v="23"/>
    <n v="1"/>
    <n v="4.75"/>
  </r>
  <r>
    <d v="2025-06-26T07:20:00"/>
    <s v="INYECTADO"/>
    <x v="3"/>
    <x v="112"/>
    <s v="CRISALIDA ZAPATA"/>
    <s v="SEGUNDA"/>
    <s v="."/>
    <s v="MIXTO"/>
    <x v="47"/>
    <s v="COLADOR HOGAR SOLIDO#2-VERDE"/>
    <n v="220"/>
    <n v="2"/>
    <n v="16.5"/>
    <s v="DIURNO"/>
    <m/>
    <n v="2"/>
    <n v="1118"/>
    <n v="22001"/>
    <s v="VERDE"/>
    <n v="0"/>
    <n v="0"/>
    <n v="0"/>
    <n v="15.4"/>
    <n v="16.5"/>
    <n v="70"/>
    <n v="235.71428571428572"/>
    <x v="5"/>
    <x v="0"/>
    <n v="23"/>
    <n v="1"/>
    <n v="18.333333333333332"/>
  </r>
  <r>
    <d v="2025-06-26T07:20:00"/>
    <s v="INYECTADO"/>
    <x v="3"/>
    <x v="113"/>
    <s v="CRISALIDA ZAPATA"/>
    <s v="SEGUNDA"/>
    <s v="."/>
    <s v="MIXTO"/>
    <x v="47"/>
    <s v="COLADOR HOGAR SOLIDO#2-VERDE"/>
    <n v="67"/>
    <n v="3"/>
    <n v="4.7"/>
    <s v="DIURNO"/>
    <m/>
    <n v="1"/>
    <n v="1118"/>
    <n v="22002"/>
    <s v="VERDE"/>
    <n v="3.4"/>
    <n v="0"/>
    <n v="0"/>
    <n v="4.6900000000000004"/>
    <n v="4.7"/>
    <n v="70"/>
    <n v="67.142857142857139"/>
    <x v="5"/>
    <x v="0"/>
    <n v="24"/>
    <n v="1"/>
    <n v="5.583333333333333"/>
  </r>
  <r>
    <d v="2025-06-26T07:20:00"/>
    <s v="INYECTADO"/>
    <x v="3"/>
    <x v="123"/>
    <s v="LUIS RENGIFO"/>
    <s v="SEGUNDA"/>
    <s v="."/>
    <s v="MIXTO"/>
    <x v="47"/>
    <s v="COLADOR HOGAR SOLIDO#2-VERDE"/>
    <n v="369"/>
    <n v="3"/>
    <n v="25.1"/>
    <s v="DIURNO"/>
    <m/>
    <n v="3"/>
    <n v="1118"/>
    <n v="22003"/>
    <s v="VERDE"/>
    <n v="5.5"/>
    <n v="0"/>
    <n v="0"/>
    <n v="25.83"/>
    <n v="25.1"/>
    <n v="70"/>
    <n v="358.57142857142856"/>
    <x v="5"/>
    <x v="0"/>
    <n v="26"/>
    <n v="1"/>
    <n v="30.75"/>
  </r>
  <r>
    <d v="2025-06-26T07:20:00"/>
    <s v="INYECTADO"/>
    <x v="3"/>
    <x v="123"/>
    <s v="LUIS RENGIFO"/>
    <s v="SEGUNDA"/>
    <s v="."/>
    <s v="MIXTO"/>
    <x v="47"/>
    <s v="COLADOR HOGAR SOLIDO#2-AZURE"/>
    <n v="426"/>
    <n v="4"/>
    <n v="29.4"/>
    <s v="DIURNO"/>
    <m/>
    <n v="4"/>
    <n v="1118"/>
    <n v="22003"/>
    <s v="CELESTE"/>
    <n v="4.7"/>
    <n v="0"/>
    <n v="0"/>
    <n v="29.82"/>
    <n v="29.4"/>
    <n v="70"/>
    <n v="420"/>
    <x v="5"/>
    <x v="0"/>
    <n v="26"/>
    <n v="1"/>
    <n v="35.5"/>
  </r>
  <r>
    <d v="2025-06-26T07:20:00"/>
    <s v="INYECTADO"/>
    <x v="3"/>
    <x v="123"/>
    <s v="LUIS RENGIFO"/>
    <s v="SEGUNDA"/>
    <s v="."/>
    <s v="MIXTO"/>
    <x v="47"/>
    <s v="COLADOR HOGAR SOLIDO#2-ANARANJADO"/>
    <n v="304"/>
    <n v="2"/>
    <n v="21"/>
    <s v="DIURNO"/>
    <m/>
    <n v="3"/>
    <n v="1118"/>
    <n v="22003"/>
    <s v="NARANJA"/>
    <n v="0"/>
    <n v="0"/>
    <n v="0"/>
    <n v="21.28"/>
    <n v="21"/>
    <n v="70"/>
    <n v="300"/>
    <x v="5"/>
    <x v="0"/>
    <n v="26"/>
    <n v="1"/>
    <n v="25.333333333333332"/>
  </r>
  <r>
    <d v="2025-06-26T07:20:00"/>
    <s v="INYECTADO"/>
    <x v="3"/>
    <x v="124"/>
    <s v="CARLOS SULCA"/>
    <s v="SEGUNDA"/>
    <s v="."/>
    <s v="MIXTO"/>
    <x v="47"/>
    <s v="COLADOR HOGAR SOLIDO#2-ANARANJADO"/>
    <n v="481"/>
    <n v="4"/>
    <n v="33.200000000000003"/>
    <s v="DIURNO"/>
    <m/>
    <n v="4"/>
    <n v="1118"/>
    <n v="22004"/>
    <s v="NARANJA"/>
    <n v="3.1"/>
    <n v="0"/>
    <n v="0"/>
    <n v="33.67"/>
    <n v="33.200000000000003"/>
    <n v="70"/>
    <n v="474.28571428571428"/>
    <x v="5"/>
    <x v="0"/>
    <n v="26"/>
    <n v="1"/>
    <n v="40.083333333333336"/>
  </r>
  <r>
    <d v="2025-06-26T07:20:00"/>
    <s v="INYECTADO"/>
    <x v="3"/>
    <x v="124"/>
    <s v="CARLOS SULCA"/>
    <s v="SEGUNDA"/>
    <s v="."/>
    <s v="MIXTO"/>
    <x v="47"/>
    <s v="COLADOR HOGAR SOLIDO#2-ROJO"/>
    <n v="971"/>
    <n v="7"/>
    <n v="68"/>
    <s v="DIURNO"/>
    <m/>
    <n v="8"/>
    <n v="1118"/>
    <n v="22004"/>
    <s v="ROJO"/>
    <n v="0"/>
    <n v="0"/>
    <n v="0"/>
    <n v="67.97"/>
    <n v="68"/>
    <n v="70"/>
    <n v="971.42857142857144"/>
    <x v="5"/>
    <x v="0"/>
    <n v="26"/>
    <n v="1"/>
    <n v="80.916666666666671"/>
  </r>
  <r>
    <d v="2025-06-26T07:20:00"/>
    <s v="INYECTADO"/>
    <x v="3"/>
    <x v="125"/>
    <s v="LUIS FERNANDO"/>
    <s v="SEGUNDA"/>
    <s v="."/>
    <s v="MIXTO"/>
    <x v="47"/>
    <s v="COLADOR HOGAR SOLIDO#2-ROJO"/>
    <n v="321"/>
    <n v="2"/>
    <n v="22.5"/>
    <s v="DIURNO"/>
    <m/>
    <n v="3"/>
    <n v="1118"/>
    <n v="22005"/>
    <s v="ROJO"/>
    <n v="0"/>
    <n v="0"/>
    <n v="0"/>
    <n v="22.47"/>
    <n v="22.5"/>
    <n v="70"/>
    <n v="321.42857142857144"/>
    <x v="5"/>
    <x v="0"/>
    <n v="26"/>
    <n v="1"/>
    <n v="26.75"/>
  </r>
  <r>
    <d v="2025-06-26T07:20:00"/>
    <s v="INYECTADO"/>
    <x v="3"/>
    <x v="125"/>
    <s v="LUIS FERNANDO"/>
    <s v="SEGUNDA"/>
    <s v="."/>
    <s v="MIXTO"/>
    <x v="47"/>
    <s v="COLADOR HOGAR SOLIDO#2-CREMA"/>
    <n v="713"/>
    <n v="6"/>
    <n v="49.2"/>
    <s v="DIURNO"/>
    <m/>
    <n v="6"/>
    <n v="1118"/>
    <n v="22005"/>
    <s v="CREMA"/>
    <n v="0"/>
    <n v="0"/>
    <n v="0"/>
    <n v="49.91"/>
    <n v="49.2"/>
    <n v="70"/>
    <n v="702.85714285714289"/>
    <x v="5"/>
    <x v="0"/>
    <n v="26"/>
    <n v="1"/>
    <n v="59.416666666666664"/>
  </r>
  <r>
    <d v="2025-06-26T07:20:00"/>
    <s v="INYECTADO"/>
    <x v="3"/>
    <x v="125"/>
    <s v="LUIS FERNANDO"/>
    <s v="SEGUNDA"/>
    <s v="."/>
    <s v="MIXTO"/>
    <x v="47"/>
    <s v="COLADOR HOGAR SOLIDO#2-VERDE"/>
    <n v="231"/>
    <n v="2"/>
    <n v="16.2"/>
    <s v="DIURNO"/>
    <m/>
    <n v="1"/>
    <n v="1118"/>
    <n v="22005"/>
    <s v="VERDE"/>
    <n v="0"/>
    <n v="0"/>
    <n v="0"/>
    <n v="16.170000000000002"/>
    <n v="16.2"/>
    <n v="70"/>
    <n v="231.42857142857142"/>
    <x v="5"/>
    <x v="0"/>
    <n v="26"/>
    <n v="1"/>
    <n v="19.25"/>
  </r>
  <r>
    <d v="2025-06-26T07:20:00"/>
    <s v="INYECTADO"/>
    <x v="3"/>
    <x v="120"/>
    <s v="LUIS FERNANDO"/>
    <s v="SEGUNDA"/>
    <s v="."/>
    <s v="MIXTO"/>
    <x v="47"/>
    <s v="COLADOR HOGAR SOLIDO#2-VERDE"/>
    <n v="608"/>
    <n v="5"/>
    <n v="42.6"/>
    <s v="DIURNO"/>
    <m/>
    <n v="4"/>
    <n v="1118"/>
    <n v="22006"/>
    <s v="VERDE"/>
    <n v="0"/>
    <n v="0"/>
    <n v="0"/>
    <n v="42.56"/>
    <n v="42.6"/>
    <n v="70"/>
    <n v="608.57142857142856"/>
    <x v="5"/>
    <x v="0"/>
    <n v="26"/>
    <n v="1"/>
    <n v="50.666666666666664"/>
  </r>
  <r>
    <d v="2025-06-26T07:20:00"/>
    <s v="INYECTADO"/>
    <x v="3"/>
    <x v="120"/>
    <s v="LUIS FERNANDO"/>
    <s v="SEGUNDA"/>
    <s v="."/>
    <s v="MIXTO"/>
    <x v="47"/>
    <s v="COLADOR HOGAR SOLIDO#2-AZURE"/>
    <n v="591"/>
    <n v="5"/>
    <n v="41.4"/>
    <s v="DIURNO"/>
    <m/>
    <n v="5"/>
    <n v="1118"/>
    <n v="22006"/>
    <s v="CELESTE"/>
    <n v="0"/>
    <n v="0"/>
    <n v="0"/>
    <n v="41.37"/>
    <n v="41.4"/>
    <n v="70"/>
    <n v="591.42857142857144"/>
    <x v="5"/>
    <x v="0"/>
    <n v="26"/>
    <n v="1"/>
    <n v="49.25"/>
  </r>
  <r>
    <d v="2025-06-26T07:20:00"/>
    <s v="INYECTADO"/>
    <x v="3"/>
    <x v="129"/>
    <s v="CELSO ALEJANDRO"/>
    <s v="SEGUNDA"/>
    <s v="."/>
    <s v="MIXTO"/>
    <x v="47"/>
    <s v="COLADOR HOGAR SOLIDO#2-ANARANJADO"/>
    <n v="1134"/>
    <n v="7"/>
    <n v="79.400000000000006"/>
    <s v="DIURNO"/>
    <m/>
    <n v="6"/>
    <n v="1118"/>
    <n v="22007"/>
    <s v="NARANJA"/>
    <n v="8.6999999999999993"/>
    <n v="0"/>
    <n v="0"/>
    <n v="79.38"/>
    <n v="79.400000000000006"/>
    <n v="70"/>
    <n v="1134.2857142857142"/>
    <x v="5"/>
    <x v="0"/>
    <n v="27"/>
    <n v="1"/>
    <n v="94.5"/>
  </r>
  <r>
    <d v="2025-06-26T07:20:00"/>
    <s v="INYECTADO"/>
    <x v="3"/>
    <x v="129"/>
    <s v="CELSO ALEJANDRO"/>
    <s v="SEGUNDA"/>
    <s v="."/>
    <s v="MIXTO"/>
    <x v="47"/>
    <s v="COLADOR HOGAR SOLIDO#2-CREMA"/>
    <n v="71"/>
    <n v="1"/>
    <n v="5"/>
    <s v="DIURNO"/>
    <m/>
    <n v="1"/>
    <n v="1118"/>
    <n v="22007"/>
    <s v="CREMA"/>
    <n v="0"/>
    <n v="0"/>
    <n v="0"/>
    <n v="4.97"/>
    <n v="5"/>
    <n v="70"/>
    <n v="71.428571428571431"/>
    <x v="5"/>
    <x v="0"/>
    <n v="27"/>
    <n v="1"/>
    <n v="5.916666666666667"/>
  </r>
  <r>
    <d v="2025-05-26T09:10:00"/>
    <s v="SOPLADO"/>
    <x v="9"/>
    <x v="117"/>
    <s v="LUIS PINEDO"/>
    <s v="VIRGEN"/>
    <s v="PP CLARIFICADO"/>
    <s v="."/>
    <x v="30"/>
    <s v="SALSERO MULTIUSO 480ML-TRANSPARENTE"/>
    <n v="1130"/>
    <n v="10"/>
    <n v="38.200000000000003"/>
    <s v="DIURNO"/>
    <m/>
    <n v="6"/>
    <n v="1133"/>
    <n v="21444"/>
    <s v="TRANSPARENTE"/>
    <n v="29"/>
    <n v="0"/>
    <n v="0"/>
    <n v="42.94"/>
    <n v="38.200000000000003"/>
    <n v="38"/>
    <n v="1005.2631578947369"/>
    <x v="5"/>
    <x v="0"/>
    <n v="25"/>
    <n v="1"/>
    <n v="94.166666666666671"/>
  </r>
  <r>
    <d v="2025-05-26T09:10:00"/>
    <s v="SOPLADO"/>
    <x v="9"/>
    <x v="117"/>
    <s v="SAID VILLAMIZAR"/>
    <s v="VIRGEN"/>
    <s v="PP SOPLADO"/>
    <s v="."/>
    <x v="30"/>
    <s v="SALSERO MULTIUSO 480ML-TRANSPARENTE"/>
    <n v="483"/>
    <n v="3"/>
    <n v="17.399999999999999"/>
    <s v="NOCTURNO"/>
    <m/>
    <n v="3"/>
    <n v="1133"/>
    <n v="21445"/>
    <s v="TRANSPARENTE"/>
    <n v="9"/>
    <n v="0"/>
    <n v="0"/>
    <n v="18.353999999999999"/>
    <n v="17.399999999999999"/>
    <n v="38"/>
    <n v="457.89473684210526"/>
    <x v="5"/>
    <x v="0"/>
    <n v="25"/>
    <n v="1"/>
    <n v="40.25"/>
  </r>
  <r>
    <d v="2025-05-26T09:10:00"/>
    <s v="SOPLADO"/>
    <x v="11"/>
    <x v="118"/>
    <s v="NELSON PINEDO"/>
    <s v="VIRGEN"/>
    <s v="PP SOPLADO"/>
    <s v="."/>
    <x v="83"/>
    <s v="SALSERO PERITA 225ML-TRANSPARENTE"/>
    <n v="1912"/>
    <n v="10"/>
    <n v="30.6"/>
    <s v="DIURNO"/>
    <m/>
    <n v="4"/>
    <n v="1105"/>
    <n v="20982"/>
    <s v="TRANSPARENTE"/>
    <n v="21.4"/>
    <n v="0"/>
    <n v="0"/>
    <n v="30.591999999999999"/>
    <n v="30.6"/>
    <n v="16"/>
    <n v="1912.5"/>
    <x v="5"/>
    <x v="0"/>
    <n v="25"/>
    <n v="2"/>
    <n v="318.66666666666669"/>
  </r>
  <r>
    <d v="2025-05-26T09:10:00"/>
    <s v="SOPLADO"/>
    <x v="11"/>
    <x v="119"/>
    <s v="NELSON PINEDO"/>
    <s v="VIRGEN"/>
    <s v="PP SOPLADO"/>
    <s v="."/>
    <x v="83"/>
    <s v="SALSERO PERITA 225ML-TRANSPARENTE"/>
    <n v="2018"/>
    <n v="10"/>
    <n v="32.299999999999997"/>
    <s v="DIURNO"/>
    <m/>
    <n v="4"/>
    <n v="1105"/>
    <n v="20983"/>
    <s v="TRANSPARENTE"/>
    <n v="0"/>
    <n v="0"/>
    <n v="0"/>
    <n v="32.287999999999997"/>
    <n v="32.299999999999997"/>
    <n v="16"/>
    <n v="2018.7499999999998"/>
    <x v="5"/>
    <x v="0"/>
    <n v="25"/>
    <n v="2"/>
    <n v="336.33333333333331"/>
  </r>
  <r>
    <d v="2025-05-26T09:10:00"/>
    <s v="SOPLADO"/>
    <x v="9"/>
    <x v="118"/>
    <s v="LUIS PINEDO"/>
    <s v="VIRGEN"/>
    <s v="PP SOPLADO"/>
    <s v="."/>
    <x v="30"/>
    <s v="SALSERO MULTIUSO 480ML-TRANSPARENTE"/>
    <n v="1237"/>
    <n v="10"/>
    <n v="43.3"/>
    <s v="DIURNO"/>
    <m/>
    <n v="6"/>
    <n v="1133"/>
    <n v="21446"/>
    <s v="TRANSPARENTE"/>
    <n v="22.3"/>
    <n v="0"/>
    <n v="0"/>
    <n v="47.006"/>
    <n v="43.3"/>
    <n v="38"/>
    <n v="1139.4736842105262"/>
    <x v="5"/>
    <x v="0"/>
    <n v="25"/>
    <n v="1"/>
    <n v="103.08333333333333"/>
  </r>
  <r>
    <d v="2025-05-26T09:10:00"/>
    <s v="SOPLADO"/>
    <x v="9"/>
    <x v="128"/>
    <s v="NELSON PINEDO"/>
    <s v="VIRGEN"/>
    <s v="PP SOPLADO"/>
    <s v="."/>
    <x v="29"/>
    <s v="SALSERO MULTIUSO 600ML-TRANSPARENTE"/>
    <n v="1189"/>
    <n v="10"/>
    <n v="46.4"/>
    <s v="DIURNO"/>
    <m/>
    <n v="7"/>
    <n v="1142"/>
    <n v="21447"/>
    <s v="TRANSPARENTE"/>
    <n v="16.7"/>
    <n v="0"/>
    <n v="0"/>
    <n v="47.56"/>
    <n v="46.4"/>
    <n v="40"/>
    <n v="1160"/>
    <x v="5"/>
    <x v="0"/>
    <n v="26"/>
    <n v="1"/>
    <n v="99.083333333333329"/>
  </r>
  <r>
    <d v="2025-05-26T09:10:00"/>
    <s v="SOPLADO"/>
    <x v="9"/>
    <x v="128"/>
    <s v="GABRIEL REQUENA"/>
    <s v="VIRGEN"/>
    <s v="PP SOPLADO"/>
    <s v="."/>
    <x v="29"/>
    <s v="SALSERO MULTIUSO 600ML-TRANSPARENTE"/>
    <n v="1456"/>
    <n v="12"/>
    <n v="56.8"/>
    <s v="NOCTURNO"/>
    <m/>
    <n v="9"/>
    <n v="1142"/>
    <n v="21448"/>
    <s v="TRANSPARENTE"/>
    <n v="34.200000000000003"/>
    <n v="0"/>
    <n v="0"/>
    <n v="58.24"/>
    <n v="56.8"/>
    <n v="40"/>
    <n v="1420"/>
    <x v="5"/>
    <x v="0"/>
    <n v="26"/>
    <n v="1"/>
    <n v="121.33333333333333"/>
  </r>
  <r>
    <d v="2025-05-26T09:10:00"/>
    <s v="SOPLADO"/>
    <x v="12"/>
    <x v="132"/>
    <s v="NELSON PINEDO"/>
    <s v="VIRGEN"/>
    <s v="PP SOPLADO"/>
    <s v="."/>
    <x v="27"/>
    <s v="TOMATODO ULTRA 900ML-TRANSPARENTE"/>
    <n v="951"/>
    <n v="9"/>
    <n v="57.1"/>
    <s v="DIURNO"/>
    <n v="0"/>
    <n v="9"/>
    <n v="1129"/>
    <n v="20186"/>
    <s v="TRANSPARENTE"/>
    <n v="33"/>
    <n v="0"/>
    <n v="0"/>
    <n v="57.06"/>
    <n v="57.1"/>
    <n v="60"/>
    <n v="951.66666666666663"/>
    <x v="5"/>
    <x v="0"/>
    <n v="24"/>
    <n v="1"/>
    <n v="79.25"/>
  </r>
  <r>
    <d v="2025-05-26T09:10:00"/>
    <s v="SOPLADO"/>
    <x v="12"/>
    <x v="133"/>
    <s v="SAID VILLAMIZAR"/>
    <s v="VIRGEN"/>
    <s v="PP SOPLADO"/>
    <s v="."/>
    <x v="27"/>
    <s v="TOMATODO ULTRA 900ML-TRANSPARENTE"/>
    <n v="995"/>
    <n v="10"/>
    <n v="59.7"/>
    <s v="DIURNO"/>
    <n v="0"/>
    <n v="8"/>
    <n v="1129"/>
    <n v="20187"/>
    <s v="TRANSPARENTE"/>
    <n v="32"/>
    <n v="0"/>
    <n v="0"/>
    <n v="59.7"/>
    <n v="59.7"/>
    <n v="60"/>
    <n v="995"/>
    <x v="5"/>
    <x v="0"/>
    <n v="24"/>
    <n v="1"/>
    <n v="82.916666666666671"/>
  </r>
  <r>
    <d v="2025-05-26T09:10:00"/>
    <s v="SOPLADO"/>
    <x v="12"/>
    <x v="134"/>
    <s v="LUIS RENGIFO"/>
    <s v="VIRGEN"/>
    <s v="PP SOPLADO"/>
    <s v="."/>
    <x v="27"/>
    <s v="TOMATODO ULTRA 900ML-TRANSPARENTE"/>
    <n v="1083"/>
    <n v="10"/>
    <n v="65"/>
    <s v="DIURNO"/>
    <n v="0"/>
    <n v="9"/>
    <n v="1129"/>
    <n v="20188"/>
    <s v="TRANSPARENTE"/>
    <n v="28.1"/>
    <n v="0"/>
    <n v="0"/>
    <n v="64.98"/>
    <n v="65"/>
    <n v="60"/>
    <n v="1083.3333333333333"/>
    <x v="5"/>
    <x v="0"/>
    <n v="24"/>
    <n v="1"/>
    <n v="90.25"/>
  </r>
  <r>
    <d v="2025-05-26T09:10:00"/>
    <s v="SOPLADO"/>
    <x v="12"/>
    <x v="114"/>
    <s v="LUIS RENGIFO"/>
    <s v="VIRGEN"/>
    <s v="PP SOPLADO"/>
    <s v="."/>
    <x v="27"/>
    <s v="TOMATODO ULTRA 900ML-TRANSPARENTE"/>
    <n v="970"/>
    <n v="9"/>
    <n v="58.2"/>
    <s v="DIURNO"/>
    <n v="0"/>
    <n v="8"/>
    <n v="1129"/>
    <n v="20190"/>
    <s v="TRANSPARENTE"/>
    <n v="0"/>
    <n v="0"/>
    <n v="0"/>
    <n v="58.2"/>
    <n v="58.2"/>
    <n v="60"/>
    <n v="970"/>
    <x v="5"/>
    <x v="0"/>
    <n v="25"/>
    <n v="1"/>
    <n v="80.833333333333329"/>
  </r>
  <r>
    <d v="2025-05-26T09:10:00"/>
    <s v="SOPLADO"/>
    <x v="12"/>
    <x v="115"/>
    <s v="LUIS RENGIFO"/>
    <s v="VIRGEN"/>
    <s v="PP SOPLADO"/>
    <s v="."/>
    <x v="27"/>
    <s v="TOMATODO ULTRA 900ML-TRANSPARENTE"/>
    <n v="1177"/>
    <n v="10"/>
    <n v="71.8"/>
    <s v="DIURNO"/>
    <n v="0"/>
    <n v="9"/>
    <n v="1129"/>
    <n v="20191"/>
    <s v="TRANSPARENTE"/>
    <n v="27.1"/>
    <n v="0"/>
    <n v="0"/>
    <n v="70.62"/>
    <n v="71.8"/>
    <n v="60"/>
    <n v="1196.6666666666667"/>
    <x v="5"/>
    <x v="0"/>
    <n v="25"/>
    <n v="1"/>
    <n v="98.083333333333329"/>
  </r>
  <r>
    <d v="2025-05-26T09:10:00"/>
    <s v="SOPLADO"/>
    <x v="12"/>
    <x v="115"/>
    <s v="SAID VILLAMIZAR"/>
    <s v="VIRGEN"/>
    <s v="PP SOPLADO"/>
    <s v="."/>
    <x v="27"/>
    <s v="TOMATODO ULTRA 900ML-TRANSPARENTE"/>
    <n v="473"/>
    <n v="3"/>
    <n v="28.9"/>
    <s v="NOCTURNO"/>
    <n v="0"/>
    <n v="4"/>
    <n v="1129"/>
    <n v="20192"/>
    <s v="TRANSPARENTE"/>
    <n v="0"/>
    <n v="0"/>
    <n v="0"/>
    <n v="28.38"/>
    <n v="28.9"/>
    <n v="60"/>
    <n v="481.66666666666669"/>
    <x v="5"/>
    <x v="0"/>
    <n v="25"/>
    <n v="1"/>
    <n v="39.416666666666664"/>
  </r>
  <r>
    <d v="2025-05-26T09:10:00"/>
    <s v="SOPLADO"/>
    <x v="12"/>
    <x v="116"/>
    <s v="SAID VILLAMIZAR"/>
    <s v="VIRGEN"/>
    <s v="PP SOPLADO"/>
    <s v="."/>
    <x v="27"/>
    <s v="TOMATODO ULTRA 900ML-TRANSPARENTE"/>
    <n v="1013"/>
    <n v="10"/>
    <n v="61.8"/>
    <s v="DIURNO"/>
    <n v="0"/>
    <n v="8"/>
    <n v="1129"/>
    <n v="20193"/>
    <s v="TRANSPARENTE"/>
    <n v="19"/>
    <n v="0"/>
    <n v="0"/>
    <n v="60.78"/>
    <n v="61.8"/>
    <n v="60"/>
    <n v="1030"/>
    <x v="5"/>
    <x v="0"/>
    <n v="25"/>
    <n v="1"/>
    <n v="84.416666666666671"/>
  </r>
  <r>
    <d v="2025-05-26T09:10:00"/>
    <s v="SOPLADO"/>
    <x v="12"/>
    <x v="117"/>
    <s v="SAID VILLAMIZAR"/>
    <s v="VIRGEN"/>
    <s v="PP SOPLADO"/>
    <s v="."/>
    <x v="27"/>
    <s v="TOMATODO ULTRA 900ML-TRANSPARENTE"/>
    <n v="1024"/>
    <n v="10"/>
    <n v="61"/>
    <s v="DIURNO"/>
    <n v="0"/>
    <n v="9"/>
    <n v="1129"/>
    <n v="20194"/>
    <s v="TRANSPARENTE"/>
    <n v="28.3"/>
    <n v="0"/>
    <n v="0"/>
    <n v="61.44"/>
    <n v="61"/>
    <n v="60"/>
    <n v="1016.6666666666666"/>
    <x v="5"/>
    <x v="0"/>
    <n v="25"/>
    <n v="1"/>
    <n v="85.333333333333329"/>
  </r>
  <r>
    <d v="2025-05-26T09:10:00"/>
    <s v="SOPLADO"/>
    <x v="12"/>
    <x v="119"/>
    <s v="LUIS RENGIFO"/>
    <s v="VIRGEN"/>
    <s v="PP SOPLADO"/>
    <s v="."/>
    <x v="27"/>
    <s v="TOMATODO ULTRA 900ML-TRANSPARENTE"/>
    <n v="991"/>
    <n v="9"/>
    <n v="59.5"/>
    <s v="DIURNO"/>
    <n v="0"/>
    <n v="8"/>
    <n v="1129"/>
    <n v="20195"/>
    <s v="TRANSPARENTE"/>
    <n v="25.4"/>
    <n v="0"/>
    <n v="0"/>
    <n v="59.46"/>
    <n v="59.5"/>
    <n v="60"/>
    <n v="991.66666666666663"/>
    <x v="5"/>
    <x v="0"/>
    <n v="25"/>
    <n v="1"/>
    <n v="82.583333333333329"/>
  </r>
  <r>
    <d v="2025-05-26T09:10:00"/>
    <s v="SOPLADO"/>
    <x v="12"/>
    <x v="128"/>
    <s v="SAID VILLAMIZAR"/>
    <s v="VIRGEN"/>
    <s v="PP SOPLADO"/>
    <s v="."/>
    <x v="27"/>
    <s v="TOMATODO ULTRA 900ML-TRANSPARENTE"/>
    <n v="851"/>
    <n v="9"/>
    <n v="51.1"/>
    <s v="DIURNO"/>
    <n v="0"/>
    <n v="7"/>
    <n v="1129"/>
    <n v="20196"/>
    <s v="TRANSPARENTE"/>
    <n v="24.1"/>
    <n v="0"/>
    <n v="0"/>
    <n v="51.06"/>
    <n v="51.1"/>
    <n v="60"/>
    <n v="851.66666666666663"/>
    <x v="5"/>
    <x v="0"/>
    <n v="26"/>
    <n v="1"/>
    <n v="70.916666666666671"/>
  </r>
  <r>
    <d v="2025-05-26T09:10:00"/>
    <s v="SOPLADO"/>
    <x v="12"/>
    <x v="129"/>
    <s v="LUIS RENGIFO"/>
    <s v="VIRGEN"/>
    <s v="PP SOPLADO"/>
    <s v="."/>
    <x v="27"/>
    <s v="TOMATODO ULTRA 900ML-TRANSPARENTE"/>
    <n v="927"/>
    <n v="8"/>
    <n v="54.7"/>
    <s v="DIURNO"/>
    <n v="0"/>
    <n v="8"/>
    <n v="1129"/>
    <n v="20197"/>
    <s v="TRANSPARENTE"/>
    <n v="18.600000000000001"/>
    <n v="0"/>
    <n v="0"/>
    <n v="55.62"/>
    <n v="54.7"/>
    <n v="60"/>
    <n v="911.66666666666663"/>
    <x v="5"/>
    <x v="0"/>
    <n v="27"/>
    <n v="1"/>
    <n v="77.25"/>
  </r>
  <r>
    <d v="2025-07-07T09:10:00"/>
    <s v="INYECTADO"/>
    <x v="8"/>
    <x v="111"/>
    <s v="LUIS PINEDO"/>
    <s v="VIRGEN"/>
    <s v="PP CLARIFICADO"/>
    <s v="."/>
    <x v="90"/>
    <s v="TAPA PORTAVAJILLA-TRANSPARENTE"/>
    <n v="525"/>
    <n v="5"/>
    <n v="156"/>
    <s v="DIURNO"/>
    <m/>
    <n v="9"/>
    <n v="1120"/>
    <n v="21589"/>
    <s v="TRANSPARENTE"/>
    <n v="6.4"/>
    <n v="0"/>
    <n v="0"/>
    <n v="176.4"/>
    <n v="156"/>
    <n v="336"/>
    <n v="464.28571428571428"/>
    <x v="5"/>
    <x v="0"/>
    <n v="23"/>
    <n v="1"/>
    <n v="43.75"/>
  </r>
  <r>
    <d v="2025-07-07T09:10:00"/>
    <s v="INYECTADO"/>
    <x v="8"/>
    <x v="130"/>
    <s v="GABRIEL ORDAZ"/>
    <s v="VIRGEN"/>
    <s v="PP CLARIFICADO"/>
    <s v="."/>
    <x v="90"/>
    <s v="TAPA PORTAVAJILLA-TRANSPARENTE"/>
    <n v="1044"/>
    <n v="11"/>
    <n v="312.3"/>
    <s v="DIURNO"/>
    <m/>
    <n v="20"/>
    <n v="1120"/>
    <n v="21590"/>
    <s v="TRANSPARENTE"/>
    <n v="6.6"/>
    <n v="0"/>
    <n v="0"/>
    <n v="350.78399999999999"/>
    <n v="312.3"/>
    <n v="336"/>
    <n v="929.46428571428567"/>
    <x v="5"/>
    <x v="0"/>
    <n v="23"/>
    <n v="1"/>
    <n v="87"/>
  </r>
  <r>
    <d v="2025-07-07T09:10:00"/>
    <s v="INYECTADO"/>
    <x v="8"/>
    <x v="130"/>
    <s v="JUAN MANUEL PEREZ"/>
    <s v="VIRGEN"/>
    <s v="PP CLARIFICADO"/>
    <s v="."/>
    <x v="90"/>
    <s v="TAPA PORTAVAJILLA-TRANSPARENTE"/>
    <n v="1279"/>
    <n v="11"/>
    <n v="383.7"/>
    <s v="NOCTURNO"/>
    <m/>
    <n v="22"/>
    <n v="1120"/>
    <n v="21591"/>
    <s v="TRANSPARENTE"/>
    <n v="0"/>
    <n v="0"/>
    <n v="0"/>
    <n v="429.74400000000003"/>
    <n v="383.7"/>
    <n v="336"/>
    <n v="1141.9642857142858"/>
    <x v="5"/>
    <x v="0"/>
    <n v="23"/>
    <n v="1"/>
    <n v="106.58333333333333"/>
  </r>
  <r>
    <d v="2025-07-07T09:10:00"/>
    <s v="INYECTADO"/>
    <x v="8"/>
    <x v="131"/>
    <s v="GABRIEL REQUENA"/>
    <s v="VIRGEN"/>
    <s v="PP CLARIFICADO"/>
    <s v="."/>
    <x v="90"/>
    <s v="TAPA PORTAVAJILLA-TRANSPARENTE"/>
    <n v="1114"/>
    <n v="10"/>
    <n v="332.2"/>
    <s v="DIURNO"/>
    <m/>
    <n v="19"/>
    <n v="1120"/>
    <n v="21592"/>
    <s v="TRANSPARENTE"/>
    <n v="8.4"/>
    <n v="0"/>
    <n v="0"/>
    <n v="374.30399999999997"/>
    <n v="332.2"/>
    <n v="336"/>
    <n v="988.69047619047615"/>
    <x v="5"/>
    <x v="0"/>
    <n v="23"/>
    <n v="1"/>
    <n v="92.833333333333329"/>
  </r>
  <r>
    <d v="2025-07-07T09:10:00"/>
    <s v="INYECTADO"/>
    <x v="8"/>
    <x v="131"/>
    <s v="JUAN MANUEL PEREZ"/>
    <s v="VIRGEN"/>
    <s v="PP CLARIFICADO"/>
    <s v="."/>
    <x v="90"/>
    <s v="TAPA PORTAVAJILLA-TRANSPARENTE"/>
    <n v="1235"/>
    <n v="11"/>
    <n v="370.5"/>
    <s v="NOCTURNO"/>
    <m/>
    <n v="21"/>
    <n v="1120"/>
    <n v="21593"/>
    <s v="TRANSPARENTE"/>
    <n v="6"/>
    <n v="0"/>
    <n v="0"/>
    <n v="414.96"/>
    <n v="370.5"/>
    <n v="336"/>
    <n v="1102.6785714285713"/>
    <x v="5"/>
    <x v="0"/>
    <n v="23"/>
    <n v="1"/>
    <n v="102.91666666666667"/>
  </r>
  <r>
    <d v="2025-07-07T09:10:00"/>
    <s v="INYECTADO"/>
    <x v="8"/>
    <x v="121"/>
    <s v="LUIS RENGIFO"/>
    <s v="VIRGEN"/>
    <s v="PP CLARIFICADO"/>
    <s v="."/>
    <x v="99"/>
    <s v="BASE ORGANIZADOR  DE 3KG-TRANSPARENTE"/>
    <n v="680"/>
    <n v="7"/>
    <n v="66"/>
    <s v="DIURNO"/>
    <m/>
    <n v="11"/>
    <n v="1126"/>
    <n v="21594"/>
    <s v="TRANSPARENTE"/>
    <n v="0"/>
    <n v="0"/>
    <n v="0"/>
    <n v="34"/>
    <n v="66"/>
    <n v="50"/>
    <n v="1320"/>
    <x v="5"/>
    <x v="0"/>
    <n v="23"/>
    <n v="2"/>
    <n v="113.33333333333333"/>
  </r>
  <r>
    <d v="2025-07-07T09:10:00"/>
    <s v="INYECTADO"/>
    <x v="8"/>
    <x v="121"/>
    <s v="JOSDER GONZALEZ"/>
    <s v="VIRGEN"/>
    <s v="PP CLARIFICADO"/>
    <s v="."/>
    <x v="99"/>
    <s v="BASE ORGANIZADOR  DE 3KG-TRANSPARENTE"/>
    <n v="60"/>
    <n v="3"/>
    <n v="8.1999999999999993"/>
    <s v="NOCTURNO"/>
    <m/>
    <n v="2"/>
    <n v="1126"/>
    <n v="21595"/>
    <s v="TRANSPARENTE"/>
    <n v="8.1999999999999993"/>
    <n v="0"/>
    <n v="0"/>
    <n v="3"/>
    <n v="8.1999999999999993"/>
    <n v="50"/>
    <n v="164"/>
    <x v="5"/>
    <x v="0"/>
    <n v="23"/>
    <n v="2"/>
    <n v="10"/>
  </r>
  <r>
    <d v="2025-07-07T09:10:00"/>
    <s v="INYECTADO"/>
    <x v="8"/>
    <x v="122"/>
    <s v="LUIS PINEDO"/>
    <s v="VIRGEN"/>
    <s v="PP CLARIFICADO"/>
    <s v="."/>
    <x v="99"/>
    <s v="BASE ORGANIZADOR  DE 3KG-TRANSPARENTE"/>
    <n v="1423"/>
    <n v="11"/>
    <n v="136.69999999999999"/>
    <s v="DIURNO"/>
    <m/>
    <n v="23"/>
    <n v="1126"/>
    <n v="21597"/>
    <s v="TRANSPARENTE"/>
    <n v="0"/>
    <n v="0"/>
    <n v="0"/>
    <n v="71.150000000000006"/>
    <n v="136.69999999999999"/>
    <n v="50"/>
    <n v="2734"/>
    <x v="5"/>
    <x v="0"/>
    <n v="23"/>
    <n v="2"/>
    <n v="237.16666666666666"/>
  </r>
  <r>
    <d v="2025-07-07T09:10:00"/>
    <s v="INYECTADO"/>
    <x v="8"/>
    <x v="122"/>
    <s v="JUAN MANUEL PEREZ"/>
    <s v="VIRGEN"/>
    <s v="PP CLARIFICADO"/>
    <s v="."/>
    <x v="99"/>
    <s v="BASE ORGANIZADOR  DE 3KG-TRANSPARENTE"/>
    <n v="1080"/>
    <n v="11"/>
    <n v="108"/>
    <s v="NOCTURNO"/>
    <m/>
    <n v="18"/>
    <n v="1126"/>
    <n v="21598"/>
    <s v="TRANSPARENTE"/>
    <n v="18.399999999999999"/>
    <n v="0"/>
    <n v="0"/>
    <n v="54"/>
    <n v="108"/>
    <n v="50"/>
    <n v="2160"/>
    <x v="5"/>
    <x v="0"/>
    <n v="23"/>
    <n v="2"/>
    <n v="180"/>
  </r>
  <r>
    <d v="2025-07-07T09:10:00"/>
    <s v="INYECTADO"/>
    <x v="8"/>
    <x v="112"/>
    <s v="ISABEL LINARIZ"/>
    <s v="VIRGEN"/>
    <s v="PP CLARIFICADO"/>
    <s v="."/>
    <x v="99"/>
    <s v="BASE ORGANIZADOR  DE 3KG-TRANSPARENTE"/>
    <n v="967"/>
    <n v="8"/>
    <n v="92.9"/>
    <s v="DIURNO"/>
    <m/>
    <n v="16"/>
    <n v="1126"/>
    <n v="21599"/>
    <s v="TRANSPARENTE"/>
    <n v="7.3"/>
    <n v="0"/>
    <n v="0"/>
    <n v="48.35"/>
    <n v="92.9"/>
    <n v="50"/>
    <n v="1858"/>
    <x v="5"/>
    <x v="0"/>
    <n v="23"/>
    <n v="2"/>
    <n v="161.16666666666666"/>
  </r>
  <r>
    <d v="2025-07-07T09:10:00"/>
    <s v="INYECTADO"/>
    <x v="8"/>
    <x v="112"/>
    <s v="JOSDER GONZALEZ"/>
    <s v="VIRGEN"/>
    <s v="PP CLARIFICADO"/>
    <s v="."/>
    <x v="99"/>
    <s v="BASE ORGANIZADOR  DE 3KG-TRANSPARENTE"/>
    <n v="878"/>
    <n v="7"/>
    <n v="87.8"/>
    <s v="NOCTURNO"/>
    <m/>
    <n v="15"/>
    <n v="1126"/>
    <n v="22101"/>
    <s v="TRANSPARENTE"/>
    <n v="1.4"/>
    <n v="0"/>
    <n v="0"/>
    <n v="43.9"/>
    <n v="87.8"/>
    <n v="50"/>
    <n v="1756"/>
    <x v="5"/>
    <x v="0"/>
    <n v="23"/>
    <n v="2"/>
    <n v="146.33333333333334"/>
  </r>
  <r>
    <d v="2025-07-07T09:10:00"/>
    <s v="INYECTADO"/>
    <x v="8"/>
    <x v="113"/>
    <s v="SAID VILLAMIZAR"/>
    <s v="VIRGEN"/>
    <s v="PP CLARIFICADO"/>
    <s v="."/>
    <x v="99"/>
    <s v="BASE ORGANIZADOR  DE 3KG-TRANSPARENTE"/>
    <n v="1023"/>
    <n v="10"/>
    <n v="97.2"/>
    <s v="DIURNO"/>
    <m/>
    <n v="17"/>
    <n v="1126"/>
    <n v="21102"/>
    <s v="TRANSPARENTE"/>
    <n v="3.3"/>
    <n v="0"/>
    <n v="0"/>
    <n v="51.15"/>
    <n v="97.2"/>
    <n v="50"/>
    <n v="1944"/>
    <x v="5"/>
    <x v="0"/>
    <n v="24"/>
    <n v="2"/>
    <n v="170.5"/>
  </r>
  <r>
    <d v="2025-07-07T09:10:00"/>
    <s v="INYECTADO"/>
    <x v="8"/>
    <x v="132"/>
    <s v="LUIS FERNANDO"/>
    <s v="VIRGEN"/>
    <s v="PP CLARIFICADO"/>
    <s v="."/>
    <x v="99"/>
    <s v="BASE ORGANIZADOR  DE 3KG CARAMELO-VERDE"/>
    <n v="333"/>
    <n v="4"/>
    <n v="31.7"/>
    <s v="DIURNO"/>
    <m/>
    <n v="5"/>
    <n v="1126"/>
    <n v="22103"/>
    <s v="VERDE"/>
    <n v="0"/>
    <n v="0"/>
    <n v="0"/>
    <n v="32.634"/>
    <n v="31.7"/>
    <n v="98"/>
    <n v="323.46938775510205"/>
    <x v="5"/>
    <x v="0"/>
    <n v="24"/>
    <n v="2"/>
    <n v="55.5"/>
  </r>
  <r>
    <d v="2025-07-07T09:10:00"/>
    <s v="INYECTADO"/>
    <x v="8"/>
    <x v="132"/>
    <s v="LUIS FERNANDO"/>
    <s v="VIRGEN"/>
    <s v="PP CLARIFICADO"/>
    <s v="."/>
    <x v="99"/>
    <s v="BASE ORGANIZADOR  DE 3KG CARAMELO-AMARILLO"/>
    <n v="397"/>
    <n v="5"/>
    <n v="37.799999999999997"/>
    <s v="DIURNO"/>
    <m/>
    <n v="6"/>
    <n v="1126"/>
    <n v="22103"/>
    <s v="AMARILLO"/>
    <n v="0"/>
    <n v="0"/>
    <n v="0"/>
    <n v="38.905999999999999"/>
    <n v="37.799999999999997"/>
    <n v="98"/>
    <n v="385.71428571428572"/>
    <x v="5"/>
    <x v="0"/>
    <n v="24"/>
    <n v="2"/>
    <n v="66.166666666666671"/>
  </r>
  <r>
    <d v="2025-07-07T09:10:00"/>
    <s v="INYECTADO"/>
    <x v="8"/>
    <x v="132"/>
    <s v="JOSDER GONZALEZ"/>
    <s v="VIRGEN"/>
    <s v="PP CLARIFICADO"/>
    <s v="."/>
    <x v="99"/>
    <s v="BASE ORGANIZADOR  DE 3KG CARAMELO-VERDE"/>
    <n v="10"/>
    <n v="1"/>
    <n v="2.2999999999999998"/>
    <s v="NOCTURNO"/>
    <m/>
    <n v="1"/>
    <n v="1126"/>
    <n v="22104"/>
    <s v="VERDE"/>
    <n v="3.8"/>
    <n v="0"/>
    <n v="0"/>
    <n v="0.98"/>
    <n v="2.2999999999999998"/>
    <n v="98"/>
    <n v="23.469387755102041"/>
    <x v="5"/>
    <x v="0"/>
    <n v="24"/>
    <n v="2"/>
    <n v="1.6666666666666667"/>
  </r>
  <r>
    <d v="2025-07-07T09:10:00"/>
    <s v="INYECTADO"/>
    <x v="8"/>
    <x v="132"/>
    <s v="JOSDER GONZALEZ"/>
    <s v="VIRGEN"/>
    <s v="PP CLARIFICADO"/>
    <s v="."/>
    <x v="99"/>
    <s v="BASE ORGANIZADOR  DE 3KG CARAMELO-LILA"/>
    <n v="202"/>
    <n v="3"/>
    <n v="42.5"/>
    <s v="NOCTURNO"/>
    <m/>
    <n v="8"/>
    <n v="1126"/>
    <n v="22104"/>
    <s v="FUCSIA"/>
    <n v="1.4"/>
    <n v="0"/>
    <n v="0"/>
    <n v="19.795999999999999"/>
    <n v="42.5"/>
    <n v="98"/>
    <n v="433.67346938775512"/>
    <x v="5"/>
    <x v="0"/>
    <n v="24"/>
    <n v="2"/>
    <n v="33.666666666666664"/>
  </r>
  <r>
    <d v="2025-07-07T09:10:00"/>
    <s v="INYECTADO"/>
    <x v="8"/>
    <x v="132"/>
    <s v="JOSDER GONZALEZ"/>
    <s v="VIRGEN"/>
    <s v="PP CLARIFICADO"/>
    <s v="."/>
    <x v="99"/>
    <s v="BASE ORGANIZADOR  DE 3KG CARAMELO-LILA"/>
    <n v="90"/>
    <n v="2"/>
    <n v="18.899999999999999"/>
    <s v="NOCTURNO"/>
    <m/>
    <n v="3"/>
    <n v="1126"/>
    <n v="22104"/>
    <s v="LILA"/>
    <n v="0.8"/>
    <n v="0"/>
    <n v="0"/>
    <n v="8.82"/>
    <n v="18.899999999999999"/>
    <n v="98"/>
    <n v="192.85714285714286"/>
    <x v="5"/>
    <x v="0"/>
    <n v="24"/>
    <n v="2"/>
    <n v="15"/>
  </r>
  <r>
    <d v="2025-07-07T09:10:00"/>
    <s v="INYECTADO"/>
    <x v="8"/>
    <x v="133"/>
    <m/>
    <s v="VIRGEN"/>
    <s v="PP CLARIFICADO"/>
    <s v="."/>
    <x v="99"/>
    <s v="BASE ORGANIZADOR  DE 3KG CARAMELO-LILA"/>
    <n v="184"/>
    <n v="1"/>
    <n v="17.5"/>
    <s v="DIURNO"/>
    <m/>
    <n v="4"/>
    <n v="1126"/>
    <n v="22105"/>
    <s v="LILA"/>
    <n v="0"/>
    <n v="0"/>
    <n v="0"/>
    <n v="18.032"/>
    <n v="17.5"/>
    <n v="98"/>
    <n v="178.57142857142858"/>
    <x v="5"/>
    <x v="0"/>
    <n v="24"/>
    <n v="2"/>
    <n v="30.666666666666668"/>
  </r>
  <r>
    <d v="2025-07-07T09:10:00"/>
    <s v="INYECTADO"/>
    <x v="8"/>
    <x v="133"/>
    <m/>
    <s v="VIRGEN"/>
    <s v="PP CLARIFICADO"/>
    <s v="."/>
    <x v="100"/>
    <s v="BASE ORGANIZADOR DE 3KG PASTEL-AZURE"/>
    <n v="203"/>
    <n v="3"/>
    <n v="19.2"/>
    <s v="DIURNO"/>
    <m/>
    <n v="4"/>
    <n v="1126"/>
    <n v="22105"/>
    <s v="AZURE"/>
    <n v="0"/>
    <n v="0"/>
    <n v="0"/>
    <n v="19.893999999999998"/>
    <n v="19.2"/>
    <n v="98"/>
    <n v="195.91836734693877"/>
    <x v="5"/>
    <x v="0"/>
    <n v="24"/>
    <n v="2"/>
    <n v="33.833333333333336"/>
  </r>
  <r>
    <d v="2025-07-07T09:10:00"/>
    <s v="INYECTADO"/>
    <x v="8"/>
    <x v="133"/>
    <m/>
    <s v="VIRGEN"/>
    <s v="PP CLARIFICADO"/>
    <s v="."/>
    <x v="99"/>
    <s v="BASE ORGANIZADOR  DE 3KG CARAMELO-ROJO"/>
    <n v="361"/>
    <n v="4"/>
    <n v="34.200000000000003"/>
    <s v="DIURNO"/>
    <m/>
    <n v="7"/>
    <n v="1126"/>
    <n v="22105"/>
    <s v="ROJO"/>
    <n v="0"/>
    <n v="0"/>
    <n v="0"/>
    <n v="35.378"/>
    <n v="34.200000000000003"/>
    <n v="98"/>
    <n v="348.9795918367347"/>
    <x v="5"/>
    <x v="0"/>
    <n v="24"/>
    <n v="2"/>
    <n v="60.166666666666664"/>
  </r>
  <r>
    <d v="2025-07-07T09:10:00"/>
    <s v="INYECTADO"/>
    <x v="8"/>
    <x v="133"/>
    <m/>
    <s v="VIRGEN"/>
    <s v="PP CLARIFICADO"/>
    <s v="."/>
    <x v="100"/>
    <s v="BASE ORGANIZADOR DE 3KG PASTEL-TURQUESA"/>
    <n v="266"/>
    <n v="3"/>
    <n v="25.2"/>
    <s v="DIURNO"/>
    <m/>
    <n v="4"/>
    <n v="1126"/>
    <n v="22105"/>
    <s v="TURQUESA"/>
    <n v="0"/>
    <n v="0"/>
    <n v="0"/>
    <n v="26.068000000000001"/>
    <n v="25.2"/>
    <n v="98"/>
    <n v="257.14285714285717"/>
    <x v="5"/>
    <x v="0"/>
    <n v="24"/>
    <n v="2"/>
    <n v="44.333333333333336"/>
  </r>
  <r>
    <d v="2025-07-07T09:10:00"/>
    <s v="INYECTADO"/>
    <x v="8"/>
    <x v="134"/>
    <s v="LUIS FERNANDO"/>
    <s v="VIRGEN"/>
    <s v="PP CLARIFICADO"/>
    <s v="."/>
    <x v="100"/>
    <s v="BASE ORGANIZADOR DE 3KG PASTEL-AZURE"/>
    <n v="196"/>
    <n v="2"/>
    <n v="18.899999999999999"/>
    <s v="DIURNO"/>
    <m/>
    <n v="3"/>
    <n v="1126"/>
    <n v="22106"/>
    <s v="AZURE"/>
    <n v="9"/>
    <n v="0"/>
    <n v="0"/>
    <n v="19.207999999999998"/>
    <n v="18.899999999999999"/>
    <n v="98"/>
    <n v="192.85714285714286"/>
    <x v="5"/>
    <x v="0"/>
    <n v="24"/>
    <n v="2"/>
    <n v="32.666666666666664"/>
  </r>
  <r>
    <d v="2025-07-07T09:10:00"/>
    <s v="INYECTADO"/>
    <x v="8"/>
    <x v="134"/>
    <s v="LUIS FERNANDO"/>
    <s v="VIRGEN"/>
    <s v="PP CLARIFICADO"/>
    <s v="."/>
    <x v="100"/>
    <s v="BASE ORGANIZADOR DE 3KG PASTEL-SANDIA"/>
    <n v="283"/>
    <n v="3"/>
    <n v="27.2"/>
    <s v="DIURNO"/>
    <m/>
    <n v="4"/>
    <n v="1126"/>
    <n v="22106"/>
    <s v="SANDIA"/>
    <n v="2.2999999999999998"/>
    <n v="0"/>
    <n v="0"/>
    <n v="27.734000000000002"/>
    <n v="27.2"/>
    <n v="98"/>
    <n v="277.55102040816325"/>
    <x v="5"/>
    <x v="0"/>
    <n v="24"/>
    <n v="2"/>
    <n v="47.166666666666664"/>
  </r>
  <r>
    <d v="2025-07-07T09:10:00"/>
    <s v="INYECTADO"/>
    <x v="8"/>
    <x v="134"/>
    <s v="LUIS FERNANDO"/>
    <s v="VIRGEN"/>
    <s v="PP CLARIFICADO"/>
    <s v="."/>
    <x v="100"/>
    <s v="BASE ORGANIZADOR DE 3KG PASTEL-ROSADO"/>
    <n v="129"/>
    <n v="2"/>
    <n v="12.4"/>
    <s v="DIURNO"/>
    <m/>
    <n v="2"/>
    <n v="1126"/>
    <n v="22106"/>
    <s v="ROSADO"/>
    <n v="4.8"/>
    <n v="0"/>
    <n v="0"/>
    <n v="12.641999999999999"/>
    <n v="12.4"/>
    <n v="98"/>
    <n v="126.53061224489795"/>
    <x v="5"/>
    <x v="0"/>
    <n v="24"/>
    <n v="2"/>
    <n v="21.5"/>
  </r>
  <r>
    <d v="2025-07-07T09:10:00"/>
    <s v="INYECTADO"/>
    <x v="8"/>
    <x v="134"/>
    <s v="LUIS FERNANDO"/>
    <s v="VIRGEN"/>
    <s v="PP CLARIFICADO"/>
    <s v="."/>
    <x v="100"/>
    <s v="BASE ORGANIZADOR DE 3KG PASTEL-TURQUESA"/>
    <n v="125"/>
    <n v="2"/>
    <n v="12"/>
    <s v="DIURNO"/>
    <m/>
    <n v="2"/>
    <n v="1126"/>
    <n v="22106"/>
    <s v="TURQUESA"/>
    <n v="4.9000000000000004"/>
    <n v="0"/>
    <n v="0"/>
    <n v="12.25"/>
    <n v="12"/>
    <n v="98"/>
    <n v="122.44897959183673"/>
    <x v="5"/>
    <x v="0"/>
    <n v="24"/>
    <n v="2"/>
    <n v="20.833333333333332"/>
  </r>
  <r>
    <d v="2025-07-07T09:10:00"/>
    <s v="INYECTADO"/>
    <x v="8"/>
    <x v="134"/>
    <s v="LUIS FERNANDO"/>
    <s v="VIRGEN"/>
    <s v="PP CLARIFICADO"/>
    <s v="."/>
    <x v="100"/>
    <s v="BASE ORGANIZADOR DE 3KG PASTEL-CELESTE"/>
    <n v="163"/>
    <n v="2"/>
    <n v="15.7"/>
    <s v="DIURNO"/>
    <m/>
    <n v="3"/>
    <n v="1126"/>
    <n v="22106"/>
    <s v="CELESTE"/>
    <n v="5"/>
    <n v="0"/>
    <n v="0"/>
    <n v="15.974"/>
    <n v="15.7"/>
    <n v="98"/>
    <n v="160.20408163265307"/>
    <x v="5"/>
    <x v="0"/>
    <n v="24"/>
    <n v="2"/>
    <n v="27.166666666666668"/>
  </r>
  <r>
    <d v="2025-07-07T09:10:00"/>
    <s v="INYECTADO"/>
    <x v="8"/>
    <x v="134"/>
    <s v="GABRIEL REQUENA"/>
    <s v="VIRGEN"/>
    <s v="PP CLARIFICADO"/>
    <s v="."/>
    <x v="100"/>
    <s v="BASE ORGANIZADOR DE 3KG PASTEL-CELESTE"/>
    <n v="95"/>
    <n v="1"/>
    <n v="9.1999999999999993"/>
    <s v="NOCTURNO"/>
    <m/>
    <n v="2"/>
    <n v="1126"/>
    <n v="22107"/>
    <s v="CELESTE"/>
    <n v="7.4"/>
    <n v="0"/>
    <n v="0"/>
    <n v="9.31"/>
    <n v="9.1999999999999993"/>
    <n v="98"/>
    <n v="93.877551020408163"/>
    <x v="5"/>
    <x v="0"/>
    <n v="24"/>
    <n v="2"/>
    <n v="15.833333333333334"/>
  </r>
  <r>
    <d v="2025-07-07T09:10:00"/>
    <s v="INYECTADO"/>
    <x v="8"/>
    <x v="134"/>
    <s v="GABRIEL REQUENA"/>
    <s v="VIRGEN"/>
    <s v="PP CLARIFICADO"/>
    <s v="."/>
    <x v="99"/>
    <s v="BASE ORGANIZADOR  DE 3KG CARAMELO-AZUL"/>
    <n v="161"/>
    <n v="2"/>
    <n v="15.5"/>
    <s v="NOCTURNO"/>
    <m/>
    <n v="3"/>
    <n v="1126"/>
    <n v="22107"/>
    <s v="AZUL"/>
    <n v="2.5"/>
    <n v="0"/>
    <n v="0"/>
    <n v="15.778"/>
    <n v="15.5"/>
    <n v="98"/>
    <n v="158.16326530612244"/>
    <x v="5"/>
    <x v="0"/>
    <n v="24"/>
    <n v="2"/>
    <n v="26.833333333333332"/>
  </r>
  <r>
    <d v="2025-07-07T09:10:00"/>
    <s v="INYECTADO"/>
    <x v="8"/>
    <x v="126"/>
    <s v="GABRIEL ORDAZ"/>
    <s v="VIRGEN"/>
    <s v="PP CLARIFICADO"/>
    <s v="."/>
    <x v="100"/>
    <s v="BASE ORGANIZADOR DE 3KG PASTEL-LILA"/>
    <n v="219"/>
    <n v="2"/>
    <n v="21"/>
    <s v="NOCTURNO"/>
    <m/>
    <n v="2"/>
    <n v="1126"/>
    <n v="22108"/>
    <s v="LILA"/>
    <n v="0"/>
    <n v="0"/>
    <n v="0"/>
    <n v="21.462"/>
    <n v="21"/>
    <n v="98"/>
    <n v="214.28571428571428"/>
    <x v="5"/>
    <x v="0"/>
    <n v="24"/>
    <n v="2"/>
    <n v="36.5"/>
  </r>
  <r>
    <d v="2025-07-07T09:10:00"/>
    <s v="INYECTADO"/>
    <x v="8"/>
    <x v="126"/>
    <s v="GABRIEL ORDAZ"/>
    <s v="VIRGEN"/>
    <s v="PP CLARIFICADO"/>
    <s v="."/>
    <x v="99"/>
    <s v="BASE ORGANIZADOR  DE 3KG CARAMELO-AZUL"/>
    <n v="113"/>
    <n v="1"/>
    <n v="10.8"/>
    <s v="NOCTURNO"/>
    <m/>
    <n v="4"/>
    <n v="1126"/>
    <n v="22108"/>
    <s v="AZUL"/>
    <n v="0"/>
    <n v="0"/>
    <n v="0"/>
    <n v="11.074"/>
    <n v="10.8"/>
    <n v="98"/>
    <n v="110.20408163265306"/>
    <x v="5"/>
    <x v="0"/>
    <n v="24"/>
    <n v="2"/>
    <n v="18.833333333333332"/>
  </r>
  <r>
    <d v="2025-07-07T09:10:00"/>
    <s v="INYECTADO"/>
    <x v="8"/>
    <x v="118"/>
    <s v="NELSON PINEDO"/>
    <s v="VIRGEN"/>
    <s v="PP CLARIFICADO"/>
    <s v="."/>
    <x v="101"/>
    <s v="JARRA REAL 1200 LT-TRANSPARENTE"/>
    <n v="88"/>
    <n v="1"/>
    <n v="11.9"/>
    <s v="DIURNO"/>
    <m/>
    <n v="1"/>
    <n v="1131"/>
    <n v="22109"/>
    <s v="TRANSPARENTE"/>
    <n v="35.299999999999997"/>
    <n v="0"/>
    <n v="0"/>
    <n v="5.984"/>
    <n v="11.9"/>
    <n v="68"/>
    <n v="175"/>
    <x v="5"/>
    <x v="0"/>
    <n v="25"/>
    <n v="2"/>
    <n v="14.666666666666666"/>
  </r>
  <r>
    <d v="2025-07-07T09:10:00"/>
    <s v="INYECTADO"/>
    <x v="8"/>
    <x v="136"/>
    <s v="NELSON PINEDO"/>
    <s v="VIRGEN"/>
    <s v="PP SOPLADO"/>
    <s v="."/>
    <x v="102"/>
    <s v="JARRA REAL 6 LT-TRANSPARENTE"/>
    <n v="99"/>
    <n v="1"/>
    <n v="23.6"/>
    <s v="DIURNO"/>
    <m/>
    <n v="4"/>
    <n v="1151"/>
    <n v="22110"/>
    <s v="TRANSPARENTE"/>
    <n v="0"/>
    <n v="0"/>
    <n v="0"/>
    <n v="23.76"/>
    <n v="23.6"/>
    <n v="240"/>
    <n v="98.333333333333329"/>
    <x v="5"/>
    <x v="0"/>
    <n v="26"/>
    <n v="1"/>
    <n v="8.25"/>
  </r>
  <r>
    <d v="2025-07-07T09:10:00"/>
    <s v="INYECTADO"/>
    <x v="8"/>
    <x v="128"/>
    <s v="SAID VILLAMIZAR"/>
    <s v="VIRGEN"/>
    <s v="PP SOPLADO"/>
    <s v="."/>
    <x v="102"/>
    <s v="JARRA REAL 6 LT-TRANSPARENTE"/>
    <n v="78"/>
    <n v="2"/>
    <n v="18.8"/>
    <s v="DIURNO"/>
    <m/>
    <n v="4"/>
    <n v="1151"/>
    <n v="22111"/>
    <s v="TRANSPARENTE"/>
    <n v="0"/>
    <n v="0"/>
    <n v="0"/>
    <n v="18.72"/>
    <n v="18.8"/>
    <n v="240"/>
    <n v="78.333333333333329"/>
    <x v="5"/>
    <x v="0"/>
    <n v="26"/>
    <n v="1"/>
    <n v="6.5"/>
  </r>
  <r>
    <d v="2025-05-26T09:10:00"/>
    <s v="INYECTADO"/>
    <x v="10"/>
    <x v="111"/>
    <m/>
    <s v="VIRGEN"/>
    <s v="PP CLARIFICADO"/>
    <s v="."/>
    <x v="59"/>
    <s v="BASE PORTA VAJILLA-TRANSPARENTE"/>
    <n v="258"/>
    <n v="5"/>
    <n v="99.8"/>
    <s v="DIURNO"/>
    <m/>
    <n v="9"/>
    <n v="1119"/>
    <n v="21825"/>
    <s v="TRANSPARENTE"/>
    <n v="3.6"/>
    <n v="0"/>
    <n v="0"/>
    <n v="97.007999999999996"/>
    <n v="99.8"/>
    <n v="376"/>
    <n v="265.42553191489361"/>
    <x v="5"/>
    <x v="0"/>
    <n v="23"/>
    <n v="1"/>
    <n v="21.5"/>
  </r>
  <r>
    <d v="2025-05-26T09:10:00"/>
    <s v="INYECTADO"/>
    <x v="10"/>
    <x v="130"/>
    <s v="LUIS PINEDO"/>
    <s v="VIRGEN"/>
    <s v="PP CLARIFICADO"/>
    <s v="."/>
    <x v="92"/>
    <s v="JARRA GRECIA 5LT-TRANSPARENTE"/>
    <n v="671"/>
    <n v="6"/>
    <n v="148.5"/>
    <s v="DIURNO"/>
    <m/>
    <n v="27"/>
    <n v="1125"/>
    <n v="21826"/>
    <s v="TRANSPARENTE"/>
    <n v="0"/>
    <n v="0"/>
    <n v="0"/>
    <n v="148.96199999999999"/>
    <n v="148.5"/>
    <n v="222"/>
    <n v="668.91891891891896"/>
    <x v="5"/>
    <x v="0"/>
    <n v="23"/>
    <n v="1"/>
    <n v="55.916666666666664"/>
  </r>
  <r>
    <d v="2025-05-26T09:10:00"/>
    <s v="INYECTADO"/>
    <x v="10"/>
    <x v="130"/>
    <s v="JOSDER GONZALEZ"/>
    <s v="VIRGEN"/>
    <s v="PP CLARIFICADO"/>
    <s v="."/>
    <x v="92"/>
    <s v="JARRA GRECIA 5LT-TRANSPARENTE"/>
    <n v="991"/>
    <n v="12"/>
    <n v="224"/>
    <s v="NOCTURNO"/>
    <m/>
    <n v="41"/>
    <n v="1125"/>
    <n v="21827"/>
    <s v="TRANSPARENTE"/>
    <n v="5.3"/>
    <n v="0"/>
    <n v="0"/>
    <n v="220.00200000000001"/>
    <n v="224"/>
    <n v="222"/>
    <n v="1009.009009009009"/>
    <x v="5"/>
    <x v="0"/>
    <n v="23"/>
    <n v="1"/>
    <n v="82.583333333333329"/>
  </r>
  <r>
    <d v="2025-05-26T09:10:00"/>
    <s v="INYECTADO"/>
    <x v="10"/>
    <x v="131"/>
    <s v="ROSA MERINO"/>
    <s v="VIRGEN"/>
    <s v="PP CLARIFICADO"/>
    <s v="."/>
    <x v="92"/>
    <s v="JARRA GRECIA 5LT-TRANSPARENTE"/>
    <n v="1144"/>
    <n v="12"/>
    <n v="254.1"/>
    <s v="DIURNO"/>
    <m/>
    <n v="47"/>
    <n v="1125"/>
    <n v="21828"/>
    <s v="TRANSPARENTE"/>
    <n v="6.6"/>
    <n v="0"/>
    <n v="0"/>
    <n v="253.96799999999999"/>
    <n v="254.1"/>
    <n v="222"/>
    <n v="1144.5945945945946"/>
    <x v="5"/>
    <x v="0"/>
    <n v="23"/>
    <n v="1"/>
    <n v="95.333333333333329"/>
  </r>
  <r>
    <d v="2025-05-26T09:10:00"/>
    <s v="INYECTADO"/>
    <x v="10"/>
    <x v="131"/>
    <s v="JOSDER GONZALEZ"/>
    <s v="VIRGEN"/>
    <s v="PP CLARIFICADO"/>
    <s v="."/>
    <x v="92"/>
    <s v="JARRA GRECIA 5LT-TRANSPARENTE"/>
    <n v="1052"/>
    <n v="12"/>
    <n v="238.6"/>
    <s v="NOCTURNO"/>
    <m/>
    <n v="45"/>
    <n v="1125"/>
    <n v="21829"/>
    <s v="TRANSPARENTE"/>
    <n v="3.3"/>
    <n v="0"/>
    <n v="0"/>
    <n v="233.54400000000001"/>
    <n v="238.6"/>
    <n v="222"/>
    <n v="1074.7747747747749"/>
    <x v="5"/>
    <x v="0"/>
    <n v="23"/>
    <n v="1"/>
    <n v="87.666666666666671"/>
  </r>
  <r>
    <d v="2025-05-26T09:10:00"/>
    <s v="INYECTADO"/>
    <x v="10"/>
    <x v="121"/>
    <s v="ISABEL LINARIZ"/>
    <s v="VIRGEN"/>
    <s v="PP CLARIFICADO"/>
    <s v="."/>
    <x v="92"/>
    <s v="JARRA GRECIA 5LT-TRANSPARENTE"/>
    <n v="1212"/>
    <n v="11"/>
    <n v="267.89999999999998"/>
    <s v="DIURNO"/>
    <m/>
    <n v="46"/>
    <n v="1125"/>
    <n v="21830"/>
    <s v="TRANSPARENTE"/>
    <n v="1.4"/>
    <n v="0"/>
    <n v="0"/>
    <n v="269.06400000000002"/>
    <n v="267.89999999999998"/>
    <n v="222"/>
    <n v="1206.7567567567567"/>
    <x v="5"/>
    <x v="0"/>
    <n v="23"/>
    <n v="1"/>
    <n v="101"/>
  </r>
  <r>
    <d v="2025-05-26T09:10:00"/>
    <s v="INYECTADO"/>
    <x v="10"/>
    <x v="121"/>
    <s v="JUAN MANUEL PEREZ"/>
    <s v="VIRGEN"/>
    <s v="PP CLARIFICADO"/>
    <s v="."/>
    <x v="92"/>
    <s v="JARRA GRECIA 5LT-TRANSPARENTE"/>
    <n v="951"/>
    <n v="11"/>
    <n v="218.1"/>
    <s v="NOCTURNO"/>
    <m/>
    <n v="41"/>
    <n v="1125"/>
    <n v="21831"/>
    <s v="TRANSPARENTE"/>
    <n v="7"/>
    <n v="0"/>
    <n v="0"/>
    <n v="211.12200000000001"/>
    <n v="218.1"/>
    <n v="222"/>
    <n v="982.43243243243239"/>
    <x v="5"/>
    <x v="0"/>
    <n v="23"/>
    <n v="1"/>
    <n v="79.25"/>
  </r>
  <r>
    <d v="2025-05-26T09:10:00"/>
    <s v="INYECTADO"/>
    <x v="10"/>
    <x v="122"/>
    <s v="ISABEL LINARIZ"/>
    <s v="VIRGEN"/>
    <s v="PP CLARIFICADO"/>
    <s v="."/>
    <x v="92"/>
    <s v="JARRA GRECIA 5LT-TRANSPARENTE"/>
    <n v="1150"/>
    <n v="12"/>
    <n v="253"/>
    <s v="DIURNO"/>
    <m/>
    <n v="47"/>
    <n v="1125"/>
    <n v="21832"/>
    <s v="TRANSPARENTE"/>
    <n v="3.9"/>
    <n v="0"/>
    <n v="0"/>
    <n v="255.3"/>
    <n v="253"/>
    <n v="222"/>
    <n v="1139.6396396396397"/>
    <x v="5"/>
    <x v="0"/>
    <n v="23"/>
    <n v="1"/>
    <n v="95.833333333333329"/>
  </r>
  <r>
    <d v="2025-05-26T09:10:00"/>
    <s v="INYECTADO"/>
    <x v="10"/>
    <x v="122"/>
    <s v="JOSDER GONZALEZ"/>
    <s v="VIRGEN"/>
    <s v="PP CLARIFICADO"/>
    <s v="."/>
    <x v="92"/>
    <s v="JARRA GRECIA 5LT-TRANSPARENTE"/>
    <n v="1080"/>
    <n v="12"/>
    <n v="247.5"/>
    <s v="NOCTURNO"/>
    <m/>
    <n v="45"/>
    <n v="1125"/>
    <n v="21833"/>
    <s v="TRANSPARENTE"/>
    <n v="8.1999999999999993"/>
    <n v="0"/>
    <n v="0"/>
    <n v="239.76"/>
    <n v="247.5"/>
    <n v="222"/>
    <n v="1114.8648648648648"/>
    <x v="5"/>
    <x v="0"/>
    <n v="23"/>
    <n v="1"/>
    <n v="90"/>
  </r>
  <r>
    <d v="2025-05-26T09:10:00"/>
    <s v="INYECTADO"/>
    <x v="10"/>
    <x v="112"/>
    <s v="GABRIEL REQUENA"/>
    <s v="VIRGEN"/>
    <s v="PP CLARIFICADO"/>
    <s v="."/>
    <x v="92"/>
    <s v="JARRA GRECIA 5LT-TRANSPARENTE"/>
    <n v="865"/>
    <n v="11"/>
    <n v="190.5"/>
    <s v="DIURNO"/>
    <m/>
    <n v="35"/>
    <n v="1125"/>
    <n v="21834"/>
    <s v="TRANSPARENTE"/>
    <n v="40.700000000000003"/>
    <n v="0"/>
    <n v="0"/>
    <n v="192.03"/>
    <n v="190.5"/>
    <n v="222"/>
    <n v="858.10810810810813"/>
    <x v="5"/>
    <x v="0"/>
    <n v="23"/>
    <n v="1"/>
    <n v="72.083333333333329"/>
  </r>
  <r>
    <d v="2025-05-26T09:10:00"/>
    <s v="INYECTADO"/>
    <x v="10"/>
    <x v="112"/>
    <s v="JUAN MANUEL PEREZ"/>
    <s v="VIRGEN"/>
    <s v="PP CLARIFICADO"/>
    <s v="."/>
    <x v="92"/>
    <s v="JARRA GRECIA 5LT-TRANSPARENTE"/>
    <n v="224"/>
    <n v="3"/>
    <n v="51.5"/>
    <s v="NOCTURNO"/>
    <m/>
    <n v="10"/>
    <n v="1125"/>
    <n v="21835"/>
    <s v="TRANSPARENTE"/>
    <n v="0"/>
    <n v="0"/>
    <n v="0"/>
    <n v="49.728000000000002"/>
    <n v="51.5"/>
    <n v="222"/>
    <n v="231.98198198198199"/>
    <x v="5"/>
    <x v="0"/>
    <n v="23"/>
    <n v="1"/>
    <n v="18.666666666666668"/>
  </r>
  <r>
    <d v="2025-05-26T09:10:00"/>
    <s v="INYECTADO"/>
    <x v="10"/>
    <x v="138"/>
    <s v="BRAYAN PINEDO"/>
    <s v="VIRGEN"/>
    <s v="PP CLARIFICADO"/>
    <s v="."/>
    <x v="92"/>
    <s v="JARRA GRECIA 5LT-TRANSPARENTE"/>
    <n v="575"/>
    <n v="6"/>
    <n v="131.80000000000001"/>
    <s v="NOCTURNO"/>
    <m/>
    <n v="24"/>
    <n v="1125"/>
    <n v="21836"/>
    <s v="TRANSPARENTE"/>
    <n v="5.9"/>
    <n v="0"/>
    <n v="0"/>
    <n v="127.65"/>
    <n v="131.80000000000001"/>
    <n v="222"/>
    <n v="593.69369369369372"/>
    <x v="5"/>
    <x v="0"/>
    <n v="23"/>
    <n v="1"/>
    <n v="47.916666666666664"/>
  </r>
  <r>
    <d v="2025-05-26T09:10:00"/>
    <s v="INYECTADO"/>
    <x v="10"/>
    <x v="132"/>
    <s v="GABRIEL REQUENA"/>
    <s v="VIRGEN"/>
    <s v="PP CLARIFICADO"/>
    <s v="."/>
    <x v="92"/>
    <s v="JARRA GRECIA 5LT-TRANSPARENTE"/>
    <n v="761"/>
    <n v="8"/>
    <n v="82.5"/>
    <s v="DIURNO"/>
    <m/>
    <n v="31"/>
    <n v="1125"/>
    <n v="21837"/>
    <s v="TRANSPARENTE"/>
    <n v="31.2"/>
    <n v="0"/>
    <n v="0"/>
    <n v="168.94200000000001"/>
    <n v="82.5"/>
    <n v="222"/>
    <n v="371.62162162162161"/>
    <x v="5"/>
    <x v="0"/>
    <n v="24"/>
    <n v="1"/>
    <n v="63.416666666666664"/>
  </r>
  <r>
    <d v="2025-05-26T09:10:00"/>
    <s v="INYECTADO"/>
    <x v="10"/>
    <x v="133"/>
    <s v="NELSON PINEDO"/>
    <s v="VIRGEN"/>
    <s v="PP CLARIFICADO"/>
    <s v="."/>
    <x v="92"/>
    <s v="JARRA GRECIA 5LT-TRANSPARENTE"/>
    <n v="1007"/>
    <n v="10"/>
    <n v="225.7"/>
    <s v="DIURNO"/>
    <m/>
    <n v="31"/>
    <n v="1125"/>
    <n v="21838"/>
    <s v="TRANSPARENTE"/>
    <n v="17.399999999999999"/>
    <n v="0"/>
    <n v="0"/>
    <n v="223.554"/>
    <n v="225.7"/>
    <n v="222"/>
    <n v="1016.6666666666666"/>
    <x v="5"/>
    <x v="0"/>
    <n v="24"/>
    <n v="1"/>
    <n v="83.916666666666671"/>
  </r>
  <r>
    <d v="2025-05-26T09:10:00"/>
    <s v="INYECTADO"/>
    <x v="10"/>
    <x v="133"/>
    <s v="JOSDER GONZALEZ"/>
    <s v="VIRGEN"/>
    <s v="PP CLARIFICADO"/>
    <s v="."/>
    <x v="92"/>
    <s v="JARRA GRECIA 5LT-TRANSPARENTE"/>
    <n v="551"/>
    <n v="7"/>
    <n v="128.6"/>
    <s v="NOCTURNO"/>
    <m/>
    <n v="23"/>
    <n v="1125"/>
    <n v="21839"/>
    <s v="TRANSPARENTE"/>
    <n v="5.6"/>
    <n v="0"/>
    <n v="0"/>
    <n v="122.322"/>
    <n v="128.6"/>
    <n v="222"/>
    <n v="579.27927927927931"/>
    <x v="5"/>
    <x v="0"/>
    <n v="24"/>
    <n v="1"/>
    <n v="45.916666666666664"/>
  </r>
  <r>
    <d v="2025-05-26T09:10:00"/>
    <s v="INYECTADO"/>
    <x v="10"/>
    <x v="134"/>
    <s v="LUIS PINEDO"/>
    <s v="VIRGEN"/>
    <s v="PP CLARIFICADO"/>
    <s v="."/>
    <x v="92"/>
    <s v="JARRA GRECIA 5LT-TRANSPARENTE"/>
    <n v="891"/>
    <n v="8"/>
    <n v="197.9"/>
    <s v="DIURNO"/>
    <m/>
    <n v="36"/>
    <n v="1125"/>
    <n v="21840"/>
    <s v="TRANSPARENTE"/>
    <n v="10.7"/>
    <n v="0"/>
    <n v="0"/>
    <n v="197.80199999999999"/>
    <n v="197.9"/>
    <n v="222"/>
    <n v="891.4414414414415"/>
    <x v="5"/>
    <x v="0"/>
    <n v="24"/>
    <n v="1"/>
    <n v="74.25"/>
  </r>
  <r>
    <d v="2025-05-26T09:10:00"/>
    <s v="INYECTADO"/>
    <x v="10"/>
    <x v="134"/>
    <s v="JOSDER GONZALEZ"/>
    <s v="VIRGEN"/>
    <s v="PP CLARIFICADO"/>
    <s v="."/>
    <x v="92"/>
    <s v="JARRA GRECIA 5LT-TRANSPARENTE"/>
    <n v="953"/>
    <n v="12"/>
    <n v="218.5"/>
    <s v="NOCTURNO"/>
    <m/>
    <n v="40"/>
    <n v="1125"/>
    <n v="21841"/>
    <s v="TRANSPARENTE"/>
    <n v="1.4"/>
    <n v="0"/>
    <n v="0"/>
    <n v="211.566"/>
    <n v="218.5"/>
    <n v="222"/>
    <n v="984.23423423423424"/>
    <x v="5"/>
    <x v="0"/>
    <n v="24"/>
    <n v="1"/>
    <n v="79.416666666666671"/>
  </r>
  <r>
    <d v="2025-05-26T09:10:00"/>
    <s v="INYECTADO"/>
    <x v="10"/>
    <x v="126"/>
    <m/>
    <s v="VIRGEN"/>
    <s v="PP CLARIFICADO"/>
    <s v="."/>
    <x v="92"/>
    <s v="JARRA GRECIA 5LT-TRANSPARENTE"/>
    <n v="1165"/>
    <n v="12"/>
    <n v="260"/>
    <s v="DIURNO"/>
    <m/>
    <n v="48"/>
    <n v="1125"/>
    <n v="21842"/>
    <s v="TRANSPARENTE"/>
    <n v="3.8"/>
    <n v="0"/>
    <n v="0"/>
    <n v="258.63"/>
    <n v="260"/>
    <n v="222"/>
    <n v="1171.1711711711712"/>
    <x v="5"/>
    <x v="0"/>
    <n v="24"/>
    <n v="1"/>
    <n v="97.083333333333329"/>
  </r>
  <r>
    <d v="2025-05-26T09:10:00"/>
    <s v="INYECTADO"/>
    <x v="10"/>
    <x v="126"/>
    <s v="JOSDER GONZALEZ"/>
    <s v="VIRGEN"/>
    <s v="PP CLARIFICADO"/>
    <s v="."/>
    <x v="92"/>
    <s v="JARRA GRECIA 5LT-TRANSPARENTE"/>
    <n v="184"/>
    <n v="3"/>
    <n v="43"/>
    <s v="NOCTURNO"/>
    <m/>
    <n v="8"/>
    <n v="1125"/>
    <n v="21843"/>
    <s v="TRANSPARENTE"/>
    <n v="19"/>
    <n v="0"/>
    <n v="0"/>
    <n v="40.847999999999999"/>
    <n v="43"/>
    <n v="222"/>
    <n v="193.69369369369369"/>
    <x v="5"/>
    <x v="0"/>
    <n v="24"/>
    <n v="1"/>
    <n v="15.333333333333334"/>
  </r>
  <r>
    <d v="2025-05-26T09:10:00"/>
    <s v="INYECTADO"/>
    <x v="10"/>
    <x v="114"/>
    <s v="JOSDER GONZALEZ"/>
    <s v="VIRGEN"/>
    <s v="PP CLARIFICADO"/>
    <s v="."/>
    <x v="92"/>
    <s v="JARRA GRECIA 5LT-TRANSPARENTE"/>
    <n v="820"/>
    <n v="9"/>
    <n v="185.4"/>
    <s v="NOCTURNO"/>
    <m/>
    <n v="33"/>
    <n v="1125"/>
    <n v="21844"/>
    <s v="TRANSPARENTE"/>
    <n v="33.5"/>
    <n v="0"/>
    <n v="0"/>
    <n v="182.04"/>
    <n v="185.4"/>
    <n v="222"/>
    <n v="835.1351351351351"/>
    <x v="5"/>
    <x v="0"/>
    <n v="25"/>
    <n v="1"/>
    <n v="68.333333333333329"/>
  </r>
  <r>
    <d v="2025-05-26T09:10:00"/>
    <s v="INYECTADO"/>
    <x v="10"/>
    <x v="115"/>
    <s v="LUIS PINEDO"/>
    <s v="VIRGEN"/>
    <s v="PP CLARIFICADO"/>
    <s v="."/>
    <x v="92"/>
    <s v="JARRA GRECIA 5LT-TRANSPARENTE"/>
    <n v="669"/>
    <n v="10"/>
    <n v="153.4"/>
    <s v="DIURNO"/>
    <m/>
    <n v="27"/>
    <n v="1125"/>
    <n v="21845"/>
    <s v="TRANSPARENTE"/>
    <n v="45.2"/>
    <n v="0"/>
    <n v="0"/>
    <n v="148.518"/>
    <n v="153.4"/>
    <n v="222"/>
    <n v="690.99099099099101"/>
    <x v="5"/>
    <x v="0"/>
    <n v="25"/>
    <n v="1"/>
    <n v="55.75"/>
  </r>
  <r>
    <d v="2025-05-26T09:10:00"/>
    <s v="INYECTADO"/>
    <x v="10"/>
    <x v="115"/>
    <s v="GABRIEL REQUENA"/>
    <s v="VIRGEN"/>
    <s v="PP CLARIFICADO"/>
    <s v="."/>
    <x v="92"/>
    <s v="JARRA GRECIA 5LT-TRANSPARENTE"/>
    <n v="840"/>
    <n v="10"/>
    <n v="196"/>
    <s v="NOCTURNO"/>
    <m/>
    <n v="35"/>
    <n v="1125"/>
    <n v="21846"/>
    <s v="TRANSPARENTE"/>
    <n v="32.4"/>
    <n v="0"/>
    <n v="0"/>
    <n v="186.48"/>
    <n v="196"/>
    <n v="222"/>
    <n v="882.88288288288288"/>
    <x v="5"/>
    <x v="0"/>
    <n v="25"/>
    <n v="1"/>
    <n v="70"/>
  </r>
  <r>
    <d v="2025-05-26T09:10:00"/>
    <s v="INYECTADO"/>
    <x v="10"/>
    <x v="116"/>
    <s v="LUIS PINEDO"/>
    <s v="VIRGEN"/>
    <s v="PP CLARIFICADO"/>
    <s v="."/>
    <x v="92"/>
    <s v="JARRA GRECIA 5LT-TRANSPARENTE"/>
    <n v="1132"/>
    <n v="12"/>
    <n v="257"/>
    <s v="DIURNO"/>
    <m/>
    <n v="46"/>
    <n v="1125"/>
    <n v="21847"/>
    <s v="TRANSPARENTE"/>
    <n v="8.3000000000000007"/>
    <n v="0"/>
    <n v="0"/>
    <n v="251.304"/>
    <n v="257"/>
    <n v="222"/>
    <n v="1157.6576576576576"/>
    <x v="5"/>
    <x v="0"/>
    <n v="25"/>
    <n v="1"/>
    <n v="94.333333333333329"/>
  </r>
  <r>
    <d v="2025-05-26T09:10:00"/>
    <s v="INYECTADO"/>
    <x v="10"/>
    <x v="116"/>
    <s v="GABRIEL REQUENA"/>
    <s v="VIRGEN"/>
    <s v="PP CLARIFICADO"/>
    <s v="."/>
    <x v="92"/>
    <s v="JARRA GRECIA 5LT-TRANSPARENTE"/>
    <n v="1157"/>
    <n v="12"/>
    <n v="270"/>
    <s v="NOCTURNO"/>
    <m/>
    <n v="48"/>
    <n v="1125"/>
    <n v="21848"/>
    <s v="TRANSPARENTE"/>
    <n v="13.3"/>
    <n v="0"/>
    <n v="0"/>
    <n v="256.85399999999998"/>
    <n v="270"/>
    <n v="222"/>
    <n v="1216.2162162162163"/>
    <x v="5"/>
    <x v="0"/>
    <n v="25"/>
    <n v="1"/>
    <n v="96.416666666666671"/>
  </r>
  <r>
    <d v="2025-05-26T09:10:00"/>
    <s v="INYECTADO"/>
    <x v="10"/>
    <x v="117"/>
    <s v="ISABEL LINARIZ"/>
    <s v="VIRGEN"/>
    <s v="PP CLARIFICADO"/>
    <s v="."/>
    <x v="92"/>
    <s v="JARRA GRECIA 5LT-TRANSPARENTE"/>
    <n v="1069"/>
    <n v="12"/>
    <n v="243.8"/>
    <s v="DIURNO"/>
    <m/>
    <n v="44"/>
    <n v="1125"/>
    <n v="21849"/>
    <s v="TRANSPARENTE"/>
    <n v="4"/>
    <n v="0"/>
    <n v="0"/>
    <n v="237.31800000000001"/>
    <n v="243.8"/>
    <n v="222"/>
    <n v="1098.1981981981983"/>
    <x v="5"/>
    <x v="0"/>
    <n v="25"/>
    <n v="1"/>
    <n v="89.083333333333329"/>
  </r>
  <r>
    <d v="2025-05-26T09:10:00"/>
    <s v="INYECTADO"/>
    <x v="10"/>
    <x v="117"/>
    <s v="GABRIEL REQUENA"/>
    <s v="VIRGEN"/>
    <s v="PP CLARIFICADO"/>
    <s v="."/>
    <x v="92"/>
    <s v="JARRA GRECIA 5LT-TRANSPARENTE"/>
    <n v="1215"/>
    <n v="12"/>
    <n v="276"/>
    <s v="NOCTURNO"/>
    <m/>
    <n v="49"/>
    <n v="1125"/>
    <n v="21850"/>
    <s v="TRANSPARENTE"/>
    <n v="0"/>
    <n v="0"/>
    <n v="0"/>
    <n v="269.73"/>
    <n v="276"/>
    <n v="222"/>
    <n v="1243.2432432432433"/>
    <x v="5"/>
    <x v="0"/>
    <n v="25"/>
    <n v="1"/>
    <n v="101.25"/>
  </r>
  <r>
    <d v="2025-05-26T09:10:00"/>
    <s v="INYECTADO"/>
    <x v="10"/>
    <x v="118"/>
    <s v="LUIS RENGIFO"/>
    <s v="VIRGEN"/>
    <s v="PP CLARIFICADO"/>
    <s v="."/>
    <x v="103"/>
    <s v="BASE ORGANIZADOR DE 15KG-TRANSPARENTE"/>
    <n v="582"/>
    <n v="5"/>
    <n v="303.60000000000002"/>
    <s v="DIURNO"/>
    <m/>
    <n v="46"/>
    <n v="1125"/>
    <n v="21851"/>
    <s v="TRANSPARENTE"/>
    <n v="0"/>
    <n v="0"/>
    <n v="0"/>
    <n v="302.64"/>
    <n v="303.60000000000002"/>
    <n v="520"/>
    <n v="583.84615384615381"/>
    <x v="5"/>
    <x v="0"/>
    <n v="25"/>
    <n v="1"/>
    <n v="48.5"/>
  </r>
  <r>
    <d v="2025-05-26T09:10:00"/>
    <s v="INYECTADO"/>
    <x v="10"/>
    <x v="118"/>
    <s v="GABRIEL REQUENA"/>
    <s v="VIRGEN"/>
    <s v="PP CLARIFICADO"/>
    <s v="."/>
    <x v="103"/>
    <s v="BASE ORGANIZADOR DE 15KG-TRANSPARENTE"/>
    <n v="853"/>
    <n v="11"/>
    <n v="468.6"/>
    <s v="NOCTURNO"/>
    <m/>
    <n v="71"/>
    <n v="1125"/>
    <n v="21852"/>
    <s v="TRANSPARENTE"/>
    <n v="22.9"/>
    <n v="0"/>
    <n v="0"/>
    <n v="443.56"/>
    <n v="468.6"/>
    <n v="520"/>
    <n v="901.15384615384619"/>
    <x v="5"/>
    <x v="0"/>
    <n v="25"/>
    <n v="1"/>
    <n v="71.083333333333329"/>
  </r>
  <r>
    <d v="2025-05-26T09:10:00"/>
    <s v="INYECTADO"/>
    <x v="10"/>
    <x v="119"/>
    <s v="LUIS PINEDO"/>
    <s v="VIRGEN"/>
    <s v="PP CLARIFICADO"/>
    <s v="."/>
    <x v="104"/>
    <s v="BASE ORGANIZADOR  DE 2KG-TRANSPARENTE"/>
    <n v="300"/>
    <n v="4"/>
    <n v="44.4"/>
    <s v="DIURNO"/>
    <m/>
    <n v="13"/>
    <n v="1134"/>
    <n v="21853"/>
    <s v="TRANSPARENTE"/>
    <n v="12.7"/>
    <n v="0"/>
    <n v="0"/>
    <n v="15"/>
    <n v="44.4"/>
    <n v="50"/>
    <n v="888"/>
    <x v="5"/>
    <x v="0"/>
    <n v="25"/>
    <n v="2"/>
    <n v="50"/>
  </r>
  <r>
    <d v="2025-05-26T09:10:00"/>
    <s v="INYECTADO"/>
    <x v="10"/>
    <x v="119"/>
    <s v="GABRIEL REQUENA"/>
    <s v="VIRGEN"/>
    <s v="PP CLARIFICADO"/>
    <s v="."/>
    <x v="104"/>
    <s v="BASE ORGANIZADOR  DE 2KG-TRANSPARENTE"/>
    <n v="1230"/>
    <n v="12"/>
    <n v="139.4"/>
    <s v="NOCTURNO"/>
    <m/>
    <n v="41"/>
    <n v="1134"/>
    <n v="21854"/>
    <s v="TRANSPARENTE"/>
    <n v="3.3"/>
    <n v="0"/>
    <n v="0"/>
    <n v="61.5"/>
    <n v="139.4"/>
    <n v="50"/>
    <n v="2788"/>
    <x v="5"/>
    <x v="0"/>
    <n v="25"/>
    <n v="2"/>
    <n v="205"/>
  </r>
  <r>
    <d v="2025-05-26T09:10:00"/>
    <s v="INYECTADO"/>
    <x v="10"/>
    <x v="139"/>
    <m/>
    <s v="VIRGEN"/>
    <s v="PP CLARIFICADO"/>
    <s v="."/>
    <x v="104"/>
    <s v="BASE ORGANIZADOR  DE 2KG-TRANSPARENTE"/>
    <n v="542"/>
    <n v="5"/>
    <n v="59.4"/>
    <s v="DIURNO"/>
    <m/>
    <n v="18"/>
    <n v="1134"/>
    <n v="21855"/>
    <s v="TRANSPARENTE"/>
    <n v="1.1000000000000001"/>
    <n v="0"/>
    <n v="0"/>
    <n v="27.1"/>
    <n v="59.4"/>
    <n v="50"/>
    <n v="1188"/>
    <x v="5"/>
    <x v="0"/>
    <n v="25"/>
    <n v="2"/>
    <n v="90.333333333333329"/>
  </r>
  <r>
    <d v="2025-05-26T09:10:00"/>
    <s v="INYECTADO"/>
    <x v="10"/>
    <x v="139"/>
    <m/>
    <s v="VIRGEN"/>
    <s v="PP CLARIFICADO"/>
    <s v="."/>
    <x v="104"/>
    <s v="BASE ORGANIZADOR  DE 2KG CARAMELO-AMARILLO"/>
    <n v="256"/>
    <n v="3"/>
    <n v="26.4"/>
    <s v="DIURNO"/>
    <m/>
    <n v="8"/>
    <n v="1134"/>
    <n v="21855"/>
    <s v="AMARILLO"/>
    <n v="4.3"/>
    <n v="0"/>
    <n v="0"/>
    <n v="12.8"/>
    <n v="26.4"/>
    <n v="50"/>
    <n v="528"/>
    <x v="5"/>
    <x v="0"/>
    <n v="25"/>
    <n v="2"/>
    <n v="42.666666666666664"/>
  </r>
  <r>
    <d v="2025-05-26T09:10:00"/>
    <s v="INYECTADO"/>
    <x v="10"/>
    <x v="136"/>
    <s v="JUANA CRUCES"/>
    <s v="VIRGEN"/>
    <s v="PP CLARIFICADO"/>
    <s v="."/>
    <x v="104"/>
    <s v="BASE ORGANIZADOR  DE 2KG CARAMELO-AMARILLO"/>
    <n v="122"/>
    <n v="1"/>
    <n v="13.2"/>
    <s v="DIURNO"/>
    <m/>
    <n v="4"/>
    <n v="1134"/>
    <n v="21856"/>
    <s v="AMARILLO"/>
    <n v="6.8"/>
    <n v="0"/>
    <n v="0"/>
    <n v="6.1"/>
    <n v="13.2"/>
    <n v="50"/>
    <n v="264"/>
    <x v="5"/>
    <x v="0"/>
    <n v="26"/>
    <n v="2"/>
    <n v="20.333333333333332"/>
  </r>
  <r>
    <d v="2025-05-26T09:10:00"/>
    <s v="INYECTADO"/>
    <x v="10"/>
    <x v="136"/>
    <s v="JUANA CRUCES"/>
    <s v="VIRGEN"/>
    <s v="PP CLARIFICADO"/>
    <s v="."/>
    <x v="104"/>
    <s v="BASE ORGANIZADOR  DE 2KG CARAMELO-VERDE"/>
    <n v="453"/>
    <n v="4"/>
    <n v="49"/>
    <s v="DIURNO"/>
    <m/>
    <n v="15"/>
    <n v="1134"/>
    <n v="21856"/>
    <s v="VERDE"/>
    <n v="4.8"/>
    <n v="0"/>
    <n v="0"/>
    <n v="22.65"/>
    <n v="49"/>
    <n v="50"/>
    <n v="980"/>
    <x v="5"/>
    <x v="0"/>
    <n v="26"/>
    <n v="2"/>
    <n v="75.5"/>
  </r>
  <r>
    <d v="2025-05-26T09:10:00"/>
    <s v="INYECTADO"/>
    <x v="10"/>
    <x v="136"/>
    <s v="GABRIEL REQUENA"/>
    <s v="VIRGEN"/>
    <s v="PP CLARIFICADO"/>
    <s v="."/>
    <x v="104"/>
    <s v="BASE ORGANIZADOR  DE 2KG CARAMELO-AZUL"/>
    <n v="471"/>
    <n v="5"/>
    <n v="50.4"/>
    <s v="NOCTURNO"/>
    <m/>
    <n v="14"/>
    <n v="1134"/>
    <n v="21857"/>
    <s v="AZUL"/>
    <n v="9.1"/>
    <n v="0"/>
    <n v="0"/>
    <n v="23.55"/>
    <n v="50.4"/>
    <n v="50"/>
    <n v="1008"/>
    <x v="5"/>
    <x v="0"/>
    <n v="26"/>
    <n v="2"/>
    <n v="78.5"/>
  </r>
  <r>
    <d v="2025-05-26T09:10:00"/>
    <s v="INYECTADO"/>
    <x v="10"/>
    <x v="136"/>
    <s v="GABRIEL REQUENA"/>
    <s v="VIRGEN"/>
    <s v="PP CLARIFICADO"/>
    <s v="."/>
    <x v="104"/>
    <s v="BASE ORGANIZADOR  DE 2KG CARAMELO-FUCSIA"/>
    <n v="476"/>
    <n v="4"/>
    <n v="51"/>
    <s v="NOCTURNO"/>
    <m/>
    <n v="15"/>
    <n v="1134"/>
    <n v="21857"/>
    <s v="FUCSIA"/>
    <n v="5.4"/>
    <n v="0"/>
    <n v="0"/>
    <n v="23.8"/>
    <n v="51"/>
    <n v="50"/>
    <n v="1020"/>
    <x v="5"/>
    <x v="0"/>
    <n v="26"/>
    <n v="2"/>
    <n v="79.333333333333329"/>
  </r>
  <r>
    <d v="2025-05-26T09:10:00"/>
    <s v="INYECTADO"/>
    <x v="10"/>
    <x v="136"/>
    <s v="GABRIEL REQUENA"/>
    <s v="VIRGEN"/>
    <s v="PP CLARIFICADO"/>
    <s v="."/>
    <x v="104"/>
    <s v="BASE ORGANIZADOR  DE 2KG CARAMELO-LILA"/>
    <n v="222"/>
    <n v="2"/>
    <n v="23.8"/>
    <s v="NOCTURNO"/>
    <m/>
    <n v="7"/>
    <n v="1134"/>
    <n v="21857"/>
    <s v="LILA"/>
    <n v="9.1"/>
    <n v="0"/>
    <n v="0"/>
    <n v="11.1"/>
    <n v="23.8"/>
    <n v="50"/>
    <n v="476"/>
    <x v="5"/>
    <x v="0"/>
    <n v="26"/>
    <n v="2"/>
    <n v="37"/>
  </r>
  <r>
    <d v="2025-05-26T09:10:00"/>
    <s v="INYECTADO"/>
    <x v="10"/>
    <x v="128"/>
    <s v="GABRIEL ORDAZ"/>
    <s v="VIRGEN"/>
    <s v="PP CLARIFICADO"/>
    <s v="."/>
    <x v="104"/>
    <s v="BASE ORGANIZADOR  DE 2KG CARAMELO-LILA"/>
    <n v="222"/>
    <n v="2"/>
    <n v="23.8"/>
    <s v="DIURNO"/>
    <m/>
    <n v="7"/>
    <n v="1134"/>
    <n v="21858"/>
    <s v="LILA"/>
    <n v="0"/>
    <n v="0"/>
    <n v="0"/>
    <n v="11.1"/>
    <n v="23.8"/>
    <n v="50"/>
    <n v="476"/>
    <x v="5"/>
    <x v="0"/>
    <n v="26"/>
    <n v="2"/>
    <n v="37"/>
  </r>
  <r>
    <d v="2025-05-26T09:10:00"/>
    <s v="INYECTADO"/>
    <x v="10"/>
    <x v="128"/>
    <s v="GABRIEL ORDAZ"/>
    <s v="VIRGEN"/>
    <s v="PP CLARIFICADO"/>
    <s v="."/>
    <x v="104"/>
    <s v="BASE ORGANIZADOR  DE 2KG CARAMELO-ROJO"/>
    <n v="314"/>
    <n v="5"/>
    <n v="34"/>
    <s v="DIURNO"/>
    <m/>
    <n v="10"/>
    <n v="1134"/>
    <n v="21858"/>
    <s v="ROJO"/>
    <n v="0"/>
    <n v="0"/>
    <n v="0"/>
    <n v="15.7"/>
    <n v="34"/>
    <n v="50"/>
    <n v="680"/>
    <x v="5"/>
    <x v="0"/>
    <n v="26"/>
    <n v="2"/>
    <n v="52.333333333333336"/>
  </r>
  <r>
    <d v="2025-05-26T09:10:00"/>
    <s v="INYECTADO"/>
    <x v="10"/>
    <x v="128"/>
    <s v="GABRIEL ORDAZ"/>
    <s v="VIRGEN"/>
    <s v="PP CLARIFICADO"/>
    <s v="."/>
    <x v="104"/>
    <s v="BASE ORGANIZADOR  DE 2KG PASTEL-SANDIA"/>
    <n v="188"/>
    <n v="2"/>
    <n v="20.399999999999999"/>
    <s v="DIURNO"/>
    <m/>
    <n v="6"/>
    <n v="1134"/>
    <n v="21858"/>
    <s v="SANDIA"/>
    <n v="0"/>
    <n v="0"/>
    <n v="0"/>
    <n v="9.4"/>
    <n v="20.399999999999999"/>
    <n v="50"/>
    <n v="408"/>
    <x v="5"/>
    <x v="0"/>
    <n v="26"/>
    <n v="2"/>
    <n v="31.333333333333332"/>
  </r>
  <r>
    <d v="2025-05-26T09:10:00"/>
    <s v="INYECTADO"/>
    <x v="10"/>
    <x v="128"/>
    <s v="ISABEL LINARIZ"/>
    <s v="VIRGEN"/>
    <s v="PP CLARIFICADO"/>
    <s v="."/>
    <x v="104"/>
    <s v="BASE ORGANIZADOR  DE 2KG PASTEL-SANDIA"/>
    <n v="174"/>
    <n v="2"/>
    <n v="18.7"/>
    <s v="NOCTURNO"/>
    <m/>
    <n v="6"/>
    <n v="1134"/>
    <n v="21859"/>
    <s v="SANDIA"/>
    <n v="8.1999999999999993"/>
    <n v="0"/>
    <n v="0"/>
    <n v="8.6999999999999993"/>
    <n v="18.7"/>
    <n v="50"/>
    <n v="374"/>
    <x v="5"/>
    <x v="0"/>
    <n v="26"/>
    <n v="2"/>
    <n v="29"/>
  </r>
  <r>
    <d v="2025-05-26T09:10:00"/>
    <s v="INYECTADO"/>
    <x v="10"/>
    <x v="128"/>
    <s v="ISABEL LINARIZ"/>
    <s v="VIRGEN"/>
    <s v="PP CLARIFICADO"/>
    <s v="."/>
    <x v="104"/>
    <s v="BASE ORGANIZADOR  DE 2KG PASTEL-AZURE"/>
    <n v="438"/>
    <n v="5"/>
    <n v="46.9"/>
    <s v="NOCTURNO"/>
    <m/>
    <n v="14"/>
    <n v="1134"/>
    <n v="21859"/>
    <s v="AZURE"/>
    <n v="10.9"/>
    <n v="0"/>
    <n v="0"/>
    <n v="21.9"/>
    <n v="46.9"/>
    <n v="50"/>
    <n v="938"/>
    <x v="5"/>
    <x v="0"/>
    <n v="26"/>
    <n v="2"/>
    <n v="73"/>
  </r>
  <r>
    <d v="2025-05-26T09:10:00"/>
    <s v="INYECTADO"/>
    <x v="10"/>
    <x v="128"/>
    <s v="ISABEL LINARIZ"/>
    <s v="VIRGEN"/>
    <s v="PP CLARIFICADO"/>
    <s v="."/>
    <x v="104"/>
    <s v="BASE ORGANIZADOR  DE 2KG PASTEL-CELESTE"/>
    <n v="400"/>
    <n v="4"/>
    <n v="42.9"/>
    <s v="NOCTURNO"/>
    <m/>
    <n v="13"/>
    <n v="1134"/>
    <n v="21859"/>
    <s v="CELESTE"/>
    <n v="7"/>
    <n v="0"/>
    <n v="0"/>
    <n v="20"/>
    <n v="42.9"/>
    <n v="50"/>
    <n v="858"/>
    <x v="5"/>
    <x v="0"/>
    <n v="26"/>
    <n v="2"/>
    <n v="66.666666666666671"/>
  </r>
  <r>
    <d v="2025-05-26T09:10:00"/>
    <s v="INYECTADO"/>
    <x v="10"/>
    <x v="123"/>
    <s v="GABRIEL ORDAZ"/>
    <s v="VIRGEN"/>
    <s v="PP CLARIFICADO"/>
    <s v="."/>
    <x v="104"/>
    <s v="BASE ORGANIZADOR  DE 2KG PASTEL-ROSADO"/>
    <n v="319"/>
    <n v="7"/>
    <n v="34.5"/>
    <s v="DIURNO"/>
    <m/>
    <n v="11"/>
    <n v="1134"/>
    <n v="21860"/>
    <s v="ROSADO"/>
    <n v="8.6"/>
    <n v="0"/>
    <n v="0"/>
    <n v="15.95"/>
    <n v="34.5"/>
    <n v="50"/>
    <n v="690"/>
    <x v="5"/>
    <x v="0"/>
    <n v="26"/>
    <n v="2"/>
    <n v="53.166666666666664"/>
  </r>
  <r>
    <d v="2025-05-26T09:10:00"/>
    <s v="INYECTADO"/>
    <x v="10"/>
    <x v="123"/>
    <s v="GABRIEL ORDAZ"/>
    <s v="VIRGEN"/>
    <s v="PP CLARIFICADO"/>
    <s v="."/>
    <x v="104"/>
    <s v="BASE ORGANIZADOR  DE 2KG PASTEL-TURQUESA"/>
    <n v="336"/>
    <n v="4"/>
    <n v="36.299999999999997"/>
    <s v="DIURNO"/>
    <m/>
    <n v="10"/>
    <n v="1134"/>
    <n v="21860"/>
    <s v="TURQUESA"/>
    <n v="5.45"/>
    <n v="0"/>
    <n v="0"/>
    <n v="16.8"/>
    <n v="36.299999999999997"/>
    <n v="50"/>
    <n v="726"/>
    <x v="5"/>
    <x v="0"/>
    <n v="26"/>
    <n v="2"/>
    <n v="56"/>
  </r>
  <r>
    <d v="2025-05-26T09:10:00"/>
    <s v="INYECTADO"/>
    <x v="10"/>
    <x v="123"/>
    <s v="JOSDER GONZALEZ"/>
    <s v="VIRGEN"/>
    <s v="PP CLARIFICADO"/>
    <s v="."/>
    <x v="104"/>
    <s v="BASE ORGANIZADOR  DE 2KG PASTEL-ROSADO"/>
    <n v="344"/>
    <n v="1"/>
    <n v="36.9"/>
    <s v="NOCTURNO"/>
    <m/>
    <n v="11"/>
    <n v="1134"/>
    <n v="21861"/>
    <s v="ROSADO"/>
    <n v="1"/>
    <n v="0"/>
    <n v="0"/>
    <n v="17.2"/>
    <n v="36.9"/>
    <n v="50"/>
    <n v="738"/>
    <x v="5"/>
    <x v="0"/>
    <n v="26"/>
    <n v="2"/>
    <n v="57.333333333333336"/>
  </r>
  <r>
    <d v="2025-05-26T09:10:00"/>
    <s v="INYECTADO"/>
    <x v="10"/>
    <x v="123"/>
    <s v="JOSDER GONZALEZ"/>
    <s v="VIRGEN"/>
    <s v="PP CLARIFICADO"/>
    <s v="."/>
    <x v="104"/>
    <s v="BASE ORGANIZADOR  DE 2KG PASTEL-LILA"/>
    <n v="452"/>
    <n v="5"/>
    <n v="48.4"/>
    <s v="NOCTURNO"/>
    <m/>
    <n v="15"/>
    <n v="1134"/>
    <n v="21861"/>
    <s v="LILA"/>
    <n v="6.1"/>
    <n v="0"/>
    <n v="0"/>
    <n v="22.6"/>
    <n v="48.4"/>
    <n v="50"/>
    <n v="968"/>
    <x v="5"/>
    <x v="0"/>
    <n v="26"/>
    <n v="2"/>
    <n v="75.333333333333329"/>
  </r>
  <r>
    <d v="2025-05-26T09:10:00"/>
    <s v="INYECTADO"/>
    <x v="10"/>
    <x v="123"/>
    <s v="JOSDER GONZALEZ"/>
    <s v="VIRGEN"/>
    <s v="PP CLARIFICADO"/>
    <s v="."/>
    <x v="104"/>
    <s v="BASE ORGANIZADOR  DE 2KG-TRANSPARENTE"/>
    <n v="635"/>
    <n v="5"/>
    <n v="68"/>
    <s v="NOCTURNO"/>
    <m/>
    <n v="20"/>
    <n v="1134"/>
    <n v="21861"/>
    <s v="TRANSPARENTE"/>
    <n v="3.9"/>
    <n v="0"/>
    <n v="0"/>
    <n v="31.75"/>
    <n v="68"/>
    <n v="50"/>
    <n v="1360"/>
    <x v="5"/>
    <x v="0"/>
    <n v="26"/>
    <n v="2"/>
    <n v="105.83333333333333"/>
  </r>
  <r>
    <d v="2025-05-26T09:10:00"/>
    <s v="INYECTADO"/>
    <x v="10"/>
    <x v="124"/>
    <s v="SAID VILLAMIZAR"/>
    <s v="VIRGEN"/>
    <s v="PP CLARIFICADO"/>
    <s v="."/>
    <x v="105"/>
    <s v="BASE ORGANIZADOR  DE 2KG-TRANSPARENTE"/>
    <n v="975"/>
    <n v="9"/>
    <n v="105.4"/>
    <s v="DIURNO"/>
    <m/>
    <n v="31"/>
    <n v="1134"/>
    <n v="21862"/>
    <s v="TRANSPARENTE"/>
    <n v="0"/>
    <n v="0"/>
    <n v="0"/>
    <n v="48.75"/>
    <n v="105.4"/>
    <n v="50"/>
    <n v="2108"/>
    <x v="5"/>
    <x v="0"/>
    <n v="26"/>
    <n v="2"/>
    <n v="162.5"/>
  </r>
  <r>
    <d v="2025-05-26T09:10:00"/>
    <s v="INYECTADO"/>
    <x v="10"/>
    <x v="124"/>
    <s v="SAID VILLAMIZAR"/>
    <s v="VIRGEN"/>
    <s v="PP CLARIFICADO"/>
    <s v="."/>
    <x v="106"/>
    <s v="BASE ORGANIZADOR  DE 2KG CARAMELO-AMARILLO"/>
    <n v="293"/>
    <n v="2"/>
    <n v="31.7"/>
    <s v="DIURNO"/>
    <m/>
    <n v="10"/>
    <n v="1134"/>
    <n v="21862"/>
    <s v="AMARILLO"/>
    <n v="0"/>
    <n v="0"/>
    <n v="0"/>
    <n v="14.65"/>
    <n v="31.7"/>
    <n v="50"/>
    <n v="634"/>
    <x v="5"/>
    <x v="0"/>
    <n v="26"/>
    <n v="2"/>
    <n v="48.833333333333336"/>
  </r>
  <r>
    <d v="2025-05-26T09:10:00"/>
    <s v="INYECTADO"/>
    <x v="10"/>
    <x v="124"/>
    <s v="JOSDER GONZALEZ"/>
    <s v="VIRGEN"/>
    <s v="PP CLARIFICADO"/>
    <s v="."/>
    <x v="106"/>
    <s v="BASE ORGANIZADOR  DE 2KG CARAMELO-AMARILLO"/>
    <n v="153"/>
    <n v="2"/>
    <n v="16.600000000000001"/>
    <s v="NOCTURNO"/>
    <m/>
    <n v="6"/>
    <n v="1134"/>
    <n v="21863"/>
    <s v="AMARILLO"/>
    <n v="2.9"/>
    <n v="0"/>
    <n v="0"/>
    <n v="7.65"/>
    <n v="16.600000000000001"/>
    <n v="50"/>
    <n v="332"/>
    <x v="5"/>
    <x v="0"/>
    <n v="26"/>
    <n v="2"/>
    <n v="25.5"/>
  </r>
  <r>
    <d v="2025-05-26T09:10:00"/>
    <s v="INYECTADO"/>
    <x v="10"/>
    <x v="124"/>
    <s v="JOSDER GONZALEZ"/>
    <s v="VIRGEN"/>
    <s v="PP CLARIFICADO"/>
    <s v="."/>
    <x v="106"/>
    <s v="BASE ORGANIZADOR  DE 2KG CARAMELO-VERDE"/>
    <n v="395"/>
    <n v="4"/>
    <n v="42.7"/>
    <s v="NOCTURNO"/>
    <m/>
    <n v="13"/>
    <n v="1134"/>
    <n v="21863"/>
    <s v="VERDE"/>
    <n v="6.9"/>
    <n v="0"/>
    <n v="0"/>
    <n v="19.75"/>
    <n v="42.7"/>
    <n v="50"/>
    <n v="854"/>
    <x v="5"/>
    <x v="0"/>
    <n v="26"/>
    <n v="2"/>
    <n v="65.833333333333329"/>
  </r>
  <r>
    <d v="2025-05-26T09:10:00"/>
    <s v="INYECTADO"/>
    <x v="10"/>
    <x v="124"/>
    <s v="JOSDER GONZALEZ"/>
    <s v="VIRGEN"/>
    <s v="PP CLARIFICADO"/>
    <s v="."/>
    <x v="106"/>
    <s v="BASE ORGANIZADOR  DE 2KG CARAMELO-FUCSIA"/>
    <n v="472"/>
    <n v="5"/>
    <n v="51"/>
    <s v="NOCTURNO"/>
    <m/>
    <n v="15"/>
    <n v="1134"/>
    <n v="21863"/>
    <s v="FUCSIA"/>
    <n v="4"/>
    <n v="0"/>
    <n v="0"/>
    <n v="23.6"/>
    <n v="51"/>
    <n v="50"/>
    <n v="1020"/>
    <x v="5"/>
    <x v="0"/>
    <n v="26"/>
    <n v="2"/>
    <n v="78.666666666666671"/>
  </r>
  <r>
    <d v="2025-05-26T09:10:00"/>
    <s v="INYECTADO"/>
    <x v="10"/>
    <x v="124"/>
    <s v="JOSDER GONZALEZ"/>
    <s v="VIRGEN"/>
    <s v="PP CLARIFICADO"/>
    <s v="."/>
    <x v="106"/>
    <s v="BASE ORGANIZADOR  DE 2KG CARAMELO-AZUL"/>
    <n v="62"/>
    <n v="1"/>
    <n v="6.8"/>
    <s v="NOCTURNO"/>
    <m/>
    <n v="4"/>
    <n v="1134"/>
    <n v="21863"/>
    <s v="AZUL"/>
    <n v="0"/>
    <n v="0"/>
    <n v="0"/>
    <n v="3.1"/>
    <n v="6.8"/>
    <n v="50"/>
    <n v="136"/>
    <x v="5"/>
    <x v="0"/>
    <n v="26"/>
    <n v="2"/>
    <n v="10.333333333333334"/>
  </r>
  <r>
    <d v="2025-05-26T09:10:00"/>
    <s v="INYECTADO"/>
    <x v="10"/>
    <x v="125"/>
    <s v="GABRIEL ORDAZ"/>
    <s v="VIRGEN"/>
    <s v="PP CLARIFICADO"/>
    <s v="."/>
    <x v="104"/>
    <s v="BASE ORGANIZADOR  DE 2KG CARAMELO-LILA"/>
    <n v="436"/>
    <n v="4"/>
    <n v="47.1"/>
    <s v="DIURNO"/>
    <m/>
    <n v="14"/>
    <n v="1134"/>
    <n v="21864"/>
    <s v="LILA"/>
    <n v="6.4"/>
    <n v="0"/>
    <n v="0"/>
    <n v="21.8"/>
    <n v="47.1"/>
    <n v="50"/>
    <n v="942"/>
    <x v="5"/>
    <x v="0"/>
    <n v="26"/>
    <n v="2"/>
    <n v="72.666666666666671"/>
  </r>
  <r>
    <d v="2025-05-26T09:10:00"/>
    <s v="INYECTADO"/>
    <x v="10"/>
    <x v="125"/>
    <s v="GABRIEL ORDAZ"/>
    <s v="VIRGEN"/>
    <s v="PP CLARIFICADO"/>
    <s v="."/>
    <x v="104"/>
    <s v="BASE ORGANIZADOR  DE 2KG CARAMELO-ROJO"/>
    <n v="94"/>
    <n v="3"/>
    <n v="10.199999999999999"/>
    <s v="DIURNO"/>
    <m/>
    <n v="3"/>
    <n v="1134"/>
    <n v="21864"/>
    <s v="ROJO"/>
    <n v="1.6"/>
    <n v="0"/>
    <n v="0"/>
    <n v="4.7"/>
    <n v="10.199999999999999"/>
    <n v="50"/>
    <n v="204"/>
    <x v="5"/>
    <x v="0"/>
    <n v="26"/>
    <n v="2"/>
    <n v="15.666666666666666"/>
  </r>
  <r>
    <d v="2025-05-26T09:10:00"/>
    <s v="INYECTADO"/>
    <x v="10"/>
    <x v="125"/>
    <s v="GABRIEL ORDAZ"/>
    <s v="VIRGEN"/>
    <s v="PP CLARIFICADO"/>
    <s v="."/>
    <x v="104"/>
    <s v="BASE ORGANIZADOR  DE 2KG CARAMELO-AZUL"/>
    <n v="400"/>
    <n v="4"/>
    <n v="43.2"/>
    <s v="DIURNO"/>
    <m/>
    <n v="13"/>
    <n v="1134"/>
    <n v="21864"/>
    <s v="AZUL"/>
    <n v="1.3"/>
    <n v="0"/>
    <n v="0"/>
    <n v="20"/>
    <n v="43.2"/>
    <n v="50"/>
    <n v="864"/>
    <x v="5"/>
    <x v="0"/>
    <n v="26"/>
    <n v="2"/>
    <n v="66.666666666666671"/>
  </r>
  <r>
    <d v="2025-05-26T09:10:00"/>
    <s v="INYECTADO"/>
    <x v="10"/>
    <x v="125"/>
    <s v="GABRIEL REQUENA"/>
    <s v="VIRGEN"/>
    <s v="PP CLARIFICADO"/>
    <s v="."/>
    <x v="104"/>
    <s v="BASE ORGANIZADOR  DE 2KG CARAMELO-AMARILLO"/>
    <n v="100"/>
    <n v="3"/>
    <n v="11.4"/>
    <s v="NOCTURNO"/>
    <m/>
    <n v="3"/>
    <n v="1134"/>
    <n v="21865"/>
    <s v="AMARILLO"/>
    <n v="2.9"/>
    <n v="0"/>
    <n v="0"/>
    <n v="5"/>
    <n v="11.4"/>
    <n v="50"/>
    <n v="228"/>
    <x v="5"/>
    <x v="0"/>
    <n v="26"/>
    <n v="2"/>
    <n v="16.666666666666668"/>
  </r>
  <r>
    <d v="2025-05-26T09:10:00"/>
    <s v="INYECTADO"/>
    <x v="10"/>
    <x v="125"/>
    <s v="GABRIEL REQUENA"/>
    <s v="VIRGEN"/>
    <s v="PP CLARIFICADO"/>
    <s v="."/>
    <x v="104"/>
    <s v="BASE ORGANIZADOR  DE 2KG CARAMELO-VERDE"/>
    <n v="68"/>
    <n v="1"/>
    <n v="7.7"/>
    <s v="NOCTURNO"/>
    <m/>
    <n v="2"/>
    <n v="1134"/>
    <n v="21865"/>
    <s v="VERDE"/>
    <n v="9.3000000000000007"/>
    <n v="0"/>
    <n v="0"/>
    <n v="3.4"/>
    <n v="7.7"/>
    <n v="50"/>
    <n v="154"/>
    <x v="5"/>
    <x v="0"/>
    <n v="26"/>
    <n v="2"/>
    <n v="11.333333333333334"/>
  </r>
  <r>
    <d v="2025-05-26T09:10:00"/>
    <s v="INYECTADO"/>
    <x v="10"/>
    <x v="125"/>
    <s v="GABRIEL REQUENA"/>
    <s v="VIRGEN"/>
    <s v="PP CLARIFICADO"/>
    <s v="."/>
    <x v="104"/>
    <s v="BASE ORGANIZADOR  DE 2KG CARAMELO-ROJO"/>
    <n v="320"/>
    <n v="3"/>
    <n v="38.700000000000003"/>
    <s v="NOCTURNO"/>
    <m/>
    <n v="16"/>
    <n v="1134"/>
    <n v="21865"/>
    <s v="ROJO"/>
    <n v="13"/>
    <n v="0"/>
    <n v="0"/>
    <n v="16"/>
    <n v="38.700000000000003"/>
    <n v="50"/>
    <n v="774"/>
    <x v="5"/>
    <x v="0"/>
    <n v="26"/>
    <n v="2"/>
    <n v="53.333333333333336"/>
  </r>
  <r>
    <d v="2025-05-26T09:10:00"/>
    <s v="INYECTADO"/>
    <x v="10"/>
    <x v="125"/>
    <s v="GABRIEL REQUENA"/>
    <s v="VIRGEN"/>
    <s v="PP CLARIFICADO"/>
    <s v="."/>
    <x v="104"/>
    <s v="BASE ORGANIZADOR  DE 2KG PASTEL-ROSADO"/>
    <n v="390"/>
    <n v="3"/>
    <n v="53.7"/>
    <s v="NOCTURNO"/>
    <m/>
    <n v="11"/>
    <n v="1134"/>
    <n v="21865"/>
    <s v="ROSADO"/>
    <n v="6.2"/>
    <n v="0"/>
    <n v="0"/>
    <n v="19.5"/>
    <n v="53.7"/>
    <n v="50"/>
    <n v="1074"/>
    <x v="5"/>
    <x v="0"/>
    <n v="26"/>
    <n v="2"/>
    <n v="65"/>
  </r>
  <r>
    <d v="2025-05-26T09:10:00"/>
    <s v="INYECTADO"/>
    <x v="10"/>
    <x v="120"/>
    <s v="SAID VILLAMIZAR"/>
    <s v="VIRGEN"/>
    <s v="PP CLARIFICADO"/>
    <s v="."/>
    <x v="104"/>
    <s v="BASE ORGANIZADOR  DE 2KG PASTEL-ROSADO"/>
    <n v="122"/>
    <n v="1"/>
    <n v="10.9"/>
    <s v="DIURNO"/>
    <m/>
    <n v="4"/>
    <n v="1134"/>
    <n v="21866"/>
    <s v="ROSADO"/>
    <n v="4.0999999999999996"/>
    <n v="0"/>
    <n v="0"/>
    <n v="6.1"/>
    <n v="10.9"/>
    <n v="50"/>
    <n v="218"/>
    <x v="5"/>
    <x v="0"/>
    <n v="26"/>
    <n v="2"/>
    <n v="20.333333333333332"/>
  </r>
  <r>
    <d v="2025-05-26T09:10:00"/>
    <s v="INYECTADO"/>
    <x v="10"/>
    <x v="120"/>
    <s v="SAID VILLAMIZAR"/>
    <s v="VIRGEN"/>
    <s v="PP CLARIFICADO"/>
    <s v="."/>
    <x v="104"/>
    <s v="BASE ORGANIZADOR  DE 2KG PASTEL-SANDIA"/>
    <n v="550"/>
    <n v="6"/>
    <n v="59.4"/>
    <s v="DIURNO"/>
    <m/>
    <n v="18"/>
    <n v="1134"/>
    <n v="21866"/>
    <s v="AZURE"/>
    <n v="4.0999999999999996"/>
    <n v="0"/>
    <n v="0"/>
    <n v="27.5"/>
    <n v="59.4"/>
    <n v="50"/>
    <n v="1188"/>
    <x v="5"/>
    <x v="0"/>
    <n v="26"/>
    <n v="2"/>
    <n v="91.666666666666671"/>
  </r>
  <r>
    <d v="2025-05-26T09:10:00"/>
    <s v="INYECTADO"/>
    <x v="10"/>
    <x v="120"/>
    <s v="SAID VILLAMIZAR"/>
    <s v="VIRGEN"/>
    <s v="PP CLARIFICADO"/>
    <s v="."/>
    <x v="104"/>
    <s v="BASE ORGANIZADOR  DE 2KG PASTEL-AZURE"/>
    <n v="355"/>
    <n v="4"/>
    <n v="38.700000000000003"/>
    <s v="DIURNO"/>
    <m/>
    <n v="11"/>
    <n v="1134"/>
    <n v="21866"/>
    <s v="SANDIA"/>
    <n v="8.1999999999999993"/>
    <n v="0"/>
    <n v="0"/>
    <n v="17.75"/>
    <n v="38.700000000000003"/>
    <n v="50"/>
    <n v="774"/>
    <x v="5"/>
    <x v="0"/>
    <n v="26"/>
    <n v="2"/>
    <n v="59.166666666666664"/>
  </r>
  <r>
    <d v="2025-05-26T09:10:00"/>
    <s v="INYECTADO"/>
    <x v="10"/>
    <x v="120"/>
    <s v="JOSDER GONZALEZ"/>
    <s v="VIRGEN"/>
    <s v="PP CLARIFICADO"/>
    <s v="."/>
    <x v="104"/>
    <s v="BASE ORGANIZADOR  DE 2KG PASTEL-AZURE"/>
    <n v="141"/>
    <n v="2"/>
    <n v="15.3"/>
    <s v="NOCTURNO"/>
    <m/>
    <n v="5"/>
    <n v="1134"/>
    <n v="21867"/>
    <s v="AZURE"/>
    <n v="14.4"/>
    <n v="0"/>
    <n v="0"/>
    <n v="7.05"/>
    <n v="15.3"/>
    <n v="50"/>
    <n v="306"/>
    <x v="5"/>
    <x v="0"/>
    <n v="26"/>
    <n v="2"/>
    <n v="23.5"/>
  </r>
  <r>
    <d v="2025-05-26T09:10:00"/>
    <s v="INYECTADO"/>
    <x v="10"/>
    <x v="120"/>
    <s v="JOSDER GONZALEZ"/>
    <s v="VIRGEN"/>
    <s v="PP CLARIFICADO"/>
    <s v="."/>
    <x v="104"/>
    <s v="BASE ORGANIZADOR  DE 2KG-TRANSPARENTE"/>
    <n v="818"/>
    <n v="9"/>
    <n v="88.4"/>
    <s v="NOCTURNO"/>
    <m/>
    <n v="26"/>
    <n v="1134"/>
    <n v="21867"/>
    <s v="TRANSPARENTE"/>
    <n v="8.5"/>
    <n v="0"/>
    <n v="0"/>
    <n v="40.9"/>
    <n v="88.4"/>
    <n v="50"/>
    <n v="1768"/>
    <x v="5"/>
    <x v="0"/>
    <n v="26"/>
    <n v="2"/>
    <n v="136.33333333333334"/>
  </r>
  <r>
    <d v="2025-05-26T09:10:00"/>
    <s v="INYECTADO"/>
    <x v="10"/>
    <x v="140"/>
    <s v="ROSA MERINO"/>
    <s v="VIRGEN"/>
    <s v="PP CLARIFICADO"/>
    <s v="."/>
    <x v="104"/>
    <s v="BASE ORGANIZADOR  DE 2KG-TRANSPARENTE"/>
    <n v="692"/>
    <n v="8"/>
    <n v="74.8"/>
    <s v="DIURNO"/>
    <m/>
    <n v="22"/>
    <n v="1134"/>
    <n v="21868"/>
    <s v="TRANSPARENTE"/>
    <n v="6.6"/>
    <n v="0"/>
    <n v="0"/>
    <n v="34.6"/>
    <n v="74.8"/>
    <n v="50"/>
    <n v="1496"/>
    <x v="5"/>
    <x v="0"/>
    <n v="26"/>
    <n v="2"/>
    <n v="115.33333333333333"/>
  </r>
  <r>
    <d v="2025-05-26T09:10:00"/>
    <s v="INYECTADO"/>
    <x v="10"/>
    <x v="129"/>
    <s v="GABRIEL ORDAZ"/>
    <s v="VIRGEN"/>
    <s v="PP CLARIFICADO"/>
    <s v="."/>
    <x v="104"/>
    <s v="BASE ORGANIZADOR  DE 2KG-TRANSPARENTE"/>
    <n v="818"/>
    <n v="10"/>
    <n v="88.4"/>
    <s v="DIURNO"/>
    <m/>
    <n v="25"/>
    <n v="1134"/>
    <n v="21869"/>
    <s v="TRANSPARENTE"/>
    <n v="11.9"/>
    <n v="0"/>
    <n v="0"/>
    <n v="40.9"/>
    <n v="88.4"/>
    <n v="50"/>
    <n v="1768"/>
    <x v="5"/>
    <x v="0"/>
    <n v="27"/>
    <n v="2"/>
    <n v="136.33333333333334"/>
  </r>
  <r>
    <d v="2025-05-26T09:10:00"/>
    <s v="INYECTADO"/>
    <x v="10"/>
    <x v="129"/>
    <s v="GABRIEL ORDAZ"/>
    <s v="VIRGEN"/>
    <s v="PP CLARIFICADO"/>
    <s v="."/>
    <x v="104"/>
    <s v="BASE ORGANIZADOR  DE 2KG PASTEL-TURQUESA"/>
    <n v="51"/>
    <n v="1"/>
    <n v="5.6"/>
    <s v="DIURNO"/>
    <m/>
    <n v="1"/>
    <n v="1134"/>
    <n v="21869"/>
    <s v="TURQUESA"/>
    <n v="0"/>
    <n v="0"/>
    <n v="0"/>
    <n v="2.5499999999999998"/>
    <n v="5.6"/>
    <n v="50"/>
    <n v="112"/>
    <x v="5"/>
    <x v="0"/>
    <n v="27"/>
    <n v="2"/>
    <n v="8.5"/>
  </r>
  <r>
    <d v="2025-05-26T09:10:00"/>
    <s v="INYECTADO"/>
    <x v="10"/>
    <x v="129"/>
    <s v="ISABEL LINARIZ"/>
    <s v="VIRGEN"/>
    <s v="PP CLARIFICADO"/>
    <s v="."/>
    <x v="104"/>
    <s v="BASE ORGANIZADOR  DE 2KG PASTEL-TURQUESA"/>
    <n v="506"/>
    <n v="5"/>
    <n v="56.2"/>
    <s v="NOCTURNO"/>
    <m/>
    <n v="17"/>
    <n v="1134"/>
    <n v="21870"/>
    <s v="TURQUESA"/>
    <n v="6.1"/>
    <n v="0"/>
    <n v="0"/>
    <n v="25.3"/>
    <n v="56.2"/>
    <n v="50"/>
    <n v="1124"/>
    <x v="5"/>
    <x v="0"/>
    <n v="27"/>
    <n v="2"/>
    <n v="84.333333333333329"/>
  </r>
  <r>
    <d v="2025-05-26T09:10:00"/>
    <s v="INYECTADO"/>
    <x v="10"/>
    <x v="129"/>
    <s v="ISABEL LINARIZ"/>
    <s v="VIRGEN"/>
    <s v="PP CLARIFICADO"/>
    <s v="."/>
    <x v="104"/>
    <s v="BASE ORGANIZADOR  DE 2KG PASTEL-CELESTE"/>
    <n v="506"/>
    <n v="6"/>
    <n v="55.8"/>
    <s v="NOCTURNO"/>
    <m/>
    <n v="17"/>
    <n v="1134"/>
    <n v="21870"/>
    <s v="CELESTE"/>
    <n v="3.2"/>
    <n v="0"/>
    <n v="0"/>
    <n v="25.3"/>
    <n v="55.8"/>
    <n v="50"/>
    <n v="1116"/>
    <x v="5"/>
    <x v="0"/>
    <n v="27"/>
    <n v="2"/>
    <n v="84.333333333333329"/>
  </r>
  <r>
    <d v="2025-05-26T09:10:00"/>
    <s v="INYECTADO"/>
    <x v="10"/>
    <x v="129"/>
    <s v="ISABEL LINARIZ"/>
    <s v="VIRGEN"/>
    <s v="PP CLARIFICADO"/>
    <s v="."/>
    <x v="104"/>
    <s v="BASE ORGANIZADOR  DE 2KG PASTEL-LILA"/>
    <n v="40"/>
    <n v="1"/>
    <n v="3.3"/>
    <s v="NOCTURNO"/>
    <m/>
    <n v="1"/>
    <n v="1134"/>
    <n v="21870"/>
    <s v="LILA"/>
    <n v="3.9"/>
    <n v="0"/>
    <n v="0"/>
    <n v="2"/>
    <n v="3.3"/>
    <n v="50"/>
    <n v="66"/>
    <x v="5"/>
    <x v="0"/>
    <n v="27"/>
    <n v="2"/>
    <n v="6.666666666666667"/>
  </r>
  <r>
    <d v="2025-06-26T07:20:00"/>
    <s v="INYECTADO"/>
    <x v="7"/>
    <x v="130"/>
    <s v="ROSA MERINO"/>
    <s v="VIRGEN"/>
    <s v="PP HOMOPOLIMERO"/>
    <s v="PP COPOLIMERO"/>
    <x v="72"/>
    <s v="VASO SORBETE SOLIDO-VERDE"/>
    <n v="543"/>
    <n v="5"/>
    <n v="81.5"/>
    <s v="DIURNO"/>
    <m/>
    <n v="10"/>
    <n v="1121"/>
    <n v="21177"/>
    <s v="VERDE"/>
    <n v="10.199999999999999"/>
    <n v="0"/>
    <n v="0"/>
    <n v="12.7605"/>
    <n v="81.5"/>
    <n v="23.5"/>
    <n v="3468.0851063829787"/>
    <x v="5"/>
    <x v="0"/>
    <n v="23"/>
    <n v="2"/>
    <n v="90.5"/>
  </r>
  <r>
    <d v="2025-06-26T07:20:00"/>
    <s v="INYECTADO"/>
    <x v="7"/>
    <x v="130"/>
    <s v="ROSA MERINO"/>
    <s v="VIRGEN"/>
    <s v="PP HOMOPOLIMERO"/>
    <s v="PP COPOLIMERO"/>
    <x v="72"/>
    <s v="VASO SORBETE SOLIDO-AZUL"/>
    <n v="22"/>
    <n v="2"/>
    <n v="3.3"/>
    <s v="DIURNO"/>
    <m/>
    <n v="1"/>
    <n v="1121"/>
    <n v="21177"/>
    <s v="AZUL"/>
    <n v="3.3"/>
    <n v="0"/>
    <n v="0"/>
    <n v="0.51700000000000002"/>
    <n v="3.3"/>
    <n v="23.5"/>
    <n v="140.42553191489361"/>
    <x v="5"/>
    <x v="0"/>
    <n v="23"/>
    <n v="2"/>
    <n v="3.6666666666666665"/>
  </r>
  <r>
    <d v="2025-06-26T07:20:00"/>
    <s v="INYECTADO"/>
    <x v="7"/>
    <x v="131"/>
    <s v="LUIS PINEDO"/>
    <s v="VIRGEN"/>
    <s v="PP HOMOPOLIMERO"/>
    <s v="PP COPOLIMERO"/>
    <x v="72"/>
    <s v="VASO SORBETE SOLIDO-AZUL"/>
    <n v="268"/>
    <n v="4"/>
    <n v="40.200000000000003"/>
    <s v="DIURNO"/>
    <m/>
    <n v="6"/>
    <n v="1121"/>
    <n v="21178"/>
    <s v="AZUL"/>
    <n v="6.7"/>
    <n v="0"/>
    <n v="0"/>
    <n v="6.298"/>
    <n v="40.200000000000003"/>
    <n v="23.5"/>
    <n v="1710.6382978723404"/>
    <x v="5"/>
    <x v="0"/>
    <n v="23"/>
    <n v="2"/>
    <n v="44.666666666666664"/>
  </r>
  <r>
    <d v="2025-06-26T07:20:00"/>
    <s v="INYECTADO"/>
    <x v="7"/>
    <x v="121"/>
    <s v="LUIS PINEDO"/>
    <s v="VIRGEN"/>
    <s v="PP HOMOPOLIMERO"/>
    <s v="PP COPOLIMERO"/>
    <x v="72"/>
    <s v="VASO SORBETE SOLIDO-AZUL"/>
    <n v="461"/>
    <n v="5"/>
    <n v="68.8"/>
    <s v="DIURNO"/>
    <m/>
    <n v="8"/>
    <n v="1121"/>
    <n v="21179"/>
    <s v="AZUL"/>
    <n v="18.3"/>
    <n v="0"/>
    <n v="0"/>
    <n v="10.833500000000001"/>
    <n v="68.8"/>
    <n v="23.5"/>
    <n v="2927.6595744680849"/>
    <x v="5"/>
    <x v="0"/>
    <n v="23"/>
    <n v="2"/>
    <n v="76.833333333333329"/>
  </r>
  <r>
    <d v="2025-06-26T07:20:00"/>
    <s v="INYECTADO"/>
    <x v="7"/>
    <x v="121"/>
    <s v="LUIS PINEDO"/>
    <s v="VIRGEN"/>
    <s v="PP HOMOPOLIMERO"/>
    <s v="PP COPOLIMERO"/>
    <x v="72"/>
    <s v="VASO SORBETE SOLIDO-AMARILLO"/>
    <n v="71"/>
    <n v="1"/>
    <n v="10.6"/>
    <s v="DIURNO"/>
    <m/>
    <n v="2"/>
    <n v="1121"/>
    <n v="21179"/>
    <s v="AMARILLO"/>
    <n v="7.7"/>
    <n v="0"/>
    <n v="0"/>
    <n v="1.6685000000000001"/>
    <n v="10.6"/>
    <n v="23.5"/>
    <n v="451.06382978723406"/>
    <x v="5"/>
    <x v="0"/>
    <n v="23"/>
    <n v="2"/>
    <n v="11.833333333333334"/>
  </r>
  <r>
    <d v="2025-06-26T07:20:00"/>
    <s v="INYECTADO"/>
    <x v="7"/>
    <x v="121"/>
    <s v="LUIS PINEDO"/>
    <s v="VIRGEN"/>
    <s v="PP HOMOPOLIMERO"/>
    <s v="PP COPOLIMERO"/>
    <x v="72"/>
    <s v="VASO SORBETE SOLIDO-VERDE"/>
    <n v="67"/>
    <n v="1"/>
    <n v="10"/>
    <s v="DIURNO"/>
    <m/>
    <n v="1"/>
    <n v="1121"/>
    <n v="21179"/>
    <s v="VERDE"/>
    <n v="10.8"/>
    <n v="0"/>
    <n v="0"/>
    <n v="1.5745"/>
    <n v="10"/>
    <n v="23.5"/>
    <n v="425.531914893617"/>
    <x v="5"/>
    <x v="0"/>
    <n v="23"/>
    <n v="2"/>
    <n v="11.166666666666666"/>
  </r>
  <r>
    <d v="2025-06-26T07:20:00"/>
    <s v="INYECTADO"/>
    <x v="7"/>
    <x v="122"/>
    <s v="CRISALIDA ZAPATA"/>
    <s v="VIRGEN"/>
    <s v="PP CLARIFICADO"/>
    <s v="."/>
    <x v="49"/>
    <s v="TAPA DE ORGANIZADOR #3-ROJO"/>
    <n v="877"/>
    <n v="7"/>
    <n v="67.3"/>
    <s v="DIURNO"/>
    <m/>
    <n v="8"/>
    <n v="1122"/>
    <n v="21180"/>
    <s v="ROJO"/>
    <n v="0"/>
    <n v="0"/>
    <n v="0"/>
    <n v="33.326000000000001"/>
    <n v="67.3"/>
    <n v="38"/>
    <n v="1771.0526315789473"/>
    <x v="5"/>
    <x v="0"/>
    <n v="23"/>
    <n v="2"/>
    <n v="146.16666666666666"/>
  </r>
  <r>
    <d v="2025-06-27T07:20:00"/>
    <s v="INYECTADO"/>
    <x v="7"/>
    <x v="112"/>
    <s v="CRISALIDA ZAPATA"/>
    <s v="VIRGEN"/>
    <s v="PP CLARIFICADO"/>
    <s v="."/>
    <x v="49"/>
    <s v="TAPA DE ORGANIZADOR #3-ROJO"/>
    <n v="967"/>
    <n v="9"/>
    <n v="69.599999999999994"/>
    <s v="DIURNO"/>
    <m/>
    <n v="9"/>
    <n v="1122"/>
    <n v="21181"/>
    <s v="ROJO"/>
    <n v="0"/>
    <n v="0"/>
    <n v="0"/>
    <n v="36.746000000000002"/>
    <n v="69.599999999999994"/>
    <n v="38"/>
    <n v="1831.578947368421"/>
    <x v="5"/>
    <x v="0"/>
    <n v="23"/>
    <n v="2"/>
    <n v="161.16666666666666"/>
  </r>
  <r>
    <d v="2025-06-28T07:20:00"/>
    <s v="INYECTADO"/>
    <x v="7"/>
    <x v="112"/>
    <s v="JUAN MANUEL PEREZ"/>
    <s v="VIRGEN"/>
    <s v="PP CLARIFICADO"/>
    <s v="."/>
    <x v="49"/>
    <s v="TAPA DE ORGANIZADOR #3-ROJO"/>
    <n v="654"/>
    <n v="6"/>
    <n v="47.8"/>
    <s v="NOCTURNO"/>
    <m/>
    <n v="6"/>
    <n v="1122"/>
    <n v="21182"/>
    <s v="ROJO"/>
    <n v="0"/>
    <n v="0"/>
    <n v="0"/>
    <n v="24.852"/>
    <n v="47.8"/>
    <n v="38"/>
    <n v="1257.8947368421052"/>
    <x v="5"/>
    <x v="0"/>
    <n v="23"/>
    <n v="2"/>
    <n v="109"/>
  </r>
  <r>
    <d v="2025-06-28T07:20:00"/>
    <s v="INYECTADO"/>
    <x v="7"/>
    <x v="113"/>
    <s v="LUIS RENGIFO"/>
    <s v="VIRGEN"/>
    <s v="PP CLARIFICADO"/>
    <s v="."/>
    <x v="54"/>
    <s v="ESCURRIDOR PORTAVAJILLA-CREMA"/>
    <n v="582"/>
    <n v="5"/>
    <n v="135.69999999999999"/>
    <s v="DIURNO"/>
    <m/>
    <n v="19"/>
    <n v="1127"/>
    <n v="21183"/>
    <s v="CREMA"/>
    <n v="3.8"/>
    <n v="0"/>
    <n v="0"/>
    <n v="143.172"/>
    <n v="135.69999999999999"/>
    <n v="246"/>
    <n v="551.6260162601626"/>
    <x v="5"/>
    <x v="0"/>
    <n v="24"/>
    <n v="1"/>
    <n v="48.5"/>
  </r>
  <r>
    <d v="2025-06-28T07:20:00"/>
    <s v="INYECTADO"/>
    <x v="7"/>
    <x v="132"/>
    <s v="GABRIEL REQUENA"/>
    <s v="VIRGEN"/>
    <s v="PP CLARIFICADO"/>
    <s v="."/>
    <x v="54"/>
    <s v="ESCURRIDOR PORTAVAJILLA-CREMA"/>
    <n v="151"/>
    <n v="2"/>
    <n v="35.4"/>
    <s v="DIURNO"/>
    <m/>
    <n v="5"/>
    <n v="1127"/>
    <n v="21184"/>
    <s v="CREMA"/>
    <n v="2.8"/>
    <n v="0"/>
    <n v="0"/>
    <n v="37.146000000000001"/>
    <n v="35.4"/>
    <n v="246"/>
    <n v="143.90243902439025"/>
    <x v="5"/>
    <x v="0"/>
    <n v="24"/>
    <n v="1"/>
    <n v="12.583333333333334"/>
  </r>
  <r>
    <d v="2025-06-28T07:20:00"/>
    <s v="INYECTADO"/>
    <x v="7"/>
    <x v="132"/>
    <s v="GABRIEL REQUENA"/>
    <s v="VIRGEN"/>
    <s v="PP CLARIFICADO"/>
    <s v="."/>
    <x v="54"/>
    <s v="ESCURRIDOR PORTAVAJILLA-VERDE"/>
    <n v="749"/>
    <n v="7"/>
    <n v="175.3"/>
    <s v="DIURNO"/>
    <m/>
    <n v="25"/>
    <n v="1127"/>
    <n v="21184"/>
    <s v="VERDE"/>
    <n v="6.3"/>
    <n v="0"/>
    <n v="0"/>
    <n v="184.25399999999999"/>
    <n v="175.3"/>
    <n v="246"/>
    <n v="712.60162601626018"/>
    <x v="5"/>
    <x v="0"/>
    <n v="24"/>
    <n v="1"/>
    <n v="62.416666666666664"/>
  </r>
  <r>
    <d v="2025-06-28T07:20:00"/>
    <s v="INYECTADO"/>
    <x v="7"/>
    <x v="132"/>
    <s v="GABRIEL REQUENA"/>
    <s v="VIRGEN"/>
    <s v="PP CLARIFICADO"/>
    <s v="."/>
    <x v="54"/>
    <s v="ESCURRIDOR PORTAVAJILLA-TURQUESA"/>
    <n v="232"/>
    <n v="2"/>
    <n v="54.7"/>
    <s v="DIURNO"/>
    <m/>
    <n v="7"/>
    <n v="1127"/>
    <n v="21184"/>
    <s v="TURQUESA"/>
    <n v="4.3"/>
    <n v="0"/>
    <n v="0"/>
    <n v="57.072000000000003"/>
    <n v="54.7"/>
    <n v="246"/>
    <n v="222.35772357723576"/>
    <x v="5"/>
    <x v="0"/>
    <n v="24"/>
    <n v="1"/>
    <n v="19.333333333333332"/>
  </r>
  <r>
    <d v="2025-06-28T07:20:00"/>
    <s v="INYECTADO"/>
    <x v="7"/>
    <x v="132"/>
    <s v="JUAN MANUEL PEREZ"/>
    <s v="VIRGEN"/>
    <s v="PP CLARIFICADO"/>
    <s v="."/>
    <x v="54"/>
    <s v="ESCURRIDOR PORTAVAJILLA-TURQUESA"/>
    <n v="230"/>
    <n v="3"/>
    <n v="54.2"/>
    <s v="NOCTURNO"/>
    <m/>
    <n v="9"/>
    <n v="1127"/>
    <n v="21185"/>
    <s v="TURQUESA"/>
    <n v="3"/>
    <n v="0"/>
    <n v="0"/>
    <n v="56.58"/>
    <n v="54.2"/>
    <n v="246"/>
    <n v="220.32520325203251"/>
    <x v="5"/>
    <x v="0"/>
    <n v="24"/>
    <n v="1"/>
    <n v="19.166666666666668"/>
  </r>
  <r>
    <d v="2025-06-28T07:20:00"/>
    <s v="INYECTADO"/>
    <x v="7"/>
    <x v="132"/>
    <s v="JUAN MANUEL PEREZ"/>
    <s v="VIRGEN"/>
    <s v="PP CLARIFICADO"/>
    <s v="."/>
    <x v="54"/>
    <s v="ESCURRIDOR PORTAVAJILLA-MELON"/>
    <n v="486"/>
    <n v="5"/>
    <n v="114.4"/>
    <s v="NOCTURNO"/>
    <m/>
    <n v="16"/>
    <n v="1127"/>
    <n v="21185"/>
    <s v="MELON"/>
    <n v="4"/>
    <n v="0"/>
    <n v="0"/>
    <n v="119.556"/>
    <n v="114.4"/>
    <n v="246"/>
    <n v="465.04065040650408"/>
    <x v="5"/>
    <x v="0"/>
    <n v="24"/>
    <n v="1"/>
    <n v="40.5"/>
  </r>
  <r>
    <d v="2025-06-28T07:20:00"/>
    <s v="INYECTADO"/>
    <x v="7"/>
    <x v="132"/>
    <s v="JUAN MANUEL PEREZ"/>
    <s v="VIRGEN"/>
    <s v="PP CLARIFICADO"/>
    <s v="."/>
    <x v="54"/>
    <s v="ESCURRIDOR PORTAVAJILLA-ROSADO"/>
    <n v="307"/>
    <n v="4"/>
    <n v="72.2"/>
    <s v="NOCTURNO"/>
    <m/>
    <n v="10"/>
    <n v="1127"/>
    <n v="21185"/>
    <s v="ROSADO"/>
    <n v="4"/>
    <n v="0"/>
    <n v="0"/>
    <n v="75.522000000000006"/>
    <n v="72.2"/>
    <n v="246"/>
    <n v="293.4959349593496"/>
    <x v="5"/>
    <x v="0"/>
    <n v="24"/>
    <n v="1"/>
    <n v="25.583333333333332"/>
  </r>
  <r>
    <d v="2025-06-28T07:20:00"/>
    <s v="INYECTADO"/>
    <x v="7"/>
    <x v="133"/>
    <s v="CRISALIDA ZAPATA"/>
    <s v="VIRGEN"/>
    <s v="PP CLARIFICADO"/>
    <s v="."/>
    <x v="54"/>
    <s v="ESCURRIDOR PORTAVAJILLA-ROSADO"/>
    <n v="157"/>
    <n v="2"/>
    <n v="36.9"/>
    <s v="DIURNO"/>
    <m/>
    <n v="4"/>
    <n v="1127"/>
    <n v="21186"/>
    <s v="ROSADO"/>
    <n v="2.4"/>
    <n v="0"/>
    <n v="0"/>
    <n v="38.622"/>
    <n v="36.9"/>
    <n v="246"/>
    <n v="150"/>
    <x v="5"/>
    <x v="0"/>
    <n v="24"/>
    <n v="1"/>
    <n v="13.083333333333334"/>
  </r>
  <r>
    <d v="2025-06-28T07:20:00"/>
    <s v="INYECTADO"/>
    <x v="7"/>
    <x v="133"/>
    <s v="CRISALIDA ZAPATA"/>
    <s v="VIRGEN"/>
    <s v="PP CLARIFICADO"/>
    <s v="."/>
    <x v="54"/>
    <s v="ESCURRIDOR PORTAVAJILLA-CREMA"/>
    <n v="464"/>
    <n v="4"/>
    <n v="109.2"/>
    <s v="DIURNO"/>
    <m/>
    <n v="16"/>
    <n v="1127"/>
    <n v="21186"/>
    <s v="CREMA"/>
    <n v="7.1"/>
    <n v="0"/>
    <n v="0"/>
    <n v="114.14400000000001"/>
    <n v="109.2"/>
    <n v="246"/>
    <n v="443.90243902439022"/>
    <x v="5"/>
    <x v="0"/>
    <n v="24"/>
    <n v="1"/>
    <n v="38.666666666666664"/>
  </r>
  <r>
    <d v="2025-06-28T07:20:00"/>
    <s v="INYECTADO"/>
    <x v="7"/>
    <x v="133"/>
    <s v="CRISALIDA ZAPATA"/>
    <s v="VIRGEN"/>
    <s v="PP CLARIFICADO"/>
    <s v="."/>
    <x v="54"/>
    <s v="ESCURRIDOR PORTAVAJILLA-LILA"/>
    <n v="482"/>
    <n v="4"/>
    <n v="113.5"/>
    <s v="DIURNO"/>
    <m/>
    <n v="12"/>
    <n v="1127"/>
    <n v="21186"/>
    <s v="LILA"/>
    <n v="8.5"/>
    <n v="0"/>
    <n v="0"/>
    <n v="118.572"/>
    <n v="113.5"/>
    <n v="246"/>
    <n v="461.3821138211382"/>
    <x v="5"/>
    <x v="0"/>
    <n v="24"/>
    <n v="1"/>
    <n v="40.166666666666664"/>
  </r>
  <r>
    <d v="2025-06-28T07:20:00"/>
    <s v="INYECTADO"/>
    <x v="7"/>
    <x v="133"/>
    <s v="JOSDER GONZALEZ"/>
    <s v="VIRGEN"/>
    <s v="PP CLARIFICADO"/>
    <s v="."/>
    <x v="54"/>
    <s v="ESCURRIDOR PORTAVAJILLA-VERDE"/>
    <n v="380"/>
    <n v="3"/>
    <n v="90.6"/>
    <s v="NOCTURNO"/>
    <m/>
    <n v="12"/>
    <n v="1127"/>
    <n v="21187"/>
    <s v="VERDE"/>
    <n v="9.1"/>
    <n v="0"/>
    <n v="0"/>
    <n v="93.48"/>
    <n v="90.6"/>
    <n v="246"/>
    <n v="368.29268292682929"/>
    <x v="5"/>
    <x v="0"/>
    <n v="24"/>
    <n v="1"/>
    <n v="31.666666666666668"/>
  </r>
  <r>
    <d v="2025-06-28T07:20:00"/>
    <s v="INYECTADO"/>
    <x v="7"/>
    <x v="134"/>
    <s v="JUAN ROSALES"/>
    <s v="VIRGEN"/>
    <s v="PP CLARIFICADO"/>
    <s v="."/>
    <x v="54"/>
    <s v="ESCURRIDOR PORTAVAJILLA-VERDE"/>
    <n v="105"/>
    <n v="1"/>
    <n v="25"/>
    <s v="DIURNO"/>
    <m/>
    <n v="2"/>
    <n v="1127"/>
    <n v="21188"/>
    <s v="VERDE"/>
    <n v="0"/>
    <n v="0"/>
    <n v="0"/>
    <n v="25.83"/>
    <n v="25"/>
    <n v="246"/>
    <n v="101.6260162601626"/>
    <x v="5"/>
    <x v="0"/>
    <n v="24"/>
    <n v="1"/>
    <n v="8.75"/>
  </r>
  <r>
    <d v="2025-06-28T07:20:00"/>
    <s v="INYECTADO"/>
    <x v="7"/>
    <x v="134"/>
    <s v="JUAN ROSALES"/>
    <s v="VIRGEN"/>
    <s v="PP CLARIFICADO"/>
    <s v="."/>
    <x v="54"/>
    <s v="ESCURRIDOR PORTAVAJILLA-TURQUESA"/>
    <n v="801"/>
    <n v="8"/>
    <n v="189.1"/>
    <s v="DIURNO"/>
    <m/>
    <n v="27"/>
    <n v="1127"/>
    <n v="21188"/>
    <s v="TURQUESA"/>
    <n v="10.199999999999999"/>
    <n v="0"/>
    <n v="0"/>
    <n v="197.04599999999999"/>
    <n v="189.1"/>
    <n v="246"/>
    <n v="768.69918699186996"/>
    <x v="5"/>
    <x v="0"/>
    <n v="24"/>
    <n v="1"/>
    <n v="66.75"/>
  </r>
  <r>
    <d v="2025-06-28T07:20:00"/>
    <s v="INYECTADO"/>
    <x v="7"/>
    <x v="134"/>
    <s v="JUAN ROSALES"/>
    <s v="VIRGEN"/>
    <s v="PP CLARIFICADO"/>
    <s v="."/>
    <x v="54"/>
    <s v="ESCURRIDOR PORTAVAJILLA-MELON"/>
    <n v="192"/>
    <n v="2"/>
    <n v="45.5"/>
    <s v="DIURNO"/>
    <m/>
    <n v="4"/>
    <n v="1127"/>
    <n v="21188"/>
    <s v="MELON"/>
    <n v="0"/>
    <n v="0"/>
    <n v="0"/>
    <n v="47.231999999999999"/>
    <n v="45.5"/>
    <n v="246"/>
    <n v="184.95934959349594"/>
    <x v="5"/>
    <x v="0"/>
    <n v="24"/>
    <n v="1"/>
    <n v="16"/>
  </r>
  <r>
    <d v="2025-06-28T07:20:00"/>
    <s v="INYECTADO"/>
    <x v="7"/>
    <x v="126"/>
    <s v="LUIS PINEDO"/>
    <s v="VIRGEN"/>
    <s v="PP CLARIFICADO"/>
    <s v="."/>
    <x v="54"/>
    <s v="ESCURRIDOR PORTAVAJILLA-MELON"/>
    <n v="525"/>
    <n v="5"/>
    <n v="122.5"/>
    <s v="DIURNO"/>
    <m/>
    <n v="14"/>
    <n v="1127"/>
    <n v="21189"/>
    <s v="MELON"/>
    <n v="5.2"/>
    <n v="0"/>
    <n v="0"/>
    <n v="129.15"/>
    <n v="122.5"/>
    <n v="246"/>
    <n v="497.96747967479672"/>
    <x v="5"/>
    <x v="0"/>
    <n v="24"/>
    <n v="1"/>
    <n v="43.75"/>
  </r>
  <r>
    <d v="2025-06-28T07:20:00"/>
    <s v="INYECTADO"/>
    <x v="7"/>
    <x v="126"/>
    <s v="LUIS PINEDO"/>
    <s v="VIRGEN"/>
    <s v="PP CLARIFICADO"/>
    <s v="."/>
    <x v="54"/>
    <s v="ESCURRIDOR PORTAVAJILLA-ROSADO"/>
    <n v="545"/>
    <n v="5"/>
    <n v="127"/>
    <s v="DIURNO"/>
    <m/>
    <n v="18"/>
    <n v="1127"/>
    <n v="21189"/>
    <s v="ROSADO"/>
    <n v="4.2"/>
    <n v="0"/>
    <n v="0"/>
    <n v="134.07"/>
    <n v="127"/>
    <n v="246"/>
    <n v="516.26016260162601"/>
    <x v="5"/>
    <x v="0"/>
    <n v="24"/>
    <n v="1"/>
    <n v="45.416666666666664"/>
  </r>
  <r>
    <d v="2025-06-28T07:20:00"/>
    <s v="INYECTADO"/>
    <x v="7"/>
    <x v="126"/>
    <s v="JUAN MANUEL PEREZ"/>
    <s v="VIRGEN"/>
    <s v="PP CLARIFICADO"/>
    <s v="."/>
    <x v="54"/>
    <s v="ESCURRIDOR PORTAVAJILLA-LILA"/>
    <n v="931"/>
    <n v="9"/>
    <n v="220.3"/>
    <s v="NOCTURNO"/>
    <m/>
    <n v="31"/>
    <n v="1127"/>
    <n v="21190"/>
    <s v="LILA"/>
    <n v="1"/>
    <n v="0"/>
    <n v="0"/>
    <n v="229.02600000000001"/>
    <n v="220.3"/>
    <n v="246"/>
    <n v="895.52845528455282"/>
    <x v="5"/>
    <x v="0"/>
    <n v="24"/>
    <n v="1"/>
    <n v="77.583333333333329"/>
  </r>
  <r>
    <d v="2025-06-28T07:20:00"/>
    <s v="INYECTADO"/>
    <x v="7"/>
    <x v="126"/>
    <s v="JUAN MANUEL PEREZ"/>
    <s v="VIRGEN"/>
    <s v="PP CLARIFICADO"/>
    <s v="."/>
    <x v="54"/>
    <s v="ESCURRIDOR PORTAVAJILLA-ROSADO"/>
    <n v="138"/>
    <n v="1"/>
    <n v="32.700000000000003"/>
    <s v="NOCTURNO"/>
    <m/>
    <n v="5"/>
    <n v="1127"/>
    <n v="21190"/>
    <s v="ROSADO"/>
    <n v="1"/>
    <n v="0"/>
    <n v="0"/>
    <n v="33.948"/>
    <n v="32.700000000000003"/>
    <n v="246"/>
    <n v="132.92682926829269"/>
    <x v="5"/>
    <x v="0"/>
    <n v="24"/>
    <n v="1"/>
    <n v="11.5"/>
  </r>
  <r>
    <d v="2025-06-28T07:20:00"/>
    <s v="INYECTADO"/>
    <x v="7"/>
    <x v="127"/>
    <s v="JUAN ROSALES"/>
    <s v="VIRGEN"/>
    <s v="PP CLARIFICADO"/>
    <s v="."/>
    <x v="54"/>
    <s v="ESCURRIDOR PORTAVAJILLA-MELON"/>
    <n v="177"/>
    <n v="2"/>
    <n v="41.5"/>
    <s v="DIURNO"/>
    <m/>
    <n v="6"/>
    <n v="1127"/>
    <n v="21191"/>
    <s v="MELON"/>
    <n v="0"/>
    <n v="0"/>
    <n v="0"/>
    <n v="43.542000000000002"/>
    <n v="41.5"/>
    <n v="246"/>
    <n v="168.69918699186991"/>
    <x v="5"/>
    <x v="0"/>
    <n v="24"/>
    <n v="1"/>
    <n v="14.75"/>
  </r>
  <r>
    <d v="2025-06-28T07:20:00"/>
    <s v="INYECTADO"/>
    <x v="7"/>
    <x v="127"/>
    <s v="JUAN ROSALES"/>
    <s v="VIRGEN"/>
    <s v="PP CLARIFICADO"/>
    <s v="."/>
    <x v="54"/>
    <s v="ESCURRIDOR PORTAVAJILLA-ROSADO"/>
    <n v="513"/>
    <n v="5"/>
    <n v="120.1"/>
    <s v="DIURNO"/>
    <m/>
    <n v="17"/>
    <n v="1127"/>
    <n v="21191"/>
    <s v="ROSADO"/>
    <n v="0"/>
    <n v="0"/>
    <n v="0"/>
    <n v="126.19799999999999"/>
    <n v="120.1"/>
    <n v="246"/>
    <n v="488.21138211382112"/>
    <x v="5"/>
    <x v="0"/>
    <n v="24"/>
    <n v="1"/>
    <n v="42.75"/>
  </r>
  <r>
    <d v="2025-06-28T07:20:00"/>
    <s v="INYECTADO"/>
    <x v="7"/>
    <x v="127"/>
    <s v="JUAN ROSALES"/>
    <s v="VIRGEN"/>
    <s v="PP CLARIFICADO"/>
    <s v="."/>
    <x v="54"/>
    <s v="ESCURRIDOR PORTAVAJILLA-LILA"/>
    <n v="213"/>
    <n v="2"/>
    <n v="49.9"/>
    <s v="DIURNO"/>
    <m/>
    <n v="7"/>
    <n v="1127"/>
    <n v="21191"/>
    <s v="LILA"/>
    <n v="0"/>
    <n v="0"/>
    <n v="0"/>
    <n v="52.398000000000003"/>
    <n v="49.9"/>
    <n v="246"/>
    <n v="202.84552845528455"/>
    <x v="5"/>
    <x v="0"/>
    <n v="24"/>
    <n v="1"/>
    <n v="17.75"/>
  </r>
  <r>
    <d v="2025-06-28T07:20:00"/>
    <s v="INYECTADO"/>
    <x v="7"/>
    <x v="127"/>
    <s v="GABRIEL REQUENA"/>
    <s v="VIRGEN"/>
    <s v="PP CLARIFICADO"/>
    <s v="."/>
    <x v="54"/>
    <s v="ESCURRIDOR PORTAVAJILLA-MELON"/>
    <n v="288"/>
    <n v="2"/>
    <n v="68.2"/>
    <s v="DIURNO"/>
    <m/>
    <n v="10"/>
    <n v="1127"/>
    <n v="21192"/>
    <s v="MELON"/>
    <n v="7.3"/>
    <n v="0"/>
    <n v="0"/>
    <n v="70.847999999999999"/>
    <n v="68.2"/>
    <n v="246"/>
    <n v="277.23577235772359"/>
    <x v="5"/>
    <x v="0"/>
    <n v="24"/>
    <n v="1"/>
    <n v="24"/>
  </r>
  <r>
    <d v="2025-06-28T07:20:00"/>
    <s v="INYECTADO"/>
    <x v="7"/>
    <x v="127"/>
    <s v="GABRIEL REQUENA"/>
    <s v="VIRGEN"/>
    <s v="PP CLARIFICADO"/>
    <s v="."/>
    <x v="54"/>
    <s v="ESCURRIDOR PORTAVAJILLA-TURQUESA"/>
    <n v="434"/>
    <n v="4"/>
    <n v="102.7"/>
    <s v="DIURNO"/>
    <m/>
    <n v="14"/>
    <n v="1127"/>
    <n v="21192"/>
    <s v="TURQUESA"/>
    <n v="6.9"/>
    <n v="0"/>
    <n v="0"/>
    <n v="106.764"/>
    <n v="102.7"/>
    <n v="246"/>
    <n v="417.47967479674799"/>
    <x v="5"/>
    <x v="0"/>
    <n v="24"/>
    <n v="1"/>
    <n v="36.166666666666664"/>
  </r>
  <r>
    <d v="2025-06-28T07:20:00"/>
    <s v="INYECTADO"/>
    <x v="7"/>
    <x v="114"/>
    <s v="ISABEL LINARIZ"/>
    <s v="VIRGEN"/>
    <s v="PP CLARIFICADO"/>
    <s v="."/>
    <x v="54"/>
    <s v="ESCURRIDOR PORTAVAJILLA-CREMA"/>
    <n v="357"/>
    <n v="3"/>
    <n v="85.2"/>
    <s v="DIURNO"/>
    <m/>
    <n v="12"/>
    <n v="1127"/>
    <n v="21193"/>
    <s v="CREMA"/>
    <n v="4.5999999999999996"/>
    <n v="0"/>
    <n v="0"/>
    <n v="87.822000000000003"/>
    <n v="85.2"/>
    <n v="246"/>
    <n v="346.34146341463412"/>
    <x v="5"/>
    <x v="0"/>
    <n v="25"/>
    <n v="1"/>
    <n v="29.75"/>
  </r>
  <r>
    <d v="2025-06-28T07:20:00"/>
    <s v="INYECTADO"/>
    <x v="7"/>
    <x v="114"/>
    <s v="ISABEL LINARIZ"/>
    <s v="VIRGEN"/>
    <s v="PP CLARIFICADO"/>
    <s v="."/>
    <x v="54"/>
    <s v="ESCURRIDOR PORTAVAJILLA-TURQUESA"/>
    <n v="45"/>
    <n v="1"/>
    <n v="10.7"/>
    <s v="DIURNO"/>
    <m/>
    <n v="2"/>
    <n v="1127"/>
    <n v="21193"/>
    <s v="TURQUESA"/>
    <n v="5.6"/>
    <n v="0"/>
    <n v="0"/>
    <n v="11.07"/>
    <n v="10.7"/>
    <n v="246"/>
    <n v="43.49593495934959"/>
    <x v="5"/>
    <x v="0"/>
    <n v="25"/>
    <n v="1"/>
    <n v="3.75"/>
  </r>
  <r>
    <d v="2025-06-28T07:20:00"/>
    <s v="INYECTADO"/>
    <x v="7"/>
    <x v="114"/>
    <s v="ISABEL LINARIZ"/>
    <s v="VIRGEN"/>
    <s v="PP CLARIFICADO"/>
    <s v="."/>
    <x v="54"/>
    <s v="ESCURRIDOR PORTAVAJILLA-VERDE"/>
    <n v="478"/>
    <n v="4"/>
    <n v="114"/>
    <s v="DIURNO"/>
    <m/>
    <n v="26"/>
    <n v="1127"/>
    <n v="21193"/>
    <s v="VERDE"/>
    <n v="8.6999999999999993"/>
    <n v="0"/>
    <n v="0"/>
    <n v="117.58799999999999"/>
    <n v="114"/>
    <n v="246"/>
    <n v="463.41463414634148"/>
    <x v="5"/>
    <x v="0"/>
    <n v="25"/>
    <n v="1"/>
    <n v="39.833333333333336"/>
  </r>
  <r>
    <d v="2025-06-28T07:20:00"/>
    <s v="INYECTADO"/>
    <x v="7"/>
    <x v="114"/>
    <s v="JOSDER GONZALEZ"/>
    <s v="VIRGEN"/>
    <s v="PP CLARIFICADO"/>
    <s v="."/>
    <x v="54"/>
    <s v="ESCURRIDOR PORTAVAJILLA-CREMA"/>
    <n v="187"/>
    <n v="2"/>
    <n v="42.7"/>
    <s v="NOCTURNO"/>
    <m/>
    <n v="7"/>
    <n v="1127"/>
    <n v="21194"/>
    <s v="CREMA"/>
    <n v="1.4"/>
    <n v="0"/>
    <n v="0"/>
    <n v="46.002000000000002"/>
    <n v="42.7"/>
    <n v="246"/>
    <n v="173.57723577235771"/>
    <x v="5"/>
    <x v="0"/>
    <n v="25"/>
    <n v="1"/>
    <n v="15.583333333333334"/>
  </r>
  <r>
    <d v="2025-06-28T07:20:00"/>
    <s v="INYECTADO"/>
    <x v="7"/>
    <x v="115"/>
    <s v="GABRIEL ORDAZ"/>
    <s v="VIRGEN"/>
    <s v="PP CLARIFICADO"/>
    <s v="."/>
    <x v="54"/>
    <s v="ESCURRIDOR PORTAVAJILLA-CREMA"/>
    <n v="394"/>
    <n v="3"/>
    <n v="92"/>
    <s v="DIURNO"/>
    <m/>
    <n v="14"/>
    <n v="1127"/>
    <n v="21195"/>
    <s v="CREMA"/>
    <n v="1"/>
    <n v="0"/>
    <n v="0"/>
    <n v="96.924000000000007"/>
    <n v="92"/>
    <n v="246"/>
    <n v="373.98373983739839"/>
    <x v="5"/>
    <x v="0"/>
    <n v="25"/>
    <n v="1"/>
    <n v="32.833333333333336"/>
  </r>
  <r>
    <d v="2025-06-28T07:20:00"/>
    <s v="INYECTADO"/>
    <x v="7"/>
    <x v="115"/>
    <s v="GABRIEL ORDAZ"/>
    <s v="VIRGEN"/>
    <s v="PP CLARIFICADO"/>
    <s v="."/>
    <x v="54"/>
    <s v="ESCURRIDOR PORTAVAJILLA-MELON"/>
    <n v="423"/>
    <n v="4"/>
    <n v="99.2"/>
    <s v="DIURNO"/>
    <m/>
    <n v="9"/>
    <n v="1127"/>
    <n v="21195"/>
    <s v="MELON"/>
    <n v="1"/>
    <n v="0"/>
    <n v="0"/>
    <n v="104.05800000000001"/>
    <n v="99.2"/>
    <n v="246"/>
    <n v="403.2520325203252"/>
    <x v="5"/>
    <x v="0"/>
    <n v="25"/>
    <n v="1"/>
    <n v="35.25"/>
  </r>
  <r>
    <d v="2025-06-28T07:20:00"/>
    <s v="INYECTADO"/>
    <x v="7"/>
    <x v="115"/>
    <s v="GABRIEL ORDAZ"/>
    <s v="VIRGEN"/>
    <s v="PP CLARIFICADO"/>
    <s v="."/>
    <x v="54"/>
    <s v="ESCURRIDOR PORTAVAJILLA-VERDE"/>
    <n v="174"/>
    <n v="2"/>
    <n v="40.799999999999997"/>
    <s v="DIURNO"/>
    <m/>
    <n v="5"/>
    <n v="1127"/>
    <n v="21195"/>
    <s v="VERDE"/>
    <n v="1"/>
    <n v="0"/>
    <n v="0"/>
    <n v="42.804000000000002"/>
    <n v="40.799999999999997"/>
    <n v="246"/>
    <n v="165.85365853658536"/>
    <x v="5"/>
    <x v="0"/>
    <n v="25"/>
    <n v="1"/>
    <n v="14.5"/>
  </r>
  <r>
    <d v="2025-06-28T07:20:00"/>
    <s v="INYECTADO"/>
    <x v="7"/>
    <x v="115"/>
    <s v="JOSDER GONZALEZ"/>
    <s v="VIRGEN"/>
    <s v="PP CLARIFICADO"/>
    <s v="."/>
    <x v="54"/>
    <s v="ESCURRIDOR PORTAVAJILLA-VERDE"/>
    <n v="251"/>
    <n v="2"/>
    <n v="58.9"/>
    <s v="NOCTURNO"/>
    <m/>
    <n v="9"/>
    <n v="1127"/>
    <n v="21196"/>
    <s v="VERDE"/>
    <n v="7.8"/>
    <n v="0"/>
    <n v="0"/>
    <n v="61.746000000000002"/>
    <n v="58.9"/>
    <n v="246"/>
    <n v="239.4308943089431"/>
    <x v="5"/>
    <x v="0"/>
    <n v="25"/>
    <n v="1"/>
    <n v="20.916666666666668"/>
  </r>
  <r>
    <d v="2025-06-28T07:20:00"/>
    <s v="INYECTADO"/>
    <x v="7"/>
    <x v="115"/>
    <s v="JOSDER GONZALEZ"/>
    <s v="VIRGEN"/>
    <s v="PP CLARIFICADO"/>
    <s v="."/>
    <x v="54"/>
    <s v="ESCURRIDOR PORTAVAJILLA-TURQUESA"/>
    <n v="364"/>
    <n v="3"/>
    <n v="85.3"/>
    <s v="NOCTURNO"/>
    <m/>
    <n v="12"/>
    <n v="1127"/>
    <n v="21196"/>
    <s v="TURQUESA"/>
    <n v="11.3"/>
    <n v="0"/>
    <n v="0"/>
    <n v="89.543999999999997"/>
    <n v="85.3"/>
    <n v="246"/>
    <n v="346.7479674796748"/>
    <x v="5"/>
    <x v="0"/>
    <n v="25"/>
    <n v="1"/>
    <n v="30.333333333333332"/>
  </r>
  <r>
    <d v="2025-06-28T07:20:00"/>
    <s v="INYECTADO"/>
    <x v="7"/>
    <x v="115"/>
    <s v="JOSDER GONZALEZ"/>
    <s v="VIRGEN"/>
    <s v="PP CLARIFICADO"/>
    <s v="."/>
    <x v="54"/>
    <s v="ESCURRIDOR PORTAVAJILLA-ROSADO"/>
    <n v="395"/>
    <n v="3"/>
    <n v="92.6"/>
    <s v="NOCTURNO"/>
    <m/>
    <n v="13"/>
    <n v="1127"/>
    <n v="21196"/>
    <s v="ROSADO"/>
    <n v="4.5999999999999996"/>
    <n v="0"/>
    <n v="0"/>
    <n v="97.17"/>
    <n v="92.6"/>
    <n v="246"/>
    <n v="376.42276422764229"/>
    <x v="5"/>
    <x v="0"/>
    <n v="25"/>
    <n v="1"/>
    <n v="32.916666666666664"/>
  </r>
  <r>
    <d v="2025-06-28T07:20:00"/>
    <s v="INYECTADO"/>
    <x v="7"/>
    <x v="116"/>
    <s v="CRISALIDA ZAPATA"/>
    <s v="VIRGEN"/>
    <s v="PP CLARIFICADO"/>
    <s v="."/>
    <x v="54"/>
    <s v="ESCURRIDOR PORTAVAJILLA-LILA"/>
    <n v="455"/>
    <n v="5"/>
    <n v="106.5"/>
    <s v="DIURNO"/>
    <m/>
    <n v="15"/>
    <n v="1127"/>
    <n v="21197"/>
    <s v="LILA"/>
    <n v="11.3"/>
    <n v="0"/>
    <n v="0"/>
    <n v="111.93"/>
    <n v="106.5"/>
    <n v="246"/>
    <n v="432.92682926829269"/>
    <x v="5"/>
    <x v="0"/>
    <n v="25"/>
    <n v="1"/>
    <n v="37.916666666666664"/>
  </r>
  <r>
    <d v="2025-06-28T07:20:00"/>
    <s v="INYECTADO"/>
    <x v="7"/>
    <x v="116"/>
    <s v="CRISALIDA ZAPATA"/>
    <s v="VIRGEN"/>
    <s v="PP CLARIFICADO"/>
    <s v="."/>
    <x v="54"/>
    <s v="ESCURRIDOR PORTAVAJILLA-ROSADO"/>
    <n v="60"/>
    <n v="1"/>
    <n v="14.2"/>
    <s v="DIURNO"/>
    <m/>
    <n v="2"/>
    <n v="1127"/>
    <n v="21197"/>
    <s v="ROSADO"/>
    <n v="2.1"/>
    <n v="0"/>
    <n v="0"/>
    <n v="14.76"/>
    <n v="14.2"/>
    <n v="246"/>
    <n v="57.72357723577236"/>
    <x v="5"/>
    <x v="0"/>
    <n v="25"/>
    <n v="1"/>
    <n v="5"/>
  </r>
  <r>
    <d v="2025-06-28T07:20:00"/>
    <s v="INYECTADO"/>
    <x v="7"/>
    <x v="117"/>
    <s v="GABRIEL ORDAZ"/>
    <s v="VIRGEN"/>
    <s v="PP CLARIFICADO"/>
    <s v="."/>
    <x v="50"/>
    <s v="BASE ORGANIZADOR DE 10KG-TRANSPARENTE"/>
    <n v="885"/>
    <n v="8"/>
    <n v="289.60000000000002"/>
    <s v="DIURNO"/>
    <m/>
    <n v="35"/>
    <n v="1132"/>
    <n v="21198"/>
    <s v="TRANSPARENTE"/>
    <n v="6.5"/>
    <n v="0"/>
    <n v="0"/>
    <n v="294.70499999999998"/>
    <n v="289.60000000000002"/>
    <n v="333"/>
    <n v="869.6696696696697"/>
    <x v="5"/>
    <x v="0"/>
    <n v="25"/>
    <n v="1"/>
    <n v="73.75"/>
  </r>
  <r>
    <d v="2025-06-28T07:20:00"/>
    <s v="INYECTADO"/>
    <x v="7"/>
    <x v="117"/>
    <s v="JOSDER GONZALEZ"/>
    <s v="VIRGEN"/>
    <s v="PP CLARIFICADO"/>
    <s v="."/>
    <x v="50"/>
    <s v="BASE ORGANIZADOR DE 10KG-TRANSPARENTE"/>
    <n v="1082"/>
    <n v="12"/>
    <n v="353.9"/>
    <s v="NOCTURNO"/>
    <m/>
    <n v="24"/>
    <n v="1132"/>
    <n v="22201"/>
    <s v="TRANSPARENTE"/>
    <n v="6.9"/>
    <n v="0"/>
    <n v="0"/>
    <n v="360.30599999999998"/>
    <n v="353.9"/>
    <n v="333"/>
    <n v="1062.7627627627628"/>
    <x v="5"/>
    <x v="0"/>
    <n v="25"/>
    <n v="1"/>
    <n v="90.166666666666671"/>
  </r>
  <r>
    <d v="2025-06-28T07:20:00"/>
    <s v="INYECTADO"/>
    <x v="7"/>
    <x v="118"/>
    <s v="ISABEL LINARIZ"/>
    <s v="VIRGEN"/>
    <s v="PP CLARIFICADO"/>
    <s v="."/>
    <x v="50"/>
    <s v="BASE ORGANIZADOR DE 10KG-TRANSPARENTE"/>
    <n v="568"/>
    <n v="7"/>
    <n v="185.1"/>
    <s v="DIURNO"/>
    <m/>
    <n v="24"/>
    <n v="1132"/>
    <n v="22202"/>
    <s v="TRANSPARENTE"/>
    <n v="0"/>
    <n v="0"/>
    <n v="0"/>
    <n v="189.14400000000001"/>
    <n v="185.1"/>
    <n v="333"/>
    <n v="555.85585585585591"/>
    <x v="5"/>
    <x v="0"/>
    <n v="25"/>
    <n v="1"/>
    <n v="47.333333333333336"/>
  </r>
  <r>
    <d v="2025-06-28T07:20:00"/>
    <s v="INYECTADO"/>
    <x v="7"/>
    <x v="118"/>
    <s v="ISABEL LINARIZ"/>
    <s v="VIRGEN"/>
    <s v="PP CLARIFICADO"/>
    <s v="."/>
    <x v="107"/>
    <s v="BASE ORGANIZADOR DE 10KG PASTEL-CELESTE"/>
    <n v="155"/>
    <n v="2"/>
    <n v="50.7"/>
    <s v="DIURNO"/>
    <m/>
    <n v="8"/>
    <n v="1132"/>
    <n v="22202"/>
    <s v="CELESTE"/>
    <n v="7.9"/>
    <n v="0"/>
    <n v="0"/>
    <n v="51.615000000000002"/>
    <n v="50.7"/>
    <n v="333"/>
    <n v="152.25225225225225"/>
    <x v="5"/>
    <x v="0"/>
    <n v="25"/>
    <n v="1"/>
    <n v="12.916666666666666"/>
  </r>
  <r>
    <d v="2025-06-28T07:20:00"/>
    <s v="INYECTADO"/>
    <x v="7"/>
    <x v="118"/>
    <s v="ISABEL LINARIZ"/>
    <s v="VIRGEN"/>
    <s v="PP CLARIFICADO"/>
    <s v="."/>
    <x v="107"/>
    <s v="BASE ORGANIZADOR DE 10KG PASTEL-TURQUESA"/>
    <n v="184"/>
    <n v="2"/>
    <n v="48.3"/>
    <s v="DIURNO"/>
    <m/>
    <n v="6"/>
    <n v="1132"/>
    <n v="22202"/>
    <s v="TURQUESA"/>
    <n v="13.7"/>
    <n v="0"/>
    <n v="0"/>
    <n v="61.271999999999998"/>
    <n v="48.3"/>
    <n v="333"/>
    <n v="145.04504504504504"/>
    <x v="5"/>
    <x v="0"/>
    <n v="25"/>
    <n v="1"/>
    <n v="15.333333333333334"/>
  </r>
  <r>
    <d v="2025-06-28T07:20:00"/>
    <s v="INYECTADO"/>
    <x v="7"/>
    <x v="118"/>
    <s v="ISABEL LINARIZ"/>
    <s v="VIRGEN"/>
    <s v="PP CLARIFICADO"/>
    <s v="."/>
    <x v="107"/>
    <s v="BASE ORGANIZADOR DE 10KG PASTEL-ROSADO"/>
    <n v="64"/>
    <n v="1"/>
    <n v="20.9"/>
    <s v="DIURNO"/>
    <m/>
    <n v="3"/>
    <n v="1132"/>
    <n v="22202"/>
    <s v="ROSADO"/>
    <n v="1.1000000000000001"/>
    <n v="0"/>
    <n v="0"/>
    <n v="21.312000000000001"/>
    <n v="20.9"/>
    <n v="333"/>
    <n v="62.762762762762762"/>
    <x v="5"/>
    <x v="0"/>
    <n v="25"/>
    <n v="1"/>
    <n v="5.333333333333333"/>
  </r>
  <r>
    <d v="2025-06-28T07:20:00"/>
    <s v="INYECTADO"/>
    <x v="7"/>
    <x v="119"/>
    <s v="ISABEL LINARIZ"/>
    <s v="VIRGEN"/>
    <s v="PP CLARIFICADO"/>
    <s v="."/>
    <x v="107"/>
    <s v="BASE ORGANIZADOR DE 10KG PASTEL-SANDIA"/>
    <n v="146"/>
    <n v="2"/>
    <n v="48"/>
    <s v="DIURNO"/>
    <m/>
    <n v="6"/>
    <n v="1132"/>
    <n v="22203"/>
    <s v="SANDIA"/>
    <n v="4.2"/>
    <n v="0"/>
    <n v="0"/>
    <n v="48.618000000000002"/>
    <n v="48"/>
    <n v="333"/>
    <n v="144.14414414414415"/>
    <x v="5"/>
    <x v="0"/>
    <n v="25"/>
    <n v="1"/>
    <n v="12.166666666666666"/>
  </r>
  <r>
    <d v="2025-06-28T07:20:00"/>
    <s v="INYECTADO"/>
    <x v="7"/>
    <x v="119"/>
    <s v="ISABEL LINARIZ"/>
    <s v="VIRGEN"/>
    <s v="PP CLARIFICADO"/>
    <s v="."/>
    <x v="107"/>
    <s v="BASE ORGANIZADOR DE 10KG PASTEL-ROSADO"/>
    <n v="93"/>
    <n v="1"/>
    <n v="30.5"/>
    <s v="DIURNO"/>
    <m/>
    <n v="4"/>
    <n v="1132"/>
    <n v="22203"/>
    <s v="ROSADO"/>
    <n v="7.1"/>
    <n v="0"/>
    <n v="0"/>
    <n v="30.969000000000001"/>
    <n v="30.5"/>
    <n v="333"/>
    <n v="91.591591591591595"/>
    <x v="5"/>
    <x v="0"/>
    <n v="25"/>
    <n v="1"/>
    <n v="7.75"/>
  </r>
  <r>
    <d v="2025-06-28T07:20:00"/>
    <s v="INYECTADO"/>
    <x v="7"/>
    <x v="119"/>
    <s v="ISABEL LINARIZ"/>
    <s v="VIRGEN"/>
    <s v="PP CLARIFICADO"/>
    <s v="."/>
    <x v="107"/>
    <s v="BASE ORGANIZADOR DE 10KG PASTEL-LILA"/>
    <n v="158"/>
    <n v="2"/>
    <n v="51.7"/>
    <s v="DIURNO"/>
    <m/>
    <n v="6"/>
    <n v="1132"/>
    <n v="22203"/>
    <s v="LILA"/>
    <n v="10.199999999999999"/>
    <n v="0"/>
    <n v="0"/>
    <n v="52.613999999999997"/>
    <n v="51.7"/>
    <n v="333"/>
    <n v="155.25525525525526"/>
    <x v="5"/>
    <x v="0"/>
    <n v="25"/>
    <n v="1"/>
    <n v="13.166666666666666"/>
  </r>
  <r>
    <d v="2025-06-28T07:20:00"/>
    <s v="INYECTADO"/>
    <x v="7"/>
    <x v="119"/>
    <s v="ISABEL LINARIZ"/>
    <s v="VIRGEN"/>
    <s v="PP CLARIFICADO"/>
    <s v="."/>
    <x v="107"/>
    <s v="BASE ORGANIZADOR DE 10KG PASTEL-AZURE"/>
    <n v="146"/>
    <n v="2"/>
    <n v="48"/>
    <s v="DIURNO"/>
    <m/>
    <n v="6"/>
    <n v="1132"/>
    <n v="22203"/>
    <s v="AZURE"/>
    <n v="7.3"/>
    <n v="0"/>
    <n v="0"/>
    <n v="48.618000000000002"/>
    <n v="48"/>
    <n v="333"/>
    <n v="144.14414414414415"/>
    <x v="5"/>
    <x v="0"/>
    <n v="25"/>
    <n v="1"/>
    <n v="12.166666666666666"/>
  </r>
  <r>
    <d v="2025-06-28T07:20:00"/>
    <s v="INYECTADO"/>
    <x v="7"/>
    <x v="136"/>
    <s v="CELSO ALEJANDRO"/>
    <s v="VIRGEN"/>
    <s v="PP CLARIFICADO"/>
    <s v="."/>
    <x v="108"/>
    <s v="PORTA CUBIERTOS CARAMELO-AMARILLO"/>
    <n v="236"/>
    <n v="3"/>
    <n v="44"/>
    <s v="DIURNO"/>
    <m/>
    <n v="3"/>
    <n v="1135"/>
    <n v="22204"/>
    <s v="AMARILLO"/>
    <n v="5.5"/>
    <n v="0"/>
    <n v="0"/>
    <e v="#N/A"/>
    <n v="44"/>
    <e v="#N/A"/>
    <n v="0"/>
    <x v="5"/>
    <x v="0"/>
    <n v="26"/>
    <e v="#N/A"/>
    <e v="#N/A"/>
  </r>
  <r>
    <d v="2025-06-28T07:20:00"/>
    <s v="INYECTADO"/>
    <x v="7"/>
    <x v="136"/>
    <s v="CELSO ALEJANDRO"/>
    <s v="VIRGEN"/>
    <s v="PP CLARIFICADO"/>
    <s v="."/>
    <x v="108"/>
    <s v="PORTA CUBIERTOS CARAMELO-VERDE"/>
    <n v="255"/>
    <n v="3"/>
    <n v="47.7"/>
    <s v="DIURNO"/>
    <m/>
    <n v="3"/>
    <n v="1135"/>
    <n v="22204"/>
    <s v="VERDE"/>
    <n v="0"/>
    <n v="0"/>
    <n v="0"/>
    <e v="#N/A"/>
    <n v="47.7"/>
    <e v="#N/A"/>
    <n v="0"/>
    <x v="5"/>
    <x v="0"/>
    <n v="26"/>
    <e v="#N/A"/>
    <e v="#N/A"/>
  </r>
  <r>
    <d v="2025-06-28T07:20:00"/>
    <s v="INYECTADO"/>
    <x v="7"/>
    <x v="136"/>
    <s v="CELSO ALEJANDRO"/>
    <s v="VIRGEN"/>
    <s v="PP CLARIFICADO"/>
    <s v="."/>
    <x v="108"/>
    <s v="PORTA CUBIERTOS CARAMELO-AZUL"/>
    <n v="263"/>
    <n v="3"/>
    <n v="48.8"/>
    <s v="DIURNO"/>
    <m/>
    <n v="3"/>
    <n v="1135"/>
    <n v="22204"/>
    <s v="AZUL"/>
    <n v="0"/>
    <n v="0"/>
    <n v="0"/>
    <e v="#N/A"/>
    <n v="48.8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x v="108"/>
    <s v="PORTA CUBIERTOS CARAMELO-FUCSIA"/>
    <n v="263"/>
    <n v="3"/>
    <n v="48.8"/>
    <s v="NOCTURNO"/>
    <m/>
    <n v="4"/>
    <n v="1135"/>
    <n v="22205"/>
    <s v="FUCSIA"/>
    <n v="3.5"/>
    <n v="0"/>
    <n v="0"/>
    <e v="#N/A"/>
    <n v="48.8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x v="108"/>
    <s v="PORTA CUBIERTOS CARAMELO-ROJO"/>
    <n v="264"/>
    <n v="3"/>
    <n v="48.9"/>
    <s v="NOCTURNO"/>
    <m/>
    <n v="4"/>
    <n v="1135"/>
    <n v="22205"/>
    <s v="ROJO"/>
    <n v="2.9"/>
    <n v="0"/>
    <n v="0"/>
    <e v="#N/A"/>
    <n v="48.9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x v="108"/>
    <s v="PORTA CUBIERTOS CARAMELO-LILA"/>
    <n v="261"/>
    <n v="3"/>
    <n v="48.3"/>
    <s v="NOCTURNO"/>
    <m/>
    <n v="4"/>
    <n v="1135"/>
    <n v="22205"/>
    <s v="LILA"/>
    <n v="6.2"/>
    <n v="0"/>
    <n v="0"/>
    <e v="#N/A"/>
    <n v="48.3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x v="109"/>
    <s v="PORTA CUBIERTOS PASTEL-ROSADO"/>
    <n v="254"/>
    <n v="3"/>
    <n v="47"/>
    <s v="NOCTURNO"/>
    <m/>
    <n v="4"/>
    <n v="1135"/>
    <n v="22205"/>
    <s v="ROSADO"/>
    <n v="4.2"/>
    <n v="0"/>
    <n v="0"/>
    <n v="32.258000000000003"/>
    <n v="47"/>
    <n v="127"/>
    <n v="370.0787401574803"/>
    <x v="5"/>
    <x v="0"/>
    <n v="26"/>
    <n v="6"/>
    <n v="127"/>
  </r>
  <r>
    <d v="2025-06-28T07:20:00"/>
    <s v="INYECTADO"/>
    <x v="7"/>
    <x v="128"/>
    <s v="CELSO ALEJANDRO"/>
    <s v="VIRGEN"/>
    <s v="PP CLARIFICADO"/>
    <s v="."/>
    <x v="109"/>
    <s v="PORTA CUBIERTOS PASTEL-LILA"/>
    <n v="245"/>
    <n v="3"/>
    <n v="46.1"/>
    <s v="DIURNO"/>
    <m/>
    <n v="3"/>
    <n v="1135"/>
    <n v="22206"/>
    <s v="LILA"/>
    <n v="5.9"/>
    <n v="0"/>
    <n v="0"/>
    <n v="31.114999999999998"/>
    <n v="46.1"/>
    <n v="127"/>
    <n v="362.99212598425197"/>
    <x v="5"/>
    <x v="0"/>
    <n v="26"/>
    <n v="6"/>
    <n v="122.5"/>
  </r>
  <r>
    <d v="2025-06-28T07:20:00"/>
    <s v="INYECTADO"/>
    <x v="7"/>
    <x v="128"/>
    <s v="CELSO ALEJANDRO"/>
    <s v="VIRGEN"/>
    <s v="PP CLARIFICADO"/>
    <s v="."/>
    <x v="109"/>
    <s v="PORTA CUBIERTOS PASTEL-CELESTE"/>
    <n v="248"/>
    <n v="3"/>
    <n v="47.5"/>
    <s v="DIURNO"/>
    <m/>
    <n v="3"/>
    <n v="1135"/>
    <n v="22206"/>
    <s v="CELESTE"/>
    <n v="2"/>
    <n v="0"/>
    <n v="0"/>
    <n v="31.495999999999999"/>
    <n v="47.5"/>
    <n v="127"/>
    <n v="374.01574803149606"/>
    <x v="5"/>
    <x v="0"/>
    <n v="26"/>
    <n v="6"/>
    <n v="124"/>
  </r>
  <r>
    <d v="2025-06-28T07:20:00"/>
    <s v="INYECTADO"/>
    <x v="7"/>
    <x v="128"/>
    <s v="CELSO ALEJANDRO"/>
    <s v="VIRGEN"/>
    <s v="PP CLARIFICADO"/>
    <s v="."/>
    <x v="109"/>
    <s v="PORTA CUBIERTOS PASTEL-TURQUESA"/>
    <n v="263"/>
    <n v="3"/>
    <n v="48.8"/>
    <s v="DIURNO"/>
    <m/>
    <n v="3"/>
    <n v="1135"/>
    <n v="22206"/>
    <s v="TURQUESA"/>
    <n v="3.9"/>
    <n v="0"/>
    <n v="0"/>
    <n v="33.401000000000003"/>
    <n v="48.8"/>
    <n v="127"/>
    <n v="384.25196850393701"/>
    <x v="5"/>
    <x v="0"/>
    <n v="26"/>
    <n v="6"/>
    <n v="131.5"/>
  </r>
  <r>
    <d v="2025-06-28T07:20:00"/>
    <s v="INYECTADO"/>
    <x v="7"/>
    <x v="128"/>
    <s v="CELSO ALEJANDRO"/>
    <s v="VIRGEN"/>
    <s v="PP CLARIFICADO"/>
    <s v="."/>
    <x v="109"/>
    <s v="PORTA CUBIERTOS PASTEL-CREMA"/>
    <n v="99"/>
    <n v="1"/>
    <n v="6.3"/>
    <s v="DIURNO"/>
    <m/>
    <n v="1"/>
    <n v="1135"/>
    <n v="22206"/>
    <s v="CREMA"/>
    <n v="2.8"/>
    <n v="0"/>
    <n v="0"/>
    <n v="12.573"/>
    <n v="6.3"/>
    <n v="127"/>
    <n v="49.606299212598422"/>
    <x v="5"/>
    <x v="0"/>
    <n v="26"/>
    <n v="6"/>
    <n v="49.5"/>
  </r>
  <r>
    <d v="2025-06-28T07:20:00"/>
    <s v="INYECTADO"/>
    <x v="7"/>
    <x v="123"/>
    <s v="CELSO ALEJANDRO"/>
    <s v="VIRGEN"/>
    <s v="PP CLARIFICADO"/>
    <s v="."/>
    <x v="109"/>
    <s v="PORTA CUBIERTOS PASTEL-CREMA"/>
    <n v="230"/>
    <n v="3"/>
    <n v="42.9"/>
    <s v="DIURNO"/>
    <m/>
    <n v="3"/>
    <n v="1135"/>
    <n v="22207"/>
    <s v="CREMA"/>
    <n v="0"/>
    <n v="0"/>
    <n v="0"/>
    <n v="29.21"/>
    <n v="42.9"/>
    <n v="127"/>
    <n v="337.79527559055117"/>
    <x v="5"/>
    <x v="0"/>
    <n v="26"/>
    <n v="6"/>
    <n v="115"/>
  </r>
  <r>
    <d v="2025-06-28T07:20:00"/>
    <s v="INYECTADO"/>
    <x v="7"/>
    <x v="123"/>
    <s v="CELSO ALEJANDRO"/>
    <s v="VIRGEN"/>
    <s v="PP CLARIFICADO"/>
    <s v="."/>
    <x v="109"/>
    <s v="PORTA CUBIERTOS PASTEL-MELON"/>
    <n v="259"/>
    <n v="3"/>
    <n v="48.3"/>
    <s v="DIURNO"/>
    <m/>
    <n v="3"/>
    <n v="1135"/>
    <n v="22207"/>
    <s v="MELON"/>
    <n v="0"/>
    <n v="0"/>
    <n v="0"/>
    <n v="32.893000000000001"/>
    <n v="48.3"/>
    <n v="127"/>
    <n v="380.31496062992125"/>
    <x v="5"/>
    <x v="0"/>
    <n v="26"/>
    <n v="6"/>
    <n v="129.5"/>
  </r>
  <r>
    <d v="2025-06-28T07:20:00"/>
    <s v="INYECTADO"/>
    <x v="7"/>
    <x v="123"/>
    <s v="CELSO ALEJANDRO"/>
    <s v="VIRGEN"/>
    <s v="PP CLARIFICADO"/>
    <s v="."/>
    <x v="108"/>
    <s v="PORTA CUBIERTOS CARAMELO-AMARILLO"/>
    <n v="10"/>
    <n v="1"/>
    <n v="2"/>
    <s v="DIURNO"/>
    <m/>
    <n v="1"/>
    <n v="1135"/>
    <n v="22207"/>
    <s v="AMARILLO"/>
    <n v="0"/>
    <n v="0"/>
    <n v="0"/>
    <e v="#N/A"/>
    <n v="2"/>
    <e v="#N/A"/>
    <n v="0"/>
    <x v="5"/>
    <x v="0"/>
    <n v="26"/>
    <e v="#N/A"/>
    <e v="#N/A"/>
  </r>
  <r>
    <d v="2025-06-28T07:20:00"/>
    <s v="INYECTADO"/>
    <x v="7"/>
    <x v="124"/>
    <s v="NELSON PINEDO"/>
    <s v="VIRGEN"/>
    <s v="PP CLARIFICADO"/>
    <s v="."/>
    <x v="53"/>
    <s v="TAPA DE ORGANIZADOR #2-TRANSPARENTE"/>
    <n v="867"/>
    <n v="8"/>
    <n v="44.1"/>
    <s v="DIURNO"/>
    <m/>
    <n v="7"/>
    <n v="1139"/>
    <n v="22208"/>
    <s v="TRANSPARENTE"/>
    <n v="6.7"/>
    <n v="0"/>
    <n v="0"/>
    <n v="18.207000000000001"/>
    <n v="44.1"/>
    <n v="21"/>
    <n v="2100"/>
    <x v="5"/>
    <x v="0"/>
    <n v="26"/>
    <n v="2"/>
    <n v="144.5"/>
  </r>
  <r>
    <d v="2025-06-29T07:20:00"/>
    <s v="INYECTADO"/>
    <x v="7"/>
    <x v="124"/>
    <s v="JUAN MANUEL PEREZ"/>
    <s v="VIRGEN"/>
    <s v="PP CLARIFICADO"/>
    <s v="."/>
    <x v="53"/>
    <s v="TAPA DE ORGANIZADOR #2-TRANSPARENTE"/>
    <n v="1583"/>
    <n v="12"/>
    <n v="80.5"/>
    <s v="NOCTURNO"/>
    <m/>
    <n v="14"/>
    <n v="1139"/>
    <n v="22209"/>
    <s v="TRANSPARENTE"/>
    <n v="0"/>
    <n v="0"/>
    <n v="0"/>
    <n v="33.243000000000002"/>
    <n v="80.5"/>
    <n v="21"/>
    <n v="3833.3333333333335"/>
    <x v="5"/>
    <x v="0"/>
    <n v="26"/>
    <n v="2"/>
    <n v="263.83333333333331"/>
  </r>
  <r>
    <d v="2025-06-30T07:20:00"/>
    <s v="INYECTADO"/>
    <x v="7"/>
    <x v="125"/>
    <s v="CRISALIDA ZAPATA"/>
    <s v="VIRGEN"/>
    <s v="PP CLARIFICADO"/>
    <s v="."/>
    <x v="53"/>
    <s v="TAPA DE ORGANIZADOR #2-TRANSPARENTE"/>
    <n v="1188"/>
    <n v="12"/>
    <n v="48.7"/>
    <s v="DIURNO"/>
    <m/>
    <n v="6"/>
    <n v="1139"/>
    <n v="22210"/>
    <s v="TRANSPARENTE"/>
    <n v="6"/>
    <n v="0"/>
    <n v="0"/>
    <n v="24.948"/>
    <n v="48.7"/>
    <n v="21"/>
    <n v="2319.0476190476193"/>
    <x v="5"/>
    <x v="0"/>
    <n v="26"/>
    <n v="2"/>
    <n v="198"/>
  </r>
  <r>
    <d v="2025-06-30T07:20:00"/>
    <s v="INYECTADO"/>
    <x v="7"/>
    <x v="125"/>
    <s v="JUAN MANUEL PEREZ"/>
    <s v="VIRGEN"/>
    <s v="PP CLARIFICADO"/>
    <s v="."/>
    <x v="53"/>
    <s v="TAPA DE ORGANIZADOR #2-TRANSPARENTE"/>
    <n v="720"/>
    <n v="6"/>
    <n v="31.6"/>
    <s v="NOCTURNO"/>
    <m/>
    <n v="6"/>
    <n v="1139"/>
    <n v="22211"/>
    <s v="TRANSPARENTE"/>
    <n v="2"/>
    <n v="0"/>
    <n v="0"/>
    <n v="15.12"/>
    <n v="31.6"/>
    <n v="21"/>
    <n v="1504.7619047619048"/>
    <x v="5"/>
    <x v="0"/>
    <n v="26"/>
    <n v="2"/>
    <n v="120"/>
  </r>
  <r>
    <d v="2025-06-30T07:20:00"/>
    <s v="INYECTADO"/>
    <x v="7"/>
    <x v="125"/>
    <s v="JUAN MANUEL PEREZ"/>
    <s v="VIRGEN"/>
    <s v="PP CLARIFICADO"/>
    <s v="."/>
    <x v="53"/>
    <s v="TAPA DE ORGANIZADOR #2-BLANCO"/>
    <n v="720"/>
    <n v="6"/>
    <n v="31.6"/>
    <s v="NOCTURNO"/>
    <m/>
    <n v="6"/>
    <n v="1139"/>
    <n v="22211"/>
    <s v="BLANCO"/>
    <n v="0"/>
    <n v="0"/>
    <n v="0"/>
    <n v="15.12"/>
    <n v="31.6"/>
    <n v="21"/>
    <n v="1504.7619047619048"/>
    <x v="5"/>
    <x v="0"/>
    <n v="26"/>
    <n v="2"/>
    <n v="120"/>
  </r>
  <r>
    <d v="2025-06-30T07:20:00"/>
    <s v="INYECTADO"/>
    <x v="7"/>
    <x v="120"/>
    <s v="CRISALIDA ZAPATA"/>
    <s v="VIRGEN"/>
    <s v="PP CLARIFICADO"/>
    <s v="."/>
    <x v="51"/>
    <s v="TAPA DE ORGANIZADOR #2-BLANCO"/>
    <n v="1125"/>
    <n v="12"/>
    <n v="49.5"/>
    <s v="DIURNO"/>
    <m/>
    <n v="9"/>
    <n v="1139"/>
    <n v="22212"/>
    <s v="BLANCO"/>
    <n v="3.6"/>
    <n v="0"/>
    <n v="0"/>
    <n v="23.625"/>
    <n v="49.5"/>
    <n v="21"/>
    <n v="2357.1428571428573"/>
    <x v="5"/>
    <x v="0"/>
    <n v="26"/>
    <n v="2"/>
    <n v="187.5"/>
  </r>
  <r>
    <d v="2025-06-30T07:20:00"/>
    <s v="INYECTADO"/>
    <x v="7"/>
    <x v="120"/>
    <s v="ISABEL LINARIZ"/>
    <s v="VIRGEN"/>
    <s v="PP CLARIFICADO"/>
    <s v="."/>
    <x v="51"/>
    <s v="TAPA DE ORGANIZADOR #2-BLANCO"/>
    <n v="348"/>
    <n v="3"/>
    <n v="18.600000000000001"/>
    <s v="NOCTURNO"/>
    <m/>
    <n v="3"/>
    <n v="1139"/>
    <n v="22213"/>
    <s v="BLANCO"/>
    <n v="3.1"/>
    <n v="0"/>
    <n v="0"/>
    <n v="7.3079999999999998"/>
    <n v="18.600000000000001"/>
    <n v="21"/>
    <n v="885.71428571428567"/>
    <x v="5"/>
    <x v="0"/>
    <n v="26"/>
    <n v="2"/>
    <n v="58"/>
  </r>
  <r>
    <d v="2025-06-30T07:20:00"/>
    <s v="INYECTADO"/>
    <x v="7"/>
    <x v="120"/>
    <s v="ISABEL LINARIZ"/>
    <s v="VIRGEN"/>
    <s v="PP CLARIFICADO"/>
    <s v="."/>
    <x v="51"/>
    <s v="TAPA DE ORGANIZADOR #2 CARAMELO-AMARILLO"/>
    <n v="947"/>
    <n v="9"/>
    <n v="41.7"/>
    <s v="NOCTURNO"/>
    <m/>
    <n v="8"/>
    <n v="1139"/>
    <n v="22213"/>
    <s v="AMARILLO"/>
    <n v="2.7"/>
    <n v="0"/>
    <n v="0"/>
    <n v="19.887"/>
    <n v="41.7"/>
    <n v="21"/>
    <n v="1985.7142857142858"/>
    <x v="5"/>
    <x v="0"/>
    <n v="26"/>
    <n v="2"/>
    <n v="157.83333333333334"/>
  </r>
  <r>
    <d v="2025-06-30T07:20:00"/>
    <s v="INYECTADO"/>
    <x v="7"/>
    <x v="129"/>
    <s v="CRISALIDA ZAPATA"/>
    <s v="VIRGEN"/>
    <s v="PP CLARIFICADO"/>
    <s v="."/>
    <x v="17"/>
    <s v="TAPA DE ORGANIZADOR #2 CARAMELO-VERDE"/>
    <n v="986"/>
    <n v="9"/>
    <n v="42.6"/>
    <s v="DIURNO"/>
    <m/>
    <n v="8"/>
    <n v="1139"/>
    <n v="22214"/>
    <s v="VERDE"/>
    <n v="5.7"/>
    <n v="0"/>
    <n v="0"/>
    <n v="20.706"/>
    <n v="42.6"/>
    <n v="21"/>
    <n v="2028.5714285714287"/>
    <x v="5"/>
    <x v="0"/>
    <n v="27"/>
    <n v="2"/>
    <n v="164.33333333333334"/>
  </r>
  <r>
    <d v="2025-06-30T07:20:00"/>
    <s v="INYECTADO"/>
    <x v="7"/>
    <x v="129"/>
    <s v="CRISALIDA ZAPATA"/>
    <s v="VIRGEN"/>
    <s v="PP CLARIFICADO"/>
    <s v="."/>
    <x v="17"/>
    <s v="TAPA DE ORGANIZADOR #2 CARAMELO-AMARILLO"/>
    <n v="52"/>
    <n v="1"/>
    <n v="2.2000000000000002"/>
    <s v="DIURNO"/>
    <m/>
    <n v="1"/>
    <n v="1139"/>
    <n v="22214"/>
    <s v="AMARILLO"/>
    <n v="1.2"/>
    <n v="0"/>
    <n v="0"/>
    <n v="1.0920000000000001"/>
    <n v="2.2000000000000002"/>
    <n v="21"/>
    <n v="104.76190476190476"/>
    <x v="5"/>
    <x v="0"/>
    <n v="27"/>
    <n v="2"/>
    <n v="8.6666666666666661"/>
  </r>
  <r>
    <d v="2025-06-30T07:20:00"/>
    <s v="INYECTADO"/>
    <x v="7"/>
    <x v="129"/>
    <s v="JOSDER GONZALEZ"/>
    <s v="VIRGEN"/>
    <s v="PP CLARIFICADO"/>
    <s v="."/>
    <x v="17"/>
    <s v="TAPA DE ORGANIZADOR #2 CARAMELO-AZUL"/>
    <n v="1170"/>
    <n v="9"/>
    <n v="50.6"/>
    <s v="NOCTURNO"/>
    <m/>
    <n v="9"/>
    <n v="1139"/>
    <n v="22215"/>
    <s v="AZUL"/>
    <n v="2.5"/>
    <n v="0"/>
    <n v="0"/>
    <n v="24.57"/>
    <n v="50.6"/>
    <n v="21"/>
    <n v="2409.5238095238096"/>
    <x v="5"/>
    <x v="0"/>
    <n v="27"/>
    <n v="2"/>
    <n v="195"/>
  </r>
  <r>
    <d v="2025-06-30T07:20:00"/>
    <s v="INYECTADO"/>
    <x v="7"/>
    <x v="129"/>
    <s v="JOSDER GONZALEZ"/>
    <s v="VIRGEN"/>
    <s v="PP CLARIFICADO"/>
    <s v="."/>
    <x v="17"/>
    <s v="TAPA DE ORGANIZADOR #2 CARAMELO-VERDE"/>
    <n v="58"/>
    <n v="1"/>
    <n v="2.5"/>
    <s v="NOCTURNO"/>
    <m/>
    <n v="1"/>
    <n v="1139"/>
    <n v="22215"/>
    <s v="VERDE"/>
    <n v="2.6"/>
    <n v="0"/>
    <n v="0"/>
    <n v="1.218"/>
    <n v="2.5"/>
    <n v="21"/>
    <n v="119.04761904761905"/>
    <x v="5"/>
    <x v="0"/>
    <n v="27"/>
    <n v="2"/>
    <n v="9.6666666666666661"/>
  </r>
  <r>
    <d v="2025-06-30T07:20:00"/>
    <s v="INYECTADO"/>
    <x v="7"/>
    <x v="129"/>
    <s v="JOSDER GONZALEZ"/>
    <s v="VIRGEN"/>
    <s v="PP CLARIFICADO"/>
    <s v="."/>
    <x v="17"/>
    <s v="TAPA DE ORGANIZADOR #2 CARAMELO-FUCSIA"/>
    <n v="105"/>
    <n v="1"/>
    <n v="4.5"/>
    <s v="NOCTURNO"/>
    <m/>
    <n v="1"/>
    <n v="1139"/>
    <n v="22215"/>
    <s v="FUCSIA"/>
    <n v="0.6"/>
    <n v="0"/>
    <n v="0"/>
    <n v="2.2050000000000001"/>
    <n v="4.5"/>
    <n v="21"/>
    <n v="214.28571428571428"/>
    <x v="5"/>
    <x v="0"/>
    <n v="27"/>
    <n v="2"/>
    <n v="17.5"/>
  </r>
  <r>
    <d v="2025-07-17T15:31:00"/>
    <s v="SOPLADO"/>
    <x v="11"/>
    <x v="141"/>
    <s v="NELSON PINEDO"/>
    <s v="VIRGEN"/>
    <s v="PP CLARIFICADO"/>
    <s v="."/>
    <x v="83"/>
    <s v="SALSERO PERITA 225ML-TRANSPARENTE"/>
    <n v="1680"/>
    <n v="9"/>
    <n v="27.9"/>
    <s v="DIURNO"/>
    <m/>
    <n v="3"/>
    <n v="1147"/>
    <n v="20984"/>
    <s v="TRANSPARENTE"/>
    <n v="13.2"/>
    <n v="0"/>
    <n v="0"/>
    <n v="26.88"/>
    <n v="27.9"/>
    <n v="16"/>
    <n v="1743.75"/>
    <x v="6"/>
    <x v="0"/>
    <n v="27"/>
    <n v="2"/>
    <n v="280"/>
  </r>
  <r>
    <d v="2025-07-17T15:31:00"/>
    <s v="SOPLADO"/>
    <x v="11"/>
    <x v="142"/>
    <s v="SAID VILLAMIZAR"/>
    <s v="VIRGEN"/>
    <s v="PP CLARIFICADO"/>
    <s v="."/>
    <x v="83"/>
    <s v="SALSERO PERITA 225ML-TRANSPARENTE"/>
    <n v="1965"/>
    <n v="11"/>
    <n v="31.5"/>
    <s v="DIURNO"/>
    <m/>
    <n v="4"/>
    <n v="1147"/>
    <n v="20985"/>
    <s v="TRANSPARENTE"/>
    <n v="12.5"/>
    <n v="0"/>
    <n v="0"/>
    <n v="31.44"/>
    <n v="31.5"/>
    <n v="16"/>
    <n v="1968.75"/>
    <x v="6"/>
    <x v="0"/>
    <n v="27"/>
    <n v="2"/>
    <n v="327.5"/>
  </r>
  <r>
    <d v="2025-07-17T15:31:00"/>
    <s v="SOPLADO"/>
    <x v="11"/>
    <x v="143"/>
    <s v="GABRIEL REQUENA"/>
    <s v="VIRGEN"/>
    <s v="PP SOPLADO"/>
    <s v="."/>
    <x v="39"/>
    <s v="TOMATODO 350ML-TRANSPARENTE"/>
    <n v="1731"/>
    <n v="10"/>
    <n v="55.4"/>
    <s v="NOCTURNO"/>
    <m/>
    <n v="5"/>
    <n v="1150"/>
    <n v="20986"/>
    <s v="TRANSPARENTE"/>
    <n v="39.4"/>
    <n v="0"/>
    <n v="0"/>
    <n v="107.322"/>
    <n v="55.4"/>
    <n v="62"/>
    <n v="893.54838709677415"/>
    <x v="6"/>
    <x v="0"/>
    <n v="28"/>
    <n v="2"/>
    <n v="288.5"/>
  </r>
  <r>
    <d v="2025-07-17T15:31:00"/>
    <s v="SOPLADO"/>
    <x v="11"/>
    <x v="144"/>
    <s v="CRISALIDA ZAPATA"/>
    <s v="VIRGEN"/>
    <s v="PP SOPLADO"/>
    <s v="."/>
    <x v="39"/>
    <s v="TOMATODO 350ML-TRANSPARENTE"/>
    <n v="1964"/>
    <n v="12"/>
    <n v="60.9"/>
    <s v="DIURNO"/>
    <m/>
    <n v="6"/>
    <n v="1150"/>
    <n v="20987"/>
    <s v="TRANSPARENTE"/>
    <n v="31.2"/>
    <n v="0"/>
    <n v="0"/>
    <n v="121.768"/>
    <n v="60.9"/>
    <n v="62"/>
    <n v="982.25806451612902"/>
    <x v="6"/>
    <x v="0"/>
    <n v="28"/>
    <n v="2"/>
    <n v="327.33333333333331"/>
  </r>
  <r>
    <d v="2025-07-17T15:31:00"/>
    <s v="SOPLADO"/>
    <x v="11"/>
    <x v="144"/>
    <s v="JOSDER GONZALEZ"/>
    <s v="VIRGEN"/>
    <s v="PP SOPLADO"/>
    <s v="."/>
    <x v="39"/>
    <s v="TOMATODO 350ML-TURQUESA"/>
    <n v="1066"/>
    <n v="7"/>
    <n v="34.4"/>
    <s v="NOCTURNO"/>
    <m/>
    <n v="4"/>
    <n v="1150"/>
    <n v="20988"/>
    <s v="TURQUESA"/>
    <n v="26.4"/>
    <n v="0"/>
    <n v="0"/>
    <e v="#N/A"/>
    <n v="34.4"/>
    <e v="#N/A"/>
    <n v="0"/>
    <x v="6"/>
    <x v="0"/>
    <n v="28"/>
    <e v="#N/A"/>
    <e v="#N/A"/>
  </r>
  <r>
    <d v="2025-07-17T15:31:00"/>
    <s v="SOPLADO"/>
    <x v="11"/>
    <x v="144"/>
    <s v="JOSDER GONZALEZ"/>
    <s v="VIRGEN"/>
    <s v="PP SOPLADO"/>
    <s v="."/>
    <x v="39"/>
    <s v="TOMATODO 350ML-ROSADO"/>
    <n v="770"/>
    <n v="5"/>
    <n v="24.8"/>
    <s v="NOCTURNO"/>
    <m/>
    <n v="3"/>
    <n v="1150"/>
    <n v="20988"/>
    <s v="ROSADO"/>
    <n v="16.899999999999999"/>
    <n v="0"/>
    <n v="0"/>
    <e v="#N/A"/>
    <n v="24.8"/>
    <e v="#N/A"/>
    <n v="0"/>
    <x v="6"/>
    <x v="0"/>
    <n v="28"/>
    <e v="#N/A"/>
    <e v="#N/A"/>
  </r>
  <r>
    <d v="2025-07-17T15:31:00"/>
    <s v="SOPLADO"/>
    <x v="11"/>
    <x v="145"/>
    <s v="CRISALIDA ZAPATA"/>
    <s v="VIRGEN"/>
    <s v="PP SOPLADO"/>
    <s v="."/>
    <x v="39"/>
    <s v="TOMATODO 350ML-ROSADO"/>
    <n v="225"/>
    <n v="2"/>
    <n v="7"/>
    <s v="DIURNO"/>
    <m/>
    <n v="2"/>
    <n v="1150"/>
    <n v="20989"/>
    <s v="ROSADO"/>
    <n v="15.1"/>
    <n v="0"/>
    <n v="0"/>
    <e v="#N/A"/>
    <n v="7"/>
    <e v="#N/A"/>
    <n v="0"/>
    <x v="6"/>
    <x v="0"/>
    <n v="28"/>
    <e v="#N/A"/>
    <e v="#N/A"/>
  </r>
  <r>
    <d v="2025-07-17T15:31:00"/>
    <s v="SOPLADO"/>
    <x v="11"/>
    <x v="145"/>
    <s v="CRISALIDA ZAPATA"/>
    <s v="VIRGEN"/>
    <s v="PP SOPLADO"/>
    <s v="."/>
    <x v="39"/>
    <s v="TOMATODO 350ML-SANDIA"/>
    <n v="1074"/>
    <n v="6"/>
    <n v="33.299999999999997"/>
    <s v="DIURNO"/>
    <m/>
    <n v="4"/>
    <n v="1150"/>
    <n v="20989"/>
    <s v="SANDIA"/>
    <n v="16.399999999999999"/>
    <n v="0"/>
    <n v="0"/>
    <e v="#N/A"/>
    <n v="33.299999999999997"/>
    <e v="#N/A"/>
    <n v="0"/>
    <x v="6"/>
    <x v="0"/>
    <n v="28"/>
    <e v="#N/A"/>
    <e v="#N/A"/>
  </r>
  <r>
    <d v="2025-07-17T15:31:00"/>
    <s v="SOPLADO"/>
    <x v="11"/>
    <x v="145"/>
    <s v="YERIKA"/>
    <s v="VIRGEN"/>
    <s v="PP SOPLADO"/>
    <s v="."/>
    <x v="39"/>
    <s v="TOMATODO 350ML-AZURE"/>
    <n v="525"/>
    <n v="2"/>
    <n v="16.3"/>
    <s v="DIURNO"/>
    <m/>
    <n v="2"/>
    <n v="1150"/>
    <n v="20989"/>
    <s v="AZURE"/>
    <n v="10.7"/>
    <n v="0"/>
    <n v="0"/>
    <e v="#N/A"/>
    <n v="16.3"/>
    <e v="#N/A"/>
    <n v="0"/>
    <x v="6"/>
    <x v="0"/>
    <n v="28"/>
    <e v="#N/A"/>
    <e v="#N/A"/>
  </r>
  <r>
    <d v="2025-07-30T14:20:00"/>
    <s v="SOPLADO"/>
    <x v="11"/>
    <x v="145"/>
    <s v="YERIKA"/>
    <s v="VIRGEN"/>
    <s v="PP SOPLADO"/>
    <s v="."/>
    <x v="39"/>
    <s v="TOMATODO 350ML-AZURE"/>
    <n v="490"/>
    <n v="3"/>
    <n v="15.2"/>
    <s v="NOCTURNO"/>
    <m/>
    <n v="3"/>
    <n v="1150"/>
    <n v="20990"/>
    <s v="AZURE"/>
    <n v="15.2"/>
    <n v="0"/>
    <n v="0"/>
    <e v="#N/A"/>
    <n v="15.2"/>
    <e v="#N/A"/>
    <n v="0"/>
    <x v="6"/>
    <x v="0"/>
    <n v="28"/>
    <e v="#N/A"/>
    <e v="#N/A"/>
  </r>
  <r>
    <d v="2025-07-30T14:20:00"/>
    <s v="SOPLADO"/>
    <x v="11"/>
    <x v="145"/>
    <s v="YERIKA"/>
    <s v="VIRGEN"/>
    <s v="PP SOPLADO"/>
    <s v="."/>
    <x v="39"/>
    <s v="TOMATODO 350ML-LILA"/>
    <n v="935"/>
    <n v="6"/>
    <n v="29"/>
    <s v="NOCTURNO"/>
    <m/>
    <n v="4"/>
    <n v="1150"/>
    <n v="20990"/>
    <s v="LILA"/>
    <n v="29.7"/>
    <n v="0"/>
    <n v="0"/>
    <e v="#N/A"/>
    <n v="29"/>
    <e v="#N/A"/>
    <n v="0"/>
    <x v="6"/>
    <x v="0"/>
    <n v="28"/>
    <e v="#N/A"/>
    <e v="#N/A"/>
  </r>
  <r>
    <d v="2025-07-30T14:20:00"/>
    <s v="SOPLADO"/>
    <x v="11"/>
    <x v="145"/>
    <s v="YERIKA"/>
    <s v="VIRGEN"/>
    <s v="PP SOPLADO"/>
    <s v="."/>
    <x v="39"/>
    <s v="TOMATODO 350ML-CELESTE"/>
    <n v="258"/>
    <n v="2"/>
    <n v="8"/>
    <s v="NOCTURNO"/>
    <m/>
    <n v="1"/>
    <n v="1150"/>
    <n v="20990"/>
    <s v="CELESTE"/>
    <n v="9.9"/>
    <n v="0"/>
    <n v="0"/>
    <e v="#N/A"/>
    <n v="8"/>
    <e v="#N/A"/>
    <n v="0"/>
    <x v="6"/>
    <x v="0"/>
    <n v="28"/>
    <e v="#N/A"/>
    <e v="#N/A"/>
  </r>
  <r>
    <d v="2025-07-30T14:20:00"/>
    <s v="SOPLADO"/>
    <x v="11"/>
    <x v="146"/>
    <s v="CRISALIDA ZAPATA"/>
    <s v="VIRGEN"/>
    <s v="PP SOPLADO"/>
    <s v="."/>
    <x v="39"/>
    <s v="TOMATODO 350ML-CELESTE"/>
    <n v="732"/>
    <n v="4"/>
    <n v="22.7"/>
    <s v="DIURNO"/>
    <m/>
    <n v="4"/>
    <n v="1150"/>
    <n v="20991"/>
    <s v="CELESTE"/>
    <n v="29.1"/>
    <n v="0"/>
    <n v="0"/>
    <e v="#N/A"/>
    <n v="22.7"/>
    <e v="#N/A"/>
    <n v="0"/>
    <x v="6"/>
    <x v="0"/>
    <n v="28"/>
    <e v="#N/A"/>
    <e v="#N/A"/>
  </r>
  <r>
    <d v="2025-07-30T14:20:00"/>
    <s v="SOPLADO"/>
    <x v="11"/>
    <x v="146"/>
    <s v="CRISALIDA ZAPATA"/>
    <s v="VIRGEN"/>
    <s v="PP SOPLADO"/>
    <s v="."/>
    <x v="39"/>
    <s v="TOMATODO 350ML-TRANSPARENTE"/>
    <n v="1209"/>
    <n v="8"/>
    <n v="37.5"/>
    <s v="DIURNO"/>
    <m/>
    <n v="4"/>
    <n v="1150"/>
    <n v="20991"/>
    <s v="TRANSPARENTE"/>
    <n v="4"/>
    <n v="0"/>
    <n v="0"/>
    <n v="74.957999999999998"/>
    <n v="37.5"/>
    <n v="62"/>
    <n v="604.83870967741939"/>
    <x v="6"/>
    <x v="0"/>
    <n v="28"/>
    <n v="2"/>
    <n v="201.5"/>
  </r>
  <r>
    <d v="2025-07-30T14:20:00"/>
    <s v="SOPLADO"/>
    <x v="11"/>
    <x v="146"/>
    <s v="JUAN MANUEL PEREZ"/>
    <s v="VIRGEN"/>
    <s v="PP SOPLADO"/>
    <s v="."/>
    <x v="39"/>
    <s v="TOMATODO 350ML-TRANSPARENTE"/>
    <n v="2819"/>
    <n v="12"/>
    <n v="87.4"/>
    <s v="NOCTURNO"/>
    <m/>
    <n v="8"/>
    <n v="1150"/>
    <n v="20992"/>
    <s v="TRANSPARENTE"/>
    <n v="31"/>
    <n v="0"/>
    <n v="0"/>
    <n v="174.77799999999999"/>
    <n v="87.4"/>
    <n v="62"/>
    <n v="1409.6774193548388"/>
    <x v="6"/>
    <x v="0"/>
    <n v="28"/>
    <n v="2"/>
    <n v="469.83333333333331"/>
  </r>
  <r>
    <d v="2025-07-31T14:20:00"/>
    <s v="SOPLADO"/>
    <x v="9"/>
    <x v="147"/>
    <s v="LUIS PINEDO"/>
    <s v="VIRGEN"/>
    <s v="PP SOPLADO"/>
    <s v="."/>
    <x v="110"/>
    <s v="SALSERO MULTIUSO 380ML-TRANSPARENTE"/>
    <n v="540"/>
    <n v="5"/>
    <n v="13.5"/>
    <s v="DIURNO"/>
    <m/>
    <n v="2"/>
    <n v="1156"/>
    <n v="21449"/>
    <s v="TRANSPARENTE"/>
    <n v="4.4000000000000004"/>
    <n v="0"/>
    <n v="0"/>
    <n v="12.96"/>
    <n v="13.5"/>
    <n v="24"/>
    <n v="562.5"/>
    <x v="6"/>
    <x v="0"/>
    <n v="28"/>
    <n v="1"/>
    <n v="45"/>
  </r>
  <r>
    <d v="2025-07-31T14:20:00"/>
    <s v="SOPLADO"/>
    <x v="9"/>
    <x v="147"/>
    <s v="YERIKA"/>
    <s v="VIRGEN"/>
    <s v="PP SOPLADO"/>
    <s v="."/>
    <x v="110"/>
    <s v="SALSERO MULTIUSO 380ML-TRANSPARENTE"/>
    <n v="2040"/>
    <n v="12"/>
    <n v="51"/>
    <s v="NOCTURNO"/>
    <m/>
    <n v="8"/>
    <n v="1156"/>
    <n v="21450"/>
    <s v="TRANSPARENTE"/>
    <n v="21.4"/>
    <n v="0"/>
    <n v="0"/>
    <n v="48.96"/>
    <n v="51"/>
    <n v="24"/>
    <n v="2125"/>
    <x v="6"/>
    <x v="0"/>
    <n v="28"/>
    <n v="1"/>
    <n v="170"/>
  </r>
  <r>
    <d v="2025-07-31T14:20:00"/>
    <s v="SOPLADO"/>
    <x v="9"/>
    <x v="148"/>
    <s v="LEIDY"/>
    <s v="VIRGEN"/>
    <s v="PP SOPLADO"/>
    <s v="."/>
    <x v="110"/>
    <s v="SALSERO MULTIUSO 380ML-TRANSPARENTE"/>
    <n v="1524"/>
    <n v="12"/>
    <n v="38.1"/>
    <s v="DIURNO"/>
    <m/>
    <n v="7"/>
    <n v="1156"/>
    <n v="21451"/>
    <s v="TRANSPARENTE"/>
    <n v="0"/>
    <n v="0"/>
    <n v="0"/>
    <n v="36.576000000000001"/>
    <n v="38.1"/>
    <n v="24"/>
    <n v="1587.5"/>
    <x v="6"/>
    <x v="0"/>
    <n v="28"/>
    <n v="1"/>
    <n v="127"/>
  </r>
  <r>
    <d v="2025-07-31T14:20:00"/>
    <s v="SOPLADO"/>
    <x v="9"/>
    <x v="148"/>
    <s v="JOSDER GONZALEZ"/>
    <s v="VIRGEN"/>
    <s v="PP SOPLADO"/>
    <s v="."/>
    <x v="110"/>
    <s v="SALSERO MULTIUSO 380ML-TRANSPARENTE"/>
    <n v="1568"/>
    <n v="12"/>
    <n v="39.200000000000003"/>
    <s v="NOCTURNO"/>
    <m/>
    <n v="8"/>
    <n v="1156"/>
    <n v="21452"/>
    <s v="TRANSPARENTE"/>
    <n v="25"/>
    <n v="0"/>
    <n v="0"/>
    <n v="37.631999999999998"/>
    <n v="39.200000000000003"/>
    <n v="24"/>
    <n v="1633.3333333333333"/>
    <x v="6"/>
    <x v="0"/>
    <n v="28"/>
    <n v="1"/>
    <n v="130.66666666666666"/>
  </r>
  <r>
    <d v="2025-07-31T14:20:00"/>
    <s v="SOPLADO"/>
    <x v="9"/>
    <x v="149"/>
    <s v="LEONOR"/>
    <s v="VIRGEN"/>
    <s v="PP SOPLADO"/>
    <s v="."/>
    <x v="110"/>
    <s v="SALSERO MULTIUSO 380ML-TRANSPARENTE"/>
    <n v="1456"/>
    <n v="9"/>
    <n v="36.4"/>
    <s v="DIURNO"/>
    <m/>
    <n v="6"/>
    <n v="1156"/>
    <n v="21453"/>
    <s v="TRANSPARENTE"/>
    <n v="18.399999999999999"/>
    <n v="0"/>
    <n v="0"/>
    <n v="34.944000000000003"/>
    <n v="36.4"/>
    <n v="24"/>
    <n v="1516.6666666666667"/>
    <x v="6"/>
    <x v="0"/>
    <n v="29"/>
    <n v="1"/>
    <n v="121.33333333333333"/>
  </r>
  <r>
    <d v="2025-07-31T14:20:00"/>
    <s v="SOPLADO"/>
    <x v="9"/>
    <x v="149"/>
    <s v="JOSDER GONZALEZ"/>
    <s v="VIRGEN"/>
    <s v="PP SOPLADO"/>
    <s v="."/>
    <x v="110"/>
    <s v="SALSERO MULTIUSO 380ML-TRANSPARENTE"/>
    <n v="1508"/>
    <n v="12"/>
    <n v="37.700000000000003"/>
    <s v="NOCTURNO"/>
    <m/>
    <n v="6"/>
    <n v="1156"/>
    <n v="21454"/>
    <s v="TRANSPARENTE"/>
    <n v="21.7"/>
    <n v="0"/>
    <n v="0"/>
    <n v="36.192"/>
    <n v="37.700000000000003"/>
    <n v="24"/>
    <n v="1570.8333333333333"/>
    <x v="6"/>
    <x v="0"/>
    <n v="29"/>
    <n v="1"/>
    <n v="125.66666666666667"/>
  </r>
  <r>
    <d v="2025-07-31T14:20:00"/>
    <s v="SOPLADO"/>
    <x v="9"/>
    <x v="150"/>
    <s v="LUIS PINEDO"/>
    <s v="VIRGEN"/>
    <s v="PP SOPLADO"/>
    <s v="."/>
    <x v="110"/>
    <s v="SALSERO MULTIUSO 380ML-TRANSPARENTE"/>
    <n v="942"/>
    <n v="7"/>
    <n v="24.5"/>
    <s v="DIURNO"/>
    <m/>
    <n v="4"/>
    <n v="1156"/>
    <n v="21455"/>
    <s v="TRANSPARENTE"/>
    <n v="14.2"/>
    <n v="0"/>
    <n v="0"/>
    <n v="22.608000000000001"/>
    <n v="24.5"/>
    <n v="24"/>
    <n v="1020.8333333333334"/>
    <x v="6"/>
    <x v="0"/>
    <n v="29"/>
    <n v="1"/>
    <n v="78.5"/>
  </r>
  <r>
    <d v="2025-07-31T15:47:00"/>
    <s v="SOPLADO"/>
    <x v="12"/>
    <x v="151"/>
    <s v="NELSON PINEDO"/>
    <s v="VIRGEN"/>
    <s v="PP SOPLADO"/>
    <s v="."/>
    <x v="111"/>
    <s v="SALSERO MULTIUSO 1200ML-TRANSPARENTE"/>
    <n v="773"/>
    <n v="8"/>
    <n v="50.3"/>
    <s v="DIURNO"/>
    <m/>
    <n v="8"/>
    <n v="1142"/>
    <n v="20198"/>
    <s v="TRANSPARENTE"/>
    <n v="12"/>
    <n v="0"/>
    <n v="0"/>
    <n v="50.244999999999997"/>
    <n v="50.3"/>
    <n v="65"/>
    <n v="773.84615384615381"/>
    <x v="6"/>
    <x v="0"/>
    <n v="27"/>
    <n v="1"/>
    <n v="64.416666666666671"/>
  </r>
  <r>
    <d v="2025-07-31T15:47:00"/>
    <s v="SOPLADO"/>
    <x v="12"/>
    <x v="152"/>
    <s v="LUIS RENGIFO"/>
    <s v="VIRGEN"/>
    <s v="PP SOPLADO"/>
    <s v="."/>
    <x v="111"/>
    <s v="SALSERO MULTIUSO 1200ML-TRANSPARENTE"/>
    <n v="1263"/>
    <n v="9"/>
    <n v="77.099999999999994"/>
    <s v="DIURNO"/>
    <m/>
    <n v="12"/>
    <n v="2242"/>
    <n v="20199"/>
    <s v="TRANSPARENTE"/>
    <n v="20"/>
    <n v="0"/>
    <n v="0"/>
    <n v="82.094999999999999"/>
    <n v="77.099999999999994"/>
    <n v="65"/>
    <n v="1186.1538461538462"/>
    <x v="6"/>
    <x v="0"/>
    <n v="27"/>
    <n v="1"/>
    <n v="105.25"/>
  </r>
  <r>
    <d v="2025-07-31T15:47:00"/>
    <s v="SOPLADO"/>
    <x v="12"/>
    <x v="152"/>
    <s v="GABRIEL REQUENA"/>
    <s v="VIRGEN"/>
    <s v="PP SOPLADO"/>
    <s v="."/>
    <x v="111"/>
    <s v="SALSERO MULTIUSO 1200ML-TRANSPARENTE"/>
    <n v="1348"/>
    <n v="12"/>
    <n v="80.900000000000006"/>
    <s v="NOCTURNO"/>
    <m/>
    <n v="12"/>
    <n v="1142"/>
    <n v="22301"/>
    <s v="TRANSPARENTE"/>
    <n v="41.6"/>
    <n v="0"/>
    <n v="0"/>
    <n v="87.62"/>
    <n v="80.900000000000006"/>
    <n v="65"/>
    <n v="1244.6153846153845"/>
    <x v="6"/>
    <x v="0"/>
    <n v="27"/>
    <n v="1"/>
    <n v="112.33333333333333"/>
  </r>
  <r>
    <d v="2025-07-31T15:47:00"/>
    <s v="SOPLADO"/>
    <x v="12"/>
    <x v="144"/>
    <s v="SAID VILLAMIZAR"/>
    <s v="VIRGEN"/>
    <s v="ALTA SOPLADO"/>
    <s v="."/>
    <x v="112"/>
    <s v="FLORERO AMERICANO-BLANCO"/>
    <n v="587"/>
    <n v="7"/>
    <n v="39.4"/>
    <s v="DIURNO"/>
    <m/>
    <n v="5"/>
    <m/>
    <n v="22302"/>
    <s v="BLANCO"/>
    <n v="0"/>
    <n v="0"/>
    <n v="0"/>
    <n v="43.438000000000002"/>
    <n v="39.4"/>
    <n v="74"/>
    <n v="532.43243243243239"/>
    <x v="6"/>
    <x v="0"/>
    <n v="28"/>
    <n v="1"/>
    <n v="48.916666666666664"/>
  </r>
  <r>
    <d v="2025-07-31T15:47:00"/>
    <s v="SOPLADO"/>
    <x v="12"/>
    <x v="144"/>
    <s v="GABRIEL REQUENA"/>
    <s v="VIRGEN"/>
    <s v="ALTA SOPLADO"/>
    <s v="."/>
    <x v="112"/>
    <s v="FLORERO AMERICANO-BLANCO"/>
    <n v="186"/>
    <n v="3"/>
    <n v="19.7"/>
    <s v="NOCTURNO"/>
    <m/>
    <n v="3"/>
    <m/>
    <n v="22303"/>
    <s v="BLANCO"/>
    <n v="0"/>
    <n v="0"/>
    <n v="0"/>
    <n v="13.763999999999999"/>
    <n v="19.7"/>
    <n v="74"/>
    <n v="266.2162162162162"/>
    <x v="6"/>
    <x v="0"/>
    <n v="28"/>
    <n v="1"/>
    <n v="15.5"/>
  </r>
  <r>
    <d v="2025-07-31T15:47:00"/>
    <s v="SOPLADO"/>
    <x v="12"/>
    <x v="145"/>
    <s v="LUIS PINEDO"/>
    <s v="VIRGEN"/>
    <s v="ALTA SOPLADO"/>
    <s v="."/>
    <x v="112"/>
    <s v="FLORERO AMERICANO-BLANCO"/>
    <n v="1052"/>
    <n v="9"/>
    <n v="76.8"/>
    <s v="DIURNO"/>
    <m/>
    <n v="10"/>
    <m/>
    <n v="22304"/>
    <s v="BLANCO"/>
    <n v="71.2"/>
    <n v="0"/>
    <n v="0"/>
    <n v="77.847999999999999"/>
    <n v="76.8"/>
    <n v="74"/>
    <n v="1037.8378378378379"/>
    <x v="6"/>
    <x v="0"/>
    <n v="28"/>
    <n v="1"/>
    <n v="87.666666666666671"/>
  </r>
  <r>
    <d v="2025-07-31T15:47:00"/>
    <s v="SOPLADO"/>
    <x v="12"/>
    <x v="145"/>
    <s v="GABRIEL REQUENA"/>
    <s v="VIRGEN"/>
    <s v="ALTA SOPLADO"/>
    <s v="."/>
    <x v="112"/>
    <s v="FLORERO AMERICANO-BLANCO"/>
    <n v="675"/>
    <n v="9"/>
    <n v="50"/>
    <s v="NOCTURNO"/>
    <m/>
    <n v="8"/>
    <m/>
    <n v="22305"/>
    <s v="BLANCO"/>
    <n v="64"/>
    <n v="0"/>
    <n v="0"/>
    <n v="49.95"/>
    <n v="50"/>
    <n v="74"/>
    <n v="675.67567567567562"/>
    <x v="6"/>
    <x v="0"/>
    <n v="28"/>
    <n v="1"/>
    <n v="56.25"/>
  </r>
  <r>
    <d v="2025-07-31T15:47:00"/>
    <s v="SOPLADO"/>
    <x v="12"/>
    <x v="146"/>
    <s v="GABRIEL REQUENA"/>
    <s v="VIRGEN"/>
    <s v="ALTA SOPLADO"/>
    <s v="."/>
    <x v="112"/>
    <s v="FLORERO AMERICANO-BLANCO"/>
    <n v="1037"/>
    <n v="10"/>
    <n v="76.8"/>
    <s v="DIURNO"/>
    <m/>
    <n v="12"/>
    <m/>
    <n v="21948"/>
    <s v="BLANCO"/>
    <n v="88.1"/>
    <n v="0"/>
    <n v="0"/>
    <n v="76.738"/>
    <n v="76.8"/>
    <n v="74"/>
    <n v="1037.8378378378379"/>
    <x v="6"/>
    <x v="0"/>
    <n v="28"/>
    <n v="1"/>
    <n v="86.416666666666671"/>
  </r>
  <r>
    <d v="2025-07-31T15:47:00"/>
    <s v="SOPLADO"/>
    <x v="12"/>
    <x v="146"/>
    <s v="GABRIEL REQUENA"/>
    <s v="VIRGEN"/>
    <s v="ALTA SOPLADO"/>
    <s v="."/>
    <x v="112"/>
    <s v="FLORERO AMERICANO-BLANCO"/>
    <n v="632"/>
    <n v="12"/>
    <n v="46.8"/>
    <s v="NOCTURNO"/>
    <m/>
    <n v="7"/>
    <m/>
    <n v="22306"/>
    <s v="BLANCO"/>
    <n v="167.2"/>
    <n v="0"/>
    <n v="0"/>
    <n v="46.768000000000001"/>
    <n v="46.8"/>
    <n v="74"/>
    <n v="632.43243243243239"/>
    <x v="6"/>
    <x v="0"/>
    <n v="28"/>
    <n v="1"/>
    <n v="52.666666666666664"/>
  </r>
  <r>
    <d v="2025-07-31T15:47:00"/>
    <s v="SOPLADO"/>
    <x v="12"/>
    <x v="147"/>
    <s v="GABRIEL REQUENA"/>
    <s v="VIRGEN"/>
    <s v="ALTA SOPLADO"/>
    <s v="."/>
    <x v="113"/>
    <s v="FLORERO CISNE-BLANCO"/>
    <n v="1100"/>
    <n v="12"/>
    <n v="64.900000000000006"/>
    <s v="NOCTURNO"/>
    <m/>
    <n v="8"/>
    <n v="1153"/>
    <n v="22307"/>
    <s v="BLANCO"/>
    <n v="105.80000000000001"/>
    <n v="0"/>
    <n v="0"/>
    <n v="66"/>
    <n v="64.900000000000006"/>
    <n v="60"/>
    <n v="1081.6666666666667"/>
    <x v="6"/>
    <x v="0"/>
    <n v="28"/>
    <n v="1"/>
    <n v="91.666666666666671"/>
  </r>
  <r>
    <d v="2025-07-31T15:47:00"/>
    <s v="SOPLADO"/>
    <x v="12"/>
    <x v="148"/>
    <s v="GABRIEL REQUENA"/>
    <s v="VIRGEN"/>
    <s v="ALTA SOPLADO"/>
    <s v="."/>
    <x v="113"/>
    <s v="FLORERO CISNE-BLANCO"/>
    <n v="960"/>
    <n v="9"/>
    <n v="53.8"/>
    <s v="DIURNO"/>
    <m/>
    <n v="10"/>
    <n v="1153"/>
    <n v="22308"/>
    <s v="BLANCO"/>
    <n v="49"/>
    <n v="0"/>
    <n v="0"/>
    <n v="57.6"/>
    <n v="53.8"/>
    <n v="60"/>
    <n v="896.66666666666663"/>
    <x v="6"/>
    <x v="0"/>
    <n v="28"/>
    <n v="1"/>
    <n v="80"/>
  </r>
  <r>
    <d v="2025-07-31T15:47:00"/>
    <s v="SOPLADO"/>
    <x v="12"/>
    <x v="148"/>
    <s v="GABRIEL REQUENA"/>
    <s v="VIRGEN"/>
    <s v="ALTA SOPLADO"/>
    <s v="."/>
    <x v="113"/>
    <s v="FLORERO CISNE-BLANCO"/>
    <n v="974"/>
    <n v="12"/>
    <n v="57.2"/>
    <s v="NOCTURNO"/>
    <m/>
    <n v="9"/>
    <n v="1153"/>
    <n v="22309"/>
    <s v="BLANCO"/>
    <n v="114.00000000000001"/>
    <n v="0"/>
    <n v="0"/>
    <n v="58.44"/>
    <n v="57.2"/>
    <n v="60"/>
    <n v="953.33333333333337"/>
    <x v="6"/>
    <x v="0"/>
    <n v="28"/>
    <n v="1"/>
    <n v="81.166666666666671"/>
  </r>
  <r>
    <d v="2025-07-31T07:20:00"/>
    <s v="INYECTADO"/>
    <x v="4"/>
    <x v="143"/>
    <s v="JUAN MANUEL PEREZ"/>
    <m/>
    <m/>
    <m/>
    <x v="41"/>
    <s v="ASAS PRESION ORG 5,10,15 -PLOMO"/>
    <n v="1407"/>
    <n v="12"/>
    <n v="54.9"/>
    <s v="NOCTURNO"/>
    <m/>
    <n v="5"/>
    <n v="1141"/>
    <n v="20462"/>
    <s v="PLOMO"/>
    <n v="4.9000000000000004"/>
    <n v="0"/>
    <n v="0"/>
    <n v="14.07"/>
    <n v="54.9"/>
    <n v="10"/>
    <n v="5490"/>
    <x v="6"/>
    <x v="0"/>
    <n v="28"/>
    <n v="4"/>
    <n v="469"/>
  </r>
  <r>
    <d v="2025-07-31T07:20:00"/>
    <s v="INYECTADO"/>
    <x v="4"/>
    <x v="144"/>
    <s v="JUAN MANUEL PEREZ"/>
    <m/>
    <m/>
    <m/>
    <x v="41"/>
    <s v="ASAS PRESION ORG 5,10,15 -TURQUESA"/>
    <n v="660"/>
    <n v="6"/>
    <n v="17"/>
    <s v="NOCTURNO"/>
    <m/>
    <n v="2"/>
    <m/>
    <n v="20463"/>
    <s v="TURQUESA"/>
    <n v="8.8000000000000007"/>
    <n v="0"/>
    <n v="0"/>
    <n v="6.6"/>
    <n v="17"/>
    <n v="10"/>
    <n v="1700"/>
    <x v="6"/>
    <x v="0"/>
    <n v="28"/>
    <n v="4"/>
    <n v="220"/>
  </r>
  <r>
    <d v="2025-07-31T07:20:00"/>
    <s v="INYECTADO"/>
    <x v="4"/>
    <x v="144"/>
    <s v="JUAN MANUEL PEREZ"/>
    <m/>
    <m/>
    <m/>
    <x v="41"/>
    <s v="ASAS PRESION ORG 5,10,15 -ROSADO"/>
    <n v="470"/>
    <n v="5"/>
    <n v="17"/>
    <s v="NOCTURNO"/>
    <m/>
    <n v="1"/>
    <m/>
    <n v="20463"/>
    <s v="ROSADO"/>
    <n v="0"/>
    <n v="0"/>
    <n v="0"/>
    <n v="4.7"/>
    <n v="17"/>
    <n v="10"/>
    <n v="1700"/>
    <x v="6"/>
    <x v="0"/>
    <n v="28"/>
    <n v="4"/>
    <n v="156.66666666666666"/>
  </r>
  <r>
    <d v="2025-07-31T07:20:00"/>
    <s v="INYECTADO"/>
    <x v="4"/>
    <x v="145"/>
    <s v="JUANA CRUCES"/>
    <m/>
    <m/>
    <m/>
    <x v="41"/>
    <s v="ASAS PRESION ORG 5,10,15 -ROSADO"/>
    <n v="51"/>
    <n v="1"/>
    <n v="2"/>
    <s v="DIURNO"/>
    <m/>
    <n v="1"/>
    <m/>
    <n v="20464"/>
    <s v="ROSADO"/>
    <n v="5.2"/>
    <n v="0"/>
    <n v="0"/>
    <n v="0.51"/>
    <n v="2"/>
    <n v="10"/>
    <n v="200"/>
    <x v="6"/>
    <x v="0"/>
    <n v="28"/>
    <n v="4"/>
    <n v="17"/>
  </r>
  <r>
    <d v="2025-07-31T07:20:00"/>
    <s v="INYECTADO"/>
    <x v="4"/>
    <x v="145"/>
    <s v="JUANA CRUCES"/>
    <m/>
    <m/>
    <m/>
    <x v="41"/>
    <s v="ASAS PRESION ORG 5,10,15 -SANDIA"/>
    <n v="533"/>
    <n v="5"/>
    <n v="20.8"/>
    <s v="DIURNO"/>
    <m/>
    <n v="2"/>
    <m/>
    <n v="20464"/>
    <s v="SANDIA"/>
    <n v="6.5"/>
    <n v="0"/>
    <n v="0"/>
    <n v="5.33"/>
    <n v="20.8"/>
    <n v="10"/>
    <n v="2080"/>
    <x v="6"/>
    <x v="0"/>
    <n v="28"/>
    <n v="4"/>
    <n v="177.66666666666666"/>
  </r>
  <r>
    <d v="2025-07-31T07:20:00"/>
    <s v="INYECTADO"/>
    <x v="4"/>
    <x v="145"/>
    <s v="JUANA CRUCES"/>
    <m/>
    <m/>
    <m/>
    <x v="41"/>
    <s v="ASAS PRESION ORG 5,10,15 -AZURE"/>
    <n v="479"/>
    <n v="4"/>
    <n v="18.7"/>
    <s v="DIURNO"/>
    <m/>
    <n v="2"/>
    <m/>
    <n v="20464"/>
    <s v="AZURE"/>
    <n v="3.6"/>
    <n v="0"/>
    <n v="0"/>
    <n v="4.79"/>
    <n v="18.7"/>
    <n v="10"/>
    <n v="1870"/>
    <x v="6"/>
    <x v="0"/>
    <n v="28"/>
    <n v="4"/>
    <n v="159.66666666666666"/>
  </r>
  <r>
    <d v="2025-07-31T07:20:00"/>
    <s v="INYECTADO"/>
    <x v="4"/>
    <x v="145"/>
    <s v="JUANA CRUCES"/>
    <m/>
    <m/>
    <m/>
    <x v="41"/>
    <s v="ASAS PRESION ORG 5,10,15 -CELESTE"/>
    <n v="64"/>
    <n v="1"/>
    <n v="2.5"/>
    <s v="DIURNO"/>
    <m/>
    <n v="1"/>
    <m/>
    <n v="20464"/>
    <s v="CELESTE"/>
    <n v="0"/>
    <n v="0"/>
    <n v="0"/>
    <n v="0.64"/>
    <n v="2.5"/>
    <n v="10"/>
    <n v="250"/>
    <x v="6"/>
    <x v="0"/>
    <n v="28"/>
    <n v="4"/>
    <n v="21.333333333333332"/>
  </r>
  <r>
    <d v="2025-07-31T07:20:00"/>
    <s v="INYECTADO"/>
    <x v="4"/>
    <x v="145"/>
    <s v="JOSDER GONZALEZ"/>
    <m/>
    <m/>
    <m/>
    <x v="41"/>
    <s v="ASAS PRESION ORG 5,10,15 -CELESTE"/>
    <n v="679"/>
    <n v="3"/>
    <n v="26.3"/>
    <s v="NOCTURNO"/>
    <m/>
    <n v="4"/>
    <m/>
    <n v="20465"/>
    <s v="CELESTE"/>
    <n v="2.2999999999999998"/>
    <n v="0"/>
    <n v="0"/>
    <n v="6.79"/>
    <n v="26.3"/>
    <n v="10"/>
    <n v="2630"/>
    <x v="6"/>
    <x v="0"/>
    <n v="28"/>
    <n v="4"/>
    <n v="226.33333333333334"/>
  </r>
  <r>
    <d v="2025-07-31T07:20:00"/>
    <s v="INYECTADO"/>
    <x v="4"/>
    <x v="145"/>
    <s v="JOSDER GONZALEZ"/>
    <m/>
    <m/>
    <m/>
    <x v="41"/>
    <s v="ASAS PRESION ORG 5,10,15 -LILA"/>
    <n v="628"/>
    <n v="5"/>
    <n v="24.5"/>
    <s v="NOCTURNO"/>
    <m/>
    <n v="3"/>
    <m/>
    <n v="20465"/>
    <s v="LILA"/>
    <n v="3.8"/>
    <n v="0"/>
    <n v="0"/>
    <n v="6.28"/>
    <n v="24.5"/>
    <n v="10"/>
    <n v="2450"/>
    <x v="6"/>
    <x v="0"/>
    <n v="28"/>
    <n v="4"/>
    <n v="209.33333333333334"/>
  </r>
  <r>
    <d v="2025-07-31T07:20:00"/>
    <s v="INYECTADO"/>
    <x v="4"/>
    <x v="145"/>
    <s v="JOSDER GONZALEZ"/>
    <m/>
    <m/>
    <m/>
    <x v="41"/>
    <s v="ASAS PRESION ORG 5,10,15 -PLOMO"/>
    <n v="512"/>
    <n v="4"/>
    <n v="20"/>
    <s v="NOCTURNO"/>
    <m/>
    <n v="1"/>
    <m/>
    <n v="20465"/>
    <s v="PLOMO"/>
    <n v="2"/>
    <n v="0"/>
    <n v="0"/>
    <n v="5.12"/>
    <n v="20"/>
    <n v="10"/>
    <n v="2000"/>
    <x v="6"/>
    <x v="0"/>
    <n v="28"/>
    <n v="4"/>
    <n v="170.66666666666666"/>
  </r>
  <r>
    <d v="2025-07-31T07:20:00"/>
    <s v="INYECTADO"/>
    <x v="4"/>
    <x v="146"/>
    <s v="JUANA CRUCES"/>
    <m/>
    <m/>
    <m/>
    <x v="41"/>
    <s v="ASAS PRESION ORG 5,10,15 -PLOMO"/>
    <n v="165"/>
    <n v="2"/>
    <n v="6.3"/>
    <s v="DIURNO"/>
    <m/>
    <n v="1"/>
    <m/>
    <n v="20466"/>
    <s v="PLOMO"/>
    <n v="1.4"/>
    <n v="0"/>
    <n v="0"/>
    <n v="1.65"/>
    <n v="6.3"/>
    <n v="10"/>
    <n v="630"/>
    <x v="6"/>
    <x v="0"/>
    <n v="28"/>
    <n v="4"/>
    <n v="55"/>
  </r>
  <r>
    <d v="2025-07-31T07:20:00"/>
    <s v="INYECTADO"/>
    <x v="4"/>
    <x v="146"/>
    <s v="JUANA CRUCES"/>
    <s v="VIRGEN"/>
    <s v="PP CLARIFICADO"/>
    <s v="."/>
    <x v="4"/>
    <s v="PUNTA DOBLE CLICK-AZURE"/>
    <n v="392"/>
    <n v="4"/>
    <n v="14.9"/>
    <s v="DIURNO"/>
    <m/>
    <n v="1"/>
    <n v="1152"/>
    <n v="20466"/>
    <s v="AZURE"/>
    <n v="5.7"/>
    <n v="0"/>
    <n v="0"/>
    <e v="#N/A"/>
    <n v="14.9"/>
    <e v="#N/A"/>
    <n v="0"/>
    <x v="6"/>
    <x v="0"/>
    <n v="28"/>
    <e v="#N/A"/>
    <e v="#N/A"/>
  </r>
  <r>
    <d v="2025-07-31T07:20:00"/>
    <s v="INYECTADO"/>
    <x v="4"/>
    <x v="147"/>
    <s v="DAIRET"/>
    <s v="VIRGEN"/>
    <s v="PP CLARIFICADO"/>
    <s v="."/>
    <x v="4"/>
    <s v="PUNTA DOBLE CLICK-AZURE"/>
    <n v="87"/>
    <n v="1"/>
    <n v="3.5"/>
    <s v="DIURNO"/>
    <m/>
    <n v="1"/>
    <n v="1152"/>
    <n v="20467"/>
    <s v="AZURE"/>
    <n v="0"/>
    <n v="0"/>
    <n v="0"/>
    <e v="#N/A"/>
    <n v="3.5"/>
    <e v="#N/A"/>
    <n v="0"/>
    <x v="6"/>
    <x v="0"/>
    <n v="28"/>
    <e v="#N/A"/>
    <e v="#N/A"/>
  </r>
  <r>
    <d v="2025-07-31T07:20:00"/>
    <s v="INYECTADO"/>
    <x v="4"/>
    <x v="147"/>
    <s v="DAIRET"/>
    <s v="VIRGEN"/>
    <s v="PP CLARIFICADO"/>
    <s v="."/>
    <x v="4"/>
    <s v="PUNTA DOBLE CLICK-CELESTE"/>
    <n v="535"/>
    <n v="3"/>
    <n v="21.4"/>
    <s v="DIURNO"/>
    <m/>
    <n v="3"/>
    <n v="1152"/>
    <n v="20467"/>
    <s v="CELESTE"/>
    <n v="10"/>
    <n v="0"/>
    <n v="0"/>
    <n v="1.8725000000000001"/>
    <n v="21.4"/>
    <n v="3.5"/>
    <n v="6114.2857142857147"/>
    <x v="6"/>
    <x v="0"/>
    <n v="28"/>
    <n v="12"/>
    <n v="535"/>
  </r>
  <r>
    <d v="2025-07-31T07:20:00"/>
    <s v="INYECTADO"/>
    <x v="4"/>
    <x v="147"/>
    <s v="CRISALIDA ZAPATA"/>
    <s v="VIRGEN"/>
    <s v="PP CLARIFICADO"/>
    <s v="."/>
    <x v="4"/>
    <s v="PUNTA DOBLE CLICK-LILA"/>
    <n v="462"/>
    <n v="2"/>
    <n v="18.5"/>
    <s v="DIURNO"/>
    <m/>
    <n v="2"/>
    <n v="1152"/>
    <n v="20467"/>
    <s v="LILA"/>
    <n v="8.3000000000000007"/>
    <n v="0"/>
    <n v="0"/>
    <n v="1.617"/>
    <n v="18.5"/>
    <n v="3.5"/>
    <n v="5285.7142857142853"/>
    <x v="6"/>
    <x v="0"/>
    <n v="28"/>
    <n v="12"/>
    <n v="462"/>
  </r>
  <r>
    <d v="2025-07-31T07:20:00"/>
    <s v="INYECTADO"/>
    <x v="4"/>
    <x v="147"/>
    <s v="CRISALIDA ZAPATA"/>
    <s v="VIRGEN"/>
    <s v="PP CLARIFICADO"/>
    <s v="."/>
    <x v="4"/>
    <s v="PUNTA DOBLE CLICK-SANDIA"/>
    <n v="932"/>
    <n v="5"/>
    <n v="37.299999999999997"/>
    <s v="DIURNO"/>
    <m/>
    <n v="3"/>
    <n v="1152"/>
    <n v="20467"/>
    <s v="SANDIA"/>
    <n v="17.600000000000001"/>
    <n v="0"/>
    <n v="0"/>
    <e v="#N/A"/>
    <n v="37.299999999999997"/>
    <e v="#N/A"/>
    <n v="0"/>
    <x v="6"/>
    <x v="0"/>
    <n v="28"/>
    <e v="#N/A"/>
    <e v="#N/A"/>
  </r>
  <r>
    <d v="2025-07-31T07:20:00"/>
    <s v="INYECTADO"/>
    <x v="4"/>
    <x v="148"/>
    <s v="CRISALIDA ZAPATA"/>
    <s v="VIRGEN"/>
    <s v="PP CLARIFICADO"/>
    <s v="."/>
    <x v="4"/>
    <s v="PUNTA DOBLE CLICK-CELESTE"/>
    <n v="836"/>
    <n v="5"/>
    <n v="34.299999999999997"/>
    <s v="DIURNO"/>
    <m/>
    <n v="2"/>
    <n v="1152"/>
    <n v="20468"/>
    <s v="CELESTE"/>
    <n v="18.399999999999999"/>
    <n v="0"/>
    <n v="0"/>
    <n v="2.9260000000000002"/>
    <n v="34.299999999999997"/>
    <n v="3.5"/>
    <n v="9800"/>
    <x v="6"/>
    <x v="0"/>
    <n v="28"/>
    <n v="12"/>
    <n v="836"/>
  </r>
  <r>
    <d v="2025-07-31T07:20:00"/>
    <s v="INYECTADO"/>
    <x v="4"/>
    <x v="148"/>
    <s v="CRISALIDA ZAPATA"/>
    <s v="VIRGEN"/>
    <s v="PP CLARIFICADO"/>
    <s v="."/>
    <x v="4"/>
    <s v="PUNTA DOBLE CLICK-TURQUESA"/>
    <n v="785"/>
    <n v="5"/>
    <n v="32.200000000000003"/>
    <s v="DIURNO"/>
    <m/>
    <n v="2"/>
    <n v="1152"/>
    <n v="20468"/>
    <s v="TURQUESA"/>
    <n v="16"/>
    <n v="0"/>
    <n v="0"/>
    <e v="#N/A"/>
    <n v="32.200000000000003"/>
    <e v="#N/A"/>
    <n v="0"/>
    <x v="6"/>
    <x v="0"/>
    <n v="28"/>
    <e v="#N/A"/>
    <e v="#N/A"/>
  </r>
  <r>
    <d v="2025-07-31T07:20:00"/>
    <s v="INYECTADO"/>
    <x v="4"/>
    <x v="148"/>
    <s v="CRISALIDA ZAPATA"/>
    <s v="VIRGEN"/>
    <s v="PP CLARIFICADO"/>
    <s v="."/>
    <x v="4"/>
    <s v="PUNTA DOBLE CLICK-FUCSIA"/>
    <n v="234"/>
    <n v="1"/>
    <n v="9.6"/>
    <s v="DIURNO"/>
    <m/>
    <n v="1"/>
    <n v="1152"/>
    <n v="20468"/>
    <s v="FUCSIA"/>
    <n v="3.8"/>
    <n v="0"/>
    <n v="0"/>
    <n v="0.81899999999999995"/>
    <n v="9.6"/>
    <n v="3.5"/>
    <n v="2742.8571428571427"/>
    <x v="6"/>
    <x v="0"/>
    <n v="28"/>
    <n v="12"/>
    <n v="234"/>
  </r>
  <r>
    <d v="2025-07-31T07:20:00"/>
    <s v="INYECTADO"/>
    <x v="4"/>
    <x v="148"/>
    <s v="JUAN MANUEL PEREZ"/>
    <s v="VIRGEN"/>
    <s v="PP CLARIFICADO"/>
    <s v="."/>
    <x v="4"/>
    <s v="PUNTA DOBLE CLICK-ROSADO"/>
    <n v="580"/>
    <n v="5"/>
    <n v="23.8"/>
    <s v="NOCTURNO"/>
    <m/>
    <n v="2"/>
    <n v="1152"/>
    <n v="20469"/>
    <s v="ROSADO"/>
    <n v="5.2"/>
    <n v="0"/>
    <n v="0"/>
    <e v="#N/A"/>
    <n v="23.8"/>
    <e v="#N/A"/>
    <n v="0"/>
    <x v="6"/>
    <x v="0"/>
    <n v="28"/>
    <e v="#N/A"/>
    <e v="#N/A"/>
  </r>
  <r>
    <d v="2025-07-31T07:20:00"/>
    <s v="INYECTADO"/>
    <x v="4"/>
    <x v="153"/>
    <s v="CRISALIDA ZAPATA"/>
    <s v="VIRGEN"/>
    <s v="PP CLARIFICADO"/>
    <s v="."/>
    <x v="4"/>
    <s v="PUNTA DOBLE CLICK-ROSADO"/>
    <n v="417"/>
    <n v="3"/>
    <n v="16.7"/>
    <s v="DIURNO"/>
    <m/>
    <n v="2"/>
    <n v="1152"/>
    <n v="20470"/>
    <s v="ROSADO"/>
    <n v="7.5"/>
    <n v="0"/>
    <n v="0"/>
    <e v="#N/A"/>
    <n v="16.7"/>
    <e v="#N/A"/>
    <n v="0"/>
    <x v="6"/>
    <x v="0"/>
    <n v="30"/>
    <e v="#N/A"/>
    <e v="#N/A"/>
  </r>
  <r>
    <d v="2025-07-31T07:20:00"/>
    <s v="INYECTADO"/>
    <x v="4"/>
    <x v="153"/>
    <s v="CRISALIDA ZAPATA"/>
    <s v="VIRGEN"/>
    <s v="PP CLARIFICADO"/>
    <s v="."/>
    <x v="4"/>
    <s v="PUNTA DOBLE CLICK-AZURE"/>
    <n v="932"/>
    <n v="5"/>
    <n v="37.299999999999997"/>
    <s v="DIURNO"/>
    <m/>
    <n v="3"/>
    <n v="1152"/>
    <n v="20470"/>
    <s v="AZURE"/>
    <n v="17.2"/>
    <n v="0"/>
    <n v="0"/>
    <e v="#N/A"/>
    <n v="37.299999999999997"/>
    <e v="#N/A"/>
    <n v="0"/>
    <x v="6"/>
    <x v="0"/>
    <n v="30"/>
    <e v="#N/A"/>
    <e v="#N/A"/>
  </r>
  <r>
    <d v="2025-07-31T07:20:00"/>
    <s v="INYECTADO"/>
    <x v="4"/>
    <x v="153"/>
    <s v="CRISALIDA ZAPATA"/>
    <s v="VIRGEN"/>
    <s v="PP CLARIFICADO"/>
    <s v="."/>
    <x v="4"/>
    <s v="PUNTA DOBLE CLICK-FUCSIA"/>
    <n v="358"/>
    <n v="2"/>
    <n v="14"/>
    <s v="DIURNO"/>
    <m/>
    <n v="1"/>
    <n v="1152"/>
    <n v="20470"/>
    <s v="FUCSIA"/>
    <n v="0"/>
    <n v="0"/>
    <n v="0"/>
    <n v="1.2529999999999999"/>
    <n v="14"/>
    <n v="3.5"/>
    <n v="4000"/>
    <x v="6"/>
    <x v="0"/>
    <n v="30"/>
    <n v="12"/>
    <n v="358"/>
  </r>
  <r>
    <d v="2025-07-31T07:20:00"/>
    <s v="INYECTADO"/>
    <x v="4"/>
    <x v="153"/>
    <s v="JUAN MANUEL PEREZ"/>
    <s v="VIRGEN"/>
    <s v="PP CLARIFICADO"/>
    <s v="."/>
    <x v="4"/>
    <s v="PUNTA DOBLE CLICK-FUCSIA"/>
    <n v="590"/>
    <n v="3"/>
    <n v="23.6"/>
    <s v="NOCTURNO"/>
    <m/>
    <n v="2"/>
    <n v="1152"/>
    <n v="20471"/>
    <s v="FUCSIA"/>
    <n v="15.2"/>
    <n v="0"/>
    <n v="0"/>
    <n v="2.0649999999999999"/>
    <n v="23.6"/>
    <n v="3.5"/>
    <n v="6742.8571428571431"/>
    <x v="6"/>
    <x v="0"/>
    <n v="30"/>
    <n v="12"/>
    <n v="590"/>
  </r>
  <r>
    <d v="2025-07-31T07:20:00"/>
    <s v="INYECTADO"/>
    <x v="4"/>
    <x v="153"/>
    <s v="JUAN MANUEL PEREZ"/>
    <s v="VIRGEN"/>
    <s v="PP CLARIFICADO"/>
    <s v="."/>
    <x v="4"/>
    <s v="PUNTA DOBLE CLICK-NARANJA"/>
    <n v="937"/>
    <n v="5"/>
    <n v="37.5"/>
    <s v="NOCTURNO"/>
    <m/>
    <n v="3"/>
    <n v="1152"/>
    <n v="20471"/>
    <s v="NARANJA"/>
    <n v="12.3"/>
    <n v="0"/>
    <n v="0"/>
    <e v="#N/A"/>
    <n v="37.5"/>
    <e v="#N/A"/>
    <n v="0"/>
    <x v="6"/>
    <x v="0"/>
    <n v="30"/>
    <e v="#N/A"/>
    <e v="#N/A"/>
  </r>
  <r>
    <d v="2025-07-31T07:20:00"/>
    <s v="INYECTADO"/>
    <x v="4"/>
    <x v="154"/>
    <s v="CRISALIDA ZAPATA"/>
    <s v="VIRGEN"/>
    <s v="PP CLARIFICADO"/>
    <s v="."/>
    <x v="4"/>
    <s v="PUNTA DOBLE CLICK-VERDE"/>
    <n v="927"/>
    <n v="5"/>
    <n v="37.1"/>
    <s v="DIURNO"/>
    <m/>
    <n v="3"/>
    <n v="1152"/>
    <n v="20472"/>
    <s v="VERDE"/>
    <n v="19.5"/>
    <n v="0"/>
    <n v="0"/>
    <n v="3.2444999999999999"/>
    <n v="37.1"/>
    <n v="3.5"/>
    <n v="10600"/>
    <x v="6"/>
    <x v="0"/>
    <n v="30"/>
    <n v="12"/>
    <n v="927"/>
  </r>
  <r>
    <d v="2025-07-31T07:20:00"/>
    <s v="INYECTADO"/>
    <x v="4"/>
    <x v="154"/>
    <s v="CRISALIDA ZAPATA"/>
    <s v="VIRGEN"/>
    <s v="PP CLARIFICADO"/>
    <s v="."/>
    <x v="4"/>
    <s v="PUNTA DOBLE CLICK-LILA"/>
    <n v="241"/>
    <n v="2"/>
    <n v="9.9"/>
    <s v="DIURNO"/>
    <m/>
    <n v="1"/>
    <n v="1152"/>
    <n v="20472"/>
    <s v="LILA"/>
    <n v="4.5999999999999996"/>
    <n v="0"/>
    <n v="0"/>
    <n v="0.84350000000000003"/>
    <n v="9.9"/>
    <n v="3.5"/>
    <n v="2828.5714285714284"/>
    <x v="6"/>
    <x v="0"/>
    <n v="30"/>
    <n v="12"/>
    <n v="241"/>
  </r>
  <r>
    <d v="2025-07-31T07:20:00"/>
    <s v="INYECTADO"/>
    <x v="4"/>
    <x v="155"/>
    <s v="JUAN MANUEL PEREZ"/>
    <s v="VIRGEN"/>
    <s v="PP CLARIFICADO"/>
    <s v="."/>
    <x v="4"/>
    <s v="PUNTA DOBLE CLICK-LILA"/>
    <n v="102"/>
    <n v="1"/>
    <n v="4.2"/>
    <s v="NOCTURNO"/>
    <m/>
    <n v="1"/>
    <n v="1152"/>
    <n v="20473"/>
    <s v="LILA"/>
    <n v="0"/>
    <n v="0"/>
    <n v="0"/>
    <n v="0.35699999999999998"/>
    <n v="4.2"/>
    <n v="3.5"/>
    <n v="1200"/>
    <x v="6"/>
    <x v="0"/>
    <n v="30"/>
    <n v="12"/>
    <n v="102"/>
  </r>
  <r>
    <d v="2025-07-31T07:20:00"/>
    <s v="INYECTADO"/>
    <x v="4"/>
    <x v="156"/>
    <s v="CRISALIDA ZAPATA"/>
    <s v="VIRGEN"/>
    <s v="PP CLARIFICADO"/>
    <s v="."/>
    <x v="4"/>
    <s v="PUNTA DOBLE CLICK-LILA"/>
    <n v="109"/>
    <n v="1"/>
    <n v="4.5"/>
    <s v="DIURNO"/>
    <m/>
    <n v="1"/>
    <n v="1152"/>
    <n v="20474"/>
    <s v="LILA"/>
    <n v="6.4"/>
    <n v="0"/>
    <n v="0"/>
    <n v="0.38150000000000001"/>
    <n v="4.5"/>
    <n v="3.5"/>
    <n v="1285.7142857142858"/>
    <x v="6"/>
    <x v="0"/>
    <n v="30"/>
    <n v="12"/>
    <n v="109"/>
  </r>
  <r>
    <d v="2025-07-31T07:20:00"/>
    <s v="INYECTADO"/>
    <x v="5"/>
    <x v="143"/>
    <s v="ALEJANDRO"/>
    <m/>
    <m/>
    <m/>
    <x v="66"/>
    <s v="ASAS DE ORGANIZADOR 2 Y 3-CELESTE"/>
    <n v="675"/>
    <n v="5"/>
    <n v="21.6"/>
    <s v="DIURNO"/>
    <m/>
    <n v="3"/>
    <n v="1138"/>
    <n v="20397"/>
    <s v="CELESTE"/>
    <n v="12.4"/>
    <n v="0"/>
    <n v="0"/>
    <e v="#N/A"/>
    <n v="21.6"/>
    <e v="#N/A"/>
    <n v="0"/>
    <x v="6"/>
    <x v="0"/>
    <n v="28"/>
    <e v="#N/A"/>
    <e v="#N/A"/>
  </r>
  <r>
    <d v="2025-07-31T07:20:00"/>
    <s v="INYECTADO"/>
    <x v="5"/>
    <x v="143"/>
    <s v="JUAN MANUEL PEREZ"/>
    <m/>
    <m/>
    <m/>
    <x v="66"/>
    <s v="ASAS DE ORGANIZADOR 2 Y 3-CELESTE"/>
    <n v="856"/>
    <n v="5"/>
    <n v="27.4"/>
    <s v="NOCTURNO"/>
    <m/>
    <n v="4"/>
    <n v="1138"/>
    <n v="20398"/>
    <s v="CELESTE"/>
    <n v="5.8"/>
    <n v="0"/>
    <n v="0"/>
    <e v="#N/A"/>
    <n v="27.4"/>
    <e v="#N/A"/>
    <n v="0"/>
    <x v="6"/>
    <x v="0"/>
    <n v="28"/>
    <e v="#N/A"/>
    <e v="#N/A"/>
  </r>
  <r>
    <d v="2025-07-31T07:20:00"/>
    <s v="INYECTADO"/>
    <x v="5"/>
    <x v="143"/>
    <s v="JUAN MANUEL PEREZ"/>
    <m/>
    <m/>
    <m/>
    <x v="66"/>
    <s v="ASAS DE ORGANIZADOR 2 Y 3-AMARILLO"/>
    <n v="900"/>
    <n v="6"/>
    <n v="28.8"/>
    <s v="NOCTURNO"/>
    <m/>
    <n v="3"/>
    <n v="1138"/>
    <n v="20398"/>
    <s v="AMARILLO"/>
    <n v="10"/>
    <n v="0"/>
    <n v="0"/>
    <n v="9.9"/>
    <n v="28.8"/>
    <n v="11"/>
    <n v="2618.181818181818"/>
    <x v="6"/>
    <x v="0"/>
    <n v="28"/>
    <n v="3"/>
    <n v="225"/>
  </r>
  <r>
    <d v="2025-07-31T07:20:00"/>
    <s v="INYECTADO"/>
    <x v="5"/>
    <x v="144"/>
    <s v="JUANA CRUCES"/>
    <m/>
    <m/>
    <m/>
    <x v="66"/>
    <s v="ASAS DE ORGANIZADOR 2 Y 3-AMARILLO"/>
    <n v="90"/>
    <n v="1"/>
    <n v="2.9"/>
    <s v="DIURNO"/>
    <m/>
    <n v="2"/>
    <n v="1138"/>
    <n v="20399"/>
    <s v="AMARILLO"/>
    <n v="7.2"/>
    <n v="0"/>
    <n v="0"/>
    <n v="0.99"/>
    <n v="2.9"/>
    <n v="11"/>
    <n v="263.63636363636363"/>
    <x v="6"/>
    <x v="0"/>
    <n v="28"/>
    <n v="3"/>
    <n v="22.5"/>
  </r>
  <r>
    <d v="2025-07-31T07:20:00"/>
    <s v="INYECTADO"/>
    <x v="5"/>
    <x v="144"/>
    <s v="JUANA CRUCES"/>
    <m/>
    <m/>
    <m/>
    <x v="66"/>
    <s v="ASAS DE ORGANIZADOR 2 Y 3-ROJO"/>
    <n v="1150"/>
    <n v="8"/>
    <n v="36.799999999999997"/>
    <s v="DIURNO"/>
    <m/>
    <n v="4"/>
    <n v="1138"/>
    <n v="20399"/>
    <s v="ROJO"/>
    <n v="19.100000000000001"/>
    <n v="0"/>
    <n v="0"/>
    <n v="12.65"/>
    <n v="36.799999999999997"/>
    <n v="11"/>
    <n v="3345.4545454545455"/>
    <x v="6"/>
    <x v="0"/>
    <n v="28"/>
    <n v="3"/>
    <n v="287.5"/>
  </r>
  <r>
    <d v="2025-07-31T07:20:00"/>
    <s v="INYECTADO"/>
    <x v="5"/>
    <x v="144"/>
    <s v="JUANA CRUCES"/>
    <m/>
    <m/>
    <m/>
    <x v="66"/>
    <s v="ASAS DE ORGANIZADOR 2 Y 3-AZUL"/>
    <n v="271"/>
    <n v="2"/>
    <n v="8.6999999999999993"/>
    <s v="DIURNO"/>
    <m/>
    <n v="2"/>
    <n v="1138"/>
    <n v="20399"/>
    <s v="AZUL"/>
    <n v="3.7"/>
    <n v="0"/>
    <n v="0"/>
    <n v="2.9809999999999999"/>
    <n v="8.6999999999999993"/>
    <n v="11"/>
    <n v="790.90909090909088"/>
    <x v="6"/>
    <x v="0"/>
    <n v="28"/>
    <n v="3"/>
    <n v="67.75"/>
  </r>
  <r>
    <d v="2025-07-31T07:20:00"/>
    <s v="INYECTADO"/>
    <x v="5"/>
    <x v="145"/>
    <s v="ALEJANDRO"/>
    <m/>
    <m/>
    <m/>
    <x v="66"/>
    <s v="ASAS DE ORGANIZADOR 2 Y 3-LILA"/>
    <n v="505"/>
    <n v="4"/>
    <n v="18.2"/>
    <s v="DIURNO"/>
    <m/>
    <n v="3"/>
    <n v="1138"/>
    <n v="20400"/>
    <s v="LILA"/>
    <n v="10.199999999999999"/>
    <n v="0"/>
    <n v="0"/>
    <n v="5.5549999999999997"/>
    <n v="18.2"/>
    <n v="11"/>
    <n v="1654.5454545454545"/>
    <x v="6"/>
    <x v="0"/>
    <n v="28"/>
    <n v="3"/>
    <n v="126.25"/>
  </r>
  <r>
    <d v="2025-07-31T07:20:00"/>
    <s v="INYECTADO"/>
    <x v="5"/>
    <x v="145"/>
    <s v="ALEJANDRO"/>
    <m/>
    <m/>
    <m/>
    <x v="66"/>
    <s v="ASAS DE ORGANIZADOR 2 Y 3-AZUL"/>
    <n v="390"/>
    <n v="4"/>
    <n v="12.5"/>
    <s v="DIURNO"/>
    <m/>
    <n v="2"/>
    <n v="1138"/>
    <n v="20400"/>
    <s v="AZUL"/>
    <n v="0"/>
    <n v="0"/>
    <n v="0"/>
    <n v="4.29"/>
    <n v="12.5"/>
    <n v="11"/>
    <n v="1136.3636363636363"/>
    <x v="6"/>
    <x v="0"/>
    <n v="28"/>
    <n v="3"/>
    <n v="97.5"/>
  </r>
  <r>
    <d v="2025-07-31T07:20:00"/>
    <s v="INYECTADO"/>
    <x v="5"/>
    <x v="145"/>
    <s v="ALEJANDRO"/>
    <m/>
    <m/>
    <m/>
    <x v="66"/>
    <s v="ASAS DE ORGANIZADOR 2 Y 3-AMARILLO"/>
    <n v="112"/>
    <n v="1"/>
    <n v="3.6"/>
    <s v="DIURNO"/>
    <m/>
    <n v="2"/>
    <n v="1138"/>
    <n v="20400"/>
    <s v="AMARILLO"/>
    <n v="0"/>
    <n v="0"/>
    <n v="0"/>
    <n v="1.232"/>
    <n v="3.6"/>
    <n v="11"/>
    <n v="327.27272727272725"/>
    <x v="6"/>
    <x v="0"/>
    <n v="28"/>
    <n v="3"/>
    <n v="28"/>
  </r>
  <r>
    <d v="2025-07-31T07:20:00"/>
    <s v="INYECTADO"/>
    <x v="5"/>
    <x v="149"/>
    <s v="JUANA CRUCES"/>
    <m/>
    <m/>
    <m/>
    <x v="66"/>
    <s v="ASAS DE ORGANIZADOR 2 Y 3-AMARILLO"/>
    <n v="645"/>
    <n v="5"/>
    <n v="20"/>
    <s v="DIURNO"/>
    <m/>
    <n v="3"/>
    <n v="1138"/>
    <n v="22501"/>
    <s v="AMARILLO"/>
    <n v="10.199999999999999"/>
    <n v="0"/>
    <n v="0"/>
    <n v="7.0949999999999998"/>
    <n v="20"/>
    <n v="11"/>
    <n v="1818.1818181818182"/>
    <x v="6"/>
    <x v="0"/>
    <n v="29"/>
    <n v="3"/>
    <n v="161.25"/>
  </r>
  <r>
    <d v="2025-07-31T07:20:00"/>
    <s v="INYECTADO"/>
    <x v="5"/>
    <x v="149"/>
    <s v="JUANA CRUCES"/>
    <m/>
    <m/>
    <m/>
    <x v="66"/>
    <s v="ASAS DE ORGANIZADOR 2 Y 3-FUCSIA"/>
    <n v="490"/>
    <n v="4"/>
    <n v="16.2"/>
    <s v="DIURNO"/>
    <m/>
    <n v="2"/>
    <n v="1138"/>
    <n v="22501"/>
    <s v="FUCSIA"/>
    <n v="7.2"/>
    <n v="0"/>
    <n v="0"/>
    <n v="5.39"/>
    <n v="16.2"/>
    <n v="11"/>
    <n v="1472.7272727272727"/>
    <x v="6"/>
    <x v="0"/>
    <n v="29"/>
    <n v="3"/>
    <n v="122.5"/>
  </r>
  <r>
    <d v="2025-07-31T07:20:00"/>
    <s v="INYECTADO"/>
    <x v="5"/>
    <x v="157"/>
    <s v="JUAN MANUEL PEREZ"/>
    <m/>
    <m/>
    <m/>
    <x v="66"/>
    <s v="ASAS DE ORGANIZADOR 2 Y 3-TURQUESA"/>
    <n v="1100"/>
    <n v="11"/>
    <n v="35.200000000000003"/>
    <s v="NOCTURNO"/>
    <m/>
    <n v="3"/>
    <n v="1163"/>
    <n v="22502"/>
    <s v="TURQUESA"/>
    <n v="14.2"/>
    <n v="0"/>
    <n v="0"/>
    <e v="#N/A"/>
    <n v="35.200000000000003"/>
    <e v="#N/A"/>
    <n v="0"/>
    <x v="6"/>
    <x v="0"/>
    <n v="30"/>
    <e v="#N/A"/>
    <e v="#N/A"/>
  </r>
  <r>
    <d v="2025-07-31T07:20:00"/>
    <s v="INYECTADO"/>
    <x v="5"/>
    <x v="157"/>
    <s v="JUAN MANUEL PEREZ"/>
    <m/>
    <m/>
    <m/>
    <x v="66"/>
    <s v="ASAS DE ORGANIZADOR 2 Y 3-CELESTE"/>
    <n v="62"/>
    <n v="1"/>
    <n v="2"/>
    <s v="NOCTURNO"/>
    <m/>
    <n v="1"/>
    <n v="1163"/>
    <n v="22502"/>
    <s v="CELESTE"/>
    <n v="8.1"/>
    <n v="0"/>
    <n v="0"/>
    <e v="#N/A"/>
    <n v="2"/>
    <e v="#N/A"/>
    <n v="0"/>
    <x v="6"/>
    <x v="0"/>
    <n v="30"/>
    <e v="#N/A"/>
    <e v="#N/A"/>
  </r>
  <r>
    <d v="2025-07-31T07:20:00"/>
    <s v="INYECTADO"/>
    <x v="5"/>
    <x v="158"/>
    <s v="LUIS RENGIFO"/>
    <m/>
    <m/>
    <m/>
    <x v="66"/>
    <s v="ASAS DE ORGANIZADOR 2 Y 3-CELESTE"/>
    <n v="846"/>
    <n v="5"/>
    <n v="27.1"/>
    <s v="DIURNO"/>
    <m/>
    <n v="2"/>
    <n v="1163"/>
    <n v="22503"/>
    <s v="CELESTE"/>
    <n v="8.4"/>
    <n v="0"/>
    <n v="0"/>
    <e v="#N/A"/>
    <n v="27.1"/>
    <e v="#N/A"/>
    <n v="0"/>
    <x v="6"/>
    <x v="0"/>
    <n v="30"/>
    <e v="#N/A"/>
    <e v="#N/A"/>
  </r>
  <r>
    <d v="2025-07-31T07:20:00"/>
    <s v="INYECTADO"/>
    <x v="5"/>
    <x v="158"/>
    <s v="CRISALIDA ZAPATA"/>
    <m/>
    <m/>
    <m/>
    <x v="66"/>
    <s v="ASAS DE ORGANIZADOR 2 Y 3-AZURE"/>
    <n v="653"/>
    <n v="6"/>
    <n v="20.9"/>
    <s v="DIURNO"/>
    <m/>
    <n v="2"/>
    <n v="1163"/>
    <n v="22503"/>
    <s v="AZURE"/>
    <n v="3.4"/>
    <n v="0"/>
    <n v="0"/>
    <n v="7.1829999999999998"/>
    <n v="20.9"/>
    <n v="11"/>
    <n v="1900"/>
    <x v="6"/>
    <x v="0"/>
    <n v="30"/>
    <n v="3"/>
    <n v="163.25"/>
  </r>
  <r>
    <d v="2025-07-31T07:20:00"/>
    <s v="INYECTADO"/>
    <x v="5"/>
    <x v="158"/>
    <s v="JOSDER GONZALEZ"/>
    <m/>
    <m/>
    <m/>
    <x v="66"/>
    <s v="ASAS DE ORGANIZADOR 2 Y 3-AZURE"/>
    <n v="453"/>
    <n v="3"/>
    <n v="14.5"/>
    <s v="NOCTURNO"/>
    <m/>
    <n v="3"/>
    <n v="1163"/>
    <n v="22504"/>
    <s v="AZURE"/>
    <n v="8"/>
    <n v="0"/>
    <n v="0"/>
    <n v="4.9829999999999997"/>
    <n v="14.5"/>
    <n v="11"/>
    <n v="1318.1818181818182"/>
    <x v="6"/>
    <x v="0"/>
    <n v="30"/>
    <n v="3"/>
    <n v="113.25"/>
  </r>
  <r>
    <d v="2025-07-31T07:20:00"/>
    <s v="INYECTADO"/>
    <x v="5"/>
    <x v="158"/>
    <s v="JOSDER GONZALEZ"/>
    <m/>
    <m/>
    <m/>
    <x v="66"/>
    <s v="ASAS DE ORGANIZADOR 2 Y 3-SANDIA"/>
    <n v="840"/>
    <n v="6"/>
    <n v="26.9"/>
    <s v="NOCTURNO"/>
    <m/>
    <n v="3"/>
    <n v="1163"/>
    <n v="22504"/>
    <s v="SANDIA"/>
    <n v="12.4"/>
    <n v="0"/>
    <n v="0"/>
    <n v="9.24"/>
    <n v="26.9"/>
    <n v="11"/>
    <n v="2445.4545454545455"/>
    <x v="6"/>
    <x v="0"/>
    <n v="30"/>
    <n v="3"/>
    <n v="210"/>
  </r>
  <r>
    <d v="2025-07-31T07:20:00"/>
    <s v="INYECTADO"/>
    <x v="5"/>
    <x v="158"/>
    <s v="JOSDER GONZALEZ"/>
    <m/>
    <m/>
    <m/>
    <x v="66"/>
    <s v="ASAS DE ORGANIZADOR 2 Y 3-ROSADO"/>
    <n v="240"/>
    <n v="2"/>
    <n v="7.7"/>
    <s v="NOCTURNO"/>
    <m/>
    <n v="1"/>
    <n v="1163"/>
    <n v="22504"/>
    <s v="ROSADO"/>
    <n v="3.8"/>
    <n v="0"/>
    <n v="0"/>
    <e v="#N/A"/>
    <n v="7.7"/>
    <e v="#N/A"/>
    <n v="0"/>
    <x v="6"/>
    <x v="0"/>
    <n v="30"/>
    <e v="#N/A"/>
    <e v="#N/A"/>
  </r>
  <r>
    <d v="2025-07-31T07:20:00"/>
    <s v="INYECTADO"/>
    <x v="5"/>
    <x v="159"/>
    <s v="JUANA CRUCES"/>
    <m/>
    <m/>
    <m/>
    <x v="66"/>
    <s v="ASAS DE ORGANIZADOR 2 Y 3-FUCSIA"/>
    <n v="575"/>
    <n v="3"/>
    <n v="18.399999999999999"/>
    <s v="DIURNO"/>
    <m/>
    <n v="3"/>
    <n v="1163"/>
    <n v="22505"/>
    <s v="ROSADO"/>
    <n v="8.6"/>
    <n v="0"/>
    <n v="0"/>
    <n v="6.3250000000000002"/>
    <n v="18.399999999999999"/>
    <n v="11"/>
    <n v="1672.7272727272727"/>
    <x v="6"/>
    <x v="0"/>
    <n v="30"/>
    <n v="3"/>
    <n v="143.75"/>
  </r>
  <r>
    <d v="2025-07-31T07:20:00"/>
    <s v="INYECTADO"/>
    <x v="5"/>
    <x v="159"/>
    <s v="JUANA CRUCES"/>
    <m/>
    <m/>
    <m/>
    <x v="66"/>
    <s v="ASAS DE ORGANIZADOR 2 Y 3-LILA"/>
    <n v="781"/>
    <n v="5"/>
    <n v="25"/>
    <s v="DIURNO"/>
    <m/>
    <n v="3"/>
    <n v="1163"/>
    <n v="22505"/>
    <s v="LILA"/>
    <n v="12.1"/>
    <n v="0"/>
    <n v="0"/>
    <n v="8.5909999999999993"/>
    <n v="25"/>
    <n v="11"/>
    <n v="2272.7272727272725"/>
    <x v="6"/>
    <x v="0"/>
    <n v="30"/>
    <n v="3"/>
    <n v="195.25"/>
  </r>
  <r>
    <d v="2025-07-31T07:20:00"/>
    <s v="INYECTADO"/>
    <x v="5"/>
    <x v="154"/>
    <s v="YERIKA"/>
    <m/>
    <m/>
    <m/>
    <x v="66"/>
    <s v="ASAS DE ORGANIZADOR 2 Y 3-LILA"/>
    <n v="659"/>
    <n v="4"/>
    <n v="21.1"/>
    <s v="NOCTURNO"/>
    <m/>
    <n v="3"/>
    <n v="1163"/>
    <n v="22506"/>
    <s v="LILA"/>
    <n v="10.199999999999999"/>
    <n v="0"/>
    <n v="0"/>
    <n v="7.2489999999999997"/>
    <n v="21.1"/>
    <n v="11"/>
    <n v="1918.1818181818182"/>
    <x v="6"/>
    <x v="0"/>
    <n v="30"/>
    <n v="3"/>
    <n v="164.75"/>
  </r>
  <r>
    <d v="2025-07-31T07:20:00"/>
    <s v="INYECTADO"/>
    <x v="5"/>
    <x v="154"/>
    <s v="YERIKA"/>
    <m/>
    <m/>
    <m/>
    <x v="66"/>
    <s v="ASAS DE ORGANIZADOR 2 Y 3-SANDIA"/>
    <n v="1096"/>
    <n v="8"/>
    <n v="35.1"/>
    <s v="NOCTURNO"/>
    <m/>
    <n v="4"/>
    <n v="1163"/>
    <n v="22506"/>
    <s v="SANDIA"/>
    <n v="18.5"/>
    <n v="0"/>
    <n v="0"/>
    <n v="12.055999999999999"/>
    <n v="35.1"/>
    <n v="11"/>
    <n v="3190.909090909091"/>
    <x v="6"/>
    <x v="0"/>
    <n v="30"/>
    <n v="3"/>
    <n v="274"/>
  </r>
  <r>
    <d v="2025-07-31T07:20:00"/>
    <s v="INYECTADO"/>
    <x v="5"/>
    <x v="155"/>
    <s v="JUANA CRUCES"/>
    <m/>
    <m/>
    <m/>
    <x v="66"/>
    <s v="ASAS DE ORGANIZADOR 2 Y 3-TURQUESA"/>
    <n v="1087"/>
    <n v="8"/>
    <n v="34.799999999999997"/>
    <s v="DIURNO"/>
    <m/>
    <n v="4"/>
    <n v="1163"/>
    <n v="22507"/>
    <s v="TURQUESA"/>
    <n v="17.7"/>
    <n v="0"/>
    <n v="0"/>
    <e v="#N/A"/>
    <n v="34.799999999999997"/>
    <e v="#N/A"/>
    <n v="0"/>
    <x v="6"/>
    <x v="0"/>
    <n v="30"/>
    <e v="#N/A"/>
    <e v="#N/A"/>
  </r>
  <r>
    <d v="2025-07-31T07:20:00"/>
    <s v="INYECTADO"/>
    <x v="5"/>
    <x v="155"/>
    <s v="JUANA CRUCES"/>
    <m/>
    <m/>
    <m/>
    <x v="66"/>
    <s v="ASAS DE ORGANIZADOR 2 Y 3-CELESTE"/>
    <n v="34"/>
    <n v="1"/>
    <n v="1.1000000000000001"/>
    <s v="DIURNO"/>
    <m/>
    <n v="1"/>
    <n v="1163"/>
    <n v="22507"/>
    <s v="CELESTE"/>
    <n v="1"/>
    <n v="0"/>
    <n v="0"/>
    <e v="#N/A"/>
    <n v="1.1000000000000001"/>
    <e v="#N/A"/>
    <n v="0"/>
    <x v="6"/>
    <x v="0"/>
    <n v="30"/>
    <e v="#N/A"/>
    <e v="#N/A"/>
  </r>
  <r>
    <d v="2025-07-31T07:20:00"/>
    <s v="INYECTADO"/>
    <x v="0"/>
    <x v="151"/>
    <s v="ALEJANDRO"/>
    <m/>
    <m/>
    <m/>
    <x v="8"/>
    <s v="EMBUDO #1-VERDE"/>
    <n v="272"/>
    <n v="3"/>
    <n v="22.1"/>
    <s v="DIURNO"/>
    <m/>
    <n v="2"/>
    <n v="1130"/>
    <n v="21728"/>
    <s v="VERDE"/>
    <n v="2.2999999999999998"/>
    <n v="0"/>
    <n v="0"/>
    <n v="5.984"/>
    <n v="22.1"/>
    <n v="22"/>
    <n v="1004.5454545454545"/>
    <x v="6"/>
    <x v="0"/>
    <n v="27"/>
    <n v="4"/>
    <n v="90.666666666666671"/>
  </r>
  <r>
    <d v="2025-07-31T07:20:00"/>
    <s v="INYECTADO"/>
    <x v="0"/>
    <x v="152"/>
    <s v="DAIRET"/>
    <m/>
    <m/>
    <m/>
    <x v="8"/>
    <s v="EMBUDO #1-AMARILLO"/>
    <n v="200"/>
    <n v="3"/>
    <n v="16.399999999999999"/>
    <s v="DIURNO"/>
    <m/>
    <n v="2"/>
    <n v="1130"/>
    <n v="21729"/>
    <s v="AMARILLO"/>
    <n v="11.2"/>
    <n v="0"/>
    <n v="0"/>
    <n v="4.4000000000000004"/>
    <n v="16.399999999999999"/>
    <n v="22"/>
    <n v="745.4545454545455"/>
    <x v="6"/>
    <x v="0"/>
    <n v="27"/>
    <n v="4"/>
    <n v="66.666666666666671"/>
  </r>
  <r>
    <d v="2025-07-31T07:20:00"/>
    <s v="INYECTADO"/>
    <x v="0"/>
    <x v="152"/>
    <s v="DAIRET"/>
    <m/>
    <m/>
    <m/>
    <x v="8"/>
    <s v="EMBUDO #1-ROJO"/>
    <n v="142"/>
    <n v="2"/>
    <n v="11.7"/>
    <s v="DIURNO"/>
    <m/>
    <n v="1"/>
    <n v="1130"/>
    <n v="21729"/>
    <s v="ROJO"/>
    <n v="9.6"/>
    <n v="0"/>
    <n v="0"/>
    <n v="3.1240000000000001"/>
    <n v="11.7"/>
    <n v="22"/>
    <n v="531.81818181818187"/>
    <x v="6"/>
    <x v="0"/>
    <n v="27"/>
    <n v="4"/>
    <n v="47.333333333333336"/>
  </r>
  <r>
    <d v="2025-07-31T07:20:00"/>
    <s v="INYECTADO"/>
    <x v="0"/>
    <x v="152"/>
    <s v="DAIRET"/>
    <m/>
    <m/>
    <m/>
    <x v="8"/>
    <s v="EMBUDO #1-CELESTE"/>
    <n v="122"/>
    <n v="2"/>
    <n v="10"/>
    <s v="DIURNO"/>
    <m/>
    <n v="1"/>
    <n v="1130"/>
    <n v="21729"/>
    <s v="LILA"/>
    <n v="3.4"/>
    <n v="0"/>
    <n v="0"/>
    <n v="2.6840000000000002"/>
    <n v="10"/>
    <n v="22"/>
    <n v="454.54545454545456"/>
    <x v="6"/>
    <x v="0"/>
    <n v="27"/>
    <n v="4"/>
    <n v="40.666666666666664"/>
  </r>
  <r>
    <d v="2025-07-31T07:20:00"/>
    <s v="INYECTADO"/>
    <x v="0"/>
    <x v="152"/>
    <s v="DAIRET"/>
    <m/>
    <m/>
    <m/>
    <x v="8"/>
    <s v="EMBUDO #1-LILA"/>
    <n v="125"/>
    <n v="2"/>
    <n v="10.3"/>
    <s v="DIURNO"/>
    <m/>
    <n v="2"/>
    <n v="1130"/>
    <n v="21729"/>
    <s v="CELESTE"/>
    <n v="2.5"/>
    <n v="0"/>
    <n v="0"/>
    <n v="2.75"/>
    <n v="10.3"/>
    <n v="22"/>
    <n v="468.18181818181819"/>
    <x v="6"/>
    <x v="0"/>
    <n v="27"/>
    <n v="4"/>
    <n v="41.666666666666664"/>
  </r>
  <r>
    <d v="2025-07-31T07:20:00"/>
    <s v="INYECTADO"/>
    <x v="0"/>
    <x v="160"/>
    <s v="SAID VILLAMIZAR"/>
    <m/>
    <m/>
    <m/>
    <x v="114"/>
    <s v="TAPA ORGANIZADOR DE 5KG-AMARILLO"/>
    <n v="820"/>
    <n v="7"/>
    <n v="77.900000000000006"/>
    <s v="DIURNO"/>
    <m/>
    <n v="7"/>
    <n v="1145"/>
    <n v="21730"/>
    <s v="AMARILLO"/>
    <n v="1.6"/>
    <n v="0"/>
    <n v="0"/>
    <n v="77.900000000000006"/>
    <n v="77.900000000000006"/>
    <n v="95"/>
    <n v="820"/>
    <x v="6"/>
    <x v="0"/>
    <n v="27"/>
    <n v="1"/>
    <n v="68.333333333333329"/>
  </r>
  <r>
    <d v="2025-07-31T07:20:00"/>
    <s v="INYECTADO"/>
    <x v="0"/>
    <x v="160"/>
    <s v="JOSDER GONZALEZ"/>
    <m/>
    <m/>
    <m/>
    <x v="114"/>
    <s v="TAPA ORGANIZADOR DE 5KG-AMARILLO"/>
    <n v="127"/>
    <n v="2"/>
    <n v="12"/>
    <s v="NOCTURNO"/>
    <m/>
    <n v="2"/>
    <n v="1145"/>
    <n v="21731"/>
    <s v="AMARILLO"/>
    <n v="9.4"/>
    <n v="0"/>
    <n v="0"/>
    <n v="12.065"/>
    <n v="12"/>
    <n v="95"/>
    <n v="126.31578947368421"/>
    <x v="6"/>
    <x v="0"/>
    <n v="27"/>
    <n v="1"/>
    <n v="10.583333333333334"/>
  </r>
  <r>
    <d v="2025-07-31T07:20:00"/>
    <s v="INYECTADO"/>
    <x v="0"/>
    <x v="160"/>
    <s v="JOSDER GONZALEZ"/>
    <m/>
    <m/>
    <m/>
    <x v="114"/>
    <s v="TAPA ORGANIZADOR DE 5KG-VERDE"/>
    <n v="240"/>
    <n v="3"/>
    <n v="22.8"/>
    <s v="NOCTURNO"/>
    <m/>
    <n v="2"/>
    <n v="1145"/>
    <n v="21731"/>
    <s v="VERDE"/>
    <n v="6.5"/>
    <n v="0"/>
    <n v="0"/>
    <n v="22.8"/>
    <n v="22.8"/>
    <n v="95"/>
    <n v="240"/>
    <x v="6"/>
    <x v="0"/>
    <n v="27"/>
    <n v="1"/>
    <n v="20"/>
  </r>
  <r>
    <d v="2025-07-31T07:20:00"/>
    <s v="INYECTADO"/>
    <x v="0"/>
    <x v="160"/>
    <s v="JOSDER GONZALEZ"/>
    <m/>
    <m/>
    <m/>
    <x v="114"/>
    <s v="TAPA ORGANIZADOR DE 5KG-TURQUESA"/>
    <n v="562"/>
    <n v="6"/>
    <n v="53.3"/>
    <s v="NOCTURNO"/>
    <m/>
    <n v="5"/>
    <n v="1145"/>
    <n v="21731"/>
    <s v="TURQUESA"/>
    <n v="1.9"/>
    <n v="0"/>
    <n v="0"/>
    <n v="53.39"/>
    <n v="53.3"/>
    <n v="95"/>
    <n v="561.0526315789474"/>
    <x v="6"/>
    <x v="0"/>
    <n v="27"/>
    <n v="1"/>
    <n v="46.833333333333336"/>
  </r>
  <r>
    <d v="2025-07-31T07:20:00"/>
    <s v="INYECTADO"/>
    <x v="0"/>
    <x v="141"/>
    <s v="JUANA CRUCES"/>
    <m/>
    <m/>
    <m/>
    <x v="114"/>
    <s v="TAPA ORGANIZADOR DE 5KG-TURQUESA"/>
    <n v="401"/>
    <n v="4"/>
    <n v="38"/>
    <s v="DIURNO"/>
    <m/>
    <n v="4"/>
    <n v="1145"/>
    <n v="21732"/>
    <s v="TURQUESA"/>
    <n v="5.0999999999999996"/>
    <n v="0"/>
    <n v="0"/>
    <n v="38.094999999999999"/>
    <n v="38"/>
    <n v="95"/>
    <n v="400"/>
    <x v="6"/>
    <x v="0"/>
    <n v="27"/>
    <n v="1"/>
    <n v="33.416666666666664"/>
  </r>
  <r>
    <d v="2025-07-31T07:20:00"/>
    <s v="INYECTADO"/>
    <x v="0"/>
    <x v="141"/>
    <s v="JUANA CRUCES"/>
    <m/>
    <m/>
    <m/>
    <x v="114"/>
    <s v="TAPA ORGANIZADOR DE 5KG-VERDE"/>
    <n v="711"/>
    <n v="7"/>
    <n v="67.5"/>
    <s v="DIURNO"/>
    <m/>
    <n v="6"/>
    <n v="1145"/>
    <n v="21732"/>
    <s v="VERDE"/>
    <n v="7.9"/>
    <n v="0"/>
    <n v="0"/>
    <n v="67.545000000000002"/>
    <n v="67.5"/>
    <n v="95"/>
    <n v="710.52631578947364"/>
    <x v="6"/>
    <x v="0"/>
    <n v="27"/>
    <n v="1"/>
    <n v="59.25"/>
  </r>
  <r>
    <d v="2025-07-31T07:20:00"/>
    <s v="INYECTADO"/>
    <x v="0"/>
    <x v="141"/>
    <s v="GABRIEL REQUENA"/>
    <m/>
    <m/>
    <m/>
    <x v="114"/>
    <s v="TAPA ORGANIZADOR DE 5KG-ROJO"/>
    <n v="180"/>
    <n v="2"/>
    <n v="17.100000000000001"/>
    <s v="NOCTURNO"/>
    <m/>
    <n v="2"/>
    <n v="1145"/>
    <n v="21733"/>
    <s v="VERDE"/>
    <n v="0"/>
    <n v="0"/>
    <n v="0"/>
    <n v="17.100000000000001"/>
    <n v="17.100000000000001"/>
    <n v="95"/>
    <n v="180"/>
    <x v="6"/>
    <x v="0"/>
    <n v="27"/>
    <n v="1"/>
    <n v="15"/>
  </r>
  <r>
    <d v="2025-07-31T07:20:00"/>
    <s v="INYECTADO"/>
    <x v="0"/>
    <x v="142"/>
    <s v="GABRIEL ORDAZ"/>
    <m/>
    <m/>
    <m/>
    <x v="114"/>
    <s v="TAPA ORGANIZADOR DE 5KG-ROJO"/>
    <n v="743"/>
    <n v="8"/>
    <n v="72"/>
    <s v="DIURNO"/>
    <m/>
    <n v="8"/>
    <n v="1145"/>
    <n v="21734"/>
    <s v="ROJO"/>
    <n v="4.2"/>
    <n v="0"/>
    <n v="0"/>
    <n v="70.584999999999994"/>
    <n v="72"/>
    <n v="95"/>
    <n v="757.89473684210532"/>
    <x v="6"/>
    <x v="0"/>
    <n v="27"/>
    <n v="1"/>
    <n v="61.916666666666664"/>
  </r>
  <r>
    <d v="2025-07-31T07:20:00"/>
    <s v="INYECTADO"/>
    <x v="0"/>
    <x v="142"/>
    <s v="GABRIEL ORDAZ"/>
    <m/>
    <m/>
    <m/>
    <x v="114"/>
    <s v="TAPA ORGANIZADOR DE 5KG-ROSADO"/>
    <n v="164"/>
    <n v="2"/>
    <n v="15.9"/>
    <s v="DIURNO"/>
    <m/>
    <n v="2"/>
    <n v="1145"/>
    <n v="21734"/>
    <s v="ROSADO"/>
    <n v="1.4"/>
    <n v="0"/>
    <n v="0"/>
    <e v="#N/A"/>
    <n v="15.9"/>
    <e v="#N/A"/>
    <n v="0"/>
    <x v="6"/>
    <x v="0"/>
    <n v="27"/>
    <e v="#N/A"/>
    <e v="#N/A"/>
  </r>
  <r>
    <d v="2025-07-31T07:20:00"/>
    <s v="INYECTADO"/>
    <x v="0"/>
    <x v="142"/>
    <s v="GABRIEL REQUENA"/>
    <m/>
    <m/>
    <m/>
    <x v="114"/>
    <s v="TAPA ORGANIZADOR DE 5KG-FUCSIA"/>
    <n v="722"/>
    <n v="8"/>
    <n v="70"/>
    <s v="NOCTURNO"/>
    <m/>
    <n v="8"/>
    <n v="1145"/>
    <n v="21735"/>
    <s v="FUCSIA"/>
    <n v="2.1"/>
    <n v="0"/>
    <n v="0"/>
    <n v="68.59"/>
    <n v="70"/>
    <n v="95"/>
    <n v="736.84210526315792"/>
    <x v="6"/>
    <x v="0"/>
    <n v="27"/>
    <n v="1"/>
    <n v="60.166666666666664"/>
  </r>
  <r>
    <d v="2025-07-31T07:20:00"/>
    <s v="INYECTADO"/>
    <x v="0"/>
    <x v="142"/>
    <s v="GABRIEL REQUENA"/>
    <m/>
    <m/>
    <m/>
    <x v="114"/>
    <s v="TAPA ORGANIZADOR DE 5KG-AZUL"/>
    <n v="357"/>
    <n v="4"/>
    <n v="34.6"/>
    <s v="NOCTURNO"/>
    <m/>
    <n v="4"/>
    <n v="1145"/>
    <n v="21735"/>
    <s v="AZUL"/>
    <n v="0.9"/>
    <n v="0"/>
    <n v="0"/>
    <n v="33.914999999999999"/>
    <n v="34.6"/>
    <n v="95"/>
    <n v="364.21052631578948"/>
    <x v="6"/>
    <x v="0"/>
    <n v="27"/>
    <n v="1"/>
    <n v="29.75"/>
  </r>
  <r>
    <d v="2025-07-31T07:20:00"/>
    <s v="INYECTADO"/>
    <x v="0"/>
    <x v="143"/>
    <s v="GABRIEL ORDAZ"/>
    <m/>
    <m/>
    <m/>
    <x v="114"/>
    <s v="TAPA ORGANIZADOR DE 5KG-AZUL"/>
    <n v="346"/>
    <n v="5"/>
    <n v="33.200000000000003"/>
    <s v="DIURNO"/>
    <m/>
    <n v="3"/>
    <n v="1145"/>
    <n v="21736"/>
    <s v="AZUL"/>
    <n v="12.2"/>
    <n v="0"/>
    <n v="0"/>
    <n v="32.869999999999997"/>
    <n v="33.200000000000003"/>
    <n v="95"/>
    <n v="349.4736842105263"/>
    <x v="6"/>
    <x v="0"/>
    <n v="28"/>
    <n v="1"/>
    <n v="28.833333333333332"/>
  </r>
  <r>
    <d v="2025-07-31T07:20:00"/>
    <s v="INYECTADO"/>
    <x v="0"/>
    <x v="143"/>
    <s v="GABRIEL ORDAZ"/>
    <m/>
    <m/>
    <m/>
    <x v="114"/>
    <s v="TAPA ORGANIZADOR DE 5KG-ROSADO"/>
    <n v="118"/>
    <n v="1"/>
    <n v="11.3"/>
    <s v="DIURNO"/>
    <m/>
    <n v="1"/>
    <n v="1145"/>
    <n v="21736"/>
    <s v="ROSADO"/>
    <n v="0"/>
    <n v="0"/>
    <n v="0"/>
    <e v="#N/A"/>
    <n v="11.3"/>
    <e v="#N/A"/>
    <n v="0"/>
    <x v="6"/>
    <x v="0"/>
    <n v="28"/>
    <e v="#N/A"/>
    <e v="#N/A"/>
  </r>
  <r>
    <d v="2025-07-31T07:20:00"/>
    <s v="INYECTADO"/>
    <x v="0"/>
    <x v="143"/>
    <s v="GABRIEL ORDAZ"/>
    <m/>
    <m/>
    <m/>
    <x v="114"/>
    <s v="TAPA ORGANIZADOR DE 5KG-VERDE"/>
    <n v="136"/>
    <n v="2"/>
    <n v="13.1"/>
    <s v="DIURNO"/>
    <m/>
    <n v="1"/>
    <n v="1145"/>
    <n v="21736"/>
    <s v="VERDE"/>
    <n v="2.8"/>
    <n v="0"/>
    <n v="0"/>
    <n v="12.92"/>
    <n v="13.1"/>
    <n v="95"/>
    <n v="137.89473684210526"/>
    <x v="6"/>
    <x v="0"/>
    <n v="28"/>
    <n v="1"/>
    <n v="11.333333333333334"/>
  </r>
  <r>
    <d v="2025-07-31T07:20:00"/>
    <s v="INYECTADO"/>
    <x v="0"/>
    <x v="144"/>
    <s v="GABRIEL ORDAZ"/>
    <m/>
    <m/>
    <m/>
    <x v="114"/>
    <s v="TAPA ORGANIZADOR DE 5KG-ROJO"/>
    <n v="127"/>
    <n v="1"/>
    <n v="11.9"/>
    <s v="DIURNO"/>
    <m/>
    <n v="1"/>
    <n v="1145"/>
    <n v="21737"/>
    <s v="ROJO"/>
    <n v="0"/>
    <n v="0"/>
    <n v="0"/>
    <n v="12.065"/>
    <n v="11.9"/>
    <n v="95"/>
    <n v="125.26315789473684"/>
    <x v="6"/>
    <x v="0"/>
    <n v="28"/>
    <n v="1"/>
    <n v="10.583333333333334"/>
  </r>
  <r>
    <d v="2025-07-31T07:20:00"/>
    <s v="INYECTADO"/>
    <x v="0"/>
    <x v="144"/>
    <s v="GABRIEL ORDAZ"/>
    <m/>
    <m/>
    <m/>
    <x v="114"/>
    <s v="TAPA ORGANIZADOR DE 5KG-FUCSIA"/>
    <n v="13"/>
    <n v="1"/>
    <n v="1.2"/>
    <s v="DIURNO"/>
    <m/>
    <n v="1"/>
    <n v="1145"/>
    <n v="21737"/>
    <s v="FUCSIA"/>
    <n v="3.4"/>
    <n v="0"/>
    <n v="0"/>
    <n v="1.2350000000000001"/>
    <n v="1.2"/>
    <n v="95"/>
    <n v="12.631578947368421"/>
    <x v="6"/>
    <x v="0"/>
    <n v="28"/>
    <n v="1"/>
    <n v="1.0833333333333333"/>
  </r>
  <r>
    <d v="2025-07-31T07:20:00"/>
    <s v="INYECTADO"/>
    <x v="0"/>
    <x v="144"/>
    <s v="GABRIEL ORDAZ"/>
    <m/>
    <m/>
    <m/>
    <x v="114"/>
    <s v="TAPA ORGANIZADOR DE 5KG-AZUL"/>
    <n v="486"/>
    <n v="6"/>
    <n v="45.6"/>
    <s v="DIURNO"/>
    <m/>
    <n v="4"/>
    <n v="1145"/>
    <n v="21737"/>
    <s v="AZUL"/>
    <n v="3.1"/>
    <n v="0"/>
    <n v="0"/>
    <n v="46.17"/>
    <n v="45.6"/>
    <n v="95"/>
    <n v="480"/>
    <x v="6"/>
    <x v="0"/>
    <n v="28"/>
    <n v="1"/>
    <n v="40.5"/>
  </r>
  <r>
    <d v="2025-07-31T07:20:00"/>
    <s v="INYECTADO"/>
    <x v="0"/>
    <x v="144"/>
    <s v="GABRIEL ORDAZ"/>
    <m/>
    <m/>
    <m/>
    <x v="114"/>
    <s v="TAPA ORGANIZADOR DE 5KG-AMARILLO"/>
    <n v="245"/>
    <n v="2"/>
    <n v="23"/>
    <s v="DIURNO"/>
    <m/>
    <n v="2"/>
    <n v="1145"/>
    <n v="21737"/>
    <s v="AMARILLO"/>
    <n v="0.9"/>
    <n v="0"/>
    <n v="0"/>
    <n v="23.274999999999999"/>
    <n v="23"/>
    <n v="95"/>
    <n v="242.10526315789474"/>
    <x v="6"/>
    <x v="0"/>
    <n v="28"/>
    <n v="1"/>
    <n v="20.416666666666668"/>
  </r>
  <r>
    <d v="2025-07-31T07:20:00"/>
    <s v="INYECTADO"/>
    <x v="0"/>
    <x v="147"/>
    <s v="DAIRET"/>
    <m/>
    <m/>
    <m/>
    <x v="6"/>
    <s v="TAPA TOMATODO DOBLE CLICK-CELESTE"/>
    <n v="297"/>
    <n v="5"/>
    <n v="51.5"/>
    <s v="DIURNO"/>
    <m/>
    <n v="6"/>
    <n v="1154"/>
    <n v="21738"/>
    <s v="CELESTE"/>
    <n v="0"/>
    <n v="0"/>
    <n v="0"/>
    <n v="6.5755799999999995"/>
    <n v="51.5"/>
    <n v="22.14"/>
    <n v="2326.1065943992771"/>
    <x v="6"/>
    <x v="0"/>
    <n v="28"/>
    <n v="7"/>
    <n v="173.25"/>
  </r>
  <r>
    <d v="2025-07-31T07:20:00"/>
    <s v="INYECTADO"/>
    <x v="0"/>
    <x v="147"/>
    <s v="DAIRET"/>
    <m/>
    <m/>
    <m/>
    <x v="6"/>
    <s v="TAPA TOMATODO DOBLE CLICK-SANDIA"/>
    <n v="215"/>
    <n v="4"/>
    <n v="37.200000000000003"/>
    <s v="DIURNO"/>
    <m/>
    <n v="3"/>
    <n v="1154"/>
    <n v="21738"/>
    <s v="SANDIA"/>
    <n v="0"/>
    <n v="0"/>
    <n v="0"/>
    <n v="4.7601000000000004"/>
    <n v="37.200000000000003"/>
    <n v="22.14"/>
    <n v="1680.2168021680216"/>
    <x v="6"/>
    <x v="0"/>
    <n v="28"/>
    <n v="7"/>
    <n v="125.41666666666667"/>
  </r>
  <r>
    <d v="2025-07-31T07:20:00"/>
    <s v="INYECTADO"/>
    <x v="0"/>
    <x v="147"/>
    <s v="JOSDER GONZALEZ"/>
    <m/>
    <m/>
    <m/>
    <x v="6"/>
    <s v="TAPA TOMATODO DOBLE CLICK-SANDIA"/>
    <n v="289"/>
    <n v="5"/>
    <n v="49.4"/>
    <s v="NOCTURNO"/>
    <m/>
    <n v="5"/>
    <n v="1154"/>
    <n v="21739"/>
    <s v="SANDIA"/>
    <n v="9.6"/>
    <n v="0"/>
    <n v="0"/>
    <n v="6.39846"/>
    <n v="49.4"/>
    <n v="22.14"/>
    <n v="2231.255645889792"/>
    <x v="6"/>
    <x v="0"/>
    <n v="28"/>
    <n v="7"/>
    <n v="168.58333333333334"/>
  </r>
  <r>
    <d v="2025-07-31T07:20:00"/>
    <s v="INYECTADO"/>
    <x v="0"/>
    <x v="147"/>
    <s v="JOSDER GONZALEZ"/>
    <m/>
    <m/>
    <m/>
    <x v="6"/>
    <s v="TAPA TOMATODO DOBLE CLICK-ROSADO"/>
    <n v="458"/>
    <n v="7"/>
    <n v="78.400000000000006"/>
    <s v="NOCTURNO"/>
    <m/>
    <n v="7"/>
    <n v="1154"/>
    <n v="21739"/>
    <s v="ROSADO"/>
    <n v="7.1"/>
    <n v="0"/>
    <n v="0"/>
    <n v="10.140120000000001"/>
    <n v="78.400000000000006"/>
    <n v="22.14"/>
    <n v="3541.1020776874434"/>
    <x v="6"/>
    <x v="0"/>
    <n v="28"/>
    <n v="5"/>
    <n v="190.83333333333334"/>
  </r>
  <r>
    <d v="2025-07-31T07:20:00"/>
    <s v="INYECTADO"/>
    <x v="0"/>
    <x v="148"/>
    <s v="JUANA CRUCES"/>
    <m/>
    <m/>
    <m/>
    <x v="6"/>
    <s v="TAPA TOMATODO DOBLE CLICK-LILA"/>
    <n v="264"/>
    <n v="4"/>
    <n v="45.5"/>
    <s v="DIURNO"/>
    <m/>
    <n v="4"/>
    <n v="1154"/>
    <n v="21740"/>
    <s v="LILA"/>
    <n v="9.1"/>
    <n v="0"/>
    <n v="0"/>
    <n v="5.8449600000000004"/>
    <n v="45.5"/>
    <n v="22.14"/>
    <n v="2055.1038843721772"/>
    <x v="6"/>
    <x v="0"/>
    <n v="28"/>
    <n v="7"/>
    <n v="154"/>
  </r>
  <r>
    <d v="2025-07-31T07:20:00"/>
    <s v="INYECTADO"/>
    <x v="0"/>
    <x v="148"/>
    <s v="JUANA CRUCES"/>
    <m/>
    <m/>
    <m/>
    <x v="6"/>
    <s v="TAPA TOMATODO DOBLE CLICK-TURQUESA"/>
    <n v="331"/>
    <n v="5"/>
    <n v="56.4"/>
    <s v="DIURNO"/>
    <m/>
    <n v="5"/>
    <n v="1154"/>
    <n v="21740"/>
    <s v="TURQUESA"/>
    <n v="8.5"/>
    <n v="0"/>
    <n v="0"/>
    <n v="7.3283399999999999"/>
    <n v="56.4"/>
    <n v="22.14"/>
    <n v="2547.4254742547423"/>
    <x v="6"/>
    <x v="0"/>
    <n v="28"/>
    <n v="7"/>
    <n v="193.08333333333334"/>
  </r>
  <r>
    <d v="2025-07-31T07:20:00"/>
    <s v="INYECTADO"/>
    <x v="0"/>
    <x v="148"/>
    <s v="JUANA CRUCES"/>
    <m/>
    <m/>
    <m/>
    <x v="6"/>
    <s v="TAPA TOMATODO DOBLE CLICK-ROSADO"/>
    <n v="125"/>
    <n v="2"/>
    <n v="19.8"/>
    <s v="DIURNO"/>
    <m/>
    <n v="2"/>
    <n v="1154"/>
    <n v="21740"/>
    <s v="ROSADO"/>
    <n v="2.6"/>
    <n v="0"/>
    <n v="0"/>
    <n v="2.7675000000000001"/>
    <n v="19.8"/>
    <n v="22.14"/>
    <n v="894.30894308943084"/>
    <x v="6"/>
    <x v="0"/>
    <n v="28"/>
    <n v="5"/>
    <n v="52.083333333333336"/>
  </r>
  <r>
    <d v="2025-07-31T07:20:00"/>
    <s v="INYECTADO"/>
    <x v="0"/>
    <x v="148"/>
    <s v="JUAN MANUEL PEREZ"/>
    <m/>
    <m/>
    <m/>
    <x v="6"/>
    <s v="TAPA TOMATODO DOBLE CLICK-TURQUESA"/>
    <n v="179"/>
    <n v="3"/>
    <n v="31.3"/>
    <s v="NOCTURNO"/>
    <m/>
    <n v="3"/>
    <n v="1154"/>
    <n v="21741"/>
    <s v="TURQUESA"/>
    <n v="5"/>
    <n v="0"/>
    <n v="0"/>
    <n v="3.96306"/>
    <n v="31.3"/>
    <n v="22.14"/>
    <n v="1413.7308039747063"/>
    <x v="6"/>
    <x v="0"/>
    <n v="28"/>
    <n v="7"/>
    <n v="104.41666666666667"/>
  </r>
  <r>
    <d v="2025-07-31T07:20:00"/>
    <s v="INYECTADO"/>
    <x v="0"/>
    <x v="148"/>
    <s v="JUAN MANUEL PEREZ"/>
    <m/>
    <m/>
    <m/>
    <x v="6"/>
    <s v="TAPA TOMATODO DOBLE CLICK-CELESTE"/>
    <n v="270"/>
    <n v="5"/>
    <n v="46.6"/>
    <s v="NOCTURNO"/>
    <m/>
    <n v="5"/>
    <n v="1154"/>
    <n v="21741"/>
    <s v="CELESTE"/>
    <n v="5"/>
    <n v="0"/>
    <n v="0"/>
    <n v="5.9778000000000002"/>
    <n v="46.6"/>
    <n v="22.14"/>
    <n v="2104.7877145438119"/>
    <x v="6"/>
    <x v="0"/>
    <n v="28"/>
    <n v="7"/>
    <n v="157.5"/>
  </r>
  <r>
    <d v="2025-07-31T07:20:00"/>
    <s v="INYECTADO"/>
    <x v="0"/>
    <x v="150"/>
    <s v="JUANA CRUCES"/>
    <m/>
    <m/>
    <m/>
    <x v="6"/>
    <s v="TAPA TOMATODO DOBLE CLICK-AZURE"/>
    <n v="491"/>
    <n v="7"/>
    <n v="85.5"/>
    <s v="DIURNO"/>
    <m/>
    <n v="8"/>
    <n v="1154"/>
    <n v="21742"/>
    <s v="AZURE"/>
    <n v="15.6"/>
    <n v="0"/>
    <n v="0"/>
    <n v="10.87074"/>
    <n v="85.5"/>
    <n v="22.14"/>
    <n v="3861.7886178861786"/>
    <x v="6"/>
    <x v="0"/>
    <n v="29"/>
    <n v="7"/>
    <n v="286.41666666666669"/>
  </r>
  <r>
    <d v="2025-07-31T07:20:00"/>
    <s v="INYECTADO"/>
    <x v="0"/>
    <x v="150"/>
    <s v="JUANA CRUCES"/>
    <m/>
    <m/>
    <m/>
    <x v="6"/>
    <s v="TAPA TOMATODO DOBLE CLICK-CELESTE"/>
    <n v="73"/>
    <n v="1"/>
    <n v="12.8"/>
    <s v="DIURNO"/>
    <m/>
    <n v="1"/>
    <n v="1154"/>
    <n v="21742"/>
    <s v="CELESTE"/>
    <n v="3.9"/>
    <n v="0"/>
    <n v="0"/>
    <n v="1.61622"/>
    <n v="12.8"/>
    <n v="22.14"/>
    <n v="578.13911472448058"/>
    <x v="6"/>
    <x v="0"/>
    <n v="29"/>
    <n v="7"/>
    <n v="42.583333333333336"/>
  </r>
  <r>
    <d v="2025-07-31T07:20:00"/>
    <s v="INYECTADO"/>
    <x v="0"/>
    <x v="150"/>
    <s v="JUANA CRUCES"/>
    <m/>
    <m/>
    <m/>
    <x v="6"/>
    <s v="TAPA TOMATODO DOBLE CLICK-ROSADO"/>
    <n v="80"/>
    <n v="1"/>
    <n v="14"/>
    <s v="DIURNO"/>
    <m/>
    <n v="1"/>
    <n v="1154"/>
    <n v="21742"/>
    <s v="ROSADO"/>
    <n v="2.2000000000000002"/>
    <n v="0"/>
    <n v="0"/>
    <n v="1.7712000000000001"/>
    <n v="14"/>
    <n v="22.14"/>
    <n v="632.33965672990064"/>
    <x v="6"/>
    <x v="0"/>
    <n v="29"/>
    <n v="5"/>
    <n v="33.333333333333336"/>
  </r>
  <r>
    <d v="2025-07-31T07:20:00"/>
    <s v="INYECTADO"/>
    <x v="0"/>
    <x v="150"/>
    <s v="JOSDER GONZALEZ"/>
    <m/>
    <m/>
    <m/>
    <x v="6"/>
    <s v="TAPA TOMATODO DOBLE CLICK-LILA"/>
    <n v="174"/>
    <n v="4"/>
    <n v="39.1"/>
    <s v="NOCTURNO"/>
    <m/>
    <n v="4"/>
    <n v="1154"/>
    <n v="21743"/>
    <s v="LILA"/>
    <n v="5.8"/>
    <n v="0"/>
    <n v="0"/>
    <n v="3.85236"/>
    <n v="39.1"/>
    <n v="22.14"/>
    <n v="1766.0343270099368"/>
    <x v="6"/>
    <x v="0"/>
    <n v="29"/>
    <n v="7"/>
    <n v="101.5"/>
  </r>
  <r>
    <d v="2025-07-31T07:20:00"/>
    <s v="INYECTADO"/>
    <x v="0"/>
    <x v="150"/>
    <s v="JOSDER GONZALEZ"/>
    <m/>
    <m/>
    <m/>
    <x v="6"/>
    <s v="TAPA TOMATODO DOBLE CLICK-ROSADO"/>
    <n v="50"/>
    <n v="1"/>
    <n v="11"/>
    <s v="NOCTURNO"/>
    <m/>
    <n v="1"/>
    <n v="1154"/>
    <n v="21743"/>
    <s v="ROSADO"/>
    <n v="3.6"/>
    <n v="0"/>
    <n v="0"/>
    <n v="1.107"/>
    <n v="11"/>
    <n v="22.14"/>
    <n v="496.83830171635049"/>
    <x v="6"/>
    <x v="0"/>
    <n v="29"/>
    <n v="5"/>
    <n v="20.833333333333332"/>
  </r>
  <r>
    <d v="2025-07-31T07:20:00"/>
    <s v="INYECTADO"/>
    <x v="0"/>
    <x v="150"/>
    <s v="JOSDER GONZALEZ"/>
    <m/>
    <m/>
    <m/>
    <x v="6"/>
    <s v="TAPA TOMATODO DOBLE CLICK-SANDIA"/>
    <n v="116"/>
    <n v="2"/>
    <n v="24.7"/>
    <s v="NOCTURNO"/>
    <m/>
    <n v="2"/>
    <n v="1154"/>
    <n v="21743"/>
    <s v="SANDIA"/>
    <n v="5.7"/>
    <n v="0"/>
    <n v="0"/>
    <n v="2.5682400000000003"/>
    <n v="24.7"/>
    <n v="22.14"/>
    <n v="1115.627822944896"/>
    <x v="6"/>
    <x v="0"/>
    <n v="29"/>
    <n v="7"/>
    <n v="67.666666666666671"/>
  </r>
  <r>
    <d v="2025-07-31T07:20:00"/>
    <s v="INYECTADO"/>
    <x v="0"/>
    <x v="150"/>
    <s v="JOSDER GONZALEZ"/>
    <m/>
    <m/>
    <m/>
    <x v="6"/>
    <s v="TAPA TOMATODO DOBLE CLICK-AMARILLO"/>
    <n v="266"/>
    <n v="4"/>
    <n v="45.9"/>
    <s v="NOCTURNO"/>
    <m/>
    <n v="5"/>
    <n v="1154"/>
    <n v="21743"/>
    <s v="AMARILLO"/>
    <n v="5.4"/>
    <n v="0"/>
    <n v="0"/>
    <n v="5.88924"/>
    <n v="45.9"/>
    <n v="22.14"/>
    <n v="2073.1707317073169"/>
    <x v="6"/>
    <x v="0"/>
    <n v="29"/>
    <n v="7"/>
    <n v="155.16666666666666"/>
  </r>
  <r>
    <d v="2025-07-31T07:20:00"/>
    <s v="INYECTADO"/>
    <x v="0"/>
    <x v="161"/>
    <s v="LEONOR"/>
    <m/>
    <m/>
    <m/>
    <x v="6"/>
    <s v="TAPA TOMATODO DOBLE CLICK-NARANJA"/>
    <n v="244"/>
    <n v="4"/>
    <n v="42.2"/>
    <s v="DIURNO"/>
    <m/>
    <n v="6"/>
    <n v="1154"/>
    <n v="21744"/>
    <s v="NARANJA"/>
    <n v="15.5"/>
    <n v="0"/>
    <n v="0"/>
    <e v="#N/A"/>
    <n v="42.2"/>
    <e v="#N/A"/>
    <n v="0"/>
    <x v="6"/>
    <x v="0"/>
    <n v="29"/>
    <e v="#N/A"/>
    <e v="#N/A"/>
  </r>
  <r>
    <d v="2025-07-31T07:20:00"/>
    <s v="INYECTADO"/>
    <x v="0"/>
    <x v="161"/>
    <s v="LEONOR"/>
    <m/>
    <m/>
    <m/>
    <x v="6"/>
    <s v="TAPA TOMATODO DOBLE CLICK-TURQUESA"/>
    <n v="238"/>
    <n v="3"/>
    <n v="40.6"/>
    <s v="DIURNO"/>
    <m/>
    <n v="6"/>
    <n v="1154"/>
    <n v="21744"/>
    <s v="TURQUESA"/>
    <n v="10.3"/>
    <n v="0"/>
    <n v="0"/>
    <n v="5.2693199999999996"/>
    <n v="40.6"/>
    <n v="22.14"/>
    <n v="1833.7850045167118"/>
    <x v="6"/>
    <x v="0"/>
    <n v="29"/>
    <n v="7"/>
    <n v="138.83333333333334"/>
  </r>
  <r>
    <d v="2025-07-31T07:20:00"/>
    <s v="INYECTADO"/>
    <x v="0"/>
    <x v="162"/>
    <s v="ROSA MERINO"/>
    <m/>
    <m/>
    <m/>
    <x v="67"/>
    <s v="PORTA ACCESORIO-TURQUESA"/>
    <n v="711"/>
    <n v="3"/>
    <n v="42"/>
    <s v="DIURNO"/>
    <m/>
    <n v="3"/>
    <n v="1161"/>
    <n v="21745"/>
    <s v="TURQUESA"/>
    <n v="8"/>
    <n v="0"/>
    <n v="0"/>
    <n v="42.66"/>
    <n v="42"/>
    <n v="60"/>
    <n v="700"/>
    <x v="6"/>
    <x v="0"/>
    <n v="29"/>
    <n v="1"/>
    <n v="59.25"/>
  </r>
  <r>
    <d v="2025-07-31T07:20:00"/>
    <s v="INYECTADO"/>
    <x v="0"/>
    <x v="162"/>
    <s v="ROSA MERINO"/>
    <m/>
    <m/>
    <m/>
    <x v="67"/>
    <s v="PORTA ACCESORIO-VERDE"/>
    <n v="313"/>
    <n v="2"/>
    <n v="18.5"/>
    <s v="DIURNO"/>
    <m/>
    <n v="2"/>
    <n v="1161"/>
    <n v="21745"/>
    <s v="VERDE"/>
    <n v="0"/>
    <n v="0"/>
    <n v="0"/>
    <n v="18.78"/>
    <n v="18.5"/>
    <n v="60"/>
    <n v="308.33333333333331"/>
    <x v="6"/>
    <x v="0"/>
    <n v="29"/>
    <n v="1"/>
    <n v="26.083333333333332"/>
  </r>
  <r>
    <d v="2025-07-31T07:20:00"/>
    <s v="INYECTADO"/>
    <x v="0"/>
    <x v="163"/>
    <s v="JUANA CRUCES"/>
    <m/>
    <m/>
    <m/>
    <x v="67"/>
    <s v="PORTA ACCESORIO-CREMA"/>
    <n v="874"/>
    <n v="5"/>
    <n v="50.7"/>
    <s v="DIURNO"/>
    <m/>
    <n v="4"/>
    <n v="1161"/>
    <n v="21746"/>
    <s v="CREMA"/>
    <n v="0"/>
    <n v="0"/>
    <n v="0"/>
    <n v="52.44"/>
    <n v="50.7"/>
    <n v="60"/>
    <n v="845"/>
    <x v="6"/>
    <x v="0"/>
    <n v="29"/>
    <n v="1"/>
    <n v="72.833333333333329"/>
  </r>
  <r>
    <d v="2025-07-31T07:20:00"/>
    <s v="INYECTADO"/>
    <x v="0"/>
    <x v="163"/>
    <s v="JUANA CRUCES"/>
    <m/>
    <m/>
    <m/>
    <x v="67"/>
    <s v="PORTA ACCESORIO-MELON"/>
    <n v="870"/>
    <n v="5"/>
    <n v="50.5"/>
    <s v="DIURNO"/>
    <m/>
    <n v="4"/>
    <n v="1161"/>
    <n v="21746"/>
    <s v="MELON"/>
    <n v="0"/>
    <n v="0"/>
    <n v="0"/>
    <n v="52.2"/>
    <n v="50.5"/>
    <n v="60"/>
    <n v="841.66666666666663"/>
    <x v="6"/>
    <x v="0"/>
    <n v="29"/>
    <n v="1"/>
    <n v="72.5"/>
  </r>
  <r>
    <d v="2025-07-31T07:20:00"/>
    <s v="INYECTADO"/>
    <x v="0"/>
    <x v="163"/>
    <s v="JUANA CRUCES"/>
    <m/>
    <m/>
    <m/>
    <x v="67"/>
    <s v="PORTA ACCESORIO-VERDE"/>
    <n v="440"/>
    <n v="2"/>
    <n v="26"/>
    <s v="DIURNO"/>
    <m/>
    <n v="3"/>
    <n v="1161"/>
    <n v="21746"/>
    <s v="VERDE"/>
    <n v="4.8"/>
    <n v="0"/>
    <n v="0"/>
    <n v="26.4"/>
    <n v="26"/>
    <n v="60"/>
    <n v="433.33333333333331"/>
    <x v="6"/>
    <x v="0"/>
    <n v="29"/>
    <n v="1"/>
    <n v="36.666666666666664"/>
  </r>
  <r>
    <d v="2025-07-31T07:20:00"/>
    <s v="INYECTADO"/>
    <x v="0"/>
    <x v="163"/>
    <s v="JUAN MANUEL PEREZ"/>
    <m/>
    <m/>
    <m/>
    <x v="67"/>
    <s v="PORTA ACCESORIO-ROSADO"/>
    <n v="868"/>
    <n v="4"/>
    <n v="50.4"/>
    <s v="NOCTURNO"/>
    <m/>
    <n v="6"/>
    <n v="1161"/>
    <n v="21747"/>
    <s v="ROSADO"/>
    <n v="0"/>
    <n v="0"/>
    <n v="0"/>
    <n v="52.08"/>
    <n v="50.4"/>
    <n v="60"/>
    <n v="840"/>
    <x v="6"/>
    <x v="0"/>
    <n v="29"/>
    <n v="1"/>
    <n v="72.333333333333329"/>
  </r>
  <r>
    <d v="2025-07-31T07:20:00"/>
    <s v="INYECTADO"/>
    <x v="0"/>
    <x v="163"/>
    <s v="JUAN MANUEL PEREZ"/>
    <m/>
    <m/>
    <m/>
    <x v="67"/>
    <s v="PORTA ACCESORIO-LILA"/>
    <n v="1406"/>
    <n v="8"/>
    <n v="81.599999999999994"/>
    <s v="NOCTURNO"/>
    <m/>
    <n v="4"/>
    <n v="1161"/>
    <n v="21747"/>
    <s v="LILA"/>
    <n v="0"/>
    <n v="0"/>
    <n v="0"/>
    <n v="84.36"/>
    <n v="81.599999999999994"/>
    <n v="60"/>
    <n v="1360"/>
    <x v="6"/>
    <x v="0"/>
    <n v="29"/>
    <n v="1"/>
    <n v="117.16666666666667"/>
  </r>
  <r>
    <d v="2025-07-31T07:20:00"/>
    <s v="INYECTADO"/>
    <x v="0"/>
    <x v="164"/>
    <s v="CRISALIDA ZAPATA"/>
    <m/>
    <m/>
    <m/>
    <x v="67"/>
    <s v="PORTA ACCESORIO-LILA"/>
    <n v="322"/>
    <n v="2"/>
    <n v="19"/>
    <s v="DIURNO"/>
    <m/>
    <n v="3"/>
    <n v="1161"/>
    <n v="21748"/>
    <s v="LILA"/>
    <n v="3.4"/>
    <n v="0"/>
    <n v="0"/>
    <n v="19.32"/>
    <n v="19"/>
    <n v="60"/>
    <n v="316.66666666666669"/>
    <x v="6"/>
    <x v="0"/>
    <n v="29"/>
    <n v="1"/>
    <n v="26.833333333333332"/>
  </r>
  <r>
    <d v="2025-07-31T07:20:00"/>
    <s v="INYECTADO"/>
    <x v="0"/>
    <x v="164"/>
    <s v="CRISALIDA ZAPATA"/>
    <m/>
    <m/>
    <m/>
    <x v="67"/>
    <s v="PORTA ACCESORIO-VERDE"/>
    <n v="750"/>
    <n v="4"/>
    <n v="44.3"/>
    <s v="DIURNO"/>
    <m/>
    <n v="4"/>
    <n v="1161"/>
    <n v="21748"/>
    <s v="VERDE"/>
    <n v="0.7"/>
    <n v="0"/>
    <n v="0"/>
    <n v="45"/>
    <n v="44.3"/>
    <n v="60"/>
    <n v="738.33333333333337"/>
    <x v="6"/>
    <x v="0"/>
    <n v="29"/>
    <n v="1"/>
    <n v="62.5"/>
  </r>
  <r>
    <d v="2025-07-31T07:20:00"/>
    <s v="INYECTADO"/>
    <x v="0"/>
    <x v="164"/>
    <s v="CRISALIDA ZAPATA"/>
    <m/>
    <m/>
    <m/>
    <x v="67"/>
    <s v="PORTA ACCESORIO-ROSADO"/>
    <n v="752"/>
    <n v="4"/>
    <n v="44.4"/>
    <s v="DIURNO"/>
    <m/>
    <n v="4"/>
    <n v="1161"/>
    <n v="21748"/>
    <s v="ROSADO"/>
    <n v="6.4"/>
    <n v="0"/>
    <n v="0"/>
    <n v="45.12"/>
    <n v="44.4"/>
    <n v="60"/>
    <n v="740"/>
    <x v="6"/>
    <x v="0"/>
    <n v="29"/>
    <n v="1"/>
    <n v="62.666666666666664"/>
  </r>
  <r>
    <d v="2025-07-31T07:20:00"/>
    <s v="INYECTADO"/>
    <x v="0"/>
    <x v="165"/>
    <s v="YERIKA"/>
    <m/>
    <m/>
    <m/>
    <x v="67"/>
    <s v="PORTA ACCESORIO-VERDE"/>
    <n v="84"/>
    <n v="1"/>
    <n v="5"/>
    <s v="NOCTURNO"/>
    <m/>
    <n v="1"/>
    <n v="1161"/>
    <n v="21749"/>
    <s v="VERDE"/>
    <n v="3.5"/>
    <n v="0"/>
    <n v="0"/>
    <n v="5.04"/>
    <n v="5"/>
    <n v="60"/>
    <n v="83.333333333333329"/>
    <x v="6"/>
    <x v="0"/>
    <n v="29"/>
    <n v="1"/>
    <n v="7"/>
  </r>
  <r>
    <d v="2025-07-31T07:20:00"/>
    <s v="INYECTADO"/>
    <x v="0"/>
    <x v="165"/>
    <s v="YERIKA"/>
    <m/>
    <m/>
    <m/>
    <x v="67"/>
    <s v="PORTA ACCESORIO-MELON"/>
    <n v="849"/>
    <n v="5"/>
    <n v="50.1"/>
    <s v="NOCTURNO"/>
    <m/>
    <n v="4"/>
    <n v="1161"/>
    <n v="21749"/>
    <s v="MELON"/>
    <n v="2.8"/>
    <n v="0"/>
    <n v="0"/>
    <n v="50.94"/>
    <n v="50.1"/>
    <n v="60"/>
    <n v="835"/>
    <x v="6"/>
    <x v="0"/>
    <n v="29"/>
    <n v="1"/>
    <n v="70.75"/>
  </r>
  <r>
    <d v="2025-07-31T07:20:00"/>
    <s v="INYECTADO"/>
    <x v="0"/>
    <x v="165"/>
    <s v="YERIKA"/>
    <m/>
    <m/>
    <m/>
    <x v="67"/>
    <s v="PORTA ACCESORIO-TURQUESA"/>
    <n v="850"/>
    <n v="5"/>
    <n v="50.2"/>
    <s v="NOCTURNO"/>
    <m/>
    <n v="4"/>
    <n v="1161"/>
    <n v="21749"/>
    <s v="TURQUESA"/>
    <n v="0.6"/>
    <n v="0"/>
    <n v="0"/>
    <n v="51"/>
    <n v="50.2"/>
    <n v="60"/>
    <n v="836.66666666666663"/>
    <x v="6"/>
    <x v="0"/>
    <n v="29"/>
    <n v="1"/>
    <n v="70.833333333333329"/>
  </r>
  <r>
    <d v="2025-07-31T07:20:00"/>
    <s v="INYECTADO"/>
    <x v="0"/>
    <x v="157"/>
    <s v="ROSA MERINO"/>
    <m/>
    <m/>
    <m/>
    <x v="67"/>
    <s v="PORTA ACCESORIO-CREMA"/>
    <n v="932"/>
    <n v="5"/>
    <n v="55"/>
    <s v="DIURNO"/>
    <m/>
    <n v="4"/>
    <n v="1161"/>
    <n v="21750"/>
    <s v="CREMA"/>
    <n v="6"/>
    <n v="0"/>
    <n v="0"/>
    <n v="55.92"/>
    <n v="55"/>
    <n v="60"/>
    <n v="916.66666666666663"/>
    <x v="6"/>
    <x v="0"/>
    <n v="30"/>
    <n v="1"/>
    <n v="77.666666666666671"/>
  </r>
  <r>
    <d v="2025-07-31T07:20:00"/>
    <s v="INYECTADO"/>
    <x v="0"/>
    <x v="157"/>
    <s v="ROSA MERINO"/>
    <m/>
    <m/>
    <m/>
    <x v="67"/>
    <s v="PORTA ACCESORIO-VERDE"/>
    <n v="311"/>
    <n v="2"/>
    <n v="18.399999999999999"/>
    <s v="DIURNO"/>
    <m/>
    <n v="2"/>
    <n v="1161"/>
    <n v="21750"/>
    <s v="VERDE"/>
    <n v="4.8"/>
    <n v="0"/>
    <n v="0"/>
    <n v="18.66"/>
    <n v="18.399999999999999"/>
    <n v="60"/>
    <n v="306.66666666666669"/>
    <x v="6"/>
    <x v="0"/>
    <n v="30"/>
    <n v="1"/>
    <n v="25.916666666666668"/>
  </r>
  <r>
    <d v="2025-07-31T07:20:00"/>
    <s v="INYECTADO"/>
    <x v="0"/>
    <x v="157"/>
    <s v="ROSA MERINO"/>
    <m/>
    <m/>
    <m/>
    <x v="67"/>
    <s v="PORTA ACCESORIO-TURQUESA"/>
    <n v="149"/>
    <n v="1"/>
    <n v="8.8000000000000007"/>
    <s v="DIURNO"/>
    <m/>
    <n v="1"/>
    <n v="1161"/>
    <n v="21750"/>
    <s v="TURQUESA"/>
    <n v="2.2000000000000002"/>
    <n v="0"/>
    <n v="0"/>
    <n v="8.94"/>
    <n v="8.8000000000000007"/>
    <n v="60"/>
    <n v="146.66666666666666"/>
    <x v="6"/>
    <x v="0"/>
    <n v="30"/>
    <n v="1"/>
    <n v="12.416666666666666"/>
  </r>
  <r>
    <d v="2025-07-31T07:20:00"/>
    <s v="INYECTADO"/>
    <x v="0"/>
    <x v="158"/>
    <s v="CRISALIDA ZAPATA"/>
    <m/>
    <m/>
    <m/>
    <x v="67"/>
    <s v="PORTA ACCESORIO-TURQUESA"/>
    <n v="184"/>
    <n v="2"/>
    <n v="10.9"/>
    <s v="DIURNO"/>
    <m/>
    <n v="1"/>
    <n v="1161"/>
    <n v="21751"/>
    <s v="TURQUESA"/>
    <n v="8.8000000000000007"/>
    <n v="0"/>
    <n v="0"/>
    <n v="11.04"/>
    <n v="10.9"/>
    <n v="60"/>
    <n v="181.66666666666666"/>
    <x v="6"/>
    <x v="0"/>
    <n v="30"/>
    <n v="1"/>
    <n v="15.333333333333334"/>
  </r>
  <r>
    <d v="2025-07-31T07:20:00"/>
    <s v="INYECTADO"/>
    <x v="0"/>
    <x v="158"/>
    <s v="CRISALIDA ZAPATA"/>
    <m/>
    <m/>
    <m/>
    <x v="67"/>
    <s v="PORTA ACCESORIO-ROSADO"/>
    <n v="74"/>
    <n v="2"/>
    <n v="4.4000000000000004"/>
    <s v="DIURNO"/>
    <m/>
    <n v="1"/>
    <n v="1161"/>
    <n v="21751"/>
    <s v="FUCSIA"/>
    <n v="2"/>
    <n v="0"/>
    <n v="0"/>
    <n v="4.4400000000000004"/>
    <n v="4.4000000000000004"/>
    <n v="60"/>
    <n v="73.333333333333329"/>
    <x v="6"/>
    <x v="0"/>
    <n v="30"/>
    <n v="1"/>
    <n v="6.166666666666667"/>
  </r>
  <r>
    <d v="2025-07-31T07:20:00"/>
    <s v="INYECTADO"/>
    <x v="0"/>
    <x v="153"/>
    <s v="CRISALIDA ZAPATA"/>
    <m/>
    <m/>
    <m/>
    <x v="67"/>
    <s v="PORTA ACCESORIO-ROSADO"/>
    <n v="240"/>
    <n v="3"/>
    <n v="14.2"/>
    <s v="DIURNO"/>
    <m/>
    <n v="2"/>
    <n v="1161"/>
    <n v="21752"/>
    <s v="FUCSIA"/>
    <n v="0.6"/>
    <n v="0"/>
    <n v="0"/>
    <n v="14.4"/>
    <n v="14.2"/>
    <n v="60"/>
    <n v="236.66666666666666"/>
    <x v="6"/>
    <x v="0"/>
    <n v="30"/>
    <n v="1"/>
    <n v="20"/>
  </r>
  <r>
    <d v="2025-07-31T07:20:00"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8-02T09:10:00"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d v="2025-07-31T07:20:00"/>
    <s v="INYECTADO"/>
    <x v="1"/>
    <x v="164"/>
    <s v="ROSA MERINO"/>
    <m/>
    <m/>
    <m/>
    <x v="115"/>
    <s v="CASCO MILITAR"/>
    <n v="947"/>
    <n v="9"/>
    <n v="91"/>
    <s v="DIURNO"/>
    <m/>
    <n v="8"/>
    <n v="1162"/>
    <n v="21602"/>
    <s v="VERDE MILITAR"/>
    <n v="6"/>
    <n v="0"/>
    <n v="0"/>
    <e v="#N/A"/>
    <n v="91"/>
    <e v="#N/A"/>
    <n v="0"/>
    <x v="6"/>
    <x v="0"/>
    <n v="29"/>
    <e v="#N/A"/>
    <e v="#N/A"/>
  </r>
  <r>
    <d v="2025-07-31T07:20:00"/>
    <s v="INYECTADO"/>
    <x v="1"/>
    <x v="157"/>
    <s v="LUIS PINEDO"/>
    <m/>
    <m/>
    <m/>
    <x v="115"/>
    <s v="CASCO MILITAR"/>
    <n v="644"/>
    <n v="6"/>
    <n v="60.6"/>
    <s v="DIURNO"/>
    <m/>
    <n v="6"/>
    <n v="1162"/>
    <n v="21603"/>
    <s v="VERDE MILITAR"/>
    <n v="5"/>
    <n v="0"/>
    <n v="0"/>
    <e v="#N/A"/>
    <n v="60.6"/>
    <e v="#N/A"/>
    <n v="0"/>
    <x v="6"/>
    <x v="0"/>
    <n v="30"/>
    <e v="#N/A"/>
    <e v="#N/A"/>
  </r>
  <r>
    <d v="2025-07-31T07:20:00"/>
    <s v="INYECTADO"/>
    <x v="1"/>
    <x v="157"/>
    <s v="JOSDER GONZALEZ"/>
    <m/>
    <m/>
    <m/>
    <x v="115"/>
    <s v="CASCO MILITAR"/>
    <n v="443"/>
    <n v="7"/>
    <n v="41.7"/>
    <s v="NOCTURNO"/>
    <m/>
    <n v="4"/>
    <n v="1162"/>
    <n v="21604"/>
    <s v="VERDE MILITAR"/>
    <n v="6.2"/>
    <n v="0"/>
    <n v="0"/>
    <e v="#N/A"/>
    <n v="41.7"/>
    <e v="#N/A"/>
    <n v="0"/>
    <x v="6"/>
    <x v="0"/>
    <n v="30"/>
    <e v="#N/A"/>
    <e v="#N/A"/>
  </r>
  <r>
    <d v="2025-07-31T07:20:00"/>
    <s v="INYECTADO"/>
    <x v="1"/>
    <x v="158"/>
    <s v="LUIS PINEDO"/>
    <m/>
    <m/>
    <m/>
    <x v="115"/>
    <s v="CASCO MILITAR"/>
    <n v="1191"/>
    <n v="11"/>
    <n v="112"/>
    <s v="DIURNO"/>
    <m/>
    <n v="11"/>
    <n v="1162"/>
    <n v="21605"/>
    <s v="VERDE MILITAR"/>
    <n v="0"/>
    <n v="0"/>
    <n v="0"/>
    <e v="#N/A"/>
    <n v="112"/>
    <e v="#N/A"/>
    <n v="0"/>
    <x v="6"/>
    <x v="0"/>
    <n v="30"/>
    <e v="#N/A"/>
    <e v="#N/A"/>
  </r>
  <r>
    <d v="2025-07-31T07:20:00"/>
    <s v="INYECTADO"/>
    <x v="1"/>
    <x v="159"/>
    <s v="MARIA ALEJANDRA"/>
    <m/>
    <m/>
    <m/>
    <x v="115"/>
    <s v="CASCO MILITAR"/>
    <n v="963"/>
    <n v="10"/>
    <n v="90.6"/>
    <s v="DIURNO"/>
    <m/>
    <n v="9"/>
    <n v="1162"/>
    <n v="21606"/>
    <s v="VERDE MILITAR"/>
    <n v="3.4"/>
    <n v="0"/>
    <n v="0"/>
    <e v="#N/A"/>
    <n v="90.6"/>
    <e v="#N/A"/>
    <n v="0"/>
    <x v="6"/>
    <x v="0"/>
    <n v="30"/>
    <e v="#N/A"/>
    <e v="#N/A"/>
  </r>
  <r>
    <d v="2025-07-31T07:20:00"/>
    <s v="INYECTADO"/>
    <x v="1"/>
    <x v="153"/>
    <s v="LUIS PINEDO"/>
    <m/>
    <m/>
    <m/>
    <x v="115"/>
    <s v="CASCO MILITAR"/>
    <n v="1093"/>
    <n v="9"/>
    <n v="102.8"/>
    <s v="DIURNO"/>
    <m/>
    <n v="9"/>
    <n v="1162"/>
    <n v="21607"/>
    <s v="VERDE MILITAR"/>
    <n v="0"/>
    <n v="0"/>
    <n v="0"/>
    <e v="#N/A"/>
    <n v="102.8"/>
    <e v="#N/A"/>
    <n v="0"/>
    <x v="6"/>
    <x v="0"/>
    <n v="30"/>
    <e v="#N/A"/>
    <e v="#N/A"/>
  </r>
  <r>
    <d v="2025-07-31T07:20:00"/>
    <s v="INYECTADO"/>
    <x v="1"/>
    <x v="153"/>
    <s v="JUAN MANUEL PEREZ"/>
    <m/>
    <m/>
    <m/>
    <x v="115"/>
    <s v="CASCO MILITAR"/>
    <n v="244"/>
    <n v="3"/>
    <n v="23"/>
    <s v="NOCTURNO"/>
    <m/>
    <n v="2"/>
    <n v="1162"/>
    <n v="21608"/>
    <s v="VERDE MILITAR"/>
    <n v="0"/>
    <n v="0"/>
    <n v="0"/>
    <e v="#N/A"/>
    <n v="23"/>
    <e v="#N/A"/>
    <n v="0"/>
    <x v="6"/>
    <x v="0"/>
    <n v="30"/>
    <e v="#N/A"/>
    <e v="#N/A"/>
  </r>
  <r>
    <d v="2025-07-31T07:20:00"/>
    <s v="INYECTADO"/>
    <x v="1"/>
    <x v="154"/>
    <s v="LUIS PINEDO"/>
    <m/>
    <m/>
    <m/>
    <x v="115"/>
    <s v="CASCO MILITAR"/>
    <n v="831"/>
    <n v="8"/>
    <n v="78.2"/>
    <s v="DIURNO"/>
    <m/>
    <n v="8"/>
    <n v="1162"/>
    <n v="21609"/>
    <s v="VERDE MILITAR"/>
    <n v="0"/>
    <n v="0"/>
    <n v="0"/>
    <e v="#N/A"/>
    <n v="78.2"/>
    <e v="#N/A"/>
    <n v="0"/>
    <x v="6"/>
    <x v="0"/>
    <n v="30"/>
    <e v="#N/A"/>
    <e v="#N/A"/>
  </r>
  <r>
    <d v="2025-07-31T07:20:00"/>
    <s v="INYECTADO"/>
    <x v="1"/>
    <x v="154"/>
    <s v="GABRIEL REQUENA"/>
    <m/>
    <m/>
    <m/>
    <x v="115"/>
    <s v="CASCO MILITAR"/>
    <n v="607"/>
    <n v="5"/>
    <n v="57.1"/>
    <s v="NOCTURNO"/>
    <m/>
    <n v="5"/>
    <n v="1162"/>
    <n v="21610"/>
    <s v="VERDE MILITAR"/>
    <n v="5"/>
    <n v="0"/>
    <n v="0"/>
    <e v="#N/A"/>
    <n v="57.1"/>
    <e v="#N/A"/>
    <n v="0"/>
    <x v="6"/>
    <x v="0"/>
    <n v="30"/>
    <e v="#N/A"/>
    <e v="#N/A"/>
  </r>
  <r>
    <d v="2025-07-31T07:20:00"/>
    <s v="INYECTADO"/>
    <x v="6"/>
    <x v="151"/>
    <s v="SIN NOMBRE"/>
    <m/>
    <m/>
    <m/>
    <x v="11"/>
    <s v="LAVACUELA REDONDO-ROSADO"/>
    <n v="610"/>
    <n v="2"/>
    <n v="58.6"/>
    <s v="DIURNO"/>
    <m/>
    <n v="5"/>
    <n v="1140"/>
    <n v="21274"/>
    <s v="ROSADO"/>
    <n v="13.4"/>
    <n v="0"/>
    <n v="0"/>
    <n v="56.424999999999997"/>
    <n v="58.6"/>
    <n v="92.5"/>
    <n v="633.51351351351354"/>
    <x v="6"/>
    <x v="0"/>
    <n v="27"/>
    <n v="1"/>
    <n v="50.833333333333336"/>
  </r>
  <r>
    <d v="2025-07-31T07:20:00"/>
    <s v="INYECTADO"/>
    <x v="6"/>
    <x v="151"/>
    <s v="SIN NOMBRE"/>
    <m/>
    <m/>
    <m/>
    <x v="11"/>
    <s v="LAVACUELA REDONDO-TURQUESA"/>
    <n v="162"/>
    <n v="9"/>
    <n v="15.6"/>
    <s v="DIURNO"/>
    <m/>
    <n v="2"/>
    <n v="1140"/>
    <n v="21274"/>
    <s v="TURQUESA"/>
    <n v="4.7"/>
    <n v="0"/>
    <n v="0"/>
    <n v="14.984999999999999"/>
    <n v="15.6"/>
    <n v="92.5"/>
    <n v="168.64864864864865"/>
    <x v="6"/>
    <x v="0"/>
    <n v="27"/>
    <n v="1"/>
    <n v="13.5"/>
  </r>
  <r>
    <d v="2025-07-31T07:20:00"/>
    <s v="INYECTADO"/>
    <x v="6"/>
    <x v="151"/>
    <s v="JUAN MANUEL PEREZ"/>
    <m/>
    <m/>
    <m/>
    <x v="11"/>
    <s v="LAVACUELA REDONDO-FUCSIA"/>
    <n v="273"/>
    <n v="3"/>
    <n v="26.2"/>
    <s v="NOCTURNO"/>
    <m/>
    <n v="4"/>
    <n v="1140"/>
    <n v="21275"/>
    <s v="FUCSIA"/>
    <n v="0"/>
    <n v="0"/>
    <n v="0"/>
    <e v="#N/A"/>
    <n v="26.2"/>
    <e v="#N/A"/>
    <n v="0"/>
    <x v="6"/>
    <x v="0"/>
    <n v="27"/>
    <e v="#N/A"/>
    <e v="#N/A"/>
  </r>
  <r>
    <d v="2025-07-31T07:20:00"/>
    <s v="INYECTADO"/>
    <x v="6"/>
    <x v="151"/>
    <s v="JUAN MANUEL PEREZ"/>
    <m/>
    <m/>
    <m/>
    <x v="11"/>
    <s v="LAVACUELA REDONDO-LILA"/>
    <n v="732"/>
    <n v="7"/>
    <n v="70.3"/>
    <s v="NOCTURNO"/>
    <m/>
    <n v="6"/>
    <n v="1140"/>
    <n v="21275"/>
    <s v="LILA"/>
    <n v="7"/>
    <n v="0"/>
    <n v="0"/>
    <n v="67.709999999999994"/>
    <n v="70.3"/>
    <n v="92.5"/>
    <n v="760"/>
    <x v="6"/>
    <x v="0"/>
    <n v="27"/>
    <n v="1"/>
    <n v="61"/>
  </r>
  <r>
    <d v="2025-07-31T07:20:00"/>
    <s v="INYECTADO"/>
    <x v="6"/>
    <x v="152"/>
    <s v="JUANA CRUCES"/>
    <m/>
    <m/>
    <m/>
    <x v="11"/>
    <s v="LAVACUELA REDONDO-LILA"/>
    <n v="310"/>
    <n v="2"/>
    <n v="21.9"/>
    <s v="DIURNO"/>
    <m/>
    <n v="3"/>
    <n v="1140"/>
    <n v="21276"/>
    <s v="LILA"/>
    <n v="3.2"/>
    <n v="0"/>
    <n v="0"/>
    <n v="28.675000000000001"/>
    <n v="21.9"/>
    <n v="92.5"/>
    <n v="236.75675675675674"/>
    <x v="6"/>
    <x v="0"/>
    <n v="27"/>
    <n v="1"/>
    <n v="25.833333333333332"/>
  </r>
  <r>
    <d v="2025-07-31T07:20:00"/>
    <s v="INYECTADO"/>
    <x v="6"/>
    <x v="152"/>
    <s v="JUANA CRUCES"/>
    <m/>
    <m/>
    <m/>
    <x v="11"/>
    <s v="LAVACUELA REDONDO-MELON"/>
    <n v="847"/>
    <n v="9"/>
    <n v="81.400000000000006"/>
    <s v="DIURNO"/>
    <m/>
    <n v="7"/>
    <n v="1140"/>
    <n v="21276"/>
    <s v="MELON"/>
    <n v="4.5"/>
    <n v="0"/>
    <n v="0"/>
    <n v="78.347499999999997"/>
    <n v="81.400000000000006"/>
    <n v="92.5"/>
    <n v="880"/>
    <x v="6"/>
    <x v="0"/>
    <n v="27"/>
    <n v="1"/>
    <n v="70.583333333333329"/>
  </r>
  <r>
    <d v="2025-07-31T07:20:00"/>
    <s v="INYECTADO"/>
    <x v="6"/>
    <x v="160"/>
    <s v="ALEJANDRO"/>
    <m/>
    <m/>
    <m/>
    <x v="11"/>
    <s v="LAVACUELA REDONDO-MELON"/>
    <n v="364"/>
    <n v="4"/>
    <n v="35"/>
    <s v="DIURNO"/>
    <m/>
    <n v="3"/>
    <n v="1140"/>
    <n v="21277"/>
    <s v="MELON"/>
    <n v="5.5"/>
    <n v="0"/>
    <n v="0"/>
    <n v="33.67"/>
    <n v="35"/>
    <n v="92.5"/>
    <n v="378.37837837837839"/>
    <x v="6"/>
    <x v="0"/>
    <n v="27"/>
    <n v="1"/>
    <n v="30.333333333333332"/>
  </r>
  <r>
    <d v="2025-07-31T07:20:00"/>
    <s v="INYECTADO"/>
    <x v="6"/>
    <x v="160"/>
    <s v="ALEJANDRO"/>
    <m/>
    <m/>
    <m/>
    <x v="11"/>
    <s v="LAVACUELA REDONDO-ROSADO"/>
    <n v="273"/>
    <n v="3"/>
    <n v="26.3"/>
    <s v="DIURNO"/>
    <m/>
    <n v="2"/>
    <n v="1140"/>
    <n v="21277"/>
    <s v="ROSADO"/>
    <n v="2.2999999999999998"/>
    <n v="0"/>
    <n v="0"/>
    <n v="25.252500000000001"/>
    <n v="26.3"/>
    <n v="92.5"/>
    <n v="284.32432432432432"/>
    <x v="6"/>
    <x v="0"/>
    <n v="27"/>
    <n v="1"/>
    <n v="22.75"/>
  </r>
  <r>
    <d v="2025-07-31T07:20:00"/>
    <s v="INYECTADO"/>
    <x v="6"/>
    <x v="160"/>
    <s v="ALEJANDRO"/>
    <m/>
    <m/>
    <m/>
    <x v="11"/>
    <s v="LAVACUELA REDONDO-LILA"/>
    <n v="161"/>
    <n v="2"/>
    <n v="15.5"/>
    <s v="DIURNO"/>
    <m/>
    <n v="1"/>
    <n v="1140"/>
    <n v="21277"/>
    <s v="LILA"/>
    <n v="3.1"/>
    <n v="0"/>
    <n v="0"/>
    <n v="14.8925"/>
    <n v="15.5"/>
    <n v="92.5"/>
    <n v="167.56756756756758"/>
    <x v="6"/>
    <x v="0"/>
    <n v="27"/>
    <n v="1"/>
    <n v="13.416666666666666"/>
  </r>
  <r>
    <d v="2025-07-31T07:20:00"/>
    <s v="INYECTADO"/>
    <x v="6"/>
    <x v="141"/>
    <s v="SIN NOMBRE"/>
    <m/>
    <m/>
    <m/>
    <x v="11"/>
    <s v="LAVACUELA REDONDO-LILA"/>
    <n v="73"/>
    <n v="2"/>
    <n v="7.1"/>
    <s v="DIURNO"/>
    <m/>
    <n v="2"/>
    <n v="1140"/>
    <n v="21278"/>
    <s v="LILA"/>
    <n v="0"/>
    <n v="0"/>
    <n v="0"/>
    <n v="6.7525000000000004"/>
    <n v="7.1"/>
    <n v="92.5"/>
    <n v="76.756756756756758"/>
    <x v="6"/>
    <x v="0"/>
    <n v="27"/>
    <n v="1"/>
    <n v="6.083333333333333"/>
  </r>
  <r>
    <d v="2025-07-31T07:20:00"/>
    <s v="INYECTADO"/>
    <x v="6"/>
    <x v="141"/>
    <s v="SIN NOMBRE"/>
    <m/>
    <m/>
    <m/>
    <x v="11"/>
    <s v="LAVACUELA REDONDO-TURQUESA"/>
    <n v="231"/>
    <n v="2"/>
    <n v="22.2"/>
    <s v="DIURNO"/>
    <m/>
    <n v="2"/>
    <n v="1140"/>
    <n v="21278"/>
    <s v="TURQUESA"/>
    <n v="0"/>
    <n v="0"/>
    <n v="0"/>
    <n v="21.3675"/>
    <n v="22.2"/>
    <n v="92.5"/>
    <n v="240"/>
    <x v="6"/>
    <x v="0"/>
    <n v="27"/>
    <n v="1"/>
    <n v="19.25"/>
  </r>
  <r>
    <d v="2025-07-31T07:20:00"/>
    <s v="INYECTADO"/>
    <x v="6"/>
    <x v="141"/>
    <s v="SIN NOMBRE"/>
    <m/>
    <m/>
    <m/>
    <x v="11"/>
    <s v="LAVACUELA REDONDO-VERDE"/>
    <n v="244"/>
    <n v="3"/>
    <n v="23.5"/>
    <s v="DIURNO"/>
    <m/>
    <n v="2"/>
    <n v="1140"/>
    <n v="21278"/>
    <s v="VERDE  "/>
    <n v="0"/>
    <n v="0"/>
    <n v="0"/>
    <n v="22.57"/>
    <n v="23.5"/>
    <n v="92.5"/>
    <n v="254.05405405405406"/>
    <x v="6"/>
    <x v="0"/>
    <n v="27"/>
    <n v="1"/>
    <n v="20.333333333333332"/>
  </r>
  <r>
    <d v="2025-07-31T07:20:00"/>
    <s v="INYECTADO"/>
    <x v="6"/>
    <x v="141"/>
    <s v="SIN NOMBRE"/>
    <m/>
    <m/>
    <m/>
    <x v="11"/>
    <s v="LAVACUELA REDONDO-CREMA"/>
    <n v="163"/>
    <n v="2"/>
    <n v="15.7"/>
    <s v="DIURNO"/>
    <m/>
    <n v="2"/>
    <n v="1140"/>
    <n v="21278"/>
    <s v="CREMA"/>
    <n v="0"/>
    <n v="0"/>
    <n v="0"/>
    <n v="15.077500000000001"/>
    <n v="15.7"/>
    <n v="92.5"/>
    <n v="169.72972972972974"/>
    <x v="6"/>
    <x v="0"/>
    <n v="27"/>
    <n v="1"/>
    <n v="13.583333333333334"/>
  </r>
  <r>
    <d v="2025-07-31T07:20:00"/>
    <s v="INYECTADO"/>
    <x v="6"/>
    <x v="142"/>
    <s v="NELSON PINEDO"/>
    <m/>
    <m/>
    <m/>
    <x v="11"/>
    <s v="LAVACUELA REDONDO-CREMA"/>
    <n v="120"/>
    <n v="1"/>
    <n v="11.6"/>
    <s v="DIURNO"/>
    <m/>
    <n v="1"/>
    <n v="1140"/>
    <n v="21279"/>
    <s v="CREMA"/>
    <n v="0"/>
    <n v="0"/>
    <n v="0"/>
    <n v="11.1"/>
    <n v="11.6"/>
    <n v="92.5"/>
    <n v="125.4054054054054"/>
    <x v="6"/>
    <x v="0"/>
    <n v="27"/>
    <n v="1"/>
    <n v="10"/>
  </r>
  <r>
    <d v="2025-07-31T07:20:00"/>
    <s v="INYECTADO"/>
    <x v="6"/>
    <x v="142"/>
    <s v="NELSON PINEDO"/>
    <m/>
    <m/>
    <m/>
    <x v="116"/>
    <s v="REPOSTERO 6KG -TRANSPARENTE"/>
    <n v="362"/>
    <n v="3"/>
    <n v="76.2"/>
    <s v="DIURNO"/>
    <m/>
    <n v="6"/>
    <n v="1149"/>
    <n v="21279"/>
    <s v="TRANSPARENTE"/>
    <n v="10"/>
    <n v="0"/>
    <n v="0"/>
    <n v="76.382000000000005"/>
    <n v="76.2"/>
    <n v="211"/>
    <n v="361.13744075829385"/>
    <x v="6"/>
    <x v="0"/>
    <n v="27"/>
    <n v="1"/>
    <n v="30.166666666666668"/>
  </r>
  <r>
    <d v="2025-07-31T07:20:00"/>
    <s v="INYECTADO"/>
    <x v="6"/>
    <x v="142"/>
    <s v="YERIKA"/>
    <m/>
    <m/>
    <m/>
    <x v="116"/>
    <s v="REPOSTERO 6KG -TRANSPARENTE"/>
    <n v="1314"/>
    <n v="12"/>
    <n v="276"/>
    <s v="NOCTURNO"/>
    <m/>
    <n v="28"/>
    <n v="1149"/>
    <n v="21280"/>
    <s v="TRANSPARENTE"/>
    <n v="4.4000000000000004"/>
    <n v="0"/>
    <n v="0"/>
    <n v="277.25400000000002"/>
    <n v="276"/>
    <n v="211"/>
    <n v="1308.0568720379147"/>
    <x v="6"/>
    <x v="0"/>
    <n v="27"/>
    <n v="1"/>
    <n v="109.5"/>
  </r>
  <r>
    <d v="2025-07-31T07:20:00"/>
    <s v="INYECTADO"/>
    <x v="6"/>
    <x v="143"/>
    <s v="LUIS PINEDO"/>
    <m/>
    <m/>
    <m/>
    <x v="116"/>
    <s v="REPOSTERO 6KG -TRANSPARENTE"/>
    <n v="1120"/>
    <n v="10"/>
    <n v="235.3"/>
    <s v="DIURNO"/>
    <m/>
    <n v="20"/>
    <n v="1149"/>
    <n v="21281"/>
    <s v="TRANSPARENTE"/>
    <n v="3.5"/>
    <n v="0"/>
    <n v="0"/>
    <n v="236.32"/>
    <n v="235.3"/>
    <n v="211"/>
    <n v="1115.1658767772512"/>
    <x v="6"/>
    <x v="0"/>
    <n v="28"/>
    <n v="1"/>
    <n v="93.333333333333329"/>
  </r>
  <r>
    <d v="2025-07-31T07:20:00"/>
    <s v="INYECTADO"/>
    <x v="6"/>
    <x v="144"/>
    <s v="ALEJANDRO"/>
    <m/>
    <m/>
    <m/>
    <x v="116"/>
    <s v="REPOSTERO 6KG -TRANSPARENTE"/>
    <n v="1185"/>
    <n v="12"/>
    <n v="253.7"/>
    <s v="DIURNO"/>
    <m/>
    <n v="20"/>
    <n v="1149"/>
    <n v="21282"/>
    <s v="TRANSPARENTE"/>
    <n v="6.4"/>
    <n v="0"/>
    <n v="0"/>
    <n v="250.035"/>
    <n v="253.7"/>
    <n v="211"/>
    <n v="1202.3696682464456"/>
    <x v="6"/>
    <x v="0"/>
    <n v="28"/>
    <n v="1"/>
    <n v="98.75"/>
  </r>
  <r>
    <d v="2025-07-31T07:20:00"/>
    <s v="INYECTADO"/>
    <x v="6"/>
    <x v="150"/>
    <s v="CRISALIDA ZAPATA"/>
    <m/>
    <m/>
    <m/>
    <x v="116"/>
    <s v="REPOSTERO 6KG -TRANSPARENTE"/>
    <n v="1076"/>
    <n v="11"/>
    <n v="227.1"/>
    <s v="NOCTURNO"/>
    <m/>
    <n v="18"/>
    <n v="1149"/>
    <n v="21283"/>
    <s v="TRANSPARENTE"/>
    <n v="6.1"/>
    <n v="0"/>
    <n v="0"/>
    <n v="227.036"/>
    <n v="227.1"/>
    <n v="211"/>
    <n v="1076.3033175355449"/>
    <x v="6"/>
    <x v="0"/>
    <n v="29"/>
    <n v="1"/>
    <n v="89.666666666666671"/>
  </r>
  <r>
    <d v="2025-07-31T07:20:00"/>
    <s v="INYECTADO"/>
    <x v="6"/>
    <x v="161"/>
    <s v="LUCHO"/>
    <m/>
    <m/>
    <m/>
    <x v="98"/>
    <s v="TAPA REPOSTEROS-AMARILLO"/>
    <n v="761"/>
    <n v="7"/>
    <n v="81.5"/>
    <s v="DIURNO"/>
    <m/>
    <n v="8"/>
    <n v="1160"/>
    <n v="21284"/>
    <s v="AMARILLO"/>
    <n v="0"/>
    <n v="0"/>
    <n v="0"/>
    <n v="41.094000000000001"/>
    <n v="81.5"/>
    <n v="54"/>
    <n v="1509.2592592592594"/>
    <x v="6"/>
    <x v="0"/>
    <n v="29"/>
    <n v="2"/>
    <n v="126.83333333333333"/>
  </r>
  <r>
    <d v="2025-07-31T07:20:00"/>
    <s v="INYECTADO"/>
    <x v="6"/>
    <x v="161"/>
    <s v="YERIKA"/>
    <m/>
    <m/>
    <m/>
    <x v="98"/>
    <s v="TAPA REPOSTEROS-AMARILLO"/>
    <n v="48"/>
    <n v="1"/>
    <n v="5.0999999999999996"/>
    <s v="NOCTURNO"/>
    <m/>
    <n v="1"/>
    <n v="1160"/>
    <n v="21285"/>
    <s v="AMARILLO"/>
    <n v="3.7"/>
    <n v="0"/>
    <n v="0"/>
    <n v="2.5920000000000001"/>
    <n v="5.0999999999999996"/>
    <n v="54"/>
    <n v="94.444444444444443"/>
    <x v="6"/>
    <x v="0"/>
    <n v="29"/>
    <n v="2"/>
    <n v="8"/>
  </r>
  <r>
    <d v="2025-07-31T07:20:00"/>
    <s v="INYECTADO"/>
    <x v="6"/>
    <x v="161"/>
    <s v="YERIKA"/>
    <m/>
    <m/>
    <m/>
    <x v="98"/>
    <s v="TAPA REPOSTEROS-VERDE"/>
    <n v="944"/>
    <n v="7"/>
    <n v="99.2"/>
    <s v="NOCTURNO"/>
    <m/>
    <n v="11"/>
    <n v="1160"/>
    <n v="21285"/>
    <s v="VERDE"/>
    <n v="14"/>
    <n v="0"/>
    <n v="0"/>
    <n v="50.975999999999999"/>
    <n v="99.2"/>
    <n v="54"/>
    <n v="1837.037037037037"/>
    <x v="6"/>
    <x v="0"/>
    <n v="29"/>
    <n v="2"/>
    <n v="157.33333333333334"/>
  </r>
  <r>
    <d v="2025-07-31T07:20:00"/>
    <s v="INYECTADO"/>
    <x v="6"/>
    <x v="161"/>
    <s v="YERIKA"/>
    <m/>
    <m/>
    <m/>
    <x v="98"/>
    <s v="TAPA REPOSTEROS-ROJO"/>
    <n v="424"/>
    <n v="4"/>
    <n v="44.6"/>
    <s v="NOCTURNO"/>
    <m/>
    <n v="4"/>
    <n v="1160"/>
    <n v="21285"/>
    <s v="ROJO"/>
    <n v="2.8"/>
    <n v="0"/>
    <n v="0"/>
    <n v="22.896000000000001"/>
    <n v="44.6"/>
    <n v="54"/>
    <n v="825.92592592592598"/>
    <x v="6"/>
    <x v="0"/>
    <n v="29"/>
    <n v="2"/>
    <n v="70.666666666666671"/>
  </r>
  <r>
    <d v="2025-07-31T07:20:00"/>
    <s v="INYECTADO"/>
    <x v="6"/>
    <x v="162"/>
    <s v="JUANA CRUCES"/>
    <m/>
    <m/>
    <m/>
    <x v="98"/>
    <s v="TAPA REPOSTEROS-ROJO"/>
    <n v="436"/>
    <n v="4"/>
    <n v="49.3"/>
    <s v="DIURNO"/>
    <m/>
    <n v="5"/>
    <n v="1160"/>
    <n v="21286"/>
    <s v="ROJO"/>
    <n v="49.3"/>
    <n v="0"/>
    <n v="0"/>
    <n v="23.544"/>
    <n v="49.3"/>
    <n v="54"/>
    <n v="912.96296296296293"/>
    <x v="6"/>
    <x v="0"/>
    <n v="29"/>
    <n v="2"/>
    <n v="72.666666666666671"/>
  </r>
  <r>
    <d v="2025-07-31T07:20:00"/>
    <s v="INYECTADO"/>
    <x v="6"/>
    <x v="162"/>
    <s v="JUANA CRUCES"/>
    <m/>
    <m/>
    <m/>
    <x v="98"/>
    <s v="TAPA REPOSTEROS-TURQUESA"/>
    <n v="827"/>
    <n v="7"/>
    <n v="93.5"/>
    <s v="DIURNO"/>
    <m/>
    <n v="9"/>
    <n v="1160"/>
    <n v="21286"/>
    <s v="TURQUESA"/>
    <n v="93.5"/>
    <n v="0"/>
    <n v="0"/>
    <n v="44.658000000000001"/>
    <n v="93.5"/>
    <n v="54"/>
    <n v="1731.4814814814815"/>
    <x v="6"/>
    <x v="0"/>
    <n v="29"/>
    <n v="2"/>
    <n v="137.83333333333334"/>
  </r>
  <r>
    <d v="2025-07-31T07:20:00"/>
    <s v="INYECTADO"/>
    <x v="6"/>
    <x v="162"/>
    <s v="GABRIEL REQUENA"/>
    <m/>
    <m/>
    <m/>
    <x v="98"/>
    <s v="TAPA REPOSTEROS-AZUL"/>
    <n v="225"/>
    <n v="2"/>
    <n v="25.5"/>
    <s v="NOCTURNO"/>
    <m/>
    <n v="3"/>
    <n v="1160"/>
    <n v="21287"/>
    <s v="AZUL"/>
    <n v="2.2000000000000002"/>
    <n v="0"/>
    <n v="0"/>
    <n v="12.15"/>
    <n v="25.5"/>
    <n v="54"/>
    <n v="472.22222222222223"/>
    <x v="6"/>
    <x v="0"/>
    <n v="29"/>
    <n v="2"/>
    <n v="37.5"/>
  </r>
  <r>
    <d v="2025-07-31T07:20:00"/>
    <s v="INYECTADO"/>
    <x v="6"/>
    <x v="163"/>
    <s v="CRISALIDA ZAPATA"/>
    <m/>
    <m/>
    <m/>
    <x v="98"/>
    <s v="TAPA REPOSTEROS-NARANJA"/>
    <n v="769"/>
    <n v="7"/>
    <n v="83.9"/>
    <s v="DIURNO"/>
    <m/>
    <n v="8"/>
    <n v="1160"/>
    <n v="21288"/>
    <s v="NARANJA"/>
    <n v="11.9"/>
    <n v="0"/>
    <n v="0"/>
    <e v="#N/A"/>
    <n v="83.9"/>
    <e v="#N/A"/>
    <n v="0"/>
    <x v="6"/>
    <x v="0"/>
    <n v="29"/>
    <e v="#N/A"/>
    <e v="#N/A"/>
  </r>
  <r>
    <d v="2025-07-31T07:20:00"/>
    <s v="INYECTADO"/>
    <x v="6"/>
    <x v="163"/>
    <s v="CRISALIDA ZAPATA"/>
    <m/>
    <m/>
    <m/>
    <x v="98"/>
    <s v="TAPA REPOSTEROS-AZUL"/>
    <n v="489"/>
    <n v="4"/>
    <n v="53.8"/>
    <s v="DIURNO"/>
    <m/>
    <n v="6"/>
    <n v="1160"/>
    <n v="21288"/>
    <s v="AZUL"/>
    <n v="8"/>
    <n v="0"/>
    <n v="0"/>
    <n v="26.405999999999999"/>
    <n v="53.8"/>
    <n v="54"/>
    <n v="996.2962962962963"/>
    <x v="6"/>
    <x v="0"/>
    <n v="29"/>
    <n v="2"/>
    <n v="81.5"/>
  </r>
  <r>
    <d v="2025-07-31T07:20:00"/>
    <s v="INYECTADO"/>
    <x v="6"/>
    <x v="164"/>
    <s v="MARIA ALEJANDRA"/>
    <m/>
    <m/>
    <m/>
    <x v="98"/>
    <s v="TAPA REPOSTEROS-AZUL"/>
    <n v="544"/>
    <n v="6"/>
    <n v="60.4"/>
    <s v="DIURNO"/>
    <m/>
    <n v="7"/>
    <n v="1160"/>
    <n v="21289"/>
    <s v="AZUL"/>
    <n v="7.6"/>
    <n v="0"/>
    <n v="0"/>
    <n v="29.376000000000001"/>
    <n v="60.4"/>
    <n v="54"/>
    <n v="1118.5185185185185"/>
    <x v="6"/>
    <x v="0"/>
    <n v="29"/>
    <n v="2"/>
    <n v="90.666666666666671"/>
  </r>
  <r>
    <d v="2025-07-31T07:20:00"/>
    <s v="INYECTADO"/>
    <x v="6"/>
    <x v="164"/>
    <s v="MARIA ALEJANDRA"/>
    <m/>
    <m/>
    <m/>
    <x v="98"/>
    <s v="TAPA REPOSTEROS-VERDE"/>
    <n v="429"/>
    <n v="4"/>
    <n v="48.5"/>
    <s v="DIURNO"/>
    <m/>
    <n v="5"/>
    <n v="1160"/>
    <n v="21289"/>
    <s v="VERDE"/>
    <n v="9"/>
    <n v="0"/>
    <n v="0"/>
    <n v="23.166"/>
    <n v="48.5"/>
    <n v="54"/>
    <n v="898.14814814814815"/>
    <x v="6"/>
    <x v="0"/>
    <n v="29"/>
    <n v="2"/>
    <n v="71.5"/>
  </r>
  <r>
    <d v="2025-07-31T07:20:00"/>
    <s v="INYECTADO"/>
    <x v="6"/>
    <x v="157"/>
    <s v="CRISALIDA ZAPATA"/>
    <m/>
    <m/>
    <m/>
    <x v="98"/>
    <s v="TAPA REPOSTEROS-NARANJA"/>
    <n v="433"/>
    <n v="4"/>
    <n v="48.1"/>
    <s v="DIURNO"/>
    <m/>
    <n v="5"/>
    <n v="1160"/>
    <n v="21290"/>
    <s v="NARANJA"/>
    <n v="9.9"/>
    <n v="0"/>
    <n v="0"/>
    <e v="#N/A"/>
    <n v="48.1"/>
    <e v="#N/A"/>
    <n v="0"/>
    <x v="6"/>
    <x v="0"/>
    <n v="30"/>
    <e v="#N/A"/>
    <e v="#N/A"/>
  </r>
  <r>
    <d v="2025-07-31T07:20:00"/>
    <s v="INYECTADO"/>
    <x v="6"/>
    <x v="157"/>
    <s v="CRISALIDA ZAPATA"/>
    <m/>
    <m/>
    <m/>
    <x v="98"/>
    <s v="TAPA REPOSTEROS-TURQUESA"/>
    <n v="443"/>
    <n v="4"/>
    <n v="48.3"/>
    <s v="DIURNO"/>
    <m/>
    <n v="5"/>
    <n v="1160"/>
    <n v="21290"/>
    <s v="TURQUESA"/>
    <n v="10.8"/>
    <n v="0"/>
    <n v="0"/>
    <n v="23.922000000000001"/>
    <n v="48.3"/>
    <n v="54"/>
    <n v="894.44444444444446"/>
    <x v="6"/>
    <x v="0"/>
    <n v="30"/>
    <n v="2"/>
    <n v="73.833333333333329"/>
  </r>
  <r>
    <d v="2025-07-31T07:20:00"/>
    <s v="INYECTADO"/>
    <x v="6"/>
    <x v="157"/>
    <s v="CRISALIDA ZAPATA"/>
    <m/>
    <m/>
    <m/>
    <x v="98"/>
    <s v="TAPA REPOSTEROS-AMARILLO"/>
    <n v="265"/>
    <n v="2"/>
    <n v="29.2"/>
    <s v="DIURNO"/>
    <m/>
    <n v="3"/>
    <n v="1160"/>
    <n v="21290"/>
    <s v="AMARILLO"/>
    <n v="9.5"/>
    <n v="0"/>
    <n v="0"/>
    <n v="14.31"/>
    <n v="29.2"/>
    <n v="54"/>
    <n v="540.74074074074076"/>
    <x v="6"/>
    <x v="0"/>
    <n v="30"/>
    <n v="2"/>
    <n v="44.166666666666664"/>
  </r>
  <r>
    <d v="2025-07-31T07:20:00"/>
    <s v="INYECTADO"/>
    <x v="6"/>
    <x v="157"/>
    <s v="JOSDER GONZALEZ"/>
    <m/>
    <m/>
    <m/>
    <x v="98"/>
    <s v="TAPA REPOSTEROS-AMARILLO"/>
    <n v="26"/>
    <n v="1"/>
    <n v="2.6"/>
    <s v="NOCTURNO"/>
    <m/>
    <n v="1"/>
    <n v="1160"/>
    <n v="21291"/>
    <s v="AMARILLO"/>
    <n v="5.3"/>
    <n v="0"/>
    <n v="0"/>
    <n v="1.4039999999999999"/>
    <n v="2.6"/>
    <n v="54"/>
    <n v="48.148148148148145"/>
    <x v="6"/>
    <x v="0"/>
    <n v="30"/>
    <n v="2"/>
    <n v="4.333333333333333"/>
  </r>
  <r>
    <d v="2025-07-31T07:20:00"/>
    <s v="INYECTADO"/>
    <x v="6"/>
    <x v="157"/>
    <s v="JOSDER GONZALEZ"/>
    <m/>
    <m/>
    <m/>
    <x v="98"/>
    <s v="TAPA REPOSTEROS-ROJO"/>
    <n v="461"/>
    <n v="5"/>
    <n v="50.8"/>
    <s v="NOCTURNO"/>
    <m/>
    <n v="5"/>
    <n v="1160"/>
    <n v="21291"/>
    <s v="ROJO"/>
    <n v="4"/>
    <n v="0"/>
    <n v="0"/>
    <n v="24.893999999999998"/>
    <n v="50.8"/>
    <n v="54"/>
    <n v="940.74074074074076"/>
    <x v="6"/>
    <x v="0"/>
    <n v="30"/>
    <n v="2"/>
    <n v="76.833333333333329"/>
  </r>
  <r>
    <d v="2025-07-31T07:20:00"/>
    <s v="INYECTADO"/>
    <x v="6"/>
    <x v="158"/>
    <s v="ROSA MERINO"/>
    <m/>
    <m/>
    <m/>
    <x v="98"/>
    <s v="TAPA REPOSTEROS-AMARILLO"/>
    <n v="340"/>
    <n v="3"/>
    <n v="37.1"/>
    <s v="DIURNO"/>
    <m/>
    <n v="4"/>
    <n v="1160"/>
    <n v="21292"/>
    <s v="AMARILLO"/>
    <n v="5.5"/>
    <n v="0"/>
    <n v="0"/>
    <n v="18.36"/>
    <n v="37.1"/>
    <n v="54"/>
    <n v="687.03703703703707"/>
    <x v="6"/>
    <x v="0"/>
    <n v="30"/>
    <n v="2"/>
    <n v="56.666666666666664"/>
  </r>
  <r>
    <d v="2025-07-31T07:20:00"/>
    <s v="INYECTADO"/>
    <x v="6"/>
    <x v="158"/>
    <s v="ROSA MERINO"/>
    <m/>
    <m/>
    <m/>
    <x v="98"/>
    <s v="TAPA REPOSTEROS-AZUL"/>
    <n v="122"/>
    <n v="1"/>
    <n v="13.3"/>
    <s v="DIURNO"/>
    <m/>
    <n v="2"/>
    <n v="1160"/>
    <n v="21292"/>
    <s v="AZUL"/>
    <n v="1.2"/>
    <n v="0"/>
    <n v="0"/>
    <n v="6.5880000000000001"/>
    <n v="13.3"/>
    <n v="54"/>
    <n v="246.2962962962963"/>
    <x v="6"/>
    <x v="0"/>
    <n v="30"/>
    <n v="2"/>
    <n v="20.333333333333332"/>
  </r>
  <r>
    <d v="2025-07-31T07:20:00"/>
    <s v="INYECTADO"/>
    <x v="6"/>
    <x v="158"/>
    <s v="ROSA MERINO"/>
    <m/>
    <m/>
    <m/>
    <x v="98"/>
    <s v="TAPA REPOSTEROS-TURQUESA"/>
    <n v="106"/>
    <n v="1"/>
    <n v="11.6"/>
    <s v="DIURNO"/>
    <m/>
    <n v="1"/>
    <n v="1160"/>
    <n v="21292"/>
    <s v="TURQUESA"/>
    <n v="4.5999999999999996"/>
    <n v="0"/>
    <n v="0"/>
    <n v="5.7240000000000002"/>
    <n v="11.6"/>
    <n v="54"/>
    <n v="214.81481481481481"/>
    <x v="6"/>
    <x v="0"/>
    <n v="30"/>
    <n v="2"/>
    <n v="17.666666666666668"/>
  </r>
  <r>
    <d v="2025-07-31T07:20:00"/>
    <s v="INYECTADO"/>
    <x v="2"/>
    <x v="151"/>
    <s v="SAID VILLAMIZAR"/>
    <m/>
    <m/>
    <m/>
    <x v="117"/>
    <s v="VASO MUNDO MANZANITA CARAMELO-AZUL"/>
    <n v="105"/>
    <n v="2"/>
    <n v="14.2"/>
    <s v="DIURNO"/>
    <m/>
    <n v="2"/>
    <n v="1128"/>
    <n v="21939"/>
    <s v="TRANSPARENTE"/>
    <n v="4.4000000000000004"/>
    <n v="0"/>
    <n v="0"/>
    <n v="2.31"/>
    <n v="14.2"/>
    <n v="22"/>
    <n v="645.4545454545455"/>
    <x v="6"/>
    <x v="0"/>
    <n v="27"/>
    <n v="6"/>
    <n v="52.5"/>
  </r>
  <r>
    <d v="2025-07-31T07:20:00"/>
    <s v="INYECTADO"/>
    <x v="2"/>
    <x v="151"/>
    <s v="SAID VILLAMIZAR"/>
    <m/>
    <m/>
    <m/>
    <x v="117"/>
    <s v="VASO MUNDO MANZANITA CARAMELO-LILA"/>
    <n v="390"/>
    <n v="3"/>
    <n v="52.3"/>
    <s v="DIURNO"/>
    <m/>
    <n v="6"/>
    <n v="1128"/>
    <n v="21939"/>
    <s v="LILA"/>
    <n v="0"/>
    <n v="0"/>
    <n v="0"/>
    <n v="8.58"/>
    <n v="52.3"/>
    <n v="22"/>
    <n v="2377.2727272727275"/>
    <x v="6"/>
    <x v="0"/>
    <n v="27"/>
    <n v="6"/>
    <n v="195"/>
  </r>
  <r>
    <d v="2025-07-31T07:20:00"/>
    <s v="INYECTADO"/>
    <x v="2"/>
    <x v="152"/>
    <s v="NELSON PINEDO"/>
    <m/>
    <m/>
    <m/>
    <x v="2"/>
    <s v="EMBUDO #2-AMARILLO"/>
    <n v="725"/>
    <n v="7"/>
    <n v="96.5"/>
    <s v="DIURNO"/>
    <m/>
    <n v="7"/>
    <n v="1143"/>
    <n v="21940"/>
    <s v="AMARILLO"/>
    <n v="11.9"/>
    <n v="0"/>
    <n v="0"/>
    <n v="25.375"/>
    <n v="96.5"/>
    <n v="35"/>
    <n v="2757.1428571428573"/>
    <x v="6"/>
    <x v="0"/>
    <n v="27"/>
    <n v="4"/>
    <n v="241.66666666666666"/>
  </r>
  <r>
    <d v="2025-07-31T07:20:00"/>
    <s v="INYECTADO"/>
    <x v="2"/>
    <x v="152"/>
    <s v="NELSON PINEDO"/>
    <m/>
    <m/>
    <m/>
    <x v="2"/>
    <s v="EMBUDO #2-VERDE"/>
    <n v="155"/>
    <n v="2"/>
    <n v="20.7"/>
    <s v="DIURNO"/>
    <m/>
    <n v="2"/>
    <n v="1143"/>
    <n v="21940"/>
    <s v="VERDE"/>
    <n v="0"/>
    <n v="0"/>
    <n v="0"/>
    <n v="5.4249999999999998"/>
    <n v="20.7"/>
    <n v="35"/>
    <n v="591.42857142857144"/>
    <x v="6"/>
    <x v="0"/>
    <n v="27"/>
    <n v="4"/>
    <n v="51.666666666666664"/>
  </r>
  <r>
    <d v="2025-07-31T07:20:00"/>
    <s v="INYECTADO"/>
    <x v="2"/>
    <x v="160"/>
    <s v="NELSON PINEDO"/>
    <m/>
    <m/>
    <m/>
    <x v="2"/>
    <s v="EMBUDO #2-VERDE"/>
    <n v="491"/>
    <n v="4"/>
    <n v="65.400000000000006"/>
    <s v="DIURNO"/>
    <m/>
    <n v="3"/>
    <n v="1143"/>
    <n v="21941"/>
    <s v="VERDE"/>
    <n v="5"/>
    <n v="0"/>
    <n v="0"/>
    <n v="17.184999999999999"/>
    <n v="65.400000000000006"/>
    <n v="35"/>
    <n v="1868.5714285714287"/>
    <x v="6"/>
    <x v="0"/>
    <n v="27"/>
    <n v="4"/>
    <n v="163.66666666666666"/>
  </r>
  <r>
    <d v="2025-07-31T07:20:00"/>
    <s v="INYECTADO"/>
    <x v="2"/>
    <x v="160"/>
    <s v="JUAN MANUEL PEREZ"/>
    <m/>
    <m/>
    <m/>
    <x v="2"/>
    <s v="EMBUDO #2-AZUL"/>
    <n v="547"/>
    <n v="5"/>
    <n v="72.8"/>
    <s v="NOCTURNO"/>
    <m/>
    <n v="5"/>
    <n v="1143"/>
    <n v="21942"/>
    <s v="AZUL"/>
    <n v="11.3"/>
    <n v="0"/>
    <n v="0"/>
    <n v="19.145"/>
    <n v="72.8"/>
    <n v="35"/>
    <n v="2080"/>
    <x v="6"/>
    <x v="0"/>
    <n v="27"/>
    <n v="4"/>
    <n v="182.33333333333334"/>
  </r>
  <r>
    <d v="2025-07-31T07:20:00"/>
    <s v="INYECTADO"/>
    <x v="2"/>
    <x v="160"/>
    <s v="JUAN MANUEL PEREZ"/>
    <m/>
    <m/>
    <m/>
    <x v="2"/>
    <s v="EMBUDO #2-ROJO"/>
    <n v="659"/>
    <n v="5"/>
    <n v="87.7"/>
    <s v="NOCTURNO"/>
    <m/>
    <n v="6"/>
    <n v="1143"/>
    <n v="21942"/>
    <s v="ROJO"/>
    <n v="9.8000000000000007"/>
    <n v="0"/>
    <n v="0"/>
    <n v="23.065000000000001"/>
    <n v="87.7"/>
    <n v="35"/>
    <n v="2505.7142857142858"/>
    <x v="6"/>
    <x v="0"/>
    <n v="27"/>
    <n v="4"/>
    <n v="219.66666666666666"/>
  </r>
  <r>
    <d v="2025-07-31T07:20:00"/>
    <s v="INYECTADO"/>
    <x v="2"/>
    <x v="160"/>
    <s v="JUAN MANUEL PEREZ"/>
    <m/>
    <m/>
    <m/>
    <x v="2"/>
    <s v="EMBUDO #2-LILA"/>
    <n v="76"/>
    <n v="1"/>
    <n v="10.1"/>
    <s v="NOCTURNO"/>
    <m/>
    <n v="1"/>
    <n v="1143"/>
    <n v="21942"/>
    <s v="LILA"/>
    <n v="0"/>
    <n v="0"/>
    <n v="0"/>
    <n v="2.66"/>
    <n v="10.1"/>
    <n v="35"/>
    <n v="288.57142857142856"/>
    <x v="6"/>
    <x v="0"/>
    <n v="27"/>
    <n v="4"/>
    <n v="25.333333333333332"/>
  </r>
  <r>
    <d v="2025-07-31T07:20:00"/>
    <s v="INYECTADO"/>
    <x v="2"/>
    <x v="141"/>
    <s v="ROSA MERINO"/>
    <m/>
    <m/>
    <m/>
    <x v="2"/>
    <s v="EMBUDO #2-LILA"/>
    <n v="579"/>
    <n v="5"/>
    <n v="77.7"/>
    <s v="DIURNO"/>
    <m/>
    <n v="6"/>
    <n v="1143"/>
    <n v="21943"/>
    <s v="LILA"/>
    <n v="12.1"/>
    <n v="0"/>
    <n v="0"/>
    <n v="20.265000000000001"/>
    <n v="77.7"/>
    <n v="35"/>
    <n v="2220"/>
    <x v="6"/>
    <x v="0"/>
    <n v="27"/>
    <n v="4"/>
    <n v="193"/>
  </r>
  <r>
    <d v="2025-07-31T07:20:00"/>
    <s v="INYECTADO"/>
    <x v="2"/>
    <x v="141"/>
    <s v="ROSA MERINO"/>
    <m/>
    <m/>
    <m/>
    <x v="2"/>
    <s v="EMBUDO #2-FUCSIA"/>
    <n v="523"/>
    <n v="5"/>
    <n v="70.7"/>
    <s v="DIURNO"/>
    <m/>
    <n v="5"/>
    <n v="1143"/>
    <n v="21943"/>
    <s v="ROSADO"/>
    <n v="14.6"/>
    <n v="0"/>
    <n v="0"/>
    <n v="18.305"/>
    <n v="70.7"/>
    <n v="35"/>
    <n v="2020"/>
    <x v="6"/>
    <x v="0"/>
    <n v="27"/>
    <n v="4"/>
    <n v="174.33333333333334"/>
  </r>
  <r>
    <d v="2025-07-31T07:20:00"/>
    <s v="INYECTADO"/>
    <x v="2"/>
    <x v="141"/>
    <s v="GABRIEL REQUENA"/>
    <m/>
    <m/>
    <m/>
    <x v="2"/>
    <s v="EMBUDO #2-FUCSIA"/>
    <n v="535"/>
    <n v="5"/>
    <n v="72.2"/>
    <s v="NOCTURNO"/>
    <m/>
    <n v="6"/>
    <n v="1143"/>
    <n v="21944"/>
    <s v="FUCSIA"/>
    <n v="12.1"/>
    <n v="0"/>
    <n v="0"/>
    <n v="18.725000000000001"/>
    <n v="72.2"/>
    <n v="35"/>
    <n v="2062.8571428571427"/>
    <x v="6"/>
    <x v="0"/>
    <n v="27"/>
    <n v="4"/>
    <n v="178.33333333333334"/>
  </r>
  <r>
    <d v="2025-07-31T07:20:00"/>
    <s v="INYECTADO"/>
    <x v="2"/>
    <x v="141"/>
    <s v="GABRIEL REQUENA"/>
    <m/>
    <m/>
    <m/>
    <x v="2"/>
    <s v="EMBUDO #2-LILA"/>
    <n v="475"/>
    <n v="4"/>
    <n v="64.2"/>
    <s v="NOCTURNO"/>
    <m/>
    <n v="5"/>
    <n v="1143"/>
    <n v="21944"/>
    <s v="LILA"/>
    <n v="12.5"/>
    <n v="0"/>
    <n v="0"/>
    <n v="16.625"/>
    <n v="64.2"/>
    <n v="35"/>
    <n v="1834.2857142857142"/>
    <x v="6"/>
    <x v="0"/>
    <n v="27"/>
    <n v="4"/>
    <n v="158.33333333333334"/>
  </r>
  <r>
    <d v="2025-07-31T07:20:00"/>
    <s v="INYECTADO"/>
    <x v="2"/>
    <x v="143"/>
    <s v="JUANA CRUCES"/>
    <m/>
    <m/>
    <m/>
    <x v="2"/>
    <s v="EMBUDO #2-ROJO"/>
    <n v="685"/>
    <n v="5"/>
    <n v="91.2"/>
    <s v="DIURNO"/>
    <m/>
    <n v="8"/>
    <n v="1143"/>
    <n v="21945"/>
    <s v="ROJO"/>
    <n v="19.600000000000001"/>
    <n v="0"/>
    <n v="0"/>
    <n v="23.975000000000001"/>
    <n v="91.2"/>
    <n v="35"/>
    <n v="2605.7142857142858"/>
    <x v="6"/>
    <x v="0"/>
    <n v="28"/>
    <n v="4"/>
    <n v="228.33333333333334"/>
  </r>
  <r>
    <d v="2025-07-31T07:20:00"/>
    <s v="INYECTADO"/>
    <x v="2"/>
    <x v="143"/>
    <s v="JUANA CRUCES"/>
    <m/>
    <m/>
    <m/>
    <x v="2"/>
    <s v="EMBUDO #2-AZUL"/>
    <n v="297"/>
    <n v="3"/>
    <n v="39.6"/>
    <s v="DIURNO"/>
    <m/>
    <n v="3"/>
    <n v="1143"/>
    <n v="21945"/>
    <s v="AZUL"/>
    <n v="9.6"/>
    <n v="0"/>
    <n v="0"/>
    <n v="10.395"/>
    <n v="39.6"/>
    <n v="35"/>
    <n v="1131.4285714285713"/>
    <x v="6"/>
    <x v="0"/>
    <n v="28"/>
    <n v="4"/>
    <n v="99"/>
  </r>
  <r>
    <d v="2025-07-31T07:20:00"/>
    <s v="INYECTADO"/>
    <x v="2"/>
    <x v="144"/>
    <s v="LUIS PINEDO"/>
    <m/>
    <m/>
    <m/>
    <x v="2"/>
    <s v="EMBUDO #2-AZUL"/>
    <n v="73"/>
    <n v="1"/>
    <n v="10"/>
    <s v="DIURNO"/>
    <m/>
    <n v="1"/>
    <n v="1143"/>
    <n v="21946"/>
    <s v="AZUL"/>
    <n v="6.3"/>
    <n v="0"/>
    <n v="0"/>
    <n v="2.5550000000000002"/>
    <n v="10"/>
    <n v="35"/>
    <n v="285.71428571428572"/>
    <x v="6"/>
    <x v="0"/>
    <n v="28"/>
    <n v="4"/>
    <n v="24.333333333333332"/>
  </r>
  <r>
    <d v="2025-07-31T07:20:00"/>
    <s v="INYECTADO"/>
    <x v="2"/>
    <x v="144"/>
    <s v="LUIS PINEDO"/>
    <m/>
    <m/>
    <m/>
    <x v="2"/>
    <s v="EMBUDO #2-VERDE"/>
    <n v="361"/>
    <n v="4"/>
    <n v="49.3"/>
    <s v="DIURNO"/>
    <m/>
    <n v="4"/>
    <n v="1143"/>
    <n v="21946"/>
    <s v="VERDE"/>
    <n v="28.4"/>
    <n v="0"/>
    <n v="0"/>
    <n v="12.635"/>
    <n v="49.3"/>
    <n v="35"/>
    <n v="1408.5714285714287"/>
    <x v="6"/>
    <x v="0"/>
    <n v="28"/>
    <n v="4"/>
    <n v="120.33333333333333"/>
  </r>
  <r>
    <d v="2025-07-31T07:20:00"/>
    <s v="INYECTADO"/>
    <x v="2"/>
    <x v="144"/>
    <s v="LUIS PINEDO"/>
    <m/>
    <m/>
    <m/>
    <x v="2"/>
    <s v="EMBUDO #2-AMARILLO"/>
    <n v="305"/>
    <n v="4"/>
    <n v="42.6"/>
    <s v="DIURNO"/>
    <m/>
    <n v="3"/>
    <n v="1143"/>
    <n v="21946"/>
    <s v="AMARILLO"/>
    <n v="11"/>
    <n v="0"/>
    <n v="0"/>
    <n v="10.675000000000001"/>
    <n v="42.6"/>
    <n v="35"/>
    <n v="1217.1428571428571"/>
    <x v="6"/>
    <x v="0"/>
    <n v="28"/>
    <n v="4"/>
    <n v="101.66666666666667"/>
  </r>
  <r>
    <d v="2025-07-31T07:20:00"/>
    <s v="INYECTADO"/>
    <x v="2"/>
    <x v="144"/>
    <s v="LUIS PINEDO"/>
    <m/>
    <m/>
    <m/>
    <x v="2"/>
    <s v="EMBUDO #2-FUCSIA"/>
    <n v="119"/>
    <n v="1"/>
    <n v="16.399999999999999"/>
    <s v="DIURNO"/>
    <m/>
    <n v="2"/>
    <n v="1143"/>
    <n v="21946"/>
    <s v="FUCSIA"/>
    <n v="2.9"/>
    <n v="0"/>
    <n v="0"/>
    <n v="4.165"/>
    <n v="16.399999999999999"/>
    <n v="35"/>
    <n v="468.57142857142856"/>
    <x v="6"/>
    <x v="0"/>
    <n v="28"/>
    <n v="4"/>
    <n v="39.666666666666664"/>
  </r>
  <r>
    <d v="2025-07-31T07:20:00"/>
    <s v="INYECTADO"/>
    <x v="2"/>
    <x v="145"/>
    <s v="GABRIEL ORDAZ"/>
    <m/>
    <m/>
    <m/>
    <x v="2"/>
    <s v="EMBUDO #2-ROSADO"/>
    <n v="242"/>
    <n v="2"/>
    <n v="32.299999999999997"/>
    <s v="DIURNO"/>
    <m/>
    <n v="3"/>
    <n v="1143"/>
    <n v="21947"/>
    <s v="ROSADO"/>
    <n v="9"/>
    <n v="0"/>
    <n v="0"/>
    <e v="#N/A"/>
    <n v="32.299999999999997"/>
    <e v="#N/A"/>
    <n v="0"/>
    <x v="6"/>
    <x v="0"/>
    <n v="28"/>
    <e v="#N/A"/>
    <e v="#N/A"/>
  </r>
  <r>
    <d v="2025-07-31T07:20:00"/>
    <s v="INYECTADO"/>
    <x v="2"/>
    <x v="145"/>
    <s v="GABRIEL ORDAZ"/>
    <m/>
    <m/>
    <m/>
    <x v="2"/>
    <s v="EMBUDO #2-VERDE"/>
    <n v="168"/>
    <n v="3"/>
    <n v="22.4"/>
    <s v="DIURNO"/>
    <m/>
    <n v="2"/>
    <n v="1143"/>
    <n v="21947"/>
    <s v="VERDE"/>
    <n v="0"/>
    <n v="0"/>
    <n v="0"/>
    <n v="5.88"/>
    <n v="22.4"/>
    <n v="35"/>
    <n v="640"/>
    <x v="6"/>
    <x v="0"/>
    <n v="28"/>
    <n v="4"/>
    <n v="56"/>
  </r>
  <r>
    <d v="2025-07-31T07:20:00"/>
    <s v="INYECTADO"/>
    <x v="2"/>
    <x v="145"/>
    <s v="GABRIEL ORDAZ"/>
    <m/>
    <m/>
    <m/>
    <x v="2"/>
    <s v="EMBUDO #2-AMARILLO"/>
    <n v="148"/>
    <n v="2"/>
    <n v="19.7"/>
    <s v="DIURNO"/>
    <m/>
    <n v="2"/>
    <n v="1143"/>
    <n v="21947"/>
    <s v="AMARILLO"/>
    <n v="8.3000000000000007"/>
    <n v="0"/>
    <n v="0"/>
    <n v="5.18"/>
    <n v="19.7"/>
    <n v="35"/>
    <n v="562.85714285714289"/>
    <x v="6"/>
    <x v="0"/>
    <n v="28"/>
    <n v="4"/>
    <n v="49.333333333333336"/>
  </r>
  <r>
    <d v="2025-07-31T07:20:00"/>
    <s v="INYECTADO"/>
    <x v="2"/>
    <x v="145"/>
    <s v="GABRIEL ORDAZ"/>
    <m/>
    <m/>
    <m/>
    <x v="2"/>
    <s v="EMBUDO #2-LILA"/>
    <n v="109"/>
    <n v="2"/>
    <n v="14.6"/>
    <s v="DIURNO"/>
    <m/>
    <n v="2"/>
    <n v="1143"/>
    <n v="21947"/>
    <s v="LILA"/>
    <n v="3.4"/>
    <n v="0"/>
    <n v="0"/>
    <n v="3.8149999999999999"/>
    <n v="14.6"/>
    <n v="35"/>
    <n v="417.14285714285717"/>
    <x v="6"/>
    <x v="0"/>
    <n v="28"/>
    <n v="4"/>
    <n v="36.333333333333336"/>
  </r>
  <r>
    <d v="2025-07-31T07:20:00"/>
    <s v="INYECTADO"/>
    <x v="2"/>
    <x v="145"/>
    <s v="GABRIEL ORDAZ"/>
    <m/>
    <m/>
    <m/>
    <x v="2"/>
    <s v="EMBUDO #2-AZUL"/>
    <n v="77"/>
    <n v="1"/>
    <n v="10.3"/>
    <s v="DIURNO"/>
    <m/>
    <n v="2"/>
    <n v="1143"/>
    <n v="21947"/>
    <s v="AZUL"/>
    <n v="3.5"/>
    <n v="0"/>
    <n v="0"/>
    <n v="2.6949999999999998"/>
    <n v="10.3"/>
    <n v="35"/>
    <n v="294.28571428571428"/>
    <x v="6"/>
    <x v="0"/>
    <n v="28"/>
    <n v="4"/>
    <n v="25.666666666666668"/>
  </r>
  <r>
    <d v="2025-07-31T07:20:00"/>
    <s v="INYECTADO"/>
    <x v="2"/>
    <x v="146"/>
    <s v="JUANA CRUCES"/>
    <m/>
    <m/>
    <m/>
    <x v="118"/>
    <s v="VALVULA VAPOR-PLOMO"/>
    <n v="532"/>
    <n v="5"/>
    <n v="13.3"/>
    <s v="DIURNO"/>
    <m/>
    <n v="2"/>
    <n v="0"/>
    <n v="21949"/>
    <s v="PLOMO"/>
    <n v="0"/>
    <n v="0"/>
    <n v="0"/>
    <n v="1.33"/>
    <n v="13.3"/>
    <n v="2.5"/>
    <n v="5320"/>
    <x v="6"/>
    <x v="0"/>
    <n v="28"/>
    <n v="12"/>
    <n v="532"/>
  </r>
  <r>
    <d v="2025-07-31T07:20:00"/>
    <s v="INYECTADO"/>
    <x v="2"/>
    <x v="147"/>
    <s v="GABRIEL ORDAZ"/>
    <m/>
    <m/>
    <m/>
    <x v="118"/>
    <s v="VALVULA VAPOR-PLOMO"/>
    <n v="1152"/>
    <n v="11"/>
    <n v="28.8"/>
    <s v="DIURNO"/>
    <m/>
    <n v="2"/>
    <n v="0"/>
    <n v="21950"/>
    <s v="PLOMO"/>
    <n v="4.5999999999999996"/>
    <n v="0"/>
    <n v="0"/>
    <n v="2.88"/>
    <n v="28.8"/>
    <n v="2.5"/>
    <n v="11520"/>
    <x v="6"/>
    <x v="0"/>
    <n v="28"/>
    <n v="12"/>
    <n v="1152"/>
  </r>
  <r>
    <d v="2025-07-31T07:20:00"/>
    <s v="INYECTADO"/>
    <x v="2"/>
    <x v="148"/>
    <s v="GABRIEL ORDAZ"/>
    <m/>
    <m/>
    <m/>
    <x v="118"/>
    <s v="VALVULA VAPOR-PLOMO"/>
    <n v="964"/>
    <n v="9"/>
    <n v="24.1"/>
    <s v="DIURNO"/>
    <m/>
    <n v="2"/>
    <n v="0"/>
    <n v="21951"/>
    <s v="PLOMO"/>
    <n v="0"/>
    <n v="0"/>
    <n v="0"/>
    <n v="2.41"/>
    <n v="24.1"/>
    <n v="2.5"/>
    <n v="9640"/>
    <x v="6"/>
    <x v="0"/>
    <n v="28"/>
    <n v="12"/>
    <n v="964"/>
  </r>
  <r>
    <d v="2025-07-31T07:20:00"/>
    <s v="INYECTADO"/>
    <x v="2"/>
    <x v="149"/>
    <s v="CRISALIDA ZAPATA"/>
    <m/>
    <m/>
    <m/>
    <x v="118"/>
    <s v="VALVULA VAPOR-PLOMO"/>
    <n v="1284"/>
    <n v="11"/>
    <n v="32.1"/>
    <s v="DIURNO"/>
    <m/>
    <n v="2"/>
    <n v="0"/>
    <n v="21952"/>
    <s v="PLOMO"/>
    <n v="0"/>
    <n v="0"/>
    <n v="0"/>
    <n v="3.21"/>
    <n v="32.1"/>
    <n v="2.5"/>
    <n v="12840"/>
    <x v="6"/>
    <x v="0"/>
    <n v="29"/>
    <n v="12"/>
    <n v="1284"/>
  </r>
  <r>
    <d v="2025-07-31T07:20:00"/>
    <s v="INYECTADO"/>
    <x v="2"/>
    <x v="150"/>
    <s v="YERIKA"/>
    <m/>
    <m/>
    <m/>
    <x v="118"/>
    <s v="VALVULA VAPOR-PLOMO"/>
    <n v="1416"/>
    <n v="12"/>
    <n v="35.4"/>
    <s v="NOCTURNO"/>
    <m/>
    <n v="2"/>
    <n v="0"/>
    <n v="21953"/>
    <s v="PLOMO"/>
    <n v="0"/>
    <n v="0"/>
    <n v="0"/>
    <n v="3.54"/>
    <n v="35.4"/>
    <n v="2.5"/>
    <n v="14160"/>
    <x v="6"/>
    <x v="0"/>
    <n v="29"/>
    <n v="12"/>
    <n v="1416"/>
  </r>
  <r>
    <d v="2025-07-31T07:20:00"/>
    <s v="INYECTADO"/>
    <x v="2"/>
    <x v="161"/>
    <s v="CRISALIDA ZAPATA"/>
    <m/>
    <m/>
    <m/>
    <x v="118"/>
    <s v="VALVULA VAPOR-PLOMO"/>
    <n v="1248"/>
    <n v="11"/>
    <n v="33.700000000000003"/>
    <s v="DIURNO"/>
    <m/>
    <n v="3"/>
    <n v="0"/>
    <n v="21954"/>
    <s v="PLOMO"/>
    <n v="0"/>
    <n v="0"/>
    <n v="0"/>
    <n v="3.12"/>
    <n v="33.700000000000003"/>
    <n v="2.5"/>
    <n v="13480"/>
    <x v="6"/>
    <x v="0"/>
    <n v="29"/>
    <n v="12"/>
    <n v="1248"/>
  </r>
  <r>
    <d v="2025-07-31T07:20:00"/>
    <s v="INYECTADO"/>
    <x v="2"/>
    <x v="155"/>
    <s v="LUIS PINEDO"/>
    <m/>
    <m/>
    <m/>
    <x v="79"/>
    <s v="TAPER REDONDO 2500ML-TRANSPARENTE"/>
    <n v="557"/>
    <n v="6"/>
    <n v="35.700000000000003"/>
    <s v="DIURNO"/>
    <m/>
    <n v="5"/>
    <n v="0"/>
    <n v="21955"/>
    <s v="TRANSPARENTE"/>
    <n v="4.7"/>
    <n v="0"/>
    <n v="0"/>
    <n v="38.99"/>
    <n v="35.700000000000003"/>
    <n v="70"/>
    <n v="510"/>
    <x v="6"/>
    <x v="0"/>
    <n v="30"/>
    <n v="1"/>
    <n v="46.416666666666664"/>
  </r>
  <r>
    <d v="2025-07-31T07:20:00"/>
    <s v="INYECTADO"/>
    <x v="2"/>
    <x v="156"/>
    <s v="SEBASTIAN MURGA"/>
    <m/>
    <m/>
    <m/>
    <x v="79"/>
    <s v="TAPER REDONDO 2500ML-TRANSPARENTE"/>
    <n v="556"/>
    <n v="5"/>
    <n v="35.6"/>
    <s v="EXTRA"/>
    <m/>
    <n v="5"/>
    <n v="0"/>
    <n v="21958"/>
    <s v="TRANSPARENTE"/>
    <n v="1.4"/>
    <n v="0"/>
    <n v="0"/>
    <n v="38.92"/>
    <n v="35.6"/>
    <n v="70"/>
    <n v="508.57142857142856"/>
    <x v="6"/>
    <x v="0"/>
    <n v="30"/>
    <n v="1"/>
    <n v="46.333333333333336"/>
  </r>
  <r>
    <d v="2025-07-31T07:20:00"/>
    <s v="INYECTADO"/>
    <x v="2"/>
    <x v="166"/>
    <s v="JOSDER GONZALEZ"/>
    <m/>
    <m/>
    <m/>
    <x v="79"/>
    <s v="TAPER REDONDO 2500ML-TRANSPARENTE"/>
    <n v="1115"/>
    <n v="11"/>
    <n v="71.400000000000006"/>
    <s v="DIURNO"/>
    <m/>
    <n v="10"/>
    <n v="0"/>
    <n v="21956"/>
    <s v="TRANSPARENTE"/>
    <n v="1.4"/>
    <n v="0"/>
    <n v="0"/>
    <n v="78.05"/>
    <n v="71.400000000000006"/>
    <n v="70"/>
    <n v="1020"/>
    <x v="6"/>
    <x v="0"/>
    <n v="31"/>
    <n v="1"/>
    <n v="92.916666666666671"/>
  </r>
  <r>
    <d v="2025-07-31T07:20:00"/>
    <s v="INYECTADO"/>
    <x v="2"/>
    <x v="167"/>
    <s v="JOSDER GONZALEZ"/>
    <m/>
    <m/>
    <m/>
    <x v="79"/>
    <s v="TAPER REDONDO 2500ML-TRANSPARENTE"/>
    <n v="1123"/>
    <n v="11"/>
    <n v="71.900000000000006"/>
    <s v="DIURNO"/>
    <m/>
    <n v="11"/>
    <n v="0"/>
    <n v="21957"/>
    <s v="TRANSPARENTE"/>
    <n v="1.3"/>
    <n v="0"/>
    <n v="0"/>
    <n v="78.61"/>
    <n v="71.900000000000006"/>
    <n v="70"/>
    <n v="1027.1428571428571"/>
    <x v="6"/>
    <x v="0"/>
    <n v="31"/>
    <n v="1"/>
    <n v="93.583333333333329"/>
  </r>
  <r>
    <d v="2025-07-31T07:20:00"/>
    <s v="INYECTADO"/>
    <x v="2"/>
    <x v="168"/>
    <s v="KARLA"/>
    <m/>
    <m/>
    <m/>
    <x v="79"/>
    <s v="TAPER REDONDO 2500ML-TRANSPARENTE"/>
    <n v="1103"/>
    <n v="11"/>
    <n v="70.599999999999994"/>
    <s v="DIURNO"/>
    <m/>
    <n v="9"/>
    <n v="0"/>
    <n v="21959"/>
    <s v="TRANSPARENTE"/>
    <n v="1.1000000000000001"/>
    <n v="0"/>
    <n v="0"/>
    <n v="77.209999999999994"/>
    <n v="70.599999999999994"/>
    <n v="70"/>
    <n v="1008.5714285714286"/>
    <x v="6"/>
    <x v="0"/>
    <n v="31"/>
    <n v="1"/>
    <n v="91.916666666666671"/>
  </r>
  <r>
    <d v="2025-07-31T07:20:00"/>
    <s v="INYECTADO"/>
    <x v="2"/>
    <x v="168"/>
    <s v="YERIKA"/>
    <m/>
    <m/>
    <m/>
    <x v="79"/>
    <s v="TAPER REDONDO 2500ML-TRANSPARENTE"/>
    <n v="1068"/>
    <n v="11"/>
    <n v="68.400000000000006"/>
    <s v="NOCTURNO"/>
    <m/>
    <n v="9"/>
    <n v="0"/>
    <n v="21960"/>
    <s v="TRANSPARENTE"/>
    <n v="1.2"/>
    <n v="0"/>
    <n v="0"/>
    <n v="74.760000000000005"/>
    <n v="68.400000000000006"/>
    <n v="70"/>
    <n v="977.14285714285711"/>
    <x v="6"/>
    <x v="0"/>
    <n v="31"/>
    <n v="1"/>
    <n v="89"/>
  </r>
  <r>
    <d v="2025-07-31T07:20:00"/>
    <s v="INYECTADO"/>
    <x v="2"/>
    <x v="169"/>
    <s v="JUANA CRUCES"/>
    <m/>
    <m/>
    <m/>
    <x v="79"/>
    <s v="TAPER REDONDO 2500ML-TRANSPARENTE"/>
    <n v="262"/>
    <n v="2"/>
    <n v="16.8"/>
    <s v="DIURNO"/>
    <m/>
    <n v="3"/>
    <n v="0"/>
    <n v="21961"/>
    <s v="TRANSPARENTE"/>
    <n v="0"/>
    <n v="0"/>
    <n v="0"/>
    <n v="18.34"/>
    <n v="16.8"/>
    <n v="70"/>
    <n v="240"/>
    <x v="6"/>
    <x v="0"/>
    <n v="31"/>
    <n v="1"/>
    <n v="21.833333333333332"/>
  </r>
  <r>
    <d v="2025-07-31T07:20:00"/>
    <s v="INYECTADO"/>
    <x v="2"/>
    <x v="169"/>
    <s v="JUANA CRUCES"/>
    <m/>
    <m/>
    <m/>
    <x v="79"/>
    <s v="TAPER REDONDO 2500ML-AMARILLO"/>
    <n v="796"/>
    <n v="7"/>
    <n v="51"/>
    <s v="DIURNO"/>
    <m/>
    <n v="7"/>
    <n v="0"/>
    <n v="21961"/>
    <s v="AMARILLO"/>
    <n v="1.2"/>
    <n v="0"/>
    <n v="0"/>
    <e v="#N/A"/>
    <n v="51"/>
    <e v="#N/A"/>
    <n v="0"/>
    <x v="6"/>
    <x v="0"/>
    <n v="31"/>
    <e v="#N/A"/>
    <e v="#N/A"/>
  </r>
  <r>
    <d v="2025-07-31T07:20:00"/>
    <s v="INYECTADO"/>
    <x v="2"/>
    <x v="169"/>
    <s v="JUANA CRUCES"/>
    <m/>
    <m/>
    <m/>
    <x v="79"/>
    <s v="TAPER REDONDO 2500ML-VERDE"/>
    <n v="334"/>
    <n v="3"/>
    <n v="21.4"/>
    <s v="DIURNO"/>
    <m/>
    <n v="3"/>
    <n v="0"/>
    <n v="21961"/>
    <s v="VERDE"/>
    <n v="4"/>
    <n v="0"/>
    <n v="0"/>
    <e v="#N/A"/>
    <n v="21.4"/>
    <e v="#N/A"/>
    <n v="0"/>
    <x v="6"/>
    <x v="0"/>
    <n v="31"/>
    <e v="#N/A"/>
    <e v="#N/A"/>
  </r>
  <r>
    <d v="2025-07-31T07:20:00"/>
    <s v="INYECTADO"/>
    <x v="2"/>
    <x v="169"/>
    <s v="JOSDER GONZALEZ"/>
    <m/>
    <m/>
    <m/>
    <x v="79"/>
    <s v="TAPER REDONDO 2500ML-VERDE"/>
    <n v="465"/>
    <n v="5"/>
    <n v="29.8"/>
    <s v="NOCTURNO"/>
    <m/>
    <n v="6"/>
    <n v="0"/>
    <n v="21962"/>
    <s v="VERDE"/>
    <n v="2.5"/>
    <n v="0"/>
    <n v="0"/>
    <e v="#N/A"/>
    <n v="29.8"/>
    <e v="#N/A"/>
    <n v="0"/>
    <x v="6"/>
    <x v="0"/>
    <n v="31"/>
    <e v="#N/A"/>
    <e v="#N/A"/>
  </r>
  <r>
    <d v="2025-07-31T07:20:00"/>
    <s v="INYECTADO"/>
    <x v="2"/>
    <x v="169"/>
    <s v="JOSDER GONZALEZ"/>
    <m/>
    <m/>
    <m/>
    <x v="79"/>
    <s v="TAPER REDONDO 2500ML-AZUL"/>
    <n v="740"/>
    <n v="7"/>
    <n v="47.4"/>
    <s v="NOCTURNO"/>
    <m/>
    <n v="6"/>
    <n v="0"/>
    <n v="21962"/>
    <s v="AZUL"/>
    <n v="1.1000000000000001"/>
    <n v="0"/>
    <n v="0"/>
    <e v="#N/A"/>
    <n v="47.4"/>
    <e v="#N/A"/>
    <n v="0"/>
    <x v="6"/>
    <x v="0"/>
    <n v="31"/>
    <e v="#N/A"/>
    <e v="#N/A"/>
  </r>
  <r>
    <d v="2025-07-31T07:20:00"/>
    <s v="INYECTADO"/>
    <x v="3"/>
    <x v="151"/>
    <s v="ALEJANDRO"/>
    <m/>
    <m/>
    <m/>
    <x v="47"/>
    <s v="COLADOR HOGAR SOLIDO#2-AZUL"/>
    <n v="811"/>
    <n v="7"/>
    <n v="56.8"/>
    <s v="DIURNO"/>
    <m/>
    <n v="7"/>
    <n v="1118"/>
    <n v="22008"/>
    <s v="AZUL"/>
    <n v="1.9"/>
    <n v="0"/>
    <n v="0"/>
    <n v="56.77"/>
    <n v="56.8"/>
    <n v="70"/>
    <n v="811.42857142857144"/>
    <x v="6"/>
    <x v="0"/>
    <n v="27"/>
    <n v="1"/>
    <n v="67.583333333333329"/>
  </r>
  <r>
    <d v="2025-07-31T07:20:00"/>
    <s v="INYECTADO"/>
    <x v="3"/>
    <x v="152"/>
    <s v="ALEJANDRO"/>
    <m/>
    <m/>
    <m/>
    <x v="47"/>
    <s v="COLADOR HOGAR SOLIDO#2-AZUL"/>
    <n v="410"/>
    <n v="4"/>
    <n v="28.3"/>
    <s v="DIURNO"/>
    <m/>
    <n v="4"/>
    <n v="1144"/>
    <n v="22009"/>
    <s v="AZUL"/>
    <n v="4.4000000000000004"/>
    <n v="0"/>
    <n v="0"/>
    <n v="28.7"/>
    <n v="28.3"/>
    <n v="70"/>
    <n v="404.28571428571428"/>
    <x v="6"/>
    <x v="0"/>
    <n v="27"/>
    <n v="1"/>
    <n v="34.166666666666664"/>
  </r>
  <r>
    <d v="2025-07-31T07:20:00"/>
    <s v="INYECTADO"/>
    <x v="3"/>
    <x v="152"/>
    <s v="ALEJANDRO"/>
    <m/>
    <m/>
    <m/>
    <x v="47"/>
    <s v="COLADOR HOGAR SOLIDO#2-CELESTE"/>
    <n v="618"/>
    <n v="6"/>
    <n v="42.7"/>
    <s v="DIURNO"/>
    <m/>
    <n v="5"/>
    <n v="1144"/>
    <n v="22009"/>
    <s v="CELESTE"/>
    <n v="1.9"/>
    <n v="0"/>
    <n v="0"/>
    <e v="#N/A"/>
    <n v="42.7"/>
    <e v="#N/A"/>
    <n v="0"/>
    <x v="6"/>
    <x v="0"/>
    <n v="27"/>
    <e v="#N/A"/>
    <e v="#N/A"/>
  </r>
  <r>
    <d v="2025-07-31T07:20:00"/>
    <s v="INYECTADO"/>
    <x v="3"/>
    <x v="160"/>
    <s v="GABRIEL ORDAZ"/>
    <m/>
    <m/>
    <m/>
    <x v="47"/>
    <s v="COLADOR HOGAR SOLIDO#2-VERDE"/>
    <n v="268"/>
    <n v="3"/>
    <n v="21.3"/>
    <s v="DIURNO"/>
    <m/>
    <n v="3"/>
    <n v="1144"/>
    <n v="22010"/>
    <s v="VERDE"/>
    <n v="2.9"/>
    <n v="0"/>
    <n v="0"/>
    <n v="18.760000000000002"/>
    <n v="21.3"/>
    <n v="70"/>
    <n v="304.28571428571428"/>
    <x v="6"/>
    <x v="0"/>
    <n v="27"/>
    <n v="1"/>
    <n v="22.333333333333332"/>
  </r>
  <r>
    <d v="2025-07-31T07:20:00"/>
    <s v="INYECTADO"/>
    <x v="3"/>
    <x v="160"/>
    <s v="GABRIEL ORDAZ"/>
    <m/>
    <m/>
    <m/>
    <x v="47"/>
    <s v="COLADOR HOGAR SOLIDO#2-CREMA"/>
    <n v="442"/>
    <n v="4"/>
    <n v="31.7"/>
    <s v="DIURNO"/>
    <m/>
    <n v="4"/>
    <n v="1144"/>
    <n v="22010"/>
    <s v="CREMA"/>
    <n v="0.85"/>
    <n v="0"/>
    <n v="0"/>
    <n v="30.94"/>
    <n v="31.7"/>
    <n v="70"/>
    <n v="452.85714285714283"/>
    <x v="6"/>
    <x v="0"/>
    <n v="27"/>
    <n v="1"/>
    <n v="36.833333333333336"/>
  </r>
  <r>
    <d v="2025-07-31T07:20:00"/>
    <s v="INYECTADO"/>
    <x v="3"/>
    <x v="160"/>
    <s v="GABRIEL ORDAZ"/>
    <m/>
    <m/>
    <m/>
    <x v="47"/>
    <s v="COLADOR HOGAR SOLIDO#2-ROJO"/>
    <n v="339"/>
    <n v="4"/>
    <n v="26.7"/>
    <s v="DIURNO"/>
    <m/>
    <n v="3"/>
    <n v="1144"/>
    <n v="22010"/>
    <s v="ROJO"/>
    <n v="0"/>
    <n v="0"/>
    <n v="0"/>
    <n v="23.73"/>
    <n v="26.7"/>
    <n v="70"/>
    <n v="381.42857142857144"/>
    <x v="6"/>
    <x v="0"/>
    <n v="27"/>
    <n v="1"/>
    <n v="28.25"/>
  </r>
  <r>
    <d v="2025-07-31T07:20:00"/>
    <s v="INYECTADO"/>
    <x v="3"/>
    <x v="141"/>
    <s v="LUCHO"/>
    <m/>
    <m/>
    <m/>
    <x v="44"/>
    <s v="ORGANIZADOR DE 5KG-TRANSPARENTE"/>
    <n v="483"/>
    <n v="4"/>
    <n v="90"/>
    <s v="DIURNO"/>
    <m/>
    <n v="12"/>
    <n v="0"/>
    <n v="22011"/>
    <s v="TRANSPARENTE"/>
    <n v="0"/>
    <n v="0"/>
    <n v="0"/>
    <e v="#N/A"/>
    <n v="90"/>
    <e v="#N/A"/>
    <n v="0"/>
    <x v="6"/>
    <x v="0"/>
    <n v="27"/>
    <e v="#N/A"/>
    <e v="#N/A"/>
  </r>
  <r>
    <d v="2025-07-31T07:20:00"/>
    <s v="INYECTADO"/>
    <x v="3"/>
    <x v="141"/>
    <s v="YERIKA"/>
    <m/>
    <m/>
    <m/>
    <x v="44"/>
    <s v="ORGANIZADOR DE 5KG-TRANSPARENTE"/>
    <n v="1319"/>
    <n v="12"/>
    <n v="245.4"/>
    <s v="NOCTURNO"/>
    <m/>
    <n v="33"/>
    <n v="0"/>
    <n v="22012"/>
    <s v="TRANSPARENTE"/>
    <n v="5.6"/>
    <n v="0"/>
    <n v="0"/>
    <e v="#N/A"/>
    <n v="245.4"/>
    <e v="#N/A"/>
    <n v="0"/>
    <x v="6"/>
    <x v="0"/>
    <n v="27"/>
    <e v="#N/A"/>
    <e v="#N/A"/>
  </r>
  <r>
    <d v="2025-07-31T07:20:00"/>
    <s v="INYECTADO"/>
    <x v="3"/>
    <x v="142"/>
    <s v="GABRIEL ORDAZ"/>
    <m/>
    <m/>
    <m/>
    <x v="44"/>
    <s v="ORGANIZADOR DE 5KG-TRANSPARENTE"/>
    <n v="121"/>
    <n v="2"/>
    <n v="20.399999999999999"/>
    <s v="DIURNO"/>
    <m/>
    <n v="3"/>
    <n v="1164"/>
    <n v="22013"/>
    <s v="TRANSPARENTE"/>
    <n v="5.7"/>
    <n v="0"/>
    <n v="0"/>
    <e v="#N/A"/>
    <n v="20.399999999999999"/>
    <e v="#N/A"/>
    <n v="0"/>
    <x v="6"/>
    <x v="0"/>
    <n v="27"/>
    <e v="#N/A"/>
    <e v="#N/A"/>
  </r>
  <r>
    <d v="2025-07-31T07:20:00"/>
    <s v="INYECTADO"/>
    <x v="3"/>
    <x v="142"/>
    <s v="JUAN MANUEL PEREZ"/>
    <m/>
    <m/>
    <m/>
    <x v="44"/>
    <s v="ORGANIZADOR DE 5KG-TRANSPARENTE"/>
    <n v="1169"/>
    <n v="11"/>
    <n v="217.5"/>
    <s v="NOCTURNO"/>
    <m/>
    <n v="29"/>
    <n v="1164"/>
    <n v="22014"/>
    <s v="TRANSPARENTE"/>
    <n v="21.3"/>
    <n v="0"/>
    <n v="0"/>
    <e v="#N/A"/>
    <n v="217.5"/>
    <e v="#N/A"/>
    <n v="0"/>
    <x v="6"/>
    <x v="0"/>
    <n v="27"/>
    <e v="#N/A"/>
    <e v="#N/A"/>
  </r>
  <r>
    <d v="2025-07-31T07:20:00"/>
    <s v="INYECTADO"/>
    <x v="3"/>
    <x v="162"/>
    <s v="LUCHO"/>
    <m/>
    <m/>
    <m/>
    <x v="44"/>
    <s v="ORGANIZADOR DE 5KG-TRANSPARENTE"/>
    <n v="527"/>
    <n v="4"/>
    <n v="98.2"/>
    <s v="DIURNO"/>
    <m/>
    <n v="13"/>
    <n v="1164"/>
    <n v="22015"/>
    <s v="TRANSPARENTE"/>
    <n v="10.7"/>
    <n v="0"/>
    <n v="0"/>
    <e v="#N/A"/>
    <n v="98.2"/>
    <e v="#N/A"/>
    <n v="0"/>
    <x v="6"/>
    <x v="0"/>
    <n v="29"/>
    <e v="#N/A"/>
    <e v="#N/A"/>
  </r>
  <r>
    <d v="2025-07-31T07:20:00"/>
    <s v="INYECTADO"/>
    <x v="3"/>
    <x v="162"/>
    <s v="JUAN MANUEL PEREZ"/>
    <m/>
    <m/>
    <m/>
    <x v="44"/>
    <s v="ORGANIZADOR DE 5KG-TRANSPARENTE"/>
    <n v="1086"/>
    <n v="11"/>
    <n v="221.1"/>
    <s v="NOCTURNO"/>
    <m/>
    <n v="29"/>
    <n v="1164"/>
    <n v="22016"/>
    <s v="TRANSPARENTE"/>
    <n v="16.3"/>
    <n v="0"/>
    <n v="0"/>
    <e v="#N/A"/>
    <n v="221.1"/>
    <e v="#N/A"/>
    <n v="0"/>
    <x v="6"/>
    <x v="0"/>
    <n v="29"/>
    <e v="#N/A"/>
    <e v="#N/A"/>
  </r>
  <r>
    <d v="2025-07-31T07:20:00"/>
    <s v="INYECTADO"/>
    <x v="3"/>
    <x v="163"/>
    <s v="NELSON PINEDO"/>
    <m/>
    <m/>
    <m/>
    <x v="44"/>
    <s v="ORGANIZADOR DE 5KG-TRANSPARENTE"/>
    <n v="206"/>
    <n v="2"/>
    <n v="38.299999999999997"/>
    <s v="DIURNO"/>
    <m/>
    <n v="6"/>
    <n v="1164"/>
    <n v="22017"/>
    <s v="TRANSPARENTE"/>
    <n v="0"/>
    <n v="0"/>
    <n v="0"/>
    <e v="#N/A"/>
    <n v="38.299999999999997"/>
    <e v="#N/A"/>
    <n v="0"/>
    <x v="6"/>
    <x v="0"/>
    <n v="29"/>
    <e v="#N/A"/>
    <e v="#N/A"/>
  </r>
  <r>
    <d v="2025-07-31T07:20:00"/>
    <s v="INYECTADO"/>
    <x v="3"/>
    <x v="163"/>
    <s v="JOSDER GONZALEZ"/>
    <m/>
    <m/>
    <m/>
    <x v="44"/>
    <s v="ORGANIZADOR DE 5KG-TRANSPARENTE"/>
    <n v="990"/>
    <n v="12"/>
    <n v="184.2"/>
    <s v="NOCTURNO"/>
    <m/>
    <n v="28"/>
    <n v="1164"/>
    <n v="22018"/>
    <s v="TRANSPARENTE"/>
    <n v="23.5"/>
    <n v="0"/>
    <n v="0"/>
    <e v="#N/A"/>
    <n v="184.2"/>
    <e v="#N/A"/>
    <n v="0"/>
    <x v="6"/>
    <x v="0"/>
    <n v="29"/>
    <e v="#N/A"/>
    <e v="#N/A"/>
  </r>
  <r>
    <d v="2025-07-31T07:20:00"/>
    <s v="INYECTADO"/>
    <x v="3"/>
    <x v="158"/>
    <s v="LEONOR"/>
    <m/>
    <m/>
    <m/>
    <x v="44"/>
    <s v="ORGANIZADOR DE 5KG-TRANSPARENTE"/>
    <n v="89"/>
    <n v="1"/>
    <n v="16.7"/>
    <s v="NOCTURNO"/>
    <m/>
    <n v="1"/>
    <n v="1164"/>
    <n v="18789"/>
    <s v="TRANSPARENTE"/>
    <n v="0"/>
    <n v="0"/>
    <n v="0"/>
    <e v="#N/A"/>
    <n v="16.7"/>
    <e v="#N/A"/>
    <n v="0"/>
    <x v="6"/>
    <x v="0"/>
    <n v="30"/>
    <e v="#N/A"/>
    <e v="#N/A"/>
  </r>
  <r>
    <d v="2025-07-31T07:20:00"/>
    <s v="INYECTADO"/>
    <x v="3"/>
    <x v="159"/>
    <s v="CRISALIDA ZAPATA"/>
    <m/>
    <m/>
    <m/>
    <x v="44"/>
    <s v="ORGANIZADOR DE 5KG-TRANSPARENTE"/>
    <n v="732"/>
    <n v="7"/>
    <n v="140"/>
    <s v="DIURNO"/>
    <m/>
    <n v="19"/>
    <n v="1164"/>
    <n v="18790"/>
    <s v="TRANSPARENTE"/>
    <n v="15.1"/>
    <n v="0"/>
    <n v="0"/>
    <e v="#N/A"/>
    <n v="140"/>
    <e v="#N/A"/>
    <n v="0"/>
    <x v="6"/>
    <x v="0"/>
    <n v="30"/>
    <e v="#N/A"/>
    <e v="#N/A"/>
  </r>
  <r>
    <d v="2025-07-31T07:20:00"/>
    <s v="INYECTADO"/>
    <x v="3"/>
    <x v="159"/>
    <s v="YERIKA"/>
    <m/>
    <m/>
    <m/>
    <x v="44"/>
    <s v="ORGANIZADOR DE 5KG-TRANSPARENTE"/>
    <n v="946"/>
    <n v="12"/>
    <n v="175.9"/>
    <s v="NOCTURNO"/>
    <m/>
    <n v="27"/>
    <n v="1164"/>
    <n v="18791"/>
    <s v="TRANSPARENTE"/>
    <n v="8.9"/>
    <n v="0"/>
    <n v="0"/>
    <e v="#N/A"/>
    <n v="175.9"/>
    <e v="#N/A"/>
    <n v="0"/>
    <x v="6"/>
    <x v="0"/>
    <n v="30"/>
    <e v="#N/A"/>
    <e v="#N/A"/>
  </r>
  <r>
    <d v="2025-07-31T07:20:00"/>
    <s v="INYECTADO"/>
    <x v="3"/>
    <x v="153"/>
    <s v="SIN NOMBRE"/>
    <m/>
    <m/>
    <m/>
    <x v="44"/>
    <s v="ORGANIZADOR DE 5KG-TRANSPARENTE"/>
    <n v="32"/>
    <n v="1"/>
    <n v="4.3"/>
    <s v="DIURNO"/>
    <m/>
    <n v="1"/>
    <n v="1164"/>
    <n v="18792"/>
    <s v="TRANSPARENTE"/>
    <n v="0"/>
    <n v="0"/>
    <n v="0"/>
    <e v="#N/A"/>
    <n v="4.3"/>
    <e v="#N/A"/>
    <n v="0"/>
    <x v="6"/>
    <x v="0"/>
    <n v="30"/>
    <e v="#N/A"/>
    <e v="#N/A"/>
  </r>
  <r>
    <d v="2025-07-31T07:20:00"/>
    <s v="INYECTADO"/>
    <x v="3"/>
    <x v="155"/>
    <s v="CRISALIDA ZAPATA"/>
    <m/>
    <m/>
    <m/>
    <x v="119"/>
    <s v="JARRA GRECIA 500ML CARAMELO-AMARILLO"/>
    <n v="372"/>
    <n v="5"/>
    <n v="46.6"/>
    <s v="DIURNO"/>
    <m/>
    <n v="3"/>
    <n v="1170"/>
    <n v="18793"/>
    <s v="AMARILLO"/>
    <n v="6.7"/>
    <n v="0"/>
    <n v="0"/>
    <n v="11.904"/>
    <n v="46.6"/>
    <n v="32"/>
    <n v="1456.25"/>
    <x v="6"/>
    <x v="0"/>
    <n v="30"/>
    <n v="3"/>
    <n v="93"/>
  </r>
  <r>
    <d v="2025-07-31T07:20:00"/>
    <s v="INYECTADO"/>
    <x v="3"/>
    <x v="155"/>
    <s v="CRISALIDA ZAPATA"/>
    <m/>
    <m/>
    <m/>
    <x v="119"/>
    <s v="JARRA GRECIA 500ML CARAMELO-VERDE"/>
    <n v="270"/>
    <n v="3"/>
    <n v="34.4"/>
    <s v="DIURNO"/>
    <m/>
    <n v="2"/>
    <n v="1170"/>
    <n v="18793"/>
    <s v="VERDE"/>
    <n v="4.4000000000000004"/>
    <n v="0"/>
    <n v="0"/>
    <n v="8.64"/>
    <n v="34.4"/>
    <n v="32"/>
    <n v="1075"/>
    <x v="6"/>
    <x v="0"/>
    <n v="30"/>
    <n v="3"/>
    <n v="67.5"/>
  </r>
  <r>
    <d v="2025-07-31T07:20:00"/>
    <s v="INYECTADO"/>
    <x v="3"/>
    <x v="155"/>
    <s v="JOSDER GONZALEZ"/>
    <m/>
    <m/>
    <m/>
    <x v="119"/>
    <s v="JARRA GRECIA 500ML CARAMELO-VERDE"/>
    <n v="80"/>
    <n v="1"/>
    <n v="10.199999999999999"/>
    <s v="NOCTURNO"/>
    <m/>
    <n v="1"/>
    <n v="1170"/>
    <n v="18794"/>
    <s v="VERDE"/>
    <n v="3.8"/>
    <n v="0"/>
    <n v="0"/>
    <n v="2.56"/>
    <n v="10.199999999999999"/>
    <n v="32"/>
    <n v="318.75"/>
    <x v="6"/>
    <x v="0"/>
    <n v="30"/>
    <n v="3"/>
    <n v="20"/>
  </r>
  <r>
    <d v="2025-07-31T07:20:00"/>
    <s v="INYECTADO"/>
    <x v="3"/>
    <x v="155"/>
    <s v="JOSDER GONZALEZ"/>
    <m/>
    <m/>
    <m/>
    <x v="119"/>
    <s v="JARRA GRECIA 500ML CARAMELO-AZUL"/>
    <n v="341"/>
    <n v="4"/>
    <n v="43.4"/>
    <s v="NOCTURNO"/>
    <m/>
    <n v="3"/>
    <n v="1170"/>
    <n v="18794"/>
    <s v="AZUL"/>
    <n v="9.1"/>
    <n v="0"/>
    <n v="0"/>
    <n v="10.912000000000001"/>
    <n v="43.4"/>
    <n v="32"/>
    <n v="1356.25"/>
    <x v="6"/>
    <x v="0"/>
    <n v="30"/>
    <n v="3"/>
    <n v="85.25"/>
  </r>
  <r>
    <d v="2025-07-31T07:20:00"/>
    <s v="INYECTADO"/>
    <x v="3"/>
    <x v="155"/>
    <s v="JOSDER GONZALEZ"/>
    <m/>
    <m/>
    <m/>
    <x v="119"/>
    <s v="JARRA GRECIA 500ML CARAMELO-FUCSIA"/>
    <n v="196"/>
    <n v="2"/>
    <n v="24.9"/>
    <s v="NOCTURNO"/>
    <m/>
    <n v="2"/>
    <n v="1170"/>
    <n v="18794"/>
    <s v="FUCSIA"/>
    <n v="4.5"/>
    <n v="0"/>
    <n v="0"/>
    <n v="6.2720000000000002"/>
    <n v="24.9"/>
    <n v="32"/>
    <n v="778.125"/>
    <x v="6"/>
    <x v="0"/>
    <n v="30"/>
    <n v="3"/>
    <n v="49"/>
  </r>
  <r>
    <d v="2025-07-31T07:20:00"/>
    <s v="INYECTADO"/>
    <x v="3"/>
    <x v="166"/>
    <s v="ROSA MERINO"/>
    <m/>
    <m/>
    <m/>
    <x v="119"/>
    <s v="JARRA GRECIA 500ML CARAMELO-FUCSIA"/>
    <n v="151"/>
    <n v="2"/>
    <n v="19.2"/>
    <s v="DIURNO"/>
    <m/>
    <n v="2"/>
    <n v="1170"/>
    <n v="18795"/>
    <s v="FUCSIA"/>
    <n v="2.2999999999999998"/>
    <n v="0"/>
    <n v="0"/>
    <n v="4.8319999999999999"/>
    <n v="19.2"/>
    <n v="32"/>
    <n v="600"/>
    <x v="6"/>
    <x v="0"/>
    <n v="31"/>
    <n v="3"/>
    <n v="37.75"/>
  </r>
  <r>
    <d v="2025-07-31T07:20:00"/>
    <s v="INYECTADO"/>
    <x v="3"/>
    <x v="166"/>
    <s v="ROSA MERINO"/>
    <m/>
    <m/>
    <m/>
    <x v="119"/>
    <s v="JARRA GRECIA 500ML CARAMELO-LILA"/>
    <n v="374"/>
    <n v="4"/>
    <n v="47.5"/>
    <s v="DIURNO"/>
    <m/>
    <n v="4"/>
    <n v="1170"/>
    <n v="18795"/>
    <s v="LILA"/>
    <n v="3.9"/>
    <n v="0"/>
    <n v="0"/>
    <n v="11.968"/>
    <n v="47.5"/>
    <n v="32"/>
    <n v="1484.375"/>
    <x v="6"/>
    <x v="0"/>
    <n v="31"/>
    <n v="3"/>
    <n v="93.5"/>
  </r>
  <r>
    <d v="2025-07-31T07:20:00"/>
    <s v="INYECTADO"/>
    <x v="3"/>
    <x v="166"/>
    <s v="ROSA MERINO"/>
    <m/>
    <m/>
    <m/>
    <x v="120"/>
    <s v="JARRA GRECIA 500ML-TRANSPARENTE"/>
    <n v="503"/>
    <n v="5"/>
    <n v="63.9"/>
    <s v="DIURNO"/>
    <m/>
    <n v="5"/>
    <n v="1170"/>
    <n v="18795"/>
    <s v="TRANSPARENTE"/>
    <n v="3.5"/>
    <n v="0"/>
    <n v="0"/>
    <n v="16.096"/>
    <n v="63.9"/>
    <n v="32"/>
    <n v="1996.875"/>
    <x v="6"/>
    <x v="0"/>
    <n v="31"/>
    <n v="3"/>
    <n v="125.75"/>
  </r>
  <r>
    <d v="2025-07-31T07:20:00"/>
    <s v="INYECTADO"/>
    <x v="3"/>
    <x v="168"/>
    <s v="CRISALIDA ZAPATA"/>
    <m/>
    <m/>
    <m/>
    <x v="120"/>
    <s v="JARRA GRECIA 500ML-TRANSPARENTE"/>
    <n v="33"/>
    <n v="1"/>
    <n v="4.2"/>
    <s v="DIURNO"/>
    <m/>
    <n v="2"/>
    <n v="1170"/>
    <n v="18796"/>
    <s v="TRANSPARENTE"/>
    <n v="8.1"/>
    <n v="0"/>
    <n v="0"/>
    <n v="1.056"/>
    <n v="4.2"/>
    <n v="32"/>
    <n v="131.25"/>
    <x v="6"/>
    <x v="0"/>
    <n v="31"/>
    <n v="3"/>
    <n v="8.25"/>
  </r>
  <r>
    <d v="2025-07-31T07:20:00"/>
    <s v="INYECTADO"/>
    <x v="3"/>
    <x v="168"/>
    <s v="CRISALIDA ZAPATA"/>
    <m/>
    <m/>
    <m/>
    <x v="120"/>
    <s v="JARRA GRECIA 500ML CARAMELO-AMARILLO"/>
    <n v="336"/>
    <n v="5"/>
    <n v="42.4"/>
    <s v="DIURNO"/>
    <m/>
    <n v="3"/>
    <n v="1170"/>
    <n v="18796"/>
    <s v="AMARILLO"/>
    <n v="9.6"/>
    <n v="0"/>
    <n v="0"/>
    <n v="10.752000000000001"/>
    <n v="42.4"/>
    <n v="32"/>
    <n v="1325"/>
    <x v="6"/>
    <x v="0"/>
    <n v="31"/>
    <n v="3"/>
    <n v="84"/>
  </r>
  <r>
    <d v="2025-07-31T07:20:00"/>
    <s v="INYECTADO"/>
    <x v="3"/>
    <x v="168"/>
    <s v="CRISALIDA ZAPATA"/>
    <m/>
    <m/>
    <m/>
    <x v="120"/>
    <s v="JARRA GRECIA 500ML CARAMELO-VERDE"/>
    <n v="334"/>
    <n v="4"/>
    <n v="42.1"/>
    <s v="DIURNO"/>
    <m/>
    <n v="3"/>
    <n v="1170"/>
    <n v="18796"/>
    <s v="VERDE"/>
    <n v="11"/>
    <n v="0"/>
    <n v="0"/>
    <n v="10.688000000000001"/>
    <n v="42.1"/>
    <n v="32"/>
    <n v="1315.625"/>
    <x v="6"/>
    <x v="0"/>
    <n v="31"/>
    <n v="3"/>
    <n v="83.5"/>
  </r>
  <r>
    <d v="2025-07-31T07:20:00"/>
    <s v="INYECTADO"/>
    <x v="3"/>
    <x v="168"/>
    <s v="CRISALIDA ZAPATA"/>
    <m/>
    <m/>
    <m/>
    <x v="120"/>
    <s v="JARRA GRECIA 500ML CARAMELO-FUCSIA"/>
    <n v="39"/>
    <n v="1"/>
    <n v="4.9000000000000004"/>
    <s v="DIURNO"/>
    <m/>
    <n v="1"/>
    <n v="1170"/>
    <n v="18796"/>
    <s v="FUCSIA"/>
    <n v="2.2000000000000002"/>
    <n v="0"/>
    <n v="0"/>
    <n v="1.248"/>
    <n v="4.9000000000000004"/>
    <n v="32"/>
    <n v="153.125"/>
    <x v="6"/>
    <x v="0"/>
    <n v="31"/>
    <n v="3"/>
    <n v="9.75"/>
  </r>
  <r>
    <d v="2025-07-31T07:20:00"/>
    <s v="INYECTADO"/>
    <x v="3"/>
    <x v="168"/>
    <s v="CRISALIDA ZAPATA"/>
    <m/>
    <m/>
    <m/>
    <x v="120"/>
    <s v="JARRA GRECIA 500ML CARAMELO-FUCSIA"/>
    <n v="46"/>
    <n v="1"/>
    <n v="5.9"/>
    <s v="NOCTURNO"/>
    <m/>
    <n v="1"/>
    <n v="1170"/>
    <n v="18797"/>
    <s v="FUCSIA"/>
    <n v="3.2"/>
    <n v="0"/>
    <n v="0"/>
    <n v="1.472"/>
    <n v="5.9"/>
    <n v="32"/>
    <n v="184.375"/>
    <x v="6"/>
    <x v="0"/>
    <n v="31"/>
    <n v="3"/>
    <n v="11.5"/>
  </r>
  <r>
    <d v="2025-07-31T07:20:00"/>
    <s v="INYECTADO"/>
    <x v="3"/>
    <x v="169"/>
    <s v="LUIS PINEDO"/>
    <m/>
    <m/>
    <m/>
    <x v="120"/>
    <s v="JARRA GRECIA 500ML CARAMELO-FUCSIA"/>
    <n v="113"/>
    <n v="3"/>
    <n v="14.4"/>
    <s v="DIURNO"/>
    <m/>
    <n v="1"/>
    <n v="1170"/>
    <n v="18798"/>
    <s v="FUCSIA"/>
    <n v="19.399999999999999"/>
    <n v="0"/>
    <n v="0"/>
    <n v="3.6160000000000001"/>
    <n v="14.4"/>
    <n v="32"/>
    <n v="450"/>
    <x v="6"/>
    <x v="0"/>
    <n v="31"/>
    <n v="3"/>
    <n v="28.25"/>
  </r>
  <r>
    <d v="2025-07-31T07:20:00"/>
    <s v="INYECTADO"/>
    <x v="3"/>
    <x v="169"/>
    <s v="LUIS PINEDO"/>
    <m/>
    <m/>
    <m/>
    <x v="120"/>
    <s v="JARRA GRECIA 500ML CARAMELO-LILA"/>
    <n v="330"/>
    <n v="5"/>
    <n v="41"/>
    <s v="DIURNO"/>
    <m/>
    <n v="3"/>
    <n v="1170"/>
    <n v="18798"/>
    <s v="LILA"/>
    <n v="13.4"/>
    <n v="0"/>
    <n v="0"/>
    <n v="10.56"/>
    <n v="41"/>
    <n v="32"/>
    <n v="1281.25"/>
    <x v="6"/>
    <x v="0"/>
    <n v="31"/>
    <n v="3"/>
    <n v="82.5"/>
  </r>
  <r>
    <d v="2025-07-31T07:20:00"/>
    <s v="INYECTADO"/>
    <x v="3"/>
    <x v="169"/>
    <s v="LUIS PINEDO"/>
    <m/>
    <m/>
    <m/>
    <x v="120"/>
    <s v="JARRA GRECIA 500ML CARAMELO-NARANJA"/>
    <n v="117"/>
    <n v="2"/>
    <n v="14.6"/>
    <s v="DIURNO"/>
    <m/>
    <n v="2"/>
    <n v="1170"/>
    <n v="18798"/>
    <s v="NARANJA"/>
    <n v="6.4"/>
    <n v="0"/>
    <n v="0"/>
    <e v="#N/A"/>
    <n v="14.6"/>
    <e v="#N/A"/>
    <n v="0"/>
    <x v="6"/>
    <x v="0"/>
    <n v="31"/>
    <e v="#N/A"/>
    <e v="#N/A"/>
  </r>
  <r>
    <d v="2025-07-31T07:20:00"/>
    <s v="SOPLADO"/>
    <x v="14"/>
    <x v="170"/>
    <s v="SAID VILLAMIZAR"/>
    <m/>
    <m/>
    <m/>
    <x v="121"/>
    <s v="ALCANCIA PABLO GRANDE-CARNE"/>
    <n v="269"/>
    <n v="6"/>
    <n v="36.1"/>
    <s v="DIURNO"/>
    <m/>
    <n v="6"/>
    <n v="1171"/>
    <n v="22401"/>
    <s v="CARNE"/>
    <n v="0"/>
    <n v="0"/>
    <n v="0"/>
    <n v="33.625"/>
    <n v="36.1"/>
    <n v="125"/>
    <n v="288.8"/>
    <x v="6"/>
    <x v="0"/>
    <n v="28"/>
    <n v="1"/>
    <n v="22.416666666666668"/>
  </r>
  <r>
    <d v="2025-07-31T07:20:00"/>
    <s v="SOPLADO"/>
    <x v="14"/>
    <x v="149"/>
    <s v="SAID VILLAMIZAR"/>
    <m/>
    <m/>
    <m/>
    <x v="121"/>
    <s v="ALCANCIA PABLO GRANDE-CARNE"/>
    <n v="57"/>
    <n v="1"/>
    <n v="7.7"/>
    <s v="DIURNO"/>
    <m/>
    <n v="2"/>
    <n v="1171"/>
    <n v="22402"/>
    <s v="CARNE"/>
    <n v="0"/>
    <n v="0"/>
    <n v="0"/>
    <n v="7.125"/>
    <n v="7.7"/>
    <n v="125"/>
    <n v="61.6"/>
    <x v="6"/>
    <x v="0"/>
    <n v="29"/>
    <n v="1"/>
    <n v="4.75"/>
  </r>
  <r>
    <d v="2025-07-31T07:20:00"/>
    <s v="INYECTADO"/>
    <x v="7"/>
    <x v="151"/>
    <s v="CRISALIDA ZAPATA"/>
    <m/>
    <m/>
    <m/>
    <x v="53"/>
    <s v="TAPA DE ORGANIZADOR #2 CARAMELO-FUCSIA"/>
    <n v="1030"/>
    <n v="9"/>
    <n v="43.2"/>
    <s v="DIURNO"/>
    <m/>
    <n v="6"/>
    <n v="1139"/>
    <n v="22216"/>
    <s v="FUCSIA"/>
    <n v="1.8"/>
    <n v="0"/>
    <n v="0"/>
    <n v="21.63"/>
    <n v="43.2"/>
    <n v="21"/>
    <n v="2057.1428571428573"/>
    <x v="6"/>
    <x v="0"/>
    <n v="27"/>
    <n v="2"/>
    <n v="171.66666666666666"/>
  </r>
  <r>
    <d v="2025-07-31T07:20:00"/>
    <s v="INYECTADO"/>
    <x v="7"/>
    <x v="151"/>
    <s v="CRISALIDA ZAPATA"/>
    <m/>
    <m/>
    <m/>
    <x v="53"/>
    <s v="TAPA DE ORGANIZADOR #2 CARAMELO-LILA"/>
    <n v="174"/>
    <n v="2"/>
    <n v="7.3"/>
    <s v="DIURNO"/>
    <m/>
    <n v="4"/>
    <n v="1139"/>
    <n v="22216"/>
    <s v="LILA"/>
    <n v="0"/>
    <n v="0"/>
    <n v="0"/>
    <n v="3.6539999999999999"/>
    <n v="7.3"/>
    <n v="21"/>
    <n v="347.61904761904759"/>
    <x v="6"/>
    <x v="0"/>
    <n v="27"/>
    <n v="2"/>
    <n v="29"/>
  </r>
  <r>
    <d v="2025-07-31T07:20:00"/>
    <s v="INYECTADO"/>
    <x v="7"/>
    <x v="151"/>
    <s v="JOSDER GONZALEZ"/>
    <m/>
    <m/>
    <m/>
    <x v="53"/>
    <s v="TAPA DE ORGANIZADOR #2 CARAMELO-LILA"/>
    <n v="1459"/>
    <n v="12"/>
    <n v="61.2"/>
    <s v="NOCTURNO"/>
    <m/>
    <n v="13"/>
    <n v="1139"/>
    <n v="22217"/>
    <s v="LILA"/>
    <n v="0"/>
    <n v="0"/>
    <n v="0"/>
    <n v="30.638999999999999"/>
    <n v="61.2"/>
    <n v="21"/>
    <n v="2914.2857142857142"/>
    <x v="6"/>
    <x v="0"/>
    <n v="27"/>
    <n v="2"/>
    <n v="243.16666666666666"/>
  </r>
  <r>
    <d v="2025-07-31T07:20:00"/>
    <s v="INYECTADO"/>
    <x v="7"/>
    <x v="152"/>
    <s v="CRISALIDA ZAPATA"/>
    <m/>
    <m/>
    <m/>
    <x v="53"/>
    <s v="TAPA DE ORGANIZADOR #2 CARAMELO-LILA"/>
    <n v="160"/>
    <n v="2"/>
    <n v="6.8"/>
    <s v="DIURNO"/>
    <m/>
    <n v="2"/>
    <n v="1139"/>
    <n v="22218"/>
    <s v="LILA"/>
    <n v="1.8"/>
    <n v="0"/>
    <n v="0"/>
    <n v="3.36"/>
    <n v="6.8"/>
    <n v="21"/>
    <n v="323.8095238095238"/>
    <x v="6"/>
    <x v="0"/>
    <n v="27"/>
    <n v="2"/>
    <n v="26.666666666666668"/>
  </r>
  <r>
    <d v="2025-07-31T07:20:00"/>
    <s v="INYECTADO"/>
    <x v="7"/>
    <x v="152"/>
    <s v="CRISALIDA ZAPATA"/>
    <m/>
    <m/>
    <m/>
    <x v="53"/>
    <s v="TAPA DE ORGANIZADOR #2 CARAMELO-ROJO"/>
    <n v="1075"/>
    <n v="9"/>
    <n v="46.2"/>
    <s v="DIURNO"/>
    <m/>
    <n v="9"/>
    <n v="1139"/>
    <n v="22218"/>
    <s v="ROJO"/>
    <n v="1.1000000000000001"/>
    <n v="0"/>
    <n v="0"/>
    <n v="22.574999999999999"/>
    <n v="46.2"/>
    <n v="21"/>
    <n v="2200"/>
    <x v="6"/>
    <x v="0"/>
    <n v="27"/>
    <n v="2"/>
    <n v="179.16666666666666"/>
  </r>
  <r>
    <d v="2025-07-31T07:20:00"/>
    <s v="INYECTADO"/>
    <x v="7"/>
    <x v="152"/>
    <s v="JOSDER GONZALEZ"/>
    <m/>
    <m/>
    <m/>
    <x v="53"/>
    <s v="TAPA DE ORGANIZADOR #2 CARAMELO-ROJO"/>
    <n v="73"/>
    <n v="1"/>
    <n v="3.1"/>
    <s v="NOCTURNO"/>
    <m/>
    <n v="1"/>
    <n v="1139"/>
    <n v="22219"/>
    <s v="ROJO"/>
    <n v="10.7"/>
    <n v="0"/>
    <n v="0"/>
    <n v="1.5329999999999999"/>
    <n v="3.1"/>
    <n v="21"/>
    <n v="147.61904761904762"/>
    <x v="6"/>
    <x v="0"/>
    <n v="27"/>
    <n v="2"/>
    <n v="12.166666666666666"/>
  </r>
  <r>
    <d v="2025-07-31T07:20:00"/>
    <s v="INYECTADO"/>
    <x v="7"/>
    <x v="152"/>
    <s v="JOSDER GONZALEZ"/>
    <m/>
    <m/>
    <m/>
    <x v="53"/>
    <s v="TAPA DE ORGANIZADOR #2 PASTEL-BLANCO"/>
    <n v="841"/>
    <n v="8"/>
    <n v="35.299999999999997"/>
    <s v="NOCTURNO"/>
    <m/>
    <n v="7"/>
    <n v="1139"/>
    <n v="22219"/>
    <s v="BLANCO"/>
    <n v="0.6"/>
    <n v="0"/>
    <n v="0"/>
    <e v="#N/A"/>
    <n v="35.299999999999997"/>
    <e v="#N/A"/>
    <n v="0"/>
    <x v="6"/>
    <x v="0"/>
    <n v="27"/>
    <e v="#N/A"/>
    <e v="#N/A"/>
  </r>
  <r>
    <d v="2025-07-31T07:20:00"/>
    <s v="INYECTADO"/>
    <x v="7"/>
    <x v="160"/>
    <s v="CRISALIDA ZAPATA"/>
    <m/>
    <m/>
    <m/>
    <x v="53"/>
    <s v="TAPA DE ORGANIZADOR #2 PASTEL-BLANCO"/>
    <n v="1440"/>
    <n v="11"/>
    <n v="61.9"/>
    <s v="DIURNO"/>
    <m/>
    <n v="12"/>
    <n v="1139"/>
    <n v="22220"/>
    <s v="BLANCO"/>
    <n v="0.5"/>
    <n v="0"/>
    <n v="0"/>
    <e v="#N/A"/>
    <n v="61.9"/>
    <e v="#N/A"/>
    <n v="0"/>
    <x v="6"/>
    <x v="0"/>
    <n v="27"/>
    <e v="#N/A"/>
    <e v="#N/A"/>
  </r>
  <r>
    <d v="2025-07-31T07:20:00"/>
    <s v="INYECTADO"/>
    <x v="7"/>
    <x v="160"/>
    <s v="YERIKA"/>
    <m/>
    <m/>
    <m/>
    <x v="53"/>
    <s v="TAPA DE ORGANIZADOR #2 PASTEL-BLANCO"/>
    <n v="1349"/>
    <n v="12"/>
    <n v="61.4"/>
    <s v="NOCTURNO"/>
    <m/>
    <n v="11"/>
    <n v="1139"/>
    <n v="22221"/>
    <s v="BLANCO"/>
    <n v="0.4"/>
    <n v="0"/>
    <n v="0"/>
    <e v="#N/A"/>
    <n v="61.4"/>
    <e v="#N/A"/>
    <n v="0"/>
    <x v="6"/>
    <x v="0"/>
    <n v="27"/>
    <e v="#N/A"/>
    <e v="#N/A"/>
  </r>
  <r>
    <d v="2025-07-31T07:20:00"/>
    <s v="INYECTADO"/>
    <x v="7"/>
    <x v="141"/>
    <s v="CRISALIDA ZAPATA"/>
    <m/>
    <m/>
    <m/>
    <x v="53"/>
    <s v="TAPA DE ORGANIZADOR #2 PASTEL-BLANCO"/>
    <n v="1418"/>
    <n v="11"/>
    <n v="60.1"/>
    <s v="DIURNO"/>
    <m/>
    <n v="12"/>
    <n v="1139"/>
    <n v="22222"/>
    <s v="BLANCO"/>
    <n v="0.3"/>
    <n v="0"/>
    <n v="0"/>
    <e v="#N/A"/>
    <n v="60.1"/>
    <e v="#N/A"/>
    <n v="0"/>
    <x v="6"/>
    <x v="0"/>
    <n v="27"/>
    <e v="#N/A"/>
    <e v="#N/A"/>
  </r>
  <r>
    <d v="2025-07-31T07:20:00"/>
    <s v="INYECTADO"/>
    <x v="7"/>
    <x v="141"/>
    <s v="JOSDER GONZALEZ"/>
    <m/>
    <m/>
    <m/>
    <x v="53"/>
    <s v="TAPA DE ORGANIZADOR #2 PASTEL-BLANCO"/>
    <n v="486"/>
    <n v="12"/>
    <n v="29.2"/>
    <s v="NOCTURNO"/>
    <m/>
    <n v="5"/>
    <n v="1139"/>
    <n v="22223"/>
    <s v="BLANCO"/>
    <n v="5.6"/>
    <n v="0"/>
    <n v="0"/>
    <e v="#N/A"/>
    <n v="29.2"/>
    <e v="#N/A"/>
    <n v="0"/>
    <x v="6"/>
    <x v="0"/>
    <n v="27"/>
    <e v="#N/A"/>
    <e v="#N/A"/>
  </r>
  <r>
    <d v="2025-07-31T07:20:00"/>
    <s v="INYECTADO"/>
    <x v="7"/>
    <x v="141"/>
    <s v="JOSDER GONZALEZ"/>
    <m/>
    <m/>
    <m/>
    <x v="53"/>
    <s v="TAPA DE ORGANIZADOR #2 TRANSPARENTE"/>
    <n v="490"/>
    <n v="6"/>
    <n v="31"/>
    <s v="NOCTURNO"/>
    <m/>
    <n v="5"/>
    <n v="1139"/>
    <n v="22223"/>
    <s v="TRANSPARENTE"/>
    <n v="4.0999999999999996"/>
    <n v="0"/>
    <n v="0"/>
    <e v="#N/A"/>
    <n v="31"/>
    <e v="#N/A"/>
    <n v="0"/>
    <x v="6"/>
    <x v="0"/>
    <n v="27"/>
    <e v="#N/A"/>
    <e v="#N/A"/>
  </r>
  <r>
    <d v="2025-07-31T07:20:00"/>
    <s v="INYECTADO"/>
    <x v="7"/>
    <x v="142"/>
    <s v="CRISALIDA ZAPATA"/>
    <m/>
    <m/>
    <m/>
    <x v="53"/>
    <s v="TAPA DE ORGANIZADOR #2 TRANSPARENTE"/>
    <n v="1340"/>
    <n v="11"/>
    <n v="57.6"/>
    <s v="DIURNO"/>
    <m/>
    <n v="11"/>
    <n v="1139"/>
    <n v="22224"/>
    <s v="TRANSPARENTE"/>
    <n v="0.5"/>
    <n v="0"/>
    <n v="0"/>
    <e v="#N/A"/>
    <n v="57.6"/>
    <e v="#N/A"/>
    <n v="0"/>
    <x v="6"/>
    <x v="0"/>
    <n v="27"/>
    <e v="#N/A"/>
    <e v="#N/A"/>
  </r>
  <r>
    <d v="2025-07-31T07:20:00"/>
    <s v="INYECTADO"/>
    <x v="7"/>
    <x v="143"/>
    <s v="CRISALIDA ZAPATA"/>
    <m/>
    <m/>
    <m/>
    <x v="53"/>
    <s v="TAPA DE ORGANIZADOR #2 TRANSPARENTE"/>
    <n v="480"/>
    <n v="10"/>
    <n v="45"/>
    <s v="DIURNO"/>
    <m/>
    <n v="9"/>
    <n v="1139"/>
    <n v="22225"/>
    <s v="TRANSPARENTE"/>
    <n v="0.5"/>
    <n v="0"/>
    <n v="0"/>
    <e v="#N/A"/>
    <n v="45"/>
    <e v="#N/A"/>
    <n v="0"/>
    <x v="6"/>
    <x v="0"/>
    <n v="28"/>
    <e v="#N/A"/>
    <e v="#N/A"/>
  </r>
  <r>
    <d v="2025-07-31T07:20:00"/>
    <s v="INYECTADO"/>
    <x v="7"/>
    <x v="144"/>
    <s v="NELSON PINEDO"/>
    <m/>
    <m/>
    <m/>
    <x v="90"/>
    <s v="TAPA PORTAVAJILLA-TRANSPARENTE"/>
    <n v="365"/>
    <n v="4"/>
    <n v="109"/>
    <s v="DIURNO"/>
    <m/>
    <n v="6"/>
    <n v="1155"/>
    <n v="22226"/>
    <s v="TRANSPARENTE"/>
    <n v="10"/>
    <n v="0"/>
    <n v="0"/>
    <n v="122.64"/>
    <n v="109"/>
    <n v="336"/>
    <n v="324.40476190476193"/>
    <x v="6"/>
    <x v="0"/>
    <n v="28"/>
    <n v="1"/>
    <n v="30.416666666666668"/>
  </r>
  <r>
    <d v="2025-07-31T07:20:00"/>
    <s v="INYECTADO"/>
    <x v="7"/>
    <x v="144"/>
    <s v="GABRIEL REQUENA"/>
    <m/>
    <m/>
    <m/>
    <x v="90"/>
    <s v="TAPA PORTAVAJILLA-TRANSPARENTE"/>
    <n v="437"/>
    <n v="5"/>
    <n v="130.5"/>
    <s v="NOCTURNO"/>
    <m/>
    <n v="8"/>
    <n v="1155"/>
    <n v="22227"/>
    <s v="TRANSPARENTE"/>
    <n v="1.4"/>
    <n v="0"/>
    <n v="0"/>
    <n v="146.83199999999999"/>
    <n v="130.5"/>
    <n v="336"/>
    <n v="388.39285714285717"/>
    <x v="6"/>
    <x v="0"/>
    <n v="28"/>
    <n v="1"/>
    <n v="36.416666666666664"/>
  </r>
  <r>
    <d v="2025-07-31T07:20:00"/>
    <s v="INYECTADO"/>
    <x v="7"/>
    <x v="145"/>
    <s v="ALEJANDRO"/>
    <m/>
    <m/>
    <m/>
    <x v="90"/>
    <s v="TAPA PORTAVAJILLA-TRANSPARENTE"/>
    <n v="840"/>
    <n v="11"/>
    <n v="250.4"/>
    <s v="DIURNO"/>
    <m/>
    <n v="15"/>
    <n v="1155"/>
    <n v="22228"/>
    <s v="TRANSPARENTE"/>
    <n v="14.8"/>
    <n v="0"/>
    <n v="0"/>
    <n v="282.24"/>
    <n v="250.4"/>
    <n v="336"/>
    <n v="745.23809523809518"/>
    <x v="6"/>
    <x v="0"/>
    <n v="28"/>
    <n v="1"/>
    <n v="70"/>
  </r>
  <r>
    <d v="2025-07-31T07:20:00"/>
    <s v="INYECTADO"/>
    <x v="7"/>
    <x v="146"/>
    <s v="ALEJANDRO"/>
    <m/>
    <m/>
    <m/>
    <x v="90"/>
    <s v="TAPA PORTAVAJILLA-TRANSPARENTE"/>
    <n v="984"/>
    <n v="10"/>
    <n v="274.7"/>
    <s v="DIURNO"/>
    <m/>
    <n v="16"/>
    <n v="1155"/>
    <n v="22229"/>
    <s v="TRANSPARENTE"/>
    <n v="13.7"/>
    <n v="0"/>
    <n v="0"/>
    <n v="330.62400000000002"/>
    <n v="274.7"/>
    <n v="336"/>
    <n v="817.55952380952385"/>
    <x v="6"/>
    <x v="0"/>
    <n v="28"/>
    <n v="1"/>
    <n v="82"/>
  </r>
  <r>
    <d v="2025-07-31T07:20:00"/>
    <s v="INYECTADO"/>
    <x v="7"/>
    <x v="146"/>
    <s v="YERIKA"/>
    <m/>
    <m/>
    <m/>
    <x v="90"/>
    <s v="TAPA PORTAVAJILLA-TRANSPARENTE"/>
    <n v="1217"/>
    <n v="12"/>
    <n v="263"/>
    <s v="NOCTURNO"/>
    <m/>
    <n v="15"/>
    <n v="1155"/>
    <n v="22230"/>
    <s v="TRANSPARENTE"/>
    <n v="4.5999999999999996"/>
    <n v="0"/>
    <n v="0"/>
    <n v="408.91199999999998"/>
    <n v="263"/>
    <n v="336"/>
    <n v="782.73809523809518"/>
    <x v="6"/>
    <x v="0"/>
    <n v="28"/>
    <n v="1"/>
    <n v="101.41666666666667"/>
  </r>
  <r>
    <d v="2025-07-31T07:20:00"/>
    <s v="INYECTADO"/>
    <x v="7"/>
    <x v="147"/>
    <s v="JUANA CRUCES"/>
    <m/>
    <m/>
    <m/>
    <x v="90"/>
    <s v="TAPA PORTAVAJILLA-TRANSPARENTE"/>
    <n v="592"/>
    <n v="6"/>
    <n v="177.6"/>
    <s v="DIURNO"/>
    <m/>
    <n v="10"/>
    <n v="1155"/>
    <n v="22231"/>
    <s v="TRANSPARENTE"/>
    <n v="1.6"/>
    <n v="0"/>
    <n v="0"/>
    <n v="198.91200000000001"/>
    <n v="177.6"/>
    <n v="336"/>
    <n v="528.57142857142856"/>
    <x v="6"/>
    <x v="0"/>
    <n v="28"/>
    <n v="1"/>
    <n v="49.333333333333336"/>
  </r>
  <r>
    <d v="2025-07-31T07:20:00"/>
    <s v="INYECTADO"/>
    <x v="7"/>
    <x v="149"/>
    <s v="JUANA CRUCES"/>
    <m/>
    <m/>
    <m/>
    <x v="90"/>
    <s v="TAPA PORTAVAJILLA-TRANSPARENTE"/>
    <n v="147"/>
    <n v="2"/>
    <n v="44.1"/>
    <s v="DIURNO"/>
    <m/>
    <n v="3"/>
    <n v="1155"/>
    <n v="22232"/>
    <s v="TRANSPARENTE"/>
    <n v="0"/>
    <n v="0"/>
    <n v="0"/>
    <n v="49.392000000000003"/>
    <n v="44.1"/>
    <n v="336"/>
    <n v="131.25"/>
    <x v="6"/>
    <x v="0"/>
    <n v="29"/>
    <n v="1"/>
    <n v="12.25"/>
  </r>
  <r>
    <d v="2025-07-31T07:20:00"/>
    <s v="INYECTADO"/>
    <x v="7"/>
    <x v="149"/>
    <s v="YERIKA"/>
    <m/>
    <m/>
    <m/>
    <x v="90"/>
    <s v="TAPA PORTAVAJILLA-TRANSPARENTE"/>
    <n v="1164"/>
    <n v="12"/>
    <n v="333.4"/>
    <s v="NOCTURNO"/>
    <m/>
    <n v="19"/>
    <n v="1155"/>
    <n v="22233"/>
    <s v="TRANSPARENTE"/>
    <n v="0"/>
    <n v="0"/>
    <n v="0"/>
    <n v="391.10399999999998"/>
    <n v="333.4"/>
    <n v="336"/>
    <n v="992.26190476190482"/>
    <x v="6"/>
    <x v="0"/>
    <n v="29"/>
    <n v="1"/>
    <n v="97"/>
  </r>
  <r>
    <d v="2025-07-31T07:20:00"/>
    <s v="INYECTADO"/>
    <x v="7"/>
    <x v="150"/>
    <s v="JUANA CRUCES"/>
    <m/>
    <m/>
    <m/>
    <x v="90"/>
    <s v="TAPA PORTAVAJILLA-TRANSPARENTE"/>
    <n v="88"/>
    <n v="1"/>
    <n v="26.5"/>
    <s v="DIURNO"/>
    <m/>
    <n v="1"/>
    <n v="1155"/>
    <n v="22234"/>
    <s v="TRANSPARENTE"/>
    <n v="0"/>
    <n v="0"/>
    <n v="0"/>
    <n v="29.568000000000001"/>
    <n v="26.5"/>
    <n v="336"/>
    <n v="78.86904761904762"/>
    <x v="6"/>
    <x v="0"/>
    <n v="29"/>
    <n v="1"/>
    <n v="7.333333333333333"/>
  </r>
  <r>
    <d v="2025-07-31T07:20:00"/>
    <s v="INYECTADO"/>
    <x v="7"/>
    <x v="150"/>
    <s v="JUANA CRUCES"/>
    <m/>
    <m/>
    <m/>
    <x v="122"/>
    <s v="VASO SORBETE SOLIDO-VERDE"/>
    <n v="132"/>
    <n v="1"/>
    <n v="19.899999999999999"/>
    <s v="DIURNO"/>
    <m/>
    <n v="3"/>
    <n v="1172"/>
    <n v="22234"/>
    <s v="VERDE"/>
    <n v="0"/>
    <n v="0"/>
    <n v="0"/>
    <n v="3.1019999999999999"/>
    <n v="19.899999999999999"/>
    <n v="23.5"/>
    <n v="846.80851063829789"/>
    <x v="6"/>
    <x v="0"/>
    <n v="29"/>
    <n v="2"/>
    <n v="22"/>
  </r>
  <r>
    <d v="2025-07-31T07:20:00"/>
    <s v="INYECTADO"/>
    <x v="7"/>
    <x v="161"/>
    <s v="GABRIEL REQUENA"/>
    <m/>
    <m/>
    <m/>
    <x v="122"/>
    <s v="VASO SORBETE SOLIDO-AZUL"/>
    <n v="545"/>
    <n v="5"/>
    <n v="81.8"/>
    <s v="NOCTURNO"/>
    <m/>
    <n v="8"/>
    <n v="1172"/>
    <n v="22235"/>
    <s v="VERDE"/>
    <n v="14"/>
    <n v="0"/>
    <n v="0"/>
    <n v="12.807499999999999"/>
    <n v="81.8"/>
    <n v="23.5"/>
    <n v="3480.8510638297871"/>
    <x v="6"/>
    <x v="0"/>
    <n v="29"/>
    <n v="2"/>
    <n v="90.833333333333329"/>
  </r>
  <r>
    <d v="2025-07-31T07:20:00"/>
    <s v="INYECTADO"/>
    <x v="7"/>
    <x v="161"/>
    <s v="GABRIEL REQUENA"/>
    <m/>
    <m/>
    <m/>
    <x v="122"/>
    <s v="VASO SORBETE SOLIDO-VERDE"/>
    <n v="570"/>
    <n v="6"/>
    <n v="85.6"/>
    <s v="NOCTURNO"/>
    <m/>
    <n v="10"/>
    <n v="1172"/>
    <n v="22235"/>
    <s v="AZUL"/>
    <n v="3"/>
    <n v="0"/>
    <n v="0"/>
    <n v="13.395"/>
    <n v="85.6"/>
    <n v="23.5"/>
    <n v="3642.5531914893618"/>
    <x v="6"/>
    <x v="0"/>
    <n v="29"/>
    <n v="2"/>
    <n v="95"/>
  </r>
  <r>
    <d v="2025-07-31T07:20:00"/>
    <s v="INYECTADO"/>
    <x v="7"/>
    <x v="162"/>
    <s v="NELSON PINEDO"/>
    <m/>
    <m/>
    <m/>
    <x v="122"/>
    <s v="VASO SORBETE SOLIDO-AZUL"/>
    <n v="50"/>
    <n v="1"/>
    <n v="7.4"/>
    <s v="DIURNO"/>
    <m/>
    <n v="2"/>
    <n v="1172"/>
    <n v="22236"/>
    <s v="AZUL"/>
    <n v="3"/>
    <n v="0"/>
    <n v="0"/>
    <n v="1.175"/>
    <n v="7.4"/>
    <n v="23.5"/>
    <n v="314.89361702127661"/>
    <x v="6"/>
    <x v="0"/>
    <n v="29"/>
    <n v="2"/>
    <n v="8.3333333333333339"/>
  </r>
  <r>
    <d v="2025-07-31T07:20:00"/>
    <s v="INYECTADO"/>
    <x v="7"/>
    <x v="162"/>
    <s v="NELSON PINEDO"/>
    <m/>
    <m/>
    <m/>
    <x v="122"/>
    <s v="VASO SORBETE SOLIDO-ROJO"/>
    <n v="743"/>
    <n v="7"/>
    <n v="110.1"/>
    <s v="DIURNO"/>
    <m/>
    <n v="11"/>
    <n v="1172"/>
    <n v="22236"/>
    <s v="ROJO"/>
    <n v="6.2"/>
    <n v="0"/>
    <n v="0"/>
    <n v="17.4605"/>
    <n v="110.1"/>
    <n v="23.5"/>
    <n v="4685.1063829787236"/>
    <x v="6"/>
    <x v="0"/>
    <n v="29"/>
    <n v="2"/>
    <n v="123.83333333333333"/>
  </r>
  <r>
    <d v="2025-07-31T07:20:00"/>
    <s v="INYECTADO"/>
    <x v="7"/>
    <x v="162"/>
    <s v="NELSON PINEDO"/>
    <m/>
    <m/>
    <m/>
    <x v="122"/>
    <s v="VASO SORBETE PASTEL-SANDIA"/>
    <n v="302"/>
    <n v="4"/>
    <n v="44.8"/>
    <s v="DIURNO"/>
    <m/>
    <n v="4"/>
    <n v="1172"/>
    <n v="22236"/>
    <s v="SANDIA"/>
    <n v="0"/>
    <n v="0"/>
    <n v="0"/>
    <e v="#N/A"/>
    <n v="44.8"/>
    <e v="#N/A"/>
    <n v="0"/>
    <x v="6"/>
    <x v="0"/>
    <n v="29"/>
    <e v="#N/A"/>
    <e v="#N/A"/>
  </r>
  <r>
    <d v="2025-07-31T07:20:00"/>
    <s v="INYECTADO"/>
    <x v="7"/>
    <x v="162"/>
    <s v="GABRIEL REQUENA"/>
    <m/>
    <m/>
    <m/>
    <x v="122"/>
    <s v="VASO SORBETE PASTEL-SANDIA"/>
    <n v="356"/>
    <n v="4"/>
    <n v="53.1"/>
    <s v="NOCTURNO"/>
    <m/>
    <n v="9"/>
    <n v="1173"/>
    <n v="22237"/>
    <s v="SANDIA"/>
    <n v="7.7"/>
    <n v="0"/>
    <n v="0"/>
    <e v="#N/A"/>
    <n v="53.1"/>
    <e v="#N/A"/>
    <n v="0"/>
    <x v="6"/>
    <x v="0"/>
    <n v="29"/>
    <e v="#N/A"/>
    <e v="#N/A"/>
  </r>
  <r>
    <d v="2025-07-31T07:20:00"/>
    <s v="INYECTADO"/>
    <x v="7"/>
    <x v="162"/>
    <s v="GABRIEL REQUENA"/>
    <m/>
    <m/>
    <m/>
    <x v="122"/>
    <s v="VASO SORBETE PASTEL-AZURE"/>
    <n v="506"/>
    <n v="6"/>
    <n v="75.5"/>
    <s v="NOCTURNO"/>
    <m/>
    <n v="12"/>
    <n v="1173"/>
    <n v="22237"/>
    <s v="AZURE"/>
    <n v="8"/>
    <n v="0"/>
    <n v="0"/>
    <e v="#N/A"/>
    <n v="75.5"/>
    <e v="#N/A"/>
    <n v="0"/>
    <x v="6"/>
    <x v="0"/>
    <n v="29"/>
    <e v="#N/A"/>
    <e v="#N/A"/>
  </r>
  <r>
    <d v="2025-07-31T07:20:00"/>
    <s v="INYECTADO"/>
    <x v="7"/>
    <x v="163"/>
    <s v="NELSON PINEDO"/>
    <m/>
    <m/>
    <m/>
    <x v="122"/>
    <s v="VASO SORBETE SOLIDO-FUCSIA"/>
    <n v="623"/>
    <n v="6"/>
    <n v="92.9"/>
    <s v="DIURNO"/>
    <m/>
    <n v="12"/>
    <n v="1172"/>
    <n v="22238"/>
    <s v="FUCSIA"/>
    <n v="0"/>
    <n v="0"/>
    <n v="0"/>
    <n v="14.640499999999999"/>
    <n v="92.9"/>
    <n v="23.5"/>
    <n v="3953.1914893617022"/>
    <x v="6"/>
    <x v="0"/>
    <n v="29"/>
    <n v="2"/>
    <n v="103.83333333333333"/>
  </r>
  <r>
    <d v="2025-07-31T07:20:00"/>
    <s v="INYECTADO"/>
    <x v="7"/>
    <x v="163"/>
    <s v="GABRIEL REQUENA"/>
    <m/>
    <m/>
    <m/>
    <x v="122"/>
    <s v="VASO SORBETE SOLIDO-FUCSIA"/>
    <n v="59"/>
    <n v="1"/>
    <n v="8.9"/>
    <s v="NOCTURNO"/>
    <m/>
    <n v="1"/>
    <n v="1172"/>
    <n v="22239"/>
    <s v="FUCSIA"/>
    <n v="39.9"/>
    <n v="0"/>
    <n v="0"/>
    <n v="1.3865000000000001"/>
    <n v="8.9"/>
    <n v="23.5"/>
    <n v="378.72340425531917"/>
    <x v="6"/>
    <x v="0"/>
    <n v="29"/>
    <n v="2"/>
    <n v="9.8333333333333339"/>
  </r>
  <r>
    <d v="2025-07-31T07:20:00"/>
    <s v="INYECTADO"/>
    <x v="7"/>
    <x v="163"/>
    <s v="GABRIEL REQUENA"/>
    <m/>
    <m/>
    <m/>
    <x v="122"/>
    <s v="VASO SORBETE SOLIDO-AMARILLO"/>
    <n v="640"/>
    <n v="7"/>
    <n v="98.8"/>
    <s v="NOCTURNO"/>
    <m/>
    <n v="15"/>
    <n v="1172"/>
    <n v="22239"/>
    <s v="AMARILLO"/>
    <n v="12.6"/>
    <n v="0"/>
    <n v="0"/>
    <n v="15.04"/>
    <n v="98.8"/>
    <n v="23.5"/>
    <n v="4204.255319148936"/>
    <x v="6"/>
    <x v="0"/>
    <n v="29"/>
    <n v="2"/>
    <n v="106.66666666666667"/>
  </r>
  <r>
    <d v="2025-07-31T07:20:00"/>
    <s v="INYECTADO"/>
    <x v="7"/>
    <x v="163"/>
    <s v="GABRIEL REQUENA"/>
    <m/>
    <m/>
    <m/>
    <x v="122"/>
    <s v="VASO SORBETE SOLIDO-LILA"/>
    <n v="28"/>
    <n v="1"/>
    <n v="4.0999999999999996"/>
    <s v="NOCTURNO"/>
    <m/>
    <n v="1"/>
    <n v="1172"/>
    <n v="22239"/>
    <s v="LILA"/>
    <n v="0"/>
    <n v="0"/>
    <n v="0"/>
    <n v="0.65800000000000003"/>
    <n v="4.0999999999999996"/>
    <n v="23.5"/>
    <n v="174.46808510638297"/>
    <x v="6"/>
    <x v="0"/>
    <n v="29"/>
    <n v="2"/>
    <n v="4.666666666666667"/>
  </r>
  <r>
    <d v="2025-07-31T07:20:00"/>
    <s v="INYECTADO"/>
    <x v="7"/>
    <x v="164"/>
    <s v="NELSON PINEDO"/>
    <m/>
    <m/>
    <m/>
    <x v="122"/>
    <s v="VASO SORBETE SOLIDO-LILA"/>
    <n v="624"/>
    <n v="7"/>
    <n v="94.3"/>
    <s v="DIURNO"/>
    <m/>
    <n v="11"/>
    <n v="1172"/>
    <n v="22240"/>
    <s v="LILA"/>
    <n v="7.3"/>
    <n v="0"/>
    <n v="0"/>
    <n v="14.664"/>
    <n v="94.3"/>
    <n v="23.5"/>
    <n v="4012.7659574468084"/>
    <x v="6"/>
    <x v="0"/>
    <n v="29"/>
    <n v="2"/>
    <n v="104"/>
  </r>
  <r>
    <d v="2025-07-31T07:20:00"/>
    <s v="INYECTADO"/>
    <x v="7"/>
    <x v="164"/>
    <s v="NELSON PINEDO"/>
    <m/>
    <m/>
    <m/>
    <x v="122"/>
    <s v="VASO SORBETE PASTEL-LILA"/>
    <n v="186"/>
    <n v="2"/>
    <n v="28.2"/>
    <s v="DIURNO"/>
    <m/>
    <n v="5"/>
    <n v="1173"/>
    <n v="22240"/>
    <s v="LILA"/>
    <n v="0"/>
    <n v="0"/>
    <n v="0"/>
    <n v="4.3710000000000004"/>
    <n v="28.2"/>
    <n v="23.5"/>
    <n v="1200"/>
    <x v="6"/>
    <x v="0"/>
    <n v="29"/>
    <n v="2"/>
    <n v="31"/>
  </r>
  <r>
    <d v="2025-07-31T07:20:00"/>
    <s v="INYECTADO"/>
    <x v="7"/>
    <x v="164"/>
    <s v="GABRIEL REQUENA"/>
    <m/>
    <m/>
    <m/>
    <x v="122"/>
    <s v="VASO SORBETE PASTEL-LILA"/>
    <n v="233"/>
    <n v="3"/>
    <n v="35.299999999999997"/>
    <s v="NOCTURNO"/>
    <m/>
    <n v="6"/>
    <n v="1173"/>
    <n v="22241"/>
    <s v="LILA"/>
    <n v="11"/>
    <n v="0"/>
    <n v="0"/>
    <n v="5.4755000000000003"/>
    <n v="35.299999999999997"/>
    <n v="23.5"/>
    <n v="1502.127659574468"/>
    <x v="6"/>
    <x v="0"/>
    <n v="29"/>
    <n v="2"/>
    <n v="38.833333333333336"/>
  </r>
  <r>
    <d v="2025-07-31T07:20:00"/>
    <s v="INYECTADO"/>
    <x v="7"/>
    <x v="164"/>
    <s v="GABRIEL REQUENA"/>
    <m/>
    <m/>
    <m/>
    <x v="122"/>
    <s v="VASO SORBETE PASTEL-ROSADO"/>
    <n v="516"/>
    <n v="6"/>
    <n v="78"/>
    <s v="NOCTURNO"/>
    <m/>
    <n v="12"/>
    <n v="1173"/>
    <n v="22241"/>
    <s v="ROSADO"/>
    <n v="15.7"/>
    <n v="0"/>
    <n v="0"/>
    <n v="12.125999999999999"/>
    <n v="78"/>
    <n v="23.5"/>
    <n v="3319.1489361702129"/>
    <x v="6"/>
    <x v="0"/>
    <n v="29"/>
    <n v="2"/>
    <n v="86"/>
  </r>
  <r>
    <d v="2025-07-31T07:20:00"/>
    <s v="INYECTADO"/>
    <x v="7"/>
    <x v="164"/>
    <s v="GABRIEL REQUENA"/>
    <m/>
    <m/>
    <m/>
    <x v="122"/>
    <s v="VASO SORBETE PASTEL-TURQUESA"/>
    <n v="174"/>
    <n v="2"/>
    <n v="26.4"/>
    <s v="NOCTURNO"/>
    <m/>
    <n v="4"/>
    <n v="1173"/>
    <n v="22241"/>
    <s v="TURQUESA"/>
    <n v="0"/>
    <n v="0"/>
    <n v="0"/>
    <n v="4.0890000000000004"/>
    <n v="26.4"/>
    <n v="23.5"/>
    <n v="1123.4042553191489"/>
    <x v="6"/>
    <x v="0"/>
    <n v="29"/>
    <n v="2"/>
    <n v="29"/>
  </r>
  <r>
    <d v="2025-07-31T07:20:00"/>
    <s v="INYECTADO"/>
    <x v="7"/>
    <x v="165"/>
    <s v="SAID VILLAMIZAR"/>
    <m/>
    <m/>
    <m/>
    <x v="122"/>
    <s v="VASO SORBETE PASTEL-TURQUESA"/>
    <n v="293"/>
    <n v="4"/>
    <n v="44.3"/>
    <s v="EXTRA"/>
    <m/>
    <n v="7"/>
    <n v="1173"/>
    <n v="22242"/>
    <s v="TURQUESA"/>
    <n v="9.8000000000000007"/>
    <n v="0"/>
    <n v="0"/>
    <n v="6.8855000000000004"/>
    <n v="44.3"/>
    <n v="23.5"/>
    <n v="1885.1063829787233"/>
    <x v="6"/>
    <x v="0"/>
    <n v="29"/>
    <n v="2"/>
    <n v="48.833333333333336"/>
  </r>
  <r>
    <d v="2025-07-31T07:20:00"/>
    <s v="INYECTADO"/>
    <x v="7"/>
    <x v="165"/>
    <s v="SAID VILLAMIZAR"/>
    <m/>
    <m/>
    <m/>
    <x v="122"/>
    <s v="VASO SORBETE PASTEL-CELESTE"/>
    <n v="338"/>
    <n v="4"/>
    <n v="51.1"/>
    <s v="EXTRA"/>
    <m/>
    <n v="8"/>
    <n v="1173"/>
    <n v="22242"/>
    <s v="CELESTE"/>
    <n v="4.2"/>
    <n v="0"/>
    <n v="0"/>
    <e v="#N/A"/>
    <n v="51.1"/>
    <e v="#N/A"/>
    <n v="0"/>
    <x v="6"/>
    <x v="0"/>
    <n v="29"/>
    <e v="#N/A"/>
    <e v="#N/A"/>
  </r>
  <r>
    <d v="2025-07-31T07:20:00"/>
    <s v="INYECTADO"/>
    <x v="7"/>
    <x v="157"/>
    <s v="BRAYAN PINEDO"/>
    <m/>
    <m/>
    <m/>
    <x v="122"/>
    <s v="VASO SORBETE PASTEL-CELESTE"/>
    <n v="118"/>
    <n v="2"/>
    <n v="17.8"/>
    <s v="DIURNO"/>
    <m/>
    <n v="1"/>
    <n v="1173"/>
    <n v="22243"/>
    <s v="CELESTE"/>
    <n v="8"/>
    <n v="0"/>
    <n v="0"/>
    <e v="#N/A"/>
    <n v="17.8"/>
    <e v="#N/A"/>
    <n v="0"/>
    <x v="6"/>
    <x v="0"/>
    <n v="30"/>
    <e v="#N/A"/>
    <e v="#N/A"/>
  </r>
  <r>
    <d v="2025-07-31T07:20:00"/>
    <s v="INYECTADO"/>
    <x v="7"/>
    <x v="157"/>
    <s v="BRAYAN PINEDO"/>
    <m/>
    <m/>
    <m/>
    <x v="122"/>
    <s v="VASO SORBETE SOLIDO-AMARILLO"/>
    <n v="321"/>
    <n v="3"/>
    <n v="48.2"/>
    <s v="DIURNO"/>
    <m/>
    <n v="7"/>
    <n v="1172"/>
    <n v="22243"/>
    <s v="AMARILLO"/>
    <n v="12.2"/>
    <n v="0"/>
    <n v="0"/>
    <n v="7.5434999999999999"/>
    <n v="48.2"/>
    <n v="23.5"/>
    <n v="2051.0638297872342"/>
    <x v="6"/>
    <x v="0"/>
    <n v="30"/>
    <n v="2"/>
    <n v="53.5"/>
  </r>
  <r>
    <d v="2025-07-31T07:20:00"/>
    <s v="INYECTADO"/>
    <x v="7"/>
    <x v="157"/>
    <s v="BRAYAN PINEDO"/>
    <m/>
    <m/>
    <m/>
    <x v="122"/>
    <s v="VASO SORBETE SOLIDO-ROJO"/>
    <n v="336"/>
    <n v="3"/>
    <n v="50.5"/>
    <s v="DIURNO"/>
    <m/>
    <n v="4"/>
    <n v="1172"/>
    <n v="22243"/>
    <s v="ROJO"/>
    <n v="15"/>
    <n v="0"/>
    <n v="0"/>
    <n v="7.8959999999999999"/>
    <n v="50.5"/>
    <n v="23.5"/>
    <n v="2148.9361702127658"/>
    <x v="6"/>
    <x v="0"/>
    <n v="30"/>
    <n v="2"/>
    <n v="56"/>
  </r>
  <r>
    <d v="2025-07-31T07:20:00"/>
    <s v="INYECTADO"/>
    <x v="7"/>
    <x v="157"/>
    <s v="GABRIEL REQUENA"/>
    <m/>
    <m/>
    <m/>
    <x v="122"/>
    <s v="VASO SORBETE SOLIDO-AZUL"/>
    <n v="340"/>
    <n v="4"/>
    <n v="51.1"/>
    <s v="NOCTURNO"/>
    <m/>
    <n v="8"/>
    <n v="1172"/>
    <n v="22244"/>
    <s v="AZUL"/>
    <n v="6.8"/>
    <n v="0"/>
    <n v="0"/>
    <n v="7.99"/>
    <n v="51.1"/>
    <n v="23.5"/>
    <n v="2174.4680851063831"/>
    <x v="6"/>
    <x v="0"/>
    <n v="30"/>
    <n v="2"/>
    <n v="56.666666666666664"/>
  </r>
  <r>
    <d v="2025-07-31T07:20:00"/>
    <s v="INYECTADO"/>
    <x v="7"/>
    <x v="157"/>
    <s v="GABRIEL REQUENA"/>
    <m/>
    <m/>
    <m/>
    <x v="122"/>
    <s v="VASO SORBETE SOLIDO-FUCSIA"/>
    <n v="409"/>
    <n v="4"/>
    <n v="61.4"/>
    <s v="NOCTURNO"/>
    <m/>
    <n v="8"/>
    <n v="1172"/>
    <n v="22244"/>
    <s v="FUCSIA"/>
    <n v="8.3000000000000007"/>
    <n v="0"/>
    <n v="0"/>
    <n v="9.6114999999999995"/>
    <n v="61.4"/>
    <n v="23.5"/>
    <n v="2612.7659574468084"/>
    <x v="6"/>
    <x v="0"/>
    <n v="30"/>
    <n v="2"/>
    <n v="68.166666666666671"/>
  </r>
  <r>
    <d v="2025-07-31T07:20:00"/>
    <s v="INYECTADO"/>
    <x v="7"/>
    <x v="157"/>
    <s v="GABRIEL REQUENA"/>
    <m/>
    <m/>
    <m/>
    <x v="122"/>
    <s v="VASO SORBETE SOLIDO-LILA"/>
    <n v="96"/>
    <n v="2"/>
    <n v="14.4"/>
    <s v="NOCTURNO"/>
    <m/>
    <n v="3"/>
    <n v="1172"/>
    <n v="22244"/>
    <s v="LILA"/>
    <n v="1.9"/>
    <n v="0"/>
    <n v="0"/>
    <n v="2.2559999999999998"/>
    <n v="14.4"/>
    <n v="23.5"/>
    <n v="612.76595744680856"/>
    <x v="6"/>
    <x v="0"/>
    <n v="30"/>
    <n v="2"/>
    <n v="16"/>
  </r>
  <r>
    <d v="2025-07-31T07:20:00"/>
    <s v="INYECTADO"/>
    <x v="7"/>
    <x v="158"/>
    <s v="NELSON PINEDO"/>
    <m/>
    <m/>
    <m/>
    <x v="122"/>
    <s v="VASO SORBETE SOLIDO-LILA"/>
    <n v="166"/>
    <n v="2"/>
    <n v="25"/>
    <s v="DIURNO"/>
    <m/>
    <n v="4"/>
    <n v="1172"/>
    <n v="22245"/>
    <s v="LILA"/>
    <n v="32.9"/>
    <n v="0"/>
    <n v="0"/>
    <n v="3.9009999999999998"/>
    <n v="25"/>
    <n v="23.5"/>
    <n v="1063.8297872340424"/>
    <x v="6"/>
    <x v="0"/>
    <n v="30"/>
    <n v="2"/>
    <n v="27.666666666666668"/>
  </r>
  <r>
    <d v="2025-07-31T07:20:00"/>
    <s v="INYECTADO"/>
    <x v="7"/>
    <x v="158"/>
    <s v="NELSON PINEDO"/>
    <m/>
    <m/>
    <m/>
    <x v="122"/>
    <s v="VASO SORBETE SOLIDO-VERDE"/>
    <n v="421"/>
    <n v="5"/>
    <n v="63.2"/>
    <s v="DIURNO"/>
    <m/>
    <n v="9"/>
    <n v="1172"/>
    <n v="22245"/>
    <s v="VERDE"/>
    <n v="0"/>
    <n v="0"/>
    <n v="0"/>
    <n v="9.8934999999999995"/>
    <n v="63.2"/>
    <n v="23.5"/>
    <n v="2689.3617021276596"/>
    <x v="6"/>
    <x v="0"/>
    <n v="30"/>
    <n v="2"/>
    <n v="70.166666666666671"/>
  </r>
  <r>
    <d v="2025-07-31T07:20:00"/>
    <s v="INYECTADO"/>
    <x v="7"/>
    <x v="159"/>
    <s v="NELSON PINEDO"/>
    <m/>
    <m/>
    <m/>
    <x v="82"/>
    <s v="JABONERA CARAMELO-AMARILLO"/>
    <n v="47"/>
    <n v="1"/>
    <n v="5.3"/>
    <s v="DIURNO"/>
    <m/>
    <n v="1"/>
    <n v="1169"/>
    <n v="22246"/>
    <s v="AMARILLO"/>
    <n v="0"/>
    <n v="0"/>
    <n v="0"/>
    <n v="5.2640000000000002"/>
    <n v="5.3"/>
    <n v="112"/>
    <n v="47.321428571428569"/>
    <x v="6"/>
    <x v="0"/>
    <n v="30"/>
    <n v="4"/>
    <n v="15.666666666666666"/>
  </r>
  <r>
    <d v="2025-07-31T07:20:00"/>
    <s v="INYECTADO"/>
    <x v="7"/>
    <x v="159"/>
    <s v="GABRIEL REQUENA"/>
    <m/>
    <m/>
    <m/>
    <x v="82"/>
    <s v="JABONERA CARAMELO-AMARILLO"/>
    <n v="160"/>
    <n v="2"/>
    <n v="18"/>
    <s v="NOCTURNO"/>
    <m/>
    <n v="2"/>
    <n v="1169"/>
    <n v="22247"/>
    <s v="AMARILLO"/>
    <n v="4.5"/>
    <n v="0"/>
    <n v="0"/>
    <n v="17.920000000000002"/>
    <n v="18"/>
    <n v="112"/>
    <n v="160.71428571428572"/>
    <x v="6"/>
    <x v="0"/>
    <n v="30"/>
    <n v="4"/>
    <n v="53.333333333333336"/>
  </r>
  <r>
    <d v="2025-07-31T07:20:00"/>
    <s v="INYECTADO"/>
    <x v="7"/>
    <x v="159"/>
    <s v="GABRIEL REQUENA"/>
    <m/>
    <m/>
    <m/>
    <x v="82"/>
    <s v="JABONERA CARAMELO-VERDE"/>
    <n v="439"/>
    <n v="5"/>
    <n v="49.2"/>
    <s v="NOCTURNO"/>
    <m/>
    <n v="5"/>
    <n v="1169"/>
    <n v="22247"/>
    <s v="VERDE"/>
    <n v="3.7"/>
    <n v="0"/>
    <n v="0"/>
    <n v="49.167999999999999"/>
    <n v="49.2"/>
    <n v="112"/>
    <n v="439.28571428571428"/>
    <x v="6"/>
    <x v="0"/>
    <n v="30"/>
    <n v="4"/>
    <n v="146.33333333333334"/>
  </r>
  <r>
    <d v="2025-07-31T07:20:00"/>
    <s v="INYECTADO"/>
    <x v="7"/>
    <x v="159"/>
    <s v="GABRIEL REQUENA"/>
    <m/>
    <m/>
    <m/>
    <x v="82"/>
    <s v="JABONERA CARAMELO-ROJO"/>
    <n v="287"/>
    <n v="3"/>
    <n v="32.200000000000003"/>
    <s v="NOCTURNO"/>
    <m/>
    <n v="3"/>
    <n v="1169"/>
    <n v="22247"/>
    <s v="ROJO"/>
    <n v="2.4"/>
    <n v="0"/>
    <n v="0"/>
    <n v="32.143999999999998"/>
    <n v="32.200000000000003"/>
    <n v="112"/>
    <n v="287.50000000000006"/>
    <x v="6"/>
    <x v="0"/>
    <n v="30"/>
    <n v="4"/>
    <n v="95.666666666666671"/>
  </r>
  <r>
    <d v="2025-07-31T07:20:00"/>
    <s v="INYECTADO"/>
    <x v="7"/>
    <x v="153"/>
    <s v="CARLOS SULCA"/>
    <m/>
    <m/>
    <m/>
    <x v="82"/>
    <s v="JABONERA CARAMELO-ROJO"/>
    <n v="187"/>
    <n v="3"/>
    <n v="21.7"/>
    <s v="DIURNO"/>
    <m/>
    <n v="3"/>
    <n v="1169"/>
    <n v="22248"/>
    <s v="ROJO"/>
    <n v="7.1"/>
    <n v="0"/>
    <n v="0"/>
    <n v="20.943999999999999"/>
    <n v="21.7"/>
    <n v="112"/>
    <n v="193.75"/>
    <x v="6"/>
    <x v="0"/>
    <n v="30"/>
    <n v="4"/>
    <n v="62.333333333333336"/>
  </r>
  <r>
    <d v="2025-07-31T07:20:00"/>
    <s v="INYECTADO"/>
    <x v="7"/>
    <x v="153"/>
    <s v="CARLOS SULCA"/>
    <m/>
    <m/>
    <m/>
    <x v="82"/>
    <s v="JABONERA CARAMELO-FUCSIA"/>
    <n v="388"/>
    <n v="5"/>
    <n v="45.4"/>
    <s v="DIURNO"/>
    <m/>
    <n v="4"/>
    <n v="1169"/>
    <n v="22248"/>
    <s v="FUCSIA"/>
    <n v="0"/>
    <n v="0"/>
    <n v="0"/>
    <n v="43.456000000000003"/>
    <n v="45.4"/>
    <n v="112"/>
    <n v="405.35714285714283"/>
    <x v="6"/>
    <x v="0"/>
    <n v="30"/>
    <n v="4"/>
    <n v="129.33333333333334"/>
  </r>
  <r>
    <d v="2025-07-31T07:20:00"/>
    <s v="INYECTADO"/>
    <x v="7"/>
    <x v="153"/>
    <s v="GABRIEL REQUENA"/>
    <m/>
    <m/>
    <m/>
    <x v="82"/>
    <s v="JABONERA CARAMELO-LILA"/>
    <n v="566"/>
    <n v="6"/>
    <n v="49.3"/>
    <s v="NOCTURNO"/>
    <m/>
    <n v="4"/>
    <n v="1169"/>
    <n v="22249"/>
    <s v="LILA"/>
    <n v="5"/>
    <n v="0"/>
    <n v="0"/>
    <n v="63.392000000000003"/>
    <n v="49.3"/>
    <n v="112"/>
    <n v="440.17857142857144"/>
    <x v="6"/>
    <x v="0"/>
    <n v="30"/>
    <n v="4"/>
    <n v="188.66666666666666"/>
  </r>
  <r>
    <d v="2025-07-31T07:20:00"/>
    <s v="INYECTADO"/>
    <x v="7"/>
    <x v="153"/>
    <s v="GABRIEL REQUENA"/>
    <m/>
    <m/>
    <m/>
    <x v="82"/>
    <s v="JABONERA CARAMELO-AZUL"/>
    <n v="266"/>
    <n v="4"/>
    <n v="23.2"/>
    <s v="NOCTURNO"/>
    <m/>
    <n v="2"/>
    <n v="1169"/>
    <n v="22249"/>
    <s v="AZUL"/>
    <n v="2"/>
    <n v="0"/>
    <n v="0"/>
    <n v="29.792000000000002"/>
    <n v="23.2"/>
    <n v="112"/>
    <n v="207.14285714285714"/>
    <x v="6"/>
    <x v="0"/>
    <n v="30"/>
    <n v="4"/>
    <n v="88.666666666666671"/>
  </r>
  <r>
    <d v="2025-07-31T07:20:00"/>
    <s v="INYECTADO"/>
    <x v="7"/>
    <x v="153"/>
    <s v="GABRIEL REQUENA"/>
    <m/>
    <m/>
    <m/>
    <x v="82"/>
    <s v="JABONERA CARAMELO-FUCSIA"/>
    <n v="43"/>
    <n v="1"/>
    <n v="3.8"/>
    <s v="NOCTURNO"/>
    <m/>
    <n v="1"/>
    <n v="1169"/>
    <n v="22249"/>
    <s v="FUCSIA"/>
    <n v="2.4"/>
    <n v="0"/>
    <n v="0"/>
    <n v="4.8159999999999998"/>
    <n v="3.8"/>
    <n v="112"/>
    <n v="33.928571428571431"/>
    <x v="6"/>
    <x v="0"/>
    <n v="30"/>
    <n v="4"/>
    <n v="14.333333333333334"/>
  </r>
  <r>
    <d v="2025-07-31T07:20:00"/>
    <s v="INYECTADO"/>
    <x v="7"/>
    <x v="154"/>
    <s v="LUIS RENGIFO"/>
    <m/>
    <m/>
    <m/>
    <x v="82"/>
    <s v="JABONERA CARAMELO-AZUL"/>
    <n v="850"/>
    <n v="12"/>
    <n v="74"/>
    <s v="DIURNO"/>
    <m/>
    <n v="6"/>
    <n v="1169"/>
    <n v="22250"/>
    <s v="AZUL"/>
    <n v="1.3"/>
    <n v="0"/>
    <n v="0"/>
    <n v="95.2"/>
    <n v="74"/>
    <n v="112"/>
    <n v="660.71428571428567"/>
    <x v="6"/>
    <x v="0"/>
    <n v="30"/>
    <n v="4"/>
    <n v="283.33333333333331"/>
  </r>
  <r>
    <d v="2025-07-31T07:20:00"/>
    <s v="INYECTADO"/>
    <x v="7"/>
    <x v="154"/>
    <s v="JOSDER GONZALEZ"/>
    <m/>
    <m/>
    <m/>
    <x v="82"/>
    <s v="JABONERA CARAMELO-AZUL"/>
    <n v="21"/>
    <n v="1"/>
    <n v="1.9"/>
    <s v="NOCTURNO"/>
    <m/>
    <n v="1"/>
    <n v="1169"/>
    <n v="22251"/>
    <s v="AZUL"/>
    <n v="2.4"/>
    <n v="0"/>
    <n v="0"/>
    <n v="2.3519999999999999"/>
    <n v="1.9"/>
    <n v="112"/>
    <n v="16.964285714285715"/>
    <x v="6"/>
    <x v="0"/>
    <n v="30"/>
    <n v="4"/>
    <n v="7"/>
  </r>
  <r>
    <d v="2025-07-31T07:20:00"/>
    <s v="INYECTADO"/>
    <x v="7"/>
    <x v="154"/>
    <s v="JOSDER GONZALEZ"/>
    <m/>
    <m/>
    <m/>
    <x v="82"/>
    <s v="JABONERA CARAMELO-AMARILLO"/>
    <n v="714"/>
    <n v="8"/>
    <n v="62.2"/>
    <s v="NOCTURNO"/>
    <m/>
    <n v="6"/>
    <n v="1169"/>
    <n v="22251"/>
    <s v="AMARILLO"/>
    <n v="2.5"/>
    <n v="0"/>
    <n v="0"/>
    <n v="79.968000000000004"/>
    <n v="62.2"/>
    <n v="112"/>
    <n v="555.35714285714289"/>
    <x v="6"/>
    <x v="0"/>
    <n v="30"/>
    <n v="4"/>
    <n v="238"/>
  </r>
  <r>
    <d v="2025-07-31T07:20:00"/>
    <s v="INYECTADO"/>
    <x v="7"/>
    <x v="154"/>
    <s v="JOSDER GONZALEZ"/>
    <m/>
    <m/>
    <m/>
    <x v="82"/>
    <s v="JABONERA CARAMELO-VERDE"/>
    <n v="119"/>
    <n v="3"/>
    <n v="10.4"/>
    <s v="NOCTURNO"/>
    <m/>
    <n v="1"/>
    <n v="1169"/>
    <n v="22251"/>
    <s v="VERDE"/>
    <n v="0.8"/>
    <n v="0"/>
    <n v="0"/>
    <n v="13.327999999999999"/>
    <n v="10.4"/>
    <n v="112"/>
    <n v="92.857142857142861"/>
    <x v="6"/>
    <x v="0"/>
    <n v="30"/>
    <n v="4"/>
    <n v="39.666666666666664"/>
  </r>
  <r>
    <d v="2025-07-31T07:20:00"/>
    <s v="INYECTADO"/>
    <x v="7"/>
    <x v="155"/>
    <s v="ROSA MERINO"/>
    <m/>
    <m/>
    <m/>
    <x v="82"/>
    <s v="JABONERA CARAMELO-FUCSIA"/>
    <n v="242"/>
    <n v="3"/>
    <n v="21.6"/>
    <s v="DIURNO"/>
    <m/>
    <n v="2"/>
    <n v="1169"/>
    <n v="22252"/>
    <s v="FUCSIA"/>
    <n v="3"/>
    <n v="0"/>
    <n v="0"/>
    <n v="27.103999999999999"/>
    <n v="21.6"/>
    <n v="112"/>
    <n v="192.85714285714286"/>
    <x v="6"/>
    <x v="0"/>
    <n v="30"/>
    <n v="4"/>
    <n v="80.666666666666671"/>
  </r>
  <r>
    <d v="2025-07-31T07:20:00"/>
    <s v="INYECTADO"/>
    <x v="7"/>
    <x v="155"/>
    <s v="ROSA MERINO"/>
    <m/>
    <m/>
    <m/>
    <x v="82"/>
    <s v="JABONERA CARAMELO-VERDE"/>
    <n v="356"/>
    <n v="5"/>
    <n v="31.7"/>
    <s v="DIURNO"/>
    <m/>
    <n v="4"/>
    <n v="1169"/>
    <n v="22252"/>
    <s v="VERDE"/>
    <n v="2.8"/>
    <n v="0"/>
    <n v="0"/>
    <n v="39.872"/>
    <n v="31.7"/>
    <n v="112"/>
    <n v="283.03571428571428"/>
    <x v="6"/>
    <x v="0"/>
    <n v="30"/>
    <n v="4"/>
    <n v="118.66666666666667"/>
  </r>
  <r>
    <d v="2025-07-31T07:20:00"/>
    <s v="INYECTADO"/>
    <x v="7"/>
    <x v="155"/>
    <s v="YERIKA"/>
    <m/>
    <m/>
    <m/>
    <x v="82"/>
    <s v="JABONERA CARAMELO-FUCSIA"/>
    <n v="347"/>
    <n v="4"/>
    <n v="30.9"/>
    <s v="NOCTURNO"/>
    <m/>
    <n v="3"/>
    <n v="1169"/>
    <n v="22253"/>
    <s v="FUCSIA"/>
    <n v="0"/>
    <n v="0"/>
    <n v="0"/>
    <n v="38.863999999999997"/>
    <n v="30.9"/>
    <n v="112"/>
    <n v="275.89285714285717"/>
    <x v="6"/>
    <x v="0"/>
    <n v="30"/>
    <n v="4"/>
    <n v="115.66666666666667"/>
  </r>
  <r>
    <d v="2025-07-31T07:20:00"/>
    <s v="INYECTADO"/>
    <x v="7"/>
    <x v="155"/>
    <s v="YERIKA"/>
    <m/>
    <m/>
    <m/>
    <x v="82"/>
    <s v="JABONERA CARAMELO-LILA"/>
    <n v="343"/>
    <n v="4"/>
    <n v="30.2"/>
    <s v="NOCTURNO"/>
    <m/>
    <n v="3"/>
    <n v="1169"/>
    <n v="22253"/>
    <s v="LILA"/>
    <n v="0.4"/>
    <n v="0"/>
    <n v="0"/>
    <n v="38.415999999999997"/>
    <n v="30.2"/>
    <n v="112"/>
    <n v="269.64285714285717"/>
    <x v="6"/>
    <x v="0"/>
    <n v="30"/>
    <n v="4"/>
    <n v="114.33333333333333"/>
  </r>
  <r>
    <d v="2025-07-31T07:20:00"/>
    <s v="INYECTADO"/>
    <x v="7"/>
    <x v="166"/>
    <s v="GABRIEL REQUENA"/>
    <m/>
    <m/>
    <m/>
    <x v="82"/>
    <s v="JABONERA CARAMELO-LILA"/>
    <n v="220"/>
    <n v="3"/>
    <n v="19.600000000000001"/>
    <s v="NOCTURNO"/>
    <m/>
    <n v="2"/>
    <n v="1169"/>
    <n v="22255"/>
    <s v="LILA"/>
    <n v="3.8"/>
    <n v="0"/>
    <n v="0"/>
    <n v="24.64"/>
    <n v="19.600000000000001"/>
    <n v="112"/>
    <n v="175"/>
    <x v="6"/>
    <x v="0"/>
    <n v="31"/>
    <n v="4"/>
    <n v="73.333333333333329"/>
  </r>
  <r>
    <d v="2025-07-31T07:20:00"/>
    <s v="INYECTADO"/>
    <x v="7"/>
    <x v="166"/>
    <s v="GABRIEL REQUENA"/>
    <m/>
    <m/>
    <m/>
    <x v="82"/>
    <s v="JABONERA CARAMELO-ROJO"/>
    <n v="555"/>
    <n v="7"/>
    <n v="49.4"/>
    <s v="NOCTURNO"/>
    <m/>
    <n v="4"/>
    <n v="1169"/>
    <n v="22255"/>
    <s v="ROJO"/>
    <n v="4.0999999999999996"/>
    <n v="0"/>
    <n v="0"/>
    <n v="62.16"/>
    <n v="49.4"/>
    <n v="112"/>
    <n v="441.07142857142856"/>
    <x v="6"/>
    <x v="0"/>
    <n v="31"/>
    <n v="4"/>
    <n v="185"/>
  </r>
  <r>
    <d v="2025-07-31T07:20:00"/>
    <s v="INYECTADO"/>
    <x v="7"/>
    <x v="166"/>
    <s v="GABRIEL REQUENA"/>
    <m/>
    <m/>
    <m/>
    <x v="82"/>
    <s v="JABONERA CARAMELO-FUCSIA"/>
    <n v="20"/>
    <n v="1"/>
    <n v="1.8"/>
    <s v="NOCTURNO"/>
    <m/>
    <n v="1"/>
    <n v="1169"/>
    <n v="22255"/>
    <s v="FUCSIA"/>
    <n v="1.8"/>
    <n v="0"/>
    <n v="0"/>
    <n v="2.2400000000000002"/>
    <n v="1.8"/>
    <n v="112"/>
    <n v="16.071428571428573"/>
    <x v="6"/>
    <x v="0"/>
    <n v="31"/>
    <n v="4"/>
    <n v="6.666666666666667"/>
  </r>
  <r>
    <d v="2025-07-31T07:20:00"/>
    <s v="INYECTADO"/>
    <x v="7"/>
    <x v="168"/>
    <s v="CARLOS SULCA"/>
    <m/>
    <m/>
    <m/>
    <x v="82"/>
    <s v="JABONERA CARAMELO-VERDE"/>
    <n v="136"/>
    <n v="2"/>
    <n v="12"/>
    <s v="DIURNO"/>
    <m/>
    <n v="1"/>
    <n v="1169"/>
    <n v="22256"/>
    <s v="VERDE"/>
    <n v="1.7"/>
    <n v="0"/>
    <n v="0"/>
    <n v="15.231999999999999"/>
    <n v="12"/>
    <n v="112"/>
    <n v="107.14285714285714"/>
    <x v="6"/>
    <x v="0"/>
    <n v="31"/>
    <n v="4"/>
    <n v="45.333333333333336"/>
  </r>
  <r>
    <d v="2025-07-31T07:20:00"/>
    <s v="INYECTADO"/>
    <x v="7"/>
    <x v="168"/>
    <s v="JOSDER GONZALEZ"/>
    <m/>
    <m/>
    <m/>
    <x v="123"/>
    <s v="TAPA DE ORGANIZADOR #3 CARAMELO-LILA"/>
    <n v="671"/>
    <n v="7"/>
    <n v="47.6"/>
    <s v="NOCTURNO"/>
    <m/>
    <n v="6"/>
    <n v="1174"/>
    <n v="22257"/>
    <s v="LILA"/>
    <n v="7.3"/>
    <n v="0"/>
    <n v="0"/>
    <n v="25.498000000000001"/>
    <n v="47.6"/>
    <n v="38"/>
    <n v="1252.6315789473683"/>
    <x v="6"/>
    <x v="0"/>
    <n v="31"/>
    <n v="2"/>
    <n v="111.83333333333333"/>
  </r>
  <r>
    <d v="2025-07-31T07:20:00"/>
    <s v="INYECTADO"/>
    <x v="7"/>
    <x v="168"/>
    <s v="JOSDER GONZALEZ"/>
    <m/>
    <m/>
    <m/>
    <x v="123"/>
    <s v="TAPA DE ORGANIZADOR #3 PASTEL-BLANCO"/>
    <n v="598"/>
    <n v="5"/>
    <n v="42.4"/>
    <s v="NOCTURNO"/>
    <m/>
    <n v="4"/>
    <n v="1174"/>
    <n v="22257"/>
    <s v="BLANCO"/>
    <n v="5.6"/>
    <n v="0"/>
    <n v="0"/>
    <e v="#N/A"/>
    <n v="42.4"/>
    <e v="#N/A"/>
    <n v="0"/>
    <x v="6"/>
    <x v="0"/>
    <n v="31"/>
    <e v="#N/A"/>
    <e v="#N/A"/>
  </r>
  <r>
    <d v="2025-07-31T07:20:00"/>
    <s v="INYECTADO"/>
    <x v="7"/>
    <x v="169"/>
    <s v="CRISALIDA ZAPATA"/>
    <m/>
    <m/>
    <m/>
    <x v="123"/>
    <s v="TAPA DE ORGANIZADOR #3 PASTEL-BLANCO"/>
    <n v="1438"/>
    <n v="12"/>
    <n v="102"/>
    <s v="DIURNO"/>
    <m/>
    <n v="13"/>
    <n v="1174"/>
    <n v="22258"/>
    <s v="BLANCO"/>
    <n v="5.2"/>
    <n v="0"/>
    <n v="0"/>
    <e v="#N/A"/>
    <n v="102"/>
    <e v="#N/A"/>
    <n v="0"/>
    <x v="6"/>
    <x v="0"/>
    <n v="31"/>
    <e v="#N/A"/>
    <e v="#N/A"/>
  </r>
  <r>
    <d v="2025-07-31T07:20:00"/>
    <s v="INYECTADO"/>
    <x v="7"/>
    <x v="169"/>
    <s v="GABRIEL REQUENA"/>
    <m/>
    <m/>
    <m/>
    <x v="123"/>
    <s v="TAPA DE ORGANIZADOR #3 PASTEL-BLANCO"/>
    <n v="888"/>
    <n v="8"/>
    <n v="63"/>
    <s v="NOCTURNO"/>
    <m/>
    <n v="8"/>
    <n v="1174"/>
    <n v="22259"/>
    <s v="BLANCO"/>
    <n v="7.5"/>
    <n v="0"/>
    <n v="0"/>
    <e v="#N/A"/>
    <n v="63"/>
    <e v="#N/A"/>
    <n v="0"/>
    <x v="6"/>
    <x v="0"/>
    <n v="31"/>
    <e v="#N/A"/>
    <e v="#N/A"/>
  </r>
  <r>
    <d v="2025-07-31T07:20:00"/>
    <s v="INYECTADO"/>
    <x v="10"/>
    <x v="151"/>
    <s v="SIN NOMBRE"/>
    <m/>
    <m/>
    <m/>
    <x v="105"/>
    <s v="BASE ORGANIZADOR  DE 2KG CARAMELO-LILA"/>
    <n v="932"/>
    <n v="12"/>
    <n v="101.6"/>
    <s v="DIURNO"/>
    <m/>
    <n v="30"/>
    <n v="1134"/>
    <n v="21871"/>
    <s v="LILA"/>
    <n v="14.9"/>
    <n v="0"/>
    <n v="0"/>
    <n v="46.6"/>
    <n v="101.6"/>
    <n v="50"/>
    <n v="2032"/>
    <x v="6"/>
    <x v="0"/>
    <n v="27"/>
    <n v="2"/>
    <n v="155.33333333333334"/>
  </r>
  <r>
    <d v="2025-07-31T07:20:00"/>
    <s v="INYECTADO"/>
    <x v="10"/>
    <x v="151"/>
    <s v="JOSDER GONZALEZ"/>
    <m/>
    <m/>
    <m/>
    <x v="105"/>
    <s v="BASE ORGANIZADOR  DE 2KG CARAMELO-TURQUESA"/>
    <n v="440"/>
    <n v="6"/>
    <n v="47.6"/>
    <s v="NOCTURNO"/>
    <m/>
    <n v="14"/>
    <n v="1134"/>
    <n v="21872"/>
    <s v="TURQUESA"/>
    <n v="11.3"/>
    <n v="0"/>
    <n v="0"/>
    <e v="#N/A"/>
    <n v="47.6"/>
    <e v="#N/A"/>
    <n v="0"/>
    <x v="6"/>
    <x v="0"/>
    <n v="27"/>
    <e v="#N/A"/>
    <e v="#N/A"/>
  </r>
  <r>
    <d v="2025-07-31T07:20:00"/>
    <s v="INYECTADO"/>
    <x v="10"/>
    <x v="151"/>
    <s v="JOSDER GONZALEZ"/>
    <m/>
    <m/>
    <m/>
    <x v="105"/>
    <s v="BASE ORGANIZADOR  DE 2KG CARAMELO-AZURE"/>
    <n v="354"/>
    <n v="5"/>
    <n v="38.299999999999997"/>
    <s v="NOCTURNO"/>
    <m/>
    <n v="12"/>
    <n v="1134"/>
    <n v="21872"/>
    <s v="AZURE"/>
    <n v="17"/>
    <n v="0"/>
    <n v="0"/>
    <e v="#N/A"/>
    <n v="38.299999999999997"/>
    <e v="#N/A"/>
    <n v="0"/>
    <x v="6"/>
    <x v="0"/>
    <n v="27"/>
    <e v="#N/A"/>
    <e v="#N/A"/>
  </r>
  <r>
    <d v="2025-07-31T07:20:00"/>
    <s v="INYECTADO"/>
    <x v="10"/>
    <x v="151"/>
    <s v="JOSDER GONZALEZ"/>
    <m/>
    <m/>
    <m/>
    <x v="105"/>
    <s v="BASE ORGANIZADOR  DE 2KG CARAMELO-ROSADO"/>
    <n v="31"/>
    <n v="1"/>
    <n v="3.4"/>
    <s v="NOCTURNO"/>
    <m/>
    <n v="1"/>
    <n v="1134"/>
    <n v="21872"/>
    <s v="ROSADO"/>
    <n v="2"/>
    <n v="0"/>
    <n v="0"/>
    <e v="#N/A"/>
    <n v="3.4"/>
    <e v="#N/A"/>
    <n v="0"/>
    <x v="6"/>
    <x v="0"/>
    <n v="27"/>
    <e v="#N/A"/>
    <e v="#N/A"/>
  </r>
  <r>
    <d v="2025-07-31T07:20:00"/>
    <s v="INYECTADO"/>
    <x v="10"/>
    <x v="152"/>
    <s v="GABRIEL ORDAZ"/>
    <m/>
    <m/>
    <m/>
    <x v="105"/>
    <s v="BASE ORGANIZADOR  DE 2KG CARAMELO-ROSADO"/>
    <n v="437"/>
    <n v="5"/>
    <n v="47.2"/>
    <s v="DIURNO"/>
    <m/>
    <n v="14"/>
    <n v="1134"/>
    <n v="21873"/>
    <s v="ROSADO"/>
    <n v="5.4"/>
    <n v="0"/>
    <n v="0"/>
    <e v="#N/A"/>
    <n v="47.2"/>
    <e v="#N/A"/>
    <n v="0"/>
    <x v="6"/>
    <x v="0"/>
    <n v="27"/>
    <e v="#N/A"/>
    <e v="#N/A"/>
  </r>
  <r>
    <d v="2025-07-31T07:20:00"/>
    <s v="INYECTADO"/>
    <x v="10"/>
    <x v="152"/>
    <s v="GABRIEL ORDAZ"/>
    <m/>
    <m/>
    <m/>
    <x v="105"/>
    <s v="BASE ORGANIZADOR  DE 2KG PASTEL-CELESTE"/>
    <n v="563"/>
    <n v="6"/>
    <n v="60.9"/>
    <s v="DIURNO"/>
    <m/>
    <n v="18"/>
    <n v="1134"/>
    <n v="21873"/>
    <s v="CELESTE"/>
    <n v="2.5"/>
    <n v="0"/>
    <n v="0"/>
    <n v="28.15"/>
    <n v="60.9"/>
    <n v="50"/>
    <n v="1218"/>
    <x v="6"/>
    <x v="0"/>
    <n v="27"/>
    <n v="2"/>
    <n v="93.833333333333329"/>
  </r>
  <r>
    <d v="2025-07-31T07:20:00"/>
    <s v="INYECTADO"/>
    <x v="10"/>
    <x v="152"/>
    <s v="YERIKA"/>
    <m/>
    <m/>
    <m/>
    <x v="105"/>
    <s v="BASE ORGANIZADOR  DE 2KG PASTEL-CELESTE"/>
    <n v="157"/>
    <n v="2"/>
    <n v="17"/>
    <s v="NOCTURNO"/>
    <m/>
    <n v="5"/>
    <n v="1134"/>
    <n v="21874"/>
    <s v="CELESTE"/>
    <n v="7.2"/>
    <n v="0"/>
    <n v="0"/>
    <n v="7.85"/>
    <n v="17"/>
    <n v="50"/>
    <n v="340"/>
    <x v="6"/>
    <x v="0"/>
    <n v="27"/>
    <n v="2"/>
    <n v="26.166666666666668"/>
  </r>
  <r>
    <d v="2025-07-31T07:20:00"/>
    <s v="INYECTADO"/>
    <x v="10"/>
    <x v="152"/>
    <s v="YERIKA"/>
    <m/>
    <m/>
    <m/>
    <x v="105"/>
    <s v="BASE ORGANIZADOR  DE 2KG PASTEL-SANDIA"/>
    <n v="803"/>
    <n v="8"/>
    <n v="86.8"/>
    <s v="NOCTURNO"/>
    <m/>
    <n v="26"/>
    <n v="1134"/>
    <n v="21874"/>
    <s v="SANDIA"/>
    <n v="9.6"/>
    <n v="0"/>
    <n v="0"/>
    <n v="40.15"/>
    <n v="86.8"/>
    <n v="50"/>
    <n v="1736"/>
    <x v="6"/>
    <x v="0"/>
    <n v="27"/>
    <n v="2"/>
    <n v="133.83333333333334"/>
  </r>
  <r>
    <d v="2025-07-31T07:20:00"/>
    <s v="INYECTADO"/>
    <x v="10"/>
    <x v="152"/>
    <s v="YERIKA"/>
    <m/>
    <m/>
    <m/>
    <x v="105"/>
    <s v="BASE ORGANIZADOR  DE 2KG PASTEL-TURQUESA"/>
    <n v="125"/>
    <n v="1"/>
    <n v="13.6"/>
    <s v="NOCTURNO"/>
    <m/>
    <n v="4"/>
    <n v="1134"/>
    <n v="21874"/>
    <s v="TURQUESA"/>
    <n v="2.7"/>
    <n v="0"/>
    <n v="0"/>
    <n v="6.25"/>
    <n v="13.6"/>
    <n v="50"/>
    <n v="272"/>
    <x v="6"/>
    <x v="0"/>
    <n v="27"/>
    <n v="2"/>
    <n v="20.833333333333332"/>
  </r>
  <r>
    <d v="2025-07-31T07:20:00"/>
    <s v="INYECTADO"/>
    <x v="10"/>
    <x v="160"/>
    <s v="JUANA CRUCES"/>
    <m/>
    <m/>
    <m/>
    <x v="105"/>
    <s v="BASE ORGANIZADOR  DE 2KG PASTEL-TURQUESA"/>
    <n v="178"/>
    <n v="2"/>
    <n v="19.100000000000001"/>
    <s v="DIURNO"/>
    <m/>
    <n v="6"/>
    <n v="1134"/>
    <n v="21875"/>
    <s v="TURQUESA"/>
    <n v="7.9"/>
    <n v="0"/>
    <n v="0"/>
    <n v="8.9"/>
    <n v="19.100000000000001"/>
    <n v="50"/>
    <n v="382"/>
    <x v="6"/>
    <x v="0"/>
    <n v="27"/>
    <n v="2"/>
    <n v="29.666666666666668"/>
  </r>
  <r>
    <d v="2025-07-31T07:20:00"/>
    <s v="INYECTADO"/>
    <x v="10"/>
    <x v="160"/>
    <s v="JUANA CRUCES"/>
    <m/>
    <m/>
    <m/>
    <x v="105"/>
    <s v="BASE ORGANIZADOR  DE 2KG PASTEL-AZURE"/>
    <n v="220"/>
    <n v="3"/>
    <n v="23.8"/>
    <s v="DIURNO"/>
    <m/>
    <n v="7"/>
    <n v="1134"/>
    <n v="21875"/>
    <s v="AZURE"/>
    <n v="6.2"/>
    <n v="0"/>
    <n v="0"/>
    <n v="11"/>
    <n v="23.8"/>
    <n v="50"/>
    <n v="476"/>
    <x v="6"/>
    <x v="0"/>
    <n v="27"/>
    <n v="2"/>
    <n v="36.666666666666664"/>
  </r>
  <r>
    <d v="2025-07-31T07:20:00"/>
    <s v="INYECTADO"/>
    <x v="10"/>
    <x v="160"/>
    <s v="JUANA CRUCES"/>
    <m/>
    <m/>
    <m/>
    <x v="105"/>
    <s v="BASE ORGANIZADOR  DE 2KG PASTEL-LILA"/>
    <n v="210"/>
    <n v="3"/>
    <n v="22.7"/>
    <s v="DIURNO"/>
    <m/>
    <n v="7"/>
    <n v="1134"/>
    <n v="21875"/>
    <s v="LILA"/>
    <n v="3"/>
    <n v="0"/>
    <n v="0"/>
    <n v="10.5"/>
    <n v="22.7"/>
    <n v="50"/>
    <n v="454"/>
    <x v="6"/>
    <x v="0"/>
    <n v="27"/>
    <n v="2"/>
    <n v="35"/>
  </r>
  <r>
    <d v="2025-07-31T07:20:00"/>
    <s v="INYECTADO"/>
    <x v="10"/>
    <x v="160"/>
    <s v="SAID VILLAMIZAR"/>
    <m/>
    <m/>
    <m/>
    <x v="59"/>
    <s v="BASE PORTA VAJILLA-TRANSPARENTE"/>
    <n v="60"/>
    <n v="1"/>
    <n v="23.2"/>
    <s v="DIURNO"/>
    <m/>
    <n v="2"/>
    <n v="1148"/>
    <n v="21875"/>
    <s v="TRANSPARENTE"/>
    <n v="5.3"/>
    <n v="0"/>
    <n v="0"/>
    <n v="22.56"/>
    <n v="23.2"/>
    <n v="376"/>
    <n v="61.702127659574465"/>
    <x v="6"/>
    <x v="0"/>
    <n v="27"/>
    <n v="1"/>
    <n v="5"/>
  </r>
  <r>
    <d v="2025-07-31T07:20:00"/>
    <s v="INYECTADO"/>
    <x v="10"/>
    <x v="160"/>
    <s v="GABRIEL REQUENA"/>
    <m/>
    <m/>
    <m/>
    <x v="59"/>
    <s v="BASE PORTA VAJILLA-TRANSPARENTE"/>
    <n v="960"/>
    <n v="12"/>
    <n v="371.2"/>
    <s v="NOCTURNO"/>
    <m/>
    <n v="32"/>
    <n v="1148"/>
    <n v="21876"/>
    <s v="TRANSPARENTE"/>
    <n v="17"/>
    <n v="0"/>
    <n v="0"/>
    <n v="360.96"/>
    <n v="371.2"/>
    <n v="376"/>
    <n v="987.23404255319144"/>
    <x v="6"/>
    <x v="0"/>
    <n v="27"/>
    <n v="1"/>
    <n v="80"/>
  </r>
  <r>
    <d v="2025-07-31T07:20:00"/>
    <s v="INYECTADO"/>
    <x v="10"/>
    <x v="141"/>
    <s v="SIN NOMBRE"/>
    <m/>
    <m/>
    <m/>
    <x v="59"/>
    <s v="BASE PORTA VAJILLA-TRANSPARENTE"/>
    <n v="778"/>
    <n v="11"/>
    <n v="295"/>
    <s v="DIURNO"/>
    <m/>
    <n v="24"/>
    <n v="1148"/>
    <n v="21877"/>
    <s v="TRANSPARENTE"/>
    <n v="68"/>
    <n v="0"/>
    <n v="0"/>
    <n v="292.52800000000002"/>
    <n v="295"/>
    <n v="376"/>
    <n v="784.57446808510633"/>
    <x v="6"/>
    <x v="0"/>
    <n v="27"/>
    <n v="1"/>
    <n v="64.833333333333329"/>
  </r>
  <r>
    <d v="2025-07-31T07:20:00"/>
    <s v="INYECTADO"/>
    <x v="10"/>
    <x v="141"/>
    <s v="JUAN MANUEL PEREZ"/>
    <m/>
    <m/>
    <m/>
    <x v="59"/>
    <s v="BASE PORTA VAJILLA-TRANSPARENTE"/>
    <n v="870"/>
    <n v="11"/>
    <n v="350"/>
    <s v="NOCTURNO"/>
    <m/>
    <n v="28"/>
    <n v="1148"/>
    <n v="21878"/>
    <s v="TRANSPARENTE"/>
    <n v="14.5"/>
    <n v="0"/>
    <n v="0"/>
    <n v="327.12"/>
    <n v="350"/>
    <n v="376"/>
    <n v="930.85106382978722"/>
    <x v="6"/>
    <x v="0"/>
    <n v="27"/>
    <n v="1"/>
    <n v="72.5"/>
  </r>
  <r>
    <d v="2025-07-31T07:20:00"/>
    <s v="INYECTADO"/>
    <x v="10"/>
    <x v="142"/>
    <s v="JUANA CRUCES"/>
    <m/>
    <m/>
    <m/>
    <x v="59"/>
    <s v="BASE PORTA VAJILLA-TRANSPARENTE"/>
    <n v="939"/>
    <n v="11"/>
    <n v="359.8"/>
    <s v="DIURNO"/>
    <m/>
    <n v="31"/>
    <n v="1148"/>
    <n v="21879"/>
    <s v="TRANSPARENTE"/>
    <n v="10.5"/>
    <n v="0"/>
    <n v="0"/>
    <n v="353.06400000000002"/>
    <n v="359.8"/>
    <n v="376"/>
    <n v="956.91489361702122"/>
    <x v="6"/>
    <x v="0"/>
    <n v="27"/>
    <n v="1"/>
    <n v="78.25"/>
  </r>
  <r>
    <d v="2025-07-31T07:20:00"/>
    <s v="INYECTADO"/>
    <x v="10"/>
    <x v="142"/>
    <s v="JOSDER GONZALEZ"/>
    <m/>
    <m/>
    <m/>
    <x v="59"/>
    <s v="BASE PORTA VAJILLA-TRANSPARENTE"/>
    <n v="917"/>
    <n v="12"/>
    <n v="354.2"/>
    <s v="NOCTURNO"/>
    <m/>
    <n v="30"/>
    <n v="1148"/>
    <n v="21880"/>
    <s v="TRANSPARENTE"/>
    <n v="11"/>
    <n v="0"/>
    <n v="0"/>
    <n v="344.79199999999997"/>
    <n v="354.2"/>
    <n v="376"/>
    <n v="942.02127659574467"/>
    <x v="6"/>
    <x v="0"/>
    <n v="27"/>
    <n v="1"/>
    <n v="76.416666666666671"/>
  </r>
  <r>
    <d v="2025-07-31T07:20:00"/>
    <s v="INYECTADO"/>
    <x v="10"/>
    <x v="143"/>
    <s v="JUANA CRUCES"/>
    <m/>
    <m/>
    <m/>
    <x v="59"/>
    <s v="BASE PORTA VAJILLA-TRANSPARENTE"/>
    <n v="316"/>
    <n v="5"/>
    <n v="124.2"/>
    <s v="DIURNO"/>
    <m/>
    <n v="11"/>
    <n v="1148"/>
    <n v="21881"/>
    <s v="TRANSPARENTE"/>
    <n v="3.8"/>
    <n v="0"/>
    <n v="0"/>
    <n v="118.816"/>
    <n v="124.2"/>
    <n v="376"/>
    <n v="330.31914893617022"/>
    <x v="6"/>
    <x v="0"/>
    <n v="28"/>
    <n v="1"/>
    <n v="26.333333333333332"/>
  </r>
  <r>
    <d v="2025-07-31T07:20:00"/>
    <s v="INYECTADO"/>
    <x v="10"/>
    <x v="143"/>
    <s v="YERIKA"/>
    <m/>
    <m/>
    <m/>
    <x v="59"/>
    <s v="BASE PORTA VAJILLA-TRANSPARENTE"/>
    <n v="896"/>
    <n v="11"/>
    <n v="352.2"/>
    <s v="NOCTURNO"/>
    <m/>
    <n v="30"/>
    <n v="1148"/>
    <n v="21882"/>
    <s v="TRANSPARENTE"/>
    <n v="12.9"/>
    <n v="0"/>
    <n v="0"/>
    <n v="336.89600000000002"/>
    <n v="352.2"/>
    <n v="376"/>
    <n v="936.70212765957444"/>
    <x v="6"/>
    <x v="0"/>
    <n v="28"/>
    <n v="1"/>
    <n v="74.666666666666671"/>
  </r>
  <r>
    <d v="2025-07-31T07:20:00"/>
    <s v="INYECTADO"/>
    <x v="10"/>
    <x v="144"/>
    <s v="GABRIEL REQUENA"/>
    <m/>
    <m/>
    <m/>
    <x v="59"/>
    <s v="BASE PORTA VAJILLA-TRANSPARENTE"/>
    <n v="403"/>
    <n v="5"/>
    <n v="158.69999999999999"/>
    <s v="DIURNO"/>
    <m/>
    <n v="13"/>
    <n v="1148"/>
    <n v="21883"/>
    <s v="TRANSPARENTE"/>
    <n v="0"/>
    <n v="0"/>
    <n v="0"/>
    <n v="151.52799999999999"/>
    <n v="158.69999999999999"/>
    <n v="376"/>
    <n v="422.07446808510639"/>
    <x v="6"/>
    <x v="0"/>
    <n v="28"/>
    <n v="1"/>
    <n v="33.583333333333336"/>
  </r>
  <r>
    <d v="2025-07-31T07:20:00"/>
    <s v="INYECTADO"/>
    <x v="10"/>
    <x v="149"/>
    <s v="ROSA MERINO"/>
    <m/>
    <m/>
    <m/>
    <x v="59"/>
    <s v="BASE PORTA VAJILLA-TRANSPARENTE"/>
    <n v="117"/>
    <n v="4"/>
    <n v="47.4"/>
    <s v="DIURNO"/>
    <m/>
    <n v="4"/>
    <n v="1148"/>
    <n v="21884"/>
    <s v="TRANSPARENTE"/>
    <n v="65.5"/>
    <n v="0"/>
    <n v="0"/>
    <n v="43.991999999999997"/>
    <n v="47.4"/>
    <n v="376"/>
    <n v="126.06382978723404"/>
    <x v="6"/>
    <x v="0"/>
    <n v="29"/>
    <n v="1"/>
    <n v="9.75"/>
  </r>
  <r>
    <d v="2025-07-31T07:20:00"/>
    <s v="INYECTADO"/>
    <x v="10"/>
    <x v="149"/>
    <s v="GABRIEL REQUENA"/>
    <m/>
    <m/>
    <m/>
    <x v="59"/>
    <s v="BASE PORTA VAJILLA-TRANSPARENTE"/>
    <n v="837"/>
    <n v="12"/>
    <n v="329.2"/>
    <s v="NOCTURNO"/>
    <m/>
    <n v="30"/>
    <n v="1148"/>
    <n v="21885"/>
    <s v="TRANSPARENTE"/>
    <n v="13.2"/>
    <n v="0"/>
    <n v="0"/>
    <n v="314.71199999999999"/>
    <n v="329.2"/>
    <n v="376"/>
    <n v="875.531914893617"/>
    <x v="6"/>
    <x v="0"/>
    <n v="29"/>
    <n v="1"/>
    <n v="69.75"/>
  </r>
  <r>
    <d v="2025-07-31T07:20:00"/>
    <s v="INYECTADO"/>
    <x v="10"/>
    <x v="150"/>
    <s v="SIN NOMBRE"/>
    <m/>
    <m/>
    <m/>
    <x v="59"/>
    <s v="BASE PORTA VAJILLA-TRANSPARENTE"/>
    <n v="474"/>
    <n v="5"/>
    <n v="186"/>
    <s v="DIURNO"/>
    <m/>
    <n v="17"/>
    <n v="1148"/>
    <n v="21886"/>
    <s v="TRANSPARENTE"/>
    <n v="14.1"/>
    <n v="0"/>
    <n v="0"/>
    <n v="178.22399999999999"/>
    <n v="186"/>
    <n v="376"/>
    <n v="494.68085106382978"/>
    <x v="6"/>
    <x v="0"/>
    <n v="29"/>
    <n v="1"/>
    <n v="39.5"/>
  </r>
  <r>
    <d v="2025-07-31T07:20:00"/>
    <s v="INYECTADO"/>
    <x v="10"/>
    <x v="150"/>
    <s v="GABRIEL REQUENA"/>
    <m/>
    <m/>
    <m/>
    <x v="91"/>
    <s v="EMBUDO GIGANTE-AMARILLO"/>
    <n v="960"/>
    <n v="12"/>
    <n v="149.9"/>
    <s v="NOCTURNO"/>
    <m/>
    <n v="16"/>
    <n v="1159"/>
    <n v="21887"/>
    <s v="AMARILLO"/>
    <n v="2.9"/>
    <n v="0"/>
    <n v="0"/>
    <n v="191.04"/>
    <n v="149.9"/>
    <n v="199"/>
    <n v="753.26633165829151"/>
    <x v="6"/>
    <x v="0"/>
    <n v="29"/>
    <n v="1"/>
    <n v="80"/>
  </r>
  <r>
    <d v="2025-07-31T07:20:00"/>
    <s v="INYECTADO"/>
    <x v="10"/>
    <x v="161"/>
    <s v="LUIS PINEDO"/>
    <m/>
    <m/>
    <m/>
    <x v="91"/>
    <s v="EMBUDO GIGANTE-VERDE"/>
    <n v="958"/>
    <n v="10"/>
    <n v="151.5"/>
    <s v="DIURNO"/>
    <m/>
    <n v="16"/>
    <n v="1159"/>
    <n v="21888"/>
    <s v="VERDE"/>
    <n v="14.9"/>
    <n v="0"/>
    <n v="0"/>
    <n v="190.642"/>
    <n v="151.5"/>
    <n v="199"/>
    <n v="761.3065326633166"/>
    <x v="6"/>
    <x v="0"/>
    <n v="29"/>
    <n v="1"/>
    <n v="79.833333333333329"/>
  </r>
  <r>
    <d v="2025-07-31T07:20:00"/>
    <s v="INYECTADO"/>
    <x v="10"/>
    <x v="161"/>
    <s v="JUAN MANUEL PEREZ"/>
    <m/>
    <m/>
    <m/>
    <x v="91"/>
    <s v="EMBUDO GIGANTE-AZUL"/>
    <n v="919"/>
    <n v="12"/>
    <n v="144.30000000000001"/>
    <s v="NOCTURNO"/>
    <m/>
    <n v="15"/>
    <n v="1159"/>
    <n v="21889"/>
    <s v="AZUL"/>
    <n v="8"/>
    <n v="0"/>
    <n v="0"/>
    <n v="182.881"/>
    <n v="144.30000000000001"/>
    <n v="199"/>
    <n v="725.1256281407035"/>
    <x v="6"/>
    <x v="0"/>
    <n v="29"/>
    <n v="1"/>
    <n v="76.583333333333329"/>
  </r>
  <r>
    <d v="2025-07-31T07:20:00"/>
    <s v="INYECTADO"/>
    <x v="10"/>
    <x v="161"/>
    <s v="LUIS PINEDO"/>
    <m/>
    <m/>
    <m/>
    <x v="91"/>
    <s v="EMBUDO GIGANTE-ROJO"/>
    <n v="934"/>
    <n v="12"/>
    <n v="146.69999999999999"/>
    <s v="DIURNO"/>
    <m/>
    <n v="16"/>
    <n v="1159"/>
    <n v="21890"/>
    <s v="ROJO"/>
    <n v="13.3"/>
    <n v="0"/>
    <n v="0"/>
    <n v="185.86600000000001"/>
    <n v="146.69999999999999"/>
    <n v="199"/>
    <n v="737.1859296482412"/>
    <x v="6"/>
    <x v="0"/>
    <n v="29"/>
    <n v="1"/>
    <n v="77.833333333333329"/>
  </r>
  <r>
    <d v="2025-07-31T07:20:00"/>
    <s v="INYECTADO"/>
    <x v="10"/>
    <x v="162"/>
    <s v="JOSDER GONZALEZ"/>
    <m/>
    <m/>
    <m/>
    <x v="91"/>
    <s v="EMBUDO GIGANTE-NARANJA"/>
    <n v="831"/>
    <n v="11"/>
    <n v="130.5"/>
    <s v="NOCTURNO"/>
    <m/>
    <n v="14"/>
    <n v="1159"/>
    <n v="21891"/>
    <s v="NARANJA"/>
    <n v="8.5"/>
    <n v="0"/>
    <n v="0"/>
    <e v="#N/A"/>
    <n v="130.5"/>
    <e v="#N/A"/>
    <n v="0"/>
    <x v="6"/>
    <x v="0"/>
    <n v="29"/>
    <e v="#N/A"/>
    <e v="#N/A"/>
  </r>
  <r>
    <d v="2025-07-31T07:20:00"/>
    <s v="INYECTADO"/>
    <x v="10"/>
    <x v="163"/>
    <s v="LUIS PINEDO"/>
    <m/>
    <m/>
    <m/>
    <x v="91"/>
    <s v="EMBUDO GIGANTE-LILA"/>
    <n v="613"/>
    <n v="7"/>
    <n v="96.3"/>
    <s v="DIURNO"/>
    <m/>
    <n v="10"/>
    <n v="1159"/>
    <n v="21892"/>
    <s v="LILA"/>
    <n v="10"/>
    <n v="0"/>
    <n v="0"/>
    <n v="121.98699999999999"/>
    <n v="96.3"/>
    <n v="199"/>
    <n v="483.91959798994975"/>
    <x v="6"/>
    <x v="0"/>
    <n v="29"/>
    <n v="1"/>
    <n v="51.083333333333336"/>
  </r>
  <r>
    <d v="2025-07-31T07:20:00"/>
    <s v="INYECTADO"/>
    <x v="10"/>
    <x v="163"/>
    <s v="YERIKA"/>
    <m/>
    <m/>
    <m/>
    <x v="91"/>
    <s v="EMBUDO GIGANTE-LILA"/>
    <n v="336"/>
    <n v="4"/>
    <n v="52.9"/>
    <s v="NOCTURNO"/>
    <m/>
    <n v="6"/>
    <n v="1159"/>
    <n v="21893"/>
    <s v="LILA"/>
    <n v="16.100000000000001"/>
    <n v="0"/>
    <n v="0"/>
    <n v="66.864000000000004"/>
    <n v="52.9"/>
    <n v="199"/>
    <n v="265.8291457286432"/>
    <x v="6"/>
    <x v="0"/>
    <n v="29"/>
    <n v="1"/>
    <n v="28"/>
  </r>
  <r>
    <d v="2025-07-31T07:20:00"/>
    <s v="INYECTADO"/>
    <x v="10"/>
    <x v="164"/>
    <s v="LUIS RENGIFO"/>
    <m/>
    <m/>
    <m/>
    <x v="60"/>
    <s v="EMBUDO #3-AMARILLO"/>
    <n v="353"/>
    <n v="4"/>
    <n v="70.599999999999994"/>
    <s v="DIURNO"/>
    <m/>
    <n v="3"/>
    <n v="1165"/>
    <n v="21894"/>
    <s v="AMARILLO"/>
    <n v="0"/>
    <n v="0"/>
    <n v="0"/>
    <n v="18.356000000000002"/>
    <n v="70.599999999999994"/>
    <n v="52"/>
    <n v="1357.6923076923076"/>
    <x v="6"/>
    <x v="0"/>
    <n v="29"/>
    <n v="4"/>
    <n v="117.66666666666667"/>
  </r>
  <r>
    <d v="2025-07-31T07:20:00"/>
    <s v="INYECTADO"/>
    <x v="10"/>
    <x v="164"/>
    <s v="JOSDER GONZALEZ"/>
    <m/>
    <m/>
    <m/>
    <x v="60"/>
    <s v="EMBUDO #3-AMARILLO"/>
    <n v="435"/>
    <n v="7"/>
    <n v="87.7"/>
    <s v="NOCTURNO"/>
    <m/>
    <n v="5"/>
    <n v="1165"/>
    <n v="21895"/>
    <s v="AMARILLO"/>
    <n v="11.3"/>
    <n v="0"/>
    <n v="0"/>
    <n v="22.62"/>
    <n v="87.7"/>
    <n v="52"/>
    <n v="1686.5384615384614"/>
    <x v="6"/>
    <x v="0"/>
    <n v="29"/>
    <n v="4"/>
    <n v="145"/>
  </r>
  <r>
    <d v="2025-07-31T07:20:00"/>
    <s v="INYECTADO"/>
    <x v="10"/>
    <x v="164"/>
    <s v="JOSDER GONZALEZ"/>
    <m/>
    <m/>
    <m/>
    <x v="60"/>
    <s v="EMBUDO #3-VERDE"/>
    <n v="154"/>
    <n v="2"/>
    <n v="30.9"/>
    <s v="NOCTURNO"/>
    <m/>
    <n v="2"/>
    <n v="1165"/>
    <n v="21895"/>
    <s v="VERDE"/>
    <n v="4.2"/>
    <n v="0"/>
    <n v="0"/>
    <n v="8.0079999999999991"/>
    <n v="30.9"/>
    <n v="52"/>
    <n v="594.23076923076928"/>
    <x v="6"/>
    <x v="0"/>
    <n v="29"/>
    <n v="4"/>
    <n v="51.333333333333336"/>
  </r>
  <r>
    <d v="2025-07-31T07:20:00"/>
    <s v="INYECTADO"/>
    <x v="10"/>
    <x v="157"/>
    <s v="NELSON PINEDO"/>
    <m/>
    <m/>
    <m/>
    <x v="60"/>
    <s v="EMBUDO #3-VERDE"/>
    <n v="359"/>
    <n v="4"/>
    <n v="71.900000000000006"/>
    <s v="DIURNO"/>
    <m/>
    <n v="4"/>
    <n v="1165"/>
    <n v="21896"/>
    <s v="VERDE"/>
    <n v="0"/>
    <n v="0"/>
    <n v="0"/>
    <n v="18.667999999999999"/>
    <n v="71.900000000000006"/>
    <n v="52"/>
    <n v="1382.6923076923076"/>
    <x v="6"/>
    <x v="0"/>
    <n v="30"/>
    <n v="4"/>
    <n v="119.66666666666667"/>
  </r>
  <r>
    <d v="2025-07-31T07:20:00"/>
    <s v="INYECTADO"/>
    <x v="10"/>
    <x v="157"/>
    <s v="YERIKA"/>
    <m/>
    <m/>
    <m/>
    <x v="60"/>
    <s v="EMBUDO #3-VERDE"/>
    <n v="290"/>
    <n v="4"/>
    <n v="58.1"/>
    <s v="NOCTURNO"/>
    <m/>
    <n v="4"/>
    <n v="1165"/>
    <n v="21897"/>
    <s v="VERDE"/>
    <n v="18"/>
    <n v="0"/>
    <n v="0"/>
    <n v="15.08"/>
    <n v="58.1"/>
    <n v="52"/>
    <n v="1117.3076923076924"/>
    <x v="6"/>
    <x v="0"/>
    <n v="30"/>
    <n v="4"/>
    <n v="96.666666666666671"/>
  </r>
  <r>
    <d v="2025-07-31T07:20:00"/>
    <s v="INYECTADO"/>
    <x v="10"/>
    <x v="157"/>
    <s v="YERIKA"/>
    <m/>
    <m/>
    <m/>
    <x v="60"/>
    <s v="EMBUDO #3-FUCSIA"/>
    <n v="621"/>
    <n v="7"/>
    <n v="124.2"/>
    <s v="NOCTURNO"/>
    <m/>
    <n v="6"/>
    <n v="1165"/>
    <n v="21897"/>
    <s v="FUCSIA"/>
    <n v="8.6"/>
    <n v="0"/>
    <n v="0"/>
    <n v="32.292000000000002"/>
    <n v="124.2"/>
    <n v="52"/>
    <n v="2388.4615384615386"/>
    <x v="6"/>
    <x v="0"/>
    <n v="30"/>
    <n v="4"/>
    <n v="207"/>
  </r>
  <r>
    <d v="2025-07-31T07:20:00"/>
    <s v="INYECTADO"/>
    <x v="10"/>
    <x v="158"/>
    <s v="JUANA CRUCES"/>
    <m/>
    <m/>
    <m/>
    <x v="60"/>
    <s v="EMBUDO #3-FUCSIA"/>
    <n v="163"/>
    <n v="3"/>
    <n v="33.799999999999997"/>
    <s v="DIURNO"/>
    <m/>
    <n v="2"/>
    <n v="1165"/>
    <n v="21898"/>
    <s v="FUCSIA"/>
    <n v="10.5"/>
    <n v="0"/>
    <n v="0"/>
    <n v="8.4760000000000009"/>
    <n v="33.799999999999997"/>
    <n v="52"/>
    <n v="650"/>
    <x v="6"/>
    <x v="0"/>
    <n v="30"/>
    <n v="4"/>
    <n v="54.333333333333336"/>
  </r>
  <r>
    <d v="2025-07-31T07:20:00"/>
    <s v="INYECTADO"/>
    <x v="10"/>
    <x v="158"/>
    <s v="JUANA CRUCES"/>
    <m/>
    <m/>
    <m/>
    <x v="60"/>
    <s v="EMBUDO #3-ROJO"/>
    <n v="645"/>
    <n v="8"/>
    <n v="133.6"/>
    <s v="DIURNO"/>
    <m/>
    <n v="7"/>
    <n v="1165"/>
    <n v="21898"/>
    <s v="ROJO"/>
    <n v="23.7"/>
    <n v="0"/>
    <n v="0"/>
    <n v="33.54"/>
    <n v="133.6"/>
    <n v="52"/>
    <n v="2569.2307692307691"/>
    <x v="6"/>
    <x v="0"/>
    <n v="30"/>
    <n v="4"/>
    <n v="215"/>
  </r>
  <r>
    <d v="2025-07-31T07:20:00"/>
    <s v="INYECTADO"/>
    <x v="10"/>
    <x v="158"/>
    <s v="JUANA CRUCES"/>
    <m/>
    <m/>
    <m/>
    <x v="60"/>
    <s v="EMBUDO #3-AZUL"/>
    <n v="71"/>
    <n v="1"/>
    <n v="14.7"/>
    <s v="DIURNO"/>
    <m/>
    <n v="1"/>
    <n v="1165"/>
    <n v="21898"/>
    <s v="AZUL"/>
    <n v="7.2"/>
    <n v="0"/>
    <n v="0"/>
    <n v="3.6920000000000002"/>
    <n v="14.7"/>
    <n v="52"/>
    <n v="282.69230769230768"/>
    <x v="6"/>
    <x v="0"/>
    <n v="30"/>
    <n v="4"/>
    <n v="23.666666666666668"/>
  </r>
  <r>
    <d v="2025-07-31T07:20:00"/>
    <s v="INYECTADO"/>
    <x v="10"/>
    <x v="158"/>
    <s v="GABRIEL REQUENA"/>
    <m/>
    <m/>
    <m/>
    <x v="60"/>
    <s v="EMBUDO #3-AZUL"/>
    <n v="678"/>
    <n v="6"/>
    <n v="140.30000000000001"/>
    <s v="NOCTURNO"/>
    <m/>
    <n v="8"/>
    <n v="1165"/>
    <n v="21899"/>
    <s v="AZUL"/>
    <n v="4.4000000000000004"/>
    <n v="0"/>
    <n v="0"/>
    <n v="35.256"/>
    <n v="140.30000000000001"/>
    <n v="52"/>
    <n v="2698.0769230769229"/>
    <x v="6"/>
    <x v="0"/>
    <n v="30"/>
    <n v="4"/>
    <n v="226"/>
  </r>
  <r>
    <d v="2025-07-31T07:20:00"/>
    <s v="INYECTADO"/>
    <x v="10"/>
    <x v="158"/>
    <s v="GABRIEL REQUENA"/>
    <m/>
    <m/>
    <m/>
    <x v="60"/>
    <s v="EMBUDO #3-LILA"/>
    <n v="509"/>
    <n v="4"/>
    <n v="105.5"/>
    <s v="NOCTURNO"/>
    <m/>
    <n v="6"/>
    <n v="1165"/>
    <n v="21899"/>
    <s v="LILA"/>
    <n v="4.5999999999999996"/>
    <n v="0"/>
    <n v="0"/>
    <n v="26.468"/>
    <n v="105.5"/>
    <n v="52"/>
    <n v="2028.8461538461538"/>
    <x v="6"/>
    <x v="0"/>
    <n v="30"/>
    <n v="4"/>
    <n v="169.66666666666666"/>
  </r>
  <r>
    <d v="2025-07-31T07:20:00"/>
    <s v="INYECTADO"/>
    <x v="10"/>
    <x v="159"/>
    <s v="CARLOS SULCA"/>
    <m/>
    <m/>
    <m/>
    <x v="60"/>
    <s v="EMBUDO #3-LILA"/>
    <n v="45"/>
    <n v="1"/>
    <n v="9.8000000000000007"/>
    <s v="DIURNO"/>
    <m/>
    <n v="1"/>
    <n v="1165"/>
    <n v="21900"/>
    <s v="LILA"/>
    <n v="20.399999999999999"/>
    <n v="0"/>
    <n v="0"/>
    <n v="2.34"/>
    <n v="9.8000000000000007"/>
    <n v="52"/>
    <n v="188.46153846153845"/>
    <x v="6"/>
    <x v="0"/>
    <n v="30"/>
    <n v="4"/>
    <n v="15"/>
  </r>
  <r>
    <d v="2025-07-31T07:20:00"/>
    <s v="INYECTADO"/>
    <x v="10"/>
    <x v="159"/>
    <s v="CARLOS SULCA"/>
    <m/>
    <m/>
    <m/>
    <x v="60"/>
    <s v="EMBUDO #3-NARANJA"/>
    <n v="211"/>
    <n v="4"/>
    <n v="45.9"/>
    <s v="DIURNO"/>
    <m/>
    <n v="3"/>
    <n v="1165"/>
    <n v="21900"/>
    <s v="NARANJA"/>
    <n v="6.4"/>
    <n v="0"/>
    <n v="0"/>
    <e v="#N/A"/>
    <n v="45.9"/>
    <e v="#N/A"/>
    <n v="0"/>
    <x v="6"/>
    <x v="0"/>
    <n v="30"/>
    <e v="#N/A"/>
    <e v="#N/A"/>
  </r>
  <r>
    <d v="2025-07-31T07:20:00"/>
    <s v="INYECTADO"/>
    <x v="10"/>
    <x v="159"/>
    <s v="CARLOS SULCA"/>
    <m/>
    <m/>
    <m/>
    <x v="60"/>
    <s v="EMBUDO #3-ROJO"/>
    <n v="177"/>
    <n v="3"/>
    <n v="38.6"/>
    <s v="DIURNO"/>
    <m/>
    <n v="2"/>
    <n v="1165"/>
    <n v="21900"/>
    <s v="ROJO"/>
    <n v="3.2"/>
    <n v="0"/>
    <n v="0"/>
    <n v="9.2040000000000006"/>
    <n v="38.6"/>
    <n v="52"/>
    <n v="742.30769230769226"/>
    <x v="6"/>
    <x v="0"/>
    <n v="30"/>
    <n v="4"/>
    <n v="59"/>
  </r>
  <r>
    <d v="2025-07-31T07:20:00"/>
    <s v="INYECTADO"/>
    <x v="10"/>
    <x v="159"/>
    <s v="JUAN MANUEL PEREZ"/>
    <m/>
    <m/>
    <m/>
    <x v="38"/>
    <s v="EMBUDO #4-FUCSIA"/>
    <n v="620"/>
    <n v="7"/>
    <n v="155.69999999999999"/>
    <s v="NOCTURNO"/>
    <m/>
    <n v="21"/>
    <n v="1167"/>
    <n v="22601"/>
    <s v="FUCSIA"/>
    <n v="3.1"/>
    <n v="0"/>
    <n v="0"/>
    <e v="#N/A"/>
    <n v="155.69999999999999"/>
    <e v="#N/A"/>
    <n v="0"/>
    <x v="6"/>
    <x v="0"/>
    <n v="30"/>
    <e v="#N/A"/>
    <e v="#N/A"/>
  </r>
  <r>
    <d v="2025-07-31T07:20:00"/>
    <s v="INYECTADO"/>
    <x v="10"/>
    <x v="159"/>
    <s v="JUAN MANUEL PEREZ"/>
    <m/>
    <m/>
    <m/>
    <x v="38"/>
    <s v="EMBUDO #4-LILA"/>
    <n v="353"/>
    <n v="4"/>
    <n v="88.6"/>
    <s v="NOCTURNO"/>
    <m/>
    <n v="12"/>
    <n v="1167"/>
    <n v="22601"/>
    <s v="LILA"/>
    <n v="1"/>
    <n v="0"/>
    <n v="0"/>
    <n v="44.478000000000002"/>
    <n v="88.6"/>
    <n v="126"/>
    <n v="703.17460317460313"/>
    <x v="6"/>
    <x v="0"/>
    <n v="30"/>
    <n v="2"/>
    <n v="58.833333333333336"/>
  </r>
  <r>
    <d v="2025-07-31T07:20:00"/>
    <s v="INYECTADO"/>
    <x v="10"/>
    <x v="153"/>
    <s v="SAID VILLAMIZAR"/>
    <m/>
    <m/>
    <m/>
    <x v="38"/>
    <s v="EMBUDO #4-LILA"/>
    <n v="410"/>
    <n v="5"/>
    <n v="103"/>
    <s v="DIURNO"/>
    <m/>
    <n v="14"/>
    <n v="1167"/>
    <n v="22602"/>
    <s v="LILA"/>
    <n v="0"/>
    <n v="0"/>
    <n v="0"/>
    <n v="51.66"/>
    <n v="103"/>
    <n v="126"/>
    <n v="817.46031746031747"/>
    <x v="6"/>
    <x v="0"/>
    <n v="30"/>
    <n v="2"/>
    <n v="68.333333333333329"/>
  </r>
  <r>
    <d v="2025-07-31T07:20:00"/>
    <s v="INYECTADO"/>
    <x v="10"/>
    <x v="153"/>
    <s v="SAID VILLAMIZAR"/>
    <m/>
    <m/>
    <m/>
    <x v="38"/>
    <s v="EMBUDO #4-AMARILLO"/>
    <n v="552"/>
    <n v="6"/>
    <n v="138.6"/>
    <s v="DIURNO"/>
    <m/>
    <n v="13"/>
    <n v="1167"/>
    <n v="22602"/>
    <s v="AMARILLO"/>
    <n v="2.9"/>
    <n v="0"/>
    <n v="0"/>
    <n v="69.552000000000007"/>
    <n v="138.6"/>
    <n v="126"/>
    <n v="1100"/>
    <x v="6"/>
    <x v="0"/>
    <n v="30"/>
    <n v="2"/>
    <n v="92"/>
  </r>
  <r>
    <d v="2025-07-31T07:20:00"/>
    <s v="INYECTADO"/>
    <x v="10"/>
    <x v="153"/>
    <s v="JOSDER GONZALEZ"/>
    <m/>
    <m/>
    <m/>
    <x v="38"/>
    <s v="EMBUDO #4-AMARILLO"/>
    <n v="60"/>
    <n v="1"/>
    <n v="15.2"/>
    <s v="NOCTURNO"/>
    <m/>
    <n v="2"/>
    <n v="1167"/>
    <n v="22603"/>
    <s v="AMARILLO"/>
    <n v="0.5"/>
    <n v="0"/>
    <n v="0"/>
    <n v="7.56"/>
    <n v="15.2"/>
    <n v="126"/>
    <n v="120.63492063492063"/>
    <x v="6"/>
    <x v="0"/>
    <n v="30"/>
    <n v="2"/>
    <n v="10"/>
  </r>
  <r>
    <d v="2025-07-31T07:20:00"/>
    <s v="INYECTADO"/>
    <x v="10"/>
    <x v="153"/>
    <s v="JOSDER GONZALEZ"/>
    <m/>
    <m/>
    <m/>
    <x v="38"/>
    <s v="EMBUDO #4-ROJO"/>
    <n v="181"/>
    <n v="2"/>
    <n v="45.6"/>
    <s v="NOCTURNO"/>
    <m/>
    <n v="6"/>
    <n v="1167"/>
    <n v="22603"/>
    <s v="ROJO"/>
    <n v="2.2999999999999998"/>
    <n v="0"/>
    <n v="0"/>
    <n v="22.806000000000001"/>
    <n v="45.6"/>
    <n v="126"/>
    <n v="361.90476190476193"/>
    <x v="6"/>
    <x v="0"/>
    <n v="30"/>
    <n v="2"/>
    <n v="30.166666666666668"/>
  </r>
  <r>
    <d v="2025-07-31T07:20:00"/>
    <s v="INYECTADO"/>
    <x v="10"/>
    <x v="153"/>
    <s v="JOSDER GONZALEZ"/>
    <m/>
    <m/>
    <m/>
    <x v="38"/>
    <s v="EMBUDO #4-VERDE"/>
    <n v="661"/>
    <n v="8"/>
    <n v="166"/>
    <s v="NOCTURNO"/>
    <m/>
    <n v="22"/>
    <n v="1167"/>
    <n v="22603"/>
    <s v="VERDE"/>
    <n v="2.1"/>
    <n v="0"/>
    <n v="0"/>
    <n v="83.286000000000001"/>
    <n v="166"/>
    <n v="126"/>
    <n v="1317.4603174603174"/>
    <x v="6"/>
    <x v="0"/>
    <n v="30"/>
    <n v="2"/>
    <n v="110.16666666666667"/>
  </r>
  <r>
    <d v="2025-07-31T07:20:00"/>
    <s v="INYECTADO"/>
    <x v="10"/>
    <x v="154"/>
    <s v="JUANA CRUCES"/>
    <m/>
    <m/>
    <m/>
    <x v="38"/>
    <s v="EMBUDO #4-ROJO"/>
    <n v="460"/>
    <n v="5"/>
    <n v="115.5"/>
    <s v="DIURNO"/>
    <m/>
    <n v="16"/>
    <n v="1167"/>
    <n v="22604"/>
    <s v="ROJO"/>
    <n v="10.4"/>
    <n v="0"/>
    <n v="0"/>
    <n v="57.96"/>
    <n v="115.5"/>
    <n v="126"/>
    <n v="916.66666666666663"/>
    <x v="6"/>
    <x v="0"/>
    <n v="30"/>
    <n v="2"/>
    <n v="76.666666666666671"/>
  </r>
  <r>
    <d v="2025-07-31T07:20:00"/>
    <s v="INYECTADO"/>
    <x v="10"/>
    <x v="154"/>
    <s v="JUANA CRUCES"/>
    <m/>
    <m/>
    <m/>
    <x v="38"/>
    <s v="EMBUDO #4-AZUL"/>
    <n v="526"/>
    <n v="6"/>
    <n v="132.1"/>
    <s v="DIURNO"/>
    <m/>
    <n v="17"/>
    <n v="1167"/>
    <n v="22604"/>
    <s v="AZUL"/>
    <n v="5.0999999999999996"/>
    <n v="0"/>
    <n v="0"/>
    <n v="66.275999999999996"/>
    <n v="132.1"/>
    <n v="126"/>
    <n v="1048.4126984126983"/>
    <x v="6"/>
    <x v="0"/>
    <n v="30"/>
    <n v="2"/>
    <n v="87.666666666666671"/>
  </r>
  <r>
    <d v="2025-07-31T07:20:00"/>
    <s v="INYECTADO"/>
    <x v="10"/>
    <x v="154"/>
    <s v="GABRIEL REQUENA"/>
    <m/>
    <m/>
    <m/>
    <x v="38"/>
    <s v="EMBUDO #4-AZUL"/>
    <n v="151"/>
    <n v="3"/>
    <n v="38"/>
    <s v="NOCTURNO"/>
    <m/>
    <n v="5"/>
    <n v="1167"/>
    <n v="22605"/>
    <s v="AZUL"/>
    <n v="8.4"/>
    <n v="0"/>
    <n v="0"/>
    <n v="19.026"/>
    <n v="38"/>
    <n v="126"/>
    <n v="301.58730158730157"/>
    <x v="6"/>
    <x v="0"/>
    <n v="30"/>
    <n v="2"/>
    <n v="25.166666666666668"/>
  </r>
  <r>
    <d v="2025-07-31T07:20:00"/>
    <s v="INYECTADO"/>
    <x v="10"/>
    <x v="154"/>
    <s v="GABRIEL REQUENA"/>
    <m/>
    <m/>
    <m/>
    <x v="38"/>
    <s v="EMBUDO #4-AMARILLO"/>
    <n v="96"/>
    <n v="2"/>
    <n v="24.3"/>
    <s v="NOCTURNO"/>
    <m/>
    <n v="3"/>
    <n v="1167"/>
    <n v="22605"/>
    <s v="AMARILLO"/>
    <n v="2.2000000000000002"/>
    <n v="0"/>
    <n v="0"/>
    <n v="12.096"/>
    <n v="24.3"/>
    <n v="126"/>
    <n v="192.85714285714286"/>
    <x v="6"/>
    <x v="0"/>
    <n v="30"/>
    <n v="2"/>
    <n v="16"/>
  </r>
  <r>
    <d v="2025-07-31T07:20:00"/>
    <s v="INYECTADO"/>
    <x v="10"/>
    <x v="154"/>
    <s v="GABRIEL REQUENA"/>
    <m/>
    <m/>
    <m/>
    <x v="38"/>
    <s v="EMBUDO #4-VERDE"/>
    <n v="96"/>
    <n v="2"/>
    <n v="24.1"/>
    <s v="NOCTURNO"/>
    <m/>
    <n v="3"/>
    <n v="1167"/>
    <n v="22605"/>
    <s v="VERDE"/>
    <n v="4.3"/>
    <n v="0"/>
    <n v="0"/>
    <n v="12.096"/>
    <n v="24.1"/>
    <n v="126"/>
    <n v="191.26984126984127"/>
    <x v="6"/>
    <x v="0"/>
    <n v="30"/>
    <n v="2"/>
    <n v="16"/>
  </r>
  <r>
    <d v="2025-07-31T07:20:00"/>
    <s v="INYECTADO"/>
    <x v="10"/>
    <x v="155"/>
    <s v="GABRIEL REQUENA"/>
    <m/>
    <m/>
    <m/>
    <x v="105"/>
    <s v="BASE ORGANIZADOR  DE 2KG CARAMELO-AMARILLO"/>
    <n v="768"/>
    <n v="8"/>
    <n v="48.4"/>
    <s v="NOCTURNO"/>
    <m/>
    <n v="14"/>
    <n v="1179"/>
    <n v="22606"/>
    <s v="AMARILLO"/>
    <n v="16.899999999999999"/>
    <n v="0"/>
    <n v="0"/>
    <n v="38.4"/>
    <n v="48.4"/>
    <n v="50"/>
    <n v="968"/>
    <x v="6"/>
    <x v="0"/>
    <n v="30"/>
    <n v="2"/>
    <n v="128"/>
  </r>
  <r>
    <d v="2025-07-31T07:20:00"/>
    <s v="INYECTADO"/>
    <x v="10"/>
    <x v="156"/>
    <s v="SAID VILLAMIZAR"/>
    <m/>
    <m/>
    <m/>
    <x v="105"/>
    <s v="BASE ORGANIZADOR  DE 2KG CARAMELO-AMARILLO"/>
    <n v="87"/>
    <n v="2"/>
    <n v="5"/>
    <s v="DIURNO"/>
    <m/>
    <n v="2"/>
    <n v="1179"/>
    <n v="22607"/>
    <s v="AMARILLO"/>
    <n v="4.3"/>
    <n v="0"/>
    <n v="0"/>
    <n v="4.3499999999999996"/>
    <n v="5"/>
    <n v="50"/>
    <n v="100"/>
    <x v="6"/>
    <x v="0"/>
    <n v="30"/>
    <n v="2"/>
    <n v="14.5"/>
  </r>
  <r>
    <d v="2025-07-31T07:20:00"/>
    <s v="INYECTADO"/>
    <x v="10"/>
    <x v="156"/>
    <s v="SAID VILLAMIZAR"/>
    <m/>
    <m/>
    <m/>
    <x v="105"/>
    <s v="BASE ORGANIZADOR  DE 2KG CARAMELO-VERDE"/>
    <n v="22"/>
    <n v="1"/>
    <n v="1.4"/>
    <s v="DIURNO"/>
    <m/>
    <n v="1"/>
    <n v="1179"/>
    <n v="22607"/>
    <s v="VERDE"/>
    <n v="2.6"/>
    <n v="0"/>
    <n v="0"/>
    <n v="1.1000000000000001"/>
    <n v="1.4"/>
    <n v="50"/>
    <n v="28"/>
    <x v="6"/>
    <x v="0"/>
    <n v="30"/>
    <n v="2"/>
    <n v="3.6666666666666665"/>
  </r>
  <r>
    <d v="2025-07-31T07:20:00"/>
    <s v="INYECTADO"/>
    <x v="10"/>
    <x v="166"/>
    <s v="SAID VILLAMIZAR"/>
    <m/>
    <m/>
    <m/>
    <x v="105"/>
    <s v="BASE ORGANIZADOR  DE 2KG CARAMELO-VERDE"/>
    <n v="1200"/>
    <n v="9"/>
    <n v="70"/>
    <s v="DIURNO"/>
    <m/>
    <n v="20"/>
    <n v="1179"/>
    <n v="22608"/>
    <s v="VERDE"/>
    <n v="3.6"/>
    <n v="0"/>
    <n v="0"/>
    <n v="60"/>
    <n v="70"/>
    <n v="50"/>
    <n v="1400"/>
    <x v="6"/>
    <x v="0"/>
    <n v="31"/>
    <n v="2"/>
    <n v="200"/>
  </r>
  <r>
    <d v="2025-07-31T07:20:00"/>
    <s v="INYECTADO"/>
    <x v="10"/>
    <x v="166"/>
    <s v="SAID VILLAMIZAR"/>
    <m/>
    <m/>
    <m/>
    <x v="105"/>
    <s v="BASE ORGANIZADOR  DE 2KG CARAMELO-FUCSIA"/>
    <n v="118"/>
    <n v="2"/>
    <n v="6.9"/>
    <s v="DIURNO"/>
    <m/>
    <n v="2"/>
    <n v="1179"/>
    <n v="22608"/>
    <s v="FUCSIA"/>
    <n v="6.1"/>
    <n v="0"/>
    <n v="0"/>
    <n v="5.9"/>
    <n v="6.9"/>
    <n v="50"/>
    <n v="138"/>
    <x v="6"/>
    <x v="0"/>
    <n v="31"/>
    <n v="2"/>
    <n v="19.666666666666668"/>
  </r>
  <r>
    <d v="2025-07-31T07:20:00"/>
    <s v="INYECTADO"/>
    <x v="10"/>
    <x v="167"/>
    <s v="SAID VILLAMIZAR"/>
    <m/>
    <m/>
    <m/>
    <x v="105"/>
    <s v="BASE ORGANIZADOR  DE 2KG CARAMELO-FUCSIA"/>
    <n v="113"/>
    <n v="2"/>
    <n v="6.6"/>
    <s v="DIURNO"/>
    <m/>
    <n v="3"/>
    <n v="1179"/>
    <n v="22609"/>
    <s v="FUCSIA"/>
    <n v="8"/>
    <n v="0"/>
    <n v="0"/>
    <n v="5.65"/>
    <n v="6.6"/>
    <n v="50"/>
    <n v="132"/>
    <x v="6"/>
    <x v="0"/>
    <n v="31"/>
    <n v="2"/>
    <n v="18.833333333333332"/>
  </r>
  <r>
    <d v="2025-07-31T07:20:00"/>
    <s v="INYECTADO"/>
    <x v="10"/>
    <x v="167"/>
    <s v="SAID VILLAMIZAR"/>
    <m/>
    <m/>
    <m/>
    <x v="105"/>
    <s v="BASE ORGANIZADOR  DE 2KG CARAMELO-AZUL"/>
    <n v="1152"/>
    <n v="9"/>
    <n v="67.2"/>
    <s v="DIURNO"/>
    <m/>
    <n v="20"/>
    <n v="1179"/>
    <n v="22609"/>
    <s v="AZUL"/>
    <n v="5.9"/>
    <n v="0"/>
    <n v="0"/>
    <n v="57.6"/>
    <n v="67.2"/>
    <n v="50"/>
    <n v="1344"/>
    <x v="6"/>
    <x v="0"/>
    <n v="31"/>
    <n v="2"/>
    <n v="192"/>
  </r>
  <r>
    <d v="2025-07-31T07:20:00"/>
    <s v="INYECTADO"/>
    <x v="10"/>
    <x v="168"/>
    <s v="NELSON PINEDO"/>
    <m/>
    <m/>
    <m/>
    <x v="105"/>
    <s v="BASE ORGANIZADOR  DE 2KG CARAMELO-AZUL"/>
    <n v="25"/>
    <n v="1"/>
    <n v="1.6"/>
    <s v="DIURNO"/>
    <m/>
    <n v="1"/>
    <n v="1179"/>
    <n v="22610"/>
    <s v="AZUL"/>
    <n v="5.8"/>
    <n v="0"/>
    <n v="0"/>
    <n v="1.25"/>
    <n v="1.6"/>
    <n v="50"/>
    <n v="32"/>
    <x v="6"/>
    <x v="0"/>
    <n v="31"/>
    <n v="2"/>
    <n v="4.166666666666667"/>
  </r>
  <r>
    <d v="2025-07-31T07:20:00"/>
    <s v="INYECTADO"/>
    <x v="10"/>
    <x v="168"/>
    <s v="NELSON PINEDO"/>
    <m/>
    <m/>
    <m/>
    <x v="105"/>
    <s v="BASE ORGANIZADOR  DE 2KG CARAMELO-FUCSIA"/>
    <n v="740"/>
    <n v="6"/>
    <n v="45.9"/>
    <s v="DIURNO"/>
    <m/>
    <n v="13"/>
    <n v="1179"/>
    <n v="22610"/>
    <s v="FUCSIA"/>
    <n v="3.9"/>
    <n v="0"/>
    <n v="0"/>
    <n v="37"/>
    <n v="45.9"/>
    <n v="50"/>
    <n v="918"/>
    <x v="6"/>
    <x v="0"/>
    <n v="31"/>
    <n v="2"/>
    <n v="123.33333333333333"/>
  </r>
  <r>
    <d v="2025-07-31T07:20:00"/>
    <s v="INYECTADO"/>
    <x v="10"/>
    <x v="168"/>
    <s v="NELSON PINEDO"/>
    <m/>
    <m/>
    <m/>
    <x v="105"/>
    <s v="BASE ORGANIZADOR  DE 2KG CARAMELO-LILA"/>
    <n v="346"/>
    <n v="3"/>
    <n v="21.5"/>
    <s v="DIURNO"/>
    <m/>
    <n v="6"/>
    <n v="1179"/>
    <n v="22610"/>
    <s v="LILA"/>
    <n v="0"/>
    <n v="0"/>
    <n v="0"/>
    <n v="17.3"/>
    <n v="21.5"/>
    <n v="50"/>
    <n v="430"/>
    <x v="6"/>
    <x v="0"/>
    <n v="31"/>
    <n v="2"/>
    <n v="57.666666666666664"/>
  </r>
  <r>
    <d v="2025-07-31T07:20:00"/>
    <s v="INYECTADO"/>
    <x v="10"/>
    <x v="168"/>
    <s v="GABRIEL REQUENA"/>
    <m/>
    <m/>
    <m/>
    <x v="105"/>
    <s v="BASE ORGANIZADOR  DE 2KG CARAMELO-LILA"/>
    <n v="877"/>
    <n v="9"/>
    <n v="54.4"/>
    <s v="NOCTURNO"/>
    <m/>
    <n v="16"/>
    <n v="1179"/>
    <n v="22611"/>
    <s v="LILA"/>
    <n v="5"/>
    <n v="0"/>
    <n v="0"/>
    <n v="43.85"/>
    <n v="54.4"/>
    <n v="50"/>
    <n v="1088"/>
    <x v="6"/>
    <x v="0"/>
    <n v="31"/>
    <n v="2"/>
    <n v="146.16666666666666"/>
  </r>
  <r>
    <d v="2025-07-31T07:20:00"/>
    <s v="INYECTADO"/>
    <x v="10"/>
    <x v="168"/>
    <s v="GABRIEL REQUENA"/>
    <m/>
    <m/>
    <m/>
    <x v="105"/>
    <s v="BASE ORGANIZADOR  DE 2KG CARAMELO-AMARILLO"/>
    <n v="235"/>
    <n v="2"/>
    <n v="14.6"/>
    <s v="NOCTURNO"/>
    <m/>
    <n v="4"/>
    <n v="1179"/>
    <n v="22611"/>
    <s v="AMARILLO"/>
    <n v="2.5"/>
    <n v="0"/>
    <n v="0"/>
    <n v="11.75"/>
    <n v="14.6"/>
    <n v="50"/>
    <n v="292"/>
    <x v="6"/>
    <x v="0"/>
    <n v="31"/>
    <n v="2"/>
    <n v="39.166666666666664"/>
  </r>
  <r>
    <d v="2025-07-31T07:20:00"/>
    <s v="INYECTADO"/>
    <x v="10"/>
    <x v="169"/>
    <s v="LEONOR"/>
    <m/>
    <m/>
    <m/>
    <x v="105"/>
    <s v="BASE ORGANIZADOR  DE 2KG CARAMELO-AMARILLO"/>
    <n v="88"/>
    <n v="1"/>
    <n v="5.2"/>
    <s v="DIURNO"/>
    <m/>
    <n v="2"/>
    <n v="1179"/>
    <n v="22612"/>
    <s v="AMARILLO"/>
    <n v="0"/>
    <n v="0"/>
    <n v="0"/>
    <n v="4.4000000000000004"/>
    <n v="5.2"/>
    <n v="50"/>
    <n v="104"/>
    <x v="6"/>
    <x v="0"/>
    <n v="31"/>
    <n v="2"/>
    <n v="14.666666666666666"/>
  </r>
  <r>
    <d v="2025-07-31T07:20:00"/>
    <s v="INYECTADO"/>
    <x v="10"/>
    <x v="169"/>
    <s v="LEONOR"/>
    <m/>
    <m/>
    <m/>
    <x v="105"/>
    <s v="BASE ORGANIZADOR  DE 2KG CARAMELO-TRANSPARENTE"/>
    <n v="296"/>
    <n v="4"/>
    <n v="17.5"/>
    <s v="DIURNO"/>
    <m/>
    <n v="5"/>
    <n v="1179"/>
    <n v="22612"/>
    <s v="VERDE"/>
    <n v="6.2"/>
    <n v="0"/>
    <n v="0"/>
    <e v="#N/A"/>
    <n v="17.5"/>
    <e v="#N/A"/>
    <n v="0"/>
    <x v="6"/>
    <x v="0"/>
    <n v="31"/>
    <e v="#N/A"/>
    <e v="#N/A"/>
  </r>
  <r>
    <d v="2025-07-31T07:20:00"/>
    <s v="INYECTADO"/>
    <x v="10"/>
    <x v="169"/>
    <s v="LEONOR"/>
    <m/>
    <m/>
    <m/>
    <x v="105"/>
    <s v="BASE ORGANIZADOR  DE 2KG CARAMELO-ROJO"/>
    <n v="878"/>
    <n v="7"/>
    <n v="78"/>
    <s v="DIURNO"/>
    <m/>
    <n v="13"/>
    <n v="1179"/>
    <n v="22612"/>
    <s v="ROJO"/>
    <n v="2.4"/>
    <n v="0"/>
    <n v="0"/>
    <n v="43.9"/>
    <n v="78"/>
    <n v="50"/>
    <n v="1560"/>
    <x v="6"/>
    <x v="0"/>
    <n v="31"/>
    <n v="2"/>
    <n v="146.33333333333334"/>
  </r>
  <r>
    <d v="2025-07-31T07:20:00"/>
    <s v="INYECTADO"/>
    <x v="10"/>
    <x v="169"/>
    <s v="YERIKA"/>
    <m/>
    <m/>
    <m/>
    <x v="105"/>
    <s v="BASE ORGANIZADOR  DE 2KG CARAMELO-"/>
    <n v="1193"/>
    <n v="12"/>
    <n v="74"/>
    <s v="NOCTURNO"/>
    <m/>
    <n v="20"/>
    <n v="1179"/>
    <n v="22613"/>
    <s v="TRANSPARENTE"/>
    <n v="4.4000000000000004"/>
    <n v="0"/>
    <n v="0"/>
    <e v="#N/A"/>
    <n v="74"/>
    <e v="#N/A"/>
    <n v="0"/>
    <x v="6"/>
    <x v="0"/>
    <n v="31"/>
    <e v="#N/A"/>
    <e v="#N/A"/>
  </r>
  <r>
    <d v="2025-07-31T09:10:00"/>
    <s v="INYECTADO"/>
    <x v="8"/>
    <x v="145"/>
    <s v="NELSON PINEDO"/>
    <s v="VIRGEN"/>
    <s v="PP CLARIFICADO"/>
    <s v="."/>
    <x v="102"/>
    <s v="JARRA REAL 6 LT-TRANSPARENTE"/>
    <n v="346"/>
    <n v="3"/>
    <n v="83.5"/>
    <s v="DIURNO"/>
    <n v="0"/>
    <n v="14"/>
    <n v="1151"/>
    <n v="22112"/>
    <s v="TRANSPARENTE"/>
    <n v="20.5"/>
    <n v="0"/>
    <n v="0"/>
    <n v="83.04"/>
    <n v="83.5"/>
    <n v="240"/>
    <n v="347.91666666666669"/>
    <x v="6"/>
    <x v="0"/>
    <n v="28"/>
    <n v="1"/>
    <n v="28.833333333333332"/>
  </r>
  <r>
    <d v="2025-07-31T09:10:00"/>
    <s v="INYECTADO"/>
    <x v="8"/>
    <x v="146"/>
    <s v="NELSON PINEDO"/>
    <s v="VIRGEN"/>
    <s v="PP CLARIFICADO"/>
    <s v="."/>
    <x v="102"/>
    <s v="JARRA REAL 6 LT-TRANSPARENTE"/>
    <n v="141"/>
    <n v="1"/>
    <n v="34.1"/>
    <s v="DIURNO"/>
    <n v="0"/>
    <n v="6"/>
    <n v="1151"/>
    <n v="22113"/>
    <s v="TRANSPARENTE"/>
    <n v="19.7"/>
    <n v="0"/>
    <n v="0"/>
    <n v="33.840000000000003"/>
    <n v="34.1"/>
    <n v="240"/>
    <n v="142.08333333333334"/>
    <x v="6"/>
    <x v="0"/>
    <n v="28"/>
    <n v="1"/>
    <n v="11.75"/>
  </r>
  <r>
    <d v="2025-07-31T09:10:00"/>
    <s v="INYECTADO"/>
    <x v="8"/>
    <x v="150"/>
    <s v="ROSA MERINO"/>
    <s v="VIRGEN"/>
    <s v="PP CLARIFICADO"/>
    <s v="."/>
    <x v="24"/>
    <s v="TAPA TAPER REDONDO-AMARILLO"/>
    <n v="410"/>
    <n v="5"/>
    <n v="38.6"/>
    <s v="DIURNO"/>
    <n v="0"/>
    <n v="5"/>
    <n v="1157"/>
    <n v="22114"/>
    <s v="AMARILLO"/>
    <n v="0"/>
    <n v="0"/>
    <n v="0"/>
    <n v="13.53"/>
    <n v="38.6"/>
    <n v="33"/>
    <n v="1169.6969696969697"/>
    <x v="6"/>
    <x v="0"/>
    <n v="29"/>
    <n v="4"/>
    <n v="136.66666666666666"/>
  </r>
  <r>
    <d v="2025-07-31T09:10:00"/>
    <s v="INYECTADO"/>
    <x v="8"/>
    <x v="150"/>
    <s v="ROSA MERINO"/>
    <s v="VIRGEN"/>
    <s v="PP CLARIFICADO"/>
    <s v="."/>
    <x v="24"/>
    <s v="TAPA TAPER REDONDO-VERDE"/>
    <n v="167"/>
    <n v="3"/>
    <n v="15.7"/>
    <s v="DIURNO"/>
    <n v="0"/>
    <n v="2"/>
    <n v="1157"/>
    <n v="22114"/>
    <s v="VERDE"/>
    <n v="0"/>
    <n v="0"/>
    <n v="0"/>
    <n v="5.5110000000000001"/>
    <n v="15.7"/>
    <n v="33"/>
    <n v="475.75757575757575"/>
    <x v="6"/>
    <x v="0"/>
    <n v="29"/>
    <n v="4"/>
    <n v="55.666666666666664"/>
  </r>
  <r>
    <d v="2025-07-31T09:10:00"/>
    <s v="INYECTADO"/>
    <x v="8"/>
    <x v="150"/>
    <s v="JUAN MANUEL PEREZ"/>
    <s v="VIRGEN"/>
    <s v="PP CLARIFICADO"/>
    <s v="."/>
    <x v="24"/>
    <s v="TAPA TAPER REDONDO-VERDE"/>
    <n v="246"/>
    <n v="2"/>
    <n v="23.7"/>
    <s v="DIURNO"/>
    <n v="0"/>
    <n v="3"/>
    <n v="1157"/>
    <n v="22115"/>
    <s v="VERDE"/>
    <n v="3"/>
    <n v="0"/>
    <n v="0"/>
    <n v="8.1180000000000003"/>
    <n v="23.7"/>
    <n v="33"/>
    <n v="718.18181818181813"/>
    <x v="6"/>
    <x v="0"/>
    <n v="29"/>
    <n v="4"/>
    <n v="82"/>
  </r>
  <r>
    <d v="2025-07-31T09:10:00"/>
    <s v="INYECTADO"/>
    <x v="8"/>
    <x v="150"/>
    <s v="JUAN MANUEL PEREZ"/>
    <s v="VIRGEN"/>
    <s v="PP CLARIFICADO"/>
    <s v="."/>
    <x v="24"/>
    <s v="TAPA TAPER REDONDO-TURQUESA"/>
    <n v="472"/>
    <n v="3"/>
    <n v="45.4"/>
    <s v="DIURNO"/>
    <n v="0"/>
    <n v="6"/>
    <n v="1157"/>
    <n v="22115"/>
    <s v="TURQUESA"/>
    <n v="3"/>
    <n v="0"/>
    <n v="0"/>
    <n v="15.576000000000001"/>
    <n v="45.4"/>
    <n v="33"/>
    <n v="1375.7575757575758"/>
    <x v="6"/>
    <x v="0"/>
    <n v="29"/>
    <n v="4"/>
    <n v="157.33333333333334"/>
  </r>
  <r>
    <d v="2025-07-31T09:10:00"/>
    <s v="INYECTADO"/>
    <x v="8"/>
    <x v="150"/>
    <s v="JUAN MANUEL PEREZ"/>
    <s v="VIRGEN"/>
    <s v="PP CLARIFICADO"/>
    <s v="."/>
    <x v="24"/>
    <s v="TAPA TAPER REDONDO-ROJO"/>
    <n v="615"/>
    <n v="6"/>
    <n v="59.1"/>
    <s v="DIURNO"/>
    <n v="0"/>
    <n v="3"/>
    <n v="1115"/>
    <n v="22115"/>
    <s v="ROJO"/>
    <n v="3"/>
    <n v="0"/>
    <n v="0"/>
    <n v="20.295000000000002"/>
    <n v="59.1"/>
    <n v="33"/>
    <n v="1790.909090909091"/>
    <x v="6"/>
    <x v="0"/>
    <n v="29"/>
    <n v="4"/>
    <n v="205"/>
  </r>
  <r>
    <d v="2025-07-31T09:10:00"/>
    <s v="INYECTADO"/>
    <x v="8"/>
    <x v="161"/>
    <s v="JUANA CRUCES"/>
    <s v="VIRGEN"/>
    <s v="PP CLARIFICADO"/>
    <s v="."/>
    <x v="24"/>
    <s v="TAPA TAPER REDONDO-ROJO"/>
    <n v="201"/>
    <n v="2"/>
    <n v="19.3"/>
    <s v="DIURNO"/>
    <n v="0"/>
    <n v="2"/>
    <n v="1157"/>
    <n v="22116"/>
    <s v="ROJO"/>
    <n v="6.5"/>
    <n v="0"/>
    <n v="0"/>
    <n v="6.633"/>
    <n v="19.3"/>
    <n v="33"/>
    <n v="584.84848484848487"/>
    <x v="6"/>
    <x v="0"/>
    <n v="29"/>
    <n v="4"/>
    <n v="67"/>
  </r>
  <r>
    <d v="2025-07-31T09:10:00"/>
    <s v="INYECTADO"/>
    <x v="8"/>
    <x v="161"/>
    <s v="JUANA CRUCES"/>
    <s v="VIRGEN"/>
    <s v="PP CLARIFICADO"/>
    <s v="."/>
    <x v="24"/>
    <s v="TAPA TAPER REDONDO-FUCSIA"/>
    <n v="505"/>
    <n v="5"/>
    <n v="48.5"/>
    <s v="DIURNO"/>
    <n v="0"/>
    <n v="7"/>
    <n v="1157"/>
    <n v="22116"/>
    <s v="FUCSIA"/>
    <n v="12.5"/>
    <n v="0"/>
    <n v="0"/>
    <n v="16.664999999999999"/>
    <n v="48.5"/>
    <n v="33"/>
    <n v="1469.6969696969697"/>
    <x v="6"/>
    <x v="0"/>
    <n v="29"/>
    <n v="4"/>
    <n v="168.33333333333334"/>
  </r>
  <r>
    <d v="2025-07-31T09:10:00"/>
    <s v="INYECTADO"/>
    <x v="8"/>
    <x v="161"/>
    <s v="JUANA CRUCES"/>
    <s v="VIRGEN"/>
    <s v="PP CLARIFICADO"/>
    <s v="."/>
    <x v="24"/>
    <s v="TAPA TAPER REDONDO-AZUL"/>
    <n v="481"/>
    <n v="4"/>
    <n v="48.1"/>
    <s v="DIURNO"/>
    <n v="0"/>
    <n v="6"/>
    <n v="1157"/>
    <n v="22116"/>
    <s v="AZUL"/>
    <n v="5.0999999999999996"/>
    <n v="0"/>
    <n v="0"/>
    <n v="15.872999999999999"/>
    <n v="48.1"/>
    <n v="33"/>
    <n v="1457.5757575757575"/>
    <x v="6"/>
    <x v="0"/>
    <n v="29"/>
    <n v="4"/>
    <n v="160.33333333333334"/>
  </r>
  <r>
    <d v="2025-07-31T09:10:00"/>
    <s v="INYECTADO"/>
    <x v="8"/>
    <x v="161"/>
    <s v="JOSDER GONZALEZ"/>
    <s v="VIRGEN"/>
    <s v="PP CLARIFICADO"/>
    <s v="."/>
    <x v="24"/>
    <s v="TAPA TAPER REDONDO-ROJO"/>
    <n v="179"/>
    <n v="2"/>
    <n v="16.899999999999999"/>
    <s v="DIURNO"/>
    <n v="0"/>
    <n v="3"/>
    <n v="1157"/>
    <n v="22117"/>
    <s v="ROJO"/>
    <n v="7.8"/>
    <n v="0"/>
    <n v="0"/>
    <n v="5.907"/>
    <n v="16.899999999999999"/>
    <n v="33"/>
    <n v="512.12121212121212"/>
    <x v="6"/>
    <x v="0"/>
    <n v="29"/>
    <n v="4"/>
    <n v="59.666666666666664"/>
  </r>
  <r>
    <d v="2025-07-31T09:10:00"/>
    <s v="INYECTADO"/>
    <x v="8"/>
    <x v="161"/>
    <s v="JOSDER GONZALEZ"/>
    <s v="VIRGEN"/>
    <s v="PP CLARIFICADO"/>
    <s v="."/>
    <x v="24"/>
    <s v="TAPA TAPER REDONDO-AMARILLO"/>
    <n v="500"/>
    <n v="6"/>
    <n v="48"/>
    <s v="DIURNO"/>
    <n v="0"/>
    <n v="7"/>
    <n v="1157"/>
    <n v="22117"/>
    <s v="AMARILLO"/>
    <n v="9.9"/>
    <n v="0"/>
    <n v="0"/>
    <n v="16.5"/>
    <n v="48"/>
    <n v="33"/>
    <n v="1454.5454545454545"/>
    <x v="6"/>
    <x v="0"/>
    <n v="29"/>
    <n v="4"/>
    <n v="166.66666666666666"/>
  </r>
  <r>
    <d v="2025-07-31T09:10:00"/>
    <s v="INYECTADO"/>
    <x v="8"/>
    <x v="161"/>
    <s v="JOSDER GONZALEZ"/>
    <s v="VIRGEN"/>
    <s v="PP CLARIFICADO"/>
    <s v="."/>
    <x v="24"/>
    <s v="TAPA TAPER REDONDO-VERDE"/>
    <n v="500"/>
    <n v="5"/>
    <n v="48.9"/>
    <s v="DIURNO"/>
    <n v="0"/>
    <n v="7"/>
    <n v="1157"/>
    <n v="22117"/>
    <s v="VERDE"/>
    <n v="8.6"/>
    <n v="0"/>
    <n v="0"/>
    <n v="16.5"/>
    <n v="48.9"/>
    <n v="33"/>
    <n v="1481.8181818181818"/>
    <x v="6"/>
    <x v="0"/>
    <n v="29"/>
    <n v="4"/>
    <n v="166.66666666666666"/>
  </r>
  <r>
    <d v="2025-07-31T09:10:00"/>
    <s v="INYECTADO"/>
    <x v="8"/>
    <x v="161"/>
    <s v="JOSDER GONZALEZ"/>
    <s v="VIRGEN"/>
    <s v="PP CLARIFICADO"/>
    <s v="."/>
    <x v="24"/>
    <s v="TAPA TAPER REDONDO-TURQUESA"/>
    <n v="40"/>
    <n v="1"/>
    <n v="3.9"/>
    <s v="DIURNO"/>
    <n v="0"/>
    <n v="1"/>
    <n v="1157"/>
    <n v="22117"/>
    <s v="TURQUESA"/>
    <n v="4.3"/>
    <n v="0"/>
    <n v="0"/>
    <n v="1.32"/>
    <n v="3.9"/>
    <n v="33"/>
    <n v="118.18181818181819"/>
    <x v="6"/>
    <x v="0"/>
    <n v="29"/>
    <n v="4"/>
    <n v="13.333333333333334"/>
  </r>
  <r>
    <d v="2025-07-31T09:10:00"/>
    <s v="INYECTADO"/>
    <x v="8"/>
    <x v="162"/>
    <s v="CRISALIDA ZAPATA"/>
    <s v="VIRGEN"/>
    <s v="PP CLARIFICADO"/>
    <s v="."/>
    <x v="24"/>
    <s v="TAPA TAPER REDONDO-TURQUESA"/>
    <n v="420"/>
    <n v="4"/>
    <n v="40.299999999999997"/>
    <s v="DIURNO"/>
    <n v="0"/>
    <n v="6"/>
    <n v="1157"/>
    <n v="22118"/>
    <s v="TURQUESA"/>
    <n v="12.6"/>
    <n v="0"/>
    <n v="0"/>
    <n v="13.86"/>
    <n v="40.299999999999997"/>
    <n v="33"/>
    <n v="1221.2121212121212"/>
    <x v="6"/>
    <x v="0"/>
    <n v="29"/>
    <n v="4"/>
    <n v="140"/>
  </r>
  <r>
    <d v="2025-07-31T09:10:00"/>
    <s v="INYECTADO"/>
    <x v="8"/>
    <x v="162"/>
    <s v="CRISALIDA ZAPATA"/>
    <s v="VIRGEN"/>
    <s v="PP CLARIFICADO"/>
    <s v="."/>
    <x v="24"/>
    <s v="TAPA TAPER REDONDO-AZUL"/>
    <n v="494"/>
    <n v="4"/>
    <n v="46.5"/>
    <s v="DIURNO"/>
    <n v="0"/>
    <n v="6"/>
    <n v="1157"/>
    <n v="22118"/>
    <s v="AZUL"/>
    <n v="9.5"/>
    <n v="0"/>
    <n v="0"/>
    <n v="16.302"/>
    <n v="46.5"/>
    <n v="33"/>
    <n v="1409.090909090909"/>
    <x v="6"/>
    <x v="0"/>
    <n v="29"/>
    <n v="4"/>
    <n v="164.66666666666666"/>
  </r>
  <r>
    <d v="2025-07-31T09:10:00"/>
    <s v="INYECTADO"/>
    <x v="8"/>
    <x v="162"/>
    <s v="CRISALIDA ZAPATA"/>
    <s v="VIRGEN"/>
    <s v="PP CLARIFICADO"/>
    <s v="."/>
    <x v="24"/>
    <s v="TAPA TAPER REDONDO-FUCSIA"/>
    <n v="213"/>
    <n v="2"/>
    <n v="20.100000000000001"/>
    <s v="DIURNO"/>
    <n v="0"/>
    <n v="3"/>
    <n v="1157"/>
    <n v="22118"/>
    <s v="FUCSIA"/>
    <n v="5"/>
    <n v="0"/>
    <n v="0"/>
    <n v="7.0289999999999999"/>
    <n v="20.100000000000001"/>
    <n v="33"/>
    <n v="609.09090909090912"/>
    <x v="6"/>
    <x v="0"/>
    <n v="29"/>
    <n v="4"/>
    <n v="71"/>
  </r>
  <r>
    <d v="2025-07-31T09:10:00"/>
    <s v="INYECTADO"/>
    <x v="8"/>
    <x v="162"/>
    <s v="ISABEL LINARIZ"/>
    <s v="VIRGEN"/>
    <s v="PP CLARIFICADO"/>
    <s v="."/>
    <x v="24"/>
    <s v="TAPA TAPER REDONDO-FUCSIA"/>
    <n v="12"/>
    <n v="1"/>
    <n v="1.2"/>
    <s v="DIURNO"/>
    <n v="0"/>
    <n v="1"/>
    <n v="1157"/>
    <n v="22119"/>
    <s v="FUCSIA"/>
    <n v="1"/>
    <n v="0"/>
    <n v="0"/>
    <n v="0.39600000000000002"/>
    <n v="1.2"/>
    <n v="33"/>
    <n v="36.363636363636367"/>
    <x v="6"/>
    <x v="0"/>
    <n v="29"/>
    <n v="4"/>
    <n v="4"/>
  </r>
  <r>
    <d v="2025-07-31T09:10:00"/>
    <s v="INYECTADO"/>
    <x v="8"/>
    <x v="162"/>
    <s v="ISABEL LINARIZ"/>
    <s v="VIRGEN"/>
    <s v="PP CLARIFICADO"/>
    <s v="."/>
    <x v="25"/>
    <s v="TAPA TAPERS REDONDOS CARAMELO-AMARILLO"/>
    <n v="523"/>
    <n v="4"/>
    <n v="49.2"/>
    <s v="DIURNO"/>
    <n v="0"/>
    <n v="7"/>
    <n v="1157"/>
    <n v="22119"/>
    <s v="AMARILLO"/>
    <n v="10"/>
    <n v="0"/>
    <n v="0"/>
    <n v="17.259"/>
    <n v="49.2"/>
    <n v="33"/>
    <n v="1490.909090909091"/>
    <x v="6"/>
    <x v="0"/>
    <n v="29"/>
    <n v="4"/>
    <n v="174.33333333333334"/>
  </r>
  <r>
    <d v="2025-07-31T09:10:00"/>
    <s v="INYECTADO"/>
    <x v="8"/>
    <x v="162"/>
    <s v="ISABEL LINARIZ"/>
    <s v="VIRGEN"/>
    <s v="PP CLARIFICADO"/>
    <s v="."/>
    <x v="25"/>
    <s v="TAPA TAPERS REDONDOS CARAMELO-VERDE"/>
    <n v="528"/>
    <n v="4"/>
    <n v="49.7"/>
    <s v="DIURNO"/>
    <n v="0"/>
    <n v="7"/>
    <n v="1157"/>
    <n v="22119"/>
    <s v="VERDE"/>
    <n v="3"/>
    <n v="0"/>
    <n v="0"/>
    <n v="17.423999999999999"/>
    <n v="49.7"/>
    <n v="33"/>
    <n v="1506.060606060606"/>
    <x v="6"/>
    <x v="0"/>
    <n v="29"/>
    <n v="4"/>
    <n v="176"/>
  </r>
  <r>
    <d v="2025-07-31T09:10:00"/>
    <s v="INYECTADO"/>
    <x v="8"/>
    <x v="162"/>
    <s v="ISABEL LINARIZ"/>
    <s v="VIRGEN"/>
    <s v="PP CLARIFICADO"/>
    <s v="."/>
    <x v="25"/>
    <s v="TAPA TAPERS REDONDOS CARAMELO-ROJO"/>
    <n v="373"/>
    <n v="3"/>
    <n v="35.1"/>
    <s v="DIURNO"/>
    <n v="0"/>
    <n v="5"/>
    <n v="1157"/>
    <n v="22119"/>
    <s v="ROJO"/>
    <n v="1.3"/>
    <n v="0"/>
    <n v="0"/>
    <n v="12.308999999999999"/>
    <n v="35.1"/>
    <n v="33"/>
    <n v="1063.6363636363637"/>
    <x v="6"/>
    <x v="0"/>
    <n v="29"/>
    <n v="4"/>
    <n v="124.33333333333333"/>
  </r>
  <r>
    <d v="2025-07-31T09:10:00"/>
    <s v="INYECTADO"/>
    <x v="8"/>
    <x v="163"/>
    <s v="KARLA HUISA"/>
    <s v="VIRGEN"/>
    <s v="PP CLARIFICADO"/>
    <s v="."/>
    <x v="25"/>
    <s v="TAPA TAPERS REDONDOS CARAMELO-ROJO"/>
    <n v="198"/>
    <n v="2"/>
    <n v="13.2"/>
    <s v="DIURNO"/>
    <n v="0"/>
    <n v="2"/>
    <n v="1157"/>
    <n v="22120"/>
    <s v="ROJO"/>
    <n v="10.4"/>
    <n v="0"/>
    <n v="0"/>
    <n v="6.5339999999999998"/>
    <n v="13.2"/>
    <n v="33"/>
    <n v="400"/>
    <x v="6"/>
    <x v="0"/>
    <n v="29"/>
    <n v="4"/>
    <n v="66"/>
  </r>
  <r>
    <d v="2025-07-31T09:10:00"/>
    <s v="INYECTADO"/>
    <x v="8"/>
    <x v="163"/>
    <s v="KARLA HUISA"/>
    <s v="VIRGEN"/>
    <s v="PP CLARIFICADO"/>
    <s v="."/>
    <x v="24"/>
    <s v="TAPA TAPERS REDONDOS CARAMELO-FUCSIA"/>
    <n v="520"/>
    <n v="5"/>
    <n v="46.6"/>
    <s v="DIURNO"/>
    <n v="0"/>
    <n v="5"/>
    <n v="1157"/>
    <n v="22120"/>
    <s v="FUCSIA"/>
    <n v="12.4"/>
    <n v="0"/>
    <n v="0"/>
    <n v="17.16"/>
    <n v="46.6"/>
    <n v="33"/>
    <n v="1412.121212121212"/>
    <x v="6"/>
    <x v="0"/>
    <n v="29"/>
    <n v="4"/>
    <n v="173.33333333333334"/>
  </r>
  <r>
    <d v="2025-07-31T09:10:00"/>
    <s v="INYECTADO"/>
    <x v="8"/>
    <x v="163"/>
    <s v="KARLA HUISA"/>
    <s v="VIRGEN"/>
    <s v="PP CLARIFICADO"/>
    <s v="."/>
    <x v="25"/>
    <s v="TAPA TAPER REDONDO-FUCSIA"/>
    <n v="253"/>
    <n v="3"/>
    <n v="24.7"/>
    <s v="DIURNO"/>
    <n v="0"/>
    <n v="3"/>
    <n v="1157"/>
    <n v="22120"/>
    <s v="FUCSIA"/>
    <n v="12.4"/>
    <n v="0"/>
    <n v="0"/>
    <n v="8.3490000000000002"/>
    <n v="24.7"/>
    <n v="33"/>
    <n v="748.4848484848485"/>
    <x v="6"/>
    <x v="0"/>
    <n v="29"/>
    <n v="4"/>
    <n v="84.333333333333329"/>
  </r>
  <r>
    <d v="2025-07-31T09:10:00"/>
    <s v="INYECTADO"/>
    <x v="8"/>
    <x v="163"/>
    <s v="KARLA HUISA"/>
    <s v="VIRGEN"/>
    <s v="PP CLARIFICADO"/>
    <s v="."/>
    <x v="25"/>
    <s v="TAPA TAPERS REDONDOS CARAMELO-AZUL"/>
    <n v="80"/>
    <n v="1"/>
    <n v="6.3"/>
    <s v="DIURNO"/>
    <n v="0"/>
    <n v="6"/>
    <n v="1157"/>
    <n v="22120"/>
    <s v="AZUL"/>
    <n v="1.3"/>
    <n v="0"/>
    <n v="0"/>
    <n v="2.64"/>
    <n v="6.3"/>
    <n v="33"/>
    <n v="190.90909090909091"/>
    <x v="6"/>
    <x v="0"/>
    <n v="29"/>
    <n v="4"/>
    <n v="26.666666666666668"/>
  </r>
  <r>
    <d v="2025-07-31T09:10:00"/>
    <s v="INYECTADO"/>
    <x v="8"/>
    <x v="163"/>
    <s v="ISABEL LINARIZ"/>
    <s v="VIRGEN"/>
    <s v="PP CLARIFICADO"/>
    <s v="."/>
    <x v="25"/>
    <s v="TAPA TAPERS REDONDOS CARAMELO-AZUL"/>
    <n v="369"/>
    <n v="4"/>
    <n v="34.700000000000003"/>
    <s v="DIURNO"/>
    <n v="0"/>
    <n v="6"/>
    <n v="1157"/>
    <n v="22121"/>
    <s v="AZUL"/>
    <n v="1.2"/>
    <n v="0"/>
    <n v="0"/>
    <n v="12.177"/>
    <n v="34.700000000000003"/>
    <n v="33"/>
    <n v="1051.5151515151515"/>
    <x v="6"/>
    <x v="0"/>
    <n v="29"/>
    <n v="4"/>
    <n v="123"/>
  </r>
  <r>
    <d v="2025-07-31T09:10:00"/>
    <s v="INYECTADO"/>
    <x v="8"/>
    <x v="163"/>
    <s v="ISABEL LINARIZ"/>
    <s v="VIRGEN"/>
    <s v="PP CLARIFICADO"/>
    <s v="."/>
    <x v="25"/>
    <s v="TAPA TAPERS REDONDOS CARAMELO-LILA"/>
    <n v="493"/>
    <n v="4"/>
    <n v="46.4"/>
    <s v="DIURNO"/>
    <n v="0"/>
    <n v="5"/>
    <n v="1157"/>
    <n v="22121"/>
    <s v="LILA"/>
    <n v="0.9"/>
    <n v="0"/>
    <n v="0"/>
    <n v="16.268999999999998"/>
    <n v="46.4"/>
    <n v="33"/>
    <n v="1406.060606060606"/>
    <x v="6"/>
    <x v="0"/>
    <n v="29"/>
    <n v="4"/>
    <n v="164.33333333333334"/>
  </r>
  <r>
    <d v="2025-07-31T09:10:00"/>
    <s v="INYECTADO"/>
    <x v="8"/>
    <x v="164"/>
    <s v="JUANA CRUCES"/>
    <s v="VIRGEN"/>
    <s v="PP CLARIFICADO"/>
    <s v="."/>
    <x v="24"/>
    <s v="TAPA TAPERS REDONDOS CARAMELO-LILA"/>
    <n v="34"/>
    <n v="1"/>
    <n v="3.2"/>
    <s v="DIURNO"/>
    <n v="0"/>
    <n v="6"/>
    <n v="1157"/>
    <n v="22122"/>
    <s v="LILA"/>
    <n v="10.199999999999999"/>
    <n v="0"/>
    <n v="0"/>
    <n v="1.1220000000000001"/>
    <n v="3.2"/>
    <n v="33"/>
    <n v="96.969696969696969"/>
    <x v="6"/>
    <x v="0"/>
    <n v="29"/>
    <n v="4"/>
    <n v="11.333333333333334"/>
  </r>
  <r>
    <d v="2025-07-31T09:10:00"/>
    <s v="INYECTADO"/>
    <x v="8"/>
    <x v="164"/>
    <s v="JUANA CRUCES"/>
    <s v="VIRGEN"/>
    <s v="PP CLARIFICADO"/>
    <s v="."/>
    <x v="24"/>
    <s v="TAPA TAPER REDONDO-AMARILLO"/>
    <n v="488"/>
    <n v="4"/>
    <n v="46.9"/>
    <s v="DIURNO"/>
    <n v="0"/>
    <n v="5"/>
    <n v="1157"/>
    <n v="22122"/>
    <s v="AMARILLO"/>
    <n v="11"/>
    <n v="0"/>
    <n v="0"/>
    <n v="16.103999999999999"/>
    <n v="46.9"/>
    <n v="33"/>
    <n v="1421.2121212121212"/>
    <x v="6"/>
    <x v="0"/>
    <n v="29"/>
    <n v="4"/>
    <n v="162.66666666666666"/>
  </r>
  <r>
    <d v="2025-07-31T09:10:00"/>
    <s v="INYECTADO"/>
    <x v="8"/>
    <x v="164"/>
    <s v="JUANA CRUCES"/>
    <s v="VIRGEN"/>
    <s v="PP CLARIFICADO"/>
    <s v="."/>
    <x v="24"/>
    <s v="TAPA TAPER REDONDO-VERDE"/>
    <n v="471"/>
    <n v="4"/>
    <n v="45.7"/>
    <s v="DIURNO"/>
    <n v="0"/>
    <n v="6"/>
    <n v="1157"/>
    <n v="22122"/>
    <s v="VERDE"/>
    <n v="3.2"/>
    <n v="0"/>
    <n v="0"/>
    <n v="15.542999999999999"/>
    <n v="45.7"/>
    <n v="33"/>
    <n v="1384.8484848484848"/>
    <x v="6"/>
    <x v="0"/>
    <n v="29"/>
    <n v="4"/>
    <n v="157"/>
  </r>
  <r>
    <d v="2025-07-31T09:10:00"/>
    <s v="INYECTADO"/>
    <x v="8"/>
    <x v="164"/>
    <s v="JUAN MANUEL PEREZ"/>
    <s v="VIRGEN"/>
    <s v="PP CLARIFICADO"/>
    <s v="."/>
    <x v="24"/>
    <s v="TAPA TAPER REDONDO-TURQUESA"/>
    <n v="495"/>
    <n v="5"/>
    <n v="48.9"/>
    <s v="DIURNO"/>
    <n v="0"/>
    <n v="6"/>
    <n v="1157"/>
    <n v="22123"/>
    <s v="TURQUESA"/>
    <n v="3"/>
    <n v="0"/>
    <n v="0"/>
    <n v="16.335000000000001"/>
    <n v="48.9"/>
    <n v="33"/>
    <n v="1481.8181818181818"/>
    <x v="6"/>
    <x v="0"/>
    <n v="29"/>
    <n v="4"/>
    <n v="165"/>
  </r>
  <r>
    <d v="2025-07-31T09:10:00"/>
    <s v="INYECTADO"/>
    <x v="8"/>
    <x v="164"/>
    <s v="JUAN MANUEL PEREZ"/>
    <s v="VIRGEN"/>
    <s v="PP CLARIFICADO"/>
    <s v="."/>
    <x v="24"/>
    <s v="TAPA TAPER REDONDO-AZUL"/>
    <n v="459"/>
    <n v="6"/>
    <n v="45"/>
    <s v="DIURNO"/>
    <n v="0"/>
    <n v="6"/>
    <n v="1157"/>
    <n v="22123"/>
    <s v="AZUL"/>
    <n v="3"/>
    <n v="0"/>
    <n v="0"/>
    <n v="15.147"/>
    <n v="45"/>
    <n v="33"/>
    <n v="1363.6363636363637"/>
    <x v="6"/>
    <x v="0"/>
    <n v="29"/>
    <n v="4"/>
    <n v="153"/>
  </r>
  <r>
    <d v="2025-07-31T09:10:00"/>
    <s v="INYECTADO"/>
    <x v="8"/>
    <x v="164"/>
    <s v="JUAN MANUEL PEREZ"/>
    <s v="VIRGEN"/>
    <s v="PP CLARIFICADO"/>
    <s v="."/>
    <x v="24"/>
    <s v="TAPA TAPER REDONDO-VERDE"/>
    <n v="40"/>
    <n v="1"/>
    <n v="3.9"/>
    <s v="DIURNO"/>
    <n v="0"/>
    <n v="1"/>
    <n v="1157"/>
    <n v="22123"/>
    <s v="VERDE"/>
    <n v="0"/>
    <n v="0"/>
    <n v="0"/>
    <n v="1.32"/>
    <n v="3.9"/>
    <n v="33"/>
    <n v="118.18181818181819"/>
    <x v="6"/>
    <x v="0"/>
    <n v="29"/>
    <n v="4"/>
    <n v="13.333333333333334"/>
  </r>
  <r>
    <d v="2025-07-31T09:10:00"/>
    <s v="INYECTADO"/>
    <x v="8"/>
    <x v="157"/>
    <s v="JUANA CRUCES"/>
    <s v="VIRGEN"/>
    <s v="PP CLARIFICADO"/>
    <s v="."/>
    <x v="24"/>
    <s v="TAPA TAPER REDONDO-AZUL"/>
    <n v="27"/>
    <n v="1"/>
    <n v="2.6"/>
    <s v="DIURNO"/>
    <n v="0"/>
    <n v="1"/>
    <n v="1157"/>
    <n v="22124"/>
    <s v="AZUL"/>
    <n v="9.1999999999999993"/>
    <n v="0"/>
    <n v="0"/>
    <n v="0.89100000000000001"/>
    <n v="2.6"/>
    <n v="33"/>
    <n v="78.787878787878782"/>
    <x v="6"/>
    <x v="0"/>
    <n v="30"/>
    <n v="4"/>
    <n v="9"/>
  </r>
  <r>
    <d v="2025-07-31T09:10:00"/>
    <s v="INYECTADO"/>
    <x v="8"/>
    <x v="157"/>
    <s v="JUANA CRUCES"/>
    <s v="VIRGEN"/>
    <s v="PP CLARIFICADO"/>
    <s v="."/>
    <x v="24"/>
    <s v="TAPA TAPER REDONDO-FUCSIA"/>
    <n v="506"/>
    <n v="5"/>
    <n v="49.6"/>
    <s v="DIURNO"/>
    <n v="0"/>
    <n v="7"/>
    <n v="1157"/>
    <n v="22124"/>
    <s v="FUCSIA"/>
    <n v="11.7"/>
    <n v="0"/>
    <n v="0"/>
    <n v="16.698"/>
    <n v="49.6"/>
    <n v="33"/>
    <n v="1503.030303030303"/>
    <x v="6"/>
    <x v="0"/>
    <n v="30"/>
    <n v="4"/>
    <n v="168.66666666666666"/>
  </r>
  <r>
    <d v="2025-07-31T09:10:00"/>
    <s v="INYECTADO"/>
    <x v="8"/>
    <x v="157"/>
    <s v="JUANA CRUCES"/>
    <s v="VIRGEN"/>
    <s v="PP CLARIFICADO"/>
    <s v="."/>
    <x v="24"/>
    <s v="TAPA TAPER REDONDO-ROJO"/>
    <n v="428"/>
    <n v="4"/>
    <n v="42"/>
    <s v="DIURNO"/>
    <n v="0"/>
    <n v="6"/>
    <n v="1157"/>
    <n v="22124"/>
    <s v="ROJO"/>
    <n v="5.0999999999999996"/>
    <n v="0"/>
    <n v="0"/>
    <n v="14.124000000000001"/>
    <n v="42"/>
    <n v="33"/>
    <n v="1272.7272727272727"/>
    <x v="6"/>
    <x v="0"/>
    <n v="30"/>
    <n v="4"/>
    <n v="142.66666666666666"/>
  </r>
  <r>
    <d v="2025-07-31T09:10:00"/>
    <s v="INYECTADO"/>
    <x v="8"/>
    <x v="158"/>
    <s v="ROSA MERINO"/>
    <s v="VIRGEN"/>
    <s v="PP CLARIFICADO"/>
    <s v="."/>
    <x v="37"/>
    <s v="TAPER 550ML TRANSP-TRANSPARENTE"/>
    <n v="214"/>
    <n v="2"/>
    <n v="16.7"/>
    <s v="DIURNO"/>
    <n v="0"/>
    <n v="2"/>
    <n v="1168"/>
    <n v="22126"/>
    <s v="TRANSPARENTE"/>
    <n v="14.8"/>
    <n v="0"/>
    <n v="0"/>
    <n v="7.9180000000000001"/>
    <n v="16.7"/>
    <n v="37"/>
    <n v="451.35135135135135"/>
    <x v="6"/>
    <x v="0"/>
    <n v="30"/>
    <n v="1"/>
    <n v="17.833333333333332"/>
  </r>
  <r>
    <d v="2025-07-31T09:10:00"/>
    <s v="INYECTADO"/>
    <x v="8"/>
    <x v="158"/>
    <s v="ISABEL LINARIZ"/>
    <s v="VIRGEN"/>
    <s v="PP CLARIFICADO"/>
    <s v="."/>
    <x v="37"/>
    <s v="TAPER 550ML TRANSP-TRANSPARENTE"/>
    <n v="2092"/>
    <n v="12"/>
    <n v="163.19999999999999"/>
    <s v="DIURNO"/>
    <n v="0"/>
    <n v="19"/>
    <n v="1168"/>
    <n v="22127"/>
    <s v="TRANSPARENTE"/>
    <n v="1.5"/>
    <n v="0"/>
    <n v="0"/>
    <n v="77.403999999999996"/>
    <n v="163.19999999999999"/>
    <n v="37"/>
    <n v="4410.8108108108108"/>
    <x v="6"/>
    <x v="0"/>
    <n v="30"/>
    <n v="1"/>
    <n v="174.33333333333334"/>
  </r>
  <r>
    <d v="2025-07-31T09:10:00"/>
    <s v="INYECTADO"/>
    <x v="8"/>
    <x v="159"/>
    <s v="JUANA CRUCES"/>
    <s v="VIRGEN"/>
    <s v="PP CLARIFICADO"/>
    <s v="."/>
    <x v="37"/>
    <s v="TAPER 550ML TRANSP-TRANSPARENTE"/>
    <n v="1890"/>
    <n v="11"/>
    <n v="145.6"/>
    <s v="DIURNO"/>
    <n v="0"/>
    <n v="16"/>
    <n v="1168"/>
    <n v="22128"/>
    <s v="TRANSPARENTE"/>
    <n v="2.2000000000000002"/>
    <n v="0"/>
    <n v="0"/>
    <n v="69.930000000000007"/>
    <n v="145.6"/>
    <n v="37"/>
    <n v="3935.135135135135"/>
    <x v="6"/>
    <x v="0"/>
    <n v="30"/>
    <n v="1"/>
    <n v="157.5"/>
  </r>
  <r>
    <d v="2025-07-31T09:10:00"/>
    <s v="INYECTADO"/>
    <x v="8"/>
    <x v="159"/>
    <s v="JOSDER GONZALEZ"/>
    <s v="VIRGEN"/>
    <s v="PP CLARIFICADO"/>
    <s v="."/>
    <x v="37"/>
    <s v="TAPER 550ML TRANSP-TRANSPARENTE"/>
    <n v="619"/>
    <n v="6"/>
    <n v="47.7"/>
    <s v="DIURNO"/>
    <n v="0"/>
    <n v="6"/>
    <n v="1168"/>
    <n v="22129"/>
    <s v="TRANSPARENTE"/>
    <n v="0"/>
    <n v="0"/>
    <n v="0"/>
    <n v="22.902999999999999"/>
    <n v="47.7"/>
    <n v="37"/>
    <n v="1289.1891891891892"/>
    <x v="6"/>
    <x v="0"/>
    <n v="30"/>
    <n v="1"/>
    <n v="51.583333333333336"/>
  </r>
  <r>
    <d v="2025-07-31T09:10:00"/>
    <s v="INYECTADO"/>
    <x v="8"/>
    <x v="159"/>
    <s v="JOSDER GONZALEZ"/>
    <s v="VIRGEN"/>
    <s v="PP CLARIFICADO"/>
    <s v="."/>
    <x v="36"/>
    <s v="TAPER 550ML CARAMELO-AMARILLO"/>
    <n v="319"/>
    <n v="3"/>
    <n v="24.6"/>
    <s v="DIURNO"/>
    <n v="0"/>
    <n v="3"/>
    <n v="1175"/>
    <n v="22129"/>
    <s v="AMARILLO"/>
    <n v="4.0999999999999996"/>
    <n v="0"/>
    <n v="0"/>
    <n v="12.122"/>
    <n v="24.6"/>
    <n v="38"/>
    <n v="647.36842105263156"/>
    <x v="6"/>
    <x v="0"/>
    <n v="30"/>
    <n v="2"/>
    <n v="53.166666666666664"/>
  </r>
  <r>
    <d v="2025-07-31T09:10:00"/>
    <s v="INYECTADO"/>
    <x v="8"/>
    <x v="159"/>
    <s v="JOSDER GONZALEZ"/>
    <s v="VIRGEN"/>
    <s v="PP CLARIFICADO"/>
    <s v="."/>
    <x v="36"/>
    <s v="TAPER 550ML CARAMELO-ROJO"/>
    <n v="831"/>
    <n v="8"/>
    <n v="64"/>
    <s v="DIURNO"/>
    <n v="0"/>
    <n v="7"/>
    <n v="1175"/>
    <n v="22129"/>
    <s v="ROJO"/>
    <n v="3.5"/>
    <n v="0"/>
    <n v="0"/>
    <n v="31.577999999999999"/>
    <n v="64"/>
    <n v="38"/>
    <n v="1684.2105263157894"/>
    <x v="6"/>
    <x v="0"/>
    <n v="30"/>
    <n v="2"/>
    <n v="138.5"/>
  </r>
  <r>
    <d v="2025-07-31T09:10:00"/>
    <s v="INYECTADO"/>
    <x v="8"/>
    <x v="153"/>
    <s v="JUANA CRUCES"/>
    <s v="VIRGEN"/>
    <s v="PP CLARIFICADO"/>
    <s v="."/>
    <x v="36"/>
    <s v="TAPER 550ML CARAMELO-ROJO"/>
    <n v="484"/>
    <n v="4"/>
    <n v="36.799999999999997"/>
    <s v="DIURNO"/>
    <n v="0"/>
    <n v="5"/>
    <n v="1175"/>
    <n v="22130"/>
    <s v="ROJO"/>
    <n v="12.2"/>
    <n v="0"/>
    <n v="0"/>
    <n v="18.391999999999999"/>
    <n v="36.799999999999997"/>
    <n v="38"/>
    <n v="968.42105263157896"/>
    <x v="6"/>
    <x v="0"/>
    <n v="30"/>
    <n v="2"/>
    <n v="80.666666666666671"/>
  </r>
  <r>
    <d v="2025-07-31T09:10:00"/>
    <s v="INYECTADO"/>
    <x v="8"/>
    <x v="153"/>
    <s v="JUANA CRUCES"/>
    <s v="VIRGEN"/>
    <s v="PP CLARIFICADO"/>
    <s v="."/>
    <x v="36"/>
    <s v="TAPER 550ML CARAMELO-FUCSIA"/>
    <n v="642"/>
    <n v="6"/>
    <n v="50.1"/>
    <s v="DIURNO"/>
    <n v="0"/>
    <n v="6"/>
    <n v="1175"/>
    <n v="22130"/>
    <s v="FUCSIA"/>
    <n v="3.4"/>
    <n v="0"/>
    <n v="0"/>
    <n v="24.396000000000001"/>
    <n v="50.1"/>
    <n v="38"/>
    <n v="1318.421052631579"/>
    <x v="6"/>
    <x v="0"/>
    <n v="30"/>
    <n v="2"/>
    <n v="107"/>
  </r>
  <r>
    <d v="2025-07-31T09:10:00"/>
    <s v="INYECTADO"/>
    <x v="8"/>
    <x v="153"/>
    <s v="JUANA CRUCES"/>
    <s v="VIRGEN"/>
    <s v="PP CLARIFICADO"/>
    <s v="."/>
    <x v="36"/>
    <s v="TAPER 550ML CARAMELO-LILA"/>
    <n v="484"/>
    <n v="4"/>
    <n v="37.799999999999997"/>
    <s v="DIURNO"/>
    <n v="0"/>
    <n v="4"/>
    <n v="1175"/>
    <n v="22130"/>
    <s v="LILA"/>
    <n v="5.5"/>
    <n v="0"/>
    <n v="0"/>
    <n v="18.391999999999999"/>
    <n v="37.799999999999997"/>
    <n v="38"/>
    <n v="994.73684210526312"/>
    <x v="6"/>
    <x v="0"/>
    <n v="30"/>
    <n v="2"/>
    <n v="80.666666666666671"/>
  </r>
  <r>
    <d v="2025-07-31T09:10:00"/>
    <s v="INYECTADO"/>
    <x v="8"/>
    <x v="153"/>
    <s v="ISABEL LINARIZ"/>
    <s v="VIRGEN"/>
    <s v="PP CLARIFICADO"/>
    <s v="."/>
    <x v="36"/>
    <s v="TAPER 550ML CARAMELO-AZUL"/>
    <n v="319"/>
    <n v="3"/>
    <n v="24.9"/>
    <s v="DIURNO"/>
    <n v="0"/>
    <n v="3"/>
    <n v="1175"/>
    <n v="22131"/>
    <s v="AZUL"/>
    <n v="4.9000000000000004"/>
    <n v="0"/>
    <n v="0"/>
    <n v="12.122"/>
    <n v="24.9"/>
    <n v="38"/>
    <n v="655.26315789473688"/>
    <x v="6"/>
    <x v="0"/>
    <n v="30"/>
    <n v="2"/>
    <n v="53.166666666666664"/>
  </r>
  <r>
    <d v="2025-07-31T09:10:00"/>
    <s v="INYECTADO"/>
    <x v="8"/>
    <x v="153"/>
    <s v="ISABEL LINARIZ"/>
    <s v="VIRGEN"/>
    <s v="PP CLARIFICADO"/>
    <s v="."/>
    <x v="36"/>
    <s v="TAPER 550ML CARAMELO-VERDE"/>
    <n v="323"/>
    <n v="3"/>
    <n v="25.2"/>
    <s v="DIURNO"/>
    <n v="0"/>
    <n v="3"/>
    <n v="1175"/>
    <n v="22131"/>
    <s v="VERDE"/>
    <n v="1.7"/>
    <n v="0"/>
    <n v="0"/>
    <n v="12.273999999999999"/>
    <n v="25.2"/>
    <n v="38"/>
    <n v="663.15789473684208"/>
    <x v="6"/>
    <x v="0"/>
    <n v="30"/>
    <n v="2"/>
    <n v="53.833333333333336"/>
  </r>
  <r>
    <d v="2025-07-31T09:10:00"/>
    <s v="INYECTADO"/>
    <x v="8"/>
    <x v="153"/>
    <s v="ISABEL LINARIZ"/>
    <s v="VIRGEN"/>
    <s v="PP CLARIFICADO"/>
    <s v="."/>
    <x v="61"/>
    <s v="TAPER 550ML SOLIDO-TURQUESA"/>
    <n v="638"/>
    <n v="6"/>
    <n v="49.8"/>
    <s v="DIURNO"/>
    <n v="0"/>
    <n v="6"/>
    <n v="1176"/>
    <n v="22131"/>
    <s v="TURQUESA"/>
    <n v="9.1999999999999993"/>
    <n v="0"/>
    <n v="0"/>
    <n v="24.244"/>
    <n v="49.8"/>
    <n v="38"/>
    <n v="1310.5263157894738"/>
    <x v="6"/>
    <x v="0"/>
    <n v="30"/>
    <n v="2"/>
    <n v="106.33333333333333"/>
  </r>
  <r>
    <d v="2025-07-31T09:10:00"/>
    <s v="INYECTADO"/>
    <x v="8"/>
    <x v="153"/>
    <s v="ISABEL LINARIZ"/>
    <s v="VIRGEN"/>
    <s v="PP CLARIFICADO"/>
    <s v="."/>
    <x v="61"/>
    <s v="TAPER 550ML SOLIDO-AMARILLO"/>
    <n v="382"/>
    <n v="3"/>
    <n v="29.8"/>
    <s v="DIURNO"/>
    <n v="0"/>
    <n v="4"/>
    <n v="1176"/>
    <n v="22131"/>
    <s v="AMARILLO"/>
    <n v="3.3"/>
    <n v="0"/>
    <n v="0"/>
    <n v="14.516"/>
    <n v="29.8"/>
    <n v="38"/>
    <n v="784.21052631578948"/>
    <x v="6"/>
    <x v="0"/>
    <n v="30"/>
    <n v="2"/>
    <n v="63.666666666666664"/>
  </r>
  <r>
    <d v="2025-07-31T09:10:00"/>
    <s v="INYECTADO"/>
    <x v="8"/>
    <x v="154"/>
    <s v="KARLA HUISA"/>
    <s v="VIRGEN"/>
    <s v="PP CLARIFICADO"/>
    <s v="."/>
    <x v="61"/>
    <s v="TAPER 550ML SOLIDO-AMARILLO"/>
    <n v="274"/>
    <n v="2"/>
    <n v="21.4"/>
    <s v="DIURNO"/>
    <n v="0"/>
    <n v="3"/>
    <n v="1176"/>
    <n v="22132"/>
    <s v="AZUL"/>
    <n v="4.9000000000000004"/>
    <n v="0"/>
    <n v="0"/>
    <n v="10.412000000000001"/>
    <n v="21.4"/>
    <n v="38"/>
    <n v="563.15789473684208"/>
    <x v="6"/>
    <x v="0"/>
    <n v="30"/>
    <n v="2"/>
    <n v="45.666666666666664"/>
  </r>
  <r>
    <d v="2025-07-31T09:10:00"/>
    <s v="INYECTADO"/>
    <x v="8"/>
    <x v="154"/>
    <s v="KARLA HUISA"/>
    <s v="VIRGEN"/>
    <s v="PP CLARIFICADO"/>
    <s v="."/>
    <x v="61"/>
    <s v="TAPER 550ML SOLIDO-FUCSIA"/>
    <n v="578"/>
    <n v="5"/>
    <n v="45.1"/>
    <s v="DIURNO"/>
    <n v="0"/>
    <n v="5"/>
    <n v="1176"/>
    <n v="22132"/>
    <s v="FUCSIA"/>
    <n v="10.3"/>
    <n v="0"/>
    <n v="0"/>
    <n v="21.963999999999999"/>
    <n v="45.1"/>
    <n v="38"/>
    <n v="1186.8421052631579"/>
    <x v="6"/>
    <x v="0"/>
    <n v="30"/>
    <n v="2"/>
    <n v="96.333333333333329"/>
  </r>
  <r>
    <d v="2025-07-31T09:10:00"/>
    <s v="INYECTADO"/>
    <x v="8"/>
    <x v="154"/>
    <s v="KARLA HUISA"/>
    <s v="VIRGEN"/>
    <s v="PP CLARIFICADO"/>
    <s v="."/>
    <x v="61"/>
    <s v="TAPER 550ML SOLIDO-VERDE"/>
    <n v="608"/>
    <n v="6"/>
    <n v="47.5"/>
    <s v="DIURNO"/>
    <n v="0"/>
    <n v="6"/>
    <n v="1176"/>
    <n v="22132"/>
    <s v="VERDE"/>
    <n v="7.6"/>
    <n v="0"/>
    <n v="0"/>
    <n v="23.103999999999999"/>
    <n v="47.5"/>
    <n v="38"/>
    <n v="1250"/>
    <x v="6"/>
    <x v="0"/>
    <n v="30"/>
    <n v="2"/>
    <n v="101.33333333333333"/>
  </r>
  <r>
    <d v="2025-07-31T09:10:00"/>
    <s v="INYECTADO"/>
    <x v="8"/>
    <x v="154"/>
    <s v="JUAN MANUEL PEREZ"/>
    <s v="VIRGEN"/>
    <s v="PP CLARIFICADO"/>
    <s v="."/>
    <x v="61"/>
    <s v="TAPER 550ML SOLIDO-VERDE"/>
    <n v="43"/>
    <n v="1"/>
    <n v="3.4"/>
    <s v="DIURNO"/>
    <n v="0"/>
    <n v="1"/>
    <n v="1176"/>
    <n v="22133"/>
    <s v="VERDE"/>
    <n v="3"/>
    <n v="0"/>
    <n v="0"/>
    <n v="1.6339999999999999"/>
    <n v="3.4"/>
    <n v="38"/>
    <n v="89.473684210526315"/>
    <x v="6"/>
    <x v="0"/>
    <n v="30"/>
    <n v="2"/>
    <n v="7.166666666666667"/>
  </r>
  <r>
    <d v="2025-07-31T09:10:00"/>
    <s v="INYECTADO"/>
    <x v="8"/>
    <x v="154"/>
    <s v="JUAN MANUEL PEREZ"/>
    <s v="VIRGEN"/>
    <s v="PP CLARIFICADO"/>
    <s v="."/>
    <x v="61"/>
    <s v="TAPER 550ML SOLIDO-AZUL"/>
    <n v="633"/>
    <n v="5"/>
    <n v="49.4"/>
    <s v="DIURNO"/>
    <n v="0"/>
    <n v="6"/>
    <n v="1176"/>
    <n v="22133"/>
    <s v="AZUL"/>
    <n v="4.2"/>
    <n v="0"/>
    <n v="0"/>
    <n v="24.053999999999998"/>
    <n v="49.4"/>
    <n v="38"/>
    <n v="1300"/>
    <x v="6"/>
    <x v="0"/>
    <n v="30"/>
    <n v="2"/>
    <n v="105.5"/>
  </r>
  <r>
    <d v="2025-07-31T09:10:00"/>
    <s v="INYECTADO"/>
    <x v="8"/>
    <x v="154"/>
    <s v="JUAN MANUEL PEREZ"/>
    <s v="VIRGEN"/>
    <s v="PP CLARIFICADO"/>
    <s v="."/>
    <x v="61"/>
    <s v="TAPER 550ML SOLIDO-ROJO"/>
    <n v="632"/>
    <n v="5"/>
    <n v="49.3"/>
    <s v="DIURNO"/>
    <n v="0"/>
    <n v="6"/>
    <n v="1176"/>
    <n v="22133"/>
    <s v="ROJO"/>
    <n v="4.2"/>
    <n v="0"/>
    <n v="0"/>
    <n v="24.015999999999998"/>
    <n v="49.3"/>
    <n v="38"/>
    <n v="1297.3684210526317"/>
    <x v="6"/>
    <x v="0"/>
    <n v="30"/>
    <n v="2"/>
    <n v="105.33333333333333"/>
  </r>
  <r>
    <d v="2025-07-31T09:10:00"/>
    <s v="INYECTADO"/>
    <x v="8"/>
    <x v="155"/>
    <s v="JUAN MANUEL PEREZ"/>
    <s v="VIRGEN"/>
    <s v="PP CLARIFICADO"/>
    <s v="."/>
    <x v="88"/>
    <s v="TAPER 2800ML TRANSP-TRANSPARENTE"/>
    <n v="618"/>
    <n v="5"/>
    <n v="81"/>
    <s v="DIURNO"/>
    <n v="0"/>
    <n v="10"/>
    <n v="1177"/>
    <n v="22134"/>
    <s v="TRANSPARENTE"/>
    <n v="30.6"/>
    <n v="0"/>
    <n v="0"/>
    <n v="82.811999999999998"/>
    <n v="81"/>
    <n v="134"/>
    <n v="604.47761194029852"/>
    <x v="6"/>
    <x v="0"/>
    <n v="30"/>
    <n v="1"/>
    <n v="51.5"/>
  </r>
  <r>
    <d v="2025-07-31T09:10:00"/>
    <s v="INYECTADO"/>
    <x v="8"/>
    <x v="156"/>
    <s v="SAID VILLAMIZAR"/>
    <s v="VIRGEN"/>
    <s v="PP CLARIFICADO"/>
    <s v="."/>
    <x v="88"/>
    <s v="TAPER 2800ML TRANSP-TRANSPARENTE"/>
    <n v="669"/>
    <n v="6"/>
    <n v="87.7"/>
    <s v="DIURNO"/>
    <n v="0"/>
    <n v="12"/>
    <n v="1177"/>
    <n v="22135"/>
    <s v="TRANSPARENTE"/>
    <n v="11.1"/>
    <n v="0"/>
    <n v="0"/>
    <n v="89.646000000000001"/>
    <n v="87.7"/>
    <n v="134"/>
    <n v="654.47761194029852"/>
    <x v="6"/>
    <x v="0"/>
    <n v="30"/>
    <n v="1"/>
    <n v="55.75"/>
  </r>
  <r>
    <d v="2025-07-31T09:10:00"/>
    <s v="INYECTADO"/>
    <x v="8"/>
    <x v="166"/>
    <s v="SEBASTIAN MURGA"/>
    <s v="VIRGEN"/>
    <s v="PP CLARIFICADO"/>
    <s v="."/>
    <x v="88"/>
    <s v="TAPER 2800ML TRANSP-TRANSPARENTE"/>
    <n v="1012"/>
    <n v="9"/>
    <n v="131.30000000000001"/>
    <s v="DIURNO"/>
    <n v="0"/>
    <n v="17"/>
    <n v="1177"/>
    <n v="22136"/>
    <s v="TRANSPARENTE"/>
    <n v="0.5"/>
    <n v="0"/>
    <n v="0"/>
    <n v="135.608"/>
    <n v="131.30000000000001"/>
    <n v="134"/>
    <n v="979.85074626865674"/>
    <x v="6"/>
    <x v="0"/>
    <n v="31"/>
    <n v="1"/>
    <n v="84.333333333333329"/>
  </r>
  <r>
    <d v="2025-07-31T09:10:00"/>
    <s v="INYECTADO"/>
    <x v="8"/>
    <x v="166"/>
    <s v="SEBASTIAN MURGA"/>
    <s v="VIRGEN"/>
    <s v="PP CLARIFICADO"/>
    <s v="."/>
    <x v="87"/>
    <s v="TAPER ALEMAN 2800ML CARAMELO-AMARILLO"/>
    <n v="179"/>
    <n v="2"/>
    <n v="23.5"/>
    <s v="DIURNO"/>
    <n v="0"/>
    <n v="3"/>
    <n v="1178"/>
    <n v="22136"/>
    <s v="AMARILLO"/>
    <n v="3.4"/>
    <n v="0"/>
    <n v="0"/>
    <e v="#N/A"/>
    <n v="23.5"/>
    <e v="#N/A"/>
    <n v="0"/>
    <x v="6"/>
    <x v="0"/>
    <n v="31"/>
    <e v="#N/A"/>
    <e v="#N/A"/>
  </r>
  <r>
    <d v="2025-07-31T09:10:00"/>
    <s v="INYECTADO"/>
    <x v="8"/>
    <x v="167"/>
    <s v="SEBASTIAN MURGA"/>
    <s v="VIRGEN"/>
    <s v="PP CLARIFICADO"/>
    <s v="."/>
    <x v="87"/>
    <s v="TAPER ALEMAN 2800ML CARAMELO-AMARILLO"/>
    <n v="174"/>
    <n v="2"/>
    <n v="22.9"/>
    <s v="DIURNO"/>
    <n v="0"/>
    <n v="3"/>
    <n v="1178"/>
    <n v="22137"/>
    <s v="AMARILLO"/>
    <n v="1.6"/>
    <n v="0"/>
    <n v="0"/>
    <e v="#N/A"/>
    <n v="22.9"/>
    <e v="#N/A"/>
    <n v="0"/>
    <x v="6"/>
    <x v="0"/>
    <n v="31"/>
    <e v="#N/A"/>
    <e v="#N/A"/>
  </r>
  <r>
    <d v="2025-07-31T09:10:00"/>
    <s v="INYECTADO"/>
    <x v="8"/>
    <x v="167"/>
    <s v="SEBASTIAN MURGA"/>
    <s v="VIRGEN"/>
    <s v="PP CLARIFICADO"/>
    <s v="."/>
    <x v="87"/>
    <s v="TAPER ALEMAN 2800ML CARAMELO-VERDE"/>
    <n v="361"/>
    <n v="3"/>
    <n v="47.3"/>
    <s v="DIURNO"/>
    <n v="0"/>
    <n v="6"/>
    <n v="1178"/>
    <n v="22137"/>
    <s v="VERDE"/>
    <n v="1.8"/>
    <n v="0"/>
    <n v="0"/>
    <e v="#N/A"/>
    <n v="47.3"/>
    <e v="#N/A"/>
    <n v="0"/>
    <x v="6"/>
    <x v="0"/>
    <n v="31"/>
    <e v="#N/A"/>
    <e v="#N/A"/>
  </r>
  <r>
    <d v="2025-07-31T09:10:00"/>
    <s v="INYECTADO"/>
    <x v="8"/>
    <x v="167"/>
    <s v="SEBASTIAN MURGA"/>
    <s v="VIRGEN"/>
    <s v="PP CLARIFICADO"/>
    <s v="."/>
    <x v="87"/>
    <s v="TAPER ALEMAN 2800ML CARAMELO-FUCSIA"/>
    <n v="354"/>
    <n v="3"/>
    <n v="46.5"/>
    <s v="DIURNO"/>
    <n v="0"/>
    <n v="6"/>
    <n v="1178"/>
    <n v="22137"/>
    <s v="FUCSIA"/>
    <n v="2.9"/>
    <n v="0"/>
    <n v="0"/>
    <e v="#N/A"/>
    <n v="46.5"/>
    <e v="#N/A"/>
    <n v="0"/>
    <x v="6"/>
    <x v="0"/>
    <n v="31"/>
    <e v="#N/A"/>
    <e v="#N/A"/>
  </r>
  <r>
    <d v="2025-07-31T09:10:00"/>
    <s v="INYECTADO"/>
    <x v="8"/>
    <x v="167"/>
    <s v="SEBASTIAN MURGA"/>
    <s v="VIRGEN"/>
    <s v="PP CLARIFICADO"/>
    <s v="."/>
    <x v="87"/>
    <s v="TAPER ALEMAN 2800ML CARAMELO-AZUL"/>
    <n v="301"/>
    <n v="3"/>
    <n v="39.5"/>
    <s v="DIURNO"/>
    <n v="0"/>
    <n v="5"/>
    <n v="1178"/>
    <n v="22137"/>
    <s v="AZUL"/>
    <n v="2.9"/>
    <n v="0"/>
    <n v="0"/>
    <e v="#N/A"/>
    <n v="39.5"/>
    <e v="#N/A"/>
    <n v="0"/>
    <x v="6"/>
    <x v="0"/>
    <n v="31"/>
    <e v="#N/A"/>
    <e v="#N/A"/>
  </r>
  <r>
    <d v="2025-07-31T09:10:00"/>
    <s v="INYECTADO"/>
    <x v="8"/>
    <x v="168"/>
    <s v="JUANA CRUCES"/>
    <s v="VIRGEN"/>
    <s v="PP CLARIFICADO"/>
    <s v="."/>
    <x v="87"/>
    <s v="TAPER ALEMAN 2800ML CARAMELO-AZUL"/>
    <n v="29"/>
    <n v="1"/>
    <n v="3.8"/>
    <s v="DIURNO"/>
    <n v="0"/>
    <n v="5"/>
    <n v="1178"/>
    <n v="22138"/>
    <s v="AZUL"/>
    <n v="2.9"/>
    <n v="0"/>
    <n v="0"/>
    <e v="#N/A"/>
    <n v="3.8"/>
    <e v="#N/A"/>
    <n v="0"/>
    <x v="6"/>
    <x v="0"/>
    <n v="31"/>
    <e v="#N/A"/>
    <e v="#N/A"/>
  </r>
  <r>
    <d v="2025-07-31T09:10:00"/>
    <s v="INYECTADO"/>
    <x v="8"/>
    <x v="168"/>
    <s v="JUANA CRUCES"/>
    <s v="VIRGEN"/>
    <s v="PP CLARIFICADO"/>
    <s v="."/>
    <x v="87"/>
    <s v="TAPER ALEMAN 2800ML CARAMELO-LILA"/>
    <n v="375"/>
    <n v="3"/>
    <n v="49.5"/>
    <s v="DIURNO"/>
    <n v="0"/>
    <n v="7"/>
    <n v="1178"/>
    <n v="22138"/>
    <s v="LILA"/>
    <n v="6.7"/>
    <n v="0"/>
    <n v="0"/>
    <e v="#N/A"/>
    <n v="49.5"/>
    <e v="#N/A"/>
    <n v="0"/>
    <x v="6"/>
    <x v="0"/>
    <n v="31"/>
    <e v="#N/A"/>
    <e v="#N/A"/>
  </r>
  <r>
    <d v="2025-07-31T09:10:00"/>
    <s v="INYECTADO"/>
    <x v="8"/>
    <x v="168"/>
    <s v="JUANA CRUCES"/>
    <s v="VIRGEN"/>
    <s v="PP CLARIFICADO"/>
    <s v="."/>
    <x v="88"/>
    <s v="TAPER 2800ML TRANSP-TRANSPARENTE"/>
    <n v="909"/>
    <n v="6"/>
    <n v="120.1"/>
    <s v="DIURNO"/>
    <n v="0"/>
    <n v="15"/>
    <n v="1178"/>
    <n v="22138"/>
    <s v="TRANSPARENTE"/>
    <n v="0"/>
    <n v="0"/>
    <n v="0"/>
    <n v="121.806"/>
    <n v="120.1"/>
    <n v="134"/>
    <n v="896.26865671641792"/>
    <x v="6"/>
    <x v="0"/>
    <n v="31"/>
    <n v="1"/>
    <n v="75.75"/>
  </r>
  <r>
    <d v="2025-07-31T09:10:00"/>
    <s v="INYECTADO"/>
    <x v="8"/>
    <x v="168"/>
    <s v="GABRIEL REQUENA"/>
    <s v="VIRGEN"/>
    <s v="PP CLARIFICADO"/>
    <s v="."/>
    <x v="87"/>
    <s v="TAPER ALEMAN 2800ML CARAMELO-ROJO"/>
    <n v="346"/>
    <n v="3"/>
    <n v="45.8"/>
    <s v="DIURNO"/>
    <n v="0"/>
    <n v="6"/>
    <n v="1178"/>
    <n v="22139"/>
    <s v="ROJO"/>
    <n v="4.0999999999999996"/>
    <n v="0"/>
    <n v="0"/>
    <e v="#N/A"/>
    <n v="45.8"/>
    <e v="#N/A"/>
    <n v="0"/>
    <x v="6"/>
    <x v="0"/>
    <n v="3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n v="0"/>
    <n v="0"/>
    <e v="#N/A"/>
    <s v=""/>
    <e v="#N/A"/>
    <n v="0"/>
    <x v="2"/>
    <x v="1"/>
    <n v="1"/>
    <e v="#N/A"/>
    <e v="#N/A"/>
  </r>
  <r>
    <m/>
    <m/>
    <x v="13"/>
    <x v="55"/>
    <m/>
    <m/>
    <m/>
    <m/>
    <x v="73"/>
    <m/>
    <m/>
    <m/>
    <m/>
    <m/>
    <m/>
    <m/>
    <m/>
    <m/>
    <m/>
    <m/>
    <m/>
    <m/>
    <m/>
    <m/>
    <m/>
    <m/>
    <x v="7"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4">
  <r>
    <d v="2025-01-06T15:38:00"/>
    <s v="INYECTADO"/>
    <x v="0"/>
    <x v="0"/>
    <s v="CRISALIDA ZAPATA"/>
    <s v="SEGUNDA"/>
    <s v="."/>
    <s v="MIXTO"/>
    <s v="ASAS DE BALDE PLAYERO"/>
    <s v="ASA DE BALDE PLAYERO-FUCSIA"/>
    <n v="468"/>
    <n v="4"/>
    <n v="20.7"/>
    <x v="0"/>
    <n v="0"/>
    <n v="1"/>
    <n v="956"/>
    <n v="20709"/>
    <s v="FUCSIA"/>
    <n v="9.3000000000000007"/>
    <n v="0"/>
    <n v="0"/>
    <n v="4.68"/>
    <n v="20.7"/>
    <n v="10"/>
    <n v="2070"/>
    <x v="0"/>
    <x v="0"/>
    <n v="1"/>
    <n v="4"/>
    <n v="156"/>
  </r>
  <r>
    <d v="2025-01-06T15:38:00"/>
    <s v="INYECTADO"/>
    <x v="0"/>
    <x v="0"/>
    <s v="CRISALIDA ZAPATA"/>
    <s v="SEGUNDA"/>
    <s v="."/>
    <s v="MIXTO"/>
    <s v="ASAS DE BALDE PLAYERO"/>
    <s v="ASA DE BALDE PLAYERO-ROJO"/>
    <n v="520"/>
    <n v="4"/>
    <n v="21.6"/>
    <x v="0"/>
    <n v="0"/>
    <n v="1"/>
    <n v="956"/>
    <n v="20709"/>
    <s v="ROJO"/>
    <n v="5"/>
    <n v="0"/>
    <n v="0"/>
    <n v="5.2"/>
    <n v="21.6"/>
    <n v="10"/>
    <n v="2160"/>
    <x v="0"/>
    <x v="0"/>
    <n v="1"/>
    <n v="4"/>
    <n v="173.33333333333334"/>
  </r>
  <r>
    <d v="2025-01-06T15:38:00"/>
    <s v="INYECTADO"/>
    <x v="0"/>
    <x v="0"/>
    <s v="CRISALIDA ZAPATA"/>
    <s v="SEGUNDA"/>
    <s v="."/>
    <s v="MIXTO"/>
    <s v="ASAS DE BALDE PLAYERO"/>
    <s v="ASA DE BALDE PLAYERO-LILA"/>
    <n v="359"/>
    <n v="3"/>
    <n v="14.9"/>
    <x v="0"/>
    <n v="0"/>
    <n v="1"/>
    <n v="956"/>
    <n v="20709"/>
    <s v="LILA"/>
    <n v="3"/>
    <n v="0"/>
    <n v="0"/>
    <n v="3.59"/>
    <n v="14.9"/>
    <n v="10"/>
    <n v="1490"/>
    <x v="0"/>
    <x v="0"/>
    <n v="1"/>
    <n v="4"/>
    <n v="119.66666666666667"/>
  </r>
  <r>
    <d v="2025-01-06T15:38:00"/>
    <s v="INYECTADO"/>
    <x v="0"/>
    <x v="1"/>
    <s v="JOSDER GONZALEZ"/>
    <s v="VIRGEN"/>
    <s v="PP CLARIFICADO"/>
    <s v="."/>
    <s v="ASAS DE BALDE PLAYERO"/>
    <s v="ASA DE BALDE PLAYERO-AMARILLO"/>
    <n v="549"/>
    <n v="4"/>
    <n v="22.8"/>
    <x v="0"/>
    <n v="0"/>
    <n v="2"/>
    <n v="956"/>
    <n v="20710"/>
    <s v="AMARILLO"/>
    <n v="11.7"/>
    <n v="0"/>
    <n v="0"/>
    <n v="5.49"/>
    <n v="22.8"/>
    <n v="10"/>
    <n v="2280"/>
    <x v="0"/>
    <x v="0"/>
    <n v="1"/>
    <n v="4"/>
    <n v="183"/>
  </r>
  <r>
    <d v="2025-01-06T15:38:00"/>
    <s v="INYECTADO"/>
    <x v="0"/>
    <x v="1"/>
    <s v="JOSDER GONZALEZ"/>
    <s v="SEGUNDA"/>
    <s v="."/>
    <s v="MIXTO"/>
    <s v="ASAS DE BALDE PLAYERO"/>
    <s v="ASA DE BALDE PLAYERO-AZUL"/>
    <n v="450"/>
    <n v="4"/>
    <n v="18.7"/>
    <x v="0"/>
    <n v="0"/>
    <n v="1"/>
    <n v="956"/>
    <n v="20710"/>
    <s v="AZUL"/>
    <n v="6.7"/>
    <n v="0"/>
    <n v="0"/>
    <n v="4.5"/>
    <n v="18.7"/>
    <n v="10"/>
    <n v="1870"/>
    <x v="0"/>
    <x v="0"/>
    <n v="1"/>
    <n v="4"/>
    <n v="150"/>
  </r>
  <r>
    <d v="2025-01-06T15:38:00"/>
    <s v="INYECTADO"/>
    <x v="0"/>
    <x v="1"/>
    <s v="JOSDER GONZALEZ"/>
    <s v="SEGUNDA"/>
    <s v="."/>
    <s v="MIXTO"/>
    <s v="ASAS DE BALDE PLAYERO"/>
    <s v="ASA DE BALDE PLAYERO-VERDE"/>
    <n v="183"/>
    <n v="2"/>
    <n v="7.6"/>
    <x v="0"/>
    <n v="0"/>
    <n v="1"/>
    <n v="956"/>
    <n v="20710"/>
    <s v="VERDE"/>
    <n v="3"/>
    <n v="0"/>
    <n v="0"/>
    <n v="1.83"/>
    <n v="7.6"/>
    <n v="10"/>
    <n v="760"/>
    <x v="0"/>
    <x v="0"/>
    <n v="1"/>
    <n v="4"/>
    <n v="61"/>
  </r>
  <r>
    <d v="2025-01-06T15:38:00"/>
    <s v="INYECTADO"/>
    <x v="0"/>
    <x v="2"/>
    <s v="CRISALIDA ZAPATA"/>
    <s v="SEGUNDA"/>
    <s v="."/>
    <s v="MIXTO"/>
    <s v="ASAS DE BALDE PLAYERO"/>
    <s v="ASA DE BALDE PLAYERO-VERDE"/>
    <n v="262"/>
    <n v="3"/>
    <n v="10.9"/>
    <x v="0"/>
    <n v="0"/>
    <n v="1"/>
    <n v="956"/>
    <n v="20711"/>
    <s v="VERDE"/>
    <n v="4.5"/>
    <n v="0"/>
    <n v="0"/>
    <n v="2.62"/>
    <n v="10.9"/>
    <n v="10"/>
    <n v="1090"/>
    <x v="0"/>
    <x v="0"/>
    <n v="1"/>
    <n v="4"/>
    <n v="87.333333333333329"/>
  </r>
  <r>
    <d v="2025-01-06T15:38:00"/>
    <s v="INYECTADO"/>
    <x v="0"/>
    <x v="2"/>
    <s v="CRISALIDA ZAPATA"/>
    <s v="VIRGEN"/>
    <s v="PP CLARIFICADO"/>
    <s v="."/>
    <s v="ASAS DE BALDE PLAYERO"/>
    <s v="ASA DE BALDE PLAYERO-AMARILLO"/>
    <n v="506"/>
    <n v="4"/>
    <n v="20.5"/>
    <x v="0"/>
    <n v="0"/>
    <n v="1"/>
    <n v="956"/>
    <n v="20711"/>
    <s v="AMARILLO"/>
    <n v="9.6"/>
    <n v="0"/>
    <n v="0"/>
    <n v="5.0599999999999996"/>
    <n v="20.5"/>
    <n v="10"/>
    <n v="2050"/>
    <x v="0"/>
    <x v="0"/>
    <n v="1"/>
    <n v="4"/>
    <n v="168.66666666666666"/>
  </r>
  <r>
    <d v="2025-01-06T15:38:00"/>
    <s v="INYECTADO"/>
    <x v="0"/>
    <x v="2"/>
    <s v="CRISALIDA ZAPATA"/>
    <s v="SEGUNDA"/>
    <s v="."/>
    <s v="MIXTO"/>
    <s v="ASAS DE BALDE PLAYERO"/>
    <s v="ASA DE BALDE PLAYERO-FUCSIA"/>
    <n v="255"/>
    <n v="3"/>
    <n v="10.6"/>
    <x v="0"/>
    <n v="0"/>
    <n v="1"/>
    <n v="956"/>
    <n v="20711"/>
    <s v="FUCSIA"/>
    <n v="3.5"/>
    <n v="0"/>
    <n v="0"/>
    <n v="2.5499999999999998"/>
    <n v="10.6"/>
    <n v="10"/>
    <n v="1060"/>
    <x v="0"/>
    <x v="0"/>
    <n v="1"/>
    <n v="4"/>
    <n v="85"/>
  </r>
  <r>
    <d v="2025-01-06T15:38:00"/>
    <s v="INYECTADO"/>
    <x v="1"/>
    <x v="0"/>
    <s v="JOSDER GONZALEZ"/>
    <s v="VIRGEN"/>
    <s v="PP CLARIFICADO"/>
    <s v="."/>
    <s v="PALA Y RASTRILLO ROMANO"/>
    <s v="PALA RASTRILLO ROMANO-AMARILLO"/>
    <n v="438"/>
    <n v="4"/>
    <n v="32"/>
    <x v="0"/>
    <n v="0"/>
    <n v="5"/>
    <n v="953"/>
    <n v="20633"/>
    <s v="AMARILLO"/>
    <n v="8.1"/>
    <n v="0"/>
    <n v="0"/>
    <n v="16.643999999999998"/>
    <n v="32"/>
    <n v="38"/>
    <n v="842.10526315789468"/>
    <x v="0"/>
    <x v="0"/>
    <n v="1"/>
    <n v="2"/>
    <n v="73"/>
  </r>
  <r>
    <d v="2025-01-06T15:38:00"/>
    <s v="INYECTADO"/>
    <x v="1"/>
    <x v="0"/>
    <s v="JOSDER GONZALEZ"/>
    <s v="SEGUNDA"/>
    <s v="."/>
    <s v="PP INY MOLIDO"/>
    <s v="PALA Y RASTRILLO ROMANO"/>
    <s v="PALA RASTRILLO ROMANO-VERDE"/>
    <n v="643"/>
    <n v="6"/>
    <n v="47"/>
    <x v="0"/>
    <n v="0"/>
    <n v="7"/>
    <n v="953"/>
    <n v="20633"/>
    <s v="VERDE"/>
    <n v="5.5"/>
    <n v="0"/>
    <n v="0"/>
    <n v="24.434000000000001"/>
    <n v="47"/>
    <n v="38"/>
    <n v="1236.8421052631579"/>
    <x v="0"/>
    <x v="0"/>
    <n v="1"/>
    <n v="2"/>
    <n v="107.16666666666667"/>
  </r>
  <r>
    <d v="2025-01-06T15:38:00"/>
    <s v="INYECTADO"/>
    <x v="1"/>
    <x v="1"/>
    <s v="CRISALIDA ZAPATA"/>
    <s v="SEGUNDA"/>
    <s v="."/>
    <s v="PP INY MOLIDO"/>
    <s v="PALA Y RASTRILLO ROMANO"/>
    <s v="PALA RASTRILLO ROMANO-FUCSIA"/>
    <n v="314"/>
    <n v="2"/>
    <n v="23.1"/>
    <x v="0"/>
    <n v="0"/>
    <n v="4"/>
    <n v="953"/>
    <n v="20634"/>
    <s v="FUCSIA"/>
    <n v="4.0999999999999996"/>
    <n v="0"/>
    <n v="0"/>
    <n v="11.932"/>
    <n v="23.1"/>
    <n v="38"/>
    <n v="607.89473684210532"/>
    <x v="0"/>
    <x v="0"/>
    <n v="1"/>
    <n v="2"/>
    <n v="52.333333333333336"/>
  </r>
  <r>
    <d v="2025-01-06T15:38:00"/>
    <s v="INYECTADO"/>
    <x v="1"/>
    <x v="1"/>
    <s v="CRISALIDA ZAPATA"/>
    <s v="SEGUNDA"/>
    <s v="."/>
    <s v="PP INY MOLIDO"/>
    <s v="PALA Y RASTRILLO ROMANO"/>
    <s v="PALA RASTRILLO ROMANO-LILA"/>
    <n v="291"/>
    <n v="3"/>
    <n v="21.4"/>
    <x v="0"/>
    <n v="0"/>
    <n v="4"/>
    <n v="953"/>
    <n v="20634"/>
    <s v="LILA"/>
    <n v="14.8"/>
    <n v="0"/>
    <n v="0"/>
    <n v="11.058"/>
    <n v="21.4"/>
    <n v="38"/>
    <n v="563.15789473684208"/>
    <x v="0"/>
    <x v="0"/>
    <n v="1"/>
    <n v="2"/>
    <n v="48.5"/>
  </r>
  <r>
    <d v="2025-01-06T15:38:00"/>
    <s v="INYECTADO"/>
    <x v="1"/>
    <x v="1"/>
    <s v="CRISALIDA ZAPATA"/>
    <s v="SEGUNDA"/>
    <s v="."/>
    <s v="PP INY MOLIDO"/>
    <s v="PALA Y RASTRILLO ROMANO"/>
    <s v="PALA RASTRILLO ROMANO-AZUL"/>
    <n v="304"/>
    <n v="4"/>
    <n v="22.4"/>
    <x v="0"/>
    <n v="0"/>
    <n v="4"/>
    <n v="953"/>
    <n v="20634"/>
    <s v="AZUL"/>
    <n v="1.5"/>
    <n v="0"/>
    <n v="0"/>
    <n v="11.552"/>
    <n v="22.4"/>
    <n v="38"/>
    <n v="589.47368421052636"/>
    <x v="0"/>
    <x v="0"/>
    <n v="1"/>
    <n v="2"/>
    <n v="50.666666666666664"/>
  </r>
  <r>
    <d v="2025-01-06T15:38:00"/>
    <s v="INYECTADO"/>
    <x v="1"/>
    <x v="1"/>
    <s v="JUAN MANUEL PEREZ"/>
    <s v="SEGUNDA"/>
    <s v="."/>
    <s v="PP INY MOLIDO"/>
    <s v="PALA Y RASTRILLO ROMANO"/>
    <s v="PALA RASTRILLO ROMANO-AZUL"/>
    <n v="223"/>
    <n v="2"/>
    <n v="16.399999999999999"/>
    <x v="1"/>
    <n v="0"/>
    <n v="2"/>
    <n v="953"/>
    <n v="20635"/>
    <s v="AZUL"/>
    <n v="3.2"/>
    <n v="0"/>
    <n v="0"/>
    <n v="8.4740000000000002"/>
    <n v="16.399999999999999"/>
    <n v="38"/>
    <n v="431.57894736842104"/>
    <x v="0"/>
    <x v="0"/>
    <n v="1"/>
    <n v="2"/>
    <n v="37.166666666666664"/>
  </r>
  <r>
    <d v="2025-01-06T15:38:00"/>
    <s v="INYECTADO"/>
    <x v="1"/>
    <x v="1"/>
    <s v="JUAN MANUEL PEREZ"/>
    <s v="SEGUNDA"/>
    <s v="."/>
    <s v="PP INY MOLIDO"/>
    <s v="PALA Y RASTRILLO ROMANO"/>
    <s v="PALA RASTRILLO ROMANO-ROJO"/>
    <n v="421"/>
    <n v="4"/>
    <n v="31"/>
    <x v="1"/>
    <n v="0"/>
    <n v="4"/>
    <n v="953"/>
    <n v="20635"/>
    <s v="ROJO"/>
    <n v="5.2"/>
    <n v="0"/>
    <n v="0"/>
    <n v="15.997999999999999"/>
    <n v="31"/>
    <n v="38"/>
    <n v="815.78947368421052"/>
    <x v="0"/>
    <x v="0"/>
    <n v="1"/>
    <n v="2"/>
    <n v="70.166666666666671"/>
  </r>
  <r>
    <d v="2025-01-06T15:38:00"/>
    <s v="INYECTADO"/>
    <x v="1"/>
    <x v="1"/>
    <s v="JUAN MANUEL PEREZ"/>
    <s v="VIRGEN"/>
    <s v="PP CLARIFICADO"/>
    <s v="."/>
    <s v="PALA Y RASTRILLO ROMANO"/>
    <s v="PALA RASTRILLO ROMANO-AMARILLO"/>
    <n v="397"/>
    <n v="4"/>
    <n v="29.2"/>
    <x v="1"/>
    <n v="0"/>
    <n v="4"/>
    <n v="953"/>
    <n v="20635"/>
    <s v="AMARILLO"/>
    <n v="3.3"/>
    <n v="0"/>
    <n v="0"/>
    <n v="15.086"/>
    <n v="29.2"/>
    <n v="38"/>
    <n v="768.42105263157896"/>
    <x v="0"/>
    <x v="0"/>
    <n v="1"/>
    <n v="2"/>
    <n v="66.166666666666671"/>
  </r>
  <r>
    <d v="2025-01-06T15:38:00"/>
    <s v="INYECTADO"/>
    <x v="1"/>
    <x v="1"/>
    <s v="JUAN MANUEL PEREZ"/>
    <s v="SEGUNDA"/>
    <s v="."/>
    <s v="PP INY MOLIDO"/>
    <s v="PALA Y RASTRILLO ROMANO"/>
    <s v="PALA RASTRILLO ROMANO-VERDE"/>
    <n v="210"/>
    <n v="2"/>
    <n v="15.5"/>
    <x v="1"/>
    <n v="0"/>
    <n v="2"/>
    <n v="953"/>
    <n v="20635"/>
    <s v="VERDE"/>
    <n v="0"/>
    <n v="0"/>
    <n v="0"/>
    <n v="7.98"/>
    <n v="15.5"/>
    <n v="38"/>
    <n v="407.89473684210526"/>
    <x v="0"/>
    <x v="0"/>
    <n v="1"/>
    <n v="2"/>
    <n v="35"/>
  </r>
  <r>
    <d v="2025-01-06T15:38:00"/>
    <s v="INYECTADO"/>
    <x v="1"/>
    <x v="2"/>
    <s v="ALEXANDER MORENO"/>
    <s v="SEGUNDA"/>
    <s v="."/>
    <s v="PP INY MOLIDO"/>
    <s v="PALA Y RASTRILLO ROMANO"/>
    <s v="PALA RASTRILLO ROMANO-LILA"/>
    <n v="393"/>
    <n v="6"/>
    <n v="28.7"/>
    <x v="0"/>
    <n v="0"/>
    <n v="5"/>
    <n v="953"/>
    <n v="20636"/>
    <s v="LILA"/>
    <n v="7.8"/>
    <n v="0"/>
    <n v="0"/>
    <n v="14.933999999999999"/>
    <n v="28.7"/>
    <n v="38"/>
    <n v="755.26315789473688"/>
    <x v="0"/>
    <x v="0"/>
    <n v="1"/>
    <n v="2"/>
    <n v="65.5"/>
  </r>
  <r>
    <d v="2025-01-06T15:38:00"/>
    <s v="INYECTADO"/>
    <x v="1"/>
    <x v="2"/>
    <s v="ALEXANDER MORENO"/>
    <s v="SEGUNDA"/>
    <s v="."/>
    <s v="PP INY MOLIDO"/>
    <s v="PALA Y RASTRILLO ROMANO"/>
    <s v="PALA RASTRILLO ROMANO-ROJO"/>
    <n v="454"/>
    <n v="4"/>
    <n v="33.200000000000003"/>
    <x v="0"/>
    <n v="0"/>
    <n v="6"/>
    <n v="953"/>
    <n v="20636"/>
    <s v="ROJO"/>
    <n v="5.4"/>
    <n v="0"/>
    <n v="0"/>
    <n v="17.251999999999999"/>
    <n v="33.200000000000003"/>
    <n v="38"/>
    <n v="873.68421052631584"/>
    <x v="0"/>
    <x v="0"/>
    <n v="1"/>
    <n v="2"/>
    <n v="75.666666666666671"/>
  </r>
  <r>
    <d v="2025-01-06T15:38:00"/>
    <s v="INYECTADO"/>
    <x v="1"/>
    <x v="2"/>
    <s v="WALTER GUEVARA"/>
    <s v="SEGUNDA"/>
    <s v="."/>
    <s v="PP INY MOLIDO"/>
    <s v="PALA Y RASTRILLO ROMANO"/>
    <s v="PALA RASTRILLO ROMANO-ROJO"/>
    <n v="338"/>
    <n v="4"/>
    <n v="24.9"/>
    <x v="1"/>
    <n v="0"/>
    <n v="4"/>
    <n v="953"/>
    <n v="20637"/>
    <s v="ROJO"/>
    <n v="3.9"/>
    <n v="0"/>
    <n v="0"/>
    <n v="12.843999999999999"/>
    <n v="24.9"/>
    <n v="38"/>
    <n v="655.26315789473688"/>
    <x v="0"/>
    <x v="0"/>
    <n v="1"/>
    <n v="2"/>
    <n v="56.333333333333336"/>
  </r>
  <r>
    <d v="2025-01-06T15:38:00"/>
    <s v="INYECTADO"/>
    <x v="1"/>
    <x v="2"/>
    <s v="WALTER GUEVARA"/>
    <s v="SEGUNDA"/>
    <s v="."/>
    <s v="PP INY MOLIDO"/>
    <s v="PALA Y RASTRILLO ROMANO"/>
    <s v="PALA RASTRILLO ROMANO-FUCSIA"/>
    <n v="680"/>
    <n v="6"/>
    <n v="50"/>
    <x v="1"/>
    <n v="0"/>
    <n v="6"/>
    <n v="953"/>
    <n v="20637"/>
    <s v="FUCSIA"/>
    <n v="9.6"/>
    <n v="0"/>
    <n v="0"/>
    <n v="25.84"/>
    <n v="50"/>
    <n v="38"/>
    <n v="1315.7894736842106"/>
    <x v="0"/>
    <x v="0"/>
    <n v="1"/>
    <n v="2"/>
    <n v="113.33333333333333"/>
  </r>
  <r>
    <d v="2025-01-06T15:38:00"/>
    <s v="INYECTADO"/>
    <x v="1"/>
    <x v="2"/>
    <s v="WALTER GUEVARA"/>
    <s v="SEGUNDA"/>
    <s v="."/>
    <s v="PP INY MOLIDO"/>
    <s v="PALA Y RASTRILLO ROMANO"/>
    <s v="PALA RASTRILLO ROMANO-VERDE"/>
    <n v="204"/>
    <n v="2"/>
    <n v="15"/>
    <x v="1"/>
    <n v="0"/>
    <n v="2"/>
    <n v="953"/>
    <n v="20637"/>
    <s v="VERDE"/>
    <n v="0"/>
    <n v="0"/>
    <n v="0"/>
    <n v="7.7519999999999998"/>
    <n v="15"/>
    <n v="38"/>
    <n v="394.73684210526318"/>
    <x v="0"/>
    <x v="0"/>
    <n v="1"/>
    <n v="2"/>
    <n v="34"/>
  </r>
  <r>
    <d v="2025-01-06T15:38:00"/>
    <s v="INYECTADO"/>
    <x v="1"/>
    <x v="3"/>
    <s v="SEBASTIAN MURGA"/>
    <s v="SEGUNDA"/>
    <s v="."/>
    <s v="PP INY MOLIDO"/>
    <s v="PALA Y RASTRILLO ROMANO"/>
    <s v="PALA RASTRILLO ROMANO-VERDE"/>
    <n v="289"/>
    <n v="3"/>
    <n v="21.3"/>
    <x v="0"/>
    <n v="0"/>
    <n v="4"/>
    <n v="953"/>
    <n v="20638"/>
    <s v="VERDE"/>
    <n v="1.3"/>
    <n v="0"/>
    <n v="0"/>
    <n v="10.981999999999999"/>
    <n v="21.3"/>
    <n v="38"/>
    <n v="560.52631578947364"/>
    <x v="0"/>
    <x v="0"/>
    <n v="1"/>
    <n v="2"/>
    <n v="48.166666666666664"/>
  </r>
  <r>
    <d v="2025-01-06T15:38:00"/>
    <s v="INYECTADO"/>
    <x v="1"/>
    <x v="3"/>
    <s v="SEBASTIAN MURGA"/>
    <s v="SEGUNDA"/>
    <s v="."/>
    <s v="PP INY MOLIDO"/>
    <s v="PALA Y RASTRILLO ROMANO"/>
    <s v="PALA RASTRILLO ROMANO-AZUL"/>
    <n v="404"/>
    <n v="4"/>
    <n v="29.7"/>
    <x v="0"/>
    <n v="0"/>
    <n v="4"/>
    <n v="953"/>
    <n v="20638"/>
    <s v="AZUL"/>
    <n v="8.4"/>
    <n v="0"/>
    <n v="0"/>
    <n v="15.352"/>
    <n v="29.7"/>
    <n v="38"/>
    <n v="781.57894736842104"/>
    <x v="0"/>
    <x v="0"/>
    <n v="1"/>
    <n v="2"/>
    <n v="67.333333333333329"/>
  </r>
  <r>
    <d v="2025-01-06T15:38:00"/>
    <s v="INYECTADO"/>
    <x v="1"/>
    <x v="3"/>
    <s v="SEBASTIAN MURGA"/>
    <s v="VIRGEN"/>
    <s v="PP CLARIFICADO"/>
    <s v="."/>
    <s v="PALA Y RASTRILLO ROMANO"/>
    <s v="PALA RASTRILLO ROMANO-AMARILLO"/>
    <n v="107"/>
    <n v="1"/>
    <n v="7.9"/>
    <x v="0"/>
    <n v="0"/>
    <n v="2"/>
    <n v="953"/>
    <n v="20638"/>
    <s v="AMARILLO"/>
    <n v="2.9"/>
    <n v="0"/>
    <n v="0"/>
    <n v="4.0659999999999998"/>
    <n v="7.9"/>
    <n v="38"/>
    <n v="207.89473684210526"/>
    <x v="0"/>
    <x v="0"/>
    <n v="1"/>
    <n v="2"/>
    <n v="17.833333333333332"/>
  </r>
  <r>
    <d v="2025-01-06T15:38:00"/>
    <s v="INYECTADO"/>
    <x v="1"/>
    <x v="3"/>
    <s v="JUAN MANUEL PEREZ"/>
    <s v="SEGUNDA"/>
    <s v="."/>
    <s v="PP INY MOLIDO"/>
    <s v="PALA Y RASTRILLO ROMANO"/>
    <s v="PALA RASTRILLO ROMANO-AZUL"/>
    <n v="293"/>
    <n v="3"/>
    <n v="21.6"/>
    <x v="1"/>
    <n v="0"/>
    <n v="2"/>
    <n v="953"/>
    <n v="20639"/>
    <s v="AZUL"/>
    <n v="2.2000000000000002"/>
    <n v="0"/>
    <n v="0"/>
    <n v="11.134"/>
    <n v="21.6"/>
    <n v="38"/>
    <n v="568.42105263157896"/>
    <x v="0"/>
    <x v="0"/>
    <n v="1"/>
    <n v="2"/>
    <n v="48.833333333333336"/>
  </r>
  <r>
    <d v="2025-01-06T15:38:00"/>
    <s v="INYECTADO"/>
    <x v="1"/>
    <x v="3"/>
    <s v="JUAN MANUEL PEREZ"/>
    <s v="VIRGEN"/>
    <s v="PP CLARIFICADO"/>
    <s v="."/>
    <s v="PALA Y RASTRILLO ROMANO"/>
    <s v="PALA RASTRILLO ROMANO-AMARILLO"/>
    <n v="544"/>
    <n v="5"/>
    <n v="40"/>
    <x v="1"/>
    <n v="0"/>
    <n v="6"/>
    <n v="953"/>
    <n v="20639"/>
    <s v="AMARILLO"/>
    <n v="3.2"/>
    <n v="0"/>
    <n v="0"/>
    <n v="20.672000000000001"/>
    <n v="40"/>
    <n v="38"/>
    <n v="1052.6315789473683"/>
    <x v="0"/>
    <x v="0"/>
    <n v="1"/>
    <n v="2"/>
    <n v="90.666666666666671"/>
  </r>
  <r>
    <d v="2025-01-06T15:38:00"/>
    <s v="INYECTADO"/>
    <x v="2"/>
    <x v="0"/>
    <s v="JUAN CARLOS CEDENO"/>
    <s v="SEGUNDA"/>
    <s v="."/>
    <s v="MIXTO"/>
    <s v="EMBUDO #2"/>
    <s v="EMBUDO #2-ROJO"/>
    <n v="165"/>
    <n v="3"/>
    <n v="21.9"/>
    <x v="0"/>
    <n v="0"/>
    <n v="2"/>
    <n v="949"/>
    <n v="19692"/>
    <s v="ROJO"/>
    <n v="9.6999999999999993"/>
    <n v="0"/>
    <n v="0"/>
    <n v="5.7750000000000004"/>
    <n v="21.9"/>
    <n v="35"/>
    <n v="625.71428571428567"/>
    <x v="0"/>
    <x v="0"/>
    <n v="1"/>
    <n v="4"/>
    <n v="55"/>
  </r>
  <r>
    <d v="2025-01-06T15:38:00"/>
    <s v="INYECTADO"/>
    <x v="2"/>
    <x v="0"/>
    <s v="JUAN CARLOS CEDENO"/>
    <s v="SEGUNDA"/>
    <s v="."/>
    <s v="MIXTO"/>
    <s v="EMBUDO #2"/>
    <s v="EMBUDO #2-AMARILLO"/>
    <n v="561"/>
    <n v="6"/>
    <n v="74.400000000000006"/>
    <x v="0"/>
    <n v="0"/>
    <n v="9"/>
    <n v="949"/>
    <n v="19692"/>
    <s v="AMARILLO"/>
    <n v="10.1"/>
    <n v="0"/>
    <n v="0"/>
    <n v="19.635000000000002"/>
    <n v="74.400000000000006"/>
    <n v="35"/>
    <n v="2125.7142857142858"/>
    <x v="0"/>
    <x v="0"/>
    <n v="1"/>
    <n v="4"/>
    <n v="187"/>
  </r>
  <r>
    <d v="2025-01-06T15:38:00"/>
    <s v="INYECTADO"/>
    <x v="2"/>
    <x v="1"/>
    <s v="JUAN CARLOS CEDENO"/>
    <s v="SEGUNDA"/>
    <s v="."/>
    <s v="MIXTO"/>
    <s v="EMBUDO #2"/>
    <s v="EMBUDO #2-AMARILLO"/>
    <n v="34"/>
    <n v="1"/>
    <n v="4.5999999999999996"/>
    <x v="0"/>
    <n v="0"/>
    <n v="1"/>
    <n v="949"/>
    <n v="19693"/>
    <s v="AMARILLO"/>
    <n v="4.3"/>
    <n v="0"/>
    <n v="0"/>
    <n v="1.19"/>
    <n v="4.5999999999999996"/>
    <n v="35"/>
    <n v="131.42857142857142"/>
    <x v="0"/>
    <x v="0"/>
    <n v="1"/>
    <n v="4"/>
    <n v="11.333333333333334"/>
  </r>
  <r>
    <d v="2025-01-06T15:38:00"/>
    <s v="INYECTADO"/>
    <x v="2"/>
    <x v="1"/>
    <s v="JUAN CARLOS CEDENO"/>
    <s v="SEGUNDA"/>
    <s v="."/>
    <s v="MIXTO"/>
    <s v="EMBUDO #2"/>
    <s v="EMBUDO #2-ANARANJADO"/>
    <n v="641"/>
    <n v="6"/>
    <n v="85"/>
    <x v="0"/>
    <n v="0"/>
    <n v="8"/>
    <n v="949"/>
    <n v="19693"/>
    <s v="ANARNJADO"/>
    <n v="19.8"/>
    <n v="0"/>
    <n v="0"/>
    <n v="22.434999999999999"/>
    <n v="85"/>
    <n v="35"/>
    <n v="2428.5714285714284"/>
    <x v="0"/>
    <x v="0"/>
    <n v="1"/>
    <n v="4"/>
    <n v="213.66666666666666"/>
  </r>
  <r>
    <d v="2025-01-06T15:38:00"/>
    <s v="INYECTADO"/>
    <x v="2"/>
    <x v="1"/>
    <s v="JUAN CARLOS CEDENO"/>
    <s v="SEGUNDA"/>
    <s v="."/>
    <s v="MIXTO"/>
    <s v="EMBUDO #2"/>
    <s v="EMBUDO #2-ROJO"/>
    <n v="155"/>
    <n v="2"/>
    <n v="20.6"/>
    <x v="0"/>
    <n v="0"/>
    <n v="2"/>
    <n v="949"/>
    <n v="19693"/>
    <s v="ROJO"/>
    <n v="5"/>
    <n v="0"/>
    <n v="0"/>
    <n v="5.4249999999999998"/>
    <n v="20.6"/>
    <n v="35"/>
    <n v="588.57142857142856"/>
    <x v="0"/>
    <x v="0"/>
    <n v="1"/>
    <n v="4"/>
    <n v="51.666666666666664"/>
  </r>
  <r>
    <d v="2025-01-06T15:38:00"/>
    <s v="INYECTADO"/>
    <x v="2"/>
    <x v="1"/>
    <s v="JUAN CARLOS CEDENO"/>
    <s v="SEGUNDA"/>
    <s v="."/>
    <s v="MIXTO"/>
    <s v="EMBUDO #2"/>
    <s v="EMBUDO #2-AZUL"/>
    <n v="93"/>
    <n v="1"/>
    <n v="12.4"/>
    <x v="0"/>
    <n v="0"/>
    <n v="1"/>
    <n v="949"/>
    <n v="19693"/>
    <s v="AZUL"/>
    <n v="0"/>
    <n v="0"/>
    <n v="0"/>
    <n v="3.2549999999999999"/>
    <n v="12.4"/>
    <n v="35"/>
    <n v="354.28571428571428"/>
    <x v="0"/>
    <x v="0"/>
    <n v="1"/>
    <n v="4"/>
    <n v="31"/>
  </r>
  <r>
    <d v="2025-01-06T15:38:00"/>
    <s v="INYECTADO"/>
    <x v="3"/>
    <x v="0"/>
    <s v="NELSON PINEDO"/>
    <s v="SEGUNDA"/>
    <s v="."/>
    <s v="PP INY MOLIDO"/>
    <s v="CERNIDOR CASTILLO"/>
    <s v="CERNIDOR CASTILLO-ROJO"/>
    <n v="290"/>
    <n v="3"/>
    <n v="43.6"/>
    <x v="0"/>
    <n v="0"/>
    <n v="9"/>
    <n v="958"/>
    <n v="19365"/>
    <s v="ROJO"/>
    <n v="21.5"/>
    <n v="0"/>
    <n v="0"/>
    <n v="21.75"/>
    <n v="43.6"/>
    <n v="75"/>
    <n v="581.33333333333337"/>
    <x v="0"/>
    <x v="0"/>
    <n v="1"/>
    <n v="2"/>
    <n v="48.333333333333336"/>
  </r>
  <r>
    <d v="2025-01-06T15:38:00"/>
    <s v="INYECTADO"/>
    <x v="3"/>
    <x v="0"/>
    <s v="NELSON PINEDO"/>
    <s v="SEGUNDA"/>
    <s v="."/>
    <s v="PP INY MOLIDO"/>
    <s v="CERNIDOR CASTILLO"/>
    <s v="CERNIDOR CASTILLO-VERDE"/>
    <n v="270"/>
    <n v="3"/>
    <n v="41.3"/>
    <x v="0"/>
    <n v="0"/>
    <n v="8"/>
    <n v="958"/>
    <n v="19365"/>
    <s v="VERDE"/>
    <n v="5.9"/>
    <n v="0"/>
    <n v="0"/>
    <n v="20.25"/>
    <n v="41.3"/>
    <n v="75"/>
    <n v="550.66666666666663"/>
    <x v="0"/>
    <x v="0"/>
    <n v="1"/>
    <n v="2"/>
    <n v="45"/>
  </r>
  <r>
    <d v="2025-01-06T15:38:00"/>
    <s v="INYECTADO"/>
    <x v="3"/>
    <x v="0"/>
    <s v="NELSON PINEDO"/>
    <s v="SEGUNDA"/>
    <s v="."/>
    <s v="PP INY MOLIDO"/>
    <s v="CERNIDOR CASTILLO"/>
    <s v="CERNIDOR CASTILLO-AZUL"/>
    <n v="195"/>
    <n v="3"/>
    <n v="29.3"/>
    <x v="0"/>
    <n v="0"/>
    <n v="6"/>
    <n v="958"/>
    <n v="19365"/>
    <s v="AZUL"/>
    <n v="0"/>
    <n v="0"/>
    <n v="0"/>
    <n v="14.625"/>
    <n v="29.3"/>
    <n v="75"/>
    <n v="390.66666666666669"/>
    <x v="0"/>
    <x v="0"/>
    <n v="1"/>
    <n v="2"/>
    <n v="32.5"/>
  </r>
  <r>
    <d v="2025-01-06T15:38:00"/>
    <s v="INYECTADO"/>
    <x v="3"/>
    <x v="1"/>
    <s v="ALEXANDER MORENO"/>
    <s v="SEGUNDA"/>
    <s v="."/>
    <s v="PP INY MOLIDO"/>
    <s v="CERNIDOR CASTILLO"/>
    <s v="CERNIDOR CASTILLO-AZUL"/>
    <n v="185"/>
    <n v="2"/>
    <n v="27.8"/>
    <x v="0"/>
    <n v="0"/>
    <n v="5"/>
    <n v="958"/>
    <n v="19366"/>
    <s v="AZUL"/>
    <n v="5.3"/>
    <n v="0"/>
    <n v="0"/>
    <n v="13.875"/>
    <n v="27.8"/>
    <n v="75"/>
    <n v="370.66666666666669"/>
    <x v="0"/>
    <x v="0"/>
    <n v="1"/>
    <n v="2"/>
    <n v="30.833333333333332"/>
  </r>
  <r>
    <d v="2025-01-06T15:38:00"/>
    <s v="INYECTADO"/>
    <x v="3"/>
    <x v="1"/>
    <s v="ALEXANDER MORENO"/>
    <s v="SEGUNDA"/>
    <s v="."/>
    <s v="PP INY MOLIDO"/>
    <s v="CERNIDOR CASTILLO"/>
    <s v="CERNIDOR CASTILLO-FUCSIA"/>
    <n v="212"/>
    <n v="5"/>
    <n v="31.7"/>
    <x v="0"/>
    <n v="0"/>
    <n v="6"/>
    <n v="958"/>
    <n v="19366"/>
    <s v="FUCSIA"/>
    <n v="16.3"/>
    <n v="0"/>
    <n v="0"/>
    <n v="15.9"/>
    <n v="31.7"/>
    <n v="75"/>
    <n v="422.66666666666669"/>
    <x v="0"/>
    <x v="0"/>
    <n v="1"/>
    <n v="2"/>
    <n v="35.333333333333336"/>
  </r>
  <r>
    <d v="2025-01-06T15:38:00"/>
    <s v="INYECTADO"/>
    <x v="3"/>
    <x v="1"/>
    <s v="ALEXANDER MORENO"/>
    <s v="SEGUNDA"/>
    <s v="."/>
    <s v="PP INY MOLIDO"/>
    <s v="CERNIDOR CASTILLO"/>
    <s v="CERNIDOR CASTILLO-LILA"/>
    <n v="195"/>
    <n v="3"/>
    <n v="29.3"/>
    <x v="0"/>
    <n v="0"/>
    <n v="6"/>
    <n v="958"/>
    <n v="19366"/>
    <s v="LILA"/>
    <n v="10"/>
    <n v="0"/>
    <n v="0"/>
    <n v="14.625"/>
    <n v="29.3"/>
    <n v="75"/>
    <n v="390.66666666666669"/>
    <x v="0"/>
    <x v="0"/>
    <n v="1"/>
    <n v="2"/>
    <n v="32.5"/>
  </r>
  <r>
    <d v="2025-01-06T15:38:00"/>
    <s v="INYECTADO"/>
    <x v="3"/>
    <x v="2"/>
    <s v="JUAN CARLOS CEDENO"/>
    <s v="VIRGEN"/>
    <s v="PP CLARIFICADO"/>
    <s v="."/>
    <s v="CERNIDOR CASTILLO"/>
    <s v="CERNIDOR CASTILLO-AMARILLO"/>
    <n v="489"/>
    <n v="6"/>
    <n v="71.900000000000006"/>
    <x v="0"/>
    <n v="0"/>
    <n v="15"/>
    <n v="958"/>
    <n v="19367"/>
    <s v="AMARILLO"/>
    <n v="12.9"/>
    <n v="0"/>
    <n v="0"/>
    <n v="36.674999999999997"/>
    <n v="71.900000000000006"/>
    <n v="75"/>
    <n v="958.66666666666663"/>
    <x v="0"/>
    <x v="0"/>
    <n v="1"/>
    <n v="2"/>
    <n v="81.5"/>
  </r>
  <r>
    <d v="2025-01-06T15:38:00"/>
    <s v="INYECTADO"/>
    <x v="3"/>
    <x v="2"/>
    <s v="JUAN CARLOS CEDENO"/>
    <s v="SEGUNDA"/>
    <s v="."/>
    <s v="PP INY MOLIDO"/>
    <s v="CERNIDOR CASTILLO"/>
    <s v="CERNIDOR CASTILLO-VERDE"/>
    <n v="331"/>
    <n v="3"/>
    <n v="48.8"/>
    <x v="0"/>
    <n v="0"/>
    <n v="10"/>
    <n v="958"/>
    <n v="19367"/>
    <s v="VERDE"/>
    <n v="8.5"/>
    <n v="0"/>
    <n v="0"/>
    <n v="24.824999999999999"/>
    <n v="48.8"/>
    <n v="75"/>
    <n v="650.66666666666663"/>
    <x v="0"/>
    <x v="0"/>
    <n v="1"/>
    <n v="2"/>
    <n v="55.166666666666664"/>
  </r>
  <r>
    <d v="2025-01-06T15:38:00"/>
    <s v="INYECTADO"/>
    <x v="3"/>
    <x v="2"/>
    <s v="JUAN CARLOS CEDENO"/>
    <s v="SEGUNDA"/>
    <s v="."/>
    <s v="PP INY MOLIDO"/>
    <s v="CERNIDOR CASTILLO"/>
    <s v="CERNIDOR CASTILLO-ROJO"/>
    <n v="70"/>
    <n v="1"/>
    <n v="10.3"/>
    <x v="0"/>
    <n v="0"/>
    <n v="2"/>
    <n v="958"/>
    <n v="19367"/>
    <s v="ROJO"/>
    <n v="1.6"/>
    <n v="0"/>
    <n v="0"/>
    <n v="5.25"/>
    <n v="10.3"/>
    <n v="75"/>
    <n v="137.33333333333334"/>
    <x v="0"/>
    <x v="0"/>
    <n v="1"/>
    <n v="2"/>
    <n v="11.666666666666666"/>
  </r>
  <r>
    <d v="2025-01-06T15:38:00"/>
    <s v="INYECTADO"/>
    <x v="3"/>
    <x v="3"/>
    <s v="SAID VILLAMIZAR"/>
    <s v="SEGUNDA"/>
    <s v="."/>
    <s v="PP INY MOLIDO"/>
    <s v="CERNIDOR CASTILLO"/>
    <s v="CERNIDOR CASTILLO-ROJO"/>
    <n v="276"/>
    <n v="3"/>
    <n v="40.299999999999997"/>
    <x v="0"/>
    <n v="0"/>
    <n v="0"/>
    <n v="958"/>
    <n v="19368"/>
    <s v="ROJO"/>
    <n v="7.6"/>
    <n v="0"/>
    <n v="0"/>
    <n v="20.7"/>
    <n v="40.299999999999997"/>
    <n v="75"/>
    <n v="537.33333333333337"/>
    <x v="0"/>
    <x v="0"/>
    <n v="1"/>
    <n v="2"/>
    <n v="46"/>
  </r>
  <r>
    <d v="2025-01-06T15:38:00"/>
    <s v="INYECTADO"/>
    <x v="3"/>
    <x v="3"/>
    <s v="SAID VILLAMIZAR"/>
    <s v="SEGUNDA"/>
    <s v="."/>
    <s v="PP INY MOLIDO"/>
    <s v="CERNIDOR CASTILLO"/>
    <s v="CERNIDOR CASTILLO-FUCSIA"/>
    <n v="337"/>
    <n v="4"/>
    <n v="49.3"/>
    <x v="0"/>
    <n v="0"/>
    <n v="0"/>
    <n v="958"/>
    <n v="19368"/>
    <s v="FUCSIA"/>
    <n v="0"/>
    <n v="0"/>
    <n v="0"/>
    <n v="25.274999999999999"/>
    <n v="49.3"/>
    <n v="75"/>
    <n v="657.33333333333337"/>
    <x v="0"/>
    <x v="0"/>
    <n v="1"/>
    <n v="2"/>
    <n v="56.166666666666664"/>
  </r>
  <r>
    <d v="2025-01-06T15:38:00"/>
    <s v="INYECTADO"/>
    <x v="3"/>
    <x v="3"/>
    <s v="SAID VILLAMIZAR"/>
    <s v="SEGUNDA"/>
    <s v="."/>
    <s v="PP INY MOLIDO"/>
    <s v="CERNIDOR CASTILLO"/>
    <s v="CERNIDOR CASTILLO-AZUL"/>
    <n v="112"/>
    <n v="1"/>
    <n v="16.399999999999999"/>
    <x v="0"/>
    <n v="0"/>
    <n v="0"/>
    <n v="958"/>
    <n v="19367"/>
    <s v="AZUL"/>
    <n v="0"/>
    <n v="0"/>
    <n v="0"/>
    <n v="8.4"/>
    <n v="16.399999999999999"/>
    <n v="75"/>
    <n v="218.66666666666666"/>
    <x v="0"/>
    <x v="0"/>
    <n v="1"/>
    <n v="2"/>
    <n v="18.666666666666668"/>
  </r>
  <r>
    <d v="2025-01-19T16:13:00"/>
    <s v="INYECTADO"/>
    <x v="4"/>
    <x v="4"/>
    <s v="GABRIEL REQUENA"/>
    <s v="VIRGEN"/>
    <s v="PP CLARIFICADO"/>
    <s v="."/>
    <s v="PUNTA DOBLE CLICK"/>
    <s v="PUNTA DOBLE CLICK-NEGRO"/>
    <n v="1739"/>
    <n v="9"/>
    <n v="71.3"/>
    <x v="0"/>
    <n v="0"/>
    <n v="5"/>
    <n v="944"/>
    <n v="20406"/>
    <s v="NEGRO"/>
    <n v="18.100000000000001"/>
    <n v="0"/>
    <n v="0"/>
    <n v="6.0865"/>
    <n v="71.3"/>
    <n v="3.5"/>
    <n v="20371.428571428572"/>
    <x v="0"/>
    <x v="0"/>
    <n v="2"/>
    <n v="12"/>
    <n v="1739"/>
  </r>
  <r>
    <d v="2025-01-19T16:13:00"/>
    <s v="INYECTADO"/>
    <x v="4"/>
    <x v="5"/>
    <s v="LUIS RENGIFO"/>
    <s v="VIRGEN"/>
    <s v="CRISTAL"/>
    <s v="."/>
    <s v="PUNTA TAPA SORBETE"/>
    <s v="PUNTA TAPA SORBETE-TRANSPARENTE"/>
    <n v="150"/>
    <n v="1"/>
    <n v="10.6"/>
    <x v="0"/>
    <n v="0"/>
    <n v="1"/>
    <n v="968"/>
    <n v="20407"/>
    <s v="TRANSPARENTE"/>
    <n v="4.5999999999999996"/>
    <n v="0"/>
    <n v="0"/>
    <n v="0.9"/>
    <n v="10.6"/>
    <n v="6"/>
    <n v="1766.6666666666667"/>
    <x v="0"/>
    <x v="0"/>
    <n v="3"/>
    <n v="12"/>
    <n v="150"/>
  </r>
  <r>
    <d v="2025-01-19T16:13:00"/>
    <s v="INYECTADO"/>
    <x v="4"/>
    <x v="6"/>
    <s v="JUAN CARLOS CEDENO"/>
    <s v="VIRGEN"/>
    <s v="CRISTAL"/>
    <s v="."/>
    <s v="PUNTA TAPA SORBETE"/>
    <s v="PUNTA TAPA SORBETE-TRANSPARENTE"/>
    <n v="301"/>
    <n v="5"/>
    <n v="21.6"/>
    <x v="0"/>
    <n v="0"/>
    <n v="2"/>
    <n v="968"/>
    <n v="20408"/>
    <s v="TRANSPARENTE"/>
    <n v="11.3"/>
    <n v="0"/>
    <n v="0"/>
    <n v="1.806"/>
    <n v="21.6"/>
    <n v="6"/>
    <n v="3600"/>
    <x v="0"/>
    <x v="0"/>
    <n v="3"/>
    <n v="12"/>
    <n v="301"/>
  </r>
  <r>
    <d v="2025-02-09T10:08:00"/>
    <s v="INYECTADO"/>
    <x v="4"/>
    <x v="7"/>
    <s v="CARLOS SULCA"/>
    <s v="VIRGEN"/>
    <s v="CRISTAL"/>
    <s v="."/>
    <s v="PUNTA TAPA SORBETE"/>
    <s v="PUNTA TAPA SORBETE-TRANSPARENTE"/>
    <n v="177"/>
    <n v="1"/>
    <n v="11.6"/>
    <x v="0"/>
    <n v="0"/>
    <n v="1"/>
    <n v="968"/>
    <n v="20409"/>
    <s v="TRANSPARENTE"/>
    <n v="5.4"/>
    <n v="0"/>
    <n v="0"/>
    <n v="1.0620000000000001"/>
    <n v="11.6"/>
    <n v="6"/>
    <n v="1933.3333333333333"/>
    <x v="0"/>
    <x v="0"/>
    <n v="5"/>
    <n v="12"/>
    <n v="177"/>
  </r>
  <r>
    <d v="2025-02-09T10:08:00"/>
    <s v="INYECTADO"/>
    <x v="4"/>
    <x v="8"/>
    <s v="FABIAN HERNANDEZ"/>
    <s v="VIRGEN"/>
    <s v="PP CLARIFICADO"/>
    <s v="."/>
    <s v="PUNTA DOBLE CLICK"/>
    <s v="PUNTA DOBLE CLICK-AMARILLO"/>
    <n v="785"/>
    <n v="4"/>
    <n v="37"/>
    <x v="1"/>
    <n v="0"/>
    <n v="4"/>
    <n v="983"/>
    <n v="20410"/>
    <s v="AMARILLO"/>
    <n v="16.2"/>
    <n v="0"/>
    <n v="0"/>
    <n v="2.7475000000000001"/>
    <n v="37"/>
    <n v="3.5"/>
    <n v="10571.428571428571"/>
    <x v="0"/>
    <x v="0"/>
    <n v="5"/>
    <n v="12"/>
    <n v="785"/>
  </r>
  <r>
    <d v="2025-02-09T10:08:00"/>
    <s v="INYECTADO"/>
    <x v="4"/>
    <x v="8"/>
    <s v="FABIAN HERNANDEZ"/>
    <s v="VIRGEN"/>
    <s v="PP CLARIFICADO"/>
    <s v="."/>
    <s v="PUNTA DOBLE CLICK"/>
    <s v="PUNTA DOBLE CLICK-LILA"/>
    <n v="607"/>
    <n v="5"/>
    <n v="25.5"/>
    <x v="1"/>
    <n v="0"/>
    <n v="2"/>
    <n v="983"/>
    <n v="20410"/>
    <s v="LILA"/>
    <n v="13.4"/>
    <n v="0"/>
    <n v="0"/>
    <n v="2.1244999999999998"/>
    <n v="25.5"/>
    <n v="3.5"/>
    <n v="7285.7142857142853"/>
    <x v="0"/>
    <x v="0"/>
    <n v="5"/>
    <n v="12"/>
    <n v="607"/>
  </r>
  <r>
    <d v="2025-01-19T16:13:00"/>
    <s v="INYECTADO"/>
    <x v="5"/>
    <x v="4"/>
    <s v="SAID VILLAMIZAR"/>
    <s v="VIRGEN"/>
    <s v="PP CLARIFICADO"/>
    <s v="."/>
    <s v="TAPA TOMATODO DOBLE CLICK"/>
    <s v="TAPA TOMATODO DOBLE CLICK-TURQUESA"/>
    <n v="60"/>
    <n v="1"/>
    <n v="11"/>
    <x v="0"/>
    <n v="0"/>
    <n v="2"/>
    <n v="966"/>
    <n v="20325"/>
    <s v="TURQUESA"/>
    <n v="11"/>
    <n v="0"/>
    <n v="0"/>
    <n v="1.3284"/>
    <n v="11"/>
    <n v="22.14"/>
    <n v="496.83830171635049"/>
    <x v="0"/>
    <x v="0"/>
    <n v="2"/>
    <n v="7"/>
    <n v="35"/>
  </r>
  <r>
    <d v="2025-01-19T16:13:00"/>
    <s v="INYECTADO"/>
    <x v="5"/>
    <x v="5"/>
    <s v="ISABEL LINARIZ "/>
    <s v="VIRGEN"/>
    <s v="PP CLARIFICADO"/>
    <s v="."/>
    <s v="TAPA TOMATODO DOBLE CLICK"/>
    <s v="TAPA TOMATODO DOBLE CLICK-TURQUESA"/>
    <n v="245"/>
    <n v="4"/>
    <n v="39.1"/>
    <x v="0"/>
    <n v="0"/>
    <n v="0"/>
    <n v="966"/>
    <n v="20329"/>
    <s v="TURQUESA"/>
    <n v="39.1"/>
    <n v="0"/>
    <n v="0"/>
    <n v="5.4243000000000006"/>
    <n v="39.1"/>
    <n v="22.14"/>
    <n v="1766.0343270099368"/>
    <x v="0"/>
    <x v="0"/>
    <n v="3"/>
    <n v="7"/>
    <n v="142.91666666666666"/>
  </r>
  <r>
    <d v="2025-01-19T16:13:00"/>
    <s v="INYECTADO"/>
    <x v="5"/>
    <x v="5"/>
    <s v="ISABEL LINARIZ "/>
    <s v="VIRGEN"/>
    <s v="PP CLARIFICADO"/>
    <s v="."/>
    <s v="TAPA TOMATODO DOBLE CLICK"/>
    <s v="TAPA TOMATODO DOBLE CLICK-FUCSIA"/>
    <n v="213"/>
    <n v="5"/>
    <n v="45.08"/>
    <x v="0"/>
    <n v="0"/>
    <n v="0"/>
    <n v="966"/>
    <n v="20329"/>
    <s v="FUCSIA"/>
    <n v="8.6999999999999993"/>
    <n v="0"/>
    <n v="0"/>
    <n v="4.7158199999999999"/>
    <n v="45.08"/>
    <n v="22.14"/>
    <n v="2036.13369467028"/>
    <x v="0"/>
    <x v="0"/>
    <n v="3"/>
    <n v="7"/>
    <n v="124.25"/>
  </r>
  <r>
    <d v="2025-01-19T16:13:00"/>
    <s v="INYECTADO"/>
    <x v="5"/>
    <x v="5"/>
    <s v="ISABEL LINARIZ "/>
    <s v="VIRGEN"/>
    <s v="PP CLARIFICADO"/>
    <s v="."/>
    <s v="TAPA TOMATODO DOBLE CLICK"/>
    <s v="TAPA TOMATODO DOBLE CLICK-LILA"/>
    <n v="35"/>
    <n v="1"/>
    <n v="6.4"/>
    <x v="0"/>
    <n v="0"/>
    <n v="0"/>
    <n v="966"/>
    <n v="20329"/>
    <s v="LILA"/>
    <n v="6.4"/>
    <n v="0"/>
    <n v="0"/>
    <n v="0.77489999999999992"/>
    <n v="6.4"/>
    <n v="22.14"/>
    <n v="289.06955736224029"/>
    <x v="0"/>
    <x v="0"/>
    <n v="3"/>
    <n v="7"/>
    <n v="20.416666666666668"/>
  </r>
  <r>
    <d v="2025-01-19T16:13:00"/>
    <s v="INYECTADO"/>
    <x v="5"/>
    <x v="6"/>
    <s v="GABRIEL REQUENA"/>
    <s v="VIRGEN"/>
    <s v="PP CLARIFICADO"/>
    <s v="."/>
    <s v="TAPA TOMATODO DOBLE CLICK"/>
    <s v="TAPA TOMATODO DOBLE CLICK-LILA"/>
    <n v="78"/>
    <n v="1"/>
    <n v="14.3"/>
    <x v="0"/>
    <n v="0"/>
    <n v="0"/>
    <n v="966"/>
    <n v="20334"/>
    <s v="LILA"/>
    <n v="6.9"/>
    <n v="0"/>
    <n v="0"/>
    <n v="1.72692"/>
    <n v="14.3"/>
    <n v="22.14"/>
    <n v="645.88979223125568"/>
    <x v="0"/>
    <x v="0"/>
    <n v="3"/>
    <n v="7"/>
    <n v="45.5"/>
  </r>
  <r>
    <d v="2025-01-19T16:13:00"/>
    <s v="INYECTADO"/>
    <x v="5"/>
    <x v="6"/>
    <s v="GABRIEL REQUENA"/>
    <s v="VIRGEN"/>
    <s v="PP CLARIFICADO"/>
    <s v="."/>
    <s v="TAPA TOMATODO DOBLE CLICK"/>
    <s v="TAPA TOMATODO DOBLE CLICK-AZURE"/>
    <n v="264"/>
    <n v="4"/>
    <n v="48.8"/>
    <x v="0"/>
    <n v="0"/>
    <n v="0"/>
    <n v="966"/>
    <n v="20334"/>
    <s v="AZURE"/>
    <n v="0"/>
    <n v="0"/>
    <n v="0"/>
    <n v="5.8449600000000004"/>
    <n v="48.8"/>
    <n v="22.14"/>
    <n v="2204.155374887082"/>
    <x v="0"/>
    <x v="0"/>
    <n v="3"/>
    <n v="7"/>
    <n v="154"/>
  </r>
  <r>
    <d v="2025-01-19T16:13:00"/>
    <s v="INYECTADO"/>
    <x v="5"/>
    <x v="6"/>
    <s v="GABRIEL REQUENA"/>
    <s v="VIRGEN"/>
    <s v="PP CLARIFICADO"/>
    <s v="."/>
    <s v="TAPA TOMATODO DOBLE CLICK"/>
    <s v="TAPA TOMATODO DOBLE CLICK-CELESTE"/>
    <n v="141"/>
    <n v="2"/>
    <n v="26.1"/>
    <x v="0"/>
    <n v="0"/>
    <n v="0"/>
    <n v="966"/>
    <n v="20334"/>
    <s v="CELESTE"/>
    <n v="14.6"/>
    <n v="0"/>
    <n v="0"/>
    <n v="3.1217400000000004"/>
    <n v="26.1"/>
    <n v="22.14"/>
    <n v="1178.8617886178861"/>
    <x v="0"/>
    <x v="0"/>
    <n v="3"/>
    <n v="7"/>
    <n v="82.25"/>
  </r>
  <r>
    <d v="2025-01-19T16:13:00"/>
    <s v="INYECTADO"/>
    <x v="5"/>
    <x v="9"/>
    <s v="WALTER GUEVARA"/>
    <s v="VIRGEN"/>
    <s v="PP CLARIFICADO"/>
    <s v="."/>
    <s v="TAPA TOMATODO DOBLE CLICK"/>
    <s v="TAPA TOMATODO DOBLE CLICK-CELESTE"/>
    <n v="156"/>
    <n v="2"/>
    <n v="25.1"/>
    <x v="1"/>
    <n v="0"/>
    <n v="0"/>
    <n v="966"/>
    <n v="20335"/>
    <s v="CELESTE"/>
    <n v="4.5999999999999996"/>
    <n v="0"/>
    <n v="0"/>
    <n v="3.45384"/>
    <n v="25.1"/>
    <n v="22.14"/>
    <n v="1133.694670280036"/>
    <x v="0"/>
    <x v="0"/>
    <n v="3"/>
    <n v="7"/>
    <n v="91"/>
  </r>
  <r>
    <d v="2025-01-19T16:13:00"/>
    <s v="INYECTADO"/>
    <x v="5"/>
    <x v="9"/>
    <s v="WALTER GUEVARA"/>
    <s v="VIRGEN"/>
    <s v="PP CLARIFICADO"/>
    <s v="."/>
    <s v="TAPA TOMATODO DOBLE CLICK"/>
    <s v="TAPA TOMATODO DOBLE CLICK-NEGRO"/>
    <n v="532"/>
    <n v="8"/>
    <n v="97.8"/>
    <x v="1"/>
    <n v="0"/>
    <n v="0"/>
    <n v="966"/>
    <n v="20335"/>
    <s v="NEGRO"/>
    <n v="10.5"/>
    <n v="0"/>
    <n v="0"/>
    <n v="11.77848"/>
    <n v="97.8"/>
    <n v="22.14"/>
    <n v="4417.3441734417347"/>
    <x v="0"/>
    <x v="0"/>
    <n v="3"/>
    <n v="5"/>
    <n v="221.66666666666666"/>
  </r>
  <r>
    <d v="2025-01-19T16:13:00"/>
    <s v="INYECTADO"/>
    <x v="5"/>
    <x v="10"/>
    <s v="JUAN CARLOS CEDENO"/>
    <s v="VIRGEN"/>
    <s v="PP CLARIFICADO"/>
    <s v="."/>
    <s v="TAPA TOMATODO DOBLE CLICK"/>
    <s v="TAPA TOMATODO DOBLE CLICK-NEGRO"/>
    <n v="545"/>
    <n v="8"/>
    <n v="100.2"/>
    <x v="0"/>
    <n v="0"/>
    <n v="0"/>
    <n v="966"/>
    <n v="20336"/>
    <s v="NEGRO"/>
    <n v="10.7"/>
    <n v="0"/>
    <n v="0"/>
    <n v="12.066300000000002"/>
    <n v="100.2"/>
    <n v="22.14"/>
    <n v="4525.7452574525742"/>
    <x v="0"/>
    <x v="0"/>
    <n v="3"/>
    <n v="5"/>
    <n v="227.08333333333334"/>
  </r>
  <r>
    <d v="2025-01-19T16:13:00"/>
    <s v="INYECTADO"/>
    <x v="5"/>
    <x v="11"/>
    <s v="JUAN MANUEL PEREZ"/>
    <s v="VIRGEN"/>
    <s v="ALTA INYECCION"/>
    <s v="."/>
    <s v="ASAS ORGANIZADOR 2 Y 3 SOLIDO"/>
    <s v="ASAS DE ORGANIZADOR 2 Y 3-AMARILLO"/>
    <n v="1118"/>
    <n v="7"/>
    <n v="35.299999999999997"/>
    <x v="1"/>
    <n v="0"/>
    <n v="0"/>
    <n v="972"/>
    <n v="20337"/>
    <s v="AMARILLO"/>
    <n v="14.2"/>
    <n v="0"/>
    <n v="0"/>
    <n v="12.298"/>
    <n v="35.299999999999997"/>
    <n v="11"/>
    <n v="3209.090909090909"/>
    <x v="0"/>
    <x v="0"/>
    <n v="3"/>
    <n v="3"/>
    <n v="279.5"/>
  </r>
  <r>
    <d v="2025-01-19T16:13:00"/>
    <s v="INYECTADO"/>
    <x v="5"/>
    <x v="11"/>
    <s v="JUAN MANUEL PEREZ"/>
    <s v="VIRGEN"/>
    <s v="ALTA INYECCION"/>
    <s v="."/>
    <s v="ASAS ORGANIZADOR 2 Y 3 SOLIDO"/>
    <s v="ASAS DE ORGANIZADOR 2 Y 3-LILA"/>
    <n v="590"/>
    <n v="4"/>
    <n v="18.8"/>
    <x v="1"/>
    <n v="0"/>
    <n v="0"/>
    <n v="972"/>
    <n v="20337"/>
    <s v="LILA"/>
    <n v="8.1"/>
    <n v="0"/>
    <n v="0"/>
    <n v="6.49"/>
    <n v="18.8"/>
    <n v="11"/>
    <n v="1709.090909090909"/>
    <x v="0"/>
    <x v="0"/>
    <n v="3"/>
    <n v="3"/>
    <n v="147.5"/>
  </r>
  <r>
    <d v="2025-02-09T10:08:00"/>
    <s v="INYECTADO"/>
    <x v="5"/>
    <x v="12"/>
    <s v="ISABEL LINARIZ "/>
    <s v="VIRGEN"/>
    <s v="ALTA INYECCION"/>
    <s v="."/>
    <s v="ASAS ORGANIZADOR 2 Y 3 SOLIDO"/>
    <s v="ASAS DE ORGANIZADOR 2 Y 3-LILA"/>
    <n v="228"/>
    <n v="2"/>
    <n v="7.3"/>
    <x v="0"/>
    <n v="0"/>
    <n v="0"/>
    <n v="972"/>
    <n v="20338"/>
    <s v="LILA"/>
    <n v="7.3"/>
    <n v="0"/>
    <n v="0"/>
    <n v="2.508"/>
    <n v="7.3"/>
    <n v="11"/>
    <n v="663.63636363636363"/>
    <x v="0"/>
    <x v="0"/>
    <n v="4"/>
    <n v="3"/>
    <n v="57"/>
  </r>
  <r>
    <d v="2025-02-09T10:08:00"/>
    <s v="INYECTADO"/>
    <x v="5"/>
    <x v="12"/>
    <s v="ISABEL LINARIZ "/>
    <s v="VIRGEN"/>
    <s v="ALTA INYECCION"/>
    <s v="."/>
    <s v="ASAS ORGANIZADOR 2 Y 3 SOLIDO"/>
    <s v="ASAS DE ORGANIZADOR 2 Y 3-AMARILLO"/>
    <n v="1090"/>
    <n v="8"/>
    <n v="35.299999999999997"/>
    <x v="0"/>
    <n v="0"/>
    <n v="0"/>
    <n v="972"/>
    <n v="20338"/>
    <s v="AMARILLO"/>
    <n v="16.2"/>
    <n v="0"/>
    <n v="0"/>
    <n v="11.99"/>
    <n v="35.299999999999997"/>
    <n v="11"/>
    <n v="3209.090909090909"/>
    <x v="0"/>
    <x v="0"/>
    <n v="4"/>
    <n v="3"/>
    <n v="272.5"/>
  </r>
  <r>
    <d v="2025-02-09T10:08:00"/>
    <s v="INYECTADO"/>
    <x v="5"/>
    <x v="13"/>
    <s v="JOSDER GONZALEZ"/>
    <s v="VIRGEN"/>
    <s v="ALTA INYECCION"/>
    <s v="."/>
    <s v="ASAS ORGANIZADOR 2 Y 3 SOLIDO"/>
    <s v="ASAS DE ORGANIZADOR 2 Y 3-LILA"/>
    <n v="896"/>
    <n v="6"/>
    <n v="27.8"/>
    <x v="0"/>
    <n v="0"/>
    <n v="0"/>
    <n v="972"/>
    <n v="20339"/>
    <s v="LILA"/>
    <n v="12.2"/>
    <n v="0"/>
    <n v="0"/>
    <n v="9.8559999999999999"/>
    <n v="27.8"/>
    <n v="11"/>
    <n v="2527.2727272727275"/>
    <x v="0"/>
    <x v="0"/>
    <n v="4"/>
    <n v="3"/>
    <n v="224"/>
  </r>
  <r>
    <d v="2025-02-09T10:08:00"/>
    <s v="INYECTADO"/>
    <x v="5"/>
    <x v="13"/>
    <s v="JOSDER GONZALEZ"/>
    <s v="VIRGEN"/>
    <s v="ALTA INYECCION"/>
    <s v="."/>
    <s v="ASAS ORGANIZADOR 2 Y 3 SOLIDO"/>
    <s v="ASAS DE ORGANIZADOR 2 Y 3-FUCSIA"/>
    <n v="403"/>
    <n v="4"/>
    <n v="12.5"/>
    <x v="0"/>
    <n v="0"/>
    <n v="0"/>
    <n v="972"/>
    <n v="20339"/>
    <s v="FUCSIA"/>
    <n v="2.2000000000000002"/>
    <n v="0"/>
    <n v="0"/>
    <n v="4.4329999999999998"/>
    <n v="12.5"/>
    <n v="11"/>
    <n v="1136.3636363636363"/>
    <x v="0"/>
    <x v="0"/>
    <n v="4"/>
    <n v="3"/>
    <n v="100.75"/>
  </r>
  <r>
    <d v="2025-02-09T10:08:00"/>
    <s v="INYECTADO"/>
    <x v="5"/>
    <x v="14"/>
    <s v="GABRIEL REQUENA"/>
    <s v="SEGUNDA"/>
    <s v="."/>
    <s v="MIXTO"/>
    <s v="EMBUDO #1"/>
    <s v="EMBUDO #1-ANARANJADO"/>
    <n v="107"/>
    <n v="1"/>
    <n v="9.1"/>
    <x v="1"/>
    <n v="0"/>
    <n v="0"/>
    <n v="948"/>
    <n v="20340"/>
    <s v="NARANJA"/>
    <n v="2"/>
    <n v="0"/>
    <n v="0"/>
    <n v="2.3540000000000001"/>
    <n v="9.1"/>
    <n v="22"/>
    <n v="413.63636363636363"/>
    <x v="0"/>
    <x v="0"/>
    <n v="4"/>
    <n v="4"/>
    <n v="35.666666666666664"/>
  </r>
  <r>
    <d v="2025-02-09T10:08:00"/>
    <s v="INYECTADO"/>
    <x v="5"/>
    <x v="14"/>
    <s v="PAUL MILLER"/>
    <s v="SEGUNDA"/>
    <s v="."/>
    <s v="MIXTO"/>
    <s v="EMBUDO #1"/>
    <s v="EMBUDO #1-ANARANJADO"/>
    <n v="1015"/>
    <n v="9"/>
    <n v="85.3"/>
    <x v="1"/>
    <n v="0"/>
    <n v="0"/>
    <n v="948"/>
    <n v="20341"/>
    <s v="NARANJA"/>
    <n v="13.4"/>
    <n v="0"/>
    <n v="0"/>
    <n v="22.33"/>
    <n v="85.3"/>
    <n v="22"/>
    <n v="3877.2727272727275"/>
    <x v="0"/>
    <x v="0"/>
    <n v="4"/>
    <n v="4"/>
    <n v="338.33333333333331"/>
  </r>
  <r>
    <d v="2025-02-09T10:08:00"/>
    <s v="INYECTADO"/>
    <x v="5"/>
    <x v="14"/>
    <s v="PAUL MILLER"/>
    <s v="SEGUNDA"/>
    <s v="."/>
    <s v="MIXTO"/>
    <s v="EMBUDO #1"/>
    <s v="EMBUDO #1-VERDE"/>
    <n v="310"/>
    <n v="2"/>
    <n v="26.1"/>
    <x v="1"/>
    <n v="0"/>
    <n v="0"/>
    <n v="948"/>
    <n v="20341"/>
    <s v="VERDE"/>
    <n v="4.5999999999999996"/>
    <n v="0"/>
    <n v="0"/>
    <n v="6.82"/>
    <n v="26.1"/>
    <n v="22"/>
    <n v="1186.3636363636363"/>
    <x v="0"/>
    <x v="0"/>
    <n v="4"/>
    <n v="4"/>
    <n v="103.33333333333333"/>
  </r>
  <r>
    <d v="2025-02-09T10:08:00"/>
    <s v="INYECTADO"/>
    <x v="5"/>
    <x v="15"/>
    <s v="KARLA HUISA"/>
    <s v="SEGUNDA"/>
    <s v="."/>
    <s v="MIXTO"/>
    <s v="EMBUDO #1"/>
    <s v="EMBUDO #1-VERDE"/>
    <n v="876"/>
    <n v="9"/>
    <n v="71.900000000000006"/>
    <x v="0"/>
    <n v="0"/>
    <n v="0"/>
    <n v="948"/>
    <n v="20342"/>
    <s v="VERDE"/>
    <n v="7.4"/>
    <n v="0"/>
    <n v="0"/>
    <n v="19.271999999999998"/>
    <n v="71.900000000000006"/>
    <n v="22"/>
    <n v="3268.181818181818"/>
    <x v="0"/>
    <x v="0"/>
    <n v="4"/>
    <n v="4"/>
    <n v="292"/>
  </r>
  <r>
    <d v="2025-02-09T10:08:00"/>
    <s v="INYECTADO"/>
    <x v="5"/>
    <x v="15"/>
    <s v="KARLA HUISA"/>
    <s v="SEGUNDA"/>
    <s v="."/>
    <s v="MIXTO"/>
    <s v="EMBUDO #1"/>
    <s v="EMBUDO #1-CELESTE"/>
    <n v="75"/>
    <n v="1"/>
    <n v="6.2"/>
    <x v="0"/>
    <n v="0"/>
    <n v="0"/>
    <n v="948"/>
    <n v="20342"/>
    <s v="CELESTE"/>
    <n v="5.7"/>
    <n v="0"/>
    <n v="0"/>
    <n v="1.65"/>
    <n v="6.2"/>
    <n v="22"/>
    <n v="281.81818181818181"/>
    <x v="0"/>
    <x v="0"/>
    <n v="4"/>
    <n v="4"/>
    <n v="25"/>
  </r>
  <r>
    <d v="2025-02-09T10:08:00"/>
    <s v="INYECTADO"/>
    <x v="5"/>
    <x v="8"/>
    <s v="JOSDER GONZALEZ"/>
    <s v="SEGUNDA"/>
    <s v="."/>
    <s v="MIXTO"/>
    <s v="EMBUDO #1"/>
    <s v="EMBUDO #1-CELESTE"/>
    <n v="375"/>
    <n v="4"/>
    <n v="30.4"/>
    <x v="0"/>
    <n v="0"/>
    <n v="0"/>
    <n v="948"/>
    <n v="20343"/>
    <s v="CELESTE"/>
    <n v="10.5"/>
    <n v="0"/>
    <n v="0"/>
    <n v="8.25"/>
    <n v="30.4"/>
    <n v="22"/>
    <n v="1381.8181818181818"/>
    <x v="0"/>
    <x v="0"/>
    <n v="5"/>
    <n v="4"/>
    <n v="125"/>
  </r>
  <r>
    <d v="2025-02-09T10:08:00"/>
    <s v="INYECTADO"/>
    <x v="5"/>
    <x v="8"/>
    <s v="JOSDER GONZALEZ"/>
    <s v="SEGUNDA"/>
    <s v="."/>
    <s v="MIXTO"/>
    <s v="EMBUDO #1"/>
    <s v="EMBUDO #1-AMARILLO"/>
    <n v="406"/>
    <n v="5"/>
    <n v="35.200000000000003"/>
    <x v="0"/>
    <n v="0"/>
    <n v="0"/>
    <n v="948"/>
    <n v="20343"/>
    <s v="AMARILLO"/>
    <n v="9.1"/>
    <n v="0"/>
    <n v="0"/>
    <n v="8.9320000000000004"/>
    <n v="35.200000000000003"/>
    <n v="22"/>
    <n v="1600"/>
    <x v="0"/>
    <x v="0"/>
    <n v="5"/>
    <n v="4"/>
    <n v="135.33333333333334"/>
  </r>
  <r>
    <d v="2025-02-09T10:08:00"/>
    <s v="INYECTADO"/>
    <x v="5"/>
    <x v="8"/>
    <s v="FABIAN HERNANDEZ"/>
    <s v="SEGUNDA"/>
    <s v="."/>
    <s v="MIXTO"/>
    <s v="EMBUDO #1"/>
    <s v="EMBUDO #1-AMARILLO"/>
    <n v="118"/>
    <n v="1"/>
    <n v="10.1"/>
    <x v="1"/>
    <n v="0"/>
    <n v="0"/>
    <n v="948"/>
    <n v="20344"/>
    <s v="AMARILLO"/>
    <n v="0"/>
    <n v="0"/>
    <n v="0"/>
    <n v="2.5960000000000001"/>
    <n v="10.1"/>
    <n v="22"/>
    <n v="459.09090909090907"/>
    <x v="0"/>
    <x v="0"/>
    <n v="5"/>
    <n v="4"/>
    <n v="39.333333333333336"/>
  </r>
  <r>
    <d v="2025-02-09T10:08:00"/>
    <s v="INYECTADO"/>
    <x v="5"/>
    <x v="8"/>
    <s v="FABIAN HERNANDEZ"/>
    <s v="SEGUNDA"/>
    <s v="."/>
    <s v="MIXTO"/>
    <s v="EMBUDO #1"/>
    <s v="EMBUDO #1-FUCSIA"/>
    <n v="137"/>
    <n v="2"/>
    <n v="11.8"/>
    <x v="1"/>
    <n v="0"/>
    <n v="0"/>
    <n v="948"/>
    <n v="20344"/>
    <s v="FUCSIA"/>
    <n v="6.4"/>
    <n v="0"/>
    <n v="0"/>
    <n v="3.0139999999999998"/>
    <n v="11.8"/>
    <n v="22"/>
    <n v="536.36363636363637"/>
    <x v="0"/>
    <x v="0"/>
    <n v="5"/>
    <n v="4"/>
    <n v="45.666666666666664"/>
  </r>
  <r>
    <d v="2025-02-09T10:08:00"/>
    <s v="INYECTADO"/>
    <x v="5"/>
    <x v="16"/>
    <s v="ISABEL LINARIZ "/>
    <s v="SEGUNDA"/>
    <s v="."/>
    <s v="MIXTO"/>
    <s v="EMBUDO #1"/>
    <s v="EMBUDO #1-FUCSIA"/>
    <n v="741"/>
    <n v="8"/>
    <n v="63.8"/>
    <x v="0"/>
    <n v="0"/>
    <n v="0"/>
    <n v="948"/>
    <n v="20345"/>
    <s v="FUCSIA"/>
    <n v="14.2"/>
    <n v="0"/>
    <n v="0"/>
    <n v="16.302"/>
    <n v="63.8"/>
    <n v="22"/>
    <n v="2900"/>
    <x v="0"/>
    <x v="0"/>
    <n v="5"/>
    <n v="4"/>
    <n v="247"/>
  </r>
  <r>
    <d v="2025-02-09T10:08:00"/>
    <s v="INYECTADO"/>
    <x v="5"/>
    <x v="17"/>
    <s v="CARMEN AUCAPUMA"/>
    <s v="SEGUNDA"/>
    <s v="."/>
    <s v="MIXTO"/>
    <s v="EMBUDO #1"/>
    <s v="EMBUDO #1-FUCSIA"/>
    <n v="77"/>
    <n v="1"/>
    <n v="6.7"/>
    <x v="0"/>
    <n v="0"/>
    <n v="0"/>
    <n v="948"/>
    <n v="20346"/>
    <s v="FUCSIA"/>
    <n v="0"/>
    <n v="0"/>
    <n v="0"/>
    <n v="1.694"/>
    <n v="6.7"/>
    <n v="22"/>
    <n v="304.54545454545456"/>
    <x v="0"/>
    <x v="0"/>
    <n v="5"/>
    <n v="4"/>
    <n v="25.666666666666668"/>
  </r>
  <r>
    <d v="2025-02-09T10:08:00"/>
    <s v="INYECTADO"/>
    <x v="5"/>
    <x v="17"/>
    <s v="CARMEN AUCAPUMA"/>
    <s v="SEGUNDA"/>
    <s v="."/>
    <s v="MIXTO"/>
    <s v="EMBUDO #1"/>
    <s v="EMBUDO #1-LILA"/>
    <n v="252"/>
    <n v="3"/>
    <n v="21.7"/>
    <x v="0"/>
    <n v="0"/>
    <n v="0"/>
    <n v="948"/>
    <n v="20346"/>
    <s v="LILA"/>
    <n v="0"/>
    <n v="0"/>
    <n v="0"/>
    <n v="5.5439999999999996"/>
    <n v="21.7"/>
    <n v="22"/>
    <n v="986.36363636363637"/>
    <x v="0"/>
    <x v="0"/>
    <n v="5"/>
    <n v="4"/>
    <n v="84"/>
  </r>
  <r>
    <d v="2025-02-09T10:08:00"/>
    <s v="INYECTADO"/>
    <x v="0"/>
    <x v="18"/>
    <s v="JOSDER GONZALEZ"/>
    <s v="SEGUNDA"/>
    <s v="."/>
    <s v="MIXTO"/>
    <s v="ASAS DE BALDE PLAYERO"/>
    <s v="ASA DE BALDE PLAYERO-FUCSIA"/>
    <n v="139"/>
    <n v="1"/>
    <n v="5.7"/>
    <x v="0"/>
    <n v="0"/>
    <n v="1"/>
    <n v="956"/>
    <n v="20712"/>
    <s v="FUCSIA"/>
    <n v="4.0999999999999996"/>
    <n v="0"/>
    <n v="0"/>
    <n v="1.39"/>
    <n v="5.7"/>
    <n v="10"/>
    <n v="570"/>
    <x v="0"/>
    <x v="0"/>
    <n v="2"/>
    <n v="4"/>
    <n v="46.333333333333336"/>
  </r>
  <r>
    <d v="2025-02-09T10:08:00"/>
    <s v="INYECTADO"/>
    <x v="0"/>
    <x v="18"/>
    <s v="JOSDER GONZALEZ"/>
    <s v="SEGUNDA"/>
    <s v="."/>
    <s v="MIXTO"/>
    <s v="ASAS DE BALDE PLAYERO"/>
    <s v="ASA DE BALDE PLAYERO-ROJO"/>
    <n v="439"/>
    <n v="4"/>
    <n v="18"/>
    <x v="0"/>
    <n v="0"/>
    <n v="1"/>
    <n v="956"/>
    <n v="20712"/>
    <s v="ROJO"/>
    <n v="6.6"/>
    <n v="0"/>
    <n v="0"/>
    <n v="4.3899999999999997"/>
    <n v="18"/>
    <n v="10"/>
    <n v="1800"/>
    <x v="0"/>
    <x v="0"/>
    <n v="2"/>
    <n v="4"/>
    <n v="146.33333333333334"/>
  </r>
  <r>
    <d v="2025-02-09T10:08:00"/>
    <s v="INYECTADO"/>
    <x v="0"/>
    <x v="18"/>
    <s v="JOSDER GONZALEZ"/>
    <s v="VIRGEN"/>
    <s v="PP CLARIFICADO"/>
    <s v="."/>
    <s v="ASAS DE BALDE PLAYERO"/>
    <s v="ASA DE BALDE PLAYERO-AMARILLO"/>
    <n v="256"/>
    <n v="2"/>
    <n v="104"/>
    <x v="0"/>
    <n v="0"/>
    <n v="1"/>
    <n v="956"/>
    <n v="20712"/>
    <s v="AMARILLO"/>
    <n v="2.9"/>
    <n v="0"/>
    <n v="0"/>
    <n v="2.56"/>
    <n v="104"/>
    <n v="10"/>
    <n v="10400"/>
    <x v="0"/>
    <x v="0"/>
    <n v="2"/>
    <n v="4"/>
    <n v="85.333333333333329"/>
  </r>
  <r>
    <d v="2025-02-09T10:08:00"/>
    <s v="INYECTADO"/>
    <x v="0"/>
    <x v="19"/>
    <s v="ISABEL LINARIZ "/>
    <s v="VIRGEN"/>
    <s v="PP CLARIFICADO"/>
    <s v="."/>
    <s v="ASAS DE BALDE PLAYERO"/>
    <s v="ASA DE BALDE PLAYERO-AMARILLO"/>
    <n v="200"/>
    <n v="2"/>
    <n v="8.1"/>
    <x v="0"/>
    <n v="0"/>
    <n v="1"/>
    <n v="956"/>
    <n v="20713"/>
    <s v="AMARILLO"/>
    <n v="4.8"/>
    <n v="0"/>
    <n v="0"/>
    <n v="2"/>
    <n v="8.1"/>
    <n v="10"/>
    <n v="810"/>
    <x v="0"/>
    <x v="0"/>
    <n v="2"/>
    <n v="4"/>
    <n v="66.666666666666671"/>
  </r>
  <r>
    <d v="2025-02-09T10:08:00"/>
    <s v="INYECTADO"/>
    <x v="0"/>
    <x v="19"/>
    <s v="ISABEL LINARIZ "/>
    <s v="SEGUNDA"/>
    <s v="."/>
    <s v="MIXTO"/>
    <s v="ASAS DE BALDE PLAYERO"/>
    <s v="ASA DE BALDE PLAYERO-FUCSIA"/>
    <n v="441"/>
    <n v="4"/>
    <n v="17.899999999999999"/>
    <x v="0"/>
    <n v="0"/>
    <n v="1"/>
    <n v="956"/>
    <n v="20713"/>
    <s v="FUCSIA"/>
    <n v="6.5"/>
    <n v="0"/>
    <n v="0"/>
    <n v="4.41"/>
    <n v="17.899999999999999"/>
    <n v="10"/>
    <n v="1790"/>
    <x v="0"/>
    <x v="0"/>
    <n v="2"/>
    <n v="4"/>
    <n v="147"/>
  </r>
  <r>
    <d v="2025-02-09T10:08:00"/>
    <s v="INYECTADO"/>
    <x v="0"/>
    <x v="19"/>
    <s v="ISABEL LINARIZ "/>
    <s v="SEGUNDA"/>
    <s v="."/>
    <s v="MIXTO"/>
    <s v="ASAS DE BALDE PLAYERO"/>
    <s v="ASA DE BALDE PLAYERO-LILA"/>
    <n v="229"/>
    <n v="2"/>
    <n v="9.3000000000000007"/>
    <x v="0"/>
    <n v="0"/>
    <n v="1"/>
    <n v="956"/>
    <n v="20713"/>
    <s v="LILA"/>
    <n v="3"/>
    <n v="0"/>
    <n v="0"/>
    <n v="2.29"/>
    <n v="9.3000000000000007"/>
    <n v="10"/>
    <n v="930"/>
    <x v="0"/>
    <x v="0"/>
    <n v="2"/>
    <n v="4"/>
    <n v="76.333333333333329"/>
  </r>
  <r>
    <d v="2025-02-09T10:08:00"/>
    <s v="INYECTADO"/>
    <x v="0"/>
    <x v="20"/>
    <s v="SAID VILLAMIZAR"/>
    <s v="SEGUNDA"/>
    <s v="."/>
    <s v="MIXTO"/>
    <s v="ASAS DE BALDE PLAYERO"/>
    <s v="ASA DE BALDE PLAYERO-LILA"/>
    <n v="709"/>
    <n v="6"/>
    <n v="29.1"/>
    <x v="0"/>
    <n v="0"/>
    <n v="3"/>
    <n v="956"/>
    <n v="20714"/>
    <s v="LILA"/>
    <n v="11.2"/>
    <n v="0"/>
    <n v="0"/>
    <n v="7.09"/>
    <n v="29.1"/>
    <n v="10"/>
    <n v="2910"/>
    <x v="0"/>
    <x v="0"/>
    <n v="2"/>
    <n v="4"/>
    <n v="236.33333333333334"/>
  </r>
  <r>
    <d v="2025-02-09T10:08:00"/>
    <s v="INYECTADO"/>
    <x v="0"/>
    <x v="20"/>
    <s v="SAID VILLAMIZAR"/>
    <s v="SEGUNDA"/>
    <s v="."/>
    <s v="MIXTO"/>
    <s v="ASAS DE BALDE PLAYERO"/>
    <s v="ASA DE BALDE PLAYERO-ROJO"/>
    <n v="426"/>
    <n v="3"/>
    <n v="17.5"/>
    <x v="0"/>
    <n v="0"/>
    <n v="3"/>
    <n v="956"/>
    <n v="20714"/>
    <s v="ROJO"/>
    <n v="6.8"/>
    <n v="0"/>
    <n v="0"/>
    <n v="4.26"/>
    <n v="17.5"/>
    <n v="10"/>
    <n v="1750"/>
    <x v="0"/>
    <x v="0"/>
    <n v="2"/>
    <n v="4"/>
    <n v="142"/>
  </r>
  <r>
    <d v="2025-02-09T10:08:00"/>
    <s v="INYECTADO"/>
    <x v="0"/>
    <x v="21"/>
    <s v="ALGIMIRO CALDERAS"/>
    <s v="SEGUNDA"/>
    <s v="."/>
    <s v="MIXTO"/>
    <s v="ASAS DE BALDE PLAYERO"/>
    <s v="ASA DE BALDE PLAYERO-FUCSIA"/>
    <n v="50"/>
    <n v="1"/>
    <n v="2"/>
    <x v="0"/>
    <n v="0"/>
    <n v="1"/>
    <n v="956"/>
    <n v="20715"/>
    <s v="FUCSIA"/>
    <n v="3.7"/>
    <n v="0"/>
    <n v="0"/>
    <n v="0.5"/>
    <n v="2"/>
    <n v="10"/>
    <n v="200"/>
    <x v="0"/>
    <x v="0"/>
    <n v="2"/>
    <n v="4"/>
    <n v="16.666666666666668"/>
  </r>
  <r>
    <d v="2025-02-09T10:08:00"/>
    <s v="INYECTADO"/>
    <x v="0"/>
    <x v="21"/>
    <s v="ALGIMIRO CALDERAS"/>
    <s v="SEGUNDA"/>
    <s v="."/>
    <s v="MIXTO"/>
    <s v="ASAS DE BALDE PLAYERO"/>
    <s v="ASA DE BALDE PLAYERO-VERDE"/>
    <n v="377"/>
    <n v="3"/>
    <n v="15.3"/>
    <x v="0"/>
    <n v="0"/>
    <n v="1"/>
    <n v="956"/>
    <n v="20715"/>
    <s v="VERDE"/>
    <n v="8"/>
    <n v="0"/>
    <n v="0"/>
    <n v="3.77"/>
    <n v="15.3"/>
    <n v="10"/>
    <n v="1530"/>
    <x v="0"/>
    <x v="0"/>
    <n v="2"/>
    <n v="4"/>
    <n v="125.66666666666667"/>
  </r>
  <r>
    <d v="2025-02-09T10:08:00"/>
    <s v="INYECTADO"/>
    <x v="0"/>
    <x v="21"/>
    <s v="ALGIMIRO CALDERAS"/>
    <s v="SEGUNDA"/>
    <s v="."/>
    <s v="MIXTO"/>
    <s v="ASAS DE BALDE PLAYERO"/>
    <s v="ASA DE BALDE PLAYERO-AZUL"/>
    <n v="481"/>
    <n v="4"/>
    <n v="19.3"/>
    <x v="0"/>
    <n v="0"/>
    <n v="1"/>
    <n v="956"/>
    <n v="20715"/>
    <s v="CELESTE"/>
    <n v="8.8000000000000007"/>
    <n v="0"/>
    <n v="0"/>
    <n v="4.8099999999999996"/>
    <n v="19.3"/>
    <n v="10"/>
    <n v="1930"/>
    <x v="0"/>
    <x v="0"/>
    <n v="2"/>
    <n v="4"/>
    <n v="160.33333333333334"/>
  </r>
  <r>
    <d v="2025-02-09T10:08:00"/>
    <s v="INYECTADO"/>
    <x v="0"/>
    <x v="22"/>
    <s v="GABRIEL REQUENA"/>
    <s v="SEGUNDA"/>
    <s v="."/>
    <s v="MIXTO"/>
    <s v="ASAS DE BALDE PLAYERO"/>
    <s v="ASA DE BALDE PLAYERO-FUCSIA"/>
    <n v="607"/>
    <n v="5"/>
    <n v="24.3"/>
    <x v="0"/>
    <n v="0"/>
    <n v="2"/>
    <n v="956"/>
    <n v="20716"/>
    <s v="FUCSIA"/>
    <n v="7.9"/>
    <n v="0"/>
    <n v="0"/>
    <n v="6.07"/>
    <n v="24.3"/>
    <n v="10"/>
    <n v="2430"/>
    <x v="0"/>
    <x v="0"/>
    <n v="2"/>
    <n v="4"/>
    <n v="202.33333333333334"/>
  </r>
  <r>
    <d v="2025-02-09T10:08:00"/>
    <s v="INYECTADO"/>
    <x v="0"/>
    <x v="22"/>
    <s v="GABRIEL REQUENA"/>
    <s v="SEGUNDA"/>
    <s v="."/>
    <s v="MIXTO"/>
    <s v="ASAS DE BALDE PLAYERO"/>
    <s v="ASA DE BALDE PLAYERO-ROJO"/>
    <n v="315"/>
    <n v="3"/>
    <n v="12.6"/>
    <x v="0"/>
    <n v="0"/>
    <n v="1"/>
    <n v="956"/>
    <n v="20716"/>
    <s v="ROJO"/>
    <n v="6.6"/>
    <n v="0"/>
    <n v="0"/>
    <n v="3.15"/>
    <n v="12.6"/>
    <n v="10"/>
    <n v="1260"/>
    <x v="0"/>
    <x v="0"/>
    <n v="2"/>
    <n v="4"/>
    <n v="105"/>
  </r>
  <r>
    <d v="2025-02-09T10:08:00"/>
    <s v="INYECTADO"/>
    <x v="0"/>
    <x v="22"/>
    <s v="GABRIEL REQUENA"/>
    <s v="SEGUNDA"/>
    <s v="."/>
    <s v="MIXTO"/>
    <s v="ASAS DE BALDE PLAYERO"/>
    <s v="ASA DE BALDE PLAYERO-LILA"/>
    <n v="365"/>
    <n v="3"/>
    <n v="14.7"/>
    <x v="0"/>
    <n v="0"/>
    <n v="1"/>
    <n v="956"/>
    <n v="20716"/>
    <s v="LILA"/>
    <n v="4.8"/>
    <n v="0"/>
    <n v="0"/>
    <n v="3.65"/>
    <n v="14.7"/>
    <n v="10"/>
    <n v="1470"/>
    <x v="0"/>
    <x v="0"/>
    <n v="2"/>
    <n v="4"/>
    <n v="121.66666666666667"/>
  </r>
  <r>
    <d v="2025-02-09T10:08:00"/>
    <s v="INYECTADO"/>
    <x v="0"/>
    <x v="11"/>
    <s v="JUAN CARLOS CEDENO"/>
    <s v="SEGUNDA"/>
    <s v="."/>
    <s v="MIXTO"/>
    <s v="ASAS DE BALDE PLAYERO"/>
    <s v="ASA DE BALDE PLAYERO-LILA"/>
    <n v="568"/>
    <n v="5"/>
    <n v="23.4"/>
    <x v="0"/>
    <n v="0"/>
    <n v="2"/>
    <n v="956"/>
    <n v="20717"/>
    <s v="LILA"/>
    <n v="6.7"/>
    <n v="0"/>
    <n v="0"/>
    <n v="5.68"/>
    <n v="23.4"/>
    <n v="10"/>
    <n v="2340"/>
    <x v="0"/>
    <x v="0"/>
    <n v="3"/>
    <n v="4"/>
    <n v="189.33333333333334"/>
  </r>
  <r>
    <d v="2025-02-09T10:08:00"/>
    <s v="INYECTADO"/>
    <x v="0"/>
    <x v="11"/>
    <s v="JUAN CARLOS CEDENO"/>
    <s v="SEGUNDA"/>
    <s v="."/>
    <s v="MIXTO"/>
    <s v="ASAS DE BALDE PLAYERO"/>
    <s v="ASA DE BALDE PLAYERO-FUCSIA"/>
    <n v="166"/>
    <n v="1"/>
    <n v="7"/>
    <x v="0"/>
    <n v="0"/>
    <n v="1"/>
    <n v="956"/>
    <n v="20717"/>
    <s v="FUCSIA"/>
    <n v="1.1000000000000001"/>
    <n v="0"/>
    <n v="0"/>
    <n v="1.66"/>
    <n v="7"/>
    <n v="10"/>
    <n v="700"/>
    <x v="0"/>
    <x v="0"/>
    <n v="3"/>
    <n v="4"/>
    <n v="55.333333333333336"/>
  </r>
  <r>
    <d v="2025-02-09T10:08:00"/>
    <s v="INYECTADO"/>
    <x v="0"/>
    <x v="11"/>
    <s v="FABIAN HERNANDEZ"/>
    <s v="SEGUNDA"/>
    <s v="."/>
    <s v="MIXTO"/>
    <s v="ASAS DE BALDE PLAYERO"/>
    <s v="ASA DE BALDE PLAYERO-FUCSIA"/>
    <n v="332"/>
    <n v="3"/>
    <n v="13.9"/>
    <x v="1"/>
    <n v="0"/>
    <n v="1"/>
    <n v="956"/>
    <n v="20718"/>
    <s v="FUCSIA"/>
    <n v="8.6999999999999993"/>
    <n v="0"/>
    <n v="0"/>
    <n v="3.32"/>
    <n v="13.9"/>
    <n v="10"/>
    <n v="1390"/>
    <x v="0"/>
    <x v="0"/>
    <n v="3"/>
    <n v="4"/>
    <n v="110.66666666666667"/>
  </r>
  <r>
    <d v="2025-02-09T10:08:00"/>
    <s v="INYECTADO"/>
    <x v="0"/>
    <x v="11"/>
    <s v="FABIAN HERNANDEZ"/>
    <s v="SEGUNDA"/>
    <s v="."/>
    <s v="MIXTO"/>
    <s v="ASAS DE BALDE PLAYERO"/>
    <s v="ASA DE BALDE PLAYERO-VERDE"/>
    <n v="446"/>
    <n v="4"/>
    <n v="18.2"/>
    <x v="1"/>
    <n v="0"/>
    <n v="1"/>
    <n v="956"/>
    <n v="20718"/>
    <s v="VERDE"/>
    <n v="3.2"/>
    <n v="0"/>
    <n v="0"/>
    <n v="4.46"/>
    <n v="18.2"/>
    <n v="10"/>
    <n v="1820"/>
    <x v="0"/>
    <x v="0"/>
    <n v="3"/>
    <n v="4"/>
    <n v="148.66666666666666"/>
  </r>
  <r>
    <d v="2025-02-09T10:08:00"/>
    <s v="INYECTADO"/>
    <x v="0"/>
    <x v="23"/>
    <s v="ISABEL LINARIZ "/>
    <s v="VIRGEN"/>
    <s v="PP CLARIFICADO"/>
    <s v="."/>
    <s v="ASAS DE BALDE PLAYERO"/>
    <s v="ASA DE BALDE PLAYERO-AMARILLO"/>
    <n v="432"/>
    <n v="4"/>
    <n v="17.7"/>
    <x v="0"/>
    <n v="0"/>
    <n v="1"/>
    <n v="956"/>
    <n v="20719"/>
    <s v="AMARILLO"/>
    <n v="7.9"/>
    <n v="0"/>
    <n v="0"/>
    <n v="4.32"/>
    <n v="17.7"/>
    <n v="10"/>
    <n v="1770"/>
    <x v="0"/>
    <x v="0"/>
    <n v="3"/>
    <n v="4"/>
    <n v="144"/>
  </r>
  <r>
    <d v="2025-02-09T10:08:00"/>
    <s v="INYECTADO"/>
    <x v="0"/>
    <x v="12"/>
    <s v="LUIS RENGIFO"/>
    <s v="VIRGEN"/>
    <s v="PP CLARIFICADO"/>
    <s v="."/>
    <s v="TAPA TOMATODO DOBLE CLICK SOLIDO"/>
    <s v="TAPA TOMATODO DOBLE CLICK-ANARANJADO"/>
    <n v="237"/>
    <n v="3"/>
    <n v="43.8"/>
    <x v="0"/>
    <n v="0"/>
    <n v="6"/>
    <n v="966"/>
    <n v="20720"/>
    <s v="ANARNJADO"/>
    <n v="13.1"/>
    <n v="0"/>
    <n v="0"/>
    <n v="5.2471800000000002"/>
    <n v="43.8"/>
    <n v="22.14"/>
    <n v="1978.3197831978318"/>
    <x v="0"/>
    <x v="0"/>
    <n v="4"/>
    <n v="7"/>
    <n v="138.25"/>
  </r>
  <r>
    <d v="2025-02-09T10:08:00"/>
    <s v="INYECTADO"/>
    <x v="0"/>
    <x v="13"/>
    <s v="JUAN CARLOS CEDENO"/>
    <s v="VIRGEN"/>
    <s v="PP CLARIFICADO"/>
    <s v="."/>
    <s v="TAPA TOMATODO DOBLE CLICK SOLIDO"/>
    <s v="TAPA TOMATODO DOBLE CLICK-AMARILLO"/>
    <n v="253"/>
    <n v="3"/>
    <n v="44.2"/>
    <x v="0"/>
    <n v="0"/>
    <n v="5"/>
    <n v="966"/>
    <n v="20721"/>
    <s v="AMARILLO"/>
    <n v="7.9"/>
    <n v="0"/>
    <n v="0"/>
    <n v="5.6014200000000001"/>
    <n v="44.2"/>
    <n v="22.14"/>
    <n v="1996.386630532972"/>
    <x v="0"/>
    <x v="0"/>
    <n v="4"/>
    <n v="7"/>
    <n v="147.58333333333334"/>
  </r>
  <r>
    <d v="2025-02-09T10:08:00"/>
    <s v="INYECTADO"/>
    <x v="0"/>
    <x v="13"/>
    <s v="JUAN CARLOS CEDENO"/>
    <s v="VIRGEN"/>
    <s v="PP CLARIFICADO"/>
    <s v="."/>
    <s v="TAPA TOMATODO DOBLE CLICK SOLIDO"/>
    <s v="TAPA TOMATODO DOBLE CLICK-VERDE"/>
    <n v="228"/>
    <n v="3"/>
    <n v="22.4"/>
    <x v="0"/>
    <n v="0"/>
    <n v="2"/>
    <n v="966"/>
    <n v="20721"/>
    <s v="VERDE"/>
    <n v="12.6"/>
    <n v="0"/>
    <n v="0"/>
    <n v="5.0479200000000004"/>
    <n v="22.4"/>
    <n v="22.14"/>
    <n v="1011.743450767841"/>
    <x v="0"/>
    <x v="0"/>
    <n v="4"/>
    <n v="7"/>
    <n v="133"/>
  </r>
  <r>
    <d v="2025-02-09T10:08:00"/>
    <s v="INYECTADO"/>
    <x v="0"/>
    <x v="13"/>
    <s v="JUAN CARLOS CEDENO"/>
    <s v="VIRGEN"/>
    <s v="PP CLARIFICADO"/>
    <s v="."/>
    <s v="TAPA TOMATODO DOBLE CLICK SOLIDO"/>
    <s v="TAPA TOMATODO DOBLE CLICK-TURQUESA"/>
    <n v="150"/>
    <n v="2"/>
    <n v="26.4"/>
    <x v="0"/>
    <n v="0"/>
    <n v="2"/>
    <n v="966"/>
    <n v="20721"/>
    <s v="TURQUESA"/>
    <n v="3.4"/>
    <n v="0"/>
    <n v="0"/>
    <n v="3.3210000000000002"/>
    <n v="26.4"/>
    <n v="22.14"/>
    <n v="1192.4119241192411"/>
    <x v="0"/>
    <x v="0"/>
    <n v="4"/>
    <n v="7"/>
    <n v="87.5"/>
  </r>
  <r>
    <d v="2025-02-09T10:08:00"/>
    <s v="INYECTADO"/>
    <x v="0"/>
    <x v="24"/>
    <s v="JOSDER GONZALEZ"/>
    <s v="VIRGEN"/>
    <s v="PP CLARIFICADO"/>
    <s v="."/>
    <s v="TAPA TOMATODO DOBLE CLICK SOLIDO"/>
    <s v="TAPA TOMATODO DOBLE CLICK-TURQUESA"/>
    <n v="100"/>
    <n v="2"/>
    <n v="17.5"/>
    <x v="0"/>
    <n v="0"/>
    <n v="2"/>
    <n v="966"/>
    <n v="20722"/>
    <s v="TURQUESA"/>
    <n v="5.2"/>
    <n v="0"/>
    <n v="0"/>
    <n v="2.214"/>
    <n v="17.5"/>
    <n v="22.14"/>
    <n v="790.42457091237577"/>
    <x v="0"/>
    <x v="0"/>
    <n v="4"/>
    <n v="7"/>
    <n v="58.333333333333336"/>
  </r>
  <r>
    <d v="2025-02-09T10:08:00"/>
    <s v="INYECTADO"/>
    <x v="0"/>
    <x v="24"/>
    <s v="JOSDER GONZALEZ"/>
    <s v="VIRGEN"/>
    <s v="PP CLARIFICADO"/>
    <s v="."/>
    <s v="TAPA TOMATODO DOBLE CLICK SOLIDO"/>
    <s v="TAPA TOMATODO DOBLE CLICK-LILA"/>
    <n v="248"/>
    <n v="3"/>
    <n v="43.4"/>
    <x v="0"/>
    <n v="0"/>
    <n v="6"/>
    <n v="966"/>
    <n v="20722"/>
    <s v="LILA"/>
    <n v="7.2"/>
    <n v="0"/>
    <n v="0"/>
    <n v="5.4907200000000005"/>
    <n v="43.4"/>
    <n v="22.14"/>
    <n v="1960.2529358626919"/>
    <x v="0"/>
    <x v="0"/>
    <n v="4"/>
    <n v="7"/>
    <n v="144.66666666666666"/>
  </r>
  <r>
    <d v="2025-02-09T10:08:00"/>
    <s v="INYECTADO"/>
    <x v="0"/>
    <x v="24"/>
    <s v="JOSDER GONZALEZ"/>
    <s v="VIRGEN"/>
    <s v="PP CLARIFICADO"/>
    <s v="."/>
    <s v="TAPA TOMATODO DOBLE CLICK SOLIDO"/>
    <s v="TAPA TOMATODO DOBLE CLICK-FUCSIA"/>
    <n v="115"/>
    <n v="2"/>
    <n v="20.100000000000001"/>
    <x v="0"/>
    <n v="0"/>
    <n v="3"/>
    <n v="966"/>
    <n v="20722"/>
    <s v="FUCSIA"/>
    <n v="3.4"/>
    <n v="0"/>
    <n v="0"/>
    <n v="2.5461"/>
    <n v="20.100000000000001"/>
    <n v="22.14"/>
    <n v="907.85907859078588"/>
    <x v="0"/>
    <x v="0"/>
    <n v="4"/>
    <n v="7"/>
    <n v="67.083333333333329"/>
  </r>
  <r>
    <d v="2025-02-09T10:08:00"/>
    <s v="INYECTADO"/>
    <x v="0"/>
    <x v="24"/>
    <s v="JOSDER GONZALEZ"/>
    <s v="VIRGEN"/>
    <s v="PP CLARIFICADO"/>
    <s v="."/>
    <s v="TAPA TOMATODO DOBLE CLICK SOLIDO"/>
    <s v="TAPA TOMATODO DOBLE CLICK-VERDE"/>
    <n v="85"/>
    <n v="1"/>
    <n v="14.8"/>
    <x v="0"/>
    <n v="0"/>
    <n v="2"/>
    <n v="966"/>
    <n v="20722"/>
    <s v="VERDE"/>
    <n v="0"/>
    <n v="0"/>
    <n v="0"/>
    <n v="1.8819000000000001"/>
    <n v="14.8"/>
    <n v="22.14"/>
    <n v="668.4733514001806"/>
    <x v="0"/>
    <x v="0"/>
    <n v="4"/>
    <n v="7"/>
    <n v="49.583333333333336"/>
  </r>
  <r>
    <d v="2025-02-09T10:08:00"/>
    <s v="INYECTADO"/>
    <x v="0"/>
    <x v="25"/>
    <s v="JUAN CARLOS CEDENO"/>
    <s v="VIRGEN"/>
    <s v="PP CLARIFICADO"/>
    <s v="."/>
    <s v="TAPA TOMATODO DOBLE CLICK PASTEL"/>
    <s v="TAPA TOMATODO DOBLE CLICK-ROSADO"/>
    <n v="250"/>
    <n v="3"/>
    <n v="43.8"/>
    <x v="0"/>
    <n v="0"/>
    <n v="4"/>
    <n v="976"/>
    <n v="20723"/>
    <s v="ROSADO"/>
    <n v="6.6"/>
    <n v="0"/>
    <n v="0"/>
    <n v="5.5350000000000001"/>
    <n v="43.8"/>
    <n v="22.14"/>
    <n v="1978.3197831978318"/>
    <x v="0"/>
    <x v="0"/>
    <n v="4"/>
    <n v="5"/>
    <n v="104.16666666666667"/>
  </r>
  <r>
    <d v="2025-02-09T10:08:00"/>
    <s v="INYECTADO"/>
    <x v="0"/>
    <x v="25"/>
    <s v="JUAN CARLOS CEDENO"/>
    <s v="VIRGEN"/>
    <s v="PP CLARIFICADO"/>
    <s v="."/>
    <s v="TAPA TOMATODO DOBLE CLICK PASTEL"/>
    <s v="TAPA TOMATODO DOBLE CLICK-LILA"/>
    <n v="263"/>
    <n v="3"/>
    <n v="46"/>
    <x v="0"/>
    <n v="0"/>
    <n v="5"/>
    <n v="976"/>
    <n v="20723"/>
    <s v="LILA"/>
    <n v="7"/>
    <n v="0"/>
    <n v="0"/>
    <n v="5.8228200000000001"/>
    <n v="46"/>
    <n v="22.14"/>
    <n v="2077.6874435411019"/>
    <x v="0"/>
    <x v="0"/>
    <n v="4"/>
    <n v="7"/>
    <n v="153.41666666666666"/>
  </r>
  <r>
    <d v="2025-02-09T10:08:00"/>
    <s v="INYECTADO"/>
    <x v="0"/>
    <x v="25"/>
    <s v="JUAN CARLOS CEDENO"/>
    <s v="VIRGEN"/>
    <s v="PP CLARIFICADO"/>
    <s v="."/>
    <s v="TAPA TOMATODO DOBLE CLICK PASTEL"/>
    <s v="TAPA TOMATODO DOBLE CLICK-CELESTE"/>
    <n v="176"/>
    <n v="2"/>
    <n v="30.8"/>
    <x v="0"/>
    <n v="0"/>
    <n v="4"/>
    <n v="976"/>
    <n v="20723"/>
    <s v="CELESTE"/>
    <n v="3.8"/>
    <n v="0"/>
    <n v="0"/>
    <n v="3.8966400000000005"/>
    <n v="30.8"/>
    <n v="22.14"/>
    <n v="1391.1472448057814"/>
    <x v="0"/>
    <x v="0"/>
    <n v="4"/>
    <n v="7"/>
    <n v="102.66666666666667"/>
  </r>
  <r>
    <d v="2025-02-09T10:08:00"/>
    <s v="INYECTADO"/>
    <x v="0"/>
    <x v="14"/>
    <s v="CARMEN AUCAPUMA"/>
    <s v="VIRGEN"/>
    <s v="PP CLARIFICADO"/>
    <s v="."/>
    <s v="TAPA TOMATODO DOBLE CLICK PASTEL"/>
    <s v="TAPA TOMATODO DOBLE CLICK-TURQUESA"/>
    <n v="176"/>
    <n v="2"/>
    <n v="30.8"/>
    <x v="0"/>
    <n v="0"/>
    <n v="3"/>
    <n v="976"/>
    <n v="20724"/>
    <s v="TURQUESA"/>
    <n v="6.8"/>
    <n v="0"/>
    <n v="0"/>
    <n v="3.8966400000000005"/>
    <n v="30.8"/>
    <n v="22.14"/>
    <n v="1391.1472448057814"/>
    <x v="0"/>
    <x v="0"/>
    <n v="4"/>
    <n v="7"/>
    <n v="102.66666666666667"/>
  </r>
  <r>
    <d v="2025-02-09T10:08:00"/>
    <s v="INYECTADO"/>
    <x v="0"/>
    <x v="14"/>
    <s v="CARMEN AUCAPUMA"/>
    <s v="VIRGEN"/>
    <s v="PP CLARIFICADO"/>
    <s v="."/>
    <s v="TAPA TOMATODO DOBLE CLICK PASTEL"/>
    <s v="TAPA TOMATODO DOBLE CLICK-AZURE"/>
    <n v="477"/>
    <n v="7"/>
    <n v="83.6"/>
    <x v="0"/>
    <n v="0"/>
    <n v="9"/>
    <n v="976"/>
    <n v="20724"/>
    <s v="AZURE"/>
    <n v="12.7"/>
    <n v="0"/>
    <n v="0"/>
    <n v="10.560780000000001"/>
    <n v="83.6"/>
    <n v="22.14"/>
    <n v="3775.9710930442639"/>
    <x v="0"/>
    <x v="0"/>
    <n v="4"/>
    <n v="7"/>
    <n v="278.25"/>
  </r>
  <r>
    <d v="2025-02-09T10:08:00"/>
    <s v="INYECTADO"/>
    <x v="0"/>
    <x v="15"/>
    <s v="LEONOR GUTIERREZ"/>
    <s v="VIRGEN"/>
    <s v="PP CLARIFICADO"/>
    <s v="."/>
    <s v="TAPA TOMATODO DOBLE CLICK PASTEL"/>
    <s v="TAPA TOMATODO DOBLE CLICK-SANDIA"/>
    <n v="476"/>
    <n v="7"/>
    <n v="83.3"/>
    <x v="0"/>
    <n v="0"/>
    <n v="10"/>
    <n v="976"/>
    <n v="20725"/>
    <s v="SANDIA"/>
    <n v="10.5"/>
    <n v="0"/>
    <n v="0"/>
    <n v="10.538639999999999"/>
    <n v="83.3"/>
    <n v="22.14"/>
    <n v="3762.4209575429086"/>
    <x v="0"/>
    <x v="0"/>
    <n v="4"/>
    <n v="7"/>
    <n v="277.66666666666669"/>
  </r>
  <r>
    <d v="2025-02-09T10:08:00"/>
    <s v="INYECTADO"/>
    <x v="0"/>
    <x v="15"/>
    <s v="LEONOR GUTIERREZ"/>
    <s v="VIRGEN"/>
    <s v="PP CLARIFICADO"/>
    <s v="."/>
    <s v="TAPA TOMATODO DOBLE CLICK SOLIDO"/>
    <s v="TAPA TOMATODO DOBLE CLICK-ANARANJADO"/>
    <n v="153"/>
    <n v="1"/>
    <n v="26.7"/>
    <x v="0"/>
    <n v="0"/>
    <n v="3"/>
    <n v="966"/>
    <n v="20725"/>
    <s v="ANARANJADO"/>
    <n v="3.1"/>
    <n v="0"/>
    <n v="0"/>
    <n v="3.3874200000000001"/>
    <n v="26.7"/>
    <n v="22.14"/>
    <n v="1205.9620596205962"/>
    <x v="0"/>
    <x v="0"/>
    <n v="4"/>
    <n v="7"/>
    <n v="89.25"/>
  </r>
  <r>
    <d v="2025-02-09T10:08:00"/>
    <s v="INYECTADO"/>
    <x v="0"/>
    <x v="7"/>
    <s v="LUIS PINEDO"/>
    <s v="VIRGEN"/>
    <s v="PP CLARIFICADO"/>
    <s v="."/>
    <s v="TAPA TOMATODO DOBLE CLICK SOLIDO"/>
    <s v="TAPA TOMATODO DOBLE CLICK-ANARANJADO"/>
    <n v="88"/>
    <n v="1"/>
    <n v="15.3"/>
    <x v="0"/>
    <n v="0"/>
    <n v="2"/>
    <n v="966"/>
    <n v="20726"/>
    <s v="ANARANJADO"/>
    <n v="6"/>
    <n v="0"/>
    <n v="0"/>
    <n v="1.9483200000000003"/>
    <n v="15.3"/>
    <n v="22.14"/>
    <n v="691.05691056910564"/>
    <x v="0"/>
    <x v="0"/>
    <n v="5"/>
    <n v="7"/>
    <n v="51.333333333333336"/>
  </r>
  <r>
    <d v="2025-02-09T10:08:00"/>
    <s v="INYECTADO"/>
    <x v="0"/>
    <x v="7"/>
    <s v="LUIS PINEDO"/>
    <s v="VIRGEN"/>
    <s v="PP CLARIFICADO"/>
    <s v="."/>
    <s v="TAPA TOMATODO DOBLE CLICK SOLIDO"/>
    <s v="TAPA TOMATODO DOBLE CLICK-VERDE"/>
    <n v="270"/>
    <n v="3"/>
    <n v="47.2"/>
    <x v="0"/>
    <n v="0"/>
    <n v="5"/>
    <n v="966"/>
    <n v="20726"/>
    <s v="VERDE"/>
    <n v="7.8"/>
    <n v="0"/>
    <n v="0"/>
    <n v="5.9778000000000002"/>
    <n v="47.2"/>
    <n v="22.14"/>
    <n v="2131.887985546522"/>
    <x v="0"/>
    <x v="0"/>
    <n v="5"/>
    <n v="7"/>
    <n v="157.5"/>
  </r>
  <r>
    <d v="2025-02-09T10:08:00"/>
    <s v="INYECTADO"/>
    <x v="0"/>
    <x v="7"/>
    <s v="LUIS PINEDO"/>
    <s v="VIRGEN"/>
    <s v="PP CLARIFICADO"/>
    <s v="."/>
    <s v="TAPA TOMATODO DOBLE CLICK SOLIDO"/>
    <s v="TAPA TOMATODO DOBLE CLICK-FUCSIA"/>
    <n v="48"/>
    <n v="1"/>
    <n v="8.5"/>
    <x v="0"/>
    <n v="0"/>
    <n v="1"/>
    <n v="966"/>
    <n v="20726"/>
    <s v="FUCSIA"/>
    <n v="1.4"/>
    <n v="0"/>
    <n v="0"/>
    <n v="1.0627200000000001"/>
    <n v="8.5"/>
    <n v="22.14"/>
    <n v="383.92050587172537"/>
    <x v="0"/>
    <x v="0"/>
    <n v="5"/>
    <n v="7"/>
    <n v="28"/>
  </r>
  <r>
    <d v="2025-02-09T10:08:00"/>
    <s v="INYECTADO"/>
    <x v="0"/>
    <x v="8"/>
    <s v="JUAN CARLOS CEDENO"/>
    <s v="VIRGEN"/>
    <s v="PP CLARIFICADO"/>
    <s v="."/>
    <s v="TAPA TOMATODO DOBLE CLICK SOLIDO"/>
    <s v="TAPA TOMATODO DOBLE CLICK-FUCSIA"/>
    <n v="212"/>
    <n v="3"/>
    <n v="37.200000000000003"/>
    <x v="0"/>
    <n v="0"/>
    <n v="4"/>
    <n v="966"/>
    <n v="20726"/>
    <s v="FUCSIA"/>
    <n v="7.3"/>
    <n v="0"/>
    <n v="0"/>
    <n v="4.6936800000000005"/>
    <n v="37.200000000000003"/>
    <n v="22.14"/>
    <n v="1680.2168021680216"/>
    <x v="0"/>
    <x v="0"/>
    <n v="5"/>
    <n v="7"/>
    <n v="123.66666666666667"/>
  </r>
  <r>
    <d v="2025-02-09T10:08:00"/>
    <s v="INYECTADO"/>
    <x v="0"/>
    <x v="8"/>
    <s v="JUAN CARLOS CEDENO"/>
    <s v="VIRGEN"/>
    <s v="PP CLARIFICADO"/>
    <s v="."/>
    <s v="TAPA TOMATODO DOBLE CLICK SOLIDO"/>
    <s v="TAPA TOMATODO DOBLE CLICK-AMARILLO"/>
    <n v="259"/>
    <n v="3"/>
    <n v="45"/>
    <x v="0"/>
    <n v="0"/>
    <n v="7"/>
    <n v="966"/>
    <n v="20726"/>
    <s v="AMARILLO"/>
    <n v="9.3000000000000007"/>
    <n v="0"/>
    <n v="0"/>
    <n v="5.7342599999999999"/>
    <n v="45"/>
    <n v="22.14"/>
    <n v="2032.520325203252"/>
    <x v="0"/>
    <x v="0"/>
    <n v="5"/>
    <n v="7"/>
    <n v="151.08333333333334"/>
  </r>
  <r>
    <d v="2025-02-09T10:08:00"/>
    <s v="INYECTADO"/>
    <x v="0"/>
    <x v="8"/>
    <s v="JUAN CARLOS CEDENO"/>
    <s v="VIRGEN"/>
    <s v="PP CLARIFICADO"/>
    <s v="."/>
    <s v="TAPA TOMATODO DOBLE CLICK SOLIDO"/>
    <s v="TAPA TOMATODO DOBLE CLICK-LILA"/>
    <n v="234"/>
    <n v="3"/>
    <n v="40.9"/>
    <x v="0"/>
    <n v="0"/>
    <n v="5"/>
    <n v="966"/>
    <n v="20726"/>
    <s v="LILA"/>
    <n v="6.7"/>
    <n v="0"/>
    <n v="0"/>
    <n v="5.1807600000000003"/>
    <n v="40.9"/>
    <n v="22.14"/>
    <n v="1847.3351400180668"/>
    <x v="0"/>
    <x v="0"/>
    <n v="5"/>
    <n v="7"/>
    <n v="136.5"/>
  </r>
  <r>
    <d v="2025-02-09T10:08:00"/>
    <s v="INYECTADO"/>
    <x v="0"/>
    <x v="16"/>
    <s v="JOSDER GONZALEZ"/>
    <s v="VIRGEN"/>
    <s v="PP CLARIFICADO"/>
    <s v="."/>
    <s v="TAPA TOMATODO DOBLE CLICK PASTEL"/>
    <s v="TAPA TOMATODO DOBLE CLICK-LILA"/>
    <n v="31"/>
    <n v="1"/>
    <n v="5.4"/>
    <x v="0"/>
    <n v="0"/>
    <n v="1"/>
    <n v="966"/>
    <n v="20728"/>
    <s v="LILA"/>
    <n v="3.1"/>
    <n v="0"/>
    <n v="0"/>
    <n v="0.68634000000000006"/>
    <n v="5.4"/>
    <n v="22.14"/>
    <n v="243.90243902439025"/>
    <x v="0"/>
    <x v="0"/>
    <n v="5"/>
    <n v="7"/>
    <n v="18.083333333333332"/>
  </r>
  <r>
    <d v="2025-02-09T10:08:00"/>
    <s v="INYECTADO"/>
    <x v="0"/>
    <x v="16"/>
    <s v="JOSDER GONZALEZ"/>
    <s v="VIRGEN"/>
    <s v="PP CLARIFICADO"/>
    <s v="."/>
    <s v="TAPA TOMATODO DOBLE CLICK PASTEL"/>
    <s v="TAPA TOMATODO DOBLE CLICK-TURQUESA"/>
    <n v="138"/>
    <n v="2"/>
    <n v="24.1"/>
    <x v="0"/>
    <n v="0"/>
    <n v="3"/>
    <n v="966"/>
    <n v="20728"/>
    <s v="TURQUESA"/>
    <n v="4.2"/>
    <n v="0"/>
    <n v="0"/>
    <n v="3.05532"/>
    <n v="24.1"/>
    <n v="22.14"/>
    <n v="1088.5275519421862"/>
    <x v="0"/>
    <x v="0"/>
    <n v="5"/>
    <n v="7"/>
    <n v="80.5"/>
  </r>
  <r>
    <d v="2025-02-09T10:08:00"/>
    <s v="INYECTADO"/>
    <x v="0"/>
    <x v="16"/>
    <s v="JOSDER GONZALEZ"/>
    <s v="VIRGEN"/>
    <s v="PP CLARIFICADO"/>
    <s v="."/>
    <s v="TAPA TOMATODO DOBLE CLICK PASTEL"/>
    <s v="TAPA TOMATODO DOBLE CLICK-CELESTE"/>
    <n v="214"/>
    <n v="4"/>
    <n v="37.4"/>
    <x v="0"/>
    <n v="0"/>
    <n v="5"/>
    <n v="976"/>
    <n v="20728"/>
    <s v="CELESTE"/>
    <n v="5.2"/>
    <n v="0"/>
    <n v="0"/>
    <n v="4.7379600000000002"/>
    <n v="37.4"/>
    <n v="22.14"/>
    <n v="1689.2502258355917"/>
    <x v="0"/>
    <x v="0"/>
    <n v="5"/>
    <n v="7"/>
    <n v="124.83333333333333"/>
  </r>
  <r>
    <d v="2025-02-09T10:08:00"/>
    <s v="INYECTADO"/>
    <x v="0"/>
    <x v="16"/>
    <s v="PAUL MILLER"/>
    <s v="VIRGEN"/>
    <s v="PP CLARIFICADO"/>
    <s v="."/>
    <s v="TAPA TOMATODO DOBLE CLICK PASTEL"/>
    <s v="TAPA TOMATODO DOBLE CLICK-CELESTE"/>
    <n v="34"/>
    <n v="1"/>
    <n v="5.9"/>
    <x v="1"/>
    <n v="0"/>
    <n v="1"/>
    <n v="976"/>
    <n v="20729"/>
    <s v="CELESTE"/>
    <n v="1.5"/>
    <n v="0"/>
    <n v="0"/>
    <n v="0.75275999999999998"/>
    <n v="5.9"/>
    <n v="22.14"/>
    <n v="266.48599819331525"/>
    <x v="0"/>
    <x v="0"/>
    <n v="5"/>
    <n v="7"/>
    <n v="19.833333333333332"/>
  </r>
  <r>
    <d v="2025-02-09T10:08:00"/>
    <s v="INYECTADO"/>
    <x v="0"/>
    <x v="16"/>
    <s v="PAUL MILLER"/>
    <s v="VIRGEN"/>
    <s v="PP CLARIFICADO"/>
    <s v="."/>
    <s v="TAPA TOMATODO DOBLE CLICK PASTEL"/>
    <s v="TAPA TOMATODO DOBLE CLICK-ROSADO"/>
    <n v="301"/>
    <n v="4"/>
    <n v="52.7"/>
    <x v="1"/>
    <n v="0"/>
    <n v="5"/>
    <n v="976"/>
    <n v="20729"/>
    <s v="ROSADO"/>
    <n v="6.7"/>
    <n v="0"/>
    <n v="0"/>
    <n v="6.6641400000000006"/>
    <n v="52.7"/>
    <n v="22.14"/>
    <n v="2380.3071364046973"/>
    <x v="0"/>
    <x v="0"/>
    <n v="5"/>
    <n v="5"/>
    <n v="125.41666666666667"/>
  </r>
  <r>
    <d v="2025-02-09T10:08:00"/>
    <s v="INYECTADO"/>
    <x v="0"/>
    <x v="16"/>
    <s v="PAUL MILLER"/>
    <s v="VIRGEN"/>
    <s v="PP CLARIFICADO"/>
    <s v="."/>
    <s v="TAPA TOMATODO DOBLE CLICK PASTEL"/>
    <s v="TAPA TOMATODO DOBLE CLICK-LILA"/>
    <n v="259"/>
    <n v="3"/>
    <n v="45.3"/>
    <x v="1"/>
    <n v="0"/>
    <n v="5"/>
    <n v="976"/>
    <n v="20729"/>
    <s v="LILA"/>
    <n v="4.5999999999999996"/>
    <n v="0"/>
    <n v="0"/>
    <n v="5.7342599999999999"/>
    <n v="45.3"/>
    <n v="22.14"/>
    <n v="2046.0704607046071"/>
    <x v="0"/>
    <x v="0"/>
    <n v="5"/>
    <n v="7"/>
    <n v="151.08333333333334"/>
  </r>
  <r>
    <d v="2025-02-09T10:08:00"/>
    <s v="INYECTADO"/>
    <x v="0"/>
    <x v="16"/>
    <s v="PAUL MILLER"/>
    <s v="VIRGEN"/>
    <s v="PP CLARIFICADO"/>
    <s v="."/>
    <s v="TAPA TOMATODO DOBLE CLICK PASTEL"/>
    <s v="TAPA TOMATODO DOBLE CLICK-AZURE"/>
    <n v="96"/>
    <n v="1"/>
    <n v="16.8"/>
    <x v="1"/>
    <n v="0"/>
    <n v="2"/>
    <n v="976"/>
    <n v="20729"/>
    <s v="AZURE"/>
    <n v="2.6"/>
    <n v="0"/>
    <n v="0"/>
    <n v="2.1254400000000002"/>
    <n v="16.8"/>
    <n v="22.14"/>
    <n v="758.80758807588074"/>
    <x v="0"/>
    <x v="0"/>
    <n v="5"/>
    <n v="7"/>
    <n v="56"/>
  </r>
  <r>
    <d v="2025-02-09T10:08:00"/>
    <s v="INYECTADO"/>
    <x v="0"/>
    <x v="17"/>
    <s v="ISABEL LINARIZ "/>
    <s v="VIRGEN"/>
    <s v="PP CLARIFICADO"/>
    <s v="."/>
    <s v="TAPA TOMATODO DOBLE CLICK PASTEL"/>
    <s v="TAPA TOMATODO DOBLE CLICK-AZURE"/>
    <n v="162"/>
    <n v="2"/>
    <n v="30.4"/>
    <x v="0"/>
    <n v="0"/>
    <n v="3"/>
    <n v="976"/>
    <n v="20730"/>
    <s v="AZURE"/>
    <n v="7.9"/>
    <n v="0"/>
    <n v="0"/>
    <n v="3.5866800000000003"/>
    <n v="30.4"/>
    <n v="22.14"/>
    <n v="1373.0803974706414"/>
    <x v="0"/>
    <x v="0"/>
    <n v="5"/>
    <n v="7"/>
    <n v="94.5"/>
  </r>
  <r>
    <d v="2025-02-09T10:08:00"/>
    <s v="INYECTADO"/>
    <x v="0"/>
    <x v="17"/>
    <s v="ISABEL LINARIZ "/>
    <s v="VIRGEN"/>
    <s v="PP CLARIFICADO"/>
    <s v="."/>
    <s v="TAPA TOMATODO DOBLE CLICK SOLIDO"/>
    <s v="TAPA TOMATODO DOBLE CLICK-AMARILLO"/>
    <n v="263"/>
    <n v="3"/>
    <n v="46"/>
    <x v="0"/>
    <n v="0"/>
    <n v="2"/>
    <n v="976"/>
    <n v="20730"/>
    <s v="AMARILLO"/>
    <n v="10.199999999999999"/>
    <n v="0"/>
    <n v="0"/>
    <n v="5.8228200000000001"/>
    <n v="46"/>
    <n v="22.14"/>
    <n v="2077.6874435411019"/>
    <x v="0"/>
    <x v="0"/>
    <n v="5"/>
    <n v="7"/>
    <n v="153.41666666666666"/>
  </r>
  <r>
    <d v="2025-02-09T10:08:00"/>
    <s v="INYECTADO"/>
    <x v="0"/>
    <x v="17"/>
    <s v="ISABEL LINARIZ "/>
    <s v="VIRGEN"/>
    <s v="PP CLARIFICADO"/>
    <s v="."/>
    <s v="TAPA TOMATODO DOBLE CLICK SOLIDO"/>
    <s v="TAPA TOMATODO DOBLE CLICK-FUCSIA"/>
    <n v="174"/>
    <n v="2"/>
    <n v="30.6"/>
    <x v="0"/>
    <n v="0"/>
    <n v="2"/>
    <n v="976"/>
    <n v="20730"/>
    <s v="FUCSIA"/>
    <n v="7.9"/>
    <n v="0"/>
    <n v="0"/>
    <n v="3.85236"/>
    <n v="30.6"/>
    <n v="22.14"/>
    <n v="1382.1138211382113"/>
    <x v="0"/>
    <x v="0"/>
    <n v="5"/>
    <n v="7"/>
    <n v="101.5"/>
  </r>
  <r>
    <d v="2025-02-09T10:08:00"/>
    <s v="INYECTADO"/>
    <x v="0"/>
    <x v="26"/>
    <s v="LEIDY VALLEZ"/>
    <s v="VIRGEN"/>
    <s v="PP CLARIFICADO"/>
    <s v="."/>
    <s v="TAPA TOMATODO DOBLE CLICK SOLIDO"/>
    <s v="TAPA TOMATODO DOBLE CLICK-ROSADO"/>
    <n v="41"/>
    <n v="1"/>
    <n v="7.2"/>
    <x v="0"/>
    <n v="0"/>
    <n v="2"/>
    <n v="976"/>
    <n v="20731"/>
    <s v="ROSADO"/>
    <n v="2.8"/>
    <n v="0"/>
    <n v="0"/>
    <n v="0.90773999999999999"/>
    <n v="7.2"/>
    <n v="22.14"/>
    <n v="325.20325203252031"/>
    <x v="0"/>
    <x v="0"/>
    <n v="5"/>
    <n v="5"/>
    <n v="17.083333333333332"/>
  </r>
  <r>
    <d v="2025-02-09T10:08:00"/>
    <s v="INYECTADO"/>
    <x v="0"/>
    <x v="26"/>
    <s v="LEIDY VALLEZ"/>
    <s v="VIRGEN"/>
    <s v="PP CLARIFICADO"/>
    <s v="."/>
    <s v="TAPA TOMATODO DOBLE CLICK SOLIDO"/>
    <s v="TAPA TOMATODO DOBLE CLICK-TURQUESA"/>
    <n v="130"/>
    <n v="2"/>
    <n v="22.8"/>
    <x v="0"/>
    <n v="0"/>
    <n v="2"/>
    <n v="976"/>
    <n v="20731"/>
    <s v="TURQUESA"/>
    <n v="6.2"/>
    <n v="0"/>
    <n v="0"/>
    <n v="2.8782000000000001"/>
    <n v="22.8"/>
    <n v="22.14"/>
    <n v="1029.8102981029811"/>
    <x v="0"/>
    <x v="0"/>
    <n v="5"/>
    <n v="7"/>
    <n v="75.833333333333329"/>
  </r>
  <r>
    <d v="2025-02-09T10:08:00"/>
    <s v="INYECTADO"/>
    <x v="0"/>
    <x v="26"/>
    <s v="LEIDY VALLEZ"/>
    <s v="VIRGEN"/>
    <s v="PP CLARIFICADO"/>
    <s v="."/>
    <s v="TAPA TOMATODO DOBLE CLICK SOLIDO"/>
    <s v="TAPA TOMATODO DOBLE CLICK-ANARANJADO"/>
    <n v="253"/>
    <n v="3"/>
    <n v="44.5"/>
    <x v="0"/>
    <n v="0"/>
    <n v="2"/>
    <n v="976"/>
    <n v="20731"/>
    <s v="ANARANJADO"/>
    <n v="8.5"/>
    <n v="0"/>
    <n v="0"/>
    <n v="5.6014200000000001"/>
    <n v="44.5"/>
    <n v="22.14"/>
    <n v="2009.9367660343269"/>
    <x v="0"/>
    <x v="0"/>
    <n v="5"/>
    <n v="7"/>
    <n v="147.58333333333334"/>
  </r>
  <r>
    <d v="2025-02-09T10:08:00"/>
    <s v="INYECTADO"/>
    <x v="0"/>
    <x v="26"/>
    <s v="LEIDY VALLEZ"/>
    <s v="VIRGEN"/>
    <s v="PP CLARIFICADO"/>
    <s v="."/>
    <s v="TAPA TOMATODO DOBLE CLICK SOLIDO"/>
    <s v="TAPA TOMATODO DOBLE CLICK-LILA"/>
    <n v="146"/>
    <n v="2"/>
    <n v="25.6"/>
    <x v="0"/>
    <n v="0"/>
    <n v="2"/>
    <n v="976"/>
    <n v="20731"/>
    <s v="LILA"/>
    <n v="3.8"/>
    <n v="0"/>
    <n v="0"/>
    <n v="3.23244"/>
    <n v="25.6"/>
    <n v="22.14"/>
    <n v="1156.2782294489612"/>
    <x v="0"/>
    <x v="0"/>
    <n v="5"/>
    <n v="7"/>
    <n v="85.166666666666671"/>
  </r>
  <r>
    <d v="2025-02-09T10:08:00"/>
    <s v="INYECTADO"/>
    <x v="1"/>
    <x v="18"/>
    <s v="CRISALIDA ZAPATA"/>
    <s v="SEGUNDA"/>
    <s v="."/>
    <s v="PP INY MOLIDO"/>
    <s v="PALA Y RASTRILLO ROMANO"/>
    <s v="PALA RASTRILLO ROMANO-AZUL"/>
    <n v="190"/>
    <n v="1"/>
    <n v="14"/>
    <x v="0"/>
    <n v="0"/>
    <n v="3"/>
    <n v="953"/>
    <n v="20640"/>
    <s v="AZUL"/>
    <n v="5.5"/>
    <n v="0"/>
    <n v="0"/>
    <n v="7.22"/>
    <n v="14"/>
    <n v="38"/>
    <n v="368.42105263157896"/>
    <x v="0"/>
    <x v="0"/>
    <n v="2"/>
    <n v="2"/>
    <n v="31.666666666666668"/>
  </r>
  <r>
    <d v="2025-02-09T10:08:00"/>
    <s v="INYECTADO"/>
    <x v="1"/>
    <x v="18"/>
    <s v="CRISALIDA ZAPATA"/>
    <s v="SEGUNDA"/>
    <s v="."/>
    <s v="PP INY MOLIDO"/>
    <s v="PALA Y RASTRILLO ROMANO"/>
    <s v="PALA RASTRILLO ROMANO-LILA"/>
    <n v="518"/>
    <n v="4"/>
    <n v="38.1"/>
    <x v="0"/>
    <n v="0"/>
    <n v="5"/>
    <n v="953"/>
    <n v="20640"/>
    <s v="ROJO"/>
    <n v="0"/>
    <n v="0"/>
    <n v="0"/>
    <n v="19.684000000000001"/>
    <n v="38.1"/>
    <n v="38"/>
    <n v="1002.6315789473684"/>
    <x v="0"/>
    <x v="0"/>
    <n v="2"/>
    <n v="2"/>
    <n v="86.333333333333329"/>
  </r>
  <r>
    <d v="2025-02-09T10:08:00"/>
    <s v="INYECTADO"/>
    <x v="1"/>
    <x v="18"/>
    <s v="CRISALIDA ZAPATA"/>
    <s v="SEGUNDA"/>
    <s v="."/>
    <s v="PP INY MOLIDO"/>
    <s v="PALA Y RASTRILLO ROMANO"/>
    <s v="PALA RASTRILLO ROMANO-ROJO"/>
    <n v="244"/>
    <n v="2"/>
    <n v="18"/>
    <x v="0"/>
    <n v="0"/>
    <n v="2"/>
    <n v="953"/>
    <n v="20640"/>
    <s v="ROJO"/>
    <n v="0"/>
    <n v="0"/>
    <n v="0"/>
    <n v="9.2720000000000002"/>
    <n v="18"/>
    <n v="38"/>
    <n v="473.68421052631578"/>
    <x v="0"/>
    <x v="0"/>
    <n v="2"/>
    <n v="2"/>
    <n v="40.666666666666664"/>
  </r>
  <r>
    <d v="2025-02-09T10:08:00"/>
    <s v="INYECTADO"/>
    <x v="1"/>
    <x v="18"/>
    <s v="JUAN MANUEL PEREZ"/>
    <s v="SEGUNDA"/>
    <s v="."/>
    <s v="PP INY MOLIDO"/>
    <s v="PALA Y RASTRILLO ROMANO"/>
    <s v="PALA RASTRILLO ROMANO-ROJO"/>
    <n v="299"/>
    <n v="2"/>
    <n v="22"/>
    <x v="1"/>
    <n v="0"/>
    <n v="0"/>
    <n v="953"/>
    <n v="20641"/>
    <s v="ROJO"/>
    <n v="0"/>
    <n v="0"/>
    <n v="0"/>
    <n v="11.362"/>
    <n v="22"/>
    <n v="38"/>
    <n v="578.9473684210526"/>
    <x v="0"/>
    <x v="0"/>
    <n v="2"/>
    <n v="2"/>
    <n v="49.833333333333336"/>
  </r>
  <r>
    <d v="2025-02-09T10:08:00"/>
    <s v="INYECTADO"/>
    <x v="1"/>
    <x v="18"/>
    <s v="JUAN MANUEL PEREZ"/>
    <s v="SEGUNDA"/>
    <s v="."/>
    <s v="PP INY MOLIDO"/>
    <s v="PALA Y RASTRILLO ROMANO"/>
    <s v="PALA RASTRILLO ROMANO-VERDE"/>
    <n v="425"/>
    <n v="4"/>
    <n v="31.3"/>
    <x v="1"/>
    <n v="0"/>
    <n v="0"/>
    <n v="953"/>
    <n v="20641"/>
    <s v="VERDE"/>
    <n v="5.4"/>
    <n v="0"/>
    <n v="0"/>
    <n v="16.149999999999999"/>
    <n v="31.3"/>
    <n v="38"/>
    <n v="823.68421052631584"/>
    <x v="0"/>
    <x v="0"/>
    <n v="2"/>
    <n v="2"/>
    <n v="70.833333333333329"/>
  </r>
  <r>
    <d v="2025-02-09T10:08:00"/>
    <s v="INYECTADO"/>
    <x v="1"/>
    <x v="18"/>
    <s v="JUAN MANUEL PEREZ"/>
    <s v="VIRGEN"/>
    <s v="PP CLARIFICADO"/>
    <s v="."/>
    <s v="PALA Y RASTRILLO ROMANO"/>
    <s v="PALA RASTRILLO ROMANO-AMARILLO"/>
    <n v="628"/>
    <n v="5"/>
    <n v="46.2"/>
    <x v="1"/>
    <n v="0"/>
    <n v="0"/>
    <n v="953"/>
    <n v="20641"/>
    <s v="AMARILLO"/>
    <n v="4.2"/>
    <n v="0"/>
    <n v="0"/>
    <n v="23.864000000000001"/>
    <n v="46.2"/>
    <n v="38"/>
    <n v="1215.7894736842106"/>
    <x v="0"/>
    <x v="0"/>
    <n v="2"/>
    <n v="2"/>
    <n v="104.66666666666667"/>
  </r>
  <r>
    <d v="2025-02-09T10:08:00"/>
    <s v="INYECTADO"/>
    <x v="1"/>
    <x v="19"/>
    <s v="JUAN CARLOS CEDENO"/>
    <s v="VIRGEN"/>
    <s v="PP CLARIFICADO"/>
    <s v="."/>
    <s v="PALA Y RASTRILLO ROMANO"/>
    <s v="PALA RASTRILLO ROMANO-AMARILLO"/>
    <n v="93"/>
    <n v="1"/>
    <n v="6.8"/>
    <x v="0"/>
    <n v="0"/>
    <n v="0"/>
    <n v="953"/>
    <n v="20642"/>
    <s v="AMARILLO"/>
    <n v="5.7"/>
    <n v="0"/>
    <n v="0"/>
    <n v="3.5339999999999998"/>
    <n v="6.8"/>
    <n v="38"/>
    <n v="178.94736842105263"/>
    <x v="0"/>
    <x v="0"/>
    <n v="2"/>
    <n v="2"/>
    <n v="15.5"/>
  </r>
  <r>
    <d v="2025-02-09T10:08:00"/>
    <s v="INYECTADO"/>
    <x v="1"/>
    <x v="19"/>
    <s v="JUAN CARLOS CEDENO"/>
    <s v="SEGUNDA"/>
    <s v="."/>
    <s v="PP INY MOLIDO"/>
    <s v="PALA Y RASTRILLO ROMANO"/>
    <s v="PALA RASTRILLO ROMANO-FUCSIA"/>
    <n v="602"/>
    <n v="5"/>
    <n v="44.3"/>
    <x v="0"/>
    <n v="0"/>
    <n v="4"/>
    <n v="953"/>
    <n v="20642"/>
    <s v="FUCSIA"/>
    <n v="0"/>
    <n v="0"/>
    <n v="0"/>
    <n v="22.876000000000001"/>
    <n v="44.3"/>
    <n v="38"/>
    <n v="1165.7894736842106"/>
    <x v="0"/>
    <x v="0"/>
    <n v="2"/>
    <n v="2"/>
    <n v="100.33333333333333"/>
  </r>
  <r>
    <d v="2025-02-09T10:08:00"/>
    <s v="INYECTADO"/>
    <x v="1"/>
    <x v="19"/>
    <s v="JUAN CARLOS CEDENO"/>
    <s v="SEGUNDA"/>
    <s v="."/>
    <s v="PP INY MOLIDO"/>
    <s v="PALA Y RASTRILLO ROMANO"/>
    <s v="PALA RASTRILLO ROMANO-ROJO"/>
    <n v="395"/>
    <n v="2"/>
    <n v="29.1"/>
    <x v="0"/>
    <n v="0"/>
    <n v="0"/>
    <n v="953"/>
    <n v="20642"/>
    <s v="ROJO"/>
    <n v="0"/>
    <n v="0"/>
    <n v="0"/>
    <n v="15.01"/>
    <n v="29.1"/>
    <n v="38"/>
    <n v="765.78947368421052"/>
    <x v="0"/>
    <x v="0"/>
    <n v="2"/>
    <n v="2"/>
    <n v="65.833333333333329"/>
  </r>
  <r>
    <d v="2025-02-09T10:08:00"/>
    <s v="INYECTADO"/>
    <x v="1"/>
    <x v="19"/>
    <s v="FABIAN HERNANDEZ"/>
    <s v="SEGUNDA"/>
    <s v="."/>
    <s v="PP INY MOLIDO"/>
    <s v="PALA Y RASTRILLO ROMANO"/>
    <s v="PALA RASTRILLO ROMANO-ROJO"/>
    <n v="219"/>
    <n v="2"/>
    <n v="16.100000000000001"/>
    <x v="1"/>
    <n v="0"/>
    <n v="2"/>
    <n v="953"/>
    <n v="20643"/>
    <s v="ROJO"/>
    <n v="5.6"/>
    <n v="0"/>
    <n v="0"/>
    <n v="8.3219999999999992"/>
    <n v="16.100000000000001"/>
    <n v="38"/>
    <n v="423.68421052631584"/>
    <x v="0"/>
    <x v="0"/>
    <n v="2"/>
    <n v="2"/>
    <n v="36.5"/>
  </r>
  <r>
    <d v="2025-02-09T10:08:00"/>
    <s v="INYECTADO"/>
    <x v="1"/>
    <x v="19"/>
    <s v="FABIAN HERNANDEZ"/>
    <s v="SEGUNDA"/>
    <s v="."/>
    <s v="PP INY MOLIDO"/>
    <s v="PALA Y RASTRILLO ROMANO"/>
    <s v="PALA RASTRILLO ROMANO-VERDE"/>
    <n v="650"/>
    <n v="5"/>
    <n v="47.8"/>
    <x v="1"/>
    <n v="0"/>
    <n v="8"/>
    <n v="953"/>
    <n v="20643"/>
    <s v="VERDE"/>
    <n v="3.6"/>
    <n v="0"/>
    <n v="0"/>
    <n v="24.7"/>
    <n v="47.8"/>
    <n v="38"/>
    <n v="1257.8947368421052"/>
    <x v="0"/>
    <x v="0"/>
    <n v="2"/>
    <n v="2"/>
    <n v="108.33333333333333"/>
  </r>
  <r>
    <d v="2025-02-09T10:08:00"/>
    <s v="INYECTADO"/>
    <x v="1"/>
    <x v="19"/>
    <s v="FABIAN HERNANDEZ"/>
    <s v="SEGUNDA"/>
    <s v="."/>
    <s v="PP INY MOLIDO"/>
    <s v="PALA Y RASTRILLO ROMANO"/>
    <s v="PALA RASTRILLO ROMANO-AZUL"/>
    <n v="402"/>
    <n v="3"/>
    <n v="29.6"/>
    <x v="1"/>
    <n v="0"/>
    <n v="4"/>
    <n v="953"/>
    <n v="20643"/>
    <s v="AZUL"/>
    <n v="4.2"/>
    <n v="0"/>
    <n v="0"/>
    <n v="15.276"/>
    <n v="29.6"/>
    <n v="38"/>
    <n v="778.9473684210526"/>
    <x v="0"/>
    <x v="0"/>
    <n v="2"/>
    <n v="2"/>
    <n v="67"/>
  </r>
  <r>
    <d v="2025-02-09T10:08:00"/>
    <s v="INYECTADO"/>
    <x v="1"/>
    <x v="20"/>
    <s v="GABRIEL REQUENA"/>
    <s v="SEGUNDA"/>
    <s v="."/>
    <s v="PP INY MOLIDO"/>
    <s v="PALA Y RASTRILLO ROMANO"/>
    <s v="PALA RASTRILLO ROMANO-AZUL"/>
    <n v="179"/>
    <n v="2"/>
    <n v="13.1"/>
    <x v="0"/>
    <n v="0"/>
    <n v="2"/>
    <n v="953"/>
    <n v="20644"/>
    <s v="AZUL"/>
    <n v="7.7"/>
    <n v="0"/>
    <n v="0"/>
    <n v="6.8019999999999996"/>
    <n v="13.1"/>
    <n v="38"/>
    <n v="344.73684210526318"/>
    <x v="0"/>
    <x v="0"/>
    <n v="2"/>
    <n v="2"/>
    <n v="29.833333333333332"/>
  </r>
  <r>
    <d v="2025-02-09T10:08:00"/>
    <s v="INYECTADO"/>
    <x v="1"/>
    <x v="20"/>
    <s v="GABRIEL REQUENA"/>
    <s v="SEGUNDA"/>
    <s v="."/>
    <s v="PP INY MOLIDO"/>
    <s v="PALA Y RASTRILLO ROMANO"/>
    <s v="PALA RASTRILLO ROMANO-LILA"/>
    <n v="217"/>
    <n v="2"/>
    <n v="15.9"/>
    <x v="0"/>
    <n v="0"/>
    <n v="2"/>
    <n v="953"/>
    <n v="20644"/>
    <s v="LILA"/>
    <n v="6.9"/>
    <n v="0"/>
    <n v="0"/>
    <n v="8.2460000000000004"/>
    <n v="15.9"/>
    <n v="38"/>
    <n v="418.42105263157896"/>
    <x v="0"/>
    <x v="0"/>
    <n v="2"/>
    <n v="2"/>
    <n v="36.166666666666664"/>
  </r>
  <r>
    <d v="2025-02-09T10:08:00"/>
    <s v="INYECTADO"/>
    <x v="1"/>
    <x v="20"/>
    <s v="GABRIEL REQUENA"/>
    <s v="VIRGEN"/>
    <s v="PP CLARIFICADO"/>
    <s v="."/>
    <s v="PALA Y RASTRILLO ROMANO"/>
    <s v="PALA RASTRILLO ROMANO-AMARILLO"/>
    <n v="628"/>
    <n v="5"/>
    <n v="45.9"/>
    <x v="0"/>
    <n v="0"/>
    <n v="7"/>
    <n v="953"/>
    <n v="20644"/>
    <s v="AMARILLO"/>
    <n v="8.9"/>
    <n v="0"/>
    <n v="0"/>
    <n v="23.864000000000001"/>
    <n v="45.9"/>
    <n v="38"/>
    <n v="1207.8947368421052"/>
    <x v="0"/>
    <x v="0"/>
    <n v="2"/>
    <n v="2"/>
    <n v="104.66666666666667"/>
  </r>
  <r>
    <d v="2025-02-09T10:08:00"/>
    <s v="INYECTADO"/>
    <x v="1"/>
    <x v="20"/>
    <s v="GABRIEL REQUENA"/>
    <s v="SEGUNDA"/>
    <s v="."/>
    <s v="PP INY MOLIDO"/>
    <s v="PALA Y RASTRILLO ROMANO"/>
    <s v="PALA RASTRILLO ROMANO-FUCSIA"/>
    <n v="113"/>
    <n v="2"/>
    <n v="8.3000000000000007"/>
    <x v="0"/>
    <n v="0"/>
    <n v="4"/>
    <n v="953"/>
    <n v="20644"/>
    <s v="FUCSIA"/>
    <n v="2.6"/>
    <n v="0"/>
    <n v="0"/>
    <n v="4.2939999999999996"/>
    <n v="8.3000000000000007"/>
    <n v="38"/>
    <n v="218.42105263157896"/>
    <x v="0"/>
    <x v="0"/>
    <n v="2"/>
    <n v="2"/>
    <n v="18.833333333333332"/>
  </r>
  <r>
    <d v="2025-02-09T10:08:00"/>
    <s v="INYECTADO"/>
    <x v="1"/>
    <x v="20"/>
    <s v="WALTER GUEVARA"/>
    <s v="SEGUNDA"/>
    <s v="."/>
    <s v="PP INY MOLIDO"/>
    <s v="PALA Y RASTRILLO ROMANO"/>
    <s v="PALA RASTRILLO ROMANO-FUCSIA"/>
    <n v="846"/>
    <n v="7"/>
    <n v="62"/>
    <x v="1"/>
    <n v="0"/>
    <n v="9"/>
    <n v="953"/>
    <n v="20645"/>
    <s v="FUCSIA"/>
    <n v="11.5"/>
    <n v="0"/>
    <n v="0"/>
    <n v="32.148000000000003"/>
    <n v="62"/>
    <n v="38"/>
    <n v="1631.578947368421"/>
    <x v="0"/>
    <x v="0"/>
    <n v="2"/>
    <n v="2"/>
    <n v="141"/>
  </r>
  <r>
    <d v="2025-02-09T10:08:00"/>
    <s v="INYECTADO"/>
    <x v="1"/>
    <x v="20"/>
    <s v="WALTER GUEVARA"/>
    <s v="SEGUNDA"/>
    <s v="."/>
    <s v="PP INY MOLIDO"/>
    <s v="PALA Y RASTRILLO ROMANO"/>
    <s v="PALA RASTRILLO ROMANO-LILA"/>
    <n v="589"/>
    <n v="4"/>
    <n v="43.3"/>
    <x v="1"/>
    <n v="0"/>
    <n v="6"/>
    <n v="953"/>
    <n v="20645"/>
    <s v="LILA"/>
    <n v="6.7"/>
    <n v="0"/>
    <n v="0"/>
    <n v="22.382000000000001"/>
    <n v="43.3"/>
    <n v="38"/>
    <n v="1139.4736842105262"/>
    <x v="0"/>
    <x v="0"/>
    <n v="2"/>
    <n v="2"/>
    <n v="98.166666666666671"/>
  </r>
  <r>
    <d v="2025-02-09T10:08:00"/>
    <s v="INYECTADO"/>
    <x v="1"/>
    <x v="21"/>
    <s v="ISABEL LINARIZ "/>
    <s v="SEGUNDA"/>
    <s v="."/>
    <s v="PP INY MOLIDO"/>
    <s v="PALA Y RASTRILLO ROMANO"/>
    <s v="PALA RASTRILLO ROMANO-ROJO"/>
    <n v="435"/>
    <n v="4"/>
    <n v="31.8"/>
    <x v="0"/>
    <n v="0"/>
    <n v="4"/>
    <n v="953"/>
    <n v="20646"/>
    <s v="ROJO"/>
    <n v="6.1"/>
    <n v="0"/>
    <n v="0"/>
    <n v="16.53"/>
    <n v="31.8"/>
    <n v="38"/>
    <n v="836.84210526315792"/>
    <x v="0"/>
    <x v="0"/>
    <n v="2"/>
    <n v="2"/>
    <n v="72.5"/>
  </r>
  <r>
    <d v="2025-02-09T10:08:00"/>
    <s v="INYECTADO"/>
    <x v="1"/>
    <x v="21"/>
    <s v="ISABEL LINARIZ "/>
    <s v="SEGUNDA"/>
    <s v="."/>
    <s v="PP INY MOLIDO"/>
    <s v="PALA Y RASTRILLO ROMANO"/>
    <s v="PALA RASTRILLO ROMANO-VERDE"/>
    <n v="701"/>
    <n v="6"/>
    <n v="51.2"/>
    <x v="0"/>
    <n v="0"/>
    <n v="7"/>
    <n v="953"/>
    <n v="20646"/>
    <s v="VERDE"/>
    <n v="10.3"/>
    <n v="0"/>
    <n v="0"/>
    <n v="26.638000000000002"/>
    <n v="51.2"/>
    <n v="38"/>
    <n v="1347.3684210526317"/>
    <x v="0"/>
    <x v="0"/>
    <n v="2"/>
    <n v="2"/>
    <n v="116.83333333333333"/>
  </r>
  <r>
    <d v="2025-02-09T10:08:00"/>
    <s v="INYECTADO"/>
    <x v="1"/>
    <x v="21"/>
    <s v="ISABEL LINARIZ "/>
    <s v="SEGUNDA"/>
    <s v="."/>
    <s v="PP INY MOLIDO"/>
    <s v="PALA Y RASTRILLO ROMANO"/>
    <s v="PALA RASTRILLO ROMANO-LILA"/>
    <n v="38"/>
    <n v="1"/>
    <n v="2.8"/>
    <x v="0"/>
    <n v="0"/>
    <n v="1"/>
    <n v="953"/>
    <n v="20646"/>
    <s v="LILA"/>
    <n v="0"/>
    <n v="0"/>
    <n v="0"/>
    <n v="1.444"/>
    <n v="2.8"/>
    <n v="38"/>
    <n v="73.684210526315795"/>
    <x v="0"/>
    <x v="0"/>
    <n v="2"/>
    <n v="2"/>
    <n v="6.333333333333333"/>
  </r>
  <r>
    <d v="2025-02-09T10:08:00"/>
    <s v="INYECTADO"/>
    <x v="1"/>
    <x v="21"/>
    <s v="FABIAN HERNANDEZ"/>
    <s v="SEGUNDA"/>
    <s v="."/>
    <s v="PP INY MOLIDO"/>
    <s v="PALA Y RASTRILLO ROMANO"/>
    <s v="PALA RASTRILLO ROMANO-ROJO"/>
    <n v="78"/>
    <n v="1"/>
    <n v="5.7"/>
    <x v="1"/>
    <n v="0"/>
    <n v="1"/>
    <n v="953"/>
    <n v="20647"/>
    <s v="ROJO"/>
    <n v="1.6"/>
    <n v="0"/>
    <n v="0"/>
    <n v="2.964"/>
    <n v="5.7"/>
    <n v="38"/>
    <n v="150"/>
    <x v="0"/>
    <x v="0"/>
    <n v="2"/>
    <n v="2"/>
    <n v="13"/>
  </r>
  <r>
    <d v="2025-02-09T10:08:00"/>
    <s v="INYECTADO"/>
    <x v="1"/>
    <x v="21"/>
    <s v="FABIAN HERNANDEZ"/>
    <s v="SEGUNDA"/>
    <s v="."/>
    <s v="PP INY MOLIDO"/>
    <s v="PALA Y RASTRILLO ROMANO"/>
    <s v="PALA RASTRILLO ROMANO-AZUL"/>
    <n v="586"/>
    <n v="5"/>
    <n v="42.5"/>
    <x v="1"/>
    <n v="0"/>
    <n v="3"/>
    <n v="953"/>
    <n v="20647"/>
    <s v="AZUL"/>
    <n v="9.3000000000000007"/>
    <n v="0"/>
    <n v="0"/>
    <n v="22.268000000000001"/>
    <n v="42.5"/>
    <n v="38"/>
    <n v="1118.421052631579"/>
    <x v="0"/>
    <x v="0"/>
    <n v="2"/>
    <n v="2"/>
    <n v="97.666666666666671"/>
  </r>
  <r>
    <d v="2025-02-09T10:08:00"/>
    <s v="INYECTADO"/>
    <x v="1"/>
    <x v="21"/>
    <s v="FABIAN HERNANDEZ"/>
    <s v="SEGUNDA"/>
    <s v="."/>
    <s v="PP INY MOLIDO"/>
    <s v="PALA Y RASTRILLO ROMANO"/>
    <s v="PALA RASTRILLO ROMANO-LILA"/>
    <n v="548"/>
    <n v="5"/>
    <n v="39.799999999999997"/>
    <x v="1"/>
    <n v="0"/>
    <n v="3"/>
    <n v="953"/>
    <n v="20647"/>
    <s v="LILA"/>
    <n v="6.2"/>
    <n v="0"/>
    <n v="0"/>
    <n v="20.824000000000002"/>
    <n v="39.799999999999997"/>
    <n v="38"/>
    <n v="1047.3684210526317"/>
    <x v="0"/>
    <x v="0"/>
    <n v="2"/>
    <n v="2"/>
    <n v="91.333333333333329"/>
  </r>
  <r>
    <d v="2025-02-09T10:08:00"/>
    <s v="INYECTADO"/>
    <x v="1"/>
    <x v="22"/>
    <s v="JOSDER GONZALEZ"/>
    <s v="SEGUNDA"/>
    <s v="."/>
    <s v="PP INY MOLIDO"/>
    <s v="PALA Y RASTRILLO ROMANO"/>
    <s v="PALA RASTRILLO ROMANO-LILA"/>
    <n v="52"/>
    <n v="1"/>
    <n v="3.7"/>
    <x v="0"/>
    <n v="0"/>
    <n v="1"/>
    <n v="953"/>
    <n v="20648"/>
    <s v="LILA"/>
    <n v="0"/>
    <n v="0"/>
    <n v="0"/>
    <n v="1.976"/>
    <n v="3.7"/>
    <n v="38"/>
    <n v="97.368421052631575"/>
    <x v="0"/>
    <x v="0"/>
    <n v="2"/>
    <n v="2"/>
    <n v="8.6666666666666661"/>
  </r>
  <r>
    <d v="2025-02-09T10:08:00"/>
    <s v="INYECTADO"/>
    <x v="1"/>
    <x v="22"/>
    <s v="JOSDER GONZALEZ"/>
    <s v="SEGUNDA"/>
    <s v="."/>
    <s v="PP INY MOLIDO"/>
    <s v="PALA Y RASTRILLO ROMANO"/>
    <s v="PALA RASTRILLO ROMANO-FUCSIA"/>
    <n v="362"/>
    <n v="3"/>
    <n v="26.3"/>
    <x v="0"/>
    <n v="0"/>
    <n v="4"/>
    <n v="953"/>
    <n v="20648"/>
    <s v="FUCSIA"/>
    <n v="7"/>
    <n v="0"/>
    <n v="0"/>
    <n v="13.756"/>
    <n v="26.3"/>
    <n v="38"/>
    <n v="692.10526315789468"/>
    <x v="0"/>
    <x v="0"/>
    <n v="2"/>
    <n v="2"/>
    <n v="60.333333333333336"/>
  </r>
  <r>
    <d v="2025-02-09T10:08:00"/>
    <s v="INYECTADO"/>
    <x v="1"/>
    <x v="22"/>
    <s v="JOSDER GONZALEZ"/>
    <s v="VIRGEN"/>
    <s v="PP CLARIFICADO"/>
    <s v="."/>
    <s v="PALA Y RASTRILLO ROMANO"/>
    <s v="PALA RASTRILLO ROMANO-AMARILLO"/>
    <n v="652"/>
    <n v="6"/>
    <n v="47.3"/>
    <x v="0"/>
    <n v="0"/>
    <n v="8"/>
    <n v="953"/>
    <n v="20648"/>
    <s v="AMARILLO"/>
    <n v="7.1"/>
    <n v="0"/>
    <n v="0"/>
    <n v="24.776"/>
    <n v="47.3"/>
    <n v="38"/>
    <n v="1244.7368421052631"/>
    <x v="0"/>
    <x v="0"/>
    <n v="2"/>
    <n v="2"/>
    <n v="108.66666666666667"/>
  </r>
  <r>
    <d v="2025-02-09T10:08:00"/>
    <s v="INYECTADO"/>
    <x v="1"/>
    <x v="5"/>
    <s v="JUAN CARLOS CEDENO"/>
    <s v="SEGUNDA"/>
    <s v="."/>
    <s v="PP INY MOLIDO"/>
    <s v="PALA Y RASTRILLO ROMANO"/>
    <s v="PALA RASTRILLO ROMANO-VERDE"/>
    <n v="386"/>
    <n v="3"/>
    <n v="28.2"/>
    <x v="0"/>
    <n v="0"/>
    <n v="5"/>
    <n v="953"/>
    <n v="20649"/>
    <s v="VERDE"/>
    <n v="5.3"/>
    <n v="0"/>
    <n v="0"/>
    <n v="14.667999999999999"/>
    <n v="28.2"/>
    <n v="38"/>
    <n v="742.10526315789468"/>
    <x v="0"/>
    <x v="0"/>
    <n v="3"/>
    <n v="2"/>
    <n v="64.333333333333329"/>
  </r>
  <r>
    <d v="2025-02-09T10:08:00"/>
    <s v="INYECTADO"/>
    <x v="1"/>
    <x v="5"/>
    <s v="JUAN CARLOS CEDENO"/>
    <s v="SEGUNDA"/>
    <s v="."/>
    <s v="PP INY MOLIDO"/>
    <s v="PALA Y RASTRILLO ROMANO"/>
    <s v="PALA RASTRILLO ROMANO-LILA"/>
    <n v="234"/>
    <n v="2"/>
    <n v="17.100000000000001"/>
    <x v="0"/>
    <n v="0"/>
    <n v="2"/>
    <n v="953"/>
    <n v="20649"/>
    <s v="LILA"/>
    <n v="2.2999999999999998"/>
    <n v="0"/>
    <n v="0"/>
    <n v="8.8919999999999995"/>
    <n v="17.100000000000001"/>
    <n v="38"/>
    <n v="450"/>
    <x v="0"/>
    <x v="0"/>
    <n v="3"/>
    <n v="2"/>
    <n v="39"/>
  </r>
  <r>
    <d v="2025-02-09T10:08:00"/>
    <s v="INYECTADO"/>
    <x v="1"/>
    <x v="5"/>
    <s v="JUAN CARLOS CEDENO"/>
    <s v="SEGUNDA"/>
    <s v="."/>
    <s v="PP INY MOLIDO"/>
    <s v="PALA Y RASTRILLO ROMANO"/>
    <s v="PALA RASTRILLO ROMANO-AZUL"/>
    <n v="267"/>
    <n v="2"/>
    <n v="19.399999999999999"/>
    <x v="0"/>
    <n v="0"/>
    <n v="3"/>
    <n v="953"/>
    <n v="20649"/>
    <s v="AZUL"/>
    <n v="3.1"/>
    <n v="0"/>
    <n v="0"/>
    <n v="10.146000000000001"/>
    <n v="19.399999999999999"/>
    <n v="38"/>
    <n v="510.5263157894737"/>
    <x v="0"/>
    <x v="0"/>
    <n v="3"/>
    <n v="2"/>
    <n v="44.5"/>
  </r>
  <r>
    <d v="2025-02-09T10:08:00"/>
    <s v="INYECTADO"/>
    <x v="1"/>
    <x v="5"/>
    <s v="JUAN CARLOS CEDENO"/>
    <s v="SEGUNDA"/>
    <s v="."/>
    <s v="PP INY MOLIDO"/>
    <s v="PALA Y RASTRILLO ROMANO"/>
    <s v="PALA RASTRILLO ROMANO-ROJO"/>
    <n v="265"/>
    <n v="2"/>
    <n v="19.399999999999999"/>
    <x v="0"/>
    <n v="0"/>
    <n v="2"/>
    <n v="953"/>
    <n v="20649"/>
    <s v="ROJO"/>
    <n v="0.9"/>
    <n v="0"/>
    <n v="0"/>
    <n v="10.07"/>
    <n v="19.399999999999999"/>
    <n v="38"/>
    <n v="510.5263157894737"/>
    <x v="0"/>
    <x v="0"/>
    <n v="3"/>
    <n v="2"/>
    <n v="44.166666666666664"/>
  </r>
  <r>
    <d v="2025-02-09T10:08:00"/>
    <s v="INYECTADO"/>
    <x v="1"/>
    <x v="23"/>
    <s v="ISABEL LINARIZ "/>
    <s v="SEGUNDA"/>
    <s v="."/>
    <s v="PP INY MOLIDO"/>
    <s v="PALA Y RASTRILLO ROMANO"/>
    <s v="PALA RASTRILLO ROMANO-ROJO"/>
    <n v="95"/>
    <n v="1"/>
    <n v="7"/>
    <x v="0"/>
    <n v="0"/>
    <n v="1"/>
    <n v="953"/>
    <n v="20650"/>
    <s v="ROJO"/>
    <n v="4.9000000000000004"/>
    <n v="0"/>
    <n v="0"/>
    <n v="3.61"/>
    <n v="7"/>
    <n v="38"/>
    <n v="184.21052631578948"/>
    <x v="0"/>
    <x v="0"/>
    <n v="3"/>
    <n v="2"/>
    <n v="15.833333333333334"/>
  </r>
  <r>
    <d v="2025-02-09T10:08:00"/>
    <s v="INYECTADO"/>
    <x v="1"/>
    <x v="23"/>
    <s v="ISABEL LINARIZ "/>
    <s v="SEGUNDA"/>
    <s v="."/>
    <s v="PP INY MOLIDO"/>
    <s v="PALA Y RASTRILLO ROMANO"/>
    <s v="PALA RASTRILLO ROMANO-LILA"/>
    <n v="142"/>
    <n v="1"/>
    <n v="10.3"/>
    <x v="0"/>
    <n v="0"/>
    <n v="2"/>
    <n v="953"/>
    <n v="20650"/>
    <s v="LILA"/>
    <n v="4.8"/>
    <n v="0"/>
    <n v="0"/>
    <n v="5.3959999999999999"/>
    <n v="10.3"/>
    <n v="38"/>
    <n v="271.05263157894734"/>
    <x v="0"/>
    <x v="0"/>
    <n v="3"/>
    <n v="2"/>
    <n v="23.666666666666668"/>
  </r>
  <r>
    <d v="2025-02-09T10:08:00"/>
    <s v="INYECTADO"/>
    <x v="1"/>
    <x v="23"/>
    <s v="ISABEL LINARIZ "/>
    <s v="SEGUNDA"/>
    <s v="."/>
    <s v="PP INY MOLIDO"/>
    <s v="PALA Y RASTRILLO ROMANO"/>
    <s v="PALA RASTRILLO ROMANO-FUCSIA"/>
    <n v="320"/>
    <n v="3"/>
    <n v="23.2"/>
    <x v="0"/>
    <n v="0"/>
    <n v="3"/>
    <n v="953"/>
    <n v="20650"/>
    <s v="FUCSIA"/>
    <n v="3.4"/>
    <n v="0"/>
    <n v="0"/>
    <n v="12.16"/>
    <n v="23.2"/>
    <n v="38"/>
    <n v="610.52631578947364"/>
    <x v="0"/>
    <x v="0"/>
    <n v="3"/>
    <n v="2"/>
    <n v="53.333333333333336"/>
  </r>
  <r>
    <d v="2025-02-12T11:15:00"/>
    <s v="INYECTADO"/>
    <x v="1"/>
    <x v="12"/>
    <s v="JUAN CARLOS CEDENO"/>
    <s v="SEGUNDA"/>
    <s v="."/>
    <s v="PP INY MOLIDO"/>
    <s v="PALA Y RASTRILLO ROMANO"/>
    <s v="PALA RASTRILLO ROMANO-ROJO"/>
    <n v="78"/>
    <n v="1"/>
    <n v="5.7"/>
    <x v="0"/>
    <n v="0"/>
    <n v="2"/>
    <n v="953"/>
    <n v="20651"/>
    <s v="ROJO"/>
    <n v="1.8"/>
    <n v="0"/>
    <n v="0"/>
    <n v="2.964"/>
    <n v="5.7"/>
    <n v="38"/>
    <n v="150"/>
    <x v="0"/>
    <x v="0"/>
    <n v="4"/>
    <n v="2"/>
    <n v="13"/>
  </r>
  <r>
    <d v="2025-02-12T11:15:00"/>
    <s v="INYECTADO"/>
    <x v="1"/>
    <x v="12"/>
    <s v="JUAN CARLOS CEDENO"/>
    <s v="SEGUNDA"/>
    <s v="."/>
    <s v="PP INY MOLIDO"/>
    <s v="PALA Y RASTRILLO ROMANO"/>
    <s v="PALA RASTRILLO ROMANO-AZUL"/>
    <n v="264"/>
    <n v="2"/>
    <n v="19.3"/>
    <x v="0"/>
    <n v="0"/>
    <n v="3"/>
    <n v="953"/>
    <n v="20651"/>
    <s v="AZUL"/>
    <n v="6.7"/>
    <n v="0"/>
    <n v="0"/>
    <n v="10.032"/>
    <n v="19.3"/>
    <n v="38"/>
    <n v="507.89473684210526"/>
    <x v="0"/>
    <x v="0"/>
    <n v="4"/>
    <n v="2"/>
    <n v="44"/>
  </r>
  <r>
    <d v="2025-02-12T11:15:00"/>
    <s v="INYECTADO"/>
    <x v="1"/>
    <x v="12"/>
    <s v="JUAN CARLOS CEDENO"/>
    <s v="SEGUNDA"/>
    <s v="."/>
    <s v="PP INY MOLIDO"/>
    <s v="PALA Y RASTRILLO ROMANO"/>
    <s v="PALA RASTRILLO ROMANO-VERDE"/>
    <n v="360"/>
    <n v="3"/>
    <n v="26.3"/>
    <x v="0"/>
    <n v="0"/>
    <n v="4"/>
    <n v="953"/>
    <n v="20651"/>
    <s v="VERDE"/>
    <n v="5"/>
    <n v="0"/>
    <n v="0"/>
    <n v="13.68"/>
    <n v="26.3"/>
    <n v="38"/>
    <n v="692.10526315789468"/>
    <x v="0"/>
    <x v="0"/>
    <n v="4"/>
    <n v="2"/>
    <n v="60"/>
  </r>
  <r>
    <d v="2025-02-12T11:15:00"/>
    <s v="INYECTADO"/>
    <x v="1"/>
    <x v="12"/>
    <s v="JUAN CARLOS CEDENO"/>
    <s v="VIRGEN"/>
    <s v="PP CLARIFICADO"/>
    <s v="."/>
    <s v="PALA Y RASTRILLO ROMANO"/>
    <s v="PALA RASTRILLO ROMANO-AMARILLO"/>
    <n v="283"/>
    <n v="2"/>
    <n v="20.7"/>
    <x v="0"/>
    <n v="0"/>
    <n v="3"/>
    <n v="953"/>
    <n v="20651"/>
    <s v="AMARILLO"/>
    <n v="8.3000000000000007"/>
    <n v="0"/>
    <n v="0"/>
    <n v="10.754"/>
    <n v="20.7"/>
    <n v="38"/>
    <n v="544.73684210526312"/>
    <x v="0"/>
    <x v="0"/>
    <n v="4"/>
    <n v="2"/>
    <n v="47.166666666666664"/>
  </r>
  <r>
    <d v="2025-02-12T11:15:00"/>
    <s v="INYECTADO"/>
    <x v="1"/>
    <x v="12"/>
    <s v="JUAN CARLOS CEDENO"/>
    <s v="SEGUNDA"/>
    <s v="."/>
    <s v="PP INY MOLIDO"/>
    <s v="PALA Y RASTRILLO ROMANO"/>
    <s v="PALA RASTRILLO ROMANO-FUCSIA"/>
    <n v="157"/>
    <n v="1"/>
    <n v="11.5"/>
    <x v="0"/>
    <n v="0"/>
    <n v="2"/>
    <n v="953"/>
    <n v="20651"/>
    <s v="FUCSIA"/>
    <n v="1.9"/>
    <n v="0"/>
    <n v="0"/>
    <n v="5.9660000000000002"/>
    <n v="11.5"/>
    <n v="38"/>
    <n v="302.63157894736844"/>
    <x v="0"/>
    <x v="0"/>
    <n v="4"/>
    <n v="2"/>
    <n v="26.166666666666668"/>
  </r>
  <r>
    <d v="2025-02-12T11:15:00"/>
    <s v="INYECTADO"/>
    <x v="1"/>
    <x v="14"/>
    <s v="JUAN MANUEL PEREZ"/>
    <s v="SEGUNDA"/>
    <s v="."/>
    <s v="PP INY MOLIDO"/>
    <s v="PALA Y RASTRILLO ROMANO"/>
    <s v="PALA RASTRILLO ROMANO-ROJO"/>
    <n v="478"/>
    <n v="4"/>
    <n v="35.9"/>
    <x v="1"/>
    <n v="0"/>
    <n v="5"/>
    <n v="953"/>
    <n v="20652"/>
    <s v="ROJO"/>
    <n v="0"/>
    <n v="0"/>
    <n v="0"/>
    <n v="18.164000000000001"/>
    <n v="35.9"/>
    <n v="38"/>
    <n v="944.73684210526312"/>
    <x v="0"/>
    <x v="0"/>
    <n v="4"/>
    <n v="2"/>
    <n v="79.666666666666671"/>
  </r>
  <r>
    <d v="2025-02-12T11:15:00"/>
    <s v="INYECTADO"/>
    <x v="1"/>
    <x v="14"/>
    <s v="JUAN MANUEL PEREZ"/>
    <s v="SEGUNDA"/>
    <s v="."/>
    <s v="PP INY MOLIDO"/>
    <s v="PALA Y RASTRILLO ROMANO"/>
    <s v="PALA RASTRILLO ROMANO-AZUL"/>
    <n v="326"/>
    <n v="3"/>
    <n v="24.5"/>
    <x v="1"/>
    <n v="0"/>
    <n v="4"/>
    <n v="953"/>
    <n v="20652"/>
    <s v="AZUL"/>
    <n v="0"/>
    <n v="0"/>
    <n v="0"/>
    <n v="12.388"/>
    <n v="24.5"/>
    <n v="38"/>
    <n v="644.73684210526312"/>
    <x v="0"/>
    <x v="0"/>
    <n v="4"/>
    <n v="2"/>
    <n v="54.333333333333336"/>
  </r>
  <r>
    <d v="2025-02-12T11:15:00"/>
    <s v="INYECTADO"/>
    <x v="1"/>
    <x v="14"/>
    <s v="JUAN MANUEL PEREZ"/>
    <s v="SEGUNDA"/>
    <s v="."/>
    <s v="PP INY MOLIDO"/>
    <s v="PALA Y RASTRILLO ROMANO"/>
    <s v="PALA RASTRILLO ROMANO-FUCSIA"/>
    <n v="297"/>
    <n v="2"/>
    <n v="22.3"/>
    <x v="1"/>
    <n v="0"/>
    <n v="3"/>
    <n v="953"/>
    <n v="20652"/>
    <s v="FUCSIA"/>
    <n v="0"/>
    <n v="0"/>
    <n v="0"/>
    <n v="11.286"/>
    <n v="22.3"/>
    <n v="38"/>
    <n v="586.84210526315792"/>
    <x v="0"/>
    <x v="0"/>
    <n v="4"/>
    <n v="2"/>
    <n v="49.5"/>
  </r>
  <r>
    <d v="2025-02-12T11:15:00"/>
    <s v="INYECTADO"/>
    <x v="1"/>
    <x v="14"/>
    <s v="JUAN MANUEL PEREZ"/>
    <s v="SEGUNDA"/>
    <s v="."/>
    <s v="PP INY MOLIDO"/>
    <s v="PALA Y RASTRILLO ROMANO"/>
    <s v="PALA RASTRILLO ROMANO-LILA"/>
    <n v="296"/>
    <n v="2"/>
    <n v="22.3"/>
    <x v="1"/>
    <n v="0"/>
    <n v="2"/>
    <n v="953"/>
    <n v="20652"/>
    <s v="LILA"/>
    <n v="0"/>
    <n v="0"/>
    <n v="0"/>
    <n v="11.247999999999999"/>
    <n v="22.3"/>
    <n v="38"/>
    <n v="586.84210526315792"/>
    <x v="0"/>
    <x v="0"/>
    <n v="4"/>
    <n v="2"/>
    <n v="49.333333333333336"/>
  </r>
  <r>
    <d v="2025-02-12T11:15:00"/>
    <s v="INYECTADO"/>
    <x v="1"/>
    <x v="15"/>
    <s v="JUAN CARLOS CEDENO"/>
    <s v="SEGUNDA"/>
    <s v="."/>
    <s v="PP INY MOLIDO"/>
    <s v="PALA Y RASTRILLO ROMANO"/>
    <s v="PALA RASTRILLO ROMANO-LILA"/>
    <n v="75"/>
    <n v="1"/>
    <n v="5.6"/>
    <x v="0"/>
    <n v="0"/>
    <n v="2"/>
    <n v="953"/>
    <n v="20653"/>
    <s v="LILA"/>
    <n v="3.4"/>
    <n v="0"/>
    <n v="0"/>
    <n v="2.85"/>
    <n v="5.6"/>
    <n v="38"/>
    <n v="147.36842105263159"/>
    <x v="0"/>
    <x v="0"/>
    <n v="4"/>
    <n v="2"/>
    <n v="12.5"/>
  </r>
  <r>
    <d v="2025-02-12T11:15:00"/>
    <s v="INYECTADO"/>
    <x v="1"/>
    <x v="15"/>
    <s v="JUAN CARLOS CEDENO"/>
    <s v="SEGUNDA"/>
    <s v="."/>
    <s v="PP INY MOLIDO"/>
    <s v="PALA Y RASTRILLO ROMANO"/>
    <s v="PALA RASTRILLO ROMANO-VERDE"/>
    <n v="545"/>
    <n v="6"/>
    <n v="40.9"/>
    <x v="0"/>
    <n v="0"/>
    <n v="2"/>
    <n v="953"/>
    <n v="20653"/>
    <s v="VERDE"/>
    <n v="2.6"/>
    <n v="0"/>
    <n v="0"/>
    <n v="20.71"/>
    <n v="40.9"/>
    <n v="38"/>
    <n v="1076.3157894736842"/>
    <x v="0"/>
    <x v="0"/>
    <n v="4"/>
    <n v="2"/>
    <n v="90.833333333333329"/>
  </r>
  <r>
    <d v="2025-02-12T11:15:00"/>
    <s v="INYECTADO"/>
    <x v="1"/>
    <x v="15"/>
    <s v="JUAN CARLOS CEDENO"/>
    <s v="SEGUNDA"/>
    <s v="."/>
    <s v="PP INY MOLIDO"/>
    <s v="PALA Y RASTRILLO ROMANO"/>
    <s v="PALA RASTRILLO ROMANO-AZUL"/>
    <n v="288"/>
    <n v="2"/>
    <n v="21.6"/>
    <x v="0"/>
    <n v="0"/>
    <n v="6"/>
    <n v="953"/>
    <n v="20653"/>
    <s v="AZUL"/>
    <n v="6.7"/>
    <n v="0"/>
    <n v="0"/>
    <n v="10.944000000000001"/>
    <n v="21.6"/>
    <n v="38"/>
    <n v="568.42105263157896"/>
    <x v="0"/>
    <x v="0"/>
    <n v="4"/>
    <n v="2"/>
    <n v="48"/>
  </r>
  <r>
    <d v="2025-02-12T11:15:00"/>
    <s v="INYECTADO"/>
    <x v="1"/>
    <x v="15"/>
    <s v="JUAN CARLOS CEDENO"/>
    <s v="VIRGEN"/>
    <s v="PP CLARIFICADO"/>
    <s v="."/>
    <s v="PALA Y RASTRILLO ROMANO"/>
    <s v="PALA RASTRILLO ROMANO-AMARILLO"/>
    <n v="152"/>
    <n v="2"/>
    <n v="11.4"/>
    <x v="0"/>
    <n v="0"/>
    <n v="2"/>
    <n v="953"/>
    <n v="20653"/>
    <s v="AMARILLO"/>
    <n v="7.6"/>
    <n v="0"/>
    <n v="0"/>
    <n v="5.7759999999999998"/>
    <n v="11.4"/>
    <n v="38"/>
    <n v="300"/>
    <x v="0"/>
    <x v="0"/>
    <n v="4"/>
    <n v="2"/>
    <n v="25.333333333333332"/>
  </r>
  <r>
    <d v="2025-02-12T16:16:00"/>
    <s v="INYECTADO"/>
    <x v="6"/>
    <x v="5"/>
    <s v="NELSON PINEDO"/>
    <s v="VIRGEN"/>
    <s v="PP CLARIFICADO"/>
    <s v="."/>
    <s v="LAVACUELA REDONDO"/>
    <s v="LAVACUELA REDONDO-ROSADO"/>
    <n v="160"/>
    <n v="2"/>
    <n v="15.2"/>
    <x v="0"/>
    <n v="0"/>
    <n v="2"/>
    <n v="969"/>
    <n v="19972"/>
    <s v="ROSADO"/>
    <n v="0"/>
    <n v="0"/>
    <n v="0"/>
    <n v="14.8"/>
    <n v="15.2"/>
    <n v="92.5"/>
    <n v="164.32432432432432"/>
    <x v="0"/>
    <x v="0"/>
    <n v="3"/>
    <n v="1"/>
    <n v="13.333333333333334"/>
  </r>
  <r>
    <d v="2025-02-12T16:16:00"/>
    <s v="INYECTADO"/>
    <x v="6"/>
    <x v="6"/>
    <s v="JUAN CARLOS CEDENO"/>
    <s v="VIRGEN"/>
    <s v="PP CLARIFICADO"/>
    <s v="."/>
    <s v="LAVACUELA REDONDO"/>
    <s v="LAVACUELA REDONDO-ROSADO"/>
    <n v="58"/>
    <n v="1"/>
    <n v="5.5"/>
    <x v="0"/>
    <n v="0"/>
    <n v="1"/>
    <n v="969"/>
    <n v="19973"/>
    <s v="ROSADO"/>
    <n v="6.4"/>
    <n v="0"/>
    <n v="0"/>
    <n v="5.3650000000000002"/>
    <n v="5.5"/>
    <n v="92.5"/>
    <n v="59.45945945945946"/>
    <x v="0"/>
    <x v="0"/>
    <n v="3"/>
    <n v="1"/>
    <n v="4.833333333333333"/>
  </r>
  <r>
    <d v="2025-02-12T16:16:00"/>
    <s v="INYECTADO"/>
    <x v="6"/>
    <x v="6"/>
    <s v="JUAN CARLOS CEDENO"/>
    <s v="VIRGEN"/>
    <s v="PP CLARIFICADO"/>
    <s v="."/>
    <s v="LAVACUELA REDONDO"/>
    <s v="LAVACUELA REDONDO-MELON"/>
    <n v="32"/>
    <n v="1"/>
    <n v="3.1"/>
    <x v="0"/>
    <n v="0"/>
    <n v="1"/>
    <n v="969"/>
    <n v="19973"/>
    <s v="MELON"/>
    <n v="0.1"/>
    <n v="0"/>
    <n v="0"/>
    <n v="2.96"/>
    <n v="3.1"/>
    <n v="92.5"/>
    <n v="33.513513513513516"/>
    <x v="0"/>
    <x v="0"/>
    <n v="3"/>
    <n v="1"/>
    <n v="2.6666666666666665"/>
  </r>
  <r>
    <d v="2025-02-12T16:16:00"/>
    <s v="INYECTADO"/>
    <x v="6"/>
    <x v="9"/>
    <s v="JUAN CARLOS CEDENO"/>
    <s v="VIRGEN"/>
    <s v="PP CLARIFICADO"/>
    <s v="."/>
    <s v="LAVACUELA REDONDO"/>
    <s v="LAVACUELA REDONDO-VERDE"/>
    <n v="222"/>
    <n v="2"/>
    <n v="20.7"/>
    <x v="0"/>
    <n v="0"/>
    <n v="2"/>
    <n v="969"/>
    <n v="19974"/>
    <s v="VERDE"/>
    <n v="7.1"/>
    <n v="0"/>
    <n v="0"/>
    <n v="20.535"/>
    <n v="20.7"/>
    <n v="92.5"/>
    <n v="223.78378378378378"/>
    <x v="0"/>
    <x v="0"/>
    <n v="3"/>
    <n v="1"/>
    <n v="18.5"/>
  </r>
  <r>
    <d v="2025-02-12T16:16:00"/>
    <s v="INYECTADO"/>
    <x v="6"/>
    <x v="9"/>
    <s v="JUAN CARLOS CEDENO"/>
    <s v="VIRGEN"/>
    <s v="PP CLARIFICADO"/>
    <s v="."/>
    <s v="LAVACUELA REDONDO"/>
    <s v="LAVACUELA REDONDO-CREMA"/>
    <n v="244"/>
    <n v="2"/>
    <n v="22.7"/>
    <x v="0"/>
    <n v="0"/>
    <n v="2"/>
    <n v="969"/>
    <n v="19974"/>
    <s v="CREMA"/>
    <n v="3.6"/>
    <n v="0"/>
    <n v="0"/>
    <n v="22.57"/>
    <n v="22.7"/>
    <n v="92.5"/>
    <n v="245.40540540540542"/>
    <x v="0"/>
    <x v="0"/>
    <n v="3"/>
    <n v="1"/>
    <n v="20.333333333333332"/>
  </r>
  <r>
    <d v="2025-02-12T16:16:00"/>
    <s v="INYECTADO"/>
    <x v="6"/>
    <x v="9"/>
    <s v="JUAN CARLOS CEDENO"/>
    <s v="VIRGEN"/>
    <s v="PP CLARIFICADO"/>
    <s v="."/>
    <s v="LAVACUELA REDONDO"/>
    <s v="LAVACUELA REDONDO-TURQUESA"/>
    <n v="250"/>
    <n v="2"/>
    <n v="23.3"/>
    <x v="0"/>
    <n v="0"/>
    <n v="2"/>
    <n v="969"/>
    <n v="19974"/>
    <s v="TURQUESA"/>
    <n v="4.2"/>
    <n v="0"/>
    <n v="0"/>
    <n v="23.125"/>
    <n v="23.3"/>
    <n v="92.5"/>
    <n v="251.8918918918919"/>
    <x v="0"/>
    <x v="0"/>
    <n v="3"/>
    <n v="1"/>
    <n v="20.833333333333332"/>
  </r>
  <r>
    <d v="2025-02-12T16:16:00"/>
    <s v="INYECTADO"/>
    <x v="6"/>
    <x v="9"/>
    <s v="JUAN CARLOS CEDENO"/>
    <s v="VIRGEN"/>
    <s v="PP CLARIFICADO"/>
    <s v="."/>
    <s v="LAVACUELA REDONDO"/>
    <s v="LAVACUELA REDONDO-MELON"/>
    <n v="254"/>
    <n v="2"/>
    <n v="23.7"/>
    <x v="0"/>
    <n v="0"/>
    <n v="2"/>
    <n v="969"/>
    <n v="19974"/>
    <s v="MELON"/>
    <n v="3.3"/>
    <n v="0"/>
    <n v="0"/>
    <n v="23.495000000000001"/>
    <n v="23.7"/>
    <n v="92.5"/>
    <n v="256.2162162162162"/>
    <x v="0"/>
    <x v="0"/>
    <n v="3"/>
    <n v="1"/>
    <n v="21.166666666666668"/>
  </r>
  <r>
    <d v="2025-02-12T16:16:00"/>
    <s v="INYECTADO"/>
    <x v="6"/>
    <x v="9"/>
    <s v="JUAN CARLOS CEDENO"/>
    <s v="VIRGEN"/>
    <s v="PP CLARIFICADO"/>
    <s v="."/>
    <s v="LAVACUELA REDONDO"/>
    <s v="LAVACUELA REDONDO-LILA"/>
    <n v="38"/>
    <n v="1"/>
    <n v="3.6"/>
    <x v="0"/>
    <n v="0"/>
    <n v="1"/>
    <n v="969"/>
    <n v="19974"/>
    <s v="LILA"/>
    <n v="0"/>
    <n v="0"/>
    <n v="0"/>
    <n v="3.5150000000000001"/>
    <n v="3.6"/>
    <n v="92.5"/>
    <n v="38.918918918918919"/>
    <x v="0"/>
    <x v="0"/>
    <n v="3"/>
    <n v="1"/>
    <n v="3.1666666666666665"/>
  </r>
  <r>
    <d v="2025-02-12T16:16:00"/>
    <s v="INYECTADO"/>
    <x v="6"/>
    <x v="10"/>
    <s v="CRISALIDA ZAPATA"/>
    <s v="VIRGEN"/>
    <s v="PP CLARIFICADO"/>
    <s v="."/>
    <s v="LAVACUELA REDONDO"/>
    <s v="LAVACUELA REDONDO-LILA"/>
    <n v="962"/>
    <n v="8"/>
    <n v="86.8"/>
    <x v="0"/>
    <n v="0"/>
    <n v="9"/>
    <n v="969"/>
    <n v="19975"/>
    <s v="LILA"/>
    <n v="3.1"/>
    <n v="0"/>
    <n v="0"/>
    <n v="88.984999999999999"/>
    <n v="86.8"/>
    <n v="92.5"/>
    <n v="938.37837837837833"/>
    <x v="0"/>
    <x v="0"/>
    <n v="3"/>
    <n v="1"/>
    <n v="80.166666666666671"/>
  </r>
  <r>
    <d v="2025-02-12T16:16:00"/>
    <s v="INYECTADO"/>
    <x v="6"/>
    <x v="10"/>
    <s v="CRISALIDA ZAPATA"/>
    <s v="VIRGEN"/>
    <s v="PP CLARIFICADO"/>
    <s v="."/>
    <s v="LAVACUELA REDONDO"/>
    <s v="LAVACUELA REDONDO-ROSADO"/>
    <n v="240"/>
    <n v="2"/>
    <n v="22.5"/>
    <x v="0"/>
    <n v="0"/>
    <n v="4"/>
    <n v="969"/>
    <n v="19975"/>
    <s v="FUCSIA"/>
    <n v="0.9"/>
    <n v="0"/>
    <n v="0"/>
    <n v="22.2"/>
    <n v="22.5"/>
    <n v="92.5"/>
    <n v="243.24324324324326"/>
    <x v="0"/>
    <x v="0"/>
    <n v="3"/>
    <n v="1"/>
    <n v="20"/>
  </r>
  <r>
    <d v="2025-02-12T16:16:00"/>
    <s v="INYECTADO"/>
    <x v="6"/>
    <x v="11"/>
    <s v="CRISALIDA ZAPATA"/>
    <s v="VIRGEN"/>
    <s v="PP CLARIFICADO"/>
    <s v="."/>
    <s v="LAVACUELA REDONDO"/>
    <s v="LAVACUELA REDONDO-ROSADO"/>
    <n v="497"/>
    <n v="4"/>
    <n v="46.5"/>
    <x v="0"/>
    <n v="0"/>
    <n v="5"/>
    <n v="969"/>
    <n v="19976"/>
    <s v="ROSADO"/>
    <n v="6.3"/>
    <n v="0"/>
    <n v="0"/>
    <n v="45.972499999999997"/>
    <n v="46.5"/>
    <n v="92.5"/>
    <n v="502.70270270270271"/>
    <x v="0"/>
    <x v="0"/>
    <n v="3"/>
    <n v="1"/>
    <n v="41.416666666666664"/>
  </r>
  <r>
    <d v="2025-02-12T16:16:00"/>
    <s v="INYECTADO"/>
    <x v="6"/>
    <x v="11"/>
    <s v="CRISALIDA ZAPATA"/>
    <s v="VIRGEN"/>
    <s v="PP CLARIFICADO"/>
    <s v="."/>
    <s v="LAVACUELA REDONDO"/>
    <s v="LAVACUELA REDONDO-MELON"/>
    <n v="194"/>
    <n v="2"/>
    <n v="18.2"/>
    <x v="0"/>
    <n v="0"/>
    <n v="6"/>
    <n v="969"/>
    <n v="19976"/>
    <s v="MELON"/>
    <n v="0.6"/>
    <n v="0"/>
    <n v="0"/>
    <n v="17.945"/>
    <n v="18.2"/>
    <n v="92.5"/>
    <n v="196.75675675675674"/>
    <x v="0"/>
    <x v="0"/>
    <n v="3"/>
    <n v="1"/>
    <n v="16.166666666666668"/>
  </r>
  <r>
    <d v="2025-02-12T16:16:00"/>
    <s v="INYECTADO"/>
    <x v="6"/>
    <x v="23"/>
    <s v="CRISALIDA ZAPATA"/>
    <s v="VIRGEN"/>
    <s v="PP CLARIFICADO"/>
    <s v="."/>
    <s v="LAVACUELA REDONDO"/>
    <s v="LAVACUELA REDONDO-MELON"/>
    <n v="597"/>
    <n v="5"/>
    <n v="56.1"/>
    <x v="0"/>
    <n v="0"/>
    <n v="6"/>
    <n v="969"/>
    <n v="19977"/>
    <s v="MELON"/>
    <n v="4.4000000000000004"/>
    <n v="0"/>
    <n v="0"/>
    <n v="55.222499999999997"/>
    <n v="56.1"/>
    <n v="92.5"/>
    <n v="606.48648648648646"/>
    <x v="0"/>
    <x v="0"/>
    <n v="3"/>
    <n v="1"/>
    <n v="49.75"/>
  </r>
  <r>
    <d v="2025-02-12T16:16:00"/>
    <s v="INYECTADO"/>
    <x v="6"/>
    <x v="23"/>
    <s v="CRISALIDA ZAPATA"/>
    <s v="VIRGEN"/>
    <s v="PP CLARIFICADO"/>
    <s v="."/>
    <s v="LAVACUELA REDONDO"/>
    <s v="LAVACUELA REDONDO-VERDE"/>
    <n v="352"/>
    <n v="3"/>
    <n v="33.1"/>
    <x v="0"/>
    <n v="0"/>
    <n v="3"/>
    <n v="969"/>
    <n v="19977"/>
    <s v="VERDE"/>
    <n v="1.9"/>
    <n v="0"/>
    <n v="0"/>
    <n v="32.56"/>
    <n v="33.1"/>
    <n v="92.5"/>
    <n v="357.83783783783781"/>
    <x v="0"/>
    <x v="0"/>
    <n v="3"/>
    <n v="1"/>
    <n v="29.333333333333332"/>
  </r>
  <r>
    <d v="2025-02-12T16:16:00"/>
    <s v="INYECTADO"/>
    <x v="6"/>
    <x v="23"/>
    <s v="JUAN MANUEL PEREZ"/>
    <s v="VIRGEN"/>
    <s v="PP CLARIFICADO"/>
    <s v="."/>
    <s v="TAPAS DE JARRA 5 Y 6L"/>
    <s v="TAPAS DE JARRA DE 5 Y 6L-AMARILLO"/>
    <n v="259"/>
    <n v="3"/>
    <n v="23.8"/>
    <x v="1"/>
    <n v="0"/>
    <n v="4"/>
    <n v="942"/>
    <n v="19978"/>
    <s v="AMARILLO"/>
    <n v="10"/>
    <n v="0"/>
    <n v="0"/>
    <n v="20.978999999999999"/>
    <n v="23.8"/>
    <n v="81"/>
    <n v="293.82716049382714"/>
    <x v="0"/>
    <x v="0"/>
    <n v="3"/>
    <n v="2"/>
    <n v="43.166666666666664"/>
  </r>
  <r>
    <d v="2025-02-12T16:16:00"/>
    <s v="INYECTADO"/>
    <x v="6"/>
    <x v="23"/>
    <s v="JUAN MANUEL PEREZ"/>
    <s v="VIRGEN"/>
    <s v="ALTA INYECCION"/>
    <s v="."/>
    <s v="TAPAS DE JARRA 5 Y 6L"/>
    <s v="TAPAS DE JARRA DE 5 Y 6L-VERDE"/>
    <n v="479"/>
    <n v="4"/>
    <n v="44"/>
    <x v="1"/>
    <n v="0"/>
    <n v="8"/>
    <n v="942"/>
    <n v="19978"/>
    <s v="VERDE"/>
    <n v="6.2"/>
    <n v="0"/>
    <n v="0"/>
    <n v="38.798999999999999"/>
    <n v="44"/>
    <n v="81"/>
    <n v="543.20987654320993"/>
    <x v="0"/>
    <x v="0"/>
    <n v="3"/>
    <n v="2"/>
    <n v="79.833333333333329"/>
  </r>
  <r>
    <d v="2025-02-12T17:19:00"/>
    <s v="INYECTADO"/>
    <x v="6"/>
    <x v="16"/>
    <s v="LUIS RENGIFO"/>
    <s v="SEGUNDA"/>
    <s v="."/>
    <s v="MIXTO"/>
    <s v="COLADOR HOGAR SOLIDO #3"/>
    <s v="COLADOR HOGAR SOLIDO#3-AZUL"/>
    <n v="706"/>
    <n v="6"/>
    <n v="65"/>
    <x v="0"/>
    <n v="0"/>
    <n v="6"/>
    <n v="982"/>
    <n v="19980"/>
    <s v="AZUL"/>
    <n v="2.9"/>
    <n v="0"/>
    <n v="0"/>
    <n v="65.658000000000001"/>
    <n v="65"/>
    <n v="93"/>
    <n v="698.92473118279565"/>
    <x v="0"/>
    <x v="0"/>
    <n v="5"/>
    <n v="1"/>
    <n v="58.833333333333336"/>
  </r>
  <r>
    <d v="2025-02-12T17:19:00"/>
    <s v="INYECTADO"/>
    <x v="6"/>
    <x v="16"/>
    <s v="FABIAN HERNANDEZ"/>
    <s v="SEGUNDA"/>
    <s v="."/>
    <s v="MIXTO"/>
    <s v="COLADOR HOGAR SOLIDO #3"/>
    <s v="COLADOR HOGAR SOLIDO#3-AZUL"/>
    <n v="486"/>
    <n v="4"/>
    <n v="45.2"/>
    <x v="1"/>
    <n v="0"/>
    <n v="4"/>
    <n v="982"/>
    <n v="19982"/>
    <s v="AZUL"/>
    <n v="2.4"/>
    <n v="0"/>
    <n v="0"/>
    <n v="45.198"/>
    <n v="45.2"/>
    <n v="93"/>
    <n v="486.02150537634407"/>
    <x v="0"/>
    <x v="0"/>
    <n v="5"/>
    <n v="1"/>
    <n v="40.5"/>
  </r>
  <r>
    <d v="2025-02-12T17:19:00"/>
    <s v="INYECTADO"/>
    <x v="6"/>
    <x v="16"/>
    <s v="FABIAN HERNANDEZ"/>
    <s v="VIRGEN"/>
    <s v="PP CLARIFICADO"/>
    <s v="."/>
    <s v="COLADOR HOGAR SOLIDO #3"/>
    <s v="COLADOR HOGAR SOLIDO#3-CREMA"/>
    <n v="980"/>
    <n v="9"/>
    <n v="91.2"/>
    <x v="1"/>
    <n v="0"/>
    <n v="8"/>
    <n v="982"/>
    <n v="19982"/>
    <s v="CREMA"/>
    <n v="1.2"/>
    <n v="0"/>
    <n v="0"/>
    <n v="91.14"/>
    <n v="91.2"/>
    <n v="93"/>
    <n v="980.64516129032256"/>
    <x v="0"/>
    <x v="0"/>
    <n v="5"/>
    <n v="1"/>
    <n v="81.666666666666671"/>
  </r>
  <r>
    <d v="2025-02-12T17:19:00"/>
    <s v="INYECTADO"/>
    <x v="6"/>
    <x v="17"/>
    <s v="JUAN CARLOS CEDENO"/>
    <s v="SEGUNDA"/>
    <s v="."/>
    <s v="MIXTO"/>
    <s v="COLADOR HOGAR SOLIDO #3"/>
    <s v="COLADOR HOGAR SOLIDO#3-VERDE"/>
    <n v="1134"/>
    <n v="8"/>
    <n v="104.4"/>
    <x v="0"/>
    <n v="0"/>
    <n v="10"/>
    <n v="982"/>
    <n v="19983"/>
    <s v="VERDE"/>
    <n v="11.3"/>
    <n v="0"/>
    <n v="0"/>
    <n v="105.462"/>
    <n v="104.4"/>
    <n v="93"/>
    <n v="1122.5806451612902"/>
    <x v="0"/>
    <x v="0"/>
    <n v="5"/>
    <n v="1"/>
    <n v="94.5"/>
  </r>
  <r>
    <d v="2025-02-12T17:19:00"/>
    <s v="INYECTADO"/>
    <x v="6"/>
    <x v="17"/>
    <s v="JUAN CARLOS CEDENO"/>
    <s v="VIRGEN"/>
    <s v="PP CLARIFICADO"/>
    <s v="."/>
    <s v="COLADOR HOGAR SOLIDO #3"/>
    <s v="COLADOR HOGAR SOLIDO#3-CREMA"/>
    <n v="46"/>
    <n v="1"/>
    <n v="4.3"/>
    <x v="0"/>
    <n v="0"/>
    <n v="1"/>
    <n v="982"/>
    <n v="19983"/>
    <s v="CREMA"/>
    <n v="5.0999999999999996"/>
    <n v="0"/>
    <n v="0"/>
    <n v="4.2779999999999996"/>
    <n v="4.3"/>
    <n v="93"/>
    <n v="46.236559139784944"/>
    <x v="0"/>
    <x v="0"/>
    <n v="5"/>
    <n v="1"/>
    <n v="3.8333333333333335"/>
  </r>
  <r>
    <d v="2025-02-12T17:19:00"/>
    <s v="INYECTADO"/>
    <x v="6"/>
    <x v="26"/>
    <s v="JUAN CARLOS CEDENO"/>
    <s v="SEGUNDA"/>
    <s v="."/>
    <s v="MIXTO"/>
    <s v="COLADOR HOGAR SOLIDO #3"/>
    <s v="COLADOR HOGAR SOLIDO#3-AZURE"/>
    <n v="1036"/>
    <n v="7"/>
    <n v="101.6"/>
    <x v="0"/>
    <n v="0"/>
    <n v="11"/>
    <n v="982"/>
    <n v="19985"/>
    <s v="AZURE"/>
    <n v="4.7"/>
    <n v="0"/>
    <n v="0"/>
    <n v="96.347999999999999"/>
    <n v="101.6"/>
    <n v="93"/>
    <n v="1092.4731182795699"/>
    <x v="0"/>
    <x v="0"/>
    <n v="5"/>
    <n v="1"/>
    <n v="86.333333333333329"/>
  </r>
  <r>
    <d v="2025-02-12T17:19:00"/>
    <s v="INYECTADO"/>
    <x v="6"/>
    <x v="26"/>
    <s v="JUAN CARLOS CEDENO"/>
    <s v="SEGUNDA"/>
    <s v="."/>
    <s v="MIXTO"/>
    <s v="COLADOR HOGAR SOLIDO #3"/>
    <s v="COLADOR HOGAR SOLIDO#3-ANARANJADO"/>
    <n v="348"/>
    <n v="3"/>
    <n v="33.1"/>
    <x v="0"/>
    <n v="0"/>
    <n v="4"/>
    <n v="982"/>
    <n v="19985"/>
    <s v="ANARANJADO"/>
    <n v="1.2"/>
    <n v="0"/>
    <n v="0"/>
    <n v="32.363999999999997"/>
    <n v="33.1"/>
    <n v="93"/>
    <n v="355.91397849462368"/>
    <x v="0"/>
    <x v="0"/>
    <n v="5"/>
    <n v="1"/>
    <n v="29"/>
  </r>
  <r>
    <d v="2025-02-12T17:19:00"/>
    <s v="INYECTADO"/>
    <x v="6"/>
    <x v="26"/>
    <s v="PAUL MILLER"/>
    <s v="SEGUNDA"/>
    <s v="."/>
    <s v="MIXTO"/>
    <s v="COLADOR HOGAR SOLIDO #3"/>
    <s v="COLADOR HOGAR SOLIDO#3-ANARANJADO"/>
    <n v="604"/>
    <n v="5"/>
    <n v="56.5"/>
    <x v="1"/>
    <n v="0"/>
    <n v="5"/>
    <n v="982"/>
    <n v="19986"/>
    <s v="ANARANJADO"/>
    <n v="2.6"/>
    <n v="0"/>
    <n v="0"/>
    <n v="56.171999999999997"/>
    <n v="56.5"/>
    <n v="93"/>
    <n v="607.52688172043008"/>
    <x v="0"/>
    <x v="0"/>
    <n v="5"/>
    <n v="1"/>
    <n v="50.333333333333336"/>
  </r>
  <r>
    <d v="2025-02-12T19:13:00"/>
    <s v="INYECTADO"/>
    <x v="2"/>
    <x v="18"/>
    <s v="FABIAN HERNANDEZ"/>
    <s v="VIRGEN"/>
    <s v="PP CLARIFICADO"/>
    <s v="."/>
    <s v="REGADERA PLAYERA"/>
    <s v="REGADERA PLAYERA-AMARILLO"/>
    <n v="393"/>
    <n v="4"/>
    <n v="37.6"/>
    <x v="1"/>
    <n v="0"/>
    <n v="5"/>
    <n v="960"/>
    <n v="19694"/>
    <s v="AMARILLO"/>
    <n v="6.9"/>
    <n v="0"/>
    <n v="0"/>
    <n v="12.968999999999999"/>
    <n v="37.6"/>
    <n v="33"/>
    <n v="1139.3939393939395"/>
    <x v="0"/>
    <x v="0"/>
    <n v="2"/>
    <n v="3"/>
    <n v="98.25"/>
  </r>
  <r>
    <d v="2025-02-12T19:13:00"/>
    <s v="INYECTADO"/>
    <x v="2"/>
    <x v="19"/>
    <s v="CRISALIDA ZAPATA"/>
    <s v="SEGUNDA"/>
    <s v="."/>
    <s v="PP INY MOLIDO"/>
    <s v="REGADERA PLAYERA"/>
    <s v="REGADERA PLAYERA-ROJO"/>
    <n v="418"/>
    <n v="4"/>
    <n v="40"/>
    <x v="0"/>
    <n v="0"/>
    <n v="6"/>
    <n v="960"/>
    <n v="19695"/>
    <s v="ROJO"/>
    <n v="28.900000000000002"/>
    <n v="0"/>
    <n v="0"/>
    <n v="13.794"/>
    <n v="40"/>
    <n v="33"/>
    <n v="1212.121212121212"/>
    <x v="0"/>
    <x v="0"/>
    <n v="2"/>
    <n v="3"/>
    <n v="104.5"/>
  </r>
  <r>
    <d v="2025-02-12T19:13:00"/>
    <s v="INYECTADO"/>
    <x v="2"/>
    <x v="19"/>
    <s v="CRISALIDA ZAPATA"/>
    <s v="SEGUNDA"/>
    <s v="."/>
    <s v="PP INY MOLIDO"/>
    <s v="REGADERA PLAYERA"/>
    <s v="REGADERA PLAYERA-AZUL"/>
    <n v="404"/>
    <n v="4"/>
    <n v="38.6"/>
    <x v="0"/>
    <n v="0"/>
    <n v="3"/>
    <n v="960"/>
    <n v="19695"/>
    <s v="AZUL"/>
    <n v="2.2000000000000002"/>
    <n v="0"/>
    <n v="0"/>
    <n v="13.332000000000001"/>
    <n v="38.6"/>
    <n v="33"/>
    <n v="1169.6969696969697"/>
    <x v="0"/>
    <x v="0"/>
    <n v="2"/>
    <n v="3"/>
    <n v="101"/>
  </r>
  <r>
    <d v="2025-02-12T19:13:00"/>
    <s v="INYECTADO"/>
    <x v="2"/>
    <x v="4"/>
    <s v="ISABEL LINARIZ "/>
    <s v="SEGUNDA"/>
    <s v="."/>
    <s v="PP INY MOLIDO"/>
    <s v="REGADERA PLAYERA"/>
    <s v="REGADERA PLAYERA-FUCSIA"/>
    <n v="380"/>
    <n v="3"/>
    <n v="36.299999999999997"/>
    <x v="0"/>
    <n v="0"/>
    <n v="4"/>
    <n v="960"/>
    <n v="19696"/>
    <s v="FUCSIA"/>
    <n v="11.4"/>
    <n v="0"/>
    <n v="0"/>
    <n v="12.54"/>
    <n v="36.299999999999997"/>
    <n v="33"/>
    <n v="1100"/>
    <x v="0"/>
    <x v="0"/>
    <n v="2"/>
    <n v="3"/>
    <n v="95"/>
  </r>
  <r>
    <d v="2025-02-12T19:13:00"/>
    <s v="INYECTADO"/>
    <x v="2"/>
    <x v="4"/>
    <s v="ISABEL LINARIZ "/>
    <s v="SEGUNDA"/>
    <s v="."/>
    <s v="PP INY MOLIDO"/>
    <s v="REGADERA PLAYERA"/>
    <s v="REGADERA PLAYERA-VERDE"/>
    <n v="475"/>
    <n v="4"/>
    <n v="45.6"/>
    <x v="0"/>
    <n v="0"/>
    <n v="5"/>
    <n v="960"/>
    <n v="19696"/>
    <s v="VERDE"/>
    <n v="15.2"/>
    <n v="0"/>
    <n v="0"/>
    <n v="15.675000000000001"/>
    <n v="45.6"/>
    <n v="33"/>
    <n v="1381.8181818181818"/>
    <x v="0"/>
    <x v="0"/>
    <n v="2"/>
    <n v="3"/>
    <n v="118.75"/>
  </r>
  <r>
    <d v="2025-02-12T19:13:00"/>
    <s v="INYECTADO"/>
    <x v="2"/>
    <x v="4"/>
    <s v="ISABEL LINARIZ "/>
    <s v="SEGUNDA"/>
    <s v="."/>
    <s v="PP INY MOLIDO"/>
    <s v="REGADERA PLAYERA"/>
    <s v="REGADERA PLAYERA-LILA"/>
    <n v="37"/>
    <n v="1"/>
    <n v="3.6"/>
    <x v="0"/>
    <n v="0"/>
    <n v="1"/>
    <n v="960"/>
    <n v="19696"/>
    <s v="LILA"/>
    <n v="2.4"/>
    <n v="0"/>
    <n v="0"/>
    <n v="1.2210000000000001"/>
    <n v="3.6"/>
    <n v="33"/>
    <n v="109.09090909090909"/>
    <x v="0"/>
    <x v="0"/>
    <n v="2"/>
    <n v="3"/>
    <n v="9.25"/>
  </r>
  <r>
    <d v="2025-02-12T19:13:00"/>
    <s v="INYECTADO"/>
    <x v="2"/>
    <x v="5"/>
    <s v="CRISALIDA ZAPATA"/>
    <s v="SEGUNDA"/>
    <s v="."/>
    <s v="PP INY MOLIDO"/>
    <s v="REGADERA PLAYERA"/>
    <s v="REGADERA PLAYERA-LILA"/>
    <n v="773"/>
    <n v="8"/>
    <n v="73.900000000000006"/>
    <x v="0"/>
    <n v="0"/>
    <n v="10"/>
    <n v="960"/>
    <n v="19697"/>
    <s v="LILA"/>
    <n v="27.1"/>
    <n v="0"/>
    <n v="0"/>
    <n v="25.509"/>
    <n v="73.900000000000006"/>
    <n v="33"/>
    <n v="2239.3939393939395"/>
    <x v="0"/>
    <x v="0"/>
    <n v="3"/>
    <n v="3"/>
    <n v="193.25"/>
  </r>
  <r>
    <d v="2025-02-12T19:13:00"/>
    <s v="INYECTADO"/>
    <x v="2"/>
    <x v="5"/>
    <s v="CRISALIDA ZAPATA"/>
    <s v="SEGUNDA"/>
    <s v="."/>
    <s v="PP INY MOLIDO"/>
    <s v="REGADERA PLAYERA"/>
    <s v="REGADERA PLAYERA-FUCSIA"/>
    <n v="12"/>
    <n v="1"/>
    <n v="1.2"/>
    <x v="0"/>
    <n v="0"/>
    <n v="1"/>
    <n v="960"/>
    <n v="19697"/>
    <s v="FUCSIA"/>
    <n v="2.4"/>
    <n v="0"/>
    <n v="0"/>
    <n v="0.39600000000000002"/>
    <n v="1.2"/>
    <n v="33"/>
    <n v="36.363636363636367"/>
    <x v="0"/>
    <x v="0"/>
    <n v="3"/>
    <n v="3"/>
    <n v="3"/>
  </r>
  <r>
    <d v="2025-02-12T19:13:00"/>
    <s v="INYECTADO"/>
    <x v="2"/>
    <x v="6"/>
    <s v="JOSDER GONZALEZ"/>
    <s v="SEGUNDA"/>
    <s v="."/>
    <s v="PP INY MOLIDO"/>
    <s v="REGADERA PLAYERA"/>
    <s v="REGADERA PLAYERA-FUCSIA"/>
    <n v="408"/>
    <n v="4"/>
    <n v="39"/>
    <x v="0"/>
    <n v="0"/>
    <n v="5"/>
    <n v="960"/>
    <n v="19698"/>
    <s v="FUCSIA"/>
    <n v="11.8"/>
    <n v="0"/>
    <n v="0"/>
    <n v="13.464"/>
    <n v="39"/>
    <n v="33"/>
    <n v="1181.8181818181818"/>
    <x v="0"/>
    <x v="0"/>
    <n v="3"/>
    <n v="3"/>
    <n v="102"/>
  </r>
  <r>
    <d v="2025-02-12T19:13:00"/>
    <s v="INYECTADO"/>
    <x v="2"/>
    <x v="6"/>
    <s v="JOSDER GONZALEZ"/>
    <s v="SEGUNDA"/>
    <s v="."/>
    <s v="PP INY MOLIDO"/>
    <s v="REGADERA PLAYERA"/>
    <s v="REGADERA PLAYERA-ROJO"/>
    <n v="327"/>
    <n v="3"/>
    <n v="31.3"/>
    <x v="0"/>
    <n v="0"/>
    <n v="5"/>
    <n v="960"/>
    <n v="19698"/>
    <s v="ROJO"/>
    <n v="11.9"/>
    <n v="0"/>
    <n v="0"/>
    <n v="10.791"/>
    <n v="31.3"/>
    <n v="33"/>
    <n v="948.4848484848485"/>
    <x v="0"/>
    <x v="0"/>
    <n v="3"/>
    <n v="3"/>
    <n v="81.75"/>
  </r>
  <r>
    <d v="2025-02-12T19:13:00"/>
    <s v="INYECTADO"/>
    <x v="2"/>
    <x v="9"/>
    <s v="SAID VILLAMIZAR"/>
    <s v="SEGUNDA"/>
    <s v="."/>
    <s v="PP INY MOLIDO"/>
    <s v="REGADERA PLAYERA"/>
    <s v="REGADERA PLAYERA-ROJO"/>
    <n v="32"/>
    <n v="1"/>
    <n v="3.1"/>
    <x v="0"/>
    <n v="0"/>
    <n v="2"/>
    <n v="960"/>
    <n v="19699"/>
    <s v="ROJO"/>
    <n v="7"/>
    <n v="0"/>
    <n v="0"/>
    <n v="1.056"/>
    <n v="3.1"/>
    <n v="33"/>
    <n v="93.939393939393938"/>
    <x v="0"/>
    <x v="0"/>
    <n v="3"/>
    <n v="3"/>
    <n v="8"/>
  </r>
  <r>
    <d v="2025-02-12T19:13:00"/>
    <s v="INYECTADO"/>
    <x v="2"/>
    <x v="9"/>
    <s v="SAID VILLAMIZAR"/>
    <s v="SEGUNDA"/>
    <s v="."/>
    <s v="PP INY MOLIDO"/>
    <s v="REGADERA PLAYERA"/>
    <s v="REGADERA PLAYERA-VERDE"/>
    <n v="306"/>
    <n v="3"/>
    <n v="29.3"/>
    <x v="0"/>
    <n v="0"/>
    <n v="4"/>
    <n v="960"/>
    <n v="19699"/>
    <s v="VERDE"/>
    <n v="9.5"/>
    <n v="0"/>
    <n v="0"/>
    <n v="10.098000000000001"/>
    <n v="29.3"/>
    <n v="33"/>
    <n v="887.87878787878788"/>
    <x v="0"/>
    <x v="0"/>
    <n v="3"/>
    <n v="3"/>
    <n v="76.5"/>
  </r>
  <r>
    <d v="2025-02-12T19:13:00"/>
    <s v="INYECTADO"/>
    <x v="2"/>
    <x v="9"/>
    <s v="SAID VILLAMIZAR"/>
    <s v="VIRGEN"/>
    <s v="PP CLARIFICADO"/>
    <s v="."/>
    <s v="REGADERA PLAYERA"/>
    <s v="REGADERA PLAYERA-AMARILLO"/>
    <n v="362"/>
    <n v="3"/>
    <n v="34.6"/>
    <x v="0"/>
    <n v="0"/>
    <n v="4"/>
    <n v="960"/>
    <n v="19699"/>
    <s v="AMARILLO"/>
    <n v="12.8"/>
    <n v="0"/>
    <n v="0"/>
    <n v="11.946"/>
    <n v="34.6"/>
    <n v="33"/>
    <n v="1048.4848484848485"/>
    <x v="0"/>
    <x v="0"/>
    <n v="3"/>
    <n v="3"/>
    <n v="90.5"/>
  </r>
  <r>
    <d v="2025-02-12T19:13:00"/>
    <s v="INYECTADO"/>
    <x v="2"/>
    <x v="10"/>
    <s v="GABRIEL REQUENA"/>
    <s v="SEGUNDA"/>
    <s v="."/>
    <s v="PP INY MOLIDO"/>
    <s v="REGADERA PLAYERA"/>
    <s v="REGADERA PLAYERA-VERDE"/>
    <n v="36"/>
    <n v="1"/>
    <n v="3.5"/>
    <x v="0"/>
    <n v="0"/>
    <n v="1"/>
    <n v="960"/>
    <n v="21001"/>
    <s v="VERDE"/>
    <n v="7.4"/>
    <n v="0"/>
    <n v="0"/>
    <n v="1.1879999999999999"/>
    <n v="3.5"/>
    <n v="33"/>
    <n v="106.06060606060606"/>
    <x v="0"/>
    <x v="0"/>
    <n v="3"/>
    <n v="3"/>
    <n v="9"/>
  </r>
  <r>
    <d v="2025-02-12T19:13:00"/>
    <s v="INYECTADO"/>
    <x v="2"/>
    <x v="10"/>
    <s v="GABRIEL REQUENA"/>
    <s v="SEGUNDA"/>
    <s v="."/>
    <s v="PP INY MOLIDO"/>
    <s v="REGADERA PLAYERA"/>
    <s v="REGADERA PLAYERA-AZUL"/>
    <n v="604"/>
    <n v="5"/>
    <n v="57.7"/>
    <x v="0"/>
    <n v="0"/>
    <n v="8"/>
    <n v="960"/>
    <n v="21001"/>
    <s v="AZUL"/>
    <n v="12.1"/>
    <n v="0"/>
    <n v="0"/>
    <n v="19.931999999999999"/>
    <n v="57.7"/>
    <n v="33"/>
    <n v="1748.4848484848485"/>
    <x v="0"/>
    <x v="0"/>
    <n v="3"/>
    <n v="3"/>
    <n v="151"/>
  </r>
  <r>
    <d v="2025-02-12T19:13:00"/>
    <s v="INYECTADO"/>
    <x v="2"/>
    <x v="10"/>
    <s v="GABRIEL REQUENA"/>
    <s v="SEGUNDA"/>
    <s v="."/>
    <s v="PP INY MOLIDO"/>
    <s v="REGADERA PLAYERA"/>
    <s v="REGADERA PLAYERA-ROJO"/>
    <n v="135"/>
    <n v="1"/>
    <n v="13"/>
    <x v="0"/>
    <n v="0"/>
    <n v="2"/>
    <n v="960"/>
    <n v="21001"/>
    <s v="ROJO"/>
    <n v="4.4000000000000004"/>
    <n v="0"/>
    <n v="0"/>
    <n v="4.4550000000000001"/>
    <n v="13"/>
    <n v="33"/>
    <n v="393.93939393939394"/>
    <x v="0"/>
    <x v="0"/>
    <n v="3"/>
    <n v="3"/>
    <n v="33.75"/>
  </r>
  <r>
    <d v="2025-02-12T19:13:00"/>
    <s v="INYECTADO"/>
    <x v="2"/>
    <x v="11"/>
    <s v="ALGIMIRO CALDERAS"/>
    <s v="SEGUNDA"/>
    <s v="."/>
    <s v="PP INY MOLIDO"/>
    <s v="REGADERA PLAYERA"/>
    <s v="REGADERA PLAYERA-ROJO"/>
    <n v="160"/>
    <n v="2"/>
    <n v="15.3"/>
    <x v="0"/>
    <n v="0"/>
    <n v="2"/>
    <n v="960"/>
    <n v="21002"/>
    <s v="ROJO"/>
    <n v="6.1"/>
    <n v="0"/>
    <n v="0"/>
    <n v="5.28"/>
    <n v="15.3"/>
    <n v="33"/>
    <n v="463.63636363636363"/>
    <x v="0"/>
    <x v="0"/>
    <n v="3"/>
    <n v="3"/>
    <n v="40"/>
  </r>
  <r>
    <d v="2025-02-12T19:13:00"/>
    <s v="INYECTADO"/>
    <x v="2"/>
    <x v="11"/>
    <s v="ALGIMIRO CALDERAS"/>
    <s v="SEGUNDA"/>
    <s v="."/>
    <s v="PP INY MOLIDO"/>
    <s v="REGADERA PLAYERA"/>
    <s v="REGADERA PLAYERA-FUCSIA"/>
    <n v="202"/>
    <n v="2"/>
    <n v="19.3"/>
    <x v="0"/>
    <n v="0"/>
    <n v="2"/>
    <n v="960"/>
    <n v="21002"/>
    <s v="FUCSIA"/>
    <n v="5.9"/>
    <n v="0"/>
    <n v="0"/>
    <n v="6.6660000000000004"/>
    <n v="19.3"/>
    <n v="33"/>
    <n v="584.84848484848487"/>
    <x v="0"/>
    <x v="0"/>
    <n v="3"/>
    <n v="3"/>
    <n v="50.5"/>
  </r>
  <r>
    <d v="2025-02-12T19:13:00"/>
    <s v="INYECTADO"/>
    <x v="2"/>
    <x v="11"/>
    <s v="ALGIMIRO CALDERAS"/>
    <s v="SEGUNDA"/>
    <s v="."/>
    <s v="PP INY MOLIDO"/>
    <s v="REGADERA PLAYERA"/>
    <s v="REGADERA PLAYERA-LILA"/>
    <n v="208"/>
    <n v="2"/>
    <n v="19.8"/>
    <x v="0"/>
    <n v="0"/>
    <n v="2"/>
    <n v="960"/>
    <n v="21002"/>
    <s v="LILA"/>
    <n v="2.5"/>
    <n v="0"/>
    <n v="0"/>
    <n v="6.8639999999999999"/>
    <n v="19.8"/>
    <n v="33"/>
    <n v="600"/>
    <x v="0"/>
    <x v="0"/>
    <n v="3"/>
    <n v="3"/>
    <n v="52"/>
  </r>
  <r>
    <d v="2025-02-12T19:13:00"/>
    <s v="INYECTADO"/>
    <x v="2"/>
    <x v="11"/>
    <s v="FABIAN HERNANDEZ"/>
    <s v="SEGUNDA"/>
    <s v="."/>
    <s v="PP INY MOLIDO"/>
    <s v="REGADERA PLAYERA"/>
    <s v="REGADERA PLAYERA-VERDE"/>
    <n v="206"/>
    <n v="2"/>
    <n v="19.3"/>
    <x v="1"/>
    <n v="0"/>
    <n v="2"/>
    <n v="960"/>
    <n v="21003"/>
    <s v="VERDE"/>
    <n v="4.5999999999999996"/>
    <n v="0"/>
    <n v="0"/>
    <n v="6.798"/>
    <n v="19.3"/>
    <n v="33"/>
    <n v="584.84848484848487"/>
    <x v="0"/>
    <x v="0"/>
    <n v="3"/>
    <n v="3"/>
    <n v="51.5"/>
  </r>
  <r>
    <d v="2025-02-12T19:13:00"/>
    <s v="INYECTADO"/>
    <x v="2"/>
    <x v="11"/>
    <s v="FABIAN HERNANDEZ"/>
    <s v="VIRGEN"/>
    <s v="PP CLARIFICADO"/>
    <s v="."/>
    <s v="REGADERA PLAYERA"/>
    <s v="REGADERA PLAYERA-AMARILLO"/>
    <n v="273"/>
    <n v="3"/>
    <n v="26"/>
    <x v="1"/>
    <n v="0"/>
    <n v="2"/>
    <n v="960"/>
    <n v="21003"/>
    <s v="AMARILLO"/>
    <n v="7.9"/>
    <n v="0"/>
    <n v="0"/>
    <n v="9.0090000000000003"/>
    <n v="26"/>
    <n v="33"/>
    <n v="787.87878787878788"/>
    <x v="0"/>
    <x v="0"/>
    <n v="3"/>
    <n v="3"/>
    <n v="68.25"/>
  </r>
  <r>
    <d v="2025-02-12T19:13:00"/>
    <s v="INYECTADO"/>
    <x v="2"/>
    <x v="25"/>
    <s v="SAID VILLAMIZAR"/>
    <s v="VIRGEN"/>
    <s v="PP CLARIFICADO"/>
    <s v="."/>
    <s v="VASO MUNDO MANZANITA "/>
    <s v="VASO MUNDO MANZANITA CARAMELO-AMARILLO"/>
    <n v="423"/>
    <n v="4"/>
    <n v="54.6"/>
    <x v="0"/>
    <n v="0"/>
    <n v="4"/>
    <n v="978"/>
    <n v="21004"/>
    <s v="AMARILLO"/>
    <n v="7.6"/>
    <n v="0"/>
    <n v="0"/>
    <n v="9.3059999999999992"/>
    <n v="54.6"/>
    <n v="22"/>
    <n v="2481.818181818182"/>
    <x v="0"/>
    <x v="0"/>
    <n v="4"/>
    <n v="6"/>
    <n v="211.5"/>
  </r>
  <r>
    <d v="2025-02-12T19:13:00"/>
    <s v="INYECTADO"/>
    <x v="2"/>
    <x v="25"/>
    <s v="PAUL MILLER"/>
    <s v="VIRGEN"/>
    <s v="PP CLARIFICADO"/>
    <s v="."/>
    <s v="VASO MUNDO MANZANITA "/>
    <s v="VASO MUNDO MANZANITA CARAMELO-AMARILLO"/>
    <n v="363"/>
    <n v="3"/>
    <n v="47.2"/>
    <x v="1"/>
    <n v="0"/>
    <n v="6"/>
    <n v="978"/>
    <n v="21005"/>
    <s v="AMARILLO"/>
    <n v="3.3"/>
    <n v="0"/>
    <n v="0"/>
    <n v="7.9859999999999998"/>
    <n v="47.2"/>
    <n v="22"/>
    <n v="2145.4545454545455"/>
    <x v="0"/>
    <x v="0"/>
    <n v="4"/>
    <n v="6"/>
    <n v="181.5"/>
  </r>
  <r>
    <d v="2025-02-12T19:13:00"/>
    <s v="INYECTADO"/>
    <x v="2"/>
    <x v="25"/>
    <s v="PAUL MILLER"/>
    <s v="VIRGEN"/>
    <s v="PP CLARIFICADO"/>
    <s v="."/>
    <s v="VASO MUNDO MANZANITA "/>
    <s v="VASO MUNDO MANZANITA CARAMELO-VERDE"/>
    <n v="686"/>
    <n v="6"/>
    <n v="89.2"/>
    <x v="1"/>
    <n v="0"/>
    <n v="10"/>
    <n v="978"/>
    <n v="21005"/>
    <s v="VERDE"/>
    <n v="0"/>
    <n v="0"/>
    <n v="0"/>
    <n v="15.092000000000001"/>
    <n v="89.2"/>
    <n v="22"/>
    <n v="4054.5454545454545"/>
    <x v="0"/>
    <x v="0"/>
    <n v="4"/>
    <n v="6"/>
    <n v="343"/>
  </r>
  <r>
    <d v="2025-02-12T19:13:00"/>
    <s v="INYECTADO"/>
    <x v="2"/>
    <x v="14"/>
    <s v="JUAN CARLOS CEDENO"/>
    <s v="VIRGEN"/>
    <s v="PP CLARIFICADO"/>
    <s v="."/>
    <s v="VASO MUNDO MANZANITA "/>
    <s v="VASO MUNDO MANZANITA CARAMELO-VERDE"/>
    <n v="73"/>
    <n v="1"/>
    <n v="9.6"/>
    <x v="0"/>
    <n v="0"/>
    <n v="1"/>
    <n v="978"/>
    <n v="21006"/>
    <s v="VERDE"/>
    <n v="3.1"/>
    <n v="0"/>
    <n v="0"/>
    <n v="1.6060000000000001"/>
    <n v="9.6"/>
    <n v="22"/>
    <n v="436.36363636363637"/>
    <x v="0"/>
    <x v="0"/>
    <n v="4"/>
    <n v="6"/>
    <n v="36.5"/>
  </r>
  <r>
    <d v="2025-02-12T19:13:00"/>
    <s v="INYECTADO"/>
    <x v="2"/>
    <x v="14"/>
    <s v="JUAN CARLOS CEDENO"/>
    <s v="VIRGEN"/>
    <s v="PP CLARIFICADO"/>
    <s v="."/>
    <s v="VASO MUNDO MANZANITA "/>
    <s v="VASO MUNDO MANZANITA CARAMELO-ANARANJADO"/>
    <n v="800"/>
    <n v="7"/>
    <n v="104.1"/>
    <x v="0"/>
    <n v="0"/>
    <n v="10"/>
    <n v="978"/>
    <n v="21006"/>
    <s v="ANARNAJADO"/>
    <n v="2.1"/>
    <n v="0"/>
    <n v="0"/>
    <n v="17.600000000000001"/>
    <n v="104.1"/>
    <n v="22"/>
    <n v="4731.818181818182"/>
    <x v="0"/>
    <x v="0"/>
    <n v="4"/>
    <n v="6"/>
    <n v="400"/>
  </r>
  <r>
    <d v="2025-02-12T19:13:00"/>
    <s v="INYECTADO"/>
    <x v="2"/>
    <x v="14"/>
    <s v="JUAN CARLOS CEDENO"/>
    <s v="VIRGEN"/>
    <s v="PP CLARIFICADO"/>
    <s v="."/>
    <s v="VASO MUNDO MANZANITA "/>
    <s v="VASO MUNDO MANZANITA CARAMELO-FUCSIA"/>
    <n v="221"/>
    <n v="2"/>
    <n v="28.8"/>
    <x v="0"/>
    <n v="0"/>
    <n v="3"/>
    <n v="978"/>
    <n v="21006"/>
    <s v="FUCSIA"/>
    <n v="0.5"/>
    <n v="0"/>
    <n v="0"/>
    <n v="4.8620000000000001"/>
    <n v="28.8"/>
    <n v="22"/>
    <n v="1309.090909090909"/>
    <x v="0"/>
    <x v="0"/>
    <n v="4"/>
    <n v="6"/>
    <n v="110.5"/>
  </r>
  <r>
    <d v="2025-02-12T19:13:00"/>
    <s v="INYECTADO"/>
    <x v="2"/>
    <x v="15"/>
    <s v="LUIS RENGIFO"/>
    <s v="VIRGEN"/>
    <s v="PP CLARIFICADO"/>
    <s v="."/>
    <s v="VASO MUNDO MANZANITA "/>
    <s v="VASO MUNDO MANZANITA CARAMELO-FUCSIA"/>
    <n v="475"/>
    <n v="4"/>
    <n v="61.8"/>
    <x v="0"/>
    <n v="0"/>
    <n v="7"/>
    <n v="978"/>
    <n v="21007"/>
    <s v="FUCSA"/>
    <n v="2.1"/>
    <n v="0"/>
    <n v="0"/>
    <n v="10.45"/>
    <n v="61.8"/>
    <n v="22"/>
    <n v="2809.090909090909"/>
    <x v="0"/>
    <x v="0"/>
    <n v="4"/>
    <n v="6"/>
    <n v="237.5"/>
  </r>
  <r>
    <d v="2025-02-12T19:13:00"/>
    <s v="INYECTADO"/>
    <x v="2"/>
    <x v="15"/>
    <s v="LUIS RENGIFO"/>
    <s v="VIRGEN"/>
    <s v="PP CLARIFICADO"/>
    <s v="."/>
    <s v="VASO MUNDO MANZANITA "/>
    <s v="VASO MUNDO MANZANITA CARAMELO-LILA"/>
    <n v="604"/>
    <n v="6"/>
    <n v="78.599999999999994"/>
    <x v="0"/>
    <n v="0"/>
    <n v="8"/>
    <n v="978"/>
    <n v="21007"/>
    <s v="LILA"/>
    <n v="0"/>
    <n v="0"/>
    <n v="0"/>
    <n v="13.288"/>
    <n v="78.599999999999994"/>
    <n v="22"/>
    <n v="3572.7272727272725"/>
    <x v="0"/>
    <x v="0"/>
    <n v="4"/>
    <n v="6"/>
    <n v="302"/>
  </r>
  <r>
    <d v="2025-02-12T19:13:00"/>
    <s v="INYECTADO"/>
    <x v="2"/>
    <x v="7"/>
    <s v="JUAN CARLOS CEDENO"/>
    <s v="VIRGEN"/>
    <s v="PP CLARIFICADO"/>
    <s v="."/>
    <s v="VASO MUNDO MANZANITA "/>
    <s v="VASO MUNDO MANZANITA CARAMELO-LILA"/>
    <n v="763"/>
    <n v="7"/>
    <n v="99.2"/>
    <x v="0"/>
    <n v="0"/>
    <n v="9"/>
    <n v="978"/>
    <n v="21008"/>
    <s v="LILA"/>
    <n v="3.7"/>
    <n v="0"/>
    <n v="0"/>
    <n v="16.786000000000001"/>
    <n v="99.2"/>
    <n v="22"/>
    <n v="4509.090909090909"/>
    <x v="0"/>
    <x v="0"/>
    <n v="5"/>
    <n v="6"/>
    <n v="381.5"/>
  </r>
  <r>
    <d v="2025-02-12T19:13:00"/>
    <s v="INYECTADO"/>
    <x v="2"/>
    <x v="7"/>
    <s v="JUAN CARLOS CEDENO"/>
    <s v="VIRGEN"/>
    <s v="PP CLARIFICADO"/>
    <s v="."/>
    <s v="VASO MUNDO MANZANITA "/>
    <s v="VASO MUNDO MANZANITA CARAMELO-AZUL"/>
    <n v="190"/>
    <n v="2"/>
    <n v="24.8"/>
    <x v="0"/>
    <n v="0"/>
    <n v="3"/>
    <n v="978"/>
    <n v="21008"/>
    <s v="AZUL"/>
    <n v="0.7"/>
    <n v="0"/>
    <n v="0"/>
    <n v="4.18"/>
    <n v="24.8"/>
    <n v="22"/>
    <n v="1127.2727272727273"/>
    <x v="0"/>
    <x v="0"/>
    <n v="5"/>
    <n v="6"/>
    <n v="95"/>
  </r>
  <r>
    <d v="2025-02-12T19:13:00"/>
    <s v="INYECTADO"/>
    <x v="2"/>
    <x v="8"/>
    <s v="LUIS PINEDO"/>
    <s v="VIRGEN"/>
    <s v="PP CLARIFICADO"/>
    <s v="."/>
    <s v="VASO MUNDO MANZANITA "/>
    <s v="VASO MUNDO MANZANITA CARAMELO-AZUL"/>
    <n v="969"/>
    <n v="8"/>
    <n v="126"/>
    <x v="0"/>
    <n v="0"/>
    <n v="13"/>
    <n v="978"/>
    <n v="21009"/>
    <s v="AZUL"/>
    <n v="3.7"/>
    <n v="0"/>
    <n v="0"/>
    <n v="21.318000000000001"/>
    <n v="126"/>
    <n v="22"/>
    <n v="5727.272727272727"/>
    <x v="0"/>
    <x v="0"/>
    <n v="5"/>
    <n v="6"/>
    <n v="484.5"/>
  </r>
  <r>
    <d v="2025-02-12T19:13:00"/>
    <s v="INYECTADO"/>
    <x v="2"/>
    <x v="8"/>
    <s v="LUIS PINEDO"/>
    <s v="VIRGEN"/>
    <s v="PP CLARIFICADO"/>
    <s v="."/>
    <s v="VASO MUNDO MANZANITA "/>
    <s v="VASO MUNDO MANZANITA CARAMELO-AMARILLO"/>
    <n v="94"/>
    <n v="1"/>
    <n v="12.3"/>
    <x v="0"/>
    <n v="0"/>
    <n v="2"/>
    <n v="978"/>
    <n v="21009"/>
    <s v="AMARILLO"/>
    <n v="0.6"/>
    <n v="0"/>
    <n v="0"/>
    <n v="2.0680000000000001"/>
    <n v="12.3"/>
    <n v="22"/>
    <n v="559.09090909090912"/>
    <x v="0"/>
    <x v="0"/>
    <n v="5"/>
    <n v="6"/>
    <n v="47"/>
  </r>
  <r>
    <d v="2025-02-12T19:13:00"/>
    <s v="INYECTADO"/>
    <x v="2"/>
    <x v="8"/>
    <s v="PAUL MILLER"/>
    <s v="VIRGEN"/>
    <s v="PP CLARIFICADO"/>
    <s v="."/>
    <s v="VASO MUNDO MANZANITA "/>
    <s v="VASO MUNDO MANZANITA CARAMELO-AMARILLO"/>
    <n v="479"/>
    <n v="4"/>
    <n v="62.3"/>
    <x v="1"/>
    <n v="0"/>
    <n v="7"/>
    <n v="978"/>
    <n v="21010"/>
    <s v="AMARILLO"/>
    <n v="0.5"/>
    <n v="0"/>
    <n v="0"/>
    <n v="10.538"/>
    <n v="62.3"/>
    <n v="22"/>
    <n v="2831.818181818182"/>
    <x v="0"/>
    <x v="0"/>
    <n v="5"/>
    <n v="6"/>
    <n v="239.5"/>
  </r>
  <r>
    <d v="2025-02-12T19:13:00"/>
    <s v="INYECTADO"/>
    <x v="2"/>
    <x v="8"/>
    <s v="PAUL MILLER"/>
    <s v="VIRGEN"/>
    <s v="PP CLARIFICADO"/>
    <s v="."/>
    <s v="VASO MUNDO MANZANITA "/>
    <s v="VASO MUNDO MANZANITA CARAMELO-VERDE"/>
    <n v="580"/>
    <n v="5"/>
    <n v="75.5"/>
    <x v="1"/>
    <n v="0"/>
    <n v="9"/>
    <n v="978"/>
    <n v="21010"/>
    <s v="VERDE"/>
    <n v="1.5"/>
    <n v="0"/>
    <n v="0"/>
    <n v="12.76"/>
    <n v="75.5"/>
    <n v="22"/>
    <n v="3431.818181818182"/>
    <x v="0"/>
    <x v="0"/>
    <n v="5"/>
    <n v="6"/>
    <n v="290"/>
  </r>
  <r>
    <d v="2025-02-12T19:13:00"/>
    <s v="INYECTADO"/>
    <x v="2"/>
    <x v="8"/>
    <s v="PAUL MILLER"/>
    <s v="VIRGEN"/>
    <s v="PP CLARIFICADO"/>
    <s v="."/>
    <s v="VASO MUNDO MANZANITA "/>
    <s v="VASO MUNDO MANZANITA CARAMELO-ANARANJADO"/>
    <n v="130"/>
    <n v="1"/>
    <n v="17"/>
    <x v="1"/>
    <n v="0"/>
    <n v="2"/>
    <n v="978"/>
    <n v="21010"/>
    <s v="ANARANJADO"/>
    <n v="0.9"/>
    <n v="0"/>
    <n v="0"/>
    <n v="2.86"/>
    <n v="17"/>
    <n v="22"/>
    <n v="772.72727272727275"/>
    <x v="0"/>
    <x v="0"/>
    <n v="5"/>
    <n v="6"/>
    <n v="65"/>
  </r>
  <r>
    <d v="2025-02-12T19:13:00"/>
    <s v="INYECTADO"/>
    <x v="2"/>
    <x v="16"/>
    <s v="JUAN CARLOS CEDENO"/>
    <s v="VIRGEN"/>
    <s v="PP CLARIFICADO"/>
    <s v="."/>
    <s v="VASO MUNDO MANZANITA "/>
    <s v="VASO MUNDO MANZANITA CARAMELO-ANARANJADO"/>
    <n v="444"/>
    <n v="4"/>
    <n v="57.8"/>
    <x v="0"/>
    <n v="0"/>
    <n v="6"/>
    <n v="978"/>
    <n v="21011"/>
    <s v="ANARANJADO"/>
    <n v="0"/>
    <n v="0"/>
    <n v="0"/>
    <n v="9.7680000000000007"/>
    <n v="57.8"/>
    <n v="22"/>
    <n v="2627.2727272727275"/>
    <x v="0"/>
    <x v="0"/>
    <n v="5"/>
    <n v="6"/>
    <n v="222"/>
  </r>
  <r>
    <d v="2025-02-12T19:13:00"/>
    <s v="INYECTADO"/>
    <x v="2"/>
    <x v="16"/>
    <s v="JUAN CARLOS CEDENO"/>
    <s v="VIRGEN"/>
    <s v="PP CLARIFICADO"/>
    <s v="."/>
    <s v="VASO MUNDO MANZANITA "/>
    <s v="VASO MUNDO MANZANITA CARAMELO-FUCSIA"/>
    <n v="489"/>
    <n v="5"/>
    <n v="63"/>
    <x v="0"/>
    <n v="0"/>
    <n v="7"/>
    <n v="978"/>
    <n v="21011"/>
    <s v="FUCSIA"/>
    <n v="0"/>
    <n v="0"/>
    <n v="0"/>
    <n v="10.757999999999999"/>
    <n v="63"/>
    <n v="22"/>
    <n v="2863.6363636363635"/>
    <x v="0"/>
    <x v="0"/>
    <n v="5"/>
    <n v="6"/>
    <n v="244.5"/>
  </r>
  <r>
    <d v="2025-02-12T19:13:00"/>
    <s v="INYECTADO"/>
    <x v="2"/>
    <x v="17"/>
    <s v="LUIS RENGIFO"/>
    <s v="VIRGEN"/>
    <s v="PP CLARIFICADO"/>
    <s v="."/>
    <s v="VASO MUNDO MANZANITA "/>
    <s v="VASO MUNDO MANZANITA CARAMELO-FUCSIA"/>
    <n v="190"/>
    <n v="2"/>
    <n v="24.7"/>
    <x v="0"/>
    <n v="0"/>
    <n v="3"/>
    <n v="978"/>
    <n v="21011"/>
    <s v="FUCSIA"/>
    <n v="0"/>
    <n v="0"/>
    <n v="0"/>
    <n v="4.18"/>
    <n v="24.7"/>
    <n v="22"/>
    <n v="1122.7272727272727"/>
    <x v="0"/>
    <x v="0"/>
    <n v="5"/>
    <n v="6"/>
    <n v="95"/>
  </r>
  <r>
    <d v="2025-02-12T19:13:00"/>
    <s v="INYECTADO"/>
    <x v="2"/>
    <x v="17"/>
    <s v="LUIS RENGIFO"/>
    <s v="VIRGEN"/>
    <s v="PP CLARIFICADO"/>
    <s v="."/>
    <s v="VASO MUNDO MANZANITA "/>
    <s v="VASO MUNDO MANZANITA CARAMELO-AZUL"/>
    <n v="201"/>
    <n v="2"/>
    <n v="26.2"/>
    <x v="0"/>
    <n v="0"/>
    <n v="3"/>
    <n v="978"/>
    <n v="21011"/>
    <s v="AZUL"/>
    <n v="0"/>
    <n v="0"/>
    <n v="0"/>
    <n v="4.4219999999999997"/>
    <n v="26.2"/>
    <n v="22"/>
    <n v="1190.909090909091"/>
    <x v="0"/>
    <x v="0"/>
    <n v="5"/>
    <n v="6"/>
    <n v="100.5"/>
  </r>
  <r>
    <d v="2025-02-12T20:52:00"/>
    <s v="INYECTADO"/>
    <x v="2"/>
    <x v="26"/>
    <s v="LUIS RENGIFO"/>
    <s v="VIRGEN"/>
    <s v="PP CLARIFICADO"/>
    <s v="."/>
    <s v="COLADOR HOGAR SOLIDO #4"/>
    <s v="COLADOR HOGAR SOLIDO#4-CREMA"/>
    <n v="882"/>
    <n v="8"/>
    <n v="99.7"/>
    <x v="0"/>
    <n v="0"/>
    <n v="7"/>
    <n v="987"/>
    <n v="21013"/>
    <s v="CREMA"/>
    <n v="7.4"/>
    <n v="0"/>
    <n v="0"/>
    <n v="97.02"/>
    <n v="99.7"/>
    <n v="110"/>
    <n v="906.36363636363637"/>
    <x v="0"/>
    <x v="0"/>
    <n v="5"/>
    <n v="1"/>
    <n v="73.5"/>
  </r>
  <r>
    <d v="2025-02-12T20:56:00"/>
    <s v="INYECTADO"/>
    <x v="3"/>
    <x v="18"/>
    <s v="JUAN CARLOS CEDENO"/>
    <s v="SEGUNDA"/>
    <s v="."/>
    <s v="PP INY MOLIDO"/>
    <s v="CERNIDOR CASTILLO"/>
    <s v="CERNIDOR CASTILLO-AZUL"/>
    <n v="212"/>
    <n v="2"/>
    <n v="31.2"/>
    <x v="0"/>
    <n v="0"/>
    <n v="6"/>
    <n v="958"/>
    <n v="19369"/>
    <s v="LILA"/>
    <n v="15"/>
    <n v="0"/>
    <n v="0"/>
    <n v="15.9"/>
    <n v="31.2"/>
    <n v="75"/>
    <n v="416"/>
    <x v="0"/>
    <x v="0"/>
    <n v="2"/>
    <n v="2"/>
    <n v="35.333333333333336"/>
  </r>
  <r>
    <d v="2025-02-12T20:56:00"/>
    <s v="INYECTADO"/>
    <x v="3"/>
    <x v="18"/>
    <s v="JUAN CARLOS CEDENO"/>
    <s v="SEGUNDA"/>
    <s v="."/>
    <s v="PP INY MOLIDO"/>
    <s v="CERNIDOR CASTILLO"/>
    <s v="CERNIDOR CASTILLO-LILA"/>
    <n v="287"/>
    <n v="2"/>
    <n v="42.2"/>
    <x v="0"/>
    <n v="0"/>
    <n v="8"/>
    <n v="958"/>
    <n v="19369"/>
    <s v="AZUL"/>
    <n v="3.6"/>
    <n v="0"/>
    <n v="0"/>
    <n v="21.524999999999999"/>
    <n v="42.2"/>
    <n v="75"/>
    <n v="562.66666666666663"/>
    <x v="0"/>
    <x v="0"/>
    <n v="2"/>
    <n v="2"/>
    <n v="47.833333333333336"/>
  </r>
  <r>
    <d v="2025-02-12T20:56:00"/>
    <s v="INYECTADO"/>
    <x v="3"/>
    <x v="19"/>
    <s v="GABRIEL REQUENA"/>
    <s v="VIRGEN"/>
    <s v="PP CLARIFICADO"/>
    <s v="."/>
    <s v="TAPA DE ORGANIZADOR #2 CARAMELO"/>
    <s v="TAPA DE ORGANIZADOR #2 CARAMELO-VERDE"/>
    <n v="893"/>
    <n v="9"/>
    <n v="38.799999999999997"/>
    <x v="0"/>
    <n v="0"/>
    <n v="8"/>
    <n v="961"/>
    <n v="19370"/>
    <s v="VERDE"/>
    <n v="7.7"/>
    <n v="0"/>
    <n v="0"/>
    <n v="18.753"/>
    <n v="38.799999999999997"/>
    <n v="21"/>
    <n v="1847.6190476190477"/>
    <x v="0"/>
    <x v="0"/>
    <n v="2"/>
    <n v="2"/>
    <n v="148.83333333333334"/>
  </r>
  <r>
    <d v="2025-02-12T20:56:00"/>
    <s v="INYECTADO"/>
    <x v="3"/>
    <x v="20"/>
    <s v="CRISALIDA ZAPATA"/>
    <s v="VIRGEN"/>
    <s v="PP CLARIFICADO"/>
    <s v="."/>
    <s v="TAPA DE ORGANIZADOR #2 CARAMELO"/>
    <s v="TAPA DE ORGANIZADOR #2 CARAMELO-VERDE"/>
    <n v="623"/>
    <n v="6"/>
    <n v="27.1"/>
    <x v="0"/>
    <n v="0"/>
    <n v="6"/>
    <n v="961"/>
    <n v="19371"/>
    <s v="VERDE"/>
    <n v="4"/>
    <n v="0"/>
    <n v="0"/>
    <n v="13.083"/>
    <n v="27.1"/>
    <n v="21"/>
    <n v="1290.4761904761904"/>
    <x v="0"/>
    <x v="0"/>
    <n v="2"/>
    <n v="2"/>
    <n v="103.83333333333333"/>
  </r>
  <r>
    <d v="2025-02-12T20:56:00"/>
    <s v="INYECTADO"/>
    <x v="3"/>
    <x v="20"/>
    <s v="CRISALIDA ZAPATA"/>
    <s v="VIRGEN"/>
    <s v="PP CLARIFICADO"/>
    <s v="."/>
    <s v="TAPA DE ORGANIZADOR #2 CARAMELO"/>
    <s v="TAPA DE ORGANIZADOR #2 CARAMELO-AMARILLO"/>
    <n v="578"/>
    <n v="5"/>
    <n v="25.1"/>
    <x v="0"/>
    <n v="0"/>
    <n v="5"/>
    <n v="961"/>
    <n v="19371"/>
    <s v="AMARILLO"/>
    <n v="0.8"/>
    <n v="0"/>
    <n v="0"/>
    <n v="12.138"/>
    <n v="25.1"/>
    <n v="21"/>
    <n v="1195.2380952380952"/>
    <x v="0"/>
    <x v="0"/>
    <n v="2"/>
    <n v="2"/>
    <n v="96.333333333333329"/>
  </r>
  <r>
    <d v="2025-02-12T20:56:00"/>
    <s v="INYECTADO"/>
    <x v="3"/>
    <x v="21"/>
    <s v="CRISALIDA ZAPATA"/>
    <s v="VIRGEN"/>
    <s v="PP CLARIFICADO"/>
    <s v="."/>
    <s v="TAPA DE ORGANIZADOR #2 CARAMELO"/>
    <s v="TAPA DE ORGANIZADOR #2 CARAMELO-AMARILLO"/>
    <n v="559"/>
    <n v="5"/>
    <n v="23.7"/>
    <x v="0"/>
    <n v="0"/>
    <n v="5"/>
    <n v="961"/>
    <n v="19372"/>
    <s v="AMARILLO"/>
    <n v="2.9"/>
    <n v="0"/>
    <n v="0"/>
    <n v="11.739000000000001"/>
    <n v="23.7"/>
    <n v="21"/>
    <n v="1128.5714285714287"/>
    <x v="0"/>
    <x v="0"/>
    <n v="2"/>
    <n v="2"/>
    <n v="93.166666666666671"/>
  </r>
  <r>
    <d v="2025-02-12T20:56:00"/>
    <s v="INYECTADO"/>
    <x v="3"/>
    <x v="21"/>
    <s v="CRISALIDA ZAPATA"/>
    <s v="VIRGEN"/>
    <s v="PP CLARIFICADO"/>
    <s v="."/>
    <s v="TAPA DE ORGANIZADOR #2 CARAMELO"/>
    <s v="TAPA DE ORGANIZADOR #2 CARAMELO-FUCSIA"/>
    <n v="551"/>
    <n v="5"/>
    <n v="23.6"/>
    <x v="0"/>
    <n v="0"/>
    <n v="5"/>
    <n v="961"/>
    <n v="19372"/>
    <s v="FUCSIA"/>
    <n v="6.2"/>
    <n v="0"/>
    <n v="0"/>
    <n v="11.571"/>
    <n v="23.6"/>
    <n v="21"/>
    <n v="1123.8095238095239"/>
    <x v="0"/>
    <x v="0"/>
    <n v="2"/>
    <n v="2"/>
    <n v="91.833333333333329"/>
  </r>
  <r>
    <d v="2025-02-12T20:56:00"/>
    <s v="INYECTADO"/>
    <x v="3"/>
    <x v="22"/>
    <s v="CRISALIDA ZAPATA"/>
    <s v="VIRGEN"/>
    <s v="PP CLARIFICADO"/>
    <s v="."/>
    <s v="TAPA DE ORGANIZADOR #2 CARAMELO"/>
    <s v="TAPA DE ORGANIZADOR #2 CARAMELO-FUCSIA"/>
    <n v="632"/>
    <n v="6"/>
    <n v="27.4"/>
    <x v="0"/>
    <n v="0"/>
    <n v="6"/>
    <n v="961"/>
    <n v="19373"/>
    <s v="FUCSIA"/>
    <n v="4.3"/>
    <n v="0"/>
    <n v="0"/>
    <n v="13.272"/>
    <n v="27.4"/>
    <n v="21"/>
    <n v="1304.7619047619048"/>
    <x v="0"/>
    <x v="0"/>
    <n v="2"/>
    <n v="2"/>
    <n v="105.33333333333333"/>
  </r>
  <r>
    <d v="2025-02-12T20:56:00"/>
    <s v="INYECTADO"/>
    <x v="3"/>
    <x v="22"/>
    <s v="CRISALIDA ZAPATA"/>
    <s v="VIRGEN"/>
    <s v="PP CLARIFICADO"/>
    <s v="."/>
    <s v="TAPA DE ORGANIZADOR #2 CARAMELO"/>
    <s v="TAPA DE ORGANIZADOR #2 CARAMELO-ROJO"/>
    <n v="247"/>
    <n v="2"/>
    <n v="10.7"/>
    <x v="0"/>
    <n v="0"/>
    <n v="2"/>
    <n v="961"/>
    <n v="19373"/>
    <s v="ROJO"/>
    <n v="3.2"/>
    <n v="0"/>
    <n v="0"/>
    <n v="5.1870000000000003"/>
    <n v="10.7"/>
    <n v="21"/>
    <n v="509.52380952380952"/>
    <x v="0"/>
    <x v="0"/>
    <n v="2"/>
    <n v="2"/>
    <n v="41.166666666666664"/>
  </r>
  <r>
    <d v="2025-02-12T20:56:00"/>
    <s v="INYECTADO"/>
    <x v="3"/>
    <x v="22"/>
    <s v="WALTER GUEVARA"/>
    <s v="VIRGEN"/>
    <s v="PP CLARIFICADO"/>
    <s v="."/>
    <s v="TAPA DE ORGANIZADOR #2 CARAMELO"/>
    <s v="TAPA DE ORGANIZADOR #2-TRANSPARENTE"/>
    <n v="1184"/>
    <n v="11"/>
    <n v="51.5"/>
    <x v="1"/>
    <n v="0"/>
    <n v="10"/>
    <n v="961"/>
    <n v="19374"/>
    <s v="TRANSPARENTE"/>
    <n v="11.4"/>
    <n v="0"/>
    <n v="0"/>
    <n v="24.864000000000001"/>
    <n v="51.5"/>
    <n v="21"/>
    <n v="2452.3809523809523"/>
    <x v="0"/>
    <x v="0"/>
    <n v="2"/>
    <n v="2"/>
    <n v="197.33333333333334"/>
  </r>
  <r>
    <d v="2025-02-12T21:29:00"/>
    <s v="INYECTADO"/>
    <x v="7"/>
    <x v="0"/>
    <s v="LUIS RENGIFO"/>
    <s v="SEGUNDA"/>
    <s v="."/>
    <s v="MIXTO"/>
    <s v="BALDE PLAYERO ROMANO"/>
    <s v="BALDE ROMANO-AZUL"/>
    <n v="240"/>
    <n v="2"/>
    <n v="37.6"/>
    <x v="0"/>
    <n v="0"/>
    <n v="2"/>
    <n v="950"/>
    <n v="20904"/>
    <s v="AZUL"/>
    <n v="7.4"/>
    <n v="0"/>
    <n v="0"/>
    <n v="19.920000000000002"/>
    <n v="37.6"/>
    <n v="83"/>
    <n v="453.01204819277109"/>
    <x v="0"/>
    <x v="0"/>
    <n v="1"/>
    <n v="2"/>
    <n v="40"/>
  </r>
  <r>
    <d v="2025-02-12T21:29:00"/>
    <s v="INYECTADO"/>
    <x v="7"/>
    <x v="0"/>
    <s v="LUIS RENGIFO"/>
    <s v="SEGUNDA"/>
    <s v="."/>
    <s v="MIXTO"/>
    <s v="BALDE PLAYERO ROMANO"/>
    <s v="BALDE ROMANO-ROJO"/>
    <n v="242"/>
    <n v="2"/>
    <n v="37.9"/>
    <x v="0"/>
    <n v="0"/>
    <n v="2"/>
    <n v="950"/>
    <n v="20904"/>
    <s v="ROJO"/>
    <n v="11.9"/>
    <n v="0"/>
    <n v="0"/>
    <n v="20.085999999999999"/>
    <n v="37.9"/>
    <n v="83"/>
    <n v="456.62650602409639"/>
    <x v="0"/>
    <x v="0"/>
    <n v="1"/>
    <n v="2"/>
    <n v="40.333333333333336"/>
  </r>
  <r>
    <d v="2025-02-12T21:29:00"/>
    <s v="INYECTADO"/>
    <x v="7"/>
    <x v="0"/>
    <s v="LUIS RENGIFO"/>
    <s v="VIRGEN"/>
    <s v="PP CLARIFICADO"/>
    <s v="."/>
    <s v="BALDE PLAYERO ROMANO"/>
    <s v="BALDE ROMANO-AMARILLO"/>
    <n v="296"/>
    <n v="3"/>
    <n v="30.7"/>
    <x v="0"/>
    <n v="0"/>
    <n v="2"/>
    <n v="950"/>
    <n v="20904"/>
    <s v="AMARILLO"/>
    <n v="0"/>
    <n v="0"/>
    <n v="0"/>
    <n v="24.568000000000001"/>
    <n v="30.7"/>
    <n v="83"/>
    <n v="369.87951807228916"/>
    <x v="0"/>
    <x v="0"/>
    <n v="1"/>
    <n v="2"/>
    <n v="49.333333333333336"/>
  </r>
  <r>
    <d v="2025-02-12T21:29:00"/>
    <s v="INYECTADO"/>
    <x v="7"/>
    <x v="0"/>
    <s v="LUIS RENGIFO"/>
    <s v="SEGUNDA"/>
    <s v="."/>
    <s v="MIXTO"/>
    <s v="BALDE PLAYERO ROMANO"/>
    <s v="BALDE ROMANO-VERDE"/>
    <n v="253"/>
    <n v="3"/>
    <n v="38.9"/>
    <x v="0"/>
    <n v="0"/>
    <n v="3"/>
    <n v="950"/>
    <n v="20904"/>
    <s v="VERDE"/>
    <n v="14"/>
    <n v="0"/>
    <n v="0"/>
    <n v="20.998999999999999"/>
    <n v="38.9"/>
    <n v="83"/>
    <n v="468.67469879518075"/>
    <x v="0"/>
    <x v="0"/>
    <n v="1"/>
    <n v="2"/>
    <n v="42.166666666666664"/>
  </r>
  <r>
    <d v="2025-02-12T21:29:00"/>
    <s v="INYECTADO"/>
    <x v="7"/>
    <x v="0"/>
    <s v="JUAN MANUEL PEREZ"/>
    <s v="SEGUNDA"/>
    <s v="."/>
    <s v="MIXTO"/>
    <s v="BALDE PLAYERO ROMANO"/>
    <s v="BALDE ROMANO-FUCSIA"/>
    <n v="240"/>
    <n v="3"/>
    <n v="37.6"/>
    <x v="1"/>
    <n v="0"/>
    <n v="2"/>
    <n v="950"/>
    <n v="20905"/>
    <s v="FUCSIA"/>
    <n v="20"/>
    <n v="0"/>
    <n v="0"/>
    <n v="19.920000000000002"/>
    <n v="37.6"/>
    <n v="83"/>
    <n v="453.01204819277109"/>
    <x v="0"/>
    <x v="0"/>
    <n v="1"/>
    <n v="2"/>
    <n v="40"/>
  </r>
  <r>
    <d v="2025-02-12T21:29:00"/>
    <s v="INYECTADO"/>
    <x v="7"/>
    <x v="0"/>
    <s v="JUAN MANUEL PEREZ"/>
    <s v="SEGUNDA"/>
    <s v="."/>
    <s v="MIXTO"/>
    <s v="BALDE PLAYERO ROMANO"/>
    <s v="BALDE ROMANO-LILA"/>
    <n v="269"/>
    <n v="2"/>
    <n v="42.2"/>
    <x v="1"/>
    <n v="0"/>
    <n v="3"/>
    <n v="950"/>
    <n v="20905"/>
    <s v="LILA"/>
    <n v="22"/>
    <n v="0"/>
    <n v="0"/>
    <n v="22.327000000000002"/>
    <n v="42.2"/>
    <n v="83"/>
    <n v="508.43373493975906"/>
    <x v="0"/>
    <x v="0"/>
    <n v="1"/>
    <n v="2"/>
    <n v="44.833333333333336"/>
  </r>
  <r>
    <d v="2025-02-12T21:29:00"/>
    <s v="INYECTADO"/>
    <x v="7"/>
    <x v="0"/>
    <s v="JUAN MANUEL PEREZ"/>
    <s v="SEGUNDA"/>
    <s v="."/>
    <s v="MIXTO"/>
    <s v="BALDE PLAYERO ROMANO"/>
    <s v="BALDE ROMANO-AZUL"/>
    <n v="120"/>
    <n v="1"/>
    <n v="18.8"/>
    <x v="1"/>
    <n v="0"/>
    <n v="1"/>
    <n v="950"/>
    <n v="20905"/>
    <s v="AZUL"/>
    <n v="0"/>
    <n v="0"/>
    <n v="0"/>
    <n v="9.9600000000000009"/>
    <n v="18.8"/>
    <n v="83"/>
    <n v="226.50602409638554"/>
    <x v="0"/>
    <x v="0"/>
    <n v="1"/>
    <n v="2"/>
    <n v="20"/>
  </r>
  <r>
    <d v="2025-02-12T21:29:00"/>
    <s v="INYECTADO"/>
    <x v="7"/>
    <x v="1"/>
    <s v="LUIS RENGIFO"/>
    <s v="SEGUNDA"/>
    <s v="."/>
    <s v="MIXTO"/>
    <s v="BALDE PLAYERO ROMANO"/>
    <s v="BALDE ROMANO-AZUL"/>
    <n v="183"/>
    <n v="1"/>
    <n v="28.5"/>
    <x v="0"/>
    <n v="0"/>
    <n v="1"/>
    <n v="950"/>
    <n v="20906"/>
    <s v="AZUL"/>
    <n v="0"/>
    <n v="0"/>
    <n v="0"/>
    <n v="15.189"/>
    <n v="28.5"/>
    <n v="83"/>
    <n v="343.37349397590361"/>
    <x v="0"/>
    <x v="0"/>
    <n v="1"/>
    <n v="2"/>
    <n v="30.5"/>
  </r>
  <r>
    <d v="2025-02-12T21:29:00"/>
    <s v="INYECTADO"/>
    <x v="7"/>
    <x v="1"/>
    <s v="LUIS RENGIFO"/>
    <s v="VIRGEN"/>
    <s v="PP CLARIFICADO"/>
    <s v="."/>
    <s v="BALDE PLAYERO ROMANO"/>
    <s v="BALDE ROMANO-AMARILLO"/>
    <n v="117"/>
    <n v="1"/>
    <n v="18.2"/>
    <x v="0"/>
    <n v="0"/>
    <n v="1"/>
    <n v="950"/>
    <n v="20906"/>
    <s v="AMARILLO"/>
    <n v="0"/>
    <n v="0"/>
    <n v="0"/>
    <n v="9.7110000000000003"/>
    <n v="18.2"/>
    <n v="83"/>
    <n v="219.27710843373495"/>
    <x v="0"/>
    <x v="0"/>
    <n v="1"/>
    <n v="2"/>
    <n v="19.5"/>
  </r>
  <r>
    <d v="2025-02-12T21:29:00"/>
    <s v="INYECTADO"/>
    <x v="7"/>
    <x v="1"/>
    <s v="LUIS RENGIFO"/>
    <s v="SEGUNDA"/>
    <s v="."/>
    <s v="MIXTO"/>
    <s v="BALDE PLAYERO ROMANO"/>
    <s v="BALDE ROMANO-VERDE"/>
    <n v="119"/>
    <n v="1"/>
    <n v="18.5"/>
    <x v="0"/>
    <n v="0"/>
    <n v="1"/>
    <n v="950"/>
    <n v="20906"/>
    <s v="VERDE"/>
    <n v="0"/>
    <n v="0"/>
    <n v="0"/>
    <n v="9.8770000000000007"/>
    <n v="18.5"/>
    <n v="83"/>
    <n v="222.89156626506025"/>
    <x v="0"/>
    <x v="0"/>
    <n v="1"/>
    <n v="2"/>
    <n v="19.833333333333332"/>
  </r>
  <r>
    <d v="2025-02-12T21:29:00"/>
    <s v="INYECTADO"/>
    <x v="7"/>
    <x v="1"/>
    <s v="LUIS RENGIFO"/>
    <s v="SEGUNDA"/>
    <s v="."/>
    <s v="MIXTO"/>
    <s v="BALDE PLAYERO ROMANO"/>
    <s v="BALDE ROMANO-ROJO"/>
    <n v="237"/>
    <n v="2"/>
    <n v="36.9"/>
    <x v="0"/>
    <n v="0"/>
    <n v="2"/>
    <n v="950"/>
    <n v="20906"/>
    <s v="ROJO"/>
    <n v="0"/>
    <n v="0"/>
    <n v="0"/>
    <n v="19.670999999999999"/>
    <n v="36.9"/>
    <n v="83"/>
    <n v="444.57831325301203"/>
    <x v="0"/>
    <x v="0"/>
    <n v="1"/>
    <n v="2"/>
    <n v="39.5"/>
  </r>
  <r>
    <d v="2025-02-12T21:29:00"/>
    <s v="INYECTADO"/>
    <x v="7"/>
    <x v="1"/>
    <s v="LUIS RENGIFO"/>
    <s v="SEGUNDA"/>
    <s v="."/>
    <s v="MIXTO"/>
    <s v="BALDE PLAYERO ROMANO"/>
    <s v="BALDE ROMANO-FUCSIA"/>
    <n v="110"/>
    <n v="1"/>
    <n v="17.100000000000001"/>
    <x v="0"/>
    <n v="0"/>
    <n v="1"/>
    <n v="950"/>
    <n v="20906"/>
    <s v="FUCSIA"/>
    <n v="0"/>
    <n v="0"/>
    <n v="0"/>
    <n v="9.1300000000000008"/>
    <n v="17.100000000000001"/>
    <n v="83"/>
    <n v="206.02409638554218"/>
    <x v="0"/>
    <x v="0"/>
    <n v="1"/>
    <n v="2"/>
    <n v="18.333333333333332"/>
  </r>
  <r>
    <d v="2025-02-12T21:29:00"/>
    <s v="INYECTADO"/>
    <x v="7"/>
    <x v="1"/>
    <s v="LUIS RENGIFO"/>
    <s v="SEGUNDA"/>
    <s v="."/>
    <s v="MIXTO"/>
    <s v="BALDE PLAYERO ROMANO"/>
    <s v="BALDE ROMANO-LILA"/>
    <n v="356"/>
    <n v="3"/>
    <n v="55.5"/>
    <x v="0"/>
    <n v="0"/>
    <n v="3"/>
    <n v="950"/>
    <n v="20906"/>
    <s v="LILA"/>
    <n v="0"/>
    <n v="0"/>
    <n v="0"/>
    <n v="29.547999999999998"/>
    <n v="55.5"/>
    <n v="83"/>
    <n v="668.67469879518069"/>
    <x v="0"/>
    <x v="0"/>
    <n v="1"/>
    <n v="2"/>
    <n v="59.333333333333336"/>
  </r>
  <r>
    <d v="2025-02-12T21:29:00"/>
    <s v="INYECTADO"/>
    <x v="7"/>
    <x v="1"/>
    <s v="WALTER GUEVARA"/>
    <s v="SEGUNDA"/>
    <s v="."/>
    <s v="MIXTO"/>
    <s v="BALDE PLAYERO ROMANO"/>
    <s v="BALDE ROMANO-ROJO"/>
    <n v="239"/>
    <n v="2"/>
    <n v="37.200000000000003"/>
    <x v="1"/>
    <n v="0"/>
    <n v="2"/>
    <n v="950"/>
    <n v="20907"/>
    <s v="ROJO"/>
    <n v="0"/>
    <n v="0"/>
    <n v="0"/>
    <n v="19.837"/>
    <n v="37.200000000000003"/>
    <n v="83"/>
    <n v="448.19277108433732"/>
    <x v="0"/>
    <x v="0"/>
    <n v="1"/>
    <n v="2"/>
    <n v="39.833333333333336"/>
  </r>
  <r>
    <d v="2025-02-12T21:29:00"/>
    <s v="INYECTADO"/>
    <x v="7"/>
    <x v="1"/>
    <s v="WALTER GUEVARA"/>
    <s v="SEGUNDA"/>
    <s v="."/>
    <s v="MIXTO"/>
    <s v="BALDE PLAYERO ROMANO"/>
    <s v="BALDE ROMANO-VERDE"/>
    <n v="234"/>
    <n v="2"/>
    <n v="36.5"/>
    <x v="1"/>
    <n v="0"/>
    <n v="3"/>
    <n v="950"/>
    <n v="20907"/>
    <s v="VERDE"/>
    <n v="0"/>
    <n v="0"/>
    <n v="0"/>
    <n v="19.422000000000001"/>
    <n v="36.5"/>
    <n v="83"/>
    <n v="439.75903614457832"/>
    <x v="0"/>
    <x v="0"/>
    <n v="1"/>
    <n v="2"/>
    <n v="39"/>
  </r>
  <r>
    <d v="2025-02-12T21:29:00"/>
    <s v="INYECTADO"/>
    <x v="7"/>
    <x v="1"/>
    <s v="WALTER GUEVARA"/>
    <s v="VIRGEN"/>
    <s v="PP CLARIFICADO"/>
    <s v="."/>
    <s v="BALDE PLAYERO ROMANO"/>
    <s v="BALDE ROMANO-AMARILLO"/>
    <n v="274"/>
    <n v="3"/>
    <n v="42.7"/>
    <x v="1"/>
    <n v="0"/>
    <n v="3"/>
    <n v="950"/>
    <n v="20907"/>
    <s v="AMARILLO"/>
    <n v="0"/>
    <n v="0"/>
    <n v="0"/>
    <n v="22.742000000000001"/>
    <n v="42.7"/>
    <n v="83"/>
    <n v="514.45783132530119"/>
    <x v="0"/>
    <x v="0"/>
    <n v="1"/>
    <n v="2"/>
    <n v="45.666666666666664"/>
  </r>
  <r>
    <d v="2025-02-12T21:29:00"/>
    <s v="INYECTADO"/>
    <x v="7"/>
    <x v="1"/>
    <s v="WALTER GUEVARA"/>
    <s v="SEGUNDA"/>
    <s v="."/>
    <s v="MIXTO"/>
    <s v="BALDE PLAYERO ROMANO"/>
    <s v="BALDE ROMANO-FUCSIA"/>
    <n v="359"/>
    <n v="3"/>
    <n v="56"/>
    <x v="1"/>
    <n v="0"/>
    <n v="3"/>
    <n v="950"/>
    <n v="20907"/>
    <s v="FUCSIA"/>
    <n v="0"/>
    <n v="0"/>
    <n v="0"/>
    <n v="29.797000000000001"/>
    <n v="56"/>
    <n v="83"/>
    <n v="674.69879518072287"/>
    <x v="0"/>
    <x v="0"/>
    <n v="1"/>
    <n v="2"/>
    <n v="59.833333333333336"/>
  </r>
  <r>
    <d v="2025-02-12T21:29:00"/>
    <s v="INYECTADO"/>
    <x v="7"/>
    <x v="1"/>
    <s v="WALTER GUEVARA"/>
    <s v="SEGUNDA"/>
    <s v="."/>
    <s v="MIXTO"/>
    <s v="BALDE PLAYERO ROMANO"/>
    <s v="BALDE ROMANO-AZUL"/>
    <n v="70"/>
    <n v="1"/>
    <n v="10.9"/>
    <x v="1"/>
    <n v="0"/>
    <n v="1"/>
    <n v="950"/>
    <n v="20907"/>
    <s v="AZUL"/>
    <n v="0"/>
    <n v="0"/>
    <n v="0"/>
    <n v="5.81"/>
    <n v="10.9"/>
    <n v="83"/>
    <n v="131.32530120481928"/>
    <x v="0"/>
    <x v="0"/>
    <n v="1"/>
    <n v="2"/>
    <n v="11.666666666666666"/>
  </r>
  <r>
    <d v="2025-02-12T21:29:00"/>
    <s v="INYECTADO"/>
    <x v="7"/>
    <x v="2"/>
    <s v="ALGIMIRO CALDERAS"/>
    <s v="SEGUNDA"/>
    <s v="."/>
    <s v="MIXTO"/>
    <s v="BALDE PLAYERO ROMANO"/>
    <s v="BALDE ROMANO-VERDE"/>
    <n v="244"/>
    <n v="2"/>
    <n v="38"/>
    <x v="0"/>
    <n v="0"/>
    <n v="2"/>
    <n v="950"/>
    <n v="20908"/>
    <s v="VERDE"/>
    <n v="0"/>
    <n v="0"/>
    <n v="0"/>
    <n v="20.251999999999999"/>
    <n v="38"/>
    <n v="83"/>
    <n v="457.8313253012048"/>
    <x v="0"/>
    <x v="0"/>
    <n v="1"/>
    <n v="2"/>
    <n v="40.666666666666664"/>
  </r>
  <r>
    <d v="2025-02-12T21:29:00"/>
    <s v="INYECTADO"/>
    <x v="7"/>
    <x v="2"/>
    <s v="ALGIMIRO CALDERAS"/>
    <s v="SEGUNDA"/>
    <s v="."/>
    <s v="MIXTO"/>
    <s v="BALDE PLAYERO ROMANO"/>
    <s v="BALDE ROMANO-FUCSIA"/>
    <n v="240"/>
    <n v="2"/>
    <n v="37.4"/>
    <x v="0"/>
    <n v="0"/>
    <n v="2"/>
    <n v="950"/>
    <n v="20908"/>
    <s v="FUCSIA"/>
    <n v="0"/>
    <n v="0"/>
    <n v="0"/>
    <n v="19.920000000000002"/>
    <n v="37.4"/>
    <n v="83"/>
    <n v="450.60240963855421"/>
    <x v="0"/>
    <x v="0"/>
    <n v="1"/>
    <n v="2"/>
    <n v="40"/>
  </r>
  <r>
    <d v="2025-02-12T21:29:00"/>
    <s v="INYECTADO"/>
    <x v="7"/>
    <x v="2"/>
    <s v="ALGIMIRO CALDERAS"/>
    <s v="VIRGEN"/>
    <s v="PP CLARIFICADO"/>
    <s v="."/>
    <s v="BALDE PLAYERO ROMANO"/>
    <s v="BALDE ROMANO-AMARILLO"/>
    <n v="204"/>
    <n v="2"/>
    <n v="31.8"/>
    <x v="0"/>
    <n v="0"/>
    <n v="2"/>
    <n v="950"/>
    <n v="20908"/>
    <s v="AMARILLO"/>
    <n v="0"/>
    <n v="0"/>
    <n v="0"/>
    <n v="16.931999999999999"/>
    <n v="31.8"/>
    <n v="83"/>
    <n v="383.13253012048193"/>
    <x v="0"/>
    <x v="0"/>
    <n v="1"/>
    <n v="2"/>
    <n v="34"/>
  </r>
  <r>
    <d v="2025-02-12T21:29:00"/>
    <s v="INYECTADO"/>
    <x v="7"/>
    <x v="2"/>
    <s v="ALGIMIRO CALDERAS"/>
    <s v="SEGUNDA"/>
    <s v="."/>
    <s v="MIXTO"/>
    <s v="BALDE PLAYERO ROMANO"/>
    <s v="BALDE ROMANO-LILA"/>
    <n v="241"/>
    <n v="2"/>
    <n v="37.5"/>
    <x v="0"/>
    <n v="0"/>
    <n v="2"/>
    <n v="950"/>
    <n v="20908"/>
    <s v="LILA"/>
    <n v="0"/>
    <n v="0"/>
    <n v="0"/>
    <n v="20.003"/>
    <n v="37.5"/>
    <n v="83"/>
    <n v="451.80722891566268"/>
    <x v="0"/>
    <x v="0"/>
    <n v="1"/>
    <n v="2"/>
    <n v="40.166666666666664"/>
  </r>
  <r>
    <d v="2025-02-12T21:29:00"/>
    <s v="INYECTADO"/>
    <x v="7"/>
    <x v="2"/>
    <s v="ALGIMIRO CALDERAS"/>
    <s v="SEGUNDA"/>
    <s v="."/>
    <s v="MIXTO"/>
    <s v="BALDE PLAYERO ROMANO"/>
    <s v="BALDE ROMANO-AZUL"/>
    <n v="120"/>
    <n v="1"/>
    <n v="18.7"/>
    <x v="0"/>
    <n v="0"/>
    <n v="1"/>
    <n v="950"/>
    <n v="20908"/>
    <s v="AZUL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2"/>
    <s v="JUAN MANUEL PEREZ"/>
    <s v="SEGUNDA"/>
    <s v="."/>
    <s v="MIXTO"/>
    <s v="BALDE PLAYERO ROMANO"/>
    <s v="BALDE ROMANO-AZUL"/>
    <n v="120"/>
    <n v="1"/>
    <n v="18.7"/>
    <x v="1"/>
    <n v="0"/>
    <n v="1"/>
    <n v="950"/>
    <n v="20909"/>
    <s v="AZUL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2"/>
    <s v="JUAN MANUEL PEREZ"/>
    <s v="SEGUNDA"/>
    <s v="."/>
    <s v="MIXTO"/>
    <s v="BALDE PLAYERO ROMANO"/>
    <s v="BALDE ROMANO-ROJO"/>
    <n v="838"/>
    <n v="9"/>
    <n v="130.69999999999999"/>
    <x v="1"/>
    <n v="0"/>
    <n v="7"/>
    <n v="950"/>
    <n v="20909"/>
    <s v="ROJO"/>
    <n v="0"/>
    <n v="0"/>
    <n v="0"/>
    <n v="69.554000000000002"/>
    <n v="130.69999999999999"/>
    <n v="83"/>
    <n v="1574.6987951807228"/>
    <x v="0"/>
    <x v="0"/>
    <n v="1"/>
    <n v="2"/>
    <n v="139.66666666666666"/>
  </r>
  <r>
    <d v="2025-02-12T21:29:00"/>
    <s v="INYECTADO"/>
    <x v="7"/>
    <x v="3"/>
    <s v="GABRIEL REQUENA"/>
    <s v="SEGUNDA"/>
    <s v="."/>
    <s v="MIXTO"/>
    <s v="BALDE PLAYERO ROMANO"/>
    <s v="BALDE ROMANO-LILA"/>
    <n v="120"/>
    <n v="1"/>
    <n v="18.7"/>
    <x v="0"/>
    <n v="0"/>
    <n v="1"/>
    <n v="950"/>
    <n v="20910"/>
    <s v="LILA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3"/>
    <s v="GABRIEL REQUENA"/>
    <s v="SEGUNDA"/>
    <s v="."/>
    <s v="MIXTO"/>
    <s v="BALDE PLAYERO ROMANO"/>
    <s v="BALDE ROMANO-FUCSIA"/>
    <n v="600"/>
    <n v="5"/>
    <n v="93.6"/>
    <x v="0"/>
    <n v="0"/>
    <n v="5"/>
    <n v="950"/>
    <n v="20910"/>
    <s v="FUCSIA"/>
    <n v="0"/>
    <n v="0"/>
    <n v="0"/>
    <n v="49.8"/>
    <n v="93.6"/>
    <n v="83"/>
    <n v="1127.7108433734941"/>
    <x v="0"/>
    <x v="0"/>
    <n v="1"/>
    <n v="2"/>
    <n v="100"/>
  </r>
  <r>
    <d v="2025-02-12T21:29:00"/>
    <s v="INYECTADO"/>
    <x v="7"/>
    <x v="3"/>
    <s v="FABIAN HERNANDEZ"/>
    <s v="SEGUNDA"/>
    <s v="."/>
    <s v="MIXTO"/>
    <s v="BALDE PLAYERO ROMANO"/>
    <s v="BALDE ROMANO-LILA"/>
    <n v="475"/>
    <n v="4"/>
    <n v="74.099999999999994"/>
    <x v="1"/>
    <n v="0"/>
    <n v="4"/>
    <n v="950"/>
    <n v="20911"/>
    <s v="LILA"/>
    <n v="2"/>
    <n v="0"/>
    <n v="0"/>
    <n v="39.424999999999997"/>
    <n v="74.099999999999994"/>
    <n v="83"/>
    <n v="892.77108433734941"/>
    <x v="0"/>
    <x v="0"/>
    <n v="1"/>
    <n v="2"/>
    <n v="79.166666666666671"/>
  </r>
  <r>
    <d v="2025-02-12T21:29:00"/>
    <s v="INYECTADO"/>
    <x v="7"/>
    <x v="3"/>
    <s v="FABIAN HERNANDEZ"/>
    <s v="SEGUNDA"/>
    <s v="."/>
    <s v="MIXTO"/>
    <s v="BALDE PLAYERO ROMANO"/>
    <s v="BALDE ROMANO-AZUL"/>
    <n v="469"/>
    <n v="4"/>
    <n v="73.099999999999994"/>
    <x v="1"/>
    <n v="0"/>
    <n v="4"/>
    <n v="950"/>
    <n v="20911"/>
    <s v="AZUL"/>
    <n v="1.2"/>
    <n v="0"/>
    <n v="0"/>
    <n v="38.927"/>
    <n v="73.099999999999994"/>
    <n v="83"/>
    <n v="880.72289156626505"/>
    <x v="0"/>
    <x v="0"/>
    <n v="1"/>
    <n v="2"/>
    <n v="78.166666666666671"/>
  </r>
  <r>
    <d v="2025-02-12T21:29:00"/>
    <s v="INYECTADO"/>
    <x v="7"/>
    <x v="3"/>
    <s v="SAID VILLAMIZAR"/>
    <s v="SEGUNDA"/>
    <s v="."/>
    <s v="MIXTO"/>
    <s v="BALDE PLAYERO ROMANO"/>
    <s v="BALDE ROMANO-AZUL"/>
    <n v="120"/>
    <n v="1"/>
    <n v="18.7"/>
    <x v="0"/>
    <n v="0"/>
    <n v="1"/>
    <n v="950"/>
    <n v="20912"/>
    <s v="AZUL"/>
    <n v="0"/>
    <n v="0"/>
    <n v="0"/>
    <n v="9.9600000000000009"/>
    <n v="18.7"/>
    <n v="83"/>
    <n v="225.3012048192771"/>
    <x v="0"/>
    <x v="0"/>
    <n v="1"/>
    <n v="2"/>
    <n v="20"/>
  </r>
  <r>
    <d v="2025-02-12T21:29:00"/>
    <s v="INYECTADO"/>
    <x v="7"/>
    <x v="3"/>
    <s v="SAID VILLAMIZAR"/>
    <s v="VIRGEN"/>
    <s v="PP CLARIFICADO"/>
    <s v="."/>
    <s v="BALDE PLAYERO ROMANO"/>
    <s v="BALDE ROMANO-AMARILLO"/>
    <n v="240"/>
    <n v="2"/>
    <n v="37.4"/>
    <x v="0"/>
    <n v="0"/>
    <n v="2"/>
    <n v="950"/>
    <n v="20912"/>
    <s v="AMARILLO"/>
    <n v="0"/>
    <n v="0"/>
    <n v="0"/>
    <n v="19.920000000000002"/>
    <n v="37.4"/>
    <n v="83"/>
    <n v="450.60240963855421"/>
    <x v="0"/>
    <x v="0"/>
    <n v="1"/>
    <n v="2"/>
    <n v="40"/>
  </r>
  <r>
    <d v="2025-02-12T21:29:00"/>
    <s v="INYECTADO"/>
    <x v="7"/>
    <x v="3"/>
    <s v="SAID VILLAMIZAR"/>
    <s v="SEGUNDA"/>
    <s v="."/>
    <s v="MIXTO"/>
    <s v="BALDE PLAYERO ROMANO"/>
    <s v="BALDE ROMANO-VERDE"/>
    <n v="597"/>
    <n v="5"/>
    <n v="93.1"/>
    <x v="0"/>
    <n v="0"/>
    <n v="5"/>
    <n v="950"/>
    <n v="20912"/>
    <s v="VERDE"/>
    <n v="0"/>
    <n v="0"/>
    <n v="0"/>
    <n v="49.551000000000002"/>
    <n v="93.1"/>
    <n v="83"/>
    <n v="1121.6867469879519"/>
    <x v="0"/>
    <x v="0"/>
    <n v="1"/>
    <n v="2"/>
    <n v="99.5"/>
  </r>
  <r>
    <d v="2025-02-12T21:29:00"/>
    <s v="INYECTADO"/>
    <x v="7"/>
    <x v="18"/>
    <s v="LUIS RENGIFO"/>
    <s v="VIRGEN"/>
    <s v="PP CLARIFICADO"/>
    <s v="."/>
    <s v="BALDE PLAYERO ROMANO"/>
    <s v="BALDE ROMANO-AMARILLO"/>
    <n v="600"/>
    <n v="5"/>
    <n v="93.6"/>
    <x v="0"/>
    <n v="0"/>
    <n v="5"/>
    <n v="950"/>
    <n v="20913"/>
    <s v="AMARILLO"/>
    <n v="0"/>
    <n v="0"/>
    <n v="0"/>
    <n v="49.8"/>
    <n v="93.6"/>
    <n v="83"/>
    <n v="1127.7108433734941"/>
    <x v="0"/>
    <x v="0"/>
    <n v="2"/>
    <n v="2"/>
    <n v="100"/>
  </r>
  <r>
    <d v="2025-02-12T21:29:00"/>
    <s v="INYECTADO"/>
    <x v="7"/>
    <x v="18"/>
    <s v="LUIS RENGIFO"/>
    <s v="SEGUNDA"/>
    <s v="."/>
    <s v="MIXTO"/>
    <s v="BALDE PLAYERO ROMANO"/>
    <s v="BALDE ROMANO-VERDE"/>
    <n v="469"/>
    <n v="4"/>
    <n v="73.099999999999994"/>
    <x v="0"/>
    <n v="0"/>
    <n v="4"/>
    <n v="950"/>
    <n v="20913"/>
    <s v="VERDE"/>
    <n v="0"/>
    <n v="0"/>
    <n v="0"/>
    <n v="38.927"/>
    <n v="73.099999999999994"/>
    <n v="83"/>
    <n v="880.72289156626505"/>
    <x v="0"/>
    <x v="0"/>
    <n v="2"/>
    <n v="2"/>
    <n v="78.166666666666671"/>
  </r>
  <r>
    <d v="2025-02-12T21:29:00"/>
    <s v="INYECTADO"/>
    <x v="7"/>
    <x v="18"/>
    <s v="WALTER GUEVARA"/>
    <s v="SEGUNDA"/>
    <s v="."/>
    <s v="MIXTO"/>
    <s v="BALDE PLAYERO ROMANO"/>
    <s v="BALDE ROMANO-VERDE"/>
    <n v="128"/>
    <n v="1"/>
    <n v="19.899999999999999"/>
    <x v="1"/>
    <n v="0"/>
    <n v="1"/>
    <n v="950"/>
    <n v="20914"/>
    <s v="VERDE"/>
    <n v="1.4"/>
    <n v="0"/>
    <n v="0"/>
    <n v="10.624000000000001"/>
    <n v="19.899999999999999"/>
    <n v="83"/>
    <n v="239.75903614457832"/>
    <x v="0"/>
    <x v="0"/>
    <n v="2"/>
    <n v="2"/>
    <n v="21.333333333333332"/>
  </r>
  <r>
    <d v="2025-02-12T21:29:00"/>
    <s v="INYECTADO"/>
    <x v="7"/>
    <x v="18"/>
    <s v="WALTER GUEVARA"/>
    <s v="SEGUNDA"/>
    <s v="."/>
    <s v="MIXTO"/>
    <s v="BALDE PLAYERO ROMANO"/>
    <s v="BALDE ROMANO-AZUL"/>
    <n v="606"/>
    <n v="6"/>
    <n v="94.5"/>
    <x v="1"/>
    <n v="0"/>
    <n v="6"/>
    <n v="950"/>
    <n v="20914"/>
    <s v="AZUL"/>
    <n v="5.3"/>
    <n v="0"/>
    <n v="0"/>
    <n v="50.298000000000002"/>
    <n v="94.5"/>
    <n v="83"/>
    <n v="1138.5542168674699"/>
    <x v="0"/>
    <x v="0"/>
    <n v="2"/>
    <n v="2"/>
    <n v="101"/>
  </r>
  <r>
    <d v="2025-02-12T21:29:00"/>
    <s v="INYECTADO"/>
    <x v="7"/>
    <x v="18"/>
    <s v="WALTER GUEVARA"/>
    <s v="SEGUNDA"/>
    <s v="."/>
    <s v="MIXTO"/>
    <s v="BALDE PLAYERO ROMANO"/>
    <s v="BALDE ROMANO-ROJO"/>
    <n v="487"/>
    <n v="4"/>
    <n v="75.900000000000006"/>
    <x v="1"/>
    <n v="0"/>
    <n v="4"/>
    <n v="950"/>
    <n v="20914"/>
    <s v="ROJO"/>
    <n v="1.2"/>
    <n v="0"/>
    <n v="0"/>
    <n v="40.420999999999999"/>
    <n v="75.900000000000006"/>
    <n v="83"/>
    <n v="914.45783132530119"/>
    <x v="0"/>
    <x v="0"/>
    <n v="2"/>
    <n v="2"/>
    <n v="81.166666666666671"/>
  </r>
  <r>
    <d v="2025-02-12T21:29:00"/>
    <s v="INYECTADO"/>
    <x v="7"/>
    <x v="19"/>
    <s v="ALGIMIRO CALDERAS"/>
    <s v="SEGUNDA"/>
    <s v="."/>
    <s v="MIXTO"/>
    <s v="BALDE PLAYERO ROMANO"/>
    <s v="BALDE ROMANO-LILA"/>
    <n v="596"/>
    <n v="5"/>
    <n v="92.9"/>
    <x v="0"/>
    <n v="0"/>
    <m/>
    <n v="950"/>
    <n v="20915"/>
    <s v="LILA"/>
    <n v="6.1"/>
    <n v="0"/>
    <n v="0"/>
    <n v="49.468000000000004"/>
    <n v="92.9"/>
    <n v="83"/>
    <n v="1119.2771084337348"/>
    <x v="0"/>
    <x v="0"/>
    <n v="2"/>
    <n v="2"/>
    <n v="99.333333333333329"/>
  </r>
  <r>
    <d v="2025-02-12T21:29:00"/>
    <s v="INYECTADO"/>
    <x v="7"/>
    <x v="19"/>
    <s v="ALGIMIRO CALDERAS"/>
    <s v="SEGUNDA"/>
    <s v="."/>
    <s v="MIXTO"/>
    <s v="BALDE PLAYERO ROMANO"/>
    <s v="BALDE ROMANO-ROJO"/>
    <n v="360"/>
    <n v="3"/>
    <n v="56.1"/>
    <x v="0"/>
    <n v="0"/>
    <n v="3"/>
    <n v="950"/>
    <n v="20915"/>
    <s v="ROJO"/>
    <n v="3.4"/>
    <n v="0"/>
    <n v="0"/>
    <n v="29.88"/>
    <n v="56.1"/>
    <n v="83"/>
    <n v="675.90361445783128"/>
    <x v="0"/>
    <x v="0"/>
    <n v="2"/>
    <n v="2"/>
    <n v="60"/>
  </r>
  <r>
    <d v="2025-02-12T21:29:00"/>
    <s v="INYECTADO"/>
    <x v="7"/>
    <x v="19"/>
    <s v="JUAN MANUEL PEREZ"/>
    <s v="SEGUNDA"/>
    <s v="."/>
    <s v="MIXTO"/>
    <s v="BALDE PLAYERO ROMANO"/>
    <s v="BALDE ROMANO-ROJO"/>
    <n v="361"/>
    <n v="3"/>
    <n v="56.1"/>
    <x v="1"/>
    <n v="0"/>
    <n v="3"/>
    <n v="950"/>
    <n v="20916"/>
    <s v="ROJO"/>
    <n v="3.1"/>
    <n v="0"/>
    <n v="0"/>
    <n v="29.963000000000001"/>
    <n v="56.1"/>
    <n v="83"/>
    <n v="675.90361445783128"/>
    <x v="0"/>
    <x v="0"/>
    <n v="2"/>
    <n v="2"/>
    <n v="60.166666666666664"/>
  </r>
  <r>
    <d v="2025-02-12T21:29:00"/>
    <s v="INYECTADO"/>
    <x v="7"/>
    <x v="19"/>
    <s v="JUAN MANUEL PEREZ"/>
    <s v="SEGUNDA"/>
    <s v="."/>
    <s v="MIXTO"/>
    <s v="BALDE PLAYERO ROMANO"/>
    <s v="BALDE ROMANO-FUCSIA"/>
    <n v="692"/>
    <n v="6"/>
    <n v="107.9"/>
    <x v="1"/>
    <n v="0"/>
    <n v="6"/>
    <n v="950"/>
    <n v="20916"/>
    <s v="FUCSIA"/>
    <n v="2.2000000000000002"/>
    <n v="0"/>
    <n v="0"/>
    <n v="57.436"/>
    <n v="107.9"/>
    <n v="83"/>
    <n v="1300"/>
    <x v="0"/>
    <x v="0"/>
    <n v="2"/>
    <n v="2"/>
    <n v="115.33333333333333"/>
  </r>
  <r>
    <d v="2025-02-12T21:29:00"/>
    <s v="INYECTADO"/>
    <x v="7"/>
    <x v="19"/>
    <s v="JUAN MANUEL PEREZ"/>
    <s v="SEGUNDA"/>
    <s v="."/>
    <s v="MIXTO"/>
    <s v="BALDE PLAYERO ROMANO"/>
    <s v="BALDE ROMANO-AZUL"/>
    <n v="40"/>
    <n v="1"/>
    <n v="6.2"/>
    <x v="1"/>
    <n v="0"/>
    <n v="1"/>
    <n v="950"/>
    <n v="20916"/>
    <s v="AZUL"/>
    <n v="0"/>
    <n v="0"/>
    <n v="0"/>
    <n v="3.32"/>
    <n v="6.2"/>
    <n v="83"/>
    <n v="74.698795180722897"/>
    <x v="0"/>
    <x v="0"/>
    <n v="2"/>
    <n v="2"/>
    <n v="6.666666666666667"/>
  </r>
  <r>
    <d v="2025-02-12T21:29:00"/>
    <s v="INYECTADO"/>
    <x v="7"/>
    <x v="20"/>
    <s v="JOSDER GONZALEZ"/>
    <s v="SEGUNDA"/>
    <s v="."/>
    <s v="MIXTO"/>
    <s v="BALDE PLAYERO ROMANO"/>
    <s v="BALDE ROMANO-AZUL"/>
    <n v="564"/>
    <n v="5"/>
    <n v="89.1"/>
    <x v="0"/>
    <n v="0"/>
    <n v="5"/>
    <n v="950"/>
    <n v="20917"/>
    <s v="AZUL"/>
    <n v="4.9000000000000004"/>
    <n v="0"/>
    <n v="0"/>
    <n v="46.811999999999998"/>
    <n v="89.1"/>
    <n v="83"/>
    <n v="1073.4939759036145"/>
    <x v="0"/>
    <x v="0"/>
    <n v="2"/>
    <n v="2"/>
    <n v="94"/>
  </r>
  <r>
    <d v="2025-02-12T21:29:00"/>
    <s v="INYECTADO"/>
    <x v="7"/>
    <x v="20"/>
    <s v="JOSDER GONZALEZ"/>
    <s v="VIRGEN"/>
    <s v="PP CLARIFICADO"/>
    <s v="."/>
    <s v="BALDE PLAYERO ROMANO"/>
    <s v="BALDE ROMANO-AMARILLO"/>
    <n v="634"/>
    <n v="6"/>
    <n v="100.1"/>
    <x v="0"/>
    <n v="0"/>
    <n v="6"/>
    <n v="950"/>
    <n v="20917"/>
    <s v="AMARILLO"/>
    <n v="3.4"/>
    <n v="0"/>
    <n v="0"/>
    <n v="52.622"/>
    <n v="100.1"/>
    <n v="83"/>
    <n v="1206.0240963855422"/>
    <x v="0"/>
    <x v="0"/>
    <n v="2"/>
    <n v="2"/>
    <n v="105.66666666666667"/>
  </r>
  <r>
    <d v="2025-02-12T21:29:00"/>
    <s v="INYECTADO"/>
    <x v="7"/>
    <x v="20"/>
    <s v="JOSDER GONZALEZ"/>
    <s v="SEGUNDA"/>
    <s v="."/>
    <s v="MIXTO"/>
    <s v="BALDE PLAYERO ROMANO"/>
    <s v="BALDE ROMANO-VERDE"/>
    <n v="79"/>
    <n v="1"/>
    <n v="12.4"/>
    <x v="0"/>
    <n v="0"/>
    <n v="1"/>
    <n v="950"/>
    <n v="20917"/>
    <s v="VERDE"/>
    <n v="0"/>
    <n v="0"/>
    <n v="0"/>
    <n v="6.5570000000000004"/>
    <n v="12.4"/>
    <n v="83"/>
    <n v="149.39759036144579"/>
    <x v="0"/>
    <x v="0"/>
    <n v="2"/>
    <n v="2"/>
    <n v="13.166666666666666"/>
  </r>
  <r>
    <d v="2025-02-12T21:29:00"/>
    <s v="INYECTADO"/>
    <x v="7"/>
    <x v="20"/>
    <s v="FABIAN HERNANDEZ"/>
    <s v="SEGUNDA"/>
    <s v="."/>
    <s v="MIXTO"/>
    <s v="BALDE PLAYERO ROMANO"/>
    <s v="BALDE ROMANO-VERDE"/>
    <n v="592"/>
    <n v="5"/>
    <n v="92.3"/>
    <x v="1"/>
    <n v="0"/>
    <n v="5"/>
    <n v="950"/>
    <n v="20918"/>
    <s v="VERDE"/>
    <n v="0"/>
    <n v="0"/>
    <n v="0"/>
    <n v="49.136000000000003"/>
    <n v="92.3"/>
    <n v="83"/>
    <n v="1112.0481927710844"/>
    <x v="0"/>
    <x v="0"/>
    <n v="2"/>
    <n v="2"/>
    <n v="98.666666666666671"/>
  </r>
  <r>
    <d v="2025-02-12T21:29:00"/>
    <s v="INYECTADO"/>
    <x v="7"/>
    <x v="20"/>
    <s v="FABIAN HERNANDEZ"/>
    <s v="SEGUNDA"/>
    <s v="."/>
    <s v="MIXTO"/>
    <s v="BALDE PLAYERO ROMANO"/>
    <s v="BALDE ROMANO-FUCSIA"/>
    <n v="371"/>
    <n v="3"/>
    <n v="57.8"/>
    <x v="1"/>
    <n v="0"/>
    <n v="3"/>
    <n v="950"/>
    <n v="20918"/>
    <s v="FUCSIA"/>
    <n v="0"/>
    <n v="0"/>
    <n v="0"/>
    <n v="30.792999999999999"/>
    <n v="57.8"/>
    <n v="83"/>
    <n v="696.38554216867465"/>
    <x v="0"/>
    <x v="0"/>
    <n v="2"/>
    <n v="2"/>
    <n v="61.833333333333336"/>
  </r>
  <r>
    <d v="2025-02-12T21:29:00"/>
    <s v="INYECTADO"/>
    <x v="7"/>
    <x v="20"/>
    <s v="FABIAN HERNANDEZ"/>
    <s v="SEGUNDA"/>
    <s v="."/>
    <s v="MIXTO"/>
    <s v="BALDE PLAYERO ROMANO"/>
    <s v="BALDE ROMANO-LILA"/>
    <n v="362"/>
    <n v="3"/>
    <n v="57.1"/>
    <x v="1"/>
    <n v="0"/>
    <n v="3"/>
    <n v="950"/>
    <n v="20918"/>
    <s v="LILA"/>
    <n v="0"/>
    <n v="0"/>
    <n v="0"/>
    <n v="30.045999999999999"/>
    <n v="57.1"/>
    <n v="83"/>
    <n v="687.95180722891564"/>
    <x v="0"/>
    <x v="0"/>
    <n v="2"/>
    <n v="2"/>
    <n v="60.333333333333336"/>
  </r>
  <r>
    <d v="2025-02-12T21:29:00"/>
    <s v="INYECTADO"/>
    <x v="7"/>
    <x v="21"/>
    <s v="SAID VILLAMIZAR"/>
    <s v="SEGUNDA"/>
    <s v="."/>
    <s v="MIXTO"/>
    <s v="BALDE PLAYERO ROMANO"/>
    <s v="BALDE ROMANO-LILA"/>
    <n v="79"/>
    <n v="1"/>
    <n v="12.3"/>
    <x v="0"/>
    <n v="0"/>
    <n v="1"/>
    <n v="950"/>
    <n v="20919"/>
    <s v="LILA"/>
    <n v="0"/>
    <n v="0"/>
    <n v="0"/>
    <n v="6.5570000000000004"/>
    <n v="12.3"/>
    <n v="83"/>
    <n v="148.19277108433735"/>
    <x v="0"/>
    <x v="0"/>
    <n v="2"/>
    <n v="2"/>
    <n v="13.166666666666666"/>
  </r>
  <r>
    <d v="2025-02-12T21:29:00"/>
    <s v="INYECTADO"/>
    <x v="7"/>
    <x v="21"/>
    <s v="SAID VILLAMIZAR"/>
    <s v="SEGUNDA"/>
    <s v="."/>
    <s v="MIXTO"/>
    <s v="BALDE PLAYERO ROMANO"/>
    <s v="BALDE ROMANO-VERDE"/>
    <n v="594"/>
    <n v="5"/>
    <n v="93.8"/>
    <x v="0"/>
    <n v="0"/>
    <n v="5"/>
    <n v="950"/>
    <n v="20919"/>
    <s v="VERDE"/>
    <n v="6.5"/>
    <n v="0"/>
    <n v="0"/>
    <n v="49.302"/>
    <n v="93.8"/>
    <n v="83"/>
    <n v="1130.1204819277109"/>
    <x v="0"/>
    <x v="0"/>
    <n v="2"/>
    <n v="2"/>
    <n v="99"/>
  </r>
  <r>
    <d v="2025-02-12T21:29:00"/>
    <s v="INYECTADO"/>
    <x v="7"/>
    <x v="21"/>
    <s v="SAID VILLAMIZAR"/>
    <s v="VIRGEN"/>
    <s v="PP CLARIFICADO"/>
    <s v="."/>
    <s v="BALDE PLAYERO ROMANO"/>
    <s v="BALDE ROMANO-AMARILLO"/>
    <n v="474"/>
    <n v="4"/>
    <n v="74.8"/>
    <x v="0"/>
    <n v="0"/>
    <n v="4"/>
    <n v="950"/>
    <n v="20919"/>
    <s v="AMARILLO"/>
    <n v="0"/>
    <n v="0"/>
    <n v="0"/>
    <n v="39.341999999999999"/>
    <n v="74.8"/>
    <n v="83"/>
    <n v="901.20481927710841"/>
    <x v="0"/>
    <x v="0"/>
    <n v="2"/>
    <n v="2"/>
    <n v="79"/>
  </r>
  <r>
    <d v="2025-02-12T21:29:00"/>
    <s v="INYECTADO"/>
    <x v="7"/>
    <x v="21"/>
    <s v="SAID VILLAMIZAR"/>
    <s v="SEGUNDA"/>
    <s v="."/>
    <s v="MIXTO"/>
    <s v="BALDE PLAYERO ROMANO"/>
    <s v="BALDE ROMANO-AZUL"/>
    <n v="158"/>
    <n v="2"/>
    <n v="24.9"/>
    <x v="0"/>
    <n v="0"/>
    <n v="2"/>
    <n v="950"/>
    <n v="20919"/>
    <s v="AZUL"/>
    <n v="0"/>
    <n v="0"/>
    <n v="0"/>
    <n v="13.114000000000001"/>
    <n v="24.9"/>
    <n v="83"/>
    <n v="300"/>
    <x v="0"/>
    <x v="0"/>
    <n v="2"/>
    <n v="2"/>
    <n v="26.333333333333332"/>
  </r>
  <r>
    <d v="2025-02-12T21:29:00"/>
    <s v="INYECTADO"/>
    <x v="7"/>
    <x v="21"/>
    <s v="JUAN MANUEL PEREZ"/>
    <s v="SEGUNDA"/>
    <s v="."/>
    <s v="MIXTO"/>
    <s v="BALDE PLAYERO ROMANO"/>
    <s v="BALDE ROMANO-AZUL"/>
    <n v="317"/>
    <n v="3"/>
    <n v="50"/>
    <x v="1"/>
    <n v="0"/>
    <n v="3"/>
    <n v="950"/>
    <n v="20920"/>
    <s v="AZUL"/>
    <n v="12.1"/>
    <n v="0"/>
    <n v="0"/>
    <n v="26.311"/>
    <n v="50"/>
    <n v="83"/>
    <n v="602.40963855421683"/>
    <x v="0"/>
    <x v="0"/>
    <n v="2"/>
    <n v="2"/>
    <n v="52.833333333333336"/>
  </r>
  <r>
    <d v="2025-02-12T21:29:00"/>
    <s v="INYECTADO"/>
    <x v="7"/>
    <x v="21"/>
    <s v="JUAN MANUEL PEREZ"/>
    <s v="SEGUNDA"/>
    <s v="."/>
    <s v="MIXTO"/>
    <s v="BALDE PLAYERO ROMANO"/>
    <s v="BALDE ROMANO-ROJO"/>
    <n v="598"/>
    <n v="6"/>
    <n v="94.4"/>
    <x v="1"/>
    <n v="0"/>
    <n v="5"/>
    <n v="950"/>
    <n v="20920"/>
    <s v="ROJO"/>
    <n v="10.3"/>
    <n v="0"/>
    <n v="0"/>
    <n v="49.634"/>
    <n v="94.4"/>
    <n v="83"/>
    <n v="1137.3493975903614"/>
    <x v="0"/>
    <x v="0"/>
    <n v="2"/>
    <n v="2"/>
    <n v="99.666666666666671"/>
  </r>
  <r>
    <d v="2025-02-12T21:29:00"/>
    <s v="INYECTADO"/>
    <x v="7"/>
    <x v="22"/>
    <s v="ISABEL LINARIZ "/>
    <s v="SEGUNDA"/>
    <s v="."/>
    <s v="MIXTO"/>
    <s v="BALDE PLAYERO ROMANO"/>
    <s v="BALDE ROMANO-FUCSIA"/>
    <n v="605"/>
    <n v="6"/>
    <n v="94.6"/>
    <x v="0"/>
    <n v="0"/>
    <n v="6"/>
    <n v="950"/>
    <n v="20921"/>
    <s v="FUCSIA"/>
    <n v="0"/>
    <n v="0"/>
    <n v="0"/>
    <n v="50.215000000000003"/>
    <n v="94.6"/>
    <n v="83"/>
    <n v="1139.7590361445782"/>
    <x v="0"/>
    <x v="0"/>
    <n v="2"/>
    <n v="2"/>
    <n v="100.83333333333333"/>
  </r>
  <r>
    <d v="2025-02-12T21:29:00"/>
    <s v="INYECTADO"/>
    <x v="7"/>
    <x v="22"/>
    <s v="ISABEL LINARIZ "/>
    <s v="SEGUNDA"/>
    <s v="."/>
    <s v="MIXTO"/>
    <s v="BALDE PLAYERO ROMANO"/>
    <s v="BALDE ROMANO-LILA"/>
    <n v="480"/>
    <n v="4"/>
    <n v="75.8"/>
    <x v="0"/>
    <n v="0"/>
    <n v="4"/>
    <n v="950"/>
    <n v="20921"/>
    <s v="LILA"/>
    <n v="0"/>
    <n v="0"/>
    <n v="0"/>
    <n v="39.840000000000003"/>
    <n v="75.8"/>
    <n v="83"/>
    <n v="913.25301204819277"/>
    <x v="0"/>
    <x v="0"/>
    <n v="2"/>
    <n v="2"/>
    <n v="80"/>
  </r>
  <r>
    <d v="2025-02-12T21:29:00"/>
    <s v="INYECTADO"/>
    <x v="7"/>
    <x v="13"/>
    <s v="LUIS PINEDO"/>
    <s v="SEGUNDA"/>
    <s v="."/>
    <s v="MIXTO"/>
    <s v="BALDE PLAYERO ROMANO"/>
    <s v="BALDE ROMANO-FUCSIA"/>
    <n v="751"/>
    <n v="7"/>
    <n v="117.1"/>
    <x v="0"/>
    <n v="0"/>
    <n v="7"/>
    <n v="950"/>
    <n v="20922"/>
    <s v="FUCSIA"/>
    <n v="2.9"/>
    <n v="0"/>
    <n v="0"/>
    <n v="62.332999999999998"/>
    <n v="117.1"/>
    <n v="83"/>
    <n v="1410.8433734939758"/>
    <x v="0"/>
    <x v="0"/>
    <n v="4"/>
    <n v="2"/>
    <n v="125.16666666666667"/>
  </r>
  <r>
    <d v="2025-02-12T21:29:00"/>
    <s v="INYECTADO"/>
    <x v="7"/>
    <x v="13"/>
    <s v="LUIS PINEDO"/>
    <s v="SEGUNDA"/>
    <s v="."/>
    <s v="MIXTO"/>
    <s v="BALDE PLAYERO ROMANO"/>
    <s v="BALDE ROMANO-LILA"/>
    <n v="245"/>
    <n v="2"/>
    <n v="38.200000000000003"/>
    <x v="0"/>
    <n v="0"/>
    <n v="2"/>
    <n v="950"/>
    <n v="20922"/>
    <s v="LILA"/>
    <n v="12.5"/>
    <n v="0"/>
    <n v="0"/>
    <n v="20.335000000000001"/>
    <n v="38.200000000000003"/>
    <n v="83"/>
    <n v="460.24096385542168"/>
    <x v="0"/>
    <x v="0"/>
    <n v="4"/>
    <n v="2"/>
    <n v="40.833333333333336"/>
  </r>
  <r>
    <d v="2025-02-12T21:29:00"/>
    <s v="INYECTADO"/>
    <x v="7"/>
    <x v="24"/>
    <s v="SAID VILLAMIZAR"/>
    <s v="SEGUNDA"/>
    <s v="."/>
    <s v="MIXTO"/>
    <s v="BALDE PLAYERO ROMANO"/>
    <s v="BALDE ROMANO-LILA"/>
    <n v="325"/>
    <n v="3"/>
    <n v="50.7"/>
    <x v="0"/>
    <n v="0"/>
    <n v="3"/>
    <n v="950"/>
    <n v="20923"/>
    <s v="LILA"/>
    <n v="8.1"/>
    <n v="0"/>
    <n v="0"/>
    <n v="26.975000000000001"/>
    <n v="50.7"/>
    <n v="83"/>
    <n v="610.84337349397595"/>
    <x v="0"/>
    <x v="0"/>
    <n v="4"/>
    <n v="2"/>
    <n v="54.166666666666664"/>
  </r>
  <r>
    <d v="2025-02-12T21:29:00"/>
    <s v="INYECTADO"/>
    <x v="7"/>
    <x v="24"/>
    <s v="SAID VILLAMIZAR"/>
    <s v="SEGUNDA"/>
    <s v="."/>
    <s v="MIXTO"/>
    <s v="BALDE PLAYERO ROMANO"/>
    <s v="BALDE ROMANO-AZUL"/>
    <n v="568"/>
    <n v="5"/>
    <n v="88.6"/>
    <x v="0"/>
    <n v="0"/>
    <n v="5"/>
    <n v="950"/>
    <n v="20923"/>
    <s v="AZUL"/>
    <n v="8.1"/>
    <n v="0"/>
    <n v="0"/>
    <n v="47.143999999999998"/>
    <n v="88.6"/>
    <n v="83"/>
    <n v="1067.4698795180723"/>
    <x v="0"/>
    <x v="0"/>
    <n v="4"/>
    <n v="2"/>
    <n v="94.666666666666671"/>
  </r>
  <r>
    <d v="2025-02-12T21:29:00"/>
    <s v="INYECTADO"/>
    <x v="7"/>
    <x v="24"/>
    <s v="SAID VILLAMIZAR"/>
    <s v="VIRGEN"/>
    <s v="PP CLARIFICADO"/>
    <s v="."/>
    <s v="BALDE PLAYERO ROMANO"/>
    <s v="BALDE ROMANO-AMARILLO"/>
    <n v="210"/>
    <n v="2"/>
    <n v="32.700000000000003"/>
    <x v="0"/>
    <n v="0"/>
    <n v="2"/>
    <n v="950"/>
    <n v="20923"/>
    <s v="AMARILLO"/>
    <n v="0"/>
    <n v="0"/>
    <n v="0"/>
    <n v="17.43"/>
    <n v="32.700000000000003"/>
    <n v="83"/>
    <n v="393.97590361445788"/>
    <x v="0"/>
    <x v="0"/>
    <n v="4"/>
    <n v="2"/>
    <n v="35"/>
  </r>
  <r>
    <d v="2025-02-12T21:29:00"/>
    <s v="INYECTADO"/>
    <x v="7"/>
    <x v="25"/>
    <s v="ISABEL LINARIZ "/>
    <s v="VIRGEN"/>
    <s v="PP CLARIFICADO"/>
    <s v="."/>
    <s v="BALDE PLAYERO ROMANO"/>
    <s v="BALDE ROMANO-AMARILLO"/>
    <n v="346"/>
    <n v="3"/>
    <n v="53.9"/>
    <x v="0"/>
    <n v="0"/>
    <n v="3"/>
    <n v="950"/>
    <n v="20924"/>
    <s v="AMARILLO"/>
    <n v="11"/>
    <n v="0"/>
    <n v="0"/>
    <n v="28.718"/>
    <n v="53.9"/>
    <n v="83"/>
    <n v="649.39759036144574"/>
    <x v="0"/>
    <x v="0"/>
    <n v="4"/>
    <n v="2"/>
    <n v="57.666666666666664"/>
  </r>
  <r>
    <d v="2025-02-12T21:29:00"/>
    <s v="INYECTADO"/>
    <x v="7"/>
    <x v="25"/>
    <s v="ISABEL LINARIZ "/>
    <s v="SEGUNDA"/>
    <s v="."/>
    <s v="MIXTO"/>
    <s v="BALDE PLAYERO ROMANO"/>
    <s v="BALDE ROMANO-VERDE"/>
    <n v="416"/>
    <n v="4"/>
    <n v="64.8"/>
    <x v="0"/>
    <n v="0"/>
    <n v="4"/>
    <n v="950"/>
    <n v="20924"/>
    <s v="VERDE"/>
    <n v="5.2"/>
    <n v="0"/>
    <n v="0"/>
    <n v="34.527999999999999"/>
    <n v="64.8"/>
    <n v="83"/>
    <n v="780.72289156626505"/>
    <x v="0"/>
    <x v="0"/>
    <n v="4"/>
    <n v="2"/>
    <n v="69.333333333333329"/>
  </r>
  <r>
    <d v="2025-02-12T21:29:00"/>
    <s v="INYECTADO"/>
    <x v="7"/>
    <x v="14"/>
    <s v="JOSDER GONZALEZ"/>
    <s v="SEGUNDA"/>
    <s v="."/>
    <s v="MIXTO"/>
    <s v="BALDE PLAYERO ROMANO"/>
    <s v="BALDE ROMANO-ROJO"/>
    <n v="715"/>
    <n v="7"/>
    <n v="111.5"/>
    <x v="0"/>
    <n v="0"/>
    <n v="7"/>
    <n v="950"/>
    <n v="20925"/>
    <s v="ROJO"/>
    <n v="0"/>
    <n v="0"/>
    <n v="0"/>
    <n v="59.344999999999999"/>
    <n v="111.5"/>
    <n v="83"/>
    <n v="1343.3734939759036"/>
    <x v="0"/>
    <x v="0"/>
    <n v="4"/>
    <n v="2"/>
    <n v="119.16666666666667"/>
  </r>
  <r>
    <d v="2025-02-12T21:29:00"/>
    <s v="INYECTADO"/>
    <x v="7"/>
    <x v="14"/>
    <s v="JOSDER GONZALEZ"/>
    <s v="SEGUNDA"/>
    <s v="."/>
    <s v="MIXTO"/>
    <s v="BALDE PLAYERO ROMANO"/>
    <s v="BALDE ROMANO-AZUL"/>
    <n v="160"/>
    <n v="2"/>
    <n v="24.4"/>
    <x v="0"/>
    <n v="0"/>
    <n v="2"/>
    <n v="950"/>
    <n v="20925"/>
    <s v="AZUL"/>
    <n v="0"/>
    <n v="0"/>
    <n v="0"/>
    <n v="13.28"/>
    <n v="24.4"/>
    <n v="83"/>
    <n v="293.97590361445782"/>
    <x v="0"/>
    <x v="0"/>
    <n v="4"/>
    <n v="2"/>
    <n v="26.666666666666668"/>
  </r>
  <r>
    <d v="2025-02-12T21:29:00"/>
    <s v="INYECTADO"/>
    <x v="7"/>
    <x v="14"/>
    <s v="PAUL MILLER"/>
    <s v="SEGUNDA"/>
    <s v="."/>
    <s v="MIXTO"/>
    <s v="BALDE PLAYERO ROMANO"/>
    <s v="BALDE ROMANO-LILA"/>
    <n v="321"/>
    <n v="3"/>
    <n v="51"/>
    <x v="1"/>
    <n v="0"/>
    <n v="3"/>
    <n v="950"/>
    <n v="20926"/>
    <s v="LILA"/>
    <n v="0"/>
    <n v="0"/>
    <n v="0"/>
    <n v="26.643000000000001"/>
    <n v="51"/>
    <n v="83"/>
    <n v="614.45783132530119"/>
    <x v="0"/>
    <x v="0"/>
    <n v="4"/>
    <n v="2"/>
    <n v="53.5"/>
  </r>
  <r>
    <d v="2025-02-13T10:20:00"/>
    <s v="INYECTADO"/>
    <x v="8"/>
    <x v="0"/>
    <s v="SAID VILLAMIZAR"/>
    <s v="SEGUNDA"/>
    <s v="."/>
    <s v="MIXTO"/>
    <s v="BALDE CASTILLO MEDIEVAL"/>
    <s v="BALDE CASTILLO MEDIEVAL-LILA"/>
    <n v="448"/>
    <n v="4"/>
    <n v="78.400000000000006"/>
    <x v="0"/>
    <n v="0"/>
    <n v="4"/>
    <n v="954"/>
    <n v="20806"/>
    <s v="LILA"/>
    <n v="8.4"/>
    <n v="0"/>
    <n v="0"/>
    <n v="60.48"/>
    <n v="78.400000000000006"/>
    <n v="135"/>
    <n v="580.74074074074076"/>
    <x v="0"/>
    <x v="0"/>
    <n v="1"/>
    <n v="2"/>
    <n v="74.666666666666671"/>
  </r>
  <r>
    <d v="2025-02-13T16:38:00"/>
    <s v="INYECTADO"/>
    <x v="8"/>
    <x v="0"/>
    <s v="SAID VILLAMIZAR"/>
    <s v="SEGUNDA"/>
    <s v="."/>
    <s v="MIXTO"/>
    <s v="BALDE CASTILLO MEDIEVAL"/>
    <s v="BALDE CASTILLO MEDIEVAL-FUCSIA"/>
    <n v="507"/>
    <n v="5"/>
    <n v="88.2"/>
    <x v="0"/>
    <n v="0"/>
    <n v="5"/>
    <n v="954"/>
    <n v="20806"/>
    <s v="FUCSIA"/>
    <n v="11.9"/>
    <n v="0"/>
    <n v="0"/>
    <n v="68.444999999999993"/>
    <n v="88.2"/>
    <n v="135"/>
    <n v="653.33333333333337"/>
    <x v="0"/>
    <x v="0"/>
    <n v="1"/>
    <n v="2"/>
    <n v="84.5"/>
  </r>
  <r>
    <d v="2025-02-13T16:38:00"/>
    <s v="INYECTADO"/>
    <x v="8"/>
    <x v="2"/>
    <s v="GABRIEL REQUENA"/>
    <s v="SEGUNDA"/>
    <s v="."/>
    <s v="PP INY MOLIDO"/>
    <s v="ACCESORIOS PLAYEROS TERRESTRES"/>
    <s v="ACCESORIO PLAYERO MARINO-FUCSIA"/>
    <n v="226"/>
    <n v="2"/>
    <n v="28"/>
    <x v="0"/>
    <n v="0"/>
    <n v="4"/>
    <n v="951"/>
    <n v="20807"/>
    <s v="FUCSIA"/>
    <n v="28"/>
    <n v="0"/>
    <n v="0"/>
    <n v="3.39"/>
    <n v="28"/>
    <n v="15"/>
    <n v="1866.6666666666667"/>
    <x v="0"/>
    <x v="0"/>
    <n v="1"/>
    <n v="8"/>
    <n v="150.66666666666666"/>
  </r>
  <r>
    <d v="2025-02-13T16:38:00"/>
    <s v="INYECTADO"/>
    <x v="8"/>
    <x v="18"/>
    <s v="ISABEL LINARIZ "/>
    <s v="SEGUNDA"/>
    <s v="."/>
    <s v="PP INY MOLIDO"/>
    <s v="ACCESORIOS PLAYEROS TERRESTRES"/>
    <s v="ACCESORIO PLAYERO MARINO-AZUL"/>
    <n v="488"/>
    <n v="4"/>
    <n v="60.3"/>
    <x v="0"/>
    <n v="0"/>
    <n v="8"/>
    <n v="951"/>
    <n v="20808"/>
    <s v="AZUL"/>
    <n v="30.3"/>
    <n v="0"/>
    <n v="0"/>
    <n v="7.32"/>
    <n v="60.3"/>
    <n v="15"/>
    <n v="4020"/>
    <x v="0"/>
    <x v="0"/>
    <n v="2"/>
    <n v="8"/>
    <n v="325.33333333333331"/>
  </r>
  <r>
    <d v="2025-02-13T16:38:00"/>
    <s v="INYECTADO"/>
    <x v="8"/>
    <x v="18"/>
    <s v="ISABEL LINARIZ "/>
    <s v="SEGUNDA"/>
    <s v="."/>
    <s v="PP INY MOLIDO"/>
    <s v="ACCESORIOS PLAYEROS TERRESTRES"/>
    <s v="ACCESORIO PLAYERO MARINO-FUCSIA"/>
    <n v="552"/>
    <n v="5"/>
    <n v="71.2"/>
    <x v="0"/>
    <n v="0"/>
    <n v="11"/>
    <n v="951"/>
    <n v="20808"/>
    <s v="FUCSIA"/>
    <n v="44.9"/>
    <n v="0"/>
    <n v="0"/>
    <n v="8.2799999999999994"/>
    <n v="71.2"/>
    <n v="15"/>
    <n v="4746.666666666667"/>
    <x v="0"/>
    <x v="0"/>
    <n v="2"/>
    <n v="8"/>
    <n v="368"/>
  </r>
  <r>
    <d v="2025-02-13T16:38:00"/>
    <s v="INYECTADO"/>
    <x v="8"/>
    <x v="18"/>
    <s v="ISABEL LINARIZ "/>
    <s v="VIRGEN"/>
    <s v="PP CLARIFICADO"/>
    <s v="."/>
    <s v="ACCESORIOS PLAYEROS TERRESTRES"/>
    <s v="ACCESORIO PLAYERO MARINO-AMARILLO"/>
    <n v="24"/>
    <n v="1"/>
    <n v="3"/>
    <x v="0"/>
    <n v="0"/>
    <n v="1"/>
    <n v="951"/>
    <n v="20808"/>
    <s v="AMARILLO"/>
    <n v="3"/>
    <n v="0"/>
    <n v="0"/>
    <n v="0.36"/>
    <n v="3"/>
    <n v="15"/>
    <n v="200"/>
    <x v="0"/>
    <x v="0"/>
    <n v="2"/>
    <n v="8"/>
    <n v="16"/>
  </r>
  <r>
    <d v="2025-02-13T16:38:00"/>
    <s v="INYECTADO"/>
    <x v="8"/>
    <x v="18"/>
    <s v="FABIAN HERNANDEZ"/>
    <s v="VIRGEN"/>
    <s v="PP CLARIFICADO"/>
    <s v="."/>
    <s v="ACCESORIOS PLAYEROS TERRESTRES"/>
    <s v="ACCESORIO PLAYERO MARINO-AMARILLO"/>
    <n v="746"/>
    <n v="9"/>
    <n v="92.2"/>
    <x v="1"/>
    <n v="0"/>
    <n v="9"/>
    <n v="951"/>
    <n v="20809"/>
    <s v="AMARILLO"/>
    <n v="56.6"/>
    <n v="0"/>
    <n v="0"/>
    <n v="11.19"/>
    <n v="92.2"/>
    <n v="15"/>
    <n v="6146.666666666667"/>
    <x v="0"/>
    <x v="0"/>
    <n v="2"/>
    <n v="8"/>
    <n v="497.33333333333331"/>
  </r>
  <r>
    <d v="2025-02-13T16:38:00"/>
    <s v="INYECTADO"/>
    <x v="8"/>
    <x v="20"/>
    <s v="ISABEL LINARIZ "/>
    <s v="VIRGEN"/>
    <s v="PP CLARIFICADO"/>
    <s v="."/>
    <s v="ORGANIZADOR  DE 3KG PASTEL"/>
    <s v="BADE ORGANIZADOR  DE 3KG PASTEL-CELESTE"/>
    <n v="267"/>
    <n v="2"/>
    <n v="49.7"/>
    <x v="0"/>
    <n v="0"/>
    <n v="4"/>
    <n v="963"/>
    <n v="20811"/>
    <s v="CELESTE"/>
    <n v="3.8"/>
    <n v="0"/>
    <n v="0"/>
    <e v="#N/A"/>
    <n v="49.7"/>
    <e v="#N/A"/>
    <n v="0"/>
    <x v="0"/>
    <x v="0"/>
    <n v="2"/>
    <e v="#N/A"/>
    <e v="#N/A"/>
  </r>
  <r>
    <d v="2025-02-13T16:38:00"/>
    <s v="INYECTADO"/>
    <x v="8"/>
    <x v="20"/>
    <s v="ISABEL LINARIZ "/>
    <s v="VIRGEN"/>
    <s v="PP CLARIFICADO"/>
    <s v="."/>
    <s v="ORGANIZADOR  DE 3KG PASTEL"/>
    <s v="BADE ORGANIZADOR  DE 3KG PASTEL-TURQUESA"/>
    <n v="243"/>
    <n v="2"/>
    <n v="45.6"/>
    <x v="0"/>
    <n v="0"/>
    <n v="8"/>
    <n v="963"/>
    <n v="20811"/>
    <s v="TURQUESA"/>
    <n v="1.5"/>
    <n v="0"/>
    <n v="0"/>
    <e v="#N/A"/>
    <n v="45.6"/>
    <e v="#N/A"/>
    <n v="0"/>
    <x v="0"/>
    <x v="0"/>
    <n v="2"/>
    <e v="#N/A"/>
    <e v="#N/A"/>
  </r>
  <r>
    <d v="2025-02-13T16:38:00"/>
    <s v="INYECTADO"/>
    <x v="8"/>
    <x v="20"/>
    <s v="ISABEL LINARIZ "/>
    <s v="VIRGEN"/>
    <s v="PP CLARIFICADO"/>
    <s v="."/>
    <s v="ORGANIZADOR  DE 3KG PASTEL"/>
    <s v="BADE ORGANIZADOR  DE 3KG PASTEL-AZURE"/>
    <n v="244"/>
    <n v="2"/>
    <n v="45.7"/>
    <x v="0"/>
    <n v="0"/>
    <n v="8"/>
    <n v="963"/>
    <n v="20811"/>
    <s v="AZURE"/>
    <n v="2.7"/>
    <n v="0"/>
    <n v="0"/>
    <e v="#N/A"/>
    <n v="45.7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s v="ORGANIZADOR  DE 3KG PASTEL"/>
    <s v="BADE ORGANIZADOR  DE 3KG PASTEL-AZURE"/>
    <n v="29"/>
    <n v="1"/>
    <n v="5.5"/>
    <x v="0"/>
    <n v="0"/>
    <n v="1"/>
    <n v="963"/>
    <n v="20812"/>
    <s v="AZURE"/>
    <n v="0"/>
    <n v="0"/>
    <n v="0"/>
    <e v="#N/A"/>
    <n v="5.5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s v="ORGANIZADOR  DE 3KG PASTEL"/>
    <s v="BADE ORGANIZADOR  DE 3KG PASTEL-ROSADO"/>
    <n v="332"/>
    <n v="3"/>
    <n v="62.1"/>
    <x v="0"/>
    <n v="0"/>
    <n v="3"/>
    <n v="963"/>
    <n v="20812"/>
    <s v="ROSADO"/>
    <n v="2.2999999999999998"/>
    <n v="0"/>
    <n v="0"/>
    <e v="#N/A"/>
    <n v="62.1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s v="ORGANIZADOR  DE 3KG PASTEL"/>
    <s v="BADE ORGANIZADOR  DE 3KG PASTEL-LILA"/>
    <n v="268"/>
    <n v="2"/>
    <n v="50.2"/>
    <x v="0"/>
    <n v="0"/>
    <n v="2"/>
    <n v="963"/>
    <n v="20812"/>
    <s v="LILA"/>
    <n v="3.7"/>
    <n v="0"/>
    <n v="0"/>
    <e v="#N/A"/>
    <n v="50.2"/>
    <e v="#N/A"/>
    <n v="0"/>
    <x v="0"/>
    <x v="0"/>
    <n v="2"/>
    <e v="#N/A"/>
    <e v="#N/A"/>
  </r>
  <r>
    <d v="2025-02-13T16:38:00"/>
    <s v="INYECTADO"/>
    <x v="8"/>
    <x v="21"/>
    <s v="JUAN CARLOS CEDENO"/>
    <s v="VIRGEN"/>
    <s v="PP CLARIFICADO"/>
    <s v="."/>
    <s v="ORGANIZADOR  DE 3KG PASTEL"/>
    <s v="BADE ORGANIZADOR  DE 3KG PASTEL-SANDIA"/>
    <n v="205"/>
    <n v="2"/>
    <n v="38.4"/>
    <x v="0"/>
    <n v="0"/>
    <n v="2"/>
    <n v="963"/>
    <n v="20812"/>
    <s v="SANDIA"/>
    <n v="2"/>
    <n v="0"/>
    <n v="0"/>
    <e v="#N/A"/>
    <n v="38.4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s v="ORGANIZADOR  DE 3KG PASTEL"/>
    <s v="BADE ORGANIZADOR  DE 3KG PASTEL-SANDIA"/>
    <n v="275"/>
    <n v="3"/>
    <n v="51.6"/>
    <x v="0"/>
    <n v="0"/>
    <n v="9"/>
    <n v="963"/>
    <n v="20813"/>
    <s v="SANDIA"/>
    <n v="4.7"/>
    <n v="0"/>
    <n v="0"/>
    <e v="#N/A"/>
    <n v="51.6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s v="ORGANIZADOR  DE 3KG PASTEL"/>
    <s v="BADE ORGANIZADOR  DE 3KG PASTEL-LILA"/>
    <n v="277"/>
    <n v="3"/>
    <n v="51.7"/>
    <x v="0"/>
    <n v="0"/>
    <n v="9"/>
    <n v="963"/>
    <n v="20813"/>
    <s v="LILA"/>
    <n v="5.2"/>
    <n v="0"/>
    <n v="0"/>
    <e v="#N/A"/>
    <n v="51.7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s v="ORGANIZADOR  DE 3KG PASTEL"/>
    <s v="BADE ORGANIZADOR  DE 3KG PASTEL-AZURE"/>
    <n v="279"/>
    <n v="3"/>
    <n v="52.3"/>
    <x v="0"/>
    <n v="0"/>
    <n v="8"/>
    <n v="963"/>
    <n v="20813"/>
    <s v="AZURE"/>
    <n v="11.4"/>
    <n v="0"/>
    <n v="0"/>
    <e v="#N/A"/>
    <n v="52.3"/>
    <e v="#N/A"/>
    <n v="0"/>
    <x v="0"/>
    <x v="0"/>
    <n v="2"/>
    <e v="#N/A"/>
    <e v="#N/A"/>
  </r>
  <r>
    <d v="2025-02-13T16:38:00"/>
    <s v="INYECTADO"/>
    <x v="8"/>
    <x v="22"/>
    <s v="ALGIMIRO CALDERAS"/>
    <s v="VIRGEN"/>
    <s v="PP CLARIFICADO"/>
    <s v="."/>
    <s v="ORGANIZADOR  DE 3KG PASTEL"/>
    <s v="BADE ORGANIZADOR  DE 3KG PASTEL-TURQUESA"/>
    <n v="17"/>
    <n v="1"/>
    <n v="3.2"/>
    <x v="0"/>
    <n v="0"/>
    <n v="0"/>
    <n v="963"/>
    <n v="20813"/>
    <s v="TURQUESA"/>
    <n v="0"/>
    <n v="0"/>
    <n v="0"/>
    <e v="#N/A"/>
    <n v="3.2"/>
    <e v="#N/A"/>
    <n v="0"/>
    <x v="0"/>
    <x v="0"/>
    <n v="2"/>
    <e v="#N/A"/>
    <e v="#N/A"/>
  </r>
  <r>
    <d v="2025-02-13T16:38:00"/>
    <s v="INYECTADO"/>
    <x v="8"/>
    <x v="22"/>
    <s v="WALTER GUEVARA"/>
    <s v="VIRGEN"/>
    <s v="PP CLARIFICADO"/>
    <s v="."/>
    <s v="ORGANIZADOR  DE 3KG PASTEL"/>
    <s v="BADE ORGANIZADOR  DE 3KG PASTEL-TURQUESA"/>
    <n v="270"/>
    <n v="3"/>
    <n v="51.4"/>
    <x v="1"/>
    <n v="0"/>
    <n v="9"/>
    <n v="963"/>
    <n v="20814"/>
    <s v="TURQUESA"/>
    <n v="6.2"/>
    <n v="0"/>
    <n v="0"/>
    <e v="#N/A"/>
    <n v="51.4"/>
    <e v="#N/A"/>
    <n v="0"/>
    <x v="0"/>
    <x v="0"/>
    <n v="2"/>
    <e v="#N/A"/>
    <e v="#N/A"/>
  </r>
  <r>
    <d v="2025-02-13T16:38:00"/>
    <s v="INYECTADO"/>
    <x v="8"/>
    <x v="22"/>
    <s v="WALTER GUEVARA"/>
    <s v="VIRGEN"/>
    <s v="PP CLARIFICADO"/>
    <s v="."/>
    <s v="ORGANIZADOR  DE 3KG PASTEL"/>
    <s v="BADE ORGANIZADOR  DE 3KG PASTEL-CELESTE"/>
    <n v="270"/>
    <n v="3"/>
    <n v="51.3"/>
    <x v="1"/>
    <n v="0"/>
    <n v="9"/>
    <n v="963"/>
    <n v="20814"/>
    <s v="CELESTE"/>
    <n v="0"/>
    <n v="0"/>
    <n v="0"/>
    <e v="#N/A"/>
    <n v="51.3"/>
    <e v="#N/A"/>
    <n v="0"/>
    <x v="0"/>
    <x v="0"/>
    <n v="2"/>
    <e v="#N/A"/>
    <e v="#N/A"/>
  </r>
  <r>
    <d v="2025-02-13T16:38:00"/>
    <s v="INYECTADO"/>
    <x v="8"/>
    <x v="22"/>
    <s v="WALTER GUEVARA"/>
    <s v="VIRGEN"/>
    <s v="PP CLARIFICADO"/>
    <s v="."/>
    <s v="ORGANIZADOR  DE 3KG PASTEL"/>
    <s v="BADE ORGANIZADOR  DE 3KG PASTEL-ROSADO"/>
    <n v="270"/>
    <n v="3"/>
    <n v="51.3"/>
    <x v="1"/>
    <n v="0"/>
    <n v="9"/>
    <n v="963"/>
    <n v="20814"/>
    <s v="ROSADO"/>
    <n v="0"/>
    <n v="0"/>
    <n v="0"/>
    <e v="#N/A"/>
    <n v="51.3"/>
    <e v="#N/A"/>
    <n v="0"/>
    <x v="0"/>
    <x v="0"/>
    <n v="2"/>
    <e v="#N/A"/>
    <e v="#N/A"/>
  </r>
  <r>
    <d v="2025-02-13T16:38:00"/>
    <s v="INYECTADO"/>
    <x v="8"/>
    <x v="4"/>
    <s v="JOSDER GONZALEZ"/>
    <s v="VIRGEN"/>
    <s v="PP CLARIFICADO"/>
    <s v="."/>
    <s v="ORGANIZADOR  DE 3KG"/>
    <s v="BASE ORGANIZADOR DE 3KG-TRANSPARENTE"/>
    <n v="855"/>
    <n v="8"/>
    <n v="161.69999999999999"/>
    <x v="0"/>
    <n v="0"/>
    <n v="28"/>
    <n v="967"/>
    <n v="20825"/>
    <s v="TRANSPARENTE"/>
    <n v="0.9"/>
    <n v="0"/>
    <n v="0"/>
    <n v="82.08"/>
    <n v="161.69999999999999"/>
    <n v="96"/>
    <n v="1684.375"/>
    <x v="0"/>
    <x v="0"/>
    <n v="2"/>
    <n v="2"/>
    <n v="142.5"/>
  </r>
  <r>
    <d v="2025-02-13T16:38:00"/>
    <s v="INYECTADO"/>
    <x v="8"/>
    <x v="6"/>
    <s v="SAID VILLAMIZAR"/>
    <s v="VIRGEN"/>
    <s v="PP CLARIFICADO"/>
    <s v="."/>
    <s v="ORGANIZADOR  DE 3KG"/>
    <s v="BASE ORGANIZADOR DE 3KG-TRANSPARENTE"/>
    <n v="878"/>
    <n v="8"/>
    <n v="166.7"/>
    <x v="0"/>
    <n v="0"/>
    <n v="27"/>
    <n v="967"/>
    <n v="20816"/>
    <s v="TRANSPARENTE"/>
    <n v="5.6"/>
    <n v="0"/>
    <n v="0"/>
    <n v="84.287999999999997"/>
    <n v="166.7"/>
    <n v="96"/>
    <n v="1736.4583333333333"/>
    <x v="0"/>
    <x v="0"/>
    <n v="3"/>
    <n v="2"/>
    <n v="146.33333333333334"/>
  </r>
  <r>
    <d v="2025-02-13T16:38:00"/>
    <s v="INYECTADO"/>
    <x v="8"/>
    <x v="9"/>
    <s v="ALGIMIRO CALDERAS"/>
    <s v="VIRGEN"/>
    <s v="PP CLARIFICADO"/>
    <s v="."/>
    <s v="ORGANIZADOR  DE 3KG"/>
    <s v="BASE ORGANIZADOR DE 3KG-TRANSPARENTE"/>
    <n v="1009"/>
    <n v="33"/>
    <n v="190.8"/>
    <x v="0"/>
    <n v="0"/>
    <n v="33"/>
    <n v="967"/>
    <n v="20817"/>
    <s v="TRANSPARENTE"/>
    <n v="1.5"/>
    <n v="0"/>
    <n v="0"/>
    <n v="96.864000000000004"/>
    <n v="190.8"/>
    <n v="96"/>
    <n v="1987.5"/>
    <x v="0"/>
    <x v="0"/>
    <n v="3"/>
    <n v="2"/>
    <n v="168.16666666666666"/>
  </r>
  <r>
    <d v="2025-02-13T16:38:00"/>
    <s v="INYECTADO"/>
    <x v="8"/>
    <x v="10"/>
    <s v="SAID VILLAMIZAR"/>
    <s v="VIRGEN"/>
    <s v="PP CLARIFICADO"/>
    <s v="."/>
    <s v="ORGANIZADOR  DE 3KG"/>
    <s v="BASE ORGANIZADOR DE 3KG-TRANSPARENTE"/>
    <n v="969"/>
    <n v="9"/>
    <n v="183.2"/>
    <x v="0"/>
    <n v="0"/>
    <n v="33"/>
    <n v="967"/>
    <n v="20818"/>
    <s v="TRANSPARENTE"/>
    <n v="0"/>
    <n v="0"/>
    <n v="0"/>
    <n v="93.024000000000001"/>
    <n v="183.2"/>
    <n v="96"/>
    <n v="1908.3333333333333"/>
    <x v="0"/>
    <x v="0"/>
    <n v="3"/>
    <n v="2"/>
    <n v="161.5"/>
  </r>
  <r>
    <d v="2025-02-13T16:38:00"/>
    <s v="INYECTADO"/>
    <x v="8"/>
    <x v="11"/>
    <s v="JUAN CARLOS CEDENO"/>
    <s v="VIRGEN"/>
    <s v="PP CLARIFICADO"/>
    <s v="."/>
    <s v="JARRA GRECIA 5LT."/>
    <s v="JARRA GRECIA 5LT-TRANSPARENTE"/>
    <n v="1071"/>
    <n v="11"/>
    <n v="233.6"/>
    <x v="0"/>
    <n v="0"/>
    <n v="19"/>
    <n v="973"/>
    <n v="20819"/>
    <s v="TRANSPARENTE"/>
    <n v="12.2"/>
    <n v="0"/>
    <n v="0"/>
    <n v="237.762"/>
    <n v="233.6"/>
    <n v="222"/>
    <n v="1052.2522522522522"/>
    <x v="0"/>
    <x v="0"/>
    <n v="3"/>
    <n v="1"/>
    <n v="89.25"/>
  </r>
  <r>
    <d v="2025-02-13T16:38:00"/>
    <s v="INYECTADO"/>
    <x v="8"/>
    <x v="23"/>
    <s v="JOSDER GONZALEZ"/>
    <s v="VIRGEN"/>
    <s v="PP CLARIFICADO"/>
    <s v="."/>
    <s v="JARRA GRECIA 5LT."/>
    <s v="JARRA GRECIA 5LT-TRANSPARENTE"/>
    <n v="1140"/>
    <n v="12"/>
    <n v="248.6"/>
    <x v="0"/>
    <n v="0"/>
    <n v="16"/>
    <n v="973"/>
    <n v="20820"/>
    <s v="TRANSPARENTE"/>
    <n v="0"/>
    <n v="0"/>
    <n v="0"/>
    <n v="253.08"/>
    <n v="248.6"/>
    <n v="222"/>
    <n v="1119.8198198198197"/>
    <x v="0"/>
    <x v="0"/>
    <n v="3"/>
    <n v="1"/>
    <n v="95"/>
  </r>
  <r>
    <d v="2025-02-13T16:38:00"/>
    <s v="INYECTADO"/>
    <x v="8"/>
    <x v="23"/>
    <s v="WALTER GUEVARA"/>
    <s v="VIRGEN"/>
    <s v="PP CLARIFICADO"/>
    <s v="."/>
    <s v="JARRA GRECIA 5LT."/>
    <s v="JARRA GRECIA 5LT-TRANSPARENTE"/>
    <n v="1051"/>
    <n v="12"/>
    <n v="231.3"/>
    <x v="1"/>
    <n v="0"/>
    <n v="7.6"/>
    <n v="973"/>
    <n v="20821"/>
    <s v="TRANSPARENTE"/>
    <n v="7.6"/>
    <n v="0"/>
    <n v="0"/>
    <n v="233.322"/>
    <n v="231.3"/>
    <n v="222"/>
    <n v="1041.8918918918919"/>
    <x v="0"/>
    <x v="0"/>
    <n v="3"/>
    <n v="1"/>
    <n v="87.583333333333329"/>
  </r>
  <r>
    <d v="2025-02-13T16:38:00"/>
    <s v="INYECTADO"/>
    <x v="8"/>
    <x v="27"/>
    <s v="MARIA JOSE"/>
    <s v="VIRGEN"/>
    <s v="PP CLARIFICADO"/>
    <s v="."/>
    <s v="JARRA GRECIA 5LT."/>
    <s v="JARRA GRECIA 5LT-TRANSPARENTE"/>
    <n v="440"/>
    <n v="4"/>
    <n v="97.1"/>
    <x v="0"/>
    <n v="0"/>
    <n v="0"/>
    <n v="973"/>
    <n v="20822"/>
    <s v="TRANSPARENTE"/>
    <n v="0"/>
    <n v="0"/>
    <n v="0"/>
    <n v="97.68"/>
    <n v="97.1"/>
    <n v="222"/>
    <n v="437.38738738738738"/>
    <x v="0"/>
    <x v="0"/>
    <n v="3"/>
    <n v="1"/>
    <n v="36.666666666666664"/>
  </r>
  <r>
    <d v="2025-02-13T16:38:00"/>
    <s v="INYECTADO"/>
    <x v="8"/>
    <x v="12"/>
    <s v="JOSDER GONZALEZ"/>
    <s v="VIRGEN"/>
    <s v="PP CLARIFICADO"/>
    <s v="."/>
    <s v="JARRA GRECIA 5LT."/>
    <s v="JARRA GRECIA 5LT-TRANSPARENTE"/>
    <n v="680"/>
    <n v="6"/>
    <n v="151"/>
    <x v="0"/>
    <n v="0"/>
    <n v="11"/>
    <n v="973"/>
    <n v="20823"/>
    <s v="TRANSPARENTE"/>
    <n v="11"/>
    <n v="0"/>
    <n v="0"/>
    <n v="150.96"/>
    <n v="151"/>
    <n v="222"/>
    <n v="680.18018018018017"/>
    <x v="0"/>
    <x v="0"/>
    <n v="4"/>
    <n v="1"/>
    <n v="56.666666666666664"/>
  </r>
  <r>
    <d v="2025-02-13T16:38:00"/>
    <s v="INYECTADO"/>
    <x v="8"/>
    <x v="13"/>
    <s v="KARLA HUISA"/>
    <s v="VIRGEN"/>
    <s v="PP CLARIFICADO"/>
    <s v="."/>
    <s v="JARRA GRECIA 5LT."/>
    <s v="JARRA GRECIA 5LT-TRANSPARENTE"/>
    <n v="946"/>
    <n v="11"/>
    <n v="207.2"/>
    <x v="0"/>
    <n v="0"/>
    <n v="15"/>
    <n v="973"/>
    <n v="20824"/>
    <s v="TRANSPARENTE"/>
    <n v="5.6"/>
    <n v="0"/>
    <n v="0"/>
    <n v="210.012"/>
    <n v="207.2"/>
    <n v="222"/>
    <n v="933.33333333333337"/>
    <x v="0"/>
    <x v="0"/>
    <n v="4"/>
    <n v="1"/>
    <n v="78.833333333333329"/>
  </r>
  <r>
    <d v="2025-02-13T16:38:00"/>
    <s v="INYECTADO"/>
    <x v="8"/>
    <x v="24"/>
    <s v="JUAN CARLOS CEDENO"/>
    <s v="VIRGEN"/>
    <s v="PP CLARIFICADO"/>
    <s v="."/>
    <s v="JARRA GRECIA 5LT."/>
    <s v="JARRA GRECIA 5LT-TRANSPARENTE"/>
    <n v="1007"/>
    <n v="11"/>
    <n v="220.7"/>
    <x v="0"/>
    <n v="0"/>
    <n v="6"/>
    <n v="973"/>
    <n v="20825"/>
    <s v="TRANSPARENTE"/>
    <n v="1.7"/>
    <n v="0"/>
    <n v="0"/>
    <n v="223.554"/>
    <n v="220.7"/>
    <n v="222"/>
    <n v="994.14414414414409"/>
    <x v="0"/>
    <x v="0"/>
    <n v="4"/>
    <n v="1"/>
    <n v="83.916666666666671"/>
  </r>
  <r>
    <d v="2025-02-13T16:38:00"/>
    <s v="INYECTADO"/>
    <x v="8"/>
    <x v="24"/>
    <s v="JUAN CARLOS CEDENO"/>
    <s v="VIRGEN"/>
    <s v="PP CLARIFICADO"/>
    <s v="."/>
    <s v="JARRA GRECIA 5LT."/>
    <s v="JARRA GRECIA 5LT-TRANSPARENTE"/>
    <n v="945"/>
    <n v="12"/>
    <n v="208.1"/>
    <x v="0"/>
    <n v="0"/>
    <n v="15"/>
    <n v="973"/>
    <n v="20826"/>
    <s v="TRANSPARENTE"/>
    <n v="5.0999999999999996"/>
    <n v="0"/>
    <n v="0"/>
    <n v="209.79"/>
    <n v="208.1"/>
    <n v="222"/>
    <n v="937.38738738738743"/>
    <x v="0"/>
    <x v="0"/>
    <n v="4"/>
    <n v="1"/>
    <n v="78.75"/>
  </r>
  <r>
    <d v="2025-02-13T16:38:00"/>
    <s v="INYECTADO"/>
    <x v="8"/>
    <x v="25"/>
    <s v="LUIS PINEDO"/>
    <s v="VIRGEN"/>
    <s v="PP CLARIFICADO"/>
    <s v="."/>
    <s v="JARRA GRECIA 5LT."/>
    <s v="JARRA GRECIA 5LT-TRANSPARENTE"/>
    <n v="1058"/>
    <n v="11"/>
    <n v="244.8"/>
    <x v="0"/>
    <n v="0"/>
    <n v="17"/>
    <n v="973"/>
    <n v="20827"/>
    <s v="TRANSPARENTE"/>
    <n v="2.6"/>
    <n v="0"/>
    <n v="0"/>
    <n v="234.876"/>
    <n v="244.8"/>
    <n v="222"/>
    <n v="1102.7027027027027"/>
    <x v="0"/>
    <x v="0"/>
    <n v="4"/>
    <n v="1"/>
    <n v="88.166666666666671"/>
  </r>
  <r>
    <d v="2025-02-13T16:38:00"/>
    <s v="INYECTADO"/>
    <x v="8"/>
    <x v="25"/>
    <s v="FABIAN HERNANDEZ"/>
    <s v="VIRGEN"/>
    <s v="PP CLARIFICADO"/>
    <s v="."/>
    <s v="JARRA GRECIA 5LT."/>
    <s v="JARRA GRECIA 5LT-TRANSPARENTE"/>
    <n v="1032"/>
    <n v="12"/>
    <n v="247.5"/>
    <x v="1"/>
    <n v="0"/>
    <n v="18"/>
    <n v="973"/>
    <n v="20828"/>
    <s v="TRANSPARENTE"/>
    <n v="6.4"/>
    <n v="0"/>
    <n v="0"/>
    <n v="229.10400000000001"/>
    <n v="247.5"/>
    <n v="222"/>
    <n v="1114.8648648648648"/>
    <x v="0"/>
    <x v="0"/>
    <n v="4"/>
    <n v="1"/>
    <n v="86"/>
  </r>
  <r>
    <d v="2025-02-13T16:38:00"/>
    <s v="INYECTADO"/>
    <x v="8"/>
    <x v="14"/>
    <s v="ISABEL LINARIZ "/>
    <s v="VIRGEN"/>
    <s v="PP CLARIFICADO"/>
    <s v="."/>
    <s v="TAPA TAPERS REDONDOS"/>
    <s v="TAPA TAPER REDONDO-AMARILLO"/>
    <n v="351"/>
    <n v="3"/>
    <n v="45.3"/>
    <x v="0"/>
    <n v="0"/>
    <n v="4"/>
    <n v="980"/>
    <n v="20830"/>
    <s v="AMARILLO"/>
    <n v="7.9"/>
    <n v="0"/>
    <n v="0"/>
    <n v="11.583"/>
    <n v="45.3"/>
    <n v="33"/>
    <n v="1372.7272727272727"/>
    <x v="0"/>
    <x v="0"/>
    <n v="4"/>
    <n v="4"/>
    <n v="117"/>
  </r>
  <r>
    <d v="2025-02-13T16:38:00"/>
    <s v="INYECTADO"/>
    <x v="8"/>
    <x v="14"/>
    <s v="ISABEL LINARIZ "/>
    <s v="VIRGEN"/>
    <s v="PP CLARIFICADO"/>
    <s v="."/>
    <s v="TAPA TAPERS REDONDOS"/>
    <s v="TAPA TAPER REDONDO-VERDE"/>
    <n v="239"/>
    <n v="2"/>
    <n v="30.9"/>
    <x v="0"/>
    <n v="0"/>
    <n v="6"/>
    <n v="980"/>
    <n v="20830"/>
    <s v="VERDE"/>
    <n v="0"/>
    <n v="0"/>
    <n v="0"/>
    <n v="7.8869999999999996"/>
    <n v="30.9"/>
    <n v="33"/>
    <n v="936.36363636363637"/>
    <x v="0"/>
    <x v="0"/>
    <n v="4"/>
    <n v="4"/>
    <n v="79.666666666666671"/>
  </r>
  <r>
    <d v="2025-02-13T16:38:00"/>
    <s v="INYECTADO"/>
    <x v="8"/>
    <x v="14"/>
    <s v="FABIAN HERNANDEZ"/>
    <s v="VIRGEN"/>
    <s v="PP CLARIFICADO"/>
    <s v="."/>
    <s v="TAPA TAPERS REDONDOS"/>
    <s v="TAPA TAPER REDONDO-VERDE"/>
    <n v="207"/>
    <n v="2"/>
    <n v="19.3"/>
    <x v="1"/>
    <n v="0"/>
    <n v="3"/>
    <n v="980"/>
    <n v="20831"/>
    <s v="VERDE"/>
    <n v="3.95"/>
    <n v="0"/>
    <n v="0"/>
    <n v="6.8310000000000004"/>
    <n v="19.3"/>
    <n v="33"/>
    <n v="584.84848484848487"/>
    <x v="0"/>
    <x v="0"/>
    <n v="4"/>
    <n v="4"/>
    <n v="69"/>
  </r>
  <r>
    <d v="2025-02-13T16:38:00"/>
    <s v="INYECTADO"/>
    <x v="8"/>
    <x v="14"/>
    <s v="FABIAN HERNANDEZ"/>
    <s v="VIRGEN"/>
    <s v="PP CLARIFICADO"/>
    <s v="."/>
    <s v="TAPA TAPERS REDONDOS"/>
    <s v="TAPA TAPER REDONDO-TURQUESA"/>
    <n v="498"/>
    <n v="3"/>
    <n v="46.8"/>
    <x v="1"/>
    <n v="0"/>
    <n v="6"/>
    <n v="980"/>
    <n v="20831"/>
    <s v="TURQUESA"/>
    <n v="5.7"/>
    <n v="0"/>
    <n v="0"/>
    <n v="16.434000000000001"/>
    <n v="46.8"/>
    <n v="33"/>
    <n v="1418.1818181818182"/>
    <x v="0"/>
    <x v="0"/>
    <n v="4"/>
    <n v="4"/>
    <n v="166"/>
  </r>
  <r>
    <d v="2025-02-13T16:38:00"/>
    <s v="INYECTADO"/>
    <x v="8"/>
    <x v="14"/>
    <s v="FABIAN HERNANDEZ"/>
    <s v="VIRGEN"/>
    <s v="PP CLARIFICADO"/>
    <s v="."/>
    <s v="TAPA TAPERS REDONDOS"/>
    <s v="TAPA TAPER REDONDO-FUCSIA"/>
    <n v="535"/>
    <n v="4"/>
    <n v="49.8"/>
    <x v="1"/>
    <n v="0"/>
    <n v="6"/>
    <n v="980"/>
    <n v="20831"/>
    <s v="FUCSIA"/>
    <n v="3.4"/>
    <n v="0"/>
    <n v="0"/>
    <n v="17.655000000000001"/>
    <n v="49.8"/>
    <n v="33"/>
    <n v="1509.090909090909"/>
    <x v="0"/>
    <x v="0"/>
    <n v="4"/>
    <n v="4"/>
    <n v="178.33333333333334"/>
  </r>
  <r>
    <d v="2025-02-13T16:38:00"/>
    <s v="INYECTADO"/>
    <x v="8"/>
    <x v="14"/>
    <s v="FABIAN HERNANDEZ"/>
    <s v="VIRGEN"/>
    <s v="PP CLARIFICADO"/>
    <s v="."/>
    <s v="TAPA TAPERS REDONDOS"/>
    <s v="TAPA TAPER REDONDO-ROJO"/>
    <n v="411"/>
    <n v="3"/>
    <n v="38.299999999999997"/>
    <x v="1"/>
    <n v="0"/>
    <n v="5"/>
    <n v="980"/>
    <n v="20831"/>
    <s v="ROJO"/>
    <n v="2.7"/>
    <n v="0"/>
    <n v="0"/>
    <n v="13.563000000000001"/>
    <n v="38.299999999999997"/>
    <n v="33"/>
    <n v="1160.6060606060605"/>
    <x v="0"/>
    <x v="0"/>
    <n v="4"/>
    <n v="4"/>
    <n v="137"/>
  </r>
  <r>
    <d v="2025-02-13T16:38:00"/>
    <s v="INYECTADO"/>
    <x v="8"/>
    <x v="15"/>
    <s v="ISABEL LINARIZ "/>
    <s v="VIRGEN"/>
    <s v="PP CLARIFICADO"/>
    <s v="."/>
    <s v="TAPA TAPERS REDONDOS"/>
    <s v="TAPA TAPER REDONDO-AMARILLO"/>
    <n v="537"/>
    <n v="4"/>
    <n v="50"/>
    <x v="0"/>
    <n v="0"/>
    <n v="7"/>
    <n v="980"/>
    <n v="20832"/>
    <s v="AMARILLO"/>
    <n v="7.2"/>
    <n v="0"/>
    <n v="0"/>
    <n v="17.721"/>
    <n v="50"/>
    <n v="33"/>
    <n v="1515.1515151515152"/>
    <x v="0"/>
    <x v="0"/>
    <n v="4"/>
    <n v="4"/>
    <n v="179"/>
  </r>
  <r>
    <d v="2025-02-13T16:38:00"/>
    <s v="INYECTADO"/>
    <x v="8"/>
    <x v="15"/>
    <s v="ISABEL LINARIZ "/>
    <s v="VIRGEN"/>
    <s v="PP CLARIFICADO"/>
    <s v="."/>
    <s v="TAPA TAPERS REDONDOS"/>
    <s v="TAPA TAPER REDONDO-ROJO"/>
    <n v="637"/>
    <n v="6"/>
    <n v="59.3"/>
    <x v="0"/>
    <n v="0"/>
    <n v="6"/>
    <n v="980"/>
    <n v="20832"/>
    <s v="ROJO"/>
    <n v="7.7"/>
    <n v="0"/>
    <n v="0"/>
    <n v="21.021000000000001"/>
    <n v="59.3"/>
    <n v="33"/>
    <n v="1796.969696969697"/>
    <x v="0"/>
    <x v="0"/>
    <n v="4"/>
    <n v="4"/>
    <n v="212.33333333333334"/>
  </r>
  <r>
    <d v="2025-02-13T16:38:00"/>
    <s v="INYECTADO"/>
    <x v="8"/>
    <x v="15"/>
    <s v="ISABEL LINARIZ "/>
    <s v="VIRGEN"/>
    <s v="PP CLARIFICADO"/>
    <s v="."/>
    <s v="TAPA TAPERS REDONDOS"/>
    <s v="TAPA TAPER REDONDO-VERDE"/>
    <n v="430"/>
    <n v="4"/>
    <n v="40"/>
    <x v="0"/>
    <n v="0"/>
    <n v="8"/>
    <n v="980"/>
    <n v="20832"/>
    <s v="VERDE"/>
    <n v="7.2"/>
    <n v="0"/>
    <n v="0"/>
    <n v="14.19"/>
    <n v="40"/>
    <n v="33"/>
    <n v="1212.121212121212"/>
    <x v="0"/>
    <x v="0"/>
    <n v="4"/>
    <n v="4"/>
    <n v="143.33333333333334"/>
  </r>
  <r>
    <d v="2025-02-13T16:38:00"/>
    <s v="INYECTADO"/>
    <x v="8"/>
    <x v="15"/>
    <s v="PAUL MILLER"/>
    <s v="VIRGEN"/>
    <s v="PP CLARIFICADO"/>
    <s v="."/>
    <s v="TAPA TAPERS REDONDOS"/>
    <s v="TAPA TAPER REDONDO-VERDE"/>
    <n v="135"/>
    <n v="1"/>
    <n v="12.3"/>
    <x v="1"/>
    <n v="0"/>
    <n v="7"/>
    <n v="980"/>
    <n v="20833"/>
    <s v="VERDE"/>
    <n v="2.5"/>
    <n v="0"/>
    <n v="0"/>
    <n v="4.4550000000000001"/>
    <n v="12.3"/>
    <n v="33"/>
    <n v="372.72727272727275"/>
    <x v="0"/>
    <x v="0"/>
    <n v="4"/>
    <n v="4"/>
    <n v="45"/>
  </r>
  <r>
    <d v="2025-02-13T16:38:00"/>
    <s v="INYECTADO"/>
    <x v="8"/>
    <x v="15"/>
    <s v="PAUL MILLER"/>
    <s v="VIRGEN"/>
    <s v="PP CLARIFICADO"/>
    <s v="."/>
    <s v="TAPA TAPERS REDONDOS"/>
    <s v="TAPA TAPER REDONDO-TURQUESA"/>
    <n v="524"/>
    <n v="5"/>
    <n v="49.2"/>
    <x v="1"/>
    <n v="0"/>
    <n v="6"/>
    <n v="980"/>
    <n v="20833"/>
    <s v="TURQUESA"/>
    <n v="6.9"/>
    <n v="0"/>
    <n v="0"/>
    <n v="17.292000000000002"/>
    <n v="49.2"/>
    <n v="33"/>
    <n v="1490.909090909091"/>
    <x v="0"/>
    <x v="0"/>
    <n v="4"/>
    <n v="4"/>
    <n v="174.66666666666666"/>
  </r>
  <r>
    <d v="2025-02-13T16:38:00"/>
    <s v="INYECTADO"/>
    <x v="8"/>
    <x v="15"/>
    <s v="PAUL MILLER"/>
    <s v="VIRGEN"/>
    <s v="PP CLARIFICADO"/>
    <s v="."/>
    <s v="TAPA TAPERS REDONDOS"/>
    <s v="TAPA TAPER REDONDO-AZUL"/>
    <n v="486"/>
    <n v="4"/>
    <n v="45.2"/>
    <x v="1"/>
    <n v="0"/>
    <n v="7"/>
    <n v="980"/>
    <n v="20833"/>
    <s v="AZUL"/>
    <n v="1.7"/>
    <n v="0"/>
    <n v="0"/>
    <n v="16.038"/>
    <n v="45.2"/>
    <n v="33"/>
    <n v="1369.6969696969697"/>
    <x v="0"/>
    <x v="0"/>
    <n v="4"/>
    <n v="4"/>
    <n v="162"/>
  </r>
  <r>
    <d v="2025-02-13T16:38:00"/>
    <s v="INYECTADO"/>
    <x v="8"/>
    <x v="15"/>
    <s v="PAUL MILLER"/>
    <s v="VIRGEN"/>
    <s v="PP CLARIFICADO"/>
    <s v="."/>
    <s v="TAPA TAPERS REDONDOS"/>
    <s v="TAPA TAPER REDONDO-FUCSIA"/>
    <n v="520"/>
    <n v="5"/>
    <n v="48.2"/>
    <x v="0"/>
    <n v="0"/>
    <n v="5"/>
    <n v="980"/>
    <n v="20833"/>
    <s v="FUCSIA"/>
    <n v="2.1"/>
    <n v="0"/>
    <n v="0"/>
    <n v="17.16"/>
    <n v="48.2"/>
    <n v="33"/>
    <n v="1460.6060606060605"/>
    <x v="0"/>
    <x v="0"/>
    <n v="4"/>
    <n v="4"/>
    <n v="173.33333333333334"/>
  </r>
  <r>
    <d v="2025-02-13T16:38:00"/>
    <s v="INYECTADO"/>
    <x v="8"/>
    <x v="7"/>
    <s v="JOSDER GONZALEZ"/>
    <s v="VIRGEN"/>
    <s v="PP CLARIFICADO"/>
    <s v="."/>
    <s v="TAPA TAPERS REDONDOS CARAMELO"/>
    <s v="TAPA TAPERS REDONDOS CARAMELO-AMARILLO"/>
    <n v="250"/>
    <n v="2"/>
    <n v="23"/>
    <x v="0"/>
    <n v="0"/>
    <n v="8"/>
    <n v="985"/>
    <n v="20834"/>
    <s v="AMARILLO"/>
    <n v="3.2"/>
    <n v="0"/>
    <n v="0"/>
    <n v="8.25"/>
    <n v="23"/>
    <n v="33"/>
    <n v="696.969696969697"/>
    <x v="0"/>
    <x v="0"/>
    <n v="5"/>
    <n v="4"/>
    <n v="83.333333333333329"/>
  </r>
  <r>
    <d v="2025-02-13T16:38:00"/>
    <s v="INYECTADO"/>
    <x v="8"/>
    <x v="7"/>
    <s v="JOSDER GONZALEZ"/>
    <s v="VIRGEN"/>
    <s v="PP CLARIFICADO"/>
    <s v="."/>
    <s v="TAPA TAPERS REDONDOS CARAMELO"/>
    <s v="TAPA TAPERS REDONDOS CARAMELO-VERDE"/>
    <n v="436"/>
    <n v="4"/>
    <n v="40.200000000000003"/>
    <x v="0"/>
    <n v="0"/>
    <n v="0"/>
    <n v="985"/>
    <n v="20834"/>
    <s v="VERDE"/>
    <n v="2.2000000000000002"/>
    <n v="0"/>
    <n v="0"/>
    <n v="14.388"/>
    <n v="40.200000000000003"/>
    <n v="33"/>
    <n v="1218.1818181818182"/>
    <x v="0"/>
    <x v="0"/>
    <n v="5"/>
    <n v="4"/>
    <n v="145.33333333333334"/>
  </r>
  <r>
    <d v="2025-02-13T16:38:00"/>
    <s v="INYECTADO"/>
    <x v="8"/>
    <x v="7"/>
    <s v="JOSDER GONZALEZ"/>
    <s v="VIRGEN"/>
    <s v="PP CLARIFICADO"/>
    <s v="."/>
    <s v="TAPA TAPERS REDONDOS CARAMELO"/>
    <s v="TAPA TAPERS REDONDOS CARAMELO-ROJO"/>
    <n v="121"/>
    <n v="1"/>
    <n v="11.2"/>
    <x v="0"/>
    <n v="0"/>
    <n v="2"/>
    <n v="985"/>
    <n v="20834"/>
    <s v="ROJO"/>
    <n v="0.6"/>
    <n v="0"/>
    <n v="0"/>
    <n v="3.9929999999999999"/>
    <n v="11.2"/>
    <n v="33"/>
    <n v="339.39393939393938"/>
    <x v="0"/>
    <x v="0"/>
    <n v="5"/>
    <n v="4"/>
    <n v="40.333333333333336"/>
  </r>
  <r>
    <d v="2025-02-13T16:38:00"/>
    <s v="INYECTADO"/>
    <x v="8"/>
    <x v="8"/>
    <s v="ISABEL LINARIZ "/>
    <s v="VIRGEN"/>
    <s v="PP CLARIFICADO"/>
    <s v="."/>
    <s v="TAPA TAPERS REDONDOS CARAMELO"/>
    <s v="TAPA TAPERS REDONDOS CARAMELO-LILA"/>
    <n v="536"/>
    <n v="5"/>
    <n v="49.9"/>
    <x v="0"/>
    <n v="0"/>
    <n v="7"/>
    <n v="985"/>
    <n v="20835"/>
    <s v="LILA"/>
    <n v="0"/>
    <n v="0"/>
    <n v="0"/>
    <n v="17.687999999999999"/>
    <n v="49.9"/>
    <n v="33"/>
    <n v="1512.121212121212"/>
    <x v="0"/>
    <x v="0"/>
    <n v="5"/>
    <n v="4"/>
    <n v="178.66666666666666"/>
  </r>
  <r>
    <d v="2025-02-13T16:38:00"/>
    <s v="INYECTADO"/>
    <x v="8"/>
    <x v="8"/>
    <s v="ISABEL LINARIZ "/>
    <s v="VIRGEN"/>
    <s v="PP CLARIFICADO"/>
    <s v="."/>
    <s v="TAPA TAPERS REDONDOS CARAMELO"/>
    <s v="TAPA TAPERS REDONDOS CARAMELO-ROJO"/>
    <n v="288"/>
    <n v="3"/>
    <n v="26.8"/>
    <x v="0"/>
    <n v="0"/>
    <n v="4"/>
    <n v="985"/>
    <n v="20835"/>
    <s v="ROJO"/>
    <n v="4.0999999999999996"/>
    <n v="0"/>
    <n v="0"/>
    <n v="9.5039999999999996"/>
    <n v="26.8"/>
    <n v="33"/>
    <n v="812.12121212121212"/>
    <x v="0"/>
    <x v="0"/>
    <n v="5"/>
    <n v="4"/>
    <n v="96"/>
  </r>
  <r>
    <d v="2025-02-13T16:38:00"/>
    <s v="INYECTADO"/>
    <x v="8"/>
    <x v="8"/>
    <s v="ISABEL LINARIZ "/>
    <s v="VIRGEN"/>
    <s v="PP CLARIFICADO"/>
    <s v="."/>
    <s v="TAPA TAPERS REDONDOS CARAMELO"/>
    <s v="TAPA TAPERS REDONDOS CARAMELO-FUCSIA"/>
    <n v="529"/>
    <n v="5"/>
    <n v="49.2"/>
    <x v="0"/>
    <n v="0"/>
    <n v="7"/>
    <n v="985"/>
    <n v="20835"/>
    <s v="FUCSIA"/>
    <n v="4"/>
    <n v="0"/>
    <n v="0"/>
    <n v="17.457000000000001"/>
    <n v="49.2"/>
    <n v="33"/>
    <n v="1490.909090909091"/>
    <x v="0"/>
    <x v="0"/>
    <n v="5"/>
    <n v="4"/>
    <n v="176.33333333333334"/>
  </r>
  <r>
    <d v="2025-02-13T16:38:00"/>
    <s v="INYECTADO"/>
    <x v="8"/>
    <x v="16"/>
    <s v="SAID VILLAMIZAR"/>
    <s v="VIRGEN"/>
    <s v="PP CLARIFICADO"/>
    <s v="."/>
    <s v="TAPA TAPERS REDONDOS CARAMELO"/>
    <s v="TAPA TAPERS REDONDOS CARAMELO-AZUL"/>
    <n v="320"/>
    <n v="3"/>
    <n v="30.1"/>
    <x v="0"/>
    <n v="0"/>
    <n v="4"/>
    <n v="985"/>
    <n v="20836"/>
    <s v="AZUL"/>
    <n v="4"/>
    <n v="0"/>
    <n v="0"/>
    <n v="10.56"/>
    <n v="30.1"/>
    <n v="33"/>
    <n v="912.12121212121212"/>
    <x v="0"/>
    <x v="0"/>
    <n v="5"/>
    <n v="4"/>
    <n v="106.66666666666667"/>
  </r>
  <r>
    <d v="2025-02-13T16:38:00"/>
    <s v="INYECTADO"/>
    <x v="8"/>
    <x v="17"/>
    <s v="NELSON PINEDO"/>
    <s v="VIRGEN"/>
    <s v="PP CLARIFICADO"/>
    <s v="."/>
    <s v="BALDE REAL"/>
    <s v="BALDE REAL-AMARILLO"/>
    <n v="239"/>
    <n v="2"/>
    <n v="42.3"/>
    <x v="0"/>
    <n v="0"/>
    <n v="2"/>
    <n v="988"/>
    <n v="20837"/>
    <s v="AMARILLO"/>
    <n v="4.0999999999999996"/>
    <n v="0"/>
    <n v="0"/>
    <n v="20.553999999999998"/>
    <n v="42.3"/>
    <n v="86"/>
    <n v="491.86046511627904"/>
    <x v="0"/>
    <x v="0"/>
    <n v="5"/>
    <n v="2"/>
    <n v="39.833333333333336"/>
  </r>
  <r>
    <d v="2025-02-13T16:38:00"/>
    <s v="INYECTADO"/>
    <x v="8"/>
    <x v="26"/>
    <s v="FABIAN HERNANDEZ"/>
    <s v="SEGUNDA"/>
    <s v="."/>
    <s v="MIXTO"/>
    <s v="BALDE REAL"/>
    <s v="BALDE REAL-VERDE"/>
    <n v="240"/>
    <n v="2"/>
    <n v="41.2"/>
    <x v="1"/>
    <n v="0"/>
    <n v="2"/>
    <n v="988"/>
    <n v="20838"/>
    <s v="VERDE"/>
    <n v="6.7"/>
    <n v="0"/>
    <n v="0"/>
    <n v="20.64"/>
    <n v="41.2"/>
    <n v="86"/>
    <n v="479.06976744186045"/>
    <x v="0"/>
    <x v="0"/>
    <n v="5"/>
    <n v="2"/>
    <n v="40"/>
  </r>
  <r>
    <d v="2025-02-13T16:38:00"/>
    <s v="INYECTADO"/>
    <x v="8"/>
    <x v="26"/>
    <s v="FABIAN HERNANDEZ"/>
    <s v="SEGUNDA"/>
    <s v="."/>
    <s v="MIXTO"/>
    <s v="BALDE REAL"/>
    <s v="BALDE REAL-FUCSIA"/>
    <n v="140"/>
    <n v="1"/>
    <n v="24"/>
    <x v="1"/>
    <n v="0"/>
    <n v="1"/>
    <n v="988"/>
    <n v="20838"/>
    <s v="ROSADO"/>
    <n v="6"/>
    <n v="0"/>
    <n v="0"/>
    <n v="12.04"/>
    <n v="24"/>
    <n v="86"/>
    <n v="279.06976744186045"/>
    <x v="0"/>
    <x v="0"/>
    <n v="5"/>
    <n v="2"/>
    <n v="23.333333333333332"/>
  </r>
  <r>
    <d v="2025-02-13T16:38:00"/>
    <s v="INYECTADO"/>
    <x v="8"/>
    <x v="26"/>
    <s v="FABIAN HERNANDEZ"/>
    <s v="SEGUNDA"/>
    <s v="."/>
    <s v="MIXTO"/>
    <s v="BALDE REAL"/>
    <s v="BALDE REAL-AZUL"/>
    <n v="240"/>
    <n v="2"/>
    <n v="41.2"/>
    <x v="1"/>
    <n v="0"/>
    <n v="2"/>
    <n v="988"/>
    <n v="20838"/>
    <s v="AZUL"/>
    <n v="10"/>
    <n v="0"/>
    <n v="0"/>
    <n v="20.64"/>
    <n v="41.2"/>
    <n v="86"/>
    <n v="479.06976744186045"/>
    <x v="0"/>
    <x v="0"/>
    <n v="5"/>
    <n v="2"/>
    <n v="40"/>
  </r>
  <r>
    <d v="2025-02-13T16:38:00"/>
    <s v="INYECTADO"/>
    <x v="8"/>
    <x v="26"/>
    <s v="FABIAN HERNANDEZ"/>
    <s v="SEGUNDA"/>
    <s v="."/>
    <s v="MIXTO"/>
    <s v="BALDE REAL"/>
    <s v="BALDE REAL-LILA"/>
    <n v="228"/>
    <n v="2"/>
    <n v="39.200000000000003"/>
    <x v="1"/>
    <n v="0"/>
    <n v="2"/>
    <n v="988"/>
    <n v="20838"/>
    <s v="LILA"/>
    <n v="12"/>
    <n v="0"/>
    <n v="0"/>
    <n v="19.608000000000001"/>
    <n v="39.200000000000003"/>
    <n v="86"/>
    <n v="455.81395348837208"/>
    <x v="0"/>
    <x v="0"/>
    <n v="5"/>
    <n v="2"/>
    <n v="38"/>
  </r>
  <r>
    <d v="2025-02-13T16:38:00"/>
    <s v="INYECTADO"/>
    <x v="8"/>
    <x v="26"/>
    <s v="FABIAN HERNANDEZ"/>
    <s v="SEGUNDA"/>
    <s v="."/>
    <s v="MIXTO"/>
    <s v="BALDE REAL"/>
    <s v="BALDE REAL-ROJO"/>
    <n v="130"/>
    <n v="1"/>
    <n v="22.3"/>
    <x v="1"/>
    <n v="0"/>
    <n v="1"/>
    <n v="988"/>
    <n v="20838"/>
    <s v="ROJO"/>
    <n v="5.6"/>
    <n v="0"/>
    <n v="0"/>
    <n v="11.18"/>
    <n v="22.3"/>
    <n v="86"/>
    <n v="259.30232558139534"/>
    <x v="0"/>
    <x v="0"/>
    <n v="5"/>
    <n v="2"/>
    <n v="21.666666666666668"/>
  </r>
  <r>
    <d v="2025-02-13T22:15:00"/>
    <s v="INYECTADO"/>
    <x v="9"/>
    <x v="22"/>
    <s v="NELSON PINEDO"/>
    <s v="VIRGEN"/>
    <s v="PP SOPLADO"/>
    <s v="."/>
    <s v="TOMATODO ULTRA 900ML"/>
    <s v="TOMATODO ULTRA 900ML-TRANSPARENTE"/>
    <n v="905"/>
    <n v="8"/>
    <n v="54.8"/>
    <x v="0"/>
    <n v="0"/>
    <n v="7"/>
    <n v="937"/>
    <n v="20285"/>
    <s v="TRANSPARENTE"/>
    <n v="33"/>
    <n v="0"/>
    <n v="0"/>
    <n v="54.3"/>
    <n v="54.8"/>
    <n v="60"/>
    <n v="913.33333333333337"/>
    <x v="0"/>
    <x v="0"/>
    <n v="2"/>
    <n v="1"/>
    <n v="75.416666666666671"/>
  </r>
  <r>
    <d v="2025-02-13T22:15:00"/>
    <s v="INYECTADO"/>
    <x v="9"/>
    <x v="4"/>
    <s v="FABIAN HERNANDEZ"/>
    <s v="VIRGEN"/>
    <s v="PP SOPLADO"/>
    <s v="."/>
    <s v="TOMATODO ULTRA 900ML"/>
    <s v="TOMATODO ULTRA 900ML-TRANSPARENTE"/>
    <n v="350"/>
    <n v="6"/>
    <n v="23.8"/>
    <x v="1"/>
    <n v="0"/>
    <n v="5"/>
    <n v="937"/>
    <n v="20266"/>
    <s v="TRANSPARENTE"/>
    <n v="0"/>
    <n v="0"/>
    <n v="0"/>
    <n v="21"/>
    <n v="23.8"/>
    <n v="60"/>
    <n v="396.66666666666669"/>
    <x v="0"/>
    <x v="0"/>
    <n v="2"/>
    <n v="1"/>
    <n v="29.166666666666668"/>
  </r>
  <r>
    <d v="2025-02-13T22:15:00"/>
    <s v="INYECTADO"/>
    <x v="9"/>
    <x v="28"/>
    <s v="BRAYAN PINEDO"/>
    <s v="VIRGEN"/>
    <s v="PP SOPLADO"/>
    <s v="."/>
    <s v="TOMATODO ULTRA 900ML"/>
    <s v="TOMATODO ULTRA 900ML-TRANSPARENTE"/>
    <n v="672"/>
    <n v="8"/>
    <n v="41.6"/>
    <x v="0"/>
    <n v="0"/>
    <n v="6"/>
    <n v="937"/>
    <n v="20267"/>
    <s v="TRANSPARENTE"/>
    <n v="27.5"/>
    <n v="0"/>
    <n v="0"/>
    <n v="40.32"/>
    <n v="41.6"/>
    <n v="60"/>
    <n v="693.33333333333337"/>
    <x v="0"/>
    <x v="0"/>
    <n v="2"/>
    <n v="1"/>
    <n v="56"/>
  </r>
  <r>
    <d v="2025-02-13T22:15:00"/>
    <s v="INYECTADO"/>
    <x v="9"/>
    <x v="5"/>
    <s v="GABRIEL REQUENA"/>
    <s v="VIRGEN"/>
    <s v="PP SOPLADO"/>
    <s v="."/>
    <s v="TOMATODO ULTRA 900ML"/>
    <s v="TOMATODO ULTRA 900ML-TRANSPARENTE"/>
    <n v="1182"/>
    <n v="12"/>
    <n v="74.5"/>
    <x v="0"/>
    <n v="0"/>
    <n v="12"/>
    <n v="937"/>
    <n v="20269"/>
    <s v="TRANSPARENTE"/>
    <n v="36.299999999999997"/>
    <n v="0"/>
    <n v="0"/>
    <n v="70.92"/>
    <n v="74.5"/>
    <n v="60"/>
    <n v="1241.6666666666667"/>
    <x v="0"/>
    <x v="0"/>
    <n v="3"/>
    <n v="1"/>
    <n v="98.5"/>
  </r>
  <r>
    <d v="2025-02-13T22:15:00"/>
    <s v="INYECTADO"/>
    <x v="9"/>
    <x v="6"/>
    <s v="NELSON PINEDO"/>
    <s v="VIRGEN"/>
    <s v="PP SOPLADO"/>
    <s v="."/>
    <s v="TOMATODO ULTRA 900ML"/>
    <s v="TOMATODO ULTRA 900ML-TRANSPARENTE"/>
    <n v="1268"/>
    <n v="12"/>
    <n v="84.2"/>
    <x v="0"/>
    <n v="0"/>
    <n v="12"/>
    <n v="937"/>
    <n v="20270"/>
    <s v="TRANSPARENTE"/>
    <n v="25"/>
    <n v="0"/>
    <n v="0"/>
    <n v="76.08"/>
    <n v="84.2"/>
    <n v="60"/>
    <n v="1403.3333333333333"/>
    <x v="0"/>
    <x v="0"/>
    <n v="3"/>
    <n v="1"/>
    <n v="105.66666666666667"/>
  </r>
  <r>
    <d v="2025-02-13T22:15:00"/>
    <s v="INYECTADO"/>
    <x v="9"/>
    <x v="9"/>
    <s v="NELSON PINEDO"/>
    <s v="VIRGEN"/>
    <s v="PP SOPLADO"/>
    <s v="."/>
    <s v="TOMATODO ULTRA 900ML"/>
    <s v="TOMATODO ULTRA 900ML-TRANSPARENTE"/>
    <n v="406"/>
    <n v="5"/>
    <n v="24.8"/>
    <x v="0"/>
    <n v="0"/>
    <n v="4"/>
    <n v="937"/>
    <n v="20271"/>
    <s v="TRANSPARENTE"/>
    <n v="22.2"/>
    <n v="0"/>
    <n v="0"/>
    <n v="24.36"/>
    <n v="24.8"/>
    <n v="60"/>
    <n v="413.33333333333331"/>
    <x v="0"/>
    <x v="0"/>
    <n v="3"/>
    <n v="1"/>
    <n v="33.833333333333336"/>
  </r>
  <r>
    <d v="2025-02-13T22:15:00"/>
    <s v="INYECTADO"/>
    <x v="9"/>
    <x v="9"/>
    <s v="NELSON PINEDO"/>
    <s v="VIRGEN"/>
    <s v="PP SOPLADO"/>
    <s v="."/>
    <s v="TOMATODO AVENTURA 600ML"/>
    <s v="TOMATODO AVENTURA 600ML-TRANSPARENTE"/>
    <n v="341"/>
    <n v="3"/>
    <n v="16.399999999999999"/>
    <x v="0"/>
    <n v="0"/>
    <n v="2"/>
    <n v="969"/>
    <n v="20271"/>
    <s v="TRANSPARENTE"/>
    <n v="0"/>
    <n v="0"/>
    <n v="0"/>
    <n v="15.686"/>
    <n v="16.399999999999999"/>
    <n v="46"/>
    <n v="356.52173913043481"/>
    <x v="0"/>
    <x v="0"/>
    <n v="3"/>
    <n v="1"/>
    <n v="28.416666666666668"/>
  </r>
  <r>
    <d v="2025-02-13T22:15:00"/>
    <s v="INYECTADO"/>
    <x v="9"/>
    <x v="9"/>
    <s v="FABIAN HERNANDEZ"/>
    <s v="VIRGEN"/>
    <s v="PP SOPLADO"/>
    <s v="."/>
    <s v="TOMATODO AVENTURA 600ML"/>
    <s v="TOMATODO AVENTURA 600ML-TRANSPARENTE"/>
    <n v="1268"/>
    <n v="12"/>
    <n v="60.9"/>
    <x v="1"/>
    <n v="0"/>
    <n v="8"/>
    <n v="969"/>
    <n v="20272"/>
    <s v="TRANSPARENTE"/>
    <n v="29.1"/>
    <n v="0"/>
    <n v="0"/>
    <n v="58.328000000000003"/>
    <n v="60.9"/>
    <n v="46"/>
    <n v="1323.9130434782608"/>
    <x v="0"/>
    <x v="0"/>
    <n v="3"/>
    <n v="1"/>
    <n v="105.66666666666667"/>
  </r>
  <r>
    <d v="2025-02-13T22:15:00"/>
    <s v="INYECTADO"/>
    <x v="9"/>
    <x v="10"/>
    <s v="NELSON PINEDO"/>
    <s v="VIRGEN"/>
    <s v="PP SOPLADO"/>
    <s v="."/>
    <s v="TOMATODO AVENTURA 600ML"/>
    <s v="TOMATODO AVENTURA 600ML-TRANSPARENTE"/>
    <n v="1445"/>
    <n v="11"/>
    <n v="69.400000000000006"/>
    <x v="0"/>
    <n v="0"/>
    <n v="9"/>
    <n v="969"/>
    <n v="20273"/>
    <s v="TRANSPARENTE"/>
    <n v="29.4"/>
    <n v="0"/>
    <n v="0"/>
    <n v="66.47"/>
    <n v="69.400000000000006"/>
    <n v="46"/>
    <n v="1508.695652173913"/>
    <x v="0"/>
    <x v="0"/>
    <n v="3"/>
    <n v="1"/>
    <n v="120.41666666666667"/>
  </r>
  <r>
    <d v="2025-02-13T22:15:00"/>
    <s v="INYECTADO"/>
    <x v="9"/>
    <x v="10"/>
    <s v="FABIAN HERNANDEZ"/>
    <s v="VIRGEN"/>
    <s v="PP SOPLADO"/>
    <s v="."/>
    <s v="TOMATODO AVENTURA 600ML"/>
    <s v="TOMATODO AVENTURA 600ML-TRANSPARENTE"/>
    <n v="1356"/>
    <n v="11"/>
    <n v="63.1"/>
    <x v="1"/>
    <n v="0"/>
    <n v="10"/>
    <n v="969"/>
    <n v="20274"/>
    <s v="TRANSPARENTE"/>
    <n v="36.1"/>
    <n v="0"/>
    <n v="0"/>
    <n v="62.375999999999998"/>
    <n v="63.1"/>
    <n v="46"/>
    <n v="1371.7391304347825"/>
    <x v="0"/>
    <x v="0"/>
    <n v="3"/>
    <n v="1"/>
    <n v="113"/>
  </r>
  <r>
    <d v="2025-02-13T22:15:00"/>
    <s v="INYECTADO"/>
    <x v="9"/>
    <x v="11"/>
    <s v="GABRIEL REQUENA"/>
    <s v="VIRGEN"/>
    <s v="PP SOPLADO"/>
    <s v="."/>
    <s v="TOMATODO AVENTURA 600ML"/>
    <s v="TOMATODO AVENTURA 600ML-TRANSPARENTE"/>
    <n v="581"/>
    <n v="4"/>
    <n v="28.5"/>
    <x v="0"/>
    <n v="0"/>
    <n v="4"/>
    <n v="969"/>
    <n v="20275"/>
    <s v="TRANSPARENTE"/>
    <n v="28.5"/>
    <n v="0"/>
    <n v="0"/>
    <n v="26.725999999999999"/>
    <n v="28.5"/>
    <n v="46"/>
    <n v="619.56521739130437"/>
    <x v="0"/>
    <x v="0"/>
    <n v="3"/>
    <n v="1"/>
    <n v="48.416666666666664"/>
  </r>
  <r>
    <d v="2025-02-13T22:15:00"/>
    <s v="INYECTADO"/>
    <x v="9"/>
    <x v="23"/>
    <s v="LUIS RENGIFO"/>
    <s v="VIRGEN"/>
    <s v="PP SOPLADO"/>
    <s v="."/>
    <s v="SALSERO MULTIUSO 600 ML"/>
    <s v="SALSERO MULTIUSO 600ML-TRANSPARENTE"/>
    <n v="1182"/>
    <n v="11"/>
    <n v="49.8"/>
    <x v="0"/>
    <n v="0"/>
    <n v="8"/>
    <n v="974"/>
    <n v="20276"/>
    <s v="TRANSPARENTE"/>
    <n v="28.6"/>
    <n v="0"/>
    <n v="0"/>
    <n v="47.28"/>
    <n v="49.8"/>
    <n v="40"/>
    <n v="1245"/>
    <x v="0"/>
    <x v="0"/>
    <n v="3"/>
    <n v="1"/>
    <n v="98.5"/>
  </r>
  <r>
    <d v="2025-02-13T22:15:00"/>
    <s v="INYECTADO"/>
    <x v="9"/>
    <x v="12"/>
    <s v="NELSON PINEDO"/>
    <s v="VIRGEN"/>
    <s v="PP SOPLADO"/>
    <s v="."/>
    <s v="SALSERO MULTIUSO 600 ML"/>
    <s v="SALSERO MULTIUSO 600ML-TRANSPARENTE"/>
    <n v="1237"/>
    <n v="10"/>
    <n v="49.9"/>
    <x v="0"/>
    <n v="0"/>
    <n v="8"/>
    <n v="974"/>
    <n v="20277"/>
    <s v="TRANSPARENTE"/>
    <n v="29.5"/>
    <n v="0"/>
    <n v="0"/>
    <n v="49.48"/>
    <n v="49.9"/>
    <n v="40"/>
    <n v="1247.5"/>
    <x v="0"/>
    <x v="0"/>
    <n v="4"/>
    <n v="1"/>
    <n v="103.08333333333333"/>
  </r>
  <r>
    <d v="2025-02-13T22:15:00"/>
    <s v="INYECTADO"/>
    <x v="9"/>
    <x v="13"/>
    <s v="NELSON PINEDO"/>
    <s v="VIRGEN"/>
    <s v="PP SOPLADO"/>
    <s v="."/>
    <s v="SALSERO MULTIUSO 600 ML"/>
    <s v="SALSERO MULTIUSO 600ML-TRANSPARENTE"/>
    <n v="685"/>
    <n v="5"/>
    <n v="27.4"/>
    <x v="0"/>
    <n v="0"/>
    <n v="6"/>
    <n v="974"/>
    <n v="20279"/>
    <s v="TRANSPARENTE"/>
    <n v="0"/>
    <n v="0"/>
    <n v="0"/>
    <n v="27.4"/>
    <n v="27.4"/>
    <n v="40"/>
    <n v="685"/>
    <x v="0"/>
    <x v="0"/>
    <n v="4"/>
    <n v="1"/>
    <n v="57.083333333333336"/>
  </r>
  <r>
    <d v="2025-02-13T22:15:00"/>
    <s v="INYECTADO"/>
    <x v="9"/>
    <x v="13"/>
    <s v="NELSON PINEDO"/>
    <s v="VIRGEN"/>
    <s v="PP SOPLADO"/>
    <s v="."/>
    <s v="SALSERO MULTIUSO 480 ML"/>
    <s v="SALSERO MULTIUSO 480ML-TRANSPARENTE"/>
    <n v="156"/>
    <n v="2"/>
    <n v="5.8"/>
    <x v="0"/>
    <n v="0"/>
    <n v="1"/>
    <n v="974"/>
    <n v="20279"/>
    <s v="TRANSPARENTE"/>
    <n v="0"/>
    <n v="0"/>
    <n v="0"/>
    <n v="5.9279999999999999"/>
    <n v="5.8"/>
    <n v="38"/>
    <n v="152.63157894736841"/>
    <x v="0"/>
    <x v="0"/>
    <n v="4"/>
    <n v="1"/>
    <n v="13"/>
  </r>
  <r>
    <d v="2025-02-13T22:15:00"/>
    <s v="INYECTADO"/>
    <x v="9"/>
    <x v="13"/>
    <s v="FABIAN HERNANDEZ"/>
    <s v="VIRGEN"/>
    <s v="PP SOPLADO"/>
    <s v="."/>
    <s v="SALSERO MULTIUSO 480 ML"/>
    <s v="SALSERO MULTIUSO 480ML-TRANSPARENTE"/>
    <n v="1532"/>
    <n v="11"/>
    <n v="56.6"/>
    <x v="1"/>
    <n v="0"/>
    <n v="9"/>
    <n v="974"/>
    <n v="20280"/>
    <s v="TRANSPARENTE"/>
    <n v="30.5"/>
    <n v="0"/>
    <n v="0"/>
    <n v="58.216000000000001"/>
    <n v="56.6"/>
    <n v="38"/>
    <n v="1489.4736842105262"/>
    <x v="0"/>
    <x v="0"/>
    <n v="4"/>
    <n v="1"/>
    <n v="127.66666666666667"/>
  </r>
  <r>
    <d v="2025-02-13T22:15:00"/>
    <s v="INYECTADO"/>
    <x v="9"/>
    <x v="24"/>
    <s v="LUIS PINEDO"/>
    <s v="VIRGEN"/>
    <s v="PP SOPLADO"/>
    <s v="."/>
    <s v="SALSERO MULTIUSO 480 ML"/>
    <s v="SALSERO MULTIUSO 480ML-TRANSPARENTE"/>
    <n v="1535"/>
    <n v="11"/>
    <n v="55.2"/>
    <x v="0"/>
    <n v="0"/>
    <n v="10"/>
    <n v="974"/>
    <n v="20281"/>
    <s v="TRANSPARENTE"/>
    <n v="28.9"/>
    <n v="0"/>
    <n v="0"/>
    <n v="58.33"/>
    <n v="55.2"/>
    <n v="38"/>
    <n v="1452.6315789473683"/>
    <x v="0"/>
    <x v="0"/>
    <n v="4"/>
    <n v="1"/>
    <n v="127.91666666666667"/>
  </r>
  <r>
    <d v="2025-02-13T22:15:00"/>
    <s v="INYECTADO"/>
    <x v="9"/>
    <x v="15"/>
    <s v="NELSON PINEDO"/>
    <s v="VIRGEN"/>
    <s v="PP SOPLADO"/>
    <s v="."/>
    <s v="TOMATODO ULTRA 900ML"/>
    <s v="TOMATODO ULTRA 900ML-TRANSPARENTE"/>
    <n v="151"/>
    <n v="2"/>
    <n v="9.1"/>
    <x v="0"/>
    <n v="0"/>
    <n v="2"/>
    <n v="937"/>
    <n v="20282"/>
    <s v="TRANSPARENTE"/>
    <n v="0"/>
    <n v="0"/>
    <n v="0"/>
    <n v="9.06"/>
    <n v="9.1"/>
    <n v="60"/>
    <n v="151.66666666666666"/>
    <x v="0"/>
    <x v="0"/>
    <n v="4"/>
    <n v="1"/>
    <n v="12.583333333333334"/>
  </r>
  <r>
    <d v="2025-02-13T22:15:00"/>
    <s v="INYECTADO"/>
    <x v="9"/>
    <x v="15"/>
    <s v="FABIAN HERNANDEZ"/>
    <s v="VIRGEN"/>
    <s v="PP SOPLADO"/>
    <s v="."/>
    <s v="TOMATODO ULTRA 900ML"/>
    <s v="TOMATODO ULTRA 900ML-TRANSPARENTE"/>
    <n v="1539"/>
    <n v="12"/>
    <n v="93.9"/>
    <x v="1"/>
    <n v="0"/>
    <n v="16"/>
    <n v="937"/>
    <n v="20283"/>
    <s v="TRANSPARENTE"/>
    <n v="9.5"/>
    <n v="0"/>
    <n v="0"/>
    <n v="92.34"/>
    <n v="93.9"/>
    <n v="60"/>
    <n v="1565"/>
    <x v="0"/>
    <x v="0"/>
    <n v="4"/>
    <n v="1"/>
    <n v="128.25"/>
  </r>
  <r>
    <d v="2025-02-13T22:15:00"/>
    <s v="INYECTADO"/>
    <x v="9"/>
    <x v="29"/>
    <s v="SAID VILLAMIZAR"/>
    <s v="VIRGEN"/>
    <s v="PP SOPLADO"/>
    <s v="."/>
    <s v="TOMATODO ULTRA 900ML"/>
    <s v="TOMATODO ULTRA 900ML-TRANSPARENTE"/>
    <n v="896"/>
    <n v="8"/>
    <n v="54.7"/>
    <x v="0"/>
    <n v="0"/>
    <n v="8"/>
    <n v="937"/>
    <n v="20284"/>
    <s v="TRANSPARENTE"/>
    <n v="30.8"/>
    <n v="0"/>
    <n v="0"/>
    <n v="53.76"/>
    <n v="54.7"/>
    <n v="60"/>
    <n v="911.66666666666663"/>
    <x v="0"/>
    <x v="0"/>
    <n v="4"/>
    <n v="1"/>
    <n v="74.666666666666671"/>
  </r>
  <r>
    <d v="2025-02-13T22:15:00"/>
    <s v="INYECTADO"/>
    <x v="10"/>
    <x v="0"/>
    <s v="ALEXANDER MORENO"/>
    <s v="SEGUNDA"/>
    <s v="."/>
    <s v="PP INY MOLIDO"/>
    <s v="ACCESORIOS PLAYEROS MARINOS"/>
    <s v="ACCESORIO PLAYERO MARINO-ROJO"/>
    <n v="803"/>
    <n v="8"/>
    <n v="95.4"/>
    <x v="0"/>
    <n v="0"/>
    <n v="18"/>
    <n v="937"/>
    <n v="20517"/>
    <s v="ROJO"/>
    <n v="58"/>
    <n v="0"/>
    <n v="0"/>
    <n v="12.045"/>
    <n v="95.4"/>
    <n v="15"/>
    <n v="6360"/>
    <x v="0"/>
    <x v="0"/>
    <n v="1"/>
    <n v="8"/>
    <n v="535.33333333333337"/>
  </r>
  <r>
    <d v="2025-02-13T22:15:00"/>
    <s v="INYECTADO"/>
    <x v="10"/>
    <x v="0"/>
    <s v="ALEXANDER MORENO"/>
    <s v="SEGUNDA"/>
    <s v="."/>
    <s v="PP INY MOLIDO"/>
    <s v="ACCESORIOS PLAYEROS MARINOS"/>
    <s v="ACCESORIO PLAYERO MARINO-FUCSIA"/>
    <n v="177"/>
    <n v="2"/>
    <n v="21.1"/>
    <x v="0"/>
    <n v="0"/>
    <n v="2"/>
    <n v="937"/>
    <n v="20517"/>
    <s v="FUCSIA"/>
    <n v="15"/>
    <n v="0"/>
    <n v="0"/>
    <n v="2.6549999999999998"/>
    <n v="21.1"/>
    <n v="15"/>
    <n v="1406.6666666666667"/>
    <x v="0"/>
    <x v="0"/>
    <n v="1"/>
    <n v="8"/>
    <n v="118"/>
  </r>
  <r>
    <d v="2025-02-13T22:15:00"/>
    <s v="INYECTADO"/>
    <x v="10"/>
    <x v="1"/>
    <s v="ISABEL LINARIZ "/>
    <s v="SEGUNDA"/>
    <s v="."/>
    <s v="PP INY MOLIDO"/>
    <s v="ACCESORIOS PLAYEROS MARINOS"/>
    <s v="ACCESORIO PLAYERO MARINO-FUCSIA"/>
    <n v="64"/>
    <n v="1"/>
    <n v="8"/>
    <x v="0"/>
    <n v="0"/>
    <n v="2"/>
    <n v="937"/>
    <n v="20518"/>
    <s v="FUCSIA"/>
    <n v="0"/>
    <n v="0"/>
    <n v="0"/>
    <n v="0.96"/>
    <n v="8"/>
    <n v="15"/>
    <n v="533.33333333333337"/>
    <x v="0"/>
    <x v="0"/>
    <n v="1"/>
    <n v="8"/>
    <n v="42.666666666666664"/>
  </r>
  <r>
    <d v="2025-02-13T22:15:00"/>
    <s v="INYECTADO"/>
    <x v="10"/>
    <x v="1"/>
    <s v="ISABEL LINARIZ "/>
    <s v="SEGUNDA"/>
    <s v="."/>
    <s v="PP INY MOLIDO"/>
    <s v="ACCESORIOS PLAYEROS MARINOS"/>
    <s v="ACCESORIO PLAYERO MARINO-VERDE"/>
    <n v="221"/>
    <n v="2"/>
    <n v="27.3"/>
    <x v="0"/>
    <n v="0"/>
    <n v="4"/>
    <n v="937"/>
    <n v="20518"/>
    <s v="VERDE"/>
    <n v="0"/>
    <n v="0"/>
    <n v="0"/>
    <n v="3.3149999999999999"/>
    <n v="27.3"/>
    <n v="15"/>
    <n v="1820"/>
    <x v="0"/>
    <x v="0"/>
    <n v="1"/>
    <n v="8"/>
    <n v="147.33333333333334"/>
  </r>
  <r>
    <d v="2025-02-13T22:15:00"/>
    <s v="INYECTADO"/>
    <x v="10"/>
    <x v="1"/>
    <s v="ISABEL LINARIZ "/>
    <s v="VIRGEN"/>
    <s v="PP CLARIFICADO"/>
    <s v="."/>
    <s v="ORGANIZADOR  DE 2KG CARAMELO"/>
    <s v="BASE ORGANIZADOR  DE 2KG CARAMELO-FUCSIA"/>
    <n v="256"/>
    <n v="2"/>
    <n v="14.5"/>
    <x v="0"/>
    <n v="0"/>
    <n v="4"/>
    <n v="959"/>
    <n v="20518"/>
    <s v="FUCSIA"/>
    <n v="0"/>
    <n v="0"/>
    <n v="0"/>
    <n v="12.8"/>
    <n v="14.5"/>
    <n v="50"/>
    <n v="290"/>
    <x v="0"/>
    <x v="0"/>
    <n v="1"/>
    <n v="2"/>
    <n v="42.666666666666664"/>
  </r>
  <r>
    <d v="2025-02-13T22:15:00"/>
    <s v="INYECTADO"/>
    <x v="10"/>
    <x v="1"/>
    <s v="ISABEL LINARIZ "/>
    <s v="VIRGEN"/>
    <s v="PP CLARIFICADO"/>
    <s v="."/>
    <s v="ORGANIZADOR  DE 2KG CARAMELO"/>
    <s v="BASE ORGANIZADOR  DE 2KG CARAMELO-LILA"/>
    <n v="60"/>
    <n v="1"/>
    <n v="3.7"/>
    <x v="0"/>
    <n v="0"/>
    <n v="1"/>
    <n v="959"/>
    <n v="20518"/>
    <s v="LILA"/>
    <n v="0"/>
    <n v="0"/>
    <n v="0"/>
    <n v="3"/>
    <n v="3.7"/>
    <n v="50"/>
    <n v="74"/>
    <x v="0"/>
    <x v="0"/>
    <n v="1"/>
    <n v="2"/>
    <n v="10"/>
  </r>
  <r>
    <d v="2025-02-13T22:15:00"/>
    <s v="INYECTADO"/>
    <x v="10"/>
    <x v="1"/>
    <s v="WALTER GUEVARA"/>
    <s v="VIRGEN"/>
    <s v="PP CLARIFICADO"/>
    <s v="."/>
    <s v="ORGANIZADOR  DE 2KG CARAMELO"/>
    <s v="BASE ORGANIZADOR  DE 2KG CARAMELO-LILA"/>
    <n v="123"/>
    <n v="2"/>
    <n v="7.6"/>
    <x v="0"/>
    <n v="0"/>
    <n v="2"/>
    <n v="959"/>
    <n v="20519"/>
    <s v="LILA"/>
    <n v="4.5"/>
    <n v="0"/>
    <n v="0"/>
    <n v="6.15"/>
    <n v="7.6"/>
    <n v="50"/>
    <n v="152"/>
    <x v="0"/>
    <x v="0"/>
    <n v="1"/>
    <n v="2"/>
    <n v="20.5"/>
  </r>
  <r>
    <d v="2025-02-13T22:15:00"/>
    <s v="INYECTADO"/>
    <x v="10"/>
    <x v="1"/>
    <s v="WALTER GUEVARA"/>
    <s v="VIRGEN"/>
    <s v="PP CLARIFICADO"/>
    <s v="."/>
    <s v="ORGANIZADOR  DE 2KG CARAMELO"/>
    <s v="BASE ORGANIZADOR  DE 2KG CARAMELO-AZUL"/>
    <n v="180"/>
    <n v="2"/>
    <n v="11.4"/>
    <x v="0"/>
    <n v="0"/>
    <n v="3"/>
    <n v="959"/>
    <n v="20519"/>
    <s v="AZUL"/>
    <n v="1.8"/>
    <n v="0"/>
    <n v="0"/>
    <n v="9"/>
    <n v="11.4"/>
    <n v="50"/>
    <n v="228"/>
    <x v="0"/>
    <x v="0"/>
    <n v="1"/>
    <n v="2"/>
    <n v="30"/>
  </r>
  <r>
    <d v="2025-02-13T22:15:00"/>
    <s v="INYECTADO"/>
    <x v="10"/>
    <x v="1"/>
    <s v="WALTER GUEVARA"/>
    <s v="VIRGEN"/>
    <s v="PP CLARIFICADO"/>
    <s v="."/>
    <s v="ORGANIZADOR  DE 2KG CARAMELO"/>
    <s v="BASE ORGANIZADOR  DE 2KG CARAMELO-VERDE"/>
    <n v="180"/>
    <n v="2"/>
    <n v="11.1"/>
    <x v="0"/>
    <n v="0"/>
    <n v="3"/>
    <n v="959"/>
    <n v="20519"/>
    <s v="VERDE"/>
    <n v="4.4000000000000004"/>
    <n v="0"/>
    <n v="0"/>
    <n v="9"/>
    <n v="11.1"/>
    <n v="50"/>
    <n v="222"/>
    <x v="0"/>
    <x v="0"/>
    <n v="1"/>
    <n v="2"/>
    <n v="30"/>
  </r>
  <r>
    <d v="2025-02-13T22:15:00"/>
    <s v="INYECTADO"/>
    <x v="10"/>
    <x v="1"/>
    <s v="WALTER GUEVARA"/>
    <s v="VIRGEN"/>
    <s v="PP CLARIFICADO"/>
    <s v="."/>
    <s v="ORGANIZADOR  DE 2KG CARAMELO"/>
    <s v="BASE ORGANIZADOR  DE 2KG CARAMELO-AMARILLO"/>
    <n v="182"/>
    <n v="2"/>
    <n v="11.2"/>
    <x v="0"/>
    <n v="0"/>
    <n v="3"/>
    <n v="959"/>
    <n v="20519"/>
    <s v="AMARILLO"/>
    <n v="0"/>
    <n v="0"/>
    <n v="0"/>
    <n v="9.1"/>
    <n v="11.2"/>
    <n v="50"/>
    <n v="224"/>
    <x v="0"/>
    <x v="0"/>
    <n v="1"/>
    <n v="2"/>
    <n v="30.333333333333332"/>
  </r>
  <r>
    <d v="2025-02-13T22:15:00"/>
    <s v="INYECTADO"/>
    <x v="10"/>
    <x v="1"/>
    <s v="WALTER GUEVARA"/>
    <s v="VIRGEN"/>
    <s v="PP CLARIFICADO"/>
    <s v="."/>
    <s v="ORGANIZADOR  DE 2KG CARAMELO"/>
    <s v="BASE ORGANIZADOR  DE 2KG CARAMELO-ROJO"/>
    <n v="305"/>
    <n v="4"/>
    <n v="18.7"/>
    <x v="0"/>
    <n v="0"/>
    <n v="5"/>
    <n v="959"/>
    <n v="20519"/>
    <s v="ROJO"/>
    <n v="0"/>
    <n v="0"/>
    <n v="0"/>
    <n v="15.25"/>
    <n v="18.7"/>
    <n v="50"/>
    <n v="374"/>
    <x v="0"/>
    <x v="0"/>
    <n v="1"/>
    <n v="2"/>
    <n v="50.833333333333336"/>
  </r>
  <r>
    <d v="2025-02-13T22:15:00"/>
    <s v="INYECTADO"/>
    <x v="10"/>
    <x v="2"/>
    <s v="JOSDER GONZALEZ"/>
    <s v="VIRGEN"/>
    <s v="PP CLARIFICADO"/>
    <s v="."/>
    <s v="ORGANIZADOR  DE 2KG CARAMELO"/>
    <s v="BASE ORGANIZADOR  DE 2KG CARAMELO-FUCSIA"/>
    <n v="598"/>
    <n v="5"/>
    <n v="35.9"/>
    <x v="0"/>
    <n v="0"/>
    <n v="11"/>
    <n v="959"/>
    <n v="20520"/>
    <s v="FUCSIA"/>
    <n v="1.5"/>
    <n v="0"/>
    <n v="0"/>
    <n v="29.9"/>
    <n v="35.9"/>
    <n v="50"/>
    <n v="718"/>
    <x v="0"/>
    <x v="0"/>
    <n v="1"/>
    <n v="2"/>
    <n v="99.666666666666671"/>
  </r>
  <r>
    <d v="2025-02-13T22:15:00"/>
    <s v="INYECTADO"/>
    <x v="10"/>
    <x v="2"/>
    <s v="JOSDER GONZALEZ"/>
    <s v="VIRGEN"/>
    <s v="PP CLARIFICADO"/>
    <s v="."/>
    <s v="ORGANIZADOR  DE 2KG CARAMELO"/>
    <s v="BASE ORGANIZADOR  DE 2KG CARAMELO-LILA"/>
    <n v="695"/>
    <n v="6"/>
    <n v="41.7"/>
    <x v="0"/>
    <n v="0"/>
    <n v="13"/>
    <n v="959"/>
    <n v="20520"/>
    <s v="LILA"/>
    <n v="1.5"/>
    <n v="0"/>
    <n v="0"/>
    <n v="34.75"/>
    <n v="41.7"/>
    <n v="50"/>
    <n v="834"/>
    <x v="0"/>
    <x v="0"/>
    <n v="1"/>
    <n v="2"/>
    <n v="115.83333333333333"/>
  </r>
  <r>
    <d v="2025-02-13T22:15:00"/>
    <s v="INYECTADO"/>
    <x v="10"/>
    <x v="2"/>
    <s v="FABIAN HERNANDEZ"/>
    <s v="VIRGEN"/>
    <s v="PP CLARIFICADO"/>
    <s v="."/>
    <s v="ORGANIZADOR  DE 2KG CARAMELO"/>
    <s v="BASE ORGANIZADOR  DE 2KG CARAMELO-FUCSIA"/>
    <n v="60"/>
    <n v="1"/>
    <n v="3.6"/>
    <x v="1"/>
    <n v="0"/>
    <n v="1"/>
    <n v="959"/>
    <n v="20521"/>
    <s v="FUCSIA"/>
    <n v="0"/>
    <n v="0"/>
    <n v="0"/>
    <n v="3"/>
    <n v="3.6"/>
    <n v="50"/>
    <n v="72"/>
    <x v="0"/>
    <x v="0"/>
    <n v="1"/>
    <n v="2"/>
    <n v="10"/>
  </r>
  <r>
    <d v="2025-02-13T22:15:00"/>
    <s v="INYECTADO"/>
    <x v="10"/>
    <x v="2"/>
    <s v="FABIAN HERNANDEZ"/>
    <s v="VIRGEN"/>
    <s v="PP CLARIFICADO"/>
    <s v="."/>
    <s v="ORGANIZADOR  DE 2KG CARAMELO"/>
    <s v="BASE ORGANIZADOR  DE 2KG CARAMELO-AZUL"/>
    <n v="515"/>
    <n v="4"/>
    <n v="30.9"/>
    <x v="1"/>
    <n v="0"/>
    <n v="9"/>
    <n v="959"/>
    <n v="20521"/>
    <s v="AZUL"/>
    <n v="0"/>
    <n v="0"/>
    <n v="0"/>
    <n v="25.75"/>
    <n v="30.9"/>
    <n v="50"/>
    <n v="618"/>
    <x v="0"/>
    <x v="0"/>
    <n v="1"/>
    <n v="2"/>
    <n v="85.833333333333329"/>
  </r>
  <r>
    <d v="2025-02-13T22:15:00"/>
    <s v="INYECTADO"/>
    <x v="10"/>
    <x v="2"/>
    <s v="FABIAN HERNANDEZ"/>
    <s v="VIRGEN"/>
    <s v="PP CLARIFICADO"/>
    <s v="."/>
    <s v="ORGANIZADOR  DE 2KG CARAMELO"/>
    <s v="BASE ORGANIZADOR  DE 2KG CARAMELO-VERDE"/>
    <n v="641"/>
    <n v="6"/>
    <n v="38.5"/>
    <x v="1"/>
    <n v="0"/>
    <n v="10"/>
    <n v="959"/>
    <n v="20521"/>
    <s v="VERDE"/>
    <n v="0"/>
    <n v="0"/>
    <n v="0"/>
    <n v="32.049999999999997"/>
    <n v="38.5"/>
    <n v="50"/>
    <n v="770"/>
    <x v="0"/>
    <x v="0"/>
    <n v="1"/>
    <n v="2"/>
    <n v="106.83333333333333"/>
  </r>
  <r>
    <d v="2025-02-13T22:15:00"/>
    <s v="INYECTADO"/>
    <x v="10"/>
    <x v="18"/>
    <s v="ALGIMIRO CALDERAS"/>
    <s v="VIRGEN"/>
    <s v="PP CLARIFICADO"/>
    <s v="."/>
    <s v="ORGANIZADOR  DE 2KG CARAMELO"/>
    <s v="BASE ORGANIZADOR  DE 2KG CARAMELO-AZUL"/>
    <n v="180"/>
    <n v="3"/>
    <n v="10.8"/>
    <x v="0"/>
    <n v="0"/>
    <n v="3"/>
    <n v="959"/>
    <n v="20522"/>
    <s v="AZUL"/>
    <n v="4"/>
    <n v="0"/>
    <n v="0"/>
    <n v="9"/>
    <n v="10.8"/>
    <n v="50"/>
    <n v="216"/>
    <x v="0"/>
    <x v="0"/>
    <n v="2"/>
    <n v="2"/>
    <n v="30"/>
  </r>
  <r>
    <d v="2025-02-13T22:15:00"/>
    <s v="INYECTADO"/>
    <x v="10"/>
    <x v="18"/>
    <s v="ALGIMIRO CALDERAS"/>
    <s v="VIRGEN"/>
    <s v="PP CLARIFICADO"/>
    <s v="."/>
    <s v="ORGANIZADOR  DE 2KG CARAMELO"/>
    <s v="BASE ORGANIZADOR  DE 2KG CARAMELO-ROJO"/>
    <n v="521"/>
    <n v="5"/>
    <n v="31.3"/>
    <x v="0"/>
    <n v="0"/>
    <n v="9"/>
    <n v="959"/>
    <n v="20522"/>
    <s v="ROJO"/>
    <n v="2.9"/>
    <n v="0"/>
    <n v="0"/>
    <n v="26.05"/>
    <n v="31.3"/>
    <n v="50"/>
    <n v="626"/>
    <x v="0"/>
    <x v="0"/>
    <n v="2"/>
    <n v="2"/>
    <n v="86.833333333333329"/>
  </r>
  <r>
    <d v="2025-02-13T22:15:00"/>
    <s v="INYECTADO"/>
    <x v="10"/>
    <x v="19"/>
    <s v="JOSDER GONZALEZ"/>
    <s v="VIRGEN"/>
    <s v="PP CLARIFICADO"/>
    <s v="."/>
    <s v="ORGANIZADOR  DE 2KG CARAMELO"/>
    <s v="BASE ORGANIZADOR  DE 2KG CARAMELO-AMARILLO"/>
    <n v="674"/>
    <n v="6"/>
    <n v="38.1"/>
    <x v="0"/>
    <n v="0"/>
    <n v="11"/>
    <n v="959"/>
    <n v="20523"/>
    <s v="AMARILLO"/>
    <n v="6.5"/>
    <n v="0"/>
    <n v="0"/>
    <n v="33.700000000000003"/>
    <n v="38.1"/>
    <n v="50"/>
    <n v="762"/>
    <x v="0"/>
    <x v="0"/>
    <n v="2"/>
    <n v="2"/>
    <n v="112.33333333333333"/>
  </r>
  <r>
    <d v="2025-02-13T22:15:00"/>
    <s v="INYECTADO"/>
    <x v="10"/>
    <x v="19"/>
    <s v="JOSDER GONZALEZ"/>
    <s v="VIRGEN"/>
    <s v="PP CLARIFICADO"/>
    <s v="."/>
    <s v="ORGANIZADOR  DE 2KG CARAMELO"/>
    <s v="BASE ORGANIZADOR  DE 2KG CARAMELO-ROJO"/>
    <n v="40"/>
    <n v="1"/>
    <n v="2.2999999999999998"/>
    <x v="0"/>
    <n v="0"/>
    <n v="1"/>
    <n v="959"/>
    <n v="20523"/>
    <s v="ROJO"/>
    <n v="4.5999999999999996"/>
    <n v="0"/>
    <n v="0"/>
    <n v="2"/>
    <n v="2.2999999999999998"/>
    <n v="50"/>
    <n v="46"/>
    <x v="0"/>
    <x v="0"/>
    <n v="2"/>
    <n v="2"/>
    <n v="6.666666666666667"/>
  </r>
  <r>
    <d v="2025-02-13T22:15:00"/>
    <s v="INYECTADO"/>
    <x v="10"/>
    <x v="19"/>
    <s v="WALTER GUEVARA"/>
    <s v="VIRGEN"/>
    <s v="PP CLARIFICADO"/>
    <s v="."/>
    <s v="ORGANIZADOR  DE 2KG CARAMELO"/>
    <s v="BASE ORGANIZADOR  DE 2KG CARAMELO-AMARILLO"/>
    <n v="120"/>
    <n v="1"/>
    <n v="7"/>
    <x v="0"/>
    <n v="0"/>
    <n v="2"/>
    <n v="959"/>
    <n v="20524"/>
    <s v="AMARILLO"/>
    <n v="1"/>
    <n v="0"/>
    <n v="0"/>
    <n v="6"/>
    <n v="7"/>
    <n v="50"/>
    <n v="140"/>
    <x v="0"/>
    <x v="0"/>
    <n v="2"/>
    <n v="2"/>
    <n v="20"/>
  </r>
  <r>
    <d v="2025-02-13T22:15:00"/>
    <s v="INYECTADO"/>
    <x v="10"/>
    <x v="19"/>
    <s v="WALTER GUEVARA"/>
    <s v="VIRGEN"/>
    <s v="PP CLARIFICADO"/>
    <s v="."/>
    <s v="ORGANIZADOR  DE 2KG PASTEL"/>
    <s v="BASE ORGANIZADOR  DE 2KG PASTEL-TURQUESA"/>
    <n v="783"/>
    <n v="7"/>
    <n v="45.7"/>
    <x v="0"/>
    <n v="0"/>
    <n v="13"/>
    <n v="962"/>
    <n v="20524"/>
    <s v="TURQUESA"/>
    <n v="4.5999999999999996"/>
    <n v="0"/>
    <n v="0"/>
    <n v="39.15"/>
    <n v="45.7"/>
    <n v="50"/>
    <n v="914"/>
    <x v="0"/>
    <x v="0"/>
    <n v="2"/>
    <n v="2"/>
    <n v="130.5"/>
  </r>
  <r>
    <d v="2025-02-13T22:15:00"/>
    <s v="INYECTADO"/>
    <x v="10"/>
    <x v="19"/>
    <s v="WALTER GUEVARA"/>
    <s v="VIRGEN"/>
    <s v="PP CLARIFICADO"/>
    <s v="."/>
    <s v="ORGANIZADOR  DE 2KG PASTEL"/>
    <s v="BASE ORGANIZADOR  DE 2KG PASTEL-CELESTE"/>
    <n v="554"/>
    <n v="5"/>
    <n v="32.299999999999997"/>
    <x v="0"/>
    <n v="0"/>
    <n v="9"/>
    <n v="962"/>
    <n v="20524"/>
    <s v="CELESTE"/>
    <n v="3.5"/>
    <n v="0"/>
    <n v="0"/>
    <n v="27.7"/>
    <n v="32.299999999999997"/>
    <n v="50"/>
    <n v="645.99999999999989"/>
    <x v="0"/>
    <x v="0"/>
    <n v="2"/>
    <n v="2"/>
    <n v="92.333333333333329"/>
  </r>
  <r>
    <d v="2025-02-13T22:15:00"/>
    <s v="INYECTADO"/>
    <x v="10"/>
    <x v="20"/>
    <s v="JUAN CARLOS CEDENO"/>
    <s v="VIRGEN"/>
    <s v="PP CLARIFICADO"/>
    <s v="."/>
    <s v="ORGANIZADOR  DE 2KG PASTEL"/>
    <s v="BASE ORGANIZADOR  DE 2KG PASTEL-CELESTE"/>
    <n v="143"/>
    <n v="2"/>
    <n v="8.3000000000000007"/>
    <x v="0"/>
    <n v="0"/>
    <n v="3"/>
    <n v="962"/>
    <n v="20525"/>
    <s v="CELESTE"/>
    <n v="2.1"/>
    <n v="0"/>
    <n v="0"/>
    <n v="7.15"/>
    <n v="8.3000000000000007"/>
    <n v="50"/>
    <n v="166"/>
    <x v="0"/>
    <x v="0"/>
    <n v="2"/>
    <n v="2"/>
    <n v="23.833333333333332"/>
  </r>
  <r>
    <d v="2025-02-13T22:15:00"/>
    <s v="INYECTADO"/>
    <x v="10"/>
    <x v="20"/>
    <s v="JUAN CARLOS CEDENO"/>
    <s v="VIRGEN"/>
    <s v="PP CLARIFICADO"/>
    <s v="."/>
    <s v="ORGANIZADOR  DE 2KG PASTEL"/>
    <s v="BASE ORGANIZADOR  DE 2KG PASTEL-AZURE"/>
    <n v="1012"/>
    <n v="7"/>
    <n v="58.7"/>
    <x v="0"/>
    <n v="0"/>
    <n v="17"/>
    <n v="962"/>
    <n v="20525"/>
    <s v="AZURE"/>
    <n v="8.6"/>
    <n v="0"/>
    <n v="0"/>
    <n v="50.6"/>
    <n v="58.7"/>
    <n v="50"/>
    <n v="1174"/>
    <x v="0"/>
    <x v="0"/>
    <n v="2"/>
    <n v="2"/>
    <n v="168.66666666666666"/>
  </r>
  <r>
    <d v="2025-02-13T22:15:00"/>
    <s v="INYECTADO"/>
    <x v="10"/>
    <x v="20"/>
    <s v="JUAN CARLOS CEDENO"/>
    <s v="VIRGEN"/>
    <s v="PP CLARIFICADO"/>
    <s v="."/>
    <s v="ORGANIZADOR  DE 2KG PASTEL"/>
    <s v="BASE ORGANIZADOR  DE 2KG PASTEL-SANDIA"/>
    <n v="60"/>
    <n v="1"/>
    <n v="3.5"/>
    <x v="0"/>
    <n v="0"/>
    <n v="1"/>
    <n v="962"/>
    <n v="20525"/>
    <s v="SANDIA"/>
    <n v="5.2"/>
    <n v="0"/>
    <n v="0"/>
    <n v="3"/>
    <n v="3.5"/>
    <n v="50"/>
    <n v="70"/>
    <x v="0"/>
    <x v="0"/>
    <n v="2"/>
    <n v="2"/>
    <n v="10"/>
  </r>
  <r>
    <d v="2025-02-13T22:15:00"/>
    <s v="INYECTADO"/>
    <x v="10"/>
    <x v="20"/>
    <s v="JUAN MANUEL PEREZ"/>
    <s v="VIRGEN"/>
    <s v="PP CLARIFICADO"/>
    <s v="."/>
    <s v="ORGANIZADOR  DE 2KG PASTEL"/>
    <s v="BASE ORGANIZADOR  DE 2KG PASTEL-SANDIA"/>
    <n v="470"/>
    <n v="5"/>
    <n v="28.2"/>
    <x v="0"/>
    <n v="0"/>
    <n v="8"/>
    <n v="962"/>
    <n v="20526"/>
    <s v="SANDIA"/>
    <n v="13.4"/>
    <n v="0"/>
    <n v="0"/>
    <n v="23.5"/>
    <n v="28.2"/>
    <n v="50"/>
    <n v="564"/>
    <x v="0"/>
    <x v="0"/>
    <n v="2"/>
    <n v="2"/>
    <n v="78.333333333333329"/>
  </r>
  <r>
    <d v="2025-02-13T22:15:00"/>
    <s v="INYECTADO"/>
    <x v="10"/>
    <x v="20"/>
    <s v="JUAN MANUEL PEREZ"/>
    <s v="VIRGEN"/>
    <s v="PP CLARIFICADO"/>
    <s v="."/>
    <s v="ORGANIZADOR  DE 2KG PASTEL"/>
    <s v="BASE ORGANIZADOR  DE 2KG PASTEL-ROSADO"/>
    <n v="720"/>
    <n v="8"/>
    <n v="43.2"/>
    <x v="0"/>
    <n v="0"/>
    <n v="12"/>
    <n v="962"/>
    <n v="20526"/>
    <s v="ROSADO"/>
    <n v="6.2"/>
    <n v="0"/>
    <n v="0"/>
    <n v="36"/>
    <n v="43.2"/>
    <n v="50"/>
    <n v="864"/>
    <x v="0"/>
    <x v="0"/>
    <n v="2"/>
    <n v="2"/>
    <n v="120"/>
  </r>
  <r>
    <d v="2025-02-13T22:15:00"/>
    <s v="INYECTADO"/>
    <x v="10"/>
    <x v="21"/>
    <s v="JOSDER GONZALEZ"/>
    <s v="VIRGEN"/>
    <s v="PP CLARIFICADO"/>
    <s v="."/>
    <s v="ORGANIZADOR  DE 2KG PASTEL"/>
    <s v="BASE ORGANIZADOR  DE 2KG PASTEL-LILA"/>
    <n v="1468"/>
    <n v="12"/>
    <n v="85.2"/>
    <x v="0"/>
    <n v="0"/>
    <n v="22"/>
    <n v="962"/>
    <n v="20527"/>
    <s v="LILA"/>
    <n v="6.4"/>
    <n v="0"/>
    <n v="0"/>
    <n v="73.400000000000006"/>
    <n v="85.2"/>
    <n v="50"/>
    <n v="1704"/>
    <x v="0"/>
    <x v="0"/>
    <n v="2"/>
    <n v="2"/>
    <n v="244.66666666666666"/>
  </r>
  <r>
    <d v="2025-02-13T22:15:00"/>
    <s v="INYECTADO"/>
    <x v="10"/>
    <x v="21"/>
    <s v="WALTER GUEVARA"/>
    <s v="VIRGEN"/>
    <s v="PP CLARIFICADO"/>
    <s v="."/>
    <s v="ORGANIZADOR  DE 2KG PASTEL"/>
    <s v="BASE ORGANIZADOR  DE 2KG PASTEL-LILA"/>
    <n v="591"/>
    <n v="5"/>
    <n v="35.5"/>
    <x v="0"/>
    <n v="0"/>
    <n v="13"/>
    <n v="962"/>
    <n v="20528"/>
    <s v="LILA"/>
    <n v="3.9"/>
    <n v="0"/>
    <n v="0"/>
    <n v="29.55"/>
    <n v="35.5"/>
    <n v="50"/>
    <n v="710"/>
    <x v="0"/>
    <x v="0"/>
    <n v="2"/>
    <n v="2"/>
    <n v="98.5"/>
  </r>
  <r>
    <d v="2025-02-13T22:15:00"/>
    <s v="INYECTADO"/>
    <x v="10"/>
    <x v="21"/>
    <s v="WALTER GUEVARA"/>
    <s v="VIRGEN"/>
    <s v="PP CLARIFICADO"/>
    <s v="."/>
    <s v="ORGANIZADOR  DE 2KG PASTEL"/>
    <s v="BASE ORGANIZADOR  DE 2KG PASTEL-ROSADO"/>
    <n v="766"/>
    <n v="7"/>
    <n v="46"/>
    <x v="0"/>
    <n v="0"/>
    <n v="10"/>
    <n v="962"/>
    <n v="20528"/>
    <s v="ROSADO"/>
    <n v="4.7"/>
    <n v="0"/>
    <n v="0"/>
    <n v="38.299999999999997"/>
    <n v="46"/>
    <n v="50"/>
    <n v="920"/>
    <x v="0"/>
    <x v="0"/>
    <n v="2"/>
    <n v="2"/>
    <n v="127.66666666666667"/>
  </r>
  <r>
    <d v="2025-02-13T22:15:00"/>
    <s v="INYECTADO"/>
    <x v="10"/>
    <x v="22"/>
    <s v="JUAN CARLOS CEDENO"/>
    <s v="VIRGEN"/>
    <s v="PP CLARIFICADO"/>
    <s v="."/>
    <s v="ORGANIZADOR  DE 2KG PASTEL"/>
    <s v="BASE ORGANIZADOR  DE 2KG PASTEL-ROSADO"/>
    <n v="476"/>
    <n v="5"/>
    <n v="28.6"/>
    <x v="0"/>
    <n v="0"/>
    <n v="8"/>
    <n v="962"/>
    <n v="20529"/>
    <s v="ROSADO"/>
    <n v="9.1999999999999993"/>
    <n v="0"/>
    <n v="0"/>
    <n v="23.8"/>
    <n v="28.6"/>
    <n v="50"/>
    <n v="572"/>
    <x v="0"/>
    <x v="0"/>
    <n v="2"/>
    <n v="2"/>
    <n v="79.333333333333329"/>
  </r>
  <r>
    <d v="2025-02-13T22:15:00"/>
    <s v="INYECTADO"/>
    <x v="10"/>
    <x v="22"/>
    <s v="JUAN CARLOS CEDENO"/>
    <s v="VIRGEN"/>
    <s v="PP CLARIFICADO"/>
    <s v="."/>
    <s v="ORGANIZADOR  DE 2KG PASTEL"/>
    <s v="BASE ORGANIZADOR  DE 2KG PASTEL-CELESTE"/>
    <n v="970"/>
    <n v="6"/>
    <n v="56.3"/>
    <x v="0"/>
    <n v="0"/>
    <n v="16"/>
    <n v="962"/>
    <n v="20529"/>
    <s v="CELESTE"/>
    <n v="3.8"/>
    <n v="0"/>
    <n v="0"/>
    <n v="48.5"/>
    <n v="56.3"/>
    <n v="50"/>
    <n v="1126"/>
    <x v="0"/>
    <x v="0"/>
    <n v="2"/>
    <n v="2"/>
    <n v="161.66666666666666"/>
  </r>
  <r>
    <d v="2025-02-13T22:15:00"/>
    <s v="INYECTADO"/>
    <x v="10"/>
    <x v="22"/>
    <s v="JUAN MANUEL PEREZ"/>
    <s v="VIRGEN"/>
    <s v="PP CLARIFICADO"/>
    <s v="."/>
    <s v="ORGANIZADOR  DE 2KG PASTEL"/>
    <s v="BASE ORGANIZADOR  DE 2KG PASTEL-CELESTE"/>
    <n v="540"/>
    <n v="4"/>
    <n v="31.5"/>
    <x v="0"/>
    <n v="0"/>
    <n v="10"/>
    <n v="962"/>
    <n v="20530"/>
    <s v="CELESTE"/>
    <n v="5.0999999999999996"/>
    <n v="0"/>
    <n v="0"/>
    <n v="27"/>
    <n v="31.5"/>
    <n v="50"/>
    <n v="630"/>
    <x v="0"/>
    <x v="0"/>
    <n v="2"/>
    <n v="2"/>
    <n v="90"/>
  </r>
  <r>
    <d v="2025-02-13T22:15:00"/>
    <s v="INYECTADO"/>
    <x v="10"/>
    <x v="22"/>
    <s v="JUAN MANUEL PEREZ"/>
    <s v="VIRGEN"/>
    <s v="PP CLARIFICADO"/>
    <s v="."/>
    <s v="ORGANIZADOR  DE 2KG PASTEL"/>
    <s v="BASE ORGANIZADOR  DE 2KG PASTEL-TURQUESA"/>
    <n v="596"/>
    <n v="5"/>
    <n v="35.799999999999997"/>
    <x v="0"/>
    <n v="0"/>
    <n v="10"/>
    <n v="962"/>
    <n v="20530"/>
    <s v="TURQUESA"/>
    <n v="10.1"/>
    <n v="0"/>
    <n v="0"/>
    <n v="29.8"/>
    <n v="35.799999999999997"/>
    <n v="50"/>
    <n v="716"/>
    <x v="0"/>
    <x v="0"/>
    <n v="2"/>
    <n v="2"/>
    <n v="99.333333333333329"/>
  </r>
  <r>
    <d v="2025-02-13T22:15:00"/>
    <s v="INYECTADO"/>
    <x v="10"/>
    <x v="4"/>
    <s v="JUAN CARLOS CEDENO"/>
    <s v="VIRGEN"/>
    <s v="PP CLARIFICADO"/>
    <s v="."/>
    <s v="ORGANIZADOR  DE 2KG PASTEL"/>
    <s v="BASE ORGANIZADOR  DE 2KG PASTEL-TURQUESA"/>
    <n v="122"/>
    <n v="2"/>
    <n v="7.1"/>
    <x v="0"/>
    <n v="0"/>
    <n v="2"/>
    <n v="962"/>
    <n v="20531"/>
    <s v="TURQUESA"/>
    <n v="2.7"/>
    <n v="0"/>
    <n v="0"/>
    <n v="6.1"/>
    <n v="7.1"/>
    <n v="50"/>
    <n v="142"/>
    <x v="0"/>
    <x v="0"/>
    <n v="2"/>
    <n v="2"/>
    <n v="20.333333333333332"/>
  </r>
  <r>
    <d v="2025-02-13T22:15:00"/>
    <s v="INYECTADO"/>
    <x v="10"/>
    <x v="4"/>
    <s v="JUAN CARLOS CEDENO"/>
    <s v="VIRGEN"/>
    <s v="PP CLARIFICADO"/>
    <s v="."/>
    <s v="ORGANIZADOR  DE 2KG PASTEL"/>
    <s v="BASE ORGANIZADOR  DE 2KG PASTEL-AZURE"/>
    <n v="1237"/>
    <n v="8"/>
    <n v="73"/>
    <x v="0"/>
    <n v="0"/>
    <n v="21"/>
    <n v="962"/>
    <n v="20531"/>
    <s v="AZURE"/>
    <n v="7.2"/>
    <n v="0"/>
    <n v="0"/>
    <n v="61.85"/>
    <n v="73"/>
    <n v="50"/>
    <n v="1460"/>
    <x v="0"/>
    <x v="0"/>
    <n v="2"/>
    <n v="2"/>
    <n v="206.16666666666666"/>
  </r>
  <r>
    <d v="2025-02-13T22:15:00"/>
    <s v="INYECTADO"/>
    <x v="10"/>
    <x v="4"/>
    <s v="JUAN MANUEL PEREZ"/>
    <s v="VIRGEN"/>
    <s v="PP CLARIFICADO"/>
    <s v="."/>
    <s v="ORGANIZADOR  DE 2KG PASTEL"/>
    <s v="BASE ORGANIZADOR  DE 2KG PASTEL-AZURE"/>
    <n v="20"/>
    <n v="1"/>
    <n v="1.2"/>
    <x v="0"/>
    <n v="0"/>
    <n v="1"/>
    <n v="962"/>
    <n v="20532"/>
    <s v="AZURE"/>
    <n v="0"/>
    <n v="0"/>
    <n v="0"/>
    <n v="1"/>
    <n v="1.2"/>
    <n v="50"/>
    <n v="24"/>
    <x v="0"/>
    <x v="0"/>
    <n v="2"/>
    <n v="2"/>
    <n v="3.3333333333333335"/>
  </r>
  <r>
    <d v="2025-02-13T22:15:00"/>
    <s v="INYECTADO"/>
    <x v="10"/>
    <x v="4"/>
    <s v="JUAN MANUEL PEREZ"/>
    <s v="VIRGEN"/>
    <s v="PP CLARIFICADO"/>
    <s v="."/>
    <s v="ORGANIZADOR  DE 2KG PASTEL"/>
    <s v="BASE ORGANIZADOR  DE 2KG PASTEL-SANDIA"/>
    <n v="558"/>
    <n v="4"/>
    <n v="32.9"/>
    <x v="0"/>
    <n v="0"/>
    <n v="10"/>
    <n v="962"/>
    <n v="20532"/>
    <s v="SANDIA"/>
    <n v="0"/>
    <n v="0"/>
    <n v="0"/>
    <n v="27.9"/>
    <n v="32.9"/>
    <n v="50"/>
    <n v="658"/>
    <x v="0"/>
    <x v="0"/>
    <n v="2"/>
    <n v="2"/>
    <n v="93"/>
  </r>
  <r>
    <d v="2025-02-13T22:15:00"/>
    <s v="INYECTADO"/>
    <x v="10"/>
    <x v="28"/>
    <s v="DAIMARY LINAREZ"/>
    <s v="VIRGEN"/>
    <s v="PP CLARIFICADO"/>
    <s v="."/>
    <s v="ORGANIZADOR  DE 2KG PASTEL"/>
    <s v="BASE ORGANIZADOR  DE 2KG PASTEL-SANDIA"/>
    <n v="776"/>
    <n v="7"/>
    <n v="46.6"/>
    <x v="0"/>
    <n v="0"/>
    <n v="13"/>
    <n v="962"/>
    <n v="20533"/>
    <s v="SANDIA"/>
    <n v="9.1999999999999993"/>
    <n v="0"/>
    <n v="0"/>
    <n v="38.799999999999997"/>
    <n v="46.6"/>
    <n v="50"/>
    <n v="932"/>
    <x v="0"/>
    <x v="0"/>
    <n v="2"/>
    <n v="2"/>
    <n v="129.33333333333334"/>
  </r>
  <r>
    <d v="2025-02-14T22:15:00"/>
    <s v="INYECTADO"/>
    <x v="10"/>
    <x v="28"/>
    <s v="DAIMARY LINAREZ"/>
    <s v="VIRGEN"/>
    <s v="PP CLARIFICADO"/>
    <s v="."/>
    <s v="ORGANIZADOR  DE 2KG"/>
    <s v="BASE ORGANIZADOR  DE 2KG-TRANSPARENTE"/>
    <n v="150"/>
    <n v="2"/>
    <n v="9"/>
    <x v="2"/>
    <m/>
    <n v="3"/>
    <n v="967"/>
    <n v="20533"/>
    <s v="TRANSPARENTE"/>
    <n v="0"/>
    <n v="0"/>
    <n v="0"/>
    <n v="7.5"/>
    <n v="9"/>
    <n v="50"/>
    <n v="180"/>
    <x v="0"/>
    <x v="0"/>
    <n v="2"/>
    <n v="2"/>
    <n v="25"/>
  </r>
  <r>
    <d v="2025-02-14T22:15:00"/>
    <s v="INYECTADO"/>
    <x v="10"/>
    <x v="28"/>
    <s v="JUAN MANUEL PEREZ"/>
    <s v="VIRGEN"/>
    <s v="PP CLARIFICADO"/>
    <s v="."/>
    <s v="ORGANIZADOR  DE 2KG"/>
    <s v="BASE ORGANIZADOR  DE 2KG-TRANSPARENTE"/>
    <n v="541"/>
    <n v="5"/>
    <n v="32.4"/>
    <x v="2"/>
    <m/>
    <n v="9"/>
    <n v="967"/>
    <n v="20534"/>
    <s v="TRANSPARENTE"/>
    <n v="0"/>
    <n v="0"/>
    <n v="0"/>
    <n v="27.05"/>
    <n v="32.4"/>
    <n v="50"/>
    <n v="648"/>
    <x v="0"/>
    <x v="0"/>
    <n v="2"/>
    <n v="2"/>
    <n v="90.166666666666671"/>
  </r>
  <r>
    <d v="2025-02-14T22:15:00"/>
    <s v="INYECTADO"/>
    <x v="10"/>
    <x v="5"/>
    <s v="JOSDER GONZALEZ"/>
    <s v="VIRGEN"/>
    <s v="PP CLARIFICADO"/>
    <s v="."/>
    <s v="ORGANIZADOR  DE 2KG"/>
    <s v="BASE ORGANIZADOR  DE 2KG-TRANSPARENTE"/>
    <n v="660"/>
    <n v="7"/>
    <n v="39.6"/>
    <x v="2"/>
    <m/>
    <n v="11"/>
    <n v="967"/>
    <n v="20535"/>
    <s v="TRANSPARENTE"/>
    <n v="9"/>
    <n v="0"/>
    <n v="0"/>
    <n v="33"/>
    <n v="39.6"/>
    <n v="50"/>
    <n v="792"/>
    <x v="0"/>
    <x v="0"/>
    <n v="3"/>
    <n v="2"/>
    <n v="110"/>
  </r>
  <r>
    <d v="2025-02-14T22:15:00"/>
    <s v="INYECTADO"/>
    <x v="10"/>
    <x v="5"/>
    <s v="JUAN MANUEL PEREZ"/>
    <s v="VIRGEN"/>
    <s v="PP CLARIFICADO"/>
    <s v="."/>
    <s v="ORGANIZADOR  DE 2KG"/>
    <s v="BASE ORGANIZADOR  DE 2KG-TRANSPARENTE"/>
    <n v="1273"/>
    <n v="12"/>
    <n v="76.400000000000006"/>
    <x v="2"/>
    <m/>
    <n v="12"/>
    <n v="967"/>
    <n v="20536"/>
    <s v="TRANSPARENTE"/>
    <n v="5.0999999999999996"/>
    <n v="0"/>
    <n v="0"/>
    <n v="63.65"/>
    <n v="76.400000000000006"/>
    <n v="50"/>
    <n v="1528"/>
    <x v="0"/>
    <x v="0"/>
    <n v="3"/>
    <n v="2"/>
    <n v="212.16666666666666"/>
  </r>
  <r>
    <d v="2025-02-14T22:15:00"/>
    <s v="INYECTADO"/>
    <x v="10"/>
    <x v="6"/>
    <s v="ALGIMIRO CALDERAS"/>
    <s v="VIRGEN"/>
    <s v="PP CLARIFICADO"/>
    <s v="."/>
    <s v="ORGANIZADOR  DE 2KG"/>
    <s v="BASE ORGANIZADOR  DE 2KG-TRANSPARENTE"/>
    <n v="1708"/>
    <n v="12"/>
    <n v="102.5"/>
    <x v="2"/>
    <m/>
    <n v="26"/>
    <n v="967"/>
    <n v="20537"/>
    <s v="TRANSPARENTE"/>
    <n v="0.9"/>
    <n v="0"/>
    <n v="0"/>
    <n v="85.4"/>
    <n v="102.5"/>
    <n v="50"/>
    <n v="2050"/>
    <x v="0"/>
    <x v="0"/>
    <n v="3"/>
    <n v="2"/>
    <n v="284.66666666666669"/>
  </r>
  <r>
    <d v="2025-02-14T22:15:00"/>
    <s v="INYECTADO"/>
    <x v="10"/>
    <x v="6"/>
    <s v="JUAN MANUEL PEREZ"/>
    <s v="VIRGEN"/>
    <s v="PP CLARIFICADO"/>
    <s v="."/>
    <s v="ORGANIZADOR  DE 2KG"/>
    <s v="BASE ORGANIZADOR  DE 2KG-TRANSPARENTE"/>
    <n v="1335"/>
    <n v="12"/>
    <n v="80.099999999999994"/>
    <x v="2"/>
    <m/>
    <n v="22"/>
    <n v="967"/>
    <n v="20538"/>
    <s v="TRANSPARENTE"/>
    <n v="3.1"/>
    <n v="0"/>
    <n v="0"/>
    <n v="66.75"/>
    <n v="80.099999999999994"/>
    <n v="50"/>
    <n v="1602"/>
    <x v="0"/>
    <x v="0"/>
    <n v="3"/>
    <n v="2"/>
    <n v="222.5"/>
  </r>
  <r>
    <d v="2025-02-14T22:15:00"/>
    <s v="INYECTADO"/>
    <x v="10"/>
    <x v="9"/>
    <s v="SAID VILLAMIZAR"/>
    <s v="VIRGEN"/>
    <s v="PP CLARIFICADO"/>
    <s v="."/>
    <s v="ORGANIZADOR  DE 2KG"/>
    <s v="BASE ORGANIZADOR  DE 2KG-TRANSPARENTE"/>
    <n v="1742"/>
    <n v="12"/>
    <n v="102.8"/>
    <x v="2"/>
    <m/>
    <n v="24"/>
    <n v="967"/>
    <n v="20539"/>
    <s v="TRANSPARENTE"/>
    <n v="0"/>
    <n v="0"/>
    <n v="0"/>
    <n v="87.1"/>
    <n v="102.8"/>
    <n v="50"/>
    <n v="2056"/>
    <x v="0"/>
    <x v="0"/>
    <n v="3"/>
    <n v="2"/>
    <n v="290.33333333333331"/>
  </r>
  <r>
    <d v="2025-02-14T22:15:00"/>
    <s v="INYECTADO"/>
    <x v="10"/>
    <x v="9"/>
    <s v="JUAN MANUEL PEREZ"/>
    <s v="VIRGEN"/>
    <s v="PP CLARIFICADO"/>
    <s v="."/>
    <s v="ORGANIZADOR  DE 2KG"/>
    <s v="BASE ORGANIZADOR  DE 2KG-TRANSPARENTE"/>
    <n v="1369"/>
    <n v="12"/>
    <n v="80.8"/>
    <x v="2"/>
    <m/>
    <n v="17"/>
    <n v="967"/>
    <n v="20540"/>
    <s v="TRANSPARENTE"/>
    <n v="2.1"/>
    <n v="0"/>
    <n v="0"/>
    <n v="68.45"/>
    <n v="80.8"/>
    <n v="50"/>
    <n v="1616"/>
    <x v="0"/>
    <x v="0"/>
    <n v="3"/>
    <n v="2"/>
    <n v="228.16666666666666"/>
  </r>
  <r>
    <d v="2025-02-14T22:15:00"/>
    <s v="INYECTADO"/>
    <x v="10"/>
    <x v="10"/>
    <s v="JOSDER GONZALEZ"/>
    <s v="VIRGEN"/>
    <s v="PP CLARIFICADO"/>
    <s v="."/>
    <s v="ORGANIZADOR  DE 2KG"/>
    <s v="BASE ORGANIZADOR  DE 2KG-TRANSPARENTE"/>
    <n v="572"/>
    <n v="4"/>
    <n v="33.200000000000003"/>
    <x v="2"/>
    <m/>
    <n v="8"/>
    <n v="967"/>
    <n v="20541"/>
    <s v="TRANSPARENTE"/>
    <n v="0"/>
    <n v="0"/>
    <n v="0"/>
    <n v="28.6"/>
    <n v="33.200000000000003"/>
    <n v="50"/>
    <n v="664"/>
    <x v="0"/>
    <x v="0"/>
    <n v="3"/>
    <n v="2"/>
    <n v="95.333333333333329"/>
  </r>
  <r>
    <d v="2025-02-13T22:15:00"/>
    <s v="INYECTADO"/>
    <x v="10"/>
    <x v="10"/>
    <s v="JOSDER GONZALEZ"/>
    <s v="VIRGEN"/>
    <s v="PP CLARIFICADO"/>
    <s v="."/>
    <s v="ORGANIZADOR  DE 2KG CARAMELO"/>
    <s v="BASE ORGANIZADOR  DE 2KG CARAMELO-AMARILLO"/>
    <n v="825"/>
    <n v="7"/>
    <n v="47.9"/>
    <x v="0"/>
    <n v="0"/>
    <n v="11"/>
    <n v="937"/>
    <n v="20541"/>
    <s v="AMARILLO"/>
    <n v="4.3"/>
    <n v="0"/>
    <n v="0"/>
    <n v="41.25"/>
    <n v="47.9"/>
    <n v="50"/>
    <n v="958"/>
    <x v="0"/>
    <x v="0"/>
    <n v="3"/>
    <n v="2"/>
    <n v="137.5"/>
  </r>
  <r>
    <d v="2025-02-13T22:15:00"/>
    <s v="INYECTADO"/>
    <x v="10"/>
    <x v="10"/>
    <s v="JOSDER GONZALEZ"/>
    <s v="VIRGEN"/>
    <s v="PP CLARIFICADO"/>
    <s v="."/>
    <s v="ORGANIZADOR  DE 2KG CARAMELO"/>
    <s v="BASE ORGANIZADOR  DE 2KG CARAMELO-VERDE"/>
    <n v="139"/>
    <n v="1"/>
    <n v="8.1"/>
    <x v="0"/>
    <n v="0"/>
    <n v="2"/>
    <n v="937"/>
    <n v="20541"/>
    <s v="VERDE"/>
    <n v="1.1000000000000001"/>
    <n v="0"/>
    <n v="0"/>
    <n v="6.95"/>
    <n v="8.1"/>
    <n v="50"/>
    <n v="162"/>
    <x v="0"/>
    <x v="0"/>
    <n v="3"/>
    <n v="2"/>
    <n v="23.166666666666668"/>
  </r>
  <r>
    <d v="2025-02-13T22:15:00"/>
    <s v="INYECTADO"/>
    <x v="10"/>
    <x v="10"/>
    <s v="WALTER GUEVARA"/>
    <s v="VIRGEN"/>
    <s v="PP CLARIFICADO"/>
    <s v="."/>
    <s v="ORGANIZADOR  DE 2KG CARAMELO"/>
    <s v="BASE ORGANIZADOR  DE 2KG CARAMELO-VERDE"/>
    <n v="751"/>
    <n v="7"/>
    <n v="43.8"/>
    <x v="0"/>
    <n v="0"/>
    <n v="13"/>
    <n v="937"/>
    <n v="20542"/>
    <s v="VERDE"/>
    <n v="4.3"/>
    <n v="0"/>
    <n v="0"/>
    <n v="37.549999999999997"/>
    <n v="43.8"/>
    <n v="50"/>
    <n v="876"/>
    <x v="0"/>
    <x v="0"/>
    <n v="3"/>
    <n v="2"/>
    <n v="125.16666666666667"/>
  </r>
  <r>
    <d v="2025-02-13T22:15:00"/>
    <s v="INYECTADO"/>
    <x v="10"/>
    <x v="10"/>
    <s v="WALTER GUEVARA"/>
    <s v="VIRGEN"/>
    <s v="PP CLARIFICADO"/>
    <s v="."/>
    <s v="ORGANIZADOR  DE 2KG CARAMELO"/>
    <s v="BASE ORGANIZADOR  DE 2KG CARAMELO-LILA"/>
    <n v="716"/>
    <n v="6"/>
    <n v="41.8"/>
    <x v="0"/>
    <n v="0"/>
    <n v="12"/>
    <n v="937"/>
    <n v="20542"/>
    <s v="LILA"/>
    <n v="1"/>
    <n v="0"/>
    <n v="0"/>
    <n v="35.799999999999997"/>
    <n v="41.8"/>
    <n v="50"/>
    <n v="836"/>
    <x v="0"/>
    <x v="0"/>
    <n v="3"/>
    <n v="2"/>
    <n v="119.33333333333333"/>
  </r>
  <r>
    <d v="2025-02-13T22:15:00"/>
    <s v="INYECTADO"/>
    <x v="10"/>
    <x v="11"/>
    <s v="ISABEL LINARIZ "/>
    <s v="VIRGEN"/>
    <s v="PP CLARIFICADO"/>
    <s v="."/>
    <s v="ORGANIZADOR  DE 2KG CARAMELO"/>
    <s v="BASE ORGANIZADOR  DE 2KG CARAMELO-LILA"/>
    <n v="118"/>
    <n v="1"/>
    <n v="6.9"/>
    <x v="0"/>
    <n v="0"/>
    <n v="1"/>
    <n v="937"/>
    <n v="20543"/>
    <s v="LILA"/>
    <n v="4.8"/>
    <n v="0"/>
    <n v="0"/>
    <n v="5.9"/>
    <n v="6.9"/>
    <n v="50"/>
    <n v="138"/>
    <x v="0"/>
    <x v="0"/>
    <n v="3"/>
    <n v="2"/>
    <n v="19.666666666666668"/>
  </r>
  <r>
    <d v="2025-02-13T22:15:00"/>
    <s v="INYECTADO"/>
    <x v="10"/>
    <x v="11"/>
    <s v="ISABEL LINARIZ "/>
    <s v="VIRGEN"/>
    <s v="PP CLARIFICADO"/>
    <s v="."/>
    <s v="ORGANIZADOR  DE 2KG CARAMELO"/>
    <s v="BASE ORGANIZADOR  DE 2KG CARAMELO-FUCSIA"/>
    <n v="692"/>
    <n v="5"/>
    <n v="40.4"/>
    <x v="0"/>
    <n v="0"/>
    <n v="5"/>
    <n v="937"/>
    <n v="20543"/>
    <s v="FUCSIA"/>
    <n v="1.3"/>
    <n v="0"/>
    <n v="0"/>
    <n v="34.6"/>
    <n v="40.4"/>
    <n v="50"/>
    <n v="808"/>
    <x v="0"/>
    <x v="0"/>
    <n v="3"/>
    <n v="2"/>
    <n v="115.33333333333333"/>
  </r>
  <r>
    <d v="2025-02-13T22:15:00"/>
    <s v="INYECTADO"/>
    <x v="10"/>
    <x v="11"/>
    <s v="WALTER GUEVARA"/>
    <s v="VIRGEN"/>
    <s v="PP CLARIFICADO"/>
    <s v="."/>
    <s v="ORGANIZADOR  DE 2KG CARAMELO"/>
    <s v="BASE ORGANIZADOR  DE 2KG CARAMELO-ROJO"/>
    <n v="870"/>
    <n v="8"/>
    <n v="52.1"/>
    <x v="0"/>
    <n v="0"/>
    <n v="15"/>
    <n v="937"/>
    <n v="20544"/>
    <s v="ROJO"/>
    <n v="4.5999999999999996"/>
    <n v="0"/>
    <n v="0"/>
    <n v="43.5"/>
    <n v="52.1"/>
    <n v="50"/>
    <n v="1042"/>
    <x v="0"/>
    <x v="0"/>
    <n v="3"/>
    <n v="2"/>
    <n v="145"/>
  </r>
  <r>
    <d v="2025-02-13T22:15:00"/>
    <s v="INYECTADO"/>
    <x v="10"/>
    <x v="11"/>
    <s v="WALTER GUEVARA"/>
    <s v="VIRGEN"/>
    <s v="PP CLARIFICADO"/>
    <s v="."/>
    <s v="ORGANIZADOR  DE 2KG CARAMELO"/>
    <s v="BASE ORGANIZADOR  DE 2KG CARAMELO-AZUL"/>
    <n v="270"/>
    <n v="2"/>
    <n v="15.5"/>
    <x v="0"/>
    <n v="0"/>
    <n v="3"/>
    <n v="937"/>
    <n v="20544"/>
    <s v="AZUL"/>
    <n v="1"/>
    <n v="0"/>
    <n v="0"/>
    <n v="13.5"/>
    <n v="15.5"/>
    <n v="50"/>
    <n v="310"/>
    <x v="0"/>
    <x v="0"/>
    <n v="3"/>
    <n v="2"/>
    <n v="45"/>
  </r>
  <r>
    <d v="2025-02-13T22:15:00"/>
    <s v="INYECTADO"/>
    <x v="10"/>
    <x v="11"/>
    <s v="WALTER GUEVARA"/>
    <s v="VIRGEN"/>
    <s v="PP CLARIFICADO"/>
    <s v="."/>
    <s v="ORGANIZADOR  DE 2KG CARAMELO"/>
    <s v="BASE ORGANIZADOR  DE 2KG CARAMELO-FUCSIA"/>
    <n v="182"/>
    <n v="2"/>
    <n v="10.6"/>
    <x v="0"/>
    <n v="0"/>
    <n v="3"/>
    <n v="937"/>
    <n v="20544"/>
    <s v="FUCSIA"/>
    <n v="6.2"/>
    <n v="0"/>
    <n v="0"/>
    <n v="9.1"/>
    <n v="10.6"/>
    <n v="50"/>
    <n v="212"/>
    <x v="0"/>
    <x v="0"/>
    <n v="3"/>
    <n v="2"/>
    <n v="30.333333333333332"/>
  </r>
  <r>
    <d v="2025-02-13T22:15:00"/>
    <s v="INYECTADO"/>
    <x v="10"/>
    <x v="23"/>
    <s v="JUAN CARLOS CEDENO"/>
    <s v="VIRGEN"/>
    <s v="PP CLARIFICADO"/>
    <s v="."/>
    <s v="ORGANIZADOR  DE 2KG CARAMELO"/>
    <s v="BASE ORGANIZADOR  DE 2KG CARAMELO-AZUL"/>
    <n v="662"/>
    <n v="5"/>
    <n v="38.6"/>
    <x v="0"/>
    <n v="0"/>
    <n v="5"/>
    <n v="937"/>
    <n v="20545"/>
    <s v="AZUL"/>
    <n v="0"/>
    <n v="0"/>
    <n v="0"/>
    <n v="33.1"/>
    <n v="38.6"/>
    <n v="50"/>
    <n v="772"/>
    <x v="0"/>
    <x v="0"/>
    <n v="3"/>
    <n v="2"/>
    <n v="110.33333333333333"/>
  </r>
  <r>
    <d v="2025-02-13T22:15:00"/>
    <s v="INYECTADO"/>
    <x v="10"/>
    <x v="27"/>
    <s v="DAIMARY LINAREZ"/>
    <s v="VIRGEN"/>
    <s v="PP CLARIFICADO"/>
    <s v="."/>
    <s v="TAPER ALEMAN 550ML PASTEL"/>
    <s v="TAPER 550ML PASTEL-AZURE"/>
    <n v="465"/>
    <n v="3"/>
    <n v="36.799999999999997"/>
    <x v="0"/>
    <n v="0"/>
    <n v="4"/>
    <n v="975"/>
    <n v="20546"/>
    <s v="AZURE"/>
    <n v="10.6"/>
    <n v="0"/>
    <n v="0"/>
    <n v="17.670000000000002"/>
    <n v="36.799999999999997"/>
    <n v="38"/>
    <n v="968.42105263157896"/>
    <x v="0"/>
    <x v="0"/>
    <n v="3"/>
    <n v="2"/>
    <n v="77.5"/>
  </r>
  <r>
    <d v="2025-02-13T22:15:00"/>
    <s v="INYECTADO"/>
    <x v="10"/>
    <x v="27"/>
    <s v="DAIMARY LINAREZ"/>
    <s v="VIRGEN"/>
    <s v="PP CLARIFICADO"/>
    <s v="."/>
    <s v="TAPER ALEMAN 550ML PASTEL"/>
    <s v="TAPER 550ML PASTEL-SANDIA"/>
    <n v="441"/>
    <n v="4"/>
    <n v="38.9"/>
    <x v="0"/>
    <n v="0"/>
    <n v="4"/>
    <n v="975"/>
    <n v="20546"/>
    <s v="SANDIA"/>
    <n v="4.2"/>
    <n v="0"/>
    <n v="0"/>
    <n v="16.757999999999999"/>
    <n v="38.9"/>
    <n v="38"/>
    <n v="1023.6842105263158"/>
    <x v="0"/>
    <x v="0"/>
    <n v="3"/>
    <n v="2"/>
    <n v="73.5"/>
  </r>
  <r>
    <d v="2025-02-13T22:15:00"/>
    <s v="INYECTADO"/>
    <x v="10"/>
    <x v="12"/>
    <s v="LUIS PINEDO"/>
    <s v="VIRGEN"/>
    <s v="PP CLARIFICADO"/>
    <s v="."/>
    <s v="TAPER ALEMAN 550ML PASTEL"/>
    <s v="TAPER 550ML PASTEL-SANDIA"/>
    <n v="125"/>
    <n v="1"/>
    <n v="9.6999999999999993"/>
    <x v="0"/>
    <n v="0"/>
    <n v="1"/>
    <n v="975"/>
    <n v="20548"/>
    <s v="SANDIA"/>
    <n v="1.7"/>
    <n v="0"/>
    <n v="0"/>
    <n v="4.75"/>
    <n v="9.6999999999999993"/>
    <n v="38"/>
    <n v="255.26315789473685"/>
    <x v="0"/>
    <x v="0"/>
    <n v="4"/>
    <n v="2"/>
    <n v="20.833333333333332"/>
  </r>
  <r>
    <d v="2025-02-13T22:15:00"/>
    <s v="INYECTADO"/>
    <x v="10"/>
    <x v="12"/>
    <s v="LUIS PINEDO"/>
    <s v="VIRGEN"/>
    <s v="PP CLARIFICADO"/>
    <s v="."/>
    <s v="TAPER ALEMAN 550ML PASTEL"/>
    <s v="TAPER 550ML PASTEL-ROSADO"/>
    <n v="434"/>
    <n v="4"/>
    <n v="33.1"/>
    <x v="0"/>
    <n v="0"/>
    <n v="4"/>
    <n v="975"/>
    <n v="20548"/>
    <s v="ROSADO"/>
    <n v="10.199999999999999"/>
    <n v="0"/>
    <n v="0"/>
    <n v="16.492000000000001"/>
    <n v="33.1"/>
    <n v="38"/>
    <n v="871.0526315789474"/>
    <x v="0"/>
    <x v="0"/>
    <n v="4"/>
    <n v="2"/>
    <n v="72.333333333333329"/>
  </r>
  <r>
    <d v="2025-02-13T22:15:00"/>
    <s v="INYECTADO"/>
    <x v="10"/>
    <x v="12"/>
    <s v="FABIAN HERNANDEZ"/>
    <s v="VIRGEN"/>
    <s v="PP CLARIFICADO"/>
    <s v="."/>
    <s v="TAPER ALEMAN 550ML PASTEL"/>
    <s v="TAPER 550ML PASTEL-CELESTE"/>
    <n v="623"/>
    <n v="3"/>
    <n v="48"/>
    <x v="0"/>
    <n v="0"/>
    <n v="6"/>
    <n v="975"/>
    <n v="20549"/>
    <s v="CELESTE"/>
    <n v="8.3000000000000007"/>
    <n v="0"/>
    <n v="0"/>
    <n v="23.673999999999999"/>
    <n v="48"/>
    <n v="38"/>
    <n v="1263.1578947368421"/>
    <x v="0"/>
    <x v="0"/>
    <n v="4"/>
    <n v="2"/>
    <n v="103.83333333333333"/>
  </r>
  <r>
    <d v="2025-02-13T22:15:00"/>
    <s v="INYECTADO"/>
    <x v="10"/>
    <x v="12"/>
    <s v="FABIAN HERNANDEZ"/>
    <s v="VIRGEN"/>
    <s v="PP CLARIFICADO"/>
    <s v="."/>
    <s v="TAPER ALEMAN 550ML PASTEL"/>
    <s v="TAPER 550ML PASTEL-LILA"/>
    <n v="550"/>
    <n v="3"/>
    <n v="42.2"/>
    <x v="0"/>
    <n v="0"/>
    <n v="5"/>
    <n v="975"/>
    <n v="20549"/>
    <s v="LILA"/>
    <n v="8.6"/>
    <n v="0"/>
    <n v="0"/>
    <n v="20.9"/>
    <n v="42.2"/>
    <n v="38"/>
    <n v="1110.5263157894738"/>
    <x v="0"/>
    <x v="0"/>
    <n v="4"/>
    <n v="2"/>
    <n v="91.666666666666671"/>
  </r>
  <r>
    <d v="2025-02-13T22:15:00"/>
    <s v="INYECTADO"/>
    <x v="10"/>
    <x v="12"/>
    <s v="FABIAN HERNANDEZ"/>
    <s v="VIRGEN"/>
    <s v="PP CLARIFICADO"/>
    <s v="."/>
    <s v="TAPER ALEMAN 550ML PASTEL"/>
    <s v="TAPER 550ML PASTEL-ROSADO"/>
    <n v="147"/>
    <n v="2"/>
    <n v="11.2"/>
    <x v="0"/>
    <n v="0"/>
    <n v="2"/>
    <n v="975"/>
    <n v="20549"/>
    <s v="ROSADO"/>
    <n v="7.6"/>
    <n v="0"/>
    <n v="0"/>
    <n v="5.5860000000000003"/>
    <n v="11.2"/>
    <n v="38"/>
    <n v="294.73684210526318"/>
    <x v="0"/>
    <x v="0"/>
    <n v="4"/>
    <n v="2"/>
    <n v="24.5"/>
  </r>
  <r>
    <d v="2025-02-13T22:15:00"/>
    <s v="INYECTADO"/>
    <x v="10"/>
    <x v="12"/>
    <s v="FABIAN HERNANDEZ"/>
    <s v="VIRGEN"/>
    <s v="PP CLARIFICADO"/>
    <s v="."/>
    <s v="TAPER ALEMAN 550ML PASTEL"/>
    <s v="TAPER 550ML PASTEL-TURQUESA"/>
    <n v="80"/>
    <n v="2"/>
    <n v="6.1"/>
    <x v="0"/>
    <n v="0"/>
    <n v="1"/>
    <n v="975"/>
    <n v="20549"/>
    <s v="TURQUESA"/>
    <n v="3.2"/>
    <n v="0"/>
    <n v="0"/>
    <n v="3.04"/>
    <n v="6.1"/>
    <n v="38"/>
    <n v="160.52631578947367"/>
    <x v="0"/>
    <x v="0"/>
    <n v="4"/>
    <n v="2"/>
    <n v="13.333333333333334"/>
  </r>
  <r>
    <d v="2025-02-13T22:15:00"/>
    <s v="INYECTADO"/>
    <x v="10"/>
    <x v="13"/>
    <s v="GABRIEL REQUENA"/>
    <s v="VIRGEN"/>
    <s v="PP CLARIFICADO"/>
    <s v="."/>
    <s v="TAPER ALEMAN 550ML PASTEL"/>
    <s v="TAPER 550ML PASTEL-TURQUESA"/>
    <n v="976"/>
    <n v="8"/>
    <n v="75.7"/>
    <x v="0"/>
    <n v="0"/>
    <n v="8"/>
    <n v="975"/>
    <n v="20550"/>
    <s v="TURQUESA"/>
    <n v="11.1"/>
    <n v="0"/>
    <n v="0"/>
    <n v="37.088000000000001"/>
    <n v="75.7"/>
    <n v="38"/>
    <n v="1992.1052631578948"/>
    <x v="0"/>
    <x v="0"/>
    <n v="4"/>
    <n v="2"/>
    <n v="162.66666666666666"/>
  </r>
  <r>
    <d v="2025-02-13T22:15:00"/>
    <s v="INYECTADO"/>
    <x v="10"/>
    <x v="13"/>
    <s v="GABRIEL REQUENA"/>
    <s v="VIRGEN"/>
    <s v="PP CLARIFICADO"/>
    <s v="."/>
    <s v="TAPER ALEMAN 550ML PASTEL"/>
    <s v="TAPER 550ML PASTEL-AZURE"/>
    <n v="611"/>
    <n v="3"/>
    <n v="47.4"/>
    <x v="0"/>
    <n v="0"/>
    <n v="5"/>
    <n v="975"/>
    <n v="20550"/>
    <s v="AZURE"/>
    <n v="13.3"/>
    <n v="0"/>
    <n v="0"/>
    <n v="23.218"/>
    <n v="47.4"/>
    <n v="38"/>
    <n v="1247.3684210526317"/>
    <x v="0"/>
    <x v="0"/>
    <n v="4"/>
    <n v="2"/>
    <n v="101.83333333333333"/>
  </r>
  <r>
    <d v="2025-02-13T22:15:00"/>
    <s v="INYECTADO"/>
    <x v="10"/>
    <x v="13"/>
    <s v="PAUL MILLER"/>
    <s v="VIRGEN"/>
    <s v="PP CLARIFICADO"/>
    <s v="."/>
    <s v="TAPER ALEMAN 550ML PASTEL"/>
    <s v="TAPER 550ML PASTEL-SANDIA"/>
    <n v="604"/>
    <n v="5"/>
    <n v="46.3"/>
    <x v="0"/>
    <n v="0"/>
    <n v="5"/>
    <n v="975"/>
    <n v="20551"/>
    <s v="SANDIA"/>
    <n v="11"/>
    <n v="0"/>
    <n v="0"/>
    <n v="22.952000000000002"/>
    <n v="46.3"/>
    <n v="38"/>
    <n v="1218.421052631579"/>
    <x v="0"/>
    <x v="0"/>
    <n v="4"/>
    <n v="2"/>
    <n v="100.66666666666667"/>
  </r>
  <r>
    <d v="2025-02-13T22:15:00"/>
    <s v="INYECTADO"/>
    <x v="10"/>
    <x v="13"/>
    <s v="PAUL MILLER"/>
    <s v="VIRGEN"/>
    <s v="PP CLARIFICADO"/>
    <s v="."/>
    <s v="TAPER ALEMAN 550ML PASTEL"/>
    <s v="TAPER 550ML PASTEL-ROSADO"/>
    <n v="599"/>
    <n v="5"/>
    <n v="45.9"/>
    <x v="0"/>
    <n v="0"/>
    <n v="4"/>
    <n v="975"/>
    <n v="20551"/>
    <s v="ROSADO"/>
    <n v="5"/>
    <n v="0"/>
    <n v="0"/>
    <n v="22.762"/>
    <n v="45.9"/>
    <n v="38"/>
    <n v="1207.8947368421052"/>
    <x v="0"/>
    <x v="0"/>
    <n v="4"/>
    <n v="2"/>
    <n v="99.833333333333329"/>
  </r>
  <r>
    <d v="2025-02-13T22:15:00"/>
    <s v="INYECTADO"/>
    <x v="10"/>
    <x v="24"/>
    <s v="ISABEL LINARIZ "/>
    <s v="VIRGEN"/>
    <s v="PP CLARIFICADO"/>
    <s v="."/>
    <s v="TAPER ALEMAN 550ML PASTEL"/>
    <s v="TAPER 550ML PASTEL-LILA"/>
    <n v="705"/>
    <n v="5"/>
    <n v="54.7"/>
    <x v="0"/>
    <n v="0"/>
    <n v="6"/>
    <n v="975"/>
    <n v="20552"/>
    <s v="LILA"/>
    <n v="7"/>
    <n v="0"/>
    <n v="0"/>
    <n v="26.79"/>
    <n v="54.7"/>
    <n v="38"/>
    <n v="1439.4736842105262"/>
    <x v="0"/>
    <x v="0"/>
    <n v="4"/>
    <n v="2"/>
    <n v="117.5"/>
  </r>
  <r>
    <d v="2025-02-13T22:15:00"/>
    <s v="INYECTADO"/>
    <x v="10"/>
    <x v="24"/>
    <s v="ISABEL LINARIZ "/>
    <s v="VIRGEN"/>
    <s v="PP CLARIFICADO"/>
    <s v="."/>
    <s v="TAPER ALEMAN 550ML PASTEL"/>
    <s v="TAPER 550ML PASTEL-ROSADO"/>
    <n v="110"/>
    <n v="1"/>
    <n v="8.6"/>
    <x v="0"/>
    <n v="0"/>
    <n v="1"/>
    <n v="975"/>
    <n v="20552"/>
    <s v="ROSADO"/>
    <n v="3.4"/>
    <n v="0"/>
    <n v="0"/>
    <n v="4.18"/>
    <n v="8.6"/>
    <n v="38"/>
    <n v="226.31578947368422"/>
    <x v="0"/>
    <x v="0"/>
    <n v="4"/>
    <n v="2"/>
    <n v="18.333333333333332"/>
  </r>
  <r>
    <d v="2025-02-13T22:15:00"/>
    <s v="INYECTADO"/>
    <x v="10"/>
    <x v="24"/>
    <s v="ISABEL LINARIZ "/>
    <s v="VIRGEN"/>
    <s v="PP CLARIFICADO"/>
    <s v="."/>
    <s v="TAPER ALEMAN 550ML CARAMELO"/>
    <s v="TAPER 550ML CARAMELO-VERDE"/>
    <n v="732"/>
    <n v="6"/>
    <n v="56.8"/>
    <x v="0"/>
    <n v="0"/>
    <n v="6"/>
    <n v="979"/>
    <n v="20552"/>
    <s v="VERDE"/>
    <n v="2.9"/>
    <n v="0"/>
    <n v="0"/>
    <n v="27.815999999999999"/>
    <n v="56.8"/>
    <n v="38"/>
    <n v="1494.7368421052631"/>
    <x v="0"/>
    <x v="0"/>
    <n v="4"/>
    <n v="2"/>
    <n v="122"/>
  </r>
  <r>
    <d v="2025-02-13T22:15:00"/>
    <s v="INYECTADO"/>
    <x v="10"/>
    <x v="24"/>
    <s v="FABIAN HERNANDEZ"/>
    <s v="VIRGEN"/>
    <s v="PP CLARIFICADO"/>
    <s v="."/>
    <s v="TAPER ALEMAN 550ML CARAMELO"/>
    <s v="TAPER 550ML CARAMELO-VERDE"/>
    <n v="423"/>
    <n v="4"/>
    <n v="32.1"/>
    <x v="0"/>
    <n v="0"/>
    <n v="4"/>
    <n v="979"/>
    <n v="20553"/>
    <s v="VERDE"/>
    <n v="5.5"/>
    <n v="0"/>
    <n v="0"/>
    <n v="16.074000000000002"/>
    <n v="32.1"/>
    <n v="38"/>
    <n v="844.73684210526312"/>
    <x v="0"/>
    <x v="0"/>
    <n v="4"/>
    <n v="2"/>
    <n v="70.5"/>
  </r>
  <r>
    <d v="2025-02-13T22:15:00"/>
    <s v="INYECTADO"/>
    <x v="10"/>
    <x v="24"/>
    <s v="FABIAN HERNANDEZ"/>
    <s v="VIRGEN"/>
    <s v="PP CLARIFICADO"/>
    <s v="."/>
    <s v="TAPER ALEMAN 550ML CARAMELO"/>
    <s v="TAPER 550ML CARAMELO-AMARILLO"/>
    <n v="1203"/>
    <n v="9"/>
    <n v="91.2"/>
    <x v="0"/>
    <n v="0"/>
    <n v="10"/>
    <n v="979"/>
    <n v="20553"/>
    <s v="AMARILLO"/>
    <n v="3.3"/>
    <n v="0"/>
    <n v="0"/>
    <n v="45.713999999999999"/>
    <n v="91.2"/>
    <n v="38"/>
    <n v="2400"/>
    <x v="0"/>
    <x v="0"/>
    <n v="4"/>
    <n v="2"/>
    <n v="200.5"/>
  </r>
  <r>
    <d v="2025-02-13T22:15:00"/>
    <s v="INYECTADO"/>
    <x v="10"/>
    <x v="25"/>
    <s v="JOSDER GONZALEZ"/>
    <s v="VIRGEN"/>
    <s v="PP CLARIFICADO"/>
    <s v="."/>
    <s v="TAPER ALEMAN 550ML CARAMELO"/>
    <s v="TAPER 550ML CARAMELO-FUCSIA"/>
    <n v="892"/>
    <n v="7"/>
    <n v="68.400000000000006"/>
    <x v="0"/>
    <n v="0"/>
    <n v="8"/>
    <n v="979"/>
    <n v="20554"/>
    <s v="FUCSIA"/>
    <n v="3"/>
    <n v="0"/>
    <n v="0"/>
    <n v="33.896000000000001"/>
    <n v="68.400000000000006"/>
    <n v="38"/>
    <n v="1800"/>
    <x v="0"/>
    <x v="0"/>
    <n v="4"/>
    <n v="2"/>
    <n v="148.66666666666666"/>
  </r>
  <r>
    <d v="2025-02-13T22:15:00"/>
    <s v="INYECTADO"/>
    <x v="10"/>
    <x v="25"/>
    <s v="JOSDER GONZALEZ"/>
    <s v="VIRGEN"/>
    <s v="PP CLARIFICADO"/>
    <s v="."/>
    <s v="TAPER ALEMAN 550ML PASTEL"/>
    <s v="TAPER 550ML PASTEL-CELESTE"/>
    <n v="601"/>
    <n v="4"/>
    <n v="46.1"/>
    <x v="0"/>
    <n v="0"/>
    <n v="5"/>
    <n v="975"/>
    <n v="20554"/>
    <s v="CELESTE"/>
    <n v="6.4"/>
    <n v="0"/>
    <n v="0"/>
    <n v="22.838000000000001"/>
    <n v="46.1"/>
    <n v="38"/>
    <n v="1213.1578947368421"/>
    <x v="0"/>
    <x v="0"/>
    <n v="4"/>
    <n v="2"/>
    <n v="100.16666666666667"/>
  </r>
  <r>
    <d v="2025-02-13T22:15:00"/>
    <s v="INYECTADO"/>
    <x v="10"/>
    <x v="25"/>
    <s v="JUAN MANUEL PEREZ"/>
    <s v="VIRGEN"/>
    <s v="PP CLARIFICADO"/>
    <s v="."/>
    <s v="TAPER ALEMAN 550ML CARAMELO"/>
    <s v="TAPER 550ML CARAMELO-FUCSIA"/>
    <n v="223"/>
    <n v="2"/>
    <n v="17.5"/>
    <x v="0"/>
    <n v="0"/>
    <n v="2"/>
    <n v="979"/>
    <n v="20555"/>
    <s v="FUCSIA"/>
    <n v="21.3"/>
    <n v="0"/>
    <n v="0"/>
    <n v="8.4740000000000002"/>
    <n v="17.5"/>
    <n v="38"/>
    <n v="460.5263157894737"/>
    <x v="0"/>
    <x v="0"/>
    <n v="4"/>
    <n v="2"/>
    <n v="37.166666666666664"/>
  </r>
  <r>
    <d v="2025-02-13T22:15:00"/>
    <s v="INYECTADO"/>
    <x v="10"/>
    <x v="25"/>
    <s v="JUAN MANUEL PEREZ"/>
    <s v="VIRGEN"/>
    <s v="PP CLARIFICADO"/>
    <s v="."/>
    <s v="TAPER ALEMAN 550ML CARAMELO"/>
    <s v="TAPER 550ML CARAMELO-LILA"/>
    <n v="882"/>
    <n v="7"/>
    <n v="69.099999999999994"/>
    <x v="0"/>
    <n v="0"/>
    <n v="8"/>
    <n v="979"/>
    <n v="20555"/>
    <s v="LILA"/>
    <n v="24.5"/>
    <n v="0"/>
    <n v="0"/>
    <n v="33.515999999999998"/>
    <n v="69.099999999999994"/>
    <n v="38"/>
    <n v="1818.421052631579"/>
    <x v="0"/>
    <x v="0"/>
    <n v="4"/>
    <n v="2"/>
    <n v="147"/>
  </r>
  <r>
    <d v="2025-02-13T22:15:00"/>
    <s v="INYECTADO"/>
    <x v="10"/>
    <x v="14"/>
    <s v="LUIS RENGIFO"/>
    <s v="VIRGEN"/>
    <s v="PP CLARIFICADO"/>
    <s v="."/>
    <s v="TAPER ALEMAN 550ML CARAMELO"/>
    <s v="TAPER 550ML CARAMELO-ROJO"/>
    <n v="1050"/>
    <n v="7"/>
    <n v="83.1"/>
    <x v="0"/>
    <n v="0"/>
    <n v="8"/>
    <n v="979"/>
    <n v="1000"/>
    <s v="ROJO"/>
    <n v="10.8"/>
    <n v="0"/>
    <n v="0"/>
    <n v="39.9"/>
    <n v="83.1"/>
    <n v="38"/>
    <n v="2186.8421052631579"/>
    <x v="0"/>
    <x v="0"/>
    <n v="4"/>
    <n v="2"/>
    <n v="175"/>
  </r>
  <r>
    <d v="2025-02-13T22:15:00"/>
    <s v="INYECTADO"/>
    <x v="10"/>
    <x v="14"/>
    <s v="LUIS RENGIFO"/>
    <s v="VIRGEN"/>
    <s v="PP CLARIFICADO"/>
    <s v="."/>
    <s v="TAPER ALEMAN 550ML CARAMELO"/>
    <s v="TAPER 550ML CARAMELO-AZUL"/>
    <n v="319"/>
    <n v="3"/>
    <n v="25.3"/>
    <x v="0"/>
    <n v="0"/>
    <n v="2"/>
    <n v="979"/>
    <n v="1000"/>
    <s v="AZUL"/>
    <n v="1.7"/>
    <n v="0"/>
    <n v="0"/>
    <n v="12.122"/>
    <n v="25.3"/>
    <n v="38"/>
    <n v="665.78947368421052"/>
    <x v="0"/>
    <x v="0"/>
    <n v="4"/>
    <n v="2"/>
    <n v="53.166666666666664"/>
  </r>
  <r>
    <d v="2025-02-13T22:15:00"/>
    <s v="INYECTADO"/>
    <x v="10"/>
    <x v="15"/>
    <s v="JOSDER GONZALEZ"/>
    <s v="VIRGEN"/>
    <s v="PP CLARIFICADO"/>
    <s v="."/>
    <s v="TAPER ALEMAN 550ML CARAMELO"/>
    <s v="TAPER 550ML CARAMELO-AZUL"/>
    <n v="1222"/>
    <n v="8"/>
    <n v="92.9"/>
    <x v="0"/>
    <n v="0"/>
    <n v="10"/>
    <n v="979"/>
    <n v="20556"/>
    <s v="AZUL"/>
    <n v="11.5"/>
    <n v="0"/>
    <n v="0"/>
    <n v="46.436"/>
    <n v="92.9"/>
    <n v="38"/>
    <n v="2444.7368421052633"/>
    <x v="0"/>
    <x v="0"/>
    <n v="4"/>
    <n v="2"/>
    <n v="203.66666666666666"/>
  </r>
  <r>
    <d v="2025-02-13T22:15:00"/>
    <s v="INYECTADO"/>
    <x v="10"/>
    <x v="15"/>
    <s v="JOSDER GONZALEZ"/>
    <s v="VIRGEN"/>
    <s v="PP CLARIFICADO"/>
    <s v="."/>
    <s v="TAPER ALEMAN 550ML CARAMELO"/>
    <s v="TAPER 550ML CARAMELO-LILA"/>
    <n v="181"/>
    <n v="2"/>
    <n v="13.8"/>
    <x v="0"/>
    <n v="0"/>
    <n v="2"/>
    <n v="979"/>
    <n v="20556"/>
    <s v="LILA"/>
    <n v="1.2"/>
    <n v="0"/>
    <n v="0"/>
    <n v="6.8780000000000001"/>
    <n v="13.8"/>
    <n v="38"/>
    <n v="363.15789473684208"/>
    <x v="0"/>
    <x v="0"/>
    <n v="4"/>
    <n v="2"/>
    <n v="30.166666666666668"/>
  </r>
  <r>
    <d v="2025-02-13T22:15:00"/>
    <s v="INYECTADO"/>
    <x v="10"/>
    <x v="7"/>
    <s v="LUIS RENGIFO"/>
    <s v="VIRGEN"/>
    <s v="PP CLARIFICADO"/>
    <s v="."/>
    <s v="TAPER ALEMAN 550ML CARAMELO"/>
    <s v="TAPER 550ML CARAMELO-LILA"/>
    <n v="105"/>
    <n v="1"/>
    <n v="7.8"/>
    <x v="0"/>
    <n v="0"/>
    <n v="1"/>
    <n v="979"/>
    <n v="20557"/>
    <s v="LILA"/>
    <n v="12.5"/>
    <n v="0"/>
    <n v="0"/>
    <n v="3.99"/>
    <n v="7.8"/>
    <n v="38"/>
    <n v="205.26315789473685"/>
    <x v="0"/>
    <x v="0"/>
    <n v="5"/>
    <n v="2"/>
    <n v="17.5"/>
  </r>
  <r>
    <d v="2025-02-13T22:15:00"/>
    <s v="INYECTADO"/>
    <x v="10"/>
    <x v="7"/>
    <s v="LUIS RENGIFO"/>
    <s v="VIRGEN"/>
    <s v="PP CLARIFICADO"/>
    <s v="."/>
    <s v="TAPER ALEMAN 550ML TRANSP"/>
    <s v="TAPER 550ML TRANSP-TRANSPARENTE"/>
    <n v="769"/>
    <n v="7"/>
    <n v="57.7"/>
    <x v="0"/>
    <n v="0"/>
    <n v="9"/>
    <n v="937"/>
    <n v="20577"/>
    <s v="TRANSPARENTE"/>
    <n v="0"/>
    <n v="0"/>
    <n v="0"/>
    <n v="28.452999999999999"/>
    <n v="57.7"/>
    <n v="37"/>
    <n v="1559.4594594594594"/>
    <x v="0"/>
    <x v="0"/>
    <n v="5"/>
    <n v="1"/>
    <n v="64.083333333333329"/>
  </r>
  <r>
    <d v="2025-02-13T22:15:00"/>
    <s v="INYECTADO"/>
    <x v="10"/>
    <x v="8"/>
    <s v="SAID VILLAMIZAR"/>
    <s v="VIRGEN"/>
    <s v="PP CLARIFICADO"/>
    <s v="."/>
    <s v="TAPER ALEMAN 550ML TRANSP"/>
    <s v="TAPER 550ML TRANSP-TRANSPARENTE"/>
    <n v="1589"/>
    <n v="11"/>
    <n v="119.2"/>
    <x v="0"/>
    <n v="0"/>
    <n v="13"/>
    <n v="937"/>
    <n v="20558"/>
    <s v="TRANSPARENTE"/>
    <n v="4.8"/>
    <n v="0"/>
    <n v="0"/>
    <n v="58.792999999999999"/>
    <n v="119.2"/>
    <n v="37"/>
    <n v="3221.6216216216217"/>
    <x v="0"/>
    <x v="0"/>
    <n v="5"/>
    <n v="1"/>
    <n v="132.41666666666666"/>
  </r>
  <r>
    <d v="2025-02-13T22:15:00"/>
    <s v="INYECTADO"/>
    <x v="10"/>
    <x v="17"/>
    <s v="LUIS PINEDO"/>
    <s v="SEGUNDA"/>
    <s v="."/>
    <s v="MIXTO"/>
    <s v="EMBUDO #4"/>
    <s v="EMBUDO #4-AMARILLO"/>
    <n v="394"/>
    <n v="5"/>
    <n v="96.2"/>
    <x v="0"/>
    <n v="0"/>
    <n v="13"/>
    <n v="986"/>
    <n v="20559"/>
    <s v="AMARILLO"/>
    <n v="14.6"/>
    <n v="0"/>
    <n v="0"/>
    <n v="49.643999999999998"/>
    <n v="96.2"/>
    <n v="126"/>
    <n v="763.49206349206349"/>
    <x v="0"/>
    <x v="0"/>
    <n v="5"/>
    <n v="2"/>
    <n v="65.666666666666671"/>
  </r>
  <r>
    <d v="2025-02-13T22:15:00"/>
    <s v="INYECTADO"/>
    <x v="10"/>
    <x v="17"/>
    <s v="LUIS PINEDO"/>
    <s v="SEGUNDA"/>
    <s v="."/>
    <s v="MIXTO"/>
    <s v="EMBUDO #4"/>
    <s v="EMBUDO #4-ANARANJADO"/>
    <n v="218"/>
    <n v="3"/>
    <n v="53.2"/>
    <x v="0"/>
    <n v="0"/>
    <n v="7"/>
    <n v="986"/>
    <n v="20559"/>
    <s v="ANARANJADO"/>
    <n v="3.4"/>
    <n v="0"/>
    <n v="0"/>
    <n v="27.468"/>
    <n v="53.2"/>
    <n v="126"/>
    <n v="422.22222222222223"/>
    <x v="0"/>
    <x v="0"/>
    <n v="5"/>
    <n v="2"/>
    <n v="36.333333333333336"/>
  </r>
  <r>
    <d v="2025-02-13T22:15:00"/>
    <s v="INYECTADO"/>
    <x v="10"/>
    <x v="17"/>
    <s v="FABIAN HERNANDEZ"/>
    <s v="SEGUNDA"/>
    <s v="."/>
    <s v="MIXTO"/>
    <s v="EMBUDO #4"/>
    <s v="EMBUDO #4-ROJO"/>
    <n v="364"/>
    <n v="4"/>
    <n v="89.8"/>
    <x v="0"/>
    <n v="0"/>
    <n v="11"/>
    <n v="986"/>
    <n v="20560"/>
    <s v="ROJO"/>
    <n v="9.8000000000000007"/>
    <n v="0"/>
    <n v="0"/>
    <n v="45.863999999999997"/>
    <n v="89.8"/>
    <n v="126"/>
    <n v="712.69841269841265"/>
    <x v="0"/>
    <x v="0"/>
    <n v="5"/>
    <n v="2"/>
    <n v="60.666666666666664"/>
  </r>
  <r>
    <d v="2025-02-13T22:15:00"/>
    <s v="INYECTADO"/>
    <x v="10"/>
    <x v="17"/>
    <s v="FABIAN HERNANDEZ"/>
    <s v="SEGUNDA"/>
    <s v="."/>
    <s v="MIXTO"/>
    <s v="EMBUDO #4"/>
    <s v="EMBUDO #4-VERDE"/>
    <n v="336"/>
    <n v="4"/>
    <n v="83.1"/>
    <x v="0"/>
    <n v="0"/>
    <n v="11"/>
    <n v="986"/>
    <n v="20560"/>
    <s v="VERDE"/>
    <n v="5.3"/>
    <n v="0"/>
    <n v="0"/>
    <n v="42.335999999999999"/>
    <n v="83.1"/>
    <n v="126"/>
    <n v="659.52380952380952"/>
    <x v="0"/>
    <x v="0"/>
    <n v="5"/>
    <n v="2"/>
    <n v="56"/>
  </r>
  <r>
    <d v="2025-02-13T22:15:00"/>
    <s v="INYECTADO"/>
    <x v="10"/>
    <x v="17"/>
    <s v="FABIAN HERNANDEZ"/>
    <s v="SEGUNDA"/>
    <s v="."/>
    <s v="MIXTO"/>
    <s v="EMBUDO #4"/>
    <s v="EMBUDO #4-LILA"/>
    <n v="151"/>
    <n v="2"/>
    <n v="37.799999999999997"/>
    <x v="0"/>
    <n v="0"/>
    <n v="5"/>
    <n v="986"/>
    <n v="20560"/>
    <s v="LILA"/>
    <n v="6.3"/>
    <n v="0"/>
    <n v="0"/>
    <n v="19.026"/>
    <n v="37.799999999999997"/>
    <n v="126"/>
    <n v="300"/>
    <x v="0"/>
    <x v="0"/>
    <n v="5"/>
    <n v="2"/>
    <n v="25.166666666666668"/>
  </r>
  <r>
    <d v="2025-02-13T22:15:00"/>
    <s v="INYECTADO"/>
    <x v="10"/>
    <x v="26"/>
    <s v="JOSDER GONZALEZ"/>
    <s v="SEGUNDA"/>
    <s v="."/>
    <s v="MIXTO"/>
    <s v="EMBUDO #4"/>
    <s v="EMBUDO #4-LILA"/>
    <n v="240"/>
    <n v="3"/>
    <n v="59.2"/>
    <x v="0"/>
    <n v="0"/>
    <n v="8"/>
    <n v="986"/>
    <n v="20561"/>
    <s v="LILA"/>
    <n v="12"/>
    <n v="0"/>
    <n v="0"/>
    <n v="30.24"/>
    <n v="59.2"/>
    <n v="126"/>
    <n v="469.84126984126982"/>
    <x v="0"/>
    <x v="0"/>
    <n v="5"/>
    <n v="2"/>
    <n v="40"/>
  </r>
  <r>
    <d v="2025-02-13T22:15:00"/>
    <s v="INYECTADO"/>
    <x v="10"/>
    <x v="26"/>
    <s v="JOSDER GONZALEZ"/>
    <s v="SEGUNDA"/>
    <s v="."/>
    <s v="MIXTO"/>
    <s v="EMBUDO #4"/>
    <s v="EMBUDO #4-AZUL"/>
    <n v="245"/>
    <n v="3"/>
    <n v="60.6"/>
    <x v="0"/>
    <n v="0"/>
    <n v="8"/>
    <n v="986"/>
    <n v="20561"/>
    <s v="AZUL"/>
    <n v="21.9"/>
    <n v="0"/>
    <n v="0"/>
    <n v="30.87"/>
    <n v="60.6"/>
    <n v="126"/>
    <n v="480.95238095238096"/>
    <x v="0"/>
    <x v="0"/>
    <n v="5"/>
    <n v="2"/>
    <n v="40.833333333333336"/>
  </r>
  <r>
    <d v="2025-01-20T10:30:00"/>
    <s v="SOPLADO"/>
    <x v="11"/>
    <x v="22"/>
    <s v="NELSON PINEDO"/>
    <s v="VIRGEN"/>
    <s v="PP SOPLADO"/>
    <s v="."/>
    <s v="TOMATODO 350ML"/>
    <s v="TOMATODO 350ML-TRANSPARENTE"/>
    <n v="1198"/>
    <n v="6"/>
    <n v="42.3"/>
    <x v="0"/>
    <m/>
    <m/>
    <m/>
    <n v="17779"/>
    <s v="TRANSPARENTE"/>
    <n v="20.399999999999999"/>
    <n v="0"/>
    <n v="0"/>
    <n v="74.275999999999996"/>
    <n v="42.3"/>
    <n v="62"/>
    <n v="682.25806451612902"/>
    <x v="0"/>
    <x v="0"/>
    <n v="2"/>
    <n v="2"/>
    <n v="199.66666666666666"/>
  </r>
  <r>
    <d v="2025-01-20T10:30:00"/>
    <s v="SOPLADO"/>
    <x v="11"/>
    <x v="22"/>
    <s v="FABIAN HERNANDEZ"/>
    <s v="VIRGEN"/>
    <s v="PP SOPLADO"/>
    <s v="."/>
    <s v="TOMATODO 350ML"/>
    <s v="TOMATODO 350ML-TRANSPARENTE"/>
    <n v="1891"/>
    <n v="12"/>
    <n v="66.2"/>
    <x v="0"/>
    <m/>
    <m/>
    <m/>
    <n v="17780"/>
    <s v="TRANSPARENTE"/>
    <n v="35.299999999999997"/>
    <n v="0"/>
    <n v="0"/>
    <n v="117.242"/>
    <n v="66.2"/>
    <n v="62"/>
    <n v="1067.741935483871"/>
    <x v="0"/>
    <x v="0"/>
    <n v="2"/>
    <n v="2"/>
    <n v="315.16666666666669"/>
  </r>
  <r>
    <d v="2025-01-20T10:30:00"/>
    <s v="SOPLADO"/>
    <x v="11"/>
    <x v="4"/>
    <s v="CRISALIDA ZAPATA"/>
    <s v="VIRGEN"/>
    <s v="PP SOPLADO"/>
    <s v="."/>
    <s v="TOMATODO 350ML"/>
    <s v="TOMATODO 350ML-TRANSPARENTE"/>
    <n v="1648"/>
    <n v="11"/>
    <n v="57.7"/>
    <x v="0"/>
    <m/>
    <m/>
    <m/>
    <n v="17781"/>
    <s v="TRANSPARENTE"/>
    <n v="57.7"/>
    <n v="0"/>
    <n v="0"/>
    <n v="102.176"/>
    <n v="57.7"/>
    <n v="62"/>
    <n v="930.64516129032256"/>
    <x v="0"/>
    <x v="0"/>
    <n v="2"/>
    <n v="2"/>
    <n v="274.66666666666669"/>
  </r>
  <r>
    <d v="2025-01-20T10:30:00"/>
    <s v="SOPLADO"/>
    <x v="11"/>
    <x v="4"/>
    <s v="WALTER GUEVARA"/>
    <s v="VIRGEN"/>
    <s v="PP SOPLADO"/>
    <s v="."/>
    <s v="TOMATODO 350ML"/>
    <s v="TOMATODO 350ML-TRANSPARENTE"/>
    <n v="1190"/>
    <n v="6"/>
    <n v="41.6"/>
    <x v="0"/>
    <m/>
    <m/>
    <m/>
    <n v="17782"/>
    <s v="TRANSPARENTE"/>
    <n v="41.6"/>
    <n v="0"/>
    <n v="0"/>
    <n v="73.78"/>
    <n v="41.6"/>
    <n v="62"/>
    <n v="670.9677419354839"/>
    <x v="0"/>
    <x v="0"/>
    <n v="2"/>
    <n v="2"/>
    <n v="198.33333333333334"/>
  </r>
  <r>
    <d v="2025-01-20T10:30:00"/>
    <s v="SOPLADO"/>
    <x v="11"/>
    <x v="5"/>
    <s v="SAID VILLAMIZAR"/>
    <s v="VIRGEN"/>
    <s v="PP SOPLADO"/>
    <s v="."/>
    <s v="TOMATODO 350ML"/>
    <s v="TOMATODO 350ML-TRANSPARENTE"/>
    <n v="1500"/>
    <n v="8"/>
    <n v="52.5"/>
    <x v="0"/>
    <m/>
    <m/>
    <m/>
    <n v="17783"/>
    <s v="TRANSPARENTE"/>
    <n v="45.3"/>
    <n v="0"/>
    <n v="0"/>
    <n v="93"/>
    <n v="52.5"/>
    <n v="62"/>
    <n v="846.77419354838707"/>
    <x v="0"/>
    <x v="0"/>
    <n v="3"/>
    <n v="2"/>
    <n v="250"/>
  </r>
  <r>
    <d v="2025-01-20T10:30:00"/>
    <s v="SOPLADO"/>
    <x v="11"/>
    <x v="5"/>
    <s v="WALTER GUEVARA"/>
    <s v="VIRGEN"/>
    <s v="PP SOPLADO"/>
    <s v="."/>
    <s v="TOMATODO 350ML"/>
    <s v="TOMATODO 350ML-TRANSPARENTE"/>
    <n v="2445"/>
    <n v="12"/>
    <n v="85.6"/>
    <x v="0"/>
    <m/>
    <m/>
    <m/>
    <n v="17784"/>
    <s v="TRANSPARENTE"/>
    <n v="85.6"/>
    <n v="0"/>
    <n v="0"/>
    <n v="151.59"/>
    <n v="85.6"/>
    <n v="62"/>
    <n v="1380.6451612903227"/>
    <x v="0"/>
    <x v="0"/>
    <n v="3"/>
    <n v="2"/>
    <n v="407.5"/>
  </r>
  <r>
    <d v="2025-01-20T10:30:00"/>
    <s v="SOPLADO"/>
    <x v="11"/>
    <x v="6"/>
    <s v="CRISALIDA ZAPATA"/>
    <s v="VIRGEN"/>
    <s v="PP SOPLADO"/>
    <s v="."/>
    <s v="TOMATODO 350ML"/>
    <s v="TOMATODO 350ML-TRANSPARENTE"/>
    <n v="2162"/>
    <n v="11"/>
    <n v="75.7"/>
    <x v="0"/>
    <m/>
    <m/>
    <m/>
    <n v="17785"/>
    <s v="TRANSPARENTE"/>
    <n v="75.7"/>
    <n v="0"/>
    <n v="0"/>
    <n v="134.04400000000001"/>
    <n v="75.7"/>
    <n v="62"/>
    <n v="1220.9677419354839"/>
    <x v="0"/>
    <x v="0"/>
    <n v="3"/>
    <n v="2"/>
    <n v="360.33333333333331"/>
  </r>
  <r>
    <d v="2025-01-20T10:30:00"/>
    <s v="SOPLADO"/>
    <x v="11"/>
    <x v="9"/>
    <s v="JOSDER GONZALEZ"/>
    <s v="VIRGEN"/>
    <s v="PP SOPLADO"/>
    <s v="."/>
    <s v="TOMATODO 350ML"/>
    <s v="TOMATODO 350ML-TRANSPARENTE"/>
    <n v="305"/>
    <n v="2"/>
    <n v="10.7"/>
    <x v="0"/>
    <m/>
    <m/>
    <m/>
    <n v="17786"/>
    <s v="TRANSPARENTE"/>
    <n v="0"/>
    <n v="0"/>
    <n v="0"/>
    <n v="18.91"/>
    <n v="10.7"/>
    <n v="62"/>
    <n v="172.58064516129033"/>
    <x v="0"/>
    <x v="0"/>
    <n v="3"/>
    <n v="2"/>
    <n v="50.833333333333336"/>
  </r>
  <r>
    <d v="2025-01-20T10:30:00"/>
    <s v="SOPLADO"/>
    <x v="11"/>
    <x v="9"/>
    <s v="JOSDER GONZALEZ"/>
    <s v="VIRGEN"/>
    <s v="PP SOPLADO"/>
    <s v="."/>
    <s v="TOMATODO 350ML PASTEL"/>
    <s v="TOMATODO 350ML PASTEL-TURQUESA"/>
    <n v="1318"/>
    <n v="7"/>
    <n v="47.1"/>
    <x v="0"/>
    <m/>
    <m/>
    <m/>
    <n v="17786"/>
    <s v="TURQUESA"/>
    <n v="0"/>
    <n v="0"/>
    <n v="0"/>
    <n v="38.222000000000001"/>
    <n v="47.1"/>
    <n v="29"/>
    <n v="1624.1379310344828"/>
    <x v="0"/>
    <x v="0"/>
    <n v="3"/>
    <n v="1"/>
    <n v="109.83333333333333"/>
  </r>
  <r>
    <d v="2025-01-20T10:30:00"/>
    <s v="SOPLADO"/>
    <x v="11"/>
    <x v="10"/>
    <s v="ISABEL LINARIZ "/>
    <s v="VIRGEN"/>
    <s v="PP SOPLADO"/>
    <s v="."/>
    <s v="TOMATODO 350ML PASTEL"/>
    <s v="TOMATODO 350ML PASTEL-CELESTE"/>
    <n v="1376"/>
    <n v="8"/>
    <n v="47.1"/>
    <x v="0"/>
    <m/>
    <m/>
    <m/>
    <n v="17787"/>
    <s v="CELESTE"/>
    <n v="47"/>
    <n v="0"/>
    <n v="0"/>
    <n v="39.904000000000003"/>
    <n v="47.1"/>
    <n v="29"/>
    <n v="1624.1379310344828"/>
    <x v="0"/>
    <x v="0"/>
    <n v="3"/>
    <n v="1"/>
    <n v="114.66666666666667"/>
  </r>
  <r>
    <d v="2025-01-20T10:30:00"/>
    <s v="SOPLADO"/>
    <x v="11"/>
    <x v="10"/>
    <s v="ISABEL LINARIZ "/>
    <s v="VIRGEN"/>
    <s v="PP SOPLADO"/>
    <s v="."/>
    <s v="TOMATODO 350ML PASTEL"/>
    <s v="TOMATODO 350ML PASTEL-ROSADO"/>
    <n v="272"/>
    <n v="2"/>
    <n v="9.3000000000000007"/>
    <x v="0"/>
    <m/>
    <m/>
    <m/>
    <n v="17787"/>
    <s v="ROSADO"/>
    <n v="8.8000000000000007"/>
    <n v="0"/>
    <n v="0"/>
    <n v="7.8879999999999999"/>
    <n v="9.3000000000000007"/>
    <n v="29"/>
    <n v="320.68965517241378"/>
    <x v="0"/>
    <x v="0"/>
    <n v="3"/>
    <n v="1"/>
    <n v="22.666666666666668"/>
  </r>
  <r>
    <d v="2025-01-20T10:30:00"/>
    <s v="SOPLADO"/>
    <x v="11"/>
    <x v="11"/>
    <s v="JOSDER GONZALEZ"/>
    <s v="VIRGEN"/>
    <s v="PP SOPLADO"/>
    <s v="."/>
    <s v="TOMATODO 350ML PASTEL"/>
    <s v="TOMATODO 350ML PASTEL-ROSADO"/>
    <n v="432"/>
    <n v="3"/>
    <n v="14.7"/>
    <x v="0"/>
    <m/>
    <m/>
    <m/>
    <n v="17788"/>
    <s v="ROSADO"/>
    <n v="12.1"/>
    <n v="0"/>
    <n v="0"/>
    <n v="12.528"/>
    <n v="14.7"/>
    <n v="29"/>
    <n v="506.89655172413791"/>
    <x v="0"/>
    <x v="0"/>
    <n v="3"/>
    <n v="1"/>
    <n v="36"/>
  </r>
  <r>
    <d v="2025-01-20T10:30:00"/>
    <s v="SOPLADO"/>
    <x v="11"/>
    <x v="11"/>
    <s v="JOSDER GONZALEZ"/>
    <s v="VIRGEN"/>
    <s v="PP SOPLADO"/>
    <s v="."/>
    <s v="TOMATODO 350ML PASTEL"/>
    <s v="TOMATODO 350ML PASTEL-LILA"/>
    <n v="458"/>
    <n v="3"/>
    <n v="15.6"/>
    <x v="0"/>
    <m/>
    <m/>
    <m/>
    <n v="17788"/>
    <s v="LILA"/>
    <n v="9.6"/>
    <n v="0"/>
    <n v="0"/>
    <n v="13.282"/>
    <n v="15.6"/>
    <n v="29"/>
    <n v="537.93103448275861"/>
    <x v="0"/>
    <x v="0"/>
    <n v="3"/>
    <n v="1"/>
    <n v="38.166666666666664"/>
  </r>
  <r>
    <d v="2025-01-20T10:30:00"/>
    <s v="SOPLADO"/>
    <x v="11"/>
    <x v="23"/>
    <s v="SAID VILLAMIZAR"/>
    <s v="VIRGEN"/>
    <s v="PP SOPLADO"/>
    <s v="."/>
    <s v="TOMATODO 350ML PASTEL"/>
    <s v="TOMATODO 350ML PASTEL-LILA"/>
    <n v="240"/>
    <n v="2"/>
    <n v="7.9"/>
    <x v="0"/>
    <m/>
    <m/>
    <m/>
    <n v="17789"/>
    <s v="LILA"/>
    <n v="3.3"/>
    <n v="0"/>
    <n v="0"/>
    <n v="6.96"/>
    <n v="7.9"/>
    <n v="29"/>
    <n v="272.41379310344826"/>
    <x v="0"/>
    <x v="0"/>
    <n v="3"/>
    <n v="1"/>
    <n v="20"/>
  </r>
  <r>
    <d v="2025-01-20T10:30:00"/>
    <s v="SOPLADO"/>
    <x v="11"/>
    <x v="23"/>
    <s v="SAID VILLAMIZAR"/>
    <s v="VIRGEN"/>
    <s v="PP SOPLADO"/>
    <s v="."/>
    <s v="TOMATODO 350ML PASTEL"/>
    <s v="TOMATODO 350ML PASTEL-SANDIA"/>
    <n v="1449"/>
    <n v="8"/>
    <n v="47.1"/>
    <x v="0"/>
    <m/>
    <m/>
    <m/>
    <n v="17789"/>
    <s v="SANDIA"/>
    <n v="10.4"/>
    <n v="0"/>
    <n v="0"/>
    <n v="42.021000000000001"/>
    <n v="47.1"/>
    <n v="29"/>
    <n v="1624.1379310344828"/>
    <x v="0"/>
    <x v="0"/>
    <n v="3"/>
    <n v="1"/>
    <n v="120.75"/>
  </r>
  <r>
    <d v="2025-01-20T10:30:00"/>
    <s v="SOPLADO"/>
    <x v="11"/>
    <x v="23"/>
    <s v="FABIAN HERNANDEZ"/>
    <s v="VIRGEN"/>
    <s v="PP SOPLADO"/>
    <s v="."/>
    <s v="TOMATODO 350ML PASTEL"/>
    <s v="TOMATODO 350ML PASTEL-AZURE"/>
    <n v="1360"/>
    <n v="7"/>
    <n v="45.6"/>
    <x v="0"/>
    <m/>
    <m/>
    <m/>
    <n v="17790"/>
    <s v="AZURE"/>
    <n v="45.6"/>
    <n v="0"/>
    <n v="0"/>
    <n v="39.44"/>
    <n v="45.6"/>
    <n v="29"/>
    <n v="1572.4137931034484"/>
    <x v="0"/>
    <x v="0"/>
    <n v="3"/>
    <n v="1"/>
    <n v="113.33333333333333"/>
  </r>
  <r>
    <d v="2025-01-20T10:30:00"/>
    <s v="SOPLADO"/>
    <x v="11"/>
    <x v="23"/>
    <s v="FABIAN HERNANDEZ"/>
    <s v="VIRGEN"/>
    <s v="PP SOPLADO"/>
    <s v="."/>
    <s v="TOMATODO 350ML PASTEL"/>
    <s v="TOMATODO 350ML PASTEL-ROSADO"/>
    <n v="637"/>
    <n v="5"/>
    <n v="20.3"/>
    <x v="0"/>
    <m/>
    <m/>
    <m/>
    <n v="17790"/>
    <s v="ROSADO"/>
    <n v="0"/>
    <n v="0"/>
    <n v="0"/>
    <n v="18.472999999999999"/>
    <n v="20.3"/>
    <n v="29"/>
    <n v="700"/>
    <x v="0"/>
    <x v="0"/>
    <n v="3"/>
    <n v="1"/>
    <n v="53.083333333333336"/>
  </r>
  <r>
    <d v="2025-01-20T10:30:00"/>
    <s v="SOPLADO"/>
    <x v="11"/>
    <x v="27"/>
    <s v="CRISALIDA ZAPATA"/>
    <s v="VIRGEN"/>
    <s v="PP SOPLADO"/>
    <s v="."/>
    <s v="TOMATODO 350ML PASTEL"/>
    <s v="TOMATODO 350ML PASTEL-LILA"/>
    <n v="630"/>
    <n v="4"/>
    <n v="21.5"/>
    <x v="0"/>
    <m/>
    <m/>
    <m/>
    <n v="17791"/>
    <s v="LILA"/>
    <n v="15.7"/>
    <n v="0"/>
    <n v="0"/>
    <n v="18.27"/>
    <n v="21.5"/>
    <n v="29"/>
    <n v="741.37931034482756"/>
    <x v="0"/>
    <x v="0"/>
    <n v="3"/>
    <n v="1"/>
    <n v="52.5"/>
  </r>
  <r>
    <d v="2025-01-20T10:30:00"/>
    <s v="SOPLADO"/>
    <x v="11"/>
    <x v="27"/>
    <s v="CRISALIDA ZAPATA"/>
    <s v="VIRGEN"/>
    <s v="PP SOPLADO"/>
    <s v="."/>
    <s v="TOMATODO 350ML"/>
    <s v="TOMATODO 350ML-TRANSPARENTE"/>
    <n v="454"/>
    <n v="3"/>
    <n v="15.9"/>
    <x v="0"/>
    <m/>
    <m/>
    <m/>
    <n v="17791"/>
    <s v="TRANSPARENTE"/>
    <n v="15.1"/>
    <n v="0"/>
    <n v="0"/>
    <n v="28.148"/>
    <n v="15.9"/>
    <n v="62"/>
    <n v="256.45161290322579"/>
    <x v="0"/>
    <x v="0"/>
    <n v="3"/>
    <n v="2"/>
    <n v="75.666666666666671"/>
  </r>
  <r>
    <d v="2025-01-20T10:30:00"/>
    <s v="SOPLADO"/>
    <x v="11"/>
    <x v="27"/>
    <s v="FABIAN HERNANDEZ"/>
    <s v="VIRGEN"/>
    <s v="PP SOPLADO"/>
    <s v="."/>
    <s v="TOMATODO 350ML"/>
    <s v="TOMATODO 350ML-TRANSPARENTE"/>
    <n v="745"/>
    <n v="5"/>
    <n v="24.7"/>
    <x v="0"/>
    <m/>
    <m/>
    <m/>
    <n v="17792"/>
    <s v="TRANSPARENTE"/>
    <n v="31.2"/>
    <n v="0"/>
    <n v="0"/>
    <n v="46.19"/>
    <n v="24.7"/>
    <n v="62"/>
    <n v="398.38709677419354"/>
    <x v="0"/>
    <x v="0"/>
    <n v="3"/>
    <n v="2"/>
    <n v="124.16666666666667"/>
  </r>
  <r>
    <d v="2025-01-20T10:30:00"/>
    <s v="SOPLADO"/>
    <x v="11"/>
    <x v="27"/>
    <s v="SAID VILLAMIZAR"/>
    <s v="VIRGEN"/>
    <s v="PP SOPLADO"/>
    <s v="."/>
    <s v="TOMATODO 350ML"/>
    <s v="TOMATODO 350ML-TRANSPARENTE"/>
    <n v="2200"/>
    <n v="10"/>
    <n v="72.599999999999994"/>
    <x v="0"/>
    <m/>
    <m/>
    <m/>
    <n v="17793"/>
    <s v="TRANSPARENTE"/>
    <n v="72.599999999999994"/>
    <n v="0"/>
    <n v="0"/>
    <n v="136.4"/>
    <n v="72.599999999999994"/>
    <n v="62"/>
    <n v="1170.9677419354839"/>
    <x v="0"/>
    <x v="0"/>
    <n v="3"/>
    <n v="2"/>
    <n v="366.66666666666669"/>
  </r>
  <r>
    <d v="2025-01-20T10:30:00"/>
    <s v="SOPLADO"/>
    <x v="11"/>
    <x v="12"/>
    <s v="CRISALIDA ZAPATA"/>
    <s v="VIRGEN"/>
    <s v="PP SOPLADO"/>
    <s v="."/>
    <s v="TOMATODO 350ML"/>
    <s v="TOMATODO 350ML-TRANSPARENTE"/>
    <n v="2168"/>
    <n v="12"/>
    <n v="75.900000000000006"/>
    <x v="0"/>
    <m/>
    <m/>
    <m/>
    <n v="17794"/>
    <s v="TRANSPARENTE"/>
    <n v="38.299999999999997"/>
    <n v="0"/>
    <n v="0"/>
    <n v="134.416"/>
    <n v="75.900000000000006"/>
    <n v="62"/>
    <n v="1224.1935483870968"/>
    <x v="0"/>
    <x v="0"/>
    <n v="4"/>
    <n v="2"/>
    <n v="361.33333333333331"/>
  </r>
  <r>
    <d v="2025-01-20T10:30:00"/>
    <s v="SOPLADO"/>
    <x v="11"/>
    <x v="12"/>
    <s v="PAUL MILLER"/>
    <s v="VIRGEN"/>
    <s v="PP SOPLADO"/>
    <s v="."/>
    <s v="TOMATODO 350ML"/>
    <s v="TOMATODO 350ML-TRANSPARENTE"/>
    <n v="2160"/>
    <n v="11"/>
    <n v="71.2"/>
    <x v="0"/>
    <m/>
    <m/>
    <m/>
    <n v="17795"/>
    <s v="TRANSPARENTE"/>
    <n v="71.2"/>
    <n v="0"/>
    <n v="0"/>
    <n v="133.91999999999999"/>
    <n v="71.2"/>
    <n v="62"/>
    <n v="1148.3870967741937"/>
    <x v="0"/>
    <x v="0"/>
    <n v="4"/>
    <n v="2"/>
    <n v="360"/>
  </r>
  <r>
    <d v="2025-01-20T10:30:00"/>
    <s v="SOPLADO"/>
    <x v="11"/>
    <x v="13"/>
    <s v="CRISALIDA ZAPATA"/>
    <s v="VIRGEN"/>
    <s v="PP SOPLADO"/>
    <s v="."/>
    <s v="TOMATODO 350ML"/>
    <s v="TOMATODO 350ML-TRANSPARENTE"/>
    <n v="2076"/>
    <n v="11"/>
    <n v="68.400000000000006"/>
    <x v="0"/>
    <m/>
    <m/>
    <m/>
    <n v="17796"/>
    <s v="TRANSPARENTE"/>
    <n v="68.400000000000006"/>
    <n v="0"/>
    <n v="0"/>
    <n v="128.71199999999999"/>
    <n v="68.400000000000006"/>
    <n v="62"/>
    <n v="1103.2258064516129"/>
    <x v="0"/>
    <x v="0"/>
    <n v="4"/>
    <n v="2"/>
    <n v="346"/>
  </r>
  <r>
    <d v="2025-01-20T10:30:00"/>
    <s v="SOPLADO"/>
    <x v="11"/>
    <x v="13"/>
    <s v="JUAN MANUEL"/>
    <s v="VIRGEN"/>
    <s v="PP SOPLADO"/>
    <s v="."/>
    <s v="TOMATODO 350ML"/>
    <s v="TOMATODO 350ML-TRANSPARENTE"/>
    <n v="2372"/>
    <n v="12"/>
    <n v="78.3"/>
    <x v="0"/>
    <m/>
    <m/>
    <m/>
    <n v="17797"/>
    <s v="TRANSPARENTE"/>
    <n v="35.700000000000003"/>
    <n v="0"/>
    <n v="0"/>
    <n v="147.06399999999999"/>
    <n v="78.3"/>
    <n v="62"/>
    <n v="1262.9032258064517"/>
    <x v="0"/>
    <x v="0"/>
    <n v="4"/>
    <n v="2"/>
    <n v="395.33333333333331"/>
  </r>
  <r>
    <d v="2025-01-20T10:30:00"/>
    <s v="SOPLADO"/>
    <x v="11"/>
    <x v="13"/>
    <s v="CRISALIDA ZAPATA"/>
    <s v="VIRGEN"/>
    <s v="PP SOPLADO"/>
    <s v="."/>
    <s v="TOMATODO 350ML"/>
    <s v="TOMATODO 350ML-TRANSPARENTE"/>
    <n v="2263"/>
    <n v="12"/>
    <n v="74.7"/>
    <x v="0"/>
    <m/>
    <m/>
    <m/>
    <n v="17798"/>
    <s v="TRANSPARENTE"/>
    <n v="20.3"/>
    <n v="0"/>
    <n v="0"/>
    <n v="140.30600000000001"/>
    <n v="74.7"/>
    <n v="62"/>
    <n v="1204.8387096774193"/>
    <x v="0"/>
    <x v="0"/>
    <n v="4"/>
    <n v="2"/>
    <n v="377.16666666666669"/>
  </r>
  <r>
    <d v="2025-01-20T10:30:00"/>
    <s v="SOPLADO"/>
    <x v="11"/>
    <x v="25"/>
    <s v="CRISALIDA ZAPATA"/>
    <s v="VIRGEN"/>
    <s v="PP SOPLADO"/>
    <s v="."/>
    <s v="TOMATODO 350ML"/>
    <s v="TOMATODO 350ML-TRANSPARENTE"/>
    <n v="2172"/>
    <n v="11"/>
    <n v="71.7"/>
    <x v="0"/>
    <m/>
    <m/>
    <m/>
    <n v="21101"/>
    <s v="TRANSPARENTE"/>
    <n v="27.5"/>
    <n v="0"/>
    <n v="0"/>
    <n v="134.66399999999999"/>
    <n v="71.7"/>
    <n v="62"/>
    <n v="1156.4516129032259"/>
    <x v="0"/>
    <x v="0"/>
    <n v="4"/>
    <n v="2"/>
    <n v="362"/>
  </r>
  <r>
    <d v="2025-01-20T10:30:00"/>
    <s v="SOPLADO"/>
    <x v="11"/>
    <x v="14"/>
    <s v="CRISALIDA ZAPATA"/>
    <s v="VIRGEN"/>
    <s v="PP SOPLADO"/>
    <s v="."/>
    <s v="TOMATODO 350ML"/>
    <s v="TOMATODO 350ML-TRANSPARENTE"/>
    <n v="1661"/>
    <n v="11"/>
    <n v="54.8"/>
    <x v="0"/>
    <m/>
    <m/>
    <m/>
    <n v="21102"/>
    <s v="TRANSPARENTE"/>
    <n v="54.8"/>
    <n v="0"/>
    <n v="0"/>
    <n v="102.982"/>
    <n v="54.8"/>
    <n v="62"/>
    <n v="883.87096774193549"/>
    <x v="0"/>
    <x v="0"/>
    <n v="4"/>
    <n v="2"/>
    <n v="276.83333333333331"/>
  </r>
  <r>
    <d v="2025-01-20T10:30:00"/>
    <s v="SOPLADO"/>
    <x v="11"/>
    <x v="15"/>
    <s v="CRISALIDA ZAPATA"/>
    <s v="VIRGEN"/>
    <s v="PP SOPLADO"/>
    <s v="."/>
    <s v="TOMATODO 350ML PASTEL"/>
    <s v="TOMATODO 350ML PASTEL-CELESTE"/>
    <n v="1500"/>
    <n v="8"/>
    <n v="49.6"/>
    <x v="0"/>
    <m/>
    <m/>
    <m/>
    <n v="21103"/>
    <s v="CELESTE"/>
    <n v="21.1"/>
    <n v="0"/>
    <n v="0"/>
    <n v="43.5"/>
    <n v="49.6"/>
    <n v="29"/>
    <n v="1710.344827586207"/>
    <x v="0"/>
    <x v="0"/>
    <n v="4"/>
    <n v="1"/>
    <n v="125"/>
  </r>
  <r>
    <d v="2025-01-20T10:30:00"/>
    <s v="SOPLADO"/>
    <x v="11"/>
    <x v="15"/>
    <s v="JUAN MANUEL"/>
    <s v="VIRGEN"/>
    <s v="PP SOPLADO"/>
    <s v="."/>
    <s v="TOMATODO 350ML PASTEL"/>
    <s v="TOMATODO 350ML PASTEL-CELESTE"/>
    <n v="287"/>
    <n v="2"/>
    <n v="9.1999999999999993"/>
    <x v="0"/>
    <m/>
    <m/>
    <m/>
    <n v="21104"/>
    <s v="CELESTE"/>
    <n v="9.1999999999999993"/>
    <n v="0"/>
    <n v="0"/>
    <n v="8.3230000000000004"/>
    <n v="9.1999999999999993"/>
    <n v="29"/>
    <n v="317.24137931034483"/>
    <x v="0"/>
    <x v="0"/>
    <n v="4"/>
    <n v="1"/>
    <n v="23.916666666666668"/>
  </r>
  <r>
    <d v="2025-01-20T10:30:00"/>
    <s v="SOPLADO"/>
    <x v="11"/>
    <x v="15"/>
    <s v="JUAN MANUEL"/>
    <s v="VIRGEN"/>
    <s v="PP SOPLADO"/>
    <s v="."/>
    <s v="TOMATODO 350ML PASTEL"/>
    <s v="TOMATODO 350ML PASTEL-TURQUESA"/>
    <n v="1800"/>
    <n v="9"/>
    <n v="57.6"/>
    <x v="0"/>
    <m/>
    <m/>
    <m/>
    <n v="21104"/>
    <s v="TURQUESA"/>
    <n v="50.4"/>
    <n v="0"/>
    <n v="0"/>
    <n v="52.2"/>
    <n v="57.6"/>
    <n v="29"/>
    <n v="1986.2068965517242"/>
    <x v="0"/>
    <x v="0"/>
    <n v="4"/>
    <n v="1"/>
    <n v="150"/>
  </r>
  <r>
    <d v="2025-01-20T10:30:00"/>
    <s v="SOPLADO"/>
    <x v="11"/>
    <x v="29"/>
    <s v="DAIMARY LINAREZ"/>
    <s v="VIRGEN"/>
    <s v="PP SOPLADO"/>
    <s v="."/>
    <s v="TOMATODO 350ML PASTEL"/>
    <s v="TOMATODO 350ML PASTEL-TURQUESA"/>
    <n v="121"/>
    <n v="1"/>
    <n v="3.9"/>
    <x v="0"/>
    <m/>
    <m/>
    <m/>
    <n v="21105"/>
    <s v="TURQUESA"/>
    <n v="11.9"/>
    <n v="0"/>
    <n v="0"/>
    <n v="3.5089999999999999"/>
    <n v="3.9"/>
    <n v="29"/>
    <n v="134.48275862068965"/>
    <x v="0"/>
    <x v="0"/>
    <n v="4"/>
    <n v="1"/>
    <n v="10.083333333333334"/>
  </r>
  <r>
    <d v="2025-01-20T10:30:00"/>
    <s v="SOPLADO"/>
    <x v="11"/>
    <x v="29"/>
    <s v="DAIMARY LINAREZ"/>
    <s v="VIRGEN"/>
    <s v="PP SOPLADO"/>
    <s v="."/>
    <s v="TOMATODO 350ML PASTEL"/>
    <s v="TOMATODO 350ML PASTEL-AZURE"/>
    <n v="1200"/>
    <n v="7"/>
    <n v="38.5"/>
    <x v="0"/>
    <m/>
    <m/>
    <m/>
    <n v="21105"/>
    <s v="AZURE"/>
    <n v="14.7"/>
    <n v="0"/>
    <n v="0"/>
    <n v="34.799999999999997"/>
    <n v="38.5"/>
    <n v="29"/>
    <n v="1327.5862068965516"/>
    <x v="0"/>
    <x v="0"/>
    <n v="4"/>
    <n v="1"/>
    <n v="100"/>
  </r>
  <r>
    <d v="2025-01-20T10:30:00"/>
    <s v="SOPLADO"/>
    <x v="11"/>
    <x v="7"/>
    <s v="CRISALIDA ZAPATA"/>
    <s v="VIRGEN"/>
    <s v="PP SOPLADO"/>
    <s v="."/>
    <s v="TOMATODO 350ML PASTEL"/>
    <s v="TOMATODO 350ML PASTEL-AZURE"/>
    <n v="796"/>
    <n v="5"/>
    <n v="26.3"/>
    <x v="0"/>
    <m/>
    <m/>
    <m/>
    <n v="21106"/>
    <s v="AZURE"/>
    <n v="26.3"/>
    <n v="0"/>
    <n v="0"/>
    <n v="23.084"/>
    <n v="26.3"/>
    <n v="29"/>
    <n v="906.89655172413791"/>
    <x v="0"/>
    <x v="0"/>
    <n v="5"/>
    <n v="1"/>
    <n v="66.333333333333329"/>
  </r>
  <r>
    <d v="2025-01-20T10:30:00"/>
    <s v="SOPLADO"/>
    <x v="11"/>
    <x v="7"/>
    <s v="CRISALIDA ZAPATA"/>
    <s v="VIRGEN"/>
    <s v="PP SOPLADO"/>
    <s v="."/>
    <s v="TOMATODO 350ML PASTEL"/>
    <s v="TOMATODO 350ML PASTEL-ROSADO"/>
    <n v="872"/>
    <n v="4"/>
    <n v="28.8"/>
    <x v="0"/>
    <m/>
    <m/>
    <m/>
    <n v="21106"/>
    <s v="ROSADO"/>
    <n v="24"/>
    <n v="0"/>
    <n v="0"/>
    <n v="25.288"/>
    <n v="28.8"/>
    <n v="29"/>
    <n v="993.10344827586209"/>
    <x v="0"/>
    <x v="0"/>
    <n v="5"/>
    <n v="1"/>
    <n v="72.666666666666671"/>
  </r>
  <r>
    <d v="2025-01-20T10:30:00"/>
    <s v="SOPLADO"/>
    <x v="11"/>
    <x v="7"/>
    <s v="JUAN MANUEL"/>
    <s v="VIRGEN"/>
    <s v="PP SOPLADO"/>
    <s v="."/>
    <s v="TOMATODO 350ML PASTEL"/>
    <s v="TOMATODO 350ML PASTEL-ROSADO"/>
    <n v="1042"/>
    <n v="6"/>
    <n v="34.4"/>
    <x v="0"/>
    <m/>
    <m/>
    <m/>
    <n v="21107"/>
    <s v="ROSADO"/>
    <n v="34.4"/>
    <n v="0"/>
    <n v="0"/>
    <n v="30.218"/>
    <n v="34.4"/>
    <n v="29"/>
    <n v="1186.2068965517242"/>
    <x v="0"/>
    <x v="0"/>
    <n v="5"/>
    <n v="1"/>
    <n v="86.833333333333329"/>
  </r>
  <r>
    <d v="2025-01-20T10:30:00"/>
    <s v="SOPLADO"/>
    <x v="11"/>
    <x v="7"/>
    <s v="JUAN MANUEL"/>
    <s v="VIRGEN"/>
    <s v="PP SOPLADO"/>
    <s v="."/>
    <s v="TOMATODO 350ML PASTEL"/>
    <s v="TOMATODO 350ML PASTEL-LILA"/>
    <n v="1239"/>
    <n v="6"/>
    <n v="40.9"/>
    <x v="0"/>
    <m/>
    <m/>
    <m/>
    <n v="21107"/>
    <s v="LILA"/>
    <n v="40.090000000000003"/>
    <n v="0"/>
    <n v="0"/>
    <n v="35.930999999999997"/>
    <n v="40.9"/>
    <n v="29"/>
    <n v="1410.344827586207"/>
    <x v="0"/>
    <x v="0"/>
    <n v="5"/>
    <n v="1"/>
    <n v="103.25"/>
  </r>
  <r>
    <d v="2025-01-20T10:30:00"/>
    <s v="SOPLADO"/>
    <x v="11"/>
    <x v="8"/>
    <s v="CRISALIDA ZAPATA"/>
    <s v="VIRGEN"/>
    <s v="PP SOPLADO"/>
    <s v="."/>
    <s v="TOMATODO 350ML PASTEL"/>
    <s v="TOMATODO 350ML PASTEL-LILA"/>
    <n v="821"/>
    <n v="5"/>
    <n v="27.1"/>
    <x v="0"/>
    <m/>
    <m/>
    <m/>
    <n v="21108"/>
    <s v="LILA"/>
    <n v="16.600000000000001"/>
    <n v="0"/>
    <n v="0"/>
    <n v="23.809000000000001"/>
    <n v="27.1"/>
    <n v="29"/>
    <n v="934.48275862068965"/>
    <x v="0"/>
    <x v="0"/>
    <n v="5"/>
    <n v="1"/>
    <n v="68.416666666666671"/>
  </r>
  <r>
    <d v="2025-01-20T10:30:00"/>
    <s v="SOPLADO"/>
    <x v="11"/>
    <x v="8"/>
    <s v="CRISALIDA ZAPATA"/>
    <s v="VIRGEN"/>
    <s v="PP SOPLADO"/>
    <s v="."/>
    <s v="TOMATODO 350ML PASTEL"/>
    <s v="TOMATODO 350ML PASTEL-SANDIA"/>
    <n v="1281"/>
    <n v="6"/>
    <n v="42.3"/>
    <x v="0"/>
    <m/>
    <m/>
    <m/>
    <n v="21108"/>
    <s v="SANDIA"/>
    <n v="8.5"/>
    <n v="0"/>
    <n v="0"/>
    <n v="37.149000000000001"/>
    <n v="42.3"/>
    <n v="29"/>
    <n v="1458.6206896551723"/>
    <x v="0"/>
    <x v="0"/>
    <n v="5"/>
    <n v="1"/>
    <n v="106.75"/>
  </r>
  <r>
    <d v="2025-01-20T10:30:00"/>
    <s v="SOPLADO"/>
    <x v="11"/>
    <x v="8"/>
    <s v="JUAN MANUEL"/>
    <s v="VIRGEN"/>
    <s v="PP SOPLADO"/>
    <s v="."/>
    <s v="TOMATODO 350ML PASTEL"/>
    <s v="TOMATODO 350ML PASTEL-SANDIA"/>
    <n v="839"/>
    <n v="4"/>
    <n v="27.7"/>
    <x v="0"/>
    <m/>
    <m/>
    <m/>
    <n v="21109"/>
    <s v="SANDIA"/>
    <n v="33.299999999999997"/>
    <n v="0"/>
    <n v="0"/>
    <n v="24.331"/>
    <n v="27.7"/>
    <n v="29"/>
    <n v="955.17241379310349"/>
    <x v="0"/>
    <x v="0"/>
    <n v="5"/>
    <n v="1"/>
    <n v="69.916666666666671"/>
  </r>
  <r>
    <d v="2025-01-20T10:30:00"/>
    <s v="SOPLADO"/>
    <x v="11"/>
    <x v="8"/>
    <s v="JUAN MANUEL"/>
    <s v="VIRGEN"/>
    <s v="PP SOPLADO"/>
    <s v="."/>
    <s v="TOMATODO 350ML"/>
    <s v="TOMATODO 350ML-TRANSPARENTE"/>
    <n v="1036"/>
    <n v="6"/>
    <n v="34.200000000000003"/>
    <x v="0"/>
    <m/>
    <m/>
    <m/>
    <n v="21109"/>
    <s v="TRANSPARENTE"/>
    <n v="32.299999999999997"/>
    <n v="0"/>
    <n v="0"/>
    <n v="64.231999999999999"/>
    <n v="34.200000000000003"/>
    <n v="62"/>
    <n v="551.61290322580646"/>
    <x v="0"/>
    <x v="0"/>
    <n v="5"/>
    <n v="2"/>
    <n v="172.66666666666666"/>
  </r>
  <r>
    <d v="2025-01-20T10:30:00"/>
    <s v="SOPLADO"/>
    <x v="11"/>
    <x v="16"/>
    <s v="CRISALIDA ZAPATA"/>
    <s v="VIRGEN"/>
    <s v="PP SOPLADO"/>
    <s v="."/>
    <s v="TOMATODO 350ML"/>
    <s v="TOMATODO 350ML-TRANSPARENTE"/>
    <n v="1918"/>
    <n v="10"/>
    <n v="63.3"/>
    <x v="0"/>
    <m/>
    <m/>
    <m/>
    <n v="21110"/>
    <s v="TRANSPARENTE"/>
    <n v="26.4"/>
    <n v="0"/>
    <n v="0"/>
    <n v="118.916"/>
    <n v="63.3"/>
    <n v="62"/>
    <n v="1020.9677419354839"/>
    <x v="0"/>
    <x v="0"/>
    <n v="5"/>
    <n v="2"/>
    <n v="319.66666666666669"/>
  </r>
  <r>
    <d v="2025-01-20T10:30:00"/>
    <s v="SOPLADO"/>
    <x v="11"/>
    <x v="16"/>
    <s v="JUAN MANUEL"/>
    <s v="VIRGEN"/>
    <s v="PP SOPLADO"/>
    <s v="."/>
    <s v="TOMATODO 350ML"/>
    <s v="TOMATODO 350ML-TRANSPARENTE"/>
    <n v="2439"/>
    <n v="12"/>
    <n v="80.5"/>
    <x v="0"/>
    <m/>
    <m/>
    <m/>
    <n v="21111"/>
    <s v="TRANSPARENTE"/>
    <n v="80.5"/>
    <n v="0"/>
    <n v="0"/>
    <n v="151.21799999999999"/>
    <n v="80.5"/>
    <n v="62"/>
    <n v="1298.3870967741937"/>
    <x v="0"/>
    <x v="0"/>
    <n v="5"/>
    <n v="2"/>
    <n v="406.5"/>
  </r>
  <r>
    <d v="2025-01-20T10:30:00"/>
    <s v="SOPLADO"/>
    <x v="11"/>
    <x v="17"/>
    <s v="CRISALIDA ZAPATA"/>
    <s v="VIRGEN"/>
    <s v="PP SOPLADO"/>
    <s v="."/>
    <s v="TOMATODO 350ML"/>
    <s v="TOMATODO 350ML-TRANSPARENTE"/>
    <n v="218"/>
    <n v="1"/>
    <n v="7.2"/>
    <x v="0"/>
    <m/>
    <m/>
    <m/>
    <n v="21112"/>
    <s v="TRANSPARENTE"/>
    <n v="6.5"/>
    <n v="0"/>
    <n v="0"/>
    <n v="13.516"/>
    <n v="7.2"/>
    <n v="62"/>
    <n v="116.12903225806451"/>
    <x v="0"/>
    <x v="0"/>
    <n v="5"/>
    <n v="2"/>
    <n v="36.333333333333336"/>
  </r>
  <r>
    <d v="2025-01-20T10:30:00"/>
    <s v="SOPLADO"/>
    <x v="11"/>
    <x v="17"/>
    <s v="CRISALIDA ZAPATA"/>
    <s v="VIRGEN"/>
    <s v="PP SOPLADO"/>
    <s v="."/>
    <s v="TOMATODO 350ML PASTEL"/>
    <s v="TOMATODO 350ML PASTEL-CELESTE"/>
    <n v="1078"/>
    <n v="6"/>
    <n v="35.299999999999997"/>
    <x v="0"/>
    <m/>
    <m/>
    <m/>
    <n v="21112"/>
    <s v="CELESTE"/>
    <n v="19.100000000000001"/>
    <n v="0"/>
    <n v="0"/>
    <n v="31.262"/>
    <n v="35.299999999999997"/>
    <n v="29"/>
    <n v="1217.2413793103449"/>
    <x v="0"/>
    <x v="0"/>
    <n v="5"/>
    <n v="1"/>
    <n v="89.833333333333329"/>
  </r>
  <r>
    <d v="2025-01-20T10:30:00"/>
    <s v="SOPLADO"/>
    <x v="11"/>
    <x v="17"/>
    <s v="CRISALIDA ZAPATA"/>
    <s v="VIRGEN"/>
    <s v="PP SOPLADO"/>
    <s v="."/>
    <s v="TOMATODO 350ML PASTEL"/>
    <s v="TOMATODO 350ML PASTEL-AZURE"/>
    <n v="464"/>
    <n v="3"/>
    <n v="15.5"/>
    <x v="0"/>
    <m/>
    <m/>
    <m/>
    <n v="21112"/>
    <s v="AZURE"/>
    <n v="15.5"/>
    <n v="0"/>
    <n v="0"/>
    <n v="13.456"/>
    <n v="15.5"/>
    <n v="29"/>
    <n v="534.48275862068965"/>
    <x v="0"/>
    <x v="0"/>
    <n v="5"/>
    <n v="1"/>
    <n v="38.666666666666664"/>
  </r>
  <r>
    <d v="2025-01-20T10:30:00"/>
    <s v="SOPLADO"/>
    <x v="11"/>
    <x v="17"/>
    <s v="JUAN MANUEL"/>
    <s v="VIRGEN"/>
    <s v="PP SOPLADO"/>
    <s v="."/>
    <s v="TOMATODO 350ML PASTEL"/>
    <s v="TOMATODO 350ML PASTEL-AZURE"/>
    <n v="45"/>
    <n v="1"/>
    <n v="1.6"/>
    <x v="0"/>
    <m/>
    <m/>
    <m/>
    <n v="21113"/>
    <s v="AZURE"/>
    <n v="4"/>
    <n v="0"/>
    <n v="0"/>
    <n v="1.3049999999999999"/>
    <n v="1.6"/>
    <n v="29"/>
    <n v="55.172413793103445"/>
    <x v="0"/>
    <x v="0"/>
    <n v="5"/>
    <n v="1"/>
    <n v="3.75"/>
  </r>
  <r>
    <d v="2025-01-20T10:30:00"/>
    <s v="SOPLADO"/>
    <x v="11"/>
    <x v="17"/>
    <s v="JUAN MANUEL"/>
    <s v="VIRGEN"/>
    <s v="PP SOPLADO"/>
    <s v="."/>
    <s v="TOMATODO 350ML"/>
    <s v="TOMATODO 350ML-TRANSPARENTE"/>
    <n v="1185"/>
    <n v="7"/>
    <n v="42.1"/>
    <x v="0"/>
    <m/>
    <m/>
    <m/>
    <n v="21113"/>
    <s v="TRANSPARENTE"/>
    <n v="35"/>
    <n v="0"/>
    <n v="0"/>
    <n v="73.47"/>
    <n v="42.1"/>
    <n v="62"/>
    <n v="679.0322580645161"/>
    <x v="0"/>
    <x v="0"/>
    <n v="5"/>
    <n v="2"/>
    <n v="197.5"/>
  </r>
  <r>
    <d v="2025-01-20T10:30:00"/>
    <s v="SOPLADO"/>
    <x v="11"/>
    <x v="26"/>
    <s v="CRISALIDA ZAPATA"/>
    <s v="VIRGEN"/>
    <s v="PP SOPLADO"/>
    <s v="."/>
    <s v="TOMATODO 350ML"/>
    <s v="TOMATODO 350ML-TRANSPARENTE"/>
    <n v="1794"/>
    <n v="12"/>
    <n v="62.8"/>
    <x v="0"/>
    <m/>
    <m/>
    <m/>
    <n v="21114"/>
    <s v="TRANSPARENTE"/>
    <n v="26.8"/>
    <n v="0"/>
    <n v="0"/>
    <n v="111.22799999999999"/>
    <n v="62.8"/>
    <n v="62"/>
    <n v="1012.9032258064516"/>
    <x v="0"/>
    <x v="0"/>
    <n v="5"/>
    <n v="2"/>
    <n v="299"/>
  </r>
  <r>
    <d v="2025-01-20T10:30:00"/>
    <s v="SOPLADO"/>
    <x v="11"/>
    <x v="26"/>
    <s v="JUAN MANUEL"/>
    <s v="VIRGEN"/>
    <s v="PP SOPLADO"/>
    <s v="."/>
    <s v="TOMATODO 350ML"/>
    <s v="TOMATODO 350ML-TRANSPARENTE"/>
    <n v="1900"/>
    <n v="12"/>
    <n v="66.5"/>
    <x v="0"/>
    <m/>
    <m/>
    <m/>
    <n v="21115"/>
    <s v="TRANSPARENTE"/>
    <n v="32.799999999999997"/>
    <n v="0"/>
    <n v="0"/>
    <n v="117.8"/>
    <n v="66.5"/>
    <n v="62"/>
    <n v="1072.5806451612902"/>
    <x v="0"/>
    <x v="0"/>
    <n v="5"/>
    <n v="2"/>
    <n v="316.66666666666669"/>
  </r>
  <r>
    <d v="2025-03-02T08:46:00"/>
    <s v="INYECTADO"/>
    <x v="4"/>
    <x v="30"/>
    <s v="LUIS RENGIFO"/>
    <s v="VIRGEN"/>
    <s v="PP CLARIFICADO"/>
    <s v="."/>
    <s v="PUNTA DOBLE CLICK"/>
    <s v="PUNTA DOBLE CLICK-LILA"/>
    <n v="505"/>
    <n v="3"/>
    <n v="21.2"/>
    <x v="0"/>
    <n v="0"/>
    <n v="1"/>
    <n v="983"/>
    <n v="20411"/>
    <s v="LILA"/>
    <n v="10.1"/>
    <n v="0"/>
    <n v="0"/>
    <n v="1.7675000000000001"/>
    <n v="21.2"/>
    <n v="3.5"/>
    <n v="6057.1428571428569"/>
    <x v="1"/>
    <x v="0"/>
    <n v="7"/>
    <n v="12"/>
    <n v="505"/>
  </r>
  <r>
    <d v="2025-03-02T08:46:00"/>
    <s v="INYECTADO"/>
    <x v="4"/>
    <x v="30"/>
    <s v="LUIS RENGIFO"/>
    <s v="VIRGEN"/>
    <s v="PP CLARIFICADO"/>
    <s v="."/>
    <s v="PUNTA DOBLE CLICK"/>
    <s v="PUNTA DOBLE CLICK-FUCSIA"/>
    <n v="497"/>
    <n v="3"/>
    <n v="20.9"/>
    <x v="0"/>
    <n v="0"/>
    <n v="1"/>
    <n v="983"/>
    <n v="20411"/>
    <s v="ROSADO"/>
    <n v="20.9"/>
    <n v="0"/>
    <n v="0"/>
    <n v="1.7395"/>
    <n v="20.9"/>
    <n v="3.5"/>
    <n v="5971.4285714285716"/>
    <x v="1"/>
    <x v="0"/>
    <n v="7"/>
    <n v="12"/>
    <n v="497"/>
  </r>
  <r>
    <d v="2025-03-02T08:46:00"/>
    <s v="INYECTADO"/>
    <x v="4"/>
    <x v="31"/>
    <s v="CRISALIDA ZAPATA"/>
    <s v="VIRGEN"/>
    <s v="PP CLARIFICADO"/>
    <s v="."/>
    <s v="PUNTA DOBLE CLICK"/>
    <s v="PUNTA DOBLE CLICK-FUCSIA"/>
    <n v="136"/>
    <n v="1"/>
    <n v="5.6"/>
    <x v="0"/>
    <n v="0"/>
    <n v="1"/>
    <n v="983"/>
    <n v="20412"/>
    <s v="ROSADO"/>
    <n v="4.0999999999999996"/>
    <n v="0"/>
    <n v="0"/>
    <n v="0.47599999999999998"/>
    <n v="5.6"/>
    <n v="3.5"/>
    <n v="1600"/>
    <x v="1"/>
    <x v="0"/>
    <n v="7"/>
    <n v="12"/>
    <n v="136"/>
  </r>
  <r>
    <d v="2025-03-02T08:46:00"/>
    <s v="INYECTADO"/>
    <x v="4"/>
    <x v="31"/>
    <s v="CRISALIDA ZAPATA"/>
    <s v="VIRGEN"/>
    <s v="PP CLARIFICADO"/>
    <s v="."/>
    <s v="PUNTA DOBLE CLICK"/>
    <s v="PUNTA DOBLE CLICK-VERDE"/>
    <n v="452"/>
    <n v="3"/>
    <n v="18.100000000000001"/>
    <x v="0"/>
    <n v="0"/>
    <n v="1"/>
    <n v="983"/>
    <n v="20412"/>
    <s v="VERDE"/>
    <n v="10.4"/>
    <n v="0"/>
    <n v="0"/>
    <n v="1.5820000000000001"/>
    <n v="18.100000000000001"/>
    <n v="3.5"/>
    <n v="5171.4285714285716"/>
    <x v="1"/>
    <x v="0"/>
    <n v="7"/>
    <n v="12"/>
    <n v="452"/>
  </r>
  <r>
    <d v="2025-03-02T08:46:00"/>
    <s v="INYECTADO"/>
    <x v="4"/>
    <x v="31"/>
    <s v="CRISALIDA ZAPATA"/>
    <s v="VIRGEN"/>
    <s v="PP CLARIFICADO"/>
    <s v="."/>
    <s v="PUNTA DOBLE CLICK"/>
    <s v="PUNTA DOBLE CLICK-ANARANJADO"/>
    <n v="427"/>
    <n v="3"/>
    <n v="17.100000000000001"/>
    <x v="0"/>
    <n v="0"/>
    <n v="1"/>
    <n v="983"/>
    <n v="20412"/>
    <s v="NARANJA"/>
    <n v="9.3000000000000007"/>
    <n v="0"/>
    <n v="0"/>
    <n v="1.4944999999999999"/>
    <n v="17.100000000000001"/>
    <n v="3.5"/>
    <n v="4885.7142857142853"/>
    <x v="1"/>
    <x v="0"/>
    <n v="7"/>
    <n v="12"/>
    <n v="427"/>
  </r>
  <r>
    <d v="2025-03-02T08:46:00"/>
    <s v="INYECTADO"/>
    <x v="4"/>
    <x v="31"/>
    <s v="CRISALIDA ZAPATA"/>
    <s v="VIRGEN"/>
    <s v="PP CLARIFICADO"/>
    <s v="."/>
    <s v="PUNTA DOBLE CLICK"/>
    <s v="PUNTA DOBLE CLICK-FUCSIA"/>
    <n v="278"/>
    <n v="2"/>
    <n v="11.4"/>
    <x v="0"/>
    <n v="0"/>
    <n v="1"/>
    <n v="983"/>
    <n v="20412"/>
    <s v="FUCSIA"/>
    <n v="4.8"/>
    <n v="0"/>
    <n v="0"/>
    <n v="0.97299999999999998"/>
    <n v="11.4"/>
    <n v="3.5"/>
    <n v="3257.1428571428573"/>
    <x v="1"/>
    <x v="0"/>
    <n v="7"/>
    <n v="12"/>
    <n v="278"/>
  </r>
  <r>
    <d v="2025-03-02T08:46:00"/>
    <s v="INYECTADO"/>
    <x v="4"/>
    <x v="31"/>
    <s v="CRISALIDA ZAPATA"/>
    <s v="VIRGEN"/>
    <s v="PP CLARIFICADO"/>
    <s v="."/>
    <s v="PUNTA DOBLE CLICK"/>
    <s v="PUNTA DOBLE CLICK-LILA"/>
    <n v="278"/>
    <n v="2"/>
    <n v="10.3"/>
    <x v="0"/>
    <n v="0"/>
    <n v="1"/>
    <n v="983"/>
    <n v="20412"/>
    <s v="LILA"/>
    <n v="5.8"/>
    <n v="0"/>
    <n v="0"/>
    <n v="0.97299999999999998"/>
    <n v="10.3"/>
    <n v="3.5"/>
    <n v="2942.8571428571427"/>
    <x v="1"/>
    <x v="0"/>
    <n v="7"/>
    <n v="12"/>
    <n v="278"/>
  </r>
  <r>
    <d v="2025-03-02T08:46:00"/>
    <s v="INYECTADO"/>
    <x v="4"/>
    <x v="32"/>
    <s v="CRISALIDA ZAPATA"/>
    <s v="VIRGEN"/>
    <s v="PP CLARIFICADO"/>
    <s v="."/>
    <s v="ASAS PRESION ORG 5,10,15"/>
    <s v="ASAS PRESION ORG 5,10,15 -PLOMO"/>
    <n v="1384"/>
    <n v="11"/>
    <n v="54.1"/>
    <x v="0"/>
    <n v="0"/>
    <n v="4"/>
    <n v="1009"/>
    <n v="20413"/>
    <s v="PLOMO"/>
    <n v="9.9"/>
    <n v="0"/>
    <n v="0"/>
    <n v="13.84"/>
    <n v="54.1"/>
    <n v="10"/>
    <n v="5410"/>
    <x v="1"/>
    <x v="0"/>
    <n v="7"/>
    <n v="4"/>
    <n v="461.33333333333331"/>
  </r>
  <r>
    <d v="2025-03-02T08:46:00"/>
    <s v="INYECTADO"/>
    <x v="4"/>
    <x v="33"/>
    <s v="ESTHER GUEVARA"/>
    <s v="VIRGEN"/>
    <s v="PP CLARIFICADO"/>
    <s v="."/>
    <s v="ASAS PRESION ORG 5,10,15"/>
    <s v="ASAS PRESION ORG 5,10,15 -PLOMO"/>
    <n v="1230"/>
    <n v="10"/>
    <n v="47.9"/>
    <x v="0"/>
    <n v="0"/>
    <n v="3"/>
    <n v="1009"/>
    <n v="20414"/>
    <s v="PLOMO"/>
    <n v="4.2"/>
    <n v="0"/>
    <n v="0"/>
    <n v="12.3"/>
    <n v="47.9"/>
    <n v="10"/>
    <n v="4790"/>
    <x v="1"/>
    <x v="0"/>
    <n v="7"/>
    <n v="4"/>
    <n v="410"/>
  </r>
  <r>
    <d v="2025-03-02T08:46:00"/>
    <s v="INYECTADO"/>
    <x v="4"/>
    <x v="34"/>
    <s v="CRISALIDA ZAPATA"/>
    <s v="VIRGEN"/>
    <s v="PP CLARIFICADO"/>
    <s v="."/>
    <s v="ASAS PRESION ORG 5,10,15"/>
    <s v="ASAS PRESION ORG 5,10,15 -PLOMO"/>
    <n v="1271"/>
    <n v="11"/>
    <n v="49.6"/>
    <x v="0"/>
    <n v="0"/>
    <n v="5"/>
    <n v="1009"/>
    <n v="20415"/>
    <s v="PLOMO"/>
    <n v="4.3"/>
    <n v="0"/>
    <n v="0"/>
    <n v="12.71"/>
    <n v="49.6"/>
    <n v="10"/>
    <n v="4960"/>
    <x v="1"/>
    <x v="0"/>
    <n v="8"/>
    <n v="4"/>
    <n v="423.66666666666669"/>
  </r>
  <r>
    <d v="2025-03-02T08:46:00"/>
    <s v="INYECTADO"/>
    <x v="5"/>
    <x v="35"/>
    <s v="JUAN CARLOS CEDENO"/>
    <s v="SEGUNDA"/>
    <s v="."/>
    <s v="MIXTO"/>
    <s v="EMBUDO #1"/>
    <s v="EMBUDO #1-LILA"/>
    <n v="554"/>
    <n v="8"/>
    <n v="47.7"/>
    <x v="0"/>
    <n v="0"/>
    <n v="0"/>
    <n v="948"/>
    <n v="20347"/>
    <s v="LILA"/>
    <n v="23.199999999999996"/>
    <n v="0"/>
    <n v="0"/>
    <n v="12.188000000000001"/>
    <n v="47.7"/>
    <n v="22"/>
    <n v="2168.181818181818"/>
    <x v="1"/>
    <x v="0"/>
    <n v="6"/>
    <n v="4"/>
    <n v="184.66666666666666"/>
  </r>
  <r>
    <d v="2025-03-02T08:46:00"/>
    <s v="INYECTADO"/>
    <x v="5"/>
    <x v="35"/>
    <s v="JUAN MANUEL PEREZ"/>
    <s v="SEGUNDA"/>
    <s v="."/>
    <s v="MIXTO"/>
    <s v="EMBUDO #1"/>
    <s v="EMBUDO #1-CELESTE"/>
    <n v="403"/>
    <n v="6"/>
    <n v="34.700000000000003"/>
    <x v="1"/>
    <n v="0"/>
    <n v="0"/>
    <n v="948"/>
    <n v="20348"/>
    <s v="CELESTE"/>
    <n v="7.2"/>
    <n v="0"/>
    <n v="0"/>
    <n v="8.8659999999999997"/>
    <n v="34.700000000000003"/>
    <n v="22"/>
    <n v="1577.2727272727273"/>
    <x v="1"/>
    <x v="0"/>
    <n v="6"/>
    <n v="4"/>
    <n v="134.33333333333334"/>
  </r>
  <r>
    <d v="2025-03-02T08:46:00"/>
    <s v="INYECTADO"/>
    <x v="5"/>
    <x v="35"/>
    <s v="JUAN MANUEL PEREZ"/>
    <s v="SEGUNDA"/>
    <s v="."/>
    <s v="MIXTO"/>
    <s v="EMBUDO #1"/>
    <s v="EMBUDO #1-AMARILLO"/>
    <n v="170"/>
    <n v="2"/>
    <n v="14.4"/>
    <x v="1"/>
    <n v="0"/>
    <n v="0"/>
    <n v="948"/>
    <n v="20348"/>
    <s v="AMARILLO"/>
    <n v="4"/>
    <n v="0"/>
    <n v="0"/>
    <n v="3.74"/>
    <n v="14.4"/>
    <n v="22"/>
    <n v="654.5454545454545"/>
    <x v="1"/>
    <x v="0"/>
    <n v="6"/>
    <n v="4"/>
    <n v="56.666666666666664"/>
  </r>
  <r>
    <d v="2025-03-02T08:46:00"/>
    <s v="INYECTADO"/>
    <x v="5"/>
    <x v="35"/>
    <s v="JUAN MANUEL PEREZ"/>
    <s v="SEGUNDA"/>
    <s v="."/>
    <s v="MIXTO"/>
    <s v="EMBUDO #1"/>
    <s v="EMBUDO #1-LILA"/>
    <n v="43"/>
    <n v="1"/>
    <n v="3.7"/>
    <x v="1"/>
    <n v="0"/>
    <n v="0"/>
    <n v="948"/>
    <n v="20348"/>
    <s v="LILA"/>
    <n v="0"/>
    <n v="0"/>
    <n v="0"/>
    <n v="0.94599999999999995"/>
    <n v="3.7"/>
    <n v="22"/>
    <n v="168.18181818181819"/>
    <x v="1"/>
    <x v="0"/>
    <n v="6"/>
    <n v="4"/>
    <n v="14.333333333333334"/>
  </r>
  <r>
    <d v="2025-03-02T08:46:00"/>
    <s v="INYECTADO"/>
    <x v="5"/>
    <x v="30"/>
    <s v="ISABEL LINARIZ "/>
    <s v="VIRGEN"/>
    <s v="PP CLARIFICADO"/>
    <s v="."/>
    <s v="CANASTA CAROLINA"/>
    <s v="CANASTA CAROLINA-TURQUESA"/>
    <n v="577"/>
    <n v="7"/>
    <n v="72.099999999999994"/>
    <x v="0"/>
    <n v="0"/>
    <n v="0"/>
    <n v="948"/>
    <n v="20349"/>
    <s v="TURQUESA"/>
    <n v="17"/>
    <n v="0"/>
    <n v="0"/>
    <n v="66.355000000000004"/>
    <n v="72.099999999999994"/>
    <n v="115"/>
    <n v="626.95652173913038"/>
    <x v="1"/>
    <x v="0"/>
    <n v="7"/>
    <n v="1"/>
    <n v="48.083333333333336"/>
  </r>
  <r>
    <d v="2025-03-02T08:46:00"/>
    <s v="INYECTADO"/>
    <x v="5"/>
    <x v="31"/>
    <s v="ISABEL LINARIZ "/>
    <s v="VIRGEN"/>
    <s v="PP CLARIFICADO"/>
    <s v="."/>
    <s v="CANASTA CAROLINA"/>
    <s v="CANASTA CAROLINA-TURQUESA"/>
    <n v="37"/>
    <n v="1"/>
    <n v="4.5999999999999996"/>
    <x v="0"/>
    <n v="0"/>
    <n v="0"/>
    <n v="948"/>
    <n v="20350"/>
    <s v="TURQUESA"/>
    <n v="0"/>
    <n v="0"/>
    <n v="0"/>
    <n v="4.2549999999999999"/>
    <n v="4.5999999999999996"/>
    <n v="115"/>
    <n v="40"/>
    <x v="1"/>
    <x v="0"/>
    <n v="7"/>
    <n v="1"/>
    <n v="3.0833333333333335"/>
  </r>
  <r>
    <d v="2025-03-02T08:46:00"/>
    <s v="INYECTADO"/>
    <x v="5"/>
    <x v="31"/>
    <s v="ISABEL LINARIZ "/>
    <s v="VIRGEN"/>
    <s v="PP CLARIFICADO"/>
    <s v="."/>
    <s v="CANASTA CAROLINA"/>
    <s v="CANASTA CAROLINA-LILA"/>
    <n v="620"/>
    <n v="8"/>
    <n v="77.5"/>
    <x v="0"/>
    <n v="0"/>
    <n v="0"/>
    <n v="948"/>
    <n v="20350"/>
    <s v="LILA"/>
    <n v="12.9"/>
    <n v="0"/>
    <n v="0"/>
    <n v="71.3"/>
    <n v="77.5"/>
    <n v="115"/>
    <n v="673.91304347826087"/>
    <x v="1"/>
    <x v="0"/>
    <n v="7"/>
    <n v="1"/>
    <n v="51.666666666666664"/>
  </r>
  <r>
    <d v="2025-03-02T08:46:00"/>
    <s v="INYECTADO"/>
    <x v="5"/>
    <x v="36"/>
    <s v="JOSE CAHUACHI"/>
    <s v="VIRGEN"/>
    <s v="PP CLARIFICADO"/>
    <s v="."/>
    <s v="CANASTA CAROLINA"/>
    <s v="CANASTA CAROLINA-MELON"/>
    <n v="472"/>
    <n v="3"/>
    <n v="59"/>
    <x v="0"/>
    <n v="0"/>
    <n v="0"/>
    <n v="948"/>
    <n v="20351"/>
    <s v="MELON"/>
    <n v="25.4"/>
    <n v="0"/>
    <n v="0"/>
    <n v="54.28"/>
    <n v="59"/>
    <n v="115"/>
    <n v="513.04347826086962"/>
    <x v="1"/>
    <x v="0"/>
    <n v="7"/>
    <n v="1"/>
    <n v="39.333333333333336"/>
  </r>
  <r>
    <d v="2025-03-02T08:46:00"/>
    <s v="INYECTADO"/>
    <x v="5"/>
    <x v="37"/>
    <s v="JOSE CAHUACHI"/>
    <s v="VIRGEN"/>
    <s v="PP CLARIFICADO"/>
    <s v="."/>
    <s v="CANASTA CAROLINA"/>
    <s v="CANASTA CAROLINA-MELON"/>
    <n v="120"/>
    <n v="1"/>
    <n v="15"/>
    <x v="0"/>
    <n v="0"/>
    <n v="0"/>
    <n v="948"/>
    <n v="20352"/>
    <s v="MELON"/>
    <n v="6.5"/>
    <n v="0"/>
    <n v="0"/>
    <n v="13.8"/>
    <n v="15"/>
    <n v="115"/>
    <n v="130.43478260869566"/>
    <x v="1"/>
    <x v="0"/>
    <n v="7"/>
    <n v="1"/>
    <n v="10"/>
  </r>
  <r>
    <d v="2025-03-02T08:46:00"/>
    <s v="INYECTADO"/>
    <x v="5"/>
    <x v="37"/>
    <s v="JOSE CAHUACHI"/>
    <s v="VIRGEN"/>
    <s v="PP CLARIFICADO"/>
    <s v="."/>
    <s v="CANASTA CAROLINA"/>
    <s v="CANASTA CAROLINA-ROSADO"/>
    <n v="300"/>
    <n v="2"/>
    <n v="37.5"/>
    <x v="0"/>
    <n v="0"/>
    <n v="0"/>
    <n v="948"/>
    <n v="20352"/>
    <s v="ROSADO"/>
    <n v="4.5999999999999996"/>
    <n v="0"/>
    <n v="0"/>
    <n v="34.5"/>
    <n v="37.5"/>
    <n v="115"/>
    <n v="326.08695652173913"/>
    <x v="1"/>
    <x v="0"/>
    <n v="7"/>
    <n v="1"/>
    <n v="25"/>
  </r>
  <r>
    <d v="2025-03-02T08:46:00"/>
    <s v="INYECTADO"/>
    <x v="5"/>
    <x v="32"/>
    <s v="CARLOS SULCA"/>
    <s v="SEGUNDA"/>
    <s v="."/>
    <s v="MIXTO"/>
    <s v="ASAS DE BALDE PLAYERO"/>
    <s v="ASA DE BALDE PLAYERO-LILA"/>
    <n v="939"/>
    <n v="8"/>
    <n v="38.5"/>
    <x v="0"/>
    <n v="0"/>
    <n v="0"/>
    <n v="1010"/>
    <n v="20353"/>
    <s v="LILA"/>
    <n v="14.9"/>
    <n v="0"/>
    <n v="0"/>
    <n v="9.39"/>
    <n v="38.5"/>
    <n v="10"/>
    <n v="3850"/>
    <x v="1"/>
    <x v="0"/>
    <n v="7"/>
    <n v="4"/>
    <n v="313"/>
  </r>
  <r>
    <d v="2025-03-02T08:46:00"/>
    <s v="INYECTADO"/>
    <x v="5"/>
    <x v="32"/>
    <s v="CARLOS SULCA"/>
    <s v="SEGUNDA"/>
    <s v="."/>
    <s v="MIXTO"/>
    <s v="ASAS DE BALDE PLAYERO"/>
    <s v="ASA DE BALDE PLAYERO-VERDE"/>
    <n v="50"/>
    <n v="1"/>
    <n v="2"/>
    <x v="0"/>
    <n v="0"/>
    <n v="0"/>
    <n v="1010"/>
    <n v="20353"/>
    <s v="VERDE"/>
    <n v="0"/>
    <n v="0"/>
    <n v="0"/>
    <n v="0.5"/>
    <n v="2"/>
    <n v="10"/>
    <n v="200"/>
    <x v="1"/>
    <x v="0"/>
    <n v="7"/>
    <n v="4"/>
    <n v="16.666666666666668"/>
  </r>
  <r>
    <d v="2025-03-02T08:46:00"/>
    <s v="INYECTADO"/>
    <x v="5"/>
    <x v="34"/>
    <s v="JUAN CARLOS CEDENO"/>
    <s v="SEGUNDA"/>
    <s v="."/>
    <s v="MIXTO"/>
    <s v="ASAS DE BALDE PLAYERO"/>
    <s v="ASA DE BALDE PLAYERO-VERDE"/>
    <n v="862"/>
    <n v="8"/>
    <n v="34.5"/>
    <x v="0"/>
    <n v="0"/>
    <n v="0"/>
    <n v="1010"/>
    <n v="20355"/>
    <s v="VERDE"/>
    <n v="15.7"/>
    <n v="0"/>
    <n v="0"/>
    <n v="8.6199999999999992"/>
    <n v="34.5"/>
    <n v="10"/>
    <n v="3450"/>
    <x v="1"/>
    <x v="0"/>
    <n v="8"/>
    <n v="4"/>
    <n v="287.33333333333331"/>
  </r>
  <r>
    <d v="2025-03-02T08:46:00"/>
    <s v="INYECTADO"/>
    <x v="5"/>
    <x v="34"/>
    <s v="JUAN CARLOS CEDENO"/>
    <s v="SEGUNDA"/>
    <s v="."/>
    <s v="MIXTO"/>
    <s v="ASAS DE BALDE PLAYERO"/>
    <s v="ASA DE BALDE PLAYERO-AZUL"/>
    <n v="275"/>
    <n v="3"/>
    <n v="11"/>
    <x v="0"/>
    <n v="0"/>
    <n v="0"/>
    <n v="1010"/>
    <n v="20355"/>
    <s v="AZUL"/>
    <n v="3.9"/>
    <n v="0"/>
    <n v="0"/>
    <n v="2.75"/>
    <n v="11"/>
    <n v="10"/>
    <n v="1100"/>
    <x v="1"/>
    <x v="0"/>
    <n v="8"/>
    <n v="4"/>
    <n v="91.666666666666671"/>
  </r>
  <r>
    <d v="2025-03-02T08:46:00"/>
    <s v="INYECTADO"/>
    <x v="5"/>
    <x v="38"/>
    <s v="FABIAN HERNANDEZ"/>
    <s v="SEGUNDA"/>
    <s v="."/>
    <s v="MIXTO"/>
    <s v="ASAS DE BALDE PLAYERO"/>
    <s v="ASA DE BALDE PLAYERO-AZUL"/>
    <n v="420"/>
    <n v="6"/>
    <n v="16.8"/>
    <x v="0"/>
    <n v="0"/>
    <n v="0"/>
    <n v="1010"/>
    <n v="20356"/>
    <s v="AZUL"/>
    <n v="12.1"/>
    <n v="0"/>
    <n v="0"/>
    <n v="4.2"/>
    <n v="16.8"/>
    <n v="10"/>
    <n v="1680"/>
    <x v="1"/>
    <x v="0"/>
    <n v="9"/>
    <n v="4"/>
    <n v="140"/>
  </r>
  <r>
    <d v="2025-03-02T08:46:00"/>
    <s v="INYECTADO"/>
    <x v="5"/>
    <x v="38"/>
    <s v="FABIAN HERNANDEZ"/>
    <s v="SEGUNDA"/>
    <s v="."/>
    <s v="MIXTO"/>
    <s v="ASAS DE BALDE PLAYERO"/>
    <s v="ASA DE BALDE PLAYERO-LILA"/>
    <n v="277"/>
    <n v="4"/>
    <n v="11.1"/>
    <x v="0"/>
    <n v="0"/>
    <n v="0"/>
    <n v="1010"/>
    <n v="20356"/>
    <s v="LILA"/>
    <n v="3.5"/>
    <n v="0"/>
    <n v="0"/>
    <n v="2.77"/>
    <n v="11.1"/>
    <n v="10"/>
    <n v="1110"/>
    <x v="1"/>
    <x v="0"/>
    <n v="9"/>
    <n v="4"/>
    <n v="92.333333333333329"/>
  </r>
  <r>
    <d v="2025-03-02T08:46:00"/>
    <s v="INYECTADO"/>
    <x v="5"/>
    <x v="39"/>
    <s v="SAID VILLAMIZAR"/>
    <s v="VIRGEN"/>
    <s v="PP CLARIFICADO"/>
    <s v="."/>
    <s v="ASAS DE BALDE PLAYERO"/>
    <s v="ASA DE BALDE PLAYERO-AMARILLO"/>
    <n v="345"/>
    <n v="4"/>
    <n v="13.8"/>
    <x v="0"/>
    <n v="0"/>
    <n v="0"/>
    <n v="1010"/>
    <n v="20354"/>
    <s v="AMARILLO"/>
    <n v="0"/>
    <n v="0"/>
    <n v="0"/>
    <n v="3.45"/>
    <n v="13.8"/>
    <n v="10"/>
    <n v="1380"/>
    <x v="1"/>
    <x v="0"/>
    <n v="9"/>
    <n v="4"/>
    <n v="115"/>
  </r>
  <r>
    <d v="2025-03-02T08:46:00"/>
    <s v="INYECTADO"/>
    <x v="5"/>
    <x v="39"/>
    <s v="SAID VILLAMIZAR"/>
    <s v="SEGUNDA"/>
    <s v="."/>
    <s v="MIXTO"/>
    <s v="ASAS DE BALDE PLAYERO"/>
    <s v="ASA DE BALDE PLAYERO-FUCSIA"/>
    <n v="422"/>
    <n v="3"/>
    <n v="16.899999999999999"/>
    <x v="0"/>
    <n v="0"/>
    <n v="0"/>
    <n v="1010"/>
    <n v="20354"/>
    <s v="FUCSIA"/>
    <n v="0"/>
    <n v="0"/>
    <n v="0"/>
    <n v="4.22"/>
    <n v="16.899999999999999"/>
    <n v="10"/>
    <n v="1690"/>
    <x v="1"/>
    <x v="0"/>
    <n v="9"/>
    <n v="4"/>
    <n v="140.66666666666666"/>
  </r>
  <r>
    <d v="2025-03-02T08:46:00"/>
    <s v="INYECTADO"/>
    <x v="5"/>
    <x v="40"/>
    <s v="GABRIEL REQUENA"/>
    <s v="SEGUNDA"/>
    <s v="."/>
    <s v="MIXTO"/>
    <s v="ASAS DE BALDE PLAYERO"/>
    <s v="ASA DE BALDE PLAYERO-FUCSIA"/>
    <n v="187"/>
    <n v="2"/>
    <n v="7.7"/>
    <x v="0"/>
    <n v="0"/>
    <n v="0"/>
    <n v="1010"/>
    <n v="20357"/>
    <s v="FUCSIA"/>
    <n v="3.4"/>
    <n v="0"/>
    <n v="0"/>
    <n v="1.87"/>
    <n v="7.7"/>
    <n v="10"/>
    <n v="770"/>
    <x v="1"/>
    <x v="0"/>
    <n v="9"/>
    <n v="4"/>
    <n v="62.333333333333336"/>
  </r>
  <r>
    <d v="2025-03-02T08:46:00"/>
    <s v="INYECTADO"/>
    <x v="5"/>
    <x v="40"/>
    <s v="GABRIEL REQUENA"/>
    <s v="SEGUNDA"/>
    <s v="."/>
    <s v="MIXTO"/>
    <s v="ASAS DE BALDE PLAYERO"/>
    <s v="ASA DE BALDE PLAYERO-LILA"/>
    <n v="134"/>
    <n v="2"/>
    <n v="5.5"/>
    <x v="0"/>
    <n v="0"/>
    <n v="0"/>
    <n v="1010"/>
    <n v="20357"/>
    <s v="LILA"/>
    <n v="2.2000000000000002"/>
    <n v="0"/>
    <n v="0"/>
    <n v="1.34"/>
    <n v="5.5"/>
    <n v="10"/>
    <n v="550"/>
    <x v="1"/>
    <x v="0"/>
    <n v="9"/>
    <n v="4"/>
    <n v="44.666666666666664"/>
  </r>
  <r>
    <d v="2025-03-02T08:46:00"/>
    <s v="INYECTADO"/>
    <x v="0"/>
    <x v="41"/>
    <s v="GABRIEL REQUENA"/>
    <s v="VIRGEN"/>
    <s v="PP CLARIFICADO"/>
    <s v="."/>
    <s v="TAPA TOMATODO DOBLE CLICK SOLIDO"/>
    <s v="TAPA TOMATODO DOBLE CLICK-VERDE"/>
    <n v="109"/>
    <n v="2"/>
    <n v="19.2"/>
    <x v="0"/>
    <n v="0"/>
    <n v="2"/>
    <n v="976"/>
    <n v="20732"/>
    <s v="VERDE"/>
    <n v="3"/>
    <n v="0"/>
    <n v="0"/>
    <n v="2.4132600000000002"/>
    <n v="19.2"/>
    <n v="22.14"/>
    <n v="867.20867208672087"/>
    <x v="1"/>
    <x v="0"/>
    <n v="5"/>
    <n v="7"/>
    <n v="63.583333333333336"/>
  </r>
  <r>
    <d v="2025-03-02T08:46:00"/>
    <s v="INYECTADO"/>
    <x v="0"/>
    <x v="41"/>
    <s v="GABRIEL REQUENA"/>
    <s v="VIRGEN"/>
    <s v="PP CLARIFICADO"/>
    <s v="."/>
    <s v="TAPA TOMATODO DOBLE CLICK SOLIDO"/>
    <s v="TAPA TOMATODO DOBLE CLICK-LILA"/>
    <n v="69"/>
    <n v="1"/>
    <n v="12.2"/>
    <x v="0"/>
    <n v="0"/>
    <n v="2"/>
    <n v="976"/>
    <n v="20732"/>
    <s v="LILA"/>
    <n v="4.0999999999999996"/>
    <n v="0"/>
    <n v="0"/>
    <n v="1.52766"/>
    <n v="12.2"/>
    <n v="22.14"/>
    <n v="551.03884372177049"/>
    <x v="1"/>
    <x v="0"/>
    <n v="5"/>
    <n v="7"/>
    <n v="40.25"/>
  </r>
  <r>
    <d v="2025-03-02T08:46:00"/>
    <s v="INYECTADO"/>
    <x v="0"/>
    <x v="41"/>
    <s v="GABRIEL REQUENA"/>
    <s v="VIRGEN"/>
    <s v="PP CLARIFICADO"/>
    <s v="."/>
    <s v="TAPA TOMATODO DOBLE CLICK SOLIDO"/>
    <s v="TAPA TOMATODO DOBLE CLICK-TURQUESA"/>
    <n v="390"/>
    <n v="6"/>
    <n v="69"/>
    <x v="0"/>
    <n v="0"/>
    <n v="8"/>
    <n v="976"/>
    <n v="20732"/>
    <s v="TURQUESA"/>
    <n v="12.3"/>
    <n v="0"/>
    <n v="0"/>
    <n v="8.6346000000000007"/>
    <n v="69"/>
    <n v="22.14"/>
    <n v="3116.5311653116532"/>
    <x v="1"/>
    <x v="0"/>
    <n v="5"/>
    <n v="7"/>
    <n v="227.5"/>
  </r>
  <r>
    <d v="2025-03-02T08:46:00"/>
    <s v="INYECTADO"/>
    <x v="0"/>
    <x v="42"/>
    <s v="ISABEL LINARIZ "/>
    <s v="VIRGEN"/>
    <s v="PP CLARIFICADO"/>
    <s v="."/>
    <s v="TAPA TOMATODO DOBLE CLICK SOLIDO"/>
    <s v="TAPA TOMATODO DOBLE CLICK-FUCSIA"/>
    <n v="255"/>
    <n v="3"/>
    <n v="44.8"/>
    <x v="0"/>
    <n v="0"/>
    <n v="4"/>
    <n v="976"/>
    <n v="20733"/>
    <s v="ROSADO"/>
    <n v="0"/>
    <n v="0"/>
    <n v="0"/>
    <n v="5.6456999999999997"/>
    <n v="44.8"/>
    <n v="22.14"/>
    <n v="2023.4869015356819"/>
    <x v="1"/>
    <x v="0"/>
    <n v="6"/>
    <n v="7"/>
    <n v="148.75"/>
  </r>
  <r>
    <d v="2025-03-02T08:46:00"/>
    <s v="INYECTADO"/>
    <x v="0"/>
    <x v="42"/>
    <s v="ISABEL LINARIZ "/>
    <s v="VIRGEN"/>
    <s v="PP CLARIFICADO"/>
    <s v="."/>
    <s v="TAPA TOMATODO DOBLE CLICK SOLIDO"/>
    <s v="TAPA TOMATODO DOBLE CLICK-VERDE"/>
    <n v="151"/>
    <n v="2"/>
    <n v="26.5"/>
    <x v="0"/>
    <n v="0"/>
    <n v="3"/>
    <n v="976"/>
    <n v="20733"/>
    <s v="VERDE"/>
    <n v="5.8"/>
    <n v="0"/>
    <n v="0"/>
    <n v="3.34314"/>
    <n v="26.5"/>
    <n v="22.14"/>
    <n v="1196.9286359530261"/>
    <x v="1"/>
    <x v="0"/>
    <n v="6"/>
    <n v="7"/>
    <n v="88.083333333333329"/>
  </r>
  <r>
    <d v="2025-03-02T08:46:00"/>
    <s v="INYECTADO"/>
    <x v="0"/>
    <x v="36"/>
    <s v="ISABEL LINARIZ "/>
    <s v="VIRGEN"/>
    <s v="PP CLARIFICADO"/>
    <s v="."/>
    <s v="TAPA TOMATODO DOBLE CLICK SOLIDO"/>
    <s v="TAPA TOMATODO DOBLE CLICK-TURQUESA"/>
    <n v="369"/>
    <n v="7"/>
    <n v="65.599999999999994"/>
    <x v="0"/>
    <n v="0"/>
    <n v="7"/>
    <n v="976"/>
    <n v="20734"/>
    <s v="TURQUESA"/>
    <n v="3"/>
    <n v="0"/>
    <n v="0"/>
    <n v="8.1696600000000004"/>
    <n v="65.599999999999994"/>
    <n v="22.14"/>
    <n v="2962.962962962963"/>
    <x v="1"/>
    <x v="0"/>
    <n v="7"/>
    <n v="7"/>
    <n v="215.25"/>
  </r>
  <r>
    <d v="2025-03-02T08:46:00"/>
    <s v="INYECTADO"/>
    <x v="0"/>
    <x v="37"/>
    <s v="JUAN CARLOS CEDENO"/>
    <s v="VIRGEN"/>
    <s v="PP CLARIFICADO"/>
    <s v="."/>
    <s v="TAPA TOMATODO DOBLE CLICK PASTEL"/>
    <s v="TAPA TOMATODO DOBLE CLICK-SANDIA"/>
    <n v="268"/>
    <n v="5"/>
    <n v="47.4"/>
    <x v="0"/>
    <n v="0"/>
    <n v="5"/>
    <n v="976"/>
    <n v="20735"/>
    <s v="SANDIA"/>
    <n v="8"/>
    <n v="0"/>
    <n v="0"/>
    <n v="5.9335200000000006"/>
    <n v="47.4"/>
    <n v="22.14"/>
    <n v="2140.9214092140919"/>
    <x v="1"/>
    <x v="0"/>
    <n v="7"/>
    <n v="7"/>
    <n v="156.33333333333334"/>
  </r>
  <r>
    <d v="2025-03-02T08:46:00"/>
    <s v="INYECTADO"/>
    <x v="0"/>
    <x v="37"/>
    <s v="JOSDER GONZALEZ"/>
    <s v="VIRGEN"/>
    <s v="PP CLARIFICADO"/>
    <s v="."/>
    <s v="TAPA TOMATODO DOBLE CLICK PASTEL"/>
    <s v="TAPA TOMATODO DOBLE CLICK-CELESTE"/>
    <n v="250"/>
    <n v="6"/>
    <n v="44.2"/>
    <x v="1"/>
    <n v="0"/>
    <n v="7"/>
    <n v="976"/>
    <n v="20736"/>
    <s v="CELESTE"/>
    <n v="6.3"/>
    <n v="0"/>
    <n v="0"/>
    <n v="5.5350000000000001"/>
    <n v="44.2"/>
    <n v="22.14"/>
    <n v="1996.386630532972"/>
    <x v="1"/>
    <x v="0"/>
    <n v="7"/>
    <n v="7"/>
    <n v="145.83333333333334"/>
  </r>
  <r>
    <d v="2025-03-02T08:46:00"/>
    <s v="INYECTADO"/>
    <x v="0"/>
    <x v="37"/>
    <s v="JOSDER GONZALEZ"/>
    <s v="VIRGEN"/>
    <s v="PP CLARIFICADO"/>
    <s v="."/>
    <s v="TAPA TOMATODO DOBLE CLICK PASTEL"/>
    <s v="TAPA TOMATODO DOBLE CLICK-AZURE"/>
    <n v="243"/>
    <n v="3"/>
    <n v="43.5"/>
    <x v="1"/>
    <n v="0"/>
    <n v="5"/>
    <n v="976"/>
    <n v="20736"/>
    <s v="AZURE"/>
    <n v="5.6"/>
    <n v="0"/>
    <n v="0"/>
    <n v="5.38002"/>
    <n v="43.5"/>
    <n v="22.14"/>
    <n v="1964.769647696477"/>
    <x v="1"/>
    <x v="0"/>
    <n v="7"/>
    <n v="7"/>
    <n v="141.75"/>
  </r>
  <r>
    <d v="2025-03-02T08:46:00"/>
    <s v="INYECTADO"/>
    <x v="0"/>
    <x v="32"/>
    <s v="JUAN CARLOS CEDENO"/>
    <s v="VIRGEN"/>
    <s v="PP CLARIFICADO"/>
    <s v="."/>
    <s v="TAPA TOMATODO DOBLE CLICK SOLIDO"/>
    <s v="TAPA TOMATODO DOBLE CLICK-FUCSIA"/>
    <n v="132"/>
    <n v="3"/>
    <n v="23.3"/>
    <x v="0"/>
    <n v="0"/>
    <n v="2"/>
    <n v="976"/>
    <n v="20737"/>
    <s v="FUCSIA"/>
    <n v="2.8"/>
    <n v="0"/>
    <n v="0"/>
    <n v="2.9224800000000002"/>
    <n v="23.3"/>
    <n v="22.14"/>
    <n v="1052.393857271906"/>
    <x v="1"/>
    <x v="0"/>
    <n v="7"/>
    <n v="7"/>
    <n v="77"/>
  </r>
  <r>
    <d v="2025-03-02T08:46:00"/>
    <s v="INYECTADO"/>
    <x v="0"/>
    <x v="32"/>
    <s v="JUAN CARLOS CEDENO"/>
    <s v="VIRGEN"/>
    <s v="PP CLARIFICADO"/>
    <s v="."/>
    <s v="TAPA TOMATODO DOBLE CLICK SOLIDO"/>
    <s v="TAPA TOMATODO DOBLE CLICK-LILA"/>
    <n v="263"/>
    <n v="4"/>
    <n v="46.5"/>
    <x v="0"/>
    <n v="0"/>
    <n v="5"/>
    <n v="976"/>
    <n v="20737"/>
    <s v="LILA"/>
    <n v="11.7"/>
    <n v="0"/>
    <n v="0"/>
    <n v="5.8228200000000001"/>
    <n v="46.5"/>
    <n v="22.14"/>
    <n v="2100.271002710027"/>
    <x v="1"/>
    <x v="0"/>
    <n v="7"/>
    <n v="7"/>
    <n v="153.41666666666666"/>
  </r>
  <r>
    <d v="2025-03-02T08:46:00"/>
    <s v="INYECTADO"/>
    <x v="0"/>
    <x v="32"/>
    <s v="JUAN CARLOS CEDENO"/>
    <s v="VIRGEN"/>
    <s v="PP CLARIFICADO"/>
    <s v="."/>
    <s v="TAPA TOMATODO DOBLE CLICK SOLIDO"/>
    <s v="TAPA TOMATODO DOBLE CLICK-VERDE"/>
    <n v="258"/>
    <n v="4"/>
    <n v="44.1"/>
    <x v="0"/>
    <n v="0"/>
    <n v="6"/>
    <n v="976"/>
    <n v="20737"/>
    <s v="VERDE"/>
    <n v="13.8"/>
    <n v="0"/>
    <n v="0"/>
    <n v="5.7121199999999996"/>
    <n v="44.1"/>
    <n v="22.14"/>
    <n v="1991.8699186991869"/>
    <x v="1"/>
    <x v="0"/>
    <n v="7"/>
    <n v="7"/>
    <n v="150.5"/>
  </r>
  <r>
    <d v="2025-03-02T08:46:00"/>
    <s v="INYECTADO"/>
    <x v="0"/>
    <x v="33"/>
    <s v="LEONOR GUTIERREZ"/>
    <s v="VIRGEN"/>
    <s v="PP CLARIFICADO"/>
    <s v="."/>
    <s v="TAPA TOMATODO DOBLE CLICK SOLIDO"/>
    <s v="TAPA TOMATODO DOBLE CLICK-TURQUESA"/>
    <n v="257"/>
    <n v="4"/>
    <n v="44.9"/>
    <x v="0"/>
    <n v="0"/>
    <n v="4"/>
    <n v="976"/>
    <n v="20738"/>
    <s v="TURQUESA"/>
    <n v="5.7"/>
    <n v="0"/>
    <n v="0"/>
    <n v="5.6899800000000003"/>
    <n v="44.9"/>
    <n v="22.14"/>
    <n v="2028.0036133694671"/>
    <x v="1"/>
    <x v="0"/>
    <n v="7"/>
    <n v="7"/>
    <n v="149.91666666666666"/>
  </r>
  <r>
    <d v="2025-03-02T08:46:00"/>
    <s v="INYECTADO"/>
    <x v="0"/>
    <x v="33"/>
    <s v="LEONOR GUTIERREZ"/>
    <s v="VIRGEN"/>
    <s v="PP CLARIFICADO"/>
    <s v="."/>
    <s v="TAPA TOMATODO DOBLE CLICK SOLIDO"/>
    <s v="TAPA TOMATODO DOBLE CLICK-ANARANJADO"/>
    <n v="127"/>
    <n v="2"/>
    <n v="22.4"/>
    <x v="0"/>
    <n v="0"/>
    <n v="3"/>
    <n v="976"/>
    <n v="20738"/>
    <s v="NARANJA"/>
    <n v="7.8"/>
    <n v="0"/>
    <n v="0"/>
    <n v="2.8117800000000002"/>
    <n v="22.4"/>
    <n v="22.14"/>
    <n v="1011.743450767841"/>
    <x v="1"/>
    <x v="0"/>
    <n v="7"/>
    <n v="7"/>
    <n v="74.083333333333329"/>
  </r>
  <r>
    <d v="2025-03-02T08:46:00"/>
    <s v="INYECTADO"/>
    <x v="0"/>
    <x v="33"/>
    <s v="LEONOR GUTIERREZ"/>
    <s v="VIRGEN"/>
    <s v="PP CLARIFICADO"/>
    <s v="."/>
    <s v="TAPA TOMATODO DOBLE CLICK SOLIDO"/>
    <s v="TAPA TOMATODO DOBLE CLICK-ROSADO"/>
    <n v="128"/>
    <n v="2"/>
    <n v="22.6"/>
    <x v="0"/>
    <n v="0"/>
    <n v="3"/>
    <n v="976"/>
    <n v="20738"/>
    <s v="ROSADO"/>
    <n v="6.3"/>
    <n v="0"/>
    <n v="0"/>
    <n v="2.83392"/>
    <n v="22.6"/>
    <n v="22.14"/>
    <n v="1020.7768744354109"/>
    <x v="1"/>
    <x v="0"/>
    <n v="7"/>
    <n v="5"/>
    <n v="53.333333333333336"/>
  </r>
  <r>
    <d v="2025-03-02T08:46:00"/>
    <s v="INYECTADO"/>
    <x v="0"/>
    <x v="33"/>
    <s v="LEONOR GUTIERREZ"/>
    <s v="VIRGEN"/>
    <s v="PP CLARIFICADO"/>
    <s v="."/>
    <s v="TAPA TOMATODO DOBLE CLICK SOLIDO"/>
    <s v="TAPA TOMATODO DOBLE CLICK-LILA"/>
    <n v="92"/>
    <n v="2"/>
    <n v="16.2"/>
    <x v="0"/>
    <n v="0"/>
    <n v="2"/>
    <n v="976"/>
    <n v="20738"/>
    <s v="LILA"/>
    <n v="2.8"/>
    <n v="0"/>
    <n v="0"/>
    <n v="2.03688"/>
    <n v="16.2"/>
    <n v="22.14"/>
    <n v="731.70731707317066"/>
    <x v="1"/>
    <x v="0"/>
    <n v="7"/>
    <n v="7"/>
    <n v="53.666666666666664"/>
  </r>
  <r>
    <d v="2025-03-02T08:46:00"/>
    <s v="INYECTADO"/>
    <x v="0"/>
    <x v="34"/>
    <s v="LUIS PINEDO"/>
    <s v="VIRGEN"/>
    <s v="PP CLARIFICADO"/>
    <s v="."/>
    <s v="TAPA TOMATODO DOBLE CLICK SOLIDO"/>
    <s v="TAPA TOMATODO DOBLE CLICK-LILA"/>
    <n v="279"/>
    <n v="6"/>
    <n v="49.9"/>
    <x v="0"/>
    <n v="0"/>
    <n v="6"/>
    <n v="976"/>
    <n v="20739"/>
    <s v="LILA"/>
    <n v="0"/>
    <n v="0"/>
    <n v="0"/>
    <n v="6.17706"/>
    <n v="49.9"/>
    <n v="22.14"/>
    <n v="2253.8392050587172"/>
    <x v="1"/>
    <x v="0"/>
    <n v="8"/>
    <n v="7"/>
    <n v="162.75"/>
  </r>
  <r>
    <d v="2025-03-02T08:46:00"/>
    <s v="INYECTADO"/>
    <x v="0"/>
    <x v="43"/>
    <s v="JUAN CARLOS CEDENO"/>
    <s v="VIRGEN"/>
    <s v="PP CLARIFICADO"/>
    <s v="."/>
    <s v="TAPA TOMATODO DOBLE CLICK SOLIDO"/>
    <s v="TAPA TOMATODO DOBLE CLICK-FUCSIA"/>
    <n v="267"/>
    <n v="5"/>
    <n v="46.9"/>
    <x v="0"/>
    <n v="0"/>
    <n v="5"/>
    <n v="976"/>
    <n v="20740"/>
    <s v="FUCSIA"/>
    <n v="5.4"/>
    <n v="0"/>
    <n v="0"/>
    <n v="5.9113800000000003"/>
    <n v="46.9"/>
    <n v="22.14"/>
    <n v="2118.3378500451672"/>
    <x v="1"/>
    <x v="0"/>
    <n v="8"/>
    <n v="7"/>
    <n v="155.75"/>
  </r>
  <r>
    <d v="2025-03-02T08:46:00"/>
    <s v="INYECTADO"/>
    <x v="0"/>
    <x v="43"/>
    <s v="JUAN CARLOS CEDENO"/>
    <s v="VIRGEN"/>
    <s v="PP CLARIFICADO"/>
    <s v="."/>
    <s v="TAPA TOMATODO DOBLE CLICK SOLIDO"/>
    <s v="TAPA TOMATODO DOBLE CLICK-ANARANJADO"/>
    <n v="272"/>
    <n v="4"/>
    <n v="48.8"/>
    <x v="0"/>
    <n v="0"/>
    <n v="4"/>
    <n v="976"/>
    <n v="20740"/>
    <s v="NARANJA"/>
    <n v="10.9"/>
    <n v="0"/>
    <n v="0"/>
    <n v="6.0220799999999999"/>
    <n v="48.8"/>
    <n v="22.14"/>
    <n v="2204.155374887082"/>
    <x v="1"/>
    <x v="0"/>
    <n v="8"/>
    <n v="7"/>
    <n v="158.66666666666666"/>
  </r>
  <r>
    <d v="2025-03-02T08:46:00"/>
    <s v="INYECTADO"/>
    <x v="0"/>
    <x v="43"/>
    <s v="JUAN CARLOS CEDENO"/>
    <s v="VIRGEN"/>
    <s v="PP CLARIFICADO"/>
    <s v="."/>
    <s v="TAPA TOMATODO DOBLE CLICK SOLIDO"/>
    <s v="TAPA TOMATODO DOBLE CLICK-AMARILLO"/>
    <n v="54"/>
    <n v="1"/>
    <n v="9.5"/>
    <x v="0"/>
    <n v="0"/>
    <n v="1"/>
    <n v="976"/>
    <n v="20740"/>
    <s v="AMARILLO"/>
    <n v="0"/>
    <n v="0"/>
    <n v="0"/>
    <n v="1.19556"/>
    <n v="9.5"/>
    <n v="22.14"/>
    <n v="429.08762420957544"/>
    <x v="1"/>
    <x v="0"/>
    <n v="8"/>
    <n v="7"/>
    <n v="31.5"/>
  </r>
  <r>
    <d v="2025-03-02T08:46:00"/>
    <s v="INYECTADO"/>
    <x v="0"/>
    <x v="44"/>
    <s v="JOSE CAHUACHI"/>
    <s v="VIRGEN"/>
    <s v="PP CLARIFICADO"/>
    <s v="."/>
    <s v="TAPA TOMATODO DOBLE CLICK SOLIDO"/>
    <s v="TAPA TOMATODO DOBLE CLICK-VERDE"/>
    <n v="267"/>
    <n v="4"/>
    <n v="47.2"/>
    <x v="0"/>
    <n v="0"/>
    <n v="0"/>
    <n v="976"/>
    <n v="20741"/>
    <s v="VERDE"/>
    <n v="14"/>
    <n v="0"/>
    <n v="0"/>
    <n v="5.9113800000000003"/>
    <n v="47.2"/>
    <n v="22.14"/>
    <n v="2131.887985546522"/>
    <x v="1"/>
    <x v="0"/>
    <n v="8"/>
    <n v="7"/>
    <n v="155.75"/>
  </r>
  <r>
    <d v="2025-03-02T08:46:00"/>
    <s v="INYECTADO"/>
    <x v="0"/>
    <x v="44"/>
    <s v="JOSE CAHUACHI"/>
    <s v="VIRGEN"/>
    <s v="PP CLARIFICADO"/>
    <s v="."/>
    <s v="TAPA TOMATODO DOBLE CLICK SOLIDO"/>
    <s v="TAPA TOMATODO DOBLE CLICK-AMARILLO"/>
    <n v="199"/>
    <n v="4"/>
    <n v="35.200000000000003"/>
    <x v="0"/>
    <n v="0"/>
    <n v="0"/>
    <n v="976"/>
    <n v="20741"/>
    <s v="AMARILLO"/>
    <n v="7.8"/>
    <n v="0"/>
    <n v="0"/>
    <n v="4.4058599999999997"/>
    <n v="35.200000000000003"/>
    <n v="22.14"/>
    <n v="1589.8825654923216"/>
    <x v="1"/>
    <x v="0"/>
    <n v="8"/>
    <n v="7"/>
    <n v="116.08333333333333"/>
  </r>
  <r>
    <d v="2025-03-02T08:46:00"/>
    <s v="INYECTADO"/>
    <x v="0"/>
    <x v="44"/>
    <s v="JOSE CAHUACHI"/>
    <s v="VIRGEN"/>
    <s v="PP CLARIFICADO"/>
    <s v="."/>
    <s v="TAPA TOMATODO DOBLE CLICK SOLIDO"/>
    <s v="TAPA TOMATODO DOBLE CLICK-TURQUESA"/>
    <n v="110"/>
    <n v="3"/>
    <n v="19.399999999999999"/>
    <x v="0"/>
    <n v="0"/>
    <n v="0"/>
    <n v="976"/>
    <n v="20741"/>
    <s v="TURQUESA"/>
    <n v="2.8"/>
    <n v="0"/>
    <n v="0"/>
    <n v="2.4354"/>
    <n v="19.399999999999999"/>
    <n v="22.14"/>
    <n v="876.24209575429086"/>
    <x v="1"/>
    <x v="0"/>
    <n v="8"/>
    <n v="7"/>
    <n v="64.166666666666671"/>
  </r>
  <r>
    <d v="2025-03-02T08:46:00"/>
    <s v="INYECTADO"/>
    <x v="0"/>
    <x v="45"/>
    <s v="GABRIEL REQUENA"/>
    <s v="VIRGEN"/>
    <s v="PP CLARIFICADO"/>
    <s v="."/>
    <s v="TAPA TOMATODO DOBLE CLICK SOLIDO"/>
    <s v="TAPA TOMATODO DOBLE CLICK-TURQUESA"/>
    <n v="140"/>
    <n v="3"/>
    <n v="24.7"/>
    <x v="0"/>
    <n v="0"/>
    <n v="3"/>
    <n v="976"/>
    <n v="20742"/>
    <s v="TURQUESA"/>
    <n v="3.5"/>
    <n v="0"/>
    <n v="0"/>
    <n v="3.0995999999999997"/>
    <n v="24.7"/>
    <n v="22.14"/>
    <n v="1115.627822944896"/>
    <x v="1"/>
    <x v="0"/>
    <n v="9"/>
    <n v="7"/>
    <n v="81.666666666666671"/>
  </r>
  <r>
    <d v="2025-03-02T08:46:00"/>
    <s v="INYECTADO"/>
    <x v="0"/>
    <x v="45"/>
    <s v="GABRIEL REQUENA"/>
    <s v="VIRGEN"/>
    <s v="PP CLARIFICADO"/>
    <s v="."/>
    <s v="TAPA TOMATODO DOBLE CLICK SOLIDO"/>
    <s v="TAPA TOMATODO DOBLE CLICK-NEGRO"/>
    <n v="430"/>
    <n v="6"/>
    <n v="76.099999999999994"/>
    <x v="0"/>
    <n v="0"/>
    <n v="8"/>
    <n v="976"/>
    <n v="20742"/>
    <s v="NEGRO"/>
    <n v="0"/>
    <n v="0"/>
    <n v="0"/>
    <n v="9.5202000000000009"/>
    <n v="76.099999999999994"/>
    <n v="22.14"/>
    <n v="3437.2177055103884"/>
    <x v="1"/>
    <x v="0"/>
    <n v="9"/>
    <n v="5"/>
    <n v="179.16666666666666"/>
  </r>
  <r>
    <d v="2025-03-02T08:46:00"/>
    <s v="INYECTADO"/>
    <x v="0"/>
    <x v="45"/>
    <s v="JOSDER GONZALEZ"/>
    <s v="VIRGEN"/>
    <s v="PP CLARIFICADO"/>
    <s v="."/>
    <s v="TAPA TOMATODO DOBLE CLICK SOLIDO"/>
    <s v="TAPA TOMATODO DOBLE CLICK-NEGRO"/>
    <n v="657"/>
    <n v="11"/>
    <n v="115.6"/>
    <x v="1"/>
    <n v="0"/>
    <n v="12"/>
    <n v="976"/>
    <n v="20743"/>
    <s v="NEGRO"/>
    <n v="15.9"/>
    <n v="0"/>
    <n v="0"/>
    <n v="14.54598"/>
    <n v="115.6"/>
    <n v="22.14"/>
    <n v="5221.3188798554647"/>
    <x v="1"/>
    <x v="0"/>
    <n v="9"/>
    <n v="5"/>
    <n v="273.75"/>
  </r>
  <r>
    <d v="2025-03-02T08:46:00"/>
    <s v="INYECTADO"/>
    <x v="0"/>
    <x v="46"/>
    <s v="JUAN CARLOS CEDENO"/>
    <s v="VIRGEN"/>
    <s v="PP CLARIFICADO"/>
    <s v="."/>
    <s v="TAPA TOMATODO DOBLE CLICK SOLIDO"/>
    <s v="TAPA TOMATODO DOBLE CLICK-SANDIA"/>
    <n v="128"/>
    <n v="2"/>
    <n v="22.6"/>
    <x v="0"/>
    <n v="0"/>
    <n v="2"/>
    <n v="976"/>
    <n v="20744"/>
    <s v="SANDIA"/>
    <n v="0"/>
    <n v="0"/>
    <n v="0"/>
    <n v="2.83392"/>
    <n v="22.6"/>
    <n v="22.14"/>
    <n v="1020.7768744354109"/>
    <x v="1"/>
    <x v="0"/>
    <n v="9"/>
    <n v="7"/>
    <n v="74.666666666666671"/>
  </r>
  <r>
    <d v="2025-03-02T08:46:00"/>
    <s v="INYECTADO"/>
    <x v="0"/>
    <x v="46"/>
    <s v="JUAN CARLOS CEDENO"/>
    <s v="VIRGEN"/>
    <s v="PP CLARIFICADO"/>
    <s v="."/>
    <s v="TAPA TOMATODO DOBLE CLICK PASTEL"/>
    <s v="TAPA TOMATODO DOBLE CLICK-TURQUESA"/>
    <n v="42"/>
    <n v="1"/>
    <n v="7.4"/>
    <x v="0"/>
    <n v="0"/>
    <n v="1"/>
    <n v="976"/>
    <n v="20744"/>
    <s v="TURQUESA"/>
    <n v="0"/>
    <n v="0"/>
    <n v="0"/>
    <n v="0.92988000000000004"/>
    <n v="7.4"/>
    <n v="22.14"/>
    <n v="334.2366757000903"/>
    <x v="1"/>
    <x v="0"/>
    <n v="9"/>
    <n v="7"/>
    <n v="24.5"/>
  </r>
  <r>
    <d v="2025-03-02T08:46:00"/>
    <s v="INYECTADO"/>
    <x v="0"/>
    <x v="46"/>
    <s v="JUAN CARLOS CEDENO"/>
    <s v="VIRGEN"/>
    <s v="PP CLARIFICADO"/>
    <s v="."/>
    <s v="TAPA TOMATODO DOBLE CLICK PASTEL"/>
    <s v="TAPA TOMATODO DOBLE CLICK-NEGRO"/>
    <n v="601"/>
    <n v="8"/>
    <n v="106.3"/>
    <x v="0"/>
    <n v="0"/>
    <n v="8"/>
    <n v="976"/>
    <n v="20744"/>
    <s v="NEGRO"/>
    <n v="20.7"/>
    <n v="0"/>
    <n v="0"/>
    <n v="13.306140000000001"/>
    <n v="106.3"/>
    <n v="22.14"/>
    <n v="4801.26467931346"/>
    <x v="1"/>
    <x v="0"/>
    <n v="9"/>
    <n v="5"/>
    <n v="250.41666666666666"/>
  </r>
  <r>
    <d v="2025-03-02T08:46:00"/>
    <s v="INYECTADO"/>
    <x v="0"/>
    <x v="39"/>
    <s v="GABRIEL REQUENA"/>
    <s v="VIRGEN"/>
    <s v="PP CLARIFICADO"/>
    <s v="."/>
    <s v="TAPA TOMATODO DOBLE CLICK PASTEL"/>
    <s v="TAPA TOMATODO DOBLE CLICK-TURQUESA"/>
    <n v="90"/>
    <n v="1"/>
    <n v="15.9"/>
    <x v="0"/>
    <n v="0"/>
    <n v="0"/>
    <n v="976"/>
    <n v="20745"/>
    <s v="TURQUESA"/>
    <n v="4.5"/>
    <n v="0"/>
    <n v="0"/>
    <n v="1.9926000000000001"/>
    <n v="15.9"/>
    <n v="22.14"/>
    <n v="718.15718157181573"/>
    <x v="1"/>
    <x v="0"/>
    <n v="9"/>
    <n v="7"/>
    <n v="52.5"/>
  </r>
  <r>
    <d v="2025-03-02T08:46:00"/>
    <s v="INYECTADO"/>
    <x v="0"/>
    <x v="39"/>
    <s v="GABRIEL REQUENA"/>
    <s v="VIRGEN"/>
    <s v="PP CLARIFICADO"/>
    <s v="."/>
    <s v="TAPA TOMATODO DOBLE CLICK PASTEL"/>
    <s v="TAPA TOMATODO DOBLE CLICK-LILA"/>
    <n v="107"/>
    <n v="1"/>
    <n v="18.899999999999999"/>
    <x v="0"/>
    <n v="0"/>
    <n v="0"/>
    <n v="976"/>
    <n v="20745"/>
    <s v="LILA"/>
    <n v="6.6"/>
    <n v="0"/>
    <n v="0"/>
    <n v="2.3689800000000001"/>
    <n v="18.899999999999999"/>
    <n v="22.14"/>
    <n v="853.65853658536582"/>
    <x v="1"/>
    <x v="0"/>
    <n v="9"/>
    <n v="7"/>
    <n v="62.416666666666664"/>
  </r>
  <r>
    <d v="2025-03-02T08:46:00"/>
    <s v="INYECTADO"/>
    <x v="0"/>
    <x v="39"/>
    <s v="GABRIEL REQUENA"/>
    <s v="VIRGEN"/>
    <s v="PP CLARIFICADO"/>
    <s v="."/>
    <s v="TAPA TOMATODO DOBLE CLICK PASTEL"/>
    <s v="TAPA TOMATODO DOBLE CLICK-AZURE"/>
    <n v="8"/>
    <n v="1"/>
    <n v="1.4"/>
    <x v="0"/>
    <n v="0"/>
    <n v="0"/>
    <n v="976"/>
    <n v="20745"/>
    <s v="AZURE"/>
    <n v="0.8"/>
    <n v="0"/>
    <n v="0"/>
    <n v="0.17712"/>
    <n v="1.4"/>
    <n v="22.14"/>
    <n v="63.23396567299006"/>
    <x v="1"/>
    <x v="0"/>
    <n v="9"/>
    <n v="7"/>
    <n v="4.666666666666667"/>
  </r>
  <r>
    <d v="2025-03-02T08:46:00"/>
    <s v="INYECTADO"/>
    <x v="1"/>
    <x v="41"/>
    <s v="JOSDER GONZALEZ"/>
    <s v="SEGUNDA"/>
    <s v="."/>
    <s v="PP INY MOLIDO"/>
    <s v="PALA Y RASTRILLO ROMANO"/>
    <s v="PALA RASTRILLO ROMANO-FUCSIA"/>
    <n v="335"/>
    <n v="3"/>
    <n v="24.5"/>
    <x v="0"/>
    <n v="0"/>
    <n v="4"/>
    <n v="953"/>
    <n v="20654"/>
    <s v="FUCSIA"/>
    <n v="4.2"/>
    <n v="0"/>
    <n v="0"/>
    <n v="12.73"/>
    <n v="24.5"/>
    <n v="38"/>
    <n v="644.73684210526312"/>
    <x v="1"/>
    <x v="0"/>
    <n v="5"/>
    <n v="2"/>
    <n v="55.833333333333336"/>
  </r>
  <r>
    <d v="2025-03-02T08:46:00"/>
    <s v="INYECTADO"/>
    <x v="1"/>
    <x v="41"/>
    <s v="JOSDER GONZALEZ"/>
    <s v="SEGUNDA"/>
    <s v="."/>
    <s v="PP INY MOLIDO"/>
    <s v="PALA Y RASTRILLO ROMANO"/>
    <s v="PALA RASTRILLO ROMANO-LILA"/>
    <n v="305"/>
    <n v="3"/>
    <n v="22.3"/>
    <x v="0"/>
    <n v="0"/>
    <n v="4"/>
    <n v="953"/>
    <n v="20654"/>
    <s v="LILA"/>
    <n v="5.6"/>
    <n v="0"/>
    <n v="0"/>
    <n v="11.59"/>
    <n v="22.3"/>
    <n v="38"/>
    <n v="586.84210526315792"/>
    <x v="1"/>
    <x v="0"/>
    <n v="5"/>
    <n v="2"/>
    <n v="50.833333333333336"/>
  </r>
  <r>
    <d v="2025-03-02T08:46:00"/>
    <s v="INYECTADO"/>
    <x v="1"/>
    <x v="41"/>
    <s v="JOSDER GONZALEZ"/>
    <s v="SEGUNDA"/>
    <s v="."/>
    <s v="PP INY MOLIDO"/>
    <s v="PALA Y RASTRILLO ROMANO"/>
    <s v="PALA RASTRILLO ROMANO-AZUL"/>
    <n v="315"/>
    <n v="3"/>
    <n v="23"/>
    <x v="0"/>
    <n v="0"/>
    <n v="4"/>
    <n v="953"/>
    <n v="20654"/>
    <s v="AZUL"/>
    <n v="4.8"/>
    <n v="0"/>
    <n v="0"/>
    <n v="11.97"/>
    <n v="23"/>
    <n v="38"/>
    <n v="605.26315789473688"/>
    <x v="1"/>
    <x v="0"/>
    <n v="5"/>
    <n v="2"/>
    <n v="52.5"/>
  </r>
  <r>
    <d v="2025-03-02T08:46:00"/>
    <s v="INYECTADO"/>
    <x v="1"/>
    <x v="41"/>
    <s v="JOSDER GONZALEZ"/>
    <s v="SEGUNDA"/>
    <s v="."/>
    <s v="PP INY MOLIDO"/>
    <s v="PALA Y RASTRILLO ROMANO"/>
    <s v="PALA RASTRILLO ROMANO-ROJO"/>
    <n v="58"/>
    <n v="1"/>
    <n v="4.3"/>
    <x v="0"/>
    <n v="0"/>
    <n v="1"/>
    <n v="953"/>
    <n v="20654"/>
    <s v="ROJO"/>
    <n v="1.3"/>
    <n v="0"/>
    <n v="0"/>
    <n v="2.2040000000000002"/>
    <n v="4.3"/>
    <n v="38"/>
    <n v="113.15789473684211"/>
    <x v="1"/>
    <x v="0"/>
    <n v="5"/>
    <n v="2"/>
    <n v="9.6666666666666661"/>
  </r>
  <r>
    <d v="2025-03-02T08:46:00"/>
    <s v="INYECTADO"/>
    <x v="1"/>
    <x v="42"/>
    <s v="CRISALIDA ZAPATA"/>
    <s v="SEGUNDA"/>
    <s v="."/>
    <s v="PP INY MOLIDO"/>
    <s v="PALA Y RASTRILLO ROMANO"/>
    <s v="PALA RASTRILLO ROMANO-ROJO"/>
    <n v="166"/>
    <n v="2"/>
    <n v="12.3"/>
    <x v="0"/>
    <n v="0"/>
    <n v="2"/>
    <n v="953"/>
    <n v="20655"/>
    <s v="ROJO"/>
    <n v="5.0999999999999996"/>
    <n v="0"/>
    <n v="0"/>
    <n v="6.3079999999999998"/>
    <n v="12.3"/>
    <n v="38"/>
    <n v="323.68421052631578"/>
    <x v="1"/>
    <x v="0"/>
    <n v="6"/>
    <n v="2"/>
    <n v="27.666666666666668"/>
  </r>
  <r>
    <d v="2025-03-02T08:46:00"/>
    <s v="INYECTADO"/>
    <x v="1"/>
    <x v="42"/>
    <s v="CRISALIDA ZAPATA"/>
    <s v="SEGUNDA"/>
    <s v="."/>
    <s v="PP INY MOLIDO"/>
    <s v="PALA Y RASTRILLO ROMANO"/>
    <s v="PALA RASTRILLO ROMANO-FUCSIA"/>
    <n v="305"/>
    <n v="3"/>
    <n v="22.3"/>
    <x v="0"/>
    <n v="0"/>
    <n v="4"/>
    <n v="953"/>
    <n v="20655"/>
    <s v="FUCSIA"/>
    <n v="3.7"/>
    <n v="0"/>
    <n v="0"/>
    <n v="11.59"/>
    <n v="22.3"/>
    <n v="38"/>
    <n v="586.84210526315792"/>
    <x v="1"/>
    <x v="0"/>
    <n v="6"/>
    <n v="2"/>
    <n v="50.833333333333336"/>
  </r>
  <r>
    <d v="2025-03-02T08:46:00"/>
    <s v="INYECTADO"/>
    <x v="1"/>
    <x v="42"/>
    <s v="CRISALIDA ZAPATA"/>
    <s v="SEGUNDA"/>
    <s v="."/>
    <s v="PP INY MOLIDO"/>
    <s v="PALA Y RASTRILLO ROMANO"/>
    <s v="PALA RASTRILLO ROMANO-VERDE"/>
    <n v="345"/>
    <n v="3"/>
    <n v="25.2"/>
    <x v="0"/>
    <n v="0"/>
    <n v="3"/>
    <n v="953"/>
    <n v="20655"/>
    <s v="VERDE"/>
    <n v="5.4"/>
    <n v="0"/>
    <n v="0"/>
    <n v="13.11"/>
    <n v="25.2"/>
    <n v="38"/>
    <n v="663.15789473684208"/>
    <x v="1"/>
    <x v="0"/>
    <n v="6"/>
    <n v="2"/>
    <n v="57.5"/>
  </r>
  <r>
    <d v="2025-03-02T08:46:00"/>
    <s v="INYECTADO"/>
    <x v="1"/>
    <x v="42"/>
    <s v="CRISALIDA ZAPATA"/>
    <s v="SEGUNDA"/>
    <s v="."/>
    <s v="PP INY MOLIDO"/>
    <s v="PALA Y RASTRILLO ROMANO"/>
    <s v="PALA RASTRILLO ROMANO-LILA"/>
    <n v="294"/>
    <n v="2"/>
    <n v="21.5"/>
    <x v="0"/>
    <n v="0"/>
    <n v="2"/>
    <n v="953"/>
    <n v="20655"/>
    <s v="LILA"/>
    <n v="5.9"/>
    <n v="0"/>
    <n v="0"/>
    <n v="11.172000000000001"/>
    <n v="21.5"/>
    <n v="38"/>
    <n v="565.78947368421052"/>
    <x v="1"/>
    <x v="0"/>
    <n v="6"/>
    <n v="2"/>
    <n v="49"/>
  </r>
  <r>
    <d v="2025-03-02T08:46:00"/>
    <s v="INYECTADO"/>
    <x v="1"/>
    <x v="35"/>
    <s v="SAID VILLAMIZAR"/>
    <s v="SEGUNDA"/>
    <s v="."/>
    <s v="PP INY MOLIDO"/>
    <s v="PALA Y RASTRILLO ROMANO"/>
    <s v="PALA RASTRILLO ROMANO-VERDE"/>
    <n v="238"/>
    <n v="2"/>
    <n v="18"/>
    <x v="0"/>
    <n v="0"/>
    <n v="4"/>
    <n v="953"/>
    <n v="20656"/>
    <s v="VERDE"/>
    <n v="3.9"/>
    <n v="0"/>
    <n v="0"/>
    <n v="9.0440000000000005"/>
    <n v="18"/>
    <n v="38"/>
    <n v="473.68421052631578"/>
    <x v="1"/>
    <x v="0"/>
    <n v="6"/>
    <n v="2"/>
    <n v="39.666666666666664"/>
  </r>
  <r>
    <d v="2025-03-02T08:46:00"/>
    <s v="INYECTADO"/>
    <x v="1"/>
    <x v="35"/>
    <s v="SAID VILLAMIZAR"/>
    <s v="SEGUNDA"/>
    <s v="."/>
    <s v="PP INY MOLIDO"/>
    <s v="PALA Y RASTRILLO ROMANO"/>
    <s v="PALA RASTRILLO ROMANO-AZUL"/>
    <n v="497"/>
    <n v="5"/>
    <n v="36.299999999999997"/>
    <x v="0"/>
    <n v="0"/>
    <n v="6"/>
    <n v="953"/>
    <n v="20656"/>
    <s v="AZUL"/>
    <n v="9"/>
    <n v="0"/>
    <n v="0"/>
    <n v="18.885999999999999"/>
    <n v="36.299999999999997"/>
    <n v="38"/>
    <n v="955.26315789473688"/>
    <x v="1"/>
    <x v="0"/>
    <n v="6"/>
    <n v="2"/>
    <n v="82.833333333333329"/>
  </r>
  <r>
    <d v="2025-03-02T08:46:00"/>
    <s v="INYECTADO"/>
    <x v="1"/>
    <x v="35"/>
    <s v="SAID VILLAMIZAR"/>
    <s v="SEGUNDA"/>
    <s v="."/>
    <s v="PP INY MOLIDO"/>
    <s v="PALA Y RASTRILLO ROMANO"/>
    <s v="PALA RASTRILLO ROMANO-ROJO"/>
    <n v="17"/>
    <n v="1"/>
    <n v="1.3"/>
    <x v="0"/>
    <n v="0"/>
    <n v="2"/>
    <n v="953"/>
    <n v="20656"/>
    <s v="ROJO"/>
    <n v="1.2"/>
    <n v="0"/>
    <n v="0"/>
    <n v="0.64600000000000002"/>
    <n v="1.3"/>
    <n v="38"/>
    <n v="34.210526315789473"/>
    <x v="1"/>
    <x v="0"/>
    <n v="6"/>
    <n v="2"/>
    <n v="2.8333333333333335"/>
  </r>
  <r>
    <d v="2025-03-02T08:46:00"/>
    <s v="INYECTADO"/>
    <x v="1"/>
    <x v="47"/>
    <s v="LUIS PINEDO"/>
    <s v="SEGUNDA"/>
    <s v="."/>
    <s v="PP INY MOLIDO"/>
    <s v="PALA Y RASTRILLO ROMANO"/>
    <s v="PALA RASTRILLO ROMANO-ROJO"/>
    <n v="276"/>
    <n v="3"/>
    <n v="20.2"/>
    <x v="0"/>
    <n v="0"/>
    <n v="4"/>
    <n v="953"/>
    <n v="20657"/>
    <s v="ROJO"/>
    <n v="2.2000000000000002"/>
    <n v="0"/>
    <n v="0"/>
    <n v="10.488"/>
    <n v="20.2"/>
    <n v="38"/>
    <n v="531.57894736842104"/>
    <x v="1"/>
    <x v="0"/>
    <n v="6"/>
    <n v="2"/>
    <n v="46"/>
  </r>
  <r>
    <d v="2025-03-02T08:46:00"/>
    <s v="INYECTADO"/>
    <x v="1"/>
    <x v="47"/>
    <s v="LUIS PINEDO"/>
    <s v="VIRGEN"/>
    <s v="PP CLARIFICADO"/>
    <s v="."/>
    <s v="PALA Y RASTRILLO ROMANO"/>
    <s v="PALA RASTRILLO ROMANO-AMARILLO"/>
    <n v="610"/>
    <n v="5"/>
    <n v="44.6"/>
    <x v="0"/>
    <n v="0"/>
    <n v="6"/>
    <n v="953"/>
    <n v="20657"/>
    <s v="AMARILLO"/>
    <n v="2.2000000000000002"/>
    <n v="0"/>
    <n v="0"/>
    <n v="23.18"/>
    <n v="44.6"/>
    <n v="38"/>
    <n v="1173.6842105263158"/>
    <x v="1"/>
    <x v="0"/>
    <n v="6"/>
    <n v="2"/>
    <n v="101.66666666666667"/>
  </r>
  <r>
    <d v="2025-03-02T08:46:00"/>
    <s v="INYECTADO"/>
    <x v="1"/>
    <x v="47"/>
    <s v="LUIS PINEDO"/>
    <s v="SEGUNDA"/>
    <s v="."/>
    <s v="PP INY MOLIDO"/>
    <s v="PALA Y RASTRILLO ROMANO"/>
    <s v="PALA RASTRILLO ROMANO-FUCSIA"/>
    <n v="190"/>
    <n v="2"/>
    <n v="13.9"/>
    <x v="0"/>
    <n v="0"/>
    <n v="2"/>
    <n v="953"/>
    <n v="20657"/>
    <s v="FUCSIA"/>
    <n v="10.8"/>
    <n v="0"/>
    <n v="0"/>
    <n v="7.22"/>
    <n v="13.9"/>
    <n v="38"/>
    <n v="365.78947368421052"/>
    <x v="1"/>
    <x v="0"/>
    <n v="6"/>
    <n v="2"/>
    <n v="31.666666666666668"/>
  </r>
  <r>
    <d v="2025-03-02T08:46:00"/>
    <s v="INYECTADO"/>
    <x v="1"/>
    <x v="48"/>
    <s v="GABRIEL REQUENA"/>
    <s v="SEGUNDA"/>
    <s v="."/>
    <s v="PP INY MOLIDO"/>
    <s v="PALA Y RASTRILLO ROMANO"/>
    <s v="PALA RASTRILLO ROMANO-LILA"/>
    <n v="361"/>
    <n v="4"/>
    <n v="26.4"/>
    <x v="0"/>
    <n v="0"/>
    <n v="5"/>
    <n v="953"/>
    <n v="20658"/>
    <s v="LILA"/>
    <n v="0"/>
    <n v="0"/>
    <n v="0"/>
    <n v="13.718"/>
    <n v="26.4"/>
    <n v="38"/>
    <n v="694.73684210526312"/>
    <x v="1"/>
    <x v="0"/>
    <n v="6"/>
    <n v="2"/>
    <n v="60.166666666666664"/>
  </r>
  <r>
    <d v="2025-03-02T08:46:00"/>
    <s v="INYECTADO"/>
    <x v="1"/>
    <x v="48"/>
    <s v="GABRIEL REQUENA"/>
    <s v="SEGUNDA"/>
    <s v="."/>
    <s v="PP INY MOLIDO"/>
    <s v="PALA Y RASTRILLO ROMANO"/>
    <s v="PALA RASTRILLO ROMANO-ROJO"/>
    <n v="280"/>
    <n v="3"/>
    <n v="20.2"/>
    <x v="0"/>
    <n v="0"/>
    <n v="3"/>
    <n v="953"/>
    <n v="20658"/>
    <s v="ROJO"/>
    <n v="0"/>
    <n v="0"/>
    <n v="0"/>
    <n v="10.64"/>
    <n v="20.2"/>
    <n v="38"/>
    <n v="531.57894736842104"/>
    <x v="1"/>
    <x v="0"/>
    <n v="6"/>
    <n v="2"/>
    <n v="46.666666666666664"/>
  </r>
  <r>
    <d v="2025-03-02T08:46:00"/>
    <s v="INYECTADO"/>
    <x v="1"/>
    <x v="48"/>
    <s v="GABRIEL REQUENA"/>
    <s v="SEGUNDA"/>
    <s v="."/>
    <s v="PP INY MOLIDO"/>
    <s v="PALA Y RASTRILLO ROMANO"/>
    <s v="PALA RASTRILLO ROMANO-FUCSIA"/>
    <n v="334"/>
    <n v="3"/>
    <n v="24.1"/>
    <x v="0"/>
    <n v="0"/>
    <n v="4"/>
    <n v="953"/>
    <n v="20658"/>
    <s v="FUCSIA"/>
    <n v="3.8"/>
    <n v="0"/>
    <n v="0"/>
    <n v="12.692"/>
    <n v="24.1"/>
    <n v="38"/>
    <n v="634.21052631578948"/>
    <x v="1"/>
    <x v="0"/>
    <n v="6"/>
    <n v="2"/>
    <n v="55.666666666666664"/>
  </r>
  <r>
    <d v="2025-03-02T08:46:00"/>
    <s v="INYECTADO"/>
    <x v="1"/>
    <x v="49"/>
    <s v="JOSE CAHUACHI"/>
    <s v="SEGUNDA"/>
    <s v="."/>
    <s v="PP INY MOLIDO"/>
    <s v="PALA Y RASTRILLO ROMANO"/>
    <s v="PALA RASTRILLO ROMANO-VERDE"/>
    <n v="353"/>
    <n v="3"/>
    <n v="25.8"/>
    <x v="0"/>
    <n v="0"/>
    <n v="3"/>
    <n v="953"/>
    <n v="20659"/>
    <s v="VERDE"/>
    <n v="2.6"/>
    <n v="0"/>
    <n v="0"/>
    <n v="13.414"/>
    <n v="25.8"/>
    <n v="38"/>
    <n v="678.9473684210526"/>
    <x v="1"/>
    <x v="0"/>
    <n v="6"/>
    <n v="2"/>
    <n v="58.833333333333336"/>
  </r>
  <r>
    <d v="2025-03-02T08:46:00"/>
    <s v="INYECTADO"/>
    <x v="1"/>
    <x v="49"/>
    <s v="JOSE CAHUACHI"/>
    <s v="SEGUNDA"/>
    <s v="."/>
    <s v="PP INY MOLIDO"/>
    <s v="PALA Y RASTRILLO ROMANO"/>
    <s v="PALA RASTRILLO ROMANO-AZUL"/>
    <n v="308"/>
    <n v="2"/>
    <n v="22.5"/>
    <x v="0"/>
    <n v="0"/>
    <n v="4"/>
    <n v="953"/>
    <n v="20659"/>
    <s v="AZUL"/>
    <n v="2.1"/>
    <n v="0"/>
    <n v="0"/>
    <n v="11.704000000000001"/>
    <n v="22.5"/>
    <n v="38"/>
    <n v="592.10526315789468"/>
    <x v="1"/>
    <x v="0"/>
    <n v="6"/>
    <n v="2"/>
    <n v="51.333333333333336"/>
  </r>
  <r>
    <d v="2025-03-02T08:46:00"/>
    <s v="INYECTADO"/>
    <x v="1"/>
    <x v="49"/>
    <s v="JOSE CAHUACHI"/>
    <s v="SEGUNDA"/>
    <s v="."/>
    <s v="PP INY MOLIDO"/>
    <s v="PALA Y RASTRILLO ROMANO"/>
    <s v="PALA RASTRILLO ROMANO-FUCSIA"/>
    <n v="498"/>
    <n v="4"/>
    <n v="36.4"/>
    <x v="0"/>
    <n v="0"/>
    <n v="5"/>
    <n v="953"/>
    <n v="20659"/>
    <s v="FUCSIA"/>
    <n v="4.5999999999999996"/>
    <n v="0"/>
    <n v="0"/>
    <n v="18.923999999999999"/>
    <n v="36.4"/>
    <n v="38"/>
    <n v="957.89473684210532"/>
    <x v="1"/>
    <x v="0"/>
    <n v="6"/>
    <n v="2"/>
    <n v="83"/>
  </r>
  <r>
    <d v="2025-03-02T08:46:00"/>
    <s v="INYECTADO"/>
    <x v="1"/>
    <x v="50"/>
    <s v="ISABEL LINARIZ "/>
    <s v="SEGUNDA"/>
    <s v="."/>
    <s v="PP INY MOLIDO"/>
    <s v="PALA Y RASTRILLO ROMANO"/>
    <s v="PALA RASTRILLO ROMANO-ROJO"/>
    <n v="280"/>
    <n v="2"/>
    <n v="20.5"/>
    <x v="0"/>
    <n v="0"/>
    <n v="3"/>
    <n v="953"/>
    <n v="20660"/>
    <s v="ROJO"/>
    <n v="1.9"/>
    <n v="0"/>
    <n v="0"/>
    <n v="10.64"/>
    <n v="20.5"/>
    <n v="38"/>
    <n v="539.47368421052636"/>
    <x v="1"/>
    <x v="0"/>
    <n v="6"/>
    <n v="2"/>
    <n v="46.666666666666664"/>
  </r>
  <r>
    <d v="2025-03-02T08:46:00"/>
    <s v="INYECTADO"/>
    <x v="1"/>
    <x v="50"/>
    <s v="ISABEL LINARIZ "/>
    <s v="VIRGEN"/>
    <s v="PP CLARIFICADO"/>
    <s v="."/>
    <s v="PALA Y RASTRILLO ROMANO"/>
    <s v="PALA RASTRILLO ROMANO-AMARILLO"/>
    <n v="169"/>
    <n v="2"/>
    <n v="12.4"/>
    <x v="0"/>
    <n v="0"/>
    <n v="1"/>
    <n v="953"/>
    <n v="20660"/>
    <s v="AMARILLO"/>
    <n v="7.5"/>
    <n v="0"/>
    <n v="0"/>
    <n v="6.4219999999999997"/>
    <n v="12.4"/>
    <n v="38"/>
    <n v="326.31578947368422"/>
    <x v="1"/>
    <x v="0"/>
    <n v="6"/>
    <n v="2"/>
    <n v="28.166666666666668"/>
  </r>
  <r>
    <d v="2025-03-02T08:46:00"/>
    <s v="INYECTADO"/>
    <x v="1"/>
    <x v="30"/>
    <s v="LUIS PINEDO"/>
    <s v="VIRGEN"/>
    <s v="PP CLARIFICADO"/>
    <s v="."/>
    <s v="PALA Y RASTRILLO ROMANO"/>
    <s v="PALA RASTRILLO ROMANO-AMARILLO"/>
    <n v="464"/>
    <n v="4"/>
    <n v="33.9"/>
    <x v="0"/>
    <n v="0"/>
    <n v="4"/>
    <n v="953"/>
    <n v="20661"/>
    <s v="AMARILLO"/>
    <n v="3.8"/>
    <n v="0"/>
    <n v="0"/>
    <n v="17.632000000000001"/>
    <n v="33.9"/>
    <n v="38"/>
    <n v="892.10526315789468"/>
    <x v="1"/>
    <x v="0"/>
    <n v="7"/>
    <n v="2"/>
    <n v="77.333333333333329"/>
  </r>
  <r>
    <d v="2025-03-02T08:46:00"/>
    <s v="INYECTADO"/>
    <x v="1"/>
    <x v="30"/>
    <s v="LUIS PINEDO"/>
    <s v="SEGUNDA"/>
    <s v="."/>
    <s v="PP INY MOLIDO"/>
    <s v="PALA Y RASTRILLO ROMANO"/>
    <s v="PALA RASTRILLO ROMANO-AZUL"/>
    <n v="287"/>
    <n v="2"/>
    <n v="21"/>
    <x v="0"/>
    <n v="0"/>
    <n v="4"/>
    <n v="953"/>
    <n v="20661"/>
    <s v="AZUL"/>
    <n v="2.7"/>
    <n v="0"/>
    <n v="0"/>
    <n v="10.906000000000001"/>
    <n v="21"/>
    <n v="38"/>
    <n v="552.63157894736844"/>
    <x v="1"/>
    <x v="0"/>
    <n v="7"/>
    <n v="2"/>
    <n v="47.833333333333336"/>
  </r>
  <r>
    <d v="2025-03-02T08:46:00"/>
    <s v="INYECTADO"/>
    <x v="1"/>
    <x v="30"/>
    <s v="LUIS PINEDO"/>
    <s v="SEGUNDA"/>
    <s v="."/>
    <s v="PP INY MOLIDO"/>
    <s v="PALA Y RASTRILLO ROMANO"/>
    <s v="PALA RASTRILLO ROMANO-LILA"/>
    <n v="253"/>
    <n v="2"/>
    <n v="18.5"/>
    <x v="0"/>
    <n v="0"/>
    <n v="4"/>
    <n v="953"/>
    <n v="20661"/>
    <s v="LILA"/>
    <n v="6.8"/>
    <n v="0"/>
    <n v="0"/>
    <n v="9.6140000000000008"/>
    <n v="18.5"/>
    <n v="38"/>
    <n v="486.84210526315792"/>
    <x v="1"/>
    <x v="0"/>
    <n v="7"/>
    <n v="2"/>
    <n v="42.166666666666664"/>
  </r>
  <r>
    <d v="2025-03-02T08:46:00"/>
    <s v="INYECTADO"/>
    <x v="1"/>
    <x v="30"/>
    <s v="JOSDER GONZALEZ"/>
    <s v="VIRGEN"/>
    <s v="PP CLARIFICADO"/>
    <s v="."/>
    <s v="PALA Y RASTRILLO ROMANO"/>
    <s v="PALA RASTRILLO ROMANO-AMARILLO"/>
    <n v="550"/>
    <n v="5"/>
    <n v="40.200000000000003"/>
    <x v="1"/>
    <n v="0"/>
    <n v="6"/>
    <n v="953"/>
    <n v="20662"/>
    <s v="AMARILLO"/>
    <n v="7.5"/>
    <n v="0"/>
    <n v="0"/>
    <n v="20.9"/>
    <n v="40.200000000000003"/>
    <n v="38"/>
    <n v="1057.8947368421052"/>
    <x v="1"/>
    <x v="0"/>
    <n v="7"/>
    <n v="2"/>
    <n v="91.666666666666671"/>
  </r>
  <r>
    <d v="2025-03-02T08:46:00"/>
    <s v="INYECTADO"/>
    <x v="1"/>
    <x v="30"/>
    <s v="JOSDER GONZALEZ"/>
    <s v="SEGUNDA"/>
    <s v="."/>
    <s v="PP INY MOLIDO"/>
    <s v="PALA Y RASTRILLO ROMANO"/>
    <s v="PALA RASTRILLO ROMANO-VERDE"/>
    <n v="294"/>
    <n v="2"/>
    <n v="21.5"/>
    <x v="1"/>
    <n v="0"/>
    <n v="4"/>
    <n v="953"/>
    <n v="20662"/>
    <s v="VERDE"/>
    <n v="5.8"/>
    <n v="0"/>
    <n v="0"/>
    <n v="11.172000000000001"/>
    <n v="21.5"/>
    <n v="38"/>
    <n v="565.78947368421052"/>
    <x v="1"/>
    <x v="0"/>
    <n v="7"/>
    <n v="2"/>
    <n v="49"/>
  </r>
  <r>
    <d v="2025-03-02T08:46:00"/>
    <s v="INYECTADO"/>
    <x v="1"/>
    <x v="30"/>
    <s v="JOSDER GONZALEZ"/>
    <s v="SEGUNDA"/>
    <s v="."/>
    <s v="PP INY MOLIDO"/>
    <s v="PALA Y RASTRILLO ROMANO"/>
    <s v="PALA RASTRILLO ROMANO-AZUL"/>
    <n v="197"/>
    <n v="2"/>
    <n v="14.4"/>
    <x v="1"/>
    <n v="0"/>
    <n v="2"/>
    <n v="953"/>
    <n v="20662"/>
    <s v="AZUL"/>
    <n v="0"/>
    <n v="0"/>
    <n v="0"/>
    <n v="7.4859999999999998"/>
    <n v="14.4"/>
    <n v="38"/>
    <n v="378.94736842105266"/>
    <x v="1"/>
    <x v="0"/>
    <n v="7"/>
    <n v="2"/>
    <n v="32.833333333333336"/>
  </r>
  <r>
    <d v="2025-03-02T08:46:00"/>
    <s v="INYECTADO"/>
    <x v="1"/>
    <x v="31"/>
    <s v="JUAN CARLOS CEDENO"/>
    <s v="SEGUNDA"/>
    <s v="."/>
    <s v="PP INY MOLIDO"/>
    <s v="PALA Y RASTRILLO ROMANO"/>
    <s v="PALA RASTRILLO ROMANO-AZUL"/>
    <n v="86"/>
    <n v="1"/>
    <n v="6.3"/>
    <x v="0"/>
    <n v="0"/>
    <n v="2"/>
    <n v="953"/>
    <n v="20663"/>
    <s v="AZUL"/>
    <n v="7.2"/>
    <n v="0"/>
    <n v="0"/>
    <n v="3.2679999999999998"/>
    <n v="6.3"/>
    <n v="38"/>
    <n v="165.78947368421052"/>
    <x v="1"/>
    <x v="0"/>
    <n v="7"/>
    <n v="2"/>
    <n v="14.333333333333334"/>
  </r>
  <r>
    <d v="2025-03-02T08:46:00"/>
    <s v="INYECTADO"/>
    <x v="1"/>
    <x v="31"/>
    <s v="JUAN CARLOS CEDENO"/>
    <s v="SEGUNDA"/>
    <s v="."/>
    <s v="PP INY MOLIDO"/>
    <s v="PALA Y RASTRILLO ROMANO"/>
    <s v="PALA RASTRILLO ROMANO-FUCSIA"/>
    <n v="260"/>
    <n v="2"/>
    <n v="19"/>
    <x v="0"/>
    <n v="0"/>
    <n v="2"/>
    <n v="953"/>
    <n v="20663"/>
    <s v="FUCSIA"/>
    <n v="3.4"/>
    <n v="0"/>
    <n v="0"/>
    <n v="9.8800000000000008"/>
    <n v="19"/>
    <n v="38"/>
    <n v="500"/>
    <x v="1"/>
    <x v="0"/>
    <n v="7"/>
    <n v="2"/>
    <n v="43.333333333333336"/>
  </r>
  <r>
    <d v="2025-03-02T08:46:00"/>
    <s v="INYECTADO"/>
    <x v="1"/>
    <x v="31"/>
    <s v="JUAN CARLOS CEDENO"/>
    <s v="SEGUNDA"/>
    <s v="."/>
    <s v="PP INY MOLIDO"/>
    <s v="PALA Y RASTRILLO ROMANO"/>
    <s v="PALA RASTRILLO ROMANO-ROJO"/>
    <n v="300"/>
    <n v="3"/>
    <n v="21.9"/>
    <x v="0"/>
    <n v="0"/>
    <n v="2"/>
    <n v="953"/>
    <n v="20663"/>
    <s v="ROJO"/>
    <n v="10.8"/>
    <n v="0"/>
    <n v="0"/>
    <n v="11.4"/>
    <n v="21.9"/>
    <n v="38"/>
    <n v="576.31578947368416"/>
    <x v="1"/>
    <x v="0"/>
    <n v="7"/>
    <n v="2"/>
    <n v="50"/>
  </r>
  <r>
    <d v="2025-03-02T08:46:00"/>
    <s v="INYECTADO"/>
    <x v="1"/>
    <x v="31"/>
    <s v="JUAN CARLOS CEDENO"/>
    <s v="SEGUNDA"/>
    <s v="."/>
    <s v="PP INY MOLIDO"/>
    <s v="PALA Y RASTRILLO ROMANO"/>
    <s v="PALA RASTRILLO ROMANO-VERDE"/>
    <n v="501"/>
    <n v="5"/>
    <n v="36.6"/>
    <x v="0"/>
    <n v="0"/>
    <n v="2"/>
    <n v="953"/>
    <n v="20663"/>
    <s v="VERDE"/>
    <n v="7.2"/>
    <n v="0"/>
    <n v="0"/>
    <n v="19.038"/>
    <n v="36.6"/>
    <n v="38"/>
    <n v="963.15789473684208"/>
    <x v="1"/>
    <x v="0"/>
    <n v="7"/>
    <n v="2"/>
    <n v="83.5"/>
  </r>
  <r>
    <d v="2025-03-02T08:46:00"/>
    <s v="INYECTADO"/>
    <x v="1"/>
    <x v="32"/>
    <s v="ESTHER GUEVARA"/>
    <s v="SEGUNDA"/>
    <s v="."/>
    <s v="PP INY MOLIDO"/>
    <s v="PALA Y RASTRILLO ROMANO"/>
    <s v="PALA RASTRILLO ROMANO-FUCSIA"/>
    <n v="644"/>
    <n v="7"/>
    <n v="46.4"/>
    <x v="0"/>
    <n v="0"/>
    <n v="6"/>
    <n v="953"/>
    <n v="20664"/>
    <s v="FUCSIA"/>
    <n v="6.7"/>
    <n v="0"/>
    <n v="0"/>
    <n v="24.472000000000001"/>
    <n v="46.4"/>
    <n v="38"/>
    <n v="1221.0526315789473"/>
    <x v="1"/>
    <x v="0"/>
    <n v="7"/>
    <n v="2"/>
    <n v="107.33333333333333"/>
  </r>
  <r>
    <d v="2025-03-02T08:46:00"/>
    <s v="INYECTADO"/>
    <x v="1"/>
    <x v="32"/>
    <s v="ESTHER GUEVARA"/>
    <s v="VIRGEN"/>
    <s v="PP CLARIFICADO"/>
    <s v="."/>
    <s v="PALA Y RASTRILLO ROMANO"/>
    <s v="PALA RASTRILLO ROMANO-AMARILLO"/>
    <n v="273"/>
    <n v="2"/>
    <n v="19.7"/>
    <x v="0"/>
    <n v="0"/>
    <n v="2"/>
    <n v="953"/>
    <n v="20664"/>
    <s v="AMARILLO"/>
    <n v="7.3"/>
    <n v="0"/>
    <n v="0"/>
    <n v="10.374000000000001"/>
    <n v="19.7"/>
    <n v="38"/>
    <n v="518.42105263157896"/>
    <x v="1"/>
    <x v="0"/>
    <n v="7"/>
    <n v="2"/>
    <n v="45.5"/>
  </r>
  <r>
    <d v="2025-03-02T08:46:00"/>
    <s v="INYECTADO"/>
    <x v="1"/>
    <x v="32"/>
    <s v="ESTHER GUEVARA"/>
    <s v="SEGUNDA"/>
    <s v="."/>
    <s v="PP INY MOLIDO"/>
    <s v="PALA Y RASTRILLO ROMANO"/>
    <s v="PALA RASTRILLO ROMANO-LILA"/>
    <n v="190"/>
    <n v="2"/>
    <n v="13.9"/>
    <x v="0"/>
    <n v="0"/>
    <n v="1"/>
    <n v="953"/>
    <n v="20664"/>
    <s v="LILA"/>
    <n v="3.3"/>
    <n v="0"/>
    <n v="0"/>
    <n v="7.22"/>
    <n v="13.9"/>
    <n v="38"/>
    <n v="365.78947368421052"/>
    <x v="1"/>
    <x v="0"/>
    <n v="7"/>
    <n v="2"/>
    <n v="31.666666666666668"/>
  </r>
  <r>
    <d v="2025-03-02T08:46:00"/>
    <s v="INYECTADO"/>
    <x v="1"/>
    <x v="38"/>
    <s v="JUAN CARLOS CEDENO"/>
    <s v="SEGUNDA"/>
    <s v="."/>
    <s v="PP INY MOLIDO"/>
    <s v="PALA Y RASTRILLO ROMANO"/>
    <s v="PALA RASTRILLO ROMANO-ROJO"/>
    <n v="1068"/>
    <n v="9"/>
    <n v="76.900000000000006"/>
    <x v="0"/>
    <n v="0"/>
    <n v="10"/>
    <n v="953"/>
    <n v="20665"/>
    <s v="ROJO"/>
    <n v="10.9"/>
    <n v="0"/>
    <n v="0"/>
    <n v="40.584000000000003"/>
    <n v="76.900000000000006"/>
    <n v="38"/>
    <n v="2023.6842105263158"/>
    <x v="1"/>
    <x v="0"/>
    <n v="9"/>
    <n v="2"/>
    <n v="178"/>
  </r>
  <r>
    <d v="2025-03-02T08:46:00"/>
    <s v="INYECTADO"/>
    <x v="1"/>
    <x v="38"/>
    <s v="JUAN CARLOS CEDENO"/>
    <s v="SEGUNDA"/>
    <s v="."/>
    <s v="PP INY MOLIDO"/>
    <s v="PALA Y RASTRILLO ROMANO"/>
    <s v="PALA RASTRILLO ROMANO-LILA"/>
    <n v="76"/>
    <n v="1"/>
    <n v="5.5"/>
    <x v="0"/>
    <n v="0"/>
    <n v="1"/>
    <n v="953"/>
    <n v="20665"/>
    <s v="LILA"/>
    <n v="3.6"/>
    <n v="0"/>
    <n v="0"/>
    <n v="2.8879999999999999"/>
    <n v="5.5"/>
    <n v="38"/>
    <n v="144.73684210526315"/>
    <x v="1"/>
    <x v="0"/>
    <n v="9"/>
    <n v="2"/>
    <n v="12.666666666666666"/>
  </r>
  <r>
    <d v="2025-03-02T08:46:00"/>
    <s v="INYECTADO"/>
    <x v="1"/>
    <x v="38"/>
    <s v="JOSDER GONZALEZ"/>
    <s v="SEGUNDA"/>
    <s v="."/>
    <s v="PP INY MOLIDO"/>
    <s v="PALA Y RASTRILLO ROMANO"/>
    <s v="PALA RASTRILLO ROMANO-ROJO"/>
    <n v="256"/>
    <n v="2"/>
    <n v="18.5"/>
    <x v="1"/>
    <n v="0"/>
    <n v="4"/>
    <n v="953"/>
    <n v="20666"/>
    <s v="ROJO"/>
    <n v="5.9"/>
    <n v="0"/>
    <n v="0"/>
    <n v="9.7279999999999998"/>
    <n v="18.5"/>
    <n v="38"/>
    <n v="486.84210526315792"/>
    <x v="1"/>
    <x v="0"/>
    <n v="9"/>
    <n v="2"/>
    <n v="42.666666666666664"/>
  </r>
  <r>
    <d v="2025-03-02T08:46:00"/>
    <s v="INYECTADO"/>
    <x v="1"/>
    <x v="38"/>
    <s v="JOSDER GONZALEZ"/>
    <s v="SEGUNDA"/>
    <s v="."/>
    <s v="PP INY MOLIDO"/>
    <s v="PALA Y RASTRILLO ROMANO"/>
    <s v="PALA RASTRILLO ROMANO-LILA"/>
    <n v="669"/>
    <n v="5"/>
    <n v="48.2"/>
    <x v="1"/>
    <n v="0"/>
    <n v="8"/>
    <n v="953"/>
    <n v="20666"/>
    <s v="LILA"/>
    <n v="8.4"/>
    <n v="0"/>
    <n v="0"/>
    <n v="25.422000000000001"/>
    <n v="48.2"/>
    <n v="38"/>
    <n v="1268.421052631579"/>
    <x v="1"/>
    <x v="0"/>
    <n v="9"/>
    <n v="2"/>
    <n v="111.5"/>
  </r>
  <r>
    <d v="2025-03-02T08:46:00"/>
    <s v="INYECTADO"/>
    <x v="1"/>
    <x v="38"/>
    <s v="JOSDER GONZALEZ"/>
    <s v="SEGUNDA"/>
    <s v="."/>
    <s v="PP INY MOLIDO"/>
    <s v="PALA Y RASTRILLO ROMANO"/>
    <s v="PALA RASTRILLO ROMANO-VERDE"/>
    <n v="525"/>
    <n v="4"/>
    <n v="37.799999999999997"/>
    <x v="1"/>
    <n v="0"/>
    <n v="6"/>
    <n v="953"/>
    <n v="20666"/>
    <s v="AMARILLO"/>
    <n v="2.4"/>
    <n v="0"/>
    <n v="0"/>
    <n v="19.95"/>
    <n v="37.799999999999997"/>
    <n v="38"/>
    <n v="994.73684210526312"/>
    <x v="1"/>
    <x v="0"/>
    <n v="9"/>
    <n v="2"/>
    <n v="87.5"/>
  </r>
  <r>
    <d v="2025-03-02T08:46:00"/>
    <s v="INYECTADO"/>
    <x v="1"/>
    <x v="46"/>
    <s v="CRISALIDA ZAPATA"/>
    <s v="VIRGEN"/>
    <s v="PP CLARIFICADO"/>
    <s v="."/>
    <s v="PALA Y RASTRILLO ROMANO"/>
    <s v="PALA RASTRILLO ROMANO-AMARILLO"/>
    <n v="575"/>
    <n v="5"/>
    <n v="41.4"/>
    <x v="0"/>
    <n v="0"/>
    <n v="6"/>
    <n v="953"/>
    <n v="20667"/>
    <s v="AMARILLO"/>
    <n v="11.6"/>
    <n v="0"/>
    <n v="0"/>
    <n v="21.85"/>
    <n v="41.4"/>
    <n v="38"/>
    <n v="1089.4736842105262"/>
    <x v="1"/>
    <x v="0"/>
    <n v="9"/>
    <n v="2"/>
    <n v="95.833333333333329"/>
  </r>
  <r>
    <d v="2025-03-02T08:46:00"/>
    <s v="INYECTADO"/>
    <x v="1"/>
    <x v="46"/>
    <s v="CRISALIDA ZAPATA"/>
    <s v="SEGUNDA"/>
    <s v="."/>
    <s v="PP INY MOLIDO"/>
    <s v="PALA Y RASTRILLO ROMANO"/>
    <s v="PALA RASTRILLO ROMANO-AZUL"/>
    <n v="461"/>
    <n v="4"/>
    <n v="33.200000000000003"/>
    <x v="0"/>
    <n v="0"/>
    <n v="5"/>
    <n v="953"/>
    <n v="20667"/>
    <s v="AZUL"/>
    <n v="10.8"/>
    <n v="0"/>
    <n v="0"/>
    <n v="17.518000000000001"/>
    <n v="33.200000000000003"/>
    <n v="38"/>
    <n v="873.68421052631584"/>
    <x v="1"/>
    <x v="0"/>
    <n v="9"/>
    <n v="2"/>
    <n v="76.833333333333329"/>
  </r>
  <r>
    <d v="2025-03-02T08:46:00"/>
    <s v="INYECTADO"/>
    <x v="6"/>
    <x v="41"/>
    <s v="JUAN CARLOS CEDENO"/>
    <s v="SEGUNDA"/>
    <s v="."/>
    <s v="MIXTO"/>
    <s v="COLADOR HOGAR SOLIDO #3"/>
    <s v="COLADOR HOGAR SOLIDO#3-ANARANJADO"/>
    <n v="360"/>
    <n v="3"/>
    <n v="34.200000000000003"/>
    <x v="0"/>
    <n v="0"/>
    <n v="3"/>
    <n v="987"/>
    <n v="21014"/>
    <s v="VERDE"/>
    <n v="7.3"/>
    <n v="0"/>
    <n v="0"/>
    <n v="33.479999999999997"/>
    <n v="34.200000000000003"/>
    <n v="93"/>
    <n v="367.74193548387098"/>
    <x v="1"/>
    <x v="0"/>
    <n v="5"/>
    <n v="1"/>
    <n v="30"/>
  </r>
  <r>
    <d v="2025-03-02T08:46:00"/>
    <s v="INYECTADO"/>
    <x v="6"/>
    <x v="41"/>
    <s v="JUAN CARLOS CEDENO"/>
    <s v="SEGUNDA"/>
    <s v="."/>
    <s v="MIXTO"/>
    <s v="COLADOR HOGAR SOLIDO #3"/>
    <s v="COLADOR HOGAR SOLIDO#3-ROJO"/>
    <n v="240"/>
    <n v="2"/>
    <n v="22.5"/>
    <x v="0"/>
    <n v="0"/>
    <n v="2"/>
    <n v="987"/>
    <n v="21014"/>
    <s v="AZUL"/>
    <n v="4.5999999999999996"/>
    <n v="0"/>
    <n v="0"/>
    <n v="22.32"/>
    <n v="22.5"/>
    <n v="93"/>
    <n v="241.93548387096774"/>
    <x v="1"/>
    <x v="0"/>
    <n v="5"/>
    <n v="1"/>
    <n v="20"/>
  </r>
  <r>
    <d v="2025-03-02T08:46:00"/>
    <s v="INYECTADO"/>
    <x v="6"/>
    <x v="35"/>
    <s v="NELSON PINEDO"/>
    <s v="VIRGEN"/>
    <s v="ALTA INYECCION"/>
    <s v="."/>
    <s v="TAPAS DE JARRA 5 Y 6L"/>
    <s v="TAPAS DE JARRA DE 5 Y 6L-AZUL"/>
    <n v="279"/>
    <n v="2"/>
    <n v="47.1"/>
    <x v="0"/>
    <n v="0"/>
    <n v="8"/>
    <n v="942"/>
    <n v="19988"/>
    <s v="AZUL"/>
    <n v="7.4"/>
    <n v="0"/>
    <n v="0"/>
    <n v="22.599"/>
    <n v="47.1"/>
    <n v="81"/>
    <n v="581.48148148148152"/>
    <x v="1"/>
    <x v="0"/>
    <n v="6"/>
    <n v="2"/>
    <n v="46.5"/>
  </r>
  <r>
    <d v="2025-03-02T08:46:00"/>
    <s v="INYECTADO"/>
    <x v="6"/>
    <x v="35"/>
    <s v="NELSON PINEDO"/>
    <s v="VIRGEN"/>
    <s v="PP CLARIFICADO"/>
    <s v="."/>
    <s v="TAPAS DE JARRA 5 Y 6L"/>
    <s v="TAPAS DE JARRA DE 5 Y 6L-AMARILLO"/>
    <n v="64"/>
    <n v="1"/>
    <n v="10.8"/>
    <x v="0"/>
    <n v="0"/>
    <n v="2"/>
    <n v="942"/>
    <n v="19988"/>
    <s v="AMARILLO"/>
    <n v="4.5999999999999996"/>
    <n v="0"/>
    <n v="0"/>
    <n v="5.1840000000000002"/>
    <n v="10.8"/>
    <n v="81"/>
    <n v="133.33333333333334"/>
    <x v="1"/>
    <x v="0"/>
    <n v="6"/>
    <n v="2"/>
    <n v="10.666666666666666"/>
  </r>
  <r>
    <d v="2025-03-02T08:46:00"/>
    <s v="INYECTADO"/>
    <x v="6"/>
    <x v="35"/>
    <s v="NELSON PINEDO"/>
    <s v="VIRGEN"/>
    <s v="ALTA INYECCION"/>
    <s v="."/>
    <s v="TAPAS DE JARRA 5 Y 6L"/>
    <s v="TAPAS DE JARRA DE 5 Y 6L-ROJO"/>
    <n v="72"/>
    <n v="1"/>
    <n v="12.6"/>
    <x v="0"/>
    <n v="0"/>
    <n v="2"/>
    <n v="942"/>
    <n v="19988"/>
    <s v="ROJO"/>
    <n v="4.8"/>
    <n v="0"/>
    <n v="0"/>
    <n v="5.8319999999999999"/>
    <n v="12.6"/>
    <n v="81"/>
    <n v="155.55555555555554"/>
    <x v="1"/>
    <x v="0"/>
    <n v="6"/>
    <n v="2"/>
    <n v="12"/>
  </r>
  <r>
    <d v="2025-03-02T08:46:00"/>
    <s v="INYECTADO"/>
    <x v="6"/>
    <x v="47"/>
    <s v="JUAN MANUEL PEREZ"/>
    <s v="VIRGEN"/>
    <s v="ALTA INYECCION"/>
    <s v="."/>
    <s v="TAPAS DE JARRA 5 Y 6L"/>
    <s v="TAPAS DE JARRA DE 5 Y 6L-VERDE"/>
    <n v="145"/>
    <n v="2"/>
    <n v="24.5"/>
    <x v="1"/>
    <n v="0"/>
    <n v="5"/>
    <n v="942"/>
    <n v="19989"/>
    <s v="VERDE"/>
    <n v="3.2"/>
    <n v="0"/>
    <n v="0"/>
    <n v="11.744999999999999"/>
    <n v="24.5"/>
    <n v="81"/>
    <n v="302.46913580246911"/>
    <x v="1"/>
    <x v="0"/>
    <n v="6"/>
    <n v="2"/>
    <n v="24.166666666666668"/>
  </r>
  <r>
    <d v="2025-03-02T08:46:00"/>
    <s v="INYECTADO"/>
    <x v="6"/>
    <x v="47"/>
    <s v="JUAN MANUEL PEREZ"/>
    <s v="VIRGEN"/>
    <s v="PP CLARIFICADO"/>
    <s v="."/>
    <s v="TAPAS DE JARRA 5 Y 6L"/>
    <s v="TAPAS DE JARRA DE 5 Y 6L-AMARILLO"/>
    <n v="159"/>
    <n v="2"/>
    <n v="26.8"/>
    <x v="1"/>
    <n v="0"/>
    <n v="5"/>
    <n v="942"/>
    <n v="19989"/>
    <s v="AMARILLO"/>
    <n v="3.2"/>
    <n v="0"/>
    <n v="0"/>
    <n v="12.879"/>
    <n v="26.8"/>
    <n v="81"/>
    <n v="330.8641975308642"/>
    <x v="1"/>
    <x v="0"/>
    <n v="6"/>
    <n v="2"/>
    <n v="26.5"/>
  </r>
  <r>
    <d v="2025-03-02T08:46:00"/>
    <s v="INYECTADO"/>
    <x v="6"/>
    <x v="47"/>
    <s v="JUAN MANUEL PEREZ"/>
    <s v="VIRGEN"/>
    <s v="ALTA INYECCION"/>
    <s v="."/>
    <s v="TAPAS DE JARRA 5 Y 6L"/>
    <s v="TAPAS DE JARRA DE 5 Y 6L-ROJO"/>
    <n v="183"/>
    <n v="2"/>
    <n v="30.9"/>
    <x v="1"/>
    <n v="0"/>
    <n v="6"/>
    <n v="942"/>
    <n v="19989"/>
    <s v="ROJO"/>
    <n v="1"/>
    <n v="0"/>
    <n v="0"/>
    <n v="14.823"/>
    <n v="30.9"/>
    <n v="81"/>
    <n v="381.48148148148147"/>
    <x v="1"/>
    <x v="0"/>
    <n v="6"/>
    <n v="2"/>
    <n v="30.5"/>
  </r>
  <r>
    <d v="2025-03-02T08:46:00"/>
    <s v="INYECTADO"/>
    <x v="6"/>
    <x v="48"/>
    <s v="JUAN MANUEL PEREZ"/>
    <s v="VIRGEN"/>
    <s v="PP CLARIFICADO"/>
    <s v="."/>
    <s v="TAPAS DE JARRA 5 Y 6L"/>
    <s v="TAPAS DE JARRA DE 5 Y 6L-AMARILLO"/>
    <n v="202"/>
    <n v="2"/>
    <n v="34.1"/>
    <x v="1"/>
    <n v="0"/>
    <n v="6"/>
    <n v="942"/>
    <n v="19990"/>
    <s v="AMARILLO"/>
    <n v="5.0999999999999996"/>
    <n v="0"/>
    <n v="0"/>
    <n v="16.361999999999998"/>
    <n v="34.1"/>
    <n v="81"/>
    <n v="420.98765432098764"/>
    <x v="1"/>
    <x v="0"/>
    <n v="6"/>
    <n v="2"/>
    <n v="33.666666666666664"/>
  </r>
  <r>
    <d v="2025-03-02T08:46:00"/>
    <s v="INYECTADO"/>
    <x v="6"/>
    <x v="48"/>
    <s v="JUAN MANUEL PEREZ"/>
    <s v="VIRGEN"/>
    <s v="ALTA INYECCION"/>
    <s v="."/>
    <s v="TAPAS DE JARRA 5 Y 6L"/>
    <s v="TAPAS DE JARRA DE 5 Y 6L-AZUL"/>
    <n v="375"/>
    <n v="3"/>
    <n v="63.3"/>
    <x v="1"/>
    <n v="0"/>
    <n v="11"/>
    <n v="942"/>
    <n v="19990"/>
    <s v="AZUL"/>
    <n v="5.0999999999999996"/>
    <n v="0"/>
    <n v="0"/>
    <n v="30.375"/>
    <n v="63.3"/>
    <n v="81"/>
    <n v="781.48148148148152"/>
    <x v="1"/>
    <x v="0"/>
    <n v="6"/>
    <n v="2"/>
    <n v="62.5"/>
  </r>
  <r>
    <d v="2025-03-02T08:46:00"/>
    <s v="INYECTADO"/>
    <x v="6"/>
    <x v="48"/>
    <s v="JUAN MANUEL PEREZ"/>
    <s v="VIRGEN"/>
    <s v="ALTA INYECCION"/>
    <s v="."/>
    <s v="TAPAS DE JARRA 5 Y 6L"/>
    <s v="TAPAS DE JARRA DE 5 Y 6L-VERDE"/>
    <n v="15"/>
    <n v="1"/>
    <n v="2.9"/>
    <x v="1"/>
    <n v="0"/>
    <n v="1"/>
    <n v="942"/>
    <n v="19990"/>
    <s v="VERDE"/>
    <n v="0"/>
    <n v="0"/>
    <n v="0"/>
    <n v="1.2150000000000001"/>
    <n v="2.9"/>
    <n v="81"/>
    <n v="35.802469135802468"/>
    <x v="1"/>
    <x v="0"/>
    <n v="6"/>
    <n v="2"/>
    <n v="2.5"/>
  </r>
  <r>
    <d v="2025-03-02T08:46:00"/>
    <s v="INYECTADO"/>
    <x v="6"/>
    <x v="48"/>
    <s v="JUAN MANUEL PEREZ"/>
    <s v="VIRGEN"/>
    <s v="ALTA INYECCION"/>
    <s v="."/>
    <s v="TAPAS DE JARRA 5 Y 6L"/>
    <s v="TAPAS DE JARRA DE 5 Y 6L-ROJO"/>
    <n v="371"/>
    <n v="3"/>
    <n v="62.6"/>
    <x v="1"/>
    <n v="0"/>
    <n v="12"/>
    <n v="942"/>
    <n v="19990"/>
    <s v="ROJO"/>
    <n v="5.2"/>
    <n v="0"/>
    <n v="0"/>
    <n v="30.050999999999998"/>
    <n v="62.6"/>
    <n v="81"/>
    <n v="772.83950617283949"/>
    <x v="1"/>
    <x v="0"/>
    <n v="6"/>
    <n v="2"/>
    <n v="61.833333333333336"/>
  </r>
  <r>
    <d v="2025-03-02T08:46:00"/>
    <s v="INYECTADO"/>
    <x v="6"/>
    <x v="49"/>
    <s v="SAID VILLAMIZAR"/>
    <s v="VIRGEN"/>
    <s v="PP CLARIFICADO"/>
    <s v="."/>
    <s v="TAPAS DE JARRA 5 Y 6L"/>
    <s v="TAPAS DE JARRA DE 5 Y 6L-AMARILLO"/>
    <n v="71"/>
    <n v="1"/>
    <n v="11.9"/>
    <x v="0"/>
    <n v="0"/>
    <n v="2"/>
    <n v="942"/>
    <n v="19991"/>
    <s v="AMARILLO"/>
    <n v="8.6"/>
    <n v="0"/>
    <n v="0"/>
    <n v="5.7510000000000003"/>
    <n v="11.9"/>
    <n v="81"/>
    <n v="146.91358024691357"/>
    <x v="1"/>
    <x v="0"/>
    <n v="6"/>
    <n v="2"/>
    <n v="11.833333333333334"/>
  </r>
  <r>
    <d v="2025-03-02T08:46:00"/>
    <s v="INYECTADO"/>
    <x v="6"/>
    <x v="49"/>
    <s v="SAID VILLAMIZAR"/>
    <s v="VIRGEN"/>
    <s v="ALTA INYECCION"/>
    <s v="."/>
    <s v="TAPAS DE JARRA 5 Y 6L"/>
    <s v="TAPAS DE JARRA DE 5 Y 6L-VERDE"/>
    <n v="284"/>
    <n v="2"/>
    <n v="47.1"/>
    <x v="0"/>
    <n v="0"/>
    <n v="8"/>
    <n v="942"/>
    <n v="19991"/>
    <s v="VERDE"/>
    <n v="4.0999999999999996"/>
    <n v="0"/>
    <n v="0"/>
    <n v="23.004000000000001"/>
    <n v="47.1"/>
    <n v="81"/>
    <n v="581.48148148148152"/>
    <x v="1"/>
    <x v="0"/>
    <n v="6"/>
    <n v="2"/>
    <n v="47.333333333333336"/>
  </r>
  <r>
    <d v="2025-03-02T08:46:00"/>
    <s v="INYECTADO"/>
    <x v="6"/>
    <x v="36"/>
    <s v="CRISALIDA ZAPATA"/>
    <s v="VIRGEN"/>
    <s v="PP CLARIFICADO"/>
    <s v="."/>
    <s v="REPOSTERO REAL 4 KG"/>
    <s v="REPOSTERO 4KG-TRANSPARENTE"/>
    <n v="1077"/>
    <n v="11"/>
    <n v="153"/>
    <x v="0"/>
    <n v="0"/>
    <n v="18"/>
    <n v="942"/>
    <n v="19993"/>
    <s v="TRANSPARENTE"/>
    <n v="2.9"/>
    <n v="0"/>
    <n v="0"/>
    <n v="151.857"/>
    <n v="153"/>
    <n v="141"/>
    <n v="1085.1063829787233"/>
    <x v="1"/>
    <x v="0"/>
    <n v="7"/>
    <n v="1"/>
    <n v="89.75"/>
  </r>
  <r>
    <d v="2025-03-02T08:46:00"/>
    <s v="INYECTADO"/>
    <x v="6"/>
    <x v="36"/>
    <s v="JUAN MANUEL PEREZ"/>
    <s v="VIRGEN"/>
    <s v="PP CLARIFICADO"/>
    <s v="."/>
    <s v="REPOSTERO REAL 4 KG"/>
    <s v="REPOSTERO 4KG-TRANSPARENTE"/>
    <n v="1216"/>
    <n v="12"/>
    <n v="172.7"/>
    <x v="1"/>
    <n v="0"/>
    <n v="20"/>
    <n v="942"/>
    <n v="19994"/>
    <s v="TRANSPARENTE"/>
    <n v="3"/>
    <n v="0"/>
    <n v="0"/>
    <n v="171.45599999999999"/>
    <n v="172.7"/>
    <n v="141"/>
    <n v="1224.822695035461"/>
    <x v="1"/>
    <x v="0"/>
    <n v="7"/>
    <n v="1"/>
    <n v="101.33333333333333"/>
  </r>
  <r>
    <d v="2025-03-02T08:46:00"/>
    <s v="INYECTADO"/>
    <x v="6"/>
    <x v="37"/>
    <s v="CRISALIDA ZAPATA"/>
    <s v="VIRGEN"/>
    <s v="PP CLARIFICADO"/>
    <s v="."/>
    <s v="REPOSTERO REAL 4 KG"/>
    <s v="REPOSTERO 4KG-TRANSPARENTE"/>
    <n v="1066"/>
    <n v="11"/>
    <n v="150.4"/>
    <x v="0"/>
    <n v="0"/>
    <n v="18"/>
    <n v="942"/>
    <n v="19995"/>
    <s v="TRANSPARENTE"/>
    <n v="12.6"/>
    <n v="0"/>
    <n v="0"/>
    <n v="150.30600000000001"/>
    <n v="150.4"/>
    <n v="141"/>
    <n v="1066.6666666666667"/>
    <x v="1"/>
    <x v="0"/>
    <n v="7"/>
    <n v="1"/>
    <n v="88.833333333333329"/>
  </r>
  <r>
    <d v="2025-03-02T08:46:00"/>
    <s v="INYECTADO"/>
    <x v="6"/>
    <x v="44"/>
    <s v="LUIS PINEDO"/>
    <s v="SEGUNDA"/>
    <s v="."/>
    <s v="MIXTO"/>
    <s v="EMBUDO #2"/>
    <s v="EMBUDO #2-AZUL"/>
    <n v="636"/>
    <n v="6"/>
    <n v="82.7"/>
    <x v="0"/>
    <n v="0"/>
    <n v="9"/>
    <n v="1015"/>
    <n v="19996"/>
    <s v="AZUL"/>
    <n v="13.9"/>
    <n v="0"/>
    <n v="0"/>
    <n v="22.26"/>
    <n v="82.7"/>
    <n v="35"/>
    <n v="2362.8571428571427"/>
    <x v="1"/>
    <x v="0"/>
    <n v="8"/>
    <n v="4"/>
    <n v="212"/>
  </r>
  <r>
    <d v="2025-03-02T08:46:00"/>
    <s v="INYECTADO"/>
    <x v="6"/>
    <x v="51"/>
    <s v="JUAN CARLOS CEDENO"/>
    <s v="SEGUNDA"/>
    <s v="."/>
    <s v="MIXTO"/>
    <s v="EMBUDO #2"/>
    <s v="EMBUDO #2-AZUL"/>
    <n v="20"/>
    <n v="1"/>
    <n v="2.7"/>
    <x v="0"/>
    <n v="0"/>
    <n v="2"/>
    <n v="1015"/>
    <n v="19997"/>
    <s v="AZUL"/>
    <n v="0"/>
    <n v="0"/>
    <n v="0"/>
    <n v="0.7"/>
    <n v="2.7"/>
    <n v="35"/>
    <n v="77.142857142857139"/>
    <x v="1"/>
    <x v="0"/>
    <n v="8"/>
    <n v="4"/>
    <n v="6.666666666666667"/>
  </r>
  <r>
    <d v="2025-03-02T08:46:00"/>
    <s v="INYECTADO"/>
    <x v="6"/>
    <x v="51"/>
    <s v="JUAN CARLOS CEDENO"/>
    <s v="SEGUNDA"/>
    <s v="."/>
    <s v="MIXTO"/>
    <s v="EMBUDO #2"/>
    <s v="EMBUDO #2-AMARILLO"/>
    <n v="546"/>
    <n v="5"/>
    <n v="71.099999999999994"/>
    <x v="0"/>
    <n v="0"/>
    <n v="11"/>
    <n v="1015"/>
    <n v="19997"/>
    <s v="AMARILLO"/>
    <n v="14.7"/>
    <n v="0"/>
    <n v="0"/>
    <n v="19.11"/>
    <n v="71.099999999999994"/>
    <n v="35"/>
    <n v="2031.4285714285713"/>
    <x v="1"/>
    <x v="0"/>
    <n v="8"/>
    <n v="4"/>
    <n v="182"/>
  </r>
  <r>
    <d v="2025-03-02T08:46:00"/>
    <s v="INYECTADO"/>
    <x v="6"/>
    <x v="51"/>
    <s v="JUAN CARLOS CEDENO"/>
    <s v="SEGUNDA"/>
    <s v="."/>
    <s v="MIXTO"/>
    <s v="EMBUDO #2"/>
    <s v="EMBUDO #2-VERDE"/>
    <n v="193"/>
    <n v="2"/>
    <n v="25.1"/>
    <x v="0"/>
    <n v="0"/>
    <n v="2"/>
    <n v="1015"/>
    <n v="19997"/>
    <s v="VERDE"/>
    <n v="6"/>
    <n v="0"/>
    <n v="0"/>
    <n v="6.7549999999999999"/>
    <n v="25.1"/>
    <n v="35"/>
    <n v="717.14285714285711"/>
    <x v="1"/>
    <x v="0"/>
    <n v="8"/>
    <n v="4"/>
    <n v="64.333333333333329"/>
  </r>
  <r>
    <d v="2025-03-02T08:46:00"/>
    <s v="INYECTADO"/>
    <x v="6"/>
    <x v="52"/>
    <s v="JUAN CARLOS CEDENO"/>
    <s v="SEGUNDA"/>
    <s v="."/>
    <s v="MIXTO"/>
    <s v="EMBUDO #2"/>
    <s v="EMBUDO #2-VERDE"/>
    <n v="453"/>
    <n v="4"/>
    <n v="60.7"/>
    <x v="0"/>
    <n v="0"/>
    <n v="7"/>
    <n v="1015"/>
    <n v="19998"/>
    <s v="VERDE"/>
    <n v="12.8"/>
    <n v="0"/>
    <n v="0"/>
    <n v="15.855"/>
    <n v="60.7"/>
    <n v="35"/>
    <n v="1734.2857142857142"/>
    <x v="1"/>
    <x v="0"/>
    <n v="8"/>
    <n v="4"/>
    <n v="151"/>
  </r>
  <r>
    <d v="2025-03-02T08:46:00"/>
    <s v="INYECTADO"/>
    <x v="6"/>
    <x v="52"/>
    <s v="JUAN CARLOS CEDENO"/>
    <s v="SEGUNDA"/>
    <s v="."/>
    <s v="MIXTO"/>
    <s v="EMBUDO #2"/>
    <s v="EMBUDO #2-ANARANJADO"/>
    <n v="41"/>
    <n v="1"/>
    <n v="5.4"/>
    <x v="0"/>
    <n v="0"/>
    <n v="1"/>
    <n v="1015"/>
    <n v="19998"/>
    <s v="ANARANJADO"/>
    <n v="1"/>
    <n v="0"/>
    <n v="0"/>
    <n v="1.4350000000000001"/>
    <n v="5.4"/>
    <n v="35"/>
    <n v="154.28571428571428"/>
    <x v="1"/>
    <x v="0"/>
    <n v="8"/>
    <n v="4"/>
    <n v="13.666666666666666"/>
  </r>
  <r>
    <d v="2025-03-02T08:46:00"/>
    <s v="INYECTADO"/>
    <x v="6"/>
    <x v="53"/>
    <s v="JOSDER GONZALEZ"/>
    <s v="SEGUNDA"/>
    <s v="."/>
    <s v="MIXTO"/>
    <s v="EMBUDO #2"/>
    <s v="EMBUDO #2-ANARANJADO"/>
    <n v="427"/>
    <n v="4"/>
    <n v="55.2"/>
    <x v="0"/>
    <n v="0"/>
    <n v="5"/>
    <n v="1015"/>
    <n v="19999"/>
    <s v="ANARANJADO"/>
    <n v="14.4"/>
    <n v="0"/>
    <n v="0"/>
    <n v="14.945"/>
    <n v="55.2"/>
    <n v="35"/>
    <n v="1577.1428571428571"/>
    <x v="1"/>
    <x v="0"/>
    <n v="8"/>
    <n v="4"/>
    <n v="142.33333333333334"/>
  </r>
  <r>
    <d v="2025-03-02T08:46:00"/>
    <s v="INYECTADO"/>
    <x v="6"/>
    <x v="53"/>
    <s v="JOSDER GONZALEZ"/>
    <s v="SEGUNDA"/>
    <s v="."/>
    <s v="MIXTO"/>
    <s v="EMBUDO #2"/>
    <s v="EMBUDO #2-ROJO"/>
    <n v="48"/>
    <n v="1"/>
    <n v="6.2"/>
    <x v="0"/>
    <n v="0"/>
    <n v="3"/>
    <n v="1015"/>
    <n v="19999"/>
    <s v="ROJO"/>
    <n v="15"/>
    <n v="0"/>
    <n v="0"/>
    <n v="1.68"/>
    <n v="6.2"/>
    <n v="35"/>
    <n v="177.14285714285714"/>
    <x v="1"/>
    <x v="0"/>
    <n v="8"/>
    <n v="4"/>
    <n v="16"/>
  </r>
  <r>
    <d v="2025-03-02T08:46:00"/>
    <s v="INYECTADO"/>
    <x v="6"/>
    <x v="53"/>
    <s v="JUAN MANUEL PEREZ"/>
    <s v="SEGUNDA"/>
    <s v="."/>
    <s v="MIXTO"/>
    <s v="EMBUDO #2"/>
    <s v="EMBUDO #2-ROJO"/>
    <n v="615"/>
    <n v="5"/>
    <n v="80"/>
    <x v="1"/>
    <n v="0"/>
    <n v="7"/>
    <n v="1015"/>
    <n v="20417"/>
    <s v="ROJO"/>
    <n v="15.6"/>
    <n v="0"/>
    <n v="0"/>
    <n v="21.524999999999999"/>
    <n v="80"/>
    <n v="35"/>
    <n v="2285.7142857142858"/>
    <x v="1"/>
    <x v="0"/>
    <n v="8"/>
    <n v="4"/>
    <n v="205"/>
  </r>
  <r>
    <d v="2025-03-02T08:46:00"/>
    <s v="INYECTADO"/>
    <x v="6"/>
    <x v="53"/>
    <s v="JUAN MANUEL PEREZ"/>
    <s v="SEGUNDA"/>
    <s v="."/>
    <s v="MIXTO"/>
    <s v="EMBUDO #2"/>
    <s v="EMBUDO #2-LILA"/>
    <n v="233"/>
    <n v="2"/>
    <n v="30.3"/>
    <x v="1"/>
    <n v="0"/>
    <n v="3"/>
    <n v="1015"/>
    <n v="20417"/>
    <s v="LILA"/>
    <n v="9.6"/>
    <n v="0"/>
    <n v="0"/>
    <n v="8.1549999999999994"/>
    <n v="30.3"/>
    <n v="35"/>
    <n v="865.71428571428567"/>
    <x v="1"/>
    <x v="0"/>
    <n v="8"/>
    <n v="4"/>
    <n v="77.666666666666671"/>
  </r>
  <r>
    <d v="2025-03-02T08:46:00"/>
    <s v="INYECTADO"/>
    <x v="6"/>
    <x v="45"/>
    <s v="JUAN CARLOS CEDENO"/>
    <s v="SEGUNDA"/>
    <s v="."/>
    <s v="MIXTO"/>
    <s v="EMBUDO #2"/>
    <s v="EMBUDO #2-LILA"/>
    <n v="365"/>
    <n v="3"/>
    <n v="49.3"/>
    <x v="0"/>
    <n v="0"/>
    <n v="6"/>
    <n v="1015"/>
    <n v="20418"/>
    <s v="LILA"/>
    <n v="9.8000000000000007"/>
    <n v="0"/>
    <n v="0"/>
    <n v="12.775"/>
    <n v="49.3"/>
    <n v="35"/>
    <n v="1408.5714285714287"/>
    <x v="1"/>
    <x v="0"/>
    <n v="9"/>
    <n v="4"/>
    <n v="121.66666666666667"/>
  </r>
  <r>
    <d v="2025-03-02T08:46:00"/>
    <s v="INYECTADO"/>
    <x v="6"/>
    <x v="45"/>
    <s v="JUAN CARLOS CEDENO"/>
    <s v="SEGUNDA"/>
    <s v="."/>
    <s v="MIXTO"/>
    <s v="EMBUDO #2"/>
    <s v="EMBUDO #2-ANARANJADO"/>
    <n v="194"/>
    <n v="2"/>
    <n v="25.3"/>
    <x v="0"/>
    <n v="0"/>
    <n v="5"/>
    <n v="1015"/>
    <n v="20418"/>
    <s v="ANARANJADO"/>
    <n v="8.8000000000000007"/>
    <n v="0"/>
    <n v="0"/>
    <n v="6.79"/>
    <n v="25.3"/>
    <n v="35"/>
    <n v="722.85714285714289"/>
    <x v="1"/>
    <x v="0"/>
    <n v="9"/>
    <n v="4"/>
    <n v="64.666666666666671"/>
  </r>
  <r>
    <d v="2025-03-02T08:46:00"/>
    <s v="INYECTADO"/>
    <x v="6"/>
    <x v="45"/>
    <s v="JUAN CARLOS CEDENO"/>
    <s v="SEGUNDA"/>
    <s v="."/>
    <s v="MIXTO"/>
    <s v="EMBUDO #2"/>
    <s v="EMBUDO #2-AMARILLO"/>
    <n v="77"/>
    <n v="1"/>
    <n v="10.5"/>
    <x v="0"/>
    <n v="0"/>
    <n v="1"/>
    <n v="1015"/>
    <n v="20418"/>
    <s v="AMARILLO"/>
    <n v="1.5"/>
    <n v="0"/>
    <n v="0"/>
    <n v="2.6949999999999998"/>
    <n v="10.5"/>
    <n v="35"/>
    <n v="300"/>
    <x v="1"/>
    <x v="0"/>
    <n v="9"/>
    <n v="4"/>
    <n v="25.666666666666668"/>
  </r>
  <r>
    <d v="2025-03-02T08:46:00"/>
    <s v="INYECTADO"/>
    <x v="6"/>
    <x v="38"/>
    <s v="NELSON PINEDO"/>
    <s v="VIRGEN"/>
    <s v="PP CLARIFICADO"/>
    <s v="."/>
    <s v="TAPAS DE JARRA 5 Y 6L"/>
    <s v="TAPAS DE JARRA DE 5 Y 6L-AMARILLO"/>
    <n v="286"/>
    <n v="4"/>
    <n v="48.4"/>
    <x v="0"/>
    <n v="0"/>
    <n v="8"/>
    <n v="996"/>
    <n v="21201"/>
    <s v="AMARILLO"/>
    <n v="2.7"/>
    <n v="0"/>
    <n v="0"/>
    <n v="23.166"/>
    <n v="48.4"/>
    <n v="81"/>
    <n v="597.53086419753083"/>
    <x v="1"/>
    <x v="0"/>
    <n v="9"/>
    <n v="2"/>
    <n v="47.666666666666664"/>
  </r>
  <r>
    <d v="2025-03-02T08:46:00"/>
    <s v="INYECTADO"/>
    <x v="6"/>
    <x v="38"/>
    <s v="JUAN MANUEL PEREZ"/>
    <s v="SEGUNDA"/>
    <s v="."/>
    <s v="MIXTO"/>
    <s v="TAPAS DE JARRA 5 Y 6L"/>
    <s v="TAPAS DE JARRA DE 5 Y 6L-ROJO"/>
    <n v="500"/>
    <n v="6"/>
    <n v="84.7"/>
    <x v="1"/>
    <n v="0"/>
    <n v="6"/>
    <n v="996"/>
    <n v="21202"/>
    <s v="ROJO"/>
    <n v="3"/>
    <n v="0"/>
    <n v="0"/>
    <n v="40.5"/>
    <n v="84.7"/>
    <n v="81"/>
    <n v="1045.679012345679"/>
    <x v="1"/>
    <x v="0"/>
    <n v="9"/>
    <n v="2"/>
    <n v="83.333333333333329"/>
  </r>
  <r>
    <d v="2025-03-02T08:46:00"/>
    <s v="INYECTADO"/>
    <x v="6"/>
    <x v="38"/>
    <s v="JUAN MANUEL PEREZ"/>
    <s v="SEGUNDA"/>
    <s v="."/>
    <s v="MIXTO"/>
    <s v="TAPAS DE JARRA 5 Y 6L"/>
    <s v="TAPAS DE JARRA DE 5 Y 6L-AZUL"/>
    <n v="650"/>
    <n v="7"/>
    <n v="110.1"/>
    <x v="1"/>
    <n v="0"/>
    <n v="19"/>
    <n v="996"/>
    <n v="21202"/>
    <s v="AZUL"/>
    <n v="5"/>
    <n v="0"/>
    <n v="0"/>
    <n v="52.65"/>
    <n v="110.1"/>
    <n v="81"/>
    <n v="1359.2592592592594"/>
    <x v="1"/>
    <x v="0"/>
    <n v="9"/>
    <n v="2"/>
    <n v="108.33333333333333"/>
  </r>
  <r>
    <d v="2025-03-02T08:46:00"/>
    <s v="INYECTADO"/>
    <x v="6"/>
    <x v="46"/>
    <s v="ISABEL LINARIZ "/>
    <s v="SEGUNDA"/>
    <s v="."/>
    <s v="MIXTO"/>
    <s v="TAPAS DE JARRA 5 Y 6L"/>
    <s v="TAPAS DE JARRA DE 5 Y 6L-ROJO"/>
    <n v="147"/>
    <n v="2"/>
    <n v="24.2"/>
    <x v="0"/>
    <n v="0"/>
    <n v="5"/>
    <n v="996"/>
    <n v="21203"/>
    <s v="ROJO"/>
    <n v="6.3"/>
    <n v="0"/>
    <n v="0"/>
    <n v="11.907"/>
    <n v="24.2"/>
    <n v="81"/>
    <n v="298.76543209876542"/>
    <x v="1"/>
    <x v="0"/>
    <n v="9"/>
    <n v="2"/>
    <n v="24.5"/>
  </r>
  <r>
    <d v="2025-03-02T08:46:00"/>
    <s v="INYECTADO"/>
    <x v="6"/>
    <x v="46"/>
    <s v="ISABEL LINARIZ "/>
    <s v="SEGUNDA"/>
    <s v="."/>
    <s v="MIXTO"/>
    <s v="TAPAS DE JARRA 5 Y 6L"/>
    <s v="TAPAS DE JARRA DE 5 Y 6L-VERDE"/>
    <n v="558"/>
    <n v="6"/>
    <n v="92"/>
    <x v="0"/>
    <n v="0"/>
    <n v="16"/>
    <n v="996"/>
    <n v="21203"/>
    <s v="VERDE"/>
    <n v="7.2"/>
    <n v="0"/>
    <n v="0"/>
    <n v="45.198"/>
    <n v="92"/>
    <n v="81"/>
    <n v="1135.8024691358025"/>
    <x v="1"/>
    <x v="0"/>
    <n v="9"/>
    <n v="2"/>
    <n v="93"/>
  </r>
  <r>
    <d v="2025-03-02T08:46:00"/>
    <s v="INYECTADO"/>
    <x v="2"/>
    <x v="42"/>
    <s v="JUAN CARLOS CEDENO"/>
    <s v="SEGUNDA"/>
    <s v="."/>
    <s v="MIXTO"/>
    <s v="COLADOR HOGAR SOLIDO #4"/>
    <s v="COLADOR HOGAR SOLIDO#4-VERDE"/>
    <n v="823"/>
    <n v="8"/>
    <n v="93"/>
    <x v="0"/>
    <m/>
    <n v="7"/>
    <n v="987"/>
    <n v="21014"/>
    <s v="VERDE"/>
    <n v="7.3"/>
    <n v="0"/>
    <n v="0"/>
    <n v="90.53"/>
    <n v="93"/>
    <n v="110"/>
    <n v="845.4545454545455"/>
    <x v="1"/>
    <x v="0"/>
    <n v="6"/>
    <n v="1"/>
    <n v="68.583333333333329"/>
  </r>
  <r>
    <d v="2025-03-02T08:46:00"/>
    <s v="INYECTADO"/>
    <x v="2"/>
    <x v="42"/>
    <s v="JUAN CARLOS CEDENO"/>
    <s v="SEGUNDA"/>
    <s v="."/>
    <s v="MIXTO"/>
    <s v="COLADOR HOGAR SOLIDO #4"/>
    <s v="COLADOR HOGAR SOLIDO#4-AZUL"/>
    <n v="423"/>
    <n v="4"/>
    <n v="47.8"/>
    <x v="0"/>
    <m/>
    <n v="4"/>
    <n v="987"/>
    <n v="21014"/>
    <s v="AZUL"/>
    <n v="4.5999999999999996"/>
    <n v="0"/>
    <n v="0"/>
    <n v="46.53"/>
    <n v="47.8"/>
    <n v="110"/>
    <n v="434.54545454545456"/>
    <x v="1"/>
    <x v="0"/>
    <n v="6"/>
    <n v="1"/>
    <n v="35.25"/>
  </r>
  <r>
    <d v="2025-03-02T08:46:00"/>
    <s v="INYECTADO"/>
    <x v="2"/>
    <x v="35"/>
    <s v="LUIS RENGIFO"/>
    <s v="SEGUNDA"/>
    <s v="."/>
    <s v="MIXTO"/>
    <s v="COLADOR HOGAR SOLIDO #4"/>
    <s v="COLADOR HOGAR SOLIDO#4-AZUL"/>
    <n v="313"/>
    <n v="3"/>
    <n v="41.8"/>
    <x v="0"/>
    <m/>
    <n v="4"/>
    <n v="987"/>
    <n v="21015"/>
    <s v="AZUL"/>
    <n v="4.4000000000000004"/>
    <n v="0"/>
    <n v="0"/>
    <n v="34.43"/>
    <n v="41.8"/>
    <n v="110"/>
    <n v="380"/>
    <x v="1"/>
    <x v="0"/>
    <n v="6"/>
    <n v="1"/>
    <n v="26.083333333333332"/>
  </r>
  <r>
    <d v="2025-03-02T08:46:00"/>
    <s v="INYECTADO"/>
    <x v="2"/>
    <x v="35"/>
    <s v="LUIS RENGIFO"/>
    <s v="SEGUNDA"/>
    <s v="."/>
    <s v="MIXTO"/>
    <s v="COLADOR HOGAR SOLIDO #4"/>
    <s v="COLADOR HOGAR SOLIDO#4-AZURE"/>
    <n v="178"/>
    <n v="2"/>
    <n v="20"/>
    <x v="0"/>
    <m/>
    <n v="2"/>
    <n v="987"/>
    <n v="21015"/>
    <s v="AZURE"/>
    <n v="4"/>
    <n v="0"/>
    <n v="0"/>
    <n v="19.579999999999998"/>
    <n v="20"/>
    <n v="110"/>
    <n v="181.81818181818181"/>
    <x v="1"/>
    <x v="0"/>
    <n v="6"/>
    <n v="1"/>
    <n v="14.833333333333334"/>
  </r>
  <r>
    <d v="2025-03-02T08:46:00"/>
    <s v="INYECTADO"/>
    <x v="2"/>
    <x v="35"/>
    <s v="JUAN MANUEL PEREZ"/>
    <s v="SEGUNDA"/>
    <s v="."/>
    <s v="MIXTO"/>
    <s v="COLADOR HOGAR SOLIDO #4"/>
    <s v="COLADOR HOGAR SOLIDO#4-AZURE"/>
    <n v="237"/>
    <n v="2"/>
    <n v="26.8"/>
    <x v="1"/>
    <m/>
    <n v="2"/>
    <n v="987"/>
    <n v="21026"/>
    <s v="CELESTE"/>
    <n v="0"/>
    <n v="0"/>
    <n v="0"/>
    <n v="26.07"/>
    <n v="26.8"/>
    <n v="110"/>
    <n v="243.63636363636363"/>
    <x v="1"/>
    <x v="0"/>
    <n v="6"/>
    <n v="1"/>
    <n v="19.75"/>
  </r>
  <r>
    <d v="2025-03-02T08:46:00"/>
    <s v="INYECTADO"/>
    <x v="2"/>
    <x v="47"/>
    <s v="GABRIEL REQUENA"/>
    <s v="SEGUNDA"/>
    <s v="."/>
    <s v="MIXTO"/>
    <s v="COLADOR HOGAR SOLIDO #4"/>
    <s v="COLADOR HOGAR SOLIDO#4-ROJO"/>
    <n v="835"/>
    <n v="8"/>
    <n v="91.9"/>
    <x v="0"/>
    <m/>
    <n v="7"/>
    <n v="987"/>
    <n v="21017"/>
    <s v="ROJO"/>
    <n v="0"/>
    <n v="0"/>
    <n v="0"/>
    <n v="91.85"/>
    <n v="91.9"/>
    <n v="110"/>
    <n v="835.4545454545455"/>
    <x v="1"/>
    <x v="0"/>
    <n v="6"/>
    <n v="1"/>
    <n v="69.583333333333329"/>
  </r>
  <r>
    <d v="2025-03-02T08:46:00"/>
    <s v="INYECTADO"/>
    <x v="2"/>
    <x v="47"/>
    <s v="GABRIEL REQUENA"/>
    <s v="SEGUNDA"/>
    <s v="."/>
    <s v="MIXTO"/>
    <s v="COLADOR HOGAR SOLIDO #4"/>
    <s v="COLADOR HOGAR SOLIDO#4-AZURE"/>
    <n v="482"/>
    <n v="4"/>
    <n v="53.6"/>
    <x v="0"/>
    <m/>
    <n v="4"/>
    <n v="987"/>
    <n v="21017"/>
    <s v="CELESTE"/>
    <n v="7.4"/>
    <n v="0"/>
    <n v="0"/>
    <n v="53.02"/>
    <n v="53.6"/>
    <n v="110"/>
    <n v="487.27272727272725"/>
    <x v="1"/>
    <x v="0"/>
    <n v="6"/>
    <n v="1"/>
    <n v="40.166666666666664"/>
  </r>
  <r>
    <d v="2025-03-02T08:46:00"/>
    <s v="INYECTADO"/>
    <x v="2"/>
    <x v="47"/>
    <s v="JUAN MANUEL PEREZ"/>
    <s v="SEGUNDA"/>
    <s v="."/>
    <s v="MIXTO"/>
    <s v="COLADOR HOGAR SOLIDO #4"/>
    <s v="COLADOR HOGAR SOLIDO#4-ROJO"/>
    <n v="108"/>
    <n v="1"/>
    <n v="12"/>
    <x v="1"/>
    <m/>
    <n v="1"/>
    <n v="987"/>
    <n v="21018"/>
    <s v="ROJO"/>
    <n v="0"/>
    <n v="0"/>
    <n v="0"/>
    <n v="11.88"/>
    <n v="12"/>
    <n v="110"/>
    <n v="109.09090909090909"/>
    <x v="1"/>
    <x v="0"/>
    <n v="6"/>
    <n v="1"/>
    <n v="9"/>
  </r>
  <r>
    <d v="2025-03-02T08:46:00"/>
    <s v="INYECTADO"/>
    <x v="2"/>
    <x v="47"/>
    <s v="JUAN MANUEL PEREZ"/>
    <s v="SEGUNDA"/>
    <s v="."/>
    <s v="MIXTO"/>
    <s v="COLADOR HOGAR SOLIDO #4"/>
    <s v="COLADOR HOGAR SOLIDO#4-ANARANJADO"/>
    <n v="242"/>
    <n v="2"/>
    <n v="27.4"/>
    <x v="1"/>
    <m/>
    <n v="2"/>
    <n v="987"/>
    <n v="21018"/>
    <s v="ANARANJADO"/>
    <n v="0"/>
    <n v="0"/>
    <n v="0"/>
    <n v="26.62"/>
    <n v="27.4"/>
    <n v="110"/>
    <n v="249.09090909090909"/>
    <x v="1"/>
    <x v="0"/>
    <n v="6"/>
    <n v="1"/>
    <n v="20.166666666666668"/>
  </r>
  <r>
    <d v="2025-03-02T08:46:00"/>
    <s v="INYECTADO"/>
    <x v="2"/>
    <x v="48"/>
    <s v="JUAN CARLOS CEDENO"/>
    <s v="SEGUNDA"/>
    <s v="."/>
    <s v="MIXTO"/>
    <s v="COLADOR HOGAR SOLIDO #4"/>
    <s v="COLADOR HOGAR SOLIDO#4-ANARANJADO"/>
    <n v="244"/>
    <n v="3"/>
    <n v="27.6"/>
    <x v="0"/>
    <m/>
    <n v="2"/>
    <n v="987"/>
    <n v="21019"/>
    <s v="ANARANJADO"/>
    <n v="4.5"/>
    <n v="0"/>
    <n v="0"/>
    <n v="26.84"/>
    <n v="27.6"/>
    <n v="110"/>
    <n v="250.90909090909091"/>
    <x v="1"/>
    <x v="0"/>
    <n v="6"/>
    <n v="1"/>
    <n v="20.333333333333332"/>
  </r>
  <r>
    <d v="2025-03-02T08:46:00"/>
    <s v="INYECTADO"/>
    <x v="2"/>
    <x v="48"/>
    <s v="JUAN CARLOS CEDENO"/>
    <s v="SEGUNDA"/>
    <s v="."/>
    <s v="MIXTO"/>
    <s v="COLADOR HOGAR SOLIDO #4"/>
    <s v="COLADOR HOGAR SOLIDO#4-AZUL"/>
    <n v="184"/>
    <n v="2"/>
    <n v="20.7"/>
    <x v="0"/>
    <m/>
    <n v="2"/>
    <n v="987"/>
    <n v="21019"/>
    <s v="AZUL"/>
    <n v="0"/>
    <n v="0"/>
    <n v="0"/>
    <n v="20.239999999999998"/>
    <n v="20.7"/>
    <n v="110"/>
    <n v="188.18181818181819"/>
    <x v="1"/>
    <x v="0"/>
    <n v="6"/>
    <n v="1"/>
    <n v="15.333333333333334"/>
  </r>
  <r>
    <d v="2025-03-02T08:46:00"/>
    <s v="INYECTADO"/>
    <x v="2"/>
    <x v="49"/>
    <s v="JUAN CARLOS CEDENO"/>
    <s v="VIRGEN"/>
    <s v="PP CLARIFICADO"/>
    <s v="."/>
    <s v="LAVACUELA REDONDO"/>
    <s v="LAVACUELA REDONDO-TURQUESA"/>
    <n v="319"/>
    <n v="3"/>
    <n v="30"/>
    <x v="0"/>
    <m/>
    <n v="6"/>
    <n v="969"/>
    <n v="21020"/>
    <s v="TURQUESA"/>
    <n v="4.5"/>
    <n v="0"/>
    <n v="0"/>
    <n v="29.5075"/>
    <n v="30"/>
    <n v="92.5"/>
    <n v="324.32432432432432"/>
    <x v="1"/>
    <x v="0"/>
    <n v="6"/>
    <n v="1"/>
    <n v="26.583333333333332"/>
  </r>
  <r>
    <d v="2025-03-02T08:46:00"/>
    <s v="INYECTADO"/>
    <x v="2"/>
    <x v="49"/>
    <s v="JUAN CARLOS CEDENO"/>
    <s v="VIRGEN"/>
    <s v="PP CLARIFICADO"/>
    <s v="."/>
    <s v="LAVACUELA REDONDO"/>
    <s v="LAVACUELA REDONDO-CREMA"/>
    <n v="489"/>
    <n v="4"/>
    <n v="46"/>
    <x v="0"/>
    <m/>
    <n v="4"/>
    <n v="969"/>
    <n v="21020"/>
    <s v="CREMA"/>
    <n v="4.7"/>
    <n v="0"/>
    <n v="0"/>
    <n v="45.232500000000002"/>
    <n v="46"/>
    <n v="92.5"/>
    <n v="497.29729729729729"/>
    <x v="1"/>
    <x v="0"/>
    <n v="6"/>
    <n v="1"/>
    <n v="40.75"/>
  </r>
  <r>
    <d v="2025-03-02T08:46:00"/>
    <s v="INYECTADO"/>
    <x v="2"/>
    <x v="50"/>
    <s v="NELSON PINEDO"/>
    <s v="VIRGEN"/>
    <s v="PP CLARIFICADO"/>
    <s v="."/>
    <s v="LAVACUELA REDONDO"/>
    <s v="LAVACUELA REDONDO-CREMA"/>
    <n v="335"/>
    <n v="3"/>
    <n v="31.2"/>
    <x v="0"/>
    <m/>
    <n v="3"/>
    <n v="969"/>
    <n v="21021"/>
    <s v="CREMA"/>
    <n v="2.9"/>
    <n v="0"/>
    <n v="0"/>
    <n v="30.987500000000001"/>
    <n v="31.2"/>
    <n v="92.5"/>
    <n v="337.29729729729729"/>
    <x v="1"/>
    <x v="0"/>
    <n v="6"/>
    <n v="1"/>
    <n v="27.916666666666668"/>
  </r>
  <r>
    <d v="2025-03-02T08:46:00"/>
    <s v="INYECTADO"/>
    <x v="2"/>
    <x v="30"/>
    <s v="JOSE CAHUACHI"/>
    <s v="VIRGEN"/>
    <s v="PP CLARIFICADO"/>
    <s v="."/>
    <s v="LAVACUELA REDONDO"/>
    <s v="LAVACUELA REDONDO-TURQUESA"/>
    <n v="98"/>
    <n v="1"/>
    <n v="9.1999999999999993"/>
    <x v="0"/>
    <m/>
    <n v="1"/>
    <n v="969"/>
    <n v="21022"/>
    <s v="TURQUESA"/>
    <n v="2.8"/>
    <n v="0"/>
    <n v="0"/>
    <n v="9.0649999999999995"/>
    <n v="9.1999999999999993"/>
    <n v="92.5"/>
    <n v="99.459459459459453"/>
    <x v="1"/>
    <x v="0"/>
    <n v="7"/>
    <n v="1"/>
    <n v="8.1666666666666661"/>
  </r>
  <r>
    <d v="2025-03-02T08:46:00"/>
    <s v="INYECTADO"/>
    <x v="2"/>
    <x v="30"/>
    <s v="JOSE CAHUACHI"/>
    <s v="VIRGEN"/>
    <s v="PP CLARIFICADO"/>
    <s v="."/>
    <s v="LAVACUELA REDONDO"/>
    <s v="LAVACUELA REDONDO-CREMA"/>
    <n v="308"/>
    <n v="3"/>
    <n v="28.7"/>
    <x v="0"/>
    <m/>
    <n v="3"/>
    <n v="969"/>
    <n v="21022"/>
    <s v="CREMA"/>
    <n v="1.3"/>
    <n v="0"/>
    <n v="0"/>
    <n v="28.49"/>
    <n v="28.7"/>
    <n v="92.5"/>
    <n v="310.27027027027026"/>
    <x v="1"/>
    <x v="0"/>
    <n v="7"/>
    <n v="1"/>
    <n v="25.666666666666668"/>
  </r>
  <r>
    <d v="2025-03-02T08:46:00"/>
    <s v="INYECTADO"/>
    <x v="2"/>
    <x v="30"/>
    <s v="JOSE CAHUACHI"/>
    <s v="VIRGEN"/>
    <s v="PP CLARIFICADO"/>
    <s v="."/>
    <s v="LAVACUELA REDONDO"/>
    <s v="LAVACUELA REDONDO-VERDE"/>
    <n v="436"/>
    <n v="4"/>
    <n v="40.6"/>
    <x v="0"/>
    <m/>
    <n v="4"/>
    <n v="969"/>
    <n v="21022"/>
    <s v="VERDE"/>
    <n v="0.8"/>
    <n v="0"/>
    <n v="0"/>
    <n v="40.33"/>
    <n v="40.6"/>
    <n v="92.5"/>
    <n v="438.91891891891891"/>
    <x v="1"/>
    <x v="0"/>
    <n v="7"/>
    <n v="1"/>
    <n v="36.333333333333336"/>
  </r>
  <r>
    <d v="2025-03-02T08:46:00"/>
    <s v="INYECTADO"/>
    <x v="2"/>
    <x v="31"/>
    <s v="LUIS RENGIFO"/>
    <s v="VIRGEN"/>
    <s v="PP CLARIFICADO"/>
    <s v="."/>
    <s v="ORGANIZADOR DE 5KG"/>
    <s v="BASE ORGANIZADOR DE 5KG-TRANSPARENTE"/>
    <n v="397"/>
    <n v="3"/>
    <n v="75.8"/>
    <x v="0"/>
    <m/>
    <n v="11"/>
    <n v="1005"/>
    <n v="21023"/>
    <s v="TRANSPARENTE"/>
    <n v="1.7"/>
    <n v="0"/>
    <n v="0"/>
    <n v="75.430000000000007"/>
    <n v="75.8"/>
    <n v="190"/>
    <n v="398.94736842105266"/>
    <x v="1"/>
    <x v="0"/>
    <n v="7"/>
    <n v="1"/>
    <n v="33.083333333333336"/>
  </r>
  <r>
    <d v="2025-03-02T08:46:00"/>
    <s v="INYECTADO"/>
    <x v="2"/>
    <x v="36"/>
    <s v="JOSDER GONZALEZ"/>
    <s v="VIRGEN"/>
    <s v="PP CLARIFICADO"/>
    <s v="."/>
    <s v="ORGANIZADOR DE 5KG"/>
    <s v="BASE ORGANIZADOR DE 5KG-TRANSPARENTE"/>
    <n v="1192"/>
    <n v="12"/>
    <n v="227"/>
    <x v="0"/>
    <m/>
    <n v="33"/>
    <n v="1005"/>
    <n v="21025"/>
    <s v="TRANSPARENTE"/>
    <n v="4.3"/>
    <n v="0"/>
    <n v="0"/>
    <n v="226.48"/>
    <n v="227"/>
    <n v="190"/>
    <n v="1194.7368421052631"/>
    <x v="1"/>
    <x v="0"/>
    <n v="7"/>
    <n v="1"/>
    <n v="99.333333333333329"/>
  </r>
  <r>
    <d v="2025-03-02T08:46:00"/>
    <s v="INYECTADO"/>
    <x v="2"/>
    <x v="32"/>
    <s v="FABIAN HERNANDEZ"/>
    <s v="VIRGEN"/>
    <s v="PP CLARIFICADO"/>
    <s v="."/>
    <s v="ORGANIZADOR DE 5KG"/>
    <s v="BASE ORGANIZADOR DE 5KG-TRANSPARENTE"/>
    <n v="576"/>
    <n v="5"/>
    <n v="110"/>
    <x v="1"/>
    <m/>
    <n v="16"/>
    <n v="1005"/>
    <n v="21026"/>
    <s v="TRANSPARENTE"/>
    <n v="0"/>
    <n v="0"/>
    <n v="0"/>
    <n v="109.44"/>
    <n v="110"/>
    <n v="190"/>
    <n v="578.9473684210526"/>
    <x v="1"/>
    <x v="0"/>
    <n v="7"/>
    <n v="1"/>
    <n v="48"/>
  </r>
  <r>
    <d v="2025-03-02T08:46:00"/>
    <s v="INYECTADO"/>
    <x v="2"/>
    <x v="33"/>
    <s v="JUAN CARLOS CEDENO"/>
    <s v="VIRGEN"/>
    <s v="PP CLARIFICADO"/>
    <s v="."/>
    <s v="ORGANIZADOR DE 5KG"/>
    <s v="BASE ORGANIZADOR DE 5KG-TRANSPARENTE"/>
    <n v="1285"/>
    <n v="11"/>
    <n v="245"/>
    <x v="0"/>
    <m/>
    <n v="33"/>
    <n v="1005"/>
    <n v="21027"/>
    <s v="TRANSPARENTE"/>
    <n v="2.1"/>
    <n v="0"/>
    <n v="0"/>
    <n v="244.15"/>
    <n v="245"/>
    <n v="190"/>
    <n v="1289.4736842105262"/>
    <x v="1"/>
    <x v="0"/>
    <n v="7"/>
    <n v="1"/>
    <n v="107.08333333333333"/>
  </r>
  <r>
    <d v="2025-03-02T08:46:00"/>
    <s v="INYECTADO"/>
    <x v="2"/>
    <x v="33"/>
    <s v="FABIAN HERNANDEZ"/>
    <s v="VIRGEN"/>
    <s v="PP CLARIFICADO"/>
    <s v="."/>
    <s v="ORGANIZADOR DE 5KG"/>
    <s v="BASE ORGANIZADOR DE 5KG-TRANSPARENTE"/>
    <n v="979"/>
    <n v="12"/>
    <n v="186"/>
    <x v="1"/>
    <m/>
    <n v="27"/>
    <n v="1005"/>
    <n v="21028"/>
    <s v="TRANSPARENTE"/>
    <n v="4.7"/>
    <n v="0"/>
    <n v="0"/>
    <n v="186.01"/>
    <n v="186"/>
    <n v="190"/>
    <n v="978.9473684210526"/>
    <x v="1"/>
    <x v="0"/>
    <n v="7"/>
    <n v="1"/>
    <n v="81.583333333333329"/>
  </r>
  <r>
    <d v="2025-03-02T08:46:00"/>
    <s v="INYECTADO"/>
    <x v="2"/>
    <x v="43"/>
    <s v="ISABEL LINARIZ "/>
    <s v="VIRGEN"/>
    <s v="PP CLARIFICADO"/>
    <s v="."/>
    <s v="ORGANIZADOR DE 5KG"/>
    <s v="BASE ORGANIZADOR DE 5KG-TRANSPARENTE"/>
    <n v="691"/>
    <n v="6"/>
    <n v="136.1"/>
    <x v="0"/>
    <m/>
    <n v="22"/>
    <n v="1005"/>
    <n v="21029"/>
    <s v="TRANSPARENTE"/>
    <n v="4.3"/>
    <n v="0"/>
    <n v="0"/>
    <n v="131.29"/>
    <n v="136.1"/>
    <n v="190"/>
    <n v="716.31578947368416"/>
    <x v="1"/>
    <x v="0"/>
    <n v="8"/>
    <n v="1"/>
    <n v="57.583333333333336"/>
  </r>
  <r>
    <d v="2025-03-02T08:46:00"/>
    <s v="INYECTADO"/>
    <x v="2"/>
    <x v="44"/>
    <s v="CRISALIDA ZAPATA"/>
    <s v="VIRGEN"/>
    <s v="PP CLARIFICADO"/>
    <s v="."/>
    <s v="ORGANIZADOR DE 5KG"/>
    <s v="BASE ORGANIZADOR DE 5KG-TRANSPARENTE"/>
    <n v="285"/>
    <n v="2"/>
    <n v="55.5"/>
    <x v="0"/>
    <m/>
    <n v="8"/>
    <n v="1005"/>
    <n v="21030"/>
    <s v="TRANSPARENTE"/>
    <n v="0"/>
    <n v="0"/>
    <n v="0"/>
    <n v="54.15"/>
    <n v="55.5"/>
    <n v="190"/>
    <n v="292.10526315789474"/>
    <x v="1"/>
    <x v="0"/>
    <n v="8"/>
    <n v="1"/>
    <n v="23.75"/>
  </r>
  <r>
    <d v="2025-03-02T08:46:00"/>
    <s v="INYECTADO"/>
    <x v="2"/>
    <x v="44"/>
    <s v="CRISALIDA ZAPATA"/>
    <s v="VIRGEN"/>
    <s v="PP CLARIFICADO"/>
    <s v="."/>
    <s v="ORGANIZADOR DE 5KG PASTEL"/>
    <s v="BASE ORGANIZADOR DE 5KG PASTEL-CELESTE"/>
    <n v="368"/>
    <n v="3"/>
    <n v="72.099999999999994"/>
    <x v="0"/>
    <m/>
    <n v="11"/>
    <n v="1005"/>
    <n v="21030"/>
    <s v="CELESTE"/>
    <n v="6.1"/>
    <n v="0"/>
    <n v="0"/>
    <n v="69.92"/>
    <n v="72.099999999999994"/>
    <n v="190"/>
    <n v="379.4736842105263"/>
    <x v="1"/>
    <x v="0"/>
    <n v="8"/>
    <n v="1"/>
    <n v="30.666666666666668"/>
  </r>
  <r>
    <d v="2025-03-02T08:46:00"/>
    <s v="INYECTADO"/>
    <x v="2"/>
    <x v="44"/>
    <s v="CRISALIDA ZAPATA"/>
    <s v="VIRGEN"/>
    <s v="PP CLARIFICADO"/>
    <s v="."/>
    <s v="ORGANIZADOR DE 5KG PASTEL"/>
    <s v="BASE ORGANIZADOR DE 5KG PASTEL-AZURE"/>
    <n v="113"/>
    <n v="1"/>
    <n v="22.1"/>
    <x v="0"/>
    <m/>
    <n v="3"/>
    <n v="1005"/>
    <n v="21030"/>
    <s v="AZURE"/>
    <n v="2.1"/>
    <n v="0"/>
    <n v="0"/>
    <n v="21.47"/>
    <n v="22.1"/>
    <n v="190"/>
    <n v="116.31578947368421"/>
    <x v="1"/>
    <x v="0"/>
    <n v="8"/>
    <n v="1"/>
    <n v="9.4166666666666661"/>
  </r>
  <r>
    <d v="2025-03-02T08:46:00"/>
    <s v="INYECTADO"/>
    <x v="2"/>
    <x v="44"/>
    <s v="CRISALIDA ZAPATA"/>
    <s v="VIRGEN"/>
    <s v="PP CLARIFICADO"/>
    <s v="."/>
    <s v="ORGANIZADOR DE 5KG PASTEL"/>
    <s v="BASE ORGANIZADOR DE 5KG PASTEL-TURQUESA"/>
    <n v="281"/>
    <n v="2"/>
    <n v="55"/>
    <x v="0"/>
    <m/>
    <n v="8"/>
    <n v="1005"/>
    <n v="21030"/>
    <s v="TURQUESA"/>
    <n v="4.5999999999999996"/>
    <n v="0"/>
    <n v="0"/>
    <n v="53.39"/>
    <n v="55"/>
    <n v="190"/>
    <n v="289.4736842105263"/>
    <x v="1"/>
    <x v="0"/>
    <n v="8"/>
    <n v="1"/>
    <n v="23.416666666666668"/>
  </r>
  <r>
    <d v="2025-03-02T08:46:00"/>
    <s v="INYECTADO"/>
    <x v="2"/>
    <x v="44"/>
    <s v="JUAN MANUEL PEREZ"/>
    <s v="VIRGEN"/>
    <s v="PP CLARIFICADO"/>
    <s v="."/>
    <s v="ORGANIZADOR DE 5KG PASTEL"/>
    <s v="BASE ORGANIZADOR DE 5KG PASTEL-AZURE"/>
    <n v="326"/>
    <n v="3"/>
    <n v="44.2"/>
    <x v="1"/>
    <m/>
    <n v="3"/>
    <n v="1005"/>
    <n v="21031"/>
    <s v="AZURE"/>
    <n v="3.1"/>
    <n v="0"/>
    <n v="0"/>
    <n v="61.94"/>
    <n v="44.2"/>
    <n v="190"/>
    <n v="232.63157894736841"/>
    <x v="1"/>
    <x v="0"/>
    <n v="8"/>
    <n v="1"/>
    <n v="27.166666666666668"/>
  </r>
  <r>
    <d v="2025-03-02T08:46:00"/>
    <s v="INYECTADO"/>
    <x v="2"/>
    <x v="44"/>
    <s v="JUAN MANUEL PEREZ"/>
    <s v="VIRGEN"/>
    <s v="PP CLARIFICADO"/>
    <s v="."/>
    <s v="ORGANIZADOR DE 5KG PASTEL"/>
    <s v="BASE ORGANIZADOR DE 5KG PASTEL-ROSADO"/>
    <n v="364"/>
    <n v="3"/>
    <n v="71.3"/>
    <x v="1"/>
    <m/>
    <n v="3"/>
    <n v="1005"/>
    <n v="21031"/>
    <s v="ROSADO"/>
    <n v="2"/>
    <n v="0"/>
    <n v="0"/>
    <n v="69.16"/>
    <n v="71.3"/>
    <n v="190"/>
    <n v="375.26315789473682"/>
    <x v="1"/>
    <x v="0"/>
    <n v="8"/>
    <n v="1"/>
    <n v="30.333333333333332"/>
  </r>
  <r>
    <d v="2025-03-02T08:46:00"/>
    <s v="INYECTADO"/>
    <x v="2"/>
    <x v="44"/>
    <s v="JUAN MANUEL PEREZ"/>
    <s v="VIRGEN"/>
    <s v="PP CLARIFICADO"/>
    <s v="."/>
    <s v="ORGANIZADOR DE 5KG PASTEL"/>
    <s v="BASE ORGANIZADOR DE 5KG PASTEL-LILA"/>
    <n v="314"/>
    <n v="3"/>
    <n v="62.5"/>
    <x v="1"/>
    <m/>
    <n v="3"/>
    <n v="1005"/>
    <n v="21031"/>
    <s v="LILA"/>
    <n v="2"/>
    <n v="0"/>
    <n v="0"/>
    <n v="59.66"/>
    <n v="62.5"/>
    <n v="190"/>
    <n v="328.94736842105266"/>
    <x v="1"/>
    <x v="0"/>
    <n v="8"/>
    <n v="1"/>
    <n v="26.166666666666668"/>
  </r>
  <r>
    <d v="2025-03-02T08:46:00"/>
    <s v="INYECTADO"/>
    <x v="2"/>
    <x v="51"/>
    <s v="CRISALIDA ZAPATA"/>
    <s v="VIRGEN"/>
    <s v="PP CLARIFICADO"/>
    <s v="."/>
    <s v="ORGANIZADOR DE 5KG PASTEL"/>
    <s v="BASE ORGANIZADOR DE 5KG PASTEL-LILA"/>
    <n v="56"/>
    <n v="1"/>
    <n v="10.9"/>
    <x v="0"/>
    <m/>
    <n v="2"/>
    <n v="1005"/>
    <n v="21032"/>
    <s v="LILA"/>
    <n v="2"/>
    <n v="0"/>
    <n v="0"/>
    <n v="10.64"/>
    <n v="10.9"/>
    <n v="190"/>
    <n v="57.368421052631582"/>
    <x v="1"/>
    <x v="0"/>
    <n v="8"/>
    <n v="1"/>
    <n v="4.666666666666667"/>
  </r>
  <r>
    <d v="2025-03-02T08:46:00"/>
    <s v="INYECTADO"/>
    <x v="2"/>
    <x v="51"/>
    <s v="CRISALIDA ZAPATA"/>
    <s v="VIRGEN"/>
    <s v="PP CLARIFICADO"/>
    <s v="."/>
    <s v="ORGANIZADOR DE 5KG PASTEL"/>
    <s v="BASE ORGANIZADOR DE 5KG PASTEL-SANDIA"/>
    <n v="252"/>
    <n v="2"/>
    <n v="49.3"/>
    <x v="0"/>
    <m/>
    <n v="7"/>
    <n v="1005"/>
    <n v="21032"/>
    <s v="SANDIA"/>
    <n v="7.5"/>
    <n v="0"/>
    <n v="0"/>
    <n v="47.88"/>
    <n v="49.3"/>
    <n v="190"/>
    <n v="259.4736842105263"/>
    <x v="1"/>
    <x v="0"/>
    <n v="8"/>
    <n v="1"/>
    <n v="21"/>
  </r>
  <r>
    <d v="2025-03-02T08:46:00"/>
    <s v="INYECTADO"/>
    <x v="2"/>
    <x v="52"/>
    <s v="JUAN CARLOS CEDENO"/>
    <s v="SEGUNDA"/>
    <s v="."/>
    <s v="MIXTO"/>
    <s v="BALDE CASTILLO"/>
    <s v="BALDE CASTILLO-VERDE"/>
    <n v="442"/>
    <n v="4"/>
    <n v="59.6"/>
    <x v="0"/>
    <m/>
    <n v="4"/>
    <n v="1021"/>
    <n v="21033"/>
    <s v="VERDE"/>
    <n v="0"/>
    <n v="0"/>
    <n v="0"/>
    <n v="59.228000000000002"/>
    <n v="59.6"/>
    <n v="134"/>
    <n v="444.7761194029851"/>
    <x v="1"/>
    <x v="0"/>
    <n v="8"/>
    <n v="1"/>
    <n v="36.833333333333336"/>
  </r>
  <r>
    <d v="2025-03-02T08:46:00"/>
    <s v="INYECTADO"/>
    <x v="2"/>
    <x v="52"/>
    <s v="JUAN MANUEL PEREZ"/>
    <s v="SEGUNDA"/>
    <s v="."/>
    <s v="MIXTO"/>
    <s v="BALDE CASTILLO"/>
    <s v="BALDE CASTILLO-VERDE"/>
    <n v="508"/>
    <n v="5"/>
    <n v="69"/>
    <x v="1"/>
    <m/>
    <n v="5"/>
    <n v="1021"/>
    <n v="21034"/>
    <s v="VERDE"/>
    <n v="3"/>
    <n v="0"/>
    <n v="0"/>
    <n v="68.072000000000003"/>
    <n v="69"/>
    <n v="134"/>
    <n v="514.92537313432831"/>
    <x v="1"/>
    <x v="0"/>
    <n v="8"/>
    <n v="1"/>
    <n v="42.333333333333336"/>
  </r>
  <r>
    <d v="2025-03-02T08:46:00"/>
    <s v="INYECTADO"/>
    <x v="2"/>
    <x v="52"/>
    <s v="JUAN MANUEL PEREZ"/>
    <s v="SEGUNDA"/>
    <s v="."/>
    <s v="MIXTO"/>
    <s v="BALDE CASTILLO"/>
    <s v="BALDE CASTILLO-AZUL"/>
    <n v="720"/>
    <n v="7"/>
    <n v="97.9"/>
    <x v="1"/>
    <m/>
    <n v="6"/>
    <n v="1021"/>
    <n v="21034"/>
    <s v="AZUL"/>
    <n v="2"/>
    <n v="0"/>
    <n v="0"/>
    <n v="96.48"/>
    <n v="97.9"/>
    <n v="134"/>
    <n v="730.59701492537317"/>
    <x v="1"/>
    <x v="0"/>
    <n v="8"/>
    <n v="1"/>
    <n v="60"/>
  </r>
  <r>
    <d v="2025-03-02T08:46:00"/>
    <s v="INYECTADO"/>
    <x v="2"/>
    <x v="52"/>
    <s v="JUAN MANUEL PEREZ"/>
    <s v="SEGUNDA"/>
    <s v="."/>
    <s v="MIXTO"/>
    <s v="BALDE CASTILLO"/>
    <s v="BALDE CASTILLO-FUCSIA"/>
    <n v="240"/>
    <n v="2"/>
    <n v="32.6"/>
    <x v="1"/>
    <m/>
    <n v="2"/>
    <n v="1021"/>
    <n v="21034"/>
    <s v="FUCSIA"/>
    <s v="O"/>
    <n v="0"/>
    <n v="0"/>
    <n v="32.159999999999997"/>
    <n v="32.6"/>
    <n v="134"/>
    <n v="243.28358208955223"/>
    <x v="1"/>
    <x v="0"/>
    <n v="8"/>
    <n v="1"/>
    <n v="20"/>
  </r>
  <r>
    <d v="2025-03-02T08:46:00"/>
    <s v="INYECTADO"/>
    <x v="2"/>
    <x v="53"/>
    <s v="JUAN CARLOS CEDENO"/>
    <s v="SEGUNDA"/>
    <s v="."/>
    <s v="MIXTO"/>
    <s v="BALDE CASTILLO"/>
    <s v="BALDE CASTILLO-FUCSIA"/>
    <n v="420"/>
    <n v="4"/>
    <n v="56.2"/>
    <x v="0"/>
    <m/>
    <n v="0"/>
    <n v="1021"/>
    <n v="21035"/>
    <s v="FUCSIA"/>
    <n v="7"/>
    <n v="0"/>
    <n v="0"/>
    <n v="56.28"/>
    <n v="56.2"/>
    <n v="134"/>
    <n v="419.40298507462688"/>
    <x v="1"/>
    <x v="0"/>
    <n v="8"/>
    <n v="1"/>
    <n v="35"/>
  </r>
  <r>
    <d v="2025-03-02T08:46:00"/>
    <s v="INYECTADO"/>
    <x v="2"/>
    <x v="53"/>
    <s v="JUAN CARLOS CEDENO"/>
    <s v="SEGUNDA"/>
    <s v="."/>
    <s v="MIXTO"/>
    <s v="BALDE CASTILLO"/>
    <s v="BALDE CASTILLO-LILA"/>
    <n v="785"/>
    <n v="7"/>
    <n v="105.1"/>
    <x v="0"/>
    <m/>
    <n v="0"/>
    <n v="1021"/>
    <n v="21035"/>
    <s v="LILA"/>
    <n v="11"/>
    <n v="0"/>
    <n v="0"/>
    <n v="105.19"/>
    <n v="105.1"/>
    <n v="134"/>
    <n v="784.32835820895525"/>
    <x v="1"/>
    <x v="0"/>
    <n v="8"/>
    <n v="1"/>
    <n v="65.416666666666671"/>
  </r>
  <r>
    <d v="2025-03-02T08:46:00"/>
    <s v="INYECTADO"/>
    <x v="2"/>
    <x v="45"/>
    <s v="CRISALIDA ZAPATA"/>
    <s v="SEGUNDA"/>
    <s v="."/>
    <s v="MIXTO"/>
    <s v="BALDE CASTILLO"/>
    <s v="BALDE CASTILLO-LILA"/>
    <n v="183"/>
    <n v="2"/>
    <n v="24.3"/>
    <x v="0"/>
    <m/>
    <n v="2"/>
    <n v="1021"/>
    <n v="21039"/>
    <s v="LILA"/>
    <n v="3.4"/>
    <n v="0"/>
    <n v="0"/>
    <n v="24.521999999999998"/>
    <n v="24.3"/>
    <n v="134"/>
    <n v="181.34328358208955"/>
    <x v="1"/>
    <x v="0"/>
    <n v="9"/>
    <n v="1"/>
    <n v="15.25"/>
  </r>
  <r>
    <d v="2025-03-02T08:46:00"/>
    <s v="INYECTADO"/>
    <x v="2"/>
    <x v="45"/>
    <s v="CRISALIDA ZAPATA"/>
    <s v="VIRGEN"/>
    <s v="PP CLARIFICADO"/>
    <s v="."/>
    <s v="BALDE CASTILLO"/>
    <s v="BALDE CASTILLO-AMARILLO"/>
    <n v="604"/>
    <n v="6"/>
    <n v="80.3"/>
    <x v="0"/>
    <m/>
    <n v="5"/>
    <n v="1021"/>
    <n v="21039"/>
    <s v="AMARILLO"/>
    <n v="3.2"/>
    <n v="0"/>
    <n v="0"/>
    <n v="83.956000000000003"/>
    <n v="80.3"/>
    <n v="139"/>
    <n v="577.69784172661866"/>
    <x v="1"/>
    <x v="0"/>
    <n v="9"/>
    <n v="1"/>
    <n v="50.333333333333336"/>
  </r>
  <r>
    <d v="2025-03-02T08:46:00"/>
    <s v="INYECTADO"/>
    <x v="2"/>
    <x v="39"/>
    <s v="LUIS RENGIFO"/>
    <s v="VIRGEN"/>
    <s v="PP CLARIFICADO"/>
    <s v="."/>
    <s v="COLADOR HOGAR SOLIDO #2"/>
    <s v="COLADOR HOGAR SOLIDO#2-CREMA"/>
    <n v="364"/>
    <n v="3"/>
    <n v="25.5"/>
    <x v="0"/>
    <m/>
    <n v="3"/>
    <n v="1022"/>
    <n v="21040"/>
    <s v="CREMA"/>
    <n v="8.6"/>
    <n v="0"/>
    <n v="0"/>
    <n v="25.48"/>
    <n v="25.5"/>
    <n v="70"/>
    <n v="364.28571428571428"/>
    <x v="1"/>
    <x v="0"/>
    <n v="9"/>
    <n v="1"/>
    <n v="30.333333333333332"/>
  </r>
  <r>
    <d v="2025-03-02T08:46:00"/>
    <s v="INYECTADO"/>
    <x v="2"/>
    <x v="40"/>
    <s v="JUAN CARLOS CEDENO"/>
    <s v="VIRGEN"/>
    <s v="PP CLARIFICADO"/>
    <s v="."/>
    <s v="COLADOR HOGAR SOLIDO #2"/>
    <s v="COLADOR HOGAR SOLIDO#2-CREMA"/>
    <n v="562"/>
    <n v="5"/>
    <n v="40.5"/>
    <x v="0"/>
    <m/>
    <n v="6"/>
    <n v="1022"/>
    <n v="21041"/>
    <s v="CREMA"/>
    <n v="6"/>
    <n v="0"/>
    <n v="0"/>
    <n v="39.340000000000003"/>
    <n v="40.5"/>
    <n v="70"/>
    <n v="578.57142857142856"/>
    <x v="1"/>
    <x v="0"/>
    <n v="9"/>
    <n v="1"/>
    <n v="46.833333333333336"/>
  </r>
  <r>
    <d v="2025-03-02T08:46:00"/>
    <s v="INYECTADO"/>
    <x v="2"/>
    <x v="40"/>
    <s v="JUAN CARLOS CEDENO"/>
    <s v="SEGUNDA"/>
    <s v="."/>
    <s v="MIXTO"/>
    <s v="COLADOR HOGAR SOLIDO #2"/>
    <s v="COLADOR HOGAR SOLIDO#2-VERDE"/>
    <n v="413"/>
    <n v="4"/>
    <n v="29.8"/>
    <x v="0"/>
    <m/>
    <n v="3"/>
    <n v="1022"/>
    <n v="21041"/>
    <s v="VERDE"/>
    <n v="1.4"/>
    <n v="0"/>
    <n v="0"/>
    <n v="28.91"/>
    <n v="29.8"/>
    <n v="70"/>
    <n v="425.71428571428572"/>
    <x v="1"/>
    <x v="0"/>
    <n v="9"/>
    <n v="1"/>
    <n v="34.416666666666664"/>
  </r>
  <r>
    <d v="2025-02-12T20:56:00"/>
    <s v="INYECTADO"/>
    <x v="3"/>
    <x v="47"/>
    <s v="LUIS RENGIFO"/>
    <s v="VIRGEN"/>
    <s v="PP CLARIFICADO"/>
    <s v="."/>
    <s v="TAPA DE ORGANIZADOR #3 PASTEL"/>
    <s v="TAPA DE ORGANIZADOR #3-BLANCO"/>
    <n v="280"/>
    <n v="2"/>
    <n v="19.8"/>
    <x v="0"/>
    <m/>
    <n v="3"/>
    <n v="990"/>
    <n v="18733"/>
    <s v="BLANCO"/>
    <n v="4.5999999999999996"/>
    <n v="0"/>
    <n v="0"/>
    <n v="10.64"/>
    <n v="19.8"/>
    <n v="38"/>
    <n v="521.0526315789474"/>
    <x v="1"/>
    <x v="0"/>
    <n v="6"/>
    <n v="2"/>
    <n v="46.666666666666664"/>
  </r>
  <r>
    <d v="2025-02-12T20:56:00"/>
    <s v="INYECTADO"/>
    <x v="3"/>
    <x v="47"/>
    <s v="JOSDER GONZALEZ"/>
    <s v="VIRGEN"/>
    <s v="PP CLARIFICADO"/>
    <s v="."/>
    <s v="TAPA DE ORGANIZADOR #3 PASTEL"/>
    <s v="TAPA DE ORGANIZADOR #3-BLANCO"/>
    <n v="1652"/>
    <n v="12"/>
    <n v="117.2"/>
    <x v="1"/>
    <m/>
    <n v="14"/>
    <n v="990"/>
    <n v="18734"/>
    <s v="BLANCO"/>
    <n v="6.3"/>
    <n v="0"/>
    <n v="0"/>
    <n v="62.776000000000003"/>
    <n v="117.2"/>
    <n v="38"/>
    <n v="3084.2105263157896"/>
    <x v="1"/>
    <x v="0"/>
    <n v="6"/>
    <n v="2"/>
    <n v="275.33333333333331"/>
  </r>
  <r>
    <d v="2025-02-12T20:56:00"/>
    <s v="INYECTADO"/>
    <x v="3"/>
    <x v="48"/>
    <s v="CRISALIDA ZAPATA"/>
    <s v="VIRGEN"/>
    <s v="PP CLARIFICADO"/>
    <s v="."/>
    <s v="TAPA DE ORGANIZADOR #3 PASTEL"/>
    <s v="TAPA DE ORGANIZADOR #3-BLANCO"/>
    <n v="1200"/>
    <n v="11"/>
    <n v="85.2"/>
    <x v="0"/>
    <m/>
    <n v="10"/>
    <n v="990"/>
    <n v="18735"/>
    <s v="BLANCO"/>
    <n v="4"/>
    <n v="0"/>
    <n v="0"/>
    <n v="45.6"/>
    <n v="85.2"/>
    <n v="38"/>
    <n v="2242.1052631578946"/>
    <x v="1"/>
    <x v="0"/>
    <n v="6"/>
    <n v="2"/>
    <n v="200"/>
  </r>
  <r>
    <d v="2025-02-12T20:56:00"/>
    <s v="INYECTADO"/>
    <x v="3"/>
    <x v="49"/>
    <s v="CRISALIDA ZAPATA"/>
    <s v="VIRGEN"/>
    <s v="PP CLARIFICADO"/>
    <s v="."/>
    <s v="TAPA DE ORGANIZADOR #3 PASTEL"/>
    <s v="TAPA DE ORGANIZADOR #3-BLANCO"/>
    <n v="1277"/>
    <n v="11"/>
    <n v="90.6"/>
    <x v="0"/>
    <m/>
    <n v="11"/>
    <n v="990"/>
    <n v="18736"/>
    <s v="BLANCO"/>
    <n v="13.4"/>
    <n v="0"/>
    <n v="0"/>
    <n v="48.526000000000003"/>
    <n v="90.6"/>
    <n v="38"/>
    <n v="2384.2105263157896"/>
    <x v="1"/>
    <x v="0"/>
    <n v="6"/>
    <n v="2"/>
    <n v="212.83333333333334"/>
  </r>
  <r>
    <d v="2025-02-12T20:56:00"/>
    <s v="INYECTADO"/>
    <x v="3"/>
    <x v="49"/>
    <s v="JOSDER GONZALEZ"/>
    <s v="VIRGEN"/>
    <s v="PP CLARIFICADO"/>
    <s v="."/>
    <s v="TAPA DE ORGANIZADOR #3 PASTEL"/>
    <s v="TAPA DE ORGANIZADOR #3-BLANCO"/>
    <n v="239"/>
    <n v="2"/>
    <n v="16.899999999999999"/>
    <x v="1"/>
    <m/>
    <n v="2"/>
    <n v="990"/>
    <n v="18737"/>
    <s v="BLANCO"/>
    <n v="3.3"/>
    <n v="0"/>
    <n v="0"/>
    <n v="9.0820000000000007"/>
    <n v="16.899999999999999"/>
    <n v="38"/>
    <n v="444.73684210526318"/>
    <x v="1"/>
    <x v="0"/>
    <n v="6"/>
    <n v="2"/>
    <n v="39.833333333333336"/>
  </r>
  <r>
    <d v="2025-02-12T20:56:00"/>
    <s v="INYECTADO"/>
    <x v="3"/>
    <x v="49"/>
    <s v="JOSDER GONZALEZ"/>
    <s v="VIRGEN"/>
    <s v="PP CLARIFICADO"/>
    <s v="."/>
    <s v="TAPA DE ORGANIZADOR #3"/>
    <s v="TAPA DE ORGANIZADOR #3-TRANSPARENTE"/>
    <n v="607"/>
    <n v="6"/>
    <n v="43"/>
    <x v="1"/>
    <m/>
    <n v="5"/>
    <n v="1011"/>
    <n v="18737"/>
    <s v="TRANSPARENTE"/>
    <n v="26.9"/>
    <n v="0"/>
    <n v="0"/>
    <n v="23.065999999999999"/>
    <n v="43"/>
    <n v="38"/>
    <n v="1131.578947368421"/>
    <x v="1"/>
    <x v="0"/>
    <n v="6"/>
    <n v="2"/>
    <n v="101.16666666666667"/>
  </r>
  <r>
    <d v="2025-02-12T20:56:00"/>
    <s v="INYECTADO"/>
    <x v="3"/>
    <x v="32"/>
    <s v="FABIAN HERNANDEZ"/>
    <s v="VIRGEN"/>
    <s v="PP CLARIFICADO"/>
    <s v="."/>
    <s v="TAPA DE ORGANIZADOR #3"/>
    <s v="TAPA DE ORGANIZADOR #3-TRANSPARENTE"/>
    <n v="96"/>
    <n v="1"/>
    <n v="31.2"/>
    <x v="1"/>
    <m/>
    <n v="4"/>
    <n v="1011"/>
    <n v="18739"/>
    <s v="TRANSPARENTE"/>
    <n v="12"/>
    <n v="0"/>
    <n v="0"/>
    <n v="3.6480000000000001"/>
    <n v="31.2"/>
    <n v="38"/>
    <n v="821.0526315789474"/>
    <x v="1"/>
    <x v="0"/>
    <n v="7"/>
    <n v="2"/>
    <n v="16"/>
  </r>
  <r>
    <d v="2025-02-12T20:56:00"/>
    <s v="INYECTADO"/>
    <x v="3"/>
    <x v="33"/>
    <s v="CRISALIDA ZAPATA"/>
    <s v="VIRGEN"/>
    <s v="PP CLARIFICADO"/>
    <s v="."/>
    <s v="ORGANIZADOR DE 10KG"/>
    <s v="BASE ORGANIZADOR DE 10KG-TRANSPARENTE"/>
    <n v="574"/>
    <n v="5"/>
    <n v="190.5"/>
    <x v="0"/>
    <m/>
    <n v="24"/>
    <n v="1011"/>
    <n v="18740"/>
    <s v="TRANSPARENTE"/>
    <n v="25.8"/>
    <n v="0"/>
    <n v="0"/>
    <n v="191.142"/>
    <n v="190.5"/>
    <n v="333"/>
    <n v="572.07207207207205"/>
    <x v="1"/>
    <x v="0"/>
    <n v="7"/>
    <n v="1"/>
    <n v="47.833333333333336"/>
  </r>
  <r>
    <d v="2025-02-12T20:56:00"/>
    <s v="INYECTADO"/>
    <x v="3"/>
    <x v="33"/>
    <s v="JOSDER GONZALEZ"/>
    <s v="VIRGEN"/>
    <s v="PP CLARIFICADO"/>
    <s v="."/>
    <s v="ORGANIZADOR DE 10KG"/>
    <s v="BASE ORGANIZADOR DE 10KG-TRANSPARENTE"/>
    <n v="751"/>
    <n v="7"/>
    <n v="249.3"/>
    <x v="1"/>
    <m/>
    <n v="33"/>
    <n v="1011"/>
    <n v="18741"/>
    <s v="TRANSPARENTE"/>
    <n v="8.8000000000000007"/>
    <n v="0"/>
    <n v="0"/>
    <n v="250.083"/>
    <n v="249.3"/>
    <n v="333"/>
    <n v="748.64864864864865"/>
    <x v="1"/>
    <x v="0"/>
    <n v="7"/>
    <n v="1"/>
    <n v="62.583333333333336"/>
  </r>
  <r>
    <d v="2025-02-12T20:56:00"/>
    <s v="INYECTADO"/>
    <x v="3"/>
    <x v="34"/>
    <s v="JUAN CARLOS CEDENO"/>
    <s v="VIRGEN"/>
    <s v="PP CLARIFICADO"/>
    <s v="."/>
    <s v="ORGANIZADOR DE 10KG"/>
    <s v="BASE ORGANIZADOR DE 10KG-TRANSPARENTE"/>
    <n v="451"/>
    <n v="4"/>
    <n v="151"/>
    <x v="0"/>
    <m/>
    <n v="19"/>
    <n v="1011"/>
    <n v="18742"/>
    <s v="TRANSPARENTE"/>
    <n v="27.6"/>
    <n v="0"/>
    <n v="0"/>
    <n v="150.18299999999999"/>
    <n v="151"/>
    <n v="333"/>
    <n v="453.45345345345345"/>
    <x v="1"/>
    <x v="0"/>
    <n v="8"/>
    <n v="1"/>
    <n v="37.583333333333336"/>
  </r>
  <r>
    <d v="2025-02-12T20:56:00"/>
    <s v="INYECTADO"/>
    <x v="3"/>
    <x v="43"/>
    <s v="ISABEL LINARIZ "/>
    <s v="VIRGEN"/>
    <s v="PP CLARIFICADO"/>
    <s v="."/>
    <s v="TAPA DE ORGANIZADOR #2 CARAMELO"/>
    <s v="TAPA DE ORGANIZADOR #2 CARAMELO-LILA"/>
    <n v="246"/>
    <n v="2"/>
    <n v="10.5"/>
    <x v="0"/>
    <m/>
    <n v="3"/>
    <n v="961"/>
    <n v="18743"/>
    <s v="LILA"/>
    <n v="11.2"/>
    <n v="0"/>
    <n v="0"/>
    <n v="5.1660000000000004"/>
    <n v="10.5"/>
    <n v="21"/>
    <n v="500"/>
    <x v="1"/>
    <x v="0"/>
    <n v="8"/>
    <n v="2"/>
    <n v="41"/>
  </r>
  <r>
    <d v="2025-02-12T20:56:00"/>
    <s v="INYECTADO"/>
    <x v="3"/>
    <x v="51"/>
    <s v="ISABEL LINARIZ "/>
    <s v="VIRGEN"/>
    <s v="PP CLARIFICADO"/>
    <s v="."/>
    <s v="TAPA DE ORGANIZADOR #2 CARAMELO"/>
    <s v="TAPA DE ORGANIZADOR #2 CARAMELO-LILA"/>
    <n v="804"/>
    <n v="8"/>
    <n v="34.5"/>
    <x v="0"/>
    <m/>
    <n v="9"/>
    <n v="961"/>
    <n v="18744"/>
    <s v="LILA"/>
    <n v="6.9"/>
    <n v="0"/>
    <n v="0"/>
    <n v="16.884"/>
    <n v="34.5"/>
    <n v="21"/>
    <n v="1642.8571428571429"/>
    <x v="1"/>
    <x v="0"/>
    <n v="8"/>
    <n v="2"/>
    <n v="134"/>
  </r>
  <r>
    <d v="2025-02-12T20:56:00"/>
    <s v="INYECTADO"/>
    <x v="3"/>
    <x v="51"/>
    <s v="ISABEL LINARIZ "/>
    <s v="VIRGEN"/>
    <s v="PP CLARIFICADO"/>
    <s v="."/>
    <s v="TAPA DE ORGANIZADOR #2 PASTEL"/>
    <s v="TAPA DE ORGANIZADOR #2-BLANCO"/>
    <n v="431"/>
    <n v="4"/>
    <n v="18.5"/>
    <x v="0"/>
    <m/>
    <n v="11"/>
    <n v="961"/>
    <n v="18744"/>
    <s v="BLANCO"/>
    <n v="1"/>
    <n v="0"/>
    <n v="0"/>
    <n v="9.0510000000000002"/>
    <n v="18.5"/>
    <n v="21"/>
    <n v="880.95238095238096"/>
    <x v="1"/>
    <x v="0"/>
    <n v="8"/>
    <n v="2"/>
    <n v="71.833333333333329"/>
  </r>
  <r>
    <d v="2025-02-12T20:56:00"/>
    <s v="INYECTADO"/>
    <x v="3"/>
    <x v="52"/>
    <s v="CRISALIDA ZAPATA"/>
    <s v="VIRGEN"/>
    <s v="PP CLARIFICADO"/>
    <s v="."/>
    <s v="TAPA DE ORGANIZADOR #2 PASTEL"/>
    <s v="TAPA DE ORGANIZADOR #2-BLANCO"/>
    <n v="1163"/>
    <n v="11"/>
    <n v="48.8"/>
    <x v="0"/>
    <m/>
    <n v="11"/>
    <n v="961"/>
    <n v="18745"/>
    <s v="BLANCO"/>
    <n v="0"/>
    <n v="0"/>
    <n v="0"/>
    <n v="24.422999999999998"/>
    <n v="48.8"/>
    <n v="21"/>
    <n v="2323.8095238095239"/>
    <x v="1"/>
    <x v="0"/>
    <n v="8"/>
    <n v="2"/>
    <n v="193.83333333333334"/>
  </r>
  <r>
    <d v="2025-02-12T20:56:00"/>
    <s v="INYECTADO"/>
    <x v="3"/>
    <x v="53"/>
    <s v="CRISALIDA ZAPATA"/>
    <s v="VIRGEN"/>
    <s v="PP CLARIFICADO"/>
    <s v="."/>
    <s v="TAPA DE ORGANIZADOR #2 PASTEL"/>
    <s v="TAPA DE ORGANIZADOR #2-BLANCO"/>
    <n v="742"/>
    <n v="7"/>
    <n v="31.1"/>
    <x v="0"/>
    <m/>
    <n v="6"/>
    <n v="961"/>
    <n v="18746"/>
    <s v="BLANCO"/>
    <n v="7.1"/>
    <n v="0"/>
    <n v="0"/>
    <n v="15.582000000000001"/>
    <n v="31.1"/>
    <n v="21"/>
    <n v="1480.952380952381"/>
    <x v="1"/>
    <x v="0"/>
    <n v="8"/>
    <n v="2"/>
    <n v="123.66666666666667"/>
  </r>
  <r>
    <d v="2025-02-12T20:56:00"/>
    <s v="INYECTADO"/>
    <x v="3"/>
    <x v="53"/>
    <s v="ISABEL LINARIZ "/>
    <s v="VIRGEN"/>
    <s v="PP CLARIFICADO"/>
    <s v="."/>
    <s v="TAPA DE ORGANIZADOR #2 PASTEL"/>
    <s v="TAPA DE ORGANIZADOR #2-BLANCO"/>
    <n v="102"/>
    <n v="1"/>
    <n v="4.3"/>
    <x v="0"/>
    <m/>
    <n v="2"/>
    <n v="961"/>
    <n v="18747"/>
    <s v="BLANCO"/>
    <n v="0.4"/>
    <n v="0"/>
    <n v="0"/>
    <n v="2.1419999999999999"/>
    <n v="4.3"/>
    <n v="21"/>
    <n v="204.76190476190476"/>
    <x v="1"/>
    <x v="0"/>
    <n v="8"/>
    <n v="2"/>
    <n v="17"/>
  </r>
  <r>
    <d v="2025-02-12T20:56:00"/>
    <s v="INYECTADO"/>
    <x v="3"/>
    <x v="45"/>
    <s v="CRISALIDA ZAPATA"/>
    <s v="VIRGEN"/>
    <s v="PP CLARIFICADO"/>
    <s v="."/>
    <s v="TAPA DE ORGANIZADOR #2 PASTEL"/>
    <s v="TAPA DE ORGANIZADOR #2-BLANCO"/>
    <n v="45"/>
    <n v="1"/>
    <n v="2.4"/>
    <x v="0"/>
    <m/>
    <n v="2"/>
    <n v="961"/>
    <n v="18748"/>
    <s v="BLANCO"/>
    <n v="0"/>
    <n v="0"/>
    <n v="0"/>
    <n v="0.94499999999999995"/>
    <n v="2.4"/>
    <n v="21"/>
    <n v="114.28571428571429"/>
    <x v="1"/>
    <x v="0"/>
    <n v="9"/>
    <n v="2"/>
    <n v="7.5"/>
  </r>
  <r>
    <d v="2025-02-12T20:56:00"/>
    <s v="INYECTADO"/>
    <x v="3"/>
    <x v="40"/>
    <s v="LUIS RENGIFO"/>
    <s v="VIRGEN"/>
    <s v="PP CLARIFICADO"/>
    <s v="."/>
    <s v="CESTO MULTIUSO"/>
    <s v="CESTO MULTIUSO-CREMA"/>
    <n v="312"/>
    <n v="3"/>
    <n v="46.7"/>
    <x v="0"/>
    <m/>
    <n v="6"/>
    <n v="961"/>
    <n v="18748"/>
    <s v="CREMA"/>
    <n v="4.4000000000000004"/>
    <n v="0"/>
    <n v="0"/>
    <n v="53.04"/>
    <n v="46.7"/>
    <n v="170"/>
    <n v="274.70588235294116"/>
    <x v="1"/>
    <x v="0"/>
    <n v="9"/>
    <n v="1"/>
    <n v="26"/>
  </r>
  <r>
    <d v="2025-02-12T21:29:00"/>
    <s v="INYECTADO"/>
    <x v="7"/>
    <x v="41"/>
    <s v="GABRIEL REQUENA"/>
    <s v="SEGUNDA"/>
    <s v="."/>
    <s v="MIXTO"/>
    <s v="BALDE PLAYERO ROMANO"/>
    <s v="BALDE ROMANO-FUCSIA"/>
    <n v="125"/>
    <n v="1"/>
    <n v="22.2"/>
    <x v="0"/>
    <m/>
    <n v="1"/>
    <n v="950"/>
    <n v="20927"/>
    <s v="FUCSIA"/>
    <n v="6.6"/>
    <n v="0"/>
    <n v="0"/>
    <n v="10.375"/>
    <n v="22.2"/>
    <n v="83"/>
    <n v="267.46987951807228"/>
    <x v="1"/>
    <x v="0"/>
    <n v="5"/>
    <n v="2"/>
    <n v="20.833333333333332"/>
  </r>
  <r>
    <d v="2025-02-12T21:29:00"/>
    <s v="INYECTADO"/>
    <x v="7"/>
    <x v="41"/>
    <s v="GABRIEL REQUENA"/>
    <s v="VIRGEN"/>
    <s v="PP CLARIFICADO"/>
    <s v="."/>
    <s v="BALDE PLAYERO ROMANO"/>
    <s v="BALDE ROMANO-AMARILLO"/>
    <n v="616"/>
    <n v="6"/>
    <n v="97.3"/>
    <x v="0"/>
    <m/>
    <n v="6"/>
    <n v="950"/>
    <n v="20927"/>
    <s v="AMARILLO"/>
    <n v="6.7"/>
    <n v="0"/>
    <n v="0"/>
    <n v="51.128"/>
    <n v="97.3"/>
    <n v="83"/>
    <n v="1172.2891566265059"/>
    <x v="1"/>
    <x v="0"/>
    <n v="5"/>
    <n v="2"/>
    <n v="102.66666666666667"/>
  </r>
  <r>
    <d v="2025-02-12T21:29:00"/>
    <s v="INYECTADO"/>
    <x v="7"/>
    <x v="41"/>
    <s v="GABRIEL REQUENA"/>
    <s v="SEGUNDA"/>
    <s v="."/>
    <s v="MIXTO"/>
    <s v="BALDE PLAYERO ROMANO"/>
    <s v="BALDE ROMANO-VERDE"/>
    <n v="281"/>
    <n v="2"/>
    <n v="44.3"/>
    <x v="0"/>
    <m/>
    <n v="3"/>
    <n v="950"/>
    <n v="20927"/>
    <s v="VERDE"/>
    <n v="7.2"/>
    <n v="0"/>
    <n v="0"/>
    <n v="23.323"/>
    <n v="44.3"/>
    <n v="83"/>
    <n v="533.73493975903614"/>
    <x v="1"/>
    <x v="0"/>
    <n v="5"/>
    <n v="2"/>
    <n v="46.833333333333336"/>
  </r>
  <r>
    <d v="2025-02-12T21:29:00"/>
    <s v="INYECTADO"/>
    <x v="7"/>
    <x v="41"/>
    <s v="JUAN MANUEL PEREZ"/>
    <s v="SEGUNDA"/>
    <s v="."/>
    <s v="MIXTO"/>
    <s v="BALDE PLAYERO ROMANO"/>
    <s v="BALDE ROMANO-VERDE"/>
    <n v="121"/>
    <n v="2"/>
    <n v="19.100000000000001"/>
    <x v="1"/>
    <m/>
    <n v="1"/>
    <n v="950"/>
    <n v="20928"/>
    <s v="VERDE"/>
    <n v="2"/>
    <n v="0"/>
    <n v="0"/>
    <n v="10.042999999999999"/>
    <n v="19.100000000000001"/>
    <n v="83"/>
    <n v="230.12048192771084"/>
    <x v="1"/>
    <x v="0"/>
    <n v="5"/>
    <n v="2"/>
    <n v="20.166666666666668"/>
  </r>
  <r>
    <d v="2025-02-12T21:29:00"/>
    <s v="INYECTADO"/>
    <x v="7"/>
    <x v="41"/>
    <s v="JUAN MANUEL PEREZ"/>
    <s v="SEGUNDA"/>
    <s v="."/>
    <s v="MIXTO"/>
    <s v="BALDE PLAYERO ROMANO"/>
    <s v="BALDE ROMANO-LILA"/>
    <n v="332"/>
    <n v="3"/>
    <n v="52.4"/>
    <x v="1"/>
    <m/>
    <n v="3"/>
    <n v="950"/>
    <n v="20928"/>
    <s v="LILA"/>
    <n v="1.1000000000000001"/>
    <n v="0"/>
    <n v="0"/>
    <n v="27.556000000000001"/>
    <n v="52.4"/>
    <n v="83"/>
    <n v="631.32530120481931"/>
    <x v="1"/>
    <x v="0"/>
    <n v="5"/>
    <n v="2"/>
    <n v="55.333333333333336"/>
  </r>
  <r>
    <d v="2025-02-12T21:29:00"/>
    <s v="INYECTADO"/>
    <x v="7"/>
    <x v="41"/>
    <s v="JUAN MANUEL PEREZ"/>
    <s v="SEGUNDA"/>
    <s v="."/>
    <s v="MIXTO"/>
    <s v="BALDE PLAYERO ROMANO"/>
    <s v="BALDE ROMANO-AZUL"/>
    <n v="176"/>
    <n v="2"/>
    <n v="27.8"/>
    <x v="1"/>
    <m/>
    <n v="2"/>
    <n v="950"/>
    <n v="20928"/>
    <s v="AZUL"/>
    <n v="1.1000000000000001"/>
    <n v="0"/>
    <n v="0"/>
    <n v="14.608000000000001"/>
    <n v="27.8"/>
    <n v="83"/>
    <n v="334.93975903614455"/>
    <x v="1"/>
    <x v="0"/>
    <n v="5"/>
    <n v="2"/>
    <n v="29.333333333333332"/>
  </r>
  <r>
    <d v="2025-02-12T21:29:00"/>
    <s v="INYECTADO"/>
    <x v="7"/>
    <x v="35"/>
    <s v="GABRIEL REQUENA"/>
    <s v="SEGUNDA"/>
    <s v="."/>
    <s v="MIXTO"/>
    <s v="BALDE PLAYERO ROMANO"/>
    <s v="BALDE ROMANO-AZUL"/>
    <n v="89"/>
    <n v="1"/>
    <n v="14"/>
    <x v="0"/>
    <m/>
    <n v="1"/>
    <n v="950"/>
    <n v="20930"/>
    <s v="AZUL"/>
    <n v="0"/>
    <n v="0"/>
    <n v="0"/>
    <n v="7.3869999999999996"/>
    <n v="14"/>
    <n v="83"/>
    <n v="168.67469879518072"/>
    <x v="1"/>
    <x v="0"/>
    <n v="6"/>
    <n v="2"/>
    <n v="14.833333333333334"/>
  </r>
  <r>
    <d v="2025-02-12T21:29:00"/>
    <s v="INYECTADO"/>
    <x v="7"/>
    <x v="35"/>
    <s v="GABRIEL REQUENA"/>
    <s v="SEGUNDA"/>
    <s v="."/>
    <s v="MIXTO"/>
    <s v="BALDE PLAYERO ROMANO"/>
    <s v="BALDE ROMANO-FUCSIA"/>
    <n v="382"/>
    <n v="3"/>
    <n v="60.1"/>
    <x v="0"/>
    <m/>
    <n v="3"/>
    <n v="950"/>
    <n v="20930"/>
    <s v="FUCSIA"/>
    <n v="9.8000000000000007"/>
    <n v="0"/>
    <n v="0"/>
    <n v="31.706"/>
    <n v="60.1"/>
    <n v="83"/>
    <n v="724.09638554216872"/>
    <x v="1"/>
    <x v="0"/>
    <n v="6"/>
    <n v="2"/>
    <n v="63.666666666666664"/>
  </r>
  <r>
    <d v="2025-02-12T21:29:00"/>
    <s v="INYECTADO"/>
    <x v="7"/>
    <x v="35"/>
    <s v="GABRIEL REQUENA"/>
    <s v="SEGUNDA"/>
    <s v="."/>
    <s v="MIXTO"/>
    <s v="BALDE PLAYERO ROMANO"/>
    <s v="BALDE ROMANO-VERDE"/>
    <n v="39"/>
    <n v="1"/>
    <n v="6.1"/>
    <x v="0"/>
    <m/>
    <n v="1"/>
    <n v="950"/>
    <n v="20930"/>
    <s v="VERDE"/>
    <n v="0"/>
    <n v="0"/>
    <n v="0"/>
    <n v="3.2370000000000001"/>
    <n v="6.1"/>
    <n v="83"/>
    <n v="73.493975903614455"/>
    <x v="1"/>
    <x v="0"/>
    <n v="6"/>
    <n v="2"/>
    <n v="6.5"/>
  </r>
  <r>
    <d v="2025-02-12T21:29:00"/>
    <s v="INYECTADO"/>
    <x v="7"/>
    <x v="47"/>
    <s v="LUIS RENGIFO"/>
    <s v="SEGUNDA"/>
    <s v="."/>
    <s v="MIXTO"/>
    <s v="BALDE PLAYERO ROMANO"/>
    <s v="BALDE ROMANO-VERDE"/>
    <n v="179"/>
    <n v="2"/>
    <n v="28.2"/>
    <x v="0"/>
    <m/>
    <n v="1"/>
    <n v="950"/>
    <n v="20931"/>
    <s v="VERDE"/>
    <n v="0"/>
    <n v="0"/>
    <n v="0"/>
    <n v="14.856999999999999"/>
    <n v="28.2"/>
    <n v="83"/>
    <n v="339.75903614457832"/>
    <x v="1"/>
    <x v="0"/>
    <n v="6"/>
    <n v="2"/>
    <n v="29.833333333333332"/>
  </r>
  <r>
    <d v="2025-02-12T21:29:00"/>
    <s v="INYECTADO"/>
    <x v="7"/>
    <x v="48"/>
    <s v="LUIS PINEDO"/>
    <s v="SEGUNDA"/>
    <s v="."/>
    <s v="MIXTO"/>
    <s v="BALDE PLAYERO ROMANO"/>
    <s v="BALDE ROMANO-ROJO"/>
    <n v="126"/>
    <n v="1"/>
    <n v="19.7"/>
    <x v="0"/>
    <m/>
    <n v="2"/>
    <n v="950"/>
    <n v="20932"/>
    <s v="ROJO"/>
    <n v="14.7"/>
    <n v="0"/>
    <n v="0"/>
    <n v="10.458"/>
    <n v="19.7"/>
    <n v="83"/>
    <n v="237.34939759036143"/>
    <x v="1"/>
    <x v="0"/>
    <n v="6"/>
    <n v="2"/>
    <n v="21"/>
  </r>
  <r>
    <d v="2025-02-12T21:29:00"/>
    <s v="INYECTADO"/>
    <x v="7"/>
    <x v="48"/>
    <s v="LUIS PINEDO"/>
    <s v="SEGUNDA"/>
    <s v="."/>
    <s v="MIXTO"/>
    <s v="BALDE PLAYERO ROMANO"/>
    <s v="BALDE ROMANO-LILA"/>
    <n v="244"/>
    <n v="2"/>
    <n v="43.4"/>
    <x v="0"/>
    <m/>
    <n v="2"/>
    <n v="950"/>
    <n v="20932"/>
    <s v="LILA"/>
    <n v="9.8000000000000007"/>
    <n v="0"/>
    <n v="0"/>
    <n v="20.251999999999999"/>
    <n v="43.4"/>
    <n v="83"/>
    <n v="522.89156626506019"/>
    <x v="1"/>
    <x v="0"/>
    <n v="6"/>
    <n v="2"/>
    <n v="40.666666666666664"/>
  </r>
  <r>
    <d v="2025-02-12T21:29:00"/>
    <s v="INYECTADO"/>
    <x v="7"/>
    <x v="48"/>
    <s v="LUIS PINEDO"/>
    <s v="SEGUNDA"/>
    <s v="."/>
    <s v="MIXTO"/>
    <s v="BALDE PLAYERO ROMANO"/>
    <s v="BALDE ROMANO-FUCSIA"/>
    <n v="313"/>
    <n v="3"/>
    <n v="49.4"/>
    <x v="0"/>
    <m/>
    <n v="3"/>
    <n v="950"/>
    <n v="20932"/>
    <s v="FUCSIA"/>
    <n v="5.8"/>
    <n v="0"/>
    <n v="0"/>
    <n v="25.978999999999999"/>
    <n v="49.4"/>
    <n v="83"/>
    <n v="595.18072289156623"/>
    <x v="1"/>
    <x v="0"/>
    <n v="6"/>
    <n v="2"/>
    <n v="52.166666666666664"/>
  </r>
  <r>
    <d v="2025-02-12T21:29:00"/>
    <s v="INYECTADO"/>
    <x v="7"/>
    <x v="36"/>
    <s v="NELSON PINEDO"/>
    <s v="SEGUNDA"/>
    <s v="."/>
    <s v="MIXTO"/>
    <s v="BALDE PLAYERO ROMANO"/>
    <s v="BALDE ROMANO-AZUL"/>
    <n v="597"/>
    <n v="5"/>
    <n v="94.9"/>
    <x v="0"/>
    <m/>
    <n v="5"/>
    <n v="950"/>
    <n v="20933"/>
    <s v="AZUL"/>
    <n v="4.7"/>
    <n v="0"/>
    <n v="0"/>
    <n v="49.551000000000002"/>
    <n v="94.9"/>
    <n v="83"/>
    <n v="1143.3734939759036"/>
    <x v="1"/>
    <x v="0"/>
    <n v="7"/>
    <n v="2"/>
    <n v="99.5"/>
  </r>
  <r>
    <d v="2025-02-12T21:29:00"/>
    <s v="INYECTADO"/>
    <x v="7"/>
    <x v="36"/>
    <s v="NELSON PINEDO"/>
    <s v="SEGUNDA"/>
    <s v="."/>
    <s v="MIXTO"/>
    <s v="BALDE PLAYERO ROMANO"/>
    <s v="BALDE ROMANO-VERDE"/>
    <n v="517"/>
    <n v="5"/>
    <n v="82.2"/>
    <x v="0"/>
    <m/>
    <n v="5"/>
    <n v="950"/>
    <n v="20933"/>
    <s v="VERDE"/>
    <n v="0"/>
    <n v="0"/>
    <n v="0"/>
    <n v="42.911000000000001"/>
    <n v="82.2"/>
    <n v="83"/>
    <n v="990.36144578313258"/>
    <x v="1"/>
    <x v="0"/>
    <n v="7"/>
    <n v="2"/>
    <n v="86.166666666666671"/>
  </r>
  <r>
    <d v="2025-02-12T21:29:00"/>
    <s v="INYECTADO"/>
    <x v="7"/>
    <x v="36"/>
    <s v="FABIAN HERNANDEZ"/>
    <s v="SEGUNDA"/>
    <s v="."/>
    <s v="MIXTO"/>
    <s v="BALDE PLAYERO ROMANO"/>
    <s v="BALDE ROMANO-VERDE"/>
    <n v="76"/>
    <n v="1"/>
    <n v="12"/>
    <x v="1"/>
    <m/>
    <n v="1"/>
    <n v="950"/>
    <n v="20934"/>
    <s v="VERDE"/>
    <n v="8.6"/>
    <n v="0"/>
    <n v="0"/>
    <n v="6.3079999999999998"/>
    <n v="12"/>
    <n v="83"/>
    <n v="144.57831325301206"/>
    <x v="1"/>
    <x v="0"/>
    <n v="7"/>
    <n v="2"/>
    <n v="12.666666666666666"/>
  </r>
  <r>
    <d v="2025-02-12T21:29:00"/>
    <s v="INYECTADO"/>
    <x v="7"/>
    <x v="36"/>
    <s v="FABIAN HERNANDEZ"/>
    <s v="VIRGEN"/>
    <s v="PP CLARIFICADO"/>
    <s v="."/>
    <s v="BALDE PLAYERO ROMANO"/>
    <s v="BALDE ROMANO-AMARILLO"/>
    <n v="615"/>
    <n v="6"/>
    <n v="97.9"/>
    <x v="1"/>
    <m/>
    <n v="5"/>
    <n v="950"/>
    <n v="20934"/>
    <s v="AMARILLO"/>
    <n v="6"/>
    <n v="0"/>
    <n v="0"/>
    <n v="51.045000000000002"/>
    <n v="97.9"/>
    <n v="83"/>
    <n v="1179.5180722891566"/>
    <x v="1"/>
    <x v="0"/>
    <n v="7"/>
    <n v="2"/>
    <n v="102.5"/>
  </r>
  <r>
    <d v="2025-02-12T21:29:00"/>
    <s v="INYECTADO"/>
    <x v="7"/>
    <x v="36"/>
    <s v="FABIAN HERNANDEZ"/>
    <s v="SEGUNDA"/>
    <s v="."/>
    <s v="MIXTO"/>
    <s v="BALDE PLAYERO ROMANO"/>
    <s v="BALDE ROMANO-LILA"/>
    <n v="360"/>
    <n v="3"/>
    <n v="56.2"/>
    <x v="1"/>
    <m/>
    <n v="3"/>
    <n v="950"/>
    <n v="20934"/>
    <s v="LILA"/>
    <n v="9"/>
    <n v="0"/>
    <n v="0"/>
    <n v="29.88"/>
    <n v="56.2"/>
    <n v="83"/>
    <n v="677.10843373493981"/>
    <x v="1"/>
    <x v="0"/>
    <n v="7"/>
    <n v="2"/>
    <n v="60"/>
  </r>
  <r>
    <d v="2025-02-12T21:29:00"/>
    <s v="INYECTADO"/>
    <x v="7"/>
    <x v="37"/>
    <s v="ISABEL LINARIZ "/>
    <s v="SEGUNDA"/>
    <s v="."/>
    <s v="MIXTO"/>
    <s v="BALDE PLAYERO ROMANO"/>
    <s v="BALDE ROMANO-LILA"/>
    <n v="261"/>
    <n v="2"/>
    <n v="41.4"/>
    <x v="0"/>
    <m/>
    <n v="3"/>
    <n v="950"/>
    <n v="20935"/>
    <s v="LILA"/>
    <n v="4.5999999999999996"/>
    <n v="0"/>
    <n v="0"/>
    <n v="21.663"/>
    <n v="41.4"/>
    <n v="83"/>
    <n v="498.79518072289159"/>
    <x v="1"/>
    <x v="0"/>
    <n v="7"/>
    <n v="2"/>
    <n v="43.5"/>
  </r>
  <r>
    <d v="2025-02-12T21:29:00"/>
    <s v="INYECTADO"/>
    <x v="7"/>
    <x v="37"/>
    <s v="ISABEL LINARIZ "/>
    <s v="SEGUNDA"/>
    <s v="."/>
    <s v="MIXTO"/>
    <s v="BALDE PLAYERO ROMANO"/>
    <s v="BALDE ROMANO-FUCSIA"/>
    <n v="608"/>
    <n v="6"/>
    <n v="96.6"/>
    <x v="0"/>
    <m/>
    <n v="5"/>
    <n v="950"/>
    <n v="20935"/>
    <s v="FUCSIA"/>
    <n v="9.4"/>
    <n v="0"/>
    <n v="0"/>
    <n v="50.463999999999999"/>
    <n v="96.6"/>
    <n v="83"/>
    <n v="1163.8554216867469"/>
    <x v="1"/>
    <x v="0"/>
    <n v="7"/>
    <n v="2"/>
    <n v="101.33333333333333"/>
  </r>
  <r>
    <d v="2025-02-12T21:29:00"/>
    <s v="INYECTADO"/>
    <x v="7"/>
    <x v="37"/>
    <s v="ISABEL LINARIZ "/>
    <s v="SEGUNDA"/>
    <s v="."/>
    <s v="MIXTO"/>
    <s v="BALDE PLAYERO ROMANO"/>
    <s v="BALDE ROMANO-ROJO"/>
    <n v="280"/>
    <n v="2"/>
    <n v="49.8"/>
    <x v="0"/>
    <m/>
    <n v="2"/>
    <n v="950"/>
    <n v="20935"/>
    <s v="ROJO"/>
    <n v="1.6"/>
    <n v="0"/>
    <n v="0"/>
    <n v="23.24"/>
    <n v="49.8"/>
    <n v="83"/>
    <n v="600"/>
    <x v="1"/>
    <x v="0"/>
    <n v="7"/>
    <n v="2"/>
    <n v="46.666666666666664"/>
  </r>
  <r>
    <d v="2025-02-12T21:29:00"/>
    <s v="INYECTADO"/>
    <x v="7"/>
    <x v="32"/>
    <s v="ISABEL LINARIZ "/>
    <s v="SEGUNDA"/>
    <s v="."/>
    <s v="MIXTO"/>
    <s v="BALDE PLAYERO ROMANO"/>
    <s v="BALDE ROMANO-ROJO"/>
    <n v="373"/>
    <n v="3"/>
    <n v="59.3"/>
    <x v="0"/>
    <m/>
    <n v="3"/>
    <n v="950"/>
    <n v="20936"/>
    <s v="ROJO"/>
    <n v="9.4"/>
    <n v="0"/>
    <n v="0"/>
    <n v="30.959"/>
    <n v="59.3"/>
    <n v="83"/>
    <n v="714.45783132530119"/>
    <x v="1"/>
    <x v="0"/>
    <n v="7"/>
    <n v="2"/>
    <n v="62.166666666666664"/>
  </r>
  <r>
    <d v="2025-02-12T21:29:00"/>
    <s v="INYECTADO"/>
    <x v="7"/>
    <x v="32"/>
    <s v="ISABEL LINARIZ "/>
    <s v="VIRGEN"/>
    <s v="PP CLARIFICADO"/>
    <s v="."/>
    <s v="BALDE PLAYERO ROMANO"/>
    <s v="BALDE ROMANO-AMARILLO"/>
    <n v="204"/>
    <n v="2"/>
    <n v="32.4"/>
    <x v="0"/>
    <m/>
    <n v="2"/>
    <n v="950"/>
    <n v="20936"/>
    <s v="AMARILLO"/>
    <n v="24"/>
    <n v="0"/>
    <n v="0"/>
    <n v="16.931999999999999"/>
    <n v="32.4"/>
    <n v="83"/>
    <n v="390.36144578313252"/>
    <x v="1"/>
    <x v="0"/>
    <n v="7"/>
    <n v="2"/>
    <n v="34"/>
  </r>
  <r>
    <d v="2025-02-12T21:29:00"/>
    <s v="INYECTADO"/>
    <x v="7"/>
    <x v="33"/>
    <s v="KARLA HUISA"/>
    <s v="VIRGEN"/>
    <s v="PP CLARIFICADO"/>
    <s v="."/>
    <s v="BALDE PLAYERO ROMANO"/>
    <s v="BALDE ROMANO-AMARILLO"/>
    <n v="247"/>
    <n v="2"/>
    <n v="39"/>
    <x v="0"/>
    <m/>
    <n v="3"/>
    <n v="950"/>
    <n v="20937"/>
    <s v="AMARILLO"/>
    <n v="8.1"/>
    <n v="0"/>
    <n v="0"/>
    <n v="20.501000000000001"/>
    <n v="39"/>
    <n v="83"/>
    <n v="469.87951807228916"/>
    <x v="1"/>
    <x v="0"/>
    <n v="7"/>
    <n v="2"/>
    <n v="41.166666666666664"/>
  </r>
  <r>
    <d v="2025-02-12T21:29:00"/>
    <s v="INYECTADO"/>
    <x v="7"/>
    <x v="33"/>
    <s v="KARLA HUISA"/>
    <s v="SEGUNDA"/>
    <s v="."/>
    <s v="MIXTO"/>
    <s v="BALDE PLAYERO ROMANO"/>
    <s v="BALDE ROMANO-VERDE"/>
    <n v="483"/>
    <n v="4"/>
    <n v="76.3"/>
    <x v="0"/>
    <m/>
    <n v="4"/>
    <n v="950"/>
    <n v="20937"/>
    <s v="VERDE"/>
    <n v="11.7"/>
    <n v="0"/>
    <n v="0"/>
    <n v="40.088999999999999"/>
    <n v="76.3"/>
    <n v="83"/>
    <n v="919.27710843373495"/>
    <x v="1"/>
    <x v="0"/>
    <n v="7"/>
    <n v="2"/>
    <n v="80.5"/>
  </r>
  <r>
    <d v="2025-02-12T21:29:00"/>
    <s v="INYECTADO"/>
    <x v="7"/>
    <x v="34"/>
    <s v="JOSDER GONZALEZ"/>
    <s v="SEGUNDA"/>
    <s v="."/>
    <s v="MIXTO"/>
    <s v="BALDE PLAYERO ROMANO"/>
    <s v="BALDE ROMANO-VERDE"/>
    <n v="106"/>
    <n v="1"/>
    <n v="16.7"/>
    <x v="0"/>
    <m/>
    <n v="1"/>
    <n v="950"/>
    <n v="20938"/>
    <s v="VERDE"/>
    <n v="3.9"/>
    <n v="0"/>
    <n v="0"/>
    <n v="8.798"/>
    <n v="16.7"/>
    <n v="83"/>
    <n v="201.20481927710844"/>
    <x v="1"/>
    <x v="0"/>
    <n v="8"/>
    <n v="2"/>
    <n v="17.666666666666668"/>
  </r>
  <r>
    <d v="2025-02-12T21:29:00"/>
    <s v="INYECTADO"/>
    <x v="7"/>
    <x v="34"/>
    <s v="JOSDER GONZALEZ"/>
    <s v="SEGUNDA"/>
    <s v="."/>
    <s v="MIXTO"/>
    <s v="BALDE PLAYERO ROMANO"/>
    <s v="BALDE ROMANO-AZUL"/>
    <n v="484"/>
    <n v="4"/>
    <n v="76.400000000000006"/>
    <x v="0"/>
    <m/>
    <n v="4"/>
    <n v="950"/>
    <n v="20938"/>
    <s v="AZUL"/>
    <n v="2.5"/>
    <n v="0"/>
    <n v="0"/>
    <n v="40.171999999999997"/>
    <n v="76.400000000000006"/>
    <n v="83"/>
    <n v="920.48192771084337"/>
    <x v="1"/>
    <x v="0"/>
    <n v="8"/>
    <n v="2"/>
    <n v="80.666666666666671"/>
  </r>
  <r>
    <d v="2025-02-12T21:29:00"/>
    <s v="INYECTADO"/>
    <x v="7"/>
    <x v="34"/>
    <s v="JOSDER GONZALEZ"/>
    <s v="SEGUNDA"/>
    <s v="."/>
    <s v="MIXTO"/>
    <s v="BALDE PLAYERO ROMANO"/>
    <s v="BALDE ROMANO-FUCSIA"/>
    <n v="120"/>
    <n v="1"/>
    <n v="18.899999999999999"/>
    <x v="0"/>
    <m/>
    <n v="1"/>
    <n v="950"/>
    <n v="20938"/>
    <s v="FUCSIA"/>
    <n v="1.8"/>
    <n v="0"/>
    <n v="0"/>
    <n v="9.9600000000000009"/>
    <n v="18.899999999999999"/>
    <n v="83"/>
    <n v="227.71084337349399"/>
    <x v="1"/>
    <x v="0"/>
    <n v="8"/>
    <n v="2"/>
    <n v="20"/>
  </r>
  <r>
    <d v="2025-02-12T21:29:00"/>
    <s v="INYECTADO"/>
    <x v="7"/>
    <x v="43"/>
    <s v="LEYDI VALLEZ"/>
    <s v="SEGUNDA"/>
    <s v="."/>
    <s v="MIXTO"/>
    <s v="BALDE PLAYERO ROMANO"/>
    <s v="BALDE ROMANO-FUCSIA"/>
    <n v="479"/>
    <n v="4"/>
    <n v="75.2"/>
    <x v="0"/>
    <m/>
    <n v="4"/>
    <n v="950"/>
    <n v="20939"/>
    <s v="FUCSIA"/>
    <n v="4.0999999999999996"/>
    <n v="0"/>
    <n v="0"/>
    <n v="39.756999999999998"/>
    <n v="75.2"/>
    <n v="83"/>
    <n v="906.02409638554218"/>
    <x v="1"/>
    <x v="0"/>
    <n v="8"/>
    <n v="2"/>
    <n v="79.833333333333329"/>
  </r>
  <r>
    <d v="2025-02-12T21:29:00"/>
    <s v="INYECTADO"/>
    <x v="7"/>
    <x v="43"/>
    <s v="LEYDI VALLEZ"/>
    <s v="SEGUNDA"/>
    <s v="."/>
    <s v="MIXTO"/>
    <s v="BALDE PLAYERO ROMANO"/>
    <s v="BALDE ROMANO-ROJO"/>
    <n v="481"/>
    <n v="4"/>
    <n v="75.5"/>
    <x v="0"/>
    <m/>
    <n v="4"/>
    <n v="950"/>
    <n v="20939"/>
    <s v="ROJO"/>
    <n v="4"/>
    <n v="0"/>
    <n v="0"/>
    <n v="39.923000000000002"/>
    <n v="75.5"/>
    <n v="83"/>
    <n v="909.63855421686742"/>
    <x v="1"/>
    <x v="0"/>
    <n v="8"/>
    <n v="2"/>
    <n v="80.166666666666671"/>
  </r>
  <r>
    <d v="2025-02-12T21:29:00"/>
    <s v="INYECTADO"/>
    <x v="7"/>
    <x v="44"/>
    <s v="JOSDER GONZALEZ"/>
    <s v="SEGUNDA"/>
    <s v="."/>
    <s v="MIXTO"/>
    <s v="BALDE PLAYERO ROMANO"/>
    <s v="BALDE ROMANO-ROJO"/>
    <n v="109"/>
    <n v="1"/>
    <n v="17.2"/>
    <x v="0"/>
    <m/>
    <n v="3"/>
    <n v="950"/>
    <n v="20940"/>
    <s v="ROJO"/>
    <n v="3.1"/>
    <n v="0"/>
    <n v="0"/>
    <n v="9.0470000000000006"/>
    <n v="17.2"/>
    <n v="83"/>
    <n v="207.22891566265059"/>
    <x v="1"/>
    <x v="0"/>
    <n v="8"/>
    <n v="2"/>
    <n v="18.166666666666668"/>
  </r>
  <r>
    <d v="2025-02-12T21:29:00"/>
    <s v="INYECTADO"/>
    <x v="7"/>
    <x v="44"/>
    <s v="JOSDER GONZALEZ"/>
    <s v="SEGUNDA"/>
    <s v="."/>
    <s v="MIXTO"/>
    <s v="BALDE PLAYERO ROMANO"/>
    <s v="BALDE ROMANO-LILA"/>
    <n v="604"/>
    <n v="6"/>
    <n v="95.4"/>
    <x v="0"/>
    <m/>
    <n v="6"/>
    <n v="950"/>
    <n v="20940"/>
    <s v="LILA"/>
    <n v="16"/>
    <n v="0"/>
    <n v="0"/>
    <n v="50.131999999999998"/>
    <n v="95.4"/>
    <n v="83"/>
    <n v="1149.3975903614457"/>
    <x v="1"/>
    <x v="0"/>
    <n v="8"/>
    <n v="2"/>
    <n v="100.66666666666667"/>
  </r>
  <r>
    <d v="2025-02-12T21:29:00"/>
    <s v="INYECTADO"/>
    <x v="7"/>
    <x v="51"/>
    <s v="FABIAN HERNANDEZ"/>
    <s v="SEGUNDA"/>
    <s v="."/>
    <s v="MIXTO"/>
    <s v="BALDE CASTILLO MEDIEVAL"/>
    <s v="BALDE CASTILLO MEDIEVAL-LILA"/>
    <n v="242"/>
    <n v="2"/>
    <n v="64.8"/>
    <x v="0"/>
    <m/>
    <n v="3"/>
    <n v="1020"/>
    <n v="20941"/>
    <s v="LILA"/>
    <n v="0"/>
    <n v="0"/>
    <n v="0"/>
    <n v="32.67"/>
    <n v="64.8"/>
    <n v="135"/>
    <n v="480"/>
    <x v="1"/>
    <x v="0"/>
    <n v="8"/>
    <n v="2"/>
    <n v="40.333333333333336"/>
  </r>
  <r>
    <d v="2025-02-12T21:29:00"/>
    <s v="INYECTADO"/>
    <x v="7"/>
    <x v="51"/>
    <s v="FABIAN HERNANDEZ"/>
    <s v="SEGUNDA"/>
    <s v="."/>
    <s v="MIXTO"/>
    <s v="BALDE CASTILLO MEDIEVAL"/>
    <s v="BALDE CASTILLO MEDIEVAL-FUCSIA"/>
    <n v="324"/>
    <n v="3"/>
    <n v="86.8"/>
    <x v="0"/>
    <m/>
    <n v="4"/>
    <n v="1020"/>
    <n v="20941"/>
    <s v="FUCSIA"/>
    <n v="0"/>
    <n v="0"/>
    <n v="0"/>
    <n v="43.74"/>
    <n v="86.8"/>
    <n v="135"/>
    <n v="642.96296296296293"/>
    <x v="1"/>
    <x v="0"/>
    <n v="8"/>
    <n v="2"/>
    <n v="54"/>
  </r>
  <r>
    <d v="2025-02-12T21:29:00"/>
    <s v="INYECTADO"/>
    <x v="7"/>
    <x v="52"/>
    <s v="LUIS PINEDO"/>
    <s v="SEGUNDA"/>
    <s v="."/>
    <s v="MIXTO"/>
    <s v="BALDE CASTILLO MEDIEVAL"/>
    <s v="BALDE CASTILLO MEDIEVAL-LILA"/>
    <n v="53"/>
    <n v="1"/>
    <n v="14"/>
    <x v="0"/>
    <m/>
    <n v="1"/>
    <n v="1020"/>
    <n v="20942"/>
    <s v="LILA"/>
    <n v="8.8000000000000007"/>
    <n v="0"/>
    <n v="0"/>
    <n v="7.1550000000000002"/>
    <n v="14"/>
    <n v="135"/>
    <n v="103.70370370370371"/>
    <x v="1"/>
    <x v="0"/>
    <n v="8"/>
    <n v="2"/>
    <n v="8.8333333333333339"/>
  </r>
  <r>
    <d v="2025-02-12T21:29:00"/>
    <s v="INYECTADO"/>
    <x v="7"/>
    <x v="52"/>
    <s v="LUIS PINEDO"/>
    <s v="SEGUNDA"/>
    <s v="."/>
    <s v="MIXTO"/>
    <s v="BALDE CASTILLO MEDIEVAL"/>
    <s v="BALDE CASTILLO MEDIEVAL-AZUL"/>
    <n v="361"/>
    <n v="3"/>
    <n v="95.6"/>
    <x v="0"/>
    <m/>
    <n v="5"/>
    <n v="1020"/>
    <n v="20942"/>
    <s v="AZUL"/>
    <n v="4.7"/>
    <n v="0"/>
    <n v="0"/>
    <n v="48.734999999999999"/>
    <n v="95.6"/>
    <n v="135"/>
    <n v="708.14814814814815"/>
    <x v="1"/>
    <x v="0"/>
    <n v="8"/>
    <n v="2"/>
    <n v="60.166666666666664"/>
  </r>
  <r>
    <d v="2025-02-12T21:29:00"/>
    <s v="INYECTADO"/>
    <x v="7"/>
    <x v="52"/>
    <s v="LUIS PINEDO"/>
    <s v="SEGUNDA"/>
    <s v="."/>
    <s v="MIXTO"/>
    <s v="BALDE CASTILLO MEDIEVAL"/>
    <s v="BALDE CASTILLO MEDIEVAL-ROJO"/>
    <n v="238"/>
    <n v="2"/>
    <n v="63"/>
    <x v="0"/>
    <m/>
    <n v="3"/>
    <n v="1020"/>
    <n v="20942"/>
    <s v="ROJO"/>
    <n v="9.3000000000000007"/>
    <n v="0"/>
    <n v="0"/>
    <n v="32.130000000000003"/>
    <n v="63"/>
    <n v="135"/>
    <n v="466.66666666666669"/>
    <x v="1"/>
    <x v="0"/>
    <n v="8"/>
    <n v="2"/>
    <n v="39.666666666666664"/>
  </r>
  <r>
    <d v="2025-02-12T21:29:00"/>
    <s v="INYECTADO"/>
    <x v="7"/>
    <x v="53"/>
    <s v="GABRIEL REQUENA"/>
    <s v="SEGUNDA"/>
    <s v="."/>
    <s v="MIXTO"/>
    <s v="BALDE CASTILLO MEDIEVAL"/>
    <s v="BALDE CASTILLO MEDIEVAL-FUCSIA"/>
    <n v="194"/>
    <n v="2"/>
    <n v="51.6"/>
    <x v="0"/>
    <m/>
    <n v="3"/>
    <n v="1020"/>
    <n v="20943"/>
    <s v="FUCSIA"/>
    <n v="5.5"/>
    <n v="0"/>
    <n v="0"/>
    <n v="26.19"/>
    <n v="51.6"/>
    <n v="135"/>
    <n v="382.22222222222223"/>
    <x v="1"/>
    <x v="0"/>
    <n v="8"/>
    <n v="2"/>
    <n v="32.333333333333336"/>
  </r>
  <r>
    <d v="2025-02-12T21:29:00"/>
    <s v="INYECTADO"/>
    <x v="7"/>
    <x v="45"/>
    <s v="SAID VILLAMIZAR"/>
    <s v="SEGUNDA"/>
    <s v="."/>
    <s v="MIXTO"/>
    <s v="BALDE CASTILLO MEDIEVAL"/>
    <s v="BALDE CASTILLO MEDIEVAL-FUCSIA"/>
    <n v="39"/>
    <n v="1"/>
    <n v="10.6"/>
    <x v="0"/>
    <m/>
    <n v="1"/>
    <n v="1020"/>
    <n v="20944"/>
    <s v="FUCSIA"/>
    <n v="0"/>
    <n v="0"/>
    <n v="0"/>
    <n v="5.2649999999999997"/>
    <n v="10.6"/>
    <n v="135"/>
    <n v="78.518518518518519"/>
    <x v="1"/>
    <x v="0"/>
    <n v="9"/>
    <n v="2"/>
    <n v="6.5"/>
  </r>
  <r>
    <d v="2025-02-12T21:29:00"/>
    <s v="INYECTADO"/>
    <x v="7"/>
    <x v="45"/>
    <s v="SAID VILLAMIZAR"/>
    <s v="SEGUNDA"/>
    <s v="."/>
    <s v="MIXTO"/>
    <s v="BALDE CASTILLO MEDIEVAL"/>
    <s v="BALDE CASTILLO MEDIEVAL-LILA"/>
    <n v="160"/>
    <n v="2"/>
    <n v="43.5"/>
    <x v="0"/>
    <m/>
    <n v="2"/>
    <n v="1020"/>
    <n v="20944"/>
    <s v="LILA"/>
    <n v="0"/>
    <n v="0"/>
    <n v="0"/>
    <n v="21.6"/>
    <n v="43.5"/>
    <n v="135"/>
    <n v="322.22222222222223"/>
    <x v="1"/>
    <x v="0"/>
    <n v="9"/>
    <n v="2"/>
    <n v="26.666666666666668"/>
  </r>
  <r>
    <d v="2025-02-12T21:29:00"/>
    <s v="INYECTADO"/>
    <x v="7"/>
    <x v="45"/>
    <s v="SAID VILLAMIZAR"/>
    <s v="VIRGEN"/>
    <s v="PP CLARIFICADO"/>
    <s v="."/>
    <s v="BALDE CASTILLO MEDIEVAL"/>
    <s v="BALDE CASTILLO MEDIEVAL-AMARILLO"/>
    <n v="321"/>
    <n v="3"/>
    <n v="84.1"/>
    <x v="0"/>
    <m/>
    <n v="4"/>
    <n v="1020"/>
    <n v="20944"/>
    <s v="AMARILLO"/>
    <n v="0"/>
    <n v="0"/>
    <n v="0"/>
    <n v="43.335000000000001"/>
    <n v="84.1"/>
    <n v="135"/>
    <n v="622.96296296296293"/>
    <x v="1"/>
    <x v="0"/>
    <n v="9"/>
    <n v="2"/>
    <n v="53.5"/>
  </r>
  <r>
    <d v="2025-02-12T21:29:00"/>
    <s v="INYECTADO"/>
    <x v="7"/>
    <x v="45"/>
    <s v="SAID VILLAMIZAR"/>
    <s v="SEGUNDA"/>
    <s v="."/>
    <s v="MIXTO"/>
    <s v="BALDE CASTILLO MEDIEVAL"/>
    <s v="BALDE CASTILLO MEDIEVAL-VERDE"/>
    <n v="68"/>
    <n v="1"/>
    <n v="17.899999999999999"/>
    <x v="0"/>
    <m/>
    <n v="1"/>
    <n v="1020"/>
    <n v="20944"/>
    <s v="VERDE"/>
    <n v="0"/>
    <n v="0"/>
    <n v="0"/>
    <n v="9.18"/>
    <n v="17.899999999999999"/>
    <n v="135"/>
    <n v="132.59259259259258"/>
    <x v="1"/>
    <x v="0"/>
    <n v="9"/>
    <n v="2"/>
    <n v="11.333333333333334"/>
  </r>
  <r>
    <d v="2025-02-12T21:29:00"/>
    <s v="INYECTADO"/>
    <x v="7"/>
    <x v="46"/>
    <s v="LUIS PINEDO"/>
    <s v="SEGUNDA"/>
    <s v="."/>
    <s v="MIXTO"/>
    <s v="BALDE CASTILLO MEDIEVAL"/>
    <s v="BALDE CASTILLO MEDIEVAL-VERDE"/>
    <n v="147"/>
    <n v="2"/>
    <n v="38.799999999999997"/>
    <x v="0"/>
    <m/>
    <n v="3"/>
    <n v="1020"/>
    <n v="20945"/>
    <s v="VERDE"/>
    <n v="2"/>
    <n v="0"/>
    <n v="0"/>
    <n v="19.844999999999999"/>
    <n v="38.799999999999997"/>
    <n v="135"/>
    <n v="287.40740740740739"/>
    <x v="1"/>
    <x v="0"/>
    <n v="9"/>
    <n v="2"/>
    <n v="24.5"/>
  </r>
  <r>
    <d v="2025-02-12T20:56:00"/>
    <s v="INYECTADO"/>
    <x v="7"/>
    <x v="46"/>
    <s v="JUAN MANUEL PEREZ"/>
    <s v="VIRGEN"/>
    <s v="PP CLARIFICADO"/>
    <s v="."/>
    <s v="TAPA DE ORGANIZADOR #2"/>
    <s v="TAPA DE ORGANIZADOR #2-TRANSPARENTE"/>
    <n v="1330"/>
    <n v="11"/>
    <n v="57.2"/>
    <x v="1"/>
    <m/>
    <n v="12"/>
    <n v="961"/>
    <n v="20948"/>
    <s v="TRANSPARENTE"/>
    <n v="3"/>
    <n v="0"/>
    <n v="0"/>
    <n v="27.93"/>
    <n v="57.2"/>
    <n v="21"/>
    <n v="2723.8095238095239"/>
    <x v="1"/>
    <x v="0"/>
    <n v="9"/>
    <n v="2"/>
    <n v="221.66666666666666"/>
  </r>
  <r>
    <d v="2025-02-12T20:56:00"/>
    <s v="INYECTADO"/>
    <x v="7"/>
    <x v="46"/>
    <s v="JUAN MANUEL PEREZ"/>
    <s v="VIRGEN"/>
    <s v="PP CLARIFICADO"/>
    <s v="."/>
    <s v="TAPA DE ORGANIZADOR #2 CARAMELO"/>
    <s v="TAPA DE ORGANIZADOR #2 CARAMELO-ROJO"/>
    <n v="297"/>
    <n v="2"/>
    <n v="12.8"/>
    <x v="1"/>
    <m/>
    <n v="2"/>
    <n v="961"/>
    <n v="20948"/>
    <s v="ROJO"/>
    <n v="0"/>
    <n v="0"/>
    <n v="0"/>
    <n v="6.2370000000000001"/>
    <n v="12.8"/>
    <n v="21"/>
    <n v="609.52380952380952"/>
    <x v="1"/>
    <x v="0"/>
    <n v="9"/>
    <n v="2"/>
    <n v="49.5"/>
  </r>
  <r>
    <d v="2025-02-12T20:56:00"/>
    <s v="INYECTADO"/>
    <x v="7"/>
    <x v="39"/>
    <s v="CRISALIDA ZAPATA"/>
    <s v="VIRGEN"/>
    <s v="PP CLARIFICADO"/>
    <s v="."/>
    <s v="TAPA DE ORGANIZADOR #2"/>
    <s v="TAPA DE ORGANIZADOR #2 CARAMELO-ROJO"/>
    <n v="898"/>
    <n v="8"/>
    <n v="38.6"/>
    <x v="0"/>
    <m/>
    <n v="8"/>
    <n v="961"/>
    <n v="20949"/>
    <s v="ROJO"/>
    <n v="1.3"/>
    <n v="0"/>
    <n v="0"/>
    <n v="18.858000000000001"/>
    <n v="38.6"/>
    <n v="21"/>
    <n v="1838.0952380952381"/>
    <x v="1"/>
    <x v="0"/>
    <n v="9"/>
    <n v="2"/>
    <n v="149.66666666666666"/>
  </r>
  <r>
    <d v="2025-02-12T20:56:00"/>
    <s v="INYECTADO"/>
    <x v="7"/>
    <x v="39"/>
    <s v="JOSDER GONZALEZ"/>
    <s v="VIRGEN"/>
    <s v="PP CLARIFICADO"/>
    <s v="."/>
    <s v="TAPA DE ORGANIZADOR #2"/>
    <s v="TAPA DE ORGANIZADOR #2-TRANSPARENTE"/>
    <n v="1410"/>
    <n v="12"/>
    <n v="68.3"/>
    <x v="0"/>
    <m/>
    <n v="12"/>
    <n v="961"/>
    <n v="20950"/>
    <s v="TRANSPARENTE"/>
    <n v="2.2000000000000002"/>
    <n v="0"/>
    <n v="0"/>
    <n v="29.61"/>
    <n v="68.3"/>
    <n v="21"/>
    <n v="3252.3809523809523"/>
    <x v="1"/>
    <x v="0"/>
    <n v="9"/>
    <n v="2"/>
    <n v="235"/>
  </r>
  <r>
    <d v="2025-02-12T20:56:00"/>
    <s v="INYECTADO"/>
    <x v="7"/>
    <x v="40"/>
    <s v="CRISALIDA ZAPATA"/>
    <s v="VIRGEN"/>
    <s v="PP CLARIFICADO"/>
    <s v="."/>
    <s v="TAPA DE ORGANIZADOR #2 CARAMELO"/>
    <s v="TAPA DE ORGANIZADOR #2-TRANSPARENTE"/>
    <n v="570"/>
    <n v="5"/>
    <n v="24.7"/>
    <x v="0"/>
    <m/>
    <n v="5"/>
    <n v="961"/>
    <n v="20951"/>
    <s v="TRANSPARENTE"/>
    <n v="0"/>
    <n v="0"/>
    <n v="0"/>
    <n v="11.97"/>
    <n v="24.7"/>
    <n v="21"/>
    <n v="1176.1904761904761"/>
    <x v="1"/>
    <x v="0"/>
    <n v="9"/>
    <n v="2"/>
    <n v="95"/>
  </r>
  <r>
    <d v="2025-02-12T20:56:00"/>
    <s v="INYECTADO"/>
    <x v="7"/>
    <x v="40"/>
    <s v="CRISALIDA ZAPATA"/>
    <s v="VIRGEN"/>
    <s v="PP CLARIFICADO"/>
    <s v="."/>
    <s v="TAPA DE ORGANIZADOR #2"/>
    <s v="TAPA DE ORGANIZADOR #2 CARAMELO-AZUL"/>
    <n v="731"/>
    <n v="7"/>
    <n v="31.6"/>
    <x v="0"/>
    <m/>
    <n v="7"/>
    <n v="961"/>
    <n v="20951"/>
    <s v="AZUL"/>
    <n v="2.9"/>
    <n v="0"/>
    <n v="0"/>
    <n v="15.351000000000001"/>
    <n v="31.6"/>
    <n v="21"/>
    <n v="1504.7619047619048"/>
    <x v="1"/>
    <x v="0"/>
    <n v="9"/>
    <n v="2"/>
    <n v="121.83333333333333"/>
  </r>
  <r>
    <d v="2025-02-12T20:56:00"/>
    <s v="INYECTADO"/>
    <x v="7"/>
    <x v="40"/>
    <s v="JUAN MANUEL PEREZ"/>
    <s v="VIRGEN"/>
    <s v="PP CLARIFICADO"/>
    <s v="."/>
    <s v="TAPA DE ORGANIZADOR #2"/>
    <s v="TAPA DE ORGANIZADOR #2-TRANSPARENTE"/>
    <n v="1939"/>
    <n v="12"/>
    <n v="84"/>
    <x v="1"/>
    <m/>
    <n v="7"/>
    <n v="961"/>
    <n v="20951"/>
    <s v="TRANSPARENTE"/>
    <n v="3"/>
    <n v="0"/>
    <n v="0"/>
    <n v="40.719000000000001"/>
    <n v="84"/>
    <n v="21"/>
    <n v="4000"/>
    <x v="1"/>
    <x v="0"/>
    <n v="9"/>
    <n v="2"/>
    <n v="323.16666666666669"/>
  </r>
  <r>
    <d v="2025-02-13T16:38:00"/>
    <s v="INYECTADO"/>
    <x v="8"/>
    <x v="41"/>
    <s v="NELSON PINEDO"/>
    <s v="SEGUNDA"/>
    <s v="."/>
    <s v="MIXTO"/>
    <s v="BALDE REAL"/>
    <s v="BALDE REAL-ROJO"/>
    <n v="462"/>
    <n v="5"/>
    <n v="80.3"/>
    <x v="0"/>
    <m/>
    <n v="9"/>
    <n v="988"/>
    <n v="20839"/>
    <s v="ROJO"/>
    <n v="10.7"/>
    <n v="0"/>
    <n v="0"/>
    <n v="39.731999999999999"/>
    <n v="80.3"/>
    <n v="86"/>
    <n v="933.72093023255809"/>
    <x v="1"/>
    <x v="0"/>
    <n v="5"/>
    <n v="2"/>
    <n v="77"/>
  </r>
  <r>
    <d v="2025-02-13T16:38:00"/>
    <s v="INYECTADO"/>
    <x v="8"/>
    <x v="41"/>
    <s v="NELSON PINEDO"/>
    <s v="SEGUNDA"/>
    <s v="."/>
    <s v="MIXTO"/>
    <s v="BALDE REAL"/>
    <s v="BALDE REAL-VERDE"/>
    <n v="311"/>
    <n v="3"/>
    <n v="54.1"/>
    <x v="0"/>
    <m/>
    <n v="5"/>
    <n v="988"/>
    <n v="20839"/>
    <s v="VERDE"/>
    <n v="3"/>
    <n v="0"/>
    <n v="0"/>
    <n v="26.745999999999999"/>
    <n v="54.1"/>
    <n v="86"/>
    <n v="629.06976744186045"/>
    <x v="1"/>
    <x v="0"/>
    <n v="5"/>
    <n v="2"/>
    <n v="51.833333333333336"/>
  </r>
  <r>
    <d v="2025-02-13T16:38:00"/>
    <s v="INYECTADO"/>
    <x v="8"/>
    <x v="35"/>
    <s v="LUIS PINEDO"/>
    <s v="SEGUNDA"/>
    <s v="."/>
    <s v="MIXTO"/>
    <s v="BALDE REAL"/>
    <s v="BALDE REAL-AZUL"/>
    <n v="324"/>
    <n v="5"/>
    <n v="56.3"/>
    <x v="0"/>
    <m/>
    <n v="6"/>
    <n v="988"/>
    <n v="20840"/>
    <s v="AZUL"/>
    <n v="4.0999999999999996"/>
    <n v="0"/>
    <n v="0"/>
    <n v="27.864000000000001"/>
    <n v="56.3"/>
    <n v="86"/>
    <n v="654.65116279069764"/>
    <x v="1"/>
    <x v="0"/>
    <n v="6"/>
    <n v="2"/>
    <n v="54"/>
  </r>
  <r>
    <d v="2025-02-13T16:38:00"/>
    <s v="INYECTADO"/>
    <x v="8"/>
    <x v="47"/>
    <s v="PAUL MILLER"/>
    <s v="SEGUNDA"/>
    <s v="."/>
    <s v="MIXTO"/>
    <s v="BALDE REAL"/>
    <s v="BALDE REAL-AZUL"/>
    <n v="125"/>
    <n v="1"/>
    <n v="21.6"/>
    <x v="0"/>
    <m/>
    <n v="2"/>
    <n v="988"/>
    <n v="20841"/>
    <s v="AZUL"/>
    <n v="4.8"/>
    <n v="0"/>
    <n v="0"/>
    <n v="10.75"/>
    <n v="21.6"/>
    <n v="86"/>
    <n v="251.16279069767441"/>
    <x v="1"/>
    <x v="0"/>
    <n v="6"/>
    <n v="2"/>
    <n v="20.833333333333332"/>
  </r>
  <r>
    <d v="2025-02-13T16:38:00"/>
    <s v="INYECTADO"/>
    <x v="8"/>
    <x v="47"/>
    <s v="PAUL MILLER"/>
    <s v="SEGUNDA"/>
    <s v="."/>
    <s v="MIXTO"/>
    <s v="BALDE REAL"/>
    <s v="BALDE REAL-LILA"/>
    <n v="495"/>
    <n v="4"/>
    <n v="85.6"/>
    <x v="0"/>
    <m/>
    <n v="7"/>
    <n v="988"/>
    <n v="20841"/>
    <s v="LILA"/>
    <n v="6.1"/>
    <n v="0"/>
    <n v="0"/>
    <n v="42.57"/>
    <n v="85.6"/>
    <n v="86"/>
    <n v="995.34883720930236"/>
    <x v="1"/>
    <x v="0"/>
    <n v="6"/>
    <n v="2"/>
    <n v="82.5"/>
  </r>
  <r>
    <d v="2025-02-13T16:38:00"/>
    <s v="INYECTADO"/>
    <x v="8"/>
    <x v="47"/>
    <s v="PAUL MILLER"/>
    <s v="SEGUNDA"/>
    <s v="."/>
    <s v="MIXTO"/>
    <s v="BALDE REAL"/>
    <s v="BALDE REAL-VERDE"/>
    <n v="47"/>
    <n v="1"/>
    <n v="9"/>
    <x v="0"/>
    <m/>
    <n v="1"/>
    <n v="988"/>
    <n v="20841"/>
    <s v="VERDE"/>
    <n v="2.8"/>
    <n v="0"/>
    <n v="0"/>
    <n v="4.0419999999999998"/>
    <n v="9"/>
    <n v="86"/>
    <n v="104.65116279069767"/>
    <x v="1"/>
    <x v="0"/>
    <n v="6"/>
    <n v="2"/>
    <n v="7.833333333333333"/>
  </r>
  <r>
    <d v="2025-02-13T16:38:00"/>
    <s v="INYECTADO"/>
    <x v="8"/>
    <x v="48"/>
    <s v="ISABEL LINARIZ "/>
    <s v="SEGUNDA"/>
    <s v="."/>
    <s v="MIXTO"/>
    <s v="BALDE REAL"/>
    <s v="BALDE REAL-VERDE"/>
    <n v="78"/>
    <n v="1"/>
    <n v="13.4"/>
    <x v="0"/>
    <m/>
    <n v="2"/>
    <n v="988"/>
    <n v="20842"/>
    <s v="VERDE"/>
    <n v="5.2"/>
    <n v="0"/>
    <n v="0"/>
    <n v="6.7080000000000002"/>
    <n v="13.4"/>
    <n v="86"/>
    <n v="155.81395348837211"/>
    <x v="1"/>
    <x v="0"/>
    <n v="6"/>
    <n v="2"/>
    <n v="13"/>
  </r>
  <r>
    <d v="2025-02-13T16:38:00"/>
    <s v="INYECTADO"/>
    <x v="8"/>
    <x v="48"/>
    <s v="ISABEL LINARIZ "/>
    <s v="SEGUNDA"/>
    <s v="."/>
    <s v="MIXTO"/>
    <s v="BALDE REAL"/>
    <s v="BALDE REAL-FUCSIA"/>
    <n v="408"/>
    <n v="4"/>
    <n v="70.7"/>
    <x v="0"/>
    <m/>
    <n v="8"/>
    <n v="988"/>
    <n v="20842"/>
    <s v="FUCSIA"/>
    <n v="3.1"/>
    <n v="0"/>
    <n v="0"/>
    <n v="35.088000000000001"/>
    <n v="70.7"/>
    <n v="86"/>
    <n v="822.09302325581393"/>
    <x v="1"/>
    <x v="0"/>
    <n v="6"/>
    <n v="2"/>
    <n v="68"/>
  </r>
  <r>
    <d v="2025-02-13T16:38:00"/>
    <s v="INYECTADO"/>
    <x v="8"/>
    <x v="48"/>
    <s v="ISABEL LINARIZ "/>
    <s v="VIRGEN"/>
    <s v="PP CLARIFICADO"/>
    <s v="."/>
    <s v="BALDE REAL"/>
    <s v="BALDE REAL-AMARILLO"/>
    <n v="160"/>
    <n v="2"/>
    <n v="27.6"/>
    <x v="0"/>
    <m/>
    <n v="2"/>
    <n v="988"/>
    <n v="20842"/>
    <s v="AMARILLO"/>
    <n v="2.2999999999999998"/>
    <n v="0"/>
    <n v="0"/>
    <n v="13.76"/>
    <n v="27.6"/>
    <n v="86"/>
    <n v="320.93023255813955"/>
    <x v="1"/>
    <x v="0"/>
    <n v="6"/>
    <n v="2"/>
    <n v="26.666666666666668"/>
  </r>
  <r>
    <d v="2025-02-13T16:38:00"/>
    <s v="INYECTADO"/>
    <x v="8"/>
    <x v="48"/>
    <s v="JOSDER GONZALEZ"/>
    <s v="VIRGEN"/>
    <s v="PP CLARIFICADO"/>
    <s v="."/>
    <s v="BALDE REAL"/>
    <s v="BALDE REAL-AMARILLO"/>
    <n v="283"/>
    <n v="2"/>
    <n v="48.9"/>
    <x v="1"/>
    <m/>
    <n v="7"/>
    <n v="988"/>
    <n v="20843"/>
    <s v="AMARILLO"/>
    <n v="9.1"/>
    <n v="0"/>
    <n v="0"/>
    <n v="24.338000000000001"/>
    <n v="48.9"/>
    <n v="86"/>
    <n v="568.60465116279067"/>
    <x v="1"/>
    <x v="0"/>
    <n v="6"/>
    <n v="2"/>
    <n v="47.166666666666664"/>
  </r>
  <r>
    <d v="2025-02-13T16:38:00"/>
    <s v="INYECTADO"/>
    <x v="8"/>
    <x v="48"/>
    <s v="JOSDER GONZALEZ"/>
    <s v="SEGUNDA"/>
    <s v="."/>
    <s v="MIXTO"/>
    <s v="BALDE REAL"/>
    <s v="BALDE REAL-AZUL"/>
    <n v="154"/>
    <n v="2"/>
    <n v="26.6"/>
    <x v="1"/>
    <m/>
    <n v="4"/>
    <n v="988"/>
    <n v="20843"/>
    <s v="AZUL"/>
    <n v="4.2"/>
    <n v="0"/>
    <n v="0"/>
    <n v="13.244"/>
    <n v="26.6"/>
    <n v="86"/>
    <n v="309.30232558139534"/>
    <x v="1"/>
    <x v="0"/>
    <n v="6"/>
    <n v="2"/>
    <n v="25.666666666666668"/>
  </r>
  <r>
    <d v="2025-02-13T16:38:00"/>
    <s v="INYECTADO"/>
    <x v="8"/>
    <x v="48"/>
    <s v="JOSDER GONZALEZ"/>
    <s v="SEGUNDA"/>
    <s v="."/>
    <s v="MIXTO"/>
    <s v="BALDE REAL"/>
    <s v="BALDE REAL-LILA"/>
    <n v="131"/>
    <n v="2"/>
    <n v="22.7"/>
    <x v="1"/>
    <m/>
    <n v="3"/>
    <n v="988"/>
    <n v="20843"/>
    <s v="LILA"/>
    <n v="7.2"/>
    <n v="0"/>
    <n v="0"/>
    <n v="11.266"/>
    <n v="22.7"/>
    <n v="86"/>
    <n v="263.95348837209303"/>
    <x v="1"/>
    <x v="0"/>
    <n v="6"/>
    <n v="2"/>
    <n v="21.833333333333332"/>
  </r>
  <r>
    <d v="2025-02-13T16:38:00"/>
    <s v="INYECTADO"/>
    <x v="8"/>
    <x v="48"/>
    <s v="JOSDER GONZALEZ"/>
    <s v="SEGUNDA"/>
    <s v="."/>
    <s v="MIXTO"/>
    <s v="BALDE REAL"/>
    <s v="BALDE REAL-ROJO"/>
    <n v="157"/>
    <n v="2"/>
    <n v="27.2"/>
    <x v="1"/>
    <m/>
    <n v="4"/>
    <n v="988"/>
    <n v="20843"/>
    <s v="ROJO"/>
    <n v="11.2"/>
    <n v="0"/>
    <n v="0"/>
    <n v="13.502000000000001"/>
    <n v="27.2"/>
    <n v="86"/>
    <n v="316.27906976744185"/>
    <x v="1"/>
    <x v="0"/>
    <n v="6"/>
    <n v="2"/>
    <n v="26.166666666666668"/>
  </r>
  <r>
    <d v="2025-02-13T16:38:00"/>
    <s v="INYECTADO"/>
    <x v="8"/>
    <x v="48"/>
    <s v="JOSDER GONZALEZ"/>
    <s v="SEGUNDA"/>
    <s v="."/>
    <s v="MIXTO"/>
    <s v="BALDE REAL"/>
    <s v="BALDE REAL-FUCSIA"/>
    <n v="182"/>
    <n v="2"/>
    <n v="31.5"/>
    <x v="1"/>
    <m/>
    <n v="4"/>
    <n v="988"/>
    <n v="20843"/>
    <s v="FUCSIA"/>
    <n v="0"/>
    <n v="0"/>
    <n v="0"/>
    <n v="15.651999999999999"/>
    <n v="31.5"/>
    <n v="86"/>
    <n v="366.27906976744185"/>
    <x v="1"/>
    <x v="0"/>
    <n v="6"/>
    <n v="2"/>
    <n v="30.333333333333332"/>
  </r>
  <r>
    <d v="2025-02-13T16:38:00"/>
    <s v="INYECTADO"/>
    <x v="8"/>
    <x v="49"/>
    <s v="SAID VILLAMIZAR"/>
    <s v="SEGUNDA"/>
    <s v="."/>
    <s v="MIXTO"/>
    <s v="BALDE REAL"/>
    <s v="BALDE REAL-VERDE"/>
    <n v="282"/>
    <n v="2"/>
    <n v="48.7"/>
    <x v="0"/>
    <m/>
    <n v="6"/>
    <n v="988"/>
    <n v="20843"/>
    <s v="VERDE"/>
    <n v="0"/>
    <n v="0"/>
    <n v="0"/>
    <n v="24.251999999999999"/>
    <n v="48.7"/>
    <n v="86"/>
    <n v="566.27906976744191"/>
    <x v="1"/>
    <x v="0"/>
    <n v="6"/>
    <n v="2"/>
    <n v="47"/>
  </r>
  <r>
    <d v="2025-02-13T16:38:00"/>
    <s v="INYECTADO"/>
    <x v="8"/>
    <x v="49"/>
    <s v="SAID VILLAMIZAR"/>
    <s v="SEGUNDA"/>
    <s v="."/>
    <s v="MIXTO"/>
    <s v="BALDE REAL"/>
    <s v="BALDE REAL-FUCSIA"/>
    <n v="183"/>
    <n v="2"/>
    <n v="31.6"/>
    <x v="0"/>
    <m/>
    <n v="4"/>
    <n v="988"/>
    <n v="20843"/>
    <s v="FUCSIA"/>
    <n v="0"/>
    <n v="0"/>
    <n v="0"/>
    <n v="15.738"/>
    <n v="31.6"/>
    <n v="86"/>
    <n v="367.44186046511629"/>
    <x v="1"/>
    <x v="0"/>
    <n v="6"/>
    <n v="2"/>
    <n v="30.5"/>
  </r>
  <r>
    <d v="2025-02-13T16:38:00"/>
    <s v="INYECTADO"/>
    <x v="8"/>
    <x v="50"/>
    <s v="JOSDER GONZALEZ"/>
    <s v="SEGUNDA"/>
    <s v="."/>
    <s v="PP INY MOLIDO"/>
    <s v="ACCESORIOS PLAYEROS MARINOS"/>
    <s v="ACCESORIO PLAYERO MARINO-VERDE"/>
    <n v="495"/>
    <n v="4"/>
    <n v="59.4"/>
    <x v="0"/>
    <m/>
    <n v="9"/>
    <n v="999"/>
    <n v="20845"/>
    <s v="VERDE"/>
    <n v="31.2"/>
    <n v="0"/>
    <n v="0"/>
    <n v="7.4249999999999998"/>
    <n v="59.4"/>
    <n v="15"/>
    <n v="3960"/>
    <x v="1"/>
    <x v="0"/>
    <n v="6"/>
    <n v="8"/>
    <n v="330"/>
  </r>
  <r>
    <d v="2025-02-13T16:38:00"/>
    <s v="INYECTADO"/>
    <x v="8"/>
    <x v="50"/>
    <s v="JOSDER GONZALEZ"/>
    <s v="SEGUNDA"/>
    <s v="."/>
    <s v="PP INY MOLIDO"/>
    <s v="ACCESORIOS PLAYEROS MARINOS"/>
    <s v="ACCESORIO PLAYERO MARINO-FUCSIA"/>
    <n v="496"/>
    <n v="4"/>
    <n v="59.6"/>
    <x v="0"/>
    <m/>
    <n v="7"/>
    <n v="999"/>
    <n v="20845"/>
    <s v="FUCSIA"/>
    <n v="38"/>
    <n v="0"/>
    <n v="0"/>
    <n v="7.44"/>
    <n v="59.6"/>
    <n v="15"/>
    <n v="3973.3333333333335"/>
    <x v="1"/>
    <x v="0"/>
    <n v="6"/>
    <n v="8"/>
    <n v="330.66666666666669"/>
  </r>
  <r>
    <d v="2025-02-13T16:38:00"/>
    <s v="INYECTADO"/>
    <x v="8"/>
    <x v="30"/>
    <s v="SAID VILLAMIZAR"/>
    <s v="SEGUNDA"/>
    <s v="."/>
    <s v="PP INY MOLIDO"/>
    <s v="ACCESORIOS PLAYEROS MARINOS"/>
    <s v="ACCESORIO PLAYERO MARINO-FUCSIA"/>
    <n v="343"/>
    <n v="3"/>
    <n v="40.9"/>
    <x v="0"/>
    <m/>
    <n v="4"/>
    <n v="999"/>
    <n v="20846"/>
    <s v="FUCSIA"/>
    <n v="24.1"/>
    <n v="0"/>
    <n v="0"/>
    <n v="5.1449999999999996"/>
    <n v="40.9"/>
    <n v="15"/>
    <n v="2726.6666666666665"/>
    <x v="1"/>
    <x v="0"/>
    <n v="7"/>
    <n v="8"/>
    <n v="228.66666666666666"/>
  </r>
  <r>
    <d v="2025-02-13T16:38:00"/>
    <s v="INYECTADO"/>
    <x v="8"/>
    <x v="30"/>
    <s v="SAID VILLAMIZAR"/>
    <s v="VIRGEN"/>
    <s v="PP CLARIFICADO"/>
    <s v="."/>
    <s v="ACCESORIOS PLAYEROS MARINOS"/>
    <s v="ACCESORIO PLAYERO MARINO-AMARILLO"/>
    <n v="31"/>
    <n v="1"/>
    <n v="3.8"/>
    <x v="0"/>
    <m/>
    <n v="1"/>
    <n v="999"/>
    <n v="20846"/>
    <s v="AMARILLO"/>
    <n v="12.3"/>
    <n v="0"/>
    <n v="0"/>
    <n v="0.46500000000000002"/>
    <n v="3.8"/>
    <n v="15"/>
    <n v="253.33333333333334"/>
    <x v="1"/>
    <x v="0"/>
    <n v="7"/>
    <n v="8"/>
    <n v="20.666666666666668"/>
  </r>
  <r>
    <d v="2025-02-13T16:38:00"/>
    <s v="INYECTADO"/>
    <x v="8"/>
    <x v="30"/>
    <s v="SAID VILLAMIZAR"/>
    <s v="SEGUNDA"/>
    <s v="."/>
    <s v="PP INY MOLIDO"/>
    <s v="ACCESORIOS PLAYEROS MARINOS"/>
    <s v="ACCESORIO PLAYERO MARINO-AZUL"/>
    <n v="372"/>
    <n v="3"/>
    <n v="45.4"/>
    <x v="0"/>
    <m/>
    <n v="4"/>
    <n v="999"/>
    <n v="20846"/>
    <s v="AZUL"/>
    <n v="27"/>
    <n v="0"/>
    <n v="0"/>
    <n v="5.58"/>
    <n v="45.4"/>
    <n v="15"/>
    <n v="3026.6666666666665"/>
    <x v="1"/>
    <x v="0"/>
    <n v="7"/>
    <n v="8"/>
    <n v="248"/>
  </r>
  <r>
    <d v="2025-02-13T16:38:00"/>
    <s v="INYECTADO"/>
    <x v="8"/>
    <x v="30"/>
    <s v="JUAN MANUEL PEREZ"/>
    <s v="SEGUNDA"/>
    <s v="."/>
    <s v="PP INY MOLIDO"/>
    <s v="ACCESORIOS PLAYEROS MARINOS"/>
    <s v="ACCESORIO PLAYERO MARINO-LILA"/>
    <n v="247"/>
    <n v="2"/>
    <n v="29.4"/>
    <x v="1"/>
    <m/>
    <n v="4"/>
    <n v="999"/>
    <n v="20847"/>
    <s v="LILA"/>
    <n v="24"/>
    <n v="0"/>
    <n v="0"/>
    <n v="3.7050000000000001"/>
    <n v="29.4"/>
    <n v="15"/>
    <n v="1960"/>
    <x v="1"/>
    <x v="0"/>
    <n v="7"/>
    <n v="8"/>
    <n v="164.66666666666666"/>
  </r>
  <r>
    <d v="2025-02-13T16:38:00"/>
    <s v="INYECTADO"/>
    <x v="8"/>
    <x v="30"/>
    <s v="JUAN MANUEL PEREZ"/>
    <s v="SEGUNDA"/>
    <s v="."/>
    <s v="PP INY MOLIDO"/>
    <s v="ACCESORIOS PLAYEROS MARINOS"/>
    <s v="ACCESORIO PLAYERO MARINO-FUCSIA"/>
    <n v="263"/>
    <n v="2"/>
    <n v="31.1"/>
    <x v="1"/>
    <m/>
    <n v="4"/>
    <n v="999"/>
    <n v="20847"/>
    <s v="FUCSIA"/>
    <n v="24.2"/>
    <n v="0"/>
    <n v="0"/>
    <n v="3.9449999999999998"/>
    <n v="31.1"/>
    <n v="15"/>
    <n v="2073.3333333333335"/>
    <x v="1"/>
    <x v="0"/>
    <n v="7"/>
    <n v="8"/>
    <n v="175.33333333333334"/>
  </r>
  <r>
    <d v="2025-02-13T16:38:00"/>
    <s v="INYECTADO"/>
    <x v="8"/>
    <x v="30"/>
    <s v="JUAN MANUEL PEREZ"/>
    <s v="SEGUNDA"/>
    <s v="."/>
    <s v="PP INY MOLIDO"/>
    <s v="ACCESORIOS PLAYEROS MARINOS"/>
    <s v="ACCESORIO PLAYERO MARINO-VERDE"/>
    <n v="247"/>
    <n v="2"/>
    <n v="29.5"/>
    <x v="1"/>
    <m/>
    <n v="4"/>
    <n v="999"/>
    <n v="20847"/>
    <s v="VERDE"/>
    <n v="24"/>
    <n v="0"/>
    <n v="0"/>
    <n v="3.7050000000000001"/>
    <n v="29.5"/>
    <n v="15"/>
    <n v="1966.6666666666667"/>
    <x v="1"/>
    <x v="0"/>
    <n v="7"/>
    <n v="8"/>
    <n v="164.66666666666666"/>
  </r>
  <r>
    <d v="2025-02-13T16:38:00"/>
    <s v="INYECTADO"/>
    <x v="8"/>
    <x v="30"/>
    <s v="JUAN MANUEL PEREZ"/>
    <s v="SEGUNDA"/>
    <s v="."/>
    <s v="PP INY MOLIDO"/>
    <s v="ACCESORIOS PLAYEROS MARINOS"/>
    <s v="ACCESORIO PLAYERO MARINO-ROJO"/>
    <n v="294"/>
    <n v="2"/>
    <n v="34.700000000000003"/>
    <x v="1"/>
    <m/>
    <n v="5"/>
    <n v="999"/>
    <n v="20847"/>
    <s v="ROJO"/>
    <n v="22"/>
    <n v="0"/>
    <n v="0"/>
    <n v="4.41"/>
    <n v="34.700000000000003"/>
    <n v="15"/>
    <n v="2313.3333333333335"/>
    <x v="1"/>
    <x v="0"/>
    <n v="7"/>
    <n v="8"/>
    <n v="196"/>
  </r>
  <r>
    <d v="2025-02-13T16:38:00"/>
    <s v="INYECTADO"/>
    <x v="8"/>
    <x v="31"/>
    <s v="LUIS PINEDO"/>
    <s v="SEGUNDA"/>
    <s v="."/>
    <s v="PP INY MOLIDO"/>
    <s v="ESCURRIDOR PORTA VAJILLA"/>
    <s v="ESCURRIDOR PORTAVAJILLA-VERDE"/>
    <n v="365"/>
    <n v="3"/>
    <n v="89.1"/>
    <x v="0"/>
    <m/>
    <n v="13"/>
    <n v="999"/>
    <n v="20848"/>
    <s v="VERDE"/>
    <n v="8.1999999999999993"/>
    <n v="0"/>
    <n v="0"/>
    <n v="89.79"/>
    <n v="89.1"/>
    <n v="246"/>
    <n v="362.19512195121951"/>
    <x v="1"/>
    <x v="0"/>
    <n v="7"/>
    <n v="1"/>
    <n v="30.416666666666668"/>
  </r>
  <r>
    <d v="2025-02-13T16:38:00"/>
    <s v="INYECTADO"/>
    <x v="8"/>
    <x v="31"/>
    <s v="LUIS PINEDO"/>
    <s v="VIRGEN"/>
    <s v="PP CLARIFICADO"/>
    <s v="."/>
    <s v="ESCURRIDOR PORTA VAJILLA"/>
    <s v="ESCURRIDOR PORTAVAJILLA-CREMA"/>
    <n v="102"/>
    <n v="1"/>
    <n v="24.9"/>
    <x v="0"/>
    <m/>
    <n v="6"/>
    <n v="999"/>
    <n v="20848"/>
    <s v="CREMA"/>
    <n v="4.2"/>
    <n v="0"/>
    <n v="0"/>
    <n v="25.091999999999999"/>
    <n v="24.9"/>
    <n v="246"/>
    <n v="101.21951219512195"/>
    <x v="1"/>
    <x v="0"/>
    <n v="7"/>
    <n v="1"/>
    <n v="8.5"/>
  </r>
  <r>
    <d v="2025-02-13T16:38:00"/>
    <s v="INYECTADO"/>
    <x v="8"/>
    <x v="31"/>
    <s v="JUAN MANUEL PEREZ"/>
    <s v="VIRGEN"/>
    <s v="PP CLARIFICADO"/>
    <s v="."/>
    <s v="ESCURRIDOR PORTA VAJILLA"/>
    <s v="ESCURRIDOR PORTAVAJILLA-CREMA"/>
    <n v="204"/>
    <n v="2"/>
    <n v="49.9"/>
    <x v="1"/>
    <m/>
    <n v="7"/>
    <n v="999"/>
    <n v="20849"/>
    <s v="CREMA"/>
    <n v="3"/>
    <n v="0"/>
    <n v="0"/>
    <n v="50.183999999999997"/>
    <n v="49.9"/>
    <n v="246"/>
    <n v="202.84552845528455"/>
    <x v="1"/>
    <x v="0"/>
    <n v="7"/>
    <n v="1"/>
    <n v="17"/>
  </r>
  <r>
    <d v="2025-02-13T16:38:00"/>
    <s v="INYECTADO"/>
    <x v="8"/>
    <x v="31"/>
    <s v="JUAN MANUEL PEREZ"/>
    <s v="SEGUNDA"/>
    <s v="."/>
    <s v="PP INY MOLIDO"/>
    <s v="ESCURRIDOR PORTA VAJILLA"/>
    <s v="ESCURRIDOR PORTAVAJILLA-MELON"/>
    <n v="245"/>
    <n v="2"/>
    <n v="71.900000000000006"/>
    <x v="1"/>
    <m/>
    <n v="2"/>
    <n v="999"/>
    <n v="20849"/>
    <s v="MELON"/>
    <n v="3.1"/>
    <n v="0"/>
    <n v="0"/>
    <n v="60.27"/>
    <n v="71.900000000000006"/>
    <n v="246"/>
    <n v="292.27642276422762"/>
    <x v="1"/>
    <x v="0"/>
    <n v="7"/>
    <n v="1"/>
    <n v="20.416666666666668"/>
  </r>
  <r>
    <d v="2025-02-13T16:38:00"/>
    <s v="INYECTADO"/>
    <x v="8"/>
    <x v="31"/>
    <s v="JUAN MANUEL PEREZ"/>
    <s v="SEGUNDA"/>
    <s v="."/>
    <s v="PP INY MOLIDO"/>
    <s v="ESCURRIDOR PORTA VAJILLA"/>
    <s v="ESCURRIDOR PORTAVAJILLA-ROSADO"/>
    <n v="395"/>
    <n v="3"/>
    <n v="96.3"/>
    <x v="1"/>
    <m/>
    <n v="13"/>
    <n v="999"/>
    <n v="20849"/>
    <s v="FUCSIA"/>
    <n v="2"/>
    <n v="0"/>
    <n v="0"/>
    <n v="97.17"/>
    <n v="96.3"/>
    <n v="246"/>
    <n v="391.46341463414632"/>
    <x v="1"/>
    <x v="0"/>
    <n v="7"/>
    <n v="1"/>
    <n v="32.916666666666664"/>
  </r>
  <r>
    <d v="2025-02-13T16:38:00"/>
    <s v="INYECTADO"/>
    <x v="8"/>
    <x v="31"/>
    <s v="JUAN MANUEL PEREZ"/>
    <s v="SEGUNDA"/>
    <s v="."/>
    <s v="PP INY MOLIDO"/>
    <s v="ESCURRIDOR PORTA VAJILLA"/>
    <s v="ESCURRIDOR PORTAVAJILLA-TURQUESA"/>
    <n v="30"/>
    <n v="1"/>
    <n v="7.3"/>
    <x v="1"/>
    <m/>
    <n v="1"/>
    <n v="999"/>
    <n v="20849"/>
    <s v="TURQUESA"/>
    <n v="1"/>
    <n v="0"/>
    <n v="0"/>
    <n v="7.38"/>
    <n v="7.3"/>
    <n v="246"/>
    <n v="29.674796747967481"/>
    <x v="1"/>
    <x v="0"/>
    <n v="7"/>
    <n v="1"/>
    <n v="2.5"/>
  </r>
  <r>
    <d v="2025-02-13T16:38:00"/>
    <s v="INYECTADO"/>
    <x v="8"/>
    <x v="36"/>
    <s v="SAID VILLAMIZAR"/>
    <s v="SEGUNDA"/>
    <s v="."/>
    <s v="PP INY MOLIDO"/>
    <s v="ESCURRIDOR PORTA VAJILLA"/>
    <s v="ESCURRIDOR PORTAVAJILLA-TURQUESA"/>
    <n v="179"/>
    <n v="2"/>
    <n v="43.8"/>
    <x v="0"/>
    <m/>
    <n v="2"/>
    <n v="999"/>
    <n v="20850"/>
    <s v="TURQUESA"/>
    <n v="7"/>
    <n v="0"/>
    <n v="0"/>
    <n v="44.033999999999999"/>
    <n v="43.8"/>
    <n v="246"/>
    <n v="178.04878048780489"/>
    <x v="1"/>
    <x v="0"/>
    <n v="7"/>
    <n v="1"/>
    <n v="14.916666666666666"/>
  </r>
  <r>
    <d v="2025-02-13T16:38:00"/>
    <s v="INYECTADO"/>
    <x v="8"/>
    <x v="36"/>
    <s v="SAID VILLAMIZAR"/>
    <s v="SEGUNDA"/>
    <s v="."/>
    <s v="PP INY MOLIDO"/>
    <s v="ESCURRIDOR PORTA VAJILLA"/>
    <s v="ESCURRIDOR PORTAVAJILLA-ROSADO"/>
    <n v="72"/>
    <n v="1"/>
    <n v="17.600000000000001"/>
    <x v="0"/>
    <m/>
    <n v="1"/>
    <n v="999"/>
    <n v="20850"/>
    <s v="ROSADO"/>
    <n v="3.6"/>
    <n v="0"/>
    <n v="0"/>
    <n v="17.712"/>
    <n v="17.600000000000001"/>
    <n v="246"/>
    <n v="71.544715447154474"/>
    <x v="1"/>
    <x v="0"/>
    <n v="7"/>
    <n v="1"/>
    <n v="6"/>
  </r>
  <r>
    <d v="2025-02-13T16:38:00"/>
    <s v="INYECTADO"/>
    <x v="8"/>
    <x v="36"/>
    <s v="SAID VILLAMIZAR"/>
    <s v="SEGUNDA"/>
    <s v="."/>
    <s v="PP INY MOLIDO"/>
    <s v="ESCURRIDOR PORTA VAJILLA"/>
    <s v="ESCURRIDOR PORTAVAJILLA-LILA"/>
    <n v="60"/>
    <n v="1"/>
    <n v="14.8"/>
    <x v="0"/>
    <m/>
    <n v="1"/>
    <n v="999"/>
    <n v="20850"/>
    <s v="LILA"/>
    <n v="3.6"/>
    <n v="0"/>
    <n v="0"/>
    <n v="14.76"/>
    <n v="14.8"/>
    <n v="246"/>
    <n v="60.162601626016261"/>
    <x v="1"/>
    <x v="0"/>
    <n v="7"/>
    <n v="1"/>
    <n v="5"/>
  </r>
  <r>
    <d v="2025-02-13T16:38:00"/>
    <s v="INYECTADO"/>
    <x v="8"/>
    <x v="37"/>
    <s v="GABRIEL REQUENA"/>
    <s v="VIRGEN"/>
    <s v="PP CLARIFICADO"/>
    <s v="."/>
    <s v="JARRA REAL 6LT"/>
    <s v="JARRA REAL 6 LT-TRANSPARENTE"/>
    <n v="168"/>
    <n v="2"/>
    <n v="40.6"/>
    <x v="0"/>
    <m/>
    <n v="7"/>
    <n v="1008"/>
    <n v="20852"/>
    <s v="TRANSPARENTE"/>
    <n v="0"/>
    <n v="0"/>
    <n v="0"/>
    <n v="40.32"/>
    <n v="40.6"/>
    <n v="240"/>
    <n v="169.16666666666666"/>
    <x v="1"/>
    <x v="0"/>
    <n v="7"/>
    <n v="1"/>
    <n v="14"/>
  </r>
  <r>
    <d v="2025-02-13T16:38:00"/>
    <s v="INYECTADO"/>
    <x v="8"/>
    <x v="37"/>
    <s v="JUAN MANUEL PEREZ"/>
    <s v="VIRGEN"/>
    <s v="PP CLARIFICADO"/>
    <s v="."/>
    <s v="JARRA REAL 6LT"/>
    <s v="JARRA REAL 6 LT-TRANSPARENTE"/>
    <n v="839"/>
    <n v="8"/>
    <n v="198.1"/>
    <x v="1"/>
    <m/>
    <n v="32"/>
    <n v="1008"/>
    <n v="20851"/>
    <s v="TRANSPARENTE"/>
    <n v="12.5"/>
    <n v="0"/>
    <n v="0"/>
    <n v="201.36"/>
    <n v="198.1"/>
    <n v="240"/>
    <n v="825.41666666666663"/>
    <x v="1"/>
    <x v="0"/>
    <n v="7"/>
    <n v="1"/>
    <n v="69.916666666666671"/>
  </r>
  <r>
    <d v="2025-02-13T16:38:00"/>
    <s v="INYECTADO"/>
    <x v="8"/>
    <x v="32"/>
    <s v="LEYDI VALLEZ"/>
    <s v="VIRGEN"/>
    <s v="PP CLARIFICADO"/>
    <s v="."/>
    <s v="JARRA REAL 6LT"/>
    <s v="JARRA REAL 6 LT-TRANSPARENTE"/>
    <n v="1029"/>
    <n v="12"/>
    <n v="249.2"/>
    <x v="0"/>
    <m/>
    <n v="24"/>
    <n v="1008"/>
    <n v="20853"/>
    <s v="TRANSPARENTE"/>
    <n v="17.100000000000001"/>
    <n v="0"/>
    <n v="0"/>
    <n v="246.96"/>
    <n v="249.2"/>
    <n v="240"/>
    <n v="1038.3333333333333"/>
    <x v="1"/>
    <x v="0"/>
    <n v="7"/>
    <n v="1"/>
    <n v="85.75"/>
  </r>
  <r>
    <d v="2025-02-13T16:38:00"/>
    <s v="INYECTADO"/>
    <x v="8"/>
    <x v="32"/>
    <s v="JUAN MANUEL PEREZ"/>
    <s v="VIRGEN"/>
    <s v="PP CLARIFICADO"/>
    <s v="."/>
    <s v="JARRA REAL 6LT"/>
    <s v="JARRA REAL 6 LT-TRANSPARENTE"/>
    <n v="854"/>
    <n v="8"/>
    <n v="200.8"/>
    <x v="1"/>
    <m/>
    <n v="32"/>
    <n v="1008"/>
    <n v="20854"/>
    <s v="TRANSPARENTE"/>
    <n v="12"/>
    <n v="0"/>
    <n v="0"/>
    <n v="204.96"/>
    <n v="200.8"/>
    <n v="240"/>
    <n v="836.66666666666663"/>
    <x v="1"/>
    <x v="0"/>
    <n v="7"/>
    <n v="1"/>
    <n v="71.166666666666671"/>
  </r>
  <r>
    <d v="2025-02-13T16:38:00"/>
    <s v="INYECTADO"/>
    <x v="8"/>
    <x v="33"/>
    <s v="ISABEL LINARIZ "/>
    <s v="VIRGEN"/>
    <s v="PP CLARIFICADO"/>
    <s v="."/>
    <s v="JARRA REAL 6LT"/>
    <s v="JARRA REAL 6 LT-TRANSPARENTE"/>
    <n v="931"/>
    <n v="12"/>
    <n v="219"/>
    <x v="0"/>
    <m/>
    <n v="38"/>
    <n v="1008"/>
    <n v="20855"/>
    <s v="TRANSPARENTE"/>
    <n v="10.9"/>
    <n v="0"/>
    <n v="0"/>
    <n v="223.44"/>
    <n v="219"/>
    <n v="240"/>
    <n v="912.5"/>
    <x v="1"/>
    <x v="0"/>
    <n v="7"/>
    <n v="1"/>
    <n v="77.583333333333329"/>
  </r>
  <r>
    <d v="2025-02-13T16:38:00"/>
    <s v="INYECTADO"/>
    <x v="8"/>
    <x v="33"/>
    <s v="JUAN MANUEL PEREZ"/>
    <s v="VIRGEN"/>
    <s v="PP CLARIFICADO"/>
    <s v="."/>
    <s v="JARRA REAL 6LT"/>
    <s v="JARRA REAL 6 LT-trANSPARENTE"/>
    <n v="926"/>
    <n v="12"/>
    <n v="227"/>
    <x v="1"/>
    <m/>
    <n v="31"/>
    <n v="1008"/>
    <n v="20856"/>
    <s v="TRANSPARENTE"/>
    <n v="12"/>
    <n v="0"/>
    <n v="0"/>
    <n v="222.24"/>
    <n v="227"/>
    <n v="240"/>
    <n v="945.83333333333337"/>
    <x v="1"/>
    <x v="0"/>
    <n v="7"/>
    <n v="1"/>
    <n v="77.166666666666671"/>
  </r>
  <r>
    <d v="2025-02-13T16:38:00"/>
    <s v="INYECTADO"/>
    <x v="8"/>
    <x v="34"/>
    <s v="ISABEL LINARIZ "/>
    <s v="VIRGEN"/>
    <s v="PP CLARIFICADO"/>
    <s v="."/>
    <s v="JARRA REAL 6LT"/>
    <s v="JARRA REAL 6 LT-trANSPARENTE"/>
    <n v="828"/>
    <n v="11"/>
    <n v="203"/>
    <x v="0"/>
    <m/>
    <n v="35"/>
    <n v="1008"/>
    <n v="20857"/>
    <s v="TRANSPARENTE"/>
    <n v="11.7"/>
    <n v="0"/>
    <n v="0"/>
    <n v="198.72"/>
    <n v="203"/>
    <n v="240"/>
    <n v="845.83333333333337"/>
    <x v="1"/>
    <x v="0"/>
    <n v="8"/>
    <n v="1"/>
    <n v="69"/>
  </r>
  <r>
    <d v="2025-02-13T16:38:00"/>
    <s v="INYECTADO"/>
    <x v="8"/>
    <x v="43"/>
    <s v="LUIS RENGIFO"/>
    <s v="VIRGEN"/>
    <s v="PP CLARIFICADO"/>
    <s v="."/>
    <s v="ORGANIZADOR  DE 3KG PASTEL"/>
    <s v="BASE ORGANIZADOR DE 3KG PASTEL-CELESTE"/>
    <n v="152"/>
    <n v="2"/>
    <n v="28.9"/>
    <x v="0"/>
    <m/>
    <n v="5"/>
    <n v="1014"/>
    <n v="20858"/>
    <s v="CELESTE"/>
    <n v="4.5999999999999996"/>
    <n v="0"/>
    <n v="0"/>
    <n v="14.896000000000001"/>
    <n v="28.9"/>
    <n v="98"/>
    <n v="294.89795918367349"/>
    <x v="1"/>
    <x v="0"/>
    <n v="8"/>
    <n v="2"/>
    <n v="25.333333333333332"/>
  </r>
  <r>
    <d v="2025-02-13T16:38:00"/>
    <s v="INYECTADO"/>
    <x v="8"/>
    <x v="43"/>
    <s v="FABIAN HERNANDEZ"/>
    <s v="VIRGEN"/>
    <s v="PP CLARIFICADO"/>
    <s v="."/>
    <s v="ORGANIZADOR  DE 3KG PASTEL"/>
    <s v="BASE ORGANIZADOR DE 3KG PASTEL-CELESTE"/>
    <n v="92"/>
    <n v="1"/>
    <n v="18.2"/>
    <x v="1"/>
    <m/>
    <n v="3"/>
    <n v="1014"/>
    <n v="20859"/>
    <s v="CELESTE"/>
    <n v="3.6"/>
    <n v="0"/>
    <n v="0"/>
    <n v="9.016"/>
    <n v="18.2"/>
    <n v="98"/>
    <n v="185.71428571428572"/>
    <x v="1"/>
    <x v="0"/>
    <n v="8"/>
    <n v="2"/>
    <n v="15.333333333333334"/>
  </r>
  <r>
    <d v="2025-02-13T16:38:00"/>
    <s v="INYECTADO"/>
    <x v="8"/>
    <x v="43"/>
    <s v="FABIAN HERNANDEZ"/>
    <s v="VIRGEN"/>
    <s v="PP CLARIFICADO"/>
    <s v="."/>
    <s v="ORGANIZADOR  DE 3KG PASTEL"/>
    <s v="BASE ORGANIZADOR DE 3KG PASTEL-TURQUESA"/>
    <n v="239"/>
    <n v="2"/>
    <n v="47"/>
    <x v="1"/>
    <m/>
    <n v="8"/>
    <n v="1014"/>
    <n v="20859"/>
    <s v="TURQUESA"/>
    <n v="6"/>
    <n v="0"/>
    <n v="0"/>
    <n v="23.422000000000001"/>
    <n v="47"/>
    <n v="98"/>
    <n v="479.59183673469386"/>
    <x v="1"/>
    <x v="0"/>
    <n v="8"/>
    <n v="2"/>
    <n v="39.833333333333336"/>
  </r>
  <r>
    <d v="2025-02-13T16:38:00"/>
    <s v="INYECTADO"/>
    <x v="8"/>
    <x v="43"/>
    <s v="FABIAN HERNANDEZ"/>
    <s v="VIRGEN"/>
    <s v="PP CLARIFICADO"/>
    <s v="."/>
    <s v="ORGANIZADOR  DE 3KG PASTEL"/>
    <s v="BASE ORGANIZADOR DE 3KG PASTEL-ROSADO"/>
    <n v="238"/>
    <n v="2"/>
    <n v="46.9"/>
    <x v="1"/>
    <m/>
    <n v="8"/>
    <n v="1014"/>
    <n v="20859"/>
    <s v="ROSADO"/>
    <n v="2.5"/>
    <n v="0"/>
    <n v="0"/>
    <n v="23.324000000000002"/>
    <n v="46.9"/>
    <n v="98"/>
    <n v="478.57142857142856"/>
    <x v="1"/>
    <x v="0"/>
    <n v="8"/>
    <n v="2"/>
    <n v="39.666666666666664"/>
  </r>
  <r>
    <d v="2025-02-13T16:38:00"/>
    <s v="INYECTADO"/>
    <x v="8"/>
    <x v="43"/>
    <s v="FABIAN HERNANDEZ"/>
    <s v="VIRGEN"/>
    <s v="PP CLARIFICADO"/>
    <s v="."/>
    <s v="ORGANIZADOR  DE 3KG PASTEL"/>
    <s v="BASE ORGANIZADOR DE 3KG PASTEL-LILA"/>
    <n v="220"/>
    <n v="2"/>
    <n v="43.3"/>
    <x v="1"/>
    <m/>
    <n v="7"/>
    <n v="1014"/>
    <n v="20859"/>
    <s v="LILA"/>
    <n v="10.5"/>
    <n v="0"/>
    <n v="0"/>
    <n v="21.56"/>
    <n v="43.3"/>
    <n v="98"/>
    <n v="441.83673469387753"/>
    <x v="1"/>
    <x v="0"/>
    <n v="8"/>
    <n v="2"/>
    <n v="36.666666666666664"/>
  </r>
  <r>
    <d v="2025-02-13T16:38:00"/>
    <s v="INYECTADO"/>
    <x v="8"/>
    <x v="43"/>
    <s v="FABIAN HERNANDEZ"/>
    <s v="VIRGEN"/>
    <s v="PP CLARIFICADO"/>
    <s v="."/>
    <s v="ORGANIZADOR  DE 3KG PASTEL"/>
    <s v="BASE ORGANIZADOR DE 3KG PASTEL-AZURE"/>
    <n v="30"/>
    <n v="1"/>
    <n v="5.9"/>
    <x v="1"/>
    <m/>
    <n v="1"/>
    <n v="1014"/>
    <n v="20859"/>
    <s v="AZUL"/>
    <n v="2.2999999999999998"/>
    <n v="0"/>
    <n v="0"/>
    <n v="2.94"/>
    <n v="5.9"/>
    <n v="98"/>
    <n v="60.204081632653065"/>
    <x v="1"/>
    <x v="0"/>
    <n v="8"/>
    <n v="2"/>
    <n v="5"/>
  </r>
  <r>
    <d v="2025-02-13T16:38:00"/>
    <s v="INYECTADO"/>
    <x v="8"/>
    <x v="44"/>
    <s v="JUAN CARLOS CEDENO"/>
    <s v="VIRGEN"/>
    <s v="PP CLARIFICADO"/>
    <s v="."/>
    <s v="ORGANIZADOR  DE 3KG PASTEL"/>
    <s v="BASE ORGANIZADOR DE 3KG PASTEL-AZURE"/>
    <n v="187"/>
    <n v="2"/>
    <n v="34.799999999999997"/>
    <x v="0"/>
    <m/>
    <n v="6"/>
    <n v="1014"/>
    <n v="20860"/>
    <s v="AZURE"/>
    <n v="9"/>
    <n v="0"/>
    <n v="0"/>
    <n v="18.326000000000001"/>
    <n v="34.799999999999997"/>
    <n v="98"/>
    <n v="355.10204081632651"/>
    <x v="1"/>
    <x v="0"/>
    <n v="8"/>
    <n v="2"/>
    <n v="31.166666666666668"/>
  </r>
  <r>
    <d v="2025-02-13T16:38:00"/>
    <s v="INYECTADO"/>
    <x v="8"/>
    <x v="44"/>
    <s v="JUAN CARLOS CEDENO"/>
    <s v="VIRGEN"/>
    <s v="PP CLARIFICADO"/>
    <s v="."/>
    <s v="ORGANIZADOR  DE 3KG PASTEL"/>
    <s v="BASE ORGANIZADOR DE 3KG PASTEL-SANDIA"/>
    <n v="679"/>
    <n v="6"/>
    <n v="126.3"/>
    <x v="0"/>
    <m/>
    <n v="22"/>
    <n v="1014"/>
    <n v="20860"/>
    <s v="SANDIA"/>
    <n v="10.6"/>
    <n v="0"/>
    <n v="0"/>
    <n v="66.542000000000002"/>
    <n v="126.3"/>
    <n v="98"/>
    <n v="1288.7755102040817"/>
    <x v="1"/>
    <x v="0"/>
    <n v="8"/>
    <n v="2"/>
    <n v="113.16666666666667"/>
  </r>
  <r>
    <d v="2025-02-13T16:38:00"/>
    <s v="INYECTADO"/>
    <x v="8"/>
    <x v="44"/>
    <s v="JUAN CARLOS CEDENO"/>
    <s v="VIRGEN"/>
    <s v="PP CLARIFICADO"/>
    <s v="."/>
    <s v="ORGANIZADOR  DE 3KG PASTEL"/>
    <s v="BASE ORGANIZADOR DE 3KG PASTEL-CELESTE"/>
    <n v="349"/>
    <n v="3"/>
    <n v="66"/>
    <x v="0"/>
    <m/>
    <n v="12"/>
    <n v="1014"/>
    <n v="20860"/>
    <s v="CELESTE"/>
    <n v="8.8000000000000007"/>
    <n v="0"/>
    <n v="0"/>
    <n v="34.201999999999998"/>
    <n v="66"/>
    <n v="98"/>
    <n v="673.46938775510205"/>
    <x v="1"/>
    <x v="0"/>
    <n v="8"/>
    <n v="2"/>
    <n v="58.166666666666664"/>
  </r>
  <r>
    <d v="2025-02-13T16:38:00"/>
    <s v="INYECTADO"/>
    <x v="8"/>
    <x v="51"/>
    <s v="JOSE CAHUACHI"/>
    <s v="VIRGEN"/>
    <s v="PP CLARIFICADO"/>
    <s v="."/>
    <s v="ORGANIZADOR  DE 3KG PASTEL"/>
    <s v="BASE ORGANIZADOR DE 3KG PASTEL-CELESTE"/>
    <n v="44"/>
    <n v="1"/>
    <n v="8.4"/>
    <x v="0"/>
    <m/>
    <n v="2"/>
    <n v="1014"/>
    <n v="20861"/>
    <s v="CELESTE"/>
    <n v="2.7"/>
    <n v="0"/>
    <n v="0"/>
    <n v="4.3120000000000003"/>
    <n v="8.4"/>
    <n v="98"/>
    <n v="85.714285714285708"/>
    <x v="1"/>
    <x v="0"/>
    <n v="8"/>
    <n v="2"/>
    <n v="7.333333333333333"/>
  </r>
  <r>
    <d v="2025-02-13T16:38:00"/>
    <s v="INYECTADO"/>
    <x v="8"/>
    <x v="51"/>
    <s v="JOSE CAHUACHI"/>
    <s v="VIRGEN"/>
    <s v="PP CLARIFICADO"/>
    <s v="."/>
    <s v="ORGANIZADOR  DE 3KG PASTEL"/>
    <s v="BASE ORGANIZADOR DE 3KG PASTEL-AZURE"/>
    <n v="328"/>
    <n v="3"/>
    <n v="62.4"/>
    <x v="0"/>
    <m/>
    <n v="11"/>
    <n v="1014"/>
    <n v="20861"/>
    <s v="AZURE"/>
    <n v="8.9"/>
    <n v="0"/>
    <n v="0"/>
    <n v="32.143999999999998"/>
    <n v="62.4"/>
    <n v="98"/>
    <n v="636.73469387755097"/>
    <x v="1"/>
    <x v="0"/>
    <n v="8"/>
    <n v="2"/>
    <n v="54.666666666666664"/>
  </r>
  <r>
    <d v="2025-02-13T16:38:00"/>
    <s v="INYECTADO"/>
    <x v="8"/>
    <x v="51"/>
    <s v="JOSE CAHUACHI"/>
    <s v="VIRGEN"/>
    <s v="PP CLARIFICADO"/>
    <s v="."/>
    <s v="ORGANIZADOR  DE 3KG PASTEL"/>
    <s v="BASE ORGANIZADOR DE 3KG PASTEL-TURQUESA"/>
    <n v="329"/>
    <n v="3"/>
    <n v="62.6"/>
    <x v="0"/>
    <m/>
    <n v="11"/>
    <n v="1014"/>
    <n v="20861"/>
    <s v="TURQUESA"/>
    <n v="0.8"/>
    <n v="0"/>
    <n v="0"/>
    <n v="32.241999999999997"/>
    <n v="62.6"/>
    <n v="98"/>
    <n v="638.77551020408168"/>
    <x v="1"/>
    <x v="0"/>
    <n v="8"/>
    <n v="2"/>
    <n v="54.833333333333336"/>
  </r>
  <r>
    <d v="2025-02-13T16:38:00"/>
    <s v="INYECTADO"/>
    <x v="8"/>
    <x v="51"/>
    <s v="FABIAN HERNANDEZ"/>
    <s v="VIRGEN"/>
    <s v="PP CLARIFICADO"/>
    <s v="."/>
    <s v="ORGANIZADOR  DE 3KG PASTEL"/>
    <s v="BASE ORGANIZADOR DE 3KG PASTEL-ROSADO"/>
    <n v="176"/>
    <n v="2"/>
    <n v="33.6"/>
    <x v="1"/>
    <m/>
    <n v="6"/>
    <n v="1014"/>
    <n v="20862"/>
    <s v="ROSADO"/>
    <n v="1.8"/>
    <n v="0"/>
    <n v="0"/>
    <n v="17.248000000000001"/>
    <n v="33.6"/>
    <n v="98"/>
    <n v="342.85714285714283"/>
    <x v="1"/>
    <x v="0"/>
    <n v="8"/>
    <n v="2"/>
    <n v="29.333333333333332"/>
  </r>
  <r>
    <d v="2025-02-13T16:38:00"/>
    <s v="INYECTADO"/>
    <x v="8"/>
    <x v="52"/>
    <s v="JOSDER GONZALEZ"/>
    <s v="VIRGEN"/>
    <s v="PP CLARIFICADO"/>
    <s v="."/>
    <s v="ORGANIZADOR  DE 3KG PASTEL"/>
    <s v="BASE ORGANIZADOR DE 3KG PASTEL-ROSADO"/>
    <n v="144"/>
    <n v="2"/>
    <n v="27.5"/>
    <x v="0"/>
    <m/>
    <n v="2"/>
    <n v="1014"/>
    <n v="20863"/>
    <s v="ROSADO"/>
    <n v="9.6999999999999993"/>
    <n v="0"/>
    <n v="0"/>
    <n v="14.112"/>
    <n v="27.5"/>
    <n v="98"/>
    <n v="280.61224489795916"/>
    <x v="1"/>
    <x v="0"/>
    <n v="8"/>
    <n v="2"/>
    <n v="24"/>
  </r>
  <r>
    <d v="2025-02-13T16:38:00"/>
    <s v="INYECTADO"/>
    <x v="8"/>
    <x v="52"/>
    <s v="JOSDER GONZALEZ"/>
    <s v="VIRGEN"/>
    <s v="PP CLARIFICADO"/>
    <s v="."/>
    <s v="ORGANIZADOR  DE 3KG PASTEL"/>
    <s v="BASE ORGANIZADOR DE 3KG PASTEL-LILA"/>
    <n v="327"/>
    <n v="3"/>
    <n v="62.2"/>
    <x v="0"/>
    <m/>
    <n v="5"/>
    <n v="1014"/>
    <n v="20863"/>
    <s v="LILA"/>
    <n v="8"/>
    <n v="0"/>
    <n v="0"/>
    <n v="32.045999999999999"/>
    <n v="62.2"/>
    <n v="98"/>
    <n v="634.69387755102036"/>
    <x v="1"/>
    <x v="0"/>
    <n v="8"/>
    <n v="2"/>
    <n v="54.5"/>
  </r>
  <r>
    <d v="2025-02-13T16:38:00"/>
    <s v="INYECTADO"/>
    <x v="8"/>
    <x v="52"/>
    <s v="JOSDER GONZALEZ"/>
    <s v="VIRGEN"/>
    <s v="PP CLARIFICADO"/>
    <s v="."/>
    <s v="ORGANIZADOR  DE 3KG CARAMELO"/>
    <s v="BASE ORGANIZADOR  DE 3KG CARAMELO-AZUL"/>
    <n v="333"/>
    <n v="3"/>
    <n v="63.4"/>
    <x v="0"/>
    <m/>
    <n v="10"/>
    <n v="1014"/>
    <n v="20863"/>
    <s v="AZUL"/>
    <n v="1.2"/>
    <n v="0"/>
    <n v="0"/>
    <n v="32.634"/>
    <n v="63.4"/>
    <n v="98"/>
    <n v="646.9387755102041"/>
    <x v="1"/>
    <x v="0"/>
    <n v="8"/>
    <n v="2"/>
    <n v="55.5"/>
  </r>
  <r>
    <d v="2025-02-13T16:38:00"/>
    <s v="INYECTADO"/>
    <x v="8"/>
    <x v="52"/>
    <s v="ISABEL LINARIZ "/>
    <s v="VIRGEN"/>
    <s v="PP CLARIFICADO"/>
    <s v="."/>
    <s v="ORGANIZADOR  DE 3KG CARAMELO"/>
    <s v="BASE ORGANIZADOR  DE 3KG CARAMELO-AZUL"/>
    <n v="215"/>
    <n v="2"/>
    <n v="41"/>
    <x v="1"/>
    <m/>
    <n v="8"/>
    <n v="1014"/>
    <n v="20864"/>
    <s v="AZUL"/>
    <n v="0"/>
    <n v="0"/>
    <n v="0"/>
    <n v="21.07"/>
    <n v="41"/>
    <n v="98"/>
    <n v="418.36734693877548"/>
    <x v="1"/>
    <x v="0"/>
    <n v="8"/>
    <n v="2"/>
    <n v="35.833333333333336"/>
  </r>
  <r>
    <d v="2025-02-13T16:38:00"/>
    <s v="INYECTADO"/>
    <x v="8"/>
    <x v="52"/>
    <s v="ISABEL LINARIZ "/>
    <s v="VIRGEN"/>
    <s v="PP CLARIFICADO"/>
    <s v="."/>
    <s v="ORGANIZADOR  DE 3KG CARAMELO"/>
    <s v="BASE ORGANIZADOR  DE 3KG CARAMELO-AMARILLO"/>
    <n v="762"/>
    <n v="7"/>
    <n v="144.9"/>
    <x v="1"/>
    <m/>
    <n v="18"/>
    <n v="1014"/>
    <n v="20864"/>
    <s v="AMARILLO"/>
    <n v="6.9"/>
    <n v="0"/>
    <n v="0"/>
    <n v="74.676000000000002"/>
    <n v="144.9"/>
    <n v="98"/>
    <n v="1478.5714285714287"/>
    <x v="1"/>
    <x v="0"/>
    <n v="8"/>
    <n v="2"/>
    <n v="127"/>
  </r>
  <r>
    <d v="2025-02-13T16:38:00"/>
    <s v="INYECTADO"/>
    <x v="8"/>
    <x v="52"/>
    <s v="ISABEL LINARIZ "/>
    <s v="VIRGEN"/>
    <s v="PP CLARIFICADO"/>
    <s v="."/>
    <s v="ORGANIZADOR  DE 3KG CARAMELO"/>
    <s v="BASE ORGANIZADOR  DE 3KG CARAMELO-VERDE"/>
    <n v="213"/>
    <n v="2"/>
    <n v="40.5"/>
    <x v="1"/>
    <m/>
    <n v="7"/>
    <n v="1014"/>
    <n v="20864"/>
    <s v="VERDE"/>
    <n v="3.7"/>
    <n v="0"/>
    <n v="0"/>
    <n v="20.873999999999999"/>
    <n v="40.5"/>
    <n v="98"/>
    <n v="413.26530612244898"/>
    <x v="1"/>
    <x v="0"/>
    <n v="8"/>
    <n v="2"/>
    <n v="35.5"/>
  </r>
  <r>
    <d v="2025-02-13T16:38:00"/>
    <s v="INYECTADO"/>
    <x v="8"/>
    <x v="53"/>
    <s v="LUIS PINEDO"/>
    <s v="VIRGEN"/>
    <s v="PP CLARIFICADO"/>
    <s v="."/>
    <s v="ORGANIZADOR  DE 3KG CARAMELO"/>
    <s v="BASE ORGANIZADOR  DE 3KG CARAMELO-VERDE"/>
    <n v="348"/>
    <n v="3"/>
    <n v="65.900000000000006"/>
    <x v="0"/>
    <m/>
    <n v="12"/>
    <n v="1014"/>
    <n v="20865"/>
    <s v="VERDE"/>
    <n v="5.4"/>
    <n v="0"/>
    <n v="0"/>
    <n v="34.103999999999999"/>
    <n v="65.900000000000006"/>
    <n v="98"/>
    <n v="672.44897959183675"/>
    <x v="1"/>
    <x v="0"/>
    <n v="8"/>
    <n v="2"/>
    <n v="58"/>
  </r>
  <r>
    <d v="2025-02-13T16:38:00"/>
    <s v="INYECTADO"/>
    <x v="8"/>
    <x v="53"/>
    <s v="LUIS PINEDO"/>
    <s v="VIRGEN"/>
    <s v="PP CLARIFICADO"/>
    <s v="."/>
    <s v="ORGANIZADOR  DE 3KG CARAMELO"/>
    <s v="BASE ORGANIZADOR  DE 3KG CARAMELO-ROJO"/>
    <n v="122"/>
    <n v="2"/>
    <n v="23.1"/>
    <x v="0"/>
    <m/>
    <n v="4"/>
    <n v="1014"/>
    <n v="20865"/>
    <s v="ROJO"/>
    <n v="0"/>
    <n v="0"/>
    <n v="0"/>
    <n v="11.956"/>
    <n v="23.1"/>
    <n v="98"/>
    <n v="235.71428571428572"/>
    <x v="1"/>
    <x v="0"/>
    <n v="8"/>
    <n v="2"/>
    <n v="20.333333333333332"/>
  </r>
  <r>
    <d v="2025-02-13T16:38:00"/>
    <s v="INYECTADO"/>
    <x v="8"/>
    <x v="53"/>
    <s v="FABIAN HERNANDEZ"/>
    <s v="VIRGEN"/>
    <s v="PP CLARIFICADO"/>
    <s v="."/>
    <s v="ORGANIZADOR  DE 3KG CARAMELO"/>
    <s v="BASE ORGANIZADOR  DE 3KG CARAMELO-ROJO"/>
    <n v="353"/>
    <n v="4"/>
    <n v="67.2"/>
    <x v="1"/>
    <m/>
    <n v="12"/>
    <n v="1014"/>
    <n v="20866"/>
    <s v="ROJO"/>
    <n v="8.1"/>
    <n v="0"/>
    <n v="0"/>
    <n v="34.594000000000001"/>
    <n v="67.2"/>
    <n v="98"/>
    <n v="685.71428571428567"/>
    <x v="1"/>
    <x v="0"/>
    <n v="8"/>
    <n v="2"/>
    <n v="58.833333333333336"/>
  </r>
  <r>
    <d v="2025-02-13T16:38:00"/>
    <s v="INYECTADO"/>
    <x v="8"/>
    <x v="53"/>
    <s v="FABIAN HERNANDEZ"/>
    <s v="VIRGEN"/>
    <s v="PP CLARIFICADO"/>
    <s v="."/>
    <s v="ORGANIZADOR  DE 3KG CARAMELO"/>
    <s v="BASE ORGANIZADOR  DE 3KG CARAMELO-FUCSIA"/>
    <n v="427"/>
    <n v="5"/>
    <n v="81.2"/>
    <x v="1"/>
    <m/>
    <n v="12"/>
    <n v="1014"/>
    <n v="20866"/>
    <s v="FUCSIA"/>
    <n v="0"/>
    <n v="0"/>
    <n v="0"/>
    <n v="41.845999999999997"/>
    <n v="81.2"/>
    <n v="98"/>
    <n v="828.57142857142856"/>
    <x v="1"/>
    <x v="0"/>
    <n v="8"/>
    <n v="2"/>
    <n v="71.166666666666671"/>
  </r>
  <r>
    <d v="2025-02-13T16:38:00"/>
    <s v="INYECTADO"/>
    <x v="8"/>
    <x v="45"/>
    <s v="ISABEL LINARIZ "/>
    <s v="VIRGEN"/>
    <s v="PP CLARIFICADO"/>
    <s v="."/>
    <s v="ORGANIZADOR  DE 3KG CARAMELO"/>
    <s v="BASE ORGANIZADOR  DE 3KG CARAMELO-FUCSIA"/>
    <n v="122"/>
    <n v="2"/>
    <n v="23.2"/>
    <x v="0"/>
    <m/>
    <n v="4"/>
    <n v="1014"/>
    <n v="20867"/>
    <s v="FUCSIA"/>
    <n v="2.5"/>
    <n v="0"/>
    <n v="0"/>
    <n v="11.956"/>
    <n v="23.2"/>
    <n v="98"/>
    <n v="236.73469387755102"/>
    <x v="1"/>
    <x v="0"/>
    <n v="9"/>
    <n v="2"/>
    <n v="20.333333333333332"/>
  </r>
  <r>
    <d v="2025-02-13T16:38:00"/>
    <s v="INYECTADO"/>
    <x v="8"/>
    <x v="45"/>
    <s v="ISABEL LINARIZ "/>
    <s v="VIRGEN"/>
    <s v="PP CLARIFICADO"/>
    <s v="."/>
    <s v="ORGANIZADOR  DE 3KG CARAMELO"/>
    <s v="BASE ORGANIZADOR  DE 3KG CARAMELO-LILA"/>
    <n v="518"/>
    <n v="5"/>
    <n v="98.6"/>
    <x v="0"/>
    <m/>
    <n v="17"/>
    <n v="1014"/>
    <n v="20867"/>
    <s v="LILA"/>
    <n v="4.5"/>
    <n v="0"/>
    <n v="0"/>
    <n v="50.764000000000003"/>
    <n v="98.6"/>
    <n v="98"/>
    <n v="1006.1224489795918"/>
    <x v="1"/>
    <x v="0"/>
    <n v="9"/>
    <n v="2"/>
    <n v="86.333333333333329"/>
  </r>
  <r>
    <d v="2025-02-13T16:38:00"/>
    <s v="INYECTADO"/>
    <x v="8"/>
    <x v="46"/>
    <s v="GABRIEL REQUENA"/>
    <s v="VIRGEN"/>
    <s v="PP CLARIFICADO"/>
    <s v="."/>
    <s v="JARRA REAL 1200 ML"/>
    <s v="JARRA REAL 1200 LT-TRANSPARENTE"/>
    <n v="591"/>
    <n v="5"/>
    <n v="81"/>
    <x v="0"/>
    <m/>
    <n v="7"/>
    <n v="1026"/>
    <n v="20868"/>
    <s v="TRANSPARENTE"/>
    <n v="6.5"/>
    <n v="0"/>
    <n v="0"/>
    <n v="40.188000000000002"/>
    <n v="81"/>
    <n v="68"/>
    <n v="1191.1764705882354"/>
    <x v="1"/>
    <x v="0"/>
    <n v="9"/>
    <n v="2"/>
    <n v="98.5"/>
  </r>
  <r>
    <d v="2025-02-13T16:38:00"/>
    <s v="INYECTADO"/>
    <x v="8"/>
    <x v="46"/>
    <s v="BRAYAN PINEDO"/>
    <s v="VIRGEN"/>
    <s v="PP CLARIFICADO"/>
    <s v="."/>
    <s v="JARRA REAL 1200 ML"/>
    <s v="JARRA REAL 1200 LT-TRANSPARENTE"/>
    <n v="1219"/>
    <n v="12"/>
    <n v="162.5"/>
    <x v="1"/>
    <m/>
    <n v="14"/>
    <n v="1026"/>
    <n v="20869"/>
    <s v="TRANSPARENTE"/>
    <n v="2.4"/>
    <n v="0"/>
    <n v="0"/>
    <n v="82.891999999999996"/>
    <n v="162.5"/>
    <n v="68"/>
    <n v="2389.705882352941"/>
    <x v="1"/>
    <x v="0"/>
    <n v="9"/>
    <n v="2"/>
    <n v="203.16666666666666"/>
  </r>
  <r>
    <d v="2025-02-13T16:38:00"/>
    <s v="INYECTADO"/>
    <x v="8"/>
    <x v="39"/>
    <s v="JUAN CARLOS CEDENO"/>
    <s v="VIRGEN"/>
    <s v="PP CLARIFICADO"/>
    <s v="."/>
    <s v="JARRA REAL 1200 ML"/>
    <s v="JARRA REAL 1200 LT-TRANSPARENTE"/>
    <n v="654"/>
    <n v="7"/>
    <n v="90.3"/>
    <x v="0"/>
    <m/>
    <n v="10"/>
    <n v="1026"/>
    <n v="20870"/>
    <s v="TRANSPARENTE"/>
    <n v="0"/>
    <n v="0"/>
    <n v="0"/>
    <n v="44.472000000000001"/>
    <n v="90.3"/>
    <n v="68"/>
    <n v="1327.9411764705883"/>
    <x v="1"/>
    <x v="0"/>
    <n v="9"/>
    <n v="2"/>
    <n v="109"/>
  </r>
  <r>
    <d v="2025-02-13T16:38:00"/>
    <s v="INYECTADO"/>
    <x v="8"/>
    <x v="39"/>
    <s v="BRAYAN PINEDO"/>
    <s v="VIRGEN"/>
    <s v="PP CLARIFICADO"/>
    <s v="."/>
    <s v="JARRA REAL 1200 ML"/>
    <s v="JARRA REAL 1200 LT-TRANSPARENTE"/>
    <n v="1191"/>
    <n v="12"/>
    <n v="161.4"/>
    <x v="1"/>
    <m/>
    <n v="13"/>
    <n v="1026"/>
    <n v="20871"/>
    <s v="TRANSPARENTE"/>
    <n v="0"/>
    <n v="0"/>
    <n v="0"/>
    <n v="80.988"/>
    <n v="161.4"/>
    <n v="68"/>
    <n v="2373.5294117647059"/>
    <x v="1"/>
    <x v="0"/>
    <n v="9"/>
    <n v="2"/>
    <n v="198.5"/>
  </r>
  <r>
    <d v="2025-02-13T16:38:00"/>
    <s v="INYECTADO"/>
    <x v="8"/>
    <x v="40"/>
    <s v="ISABEL LINARIZ "/>
    <s v="VIRGEN"/>
    <s v="PP CLARIFICADO"/>
    <s v="."/>
    <s v="JARRA REAL 1200 ML"/>
    <s v="JARRA REAL 1200 LT-TRANSPARENTE"/>
    <n v="1115"/>
    <n v="11"/>
    <n v="155.80000000000001"/>
    <x v="0"/>
    <m/>
    <n v="16"/>
    <n v="1026"/>
    <n v="20872"/>
    <s v="TRANSPARENTE"/>
    <n v="0"/>
    <n v="0"/>
    <n v="0"/>
    <n v="75.819999999999993"/>
    <n v="155.80000000000001"/>
    <n v="68"/>
    <n v="2291.1764705882351"/>
    <x v="1"/>
    <x v="0"/>
    <n v="9"/>
    <n v="2"/>
    <n v="185.83333333333334"/>
  </r>
  <r>
    <d v="2025-02-13T16:38:00"/>
    <s v="INYECTADO"/>
    <x v="8"/>
    <x v="40"/>
    <s v="BRAYAN PINEDO"/>
    <s v="VIRGEN"/>
    <s v="PP CLARIFICADO"/>
    <s v="."/>
    <s v="JARRA REAL 1200 ML"/>
    <s v="JARRA REAL 1200 LT-TRANSPARENTE"/>
    <n v="1155"/>
    <n v="12"/>
    <n v="158.5"/>
    <x v="1"/>
    <m/>
    <n v="12"/>
    <n v="1026"/>
    <n v="20873"/>
    <s v="TRANSPARENTE"/>
    <n v="3.6"/>
    <n v="0"/>
    <n v="0"/>
    <n v="78.540000000000006"/>
    <n v="158.5"/>
    <n v="68"/>
    <n v="2330.8823529411766"/>
    <x v="1"/>
    <x v="0"/>
    <n v="9"/>
    <n v="2"/>
    <n v="192.5"/>
  </r>
  <r>
    <d v="2025-02-13T16:38:00"/>
    <s v="INYECTADO"/>
    <x v="10"/>
    <x v="41"/>
    <s v="LUIS PINEDO"/>
    <s v="SEGUNDA"/>
    <s v="."/>
    <s v="MIXTO"/>
    <s v="EMBUDO #4"/>
    <s v="EMBUDO #4-AZUL"/>
    <n v="150"/>
    <n v="2"/>
    <n v="38"/>
    <x v="0"/>
    <m/>
    <n v="5"/>
    <n v="986"/>
    <n v="20562"/>
    <s v="AZUL"/>
    <n v="0"/>
    <n v="0"/>
    <n v="0"/>
    <n v="18.899999999999999"/>
    <n v="38"/>
    <n v="126"/>
    <n v="301.58730158730157"/>
    <x v="1"/>
    <x v="0"/>
    <n v="5"/>
    <n v="2"/>
    <n v="25"/>
  </r>
  <r>
    <d v="2025-02-13T16:38:00"/>
    <s v="INYECTADO"/>
    <x v="10"/>
    <x v="41"/>
    <s v="LUIS PINEDO"/>
    <s v="SEGUNDA"/>
    <s v="."/>
    <s v="MIXTO"/>
    <s v="EMBUDO #4"/>
    <s v="EMBUDO #4-ANARANJADO"/>
    <n v="30"/>
    <n v="1"/>
    <n v="7.6"/>
    <x v="0"/>
    <m/>
    <n v="1"/>
    <n v="986"/>
    <n v="20562"/>
    <s v="ANARANJADO"/>
    <n v="0"/>
    <n v="0"/>
    <n v="0"/>
    <n v="3.78"/>
    <n v="7.6"/>
    <n v="126"/>
    <n v="60.317460317460316"/>
    <x v="1"/>
    <x v="0"/>
    <n v="5"/>
    <n v="2"/>
    <n v="5"/>
  </r>
  <r>
    <d v="2025-02-13T16:38:00"/>
    <s v="INYECTADO"/>
    <x v="10"/>
    <x v="41"/>
    <s v="LUIS PINEDO"/>
    <s v="SEGUNDA"/>
    <s v="."/>
    <s v="MIXTO"/>
    <s v="EMBUDO #4"/>
    <s v="EMBUDO #4-VERDE"/>
    <n v="60"/>
    <n v="1"/>
    <n v="15"/>
    <x v="0"/>
    <m/>
    <n v="2"/>
    <n v="986"/>
    <n v="20562"/>
    <s v="VERDE"/>
    <n v="0"/>
    <n v="0"/>
    <n v="0"/>
    <n v="7.56"/>
    <n v="15"/>
    <n v="126"/>
    <n v="119.04761904761905"/>
    <x v="1"/>
    <x v="0"/>
    <n v="5"/>
    <n v="2"/>
    <n v="10"/>
  </r>
  <r>
    <d v="2025-02-13T16:38:00"/>
    <s v="INYECTADO"/>
    <x v="10"/>
    <x v="41"/>
    <s v="LUIS PINEDO"/>
    <s v="SEGUNDA"/>
    <s v="."/>
    <s v="MIXTO"/>
    <s v="EMBUDO #4"/>
    <s v="EMBUDO #4-ROJO"/>
    <n v="60"/>
    <n v="1"/>
    <n v="15.2"/>
    <x v="0"/>
    <m/>
    <n v="2"/>
    <n v="986"/>
    <n v="20562"/>
    <s v="ROJO"/>
    <n v="0"/>
    <n v="0"/>
    <n v="0"/>
    <n v="7.56"/>
    <n v="15.2"/>
    <n v="126"/>
    <n v="120.63492063492063"/>
    <x v="1"/>
    <x v="0"/>
    <n v="5"/>
    <n v="2"/>
    <n v="10"/>
  </r>
  <r>
    <d v="2025-02-13T22:15:00"/>
    <s v="INYECTADO"/>
    <x v="10"/>
    <x v="41"/>
    <s v="PAUL MILLER"/>
    <s v="VIRGEN"/>
    <s v="PP CLARIFICADO"/>
    <s v="."/>
    <s v="TAPER ALEMAN 550ML PASTEL"/>
    <s v="TAPER 550ML PASTEL-ROSADO"/>
    <n v="60"/>
    <n v="1"/>
    <n v="4.5999999999999996"/>
    <x v="0"/>
    <m/>
    <n v="1"/>
    <n v="986"/>
    <n v="20563"/>
    <s v="ROSADO"/>
    <n v="5.7"/>
    <n v="0"/>
    <n v="0"/>
    <n v="2.2799999999999998"/>
    <n v="4.5999999999999996"/>
    <n v="38"/>
    <n v="121.05263157894737"/>
    <x v="1"/>
    <x v="0"/>
    <n v="5"/>
    <n v="2"/>
    <n v="10"/>
  </r>
  <r>
    <d v="2025-02-13T22:15:00"/>
    <s v="INYECTADO"/>
    <x v="10"/>
    <x v="41"/>
    <s v="PAUL MILLER"/>
    <s v="VIRGEN"/>
    <s v="PP CLARIFICADO"/>
    <s v="."/>
    <s v="TAPER ALEMAN 550ML PASTEL"/>
    <s v="TAPER 550ML PASTEL-CELESTE"/>
    <n v="610"/>
    <n v="5"/>
    <n v="46.8"/>
    <x v="0"/>
    <m/>
    <n v="5"/>
    <n v="986"/>
    <n v="20563"/>
    <s v="CELESTE"/>
    <n v="6.2"/>
    <n v="0"/>
    <n v="0"/>
    <n v="23.18"/>
    <n v="46.8"/>
    <n v="38"/>
    <n v="1231.578947368421"/>
    <x v="1"/>
    <x v="0"/>
    <n v="5"/>
    <n v="2"/>
    <n v="101.66666666666667"/>
  </r>
  <r>
    <d v="2025-02-13T22:15:00"/>
    <s v="INYECTADO"/>
    <x v="10"/>
    <x v="41"/>
    <s v="PAUL MILLER"/>
    <s v="VIRGEN"/>
    <s v="PP CLARIFICADO"/>
    <s v="."/>
    <s v="TAPER ALEMAN 550ML PASTEL"/>
    <s v="TAPER 550ML PASTEL-TURQUESA"/>
    <n v="597"/>
    <n v="5"/>
    <n v="45.8"/>
    <x v="0"/>
    <m/>
    <n v="5"/>
    <n v="986"/>
    <n v="20563"/>
    <s v="TURQUESA"/>
    <n v="10.1"/>
    <n v="0"/>
    <n v="0"/>
    <n v="22.686"/>
    <n v="45.8"/>
    <n v="38"/>
    <n v="1205.2631578947369"/>
    <x v="1"/>
    <x v="0"/>
    <n v="5"/>
    <n v="2"/>
    <n v="99.5"/>
  </r>
  <r>
    <d v="2025-02-13T22:15:00"/>
    <s v="INYECTADO"/>
    <x v="10"/>
    <x v="54"/>
    <s v="DAIMARY LINAREZ"/>
    <s v="VIRGEN"/>
    <s v="PP CLARIFICADO"/>
    <s v="."/>
    <s v="TAPER ALEMAN 550ML PASTEL"/>
    <s v="TAPER 550ML PASTEL-ROSADO"/>
    <n v="467"/>
    <n v="4"/>
    <n v="37.700000000000003"/>
    <x v="0"/>
    <m/>
    <n v="4"/>
    <n v="986"/>
    <n v="20564"/>
    <s v="ROSADO"/>
    <n v="6.2"/>
    <n v="0"/>
    <n v="0"/>
    <n v="17.745999999999999"/>
    <n v="37.700000000000003"/>
    <n v="38"/>
    <n v="992.10526315789468"/>
    <x v="1"/>
    <x v="0"/>
    <n v="5"/>
    <n v="2"/>
    <n v="77.833333333333329"/>
  </r>
  <r>
    <d v="2025-02-13T22:15:00"/>
    <s v="INYECTADO"/>
    <x v="10"/>
    <x v="54"/>
    <s v="DAIMARY LINAREZ"/>
    <s v="VIRGEN"/>
    <s v="PP CLARIFICADO"/>
    <s v="."/>
    <s v="TAPER ALEMAN 550ML PASTEL"/>
    <s v="TAPER 550ML PASTEL-LILA"/>
    <n v="600"/>
    <n v="4"/>
    <n v="48.5"/>
    <x v="0"/>
    <m/>
    <n v="5"/>
    <n v="986"/>
    <n v="20564"/>
    <s v="LILA"/>
    <n v="5.5"/>
    <n v="0"/>
    <n v="0"/>
    <n v="22.8"/>
    <n v="48.5"/>
    <n v="38"/>
    <n v="1276.3157894736842"/>
    <x v="1"/>
    <x v="0"/>
    <n v="5"/>
    <n v="2"/>
    <n v="100"/>
  </r>
  <r>
    <d v="2025-02-13T22:15:00"/>
    <s v="INYECTADO"/>
    <x v="10"/>
    <x v="54"/>
    <s v="SAID VILLAMIZAR"/>
    <s v="VIRGEN"/>
    <s v="PP CLARIFICADO"/>
    <s v="."/>
    <s v="TAPER ALEMAN 550ML PASTEL"/>
    <s v="TAPER 550ML PASTEL-AZURE"/>
    <n v="627"/>
    <n v="4"/>
    <n v="48.1"/>
    <x v="0"/>
    <m/>
    <n v="5"/>
    <n v="986"/>
    <n v="20565"/>
    <s v="AZURE"/>
    <n v="10.5"/>
    <n v="0"/>
    <n v="0"/>
    <n v="23.826000000000001"/>
    <n v="48.1"/>
    <n v="38"/>
    <n v="1265.7894736842106"/>
    <x v="1"/>
    <x v="0"/>
    <n v="5"/>
    <n v="2"/>
    <n v="104.5"/>
  </r>
  <r>
    <d v="2025-02-13T22:15:00"/>
    <s v="INYECTADO"/>
    <x v="10"/>
    <x v="54"/>
    <s v="SAID VILLAMIZAR"/>
    <s v="VIRGEN"/>
    <s v="PP CLARIFICADO"/>
    <s v="."/>
    <s v="TAPER ALEMAN 550ML PASTEL"/>
    <s v="TAPER 550ML PASTEL-SANDIA"/>
    <n v="595"/>
    <n v="5"/>
    <n v="45.6"/>
    <x v="0"/>
    <m/>
    <n v="5"/>
    <n v="986"/>
    <n v="20565"/>
    <s v="SANDIA"/>
    <n v="4"/>
    <n v="0"/>
    <n v="0"/>
    <n v="22.61"/>
    <n v="45.6"/>
    <n v="38"/>
    <n v="1200"/>
    <x v="1"/>
    <x v="0"/>
    <n v="5"/>
    <n v="2"/>
    <n v="99.166666666666671"/>
  </r>
  <r>
    <d v="2025-02-13T22:15:00"/>
    <s v="INYECTADO"/>
    <x v="10"/>
    <x v="42"/>
    <s v="JOSDER GONZALEZ"/>
    <s v="VIRGEN"/>
    <s v="PP CLARIFICADO"/>
    <s v="."/>
    <s v="TAPER ALEMAN 550ML PASTEL"/>
    <s v="TAPER 550ML PASTEL-ROSADO"/>
    <n v="182"/>
    <n v="2"/>
    <n v="13.8"/>
    <x v="1"/>
    <m/>
    <n v="2"/>
    <n v="986"/>
    <n v="20566"/>
    <s v="ROSADO"/>
    <n v="0"/>
    <n v="0"/>
    <n v="0"/>
    <n v="6.9160000000000004"/>
    <n v="13.8"/>
    <n v="38"/>
    <n v="363.15789473684208"/>
    <x v="1"/>
    <x v="0"/>
    <n v="6"/>
    <n v="2"/>
    <n v="30.333333333333332"/>
  </r>
  <r>
    <d v="2025-02-13T22:15:00"/>
    <s v="INYECTADO"/>
    <x v="10"/>
    <x v="35"/>
    <s v="ISABEL LINARIZ "/>
    <s v="VIRGEN"/>
    <s v="PP CLARIFICADO"/>
    <s v="."/>
    <s v="TAPER ALEMAN 550ML PASTEL"/>
    <s v="TAPER 550ML PASTEL-ROSADO"/>
    <n v="59"/>
    <n v="1"/>
    <n v="4.5"/>
    <x v="0"/>
    <m/>
    <n v="1"/>
    <n v="986"/>
    <n v="20567"/>
    <s v="ROSADO"/>
    <n v="1"/>
    <n v="0"/>
    <n v="0"/>
    <n v="2.242"/>
    <n v="4.5"/>
    <n v="38"/>
    <n v="118.42105263157895"/>
    <x v="1"/>
    <x v="0"/>
    <n v="6"/>
    <n v="2"/>
    <n v="9.8333333333333339"/>
  </r>
  <r>
    <d v="2025-02-13T22:15:00"/>
    <s v="INYECTADO"/>
    <x v="10"/>
    <x v="35"/>
    <s v="ISABEL LINARIZ "/>
    <s v="VIRGEN"/>
    <s v="PP CLARIFICADO"/>
    <s v="."/>
    <s v="TAPER ALEMAN 550ML PASTEL"/>
    <s v="TAPER 550ML PASTEL-LILA"/>
    <n v="353"/>
    <n v="3"/>
    <n v="27.1"/>
    <x v="0"/>
    <m/>
    <n v="3"/>
    <n v="986"/>
    <n v="20567"/>
    <s v="LILA"/>
    <n v="11.2"/>
    <n v="0"/>
    <n v="0"/>
    <n v="13.414"/>
    <n v="27.1"/>
    <n v="38"/>
    <n v="713.15789473684208"/>
    <x v="1"/>
    <x v="0"/>
    <n v="6"/>
    <n v="2"/>
    <n v="58.833333333333336"/>
  </r>
  <r>
    <d v="2025-02-13T22:15:00"/>
    <s v="INYECTADO"/>
    <x v="10"/>
    <x v="35"/>
    <s v="ISABEL LINARIZ "/>
    <s v="VIRGEN"/>
    <s v="PP CLARIFICADO"/>
    <s v="."/>
    <s v="TAPER ALEMAN 550ML PASTEL"/>
    <s v="TAPER 550ML CARAMELO-VERDE"/>
    <n v="477"/>
    <n v="3"/>
    <n v="37"/>
    <x v="0"/>
    <m/>
    <n v="4"/>
    <n v="986"/>
    <n v="20567"/>
    <s v="VERDE"/>
    <n v="7.1"/>
    <n v="0"/>
    <n v="0"/>
    <n v="18.126000000000001"/>
    <n v="37"/>
    <n v="38"/>
    <n v="973.68421052631584"/>
    <x v="1"/>
    <x v="0"/>
    <n v="6"/>
    <n v="2"/>
    <n v="79.5"/>
  </r>
  <r>
    <d v="2025-02-13T22:15:00"/>
    <s v="INYECTADO"/>
    <x v="10"/>
    <x v="35"/>
    <s v="ISABEL LINARIZ "/>
    <s v="VIRGEN"/>
    <s v="PP CLARIFICADO"/>
    <s v="."/>
    <s v="TAPER ALEMAN 550ML PASTEL"/>
    <s v="TAPER 550ML CARAMELO-ROJO"/>
    <n v="143"/>
    <n v="2"/>
    <n v="11"/>
    <x v="0"/>
    <m/>
    <n v="1"/>
    <n v="986"/>
    <n v="20567"/>
    <s v="ROJO"/>
    <n v="3.1"/>
    <n v="0"/>
    <n v="0"/>
    <n v="5.4340000000000002"/>
    <n v="11"/>
    <n v="38"/>
    <n v="289.4736842105263"/>
    <x v="1"/>
    <x v="0"/>
    <n v="6"/>
    <n v="2"/>
    <n v="23.833333333333332"/>
  </r>
  <r>
    <d v="2025-02-13T22:15:00"/>
    <s v="INYECTADO"/>
    <x v="10"/>
    <x v="35"/>
    <s v="JOSDER GONZALEZ"/>
    <s v="VIRGEN"/>
    <s v="PP CLARIFICADO"/>
    <s v="."/>
    <s v="TAPER ALEMAN 550ML PASTEL"/>
    <s v="TAPER 550ML PASTEL-TURQUESA"/>
    <n v="624"/>
    <n v="5"/>
    <n v="47.8"/>
    <x v="1"/>
    <m/>
    <n v="6"/>
    <n v="986"/>
    <n v="20568"/>
    <s v="TURQUESA"/>
    <n v="7.2"/>
    <n v="0"/>
    <n v="0"/>
    <n v="23.712"/>
    <n v="47.8"/>
    <n v="38"/>
    <n v="1257.8947368421052"/>
    <x v="1"/>
    <x v="0"/>
    <n v="6"/>
    <n v="2"/>
    <n v="104"/>
  </r>
  <r>
    <d v="2025-02-13T22:15:00"/>
    <s v="INYECTADO"/>
    <x v="10"/>
    <x v="35"/>
    <s v="JOSDER GONZALEZ"/>
    <s v="VIRGEN"/>
    <s v="PP CLARIFICADO"/>
    <s v="."/>
    <s v="TAPER ALEMAN 550ML PASTEL"/>
    <s v="TAPER 550ML PASTEL-CELESTE"/>
    <n v="476"/>
    <n v="3"/>
    <n v="36.5"/>
    <x v="1"/>
    <m/>
    <n v="4"/>
    <n v="986"/>
    <n v="20568"/>
    <s v="CELESTE"/>
    <n v="3.2"/>
    <n v="0"/>
    <n v="0"/>
    <n v="18.088000000000001"/>
    <n v="36.5"/>
    <n v="38"/>
    <n v="960.52631578947364"/>
    <x v="1"/>
    <x v="0"/>
    <n v="6"/>
    <n v="2"/>
    <n v="79.333333333333329"/>
  </r>
  <r>
    <d v="2025-02-13T22:15:00"/>
    <s v="INYECTADO"/>
    <x v="10"/>
    <x v="35"/>
    <s v="JOSDER GONZALEZ"/>
    <s v="VIRGEN"/>
    <s v="PP CLARIFICADO"/>
    <s v="."/>
    <s v="TAPER ALEMAN 550ML PASTEL"/>
    <s v="TAPER 550ML PASTEL-ROSADO"/>
    <n v="189"/>
    <n v="2"/>
    <n v="14.5"/>
    <x v="1"/>
    <m/>
    <n v="2"/>
    <n v="986"/>
    <n v="20568"/>
    <s v="ROSADO"/>
    <n v="5.8"/>
    <n v="0"/>
    <n v="0"/>
    <n v="7.1820000000000004"/>
    <n v="14.5"/>
    <n v="38"/>
    <n v="381.57894736842104"/>
    <x v="1"/>
    <x v="0"/>
    <n v="6"/>
    <n v="2"/>
    <n v="31.5"/>
  </r>
  <r>
    <d v="2025-02-13T22:15:00"/>
    <s v="INYECTADO"/>
    <x v="10"/>
    <x v="35"/>
    <s v="JOSDER GONZALEZ"/>
    <s v="VIRGEN"/>
    <s v="PP CLARIFICADO"/>
    <s v="."/>
    <s v="TAPER ALEMAN 550ML PASTEL"/>
    <s v="TAPER 550ML CARAMELO-ROJO"/>
    <n v="134"/>
    <n v="2"/>
    <n v="10.3"/>
    <x v="1"/>
    <m/>
    <n v="2"/>
    <n v="986"/>
    <n v="20568"/>
    <s v="ROJO"/>
    <n v="5.5"/>
    <n v="0"/>
    <n v="0"/>
    <n v="5.0919999999999996"/>
    <n v="10.3"/>
    <n v="38"/>
    <n v="271.05263157894734"/>
    <x v="1"/>
    <x v="0"/>
    <n v="6"/>
    <n v="2"/>
    <n v="22.333333333333332"/>
  </r>
  <r>
    <d v="2025-02-13T22:15:00"/>
    <s v="INYECTADO"/>
    <x v="10"/>
    <x v="47"/>
    <s v="JUAN CARLOS CEDENO"/>
    <s v="VIRGEN"/>
    <s v="PP CLARIFICADO"/>
    <s v="."/>
    <s v="TAPER ALEMAN 550ML PASTEL"/>
    <s v="TAPER 550ML PASTEL-CELESTE"/>
    <n v="172"/>
    <n v="1"/>
    <n v="13.2"/>
    <x v="0"/>
    <m/>
    <n v="2"/>
    <n v="986"/>
    <n v="20569"/>
    <s v="CELESTE"/>
    <n v="8.3000000000000007"/>
    <n v="0"/>
    <n v="0"/>
    <n v="6.5359999999999996"/>
    <n v="13.2"/>
    <n v="38"/>
    <n v="347.36842105263156"/>
    <x v="1"/>
    <x v="0"/>
    <n v="6"/>
    <n v="2"/>
    <n v="28.666666666666668"/>
  </r>
  <r>
    <d v="2025-02-13T22:15:00"/>
    <s v="INYECTADO"/>
    <x v="10"/>
    <x v="47"/>
    <s v="JUAN CARLOS CEDENO"/>
    <s v="VIRGEN"/>
    <s v="PP CLARIFICADO"/>
    <s v="."/>
    <s v="TAPER ALEMAN 550ML PASTEL"/>
    <s v="TAPER 550ML PASTEL-AZURE"/>
    <n v="614"/>
    <n v="5"/>
    <n v="48.1"/>
    <x v="0"/>
    <m/>
    <n v="5"/>
    <n v="986"/>
    <n v="20569"/>
    <s v="AZURE"/>
    <n v="18.100000000000001"/>
    <n v="0"/>
    <n v="0"/>
    <n v="23.332000000000001"/>
    <n v="48.1"/>
    <n v="38"/>
    <n v="1265.7894736842106"/>
    <x v="1"/>
    <x v="0"/>
    <n v="6"/>
    <n v="2"/>
    <n v="102.33333333333333"/>
  </r>
  <r>
    <d v="2025-02-13T22:15:00"/>
    <s v="INYECTADO"/>
    <x v="10"/>
    <x v="47"/>
    <s v="JUAN CARLOS CEDENO"/>
    <s v="VIRGEN"/>
    <s v="PP CLARIFICADO"/>
    <s v="."/>
    <s v="TAPER ALEMAN 550ML PASTEL"/>
    <s v="TAPER 550ML PASTEL-ROSADO"/>
    <n v="536"/>
    <n v="4"/>
    <n v="42"/>
    <x v="0"/>
    <m/>
    <n v="5"/>
    <n v="986"/>
    <n v="20569"/>
    <s v="ROSADO"/>
    <n v="3.2"/>
    <n v="0"/>
    <n v="0"/>
    <n v="20.367999999999999"/>
    <n v="42"/>
    <n v="38"/>
    <n v="1105.2631578947369"/>
    <x v="1"/>
    <x v="0"/>
    <n v="6"/>
    <n v="2"/>
    <n v="89.333333333333329"/>
  </r>
  <r>
    <d v="2025-02-13T22:15:00"/>
    <s v="INYECTADO"/>
    <x v="10"/>
    <x v="47"/>
    <s v="FABIAN HERNANDEZ"/>
    <s v="VIRGEN"/>
    <s v="PP CLARIFICADO"/>
    <s v="."/>
    <s v="TAPER ALEMAN 550ML PASTEL"/>
    <s v="TAPER 550ML PASTEL-ROSADO"/>
    <n v="721"/>
    <n v="5"/>
    <n v="55.3"/>
    <x v="1"/>
    <m/>
    <n v="5"/>
    <n v="986"/>
    <n v="20570"/>
    <s v="ROSADO"/>
    <n v="2.5"/>
    <n v="0"/>
    <n v="0"/>
    <n v="27.398"/>
    <n v="55.3"/>
    <n v="38"/>
    <n v="1455.2631578947369"/>
    <x v="1"/>
    <x v="0"/>
    <n v="6"/>
    <n v="2"/>
    <n v="120.16666666666667"/>
  </r>
  <r>
    <d v="2025-02-13T22:15:00"/>
    <s v="INYECTADO"/>
    <x v="10"/>
    <x v="47"/>
    <s v="FABIAN HERNANDEZ"/>
    <s v="VIRGEN"/>
    <s v="PP CLARIFICADO"/>
    <s v="."/>
    <s v="TAPER ALEMAN 550ML PASTEL"/>
    <s v="TAPER 550ML PASTEL-SANDIA"/>
    <n v="467"/>
    <n v="4"/>
    <n v="35.299999999999997"/>
    <x v="1"/>
    <m/>
    <n v="3"/>
    <n v="986"/>
    <n v="20570"/>
    <s v="SANDIA"/>
    <n v="2"/>
    <n v="0"/>
    <n v="0"/>
    <n v="17.745999999999999"/>
    <n v="35.299999999999997"/>
    <n v="38"/>
    <n v="928.9473684210526"/>
    <x v="1"/>
    <x v="0"/>
    <n v="6"/>
    <n v="2"/>
    <n v="77.833333333333329"/>
  </r>
  <r>
    <d v="2025-02-13T22:15:00"/>
    <s v="INYECTADO"/>
    <x v="10"/>
    <x v="47"/>
    <s v="FABIAN HERNANDEZ"/>
    <s v="VIRGEN"/>
    <s v="PP CLARIFICADO"/>
    <s v="."/>
    <s v="TAPER ALEMAN 550ML CARAMELO"/>
    <s v="TAPER 550ML CARAMELO-LILA"/>
    <n v="309"/>
    <n v="2"/>
    <n v="23.7"/>
    <x v="1"/>
    <m/>
    <n v="3"/>
    <n v="986"/>
    <n v="20570"/>
    <s v="LILA"/>
    <n v="3"/>
    <n v="0"/>
    <n v="0"/>
    <n v="11.742000000000001"/>
    <n v="23.7"/>
    <n v="38"/>
    <n v="623.68421052631584"/>
    <x v="1"/>
    <x v="0"/>
    <n v="6"/>
    <n v="2"/>
    <n v="51.5"/>
  </r>
  <r>
    <d v="2025-02-13T22:15:00"/>
    <s v="INYECTADO"/>
    <x v="10"/>
    <x v="48"/>
    <s v="PAUL MILLER"/>
    <s v="VIRGEN"/>
    <s v="PP CLARIFICADO"/>
    <s v="."/>
    <s v="TAPER ALEMAN 550ML PASTEL"/>
    <s v="TAPER 550ML PASTEL-LILA"/>
    <n v="1117"/>
    <n v="10"/>
    <n v="84.7"/>
    <x v="0"/>
    <m/>
    <n v="10"/>
    <n v="986"/>
    <n v="20570"/>
    <s v="ROJO"/>
    <n v="14.6"/>
    <n v="0"/>
    <n v="0"/>
    <n v="42.445999999999998"/>
    <n v="84.7"/>
    <n v="38"/>
    <n v="2228.9473684210525"/>
    <x v="1"/>
    <x v="0"/>
    <n v="6"/>
    <n v="2"/>
    <n v="186.16666666666666"/>
  </r>
  <r>
    <d v="2025-02-13T22:15:00"/>
    <s v="INYECTADO"/>
    <x v="10"/>
    <x v="48"/>
    <s v="PAUL MILLER"/>
    <s v="VIRGEN"/>
    <s v="PP CLARIFICADO"/>
    <s v="."/>
    <s v="TAPER ALEMAN 550ML PASTEL"/>
    <s v="TAPER 550ML PASTEL-SANDIA"/>
    <n v="139"/>
    <n v="1"/>
    <n v="10.6"/>
    <x v="0"/>
    <m/>
    <n v="2"/>
    <n v="986"/>
    <n v="20570"/>
    <s v="LILA"/>
    <n v="5.6"/>
    <n v="0"/>
    <n v="0"/>
    <n v="5.282"/>
    <n v="10.6"/>
    <n v="38"/>
    <n v="278.94736842105266"/>
    <x v="1"/>
    <x v="0"/>
    <n v="6"/>
    <n v="2"/>
    <n v="23.166666666666668"/>
  </r>
  <r>
    <d v="2025-02-13T22:15:00"/>
    <s v="INYECTADO"/>
    <x v="10"/>
    <x v="48"/>
    <s v="FABIAN HERNANDEZ"/>
    <s v="VIRGEN"/>
    <s v="PP CLARIFICADO"/>
    <s v="."/>
    <s v="TAPER ALEMAN 550ML PASTEL"/>
    <s v="TAPER 550ML PASTEL-LILA"/>
    <n v="196"/>
    <n v="1"/>
    <n v="14.9"/>
    <x v="1"/>
    <m/>
    <n v="2"/>
    <n v="986"/>
    <n v="20572"/>
    <s v="LILA"/>
    <n v="8.3000000000000007"/>
    <n v="0"/>
    <n v="0"/>
    <n v="7.4480000000000004"/>
    <n v="14.9"/>
    <n v="38"/>
    <n v="392.10526315789474"/>
    <x v="1"/>
    <x v="0"/>
    <n v="6"/>
    <n v="2"/>
    <n v="32.666666666666664"/>
  </r>
  <r>
    <d v="2025-02-13T22:15:00"/>
    <s v="INYECTADO"/>
    <x v="10"/>
    <x v="48"/>
    <s v="FABIAN HERNANDEZ"/>
    <s v="VIRGEN"/>
    <s v="PP CLARIFICADO"/>
    <s v="."/>
    <s v="TAPER ALEMAN 550ML PASTEL"/>
    <s v="TAPER 550ML PASTEL-CELESTE"/>
    <n v="671"/>
    <n v="5"/>
    <n v="50.9"/>
    <x v="1"/>
    <m/>
    <n v="6"/>
    <n v="986"/>
    <n v="20572"/>
    <s v="CELESTE"/>
    <n v="6"/>
    <n v="0"/>
    <n v="0"/>
    <n v="25.498000000000001"/>
    <n v="50.9"/>
    <n v="38"/>
    <n v="1339.4736842105262"/>
    <x v="1"/>
    <x v="0"/>
    <n v="6"/>
    <n v="2"/>
    <n v="111.83333333333333"/>
  </r>
  <r>
    <d v="2025-02-13T22:15:00"/>
    <s v="INYECTADO"/>
    <x v="10"/>
    <x v="48"/>
    <s v="FABIAN HERNANDEZ"/>
    <s v="VIRGEN"/>
    <s v="PP CLARIFICADO"/>
    <s v="."/>
    <s v="TAPER ALEMAN 550ML PASTEL"/>
    <s v="TAPER 550ML PASTEL-TURQUESA"/>
    <n v="633"/>
    <n v="5"/>
    <n v="48"/>
    <x v="1"/>
    <m/>
    <n v="6"/>
    <n v="986"/>
    <n v="20572"/>
    <s v="TURQUESA"/>
    <n v="4.2"/>
    <n v="0"/>
    <n v="0"/>
    <n v="24.053999999999998"/>
    <n v="48"/>
    <n v="38"/>
    <n v="1263.1578947368421"/>
    <x v="1"/>
    <x v="0"/>
    <n v="6"/>
    <n v="2"/>
    <n v="105.5"/>
  </r>
  <r>
    <d v="2025-02-13T22:15:00"/>
    <s v="INYECTADO"/>
    <x v="10"/>
    <x v="48"/>
    <s v="FABIAN HERNANDEZ"/>
    <s v="VIRGEN"/>
    <s v="PP CLARIFICADO"/>
    <s v="."/>
    <s v="TAPER ALEMAN 550ML PASTEL"/>
    <s v="TAPER 550ML PASTEL-AZURE"/>
    <n v="60"/>
    <n v="1"/>
    <n v="4.5"/>
    <x v="1"/>
    <m/>
    <n v="0"/>
    <n v="986"/>
    <n v="20572"/>
    <s v="AZURE"/>
    <n v="2.2999999999999998"/>
    <n v="0"/>
    <n v="0"/>
    <n v="2.2799999999999998"/>
    <n v="4.5"/>
    <n v="38"/>
    <n v="118.42105263157895"/>
    <x v="1"/>
    <x v="0"/>
    <n v="6"/>
    <n v="2"/>
    <n v="10"/>
  </r>
  <r>
    <d v="2025-02-13T22:15:00"/>
    <s v="INYECTADO"/>
    <x v="10"/>
    <x v="49"/>
    <s v="ISABEL LINARIZ "/>
    <s v="VIRGEN"/>
    <s v="PP CLARIFICADO"/>
    <s v="."/>
    <s v="TAPER ALEMAN 550ML PASTEL"/>
    <s v="TAPER 550ML PASTEL-AZURE"/>
    <n v="600"/>
    <n v="6"/>
    <n v="45.5"/>
    <x v="0"/>
    <m/>
    <n v="5"/>
    <n v="986"/>
    <n v="20573"/>
    <s v="AZURE"/>
    <n v="14.5"/>
    <n v="0"/>
    <n v="0"/>
    <n v="22.8"/>
    <n v="45.5"/>
    <n v="38"/>
    <n v="1197.3684210526317"/>
    <x v="1"/>
    <x v="0"/>
    <n v="6"/>
    <n v="2"/>
    <n v="100"/>
  </r>
  <r>
    <d v="2025-02-13T22:15:00"/>
    <s v="INYECTADO"/>
    <x v="10"/>
    <x v="49"/>
    <s v="ISABEL LINARIZ "/>
    <s v="VIRGEN"/>
    <s v="PP CLARIFICADO"/>
    <s v="."/>
    <s v="TAPER ALEMAN 550ML CARAMELO"/>
    <s v="TAPER 550ML CARAMELO-AMARILLO"/>
    <n v="413"/>
    <n v="4"/>
    <n v="31.4"/>
    <x v="0"/>
    <m/>
    <n v="4"/>
    <n v="986"/>
    <n v="20573"/>
    <s v="AMARILLO"/>
    <n v="7.6"/>
    <n v="0"/>
    <n v="0"/>
    <n v="15.694000000000001"/>
    <n v="31.4"/>
    <n v="38"/>
    <n v="826.31578947368416"/>
    <x v="1"/>
    <x v="0"/>
    <n v="6"/>
    <n v="2"/>
    <n v="68.833333333333329"/>
  </r>
  <r>
    <d v="2025-02-13T22:15:00"/>
    <s v="INYECTADO"/>
    <x v="10"/>
    <x v="49"/>
    <s v="ISABEL LINARIZ "/>
    <s v="VIRGEN"/>
    <s v="PP CLARIFICADO"/>
    <s v="."/>
    <s v="TAPER ALEMAN 550ML PASTEL"/>
    <s v="TAPER 550ML PASTEL-SANDIA"/>
    <n v="365"/>
    <n v="3"/>
    <n v="25.5"/>
    <x v="0"/>
    <m/>
    <n v="3"/>
    <n v="986"/>
    <n v="20573"/>
    <s v="SANDIA"/>
    <n v="2.8"/>
    <n v="0"/>
    <n v="0"/>
    <n v="13.87"/>
    <n v="25.5"/>
    <n v="38"/>
    <n v="671.0526315789474"/>
    <x v="1"/>
    <x v="0"/>
    <n v="6"/>
    <n v="2"/>
    <n v="60.833333333333336"/>
  </r>
  <r>
    <d v="2025-02-13T22:15:00"/>
    <s v="INYECTADO"/>
    <x v="10"/>
    <x v="49"/>
    <s v="JUAN MANUEL PEREZ"/>
    <s v="VIRGEN"/>
    <s v="PP CLARIFICADO"/>
    <s v="."/>
    <s v="TAPER ALEMAN 550ML PASTEL"/>
    <s v="TAPER 550ML PASTEL-SANDIA"/>
    <n v="784"/>
    <n v="8"/>
    <n v="59.5"/>
    <x v="1"/>
    <m/>
    <n v="7"/>
    <n v="986"/>
    <n v="20574"/>
    <s v="SANDIA"/>
    <n v="6.1"/>
    <n v="0"/>
    <n v="0"/>
    <n v="29.792000000000002"/>
    <n v="59.5"/>
    <n v="38"/>
    <n v="1565.7894736842106"/>
    <x v="1"/>
    <x v="0"/>
    <n v="6"/>
    <n v="2"/>
    <n v="130.66666666666666"/>
  </r>
  <r>
    <d v="2025-02-13T22:15:00"/>
    <s v="INYECTADO"/>
    <x v="10"/>
    <x v="49"/>
    <s v="JUAN MANUEL PEREZ"/>
    <s v="VIRGEN"/>
    <s v="PP CLARIFICADO"/>
    <s v="."/>
    <s v="TAPER ALEMAN 550ML CARAMELO"/>
    <s v="TAPER 550ML CARAMELO-FUCSIA"/>
    <n v="246"/>
    <n v="3"/>
    <n v="18.7"/>
    <x v="1"/>
    <m/>
    <n v="3"/>
    <n v="986"/>
    <n v="20574"/>
    <s v="FUCSIA"/>
    <n v="3"/>
    <n v="0"/>
    <n v="0"/>
    <n v="9.3480000000000008"/>
    <n v="18.7"/>
    <n v="38"/>
    <n v="492.10526315789474"/>
    <x v="1"/>
    <x v="0"/>
    <n v="6"/>
    <n v="2"/>
    <n v="41"/>
  </r>
  <r>
    <d v="2025-02-13T22:15:00"/>
    <s v="INYECTADO"/>
    <x v="10"/>
    <x v="50"/>
    <s v="JUAN CARLOS CEDENO"/>
    <s v="VIRGEN"/>
    <s v="PP CLARIFICADO"/>
    <s v="."/>
    <s v="TAPER ALEMAN 550ML CARAMELO"/>
    <s v="TAPER 550ML CARAMELO-FUCSIA"/>
    <n v="333"/>
    <n v="2"/>
    <n v="25.3"/>
    <x v="0"/>
    <m/>
    <n v="3"/>
    <n v="986"/>
    <n v="20575"/>
    <s v="FUCSIA"/>
    <n v="0"/>
    <n v="0"/>
    <n v="0"/>
    <n v="12.654"/>
    <n v="25.3"/>
    <n v="38"/>
    <n v="665.78947368421052"/>
    <x v="1"/>
    <x v="0"/>
    <n v="6"/>
    <n v="2"/>
    <n v="55.5"/>
  </r>
  <r>
    <d v="2025-02-13T22:15:00"/>
    <s v="INYECTADO"/>
    <x v="10"/>
    <x v="50"/>
    <s v="JUAN CARLOS CEDENO"/>
    <s v="VIRGEN"/>
    <s v="PP CLARIFICADO"/>
    <s v="."/>
    <s v="TAPER ALEMAN 550ML CARAMELO"/>
    <s v="TAPER 550ML CARAMELO-LILA"/>
    <n v="402"/>
    <n v="4"/>
    <n v="30.5"/>
    <x v="0"/>
    <m/>
    <n v="4"/>
    <n v="986"/>
    <n v="20575"/>
    <s v="LILA"/>
    <n v="0"/>
    <n v="0"/>
    <n v="0"/>
    <n v="15.276"/>
    <n v="30.5"/>
    <n v="38"/>
    <n v="802.63157894736844"/>
    <x v="1"/>
    <x v="0"/>
    <n v="6"/>
    <n v="2"/>
    <n v="67"/>
  </r>
  <r>
    <d v="2025-02-13T22:15:00"/>
    <s v="INYECTADO"/>
    <x v="10"/>
    <x v="50"/>
    <s v="FABIAN HERNANDEZ"/>
    <s v="VIRGEN"/>
    <s v="PP CLARIFICADO"/>
    <s v="."/>
    <s v="TAPER ALEMAN 550ML CARAMELO"/>
    <s v="TAPER 550ML CARAMELO-VERDE"/>
    <n v="476"/>
    <n v="4"/>
    <n v="36.9"/>
    <x v="1"/>
    <m/>
    <n v="4"/>
    <n v="986"/>
    <n v="20576"/>
    <s v="VERDE"/>
    <n v="6.2"/>
    <n v="0"/>
    <n v="0"/>
    <n v="18.088000000000001"/>
    <n v="36.9"/>
    <n v="38"/>
    <n v="971.0526315789474"/>
    <x v="1"/>
    <x v="0"/>
    <n v="6"/>
    <n v="2"/>
    <n v="79.333333333333329"/>
  </r>
  <r>
    <d v="2025-02-13T22:15:00"/>
    <s v="INYECTADO"/>
    <x v="10"/>
    <x v="50"/>
    <s v="FABIAN HERNANDEZ"/>
    <s v="VIRGEN"/>
    <s v="PP CLARIFICADO"/>
    <s v="."/>
    <s v="TAPER ALEMAN 550ML CARAMELO"/>
    <s v="TAPER 550ML CARAMELO-AMARILLO"/>
    <n v="641"/>
    <n v="4"/>
    <n v="49.7"/>
    <x v="1"/>
    <m/>
    <n v="6"/>
    <n v="986"/>
    <n v="20576"/>
    <s v="AMARILLO"/>
    <n v="3.3"/>
    <n v="0"/>
    <n v="0"/>
    <n v="24.358000000000001"/>
    <n v="49.7"/>
    <n v="38"/>
    <n v="1307.8947368421052"/>
    <x v="1"/>
    <x v="0"/>
    <n v="6"/>
    <n v="2"/>
    <n v="106.83333333333333"/>
  </r>
  <r>
    <d v="2025-02-13T22:15:00"/>
    <s v="INYECTADO"/>
    <x v="10"/>
    <x v="50"/>
    <s v="FABIAN HERNANDEZ"/>
    <s v="VIRGEN"/>
    <s v="PP CLARIFICADO"/>
    <s v="."/>
    <s v="TAPER ALEMAN 550ML CARAMELO"/>
    <s v="TAPER 550ML CARAMELO-LILA"/>
    <n v="309"/>
    <n v="2"/>
    <n v="24"/>
    <x v="1"/>
    <m/>
    <n v="3"/>
    <n v="986"/>
    <n v="20576"/>
    <s v="LILA"/>
    <n v="3.6"/>
    <n v="0"/>
    <n v="0"/>
    <n v="11.742000000000001"/>
    <n v="24"/>
    <n v="38"/>
    <n v="631.57894736842104"/>
    <x v="1"/>
    <x v="0"/>
    <n v="6"/>
    <n v="2"/>
    <n v="51.5"/>
  </r>
  <r>
    <d v="2025-02-13T22:15:00"/>
    <s v="INYECTADO"/>
    <x v="10"/>
    <x v="30"/>
    <s v="GABRIEL REQUENA"/>
    <s v="VIRGEN"/>
    <s v="PP CLARIFICADO"/>
    <s v="."/>
    <s v="TAPER ALEMAN 550ML CARAMELO"/>
    <s v="TAPER 550ML CARAMELO-AZUL"/>
    <n v="601"/>
    <n v="5"/>
    <n v="45.1"/>
    <x v="0"/>
    <m/>
    <n v="5"/>
    <n v="986"/>
    <n v="20577"/>
    <s v="AZUL"/>
    <n v="0"/>
    <n v="0"/>
    <n v="0"/>
    <n v="22.838000000000001"/>
    <n v="45.1"/>
    <n v="38"/>
    <n v="1186.8421052631579"/>
    <x v="1"/>
    <x v="0"/>
    <n v="7"/>
    <n v="2"/>
    <n v="100.16666666666667"/>
  </r>
  <r>
    <d v="2025-02-13T22:15:00"/>
    <s v="INYECTADO"/>
    <x v="10"/>
    <x v="31"/>
    <s v="JOSDER GONZALEZ"/>
    <s v="VIRGEN"/>
    <s v="PP CLARIFICADO"/>
    <s v="."/>
    <s v="ORGANIZADOR DE 15KG"/>
    <s v="BASE ORGANIZADOR DE 15KG-TRANSPARENTE"/>
    <n v="867"/>
    <n v="12"/>
    <n v="450.8"/>
    <x v="1"/>
    <m/>
    <n v="71"/>
    <m/>
    <n v="20578"/>
    <s v="TRANSPARENTE"/>
    <n v="0"/>
    <n v="0"/>
    <n v="0"/>
    <n v="450.84"/>
    <n v="450.8"/>
    <n v="520"/>
    <n v="866.92307692307691"/>
    <x v="1"/>
    <x v="0"/>
    <n v="7"/>
    <n v="1"/>
    <n v="72.25"/>
  </r>
  <r>
    <d v="2025-02-13T22:15:00"/>
    <s v="INYECTADO"/>
    <x v="10"/>
    <x v="36"/>
    <s v="JUAN CARLOS CEDENO"/>
    <s v="VIRGEN"/>
    <s v="PP CLARIFICADO"/>
    <s v="."/>
    <s v="ORGANIZADOR DE 15KG"/>
    <s v="BASE ORGANIZADOR DE 15KG-TRANSPARENTE"/>
    <n v="800"/>
    <n v="9"/>
    <n v="416.8"/>
    <x v="0"/>
    <m/>
    <n v="67"/>
    <m/>
    <n v="20579"/>
    <s v="TRANSPARENTE"/>
    <n v="0"/>
    <n v="0"/>
    <n v="0"/>
    <n v="416"/>
    <n v="416.8"/>
    <n v="520"/>
    <n v="801.53846153846155"/>
    <x v="1"/>
    <x v="0"/>
    <n v="7"/>
    <n v="1"/>
    <n v="66.666666666666671"/>
  </r>
  <r>
    <d v="2025-02-13T22:15:00"/>
    <s v="INYECTADO"/>
    <x v="10"/>
    <x v="37"/>
    <s v="LUIS RENGIFO"/>
    <s v="VIRGEN"/>
    <s v="PP CLARIFICADO"/>
    <s v="."/>
    <s v="ORGANIZADOR DE 15KG"/>
    <s v="BASE ORGANIZADOR DE 15KG-TRANSPARENTE"/>
    <n v="132"/>
    <n v="2"/>
    <n v="68.2"/>
    <x v="0"/>
    <m/>
    <n v="5"/>
    <n v="1007"/>
    <n v="20581"/>
    <s v="TRANSPARENTE"/>
    <n v="3.2"/>
    <n v="0"/>
    <n v="0"/>
    <n v="68.64"/>
    <n v="68.2"/>
    <n v="520"/>
    <n v="131.15384615384616"/>
    <x v="1"/>
    <x v="0"/>
    <n v="7"/>
    <n v="1"/>
    <n v="11"/>
  </r>
  <r>
    <d v="2025-02-13T22:15:00"/>
    <s v="INYECTADO"/>
    <x v="10"/>
    <x v="37"/>
    <s v="LUIS RENGIFO"/>
    <s v="VIRGEN"/>
    <s v="PP CLARIFICADO"/>
    <s v="."/>
    <s v="BASE PORTA VAJILLA"/>
    <s v="BASE PORTA VAJILLA-TRANSPARENTE"/>
    <n v="263"/>
    <n v="2"/>
    <n v="104"/>
    <x v="0"/>
    <m/>
    <n v="4"/>
    <n v="1007"/>
    <n v="20581"/>
    <s v="TRANSPARENTE"/>
    <n v="12.5"/>
    <n v="0"/>
    <n v="0"/>
    <n v="98.888000000000005"/>
    <n v="104"/>
    <n v="376"/>
    <n v="276.59574468085106"/>
    <x v="1"/>
    <x v="0"/>
    <n v="7"/>
    <n v="1"/>
    <n v="21.916666666666668"/>
  </r>
  <r>
    <d v="2025-02-13T22:15:00"/>
    <s v="INYECTADO"/>
    <x v="10"/>
    <x v="37"/>
    <s v="FABIAN HERNANDEZ"/>
    <s v="VIRGEN"/>
    <s v="PP CLARIFICADO"/>
    <s v="."/>
    <s v="BASE PORTA VAJILLA"/>
    <s v="BASE PORTA VAJILLA-TRANSPARENTE"/>
    <n v="894"/>
    <n v="12"/>
    <n v="354.9"/>
    <x v="1"/>
    <m/>
    <n v="29"/>
    <n v="1007"/>
    <n v="20583"/>
    <s v="TRANSPARENTE"/>
    <n v="55"/>
    <n v="0"/>
    <n v="0"/>
    <n v="336.14400000000001"/>
    <n v="354.9"/>
    <n v="376"/>
    <n v="943.88297872340422"/>
    <x v="1"/>
    <x v="0"/>
    <n v="7"/>
    <n v="1"/>
    <n v="74.5"/>
  </r>
  <r>
    <d v="2025-02-13T22:15:00"/>
    <s v="INYECTADO"/>
    <x v="10"/>
    <x v="33"/>
    <s v="LEYDI VALLEZ"/>
    <s v="VIRGEN"/>
    <s v="PP CLARIFICADO"/>
    <s v="."/>
    <s v="BASE PORTA VAJILLA"/>
    <s v="BASE PORTA VAJILLA-TRANSPARENTE"/>
    <n v="690"/>
    <n v="10"/>
    <n v="268"/>
    <x v="0"/>
    <m/>
    <n v="23"/>
    <n v="1007"/>
    <n v="20584"/>
    <s v="TRANSPARENTE"/>
    <n v="268"/>
    <n v="0"/>
    <n v="0"/>
    <n v="259.44"/>
    <n v="268"/>
    <n v="376"/>
    <n v="712.76595744680856"/>
    <x v="1"/>
    <x v="0"/>
    <n v="7"/>
    <n v="1"/>
    <n v="57.5"/>
  </r>
  <r>
    <d v="2025-02-13T22:15:00"/>
    <s v="INYECTADO"/>
    <x v="10"/>
    <x v="34"/>
    <s v="GABRIEL REQUENA"/>
    <s v="SEGUNDA"/>
    <s v="."/>
    <s v="MIXTO"/>
    <s v="EMBUDO #3"/>
    <s v="EMBUDO #3-AMARILLO"/>
    <n v="381"/>
    <n v="2"/>
    <n v="78.599999999999994"/>
    <x v="0"/>
    <m/>
    <n v="4"/>
    <n v="1013"/>
    <n v="20585"/>
    <s v="AMARILLO"/>
    <n v="13.4"/>
    <n v="0"/>
    <n v="0"/>
    <n v="19.812000000000001"/>
    <n v="78.599999999999994"/>
    <n v="52"/>
    <n v="1511.5384615384614"/>
    <x v="1"/>
    <x v="0"/>
    <n v="8"/>
    <n v="4"/>
    <n v="127"/>
  </r>
  <r>
    <d v="2025-02-13T22:15:00"/>
    <s v="INYECTADO"/>
    <x v="10"/>
    <x v="34"/>
    <s v="GABRIEL REQUENA"/>
    <s v="SEGUNDA"/>
    <s v="."/>
    <s v="MIXTO"/>
    <s v="EMBUDO #3"/>
    <s v="EMBUDO #3-AZUL"/>
    <n v="410"/>
    <n v="2"/>
    <n v="84.6"/>
    <x v="0"/>
    <m/>
    <n v="4"/>
    <n v="1013"/>
    <n v="20585"/>
    <s v="AZUL"/>
    <n v="0"/>
    <n v="0"/>
    <n v="0"/>
    <n v="21.32"/>
    <n v="84.6"/>
    <n v="52"/>
    <n v="1626.9230769230769"/>
    <x v="1"/>
    <x v="0"/>
    <n v="8"/>
    <n v="4"/>
    <n v="136.66666666666666"/>
  </r>
  <r>
    <d v="2025-02-13T22:15:00"/>
    <s v="INYECTADO"/>
    <x v="10"/>
    <x v="34"/>
    <s v="GABRIEL REQUENA"/>
    <s v="SEGUNDA"/>
    <s v="."/>
    <s v="MIXTO"/>
    <s v="EMBUDO #3"/>
    <s v="EMBUDO #3-FUCSIA"/>
    <n v="121"/>
    <n v="1"/>
    <n v="25.1"/>
    <x v="0"/>
    <m/>
    <n v="1"/>
    <n v="1013"/>
    <n v="20585"/>
    <s v="FUCSIA"/>
    <n v="0"/>
    <n v="0"/>
    <n v="0"/>
    <n v="6.2919999999999998"/>
    <n v="25.1"/>
    <n v="52"/>
    <n v="482.69230769230768"/>
    <x v="1"/>
    <x v="0"/>
    <n v="8"/>
    <n v="4"/>
    <n v="40.333333333333336"/>
  </r>
  <r>
    <d v="2025-02-13T22:15:00"/>
    <s v="INYECTADO"/>
    <x v="10"/>
    <x v="34"/>
    <s v="JUAN MANUEL PEREZ"/>
    <s v="SEGUNDA"/>
    <s v="."/>
    <s v="MIXTO"/>
    <s v="EMBUDO #3"/>
    <s v="EMBUDO #3-AZUL"/>
    <n v="417"/>
    <n v="7"/>
    <n v="85.9"/>
    <x v="1"/>
    <m/>
    <n v="5"/>
    <n v="1013"/>
    <n v="20586"/>
    <s v="AZUL"/>
    <n v="12"/>
    <n v="0"/>
    <n v="0"/>
    <n v="21.684000000000001"/>
    <n v="85.9"/>
    <n v="52"/>
    <n v="1651.9230769230769"/>
    <x v="1"/>
    <x v="0"/>
    <n v="8"/>
    <n v="4"/>
    <n v="139"/>
  </r>
  <r>
    <d v="2025-02-13T22:15:00"/>
    <s v="INYECTADO"/>
    <x v="10"/>
    <x v="34"/>
    <s v="JUAN MANUEL PEREZ"/>
    <s v="SEGUNDA"/>
    <s v="."/>
    <s v="MIXTO"/>
    <s v="EMBUDO #3"/>
    <s v="EMBUDO #3-FUCSIA"/>
    <n v="170"/>
    <n v="4"/>
    <n v="35"/>
    <x v="1"/>
    <m/>
    <n v="3"/>
    <n v="1013"/>
    <n v="20586"/>
    <s v="FUCSIA"/>
    <n v="2"/>
    <n v="0"/>
    <n v="0"/>
    <n v="8.84"/>
    <n v="35"/>
    <n v="52"/>
    <n v="673.07692307692309"/>
    <x v="1"/>
    <x v="0"/>
    <n v="8"/>
    <n v="4"/>
    <n v="56.666666666666664"/>
  </r>
  <r>
    <d v="2025-02-13T22:15:00"/>
    <s v="INYECTADO"/>
    <x v="10"/>
    <x v="43"/>
    <s v="JOSDER GONZALEZ"/>
    <s v="SEGUNDA"/>
    <s v="."/>
    <s v="MIXTO"/>
    <s v="EMBUDO #3"/>
    <s v="EMBUDO #3-FUCSIA"/>
    <n v="308"/>
    <n v="4"/>
    <n v="62.4"/>
    <x v="0"/>
    <m/>
    <n v="3"/>
    <n v="1013"/>
    <n v="20587"/>
    <s v="FUCSIA"/>
    <n v="62.4"/>
    <n v="0"/>
    <n v="0"/>
    <n v="16.015999999999998"/>
    <n v="62.4"/>
    <n v="52"/>
    <n v="1200"/>
    <x v="1"/>
    <x v="0"/>
    <n v="8"/>
    <n v="4"/>
    <n v="102.66666666666667"/>
  </r>
  <r>
    <d v="2025-02-13T22:15:00"/>
    <s v="INYECTADO"/>
    <x v="10"/>
    <x v="43"/>
    <s v="JOSDER GONZALEZ"/>
    <s v="SEGUNDA"/>
    <s v="."/>
    <s v="MIXTO"/>
    <s v="EMBUDO #3"/>
    <s v="EMBUDO #3-VERDE"/>
    <n v="450"/>
    <n v="7"/>
    <n v="90.9"/>
    <x v="0"/>
    <m/>
    <n v="5"/>
    <n v="1013"/>
    <n v="20587"/>
    <s v="TURQUESA"/>
    <n v="90.9"/>
    <n v="0"/>
    <n v="0"/>
    <n v="23.4"/>
    <n v="90.9"/>
    <n v="52"/>
    <n v="1748.0769230769231"/>
    <x v="1"/>
    <x v="0"/>
    <n v="8"/>
    <n v="4"/>
    <n v="150"/>
  </r>
  <r>
    <d v="2025-02-13T22:15:00"/>
    <s v="INYECTADO"/>
    <x v="10"/>
    <x v="43"/>
    <s v="FABIAN HERNANDEZ"/>
    <s v="SEGUNDA"/>
    <s v="."/>
    <s v="MIXTO"/>
    <s v="EMBUDO #3"/>
    <s v="EMBUDO #3-VERDE"/>
    <n v="460"/>
    <n v="5"/>
    <n v="93.1"/>
    <x v="1"/>
    <m/>
    <n v="5"/>
    <n v="1013"/>
    <n v="20588"/>
    <s v="VERDE"/>
    <n v="3.1"/>
    <n v="0"/>
    <n v="0"/>
    <n v="23.92"/>
    <n v="93.1"/>
    <n v="52"/>
    <n v="1790.3846153846155"/>
    <x v="1"/>
    <x v="0"/>
    <n v="8"/>
    <n v="4"/>
    <n v="153.33333333333334"/>
  </r>
  <r>
    <d v="2025-02-13T22:15:00"/>
    <s v="INYECTADO"/>
    <x v="10"/>
    <x v="43"/>
    <s v="FABIAN HERNANDEZ"/>
    <s v="SEGUNDA"/>
    <s v="."/>
    <s v="MIXTO"/>
    <s v="EMBUDO #3"/>
    <s v="EMBUDO #3-ANARANJADO"/>
    <n v="419"/>
    <n v="5"/>
    <n v="84.7"/>
    <x v="1"/>
    <m/>
    <n v="5"/>
    <n v="1013"/>
    <n v="20588"/>
    <s v="NARANJA"/>
    <n v="9.5"/>
    <n v="0"/>
    <n v="0"/>
    <n v="21.788"/>
    <n v="84.7"/>
    <n v="52"/>
    <n v="1628.8461538461538"/>
    <x v="1"/>
    <x v="0"/>
    <n v="8"/>
    <n v="4"/>
    <n v="139.66666666666666"/>
  </r>
  <r>
    <d v="2025-02-13T22:15:00"/>
    <s v="INYECTADO"/>
    <x v="10"/>
    <x v="44"/>
    <s v="LUIS PINEDO"/>
    <s v="SEGUNDA"/>
    <s v="."/>
    <s v="MIXTO"/>
    <s v="EMBUDO #3"/>
    <s v="EMBUDO #3-AMARILLO"/>
    <n v="168"/>
    <n v="3"/>
    <n v="35.299999999999997"/>
    <x v="0"/>
    <m/>
    <n v="4"/>
    <n v="1013"/>
    <n v="20589"/>
    <s v="AMARILLO"/>
    <n v="5.2"/>
    <n v="0"/>
    <n v="0"/>
    <n v="8.7360000000000007"/>
    <n v="35.299999999999997"/>
    <n v="52"/>
    <n v="678.84615384615381"/>
    <x v="1"/>
    <x v="0"/>
    <n v="8"/>
    <n v="4"/>
    <n v="56"/>
  </r>
  <r>
    <d v="2025-02-13T22:15:00"/>
    <s v="INYECTADO"/>
    <x v="10"/>
    <x v="44"/>
    <s v="LUIS PINEDO"/>
    <s v="SEGUNDA"/>
    <s v="."/>
    <s v="MIXTO"/>
    <s v="EMBUDO #3"/>
    <s v="EMBUDO #3-VERDE"/>
    <n v="34"/>
    <n v="1"/>
    <n v="7.2"/>
    <x v="0"/>
    <m/>
    <n v="1"/>
    <n v="1013"/>
    <n v="20589"/>
    <s v="VERDE"/>
    <n v="9.1999999999999993"/>
    <n v="0"/>
    <n v="0"/>
    <n v="1.768"/>
    <n v="7.2"/>
    <n v="52"/>
    <n v="138.46153846153845"/>
    <x v="1"/>
    <x v="0"/>
    <n v="8"/>
    <n v="4"/>
    <n v="11.333333333333334"/>
  </r>
  <r>
    <d v="2025-02-13T22:15:00"/>
    <s v="INYECTADO"/>
    <x v="10"/>
    <x v="55"/>
    <m/>
    <s v="SEGUNDA"/>
    <s v="."/>
    <s v="MIXTO"/>
    <s v="EMBUDO #3"/>
    <s v="EMBUDO #3-"/>
    <m/>
    <m/>
    <m/>
    <x v="0"/>
    <m/>
    <m/>
    <m/>
    <m/>
    <m/>
    <m/>
    <n v="0"/>
    <n v="0"/>
    <e v="#N/A"/>
    <s v=""/>
    <e v="#N/A"/>
    <n v="0"/>
    <x v="2"/>
    <x v="1"/>
    <n v="1"/>
    <e v="#N/A"/>
    <e v="#N/A"/>
  </r>
  <r>
    <d v="2025-02-13T22:15:00"/>
    <s v="INYECTADO"/>
    <x v="10"/>
    <x v="44"/>
    <s v="ISABEL LINARIZ "/>
    <s v="VIRGEN"/>
    <s v="PP CLARIFICADO"/>
    <s v="."/>
    <s v="TAPER ALEMAN 550ML PASTEL"/>
    <s v="TAPER 550ML PASTEL-CELESTE"/>
    <n v="528"/>
    <n v="5"/>
    <n v="40.700000000000003"/>
    <x v="1"/>
    <m/>
    <n v="5"/>
    <n v="1019"/>
    <n v="20590"/>
    <s v="CELESTE"/>
    <n v="10.1"/>
    <n v="0"/>
    <n v="0"/>
    <n v="20.064"/>
    <n v="40.700000000000003"/>
    <n v="38"/>
    <n v="1071.0526315789473"/>
    <x v="1"/>
    <x v="0"/>
    <n v="8"/>
    <n v="2"/>
    <n v="88"/>
  </r>
  <r>
    <d v="2025-02-13T22:15:00"/>
    <s v="INYECTADO"/>
    <x v="10"/>
    <x v="44"/>
    <s v="ISABEL LINARIZ "/>
    <s v="VIRGEN"/>
    <s v="PP CLARIFICADO"/>
    <s v="."/>
    <s v="TAPER ALEMAN 550ML PASTEL"/>
    <s v="TAPER 550ML PASTEL-TURQUESA"/>
    <n v="544"/>
    <n v="5"/>
    <n v="41.9"/>
    <x v="1"/>
    <m/>
    <n v="5"/>
    <n v="1019"/>
    <n v="20590"/>
    <s v="TURQUESA"/>
    <n v="20.5"/>
    <n v="0"/>
    <n v="0"/>
    <n v="20.672000000000001"/>
    <n v="41.9"/>
    <n v="38"/>
    <n v="1102.6315789473683"/>
    <x v="1"/>
    <x v="0"/>
    <n v="8"/>
    <n v="2"/>
    <n v="90.666666666666671"/>
  </r>
  <r>
    <d v="2025-02-13T22:15:00"/>
    <s v="INYECTADO"/>
    <x v="10"/>
    <x v="44"/>
    <s v="BRAYAN PINEDO"/>
    <s v="VIRGEN"/>
    <s v="PP CLARIFICADO"/>
    <s v="."/>
    <s v="TAPER ALEMAN 550ML PASTEL"/>
    <s v="TAPER 550ML PASTEL-AZURE"/>
    <n v="40"/>
    <n v="1"/>
    <n v="3"/>
    <x v="1"/>
    <m/>
    <n v="0"/>
    <n v="1019"/>
    <n v="20590"/>
    <s v="AZURE"/>
    <n v="4.9000000000000004"/>
    <n v="0"/>
    <n v="0"/>
    <n v="1.52"/>
    <n v="3"/>
    <n v="38"/>
    <n v="78.94736842105263"/>
    <x v="1"/>
    <x v="0"/>
    <n v="8"/>
    <n v="2"/>
    <n v="6.666666666666667"/>
  </r>
  <r>
    <d v="2025-02-13T22:15:00"/>
    <s v="INYECTADO"/>
    <x v="10"/>
    <x v="51"/>
    <s v="JOSDER GONZALEZ"/>
    <s v="VIRGEN"/>
    <s v="PP CLARIFICADO"/>
    <s v="."/>
    <s v="TAPER ALEMAN 550ML PASTEL"/>
    <s v="TAPER 550ML PASTEL-AZURE"/>
    <n v="435"/>
    <n v="3"/>
    <n v="33.1"/>
    <x v="0"/>
    <m/>
    <n v="3"/>
    <n v="1019"/>
    <n v="20591"/>
    <s v="AZURE"/>
    <n v="10.199999999999999"/>
    <n v="0"/>
    <n v="0"/>
    <n v="16.53"/>
    <n v="33.1"/>
    <n v="38"/>
    <n v="871.0526315789474"/>
    <x v="1"/>
    <x v="0"/>
    <n v="8"/>
    <n v="2"/>
    <n v="72.5"/>
  </r>
  <r>
    <d v="2025-02-13T22:15:00"/>
    <s v="INYECTADO"/>
    <x v="10"/>
    <x v="51"/>
    <s v="JOSDER GONZALEZ"/>
    <s v="VIRGEN"/>
    <s v="PP CLARIFICADO"/>
    <s v="."/>
    <s v="TAPER ALEMAN 550ML PASTEL"/>
    <s v="TAPER 550ML PASTEL-SANDIA"/>
    <n v="633"/>
    <n v="5"/>
    <n v="48.8"/>
    <x v="0"/>
    <m/>
    <n v="5"/>
    <n v="1019"/>
    <n v="20591"/>
    <s v="ROJO"/>
    <n v="16.7"/>
    <n v="0"/>
    <n v="0"/>
    <n v="24.053999999999998"/>
    <n v="48.8"/>
    <n v="38"/>
    <n v="1284.2105263157894"/>
    <x v="1"/>
    <x v="0"/>
    <n v="8"/>
    <n v="2"/>
    <n v="105.5"/>
  </r>
  <r>
    <d v="2025-02-13T22:15:00"/>
    <s v="INYECTADO"/>
    <x v="10"/>
    <x v="51"/>
    <s v="JOSDER GONZALEZ"/>
    <s v="VIRGEN"/>
    <s v="PP CLARIFICADO"/>
    <s v="."/>
    <s v="TAPER ALEMAN 550ML PASTEL"/>
    <s v="TAPER 550ML PASTEL-ROSADO"/>
    <n v="133"/>
    <n v="1"/>
    <n v="10.3"/>
    <x v="0"/>
    <m/>
    <n v="2"/>
    <n v="1019"/>
    <n v="20591"/>
    <s v="ROSADO"/>
    <n v="8.3000000000000007"/>
    <n v="0"/>
    <n v="0"/>
    <n v="5.0540000000000003"/>
    <n v="10.3"/>
    <n v="38"/>
    <n v="271.05263157894734"/>
    <x v="1"/>
    <x v="0"/>
    <n v="8"/>
    <n v="2"/>
    <n v="22.166666666666668"/>
  </r>
  <r>
    <d v="2025-02-13T22:15:00"/>
    <s v="INYECTADO"/>
    <x v="10"/>
    <x v="51"/>
    <s v="JUAN MANUEL PEREZ"/>
    <s v="VIRGEN"/>
    <s v="PP CLARIFICADO"/>
    <s v="."/>
    <s v="TAPER ALEMAN 550ML PASTEL"/>
    <s v="TAPER 550ML PASTEL-ROSADO"/>
    <n v="487"/>
    <n v="4"/>
    <n v="37.5"/>
    <x v="1"/>
    <m/>
    <n v="4"/>
    <n v="1019"/>
    <n v="20592"/>
    <s v="ROSADO"/>
    <n v="3"/>
    <n v="0"/>
    <n v="0"/>
    <n v="18.506"/>
    <n v="37.5"/>
    <n v="38"/>
    <n v="986.84210526315792"/>
    <x v="1"/>
    <x v="0"/>
    <n v="8"/>
    <n v="2"/>
    <n v="81.166666666666671"/>
  </r>
  <r>
    <d v="2025-02-13T22:15:00"/>
    <s v="INYECTADO"/>
    <x v="10"/>
    <x v="51"/>
    <s v="JUAN MANUEL PEREZ"/>
    <s v="VIRGEN"/>
    <s v="PP CLARIFICADO"/>
    <s v="."/>
    <s v="TAPER ALEMAN 550ML PASTEL"/>
    <s v="TAPER 550ML PASTEL-LILA"/>
    <n v="987"/>
    <n v="8"/>
    <n v="76"/>
    <x v="1"/>
    <m/>
    <n v="8"/>
    <n v="1019"/>
    <n v="20592"/>
    <s v="LILA"/>
    <n v="3"/>
    <n v="0"/>
    <n v="0"/>
    <n v="37.506"/>
    <n v="76"/>
    <n v="38"/>
    <n v="2000"/>
    <x v="1"/>
    <x v="0"/>
    <n v="8"/>
    <n v="2"/>
    <n v="164.5"/>
  </r>
  <r>
    <d v="2025-02-13T22:15:00"/>
    <s v="INYECTADO"/>
    <x v="10"/>
    <x v="52"/>
    <s v="JOSE CAHUACHI"/>
    <s v="VIRGEN"/>
    <s v="PP CLARIFICADO"/>
    <s v="."/>
    <s v="TAPER ALEMAN 550ML PASTEL"/>
    <s v="TAPER 550ML PASTEL-LILA"/>
    <n v="603"/>
    <n v="4"/>
    <n v="45.9"/>
    <x v="0"/>
    <m/>
    <n v="5"/>
    <n v="1019"/>
    <n v="20593"/>
    <s v="LILA"/>
    <n v="13.1"/>
    <n v="0"/>
    <n v="0"/>
    <n v="22.914000000000001"/>
    <n v="45.9"/>
    <n v="38"/>
    <n v="1207.8947368421052"/>
    <x v="1"/>
    <x v="0"/>
    <n v="8"/>
    <n v="2"/>
    <n v="100.5"/>
  </r>
  <r>
    <d v="2025-02-13T22:15:00"/>
    <s v="INYECTADO"/>
    <x v="10"/>
    <x v="52"/>
    <s v="JOSE CAHUACHI"/>
    <s v="VIRGEN"/>
    <s v="PP CLARIFICADO"/>
    <s v="."/>
    <s v="TAPER ALEMAN 550ML PASTEL"/>
    <s v="TAPER 550ML PASTEL-ROSADO"/>
    <n v="971"/>
    <n v="7"/>
    <n v="73.8"/>
    <x v="0"/>
    <m/>
    <n v="8"/>
    <n v="1019"/>
    <n v="20593"/>
    <s v="ROSADO"/>
    <n v="4.0999999999999996"/>
    <n v="0"/>
    <n v="0"/>
    <n v="36.898000000000003"/>
    <n v="73.8"/>
    <n v="38"/>
    <n v="1942.1052631578948"/>
    <x v="1"/>
    <x v="0"/>
    <n v="8"/>
    <n v="2"/>
    <n v="161.83333333333334"/>
  </r>
  <r>
    <d v="2025-02-13T22:15:00"/>
    <s v="INYECTADO"/>
    <x v="10"/>
    <x v="52"/>
    <s v="FABIAN HERNANDEZ"/>
    <s v="VIRGEN"/>
    <s v="PP CLARIFICADO"/>
    <s v="."/>
    <s v="TAPER ALEMAN 550ML PASTEL"/>
    <s v="TAPER 550ML PASTEL-CELESTE"/>
    <n v="720"/>
    <n v="5"/>
    <n v="55.5"/>
    <x v="1"/>
    <m/>
    <n v="6"/>
    <n v="1019"/>
    <n v="20594"/>
    <s v="CELESTE"/>
    <n v="0"/>
    <n v="0"/>
    <n v="0"/>
    <n v="27.36"/>
    <n v="55.5"/>
    <n v="38"/>
    <n v="1460.5263157894738"/>
    <x v="1"/>
    <x v="0"/>
    <n v="8"/>
    <n v="2"/>
    <n v="120"/>
  </r>
  <r>
    <d v="2025-02-13T22:15:00"/>
    <s v="INYECTADO"/>
    <x v="10"/>
    <x v="52"/>
    <s v="FABIAN HERNANDEZ"/>
    <s v="VIRGEN"/>
    <s v="PP CLARIFICADO"/>
    <s v="."/>
    <s v="TAPER ALEMAN 550ML PASTEL"/>
    <s v="TAPER 550ML PASTEL-TURQUESA"/>
    <n v="614"/>
    <n v="5"/>
    <n v="47.3"/>
    <x v="1"/>
    <m/>
    <n v="5"/>
    <n v="1019"/>
    <n v="20594"/>
    <s v="TURQUESA"/>
    <n v="0"/>
    <n v="0"/>
    <n v="0"/>
    <n v="23.332000000000001"/>
    <n v="47.3"/>
    <n v="38"/>
    <n v="1244.7368421052631"/>
    <x v="1"/>
    <x v="0"/>
    <n v="8"/>
    <n v="2"/>
    <n v="102.33333333333333"/>
  </r>
  <r>
    <d v="2025-02-13T22:15:00"/>
    <s v="INYECTADO"/>
    <x v="10"/>
    <x v="53"/>
    <s v="LUIS RENGIFO"/>
    <s v="VIRGEN"/>
    <s v="PP CLARIFICADO"/>
    <s v="."/>
    <s v="TAPER ALEMAN 550ML PASTEL"/>
    <s v="TAPER 550ML PASTEL-TURQUESA"/>
    <n v="481"/>
    <n v="4"/>
    <n v="36.1"/>
    <x v="0"/>
    <m/>
    <n v="4"/>
    <n v="1019"/>
    <n v="20595"/>
    <s v="TURQUESA"/>
    <n v="10"/>
    <n v="0"/>
    <n v="0"/>
    <n v="18.277999999999999"/>
    <n v="36.1"/>
    <n v="38"/>
    <n v="950"/>
    <x v="1"/>
    <x v="0"/>
    <n v="8"/>
    <n v="2"/>
    <n v="80.166666666666671"/>
  </r>
  <r>
    <d v="2025-02-13T22:15:00"/>
    <s v="INYECTADO"/>
    <x v="10"/>
    <x v="53"/>
    <s v="LUIS RENGIFO"/>
    <s v="VIRGEN"/>
    <s v="PP CLARIFICADO"/>
    <s v="."/>
    <s v="TAPER ALEMAN 550ML PASTEL"/>
    <s v="TAPER 550ML PASTEL-AZURE"/>
    <n v="900"/>
    <n v="6"/>
    <n v="67.5"/>
    <x v="0"/>
    <m/>
    <n v="8"/>
    <n v="1019"/>
    <n v="20595"/>
    <s v="AZURE"/>
    <n v="8.1999999999999993"/>
    <n v="0"/>
    <n v="0"/>
    <n v="34.200000000000003"/>
    <n v="67.5"/>
    <n v="38"/>
    <n v="1776.3157894736842"/>
    <x v="1"/>
    <x v="0"/>
    <n v="8"/>
    <n v="2"/>
    <n v="150"/>
  </r>
  <r>
    <d v="2025-02-13T22:15:00"/>
    <s v="INYECTADO"/>
    <x v="10"/>
    <x v="53"/>
    <s v="ISABEL LINARIZ "/>
    <s v="VIRGEN"/>
    <s v="PP CLARIFICADO"/>
    <s v="."/>
    <s v="TAPER ALEMAN 550ML PASTEL"/>
    <s v="TAPER 550ML PASTEL-SANDIA"/>
    <n v="953"/>
    <n v="7"/>
    <n v="71.5"/>
    <x v="1"/>
    <m/>
    <n v="7"/>
    <n v="1019"/>
    <n v="20596"/>
    <s v="SANDIA"/>
    <n v="12.4"/>
    <n v="0"/>
    <n v="0"/>
    <n v="36.213999999999999"/>
    <n v="71.5"/>
    <n v="38"/>
    <n v="1881.578947368421"/>
    <x v="1"/>
    <x v="0"/>
    <n v="8"/>
    <n v="2"/>
    <n v="158.83333333333334"/>
  </r>
  <r>
    <d v="2025-02-13T22:15:00"/>
    <s v="INYECTADO"/>
    <x v="10"/>
    <x v="53"/>
    <s v="ISABEL LINARIZ "/>
    <s v="VIRGEN"/>
    <s v="PP CLARIFICADO"/>
    <s v="."/>
    <s v="TAPER ALEMAN 550ML CARAMELO"/>
    <s v="TAPER 550ML CARAMELO-ROJO"/>
    <n v="61"/>
    <n v="1"/>
    <n v="4.5999999999999996"/>
    <x v="1"/>
    <m/>
    <n v="1"/>
    <n v="1019"/>
    <n v="20596"/>
    <s v="ROJO"/>
    <n v="4.5999999999999996"/>
    <n v="0"/>
    <n v="0"/>
    <n v="2.3180000000000001"/>
    <n v="4.5999999999999996"/>
    <n v="38"/>
    <n v="121.05263157894737"/>
    <x v="1"/>
    <x v="0"/>
    <n v="8"/>
    <n v="2"/>
    <n v="10.166666666666666"/>
  </r>
  <r>
    <d v="2025-02-13T22:15:00"/>
    <s v="INYECTADO"/>
    <x v="10"/>
    <x v="56"/>
    <s v="SAID VILLAMIZAR"/>
    <s v="VIRGEN"/>
    <s v="PP CLARIFICADO"/>
    <s v="."/>
    <s v="TAPER ALEMAN 550ML CARAMELO"/>
    <s v="TAPER 550ML CARAMELO-ROJO"/>
    <n v="1210"/>
    <n v="7"/>
    <n v="44.8"/>
    <x v="0"/>
    <m/>
    <n v="6"/>
    <n v="1019"/>
    <n v="20597"/>
    <n v="0"/>
    <n v="0"/>
    <n v="0"/>
    <n v="0"/>
    <n v="45.98"/>
    <n v="44.8"/>
    <n v="38"/>
    <n v="1178.9473684210527"/>
    <x v="1"/>
    <x v="0"/>
    <n v="8"/>
    <n v="2"/>
    <n v="201.66666666666666"/>
  </r>
  <r>
    <d v="2025-02-13T22:15:00"/>
    <s v="INYECTADO"/>
    <x v="10"/>
    <x v="45"/>
    <s v="BRAYAN PINEDO"/>
    <s v="VIRGEN"/>
    <s v="PP CLARIFICADO"/>
    <s v="."/>
    <s v="TAPER ALEMAN 550ML CARAMELO"/>
    <s v="TAPER 550ML CARAMELO-ROJO"/>
    <n v="614"/>
    <n v="4"/>
    <n v="23.3"/>
    <x v="1"/>
    <m/>
    <n v="4"/>
    <n v="1019"/>
    <n v="20599"/>
    <s v="ROJO"/>
    <n v="4.9000000000000004"/>
    <n v="0"/>
    <n v="0"/>
    <n v="23.332000000000001"/>
    <n v="23.3"/>
    <n v="38"/>
    <n v="613.15789473684208"/>
    <x v="1"/>
    <x v="0"/>
    <n v="9"/>
    <n v="2"/>
    <n v="102.33333333333333"/>
  </r>
  <r>
    <d v="2025-02-13T22:15:00"/>
    <s v="INYECTADO"/>
    <x v="10"/>
    <x v="45"/>
    <s v="BRAYAN PINEDO"/>
    <s v="VIRGEN"/>
    <s v="PP CLARIFICADO"/>
    <s v="."/>
    <s v="TAPER ALEMAN 550ML CARAMELO"/>
    <s v="TAPER 550ML CARAMELO-FUCSIA"/>
    <n v="965"/>
    <n v="7"/>
    <n v="36.6"/>
    <x v="1"/>
    <m/>
    <n v="4"/>
    <n v="1019"/>
    <n v="20599"/>
    <s v="FUCSIA"/>
    <n v="0"/>
    <n v="0"/>
    <n v="0"/>
    <n v="36.67"/>
    <n v="36.6"/>
    <n v="38"/>
    <n v="963.15789473684208"/>
    <x v="1"/>
    <x v="0"/>
    <n v="9"/>
    <n v="2"/>
    <n v="160.83333333333334"/>
  </r>
  <r>
    <d v="2025-02-13T22:15:00"/>
    <s v="INYECTADO"/>
    <x v="10"/>
    <x v="45"/>
    <s v="SAID VILLAMIZAR"/>
    <s v="VIRGEN"/>
    <s v="PP CLARIFICADO"/>
    <s v="."/>
    <s v="TAPER ALEMAN 550ML CARAMELO"/>
    <s v="TAPER 550ML CARAMELO-ROJO"/>
    <n v="180"/>
    <n v="1"/>
    <n v="6.8"/>
    <x v="0"/>
    <m/>
    <n v="1"/>
    <n v="1019"/>
    <n v="20598"/>
    <n v="0"/>
    <n v="0"/>
    <n v="0"/>
    <n v="0"/>
    <n v="6.84"/>
    <n v="6.8"/>
    <n v="38"/>
    <n v="178.94736842105263"/>
    <x v="1"/>
    <x v="0"/>
    <n v="9"/>
    <n v="2"/>
    <n v="30"/>
  </r>
  <r>
    <d v="2025-02-13T22:15:00"/>
    <s v="INYECTADO"/>
    <x v="10"/>
    <x v="38"/>
    <s v="LUIS PINEDO"/>
    <s v="VIRGEN"/>
    <s v="PP CLARIFICADO"/>
    <s v="."/>
    <s v="TAPER ALEMAN 550ML CARAMELO"/>
    <s v="TAPER 550ML CARAMELO-FUCSIA"/>
    <n v="712"/>
    <n v="4"/>
    <n v="26.7"/>
    <x v="0"/>
    <m/>
    <n v="4"/>
    <n v="1019"/>
    <n v="20600"/>
    <s v="FUCSIA"/>
    <n v="0"/>
    <n v="0"/>
    <n v="0"/>
    <n v="27.056000000000001"/>
    <n v="26.7"/>
    <n v="38"/>
    <n v="702.63157894736844"/>
    <x v="1"/>
    <x v="0"/>
    <n v="9"/>
    <n v="2"/>
    <n v="118.66666666666667"/>
  </r>
  <r>
    <d v="2025-02-13T22:15:00"/>
    <s v="INYECTADO"/>
    <x v="10"/>
    <x v="38"/>
    <s v="LUIS PINEDO"/>
    <s v="VIRGEN"/>
    <s v="PP CLARIFICADO"/>
    <s v="."/>
    <s v="TAPER ALEMAN 550ML CARAMELO"/>
    <s v="TAPER 550ML CARAMELO-LILA"/>
    <n v="1205"/>
    <n v="7"/>
    <n v="45.2"/>
    <x v="0"/>
    <m/>
    <n v="5"/>
    <n v="1019"/>
    <n v="20600"/>
    <s v="LILA"/>
    <n v="0"/>
    <n v="0"/>
    <n v="0"/>
    <n v="45.79"/>
    <n v="45.2"/>
    <n v="38"/>
    <n v="1189.4736842105262"/>
    <x v="1"/>
    <x v="0"/>
    <n v="9"/>
    <n v="2"/>
    <n v="200.83333333333334"/>
  </r>
  <r>
    <d v="2025-02-13T22:15:00"/>
    <s v="INYECTADO"/>
    <x v="10"/>
    <x v="46"/>
    <s v="FABIAN HERNANDEZ"/>
    <s v="VIRGEN"/>
    <s v="PP CLARIFICADO"/>
    <s v="."/>
    <s v="TAPER ALEMAN 550ML CARAMELO"/>
    <s v="TAPER 550ML CARAMELO-LILA"/>
    <n v="790"/>
    <n v="5"/>
    <n v="31.6"/>
    <x v="1"/>
    <m/>
    <n v="4"/>
    <n v="1019"/>
    <n v="21301"/>
    <s v="LILA"/>
    <n v="4.8"/>
    <n v="0"/>
    <n v="0"/>
    <n v="30.02"/>
    <n v="31.6"/>
    <n v="38"/>
    <n v="831.57894736842104"/>
    <x v="1"/>
    <x v="0"/>
    <n v="9"/>
    <n v="2"/>
    <n v="131.66666666666666"/>
  </r>
  <r>
    <d v="2025-02-13T22:15:00"/>
    <s v="INYECTADO"/>
    <x v="10"/>
    <x v="46"/>
    <s v="FABIAN HERNANDEZ"/>
    <s v="VIRGEN"/>
    <s v="PP CLARIFICADO"/>
    <s v="."/>
    <s v="TAPER ALEMAN 550ML CARAMELO"/>
    <s v="TAPER 550ML CARAMELO-AZUL"/>
    <n v="522"/>
    <n v="5"/>
    <n v="20.9"/>
    <x v="1"/>
    <m/>
    <n v="3"/>
    <n v="1019"/>
    <n v="21301"/>
    <s v="AZUL"/>
    <n v="0.9"/>
    <n v="0"/>
    <n v="0"/>
    <n v="19.835999999999999"/>
    <n v="20.9"/>
    <n v="38"/>
    <n v="550"/>
    <x v="1"/>
    <x v="0"/>
    <n v="9"/>
    <n v="2"/>
    <n v="87"/>
  </r>
  <r>
    <d v="2025-02-13T22:15:00"/>
    <s v="INYECTADO"/>
    <x v="10"/>
    <x v="46"/>
    <s v="JOSDER GONZALEZ"/>
    <s v="VIRGEN"/>
    <s v="PP CLARIFICADO"/>
    <s v="."/>
    <s v="TAPER ALEMAN 550ML CARAMELO"/>
    <s v="TAPER 550ML CARAMELO-AZUL"/>
    <n v="1470"/>
    <n v="9"/>
    <n v="54.4"/>
    <x v="0"/>
    <m/>
    <n v="7"/>
    <n v="1019"/>
    <n v="21302"/>
    <s v="AZUL"/>
    <n v="2.2999999999999998"/>
    <n v="0"/>
    <n v="0"/>
    <n v="55.86"/>
    <n v="54.4"/>
    <n v="38"/>
    <n v="1431.578947368421"/>
    <x v="1"/>
    <x v="0"/>
    <n v="9"/>
    <n v="2"/>
    <n v="245"/>
  </r>
  <r>
    <d v="2025-02-13T22:15:00"/>
    <s v="INYECTADO"/>
    <x v="10"/>
    <x v="46"/>
    <s v="JOSDER GONZALEZ"/>
    <s v="VIRGEN"/>
    <s v="PP CLARIFICADO"/>
    <s v="."/>
    <s v="TAPER ALEMAN 550ML CARAMELO"/>
    <s v="TAPER 550ML CARAMELO-AMARILLO"/>
    <n v="237"/>
    <n v="2"/>
    <n v="8.8000000000000007"/>
    <x v="0"/>
    <m/>
    <n v="2"/>
    <n v="1019"/>
    <n v="21302"/>
    <s v="AMARILLO"/>
    <n v="4"/>
    <n v="0"/>
    <n v="0"/>
    <n v="9.0060000000000002"/>
    <n v="8.8000000000000007"/>
    <n v="38"/>
    <n v="231.57894736842104"/>
    <x v="1"/>
    <x v="0"/>
    <n v="9"/>
    <n v="2"/>
    <n v="39.5"/>
  </r>
  <r>
    <d v="2025-02-13T22:15:00"/>
    <s v="INYECTADO"/>
    <x v="10"/>
    <x v="39"/>
    <s v="ISABEL LINARIZ "/>
    <s v="VIRGEN"/>
    <s v="PP CLARIFICADO"/>
    <s v="."/>
    <s v="TAPER ALEMAN 550ML CARAMELO"/>
    <s v="TAPER 550ML CARAMELO-AMARILLO"/>
    <n v="1224"/>
    <n v="7"/>
    <n v="45.3"/>
    <x v="0"/>
    <m/>
    <n v="5"/>
    <n v="1019"/>
    <n v="21303"/>
    <s v="AMARILLO"/>
    <n v="0"/>
    <n v="0"/>
    <n v="0"/>
    <n v="46.512"/>
    <n v="45.3"/>
    <n v="38"/>
    <n v="1192.1052631578948"/>
    <x v="1"/>
    <x v="0"/>
    <n v="9"/>
    <n v="2"/>
    <n v="204"/>
  </r>
  <r>
    <d v="2025-02-13T22:15:00"/>
    <s v="INYECTADO"/>
    <x v="10"/>
    <x v="39"/>
    <s v="JUAN MANUEL PEREZ"/>
    <s v="VIRGEN"/>
    <s v="PP CLARIFICADO"/>
    <s v="."/>
    <s v="TAPER ALEMAN 550ML CARAMELO"/>
    <s v="TAPER 550ML CARAMELO-AMARILLO"/>
    <n v="737"/>
    <n v="4"/>
    <n v="27.3"/>
    <x v="1"/>
    <m/>
    <n v="3"/>
    <n v="1019"/>
    <n v="21304"/>
    <s v="AMARILLO"/>
    <n v="0"/>
    <n v="0"/>
    <n v="0"/>
    <n v="28.006"/>
    <n v="27.3"/>
    <n v="38"/>
    <n v="718.42105263157896"/>
    <x v="1"/>
    <x v="0"/>
    <n v="9"/>
    <n v="2"/>
    <n v="122.83333333333333"/>
  </r>
  <r>
    <d v="2025-02-13T22:15:00"/>
    <s v="INYECTADO"/>
    <x v="10"/>
    <x v="39"/>
    <s v="JUAN MANUEL PEREZ"/>
    <s v="VIRGEN"/>
    <s v="PP CLARIFICADO"/>
    <s v="."/>
    <s v="TAPER ALEMAN 550ML CARAMELO"/>
    <s v="TAPER 550ML CARAMELO-VERDE"/>
    <n v="933"/>
    <n v="7"/>
    <n v="36.4"/>
    <x v="1"/>
    <m/>
    <n v="4"/>
    <n v="1019"/>
    <n v="21304"/>
    <s v="VERDE"/>
    <n v="1"/>
    <n v="0"/>
    <n v="0"/>
    <n v="35.454000000000001"/>
    <n v="36.4"/>
    <n v="38"/>
    <n v="957.89473684210532"/>
    <x v="1"/>
    <x v="0"/>
    <n v="9"/>
    <n v="2"/>
    <n v="155.5"/>
  </r>
  <r>
    <d v="2025-02-13T22:15:00"/>
    <s v="INYECTADO"/>
    <x v="10"/>
    <x v="40"/>
    <s v="FABIAN HERNANDEZ"/>
    <s v="VIRGEN"/>
    <s v="PP CLARIFICADO"/>
    <s v="."/>
    <s v="TAPER ALEMAN 550ML CARAMELO"/>
    <s v="TAPER 550ML CARAMELO-VERDE"/>
    <n v="870"/>
    <n v="5"/>
    <n v="32.200000000000003"/>
    <x v="0"/>
    <m/>
    <n v="3"/>
    <n v="1019"/>
    <n v="21305"/>
    <s v="VERDE"/>
    <n v="1.7"/>
    <n v="0"/>
    <n v="0"/>
    <n v="33.06"/>
    <n v="32.200000000000003"/>
    <n v="38"/>
    <n v="847.36842105263167"/>
    <x v="1"/>
    <x v="0"/>
    <n v="9"/>
    <n v="2"/>
    <n v="145"/>
  </r>
  <r>
    <d v="2025-02-13T22:15:00"/>
    <s v="INYECTADO"/>
    <x v="10"/>
    <x v="40"/>
    <s v="FABIAN HERNANDEZ"/>
    <s v="VIRGEN"/>
    <s v="PP CLARIFICADO"/>
    <s v="."/>
    <s v="TAPER ALEMAN 550ML SOLIDO"/>
    <s v="TAPER 550ML SOLIDO-VERDE"/>
    <n v="362"/>
    <n v="2"/>
    <n v="13.4"/>
    <x v="0"/>
    <m/>
    <n v="2"/>
    <n v="1019"/>
    <n v="21305"/>
    <s v="VERDE"/>
    <n v="5.7"/>
    <n v="0"/>
    <n v="0"/>
    <n v="13.756"/>
    <n v="13.4"/>
    <n v="38"/>
    <n v="352.63157894736844"/>
    <x v="1"/>
    <x v="0"/>
    <n v="9"/>
    <n v="2"/>
    <n v="60.333333333333336"/>
  </r>
  <r>
    <d v="2025-02-13T22:15:00"/>
    <s v="INYECTADO"/>
    <x v="10"/>
    <x v="40"/>
    <s v="FABIAN HERNANDEZ"/>
    <s v="VIRGEN"/>
    <s v="PP CLARIFICADO"/>
    <s v="."/>
    <s v="TAPER ALEMAN 550ML SOLIDO"/>
    <s v="TAPER 550ML SOLIDO-FUCSIA"/>
    <n v="400"/>
    <n v="3"/>
    <n v="14.8"/>
    <x v="0"/>
    <m/>
    <n v="3"/>
    <n v="1019"/>
    <n v="21305"/>
    <s v="FUCSIA"/>
    <n v="2.8"/>
    <n v="0"/>
    <n v="0"/>
    <n v="15.2"/>
    <n v="14.8"/>
    <n v="38"/>
    <n v="389.4736842105263"/>
    <x v="1"/>
    <x v="0"/>
    <n v="9"/>
    <n v="2"/>
    <n v="66.666666666666671"/>
  </r>
  <r>
    <d v="2025-02-18T10:30:00"/>
    <s v="SOPLADO"/>
    <x v="11"/>
    <x v="41"/>
    <s v="ISABEL/CRISALIDA"/>
    <s v="VIRGEN"/>
    <s v="PP SOPLADO"/>
    <s v="."/>
    <s v="TOMATODO 350ML PASTEL"/>
    <s v="TOMATODO 350ML-TRANSPARENTE"/>
    <n v="768"/>
    <n v="7"/>
    <n v="24.6"/>
    <x v="0"/>
    <m/>
    <n v="6"/>
    <n v="964"/>
    <n v="21116"/>
    <s v="TRANSPARENTE"/>
    <n v="7.2"/>
    <n v="0"/>
    <n v="0"/>
    <n v="47.616"/>
    <n v="24.6"/>
    <n v="62"/>
    <n v="396.77419354838707"/>
    <x v="1"/>
    <x v="0"/>
    <n v="5"/>
    <n v="2"/>
    <n v="128"/>
  </r>
  <r>
    <d v="2025-02-18T10:30:00"/>
    <s v="SOPLADO"/>
    <x v="11"/>
    <x v="41"/>
    <s v="ISABEL/CRISALIDA"/>
    <s v="VIRGEN"/>
    <s v="PP SOPLADO"/>
    <s v="."/>
    <s v="TOMATODO 350ML PASTEL"/>
    <s v="TOMATODO 350ML PASTEL-TURQUESA"/>
    <n v="525"/>
    <n v="5"/>
    <n v="16.8"/>
    <x v="0"/>
    <m/>
    <n v="6"/>
    <n v="964"/>
    <n v="21116"/>
    <s v="TURQUESA"/>
    <n v="19"/>
    <n v="0"/>
    <n v="0"/>
    <n v="15.225"/>
    <n v="16.8"/>
    <n v="29"/>
    <n v="579.31034482758616"/>
    <x v="1"/>
    <x v="0"/>
    <n v="5"/>
    <n v="1"/>
    <n v="43.75"/>
  </r>
  <r>
    <d v="2025-02-18T10:30:00"/>
    <s v="SOPLADO"/>
    <x v="11"/>
    <x v="41"/>
    <s v="FABIAN HERNANDEZ"/>
    <s v="VIRGEN"/>
    <s v="PP SOPLADO"/>
    <s v="."/>
    <s v="TOMATODO 350ML PASTEL"/>
    <s v="TOMATODO 350ML PASTEL-TURQUESA"/>
    <n v="254"/>
    <n v="2"/>
    <n v="16.3"/>
    <x v="1"/>
    <m/>
    <n v="4"/>
    <n v="964"/>
    <n v="21117"/>
    <s v="TURQUESA"/>
    <n v="29.1"/>
    <n v="0"/>
    <n v="0"/>
    <n v="7.3659999999999997"/>
    <n v="16.3"/>
    <n v="29"/>
    <n v="562.06896551724139"/>
    <x v="1"/>
    <x v="0"/>
    <n v="5"/>
    <n v="1"/>
    <n v="21.166666666666668"/>
  </r>
  <r>
    <d v="2025-02-18T10:30:00"/>
    <s v="SOPLADO"/>
    <x v="11"/>
    <x v="41"/>
    <s v="FABIAN HERNANDEZ"/>
    <s v="VIRGEN"/>
    <s v="PP SOPLADO"/>
    <s v="."/>
    <s v="TOMATODO 350ML PASTEL"/>
    <s v="TOMATODO 350ML PASTEL-LILA"/>
    <n v="450"/>
    <n v="4"/>
    <n v="28.8"/>
    <x v="1"/>
    <m/>
    <n v="4"/>
    <n v="964"/>
    <n v="21117"/>
    <s v="LILA"/>
    <n v="20.3"/>
    <n v="0"/>
    <n v="0"/>
    <n v="13.05"/>
    <n v="28.8"/>
    <n v="29"/>
    <n v="993.10344827586209"/>
    <x v="1"/>
    <x v="0"/>
    <n v="5"/>
    <n v="1"/>
    <n v="37.5"/>
  </r>
  <r>
    <d v="2025-02-18T10:30:00"/>
    <s v="SOPLADO"/>
    <x v="11"/>
    <x v="41"/>
    <s v="FABIAN HERNANDEZ"/>
    <s v="VIRGEN"/>
    <s v="PP SOPLADO"/>
    <s v="."/>
    <s v="TOMATODO 350ML PASTEL"/>
    <s v="TOMATODO 350ML PASTEL-CELESTE"/>
    <n v="310"/>
    <n v="3"/>
    <n v="19.899999999999999"/>
    <x v="1"/>
    <m/>
    <n v="2"/>
    <n v="964"/>
    <n v="21117"/>
    <s v="CELESTE"/>
    <n v="20"/>
    <n v="0"/>
    <n v="0"/>
    <n v="8.99"/>
    <n v="19.899999999999999"/>
    <n v="29"/>
    <n v="686.20689655172418"/>
    <x v="1"/>
    <x v="0"/>
    <n v="5"/>
    <n v="1"/>
    <n v="25.833333333333332"/>
  </r>
  <r>
    <d v="2025-02-18T10:30:00"/>
    <s v="SOPLADO"/>
    <x v="11"/>
    <x v="41"/>
    <s v="FABIAN HERNANDEZ"/>
    <s v="VIRGEN"/>
    <s v="PP SOPLADO"/>
    <s v="."/>
    <s v="TOMATODO 350ML PASTEL"/>
    <s v="TOMATODO 350ML PASTEL-ROSADO"/>
    <n v="507"/>
    <n v="4"/>
    <n v="32.5"/>
    <x v="1"/>
    <m/>
    <n v="4"/>
    <n v="964"/>
    <n v="21117"/>
    <s v="ROSADO"/>
    <n v="22"/>
    <n v="0"/>
    <n v="0"/>
    <n v="14.702999999999999"/>
    <n v="32.5"/>
    <n v="29"/>
    <n v="1120.6896551724137"/>
    <x v="1"/>
    <x v="0"/>
    <n v="5"/>
    <n v="1"/>
    <n v="42.25"/>
  </r>
  <r>
    <d v="2025-02-18T10:30:00"/>
    <s v="SOPLADO"/>
    <x v="11"/>
    <x v="54"/>
    <s v="CRISALIDA ZAPATA"/>
    <s v="VIRGEN"/>
    <s v="PP SOPLADO"/>
    <s v="."/>
    <s v="TOMATODO 350ML PASTEL"/>
    <s v="TOMATODO 350ML PASTEL-AZURE"/>
    <n v="373"/>
    <n v="3"/>
    <n v="23.8"/>
    <x v="0"/>
    <m/>
    <n v="5"/>
    <n v="964"/>
    <n v="21118"/>
    <s v="AZURE"/>
    <n v="16"/>
    <n v="0"/>
    <n v="0"/>
    <n v="10.817"/>
    <n v="23.8"/>
    <n v="29"/>
    <n v="820.68965517241384"/>
    <x v="1"/>
    <x v="0"/>
    <n v="5"/>
    <n v="1"/>
    <n v="31.083333333333332"/>
  </r>
  <r>
    <d v="2025-02-18T10:30:00"/>
    <s v="SOPLADO"/>
    <x v="11"/>
    <x v="54"/>
    <s v="CRISALIDA ZAPATA"/>
    <s v="VIRGEN"/>
    <s v="PP SOPLADO"/>
    <s v="."/>
    <s v="TOMATODO 350ML PASTEL"/>
    <s v="TOMATODO 350ML PASTEL-SANDIA"/>
    <n v="480"/>
    <n v="4"/>
    <n v="30.7"/>
    <x v="0"/>
    <m/>
    <n v="5"/>
    <n v="964"/>
    <n v="21118"/>
    <s v="SANDIA"/>
    <n v="4.5999999999999996"/>
    <n v="0"/>
    <n v="0"/>
    <n v="13.92"/>
    <n v="30.7"/>
    <n v="29"/>
    <n v="1058.6206896551723"/>
    <x v="1"/>
    <x v="0"/>
    <n v="5"/>
    <n v="1"/>
    <n v="40"/>
  </r>
  <r>
    <d v="2025-02-18T10:30:00"/>
    <s v="SOPLADO"/>
    <x v="11"/>
    <x v="54"/>
    <s v="CRISALIDA ZAPATA"/>
    <s v="VIRGEN"/>
    <s v="PP SOPLADO"/>
    <s v="."/>
    <s v="TOMATODO 350ML PASTEL"/>
    <s v="TOMATODO 350ML PASTEL-ROSADO"/>
    <n v="250"/>
    <n v="2"/>
    <n v="16"/>
    <x v="0"/>
    <m/>
    <n v="2"/>
    <n v="964"/>
    <n v="21118"/>
    <s v="ROSADO"/>
    <n v="3.3"/>
    <n v="0"/>
    <n v="0"/>
    <n v="7.25"/>
    <n v="16"/>
    <n v="29"/>
    <n v="551.72413793103453"/>
    <x v="1"/>
    <x v="0"/>
    <n v="5"/>
    <n v="1"/>
    <n v="20.833333333333332"/>
  </r>
  <r>
    <d v="2025-02-18T10:30:00"/>
    <s v="SOPLADO"/>
    <x v="11"/>
    <x v="42"/>
    <s v="ISABEL/CRISALIDA"/>
    <s v="VIRGEN"/>
    <s v="PP SOPLADO"/>
    <s v="."/>
    <s v="TOMATODO 350ML PASTEL"/>
    <s v="TOMATODO 350ML PASTEL-LILA"/>
    <n v="546"/>
    <n v="4"/>
    <n v="35"/>
    <x v="0"/>
    <m/>
    <n v="3"/>
    <n v="964"/>
    <n v="21119"/>
    <s v="LILA"/>
    <n v="12.11"/>
    <n v="0"/>
    <n v="0"/>
    <n v="15.834"/>
    <n v="35"/>
    <n v="29"/>
    <n v="1206.8965517241379"/>
    <x v="1"/>
    <x v="0"/>
    <n v="6"/>
    <n v="1"/>
    <n v="45.5"/>
  </r>
  <r>
    <d v="2025-02-18T10:30:00"/>
    <s v="SOPLADO"/>
    <x v="11"/>
    <x v="42"/>
    <s v="ISABEL/CRISALIDA"/>
    <s v="VIRGEN"/>
    <s v="PP SOPLADO"/>
    <s v="."/>
    <s v="TOMATODO 350ML PASTEL"/>
    <s v="TOMATODO 350ML PASTEL-ROSADO"/>
    <n v="296"/>
    <n v="2"/>
    <n v="19"/>
    <x v="0"/>
    <m/>
    <n v="2"/>
    <n v="964"/>
    <n v="21119"/>
    <s v="ROSADO"/>
    <n v="1.9"/>
    <n v="0"/>
    <n v="0"/>
    <n v="8.5839999999999996"/>
    <n v="19"/>
    <n v="29"/>
    <n v="655.17241379310349"/>
    <x v="1"/>
    <x v="0"/>
    <n v="6"/>
    <n v="1"/>
    <n v="24.666666666666668"/>
  </r>
  <r>
    <d v="2025-02-18T10:30:00"/>
    <s v="SOPLADO"/>
    <x v="11"/>
    <x v="42"/>
    <s v="JOSDER GONZALEZ"/>
    <s v="VIRGEN"/>
    <s v="PP SOPLADO"/>
    <s v="."/>
    <s v="TOMATODO 350ML PASTEL"/>
    <s v="TOMATODO 350ML PASTEL-CELESTE"/>
    <n v="750"/>
    <n v="7"/>
    <n v="48"/>
    <x v="1"/>
    <m/>
    <n v="7"/>
    <n v="964"/>
    <n v="21120"/>
    <s v="CELESTE"/>
    <n v="26.6"/>
    <n v="0"/>
    <n v="0"/>
    <n v="21.75"/>
    <n v="48"/>
    <n v="29"/>
    <n v="1655.1724137931035"/>
    <x v="1"/>
    <x v="0"/>
    <n v="6"/>
    <n v="1"/>
    <n v="62.5"/>
  </r>
  <r>
    <d v="2025-02-18T10:30:00"/>
    <s v="SOPLADO"/>
    <x v="11"/>
    <x v="42"/>
    <s v="JOSDER GONZALEZ"/>
    <s v="VIRGEN"/>
    <s v="PP SOPLADO"/>
    <s v="."/>
    <s v="TOMATODO 350ML PASTEL"/>
    <s v="TOMATODO 350ML PASTEL-AZURE"/>
    <n v="450"/>
    <n v="4"/>
    <n v="28.8"/>
    <x v="1"/>
    <m/>
    <n v="4"/>
    <n v="964"/>
    <n v="21120"/>
    <s v="AZURE"/>
    <n v="20.3"/>
    <n v="0"/>
    <n v="0"/>
    <n v="13.05"/>
    <n v="28.8"/>
    <n v="29"/>
    <n v="993.10344827586209"/>
    <x v="1"/>
    <x v="0"/>
    <n v="6"/>
    <n v="1"/>
    <n v="37.5"/>
  </r>
  <r>
    <d v="2025-02-18T10:30:00"/>
    <s v="SOPLADO"/>
    <x v="11"/>
    <x v="35"/>
    <s v="PAUL/CRISALIDA"/>
    <s v="VIRGEN"/>
    <s v="PP SOPLADO"/>
    <s v="."/>
    <s v="TOMATODO 350ML PASTEL"/>
    <s v="TOMATODO 350ML PASTEL-SANDIA"/>
    <n v="471"/>
    <n v="4"/>
    <n v="30.2"/>
    <x v="0"/>
    <m/>
    <n v="4"/>
    <n v="964"/>
    <n v="21121"/>
    <s v="SANDIA"/>
    <n v="8.6999999999999993"/>
    <n v="0"/>
    <n v="0"/>
    <n v="13.659000000000001"/>
    <n v="30.2"/>
    <n v="29"/>
    <n v="1041.3793103448277"/>
    <x v="1"/>
    <x v="0"/>
    <n v="6"/>
    <n v="1"/>
    <n v="39.25"/>
  </r>
  <r>
    <d v="2025-02-18T10:30:00"/>
    <s v="SOPLADO"/>
    <x v="11"/>
    <x v="35"/>
    <s v="PAUL/CRISALIDA"/>
    <s v="VIRGEN"/>
    <s v="PP SOPLADO"/>
    <s v="."/>
    <s v="TOMATODO 350ML PASTEL"/>
    <s v="TOMATODO 350ML PASTEL-TURQUESA"/>
    <n v="182"/>
    <n v="2"/>
    <n v="11.7"/>
    <x v="0"/>
    <m/>
    <n v="2"/>
    <n v="964"/>
    <n v="21121"/>
    <s v="AZURE"/>
    <n v="3.1"/>
    <n v="0"/>
    <n v="0"/>
    <n v="5.2779999999999996"/>
    <n v="11.7"/>
    <n v="29"/>
    <n v="403.44827586206895"/>
    <x v="1"/>
    <x v="0"/>
    <n v="6"/>
    <n v="1"/>
    <n v="15.166666666666666"/>
  </r>
  <r>
    <d v="2025-02-18T10:30:00"/>
    <s v="SOPLADO"/>
    <x v="11"/>
    <x v="35"/>
    <s v="PAUL/CRISALIDA"/>
    <s v="VIRGEN"/>
    <s v="PP SOPLADO"/>
    <s v="."/>
    <s v="TOMATODO 350ML PASTEL"/>
    <s v="TOMATODO 350ML PASTEL-AZURE"/>
    <n v="28"/>
    <n v="1"/>
    <n v="1.8"/>
    <x v="0"/>
    <m/>
    <n v="1"/>
    <n v="964"/>
    <n v="21121"/>
    <s v="TURQUESA"/>
    <n v="11"/>
    <n v="0"/>
    <n v="0"/>
    <n v="0.81200000000000006"/>
    <n v="1.8"/>
    <n v="29"/>
    <n v="62.068965517241381"/>
    <x v="1"/>
    <x v="0"/>
    <n v="6"/>
    <n v="1"/>
    <n v="2.3333333333333335"/>
  </r>
  <r>
    <d v="2025-02-18T10:30:00"/>
    <s v="SOPLADO"/>
    <x v="11"/>
    <x v="35"/>
    <s v="FABIAN HERNANDEZ"/>
    <s v="VIRGEN"/>
    <s v="PP SOPLADO"/>
    <s v="."/>
    <s v="TOMATODO 350ML"/>
    <s v="TOMATODO 350ML-TRANSPARENTE"/>
    <n v="1635"/>
    <n v="12"/>
    <n v="104.7"/>
    <x v="1"/>
    <m/>
    <n v="17"/>
    <n v="964"/>
    <n v="21122"/>
    <s v="TRANSPARENTE"/>
    <n v="43.5"/>
    <n v="0"/>
    <n v="0"/>
    <n v="101.37"/>
    <n v="104.7"/>
    <n v="62"/>
    <n v="1688.7096774193549"/>
    <x v="1"/>
    <x v="0"/>
    <n v="6"/>
    <n v="2"/>
    <n v="272.5"/>
  </r>
  <r>
    <d v="2025-02-18T10:30:00"/>
    <s v="SOPLADO"/>
    <x v="11"/>
    <x v="47"/>
    <s v="CRISALIDA/SAID"/>
    <s v="VIRGEN"/>
    <s v="PP SOPLADO"/>
    <s v="."/>
    <s v="TOMATODO 350ML"/>
    <s v="TOMATODO 350ML-TRANSPARENTE"/>
    <n v="1428"/>
    <n v="11"/>
    <n v="91.4"/>
    <x v="0"/>
    <m/>
    <n v="14"/>
    <n v="964"/>
    <n v="21122"/>
    <s v="TRANSPARENTE"/>
    <n v="57.9"/>
    <n v="0"/>
    <n v="0"/>
    <n v="88.536000000000001"/>
    <n v="91.4"/>
    <n v="62"/>
    <n v="1474.1935483870968"/>
    <x v="1"/>
    <x v="0"/>
    <n v="6"/>
    <n v="2"/>
    <n v="238"/>
  </r>
  <r>
    <d v="2025-02-18T10:30:00"/>
    <s v="SOPLADO"/>
    <x v="11"/>
    <x v="49"/>
    <s v="FABIAN HERNANDEZ"/>
    <s v="VIRGEN"/>
    <s v="PP SOPLADO"/>
    <s v="."/>
    <s v="TOMATODO 350ML PASTEL"/>
    <s v="TOMATODO 350ML PASTEL-CELESTE"/>
    <n v="198"/>
    <n v="2"/>
    <n v="12.7"/>
    <x v="1"/>
    <m/>
    <n v="2"/>
    <n v="964"/>
    <n v="21124"/>
    <s v="CELESTE"/>
    <n v="0"/>
    <n v="0"/>
    <n v="0"/>
    <n v="5.742"/>
    <n v="12.7"/>
    <n v="29"/>
    <n v="437.93103448275861"/>
    <x v="1"/>
    <x v="0"/>
    <n v="6"/>
    <n v="1"/>
    <n v="16.5"/>
  </r>
  <r>
    <d v="2025-02-18T10:30:00"/>
    <s v="SOPLADO"/>
    <x v="11"/>
    <x v="49"/>
    <s v="FABIAN HERNANDEZ"/>
    <s v="VIRGEN"/>
    <s v="PP SOPLADO"/>
    <s v="."/>
    <s v="TOMATODO 350ML PASTEL"/>
    <s v="TOMATODO 350ML PASTEL-TURQUESA"/>
    <n v="179"/>
    <n v="2"/>
    <n v="11.5"/>
    <x v="1"/>
    <m/>
    <n v="2"/>
    <n v="964"/>
    <n v="21124"/>
    <s v="TURQUESA"/>
    <n v="0"/>
    <n v="0"/>
    <n v="0"/>
    <n v="5.1909999999999998"/>
    <n v="11.5"/>
    <n v="29"/>
    <n v="396.55172413793105"/>
    <x v="1"/>
    <x v="0"/>
    <n v="6"/>
    <n v="1"/>
    <n v="14.916666666666666"/>
  </r>
  <r>
    <d v="2025-02-18T10:30:00"/>
    <s v="SOPLADO"/>
    <x v="11"/>
    <x v="49"/>
    <s v="FABIAN HERNANDEZ"/>
    <s v="VIRGEN"/>
    <s v="PP SOPLADO"/>
    <s v="."/>
    <s v="TOMATODO 350ML PASTEL"/>
    <s v="TOMATODO 350ML PASTEL-SANDIA"/>
    <n v="364"/>
    <n v="3"/>
    <n v="23.3"/>
    <x v="1"/>
    <m/>
    <n v="4"/>
    <n v="964"/>
    <n v="21124"/>
    <s v="SANDIA"/>
    <n v="0"/>
    <n v="0"/>
    <n v="0"/>
    <n v="10.555999999999999"/>
    <n v="23.3"/>
    <n v="29"/>
    <n v="803.44827586206895"/>
    <x v="1"/>
    <x v="0"/>
    <n v="6"/>
    <n v="1"/>
    <n v="30.333333333333332"/>
  </r>
  <r>
    <d v="2025-02-18T10:30:00"/>
    <s v="SOPLADO"/>
    <x v="11"/>
    <x v="49"/>
    <s v="FABIAN HERNANDEZ"/>
    <s v="VIRGEN"/>
    <s v="PP SOPLADO"/>
    <s v="."/>
    <s v="TOMATODO 350ML PASTEL"/>
    <s v="TOMATODO 350ML PASTEL-ROSADO"/>
    <n v="204"/>
    <n v="2"/>
    <n v="13.1"/>
    <x v="1"/>
    <m/>
    <n v="2"/>
    <n v="964"/>
    <n v="21124"/>
    <s v="ROSADO"/>
    <n v="0"/>
    <n v="0"/>
    <n v="0"/>
    <n v="5.9160000000000004"/>
    <n v="13.1"/>
    <n v="29"/>
    <n v="451.72413793103448"/>
    <x v="1"/>
    <x v="0"/>
    <n v="6"/>
    <n v="1"/>
    <n v="17"/>
  </r>
  <r>
    <d v="2025-02-18T10:30:00"/>
    <s v="SOPLADO"/>
    <x v="11"/>
    <x v="50"/>
    <s v="GABRIEL REQUENA"/>
    <s v="VIRGEN"/>
    <s v="PP SOPLADO"/>
    <s v="."/>
    <s v="TOMATODO 350ML PASTEL"/>
    <s v="TOMATODO 350ML PASTEL-AZURE"/>
    <n v="810"/>
    <n v="8"/>
    <n v="51.9"/>
    <x v="0"/>
    <m/>
    <n v="10"/>
    <n v="964"/>
    <n v="21125"/>
    <s v="AZURE"/>
    <n v="11.1"/>
    <n v="0"/>
    <n v="0"/>
    <n v="23.49"/>
    <n v="51.9"/>
    <n v="29"/>
    <n v="1789.655172413793"/>
    <x v="1"/>
    <x v="0"/>
    <n v="6"/>
    <n v="1"/>
    <n v="67.5"/>
  </r>
  <r>
    <d v="2025-02-18T10:30:00"/>
    <s v="SOPLADO"/>
    <x v="11"/>
    <x v="50"/>
    <s v="JUAN MANUEL PEREZ"/>
    <s v="VIRGEN"/>
    <s v="PP SOPLADO"/>
    <s v="."/>
    <s v="TOMATODO 350ML PASTEL"/>
    <s v="TOMATODO 350ML PASTEL-CELESTE"/>
    <n v="401"/>
    <n v="4"/>
    <n v="25.7"/>
    <x v="1"/>
    <m/>
    <n v="4"/>
    <n v="964"/>
    <n v="21126"/>
    <s v="CELESTE"/>
    <n v="22.499999999999996"/>
    <n v="0"/>
    <n v="0"/>
    <n v="11.629"/>
    <n v="25.7"/>
    <n v="29"/>
    <n v="886.20689655172418"/>
    <x v="1"/>
    <x v="0"/>
    <n v="6"/>
    <n v="1"/>
    <n v="33.416666666666664"/>
  </r>
  <r>
    <d v="2025-02-18T10:30:00"/>
    <s v="SOPLADO"/>
    <x v="11"/>
    <x v="50"/>
    <s v="JUAN MANUEL PEREZ"/>
    <s v="VIRGEN"/>
    <s v="PP SOPLADO"/>
    <s v="."/>
    <s v="TOMATODO 350ML PASTEL"/>
    <s v="TOMATODO 350ML PASTEL-SANDIA"/>
    <n v="485"/>
    <n v="4"/>
    <n v="31.1"/>
    <x v="1"/>
    <m/>
    <n v="4"/>
    <n v="964"/>
    <n v="21126"/>
    <s v="SANDIA"/>
    <n v="30.400000000000002"/>
    <n v="0"/>
    <n v="0"/>
    <n v="14.065"/>
    <n v="31.1"/>
    <n v="29"/>
    <n v="1072.4137931034484"/>
    <x v="1"/>
    <x v="0"/>
    <n v="6"/>
    <n v="1"/>
    <n v="40.416666666666664"/>
  </r>
  <r>
    <d v="2025-02-18T10:30:00"/>
    <s v="SOPLADO"/>
    <x v="11"/>
    <x v="50"/>
    <s v="JUAN MANUEL PEREZ"/>
    <s v="VIRGEN"/>
    <s v="PP SOPLADO"/>
    <s v="."/>
    <s v="TOMATODO 350ML PASTEL"/>
    <s v="TOMATODO 350ML PASTEL-ROSADO"/>
    <n v="467"/>
    <n v="4"/>
    <n v="29.9"/>
    <x v="1"/>
    <m/>
    <n v="4"/>
    <n v="964"/>
    <n v="21126"/>
    <s v="ROSADO"/>
    <n v="29"/>
    <n v="0"/>
    <n v="0"/>
    <n v="13.542999999999999"/>
    <n v="29.9"/>
    <n v="29"/>
    <n v="1031.0344827586207"/>
    <x v="1"/>
    <x v="0"/>
    <n v="6"/>
    <n v="1"/>
    <n v="38.916666666666664"/>
  </r>
  <r>
    <d v="2025-02-18T10:30:00"/>
    <s v="SOPLADO"/>
    <x v="11"/>
    <x v="30"/>
    <s v="JUAN CARLOS/CRISALIDA"/>
    <s v="VIRGEN"/>
    <s v="PP SOPLADO"/>
    <s v="."/>
    <s v="TOMATODO 350ML PASTEL"/>
    <s v="TOMATODO 350ML PASTEL-TURQUESA"/>
    <n v="475"/>
    <n v="4"/>
    <n v="30.4"/>
    <x v="0"/>
    <m/>
    <n v="3"/>
    <n v="964"/>
    <n v="21127"/>
    <s v="TURQUESA"/>
    <n v="29.1"/>
    <n v="0"/>
    <n v="0"/>
    <n v="13.775"/>
    <n v="30.4"/>
    <n v="29"/>
    <n v="1048.2758620689656"/>
    <x v="1"/>
    <x v="0"/>
    <n v="7"/>
    <n v="1"/>
    <n v="39.583333333333336"/>
  </r>
  <r>
    <d v="2025-02-18T10:30:00"/>
    <s v="SOPLADO"/>
    <x v="11"/>
    <x v="30"/>
    <s v="JUAN CARLOS/CRISALIDA"/>
    <s v="VIRGEN"/>
    <s v="PP SOPLADO"/>
    <s v="."/>
    <s v="TOMATODO 350ML PASTEL"/>
    <s v="TOMATODO 350ML PASTEL-LILA"/>
    <n v="456"/>
    <n v="4"/>
    <n v="29.2"/>
    <x v="0"/>
    <m/>
    <n v="4"/>
    <n v="964"/>
    <n v="21127"/>
    <s v="LILA"/>
    <n v="10.9"/>
    <n v="0"/>
    <n v="0"/>
    <n v="13.224"/>
    <n v="29.2"/>
    <n v="29"/>
    <n v="1006.8965517241379"/>
    <x v="1"/>
    <x v="0"/>
    <n v="7"/>
    <n v="1"/>
    <n v="38"/>
  </r>
  <r>
    <d v="2025-02-18T10:30:00"/>
    <s v="SOPLADO"/>
    <x v="11"/>
    <x v="30"/>
    <s v="JUAN CARLOS/CRISALIDA"/>
    <s v="VIRGEN"/>
    <s v="PP SOPLADO"/>
    <s v="."/>
    <s v="TOMATODO 350ML"/>
    <s v="TOMATODO 350ML-TRANSPARENTE"/>
    <n v="331"/>
    <n v="3"/>
    <n v="21.2"/>
    <x v="0"/>
    <m/>
    <n v="2"/>
    <n v="964"/>
    <n v="21127"/>
    <s v="TRANSPARENTE"/>
    <n v="7.6"/>
    <n v="0"/>
    <n v="0"/>
    <n v="20.521999999999998"/>
    <n v="21.2"/>
    <n v="62"/>
    <n v="341.93548387096774"/>
    <x v="1"/>
    <x v="0"/>
    <n v="7"/>
    <n v="2"/>
    <n v="55.166666666666664"/>
  </r>
  <r>
    <d v="2025-02-18T10:30:00"/>
    <s v="SOPLADO"/>
    <x v="11"/>
    <x v="30"/>
    <s v="FABIAN HERNANDEZ"/>
    <s v="VIRGEN"/>
    <s v="PP SOPLADO"/>
    <s v="."/>
    <s v="TOMATODO 350ML"/>
    <s v="TOMATODO 350ML-TRANSPARENTE"/>
    <n v="1432"/>
    <n v="12"/>
    <n v="91.7"/>
    <x v="1"/>
    <m/>
    <n v="14"/>
    <n v="964"/>
    <n v="21127"/>
    <s v="TRANSPARENTE"/>
    <n v="61.6"/>
    <n v="0"/>
    <n v="0"/>
    <n v="88.784000000000006"/>
    <n v="91.7"/>
    <n v="62"/>
    <n v="1479.0322580645161"/>
    <x v="1"/>
    <x v="0"/>
    <n v="7"/>
    <n v="2"/>
    <n v="238.66666666666666"/>
  </r>
  <r>
    <d v="2025-02-18T10:30:00"/>
    <s v="SOPLADO"/>
    <x v="11"/>
    <x v="43"/>
    <s v="CRISALIDA ZAPATA"/>
    <s v="VIRGEN"/>
    <s v="PP SOPLADO"/>
    <s v="."/>
    <s v="TOMATODO 350ML PASTEL"/>
    <s v="TOMATODO 350ML PASTEL-LILA"/>
    <n v="445"/>
    <n v="4"/>
    <n v="28.8"/>
    <x v="0"/>
    <m/>
    <n v="2"/>
    <n v="964"/>
    <n v="21129"/>
    <s v="LILA"/>
    <n v="6.6"/>
    <n v="0"/>
    <n v="0"/>
    <n v="12.904999999999999"/>
    <n v="28.8"/>
    <n v="29"/>
    <n v="993.10344827586209"/>
    <x v="1"/>
    <x v="0"/>
    <n v="8"/>
    <n v="1"/>
    <n v="37.083333333333336"/>
  </r>
  <r>
    <d v="2025-02-18T10:30:00"/>
    <s v="SOPLADO"/>
    <x v="11"/>
    <x v="43"/>
    <s v="CRISALIDA ZAPATA"/>
    <s v="VIRGEN"/>
    <s v="PP SOPLADO"/>
    <s v="."/>
    <s v="TOMATODO 350ML PASTEL"/>
    <s v="TOMATODO 350ML PASTEL-SANDIA"/>
    <n v="235"/>
    <n v="2"/>
    <n v="15.1"/>
    <x v="0"/>
    <m/>
    <n v="2"/>
    <n v="964"/>
    <n v="21129"/>
    <s v="SANDIA"/>
    <n v="6.8"/>
    <n v="0"/>
    <n v="0"/>
    <n v="6.8150000000000004"/>
    <n v="15.1"/>
    <n v="29"/>
    <n v="520.68965517241384"/>
    <x v="1"/>
    <x v="0"/>
    <n v="8"/>
    <n v="1"/>
    <n v="19.583333333333332"/>
  </r>
  <r>
    <d v="2025-02-18T10:30:00"/>
    <s v="SOPLADO"/>
    <x v="11"/>
    <x v="43"/>
    <s v="CRISALIDA ZAPATA"/>
    <s v="VIRGEN"/>
    <s v="PP SOPLADO"/>
    <s v="."/>
    <s v="TOMATODO 350ML PASTEL"/>
    <s v="TOMATODO 350ML PASTEL-ROSADO"/>
    <n v="335"/>
    <n v="3"/>
    <n v="21.5"/>
    <x v="0"/>
    <m/>
    <n v="3"/>
    <n v="964"/>
    <n v="21129"/>
    <s v="ROSADO"/>
    <n v="7.4"/>
    <n v="0"/>
    <n v="0"/>
    <n v="9.7149999999999999"/>
    <n v="21.5"/>
    <n v="29"/>
    <n v="741.37931034482756"/>
    <x v="1"/>
    <x v="0"/>
    <n v="8"/>
    <n v="1"/>
    <n v="27.916666666666668"/>
  </r>
  <r>
    <d v="2025-02-18T10:30:00"/>
    <s v="SOPLADO"/>
    <x v="9"/>
    <x v="48"/>
    <s v="SAID VILLAMIZAR"/>
    <s v="VIRGEN"/>
    <s v="PP SOPLADO"/>
    <s v="."/>
    <s v="SALSERO MULTIUSO 380 ML"/>
    <s v="SALSERO MULTIUSO 380ML-TRANSPARENTE"/>
    <n v="955"/>
    <n v="7"/>
    <n v="26"/>
    <x v="0"/>
    <m/>
    <n v="5"/>
    <n v="991"/>
    <n v="20287"/>
    <s v="TRANSPARENTE"/>
    <n v="0"/>
    <n v="0"/>
    <n v="0"/>
    <n v="22.92"/>
    <n v="26"/>
    <n v="24"/>
    <n v="1083.3333333333333"/>
    <x v="1"/>
    <x v="0"/>
    <n v="6"/>
    <n v="1"/>
    <n v="79.583333333333329"/>
  </r>
  <r>
    <d v="2025-02-18T10:30:00"/>
    <s v="SOPLADO"/>
    <x v="9"/>
    <x v="49"/>
    <s v="LUIS PINEDO"/>
    <s v="VIRGEN"/>
    <s v="PP SOPLADO"/>
    <s v="."/>
    <s v="SALSERO MULTIUSO 380 ML"/>
    <s v="SALSERO MULTIUSO 380ML-TRANSPARENTE"/>
    <n v="807"/>
    <n v="8"/>
    <n v="21"/>
    <x v="0"/>
    <m/>
    <n v="3"/>
    <n v="991"/>
    <n v="20287"/>
    <s v="TRANSPARENTE"/>
    <n v="21"/>
    <n v="0"/>
    <n v="0"/>
    <n v="19.367999999999999"/>
    <n v="21"/>
    <n v="24"/>
    <n v="875"/>
    <x v="1"/>
    <x v="0"/>
    <n v="6"/>
    <n v="1"/>
    <n v="67.25"/>
  </r>
  <r>
    <d v="2025-02-18T10:30:00"/>
    <s v="SOPLADO"/>
    <x v="9"/>
    <x v="31"/>
    <s v="GABRIEL REQUENA"/>
    <s v="VIRGEN"/>
    <s v="PP SOPLADO"/>
    <s v="."/>
    <s v="SALSERO MULTIUSO 380 ML"/>
    <s v="SALSERO MULTIUSO 380ML-TRANSPARENTE"/>
    <n v="1138"/>
    <n v="9"/>
    <n v="29.6"/>
    <x v="0"/>
    <m/>
    <n v="6"/>
    <n v="991"/>
    <n v="20288"/>
    <s v="TRANSPARENTE"/>
    <n v="27"/>
    <n v="0"/>
    <n v="0"/>
    <n v="27.312000000000001"/>
    <n v="29.6"/>
    <n v="24"/>
    <n v="1233.3333333333333"/>
    <x v="1"/>
    <x v="0"/>
    <n v="7"/>
    <n v="1"/>
    <n v="94.833333333333329"/>
  </r>
  <r>
    <d v="2025-02-18T10:30:00"/>
    <s v="SOPLADO"/>
    <x v="9"/>
    <x v="36"/>
    <s v="LUIS PINEDO"/>
    <s v="VIRGEN"/>
    <s v="PP SOPLADO"/>
    <s v="."/>
    <s v="TOMATODO AVENTURA 600ML"/>
    <s v="TOMATODO AVENTURA 600ML-TRANSPARENTE"/>
    <n v="174"/>
    <n v="2"/>
    <n v="8.1999999999999993"/>
    <x v="0"/>
    <m/>
    <n v="2"/>
    <n v="1003"/>
    <n v="20289"/>
    <s v="TRANSPARENTE"/>
    <n v="39.599999999999994"/>
    <n v="0"/>
    <n v="0"/>
    <n v="8.0039999999999996"/>
    <n v="8.1999999999999993"/>
    <n v="46"/>
    <n v="178.2608695652174"/>
    <x v="1"/>
    <x v="0"/>
    <n v="7"/>
    <n v="1"/>
    <n v="14.5"/>
  </r>
  <r>
    <d v="2025-02-18T10:30:00"/>
    <s v="SOPLADO"/>
    <x v="9"/>
    <x v="37"/>
    <s v="LUIS PINEDO"/>
    <s v="VIRGEN"/>
    <s v="PP SOPLADO"/>
    <s v="."/>
    <s v="TOMATODO AVENTURA 600ML"/>
    <s v="TOMATODO AVENTURA 600ML-TRANSPARENTE"/>
    <n v="683"/>
    <n v="6"/>
    <n v="32.799999999999997"/>
    <x v="0"/>
    <m/>
    <n v="5"/>
    <n v="1003"/>
    <n v="20290"/>
    <s v="TRANSPARENTE"/>
    <n v="38.799999999999997"/>
    <n v="0"/>
    <n v="0"/>
    <n v="31.417999999999999"/>
    <n v="32.799999999999997"/>
    <n v="46"/>
    <n v="713.04347826086962"/>
    <x v="1"/>
    <x v="0"/>
    <n v="7"/>
    <n v="1"/>
    <n v="56.916666666666664"/>
  </r>
  <r>
    <d v="2025-02-18T10:30:00"/>
    <s v="SOPLADO"/>
    <x v="9"/>
    <x v="32"/>
    <s v="LUIS RENGIFO"/>
    <s v="VIRGEN"/>
    <s v="PP SOPLADO"/>
    <s v="."/>
    <s v="TOMATODO AVENTURA 600ML"/>
    <s v="TOMATODO AVENTURA 600ML-TRANSPARENTE"/>
    <n v="908"/>
    <n v="9"/>
    <n v="44.5"/>
    <x v="0"/>
    <m/>
    <n v="6"/>
    <n v="1003"/>
    <n v="20291"/>
    <s v="TRANSPARENTE"/>
    <n v="0"/>
    <n v="0"/>
    <n v="0"/>
    <n v="41.768000000000001"/>
    <n v="44.5"/>
    <n v="46"/>
    <n v="967.39130434782612"/>
    <x v="1"/>
    <x v="0"/>
    <n v="7"/>
    <n v="1"/>
    <n v="75.666666666666671"/>
  </r>
  <r>
    <d v="2025-02-18T10:30:00"/>
    <s v="SOPLADO"/>
    <x v="9"/>
    <x v="34"/>
    <s v="FABIAN HERNANDEZ"/>
    <s v="VIRGEN"/>
    <s v="PP SOPLADO"/>
    <s v="."/>
    <s v="TOMATODO AVENTURA 600ML"/>
    <s v="TOMATODO AVENTURA 600ML-TRANSPARENTE"/>
    <n v="1244"/>
    <n v="12"/>
    <n v="61"/>
    <x v="1"/>
    <m/>
    <n v="6"/>
    <n v="1003"/>
    <n v="20292"/>
    <s v="TRANSPARENTE"/>
    <n v="32.4"/>
    <n v="0"/>
    <n v="0"/>
    <n v="57.223999999999997"/>
    <n v="61"/>
    <n v="46"/>
    <n v="1326.0869565217392"/>
    <x v="1"/>
    <x v="0"/>
    <n v="8"/>
    <n v="1"/>
    <n v="103.66666666666667"/>
  </r>
  <r>
    <d v="2025-02-18T10:30:00"/>
    <s v="SOPLADO"/>
    <x v="9"/>
    <x v="43"/>
    <s v="SAID VILLAMIZAR"/>
    <s v="VIRGEN"/>
    <s v="PP SOPLADO"/>
    <s v="."/>
    <s v="TOMATODO AVENTURA 600ML"/>
    <s v="TOMATODO AVENTURA 600ML-TRANSPARENTE"/>
    <n v="659"/>
    <n v="6"/>
    <n v="32.299999999999997"/>
    <x v="0"/>
    <m/>
    <n v="4"/>
    <n v="1003"/>
    <n v="20293"/>
    <s v="TRANSPARENTE"/>
    <n v="33.199999999999996"/>
    <n v="0"/>
    <n v="0"/>
    <n v="30.314"/>
    <n v="32.299999999999997"/>
    <n v="46"/>
    <n v="702.17391304347814"/>
    <x v="1"/>
    <x v="0"/>
    <n v="8"/>
    <n v="1"/>
    <n v="54.916666666666664"/>
  </r>
  <r>
    <d v="2025-02-18T10:30:00"/>
    <s v="SOPLADO"/>
    <x v="9"/>
    <x v="44"/>
    <s v="GABRIEL REQUENA"/>
    <s v="VIRGEN"/>
    <s v="PP SOPLADO"/>
    <s v="."/>
    <s v="TOMATODO ULTRA 900ML"/>
    <s v="TOMATODO ULTRA 900ML-TRANSPARENTE"/>
    <n v="978"/>
    <n v="9"/>
    <n v="58.7"/>
    <x v="0"/>
    <m/>
    <n v="10"/>
    <n v="1003"/>
    <n v="20294"/>
    <s v="TRANSPARENTE"/>
    <n v="50.7"/>
    <n v="0"/>
    <n v="0"/>
    <n v="58.68"/>
    <n v="58.7"/>
    <n v="60"/>
    <n v="978.33333333333337"/>
    <x v="1"/>
    <x v="0"/>
    <n v="8"/>
    <n v="1"/>
    <n v="81.5"/>
  </r>
  <r>
    <d v="2025-02-18T10:30:00"/>
    <s v="SOPLADO"/>
    <x v="9"/>
    <x v="51"/>
    <s v="LUIS PINEDO"/>
    <s v="VIRGEN"/>
    <s v="PP SOPLADO"/>
    <s v="."/>
    <s v="TOMATODO ULTRA 900ML"/>
    <s v="TOMATODO ULTRA 900ML-TRANSPARENTE"/>
    <n v="722"/>
    <n v="7"/>
    <n v="43.3"/>
    <x v="0"/>
    <m/>
    <n v="10"/>
    <n v="1003"/>
    <n v="20296"/>
    <s v="TRANSPARENTE"/>
    <n v="26.8"/>
    <n v="0"/>
    <n v="0"/>
    <n v="43.32"/>
    <n v="43.3"/>
    <n v="60"/>
    <n v="721.66666666666663"/>
    <x v="1"/>
    <x v="0"/>
    <n v="8"/>
    <n v="1"/>
    <n v="60.166666666666664"/>
  </r>
  <r>
    <d v="2025-02-18T10:30:00"/>
    <s v="SOPLADO"/>
    <x v="9"/>
    <x v="52"/>
    <s v="SAID VILLAMIZAR"/>
    <s v="VIRGEN"/>
    <s v="PP SOPLADO"/>
    <s v="."/>
    <s v="TOMATODO ULTRA 900ML"/>
    <s v="TOMATODO ULTRA 900ML-TRANSPARENTE"/>
    <n v="861"/>
    <n v="8"/>
    <n v="51.7"/>
    <x v="0"/>
    <m/>
    <n v="8"/>
    <n v="1003"/>
    <n v="20297"/>
    <s v="TRANSPARENTE"/>
    <n v="43"/>
    <n v="0"/>
    <n v="0"/>
    <n v="51.66"/>
    <n v="51.7"/>
    <n v="60"/>
    <n v="861.66666666666663"/>
    <x v="1"/>
    <x v="0"/>
    <n v="8"/>
    <n v="1"/>
    <n v="71.75"/>
  </r>
  <r>
    <d v="2025-02-18T10:30:00"/>
    <s v="SOPLADO"/>
    <x v="12"/>
    <x v="44"/>
    <s v="NELSON PINEDO"/>
    <s v="VIRGEN"/>
    <s v="PP SOPLADO"/>
    <s v="."/>
    <s v="SALSERO 1200 ML"/>
    <s v="SALSERO MULTIUSO 1200ML-TRANSPARENTE"/>
    <n v="915"/>
    <n v="9"/>
    <n v="54.9"/>
    <x v="0"/>
    <m/>
    <n v="7"/>
    <n v="1000"/>
    <n v="20152"/>
    <s v="TRANSPARENTE"/>
    <n v="0"/>
    <n v="0"/>
    <n v="0"/>
    <n v="59.475000000000001"/>
    <n v="54.9"/>
    <n v="65"/>
    <n v="844.61538461538464"/>
    <x v="1"/>
    <x v="0"/>
    <n v="8"/>
    <n v="1"/>
    <n v="76.25"/>
  </r>
  <r>
    <d v="2025-02-18T10:30:00"/>
    <s v="SOPLADO"/>
    <x v="12"/>
    <x v="51"/>
    <s v="NELSON PINEDO"/>
    <s v="VIRGEN"/>
    <s v="PP SOPLADO"/>
    <s v="."/>
    <s v="SALSERO 1200 ML"/>
    <s v="SALSERO MULTIUSO 1200ML-TRANSPARENTE"/>
    <n v="916"/>
    <n v="9"/>
    <n v="54.1"/>
    <x v="0"/>
    <m/>
    <n v="0"/>
    <n v="1000"/>
    <n v="20153"/>
    <s v="TRANSPARENTE"/>
    <n v="10.3"/>
    <n v="0"/>
    <n v="0"/>
    <n v="59.54"/>
    <n v="54.1"/>
    <n v="65"/>
    <n v="832.30769230769226"/>
    <x v="1"/>
    <x v="0"/>
    <n v="8"/>
    <n v="1"/>
    <n v="76.333333333333329"/>
  </r>
  <r>
    <d v="2025-02-18T10:30:00"/>
    <s v="SOPLADO"/>
    <x v="12"/>
    <x v="52"/>
    <s v="NELSON PINEDO"/>
    <s v="VIRGEN"/>
    <s v="PP SOPLADO"/>
    <s v="."/>
    <s v="SALSERO MULTIUSO 600 ML"/>
    <s v="SALSERO MULTIUSO 600ML-TRANSPARENTE"/>
    <n v="657"/>
    <n v="6"/>
    <n v="26.3"/>
    <x v="0"/>
    <m/>
    <n v="5"/>
    <n v="1000"/>
    <n v="20154"/>
    <s v="TRANSPARENTE"/>
    <n v="0"/>
    <n v="0"/>
    <n v="0"/>
    <n v="26.28"/>
    <n v="26.3"/>
    <n v="40"/>
    <n v="657.5"/>
    <x v="1"/>
    <x v="0"/>
    <n v="8"/>
    <n v="1"/>
    <n v="54.75"/>
  </r>
  <r>
    <d v="2025-02-18T10:30:00"/>
    <s v="SOPLADO"/>
    <x v="12"/>
    <x v="45"/>
    <s v="LUIS RENGIFO"/>
    <s v="VIRGEN"/>
    <s v="PP SOPLADO"/>
    <s v="."/>
    <s v="SALSERO MULTIUSO 600 ML"/>
    <s v="SALSERO MULTIUSO 600ML-TRANSPARENTE"/>
    <n v="884"/>
    <n v="8"/>
    <n v="34.5"/>
    <x v="0"/>
    <m/>
    <n v="7"/>
    <n v="1000"/>
    <n v="20155"/>
    <s v="TRANSPARENTE"/>
    <n v="0"/>
    <n v="0"/>
    <n v="0"/>
    <n v="35.36"/>
    <n v="34.5"/>
    <n v="40"/>
    <n v="862.5"/>
    <x v="1"/>
    <x v="0"/>
    <n v="9"/>
    <n v="1"/>
    <n v="73.666666666666671"/>
  </r>
  <r>
    <d v="2025-02-18T10:30:00"/>
    <s v="SOPLADO"/>
    <x v="12"/>
    <x v="38"/>
    <s v="SAID VILLAMIZAR"/>
    <s v="VIRGEN"/>
    <s v="PP SOPLADO"/>
    <s v="."/>
    <s v="SALSERO MULTIUSO 600 ML"/>
    <s v="SALSERO MULTIUSO 600ML-TRANSPARENTE"/>
    <n v="1360"/>
    <n v="9"/>
    <n v="54.4"/>
    <x v="0"/>
    <m/>
    <n v="7"/>
    <n v="1000"/>
    <n v="20156"/>
    <s v="TRANSPARENTE"/>
    <n v="21.7"/>
    <n v="0"/>
    <n v="0"/>
    <n v="54.4"/>
    <n v="54.4"/>
    <n v="40"/>
    <n v="1360"/>
    <x v="1"/>
    <x v="0"/>
    <n v="9"/>
    <n v="1"/>
    <n v="113.33333333333333"/>
  </r>
  <r>
    <d v="2025-02-18T10:30:00"/>
    <s v="SOPLADO"/>
    <x v="12"/>
    <x v="39"/>
    <s v="NELSON PINEDO"/>
    <s v="VIRGEN"/>
    <s v="PP SOPLADO"/>
    <s v="."/>
    <s v="SALSERO MULTIUSO 480 ML"/>
    <s v="SALSERO MULTIUSO 480ML-TRANSPARENTE"/>
    <n v="150"/>
    <n v="2"/>
    <n v="6"/>
    <x v="0"/>
    <m/>
    <n v="1"/>
    <n v="1027"/>
    <n v="20156"/>
    <s v="TRANSPARENTE"/>
    <n v="0"/>
    <n v="0"/>
    <n v="0"/>
    <n v="5.7"/>
    <n v="6"/>
    <n v="38"/>
    <n v="157.89473684210526"/>
    <x v="1"/>
    <x v="0"/>
    <n v="9"/>
    <n v="1"/>
    <n v="12.5"/>
  </r>
  <r>
    <d v="2025-02-18T10:30:00"/>
    <s v="SOPLADO"/>
    <x v="12"/>
    <x v="40"/>
    <s v="NELSON PINEDO"/>
    <s v="VIRGEN"/>
    <s v="PP SOPLADO"/>
    <s v="."/>
    <s v="SALSERO MULTIUSO 480 ML"/>
    <s v="SALSERO MULTIUSO 480ML-TRANSPARENTE"/>
    <n v="1089"/>
    <n v="9"/>
    <n v="37"/>
    <x v="0"/>
    <m/>
    <n v="7"/>
    <n v="1027"/>
    <n v="20158"/>
    <s v="TRANSPARENTE"/>
    <n v="14.7"/>
    <n v="0"/>
    <n v="0"/>
    <n v="41.381999999999998"/>
    <n v="37"/>
    <n v="38"/>
    <n v="973.68421052631584"/>
    <x v="1"/>
    <x v="0"/>
    <n v="9"/>
    <n v="1"/>
    <n v="90.75"/>
  </r>
  <r>
    <d v="2025-04-28T08:46:00"/>
    <s v="INYECTADO"/>
    <x v="4"/>
    <x v="57"/>
    <s v="CRISALIDA ZAPATA"/>
    <s v="VIRGEN"/>
    <s v="PP CLARIFICADO"/>
    <s v="."/>
    <s v="ASAS DE BALDE PLAYERO"/>
    <s v="ASA DE BALDE PLAYERO-AZUL"/>
    <n v="17"/>
    <n v="1"/>
    <n v="0.7"/>
    <x v="0"/>
    <n v="0"/>
    <n v="1"/>
    <n v="1009"/>
    <n v="20434"/>
    <s v="AZUL"/>
    <n v="1.5"/>
    <n v="0"/>
    <n v="0"/>
    <n v="0.17"/>
    <n v="0.7"/>
    <n v="10"/>
    <n v="70"/>
    <x v="3"/>
    <x v="0"/>
    <n v="14"/>
    <n v="4"/>
    <n v="5.666666666666667"/>
  </r>
  <r>
    <d v="2025-04-28T08:46:00"/>
    <s v="INYECTADO"/>
    <x v="4"/>
    <x v="57"/>
    <s v="CRISALIDA ZAPATA"/>
    <s v="VIRGEN"/>
    <s v="PP CLARIFICADO"/>
    <s v="."/>
    <s v="ASAS DE BALDE PLAYERO"/>
    <s v="ASA DE BALDE PLAYERO-AMARILLO"/>
    <n v="17.100000000000001"/>
    <n v="3"/>
    <n v="417"/>
    <x v="0"/>
    <n v="0"/>
    <n v="1"/>
    <n v="1009"/>
    <n v="20434"/>
    <s v="AMARILLO"/>
    <n v="6.5"/>
    <n v="0"/>
    <n v="0"/>
    <n v="0.17100000000000001"/>
    <n v="417"/>
    <n v="10"/>
    <n v="41700"/>
    <x v="3"/>
    <x v="0"/>
    <n v="14"/>
    <n v="4"/>
    <n v="5.7"/>
  </r>
  <r>
    <d v="2025-04-28T08:46:00"/>
    <s v="INYECTADO"/>
    <x v="4"/>
    <x v="57"/>
    <s v="CRISALIDA ZAPATA"/>
    <s v="VIRGEN"/>
    <s v="PP CLARIFICADO"/>
    <s v="."/>
    <s v="ASAS DE BALDE PLAYERO"/>
    <s v="ASA DE BALDE PLAYERO-FUCSIA"/>
    <n v="269"/>
    <n v="2"/>
    <n v="11.3"/>
    <x v="0"/>
    <n v="0"/>
    <n v="1"/>
    <n v="1009"/>
    <n v="20434"/>
    <s v="FUCSIA"/>
    <n v="4"/>
    <n v="0"/>
    <n v="0"/>
    <n v="2.69"/>
    <n v="11.3"/>
    <n v="10"/>
    <n v="1130"/>
    <x v="3"/>
    <x v="0"/>
    <n v="14"/>
    <n v="4"/>
    <n v="89.666666666666671"/>
  </r>
  <r>
    <d v="2025-04-28T08:46:00"/>
    <s v="INYECTADO"/>
    <x v="4"/>
    <x v="58"/>
    <s v="JUAN CARLOS"/>
    <s v="VIRGEN"/>
    <s v="PP CLARIFICADO"/>
    <s v="."/>
    <s v="ASA CANASTA CANDY"/>
    <s v="ASAS DE CANASTA CANDY-BLANCO"/>
    <n v="1054"/>
    <n v="8"/>
    <n v="39"/>
    <x v="0"/>
    <n v="0"/>
    <n v="5"/>
    <m/>
    <n v="20435"/>
    <s v="BLANCO"/>
    <n v="5.9"/>
    <n v="0"/>
    <n v="0"/>
    <n v="10.54"/>
    <n v="39"/>
    <n v="10"/>
    <n v="3900"/>
    <x v="3"/>
    <x v="0"/>
    <n v="14"/>
    <n v="4"/>
    <n v="351.33333333333331"/>
  </r>
  <r>
    <d v="2025-04-28T08:46:00"/>
    <s v="INYECTADO"/>
    <x v="4"/>
    <x v="58"/>
    <s v="JUAN MANUEL PEREZ"/>
    <s v="VIRGEN"/>
    <s v="PP CLARIFICADO"/>
    <s v="."/>
    <s v="ASA CANASTA CANDY"/>
    <s v="ASAS DE CANASTA CANDY-BLANCO"/>
    <n v="708"/>
    <n v="6"/>
    <n v="26.2"/>
    <x v="1"/>
    <n v="0"/>
    <n v="3"/>
    <m/>
    <n v="20436"/>
    <s v="BLANCO"/>
    <n v="2.2999999999999998"/>
    <n v="0"/>
    <n v="0"/>
    <n v="7.08"/>
    <n v="26.2"/>
    <n v="10"/>
    <n v="2620"/>
    <x v="3"/>
    <x v="0"/>
    <n v="14"/>
    <n v="4"/>
    <n v="236"/>
  </r>
  <r>
    <d v="2025-04-28T08:46:00"/>
    <s v="INYECTADO"/>
    <x v="4"/>
    <x v="59"/>
    <s v="JUAN CARLOS"/>
    <s v="VIRGEN"/>
    <s v="PP CLARIFICADO"/>
    <s v="."/>
    <s v="ASA CANASTA CANDY"/>
    <s v="ASAS DE CANASTA CANDY-BLANCO"/>
    <n v="1401"/>
    <n v="11"/>
    <n v="51.8"/>
    <x v="0"/>
    <n v="0"/>
    <n v="6"/>
    <m/>
    <n v="20437"/>
    <s v="BLANCO"/>
    <n v="9.5"/>
    <n v="0"/>
    <n v="0"/>
    <n v="14.01"/>
    <n v="51.8"/>
    <n v="10"/>
    <n v="5180"/>
    <x v="3"/>
    <x v="0"/>
    <n v="14"/>
    <n v="4"/>
    <n v="467"/>
  </r>
  <r>
    <d v="2025-04-28T08:46:00"/>
    <s v="INYECTADO"/>
    <x v="4"/>
    <x v="60"/>
    <s v="NELSON PINEDO"/>
    <s v="VIRGEN"/>
    <s v="PP CLARIFICADO"/>
    <s v="."/>
    <s v="ASAS PRESION ORG 5,10,15 PASTEL"/>
    <s v="ASAS PRESION ORG 5,10,15 -SANDIA"/>
    <n v="902"/>
    <n v="8"/>
    <n v="37.9"/>
    <x v="0"/>
    <n v="0"/>
    <n v="3"/>
    <m/>
    <n v="20438"/>
    <s v="SANDIA"/>
    <n v="3.9"/>
    <n v="0"/>
    <n v="0"/>
    <n v="9.02"/>
    <n v="37.9"/>
    <n v="10"/>
    <n v="3790"/>
    <x v="3"/>
    <x v="0"/>
    <n v="17"/>
    <n v="4"/>
    <n v="300.66666666666669"/>
  </r>
  <r>
    <d v="2025-04-28T08:46:00"/>
    <s v="INYECTADO"/>
    <x v="5"/>
    <x v="61"/>
    <s v="LINDER"/>
    <s v="VIRGEN"/>
    <s v="ALTA INYECCION"/>
    <s v="."/>
    <s v="ASAS ORGANIZADOR 2 Y 3 SOLIDO"/>
    <s v="ASAS DE ORGANIZADOR 2 Y 3-AZUL"/>
    <n v="530"/>
    <n v="5"/>
    <n v="17.5"/>
    <x v="0"/>
    <n v="0"/>
    <n v="2"/>
    <m/>
    <n v="20378"/>
    <s v="AZUL"/>
    <n v="9.6999999999999993"/>
    <n v="0"/>
    <n v="0"/>
    <n v="5.83"/>
    <n v="17.5"/>
    <n v="11"/>
    <n v="1590.909090909091"/>
    <x v="3"/>
    <x v="0"/>
    <n v="14"/>
    <n v="3"/>
    <n v="132.5"/>
  </r>
  <r>
    <d v="2025-04-28T08:46:00"/>
    <s v="INYECTADO"/>
    <x v="5"/>
    <x v="61"/>
    <s v="LINDER"/>
    <s v="VIRGEN"/>
    <s v="ALTA INYECCION"/>
    <s v="."/>
    <s v="ASAS ORGANIZADOR 2 Y 3 SOLIDO"/>
    <s v="ASAS DE ORGANIZADOR 2 Y 3-LILA"/>
    <n v="157"/>
    <n v="2"/>
    <n v="5.2"/>
    <x v="0"/>
    <n v="0"/>
    <n v="1"/>
    <m/>
    <n v="20378"/>
    <s v="LILA"/>
    <n v="2.4"/>
    <n v="0"/>
    <n v="0"/>
    <n v="1.7270000000000001"/>
    <n v="5.2"/>
    <n v="11"/>
    <n v="472.72727272727275"/>
    <x v="3"/>
    <x v="0"/>
    <n v="14"/>
    <n v="3"/>
    <n v="39.25"/>
  </r>
  <r>
    <d v="2025-04-28T08:46:00"/>
    <s v="INYECTADO"/>
    <x v="5"/>
    <x v="59"/>
    <s v="GABRIEL REQUENA"/>
    <s v="VIRGEN"/>
    <s v="ALTA INYECCION"/>
    <s v="."/>
    <s v="ASAS ORGANIZADOR 2 Y 3 SOLIDO"/>
    <s v="ASAS DE ORGANIZADOR 2 Y 3-LILA"/>
    <n v="260"/>
    <n v="2"/>
    <n v="8.6"/>
    <x v="0"/>
    <n v="0"/>
    <n v="1"/>
    <m/>
    <n v="20379"/>
    <s v="LILA"/>
    <n v="0"/>
    <n v="0"/>
    <n v="0"/>
    <n v="2.86"/>
    <n v="8.6"/>
    <n v="11"/>
    <n v="781.81818181818187"/>
    <x v="3"/>
    <x v="0"/>
    <n v="14"/>
    <n v="3"/>
    <n v="65"/>
  </r>
  <r>
    <d v="2025-04-28T08:46:00"/>
    <s v="INYECTADO"/>
    <x v="5"/>
    <x v="59"/>
    <s v="GABRIEL REQUENA"/>
    <s v="VIRGEN"/>
    <s v="ALTA INYECCION"/>
    <s v="."/>
    <s v="ASAS ORGANIZADOR 2 Y 3 SOLIDO"/>
    <s v="ASAS DE ORGANIZADOR 2 Y 3-AZUL"/>
    <n v="239"/>
    <n v="2"/>
    <n v="7.9"/>
    <x v="0"/>
    <n v="0"/>
    <n v="1"/>
    <m/>
    <n v="20379"/>
    <s v="AZUL"/>
    <n v="4.5"/>
    <n v="0"/>
    <n v="0"/>
    <n v="2.629"/>
    <n v="7.9"/>
    <n v="11"/>
    <n v="718.18181818181813"/>
    <x v="3"/>
    <x v="0"/>
    <n v="14"/>
    <n v="3"/>
    <n v="59.75"/>
  </r>
  <r>
    <d v="2025-04-28T08:46:00"/>
    <s v="INYECTADO"/>
    <x v="5"/>
    <x v="62"/>
    <s v="JUAN CARLOS"/>
    <s v="VIRGEN"/>
    <s v="ALTA INYECCION"/>
    <s v="."/>
    <s v="ASAS ORGANIZADOR 2 Y 3 SOLIDO"/>
    <s v="ASAS DE ORGANIZADOR 2 Y 3-ROJO"/>
    <n v="393"/>
    <n v="3"/>
    <n v="13"/>
    <x v="0"/>
    <n v="0"/>
    <n v="2"/>
    <m/>
    <n v="20380"/>
    <s v="ROJO"/>
    <n v="8.3000000000000007"/>
    <n v="0"/>
    <n v="0"/>
    <n v="4.3230000000000004"/>
    <n v="13"/>
    <n v="11"/>
    <n v="1181.8181818181818"/>
    <x v="3"/>
    <x v="0"/>
    <n v="14"/>
    <n v="3"/>
    <n v="98.25"/>
  </r>
  <r>
    <d v="2025-04-28T08:46:00"/>
    <s v="INYECTADO"/>
    <x v="5"/>
    <x v="62"/>
    <s v="JUAN CARLOS"/>
    <s v="VIRGEN"/>
    <s v="ALTA INYECCION"/>
    <s v="."/>
    <s v="ASAS ORGANIZADOR 2 Y 3 SOLIDO"/>
    <s v="ASAS DE ORGANIZADOR 2 Y 3-LILA"/>
    <n v="409"/>
    <n v="3"/>
    <n v="13.5"/>
    <x v="0"/>
    <n v="0"/>
    <n v="3"/>
    <m/>
    <n v="20380"/>
    <s v="LILA"/>
    <n v="0"/>
    <n v="0"/>
    <n v="0"/>
    <n v="4.4989999999999997"/>
    <n v="13.5"/>
    <n v="11"/>
    <n v="1227.2727272727273"/>
    <x v="3"/>
    <x v="0"/>
    <n v="14"/>
    <n v="3"/>
    <n v="102.25"/>
  </r>
  <r>
    <d v="2025-04-28T08:46:00"/>
    <s v="INYECTADO"/>
    <x v="5"/>
    <x v="63"/>
    <s v="LUIS RENGIFO"/>
    <s v="VIRGEN"/>
    <s v="ALTA INYECCION"/>
    <s v="."/>
    <s v="ASAS ORGANIZADOR 2 Y 3 SOLIDO"/>
    <s v="ASAS DE ORGANIZADOR 2 Y 3-ROJO"/>
    <n v="659"/>
    <n v="6"/>
    <n v="21.1"/>
    <x v="0"/>
    <n v="0"/>
    <n v="4"/>
    <m/>
    <n v="20381"/>
    <s v="ROJO"/>
    <n v="9.3000000000000007"/>
    <n v="0"/>
    <n v="0"/>
    <n v="7.2489999999999997"/>
    <n v="21.1"/>
    <n v="11"/>
    <n v="1918.1818181818182"/>
    <x v="3"/>
    <x v="0"/>
    <n v="15"/>
    <n v="3"/>
    <n v="164.75"/>
  </r>
  <r>
    <d v="2025-04-28T08:46:00"/>
    <s v="INYECTADO"/>
    <x v="5"/>
    <x v="64"/>
    <s v="ISABEL LINARIZ "/>
    <s v="VIRGEN"/>
    <s v="ALTA INYECCION"/>
    <s v="."/>
    <s v="ASAS ORGANIZADOR 2 Y 3 SOLIDO"/>
    <s v="ASAS DE ORGANIZADOR 2 Y 3-ROJO"/>
    <n v="1003"/>
    <n v="6"/>
    <n v="32.1"/>
    <x v="0"/>
    <n v="0"/>
    <n v="5"/>
    <m/>
    <n v="20382"/>
    <s v="ROJO"/>
    <n v="13.4"/>
    <n v="0"/>
    <n v="0"/>
    <n v="11.032999999999999"/>
    <n v="32.1"/>
    <n v="11"/>
    <n v="2918.181818181818"/>
    <x v="3"/>
    <x v="0"/>
    <n v="15"/>
    <n v="3"/>
    <n v="250.75"/>
  </r>
  <r>
    <d v="2025-04-28T08:46:00"/>
    <s v="INYECTADO"/>
    <x v="5"/>
    <x v="65"/>
    <s v="SAMUEL "/>
    <s v="VIRGEN"/>
    <s v="ALTA INYECCION"/>
    <s v="."/>
    <s v="ASAS ORGANIZADOR 2 Y 3 SOLIDO"/>
    <s v="ASAS DE ORGANIZADOR 2 Y 3-ROJO"/>
    <n v="1221"/>
    <n v="9"/>
    <n v="39.1"/>
    <x v="0"/>
    <n v="0"/>
    <n v="3"/>
    <m/>
    <n v="20383"/>
    <s v="ROJO"/>
    <n v="17"/>
    <n v="0"/>
    <n v="0"/>
    <n v="13.430999999999999"/>
    <n v="39.1"/>
    <n v="11"/>
    <n v="3554.5454545454545"/>
    <x v="3"/>
    <x v="0"/>
    <n v="15"/>
    <n v="3"/>
    <n v="305.25"/>
  </r>
  <r>
    <d v="2025-04-28T08:46:00"/>
    <s v="INYECTADO"/>
    <x v="5"/>
    <x v="66"/>
    <s v="JOSDER GONZALEZ"/>
    <s v="VIRGEN"/>
    <s v="ALTA INYECCION"/>
    <s v="."/>
    <s v="ASAS ORGANIZADOR 2 Y 3 SOLIDO"/>
    <s v="ASAS DE ORGANIZADOR 2 Y 3-ROJO"/>
    <n v="476"/>
    <n v="4"/>
    <n v="15.2"/>
    <x v="0"/>
    <n v="0"/>
    <n v="3"/>
    <m/>
    <n v="20384"/>
    <s v="ROJO"/>
    <n v="6.8"/>
    <n v="0"/>
    <n v="0"/>
    <n v="5.2359999999999998"/>
    <n v="15.2"/>
    <n v="11"/>
    <n v="1381.8181818181818"/>
    <x v="3"/>
    <x v="0"/>
    <n v="16"/>
    <n v="3"/>
    <n v="119"/>
  </r>
  <r>
    <d v="2025-04-28T08:46:00"/>
    <s v="INYECTADO"/>
    <x v="5"/>
    <x v="66"/>
    <s v="JOSDER GONZALEZ"/>
    <s v="VIRGEN"/>
    <s v="ALTA INYECCION"/>
    <s v="."/>
    <s v="ASAS ORGANIZADOR 2 Y 3 SOLIDO"/>
    <s v="ASAS DE ORGANIZADOR 2 Y 3-AZUL"/>
    <n v="654"/>
    <n v="6"/>
    <n v="20.9"/>
    <x v="0"/>
    <n v="0"/>
    <n v="2"/>
    <m/>
    <n v="20384"/>
    <s v="AZUL"/>
    <n v="10.5"/>
    <n v="0"/>
    <n v="0"/>
    <n v="7.194"/>
    <n v="20.9"/>
    <n v="11"/>
    <n v="1900"/>
    <x v="3"/>
    <x v="0"/>
    <n v="16"/>
    <n v="3"/>
    <n v="163.5"/>
  </r>
  <r>
    <d v="2025-04-28T08:46:00"/>
    <s v="INYECTADO"/>
    <x v="5"/>
    <x v="66"/>
    <s v="JOSDER GONZALEZ"/>
    <s v="VIRGEN"/>
    <s v="ALTA INYECCION"/>
    <s v="."/>
    <s v="ASAS ORGANIZADOR 2 Y 3 PASTEL"/>
    <s v="ASAS DE ORGANIZADOR 2 Y 3 PASTEL-ROSADO"/>
    <n v="198"/>
    <n v="2"/>
    <n v="6.3"/>
    <x v="0"/>
    <n v="0"/>
    <n v="2"/>
    <m/>
    <n v="20384"/>
    <s v="ROSADO"/>
    <n v="6.8"/>
    <n v="0"/>
    <n v="0"/>
    <e v="#N/A"/>
    <n v="6.3"/>
    <e v="#N/A"/>
    <n v="0"/>
    <x v="3"/>
    <x v="0"/>
    <n v="16"/>
    <e v="#N/A"/>
    <e v="#N/A"/>
  </r>
  <r>
    <d v="2025-04-29T08:46:00"/>
    <s v="INYECTADO"/>
    <x v="0"/>
    <x v="58"/>
    <s v="CRISALIDA ZAPATA"/>
    <s v="VIRGEN"/>
    <s v="PP CLARIFICADO"/>
    <s v="."/>
    <s v="PORTA ACCESORIO"/>
    <s v="PORTA ACCESORIO-ROSADO"/>
    <n v="854"/>
    <n v="4"/>
    <n v="50.2"/>
    <x v="0"/>
    <m/>
    <n v="4"/>
    <m/>
    <n v="20774"/>
    <s v="ROSADO"/>
    <n v="0"/>
    <n v="0"/>
    <n v="0"/>
    <n v="51.24"/>
    <n v="50.2"/>
    <n v="60"/>
    <n v="836.66666666666663"/>
    <x v="3"/>
    <x v="0"/>
    <n v="14"/>
    <n v="1"/>
    <n v="71.166666666666671"/>
  </r>
  <r>
    <d v="2025-04-29T08:46:00"/>
    <s v="INYECTADO"/>
    <x v="0"/>
    <x v="58"/>
    <s v="CRISALIDA ZAPATA"/>
    <s v="VIRGEN"/>
    <s v="PP CLARIFICADO"/>
    <s v="."/>
    <s v="PORTA ACCESORIO"/>
    <s v="PORTA ACCESORIO-LILA"/>
    <n v="856"/>
    <n v="4"/>
    <n v="50.3"/>
    <x v="0"/>
    <m/>
    <n v="4"/>
    <m/>
    <n v="20774"/>
    <s v="LILA"/>
    <n v="3.5"/>
    <n v="0"/>
    <n v="0"/>
    <n v="51.36"/>
    <n v="50.3"/>
    <n v="60"/>
    <n v="838.33333333333337"/>
    <x v="3"/>
    <x v="0"/>
    <n v="14"/>
    <n v="1"/>
    <n v="71.333333333333329"/>
  </r>
  <r>
    <d v="2025-04-29T08:46:00"/>
    <s v="INYECTADO"/>
    <x v="0"/>
    <x v="58"/>
    <s v="CRISALIDA ZAPATA"/>
    <s v="VIRGEN"/>
    <s v="PP CLARIFICADO"/>
    <s v="."/>
    <s v="PORTA ACCESORIO"/>
    <s v="PORTA ACCESORIO-CREMA"/>
    <n v="199"/>
    <n v="1"/>
    <n v="11.7"/>
    <x v="0"/>
    <m/>
    <n v="1"/>
    <m/>
    <n v="20774"/>
    <s v="CREMA"/>
    <n v="2.1"/>
    <n v="0"/>
    <n v="0"/>
    <n v="11.94"/>
    <n v="11.7"/>
    <n v="60"/>
    <n v="195"/>
    <x v="3"/>
    <x v="0"/>
    <n v="14"/>
    <n v="1"/>
    <n v="16.583333333333332"/>
  </r>
  <r>
    <d v="2025-04-29T08:46:00"/>
    <s v="INYECTADO"/>
    <x v="0"/>
    <x v="58"/>
    <s v="ISABEL LINARIZ "/>
    <s v="VIRGEN"/>
    <s v="PP CLARIFICADO"/>
    <s v="."/>
    <s v="PORTA ACCESORIO"/>
    <s v="PORTA ACCESORIO-CREMA"/>
    <n v="655"/>
    <n v="4"/>
    <n v="38.5"/>
    <x v="0"/>
    <m/>
    <n v="4"/>
    <m/>
    <n v="20775"/>
    <s v="CREMA"/>
    <n v="0.5"/>
    <n v="0"/>
    <n v="0"/>
    <n v="39.299999999999997"/>
    <n v="38.5"/>
    <n v="60"/>
    <n v="641.66666666666663"/>
    <x v="3"/>
    <x v="0"/>
    <n v="14"/>
    <n v="1"/>
    <n v="54.583333333333336"/>
  </r>
  <r>
    <d v="2025-04-29T08:46:00"/>
    <s v="INYECTADO"/>
    <x v="0"/>
    <x v="58"/>
    <s v="ISABEL LINARIZ "/>
    <s v="VIRGEN"/>
    <s v="PP CLARIFICADO"/>
    <s v="."/>
    <s v="PORTA ACCESORIO"/>
    <s v="PORTA ACCESORIO-MELON"/>
    <n v="854"/>
    <n v="4"/>
    <n v="50.2"/>
    <x v="0"/>
    <m/>
    <n v="4"/>
    <m/>
    <n v="20775"/>
    <s v="MELON"/>
    <n v="2.9"/>
    <n v="0"/>
    <n v="0"/>
    <n v="51.24"/>
    <n v="50.2"/>
    <n v="60"/>
    <n v="836.66666666666663"/>
    <x v="3"/>
    <x v="0"/>
    <n v="14"/>
    <n v="1"/>
    <n v="71.166666666666671"/>
  </r>
  <r>
    <d v="2025-04-29T08:46:00"/>
    <s v="INYECTADO"/>
    <x v="0"/>
    <x v="58"/>
    <s v="ISABEL LINARIZ "/>
    <s v="VIRGEN"/>
    <s v="PP CLARIFICADO"/>
    <s v="."/>
    <s v="PORTA ACCESORIO"/>
    <s v="PORTA ACCESORIO-TURQUESA"/>
    <n v="864"/>
    <n v="4"/>
    <n v="50.8"/>
    <x v="0"/>
    <m/>
    <n v="4"/>
    <m/>
    <n v="20775"/>
    <s v="TURQUESA"/>
    <n v="0.5"/>
    <n v="0"/>
    <n v="0"/>
    <n v="51.84"/>
    <n v="50.8"/>
    <n v="60"/>
    <n v="846.66666666666663"/>
    <x v="3"/>
    <x v="0"/>
    <n v="14"/>
    <n v="1"/>
    <n v="72"/>
  </r>
  <r>
    <d v="2025-04-29T08:46:00"/>
    <s v="INYECTADO"/>
    <x v="0"/>
    <x v="59"/>
    <s v="CRISALIDA ZAPATA"/>
    <s v="VIRGEN"/>
    <s v="PP CLARIFICADO"/>
    <s v="."/>
    <s v="PORTA ACCESORIO"/>
    <s v="PORTA ACCESORIO-VERDE"/>
    <n v="1899"/>
    <n v="11"/>
    <n v="111.6"/>
    <x v="0"/>
    <m/>
    <n v="7"/>
    <m/>
    <n v="20776"/>
    <s v="VERDE"/>
    <n v="1.9"/>
    <n v="0"/>
    <n v="0"/>
    <n v="113.94"/>
    <n v="111.6"/>
    <n v="60"/>
    <n v="1860"/>
    <x v="3"/>
    <x v="0"/>
    <n v="14"/>
    <n v="1"/>
    <n v="158.25"/>
  </r>
  <r>
    <d v="2025-04-29T08:46:00"/>
    <s v="INYECTADO"/>
    <x v="0"/>
    <x v="62"/>
    <s v="CRISALIDA ZAPATA"/>
    <s v="VIRGEN"/>
    <s v="PP CLARIFICADO"/>
    <s v="."/>
    <s v="PORTA ACCESORIO"/>
    <s v="PORTA ACCESORIO-VERDE"/>
    <n v="490"/>
    <n v="4"/>
    <n v="28.8"/>
    <x v="0"/>
    <m/>
    <n v="2"/>
    <m/>
    <n v="20777"/>
    <s v="VERDE"/>
    <n v="11.6"/>
    <n v="0"/>
    <n v="0"/>
    <n v="29.4"/>
    <n v="28.8"/>
    <n v="60"/>
    <n v="480"/>
    <x v="3"/>
    <x v="0"/>
    <n v="14"/>
    <n v="1"/>
    <n v="40.833333333333336"/>
  </r>
  <r>
    <d v="2025-04-29T08:46:00"/>
    <s v="INYECTADO"/>
    <x v="0"/>
    <x v="62"/>
    <s v="CRISALIDA ZAPATA"/>
    <s v="VIRGEN"/>
    <s v="PP CLARIFICADO"/>
    <s v="."/>
    <s v="PORTA ACCESORIO"/>
    <s v="PORTA ACCESORIO-LILA"/>
    <n v="1059"/>
    <n v="6"/>
    <n v="62.2"/>
    <x v="0"/>
    <m/>
    <n v="5"/>
    <m/>
    <n v="20777"/>
    <s v="LILA"/>
    <n v="0.8"/>
    <n v="0"/>
    <n v="0"/>
    <n v="63.54"/>
    <n v="62.2"/>
    <n v="60"/>
    <n v="1036.6666666666667"/>
    <x v="3"/>
    <x v="0"/>
    <n v="14"/>
    <n v="1"/>
    <n v="88.25"/>
  </r>
  <r>
    <d v="2025-04-29T08:46:00"/>
    <s v="INYECTADO"/>
    <x v="0"/>
    <x v="67"/>
    <s v="CRISALIDA ZAPATA"/>
    <s v="VIRGEN"/>
    <s v="PP CLARIFICADO"/>
    <s v="."/>
    <s v="PORTA ACCESORIO"/>
    <s v="PORTA ACCESORIO-LILA"/>
    <n v="505"/>
    <n v="4"/>
    <n v="29.8"/>
    <x v="0"/>
    <m/>
    <n v="3"/>
    <m/>
    <n v="20778"/>
    <s v="LILA"/>
    <n v="4.0999999999999996"/>
    <n v="0"/>
    <n v="0"/>
    <n v="30.3"/>
    <n v="29.8"/>
    <n v="60"/>
    <n v="496.66666666666669"/>
    <x v="3"/>
    <x v="0"/>
    <n v="15"/>
    <n v="1"/>
    <n v="42.083333333333336"/>
  </r>
  <r>
    <d v="2025-04-29T08:46:00"/>
    <s v="INYECTADO"/>
    <x v="0"/>
    <x v="67"/>
    <s v="CRISALIDA ZAPATA"/>
    <s v="VIRGEN"/>
    <s v="PP CLARIFICADO"/>
    <s v="."/>
    <s v="PORTA ACCESORIO"/>
    <s v="PORTA ACCESORIO-ROSADO"/>
    <n v="1155"/>
    <n v="6"/>
    <n v="68.099999999999994"/>
    <x v="0"/>
    <m/>
    <n v="5"/>
    <m/>
    <n v="20778"/>
    <s v="ROSADO"/>
    <n v="1.1000000000000001"/>
    <n v="0"/>
    <n v="0"/>
    <n v="69.3"/>
    <n v="68.099999999999994"/>
    <n v="60"/>
    <n v="1135"/>
    <x v="3"/>
    <x v="0"/>
    <n v="15"/>
    <n v="1"/>
    <n v="96.25"/>
  </r>
  <r>
    <d v="2025-04-29T08:46:00"/>
    <s v="INYECTADO"/>
    <x v="0"/>
    <x v="68"/>
    <s v="CRISALIDA ZAPATA"/>
    <s v="VIRGEN"/>
    <s v="PP CLARIFICADO"/>
    <s v="."/>
    <s v="PORTA ACCESORIO"/>
    <s v="PORTA ACCESORIO-ROSADO"/>
    <n v="120"/>
    <n v="2"/>
    <n v="7"/>
    <x v="0"/>
    <m/>
    <n v="1"/>
    <m/>
    <n v="20779"/>
    <s v="ROSADO"/>
    <n v="8.3000000000000007"/>
    <n v="0"/>
    <n v="0"/>
    <n v="7.2"/>
    <n v="7"/>
    <n v="60"/>
    <n v="116.66666666666667"/>
    <x v="3"/>
    <x v="0"/>
    <n v="15"/>
    <n v="1"/>
    <n v="10"/>
  </r>
  <r>
    <d v="2025-04-29T08:46:00"/>
    <s v="INYECTADO"/>
    <x v="0"/>
    <x v="68"/>
    <s v="CRISALIDA ZAPATA"/>
    <s v="VIRGEN"/>
    <s v="PP CLARIFICADO"/>
    <s v="."/>
    <s v="PORTA ACCESORIO"/>
    <s v="PORTA ACCESORIO-MELON"/>
    <n v="1037"/>
    <n v="6"/>
    <n v="60.2"/>
    <x v="0"/>
    <m/>
    <n v="5"/>
    <m/>
    <n v="20779"/>
    <s v="MELON"/>
    <n v="9.8000000000000007"/>
    <n v="0"/>
    <n v="0"/>
    <n v="62.22"/>
    <n v="60.2"/>
    <n v="60"/>
    <n v="1003.3333333333334"/>
    <x v="3"/>
    <x v="0"/>
    <n v="15"/>
    <n v="1"/>
    <n v="86.416666666666671"/>
  </r>
  <r>
    <d v="2025-04-29T08:46:00"/>
    <s v="INYECTADO"/>
    <x v="0"/>
    <x v="69"/>
    <s v="CRISALIDA ZAPATA"/>
    <s v="VIRGEN"/>
    <s v="PP CLARIFICADO"/>
    <s v="."/>
    <s v="PORTA ACCESORIO"/>
    <s v="PORTA ACCESORIO-MELON"/>
    <n v="522"/>
    <n v="4"/>
    <n v="29.8"/>
    <x v="0"/>
    <m/>
    <n v="5"/>
    <m/>
    <n v="20780"/>
    <s v="MELON"/>
    <n v="5.5"/>
    <n v="0"/>
    <n v="0"/>
    <n v="31.32"/>
    <n v="29.8"/>
    <n v="60"/>
    <n v="496.66666666666669"/>
    <x v="3"/>
    <x v="0"/>
    <n v="15"/>
    <n v="1"/>
    <n v="43.5"/>
  </r>
  <r>
    <d v="2025-04-29T08:46:00"/>
    <s v="INYECTADO"/>
    <x v="0"/>
    <x v="69"/>
    <s v="CRISALIDA ZAPATA"/>
    <s v="VIRGEN"/>
    <s v="PP CLARIFICADO"/>
    <s v="."/>
    <s v="PORTA ACCESORIO"/>
    <s v="PORTA ACCESORIO-CREMA"/>
    <n v="1293"/>
    <n v="6"/>
    <n v="77.599999999999994"/>
    <x v="0"/>
    <m/>
    <n v="6"/>
    <m/>
    <n v="20780"/>
    <s v="CREMA"/>
    <n v="5.7"/>
    <n v="0"/>
    <n v="0"/>
    <n v="77.58"/>
    <n v="77.599999999999994"/>
    <n v="60"/>
    <n v="1293.3333333333333"/>
    <x v="3"/>
    <x v="0"/>
    <n v="15"/>
    <n v="1"/>
    <n v="107.75"/>
  </r>
  <r>
    <d v="2025-04-29T08:46:00"/>
    <s v="INYECTADO"/>
    <x v="0"/>
    <x v="69"/>
    <s v="JUAN MANUEL PEREZ"/>
    <s v="VIRGEN"/>
    <s v="PP CLARIFICADO"/>
    <s v="."/>
    <s v="PORTA ACCESORIO"/>
    <s v="PORTA ACCESORIO-TURQUESA"/>
    <n v="1182"/>
    <n v="6"/>
    <n v="69.400000000000006"/>
    <x v="0"/>
    <m/>
    <n v="5"/>
    <m/>
    <n v="20781"/>
    <s v="TURQUESA"/>
    <n v="4.7"/>
    <n v="0"/>
    <n v="0"/>
    <n v="70.92"/>
    <n v="69.400000000000006"/>
    <n v="60"/>
    <n v="1156.6666666666667"/>
    <x v="3"/>
    <x v="0"/>
    <n v="15"/>
    <n v="1"/>
    <n v="98.5"/>
  </r>
  <r>
    <d v="2025-04-29T08:46:00"/>
    <s v="INYECTADO"/>
    <x v="0"/>
    <x v="63"/>
    <s v="LUIS PINEDO"/>
    <s v="VIRGEN"/>
    <s v="PP CLARIFICADO"/>
    <s v="."/>
    <s v="CASCO"/>
    <s v="CASCO-VERDE MILITAR"/>
    <n v="836"/>
    <n v="9"/>
    <n v="82"/>
    <x v="0"/>
    <m/>
    <n v="9"/>
    <m/>
    <n v="20782"/>
    <s v="VERDE MILITAR"/>
    <n v="9.5"/>
    <n v="0"/>
    <n v="0"/>
    <n v="86.108000000000004"/>
    <n v="82"/>
    <n v="103"/>
    <n v="796.11650485436894"/>
    <x v="3"/>
    <x v="0"/>
    <n v="15"/>
    <n v="1"/>
    <n v="69.666666666666671"/>
  </r>
  <r>
    <d v="2025-04-29T08:46:00"/>
    <s v="INYECTADO"/>
    <x v="0"/>
    <x v="63"/>
    <s v="GABRIEL REQUENA"/>
    <s v="VIRGEN"/>
    <s v="PP CLARIFICADO"/>
    <s v="."/>
    <s v="CASCO"/>
    <s v="CASCO-VERDE MILITAR"/>
    <n v="1440"/>
    <n v="12"/>
    <n v="142.80000000000001"/>
    <x v="0"/>
    <m/>
    <n v="13"/>
    <m/>
    <n v="20783"/>
    <s v="VERDE MILITAR"/>
    <n v="0"/>
    <n v="0"/>
    <n v="0"/>
    <n v="148.32"/>
    <n v="142.80000000000001"/>
    <n v="103"/>
    <n v="1386.4077669902913"/>
    <x v="3"/>
    <x v="0"/>
    <n v="15"/>
    <n v="1"/>
    <n v="120"/>
  </r>
  <r>
    <d v="2025-04-29T08:46:00"/>
    <s v="INYECTADO"/>
    <x v="0"/>
    <x v="64"/>
    <s v="LUIS PINEDO"/>
    <s v="VIRGEN"/>
    <s v="PP CLARIFICADO"/>
    <s v="."/>
    <s v="CASCO"/>
    <s v="CASCO-VERDE MILITAR"/>
    <n v="1305"/>
    <n v="11"/>
    <n v="126.6"/>
    <x v="0"/>
    <m/>
    <n v="11"/>
    <m/>
    <n v="20784"/>
    <s v="VERDE MILITAR"/>
    <n v="14.7"/>
    <n v="0"/>
    <n v="0"/>
    <n v="134.41499999999999"/>
    <n v="126.6"/>
    <n v="103"/>
    <n v="1229.1262135922329"/>
    <x v="3"/>
    <x v="0"/>
    <n v="15"/>
    <n v="1"/>
    <n v="108.75"/>
  </r>
  <r>
    <d v="2025-04-29T08:46:00"/>
    <s v="INYECTADO"/>
    <x v="0"/>
    <x v="65"/>
    <s v="LINDER"/>
    <s v="VIRGEN"/>
    <s v="PP CLARIFICADO"/>
    <s v="."/>
    <s v="CASCO"/>
    <s v="CASCO-VERDE MILITAR"/>
    <n v="1042"/>
    <n v="11"/>
    <n v="101.1"/>
    <x v="0"/>
    <m/>
    <n v="11"/>
    <m/>
    <n v="20785"/>
    <s v="VERDE MILITAR"/>
    <n v="2.2000000000000002"/>
    <n v="0"/>
    <n v="0"/>
    <n v="107.32599999999999"/>
    <n v="101.1"/>
    <n v="103"/>
    <n v="981.55339805825247"/>
    <x v="3"/>
    <x v="0"/>
    <n v="15"/>
    <n v="1"/>
    <n v="86.833333333333329"/>
  </r>
  <r>
    <d v="2025-04-29T08:46:00"/>
    <s v="INYECTADO"/>
    <x v="0"/>
    <x v="66"/>
    <s v="ISABEL LINARIZ "/>
    <s v="VIRGEN"/>
    <s v="PP CLARIFICADO"/>
    <s v="."/>
    <s v="CASCO"/>
    <s v="CASCO-VERDE MILITAR"/>
    <n v="1137"/>
    <n v="10"/>
    <n v="110.3"/>
    <x v="0"/>
    <m/>
    <n v="14"/>
    <m/>
    <n v="20786"/>
    <s v="VERDE MILITAR"/>
    <n v="10"/>
    <n v="0"/>
    <n v="0"/>
    <n v="117.111"/>
    <n v="110.3"/>
    <n v="103"/>
    <n v="1070.8737864077671"/>
    <x v="3"/>
    <x v="0"/>
    <n v="16"/>
    <n v="1"/>
    <n v="94.75"/>
  </r>
  <r>
    <d v="2025-04-29T08:46:00"/>
    <s v="INYECTADO"/>
    <x v="0"/>
    <x v="70"/>
    <s v="GABRIEL REQUENA"/>
    <s v="VIRGEN"/>
    <s v="PP CLARIFICADO"/>
    <s v="."/>
    <s v="CASCO"/>
    <s v="CASCO-VERDE MILITAR"/>
    <n v="291"/>
    <n v="3"/>
    <n v="28.3"/>
    <x v="0"/>
    <m/>
    <n v="3"/>
    <m/>
    <n v="20787"/>
    <s v="VERDE MILITAR"/>
    <n v="0"/>
    <n v="0"/>
    <n v="0"/>
    <n v="29.972999999999999"/>
    <n v="28.3"/>
    <n v="103"/>
    <n v="274.75728155339806"/>
    <x v="3"/>
    <x v="0"/>
    <n v="16"/>
    <n v="1"/>
    <n v="24.25"/>
  </r>
  <r>
    <d v="2025-04-29T08:46:00"/>
    <s v="INYECTADO"/>
    <x v="1"/>
    <x v="57"/>
    <s v="LEONOR GUTIERREZ"/>
    <s v="SEGUNDA"/>
    <s v="."/>
    <s v="PP INY MOLIDO"/>
    <s v="PALA Y RASTRILLO ROMANO"/>
    <s v="PALA RASTRILLO ROMANO-FUCSIA"/>
    <n v="623"/>
    <n v="6"/>
    <n v="45.5"/>
    <x v="0"/>
    <n v="0"/>
    <n v="6"/>
    <m/>
    <n v="20667"/>
    <s v="FUCSIA"/>
    <n v="10.1"/>
    <n v="0"/>
    <n v="0"/>
    <n v="23.673999999999999"/>
    <n v="45.5"/>
    <n v="38"/>
    <n v="1197.3684210526317"/>
    <x v="3"/>
    <x v="0"/>
    <n v="14"/>
    <n v="2"/>
    <n v="103.83333333333333"/>
  </r>
  <r>
    <d v="2025-04-29T08:46:00"/>
    <s v="INYECTADO"/>
    <x v="1"/>
    <x v="57"/>
    <s v="LEONOR GUTIERREZ"/>
    <s v="SEGUNDA"/>
    <s v="."/>
    <s v="PP INY MOLIDO"/>
    <s v="PALA Y RASTRILLO ROMANO"/>
    <s v="PALA RASTRILLO ROMANO-LILA"/>
    <n v="394"/>
    <n v="3"/>
    <n v="28.8"/>
    <x v="0"/>
    <n v="0"/>
    <n v="4"/>
    <m/>
    <n v="20667"/>
    <s v="LILA"/>
    <n v="8.4"/>
    <n v="0"/>
    <n v="0"/>
    <n v="14.972"/>
    <n v="28.8"/>
    <n v="38"/>
    <n v="757.89473684210532"/>
    <x v="3"/>
    <x v="0"/>
    <n v="14"/>
    <n v="2"/>
    <n v="65.666666666666671"/>
  </r>
  <r>
    <d v="2025-04-29T08:46:00"/>
    <s v="INYECTADO"/>
    <x v="1"/>
    <x v="61"/>
    <s v="CRISALIDA ZAPATA"/>
    <s v="SEGUNDA"/>
    <s v="."/>
    <s v="PP INY MOLIDO"/>
    <s v="PALA Y RASTRILLO ROMANO"/>
    <s v="PALA RASTRILLO ROMANO-LILA"/>
    <n v="415"/>
    <n v="4"/>
    <n v="30.3"/>
    <x v="0"/>
    <n v="0"/>
    <n v="6"/>
    <m/>
    <n v="20667"/>
    <s v="LILA"/>
    <n v="1.8"/>
    <n v="0"/>
    <n v="0"/>
    <n v="15.77"/>
    <n v="30.3"/>
    <n v="38"/>
    <n v="797.36842105263156"/>
    <x v="3"/>
    <x v="0"/>
    <n v="14"/>
    <n v="2"/>
    <n v="69.166666666666671"/>
  </r>
  <r>
    <d v="2025-04-29T08:46:00"/>
    <s v="INYECTADO"/>
    <x v="1"/>
    <x v="61"/>
    <s v="CRISALIDA ZAPATA"/>
    <s v="SEGUNDA"/>
    <s v="."/>
    <s v="PP INY MOLIDO"/>
    <s v="PALA Y RASTRILLO ROMANO"/>
    <s v="PALA RASTRILLO ROMANO-AZUL"/>
    <n v="263"/>
    <n v="3"/>
    <n v="15.8"/>
    <x v="0"/>
    <n v="0"/>
    <n v="2"/>
    <m/>
    <n v="20667"/>
    <s v="AZUL"/>
    <n v="8.4"/>
    <n v="0"/>
    <n v="0"/>
    <n v="9.9939999999999998"/>
    <n v="15.8"/>
    <n v="38"/>
    <n v="415.78947368421052"/>
    <x v="3"/>
    <x v="0"/>
    <n v="14"/>
    <n v="2"/>
    <n v="43.833333333333336"/>
  </r>
  <r>
    <d v="2025-04-29T08:46:00"/>
    <s v="INYECTADO"/>
    <x v="1"/>
    <x v="61"/>
    <s v="JUAN MANUEL PEREZ"/>
    <s v="SEGUNDA"/>
    <s v="."/>
    <s v="PP INY MOLIDO"/>
    <s v="PALA Y RASTRILLO ROMANO"/>
    <s v="PALA RASTRILLO ROMANO-AZUL"/>
    <n v="200"/>
    <n v="2"/>
    <n v="14.6"/>
    <x v="0"/>
    <n v="0"/>
    <n v="2"/>
    <m/>
    <n v="20667"/>
    <s v="AZUL"/>
    <n v="3.1"/>
    <n v="0"/>
    <n v="0"/>
    <n v="7.6"/>
    <n v="14.6"/>
    <n v="38"/>
    <n v="384.21052631578948"/>
    <x v="3"/>
    <x v="0"/>
    <n v="14"/>
    <n v="2"/>
    <n v="33.333333333333336"/>
  </r>
  <r>
    <d v="2025-04-29T08:46:00"/>
    <s v="INYECTADO"/>
    <x v="1"/>
    <x v="61"/>
    <s v="JUAN MANUEL PEREZ"/>
    <s v="SEGUNDA"/>
    <s v="."/>
    <s v="PP INY MOLIDO"/>
    <s v="PALA Y RASTRILLO ROMANO"/>
    <s v="PALA RASTRILLO ROMANO-FUCSIA"/>
    <n v="536"/>
    <n v="5"/>
    <n v="39.200000000000003"/>
    <x v="0"/>
    <n v="0"/>
    <n v="4"/>
    <m/>
    <n v="20667"/>
    <s v="FUCSIA"/>
    <n v="9.6"/>
    <n v="0"/>
    <n v="0"/>
    <n v="20.367999999999999"/>
    <n v="39.200000000000003"/>
    <n v="38"/>
    <n v="1031.578947368421"/>
    <x v="3"/>
    <x v="0"/>
    <n v="14"/>
    <n v="2"/>
    <n v="89.333333333333329"/>
  </r>
  <r>
    <d v="2025-04-29T08:46:00"/>
    <s v="INYECTADO"/>
    <x v="1"/>
    <x v="61"/>
    <s v="JUAN MANUEL PEREZ"/>
    <s v="SEGUNDA"/>
    <s v="."/>
    <s v="PP INY MOLIDO"/>
    <s v="PALA Y RASTRILLO ROMANO"/>
    <s v="PALA RASTRILLO ROMANO-ROJO"/>
    <n v="343"/>
    <n v="3"/>
    <n v="25.1"/>
    <x v="0"/>
    <n v="0"/>
    <n v="4"/>
    <m/>
    <n v="20667"/>
    <s v="ROJO"/>
    <n v="9.6"/>
    <n v="0"/>
    <n v="0"/>
    <n v="13.034000000000001"/>
    <n v="25.1"/>
    <n v="38"/>
    <n v="660.52631578947364"/>
    <x v="3"/>
    <x v="0"/>
    <n v="14"/>
    <n v="2"/>
    <n v="57.166666666666664"/>
  </r>
  <r>
    <d v="2025-04-29T08:46:00"/>
    <s v="INYECTADO"/>
    <x v="1"/>
    <x v="58"/>
    <s v="LINDER"/>
    <s v="SEGUNDA"/>
    <s v="."/>
    <s v="PP INY MOLIDO"/>
    <s v="PALA Y RASTRILLO ROMANO"/>
    <s v="PALA RASTRILLO ROMANO-ROJO"/>
    <n v="87"/>
    <n v="1"/>
    <n v="6.3"/>
    <x v="0"/>
    <n v="0"/>
    <n v="1"/>
    <m/>
    <n v="20667"/>
    <s v="ROJO"/>
    <n v="7.9"/>
    <n v="0"/>
    <n v="0"/>
    <n v="3.306"/>
    <n v="6.3"/>
    <n v="38"/>
    <n v="165.78947368421052"/>
    <x v="3"/>
    <x v="0"/>
    <n v="14"/>
    <n v="2"/>
    <n v="14.5"/>
  </r>
  <r>
    <d v="2025-04-29T08:46:00"/>
    <s v="INYECTADO"/>
    <x v="1"/>
    <x v="58"/>
    <s v="LINDER"/>
    <s v="SEGUNDA"/>
    <s v="."/>
    <s v="PP INY MOLIDO"/>
    <s v="PALA Y RASTRILLO ROMANO"/>
    <s v="PALA RASTRILLO ROMANO-AMARILLO"/>
    <n v="401"/>
    <n v="4"/>
    <n v="28.9"/>
    <x v="0"/>
    <n v="0"/>
    <n v="4"/>
    <m/>
    <n v="20667"/>
    <s v="AMARILLO"/>
    <n v="7.1"/>
    <n v="0"/>
    <n v="0"/>
    <n v="15.238"/>
    <n v="28.9"/>
    <n v="38"/>
    <n v="760.52631578947364"/>
    <x v="3"/>
    <x v="0"/>
    <n v="14"/>
    <n v="2"/>
    <n v="66.833333333333329"/>
  </r>
  <r>
    <d v="2025-04-29T08:46:00"/>
    <s v="INYECTADO"/>
    <x v="1"/>
    <x v="58"/>
    <s v="LINDER"/>
    <s v="SEGUNDA"/>
    <s v="."/>
    <s v="PP INY MOLIDO"/>
    <s v="PALA Y RASTRILLO ROMANO"/>
    <s v="PALA RASTRILLO ROMANO-VERDE"/>
    <n v="329"/>
    <n v="3"/>
    <n v="23.7"/>
    <x v="0"/>
    <n v="0"/>
    <n v="4"/>
    <m/>
    <n v="20667"/>
    <s v="VERDE"/>
    <n v="5.8"/>
    <n v="0"/>
    <n v="0"/>
    <n v="12.502000000000001"/>
    <n v="23.7"/>
    <n v="38"/>
    <n v="623.68421052631584"/>
    <x v="3"/>
    <x v="0"/>
    <n v="14"/>
    <n v="2"/>
    <n v="54.833333333333336"/>
  </r>
  <r>
    <d v="2025-04-29T08:46:00"/>
    <s v="INYECTADO"/>
    <x v="1"/>
    <x v="59"/>
    <s v="JOSDER GONZALEZ"/>
    <s v="SEGUNDA"/>
    <s v="."/>
    <s v="PP INY MOLIDO"/>
    <s v="PALA Y RASTRILLO ROMANO"/>
    <s v="PALA RASTRILLO ROMANO-VERDE"/>
    <n v="398"/>
    <n v="3"/>
    <n v="28.7"/>
    <x v="0"/>
    <n v="0"/>
    <n v="5"/>
    <m/>
    <n v="20667"/>
    <s v="VERDE"/>
    <n v="12.9"/>
    <n v="0"/>
    <n v="0"/>
    <n v="15.124000000000001"/>
    <n v="28.7"/>
    <n v="38"/>
    <n v="755.26315789473688"/>
    <x v="3"/>
    <x v="0"/>
    <n v="14"/>
    <n v="2"/>
    <n v="66.333333333333329"/>
  </r>
  <r>
    <d v="2025-04-29T08:46:00"/>
    <s v="INYECTADO"/>
    <x v="1"/>
    <x v="62"/>
    <s v="JOSDER GONZALEZ"/>
    <s v="SEGUNDA"/>
    <s v="."/>
    <s v="PP INY MOLIDO"/>
    <s v="CANASTA CANDY"/>
    <s v="CANASTA CANDY-TURQUESA"/>
    <n v="958"/>
    <n v="10"/>
    <n v="76.099999999999994"/>
    <x v="2"/>
    <m/>
    <n v="9"/>
    <m/>
    <n v="20685"/>
    <s v="TURQUESA"/>
    <n v="2.1"/>
    <n v="0"/>
    <n v="0"/>
    <n v="75.682000000000002"/>
    <n v="76.099999999999994"/>
    <n v="79"/>
    <n v="963.29113924050637"/>
    <x v="3"/>
    <x v="0"/>
    <n v="14"/>
    <n v="1"/>
    <n v="79.833333333333329"/>
  </r>
  <r>
    <d v="2025-04-29T08:46:00"/>
    <s v="INYECTADO"/>
    <x v="1"/>
    <x v="67"/>
    <s v="LINDER"/>
    <s v="SEGUNDA"/>
    <s v="."/>
    <s v="PP INY MOLIDO"/>
    <s v="CANASTA CANDY"/>
    <s v="CANASTA CANDY-TURQUESA"/>
    <n v="487"/>
    <n v="5"/>
    <n v="38.4"/>
    <x v="2"/>
    <m/>
    <n v="5"/>
    <m/>
    <n v="20686"/>
    <s v="TURQUESA"/>
    <n v="0"/>
    <n v="0"/>
    <n v="0"/>
    <n v="38.472999999999999"/>
    <n v="38.4"/>
    <n v="79"/>
    <n v="486.07594936708858"/>
    <x v="3"/>
    <x v="0"/>
    <n v="15"/>
    <n v="1"/>
    <n v="40.583333333333336"/>
  </r>
  <r>
    <d v="2025-04-29T08:46:00"/>
    <s v="INYECTADO"/>
    <x v="1"/>
    <x v="67"/>
    <s v="LINDER"/>
    <s v="SEGUNDA"/>
    <s v="."/>
    <s v="PP INY MOLIDO"/>
    <s v="CANASTA CANDY"/>
    <s v="CANASTA CANDY-ROSADO"/>
    <n v="394"/>
    <n v="4"/>
    <n v="30.3"/>
    <x v="2"/>
    <m/>
    <n v="4"/>
    <m/>
    <n v="20686"/>
    <s v="ROSADO"/>
    <n v="3.3"/>
    <n v="0"/>
    <n v="0"/>
    <n v="31.126000000000001"/>
    <n v="30.3"/>
    <n v="79"/>
    <n v="383.54430379746833"/>
    <x v="3"/>
    <x v="0"/>
    <n v="15"/>
    <n v="1"/>
    <n v="32.833333333333336"/>
  </r>
  <r>
    <d v="2025-04-29T08:46:00"/>
    <s v="INYECTADO"/>
    <x v="1"/>
    <x v="68"/>
    <s v="ISABEL LINARIZ "/>
    <s v="SEGUNDA"/>
    <s v="."/>
    <s v="PP INY MOLIDO"/>
    <s v="CANASTA CANDY"/>
    <s v="CANASTA CANDY-ROSADO"/>
    <n v="593"/>
    <n v="6"/>
    <n v="45.7"/>
    <x v="2"/>
    <m/>
    <n v="4"/>
    <m/>
    <n v="20687"/>
    <s v="ROSADO"/>
    <n v="5.7"/>
    <n v="0"/>
    <n v="0"/>
    <n v="46.847000000000001"/>
    <n v="45.7"/>
    <n v="79"/>
    <n v="578.48101265822788"/>
    <x v="3"/>
    <x v="0"/>
    <n v="15"/>
    <n v="1"/>
    <n v="49.416666666666664"/>
  </r>
  <r>
    <d v="2025-04-29T08:46:00"/>
    <s v="INYECTADO"/>
    <x v="1"/>
    <x v="69"/>
    <s v="ISABEL LINARIZ "/>
    <s v="SEGUNDA"/>
    <s v="."/>
    <s v="PP INY MOLIDO"/>
    <s v="CANASTA CANDY"/>
    <s v="CANASTA CANDY-LILA"/>
    <n v="225"/>
    <n v="3"/>
    <n v="17.600000000000001"/>
    <x v="2"/>
    <m/>
    <n v="2"/>
    <m/>
    <n v="20688"/>
    <s v="LILA"/>
    <n v="5.8"/>
    <n v="0"/>
    <n v="0"/>
    <n v="17.774999999999999"/>
    <n v="17.600000000000001"/>
    <n v="79"/>
    <n v="222.78481012658227"/>
    <x v="3"/>
    <x v="0"/>
    <n v="15"/>
    <n v="1"/>
    <n v="18.75"/>
  </r>
  <r>
    <d v="2025-04-29T08:46:00"/>
    <s v="INYECTADO"/>
    <x v="1"/>
    <x v="69"/>
    <s v="ISABEL LINARIZ "/>
    <s v="SEGUNDA"/>
    <s v="."/>
    <s v="PP INY MOLIDO"/>
    <s v="CANASTA CANDY"/>
    <s v="CANASTA CANDY-ROSADO"/>
    <n v="748"/>
    <n v="8"/>
    <n v="58.4"/>
    <x v="2"/>
    <m/>
    <n v="6"/>
    <m/>
    <n v="20688"/>
    <s v="ROSADO"/>
    <n v="8.5"/>
    <n v="0"/>
    <n v="0"/>
    <n v="59.091999999999999"/>
    <n v="58.4"/>
    <n v="79"/>
    <n v="739.24050632911394"/>
    <x v="3"/>
    <x v="0"/>
    <n v="15"/>
    <n v="1"/>
    <n v="62.333333333333336"/>
  </r>
  <r>
    <d v="2025-04-29T08:46:00"/>
    <s v="INYECTADO"/>
    <x v="1"/>
    <x v="69"/>
    <s v="JUAN MANUEL PEREZ"/>
    <s v="SEGUNDA"/>
    <s v="."/>
    <s v="PP INY MOLIDO"/>
    <s v="CANASTA CANDY"/>
    <s v="CANASTA CANDY-LILA"/>
    <n v="592"/>
    <n v="4"/>
    <n v="46.2"/>
    <x v="2"/>
    <m/>
    <n v="4"/>
    <m/>
    <n v="20689"/>
    <s v="LILA"/>
    <n v="8.1"/>
    <n v="0"/>
    <n v="0"/>
    <n v="46.768000000000001"/>
    <n v="46.2"/>
    <n v="79"/>
    <n v="584.81012658227849"/>
    <x v="3"/>
    <x v="0"/>
    <n v="15"/>
    <n v="1"/>
    <n v="49.333333333333336"/>
  </r>
  <r>
    <d v="2025-04-29T08:46:00"/>
    <s v="INYECTADO"/>
    <x v="1"/>
    <x v="63"/>
    <s v="CRISALIDA ZAPATA"/>
    <s v="SEGUNDA"/>
    <s v="."/>
    <s v="PP INY MOLIDO"/>
    <s v="CANASTA CANDY"/>
    <s v="CANASTA CANDY-LILA"/>
    <n v="500"/>
    <n v="4"/>
    <n v="39"/>
    <x v="2"/>
    <m/>
    <n v="5"/>
    <m/>
    <n v="20691"/>
    <s v="LILA"/>
    <n v="0"/>
    <n v="0"/>
    <n v="0"/>
    <n v="39.5"/>
    <n v="39"/>
    <n v="79"/>
    <n v="493.67088607594934"/>
    <x v="3"/>
    <x v="0"/>
    <n v="15"/>
    <n v="1"/>
    <n v="41.666666666666664"/>
  </r>
  <r>
    <d v="2025-04-29T08:46:00"/>
    <s v="INYECTADO"/>
    <x v="1"/>
    <x v="63"/>
    <s v="JUAN MANUEL PEREZ"/>
    <s v="SEGUNDA"/>
    <s v="."/>
    <s v="PP INY MOLIDO"/>
    <s v="CANASTA CANDY"/>
    <s v="CANASTA CANDY-MELON"/>
    <n v="71"/>
    <n v="1"/>
    <n v="5.5"/>
    <x v="2"/>
    <m/>
    <n v="1"/>
    <m/>
    <n v="20692"/>
    <s v="MELON"/>
    <n v="0"/>
    <n v="0"/>
    <n v="0"/>
    <n v="5.609"/>
    <n v="5.5"/>
    <n v="79"/>
    <n v="69.620253164556956"/>
    <x v="3"/>
    <x v="0"/>
    <n v="15"/>
    <n v="1"/>
    <n v="5.916666666666667"/>
  </r>
  <r>
    <d v="2025-04-29T08:46:00"/>
    <s v="INYECTADO"/>
    <x v="1"/>
    <x v="63"/>
    <s v="JUAN MANUEL PEREZ"/>
    <s v="SEGUNDA"/>
    <s v="."/>
    <s v="PP INY MOLIDO"/>
    <s v="CANASTA CANDY"/>
    <s v="CANASTA CANDY-LILA"/>
    <n v="461"/>
    <n v="4"/>
    <n v="36"/>
    <x v="2"/>
    <m/>
    <n v="4"/>
    <m/>
    <n v="20692"/>
    <s v="LILA"/>
    <n v="0"/>
    <n v="0"/>
    <n v="0"/>
    <n v="36.418999999999997"/>
    <n v="36"/>
    <n v="79"/>
    <n v="455.69620253164555"/>
    <x v="3"/>
    <x v="0"/>
    <n v="15"/>
    <n v="1"/>
    <n v="38.416666666666664"/>
  </r>
  <r>
    <d v="2025-04-29T08:46:00"/>
    <s v="INYECTADO"/>
    <x v="1"/>
    <x v="64"/>
    <s v="JOSDER GONZALEZ"/>
    <s v="SEGUNDA"/>
    <s v="."/>
    <s v="PP INY MOLIDO"/>
    <s v="CANASTA CANDY"/>
    <s v="CANASTA CANDY-MELON"/>
    <n v="1026"/>
    <n v="10"/>
    <n v="99.2"/>
    <x v="2"/>
    <m/>
    <n v="10"/>
    <m/>
    <n v="20693"/>
    <s v="MELON"/>
    <n v="5.8"/>
    <n v="0"/>
    <n v="0"/>
    <n v="81.054000000000002"/>
    <n v="99.2"/>
    <n v="79"/>
    <n v="1255.6962025316457"/>
    <x v="3"/>
    <x v="0"/>
    <n v="15"/>
    <n v="1"/>
    <n v="85.5"/>
  </r>
  <r>
    <d v="2025-04-29T08:46:00"/>
    <s v="INYECTADO"/>
    <x v="1"/>
    <x v="65"/>
    <s v="LINDER"/>
    <s v="SEGUNDA"/>
    <s v="."/>
    <s v="PP INY MOLIDO"/>
    <s v="CANASTA CANDY"/>
    <s v="CANASTA CANDY-MELON"/>
    <n v="360"/>
    <n v="3"/>
    <n v="27.7"/>
    <x v="2"/>
    <m/>
    <n v="3"/>
    <m/>
    <n v="20694"/>
    <s v="MELON"/>
    <n v="0"/>
    <n v="0"/>
    <n v="0"/>
    <n v="28.44"/>
    <n v="27.7"/>
    <n v="79"/>
    <n v="350.63291139240505"/>
    <x v="3"/>
    <x v="0"/>
    <n v="15"/>
    <n v="1"/>
    <n v="30"/>
  </r>
  <r>
    <d v="2025-04-29T08:46:00"/>
    <s v="INYECTADO"/>
    <x v="1"/>
    <x v="70"/>
    <s v="GABRIEL REQUENA"/>
    <s v="SEGUNDA"/>
    <s v="."/>
    <s v="PP INY MOLIDO"/>
    <s v="CANASTA CAROLINA"/>
    <s v="CANASTA CAROLINA-MELON"/>
    <n v="433"/>
    <n v="4"/>
    <n v="50.2"/>
    <x v="2"/>
    <m/>
    <n v="8"/>
    <m/>
    <n v="20695"/>
    <s v="MELON"/>
    <n v="2.2000000000000002"/>
    <n v="0"/>
    <n v="0"/>
    <n v="49.795000000000002"/>
    <n v="50.2"/>
    <n v="115"/>
    <n v="436.52173913043481"/>
    <x v="3"/>
    <x v="0"/>
    <n v="16"/>
    <n v="1"/>
    <n v="36.083333333333336"/>
  </r>
  <r>
    <d v="2025-04-29T08:46:00"/>
    <s v="INYECTADO"/>
    <x v="1"/>
    <x v="70"/>
    <s v="GABRIEL REQUENA"/>
    <s v="SEGUNDA"/>
    <s v="."/>
    <s v="PP INY MOLIDO"/>
    <s v="CANASTA CAROLINA"/>
    <s v="CANASTA CAROLINA-MELON"/>
    <n v="166"/>
    <n v="2"/>
    <n v="19.2"/>
    <x v="2"/>
    <m/>
    <n v="3"/>
    <m/>
    <n v="20696"/>
    <s v="MELON"/>
    <n v="2.4"/>
    <n v="0"/>
    <n v="0"/>
    <n v="19.09"/>
    <n v="19.2"/>
    <n v="115"/>
    <n v="166.95652173913044"/>
    <x v="3"/>
    <x v="0"/>
    <n v="16"/>
    <n v="1"/>
    <n v="13.833333333333334"/>
  </r>
  <r>
    <d v="2025-04-29T08:46:00"/>
    <s v="INYECTADO"/>
    <x v="1"/>
    <x v="71"/>
    <s v="ISABEL LINARIZ "/>
    <s v="SEGUNDA"/>
    <s v="."/>
    <s v="PP INY MOLIDO"/>
    <s v="CANASTA CAROLINA"/>
    <s v="CANASTA CAROLINA-MELON"/>
    <n v="241"/>
    <n v="3"/>
    <n v="27.9"/>
    <x v="2"/>
    <m/>
    <n v="4"/>
    <m/>
    <n v="20697"/>
    <s v="MELON"/>
    <n v="0"/>
    <n v="0"/>
    <n v="0"/>
    <n v="27.715"/>
    <n v="27.9"/>
    <n v="115"/>
    <n v="242.60869565217391"/>
    <x v="3"/>
    <x v="0"/>
    <n v="16"/>
    <n v="1"/>
    <n v="20.083333333333332"/>
  </r>
  <r>
    <d v="2025-04-29T08:46:00"/>
    <s v="INYECTADO"/>
    <x v="1"/>
    <x v="71"/>
    <s v="ISABEL LINARIZ "/>
    <s v="SEGUNDA"/>
    <s v="."/>
    <s v="PP INY MOLIDO"/>
    <s v="CANASTA CAROLINA"/>
    <s v="CANASTA CAROLINA-ROSADO"/>
    <n v="779"/>
    <n v="7"/>
    <n v="90.3"/>
    <x v="2"/>
    <m/>
    <n v="12"/>
    <m/>
    <n v="20697"/>
    <s v="ROSADO"/>
    <n v="8.9"/>
    <n v="0"/>
    <n v="0"/>
    <n v="89.584999999999994"/>
    <n v="90.3"/>
    <n v="115"/>
    <n v="785.21739130434787"/>
    <x v="3"/>
    <x v="0"/>
    <n v="16"/>
    <n v="1"/>
    <n v="64.916666666666671"/>
  </r>
  <r>
    <d v="2025-04-29T08:46:00"/>
    <s v="INYECTADO"/>
    <x v="1"/>
    <x v="72"/>
    <s v="LINDER"/>
    <s v="SEGUNDA"/>
    <s v="."/>
    <s v="PP INY MOLIDO"/>
    <s v="CANASTA CAROLINA"/>
    <s v="CANASTA CAROLINA-ROSADO"/>
    <n v="104"/>
    <n v="2"/>
    <n v="12"/>
    <x v="2"/>
    <m/>
    <n v="3"/>
    <m/>
    <n v="20698"/>
    <s v="ROSADO"/>
    <n v="1.6"/>
    <n v="0"/>
    <n v="0"/>
    <n v="11.96"/>
    <n v="12"/>
    <n v="115"/>
    <n v="104.34782608695652"/>
    <x v="3"/>
    <x v="0"/>
    <n v="16"/>
    <n v="1"/>
    <n v="8.6666666666666661"/>
  </r>
  <r>
    <d v="2025-04-29T08:46:00"/>
    <s v="INYECTADO"/>
    <x v="1"/>
    <x v="72"/>
    <s v="LINDER"/>
    <s v="SEGUNDA"/>
    <s v="."/>
    <s v="PP INY MOLIDO"/>
    <s v="CANASTA CAROLINA"/>
    <s v="CANASTA CAROLINA-LILA"/>
    <n v="598"/>
    <n v="5"/>
    <n v="71.099999999999994"/>
    <x v="2"/>
    <m/>
    <n v="9"/>
    <m/>
    <n v="20698"/>
    <s v="LILA"/>
    <n v="4.4000000000000004"/>
    <n v="0"/>
    <n v="0"/>
    <n v="68.77"/>
    <n v="71.099999999999994"/>
    <n v="115"/>
    <n v="618.26086956521738"/>
    <x v="3"/>
    <x v="0"/>
    <n v="16"/>
    <n v="1"/>
    <n v="49.833333333333336"/>
  </r>
  <r>
    <d v="2025-04-29T08:46:00"/>
    <s v="INYECTADO"/>
    <x v="1"/>
    <x v="72"/>
    <s v="JUAN MANUEL PEREZ"/>
    <s v="SEGUNDA"/>
    <s v="."/>
    <s v="PP INY MOLIDO"/>
    <s v="CANASTA CAROLINA"/>
    <s v="CANASTA CAROLINA-LILA"/>
    <n v="144"/>
    <n v="2"/>
    <n v="17.7"/>
    <x v="2"/>
    <m/>
    <n v="3"/>
    <m/>
    <n v="20699"/>
    <s v="LILA"/>
    <n v="2"/>
    <n v="0"/>
    <n v="0"/>
    <n v="16.559999999999999"/>
    <n v="17.7"/>
    <n v="115"/>
    <n v="153.91304347826087"/>
    <x v="3"/>
    <x v="0"/>
    <n v="16"/>
    <n v="1"/>
    <n v="12"/>
  </r>
  <r>
    <d v="2025-04-29T08:46:00"/>
    <s v="INYECTADO"/>
    <x v="1"/>
    <x v="72"/>
    <s v="JUAN MANUEL PEREZ"/>
    <s v="SEGUNDA"/>
    <s v="."/>
    <s v="PP INY MOLIDO"/>
    <s v="CANASTA CAROLINA"/>
    <s v="CANASTA CAROLINA-TURQUESA"/>
    <n v="780"/>
    <n v="7"/>
    <n v="96.1"/>
    <x v="2"/>
    <m/>
    <n v="12"/>
    <m/>
    <n v="20699"/>
    <s v="TURQUESA"/>
    <n v="2"/>
    <n v="0"/>
    <n v="0"/>
    <n v="89.7"/>
    <n v="96.1"/>
    <n v="115"/>
    <n v="835.6521739130435"/>
    <x v="3"/>
    <x v="0"/>
    <n v="16"/>
    <n v="1"/>
    <n v="65"/>
  </r>
  <r>
    <d v="2025-04-29T08:46:00"/>
    <s v="INYECTADO"/>
    <x v="1"/>
    <x v="73"/>
    <s v="ISABEL LINARIZ "/>
    <s v="SEGUNDA"/>
    <s v="."/>
    <s v="PP INY MOLIDO"/>
    <s v="CANASTA CAROLINA"/>
    <s v="CANASTA CAROLINA-TURQUESA"/>
    <n v="60"/>
    <n v="1"/>
    <n v="7.9"/>
    <x v="2"/>
    <m/>
    <n v="1"/>
    <m/>
    <n v="20700"/>
    <s v="TURQUESA"/>
    <n v="0"/>
    <n v="0"/>
    <n v="0"/>
    <n v="6.9"/>
    <n v="7.9"/>
    <n v="115"/>
    <n v="68.695652173913047"/>
    <x v="3"/>
    <x v="0"/>
    <n v="17"/>
    <n v="1"/>
    <n v="5"/>
  </r>
  <r>
    <d v="2025-04-29T08:46:00"/>
    <s v="INYECTADO"/>
    <x v="6"/>
    <x v="73"/>
    <s v="ROSA MERINO"/>
    <s v="SEGUNDA"/>
    <s v="."/>
    <s v="MIXTO"/>
    <s v="REPOSTERO REAL 6 KG"/>
    <s v="REPOSTERO 6KG -TRANSPARENTE"/>
    <n v="900"/>
    <n v="11"/>
    <n v="195.1"/>
    <x v="0"/>
    <n v="0"/>
    <n v="15"/>
    <n v="1076"/>
    <n v="21212"/>
    <s v="TRANSPARENTE"/>
    <n v="0"/>
    <n v="0"/>
    <n v="0"/>
    <n v="189.9"/>
    <n v="195.1"/>
    <n v="211"/>
    <n v="924.64454976303318"/>
    <x v="3"/>
    <x v="0"/>
    <n v="17"/>
    <n v="1"/>
    <n v="75"/>
  </r>
  <r>
    <d v="2025-04-29T08:46:00"/>
    <s v="INYECTADO"/>
    <x v="6"/>
    <x v="74"/>
    <s v="ISABEL LINARIZ "/>
    <s v="SEGUNDA"/>
    <s v="."/>
    <s v="MIXTO"/>
    <s v="REPOSTERO REAL 6 KG"/>
    <s v="REPOSTERO 6KG -TRANSPARENTE"/>
    <n v="928"/>
    <n v="11"/>
    <n v="197.2"/>
    <x v="0"/>
    <n v="0"/>
    <n v="16"/>
    <n v="1076"/>
    <n v="21213"/>
    <s v="TRANSPARENTE"/>
    <n v="0"/>
    <n v="0"/>
    <n v="0"/>
    <n v="195.80799999999999"/>
    <n v="197.2"/>
    <n v="211"/>
    <n v="934.59715639810429"/>
    <x v="3"/>
    <x v="0"/>
    <n v="17"/>
    <n v="1"/>
    <n v="77.333333333333329"/>
  </r>
  <r>
    <d v="2025-04-29T08:46:00"/>
    <s v="INYECTADO"/>
    <x v="6"/>
    <x v="75"/>
    <s v="SAID VILLAMIZAR"/>
    <s v="SEGUNDA"/>
    <s v="."/>
    <s v="MIXTO"/>
    <s v="REPOSTERO REAL 6 KG"/>
    <s v="REPOSTERO 6KG -TRANSPARENTE"/>
    <n v="900"/>
    <n v="12"/>
    <n v="192.8"/>
    <x v="0"/>
    <n v="0"/>
    <n v="15"/>
    <n v="1076"/>
    <n v="21214"/>
    <s v="TRANSPARENTE"/>
    <n v="3"/>
    <n v="0"/>
    <n v="0"/>
    <n v="189.9"/>
    <n v="192.8"/>
    <n v="211"/>
    <n v="913.74407582938386"/>
    <x v="3"/>
    <x v="0"/>
    <n v="17"/>
    <n v="1"/>
    <n v="75"/>
  </r>
  <r>
    <d v="2025-04-29T08:46:00"/>
    <s v="INYECTADO"/>
    <x v="6"/>
    <x v="76"/>
    <s v="LUIS RENGIFO"/>
    <s v="SEGUNDA"/>
    <s v="."/>
    <s v="MIXTO"/>
    <s v="REPOSTERO REAL 4 KG"/>
    <s v="REPOSTERO 4KG-TRANSPARENTE"/>
    <n v="766"/>
    <n v="5"/>
    <n v="105"/>
    <x v="0"/>
    <n v="0"/>
    <n v="13"/>
    <n v="1084"/>
    <n v="21215"/>
    <s v="TRANSPARENTE"/>
    <n v="0"/>
    <n v="0"/>
    <n v="0"/>
    <n v="108.006"/>
    <n v="105"/>
    <n v="141"/>
    <n v="744.68085106382978"/>
    <x v="3"/>
    <x v="0"/>
    <n v="17"/>
    <n v="1"/>
    <n v="63.833333333333336"/>
  </r>
  <r>
    <d v="2025-04-29T08:46:00"/>
    <s v="INYECTADO"/>
    <x v="6"/>
    <x v="76"/>
    <s v="JUAN MANUEL PEREZ"/>
    <s v="SEGUNDA"/>
    <s v="."/>
    <s v="MIXTO"/>
    <s v="REPOSTERO REAL 4 KG"/>
    <s v="REPOSTERO 4KG-TRANSPARENTE"/>
    <n v="859"/>
    <n v="9"/>
    <n v="117.7"/>
    <x v="0"/>
    <n v="0"/>
    <n v="14"/>
    <n v="1084"/>
    <n v="21216"/>
    <s v="TRANSPARENTE"/>
    <n v="3.1"/>
    <n v="0"/>
    <n v="0"/>
    <n v="121.119"/>
    <n v="117.7"/>
    <n v="141"/>
    <n v="834.75177304964541"/>
    <x v="3"/>
    <x v="0"/>
    <n v="17"/>
    <n v="1"/>
    <n v="71.583333333333329"/>
  </r>
  <r>
    <d v="2025-04-29T08:46:00"/>
    <s v="INYECTADO"/>
    <x v="6"/>
    <x v="77"/>
    <s v="CRISALIDA ZAPATA"/>
    <s v="SEGUNDA"/>
    <s v="."/>
    <s v="MIXTO"/>
    <s v="REPOSTERO REAL 4 KG"/>
    <s v="REPOSTERO 4KG-TRANSPARENTE"/>
    <n v="1302"/>
    <n v="10"/>
    <n v="181"/>
    <x v="0"/>
    <n v="0"/>
    <n v="22"/>
    <n v="1084"/>
    <n v="21217"/>
    <s v="TRANSPARENTE"/>
    <n v="3.3"/>
    <n v="0"/>
    <n v="0"/>
    <n v="183.58199999999999"/>
    <n v="181"/>
    <n v="141"/>
    <n v="1283.6879432624114"/>
    <x v="3"/>
    <x v="0"/>
    <n v="17"/>
    <n v="1"/>
    <n v="108.5"/>
  </r>
  <r>
    <d v="2025-04-29T08:46:00"/>
    <s v="INYECTADO"/>
    <x v="6"/>
    <x v="78"/>
    <s v="CRISALIDA ZAPATA"/>
    <s v="SEGUNDA"/>
    <s v="."/>
    <s v="MIXTO"/>
    <s v="REPOSTERO REAL 4 KG"/>
    <s v="REPOSTERO 4KG-TRANSPARENTE"/>
    <n v="1189"/>
    <n v="11"/>
    <n v="165.4"/>
    <x v="0"/>
    <n v="0"/>
    <n v="21"/>
    <n v="1084"/>
    <n v="21218"/>
    <s v="TRANSPARENTE"/>
    <n v="0"/>
    <n v="0"/>
    <n v="0"/>
    <n v="167.649"/>
    <n v="165.4"/>
    <n v="141"/>
    <n v="1173.049645390071"/>
    <x v="3"/>
    <x v="0"/>
    <n v="18"/>
    <n v="1"/>
    <n v="99.083333333333329"/>
  </r>
  <r>
    <d v="2025-04-29T08:46:00"/>
    <s v="INYECTADO"/>
    <x v="6"/>
    <x v="79"/>
    <s v="LUIS RENGIFO"/>
    <s v="SEGUNDA"/>
    <s v="."/>
    <s v="MIXTO"/>
    <s v="EMBUDO #2"/>
    <s v="EMBUDO #2-AZUL"/>
    <n v="333"/>
    <n v="3"/>
    <n v="42.3"/>
    <x v="0"/>
    <n v="0"/>
    <n v="4"/>
    <n v="1090"/>
    <n v="21219"/>
    <s v="AZUL "/>
    <n v="9.5"/>
    <n v="0"/>
    <n v="0"/>
    <n v="11.654999999999999"/>
    <n v="42.3"/>
    <n v="35"/>
    <n v="1208.5714285714287"/>
    <x v="3"/>
    <x v="0"/>
    <n v="18"/>
    <n v="4"/>
    <n v="111"/>
  </r>
  <r>
    <d v="2025-04-29T08:46:00"/>
    <s v="INYECTADO"/>
    <x v="6"/>
    <x v="79"/>
    <s v="LUIS RENGIFO"/>
    <s v="SEGUNDA"/>
    <s v="."/>
    <s v="MIXTO"/>
    <s v="EMBUDO #2"/>
    <s v="EMBUDO #2-FUCSIA"/>
    <n v="185"/>
    <n v="2"/>
    <n v="23.5"/>
    <x v="0"/>
    <n v="0"/>
    <n v="2"/>
    <n v="1090"/>
    <n v="21219"/>
    <s v="FUCSIA"/>
    <n v="4.3"/>
    <n v="0"/>
    <n v="0"/>
    <n v="6.4749999999999996"/>
    <n v="23.5"/>
    <n v="35"/>
    <n v="671.42857142857144"/>
    <x v="3"/>
    <x v="0"/>
    <n v="18"/>
    <n v="4"/>
    <n v="61.666666666666664"/>
  </r>
  <r>
    <d v="2025-04-29T08:46:00"/>
    <s v="INYECTADO"/>
    <x v="6"/>
    <x v="80"/>
    <s v="CRISALIDA ZAPATA"/>
    <s v="SEGUNDA"/>
    <s v="."/>
    <s v="MIXTO"/>
    <s v="EMBUDO #2"/>
    <s v="EMBUDO #2-FUCSIA"/>
    <n v="134"/>
    <n v="2"/>
    <n v="17.5"/>
    <x v="0"/>
    <n v="0"/>
    <n v="2"/>
    <n v="1090"/>
    <n v="21220"/>
    <s v="FUCSIA"/>
    <n v="0"/>
    <n v="0"/>
    <n v="0"/>
    <n v="4.6900000000000004"/>
    <n v="17.5"/>
    <n v="35"/>
    <n v="500"/>
    <x v="3"/>
    <x v="0"/>
    <n v="18"/>
    <n v="4"/>
    <n v="44.666666666666664"/>
  </r>
  <r>
    <d v="2025-04-29T08:46:00"/>
    <s v="INYECTADO"/>
    <x v="6"/>
    <x v="80"/>
    <s v="CRISALIDA ZAPATA"/>
    <s v="SEGUNDA"/>
    <s v="."/>
    <s v="MIXTO"/>
    <s v="EMBUDO #2"/>
    <s v="EMBUDO #2-LILA"/>
    <n v="335"/>
    <n v="4"/>
    <n v="44"/>
    <x v="0"/>
    <n v="0"/>
    <n v="4"/>
    <n v="1090"/>
    <n v="21220"/>
    <s v="LILA"/>
    <n v="0"/>
    <n v="0"/>
    <n v="0"/>
    <n v="11.725"/>
    <n v="44"/>
    <n v="35"/>
    <n v="1257.1428571428571"/>
    <x v="3"/>
    <x v="0"/>
    <n v="18"/>
    <n v="4"/>
    <n v="111.66666666666667"/>
  </r>
  <r>
    <d v="2025-04-29T08:46:00"/>
    <s v="INYECTADO"/>
    <x v="6"/>
    <x v="80"/>
    <s v="CRISALIDA ZAPATA"/>
    <s v="SEGUNDA"/>
    <s v="."/>
    <s v="MIXTO"/>
    <s v="EMBUDO #2"/>
    <s v="EMBUDO #2-AMARILLO"/>
    <n v="332"/>
    <n v="3"/>
    <n v="43.6"/>
    <x v="0"/>
    <n v="0"/>
    <n v="4"/>
    <n v="1090"/>
    <n v="21220"/>
    <s v="AMARILLO"/>
    <n v="0"/>
    <n v="0"/>
    <n v="0"/>
    <n v="11.62"/>
    <n v="43.6"/>
    <n v="35"/>
    <n v="1245.7142857142858"/>
    <x v="3"/>
    <x v="0"/>
    <n v="18"/>
    <n v="4"/>
    <n v="110.66666666666667"/>
  </r>
  <r>
    <d v="2025-04-30T08:46:00"/>
    <s v="INYECTADO"/>
    <x v="2"/>
    <x v="70"/>
    <s v="LUIS PINEDO"/>
    <s v="VIRGEN"/>
    <s v="PP CLARIFICADO"/>
    <s v="."/>
    <s v="ORGANIZADOR DE 5KG"/>
    <s v="BASE ORGANIZADOR DE 5KG-TRANSPARENTE"/>
    <n v="453"/>
    <n v="5"/>
    <n v="100.1"/>
    <x v="0"/>
    <m/>
    <n v="13"/>
    <n v="1070"/>
    <n v="21065"/>
    <s v="TRANSPARENTE"/>
    <n v="10.35"/>
    <n v="0"/>
    <n v="0"/>
    <n v="86.07"/>
    <n v="100.1"/>
    <n v="190"/>
    <n v="526.84210526315792"/>
    <x v="3"/>
    <x v="0"/>
    <n v="16"/>
    <n v="1"/>
    <n v="37.75"/>
  </r>
  <r>
    <d v="2025-04-30T08:46:00"/>
    <s v="INYECTADO"/>
    <x v="2"/>
    <x v="70"/>
    <s v="LUIS PINEDO"/>
    <s v="VIRGEN"/>
    <s v="PP CLARIFICADO"/>
    <s v="."/>
    <s v="ORGANIZADOR DE 5KG PASTEL"/>
    <s v="BASE ORGANIZADOR DE 5KG PASTEL-CELESTE"/>
    <n v="531"/>
    <n v="5"/>
    <n v="117.3"/>
    <x v="0"/>
    <m/>
    <n v="16"/>
    <n v="1070"/>
    <n v="21065"/>
    <s v="CELESTE"/>
    <n v="6.6"/>
    <n v="0"/>
    <n v="0"/>
    <n v="100.89"/>
    <n v="117.3"/>
    <n v="190"/>
    <n v="617.36842105263156"/>
    <x v="3"/>
    <x v="0"/>
    <n v="16"/>
    <n v="1"/>
    <n v="44.25"/>
  </r>
  <r>
    <d v="2025-04-30T08:46:00"/>
    <s v="INYECTADO"/>
    <x v="2"/>
    <x v="71"/>
    <s v="KARLA HUISA"/>
    <s v="VIRGEN"/>
    <s v="PP CLARIFICADO"/>
    <s v="."/>
    <s v="ORGANIZADOR DE 5KG PASTEL"/>
    <s v="BASE ORGANIZADOR DE 5KG PASTEL-AZURE"/>
    <n v="511"/>
    <n v="5"/>
    <n v="109.8"/>
    <x v="0"/>
    <m/>
    <n v="15"/>
    <n v="1070"/>
    <n v="21066"/>
    <s v="AZURE"/>
    <n v="15"/>
    <n v="0"/>
    <n v="0"/>
    <n v="97.09"/>
    <n v="109.8"/>
    <n v="190"/>
    <n v="577.89473684210532"/>
    <x v="3"/>
    <x v="0"/>
    <n v="16"/>
    <n v="1"/>
    <n v="42.583333333333336"/>
  </r>
  <r>
    <d v="2025-04-30T08:46:00"/>
    <s v="INYECTADO"/>
    <x v="2"/>
    <x v="71"/>
    <s v="KARLA HUISA"/>
    <s v="VIRGEN"/>
    <s v="PP CLARIFICADO"/>
    <s v="."/>
    <s v="ORGANIZADOR DE 5KG PASTEL"/>
    <s v="BASE ORGANIZADOR DE 5KG PASTEL-ROSADO"/>
    <n v="121"/>
    <n v="1"/>
    <n v="25.1"/>
    <x v="0"/>
    <m/>
    <n v="3"/>
    <n v="1070"/>
    <n v="21066"/>
    <s v="ROSADO"/>
    <n v="0"/>
    <n v="0"/>
    <n v="0"/>
    <n v="22.99"/>
    <n v="25.1"/>
    <n v="190"/>
    <n v="132.10526315789474"/>
    <x v="3"/>
    <x v="0"/>
    <n v="16"/>
    <n v="1"/>
    <n v="10.083333333333334"/>
  </r>
  <r>
    <d v="2025-04-30T08:46:00"/>
    <s v="INYECTADO"/>
    <x v="2"/>
    <x v="72"/>
    <s v="SAID VILLAMIZAR"/>
    <s v="VIRGEN"/>
    <s v="PP CLARIFICADO"/>
    <s v="."/>
    <s v="ORGANIZADOR DE 5KG PASTEL"/>
    <s v="BASE ORGANIZADOR DE 5KG PASTEL-ROSADO"/>
    <n v="381"/>
    <n v="4"/>
    <n v="81.3"/>
    <x v="0"/>
    <m/>
    <n v="11"/>
    <n v="1070"/>
    <n v="21067"/>
    <s v="ROSADO"/>
    <n v="7"/>
    <n v="0"/>
    <n v="0"/>
    <n v="72.39"/>
    <n v="81.3"/>
    <n v="190"/>
    <n v="427.89473684210526"/>
    <x v="3"/>
    <x v="0"/>
    <n v="16"/>
    <n v="1"/>
    <n v="31.75"/>
  </r>
  <r>
    <d v="2025-04-30T08:46:00"/>
    <s v="INYECTADO"/>
    <x v="2"/>
    <x v="72"/>
    <s v="SAID VILLAMIZAR"/>
    <s v="VIRGEN"/>
    <s v="PP CLARIFICADO"/>
    <s v="."/>
    <s v="ORGANIZADOR DE 5KG PASTEL"/>
    <s v="BASE ORGANIZADOR DE 5KG PASTEL-LILA"/>
    <n v="504"/>
    <n v="5"/>
    <n v="107.8"/>
    <x v="0"/>
    <m/>
    <n v="14"/>
    <n v="1070"/>
    <n v="21067"/>
    <s v="LILA"/>
    <n v="5.7"/>
    <n v="0"/>
    <n v="0"/>
    <n v="95.76"/>
    <n v="107.8"/>
    <n v="190"/>
    <n v="567.36842105263156"/>
    <x v="3"/>
    <x v="0"/>
    <n v="16"/>
    <n v="1"/>
    <n v="42"/>
  </r>
  <r>
    <d v="2025-04-30T08:46:00"/>
    <s v="INYECTADO"/>
    <x v="2"/>
    <x v="72"/>
    <s v="SAID VILLAMIZAR"/>
    <s v="VIRGEN"/>
    <s v="PP CLARIFICADO"/>
    <s v="."/>
    <s v="ORGANIZADOR DE 5KG PASTEL"/>
    <s v="BASE ORGANIZADOR DE 5KG PASTEL-TURQUESA"/>
    <n v="47"/>
    <n v="1"/>
    <n v="9"/>
    <x v="0"/>
    <m/>
    <n v="1"/>
    <n v="1070"/>
    <n v="21067"/>
    <s v="TURQUESA"/>
    <n v="0"/>
    <n v="0"/>
    <n v="0"/>
    <n v="8.93"/>
    <n v="9"/>
    <n v="190"/>
    <n v="47.368421052631582"/>
    <x v="3"/>
    <x v="0"/>
    <n v="16"/>
    <n v="1"/>
    <n v="3.9166666666666665"/>
  </r>
  <r>
    <d v="2025-04-30T08:46:00"/>
    <s v="INYECTADO"/>
    <x v="2"/>
    <x v="72"/>
    <s v="GABRIEL REQUENA"/>
    <s v="VIRGEN"/>
    <s v="PP CLARIFICADO"/>
    <s v="."/>
    <s v="ORGANIZADOR DE 5KG PASTEL"/>
    <s v="BASE ORGANIZADOR DE 5KG PASTEL-TURQUESA"/>
    <n v="430"/>
    <n v="5"/>
    <n v="92.9"/>
    <x v="0"/>
    <m/>
    <n v="11"/>
    <n v="1070"/>
    <n v="21068"/>
    <s v="TURQUESA"/>
    <n v="17.7"/>
    <n v="0"/>
    <n v="0"/>
    <n v="81.7"/>
    <n v="92.9"/>
    <n v="190"/>
    <n v="488.94736842105266"/>
    <x v="3"/>
    <x v="0"/>
    <n v="16"/>
    <n v="1"/>
    <n v="35.833333333333336"/>
  </r>
  <r>
    <d v="2025-04-30T08:46:00"/>
    <s v="INYECTADO"/>
    <x v="2"/>
    <x v="72"/>
    <s v="GABRIEL REQUENA"/>
    <s v="VIRGEN"/>
    <s v="PP CLARIFICADO"/>
    <s v="."/>
    <s v="ORGANIZADOR DE 5KG PASTEL"/>
    <s v="BASE ORGANIZADOR DE 5KG PASTEL-SANDIA"/>
    <n v="214"/>
    <n v="3"/>
    <n v="45.8"/>
    <x v="0"/>
    <m/>
    <n v="5"/>
    <n v="1070"/>
    <n v="21068"/>
    <s v="SANDIA"/>
    <n v="13.1"/>
    <n v="0"/>
    <n v="0"/>
    <n v="40.659999999999997"/>
    <n v="45.8"/>
    <n v="190"/>
    <n v="241.05263157894737"/>
    <x v="3"/>
    <x v="0"/>
    <n v="16"/>
    <n v="1"/>
    <n v="17.833333333333332"/>
  </r>
  <r>
    <d v="2025-04-30T08:46:00"/>
    <s v="INYECTADO"/>
    <x v="2"/>
    <x v="72"/>
    <s v="GABRIEL REQUENA"/>
    <s v="VIRGEN"/>
    <s v="PP CLARIFICADO"/>
    <s v="."/>
    <s v="ORGANIZADOR DE 5KG"/>
    <s v="BASE ORGANIZADOR DE 5KG-TRANSPARENTE"/>
    <n v="279"/>
    <n v="3"/>
    <n v="60.2"/>
    <x v="0"/>
    <m/>
    <n v="5"/>
    <n v="1070"/>
    <n v="21068"/>
    <s v="TRANSPARENTE"/>
    <n v="13"/>
    <n v="0"/>
    <n v="0"/>
    <n v="53.01"/>
    <n v="60.2"/>
    <n v="190"/>
    <n v="316.84210526315792"/>
    <x v="3"/>
    <x v="0"/>
    <n v="16"/>
    <n v="1"/>
    <n v="23.25"/>
  </r>
  <r>
    <d v="2025-04-30T08:46:00"/>
    <s v="INYECTADO"/>
    <x v="2"/>
    <x v="73"/>
    <s v="ISABEL LINARIZ "/>
    <s v="VIRGEN"/>
    <s v="PP CLARIFICADO"/>
    <s v="."/>
    <s v="ORGANIZADOR DE 5KG"/>
    <s v="BASE ORGANIZADOR DE 5KG-TRANSPARENTE"/>
    <n v="709"/>
    <n v="9"/>
    <n v="169.1"/>
    <x v="0"/>
    <m/>
    <n v="22"/>
    <n v="1070"/>
    <n v="21069"/>
    <s v="TRANSPARENTE"/>
    <n v="4.2"/>
    <n v="0"/>
    <n v="0"/>
    <n v="134.71"/>
    <n v="169.1"/>
    <n v="190"/>
    <n v="890"/>
    <x v="3"/>
    <x v="0"/>
    <n v="17"/>
    <n v="1"/>
    <n v="59.083333333333336"/>
  </r>
  <r>
    <d v="2025-04-30T08:46:00"/>
    <s v="INYECTADO"/>
    <x v="2"/>
    <x v="60"/>
    <s v="LUIS PINEDO"/>
    <s v="VIRGEN"/>
    <s v="PP CLARIFICADO"/>
    <s v="."/>
    <s v="ORGANIZADOR DE 5KG PASTEL"/>
    <s v="BASE ORGANIZADOR DE 5KG PASTEL-SANDIA"/>
    <n v="72"/>
    <n v="1"/>
    <n v="15.9"/>
    <x v="0"/>
    <m/>
    <n v="2"/>
    <n v="1070"/>
    <n v="21070"/>
    <s v="SANDIA"/>
    <n v="0"/>
    <n v="0"/>
    <n v="0"/>
    <n v="13.68"/>
    <n v="15.9"/>
    <n v="190"/>
    <n v="83.684210526315795"/>
    <x v="3"/>
    <x v="0"/>
    <n v="17"/>
    <n v="1"/>
    <n v="6"/>
  </r>
  <r>
    <d v="2025-04-30T08:46:00"/>
    <s v="INYECTADO"/>
    <x v="2"/>
    <x v="60"/>
    <s v="ROSA MERINO"/>
    <s v="VIRGEN"/>
    <s v="PP CLARIFICADO"/>
    <s v="."/>
    <s v="ORGANIZADOR DE 5KG PASTEL"/>
    <s v="BASE ORGANIZADOR DE 5KG PASTEL-SANDIA"/>
    <n v="252"/>
    <n v="3"/>
    <n v="61.7"/>
    <x v="0"/>
    <m/>
    <n v="7"/>
    <n v="1070"/>
    <n v="21071"/>
    <s v="SANDIA"/>
    <n v="4.0999999999999996"/>
    <n v="0"/>
    <n v="0"/>
    <n v="47.88"/>
    <n v="61.7"/>
    <n v="190"/>
    <n v="324.73684210526318"/>
    <x v="3"/>
    <x v="0"/>
    <n v="17"/>
    <n v="1"/>
    <n v="21"/>
  </r>
  <r>
    <d v="2025-04-30T08:46:00"/>
    <s v="INYECTADO"/>
    <x v="2"/>
    <x v="60"/>
    <s v="ROSA MERINO"/>
    <s v="VIRGEN"/>
    <s v="PP CLARIFICADO"/>
    <s v="."/>
    <s v="ORGANIZADOR DE 5KG PASTEL"/>
    <s v="BASE ORGANIZADOR DE 5KG PASTEL-TURQUESA"/>
    <n v="72"/>
    <n v="1"/>
    <n v="17.600000000000001"/>
    <x v="0"/>
    <m/>
    <n v="2"/>
    <n v="1070"/>
    <n v="21071"/>
    <s v="TURQUESA"/>
    <n v="2"/>
    <n v="0"/>
    <n v="0"/>
    <n v="13.68"/>
    <n v="17.600000000000001"/>
    <n v="190"/>
    <n v="92.631578947368425"/>
    <x v="3"/>
    <x v="0"/>
    <n v="17"/>
    <n v="1"/>
    <n v="6"/>
  </r>
  <r>
    <d v="2025-04-30T08:46:00"/>
    <s v="INYECTADO"/>
    <x v="2"/>
    <x v="75"/>
    <s v="LUIS RENGIFO"/>
    <s v="VIRGEN"/>
    <s v="PP CLARIFICADO"/>
    <s v="."/>
    <s v="LAVACUELA REDONDO"/>
    <s v="LAVACUELA REDONDO-TURQUESA"/>
    <n v="601"/>
    <n v="5"/>
    <n v="56.5"/>
    <x v="0"/>
    <m/>
    <n v="5"/>
    <n v="1082"/>
    <n v="21072"/>
    <s v="TURQUESA"/>
    <n v="0"/>
    <n v="0"/>
    <n v="0"/>
    <n v="55.592500000000001"/>
    <n v="56.5"/>
    <n v="92.5"/>
    <n v="610.81081081081084"/>
    <x v="3"/>
    <x v="0"/>
    <n v="17"/>
    <n v="1"/>
    <n v="50.083333333333336"/>
  </r>
  <r>
    <d v="2025-04-30T08:46:00"/>
    <s v="INYECTADO"/>
    <x v="2"/>
    <x v="75"/>
    <s v="ROSA MERINO"/>
    <s v="VIRGEN"/>
    <s v="PP CLARIFICADO"/>
    <s v="."/>
    <s v="LAVACUELA REDONDO"/>
    <s v="LAVACUELA REDONDO-TURQUESA"/>
    <n v="440"/>
    <n v="4"/>
    <n v="41.8"/>
    <x v="0"/>
    <m/>
    <n v="4"/>
    <n v="1082"/>
    <n v="21073"/>
    <s v="TURQUESA"/>
    <n v="4.5999999999999996"/>
    <n v="0"/>
    <n v="0"/>
    <n v="40.700000000000003"/>
    <n v="41.8"/>
    <n v="92.5"/>
    <n v="451.89189189189187"/>
    <x v="3"/>
    <x v="0"/>
    <n v="17"/>
    <n v="1"/>
    <n v="36.666666666666664"/>
  </r>
  <r>
    <d v="2025-04-30T08:46:00"/>
    <s v="INYECTADO"/>
    <x v="2"/>
    <x v="76"/>
    <s v="GABRIEL REQUENA"/>
    <s v="VIRGEN"/>
    <s v="PP CLARIFICADO"/>
    <s v="."/>
    <s v="LAVACUELA REDONDO"/>
    <s v="LAVACUELA REDONDO-TURQUESA"/>
    <n v="42"/>
    <n v="1"/>
    <n v="4"/>
    <x v="0"/>
    <m/>
    <n v="5"/>
    <n v="1082"/>
    <n v="21074"/>
    <s v="TURQUESA"/>
    <n v="3.7"/>
    <n v="0"/>
    <n v="0"/>
    <n v="3.8849999999999998"/>
    <n v="4"/>
    <n v="92.5"/>
    <n v="43.243243243243242"/>
    <x v="3"/>
    <x v="0"/>
    <n v="17"/>
    <n v="1"/>
    <n v="3.5"/>
  </r>
  <r>
    <d v="2025-04-30T08:46:00"/>
    <s v="INYECTADO"/>
    <x v="2"/>
    <x v="76"/>
    <s v="GABRIEL REQUENA"/>
    <s v="VIRGEN"/>
    <s v="PP CLARIFICADO"/>
    <s v="."/>
    <s v="LAVACUELA REDONDO"/>
    <s v="LAVACUELA REDONDO-CREMA"/>
    <n v="762"/>
    <n v="9"/>
    <n v="71.7"/>
    <x v="0"/>
    <m/>
    <n v="1"/>
    <n v="1082"/>
    <n v="21074"/>
    <s v="CREMA"/>
    <n v="5.4"/>
    <n v="0"/>
    <n v="0"/>
    <n v="70.484999999999999"/>
    <n v="71.7"/>
    <n v="92.5"/>
    <n v="775.1351351351351"/>
    <x v="3"/>
    <x v="0"/>
    <n v="17"/>
    <n v="1"/>
    <n v="63.5"/>
  </r>
  <r>
    <d v="2025-04-30T08:46:00"/>
    <s v="INYECTADO"/>
    <x v="2"/>
    <x v="77"/>
    <s v="GABRIEL REQUENA"/>
    <s v="VIRGEN"/>
    <s v="PP CLARIFICADO"/>
    <s v="."/>
    <s v="LAVACUELA REDONDO"/>
    <s v="LAVACUELA REDONDO-CREMA"/>
    <n v="194"/>
    <n v="2"/>
    <n v="18.100000000000001"/>
    <x v="0"/>
    <m/>
    <n v="2"/>
    <n v="1082"/>
    <n v="21075"/>
    <s v="CREMA"/>
    <n v="7"/>
    <n v="0"/>
    <n v="0"/>
    <n v="17.945"/>
    <n v="18.100000000000001"/>
    <n v="92.5"/>
    <n v="195.67567567567568"/>
    <x v="3"/>
    <x v="0"/>
    <n v="17"/>
    <n v="1"/>
    <n v="16.166666666666668"/>
  </r>
  <r>
    <d v="2025-04-30T08:46:00"/>
    <s v="INYECTADO"/>
    <x v="2"/>
    <x v="77"/>
    <s v="GABRIEL REQUENA"/>
    <s v="VIRGEN"/>
    <s v="PP CLARIFICADO"/>
    <s v="."/>
    <s v="LAVACUELA REDONDO"/>
    <s v="LAVACUELA REDONDO-VERDE"/>
    <n v="474"/>
    <n v="4"/>
    <n v="45.1"/>
    <x v="0"/>
    <m/>
    <n v="4"/>
    <n v="1082"/>
    <n v="21075"/>
    <s v="VERDE"/>
    <n v="0.8"/>
    <n v="0"/>
    <n v="0"/>
    <n v="43.844999999999999"/>
    <n v="45.1"/>
    <n v="92.5"/>
    <n v="487.56756756756755"/>
    <x v="3"/>
    <x v="0"/>
    <n v="17"/>
    <n v="1"/>
    <n v="39.5"/>
  </r>
  <r>
    <d v="2025-04-30T08:46:00"/>
    <s v="INYECTADO"/>
    <x v="2"/>
    <x v="78"/>
    <s v="BRAYAN PINEDO"/>
    <s v="VIRGEN"/>
    <s v="PP CLARIFICADO"/>
    <s v="."/>
    <s v="LAVACUELA REDONDO"/>
    <s v="LAVACUELA REDONDO-VERDE"/>
    <n v="573"/>
    <n v="6"/>
    <n v="53.9"/>
    <x v="0"/>
    <m/>
    <n v="6"/>
    <n v="1082"/>
    <n v="21026"/>
    <s v="VERDE"/>
    <n v="1.2"/>
    <n v="0"/>
    <n v="0"/>
    <n v="53.002499999999998"/>
    <n v="53.9"/>
    <n v="92.5"/>
    <n v="582.70270270270271"/>
    <x v="3"/>
    <x v="0"/>
    <n v="18"/>
    <n v="1"/>
    <n v="47.75"/>
  </r>
  <r>
    <d v="2025-04-30T08:46:00"/>
    <s v="INYECTADO"/>
    <x v="2"/>
    <x v="78"/>
    <s v="BRAYAN PINEDO"/>
    <s v="VIRGEN"/>
    <s v="PP CLARIFICADO"/>
    <s v="."/>
    <s v="LAVACUELA REDONDO"/>
    <s v="LAVACUELA REDONDO-ROSADO"/>
    <n v="480"/>
    <n v="4"/>
    <n v="45.2"/>
    <x v="0"/>
    <m/>
    <n v="4"/>
    <n v="1082"/>
    <n v="21076"/>
    <s v="ROSADO"/>
    <n v="5.7"/>
    <n v="0"/>
    <n v="0"/>
    <n v="44.4"/>
    <n v="45.2"/>
    <n v="92.5"/>
    <n v="488.64864864864865"/>
    <x v="3"/>
    <x v="0"/>
    <n v="18"/>
    <n v="1"/>
    <n v="40"/>
  </r>
  <r>
    <d v="2025-04-30T08:46:00"/>
    <s v="INYECTADO"/>
    <x v="2"/>
    <x v="78"/>
    <s v="JUAN MANUEL PEREZ"/>
    <s v="VIRGEN"/>
    <s v="PP CLARIFICADO"/>
    <s v="."/>
    <s v="LAVACUELA REDONDO"/>
    <s v="LAVACUELA REDONDO-MELON"/>
    <n v="720"/>
    <n v="7"/>
    <n v="68.400000000000006"/>
    <x v="0"/>
    <m/>
    <n v="6"/>
    <n v="1082"/>
    <n v="21077"/>
    <s v="MELON"/>
    <n v="1.2"/>
    <n v="0"/>
    <n v="0"/>
    <n v="66.599999999999994"/>
    <n v="68.400000000000006"/>
    <n v="92.5"/>
    <n v="739.45945945945948"/>
    <x v="3"/>
    <x v="0"/>
    <n v="18"/>
    <n v="1"/>
    <n v="60"/>
  </r>
  <r>
    <d v="2025-04-30T08:46:00"/>
    <s v="INYECTADO"/>
    <x v="2"/>
    <x v="78"/>
    <s v="JUAN MANUEL PEREZ"/>
    <s v="VIRGEN"/>
    <s v="PP CLARIFICADO"/>
    <s v="."/>
    <s v="LAVACUELA REDONDO"/>
    <s v="LAVACUELA REDONDO-ROSADO"/>
    <n v="571"/>
    <n v="5"/>
    <n v="54.3"/>
    <x v="0"/>
    <m/>
    <n v="5"/>
    <n v="1082"/>
    <n v="21077"/>
    <s v="ROSADO"/>
    <n v="3.6"/>
    <n v="0"/>
    <n v="0"/>
    <n v="52.817500000000003"/>
    <n v="54.3"/>
    <n v="92.5"/>
    <n v="587.02702702702697"/>
    <x v="3"/>
    <x v="0"/>
    <n v="18"/>
    <n v="1"/>
    <n v="47.583333333333336"/>
  </r>
  <r>
    <d v="2025-04-30T08:46:00"/>
    <s v="INYECTADO"/>
    <x v="2"/>
    <x v="79"/>
    <s v="CRISALIDA ZAPATA"/>
    <s v="VIRGEN"/>
    <s v="PP CLARIFICADO"/>
    <s v="."/>
    <s v="LAVACUELA REDONDO"/>
    <s v="LAVACUELA REDONDO-MELON"/>
    <n v="286"/>
    <n v="3"/>
    <n v="26.9"/>
    <x v="0"/>
    <m/>
    <n v="3"/>
    <n v="1082"/>
    <n v="21078"/>
    <s v="MELON"/>
    <n v="4.7"/>
    <n v="0"/>
    <n v="0"/>
    <n v="26.454999999999998"/>
    <n v="26.9"/>
    <n v="92.5"/>
    <n v="290.81081081081084"/>
    <x v="3"/>
    <x v="0"/>
    <n v="18"/>
    <n v="1"/>
    <n v="23.833333333333332"/>
  </r>
  <r>
    <d v="2025-04-30T08:46:00"/>
    <s v="INYECTADO"/>
    <x v="2"/>
    <x v="79"/>
    <s v="CRISALIDA ZAPATA"/>
    <s v="VIRGEN"/>
    <s v="PP CLARIFICADO"/>
    <s v="."/>
    <s v="LAVACUELA REDONDO"/>
    <s v="LAVACUELA REDONDO-LILA"/>
    <n v="876"/>
    <n v="8"/>
    <n v="82.4"/>
    <x v="0"/>
    <m/>
    <n v="8"/>
    <n v="1082"/>
    <n v="21078"/>
    <s v="LILA"/>
    <n v="1.9"/>
    <n v="0"/>
    <n v="0"/>
    <n v="81.03"/>
    <n v="82.4"/>
    <n v="92.5"/>
    <n v="890.81081081081084"/>
    <x v="3"/>
    <x v="0"/>
    <n v="18"/>
    <n v="1"/>
    <n v="73"/>
  </r>
  <r>
    <d v="2025-04-30T08:46:00"/>
    <s v="INYECTADO"/>
    <x v="2"/>
    <x v="80"/>
    <s v="NELSON PINEDO"/>
    <s v="VIRGEN"/>
    <s v="PP CLARIFICADO"/>
    <s v="."/>
    <s v="LAVACUELA REDONDO"/>
    <s v="LAVACUELA REDONDO-LILA"/>
    <n v="161"/>
    <n v="2"/>
    <n v="15.2"/>
    <x v="0"/>
    <m/>
    <n v="2"/>
    <n v="1082"/>
    <n v="21079"/>
    <s v="LILA"/>
    <n v="1.8"/>
    <n v="0"/>
    <n v="0"/>
    <n v="14.8925"/>
    <n v="15.2"/>
    <n v="92.5"/>
    <n v="164.32432432432432"/>
    <x v="3"/>
    <x v="0"/>
    <n v="18"/>
    <n v="1"/>
    <n v="13.416666666666666"/>
  </r>
  <r>
    <d v="2025-04-30T08:46:00"/>
    <s v="INYECTADO"/>
    <x v="2"/>
    <x v="80"/>
    <s v="NELSON PINEDO"/>
    <s v="SEGUNDA"/>
    <s v="."/>
    <s v="MIXTO"/>
    <s v="COLADOR HOGAR SOLIDO #4"/>
    <s v="COLADOR HOGAR SOLIDO#4-ROJO"/>
    <n v="436"/>
    <n v="4"/>
    <n v="50.2"/>
    <x v="0"/>
    <m/>
    <n v="3"/>
    <n v="1082"/>
    <n v="21079"/>
    <s v="ROJO"/>
    <n v="4.9000000000000004"/>
    <n v="0"/>
    <n v="0"/>
    <n v="47.96"/>
    <n v="50.2"/>
    <n v="110"/>
    <n v="456.36363636363637"/>
    <x v="3"/>
    <x v="0"/>
    <n v="18"/>
    <n v="1"/>
    <n v="36.333333333333336"/>
  </r>
  <r>
    <d v="2025-04-30T08:46:00"/>
    <s v="INYECTADO"/>
    <x v="2"/>
    <x v="80"/>
    <s v="NELSON PINEDO"/>
    <s v="SEGUNDA"/>
    <s v="."/>
    <s v="MIXTO"/>
    <s v="COLADOR HOGAR SOLIDO #4"/>
    <s v="COLADOR HOGAR SOLIDO#4-ANARANJADO"/>
    <n v="130"/>
    <n v="2"/>
    <n v="15"/>
    <x v="0"/>
    <m/>
    <n v="1"/>
    <n v="1082"/>
    <n v="21079"/>
    <s v="ANARANJADO"/>
    <n v="1.8"/>
    <n v="0"/>
    <n v="0"/>
    <n v="14.3"/>
    <n v="15"/>
    <n v="110"/>
    <n v="136.36363636363637"/>
    <x v="3"/>
    <x v="0"/>
    <n v="18"/>
    <n v="1"/>
    <n v="10.833333333333334"/>
  </r>
  <r>
    <d v="2025-04-30T08:46:00"/>
    <s v="INYECTADO"/>
    <x v="2"/>
    <x v="80"/>
    <s v="JUAN MANUEL PEREZ"/>
    <s v="SEGUNDA"/>
    <s v="."/>
    <s v="MIXTO"/>
    <s v="COLADOR HOGAR SOLIDO #4"/>
    <s v="COLADOR HOGAR SOLIDO#4-ANARANJADO"/>
    <n v="277"/>
    <n v="2"/>
    <n v="31.9"/>
    <x v="0"/>
    <m/>
    <n v="2"/>
    <n v="1082"/>
    <n v="21080"/>
    <s v="ANARANJADO"/>
    <n v="3.7"/>
    <n v="0"/>
    <n v="0"/>
    <n v="30.47"/>
    <n v="31.9"/>
    <n v="110"/>
    <n v="290"/>
    <x v="3"/>
    <x v="0"/>
    <n v="18"/>
    <n v="1"/>
    <n v="23.083333333333332"/>
  </r>
  <r>
    <d v="2025-04-30T08:46:00"/>
    <s v="INYECTADO"/>
    <x v="2"/>
    <x v="80"/>
    <s v="JUAN MANUEL PEREZ"/>
    <s v="VIRGEN"/>
    <s v="PP CLARIFICADO"/>
    <s v="."/>
    <s v="COLADOR HOGAR SOLIDO #4"/>
    <s v="COLADOR HOGAR SOLIDO#4-CREMA"/>
    <n v="429"/>
    <n v="4"/>
    <n v="50.1"/>
    <x v="0"/>
    <m/>
    <n v="3"/>
    <n v="1082"/>
    <n v="21080"/>
    <s v="CREMA"/>
    <n v="0"/>
    <n v="0"/>
    <n v="0"/>
    <n v="47.19"/>
    <n v="50.1"/>
    <n v="110"/>
    <n v="455.45454545454544"/>
    <x v="3"/>
    <x v="0"/>
    <n v="18"/>
    <n v="1"/>
    <n v="35.75"/>
  </r>
  <r>
    <d v="2025-04-30T08:46:00"/>
    <s v="INYECTADO"/>
    <x v="2"/>
    <x v="80"/>
    <s v="JUAN MANUEL PEREZ"/>
    <s v="SEGUNDA"/>
    <s v="."/>
    <s v="MIXTO"/>
    <s v="COLADOR HOGAR SOLIDO #4"/>
    <s v="COLADOR HOGAR SOLIDO#4-AZURE"/>
    <n v="300"/>
    <n v="4"/>
    <n v="35"/>
    <x v="0"/>
    <m/>
    <n v="2"/>
    <n v="1082"/>
    <n v="21080"/>
    <s v="CELESTE"/>
    <n v="0"/>
    <n v="0"/>
    <n v="0"/>
    <n v="33"/>
    <n v="35"/>
    <n v="110"/>
    <n v="318.18181818181819"/>
    <x v="3"/>
    <x v="0"/>
    <n v="18"/>
    <n v="1"/>
    <n v="25"/>
  </r>
  <r>
    <d v="2025-04-30T08:46:00"/>
    <s v="INYECTADO"/>
    <x v="3"/>
    <x v="74"/>
    <s v="LUIS RENGIFO"/>
    <s v="VIRGEN"/>
    <s v="PP CLARIFICADO"/>
    <s v="."/>
    <s v="VASO MUNDO MANZANITA "/>
    <s v="VASO MUNDO MANZANITA CARAMELO-AMARILLO"/>
    <n v="501"/>
    <n v="4"/>
    <n v="65.7"/>
    <x v="0"/>
    <m/>
    <n v="7"/>
    <n v="1078"/>
    <n v="18765"/>
    <s v="AMARILLO"/>
    <n v="2"/>
    <n v="0"/>
    <n v="0"/>
    <n v="11.022"/>
    <n v="65.7"/>
    <n v="22"/>
    <n v="2986.3636363636365"/>
    <x v="3"/>
    <x v="0"/>
    <n v="17"/>
    <n v="6"/>
    <n v="250.5"/>
  </r>
  <r>
    <d v="2025-04-30T08:46:00"/>
    <s v="INYECTADO"/>
    <x v="3"/>
    <x v="60"/>
    <s v="GABRIEL REQUENA"/>
    <s v="VIRGEN"/>
    <s v="PP CLARIFICADO"/>
    <s v="."/>
    <s v="VASO MUNDO MANZANITA "/>
    <s v="VASO MUNDO MANZANITA CARAMELO-AMARILLO"/>
    <n v="284"/>
    <n v="2"/>
    <n v="37.299999999999997"/>
    <x v="0"/>
    <m/>
    <n v="4"/>
    <n v="1078"/>
    <n v="18766"/>
    <s v="AMARILLO"/>
    <n v="0"/>
    <n v="0"/>
    <n v="0"/>
    <n v="6.2480000000000002"/>
    <n v="37.299999999999997"/>
    <n v="22"/>
    <n v="1695.4545454545455"/>
    <x v="3"/>
    <x v="0"/>
    <n v="17"/>
    <n v="6"/>
    <n v="142"/>
  </r>
  <r>
    <d v="2025-04-30T08:46:00"/>
    <s v="INYECTADO"/>
    <x v="3"/>
    <x v="60"/>
    <s v="GABRIEL REQUENA"/>
    <s v="VIRGEN"/>
    <s v="PP CLARIFICADO"/>
    <s v="."/>
    <s v="VASO MUNDO MANZANITA "/>
    <s v="VASO MUNDO MANZANITA CARAMELO-VERDE"/>
    <n v="529"/>
    <n v="5"/>
    <n v="69.3"/>
    <x v="0"/>
    <m/>
    <n v="7"/>
    <n v="1078"/>
    <n v="18766"/>
    <s v="VERDE"/>
    <n v="0"/>
    <n v="0"/>
    <n v="0"/>
    <n v="11.638"/>
    <n v="69.3"/>
    <n v="22"/>
    <n v="3150"/>
    <x v="3"/>
    <x v="0"/>
    <n v="17"/>
    <n v="6"/>
    <n v="264.5"/>
  </r>
  <r>
    <d v="2025-04-30T08:46:00"/>
    <s v="INYECTADO"/>
    <x v="3"/>
    <x v="75"/>
    <s v="GABRIEL ORDAZ"/>
    <s v="VIRGEN"/>
    <s v="PP CLARIFICADO"/>
    <s v="."/>
    <s v="VASO MUNDO MANZANITA "/>
    <s v="VASO MUNDO MANZANITA CARAMELO-VERDE"/>
    <n v="196"/>
    <n v="2"/>
    <n v="25.8"/>
    <x v="0"/>
    <m/>
    <n v="2"/>
    <n v="1078"/>
    <n v="18767"/>
    <s v="VERDE"/>
    <n v="0.8"/>
    <n v="0"/>
    <n v="0"/>
    <n v="4.3120000000000003"/>
    <n v="25.8"/>
    <n v="22"/>
    <n v="1172.7272727272727"/>
    <x v="3"/>
    <x v="0"/>
    <n v="17"/>
    <n v="6"/>
    <n v="98"/>
  </r>
  <r>
    <d v="2025-04-30T08:46:00"/>
    <s v="INYECTADO"/>
    <x v="3"/>
    <x v="75"/>
    <s v="GABRIEL ORDAZ"/>
    <s v="VIRGEN"/>
    <s v="PP CLARIFICADO"/>
    <s v="."/>
    <s v="VASO MUNDO MANZANITA "/>
    <s v="VASO MUNDO MANZANITA CARAMELO-ANARANJADO"/>
    <n v="538"/>
    <n v="5"/>
    <n v="71.099999999999994"/>
    <x v="0"/>
    <m/>
    <n v="7"/>
    <n v="1078"/>
    <n v="18767"/>
    <s v="ANARANJADO"/>
    <n v="3.5"/>
    <n v="0"/>
    <n v="0"/>
    <n v="11.836"/>
    <n v="71.099999999999994"/>
    <n v="22"/>
    <n v="3231.818181818182"/>
    <x v="3"/>
    <x v="0"/>
    <n v="17"/>
    <n v="6"/>
    <n v="269"/>
  </r>
  <r>
    <d v="2025-04-30T08:46:00"/>
    <s v="INYECTADO"/>
    <x v="3"/>
    <x v="77"/>
    <s v="LUIS PINEDO"/>
    <s v="VIRGEN"/>
    <s v="PP CLARIFICADO"/>
    <s v="."/>
    <s v="VASO MUNDO MANZANITA "/>
    <s v="VASO MUNDO MANZANITA CARAMELO-ANARANJADO"/>
    <n v="246"/>
    <n v="3"/>
    <n v="32.1"/>
    <x v="0"/>
    <m/>
    <n v="4"/>
    <n v="1078"/>
    <n v="18768"/>
    <s v="ANARANJADO"/>
    <n v="3.5"/>
    <n v="0"/>
    <n v="0"/>
    <n v="5.4119999999999999"/>
    <n v="32.1"/>
    <n v="22"/>
    <n v="1459.090909090909"/>
    <x v="3"/>
    <x v="0"/>
    <n v="17"/>
    <n v="6"/>
    <n v="123"/>
  </r>
  <r>
    <d v="2025-04-30T08:46:00"/>
    <s v="INYECTADO"/>
    <x v="3"/>
    <x v="77"/>
    <s v="LUIS PINEDO"/>
    <s v="VIRGEN"/>
    <s v="PP CLARIFICADO"/>
    <s v="."/>
    <s v="VASO MUNDO MANZANITA "/>
    <s v="VASO MUNDO MANZANITA CARAMELO-FUCSIA"/>
    <n v="640"/>
    <n v="7"/>
    <n v="83.9"/>
    <x v="0"/>
    <m/>
    <n v="9"/>
    <n v="1078"/>
    <n v="18768"/>
    <s v="FUCSIA"/>
    <n v="1.3"/>
    <n v="0"/>
    <n v="0"/>
    <n v="14.08"/>
    <n v="83.9"/>
    <n v="22"/>
    <n v="3813.6363636363635"/>
    <x v="3"/>
    <x v="0"/>
    <n v="17"/>
    <n v="6"/>
    <n v="320"/>
  </r>
  <r>
    <d v="2025-04-30T08:46:00"/>
    <s v="INYECTADO"/>
    <x v="3"/>
    <x v="77"/>
    <s v="JUAN MANUEL PEREZ"/>
    <s v="VIRGEN"/>
    <s v="PP CLARIFICADO"/>
    <s v="."/>
    <s v="VASO MUNDO MANZANITA "/>
    <s v="VASO MUNDO MANZANITA CARAMELO-FUCSIA"/>
    <n v="83"/>
    <n v="1"/>
    <n v="11"/>
    <x v="0"/>
    <m/>
    <n v="2"/>
    <n v="1078"/>
    <n v="18769"/>
    <s v="FUCSIA"/>
    <n v="2.1"/>
    <n v="0"/>
    <n v="0"/>
    <n v="1.8260000000000001"/>
    <n v="11"/>
    <n v="22"/>
    <n v="500"/>
    <x v="3"/>
    <x v="0"/>
    <n v="17"/>
    <n v="6"/>
    <n v="41.5"/>
  </r>
  <r>
    <d v="2025-04-30T08:46:00"/>
    <s v="INYECTADO"/>
    <x v="3"/>
    <x v="77"/>
    <s v="JUAN MANUEL PEREZ"/>
    <s v="VIRGEN"/>
    <s v="PP CLARIFICADO"/>
    <s v="."/>
    <s v="VASO MUNDO MANZANITA "/>
    <s v="VASO MUNDO MANZANITA CARAMELO-LILA"/>
    <n v="782"/>
    <n v="8"/>
    <n v="102.5"/>
    <x v="0"/>
    <m/>
    <n v="11"/>
    <n v="1078"/>
    <n v="18769"/>
    <s v="LILA"/>
    <n v="3.5"/>
    <n v="0"/>
    <n v="0"/>
    <n v="17.204000000000001"/>
    <n v="102.5"/>
    <n v="22"/>
    <n v="4659.090909090909"/>
    <x v="3"/>
    <x v="0"/>
    <n v="17"/>
    <n v="6"/>
    <n v="391"/>
  </r>
  <r>
    <d v="2025-04-30T08:46:00"/>
    <s v="INYECTADO"/>
    <x v="3"/>
    <x v="77"/>
    <s v="JUAN MANUEL PEREZ"/>
    <s v="VIRGEN"/>
    <s v="PP CLARIFICADO"/>
    <s v="."/>
    <s v="VASO MUNDO MANZANITA "/>
    <s v="VASO MUNDO MANZANITA CARAMELO-AZUL"/>
    <n v="97"/>
    <n v="1"/>
    <n v="12.8"/>
    <x v="0"/>
    <m/>
    <n v="1"/>
    <n v="1078"/>
    <n v="18769"/>
    <s v="AZUL"/>
    <n v="0"/>
    <n v="0"/>
    <n v="0"/>
    <n v="2.1339999999999999"/>
    <n v="12.8"/>
    <n v="22"/>
    <n v="581.81818181818187"/>
    <x v="3"/>
    <x v="0"/>
    <n v="17"/>
    <n v="6"/>
    <n v="48.5"/>
  </r>
  <r>
    <d v="2025-04-30T08:46:00"/>
    <s v="INYECTADO"/>
    <x v="3"/>
    <x v="78"/>
    <s v="ISABEL LINARIZ "/>
    <s v="VIRGEN"/>
    <s v="PP CLARIFICADO"/>
    <s v="."/>
    <s v="VASO MUNDO MANZANITA "/>
    <s v="VASO MUNDO MANZANITA CARAMELO-AZUL"/>
    <n v="851"/>
    <n v="8"/>
    <n v="111.6"/>
    <x v="0"/>
    <m/>
    <n v="11"/>
    <n v="1078"/>
    <n v="18770"/>
    <s v="AZUL"/>
    <n v="1.3"/>
    <n v="0"/>
    <n v="0"/>
    <n v="18.722000000000001"/>
    <n v="111.6"/>
    <n v="22"/>
    <n v="5072.727272727273"/>
    <x v="3"/>
    <x v="0"/>
    <n v="18"/>
    <n v="6"/>
    <n v="425.5"/>
  </r>
  <r>
    <d v="2025-04-30T08:46:00"/>
    <s v="INYECTADO"/>
    <x v="3"/>
    <x v="79"/>
    <s v="BRAYAN PINEDO"/>
    <s v="VIRGEN"/>
    <s v="PP CLARIFICADO"/>
    <s v="."/>
    <s v="VASO MUNDO MANZANITA "/>
    <s v="VASO MUNDO MANZANITA CARAMELO-AZUL"/>
    <n v="375"/>
    <n v="3"/>
    <n v="49.2"/>
    <x v="0"/>
    <m/>
    <n v="5"/>
    <n v="1078"/>
    <n v="18771"/>
    <s v="AZUL"/>
    <n v="5.6"/>
    <n v="0"/>
    <n v="0"/>
    <n v="8.25"/>
    <n v="49.2"/>
    <n v="22"/>
    <n v="2236.3636363636365"/>
    <x v="3"/>
    <x v="0"/>
    <n v="18"/>
    <n v="6"/>
    <n v="187.5"/>
  </r>
  <r>
    <d v="2025-04-30T08:46:00"/>
    <s v="INYECTADO"/>
    <x v="3"/>
    <x v="79"/>
    <s v="BRAYAN PINEDO"/>
    <s v="VIRGEN"/>
    <s v="PP CLARIFICADO"/>
    <s v="."/>
    <s v="VASO MUNDO MANZANITA "/>
    <s v="VASO MUNDO MANZANITA CARAMELO-AMARILLO"/>
    <n v="540"/>
    <n v="6"/>
    <n v="71.3"/>
    <x v="0"/>
    <m/>
    <n v="8"/>
    <n v="1078"/>
    <n v="18771"/>
    <s v="AMARILLO"/>
    <n v="7.4"/>
    <n v="0"/>
    <n v="0"/>
    <n v="11.88"/>
    <n v="71.3"/>
    <n v="22"/>
    <n v="3240.909090909091"/>
    <x v="3"/>
    <x v="0"/>
    <n v="18"/>
    <n v="6"/>
    <n v="270"/>
  </r>
  <r>
    <d v="2025-04-30T08:46:00"/>
    <s v="INYECTADO"/>
    <x v="3"/>
    <x v="79"/>
    <s v="BRAYAN PINEDO"/>
    <s v="VIRGEN"/>
    <s v="PP CLARIFICADO"/>
    <s v="."/>
    <s v="VASO MUNDO MANZANITA "/>
    <s v="VASO MUNDO MANZANITA CARAMELO-FUCSIA"/>
    <n v="116"/>
    <n v="2"/>
    <n v="15.2"/>
    <x v="0"/>
    <m/>
    <n v="2"/>
    <n v="1078"/>
    <n v="18771"/>
    <s v="FUCSIA"/>
    <n v="3"/>
    <n v="0"/>
    <n v="0"/>
    <n v="2.552"/>
    <n v="15.2"/>
    <n v="22"/>
    <n v="690.90909090909088"/>
    <x v="3"/>
    <x v="0"/>
    <n v="18"/>
    <n v="6"/>
    <n v="58"/>
  </r>
  <r>
    <d v="2025-04-30T08:46:00"/>
    <s v="INYECTADO"/>
    <x v="3"/>
    <x v="79"/>
    <s v="JUAN MANUEL PEREZ"/>
    <s v="VIRGEN"/>
    <s v="PP CLARIFICADO"/>
    <s v="."/>
    <s v="VASO MUNDO MANZANITA "/>
    <s v="VASO MUNDO MANZANITA CARAMELO-FUCSIA"/>
    <n v="510"/>
    <n v="5"/>
    <n v="66.3"/>
    <x v="0"/>
    <m/>
    <n v="8"/>
    <n v="1078"/>
    <n v="18772"/>
    <s v="FUCSIA"/>
    <n v="0"/>
    <n v="0"/>
    <n v="0"/>
    <n v="11.22"/>
    <n v="66.3"/>
    <n v="22"/>
    <n v="3013.6363636363635"/>
    <x v="3"/>
    <x v="0"/>
    <n v="18"/>
    <n v="6"/>
    <n v="255"/>
  </r>
  <r>
    <d v="2025-04-30T08:46:00"/>
    <s v="INYECTADO"/>
    <x v="3"/>
    <x v="79"/>
    <s v="JUAN MANUEL PEREZ"/>
    <s v="VIRGEN"/>
    <s v="PP CLARIFICADO"/>
    <s v="."/>
    <s v="VASO MUNDO MANZANITA "/>
    <s v="VASO MUNDO MANZANITA CARAMELO-LILA"/>
    <n v="340"/>
    <n v="4"/>
    <n v="44.2"/>
    <x v="0"/>
    <m/>
    <n v="4"/>
    <n v="1078"/>
    <n v="18772"/>
    <s v="LILA"/>
    <n v="0"/>
    <n v="0"/>
    <n v="0"/>
    <n v="7.48"/>
    <n v="44.2"/>
    <n v="22"/>
    <n v="2009.090909090909"/>
    <x v="3"/>
    <x v="0"/>
    <n v="18"/>
    <n v="6"/>
    <n v="170"/>
  </r>
  <r>
    <d v="2025-04-30T08:46:00"/>
    <s v="INYECTADO"/>
    <x v="3"/>
    <x v="80"/>
    <s v="LUIS RENGIFO"/>
    <s v="VIRGEN"/>
    <s v="PP CLARIFICADO"/>
    <s v="."/>
    <s v="VASO MUNDO MANZANITA "/>
    <s v="VASO MUNDO MANZANITA CARAMELO-LILA"/>
    <n v="216"/>
    <n v="2"/>
    <n v="28.4"/>
    <x v="0"/>
    <m/>
    <n v="3"/>
    <n v="1078"/>
    <n v="18773"/>
    <s v="LILA"/>
    <n v="3.9"/>
    <n v="0"/>
    <n v="0"/>
    <n v="4.7519999999999998"/>
    <n v="28.4"/>
    <n v="22"/>
    <n v="1290.909090909091"/>
    <x v="3"/>
    <x v="0"/>
    <n v="18"/>
    <n v="6"/>
    <n v="108"/>
  </r>
  <r>
    <d v="2025-04-30T08:46:00"/>
    <s v="INYECTADO"/>
    <x v="3"/>
    <x v="80"/>
    <s v="LUIS RENGIFO"/>
    <s v="VIRGEN"/>
    <s v="PP CLARIFICADO"/>
    <s v="."/>
    <s v="VASO MUNDO MANZANITA "/>
    <s v="VASO MUNDO MANZANITA CARAMELO-ANARANJADO"/>
    <n v="578"/>
    <n v="5"/>
    <n v="75.8"/>
    <x v="0"/>
    <m/>
    <n v="7"/>
    <n v="1078"/>
    <n v="18773"/>
    <s v="ANARANJADO"/>
    <n v="4"/>
    <n v="0"/>
    <n v="0"/>
    <n v="12.715999999999999"/>
    <n v="75.8"/>
    <n v="22"/>
    <n v="3445.4545454545455"/>
    <x v="3"/>
    <x v="0"/>
    <n v="18"/>
    <n v="6"/>
    <n v="289"/>
  </r>
  <r>
    <d v="2025-04-30T08:46:00"/>
    <s v="INYECTADO"/>
    <x v="3"/>
    <x v="80"/>
    <s v="LUIS RENGIFO"/>
    <s v="VIRGEN"/>
    <s v="PP CLARIFICADO"/>
    <s v="."/>
    <s v="VASO MUNDO MANZANITA "/>
    <s v="VASO MUNDO MANZANITA CARAMELO-VERDE"/>
    <n v="363"/>
    <n v="3"/>
    <n v="47.6"/>
    <x v="0"/>
    <m/>
    <n v="7"/>
    <n v="1078"/>
    <n v="18773"/>
    <s v="VERDE"/>
    <n v="0"/>
    <n v="0"/>
    <n v="0"/>
    <n v="7.9859999999999998"/>
    <n v="47.6"/>
    <n v="22"/>
    <n v="2163.6363636363635"/>
    <x v="3"/>
    <x v="0"/>
    <n v="18"/>
    <n v="6"/>
    <n v="181.5"/>
  </r>
  <r>
    <d v="2025-04-30T08:46:00"/>
    <s v="INYECTADO"/>
    <x v="3"/>
    <x v="80"/>
    <s v="JUAN MANUEL PEREZ"/>
    <s v="VIRGEN"/>
    <s v="PP CLARIFICADO"/>
    <s v="."/>
    <s v="VASO MUNDO MANZANITA "/>
    <s v="VASO MUNDO MANZANITA CARAMELO-VERDE"/>
    <n v="112"/>
    <n v="2"/>
    <n v="14.8"/>
    <x v="0"/>
    <m/>
    <n v="1"/>
    <n v="1078"/>
    <n v="18774"/>
    <s v="VERDE"/>
    <n v="0"/>
    <n v="0"/>
    <n v="0"/>
    <n v="2.464"/>
    <n v="14.8"/>
    <n v="22"/>
    <n v="672.72727272727275"/>
    <x v="3"/>
    <x v="0"/>
    <n v="18"/>
    <n v="6"/>
    <n v="56"/>
  </r>
  <r>
    <d v="2025-04-30T08:46:00"/>
    <s v="INYECTADO"/>
    <x v="7"/>
    <x v="59"/>
    <s v="NELSON PINEDO"/>
    <s v="VIRGEN"/>
    <s v="PP CLARIFICADO"/>
    <s v="."/>
    <s v="VASO SORBETE PASTEL"/>
    <s v="VASO SORBETE PASTEL-VERDE"/>
    <n v="280"/>
    <n v="2"/>
    <n v="41.8"/>
    <x v="1"/>
    <m/>
    <n v="4"/>
    <n v="1058"/>
    <n v="21235"/>
    <s v="VERDE"/>
    <n v="3.7"/>
    <n v="0"/>
    <n v="0"/>
    <e v="#N/A"/>
    <n v="41.8"/>
    <e v="#N/A"/>
    <n v="0"/>
    <x v="3"/>
    <x v="0"/>
    <n v="14"/>
    <e v="#N/A"/>
    <e v="#N/A"/>
  </r>
  <r>
    <d v="2025-04-30T08:46:00"/>
    <s v="INYECTADO"/>
    <x v="7"/>
    <x v="62"/>
    <s v="NELSON PINEDO"/>
    <s v="VIRGEN"/>
    <s v="PP CLARIFICADO"/>
    <s v="."/>
    <s v="VASO SORBETE PASTEL"/>
    <s v="VASO SORBETE PASTEL-VERDE"/>
    <n v="33"/>
    <n v="1"/>
    <n v="5"/>
    <x v="1"/>
    <m/>
    <n v="1"/>
    <n v="1058"/>
    <n v="21236"/>
    <s v="VERDE"/>
    <n v="3.8"/>
    <n v="0"/>
    <n v="0"/>
    <e v="#N/A"/>
    <n v="5"/>
    <e v="#N/A"/>
    <n v="0"/>
    <x v="3"/>
    <x v="0"/>
    <n v="14"/>
    <e v="#N/A"/>
    <e v="#N/A"/>
  </r>
  <r>
    <d v="2025-04-30T08:46:00"/>
    <s v="INYECTADO"/>
    <x v="7"/>
    <x v="62"/>
    <s v="NELSON PINEDO"/>
    <s v="VIRGEN"/>
    <s v="PP CLARIFICADO"/>
    <s v="."/>
    <s v="VASO SORBETE PASTEL"/>
    <s v="VASO SORBETE PASTEL-AZUL"/>
    <n v="367"/>
    <n v="3"/>
    <n v="54.6"/>
    <x v="1"/>
    <m/>
    <n v="4"/>
    <n v="1058"/>
    <n v="21136"/>
    <s v="AZUL"/>
    <n v="3.1"/>
    <n v="0"/>
    <n v="0"/>
    <e v="#N/A"/>
    <n v="54.6"/>
    <e v="#N/A"/>
    <n v="0"/>
    <x v="3"/>
    <x v="0"/>
    <n v="14"/>
    <e v="#N/A"/>
    <e v="#N/A"/>
  </r>
  <r>
    <d v="2025-04-30T08:46:00"/>
    <s v="INYECTADO"/>
    <x v="7"/>
    <x v="62"/>
    <s v="NELSON PINEDO"/>
    <s v="VIRGEN"/>
    <s v="PP CLARIFICADO"/>
    <s v="."/>
    <s v="VASO SORBETE PASTEL"/>
    <s v="VASO SORBETE PASTEL-FUCSIA"/>
    <n v="339"/>
    <n v="3"/>
    <n v="50.6"/>
    <x v="1"/>
    <m/>
    <n v="6"/>
    <n v="1058"/>
    <n v="21136"/>
    <s v="FUCSIA"/>
    <n v="5.2"/>
    <n v="0"/>
    <n v="0"/>
    <e v="#N/A"/>
    <n v="50.6"/>
    <e v="#N/A"/>
    <n v="0"/>
    <x v="3"/>
    <x v="0"/>
    <n v="14"/>
    <e v="#N/A"/>
    <e v="#N/A"/>
  </r>
  <r>
    <d v="2025-04-30T08:46:00"/>
    <s v="INYECTADO"/>
    <x v="7"/>
    <x v="62"/>
    <s v="NELSON PINEDO"/>
    <s v="VIRGEN"/>
    <s v="PP CLARIFICADO"/>
    <s v="."/>
    <s v="VASO SORBETE PASTEL"/>
    <s v="VASO SORBETE PASTEL-LILA"/>
    <n v="230"/>
    <n v="2"/>
    <n v="34.299999999999997"/>
    <x v="1"/>
    <m/>
    <n v="4"/>
    <n v="1058"/>
    <n v="21136"/>
    <s v="LILA"/>
    <n v="1.2"/>
    <n v="0"/>
    <n v="0"/>
    <n v="5.4050000000000002"/>
    <n v="34.299999999999997"/>
    <n v="23.5"/>
    <n v="1459.5744680851064"/>
    <x v="3"/>
    <x v="0"/>
    <n v="14"/>
    <n v="2"/>
    <n v="38.333333333333336"/>
  </r>
  <r>
    <d v="2025-04-30T08:46:00"/>
    <s v="INYECTADO"/>
    <x v="7"/>
    <x v="67"/>
    <s v="LUIS PINEDO"/>
    <s v="VIRGEN"/>
    <s v="PP CLARIFICADO"/>
    <s v="."/>
    <s v="VASO SORBETE PASTEL"/>
    <s v="VASO SORBETE PASTEL-LILA"/>
    <n v="76"/>
    <n v="1"/>
    <n v="11.4"/>
    <x v="1"/>
    <m/>
    <n v="1"/>
    <n v="1058"/>
    <n v="21137"/>
    <s v="LILA"/>
    <n v="0"/>
    <n v="0"/>
    <n v="0"/>
    <n v="1.786"/>
    <n v="11.4"/>
    <n v="23.5"/>
    <n v="485.10638297872339"/>
    <x v="3"/>
    <x v="0"/>
    <n v="15"/>
    <n v="2"/>
    <n v="12.666666666666666"/>
  </r>
  <r>
    <d v="2025-04-30T08:46:00"/>
    <s v="INYECTADO"/>
    <x v="7"/>
    <x v="68"/>
    <s v="LUIS PINEDO"/>
    <s v="VIRGEN"/>
    <s v="PP CLARIFICADO"/>
    <s v="."/>
    <s v="VASO SORBETE PASTEL"/>
    <s v="VASO SORBETE PASTEL-SANDIA"/>
    <n v="15"/>
    <n v="1"/>
    <n v="2.2999999999999998"/>
    <x v="1"/>
    <m/>
    <n v="1"/>
    <n v="1058"/>
    <n v="21138"/>
    <s v="SANDIA"/>
    <n v="0"/>
    <n v="0"/>
    <n v="0"/>
    <n v="0.35249999999999998"/>
    <n v="2.2999999999999998"/>
    <n v="23.5"/>
    <n v="97.872340425531917"/>
    <x v="3"/>
    <x v="0"/>
    <n v="15"/>
    <n v="2"/>
    <n v="2.5"/>
  </r>
  <r>
    <d v="2025-04-30T08:46:00"/>
    <s v="INYECTADO"/>
    <x v="7"/>
    <x v="68"/>
    <s v="LUIS PINEDO"/>
    <s v="VIRGEN"/>
    <s v="PP CLARIFICADO"/>
    <s v="."/>
    <s v="VASO SORBETE PASTEL"/>
    <s v="VASO SORBETE SOLIDO-ROJO"/>
    <n v="337"/>
    <n v="3"/>
    <n v="49.9"/>
    <x v="1"/>
    <m/>
    <n v="5"/>
    <n v="1058"/>
    <n v="21138"/>
    <s v="ROJO"/>
    <n v="10.8"/>
    <n v="0"/>
    <n v="0"/>
    <n v="7.9195000000000002"/>
    <n v="49.9"/>
    <n v="23.5"/>
    <n v="2123.4042553191489"/>
    <x v="3"/>
    <x v="0"/>
    <n v="15"/>
    <n v="2"/>
    <n v="56.166666666666664"/>
  </r>
  <r>
    <d v="2025-04-30T08:46:00"/>
    <s v="INYECTADO"/>
    <x v="7"/>
    <x v="69"/>
    <s v="JOSDER GONZALEZ"/>
    <s v="VIRGEN"/>
    <s v="PP CLARIFICADO"/>
    <s v="."/>
    <s v="VASO SORBETE PASTEL"/>
    <s v="VASO SORBETE PASTEL-SANDIA"/>
    <n v="302"/>
    <n v="3"/>
    <n v="45.1"/>
    <x v="1"/>
    <m/>
    <n v="3"/>
    <n v="1058"/>
    <n v="21139"/>
    <s v="SANDIA"/>
    <n v="6.3"/>
    <n v="0"/>
    <n v="0"/>
    <n v="7.0970000000000004"/>
    <n v="45.1"/>
    <n v="23.5"/>
    <n v="1919.1489361702127"/>
    <x v="3"/>
    <x v="0"/>
    <n v="15"/>
    <n v="2"/>
    <n v="50.333333333333336"/>
  </r>
  <r>
    <d v="2025-04-30T08:46:00"/>
    <s v="INYECTADO"/>
    <x v="7"/>
    <x v="69"/>
    <s v="JOSDER GONZALEZ"/>
    <s v="VIRGEN"/>
    <s v="PP HOMOPOLIMERO"/>
    <s v="PP COPOLIMERO"/>
    <s v="VASO SORBETE SOLIDO"/>
    <s v="VASO SORBETE SOLIDO-CELESTE"/>
    <n v="75"/>
    <n v="1"/>
    <n v="11.2"/>
    <x v="1"/>
    <m/>
    <n v="1"/>
    <n v="1058"/>
    <n v="21139"/>
    <s v="CELESTE"/>
    <n v="3.3"/>
    <n v="0"/>
    <n v="0"/>
    <e v="#N/A"/>
    <n v="11.2"/>
    <e v="#N/A"/>
    <n v="0"/>
    <x v="3"/>
    <x v="0"/>
    <n v="15"/>
    <e v="#N/A"/>
    <e v="#N/A"/>
  </r>
  <r>
    <d v="2025-04-30T08:46:00"/>
    <s v="INYECTADO"/>
    <x v="7"/>
    <x v="69"/>
    <s v="JOSDER GONZALEZ"/>
    <s v="VIRGEN"/>
    <s v="PP HOMOPOLIMERO"/>
    <s v="PP COPOLIMERO"/>
    <s v="VASO SORBETE SOLIDO"/>
    <s v="VASO SORBETE SOLIDO-ROSADO"/>
    <n v="309"/>
    <n v="3"/>
    <n v="46"/>
    <x v="1"/>
    <m/>
    <n v="6"/>
    <n v="1058"/>
    <n v="21139"/>
    <s v="ROSADO"/>
    <n v="6.3"/>
    <n v="0"/>
    <n v="0"/>
    <e v="#N/A"/>
    <n v="46"/>
    <e v="#N/A"/>
    <n v="0"/>
    <x v="3"/>
    <x v="0"/>
    <n v="15"/>
    <e v="#N/A"/>
    <e v="#N/A"/>
  </r>
  <r>
    <d v="2025-04-30T08:46:00"/>
    <s v="INYECTADO"/>
    <x v="7"/>
    <x v="69"/>
    <s v="JOSDER GONZALEZ"/>
    <s v="VIRGEN"/>
    <s v="PP HOMOPOLIMERO"/>
    <s v="PP COPOLIMERO"/>
    <s v="VASO SORBETE SOLIDO"/>
    <s v="VASO SORBETE SOLIDO-LILA"/>
    <n v="311"/>
    <n v="3"/>
    <n v="46.3"/>
    <x v="1"/>
    <m/>
    <n v="4"/>
    <n v="1058"/>
    <n v="21139"/>
    <s v="LILA"/>
    <n v="6.7"/>
    <n v="0"/>
    <n v="0"/>
    <n v="7.3085000000000004"/>
    <n v="46.3"/>
    <n v="23.5"/>
    <n v="1970.2127659574469"/>
    <x v="3"/>
    <x v="0"/>
    <n v="15"/>
    <n v="2"/>
    <n v="51.833333333333336"/>
  </r>
  <r>
    <d v="2025-04-30T08:46:00"/>
    <s v="INYECTADO"/>
    <x v="7"/>
    <x v="69"/>
    <s v="GABRIEL REQUENA"/>
    <s v="VIRGEN"/>
    <s v="PP HOMOPOLIMERO"/>
    <s v="PP COPOLIMERO"/>
    <s v="VASO SORBETE SOLIDO"/>
    <s v="VASO SORBETE SOLIDO-CELESTE"/>
    <n v="248"/>
    <n v="2"/>
    <n v="37.299999999999997"/>
    <x v="1"/>
    <m/>
    <n v="4"/>
    <n v="1058"/>
    <n v="21140"/>
    <s v="CELESTE"/>
    <n v="0.8"/>
    <n v="0"/>
    <n v="0"/>
    <e v="#N/A"/>
    <n v="37.299999999999997"/>
    <e v="#N/A"/>
    <n v="0"/>
    <x v="3"/>
    <x v="0"/>
    <n v="15"/>
    <e v="#N/A"/>
    <e v="#N/A"/>
  </r>
  <r>
    <d v="2025-04-30T08:46:00"/>
    <s v="INYECTADO"/>
    <x v="7"/>
    <x v="69"/>
    <s v="GABRIEL REQUENA"/>
    <s v="VIRGEN"/>
    <s v="PP HOMOPOLIMERO"/>
    <s v="PP COPOLIMERO"/>
    <s v="VASO SORBETE SOLIDO"/>
    <s v="VASO SORBETE SOLIDO-AZURE"/>
    <n v="308"/>
    <n v="3"/>
    <n v="46.3"/>
    <x v="1"/>
    <m/>
    <n v="4"/>
    <n v="1058"/>
    <n v="21140"/>
    <s v="AZURE"/>
    <n v="3.7"/>
    <n v="0"/>
    <n v="0"/>
    <e v="#N/A"/>
    <n v="46.3"/>
    <e v="#N/A"/>
    <n v="0"/>
    <x v="3"/>
    <x v="0"/>
    <n v="15"/>
    <e v="#N/A"/>
    <e v="#N/A"/>
  </r>
  <r>
    <d v="2025-04-30T08:46:00"/>
    <s v="INYECTADO"/>
    <x v="7"/>
    <x v="69"/>
    <s v="GABRIEL REQUENA"/>
    <s v="VIRGEN"/>
    <s v="PP HOMOPOLIMERO"/>
    <s v="PP COPOLIMERO"/>
    <s v="VASO SORBETE SOLIDO"/>
    <s v="VASO SORBETE SOLIDO-TURQUESA"/>
    <n v="332"/>
    <n v="3"/>
    <n v="49.8"/>
    <x v="1"/>
    <m/>
    <n v="5"/>
    <n v="1058"/>
    <n v="21140"/>
    <s v="TURQUESA"/>
    <n v="1.8"/>
    <n v="0"/>
    <n v="0"/>
    <e v="#N/A"/>
    <n v="49.8"/>
    <e v="#N/A"/>
    <n v="0"/>
    <x v="3"/>
    <x v="0"/>
    <n v="15"/>
    <e v="#N/A"/>
    <e v="#N/A"/>
  </r>
  <r>
    <d v="2025-04-30T08:46:00"/>
    <s v="INYECTADO"/>
    <x v="7"/>
    <x v="63"/>
    <s v="CRISALIDA ZAPATA"/>
    <s v="VIRGEN"/>
    <s v="PP CLARIFICADO"/>
    <s v="."/>
    <s v="TAPA DE ORGANIZADOR #3"/>
    <s v="TAPA DE ORGANIZADOR #3-ROJO"/>
    <n v="798"/>
    <n v="6"/>
    <n v="57.5"/>
    <x v="2"/>
    <m/>
    <n v="7"/>
    <n v="1058"/>
    <n v="21141"/>
    <s v="ROJO"/>
    <n v="6.5"/>
    <n v="0"/>
    <n v="0"/>
    <n v="30.324000000000002"/>
    <n v="57.5"/>
    <n v="38"/>
    <n v="1513.1578947368421"/>
    <x v="3"/>
    <x v="0"/>
    <n v="15"/>
    <n v="2"/>
    <n v="133"/>
  </r>
  <r>
    <d v="2025-04-30T08:46:00"/>
    <s v="INYECTADO"/>
    <x v="7"/>
    <x v="64"/>
    <s v="CRISALIDA ZAPATA"/>
    <s v="VIRGEN"/>
    <s v="PP CLARIFICADO"/>
    <s v="."/>
    <s v="TAPA DE ORGANIZADOR #3"/>
    <s v="TAPA DE ORGANIZADOR #3-ROJO"/>
    <n v="1302"/>
    <n v="12"/>
    <n v="93.8"/>
    <x v="2"/>
    <m/>
    <n v="12"/>
    <n v="1058"/>
    <n v="21142"/>
    <s v="ROJO"/>
    <n v="0"/>
    <n v="0"/>
    <n v="0"/>
    <n v="49.475999999999999"/>
    <n v="93.8"/>
    <n v="38"/>
    <n v="2468.4210526315787"/>
    <x v="3"/>
    <x v="0"/>
    <n v="15"/>
    <n v="2"/>
    <n v="217"/>
  </r>
  <r>
    <d v="2025-04-30T08:46:00"/>
    <s v="INYECTADO"/>
    <x v="7"/>
    <x v="64"/>
    <s v="JUAN MANUEL PEREZ"/>
    <s v="VIRGEN"/>
    <s v="PP CLARIFICADO"/>
    <s v="."/>
    <s v="TAPA DE ORGANIZADOR #3"/>
    <s v="TAPA DE ORGANIZADOR #3-ROJO"/>
    <n v="1563"/>
    <n v="11"/>
    <n v="112.6"/>
    <x v="2"/>
    <m/>
    <n v="12"/>
    <n v="1058"/>
    <n v="21143"/>
    <s v="ROJO"/>
    <n v="0"/>
    <n v="0"/>
    <n v="0"/>
    <n v="59.393999999999998"/>
    <n v="112.6"/>
    <n v="38"/>
    <n v="2963.1578947368421"/>
    <x v="3"/>
    <x v="0"/>
    <n v="15"/>
    <n v="2"/>
    <n v="260.5"/>
  </r>
  <r>
    <d v="2025-04-30T08:46:00"/>
    <s v="INYECTADO"/>
    <x v="7"/>
    <x v="65"/>
    <s v="CRISALIDA ZAPATA"/>
    <s v="VIRGEN"/>
    <s v="PP CLARIFICADO"/>
    <s v="."/>
    <s v="TAPA DE ORGANIZADOR #3"/>
    <s v="TAPA DE ORGANIZADOR #3-ROJO"/>
    <n v="1511"/>
    <n v="12"/>
    <n v="108.8"/>
    <x v="2"/>
    <m/>
    <n v="12"/>
    <n v="1066"/>
    <n v="21144"/>
    <s v="ROJO"/>
    <n v="0"/>
    <n v="0"/>
    <n v="0"/>
    <n v="57.417999999999999"/>
    <n v="108.8"/>
    <n v="38"/>
    <n v="2863.1578947368421"/>
    <x v="3"/>
    <x v="0"/>
    <n v="15"/>
    <n v="2"/>
    <n v="251.83333333333334"/>
  </r>
  <r>
    <d v="2025-04-30T08:46:00"/>
    <s v="INYECTADO"/>
    <x v="7"/>
    <x v="65"/>
    <s v="JUAN MANUEL PEREZ"/>
    <s v="VIRGEN"/>
    <s v="PP CLARIFICADO"/>
    <s v="."/>
    <s v="TAPA DE ORGANIZADOR #3"/>
    <s v="TAPA DE ORGANIZADOR #3-ROJO"/>
    <n v="560"/>
    <n v="5"/>
    <n v="40.299999999999997"/>
    <x v="2"/>
    <m/>
    <n v="6"/>
    <n v="1066"/>
    <n v="21145"/>
    <s v="ROJO"/>
    <n v="5"/>
    <n v="0"/>
    <n v="0"/>
    <n v="21.28"/>
    <n v="40.299999999999997"/>
    <n v="38"/>
    <n v="1060.5263157894738"/>
    <x v="3"/>
    <x v="0"/>
    <n v="15"/>
    <n v="2"/>
    <n v="93.333333333333329"/>
  </r>
  <r>
    <d v="2025-04-30T08:46:00"/>
    <s v="INYECTADO"/>
    <x v="7"/>
    <x v="65"/>
    <s v="JUAN MANUEL PEREZ"/>
    <s v="VIRGEN"/>
    <s v="PP CLARIFICADO"/>
    <s v="."/>
    <s v="TAPA DE ORGANIZADOR #3"/>
    <s v="TAPA DE ORGANIZADOR #3-TRANSPARENTE"/>
    <n v="801"/>
    <n v="7"/>
    <n v="57.6"/>
    <x v="2"/>
    <m/>
    <n v="7"/>
    <n v="1069"/>
    <n v="21145"/>
    <s v="TRANSPARENTE"/>
    <n v="0"/>
    <n v="0"/>
    <n v="0"/>
    <n v="30.437999999999999"/>
    <n v="57.6"/>
    <n v="38"/>
    <n v="1515.7894736842106"/>
    <x v="3"/>
    <x v="0"/>
    <n v="15"/>
    <n v="2"/>
    <n v="133.5"/>
  </r>
  <r>
    <d v="2025-04-30T08:46:00"/>
    <s v="INYECTADO"/>
    <x v="7"/>
    <x v="66"/>
    <s v="CRISALIDA ZAPATA"/>
    <s v="VIRGEN"/>
    <s v="PP CLARIFICADO"/>
    <s v="."/>
    <s v="TAPA DE ORGANIZADOR #3"/>
    <s v="TAPA DE ORGANIZADOR #3-TRANSPARENTE"/>
    <n v="1292"/>
    <n v="11"/>
    <n v="105.9"/>
    <x v="2"/>
    <m/>
    <n v="11"/>
    <n v="1069"/>
    <n v="21146"/>
    <s v="TRANSPARENTE"/>
    <n v="1.5"/>
    <n v="0"/>
    <n v="0"/>
    <n v="49.095999999999997"/>
    <n v="105.9"/>
    <n v="38"/>
    <n v="2786.8421052631579"/>
    <x v="3"/>
    <x v="0"/>
    <n v="16"/>
    <n v="2"/>
    <n v="215.33333333333334"/>
  </r>
  <r>
    <d v="2025-04-30T08:46:00"/>
    <s v="INYECTADO"/>
    <x v="7"/>
    <x v="70"/>
    <s v="CRISALIDA ZAPATA"/>
    <s v="VIRGEN"/>
    <s v="PP CLARIFICADO"/>
    <s v="."/>
    <s v="TAPA DE ORGANIZADOR #3"/>
    <s v="TAPA DE ORGANIZADOR #3-TRANSPARENTE"/>
    <n v="1399"/>
    <n v="12"/>
    <n v="102.1"/>
    <x v="2"/>
    <m/>
    <n v="12"/>
    <n v="1069"/>
    <n v="21147"/>
    <s v="TRANSPARENTE"/>
    <n v="9.8000000000000007"/>
    <n v="0"/>
    <n v="0"/>
    <n v="53.161999999999999"/>
    <n v="102.1"/>
    <n v="38"/>
    <n v="2686.8421052631579"/>
    <x v="3"/>
    <x v="0"/>
    <n v="16"/>
    <n v="2"/>
    <n v="233.16666666666666"/>
  </r>
  <r>
    <d v="2025-04-30T08:46:00"/>
    <s v="INYECTADO"/>
    <x v="7"/>
    <x v="70"/>
    <s v="JUAN MANUEL PEREZ"/>
    <s v="VIRGEN"/>
    <s v="PP CLARIFICADO"/>
    <s v="."/>
    <s v="TAPA DE ORGANIZADOR #3"/>
    <s v="TAPA DE ORGANIZADOR #3-TRANSPARENTE"/>
    <n v="1333"/>
    <n v="12"/>
    <n v="97.3"/>
    <x v="2"/>
    <m/>
    <n v="12"/>
    <n v="1069"/>
    <n v="21148"/>
    <s v="TRANSPARENTE"/>
    <n v="0"/>
    <n v="0"/>
    <n v="0"/>
    <n v="50.654000000000003"/>
    <n v="97.3"/>
    <n v="38"/>
    <n v="2560.5263157894738"/>
    <x v="3"/>
    <x v="0"/>
    <n v="16"/>
    <n v="2"/>
    <n v="222.16666666666666"/>
  </r>
  <r>
    <d v="2025-04-30T08:46:00"/>
    <s v="INYECTADO"/>
    <x v="7"/>
    <x v="71"/>
    <s v="CRISALIDA ZAPATA"/>
    <s v="VIRGEN"/>
    <s v="PP CLARIFICADO"/>
    <s v="."/>
    <s v="TAPA DE ORGANIZADOR #3"/>
    <s v="TAPA DE ORGANIZADOR #3-TRANSPARENTE"/>
    <n v="1380"/>
    <n v="12"/>
    <n v="99.3"/>
    <x v="2"/>
    <m/>
    <n v="14"/>
    <n v="1069"/>
    <n v="21149"/>
    <s v="TRANSPARENTE"/>
    <n v="0"/>
    <n v="0"/>
    <n v="0"/>
    <n v="52.44"/>
    <n v="99.3"/>
    <n v="38"/>
    <n v="2613.1578947368421"/>
    <x v="3"/>
    <x v="0"/>
    <n v="16"/>
    <n v="2"/>
    <n v="230"/>
  </r>
  <r>
    <d v="2025-04-30T08:46:00"/>
    <s v="INYECTADO"/>
    <x v="7"/>
    <x v="71"/>
    <s v="JUAN MANUEL PEREZ"/>
    <s v="VIRGEN"/>
    <s v="PP CLARIFICADO"/>
    <s v="."/>
    <s v="TAPA DE ORGANIZADOR #3"/>
    <s v="TAPA DE ORGANIZADOR #3-TRANSPARENTE"/>
    <n v="986"/>
    <n v="6"/>
    <n v="63.5"/>
    <x v="2"/>
    <m/>
    <n v="6"/>
    <n v="1069"/>
    <n v="21150"/>
    <s v="TRANSPARENTE"/>
    <n v="0"/>
    <n v="0"/>
    <n v="0"/>
    <n v="37.468000000000004"/>
    <n v="63.5"/>
    <n v="38"/>
    <n v="1671.0526315789473"/>
    <x v="3"/>
    <x v="0"/>
    <n v="16"/>
    <n v="2"/>
    <n v="164.33333333333334"/>
  </r>
  <r>
    <d v="2025-04-30T08:46:00"/>
    <s v="INYECTADO"/>
    <x v="7"/>
    <x v="73"/>
    <s v="NELSON PINEDO"/>
    <s v="VIRGEN"/>
    <s v="PP CLARIFICADO"/>
    <s v="."/>
    <s v="TAPA DE ORGANIZADOR #2"/>
    <s v="TAPA DE ORGANIZADOR #2-BLANCO"/>
    <n v="657"/>
    <n v="6"/>
    <n v="28.2"/>
    <x v="2"/>
    <m/>
    <n v="6"/>
    <n v="1074"/>
    <n v="21150"/>
    <s v="BLANCO"/>
    <n v="0"/>
    <n v="0"/>
    <n v="0"/>
    <n v="13.797000000000001"/>
    <n v="28.2"/>
    <n v="21"/>
    <n v="1342.8571428571429"/>
    <x v="3"/>
    <x v="0"/>
    <n v="17"/>
    <n v="2"/>
    <n v="109.5"/>
  </r>
  <r>
    <d v="2025-04-30T08:46:00"/>
    <s v="INYECTADO"/>
    <x v="7"/>
    <x v="73"/>
    <s v="JUAN MANUEL PEREZ"/>
    <s v="VIRGEN"/>
    <s v="PP CLARIFICADO"/>
    <s v="."/>
    <s v="TAPA DE ORGANIZADOR #2"/>
    <s v="TAPA DE ORGANIZADOR #2-BLANCO"/>
    <n v="1450"/>
    <n v="12"/>
    <n v="62"/>
    <x v="2"/>
    <m/>
    <n v="12"/>
    <n v="1074"/>
    <n v="21153"/>
    <s v="BLANCO"/>
    <n v="0"/>
    <n v="0"/>
    <n v="0"/>
    <n v="30.45"/>
    <n v="62"/>
    <n v="21"/>
    <n v="2952.3809523809523"/>
    <x v="3"/>
    <x v="0"/>
    <n v="17"/>
    <n v="2"/>
    <n v="241.66666666666666"/>
  </r>
  <r>
    <d v="2025-04-30T08:46:00"/>
    <s v="INYECTADO"/>
    <x v="7"/>
    <x v="74"/>
    <s v="CRISALIDA ZAPATA"/>
    <s v="VIRGEN"/>
    <s v="PP CLARIFICADO"/>
    <s v="."/>
    <s v="TAPA DE ORGANIZADOR #2"/>
    <s v="TAPA DE ORGANIZADOR #2-BLANCO"/>
    <n v="1329"/>
    <n v="11"/>
    <n v="61.1"/>
    <x v="2"/>
    <m/>
    <n v="12"/>
    <n v="1074"/>
    <n v="21154"/>
    <s v="BLANCO"/>
    <n v="0"/>
    <n v="0"/>
    <n v="0"/>
    <n v="27.908999999999999"/>
    <n v="61.1"/>
    <n v="21"/>
    <n v="2909.5238095238096"/>
    <x v="3"/>
    <x v="0"/>
    <n v="17"/>
    <n v="2"/>
    <n v="221.5"/>
  </r>
  <r>
    <d v="2025-04-30T08:46:00"/>
    <s v="INYECTADO"/>
    <x v="7"/>
    <x v="60"/>
    <s v="CRISALIDA ZAPATA"/>
    <s v="VIRGEN"/>
    <s v="PP CLARIFICADO"/>
    <s v="."/>
    <s v="TAPA DE ORGANIZADOR #2"/>
    <s v="TAPA DE ORGANIZADOR #2-BLANCO"/>
    <n v="907"/>
    <n v="6"/>
    <n v="38.1"/>
    <x v="2"/>
    <m/>
    <n v="6"/>
    <n v="1074"/>
    <n v="21155"/>
    <s v="BLANCO"/>
    <n v="9.8000000000000007"/>
    <n v="0"/>
    <n v="0"/>
    <n v="19.047000000000001"/>
    <n v="38.1"/>
    <n v="21"/>
    <n v="1814.2857142857142"/>
    <x v="3"/>
    <x v="0"/>
    <n v="17"/>
    <n v="2"/>
    <n v="151.16666666666666"/>
  </r>
  <r>
    <d v="2025-05-01T08:46:00"/>
    <s v="INYECTADO"/>
    <x v="7"/>
    <x v="60"/>
    <s v="CRISALIDA ZAPATA"/>
    <s v="VIRGEN"/>
    <s v="PP CLARIFICADO"/>
    <s v="."/>
    <s v="TAPA DE ORGANIZADOR #2 CARAMELO"/>
    <s v="TAPA DE ORGANIZADOR #2 CARAMELO-AMARILLO"/>
    <n v="543"/>
    <n v="5"/>
    <n v="25"/>
    <x v="2"/>
    <m/>
    <n v="4"/>
    <n v="1074"/>
    <n v="21155"/>
    <s v="AMARILLO"/>
    <n v="0"/>
    <n v="0"/>
    <n v="0"/>
    <n v="11.403"/>
    <n v="25"/>
    <n v="21"/>
    <n v="1190.4761904761904"/>
    <x v="3"/>
    <x v="0"/>
    <n v="17"/>
    <n v="2"/>
    <n v="90.5"/>
  </r>
  <r>
    <d v="2025-05-01T08:46:00"/>
    <s v="INYECTADO"/>
    <x v="7"/>
    <x v="60"/>
    <s v="JUAN MANUEL PEREZ"/>
    <s v="VIRGEN"/>
    <s v="PP CLARIFICADO"/>
    <s v="."/>
    <s v="TAPA DE ORGANIZADOR #2 CARAMELO"/>
    <s v="TAPA DE ORGANIZADOR #2 CARAMELO-AMARILLO"/>
    <n v="469"/>
    <n v="3"/>
    <n v="21.5"/>
    <x v="2"/>
    <m/>
    <n v="4"/>
    <n v="1074"/>
    <n v="21156"/>
    <s v="AMARILLO"/>
    <n v="3.7"/>
    <n v="0"/>
    <n v="0"/>
    <n v="9.8490000000000002"/>
    <n v="21.5"/>
    <n v="21"/>
    <n v="1023.8095238095239"/>
    <x v="3"/>
    <x v="0"/>
    <n v="17"/>
    <n v="2"/>
    <n v="78.166666666666671"/>
  </r>
  <r>
    <d v="2025-05-01T08:46:00"/>
    <s v="INYECTADO"/>
    <x v="7"/>
    <x v="60"/>
    <s v="JUAN MANUEL PEREZ"/>
    <s v="VIRGEN"/>
    <s v="PP CLARIFICADO"/>
    <s v="."/>
    <s v="TAPA DE ORGANIZADOR #2 CARAMELO"/>
    <s v="TAPA DE ORGANIZADOR #2 CARAMELO-VERDE"/>
    <n v="593"/>
    <n v="5"/>
    <n v="27.2"/>
    <x v="2"/>
    <m/>
    <n v="5"/>
    <n v="1074"/>
    <n v="21156"/>
    <s v="VERDE"/>
    <n v="2.9"/>
    <n v="0"/>
    <n v="0"/>
    <n v="12.452999999999999"/>
    <n v="27.2"/>
    <n v="21"/>
    <n v="1295.2380952380952"/>
    <x v="3"/>
    <x v="0"/>
    <n v="17"/>
    <n v="2"/>
    <n v="98.833333333333329"/>
  </r>
  <r>
    <d v="2025-05-01T08:46:00"/>
    <s v="INYECTADO"/>
    <x v="7"/>
    <x v="60"/>
    <s v="JUAN MANUEL PEREZ"/>
    <s v="VIRGEN"/>
    <s v="PP CLARIFICADO"/>
    <s v="."/>
    <s v="TAPA DE ORGANIZADOR #2 CARAMELO"/>
    <s v="TAPA DE ORGANIZADOR #2 CARAMELO-FUCSIA"/>
    <n v="238"/>
    <n v="3"/>
    <n v="10.9"/>
    <x v="2"/>
    <m/>
    <n v="2"/>
    <n v="1074"/>
    <n v="21156"/>
    <s v="FUCSIA"/>
    <n v="0"/>
    <n v="0"/>
    <n v="0"/>
    <n v="4.9980000000000002"/>
    <n v="10.9"/>
    <n v="21"/>
    <n v="519.04761904761904"/>
    <x v="3"/>
    <x v="0"/>
    <n v="17"/>
    <n v="2"/>
    <n v="39.666666666666664"/>
  </r>
  <r>
    <d v="2025-05-01T08:46:00"/>
    <s v="INYECTADO"/>
    <x v="7"/>
    <x v="75"/>
    <s v="CRISALIDA ZAPATA"/>
    <s v="VIRGEN"/>
    <s v="PP CLARIFICADO"/>
    <s v="."/>
    <s v="TAPA DE ORGANIZADOR #2 CARAMELO"/>
    <s v="TAPA DE ORGANIZADOR #2 CARAMELO-FUCSIA"/>
    <n v="509"/>
    <n v="6"/>
    <n v="25.9"/>
    <x v="2"/>
    <m/>
    <n v="4"/>
    <n v="1075"/>
    <n v="21157"/>
    <s v="FUCSIA"/>
    <n v="1.1000000000000001"/>
    <n v="0"/>
    <n v="0"/>
    <n v="10.689"/>
    <n v="25.9"/>
    <n v="21"/>
    <n v="1233.3333333333333"/>
    <x v="3"/>
    <x v="0"/>
    <n v="17"/>
    <n v="2"/>
    <n v="84.833333333333329"/>
  </r>
  <r>
    <d v="2025-05-01T08:46:00"/>
    <s v="INYECTADO"/>
    <x v="7"/>
    <x v="75"/>
    <s v="CRISALIDA ZAPATA"/>
    <s v="VIRGEN"/>
    <s v="PP CLARIFICADO"/>
    <s v="."/>
    <s v="TAPA DE ORGANIZADOR #2 CARAMELO"/>
    <s v="TAPA DE ORGANIZADOR #2 CARAMELO-LILA"/>
    <n v="598"/>
    <n v="5"/>
    <n v="28.7"/>
    <x v="2"/>
    <m/>
    <n v="4"/>
    <n v="1075"/>
    <n v="21157"/>
    <s v="LILA"/>
    <n v="4.3"/>
    <n v="0"/>
    <n v="0"/>
    <n v="12.558"/>
    <n v="28.7"/>
    <n v="21"/>
    <n v="1366.6666666666667"/>
    <x v="3"/>
    <x v="0"/>
    <n v="17"/>
    <n v="2"/>
    <n v="99.666666666666671"/>
  </r>
  <r>
    <d v="2025-05-01T08:46:00"/>
    <s v="INYECTADO"/>
    <x v="7"/>
    <x v="76"/>
    <s v="CRISALIDA ZAPATA"/>
    <s v="VIRGEN"/>
    <s v="PP CLARIFICADO"/>
    <s v="."/>
    <s v="TAPA DE ORGANIZADOR #2 CARAMELO"/>
    <s v="TAPA DE ORGANIZADOR #2 CARAMELO-ROJO"/>
    <n v="630"/>
    <n v="5"/>
    <n v="28.3"/>
    <x v="2"/>
    <m/>
    <n v="5"/>
    <n v="1075"/>
    <n v="21158"/>
    <s v="ROJO"/>
    <n v="0.9"/>
    <n v="0"/>
    <n v="0"/>
    <n v="13.23"/>
    <n v="28.3"/>
    <n v="21"/>
    <n v="1347.6190476190477"/>
    <x v="3"/>
    <x v="0"/>
    <n v="17"/>
    <n v="2"/>
    <n v="105"/>
  </r>
  <r>
    <d v="2025-05-01T08:46:00"/>
    <s v="INYECTADO"/>
    <x v="7"/>
    <x v="76"/>
    <s v="CRISALIDA ZAPATA"/>
    <s v="VIRGEN"/>
    <s v="PP CLARIFICADO"/>
    <s v="."/>
    <s v="TAPA DE ORGANIZADOR #2 CARAMELO"/>
    <s v="TAPA DE ORGANIZADOR #2 CARAMELO-LILA"/>
    <n v="360"/>
    <n v="4"/>
    <n v="16.2"/>
    <x v="2"/>
    <m/>
    <n v="5"/>
    <n v="1075"/>
    <n v="21158"/>
    <s v="LILA"/>
    <n v="6"/>
    <n v="0"/>
    <n v="0"/>
    <n v="7.56"/>
    <n v="16.2"/>
    <n v="21"/>
    <n v="771.42857142857144"/>
    <x v="3"/>
    <x v="0"/>
    <n v="17"/>
    <n v="2"/>
    <n v="60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01T08:46:00"/>
    <s v="INYECTADO"/>
    <x v="8"/>
    <x v="55"/>
    <m/>
    <s v="VIRGEN"/>
    <s v="PP CLARIFICADO"/>
    <s v="."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5-26T09:10:00"/>
    <s v="INYECTADO"/>
    <x v="4"/>
    <x v="81"/>
    <s v="NELSON PINEDO"/>
    <s v="SEGUNDA"/>
    <s v="."/>
    <s v="MIXTO"/>
    <s v="MINICANASTA SUPERMERCADO"/>
    <s v="MINICANASTA-TURQUESA"/>
    <n v="312"/>
    <n v="3"/>
    <n v="9.3000000000000007"/>
    <x v="0"/>
    <n v="240"/>
    <n v="2"/>
    <n v="1095"/>
    <n v="20439"/>
    <s v="TURQUESA"/>
    <n v="0.3"/>
    <n v="0"/>
    <n v="0"/>
    <n v="8.7360000000000007"/>
    <n v="9.3000000000000007"/>
    <n v="28"/>
    <n v="332.14285714285717"/>
    <x v="4"/>
    <x v="0"/>
    <n v="18"/>
    <n v="1"/>
    <n v="26"/>
  </r>
  <r>
    <d v="2025-05-26T09:10:00"/>
    <s v="INYECTADO"/>
    <x v="4"/>
    <x v="82"/>
    <s v="MELISA ZEBALLOS"/>
    <s v="SEGUNDA"/>
    <s v="."/>
    <s v="MIXTO"/>
    <s v="MINICANASTA SUPERMERCADO"/>
    <s v="MINICANASTA-TURQUESA"/>
    <n v="859"/>
    <n v="5"/>
    <n v="23.1"/>
    <x v="0"/>
    <n v="0"/>
    <n v="3"/>
    <n v="1095"/>
    <n v="20440"/>
    <s v="TURQUESA"/>
    <n v="0"/>
    <n v="0"/>
    <n v="0"/>
    <n v="24.052"/>
    <n v="23.1"/>
    <n v="28"/>
    <n v="825"/>
    <x v="4"/>
    <x v="0"/>
    <n v="19"/>
    <n v="1"/>
    <n v="71.583333333333329"/>
  </r>
  <r>
    <d v="2025-05-26T09:10:00"/>
    <s v="INYECTADO"/>
    <x v="4"/>
    <x v="83"/>
    <s v="ISABEL LINARIZ "/>
    <s v="SEGUNDA"/>
    <s v="."/>
    <s v="MIXTO"/>
    <s v="MINICANASTA SUPERMERCADO"/>
    <s v="MINICANASTA-MELON"/>
    <n v="1296"/>
    <n v="11"/>
    <n v="41.5"/>
    <x v="0"/>
    <n v="0"/>
    <n v="6"/>
    <n v="1095"/>
    <n v="20441"/>
    <s v="MELON"/>
    <n v="3.8"/>
    <n v="0"/>
    <n v="0"/>
    <n v="36.287999999999997"/>
    <n v="41.5"/>
    <n v="28"/>
    <n v="1482.1428571428571"/>
    <x v="4"/>
    <x v="0"/>
    <n v="19"/>
    <n v="1"/>
    <n v="108"/>
  </r>
  <r>
    <d v="2025-05-27T09:10:00"/>
    <s v="INYECTADO"/>
    <x v="4"/>
    <x v="84"/>
    <s v="ISABEL LINARIZ "/>
    <s v="SEGUNDA"/>
    <s v="."/>
    <s v="MIXTO"/>
    <s v="MINICANASTA SUPERMERCADO"/>
    <s v="MINICANASTA-ROSADO"/>
    <n v="843"/>
    <n v="6"/>
    <n v="26.9"/>
    <x v="0"/>
    <n v="0"/>
    <n v="4"/>
    <n v="1095"/>
    <n v="20442"/>
    <s v="ROSADO"/>
    <n v="0"/>
    <n v="0"/>
    <n v="0"/>
    <n v="23.603999999999999"/>
    <n v="26.9"/>
    <n v="28"/>
    <n v="960.71428571428567"/>
    <x v="4"/>
    <x v="0"/>
    <n v="20"/>
    <n v="1"/>
    <n v="70.25"/>
  </r>
  <r>
    <d v="2025-05-26T09:10:00"/>
    <s v="INYECTADO"/>
    <x v="4"/>
    <x v="84"/>
    <s v="ISABEL LINARIZ "/>
    <s v="SEGUNDA"/>
    <s v="."/>
    <s v="MIXTO"/>
    <s v="MINICANASTA SUPERMERCADO"/>
    <s v="MINICANASTA-LILA"/>
    <n v="462"/>
    <n v="4"/>
    <n v="14.7"/>
    <x v="0"/>
    <n v="0"/>
    <n v="2"/>
    <n v="1095"/>
    <n v="20442"/>
    <s v="LILA"/>
    <n v="0"/>
    <n v="0"/>
    <n v="0"/>
    <n v="12.936"/>
    <n v="14.7"/>
    <n v="28"/>
    <n v="525"/>
    <x v="4"/>
    <x v="0"/>
    <n v="20"/>
    <n v="1"/>
    <n v="38.5"/>
  </r>
  <r>
    <d v="2025-05-26T09:10:00"/>
    <s v="INYECTADO"/>
    <x v="4"/>
    <x v="85"/>
    <s v="BRAYAN PINEDO"/>
    <s v="SEGUNDA"/>
    <s v="."/>
    <s v="MIXTO"/>
    <s v="MINICANASTA SUPERMERCADO"/>
    <s v="MINICANASTA-LILA"/>
    <n v="643"/>
    <n v="3"/>
    <n v="17.3"/>
    <x v="0"/>
    <n v="0"/>
    <n v="3"/>
    <n v="1095"/>
    <n v="20443"/>
    <s v="LILA"/>
    <n v="0"/>
    <n v="0"/>
    <n v="0"/>
    <n v="18.004000000000001"/>
    <n v="17.3"/>
    <n v="28"/>
    <n v="617.85714285714289"/>
    <x v="4"/>
    <x v="0"/>
    <n v="20"/>
    <n v="1"/>
    <n v="53.583333333333336"/>
  </r>
  <r>
    <d v="2025-05-26T09:10:00"/>
    <s v="INYECTADO"/>
    <x v="4"/>
    <x v="85"/>
    <s v="BRAYAN PINEDO"/>
    <s v="SEGUNDA"/>
    <s v="."/>
    <s v="MIXTO"/>
    <s v="MINICANASTA SUPERMERCADO"/>
    <s v="MINICANASTA-TURQUESA"/>
    <n v="693"/>
    <n v="3"/>
    <n v="22.2"/>
    <x v="0"/>
    <n v="0"/>
    <n v="3"/>
    <n v="1095"/>
    <n v="20443"/>
    <s v="TURQUESA"/>
    <n v="0"/>
    <n v="0"/>
    <n v="0"/>
    <n v="19.404"/>
    <n v="22.2"/>
    <n v="28"/>
    <n v="792.85714285714289"/>
    <x v="4"/>
    <x v="0"/>
    <n v="20"/>
    <n v="1"/>
    <n v="57.75"/>
  </r>
  <r>
    <d v="2025-05-26T09:10:00"/>
    <s v="INYECTADO"/>
    <x v="4"/>
    <x v="86"/>
    <s v="ISABEL LINARIZ "/>
    <s v="SEGUNDA"/>
    <s v="."/>
    <s v="MIXTO"/>
    <s v="MINICANASTA SUPERMERCADO"/>
    <s v="MINICANASTA-MELON"/>
    <n v="196"/>
    <n v="2"/>
    <n v="6.3"/>
    <x v="0"/>
    <n v="0"/>
    <n v="1"/>
    <n v="1095"/>
    <n v="20444"/>
    <s v="MELON"/>
    <n v="2.7"/>
    <n v="0"/>
    <n v="0"/>
    <n v="5.4880000000000004"/>
    <n v="6.3"/>
    <n v="28"/>
    <n v="225"/>
    <x v="4"/>
    <x v="0"/>
    <n v="20"/>
    <n v="1"/>
    <n v="16.333333333333332"/>
  </r>
  <r>
    <d v="2025-05-26T09:10:00"/>
    <s v="INYECTADO"/>
    <x v="4"/>
    <x v="87"/>
    <s v="LUIS RENGIFO"/>
    <s v="SEGUNDA"/>
    <s v="."/>
    <s v="MIXTO"/>
    <s v="PANERITA MANZANA"/>
    <s v="PANERITA MANZANA-LILA"/>
    <n v="380"/>
    <n v="3"/>
    <n v="7.6"/>
    <x v="0"/>
    <n v="0"/>
    <n v="2"/>
    <n v="1108"/>
    <n v="20445"/>
    <s v="LILA"/>
    <n v="1.2"/>
    <n v="0"/>
    <n v="0"/>
    <n v="7.8280000000000012"/>
    <n v="7.6"/>
    <n v="20.6"/>
    <n v="368.93203883495141"/>
    <x v="4"/>
    <x v="0"/>
    <n v="20"/>
    <n v="1"/>
    <n v="31.666666666666668"/>
  </r>
  <r>
    <d v="2025-05-26T09:10:00"/>
    <s v="INYECTADO"/>
    <x v="4"/>
    <x v="88"/>
    <s v="GABRIEL ORDAZ"/>
    <s v="SEGUNDA"/>
    <s v="."/>
    <s v="MIXTO"/>
    <s v="PANERITA MANZANA"/>
    <s v="PANERITA MANZANA-LILA"/>
    <n v="1925"/>
    <n v="11"/>
    <n v="38.5"/>
    <x v="0"/>
    <n v="0"/>
    <n v="6"/>
    <n v="1108"/>
    <n v="20446"/>
    <s v="LILA"/>
    <n v="2.6"/>
    <n v="0"/>
    <n v="0"/>
    <n v="39.655000000000001"/>
    <n v="38.5"/>
    <n v="20.6"/>
    <n v="1868.9320388349513"/>
    <x v="4"/>
    <x v="0"/>
    <n v="20"/>
    <n v="1"/>
    <n v="160.41666666666666"/>
  </r>
  <r>
    <d v="2025-05-26T09:10:00"/>
    <s v="INYECTADO"/>
    <x v="4"/>
    <x v="89"/>
    <s v="ISABEL LINARIZ "/>
    <s v="SEGUNDA"/>
    <s v="."/>
    <s v="MIXTO"/>
    <s v="PANERITA MANZANA"/>
    <s v="PANERITA MANZANA-ROSADO"/>
    <n v="1175"/>
    <n v="8"/>
    <n v="23.5"/>
    <x v="0"/>
    <n v="0"/>
    <n v="5"/>
    <n v="1108"/>
    <n v="20447"/>
    <s v="ROSADO"/>
    <n v="2.5"/>
    <n v="0"/>
    <n v="0"/>
    <n v="24.204999999999998"/>
    <n v="23.5"/>
    <n v="20.6"/>
    <n v="1140.7766990291261"/>
    <x v="4"/>
    <x v="0"/>
    <n v="21"/>
    <n v="1"/>
    <n v="97.916666666666671"/>
  </r>
  <r>
    <d v="2025-05-26T09:10:00"/>
    <s v="INYECTADO"/>
    <x v="4"/>
    <x v="89"/>
    <s v="ISABEL LINARIZ "/>
    <s v="SEGUNDA"/>
    <s v="."/>
    <s v="MIXTO"/>
    <s v="PANERITA MANZANA"/>
    <s v="PANERITA MANZANA-MELON"/>
    <n v="490"/>
    <n v="4"/>
    <n v="9.8000000000000007"/>
    <x v="0"/>
    <n v="0"/>
    <n v="3"/>
    <n v="1108"/>
    <n v="20447"/>
    <s v="LILA"/>
    <n v="0.7"/>
    <n v="0"/>
    <n v="0"/>
    <n v="10.093999999999999"/>
    <n v="9.8000000000000007"/>
    <n v="20.6"/>
    <n v="475.72815533980577"/>
    <x v="4"/>
    <x v="0"/>
    <n v="21"/>
    <n v="1"/>
    <n v="40.833333333333336"/>
  </r>
  <r>
    <d v="2025-05-26T09:10:00"/>
    <s v="INYECTADO"/>
    <x v="4"/>
    <x v="90"/>
    <s v="CRISALIDA ZAPATA"/>
    <s v="SEGUNDA"/>
    <s v="."/>
    <s v="MIXTO"/>
    <s v="PANERITA MANZANA"/>
    <s v="PANERITA MANZANA-MELON"/>
    <n v="740"/>
    <n v="4"/>
    <n v="14.8"/>
    <x v="0"/>
    <n v="0"/>
    <n v="4"/>
    <n v="1108"/>
    <n v="20448"/>
    <s v="MELON"/>
    <n v="1.3"/>
    <n v="0"/>
    <n v="0"/>
    <n v="15.244000000000002"/>
    <n v="14.8"/>
    <n v="20.6"/>
    <n v="718.44660194174753"/>
    <x v="4"/>
    <x v="0"/>
    <n v="21"/>
    <n v="1"/>
    <n v="61.666666666666664"/>
  </r>
  <r>
    <d v="2025-05-26T09:10:00"/>
    <s v="INYECTADO"/>
    <x v="4"/>
    <x v="90"/>
    <s v="CRISALIDA ZAPATA"/>
    <s v="SEGUNDA"/>
    <s v="."/>
    <s v="MIXTO"/>
    <s v="PANERITA MANZANA"/>
    <s v="PANERITA MANZANA-TURQUESA"/>
    <n v="1055"/>
    <n v="6"/>
    <n v="21.1"/>
    <x v="0"/>
    <n v="0"/>
    <n v="3"/>
    <n v="1108"/>
    <n v="20448"/>
    <s v="TURQUESA"/>
    <n v="0"/>
    <n v="0"/>
    <n v="0"/>
    <n v="21.733000000000001"/>
    <n v="21.1"/>
    <n v="20.6"/>
    <n v="1024.2718446601941"/>
    <x v="4"/>
    <x v="0"/>
    <n v="21"/>
    <n v="1"/>
    <n v="87.916666666666671"/>
  </r>
  <r>
    <d v="2025-05-26T09:10:00"/>
    <s v="INYECTADO"/>
    <x v="4"/>
    <x v="91"/>
    <s v="CRISALIDA ZAPATA"/>
    <s v="SEGUNDA"/>
    <s v="."/>
    <s v="MIXTO"/>
    <s v="PANERITA MANZANA"/>
    <s v="PANERITA MANZANA-TURQUESA"/>
    <n v="990"/>
    <n v="6"/>
    <n v="19.8"/>
    <x v="0"/>
    <n v="0"/>
    <n v="5"/>
    <n v="1108"/>
    <n v="20449"/>
    <s v="TURQUESA"/>
    <n v="1.7"/>
    <n v="0"/>
    <n v="0"/>
    <n v="20.393999999999998"/>
    <n v="19.8"/>
    <n v="20.6"/>
    <n v="961.1650485436893"/>
    <x v="4"/>
    <x v="0"/>
    <n v="22"/>
    <n v="1"/>
    <n v="82.5"/>
  </r>
  <r>
    <d v="2025-05-26T09:10:00"/>
    <s v="INYECTADO"/>
    <x v="4"/>
    <x v="91"/>
    <s v="CRISALIDA ZAPATA"/>
    <s v="SEGUNDA"/>
    <s v="."/>
    <s v="MIXTO"/>
    <s v="PANERITA MANZANA"/>
    <s v="PANERITA MANZANA-MELON"/>
    <n v="375"/>
    <n v="3"/>
    <n v="7.5"/>
    <x v="0"/>
    <n v="0"/>
    <n v="2"/>
    <n v="1108"/>
    <n v="20449"/>
    <s v="MELON"/>
    <n v="1.9"/>
    <n v="0"/>
    <n v="0"/>
    <n v="7.7250000000000005"/>
    <n v="7.5"/>
    <n v="20.6"/>
    <n v="364.07766990291259"/>
    <x v="4"/>
    <x v="0"/>
    <n v="22"/>
    <n v="1"/>
    <n v="31.25"/>
  </r>
  <r>
    <d v="2025-05-26T09:10:00"/>
    <s v="INYECTADO"/>
    <x v="4"/>
    <x v="92"/>
    <s v="CRISALIDA ZAPATA"/>
    <s v="SEGUNDA"/>
    <s v="."/>
    <s v="MIXTO"/>
    <s v="PANERITA MANZANA"/>
    <s v="PANERITA MANZANA-MELON"/>
    <n v="325"/>
    <n v="3"/>
    <n v="6.5"/>
    <x v="0"/>
    <n v="0"/>
    <n v="2"/>
    <n v="1108"/>
    <n v="20450"/>
    <s v="MELON"/>
    <n v="1.6"/>
    <n v="0"/>
    <n v="0"/>
    <n v="6.6950000000000012"/>
    <n v="6.5"/>
    <n v="20.6"/>
    <n v="315.53398058252424"/>
    <x v="4"/>
    <x v="0"/>
    <n v="22"/>
    <n v="1"/>
    <n v="27.083333333333332"/>
  </r>
  <r>
    <d v="2025-05-26T09:10:00"/>
    <s v="INYECTADO"/>
    <x v="4"/>
    <x v="92"/>
    <s v="CRISALIDA ZAPATA"/>
    <s v="SEGUNDA"/>
    <s v="."/>
    <s v="MIXTO"/>
    <s v="PANERITA MANZANA"/>
    <s v="PANERITA MANZANA-ROSADO"/>
    <n v="1180"/>
    <n v="7"/>
    <n v="23.6"/>
    <x v="0"/>
    <n v="0"/>
    <n v="5"/>
    <n v="1108"/>
    <n v="20450"/>
    <s v="ROSADO"/>
    <n v="2.1"/>
    <n v="0"/>
    <n v="0"/>
    <n v="24.308"/>
    <n v="23.6"/>
    <n v="20.6"/>
    <n v="1145.6310679611649"/>
    <x v="4"/>
    <x v="0"/>
    <n v="22"/>
    <n v="1"/>
    <n v="98.333333333333329"/>
  </r>
  <r>
    <d v="2025-05-26T09:10:00"/>
    <s v="INYECTADO"/>
    <x v="5"/>
    <x v="93"/>
    <s v="LUIS RENGIFO"/>
    <s v="VIRGEN"/>
    <s v="ALTA INYECCION"/>
    <s v="."/>
    <s v="ASAS ORGANIZADOR 2 Y 3"/>
    <s v="ASAS DE ORGANIZADOR 2 Y 3-ROSADO PASTEL"/>
    <n v="734"/>
    <n v="5"/>
    <n v="23.5"/>
    <x v="0"/>
    <n v="0"/>
    <n v="3"/>
    <n v="1101"/>
    <n v="20385"/>
    <s v="ROSADO"/>
    <n v="9.5"/>
    <n v="0"/>
    <n v="0"/>
    <n v="8.0739999999999998"/>
    <n v="23.5"/>
    <n v="11"/>
    <n v="2136.3636363636365"/>
    <x v="4"/>
    <x v="0"/>
    <n v="19"/>
    <n v="3"/>
    <n v="183.5"/>
  </r>
  <r>
    <d v="2025-05-26T09:10:00"/>
    <s v="INYECTADO"/>
    <x v="5"/>
    <x v="93"/>
    <s v="LUIS RENGIFO"/>
    <s v="VIRGEN"/>
    <s v="ALTA INYECCION"/>
    <s v="."/>
    <s v="ASAS ORGANIZADOR 2 Y 3"/>
    <s v="ASAS DE ORGANIZADOR 2 Y 3-ROJO"/>
    <n v="743"/>
    <n v="6"/>
    <n v="23.8"/>
    <x v="0"/>
    <n v="0"/>
    <n v="3"/>
    <n v="1101"/>
    <n v="20385"/>
    <s v="ROJO"/>
    <n v="9.6999999999999993"/>
    <n v="0"/>
    <n v="0"/>
    <n v="8.173"/>
    <n v="23.8"/>
    <n v="11"/>
    <n v="2163.6363636363635"/>
    <x v="4"/>
    <x v="0"/>
    <n v="19"/>
    <n v="3"/>
    <n v="185.75"/>
  </r>
  <r>
    <d v="2025-05-26T09:10:00"/>
    <s v="INYECTADO"/>
    <x v="5"/>
    <x v="94"/>
    <s v="BRAYAN PINEDO"/>
    <s v="VIRGEN"/>
    <s v="ALTA INYECCION"/>
    <s v="."/>
    <s v="ASAS ORGANIZADOR 2 Y 3"/>
    <s v="ASAS DE ORGANIZADOR 2 Y 3-ROJO"/>
    <n v="1140"/>
    <n v="11"/>
    <n v="46.1"/>
    <x v="0"/>
    <n v="0"/>
    <n v="5"/>
    <n v="1101"/>
    <n v="20386"/>
    <s v="ROJO"/>
    <n v="18.899999999999999"/>
    <n v="0"/>
    <n v="0"/>
    <n v="12.54"/>
    <n v="46.1"/>
    <n v="11"/>
    <n v="4190.909090909091"/>
    <x v="4"/>
    <x v="0"/>
    <n v="19"/>
    <n v="3"/>
    <n v="285"/>
  </r>
  <r>
    <d v="2025-05-26T09:10:00"/>
    <s v="INYECTADO"/>
    <x v="5"/>
    <x v="85"/>
    <s v="ISABEL LINARIZ "/>
    <s v="VIRGEN"/>
    <s v="ALTA INYECCION"/>
    <s v="."/>
    <s v="ASAS ORGANIZADOR 2 Y 3"/>
    <s v="ASAS DE ORGANIZADOR 2 Y 3-ROJO"/>
    <n v="181"/>
    <n v="2"/>
    <n v="5.8"/>
    <x v="0"/>
    <n v="0"/>
    <n v="1"/>
    <n v="1101"/>
    <n v="20387"/>
    <s v="ROJO"/>
    <n v="4.5"/>
    <n v="0"/>
    <n v="0"/>
    <n v="1.9910000000000001"/>
    <n v="5.8"/>
    <n v="11"/>
    <n v="527.27272727272725"/>
    <x v="4"/>
    <x v="0"/>
    <n v="20"/>
    <n v="3"/>
    <n v="45.25"/>
  </r>
  <r>
    <d v="2025-05-26T09:10:00"/>
    <s v="INYECTADO"/>
    <x v="5"/>
    <x v="85"/>
    <s v="ISABEL LINARIZ "/>
    <s v="VIRGEN"/>
    <s v="ALTA INYECCION"/>
    <s v="."/>
    <s v="ASAS ORGANIZADOR 2 Y 3"/>
    <s v="ASAS DE ORGANIZADOR 2 Y 3-FUCSIA"/>
    <n v="243"/>
    <n v="2"/>
    <n v="7.8"/>
    <x v="0"/>
    <n v="0"/>
    <n v="1"/>
    <n v="1101"/>
    <n v="20387"/>
    <s v="FUCSIA"/>
    <n v="3.3"/>
    <n v="0"/>
    <n v="0"/>
    <n v="2.673"/>
    <n v="7.8"/>
    <n v="11"/>
    <n v="709.09090909090912"/>
    <x v="4"/>
    <x v="0"/>
    <n v="20"/>
    <n v="3"/>
    <n v="60.75"/>
  </r>
  <r>
    <d v="2025-05-26T09:10:00"/>
    <s v="INYECTADO"/>
    <x v="5"/>
    <x v="86"/>
    <s v="GABRIEL ORDAZ"/>
    <s v="VIRGEN"/>
    <s v="ALTA INYECCION"/>
    <s v="."/>
    <s v="ASAS ORGANIZADOR 2 Y 3"/>
    <s v="ASAS DE ORGANIZADOR 2 Y 3-TURQUESA PASTEL"/>
    <n v="478"/>
    <n v="4"/>
    <n v="15.3"/>
    <x v="0"/>
    <n v="0"/>
    <n v="6"/>
    <n v="1101"/>
    <n v="20388"/>
    <s v="TURQUESA"/>
    <n v="4.8"/>
    <n v="0"/>
    <n v="0"/>
    <n v="5.258"/>
    <n v="15.3"/>
    <n v="11"/>
    <n v="1390.909090909091"/>
    <x v="4"/>
    <x v="0"/>
    <n v="20"/>
    <n v="3"/>
    <n v="119.5"/>
  </r>
  <r>
    <d v="2025-05-26T09:10:00"/>
    <s v="INYECTADO"/>
    <x v="5"/>
    <x v="86"/>
    <s v="GABRIEL ORDAZ"/>
    <s v="VIRGEN"/>
    <s v="ALTA INYECCION"/>
    <s v="."/>
    <s v="ASAS ORGANIZADOR 2 Y 3"/>
    <s v="ASAS DE ORGANIZADOR 2 Y 3-ROSADO PASTEL"/>
    <n v="609"/>
    <n v="5"/>
    <n v="11.7"/>
    <x v="0"/>
    <n v="2"/>
    <n v="3"/>
    <n v="1101"/>
    <n v="20388"/>
    <s v="ROSADO"/>
    <n v="5.7"/>
    <n v="0"/>
    <n v="0"/>
    <n v="6.6989999999999998"/>
    <n v="11.7"/>
    <n v="11"/>
    <n v="1063.6363636363637"/>
    <x v="4"/>
    <x v="0"/>
    <n v="20"/>
    <n v="3"/>
    <n v="152.25"/>
  </r>
  <r>
    <d v="2025-05-26T09:10:00"/>
    <s v="INYECTADO"/>
    <x v="5"/>
    <x v="95"/>
    <s v="ISABEL LINARIZ "/>
    <s v="VIRGEN"/>
    <s v="ALTA INYECCION"/>
    <s v="."/>
    <s v="ASAS ORGANIZADOR 2 Y 3"/>
    <s v="ASAS DE ORGANIZADOR 2 Y 3-LILA"/>
    <n v="437"/>
    <n v="4"/>
    <n v="14"/>
    <x v="0"/>
    <n v="0"/>
    <n v="2"/>
    <n v="1101"/>
    <n v="20389"/>
    <s v="LILA"/>
    <n v="11"/>
    <n v="0"/>
    <n v="0"/>
    <n v="4.8070000000000004"/>
    <n v="14"/>
    <n v="11"/>
    <n v="1272.7272727272727"/>
    <x v="4"/>
    <x v="0"/>
    <n v="22"/>
    <n v="3"/>
    <n v="109.25"/>
  </r>
  <r>
    <d v="2025-05-26T09:10:00"/>
    <s v="INYECTADO"/>
    <x v="5"/>
    <x v="95"/>
    <s v="ISABEL LINARIZ "/>
    <s v="VIRGEN"/>
    <s v="ALTA INYECCION"/>
    <s v="."/>
    <s v="ASAS ORGANIZADOR 2 Y 3"/>
    <s v="ASAS DE ORGANIZADOR 2 Y 3-TURQUESA PASTEL"/>
    <n v="90"/>
    <n v="1"/>
    <n v="2.9"/>
    <x v="0"/>
    <n v="0"/>
    <n v="1"/>
    <n v="1101"/>
    <n v="20389"/>
    <s v="TURQUESA"/>
    <n v="0.9"/>
    <n v="0"/>
    <n v="0"/>
    <n v="0.99"/>
    <n v="2.9"/>
    <n v="11"/>
    <n v="263.63636363636363"/>
    <x v="4"/>
    <x v="0"/>
    <n v="22"/>
    <n v="3"/>
    <n v="22.5"/>
  </r>
  <r>
    <d v="2025-05-26T09:10:00"/>
    <s v="INYECTADO"/>
    <x v="0"/>
    <x v="94"/>
    <s v="LUIS RENGIFO"/>
    <s v="SEGUNDA"/>
    <s v="."/>
    <s v="MIXTO"/>
    <s v="COLADOR HOGAR SOLIDO #1"/>
    <s v="COLADOR HOGAR SOLIDO#1-VERDE"/>
    <n v="410"/>
    <n v="3"/>
    <n v="11.9"/>
    <x v="0"/>
    <n v="2"/>
    <n v="2"/>
    <n v="1098"/>
    <n v="20789"/>
    <s v="VERDE"/>
    <n v="2.1"/>
    <n v="0"/>
    <n v="0"/>
    <n v="12.3"/>
    <n v="11.9"/>
    <n v="30"/>
    <n v="396.66666666666669"/>
    <x v="4"/>
    <x v="0"/>
    <n v="19"/>
    <n v="1"/>
    <n v="34.166666666666664"/>
  </r>
  <r>
    <d v="2025-05-26T09:10:00"/>
    <s v="INYECTADO"/>
    <x v="0"/>
    <x v="96"/>
    <s v="CRISALIDA ZAPATA"/>
    <s v="SEGUNDA"/>
    <s v="."/>
    <s v="MIXTO"/>
    <s v="COLADOR HOGAR SOLIDO #1"/>
    <s v="COLADOR HOGAR SOLIDO#1-ANARANJADO"/>
    <n v="803"/>
    <n v="6"/>
    <n v="24.1"/>
    <x v="0"/>
    <n v="0"/>
    <n v="4"/>
    <n v="1098"/>
    <n v="20790"/>
    <s v="ANRANJADO"/>
    <n v="8"/>
    <n v="0"/>
    <n v="0"/>
    <n v="24.09"/>
    <n v="24.1"/>
    <n v="30"/>
    <n v="803.33333333333337"/>
    <x v="4"/>
    <x v="0"/>
    <n v="19"/>
    <n v="1"/>
    <n v="66.916666666666671"/>
  </r>
  <r>
    <d v="2025-05-26T09:10:00"/>
    <s v="INYECTADO"/>
    <x v="0"/>
    <x v="96"/>
    <s v="CRISALIDA ZAPATA"/>
    <s v="VIRGEN"/>
    <s v="PP CLARIFICADO"/>
    <s v="."/>
    <s v="COLADOR HOGAR SOLIDO #1"/>
    <s v="COLADOR HOGAR SOLIDO#1-CREMA"/>
    <n v="310"/>
    <n v="3"/>
    <n v="9.3000000000000007"/>
    <x v="0"/>
    <n v="0"/>
    <n v="2"/>
    <n v="1098"/>
    <n v="20790"/>
    <s v="CREMA"/>
    <n v="1.7"/>
    <n v="0"/>
    <n v="0"/>
    <n v="9.3000000000000007"/>
    <n v="9.3000000000000007"/>
    <n v="30"/>
    <n v="310"/>
    <x v="4"/>
    <x v="0"/>
    <n v="19"/>
    <n v="1"/>
    <n v="25.833333333333332"/>
  </r>
  <r>
    <d v="2025-05-26T09:10:00"/>
    <s v="INYECTADO"/>
    <x v="0"/>
    <x v="97"/>
    <s v="LUIS RENGIFO"/>
    <s v="SEGUNDA"/>
    <s v="."/>
    <s v="MIXTO"/>
    <s v="COLADOR HOGAR SOLIDO #1"/>
    <s v="COLADOR HOGAR SOLIDO#1-VERDE"/>
    <n v="737"/>
    <n v="6"/>
    <n v="21.4"/>
    <x v="0"/>
    <n v="0"/>
    <n v="3"/>
    <n v="1098"/>
    <n v="20791"/>
    <s v="VERDE"/>
    <n v="6.3"/>
    <n v="0"/>
    <n v="0"/>
    <n v="22.11"/>
    <n v="21.4"/>
    <n v="30"/>
    <n v="713.33333333333337"/>
    <x v="4"/>
    <x v="0"/>
    <n v="19"/>
    <n v="1"/>
    <n v="61.416666666666664"/>
  </r>
  <r>
    <d v="2025-05-26T09:10:00"/>
    <s v="INYECTADO"/>
    <x v="0"/>
    <x v="97"/>
    <s v="LUIS RENGIFO"/>
    <s v="SEGUNDA"/>
    <s v="."/>
    <s v="MIXTO"/>
    <s v="COLADOR HOGAR SOLIDO #1"/>
    <s v="COLADOR HOGAR SOLIDO#1-AZURE"/>
    <n v="244"/>
    <n v="2"/>
    <n v="7.1"/>
    <x v="0"/>
    <n v="0"/>
    <n v="1"/>
    <n v="1098"/>
    <n v="20791"/>
    <s v="CELESTE"/>
    <n v="2.2000000000000002"/>
    <n v="0"/>
    <n v="0"/>
    <n v="7.32"/>
    <n v="7.1"/>
    <n v="30"/>
    <n v="236.66666666666666"/>
    <x v="4"/>
    <x v="0"/>
    <n v="19"/>
    <n v="1"/>
    <n v="20.333333333333332"/>
  </r>
  <r>
    <d v="2025-05-26T09:10:00"/>
    <s v="INYECTADO"/>
    <x v="0"/>
    <x v="85"/>
    <s v="CRISALIDA ZAPATA"/>
    <s v="SEGUNDA"/>
    <s v="."/>
    <s v="MIXTO"/>
    <s v="COLADOR HOGAR SOLIDO #1"/>
    <s v="COLADOR HOGAR SOLIDO#1-AZURE"/>
    <n v="62"/>
    <n v="1"/>
    <n v="1.8"/>
    <x v="0"/>
    <n v="0"/>
    <n v="1"/>
    <n v="1098"/>
    <n v="20794"/>
    <s v="CELESTE"/>
    <n v="5.0999999999999996"/>
    <n v="0"/>
    <n v="0"/>
    <n v="1.86"/>
    <n v="1.8"/>
    <n v="30"/>
    <n v="60"/>
    <x v="4"/>
    <x v="0"/>
    <n v="20"/>
    <n v="1"/>
    <n v="5.166666666666667"/>
  </r>
  <r>
    <d v="2025-05-26T09:10:00"/>
    <s v="INYECTADO"/>
    <x v="0"/>
    <x v="85"/>
    <s v="CRISALIDA ZAPATA"/>
    <s v="SEGUNDA"/>
    <s v="."/>
    <s v="MIXTO"/>
    <s v="COLADOR HOGAR SOLIDO #1"/>
    <s v="COLADOR HOGAR SOLIDO#1-ROJO"/>
    <n v="766"/>
    <n v="7"/>
    <n v="23"/>
    <x v="0"/>
    <n v="0"/>
    <n v="3"/>
    <n v="1098"/>
    <n v="20794"/>
    <s v="ROJO"/>
    <n v="6"/>
    <n v="0"/>
    <n v="0"/>
    <n v="22.98"/>
    <n v="23"/>
    <n v="30"/>
    <n v="766.66666666666663"/>
    <x v="4"/>
    <x v="0"/>
    <n v="20"/>
    <n v="1"/>
    <n v="63.833333333333336"/>
  </r>
  <r>
    <d v="2025-05-26T09:10:00"/>
    <s v="INYECTADO"/>
    <x v="0"/>
    <x v="85"/>
    <s v="JOSDER GONZALEZ"/>
    <s v="VIRGEN"/>
    <s v="PP CLARIFICADO"/>
    <s v="."/>
    <s v="COLADOR HOGAR SOLIDO #1"/>
    <s v="COLADOR HOGAR SOLIDO#1-CREMA"/>
    <n v="1650"/>
    <n v="12"/>
    <n v="49.5"/>
    <x v="1"/>
    <n v="0"/>
    <n v="7"/>
    <n v="1098"/>
    <n v="20795"/>
    <s v="CREMA"/>
    <n v="2.5"/>
    <n v="0"/>
    <n v="0"/>
    <n v="49.5"/>
    <n v="49.5"/>
    <n v="30"/>
    <n v="1650"/>
    <x v="4"/>
    <x v="0"/>
    <n v="20"/>
    <n v="1"/>
    <n v="137.5"/>
  </r>
  <r>
    <d v="2025-05-26T09:10:00"/>
    <s v="INYECTADO"/>
    <x v="0"/>
    <x v="86"/>
    <s v="CRISALIDA ZAPATA"/>
    <s v="VIRGEN"/>
    <s v="PP CLARIFICADO"/>
    <s v="."/>
    <s v="COLADOR HOGAR SOLIDO #1"/>
    <s v="COLADOR HOGAR SOLIDO#1-CREMA"/>
    <n v="756"/>
    <n v="7"/>
    <n v="22.7"/>
    <x v="0"/>
    <n v="0"/>
    <n v="3"/>
    <n v="1098"/>
    <n v="20796"/>
    <s v="CREMA"/>
    <n v="3.2"/>
    <n v="0"/>
    <n v="0"/>
    <n v="22.68"/>
    <n v="22.7"/>
    <n v="30"/>
    <n v="756.66666666666663"/>
    <x v="4"/>
    <x v="0"/>
    <n v="20"/>
    <n v="1"/>
    <n v="63"/>
  </r>
  <r>
    <d v="2025-05-26T09:10:00"/>
    <s v="INYECTADO"/>
    <x v="0"/>
    <x v="86"/>
    <s v="CRISALIDA ZAPATA"/>
    <s v="SEGUNDA"/>
    <s v="."/>
    <s v="MIXTO"/>
    <s v="COLADOR HOGAR SOLIDO #1"/>
    <s v="COLADOR HOGAR SOLIDO#1-ANARANJADO"/>
    <n v="643"/>
    <n v="5"/>
    <n v="19.3"/>
    <x v="0"/>
    <n v="0"/>
    <n v="3"/>
    <n v="1098"/>
    <n v="20796"/>
    <s v="ANARANJADO"/>
    <n v="1.8"/>
    <n v="0"/>
    <n v="0"/>
    <n v="19.29"/>
    <n v="19.3"/>
    <n v="30"/>
    <n v="643.33333333333337"/>
    <x v="4"/>
    <x v="0"/>
    <n v="20"/>
    <n v="1"/>
    <n v="53.583333333333336"/>
  </r>
  <r>
    <d v="2025-05-26T09:10:00"/>
    <s v="INYECTADO"/>
    <x v="0"/>
    <x v="86"/>
    <s v="JOSDER GONZALEZ"/>
    <s v="SEGUNDA"/>
    <s v="."/>
    <s v="MIXTO"/>
    <s v="COLADOR HOGAR SOLIDO #1"/>
    <s v="COLADOR HOGAR SOLIDO#1-ANARANJADO"/>
    <n v="690"/>
    <n v="5"/>
    <n v="20.7"/>
    <x v="1"/>
    <n v="0"/>
    <n v="4"/>
    <n v="1098"/>
    <n v="20797"/>
    <s v="ANARANJADO"/>
    <n v="1.3"/>
    <n v="0"/>
    <n v="0"/>
    <n v="20.7"/>
    <n v="20.7"/>
    <n v="30"/>
    <n v="690"/>
    <x v="4"/>
    <x v="0"/>
    <n v="20"/>
    <n v="1"/>
    <n v="57.5"/>
  </r>
  <r>
    <d v="2025-05-26T09:10:00"/>
    <s v="INYECTADO"/>
    <x v="0"/>
    <x v="87"/>
    <s v="CRISALIDA ZAPATA"/>
    <s v="SEGUNDA"/>
    <s v="."/>
    <s v="MIXTO"/>
    <s v="COLADOR HOGAR SOLIDO #1"/>
    <s v="COLADOR HOGAR SOLIDO#1-ANARANJADO"/>
    <n v="770"/>
    <n v="6"/>
    <n v="23.1"/>
    <x v="0"/>
    <n v="0"/>
    <n v="4"/>
    <n v="1098"/>
    <n v="20798"/>
    <s v="ANARANJADO"/>
    <n v="4.7"/>
    <n v="0"/>
    <n v="0"/>
    <n v="23.1"/>
    <n v="23.1"/>
    <n v="30"/>
    <n v="770"/>
    <x v="4"/>
    <x v="0"/>
    <n v="20"/>
    <n v="1"/>
    <n v="64.166666666666671"/>
  </r>
  <r>
    <d v="2025-05-26T09:10:00"/>
    <s v="INYECTADO"/>
    <x v="0"/>
    <x v="87"/>
    <s v="CRISALIDA ZAPATA"/>
    <s v="SEGUNDA"/>
    <s v="."/>
    <s v="MIXTO"/>
    <s v="COLADOR HOGAR SOLIDO #1"/>
    <s v="COLADOR HOGAR SOLIDO#1-AZURE"/>
    <n v="576"/>
    <n v="5"/>
    <n v="17.3"/>
    <x v="0"/>
    <n v="0"/>
    <n v="2"/>
    <n v="1098"/>
    <n v="20798"/>
    <s v="CELESTE"/>
    <n v="0.9"/>
    <n v="0"/>
    <n v="0"/>
    <n v="17.28"/>
    <n v="17.3"/>
    <n v="30"/>
    <n v="576.66666666666663"/>
    <x v="4"/>
    <x v="0"/>
    <n v="20"/>
    <n v="1"/>
    <n v="48"/>
  </r>
  <r>
    <d v="2025-05-26T09:10:00"/>
    <s v="INYECTADO"/>
    <x v="0"/>
    <x v="87"/>
    <s v="JOSDER GONZALEZ"/>
    <s v="SEGUNDA"/>
    <s v="."/>
    <s v="MIXTO"/>
    <s v="COLADOR HOGAR SOLIDO #1"/>
    <s v="COLADOR HOGAR SOLIDO#1-AZURE"/>
    <n v="339"/>
    <n v="3"/>
    <n v="10.3"/>
    <x v="1"/>
    <n v="0"/>
    <n v="2"/>
    <n v="1098"/>
    <n v="20799"/>
    <s v="CELESTE"/>
    <n v="1.4"/>
    <n v="0"/>
    <n v="0"/>
    <n v="10.17"/>
    <n v="10.3"/>
    <n v="30"/>
    <n v="343.33333333333331"/>
    <x v="4"/>
    <x v="0"/>
    <n v="20"/>
    <n v="1"/>
    <n v="28.25"/>
  </r>
  <r>
    <d v="2025-05-26T09:10:00"/>
    <s v="INYECTADO"/>
    <x v="0"/>
    <x v="87"/>
    <s v="JOSDER GONZALEZ"/>
    <s v="SEGUNDA"/>
    <s v="."/>
    <s v="MIXTO"/>
    <s v="COLADOR HOGAR SOLIDO #1"/>
    <s v="COLADOR HOGAR SOLIDO#1-AZUL"/>
    <n v="1194"/>
    <n v="9"/>
    <n v="36.299999999999997"/>
    <x v="1"/>
    <n v="0"/>
    <n v="5"/>
    <n v="1098"/>
    <n v="20799"/>
    <s v="AZUL"/>
    <n v="1.8"/>
    <n v="0"/>
    <n v="0"/>
    <n v="35.82"/>
    <n v="36.299999999999997"/>
    <n v="30"/>
    <n v="1210"/>
    <x v="4"/>
    <x v="0"/>
    <n v="20"/>
    <n v="1"/>
    <n v="99.5"/>
  </r>
  <r>
    <d v="2025-05-26T09:10:00"/>
    <s v="INYECTADO"/>
    <x v="0"/>
    <x v="88"/>
    <s v="CRISALIDA ZAPATA"/>
    <s v="SEGUNDA"/>
    <s v="."/>
    <s v="MIXTO"/>
    <s v="COLADOR HOGAR SOLIDO #1"/>
    <s v="COLADOR HOGAR SOLIDO#1-AZUL"/>
    <n v="1093"/>
    <n v="8"/>
    <n v="32.799999999999997"/>
    <x v="0"/>
    <n v="0"/>
    <n v="5"/>
    <n v="1098"/>
    <n v="20799"/>
    <s v="AZUL"/>
    <n v="3.7"/>
    <n v="0"/>
    <n v="0"/>
    <n v="32.79"/>
    <n v="32.799999999999997"/>
    <n v="30"/>
    <n v="1093.3333333333333"/>
    <x v="4"/>
    <x v="0"/>
    <n v="20"/>
    <n v="1"/>
    <n v="91.083333333333329"/>
  </r>
  <r>
    <d v="2025-05-26T09:10:00"/>
    <s v="INYECTADO"/>
    <x v="0"/>
    <x v="88"/>
    <s v="CRISALIDA ZAPATA"/>
    <s v="SEGUNDA"/>
    <s v="."/>
    <s v="MIXTO"/>
    <s v="COLADOR HOGAR SOLIDO #1"/>
    <s v="COLADOR HOGAR SOLIDO#1-VERDE"/>
    <n v="330"/>
    <n v="4"/>
    <n v="9.9"/>
    <x v="0"/>
    <n v="0"/>
    <n v="2"/>
    <n v="1098"/>
    <n v="20799"/>
    <s v="VERDE"/>
    <n v="2"/>
    <n v="0"/>
    <n v="0"/>
    <n v="9.9"/>
    <n v="9.9"/>
    <n v="30"/>
    <n v="330"/>
    <x v="4"/>
    <x v="0"/>
    <n v="20"/>
    <n v="1"/>
    <n v="27.5"/>
  </r>
  <r>
    <d v="2025-05-26T09:10:00"/>
    <s v="INYECTADO"/>
    <x v="0"/>
    <x v="98"/>
    <s v="CRISALIDA ZAPATA"/>
    <s v="SEGUNDA"/>
    <s v="."/>
    <s v="MIXTO"/>
    <s v="COLADOR HOGAR SOLIDO #1"/>
    <s v="COLADOR HOGAR SOLIDO#1-VERDE"/>
    <n v="1003"/>
    <n v="11"/>
    <n v="30.1"/>
    <x v="0"/>
    <n v="0"/>
    <n v="4"/>
    <n v="1098"/>
    <n v="21701"/>
    <s v="VERDE"/>
    <n v="3.4"/>
    <n v="0"/>
    <n v="0"/>
    <n v="30.09"/>
    <n v="30.1"/>
    <n v="30"/>
    <n v="1003.3333333333334"/>
    <x v="4"/>
    <x v="0"/>
    <n v="21"/>
    <n v="1"/>
    <n v="83.583333333333329"/>
  </r>
  <r>
    <d v="2025-05-26T09:10:00"/>
    <s v="INYECTADO"/>
    <x v="0"/>
    <x v="99"/>
    <s v="CRISALIDA ZAPATA"/>
    <s v="SEGUNDA"/>
    <s v="."/>
    <s v="MIXTO"/>
    <s v="COLADOR HOGAR SOLIDO #1"/>
    <s v="COLADOR HOGAR SOLIDO#1-AZURE"/>
    <n v="989"/>
    <n v="8"/>
    <n v="28.7"/>
    <x v="0"/>
    <n v="0"/>
    <n v="5"/>
    <n v="1098"/>
    <n v="21702"/>
    <s v="CELESTE"/>
    <n v="5.6"/>
    <n v="0"/>
    <n v="0"/>
    <n v="29.67"/>
    <n v="28.7"/>
    <n v="30"/>
    <n v="956.66666666666663"/>
    <x v="4"/>
    <x v="0"/>
    <n v="21"/>
    <n v="1"/>
    <n v="82.416666666666671"/>
  </r>
  <r>
    <d v="2025-05-26T09:10:00"/>
    <s v="INYECTADO"/>
    <x v="0"/>
    <x v="99"/>
    <s v="CRISALIDA ZAPATA"/>
    <s v="SEGUNDA"/>
    <s v="."/>
    <s v="MIXTO"/>
    <s v="COLADOR HOGAR SOLIDO #1"/>
    <s v="COLADOR HOGAR SOLIDO#1-VERDE"/>
    <n v="186"/>
    <n v="2"/>
    <n v="5.4"/>
    <x v="0"/>
    <n v="0"/>
    <n v="2"/>
    <n v="1098"/>
    <n v="21702"/>
    <s v="VERDE"/>
    <n v="2.9"/>
    <n v="0"/>
    <n v="0"/>
    <n v="5.58"/>
    <n v="5.4"/>
    <n v="30"/>
    <n v="180"/>
    <x v="4"/>
    <x v="0"/>
    <n v="21"/>
    <n v="1"/>
    <n v="15.5"/>
  </r>
  <r>
    <d v="2025-05-26T09:10:00"/>
    <s v="INYECTADO"/>
    <x v="0"/>
    <x v="100"/>
    <s v="CRISALIDA ZAPATA"/>
    <s v="SEGUNDA"/>
    <s v="."/>
    <s v="MIXTO"/>
    <s v="COLADOR HOGAR SOLIDO #1"/>
    <s v="COLADOR HOGAR SOLIDO#1-AZURE"/>
    <n v="430"/>
    <n v="3"/>
    <n v="12.9"/>
    <x v="0"/>
    <n v="0"/>
    <n v="2"/>
    <n v="1098"/>
    <n v="21703"/>
    <s v="CELESTE"/>
    <n v="2.2000000000000002"/>
    <n v="0"/>
    <n v="0"/>
    <n v="12.9"/>
    <n v="12.9"/>
    <n v="30"/>
    <n v="430"/>
    <x v="4"/>
    <x v="0"/>
    <n v="21"/>
    <n v="1"/>
    <n v="35.833333333333336"/>
  </r>
  <r>
    <d v="2025-05-26T09:10:00"/>
    <s v="INYECTADO"/>
    <x v="0"/>
    <x v="100"/>
    <s v="CRISALIDA ZAPATA"/>
    <s v="SEGUNDA"/>
    <s v="."/>
    <s v="MIXTO"/>
    <s v="COLADOR HOGAR SOLIDO #1"/>
    <s v="COLADOR HOGAR SOLIDO#1-ROJO"/>
    <n v="1013"/>
    <n v="8"/>
    <n v="30.4"/>
    <x v="0"/>
    <n v="0"/>
    <n v="5"/>
    <n v="1098"/>
    <n v="21703"/>
    <s v="ROJO"/>
    <n v="2.5"/>
    <n v="0"/>
    <n v="0"/>
    <n v="30.39"/>
    <n v="30.4"/>
    <n v="30"/>
    <n v="1013.3333333333334"/>
    <x v="4"/>
    <x v="0"/>
    <n v="21"/>
    <n v="1"/>
    <n v="84.416666666666671"/>
  </r>
  <r>
    <d v="2025-05-26T09:10:00"/>
    <s v="INYECTADO"/>
    <x v="0"/>
    <x v="101"/>
    <s v="CRISALIDA ZAPATA"/>
    <s v="SEGUNDA"/>
    <s v="."/>
    <s v="MIXTO"/>
    <s v="COLADOR HOGAR SOLIDO #1"/>
    <s v="COLADOR HOGAR SOLIDO#1-ROJO"/>
    <n v="1003"/>
    <n v="7"/>
    <n v="30.1"/>
    <x v="0"/>
    <n v="0"/>
    <n v="5"/>
    <n v="1098"/>
    <n v="21704"/>
    <s v="ROJO"/>
    <n v="7.2"/>
    <n v="0"/>
    <n v="0"/>
    <n v="30.09"/>
    <n v="30.1"/>
    <n v="30"/>
    <n v="1003.3333333333334"/>
    <x v="4"/>
    <x v="0"/>
    <n v="21"/>
    <n v="1"/>
    <n v="83.583333333333329"/>
  </r>
  <r>
    <d v="2025-05-26T09:10:00"/>
    <s v="INYECTADO"/>
    <x v="0"/>
    <x v="101"/>
    <s v="CRISALIDA ZAPATA"/>
    <s v="SEGUNDA"/>
    <s v="."/>
    <s v="MIXTO"/>
    <s v="COLADOR HOGAR SOLIDO #1"/>
    <s v="COLADOR HOGAR SOLIDO#1-ANARANJADO"/>
    <n v="362"/>
    <n v="3"/>
    <n v="10.5"/>
    <x v="0"/>
    <n v="0"/>
    <n v="2"/>
    <n v="1098"/>
    <n v="21704"/>
    <s v="ANARANJADO"/>
    <n v="0"/>
    <n v="0"/>
    <n v="0"/>
    <n v="10.86"/>
    <n v="10.5"/>
    <n v="30"/>
    <n v="350"/>
    <x v="4"/>
    <x v="0"/>
    <n v="21"/>
    <n v="1"/>
    <n v="30.166666666666668"/>
  </r>
  <r>
    <d v="2025-05-26T09:10:00"/>
    <s v="INYECTADO"/>
    <x v="0"/>
    <x v="89"/>
    <s v="CRISALIDA ZAPATA"/>
    <s v="SEGUNDA"/>
    <s v="."/>
    <s v="MIXTO"/>
    <s v="COLADOR HOGAR SOLIDO #1"/>
    <s v="COLADOR HOGAR SOLIDO#1-AZURE"/>
    <n v="358"/>
    <n v="3"/>
    <n v="10.4"/>
    <x v="0"/>
    <n v="0"/>
    <n v="2"/>
    <n v="1098"/>
    <n v="21705"/>
    <s v="CELESTE"/>
    <n v="5.4"/>
    <n v="0"/>
    <n v="0"/>
    <n v="10.74"/>
    <n v="10.4"/>
    <n v="30"/>
    <n v="346.66666666666669"/>
    <x v="4"/>
    <x v="0"/>
    <n v="21"/>
    <n v="1"/>
    <n v="29.833333333333332"/>
  </r>
  <r>
    <d v="2025-05-26T09:10:00"/>
    <s v="INYECTADO"/>
    <x v="0"/>
    <x v="89"/>
    <s v="CRISALIDA ZAPATA"/>
    <s v="SEGUNDA"/>
    <s v="."/>
    <s v="MIXTO"/>
    <s v="COLADOR HOGAR SOLIDO #1"/>
    <s v="COLADOR HOGAR SOLIDO#1-ANARANJADO"/>
    <n v="37"/>
    <n v="1"/>
    <n v="1.1000000000000001"/>
    <x v="0"/>
    <n v="0"/>
    <n v="1"/>
    <n v="1098"/>
    <n v="21705"/>
    <s v="ANARANJADO"/>
    <n v="2.1"/>
    <n v="0"/>
    <n v="0"/>
    <n v="1.1100000000000001"/>
    <n v="1.1000000000000001"/>
    <n v="30"/>
    <n v="36.666666666666664"/>
    <x v="4"/>
    <x v="0"/>
    <n v="21"/>
    <n v="1"/>
    <n v="3.0833333333333335"/>
  </r>
  <r>
    <d v="2025-05-26T09:10:00"/>
    <s v="INYECTADO"/>
    <x v="0"/>
    <x v="89"/>
    <s v="CRISALIDA ZAPATA"/>
    <s v="VIRGEN"/>
    <s v="PP CLARIFICADO"/>
    <s v="."/>
    <s v="COLADOR HOGAR SOLIDO #1"/>
    <s v="COLADOR HOGAR SOLIDO#1-CREMA"/>
    <n v="248"/>
    <n v="2"/>
    <n v="7.2"/>
    <x v="0"/>
    <n v="0"/>
    <n v="1"/>
    <n v="1098"/>
    <n v="21705"/>
    <s v="CREMA"/>
    <n v="3.3"/>
    <n v="0"/>
    <n v="0"/>
    <n v="7.44"/>
    <n v="7.2"/>
    <n v="30"/>
    <n v="240"/>
    <x v="4"/>
    <x v="0"/>
    <n v="21"/>
    <n v="1"/>
    <n v="20.666666666666668"/>
  </r>
  <r>
    <d v="2025-05-26T09:10:00"/>
    <s v="INYECTADO"/>
    <x v="0"/>
    <x v="89"/>
    <s v="CRISALIDA ZAPATA"/>
    <s v="SEGUNDA"/>
    <s v="."/>
    <s v="MIXTO"/>
    <s v="COLADOR HOGAR SOLIDO #1"/>
    <s v="COLADOR HOGAR SOLIDO#1-AZUL"/>
    <n v="372"/>
    <n v="3"/>
    <n v="10.8"/>
    <x v="0"/>
    <n v="0"/>
    <n v="2"/>
    <n v="1098"/>
    <n v="21705"/>
    <s v="AZUL"/>
    <n v="1.2"/>
    <n v="0"/>
    <n v="0"/>
    <n v="11.16"/>
    <n v="10.8"/>
    <n v="30"/>
    <n v="360"/>
    <x v="4"/>
    <x v="0"/>
    <n v="21"/>
    <n v="1"/>
    <n v="31"/>
  </r>
  <r>
    <d v="2025-05-26T09:10:00"/>
    <s v="INYECTADO"/>
    <x v="0"/>
    <x v="90"/>
    <s v="CRISALIDA ZAPATA"/>
    <s v="SEGUNDA"/>
    <s v="."/>
    <s v="MIXTO"/>
    <s v="COLADOR HOGAR SOLIDO #1"/>
    <s v="COLADOR HOGAR SOLIDO#1-AZUL"/>
    <n v="303"/>
    <n v="3"/>
    <n v="9.1"/>
    <x v="0"/>
    <n v="0"/>
    <n v="2"/>
    <n v="1098"/>
    <n v="21706"/>
    <s v="AZUL"/>
    <n v="0.7"/>
    <n v="0"/>
    <n v="0"/>
    <n v="9.09"/>
    <n v="9.1"/>
    <n v="30"/>
    <n v="303.33333333333331"/>
    <x v="4"/>
    <x v="0"/>
    <n v="21"/>
    <n v="1"/>
    <n v="25.25"/>
  </r>
  <r>
    <d v="2025-05-26T09:10:00"/>
    <s v="INYECTADO"/>
    <x v="0"/>
    <x v="102"/>
    <s v="GABRIEL ORDAZ"/>
    <s v="SEGUNDA"/>
    <s v="."/>
    <s v="MIXTO"/>
    <s v="COLADOR HOGAR SOLIDO #1"/>
    <s v="COLADOR HOGAR SOLIDO#1-AZUL"/>
    <n v="403"/>
    <n v="4"/>
    <n v="11.7"/>
    <x v="0"/>
    <n v="0"/>
    <n v="2"/>
    <n v="1098"/>
    <n v="21707"/>
    <s v="AZUL"/>
    <n v="4.2"/>
    <n v="0"/>
    <n v="0"/>
    <n v="12.09"/>
    <n v="11.7"/>
    <n v="30"/>
    <n v="390"/>
    <x v="4"/>
    <x v="0"/>
    <n v="22"/>
    <n v="1"/>
    <n v="33.583333333333336"/>
  </r>
  <r>
    <d v="2025-05-26T09:10:00"/>
    <s v="INYECTADO"/>
    <x v="0"/>
    <x v="102"/>
    <s v="GABRIEL ORDAZ"/>
    <s v="SEGUNDA"/>
    <s v="."/>
    <s v="MIXTO"/>
    <s v="COLADOR HOGAR SOLIDO #1"/>
    <s v="COLADOR HOGAR SOLIDO#1-VERDE"/>
    <n v="355"/>
    <n v="3"/>
    <n v="10.3"/>
    <x v="0"/>
    <n v="0"/>
    <n v="2"/>
    <n v="1098"/>
    <n v="21707"/>
    <s v="VERDE"/>
    <n v="1.9"/>
    <n v="0"/>
    <n v="0"/>
    <n v="10.65"/>
    <n v="10.3"/>
    <n v="30"/>
    <n v="343.33333333333331"/>
    <x v="4"/>
    <x v="0"/>
    <n v="22"/>
    <n v="1"/>
    <n v="29.583333333333332"/>
  </r>
  <r>
    <d v="2025-05-26T09:10:00"/>
    <s v="INYECTADO"/>
    <x v="0"/>
    <x v="103"/>
    <s v="GABRIEL ORDAZ"/>
    <s v="VIRGEN"/>
    <s v="PP CLARIFICADO"/>
    <s v="."/>
    <s v="COLADOR HOGAR SOLIDO #1"/>
    <s v="COLADOR HOGAR SOLIDO#1-CREMA"/>
    <n v="546"/>
    <n v="5"/>
    <n v="16.399999999999999"/>
    <x v="0"/>
    <n v="0"/>
    <n v="3"/>
    <n v="1098"/>
    <n v="21708"/>
    <s v="CREMA"/>
    <n v="4.7"/>
    <n v="0"/>
    <n v="0"/>
    <n v="16.38"/>
    <n v="16.399999999999999"/>
    <n v="30"/>
    <n v="546.66666666666663"/>
    <x v="4"/>
    <x v="0"/>
    <n v="22"/>
    <n v="1"/>
    <n v="45.5"/>
  </r>
  <r>
    <d v="2025-05-26T09:10:00"/>
    <s v="INYECTADO"/>
    <x v="0"/>
    <x v="103"/>
    <s v="GABRIEL ORDAZ"/>
    <s v="SEGUNDA"/>
    <s v="."/>
    <s v="MIXTO"/>
    <s v="COLADOR HOGAR SOLIDO #1"/>
    <s v="COLADOR HOGAR SOLIDO#1-ANARANJADO"/>
    <n v="306"/>
    <n v="3"/>
    <n v="9.1999999999999993"/>
    <x v="0"/>
    <n v="0"/>
    <n v="2"/>
    <n v="1098"/>
    <n v="21708"/>
    <s v="ANRANJADO"/>
    <n v="4.5999999999999996"/>
    <n v="0"/>
    <n v="0"/>
    <n v="9.18"/>
    <n v="9.1999999999999993"/>
    <n v="30"/>
    <n v="306.66666666666669"/>
    <x v="4"/>
    <x v="0"/>
    <n v="22"/>
    <n v="1"/>
    <n v="25.5"/>
  </r>
  <r>
    <d v="2025-05-26T09:10:00"/>
    <s v="INYECTADO"/>
    <x v="0"/>
    <x v="103"/>
    <s v="GABRIEL ORDAZ"/>
    <s v="SEGUNDA"/>
    <s v="."/>
    <s v="MIXTO"/>
    <s v="COLADOR HOGAR SOLIDO #1"/>
    <s v="COLADOR HOGAR SOLIDO#1-VERDE"/>
    <n v="48"/>
    <n v="1"/>
    <n v="1.4"/>
    <x v="0"/>
    <n v="0"/>
    <n v="1"/>
    <n v="1098"/>
    <n v="21708"/>
    <s v="VERDE"/>
    <n v="5.4"/>
    <n v="0"/>
    <n v="0"/>
    <n v="1.44"/>
    <n v="1.4"/>
    <n v="30"/>
    <n v="46.666666666666664"/>
    <x v="4"/>
    <x v="0"/>
    <n v="22"/>
    <n v="1"/>
    <n v="4"/>
  </r>
  <r>
    <d v="2025-05-26T09:10:00"/>
    <s v="INYECTADO"/>
    <x v="0"/>
    <x v="95"/>
    <s v="GABRIEL ORDAZ"/>
    <s v="SEGUNDA"/>
    <s v="."/>
    <s v="MIXTO"/>
    <s v="COLADOR HOGAR SOLIDO #1"/>
    <s v="COLADOR HOGAR SOLIDO#1-ANARANJADO"/>
    <n v="251"/>
    <n v="2"/>
    <n v="7.3"/>
    <x v="0"/>
    <n v="0"/>
    <n v="1"/>
    <n v="1098"/>
    <n v="21709"/>
    <s v="ANARANJADO"/>
    <n v="1.4"/>
    <n v="0"/>
    <n v="0"/>
    <n v="7.53"/>
    <n v="7.3"/>
    <n v="30"/>
    <n v="243.33333333333334"/>
    <x v="4"/>
    <x v="0"/>
    <n v="22"/>
    <n v="1"/>
    <n v="20.916666666666668"/>
  </r>
  <r>
    <d v="2025-05-26T09:10:00"/>
    <s v="INYECTADO"/>
    <x v="0"/>
    <x v="95"/>
    <s v="GABRIEL ORDAZ"/>
    <s v="SEGUNDA"/>
    <s v="."/>
    <s v="MIXTO"/>
    <s v="COLADOR HOGAR SOLIDO #1"/>
    <s v="COLADOR HOGAR SOLIDO#1-ROJO"/>
    <n v="276"/>
    <n v="2"/>
    <n v="8.3000000000000007"/>
    <x v="0"/>
    <n v="0"/>
    <n v="1"/>
    <n v="1098"/>
    <n v="21709"/>
    <s v="ROJO"/>
    <n v="0.9"/>
    <n v="0"/>
    <n v="0"/>
    <n v="8.2799999999999994"/>
    <n v="8.3000000000000007"/>
    <n v="30"/>
    <n v="276.66666666666669"/>
    <x v="4"/>
    <x v="0"/>
    <n v="22"/>
    <n v="1"/>
    <n v="23"/>
  </r>
  <r>
    <d v="2025-05-26T09:10:00"/>
    <s v="INYECTADO"/>
    <x v="6"/>
    <x v="104"/>
    <s v="CRISALIDA ZAPATA"/>
    <s v="SEGUNDA"/>
    <s v="."/>
    <s v="MIXTO"/>
    <s v="EMBUDO #2"/>
    <s v="EMBUDO #2-VERDE"/>
    <n v="687"/>
    <n v="9"/>
    <n v="89.4"/>
    <x v="0"/>
    <n v="0"/>
    <n v="6"/>
    <n v="1090"/>
    <n v="21221"/>
    <s v="VERDE"/>
    <n v="27.9"/>
    <n v="0"/>
    <n v="0"/>
    <n v="24.045000000000002"/>
    <n v="89.4"/>
    <n v="35"/>
    <n v="2554.2857142857142"/>
    <x v="4"/>
    <x v="0"/>
    <n v="18"/>
    <n v="4"/>
    <n v="229"/>
  </r>
  <r>
    <d v="2025-05-26T09:10:00"/>
    <s v="INYECTADO"/>
    <x v="6"/>
    <x v="104"/>
    <s v="CRISALIDA ZAPATA"/>
    <s v="SEGUNDA"/>
    <s v="."/>
    <s v="MIXTO"/>
    <s v="EMBUDO #2"/>
    <s v="EMBUDO #2-ROJO"/>
    <n v="23"/>
    <n v="1"/>
    <n v="3"/>
    <x v="0"/>
    <n v="0"/>
    <n v="1"/>
    <n v="1090"/>
    <n v="21221"/>
    <s v="ROJO"/>
    <n v="7.1"/>
    <n v="0"/>
    <n v="0"/>
    <n v="0.80500000000000005"/>
    <n v="3"/>
    <n v="35"/>
    <n v="85.714285714285708"/>
    <x v="4"/>
    <x v="0"/>
    <n v="18"/>
    <n v="4"/>
    <n v="7.666666666666667"/>
  </r>
  <r>
    <d v="2025-05-26T09:10:00"/>
    <s v="INYECTADO"/>
    <x v="6"/>
    <x v="81"/>
    <s v="BRAYAN PINEDO"/>
    <s v="SEGUNDA"/>
    <s v="."/>
    <s v="MIXTO"/>
    <s v="EMBUDO #2"/>
    <s v="EMBUDO #2-ROJO"/>
    <n v="501"/>
    <n v="7"/>
    <n v="65.2"/>
    <x v="0"/>
    <n v="0"/>
    <n v="6"/>
    <n v="1090"/>
    <n v="21221"/>
    <s v="ROJO"/>
    <n v="13.499999999999998"/>
    <n v="0"/>
    <n v="0"/>
    <n v="17.535"/>
    <n v="65.2"/>
    <n v="35"/>
    <n v="1862.8571428571429"/>
    <x v="4"/>
    <x v="0"/>
    <n v="18"/>
    <n v="4"/>
    <n v="167"/>
  </r>
  <r>
    <d v="2025-05-26T09:10:00"/>
    <s v="INYECTADO"/>
    <x v="6"/>
    <x v="82"/>
    <s v="ISABEL LINARIZ "/>
    <s v="SEGUNDA"/>
    <s v="."/>
    <s v="MIXTO"/>
    <s v="EMBUDO #2"/>
    <s v="EMBUDO #2-ROJO"/>
    <n v="491"/>
    <n v="5"/>
    <n v="64.900000000000006"/>
    <x v="0"/>
    <n v="0"/>
    <n v="5"/>
    <n v="1090"/>
    <n v="21223"/>
    <s v="ROJO"/>
    <n v="15.3"/>
    <n v="0"/>
    <n v="0"/>
    <n v="17.184999999999999"/>
    <n v="64.900000000000006"/>
    <n v="35"/>
    <n v="1854.2857142857144"/>
    <x v="4"/>
    <x v="0"/>
    <n v="19"/>
    <n v="4"/>
    <n v="163.66666666666666"/>
  </r>
  <r>
    <d v="2025-05-26T09:10:00"/>
    <s v="INYECTADO"/>
    <x v="6"/>
    <x v="82"/>
    <s v="ISABEL LINARIZ "/>
    <s v="SEGUNDA"/>
    <s v="."/>
    <s v="MIXTO"/>
    <s v="EMBUDO #2"/>
    <s v="EMBUDO #2-FUCSIA"/>
    <n v="287"/>
    <n v="3"/>
    <n v="38"/>
    <x v="0"/>
    <n v="0"/>
    <n v="3"/>
    <n v="1090"/>
    <n v="21223"/>
    <s v="FUCSIA"/>
    <n v="15.3"/>
    <n v="0"/>
    <n v="0"/>
    <n v="10.045"/>
    <n v="38"/>
    <n v="35"/>
    <n v="1085.7142857142858"/>
    <x v="4"/>
    <x v="0"/>
    <n v="19"/>
    <n v="4"/>
    <n v="95.666666666666671"/>
  </r>
  <r>
    <d v="2025-05-26T09:10:00"/>
    <s v="INYECTADO"/>
    <x v="6"/>
    <x v="82"/>
    <s v="GABRIEL REQUENA"/>
    <s v="SEGUNDA"/>
    <s v="."/>
    <s v="MIXTO"/>
    <s v="EMBUDO #2"/>
    <s v="EMBUDO #2-FUCSIA"/>
    <n v="551"/>
    <n v="4"/>
    <n v="72.8"/>
    <x v="0"/>
    <n v="0"/>
    <n v="6"/>
    <n v="1090"/>
    <n v="21224"/>
    <s v="FUCSIA"/>
    <n v="11.7"/>
    <n v="0"/>
    <n v="0"/>
    <n v="19.285"/>
    <n v="72.8"/>
    <n v="35"/>
    <n v="2080"/>
    <x v="4"/>
    <x v="0"/>
    <n v="19"/>
    <n v="4"/>
    <n v="183.66666666666666"/>
  </r>
  <r>
    <d v="2025-05-26T09:10:00"/>
    <s v="INYECTADO"/>
    <x v="6"/>
    <x v="82"/>
    <s v="GABRIEL REQUENA"/>
    <s v="SEGUNDA"/>
    <s v="."/>
    <s v="MIXTO"/>
    <s v="EMBUDO #2"/>
    <s v="EMBUDO #2-LILA"/>
    <n v="424"/>
    <n v="4"/>
    <n v="56"/>
    <x v="0"/>
    <n v="0"/>
    <n v="5"/>
    <n v="1090"/>
    <n v="21224"/>
    <s v="LILA"/>
    <n v="8.8000000000000007"/>
    <n v="0"/>
    <n v="0"/>
    <n v="14.84"/>
    <n v="56"/>
    <n v="35"/>
    <n v="1600"/>
    <x v="4"/>
    <x v="0"/>
    <n v="19"/>
    <n v="4"/>
    <n v="141.33333333333334"/>
  </r>
  <r>
    <d v="2025-05-26T09:10:00"/>
    <s v="INYECTADO"/>
    <x v="6"/>
    <x v="83"/>
    <s v="NELSON PINEDO"/>
    <s v="SEGUNDA"/>
    <s v="."/>
    <s v="MIXTO"/>
    <s v="EMBUDO #2"/>
    <s v="EMBUDO #2-AMARILLO"/>
    <n v="109"/>
    <n v="1"/>
    <n v="14.5"/>
    <x v="0"/>
    <n v="0"/>
    <n v="2"/>
    <n v="1090"/>
    <n v="21224"/>
    <s v="AMARILLO"/>
    <n v="10"/>
    <n v="0"/>
    <n v="0"/>
    <n v="3.8149999999999999"/>
    <n v="14.5"/>
    <n v="35"/>
    <n v="414.28571428571428"/>
    <x v="4"/>
    <x v="0"/>
    <n v="19"/>
    <n v="4"/>
    <n v="36.333333333333336"/>
  </r>
  <r>
    <d v="2025-05-26T09:10:00"/>
    <s v="INYECTADO"/>
    <x v="6"/>
    <x v="83"/>
    <s v="GABRIEL REQUENA"/>
    <s v="SEGUNDA"/>
    <s v="."/>
    <s v="MIXTO"/>
    <s v="EMBUDO #2"/>
    <s v="EMBUDO #2-AMARILLO"/>
    <n v="73"/>
    <n v="1"/>
    <n v="9.6999999999999993"/>
    <x v="0"/>
    <n v="0"/>
    <n v="1"/>
    <n v="1090"/>
    <n v="21226"/>
    <s v="AMARILLO"/>
    <n v="9.1999999999999993"/>
    <n v="0"/>
    <n v="0"/>
    <n v="2.5550000000000002"/>
    <n v="9.6999999999999993"/>
    <n v="35"/>
    <n v="277.14285714285717"/>
    <x v="4"/>
    <x v="0"/>
    <n v="19"/>
    <n v="4"/>
    <n v="24.333333333333332"/>
  </r>
  <r>
    <d v="2025-05-26T09:10:00"/>
    <s v="INYECTADO"/>
    <x v="6"/>
    <x v="83"/>
    <s v="GABRIEL REQUENA"/>
    <s v="SEGUNDA"/>
    <s v="."/>
    <s v="MIXTO"/>
    <s v="EMBUDO #2"/>
    <s v="EMBUDO #2-VERDE"/>
    <n v="532"/>
    <n v="5"/>
    <n v="70.3"/>
    <x v="0"/>
    <n v="0"/>
    <n v="4"/>
    <n v="1090"/>
    <n v="21226"/>
    <s v="VERDE"/>
    <n v="12.2"/>
    <n v="0"/>
    <n v="0"/>
    <n v="18.62"/>
    <n v="70.3"/>
    <n v="35"/>
    <n v="2008.5714285714287"/>
    <x v="4"/>
    <x v="0"/>
    <n v="19"/>
    <n v="4"/>
    <n v="177.33333333333334"/>
  </r>
  <r>
    <d v="2025-05-26T09:10:00"/>
    <s v="INYECTADO"/>
    <x v="6"/>
    <x v="96"/>
    <s v="ANGIE VALDERRAMA"/>
    <s v="SEGUNDA"/>
    <s v="."/>
    <s v="MIXTO"/>
    <s v="EMBUDO #2"/>
    <s v="EMBUDO #2-AMARILLO"/>
    <n v="792"/>
    <n v="7"/>
    <n v="103.8"/>
    <x v="0"/>
    <n v="0"/>
    <n v="9"/>
    <n v="1090"/>
    <n v="21227"/>
    <s v="AMARILLO"/>
    <n v="19.8"/>
    <n v="0"/>
    <n v="0"/>
    <n v="27.72"/>
    <n v="103.8"/>
    <n v="35"/>
    <n v="2965.7142857142858"/>
    <x v="4"/>
    <x v="0"/>
    <n v="19"/>
    <n v="4"/>
    <n v="264"/>
  </r>
  <r>
    <d v="2025-05-26T09:10:00"/>
    <s v="INYECTADO"/>
    <x v="6"/>
    <x v="97"/>
    <s v="LUIS PINEDO"/>
    <s v="SEGUNDA"/>
    <s v="."/>
    <s v="MIXTO"/>
    <s v="EMBUDO #2"/>
    <s v="EMBUDO #2-LILA"/>
    <n v="569"/>
    <n v="5"/>
    <n v="73.5"/>
    <x v="0"/>
    <n v="0"/>
    <n v="6"/>
    <n v="1090"/>
    <n v="21228"/>
    <s v="LILA"/>
    <n v="17.7"/>
    <n v="0"/>
    <n v="0"/>
    <n v="19.914999999999999"/>
    <n v="73.5"/>
    <n v="35"/>
    <n v="2100"/>
    <x v="4"/>
    <x v="0"/>
    <n v="19"/>
    <n v="4"/>
    <n v="189.66666666666666"/>
  </r>
  <r>
    <d v="2025-05-26T09:10:00"/>
    <s v="INYECTADO"/>
    <x v="6"/>
    <x v="97"/>
    <s v="LUIS PINEDO"/>
    <s v="SEGUNDA"/>
    <s v="."/>
    <s v="MIXTO"/>
    <s v="EMBUDO #2"/>
    <s v="EMBUDO #2-CELESTE"/>
    <n v="277"/>
    <n v="2"/>
    <n v="36.299999999999997"/>
    <x v="0"/>
    <n v="0"/>
    <n v="3"/>
    <n v="1090"/>
    <n v="21228"/>
    <s v="AZURE"/>
    <n v="4.5"/>
    <n v="0"/>
    <n v="0"/>
    <n v="9.6950000000000003"/>
    <n v="36.299999999999997"/>
    <n v="35"/>
    <n v="1037.1428571428571"/>
    <x v="4"/>
    <x v="0"/>
    <n v="19"/>
    <n v="4"/>
    <n v="92.333333333333329"/>
  </r>
  <r>
    <d v="2025-05-26T09:10:00"/>
    <s v="INYECTADO"/>
    <x v="6"/>
    <x v="105"/>
    <s v="SAID VILLAMIZAR"/>
    <s v="SEGUNDA"/>
    <s v="."/>
    <s v="MIXTO"/>
    <s v="EMBUDO #2"/>
    <s v="EMBUDO #2-AZUL"/>
    <n v="727"/>
    <n v="7"/>
    <n v="95.3"/>
    <x v="0"/>
    <n v="0"/>
    <n v="7"/>
    <n v="1090"/>
    <n v="21229"/>
    <s v="AZUL"/>
    <n v="21"/>
    <n v="0"/>
    <n v="0"/>
    <n v="25.445"/>
    <n v="95.3"/>
    <n v="35"/>
    <n v="2722.8571428571427"/>
    <x v="4"/>
    <x v="0"/>
    <n v="20"/>
    <n v="4"/>
    <n v="242.33333333333334"/>
  </r>
  <r>
    <d v="2025-05-26T09:10:00"/>
    <s v="INYECTADO"/>
    <x v="6"/>
    <x v="105"/>
    <s v="SAID VILLAMIZAR"/>
    <s v="SEGUNDA"/>
    <s v="."/>
    <s v="MIXTO"/>
    <s v="EMBUDO #2"/>
    <s v="EMBUDO #2-VERDE"/>
    <n v="109"/>
    <n v="1"/>
    <n v="14.4"/>
    <x v="0"/>
    <n v="0"/>
    <n v="14.4"/>
    <n v="1090"/>
    <n v="21229"/>
    <s v="VERDE"/>
    <n v="0"/>
    <n v="0"/>
    <n v="0"/>
    <n v="3.8149999999999999"/>
    <n v="14.4"/>
    <n v="35"/>
    <n v="411.42857142857144"/>
    <x v="4"/>
    <x v="0"/>
    <n v="20"/>
    <n v="4"/>
    <n v="36.333333333333336"/>
  </r>
  <r>
    <d v="2025-05-26T09:10:00"/>
    <s v="INYECTADO"/>
    <x v="6"/>
    <x v="85"/>
    <s v="SAID VILLAMIZAR"/>
    <s v="VIRGEN"/>
    <s v="ALTA INYECCION"/>
    <s v="."/>
    <s v="TAPAS DE JARRA 5 Y 6L"/>
    <s v="TAPAS DE JARRA DE 5 Y 6L-AMARILLO"/>
    <n v="289"/>
    <n v="4"/>
    <n v="47.6"/>
    <x v="0"/>
    <n v="0"/>
    <n v="9"/>
    <n v="1104"/>
    <n v="21230"/>
    <s v="AMARILLO"/>
    <n v="0"/>
    <n v="0"/>
    <n v="0"/>
    <n v="23.408999999999999"/>
    <n v="47.6"/>
    <n v="81"/>
    <n v="587.65432098765427"/>
    <x v="4"/>
    <x v="0"/>
    <n v="20"/>
    <n v="2"/>
    <n v="48.166666666666664"/>
  </r>
  <r>
    <d v="2025-05-26T09:10:00"/>
    <s v="INYECTADO"/>
    <x v="6"/>
    <x v="85"/>
    <s v="SAID VILLAMIZAR"/>
    <s v="VIRGEN"/>
    <s v="ALTA INYECCION"/>
    <s v="."/>
    <s v="TAPAS DE JARRA 5 Y 6L"/>
    <s v="TAPAS DE JARRA DE 5 Y 6L-VERDE"/>
    <n v="288"/>
    <n v="3"/>
    <n v="47.5"/>
    <x v="0"/>
    <n v="0"/>
    <n v="10"/>
    <n v="1104"/>
    <n v="21230"/>
    <s v="VERDE"/>
    <n v="0"/>
    <n v="0"/>
    <n v="0"/>
    <n v="23.327999999999999"/>
    <n v="47.5"/>
    <n v="81"/>
    <n v="586.41975308641975"/>
    <x v="4"/>
    <x v="0"/>
    <n v="20"/>
    <n v="2"/>
    <n v="48"/>
  </r>
  <r>
    <d v="2025-05-26T09:10:00"/>
    <s v="INYECTADO"/>
    <x v="6"/>
    <x v="85"/>
    <s v="SAID VILLAMIZAR"/>
    <s v="VIRGEN"/>
    <s v="ALTA INYECCION"/>
    <s v="."/>
    <s v="TAPAS DE JARRA 5 Y 6L"/>
    <s v="TAPAS DE JARRA DE 5 Y 6L-AZUL"/>
    <n v="296"/>
    <n v="3"/>
    <n v="48.8"/>
    <x v="0"/>
    <n v="0"/>
    <n v="10"/>
    <n v="1104"/>
    <n v="21230"/>
    <s v="AZUL"/>
    <n v="0"/>
    <n v="0"/>
    <n v="0"/>
    <n v="23.975999999999999"/>
    <n v="48.8"/>
    <n v="81"/>
    <n v="602.46913580246917"/>
    <x v="4"/>
    <x v="0"/>
    <n v="20"/>
    <n v="2"/>
    <n v="49.333333333333336"/>
  </r>
  <r>
    <d v="2025-05-26T09:10:00"/>
    <s v="INYECTADO"/>
    <x v="6"/>
    <x v="85"/>
    <s v="SAID VILLAMIZAR"/>
    <s v="VIRGEN"/>
    <s v="ALTA INYECCION"/>
    <s v="."/>
    <s v="TAPAS DE JARRA 5 Y 6L"/>
    <s v="TAPAS DE JARRA DE 5 Y 6L-ROJO"/>
    <n v="61"/>
    <n v="1"/>
    <n v="10"/>
    <x v="0"/>
    <n v="0"/>
    <n v="2"/>
    <n v="1104"/>
    <n v="21230"/>
    <s v="ROJO"/>
    <n v="0"/>
    <n v="0"/>
    <n v="0"/>
    <n v="4.9409999999999998"/>
    <n v="10"/>
    <n v="81"/>
    <n v="123.45679012345678"/>
    <x v="4"/>
    <x v="0"/>
    <n v="20"/>
    <n v="2"/>
    <n v="10.166666666666666"/>
  </r>
  <r>
    <d v="2025-05-26T09:10:00"/>
    <s v="INYECTADO"/>
    <x v="6"/>
    <x v="85"/>
    <s v="JUAN MANUEL PEREZ"/>
    <s v="VIRGEN"/>
    <s v="ALTA INYECCION"/>
    <s v="."/>
    <s v="TAPAS DE JARRA 5 Y 6L"/>
    <s v="TAPAS DE JARRA DE 5 Y 6L-AMARILLO"/>
    <n v="36"/>
    <n v="1"/>
    <n v="5.9"/>
    <x v="1"/>
    <n v="0"/>
    <n v="1"/>
    <n v="1104"/>
    <n v="21231"/>
    <s v="AMARILLO"/>
    <n v="7.7"/>
    <n v="0"/>
    <n v="0"/>
    <n v="2.9159999999999999"/>
    <n v="5.9"/>
    <n v="81"/>
    <n v="72.839506172839506"/>
    <x v="4"/>
    <x v="0"/>
    <n v="20"/>
    <n v="2"/>
    <n v="6"/>
  </r>
  <r>
    <d v="2025-05-26T09:10:00"/>
    <s v="INYECTADO"/>
    <x v="6"/>
    <x v="85"/>
    <s v="JUAN MANUEL PEREZ"/>
    <s v="VIRGEN"/>
    <s v="ALTA INYECCION"/>
    <s v="."/>
    <s v="TAPAS DE JARRA 5 Y 6L"/>
    <s v="TAPAS DE JARRA DE 5 Y 6L-AZUL"/>
    <n v="263"/>
    <n v="2"/>
    <n v="43.7"/>
    <x v="1"/>
    <n v="0"/>
    <n v="8"/>
    <n v="1104"/>
    <n v="21231"/>
    <s v="AZUL"/>
    <n v="0"/>
    <n v="0"/>
    <n v="0"/>
    <n v="21.303000000000001"/>
    <n v="43.7"/>
    <n v="81"/>
    <n v="539.50617283950612"/>
    <x v="4"/>
    <x v="0"/>
    <n v="20"/>
    <n v="2"/>
    <n v="43.833333333333336"/>
  </r>
  <r>
    <d v="2025-05-26T09:10:00"/>
    <s v="INYECTADO"/>
    <x v="6"/>
    <x v="85"/>
    <s v="JUAN MANUEL PEREZ"/>
    <s v="VIRGEN"/>
    <s v="ALTA INYECCION"/>
    <s v="."/>
    <s v="TAPAS DE JARRA 5 Y 6L"/>
    <s v="TAPAS DE JARRA DE 5 Y 6L-ROJO"/>
    <n v="691"/>
    <n v="8"/>
    <n v="115"/>
    <x v="1"/>
    <n v="0"/>
    <n v="19"/>
    <n v="1104"/>
    <n v="21231"/>
    <s v="ROJO"/>
    <n v="6"/>
    <n v="0"/>
    <n v="0"/>
    <n v="55.970999999999997"/>
    <n v="115"/>
    <n v="81"/>
    <n v="1419.7530864197531"/>
    <x v="4"/>
    <x v="0"/>
    <n v="20"/>
    <n v="2"/>
    <n v="115.16666666666667"/>
  </r>
  <r>
    <d v="2025-05-26T09:10:00"/>
    <s v="INYECTADO"/>
    <x v="6"/>
    <x v="86"/>
    <s v="ISABEL LINARIZ "/>
    <s v="VIRGEN"/>
    <s v="ALTA INYECCION"/>
    <s v="."/>
    <s v="TAPAS DE JARRA 5 Y 6L"/>
    <s v="TAPAS DE JARRA DE 5 Y 6L-AMARILLO"/>
    <n v="384"/>
    <n v="3"/>
    <n v="63.7"/>
    <x v="0"/>
    <n v="0"/>
    <n v="13"/>
    <n v="1104"/>
    <n v="21232"/>
    <s v="AMARILLO"/>
    <n v="0"/>
    <n v="0"/>
    <n v="0"/>
    <n v="31.103999999999999"/>
    <n v="63.7"/>
    <n v="81"/>
    <n v="786.41975308641975"/>
    <x v="4"/>
    <x v="0"/>
    <n v="20"/>
    <n v="2"/>
    <n v="64"/>
  </r>
  <r>
    <d v="2025-05-26T09:10:00"/>
    <s v="INYECTADO"/>
    <x v="6"/>
    <x v="88"/>
    <s v="GABRIEL REQUENA"/>
    <s v="VIRGEN"/>
    <s v="ALTA INYECCION"/>
    <s v="."/>
    <s v="TAPAS DE JARRA 5 Y 6L"/>
    <s v="TAPAS DE JARRA DE 5 Y 6L-VERDE"/>
    <n v="446"/>
    <n v="4"/>
    <n v="74.400000000000006"/>
    <x v="0"/>
    <n v="0"/>
    <n v="15"/>
    <n v="1104"/>
    <n v="21233"/>
    <s v="VERDE"/>
    <n v="2.1"/>
    <n v="0"/>
    <n v="0"/>
    <n v="36.125999999999998"/>
    <n v="74.400000000000006"/>
    <n v="81"/>
    <n v="918.51851851851848"/>
    <x v="4"/>
    <x v="0"/>
    <n v="20"/>
    <n v="2"/>
    <n v="74.333333333333329"/>
  </r>
  <r>
    <d v="2025-05-26T09:10:00"/>
    <s v="INYECTADO"/>
    <x v="6"/>
    <x v="88"/>
    <s v="GABRIEL REQUENA"/>
    <s v="VIRGEN"/>
    <s v="ALTA INYECCION"/>
    <s v="."/>
    <s v="TAPAS DE JARRA 5 Y 6L"/>
    <s v="TAPAS DE JARRA DE 5 Y 6L-AZUL"/>
    <n v="245"/>
    <n v="2"/>
    <n v="40.9"/>
    <x v="0"/>
    <n v="0"/>
    <n v="9"/>
    <n v="1104"/>
    <n v="21233"/>
    <s v="AZUL"/>
    <n v="7.4"/>
    <n v="0"/>
    <n v="0"/>
    <n v="19.844999999999999"/>
    <n v="40.9"/>
    <n v="81"/>
    <n v="504.93827160493828"/>
    <x v="4"/>
    <x v="0"/>
    <n v="20"/>
    <n v="2"/>
    <n v="40.833333333333336"/>
  </r>
  <r>
    <d v="2025-05-26T09:10:00"/>
    <s v="INYECTADO"/>
    <x v="6"/>
    <x v="98"/>
    <s v="GABRIEL ORDAZ"/>
    <s v="VIRGEN"/>
    <s v="ALTA INYECCION"/>
    <s v="."/>
    <s v="TAPAS DE JARRA 5 Y 6L"/>
    <s v="TAPAS DE JARRA DE 5 Y 6L-AZUL"/>
    <n v="180"/>
    <n v="2"/>
    <n v="30"/>
    <x v="0"/>
    <n v="0"/>
    <n v="10"/>
    <n v="1104"/>
    <n v="21234"/>
    <s v="AZUL"/>
    <n v="15.1"/>
    <n v="0"/>
    <n v="0"/>
    <n v="14.58"/>
    <n v="30"/>
    <n v="81"/>
    <n v="370.37037037037038"/>
    <x v="4"/>
    <x v="0"/>
    <n v="21"/>
    <n v="2"/>
    <n v="30"/>
  </r>
  <r>
    <d v="2025-05-26T09:10:00"/>
    <s v="INYECTADO"/>
    <x v="6"/>
    <x v="98"/>
    <s v="GABRIEL ORDAZ"/>
    <s v="VIRGEN"/>
    <s v="ALTA INYECCION"/>
    <s v="."/>
    <s v="TAPAS DE JARRA 5 Y 6L"/>
    <s v="TAPAS DE JARRA DE 5 Y 6L-AMARILLO"/>
    <n v="293"/>
    <n v="3"/>
    <n v="48.9"/>
    <x v="0"/>
    <n v="0"/>
    <n v="6"/>
    <n v="1104"/>
    <n v="21234"/>
    <s v="AMARILLO"/>
    <n v="4.9000000000000004"/>
    <n v="0"/>
    <n v="0"/>
    <n v="23.733000000000001"/>
    <n v="48.9"/>
    <n v="81"/>
    <n v="603.7037037037037"/>
    <x v="4"/>
    <x v="0"/>
    <n v="21"/>
    <n v="2"/>
    <n v="48.833333333333336"/>
  </r>
  <r>
    <d v="2025-05-26T09:10:00"/>
    <s v="INYECTADO"/>
    <x v="6"/>
    <x v="99"/>
    <s v="GABRIEL ORDAZ"/>
    <s v="VIRGEN"/>
    <s v="ALTA INYECCION"/>
    <s v="."/>
    <s v="TAPAS DE JARRA 5 Y 6L"/>
    <s v="TAPAS DE JARRA DE 5 Y 6L-VERDE"/>
    <n v="302"/>
    <n v="3"/>
    <n v="49.8"/>
    <x v="0"/>
    <n v="0"/>
    <n v="10"/>
    <n v="1104"/>
    <n v="21235"/>
    <s v="VERDE"/>
    <n v="6.6"/>
    <n v="0"/>
    <n v="0"/>
    <n v="24.462"/>
    <n v="49.8"/>
    <n v="81"/>
    <n v="614.81481481481478"/>
    <x v="4"/>
    <x v="0"/>
    <n v="21"/>
    <n v="2"/>
    <n v="50.333333333333336"/>
  </r>
  <r>
    <d v="2025-05-26T09:10:00"/>
    <s v="INYECTADO"/>
    <x v="6"/>
    <x v="99"/>
    <s v="GABRIEL ORDAZ"/>
    <s v="VIRGEN"/>
    <s v="ALTA INYECCION"/>
    <s v="."/>
    <s v="TAPAS DE JARRA 5 Y 6L"/>
    <s v="TAPAS DE JARRA DE 5 Y 6L-ROJO"/>
    <n v="487"/>
    <n v="4"/>
    <n v="81.3"/>
    <x v="0"/>
    <n v="0"/>
    <n v="16"/>
    <n v="1104"/>
    <n v="21235"/>
    <s v="ROJO"/>
    <n v="0"/>
    <n v="0"/>
    <n v="0"/>
    <n v="39.447000000000003"/>
    <n v="81.3"/>
    <n v="81"/>
    <n v="1003.7037037037037"/>
    <x v="4"/>
    <x v="0"/>
    <n v="21"/>
    <n v="2"/>
    <n v="81.166666666666671"/>
  </r>
  <r>
    <d v="2025-05-26T09:10:00"/>
    <s v="INYECTADO"/>
    <x v="6"/>
    <x v="100"/>
    <s v="SAID VILLAMIZAR"/>
    <s v="VIRGEN"/>
    <s v="ALTA INYECCION"/>
    <s v="."/>
    <s v="TAPAS DE JARRA 5 Y 6L"/>
    <s v="TAPAS DE JARRA DE 5 Y 6L-ROJO"/>
    <n v="229"/>
    <n v="2"/>
    <n v="38.1"/>
    <x v="0"/>
    <n v="0"/>
    <n v="8"/>
    <n v="1104"/>
    <n v="21236"/>
    <s v="ROJO"/>
    <n v="15.5"/>
    <n v="0"/>
    <n v="0"/>
    <n v="18.548999999999999"/>
    <n v="38.1"/>
    <n v="81"/>
    <n v="470.37037037037038"/>
    <x v="4"/>
    <x v="0"/>
    <n v="21"/>
    <n v="2"/>
    <n v="38.166666666666664"/>
  </r>
  <r>
    <d v="2025-05-26T09:10:00"/>
    <s v="INYECTADO"/>
    <x v="6"/>
    <x v="100"/>
    <s v="SAID VILLAMIZAR"/>
    <s v="VIRGEN"/>
    <s v="ALTA INYECCION"/>
    <s v="."/>
    <s v="TAPAS DE JARRA 5 Y 6L"/>
    <s v="TAPAS DE JARRA DE 5 Y 6L-VERDE"/>
    <n v="410"/>
    <n v="4"/>
    <n v="68"/>
    <x v="0"/>
    <n v="0"/>
    <n v="14"/>
    <n v="1104"/>
    <n v="21236"/>
    <s v="VERDE"/>
    <n v="13.1"/>
    <n v="0"/>
    <n v="0"/>
    <n v="33.21"/>
    <n v="68"/>
    <n v="81"/>
    <n v="839.50617283950612"/>
    <x v="4"/>
    <x v="0"/>
    <n v="21"/>
    <n v="2"/>
    <n v="68.333333333333329"/>
  </r>
  <r>
    <d v="2025-05-26T09:10:00"/>
    <s v="INYECTADO"/>
    <x v="6"/>
    <x v="101"/>
    <s v="GABRIEL ORDAZ"/>
    <s v="VIRGEN"/>
    <s v="ALTA INYECCION"/>
    <s v="."/>
    <s v="TAPAS DE JARRA 5 Y 6L"/>
    <s v="TAPAS DE JARRA DE 5 Y 6L-AZUL"/>
    <n v="147"/>
    <n v="3"/>
    <n v="25.1"/>
    <x v="0"/>
    <n v="0"/>
    <n v="9"/>
    <n v="1104"/>
    <n v="21237"/>
    <s v="AZUL"/>
    <n v="5.5"/>
    <n v="0"/>
    <n v="0"/>
    <n v="11.907"/>
    <n v="25.1"/>
    <n v="81"/>
    <n v="309.87654320987656"/>
    <x v="4"/>
    <x v="0"/>
    <n v="21"/>
    <n v="2"/>
    <n v="24.5"/>
  </r>
  <r>
    <d v="2025-05-26T09:10:00"/>
    <s v="INYECTADO"/>
    <x v="6"/>
    <x v="101"/>
    <s v="GABRIEL ORDAZ"/>
    <s v="VIRGEN"/>
    <s v="ALTA INYECCION"/>
    <s v="."/>
    <s v="TAPAS DE JARRA 5 Y 6L"/>
    <s v="TAPAS DE JARRA DE 5 Y 6L-AMARILLO"/>
    <n v="265"/>
    <n v="4"/>
    <n v="46.7"/>
    <x v="0"/>
    <n v="0"/>
    <n v="5"/>
    <n v="1104"/>
    <n v="21237"/>
    <s v="AMARILLO"/>
    <n v="14.4"/>
    <n v="0"/>
    <n v="0"/>
    <n v="21.465"/>
    <n v="46.7"/>
    <n v="81"/>
    <n v="576.54320987654319"/>
    <x v="4"/>
    <x v="0"/>
    <n v="21"/>
    <n v="2"/>
    <n v="44.166666666666664"/>
  </r>
  <r>
    <d v="2025-05-26T09:10:00"/>
    <s v="INYECTADO"/>
    <x v="6"/>
    <x v="89"/>
    <s v="GABRIEL ORDAZ"/>
    <s v="VIRGEN"/>
    <s v="ALTA INYECCION"/>
    <s v="."/>
    <s v="TAPAS DE JARRA 5 Y 6L"/>
    <s v="TAPAS DE JARRA DE 5 Y 6L-AZUL"/>
    <n v="759"/>
    <n v="11"/>
    <n v="122.9"/>
    <x v="0"/>
    <n v="0"/>
    <n v="25"/>
    <n v="1104"/>
    <n v="21238"/>
    <s v="AZUL"/>
    <n v="10.5"/>
    <n v="0"/>
    <n v="0"/>
    <n v="61.478999999999999"/>
    <n v="122.9"/>
    <n v="81"/>
    <n v="1517.2839506172841"/>
    <x v="4"/>
    <x v="0"/>
    <n v="21"/>
    <n v="2"/>
    <n v="126.5"/>
  </r>
  <r>
    <d v="2025-05-26T09:10:00"/>
    <s v="INYECTADO"/>
    <x v="6"/>
    <x v="91"/>
    <s v="CRISALIDA ZAPATA"/>
    <s v="VIRGEN"/>
    <s v="ALTA INYECCION"/>
    <s v="."/>
    <s v="TAPAS DE JARRA 5 Y 6L"/>
    <s v="TAPAS DE JARRA DE 5 Y 6L-AMARILLO"/>
    <n v="80"/>
    <n v="1"/>
    <n v="12.9"/>
    <x v="0"/>
    <n v="0"/>
    <n v="5.8"/>
    <n v="1104"/>
    <n v="21239"/>
    <s v="AMARILLO"/>
    <n v="2.2000000000000002"/>
    <n v="0"/>
    <n v="0"/>
    <n v="6.48"/>
    <n v="12.9"/>
    <n v="81"/>
    <n v="159.25925925925927"/>
    <x v="4"/>
    <x v="0"/>
    <n v="22"/>
    <n v="2"/>
    <n v="13.333333333333334"/>
  </r>
  <r>
    <d v="2025-05-26T09:10:00"/>
    <s v="INYECTADO"/>
    <x v="6"/>
    <x v="106"/>
    <s v="CARLOS SULCA"/>
    <s v="VIRGEN"/>
    <s v="ALTA INYECCION"/>
    <s v="."/>
    <s v="PORTA CUBIERTOS PASTEL"/>
    <s v="PORTA CUBIERTOS PASTEL-LILA"/>
    <n v="59"/>
    <n v="1"/>
    <n v="11.4"/>
    <x v="0"/>
    <n v="0"/>
    <n v="1"/>
    <n v="1104"/>
    <n v="21240"/>
    <s v="LILA"/>
    <n v="1.7"/>
    <n v="0"/>
    <n v="0"/>
    <n v="7.4930000000000003"/>
    <n v="11.4"/>
    <n v="127"/>
    <n v="89.763779527559052"/>
    <x v="4"/>
    <x v="0"/>
    <n v="22"/>
    <n v="6"/>
    <n v="29.5"/>
  </r>
  <r>
    <d v="2025-05-26T09:10:00"/>
    <s v="INYECTADO"/>
    <x v="6"/>
    <x v="106"/>
    <s v="CARLOS SULCA"/>
    <s v="VIRGEN"/>
    <s v="ALTA INYECCION"/>
    <s v="."/>
    <s v="PORTA CUBIERTOS PASTEL"/>
    <s v="PORTA CUBIERTOS PASTEL-ROSADO"/>
    <n v="55"/>
    <n v="1"/>
    <n v="10.6"/>
    <x v="0"/>
    <n v="0"/>
    <n v="1"/>
    <n v="1104"/>
    <n v="21240"/>
    <s v="ROSADO"/>
    <n v="2.2000000000000002"/>
    <n v="0"/>
    <n v="0"/>
    <n v="6.9850000000000003"/>
    <n v="10.6"/>
    <n v="127"/>
    <n v="83.464566929133852"/>
    <x v="4"/>
    <x v="0"/>
    <n v="22"/>
    <n v="6"/>
    <n v="27.5"/>
  </r>
  <r>
    <d v="2025-05-26T09:10:00"/>
    <s v="INYECTADO"/>
    <x v="6"/>
    <x v="106"/>
    <s v="CARLOS SULCA"/>
    <s v="VIRGEN"/>
    <s v="ALTA INYECCION"/>
    <s v="."/>
    <s v="PORTA CUBIERTOS PASTEL"/>
    <s v="PORTA CUBIERTOS PASTEL-MELON"/>
    <n v="57"/>
    <n v="1"/>
    <n v="11"/>
    <x v="0"/>
    <n v="0"/>
    <n v="1"/>
    <n v="1104"/>
    <n v="21240"/>
    <s v="MELON"/>
    <n v="1.2"/>
    <n v="0"/>
    <n v="0"/>
    <n v="7.2389999999999999"/>
    <n v="11"/>
    <n v="127"/>
    <n v="86.614173228346459"/>
    <x v="4"/>
    <x v="0"/>
    <n v="22"/>
    <n v="6"/>
    <n v="28.5"/>
  </r>
  <r>
    <d v="2025-05-26T09:10:00"/>
    <s v="INYECTADO"/>
    <x v="6"/>
    <x v="106"/>
    <s v="CARLOS SULCA"/>
    <s v="VIRGEN"/>
    <s v="ALTA INYECCION"/>
    <s v="."/>
    <s v="PORTA CUBIERTOS PASTEL"/>
    <s v="PORTA CUBIERTOS PASTEL-CREMA"/>
    <n v="52"/>
    <n v="1"/>
    <n v="10"/>
    <x v="0"/>
    <n v="0"/>
    <n v="1"/>
    <n v="1104"/>
    <n v="21240"/>
    <s v="CREMA"/>
    <n v="1.9"/>
    <n v="0"/>
    <n v="0"/>
    <n v="6.6040000000000001"/>
    <n v="10"/>
    <n v="127"/>
    <n v="78.740157480314963"/>
    <x v="4"/>
    <x v="0"/>
    <n v="22"/>
    <n v="6"/>
    <n v="26"/>
  </r>
  <r>
    <d v="2025-05-26T09:10:00"/>
    <s v="INYECTADO"/>
    <x v="6"/>
    <x v="106"/>
    <s v="CARLOS SULCA"/>
    <s v="VIRGEN"/>
    <s v="ALTA INYECCION"/>
    <s v="."/>
    <s v="PORTA CUBIERTOS PASTEL"/>
    <s v="PORTA CUBIERTOS PASTEL-CELESTE"/>
    <n v="56"/>
    <n v="1"/>
    <n v="10.9"/>
    <x v="0"/>
    <n v="0"/>
    <n v="1"/>
    <n v="1104"/>
    <n v="21240"/>
    <s v="CELESTE"/>
    <n v="2.7"/>
    <n v="0"/>
    <n v="0"/>
    <n v="7.1120000000000001"/>
    <n v="10.9"/>
    <n v="127"/>
    <n v="85.826771653543304"/>
    <x v="4"/>
    <x v="0"/>
    <n v="22"/>
    <n v="6"/>
    <n v="28"/>
  </r>
  <r>
    <d v="2025-05-26T09:10:00"/>
    <s v="INYECTADO"/>
    <x v="6"/>
    <x v="106"/>
    <s v="CARLOS SULCA"/>
    <s v="VIRGEN"/>
    <s v="ALTA INYECCION"/>
    <s v="."/>
    <s v="PORTA CUBIERTOS PASTEL"/>
    <s v="PORTA CUBIERTOS PASTEL-TURQUESA"/>
    <n v="47"/>
    <n v="1"/>
    <n v="9.1"/>
    <x v="0"/>
    <n v="0"/>
    <n v="1"/>
    <n v="1104"/>
    <n v="21240"/>
    <s v="TURQUESA"/>
    <n v="4"/>
    <n v="0"/>
    <n v="0"/>
    <n v="5.9690000000000003"/>
    <n v="9.1"/>
    <n v="127"/>
    <n v="71.653543307086608"/>
    <x v="4"/>
    <x v="0"/>
    <n v="22"/>
    <n v="6"/>
    <n v="23.5"/>
  </r>
  <r>
    <d v="2025-05-26T09:10:00"/>
    <s v="INYECTADO"/>
    <x v="2"/>
    <x v="104"/>
    <s v="ISABEL LINARIZ "/>
    <s v="SEGUNDA"/>
    <s v="."/>
    <s v="MIXTO"/>
    <s v="COLADOR HOGAR SOLIDO #4"/>
    <s v="COLADOR HOGAR SOLIDO#4-AZURE"/>
    <n v="123"/>
    <n v="2"/>
    <n v="14.5"/>
    <x v="0"/>
    <n v="0"/>
    <n v="1"/>
    <n v="1092"/>
    <n v="21081"/>
    <s v="CELESTE"/>
    <n v="0.6"/>
    <n v="0"/>
    <n v="0"/>
    <n v="13.53"/>
    <n v="14.5"/>
    <n v="110"/>
    <n v="131.81818181818181"/>
    <x v="4"/>
    <x v="0"/>
    <n v="18"/>
    <n v="1"/>
    <n v="10.25"/>
  </r>
  <r>
    <d v="2025-05-26T09:10:00"/>
    <s v="INYECTADO"/>
    <x v="2"/>
    <x v="104"/>
    <s v="ISABEL LINARIZ "/>
    <s v="SEGUNDA"/>
    <s v="."/>
    <s v="MIXTO"/>
    <s v="COLADOR HOGAR SOLIDO #4"/>
    <s v="COLADOR HOGAR SOLIDO#4-AZUL"/>
    <n v="397"/>
    <n v="3"/>
    <n v="46.1"/>
    <x v="0"/>
    <n v="0"/>
    <n v="3"/>
    <n v="1092"/>
    <n v="21081"/>
    <s v="AZUL"/>
    <n v="4.7"/>
    <n v="0"/>
    <n v="0"/>
    <n v="43.67"/>
    <n v="46.1"/>
    <n v="110"/>
    <n v="419.09090909090907"/>
    <x v="4"/>
    <x v="0"/>
    <n v="18"/>
    <n v="1"/>
    <n v="33.083333333333336"/>
  </r>
  <r>
    <d v="2025-05-26T09:10:00"/>
    <s v="INYECTADO"/>
    <x v="2"/>
    <x v="104"/>
    <s v="ISABEL LINARIZ "/>
    <s v="SEGUNDA"/>
    <s v="."/>
    <s v="MIXTO"/>
    <s v="COLADOR HOGAR SOLIDO #4"/>
    <s v="COLADOR HOGAR SOLIDO#4-VERDE"/>
    <n v="841"/>
    <n v="8"/>
    <n v="98.5"/>
    <x v="0"/>
    <n v="0"/>
    <n v="6"/>
    <n v="1092"/>
    <n v="21081"/>
    <s v="VERDE"/>
    <n v="0.9"/>
    <n v="0"/>
    <n v="0"/>
    <n v="92.51"/>
    <n v="98.5"/>
    <n v="110"/>
    <n v="895.4545454545455"/>
    <x v="4"/>
    <x v="0"/>
    <n v="18"/>
    <n v="1"/>
    <n v="70.083333333333329"/>
  </r>
  <r>
    <d v="2025-05-26T09:10:00"/>
    <s v="INYECTADO"/>
    <x v="2"/>
    <x v="104"/>
    <s v="JUAN MANUEL PEREZ"/>
    <s v="SEGUNDA"/>
    <s v="."/>
    <s v="MIXTO"/>
    <s v="COLADOR HOGAR SOLIDO #4"/>
    <s v="COLADOR HOGAR SOLIDO#4-VERDE"/>
    <n v="780"/>
    <n v="7"/>
    <n v="91.3"/>
    <x v="1"/>
    <n v="0"/>
    <n v="6"/>
    <n v="1092"/>
    <n v="21082"/>
    <s v="VERDE"/>
    <n v="5.2"/>
    <n v="0"/>
    <n v="0"/>
    <n v="85.8"/>
    <n v="91.3"/>
    <n v="110"/>
    <n v="830"/>
    <x v="4"/>
    <x v="0"/>
    <n v="18"/>
    <n v="1"/>
    <n v="65"/>
  </r>
  <r>
    <d v="2025-05-26T09:10:00"/>
    <s v="INYECTADO"/>
    <x v="2"/>
    <x v="104"/>
    <s v="JUAN MANUEL PEREZ"/>
    <s v="VIRGEN"/>
    <s v="PP CLARIFICADO"/>
    <s v="."/>
    <s v="COLADOR HOGAR SOLIDO #4"/>
    <s v="COLADOR HOGAR SOLIDO#4-CREMA"/>
    <n v="547"/>
    <n v="5"/>
    <n v="64.099999999999994"/>
    <x v="1"/>
    <n v="0"/>
    <n v="4"/>
    <n v="1092"/>
    <n v="21082"/>
    <s v="CREMA"/>
    <n v="0"/>
    <n v="0"/>
    <n v="0"/>
    <n v="60.17"/>
    <n v="64.099999999999994"/>
    <n v="110"/>
    <n v="582.72727272727263"/>
    <x v="4"/>
    <x v="0"/>
    <n v="18"/>
    <n v="1"/>
    <n v="45.583333333333336"/>
  </r>
  <r>
    <d v="2025-05-26T09:10:00"/>
    <s v="INYECTADO"/>
    <x v="2"/>
    <x v="81"/>
    <s v="JOSDER GONZALEZ"/>
    <s v="VIRGEN"/>
    <s v="PP CLARIFICADO"/>
    <s v="."/>
    <s v="COLADOR HOGAR SOLIDO #4"/>
    <s v="COLADOR HOGAR SOLIDO#4-CREMA"/>
    <n v="94"/>
    <n v="1"/>
    <n v="11"/>
    <x v="0"/>
    <n v="0"/>
    <n v="5"/>
    <n v="1092"/>
    <n v="21083"/>
    <s v="CREMA"/>
    <n v="2.7"/>
    <n v="0"/>
    <n v="0"/>
    <n v="10.34"/>
    <n v="11"/>
    <n v="110"/>
    <n v="100"/>
    <x v="4"/>
    <x v="0"/>
    <n v="18"/>
    <n v="1"/>
    <n v="7.833333333333333"/>
  </r>
  <r>
    <d v="2025-05-26T09:10:00"/>
    <s v="INYECTADO"/>
    <x v="2"/>
    <x v="81"/>
    <s v="JOSDER GONZALEZ"/>
    <s v="SEGUNDA"/>
    <s v="."/>
    <s v="MIXTO"/>
    <s v="COLADOR HOGAR SOLIDO #4"/>
    <s v="COLADOR HOGAR SOLIDO#4-AZURE"/>
    <n v="726"/>
    <n v="7"/>
    <n v="85"/>
    <x v="0"/>
    <n v="0"/>
    <n v="5"/>
    <n v="1092"/>
    <n v="21083"/>
    <s v="CELESTE"/>
    <n v="1"/>
    <n v="0"/>
    <n v="0"/>
    <n v="79.86"/>
    <n v="85"/>
    <n v="110"/>
    <n v="772.72727272727275"/>
    <x v="4"/>
    <x v="0"/>
    <n v="18"/>
    <n v="1"/>
    <n v="60.5"/>
  </r>
  <r>
    <d v="2025-05-26T09:10:00"/>
    <s v="INYECTADO"/>
    <x v="2"/>
    <x v="82"/>
    <s v="GABRIEL ORDAZ"/>
    <s v="SEGUNDA"/>
    <s v="."/>
    <s v="MIXTO"/>
    <s v="COLADOR HOGAR SOLIDO #4"/>
    <s v="COLADOR HOGAR SOLIDO#4-AZURE"/>
    <n v="323"/>
    <n v="3"/>
    <n v="37.9"/>
    <x v="0"/>
    <n v="0"/>
    <n v="3"/>
    <n v="1092"/>
    <n v="21084"/>
    <s v="CELESTE"/>
    <n v="3"/>
    <n v="0"/>
    <n v="0"/>
    <n v="35.53"/>
    <n v="37.9"/>
    <n v="110"/>
    <n v="344.54545454545456"/>
    <x v="4"/>
    <x v="0"/>
    <n v="19"/>
    <n v="1"/>
    <n v="26.916666666666668"/>
  </r>
  <r>
    <d v="2025-05-26T09:10:00"/>
    <s v="INYECTADO"/>
    <x v="2"/>
    <x v="82"/>
    <s v="GABRIEL ORDAZ"/>
    <s v="SEGUNDA"/>
    <s v="."/>
    <s v="MIXTO"/>
    <s v="COLADOR HOGAR SOLIDO #4"/>
    <s v="COLADOR HOGAR SOLIDO#4-ROJO"/>
    <n v="671"/>
    <n v="6"/>
    <n v="78.599999999999994"/>
    <x v="0"/>
    <n v="0"/>
    <n v="4"/>
    <n v="1092"/>
    <n v="21084"/>
    <s v="ROJO"/>
    <n v="6.1"/>
    <n v="0"/>
    <n v="0"/>
    <n v="73.81"/>
    <n v="78.599999999999994"/>
    <n v="110"/>
    <n v="714.5454545454545"/>
    <x v="4"/>
    <x v="0"/>
    <n v="19"/>
    <n v="1"/>
    <n v="55.916666666666664"/>
  </r>
  <r>
    <d v="2025-05-26T09:10:00"/>
    <s v="INYECTADO"/>
    <x v="2"/>
    <x v="83"/>
    <s v="LUIS RENGIFO"/>
    <s v="SEGUNDA"/>
    <s v="."/>
    <s v="MIXTO"/>
    <s v="COLADOR HOGAR SOLIDO #4"/>
    <s v="COLADOR HOGAR SOLIDO#4-ROJO"/>
    <n v="345"/>
    <n v="3"/>
    <n v="40.4"/>
    <x v="0"/>
    <n v="0"/>
    <n v="3"/>
    <n v="1092"/>
    <n v="21085"/>
    <s v="ROJO"/>
    <n v="6.9"/>
    <n v="0"/>
    <n v="0"/>
    <n v="37.950000000000003"/>
    <n v="40.4"/>
    <n v="110"/>
    <n v="367.27272727272725"/>
    <x v="4"/>
    <x v="0"/>
    <n v="19"/>
    <n v="1"/>
    <n v="28.75"/>
  </r>
  <r>
    <d v="2025-05-26T09:10:00"/>
    <s v="INYECTADO"/>
    <x v="2"/>
    <x v="83"/>
    <s v="LUIS RENGIFO"/>
    <s v="SEGUNDA"/>
    <s v="."/>
    <s v="MIXTO"/>
    <s v="COLADOR HOGAR SOLIDO #4"/>
    <s v="COLADOR HOGAR SOLIDO#4-AZUL"/>
    <n v="841"/>
    <n v="8"/>
    <n v="98.5"/>
    <x v="0"/>
    <n v="0"/>
    <n v="6"/>
    <n v="1092"/>
    <n v="21085"/>
    <s v="AZUL"/>
    <n v="1.6"/>
    <n v="0"/>
    <n v="0"/>
    <n v="92.51"/>
    <n v="98.5"/>
    <n v="110"/>
    <n v="895.4545454545455"/>
    <x v="4"/>
    <x v="0"/>
    <n v="19"/>
    <n v="1"/>
    <n v="70.083333333333329"/>
  </r>
  <r>
    <d v="2025-05-26T09:10:00"/>
    <s v="INYECTADO"/>
    <x v="2"/>
    <x v="93"/>
    <s v="BRAYAN PINEDO"/>
    <s v="SEGUNDA"/>
    <s v="."/>
    <s v="MIXTO"/>
    <s v="COLADOR HOGAR SOLIDO #4"/>
    <s v="COLADOR HOGAR SOLIDO#4-AZUL"/>
    <n v="349"/>
    <n v="3"/>
    <n v="40.5"/>
    <x v="0"/>
    <n v="0"/>
    <n v="3"/>
    <n v="1092"/>
    <n v="21086"/>
    <s v="AZUL"/>
    <n v="2.9"/>
    <n v="0"/>
    <n v="0"/>
    <n v="38.39"/>
    <n v="40.5"/>
    <n v="110"/>
    <n v="368.18181818181819"/>
    <x v="4"/>
    <x v="0"/>
    <n v="19"/>
    <n v="1"/>
    <n v="29.083333333333332"/>
  </r>
  <r>
    <d v="2025-05-26T09:10:00"/>
    <s v="INYECTADO"/>
    <x v="2"/>
    <x v="93"/>
    <s v="BRAYAN PINEDO"/>
    <s v="SEGUNDA"/>
    <s v="."/>
    <s v="MIXTO"/>
    <s v="COLADOR HOGAR SOLIDO #4"/>
    <s v="COLADOR HOGAR SOLIDO#4-ANARANJADO"/>
    <n v="905"/>
    <n v="7"/>
    <n v="106"/>
    <x v="0"/>
    <n v="0"/>
    <n v="6"/>
    <n v="1092"/>
    <n v="21086"/>
    <s v="ANARANJADO"/>
    <n v="2.2999999999999998"/>
    <n v="0"/>
    <n v="0"/>
    <n v="99.55"/>
    <n v="106"/>
    <n v="110"/>
    <n v="963.63636363636363"/>
    <x v="4"/>
    <x v="0"/>
    <n v="19"/>
    <n v="1"/>
    <n v="75.416666666666671"/>
  </r>
  <r>
    <d v="2025-05-26T09:10:00"/>
    <s v="INYECTADO"/>
    <x v="2"/>
    <x v="94"/>
    <s v="ISABEL LINARIZ "/>
    <s v="SEGUNDA"/>
    <s v="."/>
    <s v="MIXTO"/>
    <s v="COLADOR HOGAR SOLIDO #4"/>
    <s v="COLADOR HOGAR SOLIDO#4-ANARANJADO"/>
    <n v="223"/>
    <n v="2"/>
    <n v="25.9"/>
    <x v="0"/>
    <n v="0"/>
    <n v="2"/>
    <n v="1092"/>
    <n v="21087"/>
    <s v="ANARANJADO"/>
    <n v="4.5"/>
    <n v="0"/>
    <n v="0"/>
    <n v="24.53"/>
    <n v="25.9"/>
    <n v="110"/>
    <n v="235.45454545454547"/>
    <x v="4"/>
    <x v="0"/>
    <n v="19"/>
    <n v="1"/>
    <n v="18.583333333333332"/>
  </r>
  <r>
    <d v="2025-05-26T09:10:00"/>
    <s v="INYECTADO"/>
    <x v="2"/>
    <x v="94"/>
    <s v="ISABEL LINARIZ "/>
    <s v="SEGUNDA"/>
    <s v="."/>
    <s v="MIXTO"/>
    <s v="COLADOR HOGAR SOLIDO #4"/>
    <s v="COLADOR HOGAR SOLIDO#4-ROJO"/>
    <n v="181"/>
    <n v="2"/>
    <n v="21"/>
    <x v="0"/>
    <n v="0"/>
    <n v="2"/>
    <n v="1092"/>
    <n v="21087"/>
    <s v="ROJO"/>
    <n v="6.8"/>
    <n v="0"/>
    <n v="0"/>
    <n v="19.91"/>
    <n v="21"/>
    <n v="110"/>
    <n v="190.90909090909091"/>
    <x v="4"/>
    <x v="0"/>
    <n v="19"/>
    <n v="1"/>
    <n v="15.083333333333334"/>
  </r>
  <r>
    <d v="2025-05-26T09:10:00"/>
    <s v="INYECTADO"/>
    <x v="2"/>
    <x v="94"/>
    <s v="ISABEL LINARIZ "/>
    <s v="SEGUNDA"/>
    <s v="."/>
    <s v="MIXTO"/>
    <s v="COLADOR HOGAR SOLIDO #4"/>
    <s v="COLADOR HOGAR SOLIDO#4-AZURE"/>
    <n v="181"/>
    <n v="2"/>
    <n v="21.1"/>
    <x v="0"/>
    <n v="0"/>
    <n v="1"/>
    <n v="1092"/>
    <n v="21087"/>
    <s v="CELESTE"/>
    <n v="3.4"/>
    <n v="0"/>
    <n v="0"/>
    <n v="19.91"/>
    <n v="21.1"/>
    <n v="110"/>
    <n v="191.81818181818181"/>
    <x v="4"/>
    <x v="0"/>
    <n v="19"/>
    <n v="1"/>
    <n v="15.083333333333334"/>
  </r>
  <r>
    <d v="2025-05-26T09:10:00"/>
    <s v="INYECTADO"/>
    <x v="2"/>
    <x v="94"/>
    <s v="ISABEL LINARIZ "/>
    <s v="VIRGEN"/>
    <s v="PP CLARIFICADO"/>
    <s v="."/>
    <s v="COLADOR HOGAR SOLIDO #4"/>
    <s v="COLADOR HOGAR SOLIDO#4-CREMA"/>
    <n v="424"/>
    <n v="4"/>
    <n v="49.2"/>
    <x v="0"/>
    <n v="0"/>
    <n v="3"/>
    <n v="1092"/>
    <n v="21087"/>
    <s v="CREMA"/>
    <n v="1"/>
    <n v="0"/>
    <n v="0"/>
    <n v="46.64"/>
    <n v="49.2"/>
    <n v="110"/>
    <n v="447.27272727272725"/>
    <x v="4"/>
    <x v="0"/>
    <n v="19"/>
    <n v="1"/>
    <n v="35.333333333333336"/>
  </r>
  <r>
    <d v="2025-05-26T09:10:00"/>
    <s v="INYECTADO"/>
    <x v="2"/>
    <x v="96"/>
    <s v="BRAYAN PINEDO"/>
    <s v="VIRGEN"/>
    <s v="PP CLARIFICADO"/>
    <s v="."/>
    <s v="COLADOR HOGAR SOLIDO #4"/>
    <s v="COLADOR HOGAR SOLIDO#4-CREMA"/>
    <n v="259"/>
    <n v="2"/>
    <n v="30.1"/>
    <x v="0"/>
    <n v="0"/>
    <n v="3"/>
    <n v="1092"/>
    <n v="21088"/>
    <s v="CREMA"/>
    <n v="0"/>
    <n v="0"/>
    <n v="0"/>
    <n v="28.49"/>
    <n v="30.1"/>
    <n v="110"/>
    <n v="273.63636363636363"/>
    <x v="4"/>
    <x v="0"/>
    <n v="19"/>
    <n v="1"/>
    <n v="21.583333333333332"/>
  </r>
  <r>
    <d v="2025-05-26T09:10:00"/>
    <s v="INYECTADO"/>
    <x v="2"/>
    <x v="105"/>
    <s v="LUIS PINEDO"/>
    <s v="VIRGEN"/>
    <s v="PP CLARIFICADO"/>
    <s v="."/>
    <s v="COLADOR HOGAR SOLIDO #4"/>
    <s v="COLADOR HOGAR SOLIDO#4-CREMA"/>
    <n v="511"/>
    <n v="5"/>
    <n v="59.3"/>
    <x v="0"/>
    <n v="0"/>
    <n v="4"/>
    <n v="1092"/>
    <n v="21089"/>
    <s v="CREMA"/>
    <n v="3.1"/>
    <n v="0"/>
    <n v="0"/>
    <n v="56.21"/>
    <n v="59.3"/>
    <n v="110"/>
    <n v="539.09090909090912"/>
    <x v="4"/>
    <x v="0"/>
    <n v="20"/>
    <n v="1"/>
    <n v="42.583333333333336"/>
  </r>
  <r>
    <d v="2025-05-26T09:10:00"/>
    <s v="INYECTADO"/>
    <x v="2"/>
    <x v="105"/>
    <s v="LUIS PINEDO"/>
    <s v="SEGUNDA"/>
    <s v="."/>
    <s v="MIXTO"/>
    <s v="COLADOR HOGAR SOLIDO #4"/>
    <s v="COLADOR HOGAR SOLIDO#4-AZURE"/>
    <n v="412"/>
    <n v="4"/>
    <n v="48.3"/>
    <x v="0"/>
    <n v="0"/>
    <n v="3"/>
    <n v="1092"/>
    <n v="21089"/>
    <s v="CELESTE"/>
    <n v="6.4"/>
    <n v="0"/>
    <n v="0"/>
    <n v="45.32"/>
    <n v="48.3"/>
    <n v="110"/>
    <n v="439.09090909090907"/>
    <x v="4"/>
    <x v="0"/>
    <n v="20"/>
    <n v="1"/>
    <n v="34.333333333333336"/>
  </r>
  <r>
    <d v="2025-05-26T09:10:00"/>
    <s v="INYECTADO"/>
    <x v="2"/>
    <x v="105"/>
    <s v="LUIS PINEDO"/>
    <s v="SEGUNDA"/>
    <s v="."/>
    <s v="MIXTO"/>
    <s v="COLADOR HOGAR SOLIDO #4"/>
    <s v="COLADOR HOGAR SOLIDO#4-ANARANJADO"/>
    <n v="97"/>
    <n v="1"/>
    <n v="11.3"/>
    <x v="0"/>
    <n v="0"/>
    <n v="1"/>
    <n v="1082"/>
    <n v="21089"/>
    <s v="ANARNAJADO"/>
    <n v="4.7"/>
    <n v="0"/>
    <n v="0"/>
    <n v="10.67"/>
    <n v="11.3"/>
    <n v="110"/>
    <n v="102.72727272727273"/>
    <x v="4"/>
    <x v="0"/>
    <n v="20"/>
    <n v="1"/>
    <n v="8.0833333333333339"/>
  </r>
  <r>
    <d v="2025-05-26T09:10:00"/>
    <s v="INYECTADO"/>
    <x v="2"/>
    <x v="105"/>
    <s v="LUIS PINEDO"/>
    <s v="SEGUNDA"/>
    <s v="."/>
    <s v="MIXTO"/>
    <s v="COLADOR HOGAR SOLIDO #4"/>
    <s v="COLADOR HOGAR SOLIDO#4-VERDE"/>
    <n v="148"/>
    <n v="2"/>
    <n v="17.399999999999999"/>
    <x v="0"/>
    <n v="0"/>
    <n v="1"/>
    <n v="1082"/>
    <n v="21089"/>
    <s v="VERDE"/>
    <n v="0"/>
    <n v="0"/>
    <n v="0"/>
    <n v="16.28"/>
    <n v="17.399999999999999"/>
    <n v="110"/>
    <n v="158.18181818181819"/>
    <x v="4"/>
    <x v="0"/>
    <n v="20"/>
    <n v="1"/>
    <n v="12.333333333333334"/>
  </r>
  <r>
    <d v="2025-05-26T09:10:00"/>
    <s v="INYECTADO"/>
    <x v="2"/>
    <x v="105"/>
    <s v="JUAN MANUEL PEREZ"/>
    <s v="SEGUNDA"/>
    <s v="."/>
    <s v="MIXTO"/>
    <s v="COLADOR HOGAR SOLIDO #4"/>
    <s v="COLADOR HOGAR SOLIDO#4-VERDE"/>
    <n v="282"/>
    <n v="2"/>
    <n v="33.1"/>
    <x v="1"/>
    <n v="0"/>
    <n v="2"/>
    <n v="1082"/>
    <n v="21090"/>
    <s v="VERDE"/>
    <n v="2.1"/>
    <n v="0"/>
    <n v="0"/>
    <n v="31.02"/>
    <n v="33.1"/>
    <n v="110"/>
    <n v="300.90909090909093"/>
    <x v="4"/>
    <x v="0"/>
    <n v="20"/>
    <n v="1"/>
    <n v="23.5"/>
  </r>
  <r>
    <d v="2025-05-26T09:10:00"/>
    <s v="INYECTADO"/>
    <x v="2"/>
    <x v="105"/>
    <s v="JUAN MANUEL PEREZ"/>
    <s v="SEGUNDA"/>
    <s v="."/>
    <s v="MIXTO"/>
    <s v="COLADOR HOGAR SOLIDO #4"/>
    <s v="COLADOR HOGAR SOLIDO#4-AZUL"/>
    <n v="401"/>
    <n v="4"/>
    <n v="47"/>
    <x v="1"/>
    <n v="0"/>
    <n v="3"/>
    <n v="1082"/>
    <n v="21090"/>
    <s v="AZUL"/>
    <n v="1"/>
    <n v="0"/>
    <n v="0"/>
    <n v="44.11"/>
    <n v="47"/>
    <n v="110"/>
    <n v="427.27272727272725"/>
    <x v="4"/>
    <x v="0"/>
    <n v="20"/>
    <n v="1"/>
    <n v="33.416666666666664"/>
  </r>
  <r>
    <d v="2025-05-26T09:10:00"/>
    <s v="INYECTADO"/>
    <x v="2"/>
    <x v="99"/>
    <s v="GABRIEL REQUENA"/>
    <s v="VIRGEN"/>
    <s v="PP CLARIFICADO"/>
    <s v="."/>
    <s v="TAPER REDONDO 2500ML"/>
    <s v="TAPER REDONDO 2500ML-TRANSPARENTE"/>
    <n v="1275"/>
    <n v="10"/>
    <n v="82.9"/>
    <x v="0"/>
    <n v="0"/>
    <n v="11"/>
    <n v="1113"/>
    <n v="21091"/>
    <s v="TRANSPARENTE"/>
    <n v="3.5"/>
    <n v="0"/>
    <n v="0"/>
    <n v="89.25"/>
    <n v="82.9"/>
    <n v="70"/>
    <n v="1184.2857142857142"/>
    <x v="4"/>
    <x v="0"/>
    <n v="21"/>
    <n v="1"/>
    <n v="106.25"/>
  </r>
  <r>
    <d v="2025-05-26T09:10:00"/>
    <s v="INYECTADO"/>
    <x v="2"/>
    <x v="99"/>
    <s v="JOSDER GONZALEZ"/>
    <s v="VIRGEN"/>
    <s v="PP CLARIFICADO"/>
    <s v="."/>
    <s v="TAPER REDONDO 2500ML"/>
    <s v="TAPER REDONDO 2500ML-TRANSPARENTE"/>
    <n v="1077"/>
    <n v="11"/>
    <n v="72.7"/>
    <x v="1"/>
    <n v="0"/>
    <n v="9"/>
    <n v="1113"/>
    <n v="21092"/>
    <s v="TRANSPARENTE"/>
    <n v="1.8"/>
    <n v="0"/>
    <n v="0"/>
    <n v="75.39"/>
    <n v="72.7"/>
    <n v="70"/>
    <n v="1038.5714285714287"/>
    <x v="4"/>
    <x v="0"/>
    <n v="21"/>
    <n v="1"/>
    <n v="89.75"/>
  </r>
  <r>
    <d v="2025-05-26T09:10:00"/>
    <s v="INYECTADO"/>
    <x v="2"/>
    <x v="100"/>
    <s v="LUIS PINEDO"/>
    <s v="VIRGEN"/>
    <s v="PP CLARIFICADO"/>
    <s v="."/>
    <s v="TAPER REDONDO 2500ML"/>
    <s v="TAPER REDONDO 2500ML-TRANSPARENTE"/>
    <n v="1242"/>
    <n v="11"/>
    <n v="79.5"/>
    <x v="0"/>
    <n v="0"/>
    <n v="10"/>
    <n v="1113"/>
    <n v="21093"/>
    <s v="TRANSPARENTE"/>
    <n v="1.9"/>
    <n v="0"/>
    <n v="0"/>
    <n v="86.94"/>
    <n v="79.5"/>
    <n v="70"/>
    <n v="1135.7142857142858"/>
    <x v="4"/>
    <x v="0"/>
    <n v="21"/>
    <n v="1"/>
    <n v="103.5"/>
  </r>
  <r>
    <d v="2025-05-26T09:10:00"/>
    <s v="INYECTADO"/>
    <x v="2"/>
    <x v="101"/>
    <s v="ISABEL LINARIZ "/>
    <s v="VIRGEN"/>
    <s v="PP CLARIFICADO"/>
    <s v="."/>
    <s v="TAPER REDONDO 2500ML"/>
    <s v="TAPER REDONDO 2500ML-TRANSPARENTE"/>
    <n v="1010"/>
    <n v="11"/>
    <n v="66.7"/>
    <x v="0"/>
    <n v="0"/>
    <n v="10"/>
    <n v="1113"/>
    <n v="21094"/>
    <s v="TRANSPARENTE"/>
    <n v="2.7"/>
    <n v="0"/>
    <n v="0"/>
    <n v="70.7"/>
    <n v="66.7"/>
    <n v="70"/>
    <n v="952.85714285714289"/>
    <x v="4"/>
    <x v="0"/>
    <n v="21"/>
    <n v="1"/>
    <n v="84.166666666666671"/>
  </r>
  <r>
    <d v="2025-05-26T09:10:00"/>
    <s v="INYECTADO"/>
    <x v="2"/>
    <x v="89"/>
    <s v="SAID VILLAMIZAR"/>
    <s v="VIRGEN"/>
    <s v="PP CLARIFICADO"/>
    <s v="."/>
    <s v="TAPER REDONDO 2500ML"/>
    <s v="TAPER REDONDO 2500ML-TRANSPARENTE"/>
    <n v="1115"/>
    <n v="11"/>
    <n v="73.599999999999994"/>
    <x v="0"/>
    <n v="0"/>
    <n v="9"/>
    <n v="1113"/>
    <n v="21095"/>
    <s v="TRANSPARENTE"/>
    <n v="0"/>
    <n v="0"/>
    <n v="0"/>
    <n v="78.05"/>
    <n v="73.599999999999994"/>
    <n v="70"/>
    <n v="1051.4285714285713"/>
    <x v="4"/>
    <x v="0"/>
    <n v="21"/>
    <n v="1"/>
    <n v="92.916666666666671"/>
  </r>
  <r>
    <d v="2025-05-26T09:10:00"/>
    <s v="INYECTADO"/>
    <x v="2"/>
    <x v="90"/>
    <s v="GABRIEL REQUENA"/>
    <s v="VIRGEN"/>
    <s v="PP CLARIFICADO"/>
    <s v="."/>
    <s v="TAPER REDONDO 2500ML"/>
    <s v="TAPER REDONDO 2500ML-TRANSPARENTE"/>
    <n v="1122"/>
    <n v="11"/>
    <n v="74.099999999999994"/>
    <x v="0"/>
    <n v="0"/>
    <n v="9"/>
    <n v="1113"/>
    <n v="21096"/>
    <s v="TRANSPARENTE"/>
    <n v="0"/>
    <n v="0"/>
    <n v="0"/>
    <n v="78.540000000000006"/>
    <n v="74.099999999999994"/>
    <n v="70"/>
    <n v="1058.5714285714287"/>
    <x v="4"/>
    <x v="0"/>
    <n v="21"/>
    <n v="1"/>
    <n v="93.5"/>
  </r>
  <r>
    <d v="2025-05-26T09:10:00"/>
    <s v="INYECTADO"/>
    <x v="2"/>
    <x v="91"/>
    <s v="ISABEL LINARIZ "/>
    <s v="VIRGEN"/>
    <s v="PP CLARIFICADO"/>
    <s v="."/>
    <s v="TAPER REDONDO 2500ML"/>
    <s v="TAPER REDONDO 2500ML-TRANSPARENTE"/>
    <n v="1086"/>
    <n v="10"/>
    <n v="70.599999999999994"/>
    <x v="0"/>
    <n v="0"/>
    <n v="9"/>
    <n v="1113"/>
    <n v="21097"/>
    <s v="TRANSPARENTE"/>
    <n v="1.6"/>
    <n v="0"/>
    <n v="0"/>
    <n v="76.02"/>
    <n v="70.599999999999994"/>
    <n v="70"/>
    <n v="1008.5714285714286"/>
    <x v="4"/>
    <x v="0"/>
    <n v="22"/>
    <n v="1"/>
    <n v="90.5"/>
  </r>
  <r>
    <d v="2025-05-26T09:10:00"/>
    <s v="INYECTADO"/>
    <x v="2"/>
    <x v="92"/>
    <s v="LUIS PINEDO"/>
    <s v="VIRGEN"/>
    <s v="PP CLARIFICADO"/>
    <s v="."/>
    <s v="TAPER REDONDO 2500ML"/>
    <s v="TAPER REDONDO 2500ML-TRANSPARENTE"/>
    <n v="1233"/>
    <n v="11"/>
    <n v="80.2"/>
    <x v="0"/>
    <n v="0"/>
    <n v="11"/>
    <n v="1113"/>
    <n v="21098"/>
    <s v="TRANSPARENTE"/>
    <n v="0"/>
    <n v="0"/>
    <n v="0"/>
    <n v="86.31"/>
    <n v="80.2"/>
    <n v="70"/>
    <n v="1145.7142857142858"/>
    <x v="4"/>
    <x v="0"/>
    <n v="22"/>
    <n v="1"/>
    <n v="102.75"/>
  </r>
  <r>
    <d v="2025-05-26T09:10:00"/>
    <s v="INYECTADO"/>
    <x v="2"/>
    <x v="102"/>
    <s v="SAID VILLAMIZAR"/>
    <s v="VIRGEN"/>
    <s v="PP CLARIFICADO"/>
    <s v="."/>
    <s v="TAPER REDONDO 2500ML"/>
    <s v="TAPER REDONDO 2500ML-TRANSPARENTE"/>
    <n v="1184"/>
    <n v="10"/>
    <n v="73"/>
    <x v="0"/>
    <n v="0"/>
    <n v="10"/>
    <n v="1113"/>
    <n v="21099"/>
    <s v="TRANSPARENTE"/>
    <n v="1.7"/>
    <n v="0"/>
    <n v="0"/>
    <n v="82.88"/>
    <n v="73"/>
    <n v="70"/>
    <n v="1042.8571428571429"/>
    <x v="4"/>
    <x v="0"/>
    <n v="22"/>
    <n v="1"/>
    <n v="98.666666666666671"/>
  </r>
  <r>
    <d v="2025-05-26T09:10:00"/>
    <s v="INYECTADO"/>
    <x v="2"/>
    <x v="102"/>
    <s v="JOSDER GONZALEZ"/>
    <s v="VIRGEN"/>
    <s v="PP CLARIFICADO"/>
    <s v="."/>
    <s v="TAPER REDONDO 2500ML"/>
    <s v="TAPER REDONDO 2500ML-TRANSPARENTE"/>
    <n v="1015"/>
    <n v="9"/>
    <n v="66.900000000000006"/>
    <x v="1"/>
    <n v="0"/>
    <n v="10"/>
    <n v="1113"/>
    <n v="21901"/>
    <s v="TRANSPARENTE"/>
    <n v="0.7"/>
    <n v="0"/>
    <n v="0"/>
    <n v="71.05"/>
    <n v="66.900000000000006"/>
    <n v="70"/>
    <n v="955.71428571428567"/>
    <x v="4"/>
    <x v="0"/>
    <n v="22"/>
    <n v="1"/>
    <n v="84.583333333333329"/>
  </r>
  <r>
    <d v="2025-05-26T09:10:00"/>
    <s v="INYECTADO"/>
    <x v="2"/>
    <x v="103"/>
    <s v="LUIS PINEDO"/>
    <s v="VIRGEN"/>
    <s v="PP CLARIFICADO"/>
    <s v="."/>
    <s v="TAPER REDONDO 2500ML"/>
    <s v="TAPER REDONDO 2500ML-TRANSPARENTE"/>
    <n v="1300"/>
    <n v="11"/>
    <n v="85.8"/>
    <x v="0"/>
    <n v="0"/>
    <n v="11"/>
    <n v="1113"/>
    <n v="21902"/>
    <s v="TRANSPARENTE"/>
    <n v="0"/>
    <n v="0"/>
    <n v="0"/>
    <n v="91"/>
    <n v="85.8"/>
    <n v="70"/>
    <n v="1225.7142857142858"/>
    <x v="4"/>
    <x v="0"/>
    <n v="22"/>
    <n v="1"/>
    <n v="108.33333333333333"/>
  </r>
  <r>
    <d v="2025-05-26T09:10:00"/>
    <s v="INYECTADO"/>
    <x v="2"/>
    <x v="103"/>
    <s v="JUAN MANUEL PEREZ"/>
    <s v="VIRGEN"/>
    <s v="PP CLARIFICADO"/>
    <s v="."/>
    <s v="TAPER REDONDO 2500ML"/>
    <s v="TAPER REDONDO 2500ML-TRANSPARENTE"/>
    <n v="768"/>
    <n v="7"/>
    <n v="51.2"/>
    <x v="1"/>
    <n v="0"/>
    <n v="7"/>
    <n v="1113"/>
    <n v="21903"/>
    <s v="TRANSPARENTE"/>
    <n v="0"/>
    <n v="0"/>
    <n v="0"/>
    <n v="53.76"/>
    <n v="51.2"/>
    <n v="70"/>
    <n v="731.42857142857144"/>
    <x v="4"/>
    <x v="0"/>
    <n v="22"/>
    <n v="1"/>
    <n v="64"/>
  </r>
  <r>
    <d v="2025-05-26T09:10:00"/>
    <s v="INYECTADO"/>
    <x v="2"/>
    <x v="95"/>
    <s v="LUIS RENGIFO"/>
    <s v="VIRGEN"/>
    <s v="PP CLARIFICADO"/>
    <s v="."/>
    <s v="REPOSTERO REAL 6 KG"/>
    <s v="REPOSTERO 6KG -TRANSPARENTE"/>
    <n v="540"/>
    <n v="5"/>
    <n v="115"/>
    <x v="0"/>
    <n v="0"/>
    <n v="9"/>
    <n v="1122"/>
    <n v="21904"/>
    <s v="TRANSPARENTE"/>
    <n v="1.5"/>
    <n v="0"/>
    <n v="0"/>
    <n v="113.94"/>
    <n v="115"/>
    <n v="211"/>
    <n v="545.02369668246445"/>
    <x v="4"/>
    <x v="0"/>
    <n v="22"/>
    <n v="1"/>
    <n v="45"/>
  </r>
  <r>
    <d v="2025-05-26T09:10:00"/>
    <s v="INYECTADO"/>
    <x v="2"/>
    <x v="106"/>
    <s v="BRAYAN PINEDO"/>
    <s v="VIRGEN"/>
    <s v="PP CLARIFICADO"/>
    <s v="."/>
    <s v="REPOSTERO REAL 6 KG"/>
    <s v="REPOSTERO 6KG -TRANSPARENTE"/>
    <n v="1015"/>
    <n v="11"/>
    <n v="213.2"/>
    <x v="0"/>
    <n v="0"/>
    <n v="16"/>
    <n v="1122"/>
    <n v="21905"/>
    <s v="TRANSPARENTE"/>
    <n v="0"/>
    <n v="0"/>
    <n v="0"/>
    <n v="214.16499999999999"/>
    <n v="213.2"/>
    <n v="211"/>
    <n v="1010.4265402843602"/>
    <x v="4"/>
    <x v="0"/>
    <n v="22"/>
    <n v="1"/>
    <n v="84.583333333333329"/>
  </r>
  <r>
    <d v="2025-05-26T09:10:00"/>
    <s v="INYECTADO"/>
    <x v="3"/>
    <x v="104"/>
    <s v="LUIS RENGIFO"/>
    <s v="SEGUNDA"/>
    <s v="."/>
    <s v="MIXTO"/>
    <s v="COLADOR HOGAR SOLIDO #3"/>
    <s v="COLADOR HOGAR SOLIDO#3-VERDE"/>
    <n v="346"/>
    <n v="3"/>
    <n v="32.9"/>
    <x v="0"/>
    <n v="0"/>
    <n v="3"/>
    <n v="1093"/>
    <n v="18775"/>
    <s v="VERDE"/>
    <n v="7.1"/>
    <n v="0"/>
    <n v="0"/>
    <n v="32.177999999999997"/>
    <n v="32.9"/>
    <n v="93"/>
    <n v="353.76344086021504"/>
    <x v="4"/>
    <x v="0"/>
    <n v="18"/>
    <n v="1"/>
    <n v="28.833333333333332"/>
  </r>
  <r>
    <d v="2025-05-26T09:10:00"/>
    <s v="INYECTADO"/>
    <x v="3"/>
    <x v="104"/>
    <s v="GABRIEL REQUENA"/>
    <s v="SEGUNDA"/>
    <s v="."/>
    <s v="MIXTO"/>
    <s v="COLADOR HOGAR SOLIDO #3"/>
    <s v="COLADOR HOGAR SOLIDO#3-VERDE"/>
    <n v="72"/>
    <n v="1"/>
    <n v="7.1"/>
    <x v="0"/>
    <n v="0"/>
    <n v="2"/>
    <n v="1093"/>
    <n v="18776"/>
    <s v="VERDE"/>
    <n v="1.8"/>
    <n v="0"/>
    <n v="0"/>
    <n v="6.6959999999999997"/>
    <n v="7.1"/>
    <n v="93"/>
    <n v="76.344086021505376"/>
    <x v="4"/>
    <x v="0"/>
    <n v="18"/>
    <n v="1"/>
    <n v="6"/>
  </r>
  <r>
    <d v="2025-05-26T09:10:00"/>
    <s v="INYECTADO"/>
    <x v="3"/>
    <x v="104"/>
    <s v="GABRIEL REQUENA"/>
    <s v="VIRGEN"/>
    <s v="PP CLARIFICADO"/>
    <s v="."/>
    <s v="COLADOR HOGAR SOLIDO #3"/>
    <s v="COLADOR HOGAR SOLIDO#3-CREMA"/>
    <n v="498"/>
    <n v="4"/>
    <n v="48.9"/>
    <x v="0"/>
    <n v="0"/>
    <n v="5"/>
    <n v="1093"/>
    <n v="18776"/>
    <s v="CREMA"/>
    <n v="3.4"/>
    <n v="0"/>
    <n v="0"/>
    <n v="46.314"/>
    <n v="48.9"/>
    <n v="93"/>
    <n v="525.80645161290317"/>
    <x v="4"/>
    <x v="0"/>
    <n v="18"/>
    <n v="1"/>
    <n v="41.5"/>
  </r>
  <r>
    <d v="2025-05-26T09:10:00"/>
    <s v="INYECTADO"/>
    <x v="3"/>
    <x v="104"/>
    <s v="GABRIEL REQUENA"/>
    <s v="SEGUNDA"/>
    <s v="."/>
    <s v="MIXTO"/>
    <s v="COLADOR HOGAR SOLIDO #3"/>
    <s v="COLADOR HOGAR SOLIDO#3-AZURE"/>
    <n v="509"/>
    <n v="5"/>
    <n v="49.9"/>
    <x v="0"/>
    <n v="0"/>
    <n v="2"/>
    <n v="1093"/>
    <n v="18776"/>
    <s v="CELESTE"/>
    <n v="5.8"/>
    <n v="0"/>
    <n v="0"/>
    <n v="47.337000000000003"/>
    <n v="49.9"/>
    <n v="93"/>
    <n v="536.55913978494618"/>
    <x v="4"/>
    <x v="0"/>
    <n v="18"/>
    <n v="1"/>
    <n v="42.416666666666664"/>
  </r>
  <r>
    <d v="2025-05-26T09:10:00"/>
    <s v="INYECTADO"/>
    <x v="3"/>
    <x v="81"/>
    <s v="CRISALIDA ZAPATA"/>
    <s v="SEGUNDA"/>
    <s v="."/>
    <s v="MIXTO"/>
    <s v="COLADOR HOGAR SOLIDO #3"/>
    <s v="COLADOR HOGAR SOLIDO#3-AZUL"/>
    <n v="494"/>
    <n v="4"/>
    <n v="48.5"/>
    <x v="0"/>
    <n v="0"/>
    <n v="3"/>
    <n v="1093"/>
    <n v="18777"/>
    <s v="AZUL"/>
    <n v="0"/>
    <n v="0"/>
    <n v="0"/>
    <n v="45.942"/>
    <n v="48.5"/>
    <n v="93"/>
    <n v="521.50537634408602"/>
    <x v="4"/>
    <x v="0"/>
    <n v="18"/>
    <n v="1"/>
    <n v="41.166666666666664"/>
  </r>
  <r>
    <d v="2025-05-26T09:10:00"/>
    <s v="INYECTADO"/>
    <x v="3"/>
    <x v="81"/>
    <s v="CRISALIDA ZAPATA"/>
    <s v="SEGUNDA"/>
    <s v="."/>
    <s v="MIXTO"/>
    <s v="COLADOR HOGAR SOLIDO #3"/>
    <s v="COLADOR HOGAR SOLIDO#3-ANARANJADO"/>
    <n v="106"/>
    <n v="1"/>
    <n v="10.3"/>
    <x v="0"/>
    <n v="0"/>
    <n v="2"/>
    <n v="1093"/>
    <n v="18777"/>
    <s v="ANARANJADO"/>
    <n v="0"/>
    <n v="0"/>
    <n v="0"/>
    <n v="9.8580000000000005"/>
    <n v="10.3"/>
    <n v="93"/>
    <n v="110.75268817204301"/>
    <x v="4"/>
    <x v="0"/>
    <n v="18"/>
    <n v="1"/>
    <n v="8.8333333333333339"/>
  </r>
  <r>
    <d v="2025-05-26T09:10:00"/>
    <s v="INYECTADO"/>
    <x v="3"/>
    <x v="82"/>
    <s v="CRISALIDA ZAPATA"/>
    <s v="SEGUNDA"/>
    <s v="."/>
    <s v="MIXTO"/>
    <s v="COLADOR HOGAR SOLIDO #3"/>
    <s v="COLADOR HOGAR SOLIDO#3-ROJO"/>
    <n v="451"/>
    <n v="4"/>
    <n v="42.4"/>
    <x v="0"/>
    <n v="0"/>
    <n v="4"/>
    <n v="1093"/>
    <n v="18778"/>
    <s v="ROJO"/>
    <n v="15.3"/>
    <n v="0"/>
    <n v="0"/>
    <n v="41.942999999999998"/>
    <n v="42.4"/>
    <n v="93"/>
    <n v="455.91397849462368"/>
    <x v="4"/>
    <x v="0"/>
    <n v="19"/>
    <n v="1"/>
    <n v="37.583333333333336"/>
  </r>
  <r>
    <d v="2025-05-26T09:10:00"/>
    <s v="INYECTADO"/>
    <x v="3"/>
    <x v="82"/>
    <s v="CRISALIDA ZAPATA"/>
    <s v="SEGUNDA"/>
    <s v="."/>
    <s v="MIXTO"/>
    <s v="COLADOR HOGAR SOLIDO #3"/>
    <s v="COLADOR HOGAR SOLIDO#3-ANARANJADO"/>
    <n v="395"/>
    <n v="3"/>
    <n v="37.200000000000003"/>
    <x v="0"/>
    <n v="0"/>
    <n v="3"/>
    <n v="1093"/>
    <n v="18778"/>
    <s v="ANARANJADO"/>
    <n v="2.2999999999999998"/>
    <n v="0"/>
    <n v="0"/>
    <n v="36.734999999999999"/>
    <n v="37.200000000000003"/>
    <n v="93"/>
    <n v="400"/>
    <x v="4"/>
    <x v="0"/>
    <n v="19"/>
    <n v="1"/>
    <n v="32.916666666666664"/>
  </r>
  <r>
    <d v="2025-05-26T09:10:00"/>
    <s v="INYECTADO"/>
    <x v="3"/>
    <x v="83"/>
    <s v="GABRIEL ORDAZ"/>
    <s v="SEGUNDA"/>
    <s v="."/>
    <s v="MIXTO"/>
    <s v="COLADOR HOGAR SOLIDO #3"/>
    <s v="COLADOR HOGAR SOLIDO#3-ANARANJADO"/>
    <n v="913"/>
    <n v="9"/>
    <n v="85"/>
    <x v="0"/>
    <n v="0"/>
    <n v="8"/>
    <n v="1093"/>
    <n v="18779"/>
    <s v="ANARANJADO"/>
    <n v="1.5"/>
    <n v="0"/>
    <n v="0"/>
    <n v="84.909000000000006"/>
    <n v="85"/>
    <n v="93"/>
    <n v="913.97849462365593"/>
    <x v="4"/>
    <x v="0"/>
    <n v="19"/>
    <n v="1"/>
    <n v="76.083333333333329"/>
  </r>
  <r>
    <d v="2025-05-26T09:10:00"/>
    <s v="INYECTADO"/>
    <x v="3"/>
    <x v="93"/>
    <s v="LUIS PINEDO"/>
    <s v="SEGUNDA"/>
    <s v="."/>
    <s v="MIXTO"/>
    <s v="COLADOR HOGAR SOLIDO #3"/>
    <s v="COLADOR HOGAR SOLIDO#3-ANARANJADO"/>
    <n v="360"/>
    <n v="3"/>
    <n v="35.299999999999997"/>
    <x v="0"/>
    <n v="0"/>
    <n v="4"/>
    <n v="1093"/>
    <n v="18779"/>
    <s v="ANARANJADO"/>
    <n v="1.6"/>
    <n v="0"/>
    <n v="0"/>
    <n v="33.479999999999997"/>
    <n v="35.299999999999997"/>
    <n v="93"/>
    <n v="379.56989247311827"/>
    <x v="4"/>
    <x v="0"/>
    <n v="19"/>
    <n v="1"/>
    <n v="30"/>
  </r>
  <r>
    <d v="2025-05-26T09:10:00"/>
    <s v="INYECTADO"/>
    <x v="3"/>
    <x v="93"/>
    <s v="LUIS PINEDO"/>
    <s v="SEGUNDA"/>
    <s v="."/>
    <s v="MIXTO"/>
    <s v="COLADOR HOGAR SOLIDO #3"/>
    <s v="COLADOR HOGAR SOLIDO#3-ROJO"/>
    <n v="642"/>
    <n v="6"/>
    <n v="60.4"/>
    <x v="0"/>
    <n v="0"/>
    <n v="5"/>
    <n v="1093"/>
    <n v="18780"/>
    <s v="ROJO"/>
    <n v="10.5"/>
    <n v="0"/>
    <n v="0"/>
    <n v="59.706000000000003"/>
    <n v="60.4"/>
    <n v="93"/>
    <n v="649.46236559139788"/>
    <x v="4"/>
    <x v="0"/>
    <n v="19"/>
    <n v="1"/>
    <n v="53.5"/>
  </r>
  <r>
    <d v="2025-05-26T09:10:00"/>
    <s v="INYECTADO"/>
    <x v="3"/>
    <x v="93"/>
    <s v="GABRIEL REQUENA"/>
    <s v="SEGUNDA"/>
    <s v="."/>
    <s v="MIXTO"/>
    <s v="COLADOR HOGAR SOLIDO #3"/>
    <s v="COLADOR HOGAR SOLIDO#3-VERDE"/>
    <n v="42"/>
    <n v="1"/>
    <n v="4"/>
    <x v="0"/>
    <n v="0"/>
    <n v="1"/>
    <n v="1093"/>
    <n v="18780"/>
    <s v="VERDE"/>
    <n v="11.9"/>
    <n v="0"/>
    <n v="0"/>
    <n v="3.9060000000000001"/>
    <n v="4"/>
    <n v="93"/>
    <n v="43.01075268817204"/>
    <x v="4"/>
    <x v="0"/>
    <n v="19"/>
    <n v="1"/>
    <n v="3.5"/>
  </r>
  <r>
    <d v="2025-05-26T09:10:00"/>
    <s v="INYECTADO"/>
    <x v="3"/>
    <x v="93"/>
    <s v="GABRIEL REQUENA"/>
    <s v="SEGUNDA"/>
    <s v="."/>
    <s v="MIXTO"/>
    <s v="COLADOR HOGAR SOLIDO #3"/>
    <s v="COLADOR HOGAR SOLIDO#3-ROJO"/>
    <n v="723"/>
    <n v="7"/>
    <n v="69.3"/>
    <x v="0"/>
    <n v="0"/>
    <n v="7"/>
    <n v="1093"/>
    <n v="18780"/>
    <s v="ROJO"/>
    <n v="8.5"/>
    <n v="0"/>
    <n v="0"/>
    <n v="67.239000000000004"/>
    <n v="69.3"/>
    <n v="93"/>
    <n v="745.16129032258061"/>
    <x v="4"/>
    <x v="0"/>
    <n v="19"/>
    <n v="1"/>
    <n v="60.25"/>
  </r>
  <r>
    <d v="2025-05-26T09:10:00"/>
    <s v="INYECTADO"/>
    <x v="3"/>
    <x v="93"/>
    <s v="GABRIEL REQUENA"/>
    <s v="SEGUNDA"/>
    <s v="."/>
    <s v="MIXTO"/>
    <s v="COLADOR HOGAR SOLIDO #3"/>
    <s v="COLADOR HOGAR SOLIDO#3-AZURE"/>
    <n v="366"/>
    <n v="3"/>
    <n v="35.1"/>
    <x v="0"/>
    <n v="0"/>
    <n v="2"/>
    <n v="1093"/>
    <n v="18780"/>
    <s v="CELESTE"/>
    <n v="12.6"/>
    <n v="0"/>
    <n v="0"/>
    <n v="34.037999999999997"/>
    <n v="35.1"/>
    <n v="93"/>
    <n v="377.41935483870969"/>
    <x v="4"/>
    <x v="0"/>
    <n v="19"/>
    <n v="1"/>
    <n v="30.5"/>
  </r>
  <r>
    <d v="2025-05-26T09:10:00"/>
    <s v="INYECTADO"/>
    <x v="3"/>
    <x v="94"/>
    <s v="BRAYAN PINEDO"/>
    <s v="SEGUNDA"/>
    <s v="."/>
    <s v="MIXTO"/>
    <s v="COLADOR HOGAR SOLIDO #3"/>
    <s v="COLADOR HOGAR SOLIDO#3-AZURE"/>
    <n v="774"/>
    <n v="7"/>
    <n v="73.599999999999994"/>
    <x v="0"/>
    <n v="0"/>
    <n v="6"/>
    <n v="1093"/>
    <n v="18780"/>
    <s v="CELESTE"/>
    <n v="16.100000000000001"/>
    <n v="0"/>
    <n v="0"/>
    <n v="71.981999999999999"/>
    <n v="73.599999999999994"/>
    <n v="93"/>
    <n v="791.39784946236557"/>
    <x v="4"/>
    <x v="0"/>
    <n v="19"/>
    <n v="1"/>
    <n v="64.5"/>
  </r>
  <r>
    <d v="2025-05-26T09:10:00"/>
    <s v="INYECTADO"/>
    <x v="3"/>
    <x v="94"/>
    <s v="BRAYAN PINEDO"/>
    <s v="SEGUNDA"/>
    <s v="."/>
    <s v="MIXTO"/>
    <s v="COLADOR HOGAR SOLIDO #3"/>
    <s v="COLADOR HOGAR SOLIDO#3-VERDE"/>
    <n v="487"/>
    <n v="4"/>
    <n v="46.3"/>
    <x v="0"/>
    <n v="0"/>
    <n v="5"/>
    <n v="1093"/>
    <n v="18780"/>
    <s v="VERDE"/>
    <n v="11.1"/>
    <n v="0"/>
    <n v="0"/>
    <n v="45.290999999999997"/>
    <n v="46.3"/>
    <n v="93"/>
    <n v="497.84946236559142"/>
    <x v="4"/>
    <x v="0"/>
    <n v="19"/>
    <n v="1"/>
    <n v="40.583333333333336"/>
  </r>
  <r>
    <d v="2025-05-26T09:10:00"/>
    <s v="INYECTADO"/>
    <x v="3"/>
    <x v="94"/>
    <s v="JUAN MANUEL PEREZ"/>
    <s v="SEGUNDA"/>
    <s v="."/>
    <s v="MIXTO"/>
    <s v="COLADOR HOGAR SOLIDO #3"/>
    <s v="COLADOR HOGAR SOLIDO#3-VERDE"/>
    <n v="501"/>
    <n v="5"/>
    <n v="47.1"/>
    <x v="1"/>
    <n v="0"/>
    <n v="4"/>
    <n v="1093"/>
    <n v="18780"/>
    <s v="VERDE"/>
    <n v="3.1"/>
    <n v="0"/>
    <n v="0"/>
    <n v="46.593000000000004"/>
    <n v="47.1"/>
    <n v="93"/>
    <n v="506.45161290322579"/>
    <x v="4"/>
    <x v="0"/>
    <n v="19"/>
    <n v="1"/>
    <n v="41.75"/>
  </r>
  <r>
    <d v="2025-05-26T09:10:00"/>
    <s v="INYECTADO"/>
    <x v="3"/>
    <x v="94"/>
    <s v="JUAN MANUEL PEREZ"/>
    <s v="VIRGEN"/>
    <s v="PP CLARIFICADO"/>
    <s v="."/>
    <s v="COLADOR HOGAR SOLIDO #3"/>
    <s v="COLADOR HOGAR SOLIDO#3-CREMA"/>
    <n v="874"/>
    <n v="8"/>
    <n v="85.7"/>
    <x v="1"/>
    <n v="0"/>
    <n v="6"/>
    <n v="1093"/>
    <n v="18780"/>
    <s v="CREMA"/>
    <n v="2.1"/>
    <n v="0"/>
    <n v="0"/>
    <n v="81.281999999999996"/>
    <n v="85.7"/>
    <n v="93"/>
    <n v="921.50537634408602"/>
    <x v="4"/>
    <x v="0"/>
    <n v="19"/>
    <n v="1"/>
    <n v="72.833333333333329"/>
  </r>
  <r>
    <d v="2025-05-26T09:10:00"/>
    <s v="INYECTADO"/>
    <x v="3"/>
    <x v="96"/>
    <s v="BRAYAN PINEDO"/>
    <s v="VIRGEN"/>
    <s v="PP CLARIFICADO"/>
    <s v="."/>
    <s v="COLADOR HOGAR SOLIDO #3"/>
    <s v="COLADOR HOGAR SOLIDO#3-CREMA"/>
    <n v="395"/>
    <n v="3"/>
    <n v="38.799999999999997"/>
    <x v="0"/>
    <n v="0"/>
    <n v="3"/>
    <n v="1093"/>
    <n v="18785"/>
    <s v="CREMA"/>
    <n v="4.8"/>
    <n v="0"/>
    <n v="0"/>
    <n v="36.734999999999999"/>
    <n v="38.799999999999997"/>
    <n v="93"/>
    <n v="417.2043010752688"/>
    <x v="4"/>
    <x v="0"/>
    <n v="19"/>
    <n v="1"/>
    <n v="32.916666666666664"/>
  </r>
  <r>
    <d v="2025-05-26T09:10:00"/>
    <s v="INYECTADO"/>
    <x v="3"/>
    <x v="96"/>
    <s v="BRAYAN PINEDO"/>
    <s v="SEGUNDA"/>
    <s v="."/>
    <s v="MIXTO"/>
    <s v="COLADOR HOGAR SOLIDO #3"/>
    <s v="COLADOR HOGAR SOLIDO#3-AZUL"/>
    <n v="766"/>
    <n v="7"/>
    <n v="73.599999999999994"/>
    <x v="0"/>
    <n v="0"/>
    <n v="6"/>
    <n v="1093"/>
    <n v="18785"/>
    <s v="AZUL"/>
    <n v="1.7"/>
    <n v="0"/>
    <n v="0"/>
    <n v="71.238"/>
    <n v="73.599999999999994"/>
    <n v="93"/>
    <n v="791.39784946236557"/>
    <x v="4"/>
    <x v="0"/>
    <n v="19"/>
    <n v="1"/>
    <n v="63.833333333333336"/>
  </r>
  <r>
    <d v="2025-05-26T09:10:00"/>
    <s v="INYECTADO"/>
    <x v="3"/>
    <x v="97"/>
    <s v="GABRIEL REQUENA"/>
    <s v="SEGUNDA"/>
    <s v="."/>
    <s v="MIXTO"/>
    <s v="COLADOR HOGAR SOLIDO #3"/>
    <s v="COLADOR HOGAR SOLIDO#3-AZUL"/>
    <n v="421"/>
    <n v="4"/>
    <n v="40.799999999999997"/>
    <x v="0"/>
    <n v="0"/>
    <n v="4"/>
    <n v="1093"/>
    <n v="20793"/>
    <s v="AZUL"/>
    <n v="0"/>
    <n v="0"/>
    <n v="0"/>
    <n v="39.152999999999999"/>
    <n v="40.799999999999997"/>
    <n v="93"/>
    <n v="438.70967741935482"/>
    <x v="4"/>
    <x v="0"/>
    <n v="19"/>
    <n v="1"/>
    <n v="35.083333333333336"/>
  </r>
  <r>
    <d v="2025-05-26T09:10:00"/>
    <s v="INYECTADO"/>
    <x v="3"/>
    <x v="105"/>
    <s v="LUIS RENGIFO"/>
    <s v="SEGUNDA"/>
    <s v="."/>
    <s v="MIXTO"/>
    <s v="COLADOR HOGAR SOLIDO #3"/>
    <s v="COLADOR HOGAR SOLIDO#3-AZUL"/>
    <n v="122"/>
    <n v="1"/>
    <n v="11.6"/>
    <x v="0"/>
    <n v="0"/>
    <n v="2"/>
    <n v="1093"/>
    <n v="18786"/>
    <s v="AZUL"/>
    <n v="0"/>
    <n v="0"/>
    <n v="0"/>
    <n v="11.346"/>
    <n v="11.6"/>
    <n v="93"/>
    <n v="124.73118279569893"/>
    <x v="4"/>
    <x v="0"/>
    <n v="20"/>
    <n v="1"/>
    <n v="10.166666666666666"/>
  </r>
  <r>
    <d v="2025-05-26T09:10:00"/>
    <s v="INYECTADO"/>
    <x v="3"/>
    <x v="105"/>
    <s v="LUIS RENGIFO"/>
    <s v="SEGUNDA"/>
    <s v="."/>
    <s v="MIXTO"/>
    <s v="COLADOR HOGAR SOLIDO #3"/>
    <s v="COLADOR HOGAR SOLIDO#3-VERDE"/>
    <n v="705"/>
    <n v="7"/>
    <n v="67"/>
    <x v="0"/>
    <n v="0"/>
    <n v="6"/>
    <n v="1093"/>
    <n v="18786"/>
    <s v="VERDE"/>
    <n v="0"/>
    <n v="0"/>
    <n v="0"/>
    <n v="65.564999999999998"/>
    <n v="67"/>
    <n v="93"/>
    <n v="720.43010752688167"/>
    <x v="4"/>
    <x v="0"/>
    <n v="20"/>
    <n v="1"/>
    <n v="58.75"/>
  </r>
  <r>
    <d v="2025-05-26T09:10:00"/>
    <s v="INYECTADO"/>
    <x v="3"/>
    <x v="105"/>
    <s v="LUIS RENGIFO"/>
    <s v="SEGUNDA"/>
    <s v="."/>
    <s v="MIXTO"/>
    <s v="COLADOR HOGAR SOLIDO #3"/>
    <s v="COLADOR HOGAR SOLIDO#3-ANARANJADO"/>
    <n v="136"/>
    <n v="1"/>
    <n v="12.8"/>
    <x v="0"/>
    <n v="0"/>
    <n v="1"/>
    <n v="1093"/>
    <n v="18786"/>
    <s v="ANARANJADO"/>
    <n v="0"/>
    <n v="0"/>
    <n v="0"/>
    <n v="12.648"/>
    <n v="12.8"/>
    <n v="93"/>
    <n v="137.63440860215053"/>
    <x v="4"/>
    <x v="0"/>
    <n v="20"/>
    <n v="1"/>
    <n v="11.333333333333334"/>
  </r>
  <r>
    <d v="2025-05-26T09:10:00"/>
    <s v="INYECTADO"/>
    <x v="3"/>
    <x v="105"/>
    <s v="JUAN MANUEL PEREZ"/>
    <s v="SEGUNDA"/>
    <s v="."/>
    <s v="MIXTO"/>
    <s v="COLADOR HOGAR SOLIDO #3"/>
    <s v="COLADOR HOGAR SOLIDO#3-AZURE"/>
    <n v="215"/>
    <n v="2"/>
    <n v="20.3"/>
    <x v="1"/>
    <n v="0"/>
    <n v="2"/>
    <n v="1093"/>
    <n v="18787"/>
    <s v="CELESTE"/>
    <n v="29.9"/>
    <n v="0"/>
    <n v="0"/>
    <n v="19.995000000000001"/>
    <n v="20.3"/>
    <n v="93"/>
    <n v="218.27956989247312"/>
    <x v="4"/>
    <x v="0"/>
    <n v="20"/>
    <n v="1"/>
    <n v="17.916666666666668"/>
  </r>
  <r>
    <d v="2025-05-26T09:10:00"/>
    <s v="INYECTADO"/>
    <x v="3"/>
    <x v="86"/>
    <s v="LUIS RENGIFO"/>
    <s v="VIRGEN"/>
    <s v="PP CLARIFICADO"/>
    <s v="."/>
    <s v="TAPA ORGANIZADOR DE 15KG"/>
    <s v="TAPA ORGANIZADOR DE 15KG-AMARILLO"/>
    <n v="240"/>
    <n v="2"/>
    <n v="42.2"/>
    <x v="0"/>
    <n v="0"/>
    <n v="4"/>
    <n v="1112"/>
    <n v="19381"/>
    <s v="AMARILLO"/>
    <n v="6.1"/>
    <n v="0"/>
    <n v="0"/>
    <n v="45.6"/>
    <n v="42.2"/>
    <n v="190"/>
    <n v="222.10526315789474"/>
    <x v="4"/>
    <x v="0"/>
    <n v="20"/>
    <n v="1"/>
    <n v="20"/>
  </r>
  <r>
    <d v="2025-05-26T09:10:00"/>
    <s v="INYECTADO"/>
    <x v="3"/>
    <x v="86"/>
    <s v="JOSDER GONZALEZ"/>
    <s v="VIRGEN"/>
    <s v="PP CLARIFICADO"/>
    <s v="."/>
    <s v="TAPA ORGANIZADOR DE 15KG"/>
    <s v="TAPA ORGANIZADOR DE 15KG-AMARILLO"/>
    <n v="136"/>
    <n v="1"/>
    <n v="24"/>
    <x v="1"/>
    <n v="0"/>
    <n v="3"/>
    <n v="1112"/>
    <n v="19382"/>
    <s v="AMARILLO"/>
    <n v="0"/>
    <n v="0"/>
    <n v="0"/>
    <n v="25.84"/>
    <n v="24"/>
    <n v="190"/>
    <n v="126.31578947368421"/>
    <x v="4"/>
    <x v="0"/>
    <n v="20"/>
    <n v="1"/>
    <n v="11.333333333333334"/>
  </r>
  <r>
    <d v="2025-05-26T09:10:00"/>
    <s v="INYECTADO"/>
    <x v="3"/>
    <x v="86"/>
    <s v="JOSDER GONZALEZ"/>
    <s v="VIRGEN"/>
    <s v="PP CLARIFICADO"/>
    <s v="."/>
    <s v="TAPA ORGANIZADOR DE 15KG"/>
    <s v="TAPA ORGANIZADOR DE 15KG-TURQUESA"/>
    <n v="275"/>
    <n v="2"/>
    <n v="48.6"/>
    <x v="1"/>
    <n v="0"/>
    <n v="5"/>
    <n v="1112"/>
    <n v="19382"/>
    <s v="TURQUESA"/>
    <n v="0"/>
    <n v="0"/>
    <n v="0"/>
    <n v="52.25"/>
    <n v="48.6"/>
    <n v="190"/>
    <n v="255.78947368421052"/>
    <x v="4"/>
    <x v="0"/>
    <n v="20"/>
    <n v="1"/>
    <n v="22.916666666666668"/>
  </r>
  <r>
    <d v="2025-05-26T09:10:00"/>
    <s v="INYECTADO"/>
    <x v="3"/>
    <x v="98"/>
    <s v="LUIS PINEDO"/>
    <s v="VIRGEN"/>
    <s v="PP CLARIFICADO"/>
    <s v="."/>
    <s v="TAPA ORGANIZADOR DE 15KG"/>
    <s v="TAPA ORGANIZADOR DE 15KG-TURQUESA"/>
    <n v="118"/>
    <n v="2"/>
    <n v="20.399999999999999"/>
    <x v="0"/>
    <n v="0"/>
    <n v="3"/>
    <n v="1112"/>
    <n v="19383"/>
    <s v="TURQUESA"/>
    <n v="0"/>
    <n v="0"/>
    <n v="0"/>
    <n v="22.42"/>
    <n v="20.399999999999999"/>
    <n v="190"/>
    <n v="107.36842105263158"/>
    <x v="4"/>
    <x v="0"/>
    <n v="21"/>
    <n v="1"/>
    <n v="9.8333333333333339"/>
  </r>
  <r>
    <d v="2025-05-26T09:10:00"/>
    <s v="INYECTADO"/>
    <x v="3"/>
    <x v="98"/>
    <s v="LUIS PINEDO"/>
    <s v="VIRGEN"/>
    <s v="PP CLARIFICADO"/>
    <s v="."/>
    <s v="TAPA ORGANIZADOR DE 15KG"/>
    <s v="TAPA ORGANIZADOR DE 15KG-FUCSIA"/>
    <n v="149"/>
    <n v="2"/>
    <n v="29.3"/>
    <x v="0"/>
    <n v="0"/>
    <n v="3"/>
    <n v="1112"/>
    <n v="19383"/>
    <s v="FUCSIA"/>
    <n v="2"/>
    <n v="0"/>
    <n v="0"/>
    <n v="28.31"/>
    <n v="29.3"/>
    <n v="190"/>
    <n v="154.21052631578948"/>
    <x v="4"/>
    <x v="0"/>
    <n v="21"/>
    <n v="1"/>
    <n v="12.416666666666666"/>
  </r>
  <r>
    <d v="2025-05-26T09:10:00"/>
    <s v="INYECTADO"/>
    <x v="3"/>
    <x v="98"/>
    <s v="LUIS PINEDO"/>
    <s v="VIRGEN"/>
    <s v="PP CLARIFICADO"/>
    <s v="."/>
    <s v="TAPA ORGANIZADOR DE 15KG"/>
    <s v="TAPA ORGANIZADOR DE 15KG-VERDE"/>
    <n v="26"/>
    <n v="1"/>
    <n v="4.7"/>
    <x v="0"/>
    <n v="0"/>
    <n v="1"/>
    <n v="1112"/>
    <n v="19383"/>
    <s v="VERDE"/>
    <n v="13"/>
    <n v="0"/>
    <n v="0"/>
    <n v="4.9400000000000004"/>
    <n v="4.7"/>
    <n v="190"/>
    <n v="24.736842105263158"/>
    <x v="4"/>
    <x v="0"/>
    <n v="21"/>
    <n v="1"/>
    <n v="2.1666666666666665"/>
  </r>
  <r>
    <d v="2025-05-26T09:10:00"/>
    <s v="INYECTADO"/>
    <x v="3"/>
    <x v="99"/>
    <s v="LUIS RENGIFO"/>
    <s v="VIRGEN"/>
    <s v="PP CLARIFICADO"/>
    <s v="."/>
    <s v="TAPA ORGANIZADOR DE 15KG"/>
    <s v="TAPA ORGANIZADOR DE 15KG-ROJO"/>
    <n v="426"/>
    <n v="5"/>
    <n v="75.8"/>
    <x v="0"/>
    <n v="0"/>
    <n v="7"/>
    <n v="1112"/>
    <n v="19384"/>
    <s v="ROJO"/>
    <n v="13.3"/>
    <n v="0"/>
    <n v="0"/>
    <n v="80.94"/>
    <n v="75.8"/>
    <n v="190"/>
    <n v="398.94736842105266"/>
    <x v="4"/>
    <x v="0"/>
    <n v="21"/>
    <n v="1"/>
    <n v="35.5"/>
  </r>
  <r>
    <d v="2025-05-26T09:10:00"/>
    <s v="INYECTADO"/>
    <x v="3"/>
    <x v="99"/>
    <s v="LUIS RENGIFO"/>
    <s v="VIRGEN"/>
    <s v="PP CLARIFICADO"/>
    <s v="."/>
    <s v="TAPA ORGANIZADOR DE 15KG"/>
    <s v="TAPA ORGANIZADOR DE 15KG-FUCSIA"/>
    <n v="237"/>
    <n v="3"/>
    <n v="44.6"/>
    <x v="0"/>
    <n v="0"/>
    <n v="4"/>
    <n v="1112"/>
    <n v="19384"/>
    <s v="FUCSIA"/>
    <n v="3"/>
    <n v="0"/>
    <n v="0"/>
    <n v="45.03"/>
    <n v="44.6"/>
    <n v="190"/>
    <n v="234.73684210526315"/>
    <x v="4"/>
    <x v="0"/>
    <n v="21"/>
    <n v="1"/>
    <n v="19.75"/>
  </r>
  <r>
    <d v="2025-05-26T09:10:00"/>
    <s v="INYECTADO"/>
    <x v="3"/>
    <x v="99"/>
    <s v="LUIS RENGIFO"/>
    <s v="VIRGEN"/>
    <s v="PP CLARIFICADO"/>
    <s v="."/>
    <s v="TAPA ORGANIZADOR DE 15KG"/>
    <s v="TAPA ORGANIZADOR DE 15KG-AZUL"/>
    <n v="101"/>
    <n v="1"/>
    <n v="19"/>
    <x v="0"/>
    <n v="0"/>
    <n v="2"/>
    <n v="1112"/>
    <n v="19384"/>
    <s v="AZUL"/>
    <n v="1.4"/>
    <n v="0"/>
    <n v="0"/>
    <n v="19.190000000000001"/>
    <n v="19"/>
    <n v="190"/>
    <n v="100"/>
    <x v="4"/>
    <x v="0"/>
    <n v="21"/>
    <n v="1"/>
    <n v="8.4166666666666661"/>
  </r>
  <r>
    <d v="2025-05-26T09:10:00"/>
    <s v="INYECTADO"/>
    <x v="3"/>
    <x v="100"/>
    <s v="LUIS RENGIFO"/>
    <s v="VIRGEN"/>
    <s v="PP CLARIFICADO"/>
    <s v="."/>
    <s v="TAPA ORGANIZADOR DE 15KG"/>
    <s v="TAPA ORGANIZADOR DE 15KG-VERDE"/>
    <n v="337"/>
    <n v="4"/>
    <n v="59.9"/>
    <x v="0"/>
    <n v="0"/>
    <n v="3"/>
    <n v="1112"/>
    <n v="19385"/>
    <s v="VERDE"/>
    <n v="4.8"/>
    <n v="0"/>
    <n v="0"/>
    <n v="64.03"/>
    <n v="59.9"/>
    <n v="190"/>
    <n v="315.26315789473682"/>
    <x v="4"/>
    <x v="0"/>
    <n v="21"/>
    <n v="1"/>
    <n v="28.083333333333332"/>
  </r>
  <r>
    <d v="2025-05-26T09:10:00"/>
    <s v="INYECTADO"/>
    <x v="3"/>
    <x v="100"/>
    <s v="LUIS RENGIFO"/>
    <s v="VIRGEN"/>
    <s v="PP CLARIFICADO"/>
    <s v="."/>
    <s v="TAPA ORGANIZADOR DE 15KG"/>
    <s v="TAPA ORGANIZADOR DE 15KG-AZUL"/>
    <n v="251"/>
    <n v="3"/>
    <n v="45.4"/>
    <x v="0"/>
    <n v="0"/>
    <n v="2"/>
    <n v="1112"/>
    <n v="19385"/>
    <s v="AZUL"/>
    <n v="4"/>
    <n v="0"/>
    <n v="0"/>
    <n v="47.69"/>
    <n v="45.4"/>
    <n v="190"/>
    <n v="238.94736842105263"/>
    <x v="4"/>
    <x v="0"/>
    <n v="21"/>
    <n v="1"/>
    <n v="20.916666666666668"/>
  </r>
  <r>
    <d v="2025-05-26T09:10:00"/>
    <s v="INYECTADO"/>
    <x v="3"/>
    <x v="101"/>
    <s v="LUIS RENGIFO"/>
    <s v="VIRGEN"/>
    <s v="PP CLARIFICADO"/>
    <s v="."/>
    <s v="TAPA ORGANIZADOR DE 15KG"/>
    <s v="TAPA ORGANIZADOR DE 15KG-VERDE"/>
    <n v="141"/>
    <n v="2"/>
    <n v="25.9"/>
    <x v="0"/>
    <n v="0"/>
    <n v="3"/>
    <n v="1112"/>
    <n v="19386"/>
    <s v="VERDE"/>
    <n v="0"/>
    <n v="0"/>
    <n v="0"/>
    <n v="26.79"/>
    <n v="25.9"/>
    <n v="190"/>
    <n v="136.31578947368422"/>
    <x v="4"/>
    <x v="0"/>
    <n v="21"/>
    <n v="1"/>
    <n v="11.75"/>
  </r>
  <r>
    <d v="2025-05-26T09:10:00"/>
    <s v="INYECTADO"/>
    <x v="3"/>
    <x v="101"/>
    <s v="LUIS RENGIFO"/>
    <s v="VIRGEN"/>
    <s v="PP CLARIFICADO"/>
    <s v="."/>
    <s v="TAPA ORGANIZADOR DE 15KG"/>
    <s v="TAPA ORGANIZADOR DE 15KG-TURQUESA"/>
    <n v="127"/>
    <n v="2"/>
    <n v="24.3"/>
    <x v="0"/>
    <n v="0"/>
    <n v="2"/>
    <n v="1112"/>
    <n v="19386"/>
    <s v="TURQUESA"/>
    <n v="0"/>
    <n v="0"/>
    <n v="0"/>
    <n v="24.13"/>
    <n v="24.3"/>
    <n v="190"/>
    <n v="127.89473684210526"/>
    <x v="4"/>
    <x v="0"/>
    <n v="21"/>
    <n v="1"/>
    <n v="10.583333333333334"/>
  </r>
  <r>
    <d v="2025-05-26T09:10:00"/>
    <s v="INYECTADO"/>
    <x v="3"/>
    <x v="101"/>
    <s v="LUIS RENGIFO"/>
    <s v="VIRGEN"/>
    <s v="PP CLARIFICADO"/>
    <s v="."/>
    <s v="TAPA ORGANIZADOR DE 15KG"/>
    <s v="TAPA ORGANIZADOR DE 15KG-FUCSIA"/>
    <n v="60"/>
    <n v="1"/>
    <n v="11.04"/>
    <x v="0"/>
    <n v="0"/>
    <n v="1"/>
    <n v="1112"/>
    <n v="19386"/>
    <s v="FUCSIA"/>
    <n v="0"/>
    <n v="0"/>
    <n v="0"/>
    <n v="11.4"/>
    <n v="11.04"/>
    <n v="190"/>
    <n v="58.10526315789474"/>
    <x v="4"/>
    <x v="0"/>
    <n v="21"/>
    <n v="1"/>
    <n v="5"/>
  </r>
  <r>
    <d v="2025-05-26T09:10:00"/>
    <s v="INYECTADO"/>
    <x v="3"/>
    <x v="90"/>
    <s v="CRISALIDA ZAPATA"/>
    <s v="VIRGEN"/>
    <s v="PP CLARIFICADO"/>
    <s v="."/>
    <s v="TAPA ORGANIZADOR DE 15KG"/>
    <s v="TAPA ORGANIZADOR DE 15KG-AMARILLO"/>
    <n v="124"/>
    <n v="2"/>
    <n v="23.06"/>
    <x v="0"/>
    <n v="0"/>
    <n v="2"/>
    <n v="1112"/>
    <n v="19387"/>
    <s v="AMARILLO"/>
    <n v="6.3"/>
    <n v="0"/>
    <n v="0"/>
    <n v="23.56"/>
    <n v="23.06"/>
    <n v="190"/>
    <n v="121.36842105263158"/>
    <x v="4"/>
    <x v="0"/>
    <n v="21"/>
    <n v="1"/>
    <n v="10.333333333333334"/>
  </r>
  <r>
    <d v="2025-05-26T09:10:00"/>
    <s v="INYECTADO"/>
    <x v="3"/>
    <x v="90"/>
    <s v="CRISALIDA ZAPATA"/>
    <s v="VIRGEN"/>
    <s v="PP CLARIFICADO"/>
    <s v="."/>
    <s v="TAPA ORGANIZADOR DE 15KG"/>
    <s v="TAPA ORGANIZADOR DE 15KG-AZUL"/>
    <n v="66"/>
    <n v="1"/>
    <n v="12.07"/>
    <x v="0"/>
    <n v="0"/>
    <n v="1"/>
    <n v="1112"/>
    <n v="19387"/>
    <s v="AZUL"/>
    <n v="1.5"/>
    <n v="0"/>
    <n v="0"/>
    <n v="12.54"/>
    <n v="12.07"/>
    <n v="190"/>
    <n v="63.526315789473685"/>
    <x v="4"/>
    <x v="0"/>
    <n v="21"/>
    <n v="1"/>
    <n v="5.5"/>
  </r>
  <r>
    <d v="2025-05-26T09:10:00"/>
    <s v="INYECTADO"/>
    <x v="3"/>
    <x v="91"/>
    <s v="LUIS RENGIFO"/>
    <s v="VIRGEN"/>
    <s v="PP CLARIFICADO"/>
    <s v="."/>
    <s v="COLADOR HOGAR SOLIDO #2"/>
    <s v="COLADOR HOGAR SOLIDO#2-CREMA"/>
    <n v="347"/>
    <n v="3"/>
    <n v="24"/>
    <x v="0"/>
    <n v="0"/>
    <n v="3"/>
    <n v="1112"/>
    <n v="19388"/>
    <s v="CREMA"/>
    <n v="3"/>
    <n v="0"/>
    <n v="0"/>
    <n v="24.29"/>
    <n v="24"/>
    <n v="70"/>
    <n v="342.85714285714283"/>
    <x v="4"/>
    <x v="0"/>
    <n v="22"/>
    <n v="1"/>
    <n v="28.916666666666668"/>
  </r>
  <r>
    <d v="2025-05-26T09:10:00"/>
    <s v="INYECTADO"/>
    <x v="3"/>
    <x v="91"/>
    <s v="LUIS RENGIFO"/>
    <s v="SEGUNDA"/>
    <s v="."/>
    <s v="MIXTO"/>
    <s v="COLADOR HOGAR SOLIDO #2"/>
    <s v="COLADOR HOGAR SOLIDO#2-AZURE"/>
    <n v="344"/>
    <n v="3"/>
    <n v="23.8"/>
    <x v="0"/>
    <n v="0"/>
    <n v="3"/>
    <n v="1112"/>
    <n v="19388"/>
    <s v="CELESTE"/>
    <n v="2.2999999999999998"/>
    <n v="0"/>
    <n v="0"/>
    <n v="24.08"/>
    <n v="23.8"/>
    <n v="70"/>
    <n v="340"/>
    <x v="4"/>
    <x v="0"/>
    <n v="22"/>
    <n v="1"/>
    <n v="28.666666666666668"/>
  </r>
  <r>
    <d v="2025-05-26T09:10:00"/>
    <s v="INYECTADO"/>
    <x v="3"/>
    <x v="92"/>
    <s v="GABRIEL ORDAZ"/>
    <s v="SEGUNDA"/>
    <s v="."/>
    <s v="MIXTO"/>
    <s v="COLADOR HOGAR SOLIDO #2"/>
    <s v="COLADOR HOGAR SOLIDO#2-AZUL"/>
    <n v="330"/>
    <n v="3"/>
    <n v="23.1"/>
    <x v="0"/>
    <n v="0"/>
    <n v="3"/>
    <n v="1112"/>
    <n v="19389"/>
    <s v="AZUL"/>
    <n v="4"/>
    <n v="0"/>
    <n v="0"/>
    <n v="23.1"/>
    <n v="23.1"/>
    <n v="70"/>
    <n v="330"/>
    <x v="4"/>
    <x v="0"/>
    <n v="22"/>
    <n v="1"/>
    <n v="27.5"/>
  </r>
  <r>
    <d v="2025-05-26T09:10:00"/>
    <s v="INYECTADO"/>
    <x v="3"/>
    <x v="92"/>
    <s v="GABRIEL ORDAZ"/>
    <s v="SEGUNDA"/>
    <s v="."/>
    <s v="MIXTO"/>
    <s v="COLADOR HOGAR SOLIDO #2"/>
    <s v="COLADOR HOGAR SOLIDO#2-VERDE"/>
    <n v="282"/>
    <n v="2"/>
    <n v="19.5"/>
    <x v="0"/>
    <n v="0"/>
    <n v="3"/>
    <n v="1112"/>
    <n v="19389"/>
    <s v="VERDE"/>
    <n v="5.4"/>
    <n v="0"/>
    <n v="0"/>
    <n v="19.739999999999998"/>
    <n v="19.5"/>
    <n v="70"/>
    <n v="278.57142857142856"/>
    <x v="4"/>
    <x v="0"/>
    <n v="22"/>
    <n v="1"/>
    <n v="23.5"/>
  </r>
  <r>
    <d v="2025-05-26T09:10:00"/>
    <s v="INYECTADO"/>
    <x v="3"/>
    <x v="92"/>
    <s v="GABRIEL ORDAZ"/>
    <s v="SEGUNDA"/>
    <s v="."/>
    <s v="MIXTO"/>
    <s v="COLADOR HOGAR SOLIDO #2"/>
    <s v="COLADOR HOGAR SOLIDO#2-ANARANJADO"/>
    <n v="344"/>
    <n v="3"/>
    <n v="24.1"/>
    <x v="0"/>
    <n v="0"/>
    <n v="3"/>
    <n v="1112"/>
    <n v="19389"/>
    <s v="ANARANJADO"/>
    <n v="1.4"/>
    <n v="0"/>
    <n v="0"/>
    <n v="24.08"/>
    <n v="24.1"/>
    <n v="70"/>
    <n v="344.28571428571428"/>
    <x v="4"/>
    <x v="0"/>
    <n v="22"/>
    <n v="1"/>
    <n v="28.666666666666668"/>
  </r>
  <r>
    <d v="2025-05-26T09:10:00"/>
    <s v="INYECTADO"/>
    <x v="3"/>
    <x v="92"/>
    <s v="GABRIEL ORDAZ"/>
    <s v="SEGUNDA"/>
    <s v="."/>
    <s v="MIXTO"/>
    <s v="COLADOR HOGAR SOLIDO #2"/>
    <s v="COLADOR HOGAR SOLIDO#2-ROJO"/>
    <n v="31"/>
    <n v="1"/>
    <n v="2.2000000000000002"/>
    <x v="0"/>
    <n v="0"/>
    <n v="1"/>
    <n v="1112"/>
    <n v="19389"/>
    <s v="ROJO"/>
    <n v="0.8"/>
    <n v="0"/>
    <n v="0"/>
    <n v="2.17"/>
    <n v="2.2000000000000002"/>
    <n v="70"/>
    <n v="31.428571428571427"/>
    <x v="4"/>
    <x v="0"/>
    <n v="22"/>
    <n v="1"/>
    <n v="2.5833333333333335"/>
  </r>
  <r>
    <d v="2025-05-26T09:10:00"/>
    <s v="INYECTADO"/>
    <x v="3"/>
    <x v="102"/>
    <s v="CRISALIDA ZAPATA"/>
    <s v="SEGUNDA"/>
    <s v="."/>
    <s v="MIXTO"/>
    <s v="COLADOR HOGAR SOLIDO #2"/>
    <s v="COLADOR HOGAR SOLIDO#2-ROJO"/>
    <n v="861"/>
    <n v="8"/>
    <n v="66.7"/>
    <x v="0"/>
    <n v="0"/>
    <n v="7"/>
    <n v="1118"/>
    <n v="19390"/>
    <s v="ROJO"/>
    <n v="10.6"/>
    <n v="0"/>
    <n v="0"/>
    <n v="60.27"/>
    <n v="66.7"/>
    <n v="70"/>
    <n v="952.85714285714289"/>
    <x v="4"/>
    <x v="0"/>
    <n v="22"/>
    <n v="1"/>
    <n v="71.75"/>
  </r>
  <r>
    <d v="2025-05-26T09:10:00"/>
    <s v="INYECTADO"/>
    <x v="3"/>
    <x v="102"/>
    <s v="CRISALIDA ZAPATA"/>
    <s v="SEGUNDA"/>
    <s v="."/>
    <s v="MIXTO"/>
    <s v="COLADOR HOGAR SOLIDO #2"/>
    <s v="COLADOR HOGAR SOLIDO#2-ANARANJADO"/>
    <n v="77"/>
    <n v="1"/>
    <n v="5.5"/>
    <x v="0"/>
    <n v="0"/>
    <n v="1"/>
    <n v="1118"/>
    <n v="19390"/>
    <s v="ANARANJADO"/>
    <n v="1.7"/>
    <n v="0"/>
    <n v="0"/>
    <n v="5.39"/>
    <n v="5.5"/>
    <n v="70"/>
    <n v="78.571428571428569"/>
    <x v="4"/>
    <x v="0"/>
    <n v="22"/>
    <n v="1"/>
    <n v="6.416666666666667"/>
  </r>
  <r>
    <d v="2025-05-26T09:10:00"/>
    <s v="INYECTADO"/>
    <x v="3"/>
    <x v="103"/>
    <s v="CRISALIDA ZAPATA"/>
    <s v="SEGUNDA"/>
    <s v="."/>
    <s v="MIXTO"/>
    <s v="COLADOR HOGAR SOLIDO #2"/>
    <s v="COLADOR HOGAR SOLIDO#2-ANARANJADO"/>
    <n v="615"/>
    <n v="6"/>
    <n v="43.1"/>
    <x v="0"/>
    <n v="0"/>
    <n v="6"/>
    <n v="1118"/>
    <n v="19391"/>
    <s v="ANARANJADO"/>
    <n v="5.4"/>
    <n v="0"/>
    <n v="0"/>
    <n v="43.05"/>
    <n v="43.1"/>
    <n v="70"/>
    <n v="615.71428571428567"/>
    <x v="4"/>
    <x v="0"/>
    <n v="22"/>
    <n v="1"/>
    <n v="51.25"/>
  </r>
  <r>
    <d v="2025-05-26T09:10:00"/>
    <s v="INYECTADO"/>
    <x v="3"/>
    <x v="103"/>
    <s v="CRISALIDA ZAPATA"/>
    <s v="SEGUNDA"/>
    <s v="."/>
    <s v="MIXTO"/>
    <s v="COLADOR HOGAR SOLIDO #2"/>
    <s v="COLADOR HOGAR SOLIDO#2-AZURE"/>
    <n v="257"/>
    <n v="2"/>
    <n v="17.8"/>
    <x v="0"/>
    <n v="0"/>
    <n v="3"/>
    <n v="1118"/>
    <n v="19391"/>
    <s v="CELESTE"/>
    <n v="7"/>
    <n v="0"/>
    <n v="0"/>
    <n v="17.989999999999998"/>
    <n v="17.8"/>
    <n v="70"/>
    <n v="254.28571428571428"/>
    <x v="4"/>
    <x v="0"/>
    <n v="22"/>
    <n v="1"/>
    <n v="21.416666666666668"/>
  </r>
  <r>
    <d v="2025-05-26T09:10:00"/>
    <s v="INYECTADO"/>
    <x v="3"/>
    <x v="95"/>
    <s v="CRISALIDA ZAPATA"/>
    <s v="SEGUNDA"/>
    <s v="."/>
    <s v="MIXTO"/>
    <s v="COLADOR HOGAR SOLIDO #2"/>
    <s v="COLADOR HOGAR SOLIDO#2-AZURE"/>
    <n v="218"/>
    <n v="2"/>
    <n v="15.3"/>
    <x v="0"/>
    <n v="0"/>
    <n v="2"/>
    <n v="1118"/>
    <n v="19392"/>
    <s v="CELESTE"/>
    <n v="0"/>
    <n v="0"/>
    <n v="0"/>
    <n v="15.26"/>
    <n v="15.3"/>
    <n v="70"/>
    <n v="218.57142857142858"/>
    <x v="4"/>
    <x v="0"/>
    <n v="22"/>
    <n v="1"/>
    <n v="18.166666666666668"/>
  </r>
  <r>
    <d v="2025-05-26T09:10:00"/>
    <s v="INYECTADO"/>
    <x v="3"/>
    <x v="95"/>
    <s v="CRISALIDA ZAPATA"/>
    <s v="VIRGEN"/>
    <s v="PP CLARIFICADO"/>
    <s v="."/>
    <s v="COLADOR HOGAR SOLIDO #2"/>
    <s v="COLADOR HOGAR SOLIDO#2-CREMA"/>
    <n v="672"/>
    <n v="6"/>
    <n v="47.1"/>
    <x v="0"/>
    <n v="0"/>
    <n v="6"/>
    <n v="1118"/>
    <n v="19392"/>
    <s v="CREMA"/>
    <n v="0"/>
    <n v="0"/>
    <n v="0"/>
    <n v="47.04"/>
    <n v="47.1"/>
    <n v="70"/>
    <n v="672.85714285714289"/>
    <x v="4"/>
    <x v="0"/>
    <n v="22"/>
    <n v="1"/>
    <n v="56"/>
  </r>
  <r>
    <d v="2025-05-26T09:10:00"/>
    <s v="INYECTADO"/>
    <x v="3"/>
    <x v="95"/>
    <s v="CRISALIDA ZAPATA"/>
    <s v="SEGUNDA"/>
    <s v="."/>
    <s v="MIXTO"/>
    <s v="COLADOR HOGAR SOLIDO #2"/>
    <s v="COLADOR HOGAR SOLIDO#2-AZUL"/>
    <n v="151"/>
    <n v="2"/>
    <n v="10.6"/>
    <x v="0"/>
    <n v="0"/>
    <n v="2"/>
    <n v="1118"/>
    <n v="19392"/>
    <s v="AZUL"/>
    <n v="0"/>
    <n v="0"/>
    <n v="0"/>
    <n v="10.57"/>
    <n v="10.6"/>
    <n v="70"/>
    <n v="151.42857142857142"/>
    <x v="4"/>
    <x v="0"/>
    <n v="22"/>
    <n v="1"/>
    <n v="12.583333333333334"/>
  </r>
  <r>
    <d v="2025-05-26T09:10:00"/>
    <s v="INYECTADO"/>
    <x v="3"/>
    <x v="106"/>
    <s v="CRISALIDA ZAPATA"/>
    <s v="SEGUNDA"/>
    <s v="."/>
    <s v="MIXTO"/>
    <s v="COLADOR HOGAR SOLIDO #2"/>
    <s v="COLADOR HOGAR SOLIDO#2-AZUL"/>
    <n v="1138"/>
    <n v="11"/>
    <n v="80.8"/>
    <x v="0"/>
    <n v="0"/>
    <n v="9"/>
    <n v="1118"/>
    <n v="19392"/>
    <s v="AZUL"/>
    <n v="2.2000000000000002"/>
    <n v="0"/>
    <n v="0"/>
    <n v="79.66"/>
    <n v="80.8"/>
    <n v="70"/>
    <n v="1154.2857142857142"/>
    <x v="4"/>
    <x v="0"/>
    <n v="22"/>
    <n v="1"/>
    <n v="94.833333333333329"/>
  </r>
  <r>
    <d v="2025-05-26T09:10:00"/>
    <s v="INYECTADO"/>
    <x v="7"/>
    <x v="83"/>
    <s v="CRISALIDA ZAPATA"/>
    <s v="VIRGEN"/>
    <s v="PP CLARIFICADO"/>
    <s v="."/>
    <s v="TAPA DE ORGANIZADOR #2 CARAMELO"/>
    <s v="TAPA DE ORGANIZADOR #2 CARAMELO-ROJO"/>
    <n v="148"/>
    <n v="2"/>
    <n v="6.4"/>
    <x v="0"/>
    <m/>
    <n v="2"/>
    <n v="1075"/>
    <n v="21159"/>
    <s v="ROJO"/>
    <n v="4.7"/>
    <n v="0"/>
    <n v="0"/>
    <n v="3.1080000000000001"/>
    <n v="6.4"/>
    <n v="21"/>
    <n v="304.76190476190476"/>
    <x v="4"/>
    <x v="0"/>
    <n v="19"/>
    <n v="2"/>
    <n v="24.666666666666668"/>
  </r>
  <r>
    <d v="2025-05-26T09:10:00"/>
    <s v="INYECTADO"/>
    <x v="7"/>
    <x v="83"/>
    <s v="CRISALIDA ZAPATA"/>
    <s v="VIRGEN"/>
    <s v="PP CLARIFICADO"/>
    <s v="."/>
    <s v="TAPA DE ORGANIZADOR #2 CARAMELO"/>
    <s v="TAPA DE ORGANIZADOR #2 CARAMELO-AZUL"/>
    <n v="775"/>
    <n v="7"/>
    <n v="33.299999999999997"/>
    <x v="0"/>
    <m/>
    <n v="7"/>
    <n v="1075"/>
    <n v="21159"/>
    <s v="AZUL"/>
    <n v="2"/>
    <n v="0"/>
    <n v="0"/>
    <n v="16.274999999999999"/>
    <n v="33.299999999999997"/>
    <n v="21"/>
    <n v="1585.7142857142858"/>
    <x v="4"/>
    <x v="0"/>
    <n v="19"/>
    <n v="2"/>
    <n v="129.16666666666666"/>
  </r>
  <r>
    <d v="2025-05-26T09:10:00"/>
    <s v="INYECTADO"/>
    <x v="7"/>
    <x v="83"/>
    <s v="GABRIEL REQUENA"/>
    <s v="VIRGEN"/>
    <s v="PP CLARIFICADO"/>
    <s v="."/>
    <s v="TAPA DE ORGANIZADOR #2 CARAMELO"/>
    <s v="TAPA DE ORGANIZADOR #2 CARAMELO-AMARILLO"/>
    <n v="211"/>
    <n v="3"/>
    <n v="9.1"/>
    <x v="1"/>
    <m/>
    <n v="2"/>
    <n v="1075"/>
    <n v="21160"/>
    <s v="AMARILLO"/>
    <n v="0"/>
    <n v="0"/>
    <n v="0"/>
    <n v="4.431"/>
    <n v="9.1"/>
    <n v="21"/>
    <n v="433.33333333333331"/>
    <x v="4"/>
    <x v="0"/>
    <n v="19"/>
    <n v="2"/>
    <n v="35.166666666666664"/>
  </r>
  <r>
    <d v="2025-05-26T09:10:00"/>
    <s v="INYECTADO"/>
    <x v="7"/>
    <x v="83"/>
    <s v="GABRIEL REQUENA"/>
    <s v="VIRGEN"/>
    <s v="PP CLARIFICADO"/>
    <s v="."/>
    <s v="TAPA DE ORGANIZADOR #2 PASTEL"/>
    <s v="TAPA DE ORGANIZADOR #2-BLANCO"/>
    <n v="360"/>
    <n v="3"/>
    <n v="15.4"/>
    <x v="1"/>
    <m/>
    <n v="3"/>
    <n v="1075"/>
    <n v="21160"/>
    <s v="BLANCO"/>
    <n v="0"/>
    <n v="0"/>
    <n v="0"/>
    <n v="7.56"/>
    <n v="15.4"/>
    <n v="21"/>
    <n v="733.33333333333337"/>
    <x v="4"/>
    <x v="0"/>
    <n v="19"/>
    <n v="2"/>
    <n v="60"/>
  </r>
  <r>
    <d v="2025-05-26T09:10:00"/>
    <s v="INYECTADO"/>
    <x v="7"/>
    <x v="93"/>
    <s v="CRISALIDA ZAPATA"/>
    <s v="VIRGEN"/>
    <s v="PP CLARIFICADO"/>
    <s v="."/>
    <s v="TAPA DE ORGANIZADOR #2 PASTEL"/>
    <s v="TAPA DE ORGANIZADOR #2-BLANCO"/>
    <n v="1397"/>
    <n v="12"/>
    <n v="58.6"/>
    <x v="0"/>
    <m/>
    <n v="12"/>
    <n v="1075"/>
    <n v="21161"/>
    <s v="BLANCO"/>
    <n v="7.2"/>
    <n v="0"/>
    <n v="0"/>
    <n v="29.337"/>
    <n v="58.6"/>
    <n v="21"/>
    <n v="2790.4761904761904"/>
    <x v="4"/>
    <x v="0"/>
    <n v="19"/>
    <n v="2"/>
    <n v="232.83333333333334"/>
  </r>
  <r>
    <d v="2025-05-26T09:10:00"/>
    <s v="INYECTADO"/>
    <x v="7"/>
    <x v="93"/>
    <s v="JUAN MANUEL PEREZ"/>
    <s v="VIRGEN"/>
    <s v="PP CLARIFICADO"/>
    <s v="."/>
    <s v="TAPA DE ORGANIZADOR #2"/>
    <s v="TAPA DE ORGANIZADOR #2-TRANSPARENTE"/>
    <n v="529"/>
    <n v="12"/>
    <n v="22.2"/>
    <x v="1"/>
    <m/>
    <n v="11"/>
    <n v="1075"/>
    <n v="21162"/>
    <s v="BLANCO"/>
    <n v="0"/>
    <n v="0"/>
    <n v="0"/>
    <n v="11.109"/>
    <n v="22.2"/>
    <n v="21"/>
    <n v="1057.1428571428571"/>
    <x v="4"/>
    <x v="0"/>
    <n v="19"/>
    <n v="2"/>
    <n v="88.166666666666671"/>
  </r>
  <r>
    <d v="2025-05-26T09:10:00"/>
    <s v="INYECTADO"/>
    <x v="7"/>
    <x v="94"/>
    <s v="CRISALIDA ZAPATA"/>
    <s v="VIRGEN"/>
    <s v="PP CLARIFICADO"/>
    <s v="."/>
    <s v="TAPA DE ORGANIZADOR #3"/>
    <s v="TAPA DE ORGANIZADOR #3-ROJO"/>
    <n v="1216"/>
    <n v="11"/>
    <n v="54.7"/>
    <x v="0"/>
    <m/>
    <n v="11"/>
    <n v="1075"/>
    <n v="21164"/>
    <s v="TRANSPARENTE"/>
    <n v="0.4"/>
    <n v="0"/>
    <n v="0"/>
    <n v="46.207999999999998"/>
    <n v="54.7"/>
    <n v="38"/>
    <n v="1439.4736842105262"/>
    <x v="4"/>
    <x v="0"/>
    <n v="19"/>
    <n v="2"/>
    <n v="202.66666666666666"/>
  </r>
  <r>
    <d v="2025-05-26T09:10:00"/>
    <s v="INYECTADO"/>
    <x v="7"/>
    <x v="97"/>
    <s v="CRISALIDA ZAPATA"/>
    <s v="VIRGEN"/>
    <s v="PP CLARIFICADO"/>
    <s v="."/>
    <s v="TAPA DE ORGANIZADOR #3"/>
    <s v="TAPA DE ORGANIZADOR #3-ROJO"/>
    <n v="1030"/>
    <n v="9"/>
    <n v="73.099999999999994"/>
    <x v="0"/>
    <m/>
    <n v="9"/>
    <n v="1102"/>
    <n v="21165"/>
    <s v="ROJO"/>
    <n v="6.5"/>
    <n v="0"/>
    <n v="0"/>
    <n v="39.14"/>
    <n v="73.099999999999994"/>
    <n v="38"/>
    <n v="1923.6842105263158"/>
    <x v="4"/>
    <x v="0"/>
    <n v="19"/>
    <n v="2"/>
    <n v="171.66666666666666"/>
  </r>
  <r>
    <d v="2025-05-26T09:10:00"/>
    <s v="INYECTADO"/>
    <x v="7"/>
    <x v="97"/>
    <s v="CRISALIDA ZAPATA"/>
    <s v="VIRGEN"/>
    <s v="PP CLARIFICADO"/>
    <s v="."/>
    <s v="TAPA DE ORGANIZADOR #3"/>
    <s v="TAPA DE ORGANIZADOR #3-ROJO"/>
    <n v="992"/>
    <n v="8"/>
    <n v="71.400000000000006"/>
    <x v="1"/>
    <m/>
    <n v="9"/>
    <n v="1102"/>
    <n v="21166"/>
    <s v="ROJO"/>
    <n v="7.9"/>
    <n v="0"/>
    <n v="0"/>
    <n v="37.695999999999998"/>
    <n v="71.400000000000006"/>
    <n v="38"/>
    <n v="1878.9473684210527"/>
    <x v="4"/>
    <x v="0"/>
    <n v="19"/>
    <n v="2"/>
    <n v="165.33333333333334"/>
  </r>
  <r>
    <d v="2025-05-26T09:10:00"/>
    <s v="INYECTADO"/>
    <x v="7"/>
    <x v="105"/>
    <s v="CRISALIDA ZAPATA"/>
    <s v="VIRGEN"/>
    <s v="PP CLARIFICADO"/>
    <s v="."/>
    <s v="TAPA DE ORGANIZADOR #3 CARAMELO"/>
    <s v="TAPA DE ORGANIZADOR #3 CARAMELO-VERDE"/>
    <n v="670"/>
    <n v="7"/>
    <n v="48.2"/>
    <x v="0"/>
    <m/>
    <n v="8"/>
    <n v="1102"/>
    <n v="21167"/>
    <s v="VERDE"/>
    <n v="4.8"/>
    <n v="0"/>
    <n v="0"/>
    <n v="25.46"/>
    <n v="48.2"/>
    <n v="38"/>
    <n v="1268.421052631579"/>
    <x v="4"/>
    <x v="0"/>
    <n v="20"/>
    <n v="2"/>
    <n v="111.66666666666667"/>
  </r>
  <r>
    <d v="2025-05-26T09:10:00"/>
    <s v="INYECTADO"/>
    <x v="7"/>
    <x v="105"/>
    <s v="CRISALIDA ZAPATA"/>
    <s v="VIRGEN"/>
    <s v="PP CLARIFICADO"/>
    <s v="."/>
    <s v="TAPA DE ORGANIZADOR #3 CARAMELO"/>
    <s v="TAPA DE ORGANIZADOR #3 CARAMELO-AMARILLO"/>
    <n v="388"/>
    <n v="4"/>
    <n v="28.3"/>
    <x v="0"/>
    <m/>
    <n v="2"/>
    <n v="1102"/>
    <n v="21167"/>
    <s v="AMARILLO"/>
    <n v="2.2000000000000002"/>
    <n v="0"/>
    <n v="0"/>
    <n v="14.744"/>
    <n v="28.3"/>
    <n v="38"/>
    <n v="744.73684210526312"/>
    <x v="4"/>
    <x v="0"/>
    <n v="20"/>
    <n v="2"/>
    <n v="64.666666666666671"/>
  </r>
  <r>
    <d v="2025-05-26T09:10:00"/>
    <s v="INYECTADO"/>
    <x v="7"/>
    <x v="105"/>
    <s v="JOSDER GONZALEZ"/>
    <s v="VIRGEN"/>
    <s v="PP CLARIFICADO"/>
    <s v="."/>
    <s v="TAPA DE ORGANIZADOR #3 CARAMELO"/>
    <s v="TAPA DE ORGANIZADOR #3 CARAMELO-AMARILLO"/>
    <n v="106"/>
    <n v="2"/>
    <n v="7.7"/>
    <x v="1"/>
    <m/>
    <n v="1"/>
    <n v="1102"/>
    <n v="21168"/>
    <s v="AMARILLO"/>
    <n v="2.4"/>
    <n v="0"/>
    <n v="0"/>
    <n v="4.0279999999999996"/>
    <n v="7.7"/>
    <n v="38"/>
    <n v="202.63157894736841"/>
    <x v="4"/>
    <x v="0"/>
    <n v="20"/>
    <n v="2"/>
    <n v="17.666666666666668"/>
  </r>
  <r>
    <d v="2025-05-26T09:10:00"/>
    <s v="INYECTADO"/>
    <x v="7"/>
    <x v="105"/>
    <s v="JOSDER GONZALEZ"/>
    <s v="VIRGEN"/>
    <s v="PP CLARIFICADO"/>
    <s v="."/>
    <s v="TAPA DE ORGANIZADOR #3 CARAMELO"/>
    <s v="TAPA DE ORGANIZADOR #3 CARAMELO-AZUL"/>
    <n v="382"/>
    <n v="3"/>
    <n v="27.8"/>
    <x v="1"/>
    <m/>
    <n v="3"/>
    <n v="1102"/>
    <n v="21168"/>
    <s v="AZUL"/>
    <n v="1.1000000000000001"/>
    <n v="0"/>
    <n v="0"/>
    <n v="14.516"/>
    <n v="27.8"/>
    <n v="38"/>
    <n v="731.57894736842104"/>
    <x v="4"/>
    <x v="0"/>
    <n v="20"/>
    <n v="2"/>
    <n v="63.666666666666664"/>
  </r>
  <r>
    <d v="2025-05-26T09:10:00"/>
    <s v="INYECTADO"/>
    <x v="7"/>
    <x v="84"/>
    <s v="CRISALIDA ZAPATA"/>
    <s v="VIRGEN"/>
    <s v="PP CLARIFICADO"/>
    <s v="."/>
    <s v="TAPA DE ORGANIZADOR #3 CARAMELO"/>
    <s v="TAPA DE ORGANIZADOR #3 CARAMELO-AZUL"/>
    <n v="173"/>
    <n v="2"/>
    <n v="12.2"/>
    <x v="0"/>
    <m/>
    <n v="2"/>
    <n v="1102"/>
    <n v="21169"/>
    <s v="AZUL"/>
    <n v="4.5"/>
    <n v="0"/>
    <n v="0"/>
    <n v="6.5739999999999998"/>
    <n v="12.2"/>
    <n v="38"/>
    <n v="321.05263157894734"/>
    <x v="4"/>
    <x v="0"/>
    <n v="20"/>
    <n v="2"/>
    <n v="28.833333333333332"/>
  </r>
  <r>
    <d v="2025-05-26T09:10:00"/>
    <s v="INYECTADO"/>
    <x v="7"/>
    <x v="84"/>
    <s v="CRISALIDA ZAPATA"/>
    <s v="VIRGEN"/>
    <s v="PP CLARIFICADO"/>
    <s v="."/>
    <s v="TAPA DE ORGANIZADOR #3 CARAMELO"/>
    <s v="TAPA DE ORGANIZADOR #3 CARAMELO-FUCSIA"/>
    <n v="413"/>
    <n v="4"/>
    <n v="29.3"/>
    <x v="0"/>
    <m/>
    <n v="4"/>
    <n v="1102"/>
    <n v="21169"/>
    <s v="ROSADO"/>
    <n v="4"/>
    <n v="0"/>
    <n v="0"/>
    <n v="15.694000000000001"/>
    <n v="29.3"/>
    <n v="38"/>
    <n v="771.0526315789474"/>
    <x v="4"/>
    <x v="0"/>
    <n v="20"/>
    <n v="2"/>
    <n v="68.833333333333329"/>
  </r>
  <r>
    <d v="2025-05-26T09:10:00"/>
    <s v="INYECTADO"/>
    <x v="7"/>
    <x v="84"/>
    <s v="CRISALIDA ZAPATA"/>
    <s v="VIRGEN"/>
    <s v="PP CLARIFICADO"/>
    <s v="."/>
    <s v="TAPA DE ORGANIZADOR #3 CARAMELO"/>
    <s v="TAPA DE ORGANIZADOR #3-BLANCO"/>
    <n v="630"/>
    <n v="5"/>
    <n v="44.7"/>
    <x v="0"/>
    <m/>
    <n v="6"/>
    <n v="1102"/>
    <n v="21169"/>
    <s v="BLANCO"/>
    <n v="6.5"/>
    <n v="0"/>
    <n v="0"/>
    <n v="23.94"/>
    <n v="44.7"/>
    <n v="38"/>
    <n v="1176.3157894736842"/>
    <x v="4"/>
    <x v="0"/>
    <n v="20"/>
    <n v="2"/>
    <n v="105"/>
  </r>
  <r>
    <d v="2025-05-26T09:10:00"/>
    <s v="INYECTADO"/>
    <x v="7"/>
    <x v="84"/>
    <s v="JUAN MANUEL PEREZ"/>
    <s v="VIRGEN"/>
    <s v="PP CLARIFICADO"/>
    <s v="."/>
    <s v="TAPA DE ORGANIZADOR #3 CARAMELO"/>
    <s v="TAPA DE ORGANIZADOR #3-BLANCO"/>
    <n v="902"/>
    <n v="9"/>
    <n v="64.900000000000006"/>
    <x v="1"/>
    <m/>
    <n v="9"/>
    <n v="1102"/>
    <n v="21170"/>
    <s v="BLANCO"/>
    <n v="2"/>
    <n v="0"/>
    <n v="0"/>
    <n v="34.276000000000003"/>
    <n v="64.900000000000006"/>
    <n v="38"/>
    <n v="1707.8947368421054"/>
    <x v="4"/>
    <x v="0"/>
    <n v="20"/>
    <n v="2"/>
    <n v="150.33333333333334"/>
  </r>
  <r>
    <d v="2025-05-26T09:10:00"/>
    <s v="INYECTADO"/>
    <x v="7"/>
    <x v="84"/>
    <s v="JUAN MANUEL PEREZ"/>
    <s v="VIRGEN"/>
    <s v="PP CLARIFICADO"/>
    <s v="."/>
    <s v="TAPA DE ORGANIZADOR #3 CARAMELO"/>
    <s v="TAPA DE ORGANIZADOR #3 CARAMELO-LILA"/>
    <n v="278"/>
    <n v="2"/>
    <n v="20"/>
    <x v="1"/>
    <m/>
    <n v="3"/>
    <n v="1102"/>
    <n v="21170"/>
    <s v="LILA"/>
    <n v="5"/>
    <n v="0"/>
    <n v="0"/>
    <n v="10.564"/>
    <n v="20"/>
    <n v="38"/>
    <n v="526.31578947368416"/>
    <x v="4"/>
    <x v="0"/>
    <n v="20"/>
    <n v="2"/>
    <n v="46.333333333333336"/>
  </r>
  <r>
    <d v="2025-05-26T09:10:00"/>
    <s v="INYECTADO"/>
    <x v="7"/>
    <x v="86"/>
    <s v="LUIS PINEDO"/>
    <s v="VIRGEN"/>
    <s v="PP CLARIFICADO"/>
    <s v="."/>
    <s v="JABONERA CARAMELO"/>
    <s v="JABONERA CARAMELO-AMARILLO"/>
    <n v="100"/>
    <n v="1"/>
    <n v="12.1"/>
    <x v="0"/>
    <m/>
    <n v="1"/>
    <n v="1103"/>
    <n v="21171"/>
    <s v="AMARILLO"/>
    <n v="7.8"/>
    <n v="0"/>
    <n v="0"/>
    <n v="11.2"/>
    <n v="12.1"/>
    <n v="112"/>
    <n v="108.03571428571429"/>
    <x v="4"/>
    <x v="0"/>
    <n v="20"/>
    <n v="4"/>
    <n v="33.333333333333336"/>
  </r>
  <r>
    <d v="2025-05-26T09:10:00"/>
    <s v="INYECTADO"/>
    <x v="7"/>
    <x v="92"/>
    <s v="CARLOS SULCA"/>
    <s v="VIRGEN"/>
    <s v="PP HOMOPOLIMERO"/>
    <s v="PP COPOLIMERO"/>
    <s v="VASO SORBETE SOLIDO"/>
    <s v="VASO SORBETE SOLIDO-AMARILLO"/>
    <n v="516"/>
    <n v="5"/>
    <n v="76.400000000000006"/>
    <x v="0"/>
    <m/>
    <n v="9"/>
    <n v="1121"/>
    <n v="21173"/>
    <s v="AMARILLO"/>
    <n v="5.0999999999999996"/>
    <n v="0"/>
    <n v="0"/>
    <n v="12.125999999999999"/>
    <n v="76.400000000000006"/>
    <n v="23.5"/>
    <n v="3251.0638297872342"/>
    <x v="4"/>
    <x v="0"/>
    <n v="22"/>
    <n v="2"/>
    <n v="86"/>
  </r>
  <r>
    <d v="2025-05-26T09:10:00"/>
    <s v="INYECTADO"/>
    <x v="7"/>
    <x v="102"/>
    <s v="LUIS PINEDO"/>
    <s v="VIRGEN"/>
    <s v="PP HOMOPOLIMERO"/>
    <s v="PP COPOLIMERO"/>
    <s v="VASO SORBETE SOLIDO"/>
    <s v="VASO SORBETE SOLIDO-AMARILLO"/>
    <n v="150"/>
    <n v="2"/>
    <n v="22.4"/>
    <x v="0"/>
    <m/>
    <n v="3"/>
    <n v="1121"/>
    <n v="21174"/>
    <s v="AMARILLO"/>
    <n v="0"/>
    <n v="0"/>
    <n v="0"/>
    <n v="3.5249999999999999"/>
    <n v="22.4"/>
    <n v="23.5"/>
    <n v="953.19148936170211"/>
    <x v="4"/>
    <x v="0"/>
    <n v="22"/>
    <n v="2"/>
    <n v="25"/>
  </r>
  <r>
    <d v="2025-05-26T09:10:00"/>
    <s v="INYECTADO"/>
    <x v="7"/>
    <x v="102"/>
    <s v="LUIS PINEDO"/>
    <s v="VIRGEN"/>
    <s v="PP HOMOPOLIMERO"/>
    <s v="PP COPOLIMERO"/>
    <s v="VASO SORBETE SOLIDO"/>
    <s v="VASO SORBETE SOLIDO-FUCSIA"/>
    <n v="686"/>
    <n v="6"/>
    <n v="101.6"/>
    <x v="0"/>
    <m/>
    <n v="10"/>
    <n v="1121"/>
    <n v="21174"/>
    <s v="FUCSIA"/>
    <n v="0"/>
    <n v="0"/>
    <n v="0"/>
    <n v="16.120999999999999"/>
    <n v="101.6"/>
    <n v="23.5"/>
    <n v="4323.4042553191493"/>
    <x v="4"/>
    <x v="0"/>
    <n v="22"/>
    <n v="2"/>
    <n v="114.33333333333333"/>
  </r>
  <r>
    <d v="2025-05-26T09:10:00"/>
    <s v="INYECTADO"/>
    <x v="7"/>
    <x v="103"/>
    <s v="ROSA MERINO"/>
    <s v="VIRGEN"/>
    <s v="PP HOMOPOLIMERO"/>
    <s v="PP COPOLIMERO"/>
    <s v="VASO SORBETE SOLIDO"/>
    <s v="VASO SORBETE SOLIDO-LILA"/>
    <n v="710"/>
    <n v="7"/>
    <n v="105.9"/>
    <x v="0"/>
    <m/>
    <n v="14"/>
    <n v="1121"/>
    <n v="21175"/>
    <s v="LILA"/>
    <n v="4.5"/>
    <n v="0"/>
    <n v="0"/>
    <n v="16.684999999999999"/>
    <n v="105.9"/>
    <n v="23.5"/>
    <n v="4506.3829787234044"/>
    <x v="4"/>
    <x v="0"/>
    <n v="22"/>
    <n v="2"/>
    <n v="118.33333333333333"/>
  </r>
  <r>
    <d v="2025-05-26T09:10:00"/>
    <s v="INYECTADO"/>
    <x v="7"/>
    <x v="103"/>
    <s v="ROSA MERINO"/>
    <s v="VIRGEN"/>
    <s v="PP HOMOPOLIMERO"/>
    <s v="PP COPOLIMERO"/>
    <s v="VASO SORBETE SOLIDO"/>
    <s v="VASO SORBETE SOLIDO-ROJO"/>
    <n v="154"/>
    <n v="2"/>
    <n v="23"/>
    <x v="0"/>
    <m/>
    <n v="3"/>
    <n v="1121"/>
    <n v="21175"/>
    <s v="ROJO"/>
    <n v="3"/>
    <n v="0"/>
    <n v="0"/>
    <n v="3.6190000000000002"/>
    <n v="23"/>
    <n v="23.5"/>
    <n v="978.72340425531911"/>
    <x v="4"/>
    <x v="0"/>
    <n v="22"/>
    <n v="2"/>
    <n v="25.666666666666668"/>
  </r>
  <r>
    <d v="2025-05-26T09:10:00"/>
    <s v="INYECTADO"/>
    <x v="7"/>
    <x v="95"/>
    <s v="LUIS PINEDO"/>
    <s v="VIRGEN"/>
    <s v="PP HOMOPOLIMERO"/>
    <s v="PP COPOLIMERO"/>
    <s v="VASO SORBETE SOLIDO"/>
    <s v="VASO SORBETE SOLIDO-ROJO"/>
    <n v="518"/>
    <n v="5"/>
    <n v="77.2"/>
    <x v="0"/>
    <m/>
    <n v="11"/>
    <n v="1121"/>
    <n v="21176"/>
    <s v="ROJO"/>
    <n v="0"/>
    <n v="0"/>
    <n v="0"/>
    <n v="12.173"/>
    <n v="77.2"/>
    <n v="23.5"/>
    <n v="3285.1063829787236"/>
    <x v="4"/>
    <x v="0"/>
    <n v="22"/>
    <n v="2"/>
    <n v="86.333333333333329"/>
  </r>
  <r>
    <d v="2025-05-26T09:10:00"/>
    <s v="INYECTADO"/>
    <x v="11"/>
    <x v="86"/>
    <s v="GABRIEL REQUENA"/>
    <s v="VIRGEN"/>
    <s v="PP SOPLADO"/>
    <s v="."/>
    <s v="SALSERO PERITA 225ML"/>
    <s v="SALSERO PERITA 225ML-TRANSPARENTE"/>
    <n v="2081"/>
    <n v="11"/>
    <n v="33.299999999999997"/>
    <x v="0"/>
    <n v="0"/>
    <n v="11"/>
    <n v="1094"/>
    <n v="21432"/>
    <s v="TRANSPARENTE"/>
    <n v="15"/>
    <n v="0"/>
    <n v="0"/>
    <n v="33.295999999999999"/>
    <n v="33.299999999999997"/>
    <n v="16"/>
    <n v="2081.25"/>
    <x v="4"/>
    <x v="0"/>
    <n v="20"/>
    <n v="2"/>
    <n v="346.83333333333331"/>
  </r>
  <r>
    <d v="2025-05-26T09:10:00"/>
    <s v="SOPLADO"/>
    <x v="9"/>
    <x v="104"/>
    <s v="LUIS PINEDO"/>
    <s v="VIRGEN"/>
    <s v="PP SOPLADO"/>
    <s v="."/>
    <s v="SALSERO 1200 ML"/>
    <s v="SALSERO MULTIUSO 1200ML-TRANSPARENTE"/>
    <n v="1166"/>
    <n v="11"/>
    <n v="71.5"/>
    <x v="0"/>
    <n v="0"/>
    <n v="11"/>
    <n v="1094"/>
    <n v="21432"/>
    <s v="TRANSPARENTE"/>
    <n v="15"/>
    <n v="0"/>
    <n v="0"/>
    <n v="75.790000000000006"/>
    <n v="71.5"/>
    <n v="65"/>
    <n v="1100"/>
    <x v="4"/>
    <x v="0"/>
    <n v="18"/>
    <n v="1"/>
    <n v="97.166666666666671"/>
  </r>
  <r>
    <d v="2025-05-26T09:10:00"/>
    <s v="SOPLADO"/>
    <x v="9"/>
    <x v="81"/>
    <s v="ISABEL LINARIZ "/>
    <s v="VIRGEN"/>
    <s v="PP SOPLADO"/>
    <s v="."/>
    <s v="SALSERO 1200 ML"/>
    <s v="SALSERO MULTIUSO 1200ML-TRANSPARENTE"/>
    <n v="683"/>
    <n v="6"/>
    <n v="41"/>
    <x v="0"/>
    <n v="0"/>
    <n v="7"/>
    <n v="1094"/>
    <n v="21433"/>
    <s v="TRANSPARENTE"/>
    <n v="20.399999999999999"/>
    <n v="0"/>
    <n v="0"/>
    <n v="44.395000000000003"/>
    <n v="41"/>
    <n v="65"/>
    <n v="630.76923076923072"/>
    <x v="4"/>
    <x v="0"/>
    <n v="18"/>
    <n v="1"/>
    <n v="56.916666666666664"/>
  </r>
  <r>
    <d v="2025-05-26T09:10:00"/>
    <s v="SOPLADO"/>
    <x v="9"/>
    <x v="82"/>
    <s v="SAID VILLAMIZAR"/>
    <s v="VIRGEN"/>
    <s v="PP SOPLADO"/>
    <s v="."/>
    <s v="SALSERO 1200 ML"/>
    <s v="SALSERO MULTIUSO 1200ML-TRANSPARENTE"/>
    <n v="1116"/>
    <n v="9"/>
    <n v="67"/>
    <x v="0"/>
    <n v="0"/>
    <n v="11"/>
    <n v="1094"/>
    <n v="21434"/>
    <s v="TRANSPARENTE"/>
    <n v="0"/>
    <n v="0"/>
    <n v="0"/>
    <n v="72.540000000000006"/>
    <n v="67"/>
    <n v="65"/>
    <n v="1030.7692307692307"/>
    <x v="4"/>
    <x v="0"/>
    <n v="19"/>
    <n v="1"/>
    <n v="93"/>
  </r>
  <r>
    <d v="2025-05-26T09:10:00"/>
    <s v="SOPLADO"/>
    <x v="9"/>
    <x v="83"/>
    <s v="LUIS PINEDO"/>
    <s v="VIRGEN"/>
    <s v="PP SOPLADO"/>
    <s v="."/>
    <s v="SALSERO IDEAL 400 ML"/>
    <s v="SALSERO IDEAL 400ML-TRANSPARENTE"/>
    <n v="721"/>
    <n v="7"/>
    <n v="18.100000000000001"/>
    <x v="0"/>
    <n v="0"/>
    <n v="3"/>
    <n v="1097"/>
    <n v="21435"/>
    <s v="TRANSPARENTE"/>
    <n v="14.1"/>
    <n v="0"/>
    <n v="0"/>
    <n v="17.303999999999998"/>
    <n v="18.100000000000001"/>
    <n v="24"/>
    <n v="754.16666666666663"/>
    <x v="4"/>
    <x v="0"/>
    <n v="19"/>
    <n v="1"/>
    <n v="60.083333333333336"/>
  </r>
  <r>
    <d v="2025-05-26T09:10:00"/>
    <s v="SOPLADO"/>
    <x v="9"/>
    <x v="93"/>
    <s v="SAID VILLAMIZAR"/>
    <s v="VIRGEN"/>
    <s v="PP SOPLADO"/>
    <s v="."/>
    <s v="SALSERO IDEAL 400 ML"/>
    <s v="SALSERO IDEAL 400ML-TRANSPARENTE"/>
    <n v="1207"/>
    <n v="11"/>
    <n v="32.6"/>
    <x v="0"/>
    <n v="0"/>
    <n v="22"/>
    <n v="1097"/>
    <n v="21436"/>
    <s v="TRANSPARENTE"/>
    <n v="22"/>
    <n v="0"/>
    <n v="0"/>
    <n v="28.968"/>
    <n v="32.6"/>
    <n v="24"/>
    <n v="1358.3333333333333"/>
    <x v="4"/>
    <x v="0"/>
    <n v="19"/>
    <n v="1"/>
    <n v="100.58333333333333"/>
  </r>
  <r>
    <d v="2025-05-26T09:10:00"/>
    <s v="SOPLADO"/>
    <x v="9"/>
    <x v="94"/>
    <s v="LUIS PINEDO"/>
    <s v="VIRGEN"/>
    <s v="PP SOPLADO"/>
    <s v="."/>
    <s v="SALSERO IDEAL 400 ML"/>
    <s v="SALSERO IDEAL 400ML-TRANSPARENTE"/>
    <n v="1007"/>
    <n v="8"/>
    <n v="26.2"/>
    <x v="0"/>
    <n v="0"/>
    <n v="4"/>
    <n v="1097"/>
    <n v="21437"/>
    <s v="TRANSPARENTE"/>
    <n v="17.600000000000001"/>
    <n v="0"/>
    <n v="0"/>
    <n v="24.167999999999999"/>
    <n v="26.2"/>
    <n v="24"/>
    <n v="1091.6666666666667"/>
    <x v="4"/>
    <x v="0"/>
    <n v="19"/>
    <n v="1"/>
    <n v="83.916666666666671"/>
  </r>
  <r>
    <d v="2025-05-26T09:10:00"/>
    <s v="SOPLADO"/>
    <x v="9"/>
    <x v="96"/>
    <s v="ISABEL LINARIZ "/>
    <s v="VIRGEN"/>
    <s v="PP SOPLADO"/>
    <s v="."/>
    <s v="SALSERO MULTIUSO 600 ML"/>
    <s v="SALSERO MULTIUSO 600ML-TRANSPARENTE"/>
    <n v="997"/>
    <n v="8"/>
    <n v="38.9"/>
    <x v="0"/>
    <n v="0"/>
    <n v="6"/>
    <n v="1097"/>
    <n v="21438"/>
    <s v="TRANSPARENTE"/>
    <n v="16.399999999999999"/>
    <n v="0"/>
    <n v="0"/>
    <n v="39.880000000000003"/>
    <n v="38.9"/>
    <n v="40"/>
    <n v="972.5"/>
    <x v="4"/>
    <x v="0"/>
    <n v="19"/>
    <n v="1"/>
    <n v="83.083333333333329"/>
  </r>
  <r>
    <d v="2025-05-26T09:10:00"/>
    <s v="SOPLADO"/>
    <x v="9"/>
    <x v="86"/>
    <s v="ISABEL LINARIZ "/>
    <s v="VIRGEN"/>
    <s v="PP SOPLADO"/>
    <s v="."/>
    <s v="SALSERO MULTIUSO 600 ML"/>
    <s v="SALSERO MULTIUSO 600ML-TRANSPARENTE"/>
    <n v="1053"/>
    <n v="9"/>
    <n v="43"/>
    <x v="0"/>
    <n v="0"/>
    <n v="8"/>
    <n v="1106"/>
    <n v="21439"/>
    <s v="TRANSPARENTE"/>
    <n v="18.2"/>
    <n v="0"/>
    <n v="0"/>
    <n v="42.12"/>
    <n v="43"/>
    <n v="40"/>
    <n v="1075"/>
    <x v="4"/>
    <x v="0"/>
    <n v="20"/>
    <n v="1"/>
    <n v="87.75"/>
  </r>
  <r>
    <d v="2025-05-26T09:10:00"/>
    <s v="SOPLADO"/>
    <x v="9"/>
    <x v="87"/>
    <s v="LUIS PINEDO"/>
    <s v="VIRGEN"/>
    <s v="PP SOPLADO"/>
    <s v="."/>
    <s v="SALSERO MULTIUSO 600 ML"/>
    <s v="SALSERO MULTIUSO 600ML-TRANSPARENTE"/>
    <n v="712"/>
    <n v="6"/>
    <n v="28.5"/>
    <x v="0"/>
    <n v="0"/>
    <n v="4"/>
    <n v="1106"/>
    <n v="21440"/>
    <s v="TRANSPARENTE"/>
    <n v="19.2"/>
    <n v="0"/>
    <n v="0"/>
    <n v="28.48"/>
    <n v="28.5"/>
    <n v="40"/>
    <n v="712.5"/>
    <x v="4"/>
    <x v="0"/>
    <n v="20"/>
    <n v="1"/>
    <n v="59.333333333333336"/>
  </r>
  <r>
    <d v="2025-05-26T09:10:00"/>
    <s v="SOPLADO"/>
    <x v="9"/>
    <x v="90"/>
    <s v="LUIS RENGIFO"/>
    <s v="VIRGEN"/>
    <s v="PP SOPLADO"/>
    <s v="."/>
    <s v="SALSERO MULTIUSO 480 ML"/>
    <s v="SALSERO MULTIUSO 480ML-TRANSPARENTE"/>
    <n v="283"/>
    <n v="2"/>
    <n v="10.5"/>
    <x v="0"/>
    <n v="0"/>
    <n v="2"/>
    <n v="1116"/>
    <n v="21441"/>
    <s v="TRANSPARENTE"/>
    <n v="6.1"/>
    <n v="0"/>
    <n v="0"/>
    <n v="10.754"/>
    <n v="10.5"/>
    <n v="38"/>
    <n v="276.31578947368422"/>
    <x v="4"/>
    <x v="0"/>
    <n v="21"/>
    <n v="1"/>
    <n v="23.583333333333332"/>
  </r>
  <r>
    <d v="2025-05-26T09:10:00"/>
    <s v="SOPLADO"/>
    <x v="9"/>
    <x v="91"/>
    <s v="SAID VILLAMIZAR"/>
    <s v="VIRGEN"/>
    <s v="PP SOPLADO"/>
    <s v="."/>
    <s v="SALSERO MULTIUSO 480 ML"/>
    <s v="SALSERO MULTIUSO 480ML-TRANSPARENTE"/>
    <n v="960"/>
    <n v="9"/>
    <n v="33.6"/>
    <x v="0"/>
    <n v="0"/>
    <n v="5"/>
    <n v="1116"/>
    <n v="21442"/>
    <s v="TRANSPARENTE"/>
    <n v="11.7"/>
    <n v="0"/>
    <n v="0"/>
    <n v="36.479999999999997"/>
    <n v="33.6"/>
    <n v="38"/>
    <n v="884.21052631578948"/>
    <x v="4"/>
    <x v="0"/>
    <n v="22"/>
    <n v="1"/>
    <n v="80"/>
  </r>
  <r>
    <d v="2025-05-26T09:10:00"/>
    <s v="SOPLADO"/>
    <x v="9"/>
    <x v="92"/>
    <s v="LUIS RENGIFO"/>
    <s v="VIRGEN"/>
    <s v="PP SOPLADO"/>
    <s v="."/>
    <s v="SALSERO MULTIUSO 480 ML"/>
    <s v="SALSERO MULTIUSO 480ML-TRANSPARENTE"/>
    <n v="1097"/>
    <n v="10"/>
    <n v="37.299999999999997"/>
    <x v="0"/>
    <n v="0"/>
    <n v="7"/>
    <n v="1116"/>
    <n v="21443"/>
    <s v="TRANSPARENTE"/>
    <n v="18"/>
    <n v="0"/>
    <n v="0"/>
    <n v="41.686"/>
    <n v="37.299999999999997"/>
    <n v="38"/>
    <n v="981.57894736842104"/>
    <x v="4"/>
    <x v="0"/>
    <n v="22"/>
    <n v="1"/>
    <n v="91.416666666666671"/>
  </r>
  <r>
    <d v="2025-05-26T09:10:00"/>
    <s v="SOPLADO"/>
    <x v="12"/>
    <x v="104"/>
    <s v="NELSON PINEDO"/>
    <s v="SEGUNDA"/>
    <s v="."/>
    <s v="ALTA SOP MOLIDO"/>
    <s v="ALCANCIA MEDIANA"/>
    <s v="ALCANCIA MEDIANA-CELESTE"/>
    <n v="440"/>
    <n v="4"/>
    <n v="22.9"/>
    <x v="0"/>
    <n v="0"/>
    <n v="3"/>
    <n v="1079"/>
    <n v="20179"/>
    <s v="CELESTE"/>
    <n v="0"/>
    <n v="0"/>
    <n v="0"/>
    <n v="17.600000000000001"/>
    <n v="22.9"/>
    <n v="40"/>
    <n v="572.5"/>
    <x v="4"/>
    <x v="0"/>
    <n v="18"/>
    <n v="2"/>
    <n v="73.333333333333329"/>
  </r>
  <r>
    <d v="2025-05-26T09:10:00"/>
    <s v="SOPLADO"/>
    <x v="12"/>
    <x v="93"/>
    <s v="NELSON PINEDO"/>
    <s v="SEGUNDA"/>
    <s v="."/>
    <s v="ALTA SOP MOLIDO"/>
    <s v="ALCANCIA CHICO"/>
    <s v="ALCANCIA CHICO-CELESTE"/>
    <n v="313"/>
    <n v="3"/>
    <n v="11.3"/>
    <x v="0"/>
    <n v="0"/>
    <n v="2"/>
    <n v="1107"/>
    <n v="20180"/>
    <s v="CELESTE"/>
    <n v="0"/>
    <n v="0"/>
    <n v="0"/>
    <n v="9.39"/>
    <n v="11.3"/>
    <n v="30"/>
    <n v="376.66666666666669"/>
    <x v="4"/>
    <x v="0"/>
    <n v="19"/>
    <n v="2"/>
    <n v="52.166666666666664"/>
  </r>
  <r>
    <d v="2025-05-26T09:10:00"/>
    <s v="SOPLADO"/>
    <x v="12"/>
    <x v="94"/>
    <s v="NELSON PINEDO"/>
    <s v="SEGUNDA"/>
    <s v="."/>
    <s v="ALTA SOP MOLIDO"/>
    <s v="ALCANCIA CHICO"/>
    <s v="ALCANCIA CHICO-ROJO"/>
    <n v="255"/>
    <n v="2"/>
    <n v="8.6999999999999993"/>
    <x v="0"/>
    <n v="0"/>
    <n v="1"/>
    <n v="1107"/>
    <n v="20181"/>
    <s v="ROJO"/>
    <n v="0"/>
    <n v="0"/>
    <n v="0"/>
    <n v="7.65"/>
    <n v="8.6999999999999993"/>
    <n v="30"/>
    <n v="290"/>
    <x v="4"/>
    <x v="0"/>
    <n v="19"/>
    <n v="2"/>
    <n v="42.5"/>
  </r>
  <r>
    <d v="2025-05-26T09:10:00"/>
    <s v="SOPLADO"/>
    <x v="12"/>
    <x v="94"/>
    <s v="NELSON PINEDO"/>
    <s v="SEGUNDA"/>
    <s v="."/>
    <s v="ALTA SOP MOLIDO"/>
    <s v="ALCANCIA CHICO"/>
    <s v="ALCANCIA CHICO-CELESTE"/>
    <n v="265"/>
    <n v="2"/>
    <n v="9.3000000000000007"/>
    <x v="0"/>
    <n v="0"/>
    <n v="2"/>
    <n v="1107"/>
    <n v="20181"/>
    <s v="CELESTE"/>
    <n v="24.2"/>
    <n v="0"/>
    <n v="0"/>
    <n v="7.95"/>
    <n v="9.3000000000000007"/>
    <n v="30"/>
    <n v="310"/>
    <x v="4"/>
    <x v="0"/>
    <n v="19"/>
    <n v="2"/>
    <n v="44.166666666666664"/>
  </r>
  <r>
    <d v="2025-05-26T09:10:00"/>
    <s v="SOPLADO"/>
    <x v="12"/>
    <x v="94"/>
    <s v="NELSON PINEDO"/>
    <s v="SEGUNDA"/>
    <s v="."/>
    <s v="ALTA SOP MOLIDO"/>
    <s v="ALCANCIA CHICO"/>
    <s v="ALCANCIA CHICO-VERDE"/>
    <n v="482"/>
    <n v="4"/>
    <n v="16.399999999999999"/>
    <x v="0"/>
    <n v="0"/>
    <n v="2"/>
    <n v="1107"/>
    <n v="20181"/>
    <s v="VERDE"/>
    <n v="28.2"/>
    <n v="0"/>
    <n v="0"/>
    <n v="14.46"/>
    <n v="16.399999999999999"/>
    <n v="30"/>
    <n v="546.66666666666663"/>
    <x v="4"/>
    <x v="0"/>
    <n v="19"/>
    <n v="2"/>
    <n v="80.333333333333329"/>
  </r>
  <r>
    <d v="2025-05-26T09:10:00"/>
    <s v="SOPLADO"/>
    <x v="12"/>
    <x v="87"/>
    <s v="SAID VILLAMIZAR"/>
    <s v="SEGUNDA"/>
    <s v="."/>
    <s v="ALTA SOP MOLIDO"/>
    <s v="ALCANCIA CHICO"/>
    <s v="ALCANCIA CHICO-ROJO"/>
    <n v="238"/>
    <n v="2"/>
    <n v="8.1"/>
    <x v="0"/>
    <n v="0"/>
    <n v="1"/>
    <n v="1107"/>
    <n v="20182"/>
    <s v="ROJO"/>
    <n v="11.2"/>
    <n v="0"/>
    <n v="0"/>
    <n v="7.14"/>
    <n v="8.1"/>
    <n v="30"/>
    <n v="270"/>
    <x v="4"/>
    <x v="0"/>
    <n v="20"/>
    <n v="2"/>
    <n v="39.666666666666664"/>
  </r>
  <r>
    <d v="2025-05-26T09:10:00"/>
    <s v="SOPLADO"/>
    <x v="12"/>
    <x v="87"/>
    <s v="SAID VILLAMIZAR"/>
    <s v="SEGUNDA"/>
    <s v="."/>
    <s v="ALTA SOP MOLIDO"/>
    <s v="ALCANCIA CHICO"/>
    <s v="ALCANCIA CHICO-LILA"/>
    <n v="461"/>
    <n v="4"/>
    <n v="15.7"/>
    <x v="0"/>
    <n v="0"/>
    <n v="2"/>
    <n v="1107"/>
    <n v="20182"/>
    <s v="LILA"/>
    <n v="37.299999999999997"/>
    <n v="0"/>
    <n v="0"/>
    <n v="13.83"/>
    <n v="15.7"/>
    <n v="30"/>
    <n v="523.33333333333337"/>
    <x v="4"/>
    <x v="0"/>
    <n v="20"/>
    <n v="2"/>
    <n v="76.833333333333329"/>
  </r>
  <r>
    <d v="2025-05-26T09:10:00"/>
    <s v="SOPLADO"/>
    <x v="12"/>
    <x v="95"/>
    <s v="SAID VILLAMIZAR"/>
    <s v="SEGUNDA"/>
    <s v="."/>
    <s v="ALTA SOP MOLIDO"/>
    <s v="ALCANCIA CHICO"/>
    <s v="ALCANCIA CHICO-LILA"/>
    <n v="180"/>
    <n v="2"/>
    <n v="6.5"/>
    <x v="0"/>
    <n v="0"/>
    <n v="1"/>
    <n v="1107"/>
    <n v="20184"/>
    <s v="LILA"/>
    <n v="12"/>
    <n v="0"/>
    <n v="0"/>
    <n v="5.4"/>
    <n v="6.5"/>
    <n v="30"/>
    <n v="216.66666666666666"/>
    <x v="4"/>
    <x v="0"/>
    <n v="22"/>
    <n v="2"/>
    <n v="30"/>
  </r>
  <r>
    <d v="2025-05-26T09:10:00"/>
    <s v="SOPLADO"/>
    <x v="12"/>
    <x v="95"/>
    <s v="SAID VILLAMIZAR"/>
    <s v="SEGUNDA"/>
    <s v="."/>
    <s v="ALTA SOP MOLIDO"/>
    <s v="ALCANCIA CHICO"/>
    <s v="ALCANCIA CHICO-AMARILLO"/>
    <n v="440"/>
    <n v="4"/>
    <n v="16.3"/>
    <x v="0"/>
    <n v="0"/>
    <n v="2"/>
    <n v="1107"/>
    <n v="20184"/>
    <s v="AMARILLO"/>
    <n v="41.6"/>
    <n v="0"/>
    <n v="0"/>
    <n v="13.2"/>
    <n v="16.3"/>
    <n v="30"/>
    <n v="543.33333333333337"/>
    <x v="4"/>
    <x v="0"/>
    <n v="22"/>
    <n v="2"/>
    <n v="73.333333333333329"/>
  </r>
  <r>
    <d v="2025-05-26T09:10:00"/>
    <s v="SOPLADO"/>
    <x v="12"/>
    <x v="95"/>
    <s v="SAID VILLAMIZAR"/>
    <s v="SEGUNDA"/>
    <s v="."/>
    <s v="ALTA SOP MOLIDO"/>
    <s v="ALCANCIA CHICO"/>
    <s v="ALCANCIA CHICO-ANARANJADO"/>
    <n v="114"/>
    <n v="2"/>
    <n v="4"/>
    <x v="0"/>
    <n v="0"/>
    <n v="1"/>
    <n v="1107"/>
    <n v="20184"/>
    <s v="ANRANJADO"/>
    <n v="6.1"/>
    <n v="0"/>
    <n v="0"/>
    <n v="3.42"/>
    <n v="4"/>
    <n v="30"/>
    <n v="133.33333333333334"/>
    <x v="4"/>
    <x v="0"/>
    <n v="22"/>
    <n v="2"/>
    <n v="19"/>
  </r>
  <r>
    <d v="2025-05-26T09:10:00"/>
    <s v="INYECTADO"/>
    <x v="8"/>
    <x v="104"/>
    <s v="SAID VILLAMIZAR"/>
    <s v="VIRGEN"/>
    <s v="PP CLARIFICADO"/>
    <s v="."/>
    <s v="ORGANIZADOR  DE 3KG"/>
    <s v="BASE ORGANIZADOR  DE 3KG-TRANSPARENTE"/>
    <n v="439"/>
    <n v="6"/>
    <n v="87"/>
    <x v="0"/>
    <n v="0"/>
    <n v="15"/>
    <n v="1087"/>
    <n v="21549"/>
    <s v="TRANSPARENTE"/>
    <n v="14"/>
    <n v="0"/>
    <n v="0"/>
    <n v="21.95"/>
    <n v="87"/>
    <n v="50"/>
    <n v="1740"/>
    <x v="4"/>
    <x v="0"/>
    <n v="18"/>
    <n v="2"/>
    <n v="73.166666666666671"/>
  </r>
  <r>
    <d v="2025-05-26T09:10:00"/>
    <s v="INYECTADO"/>
    <x v="8"/>
    <x v="81"/>
    <s v="LUIS PINEDO"/>
    <s v="VIRGEN"/>
    <s v="PP CLARIFICADO"/>
    <s v="."/>
    <s v="ORGANIZADOR  DE 3KG"/>
    <s v="BASE ORGANIZADOR  DE 3KG-TRANSPARENTE"/>
    <n v="14"/>
    <n v="1"/>
    <n v="2.9"/>
    <x v="0"/>
    <n v="0"/>
    <n v="1"/>
    <n v="1087"/>
    <n v="21550"/>
    <s v="TRANSPARENTE"/>
    <n v="0"/>
    <n v="0"/>
    <n v="0"/>
    <n v="0.7"/>
    <n v="2.9"/>
    <n v="50"/>
    <n v="58"/>
    <x v="4"/>
    <x v="0"/>
    <n v="18"/>
    <n v="2"/>
    <n v="2.3333333333333335"/>
  </r>
  <r>
    <d v="2025-05-26T09:10:00"/>
    <s v="INYECTADO"/>
    <x v="8"/>
    <x v="81"/>
    <s v="LUIS PINEDO"/>
    <s v="VIRGEN"/>
    <s v="PP CLARIFICADO"/>
    <s v="."/>
    <s v="ORGANIZADOR  DE 3KG PASTEL"/>
    <s v="BASE ORGANIZADOR DE 3KG PASTEL-CELESTE"/>
    <n v="166"/>
    <n v="4"/>
    <n v="33"/>
    <x v="0"/>
    <n v="0"/>
    <n v="6"/>
    <n v="1087"/>
    <n v="21550"/>
    <s v="CELESTE"/>
    <n v="0"/>
    <n v="0"/>
    <n v="0"/>
    <n v="16.268000000000001"/>
    <n v="33"/>
    <n v="98"/>
    <n v="336.73469387755102"/>
    <x v="4"/>
    <x v="0"/>
    <n v="18"/>
    <n v="2"/>
    <n v="27.666666666666668"/>
  </r>
  <r>
    <d v="2025-05-26T09:10:00"/>
    <s v="INYECTADO"/>
    <x v="8"/>
    <x v="82"/>
    <s v="LUIS PINEDO"/>
    <s v="VIRGEN"/>
    <s v="PP CLARIFICADO"/>
    <s v="."/>
    <s v="ORGANIZADOR  DE 3KG PASTEL"/>
    <s v="BASE ORGANIZADOR DE 3KG PASTEL-CELESTE"/>
    <n v="45"/>
    <n v="3"/>
    <n v="9"/>
    <x v="0"/>
    <n v="0"/>
    <n v="2"/>
    <n v="1088"/>
    <n v="21551"/>
    <s v="CELESTE"/>
    <n v="17.2"/>
    <n v="0"/>
    <n v="0"/>
    <n v="4.41"/>
    <n v="9"/>
    <n v="98"/>
    <n v="91.836734693877546"/>
    <x v="4"/>
    <x v="0"/>
    <n v="19"/>
    <n v="2"/>
    <n v="7.5"/>
  </r>
  <r>
    <d v="2025-05-26T09:10:00"/>
    <s v="INYECTADO"/>
    <x v="8"/>
    <x v="82"/>
    <s v="LUIS PINEDO"/>
    <s v="VIRGEN"/>
    <s v="PP CLARIFICADO"/>
    <s v="."/>
    <s v="ORGANIZADOR  DE 3KG PASTEL"/>
    <s v="BASE ORGANIZADOR DE 3KG PASTEL-ROSADO"/>
    <n v="243"/>
    <n v="3"/>
    <n v="48"/>
    <x v="0"/>
    <n v="0"/>
    <n v="8"/>
    <n v="1088"/>
    <n v="21551"/>
    <s v="ROSADO"/>
    <n v="7"/>
    <n v="0"/>
    <n v="0"/>
    <n v="23.814"/>
    <n v="48"/>
    <n v="98"/>
    <n v="489.79591836734693"/>
    <x v="4"/>
    <x v="0"/>
    <n v="19"/>
    <n v="2"/>
    <n v="40.5"/>
  </r>
  <r>
    <d v="2025-05-26T09:10:00"/>
    <s v="INYECTADO"/>
    <x v="8"/>
    <x v="82"/>
    <s v="LUIS PINEDO"/>
    <s v="VIRGEN"/>
    <s v="PP CLARIFICADO"/>
    <s v="."/>
    <s v="ORGANIZADOR  DE 3KG PASTEL"/>
    <s v="BASE ORGANIZADOR DE 3KG PASTEL-SANDIA"/>
    <n v="122"/>
    <n v="3"/>
    <n v="24.2"/>
    <x v="0"/>
    <n v="0"/>
    <n v="3"/>
    <n v="1088"/>
    <n v="21551"/>
    <s v="SANDIA"/>
    <n v="0"/>
    <n v="0"/>
    <n v="0"/>
    <n v="11.956"/>
    <n v="24.2"/>
    <n v="98"/>
    <n v="246.9387755102041"/>
    <x v="4"/>
    <x v="0"/>
    <n v="19"/>
    <n v="2"/>
    <n v="20.333333333333332"/>
  </r>
  <r>
    <d v="2025-05-26T09:10:00"/>
    <s v="INYECTADO"/>
    <x v="8"/>
    <x v="83"/>
    <s v="JOSDER GONZALEZ"/>
    <s v="VIRGEN"/>
    <s v="PP CLARIFICADO"/>
    <s v="."/>
    <s v="ORGANIZADOR  DE 3KG PASTEL"/>
    <s v="BASE ORGANIZADOR DE 3KG PASTEL-SANDIA"/>
    <n v="52"/>
    <n v="2"/>
    <n v="9.9"/>
    <x v="0"/>
    <n v="0"/>
    <n v="2"/>
    <n v="1088"/>
    <n v="21552"/>
    <s v="SANDIA"/>
    <n v="3.5"/>
    <n v="0"/>
    <n v="0"/>
    <n v="5.0960000000000001"/>
    <n v="9.9"/>
    <n v="98"/>
    <n v="101.0204081632653"/>
    <x v="4"/>
    <x v="0"/>
    <n v="19"/>
    <n v="2"/>
    <n v="8.6666666666666661"/>
  </r>
  <r>
    <d v="2025-05-26T09:10:00"/>
    <s v="INYECTADO"/>
    <x v="8"/>
    <x v="83"/>
    <s v="JOSDER GONZALEZ"/>
    <s v="VIRGEN"/>
    <s v="PP CLARIFICADO"/>
    <s v="."/>
    <s v="ORGANIZADOR  DE 3KG PASTEL"/>
    <s v="BASE ORGANIZADOR DE 3KG PASTEL-AZURE"/>
    <n v="472"/>
    <n v="5"/>
    <n v="89.7"/>
    <x v="0"/>
    <n v="0"/>
    <n v="8"/>
    <n v="1088"/>
    <n v="21552"/>
    <s v="AZURE"/>
    <n v="15.2"/>
    <n v="0"/>
    <n v="0"/>
    <n v="46.256"/>
    <n v="89.7"/>
    <n v="98"/>
    <n v="915.30612244897964"/>
    <x v="4"/>
    <x v="0"/>
    <n v="19"/>
    <n v="2"/>
    <n v="78.666666666666671"/>
  </r>
  <r>
    <d v="2025-05-26T09:10:00"/>
    <s v="INYECTADO"/>
    <x v="8"/>
    <x v="83"/>
    <s v="JOSDER GONZALEZ"/>
    <s v="VIRGEN"/>
    <s v="PP CLARIFICADO"/>
    <s v="."/>
    <s v="ORGANIZADOR  DE 3KG PASTEL"/>
    <s v="BASE ORGANIZADOR DE 3KG PASTEL-LILA"/>
    <n v="221"/>
    <n v="3"/>
    <n v="42.1"/>
    <x v="0"/>
    <n v="0"/>
    <n v="8"/>
    <n v="1088"/>
    <n v="21552"/>
    <s v="LILA"/>
    <n v="0"/>
    <n v="0"/>
    <n v="0"/>
    <n v="21.658000000000001"/>
    <n v="42.1"/>
    <n v="98"/>
    <n v="429.59183673469386"/>
    <x v="4"/>
    <x v="0"/>
    <n v="19"/>
    <n v="2"/>
    <n v="36.833333333333336"/>
  </r>
  <r>
    <d v="2025-05-26T09:10:00"/>
    <s v="INYECTADO"/>
    <x v="8"/>
    <x v="93"/>
    <s v="ISABEL LINARIZ "/>
    <s v="VIRGEN"/>
    <s v="PP CLARIFICADO"/>
    <s v="."/>
    <s v="ORGANIZADOR  DE 3KG PASTEL"/>
    <s v="BASE ORGANIZADOR DE 3KG PASTEL-LILA"/>
    <n v="131"/>
    <n v="2"/>
    <n v="24.6"/>
    <x v="0"/>
    <n v="0"/>
    <n v="5"/>
    <n v="1088"/>
    <n v="21553"/>
    <s v="LILA"/>
    <n v="6.7"/>
    <n v="0"/>
    <n v="0"/>
    <n v="12.837999999999999"/>
    <n v="24.6"/>
    <n v="98"/>
    <n v="251.0204081632653"/>
    <x v="4"/>
    <x v="0"/>
    <n v="19"/>
    <n v="2"/>
    <n v="21.833333333333332"/>
  </r>
  <r>
    <d v="2025-05-26T09:10:00"/>
    <s v="INYECTADO"/>
    <x v="8"/>
    <x v="93"/>
    <s v="ISABEL LINARIZ "/>
    <s v="VIRGEN"/>
    <s v="PP CLARIFICADO"/>
    <s v="."/>
    <s v="ORGANIZADOR  DE 3KG PASTEL"/>
    <s v="BASE ORGANIZADOR DE 3KG PASTEL-TURQUESA"/>
    <n v="450"/>
    <n v="8"/>
    <n v="74.900000000000006"/>
    <x v="0"/>
    <n v="0"/>
    <n v="17"/>
    <n v="1088"/>
    <n v="21553"/>
    <s v="TURQUESA"/>
    <n v="17"/>
    <n v="0"/>
    <n v="0"/>
    <n v="44.1"/>
    <n v="74.900000000000006"/>
    <n v="98"/>
    <n v="764.28571428571433"/>
    <x v="4"/>
    <x v="0"/>
    <n v="19"/>
    <n v="2"/>
    <n v="75"/>
  </r>
  <r>
    <d v="2025-05-26T09:10:00"/>
    <s v="INYECTADO"/>
    <x v="8"/>
    <x v="94"/>
    <s v="JOSDER GONZALEZ"/>
    <s v="VIRGEN"/>
    <s v="PP CLARIFICADO"/>
    <s v="."/>
    <s v="ORGANIZADOR  DE 3KG PASTEL"/>
    <s v="BASE ORGANIZADOR DE 3KG PASTEL-TURQUESA"/>
    <n v="60"/>
    <n v="1"/>
    <n v="5.9"/>
    <x v="0"/>
    <n v="0"/>
    <n v="1"/>
    <n v="1088"/>
    <n v="21554"/>
    <s v="TURQUESA"/>
    <n v="3.9"/>
    <n v="0"/>
    <n v="0"/>
    <n v="5.88"/>
    <n v="5.9"/>
    <n v="98"/>
    <n v="60.204081632653065"/>
    <x v="4"/>
    <x v="0"/>
    <n v="19"/>
    <n v="2"/>
    <n v="10"/>
  </r>
  <r>
    <d v="2025-05-26T09:10:00"/>
    <s v="INYECTADO"/>
    <x v="8"/>
    <x v="94"/>
    <s v="JOSDER GONZALEZ"/>
    <s v="VIRGEN"/>
    <s v="PP CLARIFICADO"/>
    <s v="."/>
    <s v="ORGANIZADOR  DE 3KG PASTEL"/>
    <s v="BASE ORGANIZADOR DE 3KG PASTEL-CELESTE"/>
    <n v="469"/>
    <n v="5"/>
    <n v="46.4"/>
    <x v="0"/>
    <n v="0"/>
    <n v="8"/>
    <n v="1088"/>
    <n v="21554"/>
    <s v="CELESTE"/>
    <n v="6.6"/>
    <n v="0"/>
    <n v="0"/>
    <n v="45.962000000000003"/>
    <n v="46.4"/>
    <n v="98"/>
    <n v="473.46938775510205"/>
    <x v="4"/>
    <x v="0"/>
    <n v="19"/>
    <n v="2"/>
    <n v="78.166666666666671"/>
  </r>
  <r>
    <d v="2025-05-26T09:10:00"/>
    <s v="INYECTADO"/>
    <x v="8"/>
    <x v="94"/>
    <s v="JOSDER GONZALEZ"/>
    <s v="VIRGEN"/>
    <s v="PP CLARIFICADO"/>
    <s v="."/>
    <s v="ORGANIZADOR  DE 3KG PASTEL"/>
    <s v="BASE ORGANIZADOR DE 3KG PASTEL-ROSADO"/>
    <n v="340"/>
    <n v="4"/>
    <n v="33.6"/>
    <x v="0"/>
    <n v="0"/>
    <n v="8"/>
    <n v="1088"/>
    <n v="21554"/>
    <s v="ROSADO"/>
    <n v="1.8"/>
    <n v="0"/>
    <n v="0"/>
    <n v="33.32"/>
    <n v="33.6"/>
    <n v="98"/>
    <n v="342.85714285714283"/>
    <x v="4"/>
    <x v="0"/>
    <n v="19"/>
    <n v="2"/>
    <n v="56.666666666666664"/>
  </r>
  <r>
    <d v="2025-05-26T09:10:00"/>
    <s v="INYECTADO"/>
    <x v="8"/>
    <x v="94"/>
    <s v="GABRIEL REQUENA"/>
    <s v="VIRGEN"/>
    <s v="PP CLARIFICADO"/>
    <s v="."/>
    <s v="ORGANIZADOR  DE 3KG PASTEL"/>
    <s v="BASE ORGANIZADOR DE 3KG PASTEL-LILA"/>
    <n v="240"/>
    <n v="2"/>
    <n v="25.9"/>
    <x v="1"/>
    <n v="0"/>
    <n v="4"/>
    <n v="1088"/>
    <n v="21555"/>
    <s v="LILA"/>
    <n v="0"/>
    <n v="0"/>
    <n v="0"/>
    <n v="23.52"/>
    <n v="25.9"/>
    <n v="98"/>
    <n v="264.28571428571428"/>
    <x v="4"/>
    <x v="0"/>
    <n v="19"/>
    <n v="2"/>
    <n v="40"/>
  </r>
  <r>
    <d v="2025-05-26T09:10:00"/>
    <s v="INYECTADO"/>
    <x v="8"/>
    <x v="94"/>
    <s v="GABRIEL REQUENA"/>
    <s v="VIRGEN"/>
    <s v="PP CLARIFICADO"/>
    <s v="."/>
    <s v="ORGANIZADOR  DE 3KG PASTEL"/>
    <s v="BASE ORGANIZADOR DE 3KG PASTEL-SANDIA"/>
    <n v="473"/>
    <n v="4"/>
    <n v="46.3"/>
    <x v="1"/>
    <n v="0"/>
    <n v="8"/>
    <n v="1088"/>
    <n v="21555"/>
    <s v="SANDIA"/>
    <n v="0"/>
    <n v="0"/>
    <n v="0"/>
    <n v="46.353999999999999"/>
    <n v="46.3"/>
    <n v="98"/>
    <n v="472.44897959183675"/>
    <x v="4"/>
    <x v="0"/>
    <n v="19"/>
    <n v="2"/>
    <n v="78.833333333333329"/>
  </r>
  <r>
    <d v="2025-05-26T09:10:00"/>
    <s v="INYECTADO"/>
    <x v="8"/>
    <x v="94"/>
    <s v="GABRIEL REQUENA"/>
    <s v="VIRGEN"/>
    <s v="PP CLARIFICADO"/>
    <s v="."/>
    <s v="ORGANIZADOR  DE 3KG CARAMELO"/>
    <s v="BASE ORGANIZADOR  DE 3KG CARAMELO-AZUL"/>
    <n v="362"/>
    <n v="4"/>
    <n v="35.4"/>
    <x v="1"/>
    <n v="0"/>
    <n v="6"/>
    <n v="1088"/>
    <n v="21555"/>
    <s v="AZUL"/>
    <n v="0"/>
    <n v="0"/>
    <n v="0"/>
    <n v="35.475999999999999"/>
    <n v="35.4"/>
    <n v="98"/>
    <n v="361.22448979591837"/>
    <x v="4"/>
    <x v="0"/>
    <n v="19"/>
    <n v="2"/>
    <n v="60.333333333333336"/>
  </r>
  <r>
    <d v="2025-05-26T09:10:00"/>
    <s v="INYECTADO"/>
    <x v="8"/>
    <x v="94"/>
    <s v="GABRIEL REQUENA"/>
    <s v="VIRGEN"/>
    <s v="PP CLARIFICADO"/>
    <s v="."/>
    <s v="ORGANIZADOR  DE 3KG CARAMELO"/>
    <s v="BASE ORGANIZADOR  DE 3KG CARAMELO-LILA"/>
    <n v="119"/>
    <n v="1"/>
    <n v="11.6"/>
    <x v="1"/>
    <n v="0"/>
    <n v="2"/>
    <n v="1088"/>
    <n v="21555"/>
    <s v="LILA"/>
    <n v="0"/>
    <n v="0"/>
    <n v="0"/>
    <n v="11.662000000000001"/>
    <n v="11.6"/>
    <n v="98"/>
    <n v="118.36734693877551"/>
    <x v="4"/>
    <x v="0"/>
    <n v="19"/>
    <n v="2"/>
    <n v="19.833333333333332"/>
  </r>
  <r>
    <d v="2025-05-26T09:10:00"/>
    <s v="INYECTADO"/>
    <x v="8"/>
    <x v="96"/>
    <s v="GABRIEL ORDAZ"/>
    <s v="VIRGEN"/>
    <s v="PP CLARIFICADO"/>
    <s v="."/>
    <s v="ORGANIZADOR  DE 3KG CARAMELO"/>
    <s v="BASE ORGANIZADOR  DE 3KG CARAMELO-LILA"/>
    <n v="219"/>
    <n v="2"/>
    <n v="21.4"/>
    <x v="0"/>
    <n v="0"/>
    <n v="2"/>
    <n v="1088"/>
    <n v="21556"/>
    <s v="LILA"/>
    <n v="5.4"/>
    <n v="0"/>
    <n v="0"/>
    <n v="21.462"/>
    <n v="21.4"/>
    <n v="98"/>
    <n v="218.36734693877551"/>
    <x v="4"/>
    <x v="0"/>
    <n v="19"/>
    <n v="2"/>
    <n v="36.5"/>
  </r>
  <r>
    <d v="2025-05-26T09:10:00"/>
    <s v="INYECTADO"/>
    <x v="8"/>
    <x v="96"/>
    <s v="GABRIEL ORDAZ"/>
    <s v="VIRGEN"/>
    <s v="PP CLARIFICADO"/>
    <s v="."/>
    <s v="ORGANIZADOR  DE 3KG"/>
    <s v="BASE ORGANIZADOR  DE 3KG-TRANSPARENTE"/>
    <n v="1079"/>
    <n v="8"/>
    <n v="105.7"/>
    <x v="0"/>
    <n v="0"/>
    <n v="15"/>
    <n v="1088"/>
    <n v="21556"/>
    <s v="TRANSPARENTE"/>
    <n v="2.4"/>
    <n v="0"/>
    <n v="0"/>
    <n v="53.95"/>
    <n v="105.7"/>
    <n v="50"/>
    <n v="2114"/>
    <x v="4"/>
    <x v="0"/>
    <n v="19"/>
    <n v="2"/>
    <n v="179.83333333333334"/>
  </r>
  <r>
    <d v="2025-05-26T09:10:00"/>
    <s v="INYECTADO"/>
    <x v="8"/>
    <x v="96"/>
    <s v="GABRIEL ORDAZ"/>
    <s v="VIRGEN"/>
    <s v="PP CLARIFICADO"/>
    <s v="."/>
    <s v="ORGANIZADOR  DE 3KG"/>
    <s v="BASE ORGANIZADOR  DE 3KG-TRANSPARENTE"/>
    <n v="1168"/>
    <n v="12"/>
    <n v="114.4"/>
    <x v="1"/>
    <n v="0"/>
    <n v="20"/>
    <n v="1088"/>
    <n v="21557"/>
    <s v="TRANSPARENTE"/>
    <n v="3.1"/>
    <n v="0"/>
    <n v="0"/>
    <n v="58.4"/>
    <n v="114.4"/>
    <n v="50"/>
    <n v="2288"/>
    <x v="4"/>
    <x v="0"/>
    <n v="19"/>
    <n v="2"/>
    <n v="194.66666666666666"/>
  </r>
  <r>
    <d v="2025-05-26T09:10:00"/>
    <s v="INYECTADO"/>
    <x v="8"/>
    <x v="97"/>
    <s v="ISABEL LINARIZ "/>
    <s v="VIRGEN"/>
    <s v="PP CLARIFICADO"/>
    <s v="."/>
    <s v="ORGANIZADOR  DE 3KG"/>
    <s v="BASE ORGANIZADOR  DE 3KG-TRANSPARENTE"/>
    <n v="1242"/>
    <n v="11"/>
    <n v="120.4"/>
    <x v="0"/>
    <n v="0"/>
    <n v="11"/>
    <n v="1100"/>
    <n v="21558"/>
    <s v="TRANSPARENTE"/>
    <n v="4.9000000000000004"/>
    <n v="0"/>
    <n v="0"/>
    <n v="62.1"/>
    <n v="120.4"/>
    <n v="50"/>
    <n v="2408"/>
    <x v="4"/>
    <x v="0"/>
    <n v="19"/>
    <n v="2"/>
    <n v="207"/>
  </r>
  <r>
    <d v="2025-05-26T09:10:00"/>
    <s v="INYECTADO"/>
    <x v="8"/>
    <x v="97"/>
    <s v="JUAN MANUEL PEREZ"/>
    <s v="VIRGEN"/>
    <s v="PP CLARIFICADO"/>
    <s v="."/>
    <s v="ORGANIZADOR  DE 3KG"/>
    <s v="BASE ORGANIZADOR  DE 3KG-TRANSPARENTE"/>
    <n v="1260"/>
    <n v="12"/>
    <n v="122.2"/>
    <x v="1"/>
    <n v="0"/>
    <n v="21"/>
    <n v="1100"/>
    <n v="21559"/>
    <s v="TRANSPARENTE"/>
    <n v="3.1"/>
    <n v="0"/>
    <n v="0"/>
    <n v="63"/>
    <n v="122.2"/>
    <n v="50"/>
    <n v="2444"/>
    <x v="4"/>
    <x v="0"/>
    <n v="19"/>
    <n v="2"/>
    <n v="210"/>
  </r>
  <r>
    <d v="2025-05-26T09:10:00"/>
    <s v="INYECTADO"/>
    <x v="8"/>
    <x v="107"/>
    <s v="SAID VILLAMIZAR"/>
    <s v="VIRGEN"/>
    <s v="PP CLARIFICADO"/>
    <s v="."/>
    <s v="ORGANIZADOR  DE 3KG"/>
    <s v="BASE ORGANIZADOR  DE 3KG-TRANSPARENTE"/>
    <n v="300"/>
    <n v="4"/>
    <n v="29.1"/>
    <x v="0"/>
    <n v="0"/>
    <n v="5"/>
    <n v="1100"/>
    <n v="21560"/>
    <s v="TRANSPARENTE"/>
    <n v="18.5"/>
    <n v="0"/>
    <n v="0"/>
    <n v="15"/>
    <n v="29.1"/>
    <n v="50"/>
    <n v="582"/>
    <x v="4"/>
    <x v="0"/>
    <n v="19"/>
    <n v="2"/>
    <n v="50"/>
  </r>
  <r>
    <d v="2025-05-26T09:10:00"/>
    <s v="INYECTADO"/>
    <x v="8"/>
    <x v="105"/>
    <s v="ISABEL LINARIZ "/>
    <s v="VIRGEN"/>
    <s v="PP CLARIFICADO"/>
    <s v="."/>
    <s v="ORGANIZADOR  DE 3KG"/>
    <s v="BASE ORGANIZADOR  DE 3KG-TRANSPARENTE"/>
    <n v="645"/>
    <n v="6"/>
    <n v="61.9"/>
    <x v="0"/>
    <n v="0"/>
    <n v="6"/>
    <n v="1100"/>
    <n v="21561"/>
    <s v="TRANSPARENTE"/>
    <n v="6.2"/>
    <n v="0"/>
    <n v="0"/>
    <n v="32.25"/>
    <n v="61.9"/>
    <n v="50"/>
    <n v="1238"/>
    <x v="4"/>
    <x v="0"/>
    <n v="20"/>
    <n v="2"/>
    <n v="107.5"/>
  </r>
  <r>
    <d v="2025-05-26T09:10:00"/>
    <s v="INYECTADO"/>
    <x v="8"/>
    <x v="105"/>
    <s v="ISABEL LINARIZ "/>
    <s v="VIRGEN"/>
    <s v="PP CLARIFICADO"/>
    <s v="."/>
    <s v="ORGANIZADOR  DE 3KG CARAMELO"/>
    <s v="BASE ORGANIZADOR  DE 3KG CARAMELO-ROJO"/>
    <n v="240"/>
    <n v="2"/>
    <n v="25.2"/>
    <x v="0"/>
    <n v="0"/>
    <n v="4"/>
    <n v="1100"/>
    <n v="21561"/>
    <s v="ROJO"/>
    <n v="5.7"/>
    <n v="0"/>
    <n v="0"/>
    <n v="23.52"/>
    <n v="25.2"/>
    <n v="98"/>
    <n v="257.14285714285717"/>
    <x v="4"/>
    <x v="0"/>
    <n v="20"/>
    <n v="2"/>
    <n v="40"/>
  </r>
  <r>
    <d v="2025-05-26T09:10:00"/>
    <s v="INYECTADO"/>
    <x v="8"/>
    <x v="105"/>
    <s v="ISABEL LINARIZ "/>
    <s v="VIRGEN"/>
    <s v="PP CLARIFICADO"/>
    <s v="."/>
    <s v="ORGANIZADOR  DE 3KG CARAMELO"/>
    <s v="BASE ORGANIZADOR  DE 3KG CARAMELO-LILA"/>
    <n v="39"/>
    <n v="1"/>
    <n v="3.9"/>
    <x v="0"/>
    <n v="0"/>
    <n v="1"/>
    <n v="1100"/>
    <n v="21561"/>
    <s v="LILA"/>
    <n v="6.6"/>
    <n v="0"/>
    <n v="0"/>
    <n v="3.8220000000000001"/>
    <n v="3.9"/>
    <n v="98"/>
    <n v="39.795918367346935"/>
    <x v="4"/>
    <x v="0"/>
    <n v="20"/>
    <n v="2"/>
    <n v="6.5"/>
  </r>
  <r>
    <d v="2025-05-26T09:10:00"/>
    <s v="INYECTADO"/>
    <x v="8"/>
    <x v="84"/>
    <s v="BRAYAN PINEDO"/>
    <s v="VIRGEN"/>
    <s v="PP CLARIFICADO"/>
    <s v="."/>
    <s v="ORGANIZADOR  DE 3KG CARAMELO"/>
    <s v="BASE ORGANIZADOR  DE 3KG CARAMELO-LILA"/>
    <n v="80"/>
    <n v="2"/>
    <n v="0.8"/>
    <x v="0"/>
    <n v="0"/>
    <n v="2"/>
    <n v="1100"/>
    <n v="21562"/>
    <s v="LILA"/>
    <n v="0"/>
    <n v="0"/>
    <n v="0"/>
    <n v="7.84"/>
    <n v="0.8"/>
    <n v="98"/>
    <n v="8.1632653061224492"/>
    <x v="4"/>
    <x v="0"/>
    <n v="20"/>
    <n v="2"/>
    <n v="13.333333333333334"/>
  </r>
  <r>
    <d v="2025-05-26T09:10:00"/>
    <s v="INYECTADO"/>
    <x v="8"/>
    <x v="84"/>
    <s v="BRAYAN PINEDO"/>
    <s v="VIRGEN"/>
    <s v="PP CLARIFICADO"/>
    <s v="."/>
    <s v="ORGANIZADOR  DE 3KG CARAMELO"/>
    <s v="BASE ORGANIZADOR  DE 3KG-TRANSPARENTE"/>
    <n v="516"/>
    <n v="4"/>
    <n v="51.6"/>
    <x v="0"/>
    <n v="0"/>
    <n v="8"/>
    <n v="1100"/>
    <n v="21562"/>
    <s v="TRANSPARENTE"/>
    <n v="0"/>
    <n v="0"/>
    <n v="0"/>
    <n v="25.8"/>
    <n v="51.6"/>
    <n v="50"/>
    <n v="1032"/>
    <x v="4"/>
    <x v="0"/>
    <n v="20"/>
    <n v="2"/>
    <n v="86"/>
  </r>
  <r>
    <d v="2025-05-26T09:10:00"/>
    <s v="INYECTADO"/>
    <x v="8"/>
    <x v="84"/>
    <s v="BRAYAN PINEDO"/>
    <s v="VIRGEN"/>
    <s v="PP CLARIFICADO"/>
    <s v="."/>
    <s v="ORGANIZADOR  DE 3KG CARAMELO"/>
    <s v="BASE ORGANIZADOR  DE 3KG CARAMELO-VERDE"/>
    <n v="207"/>
    <n v="2"/>
    <n v="20.7"/>
    <x v="0"/>
    <n v="0"/>
    <n v="4"/>
    <n v="1100"/>
    <n v="21562"/>
    <s v="VERDE"/>
    <n v="0"/>
    <n v="0"/>
    <n v="0"/>
    <n v="20.286000000000001"/>
    <n v="20.7"/>
    <n v="98"/>
    <n v="211.22448979591837"/>
    <x v="4"/>
    <x v="0"/>
    <n v="20"/>
    <n v="2"/>
    <n v="34.5"/>
  </r>
  <r>
    <d v="2025-05-26T09:10:00"/>
    <s v="INYECTADO"/>
    <x v="8"/>
    <x v="84"/>
    <s v="BRAYAN PINEDO"/>
    <s v="VIRGEN"/>
    <s v="PP CLARIFICADO"/>
    <s v="."/>
    <s v="ORGANIZADOR  DE 3KG CARAMELO"/>
    <s v="BASE ORGANIZADOR  DE 3KG CARAMELO-FUCSIA"/>
    <n v="113"/>
    <n v="1"/>
    <n v="11.3"/>
    <x v="0"/>
    <n v="0"/>
    <n v="2"/>
    <n v="1100"/>
    <n v="21562"/>
    <s v="FUCSIA"/>
    <n v="0"/>
    <n v="0"/>
    <n v="0"/>
    <n v="11.074"/>
    <n v="11.3"/>
    <n v="98"/>
    <n v="115.30612244897959"/>
    <x v="4"/>
    <x v="0"/>
    <n v="20"/>
    <n v="2"/>
    <n v="18.833333333333332"/>
  </r>
  <r>
    <d v="2025-05-26T09:10:00"/>
    <s v="INYECTADO"/>
    <x v="8"/>
    <x v="84"/>
    <s v="BRAYAN PINEDO"/>
    <s v="VIRGEN"/>
    <s v="PP CLARIFICADO"/>
    <s v="."/>
    <s v="ORGANIZADOR  DE 3KG CARAMELO"/>
    <s v="BASE ORGANIZADOR  DE 3KG CARAMELO-AMARILLO"/>
    <n v="120"/>
    <n v="2"/>
    <n v="12"/>
    <x v="0"/>
    <n v="0"/>
    <n v="2"/>
    <n v="1100"/>
    <n v="21562"/>
    <s v="AMARILLO"/>
    <n v="0"/>
    <n v="0"/>
    <n v="0"/>
    <n v="11.76"/>
    <n v="12"/>
    <n v="98"/>
    <n v="122.44897959183673"/>
    <x v="4"/>
    <x v="0"/>
    <n v="20"/>
    <n v="2"/>
    <n v="20"/>
  </r>
  <r>
    <d v="2025-05-26T09:10:00"/>
    <s v="INYECTADO"/>
    <x v="8"/>
    <x v="87"/>
    <s v="NELSON PINEDO"/>
    <s v="VIRGEN"/>
    <s v="PP CLARIFICADO"/>
    <s v="."/>
    <s v="TAPER ALEMAN 2800ML CARAMELO"/>
    <s v="TAPER 2800ML CARAMELO-AZUL"/>
    <n v="60"/>
    <n v="1"/>
    <n v="8.1"/>
    <x v="0"/>
    <n v="0"/>
    <n v="1"/>
    <n v="1110"/>
    <n v="21563"/>
    <s v="AZUL"/>
    <n v="0"/>
    <n v="0"/>
    <n v="0"/>
    <n v="8.2799999999999994"/>
    <n v="8.1"/>
    <n v="138"/>
    <n v="58.695652173913047"/>
    <x v="4"/>
    <x v="0"/>
    <n v="20"/>
    <n v="1"/>
    <n v="5"/>
  </r>
  <r>
    <d v="2025-05-26T09:10:00"/>
    <s v="INYECTADO"/>
    <x v="8"/>
    <x v="88"/>
    <s v="ISABEL LINARIZ "/>
    <s v="VIRGEN"/>
    <s v="PP CLARIFICADO"/>
    <s v="."/>
    <s v="TAPER ALEMAN 2800ML CARAMELO"/>
    <s v="TAPER 2800ML CARAMELO-AZUL"/>
    <n v="283"/>
    <n v="3"/>
    <n v="38.299999999999997"/>
    <x v="0"/>
    <n v="0"/>
    <n v="5"/>
    <n v="1110"/>
    <n v="21564"/>
    <s v="AZUL"/>
    <n v="2.5"/>
    <n v="0"/>
    <n v="0"/>
    <n v="39.054000000000002"/>
    <n v="38.299999999999997"/>
    <n v="138"/>
    <n v="277.536231884058"/>
    <x v="4"/>
    <x v="0"/>
    <n v="20"/>
    <n v="1"/>
    <n v="23.583333333333332"/>
  </r>
  <r>
    <d v="2025-05-26T09:10:00"/>
    <s v="INYECTADO"/>
    <x v="8"/>
    <x v="88"/>
    <s v="ISABEL LINARIZ "/>
    <s v="VIRGEN"/>
    <s v="PP CLARIFICADO"/>
    <s v="."/>
    <s v="TAPER ALEMAN 2800ML CARAMELO"/>
    <s v="TAPER 2800ML CARAMELO-LILA"/>
    <n v="359"/>
    <n v="3"/>
    <n v="48.5"/>
    <x v="0"/>
    <n v="0"/>
    <n v="6"/>
    <n v="1110"/>
    <n v="21564"/>
    <s v="LILA"/>
    <n v="9.1999999999999993"/>
    <n v="0"/>
    <n v="0"/>
    <n v="49.542000000000002"/>
    <n v="48.5"/>
    <n v="138"/>
    <n v="351.44927536231882"/>
    <x v="4"/>
    <x v="0"/>
    <n v="20"/>
    <n v="1"/>
    <n v="29.916666666666668"/>
  </r>
  <r>
    <d v="2025-05-26T09:10:00"/>
    <s v="INYECTADO"/>
    <x v="8"/>
    <x v="88"/>
    <s v="ISABEL LINARIZ "/>
    <s v="VIRGEN"/>
    <s v="PP CLARIFICADO"/>
    <s v="."/>
    <s v="TAPER ALEMAN 2800ML CARAMELO"/>
    <s v="TAPER 2800ML CARAMELO-FUCSIA"/>
    <n v="343"/>
    <n v="4"/>
    <n v="46.4"/>
    <x v="0"/>
    <n v="0"/>
    <n v="6"/>
    <n v="1110"/>
    <n v="21564"/>
    <s v="FUCSIA"/>
    <n v="5.2"/>
    <n v="0"/>
    <n v="0"/>
    <n v="47.334000000000003"/>
    <n v="46.4"/>
    <n v="138"/>
    <n v="336.231884057971"/>
    <x v="4"/>
    <x v="0"/>
    <n v="20"/>
    <n v="1"/>
    <n v="28.583333333333332"/>
  </r>
  <r>
    <d v="2025-05-26T09:10:00"/>
    <s v="INYECTADO"/>
    <x v="8"/>
    <x v="88"/>
    <s v="JOSDER GONZALEZ"/>
    <s v="VIRGEN"/>
    <s v="PP CLARIFICADO"/>
    <s v="."/>
    <s v="TAPER ALEMAN 2800ML CARAMELO"/>
    <s v="TAPER 2800ML CARAMELO-ROJO"/>
    <n v="334"/>
    <n v="4"/>
    <n v="44.8"/>
    <x v="1"/>
    <n v="0"/>
    <n v="6"/>
    <n v="1110"/>
    <n v="21565"/>
    <s v="ROJO"/>
    <n v="11.2"/>
    <n v="0"/>
    <n v="0"/>
    <n v="46.091999999999999"/>
    <n v="44.8"/>
    <n v="138"/>
    <n v="324.63768115942031"/>
    <x v="4"/>
    <x v="0"/>
    <n v="20"/>
    <n v="1"/>
    <n v="27.833333333333332"/>
  </r>
  <r>
    <d v="2025-05-26T09:10:00"/>
    <s v="INYECTADO"/>
    <x v="8"/>
    <x v="88"/>
    <s v="JOSDER GONZALEZ"/>
    <s v="VIRGEN"/>
    <s v="PP CLARIFICADO"/>
    <s v="."/>
    <s v="TAPER ALEMAN 2800ML CARAMELO"/>
    <s v="TAPER 2800ML CARAMELO-AMARILLO"/>
    <n v="292"/>
    <n v="3"/>
    <n v="39.200000000000003"/>
    <x v="1"/>
    <n v="0"/>
    <n v="5"/>
    <n v="1110"/>
    <n v="21565"/>
    <s v="AMARILLO"/>
    <n v="11.9"/>
    <n v="0"/>
    <n v="0"/>
    <n v="40.295999999999999"/>
    <n v="39.200000000000003"/>
    <n v="138"/>
    <n v="284.05797101449275"/>
    <x v="4"/>
    <x v="0"/>
    <n v="20"/>
    <n v="1"/>
    <n v="24.333333333333332"/>
  </r>
  <r>
    <d v="2025-05-26T09:10:00"/>
    <s v="INYECTADO"/>
    <x v="8"/>
    <x v="88"/>
    <s v="JOSDER GONZALEZ"/>
    <s v="VIRGEN"/>
    <s v="PP CLARIFICADO"/>
    <s v="."/>
    <s v="TAPER ALEMAN 2800ML CARAMELO"/>
    <s v="TAPER 2800ML CARAMELO-VERDE"/>
    <n v="311"/>
    <n v="3"/>
    <n v="41.7"/>
    <x v="1"/>
    <n v="0"/>
    <n v="5"/>
    <n v="1110"/>
    <n v="21565"/>
    <s v="VERDE"/>
    <n v="11.7"/>
    <n v="0"/>
    <n v="0"/>
    <n v="42.917999999999999"/>
    <n v="41.7"/>
    <n v="138"/>
    <n v="302.17391304347825"/>
    <x v="4"/>
    <x v="0"/>
    <n v="20"/>
    <n v="1"/>
    <n v="25.916666666666668"/>
  </r>
  <r>
    <d v="2025-05-26T09:10:00"/>
    <s v="INYECTADO"/>
    <x v="8"/>
    <x v="88"/>
    <s v="JOSDER GONZALEZ"/>
    <s v="VIRGEN"/>
    <s v="PP CLARIFICADO"/>
    <s v="."/>
    <s v="TAPER ALEMAN 2800ML TRANSP"/>
    <s v="TAPER 2800ML TRANSP-TRANSPARENTE"/>
    <n v="30"/>
    <n v="1"/>
    <n v="4.0999999999999996"/>
    <x v="1"/>
    <n v="0"/>
    <n v="1"/>
    <n v="1110"/>
    <n v="21565"/>
    <s v="TRANSPARENTE"/>
    <n v="4.5999999999999996"/>
    <n v="0"/>
    <n v="0"/>
    <n v="4.0199999999999996"/>
    <n v="4.0999999999999996"/>
    <n v="134"/>
    <n v="30.597014925373134"/>
    <x v="4"/>
    <x v="0"/>
    <n v="20"/>
    <n v="1"/>
    <n v="2.5"/>
  </r>
  <r>
    <d v="2025-05-26T09:10:00"/>
    <s v="INYECTADO"/>
    <x v="8"/>
    <x v="108"/>
    <s v="SEBASTIAN MURGA"/>
    <s v="VIRGEN"/>
    <s v="PP CLARIFICADO"/>
    <s v="."/>
    <s v="TAPER ALEMAN 2800ML TRANSP"/>
    <s v="TAPER 2800ML TRANSP-TRANSPARENTE"/>
    <n v="803"/>
    <n v="8"/>
    <n v="103.6"/>
    <x v="0"/>
    <n v="0"/>
    <n v="13"/>
    <n v="1110"/>
    <n v="21566"/>
    <s v="TRANSPARENTE"/>
    <n v="8.6"/>
    <n v="0"/>
    <n v="0"/>
    <n v="107.602"/>
    <n v="103.6"/>
    <n v="134"/>
    <n v="773.1343283582089"/>
    <x v="4"/>
    <x v="0"/>
    <n v="20"/>
    <n v="1"/>
    <n v="66.916666666666671"/>
  </r>
  <r>
    <d v="2025-05-26T09:10:00"/>
    <s v="INYECTADO"/>
    <x v="8"/>
    <x v="98"/>
    <m/>
    <s v="VIRGEN"/>
    <s v="PP CLARIFICADO"/>
    <s v="."/>
    <s v="TAPER ALEMAN 2800ML TRANSP"/>
    <s v="TAPER 2800ML TRANSP-TRANSPARENTE"/>
    <n v="306"/>
    <n v="4"/>
    <n v="41.4"/>
    <x v="0"/>
    <n v="0"/>
    <n v="5"/>
    <n v="1110"/>
    <n v="21567"/>
    <s v="TRANSPARENTE"/>
    <n v="0"/>
    <n v="0"/>
    <n v="0"/>
    <n v="41.003999999999998"/>
    <n v="41.4"/>
    <n v="134"/>
    <n v="308.95522388059703"/>
    <x v="4"/>
    <x v="0"/>
    <n v="21"/>
    <n v="1"/>
    <n v="25.5"/>
  </r>
  <r>
    <d v="2025-05-26T09:10:00"/>
    <s v="INYECTADO"/>
    <x v="8"/>
    <x v="99"/>
    <s v="CARLOS SULCA"/>
    <s v="VIRGEN"/>
    <s v="PP CLARIFICADO"/>
    <s v="."/>
    <s v="TAPER ALEMAN 2800ML TRANSP"/>
    <s v="TAPER 2800ML TRANSP-TRANSPARENTE"/>
    <n v="832"/>
    <n v="8"/>
    <n v="114.9"/>
    <x v="0"/>
    <n v="0"/>
    <n v="14"/>
    <n v="1110"/>
    <n v="21568"/>
    <s v="TRANSPARENTE"/>
    <n v="12.6"/>
    <n v="0"/>
    <n v="0"/>
    <n v="111.488"/>
    <n v="114.9"/>
    <n v="134"/>
    <n v="857.46268656716416"/>
    <x v="4"/>
    <x v="0"/>
    <n v="21"/>
    <n v="1"/>
    <n v="69.333333333333329"/>
  </r>
  <r>
    <d v="2025-05-26T09:10:00"/>
    <s v="INYECTADO"/>
    <x v="8"/>
    <x v="100"/>
    <s v="ANGIE VALDERRAMA"/>
    <s v="VIRGEN"/>
    <s v="PP CLARIFICADO"/>
    <s v="."/>
    <s v="TAPER ALEMAN 2800ML PASTEL"/>
    <s v="TAPER 2800ML PASTEL-ROSADO"/>
    <n v="309"/>
    <n v="3"/>
    <n v="40.6"/>
    <x v="0"/>
    <n v="0"/>
    <n v="5"/>
    <n v="1110"/>
    <n v="21569"/>
    <s v="ROSADO"/>
    <n v="0"/>
    <n v="0"/>
    <n v="0"/>
    <n v="42.642000000000003"/>
    <n v="40.6"/>
    <n v="138"/>
    <n v="294.20289855072463"/>
    <x v="4"/>
    <x v="0"/>
    <n v="21"/>
    <n v="1"/>
    <n v="25.75"/>
  </r>
  <r>
    <d v="2025-05-26T09:10:00"/>
    <s v="INYECTADO"/>
    <x v="8"/>
    <x v="100"/>
    <s v="ANGIE VALDERRAMA"/>
    <s v="VIRGEN"/>
    <s v="PP CLARIFICADO"/>
    <s v="."/>
    <s v="TAPER ALEMAN 2800ML PASTEL"/>
    <s v="TAPER 2800ML PASTEL-LILA"/>
    <n v="183"/>
    <n v="2"/>
    <n v="24.1"/>
    <x v="0"/>
    <n v="0"/>
    <n v="3"/>
    <n v="1110"/>
    <n v="21569"/>
    <s v="LILA"/>
    <n v="0"/>
    <n v="0"/>
    <n v="0"/>
    <n v="25.254000000000001"/>
    <n v="24.1"/>
    <n v="138"/>
    <n v="174.63768115942028"/>
    <x v="4"/>
    <x v="0"/>
    <n v="21"/>
    <n v="1"/>
    <n v="15.25"/>
  </r>
  <r>
    <d v="2025-05-26T09:10:00"/>
    <s v="INYECTADO"/>
    <x v="8"/>
    <x v="101"/>
    <s v="LUIS PINEDO"/>
    <s v="VIRGEN"/>
    <s v="PP CLARIFICADO"/>
    <s v="."/>
    <s v="TAPER ALEMAN 2800ML PASTEL"/>
    <s v="TAPER 2800ML PASTEL-LILA"/>
    <n v="76"/>
    <n v="1"/>
    <n v="10"/>
    <x v="0"/>
    <n v="0"/>
    <n v="2"/>
    <n v="1110"/>
    <n v="21570"/>
    <s v="LILA"/>
    <n v="18.3"/>
    <n v="0"/>
    <n v="0"/>
    <n v="10.488"/>
    <n v="10"/>
    <n v="138"/>
    <n v="72.463768115942031"/>
    <x v="4"/>
    <x v="0"/>
    <n v="21"/>
    <n v="1"/>
    <n v="6.333333333333333"/>
  </r>
  <r>
    <d v="2025-05-26T09:10:00"/>
    <s v="INYECTADO"/>
    <x v="8"/>
    <x v="101"/>
    <s v="LUIS PINEDO"/>
    <s v="VIRGEN"/>
    <s v="PP CLARIFICADO"/>
    <s v="."/>
    <s v="TAPER ALEMAN 2800ML PASTEL"/>
    <s v="TAPER 2800ML PASTEL-CELESTE"/>
    <n v="441"/>
    <n v="4"/>
    <n v="57.4"/>
    <x v="0"/>
    <n v="0"/>
    <n v="8"/>
    <n v="1110"/>
    <n v="21570"/>
    <s v="CELESTE"/>
    <n v="6.7"/>
    <n v="0"/>
    <n v="0"/>
    <n v="60.857999999999997"/>
    <n v="57.4"/>
    <n v="138"/>
    <n v="415.94202898550725"/>
    <x v="4"/>
    <x v="0"/>
    <n v="21"/>
    <n v="1"/>
    <n v="36.75"/>
  </r>
  <r>
    <d v="2025-05-26T09:10:00"/>
    <s v="INYECTADO"/>
    <x v="8"/>
    <x v="101"/>
    <s v="LUIS PINEDO"/>
    <s v="VIRGEN"/>
    <s v="PP CLARIFICADO"/>
    <s v="."/>
    <s v="TAPER ALEMAN 2800ML PASTEL"/>
    <s v="TAPER 2800ML PASTEL-TURQUESA"/>
    <n v="439"/>
    <n v="4"/>
    <n v="57.1"/>
    <x v="0"/>
    <n v="0"/>
    <n v="8"/>
    <n v="1110"/>
    <n v="21570"/>
    <s v="TURQUESA"/>
    <n v="9.8000000000000007"/>
    <n v="0"/>
    <n v="0"/>
    <n v="60.582000000000001"/>
    <n v="57.1"/>
    <n v="138"/>
    <n v="413.768115942029"/>
    <x v="4"/>
    <x v="0"/>
    <n v="21"/>
    <n v="1"/>
    <n v="36.583333333333336"/>
  </r>
  <r>
    <d v="2025-05-26T09:10:00"/>
    <s v="INYECTADO"/>
    <x v="8"/>
    <x v="101"/>
    <s v="JUAN MANUEL PEREZ"/>
    <s v="VIRGEN"/>
    <s v="PP CLARIFICADO"/>
    <s v="."/>
    <s v="TAPER ALEMAN 2800ML CARAMELO"/>
    <s v="TAPER 2800ML CARAMELO-AMARILLO"/>
    <n v="106"/>
    <n v="1"/>
    <n v="13.9"/>
    <x v="1"/>
    <n v="0"/>
    <n v="2"/>
    <n v="1110"/>
    <n v="21571"/>
    <s v="AMARILLO"/>
    <n v="15.299999999999999"/>
    <n v="0"/>
    <n v="0"/>
    <n v="14.628"/>
    <n v="13.9"/>
    <n v="138"/>
    <n v="100.72463768115942"/>
    <x v="4"/>
    <x v="0"/>
    <n v="21"/>
    <n v="1"/>
    <n v="8.8333333333333339"/>
  </r>
  <r>
    <d v="2025-05-26T09:10:00"/>
    <s v="INYECTADO"/>
    <x v="8"/>
    <x v="101"/>
    <s v="JUAN MANUEL PEREZ"/>
    <s v="VIRGEN"/>
    <s v="PP CLARIFICADO"/>
    <s v="."/>
    <s v="TAPER ALEMAN 2800ML CARAMELO"/>
    <s v="TAPER 2800ML CARAMELO-VERDE"/>
    <n v="180"/>
    <n v="2"/>
    <n v="23.7"/>
    <x v="1"/>
    <n v="0"/>
    <n v="3"/>
    <n v="1110"/>
    <n v="21571"/>
    <s v="VERDE"/>
    <n v="5"/>
    <n v="0"/>
    <n v="0"/>
    <n v="24.84"/>
    <n v="23.7"/>
    <n v="138"/>
    <n v="171.7391304347826"/>
    <x v="4"/>
    <x v="0"/>
    <n v="21"/>
    <n v="1"/>
    <n v="15"/>
  </r>
  <r>
    <d v="2025-05-26T09:10:00"/>
    <s v="INYECTADO"/>
    <x v="8"/>
    <x v="101"/>
    <s v="JUAN MANUEL PEREZ"/>
    <s v="VIRGEN"/>
    <s v="PP CLARIFICADO"/>
    <s v="."/>
    <s v="TAPER ALEMAN 2800ML CARAMELO"/>
    <s v="TAPER 2800ML CARAMELO-FUCSIA"/>
    <n v="141"/>
    <n v="2"/>
    <n v="18.5"/>
    <x v="1"/>
    <n v="0"/>
    <n v="3"/>
    <n v="1110"/>
    <n v="21571"/>
    <s v="FUCSIA"/>
    <n v="0"/>
    <n v="0"/>
    <n v="0"/>
    <n v="19.457999999999998"/>
    <n v="18.5"/>
    <n v="138"/>
    <n v="134.05797101449275"/>
    <x v="4"/>
    <x v="0"/>
    <n v="21"/>
    <n v="1"/>
    <n v="11.75"/>
  </r>
  <r>
    <d v="2025-05-26T09:10:00"/>
    <s v="INYECTADO"/>
    <x v="8"/>
    <x v="101"/>
    <s v="JUAN MANUEL PEREZ"/>
    <s v="VIRGEN"/>
    <s v="PP CLARIFICADO"/>
    <s v="."/>
    <s v="TAPER ALEMAN 2800ML CARAMELO"/>
    <s v="TAPER 2800ML CARAMELO-LILA"/>
    <n v="127"/>
    <n v="1"/>
    <n v="16.7"/>
    <x v="1"/>
    <n v="0"/>
    <n v="3"/>
    <n v="1110"/>
    <n v="21571"/>
    <s v="LILA"/>
    <n v="6"/>
    <n v="0"/>
    <n v="0"/>
    <n v="17.526"/>
    <n v="16.7"/>
    <n v="138"/>
    <n v="121.01449275362319"/>
    <x v="4"/>
    <x v="0"/>
    <n v="21"/>
    <n v="1"/>
    <n v="10.583333333333334"/>
  </r>
  <r>
    <d v="2025-05-26T09:10:00"/>
    <s v="INYECTADO"/>
    <x v="8"/>
    <x v="101"/>
    <s v="JUAN MANUEL PEREZ"/>
    <s v="VIRGEN"/>
    <s v="PP CLARIFICADO"/>
    <s v="."/>
    <s v="TAPER ALEMAN 2800ML CARAMELO"/>
    <s v="TAPER 2800ML CARAMELO-AZUL"/>
    <n v="141"/>
    <n v="2"/>
    <n v="18.5"/>
    <x v="1"/>
    <n v="0"/>
    <n v="3"/>
    <n v="1110"/>
    <n v="21571"/>
    <s v="AZUL"/>
    <n v="0"/>
    <n v="0"/>
    <n v="0"/>
    <n v="19.457999999999998"/>
    <n v="18.5"/>
    <n v="138"/>
    <n v="134.05797101449275"/>
    <x v="4"/>
    <x v="0"/>
    <n v="21"/>
    <n v="1"/>
    <n v="11.75"/>
  </r>
  <r>
    <d v="2025-05-26T09:10:00"/>
    <s v="INYECTADO"/>
    <x v="8"/>
    <x v="101"/>
    <s v="JUAN MANUEL PEREZ"/>
    <s v="VIRGEN"/>
    <s v="PP CLARIFICADO"/>
    <s v="."/>
    <s v="TAPER ALEMAN 2800ML CARAMELO"/>
    <s v="TAPER 2800ML CARAMELO-ROJO"/>
    <n v="154"/>
    <n v="2"/>
    <n v="20.2"/>
    <x v="1"/>
    <n v="0"/>
    <n v="3"/>
    <n v="1110"/>
    <n v="21571"/>
    <s v="ROJO"/>
    <n v="3"/>
    <n v="0"/>
    <n v="0"/>
    <n v="21.251999999999999"/>
    <n v="20.2"/>
    <n v="138"/>
    <n v="146.37681159420291"/>
    <x v="4"/>
    <x v="0"/>
    <n v="21"/>
    <n v="1"/>
    <n v="12.833333333333334"/>
  </r>
  <r>
    <d v="2025-05-26T09:10:00"/>
    <s v="INYECTADO"/>
    <x v="8"/>
    <x v="89"/>
    <s v="LUIS RENGIFO"/>
    <s v="VIRGEN"/>
    <s v="PP CLARIFICADO"/>
    <s v="."/>
    <s v="TAPER ALEMAN 550ML PASTEL"/>
    <s v="TAPER 550ML PASTEL-CELESTE"/>
    <n v="362"/>
    <n v="3"/>
    <n v="27.9"/>
    <x v="0"/>
    <n v="0"/>
    <n v="3"/>
    <n v="1110"/>
    <n v="21572"/>
    <s v="CELESTE"/>
    <n v="0"/>
    <n v="0"/>
    <n v="0"/>
    <n v="13.756"/>
    <n v="27.9"/>
    <n v="38"/>
    <n v="734.21052631578948"/>
    <x v="4"/>
    <x v="0"/>
    <n v="21"/>
    <n v="2"/>
    <n v="60.333333333333336"/>
  </r>
  <r>
    <d v="2025-05-26T09:10:00"/>
    <s v="INYECTADO"/>
    <x v="8"/>
    <x v="89"/>
    <s v="JUAN MANUEL PEREZ"/>
    <s v="VIRGEN"/>
    <s v="PP CLARIFICADO"/>
    <s v="."/>
    <s v="TAPER ALEMAN 550ML PASTEL"/>
    <s v="TAPER 550ML PASTEL-CELESTE"/>
    <n v="616"/>
    <n v="5"/>
    <n v="47.8"/>
    <x v="1"/>
    <n v="0"/>
    <n v="6"/>
    <n v="1115"/>
    <n v="21573"/>
    <s v="CELESTE"/>
    <n v="3"/>
    <n v="0"/>
    <n v="0"/>
    <n v="23.408000000000001"/>
    <n v="47.8"/>
    <n v="38"/>
    <n v="1257.8947368421052"/>
    <x v="4"/>
    <x v="0"/>
    <n v="21"/>
    <n v="2"/>
    <n v="102.66666666666667"/>
  </r>
  <r>
    <d v="2025-05-26T09:10:00"/>
    <s v="INYECTADO"/>
    <x v="8"/>
    <x v="89"/>
    <s v="JUAN MANUEL PEREZ"/>
    <s v="VIRGEN"/>
    <s v="PP CLARIFICADO"/>
    <s v="."/>
    <s v="TAPER ALEMAN 550ML PASTEL"/>
    <s v="TAPER 550ML PASTEL-TURQUESA"/>
    <n v="630"/>
    <n v="6"/>
    <n v="48.9"/>
    <x v="1"/>
    <n v="0"/>
    <n v="5"/>
    <n v="1115"/>
    <n v="21573"/>
    <s v="TURQUESA"/>
    <n v="4.2"/>
    <n v="0"/>
    <n v="0"/>
    <n v="23.94"/>
    <n v="48.9"/>
    <n v="38"/>
    <n v="1286.8421052631579"/>
    <x v="4"/>
    <x v="0"/>
    <n v="21"/>
    <n v="2"/>
    <n v="105"/>
  </r>
  <r>
    <d v="2025-05-26T09:10:00"/>
    <s v="INYECTADO"/>
    <x v="8"/>
    <x v="89"/>
    <s v="JUAN MANUEL PEREZ"/>
    <s v="VIRGEN"/>
    <s v="PP CLARIFICADO"/>
    <s v="."/>
    <s v="TAPER ALEMAN 550ML PASTEL"/>
    <s v="TAPER 550ML PASTEL-ROSADO"/>
    <n v="120"/>
    <n v="1"/>
    <n v="9.3000000000000007"/>
    <x v="1"/>
    <n v="0"/>
    <n v="1"/>
    <n v="1115"/>
    <n v="21573"/>
    <s v="ROSADO"/>
    <n v="0"/>
    <n v="0"/>
    <n v="0"/>
    <n v="4.5599999999999996"/>
    <n v="9.3000000000000007"/>
    <n v="38"/>
    <n v="244.73684210526315"/>
    <x v="4"/>
    <x v="0"/>
    <n v="21"/>
    <n v="2"/>
    <n v="20"/>
  </r>
  <r>
    <d v="2025-05-26T09:10:00"/>
    <s v="INYECTADO"/>
    <x v="8"/>
    <x v="90"/>
    <s v="ISABEL LINARIZ "/>
    <s v="VIRGEN"/>
    <s v="PP CLARIFICADO"/>
    <s v="."/>
    <s v="TAPER ALEMAN 550ML PASTEL"/>
    <s v="TAPER 550ML PASTEL-ROSADO"/>
    <n v="858"/>
    <n v="7"/>
    <n v="66.099999999999994"/>
    <x v="0"/>
    <n v="0"/>
    <n v="7"/>
    <n v="1115"/>
    <n v="21574"/>
    <s v="FUCSIA"/>
    <n v="3.8"/>
    <n v="0"/>
    <n v="0"/>
    <n v="32.603999999999999"/>
    <n v="66.099999999999994"/>
    <n v="38"/>
    <n v="1739.4736842105262"/>
    <x v="4"/>
    <x v="0"/>
    <n v="21"/>
    <n v="2"/>
    <n v="143"/>
  </r>
  <r>
    <d v="2025-05-26T09:10:00"/>
    <s v="INYECTADO"/>
    <x v="8"/>
    <x v="90"/>
    <s v="ISABEL LINARIZ "/>
    <s v="VIRGEN"/>
    <s v="PP CLARIFICADO"/>
    <s v="."/>
    <s v="TAPER ALEMAN 550ML PASTEL"/>
    <s v="TAPER 550ML PASTEL-LILA"/>
    <n v="558"/>
    <n v="4"/>
    <n v="43"/>
    <x v="0"/>
    <n v="0"/>
    <n v="4"/>
    <n v="1115"/>
    <n v="21574"/>
    <s v="LILA"/>
    <n v="1.2"/>
    <n v="0"/>
    <n v="0"/>
    <n v="21.204000000000001"/>
    <n v="43"/>
    <n v="38"/>
    <n v="1131.578947368421"/>
    <x v="4"/>
    <x v="0"/>
    <n v="21"/>
    <n v="2"/>
    <n v="93"/>
  </r>
  <r>
    <d v="2025-05-26T09:10:00"/>
    <s v="INYECTADO"/>
    <x v="8"/>
    <x v="90"/>
    <s v="JUAN MANUEL PEREZ"/>
    <s v="VIRGEN"/>
    <s v="PP CLARIFICADO"/>
    <s v="."/>
    <s v="TAPER ALEMAN 550ML PASTEL"/>
    <s v="TAPER 550ML PASTEL-LILA"/>
    <n v="411"/>
    <n v="4"/>
    <n v="32.1"/>
    <x v="1"/>
    <n v="0"/>
    <n v="4"/>
    <n v="1115"/>
    <n v="21575"/>
    <s v="LILA"/>
    <n v="5"/>
    <n v="0"/>
    <n v="0"/>
    <n v="15.618"/>
    <n v="32.1"/>
    <n v="38"/>
    <n v="844.73684210526312"/>
    <x v="4"/>
    <x v="0"/>
    <n v="21"/>
    <n v="2"/>
    <n v="68.5"/>
  </r>
  <r>
    <d v="2025-05-26T09:10:00"/>
    <s v="INYECTADO"/>
    <x v="8"/>
    <x v="90"/>
    <s v="JUAN MANUEL PEREZ"/>
    <s v="VIRGEN"/>
    <s v="PP CLARIFICADO"/>
    <s v="."/>
    <s v="TAPER ALEMAN 550ML PASTEL"/>
    <s v="TAPER 550ML PASTEL-CELESTE"/>
    <n v="964"/>
    <n v="7"/>
    <n v="75.2"/>
    <x v="1"/>
    <n v="0"/>
    <n v="8"/>
    <n v="1115"/>
    <n v="21575"/>
    <s v="AZUL"/>
    <n v="5"/>
    <n v="0"/>
    <n v="0"/>
    <n v="36.631999999999998"/>
    <n v="75.2"/>
    <n v="38"/>
    <n v="1978.9473684210527"/>
    <x v="4"/>
    <x v="0"/>
    <n v="21"/>
    <n v="2"/>
    <n v="160.66666666666666"/>
  </r>
  <r>
    <d v="2025-05-26T09:10:00"/>
    <s v="INYECTADO"/>
    <x v="8"/>
    <x v="109"/>
    <s v="SEBASTIAN MURGA"/>
    <s v="VIRGEN"/>
    <s v="PP CLARIFICADO"/>
    <s v="."/>
    <s v="TAPER ALEMAN 550ML PASTEL"/>
    <s v="TAPER 550ML PASTEL-SANDIA"/>
    <n v="953"/>
    <n v="7"/>
    <n v="73.900000000000006"/>
    <x v="0"/>
    <n v="0"/>
    <n v="8"/>
    <n v="1115"/>
    <n v="21576"/>
    <s v="ROJO"/>
    <n v="1.3"/>
    <n v="0"/>
    <n v="0"/>
    <n v="36.213999999999999"/>
    <n v="73.900000000000006"/>
    <n v="38"/>
    <n v="1944.7368421052631"/>
    <x v="4"/>
    <x v="0"/>
    <n v="21"/>
    <n v="2"/>
    <n v="158.83333333333334"/>
  </r>
  <r>
    <d v="2025-05-26T09:10:00"/>
    <s v="INYECTADO"/>
    <x v="8"/>
    <x v="91"/>
    <s v="GABRIEL ORDAZ"/>
    <s v="VIRGEN"/>
    <s v="PP CLARIFICADO"/>
    <s v="."/>
    <s v="TAPER ALEMAN 550ML CARAMELO"/>
    <s v="TAPER 550ML CARAMELO-FUCSIA"/>
    <n v="505"/>
    <n v="4"/>
    <n v="39.4"/>
    <x v="0"/>
    <n v="0"/>
    <n v="5"/>
    <n v="1115"/>
    <n v="21577"/>
    <s v="LILA"/>
    <n v="1.7"/>
    <n v="0"/>
    <n v="0"/>
    <n v="19.190000000000001"/>
    <n v="39.4"/>
    <n v="38"/>
    <n v="1036.8421052631579"/>
    <x v="4"/>
    <x v="0"/>
    <n v="22"/>
    <n v="2"/>
    <n v="84.166666666666671"/>
  </r>
  <r>
    <d v="2025-05-26T09:10:00"/>
    <s v="INYECTADO"/>
    <x v="8"/>
    <x v="91"/>
    <s v="GABRIEL ORDAZ"/>
    <s v="VIRGEN"/>
    <s v="PP CLARIFICADO"/>
    <s v="."/>
    <s v="TAPER ALEMAN 550ML CARAMELO"/>
    <s v="TAPER 550ML CARAMELO-LILA"/>
    <n v="575"/>
    <n v="5"/>
    <n v="44.9"/>
    <x v="0"/>
    <n v="0"/>
    <n v="5"/>
    <n v="1115"/>
    <n v="21577"/>
    <s v="FUCSIA"/>
    <n v="3.1"/>
    <n v="0"/>
    <n v="0"/>
    <n v="21.85"/>
    <n v="44.9"/>
    <n v="38"/>
    <n v="1181.578947368421"/>
    <x v="4"/>
    <x v="0"/>
    <n v="22"/>
    <n v="2"/>
    <n v="95.833333333333329"/>
  </r>
  <r>
    <d v="2025-05-26T09:10:00"/>
    <s v="INYECTADO"/>
    <x v="8"/>
    <x v="91"/>
    <s v="JUAN MANUEL PEREZ"/>
    <s v="VIRGEN"/>
    <s v="PP CLARIFICADO"/>
    <s v="."/>
    <s v="TAPER ALEMAN 550ML CARAMELO"/>
    <s v="TAPER 550ML CARAMELO-AZUL"/>
    <n v="819"/>
    <n v="7"/>
    <n v="64.2"/>
    <x v="1"/>
    <n v="0"/>
    <n v="7"/>
    <n v="1115"/>
    <n v="21578"/>
    <s v="AZUL"/>
    <n v="3"/>
    <n v="0"/>
    <n v="0"/>
    <n v="31.122"/>
    <n v="64.2"/>
    <n v="38"/>
    <n v="1689.4736842105262"/>
    <x v="4"/>
    <x v="0"/>
    <n v="22"/>
    <n v="2"/>
    <n v="136.5"/>
  </r>
  <r>
    <d v="2025-05-26T09:10:00"/>
    <s v="INYECTADO"/>
    <x v="8"/>
    <x v="91"/>
    <s v="JUAN MANUEL PEREZ"/>
    <s v="VIRGEN"/>
    <s v="PP CLARIFICADO"/>
    <s v="."/>
    <s v="TAPER ALEMAN 550ML CARAMELO"/>
    <s v="TAPER 550ML CARAMELO-VERDE"/>
    <n v="587"/>
    <n v="4"/>
    <n v="46"/>
    <x v="1"/>
    <n v="0"/>
    <n v="5"/>
    <n v="1115"/>
    <n v="21578"/>
    <s v="VERDE"/>
    <n v="2"/>
    <n v="0"/>
    <n v="0"/>
    <n v="22.306000000000001"/>
    <n v="46"/>
    <n v="38"/>
    <n v="1210.5263157894738"/>
    <x v="4"/>
    <x v="0"/>
    <n v="22"/>
    <n v="2"/>
    <n v="97.833333333333329"/>
  </r>
  <r>
    <d v="2025-05-26T09:10:00"/>
    <s v="INYECTADO"/>
    <x v="8"/>
    <x v="92"/>
    <s v="GABRIEL REQUENA"/>
    <s v="VIRGEN"/>
    <s v="PP CLARIFICADO"/>
    <s v="."/>
    <s v="TAPER ALEMAN 550ML CARAMELO"/>
    <s v="TAPER 550ML CARAMELO-AMARILLO"/>
    <n v="161"/>
    <n v="2"/>
    <n v="12.4"/>
    <x v="0"/>
    <n v="0"/>
    <n v="1"/>
    <n v="1115"/>
    <n v="21579"/>
    <s v="AMARILLO"/>
    <n v="0"/>
    <n v="0"/>
    <n v="0"/>
    <n v="6.1180000000000003"/>
    <n v="12.4"/>
    <n v="38"/>
    <n v="326.31578947368422"/>
    <x v="4"/>
    <x v="0"/>
    <n v="22"/>
    <n v="2"/>
    <n v="26.833333333333332"/>
  </r>
  <r>
    <d v="2025-05-26T09:10:00"/>
    <s v="INYECTADO"/>
    <x v="8"/>
    <x v="92"/>
    <s v="GABRIEL REQUENA"/>
    <s v="VIRGEN"/>
    <s v="PP CLARIFICADO"/>
    <s v="."/>
    <s v="TAPER ALEMAN 550ML CARAMELO"/>
    <s v="TAPER 550ML CARAMELO-ROJO"/>
    <n v="323"/>
    <n v="2"/>
    <n v="24.9"/>
    <x v="0"/>
    <n v="0"/>
    <n v="3"/>
    <n v="1115"/>
    <n v="21579"/>
    <s v="ROJO CARAMELO"/>
    <n v="0"/>
    <n v="0"/>
    <n v="0"/>
    <n v="12.273999999999999"/>
    <n v="24.9"/>
    <n v="38"/>
    <n v="655.26315789473688"/>
    <x v="4"/>
    <x v="0"/>
    <n v="22"/>
    <n v="2"/>
    <n v="53.833333333333336"/>
  </r>
  <r>
    <d v="2025-05-26T09:10:00"/>
    <s v="INYECTADO"/>
    <x v="8"/>
    <x v="92"/>
    <s v="GABRIEL REQUENA"/>
    <s v="VIRGEN"/>
    <s v="PP CLARIFICADO"/>
    <s v="."/>
    <s v="TAPER ALEMAN 550ML SOLIDO"/>
    <s v="TAPER 550ML SOLIDO-ROJO"/>
    <n v="302"/>
    <n v="1"/>
    <n v="23"/>
    <x v="0"/>
    <n v="0"/>
    <n v="3"/>
    <n v="1115"/>
    <n v="21579"/>
    <s v="ROJO"/>
    <n v="0"/>
    <n v="0"/>
    <n v="0"/>
    <n v="11.476000000000001"/>
    <n v="23"/>
    <n v="38"/>
    <n v="605.26315789473688"/>
    <x v="4"/>
    <x v="0"/>
    <n v="22"/>
    <n v="2"/>
    <n v="50.333333333333336"/>
  </r>
  <r>
    <d v="2025-05-26T09:10:00"/>
    <s v="INYECTADO"/>
    <x v="8"/>
    <x v="92"/>
    <s v="GABRIEL REQUENA"/>
    <s v="VIRGEN"/>
    <s v="PP CLARIFICADO"/>
    <s v="."/>
    <s v="TAPER ALEMAN 550ML SOLIDO"/>
    <s v="TAPER 550ML SOLIDO-TURQUESA"/>
    <n v="303"/>
    <n v="1"/>
    <n v="23.4"/>
    <x v="0"/>
    <n v="0"/>
    <n v="3"/>
    <n v="1115"/>
    <n v="21579"/>
    <s v="TURQUESA"/>
    <n v="0"/>
    <n v="0"/>
    <n v="0"/>
    <n v="11.513999999999999"/>
    <n v="23.4"/>
    <n v="38"/>
    <n v="615.78947368421052"/>
    <x v="4"/>
    <x v="0"/>
    <n v="22"/>
    <n v="2"/>
    <n v="50.5"/>
  </r>
  <r>
    <d v="2025-05-26T09:10:00"/>
    <s v="INYECTADO"/>
    <x v="8"/>
    <x v="92"/>
    <s v="GABRIEL REQUENA"/>
    <s v="VIRGEN"/>
    <s v="PP CLARIFICADO"/>
    <s v="."/>
    <s v="TAPER ALEMAN 550ML PASTEL"/>
    <s v="TAPER 550ML PASTEL-TURQUESA"/>
    <n v="49"/>
    <n v="1"/>
    <n v="3.8"/>
    <x v="0"/>
    <n v="0"/>
    <n v="1"/>
    <n v="1115"/>
    <n v="21579"/>
    <s v="TURQUESA"/>
    <n v="0"/>
    <n v="0"/>
    <n v="0"/>
    <n v="1.8620000000000001"/>
    <n v="3.8"/>
    <n v="38"/>
    <n v="100"/>
    <x v="4"/>
    <x v="0"/>
    <n v="22"/>
    <n v="2"/>
    <n v="8.1666666666666661"/>
  </r>
  <r>
    <d v="2025-05-26T09:10:00"/>
    <s v="INYECTADO"/>
    <x v="8"/>
    <x v="92"/>
    <s v="JOSDER GONZALEZ"/>
    <s v="VIRGEN"/>
    <s v="PP CLARIFICADO"/>
    <s v="."/>
    <s v="TAPER ALEMAN 550ML PASTEL"/>
    <s v="TAPER 550ML PASTEL-TURQUESA"/>
    <n v="723"/>
    <n v="7"/>
    <n v="56.1"/>
    <x v="1"/>
    <n v="0"/>
    <n v="7"/>
    <n v="1115"/>
    <n v="21580"/>
    <s v="TURQUESA"/>
    <n v="5.5"/>
    <n v="0"/>
    <n v="0"/>
    <n v="27.474"/>
    <n v="56.1"/>
    <n v="38"/>
    <n v="1476.3157894736842"/>
    <x v="4"/>
    <x v="0"/>
    <n v="22"/>
    <n v="2"/>
    <n v="120.5"/>
  </r>
  <r>
    <d v="2025-05-26T09:10:00"/>
    <s v="INYECTADO"/>
    <x v="8"/>
    <x v="92"/>
    <s v="JOSDER GONZALEZ"/>
    <s v="VIRGEN"/>
    <s v="PP CLARIFICADO"/>
    <s v="."/>
    <s v="TAPER ALEMAN 550ML PASTEL"/>
    <s v="TAPER 550ML PASTEL-CELESTE"/>
    <n v="601"/>
    <n v="4"/>
    <n v="46.6"/>
    <x v="1"/>
    <n v="0"/>
    <n v="5"/>
    <n v="1115"/>
    <n v="21580"/>
    <s v="CELESTE"/>
    <n v="1.9"/>
    <n v="0"/>
    <n v="0"/>
    <n v="22.838000000000001"/>
    <n v="46.6"/>
    <n v="38"/>
    <n v="1226.3157894736842"/>
    <x v="4"/>
    <x v="0"/>
    <n v="22"/>
    <n v="2"/>
    <n v="100.16666666666667"/>
  </r>
  <r>
    <d v="2025-05-26T09:10:00"/>
    <s v="INYECTADO"/>
    <x v="8"/>
    <x v="102"/>
    <s v="ISABEL LINARIZ "/>
    <s v="VIRGEN"/>
    <s v="PP CLARIFICADO"/>
    <s v="."/>
    <s v="TAPER ALEMAN 550ML PASTEL"/>
    <s v="TAPER 550ML PASTEL-CELESTE"/>
    <n v="116"/>
    <n v="1"/>
    <n v="9"/>
    <x v="0"/>
    <n v="0"/>
    <n v="2"/>
    <n v="1115"/>
    <n v="21581"/>
    <s v="CELESTE"/>
    <n v="0"/>
    <n v="0"/>
    <n v="0"/>
    <n v="4.4080000000000004"/>
    <n v="9"/>
    <n v="38"/>
    <n v="236.84210526315789"/>
    <x v="4"/>
    <x v="0"/>
    <n v="22"/>
    <n v="2"/>
    <n v="19.333333333333332"/>
  </r>
  <r>
    <d v="2025-05-26T09:10:00"/>
    <s v="INYECTADO"/>
    <x v="8"/>
    <x v="102"/>
    <s v="ISABEL LINARIZ "/>
    <s v="VIRGEN"/>
    <s v="PP CLARIFICADO"/>
    <s v="."/>
    <s v="TAPER ALEMAN 550ML PASTEL"/>
    <s v="TAPER 550ML PASTEL-ROSADO"/>
    <n v="667"/>
    <n v="5"/>
    <n v="51.4"/>
    <x v="0"/>
    <n v="0"/>
    <n v="6"/>
    <n v="1115"/>
    <n v="21581"/>
    <s v="FUCSIA"/>
    <n v="2.7"/>
    <n v="0"/>
    <n v="0"/>
    <n v="25.346"/>
    <n v="51.4"/>
    <n v="38"/>
    <n v="1352.6315789473683"/>
    <x v="4"/>
    <x v="0"/>
    <n v="22"/>
    <n v="2"/>
    <n v="111.16666666666667"/>
  </r>
  <r>
    <d v="2025-05-26T09:10:00"/>
    <s v="INYECTADO"/>
    <x v="8"/>
    <x v="102"/>
    <s v="ISABEL LINARIZ "/>
    <s v="VIRGEN"/>
    <s v="PP CLARIFICADO"/>
    <s v="."/>
    <s v="TAPER ALEMAN 550ML PASTEL"/>
    <s v="TAPER 550ML PASTEL-LILA"/>
    <n v="488"/>
    <n v="4"/>
    <n v="37.6"/>
    <x v="0"/>
    <n v="0"/>
    <n v="4"/>
    <n v="1115"/>
    <n v="21581"/>
    <s v="LILA"/>
    <n v="0"/>
    <n v="0"/>
    <n v="0"/>
    <n v="18.544"/>
    <n v="37.6"/>
    <n v="38"/>
    <n v="989.47368421052636"/>
    <x v="4"/>
    <x v="0"/>
    <n v="22"/>
    <n v="2"/>
    <n v="81.333333333333329"/>
  </r>
  <r>
    <d v="2025-05-26T09:10:00"/>
    <s v="INYECTADO"/>
    <x v="8"/>
    <x v="102"/>
    <s v="ISABEL LINARIZ "/>
    <s v="VIRGEN"/>
    <s v="PP CLARIFICADO"/>
    <s v="."/>
    <s v="TAPER ALEMAN 550ML PASTEL"/>
    <s v="TAPER 550ML PASTEL-SANDIA"/>
    <n v="257"/>
    <n v="2"/>
    <n v="19.8"/>
    <x v="0"/>
    <n v="0"/>
    <n v="3"/>
    <n v="1115"/>
    <n v="21581"/>
    <s v="SANDIA"/>
    <n v="0"/>
    <n v="0"/>
    <n v="0"/>
    <n v="9.766"/>
    <n v="19.8"/>
    <n v="38"/>
    <n v="521.0526315789474"/>
    <x v="4"/>
    <x v="0"/>
    <n v="22"/>
    <n v="2"/>
    <n v="42.833333333333336"/>
  </r>
  <r>
    <d v="2025-05-26T09:10:00"/>
    <s v="INYECTADO"/>
    <x v="8"/>
    <x v="102"/>
    <s v="JOSDER GONZALEZ"/>
    <s v="VIRGEN"/>
    <s v="PP CLARIFICADO"/>
    <s v="."/>
    <s v="TAPER ALEMAN 550ML PASTEL"/>
    <s v="TAPER 550ML PASTEL-SANDIA"/>
    <n v="301"/>
    <n v="2"/>
    <n v="23.6"/>
    <x v="1"/>
    <n v="0"/>
    <n v="2"/>
    <n v="1115"/>
    <n v="21582"/>
    <s v="SANDIA"/>
    <n v="0"/>
    <n v="0"/>
    <n v="0"/>
    <n v="11.438000000000001"/>
    <n v="23.6"/>
    <n v="38"/>
    <n v="621.0526315789474"/>
    <x v="4"/>
    <x v="0"/>
    <n v="22"/>
    <n v="2"/>
    <n v="50.166666666666664"/>
  </r>
  <r>
    <d v="2025-05-26T09:10:00"/>
    <s v="INYECTADO"/>
    <x v="8"/>
    <x v="103"/>
    <s v="LUCHO"/>
    <s v="VIRGEN"/>
    <s v="PP CLARIFICADO"/>
    <s v="."/>
    <s v="TAPA PORTAVAJILLA"/>
    <s v="TAPA PORTAVAJILLA-TRANSPARENTE"/>
    <n v="1027"/>
    <n v="8"/>
    <n v="306.3"/>
    <x v="0"/>
    <n v="0"/>
    <n v="8"/>
    <n v="1120"/>
    <n v="21583"/>
    <s v="TRANSPARENTE"/>
    <n v="0"/>
    <n v="0"/>
    <n v="0"/>
    <n v="345.072"/>
    <n v="306.3"/>
    <n v="336"/>
    <n v="911.60714285714289"/>
    <x v="4"/>
    <x v="0"/>
    <n v="22"/>
    <n v="1"/>
    <n v="85.583333333333329"/>
  </r>
  <r>
    <d v="2025-05-26T09:10:00"/>
    <s v="INYECTADO"/>
    <x v="8"/>
    <x v="103"/>
    <s v="JUAN MANUEL PEREZ"/>
    <s v="VIRGEN"/>
    <s v="PP CLARIFICADO"/>
    <s v="."/>
    <s v="TAPA PORTAVAJILLA"/>
    <s v="TAPA PORTAVAJILLA-TRANSPARENTE"/>
    <n v="321"/>
    <n v="4"/>
    <n v="96.4"/>
    <x v="1"/>
    <n v="0"/>
    <n v="4"/>
    <n v="1120"/>
    <n v="21584"/>
    <s v="TRANSPARENTE"/>
    <n v="0"/>
    <n v="0"/>
    <n v="0"/>
    <n v="107.85599999999999"/>
    <n v="96.4"/>
    <n v="336"/>
    <n v="286.90476190476193"/>
    <x v="4"/>
    <x v="0"/>
    <n v="22"/>
    <n v="1"/>
    <n v="26.75"/>
  </r>
  <r>
    <d v="2025-05-26T09:10:00"/>
    <s v="INYECTADO"/>
    <x v="8"/>
    <x v="95"/>
    <s v="ISABEL LINARIZ "/>
    <s v="VIRGEN"/>
    <s v="PP CLARIFICADO"/>
    <s v="."/>
    <s v="TAPA PORTAVAJILLA"/>
    <s v="TAPA PORTAVAJILLA-TRANSPARENTE"/>
    <n v="686"/>
    <n v="5"/>
    <n v="203.1"/>
    <x v="0"/>
    <n v="0"/>
    <n v="5"/>
    <n v="1120"/>
    <n v="21585"/>
    <s v="TRANSPARENTE"/>
    <n v="0"/>
    <n v="0"/>
    <n v="0"/>
    <n v="230.49600000000001"/>
    <n v="203.1"/>
    <n v="336"/>
    <n v="604.46428571428567"/>
    <x v="4"/>
    <x v="0"/>
    <n v="22"/>
    <n v="1"/>
    <n v="57.166666666666664"/>
  </r>
  <r>
    <d v="2025-05-26T09:10:00"/>
    <s v="INYECTADO"/>
    <x v="8"/>
    <x v="95"/>
    <s v="JUAN MANUEL PEREZ"/>
    <s v="VIRGEN"/>
    <s v="PP CLARIFICADO"/>
    <s v="."/>
    <s v="TAPA PORTAVAJILLA"/>
    <s v="TAPA PORTAVAJILLA-TRANSPARENTE"/>
    <n v="1180"/>
    <n v="11"/>
    <n v="354"/>
    <x v="1"/>
    <n v="0"/>
    <n v="19"/>
    <n v="1120"/>
    <n v="21586"/>
    <s v="TRANSPARENTE"/>
    <n v="0"/>
    <n v="0"/>
    <n v="0"/>
    <n v="396.48"/>
    <n v="354"/>
    <n v="336"/>
    <n v="1053.5714285714287"/>
    <x v="4"/>
    <x v="0"/>
    <n v="22"/>
    <n v="1"/>
    <n v="98.333333333333329"/>
  </r>
  <r>
    <d v="2025-05-26T09:10:00"/>
    <s v="INYECTADO"/>
    <x v="8"/>
    <x v="106"/>
    <s v="ISABEL LINARIZ "/>
    <s v="VIRGEN"/>
    <s v="PP CLARIFICADO"/>
    <s v="."/>
    <s v="TAPA PORTAVAJILLA"/>
    <s v="TAPA PORTAVAJILLA-TRANSPARENTE"/>
    <n v="1242"/>
    <n v="11"/>
    <n v="367.7"/>
    <x v="0"/>
    <n v="0"/>
    <n v="21"/>
    <n v="1120"/>
    <n v="21587"/>
    <s v="TRANSPARENTE"/>
    <n v="0"/>
    <n v="0"/>
    <n v="0"/>
    <n v="417.31200000000001"/>
    <n v="367.7"/>
    <n v="336"/>
    <n v="1094.3452380952381"/>
    <x v="4"/>
    <x v="0"/>
    <n v="22"/>
    <n v="1"/>
    <n v="103.5"/>
  </r>
  <r>
    <d v="2025-05-26T09:10:00"/>
    <s v="INYECTADO"/>
    <x v="8"/>
    <x v="106"/>
    <s v="ISABEL LINARIZ "/>
    <s v="VIRGEN"/>
    <s v="PP CLARIFICADO"/>
    <s v="."/>
    <s v="TAPA PORTAVAJILLA"/>
    <s v="TAPA PORTAVAJILLA-TRANSPARENTE"/>
    <n v="1152"/>
    <n v="11"/>
    <n v="345.8"/>
    <x v="1"/>
    <n v="0"/>
    <n v="20"/>
    <n v="1120"/>
    <n v="21588"/>
    <s v="TRANSPARENTE"/>
    <n v="0"/>
    <n v="0"/>
    <n v="0"/>
    <n v="387.072"/>
    <n v="345.8"/>
    <n v="336"/>
    <n v="1029.1666666666667"/>
    <x v="4"/>
    <x v="0"/>
    <n v="22"/>
    <n v="1"/>
    <n v="96"/>
  </r>
  <r>
    <d v="2025-05-26T09:10:00"/>
    <s v="INYECTADO"/>
    <x v="10"/>
    <x v="104"/>
    <s v="BRAYAN PINEDO"/>
    <s v="SEGUNDA"/>
    <s v="."/>
    <s v="MIXTO"/>
    <s v="EMBUDO GIGANTE"/>
    <s v="EMBUDO GIGANTE-LILA"/>
    <n v="359"/>
    <n v="4"/>
    <n v="56.5"/>
    <x v="0"/>
    <n v="0"/>
    <n v="6"/>
    <n v="1089"/>
    <n v="21382"/>
    <s v="LILA"/>
    <n v="6.6"/>
    <n v="0"/>
    <n v="0"/>
    <n v="71.441000000000003"/>
    <n v="56.5"/>
    <n v="199"/>
    <n v="283.91959798994975"/>
    <x v="4"/>
    <x v="0"/>
    <n v="18"/>
    <n v="1"/>
    <n v="29.916666666666668"/>
  </r>
  <r>
    <d v="2025-05-26T09:10:00"/>
    <s v="INYECTADO"/>
    <x v="10"/>
    <x v="104"/>
    <s v="BRAYAN PINEDO"/>
    <s v="SEGUNDA"/>
    <s v="."/>
    <s v="MIXTO"/>
    <s v="EMBUDO GIGANTE"/>
    <s v="EMBUDO GIGANTE-AZUL"/>
    <n v="190"/>
    <n v="2"/>
    <n v="30.1"/>
    <x v="0"/>
    <m/>
    <n v="3"/>
    <n v="1089"/>
    <n v="21382"/>
    <s v="AZUL"/>
    <n v="3.4"/>
    <n v="0"/>
    <n v="0"/>
    <n v="37.81"/>
    <n v="30.1"/>
    <n v="199"/>
    <n v="151.25628140703517"/>
    <x v="4"/>
    <x v="0"/>
    <n v="18"/>
    <n v="1"/>
    <n v="15.833333333333334"/>
  </r>
  <r>
    <d v="2025-05-26T09:10:00"/>
    <s v="INYECTADO"/>
    <x v="10"/>
    <x v="104"/>
    <s v="BRAYAN PINEDO"/>
    <s v="SEGUNDA"/>
    <s v="."/>
    <s v="MIXTO"/>
    <s v="EMBUDO GIGANTE"/>
    <s v="EMBUDO GIGANTE-AMARILLO"/>
    <n v="281"/>
    <n v="3"/>
    <n v="45.1"/>
    <x v="0"/>
    <m/>
    <n v="5"/>
    <n v="1089"/>
    <n v="21382"/>
    <s v="AMARILLO"/>
    <n v="11.6"/>
    <n v="0"/>
    <n v="0"/>
    <n v="55.918999999999997"/>
    <n v="45.1"/>
    <n v="199"/>
    <n v="226.63316582914572"/>
    <x v="4"/>
    <x v="0"/>
    <n v="18"/>
    <n v="1"/>
    <n v="23.416666666666668"/>
  </r>
  <r>
    <d v="2025-05-26T09:10:00"/>
    <s v="INYECTADO"/>
    <x v="10"/>
    <x v="81"/>
    <s v="LUIS RENGIFO"/>
    <s v="SEGUNDA"/>
    <s v="."/>
    <s v="MIXTO"/>
    <s v="EMBUDO GIGANTE"/>
    <s v="EMBUDO GIGANTE-AMARILLO"/>
    <n v="210"/>
    <n v="2"/>
    <n v="32.6"/>
    <x v="0"/>
    <m/>
    <n v="3"/>
    <n v="1089"/>
    <n v="21383"/>
    <s v="AMARILLO"/>
    <n v="0"/>
    <n v="0"/>
    <n v="0"/>
    <n v="41.79"/>
    <n v="32.6"/>
    <n v="199"/>
    <n v="163.81909547738692"/>
    <x v="4"/>
    <x v="0"/>
    <n v="18"/>
    <n v="1"/>
    <n v="17.5"/>
  </r>
  <r>
    <d v="2025-05-26T09:10:00"/>
    <s v="INYECTADO"/>
    <x v="10"/>
    <x v="81"/>
    <s v="LUIS RENGIFO"/>
    <s v="SEGUNDA"/>
    <s v="."/>
    <s v="MIXTO"/>
    <s v="EMBUDO GIGANTE"/>
    <s v="EMBUDO GIGANTE-ANARANJADO"/>
    <n v="42"/>
    <n v="1"/>
    <n v="6.7"/>
    <x v="0"/>
    <m/>
    <n v="2"/>
    <n v="1089"/>
    <n v="21383"/>
    <s v="ANARANJADO"/>
    <n v="0"/>
    <n v="0"/>
    <n v="0"/>
    <n v="8.3580000000000005"/>
    <n v="6.7"/>
    <n v="199"/>
    <n v="33.668341708542712"/>
    <x v="4"/>
    <x v="0"/>
    <n v="18"/>
    <n v="1"/>
    <n v="3.5"/>
  </r>
  <r>
    <d v="2025-05-26T09:10:00"/>
    <s v="INYECTADO"/>
    <x v="10"/>
    <x v="110"/>
    <s v="SAID VILLAMIZAR"/>
    <s v="VIRGEN"/>
    <s v="PP CLARIFICADO"/>
    <s v="."/>
    <s v="JARRA REAL 6LT"/>
    <s v="JARRA REAL 6 LT-TRANSPARENTE"/>
    <n v="519"/>
    <n v="5"/>
    <n v="123.3"/>
    <x v="0"/>
    <n v="0"/>
    <n v="22"/>
    <n v="1096"/>
    <n v="21384"/>
    <s v="TRANSPARENTE"/>
    <n v="5.5"/>
    <n v="0"/>
    <n v="0"/>
    <n v="124.56"/>
    <n v="123.3"/>
    <n v="240"/>
    <n v="513.75"/>
    <x v="4"/>
    <x v="0"/>
    <n v="18"/>
    <n v="1"/>
    <n v="43.25"/>
  </r>
  <r>
    <d v="2025-05-26T09:10:00"/>
    <s v="INYECTADO"/>
    <x v="10"/>
    <x v="82"/>
    <s v="NELSON PINEDO"/>
    <s v="VIRGEN"/>
    <s v="PP CLARIFICADO"/>
    <s v="."/>
    <s v="JARRA REAL 6LT"/>
    <s v="JARRA REAL 6 LT-TRANSPARENTE"/>
    <n v="553"/>
    <n v="6"/>
    <n v="134.4"/>
    <x v="0"/>
    <m/>
    <n v="24"/>
    <n v="1096"/>
    <n v="21385"/>
    <s v="TRANSPARENTE"/>
    <n v="26.8"/>
    <n v="0"/>
    <n v="0"/>
    <n v="132.72"/>
    <n v="134.4"/>
    <n v="240"/>
    <n v="560"/>
    <x v="4"/>
    <x v="0"/>
    <n v="19"/>
    <n v="1"/>
    <n v="46.083333333333336"/>
  </r>
  <r>
    <d v="2025-05-26T09:10:00"/>
    <s v="INYECTADO"/>
    <x v="10"/>
    <x v="82"/>
    <s v="JUAN MANUEL PEREZ"/>
    <s v="VIRGEN"/>
    <s v="PP CLARIFICADO"/>
    <s v="."/>
    <s v="JARRA REAL 6LT"/>
    <s v="JARRA REAL 6 LT-TRANSPARENTE"/>
    <n v="830"/>
    <n v="8"/>
    <n v="197"/>
    <x v="1"/>
    <m/>
    <n v="33"/>
    <n v="1096"/>
    <n v="21386"/>
    <s v="TRANSPARENTE"/>
    <n v="0"/>
    <n v="0"/>
    <n v="0"/>
    <n v="199.2"/>
    <n v="197"/>
    <n v="240"/>
    <n v="820.83333333333337"/>
    <x v="4"/>
    <x v="0"/>
    <n v="19"/>
    <n v="1"/>
    <n v="69.166666666666671"/>
  </r>
  <r>
    <d v="2025-05-26T09:10:00"/>
    <s v="INYECTADO"/>
    <x v="10"/>
    <x v="96"/>
    <s v="GABRIEL REQUENA"/>
    <s v="VIRGEN"/>
    <s v="PP CLARIFICADO"/>
    <s v="."/>
    <s v="JARRA GRECIA 5LT"/>
    <s v="JARRA GRECIA 5LT-TRANSPARENTE"/>
    <n v="1123"/>
    <n v="12"/>
    <n v="230"/>
    <x v="0"/>
    <m/>
    <n v="18"/>
    <n v="1099"/>
    <n v="21387"/>
    <s v="TRANSPARENTE"/>
    <n v="0"/>
    <n v="0"/>
    <n v="0"/>
    <n v="249.30600000000001"/>
    <n v="230"/>
    <n v="222"/>
    <n v="1036.036036036036"/>
    <x v="4"/>
    <x v="0"/>
    <n v="19"/>
    <n v="1"/>
    <n v="93.583333333333329"/>
  </r>
  <r>
    <d v="2025-05-26T09:10:00"/>
    <s v="INYECTADO"/>
    <x v="10"/>
    <x v="97"/>
    <s v="JOSDER GONZALEZ"/>
    <s v="VIRGEN"/>
    <s v="PP CLARIFICADO"/>
    <s v="."/>
    <s v="JARRA GRECIA 5LT"/>
    <s v="JARRA GRECIA 5LT-TRANSPARENTE"/>
    <n v="915"/>
    <n v="9"/>
    <n v="203.3"/>
    <x v="1"/>
    <m/>
    <n v="14"/>
    <n v="1099"/>
    <n v="21388"/>
    <s v="TRANSPARENTE"/>
    <n v="1.6"/>
    <n v="0"/>
    <n v="0"/>
    <n v="203.13"/>
    <n v="203.3"/>
    <n v="222"/>
    <n v="915.76576576576576"/>
    <x v="4"/>
    <x v="0"/>
    <n v="19"/>
    <n v="1"/>
    <n v="76.25"/>
  </r>
  <r>
    <d v="2025-05-26T09:10:00"/>
    <s v="INYECTADO"/>
    <x v="10"/>
    <x v="107"/>
    <s v="SAID VILLAMIZAR"/>
    <s v="VIRGEN"/>
    <s v="PP CLARIFICADO"/>
    <s v="."/>
    <s v="JARRA GRECIA 5LT"/>
    <s v="JARRA GRECIA 5LT-TRANSPARENTE"/>
    <n v="340"/>
    <n v="3"/>
    <n v="75.7"/>
    <x v="0"/>
    <n v="0"/>
    <n v="6"/>
    <n v="1099"/>
    <n v="21389"/>
    <s v="TRANSPARENTE"/>
    <n v="8.9"/>
    <n v="0"/>
    <n v="0"/>
    <n v="75.48"/>
    <n v="75.7"/>
    <n v="222"/>
    <n v="340.99099099099101"/>
    <x v="4"/>
    <x v="0"/>
    <n v="19"/>
    <n v="1"/>
    <n v="28.333333333333332"/>
  </r>
  <r>
    <d v="2025-05-26T09:10:00"/>
    <s v="INYECTADO"/>
    <x v="10"/>
    <x v="105"/>
    <s v="NELSON PINEDO"/>
    <s v="VIRGEN"/>
    <s v="PP CLARIFICADO"/>
    <s v="."/>
    <s v="JARRA GRECIA 5LT"/>
    <s v="JARRA GRECIA 5LT-TRANSPARENTE"/>
    <n v="982"/>
    <n v="10"/>
    <n v="221.1"/>
    <x v="0"/>
    <m/>
    <n v="30"/>
    <n v="1099"/>
    <n v="21390"/>
    <s v="TRANSPARENTE"/>
    <n v="13.6"/>
    <n v="0"/>
    <n v="0"/>
    <n v="218.00399999999999"/>
    <n v="221.1"/>
    <n v="222"/>
    <n v="995.94594594594594"/>
    <x v="4"/>
    <x v="0"/>
    <n v="20"/>
    <n v="1"/>
    <n v="81.833333333333329"/>
  </r>
  <r>
    <d v="2025-05-26T09:10:00"/>
    <s v="INYECTADO"/>
    <x v="10"/>
    <x v="105"/>
    <s v="JOSDER GONZALEZ"/>
    <s v="VIRGEN"/>
    <s v="PP CLARIFICADO"/>
    <s v="."/>
    <s v="JARRA GRECIA 5LT"/>
    <s v="JARRA GRECIA 5LT-TRANSPARENTE"/>
    <n v="574"/>
    <n v="6"/>
    <n v="127.5"/>
    <x v="1"/>
    <m/>
    <n v="14"/>
    <n v="1099"/>
    <n v="21391"/>
    <s v="TRANSPARENTE"/>
    <n v="7.9"/>
    <n v="0"/>
    <n v="0"/>
    <n v="127.428"/>
    <n v="127.5"/>
    <n v="222"/>
    <n v="574.32432432432438"/>
    <x v="4"/>
    <x v="0"/>
    <n v="20"/>
    <n v="1"/>
    <n v="47.833333333333336"/>
  </r>
  <r>
    <d v="2025-05-26T09:10:00"/>
    <s v="INYECTADO"/>
    <x v="10"/>
    <x v="84"/>
    <s v="LUIS PINEDO"/>
    <s v="VIRGEN"/>
    <s v="PP CLARIFICADO"/>
    <s v="."/>
    <s v="JARRA GRECIA 5LT"/>
    <s v="JARRA GRECIA 5LT-TRANSPARENTE"/>
    <n v="595"/>
    <n v="7"/>
    <n v="137.5"/>
    <x v="0"/>
    <m/>
    <n v="25"/>
    <n v="1099"/>
    <n v="21392"/>
    <s v="TRANSPARENTE"/>
    <n v="36.6"/>
    <n v="0"/>
    <n v="0"/>
    <n v="132.09"/>
    <n v="137.5"/>
    <n v="222"/>
    <n v="619.36936936936934"/>
    <x v="4"/>
    <x v="0"/>
    <n v="20"/>
    <n v="1"/>
    <n v="49.583333333333336"/>
  </r>
  <r>
    <d v="2025-05-26T09:10:00"/>
    <s v="INYECTADO"/>
    <x v="10"/>
    <x v="84"/>
    <s v="JOSDER GONZALEZ"/>
    <s v="VIRGEN"/>
    <s v="PP CLARIFICADO"/>
    <s v="."/>
    <s v="JARRA GRECIA 5LT"/>
    <s v="JARRA GRECIA 5LT-TRANSPARENTE"/>
    <n v="986"/>
    <n v="12"/>
    <n v="221.9"/>
    <x v="1"/>
    <m/>
    <n v="44"/>
    <n v="1099"/>
    <n v="21394"/>
    <s v="TRANSPARENTE"/>
    <n v="8.6"/>
    <n v="0"/>
    <n v="0"/>
    <n v="218.892"/>
    <n v="221.9"/>
    <n v="222"/>
    <n v="999.54954954954951"/>
    <x v="4"/>
    <x v="0"/>
    <n v="20"/>
    <n v="1"/>
    <n v="82.166666666666671"/>
  </r>
  <r>
    <d v="2025-05-26T09:10:00"/>
    <s v="INYECTADO"/>
    <x v="10"/>
    <x v="85"/>
    <s v="ISABEL LINARIZ "/>
    <s v="VIRGEN"/>
    <s v="PP CLARIFICADO"/>
    <s v="."/>
    <s v="JARRA GRECIA 5LT"/>
    <s v="JARRA GRECIA 5LT-TRANSPARENTE"/>
    <n v="364"/>
    <n v="4"/>
    <n v="82"/>
    <x v="0"/>
    <m/>
    <n v="15"/>
    <n v="1099"/>
    <n v="21394"/>
    <s v="TRANSPARENTE"/>
    <n v="24.2"/>
    <n v="0"/>
    <n v="0"/>
    <n v="80.808000000000007"/>
    <n v="82"/>
    <n v="222"/>
    <n v="369.36936936936939"/>
    <x v="4"/>
    <x v="0"/>
    <n v="20"/>
    <n v="1"/>
    <n v="30.333333333333332"/>
  </r>
  <r>
    <d v="2025-05-26T09:10:00"/>
    <s v="INYECTADO"/>
    <x v="10"/>
    <x v="87"/>
    <s v="ISABEL LINARIZ "/>
    <s v="VIRGEN"/>
    <s v="PP CLARIFICADO"/>
    <s v="."/>
    <s v="PORTA CUBIERTOS PASTEL"/>
    <s v="CUBIERTOS PASTEL-ROSADO"/>
    <n v="177"/>
    <n v="2"/>
    <n v="22.5"/>
    <x v="0"/>
    <m/>
    <n v="2"/>
    <n v="1109"/>
    <n v="21395"/>
    <s v="ROSADO"/>
    <n v="6.7"/>
    <n v="0"/>
    <n v="0"/>
    <n v="22.478999999999999"/>
    <n v="22.5"/>
    <n v="127"/>
    <n v="177.16535433070865"/>
    <x v="4"/>
    <x v="0"/>
    <n v="20"/>
    <n v="6"/>
    <n v="88.5"/>
  </r>
  <r>
    <d v="2025-05-26T09:10:00"/>
    <s v="INYECTADO"/>
    <x v="10"/>
    <x v="87"/>
    <s v="ISABEL LINARIZ "/>
    <s v="VIRGEN"/>
    <s v="PP CLARIFICADO"/>
    <s v="."/>
    <s v="PORTA CUBIERTOS PASTEL"/>
    <s v="CUBIERTOS PASTEL-CREMA"/>
    <n v="293"/>
    <n v="3"/>
    <n v="37.299999999999997"/>
    <x v="0"/>
    <m/>
    <n v="1"/>
    <n v="1109"/>
    <n v="21395"/>
    <s v="CREMA"/>
    <n v="13.1"/>
    <n v="0"/>
    <n v="0"/>
    <n v="37.210999999999999"/>
    <n v="37.299999999999997"/>
    <n v="127"/>
    <n v="293.70078740157481"/>
    <x v="4"/>
    <x v="0"/>
    <n v="20"/>
    <n v="6"/>
    <n v="146.5"/>
  </r>
  <r>
    <d v="2025-05-26T09:10:00"/>
    <s v="INYECTADO"/>
    <x v="10"/>
    <x v="87"/>
    <s v="ISABEL LINARIZ "/>
    <s v="VIRGEN"/>
    <s v="PP CLARIFICADO"/>
    <s v="."/>
    <s v="PORTA CUBIERTOS PASTEL"/>
    <s v="CUBIERTOS PASTEL-MELON"/>
    <n v="306"/>
    <n v="3"/>
    <n v="38.9"/>
    <x v="0"/>
    <m/>
    <n v="1"/>
    <n v="1109"/>
    <n v="21395"/>
    <s v="MELON"/>
    <n v="17.2"/>
    <n v="0"/>
    <n v="0"/>
    <n v="38.862000000000002"/>
    <n v="38.9"/>
    <n v="127"/>
    <n v="306.29921259842519"/>
    <x v="4"/>
    <x v="0"/>
    <n v="20"/>
    <n v="6"/>
    <n v="153"/>
  </r>
  <r>
    <d v="2025-05-26T09:10:00"/>
    <s v="INYECTADO"/>
    <x v="10"/>
    <x v="87"/>
    <s v="JUAN MANUEL PEREZ"/>
    <s v="VIRGEN"/>
    <s v="PP CLARIFICADO"/>
    <s v="."/>
    <s v="PORTA CUBIERTOS PASTEL"/>
    <s v="CUBIERTOS PASTEL-ROSADO"/>
    <n v="127"/>
    <n v="2"/>
    <n v="16.2"/>
    <x v="1"/>
    <m/>
    <n v="3"/>
    <n v="1109"/>
    <n v="21396"/>
    <s v="ROSADO"/>
    <n v="6.5"/>
    <n v="0"/>
    <n v="0"/>
    <n v="16.129000000000001"/>
    <n v="16.2"/>
    <n v="127"/>
    <n v="127.55905511811024"/>
    <x v="4"/>
    <x v="0"/>
    <n v="20"/>
    <n v="6"/>
    <n v="63.5"/>
  </r>
  <r>
    <d v="2025-05-26T09:10:00"/>
    <s v="INYECTADO"/>
    <x v="10"/>
    <x v="87"/>
    <s v="JUAN MANUEL PEREZ"/>
    <s v="VIRGEN"/>
    <s v="PP CLARIFICADO"/>
    <s v="."/>
    <s v="PORTA CUBIERTOS PASTEL"/>
    <s v="CUBIERTOS PASTEL-LILA"/>
    <n v="307"/>
    <n v="3"/>
    <n v="39.1"/>
    <x v="1"/>
    <m/>
    <n v="5"/>
    <n v="1109"/>
    <n v="21396"/>
    <s v="LILA"/>
    <n v="8.5"/>
    <n v="0"/>
    <n v="0"/>
    <n v="38.988999999999997"/>
    <n v="39.1"/>
    <n v="127"/>
    <n v="307.87401574803147"/>
    <x v="4"/>
    <x v="0"/>
    <n v="20"/>
    <n v="6"/>
    <n v="153.5"/>
  </r>
  <r>
    <d v="2025-05-26T09:10:00"/>
    <s v="INYECTADO"/>
    <x v="10"/>
    <x v="87"/>
    <s v="JUAN MANUEL PEREZ"/>
    <s v="VIRGEN"/>
    <s v="PP CLARIFICADO"/>
    <s v="."/>
    <s v="PORTA CUBIERTOS PASTEL"/>
    <s v="CUBIERTOS PASTEL-CELESTE"/>
    <n v="308"/>
    <n v="3"/>
    <n v="39.200000000000003"/>
    <x v="1"/>
    <m/>
    <n v="5"/>
    <n v="1109"/>
    <n v="21396"/>
    <s v="CELESTE"/>
    <n v="17.7"/>
    <n v="0"/>
    <n v="0"/>
    <n v="39.116"/>
    <n v="39.200000000000003"/>
    <n v="127"/>
    <n v="308.66141732283467"/>
    <x v="4"/>
    <x v="0"/>
    <n v="20"/>
    <n v="6"/>
    <n v="154"/>
  </r>
  <r>
    <d v="2025-05-26T09:10:00"/>
    <s v="INYECTADO"/>
    <x v="10"/>
    <x v="87"/>
    <s v="JUAN MANUEL PEREZ"/>
    <s v="VIRGEN"/>
    <s v="PP CLARIFICADO"/>
    <s v="."/>
    <s v="PORTA CUBIERTOS PASTEL"/>
    <s v="CUBIERTOS PASTEL-TURQUESA"/>
    <n v="304"/>
    <n v="3"/>
    <n v="38.700000000000003"/>
    <x v="1"/>
    <m/>
    <n v="5"/>
    <n v="1109"/>
    <n v="21396"/>
    <s v="TURQUESA"/>
    <n v="0"/>
    <n v="0"/>
    <n v="0"/>
    <n v="38.607999999999997"/>
    <n v="38.700000000000003"/>
    <n v="127"/>
    <n v="304.7244094488189"/>
    <x v="4"/>
    <x v="0"/>
    <n v="20"/>
    <n v="6"/>
    <n v="152"/>
  </r>
  <r>
    <d v="2025-05-26T09:10:00"/>
    <s v="INYECTADO"/>
    <x v="10"/>
    <x v="88"/>
    <s v="SAID VILLAMIZAR"/>
    <s v="VIRGEN"/>
    <s v="PP CLARIFICADO"/>
    <s v="."/>
    <s v="TAPER ALEMAN 1100ML TRANSP"/>
    <s v="TAPER ALEMAN 1100ML-TRANSPARENTE"/>
    <n v="361"/>
    <n v="3"/>
    <n v="47.4"/>
    <x v="0"/>
    <m/>
    <n v="6"/>
    <n v="1111"/>
    <n v="21397"/>
    <s v="TRANSPARENTE"/>
    <n v="0"/>
    <n v="0"/>
    <n v="0"/>
    <n v="24.547999999999998"/>
    <n v="47.4"/>
    <n v="68"/>
    <n v="697.05882352941171"/>
    <x v="4"/>
    <x v="0"/>
    <n v="20"/>
    <n v="1"/>
    <n v="30.083333333333332"/>
  </r>
  <r>
    <d v="2025-05-26T09:10:00"/>
    <s v="INYECTADO"/>
    <x v="10"/>
    <x v="88"/>
    <s v="JUAN MANUEL PEREZ"/>
    <s v="VIRGEN"/>
    <s v="PP CLARIFICADO"/>
    <s v="."/>
    <s v="TAPER ALEMAN 1100ML TRANSP"/>
    <s v="TAPER ALEMAN 1100ML-TRANSPARENTE"/>
    <n v="1326"/>
    <n v="11"/>
    <n v="173.8"/>
    <x v="1"/>
    <m/>
    <n v="22"/>
    <n v="1111"/>
    <n v="21398"/>
    <s v="TRANSPARENTE"/>
    <n v="0"/>
    <n v="0"/>
    <n v="0"/>
    <n v="90.168000000000006"/>
    <n v="173.8"/>
    <n v="68"/>
    <n v="2555.8823529411766"/>
    <x v="4"/>
    <x v="0"/>
    <n v="20"/>
    <n v="1"/>
    <n v="110.5"/>
  </r>
  <r>
    <d v="2025-05-26T09:10:00"/>
    <s v="INYECTADO"/>
    <x v="10"/>
    <x v="108"/>
    <s v="SAID VILLAMIZAR"/>
    <s v="VIRGEN"/>
    <s v="PP CLARIFICADO"/>
    <s v="."/>
    <s v="TAPER ALEMAN 1100ML TRANSP"/>
    <s v="TAPER ALEMAN 1100ML-TRANSPARENTE"/>
    <n v="907"/>
    <n v="9"/>
    <n v="118.9"/>
    <x v="0"/>
    <n v="0"/>
    <n v="15"/>
    <n v="1111"/>
    <n v="21399"/>
    <s v="TRANSPARENTE"/>
    <n v="0"/>
    <n v="0"/>
    <n v="0"/>
    <n v="61.676000000000002"/>
    <n v="118.9"/>
    <n v="68"/>
    <n v="1748.5294117647059"/>
    <x v="4"/>
    <x v="0"/>
    <n v="20"/>
    <n v="1"/>
    <n v="75.583333333333329"/>
  </r>
  <r>
    <d v="2025-05-26T09:10:00"/>
    <s v="INYECTADO"/>
    <x v="10"/>
    <x v="98"/>
    <s v="ISABEL LINARIZ "/>
    <s v="VIRGEN"/>
    <s v="PP CLARIFICADO"/>
    <s v="."/>
    <s v="TAPER ALEMAN 1100ML TRANSP"/>
    <s v="TAPER ALEMAN 1100ML-TRANSPARENTE"/>
    <n v="600"/>
    <n v="6"/>
    <n v="79.2"/>
    <x v="0"/>
    <m/>
    <n v="11"/>
    <n v="1111"/>
    <n v="21400"/>
    <s v="TRANSPARENTE"/>
    <n v="0"/>
    <n v="0"/>
    <n v="0"/>
    <n v="40.799999999999997"/>
    <n v="79.2"/>
    <n v="68"/>
    <n v="1164.7058823529412"/>
    <x v="4"/>
    <x v="0"/>
    <n v="21"/>
    <n v="1"/>
    <n v="50"/>
  </r>
  <r>
    <d v="2025-05-26T09:10:00"/>
    <s v="INYECTADO"/>
    <x v="10"/>
    <x v="98"/>
    <s v="ISABEL LINARIZ "/>
    <s v="VIRGEN"/>
    <s v="PP CLARIFICADO"/>
    <s v="."/>
    <s v="TAPER ALEMAN 1100ML CARAMELO"/>
    <s v="TAPER 1100ML CARAMELO-AMARILLO"/>
    <n v="303"/>
    <n v="3"/>
    <n v="39.700000000000003"/>
    <x v="0"/>
    <m/>
    <n v="19"/>
    <n v="1111"/>
    <n v="21400"/>
    <s v="AMARILLO"/>
    <n v="0"/>
    <n v="0"/>
    <n v="0"/>
    <n v="20.603999999999999"/>
    <n v="39.700000000000003"/>
    <n v="68"/>
    <n v="583.82352941176475"/>
    <x v="4"/>
    <x v="0"/>
    <n v="21"/>
    <n v="1"/>
    <n v="25.25"/>
  </r>
  <r>
    <d v="2025-05-26T09:10:00"/>
    <s v="INYECTADO"/>
    <x v="10"/>
    <x v="98"/>
    <s v="JOSDER GONZALEZ"/>
    <s v="VIRGEN"/>
    <s v="PP CLARIFICADO"/>
    <s v="."/>
    <s v="TAPER ALEMAN 1100ML CARAMELO"/>
    <s v="TAPER 1100ML CARAMELO-AMARILLO"/>
    <n v="468"/>
    <n v="4"/>
    <n v="61.7"/>
    <x v="1"/>
    <m/>
    <n v="8"/>
    <n v="1114"/>
    <n v="21801"/>
    <s v="AMARILLO"/>
    <n v="2"/>
    <n v="0"/>
    <n v="0"/>
    <n v="31.824000000000002"/>
    <n v="61.7"/>
    <n v="68"/>
    <n v="907.35294117647061"/>
    <x v="4"/>
    <x v="0"/>
    <n v="21"/>
    <n v="1"/>
    <n v="39"/>
  </r>
  <r>
    <d v="2025-05-26T09:10:00"/>
    <s v="INYECTADO"/>
    <x v="10"/>
    <x v="98"/>
    <s v="JOSDER GONZALEZ"/>
    <s v="VIRGEN"/>
    <s v="PP CLARIFICADO"/>
    <s v="."/>
    <s v="TAPER ALEMAN 1100ML CARAMELO"/>
    <s v="TAPER 1100ML CARAMELO-VERDE"/>
    <n v="777"/>
    <n v="7"/>
    <n v="102.3"/>
    <x v="1"/>
    <m/>
    <n v="13"/>
    <n v="1114"/>
    <n v="21801"/>
    <s v="VERDE"/>
    <n v="4.8"/>
    <n v="0"/>
    <n v="0"/>
    <n v="52.835999999999999"/>
    <n v="102.3"/>
    <n v="68"/>
    <n v="1504.4117647058824"/>
    <x v="4"/>
    <x v="0"/>
    <n v="21"/>
    <n v="1"/>
    <n v="64.75"/>
  </r>
  <r>
    <d v="2025-05-26T09:10:00"/>
    <s v="INYECTADO"/>
    <x v="10"/>
    <x v="98"/>
    <s v="JOSDER GONZALEZ"/>
    <s v="VIRGEN"/>
    <s v="PP CLARIFICADO"/>
    <s v="."/>
    <s v="TAPER ALEMAN 1100ML CARAMELO"/>
    <s v="TAPER 1100ML CARAMELO-FUCSIA"/>
    <n v="156"/>
    <n v="2"/>
    <n v="20.399999999999999"/>
    <x v="1"/>
    <m/>
    <n v="3"/>
    <n v="1114"/>
    <n v="21801"/>
    <s v="FUCSIA"/>
    <n v="2.2000000000000002"/>
    <n v="0"/>
    <n v="0"/>
    <n v="10.608000000000001"/>
    <n v="20.399999999999999"/>
    <n v="68"/>
    <n v="300"/>
    <x v="4"/>
    <x v="0"/>
    <n v="21"/>
    <n v="1"/>
    <n v="13"/>
  </r>
  <r>
    <d v="2025-05-26T09:10:00"/>
    <s v="INYECTADO"/>
    <x v="10"/>
    <x v="99"/>
    <s v="LUIS PINEDO"/>
    <s v="VIRGEN"/>
    <s v="PP CLARIFICADO"/>
    <s v="."/>
    <s v="TAPER ALEMAN 1100ML CARAMELO"/>
    <s v="TAPER 1100ML CARAMELO-FUCSIA"/>
    <n v="773"/>
    <n v="7"/>
    <n v="100.5"/>
    <x v="0"/>
    <m/>
    <n v="14"/>
    <n v="1114"/>
    <n v="21802"/>
    <s v="FUCSIA"/>
    <n v="0"/>
    <n v="0"/>
    <n v="0"/>
    <n v="52.564"/>
    <n v="100.5"/>
    <n v="68"/>
    <n v="1477.9411764705883"/>
    <x v="4"/>
    <x v="0"/>
    <n v="21"/>
    <n v="1"/>
    <n v="64.416666666666671"/>
  </r>
  <r>
    <d v="2025-05-26T09:10:00"/>
    <s v="INYECTADO"/>
    <x v="10"/>
    <x v="99"/>
    <s v="LUIS PINEDO"/>
    <s v="VIRGEN"/>
    <s v="PP CLARIFICADO"/>
    <s v="."/>
    <s v="TAPER ALEMAN 1100ML CARAMELO"/>
    <s v="TAPER 1100ML CARAMELO-LILA"/>
    <n v="606"/>
    <n v="6"/>
    <n v="78.900000000000006"/>
    <x v="0"/>
    <m/>
    <n v="10"/>
    <n v="1114"/>
    <n v="21802"/>
    <s v="LILA"/>
    <n v="0"/>
    <n v="0"/>
    <n v="0"/>
    <n v="41.207999999999998"/>
    <n v="78.900000000000006"/>
    <n v="68"/>
    <n v="1160.2941176470588"/>
    <x v="4"/>
    <x v="0"/>
    <n v="21"/>
    <n v="1"/>
    <n v="50.5"/>
  </r>
  <r>
    <d v="2025-05-26T09:10:00"/>
    <s v="INYECTADO"/>
    <x v="10"/>
    <x v="99"/>
    <s v="LUIS PINEDO"/>
    <s v="VIRGEN"/>
    <s v="PP CLARIFICADO"/>
    <s v="."/>
    <s v="TAPER ALEMAN 1100ML CARAMELO"/>
    <s v="TAPER 1100ML CARAMELO-AZUL"/>
    <n v="147"/>
    <n v="2"/>
    <n v="19.3"/>
    <x v="0"/>
    <m/>
    <n v="2"/>
    <n v="1114"/>
    <n v="21802"/>
    <s v="AZUL"/>
    <n v="0"/>
    <n v="0"/>
    <n v="0"/>
    <n v="9.9960000000000004"/>
    <n v="19.3"/>
    <n v="68"/>
    <n v="283.8235294117647"/>
    <x v="4"/>
    <x v="0"/>
    <n v="21"/>
    <n v="1"/>
    <n v="12.25"/>
  </r>
  <r>
    <d v="2025-05-26T09:10:00"/>
    <s v="INYECTADO"/>
    <x v="10"/>
    <x v="99"/>
    <s v="JUAN MANUEL PEREZ"/>
    <s v="VIRGEN"/>
    <s v="PP CLARIFICADO"/>
    <s v="."/>
    <s v="TAPER ALEMAN 1100ML CARAMELO"/>
    <s v="TAPER 1100ML CARAMELO-AZUL"/>
    <n v="603"/>
    <n v="6"/>
    <n v="79"/>
    <x v="1"/>
    <m/>
    <n v="10"/>
    <n v="1114"/>
    <n v="21803"/>
    <s v="AZUL"/>
    <n v="0"/>
    <n v="0"/>
    <n v="0"/>
    <n v="41.003999999999998"/>
    <n v="79"/>
    <n v="68"/>
    <n v="1161.7647058823529"/>
    <x v="4"/>
    <x v="0"/>
    <n v="21"/>
    <n v="1"/>
    <n v="50.25"/>
  </r>
  <r>
    <d v="2025-05-26T09:10:00"/>
    <s v="INYECTADO"/>
    <x v="10"/>
    <x v="99"/>
    <s v="JUAN MANUEL PEREZ"/>
    <s v="VIRGEN"/>
    <s v="PP CLARIFICADO"/>
    <s v="."/>
    <s v="TAPER ALEMAN 1100ML CARAMELO"/>
    <s v="TAPER 1100ML CARAMELO-ROJO"/>
    <n v="548"/>
    <n v="5"/>
    <n v="71.900000000000006"/>
    <x v="1"/>
    <m/>
    <n v="10"/>
    <n v="1114"/>
    <n v="21803"/>
    <s v="ROJO"/>
    <n v="0"/>
    <n v="0"/>
    <n v="0"/>
    <n v="37.264000000000003"/>
    <n v="71.900000000000006"/>
    <n v="68"/>
    <n v="1057.3529411764705"/>
    <x v="4"/>
    <x v="0"/>
    <n v="21"/>
    <n v="1"/>
    <n v="45.666666666666664"/>
  </r>
  <r>
    <d v="2025-05-26T09:10:00"/>
    <s v="INYECTADO"/>
    <x v="10"/>
    <x v="99"/>
    <s v="JUAN MANUEL PEREZ"/>
    <s v="VIRGEN"/>
    <s v="PP CLARIFICADO"/>
    <s v="."/>
    <s v="TAPER ALEMAN 1100ML PASTEL"/>
    <s v="TAPER 1100ML PASTEL-CELESTE"/>
    <n v="60"/>
    <n v="1"/>
    <n v="7.9"/>
    <x v="1"/>
    <m/>
    <n v="1"/>
    <n v="1114"/>
    <n v="21803"/>
    <s v="CELESTE"/>
    <n v="0"/>
    <n v="0"/>
    <n v="0"/>
    <n v="4.08"/>
    <n v="7.9"/>
    <n v="68"/>
    <n v="116.17647058823529"/>
    <x v="4"/>
    <x v="0"/>
    <n v="21"/>
    <n v="1"/>
    <n v="5"/>
  </r>
  <r>
    <d v="2025-05-26T09:10:00"/>
    <s v="INYECTADO"/>
    <x v="10"/>
    <x v="100"/>
    <s v="ISABEL LINARIZ "/>
    <s v="VIRGEN"/>
    <s v="PP CLARIFICADO"/>
    <s v="."/>
    <s v="TAPER ALEMAN 1100ML PASTEL"/>
    <s v="TAPER 1100ML PASTEL-CELESTE"/>
    <n v="554"/>
    <n v="5"/>
    <n v="71.5"/>
    <x v="0"/>
    <m/>
    <n v="9"/>
    <n v="1114"/>
    <n v="21804"/>
    <s v="CELESTE"/>
    <n v="11.9"/>
    <n v="0"/>
    <n v="0"/>
    <n v="37.671999999999997"/>
    <n v="71.5"/>
    <n v="68"/>
    <n v="1051.4705882352941"/>
    <x v="4"/>
    <x v="0"/>
    <n v="21"/>
    <n v="1"/>
    <n v="46.166666666666664"/>
  </r>
  <r>
    <d v="2025-05-26T09:10:00"/>
    <s v="INYECTADO"/>
    <x v="10"/>
    <x v="100"/>
    <s v="ISABEL LINARIZ "/>
    <s v="VIRGEN"/>
    <s v="PP CLARIFICADO"/>
    <s v="."/>
    <s v="TAPER ALEMAN 1100ML PASTEL"/>
    <s v="TAPER 1100ML PASTEL-TURQUESA"/>
    <n v="486"/>
    <n v="4"/>
    <n v="63.2"/>
    <x v="0"/>
    <m/>
    <n v="8"/>
    <n v="1114"/>
    <n v="21804"/>
    <s v="TURQUESA"/>
    <n v="12.1"/>
    <n v="0"/>
    <n v="0"/>
    <n v="33.048000000000002"/>
    <n v="63.2"/>
    <n v="68"/>
    <n v="929.41176470588232"/>
    <x v="4"/>
    <x v="0"/>
    <n v="21"/>
    <n v="1"/>
    <n v="40.5"/>
  </r>
  <r>
    <d v="2025-05-26T09:10:00"/>
    <s v="INYECTADO"/>
    <x v="10"/>
    <x v="100"/>
    <s v="JUAN MANUEL PEREZ"/>
    <s v="VIRGEN"/>
    <s v="PP CLARIFICADO"/>
    <s v="."/>
    <s v="TAPER ALEMAN 1100ML PASTEL"/>
    <s v="TAPER 1100ML PASTEL-TURQUESA"/>
    <n v="60"/>
    <n v="1"/>
    <n v="7.8"/>
    <x v="1"/>
    <m/>
    <n v="9"/>
    <n v="1114"/>
    <n v="21805"/>
    <s v="TURQUESA"/>
    <n v="3"/>
    <n v="0"/>
    <n v="0"/>
    <n v="4.08"/>
    <n v="7.8"/>
    <n v="68"/>
    <n v="114.70588235294117"/>
    <x v="4"/>
    <x v="0"/>
    <n v="21"/>
    <n v="1"/>
    <n v="5"/>
  </r>
  <r>
    <d v="2025-05-26T09:10:00"/>
    <s v="INYECTADO"/>
    <x v="10"/>
    <x v="100"/>
    <s v="JUAN MANUEL PEREZ"/>
    <s v="VIRGEN"/>
    <s v="PP CLARIFICADO"/>
    <s v="."/>
    <s v="TAPER ALEMAN 1100ML PASTEL"/>
    <s v="TAPER 1100ML PASTEL-ROSADO"/>
    <n v="591"/>
    <n v="5"/>
    <n v="76.900000000000006"/>
    <x v="1"/>
    <m/>
    <n v="10"/>
    <n v="1114"/>
    <n v="21805"/>
    <s v="ROSADO"/>
    <n v="5"/>
    <n v="0"/>
    <n v="0"/>
    <n v="40.188000000000002"/>
    <n v="76.900000000000006"/>
    <n v="68"/>
    <n v="1130.8823529411766"/>
    <x v="4"/>
    <x v="0"/>
    <n v="21"/>
    <n v="1"/>
    <n v="49.25"/>
  </r>
  <r>
    <d v="2025-05-26T09:10:00"/>
    <s v="INYECTADO"/>
    <x v="10"/>
    <x v="100"/>
    <s v="JUAN MANUEL PEREZ"/>
    <s v="VIRGEN"/>
    <s v="PP CLARIFICADO"/>
    <s v="."/>
    <s v="TAPER ALEMAN 1100ML PASTEL"/>
    <s v="TAPER 1100ML PASTEL-LILA"/>
    <n v="554"/>
    <n v="5"/>
    <n v="72.099999999999994"/>
    <x v="1"/>
    <m/>
    <n v="1"/>
    <n v="1114"/>
    <n v="21805"/>
    <s v="LILA"/>
    <n v="3"/>
    <n v="0"/>
    <n v="0"/>
    <n v="37.671999999999997"/>
    <n v="72.099999999999994"/>
    <n v="68"/>
    <n v="1060.2941176470588"/>
    <x v="4"/>
    <x v="0"/>
    <n v="21"/>
    <n v="1"/>
    <n v="46.166666666666664"/>
  </r>
  <r>
    <d v="2025-05-26T09:10:00"/>
    <s v="INYECTADO"/>
    <x v="10"/>
    <x v="101"/>
    <s v="GABRIEL REQUENA"/>
    <s v="VIRGEN"/>
    <s v="PP CLARIFICADO"/>
    <s v="."/>
    <s v="TAPER ALEMAN 1100ML PASTEL"/>
    <s v="TAPER 1100ML PASTEL-LILA"/>
    <n v="26"/>
    <n v="1"/>
    <n v="3.5"/>
    <x v="0"/>
    <m/>
    <n v="1"/>
    <n v="1114"/>
    <n v="21806"/>
    <s v="LILA"/>
    <n v="9.3000000000000007"/>
    <n v="0"/>
    <n v="0"/>
    <n v="1.768"/>
    <n v="3.5"/>
    <n v="68"/>
    <n v="51.470588235294116"/>
    <x v="4"/>
    <x v="0"/>
    <n v="21"/>
    <n v="1"/>
    <n v="2.1666666666666665"/>
  </r>
  <r>
    <d v="2025-05-26T09:10:00"/>
    <s v="INYECTADO"/>
    <x v="10"/>
    <x v="101"/>
    <s v="GABRIEL REQUENA"/>
    <s v="VIRGEN"/>
    <s v="PP CLARIFICADO"/>
    <s v="."/>
    <s v="TAPER ALEMAN 1100ML PASTEL"/>
    <s v="TAPER 1100ML PASTEL-AZURE"/>
    <n v="463"/>
    <n v="4"/>
    <n v="59.8"/>
    <x v="0"/>
    <m/>
    <n v="7"/>
    <n v="1114"/>
    <n v="21806"/>
    <s v="AZURE"/>
    <n v="12.1"/>
    <n v="0"/>
    <n v="0"/>
    <n v="32.872999999999998"/>
    <n v="59.8"/>
    <n v="71"/>
    <n v="842.25352112676057"/>
    <x v="4"/>
    <x v="0"/>
    <n v="21"/>
    <n v="1"/>
    <n v="38.583333333333336"/>
  </r>
  <r>
    <d v="2025-05-26T09:10:00"/>
    <s v="INYECTADO"/>
    <x v="10"/>
    <x v="101"/>
    <s v="GABRIEL REQUENA"/>
    <s v="VIRGEN"/>
    <s v="PP CLARIFICADO"/>
    <s v="."/>
    <s v="TAPER ALEMAN 1100ML PASTEL"/>
    <s v="TAPER 1100ML PASTEL-SANDIA"/>
    <n v="489"/>
    <n v="4"/>
    <n v="63.1"/>
    <x v="0"/>
    <m/>
    <n v="8"/>
    <n v="1114"/>
    <n v="21806"/>
    <s v="SANDIA"/>
    <n v="10.1"/>
    <n v="0"/>
    <n v="0"/>
    <n v="34.719000000000001"/>
    <n v="63.1"/>
    <n v="71"/>
    <n v="888.73239436619713"/>
    <x v="4"/>
    <x v="0"/>
    <n v="21"/>
    <n v="1"/>
    <n v="40.75"/>
  </r>
  <r>
    <d v="2025-05-26T09:10:00"/>
    <s v="INYECTADO"/>
    <x v="10"/>
    <x v="101"/>
    <s v="GABRIEL REQUENA"/>
    <s v="VIRGEN"/>
    <s v="PP CLARIFICADO"/>
    <s v="."/>
    <s v="TAPER ALEMAN 1100ML SOLIDO"/>
    <s v="TAPER 1100ML SOLIDO-TURQUESA"/>
    <n v="337"/>
    <n v="3"/>
    <n v="44.6"/>
    <x v="0"/>
    <m/>
    <n v="6"/>
    <n v="1114"/>
    <n v="21806"/>
    <s v="TURQUESA"/>
    <n v="4.7"/>
    <n v="0"/>
    <n v="0"/>
    <n v="22.916"/>
    <n v="44.6"/>
    <n v="68"/>
    <n v="655.88235294117646"/>
    <x v="4"/>
    <x v="0"/>
    <n v="21"/>
    <n v="1"/>
    <n v="28.083333333333332"/>
  </r>
  <r>
    <d v="2025-05-26T09:10:00"/>
    <s v="INYECTADO"/>
    <x v="10"/>
    <x v="101"/>
    <s v="JOSDER GONZALEZ"/>
    <s v="VIRGEN"/>
    <s v="PP CLARIFICADO"/>
    <s v="."/>
    <s v="TAPER ALEMAN 1100ML SOLIDO"/>
    <s v="TAPER 1100ML SOLIDO-TURQUESA"/>
    <n v="196"/>
    <n v="2"/>
    <n v="26.2"/>
    <x v="1"/>
    <m/>
    <n v="4"/>
    <n v="1114"/>
    <n v="21807"/>
    <s v="TURQUESA"/>
    <n v="9.4"/>
    <n v="0"/>
    <n v="0"/>
    <n v="13.327999999999999"/>
    <n v="26.2"/>
    <n v="68"/>
    <n v="385.29411764705884"/>
    <x v="4"/>
    <x v="0"/>
    <n v="21"/>
    <n v="1"/>
    <n v="16.333333333333332"/>
  </r>
  <r>
    <d v="2025-05-26T09:10:00"/>
    <s v="INYECTADO"/>
    <x v="10"/>
    <x v="101"/>
    <s v="JOSDER GONZALEZ"/>
    <s v="VIRGEN"/>
    <s v="PP CLARIFICADO"/>
    <s v="."/>
    <s v="TAPER ALEMAN 1100ML SOLIDO"/>
    <s v="TAPER 1100ML SOLIDO-VERDE"/>
    <n v="536"/>
    <n v="5"/>
    <n v="71.5"/>
    <x v="1"/>
    <m/>
    <n v="9"/>
    <n v="1114"/>
    <n v="21807"/>
    <s v="VERDE"/>
    <n v="9.9"/>
    <n v="0"/>
    <n v="0"/>
    <n v="36.448"/>
    <n v="71.5"/>
    <n v="68"/>
    <n v="1051.4705882352941"/>
    <x v="4"/>
    <x v="0"/>
    <n v="21"/>
    <n v="1"/>
    <n v="44.666666666666664"/>
  </r>
  <r>
    <d v="2025-05-26T09:10:00"/>
    <s v="INYECTADO"/>
    <x v="10"/>
    <x v="101"/>
    <s v="JOSDER GONZALEZ"/>
    <s v="VIRGEN"/>
    <s v="PP CLARIFICADO"/>
    <s v="."/>
    <s v="TAPER ALEMAN 1100ML TRANSP"/>
    <s v="TAPER ALEMAN 1100ML-TRANSPARENTE"/>
    <n v="408"/>
    <n v="4"/>
    <n v="54.4"/>
    <x v="1"/>
    <m/>
    <n v="7"/>
    <n v="1114"/>
    <n v="21807"/>
    <s v="TRANSPARENTE"/>
    <n v="3"/>
    <n v="0"/>
    <n v="0"/>
    <n v="27.744"/>
    <n v="54.4"/>
    <n v="68"/>
    <n v="800"/>
    <x v="4"/>
    <x v="0"/>
    <n v="21"/>
    <n v="1"/>
    <n v="34"/>
  </r>
  <r>
    <d v="2025-05-26T09:10:00"/>
    <s v="INYECTADO"/>
    <x v="10"/>
    <x v="89"/>
    <s v="LUIS PINEDO"/>
    <s v="VIRGEN"/>
    <s v="PP CLARIFICADO"/>
    <s v="."/>
    <s v="TAPER ALEMAN 1100ML SOLIDO"/>
    <s v="TAPER 1100ML SOLIDO-FUCSIA"/>
    <n v="518"/>
    <n v="5"/>
    <n v="67.900000000000006"/>
    <x v="0"/>
    <m/>
    <n v="9"/>
    <n v="1114"/>
    <n v="21808"/>
    <s v="FUCSIA"/>
    <n v="15.3"/>
    <n v="0"/>
    <n v="0"/>
    <n v="35.223999999999997"/>
    <n v="67.900000000000006"/>
    <n v="68"/>
    <n v="998.52941176470586"/>
    <x v="4"/>
    <x v="0"/>
    <n v="21"/>
    <n v="1"/>
    <n v="43.166666666666664"/>
  </r>
  <r>
    <d v="2025-05-26T09:10:00"/>
    <s v="INYECTADO"/>
    <x v="10"/>
    <x v="89"/>
    <s v="LUIS PINEDO"/>
    <s v="VIRGEN"/>
    <s v="PP CLARIFICADO"/>
    <s v="."/>
    <s v="TAPER ALEMAN 1100ML SOLIDO"/>
    <s v="TAPER 1100ML SOLIDO-AMARILLO"/>
    <n v="581"/>
    <n v="5"/>
    <n v="76.2"/>
    <x v="0"/>
    <m/>
    <n v="10"/>
    <n v="1114"/>
    <n v="21808"/>
    <s v="AMARILLO"/>
    <n v="12.4"/>
    <n v="0"/>
    <n v="0"/>
    <n v="39.508000000000003"/>
    <n v="76.2"/>
    <n v="68"/>
    <n v="1120.5882352941176"/>
    <x v="4"/>
    <x v="0"/>
    <n v="21"/>
    <n v="1"/>
    <n v="48.416666666666664"/>
  </r>
  <r>
    <d v="2025-05-26T09:10:00"/>
    <s v="INYECTADO"/>
    <x v="10"/>
    <x v="89"/>
    <s v="JOSDER GONZALEZ"/>
    <s v="VIRGEN"/>
    <s v="PP CLARIFICADO"/>
    <s v="."/>
    <s v="TAPER ALEMAN 1100ML SOLIDO"/>
    <s v="TAPER 1100ML SOLIDO-AZUL"/>
    <n v="480"/>
    <n v="4"/>
    <n v="63.9"/>
    <x v="1"/>
    <m/>
    <n v="5"/>
    <n v="1114"/>
    <n v="21809"/>
    <s v="AZUL"/>
    <n v="10.4"/>
    <n v="0"/>
    <n v="0"/>
    <n v="32.64"/>
    <n v="63.9"/>
    <n v="68"/>
    <n v="939.70588235294122"/>
    <x v="4"/>
    <x v="0"/>
    <n v="21"/>
    <n v="1"/>
    <n v="40"/>
  </r>
  <r>
    <d v="2025-05-26T09:10:00"/>
    <s v="INYECTADO"/>
    <x v="10"/>
    <x v="89"/>
    <s v="JOSDER GONZALEZ"/>
    <s v="VIRGEN"/>
    <s v="PP CLARIFICADO"/>
    <s v="."/>
    <s v="TAPER ALEMAN 1100ML SOLIDO"/>
    <s v="TAPER 1100ML SOLIDO-ROJO"/>
    <n v="542"/>
    <n v="5"/>
    <n v="71.099999999999994"/>
    <x v="1"/>
    <m/>
    <n v="5"/>
    <n v="1114"/>
    <n v="21809"/>
    <s v="ROJO"/>
    <n v="14.5"/>
    <n v="0"/>
    <n v="0"/>
    <n v="36.856000000000002"/>
    <n v="71.099999999999994"/>
    <n v="68"/>
    <n v="1045.5882352941176"/>
    <x v="4"/>
    <x v="0"/>
    <n v="21"/>
    <n v="1"/>
    <n v="45.166666666666664"/>
  </r>
  <r>
    <d v="2025-05-26T09:10:00"/>
    <s v="INYECTADO"/>
    <x v="10"/>
    <x v="89"/>
    <s v="JOSDER GONZALEZ"/>
    <s v="VIRGEN"/>
    <s v="PP CLARIFICADO"/>
    <s v="."/>
    <s v="TAPER ALEMAN 1100ML SOLIDO"/>
    <s v="TAPER 1100ML SOLIDO-TURQUESA"/>
    <n v="69"/>
    <n v="1"/>
    <n v="9.1999999999999993"/>
    <x v="1"/>
    <m/>
    <n v="1"/>
    <n v="1114"/>
    <n v="21809"/>
    <s v="TURQUESA"/>
    <n v="3"/>
    <n v="0"/>
    <n v="0"/>
    <n v="4.6920000000000002"/>
    <n v="9.1999999999999993"/>
    <n v="68"/>
    <n v="135.29411764705881"/>
    <x v="4"/>
    <x v="0"/>
    <n v="21"/>
    <n v="1"/>
    <n v="5.75"/>
  </r>
  <r>
    <d v="2025-05-26T09:10:00"/>
    <s v="INYECTADO"/>
    <x v="10"/>
    <x v="90"/>
    <s v="LUIS PINEDO"/>
    <s v="VIRGEN"/>
    <s v="PP CLARIFICADO"/>
    <s v="."/>
    <s v="TAPER ALEMAN 1100ML SOLIDO"/>
    <s v="TAPER 1100ML SOLIDO-AZUL"/>
    <n v="60"/>
    <n v="1"/>
    <n v="8.9"/>
    <x v="0"/>
    <m/>
    <n v="1"/>
    <n v="1114"/>
    <n v="21810"/>
    <s v="AZUL"/>
    <n v="0"/>
    <n v="0"/>
    <n v="0"/>
    <n v="4.08"/>
    <n v="8.9"/>
    <n v="68"/>
    <n v="130.88235294117646"/>
    <x v="4"/>
    <x v="0"/>
    <n v="21"/>
    <n v="1"/>
    <n v="5"/>
  </r>
  <r>
    <d v="2025-05-26T09:10:00"/>
    <s v="INYECTADO"/>
    <x v="10"/>
    <x v="90"/>
    <s v="LUIS PINEDO"/>
    <s v="VIRGEN"/>
    <s v="PP CLARIFICADO"/>
    <s v="."/>
    <s v="TAPER ALEMAN 1100ML TRANSP"/>
    <s v="TAPER ALEMAN 1100ML-TRANSPARENTE"/>
    <n v="120"/>
    <n v="1"/>
    <n v="6.9"/>
    <x v="0"/>
    <m/>
    <n v="1"/>
    <n v="1114"/>
    <n v="21810"/>
    <s v="TRANSPARENTE"/>
    <n v="0"/>
    <n v="0"/>
    <n v="0"/>
    <n v="8.16"/>
    <n v="6.9"/>
    <n v="68"/>
    <n v="101.47058823529412"/>
    <x v="4"/>
    <x v="0"/>
    <n v="21"/>
    <n v="1"/>
    <n v="10"/>
  </r>
  <r>
    <d v="2025-05-26T09:10:00"/>
    <s v="INYECTADO"/>
    <x v="10"/>
    <x v="90"/>
    <s v="JOSDER GONZALEZ"/>
    <s v="VIRGEN"/>
    <s v="PP CLARIFICADO"/>
    <s v="."/>
    <s v="ORGANIZADOR  DE 2KG"/>
    <s v="BASE ORGANIZADOR  DE 2KG-TRANSPARENTE"/>
    <n v="613"/>
    <n v="6"/>
    <n v="35.6"/>
    <x v="1"/>
    <m/>
    <n v="1"/>
    <n v="1117"/>
    <n v="21811"/>
    <s v="TRANSPARENTE"/>
    <n v="2.2000000000000002"/>
    <n v="0"/>
    <n v="0"/>
    <n v="30.65"/>
    <n v="35.6"/>
    <n v="50"/>
    <n v="712"/>
    <x v="4"/>
    <x v="0"/>
    <n v="21"/>
    <n v="2"/>
    <n v="102.16666666666667"/>
  </r>
  <r>
    <d v="2025-05-26T09:10:00"/>
    <s v="INYECTADO"/>
    <x v="10"/>
    <x v="90"/>
    <s v="JOSDER GONZALEZ"/>
    <s v="VIRGEN"/>
    <s v="PP CLARIFICADO"/>
    <s v="."/>
    <s v="ORGANIZADOR  DE 2KG"/>
    <s v="BASE ORGANIZADOR  DE 2KG-TRANSPARENTE"/>
    <n v="720"/>
    <n v="7"/>
    <n v="43.2"/>
    <x v="1"/>
    <m/>
    <n v="11"/>
    <n v="1117"/>
    <n v="21811"/>
    <s v="TRANSPARENTE"/>
    <n v="6.3"/>
    <n v="0"/>
    <n v="0"/>
    <n v="36"/>
    <n v="43.2"/>
    <n v="50"/>
    <n v="864"/>
    <x v="4"/>
    <x v="0"/>
    <n v="21"/>
    <n v="2"/>
    <n v="120"/>
  </r>
  <r>
    <d v="2025-05-26T09:10:00"/>
    <s v="INYECTADO"/>
    <x v="10"/>
    <x v="109"/>
    <s v="SAID VILLAMIZAR"/>
    <s v="VIRGEN"/>
    <s v="PP CLARIFICADO"/>
    <s v="."/>
    <s v="ORGANIZADOR  DE 2KG PASTEL"/>
    <s v="BASE ORGANIZADOR  DE 2KG PASTEL-LILA"/>
    <n v="30"/>
    <n v="1"/>
    <n v="1.7"/>
    <x v="0"/>
    <n v="0"/>
    <n v="1"/>
    <n v="1117"/>
    <n v="21812"/>
    <s v="LILA"/>
    <n v="5"/>
    <n v="0"/>
    <n v="0"/>
    <n v="1.5"/>
    <n v="1.7"/>
    <n v="50"/>
    <n v="34"/>
    <x v="4"/>
    <x v="0"/>
    <n v="21"/>
    <n v="2"/>
    <n v="5"/>
  </r>
  <r>
    <d v="2025-05-26T09:10:00"/>
    <s v="INYECTADO"/>
    <x v="10"/>
    <x v="109"/>
    <s v="SAID VILLAMIZAR"/>
    <s v="VIRGEN"/>
    <s v="PP CLARIFICADO"/>
    <s v="."/>
    <s v="ORGANIZADOR  DE 2KG PASTEL"/>
    <s v="BASE ORGANIZADOR  DE 2KG PASTEL-AZURE"/>
    <n v="789"/>
    <n v="7"/>
    <n v="43.4"/>
    <x v="0"/>
    <n v="0"/>
    <n v="13"/>
    <n v="1117"/>
    <n v="21812"/>
    <s v="AZURE"/>
    <n v="9.3000000000000007"/>
    <n v="0"/>
    <n v="0"/>
    <n v="39.450000000000003"/>
    <n v="43.4"/>
    <n v="50"/>
    <n v="868"/>
    <x v="4"/>
    <x v="0"/>
    <n v="21"/>
    <n v="2"/>
    <n v="131.5"/>
  </r>
  <r>
    <d v="2025-05-26T09:10:00"/>
    <s v="INYECTADO"/>
    <x v="10"/>
    <x v="91"/>
    <s v="LUIS PINEDO"/>
    <s v="VIRGEN"/>
    <s v="PP CLARIFICADO"/>
    <s v="."/>
    <s v="ORGANIZADOR  DE 2KG PASTEL"/>
    <s v="BASE ORGANIZADOR  DE 2KG PASTEL-SANDIA"/>
    <n v="245"/>
    <n v="2"/>
    <n v="13.5"/>
    <x v="0"/>
    <m/>
    <n v="4"/>
    <n v="1117"/>
    <n v="21813"/>
    <s v="SANDIA"/>
    <n v="7.9"/>
    <n v="0"/>
    <n v="0"/>
    <n v="12.25"/>
    <n v="13.5"/>
    <n v="50"/>
    <n v="270"/>
    <x v="4"/>
    <x v="0"/>
    <n v="22"/>
    <n v="2"/>
    <n v="40.833333333333336"/>
  </r>
  <r>
    <d v="2025-05-26T09:10:00"/>
    <s v="INYECTADO"/>
    <x v="10"/>
    <x v="91"/>
    <s v="LUIS PINEDO"/>
    <s v="VIRGEN"/>
    <s v="PP CLARIFICADO"/>
    <s v="."/>
    <s v="ORGANIZADOR  DE 2KG PASTEL"/>
    <s v="BASE ORGANIZADOR  DE 2KG PASTEL-TURQUESA"/>
    <n v="123"/>
    <n v="1"/>
    <n v="6.8"/>
    <x v="0"/>
    <m/>
    <n v="11"/>
    <n v="1117"/>
    <n v="21813"/>
    <s v="TURQUESA"/>
    <n v="9.8000000000000007"/>
    <n v="0"/>
    <n v="0"/>
    <n v="6.15"/>
    <n v="6.8"/>
    <n v="50"/>
    <n v="136"/>
    <x v="4"/>
    <x v="0"/>
    <n v="22"/>
    <n v="2"/>
    <n v="20.5"/>
  </r>
  <r>
    <d v="2025-05-26T09:10:00"/>
    <s v="INYECTADO"/>
    <x v="10"/>
    <x v="91"/>
    <s v="LUIS PINEDO"/>
    <s v="VIRGEN"/>
    <s v="PP CLARIFICADO"/>
    <s v="."/>
    <s v="ORGANIZADOR  DE 2KG PASTEL"/>
    <s v="BASE ORGANIZADOR  DE 2KG PASTEL-CELESTE"/>
    <n v="618"/>
    <n v="6"/>
    <n v="34"/>
    <x v="0"/>
    <m/>
    <n v="2"/>
    <n v="1117"/>
    <n v="21813"/>
    <s v="CELESTE"/>
    <n v="4.8"/>
    <n v="0"/>
    <n v="0"/>
    <n v="30.9"/>
    <n v="34"/>
    <n v="50"/>
    <n v="680"/>
    <x v="4"/>
    <x v="0"/>
    <n v="22"/>
    <n v="2"/>
    <n v="103"/>
  </r>
  <r>
    <d v="2025-05-26T09:10:00"/>
    <s v="INYECTADO"/>
    <x v="10"/>
    <x v="91"/>
    <s v="JOSDER GONZALEZ"/>
    <s v="VIRGEN"/>
    <s v="PP CLARIFICADO"/>
    <s v="."/>
    <s v="ORGANIZADOR  DE 2KG PASTEL"/>
    <s v="BASE ORGANIZADOR  DE 2KG PASTEL-TURQUESA"/>
    <n v="459"/>
    <n v="4"/>
    <n v="26"/>
    <x v="1"/>
    <m/>
    <n v="8"/>
    <n v="1117"/>
    <n v="21814"/>
    <s v="TURQUESA"/>
    <n v="5.0999999999999996"/>
    <n v="0"/>
    <n v="0"/>
    <n v="22.95"/>
    <n v="26"/>
    <n v="50"/>
    <n v="520"/>
    <x v="4"/>
    <x v="0"/>
    <n v="22"/>
    <n v="2"/>
    <n v="76.5"/>
  </r>
  <r>
    <d v="2025-05-26T09:10:00"/>
    <s v="INYECTADO"/>
    <x v="10"/>
    <x v="91"/>
    <s v="JOSDER GONZALEZ"/>
    <s v="VIRGEN"/>
    <s v="PP CLARIFICADO"/>
    <s v="."/>
    <s v="ORGANIZADOR  DE 2KG PASTEL"/>
    <s v="BASE ORGANIZADOR  DE 2KG PASTEL-ROSADO"/>
    <n v="660"/>
    <n v="6"/>
    <n v="37.4"/>
    <x v="1"/>
    <m/>
    <n v="11"/>
    <n v="1117"/>
    <n v="21814"/>
    <s v="ROSADO"/>
    <n v="3.9"/>
    <n v="0"/>
    <n v="0"/>
    <n v="33"/>
    <n v="37.4"/>
    <n v="50"/>
    <n v="748"/>
    <x v="4"/>
    <x v="0"/>
    <n v="22"/>
    <n v="2"/>
    <n v="110"/>
  </r>
  <r>
    <d v="2025-05-26T09:10:00"/>
    <s v="INYECTADO"/>
    <x v="10"/>
    <x v="91"/>
    <s v="JOSDER GONZALEZ"/>
    <s v="VIRGEN"/>
    <s v="PP CLARIFICADO"/>
    <s v="."/>
    <s v="ORGANIZADOR  DE 2KG PASTEL"/>
    <s v="BASE ORGANIZADOR  DE 2KG PASTEL-SANDIA"/>
    <n v="300"/>
    <n v="3"/>
    <n v="17"/>
    <x v="1"/>
    <m/>
    <n v="5"/>
    <n v="1117"/>
    <n v="21814"/>
    <s v="SANDIA"/>
    <n v="1.9"/>
    <n v="0"/>
    <n v="0"/>
    <n v="15"/>
    <n v="17"/>
    <n v="50"/>
    <n v="340"/>
    <x v="4"/>
    <x v="0"/>
    <n v="22"/>
    <n v="2"/>
    <n v="50"/>
  </r>
  <r>
    <d v="2025-05-26T09:10:00"/>
    <s v="INYECTADO"/>
    <x v="10"/>
    <x v="92"/>
    <s v="ISABEL LINARIZ "/>
    <s v="VIRGEN"/>
    <s v="PP CLARIFICADO"/>
    <s v="."/>
    <s v="ORGANIZADOR  DE 2KG CARAMELO"/>
    <s v="BASE ORGANIZADOR  DE 2KG CARAMELO-ROJO"/>
    <n v="294"/>
    <n v="2"/>
    <n v="16.2"/>
    <x v="0"/>
    <m/>
    <n v="5"/>
    <n v="1117"/>
    <n v="21815"/>
    <s v="ROJO"/>
    <n v="0"/>
    <n v="0"/>
    <n v="0"/>
    <n v="14.7"/>
    <n v="16.2"/>
    <n v="50"/>
    <n v="324"/>
    <x v="4"/>
    <x v="0"/>
    <n v="22"/>
    <n v="2"/>
    <n v="49"/>
  </r>
  <r>
    <d v="2025-05-26T09:10:00"/>
    <s v="INYECTADO"/>
    <x v="10"/>
    <x v="92"/>
    <s v="ISABEL LINARIZ "/>
    <s v="VIRGEN"/>
    <s v="PP CLARIFICADO"/>
    <s v="."/>
    <s v="ORGANIZADOR  DE 2KG CARAMELO"/>
    <s v="BASE ORGANIZADOR  DE 2KG CARAMELO-VERDE"/>
    <n v="243"/>
    <n v="2"/>
    <n v="13.4"/>
    <x v="0"/>
    <m/>
    <n v="4"/>
    <n v="1117"/>
    <n v="21815"/>
    <s v="VERDE"/>
    <n v="0"/>
    <n v="0"/>
    <n v="0"/>
    <n v="12.15"/>
    <n v="13.4"/>
    <n v="50"/>
    <n v="268"/>
    <x v="4"/>
    <x v="0"/>
    <n v="22"/>
    <n v="2"/>
    <n v="40.5"/>
  </r>
  <r>
    <d v="2025-05-26T09:10:00"/>
    <s v="INYECTADO"/>
    <x v="10"/>
    <x v="92"/>
    <s v="ISABEL LINARIZ "/>
    <s v="VIRGEN"/>
    <s v="PP CLARIFICADO"/>
    <s v="."/>
    <s v="ORGANIZADOR  DE 2KG CARAMELO"/>
    <s v="BASE ORGANIZADOR  DE 2KG CARAMELO-FUCSIA"/>
    <n v="123"/>
    <n v="1"/>
    <n v="6.8"/>
    <x v="0"/>
    <m/>
    <n v="2"/>
    <n v="1117"/>
    <n v="21815"/>
    <s v="ROSADO"/>
    <n v="0"/>
    <n v="0"/>
    <n v="0"/>
    <n v="6.15"/>
    <n v="6.8"/>
    <n v="50"/>
    <n v="136"/>
    <x v="4"/>
    <x v="0"/>
    <n v="22"/>
    <n v="2"/>
    <n v="20.5"/>
  </r>
  <r>
    <d v="2025-05-26T09:10:00"/>
    <s v="INYECTADO"/>
    <x v="10"/>
    <x v="92"/>
    <s v="ISABEL LINARIZ "/>
    <s v="VIRGEN"/>
    <s v="PP CLARIFICADO"/>
    <s v="."/>
    <s v="ORGANIZADOR  DE 2KG CARAMELO"/>
    <s v="BASE ORGANIZADOR  DE 2KG CARAMELO-LILA"/>
    <n v="96"/>
    <n v="1"/>
    <n v="5.3"/>
    <x v="0"/>
    <m/>
    <n v="2"/>
    <n v="1117"/>
    <n v="21815"/>
    <s v="LILA"/>
    <n v="0"/>
    <n v="0"/>
    <n v="0"/>
    <n v="4.8"/>
    <n v="5.3"/>
    <n v="50"/>
    <n v="106"/>
    <x v="4"/>
    <x v="0"/>
    <n v="22"/>
    <n v="2"/>
    <n v="16"/>
  </r>
  <r>
    <d v="2025-05-26T09:10:00"/>
    <s v="INYECTADO"/>
    <x v="10"/>
    <x v="92"/>
    <s v="ISABEL LINARIZ "/>
    <s v="VIRGEN"/>
    <s v="PP CLARIFICADO"/>
    <s v="."/>
    <s v="ORGANIZADOR  DE 2KG CARAMELO"/>
    <s v="BASE ORGANIZADOR  DE 2KG CARAMELO-AZUL"/>
    <n v="167"/>
    <n v="2"/>
    <n v="9.1999999999999993"/>
    <x v="0"/>
    <m/>
    <n v="3"/>
    <n v="1117"/>
    <n v="21815"/>
    <s v="AZUL"/>
    <n v="0"/>
    <n v="0"/>
    <n v="0"/>
    <n v="8.35"/>
    <n v="9.1999999999999993"/>
    <n v="50"/>
    <n v="184"/>
    <x v="4"/>
    <x v="0"/>
    <n v="22"/>
    <n v="2"/>
    <n v="27.833333333333332"/>
  </r>
  <r>
    <d v="2025-05-26T09:10:00"/>
    <s v="INYECTADO"/>
    <x v="10"/>
    <x v="92"/>
    <s v="ISABEL LINARIZ "/>
    <s v="VIRGEN"/>
    <s v="PP CLARIFICADO"/>
    <s v="."/>
    <s v="BASE PORTA VAJILLA"/>
    <s v="BASE PORTA VAJILLA-TRANSPARENTE"/>
    <n v="60"/>
    <n v="1"/>
    <n v="24.4"/>
    <x v="0"/>
    <m/>
    <n v="1"/>
    <n v="1119"/>
    <n v="21815"/>
    <s v="TRANSPARENTE"/>
    <n v="0"/>
    <n v="0"/>
    <n v="0"/>
    <n v="22.56"/>
    <n v="24.4"/>
    <n v="376"/>
    <n v="64.893617021276597"/>
    <x v="4"/>
    <x v="0"/>
    <n v="22"/>
    <n v="1"/>
    <n v="5"/>
  </r>
  <r>
    <d v="2025-05-26T09:10:00"/>
    <s v="INYECTADO"/>
    <x v="10"/>
    <x v="92"/>
    <s v="JUAN MANUEL PEREZ"/>
    <s v="VIRGEN"/>
    <s v="PP CLARIFICADO"/>
    <s v="."/>
    <s v="BASE PORTA VAJILLA"/>
    <s v="BASE PORTA VAJILLA-TRANSPARENTE"/>
    <n v="720"/>
    <n v="7"/>
    <n v="283.7"/>
    <x v="1"/>
    <m/>
    <n v="24"/>
    <n v="1119"/>
    <n v="21816"/>
    <s v="TRANSPARENTE"/>
    <n v="56.3"/>
    <n v="0"/>
    <n v="0"/>
    <n v="270.72000000000003"/>
    <n v="283.7"/>
    <n v="376"/>
    <n v="754.52127659574467"/>
    <x v="4"/>
    <x v="0"/>
    <n v="22"/>
    <n v="1"/>
    <n v="60"/>
  </r>
  <r>
    <d v="2025-05-26T09:10:00"/>
    <s v="INYECTADO"/>
    <x v="10"/>
    <x v="102"/>
    <s v="LUIS RENGIFO"/>
    <s v="VIRGEN"/>
    <s v="PP CLARIFICADO"/>
    <s v="."/>
    <s v="BASE PORTA VAJILLA"/>
    <s v="BASE PORTA VAJILLA-TRANSPARENTE"/>
    <n v="900"/>
    <n v="10"/>
    <n v="351.1"/>
    <x v="0"/>
    <m/>
    <n v="27"/>
    <n v="1119"/>
    <n v="21817"/>
    <s v="TRANSPARENTE"/>
    <n v="0"/>
    <n v="0"/>
    <n v="0"/>
    <n v="338.4"/>
    <n v="351.1"/>
    <n v="376"/>
    <n v="933.77659574468089"/>
    <x v="4"/>
    <x v="0"/>
    <n v="22"/>
    <n v="1"/>
    <n v="75"/>
  </r>
  <r>
    <d v="2025-05-26T09:10:00"/>
    <s v="INYECTADO"/>
    <x v="10"/>
    <x v="102"/>
    <s v="JUAN MANUEL PEREZ"/>
    <s v="VIRGEN"/>
    <s v="PP CLARIFICADO"/>
    <s v="."/>
    <s v="BASE PORTA VAJILLA"/>
    <s v="BASE PORTA VAJILLA-TRANSPARENTE"/>
    <n v="393"/>
    <n v="3"/>
    <n v="365.7"/>
    <x v="1"/>
    <m/>
    <n v="31"/>
    <n v="1119"/>
    <n v="21818"/>
    <s v="TRANSPARENTE"/>
    <n v="0"/>
    <n v="0"/>
    <n v="0"/>
    <n v="147.768"/>
    <n v="365.7"/>
    <n v="376"/>
    <n v="972.60638297872345"/>
    <x v="4"/>
    <x v="0"/>
    <n v="22"/>
    <n v="1"/>
    <n v="32.75"/>
  </r>
  <r>
    <d v="2025-05-26T09:10:00"/>
    <s v="INYECTADO"/>
    <x v="10"/>
    <x v="103"/>
    <s v="GABRIEL REQUENA"/>
    <s v="VIRGEN"/>
    <s v="PP CLARIFICADO"/>
    <s v="."/>
    <s v="BASE PORTA VAJILLA"/>
    <s v="BASE PORTA VAJILLA-TRANSPARENTE"/>
    <n v="1102"/>
    <n v="11"/>
    <n v="423.9"/>
    <x v="0"/>
    <m/>
    <n v="34"/>
    <n v="1119"/>
    <n v="21819"/>
    <s v="TRANSPARENTE"/>
    <n v="13"/>
    <n v="0"/>
    <n v="0"/>
    <n v="414.35199999999998"/>
    <n v="423.9"/>
    <n v="376"/>
    <n v="1127.3936170212767"/>
    <x v="4"/>
    <x v="0"/>
    <n v="22"/>
    <n v="1"/>
    <n v="91.833333333333329"/>
  </r>
  <r>
    <d v="2025-05-26T09:10:00"/>
    <s v="INYECTADO"/>
    <x v="10"/>
    <x v="103"/>
    <s v="JOSDER GONZALEZ"/>
    <s v="VIRGEN"/>
    <s v="PP CLARIFICADO"/>
    <s v="."/>
    <s v="BASE PORTA VAJILLA"/>
    <s v="BASE PORTA VAJILLA-TRANSPARENTE"/>
    <n v="982"/>
    <n v="9"/>
    <n v="386"/>
    <x v="1"/>
    <m/>
    <n v="33"/>
    <n v="1119"/>
    <n v="21820"/>
    <s v="TRANSPARENTE"/>
    <n v="9.9"/>
    <n v="0"/>
    <n v="0"/>
    <n v="369.23200000000003"/>
    <n v="386"/>
    <n v="376"/>
    <n v="1026.5957446808511"/>
    <x v="4"/>
    <x v="0"/>
    <n v="22"/>
    <n v="1"/>
    <n v="81.833333333333329"/>
  </r>
  <r>
    <d v="2025-05-26T09:10:00"/>
    <s v="INYECTADO"/>
    <x v="10"/>
    <x v="95"/>
    <s v="GABRIEL ORDAZ"/>
    <s v="VIRGEN"/>
    <s v="PP CLARIFICADO"/>
    <s v="."/>
    <s v="BASE PORTA VAJILLA"/>
    <s v="BASE PORTA VAJILLA-TRANSPARENTE"/>
    <n v="256"/>
    <n v="2"/>
    <n v="99.5"/>
    <x v="0"/>
    <m/>
    <n v="9"/>
    <n v="1119"/>
    <n v="21821"/>
    <s v="TRANSPARENTE"/>
    <n v="6"/>
    <n v="0"/>
    <n v="0"/>
    <n v="96.256"/>
    <n v="99.5"/>
    <n v="376"/>
    <n v="264.62765957446811"/>
    <x v="4"/>
    <x v="0"/>
    <n v="22"/>
    <n v="1"/>
    <n v="21.333333333333332"/>
  </r>
  <r>
    <d v="2025-05-26T09:10:00"/>
    <s v="INYECTADO"/>
    <x v="10"/>
    <x v="95"/>
    <s v="JOSDER GONZALEZ"/>
    <s v="VIRGEN"/>
    <s v="PP CLARIFICADO"/>
    <s v="."/>
    <s v="BASE PORTA VAJILLA"/>
    <s v="BASE PORTA VAJILLA-TRANSPARENTE"/>
    <n v="1054"/>
    <n v="12"/>
    <n v="409.1"/>
    <x v="1"/>
    <m/>
    <n v="34"/>
    <n v="1119"/>
    <n v="21822"/>
    <s v="TRANSPARENTE"/>
    <n v="28.7"/>
    <n v="0"/>
    <n v="0"/>
    <n v="396.30399999999997"/>
    <n v="409.1"/>
    <n v="376"/>
    <n v="1088.0319148936171"/>
    <x v="4"/>
    <x v="0"/>
    <n v="22"/>
    <n v="1"/>
    <n v="87.833333333333329"/>
  </r>
  <r>
    <d v="2025-05-26T09:10:00"/>
    <s v="INYECTADO"/>
    <x v="10"/>
    <x v="106"/>
    <s v="GABRIEL REQUENA"/>
    <s v="VIRGEN"/>
    <s v="PP CLARIFICADO"/>
    <s v="."/>
    <s v="BASE PORTA VAJILLA"/>
    <s v="BASE PORTA VAJILLA-TRANSPARENTE"/>
    <n v="1090"/>
    <n v="12"/>
    <n v="416.8"/>
    <x v="0"/>
    <m/>
    <n v="36"/>
    <n v="1119"/>
    <n v="21823"/>
    <s v="TRANSPARENTE"/>
    <n v="0"/>
    <n v="0"/>
    <n v="0"/>
    <n v="409.84"/>
    <n v="416.8"/>
    <n v="376"/>
    <n v="1108.5106382978724"/>
    <x v="4"/>
    <x v="0"/>
    <n v="22"/>
    <n v="1"/>
    <n v="90.833333333333329"/>
  </r>
  <r>
    <d v="2025-05-26T09:10:00"/>
    <s v="INYECTADO"/>
    <x v="10"/>
    <x v="106"/>
    <s v="JOSDER GONZALEZ"/>
    <s v="VIRGEN"/>
    <s v="PP CLARIFICADO"/>
    <s v="."/>
    <s v="BASE PORTA VAJILLA"/>
    <s v="BASE PORTA VAJILLA-TRANSPARENTE"/>
    <n v="960"/>
    <n v="12"/>
    <n v="371.1"/>
    <x v="1"/>
    <m/>
    <n v="32"/>
    <n v="1119"/>
    <n v="21824"/>
    <s v="TRANSPARENTE"/>
    <n v="6.1"/>
    <n v="0"/>
    <n v="0"/>
    <n v="360.96"/>
    <n v="371.1"/>
    <n v="376"/>
    <n v="986.968085106383"/>
    <x v="4"/>
    <x v="0"/>
    <n v="22"/>
    <n v="1"/>
    <n v="80"/>
  </r>
  <r>
    <d v="2025-06-26T07:20:00"/>
    <s v="INYECTADO"/>
    <x v="4"/>
    <x v="111"/>
    <s v="LUIS PINEDO"/>
    <s v="SEGUNDA"/>
    <s v="."/>
    <s v="MIXTO"/>
    <s v="ASA DE TOMATODO ULTRA"/>
    <s v="ASA DE TOMATODO ULTRA-PLOMO"/>
    <n v="335"/>
    <n v="2"/>
    <n v="4.7"/>
    <x v="0"/>
    <m/>
    <n v="1"/>
    <n v="1123"/>
    <n v="20452"/>
    <s v="PLOMO"/>
    <n v="0"/>
    <n v="0"/>
    <n v="0"/>
    <n v="1.0049999999999999"/>
    <n v="4.7"/>
    <n v="3"/>
    <n v="1566.6666666666667"/>
    <x v="5"/>
    <x v="0"/>
    <n v="23"/>
    <n v="4"/>
    <n v="111.66666666666667"/>
  </r>
  <r>
    <d v="2025-06-26T07:20:00"/>
    <s v="INYECTADO"/>
    <x v="4"/>
    <x v="112"/>
    <s v="ROSA MERINO"/>
    <s v="SEGUNDA"/>
    <s v="."/>
    <s v="MIXTO"/>
    <s v="ASA DE TOMATODO ULTRA"/>
    <s v="ASA DE TOMATODO ULTRA-PLOMO"/>
    <n v="1400"/>
    <n v="10"/>
    <n v="18.2"/>
    <x v="0"/>
    <m/>
    <n v="10"/>
    <n v="1123"/>
    <n v="20453"/>
    <s v="PLOMO"/>
    <n v="8.9"/>
    <n v="0"/>
    <n v="0"/>
    <n v="4.2"/>
    <n v="18.2"/>
    <n v="3"/>
    <n v="6066.666666666667"/>
    <x v="5"/>
    <x v="0"/>
    <n v="23"/>
    <n v="4"/>
    <n v="466.66666666666669"/>
  </r>
  <r>
    <d v="2025-06-26T07:20:00"/>
    <s v="INYECTADO"/>
    <x v="4"/>
    <x v="113"/>
    <s v="GABRIEL ORDAZ"/>
    <s v="SEGUNDA"/>
    <s v="."/>
    <s v="MIXTO"/>
    <s v="ASA DE TOMATODO ULTRA"/>
    <s v="ASA DE TOMATODO ULTRA-PLOMO"/>
    <n v="1192"/>
    <n v="10"/>
    <n v="15.5"/>
    <x v="0"/>
    <m/>
    <n v="1"/>
    <n v="1123"/>
    <n v="20454"/>
    <s v="PLOMO"/>
    <n v="8.8000000000000007"/>
    <n v="0"/>
    <n v="0"/>
    <n v="3.5760000000000001"/>
    <n v="15.5"/>
    <n v="3"/>
    <n v="5166.666666666667"/>
    <x v="5"/>
    <x v="0"/>
    <n v="24"/>
    <n v="4"/>
    <n v="397.33333333333331"/>
  </r>
  <r>
    <d v="2025-06-26T07:20:00"/>
    <s v="INYECTADO"/>
    <x v="4"/>
    <x v="114"/>
    <s v="GABRIEL ORDAZ"/>
    <s v="SEGUNDA"/>
    <s v="."/>
    <s v="MIXTO"/>
    <s v="ASA DE TOMATODO ULTRA"/>
    <s v="ASA DE TOMATODO ULTRA-PLOMO"/>
    <n v="584"/>
    <n v="3"/>
    <n v="7.6"/>
    <x v="0"/>
    <m/>
    <n v="1"/>
    <n v="1123"/>
    <n v="20455"/>
    <s v="PLOMO"/>
    <n v="3.6"/>
    <n v="0"/>
    <n v="0"/>
    <n v="1.752"/>
    <n v="7.6"/>
    <n v="3"/>
    <n v="2533.3333333333335"/>
    <x v="5"/>
    <x v="0"/>
    <n v="25"/>
    <n v="4"/>
    <n v="194.66666666666666"/>
  </r>
  <r>
    <d v="2025-06-26T07:20:00"/>
    <s v="INYECTADO"/>
    <x v="4"/>
    <x v="115"/>
    <s v="CRISALIDA ZAPATA"/>
    <s v="SEGUNDA"/>
    <s v="."/>
    <s v="MIXTO"/>
    <s v="ASAS PRESION ORG 5,10,15"/>
    <s v="ASAS PRESION ORG 5,10,15 -PLOMO"/>
    <n v="1361"/>
    <n v="10"/>
    <n v="53.1"/>
    <x v="0"/>
    <m/>
    <n v="4"/>
    <n v="1123"/>
    <n v="20456"/>
    <s v="PLOMO"/>
    <n v="4.9000000000000004"/>
    <n v="0"/>
    <n v="0"/>
    <n v="13.61"/>
    <n v="53.1"/>
    <n v="10"/>
    <n v="5310"/>
    <x v="5"/>
    <x v="0"/>
    <n v="25"/>
    <n v="4"/>
    <n v="453.66666666666669"/>
  </r>
  <r>
    <d v="2025-06-26T07:20:00"/>
    <s v="INYECTADO"/>
    <x v="4"/>
    <x v="116"/>
    <s v="CELSO ALEJANDRO"/>
    <s v="SEGUNDA"/>
    <s v="."/>
    <s v="MIXTO"/>
    <s v="ASAS PRESION ORG 5,10,15"/>
    <s v="ASAS PRESION ORG 5,10,15 -PLOMO"/>
    <n v="1250"/>
    <n v="11"/>
    <n v="29.4"/>
    <x v="0"/>
    <m/>
    <n v="2"/>
    <n v="1123"/>
    <n v="20457"/>
    <s v="PLOMO"/>
    <n v="4.8"/>
    <n v="0"/>
    <n v="0"/>
    <n v="12.5"/>
    <n v="29.4"/>
    <n v="10"/>
    <n v="2940"/>
    <x v="5"/>
    <x v="0"/>
    <n v="25"/>
    <n v="4"/>
    <n v="416.66666666666669"/>
  </r>
  <r>
    <d v="2025-06-26T07:20:00"/>
    <s v="INYECTADO"/>
    <x v="4"/>
    <x v="117"/>
    <s v="CELSO ALEJANDRO"/>
    <s v="SEGUNDA"/>
    <s v="."/>
    <s v="MIXTO"/>
    <s v="ASAS PRESION ORG 5,10,15"/>
    <s v="ASAS PRESION ORG 5,10,15 -PLOMO"/>
    <n v="1394"/>
    <n v="10"/>
    <n v="54.4"/>
    <x v="0"/>
    <m/>
    <n v="4"/>
    <n v="1123"/>
    <n v="20458"/>
    <s v="PLOMO"/>
    <n v="4.8"/>
    <n v="0"/>
    <n v="0"/>
    <n v="13.94"/>
    <n v="54.4"/>
    <n v="10"/>
    <n v="5440"/>
    <x v="5"/>
    <x v="0"/>
    <n v="25"/>
    <n v="4"/>
    <n v="464.66666666666669"/>
  </r>
  <r>
    <d v="2025-06-26T07:20:00"/>
    <s v="INYECTADO"/>
    <x v="4"/>
    <x v="118"/>
    <s v="CELSO ALEJANDRO"/>
    <s v="SEGUNDA"/>
    <s v="."/>
    <s v="MIXTO"/>
    <s v="ASAS PRESION ORG 5,10,15"/>
    <s v="ASAS PRESION ORG 5,10,15 -PLOMO"/>
    <n v="530"/>
    <n v="5"/>
    <n v="20.7"/>
    <x v="0"/>
    <m/>
    <n v="2"/>
    <n v="1123"/>
    <n v="20459"/>
    <s v="PLOMO"/>
    <n v="3.5"/>
    <n v="0"/>
    <n v="0"/>
    <n v="5.3"/>
    <n v="20.7"/>
    <n v="10"/>
    <n v="2070"/>
    <x v="5"/>
    <x v="0"/>
    <n v="25"/>
    <n v="4"/>
    <n v="176.66666666666666"/>
  </r>
  <r>
    <d v="2025-06-26T07:20:00"/>
    <s v="INYECTADO"/>
    <x v="4"/>
    <x v="118"/>
    <s v="CELSO ALEJANDRO"/>
    <s v="SEGUNDA"/>
    <s v="."/>
    <s v="MIXTO"/>
    <s v="ASAS PRESION ORG 5,10,15 PASTEL"/>
    <s v="ASAS PRESION ORG 5,10,15 -ROSADO"/>
    <n v="289"/>
    <n v="3"/>
    <n v="11.3"/>
    <x v="0"/>
    <m/>
    <n v="1"/>
    <n v="1123"/>
    <n v="20459"/>
    <s v="ROSADO"/>
    <n v="1.7"/>
    <n v="0"/>
    <n v="0"/>
    <n v="2.89"/>
    <n v="11.3"/>
    <n v="10"/>
    <n v="1130"/>
    <x v="5"/>
    <x v="0"/>
    <n v="25"/>
    <n v="4"/>
    <n v="96.333333333333329"/>
  </r>
  <r>
    <d v="2025-06-26T07:20:00"/>
    <s v="INYECTADO"/>
    <x v="4"/>
    <x v="118"/>
    <s v="CELSO ALEJANDRO"/>
    <s v="SEGUNDA"/>
    <s v="."/>
    <s v="MIXTO"/>
    <s v="ASAS PRESION ORG 5,10,15 PASTEL"/>
    <s v="ASAS PRESION ORG 5,10,15 -LILA"/>
    <n v="292"/>
    <n v="3"/>
    <n v="11.4"/>
    <x v="0"/>
    <m/>
    <n v="1"/>
    <n v="1123"/>
    <n v="20459"/>
    <s v="LILA"/>
    <n v="4.9000000000000004"/>
    <n v="0"/>
    <n v="0"/>
    <n v="2.92"/>
    <n v="11.4"/>
    <n v="10"/>
    <n v="1140"/>
    <x v="5"/>
    <x v="0"/>
    <n v="25"/>
    <n v="4"/>
    <n v="97.333333333333329"/>
  </r>
  <r>
    <d v="2025-06-26T07:20:00"/>
    <s v="INYECTADO"/>
    <x v="4"/>
    <x v="119"/>
    <s v="CELSO ALEJANDRO"/>
    <s v="SEGUNDA"/>
    <s v="."/>
    <s v="MIXTO"/>
    <s v="ASAS PRESION ORG 5,10,15 PASTEL"/>
    <s v="ASAS PRESION ORG 5,10,15 -AZURE"/>
    <n v="276"/>
    <n v="3"/>
    <n v="10.9"/>
    <x v="0"/>
    <m/>
    <n v="1"/>
    <n v="1123"/>
    <n v="20460"/>
    <s v="AZURE"/>
    <n v="1.4"/>
    <n v="0"/>
    <n v="0"/>
    <n v="2.76"/>
    <n v="10.9"/>
    <n v="10"/>
    <n v="1090"/>
    <x v="5"/>
    <x v="0"/>
    <n v="25"/>
    <n v="4"/>
    <n v="92"/>
  </r>
  <r>
    <d v="2025-06-26T07:20:00"/>
    <s v="INYECTADO"/>
    <x v="4"/>
    <x v="119"/>
    <s v="CELSO ALEJANDRO"/>
    <s v="SEGUNDA"/>
    <s v="."/>
    <s v="MIXTO"/>
    <s v="ASAS PRESION ORG 5,10,15 PASTEL"/>
    <s v="ASAS PRESION ORG 5,10,15 -TURQUESA"/>
    <n v="164"/>
    <n v="2"/>
    <n v="6.4"/>
    <x v="0"/>
    <m/>
    <n v="1"/>
    <n v="1123"/>
    <n v="20460"/>
    <s v="TURQUESA"/>
    <n v="0"/>
    <n v="0"/>
    <n v="0"/>
    <n v="1.64"/>
    <n v="6.4"/>
    <n v="10"/>
    <n v="640"/>
    <x v="5"/>
    <x v="0"/>
    <n v="25"/>
    <n v="4"/>
    <n v="54.666666666666664"/>
  </r>
  <r>
    <d v="2025-06-26T07:20:00"/>
    <s v="INYECTADO"/>
    <x v="4"/>
    <x v="119"/>
    <s v="CELSO ALEJANDRO"/>
    <s v="SEGUNDA"/>
    <s v="."/>
    <s v="MIXTO"/>
    <s v="ASAS PRESION ORG 5,10,15 PASTEL"/>
    <s v="ASAS PRESION ORG 5,10,15 -SANDIA"/>
    <n v="302"/>
    <n v="3"/>
    <n v="11.8"/>
    <x v="0"/>
    <m/>
    <n v="2"/>
    <n v="1123"/>
    <n v="20460"/>
    <s v="SANDIA"/>
    <n v="0"/>
    <n v="0"/>
    <n v="0"/>
    <n v="3.02"/>
    <n v="11.8"/>
    <n v="10"/>
    <n v="1180"/>
    <x v="5"/>
    <x v="0"/>
    <n v="25"/>
    <n v="4"/>
    <n v="100.66666666666667"/>
  </r>
  <r>
    <d v="2025-06-26T07:20:00"/>
    <s v="INYECTADO"/>
    <x v="4"/>
    <x v="119"/>
    <s v="CELSO ALEJANDRO"/>
    <s v="SEGUNDA"/>
    <s v="."/>
    <s v="MIXTO"/>
    <s v="ASAS PRESION ORG 5,10,15 PASTEL"/>
    <s v="ASAS PRESION ORG 5,10,15 -CELESTE"/>
    <n v="302"/>
    <n v="3"/>
    <n v="11.8"/>
    <x v="0"/>
    <m/>
    <n v="2"/>
    <n v="1123"/>
    <n v="20460"/>
    <s v="CELESTE"/>
    <n v="3.2"/>
    <n v="0"/>
    <n v="0"/>
    <n v="3.02"/>
    <n v="11.8"/>
    <n v="10"/>
    <n v="1180"/>
    <x v="5"/>
    <x v="0"/>
    <n v="25"/>
    <n v="4"/>
    <n v="100.66666666666667"/>
  </r>
  <r>
    <d v="2025-06-26T07:20:00"/>
    <s v="INYECTADO"/>
    <x v="4"/>
    <x v="120"/>
    <s v="JUAN MANUEL PEREZ"/>
    <s v="SEGUNDA"/>
    <s v="."/>
    <s v="MIXTO"/>
    <s v="ASAS PRESION ORG 5,10,15"/>
    <s v="ASAS PRESION ORG 5,10,15 -PLOMO"/>
    <n v="1505"/>
    <n v="12"/>
    <n v="58.7"/>
    <x v="1"/>
    <m/>
    <n v="5"/>
    <n v="1123"/>
    <n v="20461"/>
    <s v="PLOMO"/>
    <n v="5.4"/>
    <n v="0"/>
    <n v="0"/>
    <n v="15.05"/>
    <n v="58.7"/>
    <n v="10"/>
    <n v="5870"/>
    <x v="5"/>
    <x v="0"/>
    <n v="26"/>
    <n v="4"/>
    <n v="501.66666666666669"/>
  </r>
  <r>
    <d v="2025-06-26T07:20:00"/>
    <s v="INYECTADO"/>
    <x v="5"/>
    <x v="121"/>
    <s v="GABRIEL REQUENA"/>
    <s v="VIRGEN"/>
    <s v="ALTA INYECCION"/>
    <s v="."/>
    <s v="ASAS ORGANIZADOR 2 Y 3 SOLIDO"/>
    <s v="ASAS DE ORGANIZADOR 2 Y 3-ROJO"/>
    <n v="978"/>
    <n v="7"/>
    <n v="31.3"/>
    <x v="0"/>
    <m/>
    <n v="3"/>
    <n v="1138"/>
    <n v="20390"/>
    <s v="ROJO"/>
    <n v="5.4"/>
    <n v="0"/>
    <n v="0"/>
    <n v="10.757999999999999"/>
    <n v="31.3"/>
    <n v="11"/>
    <n v="2845.4545454545455"/>
    <x v="5"/>
    <x v="0"/>
    <n v="23"/>
    <n v="3"/>
    <n v="244.5"/>
  </r>
  <r>
    <d v="2025-06-26T07:20:00"/>
    <s v="INYECTADO"/>
    <x v="5"/>
    <x v="122"/>
    <s v="GABRIEL REQUENA"/>
    <s v="VIRGEN"/>
    <s v="ALTA INYECCION"/>
    <s v="."/>
    <s v="ASAS ORGANIZADOR 2 Y 3 SOLIDO"/>
    <s v="ASAS DE ORGANIZADOR 2 Y 3-ROJO"/>
    <n v="1637"/>
    <n v="10"/>
    <n v="52.4"/>
    <x v="0"/>
    <m/>
    <n v="6"/>
    <n v="1138"/>
    <n v="20391"/>
    <s v="ROJO"/>
    <n v="17.2"/>
    <n v="0"/>
    <n v="0"/>
    <n v="18.007000000000001"/>
    <n v="52.4"/>
    <n v="11"/>
    <n v="4763.636363636364"/>
    <x v="5"/>
    <x v="0"/>
    <n v="23"/>
    <n v="3"/>
    <n v="409.25"/>
  </r>
  <r>
    <d v="2025-06-26T07:20:00"/>
    <s v="INYECTADO"/>
    <x v="5"/>
    <x v="123"/>
    <s v="JUAN MANUEL PEREZ"/>
    <s v="VIRGEN"/>
    <s v="ALTA INYECCION"/>
    <s v="."/>
    <s v="ASAS ORGANIZADOR 2 Y 3 SOLIDO"/>
    <s v="ASAS DE ORGANIZADOR 2 Y 3-AZUL"/>
    <n v="1496"/>
    <n v="12"/>
    <n v="47.9"/>
    <x v="1"/>
    <m/>
    <n v="5"/>
    <n v="1138"/>
    <n v="20392"/>
    <s v="AZUL"/>
    <n v="16"/>
    <n v="0"/>
    <n v="0"/>
    <n v="16.456"/>
    <n v="47.9"/>
    <n v="11"/>
    <n v="4354.545454545455"/>
    <x v="5"/>
    <x v="0"/>
    <n v="26"/>
    <n v="3"/>
    <n v="374"/>
  </r>
  <r>
    <d v="2025-06-26T07:20:00"/>
    <s v="INYECTADO"/>
    <x v="5"/>
    <x v="124"/>
    <s v="CELSO ALEJANDRO"/>
    <s v="VIRGEN"/>
    <s v="ALTA INYECCION"/>
    <s v="."/>
    <s v="ASAS ORGANIZADOR 2 Y 3 SOLIDO"/>
    <s v="ASAS DE ORGANIZADOR 2 Y 3-AZUL"/>
    <n v="221"/>
    <n v="3"/>
    <n v="7.1"/>
    <x v="0"/>
    <m/>
    <n v="1"/>
    <n v="1138"/>
    <n v="20393"/>
    <s v="AZUL"/>
    <n v="0"/>
    <n v="0"/>
    <n v="0"/>
    <n v="2.431"/>
    <n v="7.1"/>
    <n v="11"/>
    <n v="645.4545454545455"/>
    <x v="5"/>
    <x v="0"/>
    <n v="26"/>
    <n v="3"/>
    <n v="55.25"/>
  </r>
  <r>
    <d v="2025-06-26T07:20:00"/>
    <s v="INYECTADO"/>
    <x v="5"/>
    <x v="124"/>
    <s v="CELSO ALEJANDRO"/>
    <s v="VIRGEN"/>
    <s v="ALTA INYECCION"/>
    <s v="."/>
    <s v="ASAS ORGANIZADOR 2 Y 3 SOLIDO"/>
    <s v="ASAS DE ORGANIZADOR 2 Y 3-AMARILLO"/>
    <n v="1237"/>
    <n v="8"/>
    <n v="39.6"/>
    <x v="0"/>
    <m/>
    <n v="4"/>
    <n v="1138"/>
    <n v="20393"/>
    <s v="AMARILLO"/>
    <n v="12.1"/>
    <n v="0"/>
    <n v="0"/>
    <n v="13.606999999999999"/>
    <n v="39.6"/>
    <n v="11"/>
    <n v="3600"/>
    <x v="5"/>
    <x v="0"/>
    <n v="26"/>
    <n v="3"/>
    <n v="309.25"/>
  </r>
  <r>
    <d v="2025-06-26T07:20:00"/>
    <s v="INYECTADO"/>
    <x v="5"/>
    <x v="125"/>
    <s v="CELSO ALEJANDRO"/>
    <s v="VIRGEN"/>
    <s v="ALTA INYECCION"/>
    <s v="."/>
    <s v="ASAS ORGANIZADOR 2 Y 3 SOLIDO"/>
    <s v="ASAS DE ORGANIZADOR 2 Y 3-AMARILLO"/>
    <n v="459"/>
    <n v="4"/>
    <n v="14.7"/>
    <x v="0"/>
    <m/>
    <n v="2"/>
    <n v="1138"/>
    <n v="20394"/>
    <s v="AMARILLO"/>
    <n v="9.9"/>
    <n v="0"/>
    <n v="0"/>
    <n v="5.0490000000000004"/>
    <n v="14.7"/>
    <n v="11"/>
    <n v="1336.3636363636363"/>
    <x v="5"/>
    <x v="0"/>
    <n v="26"/>
    <n v="3"/>
    <n v="114.75"/>
  </r>
  <r>
    <d v="2025-06-26T07:20:00"/>
    <s v="INYECTADO"/>
    <x v="5"/>
    <x v="125"/>
    <s v="CELSO ALEJANDRO"/>
    <s v="VIRGEN"/>
    <s v="ALTA INYECCION"/>
    <s v="."/>
    <s v="ASAS ORGANIZADOR 2 Y 3 SOLIDO"/>
    <s v="ASAS DE ORGANIZADOR 2 Y 3-FUCSIA"/>
    <n v="778"/>
    <n v="6"/>
    <n v="24.9"/>
    <x v="0"/>
    <m/>
    <n v="3"/>
    <n v="1138"/>
    <n v="20394"/>
    <s v="FUCSIA"/>
    <n v="12.4"/>
    <n v="0"/>
    <n v="0"/>
    <n v="8.5579999999999998"/>
    <n v="24.9"/>
    <n v="11"/>
    <n v="2263.6363636363635"/>
    <x v="5"/>
    <x v="0"/>
    <n v="26"/>
    <n v="3"/>
    <n v="194.5"/>
  </r>
  <r>
    <d v="2025-06-26T07:20:00"/>
    <s v="INYECTADO"/>
    <x v="5"/>
    <x v="125"/>
    <s v="JOSDER GONZALEZ"/>
    <s v="VIRGEN"/>
    <s v="ALTA INYECCION"/>
    <s v="."/>
    <s v="ASAS ORGANIZADOR 2 Y 3 SOLIDO"/>
    <s v="ASAS DE ORGANIZADOR 2 Y 3-FUCSIA"/>
    <n v="715"/>
    <n v="5"/>
    <n v="22.9"/>
    <x v="1"/>
    <m/>
    <n v="3"/>
    <n v="1138"/>
    <n v="20395"/>
    <s v="FUCSIA"/>
    <n v="9.5"/>
    <n v="0"/>
    <n v="0"/>
    <n v="7.8650000000000002"/>
    <n v="22.9"/>
    <n v="11"/>
    <n v="2081.818181818182"/>
    <x v="5"/>
    <x v="0"/>
    <n v="26"/>
    <n v="3"/>
    <n v="178.75"/>
  </r>
  <r>
    <d v="2025-06-26T07:20:00"/>
    <s v="INYECTADO"/>
    <x v="5"/>
    <x v="125"/>
    <s v="JOSDER GONZALEZ"/>
    <s v="VIRGEN"/>
    <s v="ALTA INYECCION"/>
    <s v="."/>
    <s v="ASAS ORGANIZADOR 2 Y 3 SOLIDO"/>
    <s v="ASAS DE ORGANIZADOR 2 Y 3-LILA"/>
    <n v="996"/>
    <n v="6"/>
    <n v="31.9"/>
    <x v="1"/>
    <m/>
    <n v="2"/>
    <n v="1138"/>
    <n v="20395"/>
    <s v="LILA"/>
    <n v="11.4"/>
    <n v="0"/>
    <n v="0"/>
    <n v="10.956"/>
    <n v="31.9"/>
    <n v="11"/>
    <n v="2900"/>
    <x v="5"/>
    <x v="0"/>
    <n v="26"/>
    <n v="3"/>
    <n v="249"/>
  </r>
  <r>
    <d v="2025-06-26T07:20:00"/>
    <s v="INYECTADO"/>
    <x v="5"/>
    <x v="120"/>
    <s v="GABRIEL ORDAZ"/>
    <s v="VIRGEN"/>
    <s v="ALTA INYECCION"/>
    <s v="."/>
    <s v="ASAS ORGANIZADOR 2 Y 3 SOLIDO"/>
    <s v="ASAS DE ORGANIZADOR 2 Y 3-LILA"/>
    <n v="131"/>
    <n v="1"/>
    <n v="4.2"/>
    <x v="0"/>
    <m/>
    <n v="2"/>
    <n v="1138"/>
    <n v="20396"/>
    <s v="LILA"/>
    <n v="5.4"/>
    <n v="0"/>
    <n v="0"/>
    <n v="1.4410000000000001"/>
    <n v="4.2"/>
    <n v="11"/>
    <n v="381.81818181818181"/>
    <x v="5"/>
    <x v="0"/>
    <n v="26"/>
    <n v="3"/>
    <n v="32.75"/>
  </r>
  <r>
    <d v="2025-06-26T07:20:00"/>
    <s v="INYECTADO"/>
    <x v="5"/>
    <x v="120"/>
    <s v="GABRIEL ORDAZ"/>
    <s v="VIRGEN"/>
    <s v="ALTA INYECCION"/>
    <s v="."/>
    <s v="ASAS ORGANIZADOR 2 Y 3 SOLIDO"/>
    <s v="ASAS DE ORGANIZADOR 2 Y 3-VERDE"/>
    <n v="1143"/>
    <n v="7"/>
    <n v="36.6"/>
    <x v="0"/>
    <m/>
    <n v="1"/>
    <n v="1138"/>
    <n v="20396"/>
    <s v="VERDE"/>
    <n v="16"/>
    <n v="0"/>
    <n v="0"/>
    <n v="12.573"/>
    <n v="36.6"/>
    <n v="11"/>
    <n v="3327.2727272727275"/>
    <x v="5"/>
    <x v="0"/>
    <n v="26"/>
    <n v="3"/>
    <n v="285.75"/>
  </r>
  <r>
    <d v="2025-06-26T07:20:00"/>
    <s v="INYECTADO"/>
    <x v="5"/>
    <x v="120"/>
    <s v="GABRIEL ORDAZ"/>
    <s v="VIRGEN"/>
    <s v="ALTA INYECCION"/>
    <s v="."/>
    <s v="ASAS ORGANIZADOR 2 Y 3 SOLIDO"/>
    <s v="ASAS DE ORGANIZADOR 2 Y 3-ROJO"/>
    <n v="171"/>
    <n v="2"/>
    <n v="5.5"/>
    <x v="0"/>
    <m/>
    <n v="1"/>
    <n v="1138"/>
    <n v="20396"/>
    <s v="ROJO"/>
    <n v="3.8"/>
    <n v="0"/>
    <n v="0"/>
    <n v="1.881"/>
    <n v="5.5"/>
    <n v="11"/>
    <n v="500"/>
    <x v="5"/>
    <x v="0"/>
    <n v="26"/>
    <n v="3"/>
    <n v="42.75"/>
  </r>
  <r>
    <d v="2025-06-26T07:20:00"/>
    <s v="INYECTADO"/>
    <x v="0"/>
    <x v="126"/>
    <s v="NELSON PINEDO"/>
    <s v="SEGUNDA"/>
    <s v="."/>
    <s v="MIXTO"/>
    <s v="EMBUDO #1"/>
    <s v="EMBUDO #1-AMARILLO"/>
    <n v="508"/>
    <n v="5"/>
    <n v="41.7"/>
    <x v="0"/>
    <m/>
    <n v="3"/>
    <n v="1130"/>
    <n v="21710"/>
    <s v="AMARILLO"/>
    <n v="9.3000000000000007"/>
    <n v="0"/>
    <n v="0"/>
    <n v="11.176"/>
    <n v="41.7"/>
    <n v="22"/>
    <n v="1895.4545454545455"/>
    <x v="5"/>
    <x v="0"/>
    <n v="24"/>
    <n v="4"/>
    <n v="169.33333333333334"/>
  </r>
  <r>
    <d v="2025-06-26T07:20:00"/>
    <s v="INYECTADO"/>
    <x v="0"/>
    <x v="126"/>
    <s v="NELSON PINEDO"/>
    <s v="SEGUNDA"/>
    <s v="."/>
    <s v="MIXTO"/>
    <s v="EMBUDO #1"/>
    <s v="EMBUDO #1-VERDE"/>
    <n v="492"/>
    <n v="6"/>
    <n v="39.9"/>
    <x v="0"/>
    <m/>
    <n v="3"/>
    <n v="1130"/>
    <n v="21710"/>
    <s v="VERDE"/>
    <n v="8.1"/>
    <n v="0"/>
    <n v="0"/>
    <n v="10.824"/>
    <n v="39.9"/>
    <n v="22"/>
    <n v="1813.6363636363637"/>
    <x v="5"/>
    <x v="0"/>
    <n v="24"/>
    <n v="4"/>
    <n v="164"/>
  </r>
  <r>
    <d v="2025-06-26T07:20:00"/>
    <s v="INYECTADO"/>
    <x v="0"/>
    <x v="126"/>
    <s v="JOSDER GONZALEZ"/>
    <s v="SEGUNDA"/>
    <s v="."/>
    <s v="MIXTO"/>
    <s v="EMBUDO #1"/>
    <s v="EMBUDO #1-AZUL"/>
    <n v="520"/>
    <n v="6"/>
    <n v="42.7"/>
    <x v="1"/>
    <m/>
    <n v="3"/>
    <n v="1130"/>
    <n v="21711"/>
    <s v="AZURE"/>
    <n v="10.1"/>
    <n v="0"/>
    <n v="0"/>
    <n v="11.44"/>
    <n v="42.7"/>
    <n v="22"/>
    <n v="1940.909090909091"/>
    <x v="5"/>
    <x v="0"/>
    <n v="24"/>
    <n v="4"/>
    <n v="173.33333333333334"/>
  </r>
  <r>
    <d v="2025-06-26T07:20:00"/>
    <s v="INYECTADO"/>
    <x v="0"/>
    <x v="126"/>
    <s v="JOSDER GONZALEZ"/>
    <s v="SEGUNDA"/>
    <s v="."/>
    <s v="MIXTO"/>
    <s v="EMBUDO #1"/>
    <s v="EMBUDO #1-ROJO"/>
    <n v="142"/>
    <n v="2"/>
    <n v="11.7"/>
    <x v="1"/>
    <m/>
    <n v="1"/>
    <n v="1130"/>
    <n v="21711"/>
    <s v="ROJO"/>
    <n v="2.4"/>
    <n v="0"/>
    <n v="0"/>
    <n v="3.1240000000000001"/>
    <n v="11.7"/>
    <n v="22"/>
    <n v="531.81818181818187"/>
    <x v="5"/>
    <x v="0"/>
    <n v="24"/>
    <n v="4"/>
    <n v="47.333333333333336"/>
  </r>
  <r>
    <d v="2025-06-26T07:20:00"/>
    <s v="INYECTADO"/>
    <x v="0"/>
    <x v="127"/>
    <s v="LUIS RENGIFO"/>
    <s v="SEGUNDA"/>
    <s v="."/>
    <s v="MIXTO"/>
    <s v="EMBUDO #1"/>
    <s v="EMBUDO #1-ROJO"/>
    <n v="369"/>
    <n v="4"/>
    <n v="18.600000000000001"/>
    <x v="0"/>
    <m/>
    <n v="2"/>
    <n v="1130"/>
    <n v="21712"/>
    <s v="ROJO"/>
    <n v="7.8"/>
    <n v="0"/>
    <n v="0"/>
    <n v="8.1180000000000003"/>
    <n v="18.600000000000001"/>
    <n v="22"/>
    <n v="845.4545454545455"/>
    <x v="5"/>
    <x v="0"/>
    <n v="24"/>
    <n v="4"/>
    <n v="123"/>
  </r>
  <r>
    <d v="2025-06-26T07:20:00"/>
    <s v="INYECTADO"/>
    <x v="0"/>
    <x v="127"/>
    <s v="LUIS RENGIFO"/>
    <s v="SEGUNDA"/>
    <s v="."/>
    <s v="MIXTO"/>
    <s v="EMBUDO #1"/>
    <s v="EMBUDO #1-FUCSIA"/>
    <n v="340"/>
    <n v="4"/>
    <n v="27.9"/>
    <x v="0"/>
    <m/>
    <n v="2"/>
    <n v="1130"/>
    <n v="21712"/>
    <s v="FUCSIA"/>
    <n v="4.8"/>
    <n v="0"/>
    <n v="0"/>
    <n v="7.48"/>
    <n v="27.9"/>
    <n v="22"/>
    <n v="1268.1818181818182"/>
    <x v="5"/>
    <x v="0"/>
    <n v="24"/>
    <n v="4"/>
    <n v="113.33333333333333"/>
  </r>
  <r>
    <d v="2025-06-26T07:20:00"/>
    <s v="INYECTADO"/>
    <x v="0"/>
    <x v="127"/>
    <s v="LUIS RENGIFO"/>
    <s v="SEGUNDA"/>
    <s v="."/>
    <s v="MIXTO"/>
    <s v="EMBUDO #1"/>
    <s v="EMBUDO #1-LILA"/>
    <n v="345"/>
    <n v="3"/>
    <n v="28.3"/>
    <x v="0"/>
    <m/>
    <n v="2"/>
    <n v="1130"/>
    <n v="21712"/>
    <s v="LILA"/>
    <n v="4.5"/>
    <n v="0"/>
    <n v="0"/>
    <n v="7.59"/>
    <n v="28.3"/>
    <n v="22"/>
    <n v="1286.3636363636363"/>
    <x v="5"/>
    <x v="0"/>
    <n v="24"/>
    <n v="4"/>
    <n v="115"/>
  </r>
  <r>
    <d v="2025-06-26T07:20:00"/>
    <s v="INYECTADO"/>
    <x v="0"/>
    <x v="114"/>
    <s v="LUIS PINEDO"/>
    <s v="SEGUNDA"/>
    <s v="."/>
    <s v="MIXTO"/>
    <s v="EMBUDO #1"/>
    <s v="EMBUDO #1-LILA"/>
    <n v="745"/>
    <n v="9"/>
    <n v="61.1"/>
    <x v="0"/>
    <m/>
    <n v="5"/>
    <n v="1130"/>
    <n v="21713"/>
    <s v="LILA"/>
    <n v="13.5"/>
    <n v="0"/>
    <n v="0"/>
    <n v="16.39"/>
    <n v="61.1"/>
    <n v="22"/>
    <n v="2777.2727272727275"/>
    <x v="5"/>
    <x v="0"/>
    <n v="25"/>
    <n v="4"/>
    <n v="248.33333333333334"/>
  </r>
  <r>
    <d v="2025-06-26T07:20:00"/>
    <s v="INYECTADO"/>
    <x v="0"/>
    <x v="114"/>
    <s v="LUIS PINEDO"/>
    <s v="SEGUNDA"/>
    <s v="."/>
    <s v="MIXTO"/>
    <s v="EMBUDO #1"/>
    <s v="EMBUDO #1-AMARILLO"/>
    <n v="274"/>
    <n v="1"/>
    <n v="22.5"/>
    <x v="0"/>
    <m/>
    <n v="2"/>
    <n v="1130"/>
    <n v="21713"/>
    <s v="AMARILLO"/>
    <n v="5"/>
    <n v="0"/>
    <n v="0"/>
    <n v="6.0279999999999996"/>
    <n v="22.5"/>
    <n v="22"/>
    <n v="1022.7272727272727"/>
    <x v="5"/>
    <x v="0"/>
    <n v="25"/>
    <n v="4"/>
    <n v="91.333333333333329"/>
  </r>
  <r>
    <d v="2025-06-26T07:20:00"/>
    <s v="INYECTADO"/>
    <x v="0"/>
    <x v="115"/>
    <s v="ISABEL LINARIZ "/>
    <s v="SEGUNDA"/>
    <s v="."/>
    <s v="MIXTO"/>
    <s v="EMBUDO #1"/>
    <s v="EMBUDO #1-AMARILLO"/>
    <n v="350"/>
    <n v="4"/>
    <n v="21.1"/>
    <x v="0"/>
    <m/>
    <n v="2"/>
    <n v="1130"/>
    <n v="21714"/>
    <s v="AMARILLO"/>
    <n v="4.3"/>
    <n v="0"/>
    <n v="0"/>
    <n v="7.7"/>
    <n v="21.1"/>
    <n v="22"/>
    <n v="959.09090909090912"/>
    <x v="5"/>
    <x v="0"/>
    <n v="25"/>
    <n v="4"/>
    <n v="116.66666666666667"/>
  </r>
  <r>
    <d v="2025-06-26T07:20:00"/>
    <s v="INYECTADO"/>
    <x v="0"/>
    <x v="115"/>
    <s v="ISABEL LINARIZ "/>
    <s v="SEGUNDA"/>
    <s v="."/>
    <s v="MIXTO"/>
    <s v="EMBUDO #1"/>
    <s v="EMBUDO #1-VERDE"/>
    <n v="525"/>
    <n v="5"/>
    <n v="43.1"/>
    <x v="0"/>
    <m/>
    <n v="3"/>
    <n v="1130"/>
    <n v="21714"/>
    <s v="VERDE"/>
    <n v="9.8000000000000007"/>
    <n v="0"/>
    <n v="0"/>
    <n v="11.55"/>
    <n v="43.1"/>
    <n v="22"/>
    <n v="1959.090909090909"/>
    <x v="5"/>
    <x v="0"/>
    <n v="25"/>
    <n v="4"/>
    <n v="175"/>
  </r>
  <r>
    <d v="2025-06-26T07:20:00"/>
    <s v="INYECTADO"/>
    <x v="0"/>
    <x v="115"/>
    <s v="ISABEL LINARIZ "/>
    <s v="SEGUNDA"/>
    <s v="."/>
    <s v="MIXTO"/>
    <s v="EMBUDO #1"/>
    <s v="EMBUDO #1-FUCSIA"/>
    <n v="32"/>
    <n v="1"/>
    <n v="2.7"/>
    <x v="0"/>
    <m/>
    <n v="1"/>
    <n v="1130"/>
    <n v="21714"/>
    <s v="FUCSIA"/>
    <n v="1.1000000000000001"/>
    <n v="0"/>
    <n v="0"/>
    <n v="0.70399999999999996"/>
    <n v="2.7"/>
    <n v="22"/>
    <n v="122.72727272727273"/>
    <x v="5"/>
    <x v="0"/>
    <n v="25"/>
    <n v="4"/>
    <n v="10.666666666666666"/>
  </r>
  <r>
    <d v="2025-06-26T07:20:00"/>
    <s v="INYECTADO"/>
    <x v="0"/>
    <x v="115"/>
    <s v="GABRIEL REQUENA"/>
    <s v="SEGUNDA"/>
    <s v="."/>
    <s v="MIXTO"/>
    <s v="EMBUDO #1"/>
    <s v="EMBUDO #1-FUCSIA"/>
    <n v="358"/>
    <n v="3"/>
    <n v="29.4"/>
    <x v="1"/>
    <m/>
    <n v="2"/>
    <n v="1130"/>
    <n v="21716"/>
    <s v="FUCSIA"/>
    <n v="0"/>
    <n v="0"/>
    <n v="0"/>
    <n v="7.8760000000000003"/>
    <n v="29.4"/>
    <n v="22"/>
    <n v="1336.3636363636363"/>
    <x v="5"/>
    <x v="0"/>
    <n v="25"/>
    <n v="4"/>
    <n v="119.33333333333333"/>
  </r>
  <r>
    <d v="2025-06-26T07:20:00"/>
    <s v="INYECTADO"/>
    <x v="0"/>
    <x v="116"/>
    <s v="GABRIEL ORDAZ"/>
    <s v="SEGUNDA"/>
    <s v="."/>
    <s v="MIXTO"/>
    <s v="EMBUDO #1"/>
    <s v="EMBUDO #1-FUCSIA"/>
    <n v="57"/>
    <n v="1"/>
    <n v="4.7"/>
    <x v="0"/>
    <m/>
    <n v="1"/>
    <n v="1130"/>
    <n v="21717"/>
    <s v="FUCSIA"/>
    <n v="3.5"/>
    <n v="0"/>
    <n v="0"/>
    <n v="1.254"/>
    <n v="4.7"/>
    <n v="22"/>
    <n v="213.63636363636363"/>
    <x v="5"/>
    <x v="0"/>
    <n v="25"/>
    <n v="4"/>
    <n v="19"/>
  </r>
  <r>
    <d v="2025-06-26T07:20:00"/>
    <s v="INYECTADO"/>
    <x v="0"/>
    <x v="116"/>
    <s v="GABRIEL ORDAZ"/>
    <s v="SEGUNDA"/>
    <s v="."/>
    <s v="MIXTO"/>
    <s v="EMBUDO #1"/>
    <s v="EMBUDO #1-ROJO"/>
    <n v="389"/>
    <n v="5"/>
    <n v="31.9"/>
    <x v="0"/>
    <m/>
    <n v="3"/>
    <n v="1130"/>
    <n v="21717"/>
    <s v="ROJO"/>
    <n v="7.3"/>
    <n v="0"/>
    <n v="0"/>
    <n v="8.5579999999999998"/>
    <n v="31.9"/>
    <n v="22"/>
    <n v="1450"/>
    <x v="5"/>
    <x v="0"/>
    <n v="25"/>
    <n v="4"/>
    <n v="129.66666666666666"/>
  </r>
  <r>
    <d v="2025-06-26T07:20:00"/>
    <s v="INYECTADO"/>
    <x v="0"/>
    <x v="116"/>
    <s v="GABRIEL ORDAZ"/>
    <s v="SEGUNDA"/>
    <s v="."/>
    <s v="MIXTO"/>
    <s v="EMBUDO #1"/>
    <s v="EMBUDO #1-AZUL"/>
    <n v="126"/>
    <n v="5"/>
    <n v="10.4"/>
    <x v="0"/>
    <m/>
    <n v="1"/>
    <n v="1130"/>
    <n v="21717"/>
    <s v="AZUL"/>
    <n v="0"/>
    <n v="0"/>
    <n v="0"/>
    <n v="2.7719999999999998"/>
    <n v="10.4"/>
    <n v="22"/>
    <n v="472.72727272727275"/>
    <x v="5"/>
    <x v="0"/>
    <n v="25"/>
    <n v="4"/>
    <n v="42"/>
  </r>
  <r>
    <d v="2025-06-26T07:20:00"/>
    <s v="INYECTADO"/>
    <x v="0"/>
    <x v="116"/>
    <s v="SAID VILLAMIZAR"/>
    <s v="SEGUNDA"/>
    <s v="."/>
    <s v="MIXTO"/>
    <s v="EMBUDO #1"/>
    <s v="EMBUDO #1-AZUL"/>
    <n v="246"/>
    <n v="3"/>
    <n v="20.5"/>
    <x v="0"/>
    <m/>
    <n v="2"/>
    <n v="1130"/>
    <n v="21718"/>
    <s v="AZUL"/>
    <n v="0"/>
    <n v="0"/>
    <n v="0"/>
    <n v="5.4119999999999999"/>
    <n v="20.5"/>
    <n v="22"/>
    <n v="931.81818181818187"/>
    <x v="5"/>
    <x v="0"/>
    <n v="25"/>
    <n v="4"/>
    <n v="82"/>
  </r>
  <r>
    <d v="2025-06-26T07:20:00"/>
    <s v="INYECTADO"/>
    <x v="0"/>
    <x v="128"/>
    <s v="JOSDER GONZALEZ"/>
    <s v="SEGUNDA"/>
    <s v="."/>
    <s v="MIXTO"/>
    <s v="EMBUDO #1"/>
    <s v="EMBUDO #1-AZUL"/>
    <n v="450"/>
    <n v="6"/>
    <n v="39.9"/>
    <x v="1"/>
    <m/>
    <n v="3"/>
    <n v="1130"/>
    <n v="21719"/>
    <s v="AZUL"/>
    <n v="10"/>
    <n v="0"/>
    <n v="0"/>
    <n v="9.9"/>
    <n v="39.9"/>
    <n v="22"/>
    <n v="1813.6363636363637"/>
    <x v="5"/>
    <x v="0"/>
    <n v="26"/>
    <n v="4"/>
    <n v="150"/>
  </r>
  <r>
    <d v="2025-06-26T07:20:00"/>
    <s v="INYECTADO"/>
    <x v="0"/>
    <x v="128"/>
    <s v="JOSDER GONZALEZ"/>
    <s v="SEGUNDA"/>
    <s v="."/>
    <s v="MIXTO"/>
    <s v="EMBUDO #1"/>
    <s v="EMBUDO #1-FUCSIA"/>
    <n v="537"/>
    <n v="6"/>
    <n v="45.1"/>
    <x v="1"/>
    <m/>
    <n v="3"/>
    <n v="1130"/>
    <n v="21719"/>
    <s v="FUCSIA"/>
    <n v="10.1"/>
    <n v="0"/>
    <n v="0"/>
    <n v="11.814"/>
    <n v="45.1"/>
    <n v="22"/>
    <n v="2050"/>
    <x v="5"/>
    <x v="0"/>
    <n v="26"/>
    <n v="4"/>
    <n v="179"/>
  </r>
  <r>
    <d v="2025-06-26T07:20:00"/>
    <s v="INYECTADO"/>
    <x v="0"/>
    <x v="128"/>
    <s v="JOSDER GONZALEZ"/>
    <s v="SEGUNDA"/>
    <s v="."/>
    <s v="MIXTO"/>
    <s v="EMBUDO #1"/>
    <s v="EMBUDO #1-VERDE"/>
    <n v="40"/>
    <n v="1"/>
    <n v="3.4"/>
    <x v="1"/>
    <m/>
    <n v="1"/>
    <n v="1130"/>
    <n v="21719"/>
    <s v="VERDE"/>
    <n v="0"/>
    <n v="0"/>
    <n v="0"/>
    <n v="0.88"/>
    <n v="3.4"/>
    <n v="22"/>
    <n v="154.54545454545453"/>
    <x v="5"/>
    <x v="0"/>
    <n v="26"/>
    <n v="4"/>
    <n v="13.333333333333334"/>
  </r>
  <r>
    <d v="2025-06-26T07:20:00"/>
    <s v="INYECTADO"/>
    <x v="0"/>
    <x v="123"/>
    <s v="JUANA CRUCES"/>
    <s v="SEGUNDA"/>
    <s v="."/>
    <s v="MIXTO"/>
    <s v="EMBUDO #1"/>
    <s v="EMBUDO #1-VERDE"/>
    <n v="528"/>
    <n v="5"/>
    <n v="42.8"/>
    <x v="0"/>
    <m/>
    <n v="3"/>
    <n v="1130"/>
    <n v="21720"/>
    <s v="VERDE"/>
    <n v="12.4"/>
    <n v="0"/>
    <n v="0"/>
    <n v="11.616"/>
    <n v="42.8"/>
    <n v="22"/>
    <n v="1945.4545454545455"/>
    <x v="5"/>
    <x v="0"/>
    <n v="26"/>
    <n v="4"/>
    <n v="176"/>
  </r>
  <r>
    <d v="2025-06-26T07:20:00"/>
    <s v="INYECTADO"/>
    <x v="0"/>
    <x v="123"/>
    <s v="JUANA CRUCES"/>
    <s v="SEGUNDA"/>
    <s v="."/>
    <s v="MIXTO"/>
    <s v="EMBUDO #1"/>
    <s v="EMBUDO #1-AMARILLO"/>
    <n v="343"/>
    <n v="4"/>
    <n v="27.8"/>
    <x v="0"/>
    <m/>
    <n v="3"/>
    <n v="1130"/>
    <n v="21720"/>
    <s v="AMARILLO"/>
    <n v="7.7"/>
    <n v="0"/>
    <n v="0"/>
    <n v="7.5460000000000003"/>
    <n v="27.8"/>
    <n v="22"/>
    <n v="1263.6363636363637"/>
    <x v="5"/>
    <x v="0"/>
    <n v="26"/>
    <n v="4"/>
    <n v="114.33333333333333"/>
  </r>
  <r>
    <d v="2025-06-26T07:20:00"/>
    <s v="INYECTADO"/>
    <x v="0"/>
    <x v="123"/>
    <s v="JUANA CRUCES"/>
    <s v="SEGUNDA"/>
    <s v="."/>
    <s v="MIXTO"/>
    <s v="EMBUDO #1"/>
    <s v="EMBUDO #1-ROJO"/>
    <n v="232"/>
    <n v="2"/>
    <n v="18.8"/>
    <x v="0"/>
    <m/>
    <n v="2"/>
    <n v="1130"/>
    <n v="21720"/>
    <s v="ROJO"/>
    <n v="4.8"/>
    <n v="0"/>
    <n v="0"/>
    <n v="5.1040000000000001"/>
    <n v="18.8"/>
    <n v="22"/>
    <n v="854.5454545454545"/>
    <x v="5"/>
    <x v="0"/>
    <n v="26"/>
    <n v="4"/>
    <n v="77.333333333333329"/>
  </r>
  <r>
    <d v="2025-06-26T07:20:00"/>
    <s v="INYECTADO"/>
    <x v="0"/>
    <x v="123"/>
    <s v="ISABEL LINARIZ "/>
    <s v="SEGUNDA"/>
    <s v="."/>
    <s v="MIXTO"/>
    <s v="EMBUDO #1"/>
    <s v="EMBUDO #1-ROJO"/>
    <n v="506"/>
    <n v="4"/>
    <n v="41"/>
    <x v="1"/>
    <m/>
    <n v="3"/>
    <n v="1130"/>
    <n v="21721"/>
    <s v="ROJO"/>
    <n v="8.1999999999999993"/>
    <n v="0"/>
    <n v="0"/>
    <n v="11.132"/>
    <n v="41"/>
    <n v="22"/>
    <n v="1863.6363636363637"/>
    <x v="5"/>
    <x v="0"/>
    <n v="26"/>
    <n v="4"/>
    <n v="168.66666666666666"/>
  </r>
  <r>
    <d v="2025-06-26T07:20:00"/>
    <s v="INYECTADO"/>
    <x v="0"/>
    <x v="123"/>
    <s v="ISABEL LINARIZ "/>
    <s v="SEGUNDA"/>
    <s v="."/>
    <s v="MIXTO"/>
    <s v="EMBUDO #1"/>
    <s v="EMBUDO #1-AZUL"/>
    <n v="606"/>
    <n v="8"/>
    <n v="49.1"/>
    <x v="1"/>
    <m/>
    <n v="3"/>
    <n v="1130"/>
    <n v="21721"/>
    <s v="AZUL"/>
    <n v="11.4"/>
    <n v="0"/>
    <n v="0"/>
    <n v="13.332000000000001"/>
    <n v="49.1"/>
    <n v="22"/>
    <n v="2231.818181818182"/>
    <x v="5"/>
    <x v="0"/>
    <n v="26"/>
    <n v="4"/>
    <n v="202"/>
  </r>
  <r>
    <d v="2025-06-26T07:20:00"/>
    <s v="INYECTADO"/>
    <x v="0"/>
    <x v="124"/>
    <s v="JUANA CRUCES"/>
    <s v="SEGUNDA"/>
    <s v="."/>
    <s v="MIXTO"/>
    <s v="EMBUDO #1"/>
    <s v="EMBUDO #1-AZUL"/>
    <n v="332"/>
    <n v="4"/>
    <n v="26.9"/>
    <x v="0"/>
    <m/>
    <n v="3"/>
    <n v="1130"/>
    <n v="21722"/>
    <s v="AZUL"/>
    <n v="14.8"/>
    <n v="0"/>
    <n v="0"/>
    <n v="7.3040000000000003"/>
    <n v="26.9"/>
    <n v="22"/>
    <n v="1222.7272727272727"/>
    <x v="5"/>
    <x v="0"/>
    <n v="26"/>
    <n v="4"/>
    <n v="110.66666666666667"/>
  </r>
  <r>
    <d v="2025-06-26T07:20:00"/>
    <s v="INYECTADO"/>
    <x v="0"/>
    <x v="124"/>
    <s v="JUANA CRUCES"/>
    <s v="SEGUNDA"/>
    <s v="."/>
    <s v="MIXTO"/>
    <s v="EMBUDO #1"/>
    <s v="EMBUDO #1-FUCSIA"/>
    <n v="897"/>
    <n v="7"/>
    <n v="73.599999999999994"/>
    <x v="0"/>
    <m/>
    <n v="5"/>
    <n v="1130"/>
    <n v="21722"/>
    <s v="FUCSIA"/>
    <n v="3.2"/>
    <n v="0"/>
    <n v="0"/>
    <n v="19.734000000000002"/>
    <n v="73.599999999999994"/>
    <n v="22"/>
    <n v="3345.4545454545455"/>
    <x v="5"/>
    <x v="0"/>
    <n v="26"/>
    <n v="4"/>
    <n v="299"/>
  </r>
  <r>
    <d v="2025-06-26T07:20:00"/>
    <s v="INYECTADO"/>
    <x v="0"/>
    <x v="124"/>
    <s v="JOSDER GONZALEZ"/>
    <s v="SEGUNDA"/>
    <s v="."/>
    <s v="MIXTO"/>
    <s v="EMBUDO #1"/>
    <s v="EMBUDO #1-FUCSIA"/>
    <n v="286"/>
    <n v="3"/>
    <n v="23.7"/>
    <x v="1"/>
    <m/>
    <n v="2"/>
    <n v="1130"/>
    <n v="21723"/>
    <s v="FUCSIA"/>
    <n v="6.4"/>
    <n v="0"/>
    <n v="0"/>
    <n v="6.2919999999999998"/>
    <n v="23.7"/>
    <n v="22"/>
    <n v="1077.2727272727273"/>
    <x v="5"/>
    <x v="0"/>
    <n v="26"/>
    <n v="4"/>
    <n v="95.333333333333329"/>
  </r>
  <r>
    <d v="2025-06-26T07:20:00"/>
    <s v="INYECTADO"/>
    <x v="0"/>
    <x v="124"/>
    <s v="JOSDER GONZALEZ"/>
    <s v="SEGUNDA"/>
    <s v="."/>
    <s v="MIXTO"/>
    <s v="EMBUDO #1"/>
    <s v="EMBUDO #1-LILA"/>
    <n v="256"/>
    <n v="3"/>
    <n v="21.3"/>
    <x v="1"/>
    <m/>
    <n v="2"/>
    <n v="1130"/>
    <n v="21723"/>
    <s v="LILA"/>
    <n v="5.5"/>
    <n v="0"/>
    <n v="0"/>
    <n v="5.6319999999999997"/>
    <n v="21.3"/>
    <n v="22"/>
    <n v="968.18181818181813"/>
    <x v="5"/>
    <x v="0"/>
    <n v="26"/>
    <n v="4"/>
    <n v="85.333333333333329"/>
  </r>
  <r>
    <d v="2025-06-26T07:20:00"/>
    <s v="INYECTADO"/>
    <x v="0"/>
    <x v="124"/>
    <s v="JOSDER GONZALEZ"/>
    <s v="SEGUNDA"/>
    <s v="."/>
    <s v="MIXTO"/>
    <s v="EMBUDO #1"/>
    <s v="EMBUDO #1-ROJO"/>
    <n v="507"/>
    <n v="5"/>
    <n v="35"/>
    <x v="1"/>
    <m/>
    <n v="2"/>
    <n v="1130"/>
    <n v="21723"/>
    <s v="ROJO"/>
    <n v="6.5"/>
    <n v="0"/>
    <n v="0"/>
    <n v="11.154"/>
    <n v="35"/>
    <n v="22"/>
    <n v="1590.909090909091"/>
    <x v="5"/>
    <x v="0"/>
    <n v="26"/>
    <n v="4"/>
    <n v="169"/>
  </r>
  <r>
    <d v="2025-06-26T07:20:00"/>
    <s v="INYECTADO"/>
    <x v="0"/>
    <x v="125"/>
    <s v="LUIS RENGIFO"/>
    <s v="SEGUNDA"/>
    <s v="."/>
    <s v="MIXTO"/>
    <s v="EMBUDO #1"/>
    <s v="EMBUDO #1-ROJO"/>
    <n v="514"/>
    <n v="5"/>
    <n v="42.2"/>
    <x v="0"/>
    <m/>
    <n v="3"/>
    <n v="1130"/>
    <n v="21724"/>
    <s v="ROJO"/>
    <n v="11.4"/>
    <n v="0"/>
    <n v="0"/>
    <n v="11.308"/>
    <n v="42.2"/>
    <n v="22"/>
    <n v="1918.1818181818182"/>
    <x v="5"/>
    <x v="0"/>
    <n v="26"/>
    <n v="4"/>
    <n v="171.33333333333334"/>
  </r>
  <r>
    <d v="2025-06-26T07:20:00"/>
    <s v="INYECTADO"/>
    <x v="0"/>
    <x v="125"/>
    <s v="LUIS RENGIFO"/>
    <s v="SEGUNDA"/>
    <s v="."/>
    <s v="MIXTO"/>
    <s v="EMBUDO #1"/>
    <s v="EMBUDO #1-AMARILLO"/>
    <n v="585"/>
    <n v="7"/>
    <n v="47.4"/>
    <x v="0"/>
    <m/>
    <n v="4"/>
    <n v="1130"/>
    <n v="21724"/>
    <s v="AMARILLO"/>
    <n v="5.9"/>
    <n v="0"/>
    <n v="0"/>
    <n v="12.87"/>
    <n v="47.4"/>
    <n v="22"/>
    <n v="2154.5454545454545"/>
    <x v="5"/>
    <x v="0"/>
    <n v="26"/>
    <n v="4"/>
    <n v="195"/>
  </r>
  <r>
    <d v="2025-06-26T07:20:00"/>
    <s v="INYECTADO"/>
    <x v="0"/>
    <x v="125"/>
    <s v="ISABEL LINARIZ "/>
    <s v="SEGUNDA"/>
    <s v="."/>
    <s v="MIXTO"/>
    <s v="EMBUDO #1"/>
    <s v="EMBUDO #1-AMARILLO"/>
    <n v="393"/>
    <n v="4"/>
    <n v="32.299999999999997"/>
    <x v="1"/>
    <m/>
    <n v="2"/>
    <n v="1130"/>
    <n v="21725"/>
    <s v="AMARILLO"/>
    <n v="7.4"/>
    <n v="0"/>
    <n v="0"/>
    <n v="8.6460000000000008"/>
    <n v="32.299999999999997"/>
    <n v="22"/>
    <n v="1468.181818181818"/>
    <x v="5"/>
    <x v="0"/>
    <n v="26"/>
    <n v="4"/>
    <n v="131"/>
  </r>
  <r>
    <d v="2025-06-26T07:20:00"/>
    <s v="INYECTADO"/>
    <x v="0"/>
    <x v="125"/>
    <s v="ISABEL LINARIZ "/>
    <s v="SEGUNDA"/>
    <s v="."/>
    <s v="MIXTO"/>
    <s v="EMBUDO #1"/>
    <s v="EMBUDO #1-VERDE"/>
    <n v="643"/>
    <n v="8"/>
    <n v="52.1"/>
    <x v="1"/>
    <m/>
    <n v="3"/>
    <n v="1130"/>
    <n v="21725"/>
    <s v="VERDE"/>
    <n v="7.5"/>
    <n v="0"/>
    <n v="0"/>
    <n v="14.146000000000001"/>
    <n v="52.1"/>
    <n v="22"/>
    <n v="2368.181818181818"/>
    <x v="5"/>
    <x v="0"/>
    <n v="26"/>
    <n v="4"/>
    <n v="214.33333333333334"/>
  </r>
  <r>
    <d v="2025-06-26T07:20:00"/>
    <s v="INYECTADO"/>
    <x v="0"/>
    <x v="120"/>
    <s v="JUANA CRUCES"/>
    <s v="SEGUNDA"/>
    <s v="."/>
    <s v="MIXTO"/>
    <s v="EMBUDO #1"/>
    <s v="EMBUDO #1-VERDE"/>
    <n v="346"/>
    <n v="4"/>
    <n v="28.1"/>
    <x v="0"/>
    <m/>
    <n v="2"/>
    <n v="1130"/>
    <n v="21725"/>
    <s v="VERDE"/>
    <n v="11.9"/>
    <n v="0"/>
    <n v="0"/>
    <n v="7.6120000000000001"/>
    <n v="28.1"/>
    <n v="22"/>
    <n v="1277.2727272727273"/>
    <x v="5"/>
    <x v="0"/>
    <n v="26"/>
    <n v="4"/>
    <n v="115.33333333333333"/>
  </r>
  <r>
    <d v="2025-06-26T07:20:00"/>
    <s v="INYECTADO"/>
    <x v="0"/>
    <x v="120"/>
    <s v="JUANA CRUCES"/>
    <s v="SEGUNDA"/>
    <s v="."/>
    <s v="MIXTO"/>
    <s v="EMBUDO #1"/>
    <s v="EMBUDO #1-ANARANJADO"/>
    <n v="788"/>
    <n v="7"/>
    <n v="63.8"/>
    <x v="0"/>
    <m/>
    <n v="3"/>
    <n v="1130"/>
    <n v="21726"/>
    <s v="NARANJA"/>
    <n v="11.4"/>
    <n v="0"/>
    <n v="0"/>
    <n v="17.335999999999999"/>
    <n v="63.8"/>
    <n v="22"/>
    <n v="2900"/>
    <x v="5"/>
    <x v="0"/>
    <n v="26"/>
    <n v="4"/>
    <n v="262.66666666666669"/>
  </r>
  <r>
    <d v="2025-06-26T07:20:00"/>
    <s v="INYECTADO"/>
    <x v="0"/>
    <x v="129"/>
    <s v="JUANA CRUCES"/>
    <s v="SEGUNDA"/>
    <s v="."/>
    <s v="MIXTO"/>
    <s v="EMBUDO #1"/>
    <s v="EMBUDO #1-ANARANJADO"/>
    <n v="263"/>
    <n v="3"/>
    <n v="21.6"/>
    <x v="0"/>
    <m/>
    <n v="2"/>
    <n v="1130"/>
    <n v="21727"/>
    <s v="NARANJA"/>
    <n v="13.5"/>
    <n v="0"/>
    <n v="0"/>
    <n v="5.7859999999999996"/>
    <n v="21.6"/>
    <n v="22"/>
    <n v="981.81818181818187"/>
    <x v="5"/>
    <x v="0"/>
    <n v="27"/>
    <n v="4"/>
    <n v="87.666666666666671"/>
  </r>
  <r>
    <d v="2025-06-26T07:20:00"/>
    <s v="INYECTADO"/>
    <x v="0"/>
    <x v="129"/>
    <s v="JUANA CRUCES"/>
    <s v="SEGUNDA"/>
    <s v="."/>
    <s v="MIXTO"/>
    <s v="EMBUDO #1"/>
    <s v="EMBUDO #1-VERDE"/>
    <n v="517"/>
    <n v="6"/>
    <n v="41.9"/>
    <x v="0"/>
    <m/>
    <n v="3"/>
    <n v="1130"/>
    <n v="21727"/>
    <s v="VERDE"/>
    <n v="12.6"/>
    <n v="0"/>
    <n v="0"/>
    <n v="11.374000000000001"/>
    <n v="41.9"/>
    <n v="22"/>
    <n v="1904.5454545454545"/>
    <x v="5"/>
    <x v="0"/>
    <n v="27"/>
    <n v="4"/>
    <n v="172.33333333333334"/>
  </r>
  <r>
    <d v="2025-06-26T07:20:00"/>
    <s v="INYECTADO"/>
    <x v="6"/>
    <x v="111"/>
    <s v="GABRIEL ORDAZ"/>
    <s v="SEGUNDA"/>
    <s v="."/>
    <s v="MIXTO"/>
    <s v="TAPA REPOSTEROS"/>
    <s v="TAPA REPOSTEROS-ROJO"/>
    <n v="687"/>
    <n v="6"/>
    <n v="72.2"/>
    <x v="0"/>
    <n v="0"/>
    <n v="10"/>
    <n v="1124"/>
    <n v="21241"/>
    <s v="ROJO"/>
    <n v="0"/>
    <n v="0"/>
    <n v="0"/>
    <n v="37.097999999999999"/>
    <n v="72.2"/>
    <n v="54"/>
    <n v="1337.037037037037"/>
    <x v="5"/>
    <x v="0"/>
    <n v="23"/>
    <n v="2"/>
    <n v="114.5"/>
  </r>
  <r>
    <d v="2025-06-26T07:20:00"/>
    <s v="INYECTADO"/>
    <x v="6"/>
    <x v="111"/>
    <s v="JUAN MANUEL PEREZ"/>
    <s v="SEGUNDA"/>
    <s v="."/>
    <s v="MIXTO"/>
    <s v="TAPA REPOSTEROS"/>
    <s v="TAPA REPOSTEROS-ROJO"/>
    <n v="295"/>
    <n v="3"/>
    <n v="31.1"/>
    <x v="1"/>
    <n v="0"/>
    <n v="4"/>
    <n v="1124"/>
    <n v="21242"/>
    <s v="ROJO"/>
    <n v="4"/>
    <n v="0"/>
    <n v="0"/>
    <n v="15.93"/>
    <n v="31.1"/>
    <n v="54"/>
    <n v="575.92592592592598"/>
    <x v="5"/>
    <x v="0"/>
    <n v="23"/>
    <n v="2"/>
    <n v="49.166666666666664"/>
  </r>
  <r>
    <d v="2025-06-26T07:20:00"/>
    <s v="INYECTADO"/>
    <x v="6"/>
    <x v="111"/>
    <s v="JUAN MANUEL PEREZ"/>
    <s v="SEGUNDA"/>
    <s v="."/>
    <s v="MIXTO"/>
    <s v="TAPA REPOSTEROS"/>
    <s v="TAPA REPOSTEROS-ANARANJADO"/>
    <n v="879"/>
    <n v="8"/>
    <n v="92.6"/>
    <x v="1"/>
    <m/>
    <n v="12"/>
    <n v="1124"/>
    <n v="21242"/>
    <s v="NARANJA"/>
    <n v="4"/>
    <n v="0"/>
    <n v="0"/>
    <n v="47.466000000000001"/>
    <n v="92.6"/>
    <n v="54"/>
    <n v="1714.8148148148148"/>
    <x v="5"/>
    <x v="0"/>
    <n v="23"/>
    <n v="2"/>
    <n v="146.5"/>
  </r>
  <r>
    <d v="2025-06-26T07:20:00"/>
    <s v="INYECTADO"/>
    <x v="6"/>
    <x v="130"/>
    <s v="MARIA BAZAN"/>
    <s v="SEGUNDA"/>
    <s v="."/>
    <s v="MIXTO"/>
    <s v="TAPA REPOSTEROS"/>
    <s v="TAPA REPOSTEROS-TURQUESA"/>
    <n v="871"/>
    <n v="8"/>
    <n v="93.3"/>
    <x v="0"/>
    <m/>
    <n v="12"/>
    <n v="1124"/>
    <n v="21243"/>
    <s v="TURQUESA"/>
    <n v="13.1"/>
    <n v="0"/>
    <n v="0"/>
    <n v="47.033999999999999"/>
    <n v="93.3"/>
    <n v="54"/>
    <n v="1727.7777777777778"/>
    <x v="5"/>
    <x v="0"/>
    <n v="23"/>
    <n v="2"/>
    <n v="145.16666666666666"/>
  </r>
  <r>
    <d v="2025-06-26T07:20:00"/>
    <s v="INYECTADO"/>
    <x v="6"/>
    <x v="130"/>
    <s v="MARIA BAZAN"/>
    <s v="SEGUNDA"/>
    <s v="."/>
    <s v="MIXTO"/>
    <s v="TAPA REPOSTEROS"/>
    <s v="TAPA REPOSTEROS-VERDE"/>
    <n v="190"/>
    <n v="1"/>
    <n v="7.6"/>
    <x v="0"/>
    <m/>
    <n v="1"/>
    <n v="1124"/>
    <n v="21243"/>
    <s v="VERDE"/>
    <n v="13"/>
    <n v="0"/>
    <n v="0"/>
    <n v="10.26"/>
    <n v="7.6"/>
    <n v="54"/>
    <n v="140.74074074074073"/>
    <x v="5"/>
    <x v="0"/>
    <n v="23"/>
    <n v="2"/>
    <n v="31.666666666666668"/>
  </r>
  <r>
    <d v="2025-06-26T07:20:00"/>
    <s v="INYECTADO"/>
    <x v="6"/>
    <x v="131"/>
    <s v="GABRIEL ORDAZ"/>
    <s v="SEGUNDA"/>
    <s v="."/>
    <s v="MIXTO"/>
    <s v="TAPA REPOSTEROS"/>
    <s v="TAPA REPOSTEROS-AMARILLO"/>
    <n v="173"/>
    <n v="8"/>
    <n v="19.100000000000001"/>
    <x v="0"/>
    <m/>
    <n v="11"/>
    <n v="1124"/>
    <n v="21244"/>
    <s v="VERDE"/>
    <n v="0"/>
    <n v="0"/>
    <n v="0"/>
    <n v="9.3420000000000005"/>
    <n v="19.100000000000001"/>
    <n v="54"/>
    <n v="353.7037037037037"/>
    <x v="5"/>
    <x v="0"/>
    <n v="23"/>
    <n v="2"/>
    <n v="28.833333333333332"/>
  </r>
  <r>
    <d v="2025-06-26T07:20:00"/>
    <s v="INYECTADO"/>
    <x v="6"/>
    <x v="131"/>
    <s v="GABRIEL ORDAZ"/>
    <s v="SEGUNDA"/>
    <s v="."/>
    <s v="MIXTO"/>
    <s v="TAPA REPOSTEROS"/>
    <s v="TAPA REPOSTEROS-VERDE"/>
    <n v="819"/>
    <n v="2"/>
    <n v="90.1"/>
    <x v="0"/>
    <m/>
    <n v="3"/>
    <n v="1124"/>
    <n v="21244"/>
    <s v="AMARILLO"/>
    <n v="0"/>
    <n v="0"/>
    <n v="0"/>
    <n v="44.225999999999999"/>
    <n v="90.1"/>
    <n v="54"/>
    <n v="1668.5185185185185"/>
    <x v="5"/>
    <x v="0"/>
    <n v="23"/>
    <n v="2"/>
    <n v="136.5"/>
  </r>
  <r>
    <d v="2025-06-26T07:20:00"/>
    <s v="INYECTADO"/>
    <x v="6"/>
    <x v="121"/>
    <s v="CRISALIDA ZAPATA"/>
    <s v="SEGUNDA"/>
    <s v="."/>
    <s v="MIXTO"/>
    <s v="TAPA REPOSTEROS"/>
    <s v="TAPA REPOSTEROS-AZUL"/>
    <n v="1037"/>
    <n v="11"/>
    <n v="114.1"/>
    <x v="0"/>
    <m/>
    <n v="14"/>
    <n v="1124"/>
    <n v="21245"/>
    <s v="AZUL"/>
    <n v="8.1999999999999993"/>
    <n v="0"/>
    <n v="0"/>
    <n v="55.997999999999998"/>
    <n v="114.1"/>
    <n v="54"/>
    <n v="2112.962962962963"/>
    <x v="5"/>
    <x v="0"/>
    <n v="23"/>
    <n v="2"/>
    <n v="172.83333333333334"/>
  </r>
  <r>
    <d v="2025-06-26T07:20:00"/>
    <s v="INYECTADO"/>
    <x v="6"/>
    <x v="121"/>
    <s v="JOSDER GONZALEZ"/>
    <s v="SEGUNDA"/>
    <s v="."/>
    <s v="MIXTO"/>
    <s v="TAPA REPOSTEROS"/>
    <s v="TAPA REPOSTEROS-AZUL"/>
    <n v="43"/>
    <n v="1"/>
    <n v="4.7"/>
    <x v="1"/>
    <m/>
    <n v="2"/>
    <n v="1124"/>
    <n v="21246"/>
    <s v="AZUL"/>
    <n v="3.1"/>
    <n v="0"/>
    <n v="0"/>
    <n v="2.3220000000000001"/>
    <n v="4.7"/>
    <n v="54"/>
    <n v="87.037037037037038"/>
    <x v="5"/>
    <x v="0"/>
    <n v="23"/>
    <n v="2"/>
    <n v="7.166666666666667"/>
  </r>
  <r>
    <d v="2025-06-26T07:20:00"/>
    <s v="INYECTADO"/>
    <x v="6"/>
    <x v="121"/>
    <s v="JOSDER GONZALEZ"/>
    <s v="SEGUNDA"/>
    <s v="."/>
    <s v="MIXTO"/>
    <s v="TAPA REPOSTEROS"/>
    <s v="TAPA REPOSTEROS-AMARILLO"/>
    <n v="767"/>
    <n v="8"/>
    <n v="82.9"/>
    <x v="1"/>
    <m/>
    <n v="10"/>
    <n v="1124"/>
    <n v="21246"/>
    <s v="AMARILLO"/>
    <n v="10.4"/>
    <n v="0"/>
    <n v="0"/>
    <n v="41.417999999999999"/>
    <n v="82.9"/>
    <n v="54"/>
    <n v="1535.1851851851852"/>
    <x v="5"/>
    <x v="0"/>
    <n v="23"/>
    <n v="2"/>
    <n v="127.83333333333333"/>
  </r>
  <r>
    <d v="2025-06-26T07:20:00"/>
    <s v="INYECTADO"/>
    <x v="6"/>
    <x v="122"/>
    <s v="CRISALIDA ZAPATA"/>
    <s v="SEGUNDA"/>
    <s v="."/>
    <s v="MIXTO"/>
    <s v="TAPA REPOSTEROS"/>
    <s v="TAPA REPOSTEROS-AMARILLO"/>
    <n v="158"/>
    <n v="3"/>
    <n v="17.399999999999999"/>
    <x v="0"/>
    <m/>
    <n v="2"/>
    <n v="1124"/>
    <n v="21247"/>
    <s v="AMARILLO"/>
    <n v="4.9000000000000004"/>
    <n v="0"/>
    <n v="0"/>
    <n v="8.532"/>
    <n v="17.399999999999999"/>
    <n v="54"/>
    <n v="322.22222222222223"/>
    <x v="5"/>
    <x v="0"/>
    <n v="23"/>
    <n v="2"/>
    <n v="26.333333333333332"/>
  </r>
  <r>
    <d v="2025-06-26T07:20:00"/>
    <s v="INYECTADO"/>
    <x v="6"/>
    <x v="122"/>
    <s v="CRISALIDA ZAPATA"/>
    <s v="SEGUNDA"/>
    <s v="."/>
    <s v="MIXTO"/>
    <s v="TAPA REPOSTEROS"/>
    <s v="TAPA REPOSTEROS-VERDE"/>
    <n v="119"/>
    <n v="2"/>
    <n v="13.1"/>
    <x v="0"/>
    <m/>
    <n v="2"/>
    <n v="1124"/>
    <n v="21247"/>
    <s v="VERDE"/>
    <n v="6.1"/>
    <n v="0"/>
    <n v="0"/>
    <n v="6.4260000000000002"/>
    <n v="13.1"/>
    <n v="54"/>
    <n v="242.59259259259258"/>
    <x v="5"/>
    <x v="0"/>
    <n v="23"/>
    <n v="2"/>
    <n v="19.833333333333332"/>
  </r>
  <r>
    <d v="2025-06-26T07:20:00"/>
    <s v="INYECTADO"/>
    <x v="6"/>
    <x v="122"/>
    <s v="CRISALIDA ZAPATA"/>
    <s v="SEGUNDA"/>
    <s v="."/>
    <s v="MIXTO"/>
    <s v="TAPA REPOSTEROS"/>
    <s v="TAPA REPOSTEROS-ANARANJADO"/>
    <n v="260"/>
    <n v="4"/>
    <n v="28.7"/>
    <x v="0"/>
    <m/>
    <n v="4"/>
    <n v="1124"/>
    <n v="21247"/>
    <s v="NARANJA"/>
    <n v="1.9"/>
    <n v="0"/>
    <n v="0"/>
    <n v="14.04"/>
    <n v="28.7"/>
    <n v="54"/>
    <n v="531.48148148148152"/>
    <x v="5"/>
    <x v="0"/>
    <n v="23"/>
    <n v="2"/>
    <n v="43.333333333333336"/>
  </r>
  <r>
    <d v="2025-06-26T07:20:00"/>
    <s v="INYECTADO"/>
    <x v="6"/>
    <x v="113"/>
    <s v="NELSON PINEDO"/>
    <s v="VIRGEN"/>
    <s v="ALTA INYECCION"/>
    <s v="."/>
    <s v="TAPAS DE JARRA 5 Y 6L"/>
    <s v="TAPAS DE JARRA DE 5 Y 6L-AMARILLO"/>
    <n v="691"/>
    <n v="7"/>
    <n v="114"/>
    <x v="0"/>
    <m/>
    <n v="21"/>
    <n v="1104"/>
    <n v="21248"/>
    <s v="AMARILLO"/>
    <n v="0"/>
    <n v="0"/>
    <n v="0"/>
    <n v="55.970999999999997"/>
    <n v="114"/>
    <n v="81"/>
    <n v="1407.4074074074074"/>
    <x v="5"/>
    <x v="0"/>
    <n v="24"/>
    <n v="2"/>
    <n v="115.16666666666667"/>
  </r>
  <r>
    <d v="2025-06-26T07:20:00"/>
    <s v="INYECTADO"/>
    <x v="6"/>
    <x v="113"/>
    <s v="JOSDER GONZALEZ"/>
    <s v="VIRGEN"/>
    <s v="ALTA INYECCION"/>
    <s v="."/>
    <s v="TAPAS DE JARRA 5 Y 6L"/>
    <s v="TAPAS DE JARRA DE 5 Y 6L-VERDE"/>
    <n v="752"/>
    <n v="9"/>
    <n v="124"/>
    <x v="1"/>
    <m/>
    <n v="25"/>
    <n v="1104"/>
    <n v="21249"/>
    <s v="VERDE"/>
    <n v="7.8"/>
    <n v="0"/>
    <n v="0"/>
    <n v="60.911999999999999"/>
    <n v="124"/>
    <n v="81"/>
    <n v="1530.8641975308642"/>
    <x v="5"/>
    <x v="0"/>
    <n v="24"/>
    <n v="2"/>
    <n v="125.33333333333333"/>
  </r>
  <r>
    <d v="2025-06-26T07:20:00"/>
    <s v="INYECTADO"/>
    <x v="6"/>
    <x v="113"/>
    <s v="JOSDER GONZALEZ"/>
    <s v="VIRGEN"/>
    <s v="ALTA INYECCION"/>
    <s v="."/>
    <s v="TAPAS DE JARRA 5 Y 6L"/>
    <s v="TAPAS DE JARRA DE 5 Y 6L-AZUL"/>
    <n v="240"/>
    <n v="2"/>
    <n v="39.6"/>
    <x v="1"/>
    <m/>
    <n v="8"/>
    <n v="1104"/>
    <n v="21249"/>
    <s v="AZUL"/>
    <n v="2.5"/>
    <n v="0"/>
    <n v="0"/>
    <n v="19.440000000000001"/>
    <n v="39.6"/>
    <n v="81"/>
    <n v="488.88888888888891"/>
    <x v="5"/>
    <x v="0"/>
    <n v="24"/>
    <n v="2"/>
    <n v="40"/>
  </r>
  <r>
    <d v="2025-06-26T07:20:00"/>
    <s v="INYECTADO"/>
    <x v="6"/>
    <x v="132"/>
    <s v="LUIS PINEDO"/>
    <s v="VIRGEN"/>
    <s v="ALTA INYECCION"/>
    <s v="."/>
    <s v="TAPAS DE JARRA 5 Y 6L"/>
    <s v="TAPAS DE JARRA DE 5 Y 6L-AZUL"/>
    <n v="42"/>
    <n v="1"/>
    <n v="6.8"/>
    <x v="0"/>
    <m/>
    <n v="1"/>
    <n v="1104"/>
    <n v="21250"/>
    <s v="AZUL"/>
    <n v="6.2"/>
    <n v="0"/>
    <n v="0"/>
    <n v="3.4020000000000001"/>
    <n v="6.8"/>
    <n v="81"/>
    <n v="83.950617283950621"/>
    <x v="5"/>
    <x v="0"/>
    <n v="24"/>
    <n v="2"/>
    <n v="7"/>
  </r>
  <r>
    <d v="2025-06-26T07:20:00"/>
    <s v="INYECTADO"/>
    <x v="6"/>
    <x v="132"/>
    <s v="LUIS PINEDO"/>
    <s v="VIRGEN"/>
    <s v="ALTA INYECCION"/>
    <s v="."/>
    <s v="TAPAS DE JARRA 5 Y 6L"/>
    <s v="TAPAS DE JARRA DE 5 Y 6L-ROJO"/>
    <n v="324"/>
    <n v="3"/>
    <n v="53.1"/>
    <x v="0"/>
    <m/>
    <n v="11"/>
    <n v="1104"/>
    <n v="21250"/>
    <s v="ROJO"/>
    <n v="3"/>
    <n v="0"/>
    <n v="0"/>
    <n v="26.244"/>
    <n v="53.1"/>
    <n v="81"/>
    <n v="655.55555555555554"/>
    <x v="5"/>
    <x v="0"/>
    <n v="24"/>
    <n v="2"/>
    <n v="54"/>
  </r>
  <r>
    <d v="2025-06-26T07:20:00"/>
    <s v="INYECTADO"/>
    <x v="6"/>
    <x v="132"/>
    <s v="JOSDER GONZALEZ"/>
    <s v="VIRGEN"/>
    <s v="ALTA INYECCION"/>
    <s v="."/>
    <s v="TAPAS DE JARRA 5 Y 6L"/>
    <s v="TAPAS DE JARRA DE 5 Y 6L-ROJO"/>
    <n v="421"/>
    <n v="5"/>
    <n v="70.7"/>
    <x v="1"/>
    <m/>
    <n v="5"/>
    <n v="1104"/>
    <n v="21251"/>
    <s v="ROJO"/>
    <n v="2.6"/>
    <n v="0"/>
    <n v="0"/>
    <n v="34.100999999999999"/>
    <n v="70.7"/>
    <n v="81"/>
    <n v="872.83950617283949"/>
    <x v="5"/>
    <x v="0"/>
    <n v="24"/>
    <n v="2"/>
    <n v="70.166666666666671"/>
  </r>
  <r>
    <d v="2025-06-26T07:20:00"/>
    <s v="INYECTADO"/>
    <x v="6"/>
    <x v="133"/>
    <s v="LUIS PINEDO"/>
    <s v="VIRGEN"/>
    <s v="ALTA INYECCION"/>
    <s v="."/>
    <s v="TAPAS DE JARRA 5 Y 6L"/>
    <s v="TAPAS DE JARRA DE 5 Y 6L-AMARILLO"/>
    <n v="616"/>
    <n v="7"/>
    <n v="96"/>
    <x v="0"/>
    <m/>
    <n v="19"/>
    <n v="1104"/>
    <n v="21252"/>
    <s v="AMARILLO"/>
    <n v="11.7"/>
    <n v="0"/>
    <n v="0"/>
    <n v="49.896000000000001"/>
    <n v="96"/>
    <n v="81"/>
    <n v="1185.1851851851852"/>
    <x v="5"/>
    <x v="0"/>
    <n v="24"/>
    <n v="2"/>
    <n v="102.66666666666667"/>
  </r>
  <r>
    <d v="2025-06-26T07:20:00"/>
    <s v="INYECTADO"/>
    <x v="6"/>
    <x v="133"/>
    <s v="LUIS PINEDO"/>
    <s v="VIRGEN"/>
    <s v="ALTA INYECCION"/>
    <s v="."/>
    <s v="TAPAS DE JARRA 5 Y 6L"/>
    <s v="TAPAS DE JARRA DE 5 Y 6L-VERDE"/>
    <n v="198"/>
    <n v="2"/>
    <n v="32.299999999999997"/>
    <x v="0"/>
    <m/>
    <n v="7"/>
    <n v="1104"/>
    <n v="21252"/>
    <s v="VERDE"/>
    <n v="0"/>
    <n v="0"/>
    <n v="0"/>
    <n v="16.038"/>
    <n v="32.299999999999997"/>
    <n v="81"/>
    <n v="398.76543209876536"/>
    <x v="5"/>
    <x v="0"/>
    <n v="24"/>
    <n v="2"/>
    <n v="33"/>
  </r>
  <r>
    <d v="2025-06-26T07:20:00"/>
    <s v="INYECTADO"/>
    <x v="6"/>
    <x v="133"/>
    <s v="LUIS PINEDO"/>
    <s v="VIRGEN"/>
    <s v="ALTA INYECCION"/>
    <s v="."/>
    <s v="TAPAS DE JARRA 5 Y 6L"/>
    <s v="TAPAS DE JARRA DE 5 Y 6L-VERDE"/>
    <n v="692"/>
    <n v="8"/>
    <n v="116.9"/>
    <x v="1"/>
    <m/>
    <n v="22"/>
    <n v="1104"/>
    <n v="21253"/>
    <s v="VERDE"/>
    <n v="8.1999999999999993"/>
    <n v="0"/>
    <n v="0"/>
    <n v="56.052"/>
    <n v="116.9"/>
    <n v="81"/>
    <n v="1443.2098765432099"/>
    <x v="5"/>
    <x v="0"/>
    <n v="24"/>
    <n v="2"/>
    <n v="115.33333333333333"/>
  </r>
  <r>
    <d v="2025-06-26T07:20:00"/>
    <s v="INYECTADO"/>
    <x v="6"/>
    <x v="133"/>
    <s v="LUIS PINEDO"/>
    <s v="VIRGEN"/>
    <s v="ALTA INYECCION"/>
    <s v="."/>
    <s v="TAPAS DE JARRA 5 Y 6L"/>
    <s v="TAPAS DE JARRA DE 5 Y 6L-ROJO"/>
    <n v="336"/>
    <n v="3"/>
    <n v="56.7"/>
    <x v="1"/>
    <m/>
    <n v="11"/>
    <n v="1104"/>
    <n v="21253"/>
    <s v="ROJO"/>
    <n v="0"/>
    <n v="0"/>
    <n v="0"/>
    <n v="27.216000000000001"/>
    <n v="56.7"/>
    <n v="81"/>
    <n v="700"/>
    <x v="5"/>
    <x v="0"/>
    <n v="24"/>
    <n v="2"/>
    <n v="56"/>
  </r>
  <r>
    <d v="2025-06-26T07:20:00"/>
    <s v="INYECTADO"/>
    <x v="6"/>
    <x v="134"/>
    <s v="LUIS PINEDO"/>
    <s v="VIRGEN"/>
    <s v="ALTA INYECCION"/>
    <s v="."/>
    <s v="TAPAS DE JARRA 5 Y 6L"/>
    <s v="TAPAS DE JARRA DE 5 Y 6L-ROJO"/>
    <n v="608"/>
    <n v="7"/>
    <n v="103.1"/>
    <x v="0"/>
    <m/>
    <n v="20"/>
    <n v="1104"/>
    <n v="21254"/>
    <s v="ROJO"/>
    <n v="3.8"/>
    <n v="0"/>
    <n v="0"/>
    <n v="49.247999999999998"/>
    <n v="103.1"/>
    <n v="81"/>
    <n v="1272.8395061728395"/>
    <x v="5"/>
    <x v="0"/>
    <n v="24"/>
    <n v="2"/>
    <n v="101.33333333333333"/>
  </r>
  <r>
    <d v="2025-06-26T07:20:00"/>
    <s v="INYECTADO"/>
    <x v="6"/>
    <x v="134"/>
    <s v="LUIS PINEDO"/>
    <s v="VIRGEN"/>
    <s v="ALTA INYECCION"/>
    <s v="."/>
    <s v="TAPAS DE JARRA 5 Y 6L"/>
    <s v="TAPAS DE JARRA DE 5 Y 6L-AZUL"/>
    <n v="342"/>
    <n v="4"/>
    <n v="57.4"/>
    <x v="0"/>
    <m/>
    <n v="11"/>
    <n v="1104"/>
    <n v="21254"/>
    <s v="AZUL"/>
    <n v="14.4"/>
    <n v="0"/>
    <n v="0"/>
    <n v="27.702000000000002"/>
    <n v="57.4"/>
    <n v="81"/>
    <n v="708.64197530864203"/>
    <x v="5"/>
    <x v="0"/>
    <n v="24"/>
    <n v="2"/>
    <n v="57"/>
  </r>
  <r>
    <d v="2025-06-26T07:20:00"/>
    <s v="INYECTADO"/>
    <x v="6"/>
    <x v="126"/>
    <s v="CRISALIDA ZAPATA"/>
    <s v="VIRGEN"/>
    <s v="ALTA INYECCION"/>
    <s v="."/>
    <s v="TAPAS DE JARRA 5 Y 6L"/>
    <s v="TAPAS DE JARRA DE 5 Y 6L-AZUL"/>
    <n v="897"/>
    <n v="10"/>
    <n v="141.4"/>
    <x v="0"/>
    <m/>
    <n v="28"/>
    <n v="1104"/>
    <n v="21255"/>
    <s v="AZUL"/>
    <n v="16.100000000000001"/>
    <n v="0"/>
    <n v="0"/>
    <n v="72.656999999999996"/>
    <n v="141.4"/>
    <n v="81"/>
    <n v="1745.679012345679"/>
    <x v="5"/>
    <x v="0"/>
    <n v="24"/>
    <n v="2"/>
    <n v="149.5"/>
  </r>
  <r>
    <d v="2025-06-26T07:20:00"/>
    <s v="INYECTADO"/>
    <x v="6"/>
    <x v="126"/>
    <s v="CRISALIDA ZAPATA"/>
    <s v="VIRGEN"/>
    <s v="ALTA INYECCION"/>
    <s v="."/>
    <s v="TAPAS DE JARRA 5 Y 6L"/>
    <s v="TAPAS DE JARRA DE 5 Y 6L-VERDE"/>
    <n v="16"/>
    <n v="1"/>
    <n v="3.1"/>
    <x v="0"/>
    <m/>
    <n v="1"/>
    <n v="1104"/>
    <n v="21255"/>
    <s v="VERDE"/>
    <n v="7.9"/>
    <n v="0"/>
    <n v="0"/>
    <n v="1.296"/>
    <n v="3.1"/>
    <n v="81"/>
    <n v="38.271604938271608"/>
    <x v="5"/>
    <x v="0"/>
    <n v="24"/>
    <n v="2"/>
    <n v="2.6666666666666665"/>
  </r>
  <r>
    <d v="2025-06-26T07:20:00"/>
    <s v="INYECTADO"/>
    <x v="6"/>
    <x v="126"/>
    <s v="GABRIEL REQUENA"/>
    <s v="VIRGEN"/>
    <s v="ALTA INYECCION"/>
    <s v="."/>
    <s v="TAPAS DE JARRA 5 Y 6L"/>
    <s v="TAPAS DE JARRA DE 5 Y 6L-VERDE"/>
    <n v="165"/>
    <n v="2"/>
    <n v="27.5"/>
    <x v="1"/>
    <m/>
    <n v="6"/>
    <n v="1104"/>
    <n v="21256"/>
    <s v="VERDE"/>
    <n v="0"/>
    <n v="0"/>
    <n v="0"/>
    <n v="13.365"/>
    <n v="27.5"/>
    <n v="81"/>
    <n v="339.50617283950618"/>
    <x v="5"/>
    <x v="0"/>
    <n v="24"/>
    <n v="2"/>
    <n v="27.5"/>
  </r>
  <r>
    <d v="2025-06-26T07:20:00"/>
    <s v="INYECTADO"/>
    <x v="6"/>
    <x v="127"/>
    <s v="CRISALIDA ZAPATA"/>
    <s v="VIRGEN"/>
    <s v="ALTA INYECCION"/>
    <s v="."/>
    <s v="TAPAS DE JARRA 5 Y 6L"/>
    <s v="TAPAS DE JARRA DE 5 Y 6L-VERDE"/>
    <n v="313"/>
    <n v="4"/>
    <n v="52.8"/>
    <x v="0"/>
    <m/>
    <n v="12"/>
    <n v="1104"/>
    <n v="21257"/>
    <s v="VERDE"/>
    <n v="29.199999999999996"/>
    <n v="0"/>
    <n v="0"/>
    <n v="25.353000000000002"/>
    <n v="52.8"/>
    <n v="81"/>
    <n v="651.85185185185185"/>
    <x v="5"/>
    <x v="0"/>
    <n v="24"/>
    <n v="2"/>
    <n v="52.166666666666664"/>
  </r>
  <r>
    <d v="2025-06-26T07:20:00"/>
    <s v="INYECTADO"/>
    <x v="6"/>
    <x v="127"/>
    <s v="CRISALIDA ZAPATA"/>
    <s v="VIRGEN"/>
    <s v="ALTA INYECCION"/>
    <s v="."/>
    <s v="TAPAS DE JARRA 5 Y 6L"/>
    <s v="TAPAS DE JARRA DE 5 Y 6L-AMARILLO"/>
    <n v="402"/>
    <n v="5"/>
    <n v="67.900000000000006"/>
    <x v="0"/>
    <m/>
    <n v="10"/>
    <n v="1104"/>
    <n v="21257"/>
    <s v="AMARILLO"/>
    <n v="5.4"/>
    <n v="0"/>
    <n v="0"/>
    <n v="32.561999999999998"/>
    <n v="67.900000000000006"/>
    <n v="81"/>
    <n v="838.27160493827159"/>
    <x v="5"/>
    <x v="0"/>
    <n v="24"/>
    <n v="2"/>
    <n v="67"/>
  </r>
  <r>
    <d v="2025-06-26T07:20:00"/>
    <s v="INYECTADO"/>
    <x v="6"/>
    <x v="135"/>
    <s v="SAID VILLAMIZAR"/>
    <s v="VIRGEN"/>
    <s v="ALTA INYECCION"/>
    <s v="."/>
    <s v="TAPAS DE JARRA 5 Y 6L"/>
    <s v="TAPAS DE JARRA DE 5 Y 6L-AMARILLO"/>
    <n v="178"/>
    <n v="3"/>
    <n v="30"/>
    <x v="0"/>
    <m/>
    <n v="6"/>
    <n v="1104"/>
    <n v="21258"/>
    <s v="AMARILLO"/>
    <n v="5.3"/>
    <n v="0"/>
    <n v="0"/>
    <n v="14.417999999999999"/>
    <n v="30"/>
    <n v="81"/>
    <n v="370.37037037037038"/>
    <x v="5"/>
    <x v="0"/>
    <n v="24"/>
    <n v="2"/>
    <n v="29.666666666666668"/>
  </r>
  <r>
    <d v="2025-06-26T07:20:00"/>
    <s v="INYECTADO"/>
    <x v="6"/>
    <x v="135"/>
    <s v="SAID VILLAMIZAR"/>
    <s v="VIRGEN"/>
    <s v="ALTA INYECCION"/>
    <s v="."/>
    <s v="TAPAS DE JARRA 5 Y 6L"/>
    <s v="TAPAS DE JARRA DE 5 Y 6L-ROJO"/>
    <n v="470"/>
    <n v="5"/>
    <n v="79.400000000000006"/>
    <x v="0"/>
    <m/>
    <n v="16"/>
    <n v="1104"/>
    <n v="21258"/>
    <s v="ROJO"/>
    <n v="1.3"/>
    <n v="0"/>
    <n v="0"/>
    <n v="38.07"/>
    <n v="79.400000000000006"/>
    <n v="81"/>
    <n v="980.24691358024688"/>
    <x v="5"/>
    <x v="0"/>
    <n v="24"/>
    <n v="2"/>
    <n v="78.333333333333329"/>
  </r>
  <r>
    <d v="2025-06-26T07:20:00"/>
    <s v="INYECTADO"/>
    <x v="6"/>
    <x v="114"/>
    <s v="CRISALIDA ZAPATA"/>
    <s v="VIRGEN"/>
    <s v="ALTA INYECCION"/>
    <s v="."/>
    <s v="TAPAS DE JARRA 5 Y 6L"/>
    <s v="TAPAS DE JARRA DE 5 Y 6L-AMARILLO"/>
    <n v="414"/>
    <n v="5"/>
    <n v="71.2"/>
    <x v="0"/>
    <m/>
    <n v="13"/>
    <n v="1104"/>
    <n v="21259"/>
    <s v="AMARILLO"/>
    <n v="3.8"/>
    <n v="0"/>
    <n v="0"/>
    <n v="33.533999999999999"/>
    <n v="71.2"/>
    <n v="81"/>
    <n v="879.01234567901236"/>
    <x v="5"/>
    <x v="0"/>
    <n v="25"/>
    <n v="2"/>
    <n v="69"/>
  </r>
  <r>
    <d v="2025-06-26T07:20:00"/>
    <s v="INYECTADO"/>
    <x v="6"/>
    <x v="114"/>
    <s v="CRISALIDA ZAPATA"/>
    <s v="VIRGEN"/>
    <s v="ALTA INYECCION"/>
    <s v="."/>
    <s v="TAPAS DE JARRA 5 Y 6L"/>
    <s v="TAPAS DE JARRA DE 5 Y 6L-ROJO"/>
    <n v="348"/>
    <n v="3"/>
    <n v="59.8"/>
    <x v="0"/>
    <m/>
    <n v="14"/>
    <n v="1104"/>
    <n v="21259"/>
    <s v="ROJO"/>
    <n v="22.8"/>
    <n v="0"/>
    <n v="0"/>
    <n v="28.187999999999999"/>
    <n v="59.8"/>
    <n v="81"/>
    <n v="738.27160493827159"/>
    <x v="5"/>
    <x v="0"/>
    <n v="25"/>
    <n v="2"/>
    <n v="58"/>
  </r>
  <r>
    <d v="2025-06-26T07:20:00"/>
    <s v="INYECTADO"/>
    <x v="6"/>
    <x v="118"/>
    <s v="CRISALIDA ZAPATA"/>
    <s v="VIRGEN"/>
    <s v="ALTA INYECCION"/>
    <s v="."/>
    <s v="TAPAS DE JARRA 5 Y 6L"/>
    <s v="TAPAS DE JARRA DE 5 Y 6L-AMARILLO"/>
    <n v="390"/>
    <n v="5"/>
    <n v="72"/>
    <x v="0"/>
    <m/>
    <n v="14"/>
    <n v="1104"/>
    <n v="21260"/>
    <s v="AMARILLO"/>
    <n v="9.6999999999999993"/>
    <n v="0"/>
    <n v="0"/>
    <n v="31.59"/>
    <n v="72"/>
    <n v="81"/>
    <n v="888.88888888888891"/>
    <x v="5"/>
    <x v="0"/>
    <n v="25"/>
    <n v="2"/>
    <n v="65"/>
  </r>
  <r>
    <d v="2025-06-26T07:20:00"/>
    <s v="INYECTADO"/>
    <x v="6"/>
    <x v="118"/>
    <s v="CRISALIDA ZAPATA"/>
    <s v="VIRGEN"/>
    <s v="ALTA INYECCION"/>
    <s v="."/>
    <s v="TAPAS DE JARRA 5 Y 6L"/>
    <s v="TAPAS DE JARRA DE 5 Y 6L-VERDE"/>
    <n v="382"/>
    <n v="5"/>
    <n v="75.3"/>
    <x v="0"/>
    <m/>
    <n v="14"/>
    <n v="1104"/>
    <n v="21260"/>
    <s v="VERDE"/>
    <n v="16.7"/>
    <n v="0"/>
    <n v="0"/>
    <n v="30.942"/>
    <n v="75.3"/>
    <n v="81"/>
    <n v="929.62962962962968"/>
    <x v="5"/>
    <x v="0"/>
    <n v="25"/>
    <n v="2"/>
    <n v="63.666666666666664"/>
  </r>
  <r>
    <d v="2025-06-26T07:20:00"/>
    <s v="INYECTADO"/>
    <x v="6"/>
    <x v="118"/>
    <s v="JOSDER GONZALEZ"/>
    <s v="VIRGEN"/>
    <s v="ALTA INYECCION"/>
    <s v="."/>
    <s v="TAPAS DE JARRA 5 Y 6L"/>
    <s v="TAPAS DE JARRA DE 5 Y 6L-AZUL"/>
    <n v="543"/>
    <n v="6"/>
    <n v="109"/>
    <x v="1"/>
    <m/>
    <n v="19"/>
    <n v="1104"/>
    <n v="21262"/>
    <s v="AZUL"/>
    <n v="0"/>
    <n v="0"/>
    <n v="0"/>
    <n v="43.982999999999997"/>
    <n v="109"/>
    <n v="81"/>
    <n v="1345.679012345679"/>
    <x v="5"/>
    <x v="0"/>
    <n v="25"/>
    <n v="2"/>
    <n v="90.5"/>
  </r>
  <r>
    <d v="2025-06-26T07:20:00"/>
    <s v="INYECTADO"/>
    <x v="6"/>
    <x v="119"/>
    <s v="ISABEL LINARIZ "/>
    <s v="VIRGEN"/>
    <s v="PP CLARIFICADO"/>
    <s v="."/>
    <s v="REPOSTERO REAL 4 KG"/>
    <s v="REPOSTERO 4KG-TRANSPARENTE"/>
    <n v="425"/>
    <n v="4"/>
    <n v="59.2"/>
    <x v="0"/>
    <m/>
    <n v="7"/>
    <n v="1136"/>
    <n v="21263"/>
    <s v="TRANSPARENTE"/>
    <n v="6.4"/>
    <n v="0"/>
    <n v="0"/>
    <n v="59.924999999999997"/>
    <n v="59.2"/>
    <n v="141"/>
    <n v="419.8581560283688"/>
    <x v="5"/>
    <x v="0"/>
    <n v="25"/>
    <n v="1"/>
    <n v="35.416666666666664"/>
  </r>
  <r>
    <d v="2025-06-26T07:20:00"/>
    <s v="INYECTADO"/>
    <x v="6"/>
    <x v="119"/>
    <s v="JOSDER GONZALEZ"/>
    <s v="VIRGEN"/>
    <s v="PP CLARIFICADO"/>
    <s v="."/>
    <s v="REPOSTERO REAL 4 KG"/>
    <s v="REPOSTERO 4KG-TRANSPARENTE"/>
    <n v="1206"/>
    <n v="11"/>
    <n v="168.9"/>
    <x v="1"/>
    <m/>
    <n v="20"/>
    <n v="1136"/>
    <n v="21264"/>
    <s v="TRANSPARENTE"/>
    <n v="8.1"/>
    <n v="0"/>
    <n v="0"/>
    <n v="170.04599999999999"/>
    <n v="168.9"/>
    <n v="141"/>
    <n v="1197.872340425532"/>
    <x v="5"/>
    <x v="0"/>
    <n v="25"/>
    <n v="1"/>
    <n v="100.5"/>
  </r>
  <r>
    <d v="2025-06-26T07:20:00"/>
    <s v="INYECTADO"/>
    <x v="6"/>
    <x v="136"/>
    <s v="CRISALIDA ZAPATA"/>
    <s v="VIRGEN"/>
    <s v="PP CLARIFICADO"/>
    <s v="."/>
    <s v="REPOSTERO REAL 4 KG"/>
    <s v="REPOSTERO 4KG-TRANSPARENTE"/>
    <n v="1072"/>
    <n v="11"/>
    <n v="151.19999999999999"/>
    <x v="0"/>
    <m/>
    <n v="18"/>
    <n v="1136"/>
    <n v="21265"/>
    <s v="TRANSPARENTE"/>
    <n v="4.9000000000000004"/>
    <n v="0"/>
    <n v="0"/>
    <n v="151.15199999999999"/>
    <n v="151.19999999999999"/>
    <n v="141"/>
    <n v="1072.3404255319149"/>
    <x v="5"/>
    <x v="0"/>
    <n v="26"/>
    <n v="1"/>
    <n v="89.333333333333329"/>
  </r>
  <r>
    <d v="2025-06-26T07:20:00"/>
    <s v="INYECTADO"/>
    <x v="6"/>
    <x v="136"/>
    <s v="ISABEL LINARIZ "/>
    <s v="VIRGEN"/>
    <s v="PP CLARIFICADO"/>
    <s v="."/>
    <s v="REPOSTERO REAL 4 KG"/>
    <s v="REPOSTERO 4KG-TRANSPARENTE"/>
    <n v="1406"/>
    <n v="12"/>
    <n v="198.3"/>
    <x v="1"/>
    <m/>
    <n v="23"/>
    <n v="1136"/>
    <n v="21266"/>
    <s v="TRANSPARENTE"/>
    <n v="3.4"/>
    <n v="0"/>
    <n v="0"/>
    <n v="198.24600000000001"/>
    <n v="198.3"/>
    <n v="141"/>
    <n v="1406.3829787234042"/>
    <x v="5"/>
    <x v="0"/>
    <n v="26"/>
    <n v="1"/>
    <n v="117.16666666666667"/>
  </r>
  <r>
    <d v="2025-06-26T07:20:00"/>
    <s v="INYECTADO"/>
    <x v="6"/>
    <x v="128"/>
    <s v="CRISALIDA ZAPATA"/>
    <s v="VIRGEN"/>
    <s v="PP CLARIFICADO"/>
    <s v="."/>
    <s v="REPOSTERO REAL 4 KG"/>
    <s v="REPOSTERO 4KG-TRANSPARENTE"/>
    <n v="1305"/>
    <n v="11"/>
    <n v="184.1"/>
    <x v="0"/>
    <m/>
    <n v="23"/>
    <n v="1136"/>
    <n v="21267"/>
    <s v="TRANSPARENTE"/>
    <n v="2.8"/>
    <n v="0"/>
    <n v="0"/>
    <n v="184.005"/>
    <n v="184.1"/>
    <n v="141"/>
    <n v="1305.6737588652481"/>
    <x v="5"/>
    <x v="0"/>
    <n v="26"/>
    <n v="1"/>
    <n v="108.75"/>
  </r>
  <r>
    <d v="2025-06-26T07:20:00"/>
    <s v="INYECTADO"/>
    <x v="6"/>
    <x v="123"/>
    <s v="CRISALIDA ZAPATA"/>
    <s v="VIRGEN"/>
    <s v="PP CLARIFICADO"/>
    <s v="."/>
    <s v="REPOSTERO REAL 4 KG"/>
    <s v="REPOSTERO 4KG-TRANSPARENTE"/>
    <n v="1300"/>
    <n v="12"/>
    <n v="182.1"/>
    <x v="0"/>
    <m/>
    <n v="21"/>
    <n v="1136"/>
    <n v="21268"/>
    <s v="TRANSPARENTE"/>
    <n v="3.9"/>
    <n v="0"/>
    <n v="0"/>
    <n v="183.3"/>
    <n v="182.1"/>
    <n v="141"/>
    <n v="1291.4893617021276"/>
    <x v="5"/>
    <x v="0"/>
    <n v="26"/>
    <n v="1"/>
    <n v="108.33333333333333"/>
  </r>
  <r>
    <d v="2025-06-26T07:20:00"/>
    <s v="INYECTADO"/>
    <x v="6"/>
    <x v="123"/>
    <s v="GABRIEL REQUENA"/>
    <s v="VIRGEN"/>
    <s v="PP CLARIFICADO"/>
    <s v="."/>
    <s v="REPOSTERO REAL 4 KG"/>
    <s v="REPOSTERO 4KG-TRANSPARENTE"/>
    <n v="1462"/>
    <n v="12"/>
    <n v="204.8"/>
    <x v="1"/>
    <m/>
    <n v="23"/>
    <n v="1136"/>
    <n v="21269"/>
    <s v="TRANSPARENTE"/>
    <n v="3.1"/>
    <n v="0"/>
    <n v="0"/>
    <n v="206.142"/>
    <n v="204.8"/>
    <n v="141"/>
    <n v="1452.4822695035461"/>
    <x v="5"/>
    <x v="0"/>
    <n v="26"/>
    <n v="1"/>
    <n v="121.83333333333333"/>
  </r>
  <r>
    <d v="2025-06-26T07:20:00"/>
    <s v="INYECTADO"/>
    <x v="6"/>
    <x v="124"/>
    <s v="CRISALIDA ZAPATA"/>
    <s v="VIRGEN"/>
    <s v="PP CLARIFICADO"/>
    <s v="."/>
    <s v="REPOSTERO REAL 4 KG"/>
    <s v="REPOSTERO 4KG-TRANSPARENTE"/>
    <n v="910"/>
    <n v="8"/>
    <n v="127.5"/>
    <x v="0"/>
    <m/>
    <n v="15"/>
    <n v="1136"/>
    <n v="21270"/>
    <s v="TRANSPARENTE"/>
    <n v="2.2999999999999998"/>
    <n v="0"/>
    <n v="0"/>
    <n v="128.31"/>
    <n v="127.5"/>
    <n v="141"/>
    <n v="904.25531914893622"/>
    <x v="5"/>
    <x v="0"/>
    <n v="26"/>
    <n v="1"/>
    <n v="75.833333333333329"/>
  </r>
  <r>
    <d v="2025-06-26T07:20:00"/>
    <s v="INYECTADO"/>
    <x v="6"/>
    <x v="120"/>
    <s v="NELSON PINEDO"/>
    <s v="VIRGEN"/>
    <s v="PP CLARIFICADO"/>
    <s v="."/>
    <s v="LAVACUELA REDONDO"/>
    <s v="LAVACUELA REDONDO-CREMA"/>
    <n v="706"/>
    <n v="7"/>
    <n v="73.8"/>
    <x v="0"/>
    <m/>
    <n v="7"/>
    <n v="1140"/>
    <n v="21271"/>
    <s v="CREMA"/>
    <n v="2.4"/>
    <n v="0"/>
    <n v="0"/>
    <n v="65.305000000000007"/>
    <n v="73.8"/>
    <n v="92.5"/>
    <n v="797.83783783783781"/>
    <x v="5"/>
    <x v="0"/>
    <n v="26"/>
    <n v="1"/>
    <n v="58.833333333333336"/>
  </r>
  <r>
    <d v="2025-06-26T07:20:00"/>
    <s v="INYECTADO"/>
    <x v="6"/>
    <x v="120"/>
    <s v="GABRIEL REQUENA"/>
    <s v="VIRGEN"/>
    <s v="PP CLARIFICADO"/>
    <s v="."/>
    <s v="LAVACUELA REDONDO"/>
    <s v="LAVACUELA REDONDO-CREMA"/>
    <n v="300"/>
    <n v="3"/>
    <n v="29.3"/>
    <x v="1"/>
    <m/>
    <n v="3"/>
    <n v="1140"/>
    <n v="21272"/>
    <s v="CREMA"/>
    <n v="2.1"/>
    <n v="0"/>
    <n v="0"/>
    <n v="27.75"/>
    <n v="29.3"/>
    <n v="92.5"/>
    <n v="316.75675675675677"/>
    <x v="5"/>
    <x v="0"/>
    <n v="26"/>
    <n v="1"/>
    <n v="25"/>
  </r>
  <r>
    <d v="2025-06-26T07:20:00"/>
    <s v="INYECTADO"/>
    <x v="6"/>
    <x v="120"/>
    <s v="GABRIEL REQUENA"/>
    <s v="VIRGEN"/>
    <s v="PP CLARIFICADO"/>
    <s v="."/>
    <s v="LAVACUELA REDONDO"/>
    <s v="LAVACUELA REDONDO-VERDE"/>
    <n v="906"/>
    <n v="8"/>
    <n v="88.4"/>
    <x v="1"/>
    <m/>
    <n v="8"/>
    <n v="1140"/>
    <n v="21272"/>
    <s v="VERDE"/>
    <n v="1.9"/>
    <n v="0"/>
    <n v="0"/>
    <n v="83.805000000000007"/>
    <n v="88.4"/>
    <n v="92.5"/>
    <n v="955.67567567567562"/>
    <x v="5"/>
    <x v="0"/>
    <n v="26"/>
    <n v="1"/>
    <n v="75.5"/>
  </r>
  <r>
    <d v="2025-06-26T07:20:00"/>
    <s v="INYECTADO"/>
    <x v="6"/>
    <x v="129"/>
    <s v="GABRIEL REQUENA"/>
    <s v="VIRGEN"/>
    <s v="PP CLARIFICADO"/>
    <s v="."/>
    <s v="LAVACUELA REDONDO"/>
    <s v="LAVACUELA REDONDO-VERDE"/>
    <n v="106"/>
    <n v="2"/>
    <n v="10.4"/>
    <x v="1"/>
    <m/>
    <n v="2"/>
    <n v="1140"/>
    <n v="21273"/>
    <s v="VERDE"/>
    <n v="10.9"/>
    <n v="0"/>
    <n v="0"/>
    <n v="9.8049999999999997"/>
    <n v="10.4"/>
    <n v="92.5"/>
    <n v="112.43243243243244"/>
    <x v="5"/>
    <x v="0"/>
    <n v="27"/>
    <n v="1"/>
    <n v="8.8333333333333339"/>
  </r>
  <r>
    <d v="2025-06-26T07:20:00"/>
    <s v="INYECTADO"/>
    <x v="6"/>
    <x v="129"/>
    <s v="GABRIEL REQUENA"/>
    <s v="VIRGEN"/>
    <s v="PP CLARIFICADO"/>
    <s v="."/>
    <s v="LAVACUELA REDONDO"/>
    <s v="LAVACUELA REDONDO-TURQUESA"/>
    <n v="920"/>
    <n v="10"/>
    <n v="89.7"/>
    <x v="1"/>
    <m/>
    <n v="8"/>
    <n v="1140"/>
    <n v="21273"/>
    <s v="TURQUESA"/>
    <n v="7.2"/>
    <n v="0"/>
    <n v="0"/>
    <n v="85.1"/>
    <n v="89.7"/>
    <n v="92.5"/>
    <n v="969.72972972972968"/>
    <x v="5"/>
    <x v="0"/>
    <n v="27"/>
    <n v="1"/>
    <n v="76.666666666666671"/>
  </r>
  <r>
    <d v="2025-06-26T07:20:00"/>
    <s v="INYECTADO"/>
    <x v="2"/>
    <x v="137"/>
    <s v="SAID VILLAMIZAR"/>
    <s v="VIRGEN"/>
    <s v="PP CLARIFICADO"/>
    <s v="."/>
    <s v="REPOSTERO REAL 6 KG"/>
    <s v="REPOSTERO 6KG -TRANSPARENTE"/>
    <n v="719"/>
    <n v="8"/>
    <n v="151.1"/>
    <x v="0"/>
    <m/>
    <n v="13"/>
    <n v="1122"/>
    <n v="21906"/>
    <s v="TRANSPARENTE"/>
    <n v="1.5"/>
    <n v="0"/>
    <n v="0"/>
    <n v="151.709"/>
    <n v="151.1"/>
    <n v="211"/>
    <n v="716.11374407582935"/>
    <x v="5"/>
    <x v="0"/>
    <n v="22"/>
    <n v="1"/>
    <n v="59.916666666666664"/>
  </r>
  <r>
    <d v="2025-06-26T07:20:00"/>
    <s v="INYECTADO"/>
    <x v="2"/>
    <x v="111"/>
    <s v="ISABEL LINARIZ "/>
    <s v="VIRGEN"/>
    <s v="PP CLARIFICADO"/>
    <s v="."/>
    <s v="REPOSTERO REAL 6 KG"/>
    <s v="REPOSTERO 6KG -TRANSPARENTE"/>
    <n v="1089"/>
    <n v="10"/>
    <n v="222.3"/>
    <x v="0"/>
    <m/>
    <n v="17"/>
    <n v="1122"/>
    <n v="21907"/>
    <s v="TRANSPARENTE"/>
    <n v="4.0999999999999996"/>
    <n v="0"/>
    <n v="0"/>
    <n v="229.779"/>
    <n v="222.3"/>
    <n v="211"/>
    <n v="1053.5545023696682"/>
    <x v="5"/>
    <x v="0"/>
    <n v="23"/>
    <n v="1"/>
    <n v="90.75"/>
  </r>
  <r>
    <d v="2025-06-26T07:20:00"/>
    <s v="INYECTADO"/>
    <x v="2"/>
    <x v="131"/>
    <s v="LUIS RENGIFO"/>
    <s v="VIRGEN"/>
    <s v="PP CLARIFICADO"/>
    <s v="."/>
    <s v="REPOSTERO REAL 6 KG"/>
    <s v="REPOSTERO 6KG -TRANSPARENTE"/>
    <n v="922"/>
    <n v="10"/>
    <n v="192.9"/>
    <x v="0"/>
    <m/>
    <n v="16"/>
    <n v="1122"/>
    <n v="21908"/>
    <s v="TRANSPARENTE"/>
    <n v="5.3"/>
    <n v="0"/>
    <n v="0"/>
    <n v="194.542"/>
    <n v="192.9"/>
    <n v="211"/>
    <n v="914.21800947867303"/>
    <x v="5"/>
    <x v="0"/>
    <n v="23"/>
    <n v="1"/>
    <n v="76.833333333333329"/>
  </r>
  <r>
    <d v="2025-06-26T07:20:00"/>
    <s v="INYECTADO"/>
    <x v="2"/>
    <x v="121"/>
    <m/>
    <s v="VIRGEN"/>
    <s v="PP CLARIFICADO"/>
    <s v="."/>
    <s v="REPOSTERO REAL 6 KG"/>
    <s v="REPOSTERO 6KG -TRANSPARENTE"/>
    <n v="1075"/>
    <n v="10"/>
    <n v="225.8"/>
    <x v="0"/>
    <m/>
    <n v="18"/>
    <n v="1122"/>
    <n v="21909"/>
    <s v="TRANSPARENTE"/>
    <n v="5.4"/>
    <n v="0"/>
    <n v="0"/>
    <n v="226.82499999999999"/>
    <n v="225.8"/>
    <n v="211"/>
    <n v="1070.1421800947867"/>
    <x v="5"/>
    <x v="0"/>
    <n v="23"/>
    <n v="1"/>
    <n v="89.583333333333329"/>
  </r>
  <r>
    <d v="2025-06-26T07:20:00"/>
    <s v="INYECTADO"/>
    <x v="2"/>
    <x v="122"/>
    <m/>
    <s v="VIRGEN"/>
    <s v="PP CLARIFICADO"/>
    <s v="."/>
    <s v="REPOSTERO REAL 6 KG"/>
    <s v="REPOSTERO 6KG -TRANSPARENTE"/>
    <n v="1092"/>
    <n v="10"/>
    <n v="230.5"/>
    <x v="0"/>
    <m/>
    <n v="18"/>
    <n v="1122"/>
    <n v="21910"/>
    <s v="TRANSPARENTE"/>
    <n v="0"/>
    <n v="0"/>
    <n v="0"/>
    <n v="230.41200000000001"/>
    <n v="230.5"/>
    <n v="211"/>
    <n v="1092.4170616113745"/>
    <x v="5"/>
    <x v="0"/>
    <n v="23"/>
    <n v="1"/>
    <n v="91"/>
  </r>
  <r>
    <d v="2025-06-26T07:20:00"/>
    <s v="INYECTADO"/>
    <x v="2"/>
    <x v="112"/>
    <s v="GABRIEL ORDAZ"/>
    <s v="VIRGEN"/>
    <s v="PP CLARIFICADO"/>
    <s v="."/>
    <s v="REPOSTERO REAL 6 KG"/>
    <s v="REPOSTERO 6KG -TRANSPARENTE"/>
    <n v="597"/>
    <n v="8"/>
    <n v="126"/>
    <x v="0"/>
    <m/>
    <n v="10"/>
    <n v="1122"/>
    <n v="21911"/>
    <s v="TRANSPARENTE"/>
    <n v="12.2"/>
    <n v="0"/>
    <n v="0"/>
    <n v="125.967"/>
    <n v="126"/>
    <n v="211"/>
    <n v="597.15639810426535"/>
    <x v="5"/>
    <x v="0"/>
    <n v="23"/>
    <n v="1"/>
    <n v="49.75"/>
  </r>
  <r>
    <d v="2025-06-26T07:20:00"/>
    <s v="INYECTADO"/>
    <x v="2"/>
    <x v="113"/>
    <s v="CRISALIDA ZAPATA"/>
    <s v="VIRGEN"/>
    <s v="PP CLARIFICADO"/>
    <s v="."/>
    <s v="REPOSTERO REAL 6 KG"/>
    <s v="REPOSTERO 6KG -TRANSPARENTE"/>
    <n v="643"/>
    <n v="6"/>
    <n v="135.80000000000001"/>
    <x v="0"/>
    <m/>
    <n v="6"/>
    <n v="1122"/>
    <n v="21912"/>
    <s v="TRANSPARENTE"/>
    <n v="9.6"/>
    <n v="0"/>
    <n v="0"/>
    <n v="135.673"/>
    <n v="135.80000000000001"/>
    <n v="211"/>
    <n v="643.60189573459718"/>
    <x v="5"/>
    <x v="0"/>
    <n v="24"/>
    <n v="1"/>
    <n v="53.583333333333336"/>
  </r>
  <r>
    <d v="2025-06-26T07:20:00"/>
    <s v="INYECTADO"/>
    <x v="2"/>
    <x v="132"/>
    <s v="LUIS RENGIFO"/>
    <s v="VIRGEN"/>
    <s v="PP CLARIFICADO"/>
    <s v="."/>
    <s v="VASO MUNDO MANZANITA "/>
    <s v="VASO MUNDO MANZANITA CARAMELO-AMARILLO"/>
    <n v="370"/>
    <n v="3"/>
    <n v="48.9"/>
    <x v="0"/>
    <m/>
    <n v="5"/>
    <n v="1128"/>
    <n v="21913"/>
    <s v="AMARILLO"/>
    <n v="1.9"/>
    <n v="0"/>
    <n v="0"/>
    <n v="8.14"/>
    <n v="48.9"/>
    <n v="22"/>
    <n v="2222.7272727272725"/>
    <x v="5"/>
    <x v="0"/>
    <n v="24"/>
    <n v="6"/>
    <n v="185"/>
  </r>
  <r>
    <d v="2025-06-26T07:20:00"/>
    <s v="INYECTADO"/>
    <x v="2"/>
    <x v="132"/>
    <s v="LUIS RENGIFO"/>
    <s v="VIRGEN"/>
    <s v="PP CLARIFICADO"/>
    <s v="."/>
    <s v="VASO MUNDO MANZANITA "/>
    <s v="VASO MUNDO MANZANITA CARAMELO-VERDE"/>
    <n v="359"/>
    <n v="3"/>
    <n v="47.5"/>
    <x v="0"/>
    <m/>
    <n v="5"/>
    <n v="1128"/>
    <n v="21913"/>
    <s v="VERDE"/>
    <n v="0"/>
    <n v="0"/>
    <n v="0"/>
    <n v="7.8979999999999997"/>
    <n v="47.5"/>
    <n v="22"/>
    <n v="2159.090909090909"/>
    <x v="5"/>
    <x v="0"/>
    <n v="24"/>
    <n v="6"/>
    <n v="179.5"/>
  </r>
  <r>
    <d v="2025-06-26T07:20:00"/>
    <s v="INYECTADO"/>
    <x v="2"/>
    <x v="133"/>
    <s v="LUIS RENGIFO"/>
    <s v="VIRGEN"/>
    <s v="PP CLARIFICADO"/>
    <s v="."/>
    <s v="VASO MUNDO MANZANITA "/>
    <s v="VASO MUNDO MANZANITA CARAMELO-FUCSIA"/>
    <n v="361"/>
    <n v="4"/>
    <n v="48.4"/>
    <x v="0"/>
    <m/>
    <n v="5"/>
    <n v="1128"/>
    <n v="21914"/>
    <s v="FUCSIA"/>
    <n v="0"/>
    <n v="0"/>
    <n v="0"/>
    <n v="7.9420000000000002"/>
    <n v="48.4"/>
    <n v="22"/>
    <n v="2200"/>
    <x v="5"/>
    <x v="0"/>
    <n v="24"/>
    <n v="6"/>
    <n v="180.5"/>
  </r>
  <r>
    <d v="2025-06-26T07:20:00"/>
    <s v="INYECTADO"/>
    <x v="2"/>
    <x v="133"/>
    <s v="LUIS RENGIFO"/>
    <s v="VIRGEN"/>
    <s v="PP CLARIFICADO"/>
    <s v="."/>
    <s v="VASO MUNDO MANZANITA "/>
    <s v="VASO MUNDO MANZANITA CARAMELO-ANARANJADO"/>
    <n v="384"/>
    <n v="4"/>
    <n v="50.8"/>
    <x v="0"/>
    <m/>
    <n v="6"/>
    <n v="128"/>
    <n v="21914"/>
    <s v="NARANJA"/>
    <n v="0"/>
    <n v="0"/>
    <n v="0"/>
    <n v="8.4480000000000004"/>
    <n v="50.8"/>
    <n v="22"/>
    <n v="2309.090909090909"/>
    <x v="5"/>
    <x v="0"/>
    <n v="24"/>
    <n v="6"/>
    <n v="192"/>
  </r>
  <r>
    <d v="2025-06-26T07:20:00"/>
    <s v="INYECTADO"/>
    <x v="2"/>
    <x v="133"/>
    <s v="LUIS RENGIFO"/>
    <s v="VIRGEN"/>
    <s v="PP CLARIFICADO"/>
    <s v="."/>
    <s v="VASO MUNDO MANZANITA "/>
    <s v="VASO MUNDO MANZANITA CARAMELO-LILA"/>
    <n v="222"/>
    <n v="1"/>
    <n v="29.6"/>
    <x v="0"/>
    <m/>
    <n v="3"/>
    <n v="1128"/>
    <n v="21914"/>
    <s v="LILA"/>
    <n v="0"/>
    <n v="0"/>
    <n v="0"/>
    <n v="4.8840000000000003"/>
    <n v="29.6"/>
    <n v="22"/>
    <n v="1345.4545454545455"/>
    <x v="5"/>
    <x v="0"/>
    <n v="24"/>
    <n v="6"/>
    <n v="111"/>
  </r>
  <r>
    <d v="2025-06-26T07:20:00"/>
    <s v="INYECTADO"/>
    <x v="2"/>
    <x v="133"/>
    <s v="LUIS RENGIFO"/>
    <s v="VIRGEN"/>
    <s v="PP CLARIFICADO"/>
    <s v="."/>
    <s v="VASO MUNDO MANZANITA "/>
    <s v="VASO MUNDO MANZANITA CARAMELO-VERDE"/>
    <n v="23"/>
    <n v="1"/>
    <n v="3.1"/>
    <x v="0"/>
    <m/>
    <n v="1"/>
    <n v="1128"/>
    <n v="21914"/>
    <s v="VERDE"/>
    <n v="0"/>
    <n v="0"/>
    <n v="0"/>
    <n v="0.50600000000000001"/>
    <n v="3.1"/>
    <n v="22"/>
    <n v="140.90909090909091"/>
    <x v="5"/>
    <x v="0"/>
    <n v="24"/>
    <n v="6"/>
    <n v="11.5"/>
  </r>
  <r>
    <d v="2025-06-26T07:20:00"/>
    <s v="INYECTADO"/>
    <x v="2"/>
    <x v="134"/>
    <s v="GABRIEL ORDAZ"/>
    <s v="VIRGEN"/>
    <s v="PP CLARIFICADO"/>
    <s v="."/>
    <s v="VASO MUNDO MANZANITA "/>
    <s v="VASO MUNDO MANZANITA CARAMELO-ANARANJADO"/>
    <n v="294"/>
    <n v="3"/>
    <n v="38.799999999999997"/>
    <x v="0"/>
    <m/>
    <n v="3"/>
    <n v="1128"/>
    <n v="21916"/>
    <s v="NARANJA"/>
    <n v="0.8"/>
    <n v="0"/>
    <n v="0"/>
    <n v="6.468"/>
    <n v="38.799999999999997"/>
    <n v="22"/>
    <n v="1763.6363636363637"/>
    <x v="5"/>
    <x v="0"/>
    <n v="24"/>
    <n v="6"/>
    <n v="147"/>
  </r>
  <r>
    <d v="2025-06-26T07:20:00"/>
    <s v="INYECTADO"/>
    <x v="2"/>
    <x v="134"/>
    <s v="GABRIEL ORDAZ"/>
    <s v="VIRGEN"/>
    <s v="PP CLARIFICADO"/>
    <s v="."/>
    <s v="VASO MUNDO MANZANITA "/>
    <s v="VASO MUNDO MANZANITA CARAMELO-LILA"/>
    <n v="147"/>
    <n v="2"/>
    <n v="19.5"/>
    <x v="0"/>
    <m/>
    <n v="2"/>
    <n v="1128"/>
    <n v="21916"/>
    <s v="LILA"/>
    <n v="3.2"/>
    <n v="0"/>
    <n v="0"/>
    <n v="3.234"/>
    <n v="19.5"/>
    <n v="22"/>
    <n v="886.36363636363637"/>
    <x v="5"/>
    <x v="0"/>
    <n v="24"/>
    <n v="6"/>
    <n v="73.5"/>
  </r>
  <r>
    <d v="2025-06-26T07:20:00"/>
    <s v="INYECTADO"/>
    <x v="2"/>
    <x v="134"/>
    <s v="GABRIEL ORDAZ"/>
    <s v="VIRGEN"/>
    <s v="PP CLARIFICADO"/>
    <s v="."/>
    <s v="VASO MUNDO MANZANITA "/>
    <s v="VASO MUNDO MANZANITA CARAMELO-FUCSIA"/>
    <n v="385"/>
    <n v="4"/>
    <n v="50.9"/>
    <x v="0"/>
    <m/>
    <n v="4"/>
    <n v="1128"/>
    <n v="21916"/>
    <s v="ROSADO"/>
    <n v="3.8"/>
    <n v="0"/>
    <n v="0"/>
    <n v="8.4700000000000006"/>
    <n v="50.9"/>
    <n v="22"/>
    <n v="2313.6363636363635"/>
    <x v="5"/>
    <x v="0"/>
    <n v="24"/>
    <n v="6"/>
    <n v="192.5"/>
  </r>
  <r>
    <d v="2025-06-26T07:20:00"/>
    <s v="INYECTADO"/>
    <x v="2"/>
    <x v="134"/>
    <s v="JUAN MANUEL PEREZ"/>
    <s v="VIRGEN"/>
    <s v="PP CLARIFICADO"/>
    <s v="."/>
    <s v="VASO MUNDO MANZANITA "/>
    <s v="VASO MUNDO MANZANITA CARAMELO-ANARANJADO"/>
    <n v="60"/>
    <n v="1"/>
    <n v="8"/>
    <x v="1"/>
    <m/>
    <n v="2"/>
    <n v="1128"/>
    <n v="21917"/>
    <s v="NARANJA"/>
    <n v="2"/>
    <n v="0"/>
    <n v="0"/>
    <n v="1.32"/>
    <n v="8"/>
    <n v="22"/>
    <n v="363.63636363636363"/>
    <x v="5"/>
    <x v="0"/>
    <n v="24"/>
    <n v="6"/>
    <n v="30"/>
  </r>
  <r>
    <d v="2025-06-26T07:20:00"/>
    <s v="INYECTADO"/>
    <x v="2"/>
    <x v="134"/>
    <s v="JUAN MANUEL PEREZ"/>
    <s v="VIRGEN"/>
    <s v="PP CLARIFICADO"/>
    <s v="."/>
    <s v="VASO MUNDO MANZANITA "/>
    <s v="VASO MUNDO MANZANITA CARAMELO-AMARILLO"/>
    <n v="387"/>
    <n v="4"/>
    <n v="51.2"/>
    <x v="1"/>
    <m/>
    <n v="6"/>
    <n v="1128"/>
    <n v="21917"/>
    <s v="AMARILLO"/>
    <n v="1"/>
    <n v="0"/>
    <n v="0"/>
    <n v="8.5139999999999993"/>
    <n v="51.2"/>
    <n v="22"/>
    <n v="2327.2727272727275"/>
    <x v="5"/>
    <x v="0"/>
    <n v="24"/>
    <n v="6"/>
    <n v="193.5"/>
  </r>
  <r>
    <d v="2025-06-26T07:20:00"/>
    <s v="INYECTADO"/>
    <x v="2"/>
    <x v="134"/>
    <s v="JUAN MANUEL PEREZ"/>
    <s v="VIRGEN"/>
    <s v="PP CLARIFICADO"/>
    <s v="."/>
    <s v="VASO MUNDO MANZANITA "/>
    <s v="VASO MUNDO MANZANITA CARAMELO-VERDE"/>
    <n v="386"/>
    <n v="4"/>
    <n v="51"/>
    <x v="1"/>
    <m/>
    <n v="6"/>
    <n v="1128"/>
    <n v="21917"/>
    <s v="VERDE"/>
    <n v="0"/>
    <n v="0"/>
    <n v="0"/>
    <n v="8.4920000000000009"/>
    <n v="51"/>
    <n v="22"/>
    <n v="2318.181818181818"/>
    <x v="5"/>
    <x v="0"/>
    <n v="24"/>
    <n v="6"/>
    <n v="193"/>
  </r>
  <r>
    <d v="2025-06-26T07:20:00"/>
    <s v="INYECTADO"/>
    <x v="2"/>
    <x v="134"/>
    <s v="JUAN MANUEL PEREZ"/>
    <s v="VIRGEN"/>
    <s v="PP CLARIFICADO"/>
    <s v="."/>
    <s v="VASO MUNDO MANZANITA "/>
    <s v="VASO MUNDO MANZANITA CARAMELO-AZUL"/>
    <n v="157"/>
    <n v="2"/>
    <n v="20.8"/>
    <x v="1"/>
    <m/>
    <n v="2"/>
    <n v="1128"/>
    <n v="21917"/>
    <s v="AZUL"/>
    <n v="1"/>
    <n v="0"/>
    <n v="0"/>
    <n v="3.4540000000000002"/>
    <n v="20.8"/>
    <n v="22"/>
    <n v="945.4545454545455"/>
    <x v="5"/>
    <x v="0"/>
    <n v="24"/>
    <n v="6"/>
    <n v="78.5"/>
  </r>
  <r>
    <d v="2025-06-26T07:20:00"/>
    <s v="INYECTADO"/>
    <x v="2"/>
    <x v="126"/>
    <s v="SAID VILLAMIZAR"/>
    <s v="VIRGEN"/>
    <s v="PP CLARIFICADO"/>
    <s v="."/>
    <s v="VASO MUNDO MANZANITA "/>
    <s v="VASO MUNDO MANZANITA CARAMELO-AZUL"/>
    <n v="517"/>
    <n v="5"/>
    <n v="68.3"/>
    <x v="0"/>
    <m/>
    <n v="6"/>
    <n v="1128"/>
    <n v="21918"/>
    <s v="AZUL"/>
    <n v="0"/>
    <n v="0"/>
    <n v="0"/>
    <n v="11.374000000000001"/>
    <n v="68.3"/>
    <n v="22"/>
    <n v="3104.5454545454545"/>
    <x v="5"/>
    <x v="0"/>
    <n v="24"/>
    <n v="6"/>
    <n v="258.5"/>
  </r>
  <r>
    <d v="2025-06-26T07:20:00"/>
    <s v="INYECTADO"/>
    <x v="2"/>
    <x v="126"/>
    <s v="SAID VILLAMIZAR"/>
    <s v="VIRGEN"/>
    <s v="PP CLARIFICADO"/>
    <s v="."/>
    <s v="VASO MUNDO MANZANITA "/>
    <s v="VASO MUNDO MANZANITA CARAMELO-LILA"/>
    <n v="476"/>
    <n v="5"/>
    <n v="62.9"/>
    <x v="0"/>
    <m/>
    <n v="5"/>
    <n v="1128"/>
    <n v="21918"/>
    <s v="LILA"/>
    <n v="0"/>
    <n v="0"/>
    <n v="0"/>
    <n v="10.472"/>
    <n v="62.9"/>
    <n v="22"/>
    <n v="2859.090909090909"/>
    <x v="5"/>
    <x v="0"/>
    <n v="24"/>
    <n v="6"/>
    <n v="238"/>
  </r>
  <r>
    <d v="2025-06-26T07:20:00"/>
    <s v="INYECTADO"/>
    <x v="2"/>
    <x v="127"/>
    <m/>
    <s v="VIRGEN"/>
    <s v="PP CLARIFICADO"/>
    <s v="."/>
    <s v="VASO MUNDO MANZANITA "/>
    <s v="VASO MUNDO MANZANITA CARAMELO-LILA"/>
    <n v="485"/>
    <n v="4"/>
    <n v="64.099999999999994"/>
    <x v="0"/>
    <m/>
    <n v="7"/>
    <n v="1128"/>
    <n v="21919"/>
    <s v="LILA"/>
    <n v="3.5"/>
    <n v="0"/>
    <n v="0"/>
    <n v="10.67"/>
    <n v="64.099999999999994"/>
    <n v="22"/>
    <n v="2913.6363636363635"/>
    <x v="5"/>
    <x v="0"/>
    <n v="24"/>
    <n v="6"/>
    <n v="242.5"/>
  </r>
  <r>
    <d v="2025-06-26T07:20:00"/>
    <s v="INYECTADO"/>
    <x v="2"/>
    <x v="127"/>
    <m/>
    <s v="VIRGEN"/>
    <s v="PP CLARIFICADO"/>
    <s v="."/>
    <s v="VASO MUNDO MANZANITA "/>
    <s v="VASO MUNDO MANZANITA CARAMELO-ANARANJADO"/>
    <n v="246"/>
    <n v="3"/>
    <n v="32.5"/>
    <x v="0"/>
    <m/>
    <n v="3"/>
    <n v="1128"/>
    <n v="21919"/>
    <s v="NARANJA"/>
    <n v="0.8"/>
    <n v="0"/>
    <n v="0"/>
    <n v="5.4119999999999999"/>
    <n v="32.5"/>
    <n v="22"/>
    <n v="1477.2727272727273"/>
    <x v="5"/>
    <x v="0"/>
    <n v="24"/>
    <n v="6"/>
    <n v="123"/>
  </r>
  <r>
    <d v="2025-06-26T07:20:00"/>
    <s v="INYECTADO"/>
    <x v="2"/>
    <x v="127"/>
    <m/>
    <s v="VIRGEN"/>
    <s v="PP CLARIFICADO"/>
    <s v="."/>
    <s v="VASO MUNDO MANZANITA "/>
    <s v="VASO MUNDO MANZANITA CARAMELO-FUCSIA"/>
    <n v="317"/>
    <n v="2"/>
    <n v="41.9"/>
    <x v="0"/>
    <m/>
    <n v="4"/>
    <n v="1128"/>
    <n v="21919"/>
    <s v="FUCSIA"/>
    <n v="2.5"/>
    <n v="0"/>
    <n v="0"/>
    <n v="6.9740000000000002"/>
    <n v="41.9"/>
    <n v="22"/>
    <n v="1904.5454545454545"/>
    <x v="5"/>
    <x v="0"/>
    <n v="24"/>
    <n v="6"/>
    <n v="158.5"/>
  </r>
  <r>
    <d v="2025-06-26T07:20:00"/>
    <s v="INYECTADO"/>
    <x v="2"/>
    <x v="127"/>
    <s v="JOSDER GONZALEZ"/>
    <s v="VIRGEN"/>
    <s v="PP CLARIFICADO"/>
    <s v="."/>
    <s v="VASO MUNDO MANZANITA "/>
    <s v="VASO MUNDO MANZANITA CARAMELO-ANARANJADO"/>
    <n v="137"/>
    <n v="2"/>
    <n v="17.899999999999999"/>
    <x v="1"/>
    <m/>
    <n v="3"/>
    <n v="1128"/>
    <n v="21920"/>
    <s v="NARANJA"/>
    <n v="2.8"/>
    <n v="0"/>
    <n v="0"/>
    <n v="3.0139999999999998"/>
    <n v="17.899999999999999"/>
    <n v="22"/>
    <n v="813.63636363636363"/>
    <x v="5"/>
    <x v="0"/>
    <n v="24"/>
    <n v="6"/>
    <n v="68.5"/>
  </r>
  <r>
    <d v="2025-06-26T07:20:00"/>
    <s v="INYECTADO"/>
    <x v="2"/>
    <x v="127"/>
    <s v="JOSDER GONZALEZ"/>
    <s v="VIRGEN"/>
    <s v="PP CLARIFICADO"/>
    <s v="."/>
    <s v="VASO MUNDO MANZANITA "/>
    <s v="VASO MUNDO MANZANITA CARAMELO-AMARILLO"/>
    <n v="391"/>
    <n v="4"/>
    <n v="50.9"/>
    <x v="1"/>
    <m/>
    <n v="5"/>
    <n v="1128"/>
    <n v="21920"/>
    <s v="AMARILLO"/>
    <n v="0.7"/>
    <n v="0"/>
    <n v="0"/>
    <n v="8.6020000000000003"/>
    <n v="50.9"/>
    <n v="22"/>
    <n v="2313.6363636363635"/>
    <x v="5"/>
    <x v="0"/>
    <n v="24"/>
    <n v="6"/>
    <n v="195.5"/>
  </r>
  <r>
    <d v="2025-06-26T07:20:00"/>
    <s v="INYECTADO"/>
    <x v="2"/>
    <x v="127"/>
    <s v="JOSDER GONZALEZ"/>
    <s v="VIRGEN"/>
    <s v="PP CLARIFICADO"/>
    <s v="."/>
    <s v="VASO MUNDO MANZANITA "/>
    <s v="VASO MUNDO MANZANITA CARAMELO-VERDE"/>
    <n v="384"/>
    <n v="4"/>
    <n v="51.2"/>
    <x v="1"/>
    <m/>
    <n v="5"/>
    <n v="1128"/>
    <n v="21920"/>
    <s v="VERDE"/>
    <n v="2.2000000000000002"/>
    <n v="0"/>
    <n v="0"/>
    <n v="8.4480000000000004"/>
    <n v="51.2"/>
    <n v="22"/>
    <n v="2327.2727272727275"/>
    <x v="5"/>
    <x v="0"/>
    <n v="24"/>
    <n v="6"/>
    <n v="192"/>
  </r>
  <r>
    <d v="2025-06-26T07:20:00"/>
    <s v="INYECTADO"/>
    <x v="2"/>
    <x v="127"/>
    <s v="JOSDER GONZALEZ"/>
    <s v="VIRGEN"/>
    <s v="PP CLARIFICADO"/>
    <s v="."/>
    <s v="VASO MUNDO MANZANITA "/>
    <s v="VASO MUNDO MANZANITA CARAMELO-AZUL"/>
    <n v="112"/>
    <n v="1"/>
    <n v="15"/>
    <x v="1"/>
    <m/>
    <n v="2"/>
    <n v="1128"/>
    <n v="21920"/>
    <s v="AZUL"/>
    <n v="0.4"/>
    <n v="0"/>
    <n v="0"/>
    <n v="2.464"/>
    <n v="15"/>
    <n v="22"/>
    <n v="681.81818181818187"/>
    <x v="5"/>
    <x v="0"/>
    <n v="24"/>
    <n v="6"/>
    <n v="56"/>
  </r>
  <r>
    <d v="2025-06-26T07:20:00"/>
    <s v="INYECTADO"/>
    <x v="2"/>
    <x v="114"/>
    <s v="SAID VILLAMIZAR"/>
    <s v="VIRGEN"/>
    <s v="PP CLARIFICADO"/>
    <s v="."/>
    <s v="VASO MUNDO MANZANITA "/>
    <s v="VASO MUNDO MANZANITA CARAMELO-AMARILLO"/>
    <n v="34"/>
    <n v="1"/>
    <n v="4.5999999999999996"/>
    <x v="0"/>
    <m/>
    <n v="1"/>
    <n v="1128"/>
    <n v="21921"/>
    <s v="AMARILLO"/>
    <n v="0"/>
    <n v="0"/>
    <n v="0"/>
    <n v="0.748"/>
    <n v="4.5999999999999996"/>
    <n v="22"/>
    <n v="209.09090909090909"/>
    <x v="5"/>
    <x v="0"/>
    <n v="25"/>
    <n v="6"/>
    <n v="17"/>
  </r>
  <r>
    <d v="2025-06-26T07:20:00"/>
    <s v="INYECTADO"/>
    <x v="2"/>
    <x v="114"/>
    <s v="SAID VILLAMIZAR"/>
    <s v="VIRGEN"/>
    <s v="PP CLARIFICADO"/>
    <s v="."/>
    <s v="VASO MUNDO MANZANITA "/>
    <s v="VASO MUNDO MANZANITA CARAMELO-VERDE"/>
    <n v="462"/>
    <n v="4"/>
    <n v="50.4"/>
    <x v="0"/>
    <m/>
    <n v="5"/>
    <n v="1128"/>
    <n v="21921"/>
    <s v="VERDE"/>
    <n v="4.0999999999999996"/>
    <n v="0"/>
    <n v="0"/>
    <n v="10.164"/>
    <n v="50.4"/>
    <n v="22"/>
    <n v="2290.909090909091"/>
    <x v="5"/>
    <x v="0"/>
    <n v="25"/>
    <n v="6"/>
    <n v="231"/>
  </r>
  <r>
    <d v="2025-06-26T07:20:00"/>
    <s v="INYECTADO"/>
    <x v="2"/>
    <x v="114"/>
    <s v="SAID VILLAMIZAR"/>
    <s v="VIRGEN"/>
    <s v="PP CLARIFICADO"/>
    <s v="."/>
    <s v="VASO MUNDO MANZANITA "/>
    <s v="VASO MUNDO MANZANITA CARAMELO-AZUL"/>
    <n v="381"/>
    <n v="3"/>
    <n v="61.1"/>
    <x v="0"/>
    <m/>
    <n v="7"/>
    <n v="1128"/>
    <n v="21921"/>
    <s v="AZUL"/>
    <n v="0"/>
    <n v="0"/>
    <n v="0"/>
    <n v="8.3819999999999997"/>
    <n v="61.1"/>
    <n v="22"/>
    <n v="2777.2727272727275"/>
    <x v="5"/>
    <x v="0"/>
    <n v="25"/>
    <n v="6"/>
    <n v="190.5"/>
  </r>
  <r>
    <d v="2025-06-26T07:20:00"/>
    <s v="INYECTADO"/>
    <x v="2"/>
    <x v="114"/>
    <s v="GABRIEL REQUENA"/>
    <s v="VIRGEN"/>
    <s v="PP CLARIFICADO"/>
    <s v="."/>
    <s v="VASO MUNDO MANZANITA "/>
    <s v="VASO MUNDO MANZANITA CARAMELO-AMARILLO"/>
    <n v="251"/>
    <n v="3"/>
    <n v="33.200000000000003"/>
    <x v="0"/>
    <m/>
    <n v="3"/>
    <n v="1128"/>
    <n v="21922"/>
    <s v="AMARILLO"/>
    <n v="3.3"/>
    <n v="0"/>
    <n v="0"/>
    <n v="5.5220000000000002"/>
    <n v="33.200000000000003"/>
    <n v="22"/>
    <n v="1509.090909090909"/>
    <x v="5"/>
    <x v="0"/>
    <n v="25"/>
    <n v="6"/>
    <n v="125.5"/>
  </r>
  <r>
    <d v="2025-06-26T07:20:00"/>
    <s v="INYECTADO"/>
    <x v="2"/>
    <x v="115"/>
    <s v="LUIS FERNANDO"/>
    <s v="VIRGEN"/>
    <s v="PP CLARIFICADO"/>
    <s v="."/>
    <s v="VASO MUNDO MANZANITA "/>
    <s v="VASO MUNDO MANZANITA CARAMELO-ANARANJADO"/>
    <n v="482"/>
    <n v="5"/>
    <n v="63.7"/>
    <x v="0"/>
    <m/>
    <n v="7"/>
    <n v="1128"/>
    <n v="21923"/>
    <s v="NARANJA"/>
    <n v="0"/>
    <n v="0"/>
    <n v="0"/>
    <n v="10.603999999999999"/>
    <n v="63.7"/>
    <n v="22"/>
    <n v="2895.4545454545455"/>
    <x v="5"/>
    <x v="0"/>
    <n v="25"/>
    <n v="6"/>
    <n v="241"/>
  </r>
  <r>
    <d v="2025-06-26T07:20:00"/>
    <s v="INYECTADO"/>
    <x v="2"/>
    <x v="115"/>
    <s v="LUIS FERNANDO"/>
    <s v="VIRGEN"/>
    <s v="PP CLARIFICADO"/>
    <s v="."/>
    <s v="VASO MUNDO MANZANITA "/>
    <s v="VASO MUNDO MANZANITA CARAMELO-LILA"/>
    <n v="462"/>
    <n v="6"/>
    <n v="61.1"/>
    <x v="0"/>
    <m/>
    <n v="6"/>
    <n v="1128"/>
    <n v="21923"/>
    <s v="LILA"/>
    <n v="0"/>
    <n v="0"/>
    <n v="0"/>
    <n v="10.164"/>
    <n v="61.1"/>
    <n v="22"/>
    <n v="2777.2727272727275"/>
    <x v="5"/>
    <x v="0"/>
    <n v="25"/>
    <n v="6"/>
    <n v="231"/>
  </r>
  <r>
    <d v="2025-06-26T07:20:00"/>
    <s v="INYECTADO"/>
    <x v="2"/>
    <x v="116"/>
    <s v="LUIS FERNANDO"/>
    <s v="VIRGEN"/>
    <s v="PP CLARIFICADO"/>
    <s v="."/>
    <s v="VASO MUNDO MANZANITA "/>
    <s v="VASO MUNDO MANZANITA CARAMELO-FUCSIA"/>
    <n v="818"/>
    <n v="8"/>
    <n v="108.9"/>
    <x v="0"/>
    <m/>
    <n v="10"/>
    <n v="1128"/>
    <n v="21924"/>
    <s v="FUCSIA"/>
    <n v="0"/>
    <n v="0"/>
    <n v="0"/>
    <n v="17.995999999999999"/>
    <n v="108.9"/>
    <n v="22"/>
    <n v="4950"/>
    <x v="5"/>
    <x v="0"/>
    <n v="25"/>
    <n v="6"/>
    <n v="409"/>
  </r>
  <r>
    <d v="2025-06-26T07:20:00"/>
    <s v="INYECTADO"/>
    <x v="2"/>
    <x v="116"/>
    <s v="LUIS FERNANDO"/>
    <s v="VIRGEN"/>
    <s v="PP CLARIFICADO"/>
    <s v="."/>
    <s v="VASO MUNDO MANZANITA "/>
    <s v="VASO MUNDO MANZANITA CARAMELO-LILA"/>
    <n v="155"/>
    <n v="2"/>
    <n v="20.7"/>
    <x v="0"/>
    <m/>
    <n v="1"/>
    <n v="1128"/>
    <n v="21924"/>
    <s v="LILA"/>
    <n v="0"/>
    <n v="0"/>
    <n v="0"/>
    <n v="3.41"/>
    <n v="20.7"/>
    <n v="22"/>
    <n v="940.90909090909088"/>
    <x v="5"/>
    <x v="0"/>
    <n v="25"/>
    <n v="6"/>
    <n v="77.5"/>
  </r>
  <r>
    <d v="2025-06-26T07:20:00"/>
    <s v="INYECTADO"/>
    <x v="2"/>
    <x v="116"/>
    <s v="JOSDER GONZALEZ"/>
    <s v="VIRGEN"/>
    <s v="PP CLARIFICADO"/>
    <s v="."/>
    <s v="VASO MUNDO MANZANITA "/>
    <s v="VASO MUNDO MANZANITA CARAMELO-LILA"/>
    <n v="163"/>
    <n v="2"/>
    <n v="21.7"/>
    <x v="1"/>
    <m/>
    <n v="2"/>
    <n v="1128"/>
    <n v="21925"/>
    <s v="LILA"/>
    <n v="2.4"/>
    <n v="0"/>
    <n v="0"/>
    <n v="3.5859999999999999"/>
    <n v="21.7"/>
    <n v="22"/>
    <n v="986.36363636363637"/>
    <x v="5"/>
    <x v="0"/>
    <n v="25"/>
    <n v="6"/>
    <n v="81.5"/>
  </r>
  <r>
    <d v="2025-06-26T07:20:00"/>
    <s v="INYECTADO"/>
    <x v="2"/>
    <x v="116"/>
    <s v="JOSDER GONZALEZ"/>
    <s v="VIRGEN"/>
    <s v="PP CLARIFICADO"/>
    <s v="."/>
    <s v="VASO MUNDO MANZANITA "/>
    <s v="VASO MUNDO MANZANITA CARAMELO-ANARANJADO"/>
    <n v="366"/>
    <n v="4"/>
    <n v="48.8"/>
    <x v="1"/>
    <m/>
    <n v="5"/>
    <n v="1128"/>
    <n v="21925"/>
    <s v="NARANJA"/>
    <n v="2.7"/>
    <n v="0"/>
    <n v="0"/>
    <n v="8.0519999999999996"/>
    <n v="48.8"/>
    <n v="22"/>
    <n v="2218.181818181818"/>
    <x v="5"/>
    <x v="0"/>
    <n v="25"/>
    <n v="6"/>
    <n v="183"/>
  </r>
  <r>
    <d v="2025-06-26T07:20:00"/>
    <s v="INYECTADO"/>
    <x v="2"/>
    <x v="116"/>
    <s v="JOSDER GONZALEZ"/>
    <s v="VIRGEN"/>
    <s v="PP CLARIFICADO"/>
    <s v="."/>
    <s v="VASO MUNDO MANZANITA "/>
    <s v="VASO MUNDO MANZANITA CARAMELO-VERDE"/>
    <n v="381"/>
    <n v="4"/>
    <n v="50.7"/>
    <x v="1"/>
    <m/>
    <n v="4"/>
    <n v="1128"/>
    <n v="21925"/>
    <s v="VERDE"/>
    <n v="3"/>
    <n v="0"/>
    <n v="0"/>
    <n v="8.3819999999999997"/>
    <n v="50.7"/>
    <n v="22"/>
    <n v="2304.5454545454545"/>
    <x v="5"/>
    <x v="0"/>
    <n v="25"/>
    <n v="6"/>
    <n v="190.5"/>
  </r>
  <r>
    <d v="2025-06-26T07:20:00"/>
    <s v="INYECTADO"/>
    <x v="2"/>
    <x v="116"/>
    <s v="JOSDER GONZALEZ"/>
    <s v="VIRGEN"/>
    <s v="PP CLARIFICADO"/>
    <s v="."/>
    <s v="VASO MUNDO MANZANITA "/>
    <s v="VASO MUNDO MANZANITA CARAMELO-AZUL"/>
    <n v="109"/>
    <n v="2"/>
    <n v="14.5"/>
    <x v="1"/>
    <m/>
    <n v="1"/>
    <n v="1128"/>
    <n v="21925"/>
    <s v="AZUL"/>
    <n v="0.5"/>
    <n v="0"/>
    <n v="0"/>
    <n v="2.3980000000000001"/>
    <n v="14.5"/>
    <n v="22"/>
    <n v="659.09090909090912"/>
    <x v="5"/>
    <x v="0"/>
    <n v="25"/>
    <n v="6"/>
    <n v="54.5"/>
  </r>
  <r>
    <d v="2025-06-26T07:20:00"/>
    <s v="INYECTADO"/>
    <x v="2"/>
    <x v="117"/>
    <s v="LUIS FERNANDO"/>
    <s v="VIRGEN"/>
    <s v="PP CLARIFICADO"/>
    <s v="."/>
    <s v="VASO MUNDO MANZANITA "/>
    <s v="VASO MUNDO MANZANITA CARAMELO-AZUL"/>
    <n v="809"/>
    <n v="7"/>
    <n v="106.8"/>
    <x v="0"/>
    <m/>
    <n v="10"/>
    <n v="1128"/>
    <n v="21926"/>
    <s v="AZUL"/>
    <n v="0"/>
    <n v="0"/>
    <n v="0"/>
    <n v="17.797999999999998"/>
    <n v="106.8"/>
    <n v="22"/>
    <n v="4854.545454545455"/>
    <x v="5"/>
    <x v="0"/>
    <n v="25"/>
    <n v="6"/>
    <n v="404.5"/>
  </r>
  <r>
    <d v="2025-06-26T07:20:00"/>
    <s v="INYECTADO"/>
    <x v="2"/>
    <x v="117"/>
    <s v="LUIS FERNANDO"/>
    <s v="VIRGEN"/>
    <s v="PP CLARIFICADO"/>
    <s v="."/>
    <s v="VASO MUNDO MANZANITA "/>
    <s v="VASO MUNDO MANZANITA CARAMELO-FUCSIA"/>
    <n v="252"/>
    <n v="2"/>
    <n v="33.299999999999997"/>
    <x v="0"/>
    <m/>
    <n v="4"/>
    <n v="1128"/>
    <n v="21926"/>
    <s v="FUCSIA"/>
    <n v="0"/>
    <n v="0"/>
    <n v="0"/>
    <n v="5.5439999999999996"/>
    <n v="33.299999999999997"/>
    <n v="22"/>
    <n v="1513.6363636363637"/>
    <x v="5"/>
    <x v="0"/>
    <n v="25"/>
    <n v="6"/>
    <n v="126"/>
  </r>
  <r>
    <d v="2025-06-26T07:20:00"/>
    <s v="INYECTADO"/>
    <x v="2"/>
    <x v="118"/>
    <s v="LUIS FERNANDO"/>
    <s v="VIRGEN"/>
    <s v="PP CLARIFICADO"/>
    <s v="."/>
    <s v="VASO MUNDO MANZANITA "/>
    <s v="VASO MUNDO MANZANITA CARAMELO-AMARILLO"/>
    <n v="775"/>
    <n v="8"/>
    <n v="100.4"/>
    <x v="0"/>
    <m/>
    <n v="11"/>
    <n v="1128"/>
    <n v="21927"/>
    <s v="AMARILLO"/>
    <n v="0"/>
    <n v="0"/>
    <n v="0"/>
    <n v="17.05"/>
    <n v="100.4"/>
    <n v="22"/>
    <n v="4563.636363636364"/>
    <x v="5"/>
    <x v="0"/>
    <n v="25"/>
    <n v="6"/>
    <n v="387.5"/>
  </r>
  <r>
    <d v="2025-06-26T07:20:00"/>
    <s v="INYECTADO"/>
    <x v="2"/>
    <x v="118"/>
    <s v="LUIS FERNANDO"/>
    <s v="VIRGEN"/>
    <s v="PP CLARIFICADO"/>
    <s v="."/>
    <s v="VASO MUNDO MANZANITA "/>
    <s v="VASO MUNDO MANZANITA CARAMELO-FUCSIA"/>
    <n v="136"/>
    <n v="2"/>
    <n v="18.5"/>
    <x v="0"/>
    <m/>
    <n v="3"/>
    <n v="1128"/>
    <n v="21927"/>
    <s v="FUCSIA"/>
    <n v="0"/>
    <n v="0"/>
    <n v="0"/>
    <n v="2.992"/>
    <n v="18.5"/>
    <n v="22"/>
    <n v="840.90909090909088"/>
    <x v="5"/>
    <x v="0"/>
    <n v="25"/>
    <n v="6"/>
    <n v="68"/>
  </r>
  <r>
    <d v="2025-06-26T07:20:00"/>
    <s v="INYECTADO"/>
    <x v="2"/>
    <x v="118"/>
    <s v="JOSDER GONZALEZ"/>
    <s v="VIRGEN"/>
    <s v="PP CLARIFICADO"/>
    <s v="."/>
    <s v="VASO MUNDO MANZANITA "/>
    <s v="VASO MUNDO MANZANITA CARAMELO-VERDE"/>
    <n v="577"/>
    <n v="6"/>
    <n v="76.2"/>
    <x v="1"/>
    <m/>
    <n v="7"/>
    <n v="1128"/>
    <n v="21928"/>
    <s v="VERDE"/>
    <n v="2.4"/>
    <n v="0"/>
    <n v="0"/>
    <n v="12.694000000000001"/>
    <n v="76.2"/>
    <n v="22"/>
    <n v="3463.6363636363635"/>
    <x v="5"/>
    <x v="0"/>
    <n v="25"/>
    <n v="6"/>
    <n v="288.5"/>
  </r>
  <r>
    <d v="2025-06-26T07:20:00"/>
    <s v="INYECTADO"/>
    <x v="2"/>
    <x v="118"/>
    <s v="JOSDER GONZALEZ"/>
    <s v="VIRGEN"/>
    <s v="PP CLARIFICADO"/>
    <s v="."/>
    <s v="VASO MUNDO MANZANITA "/>
    <s v="VASO MUNDO MANZANITA CARAMELO-AMARILLO"/>
    <n v="181"/>
    <n v="2"/>
    <n v="24"/>
    <x v="1"/>
    <m/>
    <n v="3"/>
    <n v="1128"/>
    <n v="21928"/>
    <s v="AMARILLO"/>
    <n v="1.1000000000000001"/>
    <n v="0"/>
    <n v="0"/>
    <n v="3.9820000000000002"/>
    <n v="24"/>
    <n v="22"/>
    <n v="1090.909090909091"/>
    <x v="5"/>
    <x v="0"/>
    <n v="25"/>
    <n v="6"/>
    <n v="90.5"/>
  </r>
  <r>
    <d v="2025-06-26T07:20:00"/>
    <s v="INYECTADO"/>
    <x v="2"/>
    <x v="119"/>
    <s v="LUIS FERNANDO"/>
    <s v="VIRGEN"/>
    <s v="PP CLARIFICADO"/>
    <s v="."/>
    <s v="VASO MUNDO MANZANITA "/>
    <s v="VASO MUNDO MANZANITA CARAMELO-ANARANJADO"/>
    <n v="467"/>
    <n v="4"/>
    <n v="62.6"/>
    <x v="0"/>
    <m/>
    <n v="6"/>
    <n v="1128"/>
    <n v="21929"/>
    <s v="NARANJA"/>
    <n v="3"/>
    <n v="0"/>
    <n v="0"/>
    <n v="10.273999999999999"/>
    <n v="62.6"/>
    <n v="22"/>
    <n v="2845.4545454545455"/>
    <x v="5"/>
    <x v="0"/>
    <n v="25"/>
    <n v="6"/>
    <n v="233.5"/>
  </r>
  <r>
    <d v="2025-06-26T07:20:00"/>
    <s v="INYECTADO"/>
    <x v="2"/>
    <x v="119"/>
    <s v="LUIS FERNANDO"/>
    <s v="VIRGEN"/>
    <s v="PP CLARIFICADO"/>
    <s v="."/>
    <s v="VASO MUNDO MANZANITA "/>
    <s v="VASO MUNDO MANZANITA CARAMELO-LILA"/>
    <n v="567"/>
    <n v="5"/>
    <n v="76.099999999999994"/>
    <x v="0"/>
    <m/>
    <n v="7"/>
    <n v="1128"/>
    <n v="21929"/>
    <s v="LILA"/>
    <n v="0"/>
    <n v="0"/>
    <n v="0"/>
    <n v="12.474"/>
    <n v="76.099999999999994"/>
    <n v="22"/>
    <n v="3459.090909090909"/>
    <x v="5"/>
    <x v="0"/>
    <n v="25"/>
    <n v="6"/>
    <n v="283.5"/>
  </r>
  <r>
    <d v="2025-06-26T07:20:00"/>
    <s v="INYECTADO"/>
    <x v="2"/>
    <x v="136"/>
    <s v="LUIS FERNANDO"/>
    <s v="VIRGEN"/>
    <s v="PP CLARIFICADO"/>
    <s v="."/>
    <s v="VASO MUNDO MANZANITA "/>
    <s v="VASO MUNDO MANZANITA CARAMELO-AMARILLO"/>
    <n v="476"/>
    <n v="5"/>
    <n v="63.8"/>
    <x v="0"/>
    <m/>
    <n v="6"/>
    <n v="1128"/>
    <n v="21930"/>
    <s v="AMARILLO"/>
    <n v="0"/>
    <n v="0"/>
    <n v="0"/>
    <n v="10.472"/>
    <n v="63.8"/>
    <n v="22"/>
    <n v="2900"/>
    <x v="5"/>
    <x v="0"/>
    <n v="26"/>
    <n v="6"/>
    <n v="238"/>
  </r>
  <r>
    <d v="2025-06-26T07:20:00"/>
    <s v="INYECTADO"/>
    <x v="2"/>
    <x v="136"/>
    <s v="LUIS FERNANDO"/>
    <s v="VIRGEN"/>
    <s v="PP CLARIFICADO"/>
    <s v="."/>
    <s v="VASO MUNDO MANZANITA "/>
    <s v="VASO MUNDO MANZANITA CARAMELO-VERDE"/>
    <n v="373"/>
    <n v="4"/>
    <n v="50"/>
    <x v="0"/>
    <m/>
    <n v="5"/>
    <n v="1128"/>
    <n v="21930"/>
    <s v="VERDE"/>
    <n v="0"/>
    <n v="0"/>
    <n v="0"/>
    <n v="8.2059999999999995"/>
    <n v="50"/>
    <n v="22"/>
    <n v="2272.7272727272725"/>
    <x v="5"/>
    <x v="0"/>
    <n v="26"/>
    <n v="6"/>
    <n v="186.5"/>
  </r>
  <r>
    <d v="2025-06-26T07:20:00"/>
    <s v="INYECTADO"/>
    <x v="2"/>
    <x v="136"/>
    <s v="JUAN MANUEL PEREZ"/>
    <s v="VIRGEN"/>
    <s v="PP CLARIFICADO"/>
    <s v="."/>
    <s v="VASO MUNDO MANZANITA "/>
    <s v="VASO MUNDO MANZANITA CARAMELO-ANARANJADO"/>
    <n v="478"/>
    <n v="5"/>
    <n v="63.6"/>
    <x v="1"/>
    <m/>
    <n v="7"/>
    <n v="1128"/>
    <n v="21931"/>
    <s v="NARANJA"/>
    <n v="1"/>
    <n v="0"/>
    <n v="0"/>
    <n v="10.516"/>
    <n v="63.6"/>
    <n v="22"/>
    <n v="2890.909090909091"/>
    <x v="5"/>
    <x v="0"/>
    <n v="26"/>
    <n v="6"/>
    <n v="239"/>
  </r>
  <r>
    <d v="2025-06-26T07:20:00"/>
    <s v="INYECTADO"/>
    <x v="2"/>
    <x v="136"/>
    <s v="JUAN MANUEL PEREZ"/>
    <s v="VIRGEN"/>
    <s v="PP CLARIFICADO"/>
    <s v="."/>
    <s v="VASO MUNDO MANZANITA "/>
    <s v="VASO MUNDO MANZANITA CARAMELO-AZUL"/>
    <n v="478"/>
    <n v="5"/>
    <n v="63.7"/>
    <x v="1"/>
    <m/>
    <n v="6"/>
    <n v="1128"/>
    <n v="21931"/>
    <s v="AZUL"/>
    <n v="1"/>
    <n v="0"/>
    <n v="0"/>
    <n v="10.516"/>
    <n v="63.7"/>
    <n v="22"/>
    <n v="2895.4545454545455"/>
    <x v="5"/>
    <x v="0"/>
    <n v="26"/>
    <n v="6"/>
    <n v="239"/>
  </r>
  <r>
    <d v="2025-06-26T07:20:00"/>
    <s v="INYECTADO"/>
    <x v="2"/>
    <x v="136"/>
    <s v="JUAN MANUEL PEREZ"/>
    <s v="VIRGEN"/>
    <s v="PP CLARIFICADO"/>
    <s v="."/>
    <s v="VASO MUNDO MANZANITA "/>
    <s v="VASO MUNDO MANZANITA CARAMELO-FUCSIA"/>
    <n v="74"/>
    <n v="1"/>
    <n v="9.9"/>
    <x v="1"/>
    <m/>
    <n v="1"/>
    <n v="1128"/>
    <n v="21931"/>
    <s v="ROSADO"/>
    <n v="0"/>
    <n v="0"/>
    <n v="0"/>
    <n v="1.6279999999999999"/>
    <n v="9.9"/>
    <n v="22"/>
    <n v="450"/>
    <x v="5"/>
    <x v="0"/>
    <n v="26"/>
    <n v="6"/>
    <n v="37"/>
  </r>
  <r>
    <d v="2025-06-26T07:20:00"/>
    <s v="INYECTADO"/>
    <x v="2"/>
    <x v="128"/>
    <s v="JUANA CRUCES"/>
    <s v="VIRGEN"/>
    <s v="PP CLARIFICADO"/>
    <s v="."/>
    <s v="VASO MUNDO MANZANITA "/>
    <s v="VASO MUNDO MANZANITA CARAMELO-FUCSIA"/>
    <n v="776"/>
    <n v="8"/>
    <n v="104.1"/>
    <x v="0"/>
    <m/>
    <n v="11"/>
    <n v="1128"/>
    <n v="21932"/>
    <s v="FUCSIA"/>
    <n v="0.5"/>
    <n v="0"/>
    <n v="0"/>
    <n v="17.071999999999999"/>
    <n v="104.1"/>
    <n v="22"/>
    <n v="4731.818181818182"/>
    <x v="5"/>
    <x v="0"/>
    <n v="26"/>
    <n v="6"/>
    <n v="388"/>
  </r>
  <r>
    <d v="2025-06-26T07:20:00"/>
    <s v="INYECTADO"/>
    <x v="2"/>
    <x v="128"/>
    <s v="JUANA CRUCES"/>
    <s v="VIRGEN"/>
    <s v="PP CLARIFICADO"/>
    <s v="."/>
    <s v="VASO MUNDO MANZANITA "/>
    <s v="VASO MUNDO MANZANITA CARAMELO-ANARANJADO"/>
    <n v="298"/>
    <n v="3"/>
    <n v="40"/>
    <x v="0"/>
    <m/>
    <n v="4"/>
    <n v="1128"/>
    <n v="21932"/>
    <s v="NARANJA"/>
    <n v="2.7"/>
    <n v="0"/>
    <n v="0"/>
    <n v="6.556"/>
    <n v="40"/>
    <n v="22"/>
    <n v="1818.1818181818182"/>
    <x v="5"/>
    <x v="0"/>
    <n v="26"/>
    <n v="6"/>
    <n v="149"/>
  </r>
  <r>
    <d v="2025-06-26T07:20:00"/>
    <s v="INYECTADO"/>
    <x v="2"/>
    <x v="128"/>
    <s v="JUAN MANUEL PEREZ"/>
    <s v="VIRGEN"/>
    <s v="PP CLARIFICADO"/>
    <s v="."/>
    <s v="VASO MUNDO MANZANITA "/>
    <s v="VASO MUNDO MANZANITA CARAMELO-LILA"/>
    <n v="217"/>
    <n v="3"/>
    <n v="29.1"/>
    <x v="1"/>
    <m/>
    <n v="3"/>
    <n v="1128"/>
    <n v="21933"/>
    <s v="LILA"/>
    <n v="0"/>
    <n v="0"/>
    <n v="0"/>
    <n v="4.774"/>
    <n v="29.1"/>
    <n v="22"/>
    <n v="1322.7272727272727"/>
    <x v="5"/>
    <x v="0"/>
    <n v="26"/>
    <n v="6"/>
    <n v="108.5"/>
  </r>
  <r>
    <d v="2025-06-26T07:20:00"/>
    <s v="INYECTADO"/>
    <x v="2"/>
    <x v="128"/>
    <s v="JUAN MANUEL PEREZ"/>
    <s v="VIRGEN"/>
    <s v="PP CLARIFICADO"/>
    <s v="."/>
    <s v="VASO MUNDO MANZANITA "/>
    <s v="VASO MUNDO MANZANITA CARAMELO-ANARANJADO"/>
    <n v="179"/>
    <n v="2"/>
    <n v="24.1"/>
    <x v="1"/>
    <m/>
    <n v="2"/>
    <n v="1128"/>
    <n v="21933"/>
    <s v="NARANJA"/>
    <n v="1"/>
    <n v="0"/>
    <n v="0"/>
    <n v="3.9380000000000002"/>
    <n v="24.1"/>
    <n v="22"/>
    <n v="1095.4545454545455"/>
    <x v="5"/>
    <x v="0"/>
    <n v="26"/>
    <n v="6"/>
    <n v="89.5"/>
  </r>
  <r>
    <d v="2025-06-26T07:20:00"/>
    <s v="INYECTADO"/>
    <x v="2"/>
    <x v="128"/>
    <s v="JUAN MANUEL PEREZ"/>
    <s v="VIRGEN"/>
    <s v="PP CLARIFICADO"/>
    <s v="."/>
    <s v="VASO MUNDO MANZANITA "/>
    <s v="VASO MUNDO MANZANITA CARAMELO-AZUL"/>
    <n v="567"/>
    <n v="6"/>
    <n v="76.099999999999994"/>
    <x v="1"/>
    <m/>
    <n v="7"/>
    <n v="1128"/>
    <n v="21933"/>
    <s v="AZUL"/>
    <n v="1"/>
    <n v="0"/>
    <n v="0"/>
    <n v="12.474"/>
    <n v="76.099999999999994"/>
    <n v="22"/>
    <n v="3459.090909090909"/>
    <x v="5"/>
    <x v="0"/>
    <n v="26"/>
    <n v="6"/>
    <n v="283.5"/>
  </r>
  <r>
    <d v="2025-06-26T07:20:00"/>
    <s v="INYECTADO"/>
    <x v="2"/>
    <x v="123"/>
    <s v="LUIS FERNANDO"/>
    <s v="VIRGEN"/>
    <s v="PP CLARIFICADO"/>
    <s v="."/>
    <s v="VASO MUNDO MANZANITA "/>
    <s v="VASO MUNDO MANZANITA CARAMELO-LILA"/>
    <n v="673"/>
    <n v="7"/>
    <n v="90.2"/>
    <x v="0"/>
    <m/>
    <n v="9"/>
    <n v="1128"/>
    <n v="21934"/>
    <s v="LILA"/>
    <n v="0"/>
    <n v="0"/>
    <n v="0"/>
    <n v="14.805999999999999"/>
    <n v="90.2"/>
    <n v="22"/>
    <n v="4100"/>
    <x v="5"/>
    <x v="0"/>
    <n v="26"/>
    <n v="6"/>
    <n v="336.5"/>
  </r>
  <r>
    <d v="2025-06-26T07:20:00"/>
    <s v="INYECTADO"/>
    <x v="2"/>
    <x v="123"/>
    <s v="LUIS FERNANDO"/>
    <s v="VIRGEN"/>
    <s v="PP CLARIFICADO"/>
    <s v="."/>
    <s v="VASO MUNDO MANZANITA "/>
    <s v="VASO MUNDO MANZANITA CARAMELO-AMARILLO"/>
    <n v="317"/>
    <n v="4"/>
    <n v="42.6"/>
    <x v="0"/>
    <m/>
    <n v="4"/>
    <n v="1128"/>
    <n v="21934"/>
    <s v="AMARILLO"/>
    <n v="0"/>
    <n v="0"/>
    <n v="0"/>
    <n v="6.9740000000000002"/>
    <n v="42.6"/>
    <n v="22"/>
    <n v="1936.3636363636363"/>
    <x v="5"/>
    <x v="0"/>
    <n v="26"/>
    <n v="6"/>
    <n v="158.5"/>
  </r>
  <r>
    <d v="2025-06-26T07:20:00"/>
    <s v="INYECTADO"/>
    <x v="2"/>
    <x v="124"/>
    <s v="GABRIEL ORDAZ"/>
    <s v="VIRGEN"/>
    <s v="PP CLARIFICADO"/>
    <s v="."/>
    <s v="VASO MUNDO MANZANITA "/>
    <s v="VASO MUNDO MANZANITA CARAMELO-VERDE"/>
    <n v="256"/>
    <n v="3"/>
    <n v="49.1"/>
    <x v="0"/>
    <m/>
    <n v="3"/>
    <n v="1128"/>
    <n v="21935"/>
    <s v="VERDE"/>
    <n v="3.4"/>
    <n v="0"/>
    <n v="0"/>
    <n v="5.6319999999999997"/>
    <n v="49.1"/>
    <n v="22"/>
    <n v="2231.818181818182"/>
    <x v="5"/>
    <x v="0"/>
    <n v="26"/>
    <n v="6"/>
    <n v="128"/>
  </r>
  <r>
    <d v="2025-06-26T07:20:00"/>
    <s v="INYECTADO"/>
    <x v="2"/>
    <x v="124"/>
    <s v="GABRIEL ORDAZ"/>
    <s v="VIRGEN"/>
    <s v="PP CLARIFICADO"/>
    <s v="."/>
    <s v="VASO MUNDO MANZANITA "/>
    <s v="VASO MUNDO MANZANITA CARAMELO-AMARILLO"/>
    <n v="594"/>
    <n v="6"/>
    <n v="79.099999999999994"/>
    <x v="0"/>
    <m/>
    <n v="8"/>
    <n v="1128"/>
    <n v="21935"/>
    <s v="AMARILLO"/>
    <n v="5.4"/>
    <n v="0"/>
    <n v="0"/>
    <n v="13.068"/>
    <n v="79.099999999999994"/>
    <n v="22"/>
    <n v="3595.4545454545455"/>
    <x v="5"/>
    <x v="0"/>
    <n v="26"/>
    <n v="6"/>
    <n v="297"/>
  </r>
  <r>
    <d v="2025-06-26T07:20:00"/>
    <s v="INYECTADO"/>
    <x v="2"/>
    <x v="124"/>
    <s v="ISABEL LINARIZ "/>
    <s v="VIRGEN"/>
    <s v="PP CLARIFICADO"/>
    <s v="."/>
    <s v="VASO MUNDO MANZANITA "/>
    <s v="VASO MUNDO MANZANITA CARAMELO-VERDE"/>
    <n v="626"/>
    <n v="6"/>
    <n v="84"/>
    <x v="1"/>
    <m/>
    <n v="7"/>
    <n v="1128"/>
    <n v="21936"/>
    <s v="VERDE"/>
    <n v="2.8"/>
    <n v="0"/>
    <n v="0"/>
    <n v="13.772"/>
    <n v="84"/>
    <n v="22"/>
    <n v="3818.181818181818"/>
    <x v="5"/>
    <x v="0"/>
    <n v="26"/>
    <n v="6"/>
    <n v="313"/>
  </r>
  <r>
    <d v="2025-06-26T07:20:00"/>
    <s v="INYECTADO"/>
    <x v="2"/>
    <x v="124"/>
    <s v="ISABEL LINARIZ "/>
    <s v="VIRGEN"/>
    <s v="PP CLARIFICADO"/>
    <s v="."/>
    <s v="VASO MUNDO MANZANITA "/>
    <s v="VASO MUNDO MANZANITA CARAMELO-ANARANJADO"/>
    <n v="376"/>
    <n v="4"/>
    <n v="50.4"/>
    <x v="1"/>
    <m/>
    <n v="4"/>
    <n v="1128"/>
    <n v="21936"/>
    <s v="NARANJA"/>
    <n v="2.5"/>
    <n v="0"/>
    <n v="0"/>
    <n v="8.2720000000000002"/>
    <n v="50.4"/>
    <n v="22"/>
    <n v="2290.909090909091"/>
    <x v="5"/>
    <x v="0"/>
    <n v="26"/>
    <n v="6"/>
    <n v="188"/>
  </r>
  <r>
    <d v="2025-06-26T07:20:00"/>
    <s v="INYECTADO"/>
    <x v="2"/>
    <x v="124"/>
    <s v="ISABEL LINARIZ "/>
    <s v="VIRGEN"/>
    <s v="PP CLARIFICADO"/>
    <s v="."/>
    <s v="VASO MUNDO MANZANITA "/>
    <s v="VASO MUNDO MANZANITA CARAMELO-AZUL"/>
    <n v="89"/>
    <n v="1"/>
    <n v="12"/>
    <x v="1"/>
    <m/>
    <n v="1"/>
    <n v="1128"/>
    <n v="21936"/>
    <s v="AZUL"/>
    <n v="0"/>
    <n v="0"/>
    <n v="0"/>
    <n v="1.958"/>
    <n v="12"/>
    <n v="22"/>
    <n v="545.4545454545455"/>
    <x v="5"/>
    <x v="0"/>
    <n v="26"/>
    <n v="6"/>
    <n v="44.5"/>
  </r>
  <r>
    <d v="2025-06-26T07:20:00"/>
    <s v="INYECTADO"/>
    <x v="2"/>
    <x v="125"/>
    <s v="JUANA CRUCES"/>
    <s v="VIRGEN"/>
    <s v="PP CLARIFICADO"/>
    <s v="."/>
    <s v="VASO MUNDO MANZANITA "/>
    <s v="VASO MUNDO MANZANITA CARAMELO-AZUL"/>
    <n v="236"/>
    <n v="3"/>
    <n v="33.299999999999997"/>
    <x v="0"/>
    <m/>
    <n v="3"/>
    <n v="1128"/>
    <n v="21937"/>
    <s v="AZUL"/>
    <n v="3.5"/>
    <n v="0"/>
    <n v="0"/>
    <n v="5.1920000000000002"/>
    <n v="33.299999999999997"/>
    <n v="22"/>
    <n v="1513.6363636363637"/>
    <x v="5"/>
    <x v="0"/>
    <n v="26"/>
    <n v="6"/>
    <n v="118"/>
  </r>
  <r>
    <d v="2025-06-26T07:20:00"/>
    <s v="INYECTADO"/>
    <x v="2"/>
    <x v="125"/>
    <s v="JUANA CRUCES"/>
    <s v="VIRGEN"/>
    <s v="PP CLARIFICADO"/>
    <s v="."/>
    <s v="VASO MUNDO MANZANITA "/>
    <s v="VASO MUNDO MANZANITA CARAMELO-FUCSIA"/>
    <n v="339"/>
    <n v="4"/>
    <n v="50.2"/>
    <x v="0"/>
    <m/>
    <n v="5"/>
    <n v="1128"/>
    <n v="21937"/>
    <s v="FUCSIA"/>
    <n v="3.1"/>
    <n v="0"/>
    <n v="0"/>
    <n v="7.4580000000000002"/>
    <n v="50.2"/>
    <n v="22"/>
    <n v="2281.818181818182"/>
    <x v="5"/>
    <x v="0"/>
    <n v="26"/>
    <n v="6"/>
    <n v="169.5"/>
  </r>
  <r>
    <d v="2025-06-26T07:20:00"/>
    <s v="INYECTADO"/>
    <x v="2"/>
    <x v="125"/>
    <s v="JUANA CRUCES"/>
    <s v="VIRGEN"/>
    <s v="PP CLARIFICADO"/>
    <s v="."/>
    <s v="VASO MUNDO MANZANITA "/>
    <s v="VASO MUNDO MANZANITA CARAMELO-AMARILLO"/>
    <n v="189"/>
    <n v="3"/>
    <n v="25.1"/>
    <x v="0"/>
    <m/>
    <n v="2"/>
    <n v="1128"/>
    <n v="21937"/>
    <s v="AMARILLO"/>
    <n v="1.6"/>
    <n v="0"/>
    <n v="0"/>
    <n v="4.1580000000000004"/>
    <n v="25.1"/>
    <n v="22"/>
    <n v="1140.909090909091"/>
    <x v="5"/>
    <x v="0"/>
    <n v="26"/>
    <n v="6"/>
    <n v="94.5"/>
  </r>
  <r>
    <d v="2025-06-26T07:20:00"/>
    <s v="INYECTADO"/>
    <x v="2"/>
    <x v="125"/>
    <s v="JUANA CRUCES"/>
    <s v="VIRGEN"/>
    <s v="PP CLARIFICADO"/>
    <s v="."/>
    <s v="VASO MUNDO MANZANITA "/>
    <s v="VASO MUNDO MANZANITA CARAMELO-VERDE"/>
    <n v="85"/>
    <n v="1"/>
    <n v="16.3"/>
    <x v="0"/>
    <m/>
    <n v="1"/>
    <n v="1128"/>
    <n v="21937"/>
    <s v="VERDE"/>
    <n v="0"/>
    <n v="0"/>
    <n v="0"/>
    <n v="1.87"/>
    <n v="16.3"/>
    <n v="22"/>
    <n v="740.90909090909088"/>
    <x v="5"/>
    <x v="0"/>
    <n v="26"/>
    <n v="6"/>
    <n v="42.5"/>
  </r>
  <r>
    <d v="2025-06-26T07:20:00"/>
    <s v="INYECTADO"/>
    <x v="2"/>
    <x v="129"/>
    <s v="NELSON PINEDO"/>
    <s v="VIRGEN"/>
    <s v="PP CLARIFICADO"/>
    <s v="."/>
    <s v="VASO MUNDO MANZANITA "/>
    <s v="VASO MUNDO MANZANITA CARAMELO-VERDE"/>
    <n v="155"/>
    <n v="2"/>
    <n v="20.8"/>
    <x v="0"/>
    <m/>
    <n v="2"/>
    <n v="1128"/>
    <n v="21938"/>
    <s v="VERDE"/>
    <n v="3.6"/>
    <n v="0"/>
    <n v="0"/>
    <n v="3.41"/>
    <n v="20.8"/>
    <n v="22"/>
    <n v="945.4545454545455"/>
    <x v="5"/>
    <x v="0"/>
    <n v="27"/>
    <n v="6"/>
    <n v="77.5"/>
  </r>
  <r>
    <d v="2025-06-26T07:20:00"/>
    <s v="INYECTADO"/>
    <x v="2"/>
    <x v="129"/>
    <s v="NELSON PINEDO"/>
    <s v="VIRGEN"/>
    <s v="PP CLARIFICADO"/>
    <s v="."/>
    <s v="VASO MUNDO MANZANITA "/>
    <s v="VASO MUNDO MANZANITA CARAMELO-ANARANJADO"/>
    <n v="429"/>
    <n v="4"/>
    <n v="57.5"/>
    <x v="0"/>
    <m/>
    <n v="3"/>
    <n v="1128"/>
    <n v="21938"/>
    <s v="NARANJA"/>
    <n v="57.5"/>
    <n v="0"/>
    <n v="0"/>
    <n v="9.4380000000000006"/>
    <n v="57.5"/>
    <n v="22"/>
    <n v="2613.6363636363635"/>
    <x v="5"/>
    <x v="0"/>
    <n v="27"/>
    <n v="6"/>
    <n v="214.5"/>
  </r>
  <r>
    <d v="2025-06-26T07:20:00"/>
    <s v="INYECTADO"/>
    <x v="2"/>
    <x v="129"/>
    <s v="NELSON PINEDO"/>
    <s v="VIRGEN"/>
    <s v="PP CLARIFICADO"/>
    <s v="."/>
    <s v="VASO MUNDO MANZANITA "/>
    <s v="VASO MUNDO MANZANITA CARAMELO-FUCSIA"/>
    <n v="191"/>
    <n v="2"/>
    <n v="25.6"/>
    <x v="0"/>
    <m/>
    <n v="3"/>
    <n v="1128"/>
    <n v="21938"/>
    <s v="FUCSIA"/>
    <n v="25.6"/>
    <n v="0"/>
    <n v="0"/>
    <n v="4.202"/>
    <n v="25.6"/>
    <n v="22"/>
    <n v="1163.6363636363637"/>
    <x v="5"/>
    <x v="0"/>
    <n v="27"/>
    <n v="6"/>
    <n v="95.5"/>
  </r>
  <r>
    <d v="2025-06-26T07:20:00"/>
    <s v="INYECTADO"/>
    <x v="2"/>
    <x v="129"/>
    <s v="NELSON PINEDO"/>
    <s v="VIRGEN"/>
    <s v="PP CLARIFICADO"/>
    <s v="."/>
    <s v="VASO MUNDO MANZANITA "/>
    <s v="VASO MUNDO MANZANITA CARAMELO-AZUL"/>
    <n v="50"/>
    <n v="1"/>
    <n v="6.8"/>
    <x v="0"/>
    <m/>
    <n v="1"/>
    <n v="1128"/>
    <n v="21938"/>
    <s v="AZUL"/>
    <n v="6.8"/>
    <n v="0"/>
    <n v="0"/>
    <n v="1.1000000000000001"/>
    <n v="6.8"/>
    <n v="22"/>
    <n v="309.09090909090907"/>
    <x v="5"/>
    <x v="0"/>
    <n v="27"/>
    <n v="6"/>
    <n v="25"/>
  </r>
  <r>
    <d v="2025-06-26T07:20:00"/>
    <s v="INYECTADO"/>
    <x v="3"/>
    <x v="111"/>
    <s v="CRISALIDA ZAPATA"/>
    <s v="SEGUNDA"/>
    <s v="."/>
    <s v="MIXTO"/>
    <s v="COLADOR HOGAR SOLIDO #2"/>
    <s v="COLADOR HOGAR SOLIDO#2-AZUL"/>
    <n v="55"/>
    <n v="2"/>
    <n v="3.9"/>
    <x v="0"/>
    <m/>
    <n v="2"/>
    <n v="1118"/>
    <n v="19394"/>
    <s v="AZUL"/>
    <n v="3.8"/>
    <n v="0"/>
    <n v="0"/>
    <n v="3.85"/>
    <n v="3.9"/>
    <n v="70"/>
    <n v="55.714285714285715"/>
    <x v="5"/>
    <x v="0"/>
    <n v="23"/>
    <n v="1"/>
    <n v="4.583333333333333"/>
  </r>
  <r>
    <d v="2025-06-26T07:20:00"/>
    <s v="INYECTADO"/>
    <x v="3"/>
    <x v="111"/>
    <s v="CRISALIDA ZAPATA"/>
    <s v="SEGUNDA"/>
    <s v="."/>
    <s v="MIXTO"/>
    <s v="COLADOR HOGAR SOLIDO #2"/>
    <s v="COLADOR HOGAR SOLIDO#2-VERDE"/>
    <n v="561"/>
    <n v="7"/>
    <n v="39.299999999999997"/>
    <x v="0"/>
    <m/>
    <n v="5"/>
    <n v="1118"/>
    <n v="19394"/>
    <s v="VERDE"/>
    <n v="15.8"/>
    <n v="0"/>
    <n v="0"/>
    <n v="39.270000000000003"/>
    <n v="39.299999999999997"/>
    <n v="70"/>
    <n v="561.42857142857144"/>
    <x v="5"/>
    <x v="0"/>
    <n v="23"/>
    <n v="1"/>
    <n v="46.75"/>
  </r>
  <r>
    <d v="2025-06-26T07:20:00"/>
    <s v="INYECTADO"/>
    <x v="3"/>
    <x v="111"/>
    <s v="CRISALIDA ZAPATA"/>
    <s v="SEGUNDA"/>
    <s v="."/>
    <s v="MIXTO"/>
    <s v="COLADOR HOGAR SOLIDO #2"/>
    <s v="COLADOR HOGAR SOLIDO#2-AZURE"/>
    <n v="174"/>
    <n v="2"/>
    <n v="12.2"/>
    <x v="0"/>
    <m/>
    <n v="2"/>
    <n v="1118"/>
    <n v="19394"/>
    <s v="CELESTE"/>
    <n v="2.4"/>
    <n v="0"/>
    <n v="0"/>
    <n v="12.18"/>
    <n v="12.2"/>
    <n v="70"/>
    <n v="174.28571428571428"/>
    <x v="5"/>
    <x v="0"/>
    <n v="23"/>
    <n v="1"/>
    <n v="14.5"/>
  </r>
  <r>
    <d v="2025-06-26T07:20:00"/>
    <s v="INYECTADO"/>
    <x v="3"/>
    <x v="130"/>
    <s v="CRISALIDA ZAPATA"/>
    <s v="SEGUNDA"/>
    <s v="."/>
    <s v="MIXTO"/>
    <s v="COLADOR HOGAR SOLIDO #2"/>
    <s v="COLADOR HOGAR SOLIDO#2-AZURE"/>
    <n v="354"/>
    <n v="6"/>
    <n v="24.8"/>
    <x v="0"/>
    <m/>
    <n v="4"/>
    <n v="1118"/>
    <n v="19395"/>
    <s v="CELESTE"/>
    <n v="15.7"/>
    <n v="0"/>
    <n v="0"/>
    <n v="24.78"/>
    <n v="24.8"/>
    <n v="70"/>
    <n v="354.28571428571428"/>
    <x v="5"/>
    <x v="0"/>
    <n v="23"/>
    <n v="1"/>
    <n v="29.5"/>
  </r>
  <r>
    <d v="2025-06-26T07:20:00"/>
    <s v="INYECTADO"/>
    <x v="3"/>
    <x v="130"/>
    <s v="CRISALIDA ZAPATA"/>
    <s v="SEGUNDA"/>
    <s v="."/>
    <s v="MIXTO"/>
    <s v="COLADOR HOGAR SOLIDO #2"/>
    <s v="COLADOR HOGAR SOLIDO#2-CREMA"/>
    <n v="347"/>
    <n v="5"/>
    <n v="24.3"/>
    <x v="0"/>
    <m/>
    <n v="3"/>
    <n v="1118"/>
    <n v="19395"/>
    <s v="CREMA"/>
    <n v="7.2"/>
    <n v="0"/>
    <n v="0"/>
    <n v="24.29"/>
    <n v="24.3"/>
    <n v="70"/>
    <n v="347.14285714285717"/>
    <x v="5"/>
    <x v="0"/>
    <n v="23"/>
    <n v="1"/>
    <n v="28.916666666666668"/>
  </r>
  <r>
    <d v="2025-06-26T07:20:00"/>
    <s v="INYECTADO"/>
    <x v="3"/>
    <x v="131"/>
    <s v="CRISALIDA ZAPATA"/>
    <s v="SEGUNDA"/>
    <s v="."/>
    <s v="MIXTO"/>
    <s v="COLADOR HOGAR SOLIDO #2"/>
    <s v="COLADOR HOGAR SOLIDO#2-CREMA"/>
    <n v="337"/>
    <n v="6"/>
    <n v="23.6"/>
    <x v="0"/>
    <m/>
    <n v="4"/>
    <n v="1118"/>
    <n v="19396"/>
    <s v="CREMA"/>
    <n v="12.2"/>
    <n v="0"/>
    <n v="0"/>
    <n v="23.59"/>
    <n v="23.6"/>
    <n v="70"/>
    <n v="337.14285714285717"/>
    <x v="5"/>
    <x v="0"/>
    <n v="23"/>
    <n v="1"/>
    <n v="28.083333333333332"/>
  </r>
  <r>
    <d v="2025-06-26T07:20:00"/>
    <s v="INYECTADO"/>
    <x v="3"/>
    <x v="131"/>
    <s v="CRISALIDA ZAPATA"/>
    <s v="SEGUNDA"/>
    <s v="."/>
    <s v="MIXTO"/>
    <s v="COLADOR HOGAR SOLIDO #2"/>
    <s v="COLADOR HOGAR SOLIDO#2-VERDE"/>
    <n v="258"/>
    <n v="5"/>
    <n v="18.100000000000001"/>
    <x v="0"/>
    <m/>
    <n v="3"/>
    <n v="1118"/>
    <n v="19396"/>
    <s v="CELESTE"/>
    <n v="13.3"/>
    <n v="0"/>
    <n v="0"/>
    <n v="18.059999999999999"/>
    <n v="18.100000000000001"/>
    <n v="70"/>
    <n v="258.57142857142856"/>
    <x v="5"/>
    <x v="0"/>
    <n v="23"/>
    <n v="1"/>
    <n v="21.5"/>
  </r>
  <r>
    <d v="2025-06-26T07:20:00"/>
    <s v="INYECTADO"/>
    <x v="3"/>
    <x v="121"/>
    <s v="CRISALIDA ZAPATA"/>
    <s v="SEGUNDA"/>
    <s v="."/>
    <s v="MIXTO"/>
    <s v="COLADOR HOGAR SOLIDO #2"/>
    <s v="COLADOR HOGAR SOLIDO#2-VERDE"/>
    <n v="57"/>
    <n v="2"/>
    <n v="3.9"/>
    <x v="0"/>
    <m/>
    <n v="1"/>
    <n v="1118"/>
    <n v="19397"/>
    <s v="VERDE"/>
    <n v="9.6"/>
    <n v="0"/>
    <n v="0"/>
    <n v="3.99"/>
    <n v="3.9"/>
    <n v="70"/>
    <n v="55.714285714285715"/>
    <x v="5"/>
    <x v="0"/>
    <n v="23"/>
    <n v="1"/>
    <n v="4.75"/>
  </r>
  <r>
    <d v="2025-06-26T07:20:00"/>
    <s v="INYECTADO"/>
    <x v="3"/>
    <x v="112"/>
    <s v="CRISALIDA ZAPATA"/>
    <s v="SEGUNDA"/>
    <s v="."/>
    <s v="MIXTO"/>
    <s v="COLADOR HOGAR SOLIDO #2"/>
    <s v="COLADOR HOGAR SOLIDO#2-VERDE"/>
    <n v="220"/>
    <n v="2"/>
    <n v="16.5"/>
    <x v="0"/>
    <m/>
    <n v="2"/>
    <n v="1118"/>
    <n v="22001"/>
    <s v="VERDE"/>
    <n v="0"/>
    <n v="0"/>
    <n v="0"/>
    <n v="15.4"/>
    <n v="16.5"/>
    <n v="70"/>
    <n v="235.71428571428572"/>
    <x v="5"/>
    <x v="0"/>
    <n v="23"/>
    <n v="1"/>
    <n v="18.333333333333332"/>
  </r>
  <r>
    <d v="2025-06-26T07:20:00"/>
    <s v="INYECTADO"/>
    <x v="3"/>
    <x v="113"/>
    <s v="CRISALIDA ZAPATA"/>
    <s v="SEGUNDA"/>
    <s v="."/>
    <s v="MIXTO"/>
    <s v="COLADOR HOGAR SOLIDO #2"/>
    <s v="COLADOR HOGAR SOLIDO#2-VERDE"/>
    <n v="67"/>
    <n v="3"/>
    <n v="4.7"/>
    <x v="0"/>
    <m/>
    <n v="1"/>
    <n v="1118"/>
    <n v="22002"/>
    <s v="VERDE"/>
    <n v="3.4"/>
    <n v="0"/>
    <n v="0"/>
    <n v="4.6900000000000004"/>
    <n v="4.7"/>
    <n v="70"/>
    <n v="67.142857142857139"/>
    <x v="5"/>
    <x v="0"/>
    <n v="24"/>
    <n v="1"/>
    <n v="5.583333333333333"/>
  </r>
  <r>
    <d v="2025-06-26T07:20:00"/>
    <s v="INYECTADO"/>
    <x v="3"/>
    <x v="123"/>
    <s v="LUIS RENGIFO"/>
    <s v="SEGUNDA"/>
    <s v="."/>
    <s v="MIXTO"/>
    <s v="COLADOR HOGAR SOLIDO #2"/>
    <s v="COLADOR HOGAR SOLIDO#2-VERDE"/>
    <n v="369"/>
    <n v="3"/>
    <n v="25.1"/>
    <x v="0"/>
    <m/>
    <n v="3"/>
    <n v="1118"/>
    <n v="22003"/>
    <s v="VERDE"/>
    <n v="5.5"/>
    <n v="0"/>
    <n v="0"/>
    <n v="25.83"/>
    <n v="25.1"/>
    <n v="70"/>
    <n v="358.57142857142856"/>
    <x v="5"/>
    <x v="0"/>
    <n v="26"/>
    <n v="1"/>
    <n v="30.75"/>
  </r>
  <r>
    <d v="2025-06-26T07:20:00"/>
    <s v="INYECTADO"/>
    <x v="3"/>
    <x v="123"/>
    <s v="LUIS RENGIFO"/>
    <s v="SEGUNDA"/>
    <s v="."/>
    <s v="MIXTO"/>
    <s v="COLADOR HOGAR SOLIDO #2"/>
    <s v="COLADOR HOGAR SOLIDO#2-AZURE"/>
    <n v="426"/>
    <n v="4"/>
    <n v="29.4"/>
    <x v="0"/>
    <m/>
    <n v="4"/>
    <n v="1118"/>
    <n v="22003"/>
    <s v="CELESTE"/>
    <n v="4.7"/>
    <n v="0"/>
    <n v="0"/>
    <n v="29.82"/>
    <n v="29.4"/>
    <n v="70"/>
    <n v="420"/>
    <x v="5"/>
    <x v="0"/>
    <n v="26"/>
    <n v="1"/>
    <n v="35.5"/>
  </r>
  <r>
    <d v="2025-06-26T07:20:00"/>
    <s v="INYECTADO"/>
    <x v="3"/>
    <x v="123"/>
    <s v="LUIS RENGIFO"/>
    <s v="SEGUNDA"/>
    <s v="."/>
    <s v="MIXTO"/>
    <s v="COLADOR HOGAR SOLIDO #2"/>
    <s v="COLADOR HOGAR SOLIDO#2-ANARANJADO"/>
    <n v="304"/>
    <n v="2"/>
    <n v="21"/>
    <x v="0"/>
    <m/>
    <n v="3"/>
    <n v="1118"/>
    <n v="22003"/>
    <s v="NARANJA"/>
    <n v="0"/>
    <n v="0"/>
    <n v="0"/>
    <n v="21.28"/>
    <n v="21"/>
    <n v="70"/>
    <n v="300"/>
    <x v="5"/>
    <x v="0"/>
    <n v="26"/>
    <n v="1"/>
    <n v="25.333333333333332"/>
  </r>
  <r>
    <d v="2025-06-26T07:20:00"/>
    <s v="INYECTADO"/>
    <x v="3"/>
    <x v="124"/>
    <s v="CARLOS SULCA"/>
    <s v="SEGUNDA"/>
    <s v="."/>
    <s v="MIXTO"/>
    <s v="COLADOR HOGAR SOLIDO #2"/>
    <s v="COLADOR HOGAR SOLIDO#2-ANARANJADO"/>
    <n v="481"/>
    <n v="4"/>
    <n v="33.200000000000003"/>
    <x v="0"/>
    <m/>
    <n v="4"/>
    <n v="1118"/>
    <n v="22004"/>
    <s v="NARANJA"/>
    <n v="3.1"/>
    <n v="0"/>
    <n v="0"/>
    <n v="33.67"/>
    <n v="33.200000000000003"/>
    <n v="70"/>
    <n v="474.28571428571428"/>
    <x v="5"/>
    <x v="0"/>
    <n v="26"/>
    <n v="1"/>
    <n v="40.083333333333336"/>
  </r>
  <r>
    <d v="2025-06-26T07:20:00"/>
    <s v="INYECTADO"/>
    <x v="3"/>
    <x v="124"/>
    <s v="CARLOS SULCA"/>
    <s v="SEGUNDA"/>
    <s v="."/>
    <s v="MIXTO"/>
    <s v="COLADOR HOGAR SOLIDO #2"/>
    <s v="COLADOR HOGAR SOLIDO#2-ROJO"/>
    <n v="971"/>
    <n v="7"/>
    <n v="68"/>
    <x v="0"/>
    <m/>
    <n v="8"/>
    <n v="1118"/>
    <n v="22004"/>
    <s v="ROJO"/>
    <n v="0"/>
    <n v="0"/>
    <n v="0"/>
    <n v="67.97"/>
    <n v="68"/>
    <n v="70"/>
    <n v="971.42857142857144"/>
    <x v="5"/>
    <x v="0"/>
    <n v="26"/>
    <n v="1"/>
    <n v="80.916666666666671"/>
  </r>
  <r>
    <d v="2025-06-26T07:20:00"/>
    <s v="INYECTADO"/>
    <x v="3"/>
    <x v="125"/>
    <s v="LUIS FERNANDO"/>
    <s v="SEGUNDA"/>
    <s v="."/>
    <s v="MIXTO"/>
    <s v="COLADOR HOGAR SOLIDO #2"/>
    <s v="COLADOR HOGAR SOLIDO#2-ROJO"/>
    <n v="321"/>
    <n v="2"/>
    <n v="22.5"/>
    <x v="0"/>
    <m/>
    <n v="3"/>
    <n v="1118"/>
    <n v="22005"/>
    <s v="ROJO"/>
    <n v="0"/>
    <n v="0"/>
    <n v="0"/>
    <n v="22.47"/>
    <n v="22.5"/>
    <n v="70"/>
    <n v="321.42857142857144"/>
    <x v="5"/>
    <x v="0"/>
    <n v="26"/>
    <n v="1"/>
    <n v="26.75"/>
  </r>
  <r>
    <d v="2025-06-26T07:20:00"/>
    <s v="INYECTADO"/>
    <x v="3"/>
    <x v="125"/>
    <s v="LUIS FERNANDO"/>
    <s v="SEGUNDA"/>
    <s v="."/>
    <s v="MIXTO"/>
    <s v="COLADOR HOGAR SOLIDO #2"/>
    <s v="COLADOR HOGAR SOLIDO#2-CREMA"/>
    <n v="713"/>
    <n v="6"/>
    <n v="49.2"/>
    <x v="0"/>
    <m/>
    <n v="6"/>
    <n v="1118"/>
    <n v="22005"/>
    <s v="CREMA"/>
    <n v="0"/>
    <n v="0"/>
    <n v="0"/>
    <n v="49.91"/>
    <n v="49.2"/>
    <n v="70"/>
    <n v="702.85714285714289"/>
    <x v="5"/>
    <x v="0"/>
    <n v="26"/>
    <n v="1"/>
    <n v="59.416666666666664"/>
  </r>
  <r>
    <d v="2025-06-26T07:20:00"/>
    <s v="INYECTADO"/>
    <x v="3"/>
    <x v="125"/>
    <s v="LUIS FERNANDO"/>
    <s v="SEGUNDA"/>
    <s v="."/>
    <s v="MIXTO"/>
    <s v="COLADOR HOGAR SOLIDO #2"/>
    <s v="COLADOR HOGAR SOLIDO#2-VERDE"/>
    <n v="231"/>
    <n v="2"/>
    <n v="16.2"/>
    <x v="0"/>
    <m/>
    <n v="1"/>
    <n v="1118"/>
    <n v="22005"/>
    <s v="VERDE"/>
    <n v="0"/>
    <n v="0"/>
    <n v="0"/>
    <n v="16.170000000000002"/>
    <n v="16.2"/>
    <n v="70"/>
    <n v="231.42857142857142"/>
    <x v="5"/>
    <x v="0"/>
    <n v="26"/>
    <n v="1"/>
    <n v="19.25"/>
  </r>
  <r>
    <d v="2025-06-26T07:20:00"/>
    <s v="INYECTADO"/>
    <x v="3"/>
    <x v="120"/>
    <s v="LUIS FERNANDO"/>
    <s v="SEGUNDA"/>
    <s v="."/>
    <s v="MIXTO"/>
    <s v="COLADOR HOGAR SOLIDO #2"/>
    <s v="COLADOR HOGAR SOLIDO#2-VERDE"/>
    <n v="608"/>
    <n v="5"/>
    <n v="42.6"/>
    <x v="0"/>
    <m/>
    <n v="4"/>
    <n v="1118"/>
    <n v="22006"/>
    <s v="VERDE"/>
    <n v="0"/>
    <n v="0"/>
    <n v="0"/>
    <n v="42.56"/>
    <n v="42.6"/>
    <n v="70"/>
    <n v="608.57142857142856"/>
    <x v="5"/>
    <x v="0"/>
    <n v="26"/>
    <n v="1"/>
    <n v="50.666666666666664"/>
  </r>
  <r>
    <d v="2025-06-26T07:20:00"/>
    <s v="INYECTADO"/>
    <x v="3"/>
    <x v="120"/>
    <s v="LUIS FERNANDO"/>
    <s v="SEGUNDA"/>
    <s v="."/>
    <s v="MIXTO"/>
    <s v="COLADOR HOGAR SOLIDO #2"/>
    <s v="COLADOR HOGAR SOLIDO#2-AZURE"/>
    <n v="591"/>
    <n v="5"/>
    <n v="41.4"/>
    <x v="0"/>
    <m/>
    <n v="5"/>
    <n v="1118"/>
    <n v="22006"/>
    <s v="CELESTE"/>
    <n v="0"/>
    <n v="0"/>
    <n v="0"/>
    <n v="41.37"/>
    <n v="41.4"/>
    <n v="70"/>
    <n v="591.42857142857144"/>
    <x v="5"/>
    <x v="0"/>
    <n v="26"/>
    <n v="1"/>
    <n v="49.25"/>
  </r>
  <r>
    <d v="2025-06-26T07:20:00"/>
    <s v="INYECTADO"/>
    <x v="3"/>
    <x v="129"/>
    <s v="CELSO ALEJANDRO"/>
    <s v="SEGUNDA"/>
    <s v="."/>
    <s v="MIXTO"/>
    <s v="COLADOR HOGAR SOLIDO #2"/>
    <s v="COLADOR HOGAR SOLIDO#2-ANARANJADO"/>
    <n v="1134"/>
    <n v="7"/>
    <n v="79.400000000000006"/>
    <x v="0"/>
    <m/>
    <n v="6"/>
    <n v="1118"/>
    <n v="22007"/>
    <s v="NARANJA"/>
    <n v="8.6999999999999993"/>
    <n v="0"/>
    <n v="0"/>
    <n v="79.38"/>
    <n v="79.400000000000006"/>
    <n v="70"/>
    <n v="1134.2857142857142"/>
    <x v="5"/>
    <x v="0"/>
    <n v="27"/>
    <n v="1"/>
    <n v="94.5"/>
  </r>
  <r>
    <d v="2025-06-26T07:20:00"/>
    <s v="INYECTADO"/>
    <x v="3"/>
    <x v="129"/>
    <s v="CELSO ALEJANDRO"/>
    <s v="SEGUNDA"/>
    <s v="."/>
    <s v="MIXTO"/>
    <s v="COLADOR HOGAR SOLIDO #2"/>
    <s v="COLADOR HOGAR SOLIDO#2-CREMA"/>
    <n v="71"/>
    <n v="1"/>
    <n v="5"/>
    <x v="0"/>
    <m/>
    <n v="1"/>
    <n v="1118"/>
    <n v="22007"/>
    <s v="CREMA"/>
    <n v="0"/>
    <n v="0"/>
    <n v="0"/>
    <n v="4.97"/>
    <n v="5"/>
    <n v="70"/>
    <n v="71.428571428571431"/>
    <x v="5"/>
    <x v="0"/>
    <n v="27"/>
    <n v="1"/>
    <n v="5.916666666666667"/>
  </r>
  <r>
    <d v="2025-05-26T09:10:00"/>
    <s v="SOPLADO"/>
    <x v="9"/>
    <x v="117"/>
    <s v="LUIS PINEDO"/>
    <s v="VIRGEN"/>
    <s v="PP CLARIFICADO"/>
    <s v="."/>
    <s v="SALSERO MULTIUSO 480 ML"/>
    <s v="SALSERO MULTIUSO 480ML-TRANSPARENTE"/>
    <n v="1130"/>
    <n v="10"/>
    <n v="38.200000000000003"/>
    <x v="0"/>
    <m/>
    <n v="6"/>
    <n v="1133"/>
    <n v="21444"/>
    <s v="TRANSPARENTE"/>
    <n v="29"/>
    <n v="0"/>
    <n v="0"/>
    <n v="42.94"/>
    <n v="38.200000000000003"/>
    <n v="38"/>
    <n v="1005.2631578947369"/>
    <x v="5"/>
    <x v="0"/>
    <n v="25"/>
    <n v="1"/>
    <n v="94.166666666666671"/>
  </r>
  <r>
    <d v="2025-05-26T09:10:00"/>
    <s v="SOPLADO"/>
    <x v="9"/>
    <x v="117"/>
    <s v="SAID VILLAMIZAR"/>
    <s v="VIRGEN"/>
    <s v="PP SOPLADO"/>
    <s v="."/>
    <s v="SALSERO MULTIUSO 480 ML"/>
    <s v="SALSERO MULTIUSO 480ML-TRANSPARENTE"/>
    <n v="483"/>
    <n v="3"/>
    <n v="17.399999999999999"/>
    <x v="1"/>
    <m/>
    <n v="3"/>
    <n v="1133"/>
    <n v="21445"/>
    <s v="TRANSPARENTE"/>
    <n v="9"/>
    <n v="0"/>
    <n v="0"/>
    <n v="18.353999999999999"/>
    <n v="17.399999999999999"/>
    <n v="38"/>
    <n v="457.89473684210526"/>
    <x v="5"/>
    <x v="0"/>
    <n v="25"/>
    <n v="1"/>
    <n v="40.25"/>
  </r>
  <r>
    <d v="2025-05-26T09:10:00"/>
    <s v="SOPLADO"/>
    <x v="11"/>
    <x v="118"/>
    <s v="NELSON PINEDO"/>
    <s v="VIRGEN"/>
    <s v="PP SOPLADO"/>
    <s v="."/>
    <s v="SALSERO PERITA 225ML"/>
    <s v="SALSERO PERITA 225ML-TRANSPARENTE"/>
    <n v="1912"/>
    <n v="10"/>
    <n v="30.6"/>
    <x v="0"/>
    <m/>
    <n v="4"/>
    <n v="1105"/>
    <n v="20982"/>
    <s v="TRANSPARENTE"/>
    <n v="21.4"/>
    <n v="0"/>
    <n v="0"/>
    <n v="30.591999999999999"/>
    <n v="30.6"/>
    <n v="16"/>
    <n v="1912.5"/>
    <x v="5"/>
    <x v="0"/>
    <n v="25"/>
    <n v="2"/>
    <n v="318.66666666666669"/>
  </r>
  <r>
    <d v="2025-05-26T09:10:00"/>
    <s v="SOPLADO"/>
    <x v="11"/>
    <x v="119"/>
    <s v="NELSON PINEDO"/>
    <s v="VIRGEN"/>
    <s v="PP SOPLADO"/>
    <s v="."/>
    <s v="SALSERO PERITA 225ML"/>
    <s v="SALSERO PERITA 225ML-TRANSPARENTE"/>
    <n v="2018"/>
    <n v="10"/>
    <n v="32.299999999999997"/>
    <x v="0"/>
    <m/>
    <n v="4"/>
    <n v="1105"/>
    <n v="20983"/>
    <s v="TRANSPARENTE"/>
    <n v="0"/>
    <n v="0"/>
    <n v="0"/>
    <n v="32.287999999999997"/>
    <n v="32.299999999999997"/>
    <n v="16"/>
    <n v="2018.7499999999998"/>
    <x v="5"/>
    <x v="0"/>
    <n v="25"/>
    <n v="2"/>
    <n v="336.33333333333331"/>
  </r>
  <r>
    <d v="2025-05-26T09:10:00"/>
    <s v="SOPLADO"/>
    <x v="9"/>
    <x v="118"/>
    <s v="LUIS PINEDO"/>
    <s v="VIRGEN"/>
    <s v="PP SOPLADO"/>
    <s v="."/>
    <s v="SALSERO MULTIUSO 480 ML"/>
    <s v="SALSERO MULTIUSO 480ML-TRANSPARENTE"/>
    <n v="1237"/>
    <n v="10"/>
    <n v="43.3"/>
    <x v="0"/>
    <m/>
    <n v="6"/>
    <n v="1133"/>
    <n v="21446"/>
    <s v="TRANSPARENTE"/>
    <n v="22.3"/>
    <n v="0"/>
    <n v="0"/>
    <n v="47.006"/>
    <n v="43.3"/>
    <n v="38"/>
    <n v="1139.4736842105262"/>
    <x v="5"/>
    <x v="0"/>
    <n v="25"/>
    <n v="1"/>
    <n v="103.08333333333333"/>
  </r>
  <r>
    <d v="2025-05-26T09:10:00"/>
    <s v="SOPLADO"/>
    <x v="9"/>
    <x v="128"/>
    <s v="NELSON PINEDO"/>
    <s v="VIRGEN"/>
    <s v="PP SOPLADO"/>
    <s v="."/>
    <s v="SALSERO MULTIUSO 600 ML"/>
    <s v="SALSERO MULTIUSO 600ML-TRANSPARENTE"/>
    <n v="1189"/>
    <n v="10"/>
    <n v="46.4"/>
    <x v="0"/>
    <m/>
    <n v="7"/>
    <n v="1142"/>
    <n v="21447"/>
    <s v="TRANSPARENTE"/>
    <n v="16.7"/>
    <n v="0"/>
    <n v="0"/>
    <n v="47.56"/>
    <n v="46.4"/>
    <n v="40"/>
    <n v="1160"/>
    <x v="5"/>
    <x v="0"/>
    <n v="26"/>
    <n v="1"/>
    <n v="99.083333333333329"/>
  </r>
  <r>
    <d v="2025-05-26T09:10:00"/>
    <s v="SOPLADO"/>
    <x v="9"/>
    <x v="128"/>
    <s v="GABRIEL REQUENA"/>
    <s v="VIRGEN"/>
    <s v="PP SOPLADO"/>
    <s v="."/>
    <s v="SALSERO MULTIUSO 600 ML"/>
    <s v="SALSERO MULTIUSO 600ML-TRANSPARENTE"/>
    <n v="1456"/>
    <n v="12"/>
    <n v="56.8"/>
    <x v="1"/>
    <m/>
    <n v="9"/>
    <n v="1142"/>
    <n v="21448"/>
    <s v="TRANSPARENTE"/>
    <n v="34.200000000000003"/>
    <n v="0"/>
    <n v="0"/>
    <n v="58.24"/>
    <n v="56.8"/>
    <n v="40"/>
    <n v="1420"/>
    <x v="5"/>
    <x v="0"/>
    <n v="26"/>
    <n v="1"/>
    <n v="121.33333333333333"/>
  </r>
  <r>
    <d v="2025-05-26T09:10:00"/>
    <s v="SOPLADO"/>
    <x v="12"/>
    <x v="132"/>
    <s v="NELSON PINEDO"/>
    <s v="VIRGEN"/>
    <s v="PP SOPLADO"/>
    <s v="."/>
    <s v="TOMATODO ULTRA 900ML"/>
    <s v="TOMATODO ULTRA 900ML-TRANSPARENTE"/>
    <n v="951"/>
    <n v="9"/>
    <n v="57.1"/>
    <x v="0"/>
    <n v="0"/>
    <n v="9"/>
    <n v="1129"/>
    <n v="20186"/>
    <s v="TRANSPARENTE"/>
    <n v="33"/>
    <n v="0"/>
    <n v="0"/>
    <n v="57.06"/>
    <n v="57.1"/>
    <n v="60"/>
    <n v="951.66666666666663"/>
    <x v="5"/>
    <x v="0"/>
    <n v="24"/>
    <n v="1"/>
    <n v="79.25"/>
  </r>
  <r>
    <d v="2025-05-26T09:10:00"/>
    <s v="SOPLADO"/>
    <x v="12"/>
    <x v="133"/>
    <s v="SAID VILLAMIZAR"/>
    <s v="VIRGEN"/>
    <s v="PP SOPLADO"/>
    <s v="."/>
    <s v="TOMATODO ULTRA 900ML"/>
    <s v="TOMATODO ULTRA 900ML-TRANSPARENTE"/>
    <n v="995"/>
    <n v="10"/>
    <n v="59.7"/>
    <x v="0"/>
    <n v="0"/>
    <n v="8"/>
    <n v="1129"/>
    <n v="20187"/>
    <s v="TRANSPARENTE"/>
    <n v="32"/>
    <n v="0"/>
    <n v="0"/>
    <n v="59.7"/>
    <n v="59.7"/>
    <n v="60"/>
    <n v="995"/>
    <x v="5"/>
    <x v="0"/>
    <n v="24"/>
    <n v="1"/>
    <n v="82.916666666666671"/>
  </r>
  <r>
    <d v="2025-05-26T09:10:00"/>
    <s v="SOPLADO"/>
    <x v="12"/>
    <x v="134"/>
    <s v="LUIS RENGIFO"/>
    <s v="VIRGEN"/>
    <s v="PP SOPLADO"/>
    <s v="."/>
    <s v="TOMATODO ULTRA 900ML"/>
    <s v="TOMATODO ULTRA 900ML-TRANSPARENTE"/>
    <n v="1083"/>
    <n v="10"/>
    <n v="65"/>
    <x v="0"/>
    <n v="0"/>
    <n v="9"/>
    <n v="1129"/>
    <n v="20188"/>
    <s v="TRANSPARENTE"/>
    <n v="28.1"/>
    <n v="0"/>
    <n v="0"/>
    <n v="64.98"/>
    <n v="65"/>
    <n v="60"/>
    <n v="1083.3333333333333"/>
    <x v="5"/>
    <x v="0"/>
    <n v="24"/>
    <n v="1"/>
    <n v="90.25"/>
  </r>
  <r>
    <d v="2025-05-26T09:10:00"/>
    <s v="SOPLADO"/>
    <x v="12"/>
    <x v="114"/>
    <s v="LUIS RENGIFO"/>
    <s v="VIRGEN"/>
    <s v="PP SOPLADO"/>
    <s v="."/>
    <s v="TOMATODO ULTRA 900ML"/>
    <s v="TOMATODO ULTRA 900ML-TRANSPARENTE"/>
    <n v="970"/>
    <n v="9"/>
    <n v="58.2"/>
    <x v="0"/>
    <n v="0"/>
    <n v="8"/>
    <n v="1129"/>
    <n v="20190"/>
    <s v="TRANSPARENTE"/>
    <n v="0"/>
    <n v="0"/>
    <n v="0"/>
    <n v="58.2"/>
    <n v="58.2"/>
    <n v="60"/>
    <n v="970"/>
    <x v="5"/>
    <x v="0"/>
    <n v="25"/>
    <n v="1"/>
    <n v="80.833333333333329"/>
  </r>
  <r>
    <d v="2025-05-26T09:10:00"/>
    <s v="SOPLADO"/>
    <x v="12"/>
    <x v="115"/>
    <s v="LUIS RENGIFO"/>
    <s v="VIRGEN"/>
    <s v="PP SOPLADO"/>
    <s v="."/>
    <s v="TOMATODO ULTRA 900ML"/>
    <s v="TOMATODO ULTRA 900ML-TRANSPARENTE"/>
    <n v="1177"/>
    <n v="10"/>
    <n v="71.8"/>
    <x v="0"/>
    <n v="0"/>
    <n v="9"/>
    <n v="1129"/>
    <n v="20191"/>
    <s v="TRANSPARENTE"/>
    <n v="27.1"/>
    <n v="0"/>
    <n v="0"/>
    <n v="70.62"/>
    <n v="71.8"/>
    <n v="60"/>
    <n v="1196.6666666666667"/>
    <x v="5"/>
    <x v="0"/>
    <n v="25"/>
    <n v="1"/>
    <n v="98.083333333333329"/>
  </r>
  <r>
    <d v="2025-05-26T09:10:00"/>
    <s v="SOPLADO"/>
    <x v="12"/>
    <x v="115"/>
    <s v="SAID VILLAMIZAR"/>
    <s v="VIRGEN"/>
    <s v="PP SOPLADO"/>
    <s v="."/>
    <s v="TOMATODO ULTRA 900ML"/>
    <s v="TOMATODO ULTRA 900ML-TRANSPARENTE"/>
    <n v="473"/>
    <n v="3"/>
    <n v="28.9"/>
    <x v="1"/>
    <n v="0"/>
    <n v="4"/>
    <n v="1129"/>
    <n v="20192"/>
    <s v="TRANSPARENTE"/>
    <n v="0"/>
    <n v="0"/>
    <n v="0"/>
    <n v="28.38"/>
    <n v="28.9"/>
    <n v="60"/>
    <n v="481.66666666666669"/>
    <x v="5"/>
    <x v="0"/>
    <n v="25"/>
    <n v="1"/>
    <n v="39.416666666666664"/>
  </r>
  <r>
    <d v="2025-05-26T09:10:00"/>
    <s v="SOPLADO"/>
    <x v="12"/>
    <x v="116"/>
    <s v="SAID VILLAMIZAR"/>
    <s v="VIRGEN"/>
    <s v="PP SOPLADO"/>
    <s v="."/>
    <s v="TOMATODO ULTRA 900ML"/>
    <s v="TOMATODO ULTRA 900ML-TRANSPARENTE"/>
    <n v="1013"/>
    <n v="10"/>
    <n v="61.8"/>
    <x v="0"/>
    <n v="0"/>
    <n v="8"/>
    <n v="1129"/>
    <n v="20193"/>
    <s v="TRANSPARENTE"/>
    <n v="19"/>
    <n v="0"/>
    <n v="0"/>
    <n v="60.78"/>
    <n v="61.8"/>
    <n v="60"/>
    <n v="1030"/>
    <x v="5"/>
    <x v="0"/>
    <n v="25"/>
    <n v="1"/>
    <n v="84.416666666666671"/>
  </r>
  <r>
    <d v="2025-05-26T09:10:00"/>
    <s v="SOPLADO"/>
    <x v="12"/>
    <x v="117"/>
    <s v="SAID VILLAMIZAR"/>
    <s v="VIRGEN"/>
    <s v="PP SOPLADO"/>
    <s v="."/>
    <s v="TOMATODO ULTRA 900ML"/>
    <s v="TOMATODO ULTRA 900ML-TRANSPARENTE"/>
    <n v="1024"/>
    <n v="10"/>
    <n v="61"/>
    <x v="0"/>
    <n v="0"/>
    <n v="9"/>
    <n v="1129"/>
    <n v="20194"/>
    <s v="TRANSPARENTE"/>
    <n v="28.3"/>
    <n v="0"/>
    <n v="0"/>
    <n v="61.44"/>
    <n v="61"/>
    <n v="60"/>
    <n v="1016.6666666666666"/>
    <x v="5"/>
    <x v="0"/>
    <n v="25"/>
    <n v="1"/>
    <n v="85.333333333333329"/>
  </r>
  <r>
    <d v="2025-05-26T09:10:00"/>
    <s v="SOPLADO"/>
    <x v="12"/>
    <x v="119"/>
    <s v="LUIS RENGIFO"/>
    <s v="VIRGEN"/>
    <s v="PP SOPLADO"/>
    <s v="."/>
    <s v="TOMATODO ULTRA 900ML"/>
    <s v="TOMATODO ULTRA 900ML-TRANSPARENTE"/>
    <n v="991"/>
    <n v="9"/>
    <n v="59.5"/>
    <x v="0"/>
    <n v="0"/>
    <n v="8"/>
    <n v="1129"/>
    <n v="20195"/>
    <s v="TRANSPARENTE"/>
    <n v="25.4"/>
    <n v="0"/>
    <n v="0"/>
    <n v="59.46"/>
    <n v="59.5"/>
    <n v="60"/>
    <n v="991.66666666666663"/>
    <x v="5"/>
    <x v="0"/>
    <n v="25"/>
    <n v="1"/>
    <n v="82.583333333333329"/>
  </r>
  <r>
    <d v="2025-05-26T09:10:00"/>
    <s v="SOPLADO"/>
    <x v="12"/>
    <x v="128"/>
    <s v="SAID VILLAMIZAR"/>
    <s v="VIRGEN"/>
    <s v="PP SOPLADO"/>
    <s v="."/>
    <s v="TOMATODO ULTRA 900ML"/>
    <s v="TOMATODO ULTRA 900ML-TRANSPARENTE"/>
    <n v="851"/>
    <n v="9"/>
    <n v="51.1"/>
    <x v="0"/>
    <n v="0"/>
    <n v="7"/>
    <n v="1129"/>
    <n v="20196"/>
    <s v="TRANSPARENTE"/>
    <n v="24.1"/>
    <n v="0"/>
    <n v="0"/>
    <n v="51.06"/>
    <n v="51.1"/>
    <n v="60"/>
    <n v="851.66666666666663"/>
    <x v="5"/>
    <x v="0"/>
    <n v="26"/>
    <n v="1"/>
    <n v="70.916666666666671"/>
  </r>
  <r>
    <d v="2025-05-26T09:10:00"/>
    <s v="SOPLADO"/>
    <x v="12"/>
    <x v="129"/>
    <s v="LUIS RENGIFO"/>
    <s v="VIRGEN"/>
    <s v="PP SOPLADO"/>
    <s v="."/>
    <s v="TOMATODO ULTRA 900ML"/>
    <s v="TOMATODO ULTRA 900ML-TRANSPARENTE"/>
    <n v="927"/>
    <n v="8"/>
    <n v="54.7"/>
    <x v="0"/>
    <n v="0"/>
    <n v="8"/>
    <n v="1129"/>
    <n v="20197"/>
    <s v="TRANSPARENTE"/>
    <n v="18.600000000000001"/>
    <n v="0"/>
    <n v="0"/>
    <n v="55.62"/>
    <n v="54.7"/>
    <n v="60"/>
    <n v="911.66666666666663"/>
    <x v="5"/>
    <x v="0"/>
    <n v="27"/>
    <n v="1"/>
    <n v="77.25"/>
  </r>
  <r>
    <d v="2025-07-07T09:10:00"/>
    <s v="INYECTADO"/>
    <x v="8"/>
    <x v="111"/>
    <s v="LUIS PINEDO"/>
    <s v="VIRGEN"/>
    <s v="PP CLARIFICADO"/>
    <s v="."/>
    <s v="TAPA PORTAVAJILLA"/>
    <s v="TAPA PORTAVAJILLA-TRANSPARENTE"/>
    <n v="525"/>
    <n v="5"/>
    <n v="156"/>
    <x v="0"/>
    <m/>
    <n v="9"/>
    <n v="1120"/>
    <n v="21589"/>
    <s v="TRANSPARENTE"/>
    <n v="6.4"/>
    <n v="0"/>
    <n v="0"/>
    <n v="176.4"/>
    <n v="156"/>
    <n v="336"/>
    <n v="464.28571428571428"/>
    <x v="5"/>
    <x v="0"/>
    <n v="23"/>
    <n v="1"/>
    <n v="43.75"/>
  </r>
  <r>
    <d v="2025-07-07T09:10:00"/>
    <s v="INYECTADO"/>
    <x v="8"/>
    <x v="130"/>
    <s v="GABRIEL ORDAZ"/>
    <s v="VIRGEN"/>
    <s v="PP CLARIFICADO"/>
    <s v="."/>
    <s v="TAPA PORTAVAJILLA"/>
    <s v="TAPA PORTAVAJILLA-TRANSPARENTE"/>
    <n v="1044"/>
    <n v="11"/>
    <n v="312.3"/>
    <x v="0"/>
    <m/>
    <n v="20"/>
    <n v="1120"/>
    <n v="21590"/>
    <s v="TRANSPARENTE"/>
    <n v="6.6"/>
    <n v="0"/>
    <n v="0"/>
    <n v="350.78399999999999"/>
    <n v="312.3"/>
    <n v="336"/>
    <n v="929.46428571428567"/>
    <x v="5"/>
    <x v="0"/>
    <n v="23"/>
    <n v="1"/>
    <n v="87"/>
  </r>
  <r>
    <d v="2025-07-07T09:10:00"/>
    <s v="INYECTADO"/>
    <x v="8"/>
    <x v="130"/>
    <s v="JUAN MANUEL PEREZ"/>
    <s v="VIRGEN"/>
    <s v="PP CLARIFICADO"/>
    <s v="."/>
    <s v="TAPA PORTAVAJILLA"/>
    <s v="TAPA PORTAVAJILLA-TRANSPARENTE"/>
    <n v="1279"/>
    <n v="11"/>
    <n v="383.7"/>
    <x v="1"/>
    <m/>
    <n v="22"/>
    <n v="1120"/>
    <n v="21591"/>
    <s v="TRANSPARENTE"/>
    <n v="0"/>
    <n v="0"/>
    <n v="0"/>
    <n v="429.74400000000003"/>
    <n v="383.7"/>
    <n v="336"/>
    <n v="1141.9642857142858"/>
    <x v="5"/>
    <x v="0"/>
    <n v="23"/>
    <n v="1"/>
    <n v="106.58333333333333"/>
  </r>
  <r>
    <d v="2025-07-07T09:10:00"/>
    <s v="INYECTADO"/>
    <x v="8"/>
    <x v="131"/>
    <s v="GABRIEL REQUENA"/>
    <s v="VIRGEN"/>
    <s v="PP CLARIFICADO"/>
    <s v="."/>
    <s v="TAPA PORTAVAJILLA"/>
    <s v="TAPA PORTAVAJILLA-TRANSPARENTE"/>
    <n v="1114"/>
    <n v="10"/>
    <n v="332.2"/>
    <x v="0"/>
    <m/>
    <n v="19"/>
    <n v="1120"/>
    <n v="21592"/>
    <s v="TRANSPARENTE"/>
    <n v="8.4"/>
    <n v="0"/>
    <n v="0"/>
    <n v="374.30399999999997"/>
    <n v="332.2"/>
    <n v="336"/>
    <n v="988.69047619047615"/>
    <x v="5"/>
    <x v="0"/>
    <n v="23"/>
    <n v="1"/>
    <n v="92.833333333333329"/>
  </r>
  <r>
    <d v="2025-07-07T09:10:00"/>
    <s v="INYECTADO"/>
    <x v="8"/>
    <x v="131"/>
    <s v="JUAN MANUEL PEREZ"/>
    <s v="VIRGEN"/>
    <s v="PP CLARIFICADO"/>
    <s v="."/>
    <s v="TAPA PORTAVAJILLA"/>
    <s v="TAPA PORTAVAJILLA-TRANSPARENTE"/>
    <n v="1235"/>
    <n v="11"/>
    <n v="370.5"/>
    <x v="1"/>
    <m/>
    <n v="21"/>
    <n v="1120"/>
    <n v="21593"/>
    <s v="TRANSPARENTE"/>
    <n v="6"/>
    <n v="0"/>
    <n v="0"/>
    <n v="414.96"/>
    <n v="370.5"/>
    <n v="336"/>
    <n v="1102.6785714285713"/>
    <x v="5"/>
    <x v="0"/>
    <n v="23"/>
    <n v="1"/>
    <n v="102.91666666666667"/>
  </r>
  <r>
    <d v="2025-07-07T09:10:00"/>
    <s v="INYECTADO"/>
    <x v="8"/>
    <x v="121"/>
    <s v="LUIS RENGIFO"/>
    <s v="VIRGEN"/>
    <s v="PP CLARIFICADO"/>
    <s v="."/>
    <s v="BASE ORGANIZADOR #3"/>
    <s v="BASE ORGANIZADOR  DE 3KG-TRANSPARENTE"/>
    <n v="680"/>
    <n v="7"/>
    <n v="66"/>
    <x v="0"/>
    <m/>
    <n v="11"/>
    <n v="1126"/>
    <n v="21594"/>
    <s v="TRANSPARENTE"/>
    <n v="0"/>
    <n v="0"/>
    <n v="0"/>
    <n v="34"/>
    <n v="66"/>
    <n v="50"/>
    <n v="1320"/>
    <x v="5"/>
    <x v="0"/>
    <n v="23"/>
    <n v="2"/>
    <n v="113.33333333333333"/>
  </r>
  <r>
    <d v="2025-07-07T09:10:00"/>
    <s v="INYECTADO"/>
    <x v="8"/>
    <x v="121"/>
    <s v="JOSDER GONZALEZ"/>
    <s v="VIRGEN"/>
    <s v="PP CLARIFICADO"/>
    <s v="."/>
    <s v="BASE ORGANIZADOR #3"/>
    <s v="BASE ORGANIZADOR  DE 3KG-TRANSPARENTE"/>
    <n v="60"/>
    <n v="3"/>
    <n v="8.1999999999999993"/>
    <x v="1"/>
    <m/>
    <n v="2"/>
    <n v="1126"/>
    <n v="21595"/>
    <s v="TRANSPARENTE"/>
    <n v="8.1999999999999993"/>
    <n v="0"/>
    <n v="0"/>
    <n v="3"/>
    <n v="8.1999999999999993"/>
    <n v="50"/>
    <n v="164"/>
    <x v="5"/>
    <x v="0"/>
    <n v="23"/>
    <n v="2"/>
    <n v="10"/>
  </r>
  <r>
    <d v="2025-07-07T09:10:00"/>
    <s v="INYECTADO"/>
    <x v="8"/>
    <x v="122"/>
    <s v="LUIS PINEDO"/>
    <s v="VIRGEN"/>
    <s v="PP CLARIFICADO"/>
    <s v="."/>
    <s v="BASE ORGANIZADOR #3"/>
    <s v="BASE ORGANIZADOR  DE 3KG-TRANSPARENTE"/>
    <n v="1423"/>
    <n v="11"/>
    <n v="136.69999999999999"/>
    <x v="0"/>
    <m/>
    <n v="23"/>
    <n v="1126"/>
    <n v="21597"/>
    <s v="TRANSPARENTE"/>
    <n v="0"/>
    <n v="0"/>
    <n v="0"/>
    <n v="71.150000000000006"/>
    <n v="136.69999999999999"/>
    <n v="50"/>
    <n v="2734"/>
    <x v="5"/>
    <x v="0"/>
    <n v="23"/>
    <n v="2"/>
    <n v="237.16666666666666"/>
  </r>
  <r>
    <d v="2025-07-07T09:10:00"/>
    <s v="INYECTADO"/>
    <x v="8"/>
    <x v="122"/>
    <s v="JUAN MANUEL PEREZ"/>
    <s v="VIRGEN"/>
    <s v="PP CLARIFICADO"/>
    <s v="."/>
    <s v="BASE ORGANIZADOR #3"/>
    <s v="BASE ORGANIZADOR  DE 3KG-TRANSPARENTE"/>
    <n v="1080"/>
    <n v="11"/>
    <n v="108"/>
    <x v="1"/>
    <m/>
    <n v="18"/>
    <n v="1126"/>
    <n v="21598"/>
    <s v="TRANSPARENTE"/>
    <n v="18.399999999999999"/>
    <n v="0"/>
    <n v="0"/>
    <n v="54"/>
    <n v="108"/>
    <n v="50"/>
    <n v="2160"/>
    <x v="5"/>
    <x v="0"/>
    <n v="23"/>
    <n v="2"/>
    <n v="180"/>
  </r>
  <r>
    <d v="2025-07-07T09:10:00"/>
    <s v="INYECTADO"/>
    <x v="8"/>
    <x v="112"/>
    <s v="ISABEL LINARIZ "/>
    <s v="VIRGEN"/>
    <s v="PP CLARIFICADO"/>
    <s v="."/>
    <s v="BASE ORGANIZADOR #3"/>
    <s v="BASE ORGANIZADOR  DE 3KG-TRANSPARENTE"/>
    <n v="967"/>
    <n v="8"/>
    <n v="92.9"/>
    <x v="0"/>
    <m/>
    <n v="16"/>
    <n v="1126"/>
    <n v="21599"/>
    <s v="TRANSPARENTE"/>
    <n v="7.3"/>
    <n v="0"/>
    <n v="0"/>
    <n v="48.35"/>
    <n v="92.9"/>
    <n v="50"/>
    <n v="1858"/>
    <x v="5"/>
    <x v="0"/>
    <n v="23"/>
    <n v="2"/>
    <n v="161.16666666666666"/>
  </r>
  <r>
    <d v="2025-07-07T09:10:00"/>
    <s v="INYECTADO"/>
    <x v="8"/>
    <x v="112"/>
    <s v="JOSDER GONZALEZ"/>
    <s v="VIRGEN"/>
    <s v="PP CLARIFICADO"/>
    <s v="."/>
    <s v="BASE ORGANIZADOR #3"/>
    <s v="BASE ORGANIZADOR  DE 3KG-TRANSPARENTE"/>
    <n v="878"/>
    <n v="7"/>
    <n v="87.8"/>
    <x v="1"/>
    <m/>
    <n v="15"/>
    <n v="1126"/>
    <n v="22101"/>
    <s v="TRANSPARENTE"/>
    <n v="1.4"/>
    <n v="0"/>
    <n v="0"/>
    <n v="43.9"/>
    <n v="87.8"/>
    <n v="50"/>
    <n v="1756"/>
    <x v="5"/>
    <x v="0"/>
    <n v="23"/>
    <n v="2"/>
    <n v="146.33333333333334"/>
  </r>
  <r>
    <d v="2025-07-07T09:10:00"/>
    <s v="INYECTADO"/>
    <x v="8"/>
    <x v="113"/>
    <s v="SAID VILLAMIZAR"/>
    <s v="VIRGEN"/>
    <s v="PP CLARIFICADO"/>
    <s v="."/>
    <s v="BASE ORGANIZADOR #3"/>
    <s v="BASE ORGANIZADOR  DE 3KG-TRANSPARENTE"/>
    <n v="1023"/>
    <n v="10"/>
    <n v="97.2"/>
    <x v="0"/>
    <m/>
    <n v="17"/>
    <n v="1126"/>
    <n v="21102"/>
    <s v="TRANSPARENTE"/>
    <n v="3.3"/>
    <n v="0"/>
    <n v="0"/>
    <n v="51.15"/>
    <n v="97.2"/>
    <n v="50"/>
    <n v="1944"/>
    <x v="5"/>
    <x v="0"/>
    <n v="24"/>
    <n v="2"/>
    <n v="170.5"/>
  </r>
  <r>
    <d v="2025-07-07T09:10:00"/>
    <s v="INYECTADO"/>
    <x v="8"/>
    <x v="132"/>
    <s v="LUIS FERNANDO"/>
    <s v="VIRGEN"/>
    <s v="PP CLARIFICADO"/>
    <s v="."/>
    <s v="BASE ORGANIZADOR #3"/>
    <s v="BASE ORGANIZADOR  DE 3KG CARAMELO-VERDE"/>
    <n v="333"/>
    <n v="4"/>
    <n v="31.7"/>
    <x v="0"/>
    <m/>
    <n v="5"/>
    <n v="1126"/>
    <n v="22103"/>
    <s v="VERDE"/>
    <n v="0"/>
    <n v="0"/>
    <n v="0"/>
    <n v="32.634"/>
    <n v="31.7"/>
    <n v="98"/>
    <n v="323.46938775510205"/>
    <x v="5"/>
    <x v="0"/>
    <n v="24"/>
    <n v="2"/>
    <n v="55.5"/>
  </r>
  <r>
    <d v="2025-07-07T09:10:00"/>
    <s v="INYECTADO"/>
    <x v="8"/>
    <x v="132"/>
    <s v="LUIS FERNANDO"/>
    <s v="VIRGEN"/>
    <s v="PP CLARIFICADO"/>
    <s v="."/>
    <s v="BASE ORGANIZADOR #3"/>
    <s v="BASE ORGANIZADOR  DE 3KG CARAMELO-AMARILLO"/>
    <n v="397"/>
    <n v="5"/>
    <n v="37.799999999999997"/>
    <x v="0"/>
    <m/>
    <n v="6"/>
    <n v="1126"/>
    <n v="22103"/>
    <s v="AMARILLO"/>
    <n v="0"/>
    <n v="0"/>
    <n v="0"/>
    <n v="38.905999999999999"/>
    <n v="37.799999999999997"/>
    <n v="98"/>
    <n v="385.71428571428572"/>
    <x v="5"/>
    <x v="0"/>
    <n v="24"/>
    <n v="2"/>
    <n v="66.166666666666671"/>
  </r>
  <r>
    <d v="2025-07-07T09:10:00"/>
    <s v="INYECTADO"/>
    <x v="8"/>
    <x v="132"/>
    <s v="JOSDER GONZALEZ"/>
    <s v="VIRGEN"/>
    <s v="PP CLARIFICADO"/>
    <s v="."/>
    <s v="BASE ORGANIZADOR #3"/>
    <s v="BASE ORGANIZADOR  DE 3KG CARAMELO-VERDE"/>
    <n v="10"/>
    <n v="1"/>
    <n v="2.2999999999999998"/>
    <x v="1"/>
    <m/>
    <n v="1"/>
    <n v="1126"/>
    <n v="22104"/>
    <s v="VERDE"/>
    <n v="3.8"/>
    <n v="0"/>
    <n v="0"/>
    <n v="0.98"/>
    <n v="2.2999999999999998"/>
    <n v="98"/>
    <n v="23.469387755102041"/>
    <x v="5"/>
    <x v="0"/>
    <n v="24"/>
    <n v="2"/>
    <n v="1.6666666666666667"/>
  </r>
  <r>
    <d v="2025-07-07T09:10:00"/>
    <s v="INYECTADO"/>
    <x v="8"/>
    <x v="132"/>
    <s v="JOSDER GONZALEZ"/>
    <s v="VIRGEN"/>
    <s v="PP CLARIFICADO"/>
    <s v="."/>
    <s v="BASE ORGANIZADOR #3"/>
    <s v="BASE ORGANIZADOR  DE 3KG CARAMELO-LILA"/>
    <n v="202"/>
    <n v="3"/>
    <n v="42.5"/>
    <x v="1"/>
    <m/>
    <n v="8"/>
    <n v="1126"/>
    <n v="22104"/>
    <s v="FUCSIA"/>
    <n v="1.4"/>
    <n v="0"/>
    <n v="0"/>
    <n v="19.795999999999999"/>
    <n v="42.5"/>
    <n v="98"/>
    <n v="433.67346938775512"/>
    <x v="5"/>
    <x v="0"/>
    <n v="24"/>
    <n v="2"/>
    <n v="33.666666666666664"/>
  </r>
  <r>
    <d v="2025-07-07T09:10:00"/>
    <s v="INYECTADO"/>
    <x v="8"/>
    <x v="132"/>
    <s v="JOSDER GONZALEZ"/>
    <s v="VIRGEN"/>
    <s v="PP CLARIFICADO"/>
    <s v="."/>
    <s v="BASE ORGANIZADOR #3"/>
    <s v="BASE ORGANIZADOR  DE 3KG CARAMELO-LILA"/>
    <n v="90"/>
    <n v="2"/>
    <n v="18.899999999999999"/>
    <x v="1"/>
    <m/>
    <n v="3"/>
    <n v="1126"/>
    <n v="22104"/>
    <s v="LILA"/>
    <n v="0.8"/>
    <n v="0"/>
    <n v="0"/>
    <n v="8.82"/>
    <n v="18.899999999999999"/>
    <n v="98"/>
    <n v="192.85714285714286"/>
    <x v="5"/>
    <x v="0"/>
    <n v="24"/>
    <n v="2"/>
    <n v="15"/>
  </r>
  <r>
    <d v="2025-07-07T09:10:00"/>
    <s v="INYECTADO"/>
    <x v="8"/>
    <x v="133"/>
    <m/>
    <s v="VIRGEN"/>
    <s v="PP CLARIFICADO"/>
    <s v="."/>
    <s v="BASE ORGANIZADOR #3"/>
    <s v="BASE ORGANIZADOR  DE 3KG CARAMELO-LILA"/>
    <n v="184"/>
    <n v="1"/>
    <n v="17.5"/>
    <x v="0"/>
    <m/>
    <n v="4"/>
    <n v="1126"/>
    <n v="22105"/>
    <s v="LILA"/>
    <n v="0"/>
    <n v="0"/>
    <n v="0"/>
    <n v="18.032"/>
    <n v="17.5"/>
    <n v="98"/>
    <n v="178.57142857142858"/>
    <x v="5"/>
    <x v="0"/>
    <n v="24"/>
    <n v="2"/>
    <n v="30.666666666666668"/>
  </r>
  <r>
    <d v="2025-07-07T09:10:00"/>
    <s v="INYECTADO"/>
    <x v="8"/>
    <x v="133"/>
    <m/>
    <s v="VIRGEN"/>
    <s v="PP CLARIFICADO"/>
    <s v="."/>
    <s v="BASE ORGANIZADOR  DE 3KG PASTEL"/>
    <s v="BASE ORGANIZADOR DE 3KG PASTEL-AZURE"/>
    <n v="203"/>
    <n v="3"/>
    <n v="19.2"/>
    <x v="0"/>
    <m/>
    <n v="4"/>
    <n v="1126"/>
    <n v="22105"/>
    <s v="AZURE"/>
    <n v="0"/>
    <n v="0"/>
    <n v="0"/>
    <n v="19.893999999999998"/>
    <n v="19.2"/>
    <n v="98"/>
    <n v="195.91836734693877"/>
    <x v="5"/>
    <x v="0"/>
    <n v="24"/>
    <n v="2"/>
    <n v="33.833333333333336"/>
  </r>
  <r>
    <d v="2025-07-07T09:10:00"/>
    <s v="INYECTADO"/>
    <x v="8"/>
    <x v="133"/>
    <m/>
    <s v="VIRGEN"/>
    <s v="PP CLARIFICADO"/>
    <s v="."/>
    <s v="BASE ORGANIZADOR #3"/>
    <s v="BASE ORGANIZADOR  DE 3KG CARAMELO-ROJO"/>
    <n v="361"/>
    <n v="4"/>
    <n v="34.200000000000003"/>
    <x v="0"/>
    <m/>
    <n v="7"/>
    <n v="1126"/>
    <n v="22105"/>
    <s v="ROJO"/>
    <n v="0"/>
    <n v="0"/>
    <n v="0"/>
    <n v="35.378"/>
    <n v="34.200000000000003"/>
    <n v="98"/>
    <n v="348.9795918367347"/>
    <x v="5"/>
    <x v="0"/>
    <n v="24"/>
    <n v="2"/>
    <n v="60.166666666666664"/>
  </r>
  <r>
    <d v="2025-07-07T09:10:00"/>
    <s v="INYECTADO"/>
    <x v="8"/>
    <x v="133"/>
    <m/>
    <s v="VIRGEN"/>
    <s v="PP CLARIFICADO"/>
    <s v="."/>
    <s v="BASE ORGANIZADOR  DE 3KG PASTEL"/>
    <s v="BASE ORGANIZADOR DE 3KG PASTEL-TURQUESA"/>
    <n v="266"/>
    <n v="3"/>
    <n v="25.2"/>
    <x v="0"/>
    <m/>
    <n v="4"/>
    <n v="1126"/>
    <n v="22105"/>
    <s v="TURQUESA"/>
    <n v="0"/>
    <n v="0"/>
    <n v="0"/>
    <n v="26.068000000000001"/>
    <n v="25.2"/>
    <n v="98"/>
    <n v="257.14285714285717"/>
    <x v="5"/>
    <x v="0"/>
    <n v="24"/>
    <n v="2"/>
    <n v="44.333333333333336"/>
  </r>
  <r>
    <d v="2025-07-07T09:10:00"/>
    <s v="INYECTADO"/>
    <x v="8"/>
    <x v="134"/>
    <s v="LUIS FERNANDO"/>
    <s v="VIRGEN"/>
    <s v="PP CLARIFICADO"/>
    <s v="."/>
    <s v="BASE ORGANIZADOR  DE 3KG PASTEL"/>
    <s v="BASE ORGANIZADOR DE 3KG PASTEL-AZURE"/>
    <n v="196"/>
    <n v="2"/>
    <n v="18.899999999999999"/>
    <x v="0"/>
    <m/>
    <n v="3"/>
    <n v="1126"/>
    <n v="22106"/>
    <s v="AZURE"/>
    <n v="9"/>
    <n v="0"/>
    <n v="0"/>
    <n v="19.207999999999998"/>
    <n v="18.899999999999999"/>
    <n v="98"/>
    <n v="192.85714285714286"/>
    <x v="5"/>
    <x v="0"/>
    <n v="24"/>
    <n v="2"/>
    <n v="32.666666666666664"/>
  </r>
  <r>
    <d v="2025-07-07T09:10:00"/>
    <s v="INYECTADO"/>
    <x v="8"/>
    <x v="134"/>
    <s v="LUIS FERNANDO"/>
    <s v="VIRGEN"/>
    <s v="PP CLARIFICADO"/>
    <s v="."/>
    <s v="BASE ORGANIZADOR  DE 3KG PASTEL"/>
    <s v="BASE ORGANIZADOR DE 3KG PASTEL-SANDIA"/>
    <n v="283"/>
    <n v="3"/>
    <n v="27.2"/>
    <x v="0"/>
    <m/>
    <n v="4"/>
    <n v="1126"/>
    <n v="22106"/>
    <s v="SANDIA"/>
    <n v="2.2999999999999998"/>
    <n v="0"/>
    <n v="0"/>
    <n v="27.734000000000002"/>
    <n v="27.2"/>
    <n v="98"/>
    <n v="277.55102040816325"/>
    <x v="5"/>
    <x v="0"/>
    <n v="24"/>
    <n v="2"/>
    <n v="47.166666666666664"/>
  </r>
  <r>
    <d v="2025-07-07T09:10:00"/>
    <s v="INYECTADO"/>
    <x v="8"/>
    <x v="134"/>
    <s v="LUIS FERNANDO"/>
    <s v="VIRGEN"/>
    <s v="PP CLARIFICADO"/>
    <s v="."/>
    <s v="BASE ORGANIZADOR  DE 3KG PASTEL"/>
    <s v="BASE ORGANIZADOR DE 3KG PASTEL-ROSADO"/>
    <n v="129"/>
    <n v="2"/>
    <n v="12.4"/>
    <x v="0"/>
    <m/>
    <n v="2"/>
    <n v="1126"/>
    <n v="22106"/>
    <s v="ROSADO"/>
    <n v="4.8"/>
    <n v="0"/>
    <n v="0"/>
    <n v="12.641999999999999"/>
    <n v="12.4"/>
    <n v="98"/>
    <n v="126.53061224489795"/>
    <x v="5"/>
    <x v="0"/>
    <n v="24"/>
    <n v="2"/>
    <n v="21.5"/>
  </r>
  <r>
    <d v="2025-07-07T09:10:00"/>
    <s v="INYECTADO"/>
    <x v="8"/>
    <x v="134"/>
    <s v="LUIS FERNANDO"/>
    <s v="VIRGEN"/>
    <s v="PP CLARIFICADO"/>
    <s v="."/>
    <s v="BASE ORGANIZADOR  DE 3KG PASTEL"/>
    <s v="BASE ORGANIZADOR DE 3KG PASTEL-TURQUESA"/>
    <n v="125"/>
    <n v="2"/>
    <n v="12"/>
    <x v="0"/>
    <m/>
    <n v="2"/>
    <n v="1126"/>
    <n v="22106"/>
    <s v="TURQUESA"/>
    <n v="4.9000000000000004"/>
    <n v="0"/>
    <n v="0"/>
    <n v="12.25"/>
    <n v="12"/>
    <n v="98"/>
    <n v="122.44897959183673"/>
    <x v="5"/>
    <x v="0"/>
    <n v="24"/>
    <n v="2"/>
    <n v="20.833333333333332"/>
  </r>
  <r>
    <d v="2025-07-07T09:10:00"/>
    <s v="INYECTADO"/>
    <x v="8"/>
    <x v="134"/>
    <s v="LUIS FERNANDO"/>
    <s v="VIRGEN"/>
    <s v="PP CLARIFICADO"/>
    <s v="."/>
    <s v="BASE ORGANIZADOR  DE 3KG PASTEL"/>
    <s v="BASE ORGANIZADOR DE 3KG PASTEL-CELESTE"/>
    <n v="163"/>
    <n v="2"/>
    <n v="15.7"/>
    <x v="0"/>
    <m/>
    <n v="3"/>
    <n v="1126"/>
    <n v="22106"/>
    <s v="CELESTE"/>
    <n v="5"/>
    <n v="0"/>
    <n v="0"/>
    <n v="15.974"/>
    <n v="15.7"/>
    <n v="98"/>
    <n v="160.20408163265307"/>
    <x v="5"/>
    <x v="0"/>
    <n v="24"/>
    <n v="2"/>
    <n v="27.166666666666668"/>
  </r>
  <r>
    <d v="2025-07-07T09:10:00"/>
    <s v="INYECTADO"/>
    <x v="8"/>
    <x v="134"/>
    <s v="GABRIEL REQUENA"/>
    <s v="VIRGEN"/>
    <s v="PP CLARIFICADO"/>
    <s v="."/>
    <s v="BASE ORGANIZADOR  DE 3KG PASTEL"/>
    <s v="BASE ORGANIZADOR DE 3KG PASTEL-CELESTE"/>
    <n v="95"/>
    <n v="1"/>
    <n v="9.1999999999999993"/>
    <x v="1"/>
    <m/>
    <n v="2"/>
    <n v="1126"/>
    <n v="22107"/>
    <s v="CELESTE"/>
    <n v="7.4"/>
    <n v="0"/>
    <n v="0"/>
    <n v="9.31"/>
    <n v="9.1999999999999993"/>
    <n v="98"/>
    <n v="93.877551020408163"/>
    <x v="5"/>
    <x v="0"/>
    <n v="24"/>
    <n v="2"/>
    <n v="15.833333333333334"/>
  </r>
  <r>
    <d v="2025-07-07T09:10:00"/>
    <s v="INYECTADO"/>
    <x v="8"/>
    <x v="134"/>
    <s v="GABRIEL REQUENA"/>
    <s v="VIRGEN"/>
    <s v="PP CLARIFICADO"/>
    <s v="."/>
    <s v="BASE ORGANIZADOR #3"/>
    <s v="BASE ORGANIZADOR  DE 3KG CARAMELO-AZUL"/>
    <n v="161"/>
    <n v="2"/>
    <n v="15.5"/>
    <x v="1"/>
    <m/>
    <n v="3"/>
    <n v="1126"/>
    <n v="22107"/>
    <s v="AZUL"/>
    <n v="2.5"/>
    <n v="0"/>
    <n v="0"/>
    <n v="15.778"/>
    <n v="15.5"/>
    <n v="98"/>
    <n v="158.16326530612244"/>
    <x v="5"/>
    <x v="0"/>
    <n v="24"/>
    <n v="2"/>
    <n v="26.833333333333332"/>
  </r>
  <r>
    <d v="2025-07-07T09:10:00"/>
    <s v="INYECTADO"/>
    <x v="8"/>
    <x v="126"/>
    <s v="GABRIEL ORDAZ"/>
    <s v="VIRGEN"/>
    <s v="PP CLARIFICADO"/>
    <s v="."/>
    <s v="BASE ORGANIZADOR  DE 3KG PASTEL"/>
    <s v="BASE ORGANIZADOR DE 3KG PASTEL-LILA"/>
    <n v="219"/>
    <n v="2"/>
    <n v="21"/>
    <x v="1"/>
    <m/>
    <n v="2"/>
    <n v="1126"/>
    <n v="22108"/>
    <s v="LILA"/>
    <n v="0"/>
    <n v="0"/>
    <n v="0"/>
    <n v="21.462"/>
    <n v="21"/>
    <n v="98"/>
    <n v="214.28571428571428"/>
    <x v="5"/>
    <x v="0"/>
    <n v="24"/>
    <n v="2"/>
    <n v="36.5"/>
  </r>
  <r>
    <d v="2025-07-07T09:10:00"/>
    <s v="INYECTADO"/>
    <x v="8"/>
    <x v="126"/>
    <s v="GABRIEL ORDAZ"/>
    <s v="VIRGEN"/>
    <s v="PP CLARIFICADO"/>
    <s v="."/>
    <s v="BASE ORGANIZADOR #3"/>
    <s v="BASE ORGANIZADOR  DE 3KG CARAMELO-AZUL"/>
    <n v="113"/>
    <n v="1"/>
    <n v="10.8"/>
    <x v="1"/>
    <m/>
    <n v="4"/>
    <n v="1126"/>
    <n v="22108"/>
    <s v="AZUL"/>
    <n v="0"/>
    <n v="0"/>
    <n v="0"/>
    <n v="11.074"/>
    <n v="10.8"/>
    <n v="98"/>
    <n v="110.20408163265306"/>
    <x v="5"/>
    <x v="0"/>
    <n v="24"/>
    <n v="2"/>
    <n v="18.833333333333332"/>
  </r>
  <r>
    <d v="2025-07-07T09:10:00"/>
    <s v="INYECTADO"/>
    <x v="8"/>
    <x v="118"/>
    <s v="NELSON PINEDO"/>
    <s v="VIRGEN"/>
    <s v="PP CLARIFICADO"/>
    <s v="."/>
    <s v="JARRA REAL 1200 LT"/>
    <s v="JARRA REAL 1200 LT-TRANSPARENTE"/>
    <n v="88"/>
    <n v="1"/>
    <n v="11.9"/>
    <x v="0"/>
    <m/>
    <n v="1"/>
    <n v="1131"/>
    <n v="22109"/>
    <s v="TRANSPARENTE"/>
    <n v="35.299999999999997"/>
    <n v="0"/>
    <n v="0"/>
    <n v="5.984"/>
    <n v="11.9"/>
    <n v="68"/>
    <n v="175"/>
    <x v="5"/>
    <x v="0"/>
    <n v="25"/>
    <n v="2"/>
    <n v="14.666666666666666"/>
  </r>
  <r>
    <d v="2025-07-07T09:10:00"/>
    <s v="INYECTADO"/>
    <x v="8"/>
    <x v="136"/>
    <s v="NELSON PINEDO"/>
    <s v="VIRGEN"/>
    <s v="PP SOPLADO"/>
    <s v="."/>
    <s v="JARRA REAL 6 LT-TRANSPARENTE"/>
    <s v="JARRA REAL 6 LT-TRANSPARENTE"/>
    <n v="99"/>
    <n v="1"/>
    <n v="23.6"/>
    <x v="0"/>
    <m/>
    <n v="4"/>
    <n v="1151"/>
    <n v="22110"/>
    <s v="TRANSPARENTE"/>
    <n v="0"/>
    <n v="0"/>
    <n v="0"/>
    <n v="23.76"/>
    <n v="23.6"/>
    <n v="240"/>
    <n v="98.333333333333329"/>
    <x v="5"/>
    <x v="0"/>
    <n v="26"/>
    <n v="1"/>
    <n v="8.25"/>
  </r>
  <r>
    <d v="2025-07-07T09:10:00"/>
    <s v="INYECTADO"/>
    <x v="8"/>
    <x v="128"/>
    <s v="SAID VILLAMIZAR"/>
    <s v="VIRGEN"/>
    <s v="PP SOPLADO"/>
    <s v="."/>
    <s v="JARRA REAL 6 LT-TRANSPARENTE"/>
    <s v="JARRA REAL 6 LT-TRANSPARENTE"/>
    <n v="78"/>
    <n v="2"/>
    <n v="18.8"/>
    <x v="0"/>
    <m/>
    <n v="4"/>
    <n v="1151"/>
    <n v="22111"/>
    <s v="TRANSPARENTE"/>
    <n v="0"/>
    <n v="0"/>
    <n v="0"/>
    <n v="18.72"/>
    <n v="18.8"/>
    <n v="240"/>
    <n v="78.333333333333329"/>
    <x v="5"/>
    <x v="0"/>
    <n v="26"/>
    <n v="1"/>
    <n v="6.5"/>
  </r>
  <r>
    <d v="2025-05-26T09:10:00"/>
    <s v="INYECTADO"/>
    <x v="10"/>
    <x v="111"/>
    <m/>
    <s v="VIRGEN"/>
    <s v="PP CLARIFICADO"/>
    <s v="."/>
    <s v="BASE PORTA VAJILLA"/>
    <s v="BASE PORTA VAJILLA-TRANSPARENTE"/>
    <n v="258"/>
    <n v="5"/>
    <n v="99.8"/>
    <x v="0"/>
    <m/>
    <n v="9"/>
    <n v="1119"/>
    <n v="21825"/>
    <s v="TRANSPARENTE"/>
    <n v="3.6"/>
    <n v="0"/>
    <n v="0"/>
    <n v="97.007999999999996"/>
    <n v="99.8"/>
    <n v="376"/>
    <n v="265.42553191489361"/>
    <x v="5"/>
    <x v="0"/>
    <n v="23"/>
    <n v="1"/>
    <n v="21.5"/>
  </r>
  <r>
    <d v="2025-05-26T09:10:00"/>
    <s v="INYECTADO"/>
    <x v="10"/>
    <x v="130"/>
    <s v="LUIS PINEDO"/>
    <s v="VIRGEN"/>
    <s v="PP CLARIFICADO"/>
    <s v="."/>
    <s v="JARRA GRECIA 5LT"/>
    <s v="JARRA GRECIA 5LT-TRANSPARENTE"/>
    <n v="671"/>
    <n v="6"/>
    <n v="148.5"/>
    <x v="0"/>
    <m/>
    <n v="27"/>
    <n v="1125"/>
    <n v="21826"/>
    <s v="TRANSPARENTE"/>
    <n v="0"/>
    <n v="0"/>
    <n v="0"/>
    <n v="148.96199999999999"/>
    <n v="148.5"/>
    <n v="222"/>
    <n v="668.91891891891896"/>
    <x v="5"/>
    <x v="0"/>
    <n v="23"/>
    <n v="1"/>
    <n v="55.916666666666664"/>
  </r>
  <r>
    <d v="2025-05-26T09:10:00"/>
    <s v="INYECTADO"/>
    <x v="10"/>
    <x v="130"/>
    <s v="JOSDER GONZALEZ"/>
    <s v="VIRGEN"/>
    <s v="PP CLARIFICADO"/>
    <s v="."/>
    <s v="JARRA GRECIA 5LT"/>
    <s v="JARRA GRECIA 5LT-TRANSPARENTE"/>
    <n v="991"/>
    <n v="12"/>
    <n v="224"/>
    <x v="1"/>
    <m/>
    <n v="41"/>
    <n v="1125"/>
    <n v="21827"/>
    <s v="TRANSPARENTE"/>
    <n v="5.3"/>
    <n v="0"/>
    <n v="0"/>
    <n v="220.00200000000001"/>
    <n v="224"/>
    <n v="222"/>
    <n v="1009.009009009009"/>
    <x v="5"/>
    <x v="0"/>
    <n v="23"/>
    <n v="1"/>
    <n v="82.583333333333329"/>
  </r>
  <r>
    <d v="2025-05-26T09:10:00"/>
    <s v="INYECTADO"/>
    <x v="10"/>
    <x v="131"/>
    <s v="ROSA MERINO"/>
    <s v="VIRGEN"/>
    <s v="PP CLARIFICADO"/>
    <s v="."/>
    <s v="JARRA GRECIA 5LT"/>
    <s v="JARRA GRECIA 5LT-TRANSPARENTE"/>
    <n v="1144"/>
    <n v="12"/>
    <n v="254.1"/>
    <x v="0"/>
    <m/>
    <n v="47"/>
    <n v="1125"/>
    <n v="21828"/>
    <s v="TRANSPARENTE"/>
    <n v="6.6"/>
    <n v="0"/>
    <n v="0"/>
    <n v="253.96799999999999"/>
    <n v="254.1"/>
    <n v="222"/>
    <n v="1144.5945945945946"/>
    <x v="5"/>
    <x v="0"/>
    <n v="23"/>
    <n v="1"/>
    <n v="95.333333333333329"/>
  </r>
  <r>
    <d v="2025-05-26T09:10:00"/>
    <s v="INYECTADO"/>
    <x v="10"/>
    <x v="131"/>
    <s v="JOSDER GONZALEZ"/>
    <s v="VIRGEN"/>
    <s v="PP CLARIFICADO"/>
    <s v="."/>
    <s v="JARRA GRECIA 5LT"/>
    <s v="JARRA GRECIA 5LT-TRANSPARENTE"/>
    <n v="1052"/>
    <n v="12"/>
    <n v="238.6"/>
    <x v="1"/>
    <m/>
    <n v="45"/>
    <n v="1125"/>
    <n v="21829"/>
    <s v="TRANSPARENTE"/>
    <n v="3.3"/>
    <n v="0"/>
    <n v="0"/>
    <n v="233.54400000000001"/>
    <n v="238.6"/>
    <n v="222"/>
    <n v="1074.7747747747749"/>
    <x v="5"/>
    <x v="0"/>
    <n v="23"/>
    <n v="1"/>
    <n v="87.666666666666671"/>
  </r>
  <r>
    <d v="2025-05-26T09:10:00"/>
    <s v="INYECTADO"/>
    <x v="10"/>
    <x v="121"/>
    <s v="ISABEL LINARIZ "/>
    <s v="VIRGEN"/>
    <s v="PP CLARIFICADO"/>
    <s v="."/>
    <s v="JARRA GRECIA 5LT"/>
    <s v="JARRA GRECIA 5LT-TRANSPARENTE"/>
    <n v="1212"/>
    <n v="11"/>
    <n v="267.89999999999998"/>
    <x v="0"/>
    <m/>
    <n v="46"/>
    <n v="1125"/>
    <n v="21830"/>
    <s v="TRANSPARENTE"/>
    <n v="1.4"/>
    <n v="0"/>
    <n v="0"/>
    <n v="269.06400000000002"/>
    <n v="267.89999999999998"/>
    <n v="222"/>
    <n v="1206.7567567567567"/>
    <x v="5"/>
    <x v="0"/>
    <n v="23"/>
    <n v="1"/>
    <n v="101"/>
  </r>
  <r>
    <d v="2025-05-26T09:10:00"/>
    <s v="INYECTADO"/>
    <x v="10"/>
    <x v="121"/>
    <s v="JUAN MANUEL PEREZ"/>
    <s v="VIRGEN"/>
    <s v="PP CLARIFICADO"/>
    <s v="."/>
    <s v="JARRA GRECIA 5LT"/>
    <s v="JARRA GRECIA 5LT-TRANSPARENTE"/>
    <n v="951"/>
    <n v="11"/>
    <n v="218.1"/>
    <x v="1"/>
    <m/>
    <n v="41"/>
    <n v="1125"/>
    <n v="21831"/>
    <s v="TRANSPARENTE"/>
    <n v="7"/>
    <n v="0"/>
    <n v="0"/>
    <n v="211.12200000000001"/>
    <n v="218.1"/>
    <n v="222"/>
    <n v="982.43243243243239"/>
    <x v="5"/>
    <x v="0"/>
    <n v="23"/>
    <n v="1"/>
    <n v="79.25"/>
  </r>
  <r>
    <d v="2025-05-26T09:10:00"/>
    <s v="INYECTADO"/>
    <x v="10"/>
    <x v="122"/>
    <s v="ISABEL LINARIZ "/>
    <s v="VIRGEN"/>
    <s v="PP CLARIFICADO"/>
    <s v="."/>
    <s v="JARRA GRECIA 5LT"/>
    <s v="JARRA GRECIA 5LT-TRANSPARENTE"/>
    <n v="1150"/>
    <n v="12"/>
    <n v="253"/>
    <x v="0"/>
    <m/>
    <n v="47"/>
    <n v="1125"/>
    <n v="21832"/>
    <s v="TRANSPARENTE"/>
    <n v="3.9"/>
    <n v="0"/>
    <n v="0"/>
    <n v="255.3"/>
    <n v="253"/>
    <n v="222"/>
    <n v="1139.6396396396397"/>
    <x v="5"/>
    <x v="0"/>
    <n v="23"/>
    <n v="1"/>
    <n v="95.833333333333329"/>
  </r>
  <r>
    <d v="2025-05-26T09:10:00"/>
    <s v="INYECTADO"/>
    <x v="10"/>
    <x v="122"/>
    <s v="JOSDER GONZALEZ"/>
    <s v="VIRGEN"/>
    <s v="PP CLARIFICADO"/>
    <s v="."/>
    <s v="JARRA GRECIA 5LT"/>
    <s v="JARRA GRECIA 5LT-TRANSPARENTE"/>
    <n v="1080"/>
    <n v="12"/>
    <n v="247.5"/>
    <x v="1"/>
    <m/>
    <n v="45"/>
    <n v="1125"/>
    <n v="21833"/>
    <s v="TRANSPARENTE"/>
    <n v="8.1999999999999993"/>
    <n v="0"/>
    <n v="0"/>
    <n v="239.76"/>
    <n v="247.5"/>
    <n v="222"/>
    <n v="1114.8648648648648"/>
    <x v="5"/>
    <x v="0"/>
    <n v="23"/>
    <n v="1"/>
    <n v="90"/>
  </r>
  <r>
    <d v="2025-05-26T09:10:00"/>
    <s v="INYECTADO"/>
    <x v="10"/>
    <x v="112"/>
    <s v="GABRIEL REQUENA"/>
    <s v="VIRGEN"/>
    <s v="PP CLARIFICADO"/>
    <s v="."/>
    <s v="JARRA GRECIA 5LT"/>
    <s v="JARRA GRECIA 5LT-TRANSPARENTE"/>
    <n v="865"/>
    <n v="11"/>
    <n v="190.5"/>
    <x v="0"/>
    <m/>
    <n v="35"/>
    <n v="1125"/>
    <n v="21834"/>
    <s v="TRANSPARENTE"/>
    <n v="40.700000000000003"/>
    <n v="0"/>
    <n v="0"/>
    <n v="192.03"/>
    <n v="190.5"/>
    <n v="222"/>
    <n v="858.10810810810813"/>
    <x v="5"/>
    <x v="0"/>
    <n v="23"/>
    <n v="1"/>
    <n v="72.083333333333329"/>
  </r>
  <r>
    <d v="2025-05-26T09:10:00"/>
    <s v="INYECTADO"/>
    <x v="10"/>
    <x v="112"/>
    <s v="JUAN MANUEL PEREZ"/>
    <s v="VIRGEN"/>
    <s v="PP CLARIFICADO"/>
    <s v="."/>
    <s v="JARRA GRECIA 5LT"/>
    <s v="JARRA GRECIA 5LT-TRANSPARENTE"/>
    <n v="224"/>
    <n v="3"/>
    <n v="51.5"/>
    <x v="1"/>
    <m/>
    <n v="10"/>
    <n v="1125"/>
    <n v="21835"/>
    <s v="TRANSPARENTE"/>
    <n v="0"/>
    <n v="0"/>
    <n v="0"/>
    <n v="49.728000000000002"/>
    <n v="51.5"/>
    <n v="222"/>
    <n v="231.98198198198199"/>
    <x v="5"/>
    <x v="0"/>
    <n v="23"/>
    <n v="1"/>
    <n v="18.666666666666668"/>
  </r>
  <r>
    <d v="2025-05-26T09:10:00"/>
    <s v="INYECTADO"/>
    <x v="10"/>
    <x v="138"/>
    <s v="BRAYAN PINEDO"/>
    <s v="VIRGEN"/>
    <s v="PP CLARIFICADO"/>
    <s v="."/>
    <s v="JARRA GRECIA 5LT"/>
    <s v="JARRA GRECIA 5LT-TRANSPARENTE"/>
    <n v="575"/>
    <n v="6"/>
    <n v="131.80000000000001"/>
    <x v="1"/>
    <m/>
    <n v="24"/>
    <n v="1125"/>
    <n v="21836"/>
    <s v="TRANSPARENTE"/>
    <n v="5.9"/>
    <n v="0"/>
    <n v="0"/>
    <n v="127.65"/>
    <n v="131.80000000000001"/>
    <n v="222"/>
    <n v="593.69369369369372"/>
    <x v="5"/>
    <x v="0"/>
    <n v="23"/>
    <n v="1"/>
    <n v="47.916666666666664"/>
  </r>
  <r>
    <d v="2025-05-26T09:10:00"/>
    <s v="INYECTADO"/>
    <x v="10"/>
    <x v="132"/>
    <s v="GABRIEL REQUENA"/>
    <s v="VIRGEN"/>
    <s v="PP CLARIFICADO"/>
    <s v="."/>
    <s v="JARRA GRECIA 5LT"/>
    <s v="JARRA GRECIA 5LT-TRANSPARENTE"/>
    <n v="761"/>
    <n v="8"/>
    <n v="82.5"/>
    <x v="0"/>
    <m/>
    <n v="31"/>
    <n v="1125"/>
    <n v="21837"/>
    <s v="TRANSPARENTE"/>
    <n v="31.2"/>
    <n v="0"/>
    <n v="0"/>
    <n v="168.94200000000001"/>
    <n v="82.5"/>
    <n v="222"/>
    <n v="371.62162162162161"/>
    <x v="5"/>
    <x v="0"/>
    <n v="24"/>
    <n v="1"/>
    <n v="63.416666666666664"/>
  </r>
  <r>
    <d v="2025-05-26T09:10:00"/>
    <s v="INYECTADO"/>
    <x v="10"/>
    <x v="133"/>
    <s v="NELSON PINEDO"/>
    <s v="VIRGEN"/>
    <s v="PP CLARIFICADO"/>
    <s v="."/>
    <s v="JARRA GRECIA 5LT"/>
    <s v="JARRA GRECIA 5LT-TRANSPARENTE"/>
    <n v="1007"/>
    <n v="10"/>
    <n v="225.7"/>
    <x v="0"/>
    <m/>
    <n v="31"/>
    <n v="1125"/>
    <n v="21838"/>
    <s v="TRANSPARENTE"/>
    <n v="17.399999999999999"/>
    <n v="0"/>
    <n v="0"/>
    <n v="223.554"/>
    <n v="225.7"/>
    <n v="222"/>
    <n v="1016.6666666666666"/>
    <x v="5"/>
    <x v="0"/>
    <n v="24"/>
    <n v="1"/>
    <n v="83.916666666666671"/>
  </r>
  <r>
    <d v="2025-05-26T09:10:00"/>
    <s v="INYECTADO"/>
    <x v="10"/>
    <x v="133"/>
    <s v="JOSDER GONZALEZ"/>
    <s v="VIRGEN"/>
    <s v="PP CLARIFICADO"/>
    <s v="."/>
    <s v="JARRA GRECIA 5LT"/>
    <s v="JARRA GRECIA 5LT-TRANSPARENTE"/>
    <n v="551"/>
    <n v="7"/>
    <n v="128.6"/>
    <x v="1"/>
    <m/>
    <n v="23"/>
    <n v="1125"/>
    <n v="21839"/>
    <s v="TRANSPARENTE"/>
    <n v="5.6"/>
    <n v="0"/>
    <n v="0"/>
    <n v="122.322"/>
    <n v="128.6"/>
    <n v="222"/>
    <n v="579.27927927927931"/>
    <x v="5"/>
    <x v="0"/>
    <n v="24"/>
    <n v="1"/>
    <n v="45.916666666666664"/>
  </r>
  <r>
    <d v="2025-05-26T09:10:00"/>
    <s v="INYECTADO"/>
    <x v="10"/>
    <x v="134"/>
    <s v="LUIS PINEDO"/>
    <s v="VIRGEN"/>
    <s v="PP CLARIFICADO"/>
    <s v="."/>
    <s v="JARRA GRECIA 5LT"/>
    <s v="JARRA GRECIA 5LT-TRANSPARENTE"/>
    <n v="891"/>
    <n v="8"/>
    <n v="197.9"/>
    <x v="0"/>
    <m/>
    <n v="36"/>
    <n v="1125"/>
    <n v="21840"/>
    <s v="TRANSPARENTE"/>
    <n v="10.7"/>
    <n v="0"/>
    <n v="0"/>
    <n v="197.80199999999999"/>
    <n v="197.9"/>
    <n v="222"/>
    <n v="891.4414414414415"/>
    <x v="5"/>
    <x v="0"/>
    <n v="24"/>
    <n v="1"/>
    <n v="74.25"/>
  </r>
  <r>
    <d v="2025-05-26T09:10:00"/>
    <s v="INYECTADO"/>
    <x v="10"/>
    <x v="134"/>
    <s v="JOSDER GONZALEZ"/>
    <s v="VIRGEN"/>
    <s v="PP CLARIFICADO"/>
    <s v="."/>
    <s v="JARRA GRECIA 5LT"/>
    <s v="JARRA GRECIA 5LT-TRANSPARENTE"/>
    <n v="953"/>
    <n v="12"/>
    <n v="218.5"/>
    <x v="1"/>
    <m/>
    <n v="40"/>
    <n v="1125"/>
    <n v="21841"/>
    <s v="TRANSPARENTE"/>
    <n v="1.4"/>
    <n v="0"/>
    <n v="0"/>
    <n v="211.566"/>
    <n v="218.5"/>
    <n v="222"/>
    <n v="984.23423423423424"/>
    <x v="5"/>
    <x v="0"/>
    <n v="24"/>
    <n v="1"/>
    <n v="79.416666666666671"/>
  </r>
  <r>
    <d v="2025-05-26T09:10:00"/>
    <s v="INYECTADO"/>
    <x v="10"/>
    <x v="126"/>
    <m/>
    <s v="VIRGEN"/>
    <s v="PP CLARIFICADO"/>
    <s v="."/>
    <s v="JARRA GRECIA 5LT"/>
    <s v="JARRA GRECIA 5LT-TRANSPARENTE"/>
    <n v="1165"/>
    <n v="12"/>
    <n v="260"/>
    <x v="0"/>
    <m/>
    <n v="48"/>
    <n v="1125"/>
    <n v="21842"/>
    <s v="TRANSPARENTE"/>
    <n v="3.8"/>
    <n v="0"/>
    <n v="0"/>
    <n v="258.63"/>
    <n v="260"/>
    <n v="222"/>
    <n v="1171.1711711711712"/>
    <x v="5"/>
    <x v="0"/>
    <n v="24"/>
    <n v="1"/>
    <n v="97.083333333333329"/>
  </r>
  <r>
    <d v="2025-05-26T09:10:00"/>
    <s v="INYECTADO"/>
    <x v="10"/>
    <x v="126"/>
    <s v="JOSDER GONZALEZ"/>
    <s v="VIRGEN"/>
    <s v="PP CLARIFICADO"/>
    <s v="."/>
    <s v="JARRA GRECIA 5LT"/>
    <s v="JARRA GRECIA 5LT-TRANSPARENTE"/>
    <n v="184"/>
    <n v="3"/>
    <n v="43"/>
    <x v="1"/>
    <m/>
    <n v="8"/>
    <n v="1125"/>
    <n v="21843"/>
    <s v="TRANSPARENTE"/>
    <n v="19"/>
    <n v="0"/>
    <n v="0"/>
    <n v="40.847999999999999"/>
    <n v="43"/>
    <n v="222"/>
    <n v="193.69369369369369"/>
    <x v="5"/>
    <x v="0"/>
    <n v="24"/>
    <n v="1"/>
    <n v="15.333333333333334"/>
  </r>
  <r>
    <d v="2025-05-26T09:10:00"/>
    <s v="INYECTADO"/>
    <x v="10"/>
    <x v="114"/>
    <s v="JOSDER GONZALEZ"/>
    <s v="VIRGEN"/>
    <s v="PP CLARIFICADO"/>
    <s v="."/>
    <s v="JARRA GRECIA 5LT"/>
    <s v="JARRA GRECIA 5LT-TRANSPARENTE"/>
    <n v="820"/>
    <n v="9"/>
    <n v="185.4"/>
    <x v="1"/>
    <m/>
    <n v="33"/>
    <n v="1125"/>
    <n v="21844"/>
    <s v="TRANSPARENTE"/>
    <n v="33.5"/>
    <n v="0"/>
    <n v="0"/>
    <n v="182.04"/>
    <n v="185.4"/>
    <n v="222"/>
    <n v="835.1351351351351"/>
    <x v="5"/>
    <x v="0"/>
    <n v="25"/>
    <n v="1"/>
    <n v="68.333333333333329"/>
  </r>
  <r>
    <d v="2025-05-26T09:10:00"/>
    <s v="INYECTADO"/>
    <x v="10"/>
    <x v="115"/>
    <s v="LUIS PINEDO"/>
    <s v="VIRGEN"/>
    <s v="PP CLARIFICADO"/>
    <s v="."/>
    <s v="JARRA GRECIA 5LT"/>
    <s v="JARRA GRECIA 5LT-TRANSPARENTE"/>
    <n v="669"/>
    <n v="10"/>
    <n v="153.4"/>
    <x v="0"/>
    <m/>
    <n v="27"/>
    <n v="1125"/>
    <n v="21845"/>
    <s v="TRANSPARENTE"/>
    <n v="45.2"/>
    <n v="0"/>
    <n v="0"/>
    <n v="148.518"/>
    <n v="153.4"/>
    <n v="222"/>
    <n v="690.99099099099101"/>
    <x v="5"/>
    <x v="0"/>
    <n v="25"/>
    <n v="1"/>
    <n v="55.75"/>
  </r>
  <r>
    <d v="2025-05-26T09:10:00"/>
    <s v="INYECTADO"/>
    <x v="10"/>
    <x v="115"/>
    <s v="GABRIEL REQUENA"/>
    <s v="VIRGEN"/>
    <s v="PP CLARIFICADO"/>
    <s v="."/>
    <s v="JARRA GRECIA 5LT"/>
    <s v="JARRA GRECIA 5LT-TRANSPARENTE"/>
    <n v="840"/>
    <n v="10"/>
    <n v="196"/>
    <x v="1"/>
    <m/>
    <n v="35"/>
    <n v="1125"/>
    <n v="21846"/>
    <s v="TRANSPARENTE"/>
    <n v="32.4"/>
    <n v="0"/>
    <n v="0"/>
    <n v="186.48"/>
    <n v="196"/>
    <n v="222"/>
    <n v="882.88288288288288"/>
    <x v="5"/>
    <x v="0"/>
    <n v="25"/>
    <n v="1"/>
    <n v="70"/>
  </r>
  <r>
    <d v="2025-05-26T09:10:00"/>
    <s v="INYECTADO"/>
    <x v="10"/>
    <x v="116"/>
    <s v="LUIS PINEDO"/>
    <s v="VIRGEN"/>
    <s v="PP CLARIFICADO"/>
    <s v="."/>
    <s v="JARRA GRECIA 5LT"/>
    <s v="JARRA GRECIA 5LT-TRANSPARENTE"/>
    <n v="1132"/>
    <n v="12"/>
    <n v="257"/>
    <x v="0"/>
    <m/>
    <n v="46"/>
    <n v="1125"/>
    <n v="21847"/>
    <s v="TRANSPARENTE"/>
    <n v="8.3000000000000007"/>
    <n v="0"/>
    <n v="0"/>
    <n v="251.304"/>
    <n v="257"/>
    <n v="222"/>
    <n v="1157.6576576576576"/>
    <x v="5"/>
    <x v="0"/>
    <n v="25"/>
    <n v="1"/>
    <n v="94.333333333333329"/>
  </r>
  <r>
    <d v="2025-05-26T09:10:00"/>
    <s v="INYECTADO"/>
    <x v="10"/>
    <x v="116"/>
    <s v="GABRIEL REQUENA"/>
    <s v="VIRGEN"/>
    <s v="PP CLARIFICADO"/>
    <s v="."/>
    <s v="JARRA GRECIA 5LT"/>
    <s v="JARRA GRECIA 5LT-TRANSPARENTE"/>
    <n v="1157"/>
    <n v="12"/>
    <n v="270"/>
    <x v="1"/>
    <m/>
    <n v="48"/>
    <n v="1125"/>
    <n v="21848"/>
    <s v="TRANSPARENTE"/>
    <n v="13.3"/>
    <n v="0"/>
    <n v="0"/>
    <n v="256.85399999999998"/>
    <n v="270"/>
    <n v="222"/>
    <n v="1216.2162162162163"/>
    <x v="5"/>
    <x v="0"/>
    <n v="25"/>
    <n v="1"/>
    <n v="96.416666666666671"/>
  </r>
  <r>
    <d v="2025-05-26T09:10:00"/>
    <s v="INYECTADO"/>
    <x v="10"/>
    <x v="117"/>
    <s v="ISABEL LINARIZ "/>
    <s v="VIRGEN"/>
    <s v="PP CLARIFICADO"/>
    <s v="."/>
    <s v="JARRA GRECIA 5LT"/>
    <s v="JARRA GRECIA 5LT-TRANSPARENTE"/>
    <n v="1069"/>
    <n v="12"/>
    <n v="243.8"/>
    <x v="0"/>
    <m/>
    <n v="44"/>
    <n v="1125"/>
    <n v="21849"/>
    <s v="TRANSPARENTE"/>
    <n v="4"/>
    <n v="0"/>
    <n v="0"/>
    <n v="237.31800000000001"/>
    <n v="243.8"/>
    <n v="222"/>
    <n v="1098.1981981981983"/>
    <x v="5"/>
    <x v="0"/>
    <n v="25"/>
    <n v="1"/>
    <n v="89.083333333333329"/>
  </r>
  <r>
    <d v="2025-05-26T09:10:00"/>
    <s v="INYECTADO"/>
    <x v="10"/>
    <x v="117"/>
    <s v="GABRIEL REQUENA"/>
    <s v="VIRGEN"/>
    <s v="PP CLARIFICADO"/>
    <s v="."/>
    <s v="JARRA GRECIA 5LT"/>
    <s v="JARRA GRECIA 5LT-TRANSPARENTE"/>
    <n v="1215"/>
    <n v="12"/>
    <n v="276"/>
    <x v="1"/>
    <m/>
    <n v="49"/>
    <n v="1125"/>
    <n v="21850"/>
    <s v="TRANSPARENTE"/>
    <n v="0"/>
    <n v="0"/>
    <n v="0"/>
    <n v="269.73"/>
    <n v="276"/>
    <n v="222"/>
    <n v="1243.2432432432433"/>
    <x v="5"/>
    <x v="0"/>
    <n v="25"/>
    <n v="1"/>
    <n v="101.25"/>
  </r>
  <r>
    <d v="2025-05-26T09:10:00"/>
    <s v="INYECTADO"/>
    <x v="10"/>
    <x v="118"/>
    <s v="LUIS RENGIFO"/>
    <s v="VIRGEN"/>
    <s v="PP CLARIFICADO"/>
    <s v="."/>
    <s v="BASE ORGANIZADOR DE 15KG"/>
    <s v="BASE ORGANIZADOR DE 15KG-TRANSPARENTE"/>
    <n v="582"/>
    <n v="5"/>
    <n v="303.60000000000002"/>
    <x v="0"/>
    <m/>
    <n v="46"/>
    <n v="1125"/>
    <n v="21851"/>
    <s v="TRANSPARENTE"/>
    <n v="0"/>
    <n v="0"/>
    <n v="0"/>
    <n v="302.64"/>
    <n v="303.60000000000002"/>
    <n v="520"/>
    <n v="583.84615384615381"/>
    <x v="5"/>
    <x v="0"/>
    <n v="25"/>
    <n v="1"/>
    <n v="48.5"/>
  </r>
  <r>
    <d v="2025-05-26T09:10:00"/>
    <s v="INYECTADO"/>
    <x v="10"/>
    <x v="118"/>
    <s v="GABRIEL REQUENA"/>
    <s v="VIRGEN"/>
    <s v="PP CLARIFICADO"/>
    <s v="."/>
    <s v="BASE ORGANIZADOR DE 15KG"/>
    <s v="BASE ORGANIZADOR DE 15KG-TRANSPARENTE"/>
    <n v="853"/>
    <n v="11"/>
    <n v="468.6"/>
    <x v="1"/>
    <m/>
    <n v="71"/>
    <n v="1125"/>
    <n v="21852"/>
    <s v="TRANSPARENTE"/>
    <n v="22.9"/>
    <n v="0"/>
    <n v="0"/>
    <n v="443.56"/>
    <n v="468.6"/>
    <n v="520"/>
    <n v="901.15384615384619"/>
    <x v="5"/>
    <x v="0"/>
    <n v="25"/>
    <n v="1"/>
    <n v="71.083333333333329"/>
  </r>
  <r>
    <d v="2025-05-26T09:10:00"/>
    <s v="INYECTADO"/>
    <x v="10"/>
    <x v="119"/>
    <s v="LUIS PINEDO"/>
    <s v="VIRGEN"/>
    <s v="PP CLARIFICADO"/>
    <s v="."/>
    <s v="BASE ORGANIZADOR  DE 2KG "/>
    <s v="BASE ORGANIZADOR  DE 2KG-TRANSPARENTE"/>
    <n v="300"/>
    <n v="4"/>
    <n v="44.4"/>
    <x v="0"/>
    <m/>
    <n v="13"/>
    <n v="1134"/>
    <n v="21853"/>
    <s v="TRANSPARENTE"/>
    <n v="12.7"/>
    <n v="0"/>
    <n v="0"/>
    <n v="15"/>
    <n v="44.4"/>
    <n v="50"/>
    <n v="888"/>
    <x v="5"/>
    <x v="0"/>
    <n v="25"/>
    <n v="2"/>
    <n v="50"/>
  </r>
  <r>
    <d v="2025-05-26T09:10:00"/>
    <s v="INYECTADO"/>
    <x v="10"/>
    <x v="119"/>
    <s v="GABRIEL REQUENA"/>
    <s v="VIRGEN"/>
    <s v="PP CLARIFICADO"/>
    <s v="."/>
    <s v="BASE ORGANIZADOR  DE 2KG "/>
    <s v="BASE ORGANIZADOR  DE 2KG-TRANSPARENTE"/>
    <n v="1230"/>
    <n v="12"/>
    <n v="139.4"/>
    <x v="1"/>
    <m/>
    <n v="41"/>
    <n v="1134"/>
    <n v="21854"/>
    <s v="TRANSPARENTE"/>
    <n v="3.3"/>
    <n v="0"/>
    <n v="0"/>
    <n v="61.5"/>
    <n v="139.4"/>
    <n v="50"/>
    <n v="2788"/>
    <x v="5"/>
    <x v="0"/>
    <n v="25"/>
    <n v="2"/>
    <n v="205"/>
  </r>
  <r>
    <d v="2025-05-26T09:10:00"/>
    <s v="INYECTADO"/>
    <x v="10"/>
    <x v="139"/>
    <m/>
    <s v="VIRGEN"/>
    <s v="PP CLARIFICADO"/>
    <s v="."/>
    <s v="BASE ORGANIZADOR  DE 2KG "/>
    <s v="BASE ORGANIZADOR  DE 2KG-TRANSPARENTE"/>
    <n v="542"/>
    <n v="5"/>
    <n v="59.4"/>
    <x v="0"/>
    <m/>
    <n v="18"/>
    <n v="1134"/>
    <n v="21855"/>
    <s v="TRANSPARENTE"/>
    <n v="1.1000000000000001"/>
    <n v="0"/>
    <n v="0"/>
    <n v="27.1"/>
    <n v="59.4"/>
    <n v="50"/>
    <n v="1188"/>
    <x v="5"/>
    <x v="0"/>
    <n v="25"/>
    <n v="2"/>
    <n v="90.333333333333329"/>
  </r>
  <r>
    <d v="2025-05-26T09:10:00"/>
    <s v="INYECTADO"/>
    <x v="10"/>
    <x v="139"/>
    <m/>
    <s v="VIRGEN"/>
    <s v="PP CLARIFICADO"/>
    <s v="."/>
    <s v="BASE ORGANIZADOR  DE 2KG "/>
    <s v="BASE ORGANIZADOR  DE 2KG CARAMELO-AMARILLO"/>
    <n v="256"/>
    <n v="3"/>
    <n v="26.4"/>
    <x v="0"/>
    <m/>
    <n v="8"/>
    <n v="1134"/>
    <n v="21855"/>
    <s v="AMARILLO"/>
    <n v="4.3"/>
    <n v="0"/>
    <n v="0"/>
    <n v="12.8"/>
    <n v="26.4"/>
    <n v="50"/>
    <n v="528"/>
    <x v="5"/>
    <x v="0"/>
    <n v="25"/>
    <n v="2"/>
    <n v="42.666666666666664"/>
  </r>
  <r>
    <d v="2025-05-26T09:10:00"/>
    <s v="INYECTADO"/>
    <x v="10"/>
    <x v="136"/>
    <s v="JUANA CRUCES"/>
    <s v="VIRGEN"/>
    <s v="PP CLARIFICADO"/>
    <s v="."/>
    <s v="BASE ORGANIZADOR  DE 2KG "/>
    <s v="BASE ORGANIZADOR  DE 2KG CARAMELO-AMARILLO"/>
    <n v="122"/>
    <n v="1"/>
    <n v="13.2"/>
    <x v="0"/>
    <m/>
    <n v="4"/>
    <n v="1134"/>
    <n v="21856"/>
    <s v="AMARILLO"/>
    <n v="6.8"/>
    <n v="0"/>
    <n v="0"/>
    <n v="6.1"/>
    <n v="13.2"/>
    <n v="50"/>
    <n v="264"/>
    <x v="5"/>
    <x v="0"/>
    <n v="26"/>
    <n v="2"/>
    <n v="20.333333333333332"/>
  </r>
  <r>
    <d v="2025-05-26T09:10:00"/>
    <s v="INYECTADO"/>
    <x v="10"/>
    <x v="136"/>
    <s v="JUANA CRUCES"/>
    <s v="VIRGEN"/>
    <s v="PP CLARIFICADO"/>
    <s v="."/>
    <s v="BASE ORGANIZADOR  DE 2KG "/>
    <s v="BASE ORGANIZADOR  DE 2KG CARAMELO-VERDE"/>
    <n v="453"/>
    <n v="4"/>
    <n v="49"/>
    <x v="0"/>
    <m/>
    <n v="15"/>
    <n v="1134"/>
    <n v="21856"/>
    <s v="VERDE"/>
    <n v="4.8"/>
    <n v="0"/>
    <n v="0"/>
    <n v="22.65"/>
    <n v="49"/>
    <n v="50"/>
    <n v="980"/>
    <x v="5"/>
    <x v="0"/>
    <n v="26"/>
    <n v="2"/>
    <n v="75.5"/>
  </r>
  <r>
    <d v="2025-05-26T09:10:00"/>
    <s v="INYECTADO"/>
    <x v="10"/>
    <x v="136"/>
    <s v="GABRIEL REQUENA"/>
    <s v="VIRGEN"/>
    <s v="PP CLARIFICADO"/>
    <s v="."/>
    <s v="BASE ORGANIZADOR  DE 2KG "/>
    <s v="BASE ORGANIZADOR  DE 2KG CARAMELO-AZUL"/>
    <n v="471"/>
    <n v="5"/>
    <n v="50.4"/>
    <x v="1"/>
    <m/>
    <n v="14"/>
    <n v="1134"/>
    <n v="21857"/>
    <s v="AZUL"/>
    <n v="9.1"/>
    <n v="0"/>
    <n v="0"/>
    <n v="23.55"/>
    <n v="50.4"/>
    <n v="50"/>
    <n v="1008"/>
    <x v="5"/>
    <x v="0"/>
    <n v="26"/>
    <n v="2"/>
    <n v="78.5"/>
  </r>
  <r>
    <d v="2025-05-26T09:10:00"/>
    <s v="INYECTADO"/>
    <x v="10"/>
    <x v="136"/>
    <s v="GABRIEL REQUENA"/>
    <s v="VIRGEN"/>
    <s v="PP CLARIFICADO"/>
    <s v="."/>
    <s v="BASE ORGANIZADOR  DE 2KG "/>
    <s v="BASE ORGANIZADOR  DE 2KG CARAMELO-FUCSIA"/>
    <n v="476"/>
    <n v="4"/>
    <n v="51"/>
    <x v="1"/>
    <m/>
    <n v="15"/>
    <n v="1134"/>
    <n v="21857"/>
    <s v="FUCSIA"/>
    <n v="5.4"/>
    <n v="0"/>
    <n v="0"/>
    <n v="23.8"/>
    <n v="51"/>
    <n v="50"/>
    <n v="1020"/>
    <x v="5"/>
    <x v="0"/>
    <n v="26"/>
    <n v="2"/>
    <n v="79.333333333333329"/>
  </r>
  <r>
    <d v="2025-05-26T09:10:00"/>
    <s v="INYECTADO"/>
    <x v="10"/>
    <x v="136"/>
    <s v="GABRIEL REQUENA"/>
    <s v="VIRGEN"/>
    <s v="PP CLARIFICADO"/>
    <s v="."/>
    <s v="BASE ORGANIZADOR  DE 2KG "/>
    <s v="BASE ORGANIZADOR  DE 2KG CARAMELO-LILA"/>
    <n v="222"/>
    <n v="2"/>
    <n v="23.8"/>
    <x v="1"/>
    <m/>
    <n v="7"/>
    <n v="1134"/>
    <n v="21857"/>
    <s v="LILA"/>
    <n v="9.1"/>
    <n v="0"/>
    <n v="0"/>
    <n v="11.1"/>
    <n v="23.8"/>
    <n v="50"/>
    <n v="476"/>
    <x v="5"/>
    <x v="0"/>
    <n v="26"/>
    <n v="2"/>
    <n v="37"/>
  </r>
  <r>
    <d v="2025-05-26T09:10:00"/>
    <s v="INYECTADO"/>
    <x v="10"/>
    <x v="128"/>
    <s v="GABRIEL ORDAZ"/>
    <s v="VIRGEN"/>
    <s v="PP CLARIFICADO"/>
    <s v="."/>
    <s v="BASE ORGANIZADOR  DE 2KG "/>
    <s v="BASE ORGANIZADOR  DE 2KG CARAMELO-LILA"/>
    <n v="222"/>
    <n v="2"/>
    <n v="23.8"/>
    <x v="0"/>
    <m/>
    <n v="7"/>
    <n v="1134"/>
    <n v="21858"/>
    <s v="LILA"/>
    <n v="0"/>
    <n v="0"/>
    <n v="0"/>
    <n v="11.1"/>
    <n v="23.8"/>
    <n v="50"/>
    <n v="476"/>
    <x v="5"/>
    <x v="0"/>
    <n v="26"/>
    <n v="2"/>
    <n v="37"/>
  </r>
  <r>
    <d v="2025-05-26T09:10:00"/>
    <s v="INYECTADO"/>
    <x v="10"/>
    <x v="128"/>
    <s v="GABRIEL ORDAZ"/>
    <s v="VIRGEN"/>
    <s v="PP CLARIFICADO"/>
    <s v="."/>
    <s v="BASE ORGANIZADOR  DE 2KG "/>
    <s v="BASE ORGANIZADOR  DE 2KG CARAMELO-ROJO"/>
    <n v="314"/>
    <n v="5"/>
    <n v="34"/>
    <x v="0"/>
    <m/>
    <n v="10"/>
    <n v="1134"/>
    <n v="21858"/>
    <s v="ROJO"/>
    <n v="0"/>
    <n v="0"/>
    <n v="0"/>
    <n v="15.7"/>
    <n v="34"/>
    <n v="50"/>
    <n v="680"/>
    <x v="5"/>
    <x v="0"/>
    <n v="26"/>
    <n v="2"/>
    <n v="52.333333333333336"/>
  </r>
  <r>
    <d v="2025-05-26T09:10:00"/>
    <s v="INYECTADO"/>
    <x v="10"/>
    <x v="128"/>
    <s v="GABRIEL ORDAZ"/>
    <s v="VIRGEN"/>
    <s v="PP CLARIFICADO"/>
    <s v="."/>
    <s v="BASE ORGANIZADOR  DE 2KG "/>
    <s v="BASE ORGANIZADOR  DE 2KG PASTEL-SANDIA"/>
    <n v="188"/>
    <n v="2"/>
    <n v="20.399999999999999"/>
    <x v="0"/>
    <m/>
    <n v="6"/>
    <n v="1134"/>
    <n v="21858"/>
    <s v="SANDIA"/>
    <n v="0"/>
    <n v="0"/>
    <n v="0"/>
    <n v="9.4"/>
    <n v="20.399999999999999"/>
    <n v="50"/>
    <n v="408"/>
    <x v="5"/>
    <x v="0"/>
    <n v="26"/>
    <n v="2"/>
    <n v="31.333333333333332"/>
  </r>
  <r>
    <d v="2025-05-26T09:10:00"/>
    <s v="INYECTADO"/>
    <x v="10"/>
    <x v="128"/>
    <s v="ISABEL LINARIZ "/>
    <s v="VIRGEN"/>
    <s v="PP CLARIFICADO"/>
    <s v="."/>
    <s v="BASE ORGANIZADOR  DE 2KG "/>
    <s v="BASE ORGANIZADOR  DE 2KG PASTEL-SANDIA"/>
    <n v="174"/>
    <n v="2"/>
    <n v="18.7"/>
    <x v="1"/>
    <m/>
    <n v="6"/>
    <n v="1134"/>
    <n v="21859"/>
    <s v="SANDIA"/>
    <n v="8.1999999999999993"/>
    <n v="0"/>
    <n v="0"/>
    <n v="8.6999999999999993"/>
    <n v="18.7"/>
    <n v="50"/>
    <n v="374"/>
    <x v="5"/>
    <x v="0"/>
    <n v="26"/>
    <n v="2"/>
    <n v="29"/>
  </r>
  <r>
    <d v="2025-05-26T09:10:00"/>
    <s v="INYECTADO"/>
    <x v="10"/>
    <x v="128"/>
    <s v="ISABEL LINARIZ "/>
    <s v="VIRGEN"/>
    <s v="PP CLARIFICADO"/>
    <s v="."/>
    <s v="BASE ORGANIZADOR  DE 2KG "/>
    <s v="BASE ORGANIZADOR  DE 2KG PASTEL-AZURE"/>
    <n v="438"/>
    <n v="5"/>
    <n v="46.9"/>
    <x v="1"/>
    <m/>
    <n v="14"/>
    <n v="1134"/>
    <n v="21859"/>
    <s v="AZURE"/>
    <n v="10.9"/>
    <n v="0"/>
    <n v="0"/>
    <n v="21.9"/>
    <n v="46.9"/>
    <n v="50"/>
    <n v="938"/>
    <x v="5"/>
    <x v="0"/>
    <n v="26"/>
    <n v="2"/>
    <n v="73"/>
  </r>
  <r>
    <d v="2025-05-26T09:10:00"/>
    <s v="INYECTADO"/>
    <x v="10"/>
    <x v="128"/>
    <s v="ISABEL LINARIZ "/>
    <s v="VIRGEN"/>
    <s v="PP CLARIFICADO"/>
    <s v="."/>
    <s v="BASE ORGANIZADOR  DE 2KG "/>
    <s v="BASE ORGANIZADOR  DE 2KG PASTEL-CELESTE"/>
    <n v="400"/>
    <n v="4"/>
    <n v="42.9"/>
    <x v="1"/>
    <m/>
    <n v="13"/>
    <n v="1134"/>
    <n v="21859"/>
    <s v="CELESTE"/>
    <n v="7"/>
    <n v="0"/>
    <n v="0"/>
    <n v="20"/>
    <n v="42.9"/>
    <n v="50"/>
    <n v="858"/>
    <x v="5"/>
    <x v="0"/>
    <n v="26"/>
    <n v="2"/>
    <n v="66.666666666666671"/>
  </r>
  <r>
    <d v="2025-05-26T09:10:00"/>
    <s v="INYECTADO"/>
    <x v="10"/>
    <x v="123"/>
    <s v="GABRIEL ORDAZ"/>
    <s v="VIRGEN"/>
    <s v="PP CLARIFICADO"/>
    <s v="."/>
    <s v="BASE ORGANIZADOR  DE 2KG "/>
    <s v="BASE ORGANIZADOR  DE 2KG PASTEL-ROSADO"/>
    <n v="319"/>
    <n v="7"/>
    <n v="34.5"/>
    <x v="0"/>
    <m/>
    <n v="11"/>
    <n v="1134"/>
    <n v="21860"/>
    <s v="ROSADO"/>
    <n v="8.6"/>
    <n v="0"/>
    <n v="0"/>
    <n v="15.95"/>
    <n v="34.5"/>
    <n v="50"/>
    <n v="690"/>
    <x v="5"/>
    <x v="0"/>
    <n v="26"/>
    <n v="2"/>
    <n v="53.166666666666664"/>
  </r>
  <r>
    <d v="2025-05-26T09:10:00"/>
    <s v="INYECTADO"/>
    <x v="10"/>
    <x v="123"/>
    <s v="GABRIEL ORDAZ"/>
    <s v="VIRGEN"/>
    <s v="PP CLARIFICADO"/>
    <s v="."/>
    <s v="BASE ORGANIZADOR  DE 2KG "/>
    <s v="BASE ORGANIZADOR  DE 2KG PASTEL-TURQUESA"/>
    <n v="336"/>
    <n v="4"/>
    <n v="36.299999999999997"/>
    <x v="0"/>
    <m/>
    <n v="10"/>
    <n v="1134"/>
    <n v="21860"/>
    <s v="TURQUESA"/>
    <n v="5.45"/>
    <n v="0"/>
    <n v="0"/>
    <n v="16.8"/>
    <n v="36.299999999999997"/>
    <n v="50"/>
    <n v="726"/>
    <x v="5"/>
    <x v="0"/>
    <n v="26"/>
    <n v="2"/>
    <n v="56"/>
  </r>
  <r>
    <d v="2025-05-26T09:10:00"/>
    <s v="INYECTADO"/>
    <x v="10"/>
    <x v="123"/>
    <s v="JOSDER GONZALEZ"/>
    <s v="VIRGEN"/>
    <s v="PP CLARIFICADO"/>
    <s v="."/>
    <s v="BASE ORGANIZADOR  DE 2KG "/>
    <s v="BASE ORGANIZADOR  DE 2KG PASTEL-ROSADO"/>
    <n v="344"/>
    <n v="1"/>
    <n v="36.9"/>
    <x v="1"/>
    <m/>
    <n v="11"/>
    <n v="1134"/>
    <n v="21861"/>
    <s v="ROSADO"/>
    <n v="1"/>
    <n v="0"/>
    <n v="0"/>
    <n v="17.2"/>
    <n v="36.9"/>
    <n v="50"/>
    <n v="738"/>
    <x v="5"/>
    <x v="0"/>
    <n v="26"/>
    <n v="2"/>
    <n v="57.333333333333336"/>
  </r>
  <r>
    <d v="2025-05-26T09:10:00"/>
    <s v="INYECTADO"/>
    <x v="10"/>
    <x v="123"/>
    <s v="JOSDER GONZALEZ"/>
    <s v="VIRGEN"/>
    <s v="PP CLARIFICADO"/>
    <s v="."/>
    <s v="BASE ORGANIZADOR  DE 2KG "/>
    <s v="BASE ORGANIZADOR  DE 2KG PASTEL-LILA"/>
    <n v="452"/>
    <n v="5"/>
    <n v="48.4"/>
    <x v="1"/>
    <m/>
    <n v="15"/>
    <n v="1134"/>
    <n v="21861"/>
    <s v="LILA"/>
    <n v="6.1"/>
    <n v="0"/>
    <n v="0"/>
    <n v="22.6"/>
    <n v="48.4"/>
    <n v="50"/>
    <n v="968"/>
    <x v="5"/>
    <x v="0"/>
    <n v="26"/>
    <n v="2"/>
    <n v="75.333333333333329"/>
  </r>
  <r>
    <d v="2025-05-26T09:10:00"/>
    <s v="INYECTADO"/>
    <x v="10"/>
    <x v="123"/>
    <s v="JOSDER GONZALEZ"/>
    <s v="VIRGEN"/>
    <s v="PP CLARIFICADO"/>
    <s v="."/>
    <s v="BASE ORGANIZADOR  DE 2KG "/>
    <s v="BASE ORGANIZADOR  DE 2KG-TRANSPARENTE"/>
    <n v="635"/>
    <n v="5"/>
    <n v="68"/>
    <x v="1"/>
    <m/>
    <n v="20"/>
    <n v="1134"/>
    <n v="21861"/>
    <s v="TRANSPARENTE"/>
    <n v="3.9"/>
    <n v="0"/>
    <n v="0"/>
    <n v="31.75"/>
    <n v="68"/>
    <n v="50"/>
    <n v="1360"/>
    <x v="5"/>
    <x v="0"/>
    <n v="26"/>
    <n v="2"/>
    <n v="105.83333333333333"/>
  </r>
  <r>
    <d v="2025-05-26T09:10:00"/>
    <s v="INYECTADO"/>
    <x v="10"/>
    <x v="124"/>
    <s v="SAID VILLAMIZAR"/>
    <s v="VIRGEN"/>
    <s v="PP CLARIFICADO"/>
    <s v="."/>
    <s v="BASE ORGANIZADOR  DE 2KG"/>
    <s v="BASE ORGANIZADOR  DE 2KG-TRANSPARENTE"/>
    <n v="975"/>
    <n v="9"/>
    <n v="105.4"/>
    <x v="0"/>
    <m/>
    <n v="31"/>
    <n v="1134"/>
    <n v="21862"/>
    <s v="TRANSPARENTE"/>
    <n v="0"/>
    <n v="0"/>
    <n v="0"/>
    <n v="48.75"/>
    <n v="105.4"/>
    <n v="50"/>
    <n v="2108"/>
    <x v="5"/>
    <x v="0"/>
    <n v="26"/>
    <n v="2"/>
    <n v="162.5"/>
  </r>
  <r>
    <d v="2025-05-26T09:10:00"/>
    <s v="INYECTADO"/>
    <x v="10"/>
    <x v="124"/>
    <s v="SAID VILLAMIZAR"/>
    <s v="VIRGEN"/>
    <s v="PP CLARIFICADO"/>
    <s v="."/>
    <s v="BASE ORGANIZADOR  DE 2KG CARAMELO"/>
    <s v="BASE ORGANIZADOR  DE 2KG CARAMELO-AMARILLO"/>
    <n v="293"/>
    <n v="2"/>
    <n v="31.7"/>
    <x v="0"/>
    <m/>
    <n v="10"/>
    <n v="1134"/>
    <n v="21862"/>
    <s v="AMARILLO"/>
    <n v="0"/>
    <n v="0"/>
    <n v="0"/>
    <n v="14.65"/>
    <n v="31.7"/>
    <n v="50"/>
    <n v="634"/>
    <x v="5"/>
    <x v="0"/>
    <n v="26"/>
    <n v="2"/>
    <n v="48.833333333333336"/>
  </r>
  <r>
    <d v="2025-05-26T09:10:00"/>
    <s v="INYECTADO"/>
    <x v="10"/>
    <x v="124"/>
    <s v="JOSDER GONZALEZ"/>
    <s v="VIRGEN"/>
    <s v="PP CLARIFICADO"/>
    <s v="."/>
    <s v="BASE ORGANIZADOR  DE 2KG CARAMELO"/>
    <s v="BASE ORGANIZADOR  DE 2KG CARAMELO-AMARILLO"/>
    <n v="153"/>
    <n v="2"/>
    <n v="16.600000000000001"/>
    <x v="1"/>
    <m/>
    <n v="6"/>
    <n v="1134"/>
    <n v="21863"/>
    <s v="AMARILLO"/>
    <n v="2.9"/>
    <n v="0"/>
    <n v="0"/>
    <n v="7.65"/>
    <n v="16.600000000000001"/>
    <n v="50"/>
    <n v="332"/>
    <x v="5"/>
    <x v="0"/>
    <n v="26"/>
    <n v="2"/>
    <n v="25.5"/>
  </r>
  <r>
    <d v="2025-05-26T09:10:00"/>
    <s v="INYECTADO"/>
    <x v="10"/>
    <x v="124"/>
    <s v="JOSDER GONZALEZ"/>
    <s v="VIRGEN"/>
    <s v="PP CLARIFICADO"/>
    <s v="."/>
    <s v="BASE ORGANIZADOR  DE 2KG CARAMELO"/>
    <s v="BASE ORGANIZADOR  DE 2KG CARAMELO-VERDE"/>
    <n v="395"/>
    <n v="4"/>
    <n v="42.7"/>
    <x v="1"/>
    <m/>
    <n v="13"/>
    <n v="1134"/>
    <n v="21863"/>
    <s v="VERDE"/>
    <n v="6.9"/>
    <n v="0"/>
    <n v="0"/>
    <n v="19.75"/>
    <n v="42.7"/>
    <n v="50"/>
    <n v="854"/>
    <x v="5"/>
    <x v="0"/>
    <n v="26"/>
    <n v="2"/>
    <n v="65.833333333333329"/>
  </r>
  <r>
    <d v="2025-05-26T09:10:00"/>
    <s v="INYECTADO"/>
    <x v="10"/>
    <x v="124"/>
    <s v="JOSDER GONZALEZ"/>
    <s v="VIRGEN"/>
    <s v="PP CLARIFICADO"/>
    <s v="."/>
    <s v="BASE ORGANIZADOR  DE 2KG CARAMELO"/>
    <s v="BASE ORGANIZADOR  DE 2KG CARAMELO-FUCSIA"/>
    <n v="472"/>
    <n v="5"/>
    <n v="51"/>
    <x v="1"/>
    <m/>
    <n v="15"/>
    <n v="1134"/>
    <n v="21863"/>
    <s v="FUCSIA"/>
    <n v="4"/>
    <n v="0"/>
    <n v="0"/>
    <n v="23.6"/>
    <n v="51"/>
    <n v="50"/>
    <n v="1020"/>
    <x v="5"/>
    <x v="0"/>
    <n v="26"/>
    <n v="2"/>
    <n v="78.666666666666671"/>
  </r>
  <r>
    <d v="2025-05-26T09:10:00"/>
    <s v="INYECTADO"/>
    <x v="10"/>
    <x v="124"/>
    <s v="JOSDER GONZALEZ"/>
    <s v="VIRGEN"/>
    <s v="PP CLARIFICADO"/>
    <s v="."/>
    <s v="BASE ORGANIZADOR  DE 2KG CARAMELO"/>
    <s v="BASE ORGANIZADOR  DE 2KG CARAMELO-AZUL"/>
    <n v="62"/>
    <n v="1"/>
    <n v="6.8"/>
    <x v="1"/>
    <m/>
    <n v="4"/>
    <n v="1134"/>
    <n v="21863"/>
    <s v="AZUL"/>
    <n v="0"/>
    <n v="0"/>
    <n v="0"/>
    <n v="3.1"/>
    <n v="6.8"/>
    <n v="50"/>
    <n v="136"/>
    <x v="5"/>
    <x v="0"/>
    <n v="26"/>
    <n v="2"/>
    <n v="10.333333333333334"/>
  </r>
  <r>
    <d v="2025-05-26T09:10:00"/>
    <s v="INYECTADO"/>
    <x v="10"/>
    <x v="125"/>
    <s v="GABRIEL ORDAZ"/>
    <s v="VIRGEN"/>
    <s v="PP CLARIFICADO"/>
    <s v="."/>
    <s v="BASE ORGANIZADOR  DE 2KG "/>
    <s v="BASE ORGANIZADOR  DE 2KG CARAMELO-LILA"/>
    <n v="436"/>
    <n v="4"/>
    <n v="47.1"/>
    <x v="0"/>
    <m/>
    <n v="14"/>
    <n v="1134"/>
    <n v="21864"/>
    <s v="LILA"/>
    <n v="6.4"/>
    <n v="0"/>
    <n v="0"/>
    <n v="21.8"/>
    <n v="47.1"/>
    <n v="50"/>
    <n v="942"/>
    <x v="5"/>
    <x v="0"/>
    <n v="26"/>
    <n v="2"/>
    <n v="72.666666666666671"/>
  </r>
  <r>
    <d v="2025-05-26T09:10:00"/>
    <s v="INYECTADO"/>
    <x v="10"/>
    <x v="125"/>
    <s v="GABRIEL ORDAZ"/>
    <s v="VIRGEN"/>
    <s v="PP CLARIFICADO"/>
    <s v="."/>
    <s v="BASE ORGANIZADOR  DE 2KG "/>
    <s v="BASE ORGANIZADOR  DE 2KG CARAMELO-ROJO"/>
    <n v="94"/>
    <n v="3"/>
    <n v="10.199999999999999"/>
    <x v="0"/>
    <m/>
    <n v="3"/>
    <n v="1134"/>
    <n v="21864"/>
    <s v="ROJO"/>
    <n v="1.6"/>
    <n v="0"/>
    <n v="0"/>
    <n v="4.7"/>
    <n v="10.199999999999999"/>
    <n v="50"/>
    <n v="204"/>
    <x v="5"/>
    <x v="0"/>
    <n v="26"/>
    <n v="2"/>
    <n v="15.666666666666666"/>
  </r>
  <r>
    <d v="2025-05-26T09:10:00"/>
    <s v="INYECTADO"/>
    <x v="10"/>
    <x v="125"/>
    <s v="GABRIEL ORDAZ"/>
    <s v="VIRGEN"/>
    <s v="PP CLARIFICADO"/>
    <s v="."/>
    <s v="BASE ORGANIZADOR  DE 2KG "/>
    <s v="BASE ORGANIZADOR  DE 2KG CARAMELO-AZUL"/>
    <n v="400"/>
    <n v="4"/>
    <n v="43.2"/>
    <x v="0"/>
    <m/>
    <n v="13"/>
    <n v="1134"/>
    <n v="21864"/>
    <s v="AZUL"/>
    <n v="1.3"/>
    <n v="0"/>
    <n v="0"/>
    <n v="20"/>
    <n v="43.2"/>
    <n v="50"/>
    <n v="864"/>
    <x v="5"/>
    <x v="0"/>
    <n v="26"/>
    <n v="2"/>
    <n v="66.666666666666671"/>
  </r>
  <r>
    <d v="2025-05-26T09:10:00"/>
    <s v="INYECTADO"/>
    <x v="10"/>
    <x v="125"/>
    <s v="GABRIEL REQUENA"/>
    <s v="VIRGEN"/>
    <s v="PP CLARIFICADO"/>
    <s v="."/>
    <s v="BASE ORGANIZADOR  DE 2KG "/>
    <s v="BASE ORGANIZADOR  DE 2KG CARAMELO-AMARILLO"/>
    <n v="100"/>
    <n v="3"/>
    <n v="11.4"/>
    <x v="1"/>
    <m/>
    <n v="3"/>
    <n v="1134"/>
    <n v="21865"/>
    <s v="AMARILLO"/>
    <n v="2.9"/>
    <n v="0"/>
    <n v="0"/>
    <n v="5"/>
    <n v="11.4"/>
    <n v="50"/>
    <n v="228"/>
    <x v="5"/>
    <x v="0"/>
    <n v="26"/>
    <n v="2"/>
    <n v="16.666666666666668"/>
  </r>
  <r>
    <d v="2025-05-26T09:10:00"/>
    <s v="INYECTADO"/>
    <x v="10"/>
    <x v="125"/>
    <s v="GABRIEL REQUENA"/>
    <s v="VIRGEN"/>
    <s v="PP CLARIFICADO"/>
    <s v="."/>
    <s v="BASE ORGANIZADOR  DE 2KG "/>
    <s v="BASE ORGANIZADOR  DE 2KG CARAMELO-VERDE"/>
    <n v="68"/>
    <n v="1"/>
    <n v="7.7"/>
    <x v="1"/>
    <m/>
    <n v="2"/>
    <n v="1134"/>
    <n v="21865"/>
    <s v="VERDE"/>
    <n v="9.3000000000000007"/>
    <n v="0"/>
    <n v="0"/>
    <n v="3.4"/>
    <n v="7.7"/>
    <n v="50"/>
    <n v="154"/>
    <x v="5"/>
    <x v="0"/>
    <n v="26"/>
    <n v="2"/>
    <n v="11.333333333333334"/>
  </r>
  <r>
    <d v="2025-05-26T09:10:00"/>
    <s v="INYECTADO"/>
    <x v="10"/>
    <x v="125"/>
    <s v="GABRIEL REQUENA"/>
    <s v="VIRGEN"/>
    <s v="PP CLARIFICADO"/>
    <s v="."/>
    <s v="BASE ORGANIZADOR  DE 2KG "/>
    <s v="BASE ORGANIZADOR  DE 2KG CARAMELO-ROJO"/>
    <n v="320"/>
    <n v="3"/>
    <n v="38.700000000000003"/>
    <x v="1"/>
    <m/>
    <n v="16"/>
    <n v="1134"/>
    <n v="21865"/>
    <s v="ROJO"/>
    <n v="13"/>
    <n v="0"/>
    <n v="0"/>
    <n v="16"/>
    <n v="38.700000000000003"/>
    <n v="50"/>
    <n v="774"/>
    <x v="5"/>
    <x v="0"/>
    <n v="26"/>
    <n v="2"/>
    <n v="53.333333333333336"/>
  </r>
  <r>
    <d v="2025-05-26T09:10:00"/>
    <s v="INYECTADO"/>
    <x v="10"/>
    <x v="125"/>
    <s v="GABRIEL REQUENA"/>
    <s v="VIRGEN"/>
    <s v="PP CLARIFICADO"/>
    <s v="."/>
    <s v="BASE ORGANIZADOR  DE 2KG "/>
    <s v="BASE ORGANIZADOR  DE 2KG PASTEL-ROSADO"/>
    <n v="390"/>
    <n v="3"/>
    <n v="53.7"/>
    <x v="1"/>
    <m/>
    <n v="11"/>
    <n v="1134"/>
    <n v="21865"/>
    <s v="ROSADO"/>
    <n v="6.2"/>
    <n v="0"/>
    <n v="0"/>
    <n v="19.5"/>
    <n v="53.7"/>
    <n v="50"/>
    <n v="1074"/>
    <x v="5"/>
    <x v="0"/>
    <n v="26"/>
    <n v="2"/>
    <n v="65"/>
  </r>
  <r>
    <d v="2025-05-26T09:10:00"/>
    <s v="INYECTADO"/>
    <x v="10"/>
    <x v="120"/>
    <s v="SAID VILLAMIZAR"/>
    <s v="VIRGEN"/>
    <s v="PP CLARIFICADO"/>
    <s v="."/>
    <s v="BASE ORGANIZADOR  DE 2KG "/>
    <s v="BASE ORGANIZADOR  DE 2KG PASTEL-ROSADO"/>
    <n v="122"/>
    <n v="1"/>
    <n v="10.9"/>
    <x v="0"/>
    <m/>
    <n v="4"/>
    <n v="1134"/>
    <n v="21866"/>
    <s v="ROSADO"/>
    <n v="4.0999999999999996"/>
    <n v="0"/>
    <n v="0"/>
    <n v="6.1"/>
    <n v="10.9"/>
    <n v="50"/>
    <n v="218"/>
    <x v="5"/>
    <x v="0"/>
    <n v="26"/>
    <n v="2"/>
    <n v="20.333333333333332"/>
  </r>
  <r>
    <d v="2025-05-26T09:10:00"/>
    <s v="INYECTADO"/>
    <x v="10"/>
    <x v="120"/>
    <s v="SAID VILLAMIZAR"/>
    <s v="VIRGEN"/>
    <s v="PP CLARIFICADO"/>
    <s v="."/>
    <s v="BASE ORGANIZADOR  DE 2KG "/>
    <s v="BASE ORGANIZADOR  DE 2KG PASTEL-SANDIA"/>
    <n v="550"/>
    <n v="6"/>
    <n v="59.4"/>
    <x v="0"/>
    <m/>
    <n v="18"/>
    <n v="1134"/>
    <n v="21866"/>
    <s v="AZURE"/>
    <n v="4.0999999999999996"/>
    <n v="0"/>
    <n v="0"/>
    <n v="27.5"/>
    <n v="59.4"/>
    <n v="50"/>
    <n v="1188"/>
    <x v="5"/>
    <x v="0"/>
    <n v="26"/>
    <n v="2"/>
    <n v="91.666666666666671"/>
  </r>
  <r>
    <d v="2025-05-26T09:10:00"/>
    <s v="INYECTADO"/>
    <x v="10"/>
    <x v="120"/>
    <s v="SAID VILLAMIZAR"/>
    <s v="VIRGEN"/>
    <s v="PP CLARIFICADO"/>
    <s v="."/>
    <s v="BASE ORGANIZADOR  DE 2KG "/>
    <s v="BASE ORGANIZADOR  DE 2KG PASTEL-AZURE"/>
    <n v="355"/>
    <n v="4"/>
    <n v="38.700000000000003"/>
    <x v="0"/>
    <m/>
    <n v="11"/>
    <n v="1134"/>
    <n v="21866"/>
    <s v="SANDIA"/>
    <n v="8.1999999999999993"/>
    <n v="0"/>
    <n v="0"/>
    <n v="17.75"/>
    <n v="38.700000000000003"/>
    <n v="50"/>
    <n v="774"/>
    <x v="5"/>
    <x v="0"/>
    <n v="26"/>
    <n v="2"/>
    <n v="59.166666666666664"/>
  </r>
  <r>
    <d v="2025-05-26T09:10:00"/>
    <s v="INYECTADO"/>
    <x v="10"/>
    <x v="120"/>
    <s v="JOSDER GONZALEZ"/>
    <s v="VIRGEN"/>
    <s v="PP CLARIFICADO"/>
    <s v="."/>
    <s v="BASE ORGANIZADOR  DE 2KG "/>
    <s v="BASE ORGANIZADOR  DE 2KG PASTEL-AZURE"/>
    <n v="141"/>
    <n v="2"/>
    <n v="15.3"/>
    <x v="1"/>
    <m/>
    <n v="5"/>
    <n v="1134"/>
    <n v="21867"/>
    <s v="AZURE"/>
    <n v="14.4"/>
    <n v="0"/>
    <n v="0"/>
    <n v="7.05"/>
    <n v="15.3"/>
    <n v="50"/>
    <n v="306"/>
    <x v="5"/>
    <x v="0"/>
    <n v="26"/>
    <n v="2"/>
    <n v="23.5"/>
  </r>
  <r>
    <d v="2025-05-26T09:10:00"/>
    <s v="INYECTADO"/>
    <x v="10"/>
    <x v="120"/>
    <s v="JOSDER GONZALEZ"/>
    <s v="VIRGEN"/>
    <s v="PP CLARIFICADO"/>
    <s v="."/>
    <s v="BASE ORGANIZADOR  DE 2KG "/>
    <s v="BASE ORGANIZADOR  DE 2KG-TRANSPARENTE"/>
    <n v="818"/>
    <n v="9"/>
    <n v="88.4"/>
    <x v="1"/>
    <m/>
    <n v="26"/>
    <n v="1134"/>
    <n v="21867"/>
    <s v="TRANSPARENTE"/>
    <n v="8.5"/>
    <n v="0"/>
    <n v="0"/>
    <n v="40.9"/>
    <n v="88.4"/>
    <n v="50"/>
    <n v="1768"/>
    <x v="5"/>
    <x v="0"/>
    <n v="26"/>
    <n v="2"/>
    <n v="136.33333333333334"/>
  </r>
  <r>
    <d v="2025-05-26T09:10:00"/>
    <s v="INYECTADO"/>
    <x v="10"/>
    <x v="140"/>
    <s v="ROSA MERINO"/>
    <s v="VIRGEN"/>
    <s v="PP CLARIFICADO"/>
    <s v="."/>
    <s v="BASE ORGANIZADOR  DE 2KG "/>
    <s v="BASE ORGANIZADOR  DE 2KG-TRANSPARENTE"/>
    <n v="692"/>
    <n v="8"/>
    <n v="74.8"/>
    <x v="0"/>
    <m/>
    <n v="22"/>
    <n v="1134"/>
    <n v="21868"/>
    <s v="TRANSPARENTE"/>
    <n v="6.6"/>
    <n v="0"/>
    <n v="0"/>
    <n v="34.6"/>
    <n v="74.8"/>
    <n v="50"/>
    <n v="1496"/>
    <x v="5"/>
    <x v="0"/>
    <n v="26"/>
    <n v="2"/>
    <n v="115.33333333333333"/>
  </r>
  <r>
    <d v="2025-05-26T09:10:00"/>
    <s v="INYECTADO"/>
    <x v="10"/>
    <x v="129"/>
    <s v="GABRIEL ORDAZ"/>
    <s v="VIRGEN"/>
    <s v="PP CLARIFICADO"/>
    <s v="."/>
    <s v="BASE ORGANIZADOR  DE 2KG "/>
    <s v="BASE ORGANIZADOR  DE 2KG-TRANSPARENTE"/>
    <n v="818"/>
    <n v="10"/>
    <n v="88.4"/>
    <x v="0"/>
    <m/>
    <n v="25"/>
    <n v="1134"/>
    <n v="21869"/>
    <s v="TRANSPARENTE"/>
    <n v="11.9"/>
    <n v="0"/>
    <n v="0"/>
    <n v="40.9"/>
    <n v="88.4"/>
    <n v="50"/>
    <n v="1768"/>
    <x v="5"/>
    <x v="0"/>
    <n v="27"/>
    <n v="2"/>
    <n v="136.33333333333334"/>
  </r>
  <r>
    <d v="2025-05-26T09:10:00"/>
    <s v="INYECTADO"/>
    <x v="10"/>
    <x v="129"/>
    <s v="GABRIEL ORDAZ"/>
    <s v="VIRGEN"/>
    <s v="PP CLARIFICADO"/>
    <s v="."/>
    <s v="BASE ORGANIZADOR  DE 2KG "/>
    <s v="BASE ORGANIZADOR  DE 2KG PASTEL-TURQUESA"/>
    <n v="51"/>
    <n v="1"/>
    <n v="5.6"/>
    <x v="0"/>
    <m/>
    <n v="1"/>
    <n v="1134"/>
    <n v="21869"/>
    <s v="TURQUESA"/>
    <n v="0"/>
    <n v="0"/>
    <n v="0"/>
    <n v="2.5499999999999998"/>
    <n v="5.6"/>
    <n v="50"/>
    <n v="112"/>
    <x v="5"/>
    <x v="0"/>
    <n v="27"/>
    <n v="2"/>
    <n v="8.5"/>
  </r>
  <r>
    <d v="2025-05-26T09:10:00"/>
    <s v="INYECTADO"/>
    <x v="10"/>
    <x v="129"/>
    <s v="ISABEL LINARIZ "/>
    <s v="VIRGEN"/>
    <s v="PP CLARIFICADO"/>
    <s v="."/>
    <s v="BASE ORGANIZADOR  DE 2KG "/>
    <s v="BASE ORGANIZADOR  DE 2KG PASTEL-TURQUESA"/>
    <n v="506"/>
    <n v="5"/>
    <n v="56.2"/>
    <x v="1"/>
    <m/>
    <n v="17"/>
    <n v="1134"/>
    <n v="21870"/>
    <s v="TURQUESA"/>
    <n v="6.1"/>
    <n v="0"/>
    <n v="0"/>
    <n v="25.3"/>
    <n v="56.2"/>
    <n v="50"/>
    <n v="1124"/>
    <x v="5"/>
    <x v="0"/>
    <n v="27"/>
    <n v="2"/>
    <n v="84.333333333333329"/>
  </r>
  <r>
    <d v="2025-05-26T09:10:00"/>
    <s v="INYECTADO"/>
    <x v="10"/>
    <x v="129"/>
    <s v="ISABEL LINARIZ "/>
    <s v="VIRGEN"/>
    <s v="PP CLARIFICADO"/>
    <s v="."/>
    <s v="BASE ORGANIZADOR  DE 2KG "/>
    <s v="BASE ORGANIZADOR  DE 2KG PASTEL-CELESTE"/>
    <n v="506"/>
    <n v="6"/>
    <n v="55.8"/>
    <x v="1"/>
    <m/>
    <n v="17"/>
    <n v="1134"/>
    <n v="21870"/>
    <s v="CELESTE"/>
    <n v="3.2"/>
    <n v="0"/>
    <n v="0"/>
    <n v="25.3"/>
    <n v="55.8"/>
    <n v="50"/>
    <n v="1116"/>
    <x v="5"/>
    <x v="0"/>
    <n v="27"/>
    <n v="2"/>
    <n v="84.333333333333329"/>
  </r>
  <r>
    <d v="2025-05-26T09:10:00"/>
    <s v="INYECTADO"/>
    <x v="10"/>
    <x v="129"/>
    <s v="ISABEL LINARIZ "/>
    <s v="VIRGEN"/>
    <s v="PP CLARIFICADO"/>
    <s v="."/>
    <s v="BASE ORGANIZADOR  DE 2KG "/>
    <s v="BASE ORGANIZADOR  DE 2KG PASTEL-LILA"/>
    <n v="40"/>
    <n v="1"/>
    <n v="3.3"/>
    <x v="1"/>
    <m/>
    <n v="1"/>
    <n v="1134"/>
    <n v="21870"/>
    <s v="LILA"/>
    <n v="3.9"/>
    <n v="0"/>
    <n v="0"/>
    <n v="2"/>
    <n v="3.3"/>
    <n v="50"/>
    <n v="66"/>
    <x v="5"/>
    <x v="0"/>
    <n v="27"/>
    <n v="2"/>
    <n v="6.666666666666667"/>
  </r>
  <r>
    <d v="2025-06-26T07:20:00"/>
    <s v="INYECTADO"/>
    <x v="7"/>
    <x v="130"/>
    <s v="ROSA MERINO"/>
    <s v="VIRGEN"/>
    <s v="PP HOMOPOLIMERO"/>
    <s v="PP COPOLIMERO"/>
    <s v="VASO SORBETE SOLIDO"/>
    <s v="VASO SORBETE SOLIDO-VERDE"/>
    <n v="543"/>
    <n v="5"/>
    <n v="81.5"/>
    <x v="0"/>
    <m/>
    <n v="10"/>
    <n v="1121"/>
    <n v="21177"/>
    <s v="VERDE"/>
    <n v="10.199999999999999"/>
    <n v="0"/>
    <n v="0"/>
    <n v="12.7605"/>
    <n v="81.5"/>
    <n v="23.5"/>
    <n v="3468.0851063829787"/>
    <x v="5"/>
    <x v="0"/>
    <n v="23"/>
    <n v="2"/>
    <n v="90.5"/>
  </r>
  <r>
    <d v="2025-06-26T07:20:00"/>
    <s v="INYECTADO"/>
    <x v="7"/>
    <x v="130"/>
    <s v="ROSA MERINO"/>
    <s v="VIRGEN"/>
    <s v="PP HOMOPOLIMERO"/>
    <s v="PP COPOLIMERO"/>
    <s v="VASO SORBETE SOLIDO"/>
    <s v="VASO SORBETE SOLIDO-AZUL"/>
    <n v="22"/>
    <n v="2"/>
    <n v="3.3"/>
    <x v="0"/>
    <m/>
    <n v="1"/>
    <n v="1121"/>
    <n v="21177"/>
    <s v="AZUL"/>
    <n v="3.3"/>
    <n v="0"/>
    <n v="0"/>
    <n v="0.51700000000000002"/>
    <n v="3.3"/>
    <n v="23.5"/>
    <n v="140.42553191489361"/>
    <x v="5"/>
    <x v="0"/>
    <n v="23"/>
    <n v="2"/>
    <n v="3.6666666666666665"/>
  </r>
  <r>
    <d v="2025-06-26T07:20:00"/>
    <s v="INYECTADO"/>
    <x v="7"/>
    <x v="131"/>
    <s v="LUIS PINEDO"/>
    <s v="VIRGEN"/>
    <s v="PP HOMOPOLIMERO"/>
    <s v="PP COPOLIMERO"/>
    <s v="VASO SORBETE SOLIDO"/>
    <s v="VASO SORBETE SOLIDO-AZUL"/>
    <n v="268"/>
    <n v="4"/>
    <n v="40.200000000000003"/>
    <x v="0"/>
    <m/>
    <n v="6"/>
    <n v="1121"/>
    <n v="21178"/>
    <s v="AZUL"/>
    <n v="6.7"/>
    <n v="0"/>
    <n v="0"/>
    <n v="6.298"/>
    <n v="40.200000000000003"/>
    <n v="23.5"/>
    <n v="1710.6382978723404"/>
    <x v="5"/>
    <x v="0"/>
    <n v="23"/>
    <n v="2"/>
    <n v="44.666666666666664"/>
  </r>
  <r>
    <d v="2025-06-26T07:20:00"/>
    <s v="INYECTADO"/>
    <x v="7"/>
    <x v="121"/>
    <s v="LUIS PINEDO"/>
    <s v="VIRGEN"/>
    <s v="PP HOMOPOLIMERO"/>
    <s v="PP COPOLIMERO"/>
    <s v="VASO SORBETE SOLIDO"/>
    <s v="VASO SORBETE SOLIDO-AZUL"/>
    <n v="461"/>
    <n v="5"/>
    <n v="68.8"/>
    <x v="0"/>
    <m/>
    <n v="8"/>
    <n v="1121"/>
    <n v="21179"/>
    <s v="AZUL"/>
    <n v="18.3"/>
    <n v="0"/>
    <n v="0"/>
    <n v="10.833500000000001"/>
    <n v="68.8"/>
    <n v="23.5"/>
    <n v="2927.6595744680849"/>
    <x v="5"/>
    <x v="0"/>
    <n v="23"/>
    <n v="2"/>
    <n v="76.833333333333329"/>
  </r>
  <r>
    <d v="2025-06-26T07:20:00"/>
    <s v="INYECTADO"/>
    <x v="7"/>
    <x v="121"/>
    <s v="LUIS PINEDO"/>
    <s v="VIRGEN"/>
    <s v="PP HOMOPOLIMERO"/>
    <s v="PP COPOLIMERO"/>
    <s v="VASO SORBETE SOLIDO"/>
    <s v="VASO SORBETE SOLIDO-AMARILLO"/>
    <n v="71"/>
    <n v="1"/>
    <n v="10.6"/>
    <x v="0"/>
    <m/>
    <n v="2"/>
    <n v="1121"/>
    <n v="21179"/>
    <s v="AMARILLO"/>
    <n v="7.7"/>
    <n v="0"/>
    <n v="0"/>
    <n v="1.6685000000000001"/>
    <n v="10.6"/>
    <n v="23.5"/>
    <n v="451.06382978723406"/>
    <x v="5"/>
    <x v="0"/>
    <n v="23"/>
    <n v="2"/>
    <n v="11.833333333333334"/>
  </r>
  <r>
    <d v="2025-06-26T07:20:00"/>
    <s v="INYECTADO"/>
    <x v="7"/>
    <x v="121"/>
    <s v="LUIS PINEDO"/>
    <s v="VIRGEN"/>
    <s v="PP HOMOPOLIMERO"/>
    <s v="PP COPOLIMERO"/>
    <s v="VASO SORBETE SOLIDO"/>
    <s v="VASO SORBETE SOLIDO-VERDE"/>
    <n v="67"/>
    <n v="1"/>
    <n v="10"/>
    <x v="0"/>
    <m/>
    <n v="1"/>
    <n v="1121"/>
    <n v="21179"/>
    <s v="VERDE"/>
    <n v="10.8"/>
    <n v="0"/>
    <n v="0"/>
    <n v="1.5745"/>
    <n v="10"/>
    <n v="23.5"/>
    <n v="425.531914893617"/>
    <x v="5"/>
    <x v="0"/>
    <n v="23"/>
    <n v="2"/>
    <n v="11.166666666666666"/>
  </r>
  <r>
    <d v="2025-06-26T07:20:00"/>
    <s v="INYECTADO"/>
    <x v="7"/>
    <x v="122"/>
    <s v="CRISALIDA ZAPATA"/>
    <s v="VIRGEN"/>
    <s v="PP CLARIFICADO"/>
    <s v="."/>
    <s v="TAPA DE ORGANIZADOR #3"/>
    <s v="TAPA DE ORGANIZADOR #3-ROJO"/>
    <n v="877"/>
    <n v="7"/>
    <n v="67.3"/>
    <x v="0"/>
    <m/>
    <n v="8"/>
    <n v="1122"/>
    <n v="21180"/>
    <s v="ROJO"/>
    <n v="0"/>
    <n v="0"/>
    <n v="0"/>
    <n v="33.326000000000001"/>
    <n v="67.3"/>
    <n v="38"/>
    <n v="1771.0526315789473"/>
    <x v="5"/>
    <x v="0"/>
    <n v="23"/>
    <n v="2"/>
    <n v="146.16666666666666"/>
  </r>
  <r>
    <d v="2025-06-27T07:20:00"/>
    <s v="INYECTADO"/>
    <x v="7"/>
    <x v="112"/>
    <s v="CRISALIDA ZAPATA"/>
    <s v="VIRGEN"/>
    <s v="PP CLARIFICADO"/>
    <s v="."/>
    <s v="TAPA DE ORGANIZADOR #3"/>
    <s v="TAPA DE ORGANIZADOR #3-ROJO"/>
    <n v="967"/>
    <n v="9"/>
    <n v="69.599999999999994"/>
    <x v="0"/>
    <m/>
    <n v="9"/>
    <n v="1122"/>
    <n v="21181"/>
    <s v="ROJO"/>
    <n v="0"/>
    <n v="0"/>
    <n v="0"/>
    <n v="36.746000000000002"/>
    <n v="69.599999999999994"/>
    <n v="38"/>
    <n v="1831.578947368421"/>
    <x v="5"/>
    <x v="0"/>
    <n v="23"/>
    <n v="2"/>
    <n v="161.16666666666666"/>
  </r>
  <r>
    <d v="2025-06-28T07:20:00"/>
    <s v="INYECTADO"/>
    <x v="7"/>
    <x v="112"/>
    <s v="JUAN MANUEL PEREZ"/>
    <s v="VIRGEN"/>
    <s v="PP CLARIFICADO"/>
    <s v="."/>
    <s v="TAPA DE ORGANIZADOR #3"/>
    <s v="TAPA DE ORGANIZADOR #3-ROJO"/>
    <n v="654"/>
    <n v="6"/>
    <n v="47.8"/>
    <x v="1"/>
    <m/>
    <n v="6"/>
    <n v="1122"/>
    <n v="21182"/>
    <s v="ROJO"/>
    <n v="0"/>
    <n v="0"/>
    <n v="0"/>
    <n v="24.852"/>
    <n v="47.8"/>
    <n v="38"/>
    <n v="1257.8947368421052"/>
    <x v="5"/>
    <x v="0"/>
    <n v="23"/>
    <n v="2"/>
    <n v="109"/>
  </r>
  <r>
    <d v="2025-06-28T07:20:00"/>
    <s v="INYECTADO"/>
    <x v="7"/>
    <x v="113"/>
    <s v="LUIS RENGIFO"/>
    <s v="VIRGEN"/>
    <s v="PP CLARIFICADO"/>
    <s v="."/>
    <s v="ESCURRIDOR PORTA VAJILLA"/>
    <s v="ESCURRIDOR PORTAVAJILLA-CREMA"/>
    <n v="582"/>
    <n v="5"/>
    <n v="135.69999999999999"/>
    <x v="0"/>
    <m/>
    <n v="19"/>
    <n v="1127"/>
    <n v="21183"/>
    <s v="CREMA"/>
    <n v="3.8"/>
    <n v="0"/>
    <n v="0"/>
    <n v="143.172"/>
    <n v="135.69999999999999"/>
    <n v="246"/>
    <n v="551.6260162601626"/>
    <x v="5"/>
    <x v="0"/>
    <n v="24"/>
    <n v="1"/>
    <n v="48.5"/>
  </r>
  <r>
    <d v="2025-06-28T07:20:00"/>
    <s v="INYECTADO"/>
    <x v="7"/>
    <x v="132"/>
    <s v="GABRIEL REQUENA"/>
    <s v="VIRGEN"/>
    <s v="PP CLARIFICADO"/>
    <s v="."/>
    <s v="ESCURRIDOR PORTA VAJILLA"/>
    <s v="ESCURRIDOR PORTAVAJILLA-CREMA"/>
    <n v="151"/>
    <n v="2"/>
    <n v="35.4"/>
    <x v="0"/>
    <m/>
    <n v="5"/>
    <n v="1127"/>
    <n v="21184"/>
    <s v="CREMA"/>
    <n v="2.8"/>
    <n v="0"/>
    <n v="0"/>
    <n v="37.146000000000001"/>
    <n v="35.4"/>
    <n v="246"/>
    <n v="143.90243902439025"/>
    <x v="5"/>
    <x v="0"/>
    <n v="24"/>
    <n v="1"/>
    <n v="12.583333333333334"/>
  </r>
  <r>
    <d v="2025-06-28T07:20:00"/>
    <s v="INYECTADO"/>
    <x v="7"/>
    <x v="132"/>
    <s v="GABRIEL REQUENA"/>
    <s v="VIRGEN"/>
    <s v="PP CLARIFICADO"/>
    <s v="."/>
    <s v="ESCURRIDOR PORTA VAJILLA"/>
    <s v="ESCURRIDOR PORTAVAJILLA-VERDE"/>
    <n v="749"/>
    <n v="7"/>
    <n v="175.3"/>
    <x v="0"/>
    <m/>
    <n v="25"/>
    <n v="1127"/>
    <n v="21184"/>
    <s v="VERDE"/>
    <n v="6.3"/>
    <n v="0"/>
    <n v="0"/>
    <n v="184.25399999999999"/>
    <n v="175.3"/>
    <n v="246"/>
    <n v="712.60162601626018"/>
    <x v="5"/>
    <x v="0"/>
    <n v="24"/>
    <n v="1"/>
    <n v="62.416666666666664"/>
  </r>
  <r>
    <d v="2025-06-28T07:20:00"/>
    <s v="INYECTADO"/>
    <x v="7"/>
    <x v="132"/>
    <s v="GABRIEL REQUENA"/>
    <s v="VIRGEN"/>
    <s v="PP CLARIFICADO"/>
    <s v="."/>
    <s v="ESCURRIDOR PORTA VAJILLA"/>
    <s v="ESCURRIDOR PORTAVAJILLA-TURQUESA"/>
    <n v="232"/>
    <n v="2"/>
    <n v="54.7"/>
    <x v="0"/>
    <m/>
    <n v="7"/>
    <n v="1127"/>
    <n v="21184"/>
    <s v="TURQUESA"/>
    <n v="4.3"/>
    <n v="0"/>
    <n v="0"/>
    <n v="57.072000000000003"/>
    <n v="54.7"/>
    <n v="246"/>
    <n v="222.35772357723576"/>
    <x v="5"/>
    <x v="0"/>
    <n v="24"/>
    <n v="1"/>
    <n v="19.333333333333332"/>
  </r>
  <r>
    <d v="2025-06-28T07:20:00"/>
    <s v="INYECTADO"/>
    <x v="7"/>
    <x v="132"/>
    <s v="JUAN MANUEL PEREZ"/>
    <s v="VIRGEN"/>
    <s v="PP CLARIFICADO"/>
    <s v="."/>
    <s v="ESCURRIDOR PORTA VAJILLA"/>
    <s v="ESCURRIDOR PORTAVAJILLA-TURQUESA"/>
    <n v="230"/>
    <n v="3"/>
    <n v="54.2"/>
    <x v="1"/>
    <m/>
    <n v="9"/>
    <n v="1127"/>
    <n v="21185"/>
    <s v="TURQUESA"/>
    <n v="3"/>
    <n v="0"/>
    <n v="0"/>
    <n v="56.58"/>
    <n v="54.2"/>
    <n v="246"/>
    <n v="220.32520325203251"/>
    <x v="5"/>
    <x v="0"/>
    <n v="24"/>
    <n v="1"/>
    <n v="19.166666666666668"/>
  </r>
  <r>
    <d v="2025-06-28T07:20:00"/>
    <s v="INYECTADO"/>
    <x v="7"/>
    <x v="132"/>
    <s v="JUAN MANUEL PEREZ"/>
    <s v="VIRGEN"/>
    <s v="PP CLARIFICADO"/>
    <s v="."/>
    <s v="ESCURRIDOR PORTA VAJILLA"/>
    <s v="ESCURRIDOR PORTAVAJILLA-MELON"/>
    <n v="486"/>
    <n v="5"/>
    <n v="114.4"/>
    <x v="1"/>
    <m/>
    <n v="16"/>
    <n v="1127"/>
    <n v="21185"/>
    <s v="MELON"/>
    <n v="4"/>
    <n v="0"/>
    <n v="0"/>
    <n v="119.556"/>
    <n v="114.4"/>
    <n v="246"/>
    <n v="465.04065040650408"/>
    <x v="5"/>
    <x v="0"/>
    <n v="24"/>
    <n v="1"/>
    <n v="40.5"/>
  </r>
  <r>
    <d v="2025-06-28T07:20:00"/>
    <s v="INYECTADO"/>
    <x v="7"/>
    <x v="132"/>
    <s v="JUAN MANUEL PEREZ"/>
    <s v="VIRGEN"/>
    <s v="PP CLARIFICADO"/>
    <s v="."/>
    <s v="ESCURRIDOR PORTA VAJILLA"/>
    <s v="ESCURRIDOR PORTAVAJILLA-ROSADO"/>
    <n v="307"/>
    <n v="4"/>
    <n v="72.2"/>
    <x v="1"/>
    <m/>
    <n v="10"/>
    <n v="1127"/>
    <n v="21185"/>
    <s v="ROSADO"/>
    <n v="4"/>
    <n v="0"/>
    <n v="0"/>
    <n v="75.522000000000006"/>
    <n v="72.2"/>
    <n v="246"/>
    <n v="293.4959349593496"/>
    <x v="5"/>
    <x v="0"/>
    <n v="24"/>
    <n v="1"/>
    <n v="25.583333333333332"/>
  </r>
  <r>
    <d v="2025-06-28T07:20:00"/>
    <s v="INYECTADO"/>
    <x v="7"/>
    <x v="133"/>
    <s v="CRISALIDA ZAPATA"/>
    <s v="VIRGEN"/>
    <s v="PP CLARIFICADO"/>
    <s v="."/>
    <s v="ESCURRIDOR PORTA VAJILLA"/>
    <s v="ESCURRIDOR PORTAVAJILLA-ROSADO"/>
    <n v="157"/>
    <n v="2"/>
    <n v="36.9"/>
    <x v="0"/>
    <m/>
    <n v="4"/>
    <n v="1127"/>
    <n v="21186"/>
    <s v="ROSADO"/>
    <n v="2.4"/>
    <n v="0"/>
    <n v="0"/>
    <n v="38.622"/>
    <n v="36.9"/>
    <n v="246"/>
    <n v="150"/>
    <x v="5"/>
    <x v="0"/>
    <n v="24"/>
    <n v="1"/>
    <n v="13.083333333333334"/>
  </r>
  <r>
    <d v="2025-06-28T07:20:00"/>
    <s v="INYECTADO"/>
    <x v="7"/>
    <x v="133"/>
    <s v="CRISALIDA ZAPATA"/>
    <s v="VIRGEN"/>
    <s v="PP CLARIFICADO"/>
    <s v="."/>
    <s v="ESCURRIDOR PORTA VAJILLA"/>
    <s v="ESCURRIDOR PORTAVAJILLA-CREMA"/>
    <n v="464"/>
    <n v="4"/>
    <n v="109.2"/>
    <x v="0"/>
    <m/>
    <n v="16"/>
    <n v="1127"/>
    <n v="21186"/>
    <s v="CREMA"/>
    <n v="7.1"/>
    <n v="0"/>
    <n v="0"/>
    <n v="114.14400000000001"/>
    <n v="109.2"/>
    <n v="246"/>
    <n v="443.90243902439022"/>
    <x v="5"/>
    <x v="0"/>
    <n v="24"/>
    <n v="1"/>
    <n v="38.666666666666664"/>
  </r>
  <r>
    <d v="2025-06-28T07:20:00"/>
    <s v="INYECTADO"/>
    <x v="7"/>
    <x v="133"/>
    <s v="CRISALIDA ZAPATA"/>
    <s v="VIRGEN"/>
    <s v="PP CLARIFICADO"/>
    <s v="."/>
    <s v="ESCURRIDOR PORTA VAJILLA"/>
    <s v="ESCURRIDOR PORTAVAJILLA-LILA"/>
    <n v="482"/>
    <n v="4"/>
    <n v="113.5"/>
    <x v="0"/>
    <m/>
    <n v="12"/>
    <n v="1127"/>
    <n v="21186"/>
    <s v="LILA"/>
    <n v="8.5"/>
    <n v="0"/>
    <n v="0"/>
    <n v="118.572"/>
    <n v="113.5"/>
    <n v="246"/>
    <n v="461.3821138211382"/>
    <x v="5"/>
    <x v="0"/>
    <n v="24"/>
    <n v="1"/>
    <n v="40.166666666666664"/>
  </r>
  <r>
    <d v="2025-06-28T07:20:00"/>
    <s v="INYECTADO"/>
    <x v="7"/>
    <x v="133"/>
    <s v="JOSDER GONZALEZ"/>
    <s v="VIRGEN"/>
    <s v="PP CLARIFICADO"/>
    <s v="."/>
    <s v="ESCURRIDOR PORTA VAJILLA"/>
    <s v="ESCURRIDOR PORTAVAJILLA-VERDE"/>
    <n v="380"/>
    <n v="3"/>
    <n v="90.6"/>
    <x v="1"/>
    <m/>
    <n v="12"/>
    <n v="1127"/>
    <n v="21187"/>
    <s v="VERDE"/>
    <n v="9.1"/>
    <n v="0"/>
    <n v="0"/>
    <n v="93.48"/>
    <n v="90.6"/>
    <n v="246"/>
    <n v="368.29268292682929"/>
    <x v="5"/>
    <x v="0"/>
    <n v="24"/>
    <n v="1"/>
    <n v="31.666666666666668"/>
  </r>
  <r>
    <d v="2025-06-28T07:20:00"/>
    <s v="INYECTADO"/>
    <x v="7"/>
    <x v="134"/>
    <s v="JUAN ROSALES"/>
    <s v="VIRGEN"/>
    <s v="PP CLARIFICADO"/>
    <s v="."/>
    <s v="ESCURRIDOR PORTA VAJILLA"/>
    <s v="ESCURRIDOR PORTAVAJILLA-VERDE"/>
    <n v="105"/>
    <n v="1"/>
    <n v="25"/>
    <x v="0"/>
    <m/>
    <n v="2"/>
    <n v="1127"/>
    <n v="21188"/>
    <s v="VERDE"/>
    <n v="0"/>
    <n v="0"/>
    <n v="0"/>
    <n v="25.83"/>
    <n v="25"/>
    <n v="246"/>
    <n v="101.6260162601626"/>
    <x v="5"/>
    <x v="0"/>
    <n v="24"/>
    <n v="1"/>
    <n v="8.75"/>
  </r>
  <r>
    <d v="2025-06-28T07:20:00"/>
    <s v="INYECTADO"/>
    <x v="7"/>
    <x v="134"/>
    <s v="JUAN ROSALES"/>
    <s v="VIRGEN"/>
    <s v="PP CLARIFICADO"/>
    <s v="."/>
    <s v="ESCURRIDOR PORTA VAJILLA"/>
    <s v="ESCURRIDOR PORTAVAJILLA-TURQUESA"/>
    <n v="801"/>
    <n v="8"/>
    <n v="189.1"/>
    <x v="0"/>
    <m/>
    <n v="27"/>
    <n v="1127"/>
    <n v="21188"/>
    <s v="TURQUESA"/>
    <n v="10.199999999999999"/>
    <n v="0"/>
    <n v="0"/>
    <n v="197.04599999999999"/>
    <n v="189.1"/>
    <n v="246"/>
    <n v="768.69918699186996"/>
    <x v="5"/>
    <x v="0"/>
    <n v="24"/>
    <n v="1"/>
    <n v="66.75"/>
  </r>
  <r>
    <d v="2025-06-28T07:20:00"/>
    <s v="INYECTADO"/>
    <x v="7"/>
    <x v="134"/>
    <s v="JUAN ROSALES"/>
    <s v="VIRGEN"/>
    <s v="PP CLARIFICADO"/>
    <s v="."/>
    <s v="ESCURRIDOR PORTA VAJILLA"/>
    <s v="ESCURRIDOR PORTAVAJILLA-MELON"/>
    <n v="192"/>
    <n v="2"/>
    <n v="45.5"/>
    <x v="0"/>
    <m/>
    <n v="4"/>
    <n v="1127"/>
    <n v="21188"/>
    <s v="MELON"/>
    <n v="0"/>
    <n v="0"/>
    <n v="0"/>
    <n v="47.231999999999999"/>
    <n v="45.5"/>
    <n v="246"/>
    <n v="184.95934959349594"/>
    <x v="5"/>
    <x v="0"/>
    <n v="24"/>
    <n v="1"/>
    <n v="16"/>
  </r>
  <r>
    <d v="2025-06-28T07:20:00"/>
    <s v="INYECTADO"/>
    <x v="7"/>
    <x v="126"/>
    <s v="LUIS PINEDO"/>
    <s v="VIRGEN"/>
    <s v="PP CLARIFICADO"/>
    <s v="."/>
    <s v="ESCURRIDOR PORTA VAJILLA"/>
    <s v="ESCURRIDOR PORTAVAJILLA-MELON"/>
    <n v="525"/>
    <n v="5"/>
    <n v="122.5"/>
    <x v="0"/>
    <m/>
    <n v="14"/>
    <n v="1127"/>
    <n v="21189"/>
    <s v="MELON"/>
    <n v="5.2"/>
    <n v="0"/>
    <n v="0"/>
    <n v="129.15"/>
    <n v="122.5"/>
    <n v="246"/>
    <n v="497.96747967479672"/>
    <x v="5"/>
    <x v="0"/>
    <n v="24"/>
    <n v="1"/>
    <n v="43.75"/>
  </r>
  <r>
    <d v="2025-06-28T07:20:00"/>
    <s v="INYECTADO"/>
    <x v="7"/>
    <x v="126"/>
    <s v="LUIS PINEDO"/>
    <s v="VIRGEN"/>
    <s v="PP CLARIFICADO"/>
    <s v="."/>
    <s v="ESCURRIDOR PORTA VAJILLA"/>
    <s v="ESCURRIDOR PORTAVAJILLA-ROSADO"/>
    <n v="545"/>
    <n v="5"/>
    <n v="127"/>
    <x v="0"/>
    <m/>
    <n v="18"/>
    <n v="1127"/>
    <n v="21189"/>
    <s v="ROSADO"/>
    <n v="4.2"/>
    <n v="0"/>
    <n v="0"/>
    <n v="134.07"/>
    <n v="127"/>
    <n v="246"/>
    <n v="516.26016260162601"/>
    <x v="5"/>
    <x v="0"/>
    <n v="24"/>
    <n v="1"/>
    <n v="45.416666666666664"/>
  </r>
  <r>
    <d v="2025-06-28T07:20:00"/>
    <s v="INYECTADO"/>
    <x v="7"/>
    <x v="126"/>
    <s v="JUAN MANUEL PEREZ"/>
    <s v="VIRGEN"/>
    <s v="PP CLARIFICADO"/>
    <s v="."/>
    <s v="ESCURRIDOR PORTA VAJILLA"/>
    <s v="ESCURRIDOR PORTAVAJILLA-LILA"/>
    <n v="931"/>
    <n v="9"/>
    <n v="220.3"/>
    <x v="1"/>
    <m/>
    <n v="31"/>
    <n v="1127"/>
    <n v="21190"/>
    <s v="LILA"/>
    <n v="1"/>
    <n v="0"/>
    <n v="0"/>
    <n v="229.02600000000001"/>
    <n v="220.3"/>
    <n v="246"/>
    <n v="895.52845528455282"/>
    <x v="5"/>
    <x v="0"/>
    <n v="24"/>
    <n v="1"/>
    <n v="77.583333333333329"/>
  </r>
  <r>
    <d v="2025-06-28T07:20:00"/>
    <s v="INYECTADO"/>
    <x v="7"/>
    <x v="126"/>
    <s v="JUAN MANUEL PEREZ"/>
    <s v="VIRGEN"/>
    <s v="PP CLARIFICADO"/>
    <s v="."/>
    <s v="ESCURRIDOR PORTA VAJILLA"/>
    <s v="ESCURRIDOR PORTAVAJILLA-ROSADO"/>
    <n v="138"/>
    <n v="1"/>
    <n v="32.700000000000003"/>
    <x v="1"/>
    <m/>
    <n v="5"/>
    <n v="1127"/>
    <n v="21190"/>
    <s v="ROSADO"/>
    <n v="1"/>
    <n v="0"/>
    <n v="0"/>
    <n v="33.948"/>
    <n v="32.700000000000003"/>
    <n v="246"/>
    <n v="132.92682926829269"/>
    <x v="5"/>
    <x v="0"/>
    <n v="24"/>
    <n v="1"/>
    <n v="11.5"/>
  </r>
  <r>
    <d v="2025-06-28T07:20:00"/>
    <s v="INYECTADO"/>
    <x v="7"/>
    <x v="127"/>
    <s v="JUAN ROSALES"/>
    <s v="VIRGEN"/>
    <s v="PP CLARIFICADO"/>
    <s v="."/>
    <s v="ESCURRIDOR PORTA VAJILLA"/>
    <s v="ESCURRIDOR PORTAVAJILLA-MELON"/>
    <n v="177"/>
    <n v="2"/>
    <n v="41.5"/>
    <x v="0"/>
    <m/>
    <n v="6"/>
    <n v="1127"/>
    <n v="21191"/>
    <s v="MELON"/>
    <n v="0"/>
    <n v="0"/>
    <n v="0"/>
    <n v="43.542000000000002"/>
    <n v="41.5"/>
    <n v="246"/>
    <n v="168.69918699186991"/>
    <x v="5"/>
    <x v="0"/>
    <n v="24"/>
    <n v="1"/>
    <n v="14.75"/>
  </r>
  <r>
    <d v="2025-06-28T07:20:00"/>
    <s v="INYECTADO"/>
    <x v="7"/>
    <x v="127"/>
    <s v="JUAN ROSALES"/>
    <s v="VIRGEN"/>
    <s v="PP CLARIFICADO"/>
    <s v="."/>
    <s v="ESCURRIDOR PORTA VAJILLA"/>
    <s v="ESCURRIDOR PORTAVAJILLA-ROSADO"/>
    <n v="513"/>
    <n v="5"/>
    <n v="120.1"/>
    <x v="0"/>
    <m/>
    <n v="17"/>
    <n v="1127"/>
    <n v="21191"/>
    <s v="ROSADO"/>
    <n v="0"/>
    <n v="0"/>
    <n v="0"/>
    <n v="126.19799999999999"/>
    <n v="120.1"/>
    <n v="246"/>
    <n v="488.21138211382112"/>
    <x v="5"/>
    <x v="0"/>
    <n v="24"/>
    <n v="1"/>
    <n v="42.75"/>
  </r>
  <r>
    <d v="2025-06-28T07:20:00"/>
    <s v="INYECTADO"/>
    <x v="7"/>
    <x v="127"/>
    <s v="JUAN ROSALES"/>
    <s v="VIRGEN"/>
    <s v="PP CLARIFICADO"/>
    <s v="."/>
    <s v="ESCURRIDOR PORTA VAJILLA"/>
    <s v="ESCURRIDOR PORTAVAJILLA-LILA"/>
    <n v="213"/>
    <n v="2"/>
    <n v="49.9"/>
    <x v="0"/>
    <m/>
    <n v="7"/>
    <n v="1127"/>
    <n v="21191"/>
    <s v="LILA"/>
    <n v="0"/>
    <n v="0"/>
    <n v="0"/>
    <n v="52.398000000000003"/>
    <n v="49.9"/>
    <n v="246"/>
    <n v="202.84552845528455"/>
    <x v="5"/>
    <x v="0"/>
    <n v="24"/>
    <n v="1"/>
    <n v="17.75"/>
  </r>
  <r>
    <d v="2025-06-28T07:20:00"/>
    <s v="INYECTADO"/>
    <x v="7"/>
    <x v="127"/>
    <s v="GABRIEL REQUENA"/>
    <s v="VIRGEN"/>
    <s v="PP CLARIFICADO"/>
    <s v="."/>
    <s v="ESCURRIDOR PORTA VAJILLA"/>
    <s v="ESCURRIDOR PORTAVAJILLA-MELON"/>
    <n v="288"/>
    <n v="2"/>
    <n v="68.2"/>
    <x v="0"/>
    <m/>
    <n v="10"/>
    <n v="1127"/>
    <n v="21192"/>
    <s v="MELON"/>
    <n v="7.3"/>
    <n v="0"/>
    <n v="0"/>
    <n v="70.847999999999999"/>
    <n v="68.2"/>
    <n v="246"/>
    <n v="277.23577235772359"/>
    <x v="5"/>
    <x v="0"/>
    <n v="24"/>
    <n v="1"/>
    <n v="24"/>
  </r>
  <r>
    <d v="2025-06-28T07:20:00"/>
    <s v="INYECTADO"/>
    <x v="7"/>
    <x v="127"/>
    <s v="GABRIEL REQUENA"/>
    <s v="VIRGEN"/>
    <s v="PP CLARIFICADO"/>
    <s v="."/>
    <s v="ESCURRIDOR PORTA VAJILLA"/>
    <s v="ESCURRIDOR PORTAVAJILLA-TURQUESA"/>
    <n v="434"/>
    <n v="4"/>
    <n v="102.7"/>
    <x v="0"/>
    <m/>
    <n v="14"/>
    <n v="1127"/>
    <n v="21192"/>
    <s v="TURQUESA"/>
    <n v="6.9"/>
    <n v="0"/>
    <n v="0"/>
    <n v="106.764"/>
    <n v="102.7"/>
    <n v="246"/>
    <n v="417.47967479674799"/>
    <x v="5"/>
    <x v="0"/>
    <n v="24"/>
    <n v="1"/>
    <n v="36.166666666666664"/>
  </r>
  <r>
    <d v="2025-06-28T07:20:00"/>
    <s v="INYECTADO"/>
    <x v="7"/>
    <x v="114"/>
    <s v="ISABEL LINARIZ "/>
    <s v="VIRGEN"/>
    <s v="PP CLARIFICADO"/>
    <s v="."/>
    <s v="ESCURRIDOR PORTA VAJILLA"/>
    <s v="ESCURRIDOR PORTAVAJILLA-CREMA"/>
    <n v="357"/>
    <n v="3"/>
    <n v="85.2"/>
    <x v="0"/>
    <m/>
    <n v="12"/>
    <n v="1127"/>
    <n v="21193"/>
    <s v="CREMA"/>
    <n v="4.5999999999999996"/>
    <n v="0"/>
    <n v="0"/>
    <n v="87.822000000000003"/>
    <n v="85.2"/>
    <n v="246"/>
    <n v="346.34146341463412"/>
    <x v="5"/>
    <x v="0"/>
    <n v="25"/>
    <n v="1"/>
    <n v="29.75"/>
  </r>
  <r>
    <d v="2025-06-28T07:20:00"/>
    <s v="INYECTADO"/>
    <x v="7"/>
    <x v="114"/>
    <s v="ISABEL LINARIZ "/>
    <s v="VIRGEN"/>
    <s v="PP CLARIFICADO"/>
    <s v="."/>
    <s v="ESCURRIDOR PORTA VAJILLA"/>
    <s v="ESCURRIDOR PORTAVAJILLA-TURQUESA"/>
    <n v="45"/>
    <n v="1"/>
    <n v="10.7"/>
    <x v="0"/>
    <m/>
    <n v="2"/>
    <n v="1127"/>
    <n v="21193"/>
    <s v="TURQUESA"/>
    <n v="5.6"/>
    <n v="0"/>
    <n v="0"/>
    <n v="11.07"/>
    <n v="10.7"/>
    <n v="246"/>
    <n v="43.49593495934959"/>
    <x v="5"/>
    <x v="0"/>
    <n v="25"/>
    <n v="1"/>
    <n v="3.75"/>
  </r>
  <r>
    <d v="2025-06-28T07:20:00"/>
    <s v="INYECTADO"/>
    <x v="7"/>
    <x v="114"/>
    <s v="ISABEL LINARIZ "/>
    <s v="VIRGEN"/>
    <s v="PP CLARIFICADO"/>
    <s v="."/>
    <s v="ESCURRIDOR PORTA VAJILLA"/>
    <s v="ESCURRIDOR PORTAVAJILLA-VERDE"/>
    <n v="478"/>
    <n v="4"/>
    <n v="114"/>
    <x v="0"/>
    <m/>
    <n v="26"/>
    <n v="1127"/>
    <n v="21193"/>
    <s v="VERDE"/>
    <n v="8.6999999999999993"/>
    <n v="0"/>
    <n v="0"/>
    <n v="117.58799999999999"/>
    <n v="114"/>
    <n v="246"/>
    <n v="463.41463414634148"/>
    <x v="5"/>
    <x v="0"/>
    <n v="25"/>
    <n v="1"/>
    <n v="39.833333333333336"/>
  </r>
  <r>
    <d v="2025-06-28T07:20:00"/>
    <s v="INYECTADO"/>
    <x v="7"/>
    <x v="114"/>
    <s v="JOSDER GONZALEZ"/>
    <s v="VIRGEN"/>
    <s v="PP CLARIFICADO"/>
    <s v="."/>
    <s v="ESCURRIDOR PORTA VAJILLA"/>
    <s v="ESCURRIDOR PORTAVAJILLA-CREMA"/>
    <n v="187"/>
    <n v="2"/>
    <n v="42.7"/>
    <x v="1"/>
    <m/>
    <n v="7"/>
    <n v="1127"/>
    <n v="21194"/>
    <s v="CREMA"/>
    <n v="1.4"/>
    <n v="0"/>
    <n v="0"/>
    <n v="46.002000000000002"/>
    <n v="42.7"/>
    <n v="246"/>
    <n v="173.57723577235771"/>
    <x v="5"/>
    <x v="0"/>
    <n v="25"/>
    <n v="1"/>
    <n v="15.583333333333334"/>
  </r>
  <r>
    <d v="2025-06-28T07:20:00"/>
    <s v="INYECTADO"/>
    <x v="7"/>
    <x v="115"/>
    <s v="GABRIEL ORDAZ"/>
    <s v="VIRGEN"/>
    <s v="PP CLARIFICADO"/>
    <s v="."/>
    <s v="ESCURRIDOR PORTA VAJILLA"/>
    <s v="ESCURRIDOR PORTAVAJILLA-CREMA"/>
    <n v="394"/>
    <n v="3"/>
    <n v="92"/>
    <x v="0"/>
    <m/>
    <n v="14"/>
    <n v="1127"/>
    <n v="21195"/>
    <s v="CREMA"/>
    <n v="1"/>
    <n v="0"/>
    <n v="0"/>
    <n v="96.924000000000007"/>
    <n v="92"/>
    <n v="246"/>
    <n v="373.98373983739839"/>
    <x v="5"/>
    <x v="0"/>
    <n v="25"/>
    <n v="1"/>
    <n v="32.833333333333336"/>
  </r>
  <r>
    <d v="2025-06-28T07:20:00"/>
    <s v="INYECTADO"/>
    <x v="7"/>
    <x v="115"/>
    <s v="GABRIEL ORDAZ"/>
    <s v="VIRGEN"/>
    <s v="PP CLARIFICADO"/>
    <s v="."/>
    <s v="ESCURRIDOR PORTA VAJILLA"/>
    <s v="ESCURRIDOR PORTAVAJILLA-MELON"/>
    <n v="423"/>
    <n v="4"/>
    <n v="99.2"/>
    <x v="0"/>
    <m/>
    <n v="9"/>
    <n v="1127"/>
    <n v="21195"/>
    <s v="MELON"/>
    <n v="1"/>
    <n v="0"/>
    <n v="0"/>
    <n v="104.05800000000001"/>
    <n v="99.2"/>
    <n v="246"/>
    <n v="403.2520325203252"/>
    <x v="5"/>
    <x v="0"/>
    <n v="25"/>
    <n v="1"/>
    <n v="35.25"/>
  </r>
  <r>
    <d v="2025-06-28T07:20:00"/>
    <s v="INYECTADO"/>
    <x v="7"/>
    <x v="115"/>
    <s v="GABRIEL ORDAZ"/>
    <s v="VIRGEN"/>
    <s v="PP CLARIFICADO"/>
    <s v="."/>
    <s v="ESCURRIDOR PORTA VAJILLA"/>
    <s v="ESCURRIDOR PORTAVAJILLA-VERDE"/>
    <n v="174"/>
    <n v="2"/>
    <n v="40.799999999999997"/>
    <x v="0"/>
    <m/>
    <n v="5"/>
    <n v="1127"/>
    <n v="21195"/>
    <s v="VERDE"/>
    <n v="1"/>
    <n v="0"/>
    <n v="0"/>
    <n v="42.804000000000002"/>
    <n v="40.799999999999997"/>
    <n v="246"/>
    <n v="165.85365853658536"/>
    <x v="5"/>
    <x v="0"/>
    <n v="25"/>
    <n v="1"/>
    <n v="14.5"/>
  </r>
  <r>
    <d v="2025-06-28T07:20:00"/>
    <s v="INYECTADO"/>
    <x v="7"/>
    <x v="115"/>
    <s v="JOSDER GONZALEZ"/>
    <s v="VIRGEN"/>
    <s v="PP CLARIFICADO"/>
    <s v="."/>
    <s v="ESCURRIDOR PORTA VAJILLA"/>
    <s v="ESCURRIDOR PORTAVAJILLA-VERDE"/>
    <n v="251"/>
    <n v="2"/>
    <n v="58.9"/>
    <x v="1"/>
    <m/>
    <n v="9"/>
    <n v="1127"/>
    <n v="21196"/>
    <s v="VERDE"/>
    <n v="7.8"/>
    <n v="0"/>
    <n v="0"/>
    <n v="61.746000000000002"/>
    <n v="58.9"/>
    <n v="246"/>
    <n v="239.4308943089431"/>
    <x v="5"/>
    <x v="0"/>
    <n v="25"/>
    <n v="1"/>
    <n v="20.916666666666668"/>
  </r>
  <r>
    <d v="2025-06-28T07:20:00"/>
    <s v="INYECTADO"/>
    <x v="7"/>
    <x v="115"/>
    <s v="JOSDER GONZALEZ"/>
    <s v="VIRGEN"/>
    <s v="PP CLARIFICADO"/>
    <s v="."/>
    <s v="ESCURRIDOR PORTA VAJILLA"/>
    <s v="ESCURRIDOR PORTAVAJILLA-TURQUESA"/>
    <n v="364"/>
    <n v="3"/>
    <n v="85.3"/>
    <x v="1"/>
    <m/>
    <n v="12"/>
    <n v="1127"/>
    <n v="21196"/>
    <s v="TURQUESA"/>
    <n v="11.3"/>
    <n v="0"/>
    <n v="0"/>
    <n v="89.543999999999997"/>
    <n v="85.3"/>
    <n v="246"/>
    <n v="346.7479674796748"/>
    <x v="5"/>
    <x v="0"/>
    <n v="25"/>
    <n v="1"/>
    <n v="30.333333333333332"/>
  </r>
  <r>
    <d v="2025-06-28T07:20:00"/>
    <s v="INYECTADO"/>
    <x v="7"/>
    <x v="115"/>
    <s v="JOSDER GONZALEZ"/>
    <s v="VIRGEN"/>
    <s v="PP CLARIFICADO"/>
    <s v="."/>
    <s v="ESCURRIDOR PORTA VAJILLA"/>
    <s v="ESCURRIDOR PORTAVAJILLA-ROSADO"/>
    <n v="395"/>
    <n v="3"/>
    <n v="92.6"/>
    <x v="1"/>
    <m/>
    <n v="13"/>
    <n v="1127"/>
    <n v="21196"/>
    <s v="ROSADO"/>
    <n v="4.5999999999999996"/>
    <n v="0"/>
    <n v="0"/>
    <n v="97.17"/>
    <n v="92.6"/>
    <n v="246"/>
    <n v="376.42276422764229"/>
    <x v="5"/>
    <x v="0"/>
    <n v="25"/>
    <n v="1"/>
    <n v="32.916666666666664"/>
  </r>
  <r>
    <d v="2025-06-28T07:20:00"/>
    <s v="INYECTADO"/>
    <x v="7"/>
    <x v="116"/>
    <s v="CRISALIDA ZAPATA"/>
    <s v="VIRGEN"/>
    <s v="PP CLARIFICADO"/>
    <s v="."/>
    <s v="ESCURRIDOR PORTA VAJILLA"/>
    <s v="ESCURRIDOR PORTAVAJILLA-LILA"/>
    <n v="455"/>
    <n v="5"/>
    <n v="106.5"/>
    <x v="0"/>
    <m/>
    <n v="15"/>
    <n v="1127"/>
    <n v="21197"/>
    <s v="LILA"/>
    <n v="11.3"/>
    <n v="0"/>
    <n v="0"/>
    <n v="111.93"/>
    <n v="106.5"/>
    <n v="246"/>
    <n v="432.92682926829269"/>
    <x v="5"/>
    <x v="0"/>
    <n v="25"/>
    <n v="1"/>
    <n v="37.916666666666664"/>
  </r>
  <r>
    <d v="2025-06-28T07:20:00"/>
    <s v="INYECTADO"/>
    <x v="7"/>
    <x v="116"/>
    <s v="CRISALIDA ZAPATA"/>
    <s v="VIRGEN"/>
    <s v="PP CLARIFICADO"/>
    <s v="."/>
    <s v="ESCURRIDOR PORTA VAJILLA"/>
    <s v="ESCURRIDOR PORTAVAJILLA-ROSADO"/>
    <n v="60"/>
    <n v="1"/>
    <n v="14.2"/>
    <x v="0"/>
    <m/>
    <n v="2"/>
    <n v="1127"/>
    <n v="21197"/>
    <s v="ROSADO"/>
    <n v="2.1"/>
    <n v="0"/>
    <n v="0"/>
    <n v="14.76"/>
    <n v="14.2"/>
    <n v="246"/>
    <n v="57.72357723577236"/>
    <x v="5"/>
    <x v="0"/>
    <n v="25"/>
    <n v="1"/>
    <n v="5"/>
  </r>
  <r>
    <d v="2025-06-28T07:20:00"/>
    <s v="INYECTADO"/>
    <x v="7"/>
    <x v="117"/>
    <s v="GABRIEL ORDAZ"/>
    <s v="VIRGEN"/>
    <s v="PP CLARIFICADO"/>
    <s v="."/>
    <s v="ORGANIZADOR DE 10KG"/>
    <s v="BASE ORGANIZADOR DE 10KG-TRANSPARENTE"/>
    <n v="885"/>
    <n v="8"/>
    <n v="289.60000000000002"/>
    <x v="0"/>
    <m/>
    <n v="35"/>
    <n v="1132"/>
    <n v="21198"/>
    <s v="TRANSPARENTE"/>
    <n v="6.5"/>
    <n v="0"/>
    <n v="0"/>
    <n v="294.70499999999998"/>
    <n v="289.60000000000002"/>
    <n v="333"/>
    <n v="869.6696696696697"/>
    <x v="5"/>
    <x v="0"/>
    <n v="25"/>
    <n v="1"/>
    <n v="73.75"/>
  </r>
  <r>
    <d v="2025-06-28T07:20:00"/>
    <s v="INYECTADO"/>
    <x v="7"/>
    <x v="117"/>
    <s v="JOSDER GONZALEZ"/>
    <s v="VIRGEN"/>
    <s v="PP CLARIFICADO"/>
    <s v="."/>
    <s v="ORGANIZADOR DE 10KG"/>
    <s v="BASE ORGANIZADOR DE 10KG-TRANSPARENTE"/>
    <n v="1082"/>
    <n v="12"/>
    <n v="353.9"/>
    <x v="1"/>
    <m/>
    <n v="24"/>
    <n v="1132"/>
    <n v="22201"/>
    <s v="TRANSPARENTE"/>
    <n v="6.9"/>
    <n v="0"/>
    <n v="0"/>
    <n v="360.30599999999998"/>
    <n v="353.9"/>
    <n v="333"/>
    <n v="1062.7627627627628"/>
    <x v="5"/>
    <x v="0"/>
    <n v="25"/>
    <n v="1"/>
    <n v="90.166666666666671"/>
  </r>
  <r>
    <d v="2025-06-28T07:20:00"/>
    <s v="INYECTADO"/>
    <x v="7"/>
    <x v="118"/>
    <s v="ISABEL LINARIZ "/>
    <s v="VIRGEN"/>
    <s v="PP CLARIFICADO"/>
    <s v="."/>
    <s v="ORGANIZADOR DE 10KG"/>
    <s v="BASE ORGANIZADOR DE 10KG-TRANSPARENTE"/>
    <n v="568"/>
    <n v="7"/>
    <n v="185.1"/>
    <x v="0"/>
    <m/>
    <n v="24"/>
    <n v="1132"/>
    <n v="22202"/>
    <s v="TRANSPARENTE"/>
    <n v="0"/>
    <n v="0"/>
    <n v="0"/>
    <n v="189.14400000000001"/>
    <n v="185.1"/>
    <n v="333"/>
    <n v="555.85585585585591"/>
    <x v="5"/>
    <x v="0"/>
    <n v="25"/>
    <n v="1"/>
    <n v="47.333333333333336"/>
  </r>
  <r>
    <d v="2025-06-28T07:20:00"/>
    <s v="INYECTADO"/>
    <x v="7"/>
    <x v="118"/>
    <s v="ISABEL LINARIZ "/>
    <s v="VIRGEN"/>
    <s v="PP CLARIFICADO"/>
    <s v="."/>
    <s v="ORGANIZADOR DE 10KG PASTEL"/>
    <s v="BASE ORGANIZADOR DE 10KG PASTEL-CELESTE"/>
    <n v="155"/>
    <n v="2"/>
    <n v="50.7"/>
    <x v="0"/>
    <m/>
    <n v="8"/>
    <n v="1132"/>
    <n v="22202"/>
    <s v="CELESTE"/>
    <n v="7.9"/>
    <n v="0"/>
    <n v="0"/>
    <n v="51.615000000000002"/>
    <n v="50.7"/>
    <n v="333"/>
    <n v="152.25225225225225"/>
    <x v="5"/>
    <x v="0"/>
    <n v="25"/>
    <n v="1"/>
    <n v="12.916666666666666"/>
  </r>
  <r>
    <d v="2025-06-28T07:20:00"/>
    <s v="INYECTADO"/>
    <x v="7"/>
    <x v="118"/>
    <s v="ISABEL LINARIZ "/>
    <s v="VIRGEN"/>
    <s v="PP CLARIFICADO"/>
    <s v="."/>
    <s v="ORGANIZADOR DE 10KG PASTEL"/>
    <s v="BASE ORGANIZADOR DE 10KG PASTEL-TURQUESA"/>
    <n v="184"/>
    <n v="2"/>
    <n v="48.3"/>
    <x v="0"/>
    <m/>
    <n v="6"/>
    <n v="1132"/>
    <n v="22202"/>
    <s v="TURQUESA"/>
    <n v="13.7"/>
    <n v="0"/>
    <n v="0"/>
    <n v="61.271999999999998"/>
    <n v="48.3"/>
    <n v="333"/>
    <n v="145.04504504504504"/>
    <x v="5"/>
    <x v="0"/>
    <n v="25"/>
    <n v="1"/>
    <n v="15.333333333333334"/>
  </r>
  <r>
    <d v="2025-06-28T07:20:00"/>
    <s v="INYECTADO"/>
    <x v="7"/>
    <x v="118"/>
    <s v="ISABEL LINARIZ "/>
    <s v="VIRGEN"/>
    <s v="PP CLARIFICADO"/>
    <s v="."/>
    <s v="ORGANIZADOR DE 10KG PASTEL"/>
    <s v="BASE ORGANIZADOR DE 10KG PASTEL-ROSADO"/>
    <n v="64"/>
    <n v="1"/>
    <n v="20.9"/>
    <x v="0"/>
    <m/>
    <n v="3"/>
    <n v="1132"/>
    <n v="22202"/>
    <s v="ROSADO"/>
    <n v="1.1000000000000001"/>
    <n v="0"/>
    <n v="0"/>
    <n v="21.312000000000001"/>
    <n v="20.9"/>
    <n v="333"/>
    <n v="62.762762762762762"/>
    <x v="5"/>
    <x v="0"/>
    <n v="25"/>
    <n v="1"/>
    <n v="5.333333333333333"/>
  </r>
  <r>
    <d v="2025-06-28T07:20:00"/>
    <s v="INYECTADO"/>
    <x v="7"/>
    <x v="119"/>
    <s v="ISABEL LINARIZ "/>
    <s v="VIRGEN"/>
    <s v="PP CLARIFICADO"/>
    <s v="."/>
    <s v="ORGANIZADOR DE 10KG PASTEL"/>
    <s v="BASE ORGANIZADOR DE 10KG PASTEL-SANDIA"/>
    <n v="146"/>
    <n v="2"/>
    <n v="48"/>
    <x v="0"/>
    <m/>
    <n v="6"/>
    <n v="1132"/>
    <n v="22203"/>
    <s v="SANDIA"/>
    <n v="4.2"/>
    <n v="0"/>
    <n v="0"/>
    <n v="48.618000000000002"/>
    <n v="48"/>
    <n v="333"/>
    <n v="144.14414414414415"/>
    <x v="5"/>
    <x v="0"/>
    <n v="25"/>
    <n v="1"/>
    <n v="12.166666666666666"/>
  </r>
  <r>
    <d v="2025-06-28T07:20:00"/>
    <s v="INYECTADO"/>
    <x v="7"/>
    <x v="119"/>
    <s v="ISABEL LINARIZ "/>
    <s v="VIRGEN"/>
    <s v="PP CLARIFICADO"/>
    <s v="."/>
    <s v="ORGANIZADOR DE 10KG PASTEL"/>
    <s v="BASE ORGANIZADOR DE 10KG PASTEL-ROSADO"/>
    <n v="93"/>
    <n v="1"/>
    <n v="30.5"/>
    <x v="0"/>
    <m/>
    <n v="4"/>
    <n v="1132"/>
    <n v="22203"/>
    <s v="ROSADO"/>
    <n v="7.1"/>
    <n v="0"/>
    <n v="0"/>
    <n v="30.969000000000001"/>
    <n v="30.5"/>
    <n v="333"/>
    <n v="91.591591591591595"/>
    <x v="5"/>
    <x v="0"/>
    <n v="25"/>
    <n v="1"/>
    <n v="7.75"/>
  </r>
  <r>
    <d v="2025-06-28T07:20:00"/>
    <s v="INYECTADO"/>
    <x v="7"/>
    <x v="119"/>
    <s v="ISABEL LINARIZ "/>
    <s v="VIRGEN"/>
    <s v="PP CLARIFICADO"/>
    <s v="."/>
    <s v="ORGANIZADOR DE 10KG PASTEL"/>
    <s v="BASE ORGANIZADOR DE 10KG PASTEL-LILA"/>
    <n v="158"/>
    <n v="2"/>
    <n v="51.7"/>
    <x v="0"/>
    <m/>
    <n v="6"/>
    <n v="1132"/>
    <n v="22203"/>
    <s v="LILA"/>
    <n v="10.199999999999999"/>
    <n v="0"/>
    <n v="0"/>
    <n v="52.613999999999997"/>
    <n v="51.7"/>
    <n v="333"/>
    <n v="155.25525525525526"/>
    <x v="5"/>
    <x v="0"/>
    <n v="25"/>
    <n v="1"/>
    <n v="13.166666666666666"/>
  </r>
  <r>
    <d v="2025-06-28T07:20:00"/>
    <s v="INYECTADO"/>
    <x v="7"/>
    <x v="119"/>
    <s v="ISABEL LINARIZ "/>
    <s v="VIRGEN"/>
    <s v="PP CLARIFICADO"/>
    <s v="."/>
    <s v="ORGANIZADOR DE 10KG PASTEL"/>
    <s v="BASE ORGANIZADOR DE 10KG PASTEL-AZURE"/>
    <n v="146"/>
    <n v="2"/>
    <n v="48"/>
    <x v="0"/>
    <m/>
    <n v="6"/>
    <n v="1132"/>
    <n v="22203"/>
    <s v="AZURE"/>
    <n v="7.3"/>
    <n v="0"/>
    <n v="0"/>
    <n v="48.618000000000002"/>
    <n v="48"/>
    <n v="333"/>
    <n v="144.14414414414415"/>
    <x v="5"/>
    <x v="0"/>
    <n v="25"/>
    <n v="1"/>
    <n v="12.166666666666666"/>
  </r>
  <r>
    <d v="2025-06-28T07:20:00"/>
    <s v="INYECTADO"/>
    <x v="7"/>
    <x v="136"/>
    <s v="CELSO ALEJANDRO"/>
    <s v="VIRGEN"/>
    <s v="PP CLARIFICADO"/>
    <s v="."/>
    <s v="PORTA CUBIERTOS CARAMELO"/>
    <s v="PORTA CUBIERTOS CARAMELO-AMARILLO"/>
    <n v="236"/>
    <n v="3"/>
    <n v="44"/>
    <x v="0"/>
    <m/>
    <n v="3"/>
    <n v="1135"/>
    <n v="22204"/>
    <s v="AMARILLO"/>
    <n v="5.5"/>
    <n v="0"/>
    <n v="0"/>
    <e v="#N/A"/>
    <n v="44"/>
    <e v="#N/A"/>
    <n v="0"/>
    <x v="5"/>
    <x v="0"/>
    <n v="26"/>
    <e v="#N/A"/>
    <e v="#N/A"/>
  </r>
  <r>
    <d v="2025-06-28T07:20:00"/>
    <s v="INYECTADO"/>
    <x v="7"/>
    <x v="136"/>
    <s v="CELSO ALEJANDRO"/>
    <s v="VIRGEN"/>
    <s v="PP CLARIFICADO"/>
    <s v="."/>
    <s v="PORTA CUBIERTOS CARAMELO"/>
    <s v="PORTA CUBIERTOS CARAMELO-VERDE"/>
    <n v="255"/>
    <n v="3"/>
    <n v="47.7"/>
    <x v="0"/>
    <m/>
    <n v="3"/>
    <n v="1135"/>
    <n v="22204"/>
    <s v="VERDE"/>
    <n v="0"/>
    <n v="0"/>
    <n v="0"/>
    <e v="#N/A"/>
    <n v="47.7"/>
    <e v="#N/A"/>
    <n v="0"/>
    <x v="5"/>
    <x v="0"/>
    <n v="26"/>
    <e v="#N/A"/>
    <e v="#N/A"/>
  </r>
  <r>
    <d v="2025-06-28T07:20:00"/>
    <s v="INYECTADO"/>
    <x v="7"/>
    <x v="136"/>
    <s v="CELSO ALEJANDRO"/>
    <s v="VIRGEN"/>
    <s v="PP CLARIFICADO"/>
    <s v="."/>
    <s v="PORTA CUBIERTOS CARAMELO"/>
    <s v="PORTA CUBIERTOS CARAMELO-AZUL"/>
    <n v="263"/>
    <n v="3"/>
    <n v="48.8"/>
    <x v="0"/>
    <m/>
    <n v="3"/>
    <n v="1135"/>
    <n v="22204"/>
    <s v="AZUL"/>
    <n v="0"/>
    <n v="0"/>
    <n v="0"/>
    <e v="#N/A"/>
    <n v="48.8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s v="PORTA CUBIERTOS CARAMELO"/>
    <s v="PORTA CUBIERTOS CARAMELO-FUCSIA"/>
    <n v="263"/>
    <n v="3"/>
    <n v="48.8"/>
    <x v="1"/>
    <m/>
    <n v="4"/>
    <n v="1135"/>
    <n v="22205"/>
    <s v="FUCSIA"/>
    <n v="3.5"/>
    <n v="0"/>
    <n v="0"/>
    <e v="#N/A"/>
    <n v="48.8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s v="PORTA CUBIERTOS CARAMELO"/>
    <s v="PORTA CUBIERTOS CARAMELO-ROJO"/>
    <n v="264"/>
    <n v="3"/>
    <n v="48.9"/>
    <x v="1"/>
    <m/>
    <n v="4"/>
    <n v="1135"/>
    <n v="22205"/>
    <s v="ROJO"/>
    <n v="2.9"/>
    <n v="0"/>
    <n v="0"/>
    <e v="#N/A"/>
    <n v="48.9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s v="PORTA CUBIERTOS CARAMELO"/>
    <s v="PORTA CUBIERTOS CARAMELO-LILA"/>
    <n v="261"/>
    <n v="3"/>
    <n v="48.3"/>
    <x v="1"/>
    <m/>
    <n v="4"/>
    <n v="1135"/>
    <n v="22205"/>
    <s v="LILA"/>
    <n v="6.2"/>
    <n v="0"/>
    <n v="0"/>
    <e v="#N/A"/>
    <n v="48.3"/>
    <e v="#N/A"/>
    <n v="0"/>
    <x v="5"/>
    <x v="0"/>
    <n v="26"/>
    <e v="#N/A"/>
    <e v="#N/A"/>
  </r>
  <r>
    <d v="2025-06-28T07:20:00"/>
    <s v="INYECTADO"/>
    <x v="7"/>
    <x v="136"/>
    <s v="JOSDER GONZALEZ"/>
    <s v="VIRGEN"/>
    <s v="PP CLARIFICADO"/>
    <s v="."/>
    <s v="PORTA CUBIERTOS PASTEL-"/>
    <s v="PORTA CUBIERTOS PASTEL-ROSADO"/>
    <n v="254"/>
    <n v="3"/>
    <n v="47"/>
    <x v="1"/>
    <m/>
    <n v="4"/>
    <n v="1135"/>
    <n v="22205"/>
    <s v="ROSADO"/>
    <n v="4.2"/>
    <n v="0"/>
    <n v="0"/>
    <n v="32.258000000000003"/>
    <n v="47"/>
    <n v="127"/>
    <n v="370.0787401574803"/>
    <x v="5"/>
    <x v="0"/>
    <n v="26"/>
    <n v="6"/>
    <n v="127"/>
  </r>
  <r>
    <d v="2025-06-28T07:20:00"/>
    <s v="INYECTADO"/>
    <x v="7"/>
    <x v="128"/>
    <s v="CELSO ALEJANDRO"/>
    <s v="VIRGEN"/>
    <s v="PP CLARIFICADO"/>
    <s v="."/>
    <s v="PORTA CUBIERTOS PASTEL-"/>
    <s v="PORTA CUBIERTOS PASTEL-LILA"/>
    <n v="245"/>
    <n v="3"/>
    <n v="46.1"/>
    <x v="0"/>
    <m/>
    <n v="3"/>
    <n v="1135"/>
    <n v="22206"/>
    <s v="LILA"/>
    <n v="5.9"/>
    <n v="0"/>
    <n v="0"/>
    <n v="31.114999999999998"/>
    <n v="46.1"/>
    <n v="127"/>
    <n v="362.99212598425197"/>
    <x v="5"/>
    <x v="0"/>
    <n v="26"/>
    <n v="6"/>
    <n v="122.5"/>
  </r>
  <r>
    <d v="2025-06-28T07:20:00"/>
    <s v="INYECTADO"/>
    <x v="7"/>
    <x v="128"/>
    <s v="CELSO ALEJANDRO"/>
    <s v="VIRGEN"/>
    <s v="PP CLARIFICADO"/>
    <s v="."/>
    <s v="PORTA CUBIERTOS PASTEL-"/>
    <s v="PORTA CUBIERTOS PASTEL-CELESTE"/>
    <n v="248"/>
    <n v="3"/>
    <n v="47.5"/>
    <x v="0"/>
    <m/>
    <n v="3"/>
    <n v="1135"/>
    <n v="22206"/>
    <s v="CELESTE"/>
    <n v="2"/>
    <n v="0"/>
    <n v="0"/>
    <n v="31.495999999999999"/>
    <n v="47.5"/>
    <n v="127"/>
    <n v="374.01574803149606"/>
    <x v="5"/>
    <x v="0"/>
    <n v="26"/>
    <n v="6"/>
    <n v="124"/>
  </r>
  <r>
    <d v="2025-06-28T07:20:00"/>
    <s v="INYECTADO"/>
    <x v="7"/>
    <x v="128"/>
    <s v="CELSO ALEJANDRO"/>
    <s v="VIRGEN"/>
    <s v="PP CLARIFICADO"/>
    <s v="."/>
    <s v="PORTA CUBIERTOS PASTEL-"/>
    <s v="PORTA CUBIERTOS PASTEL-TURQUESA"/>
    <n v="263"/>
    <n v="3"/>
    <n v="48.8"/>
    <x v="0"/>
    <m/>
    <n v="3"/>
    <n v="1135"/>
    <n v="22206"/>
    <s v="TURQUESA"/>
    <n v="3.9"/>
    <n v="0"/>
    <n v="0"/>
    <n v="33.401000000000003"/>
    <n v="48.8"/>
    <n v="127"/>
    <n v="384.25196850393701"/>
    <x v="5"/>
    <x v="0"/>
    <n v="26"/>
    <n v="6"/>
    <n v="131.5"/>
  </r>
  <r>
    <d v="2025-06-28T07:20:00"/>
    <s v="INYECTADO"/>
    <x v="7"/>
    <x v="128"/>
    <s v="CELSO ALEJANDRO"/>
    <s v="VIRGEN"/>
    <s v="PP CLARIFICADO"/>
    <s v="."/>
    <s v="PORTA CUBIERTOS PASTEL-"/>
    <s v="PORTA CUBIERTOS PASTEL-CREMA"/>
    <n v="99"/>
    <n v="1"/>
    <n v="6.3"/>
    <x v="0"/>
    <m/>
    <n v="1"/>
    <n v="1135"/>
    <n v="22206"/>
    <s v="CREMA"/>
    <n v="2.8"/>
    <n v="0"/>
    <n v="0"/>
    <n v="12.573"/>
    <n v="6.3"/>
    <n v="127"/>
    <n v="49.606299212598422"/>
    <x v="5"/>
    <x v="0"/>
    <n v="26"/>
    <n v="6"/>
    <n v="49.5"/>
  </r>
  <r>
    <d v="2025-06-28T07:20:00"/>
    <s v="INYECTADO"/>
    <x v="7"/>
    <x v="123"/>
    <s v="CELSO ALEJANDRO"/>
    <s v="VIRGEN"/>
    <s v="PP CLARIFICADO"/>
    <s v="."/>
    <s v="PORTA CUBIERTOS PASTEL-"/>
    <s v="PORTA CUBIERTOS PASTEL-CREMA"/>
    <n v="230"/>
    <n v="3"/>
    <n v="42.9"/>
    <x v="0"/>
    <m/>
    <n v="3"/>
    <n v="1135"/>
    <n v="22207"/>
    <s v="CREMA"/>
    <n v="0"/>
    <n v="0"/>
    <n v="0"/>
    <n v="29.21"/>
    <n v="42.9"/>
    <n v="127"/>
    <n v="337.79527559055117"/>
    <x v="5"/>
    <x v="0"/>
    <n v="26"/>
    <n v="6"/>
    <n v="115"/>
  </r>
  <r>
    <d v="2025-06-28T07:20:00"/>
    <s v="INYECTADO"/>
    <x v="7"/>
    <x v="123"/>
    <s v="CELSO ALEJANDRO"/>
    <s v="VIRGEN"/>
    <s v="PP CLARIFICADO"/>
    <s v="."/>
    <s v="PORTA CUBIERTOS PASTEL-"/>
    <s v="PORTA CUBIERTOS PASTEL-MELON"/>
    <n v="259"/>
    <n v="3"/>
    <n v="48.3"/>
    <x v="0"/>
    <m/>
    <n v="3"/>
    <n v="1135"/>
    <n v="22207"/>
    <s v="MELON"/>
    <n v="0"/>
    <n v="0"/>
    <n v="0"/>
    <n v="32.893000000000001"/>
    <n v="48.3"/>
    <n v="127"/>
    <n v="380.31496062992125"/>
    <x v="5"/>
    <x v="0"/>
    <n v="26"/>
    <n v="6"/>
    <n v="129.5"/>
  </r>
  <r>
    <d v="2025-06-28T07:20:00"/>
    <s v="INYECTADO"/>
    <x v="7"/>
    <x v="123"/>
    <s v="CELSO ALEJANDRO"/>
    <s v="VIRGEN"/>
    <s v="PP CLARIFICADO"/>
    <s v="."/>
    <s v="PORTA CUBIERTOS CARAMELO"/>
    <s v="PORTA CUBIERTOS CARAMELO-AMARILLO"/>
    <n v="10"/>
    <n v="1"/>
    <n v="2"/>
    <x v="0"/>
    <m/>
    <n v="1"/>
    <n v="1135"/>
    <n v="22207"/>
    <s v="AMARILLO"/>
    <n v="0"/>
    <n v="0"/>
    <n v="0"/>
    <e v="#N/A"/>
    <n v="2"/>
    <e v="#N/A"/>
    <n v="0"/>
    <x v="5"/>
    <x v="0"/>
    <n v="26"/>
    <e v="#N/A"/>
    <e v="#N/A"/>
  </r>
  <r>
    <d v="2025-06-28T07:20:00"/>
    <s v="INYECTADO"/>
    <x v="7"/>
    <x v="124"/>
    <s v="NELSON PINEDO"/>
    <s v="VIRGEN"/>
    <s v="PP CLARIFICADO"/>
    <s v="."/>
    <s v="TAPA DE ORGANIZADOR #2"/>
    <s v="TAPA DE ORGANIZADOR #2-TRANSPARENTE"/>
    <n v="867"/>
    <n v="8"/>
    <n v="44.1"/>
    <x v="0"/>
    <m/>
    <n v="7"/>
    <n v="1139"/>
    <n v="22208"/>
    <s v="TRANSPARENTE"/>
    <n v="6.7"/>
    <n v="0"/>
    <n v="0"/>
    <n v="18.207000000000001"/>
    <n v="44.1"/>
    <n v="21"/>
    <n v="2100"/>
    <x v="5"/>
    <x v="0"/>
    <n v="26"/>
    <n v="2"/>
    <n v="144.5"/>
  </r>
  <r>
    <d v="2025-06-29T07:20:00"/>
    <s v="INYECTADO"/>
    <x v="7"/>
    <x v="124"/>
    <s v="JUAN MANUEL PEREZ"/>
    <s v="VIRGEN"/>
    <s v="PP CLARIFICADO"/>
    <s v="."/>
    <s v="TAPA DE ORGANIZADOR #2"/>
    <s v="TAPA DE ORGANIZADOR #2-TRANSPARENTE"/>
    <n v="1583"/>
    <n v="12"/>
    <n v="80.5"/>
    <x v="1"/>
    <m/>
    <n v="14"/>
    <n v="1139"/>
    <n v="22209"/>
    <s v="TRANSPARENTE"/>
    <n v="0"/>
    <n v="0"/>
    <n v="0"/>
    <n v="33.243000000000002"/>
    <n v="80.5"/>
    <n v="21"/>
    <n v="3833.3333333333335"/>
    <x v="5"/>
    <x v="0"/>
    <n v="26"/>
    <n v="2"/>
    <n v="263.83333333333331"/>
  </r>
  <r>
    <d v="2025-06-30T07:20:00"/>
    <s v="INYECTADO"/>
    <x v="7"/>
    <x v="125"/>
    <s v="CRISALIDA ZAPATA"/>
    <s v="VIRGEN"/>
    <s v="PP CLARIFICADO"/>
    <s v="."/>
    <s v="TAPA DE ORGANIZADOR #2"/>
    <s v="TAPA DE ORGANIZADOR #2-TRANSPARENTE"/>
    <n v="1188"/>
    <n v="12"/>
    <n v="48.7"/>
    <x v="0"/>
    <m/>
    <n v="6"/>
    <n v="1139"/>
    <n v="22210"/>
    <s v="TRANSPARENTE"/>
    <n v="6"/>
    <n v="0"/>
    <n v="0"/>
    <n v="24.948"/>
    <n v="48.7"/>
    <n v="21"/>
    <n v="2319.0476190476193"/>
    <x v="5"/>
    <x v="0"/>
    <n v="26"/>
    <n v="2"/>
    <n v="198"/>
  </r>
  <r>
    <d v="2025-06-30T07:20:00"/>
    <s v="INYECTADO"/>
    <x v="7"/>
    <x v="125"/>
    <s v="JUAN MANUEL PEREZ"/>
    <s v="VIRGEN"/>
    <s v="PP CLARIFICADO"/>
    <s v="."/>
    <s v="TAPA DE ORGANIZADOR #2"/>
    <s v="TAPA DE ORGANIZADOR #2-TRANSPARENTE"/>
    <n v="720"/>
    <n v="6"/>
    <n v="31.6"/>
    <x v="1"/>
    <m/>
    <n v="6"/>
    <n v="1139"/>
    <n v="22211"/>
    <s v="TRANSPARENTE"/>
    <n v="2"/>
    <n v="0"/>
    <n v="0"/>
    <n v="15.12"/>
    <n v="31.6"/>
    <n v="21"/>
    <n v="1504.7619047619048"/>
    <x v="5"/>
    <x v="0"/>
    <n v="26"/>
    <n v="2"/>
    <n v="120"/>
  </r>
  <r>
    <d v="2025-06-30T07:20:00"/>
    <s v="INYECTADO"/>
    <x v="7"/>
    <x v="125"/>
    <s v="JUAN MANUEL PEREZ"/>
    <s v="VIRGEN"/>
    <s v="PP CLARIFICADO"/>
    <s v="."/>
    <s v="TAPA DE ORGANIZADOR #2"/>
    <s v="TAPA DE ORGANIZADOR #2-BLANCO"/>
    <n v="720"/>
    <n v="6"/>
    <n v="31.6"/>
    <x v="1"/>
    <m/>
    <n v="6"/>
    <n v="1139"/>
    <n v="22211"/>
    <s v="BLANCO"/>
    <n v="0"/>
    <n v="0"/>
    <n v="0"/>
    <n v="15.12"/>
    <n v="31.6"/>
    <n v="21"/>
    <n v="1504.7619047619048"/>
    <x v="5"/>
    <x v="0"/>
    <n v="26"/>
    <n v="2"/>
    <n v="120"/>
  </r>
  <r>
    <d v="2025-06-30T07:20:00"/>
    <s v="INYECTADO"/>
    <x v="7"/>
    <x v="120"/>
    <s v="CRISALIDA ZAPATA"/>
    <s v="VIRGEN"/>
    <s v="PP CLARIFICADO"/>
    <s v="."/>
    <s v="TAPA DE ORGANIZADOR #2 PASTEL"/>
    <s v="TAPA DE ORGANIZADOR #2-BLANCO"/>
    <n v="1125"/>
    <n v="12"/>
    <n v="49.5"/>
    <x v="0"/>
    <m/>
    <n v="9"/>
    <n v="1139"/>
    <n v="22212"/>
    <s v="BLANCO"/>
    <n v="3.6"/>
    <n v="0"/>
    <n v="0"/>
    <n v="23.625"/>
    <n v="49.5"/>
    <n v="21"/>
    <n v="2357.1428571428573"/>
    <x v="5"/>
    <x v="0"/>
    <n v="26"/>
    <n v="2"/>
    <n v="187.5"/>
  </r>
  <r>
    <d v="2025-06-30T07:20:00"/>
    <s v="INYECTADO"/>
    <x v="7"/>
    <x v="120"/>
    <s v="ISABEL LINARIZ "/>
    <s v="VIRGEN"/>
    <s v="PP CLARIFICADO"/>
    <s v="."/>
    <s v="TAPA DE ORGANIZADOR #2 PASTEL"/>
    <s v="TAPA DE ORGANIZADOR #2-BLANCO"/>
    <n v="348"/>
    <n v="3"/>
    <n v="18.600000000000001"/>
    <x v="1"/>
    <m/>
    <n v="3"/>
    <n v="1139"/>
    <n v="22213"/>
    <s v="BLANCO"/>
    <n v="3.1"/>
    <n v="0"/>
    <n v="0"/>
    <n v="7.3079999999999998"/>
    <n v="18.600000000000001"/>
    <n v="21"/>
    <n v="885.71428571428567"/>
    <x v="5"/>
    <x v="0"/>
    <n v="26"/>
    <n v="2"/>
    <n v="58"/>
  </r>
  <r>
    <d v="2025-06-30T07:20:00"/>
    <s v="INYECTADO"/>
    <x v="7"/>
    <x v="120"/>
    <s v="ISABEL LINARIZ "/>
    <s v="VIRGEN"/>
    <s v="PP CLARIFICADO"/>
    <s v="."/>
    <s v="TAPA DE ORGANIZADOR #2 PASTEL"/>
    <s v="TAPA DE ORGANIZADOR #2 CARAMELO-AMARILLO"/>
    <n v="947"/>
    <n v="9"/>
    <n v="41.7"/>
    <x v="1"/>
    <m/>
    <n v="8"/>
    <n v="1139"/>
    <n v="22213"/>
    <s v="AMARILLO"/>
    <n v="2.7"/>
    <n v="0"/>
    <n v="0"/>
    <n v="19.887"/>
    <n v="41.7"/>
    <n v="21"/>
    <n v="1985.7142857142858"/>
    <x v="5"/>
    <x v="0"/>
    <n v="26"/>
    <n v="2"/>
    <n v="157.83333333333334"/>
  </r>
  <r>
    <d v="2025-06-30T07:20:00"/>
    <s v="INYECTADO"/>
    <x v="7"/>
    <x v="129"/>
    <s v="CRISALIDA ZAPATA"/>
    <s v="VIRGEN"/>
    <s v="PP CLARIFICADO"/>
    <s v="."/>
    <s v="TAPA DE ORGANIZADOR #2 CARAMELO"/>
    <s v="TAPA DE ORGANIZADOR #2 CARAMELO-VERDE"/>
    <n v="986"/>
    <n v="9"/>
    <n v="42.6"/>
    <x v="0"/>
    <m/>
    <n v="8"/>
    <n v="1139"/>
    <n v="22214"/>
    <s v="VERDE"/>
    <n v="5.7"/>
    <n v="0"/>
    <n v="0"/>
    <n v="20.706"/>
    <n v="42.6"/>
    <n v="21"/>
    <n v="2028.5714285714287"/>
    <x v="5"/>
    <x v="0"/>
    <n v="27"/>
    <n v="2"/>
    <n v="164.33333333333334"/>
  </r>
  <r>
    <d v="2025-06-30T07:20:00"/>
    <s v="INYECTADO"/>
    <x v="7"/>
    <x v="129"/>
    <s v="CRISALIDA ZAPATA"/>
    <s v="VIRGEN"/>
    <s v="PP CLARIFICADO"/>
    <s v="."/>
    <s v="TAPA DE ORGANIZADOR #2 CARAMELO"/>
    <s v="TAPA DE ORGANIZADOR #2 CARAMELO-AMARILLO"/>
    <n v="52"/>
    <n v="1"/>
    <n v="2.2000000000000002"/>
    <x v="0"/>
    <m/>
    <n v="1"/>
    <n v="1139"/>
    <n v="22214"/>
    <s v="AMARILLO"/>
    <n v="1.2"/>
    <n v="0"/>
    <n v="0"/>
    <n v="1.0920000000000001"/>
    <n v="2.2000000000000002"/>
    <n v="21"/>
    <n v="104.76190476190476"/>
    <x v="5"/>
    <x v="0"/>
    <n v="27"/>
    <n v="2"/>
    <n v="8.6666666666666661"/>
  </r>
  <r>
    <d v="2025-06-30T07:20:00"/>
    <s v="INYECTADO"/>
    <x v="7"/>
    <x v="129"/>
    <s v="JOSDER GONZALEZ"/>
    <s v="VIRGEN"/>
    <s v="PP CLARIFICADO"/>
    <s v="."/>
    <s v="TAPA DE ORGANIZADOR #2 CARAMELO"/>
    <s v="TAPA DE ORGANIZADOR #2 CARAMELO-AZUL"/>
    <n v="1170"/>
    <n v="9"/>
    <n v="50.6"/>
    <x v="1"/>
    <m/>
    <n v="9"/>
    <n v="1139"/>
    <n v="22215"/>
    <s v="AZUL"/>
    <n v="2.5"/>
    <n v="0"/>
    <n v="0"/>
    <n v="24.57"/>
    <n v="50.6"/>
    <n v="21"/>
    <n v="2409.5238095238096"/>
    <x v="5"/>
    <x v="0"/>
    <n v="27"/>
    <n v="2"/>
    <n v="195"/>
  </r>
  <r>
    <d v="2025-06-30T07:20:00"/>
    <s v="INYECTADO"/>
    <x v="7"/>
    <x v="129"/>
    <s v="JOSDER GONZALEZ"/>
    <s v="VIRGEN"/>
    <s v="PP CLARIFICADO"/>
    <s v="."/>
    <s v="TAPA DE ORGANIZADOR #2 CARAMELO"/>
    <s v="TAPA DE ORGANIZADOR #2 CARAMELO-VERDE"/>
    <n v="58"/>
    <n v="1"/>
    <n v="2.5"/>
    <x v="1"/>
    <m/>
    <n v="1"/>
    <n v="1139"/>
    <n v="22215"/>
    <s v="VERDE"/>
    <n v="2.6"/>
    <n v="0"/>
    <n v="0"/>
    <n v="1.218"/>
    <n v="2.5"/>
    <n v="21"/>
    <n v="119.04761904761905"/>
    <x v="5"/>
    <x v="0"/>
    <n v="27"/>
    <n v="2"/>
    <n v="9.6666666666666661"/>
  </r>
  <r>
    <d v="2025-06-30T07:20:00"/>
    <s v="INYECTADO"/>
    <x v="7"/>
    <x v="129"/>
    <s v="JOSDER GONZALEZ"/>
    <s v="VIRGEN"/>
    <s v="PP CLARIFICADO"/>
    <s v="."/>
    <s v="TAPA DE ORGANIZADOR #2 CARAMELO"/>
    <s v="TAPA DE ORGANIZADOR #2 CARAMELO-FUCSIA"/>
    <n v="105"/>
    <n v="1"/>
    <n v="4.5"/>
    <x v="1"/>
    <m/>
    <n v="1"/>
    <n v="1139"/>
    <n v="22215"/>
    <s v="FUCSIA"/>
    <n v="0.6"/>
    <n v="0"/>
    <n v="0"/>
    <n v="2.2050000000000001"/>
    <n v="4.5"/>
    <n v="21"/>
    <n v="214.28571428571428"/>
    <x v="5"/>
    <x v="0"/>
    <n v="27"/>
    <n v="2"/>
    <n v="17.5"/>
  </r>
  <r>
    <d v="2025-07-17T15:31:00"/>
    <s v="SOPLADO"/>
    <x v="11"/>
    <x v="141"/>
    <s v="NELSON PINEDO"/>
    <s v="VIRGEN"/>
    <s v="PP SOPLADO"/>
    <s v="."/>
    <s v="SALSERO PERITA 225ML"/>
    <s v="SALSERO PERITA 225ML-TRANSPARENTE"/>
    <n v="1680"/>
    <n v="9"/>
    <n v="27.9"/>
    <x v="0"/>
    <m/>
    <n v="3"/>
    <n v="1147"/>
    <n v="20984"/>
    <s v="TRANSPARENTE"/>
    <n v="13.2"/>
    <n v="0"/>
    <n v="0"/>
    <n v="26.88"/>
    <n v="27.9"/>
    <n v="16"/>
    <n v="1743.75"/>
    <x v="6"/>
    <x v="0"/>
    <n v="27"/>
    <n v="2"/>
    <n v="280"/>
  </r>
  <r>
    <d v="2025-07-17T15:31:00"/>
    <s v="SOPLADO"/>
    <x v="11"/>
    <x v="142"/>
    <s v="SAID VILLAMIZAR"/>
    <s v="VIRGEN"/>
    <s v="PP SOPLADO"/>
    <s v="."/>
    <s v="SALSERO PERITA 225ML"/>
    <s v="SALSERO PERITA 225ML-TRANSPARENTE"/>
    <n v="1965"/>
    <n v="11"/>
    <n v="31.5"/>
    <x v="0"/>
    <m/>
    <n v="4"/>
    <n v="1147"/>
    <n v="20985"/>
    <s v="TRANSPARENTE"/>
    <n v="12.5"/>
    <n v="0"/>
    <n v="0"/>
    <n v="31.44"/>
    <n v="31.5"/>
    <n v="16"/>
    <n v="1968.75"/>
    <x v="6"/>
    <x v="0"/>
    <n v="27"/>
    <n v="2"/>
    <n v="327.5"/>
  </r>
  <r>
    <d v="2025-07-17T15:31:00"/>
    <s v="SOPLADO"/>
    <x v="11"/>
    <x v="143"/>
    <s v="GABRIEL REQUENA"/>
    <s v="VIRGEN"/>
    <s v="PP SOPLADO"/>
    <s v="."/>
    <s v="TOMATODO 350ML"/>
    <s v="TOMATODO 350ML-TRANSPARENTE"/>
    <n v="1731"/>
    <n v="10"/>
    <n v="55.4"/>
    <x v="1"/>
    <m/>
    <n v="5"/>
    <n v="1150"/>
    <n v="20986"/>
    <s v="TRANSPARENTE"/>
    <n v="39.4"/>
    <n v="0"/>
    <n v="0"/>
    <n v="107.322"/>
    <n v="55.4"/>
    <n v="62"/>
    <n v="893.54838709677415"/>
    <x v="6"/>
    <x v="0"/>
    <n v="28"/>
    <n v="2"/>
    <n v="288.5"/>
  </r>
  <r>
    <d v="2025-07-17T15:31:00"/>
    <s v="SOPLADO"/>
    <x v="11"/>
    <x v="144"/>
    <s v="CRISALIDA ZAPATA"/>
    <s v="VIRGEN"/>
    <s v="PP SOPLADO"/>
    <s v="."/>
    <s v="TOMATODO 350ML"/>
    <s v="TOMATODO 350ML-TRANSPARENTE"/>
    <n v="1964"/>
    <n v="12"/>
    <n v="60.9"/>
    <x v="0"/>
    <m/>
    <n v="6"/>
    <n v="1150"/>
    <n v="20987"/>
    <s v="TRANSPARENTE"/>
    <n v="31.2"/>
    <n v="0"/>
    <n v="0"/>
    <n v="121.768"/>
    <n v="60.9"/>
    <n v="62"/>
    <n v="982.25806451612902"/>
    <x v="6"/>
    <x v="0"/>
    <n v="28"/>
    <n v="2"/>
    <n v="327.33333333333331"/>
  </r>
  <r>
    <d v="2025-07-17T15:31:00"/>
    <s v="SOPLADO"/>
    <x v="11"/>
    <x v="144"/>
    <s v="JOSDER GONZALEZ"/>
    <s v="VIRGEN"/>
    <s v="PP SOPLADO"/>
    <s v="."/>
    <s v="TOMATODO 350ML PASTEL"/>
    <s v="TOMATODO 350ML PASTEL-TURQUESA"/>
    <n v="1066"/>
    <n v="7"/>
    <n v="34.4"/>
    <x v="1"/>
    <m/>
    <n v="4"/>
    <n v="1150"/>
    <n v="20988"/>
    <s v="TURQUESA"/>
    <n v="26.4"/>
    <n v="0"/>
    <n v="0"/>
    <n v="30.914000000000001"/>
    <n v="34.4"/>
    <n v="29"/>
    <n v="1186.2068965517242"/>
    <x v="6"/>
    <x v="0"/>
    <n v="28"/>
    <n v="1"/>
    <n v="88.833333333333329"/>
  </r>
  <r>
    <d v="2025-07-17T15:31:00"/>
    <s v="SOPLADO"/>
    <x v="11"/>
    <x v="144"/>
    <s v="JOSDER GONZALEZ"/>
    <s v="VIRGEN"/>
    <s v="PP SOPLADO"/>
    <s v="."/>
    <s v="TOMATODO 350ML PASTEL"/>
    <s v="TOMATODO 350ML PASTEL-ROSADO"/>
    <n v="770"/>
    <n v="5"/>
    <n v="24.8"/>
    <x v="1"/>
    <m/>
    <n v="3"/>
    <n v="1150"/>
    <n v="20988"/>
    <s v="ROSADO"/>
    <n v="16.899999999999999"/>
    <n v="0"/>
    <n v="0"/>
    <n v="22.33"/>
    <n v="24.8"/>
    <n v="29"/>
    <n v="855.17241379310349"/>
    <x v="6"/>
    <x v="0"/>
    <n v="28"/>
    <n v="1"/>
    <n v="64.166666666666671"/>
  </r>
  <r>
    <d v="2025-07-17T15:31:00"/>
    <s v="SOPLADO"/>
    <x v="11"/>
    <x v="145"/>
    <s v="CRISALIDA ZAPATA"/>
    <s v="VIRGEN"/>
    <s v="PP SOPLADO"/>
    <s v="."/>
    <s v="TOMATODO 350ML PASTEL"/>
    <s v="TOMATODO 350ML PASTEL-ROSADO"/>
    <n v="225"/>
    <n v="2"/>
    <n v="7"/>
    <x v="0"/>
    <m/>
    <n v="2"/>
    <n v="1150"/>
    <n v="20989"/>
    <s v="ROSADO"/>
    <n v="15.1"/>
    <n v="0"/>
    <n v="0"/>
    <n v="6.5250000000000004"/>
    <n v="7"/>
    <n v="29"/>
    <n v="241.37931034482759"/>
    <x v="6"/>
    <x v="0"/>
    <n v="28"/>
    <n v="1"/>
    <n v="18.75"/>
  </r>
  <r>
    <d v="2025-07-17T15:31:00"/>
    <s v="SOPLADO"/>
    <x v="11"/>
    <x v="145"/>
    <s v="CRISALIDA ZAPATA"/>
    <s v="VIRGEN"/>
    <s v="PP SOPLADO"/>
    <s v="."/>
    <s v="TOMATODO 350ML PASTEL"/>
    <s v="TOMATODO 350ML PASTEL-SANDIA"/>
    <n v="1074"/>
    <n v="6"/>
    <n v="33.299999999999997"/>
    <x v="0"/>
    <m/>
    <n v="4"/>
    <n v="1150"/>
    <n v="20989"/>
    <s v="SANDIA"/>
    <n v="16.399999999999999"/>
    <n v="0"/>
    <n v="0"/>
    <n v="31.146000000000001"/>
    <n v="33.299999999999997"/>
    <n v="29"/>
    <n v="1148.2758620689656"/>
    <x v="6"/>
    <x v="0"/>
    <n v="28"/>
    <n v="1"/>
    <n v="89.5"/>
  </r>
  <r>
    <d v="2025-07-17T15:31:00"/>
    <s v="SOPLADO"/>
    <x v="11"/>
    <x v="145"/>
    <s v="ISABEL LINARIZ "/>
    <s v="VIRGEN"/>
    <s v="PP SOPLADO"/>
    <s v="."/>
    <s v="TOMATODO 350ML PASTEL"/>
    <s v="TOMATODO 350ML PASTEL-AZURE"/>
    <n v="525"/>
    <n v="2"/>
    <n v="16.3"/>
    <x v="1"/>
    <m/>
    <n v="2"/>
    <n v="1150"/>
    <n v="20989"/>
    <s v="AZURE"/>
    <n v="10.7"/>
    <n v="0"/>
    <n v="0"/>
    <n v="15.225"/>
    <n v="16.3"/>
    <n v="29"/>
    <n v="562.06896551724139"/>
    <x v="6"/>
    <x v="0"/>
    <n v="28"/>
    <n v="1"/>
    <n v="43.75"/>
  </r>
  <r>
    <d v="2025-07-30T14:20:00"/>
    <s v="SOPLADO"/>
    <x v="11"/>
    <x v="145"/>
    <s v="ISABEL LINARIZ "/>
    <s v="VIRGEN"/>
    <s v="PP SOPLADO"/>
    <s v="."/>
    <s v="TOMATODO 350ML PASTEL"/>
    <s v="TOMATODO 350ML PASTEL-AZURE"/>
    <n v="490"/>
    <n v="3"/>
    <n v="15.2"/>
    <x v="1"/>
    <m/>
    <n v="3"/>
    <n v="1150"/>
    <n v="20990"/>
    <s v="AZURE"/>
    <n v="15.2"/>
    <n v="0"/>
    <n v="0"/>
    <n v="14.21"/>
    <n v="15.2"/>
    <n v="29"/>
    <n v="524.13793103448279"/>
    <x v="6"/>
    <x v="0"/>
    <n v="28"/>
    <n v="1"/>
    <n v="40.833333333333336"/>
  </r>
  <r>
    <d v="2025-07-30T14:20:00"/>
    <s v="SOPLADO"/>
    <x v="11"/>
    <x v="145"/>
    <s v="ISABEL LINARIZ "/>
    <s v="VIRGEN"/>
    <s v="PP SOPLADO"/>
    <s v="."/>
    <s v="TOMATODO 350ML PASTEL"/>
    <s v="TOMATODO 350ML PASTEL-LILA"/>
    <n v="935"/>
    <n v="6"/>
    <n v="29"/>
    <x v="1"/>
    <m/>
    <n v="4"/>
    <n v="1150"/>
    <n v="20990"/>
    <s v="LILA"/>
    <n v="29.7"/>
    <n v="0"/>
    <n v="0"/>
    <n v="27.114999999999998"/>
    <n v="29"/>
    <n v="29"/>
    <n v="1000"/>
    <x v="6"/>
    <x v="0"/>
    <n v="28"/>
    <n v="1"/>
    <n v="77.916666666666671"/>
  </r>
  <r>
    <d v="2025-07-30T14:20:00"/>
    <s v="SOPLADO"/>
    <x v="11"/>
    <x v="145"/>
    <s v="ISABEL LINARIZ "/>
    <s v="VIRGEN"/>
    <s v="PP SOPLADO"/>
    <s v="."/>
    <s v="TOMATODO 350ML PASTEL"/>
    <s v="TOMATODO 350ML PASTEL-CELESTE"/>
    <n v="258"/>
    <n v="2"/>
    <n v="8"/>
    <x v="1"/>
    <m/>
    <n v="1"/>
    <n v="1150"/>
    <n v="20990"/>
    <s v="CELESTE"/>
    <n v="9.9"/>
    <n v="0"/>
    <n v="0"/>
    <n v="7.4820000000000002"/>
    <n v="8"/>
    <n v="29"/>
    <n v="275.86206896551727"/>
    <x v="6"/>
    <x v="0"/>
    <n v="28"/>
    <n v="1"/>
    <n v="21.5"/>
  </r>
  <r>
    <d v="2025-07-30T14:20:00"/>
    <s v="SOPLADO"/>
    <x v="11"/>
    <x v="146"/>
    <s v="CRISALIDA ZAPATA"/>
    <s v="VIRGEN"/>
    <s v="PP SOPLADO"/>
    <s v="."/>
    <s v="TOMATODO 350ML PASTEL"/>
    <s v="TOMATODO 350ML PASTEL-CELESTE"/>
    <n v="732"/>
    <n v="4"/>
    <n v="22.7"/>
    <x v="0"/>
    <m/>
    <n v="4"/>
    <n v="1150"/>
    <n v="20991"/>
    <s v="CELESTE"/>
    <n v="29.1"/>
    <n v="0"/>
    <n v="0"/>
    <n v="21.228000000000002"/>
    <n v="22.7"/>
    <n v="29"/>
    <n v="782.75862068965512"/>
    <x v="6"/>
    <x v="0"/>
    <n v="28"/>
    <n v="1"/>
    <n v="61"/>
  </r>
  <r>
    <d v="2025-07-30T14:20:00"/>
    <s v="SOPLADO"/>
    <x v="11"/>
    <x v="146"/>
    <s v="CRISALIDA ZAPATA"/>
    <s v="VIRGEN"/>
    <s v="PP SOPLADO"/>
    <s v="."/>
    <s v="TOMATODO 350ML"/>
    <s v="TOMATODO 350ML-TRANSPARENTE"/>
    <n v="1209"/>
    <n v="8"/>
    <n v="37.5"/>
    <x v="0"/>
    <m/>
    <n v="4"/>
    <n v="1150"/>
    <n v="20991"/>
    <s v="TRANSPARENTE"/>
    <n v="4"/>
    <n v="0"/>
    <n v="0"/>
    <n v="74.957999999999998"/>
    <n v="37.5"/>
    <n v="62"/>
    <n v="604.83870967741939"/>
    <x v="6"/>
    <x v="0"/>
    <n v="28"/>
    <n v="2"/>
    <n v="201.5"/>
  </r>
  <r>
    <d v="2025-07-30T14:20:00"/>
    <s v="SOPLADO"/>
    <x v="11"/>
    <x v="146"/>
    <s v="JUAN MANUEL PEREZ"/>
    <s v="VIRGEN"/>
    <s v="PP SOPLADO"/>
    <s v="."/>
    <s v="TOMATODO 350ML"/>
    <s v="TOMATODO 350ML-TRANSPARENTE"/>
    <n v="2819"/>
    <n v="12"/>
    <n v="87.4"/>
    <x v="1"/>
    <m/>
    <n v="8"/>
    <n v="1150"/>
    <n v="20992"/>
    <s v="TRANSPARENTE"/>
    <n v="31"/>
    <n v="0"/>
    <n v="0"/>
    <n v="174.77799999999999"/>
    <n v="87.4"/>
    <n v="62"/>
    <n v="1409.6774193548388"/>
    <x v="6"/>
    <x v="0"/>
    <n v="28"/>
    <n v="2"/>
    <n v="469.83333333333331"/>
  </r>
  <r>
    <d v="2025-07-31T14:20:00"/>
    <s v="SOPLADO"/>
    <x v="9"/>
    <x v="147"/>
    <s v="LUIS PINEDO"/>
    <s v="VIRGEN"/>
    <s v="PP SOPLADO"/>
    <s v="."/>
    <s v="SALSERO MULTIUSO 380ML"/>
    <s v="SALSERO MULTIUSO 380ML-TRANSPARENTE"/>
    <n v="540"/>
    <n v="5"/>
    <n v="13.5"/>
    <x v="0"/>
    <m/>
    <n v="2"/>
    <n v="1156"/>
    <n v="21449"/>
    <s v="TRANSPARENTE"/>
    <n v="4.4000000000000004"/>
    <n v="0"/>
    <n v="0"/>
    <n v="12.96"/>
    <n v="13.5"/>
    <n v="24"/>
    <n v="562.5"/>
    <x v="6"/>
    <x v="0"/>
    <n v="28"/>
    <n v="1"/>
    <n v="45"/>
  </r>
  <r>
    <d v="2025-07-31T14:20:00"/>
    <s v="SOPLADO"/>
    <x v="9"/>
    <x v="147"/>
    <s v="ISABEL LINARIZ "/>
    <s v="VIRGEN"/>
    <s v="PP SOPLADO"/>
    <s v="."/>
    <s v="SALSERO MULTIUSO 380ML"/>
    <s v="SALSERO MULTIUSO 380ML-TRANSPARENTE"/>
    <n v="2040"/>
    <n v="12"/>
    <n v="51"/>
    <x v="1"/>
    <m/>
    <n v="8"/>
    <n v="1156"/>
    <n v="21450"/>
    <s v="TRANSPARENTE"/>
    <n v="21.4"/>
    <n v="0"/>
    <n v="0"/>
    <n v="48.96"/>
    <n v="51"/>
    <n v="24"/>
    <n v="2125"/>
    <x v="6"/>
    <x v="0"/>
    <n v="28"/>
    <n v="1"/>
    <n v="170"/>
  </r>
  <r>
    <d v="2025-07-31T14:20:00"/>
    <s v="SOPLADO"/>
    <x v="9"/>
    <x v="148"/>
    <s v="LEIDY"/>
    <s v="VIRGEN"/>
    <s v="PP SOPLADO"/>
    <s v="."/>
    <s v="SALSERO MULTIUSO 380ML"/>
    <s v="SALSERO MULTIUSO 380ML-TRANSPARENTE"/>
    <n v="1524"/>
    <n v="12"/>
    <n v="38.1"/>
    <x v="0"/>
    <m/>
    <n v="7"/>
    <n v="1156"/>
    <n v="21451"/>
    <s v="TRANSPARENTE"/>
    <n v="0"/>
    <n v="0"/>
    <n v="0"/>
    <n v="36.576000000000001"/>
    <n v="38.1"/>
    <n v="24"/>
    <n v="1587.5"/>
    <x v="6"/>
    <x v="0"/>
    <n v="28"/>
    <n v="1"/>
    <n v="127"/>
  </r>
  <r>
    <d v="2025-07-31T14:20:00"/>
    <s v="SOPLADO"/>
    <x v="9"/>
    <x v="148"/>
    <s v="JOSDER GONZALEZ"/>
    <s v="VIRGEN"/>
    <s v="PP SOPLADO"/>
    <s v="."/>
    <s v="SALSERO MULTIUSO 380ML"/>
    <s v="SALSERO MULTIUSO 380ML-TRANSPARENTE"/>
    <n v="1568"/>
    <n v="12"/>
    <n v="39.200000000000003"/>
    <x v="1"/>
    <m/>
    <n v="8"/>
    <n v="1156"/>
    <n v="21452"/>
    <s v="TRANSPARENTE"/>
    <n v="25"/>
    <n v="0"/>
    <n v="0"/>
    <n v="37.631999999999998"/>
    <n v="39.200000000000003"/>
    <n v="24"/>
    <n v="1633.3333333333333"/>
    <x v="6"/>
    <x v="0"/>
    <n v="28"/>
    <n v="1"/>
    <n v="130.66666666666666"/>
  </r>
  <r>
    <d v="2025-07-31T14:20:00"/>
    <s v="SOPLADO"/>
    <x v="9"/>
    <x v="149"/>
    <s v="LEONOR GUTIERREZ"/>
    <s v="VIRGEN"/>
    <s v="PP SOPLADO"/>
    <s v="."/>
    <s v="SALSERO MULTIUSO 380ML"/>
    <s v="SALSERO MULTIUSO 380ML-TRANSPARENTE"/>
    <n v="1456"/>
    <n v="9"/>
    <n v="36.4"/>
    <x v="0"/>
    <m/>
    <n v="6"/>
    <n v="1156"/>
    <n v="21453"/>
    <s v="TRANSPARENTE"/>
    <n v="18.399999999999999"/>
    <n v="0"/>
    <n v="0"/>
    <n v="34.944000000000003"/>
    <n v="36.4"/>
    <n v="24"/>
    <n v="1516.6666666666667"/>
    <x v="6"/>
    <x v="0"/>
    <n v="29"/>
    <n v="1"/>
    <n v="121.33333333333333"/>
  </r>
  <r>
    <d v="2025-07-31T14:20:00"/>
    <s v="SOPLADO"/>
    <x v="9"/>
    <x v="149"/>
    <s v="JOSDER GONZALEZ"/>
    <s v="VIRGEN"/>
    <s v="PP SOPLADO"/>
    <s v="."/>
    <s v="SALSERO MULTIUSO 380ML"/>
    <s v="SALSERO MULTIUSO 380ML-TRANSPARENTE"/>
    <n v="1508"/>
    <n v="12"/>
    <n v="37.700000000000003"/>
    <x v="1"/>
    <m/>
    <n v="6"/>
    <n v="1156"/>
    <n v="21454"/>
    <s v="TRANSPARENTE"/>
    <n v="21.7"/>
    <n v="0"/>
    <n v="0"/>
    <n v="36.192"/>
    <n v="37.700000000000003"/>
    <n v="24"/>
    <n v="1570.8333333333333"/>
    <x v="6"/>
    <x v="0"/>
    <n v="29"/>
    <n v="1"/>
    <n v="125.66666666666667"/>
  </r>
  <r>
    <d v="2025-07-31T14:20:00"/>
    <s v="SOPLADO"/>
    <x v="9"/>
    <x v="150"/>
    <s v="LUIS PINEDO"/>
    <s v="VIRGEN"/>
    <s v="PP SOPLADO"/>
    <s v="."/>
    <s v="SALSERO MULTIUSO 380ML"/>
    <s v="SALSERO MULTIUSO 380ML-TRANSPARENTE"/>
    <n v="942"/>
    <n v="7"/>
    <n v="24.5"/>
    <x v="0"/>
    <m/>
    <n v="4"/>
    <n v="1156"/>
    <n v="21455"/>
    <s v="TRANSPARENTE"/>
    <n v="14.2"/>
    <n v="0"/>
    <n v="0"/>
    <n v="22.608000000000001"/>
    <n v="24.5"/>
    <n v="24"/>
    <n v="1020.8333333333334"/>
    <x v="6"/>
    <x v="0"/>
    <n v="29"/>
    <n v="1"/>
    <n v="78.5"/>
  </r>
  <r>
    <d v="2025-07-31T14:20:00"/>
    <s v="SOPLADO"/>
    <x v="9"/>
    <x v="151"/>
    <s v="LUIS RENGIFO"/>
    <s v="VIRGEN"/>
    <s v="PP SOPLADO"/>
    <s v="."/>
    <s v="SALSERO CLICK 300 ML"/>
    <s v="SALSERO IDEAL 300ML-TRANSPARENTE"/>
    <n v="668"/>
    <n v="5"/>
    <n v="14.7"/>
    <x v="0"/>
    <m/>
    <n v="4"/>
    <n v="1156"/>
    <n v="21456"/>
    <s v="TRANSPARENTE"/>
    <n v="19.399999999999999"/>
    <n v="0"/>
    <n v="0"/>
    <n v="12.692"/>
    <n v="14.7"/>
    <n v="19"/>
    <n v="773.68421052631584"/>
    <x v="6"/>
    <x v="0"/>
    <n v="31"/>
    <n v="1"/>
    <n v="55.666666666666664"/>
  </r>
  <r>
    <d v="2025-07-31T15:47:00"/>
    <s v="SOPLADO"/>
    <x v="12"/>
    <x v="152"/>
    <s v="NELSON PINEDO"/>
    <s v="VIRGEN"/>
    <s v="PP SOPLADO"/>
    <s v="."/>
    <s v="SALSERO MULTIUSO 1200ML"/>
    <s v="SALSERO MULTIUSO 1200ML-TRANSPARENTE"/>
    <n v="773"/>
    <n v="8"/>
    <n v="50.3"/>
    <x v="0"/>
    <m/>
    <n v="8"/>
    <n v="1142"/>
    <n v="20198"/>
    <s v="TRANSPARENTE"/>
    <n v="12"/>
    <n v="0"/>
    <n v="0"/>
    <n v="50.244999999999997"/>
    <n v="50.3"/>
    <n v="65"/>
    <n v="773.84615384615381"/>
    <x v="6"/>
    <x v="0"/>
    <n v="27"/>
    <n v="1"/>
    <n v="64.416666666666671"/>
  </r>
  <r>
    <d v="2025-07-31T15:47:00"/>
    <s v="SOPLADO"/>
    <x v="12"/>
    <x v="153"/>
    <s v="LUIS RENGIFO"/>
    <s v="VIRGEN"/>
    <s v="PP SOPLADO"/>
    <s v="."/>
    <s v="SALSERO MULTIUSO 1200ML"/>
    <s v="SALSERO MULTIUSO 1200ML-TRANSPARENTE"/>
    <n v="1263"/>
    <n v="9"/>
    <n v="77.099999999999994"/>
    <x v="0"/>
    <m/>
    <n v="12"/>
    <n v="2242"/>
    <n v="20199"/>
    <s v="TRANSPARENTE"/>
    <n v="20"/>
    <n v="0"/>
    <n v="0"/>
    <n v="82.094999999999999"/>
    <n v="77.099999999999994"/>
    <n v="65"/>
    <n v="1186.1538461538462"/>
    <x v="6"/>
    <x v="0"/>
    <n v="27"/>
    <n v="1"/>
    <n v="105.25"/>
  </r>
  <r>
    <d v="2025-07-31T15:47:00"/>
    <s v="SOPLADO"/>
    <x v="12"/>
    <x v="153"/>
    <s v="GABRIEL REQUENA"/>
    <s v="VIRGEN"/>
    <s v="PP SOPLADO"/>
    <s v="."/>
    <s v="SALSERO MULTIUSO 1200ML"/>
    <s v="SALSERO MULTIUSO 1200ML-TRANSPARENTE"/>
    <n v="1348"/>
    <n v="12"/>
    <n v="80.900000000000006"/>
    <x v="1"/>
    <m/>
    <n v="12"/>
    <n v="1142"/>
    <n v="22301"/>
    <s v="TRANSPARENTE"/>
    <n v="41.6"/>
    <n v="0"/>
    <n v="0"/>
    <n v="87.62"/>
    <n v="80.900000000000006"/>
    <n v="65"/>
    <n v="1244.6153846153845"/>
    <x v="6"/>
    <x v="0"/>
    <n v="27"/>
    <n v="1"/>
    <n v="112.33333333333333"/>
  </r>
  <r>
    <d v="2025-07-31T15:47:00"/>
    <s v="SOPLADO"/>
    <x v="12"/>
    <x v="144"/>
    <s v="SAID VILLAMIZAR"/>
    <s v="SEGUNDA"/>
    <s v="."/>
    <s v="ALTA SOPLADO"/>
    <s v="FLORERO AMERICANO"/>
    <s v="FLORERO AMERICANO-BLANCO"/>
    <n v="587"/>
    <n v="7"/>
    <n v="39.4"/>
    <x v="0"/>
    <m/>
    <n v="5"/>
    <m/>
    <n v="22302"/>
    <s v="BLANCO"/>
    <n v="0"/>
    <n v="0"/>
    <n v="0"/>
    <n v="43.438000000000002"/>
    <n v="39.4"/>
    <n v="74"/>
    <n v="532.43243243243239"/>
    <x v="6"/>
    <x v="0"/>
    <n v="28"/>
    <n v="1"/>
    <n v="48.916666666666664"/>
  </r>
  <r>
    <d v="2025-07-31T15:47:00"/>
    <s v="SOPLADO"/>
    <x v="12"/>
    <x v="144"/>
    <s v="GABRIEL REQUENA"/>
    <s v="SEGUNDA"/>
    <s v="."/>
    <s v="ALTA SOPLADO"/>
    <s v="FLORERO AMERICANO"/>
    <s v="FLORERO AMERICANO-BLANCO"/>
    <n v="186"/>
    <n v="3"/>
    <n v="19.7"/>
    <x v="1"/>
    <m/>
    <n v="3"/>
    <m/>
    <n v="22303"/>
    <s v="BLANCO"/>
    <n v="0"/>
    <n v="0"/>
    <n v="0"/>
    <n v="13.763999999999999"/>
    <n v="19.7"/>
    <n v="74"/>
    <n v="266.2162162162162"/>
    <x v="6"/>
    <x v="0"/>
    <n v="28"/>
    <n v="1"/>
    <n v="15.5"/>
  </r>
  <r>
    <d v="2025-07-31T15:47:00"/>
    <s v="SOPLADO"/>
    <x v="12"/>
    <x v="145"/>
    <s v="LUIS PINEDO"/>
    <s v="SEGUNDA"/>
    <s v="."/>
    <s v="ALTA SOPLADO"/>
    <s v="FLORERO AMERICANO"/>
    <s v="FLORERO AMERICANO-BLANCO"/>
    <n v="1052"/>
    <n v="9"/>
    <n v="76.8"/>
    <x v="0"/>
    <m/>
    <n v="10"/>
    <m/>
    <n v="22304"/>
    <s v="BLANCO"/>
    <n v="71.2"/>
    <n v="0"/>
    <n v="0"/>
    <n v="77.847999999999999"/>
    <n v="76.8"/>
    <n v="74"/>
    <n v="1037.8378378378379"/>
    <x v="6"/>
    <x v="0"/>
    <n v="28"/>
    <n v="1"/>
    <n v="87.666666666666671"/>
  </r>
  <r>
    <d v="2025-07-31T15:47:00"/>
    <s v="SOPLADO"/>
    <x v="12"/>
    <x v="145"/>
    <s v="GABRIEL REQUENA"/>
    <s v="SEGUNDA"/>
    <s v="."/>
    <s v="ALTA SOPLADO"/>
    <s v="FLORERO AMERICANO"/>
    <s v="FLORERO AMERICANO-BLANCO"/>
    <n v="675"/>
    <n v="9"/>
    <n v="50"/>
    <x v="1"/>
    <m/>
    <n v="8"/>
    <m/>
    <n v="22305"/>
    <s v="BLANCO"/>
    <n v="64"/>
    <n v="0"/>
    <n v="0"/>
    <n v="49.95"/>
    <n v="50"/>
    <n v="74"/>
    <n v="675.67567567567562"/>
    <x v="6"/>
    <x v="0"/>
    <n v="28"/>
    <n v="1"/>
    <n v="56.25"/>
  </r>
  <r>
    <d v="2025-07-31T15:47:00"/>
    <s v="SOPLADO"/>
    <x v="12"/>
    <x v="146"/>
    <s v="GABRIEL REQUENA"/>
    <s v="SEGUNDA"/>
    <s v="."/>
    <s v="ALTA SOPLADO"/>
    <s v="FLORERO AMERICANO"/>
    <s v="FLORERO AMERICANO-BLANCO"/>
    <n v="1037"/>
    <n v="10"/>
    <n v="76.8"/>
    <x v="1"/>
    <m/>
    <n v="12"/>
    <m/>
    <n v="21948"/>
    <s v="BLANCO"/>
    <n v="88.1"/>
    <n v="0"/>
    <n v="0"/>
    <n v="76.738"/>
    <n v="76.8"/>
    <n v="74"/>
    <n v="1037.8378378378379"/>
    <x v="6"/>
    <x v="0"/>
    <n v="28"/>
    <n v="1"/>
    <n v="86.416666666666671"/>
  </r>
  <r>
    <d v="2025-07-31T15:47:00"/>
    <s v="SOPLADO"/>
    <x v="12"/>
    <x v="146"/>
    <s v="GABRIEL REQUENA"/>
    <s v="SEGUNDA"/>
    <s v="."/>
    <s v="ALTA SOPLADO"/>
    <s v="FLORERO AMERICANO"/>
    <s v="FLORERO AMERICANO-BLANCO"/>
    <n v="632"/>
    <n v="12"/>
    <n v="46.8"/>
    <x v="1"/>
    <m/>
    <n v="7"/>
    <m/>
    <n v="22306"/>
    <s v="BLANCO"/>
    <n v="167.2"/>
    <n v="0"/>
    <n v="0"/>
    <n v="46.768000000000001"/>
    <n v="46.8"/>
    <n v="74"/>
    <n v="632.43243243243239"/>
    <x v="6"/>
    <x v="0"/>
    <n v="28"/>
    <n v="1"/>
    <n v="52.666666666666664"/>
  </r>
  <r>
    <d v="2025-07-31T15:47:00"/>
    <s v="SOPLADO"/>
    <x v="12"/>
    <x v="147"/>
    <s v="GABRIEL REQUENA"/>
    <s v="SEGUNDA"/>
    <s v="."/>
    <s v="ALTA SOPLADO"/>
    <s v="FLORERO CISNE"/>
    <s v="FLORERO CISNE-BLANCO"/>
    <n v="1100"/>
    <n v="12"/>
    <n v="64.900000000000006"/>
    <x v="1"/>
    <m/>
    <n v="8"/>
    <n v="1153"/>
    <n v="22307"/>
    <s v="BLANCO"/>
    <n v="105.80000000000001"/>
    <n v="0"/>
    <n v="0"/>
    <n v="66"/>
    <n v="64.900000000000006"/>
    <n v="60"/>
    <n v="1081.6666666666667"/>
    <x v="6"/>
    <x v="0"/>
    <n v="28"/>
    <n v="1"/>
    <n v="91.666666666666671"/>
  </r>
  <r>
    <d v="2025-07-31T15:47:00"/>
    <s v="SOPLADO"/>
    <x v="12"/>
    <x v="148"/>
    <s v="LUIS RENGIFO"/>
    <s v="SEGUNDA"/>
    <s v="."/>
    <s v="ALTA SOPLADO"/>
    <s v="FLORERO CISNE"/>
    <s v="FLORERO CISNE-BLANCO"/>
    <n v="960"/>
    <n v="9"/>
    <n v="53.8"/>
    <x v="0"/>
    <m/>
    <n v="10"/>
    <n v="1153"/>
    <n v="22308"/>
    <s v="BLANCO"/>
    <n v="49"/>
    <n v="0"/>
    <n v="0"/>
    <n v="57.6"/>
    <n v="53.8"/>
    <n v="60"/>
    <n v="896.66666666666663"/>
    <x v="6"/>
    <x v="0"/>
    <n v="28"/>
    <n v="1"/>
    <n v="80"/>
  </r>
  <r>
    <d v="2025-07-31T15:47:00"/>
    <s v="SOPLADO"/>
    <x v="12"/>
    <x v="148"/>
    <s v="GABRIEL REQUENA"/>
    <s v="SEGUNDA"/>
    <s v="."/>
    <s v="ALTA SOPLADO"/>
    <s v="FLORERO CISNE"/>
    <s v="FLORERO CISNE-BLANCO"/>
    <n v="974"/>
    <n v="12"/>
    <n v="57.2"/>
    <x v="1"/>
    <m/>
    <n v="9"/>
    <n v="1153"/>
    <n v="22309"/>
    <s v="BLANCO"/>
    <n v="114.00000000000001"/>
    <n v="0"/>
    <n v="0"/>
    <n v="58.44"/>
    <n v="57.2"/>
    <n v="60"/>
    <n v="953.33333333333337"/>
    <x v="6"/>
    <x v="0"/>
    <n v="28"/>
    <n v="1"/>
    <n v="81.166666666666671"/>
  </r>
  <r>
    <d v="2025-07-31T07:20:00"/>
    <s v="INYECTADO"/>
    <x v="4"/>
    <x v="153"/>
    <s v="JUAN MANUEL PEREZ"/>
    <s v="VIRGEN"/>
    <s v="PP CLARIFICADO"/>
    <s v="."/>
    <s v="ASAS PRESION ORG 5,10,15"/>
    <s v="ASAS PRESION ORG 5,10,15 -PLOMO"/>
    <n v="1407"/>
    <n v="12"/>
    <n v="54.9"/>
    <x v="1"/>
    <m/>
    <n v="5"/>
    <n v="1141"/>
    <n v="20462"/>
    <s v="PLOMO"/>
    <n v="4.9000000000000004"/>
    <n v="0"/>
    <n v="0"/>
    <n v="14.07"/>
    <n v="54.9"/>
    <n v="10"/>
    <n v="5490"/>
    <x v="6"/>
    <x v="0"/>
    <n v="27"/>
    <n v="4"/>
    <n v="469"/>
  </r>
  <r>
    <d v="2025-07-31T07:20:00"/>
    <s v="INYECTADO"/>
    <x v="4"/>
    <x v="144"/>
    <s v="JUAN MANUEL PEREZ"/>
    <s v="VIRGEN"/>
    <s v="PP CLARIFICADO"/>
    <s v="."/>
    <s v="ASAS PRESION ORG 5,10,15"/>
    <s v="ASAS PRESION ORG 5,10,15 -TURQUESA"/>
    <n v="660"/>
    <n v="6"/>
    <n v="17"/>
    <x v="1"/>
    <m/>
    <n v="2"/>
    <m/>
    <n v="20463"/>
    <s v="TURQUESA"/>
    <n v="8.8000000000000007"/>
    <n v="0"/>
    <n v="0"/>
    <n v="6.6"/>
    <n v="17"/>
    <n v="10"/>
    <n v="1700"/>
    <x v="6"/>
    <x v="0"/>
    <n v="28"/>
    <n v="4"/>
    <n v="220"/>
  </r>
  <r>
    <d v="2025-07-31T07:20:00"/>
    <s v="INYECTADO"/>
    <x v="4"/>
    <x v="144"/>
    <s v="JUAN MANUEL PEREZ"/>
    <s v="VIRGEN"/>
    <s v="PP CLARIFICADO"/>
    <s v="."/>
    <s v="ASAS PRESION ORG 5,10,15"/>
    <s v="ASAS PRESION ORG 5,10,15 -ROSADO"/>
    <n v="470"/>
    <n v="5"/>
    <n v="17"/>
    <x v="1"/>
    <m/>
    <n v="1"/>
    <m/>
    <n v="20463"/>
    <s v="ROSADO"/>
    <n v="0"/>
    <n v="0"/>
    <n v="0"/>
    <n v="4.7"/>
    <n v="17"/>
    <n v="10"/>
    <n v="1700"/>
    <x v="6"/>
    <x v="0"/>
    <n v="28"/>
    <n v="4"/>
    <n v="156.66666666666666"/>
  </r>
  <r>
    <d v="2025-07-31T07:20:00"/>
    <s v="INYECTADO"/>
    <x v="4"/>
    <x v="145"/>
    <s v="JUANA CRUCES"/>
    <s v="VIRGEN"/>
    <s v="PP CLARIFICADO"/>
    <s v="."/>
    <s v="ASAS PRESION ORG 5,10,15"/>
    <s v="ASAS PRESION ORG 5,10,15 -ROSADO"/>
    <n v="51"/>
    <n v="1"/>
    <n v="2"/>
    <x v="0"/>
    <m/>
    <n v="1"/>
    <m/>
    <n v="20464"/>
    <s v="ROSADO"/>
    <n v="5.2"/>
    <n v="0"/>
    <n v="0"/>
    <n v="0.51"/>
    <n v="2"/>
    <n v="10"/>
    <n v="200"/>
    <x v="6"/>
    <x v="0"/>
    <n v="28"/>
    <n v="4"/>
    <n v="17"/>
  </r>
  <r>
    <d v="2025-07-31T07:20:00"/>
    <s v="INYECTADO"/>
    <x v="4"/>
    <x v="145"/>
    <s v="JUANA CRUCES"/>
    <s v="VIRGEN"/>
    <s v="PP CLARIFICADO"/>
    <s v="."/>
    <s v="ASAS PRESION ORG 5,10,15"/>
    <s v="ASAS PRESION ORG 5,10,15 -SANDIA"/>
    <n v="533"/>
    <n v="5"/>
    <n v="20.8"/>
    <x v="0"/>
    <m/>
    <n v="2"/>
    <m/>
    <n v="20464"/>
    <s v="SANDIA"/>
    <n v="6.5"/>
    <n v="0"/>
    <n v="0"/>
    <n v="5.33"/>
    <n v="20.8"/>
    <n v="10"/>
    <n v="2080"/>
    <x v="6"/>
    <x v="0"/>
    <n v="28"/>
    <n v="4"/>
    <n v="177.66666666666666"/>
  </r>
  <r>
    <d v="2025-07-31T07:20:00"/>
    <s v="INYECTADO"/>
    <x v="4"/>
    <x v="145"/>
    <s v="JUANA CRUCES"/>
    <s v="VIRGEN"/>
    <s v="PP CLARIFICADO"/>
    <s v="."/>
    <s v="ASAS PRESION ORG 5,10,15"/>
    <s v="ASAS PRESION ORG 5,10,15 -AZURE"/>
    <n v="479"/>
    <n v="4"/>
    <n v="18.7"/>
    <x v="0"/>
    <m/>
    <n v="2"/>
    <m/>
    <n v="20464"/>
    <s v="AZURE"/>
    <n v="3.6"/>
    <n v="0"/>
    <n v="0"/>
    <n v="4.79"/>
    <n v="18.7"/>
    <n v="10"/>
    <n v="1870"/>
    <x v="6"/>
    <x v="0"/>
    <n v="28"/>
    <n v="4"/>
    <n v="159.66666666666666"/>
  </r>
  <r>
    <d v="2025-07-31T07:20:00"/>
    <s v="INYECTADO"/>
    <x v="4"/>
    <x v="145"/>
    <s v="JUANA CRUCES"/>
    <s v="VIRGEN"/>
    <s v="PP CLARIFICADO"/>
    <s v="."/>
    <s v="ASAS PRESION ORG 5,10,15"/>
    <s v="ASAS PRESION ORG 5,10,15 -CELESTE"/>
    <n v="64"/>
    <n v="1"/>
    <n v="2.5"/>
    <x v="0"/>
    <m/>
    <n v="1"/>
    <m/>
    <n v="20464"/>
    <s v="CELESTE"/>
    <n v="0"/>
    <n v="0"/>
    <n v="0"/>
    <n v="0.64"/>
    <n v="2.5"/>
    <n v="10"/>
    <n v="250"/>
    <x v="6"/>
    <x v="0"/>
    <n v="28"/>
    <n v="4"/>
    <n v="21.333333333333332"/>
  </r>
  <r>
    <d v="2025-07-31T07:20:00"/>
    <s v="INYECTADO"/>
    <x v="4"/>
    <x v="145"/>
    <s v="JOSDER GONZALEZ"/>
    <s v="VIRGEN"/>
    <s v="PP CLARIFICADO"/>
    <s v="."/>
    <s v="ASAS PRESION ORG 5,10,15"/>
    <s v="ASAS PRESION ORG 5,10,15 -CELESTE"/>
    <n v="679"/>
    <n v="3"/>
    <n v="26.3"/>
    <x v="1"/>
    <m/>
    <n v="4"/>
    <m/>
    <n v="20465"/>
    <s v="CELESTE"/>
    <n v="2.2999999999999998"/>
    <n v="0"/>
    <n v="0"/>
    <n v="6.79"/>
    <n v="26.3"/>
    <n v="10"/>
    <n v="2630"/>
    <x v="6"/>
    <x v="0"/>
    <n v="28"/>
    <n v="4"/>
    <n v="226.33333333333334"/>
  </r>
  <r>
    <d v="2025-07-31T07:20:00"/>
    <s v="INYECTADO"/>
    <x v="4"/>
    <x v="145"/>
    <s v="JOSDER GONZALEZ"/>
    <s v="VIRGEN"/>
    <s v="PP CLARIFICADO"/>
    <s v="."/>
    <s v="ASAS PRESION ORG 5,10,15"/>
    <s v="ASAS PRESION ORG 5,10,15 -LILA"/>
    <n v="628"/>
    <n v="5"/>
    <n v="24.5"/>
    <x v="1"/>
    <m/>
    <n v="3"/>
    <m/>
    <n v="20465"/>
    <s v="LILA"/>
    <n v="3.8"/>
    <n v="0"/>
    <n v="0"/>
    <n v="6.28"/>
    <n v="24.5"/>
    <n v="10"/>
    <n v="2450"/>
    <x v="6"/>
    <x v="0"/>
    <n v="28"/>
    <n v="4"/>
    <n v="209.33333333333334"/>
  </r>
  <r>
    <d v="2025-07-31T07:20:00"/>
    <s v="INYECTADO"/>
    <x v="4"/>
    <x v="145"/>
    <s v="JOSDER GONZALEZ"/>
    <s v="VIRGEN"/>
    <s v="PP CLARIFICADO"/>
    <s v="."/>
    <s v="ASAS PRESION ORG 5,10,15"/>
    <s v="ASAS PRESION ORG 5,10,15 -PLOMO"/>
    <n v="512"/>
    <n v="4"/>
    <n v="20"/>
    <x v="1"/>
    <m/>
    <n v="1"/>
    <m/>
    <n v="20465"/>
    <s v="PLOMO"/>
    <n v="2"/>
    <n v="0"/>
    <n v="0"/>
    <n v="5.12"/>
    <n v="20"/>
    <n v="10"/>
    <n v="2000"/>
    <x v="6"/>
    <x v="0"/>
    <n v="28"/>
    <n v="4"/>
    <n v="170.66666666666666"/>
  </r>
  <r>
    <d v="2025-07-31T07:20:00"/>
    <s v="INYECTADO"/>
    <x v="4"/>
    <x v="146"/>
    <s v="JUANA CRUCES"/>
    <s v="VIRGEN"/>
    <s v="PP CLARIFICADO"/>
    <s v="."/>
    <s v="ASAS PRESION ORG 5,10,15"/>
    <s v="ASAS PRESION ORG 5,10,15 -PLOMO"/>
    <n v="165"/>
    <n v="2"/>
    <n v="6.3"/>
    <x v="0"/>
    <m/>
    <n v="1"/>
    <m/>
    <n v="20466"/>
    <s v="PLOMO"/>
    <n v="1.4"/>
    <n v="0"/>
    <n v="0"/>
    <n v="1.65"/>
    <n v="6.3"/>
    <n v="10"/>
    <n v="630"/>
    <x v="6"/>
    <x v="0"/>
    <n v="28"/>
    <n v="4"/>
    <n v="55"/>
  </r>
  <r>
    <d v="2025-07-31T07:20:00"/>
    <s v="INYECTADO"/>
    <x v="4"/>
    <x v="146"/>
    <s v="JUANA CRUCES"/>
    <s v="VIRGEN"/>
    <s v="PP CLARIFICADO"/>
    <s v="."/>
    <s v="PUNTA DOBLE CLICK"/>
    <s v="PUNTA DOBLE CLICK PASTEL-AZURE"/>
    <n v="392"/>
    <n v="4"/>
    <n v="14.9"/>
    <x v="0"/>
    <m/>
    <n v="1"/>
    <n v="1152"/>
    <n v="20466"/>
    <s v="AZURE"/>
    <n v="5.7"/>
    <n v="0"/>
    <n v="0"/>
    <n v="1.3720000000000001"/>
    <n v="14.9"/>
    <n v="3.5"/>
    <n v="4257.1428571428569"/>
    <x v="6"/>
    <x v="0"/>
    <n v="28"/>
    <n v="12"/>
    <n v="392"/>
  </r>
  <r>
    <d v="2025-07-31T07:20:00"/>
    <s v="INYECTADO"/>
    <x v="4"/>
    <x v="147"/>
    <s v="DAIRET"/>
    <s v="VIRGEN"/>
    <s v="PP CLARIFICADO"/>
    <s v="."/>
    <s v="PUNTA DOBLE CLICK"/>
    <s v="PUNTA DOBLE CLICK PASTEL-AZURE"/>
    <n v="87"/>
    <n v="1"/>
    <n v="3.5"/>
    <x v="0"/>
    <m/>
    <n v="1"/>
    <n v="1152"/>
    <n v="20467"/>
    <s v="AZURE"/>
    <n v="0"/>
    <n v="0"/>
    <n v="0"/>
    <n v="0.30449999999999999"/>
    <n v="3.5"/>
    <n v="3.5"/>
    <n v="1000"/>
    <x v="6"/>
    <x v="0"/>
    <n v="28"/>
    <n v="12"/>
    <n v="87"/>
  </r>
  <r>
    <d v="2025-07-31T07:20:00"/>
    <s v="INYECTADO"/>
    <x v="4"/>
    <x v="147"/>
    <s v="DAIRET"/>
    <s v="VIRGEN"/>
    <s v="PP CLARIFICADO"/>
    <s v="."/>
    <s v="PUNTA DOBLE CLICK"/>
    <s v="PUNTA DOBLE CLICK-CELESTE"/>
    <n v="535"/>
    <n v="3"/>
    <n v="21.4"/>
    <x v="0"/>
    <m/>
    <n v="3"/>
    <n v="1152"/>
    <n v="20467"/>
    <s v="CELESTE"/>
    <n v="10"/>
    <n v="0"/>
    <n v="0"/>
    <n v="1.8725000000000001"/>
    <n v="21.4"/>
    <n v="3.5"/>
    <n v="6114.2857142857147"/>
    <x v="6"/>
    <x v="0"/>
    <n v="28"/>
    <n v="12"/>
    <n v="535"/>
  </r>
  <r>
    <d v="2025-07-31T07:20:00"/>
    <s v="INYECTADO"/>
    <x v="4"/>
    <x v="147"/>
    <s v="CRISALIDA ZAPATA"/>
    <s v="VIRGEN"/>
    <s v="PP CLARIFICADO"/>
    <s v="."/>
    <s v="PUNTA DOBLE CLICK"/>
    <s v="PUNTA DOBLE CLICK-LILA"/>
    <n v="462"/>
    <n v="2"/>
    <n v="18.5"/>
    <x v="0"/>
    <m/>
    <n v="2"/>
    <n v="1152"/>
    <n v="20467"/>
    <s v="LILA"/>
    <n v="8.3000000000000007"/>
    <n v="0"/>
    <n v="0"/>
    <n v="1.617"/>
    <n v="18.5"/>
    <n v="3.5"/>
    <n v="5285.7142857142853"/>
    <x v="6"/>
    <x v="0"/>
    <n v="28"/>
    <n v="12"/>
    <n v="462"/>
  </r>
  <r>
    <d v="2025-07-31T07:20:00"/>
    <s v="INYECTADO"/>
    <x v="4"/>
    <x v="147"/>
    <s v="CRISALIDA ZAPATA"/>
    <s v="VIRGEN"/>
    <s v="PP CLARIFICADO"/>
    <s v="."/>
    <s v="PUNTA DOBLE CLICK"/>
    <s v="PUNTA DOBLE CLICK PASTEL-SANDIA"/>
    <n v="932"/>
    <n v="5"/>
    <n v="37.299999999999997"/>
    <x v="0"/>
    <m/>
    <n v="3"/>
    <n v="1152"/>
    <n v="20467"/>
    <s v="SANDIA"/>
    <n v="17.600000000000001"/>
    <n v="0"/>
    <n v="0"/>
    <n v="3.262"/>
    <n v="37.299999999999997"/>
    <n v="3.5"/>
    <n v="10657.142857142857"/>
    <x v="6"/>
    <x v="0"/>
    <n v="28"/>
    <n v="12"/>
    <n v="932"/>
  </r>
  <r>
    <d v="2025-07-31T07:20:00"/>
    <s v="INYECTADO"/>
    <x v="4"/>
    <x v="148"/>
    <s v="CRISALIDA ZAPATA"/>
    <s v="VIRGEN"/>
    <s v="PP CLARIFICADO"/>
    <s v="."/>
    <s v="PUNTA DOBLE CLICK"/>
    <s v="PUNTA DOBLE CLICK-CELESTE"/>
    <n v="836"/>
    <n v="5"/>
    <n v="34.299999999999997"/>
    <x v="0"/>
    <m/>
    <n v="2"/>
    <n v="1152"/>
    <n v="20468"/>
    <s v="CELESTE"/>
    <n v="18.399999999999999"/>
    <n v="0"/>
    <n v="0"/>
    <n v="2.9260000000000002"/>
    <n v="34.299999999999997"/>
    <n v="3.5"/>
    <n v="9800"/>
    <x v="6"/>
    <x v="0"/>
    <n v="28"/>
    <n v="12"/>
    <n v="836"/>
  </r>
  <r>
    <d v="2025-07-31T07:20:00"/>
    <s v="INYECTADO"/>
    <x v="4"/>
    <x v="148"/>
    <s v="CRISALIDA ZAPATA"/>
    <s v="VIRGEN"/>
    <s v="PP CLARIFICADO"/>
    <s v="."/>
    <s v="PUNTA DOBLE CLICK"/>
    <s v="PUNTA DOBLE CLICK PASTEL-TURQUESA"/>
    <n v="785"/>
    <n v="5"/>
    <n v="32.200000000000003"/>
    <x v="0"/>
    <m/>
    <n v="2"/>
    <n v="1152"/>
    <n v="20468"/>
    <s v="TURQUESA"/>
    <n v="16"/>
    <n v="0"/>
    <n v="0"/>
    <n v="2.7475000000000001"/>
    <n v="32.200000000000003"/>
    <n v="3.5"/>
    <n v="9200.0000000000018"/>
    <x v="6"/>
    <x v="0"/>
    <n v="28"/>
    <n v="12"/>
    <n v="785"/>
  </r>
  <r>
    <d v="2025-07-31T07:20:00"/>
    <s v="INYECTADO"/>
    <x v="4"/>
    <x v="148"/>
    <s v="CRISALIDA ZAPATA"/>
    <s v="VIRGEN"/>
    <s v="PP CLARIFICADO"/>
    <s v="."/>
    <s v="PUNTA DOBLE CLICK"/>
    <s v="PUNTA DOBLE CLICK-FUCSIA"/>
    <n v="234"/>
    <n v="1"/>
    <n v="9.6"/>
    <x v="0"/>
    <m/>
    <n v="1"/>
    <n v="1152"/>
    <n v="20468"/>
    <s v="FUCSIA"/>
    <n v="3.8"/>
    <n v="0"/>
    <n v="0"/>
    <n v="0.81899999999999995"/>
    <n v="9.6"/>
    <n v="3.5"/>
    <n v="2742.8571428571427"/>
    <x v="6"/>
    <x v="0"/>
    <n v="28"/>
    <n v="12"/>
    <n v="234"/>
  </r>
  <r>
    <d v="2025-07-31T07:20:00"/>
    <s v="INYECTADO"/>
    <x v="4"/>
    <x v="148"/>
    <s v="JUAN MANUEL PEREZ"/>
    <s v="VIRGEN"/>
    <s v="PP CLARIFICADO"/>
    <s v="."/>
    <s v="PUNTA DOBLE CLICK"/>
    <s v="PUNTA DOBLE CLICK PASTEL-ROSADO"/>
    <n v="580"/>
    <n v="5"/>
    <n v="23.8"/>
    <x v="1"/>
    <m/>
    <n v="2"/>
    <n v="1152"/>
    <n v="20469"/>
    <s v="ROSADO"/>
    <n v="5.2"/>
    <n v="0"/>
    <n v="0"/>
    <n v="2.0299999999999998"/>
    <n v="23.8"/>
    <n v="3.5"/>
    <n v="6800"/>
    <x v="6"/>
    <x v="0"/>
    <n v="28"/>
    <n v="12"/>
    <n v="580"/>
  </r>
  <r>
    <d v="2025-07-31T07:20:00"/>
    <s v="INYECTADO"/>
    <x v="4"/>
    <x v="154"/>
    <s v="CRISALIDA ZAPATA"/>
    <s v="VIRGEN"/>
    <s v="PP CLARIFICADO"/>
    <s v="."/>
    <s v="PUNTA DOBLE CLICK"/>
    <s v="PUNTA DOBLE CLICK PASTEL-ROSADO"/>
    <n v="417"/>
    <n v="3"/>
    <n v="16.7"/>
    <x v="0"/>
    <m/>
    <n v="2"/>
    <n v="1152"/>
    <n v="20470"/>
    <s v="ROSADO"/>
    <n v="7.5"/>
    <n v="0"/>
    <n v="0"/>
    <n v="1.4595"/>
    <n v="16.7"/>
    <n v="3.5"/>
    <n v="4771.4285714285716"/>
    <x v="6"/>
    <x v="0"/>
    <n v="30"/>
    <n v="12"/>
    <n v="417"/>
  </r>
  <r>
    <d v="2025-07-31T07:20:00"/>
    <s v="INYECTADO"/>
    <x v="4"/>
    <x v="154"/>
    <s v="CRISALIDA ZAPATA"/>
    <s v="VIRGEN"/>
    <s v="PP CLARIFICADO"/>
    <s v="."/>
    <s v="PUNTA DOBLE CLICK"/>
    <s v="PUNTA DOBLE CLICK PASTEL-AZURE"/>
    <n v="932"/>
    <n v="5"/>
    <n v="37.299999999999997"/>
    <x v="0"/>
    <m/>
    <n v="3"/>
    <n v="1152"/>
    <n v="20470"/>
    <s v="AZURE"/>
    <n v="17.2"/>
    <n v="0"/>
    <n v="0"/>
    <n v="3.262"/>
    <n v="37.299999999999997"/>
    <n v="3.5"/>
    <n v="10657.142857142857"/>
    <x v="6"/>
    <x v="0"/>
    <n v="30"/>
    <n v="12"/>
    <n v="932"/>
  </r>
  <r>
    <d v="2025-07-31T07:20:00"/>
    <s v="INYECTADO"/>
    <x v="4"/>
    <x v="154"/>
    <s v="CRISALIDA ZAPATA"/>
    <s v="VIRGEN"/>
    <s v="PP CLARIFICADO"/>
    <s v="."/>
    <s v="PUNTA DOBLE CLICK"/>
    <s v="PUNTA DOBLE CLICK-FUCSIA"/>
    <n v="358"/>
    <n v="2"/>
    <n v="14"/>
    <x v="0"/>
    <m/>
    <n v="1"/>
    <n v="1152"/>
    <n v="20470"/>
    <s v="FUCSIA"/>
    <n v="0"/>
    <n v="0"/>
    <n v="0"/>
    <n v="1.2529999999999999"/>
    <n v="14"/>
    <n v="3.5"/>
    <n v="4000"/>
    <x v="6"/>
    <x v="0"/>
    <n v="30"/>
    <n v="12"/>
    <n v="358"/>
  </r>
  <r>
    <d v="2025-07-31T07:20:00"/>
    <s v="INYECTADO"/>
    <x v="4"/>
    <x v="154"/>
    <s v="JUAN MANUEL PEREZ"/>
    <s v="VIRGEN"/>
    <s v="PP CLARIFICADO"/>
    <s v="."/>
    <s v="PUNTA DOBLE CLICK"/>
    <s v="PUNTA DOBLE CLICK-FUCSIA"/>
    <n v="590"/>
    <n v="3"/>
    <n v="23.6"/>
    <x v="1"/>
    <m/>
    <n v="2"/>
    <n v="1152"/>
    <n v="20471"/>
    <s v="FUCSIA"/>
    <n v="15.2"/>
    <n v="0"/>
    <n v="0"/>
    <n v="2.0649999999999999"/>
    <n v="23.6"/>
    <n v="3.5"/>
    <n v="6742.8571428571431"/>
    <x v="6"/>
    <x v="0"/>
    <n v="30"/>
    <n v="12"/>
    <n v="590"/>
  </r>
  <r>
    <d v="2025-07-31T07:20:00"/>
    <s v="INYECTADO"/>
    <x v="4"/>
    <x v="154"/>
    <s v="JUAN MANUEL PEREZ"/>
    <s v="VIRGEN"/>
    <s v="PP CLARIFICADO"/>
    <s v="."/>
    <s v="PUNTA DOBLE CLICK"/>
    <s v="PUNTA DOBLE CLICK-ANARANJADO"/>
    <n v="937"/>
    <n v="5"/>
    <n v="37.5"/>
    <x v="1"/>
    <m/>
    <n v="3"/>
    <n v="1152"/>
    <n v="20471"/>
    <s v="NARANJA"/>
    <n v="12.3"/>
    <n v="0"/>
    <n v="0"/>
    <n v="3.2795000000000001"/>
    <n v="37.5"/>
    <n v="3.5"/>
    <n v="10714.285714285714"/>
    <x v="6"/>
    <x v="0"/>
    <n v="30"/>
    <n v="12"/>
    <n v="937"/>
  </r>
  <r>
    <d v="2025-07-31T07:20:00"/>
    <s v="INYECTADO"/>
    <x v="4"/>
    <x v="155"/>
    <s v="CRISALIDA ZAPATA"/>
    <s v="VIRGEN"/>
    <s v="PP CLARIFICADO"/>
    <s v="."/>
    <s v="PUNTA DOBLE CLICK"/>
    <s v="PUNTA DOBLE CLICK-VERDE"/>
    <n v="927"/>
    <n v="5"/>
    <n v="37.1"/>
    <x v="0"/>
    <m/>
    <n v="3"/>
    <n v="1152"/>
    <n v="20472"/>
    <s v="VERDE"/>
    <n v="19.5"/>
    <n v="0"/>
    <n v="0"/>
    <n v="3.2444999999999999"/>
    <n v="37.1"/>
    <n v="3.5"/>
    <n v="10600"/>
    <x v="6"/>
    <x v="0"/>
    <n v="30"/>
    <n v="12"/>
    <n v="927"/>
  </r>
  <r>
    <d v="2025-07-31T07:20:00"/>
    <s v="INYECTADO"/>
    <x v="4"/>
    <x v="155"/>
    <s v="CRISALIDA ZAPATA"/>
    <s v="VIRGEN"/>
    <s v="PP CLARIFICADO"/>
    <s v="."/>
    <s v="PUNTA DOBLE CLICK"/>
    <s v="PUNTA DOBLE CLICK-LILA"/>
    <n v="241"/>
    <n v="2"/>
    <n v="9.9"/>
    <x v="0"/>
    <m/>
    <n v="1"/>
    <n v="1152"/>
    <n v="20472"/>
    <s v="LILA"/>
    <n v="4.5999999999999996"/>
    <n v="0"/>
    <n v="0"/>
    <n v="0.84350000000000003"/>
    <n v="9.9"/>
    <n v="3.5"/>
    <n v="2828.5714285714284"/>
    <x v="6"/>
    <x v="0"/>
    <n v="30"/>
    <n v="12"/>
    <n v="241"/>
  </r>
  <r>
    <d v="2025-07-31T07:20:00"/>
    <s v="INYECTADO"/>
    <x v="4"/>
    <x v="156"/>
    <s v="JUAN MANUEL PEREZ"/>
    <s v="VIRGEN"/>
    <s v="PP CLARIFICADO"/>
    <s v="."/>
    <s v="PUNTA DOBLE CLICK"/>
    <s v="PUNTA DOBLE CLICK-LILA"/>
    <n v="102"/>
    <n v="1"/>
    <n v="4.2"/>
    <x v="1"/>
    <m/>
    <n v="1"/>
    <n v="1152"/>
    <n v="20473"/>
    <s v="LILA"/>
    <n v="0"/>
    <n v="0"/>
    <n v="0"/>
    <n v="0.35699999999999998"/>
    <n v="4.2"/>
    <n v="3.5"/>
    <n v="1200"/>
    <x v="6"/>
    <x v="0"/>
    <n v="30"/>
    <n v="12"/>
    <n v="102"/>
  </r>
  <r>
    <d v="2025-07-31T07:20:00"/>
    <s v="INYECTADO"/>
    <x v="4"/>
    <x v="157"/>
    <s v="CRISALIDA ZAPATA"/>
    <s v="VIRGEN"/>
    <s v="PP CLARIFICADO"/>
    <s v="."/>
    <s v="PUNTA DOBLE CLICK"/>
    <s v="PUNTA DOBLE CLICK-LILA"/>
    <n v="109"/>
    <n v="1"/>
    <n v="4.5"/>
    <x v="0"/>
    <m/>
    <n v="1"/>
    <n v="1152"/>
    <n v="20474"/>
    <s v="LILA"/>
    <n v="6.4"/>
    <n v="0"/>
    <n v="0"/>
    <n v="0.38150000000000001"/>
    <n v="4.5"/>
    <n v="3.5"/>
    <n v="1285.7142857142858"/>
    <x v="6"/>
    <x v="0"/>
    <n v="30"/>
    <n v="12"/>
    <n v="109"/>
  </r>
  <r>
    <d v="2025-07-31T07:20:00"/>
    <s v="INYECTADO"/>
    <x v="5"/>
    <x v="143"/>
    <s v="ALEJANDRO"/>
    <s v="VIRGEN"/>
    <s v="ALTA INYECCION"/>
    <s v="."/>
    <s v="ASAS ORGANIZADOR 2 Y 3 PASTEL"/>
    <s v="ASAS DE ORGANIZADOR 2 Y 3-CELESTE PASTEL"/>
    <n v="675"/>
    <n v="5"/>
    <n v="21.6"/>
    <x v="0"/>
    <m/>
    <n v="3"/>
    <n v="1138"/>
    <n v="20397"/>
    <s v="CELESTE"/>
    <n v="12.4"/>
    <n v="0"/>
    <n v="0"/>
    <n v="7.4249999999999998"/>
    <n v="21.6"/>
    <n v="11"/>
    <n v="1963.6363636363637"/>
    <x v="6"/>
    <x v="0"/>
    <n v="28"/>
    <n v="3"/>
    <n v="168.75"/>
  </r>
  <r>
    <d v="2025-07-31T07:20:00"/>
    <s v="INYECTADO"/>
    <x v="5"/>
    <x v="143"/>
    <s v="JUAN MANUEL PEREZ"/>
    <s v="VIRGEN"/>
    <s v="ALTA INYECCION"/>
    <s v="."/>
    <s v="ASAS ORGANIZADOR 2 Y 3 PASTEL"/>
    <s v="ASAS DE ORGANIZADOR 2 Y 3-CELESTE PASTEL"/>
    <n v="856"/>
    <n v="5"/>
    <n v="27.4"/>
    <x v="1"/>
    <m/>
    <n v="4"/>
    <n v="1138"/>
    <n v="20398"/>
    <s v="CELESTE"/>
    <n v="5.8"/>
    <n v="0"/>
    <n v="0"/>
    <n v="9.4160000000000004"/>
    <n v="27.4"/>
    <n v="11"/>
    <n v="2490.909090909091"/>
    <x v="6"/>
    <x v="0"/>
    <n v="28"/>
    <n v="3"/>
    <n v="214"/>
  </r>
  <r>
    <d v="2025-07-31T07:20:00"/>
    <s v="INYECTADO"/>
    <x v="5"/>
    <x v="143"/>
    <s v="JUAN MANUEL PEREZ"/>
    <s v="VIRGEN"/>
    <s v="ALTA INYECCION"/>
    <s v="."/>
    <s v="ASAS ORGANIZADOR 2 Y 3 PASTEL"/>
    <s v="ASAS DE ORGANIZADOR 2 Y 3-AMARILLO"/>
    <n v="900"/>
    <n v="6"/>
    <n v="28.8"/>
    <x v="1"/>
    <m/>
    <n v="3"/>
    <n v="1138"/>
    <n v="20398"/>
    <s v="AMARILLO"/>
    <n v="10"/>
    <n v="0"/>
    <n v="0"/>
    <n v="9.9"/>
    <n v="28.8"/>
    <n v="11"/>
    <n v="2618.181818181818"/>
    <x v="6"/>
    <x v="0"/>
    <n v="28"/>
    <n v="3"/>
    <n v="225"/>
  </r>
  <r>
    <d v="2025-07-31T07:20:00"/>
    <s v="INYECTADO"/>
    <x v="5"/>
    <x v="144"/>
    <s v="JUANA CRUCES"/>
    <s v="VIRGEN"/>
    <s v="ALTA INYECCION"/>
    <s v="."/>
    <s v="ASAS ORGANIZADOR 2 Y 3 PASTEL"/>
    <s v="ASAS DE ORGANIZADOR 2 Y 3-AMARILLO"/>
    <n v="90"/>
    <n v="1"/>
    <n v="2.9"/>
    <x v="0"/>
    <m/>
    <n v="2"/>
    <n v="1138"/>
    <n v="20399"/>
    <s v="AMARILLO"/>
    <n v="7.2"/>
    <n v="0"/>
    <n v="0"/>
    <n v="0.99"/>
    <n v="2.9"/>
    <n v="11"/>
    <n v="263.63636363636363"/>
    <x v="6"/>
    <x v="0"/>
    <n v="28"/>
    <n v="3"/>
    <n v="22.5"/>
  </r>
  <r>
    <d v="2025-07-31T07:20:00"/>
    <s v="INYECTADO"/>
    <x v="5"/>
    <x v="144"/>
    <s v="JUANA CRUCES"/>
    <s v="VIRGEN"/>
    <s v="ALTA INYECCION"/>
    <s v="."/>
    <s v="ASAS ORGANIZADOR 2 Y 3 PASTEL"/>
    <s v="ASAS DE ORGANIZADOR 2 Y 3-ROJO"/>
    <n v="1150"/>
    <n v="8"/>
    <n v="36.799999999999997"/>
    <x v="0"/>
    <m/>
    <n v="4"/>
    <n v="1138"/>
    <n v="20399"/>
    <s v="ROJO"/>
    <n v="19.100000000000001"/>
    <n v="0"/>
    <n v="0"/>
    <n v="12.65"/>
    <n v="36.799999999999997"/>
    <n v="11"/>
    <n v="3345.4545454545455"/>
    <x v="6"/>
    <x v="0"/>
    <n v="28"/>
    <n v="3"/>
    <n v="287.5"/>
  </r>
  <r>
    <d v="2025-07-31T07:20:00"/>
    <s v="INYECTADO"/>
    <x v="5"/>
    <x v="144"/>
    <s v="JUANA CRUCES"/>
    <s v="VIRGEN"/>
    <s v="ALTA INYECCION"/>
    <s v="."/>
    <s v="ASAS ORGANIZADOR 2 Y 3 PASTEL"/>
    <s v="ASAS DE ORGANIZADOR 2 Y 3-AZUL"/>
    <n v="271"/>
    <n v="2"/>
    <n v="8.6999999999999993"/>
    <x v="0"/>
    <m/>
    <n v="2"/>
    <n v="1138"/>
    <n v="20399"/>
    <s v="AZUL"/>
    <n v="3.7"/>
    <n v="0"/>
    <n v="0"/>
    <n v="2.9809999999999999"/>
    <n v="8.6999999999999993"/>
    <n v="11"/>
    <n v="790.90909090909088"/>
    <x v="6"/>
    <x v="0"/>
    <n v="28"/>
    <n v="3"/>
    <n v="67.75"/>
  </r>
  <r>
    <d v="2025-07-31T07:20:00"/>
    <s v="INYECTADO"/>
    <x v="5"/>
    <x v="145"/>
    <s v="ALEJANDRO"/>
    <s v="VIRGEN"/>
    <s v="ALTA INYECCION"/>
    <s v="."/>
    <s v="ASAS ORGANIZADOR 2 Y 3 PASTEL"/>
    <s v="ASAS DE ORGANIZADOR 2 Y 3-LILA"/>
    <n v="505"/>
    <n v="4"/>
    <n v="18.2"/>
    <x v="0"/>
    <m/>
    <n v="3"/>
    <n v="1138"/>
    <n v="20400"/>
    <s v="LILA"/>
    <n v="10.199999999999999"/>
    <n v="0"/>
    <n v="0"/>
    <n v="5.5549999999999997"/>
    <n v="18.2"/>
    <n v="11"/>
    <n v="1654.5454545454545"/>
    <x v="6"/>
    <x v="0"/>
    <n v="28"/>
    <n v="3"/>
    <n v="126.25"/>
  </r>
  <r>
    <d v="2025-07-31T07:20:00"/>
    <s v="INYECTADO"/>
    <x v="5"/>
    <x v="145"/>
    <s v="ALEJANDRO"/>
    <s v="VIRGEN"/>
    <s v="ALTA INYECCION"/>
    <s v="."/>
    <s v="ASAS ORGANIZADOR 2 Y 3 PASTEL"/>
    <s v="ASAS DE ORGANIZADOR 2 Y 3-AZUL"/>
    <n v="390"/>
    <n v="4"/>
    <n v="12.5"/>
    <x v="0"/>
    <m/>
    <n v="2"/>
    <n v="1138"/>
    <n v="20400"/>
    <s v="AZUL"/>
    <n v="0"/>
    <n v="0"/>
    <n v="0"/>
    <n v="4.29"/>
    <n v="12.5"/>
    <n v="11"/>
    <n v="1136.3636363636363"/>
    <x v="6"/>
    <x v="0"/>
    <n v="28"/>
    <n v="3"/>
    <n v="97.5"/>
  </r>
  <r>
    <d v="2025-07-31T07:20:00"/>
    <s v="INYECTADO"/>
    <x v="5"/>
    <x v="145"/>
    <s v="ALEJANDRO"/>
    <s v="VIRGEN"/>
    <s v="ALTA INYECCION"/>
    <s v="."/>
    <s v="ASAS ORGANIZADOR 2 Y 3 PASTEL"/>
    <s v="ASAS DE ORGANIZADOR 2 Y 3-AMARILLO"/>
    <n v="112"/>
    <n v="1"/>
    <n v="3.6"/>
    <x v="0"/>
    <m/>
    <n v="2"/>
    <n v="1138"/>
    <n v="20400"/>
    <s v="AMARILLO"/>
    <n v="0"/>
    <n v="0"/>
    <n v="0"/>
    <n v="1.232"/>
    <n v="3.6"/>
    <n v="11"/>
    <n v="327.27272727272725"/>
    <x v="6"/>
    <x v="0"/>
    <n v="28"/>
    <n v="3"/>
    <n v="28"/>
  </r>
  <r>
    <d v="2025-07-31T07:20:00"/>
    <s v="INYECTADO"/>
    <x v="5"/>
    <x v="149"/>
    <s v="JUANA CRUCES"/>
    <s v="VIRGEN"/>
    <s v="ALTA INYECCION"/>
    <s v="."/>
    <s v="ASAS ORGANIZADOR 2 Y 3 PASTEL"/>
    <s v="ASAS DE ORGANIZADOR 2 Y 3-AMARILLO"/>
    <n v="645"/>
    <n v="5"/>
    <n v="20"/>
    <x v="0"/>
    <m/>
    <n v="3"/>
    <n v="1138"/>
    <n v="22501"/>
    <s v="AMARILLO"/>
    <n v="10.199999999999999"/>
    <n v="0"/>
    <n v="0"/>
    <n v="7.0949999999999998"/>
    <n v="20"/>
    <n v="11"/>
    <n v="1818.1818181818182"/>
    <x v="6"/>
    <x v="0"/>
    <n v="29"/>
    <n v="3"/>
    <n v="161.25"/>
  </r>
  <r>
    <d v="2025-07-31T07:20:00"/>
    <s v="INYECTADO"/>
    <x v="5"/>
    <x v="149"/>
    <s v="JUANA CRUCES"/>
    <s v="VIRGEN"/>
    <s v="ALTA INYECCION"/>
    <s v="."/>
    <s v="ASAS ORGANIZADOR 2 Y 3 PASTEL"/>
    <s v="ASAS DE ORGANIZADOR 2 Y 3-FUCSIA"/>
    <n v="490"/>
    <n v="4"/>
    <n v="16.2"/>
    <x v="0"/>
    <m/>
    <n v="2"/>
    <n v="1138"/>
    <n v="22501"/>
    <s v="FUCSIA"/>
    <n v="7.2"/>
    <n v="0"/>
    <n v="0"/>
    <n v="5.39"/>
    <n v="16.2"/>
    <n v="11"/>
    <n v="1472.7272727272727"/>
    <x v="6"/>
    <x v="0"/>
    <n v="29"/>
    <n v="3"/>
    <n v="122.5"/>
  </r>
  <r>
    <d v="2025-07-31T07:20:00"/>
    <s v="INYECTADO"/>
    <x v="5"/>
    <x v="158"/>
    <s v="JUAN MANUEL PEREZ"/>
    <s v="VIRGEN"/>
    <s v="ALTA INYECCION"/>
    <s v="."/>
    <s v="ASAS ORGANIZADOR 2 Y 3 PASTEL"/>
    <s v="ASAS DE ORGANIZADOR 2 Y 3-TURQUESA PASTEL"/>
    <n v="1100"/>
    <n v="11"/>
    <n v="35.200000000000003"/>
    <x v="1"/>
    <m/>
    <n v="3"/>
    <n v="1163"/>
    <n v="22502"/>
    <s v="TURQUESA"/>
    <n v="14.2"/>
    <n v="0"/>
    <n v="0"/>
    <n v="12.1"/>
    <n v="35.200000000000003"/>
    <n v="11"/>
    <n v="3200"/>
    <x v="6"/>
    <x v="0"/>
    <n v="30"/>
    <n v="3"/>
    <n v="275"/>
  </r>
  <r>
    <d v="2025-07-31T07:20:00"/>
    <s v="INYECTADO"/>
    <x v="5"/>
    <x v="158"/>
    <s v="JUAN MANUEL PEREZ"/>
    <s v="VIRGEN"/>
    <s v="ALTA INYECCION"/>
    <s v="."/>
    <s v="ASAS ORGANIZADOR 2 Y 3 PASTEL"/>
    <s v="ASAS DE ORGANIZADOR 2 Y 3-CELESTE PASTEL"/>
    <n v="62"/>
    <n v="1"/>
    <n v="2"/>
    <x v="1"/>
    <m/>
    <n v="1"/>
    <n v="1163"/>
    <n v="22502"/>
    <s v="CELESTE"/>
    <n v="8.1"/>
    <n v="0"/>
    <n v="0"/>
    <n v="0.68200000000000005"/>
    <n v="2"/>
    <n v="11"/>
    <n v="181.81818181818181"/>
    <x v="6"/>
    <x v="0"/>
    <n v="30"/>
    <n v="3"/>
    <n v="15.5"/>
  </r>
  <r>
    <d v="2025-07-31T07:20:00"/>
    <s v="INYECTADO"/>
    <x v="5"/>
    <x v="159"/>
    <s v="LUIS RENGIFO"/>
    <s v="VIRGEN"/>
    <s v="ALTA INYECCION"/>
    <s v="."/>
    <s v="ASAS ORGANIZADOR 2 Y 3 PASTEL"/>
    <s v="ASAS DE ORGANIZADOR 2 Y 3-CELESTE PASTEL"/>
    <n v="846"/>
    <n v="5"/>
    <n v="27.1"/>
    <x v="0"/>
    <m/>
    <n v="2"/>
    <n v="1163"/>
    <n v="22503"/>
    <s v="CELESTE"/>
    <n v="8.4"/>
    <n v="0"/>
    <n v="0"/>
    <n v="9.3059999999999992"/>
    <n v="27.1"/>
    <n v="11"/>
    <n v="2463.6363636363635"/>
    <x v="6"/>
    <x v="0"/>
    <n v="30"/>
    <n v="3"/>
    <n v="211.5"/>
  </r>
  <r>
    <d v="2025-07-31T07:20:00"/>
    <s v="INYECTADO"/>
    <x v="5"/>
    <x v="159"/>
    <s v="CRISALIDA ZAPATA"/>
    <s v="VIRGEN"/>
    <s v="ALTA INYECCION"/>
    <s v="."/>
    <s v="ASAS ORGANIZADOR 2 Y 3 PASTEL"/>
    <s v="ASAS DE ORGANIZADOR 2 Y 3-AZURE"/>
    <n v="653"/>
    <n v="6"/>
    <n v="20.9"/>
    <x v="0"/>
    <m/>
    <n v="2"/>
    <n v="1163"/>
    <n v="22503"/>
    <s v="AZURE"/>
    <n v="3.4"/>
    <n v="0"/>
    <n v="0"/>
    <n v="7.1829999999999998"/>
    <n v="20.9"/>
    <n v="11"/>
    <n v="1900"/>
    <x v="6"/>
    <x v="0"/>
    <n v="30"/>
    <n v="3"/>
    <n v="163.25"/>
  </r>
  <r>
    <d v="2025-07-31T07:20:00"/>
    <s v="INYECTADO"/>
    <x v="5"/>
    <x v="159"/>
    <s v="JOSDER GONZALEZ"/>
    <s v="VIRGEN"/>
    <s v="ALTA INYECCION"/>
    <s v="."/>
    <s v="ASAS ORGANIZADOR 2 Y 3 PASTEL"/>
    <s v="ASAS DE ORGANIZADOR 2 Y 3-AZURE"/>
    <n v="453"/>
    <n v="3"/>
    <n v="14.5"/>
    <x v="1"/>
    <m/>
    <n v="3"/>
    <n v="1163"/>
    <n v="22504"/>
    <s v="AZURE"/>
    <n v="8"/>
    <n v="0"/>
    <n v="0"/>
    <n v="4.9829999999999997"/>
    <n v="14.5"/>
    <n v="11"/>
    <n v="1318.1818181818182"/>
    <x v="6"/>
    <x v="0"/>
    <n v="30"/>
    <n v="3"/>
    <n v="113.25"/>
  </r>
  <r>
    <d v="2025-07-31T07:20:00"/>
    <s v="INYECTADO"/>
    <x v="5"/>
    <x v="159"/>
    <s v="JOSDER GONZALEZ"/>
    <s v="VIRGEN"/>
    <s v="ALTA INYECCION"/>
    <s v="."/>
    <s v="ASAS ORGANIZADOR 2 Y 3 PASTEL"/>
    <s v="ASAS DE ORGANIZADOR 2 Y 3-SANDIA"/>
    <n v="840"/>
    <n v="6"/>
    <n v="26.9"/>
    <x v="1"/>
    <m/>
    <n v="3"/>
    <n v="1163"/>
    <n v="22504"/>
    <s v="SANDIA"/>
    <n v="12.4"/>
    <n v="0"/>
    <n v="0"/>
    <n v="9.24"/>
    <n v="26.9"/>
    <n v="11"/>
    <n v="2445.4545454545455"/>
    <x v="6"/>
    <x v="0"/>
    <n v="30"/>
    <n v="3"/>
    <n v="210"/>
  </r>
  <r>
    <d v="2025-07-31T07:20:00"/>
    <s v="INYECTADO"/>
    <x v="5"/>
    <x v="159"/>
    <s v="JOSDER GONZALEZ"/>
    <s v="VIRGEN"/>
    <s v="ALTA INYECCION"/>
    <s v="."/>
    <s v="ASAS ORGANIZADOR 2 Y 3 PASTEL"/>
    <s v="ASAS DE ORGANIZADOR 2 Y 3-ROSADO PASTEL"/>
    <n v="240"/>
    <n v="2"/>
    <n v="7.7"/>
    <x v="1"/>
    <m/>
    <n v="1"/>
    <n v="1163"/>
    <n v="22504"/>
    <s v="ROSADO"/>
    <n v="3.8"/>
    <n v="0"/>
    <n v="0"/>
    <n v="2.64"/>
    <n v="7.7"/>
    <n v="11"/>
    <n v="700"/>
    <x v="6"/>
    <x v="0"/>
    <n v="30"/>
    <n v="3"/>
    <n v="60"/>
  </r>
  <r>
    <d v="2025-07-31T07:20:00"/>
    <s v="INYECTADO"/>
    <x v="5"/>
    <x v="160"/>
    <s v="JUANA CRUCES"/>
    <s v="VIRGEN"/>
    <s v="ALTA INYECCION"/>
    <s v="."/>
    <s v="ASAS ORGANIZADOR 2 Y 3 PASTEL"/>
    <s v="ASAS DE ORGANIZADOR 2 Y 3-FUCSIA"/>
    <n v="575"/>
    <n v="3"/>
    <n v="18.399999999999999"/>
    <x v="0"/>
    <m/>
    <n v="3"/>
    <n v="1163"/>
    <n v="22505"/>
    <s v="ROSADO"/>
    <n v="8.6"/>
    <n v="0"/>
    <n v="0"/>
    <n v="6.3250000000000002"/>
    <n v="18.399999999999999"/>
    <n v="11"/>
    <n v="1672.7272727272727"/>
    <x v="6"/>
    <x v="0"/>
    <n v="30"/>
    <n v="3"/>
    <n v="143.75"/>
  </r>
  <r>
    <d v="2025-07-31T07:20:00"/>
    <s v="INYECTADO"/>
    <x v="5"/>
    <x v="160"/>
    <s v="JUANA CRUCES"/>
    <s v="VIRGEN"/>
    <s v="ALTA INYECCION"/>
    <s v="."/>
    <s v="ASAS ORGANIZADOR 2 Y 3 PASTEL"/>
    <s v="ASAS DE ORGANIZADOR 2 Y 3-LILA"/>
    <n v="781"/>
    <n v="5"/>
    <n v="25"/>
    <x v="0"/>
    <m/>
    <n v="3"/>
    <n v="1163"/>
    <n v="22505"/>
    <s v="LILA"/>
    <n v="12.1"/>
    <n v="0"/>
    <n v="0"/>
    <n v="8.5909999999999993"/>
    <n v="25"/>
    <n v="11"/>
    <n v="2272.7272727272725"/>
    <x v="6"/>
    <x v="0"/>
    <n v="30"/>
    <n v="3"/>
    <n v="195.25"/>
  </r>
  <r>
    <d v="2025-07-31T07:20:00"/>
    <s v="INYECTADO"/>
    <x v="5"/>
    <x v="155"/>
    <s v="ISABEL LINARIZ "/>
    <s v="VIRGEN"/>
    <s v="ALTA INYECCION"/>
    <s v="."/>
    <s v="ASAS ORGANIZADOR 2 Y 3 PASTEL"/>
    <s v="ASAS DE ORGANIZADOR 2 Y 3-LILA"/>
    <n v="659"/>
    <n v="4"/>
    <n v="21.1"/>
    <x v="1"/>
    <m/>
    <n v="3"/>
    <n v="1163"/>
    <n v="22506"/>
    <s v="LILA"/>
    <n v="10.199999999999999"/>
    <n v="0"/>
    <n v="0"/>
    <n v="7.2489999999999997"/>
    <n v="21.1"/>
    <n v="11"/>
    <n v="1918.1818181818182"/>
    <x v="6"/>
    <x v="0"/>
    <n v="30"/>
    <n v="3"/>
    <n v="164.75"/>
  </r>
  <r>
    <d v="2025-07-31T07:20:00"/>
    <s v="INYECTADO"/>
    <x v="5"/>
    <x v="155"/>
    <s v="ISABEL LINARIZ "/>
    <s v="VIRGEN"/>
    <s v="ALTA INYECCION"/>
    <s v="."/>
    <s v="ASAS ORGANIZADOR 2 Y 3 PASTEL"/>
    <s v="ASAS DE ORGANIZADOR 2 Y 3-SANDIA"/>
    <n v="1096"/>
    <n v="8"/>
    <n v="35.1"/>
    <x v="1"/>
    <m/>
    <n v="4"/>
    <n v="1163"/>
    <n v="22506"/>
    <s v="SANDIA"/>
    <n v="18.5"/>
    <n v="0"/>
    <n v="0"/>
    <n v="12.055999999999999"/>
    <n v="35.1"/>
    <n v="11"/>
    <n v="3190.909090909091"/>
    <x v="6"/>
    <x v="0"/>
    <n v="30"/>
    <n v="3"/>
    <n v="274"/>
  </r>
  <r>
    <d v="2025-07-31T07:20:00"/>
    <s v="INYECTADO"/>
    <x v="5"/>
    <x v="156"/>
    <s v="JUANA CRUCES"/>
    <s v="VIRGEN"/>
    <s v="ALTA INYECCION"/>
    <s v="."/>
    <s v="ASAS ORGANIZADOR 2 Y 3 PASTEL"/>
    <s v="ASAS DE ORGANIZADOR 2 Y 3-TURQUESA PASTEL"/>
    <n v="1087"/>
    <n v="8"/>
    <n v="34.799999999999997"/>
    <x v="0"/>
    <m/>
    <n v="4"/>
    <n v="1163"/>
    <n v="22507"/>
    <s v="TURQUESA"/>
    <n v="17.7"/>
    <n v="0"/>
    <n v="0"/>
    <n v="11.957000000000001"/>
    <n v="34.799999999999997"/>
    <n v="11"/>
    <n v="3163.6363636363635"/>
    <x v="6"/>
    <x v="0"/>
    <n v="30"/>
    <n v="3"/>
    <n v="271.75"/>
  </r>
  <r>
    <d v="2025-07-31T07:20:00"/>
    <s v="INYECTADO"/>
    <x v="5"/>
    <x v="156"/>
    <s v="JUANA CRUCES"/>
    <s v="VIRGEN"/>
    <s v="ALTA INYECCION"/>
    <s v="."/>
    <s v="ASAS ORGANIZADOR 2 Y 3 PASTEL"/>
    <s v="ASAS DE ORGANIZADOR 2 Y 3-CELESTE PASTEL"/>
    <n v="34"/>
    <n v="1"/>
    <n v="1.1000000000000001"/>
    <x v="0"/>
    <m/>
    <n v="1"/>
    <n v="1163"/>
    <n v="22507"/>
    <s v="CELESTE"/>
    <n v="1"/>
    <n v="0"/>
    <n v="0"/>
    <n v="0.374"/>
    <n v="1.1000000000000001"/>
    <n v="11"/>
    <n v="100"/>
    <x v="6"/>
    <x v="0"/>
    <n v="30"/>
    <n v="3"/>
    <n v="8.5"/>
  </r>
  <r>
    <d v="2025-07-31T07:20:00"/>
    <s v="INYECTADO"/>
    <x v="0"/>
    <x v="152"/>
    <s v="ALEJANDRO"/>
    <s v="SEGUNDA"/>
    <s v="."/>
    <s v="PP INYECTADO"/>
    <s v="EMBUDO #1"/>
    <s v="EMBUDO #1-VERDE"/>
    <n v="272"/>
    <n v="3"/>
    <n v="22.1"/>
    <x v="0"/>
    <m/>
    <n v="2"/>
    <n v="1130"/>
    <n v="21728"/>
    <s v="VERDE"/>
    <n v="2.2999999999999998"/>
    <n v="0"/>
    <n v="0"/>
    <n v="5.984"/>
    <n v="22.1"/>
    <n v="22"/>
    <n v="1004.5454545454545"/>
    <x v="6"/>
    <x v="0"/>
    <n v="27"/>
    <n v="4"/>
    <n v="90.666666666666671"/>
  </r>
  <r>
    <d v="2025-07-31T07:20:00"/>
    <s v="INYECTADO"/>
    <x v="0"/>
    <x v="153"/>
    <s v="DAIRET"/>
    <s v="SEGUNDA"/>
    <s v="."/>
    <s v="PP INYECTADO"/>
    <s v="EMBUDO #1"/>
    <s v="EMBUDO #1-AMARILLO"/>
    <n v="200"/>
    <n v="3"/>
    <n v="16.399999999999999"/>
    <x v="0"/>
    <m/>
    <n v="2"/>
    <n v="1130"/>
    <n v="21729"/>
    <s v="AMARILLO"/>
    <n v="11.2"/>
    <n v="0"/>
    <n v="0"/>
    <n v="4.4000000000000004"/>
    <n v="16.399999999999999"/>
    <n v="22"/>
    <n v="745.4545454545455"/>
    <x v="6"/>
    <x v="0"/>
    <n v="27"/>
    <n v="4"/>
    <n v="66.666666666666671"/>
  </r>
  <r>
    <d v="2025-07-31T07:20:00"/>
    <s v="INYECTADO"/>
    <x v="0"/>
    <x v="153"/>
    <s v="DAIRET"/>
    <s v="SEGUNDA"/>
    <s v="."/>
    <s v="PP INYECTADO"/>
    <s v="EMBUDO #1"/>
    <s v="EMBUDO #1-ROJO"/>
    <n v="142"/>
    <n v="2"/>
    <n v="11.7"/>
    <x v="0"/>
    <m/>
    <n v="1"/>
    <n v="1130"/>
    <n v="21729"/>
    <s v="ROJO"/>
    <n v="9.6"/>
    <n v="0"/>
    <n v="0"/>
    <n v="3.1240000000000001"/>
    <n v="11.7"/>
    <n v="22"/>
    <n v="531.81818181818187"/>
    <x v="6"/>
    <x v="0"/>
    <n v="27"/>
    <n v="4"/>
    <n v="47.333333333333336"/>
  </r>
  <r>
    <d v="2025-07-31T07:20:00"/>
    <s v="INYECTADO"/>
    <x v="0"/>
    <x v="153"/>
    <s v="DAIRET"/>
    <s v="SEGUNDA"/>
    <s v="."/>
    <s v="PP INYECTADO"/>
    <s v="EMBUDO #1"/>
    <s v="EMBUDO #1-CELESTE"/>
    <n v="122"/>
    <n v="2"/>
    <n v="10"/>
    <x v="0"/>
    <m/>
    <n v="1"/>
    <n v="1130"/>
    <n v="21729"/>
    <s v="LILA"/>
    <n v="3.4"/>
    <n v="0"/>
    <n v="0"/>
    <n v="2.6840000000000002"/>
    <n v="10"/>
    <n v="22"/>
    <n v="454.54545454545456"/>
    <x v="6"/>
    <x v="0"/>
    <n v="27"/>
    <n v="4"/>
    <n v="40.666666666666664"/>
  </r>
  <r>
    <d v="2025-07-31T07:20:00"/>
    <s v="INYECTADO"/>
    <x v="0"/>
    <x v="153"/>
    <s v="DAIRET"/>
    <s v="SEGUNDA"/>
    <s v="."/>
    <s v="PP INYECTADO"/>
    <s v="EMBUDO #1"/>
    <s v="EMBUDO #1-LILA"/>
    <n v="125"/>
    <n v="2"/>
    <n v="10.3"/>
    <x v="0"/>
    <m/>
    <n v="2"/>
    <n v="1130"/>
    <n v="21729"/>
    <s v="CELESTE"/>
    <n v="2.5"/>
    <n v="0"/>
    <n v="0"/>
    <n v="2.75"/>
    <n v="10.3"/>
    <n v="22"/>
    <n v="468.18181818181819"/>
    <x v="6"/>
    <x v="0"/>
    <n v="27"/>
    <n v="4"/>
    <n v="41.666666666666664"/>
  </r>
  <r>
    <d v="2025-07-31T07:20:00"/>
    <s v="INYECTADO"/>
    <x v="0"/>
    <x v="161"/>
    <s v="SAID VILLAMIZAR"/>
    <s v="VIRGEN"/>
    <s v="PP CLARIFICADO"/>
    <s v="."/>
    <s v="TAPA ORGANIZADOR DE 5KG"/>
    <s v="TAPA ORGANIZADOR DE 5KG-AMARILLO"/>
    <n v="820"/>
    <n v="7"/>
    <n v="77.900000000000006"/>
    <x v="0"/>
    <m/>
    <n v="7"/>
    <n v="1145"/>
    <n v="21730"/>
    <s v="AMARILLO"/>
    <n v="1.6"/>
    <n v="0"/>
    <n v="0"/>
    <n v="77.900000000000006"/>
    <n v="77.900000000000006"/>
    <n v="95"/>
    <n v="820"/>
    <x v="6"/>
    <x v="0"/>
    <n v="27"/>
    <n v="1"/>
    <n v="68.333333333333329"/>
  </r>
  <r>
    <d v="2025-07-31T07:20:00"/>
    <s v="INYECTADO"/>
    <x v="0"/>
    <x v="161"/>
    <s v="JOSDER GONZALEZ"/>
    <s v="VIRGEN"/>
    <s v="PP CLARIFICADO"/>
    <s v="."/>
    <s v="TAPA ORGANIZADOR DE 5KG"/>
    <s v="TAPA ORGANIZADOR DE 5KG-AMARILLO"/>
    <n v="127"/>
    <n v="2"/>
    <n v="12"/>
    <x v="1"/>
    <m/>
    <n v="2"/>
    <n v="1145"/>
    <n v="21731"/>
    <s v="AMARILLO"/>
    <n v="9.4"/>
    <n v="0"/>
    <n v="0"/>
    <n v="12.065"/>
    <n v="12"/>
    <n v="95"/>
    <n v="126.31578947368421"/>
    <x v="6"/>
    <x v="0"/>
    <n v="27"/>
    <n v="1"/>
    <n v="10.583333333333334"/>
  </r>
  <r>
    <d v="2025-07-31T07:20:00"/>
    <s v="INYECTADO"/>
    <x v="0"/>
    <x v="161"/>
    <s v="JOSDER GONZALEZ"/>
    <s v="VIRGEN"/>
    <s v="PP CLARIFICADO"/>
    <s v="."/>
    <s v="TAPA ORGANIZADOR DE 5KG"/>
    <s v="TAPA ORGANIZADOR DE 5KG-VERDE"/>
    <n v="240"/>
    <n v="3"/>
    <n v="22.8"/>
    <x v="1"/>
    <m/>
    <n v="2"/>
    <n v="1145"/>
    <n v="21731"/>
    <s v="VERDE"/>
    <n v="6.5"/>
    <n v="0"/>
    <n v="0"/>
    <n v="22.8"/>
    <n v="22.8"/>
    <n v="95"/>
    <n v="240"/>
    <x v="6"/>
    <x v="0"/>
    <n v="27"/>
    <n v="1"/>
    <n v="20"/>
  </r>
  <r>
    <d v="2025-07-31T07:20:00"/>
    <s v="INYECTADO"/>
    <x v="0"/>
    <x v="161"/>
    <s v="JOSDER GONZALEZ"/>
    <s v="VIRGEN"/>
    <s v="PP CLARIFICADO"/>
    <s v="."/>
    <s v="TAPA ORGANIZADOR DE 5KG"/>
    <s v="TAPA ORGANIZADOR DE 5KG-TURQUESA"/>
    <n v="562"/>
    <n v="6"/>
    <n v="53.3"/>
    <x v="1"/>
    <m/>
    <n v="5"/>
    <n v="1145"/>
    <n v="21731"/>
    <s v="TURQUESA"/>
    <n v="1.9"/>
    <n v="0"/>
    <n v="0"/>
    <n v="53.39"/>
    <n v="53.3"/>
    <n v="95"/>
    <n v="561.0526315789474"/>
    <x v="6"/>
    <x v="0"/>
    <n v="27"/>
    <n v="1"/>
    <n v="46.833333333333336"/>
  </r>
  <r>
    <d v="2025-07-31T07:20:00"/>
    <s v="INYECTADO"/>
    <x v="0"/>
    <x v="141"/>
    <s v="JUANA CRUCES"/>
    <s v="VIRGEN"/>
    <s v="PP CLARIFICADO"/>
    <s v="."/>
    <s v="TAPA ORGANIZADOR DE 5KG"/>
    <s v="TAPA ORGANIZADOR DE 5KG-TURQUESA"/>
    <n v="401"/>
    <n v="4"/>
    <n v="38"/>
    <x v="0"/>
    <m/>
    <n v="4"/>
    <n v="1145"/>
    <n v="21732"/>
    <s v="TURQUESA"/>
    <n v="5.0999999999999996"/>
    <n v="0"/>
    <n v="0"/>
    <n v="38.094999999999999"/>
    <n v="38"/>
    <n v="95"/>
    <n v="400"/>
    <x v="6"/>
    <x v="0"/>
    <n v="27"/>
    <n v="1"/>
    <n v="33.416666666666664"/>
  </r>
  <r>
    <d v="2025-07-31T07:20:00"/>
    <s v="INYECTADO"/>
    <x v="0"/>
    <x v="141"/>
    <s v="JUANA CRUCES"/>
    <s v="VIRGEN"/>
    <s v="PP CLARIFICADO"/>
    <s v="."/>
    <s v="TAPA ORGANIZADOR DE 5KG"/>
    <s v="TAPA ORGANIZADOR DE 5KG-VERDE"/>
    <n v="711"/>
    <n v="7"/>
    <n v="67.5"/>
    <x v="0"/>
    <m/>
    <n v="6"/>
    <n v="1145"/>
    <n v="21732"/>
    <s v="VERDE"/>
    <n v="7.9"/>
    <n v="0"/>
    <n v="0"/>
    <n v="67.545000000000002"/>
    <n v="67.5"/>
    <n v="95"/>
    <n v="710.52631578947364"/>
    <x v="6"/>
    <x v="0"/>
    <n v="27"/>
    <n v="1"/>
    <n v="59.25"/>
  </r>
  <r>
    <d v="2025-07-31T07:20:00"/>
    <s v="INYECTADO"/>
    <x v="0"/>
    <x v="141"/>
    <s v="GABRIEL REQUENA"/>
    <s v="VIRGEN"/>
    <s v="PP CLARIFICADO"/>
    <s v="."/>
    <s v="TAPA ORGANIZADOR DE 5KG"/>
    <s v="TAPA ORGANIZADOR DE 5KG-ROJO"/>
    <n v="180"/>
    <n v="2"/>
    <n v="17.100000000000001"/>
    <x v="1"/>
    <m/>
    <n v="2"/>
    <n v="1145"/>
    <n v="21733"/>
    <s v="VERDE"/>
    <n v="0"/>
    <n v="0"/>
    <n v="0"/>
    <n v="17.100000000000001"/>
    <n v="17.100000000000001"/>
    <n v="95"/>
    <n v="180"/>
    <x v="6"/>
    <x v="0"/>
    <n v="27"/>
    <n v="1"/>
    <n v="15"/>
  </r>
  <r>
    <d v="2025-07-31T07:20:00"/>
    <s v="INYECTADO"/>
    <x v="0"/>
    <x v="142"/>
    <s v="GABRIEL ORDAZ"/>
    <s v="VIRGEN"/>
    <s v="PP CLARIFICADO"/>
    <s v="."/>
    <s v="TAPA ORGANIZADOR DE 5KG"/>
    <s v="TAPA ORGANIZADOR DE 5KG-ROJO"/>
    <n v="743"/>
    <n v="8"/>
    <n v="72"/>
    <x v="0"/>
    <m/>
    <n v="8"/>
    <n v="1145"/>
    <n v="21734"/>
    <s v="ROJO"/>
    <n v="4.2"/>
    <n v="0"/>
    <n v="0"/>
    <n v="70.584999999999994"/>
    <n v="72"/>
    <n v="95"/>
    <n v="757.89473684210532"/>
    <x v="6"/>
    <x v="0"/>
    <n v="27"/>
    <n v="1"/>
    <n v="61.916666666666664"/>
  </r>
  <r>
    <d v="2025-07-31T07:20:00"/>
    <s v="INYECTADO"/>
    <x v="0"/>
    <x v="142"/>
    <s v="GABRIEL ORDAZ"/>
    <s v="VIRGEN"/>
    <s v="PP CLARIFICADO"/>
    <s v="."/>
    <s v="TAPA ORGANIZADOR DE 5KG"/>
    <s v="TAPA ORGANIZADOR DE 5KG-FUCSIA"/>
    <n v="164"/>
    <n v="2"/>
    <n v="15.9"/>
    <x v="0"/>
    <m/>
    <n v="2"/>
    <n v="1145"/>
    <n v="21734"/>
    <s v="ROSADO"/>
    <n v="1.4"/>
    <n v="0"/>
    <n v="0"/>
    <n v="15.58"/>
    <n v="15.9"/>
    <n v="95"/>
    <n v="167.36842105263159"/>
    <x v="6"/>
    <x v="0"/>
    <n v="27"/>
    <n v="1"/>
    <n v="13.666666666666666"/>
  </r>
  <r>
    <d v="2025-07-31T07:20:00"/>
    <s v="INYECTADO"/>
    <x v="0"/>
    <x v="142"/>
    <s v="GABRIEL REQUENA"/>
    <s v="VIRGEN"/>
    <s v="PP CLARIFICADO"/>
    <s v="."/>
    <s v="TAPA ORGANIZADOR DE 5KG"/>
    <s v="TAPA ORGANIZADOR DE 5KG-FUCSIA"/>
    <n v="722"/>
    <n v="8"/>
    <n v="70"/>
    <x v="1"/>
    <m/>
    <n v="8"/>
    <n v="1145"/>
    <n v="21735"/>
    <s v="FUCSIA"/>
    <n v="2.1"/>
    <n v="0"/>
    <n v="0"/>
    <n v="68.59"/>
    <n v="70"/>
    <n v="95"/>
    <n v="736.84210526315792"/>
    <x v="6"/>
    <x v="0"/>
    <n v="27"/>
    <n v="1"/>
    <n v="60.166666666666664"/>
  </r>
  <r>
    <d v="2025-07-31T07:20:00"/>
    <s v="INYECTADO"/>
    <x v="0"/>
    <x v="142"/>
    <s v="GABRIEL REQUENA"/>
    <s v="VIRGEN"/>
    <s v="PP CLARIFICADO"/>
    <s v="."/>
    <s v="TAPA ORGANIZADOR DE 5KG"/>
    <s v="TAPA ORGANIZADOR DE 5KG-AZUL"/>
    <n v="357"/>
    <n v="4"/>
    <n v="34.6"/>
    <x v="1"/>
    <m/>
    <n v="4"/>
    <n v="1145"/>
    <n v="21735"/>
    <s v="AZUL"/>
    <n v="0.9"/>
    <n v="0"/>
    <n v="0"/>
    <n v="33.914999999999999"/>
    <n v="34.6"/>
    <n v="95"/>
    <n v="364.21052631578948"/>
    <x v="6"/>
    <x v="0"/>
    <n v="27"/>
    <n v="1"/>
    <n v="29.75"/>
  </r>
  <r>
    <d v="2025-07-31T07:20:00"/>
    <s v="INYECTADO"/>
    <x v="0"/>
    <x v="143"/>
    <s v="GABRIEL ORDAZ"/>
    <s v="VIRGEN"/>
    <s v="PP CLARIFICADO"/>
    <s v="."/>
    <s v="TAPA ORGANIZADOR DE 5KG"/>
    <s v="TAPA ORGANIZADOR DE 5KG-AZUL"/>
    <n v="346"/>
    <n v="5"/>
    <n v="33.200000000000003"/>
    <x v="0"/>
    <m/>
    <n v="3"/>
    <n v="1145"/>
    <n v="21736"/>
    <s v="AZUL"/>
    <n v="12.2"/>
    <n v="0"/>
    <n v="0"/>
    <n v="32.869999999999997"/>
    <n v="33.200000000000003"/>
    <n v="95"/>
    <n v="349.4736842105263"/>
    <x v="6"/>
    <x v="0"/>
    <n v="28"/>
    <n v="1"/>
    <n v="28.833333333333332"/>
  </r>
  <r>
    <d v="2025-07-31T07:20:00"/>
    <s v="INYECTADO"/>
    <x v="0"/>
    <x v="143"/>
    <s v="GABRIEL ORDAZ"/>
    <s v="VIRGEN"/>
    <s v="PP CLARIFICADO"/>
    <s v="."/>
    <s v="TAPA ORGANIZADOR DE 5KG"/>
    <s v="TAPA ORGANIZADOR DE 5KG-FUCSIA"/>
    <n v="118"/>
    <n v="1"/>
    <n v="11.3"/>
    <x v="0"/>
    <m/>
    <n v="1"/>
    <n v="1145"/>
    <n v="21736"/>
    <s v="ROSADO"/>
    <n v="0"/>
    <n v="0"/>
    <n v="0"/>
    <n v="11.21"/>
    <n v="11.3"/>
    <n v="95"/>
    <n v="118.94736842105263"/>
    <x v="6"/>
    <x v="0"/>
    <n v="28"/>
    <n v="1"/>
    <n v="9.8333333333333339"/>
  </r>
  <r>
    <d v="2025-07-31T07:20:00"/>
    <s v="INYECTADO"/>
    <x v="0"/>
    <x v="143"/>
    <s v="GABRIEL ORDAZ"/>
    <s v="VIRGEN"/>
    <s v="PP CLARIFICADO"/>
    <s v="."/>
    <s v="TAPA ORGANIZADOR DE 5KG"/>
    <s v="TAPA ORGANIZADOR DE 5KG-VERDE"/>
    <n v="136"/>
    <n v="2"/>
    <n v="13.1"/>
    <x v="0"/>
    <m/>
    <n v="1"/>
    <n v="1145"/>
    <n v="21736"/>
    <s v="VERDE"/>
    <n v="2.8"/>
    <n v="0"/>
    <n v="0"/>
    <n v="12.92"/>
    <n v="13.1"/>
    <n v="95"/>
    <n v="137.89473684210526"/>
    <x v="6"/>
    <x v="0"/>
    <n v="28"/>
    <n v="1"/>
    <n v="11.333333333333334"/>
  </r>
  <r>
    <d v="2025-07-31T07:20:00"/>
    <s v="INYECTADO"/>
    <x v="0"/>
    <x v="144"/>
    <s v="GABRIEL ORDAZ"/>
    <s v="VIRGEN"/>
    <s v="PP CLARIFICADO"/>
    <s v="."/>
    <s v="TAPA ORGANIZADOR DE 5KG"/>
    <s v="TAPA ORGANIZADOR DE 5KG-ROJO"/>
    <n v="127"/>
    <n v="1"/>
    <n v="11.9"/>
    <x v="0"/>
    <m/>
    <n v="1"/>
    <n v="1145"/>
    <n v="21737"/>
    <s v="ROJO"/>
    <n v="0"/>
    <n v="0"/>
    <n v="0"/>
    <n v="12.065"/>
    <n v="11.9"/>
    <n v="95"/>
    <n v="125.26315789473684"/>
    <x v="6"/>
    <x v="0"/>
    <n v="28"/>
    <n v="1"/>
    <n v="10.583333333333334"/>
  </r>
  <r>
    <d v="2025-07-31T07:20:00"/>
    <s v="INYECTADO"/>
    <x v="0"/>
    <x v="144"/>
    <s v="GABRIEL ORDAZ"/>
    <s v="VIRGEN"/>
    <s v="PP CLARIFICADO"/>
    <s v="."/>
    <s v="TAPA ORGANIZADOR DE 5KG"/>
    <s v="TAPA ORGANIZADOR DE 5KG-FUCSIA"/>
    <n v="13"/>
    <n v="1"/>
    <n v="1.2"/>
    <x v="0"/>
    <m/>
    <n v="1"/>
    <n v="1145"/>
    <n v="21737"/>
    <s v="FUCSIA"/>
    <n v="3.4"/>
    <n v="0"/>
    <n v="0"/>
    <n v="1.2350000000000001"/>
    <n v="1.2"/>
    <n v="95"/>
    <n v="12.631578947368421"/>
    <x v="6"/>
    <x v="0"/>
    <n v="28"/>
    <n v="1"/>
    <n v="1.0833333333333333"/>
  </r>
  <r>
    <d v="2025-07-31T07:20:00"/>
    <s v="INYECTADO"/>
    <x v="0"/>
    <x v="144"/>
    <s v="GABRIEL ORDAZ"/>
    <s v="VIRGEN"/>
    <s v="PP CLARIFICADO"/>
    <s v="."/>
    <s v="TAPA ORGANIZADOR DE 5KG"/>
    <s v="TAPA ORGANIZADOR DE 5KG-AZUL"/>
    <n v="486"/>
    <n v="6"/>
    <n v="45.6"/>
    <x v="0"/>
    <m/>
    <n v="4"/>
    <n v="1145"/>
    <n v="21737"/>
    <s v="AZUL"/>
    <n v="3.1"/>
    <n v="0"/>
    <n v="0"/>
    <n v="46.17"/>
    <n v="45.6"/>
    <n v="95"/>
    <n v="480"/>
    <x v="6"/>
    <x v="0"/>
    <n v="28"/>
    <n v="1"/>
    <n v="40.5"/>
  </r>
  <r>
    <d v="2025-07-31T07:20:00"/>
    <s v="INYECTADO"/>
    <x v="0"/>
    <x v="144"/>
    <s v="GABRIEL ORDAZ"/>
    <s v="VIRGEN"/>
    <s v="PP CLARIFICADO"/>
    <s v="."/>
    <s v="TAPA ORGANIZADOR DE 5KG"/>
    <s v="TAPA ORGANIZADOR DE 5KG-AMARILLO"/>
    <n v="245"/>
    <n v="2"/>
    <n v="23"/>
    <x v="0"/>
    <m/>
    <n v="2"/>
    <n v="1145"/>
    <n v="21737"/>
    <s v="AMARILLO"/>
    <n v="0.9"/>
    <n v="0"/>
    <n v="0"/>
    <n v="23.274999999999999"/>
    <n v="23"/>
    <n v="95"/>
    <n v="242.10526315789474"/>
    <x v="6"/>
    <x v="0"/>
    <n v="28"/>
    <n v="1"/>
    <n v="20.416666666666668"/>
  </r>
  <r>
    <d v="2025-07-31T07:20:00"/>
    <s v="INYECTADO"/>
    <x v="0"/>
    <x v="147"/>
    <s v="DAIRET"/>
    <s v="VIRGEN"/>
    <s v="PP CLARIFICADO"/>
    <s v="."/>
    <s v="TAPA TOMATODO DOBLE CLICK"/>
    <s v="TAPA TOMATODO DOBLE CLICK-CELESTE"/>
    <n v="297"/>
    <n v="5"/>
    <n v="51.5"/>
    <x v="0"/>
    <m/>
    <n v="6"/>
    <n v="1154"/>
    <n v="21738"/>
    <s v="CELESTE"/>
    <n v="0"/>
    <n v="0"/>
    <n v="0"/>
    <n v="6.5755799999999995"/>
    <n v="51.5"/>
    <n v="22.14"/>
    <n v="2326.1065943992771"/>
    <x v="6"/>
    <x v="0"/>
    <n v="28"/>
    <n v="7"/>
    <n v="173.25"/>
  </r>
  <r>
    <d v="2025-07-31T07:20:00"/>
    <s v="INYECTADO"/>
    <x v="0"/>
    <x v="147"/>
    <s v="DAIRET"/>
    <s v="VIRGEN"/>
    <s v="PP CLARIFICADO"/>
    <s v="."/>
    <s v="TAPA TOMATODO DOBLE CLICK"/>
    <s v="TAPA TOMATODO DOBLE CLICK-SANDIA"/>
    <n v="215"/>
    <n v="4"/>
    <n v="37.200000000000003"/>
    <x v="0"/>
    <m/>
    <n v="3"/>
    <n v="1154"/>
    <n v="21738"/>
    <s v="SANDIA"/>
    <n v="0"/>
    <n v="0"/>
    <n v="0"/>
    <n v="4.7601000000000004"/>
    <n v="37.200000000000003"/>
    <n v="22.14"/>
    <n v="1680.2168021680216"/>
    <x v="6"/>
    <x v="0"/>
    <n v="28"/>
    <n v="7"/>
    <n v="125.41666666666667"/>
  </r>
  <r>
    <d v="2025-07-31T07:20:00"/>
    <s v="INYECTADO"/>
    <x v="0"/>
    <x v="147"/>
    <s v="JOSDER GONZALEZ"/>
    <s v="VIRGEN"/>
    <s v="PP CLARIFICADO"/>
    <s v="."/>
    <s v="TAPA TOMATODO DOBLE CLICK"/>
    <s v="TAPA TOMATODO DOBLE CLICK-SANDIA"/>
    <n v="289"/>
    <n v="5"/>
    <n v="49.9"/>
    <x v="1"/>
    <m/>
    <n v="5"/>
    <n v="1154"/>
    <n v="21739"/>
    <s v="SANDIA"/>
    <n v="9.6"/>
    <n v="0"/>
    <n v="0"/>
    <n v="6.39846"/>
    <n v="49.9"/>
    <n v="22.14"/>
    <n v="2253.8392050587172"/>
    <x v="6"/>
    <x v="0"/>
    <n v="28"/>
    <n v="7"/>
    <n v="168.58333333333334"/>
  </r>
  <r>
    <d v="2025-07-31T07:20:00"/>
    <s v="INYECTADO"/>
    <x v="0"/>
    <x v="147"/>
    <s v="JOSDER GONZALEZ"/>
    <s v="VIRGEN"/>
    <s v="PP CLARIFICADO"/>
    <s v="."/>
    <s v="TAPA TOMATODO DOBLE CLICK"/>
    <s v="TAPA TOMATODO DOBLE CLICK-ROSADO"/>
    <n v="458"/>
    <n v="7"/>
    <n v="78.400000000000006"/>
    <x v="1"/>
    <m/>
    <n v="7"/>
    <n v="1154"/>
    <n v="21739"/>
    <s v="ROSADO"/>
    <n v="7.1"/>
    <n v="0"/>
    <n v="0"/>
    <n v="10.140120000000001"/>
    <n v="78.400000000000006"/>
    <n v="22.14"/>
    <n v="3541.1020776874434"/>
    <x v="6"/>
    <x v="0"/>
    <n v="28"/>
    <n v="5"/>
    <n v="190.83333333333334"/>
  </r>
  <r>
    <d v="2025-07-31T07:20:00"/>
    <s v="INYECTADO"/>
    <x v="0"/>
    <x v="148"/>
    <s v="JUANA CRUCES"/>
    <s v="VIRGEN"/>
    <s v="PP CLARIFICADO"/>
    <s v="."/>
    <s v="TAPA TOMATODO DOBLE CLICK"/>
    <s v="TAPA TOMATODO DOBLE CLICK-LILA"/>
    <n v="264"/>
    <n v="4"/>
    <n v="45.5"/>
    <x v="0"/>
    <m/>
    <n v="4"/>
    <n v="1154"/>
    <n v="21740"/>
    <s v="LILA"/>
    <n v="9.1"/>
    <n v="0"/>
    <n v="0"/>
    <n v="5.8449600000000004"/>
    <n v="45.5"/>
    <n v="22.14"/>
    <n v="2055.1038843721772"/>
    <x v="6"/>
    <x v="0"/>
    <n v="28"/>
    <n v="7"/>
    <n v="154"/>
  </r>
  <r>
    <d v="2025-07-31T07:20:00"/>
    <s v="INYECTADO"/>
    <x v="0"/>
    <x v="148"/>
    <s v="JUANA CRUCES"/>
    <s v="VIRGEN"/>
    <s v="PP CLARIFICADO"/>
    <s v="."/>
    <s v="TAPA TOMATODO DOBLE CLICK"/>
    <s v="TAPA TOMATODO DOBLE CLICK-TURQUESA"/>
    <n v="331"/>
    <n v="5"/>
    <n v="56.4"/>
    <x v="0"/>
    <m/>
    <n v="5"/>
    <n v="1154"/>
    <n v="21740"/>
    <s v="TURQUESA"/>
    <n v="8.5"/>
    <n v="0"/>
    <n v="0"/>
    <n v="7.3283399999999999"/>
    <n v="56.4"/>
    <n v="22.14"/>
    <n v="2547.4254742547423"/>
    <x v="6"/>
    <x v="0"/>
    <n v="28"/>
    <n v="7"/>
    <n v="193.08333333333334"/>
  </r>
  <r>
    <d v="2025-07-31T07:20:00"/>
    <s v="INYECTADO"/>
    <x v="0"/>
    <x v="148"/>
    <s v="JUANA CRUCES"/>
    <s v="VIRGEN"/>
    <s v="PP CLARIFICADO"/>
    <s v="."/>
    <s v="TAPA TOMATODO DOBLE CLICK"/>
    <s v="TAPA TOMATODO DOBLE CLICK-ROSADO"/>
    <n v="86"/>
    <n v="2"/>
    <n v="15.1"/>
    <x v="0"/>
    <m/>
    <n v="2"/>
    <n v="1154"/>
    <n v="21740"/>
    <s v="ROSADO"/>
    <n v="2.6"/>
    <n v="0"/>
    <n v="0"/>
    <n v="1.90404"/>
    <n v="15.1"/>
    <n v="22.14"/>
    <n v="682.02348690153565"/>
    <x v="6"/>
    <x v="0"/>
    <n v="28"/>
    <n v="5"/>
    <n v="35.833333333333336"/>
  </r>
  <r>
    <d v="2025-07-31T07:20:00"/>
    <s v="INYECTADO"/>
    <x v="0"/>
    <x v="148"/>
    <s v="JUAN MANUEL PEREZ"/>
    <s v="VIRGEN"/>
    <s v="PP CLARIFICADO"/>
    <s v="."/>
    <s v="TAPA TOMATODO DOBLE CLICK"/>
    <s v="TAPA TOMATODO DOBLE CLICK-TURQUESA"/>
    <n v="179"/>
    <n v="3"/>
    <n v="31.3"/>
    <x v="1"/>
    <m/>
    <n v="3"/>
    <n v="1154"/>
    <n v="21741"/>
    <s v="TURQUESA"/>
    <n v="5"/>
    <n v="0"/>
    <n v="0"/>
    <n v="3.96306"/>
    <n v="31.3"/>
    <n v="22.14"/>
    <n v="1413.7308039747063"/>
    <x v="6"/>
    <x v="0"/>
    <n v="28"/>
    <n v="7"/>
    <n v="104.41666666666667"/>
  </r>
  <r>
    <d v="2025-07-31T07:20:00"/>
    <s v="INYECTADO"/>
    <x v="0"/>
    <x v="148"/>
    <s v="JUAN MANUEL PEREZ"/>
    <s v="VIRGEN"/>
    <s v="PP CLARIFICADO"/>
    <s v="."/>
    <s v="TAPA TOMATODO DOBLE CLICK"/>
    <s v="TAPA TOMATODO DOBLE CLICK-CELESTE"/>
    <n v="270"/>
    <n v="5"/>
    <n v="46.6"/>
    <x v="1"/>
    <m/>
    <n v="5"/>
    <n v="1154"/>
    <n v="21741"/>
    <s v="CELESTE"/>
    <n v="5"/>
    <n v="0"/>
    <n v="0"/>
    <n v="5.9778000000000002"/>
    <n v="46.6"/>
    <n v="22.14"/>
    <n v="2104.7877145438119"/>
    <x v="6"/>
    <x v="0"/>
    <n v="28"/>
    <n v="7"/>
    <n v="157.5"/>
  </r>
  <r>
    <d v="2025-07-31T07:20:00"/>
    <s v="INYECTADO"/>
    <x v="0"/>
    <x v="150"/>
    <s v="JUANA CRUCES"/>
    <s v="VIRGEN"/>
    <s v="PP CLARIFICADO"/>
    <s v="."/>
    <s v="TAPA TOMATODO DOBLE CLICK"/>
    <s v="TAPA TOMATODO DOBLE CLICK-AZURE"/>
    <n v="491"/>
    <n v="7"/>
    <n v="85.5"/>
    <x v="0"/>
    <m/>
    <n v="8"/>
    <n v="1154"/>
    <n v="21742"/>
    <s v="AZURE"/>
    <n v="15.6"/>
    <n v="0"/>
    <n v="0"/>
    <n v="10.87074"/>
    <n v="85.5"/>
    <n v="22.14"/>
    <n v="3861.7886178861786"/>
    <x v="6"/>
    <x v="0"/>
    <n v="29"/>
    <n v="7"/>
    <n v="286.41666666666669"/>
  </r>
  <r>
    <d v="2025-07-31T07:20:00"/>
    <s v="INYECTADO"/>
    <x v="0"/>
    <x v="150"/>
    <s v="JUANA CRUCES"/>
    <s v="VIRGEN"/>
    <s v="PP CLARIFICADO"/>
    <s v="."/>
    <s v="TAPA TOMATODO DOBLE CLICK"/>
    <s v="TAPA TOMATODO DOBLE CLICK-CELESTE"/>
    <n v="73"/>
    <n v="1"/>
    <n v="12.8"/>
    <x v="0"/>
    <m/>
    <n v="1"/>
    <n v="1154"/>
    <n v="21742"/>
    <s v="CELESTE"/>
    <n v="3.9"/>
    <n v="0"/>
    <n v="0"/>
    <n v="1.61622"/>
    <n v="12.8"/>
    <n v="22.14"/>
    <n v="578.13911472448058"/>
    <x v="6"/>
    <x v="0"/>
    <n v="29"/>
    <n v="7"/>
    <n v="42.583333333333336"/>
  </r>
  <r>
    <d v="2025-07-31T07:20:00"/>
    <s v="INYECTADO"/>
    <x v="0"/>
    <x v="150"/>
    <s v="JUANA CRUCES"/>
    <s v="VIRGEN"/>
    <s v="PP CLARIFICADO"/>
    <s v="."/>
    <s v="TAPA TOMATODO DOBLE CLICK"/>
    <s v="TAPA TOMATODO DOBLE CLICK-ROSADO"/>
    <n v="80"/>
    <n v="1"/>
    <n v="14"/>
    <x v="0"/>
    <m/>
    <n v="1"/>
    <n v="1154"/>
    <n v="21742"/>
    <s v="ROSADO"/>
    <n v="2.2000000000000002"/>
    <n v="0"/>
    <n v="0"/>
    <n v="1.7712000000000001"/>
    <n v="14"/>
    <n v="22.14"/>
    <n v="632.33965672990064"/>
    <x v="6"/>
    <x v="0"/>
    <n v="29"/>
    <n v="5"/>
    <n v="33.333333333333336"/>
  </r>
  <r>
    <d v="2025-07-31T07:20:00"/>
    <s v="INYECTADO"/>
    <x v="0"/>
    <x v="150"/>
    <s v="JOSDER GONZALEZ"/>
    <s v="VIRGEN"/>
    <s v="PP CLARIFICADO"/>
    <s v="."/>
    <s v="TAPA TOMATODO DOBLE CLICK"/>
    <s v="TAPA TOMATODO DOBLE CLICK-LILA"/>
    <n v="174"/>
    <n v="4"/>
    <n v="39.1"/>
    <x v="1"/>
    <m/>
    <n v="4"/>
    <n v="1154"/>
    <n v="21743"/>
    <s v="LILA"/>
    <n v="5.8"/>
    <n v="0"/>
    <n v="0"/>
    <n v="3.85236"/>
    <n v="39.1"/>
    <n v="22.14"/>
    <n v="1766.0343270099368"/>
    <x v="6"/>
    <x v="0"/>
    <n v="29"/>
    <n v="7"/>
    <n v="101.5"/>
  </r>
  <r>
    <d v="2025-07-31T07:20:00"/>
    <s v="INYECTADO"/>
    <x v="0"/>
    <x v="150"/>
    <s v="JOSDER GONZALEZ"/>
    <s v="VIRGEN"/>
    <s v="PP CLARIFICADO"/>
    <s v="."/>
    <s v="TAPA TOMATODO DOBLE CLICK"/>
    <s v="TAPA TOMATODO DOBLE CLICK-ROSADO"/>
    <n v="50"/>
    <n v="1"/>
    <n v="11"/>
    <x v="1"/>
    <m/>
    <n v="1"/>
    <n v="1154"/>
    <n v="21743"/>
    <s v="ROSADO"/>
    <n v="3.6"/>
    <n v="0"/>
    <n v="0"/>
    <n v="1.107"/>
    <n v="11"/>
    <n v="22.14"/>
    <n v="496.83830171635049"/>
    <x v="6"/>
    <x v="0"/>
    <n v="29"/>
    <n v="5"/>
    <n v="20.833333333333332"/>
  </r>
  <r>
    <d v="2025-07-31T07:20:00"/>
    <s v="INYECTADO"/>
    <x v="0"/>
    <x v="150"/>
    <s v="JOSDER GONZALEZ"/>
    <s v="VIRGEN"/>
    <s v="PP CLARIFICADO"/>
    <s v="."/>
    <s v="TAPA TOMATODO DOBLE CLICK"/>
    <s v="TAPA TOMATODO DOBLE CLICK-SANDIA"/>
    <n v="116"/>
    <n v="2"/>
    <n v="24.7"/>
    <x v="1"/>
    <m/>
    <n v="2"/>
    <n v="1154"/>
    <n v="21743"/>
    <s v="SANDIA"/>
    <n v="5.7"/>
    <n v="0"/>
    <n v="0"/>
    <n v="2.5682400000000003"/>
    <n v="24.7"/>
    <n v="22.14"/>
    <n v="1115.627822944896"/>
    <x v="6"/>
    <x v="0"/>
    <n v="29"/>
    <n v="7"/>
    <n v="67.666666666666671"/>
  </r>
  <r>
    <d v="2025-07-31T07:20:00"/>
    <s v="INYECTADO"/>
    <x v="0"/>
    <x v="150"/>
    <s v="JOSDER GONZALEZ"/>
    <s v="VIRGEN"/>
    <s v="PP CLARIFICADO"/>
    <s v="."/>
    <s v="TAPA TOMATODO DOBLE CLICK"/>
    <s v="TAPA TOMATODO DOBLE CLICK-AMARILLO"/>
    <n v="266"/>
    <n v="4"/>
    <n v="45.9"/>
    <x v="1"/>
    <m/>
    <n v="5"/>
    <n v="1154"/>
    <n v="21743"/>
    <s v="AMARILLO"/>
    <n v="5.4"/>
    <n v="0"/>
    <n v="0"/>
    <n v="5.88924"/>
    <n v="45.9"/>
    <n v="22.14"/>
    <n v="2073.1707317073169"/>
    <x v="6"/>
    <x v="0"/>
    <n v="29"/>
    <n v="7"/>
    <n v="155.16666666666666"/>
  </r>
  <r>
    <d v="2025-07-31T07:20:00"/>
    <s v="INYECTADO"/>
    <x v="0"/>
    <x v="162"/>
    <s v="LEONOR GUTIERREZ"/>
    <s v="VIRGEN"/>
    <s v="PP CLARIFICADO"/>
    <s v="."/>
    <s v="TAPA TOMATODO DOBLE CLICK"/>
    <s v="TAPA TOMATODO DOBLE CLICK-ANARANJADO"/>
    <n v="244"/>
    <n v="4"/>
    <n v="42.2"/>
    <x v="0"/>
    <m/>
    <n v="6"/>
    <n v="1154"/>
    <n v="21744"/>
    <s v="NARANJA"/>
    <n v="15.5"/>
    <n v="0"/>
    <n v="0"/>
    <n v="5.4021600000000003"/>
    <n v="42.2"/>
    <n v="22.14"/>
    <n v="1906.0523938572719"/>
    <x v="6"/>
    <x v="0"/>
    <n v="29"/>
    <n v="7"/>
    <n v="142.33333333333334"/>
  </r>
  <r>
    <d v="2025-07-31T07:20:00"/>
    <s v="INYECTADO"/>
    <x v="0"/>
    <x v="162"/>
    <s v="LEONOR GUTIERREZ"/>
    <s v="VIRGEN"/>
    <s v="PP CLARIFICADO"/>
    <s v="."/>
    <s v="TAPA TOMATODO DOBLE CLICK"/>
    <s v="TAPA TOMATODO DOBLE CLICK-TURQUESA"/>
    <n v="238"/>
    <n v="3"/>
    <n v="40.6"/>
    <x v="0"/>
    <m/>
    <n v="6"/>
    <n v="1154"/>
    <n v="21744"/>
    <s v="TURQUESA"/>
    <n v="10.3"/>
    <n v="0"/>
    <n v="0"/>
    <n v="5.2693199999999996"/>
    <n v="40.6"/>
    <n v="22.14"/>
    <n v="1833.7850045167118"/>
    <x v="6"/>
    <x v="0"/>
    <n v="29"/>
    <n v="7"/>
    <n v="138.83333333333334"/>
  </r>
  <r>
    <d v="2025-07-31T07:20:00"/>
    <s v="INYECTADO"/>
    <x v="0"/>
    <x v="163"/>
    <s v="ROSA MERINO"/>
    <s v="VIRGEN"/>
    <s v="PP CLARIFICADO"/>
    <s v="."/>
    <s v="PORTA ACCESORIO"/>
    <s v="PORTA ACCESORIO-TURQUESA"/>
    <n v="711"/>
    <n v="3"/>
    <n v="42"/>
    <x v="0"/>
    <m/>
    <n v="3"/>
    <n v="1161"/>
    <n v="21745"/>
    <s v="TURQUESA"/>
    <n v="8"/>
    <n v="0"/>
    <n v="0"/>
    <n v="42.66"/>
    <n v="42"/>
    <n v="60"/>
    <n v="700"/>
    <x v="6"/>
    <x v="0"/>
    <n v="29"/>
    <n v="1"/>
    <n v="59.25"/>
  </r>
  <r>
    <d v="2025-07-31T07:20:00"/>
    <s v="INYECTADO"/>
    <x v="0"/>
    <x v="163"/>
    <s v="ROSA MERINO"/>
    <s v="VIRGEN"/>
    <s v="PP CLARIFICADO"/>
    <s v="."/>
    <s v="PORTA ACCESORIO"/>
    <s v="PORTA ACCESORIO-VERDE"/>
    <n v="313"/>
    <n v="2"/>
    <n v="18.5"/>
    <x v="0"/>
    <m/>
    <n v="2"/>
    <n v="1161"/>
    <n v="21745"/>
    <s v="VERDE"/>
    <n v="0"/>
    <n v="0"/>
    <n v="0"/>
    <n v="18.78"/>
    <n v="18.5"/>
    <n v="60"/>
    <n v="308.33333333333331"/>
    <x v="6"/>
    <x v="0"/>
    <n v="29"/>
    <n v="1"/>
    <n v="26.083333333333332"/>
  </r>
  <r>
    <d v="2025-07-31T07:20:00"/>
    <s v="INYECTADO"/>
    <x v="0"/>
    <x v="164"/>
    <s v="JUANA CRUCES"/>
    <s v="VIRGEN"/>
    <s v="PP CLARIFICADO"/>
    <s v="."/>
    <s v="PORTA ACCESORIO"/>
    <s v="PORTA ACCESORIO-CREMA"/>
    <n v="874"/>
    <n v="5"/>
    <n v="50.7"/>
    <x v="0"/>
    <m/>
    <n v="4"/>
    <n v="1161"/>
    <n v="21746"/>
    <s v="CREMA"/>
    <n v="0"/>
    <n v="0"/>
    <n v="0"/>
    <n v="52.44"/>
    <n v="50.7"/>
    <n v="60"/>
    <n v="845"/>
    <x v="6"/>
    <x v="0"/>
    <n v="29"/>
    <n v="1"/>
    <n v="72.833333333333329"/>
  </r>
  <r>
    <d v="2025-07-31T07:20:00"/>
    <s v="INYECTADO"/>
    <x v="0"/>
    <x v="164"/>
    <s v="JUANA CRUCES"/>
    <s v="VIRGEN"/>
    <s v="PP CLARIFICADO"/>
    <s v="."/>
    <s v="PORTA ACCESORIO"/>
    <s v="PORTA ACCESORIO-MELON"/>
    <n v="870"/>
    <n v="5"/>
    <n v="50.5"/>
    <x v="0"/>
    <m/>
    <n v="4"/>
    <n v="1161"/>
    <n v="21746"/>
    <s v="MELON"/>
    <n v="0"/>
    <n v="0"/>
    <n v="0"/>
    <n v="52.2"/>
    <n v="50.5"/>
    <n v="60"/>
    <n v="841.66666666666663"/>
    <x v="6"/>
    <x v="0"/>
    <n v="29"/>
    <n v="1"/>
    <n v="72.5"/>
  </r>
  <r>
    <d v="2025-07-31T07:20:00"/>
    <s v="INYECTADO"/>
    <x v="0"/>
    <x v="164"/>
    <s v="JUANA CRUCES"/>
    <s v="VIRGEN"/>
    <s v="PP CLARIFICADO"/>
    <s v="."/>
    <s v="PORTA ACCESORIO"/>
    <s v="PORTA ACCESORIO-VERDE"/>
    <n v="440"/>
    <n v="2"/>
    <n v="26"/>
    <x v="0"/>
    <m/>
    <n v="3"/>
    <n v="1161"/>
    <n v="21746"/>
    <s v="VERDE"/>
    <n v="4.8"/>
    <n v="0"/>
    <n v="0"/>
    <n v="26.4"/>
    <n v="26"/>
    <n v="60"/>
    <n v="433.33333333333331"/>
    <x v="6"/>
    <x v="0"/>
    <n v="29"/>
    <n v="1"/>
    <n v="36.666666666666664"/>
  </r>
  <r>
    <d v="2025-07-31T07:20:00"/>
    <s v="INYECTADO"/>
    <x v="0"/>
    <x v="164"/>
    <s v="JUAN MANUEL PEREZ"/>
    <s v="VIRGEN"/>
    <s v="PP CLARIFICADO"/>
    <s v="."/>
    <s v="PORTA ACCESORIO"/>
    <s v="PORTA ACCESORIO-ROSADO"/>
    <n v="868"/>
    <n v="4"/>
    <n v="50.4"/>
    <x v="1"/>
    <m/>
    <n v="6"/>
    <n v="1161"/>
    <n v="21747"/>
    <s v="ROSADO"/>
    <n v="0"/>
    <n v="0"/>
    <n v="0"/>
    <n v="52.08"/>
    <n v="50.4"/>
    <n v="60"/>
    <n v="840"/>
    <x v="6"/>
    <x v="0"/>
    <n v="29"/>
    <n v="1"/>
    <n v="72.333333333333329"/>
  </r>
  <r>
    <d v="2025-07-31T07:20:00"/>
    <s v="INYECTADO"/>
    <x v="0"/>
    <x v="164"/>
    <s v="JUAN MANUEL PEREZ"/>
    <s v="VIRGEN"/>
    <s v="PP CLARIFICADO"/>
    <s v="."/>
    <s v="PORTA ACCESORIO"/>
    <s v="PORTA ACCESORIO-LILA"/>
    <n v="1406"/>
    <n v="8"/>
    <n v="81.599999999999994"/>
    <x v="1"/>
    <m/>
    <n v="4"/>
    <n v="1161"/>
    <n v="21747"/>
    <s v="LILA"/>
    <n v="0"/>
    <n v="0"/>
    <n v="0"/>
    <n v="84.36"/>
    <n v="81.599999999999994"/>
    <n v="60"/>
    <n v="1360"/>
    <x v="6"/>
    <x v="0"/>
    <n v="29"/>
    <n v="1"/>
    <n v="117.16666666666667"/>
  </r>
  <r>
    <d v="2025-07-31T07:20:00"/>
    <s v="INYECTADO"/>
    <x v="0"/>
    <x v="165"/>
    <s v="CRISALIDA ZAPATA"/>
    <s v="VIRGEN"/>
    <s v="PP CLARIFICADO"/>
    <s v="."/>
    <s v="PORTA ACCESORIO"/>
    <s v="PORTA ACCESORIO-LILA"/>
    <n v="322"/>
    <n v="2"/>
    <n v="19"/>
    <x v="0"/>
    <m/>
    <n v="3"/>
    <n v="1161"/>
    <n v="21748"/>
    <s v="LILA"/>
    <n v="3.4"/>
    <n v="0"/>
    <n v="0"/>
    <n v="19.32"/>
    <n v="19"/>
    <n v="60"/>
    <n v="316.66666666666669"/>
    <x v="6"/>
    <x v="0"/>
    <n v="29"/>
    <n v="1"/>
    <n v="26.833333333333332"/>
  </r>
  <r>
    <d v="2025-07-31T07:20:00"/>
    <s v="INYECTADO"/>
    <x v="0"/>
    <x v="165"/>
    <s v="CRISALIDA ZAPATA"/>
    <s v="VIRGEN"/>
    <s v="PP CLARIFICADO"/>
    <s v="."/>
    <s v="PORTA ACCESORIO"/>
    <s v="PORTA ACCESORIO-VERDE"/>
    <n v="750"/>
    <n v="4"/>
    <n v="44.3"/>
    <x v="0"/>
    <m/>
    <n v="4"/>
    <n v="1161"/>
    <n v="21748"/>
    <s v="VERDE"/>
    <n v="0.7"/>
    <n v="0"/>
    <n v="0"/>
    <n v="45"/>
    <n v="44.3"/>
    <n v="60"/>
    <n v="738.33333333333337"/>
    <x v="6"/>
    <x v="0"/>
    <n v="29"/>
    <n v="1"/>
    <n v="62.5"/>
  </r>
  <r>
    <d v="2025-07-31T07:20:00"/>
    <s v="INYECTADO"/>
    <x v="0"/>
    <x v="165"/>
    <s v="CRISALIDA ZAPATA"/>
    <s v="VIRGEN"/>
    <s v="PP CLARIFICADO"/>
    <s v="."/>
    <s v="PORTA ACCESORIO"/>
    <s v="PORTA ACCESORIO-ROSADO"/>
    <n v="752"/>
    <n v="4"/>
    <n v="44.4"/>
    <x v="0"/>
    <m/>
    <n v="4"/>
    <n v="1161"/>
    <n v="21748"/>
    <s v="ROSADO"/>
    <n v="6.4"/>
    <n v="0"/>
    <n v="0"/>
    <n v="45.12"/>
    <n v="44.4"/>
    <n v="60"/>
    <n v="740"/>
    <x v="6"/>
    <x v="0"/>
    <n v="29"/>
    <n v="1"/>
    <n v="62.666666666666664"/>
  </r>
  <r>
    <d v="2025-07-31T07:20:00"/>
    <s v="INYECTADO"/>
    <x v="0"/>
    <x v="165"/>
    <s v="ISABEL LINARIZ "/>
    <s v="VIRGEN"/>
    <s v="PP CLARIFICADO"/>
    <s v="."/>
    <s v="PORTA ACCESORIO"/>
    <s v="PORTA ACCESORIO-VERDE"/>
    <n v="84"/>
    <n v="1"/>
    <n v="5"/>
    <x v="1"/>
    <m/>
    <n v="1"/>
    <n v="1161"/>
    <n v="21749"/>
    <s v="VERDE"/>
    <n v="3.5"/>
    <n v="0"/>
    <n v="0"/>
    <n v="5.04"/>
    <n v="5"/>
    <n v="60"/>
    <n v="83.333333333333329"/>
    <x v="6"/>
    <x v="0"/>
    <n v="29"/>
    <n v="1"/>
    <n v="7"/>
  </r>
  <r>
    <d v="2025-07-31T07:20:00"/>
    <s v="INYECTADO"/>
    <x v="0"/>
    <x v="165"/>
    <s v="ISABEL LINARIZ "/>
    <s v="VIRGEN"/>
    <s v="PP CLARIFICADO"/>
    <s v="."/>
    <s v="PORTA ACCESORIO"/>
    <s v="PORTA ACCESORIO-MELON"/>
    <n v="849"/>
    <n v="5"/>
    <n v="50.1"/>
    <x v="1"/>
    <m/>
    <n v="4"/>
    <n v="1161"/>
    <n v="21749"/>
    <s v="MELON"/>
    <n v="2.8"/>
    <n v="0"/>
    <n v="0"/>
    <n v="50.94"/>
    <n v="50.1"/>
    <n v="60"/>
    <n v="835"/>
    <x v="6"/>
    <x v="0"/>
    <n v="29"/>
    <n v="1"/>
    <n v="70.75"/>
  </r>
  <r>
    <d v="2025-07-31T07:20:00"/>
    <s v="INYECTADO"/>
    <x v="0"/>
    <x v="165"/>
    <s v="ISABEL LINARIZ "/>
    <s v="VIRGEN"/>
    <s v="PP CLARIFICADO"/>
    <s v="."/>
    <s v="PORTA ACCESORIO"/>
    <s v="PORTA ACCESORIO-TURQUESA"/>
    <n v="850"/>
    <n v="5"/>
    <n v="50.2"/>
    <x v="1"/>
    <m/>
    <n v="4"/>
    <n v="1161"/>
    <n v="21749"/>
    <s v="TURQUESA"/>
    <n v="0.6"/>
    <n v="0"/>
    <n v="0"/>
    <n v="51"/>
    <n v="50.2"/>
    <n v="60"/>
    <n v="836.66666666666663"/>
    <x v="6"/>
    <x v="0"/>
    <n v="29"/>
    <n v="1"/>
    <n v="70.833333333333329"/>
  </r>
  <r>
    <d v="2025-07-31T07:20:00"/>
    <s v="INYECTADO"/>
    <x v="0"/>
    <x v="158"/>
    <s v="ROSA MERINO"/>
    <s v="VIRGEN"/>
    <s v="PP CLARIFICADO"/>
    <s v="."/>
    <s v="PORTA ACCESORIO"/>
    <s v="PORTA ACCESORIO-CREMA"/>
    <n v="932"/>
    <n v="5"/>
    <n v="55"/>
    <x v="0"/>
    <m/>
    <n v="4"/>
    <n v="1161"/>
    <n v="21750"/>
    <s v="CREMA"/>
    <n v="6"/>
    <n v="0"/>
    <n v="0"/>
    <n v="55.92"/>
    <n v="55"/>
    <n v="60"/>
    <n v="916.66666666666663"/>
    <x v="6"/>
    <x v="0"/>
    <n v="30"/>
    <n v="1"/>
    <n v="77.666666666666671"/>
  </r>
  <r>
    <d v="2025-07-31T07:20:00"/>
    <s v="INYECTADO"/>
    <x v="0"/>
    <x v="158"/>
    <s v="ROSA MERINO"/>
    <s v="VIRGEN"/>
    <s v="PP CLARIFICADO"/>
    <s v="."/>
    <s v="PORTA ACCESORIO"/>
    <s v="PORTA ACCESORIO-VERDE"/>
    <n v="311"/>
    <n v="2"/>
    <n v="18.399999999999999"/>
    <x v="0"/>
    <m/>
    <n v="2"/>
    <n v="1161"/>
    <n v="21750"/>
    <s v="VERDE"/>
    <n v="4.8"/>
    <n v="0"/>
    <n v="0"/>
    <n v="18.66"/>
    <n v="18.399999999999999"/>
    <n v="60"/>
    <n v="306.66666666666669"/>
    <x v="6"/>
    <x v="0"/>
    <n v="30"/>
    <n v="1"/>
    <n v="25.916666666666668"/>
  </r>
  <r>
    <d v="2025-07-31T07:20:00"/>
    <s v="INYECTADO"/>
    <x v="0"/>
    <x v="158"/>
    <s v="ROSA MERINO"/>
    <s v="VIRGEN"/>
    <s v="PP CLARIFICADO"/>
    <s v="."/>
    <s v="PORTA ACCESORIO"/>
    <s v="PORTA ACCESORIO-TURQUESA"/>
    <n v="149"/>
    <n v="1"/>
    <n v="8.8000000000000007"/>
    <x v="0"/>
    <m/>
    <n v="1"/>
    <n v="1161"/>
    <n v="21750"/>
    <s v="TURQUESA"/>
    <n v="2.2000000000000002"/>
    <n v="0"/>
    <n v="0"/>
    <n v="8.94"/>
    <n v="8.8000000000000007"/>
    <n v="60"/>
    <n v="146.66666666666666"/>
    <x v="6"/>
    <x v="0"/>
    <n v="30"/>
    <n v="1"/>
    <n v="12.416666666666666"/>
  </r>
  <r>
    <d v="2025-07-31T07:20:00"/>
    <s v="INYECTADO"/>
    <x v="0"/>
    <x v="159"/>
    <s v="CRISALIDA ZAPATA"/>
    <s v="VIRGEN"/>
    <s v="PP CLARIFICADO"/>
    <s v="."/>
    <s v="PORTA ACCESORIO"/>
    <s v="PORTA ACCESORIO-TURQUESA"/>
    <n v="184"/>
    <n v="2"/>
    <n v="10.9"/>
    <x v="0"/>
    <m/>
    <n v="1"/>
    <n v="1161"/>
    <n v="21751"/>
    <s v="TURQUESA"/>
    <n v="8.8000000000000007"/>
    <n v="0"/>
    <n v="0"/>
    <n v="11.04"/>
    <n v="10.9"/>
    <n v="60"/>
    <n v="181.66666666666666"/>
    <x v="6"/>
    <x v="0"/>
    <n v="30"/>
    <n v="1"/>
    <n v="15.333333333333334"/>
  </r>
  <r>
    <d v="2025-07-31T07:20:00"/>
    <s v="INYECTADO"/>
    <x v="0"/>
    <x v="159"/>
    <s v="CRISALIDA ZAPATA"/>
    <s v="VIRGEN"/>
    <s v="PP CLARIFICADO"/>
    <s v="."/>
    <s v="PORTA ACCESORIO"/>
    <s v="PORTA ACCESORIO-ROSADO"/>
    <n v="74"/>
    <n v="2"/>
    <n v="4.4000000000000004"/>
    <x v="0"/>
    <m/>
    <n v="1"/>
    <n v="1161"/>
    <n v="21751"/>
    <s v="FUCSIA"/>
    <n v="2"/>
    <n v="0"/>
    <n v="0"/>
    <n v="4.4400000000000004"/>
    <n v="4.4000000000000004"/>
    <n v="60"/>
    <n v="73.333333333333329"/>
    <x v="6"/>
    <x v="0"/>
    <n v="30"/>
    <n v="1"/>
    <n v="6.166666666666667"/>
  </r>
  <r>
    <d v="2025-07-31T07:20:00"/>
    <s v="INYECTADO"/>
    <x v="0"/>
    <x v="154"/>
    <s v="CRISALIDA ZAPATA"/>
    <s v="VIRGEN"/>
    <s v="PP CLARIFICADO"/>
    <s v="."/>
    <s v="PORTA ACCESORIO"/>
    <s v="PORTA ACCESORIO-ROSADO"/>
    <n v="240"/>
    <n v="3"/>
    <n v="14.2"/>
    <x v="0"/>
    <m/>
    <n v="2"/>
    <n v="1161"/>
    <n v="21752"/>
    <s v="FUCSIA"/>
    <n v="0.6"/>
    <n v="0"/>
    <n v="0"/>
    <n v="14.4"/>
    <n v="14.2"/>
    <n v="60"/>
    <n v="236.66666666666666"/>
    <x v="6"/>
    <x v="0"/>
    <n v="30"/>
    <n v="1"/>
    <n v="20"/>
  </r>
  <r>
    <d v="2025-07-31T07:20:00"/>
    <s v="INYECTADO"/>
    <x v="1"/>
    <x v="165"/>
    <s v="ROSA MERINO"/>
    <s v="SEGUNDA"/>
    <s v="."/>
    <s v="ALTA INYECCION"/>
    <s v="CASCO MILITAR"/>
    <s v="CASCO-VERDE MILITAR"/>
    <n v="947"/>
    <n v="9"/>
    <n v="91"/>
    <x v="0"/>
    <m/>
    <n v="8"/>
    <n v="1162"/>
    <n v="21602"/>
    <s v="VERDE MILITAR"/>
    <n v="6"/>
    <n v="0"/>
    <n v="0"/>
    <n v="97.540999999999997"/>
    <n v="91"/>
    <n v="103"/>
    <n v="883.495145631068"/>
    <x v="6"/>
    <x v="0"/>
    <n v="29"/>
    <n v="1"/>
    <n v="78.916666666666671"/>
  </r>
  <r>
    <d v="2025-07-31T07:20:00"/>
    <s v="INYECTADO"/>
    <x v="1"/>
    <x v="158"/>
    <s v="LUIS PINEDO"/>
    <s v="SEGUNDA"/>
    <s v="."/>
    <s v="ALTA INYECCION"/>
    <s v="CASCO MILITAR"/>
    <s v="CASCO-VERDE MILITAR"/>
    <n v="644"/>
    <n v="6"/>
    <n v="60.6"/>
    <x v="0"/>
    <m/>
    <n v="6"/>
    <n v="1162"/>
    <n v="21603"/>
    <s v="VERDE MILITAR"/>
    <n v="5"/>
    <n v="0"/>
    <n v="0"/>
    <n v="66.331999999999994"/>
    <n v="60.6"/>
    <n v="103"/>
    <n v="588.34951456310682"/>
    <x v="6"/>
    <x v="0"/>
    <n v="30"/>
    <n v="1"/>
    <n v="53.666666666666664"/>
  </r>
  <r>
    <d v="2025-07-31T07:20:00"/>
    <s v="INYECTADO"/>
    <x v="1"/>
    <x v="158"/>
    <s v="JOSDER GONZALEZ"/>
    <s v="SEGUNDA"/>
    <s v="."/>
    <s v="ALTA INYECCION"/>
    <s v="CASCO MILITAR"/>
    <s v="CASCO-VERDE MILITAR"/>
    <n v="443"/>
    <n v="7"/>
    <n v="41.7"/>
    <x v="1"/>
    <m/>
    <n v="4"/>
    <n v="1162"/>
    <n v="21604"/>
    <s v="VERDE MILITAR"/>
    <n v="6.2"/>
    <n v="0"/>
    <n v="0"/>
    <n v="45.628999999999998"/>
    <n v="41.7"/>
    <n v="103"/>
    <n v="404.85436893203882"/>
    <x v="6"/>
    <x v="0"/>
    <n v="30"/>
    <n v="1"/>
    <n v="36.916666666666664"/>
  </r>
  <r>
    <d v="2025-07-31T07:20:00"/>
    <s v="INYECTADO"/>
    <x v="1"/>
    <x v="159"/>
    <s v="LUIS PINEDO"/>
    <s v="SEGUNDA"/>
    <s v="."/>
    <s v="ALTA INYECCION"/>
    <s v="CASCO MILITAR"/>
    <s v="CASCO-VERDE MILITAR"/>
    <n v="1191"/>
    <n v="11"/>
    <n v="112"/>
    <x v="0"/>
    <m/>
    <n v="11"/>
    <n v="1162"/>
    <n v="21605"/>
    <s v="VERDE MILITAR"/>
    <n v="0"/>
    <n v="0"/>
    <n v="0"/>
    <n v="122.673"/>
    <n v="112"/>
    <n v="103"/>
    <n v="1087.3786407766991"/>
    <x v="6"/>
    <x v="0"/>
    <n v="30"/>
    <n v="1"/>
    <n v="99.25"/>
  </r>
  <r>
    <d v="2025-07-31T07:20:00"/>
    <s v="INYECTADO"/>
    <x v="1"/>
    <x v="160"/>
    <s v="MARIA ALEJANDRA"/>
    <s v="SEGUNDA"/>
    <s v="."/>
    <s v="ALTA INYECCION"/>
    <s v="CASCO MILITAR"/>
    <s v="CASCO-VERDE MILITAR"/>
    <n v="963"/>
    <n v="10"/>
    <n v="90.6"/>
    <x v="0"/>
    <m/>
    <n v="9"/>
    <n v="1162"/>
    <n v="21606"/>
    <s v="VERDE MILITAR"/>
    <n v="3.4"/>
    <n v="0"/>
    <n v="0"/>
    <n v="99.188999999999993"/>
    <n v="90.6"/>
    <n v="103"/>
    <n v="879.61165048543694"/>
    <x v="6"/>
    <x v="0"/>
    <n v="30"/>
    <n v="1"/>
    <n v="80.25"/>
  </r>
  <r>
    <d v="2025-07-31T07:20:00"/>
    <s v="INYECTADO"/>
    <x v="1"/>
    <x v="154"/>
    <s v="LUIS PINEDO"/>
    <s v="SEGUNDA"/>
    <s v="."/>
    <s v="ALTA INYECCION"/>
    <s v="CASCO MILITAR"/>
    <s v="CASCO-VERDE MILITAR"/>
    <n v="1093"/>
    <n v="9"/>
    <n v="102.8"/>
    <x v="0"/>
    <m/>
    <n v="9"/>
    <n v="1162"/>
    <n v="21607"/>
    <s v="VERDE MILITAR"/>
    <n v="0"/>
    <n v="0"/>
    <n v="0"/>
    <n v="112.57899999999999"/>
    <n v="102.8"/>
    <n v="103"/>
    <n v="998.05825242718447"/>
    <x v="6"/>
    <x v="0"/>
    <n v="30"/>
    <n v="1"/>
    <n v="91.083333333333329"/>
  </r>
  <r>
    <d v="2025-07-31T07:20:00"/>
    <s v="INYECTADO"/>
    <x v="1"/>
    <x v="154"/>
    <s v="JUAN MANUEL PEREZ"/>
    <s v="SEGUNDA"/>
    <s v="."/>
    <s v="ALTA INYECCION"/>
    <s v="CASCO MILITAR"/>
    <s v="CASCO-VERDE MILITAR"/>
    <n v="244"/>
    <n v="3"/>
    <n v="23"/>
    <x v="1"/>
    <m/>
    <n v="2"/>
    <n v="1162"/>
    <n v="21608"/>
    <s v="VERDE MILITAR"/>
    <n v="0"/>
    <n v="0"/>
    <n v="0"/>
    <n v="25.132000000000001"/>
    <n v="23"/>
    <n v="103"/>
    <n v="223.30097087378641"/>
    <x v="6"/>
    <x v="0"/>
    <n v="30"/>
    <n v="1"/>
    <n v="20.333333333333332"/>
  </r>
  <r>
    <d v="2025-07-31T07:20:00"/>
    <s v="INYECTADO"/>
    <x v="1"/>
    <x v="155"/>
    <s v="LUIS PINEDO"/>
    <s v="SEGUNDA"/>
    <s v="."/>
    <s v="ALTA INYECCION"/>
    <s v="CASCO MILITAR"/>
    <s v="CASCO-VERDE MILITAR"/>
    <n v="831"/>
    <n v="8"/>
    <n v="78.2"/>
    <x v="0"/>
    <m/>
    <n v="8"/>
    <n v="1162"/>
    <n v="21609"/>
    <s v="VERDE MILITAR"/>
    <n v="0"/>
    <n v="0"/>
    <n v="0"/>
    <n v="85.593000000000004"/>
    <n v="78.2"/>
    <n v="103"/>
    <n v="759.22330097087377"/>
    <x v="6"/>
    <x v="0"/>
    <n v="30"/>
    <n v="1"/>
    <n v="69.25"/>
  </r>
  <r>
    <d v="2025-07-31T07:20:00"/>
    <s v="INYECTADO"/>
    <x v="1"/>
    <x v="155"/>
    <s v="GABRIEL REQUENA"/>
    <s v="SEGUNDA"/>
    <s v="."/>
    <s v="ALTA INYECCION"/>
    <s v="CASCO MILITAR"/>
    <s v="CASCO-VERDE MILITAR"/>
    <n v="607"/>
    <n v="5"/>
    <n v="57.1"/>
    <x v="1"/>
    <m/>
    <n v="5"/>
    <n v="1162"/>
    <n v="21610"/>
    <s v="VERDE MILITAR"/>
    <n v="5"/>
    <n v="0"/>
    <n v="0"/>
    <n v="62.521000000000001"/>
    <n v="57.1"/>
    <n v="103"/>
    <n v="554.36893203883494"/>
    <x v="6"/>
    <x v="0"/>
    <n v="30"/>
    <n v="1"/>
    <n v="50.583333333333336"/>
  </r>
  <r>
    <d v="2025-07-31T07:20:00"/>
    <s v="INYECTADO"/>
    <x v="6"/>
    <x v="152"/>
    <s v="SIN NOMBRE"/>
    <s v="VIRGEN"/>
    <s v="PP CLARIFICADO"/>
    <s v="."/>
    <s v="LAVACUELA REDONDO"/>
    <s v="LAVACUELA REDONDO-ROSADO"/>
    <n v="610"/>
    <n v="2"/>
    <n v="58.6"/>
    <x v="0"/>
    <m/>
    <n v="5"/>
    <n v="1140"/>
    <n v="21274"/>
    <s v="ROSADO"/>
    <n v="13.4"/>
    <n v="0"/>
    <n v="0"/>
    <n v="56.424999999999997"/>
    <n v="58.6"/>
    <n v="92.5"/>
    <n v="633.51351351351354"/>
    <x v="6"/>
    <x v="0"/>
    <n v="27"/>
    <n v="1"/>
    <n v="50.833333333333336"/>
  </r>
  <r>
    <d v="2025-07-31T07:20:00"/>
    <s v="INYECTADO"/>
    <x v="6"/>
    <x v="152"/>
    <s v="SIN NOMBRE"/>
    <s v="VIRGEN"/>
    <s v="PP CLARIFICADO"/>
    <s v="."/>
    <s v="LAVACUELA REDONDO"/>
    <s v="LAVACUELA REDONDO-TURQUESA"/>
    <n v="162"/>
    <n v="9"/>
    <n v="15.6"/>
    <x v="0"/>
    <m/>
    <n v="2"/>
    <n v="1140"/>
    <n v="21274"/>
    <s v="TURQUESA"/>
    <n v="4.7"/>
    <n v="0"/>
    <n v="0"/>
    <n v="14.984999999999999"/>
    <n v="15.6"/>
    <n v="92.5"/>
    <n v="168.64864864864865"/>
    <x v="6"/>
    <x v="0"/>
    <n v="27"/>
    <n v="1"/>
    <n v="13.5"/>
  </r>
  <r>
    <d v="2025-07-31T07:20:00"/>
    <s v="INYECTADO"/>
    <x v="6"/>
    <x v="152"/>
    <s v="JUAN MANUEL PEREZ"/>
    <s v="VIRGEN"/>
    <s v="PP CLARIFICADO"/>
    <s v="."/>
    <s v="LAVACUELA REDONDO"/>
    <s v="LAVACUELA REDONDO-ROSADO"/>
    <n v="273"/>
    <n v="3"/>
    <n v="26.2"/>
    <x v="1"/>
    <m/>
    <n v="4"/>
    <n v="1140"/>
    <n v="21275"/>
    <s v="FUCSIA"/>
    <n v="0"/>
    <n v="0"/>
    <n v="0"/>
    <n v="25.252500000000001"/>
    <n v="26.2"/>
    <n v="92.5"/>
    <n v="283.24324324324323"/>
    <x v="6"/>
    <x v="0"/>
    <n v="27"/>
    <n v="1"/>
    <n v="22.75"/>
  </r>
  <r>
    <d v="2025-07-31T07:20:00"/>
    <s v="INYECTADO"/>
    <x v="6"/>
    <x v="152"/>
    <s v="JUAN MANUEL PEREZ"/>
    <s v="VIRGEN"/>
    <s v="PP CLARIFICADO"/>
    <s v="."/>
    <s v="LAVACUELA REDONDO"/>
    <s v="LAVACUELA REDONDO-LILA"/>
    <n v="732"/>
    <n v="7"/>
    <n v="70.3"/>
    <x v="1"/>
    <m/>
    <n v="6"/>
    <n v="1140"/>
    <n v="21275"/>
    <s v="LILA"/>
    <n v="7"/>
    <n v="0"/>
    <n v="0"/>
    <n v="67.709999999999994"/>
    <n v="70.3"/>
    <n v="92.5"/>
    <n v="760"/>
    <x v="6"/>
    <x v="0"/>
    <n v="27"/>
    <n v="1"/>
    <n v="61"/>
  </r>
  <r>
    <d v="2025-07-31T07:20:00"/>
    <s v="INYECTADO"/>
    <x v="6"/>
    <x v="153"/>
    <s v="JUANA CRUCES"/>
    <s v="VIRGEN"/>
    <s v="PP CLARIFICADO"/>
    <s v="."/>
    <s v="LAVACUELA REDONDO"/>
    <s v="LAVACUELA REDONDO-LILA"/>
    <n v="310"/>
    <n v="2"/>
    <n v="21.9"/>
    <x v="0"/>
    <m/>
    <n v="3"/>
    <n v="1140"/>
    <n v="21276"/>
    <s v="LILA"/>
    <n v="3.2"/>
    <n v="0"/>
    <n v="0"/>
    <n v="28.675000000000001"/>
    <n v="21.9"/>
    <n v="92.5"/>
    <n v="236.75675675675674"/>
    <x v="6"/>
    <x v="0"/>
    <n v="27"/>
    <n v="1"/>
    <n v="25.833333333333332"/>
  </r>
  <r>
    <d v="2025-07-31T07:20:00"/>
    <s v="INYECTADO"/>
    <x v="6"/>
    <x v="153"/>
    <s v="JUANA CRUCES"/>
    <s v="VIRGEN"/>
    <s v="PP CLARIFICADO"/>
    <s v="."/>
    <s v="LAVACUELA REDONDO"/>
    <s v="LAVACUELA REDONDO-MELON"/>
    <n v="847"/>
    <n v="9"/>
    <n v="81.400000000000006"/>
    <x v="0"/>
    <m/>
    <n v="7"/>
    <n v="1140"/>
    <n v="21276"/>
    <s v="MELON"/>
    <n v="4.5"/>
    <n v="0"/>
    <n v="0"/>
    <n v="78.347499999999997"/>
    <n v="81.400000000000006"/>
    <n v="92.5"/>
    <n v="880"/>
    <x v="6"/>
    <x v="0"/>
    <n v="27"/>
    <n v="1"/>
    <n v="70.583333333333329"/>
  </r>
  <r>
    <d v="2025-07-31T07:20:00"/>
    <s v="INYECTADO"/>
    <x v="6"/>
    <x v="161"/>
    <s v="ALEJANDRO"/>
    <s v="VIRGEN"/>
    <s v="PP CLARIFICADO"/>
    <s v="."/>
    <s v="LAVACUELA REDONDO"/>
    <s v="LAVACUELA REDONDO-MELON"/>
    <n v="364"/>
    <n v="4"/>
    <n v="35"/>
    <x v="0"/>
    <m/>
    <n v="3"/>
    <n v="1140"/>
    <n v="21277"/>
    <s v="MELON"/>
    <n v="5.5"/>
    <n v="0"/>
    <n v="0"/>
    <n v="33.67"/>
    <n v="35"/>
    <n v="92.5"/>
    <n v="378.37837837837839"/>
    <x v="6"/>
    <x v="0"/>
    <n v="27"/>
    <n v="1"/>
    <n v="30.333333333333332"/>
  </r>
  <r>
    <d v="2025-07-31T07:20:00"/>
    <s v="INYECTADO"/>
    <x v="6"/>
    <x v="161"/>
    <s v="ALEJANDRO"/>
    <s v="VIRGEN"/>
    <s v="PP CLARIFICADO"/>
    <s v="."/>
    <s v="LAVACUELA REDONDO"/>
    <s v="LAVACUELA REDONDO-ROSADO"/>
    <n v="273"/>
    <n v="3"/>
    <n v="26.3"/>
    <x v="0"/>
    <m/>
    <n v="2"/>
    <n v="1140"/>
    <n v="21277"/>
    <s v="ROSADO"/>
    <n v="2.2999999999999998"/>
    <n v="0"/>
    <n v="0"/>
    <n v="25.252500000000001"/>
    <n v="26.3"/>
    <n v="92.5"/>
    <n v="284.32432432432432"/>
    <x v="6"/>
    <x v="0"/>
    <n v="27"/>
    <n v="1"/>
    <n v="22.75"/>
  </r>
  <r>
    <d v="2025-07-31T07:20:00"/>
    <s v="INYECTADO"/>
    <x v="6"/>
    <x v="161"/>
    <s v="ALEJANDRO"/>
    <s v="VIRGEN"/>
    <s v="PP CLARIFICADO"/>
    <s v="."/>
    <s v="LAVACUELA REDONDO"/>
    <s v="LAVACUELA REDONDO-LILA"/>
    <n v="161"/>
    <n v="2"/>
    <n v="15.5"/>
    <x v="0"/>
    <m/>
    <n v="1"/>
    <n v="1140"/>
    <n v="21277"/>
    <s v="LILA"/>
    <n v="3.1"/>
    <n v="0"/>
    <n v="0"/>
    <n v="14.8925"/>
    <n v="15.5"/>
    <n v="92.5"/>
    <n v="167.56756756756758"/>
    <x v="6"/>
    <x v="0"/>
    <n v="27"/>
    <n v="1"/>
    <n v="13.416666666666666"/>
  </r>
  <r>
    <d v="2025-07-31T07:20:00"/>
    <s v="INYECTADO"/>
    <x v="6"/>
    <x v="141"/>
    <s v="SIN NOMBRE"/>
    <s v="VIRGEN"/>
    <s v="PP CLARIFICADO"/>
    <s v="."/>
    <s v="LAVACUELA REDONDO"/>
    <s v="LAVACUELA REDONDO-LILA"/>
    <n v="73"/>
    <n v="2"/>
    <n v="7.1"/>
    <x v="0"/>
    <m/>
    <n v="2"/>
    <n v="1140"/>
    <n v="21278"/>
    <s v="LILA"/>
    <n v="0"/>
    <n v="0"/>
    <n v="0"/>
    <n v="6.7525000000000004"/>
    <n v="7.1"/>
    <n v="92.5"/>
    <n v="76.756756756756758"/>
    <x v="6"/>
    <x v="0"/>
    <n v="27"/>
    <n v="1"/>
    <n v="6.083333333333333"/>
  </r>
  <r>
    <d v="2025-07-31T07:20:00"/>
    <s v="INYECTADO"/>
    <x v="6"/>
    <x v="141"/>
    <s v="SIN NOMBRE"/>
    <s v="VIRGEN"/>
    <s v="PP CLARIFICADO"/>
    <s v="."/>
    <s v="LAVACUELA REDONDO"/>
    <s v="LAVACUELA REDONDO-TURQUESA"/>
    <n v="231"/>
    <n v="2"/>
    <n v="22.2"/>
    <x v="0"/>
    <m/>
    <n v="2"/>
    <n v="1140"/>
    <n v="21278"/>
    <s v="TURQUESA"/>
    <n v="0"/>
    <n v="0"/>
    <n v="0"/>
    <n v="21.3675"/>
    <n v="22.2"/>
    <n v="92.5"/>
    <n v="240"/>
    <x v="6"/>
    <x v="0"/>
    <n v="27"/>
    <n v="1"/>
    <n v="19.25"/>
  </r>
  <r>
    <d v="2025-07-31T07:20:00"/>
    <s v="INYECTADO"/>
    <x v="6"/>
    <x v="141"/>
    <s v="SIN NOMBRE"/>
    <s v="VIRGEN"/>
    <s v="PP CLARIFICADO"/>
    <s v="."/>
    <s v="LAVACUELA REDONDO"/>
    <s v="LAVACUELA REDONDO-VERDE"/>
    <n v="244"/>
    <n v="3"/>
    <n v="23.5"/>
    <x v="0"/>
    <m/>
    <n v="2"/>
    <n v="1140"/>
    <n v="21278"/>
    <s v="VERDE  "/>
    <n v="0"/>
    <n v="0"/>
    <n v="0"/>
    <n v="22.57"/>
    <n v="23.5"/>
    <n v="92.5"/>
    <n v="254.05405405405406"/>
    <x v="6"/>
    <x v="0"/>
    <n v="27"/>
    <n v="1"/>
    <n v="20.333333333333332"/>
  </r>
  <r>
    <d v="2025-07-31T07:20:00"/>
    <s v="INYECTADO"/>
    <x v="6"/>
    <x v="141"/>
    <s v="SIN NOMBRE"/>
    <s v="VIRGEN"/>
    <s v="PP CLARIFICADO"/>
    <s v="."/>
    <s v="LAVACUELA REDONDO"/>
    <s v="LAVACUELA REDONDO-CREMA"/>
    <n v="163"/>
    <n v="2"/>
    <n v="15.7"/>
    <x v="0"/>
    <m/>
    <n v="2"/>
    <n v="1140"/>
    <n v="21278"/>
    <s v="CREMA"/>
    <n v="0"/>
    <n v="0"/>
    <n v="0"/>
    <n v="15.077500000000001"/>
    <n v="15.7"/>
    <n v="92.5"/>
    <n v="169.72972972972974"/>
    <x v="6"/>
    <x v="0"/>
    <n v="27"/>
    <n v="1"/>
    <n v="13.583333333333334"/>
  </r>
  <r>
    <d v="2025-07-31T07:20:00"/>
    <s v="INYECTADO"/>
    <x v="6"/>
    <x v="142"/>
    <s v="NELSON PINEDO"/>
    <s v="VIRGEN"/>
    <s v="PP CLARIFICADO"/>
    <s v="."/>
    <s v="LAVACUELA REDONDO"/>
    <s v="LAVACUELA REDONDO-CREMA"/>
    <n v="120"/>
    <n v="1"/>
    <n v="11.6"/>
    <x v="0"/>
    <m/>
    <n v="1"/>
    <n v="1140"/>
    <n v="21279"/>
    <s v="CREMA"/>
    <n v="0"/>
    <n v="0"/>
    <n v="0"/>
    <n v="11.1"/>
    <n v="11.6"/>
    <n v="92.5"/>
    <n v="125.4054054054054"/>
    <x v="6"/>
    <x v="0"/>
    <n v="27"/>
    <n v="1"/>
    <n v="10"/>
  </r>
  <r>
    <d v="2025-07-31T07:20:00"/>
    <s v="INYECTADO"/>
    <x v="6"/>
    <x v="142"/>
    <s v="NELSON PINEDO"/>
    <s v="VIRGEN"/>
    <s v="PP CLARIFICADO"/>
    <s v="."/>
    <s v="ENVASE BELGICA 6KG. TRANSPARENTE"/>
    <s v="REPOSTERO 6KG -TRANSPARENTE"/>
    <n v="362"/>
    <n v="3"/>
    <n v="76.2"/>
    <x v="0"/>
    <m/>
    <n v="6"/>
    <n v="1149"/>
    <n v="21279"/>
    <s v="TRANSPARENTE"/>
    <n v="10"/>
    <n v="0"/>
    <n v="0"/>
    <n v="76.382000000000005"/>
    <n v="76.2"/>
    <n v="211"/>
    <n v="361.13744075829385"/>
    <x v="6"/>
    <x v="0"/>
    <n v="27"/>
    <n v="1"/>
    <n v="30.166666666666668"/>
  </r>
  <r>
    <d v="2025-07-31T07:20:00"/>
    <s v="INYECTADO"/>
    <x v="6"/>
    <x v="142"/>
    <s v="ISABEL LINARIZ "/>
    <s v="VIRGEN"/>
    <s v="PP CLARIFICADO"/>
    <s v="."/>
    <s v="ENVASE BELGICA 6KG. TRANSPARENTE"/>
    <s v="REPOSTERO 6KG -TRANSPARENTE"/>
    <n v="1314"/>
    <n v="12"/>
    <n v="276"/>
    <x v="1"/>
    <m/>
    <n v="28"/>
    <n v="1149"/>
    <n v="21280"/>
    <s v="TRANSPARENTE"/>
    <n v="4.4000000000000004"/>
    <n v="0"/>
    <n v="0"/>
    <n v="277.25400000000002"/>
    <n v="276"/>
    <n v="211"/>
    <n v="1308.0568720379147"/>
    <x v="6"/>
    <x v="0"/>
    <n v="27"/>
    <n v="1"/>
    <n v="109.5"/>
  </r>
  <r>
    <d v="2025-07-31T07:20:00"/>
    <s v="INYECTADO"/>
    <x v="6"/>
    <x v="143"/>
    <s v="LUIS PINEDO"/>
    <s v="VIRGEN"/>
    <s v="PP CLARIFICADO"/>
    <s v="."/>
    <s v="ENVASE BELGICA 6KG. TRANSPARENTE"/>
    <s v="REPOSTERO 6KG -TRANSPARENTE"/>
    <n v="1120"/>
    <n v="10"/>
    <n v="235.3"/>
    <x v="0"/>
    <m/>
    <n v="20"/>
    <n v="1149"/>
    <n v="21281"/>
    <s v="TRANSPARENTE"/>
    <n v="3.5"/>
    <n v="0"/>
    <n v="0"/>
    <n v="236.32"/>
    <n v="235.3"/>
    <n v="211"/>
    <n v="1115.1658767772512"/>
    <x v="6"/>
    <x v="0"/>
    <n v="28"/>
    <n v="1"/>
    <n v="93.333333333333329"/>
  </r>
  <r>
    <d v="2025-07-31T07:20:00"/>
    <s v="INYECTADO"/>
    <x v="6"/>
    <x v="144"/>
    <s v="ALEJANDRO"/>
    <s v="VIRGEN"/>
    <s v="PP CLARIFICADO"/>
    <s v="."/>
    <s v="ENVASE BELGICA 6KG. TRANSPARENTE"/>
    <s v="REPOSTERO 6KG -TRANSPARENTE"/>
    <n v="1185"/>
    <n v="12"/>
    <n v="253.7"/>
    <x v="0"/>
    <m/>
    <n v="20"/>
    <n v="1149"/>
    <n v="21282"/>
    <s v="TRANSPARENTE"/>
    <n v="6.4"/>
    <n v="0"/>
    <n v="0"/>
    <n v="250.035"/>
    <n v="253.7"/>
    <n v="211"/>
    <n v="1202.3696682464456"/>
    <x v="6"/>
    <x v="0"/>
    <n v="28"/>
    <n v="1"/>
    <n v="98.75"/>
  </r>
  <r>
    <d v="2025-07-31T07:20:00"/>
    <s v="INYECTADO"/>
    <x v="6"/>
    <x v="150"/>
    <s v="CRISALIDA ZAPATA"/>
    <s v="VIRGEN"/>
    <s v="PP CLARIFICADO"/>
    <s v="."/>
    <s v="ENVASE BELGICA 6KG. TRANSPARENTE"/>
    <s v="REPOSTERO 6KG -TRANSPARENTE"/>
    <n v="1076"/>
    <n v="11"/>
    <n v="227.1"/>
    <x v="1"/>
    <m/>
    <n v="18"/>
    <n v="1149"/>
    <n v="21283"/>
    <s v="TRANSPARENTE"/>
    <n v="6.1"/>
    <n v="0"/>
    <n v="0"/>
    <n v="227.036"/>
    <n v="227.1"/>
    <n v="211"/>
    <n v="1076.3033175355449"/>
    <x v="6"/>
    <x v="0"/>
    <n v="29"/>
    <n v="1"/>
    <n v="89.666666666666671"/>
  </r>
  <r>
    <d v="2025-07-31T07:20:00"/>
    <s v="INYECTADO"/>
    <x v="6"/>
    <x v="162"/>
    <s v="LUCHO"/>
    <s v="SEGUNDA"/>
    <s v="."/>
    <s v="PP INYECTADO"/>
    <s v="TAPA REPOSTEROS"/>
    <s v="TAPA REPOSTEROS-AMARILLO"/>
    <n v="761"/>
    <n v="7"/>
    <n v="81.5"/>
    <x v="0"/>
    <m/>
    <n v="8"/>
    <n v="1160"/>
    <n v="21284"/>
    <s v="AMARILLO"/>
    <n v="0"/>
    <n v="0"/>
    <n v="0"/>
    <n v="41.094000000000001"/>
    <n v="81.5"/>
    <n v="54"/>
    <n v="1509.2592592592594"/>
    <x v="6"/>
    <x v="0"/>
    <n v="29"/>
    <n v="2"/>
    <n v="126.83333333333333"/>
  </r>
  <r>
    <d v="2025-07-31T07:20:00"/>
    <s v="INYECTADO"/>
    <x v="6"/>
    <x v="162"/>
    <s v="ISABEL LINARIZ "/>
    <s v="SEGUNDA"/>
    <s v="."/>
    <s v="PP INYECTADO"/>
    <s v="TAPA REPOSTEROS"/>
    <s v="TAPA REPOSTEROS-AMARILLO"/>
    <n v="48"/>
    <n v="1"/>
    <n v="5.0999999999999996"/>
    <x v="1"/>
    <m/>
    <n v="1"/>
    <n v="1160"/>
    <n v="21285"/>
    <s v="AMARILLO"/>
    <n v="3.7"/>
    <n v="0"/>
    <n v="0"/>
    <n v="2.5920000000000001"/>
    <n v="5.0999999999999996"/>
    <n v="54"/>
    <n v="94.444444444444443"/>
    <x v="6"/>
    <x v="0"/>
    <n v="29"/>
    <n v="2"/>
    <n v="8"/>
  </r>
  <r>
    <d v="2025-07-31T07:20:00"/>
    <s v="INYECTADO"/>
    <x v="6"/>
    <x v="162"/>
    <s v="ISABEL LINARIZ "/>
    <s v="SEGUNDA"/>
    <s v="."/>
    <s v="PP INYECTADO"/>
    <s v="TAPA REPOSTEROS"/>
    <s v="TAPA REPOSTEROS-VERDE"/>
    <n v="944"/>
    <n v="7"/>
    <n v="99.2"/>
    <x v="1"/>
    <m/>
    <n v="11"/>
    <n v="1160"/>
    <n v="21285"/>
    <s v="VERDE"/>
    <n v="14"/>
    <n v="0"/>
    <n v="0"/>
    <n v="50.975999999999999"/>
    <n v="99.2"/>
    <n v="54"/>
    <n v="1837.037037037037"/>
    <x v="6"/>
    <x v="0"/>
    <n v="29"/>
    <n v="2"/>
    <n v="157.33333333333334"/>
  </r>
  <r>
    <d v="2025-07-31T07:20:00"/>
    <s v="INYECTADO"/>
    <x v="6"/>
    <x v="162"/>
    <s v="ISABEL LINARIZ "/>
    <s v="SEGUNDA"/>
    <s v="."/>
    <s v="PP INYECTADO"/>
    <s v="TAPA REPOSTEROS"/>
    <s v="TAPA REPOSTEROS-ROJO"/>
    <n v="424"/>
    <n v="4"/>
    <n v="44.6"/>
    <x v="1"/>
    <m/>
    <n v="4"/>
    <n v="1160"/>
    <n v="21285"/>
    <s v="ROJO"/>
    <n v="2.8"/>
    <n v="0"/>
    <n v="0"/>
    <n v="22.896000000000001"/>
    <n v="44.6"/>
    <n v="54"/>
    <n v="825.92592592592598"/>
    <x v="6"/>
    <x v="0"/>
    <n v="29"/>
    <n v="2"/>
    <n v="70.666666666666671"/>
  </r>
  <r>
    <d v="2025-07-31T07:20:00"/>
    <s v="INYECTADO"/>
    <x v="6"/>
    <x v="163"/>
    <s v="JUANA CRUCES"/>
    <s v="SEGUNDA"/>
    <s v="."/>
    <s v="PP INYECTADO"/>
    <s v="TAPA REPOSTEROS"/>
    <s v="TAPA REPOSTEROS-ROJO"/>
    <n v="436"/>
    <n v="4"/>
    <n v="49.3"/>
    <x v="0"/>
    <m/>
    <n v="5"/>
    <n v="1160"/>
    <n v="21286"/>
    <s v="ROJO"/>
    <n v="49.3"/>
    <n v="0"/>
    <n v="0"/>
    <n v="23.544"/>
    <n v="49.3"/>
    <n v="54"/>
    <n v="912.96296296296293"/>
    <x v="6"/>
    <x v="0"/>
    <n v="29"/>
    <n v="2"/>
    <n v="72.666666666666671"/>
  </r>
  <r>
    <d v="2025-07-31T07:20:00"/>
    <s v="INYECTADO"/>
    <x v="6"/>
    <x v="163"/>
    <s v="JUANA CRUCES"/>
    <s v="SEGUNDA"/>
    <s v="."/>
    <s v="PP INYECTADO"/>
    <s v="TAPA REPOSTEROS"/>
    <s v="TAPA REPOSTEROS-TURQUESA"/>
    <n v="827"/>
    <n v="7"/>
    <n v="93.5"/>
    <x v="0"/>
    <m/>
    <n v="9"/>
    <n v="1160"/>
    <n v="21286"/>
    <s v="TURQUESA"/>
    <n v="93.5"/>
    <n v="0"/>
    <n v="0"/>
    <n v="44.658000000000001"/>
    <n v="93.5"/>
    <n v="54"/>
    <n v="1731.4814814814815"/>
    <x v="6"/>
    <x v="0"/>
    <n v="29"/>
    <n v="2"/>
    <n v="137.83333333333334"/>
  </r>
  <r>
    <d v="2025-07-31T07:20:00"/>
    <s v="INYECTADO"/>
    <x v="6"/>
    <x v="163"/>
    <s v="GABRIEL REQUENA"/>
    <s v="SEGUNDA"/>
    <s v="."/>
    <s v="PP INYECTADO"/>
    <s v="TAPA REPOSTEROS"/>
    <s v="TAPA REPOSTEROS-AZUL"/>
    <n v="225"/>
    <n v="2"/>
    <n v="25.5"/>
    <x v="1"/>
    <m/>
    <n v="3"/>
    <n v="1160"/>
    <n v="21287"/>
    <s v="AZUL"/>
    <n v="2.2000000000000002"/>
    <n v="0"/>
    <n v="0"/>
    <n v="12.15"/>
    <n v="25.5"/>
    <n v="54"/>
    <n v="472.22222222222223"/>
    <x v="6"/>
    <x v="0"/>
    <n v="29"/>
    <n v="2"/>
    <n v="37.5"/>
  </r>
  <r>
    <d v="2025-07-31T07:20:00"/>
    <s v="INYECTADO"/>
    <x v="6"/>
    <x v="164"/>
    <s v="CRISALIDA ZAPATA"/>
    <s v="SEGUNDA"/>
    <s v="."/>
    <s v="PP INYECTADO"/>
    <s v="TAPA REPOSTEROS"/>
    <s v="TAPA REPOSTEROS-ANARANJADO"/>
    <n v="769"/>
    <n v="7"/>
    <n v="83.9"/>
    <x v="0"/>
    <m/>
    <n v="8"/>
    <n v="1160"/>
    <n v="21288"/>
    <s v="NARANJA"/>
    <n v="11.9"/>
    <n v="0"/>
    <n v="0"/>
    <n v="41.526000000000003"/>
    <n v="83.9"/>
    <n v="54"/>
    <n v="1553.7037037037037"/>
    <x v="6"/>
    <x v="0"/>
    <n v="29"/>
    <n v="2"/>
    <n v="128.16666666666666"/>
  </r>
  <r>
    <d v="2025-07-31T07:20:00"/>
    <s v="INYECTADO"/>
    <x v="6"/>
    <x v="164"/>
    <s v="CRISALIDA ZAPATA"/>
    <s v="SEGUNDA"/>
    <s v="."/>
    <s v="PP INYECTADO"/>
    <s v="TAPA REPOSTEROS"/>
    <s v="TAPA REPOSTEROS-AZUL"/>
    <n v="489"/>
    <n v="4"/>
    <n v="53.8"/>
    <x v="0"/>
    <m/>
    <n v="6"/>
    <n v="1160"/>
    <n v="21288"/>
    <s v="AZUL"/>
    <n v="8"/>
    <n v="0"/>
    <n v="0"/>
    <n v="26.405999999999999"/>
    <n v="53.8"/>
    <n v="54"/>
    <n v="996.2962962962963"/>
    <x v="6"/>
    <x v="0"/>
    <n v="29"/>
    <n v="2"/>
    <n v="81.5"/>
  </r>
  <r>
    <d v="2025-07-31T07:20:00"/>
    <s v="INYECTADO"/>
    <x v="6"/>
    <x v="165"/>
    <s v="MARIA ALEJANDRA"/>
    <s v="SEGUNDA"/>
    <s v="."/>
    <s v="PP INYECTADO"/>
    <s v="TAPA REPOSTEROS"/>
    <s v="TAPA REPOSTEROS-AZUL"/>
    <n v="544"/>
    <n v="6"/>
    <n v="60.4"/>
    <x v="0"/>
    <m/>
    <n v="7"/>
    <n v="1160"/>
    <n v="21289"/>
    <s v="AZUL"/>
    <n v="7.6"/>
    <n v="0"/>
    <n v="0"/>
    <n v="29.376000000000001"/>
    <n v="60.4"/>
    <n v="54"/>
    <n v="1118.5185185185185"/>
    <x v="6"/>
    <x v="0"/>
    <n v="29"/>
    <n v="2"/>
    <n v="90.666666666666671"/>
  </r>
  <r>
    <d v="2025-07-31T07:20:00"/>
    <s v="INYECTADO"/>
    <x v="6"/>
    <x v="165"/>
    <s v="MARIA ALEJANDRA"/>
    <s v="SEGUNDA"/>
    <s v="."/>
    <s v="PP INYECTADO"/>
    <s v="TAPA REPOSTEROS"/>
    <s v="TAPA REPOSTEROS-VERDE"/>
    <n v="429"/>
    <n v="4"/>
    <n v="48.5"/>
    <x v="0"/>
    <m/>
    <n v="5"/>
    <n v="1160"/>
    <n v="21289"/>
    <s v="VERDE"/>
    <n v="9"/>
    <n v="0"/>
    <n v="0"/>
    <n v="23.166"/>
    <n v="48.5"/>
    <n v="54"/>
    <n v="898.14814814814815"/>
    <x v="6"/>
    <x v="0"/>
    <n v="29"/>
    <n v="2"/>
    <n v="71.5"/>
  </r>
  <r>
    <d v="2025-07-31T07:20:00"/>
    <s v="INYECTADO"/>
    <x v="6"/>
    <x v="158"/>
    <s v="CRISALIDA ZAPATA"/>
    <s v="SEGUNDA"/>
    <s v="."/>
    <s v="PP INYECTADO"/>
    <s v="TAPA REPOSTEROS"/>
    <s v="TAPA REPOSTEROS-ANARANJADO"/>
    <n v="433"/>
    <n v="4"/>
    <n v="48.1"/>
    <x v="0"/>
    <m/>
    <n v="5"/>
    <n v="1160"/>
    <n v="21290"/>
    <s v="NARANJA"/>
    <n v="9.9"/>
    <n v="0"/>
    <n v="0"/>
    <n v="23.382000000000001"/>
    <n v="48.1"/>
    <n v="54"/>
    <n v="890.74074074074076"/>
    <x v="6"/>
    <x v="0"/>
    <n v="30"/>
    <n v="2"/>
    <n v="72.166666666666671"/>
  </r>
  <r>
    <d v="2025-07-31T07:20:00"/>
    <s v="INYECTADO"/>
    <x v="6"/>
    <x v="158"/>
    <s v="CRISALIDA ZAPATA"/>
    <s v="SEGUNDA"/>
    <s v="."/>
    <s v="PP INYECTADO"/>
    <s v="TAPA REPOSTEROS"/>
    <s v="TAPA REPOSTEROS-TURQUESA"/>
    <n v="443"/>
    <n v="4"/>
    <n v="48.3"/>
    <x v="0"/>
    <m/>
    <n v="5"/>
    <n v="1160"/>
    <n v="21290"/>
    <s v="TURQUESA"/>
    <n v="10.8"/>
    <n v="0"/>
    <n v="0"/>
    <n v="23.922000000000001"/>
    <n v="48.3"/>
    <n v="54"/>
    <n v="894.44444444444446"/>
    <x v="6"/>
    <x v="0"/>
    <n v="30"/>
    <n v="2"/>
    <n v="73.833333333333329"/>
  </r>
  <r>
    <d v="2025-07-31T07:20:00"/>
    <s v="INYECTADO"/>
    <x v="6"/>
    <x v="158"/>
    <s v="CRISALIDA ZAPATA"/>
    <s v="SEGUNDA"/>
    <s v="."/>
    <s v="PP INYECTADO"/>
    <s v="TAPA REPOSTEROS"/>
    <s v="TAPA REPOSTEROS-AMARILLO"/>
    <n v="265"/>
    <n v="2"/>
    <n v="29.2"/>
    <x v="0"/>
    <m/>
    <n v="3"/>
    <n v="1160"/>
    <n v="21290"/>
    <s v="AMARILLO"/>
    <n v="9.5"/>
    <n v="0"/>
    <n v="0"/>
    <n v="14.31"/>
    <n v="29.2"/>
    <n v="54"/>
    <n v="540.74074074074076"/>
    <x v="6"/>
    <x v="0"/>
    <n v="30"/>
    <n v="2"/>
    <n v="44.166666666666664"/>
  </r>
  <r>
    <d v="2025-07-31T07:20:00"/>
    <s v="INYECTADO"/>
    <x v="6"/>
    <x v="158"/>
    <s v="JOSDER GONZALEZ"/>
    <s v="SEGUNDA"/>
    <s v="."/>
    <s v="PP INYECTADO"/>
    <s v="TAPA REPOSTEROS"/>
    <s v="TAPA REPOSTEROS-AMARILLO"/>
    <n v="26"/>
    <n v="1"/>
    <n v="2.6"/>
    <x v="1"/>
    <m/>
    <n v="1"/>
    <n v="1160"/>
    <n v="21291"/>
    <s v="AMARILLO"/>
    <n v="5.3"/>
    <n v="0"/>
    <n v="0"/>
    <n v="1.4039999999999999"/>
    <n v="2.6"/>
    <n v="54"/>
    <n v="48.148148148148145"/>
    <x v="6"/>
    <x v="0"/>
    <n v="30"/>
    <n v="2"/>
    <n v="4.333333333333333"/>
  </r>
  <r>
    <d v="2025-07-31T07:20:00"/>
    <s v="INYECTADO"/>
    <x v="6"/>
    <x v="158"/>
    <s v="JOSDER GONZALEZ"/>
    <s v="SEGUNDA"/>
    <s v="."/>
    <s v="PP INYECTADO"/>
    <s v="TAPA REPOSTEROS"/>
    <s v="TAPA REPOSTEROS-ROJO"/>
    <n v="461"/>
    <n v="5"/>
    <n v="50.8"/>
    <x v="1"/>
    <m/>
    <n v="5"/>
    <n v="1160"/>
    <n v="21291"/>
    <s v="ROJO"/>
    <n v="4"/>
    <n v="0"/>
    <n v="0"/>
    <n v="24.893999999999998"/>
    <n v="50.8"/>
    <n v="54"/>
    <n v="940.74074074074076"/>
    <x v="6"/>
    <x v="0"/>
    <n v="30"/>
    <n v="2"/>
    <n v="76.833333333333329"/>
  </r>
  <r>
    <d v="2025-07-31T07:20:00"/>
    <s v="INYECTADO"/>
    <x v="6"/>
    <x v="159"/>
    <s v="ROSA MERINO"/>
    <s v="SEGUNDA"/>
    <s v="."/>
    <s v="PP INYECTADO"/>
    <s v="TAPA REPOSTEROS"/>
    <s v="TAPA REPOSTEROS-AMARILLO"/>
    <n v="340"/>
    <n v="3"/>
    <n v="37.1"/>
    <x v="0"/>
    <m/>
    <n v="4"/>
    <n v="1160"/>
    <n v="21292"/>
    <s v="AMARILLO"/>
    <n v="5.5"/>
    <n v="0"/>
    <n v="0"/>
    <n v="18.36"/>
    <n v="37.1"/>
    <n v="54"/>
    <n v="687.03703703703707"/>
    <x v="6"/>
    <x v="0"/>
    <n v="30"/>
    <n v="2"/>
    <n v="56.666666666666664"/>
  </r>
  <r>
    <d v="2025-07-31T07:20:00"/>
    <s v="INYECTADO"/>
    <x v="6"/>
    <x v="159"/>
    <s v="ROSA MERINO"/>
    <s v="SEGUNDA"/>
    <s v="."/>
    <s v="PP INYECTADO"/>
    <s v="TAPA REPOSTEROS"/>
    <s v="TAPA REPOSTEROS-AZUL"/>
    <n v="122"/>
    <n v="1"/>
    <n v="13.3"/>
    <x v="0"/>
    <m/>
    <n v="2"/>
    <n v="1160"/>
    <n v="21292"/>
    <s v="AZUL"/>
    <n v="1.2"/>
    <n v="0"/>
    <n v="0"/>
    <n v="6.5880000000000001"/>
    <n v="13.3"/>
    <n v="54"/>
    <n v="246.2962962962963"/>
    <x v="6"/>
    <x v="0"/>
    <n v="30"/>
    <n v="2"/>
    <n v="20.333333333333332"/>
  </r>
  <r>
    <d v="2025-07-31T07:20:00"/>
    <s v="INYECTADO"/>
    <x v="6"/>
    <x v="159"/>
    <s v="ROSA MERINO"/>
    <s v="SEGUNDA"/>
    <s v="."/>
    <s v="PP INYECTADO"/>
    <s v="TAPA REPOSTEROS"/>
    <s v="TAPA REPOSTEROS-TURQUESA"/>
    <n v="106"/>
    <n v="1"/>
    <n v="11.6"/>
    <x v="0"/>
    <m/>
    <n v="1"/>
    <n v="1160"/>
    <n v="21292"/>
    <s v="TURQUESA"/>
    <n v="4.5999999999999996"/>
    <n v="0"/>
    <n v="0"/>
    <n v="5.7240000000000002"/>
    <n v="11.6"/>
    <n v="54"/>
    <n v="214.81481481481481"/>
    <x v="6"/>
    <x v="0"/>
    <n v="30"/>
    <n v="2"/>
    <n v="17.666666666666668"/>
  </r>
  <r>
    <d v="2025-07-31T07:20:00"/>
    <s v="INYECTADO"/>
    <x v="2"/>
    <x v="152"/>
    <s v="SAID VILLAMIZAR"/>
    <s v="VIRGEN"/>
    <s v="PP CLARIFICADO"/>
    <s v="."/>
    <s v="VASO MUNDO MANZANITA"/>
    <s v="VASO MUNDO MANZANITA CARAMELO-AZUL"/>
    <n v="105"/>
    <n v="2"/>
    <n v="14.2"/>
    <x v="0"/>
    <m/>
    <n v="2"/>
    <n v="1128"/>
    <n v="21939"/>
    <s v="TRANSPARENTE"/>
    <n v="4.4000000000000004"/>
    <n v="0"/>
    <n v="0"/>
    <n v="2.31"/>
    <n v="14.2"/>
    <n v="22"/>
    <n v="645.4545454545455"/>
    <x v="6"/>
    <x v="0"/>
    <n v="27"/>
    <n v="6"/>
    <n v="52.5"/>
  </r>
  <r>
    <d v="2025-07-31T07:20:00"/>
    <s v="INYECTADO"/>
    <x v="2"/>
    <x v="152"/>
    <s v="SAID VILLAMIZAR"/>
    <s v="VIRGEN"/>
    <s v="PP CLARIFICADO"/>
    <s v="."/>
    <s v="VASO MUNDO MANZANITA"/>
    <s v="VASO MUNDO MANZANITA CARAMELO-LILA"/>
    <n v="390"/>
    <n v="3"/>
    <n v="52.3"/>
    <x v="0"/>
    <m/>
    <n v="6"/>
    <n v="1128"/>
    <n v="21939"/>
    <s v="LILA"/>
    <n v="0"/>
    <n v="0"/>
    <n v="0"/>
    <n v="8.58"/>
    <n v="52.3"/>
    <n v="22"/>
    <n v="2377.2727272727275"/>
    <x v="6"/>
    <x v="0"/>
    <n v="27"/>
    <n v="6"/>
    <n v="195"/>
  </r>
  <r>
    <d v="2025-07-31T07:20:00"/>
    <s v="INYECTADO"/>
    <x v="2"/>
    <x v="153"/>
    <s v="NELSON PINEDO"/>
    <s v="SEGUNDA"/>
    <s v="."/>
    <s v="PP INYECTADO"/>
    <s v="EMBUDO #2"/>
    <s v="EMBUDO #2-AMARILLO"/>
    <n v="725"/>
    <n v="7"/>
    <n v="96.5"/>
    <x v="0"/>
    <m/>
    <n v="7"/>
    <n v="1143"/>
    <n v="21940"/>
    <s v="AMARILLO"/>
    <n v="11.9"/>
    <n v="0"/>
    <n v="0"/>
    <n v="25.375"/>
    <n v="96.5"/>
    <n v="35"/>
    <n v="2757.1428571428573"/>
    <x v="6"/>
    <x v="0"/>
    <n v="27"/>
    <n v="4"/>
    <n v="241.66666666666666"/>
  </r>
  <r>
    <d v="2025-07-31T07:20:00"/>
    <s v="INYECTADO"/>
    <x v="2"/>
    <x v="153"/>
    <s v="NELSON PINEDO"/>
    <s v="SEGUNDA"/>
    <s v="."/>
    <s v="PP INYECTADO"/>
    <s v="EMBUDO #2"/>
    <s v="EMBUDO #2-VERDE"/>
    <n v="155"/>
    <n v="2"/>
    <n v="20.7"/>
    <x v="0"/>
    <m/>
    <n v="2"/>
    <n v="1143"/>
    <n v="21940"/>
    <s v="VERDE"/>
    <n v="0"/>
    <n v="0"/>
    <n v="0"/>
    <n v="5.4249999999999998"/>
    <n v="20.7"/>
    <n v="35"/>
    <n v="591.42857142857144"/>
    <x v="6"/>
    <x v="0"/>
    <n v="27"/>
    <n v="4"/>
    <n v="51.666666666666664"/>
  </r>
  <r>
    <d v="2025-07-31T07:20:00"/>
    <s v="INYECTADO"/>
    <x v="2"/>
    <x v="161"/>
    <s v="NELSON PINEDO"/>
    <s v="SEGUNDA"/>
    <s v="."/>
    <s v="PP INYECTADO"/>
    <s v="EMBUDO #2"/>
    <s v="EMBUDO #2-VERDE"/>
    <n v="491"/>
    <n v="4"/>
    <n v="65.400000000000006"/>
    <x v="0"/>
    <m/>
    <n v="3"/>
    <n v="1143"/>
    <n v="21941"/>
    <s v="VERDE"/>
    <n v="5"/>
    <n v="0"/>
    <n v="0"/>
    <n v="17.184999999999999"/>
    <n v="65.400000000000006"/>
    <n v="35"/>
    <n v="1868.5714285714287"/>
    <x v="6"/>
    <x v="0"/>
    <n v="27"/>
    <n v="4"/>
    <n v="163.66666666666666"/>
  </r>
  <r>
    <d v="2025-07-31T07:20:00"/>
    <s v="INYECTADO"/>
    <x v="2"/>
    <x v="161"/>
    <s v="JUAN MANUEL PEREZ"/>
    <s v="SEGUNDA"/>
    <s v="."/>
    <s v="PP INYECTADO"/>
    <s v="EMBUDO #2"/>
    <s v="EMBUDO #2-AZUL"/>
    <n v="547"/>
    <n v="5"/>
    <n v="72.8"/>
    <x v="1"/>
    <m/>
    <n v="5"/>
    <n v="1143"/>
    <n v="21942"/>
    <s v="AZUL"/>
    <n v="11.3"/>
    <n v="0"/>
    <n v="0"/>
    <n v="19.145"/>
    <n v="72.8"/>
    <n v="35"/>
    <n v="2080"/>
    <x v="6"/>
    <x v="0"/>
    <n v="27"/>
    <n v="4"/>
    <n v="182.33333333333334"/>
  </r>
  <r>
    <d v="2025-07-31T07:20:00"/>
    <s v="INYECTADO"/>
    <x v="2"/>
    <x v="161"/>
    <s v="JUAN MANUEL PEREZ"/>
    <s v="SEGUNDA"/>
    <s v="."/>
    <s v="PP INYECTADO"/>
    <s v="EMBUDO #2"/>
    <s v="EMBUDO #2-ROJO"/>
    <n v="659"/>
    <n v="5"/>
    <n v="87.7"/>
    <x v="1"/>
    <m/>
    <n v="6"/>
    <n v="1143"/>
    <n v="21942"/>
    <s v="ROJO"/>
    <n v="9.8000000000000007"/>
    <n v="0"/>
    <n v="0"/>
    <n v="23.065000000000001"/>
    <n v="87.7"/>
    <n v="35"/>
    <n v="2505.7142857142858"/>
    <x v="6"/>
    <x v="0"/>
    <n v="27"/>
    <n v="4"/>
    <n v="219.66666666666666"/>
  </r>
  <r>
    <d v="2025-07-31T07:20:00"/>
    <s v="INYECTADO"/>
    <x v="2"/>
    <x v="161"/>
    <s v="JUAN MANUEL PEREZ"/>
    <s v="SEGUNDA"/>
    <s v="."/>
    <s v="PP INYECTADO"/>
    <s v="EMBUDO #2"/>
    <s v="EMBUDO #2-LILA"/>
    <n v="76"/>
    <n v="1"/>
    <n v="10.1"/>
    <x v="1"/>
    <m/>
    <n v="1"/>
    <n v="1143"/>
    <n v="21942"/>
    <s v="LILA"/>
    <n v="0"/>
    <n v="0"/>
    <n v="0"/>
    <n v="2.66"/>
    <n v="10.1"/>
    <n v="35"/>
    <n v="288.57142857142856"/>
    <x v="6"/>
    <x v="0"/>
    <n v="27"/>
    <n v="4"/>
    <n v="25.333333333333332"/>
  </r>
  <r>
    <d v="2025-07-31T07:20:00"/>
    <s v="INYECTADO"/>
    <x v="2"/>
    <x v="141"/>
    <s v="ROSA MERINO"/>
    <s v="SEGUNDA"/>
    <s v="."/>
    <s v="PP INYECTADO"/>
    <s v="EMBUDO #2"/>
    <s v="EMBUDO #2-LILA"/>
    <n v="579"/>
    <n v="5"/>
    <n v="77.7"/>
    <x v="0"/>
    <m/>
    <n v="6"/>
    <n v="1143"/>
    <n v="21943"/>
    <s v="LILA"/>
    <n v="12.1"/>
    <n v="0"/>
    <n v="0"/>
    <n v="20.265000000000001"/>
    <n v="77.7"/>
    <n v="35"/>
    <n v="2220"/>
    <x v="6"/>
    <x v="0"/>
    <n v="27"/>
    <n v="4"/>
    <n v="193"/>
  </r>
  <r>
    <d v="2025-07-31T07:20:00"/>
    <s v="INYECTADO"/>
    <x v="2"/>
    <x v="141"/>
    <s v="ROSA MERINO"/>
    <s v="SEGUNDA"/>
    <s v="."/>
    <s v="PP INYECTADO"/>
    <s v="EMBUDO #2"/>
    <s v="EMBUDO #2-FUCSIA"/>
    <n v="523"/>
    <n v="5"/>
    <n v="70.7"/>
    <x v="0"/>
    <m/>
    <n v="5"/>
    <n v="1143"/>
    <n v="21943"/>
    <s v="ROSADO"/>
    <n v="14.6"/>
    <n v="0"/>
    <n v="0"/>
    <n v="18.305"/>
    <n v="70.7"/>
    <n v="35"/>
    <n v="2020"/>
    <x v="6"/>
    <x v="0"/>
    <n v="27"/>
    <n v="4"/>
    <n v="174.33333333333334"/>
  </r>
  <r>
    <d v="2025-07-31T07:20:00"/>
    <s v="INYECTADO"/>
    <x v="2"/>
    <x v="141"/>
    <s v="GABRIEL REQUENA"/>
    <s v="SEGUNDA"/>
    <s v="."/>
    <s v="PP INYECTADO"/>
    <s v="EMBUDO #2"/>
    <s v="EMBUDO #2-FUCSIA"/>
    <n v="535"/>
    <n v="5"/>
    <n v="72.3"/>
    <x v="1"/>
    <m/>
    <n v="6"/>
    <n v="1143"/>
    <n v="21944"/>
    <s v="FUCSIA"/>
    <n v="12.1"/>
    <n v="0"/>
    <n v="0"/>
    <n v="18.725000000000001"/>
    <n v="72.3"/>
    <n v="35"/>
    <n v="2065.7142857142858"/>
    <x v="6"/>
    <x v="0"/>
    <n v="27"/>
    <n v="4"/>
    <n v="178.33333333333334"/>
  </r>
  <r>
    <d v="2025-07-31T07:20:00"/>
    <s v="INYECTADO"/>
    <x v="2"/>
    <x v="141"/>
    <s v="GABRIEL REQUENA"/>
    <s v="SEGUNDA"/>
    <s v="."/>
    <s v="PP INYECTADO"/>
    <s v="EMBUDO #2"/>
    <s v="EMBUDO #2-LILA"/>
    <n v="475"/>
    <n v="4"/>
    <n v="64.2"/>
    <x v="1"/>
    <m/>
    <n v="5"/>
    <n v="1143"/>
    <n v="21944"/>
    <s v="LILA"/>
    <n v="12.5"/>
    <n v="0"/>
    <n v="0"/>
    <n v="16.625"/>
    <n v="64.2"/>
    <n v="35"/>
    <n v="1834.2857142857142"/>
    <x v="6"/>
    <x v="0"/>
    <n v="27"/>
    <n v="4"/>
    <n v="158.33333333333334"/>
  </r>
  <r>
    <d v="2025-07-31T07:20:00"/>
    <s v="INYECTADO"/>
    <x v="2"/>
    <x v="143"/>
    <s v="JUANA CRUCES"/>
    <s v="SEGUNDA"/>
    <s v="."/>
    <s v="PP INYECTADO"/>
    <s v="EMBUDO #2"/>
    <s v="EMBUDO #2-ROJO"/>
    <n v="685"/>
    <n v="5"/>
    <n v="91.2"/>
    <x v="0"/>
    <m/>
    <n v="8"/>
    <n v="1143"/>
    <n v="21945"/>
    <s v="ROJO"/>
    <n v="19.600000000000001"/>
    <n v="0"/>
    <n v="0"/>
    <n v="23.975000000000001"/>
    <n v="91.2"/>
    <n v="35"/>
    <n v="2605.7142857142858"/>
    <x v="6"/>
    <x v="0"/>
    <n v="28"/>
    <n v="4"/>
    <n v="228.33333333333334"/>
  </r>
  <r>
    <d v="2025-07-31T07:20:00"/>
    <s v="INYECTADO"/>
    <x v="2"/>
    <x v="143"/>
    <s v="JUANA CRUCES"/>
    <s v="SEGUNDA"/>
    <s v="."/>
    <s v="PP INYECTADO"/>
    <s v="EMBUDO #2"/>
    <s v="EMBUDO #2-AZUL"/>
    <n v="297"/>
    <n v="3"/>
    <n v="39.6"/>
    <x v="0"/>
    <m/>
    <n v="3"/>
    <n v="1143"/>
    <n v="21945"/>
    <s v="AZUL"/>
    <n v="9.6"/>
    <n v="0"/>
    <n v="0"/>
    <n v="10.395"/>
    <n v="39.6"/>
    <n v="35"/>
    <n v="1131.4285714285713"/>
    <x v="6"/>
    <x v="0"/>
    <n v="28"/>
    <n v="4"/>
    <n v="99"/>
  </r>
  <r>
    <d v="2025-07-31T07:20:00"/>
    <s v="INYECTADO"/>
    <x v="2"/>
    <x v="144"/>
    <s v="LUIS PINEDO"/>
    <s v="SEGUNDA"/>
    <s v="."/>
    <s v="PP INYECTADO"/>
    <s v="EMBUDO #2"/>
    <s v="EMBUDO #2-AZUL"/>
    <n v="73"/>
    <n v="1"/>
    <n v="10"/>
    <x v="0"/>
    <m/>
    <n v="1"/>
    <n v="1143"/>
    <n v="21946"/>
    <s v="AZUL"/>
    <n v="6.3"/>
    <n v="0"/>
    <n v="0"/>
    <n v="2.5550000000000002"/>
    <n v="10"/>
    <n v="35"/>
    <n v="285.71428571428572"/>
    <x v="6"/>
    <x v="0"/>
    <n v="28"/>
    <n v="4"/>
    <n v="24.333333333333332"/>
  </r>
  <r>
    <d v="2025-07-31T07:20:00"/>
    <s v="INYECTADO"/>
    <x v="2"/>
    <x v="144"/>
    <s v="LUIS PINEDO"/>
    <s v="SEGUNDA"/>
    <s v="."/>
    <s v="PP INYECTADO"/>
    <s v="EMBUDO #2"/>
    <s v="EMBUDO #2-VERDE"/>
    <n v="361"/>
    <n v="4"/>
    <n v="49.3"/>
    <x v="0"/>
    <m/>
    <n v="4"/>
    <n v="1143"/>
    <n v="21946"/>
    <s v="VERDE"/>
    <n v="28.4"/>
    <n v="0"/>
    <n v="0"/>
    <n v="12.635"/>
    <n v="49.3"/>
    <n v="35"/>
    <n v="1408.5714285714287"/>
    <x v="6"/>
    <x v="0"/>
    <n v="28"/>
    <n v="4"/>
    <n v="120.33333333333333"/>
  </r>
  <r>
    <d v="2025-07-31T07:20:00"/>
    <s v="INYECTADO"/>
    <x v="2"/>
    <x v="144"/>
    <s v="LUIS PINEDO"/>
    <s v="SEGUNDA"/>
    <s v="."/>
    <s v="PP INYECTADO"/>
    <s v="EMBUDO #2"/>
    <s v="EMBUDO #2-AMARILLO"/>
    <n v="305"/>
    <n v="4"/>
    <n v="42.6"/>
    <x v="0"/>
    <m/>
    <n v="3"/>
    <n v="1143"/>
    <n v="21946"/>
    <s v="AMARILLO"/>
    <n v="11"/>
    <n v="0"/>
    <n v="0"/>
    <n v="10.675000000000001"/>
    <n v="42.6"/>
    <n v="35"/>
    <n v="1217.1428571428571"/>
    <x v="6"/>
    <x v="0"/>
    <n v="28"/>
    <n v="4"/>
    <n v="101.66666666666667"/>
  </r>
  <r>
    <d v="2025-07-31T07:20:00"/>
    <s v="INYECTADO"/>
    <x v="2"/>
    <x v="144"/>
    <s v="LUIS PINEDO"/>
    <s v="SEGUNDA"/>
    <s v="."/>
    <s v="PP INYECTADO"/>
    <s v="EMBUDO #2"/>
    <s v="EMBUDO #2-FUCSIA"/>
    <n v="119"/>
    <n v="1"/>
    <n v="16.399999999999999"/>
    <x v="0"/>
    <m/>
    <n v="2"/>
    <n v="1143"/>
    <n v="21946"/>
    <s v="FUCSIA"/>
    <n v="2.9"/>
    <n v="0"/>
    <n v="0"/>
    <n v="4.165"/>
    <n v="16.399999999999999"/>
    <n v="35"/>
    <n v="468.57142857142856"/>
    <x v="6"/>
    <x v="0"/>
    <n v="28"/>
    <n v="4"/>
    <n v="39.666666666666664"/>
  </r>
  <r>
    <d v="2025-07-31T07:20:00"/>
    <s v="INYECTADO"/>
    <x v="2"/>
    <x v="145"/>
    <s v="GABRIEL ORDAZ"/>
    <s v="SEGUNDA"/>
    <s v="."/>
    <s v="PP INYECTADO"/>
    <s v="EMBUDO #2"/>
    <s v="EMBUDO #2-FUCSIA"/>
    <n v="242"/>
    <n v="2"/>
    <n v="32.299999999999997"/>
    <x v="0"/>
    <m/>
    <n v="3"/>
    <n v="1143"/>
    <n v="21947"/>
    <s v="ROSADO"/>
    <n v="9"/>
    <n v="0"/>
    <n v="0"/>
    <n v="8.4700000000000006"/>
    <n v="32.299999999999997"/>
    <n v="35"/>
    <n v="922.85714285714278"/>
    <x v="6"/>
    <x v="0"/>
    <n v="28"/>
    <n v="4"/>
    <n v="80.666666666666671"/>
  </r>
  <r>
    <d v="2025-07-31T07:20:00"/>
    <s v="INYECTADO"/>
    <x v="2"/>
    <x v="145"/>
    <s v="GABRIEL ORDAZ"/>
    <s v="SEGUNDA"/>
    <s v="."/>
    <s v="PP INYECTADO"/>
    <s v="EMBUDO #2"/>
    <s v="EMBUDO #2-VERDE"/>
    <n v="168"/>
    <n v="3"/>
    <n v="22.4"/>
    <x v="0"/>
    <m/>
    <n v="2"/>
    <n v="1143"/>
    <n v="21947"/>
    <s v="VERDE"/>
    <n v="0"/>
    <n v="0"/>
    <n v="0"/>
    <n v="5.88"/>
    <n v="22.4"/>
    <n v="35"/>
    <n v="640"/>
    <x v="6"/>
    <x v="0"/>
    <n v="28"/>
    <n v="4"/>
    <n v="56"/>
  </r>
  <r>
    <d v="2025-07-31T07:20:00"/>
    <s v="INYECTADO"/>
    <x v="2"/>
    <x v="145"/>
    <s v="GABRIEL ORDAZ"/>
    <s v="SEGUNDA"/>
    <s v="."/>
    <s v="PP INYECTADO"/>
    <s v="EMBUDO #2"/>
    <s v="EMBUDO #2-AMARILLO"/>
    <n v="148"/>
    <n v="2"/>
    <n v="19.7"/>
    <x v="0"/>
    <m/>
    <n v="2"/>
    <n v="1143"/>
    <n v="21947"/>
    <s v="AMARILLO"/>
    <n v="8.3000000000000007"/>
    <n v="0"/>
    <n v="0"/>
    <n v="5.18"/>
    <n v="19.7"/>
    <n v="35"/>
    <n v="562.85714285714289"/>
    <x v="6"/>
    <x v="0"/>
    <n v="28"/>
    <n v="4"/>
    <n v="49.333333333333336"/>
  </r>
  <r>
    <d v="2025-07-31T07:20:00"/>
    <s v="INYECTADO"/>
    <x v="2"/>
    <x v="145"/>
    <s v="GABRIEL ORDAZ"/>
    <s v="SEGUNDA"/>
    <s v="."/>
    <s v="PP INYECTADO"/>
    <s v="EMBUDO #2"/>
    <s v="EMBUDO #2-LILA"/>
    <n v="109"/>
    <n v="2"/>
    <n v="14.6"/>
    <x v="0"/>
    <m/>
    <n v="2"/>
    <n v="1143"/>
    <n v="21947"/>
    <s v="LILA"/>
    <n v="3.4"/>
    <n v="0"/>
    <n v="0"/>
    <n v="3.8149999999999999"/>
    <n v="14.6"/>
    <n v="35"/>
    <n v="417.14285714285717"/>
    <x v="6"/>
    <x v="0"/>
    <n v="28"/>
    <n v="4"/>
    <n v="36.333333333333336"/>
  </r>
  <r>
    <d v="2025-07-31T07:20:00"/>
    <s v="INYECTADO"/>
    <x v="2"/>
    <x v="145"/>
    <s v="GABRIEL ORDAZ"/>
    <s v="SEGUNDA"/>
    <s v="."/>
    <s v="PP INYECTADO"/>
    <s v="EMBUDO #2"/>
    <s v="EMBUDO #2-AZUL"/>
    <n v="77"/>
    <n v="1"/>
    <n v="10.3"/>
    <x v="0"/>
    <m/>
    <n v="2"/>
    <n v="1143"/>
    <n v="21947"/>
    <s v="AZUL"/>
    <n v="3.5"/>
    <n v="0"/>
    <n v="0"/>
    <n v="2.6949999999999998"/>
    <n v="10.3"/>
    <n v="35"/>
    <n v="294.28571428571428"/>
    <x v="6"/>
    <x v="0"/>
    <n v="28"/>
    <n v="4"/>
    <n v="25.666666666666668"/>
  </r>
  <r>
    <d v="2025-07-31T07:20:00"/>
    <s v="INYECTADO"/>
    <x v="2"/>
    <x v="146"/>
    <s v="JUANA CRUCES"/>
    <s v="VIRGEN"/>
    <s v="PP CLARIFICADO"/>
    <s v="."/>
    <s v="VALVULA VAPOR"/>
    <s v="VALVULA VAPOR-PLOMO"/>
    <n v="532"/>
    <n v="5"/>
    <n v="13.3"/>
    <x v="0"/>
    <m/>
    <n v="2"/>
    <n v="0"/>
    <n v="21949"/>
    <s v="PLOMO"/>
    <n v="0"/>
    <n v="0"/>
    <n v="0"/>
    <n v="1.33"/>
    <n v="13.3"/>
    <n v="2.5"/>
    <n v="5320"/>
    <x v="6"/>
    <x v="0"/>
    <n v="28"/>
    <n v="12"/>
    <n v="532"/>
  </r>
  <r>
    <d v="2025-07-31T07:20:00"/>
    <s v="INYECTADO"/>
    <x v="2"/>
    <x v="147"/>
    <s v="GABRIEL ORDAZ"/>
    <s v="VIRGEN"/>
    <s v="PP CLARIFICADO"/>
    <s v="."/>
    <s v="VALVULA VAPOR"/>
    <s v="VALVULA VAPOR-PLOMO"/>
    <n v="1152"/>
    <n v="11"/>
    <n v="28.8"/>
    <x v="0"/>
    <m/>
    <n v="2"/>
    <n v="0"/>
    <n v="21950"/>
    <s v="PLOMO"/>
    <n v="4.5999999999999996"/>
    <n v="0"/>
    <n v="0"/>
    <n v="2.88"/>
    <n v="28.8"/>
    <n v="2.5"/>
    <n v="11520"/>
    <x v="6"/>
    <x v="0"/>
    <n v="28"/>
    <n v="12"/>
    <n v="1152"/>
  </r>
  <r>
    <d v="2025-07-31T07:20:00"/>
    <s v="INYECTADO"/>
    <x v="2"/>
    <x v="148"/>
    <s v="GABRIEL ORDAZ"/>
    <s v="VIRGEN"/>
    <s v="PP CLARIFICADO"/>
    <s v="."/>
    <s v="VALVULA VAPOR"/>
    <s v="VALVULA VAPOR-PLOMO"/>
    <n v="964"/>
    <n v="9"/>
    <n v="24.1"/>
    <x v="0"/>
    <m/>
    <n v="2"/>
    <n v="0"/>
    <n v="21951"/>
    <s v="PLOMO"/>
    <n v="0"/>
    <n v="0"/>
    <n v="0"/>
    <n v="2.41"/>
    <n v="24.1"/>
    <n v="2.5"/>
    <n v="9640"/>
    <x v="6"/>
    <x v="0"/>
    <n v="28"/>
    <n v="12"/>
    <n v="964"/>
  </r>
  <r>
    <d v="2025-07-31T07:20:00"/>
    <s v="INYECTADO"/>
    <x v="2"/>
    <x v="149"/>
    <s v="CRISALIDA ZAPATA"/>
    <s v="VIRGEN"/>
    <s v="PP CLARIFICADO"/>
    <s v="."/>
    <s v="VALVULA VAPOR"/>
    <s v="VALVULA VAPOR-PLOMO"/>
    <n v="1284"/>
    <n v="11"/>
    <n v="32.1"/>
    <x v="0"/>
    <m/>
    <n v="2"/>
    <n v="0"/>
    <n v="21952"/>
    <s v="PLOMO"/>
    <n v="0"/>
    <n v="0"/>
    <n v="0"/>
    <n v="3.21"/>
    <n v="32.1"/>
    <n v="2.5"/>
    <n v="12840"/>
    <x v="6"/>
    <x v="0"/>
    <n v="29"/>
    <n v="12"/>
    <n v="1284"/>
  </r>
  <r>
    <d v="2025-07-31T07:20:00"/>
    <s v="INYECTADO"/>
    <x v="2"/>
    <x v="150"/>
    <s v="ISABEL LINARIZ "/>
    <s v="VIRGEN"/>
    <s v="PP CLARIFICADO"/>
    <s v="."/>
    <s v="VALVULA VAPOR"/>
    <s v="VALVULA VAPOR-PLOMO"/>
    <n v="1416"/>
    <n v="12"/>
    <n v="35.4"/>
    <x v="1"/>
    <m/>
    <n v="2"/>
    <n v="0"/>
    <n v="21953"/>
    <s v="PLOMO"/>
    <n v="0"/>
    <n v="0"/>
    <n v="0"/>
    <n v="3.54"/>
    <n v="35.4"/>
    <n v="2.5"/>
    <n v="14160"/>
    <x v="6"/>
    <x v="0"/>
    <n v="29"/>
    <n v="12"/>
    <n v="1416"/>
  </r>
  <r>
    <d v="2025-07-31T07:20:00"/>
    <s v="INYECTADO"/>
    <x v="2"/>
    <x v="162"/>
    <s v="CRISALIDA ZAPATA"/>
    <s v="VIRGEN"/>
    <s v="PP CLARIFICADO"/>
    <s v="."/>
    <s v="VALVULA VAPOR"/>
    <s v="VALVULA VAPOR-PLOMO"/>
    <n v="1248"/>
    <n v="11"/>
    <n v="33.700000000000003"/>
    <x v="0"/>
    <m/>
    <n v="3"/>
    <n v="0"/>
    <n v="21954"/>
    <s v="PLOMO"/>
    <n v="0"/>
    <n v="0"/>
    <n v="0"/>
    <n v="3.12"/>
    <n v="33.700000000000003"/>
    <n v="2.5"/>
    <n v="13480"/>
    <x v="6"/>
    <x v="0"/>
    <n v="29"/>
    <n v="12"/>
    <n v="1248"/>
  </r>
  <r>
    <d v="2025-07-31T07:20:00"/>
    <s v="INYECTADO"/>
    <x v="2"/>
    <x v="156"/>
    <s v="LUIS PINEDO"/>
    <s v="VIRGEN"/>
    <s v="PP CLARIFICADO"/>
    <s v="."/>
    <s v="TAPER REDONDO 2500ML"/>
    <s v="TAPER REDONDO 2500ML-TRANSPARENTE"/>
    <n v="557"/>
    <n v="6"/>
    <n v="35.700000000000003"/>
    <x v="0"/>
    <m/>
    <n v="5"/>
    <n v="0"/>
    <n v="21955"/>
    <s v="TRANSPARENTE"/>
    <n v="4.7"/>
    <n v="0"/>
    <n v="0"/>
    <n v="38.99"/>
    <n v="35.700000000000003"/>
    <n v="70"/>
    <n v="510"/>
    <x v="6"/>
    <x v="0"/>
    <n v="30"/>
    <n v="1"/>
    <n v="46.416666666666664"/>
  </r>
  <r>
    <d v="2025-07-31T07:20:00"/>
    <s v="INYECTADO"/>
    <x v="2"/>
    <x v="157"/>
    <s v="SEBASTIAN MURGA"/>
    <s v="VIRGEN"/>
    <s v="PP CLARIFICADO"/>
    <s v="."/>
    <s v="TAPER REDONDO 2500ML"/>
    <s v="TAPER REDONDO 2500ML-TRANSPARENTE"/>
    <n v="556"/>
    <n v="5"/>
    <n v="35.6"/>
    <x v="3"/>
    <m/>
    <n v="5"/>
    <n v="0"/>
    <n v="21958"/>
    <s v="TRANSPARENTE"/>
    <n v="1.4"/>
    <n v="0"/>
    <n v="0"/>
    <n v="38.92"/>
    <n v="35.6"/>
    <n v="70"/>
    <n v="508.57142857142856"/>
    <x v="6"/>
    <x v="0"/>
    <n v="30"/>
    <n v="1"/>
    <n v="46.333333333333336"/>
  </r>
  <r>
    <d v="2025-07-31T07:20:00"/>
    <s v="INYECTADO"/>
    <x v="2"/>
    <x v="166"/>
    <s v="JOSDER GONZALEZ"/>
    <s v="VIRGEN"/>
    <s v="PP CLARIFICADO"/>
    <s v="."/>
    <s v="TAPER REDONDO 2500ML"/>
    <s v="TAPER REDONDO 2500ML-TRANSPARENTE"/>
    <n v="1115"/>
    <n v="11"/>
    <n v="71.400000000000006"/>
    <x v="1"/>
    <m/>
    <n v="10"/>
    <n v="0"/>
    <n v="21956"/>
    <s v="TRANSPARENTE"/>
    <n v="1.4"/>
    <n v="0"/>
    <n v="0"/>
    <n v="78.05"/>
    <n v="71.400000000000006"/>
    <n v="70"/>
    <n v="1020"/>
    <x v="6"/>
    <x v="0"/>
    <n v="31"/>
    <n v="1"/>
    <n v="92.916666666666671"/>
  </r>
  <r>
    <d v="2025-07-31T07:20:00"/>
    <s v="INYECTADO"/>
    <x v="2"/>
    <x v="167"/>
    <s v="JOSDER GONZALEZ"/>
    <s v="VIRGEN"/>
    <s v="PP CLARIFICADO"/>
    <s v="."/>
    <s v="TAPER REDONDO 2500ML"/>
    <s v="TAPER REDONDO 2500ML-TRANSPARENTE"/>
    <n v="1123"/>
    <n v="11"/>
    <n v="71.900000000000006"/>
    <x v="1"/>
    <m/>
    <n v="11"/>
    <n v="0"/>
    <n v="21957"/>
    <s v="TRANSPARENTE"/>
    <n v="1.3"/>
    <n v="0"/>
    <n v="0"/>
    <n v="78.61"/>
    <n v="71.900000000000006"/>
    <n v="70"/>
    <n v="1027.1428571428571"/>
    <x v="6"/>
    <x v="0"/>
    <n v="31"/>
    <n v="1"/>
    <n v="93.583333333333329"/>
  </r>
  <r>
    <d v="2025-07-31T07:20:00"/>
    <s v="INYECTADO"/>
    <x v="2"/>
    <x v="168"/>
    <s v="KARLA HUISA"/>
    <s v="VIRGEN"/>
    <s v="PP CLARIFICADO"/>
    <s v="."/>
    <s v="TAPER REDONDO 2500ML"/>
    <s v="TAPER REDONDO 2500ML-TRANSPARENTE"/>
    <n v="1103"/>
    <n v="11"/>
    <n v="70.599999999999994"/>
    <x v="0"/>
    <m/>
    <n v="9"/>
    <n v="0"/>
    <n v="21959"/>
    <s v="TRANSPARENTE"/>
    <n v="1.1000000000000001"/>
    <n v="0"/>
    <n v="0"/>
    <n v="77.209999999999994"/>
    <n v="70.599999999999994"/>
    <n v="70"/>
    <n v="1008.5714285714286"/>
    <x v="6"/>
    <x v="0"/>
    <n v="31"/>
    <n v="1"/>
    <n v="91.916666666666671"/>
  </r>
  <r>
    <d v="2025-07-31T07:20:00"/>
    <s v="INYECTADO"/>
    <x v="2"/>
    <x v="168"/>
    <s v="ISABEL LINARIZ "/>
    <s v="VIRGEN"/>
    <s v="PP CLARIFICADO"/>
    <s v="."/>
    <s v="TAPER REDONDO 2500ML"/>
    <s v="TAPER REDONDO 2500ML-TRANSPARENTE"/>
    <n v="1068"/>
    <n v="11"/>
    <n v="68.400000000000006"/>
    <x v="1"/>
    <m/>
    <n v="9"/>
    <n v="0"/>
    <n v="21960"/>
    <s v="TRANSPARENTE"/>
    <n v="1.2"/>
    <n v="0"/>
    <n v="0"/>
    <n v="74.760000000000005"/>
    <n v="68.400000000000006"/>
    <n v="70"/>
    <n v="977.14285714285711"/>
    <x v="6"/>
    <x v="0"/>
    <n v="31"/>
    <n v="1"/>
    <n v="89"/>
  </r>
  <r>
    <d v="2025-07-31T07:20:00"/>
    <s v="INYECTADO"/>
    <x v="2"/>
    <x v="151"/>
    <s v="JUANA CRUCES"/>
    <s v="VIRGEN"/>
    <s v="PP CLARIFICADO"/>
    <s v="."/>
    <s v="TAPER REDONDO 2500ML"/>
    <s v="TAPER REDONDO 2500ML-TRANSPARENTE"/>
    <n v="262"/>
    <n v="2"/>
    <n v="16.8"/>
    <x v="0"/>
    <m/>
    <n v="3"/>
    <n v="0"/>
    <n v="21961"/>
    <s v="TRANSPARENTE"/>
    <n v="0"/>
    <n v="0"/>
    <n v="0"/>
    <n v="18.34"/>
    <n v="16.8"/>
    <n v="70"/>
    <n v="240"/>
    <x v="6"/>
    <x v="0"/>
    <n v="31"/>
    <n v="1"/>
    <n v="21.833333333333332"/>
  </r>
  <r>
    <d v="2025-07-31T07:20:00"/>
    <s v="INYECTADO"/>
    <x v="2"/>
    <x v="151"/>
    <s v="JUANA CRUCES"/>
    <s v="VIRGEN"/>
    <s v="PP CLARIFICADO"/>
    <s v="."/>
    <s v="TAPER REDONDO 2500ML"/>
    <s v="TAPER REDONDO 2500ML CARAMELO-AMARILLO"/>
    <n v="796"/>
    <n v="7"/>
    <n v="51"/>
    <x v="0"/>
    <m/>
    <n v="7"/>
    <n v="1186"/>
    <n v="21961"/>
    <s v="AMARILLO"/>
    <n v="1.2"/>
    <n v="0"/>
    <n v="0"/>
    <n v="54.923999999999999"/>
    <n v="51"/>
    <n v="69"/>
    <n v="739.13043478260875"/>
    <x v="6"/>
    <x v="0"/>
    <n v="31"/>
    <n v="1"/>
    <n v="66.333333333333329"/>
  </r>
  <r>
    <d v="2025-07-31T07:20:00"/>
    <s v="INYECTADO"/>
    <x v="2"/>
    <x v="151"/>
    <s v="JUANA CRUCES"/>
    <s v="VIRGEN"/>
    <s v="PP CLARIFICADO"/>
    <s v="."/>
    <s v="TAPER REDONDO 2500ML"/>
    <s v="TAPER REDONDO 2500ML CARAMELO-VERDE"/>
    <n v="334"/>
    <n v="3"/>
    <n v="21.4"/>
    <x v="0"/>
    <m/>
    <n v="3"/>
    <n v="1186"/>
    <n v="21961"/>
    <s v="VERDE"/>
    <n v="4"/>
    <n v="0"/>
    <n v="0"/>
    <n v="23.045999999999999"/>
    <n v="21.4"/>
    <n v="69"/>
    <n v="310.14492753623188"/>
    <x v="6"/>
    <x v="0"/>
    <n v="31"/>
    <n v="1"/>
    <n v="27.833333333333332"/>
  </r>
  <r>
    <d v="2025-07-31T07:20:00"/>
    <s v="INYECTADO"/>
    <x v="2"/>
    <x v="151"/>
    <s v="JOSDER GONZALEZ"/>
    <s v="VIRGEN"/>
    <s v="PP CLARIFICADO"/>
    <s v="."/>
    <s v="TAPER REDONDO 2500ML"/>
    <s v="TAPER REDONDO 2500ML CARAMELO-VERDE"/>
    <n v="465"/>
    <n v="5"/>
    <n v="29.8"/>
    <x v="1"/>
    <m/>
    <n v="6"/>
    <n v="1186"/>
    <n v="21962"/>
    <s v="VERDE"/>
    <n v="2.5"/>
    <n v="0"/>
    <n v="0"/>
    <n v="32.085000000000001"/>
    <n v="29.8"/>
    <n v="69"/>
    <n v="431.8840579710145"/>
    <x v="6"/>
    <x v="0"/>
    <n v="31"/>
    <n v="1"/>
    <n v="38.75"/>
  </r>
  <r>
    <d v="2025-07-31T07:20:00"/>
    <s v="INYECTADO"/>
    <x v="2"/>
    <x v="151"/>
    <s v="JOSDER GONZALEZ"/>
    <s v="VIRGEN"/>
    <s v="PP CLARIFICADO"/>
    <s v="."/>
    <s v="TAPER REDONDO 2500ML"/>
    <s v="TAPER REDONDO 2500ML CARAMELO-AZUL"/>
    <n v="740"/>
    <n v="7"/>
    <n v="47.4"/>
    <x v="1"/>
    <m/>
    <n v="6"/>
    <n v="1186"/>
    <n v="21962"/>
    <s v="AZUL"/>
    <n v="1.1000000000000001"/>
    <n v="0"/>
    <n v="0"/>
    <n v="51.06"/>
    <n v="47.4"/>
    <n v="69"/>
    <n v="686.95652173913038"/>
    <x v="6"/>
    <x v="0"/>
    <n v="31"/>
    <n v="1"/>
    <n v="61.666666666666664"/>
  </r>
  <r>
    <d v="2025-07-31T07:20:00"/>
    <s v="INYECTADO"/>
    <x v="3"/>
    <x v="152"/>
    <s v="ALEJANDRO"/>
    <s v="VIRGEN"/>
    <s v="PP CLARIFICADO"/>
    <s v="."/>
    <s v="COLADOR HOGAR SOLIDO #2"/>
    <s v="COLADOR HOGAR SOLIDO#2-AZUL"/>
    <n v="811"/>
    <n v="7"/>
    <n v="56.8"/>
    <x v="0"/>
    <m/>
    <n v="7"/>
    <n v="1118"/>
    <n v="22008"/>
    <s v="AZUL"/>
    <n v="1.9"/>
    <n v="0"/>
    <n v="0"/>
    <n v="56.77"/>
    <n v="56.8"/>
    <n v="70"/>
    <n v="811.42857142857144"/>
    <x v="6"/>
    <x v="0"/>
    <n v="27"/>
    <n v="1"/>
    <n v="67.583333333333329"/>
  </r>
  <r>
    <d v="2025-07-31T07:20:00"/>
    <s v="INYECTADO"/>
    <x v="3"/>
    <x v="153"/>
    <s v="ALEJANDRO"/>
    <s v="VIRGEN"/>
    <s v="PP CLARIFICADO"/>
    <s v="."/>
    <s v="COLADOR HOGAR SOLIDO #2"/>
    <s v="COLADOR HOGAR SOLIDO#2-AZUL"/>
    <n v="410"/>
    <n v="4"/>
    <n v="28.3"/>
    <x v="0"/>
    <m/>
    <n v="4"/>
    <n v="1144"/>
    <n v="22009"/>
    <s v="AZUL"/>
    <n v="4.4000000000000004"/>
    <n v="0"/>
    <n v="0"/>
    <n v="28.7"/>
    <n v="28.3"/>
    <n v="70"/>
    <n v="404.28571428571428"/>
    <x v="6"/>
    <x v="0"/>
    <n v="27"/>
    <n v="1"/>
    <n v="34.166666666666664"/>
  </r>
  <r>
    <d v="2025-07-31T07:20:00"/>
    <s v="INYECTADO"/>
    <x v="3"/>
    <x v="153"/>
    <s v="ALEJANDRO"/>
    <s v="VIRGEN"/>
    <s v="PP CLARIFICADO"/>
    <s v="."/>
    <s v="COLADOR HOGAR SOLIDO #2"/>
    <s v="COLADOR HOGAR SOLIDO#2-AZURE"/>
    <n v="618"/>
    <n v="6"/>
    <n v="42.7"/>
    <x v="0"/>
    <m/>
    <n v="5"/>
    <n v="1144"/>
    <n v="22009"/>
    <s v="CELESTE"/>
    <n v="1.9"/>
    <n v="0"/>
    <n v="0"/>
    <n v="43.26"/>
    <n v="42.7"/>
    <n v="70"/>
    <n v="610"/>
    <x v="6"/>
    <x v="0"/>
    <n v="27"/>
    <n v="1"/>
    <n v="51.5"/>
  </r>
  <r>
    <d v="2025-07-31T07:20:00"/>
    <s v="INYECTADO"/>
    <x v="3"/>
    <x v="161"/>
    <s v="GABRIEL ORDAZ"/>
    <s v="VIRGEN"/>
    <s v="PP CLARIFICADO"/>
    <s v="."/>
    <s v="COLADOR HOGAR SOLIDO #2"/>
    <s v="COLADOR HOGAR SOLIDO#2-VERDE"/>
    <n v="268"/>
    <n v="3"/>
    <n v="21.3"/>
    <x v="0"/>
    <m/>
    <n v="3"/>
    <n v="1144"/>
    <n v="22010"/>
    <s v="VERDE"/>
    <n v="2.9"/>
    <n v="0"/>
    <n v="0"/>
    <n v="18.760000000000002"/>
    <n v="21.3"/>
    <n v="70"/>
    <n v="304.28571428571428"/>
    <x v="6"/>
    <x v="0"/>
    <n v="27"/>
    <n v="1"/>
    <n v="22.333333333333332"/>
  </r>
  <r>
    <d v="2025-07-31T07:20:00"/>
    <s v="INYECTADO"/>
    <x v="3"/>
    <x v="161"/>
    <s v="GABRIEL ORDAZ"/>
    <s v="VIRGEN"/>
    <s v="PP CLARIFICADO"/>
    <s v="."/>
    <s v="COLADOR HOGAR SOLIDO #2"/>
    <s v="COLADOR HOGAR SOLIDO#2-CREMA"/>
    <n v="442"/>
    <n v="4"/>
    <n v="31.7"/>
    <x v="0"/>
    <m/>
    <n v="4"/>
    <n v="1144"/>
    <n v="22010"/>
    <s v="CREMA"/>
    <n v="0.85"/>
    <n v="0"/>
    <n v="0"/>
    <n v="30.94"/>
    <n v="31.7"/>
    <n v="70"/>
    <n v="452.85714285714283"/>
    <x v="6"/>
    <x v="0"/>
    <n v="27"/>
    <n v="1"/>
    <n v="36.833333333333336"/>
  </r>
  <r>
    <d v="2025-07-31T07:20:00"/>
    <s v="INYECTADO"/>
    <x v="3"/>
    <x v="161"/>
    <s v="GABRIEL ORDAZ"/>
    <s v="VIRGEN"/>
    <s v="PP CLARIFICADO"/>
    <s v="."/>
    <s v="COLADOR HOGAR SOLIDO #2"/>
    <s v="COLADOR HOGAR SOLIDO#2-ROJO"/>
    <n v="339"/>
    <n v="4"/>
    <n v="26.7"/>
    <x v="0"/>
    <m/>
    <n v="3"/>
    <n v="1144"/>
    <n v="22010"/>
    <s v="ROJO"/>
    <n v="0"/>
    <n v="0"/>
    <n v="0"/>
    <n v="23.73"/>
    <n v="26.7"/>
    <n v="70"/>
    <n v="381.42857142857144"/>
    <x v="6"/>
    <x v="0"/>
    <n v="27"/>
    <n v="1"/>
    <n v="28.25"/>
  </r>
  <r>
    <d v="2025-07-31T07:20:00"/>
    <s v="INYECTADO"/>
    <x v="3"/>
    <x v="141"/>
    <s v="LUCHO"/>
    <s v="VIRGEN"/>
    <s v="PP CLARIFICADO"/>
    <s v="."/>
    <s v="ORGANIZADOR DE 5KG"/>
    <s v="BASE ORGANIZADOR DE 5KG-TRANSPARENTE"/>
    <n v="483"/>
    <n v="4"/>
    <n v="90"/>
    <x v="0"/>
    <m/>
    <n v="12"/>
    <n v="0"/>
    <n v="22011"/>
    <s v="TRANSPARENTE"/>
    <n v="0"/>
    <n v="0"/>
    <n v="0"/>
    <n v="91.77"/>
    <n v="90"/>
    <n v="190"/>
    <n v="473.68421052631578"/>
    <x v="6"/>
    <x v="0"/>
    <n v="27"/>
    <n v="1"/>
    <n v="40.25"/>
  </r>
  <r>
    <d v="2025-07-31T07:20:00"/>
    <s v="INYECTADO"/>
    <x v="3"/>
    <x v="141"/>
    <s v="ISABEL LINARIZ "/>
    <s v="VIRGEN"/>
    <s v="PP CLARIFICADO"/>
    <s v="."/>
    <s v="ORGANIZADOR DE 5KG"/>
    <s v="BASE ORGANIZADOR DE 5KG-TRANSPARENTE"/>
    <n v="1319"/>
    <n v="12"/>
    <n v="245.4"/>
    <x v="1"/>
    <m/>
    <n v="33"/>
    <n v="0"/>
    <n v="22012"/>
    <s v="TRANSPARENTE"/>
    <n v="5.6"/>
    <n v="0"/>
    <n v="0"/>
    <n v="250.61"/>
    <n v="245.4"/>
    <n v="190"/>
    <n v="1291.578947368421"/>
    <x v="6"/>
    <x v="0"/>
    <n v="27"/>
    <n v="1"/>
    <n v="109.91666666666667"/>
  </r>
  <r>
    <d v="2025-07-31T07:20:00"/>
    <s v="INYECTADO"/>
    <x v="3"/>
    <x v="142"/>
    <s v="GABRIEL ORDAZ"/>
    <s v="VIRGEN"/>
    <s v="PP CLARIFICADO"/>
    <s v="."/>
    <s v="ORGANIZADOR DE 5KG"/>
    <s v="BASE ORGANIZADOR DE 5KG-TRANSPARENTE"/>
    <n v="121"/>
    <n v="2"/>
    <n v="20.399999999999999"/>
    <x v="0"/>
    <m/>
    <n v="3"/>
    <n v="1164"/>
    <n v="22013"/>
    <s v="TRANSPARENTE"/>
    <n v="5.7"/>
    <n v="0"/>
    <n v="0"/>
    <n v="22.99"/>
    <n v="20.399999999999999"/>
    <n v="190"/>
    <n v="107.36842105263158"/>
    <x v="6"/>
    <x v="0"/>
    <n v="27"/>
    <n v="1"/>
    <n v="10.083333333333334"/>
  </r>
  <r>
    <d v="2025-07-31T07:20:00"/>
    <s v="INYECTADO"/>
    <x v="3"/>
    <x v="142"/>
    <s v="JUAN MANUEL PEREZ"/>
    <s v="VIRGEN"/>
    <s v="PP CLARIFICADO"/>
    <s v="."/>
    <s v="ORGANIZADOR DE 5KG"/>
    <s v="BASE ORGANIZADOR DE 5KG-TRANSPARENTE"/>
    <n v="1169"/>
    <n v="11"/>
    <n v="217.5"/>
    <x v="1"/>
    <m/>
    <n v="29"/>
    <n v="1164"/>
    <n v="22014"/>
    <s v="TRANSPARENTE"/>
    <n v="21.3"/>
    <n v="0"/>
    <n v="0"/>
    <n v="222.11"/>
    <n v="217.5"/>
    <n v="190"/>
    <n v="1144.7368421052631"/>
    <x v="6"/>
    <x v="0"/>
    <n v="27"/>
    <n v="1"/>
    <n v="97.416666666666671"/>
  </r>
  <r>
    <d v="2025-07-31T07:20:00"/>
    <s v="INYECTADO"/>
    <x v="3"/>
    <x v="163"/>
    <s v="LUIS RENGIFO"/>
    <s v="VIRGEN"/>
    <s v="PP CLARIFICADO"/>
    <s v="."/>
    <s v="ORGANIZADOR DE 5KG"/>
    <s v="BASE ORGANIZADOR DE 5KG-TRANSPARENTE"/>
    <n v="527"/>
    <n v="4"/>
    <n v="98.2"/>
    <x v="0"/>
    <m/>
    <n v="13"/>
    <n v="1164"/>
    <n v="22015"/>
    <s v="TRANSPARENTE"/>
    <n v="10.7"/>
    <n v="0"/>
    <n v="0"/>
    <n v="100.13"/>
    <n v="98.2"/>
    <n v="190"/>
    <n v="516.84210526315792"/>
    <x v="6"/>
    <x v="0"/>
    <n v="29"/>
    <n v="1"/>
    <n v="43.916666666666664"/>
  </r>
  <r>
    <d v="2025-07-31T07:20:00"/>
    <s v="INYECTADO"/>
    <x v="3"/>
    <x v="163"/>
    <s v="JUAN MANUEL PEREZ"/>
    <s v="VIRGEN"/>
    <s v="PP CLARIFICADO"/>
    <s v="."/>
    <s v="ORGANIZADOR DE 5KG"/>
    <s v="BASE ORGANIZADOR DE 5KG-TRANSPARENTE"/>
    <n v="1086"/>
    <n v="11"/>
    <n v="202"/>
    <x v="1"/>
    <m/>
    <n v="29"/>
    <n v="1164"/>
    <n v="22016"/>
    <s v="TRANSPARENTE"/>
    <n v="16.3"/>
    <n v="0"/>
    <n v="0"/>
    <n v="206.34"/>
    <n v="202"/>
    <n v="190"/>
    <n v="1063.1578947368421"/>
    <x v="6"/>
    <x v="0"/>
    <n v="29"/>
    <n v="1"/>
    <n v="90.5"/>
  </r>
  <r>
    <d v="2025-07-31T07:20:00"/>
    <s v="INYECTADO"/>
    <x v="3"/>
    <x v="164"/>
    <s v="NELSON PINEDO"/>
    <s v="VIRGEN"/>
    <s v="PP CLARIFICADO"/>
    <s v="."/>
    <s v="ORGANIZADOR DE 5KG"/>
    <s v="BASE ORGANIZADOR DE 5KG-TRANSPARENTE"/>
    <n v="206"/>
    <n v="2"/>
    <n v="38.299999999999997"/>
    <x v="0"/>
    <m/>
    <n v="6"/>
    <n v="1164"/>
    <n v="22017"/>
    <s v="TRANSPARENTE"/>
    <n v="0"/>
    <n v="0"/>
    <n v="0"/>
    <n v="39.14"/>
    <n v="38.299999999999997"/>
    <n v="190"/>
    <n v="201.57894736842104"/>
    <x v="6"/>
    <x v="0"/>
    <n v="29"/>
    <n v="1"/>
    <n v="17.166666666666668"/>
  </r>
  <r>
    <d v="2025-07-31T07:20:00"/>
    <s v="INYECTADO"/>
    <x v="3"/>
    <x v="164"/>
    <s v="JOSDER GONZALEZ"/>
    <s v="VIRGEN"/>
    <s v="PP CLARIFICADO"/>
    <s v="."/>
    <s v="ORGANIZADOR DE 5KG"/>
    <s v="BASE ORGANIZADOR DE 5KG-TRANSPARENTE"/>
    <n v="990"/>
    <n v="12"/>
    <n v="184.2"/>
    <x v="1"/>
    <m/>
    <n v="28"/>
    <n v="1164"/>
    <n v="22018"/>
    <s v="TRANSPARENTE"/>
    <n v="23.5"/>
    <n v="0"/>
    <n v="0"/>
    <n v="188.1"/>
    <n v="184.2"/>
    <n v="190"/>
    <n v="969.47368421052636"/>
    <x v="6"/>
    <x v="0"/>
    <n v="29"/>
    <n v="1"/>
    <n v="82.5"/>
  </r>
  <r>
    <d v="2025-07-31T07:20:00"/>
    <s v="INYECTADO"/>
    <x v="3"/>
    <x v="159"/>
    <s v="LEONOR GUTIERREZ"/>
    <s v="VIRGEN"/>
    <s v="PP CLARIFICADO"/>
    <s v="."/>
    <s v="ORGANIZADOR DE 5KG"/>
    <s v="BASE ORGANIZADOR DE 5KG-TRANSPARENTE"/>
    <n v="89"/>
    <n v="1"/>
    <n v="16.7"/>
    <x v="1"/>
    <m/>
    <n v="1"/>
    <n v="1164"/>
    <n v="18789"/>
    <s v="TRANSPARENTE"/>
    <n v="0"/>
    <n v="0"/>
    <n v="0"/>
    <n v="16.91"/>
    <n v="16.7"/>
    <n v="190"/>
    <n v="87.89473684210526"/>
    <x v="6"/>
    <x v="0"/>
    <n v="30"/>
    <n v="1"/>
    <n v="7.416666666666667"/>
  </r>
  <r>
    <d v="2025-07-31T07:20:00"/>
    <s v="INYECTADO"/>
    <x v="3"/>
    <x v="160"/>
    <s v="CRISALIDA ZAPATA"/>
    <s v="VIRGEN"/>
    <s v="PP CLARIFICADO"/>
    <s v="."/>
    <s v="ORGANIZADOR DE 5KG"/>
    <s v="BASE ORGANIZADOR DE 5KG-TRANSPARENTE"/>
    <n v="732"/>
    <n v="7"/>
    <n v="140"/>
    <x v="0"/>
    <m/>
    <n v="19"/>
    <n v="1164"/>
    <n v="18790"/>
    <s v="TRANSPARENTE"/>
    <n v="15.1"/>
    <n v="0"/>
    <n v="0"/>
    <n v="139.08000000000001"/>
    <n v="140"/>
    <n v="190"/>
    <n v="736.84210526315792"/>
    <x v="6"/>
    <x v="0"/>
    <n v="30"/>
    <n v="1"/>
    <n v="61"/>
  </r>
  <r>
    <d v="2025-07-31T07:20:00"/>
    <s v="INYECTADO"/>
    <x v="3"/>
    <x v="160"/>
    <s v="ISABEL LINARIZ "/>
    <s v="VIRGEN"/>
    <s v="PP CLARIFICADO"/>
    <s v="."/>
    <s v="ORGANIZADOR DE 5KG"/>
    <s v="BASE ORGANIZADOR DE 5KG-TRANSPARENTE"/>
    <n v="946"/>
    <n v="12"/>
    <n v="175.9"/>
    <x v="1"/>
    <m/>
    <n v="27"/>
    <n v="1164"/>
    <n v="18791"/>
    <s v="TRANSPARENTE"/>
    <n v="8.9"/>
    <n v="0"/>
    <n v="0"/>
    <n v="179.74"/>
    <n v="175.9"/>
    <n v="190"/>
    <n v="925.78947368421052"/>
    <x v="6"/>
    <x v="0"/>
    <n v="30"/>
    <n v="1"/>
    <n v="78.833333333333329"/>
  </r>
  <r>
    <d v="2025-07-31T07:20:00"/>
    <s v="INYECTADO"/>
    <x v="3"/>
    <x v="154"/>
    <s v="CRISALIDA ZAPATA"/>
    <s v="VIRGEN"/>
    <s v="PP CLARIFICADO"/>
    <s v="."/>
    <s v="ORGANIZADOR DE 5KG"/>
    <s v="BASE ORGANIZADOR DE 5KG-TRANSPARENTE"/>
    <n v="32"/>
    <n v="1"/>
    <n v="5.9"/>
    <x v="0"/>
    <m/>
    <n v="1"/>
    <n v="1164"/>
    <n v="18792"/>
    <s v="TRANSPARENTE"/>
    <n v="0"/>
    <n v="0"/>
    <n v="0"/>
    <n v="6.08"/>
    <n v="5.9"/>
    <n v="190"/>
    <n v="31.05263157894737"/>
    <x v="6"/>
    <x v="0"/>
    <n v="30"/>
    <n v="1"/>
    <n v="2.6666666666666665"/>
  </r>
  <r>
    <d v="2025-07-31T07:20:00"/>
    <s v="INYECTADO"/>
    <x v="3"/>
    <x v="156"/>
    <s v="CRISALIDA ZAPATA"/>
    <s v="VIRGEN"/>
    <s v="PP CLARIFICADO"/>
    <s v="."/>
    <s v="JARRA GRECIA 500ML CARAMELO"/>
    <s v="JARRA GRECIA 500ML CARAMELO-AMARILLO"/>
    <n v="372"/>
    <n v="5"/>
    <n v="46.6"/>
    <x v="0"/>
    <m/>
    <n v="3"/>
    <n v="1170"/>
    <n v="18793"/>
    <s v="AMARILLO"/>
    <n v="6.7"/>
    <n v="0"/>
    <n v="0"/>
    <n v="11.904"/>
    <n v="46.6"/>
    <n v="32"/>
    <n v="1456.25"/>
    <x v="6"/>
    <x v="0"/>
    <n v="30"/>
    <n v="3"/>
    <n v="93"/>
  </r>
  <r>
    <d v="2025-07-31T07:20:00"/>
    <s v="INYECTADO"/>
    <x v="3"/>
    <x v="156"/>
    <s v="CRISALIDA ZAPATA"/>
    <s v="VIRGEN"/>
    <s v="PP CLARIFICADO"/>
    <s v="."/>
    <s v="JARRA GRECIA 500ML CARAMELO"/>
    <s v="JARRA GRECIA 500ML CARAMELO-VERDE"/>
    <n v="270"/>
    <n v="3"/>
    <n v="34.4"/>
    <x v="0"/>
    <m/>
    <n v="2"/>
    <n v="1170"/>
    <n v="18793"/>
    <s v="VERDE"/>
    <n v="4.4000000000000004"/>
    <n v="0"/>
    <n v="0"/>
    <n v="8.64"/>
    <n v="34.4"/>
    <n v="32"/>
    <n v="1075"/>
    <x v="6"/>
    <x v="0"/>
    <n v="30"/>
    <n v="3"/>
    <n v="67.5"/>
  </r>
  <r>
    <d v="2025-07-31T07:20:00"/>
    <s v="INYECTADO"/>
    <x v="3"/>
    <x v="156"/>
    <s v="JOSDER GONZALEZ"/>
    <s v="VIRGEN"/>
    <s v="PP CLARIFICADO"/>
    <s v="."/>
    <s v="JARRA GRECIA 500ML CARAMELO"/>
    <s v="JARRA GRECIA 500ML CARAMELO-VERDE"/>
    <n v="80"/>
    <n v="1"/>
    <n v="10.199999999999999"/>
    <x v="1"/>
    <m/>
    <n v="1"/>
    <n v="1170"/>
    <n v="18794"/>
    <s v="VERDE"/>
    <n v="3.8"/>
    <n v="0"/>
    <n v="0"/>
    <n v="2.56"/>
    <n v="10.199999999999999"/>
    <n v="32"/>
    <n v="318.75"/>
    <x v="6"/>
    <x v="0"/>
    <n v="30"/>
    <n v="3"/>
    <n v="20"/>
  </r>
  <r>
    <d v="2025-07-31T07:20:00"/>
    <s v="INYECTADO"/>
    <x v="3"/>
    <x v="156"/>
    <s v="JOSDER GONZALEZ"/>
    <s v="VIRGEN"/>
    <s v="PP CLARIFICADO"/>
    <s v="."/>
    <s v="JARRA GRECIA 500ML CARAMELO"/>
    <s v="JARRA GRECIA 500ML CARAMELO-AZUL"/>
    <n v="341"/>
    <n v="4"/>
    <n v="43.4"/>
    <x v="1"/>
    <m/>
    <n v="3"/>
    <n v="1170"/>
    <n v="18794"/>
    <s v="AZUL"/>
    <n v="9.1"/>
    <n v="0"/>
    <n v="0"/>
    <n v="10.912000000000001"/>
    <n v="43.4"/>
    <n v="32"/>
    <n v="1356.25"/>
    <x v="6"/>
    <x v="0"/>
    <n v="30"/>
    <n v="3"/>
    <n v="85.25"/>
  </r>
  <r>
    <d v="2025-07-31T07:20:00"/>
    <s v="INYECTADO"/>
    <x v="3"/>
    <x v="156"/>
    <s v="JOSDER GONZALEZ"/>
    <s v="VIRGEN"/>
    <s v="PP CLARIFICADO"/>
    <s v="."/>
    <s v="JARRA GRECIA 500ML CARAMELO"/>
    <s v="JARRA GRECIA 500ML CARAMELO-FUCSIA"/>
    <n v="196"/>
    <n v="2"/>
    <n v="24.9"/>
    <x v="1"/>
    <m/>
    <n v="2"/>
    <n v="1170"/>
    <n v="18794"/>
    <s v="FUCSIA"/>
    <n v="4.5"/>
    <n v="0"/>
    <n v="0"/>
    <n v="6.2720000000000002"/>
    <n v="24.9"/>
    <n v="32"/>
    <n v="778.125"/>
    <x v="6"/>
    <x v="0"/>
    <n v="30"/>
    <n v="3"/>
    <n v="49"/>
  </r>
  <r>
    <d v="2025-07-31T07:20:00"/>
    <s v="INYECTADO"/>
    <x v="3"/>
    <x v="166"/>
    <s v="ROSA MERINO"/>
    <s v="VIRGEN"/>
    <s v="PP CLARIFICADO"/>
    <s v="."/>
    <s v="JARRA GRECIA 500ML CARAMELO"/>
    <s v="JARRA GRECIA 500ML CARAMELO-FUCSIA"/>
    <n v="151"/>
    <n v="2"/>
    <n v="19.2"/>
    <x v="0"/>
    <m/>
    <n v="2"/>
    <n v="1170"/>
    <n v="18795"/>
    <s v="FUCSIA"/>
    <n v="2.2999999999999998"/>
    <n v="0"/>
    <n v="0"/>
    <n v="4.8319999999999999"/>
    <n v="19.2"/>
    <n v="32"/>
    <n v="600"/>
    <x v="6"/>
    <x v="0"/>
    <n v="31"/>
    <n v="3"/>
    <n v="37.75"/>
  </r>
  <r>
    <d v="2025-07-31T07:20:00"/>
    <s v="INYECTADO"/>
    <x v="3"/>
    <x v="166"/>
    <s v="ROSA MERINO"/>
    <s v="VIRGEN"/>
    <s v="PP CLARIFICADO"/>
    <s v="."/>
    <s v="JARRA GRECIA 500ML CARAMELO"/>
    <s v="JARRA GRECIA 500ML CARAMELO-LILA"/>
    <n v="374"/>
    <n v="4"/>
    <n v="47.5"/>
    <x v="0"/>
    <m/>
    <n v="4"/>
    <n v="1170"/>
    <n v="18795"/>
    <s v="LILA"/>
    <n v="3.9"/>
    <n v="0"/>
    <n v="0"/>
    <n v="11.968"/>
    <n v="47.5"/>
    <n v="32"/>
    <n v="1484.375"/>
    <x v="6"/>
    <x v="0"/>
    <n v="31"/>
    <n v="3"/>
    <n v="93.5"/>
  </r>
  <r>
    <d v="2025-07-31T07:20:00"/>
    <s v="INYECTADO"/>
    <x v="3"/>
    <x v="166"/>
    <s v="ROSA MERINO"/>
    <s v="VIRGEN"/>
    <s v="PP CLARIFICADO"/>
    <s v="."/>
    <s v="JARRA GRECIA 500ML"/>
    <s v="JARRA GRECIA 500ML-TRANSPARENTE"/>
    <n v="503"/>
    <n v="5"/>
    <n v="63.9"/>
    <x v="0"/>
    <m/>
    <n v="5"/>
    <n v="1170"/>
    <n v="18795"/>
    <s v="TRANSPARENTE"/>
    <n v="3.5"/>
    <n v="0"/>
    <n v="0"/>
    <n v="16.096"/>
    <n v="63.9"/>
    <n v="32"/>
    <n v="1996.875"/>
    <x v="6"/>
    <x v="0"/>
    <n v="31"/>
    <n v="3"/>
    <n v="125.75"/>
  </r>
  <r>
    <d v="2025-07-31T07:20:00"/>
    <s v="INYECTADO"/>
    <x v="3"/>
    <x v="168"/>
    <s v="CRISALIDA ZAPATA"/>
    <s v="VIRGEN"/>
    <s v="PP CLARIFICADO"/>
    <s v="."/>
    <s v="JARRA GRECIA 500ML"/>
    <s v="JARRA GRECIA 500ML-TRANSPARENTE"/>
    <n v="33"/>
    <n v="1"/>
    <n v="4.2"/>
    <x v="0"/>
    <m/>
    <n v="2"/>
    <n v="1170"/>
    <n v="18796"/>
    <s v="TRANSPARENTE"/>
    <n v="8.1"/>
    <n v="0"/>
    <n v="0"/>
    <n v="1.056"/>
    <n v="4.2"/>
    <n v="32"/>
    <n v="131.25"/>
    <x v="6"/>
    <x v="0"/>
    <n v="31"/>
    <n v="3"/>
    <n v="8.25"/>
  </r>
  <r>
    <d v="2025-07-31T07:20:00"/>
    <s v="INYECTADO"/>
    <x v="3"/>
    <x v="168"/>
    <s v="CRISALIDA ZAPATA"/>
    <s v="VIRGEN"/>
    <s v="PP CLARIFICADO"/>
    <s v="."/>
    <s v="JARRA GRECIA 500ML"/>
    <s v="JARRA GRECIA 500ML CARAMELO-AMARILLO"/>
    <n v="336"/>
    <n v="5"/>
    <n v="42.4"/>
    <x v="0"/>
    <m/>
    <n v="3"/>
    <n v="1170"/>
    <n v="18796"/>
    <s v="AMARILLO"/>
    <n v="9.6"/>
    <n v="0"/>
    <n v="0"/>
    <n v="10.752000000000001"/>
    <n v="42.4"/>
    <n v="32"/>
    <n v="1325"/>
    <x v="6"/>
    <x v="0"/>
    <n v="31"/>
    <n v="3"/>
    <n v="84"/>
  </r>
  <r>
    <d v="2025-07-31T07:20:00"/>
    <s v="INYECTADO"/>
    <x v="3"/>
    <x v="168"/>
    <s v="CRISALIDA ZAPATA"/>
    <s v="VIRGEN"/>
    <s v="PP CLARIFICADO"/>
    <s v="."/>
    <s v="JARRA GRECIA 500ML"/>
    <s v="JARRA GRECIA 500ML CARAMELO-VERDE"/>
    <n v="334"/>
    <n v="4"/>
    <n v="42.1"/>
    <x v="0"/>
    <m/>
    <n v="3"/>
    <n v="1170"/>
    <n v="18796"/>
    <s v="VERDE"/>
    <n v="11"/>
    <n v="0"/>
    <n v="0"/>
    <n v="10.688000000000001"/>
    <n v="42.1"/>
    <n v="32"/>
    <n v="1315.625"/>
    <x v="6"/>
    <x v="0"/>
    <n v="31"/>
    <n v="3"/>
    <n v="83.5"/>
  </r>
  <r>
    <d v="2025-07-31T07:20:00"/>
    <s v="INYECTADO"/>
    <x v="3"/>
    <x v="168"/>
    <s v="CRISALIDA ZAPATA"/>
    <s v="VIRGEN"/>
    <s v="PP CLARIFICADO"/>
    <s v="."/>
    <s v="JARRA GRECIA 500ML"/>
    <s v="JARRA GRECIA 500ML CARAMELO-FUCSIA"/>
    <n v="39"/>
    <n v="1"/>
    <n v="4.9000000000000004"/>
    <x v="0"/>
    <m/>
    <n v="1"/>
    <n v="1170"/>
    <n v="18796"/>
    <s v="FUCSIA"/>
    <n v="2.2000000000000002"/>
    <n v="0"/>
    <n v="0"/>
    <n v="1.248"/>
    <n v="4.9000000000000004"/>
    <n v="32"/>
    <n v="153.125"/>
    <x v="6"/>
    <x v="0"/>
    <n v="31"/>
    <n v="3"/>
    <n v="9.75"/>
  </r>
  <r>
    <d v="2025-07-31T07:20:00"/>
    <s v="INYECTADO"/>
    <x v="3"/>
    <x v="168"/>
    <s v="CRISALIDA ZAPATA"/>
    <s v="VIRGEN"/>
    <s v="PP CLARIFICADO"/>
    <s v="."/>
    <s v="JARRA GRECIA 500ML"/>
    <s v="JARRA GRECIA 500ML CARAMELO-FUCSIA"/>
    <n v="46"/>
    <n v="1"/>
    <n v="5.9"/>
    <x v="1"/>
    <m/>
    <n v="1"/>
    <n v="1170"/>
    <n v="18797"/>
    <s v="FUCSIA"/>
    <n v="3.2"/>
    <n v="0"/>
    <n v="0"/>
    <n v="1.472"/>
    <n v="5.9"/>
    <n v="32"/>
    <n v="184.375"/>
    <x v="6"/>
    <x v="0"/>
    <n v="31"/>
    <n v="3"/>
    <n v="11.5"/>
  </r>
  <r>
    <d v="2025-07-31T07:20:00"/>
    <s v="INYECTADO"/>
    <x v="3"/>
    <x v="151"/>
    <s v="LUIS PINEDO"/>
    <s v="VIRGEN"/>
    <s v="PP CLARIFICADO"/>
    <s v="."/>
    <s v="JARRA GRECIA 500ML"/>
    <s v="JARRA GRECIA 500ML CARAMELO-FUCSIA"/>
    <n v="113"/>
    <n v="3"/>
    <n v="14.4"/>
    <x v="0"/>
    <m/>
    <n v="1"/>
    <n v="1170"/>
    <n v="18798"/>
    <s v="FUCSIA"/>
    <n v="19.399999999999999"/>
    <n v="0"/>
    <n v="0"/>
    <n v="3.6160000000000001"/>
    <n v="14.4"/>
    <n v="32"/>
    <n v="450"/>
    <x v="6"/>
    <x v="0"/>
    <n v="31"/>
    <n v="3"/>
    <n v="28.25"/>
  </r>
  <r>
    <d v="2025-07-31T07:20:00"/>
    <s v="INYECTADO"/>
    <x v="3"/>
    <x v="151"/>
    <s v="LUIS PINEDO"/>
    <s v="VIRGEN"/>
    <s v="PP CLARIFICADO"/>
    <s v="."/>
    <s v="JARRA GRECIA 500ML"/>
    <s v="JARRA GRECIA 500ML CARAMELO-LILA"/>
    <n v="330"/>
    <n v="5"/>
    <n v="41"/>
    <x v="0"/>
    <m/>
    <n v="3"/>
    <n v="1170"/>
    <n v="18798"/>
    <s v="LILA"/>
    <n v="13.4"/>
    <n v="0"/>
    <n v="0"/>
    <n v="10.56"/>
    <n v="41"/>
    <n v="32"/>
    <n v="1281.25"/>
    <x v="6"/>
    <x v="0"/>
    <n v="31"/>
    <n v="3"/>
    <n v="82.5"/>
  </r>
  <r>
    <d v="2025-07-31T07:20:00"/>
    <s v="INYECTADO"/>
    <x v="3"/>
    <x v="151"/>
    <s v="LUIS PINEDO"/>
    <s v="VIRGEN"/>
    <s v="PP CLARIFICADO"/>
    <s v="."/>
    <s v="JARRA GRECIA 500ML"/>
    <s v="JARRA GRECIA 500ML CARAMELO-NARANJA"/>
    <n v="117"/>
    <n v="2"/>
    <n v="14.6"/>
    <x v="0"/>
    <m/>
    <n v="2"/>
    <n v="1170"/>
    <n v="18798"/>
    <s v="NARANJA"/>
    <n v="6.4"/>
    <n v="0"/>
    <n v="0"/>
    <e v="#N/A"/>
    <n v="14.6"/>
    <e v="#N/A"/>
    <n v="0"/>
    <x v="6"/>
    <x v="0"/>
    <n v="31"/>
    <e v="#N/A"/>
    <e v="#N/A"/>
  </r>
  <r>
    <d v="2025-07-31T07:20:00"/>
    <s v="SOPLADO"/>
    <x v="13"/>
    <x v="169"/>
    <s v="SAID VILLAMIZAR"/>
    <s v="SEGUNDA"/>
    <s v=". "/>
    <s v="ALTA SOPLADO"/>
    <s v="ALCANCIA PABLO GRANDE"/>
    <s v="ALCANCIA PABLO GRANDE-CARNE"/>
    <n v="269"/>
    <n v="6"/>
    <n v="36.1"/>
    <x v="0"/>
    <m/>
    <n v="6"/>
    <n v="1171"/>
    <n v="22401"/>
    <s v="CARNE"/>
    <n v="0"/>
    <n v="0"/>
    <n v="0"/>
    <n v="33.625"/>
    <n v="36.1"/>
    <n v="125"/>
    <n v="288.8"/>
    <x v="6"/>
    <x v="0"/>
    <n v="28"/>
    <n v="1"/>
    <n v="22.416666666666668"/>
  </r>
  <r>
    <d v="2025-07-31T07:20:00"/>
    <s v="SOPLADO"/>
    <x v="13"/>
    <x v="149"/>
    <s v="SAID VILLAMIZAR"/>
    <s v="SEGUNDA"/>
    <s v=". "/>
    <s v="ALTA SOPLADO"/>
    <s v="ALCANCIA PABLO GRANDE"/>
    <s v="ALCANCIA PABLO GRANDE-CARNE"/>
    <n v="57"/>
    <n v="1"/>
    <n v="7.7"/>
    <x v="0"/>
    <m/>
    <n v="2"/>
    <n v="1171"/>
    <n v="22402"/>
    <s v="CARNE"/>
    <n v="0"/>
    <n v="0"/>
    <n v="0"/>
    <n v="7.125"/>
    <n v="7.7"/>
    <n v="125"/>
    <n v="61.6"/>
    <x v="6"/>
    <x v="0"/>
    <n v="29"/>
    <n v="1"/>
    <n v="4.75"/>
  </r>
  <r>
    <d v="2025-07-31T07:20:00"/>
    <s v="INYECTADO"/>
    <x v="7"/>
    <x v="152"/>
    <s v="CRISALIDA ZAPATA"/>
    <s v="VIRGEN"/>
    <s v="PP CLARIFICADO"/>
    <s v="."/>
    <s v="TAPA DE ORGANIZADOR #2"/>
    <s v="TAPA DE ORGANIZADOR #2 CARAMELO-FUCSIA"/>
    <n v="1030"/>
    <n v="9"/>
    <n v="43.2"/>
    <x v="0"/>
    <m/>
    <n v="6"/>
    <n v="1139"/>
    <n v="22216"/>
    <s v="FUCSIA"/>
    <n v="1.8"/>
    <n v="0"/>
    <n v="0"/>
    <n v="21.63"/>
    <n v="43.2"/>
    <n v="21"/>
    <n v="2057.1428571428573"/>
    <x v="6"/>
    <x v="0"/>
    <n v="27"/>
    <n v="2"/>
    <n v="171.66666666666666"/>
  </r>
  <r>
    <d v="2025-07-31T07:20:00"/>
    <s v="INYECTADO"/>
    <x v="7"/>
    <x v="152"/>
    <s v="CRISALIDA ZAPATA"/>
    <s v="VIRGEN"/>
    <s v="PP CLARIFICADO"/>
    <s v="."/>
    <s v="TAPA DE ORGANIZADOR #2"/>
    <s v="TAPA DE ORGANIZADOR #2 CARAMELO-LILA"/>
    <n v="174"/>
    <n v="2"/>
    <n v="7.3"/>
    <x v="0"/>
    <m/>
    <n v="4"/>
    <n v="1139"/>
    <n v="22216"/>
    <s v="LILA"/>
    <n v="0"/>
    <n v="0"/>
    <n v="0"/>
    <n v="3.6539999999999999"/>
    <n v="7.3"/>
    <n v="21"/>
    <n v="347.61904761904759"/>
    <x v="6"/>
    <x v="0"/>
    <n v="27"/>
    <n v="2"/>
    <n v="29"/>
  </r>
  <r>
    <d v="2025-07-31T07:20:00"/>
    <s v="INYECTADO"/>
    <x v="7"/>
    <x v="152"/>
    <s v="JOSDER GONZALEZ"/>
    <s v="VIRGEN"/>
    <s v="PP CLARIFICADO"/>
    <s v="."/>
    <s v="TAPA DE ORGANIZADOR #2"/>
    <s v="TAPA DE ORGANIZADOR #2 CARAMELO-LILA"/>
    <n v="1459"/>
    <n v="12"/>
    <n v="61.2"/>
    <x v="1"/>
    <m/>
    <n v="13"/>
    <n v="1139"/>
    <n v="22217"/>
    <s v="LILA"/>
    <n v="0"/>
    <n v="0"/>
    <n v="0"/>
    <n v="30.638999999999999"/>
    <n v="61.2"/>
    <n v="21"/>
    <n v="2914.2857142857142"/>
    <x v="6"/>
    <x v="0"/>
    <n v="27"/>
    <n v="2"/>
    <n v="243.16666666666666"/>
  </r>
  <r>
    <d v="2025-07-31T07:20:00"/>
    <s v="INYECTADO"/>
    <x v="7"/>
    <x v="153"/>
    <s v="CRISALIDA ZAPATA"/>
    <s v="VIRGEN"/>
    <s v="PP CLARIFICADO"/>
    <s v="."/>
    <s v="TAPA DE ORGANIZADOR #2"/>
    <s v="TAPA DE ORGANIZADOR #2 CARAMELO-LILA"/>
    <n v="160"/>
    <n v="2"/>
    <n v="6.8"/>
    <x v="0"/>
    <m/>
    <n v="2"/>
    <n v="1139"/>
    <n v="22218"/>
    <s v="LILA"/>
    <n v="1.8"/>
    <n v="0"/>
    <n v="0"/>
    <n v="3.36"/>
    <n v="6.8"/>
    <n v="21"/>
    <n v="323.8095238095238"/>
    <x v="6"/>
    <x v="0"/>
    <n v="27"/>
    <n v="2"/>
    <n v="26.666666666666668"/>
  </r>
  <r>
    <d v="2025-07-31T07:20:00"/>
    <s v="INYECTADO"/>
    <x v="7"/>
    <x v="153"/>
    <s v="CRISALIDA ZAPATA"/>
    <s v="VIRGEN"/>
    <s v="PP CLARIFICADO"/>
    <s v="."/>
    <s v="TAPA DE ORGANIZADOR #2"/>
    <s v="TAPA DE ORGANIZADOR #2 CARAMELO-ROJO"/>
    <n v="1075"/>
    <n v="9"/>
    <n v="46.2"/>
    <x v="0"/>
    <m/>
    <n v="9"/>
    <n v="1139"/>
    <n v="22218"/>
    <s v="ROJO"/>
    <n v="1.1000000000000001"/>
    <n v="0"/>
    <n v="0"/>
    <n v="22.574999999999999"/>
    <n v="46.2"/>
    <n v="21"/>
    <n v="2200"/>
    <x v="6"/>
    <x v="0"/>
    <n v="27"/>
    <n v="2"/>
    <n v="179.16666666666666"/>
  </r>
  <r>
    <d v="2025-07-31T07:20:00"/>
    <s v="INYECTADO"/>
    <x v="7"/>
    <x v="153"/>
    <s v="JOSDER GONZALEZ"/>
    <s v="VIRGEN"/>
    <s v="PP CLARIFICADO"/>
    <s v="."/>
    <s v="TAPA DE ORGANIZADOR #2"/>
    <s v="TAPA DE ORGANIZADOR #2 CARAMELO-ROJO"/>
    <n v="73"/>
    <n v="1"/>
    <n v="3.1"/>
    <x v="1"/>
    <m/>
    <n v="1"/>
    <n v="1139"/>
    <n v="22219"/>
    <s v="ROJO"/>
    <n v="10.7"/>
    <n v="0"/>
    <n v="0"/>
    <n v="1.5329999999999999"/>
    <n v="3.1"/>
    <n v="21"/>
    <n v="147.61904761904762"/>
    <x v="6"/>
    <x v="0"/>
    <n v="27"/>
    <n v="2"/>
    <n v="12.166666666666666"/>
  </r>
  <r>
    <d v="2025-07-31T07:20:00"/>
    <s v="INYECTADO"/>
    <x v="7"/>
    <x v="153"/>
    <s v="JOSDER GONZALEZ"/>
    <s v="VIRGEN"/>
    <s v="PP CLARIFICADO"/>
    <s v="."/>
    <s v="TAPA DE ORGANIZADOR #2"/>
    <s v="TAPA DE ORGANIZADOR #2-BLANCO"/>
    <n v="841"/>
    <n v="8"/>
    <n v="35.299999999999997"/>
    <x v="1"/>
    <m/>
    <n v="7"/>
    <n v="1139"/>
    <n v="22219"/>
    <s v="BLANCO"/>
    <n v="0.6"/>
    <n v="0"/>
    <n v="0"/>
    <n v="17.661000000000001"/>
    <n v="35.299999999999997"/>
    <n v="21"/>
    <n v="1680.952380952381"/>
    <x v="6"/>
    <x v="0"/>
    <n v="27"/>
    <n v="2"/>
    <n v="140.16666666666666"/>
  </r>
  <r>
    <d v="2025-07-31T07:20:00"/>
    <s v="INYECTADO"/>
    <x v="7"/>
    <x v="161"/>
    <s v="CRISALIDA ZAPATA"/>
    <s v="VIRGEN"/>
    <s v="PP CLARIFICADO"/>
    <s v="."/>
    <s v="TAPA DE ORGANIZADOR #2"/>
    <s v="TAPA DE ORGANIZADOR #2-BLANCO"/>
    <n v="1440"/>
    <n v="11"/>
    <n v="61.9"/>
    <x v="0"/>
    <m/>
    <n v="12"/>
    <n v="1139"/>
    <n v="22220"/>
    <s v="BLANCO"/>
    <n v="0.5"/>
    <n v="0"/>
    <n v="0"/>
    <n v="30.24"/>
    <n v="61.9"/>
    <n v="21"/>
    <n v="2947.6190476190477"/>
    <x v="6"/>
    <x v="0"/>
    <n v="27"/>
    <n v="2"/>
    <n v="240"/>
  </r>
  <r>
    <d v="2025-07-31T07:20:00"/>
    <s v="INYECTADO"/>
    <x v="7"/>
    <x v="161"/>
    <s v="ISABEL LINARIZ "/>
    <s v="VIRGEN"/>
    <s v="PP CLARIFICADO"/>
    <s v="."/>
    <s v="TAPA DE ORGANIZADOR #2"/>
    <s v="TAPA DE ORGANIZADOR #2-BLANCO"/>
    <n v="1349"/>
    <n v="12"/>
    <n v="61.4"/>
    <x v="1"/>
    <m/>
    <n v="11"/>
    <n v="1139"/>
    <n v="22221"/>
    <s v="BLANCO"/>
    <n v="0.4"/>
    <n v="0"/>
    <n v="0"/>
    <n v="28.329000000000001"/>
    <n v="61.4"/>
    <n v="21"/>
    <n v="2923.8095238095239"/>
    <x v="6"/>
    <x v="0"/>
    <n v="27"/>
    <n v="2"/>
    <n v="224.83333333333334"/>
  </r>
  <r>
    <d v="2025-07-31T07:20:00"/>
    <s v="INYECTADO"/>
    <x v="7"/>
    <x v="141"/>
    <s v="CRISALIDA ZAPATA"/>
    <s v="VIRGEN"/>
    <s v="PP CLARIFICADO"/>
    <s v="."/>
    <s v="TAPA DE ORGANIZADOR #2"/>
    <s v="TAPA DE ORGANIZADOR #2-BLANCO"/>
    <n v="1418"/>
    <n v="11"/>
    <n v="60.1"/>
    <x v="0"/>
    <m/>
    <n v="12"/>
    <n v="1139"/>
    <n v="22222"/>
    <s v="BLANCO"/>
    <n v="0.3"/>
    <n v="0"/>
    <n v="0"/>
    <n v="29.777999999999999"/>
    <n v="60.1"/>
    <n v="21"/>
    <n v="2861.9047619047619"/>
    <x v="6"/>
    <x v="0"/>
    <n v="27"/>
    <n v="2"/>
    <n v="236.33333333333334"/>
  </r>
  <r>
    <d v="2025-07-31T07:20:00"/>
    <s v="INYECTADO"/>
    <x v="7"/>
    <x v="141"/>
    <s v="JOSDER GONZALEZ"/>
    <s v="VIRGEN"/>
    <s v="PP CLARIFICADO"/>
    <s v="."/>
    <s v="TAPA DE ORGANIZADOR #2"/>
    <s v="TAPA DE ORGANIZADOR #2-BLANCO"/>
    <n v="486"/>
    <n v="12"/>
    <n v="29.2"/>
    <x v="1"/>
    <m/>
    <n v="5"/>
    <n v="1139"/>
    <n v="22223"/>
    <s v="BLANCO"/>
    <n v="5.6"/>
    <n v="0"/>
    <n v="0"/>
    <n v="10.206"/>
    <n v="29.2"/>
    <n v="21"/>
    <n v="1390.4761904761904"/>
    <x v="6"/>
    <x v="0"/>
    <n v="27"/>
    <n v="2"/>
    <n v="81"/>
  </r>
  <r>
    <d v="2025-07-31T07:20:00"/>
    <s v="INYECTADO"/>
    <x v="7"/>
    <x v="141"/>
    <s v="JOSDER GONZALEZ"/>
    <s v="VIRGEN"/>
    <s v="PP CLARIFICADO"/>
    <s v="."/>
    <s v="TAPA DE ORGANIZADOR #2"/>
    <s v="TAPA DE ORGANIZADOR #2-TRANSPARENTE"/>
    <n v="490"/>
    <n v="6"/>
    <n v="31"/>
    <x v="1"/>
    <m/>
    <n v="5"/>
    <n v="1139"/>
    <n v="22223"/>
    <s v="TRANSPARENTE"/>
    <n v="4.0999999999999996"/>
    <n v="0"/>
    <n v="0"/>
    <n v="10.29"/>
    <n v="31"/>
    <n v="21"/>
    <n v="1476.1904761904761"/>
    <x v="6"/>
    <x v="0"/>
    <n v="27"/>
    <n v="2"/>
    <n v="81.666666666666671"/>
  </r>
  <r>
    <d v="2025-07-31T07:20:00"/>
    <s v="INYECTADO"/>
    <x v="7"/>
    <x v="142"/>
    <s v="CRISALIDA ZAPATA"/>
    <s v="VIRGEN"/>
    <s v="PP CLARIFICADO"/>
    <s v="."/>
    <s v="TAPA DE ORGANIZADOR #2"/>
    <s v="TAPA DE ORGANIZADOR #2-TRANSPARENTE"/>
    <n v="1340"/>
    <n v="11"/>
    <n v="57.6"/>
    <x v="0"/>
    <m/>
    <n v="11"/>
    <n v="1139"/>
    <n v="22224"/>
    <s v="TRANSPARENTE"/>
    <n v="0.5"/>
    <n v="0"/>
    <n v="0"/>
    <n v="28.14"/>
    <n v="57.6"/>
    <n v="21"/>
    <n v="2742.8571428571427"/>
    <x v="6"/>
    <x v="0"/>
    <n v="27"/>
    <n v="2"/>
    <n v="223.33333333333334"/>
  </r>
  <r>
    <d v="2025-07-31T07:20:00"/>
    <s v="INYECTADO"/>
    <x v="7"/>
    <x v="143"/>
    <s v="CRISALIDA ZAPATA"/>
    <s v="VIRGEN"/>
    <s v="PP CLARIFICADO"/>
    <s v="."/>
    <s v="TAPA DE ORGANIZADOR #2"/>
    <s v="TAPA DE ORGANIZADOR #2-TRANSPARENTE"/>
    <n v="480"/>
    <n v="10"/>
    <n v="20.6"/>
    <x v="0"/>
    <m/>
    <n v="9"/>
    <n v="1139"/>
    <n v="22225"/>
    <s v="TRANSPARENTE"/>
    <n v="0.5"/>
    <n v="0"/>
    <n v="0"/>
    <n v="10.08"/>
    <n v="20.6"/>
    <n v="21"/>
    <n v="980.95238095238096"/>
    <x v="6"/>
    <x v="0"/>
    <n v="28"/>
    <n v="2"/>
    <n v="80"/>
  </r>
  <r>
    <d v="2025-07-31T07:20:00"/>
    <s v="INYECTADO"/>
    <x v="7"/>
    <x v="144"/>
    <s v="NELSON PINEDO"/>
    <s v="VIRGEN"/>
    <s v="PP CLARIFICADO"/>
    <s v="."/>
    <s v="TAPA PORTAVAJILLA"/>
    <s v="TAPA PORTAVAJILLA-TRANSPARENTE"/>
    <n v="365"/>
    <n v="4"/>
    <n v="109"/>
    <x v="0"/>
    <m/>
    <n v="6"/>
    <n v="1155"/>
    <n v="22226"/>
    <s v="TRANSPARENTE"/>
    <n v="10"/>
    <n v="0"/>
    <n v="0"/>
    <n v="122.64"/>
    <n v="109"/>
    <n v="336"/>
    <n v="324.40476190476193"/>
    <x v="6"/>
    <x v="0"/>
    <n v="28"/>
    <n v="1"/>
    <n v="30.416666666666668"/>
  </r>
  <r>
    <d v="2025-07-31T07:20:00"/>
    <s v="INYECTADO"/>
    <x v="7"/>
    <x v="144"/>
    <s v="GABRIEL REQUENA"/>
    <s v="VIRGEN"/>
    <s v="PP CLARIFICADO"/>
    <s v="."/>
    <s v="TAPA PORTAVAJILLA"/>
    <s v="TAPA PORTAVAJILLA-TRANSPARENTE"/>
    <n v="437"/>
    <n v="5"/>
    <n v="130.5"/>
    <x v="1"/>
    <m/>
    <n v="8"/>
    <n v="1155"/>
    <n v="22227"/>
    <s v="TRANSPARENTE"/>
    <n v="1.4"/>
    <n v="0"/>
    <n v="0"/>
    <n v="146.83199999999999"/>
    <n v="130.5"/>
    <n v="336"/>
    <n v="388.39285714285717"/>
    <x v="6"/>
    <x v="0"/>
    <n v="28"/>
    <n v="1"/>
    <n v="36.416666666666664"/>
  </r>
  <r>
    <d v="2025-07-31T07:20:00"/>
    <s v="INYECTADO"/>
    <x v="7"/>
    <x v="145"/>
    <s v="ALEJANDRO"/>
    <s v="VIRGEN"/>
    <s v="PP CLARIFICADO"/>
    <s v="."/>
    <s v="TAPA PORTAVAJILLA"/>
    <s v="TAPA PORTAVAJILLA-TRANSPARENTE"/>
    <n v="840"/>
    <n v="11"/>
    <n v="250.4"/>
    <x v="0"/>
    <m/>
    <n v="15"/>
    <n v="1155"/>
    <n v="22228"/>
    <s v="TRANSPARENTE"/>
    <n v="14.8"/>
    <n v="0"/>
    <n v="0"/>
    <n v="282.24"/>
    <n v="250.4"/>
    <n v="336"/>
    <n v="745.23809523809518"/>
    <x v="6"/>
    <x v="0"/>
    <n v="28"/>
    <n v="1"/>
    <n v="70"/>
  </r>
  <r>
    <d v="2025-07-31T07:20:00"/>
    <s v="INYECTADO"/>
    <x v="7"/>
    <x v="146"/>
    <s v="ALEJANDRO"/>
    <s v="VIRGEN"/>
    <s v="PP CLARIFICADO"/>
    <s v="."/>
    <s v="TAPA PORTAVAJILLA"/>
    <s v="TAPA PORTAVAJILLA-TRANSPARENTE"/>
    <n v="984"/>
    <n v="10"/>
    <n v="274.7"/>
    <x v="0"/>
    <m/>
    <n v="16"/>
    <n v="1155"/>
    <n v="22229"/>
    <s v="TRANSPARENTE"/>
    <n v="13.7"/>
    <n v="0"/>
    <n v="0"/>
    <n v="330.62400000000002"/>
    <n v="274.7"/>
    <n v="336"/>
    <n v="817.55952380952385"/>
    <x v="6"/>
    <x v="0"/>
    <n v="28"/>
    <n v="1"/>
    <n v="82"/>
  </r>
  <r>
    <d v="2025-07-31T07:20:00"/>
    <s v="INYECTADO"/>
    <x v="7"/>
    <x v="146"/>
    <s v="ISABEL LINARIZ "/>
    <s v="VIRGEN"/>
    <s v="PP CLARIFICADO"/>
    <s v="."/>
    <s v="TAPA PORTAVAJILLA"/>
    <s v="TAPA PORTAVAJILLA-TRANSPARENTE"/>
    <n v="1217"/>
    <n v="12"/>
    <n v="263"/>
    <x v="1"/>
    <m/>
    <n v="15"/>
    <n v="1155"/>
    <n v="22230"/>
    <s v="TRANSPARENTE"/>
    <n v="4.5999999999999996"/>
    <n v="0"/>
    <n v="0"/>
    <n v="408.91199999999998"/>
    <n v="263"/>
    <n v="336"/>
    <n v="782.73809523809518"/>
    <x v="6"/>
    <x v="0"/>
    <n v="28"/>
    <n v="1"/>
    <n v="101.41666666666667"/>
  </r>
  <r>
    <d v="2025-07-31T07:20:00"/>
    <s v="INYECTADO"/>
    <x v="7"/>
    <x v="147"/>
    <s v="JUANA CRUCES"/>
    <s v="VIRGEN"/>
    <s v="PP CLARIFICADO"/>
    <s v="."/>
    <s v="TAPA PORTAVAJILLA"/>
    <s v="TAPA PORTAVAJILLA-TRANSPARENTE"/>
    <n v="592"/>
    <n v="6"/>
    <n v="177.6"/>
    <x v="0"/>
    <m/>
    <n v="10"/>
    <n v="1155"/>
    <n v="22231"/>
    <s v="TRANSPARENTE"/>
    <n v="1.6"/>
    <n v="0"/>
    <n v="0"/>
    <n v="198.91200000000001"/>
    <n v="177.6"/>
    <n v="336"/>
    <n v="528.57142857142856"/>
    <x v="6"/>
    <x v="0"/>
    <n v="28"/>
    <n v="1"/>
    <n v="49.333333333333336"/>
  </r>
  <r>
    <d v="2025-07-31T07:20:00"/>
    <s v="INYECTADO"/>
    <x v="7"/>
    <x v="149"/>
    <s v="JUANA CRUCES"/>
    <s v="VIRGEN"/>
    <s v="PP CLARIFICADO"/>
    <s v="."/>
    <s v="TAPA PORTAVAJILLA"/>
    <s v="TAPA PORTAVAJILLA-TRANSPARENTE"/>
    <n v="147"/>
    <n v="2"/>
    <n v="44.1"/>
    <x v="0"/>
    <m/>
    <n v="3"/>
    <n v="1155"/>
    <n v="22232"/>
    <s v="TRANSPARENTE"/>
    <n v="0"/>
    <n v="0"/>
    <n v="0"/>
    <n v="49.392000000000003"/>
    <n v="44.1"/>
    <n v="336"/>
    <n v="131.25"/>
    <x v="6"/>
    <x v="0"/>
    <n v="29"/>
    <n v="1"/>
    <n v="12.25"/>
  </r>
  <r>
    <d v="2025-07-31T07:20:00"/>
    <s v="INYECTADO"/>
    <x v="7"/>
    <x v="149"/>
    <s v="ISABEL LINARIZ "/>
    <s v="VIRGEN"/>
    <s v="PP CLARIFICADO"/>
    <s v="."/>
    <s v="TAPA PORTAVAJILLA"/>
    <s v="TAPA PORTAVAJILLA-TRANSPARENTE"/>
    <n v="1164"/>
    <n v="12"/>
    <n v="333.4"/>
    <x v="1"/>
    <m/>
    <n v="19"/>
    <n v="1155"/>
    <n v="22233"/>
    <s v="TRANSPARENTE"/>
    <n v="0"/>
    <n v="0"/>
    <n v="0"/>
    <n v="391.10399999999998"/>
    <n v="333.4"/>
    <n v="336"/>
    <n v="992.26190476190482"/>
    <x v="6"/>
    <x v="0"/>
    <n v="29"/>
    <n v="1"/>
    <n v="97"/>
  </r>
  <r>
    <d v="2025-07-31T07:20:00"/>
    <s v="INYECTADO"/>
    <x v="7"/>
    <x v="150"/>
    <s v="JUANA CRUCES"/>
    <s v="VIRGEN"/>
    <s v="PP CLARIFICADO"/>
    <s v="."/>
    <s v="TAPA PORTAVAJILLA"/>
    <s v="TAPA PORTAVAJILLA-TRANSPARENTE"/>
    <n v="88"/>
    <n v="1"/>
    <n v="26.5"/>
    <x v="0"/>
    <m/>
    <n v="1"/>
    <n v="1155"/>
    <n v="22234"/>
    <s v="TRANSPARENTE"/>
    <n v="0"/>
    <n v="0"/>
    <n v="0"/>
    <n v="29.568000000000001"/>
    <n v="26.5"/>
    <n v="336"/>
    <n v="78.86904761904762"/>
    <x v="6"/>
    <x v="0"/>
    <n v="29"/>
    <n v="1"/>
    <n v="7.333333333333333"/>
  </r>
  <r>
    <d v="2025-07-31T07:20:00"/>
    <s v="INYECTADO"/>
    <x v="7"/>
    <x v="150"/>
    <s v="JUANA CRUCES"/>
    <s v="VIRGEN"/>
    <s v="PP CLARIFICADO"/>
    <s v="."/>
    <s v="VASO SORBETE SOLIDO"/>
    <s v="VASO SORBETE SOLIDO-VERDE"/>
    <n v="132"/>
    <n v="1"/>
    <n v="19.899999999999999"/>
    <x v="0"/>
    <m/>
    <n v="3"/>
    <n v="1172"/>
    <n v="22234"/>
    <s v="VERDE"/>
    <n v="0"/>
    <n v="0"/>
    <n v="0"/>
    <n v="3.1019999999999999"/>
    <n v="19.899999999999999"/>
    <n v="23.5"/>
    <n v="846.80851063829789"/>
    <x v="6"/>
    <x v="0"/>
    <n v="29"/>
    <n v="2"/>
    <n v="22"/>
  </r>
  <r>
    <d v="2025-07-31T07:20:00"/>
    <s v="INYECTADO"/>
    <x v="7"/>
    <x v="162"/>
    <s v="GABRIEL REQUENA"/>
    <s v="VIRGEN"/>
    <s v="PP CLARIFICADO"/>
    <s v="."/>
    <s v="VASO SORBETE SOLIDO"/>
    <s v="VASO SORBETE SOLIDO-AZUL"/>
    <n v="545"/>
    <n v="5"/>
    <n v="81.8"/>
    <x v="1"/>
    <m/>
    <n v="8"/>
    <n v="1172"/>
    <n v="22235"/>
    <s v="VERDE"/>
    <n v="14"/>
    <n v="0"/>
    <n v="0"/>
    <n v="12.807499999999999"/>
    <n v="81.8"/>
    <n v="23.5"/>
    <n v="3480.8510638297871"/>
    <x v="6"/>
    <x v="0"/>
    <n v="29"/>
    <n v="2"/>
    <n v="90.833333333333329"/>
  </r>
  <r>
    <d v="2025-07-31T07:20:00"/>
    <s v="INYECTADO"/>
    <x v="7"/>
    <x v="162"/>
    <s v="GABRIEL REQUENA"/>
    <s v="VIRGEN"/>
    <s v="PP CLARIFICADO"/>
    <s v="."/>
    <s v="VASO SORBETE SOLIDO"/>
    <s v="VASO SORBETE SOLIDO-VERDE"/>
    <n v="570"/>
    <n v="6"/>
    <n v="85.6"/>
    <x v="1"/>
    <m/>
    <n v="10"/>
    <n v="1172"/>
    <n v="22235"/>
    <s v="AZUL"/>
    <n v="3"/>
    <n v="0"/>
    <n v="0"/>
    <n v="13.395"/>
    <n v="85.6"/>
    <n v="23.5"/>
    <n v="3642.5531914893618"/>
    <x v="6"/>
    <x v="0"/>
    <n v="29"/>
    <n v="2"/>
    <n v="95"/>
  </r>
  <r>
    <d v="2025-07-31T07:20:00"/>
    <s v="INYECTADO"/>
    <x v="7"/>
    <x v="163"/>
    <s v="NELSON PINEDO"/>
    <s v="VIRGEN"/>
    <s v="PP CLARIFICADO"/>
    <s v="."/>
    <s v="VASO SORBETE SOLIDO"/>
    <s v="VASO SORBETE SOLIDO-AZUL"/>
    <n v="50"/>
    <n v="1"/>
    <n v="7.4"/>
    <x v="0"/>
    <m/>
    <n v="2"/>
    <n v="1172"/>
    <n v="22236"/>
    <s v="AZUL"/>
    <n v="3"/>
    <n v="0"/>
    <n v="0"/>
    <n v="1.175"/>
    <n v="7.4"/>
    <n v="23.5"/>
    <n v="314.89361702127661"/>
    <x v="6"/>
    <x v="0"/>
    <n v="29"/>
    <n v="2"/>
    <n v="8.3333333333333339"/>
  </r>
  <r>
    <d v="2025-07-31T07:20:00"/>
    <s v="INYECTADO"/>
    <x v="7"/>
    <x v="163"/>
    <s v="NELSON PINEDO"/>
    <s v="VIRGEN"/>
    <s v="PP CLARIFICADO"/>
    <s v="."/>
    <s v="VASO SORBETE SOLIDO"/>
    <s v="VASO SORBETE SOLIDO-ROJO"/>
    <n v="743"/>
    <n v="7"/>
    <n v="110.1"/>
    <x v="0"/>
    <m/>
    <n v="11"/>
    <n v="1172"/>
    <n v="22236"/>
    <s v="ROJO"/>
    <n v="6.2"/>
    <n v="0"/>
    <n v="0"/>
    <n v="17.4605"/>
    <n v="110.1"/>
    <n v="23.5"/>
    <n v="4685.1063829787236"/>
    <x v="6"/>
    <x v="0"/>
    <n v="29"/>
    <n v="2"/>
    <n v="123.83333333333333"/>
  </r>
  <r>
    <d v="2025-07-31T07:20:00"/>
    <s v="INYECTADO"/>
    <x v="7"/>
    <x v="163"/>
    <s v="NELSON PINEDO"/>
    <s v="VIRGEN"/>
    <s v="PP CLARIFICADO"/>
    <s v="."/>
    <s v="VASO SORBETE PASTEL"/>
    <s v="VASO SORBETE PASTEL-SANDIA"/>
    <n v="302"/>
    <n v="4"/>
    <n v="44.8"/>
    <x v="0"/>
    <m/>
    <n v="4"/>
    <n v="1172"/>
    <n v="22236"/>
    <s v="SANDIA"/>
    <n v="0"/>
    <n v="0"/>
    <n v="0"/>
    <n v="7.0970000000000004"/>
    <n v="44.8"/>
    <n v="23.5"/>
    <n v="1906.3829787234042"/>
    <x v="6"/>
    <x v="0"/>
    <n v="29"/>
    <n v="2"/>
    <n v="50.333333333333336"/>
  </r>
  <r>
    <d v="2025-07-31T07:20:00"/>
    <s v="INYECTADO"/>
    <x v="7"/>
    <x v="163"/>
    <s v="GABRIEL REQUENA"/>
    <s v="VIRGEN"/>
    <s v="PP CLARIFICADO"/>
    <s v="."/>
    <s v="VASO SORBETE PASTEL"/>
    <s v="VASO SORBETE PASTEL-SANDIA"/>
    <n v="356"/>
    <n v="4"/>
    <n v="53.1"/>
    <x v="1"/>
    <m/>
    <n v="9"/>
    <n v="1173"/>
    <n v="22237"/>
    <s v="SANDIA"/>
    <n v="7.7"/>
    <n v="0"/>
    <n v="0"/>
    <n v="8.3659999999999997"/>
    <n v="53.1"/>
    <n v="23.5"/>
    <n v="2259.5744680851062"/>
    <x v="6"/>
    <x v="0"/>
    <n v="29"/>
    <n v="2"/>
    <n v="59.333333333333336"/>
  </r>
  <r>
    <d v="2025-07-31T07:20:00"/>
    <s v="INYECTADO"/>
    <x v="7"/>
    <x v="163"/>
    <s v="GABRIEL REQUENA"/>
    <s v="VIRGEN"/>
    <s v="PP CLARIFICADO"/>
    <s v="."/>
    <s v="VASO SORBETE PASTEL"/>
    <s v="VASO SORBETE PASTEL-AZURE"/>
    <n v="506"/>
    <n v="6"/>
    <n v="75.5"/>
    <x v="1"/>
    <m/>
    <n v="12"/>
    <n v="1173"/>
    <n v="22237"/>
    <s v="AZURE"/>
    <n v="8"/>
    <n v="0"/>
    <n v="0"/>
    <n v="11.891"/>
    <n v="75.5"/>
    <n v="23.5"/>
    <n v="3212.7659574468084"/>
    <x v="6"/>
    <x v="0"/>
    <n v="29"/>
    <n v="2"/>
    <n v="84.333333333333329"/>
  </r>
  <r>
    <d v="2025-07-31T07:20:00"/>
    <s v="INYECTADO"/>
    <x v="7"/>
    <x v="164"/>
    <s v="NELSON PINEDO"/>
    <s v="VIRGEN"/>
    <s v="PP CLARIFICADO"/>
    <s v="."/>
    <s v="VASO SORBETE SOLIDO"/>
    <s v="VASO SORBETE SOLIDO-FUCSIA"/>
    <n v="623"/>
    <n v="6"/>
    <n v="92.9"/>
    <x v="0"/>
    <m/>
    <n v="12"/>
    <n v="1172"/>
    <n v="22238"/>
    <s v="FUCSIA"/>
    <n v="0"/>
    <n v="0"/>
    <n v="0"/>
    <n v="14.640499999999999"/>
    <n v="92.9"/>
    <n v="23.5"/>
    <n v="3953.1914893617022"/>
    <x v="6"/>
    <x v="0"/>
    <n v="29"/>
    <n v="2"/>
    <n v="103.83333333333333"/>
  </r>
  <r>
    <d v="2025-07-31T07:20:00"/>
    <s v="INYECTADO"/>
    <x v="7"/>
    <x v="164"/>
    <s v="GABRIEL REQUENA"/>
    <s v="VIRGEN"/>
    <s v="PP CLARIFICADO"/>
    <s v="."/>
    <s v="VASO SORBETE SOLIDO"/>
    <s v="VASO SORBETE SOLIDO-FUCSIA"/>
    <n v="59"/>
    <n v="1"/>
    <n v="8.9"/>
    <x v="1"/>
    <m/>
    <n v="1"/>
    <n v="1172"/>
    <n v="22239"/>
    <s v="FUCSIA"/>
    <n v="39.9"/>
    <n v="0"/>
    <n v="0"/>
    <n v="1.3865000000000001"/>
    <n v="8.9"/>
    <n v="23.5"/>
    <n v="378.72340425531917"/>
    <x v="6"/>
    <x v="0"/>
    <n v="29"/>
    <n v="2"/>
    <n v="9.8333333333333339"/>
  </r>
  <r>
    <d v="2025-07-31T07:20:00"/>
    <s v="INYECTADO"/>
    <x v="7"/>
    <x v="164"/>
    <s v="GABRIEL REQUENA"/>
    <s v="VIRGEN"/>
    <s v="PP CLARIFICADO"/>
    <s v="."/>
    <s v="VASO SORBETE SOLIDO"/>
    <s v="VASO SORBETE SOLIDO-AMARILLO"/>
    <n v="640"/>
    <n v="7"/>
    <n v="98.8"/>
    <x v="1"/>
    <m/>
    <n v="15"/>
    <n v="1172"/>
    <n v="22239"/>
    <s v="AMARILLO"/>
    <n v="12.6"/>
    <n v="0"/>
    <n v="0"/>
    <n v="15.04"/>
    <n v="98.8"/>
    <n v="23.5"/>
    <n v="4204.255319148936"/>
    <x v="6"/>
    <x v="0"/>
    <n v="29"/>
    <n v="2"/>
    <n v="106.66666666666667"/>
  </r>
  <r>
    <d v="2025-07-31T07:20:00"/>
    <s v="INYECTADO"/>
    <x v="7"/>
    <x v="164"/>
    <s v="GABRIEL REQUENA"/>
    <s v="VIRGEN"/>
    <s v="PP CLARIFICADO"/>
    <s v="."/>
    <s v="VASO SORBETE SOLIDO"/>
    <s v="VASO SORBETE SOLIDO-LILA"/>
    <n v="28"/>
    <n v="1"/>
    <n v="4.0999999999999996"/>
    <x v="1"/>
    <m/>
    <n v="1"/>
    <n v="1172"/>
    <n v="22239"/>
    <s v="LILA"/>
    <n v="0"/>
    <n v="0"/>
    <n v="0"/>
    <n v="0.65800000000000003"/>
    <n v="4.0999999999999996"/>
    <n v="23.5"/>
    <n v="174.46808510638297"/>
    <x v="6"/>
    <x v="0"/>
    <n v="29"/>
    <n v="2"/>
    <n v="4.666666666666667"/>
  </r>
  <r>
    <d v="2025-07-31T07:20:00"/>
    <s v="INYECTADO"/>
    <x v="7"/>
    <x v="165"/>
    <s v="NELSON PINEDO"/>
    <s v="VIRGEN"/>
    <s v="PP CLARIFICADO"/>
    <s v="."/>
    <s v="VASO SORBETE SOLIDO"/>
    <s v="VASO SORBETE SOLIDO-LILA"/>
    <n v="624"/>
    <n v="7"/>
    <n v="94.3"/>
    <x v="0"/>
    <m/>
    <n v="11"/>
    <n v="1172"/>
    <n v="22240"/>
    <s v="LILA"/>
    <n v="7.3"/>
    <n v="0"/>
    <n v="0"/>
    <n v="14.664"/>
    <n v="94.3"/>
    <n v="23.5"/>
    <n v="4012.7659574468084"/>
    <x v="6"/>
    <x v="0"/>
    <n v="29"/>
    <n v="2"/>
    <n v="104"/>
  </r>
  <r>
    <d v="2025-07-31T07:20:00"/>
    <s v="INYECTADO"/>
    <x v="7"/>
    <x v="165"/>
    <s v="NELSON PINEDO"/>
    <s v="VIRGEN"/>
    <s v="PP CLARIFICADO"/>
    <s v="."/>
    <s v="VASO SORBETE PASTEL"/>
    <s v="VASO SORBETE PASTEL-LILA"/>
    <n v="186"/>
    <n v="2"/>
    <n v="28.2"/>
    <x v="0"/>
    <m/>
    <n v="5"/>
    <n v="1173"/>
    <n v="22240"/>
    <s v="LILA"/>
    <n v="0"/>
    <n v="0"/>
    <n v="0"/>
    <n v="4.3710000000000004"/>
    <n v="28.2"/>
    <n v="23.5"/>
    <n v="1200"/>
    <x v="6"/>
    <x v="0"/>
    <n v="29"/>
    <n v="2"/>
    <n v="31"/>
  </r>
  <r>
    <d v="2025-07-31T07:20:00"/>
    <s v="INYECTADO"/>
    <x v="7"/>
    <x v="165"/>
    <s v="GABRIEL REQUENA"/>
    <s v="VIRGEN"/>
    <s v="PP CLARIFICADO"/>
    <s v="."/>
    <s v="VASO SORBETE PASTEL"/>
    <s v="VASO SORBETE PASTEL-LILA"/>
    <n v="233"/>
    <n v="3"/>
    <n v="35.299999999999997"/>
    <x v="1"/>
    <m/>
    <n v="6"/>
    <n v="1173"/>
    <n v="22241"/>
    <s v="LILA"/>
    <n v="11"/>
    <n v="0"/>
    <n v="0"/>
    <n v="5.4755000000000003"/>
    <n v="35.299999999999997"/>
    <n v="23.5"/>
    <n v="1502.127659574468"/>
    <x v="6"/>
    <x v="0"/>
    <n v="29"/>
    <n v="2"/>
    <n v="38.833333333333336"/>
  </r>
  <r>
    <d v="2025-07-31T07:20:00"/>
    <s v="INYECTADO"/>
    <x v="7"/>
    <x v="165"/>
    <s v="GABRIEL REQUENA"/>
    <s v="VIRGEN"/>
    <s v="PP CLARIFICADO"/>
    <s v="."/>
    <s v="VASO SORBETE PASTEL"/>
    <s v="VASO SORBETE PASTEL-ROSADO"/>
    <n v="516"/>
    <n v="6"/>
    <n v="78"/>
    <x v="1"/>
    <m/>
    <n v="12"/>
    <n v="1173"/>
    <n v="22241"/>
    <s v="ROSADO"/>
    <n v="15.7"/>
    <n v="0"/>
    <n v="0"/>
    <n v="12.125999999999999"/>
    <n v="78"/>
    <n v="23.5"/>
    <n v="3319.1489361702129"/>
    <x v="6"/>
    <x v="0"/>
    <n v="29"/>
    <n v="2"/>
    <n v="86"/>
  </r>
  <r>
    <d v="2025-07-31T07:20:00"/>
    <s v="INYECTADO"/>
    <x v="7"/>
    <x v="165"/>
    <s v="GABRIEL REQUENA"/>
    <s v="VIRGEN"/>
    <s v="PP CLARIFICADO"/>
    <s v="."/>
    <s v="VASO SORBETE PASTEL"/>
    <s v="VASO SORBETE PASTEL-TURQUESA"/>
    <n v="174"/>
    <n v="2"/>
    <n v="26.4"/>
    <x v="1"/>
    <m/>
    <n v="4"/>
    <n v="1173"/>
    <n v="22241"/>
    <s v="TURQUESA"/>
    <n v="0"/>
    <n v="0"/>
    <n v="0"/>
    <n v="4.0890000000000004"/>
    <n v="26.4"/>
    <n v="23.5"/>
    <n v="1123.4042553191489"/>
    <x v="6"/>
    <x v="0"/>
    <n v="29"/>
    <n v="2"/>
    <n v="29"/>
  </r>
  <r>
    <d v="2025-07-31T07:20:00"/>
    <s v="INYECTADO"/>
    <x v="7"/>
    <x v="170"/>
    <s v="SAID VILLAMIZAR"/>
    <s v="VIRGEN"/>
    <s v="PP CLARIFICADO"/>
    <s v="."/>
    <s v="VASO SORBETE PASTEL"/>
    <s v="VASO SORBETE PASTEL-TURQUESA"/>
    <n v="293"/>
    <n v="4"/>
    <n v="44.3"/>
    <x v="3"/>
    <m/>
    <n v="7"/>
    <n v="1173"/>
    <n v="22242"/>
    <s v="TURQUESA"/>
    <n v="9.8000000000000007"/>
    <n v="0"/>
    <n v="0"/>
    <n v="6.8855000000000004"/>
    <n v="44.3"/>
    <n v="23.5"/>
    <n v="1885.1063829787233"/>
    <x v="6"/>
    <x v="0"/>
    <n v="29"/>
    <n v="2"/>
    <n v="48.833333333333336"/>
  </r>
  <r>
    <d v="2025-07-31T07:20:00"/>
    <s v="INYECTADO"/>
    <x v="7"/>
    <x v="170"/>
    <s v="SAID VILLAMIZAR"/>
    <s v="VIRGEN"/>
    <s v="PP CLARIFICADO"/>
    <s v="."/>
    <s v="VASO SORBETE PASTEL"/>
    <s v="VASO SORBETE PASTEL-CELESTE"/>
    <n v="338"/>
    <n v="4"/>
    <n v="51.1"/>
    <x v="3"/>
    <m/>
    <n v="8"/>
    <n v="1173"/>
    <n v="22242"/>
    <s v="CELESTE"/>
    <n v="4.2"/>
    <n v="0"/>
    <n v="0"/>
    <n v="7.9429999999999996"/>
    <n v="51.1"/>
    <n v="23.5"/>
    <n v="2174.4680851063831"/>
    <x v="6"/>
    <x v="0"/>
    <n v="29"/>
    <n v="2"/>
    <n v="56.333333333333336"/>
  </r>
  <r>
    <d v="2025-07-31T07:20:00"/>
    <s v="INYECTADO"/>
    <x v="7"/>
    <x v="158"/>
    <s v="BRAYAN PINEDO"/>
    <s v="VIRGEN"/>
    <s v="PP CLARIFICADO"/>
    <s v="."/>
    <s v="VASO SORBETE PASTEL"/>
    <s v="VASO SORBETE PASTEL-CELESTE"/>
    <n v="118"/>
    <n v="2"/>
    <n v="17.8"/>
    <x v="0"/>
    <m/>
    <n v="1"/>
    <n v="1173"/>
    <n v="22243"/>
    <s v="CELESTE"/>
    <n v="8"/>
    <n v="0"/>
    <n v="0"/>
    <n v="2.7730000000000001"/>
    <n v="17.8"/>
    <n v="23.5"/>
    <n v="757.44680851063833"/>
    <x v="6"/>
    <x v="0"/>
    <n v="30"/>
    <n v="2"/>
    <n v="19.666666666666668"/>
  </r>
  <r>
    <d v="2025-07-31T07:20:00"/>
    <s v="INYECTADO"/>
    <x v="7"/>
    <x v="158"/>
    <s v="BRAYAN PINEDO"/>
    <s v="VIRGEN"/>
    <s v="PP CLARIFICADO"/>
    <s v="."/>
    <s v="VASO SORBETE SOLIDO"/>
    <s v="VASO SORBETE SOLIDO-AMARILLO"/>
    <n v="321"/>
    <n v="3"/>
    <n v="48.2"/>
    <x v="0"/>
    <m/>
    <n v="7"/>
    <n v="1172"/>
    <n v="22243"/>
    <s v="AMARILLO"/>
    <n v="12.2"/>
    <n v="0"/>
    <n v="0"/>
    <n v="7.5434999999999999"/>
    <n v="48.2"/>
    <n v="23.5"/>
    <n v="2051.0638297872342"/>
    <x v="6"/>
    <x v="0"/>
    <n v="30"/>
    <n v="2"/>
    <n v="53.5"/>
  </r>
  <r>
    <d v="2025-07-31T07:20:00"/>
    <s v="INYECTADO"/>
    <x v="7"/>
    <x v="158"/>
    <s v="BRAYAN PINEDO"/>
    <s v="VIRGEN"/>
    <s v="PP CLARIFICADO"/>
    <s v="."/>
    <s v="VASO SORBETE SOLIDO"/>
    <s v="VASO SORBETE SOLIDO-ROJO"/>
    <n v="336"/>
    <n v="3"/>
    <n v="50.5"/>
    <x v="0"/>
    <m/>
    <n v="4"/>
    <n v="1172"/>
    <n v="22243"/>
    <s v="ROJO"/>
    <n v="15"/>
    <n v="0"/>
    <n v="0"/>
    <n v="7.8959999999999999"/>
    <n v="50.5"/>
    <n v="23.5"/>
    <n v="2148.9361702127658"/>
    <x v="6"/>
    <x v="0"/>
    <n v="30"/>
    <n v="2"/>
    <n v="56"/>
  </r>
  <r>
    <d v="2025-07-31T07:20:00"/>
    <s v="INYECTADO"/>
    <x v="7"/>
    <x v="158"/>
    <s v="GABRIEL REQUENA"/>
    <s v="VIRGEN"/>
    <s v="PP CLARIFICADO"/>
    <s v="."/>
    <s v="VASO SORBETE SOLIDO"/>
    <s v="VASO SORBETE SOLIDO-AZUL"/>
    <n v="340"/>
    <n v="4"/>
    <n v="51.1"/>
    <x v="1"/>
    <m/>
    <n v="8"/>
    <n v="1172"/>
    <n v="22244"/>
    <s v="AZUL"/>
    <n v="6.8"/>
    <n v="0"/>
    <n v="0"/>
    <n v="7.99"/>
    <n v="51.1"/>
    <n v="23.5"/>
    <n v="2174.4680851063831"/>
    <x v="6"/>
    <x v="0"/>
    <n v="30"/>
    <n v="2"/>
    <n v="56.666666666666664"/>
  </r>
  <r>
    <d v="2025-07-31T07:20:00"/>
    <s v="INYECTADO"/>
    <x v="7"/>
    <x v="158"/>
    <s v="GABRIEL REQUENA"/>
    <s v="VIRGEN"/>
    <s v="PP CLARIFICADO"/>
    <s v="."/>
    <s v="VASO SORBETE SOLIDO"/>
    <s v="VASO SORBETE SOLIDO-FUCSIA"/>
    <n v="409"/>
    <n v="4"/>
    <n v="61.4"/>
    <x v="1"/>
    <m/>
    <n v="8"/>
    <n v="1172"/>
    <n v="22244"/>
    <s v="FUCSIA"/>
    <n v="8.3000000000000007"/>
    <n v="0"/>
    <n v="0"/>
    <n v="9.6114999999999995"/>
    <n v="61.4"/>
    <n v="23.5"/>
    <n v="2612.7659574468084"/>
    <x v="6"/>
    <x v="0"/>
    <n v="30"/>
    <n v="2"/>
    <n v="68.166666666666671"/>
  </r>
  <r>
    <d v="2025-07-31T07:20:00"/>
    <s v="INYECTADO"/>
    <x v="7"/>
    <x v="158"/>
    <s v="GABRIEL REQUENA"/>
    <s v="VIRGEN"/>
    <s v="PP CLARIFICADO"/>
    <s v="."/>
    <s v="VASO SORBETE SOLIDO"/>
    <s v="VASO SORBETE SOLIDO-LILA"/>
    <n v="96"/>
    <n v="2"/>
    <n v="14.4"/>
    <x v="1"/>
    <m/>
    <n v="3"/>
    <n v="1172"/>
    <n v="22244"/>
    <s v="LILA"/>
    <n v="1.9"/>
    <n v="0"/>
    <n v="0"/>
    <n v="2.2559999999999998"/>
    <n v="14.4"/>
    <n v="23.5"/>
    <n v="612.76595744680856"/>
    <x v="6"/>
    <x v="0"/>
    <n v="30"/>
    <n v="2"/>
    <n v="16"/>
  </r>
  <r>
    <d v="2025-07-31T07:20:00"/>
    <s v="INYECTADO"/>
    <x v="7"/>
    <x v="159"/>
    <s v="NELSON PINEDO"/>
    <s v="VIRGEN"/>
    <s v="PP CLARIFICADO"/>
    <s v="."/>
    <s v="VASO SORBETE SOLIDO"/>
    <s v="VASO SORBETE SOLIDO-LILA"/>
    <n v="166"/>
    <n v="2"/>
    <n v="25"/>
    <x v="0"/>
    <m/>
    <n v="4"/>
    <n v="1172"/>
    <n v="22245"/>
    <s v="LILA"/>
    <n v="32.9"/>
    <n v="0"/>
    <n v="0"/>
    <n v="3.9009999999999998"/>
    <n v="25"/>
    <n v="23.5"/>
    <n v="1063.8297872340424"/>
    <x v="6"/>
    <x v="0"/>
    <n v="30"/>
    <n v="2"/>
    <n v="27.666666666666668"/>
  </r>
  <r>
    <d v="2025-07-31T07:20:00"/>
    <s v="INYECTADO"/>
    <x v="7"/>
    <x v="159"/>
    <s v="NELSON PINEDO"/>
    <s v="VIRGEN"/>
    <s v="PP CLARIFICADO"/>
    <s v="."/>
    <s v="VASO SORBETE SOLIDO"/>
    <s v="VASO SORBETE SOLIDO-VERDE"/>
    <n v="421"/>
    <n v="5"/>
    <n v="63.2"/>
    <x v="0"/>
    <m/>
    <n v="9"/>
    <n v="1172"/>
    <n v="22245"/>
    <s v="VERDE"/>
    <n v="0"/>
    <n v="0"/>
    <n v="0"/>
    <n v="9.8934999999999995"/>
    <n v="63.2"/>
    <n v="23.5"/>
    <n v="2689.3617021276596"/>
    <x v="6"/>
    <x v="0"/>
    <n v="30"/>
    <n v="2"/>
    <n v="70.166666666666671"/>
  </r>
  <r>
    <d v="2025-07-31T07:20:00"/>
    <s v="INYECTADO"/>
    <x v="7"/>
    <x v="160"/>
    <s v="NELSON PINEDO"/>
    <s v="VIRGEN"/>
    <s v="PP CLARIFICADO"/>
    <s v="."/>
    <s v="JABONERA CARAMELO"/>
    <s v="JABONERA CARAMELO-AMARILLO"/>
    <n v="47"/>
    <n v="1"/>
    <n v="5.3"/>
    <x v="0"/>
    <m/>
    <n v="1"/>
    <n v="1169"/>
    <n v="22246"/>
    <s v="AMARILLO"/>
    <n v="0"/>
    <n v="0"/>
    <n v="0"/>
    <n v="5.2640000000000002"/>
    <n v="5.3"/>
    <n v="112"/>
    <n v="47.321428571428569"/>
    <x v="6"/>
    <x v="0"/>
    <n v="30"/>
    <n v="4"/>
    <n v="15.666666666666666"/>
  </r>
  <r>
    <d v="2025-07-31T07:20:00"/>
    <s v="INYECTADO"/>
    <x v="7"/>
    <x v="160"/>
    <s v="GABRIEL REQUENA"/>
    <s v="VIRGEN"/>
    <s v="PP CLARIFICADO"/>
    <s v="."/>
    <s v="JABONERA CARAMELO"/>
    <s v="JABONERA CARAMELO-AMARILLO"/>
    <n v="160"/>
    <n v="2"/>
    <n v="18"/>
    <x v="1"/>
    <m/>
    <n v="2"/>
    <n v="1169"/>
    <n v="22247"/>
    <s v="AMARILLO"/>
    <n v="4.5"/>
    <n v="0"/>
    <n v="0"/>
    <n v="17.920000000000002"/>
    <n v="18"/>
    <n v="112"/>
    <n v="160.71428571428572"/>
    <x v="6"/>
    <x v="0"/>
    <n v="30"/>
    <n v="4"/>
    <n v="53.333333333333336"/>
  </r>
  <r>
    <d v="2025-07-31T07:20:00"/>
    <s v="INYECTADO"/>
    <x v="7"/>
    <x v="160"/>
    <s v="GABRIEL REQUENA"/>
    <s v="VIRGEN"/>
    <s v="PP CLARIFICADO"/>
    <s v="."/>
    <s v="JABONERA CARAMELO"/>
    <s v="JABONERA CARAMELO-VERDE"/>
    <n v="439"/>
    <n v="5"/>
    <n v="49.2"/>
    <x v="1"/>
    <m/>
    <n v="5"/>
    <n v="1169"/>
    <n v="22247"/>
    <s v="VERDE"/>
    <n v="3.7"/>
    <n v="0"/>
    <n v="0"/>
    <n v="49.167999999999999"/>
    <n v="49.2"/>
    <n v="112"/>
    <n v="439.28571428571428"/>
    <x v="6"/>
    <x v="0"/>
    <n v="30"/>
    <n v="4"/>
    <n v="146.33333333333334"/>
  </r>
  <r>
    <d v="2025-07-31T07:20:00"/>
    <s v="INYECTADO"/>
    <x v="7"/>
    <x v="160"/>
    <s v="GABRIEL REQUENA"/>
    <s v="VIRGEN"/>
    <s v="PP CLARIFICADO"/>
    <s v="."/>
    <s v="JABONERA CARAMELO"/>
    <s v="JABONERA CARAMELO-ROJO"/>
    <n v="287"/>
    <n v="3"/>
    <n v="32.200000000000003"/>
    <x v="1"/>
    <m/>
    <n v="3"/>
    <n v="1169"/>
    <n v="22247"/>
    <s v="ROJO"/>
    <n v="2.4"/>
    <n v="0"/>
    <n v="0"/>
    <n v="32.143999999999998"/>
    <n v="32.200000000000003"/>
    <n v="112"/>
    <n v="287.50000000000006"/>
    <x v="6"/>
    <x v="0"/>
    <n v="30"/>
    <n v="4"/>
    <n v="95.666666666666671"/>
  </r>
  <r>
    <d v="2025-07-31T07:20:00"/>
    <s v="INYECTADO"/>
    <x v="7"/>
    <x v="154"/>
    <s v="CARLOS SULCA"/>
    <s v="VIRGEN"/>
    <s v="PP CLARIFICADO"/>
    <s v="."/>
    <s v="JABONERA CARAMELO"/>
    <s v="JABONERA CARAMELO-ROJO"/>
    <n v="187"/>
    <n v="3"/>
    <n v="21.7"/>
    <x v="0"/>
    <m/>
    <n v="3"/>
    <n v="1169"/>
    <n v="22248"/>
    <s v="ROJO"/>
    <n v="7.1"/>
    <n v="0"/>
    <n v="0"/>
    <n v="20.943999999999999"/>
    <n v="21.7"/>
    <n v="112"/>
    <n v="193.75"/>
    <x v="6"/>
    <x v="0"/>
    <n v="30"/>
    <n v="4"/>
    <n v="62.333333333333336"/>
  </r>
  <r>
    <d v="2025-07-31T07:20:00"/>
    <s v="INYECTADO"/>
    <x v="7"/>
    <x v="154"/>
    <s v="CARLOS SULCA"/>
    <s v="VIRGEN"/>
    <s v="PP CLARIFICADO"/>
    <s v="."/>
    <s v="JABONERA CARAMELO"/>
    <s v="JABONERA CARAMELO-FUCSIA"/>
    <n v="388"/>
    <n v="5"/>
    <n v="45.4"/>
    <x v="0"/>
    <m/>
    <n v="4"/>
    <n v="1169"/>
    <n v="22248"/>
    <s v="FUCSIA"/>
    <n v="0"/>
    <n v="0"/>
    <n v="0"/>
    <n v="43.456000000000003"/>
    <n v="45.4"/>
    <n v="112"/>
    <n v="405.35714285714283"/>
    <x v="6"/>
    <x v="0"/>
    <n v="30"/>
    <n v="4"/>
    <n v="129.33333333333334"/>
  </r>
  <r>
    <d v="2025-07-31T07:20:00"/>
    <s v="INYECTADO"/>
    <x v="7"/>
    <x v="154"/>
    <s v="GABRIEL REQUENA"/>
    <s v="VIRGEN"/>
    <s v="PP CLARIFICADO"/>
    <s v="."/>
    <s v="JABONERA CARAMELO"/>
    <s v="JABONERA CARAMELO-LILA"/>
    <n v="566"/>
    <n v="6"/>
    <n v="49.3"/>
    <x v="1"/>
    <m/>
    <n v="4"/>
    <n v="1169"/>
    <n v="22249"/>
    <s v="LILA"/>
    <n v="5"/>
    <n v="0"/>
    <n v="0"/>
    <n v="63.392000000000003"/>
    <n v="49.3"/>
    <n v="112"/>
    <n v="440.17857142857144"/>
    <x v="6"/>
    <x v="0"/>
    <n v="30"/>
    <n v="4"/>
    <n v="188.66666666666666"/>
  </r>
  <r>
    <d v="2025-07-31T07:20:00"/>
    <s v="INYECTADO"/>
    <x v="7"/>
    <x v="154"/>
    <s v="GABRIEL REQUENA"/>
    <s v="VIRGEN"/>
    <s v="PP CLARIFICADO"/>
    <s v="."/>
    <s v="JABONERA CARAMELO"/>
    <s v="JABONERA CARAMELO-AZUL"/>
    <n v="266"/>
    <n v="4"/>
    <n v="23.2"/>
    <x v="1"/>
    <m/>
    <n v="2"/>
    <n v="1169"/>
    <n v="22249"/>
    <s v="AZUL"/>
    <n v="2"/>
    <n v="0"/>
    <n v="0"/>
    <n v="29.792000000000002"/>
    <n v="23.2"/>
    <n v="112"/>
    <n v="207.14285714285714"/>
    <x v="6"/>
    <x v="0"/>
    <n v="30"/>
    <n v="4"/>
    <n v="88.666666666666671"/>
  </r>
  <r>
    <d v="2025-07-31T07:20:00"/>
    <s v="INYECTADO"/>
    <x v="7"/>
    <x v="154"/>
    <s v="GABRIEL REQUENA"/>
    <s v="VIRGEN"/>
    <s v="PP CLARIFICADO"/>
    <s v="."/>
    <s v="JABONERA CARAMELO"/>
    <s v="JABONERA CARAMELO-FUCSIA"/>
    <n v="43"/>
    <n v="1"/>
    <n v="3.8"/>
    <x v="1"/>
    <m/>
    <n v="1"/>
    <n v="1169"/>
    <n v="22249"/>
    <s v="FUCSIA"/>
    <n v="2.4"/>
    <n v="0"/>
    <n v="0"/>
    <n v="4.8159999999999998"/>
    <n v="3.8"/>
    <n v="112"/>
    <n v="33.928571428571431"/>
    <x v="6"/>
    <x v="0"/>
    <n v="30"/>
    <n v="4"/>
    <n v="14.333333333333334"/>
  </r>
  <r>
    <d v="2025-07-31T07:20:00"/>
    <s v="INYECTADO"/>
    <x v="7"/>
    <x v="155"/>
    <s v="LUIS RENGIFO"/>
    <s v="VIRGEN"/>
    <s v="PP CLARIFICADO"/>
    <s v="."/>
    <s v="JABONERA CARAMELO"/>
    <s v="JABONERA CARAMELO-AZUL"/>
    <n v="850"/>
    <n v="12"/>
    <n v="74"/>
    <x v="0"/>
    <m/>
    <n v="6"/>
    <n v="1169"/>
    <n v="22250"/>
    <s v="AZUL"/>
    <n v="1.3"/>
    <n v="0"/>
    <n v="0"/>
    <n v="95.2"/>
    <n v="74"/>
    <n v="112"/>
    <n v="660.71428571428567"/>
    <x v="6"/>
    <x v="0"/>
    <n v="30"/>
    <n v="4"/>
    <n v="283.33333333333331"/>
  </r>
  <r>
    <d v="2025-07-31T07:20:00"/>
    <s v="INYECTADO"/>
    <x v="7"/>
    <x v="155"/>
    <s v="JOSDER GONZALEZ"/>
    <s v="VIRGEN"/>
    <s v="PP CLARIFICADO"/>
    <s v="."/>
    <s v="JABONERA CARAMELO"/>
    <s v="JABONERA CARAMELO-AZUL"/>
    <n v="21"/>
    <n v="1"/>
    <n v="1.9"/>
    <x v="1"/>
    <m/>
    <n v="1"/>
    <n v="1169"/>
    <n v="22251"/>
    <s v="AZUL"/>
    <n v="2.4"/>
    <n v="0"/>
    <n v="0"/>
    <n v="2.3519999999999999"/>
    <n v="1.9"/>
    <n v="112"/>
    <n v="16.964285714285715"/>
    <x v="6"/>
    <x v="0"/>
    <n v="30"/>
    <n v="4"/>
    <n v="7"/>
  </r>
  <r>
    <d v="2025-07-31T07:20:00"/>
    <s v="INYECTADO"/>
    <x v="7"/>
    <x v="155"/>
    <s v="JOSDER GONZALEZ"/>
    <s v="VIRGEN"/>
    <s v="PP CLARIFICADO"/>
    <s v="."/>
    <s v="JABONERA CARAMELO"/>
    <s v="JABONERA CARAMELO-AMARILLO"/>
    <n v="714"/>
    <n v="8"/>
    <n v="62.2"/>
    <x v="1"/>
    <m/>
    <n v="6"/>
    <n v="1169"/>
    <n v="22251"/>
    <s v="AMARILLO"/>
    <n v="2.5"/>
    <n v="0"/>
    <n v="0"/>
    <n v="79.968000000000004"/>
    <n v="62.2"/>
    <n v="112"/>
    <n v="555.35714285714289"/>
    <x v="6"/>
    <x v="0"/>
    <n v="30"/>
    <n v="4"/>
    <n v="238"/>
  </r>
  <r>
    <d v="2025-07-31T07:20:00"/>
    <s v="INYECTADO"/>
    <x v="7"/>
    <x v="155"/>
    <s v="JOSDER GONZALEZ"/>
    <s v="VIRGEN"/>
    <s v="PP CLARIFICADO"/>
    <s v="."/>
    <s v="JABONERA CARAMELO"/>
    <s v="JABONERA CARAMELO-VERDE"/>
    <n v="119"/>
    <n v="3"/>
    <n v="10.4"/>
    <x v="1"/>
    <m/>
    <n v="1"/>
    <n v="1169"/>
    <n v="22251"/>
    <s v="VERDE"/>
    <n v="0.8"/>
    <n v="0"/>
    <n v="0"/>
    <n v="13.327999999999999"/>
    <n v="10.4"/>
    <n v="112"/>
    <n v="92.857142857142861"/>
    <x v="6"/>
    <x v="0"/>
    <n v="30"/>
    <n v="4"/>
    <n v="39.666666666666664"/>
  </r>
  <r>
    <d v="2025-07-31T07:20:00"/>
    <s v="INYECTADO"/>
    <x v="7"/>
    <x v="156"/>
    <s v="ROSA MERINO"/>
    <s v="VIRGEN"/>
    <s v="PP CLARIFICADO"/>
    <s v="."/>
    <s v="JABONERA CARAMELO"/>
    <s v="JABONERA CARAMELO-FUCSIA"/>
    <n v="242"/>
    <n v="3"/>
    <n v="21.6"/>
    <x v="0"/>
    <m/>
    <n v="2"/>
    <n v="1169"/>
    <n v="22252"/>
    <s v="FUCSIA"/>
    <n v="3"/>
    <n v="0"/>
    <n v="0"/>
    <n v="27.103999999999999"/>
    <n v="21.6"/>
    <n v="112"/>
    <n v="192.85714285714286"/>
    <x v="6"/>
    <x v="0"/>
    <n v="30"/>
    <n v="4"/>
    <n v="80.666666666666671"/>
  </r>
  <r>
    <d v="2025-07-31T07:20:00"/>
    <s v="INYECTADO"/>
    <x v="7"/>
    <x v="156"/>
    <s v="ROSA MERINO"/>
    <s v="VIRGEN"/>
    <s v="PP CLARIFICADO"/>
    <s v="."/>
    <s v="JABONERA CARAMELO"/>
    <s v="JABONERA CARAMELO-VERDE"/>
    <n v="356"/>
    <n v="5"/>
    <n v="31.7"/>
    <x v="0"/>
    <m/>
    <n v="4"/>
    <n v="1169"/>
    <n v="22252"/>
    <s v="VERDE"/>
    <n v="2.8"/>
    <n v="0"/>
    <n v="0"/>
    <n v="39.872"/>
    <n v="31.7"/>
    <n v="112"/>
    <n v="283.03571428571428"/>
    <x v="6"/>
    <x v="0"/>
    <n v="30"/>
    <n v="4"/>
    <n v="118.66666666666667"/>
  </r>
  <r>
    <d v="2025-07-31T07:20:00"/>
    <s v="INYECTADO"/>
    <x v="7"/>
    <x v="156"/>
    <s v="ISABEL LINARIZ "/>
    <s v="VIRGEN"/>
    <s v="PP CLARIFICADO"/>
    <s v="."/>
    <s v="JABONERA CARAMELO"/>
    <s v="JABONERA CARAMELO-FUCSIA"/>
    <n v="347"/>
    <n v="4"/>
    <n v="30.9"/>
    <x v="1"/>
    <m/>
    <n v="3"/>
    <n v="1169"/>
    <n v="22253"/>
    <s v="FUCSIA"/>
    <n v="0"/>
    <n v="0"/>
    <n v="0"/>
    <n v="38.863999999999997"/>
    <n v="30.9"/>
    <n v="112"/>
    <n v="275.89285714285717"/>
    <x v="6"/>
    <x v="0"/>
    <n v="30"/>
    <n v="4"/>
    <n v="115.66666666666667"/>
  </r>
  <r>
    <d v="2025-07-31T07:20:00"/>
    <s v="INYECTADO"/>
    <x v="7"/>
    <x v="156"/>
    <s v="ISABEL LINARIZ "/>
    <s v="VIRGEN"/>
    <s v="PP CLARIFICADO"/>
    <s v="."/>
    <s v="JABONERA CARAMELO"/>
    <s v="JABONERA CARAMELO-LILA"/>
    <n v="343"/>
    <n v="4"/>
    <n v="30.2"/>
    <x v="1"/>
    <m/>
    <n v="3"/>
    <n v="1169"/>
    <n v="22253"/>
    <s v="LILA"/>
    <n v="0.4"/>
    <n v="0"/>
    <n v="0"/>
    <n v="38.415999999999997"/>
    <n v="30.2"/>
    <n v="112"/>
    <n v="269.64285714285717"/>
    <x v="6"/>
    <x v="0"/>
    <n v="30"/>
    <n v="4"/>
    <n v="114.33333333333333"/>
  </r>
  <r>
    <d v="2025-07-31T07:20:00"/>
    <s v="INYECTADO"/>
    <x v="7"/>
    <x v="166"/>
    <s v="GABRIEL REQUENA"/>
    <s v="VIRGEN"/>
    <s v="PP CLARIFICADO"/>
    <s v="."/>
    <s v="JABONERA CARAMELO"/>
    <s v="JABONERA CARAMELO-LILA"/>
    <n v="220"/>
    <n v="3"/>
    <n v="19.600000000000001"/>
    <x v="1"/>
    <m/>
    <n v="2"/>
    <n v="1169"/>
    <n v="22255"/>
    <s v="LILA"/>
    <n v="3.8"/>
    <n v="0"/>
    <n v="0"/>
    <n v="24.64"/>
    <n v="19.600000000000001"/>
    <n v="112"/>
    <n v="175"/>
    <x v="6"/>
    <x v="0"/>
    <n v="31"/>
    <n v="4"/>
    <n v="73.333333333333329"/>
  </r>
  <r>
    <d v="2025-07-31T07:20:00"/>
    <s v="INYECTADO"/>
    <x v="7"/>
    <x v="166"/>
    <s v="GABRIEL REQUENA"/>
    <s v="VIRGEN"/>
    <s v="PP CLARIFICADO"/>
    <s v="."/>
    <s v="JABONERA CARAMELO"/>
    <s v="JABONERA CARAMELO-ROJO"/>
    <n v="555"/>
    <n v="7"/>
    <n v="49.4"/>
    <x v="1"/>
    <m/>
    <n v="4"/>
    <n v="1169"/>
    <n v="22255"/>
    <s v="ROJO"/>
    <n v="4.0999999999999996"/>
    <n v="0"/>
    <n v="0"/>
    <n v="62.16"/>
    <n v="49.4"/>
    <n v="112"/>
    <n v="441.07142857142856"/>
    <x v="6"/>
    <x v="0"/>
    <n v="31"/>
    <n v="4"/>
    <n v="185"/>
  </r>
  <r>
    <d v="2025-07-31T07:20:00"/>
    <s v="INYECTADO"/>
    <x v="7"/>
    <x v="166"/>
    <s v="GABRIEL REQUENA"/>
    <s v="VIRGEN"/>
    <s v="PP CLARIFICADO"/>
    <s v="."/>
    <s v="JABONERA CARAMELO"/>
    <s v="JABONERA CARAMELO-FUCSIA"/>
    <n v="20"/>
    <n v="1"/>
    <n v="1.8"/>
    <x v="1"/>
    <m/>
    <n v="1"/>
    <n v="1169"/>
    <n v="22255"/>
    <s v="FUCSIA"/>
    <n v="1.8"/>
    <n v="0"/>
    <n v="0"/>
    <n v="2.2400000000000002"/>
    <n v="1.8"/>
    <n v="112"/>
    <n v="16.071428571428573"/>
    <x v="6"/>
    <x v="0"/>
    <n v="31"/>
    <n v="4"/>
    <n v="6.666666666666667"/>
  </r>
  <r>
    <d v="2025-07-31T07:20:00"/>
    <s v="INYECTADO"/>
    <x v="7"/>
    <x v="168"/>
    <s v="CARLOS SULCA"/>
    <s v="VIRGEN"/>
    <s v="PP CLARIFICADO"/>
    <s v="."/>
    <s v="JABONERA CARAMELO"/>
    <s v="JABONERA CARAMELO-VERDE"/>
    <n v="136"/>
    <n v="2"/>
    <n v="12"/>
    <x v="0"/>
    <m/>
    <n v="1"/>
    <n v="1169"/>
    <n v="22256"/>
    <s v="VERDE"/>
    <n v="1.7"/>
    <n v="0"/>
    <n v="0"/>
    <n v="15.231999999999999"/>
    <n v="12"/>
    <n v="112"/>
    <n v="107.14285714285714"/>
    <x v="6"/>
    <x v="0"/>
    <n v="31"/>
    <n v="4"/>
    <n v="45.333333333333336"/>
  </r>
  <r>
    <d v="2025-07-31T07:20:00"/>
    <s v="INYECTADO"/>
    <x v="7"/>
    <x v="168"/>
    <s v="JOSDER GONZALEZ"/>
    <s v="VIRGEN"/>
    <s v="PP CLARIFICADO"/>
    <s v="."/>
    <s v="TAPA DE ORGANIZADOR #3 "/>
    <s v="TAPA DE ORGANIZADOR #3 CARAMELO-LILA"/>
    <n v="671"/>
    <n v="7"/>
    <n v="47.6"/>
    <x v="1"/>
    <m/>
    <n v="6"/>
    <n v="1174"/>
    <n v="22257"/>
    <s v="LILA"/>
    <n v="7.3"/>
    <n v="0"/>
    <n v="0"/>
    <n v="25.498000000000001"/>
    <n v="47.6"/>
    <n v="38"/>
    <n v="1252.6315789473683"/>
    <x v="6"/>
    <x v="0"/>
    <n v="31"/>
    <n v="2"/>
    <n v="111.83333333333333"/>
  </r>
  <r>
    <d v="2025-07-31T07:20:00"/>
    <s v="INYECTADO"/>
    <x v="7"/>
    <x v="168"/>
    <s v="JOSDER GONZALEZ"/>
    <s v="VIRGEN"/>
    <s v="PP CLARIFICADO"/>
    <s v="."/>
    <s v="TAPA DE ORGANIZADOR #3 "/>
    <s v="TAPA DE ORGANIZADOR #3-BLANCO"/>
    <n v="598"/>
    <n v="5"/>
    <n v="42.4"/>
    <x v="1"/>
    <m/>
    <n v="4"/>
    <n v="1174"/>
    <n v="22257"/>
    <s v="BLANCO"/>
    <n v="5.6"/>
    <n v="0"/>
    <n v="0"/>
    <n v="22.724"/>
    <n v="42.4"/>
    <n v="38"/>
    <n v="1115.7894736842106"/>
    <x v="6"/>
    <x v="0"/>
    <n v="31"/>
    <n v="2"/>
    <n v="99.666666666666671"/>
  </r>
  <r>
    <d v="2025-07-31T07:20:00"/>
    <s v="INYECTADO"/>
    <x v="7"/>
    <x v="151"/>
    <s v="CRISALIDA ZAPATA"/>
    <s v="VIRGEN"/>
    <s v="PP CLARIFICADO"/>
    <s v="."/>
    <s v="TAPA DE ORGANIZADOR #3 "/>
    <s v="TAPA DE ORGANIZADOR #3-BLANCO"/>
    <n v="1438"/>
    <n v="12"/>
    <n v="102"/>
    <x v="0"/>
    <m/>
    <n v="13"/>
    <n v="1174"/>
    <n v="22258"/>
    <s v="BLANCO"/>
    <n v="5.2"/>
    <n v="0"/>
    <n v="0"/>
    <n v="54.643999999999998"/>
    <n v="102"/>
    <n v="38"/>
    <n v="2684.2105263157896"/>
    <x v="6"/>
    <x v="0"/>
    <n v="31"/>
    <n v="2"/>
    <n v="239.66666666666666"/>
  </r>
  <r>
    <d v="2025-07-31T07:20:00"/>
    <s v="INYECTADO"/>
    <x v="7"/>
    <x v="151"/>
    <s v="GABRIEL REQUENA"/>
    <s v="VIRGEN"/>
    <s v="PP CLARIFICADO"/>
    <s v="."/>
    <s v="TAPA DE ORGANIZADOR #3 "/>
    <s v="TAPA DE ORGANIZADOR #3-BLANCO"/>
    <n v="888"/>
    <n v="8"/>
    <n v="63"/>
    <x v="1"/>
    <m/>
    <n v="8"/>
    <n v="1174"/>
    <n v="22259"/>
    <s v="BLANCO"/>
    <n v="7.5"/>
    <n v="0"/>
    <n v="0"/>
    <n v="33.744"/>
    <n v="63"/>
    <n v="38"/>
    <n v="1657.8947368421052"/>
    <x v="6"/>
    <x v="0"/>
    <n v="31"/>
    <n v="2"/>
    <n v="148"/>
  </r>
  <r>
    <d v="2025-07-31T07:20:00"/>
    <s v="INYECTADO"/>
    <x v="10"/>
    <x v="152"/>
    <s v="SIN NOMBRE"/>
    <s v="VIRGEN"/>
    <s v="PP CLARIFICADO"/>
    <s v="."/>
    <s v="BASE ORGANIZADOR  DE 2KG"/>
    <s v="BASE ORGANIZADOR  DE 2KG CARAMELO-LILA"/>
    <n v="932"/>
    <n v="12"/>
    <n v="101.6"/>
    <x v="0"/>
    <m/>
    <n v="30"/>
    <n v="1134"/>
    <n v="21871"/>
    <s v="LILA"/>
    <n v="14.9"/>
    <n v="0"/>
    <n v="0"/>
    <n v="46.6"/>
    <n v="101.6"/>
    <n v="50"/>
    <n v="2032"/>
    <x v="6"/>
    <x v="0"/>
    <n v="27"/>
    <n v="2"/>
    <n v="155.33333333333334"/>
  </r>
  <r>
    <d v="2025-07-31T07:20:00"/>
    <s v="INYECTADO"/>
    <x v="10"/>
    <x v="152"/>
    <s v="JOSDER GONZALEZ"/>
    <s v="VIRGEN"/>
    <s v="PP CLARIFICADO"/>
    <s v="."/>
    <s v="BASE ORGANIZADOR  DE 2KG"/>
    <s v="BASE ORGANIZADOR  DE 2KG PASTEL-TURQUESA"/>
    <n v="440"/>
    <n v="6"/>
    <n v="47.6"/>
    <x v="1"/>
    <m/>
    <n v="14"/>
    <n v="1134"/>
    <n v="21872"/>
    <s v="TURQUESA"/>
    <n v="11.3"/>
    <n v="0"/>
    <n v="0"/>
    <n v="22"/>
    <n v="47.6"/>
    <n v="50"/>
    <n v="952"/>
    <x v="6"/>
    <x v="0"/>
    <n v="27"/>
    <n v="2"/>
    <n v="73.333333333333329"/>
  </r>
  <r>
    <d v="2025-07-31T07:20:00"/>
    <s v="INYECTADO"/>
    <x v="10"/>
    <x v="152"/>
    <s v="JOSDER GONZALEZ"/>
    <s v="VIRGEN"/>
    <s v="PP CLARIFICADO"/>
    <s v="."/>
    <s v="BASE ORGANIZADOR  DE 2KG"/>
    <s v="BASE ORGANIZADOR  DE 2KG PASTEL-AZURE"/>
    <n v="354"/>
    <n v="5"/>
    <n v="38.299999999999997"/>
    <x v="1"/>
    <m/>
    <n v="12"/>
    <n v="1134"/>
    <n v="21872"/>
    <s v="AZURE"/>
    <n v="17"/>
    <n v="0"/>
    <n v="0"/>
    <n v="17.7"/>
    <n v="38.299999999999997"/>
    <n v="50"/>
    <n v="766"/>
    <x v="6"/>
    <x v="0"/>
    <n v="27"/>
    <n v="2"/>
    <n v="59"/>
  </r>
  <r>
    <d v="2025-07-31T07:20:00"/>
    <s v="INYECTADO"/>
    <x v="10"/>
    <x v="152"/>
    <s v="JOSDER GONZALEZ"/>
    <s v="VIRGEN"/>
    <s v="PP CLARIFICADO"/>
    <s v="."/>
    <s v="BASE ORGANIZADOR  DE 2KG"/>
    <s v="BASE ORGANIZADOR  DE 2KG PASTEL-ROSADO"/>
    <n v="31"/>
    <n v="1"/>
    <n v="3.4"/>
    <x v="1"/>
    <m/>
    <n v="1"/>
    <n v="1134"/>
    <n v="21872"/>
    <s v="ROSADO"/>
    <n v="2"/>
    <n v="0"/>
    <n v="0"/>
    <n v="1.55"/>
    <n v="3.4"/>
    <n v="50"/>
    <n v="68"/>
    <x v="6"/>
    <x v="0"/>
    <n v="27"/>
    <n v="2"/>
    <n v="5.166666666666667"/>
  </r>
  <r>
    <d v="2025-07-31T07:20:00"/>
    <s v="INYECTADO"/>
    <x v="10"/>
    <x v="153"/>
    <s v="GABRIEL ORDAZ"/>
    <s v="VIRGEN"/>
    <s v="PP CLARIFICADO"/>
    <s v="."/>
    <s v="BASE ORGANIZADOR  DE 2KG"/>
    <s v="BASE ORGANIZADOR  DE 2KG PASTEL-ROSADO"/>
    <n v="437"/>
    <n v="5"/>
    <n v="47.2"/>
    <x v="0"/>
    <m/>
    <n v="14"/>
    <n v="1134"/>
    <n v="21873"/>
    <s v="ROSADO"/>
    <n v="5.4"/>
    <n v="0"/>
    <n v="0"/>
    <n v="21.85"/>
    <n v="47.2"/>
    <n v="50"/>
    <n v="944"/>
    <x v="6"/>
    <x v="0"/>
    <n v="27"/>
    <n v="2"/>
    <n v="72.833333333333329"/>
  </r>
  <r>
    <d v="2025-07-31T07:20:00"/>
    <s v="INYECTADO"/>
    <x v="10"/>
    <x v="153"/>
    <s v="GABRIEL ORDAZ"/>
    <s v="VIRGEN"/>
    <s v="PP CLARIFICADO"/>
    <s v="."/>
    <s v="BASE ORGANIZADOR  DE 2KG"/>
    <s v="BASE ORGANIZADOR  DE 2KG PASTEL-CELESTE"/>
    <n v="563"/>
    <n v="6"/>
    <n v="60.9"/>
    <x v="0"/>
    <m/>
    <n v="18"/>
    <n v="1134"/>
    <n v="21873"/>
    <s v="CELESTE"/>
    <n v="2.5"/>
    <n v="0"/>
    <n v="0"/>
    <n v="28.15"/>
    <n v="60.9"/>
    <n v="50"/>
    <n v="1218"/>
    <x v="6"/>
    <x v="0"/>
    <n v="27"/>
    <n v="2"/>
    <n v="93.833333333333329"/>
  </r>
  <r>
    <d v="2025-07-31T07:20:00"/>
    <s v="INYECTADO"/>
    <x v="10"/>
    <x v="153"/>
    <s v="ISABEL LINARIZ "/>
    <s v="VIRGEN"/>
    <s v="PP CLARIFICADO"/>
    <s v="."/>
    <s v="BASE ORGANIZADOR  DE 2KG"/>
    <s v="BASE ORGANIZADOR  DE 2KG PASTEL-CELESTE"/>
    <n v="157"/>
    <n v="2"/>
    <n v="17"/>
    <x v="1"/>
    <m/>
    <n v="5"/>
    <n v="1134"/>
    <n v="21874"/>
    <s v="CELESTE"/>
    <n v="7.2"/>
    <n v="0"/>
    <n v="0"/>
    <n v="7.85"/>
    <n v="17"/>
    <n v="50"/>
    <n v="340"/>
    <x v="6"/>
    <x v="0"/>
    <n v="27"/>
    <n v="2"/>
    <n v="26.166666666666668"/>
  </r>
  <r>
    <d v="2025-07-31T07:20:00"/>
    <s v="INYECTADO"/>
    <x v="10"/>
    <x v="153"/>
    <s v="ISABEL LINARIZ "/>
    <s v="VIRGEN"/>
    <s v="PP CLARIFICADO"/>
    <s v="."/>
    <s v="BASE ORGANIZADOR  DE 2KG"/>
    <s v="BASE ORGANIZADOR  DE 2KG PASTEL-SANDIA"/>
    <n v="803"/>
    <n v="8"/>
    <n v="86.8"/>
    <x v="1"/>
    <m/>
    <n v="26"/>
    <n v="1134"/>
    <n v="21874"/>
    <s v="SANDIA"/>
    <n v="9.6"/>
    <n v="0"/>
    <n v="0"/>
    <n v="40.15"/>
    <n v="86.8"/>
    <n v="50"/>
    <n v="1736"/>
    <x v="6"/>
    <x v="0"/>
    <n v="27"/>
    <n v="2"/>
    <n v="133.83333333333334"/>
  </r>
  <r>
    <d v="2025-07-31T07:20:00"/>
    <s v="INYECTADO"/>
    <x v="10"/>
    <x v="153"/>
    <s v="ISABEL LINARIZ "/>
    <s v="VIRGEN"/>
    <s v="PP CLARIFICADO"/>
    <s v="."/>
    <s v="BASE ORGANIZADOR  DE 2KG"/>
    <s v="BASE ORGANIZADOR  DE 2KG PASTEL-TURQUESA"/>
    <n v="125"/>
    <n v="1"/>
    <n v="13.6"/>
    <x v="1"/>
    <m/>
    <n v="4"/>
    <n v="1134"/>
    <n v="21874"/>
    <s v="TURQUESA"/>
    <n v="2.7"/>
    <n v="0"/>
    <n v="0"/>
    <n v="6.25"/>
    <n v="13.6"/>
    <n v="50"/>
    <n v="272"/>
    <x v="6"/>
    <x v="0"/>
    <n v="27"/>
    <n v="2"/>
    <n v="20.833333333333332"/>
  </r>
  <r>
    <d v="2025-07-31T07:20:00"/>
    <s v="INYECTADO"/>
    <x v="10"/>
    <x v="161"/>
    <s v="JUANA CRUCES"/>
    <s v="VIRGEN"/>
    <s v="PP CLARIFICADO"/>
    <s v="."/>
    <s v="BASE ORGANIZADOR  DE 2KG"/>
    <s v="BASE ORGANIZADOR  DE 2KG PASTEL-TURQUESA"/>
    <n v="178"/>
    <n v="2"/>
    <n v="19.100000000000001"/>
    <x v="0"/>
    <m/>
    <n v="6"/>
    <n v="1134"/>
    <n v="21875"/>
    <s v="TURQUESA"/>
    <n v="7.9"/>
    <n v="0"/>
    <n v="0"/>
    <n v="8.9"/>
    <n v="19.100000000000001"/>
    <n v="50"/>
    <n v="382"/>
    <x v="6"/>
    <x v="0"/>
    <n v="27"/>
    <n v="2"/>
    <n v="29.666666666666668"/>
  </r>
  <r>
    <d v="2025-07-31T07:20:00"/>
    <s v="INYECTADO"/>
    <x v="10"/>
    <x v="161"/>
    <s v="JUANA CRUCES"/>
    <s v="VIRGEN"/>
    <s v="PP CLARIFICADO"/>
    <s v="."/>
    <s v="BASE ORGANIZADOR  DE 2KG"/>
    <s v="BASE ORGANIZADOR  DE 2KG PASTEL-AZURE"/>
    <n v="220"/>
    <n v="3"/>
    <n v="23.8"/>
    <x v="0"/>
    <m/>
    <n v="7"/>
    <n v="1134"/>
    <n v="21875"/>
    <s v="AZURE"/>
    <n v="6.2"/>
    <n v="0"/>
    <n v="0"/>
    <n v="11"/>
    <n v="23.8"/>
    <n v="50"/>
    <n v="476"/>
    <x v="6"/>
    <x v="0"/>
    <n v="27"/>
    <n v="2"/>
    <n v="36.666666666666664"/>
  </r>
  <r>
    <d v="2025-07-31T07:20:00"/>
    <s v="INYECTADO"/>
    <x v="10"/>
    <x v="161"/>
    <s v="JUANA CRUCES"/>
    <s v="VIRGEN"/>
    <s v="PP CLARIFICADO"/>
    <s v="."/>
    <s v="BASE ORGANIZADOR  DE 2KG"/>
    <s v="BASE ORGANIZADOR  DE 2KG PASTEL-LILA"/>
    <n v="210"/>
    <n v="3"/>
    <n v="22.7"/>
    <x v="0"/>
    <m/>
    <n v="7"/>
    <n v="1134"/>
    <n v="21875"/>
    <s v="LILA"/>
    <n v="3"/>
    <n v="0"/>
    <n v="0"/>
    <n v="10.5"/>
    <n v="22.7"/>
    <n v="50"/>
    <n v="454"/>
    <x v="6"/>
    <x v="0"/>
    <n v="27"/>
    <n v="2"/>
    <n v="35"/>
  </r>
  <r>
    <d v="2025-07-31T07:20:00"/>
    <s v="INYECTADO"/>
    <x v="10"/>
    <x v="161"/>
    <s v="SAID VILLAMIZAR"/>
    <s v="VIRGEN"/>
    <s v="PP CLARIFICADO"/>
    <s v="."/>
    <s v="BASE PORTA VAJILLA"/>
    <s v="BASE PORTA VAJILLA-TRANSPARENTE"/>
    <n v="60"/>
    <n v="1"/>
    <n v="23.2"/>
    <x v="0"/>
    <m/>
    <n v="2"/>
    <n v="1148"/>
    <n v="21875"/>
    <s v="TRANSPARENTE"/>
    <n v="5.3"/>
    <n v="0"/>
    <n v="0"/>
    <n v="22.56"/>
    <n v="23.2"/>
    <n v="376"/>
    <n v="61.702127659574465"/>
    <x v="6"/>
    <x v="0"/>
    <n v="27"/>
    <n v="1"/>
    <n v="5"/>
  </r>
  <r>
    <d v="2025-07-31T07:20:00"/>
    <s v="INYECTADO"/>
    <x v="10"/>
    <x v="161"/>
    <s v="GABRIEL REQUENA"/>
    <s v="VIRGEN"/>
    <s v="PP CLARIFICADO"/>
    <s v="."/>
    <s v="BASE PORTA VAJILLA"/>
    <s v="BASE PORTA VAJILLA-TRANSPARENTE"/>
    <n v="960"/>
    <n v="12"/>
    <n v="371.2"/>
    <x v="1"/>
    <m/>
    <n v="32"/>
    <n v="1148"/>
    <n v="21876"/>
    <s v="TRANSPARENTE"/>
    <n v="17"/>
    <n v="0"/>
    <n v="0"/>
    <n v="360.96"/>
    <n v="371.2"/>
    <n v="376"/>
    <n v="987.23404255319144"/>
    <x v="6"/>
    <x v="0"/>
    <n v="27"/>
    <n v="1"/>
    <n v="80"/>
  </r>
  <r>
    <d v="2025-07-31T07:20:00"/>
    <s v="INYECTADO"/>
    <x v="10"/>
    <x v="141"/>
    <s v="SIN NOMBRE"/>
    <s v="VIRGEN"/>
    <s v="PP CLARIFICADO"/>
    <s v="."/>
    <s v="BASE PORTA VAJILLA"/>
    <s v="BASE PORTA VAJILLA-TRANSPARENTE"/>
    <n v="778"/>
    <n v="11"/>
    <n v="295"/>
    <x v="0"/>
    <m/>
    <n v="24"/>
    <n v="1148"/>
    <n v="21877"/>
    <s v="TRANSPARENTE"/>
    <n v="68"/>
    <n v="0"/>
    <n v="0"/>
    <n v="292.52800000000002"/>
    <n v="295"/>
    <n v="376"/>
    <n v="784.57446808510633"/>
    <x v="6"/>
    <x v="0"/>
    <n v="27"/>
    <n v="1"/>
    <n v="64.833333333333329"/>
  </r>
  <r>
    <d v="2025-07-31T07:20:00"/>
    <s v="INYECTADO"/>
    <x v="10"/>
    <x v="141"/>
    <s v="JUAN MANUEL PEREZ"/>
    <s v="VIRGEN"/>
    <s v="PP CLARIFICADO"/>
    <s v="."/>
    <s v="BASE PORTA VAJILLA"/>
    <s v="BASE PORTA VAJILLA-TRANSPARENTE"/>
    <n v="870"/>
    <n v="11"/>
    <n v="350"/>
    <x v="1"/>
    <m/>
    <n v="28"/>
    <n v="1148"/>
    <n v="21878"/>
    <s v="TRANSPARENTE"/>
    <n v="14.5"/>
    <n v="0"/>
    <n v="0"/>
    <n v="327.12"/>
    <n v="350"/>
    <n v="376"/>
    <n v="930.85106382978722"/>
    <x v="6"/>
    <x v="0"/>
    <n v="27"/>
    <n v="1"/>
    <n v="72.5"/>
  </r>
  <r>
    <d v="2025-07-31T07:20:00"/>
    <s v="INYECTADO"/>
    <x v="10"/>
    <x v="142"/>
    <s v="JUANA CRUCES"/>
    <s v="VIRGEN"/>
    <s v="PP CLARIFICADO"/>
    <s v="."/>
    <s v="BASE PORTA VAJILLA"/>
    <s v="BASE PORTA VAJILLA-TRANSPARENTE"/>
    <n v="939"/>
    <n v="11"/>
    <n v="359.8"/>
    <x v="0"/>
    <m/>
    <n v="31"/>
    <n v="1148"/>
    <n v="21879"/>
    <s v="TRANSPARENTE"/>
    <n v="10.5"/>
    <n v="0"/>
    <n v="0"/>
    <n v="353.06400000000002"/>
    <n v="359.8"/>
    <n v="376"/>
    <n v="956.91489361702122"/>
    <x v="6"/>
    <x v="0"/>
    <n v="27"/>
    <n v="1"/>
    <n v="78.25"/>
  </r>
  <r>
    <d v="2025-07-31T07:20:00"/>
    <s v="INYECTADO"/>
    <x v="10"/>
    <x v="142"/>
    <s v="JOSDER GONZALEZ"/>
    <s v="VIRGEN"/>
    <s v="PP CLARIFICADO"/>
    <s v="."/>
    <s v="BASE PORTA VAJILLA"/>
    <s v="BASE PORTA VAJILLA-TRANSPARENTE"/>
    <n v="917"/>
    <n v="12"/>
    <n v="354.2"/>
    <x v="1"/>
    <m/>
    <n v="30"/>
    <n v="1148"/>
    <n v="21880"/>
    <s v="TRANSPARENTE"/>
    <n v="11"/>
    <n v="0"/>
    <n v="0"/>
    <n v="344.79199999999997"/>
    <n v="354.2"/>
    <n v="376"/>
    <n v="942.02127659574467"/>
    <x v="6"/>
    <x v="0"/>
    <n v="27"/>
    <n v="1"/>
    <n v="76.416666666666671"/>
  </r>
  <r>
    <d v="2025-07-31T07:20:00"/>
    <s v="INYECTADO"/>
    <x v="10"/>
    <x v="143"/>
    <s v="JUANA CRUCES"/>
    <s v="VIRGEN"/>
    <s v="PP CLARIFICADO"/>
    <s v="."/>
    <s v="BASE PORTA VAJILLA"/>
    <s v="BASE PORTA VAJILLA-TRANSPARENTE"/>
    <n v="316"/>
    <n v="5"/>
    <n v="124.2"/>
    <x v="0"/>
    <m/>
    <n v="11"/>
    <n v="1148"/>
    <n v="21881"/>
    <s v="TRANSPARENTE"/>
    <n v="3.8"/>
    <n v="0"/>
    <n v="0"/>
    <n v="118.816"/>
    <n v="124.2"/>
    <n v="376"/>
    <n v="330.31914893617022"/>
    <x v="6"/>
    <x v="0"/>
    <n v="28"/>
    <n v="1"/>
    <n v="26.333333333333332"/>
  </r>
  <r>
    <d v="2025-07-31T07:20:00"/>
    <s v="INYECTADO"/>
    <x v="10"/>
    <x v="143"/>
    <s v="ISABEL LINARIZ "/>
    <s v="VIRGEN"/>
    <s v="PP CLARIFICADO"/>
    <s v="."/>
    <s v="BASE PORTA VAJILLA"/>
    <s v="BASE PORTA VAJILLA-TRANSPARENTE"/>
    <n v="896"/>
    <n v="11"/>
    <n v="352.2"/>
    <x v="1"/>
    <m/>
    <n v="30"/>
    <n v="1148"/>
    <n v="21882"/>
    <s v="TRANSPARENTE"/>
    <n v="12.9"/>
    <n v="0"/>
    <n v="0"/>
    <n v="336.89600000000002"/>
    <n v="352.2"/>
    <n v="376"/>
    <n v="936.70212765957444"/>
    <x v="6"/>
    <x v="0"/>
    <n v="28"/>
    <n v="1"/>
    <n v="74.666666666666671"/>
  </r>
  <r>
    <d v="2025-07-31T07:20:00"/>
    <s v="INYECTADO"/>
    <x v="10"/>
    <x v="144"/>
    <s v="GABRIEL REQUENA"/>
    <s v="VIRGEN"/>
    <s v="PP CLARIFICADO"/>
    <s v="."/>
    <s v="BASE PORTA VAJILLA"/>
    <s v="BASE PORTA VAJILLA-TRANSPARENTE"/>
    <n v="403"/>
    <n v="5"/>
    <n v="158.69999999999999"/>
    <x v="1"/>
    <m/>
    <n v="13"/>
    <n v="1148"/>
    <n v="21883"/>
    <s v="TRANSPARENTE"/>
    <n v="0"/>
    <n v="0"/>
    <n v="0"/>
    <n v="151.52799999999999"/>
    <n v="158.69999999999999"/>
    <n v="376"/>
    <n v="422.07446808510639"/>
    <x v="6"/>
    <x v="0"/>
    <n v="28"/>
    <n v="1"/>
    <n v="33.583333333333336"/>
  </r>
  <r>
    <d v="2025-07-31T07:20:00"/>
    <s v="INYECTADO"/>
    <x v="10"/>
    <x v="149"/>
    <s v="ROSA MERINO"/>
    <s v="VIRGEN"/>
    <s v="PP CLARIFICADO"/>
    <s v="."/>
    <s v="BASE PORTA VAJILLA"/>
    <s v="BASE PORTA VAJILLA-TRANSPARENTE"/>
    <n v="117"/>
    <n v="4"/>
    <n v="47.4"/>
    <x v="0"/>
    <m/>
    <n v="4"/>
    <n v="1148"/>
    <n v="21884"/>
    <s v="TRANSPARENTE"/>
    <n v="65.5"/>
    <n v="0"/>
    <n v="0"/>
    <n v="43.991999999999997"/>
    <n v="47.4"/>
    <n v="376"/>
    <n v="126.06382978723404"/>
    <x v="6"/>
    <x v="0"/>
    <n v="29"/>
    <n v="1"/>
    <n v="9.75"/>
  </r>
  <r>
    <d v="2025-07-31T07:20:00"/>
    <s v="INYECTADO"/>
    <x v="10"/>
    <x v="149"/>
    <s v="GABRIEL REQUENA"/>
    <s v="VIRGEN"/>
    <s v="PP CLARIFICADO"/>
    <s v="."/>
    <s v="BASE PORTA VAJILLA"/>
    <s v="BASE PORTA VAJILLA-TRANSPARENTE"/>
    <n v="837"/>
    <n v="12"/>
    <n v="329.2"/>
    <x v="1"/>
    <m/>
    <n v="30"/>
    <n v="1148"/>
    <n v="21885"/>
    <s v="TRANSPARENTE"/>
    <n v="13.2"/>
    <n v="0"/>
    <n v="0"/>
    <n v="314.71199999999999"/>
    <n v="329.2"/>
    <n v="376"/>
    <n v="875.531914893617"/>
    <x v="6"/>
    <x v="0"/>
    <n v="29"/>
    <n v="1"/>
    <n v="69.75"/>
  </r>
  <r>
    <d v="2025-07-31T07:20:00"/>
    <s v="INYECTADO"/>
    <x v="10"/>
    <x v="150"/>
    <s v="SIN NOMBRE"/>
    <s v="VIRGEN"/>
    <s v="PP CLARIFICADO"/>
    <s v="."/>
    <s v="BASE PORTA VAJILLA"/>
    <s v="BASE PORTA VAJILLA-TRANSPARENTE"/>
    <n v="474"/>
    <n v="5"/>
    <n v="186"/>
    <x v="0"/>
    <m/>
    <n v="17"/>
    <n v="1148"/>
    <n v="21886"/>
    <s v="TRANSPARENTE"/>
    <n v="14.1"/>
    <n v="0"/>
    <n v="0"/>
    <n v="178.22399999999999"/>
    <n v="186"/>
    <n v="376"/>
    <n v="494.68085106382978"/>
    <x v="6"/>
    <x v="0"/>
    <n v="29"/>
    <n v="1"/>
    <n v="39.5"/>
  </r>
  <r>
    <d v="2025-07-31T07:20:00"/>
    <s v="INYECTADO"/>
    <x v="10"/>
    <x v="150"/>
    <s v="GABRIEL REQUENA"/>
    <s v="SEGUNDA"/>
    <s v="."/>
    <s v="PP INYECTADO"/>
    <s v="EMBUDO GIGANTE"/>
    <s v="EMBUDO GIGANTE-AMARILLO"/>
    <n v="960"/>
    <n v="12"/>
    <n v="149.9"/>
    <x v="1"/>
    <m/>
    <n v="16"/>
    <n v="1159"/>
    <n v="21887"/>
    <s v="AMARILLO"/>
    <n v="2.9"/>
    <n v="0"/>
    <n v="0"/>
    <n v="191.04"/>
    <n v="149.9"/>
    <n v="199"/>
    <n v="753.26633165829151"/>
    <x v="6"/>
    <x v="0"/>
    <n v="29"/>
    <n v="1"/>
    <n v="80"/>
  </r>
  <r>
    <d v="2025-07-31T07:20:00"/>
    <s v="INYECTADO"/>
    <x v="10"/>
    <x v="162"/>
    <s v="LUIS PINEDO"/>
    <s v="SEGUNDA"/>
    <s v="."/>
    <s v="PP INYECTADO"/>
    <s v="EMBUDO GIGANTE"/>
    <s v="EMBUDO GIGANTE-VERDE"/>
    <n v="958"/>
    <n v="10"/>
    <n v="151.5"/>
    <x v="0"/>
    <m/>
    <n v="16"/>
    <n v="1159"/>
    <n v="21888"/>
    <s v="VERDE"/>
    <n v="14.9"/>
    <n v="0"/>
    <n v="0"/>
    <n v="190.642"/>
    <n v="151.5"/>
    <n v="199"/>
    <n v="761.3065326633166"/>
    <x v="6"/>
    <x v="0"/>
    <n v="29"/>
    <n v="1"/>
    <n v="79.833333333333329"/>
  </r>
  <r>
    <d v="2025-07-31T07:20:00"/>
    <s v="INYECTADO"/>
    <x v="10"/>
    <x v="162"/>
    <s v="JUAN MANUEL PEREZ"/>
    <s v="SEGUNDA"/>
    <s v="."/>
    <s v="PP INYECTADO"/>
    <s v="EMBUDO GIGANTE"/>
    <s v="EMBUDO GIGANTE-AZUL"/>
    <n v="919"/>
    <n v="12"/>
    <n v="144.30000000000001"/>
    <x v="1"/>
    <m/>
    <n v="15"/>
    <n v="1159"/>
    <n v="21889"/>
    <s v="AZUL"/>
    <n v="8"/>
    <n v="0"/>
    <n v="0"/>
    <n v="182.881"/>
    <n v="144.30000000000001"/>
    <n v="199"/>
    <n v="725.1256281407035"/>
    <x v="6"/>
    <x v="0"/>
    <n v="29"/>
    <n v="1"/>
    <n v="76.583333333333329"/>
  </r>
  <r>
    <d v="2025-07-31T07:20:00"/>
    <s v="INYECTADO"/>
    <x v="10"/>
    <x v="163"/>
    <s v="LUIS PINEDO"/>
    <s v="SEGUNDA"/>
    <s v="."/>
    <s v="PP INYECTADO"/>
    <s v="EMBUDO GIGANTE"/>
    <s v="EMBUDO GIGANTE-ROJO"/>
    <n v="934"/>
    <n v="12"/>
    <n v="146.69999999999999"/>
    <x v="0"/>
    <m/>
    <n v="16"/>
    <n v="1159"/>
    <n v="21890"/>
    <s v="ROJO"/>
    <n v="13.3"/>
    <n v="0"/>
    <n v="0"/>
    <n v="185.86600000000001"/>
    <n v="146.69999999999999"/>
    <n v="199"/>
    <n v="737.1859296482412"/>
    <x v="6"/>
    <x v="0"/>
    <n v="29"/>
    <n v="1"/>
    <n v="77.833333333333329"/>
  </r>
  <r>
    <d v="2025-07-31T07:20:00"/>
    <s v="INYECTADO"/>
    <x v="10"/>
    <x v="163"/>
    <s v="JOSDER GONZALEZ"/>
    <s v="SEGUNDA"/>
    <s v="."/>
    <s v="PP INYECTADO"/>
    <s v="EMBUDO GIGANTE"/>
    <s v="EMBUDO GIGANTE-ANARANJADO"/>
    <n v="831"/>
    <n v="11"/>
    <n v="130.5"/>
    <x v="1"/>
    <m/>
    <n v="14"/>
    <n v="1159"/>
    <n v="21891"/>
    <s v="NARANJA"/>
    <n v="8.5"/>
    <n v="0"/>
    <n v="0"/>
    <n v="165.369"/>
    <n v="130.5"/>
    <n v="199"/>
    <n v="655.7788944723618"/>
    <x v="6"/>
    <x v="0"/>
    <n v="29"/>
    <n v="1"/>
    <n v="69.25"/>
  </r>
  <r>
    <d v="2025-07-31T07:20:00"/>
    <s v="INYECTADO"/>
    <x v="10"/>
    <x v="164"/>
    <s v="LUIS PINEDO"/>
    <s v="SEGUNDA"/>
    <s v="."/>
    <s v="PP INYECTADO"/>
    <s v="EMBUDO GIGANTE"/>
    <s v="EMBUDO GIGANTE-LILA"/>
    <n v="613"/>
    <n v="7"/>
    <n v="96.3"/>
    <x v="0"/>
    <m/>
    <n v="10"/>
    <n v="1159"/>
    <n v="21892"/>
    <s v="LILA"/>
    <n v="10"/>
    <n v="0"/>
    <n v="0"/>
    <n v="121.98699999999999"/>
    <n v="96.3"/>
    <n v="199"/>
    <n v="483.91959798994975"/>
    <x v="6"/>
    <x v="0"/>
    <n v="29"/>
    <n v="1"/>
    <n v="51.083333333333336"/>
  </r>
  <r>
    <d v="2025-07-31T07:20:00"/>
    <s v="INYECTADO"/>
    <x v="10"/>
    <x v="164"/>
    <s v="ISABEL LINARIZ "/>
    <s v="SEGUNDA"/>
    <s v="."/>
    <s v="PP INYECTADO"/>
    <s v="EMBUDO GIGANTE"/>
    <s v="EMBUDO GIGANTE-LILA"/>
    <n v="336"/>
    <n v="4"/>
    <n v="52.9"/>
    <x v="1"/>
    <m/>
    <n v="6"/>
    <n v="1159"/>
    <n v="21893"/>
    <s v="LILA"/>
    <n v="16.100000000000001"/>
    <n v="0"/>
    <n v="0"/>
    <n v="66.864000000000004"/>
    <n v="52.9"/>
    <n v="199"/>
    <n v="265.8291457286432"/>
    <x v="6"/>
    <x v="0"/>
    <n v="29"/>
    <n v="1"/>
    <n v="28"/>
  </r>
  <r>
    <d v="2025-07-31T07:20:00"/>
    <s v="INYECTADO"/>
    <x v="10"/>
    <x v="165"/>
    <s v="LUIS RENGIFO"/>
    <s v="SEGUNDA"/>
    <s v="."/>
    <s v="PP INYECTADO"/>
    <s v="EMBUDO #3"/>
    <s v="EMBUDO #3-AMARILLO"/>
    <n v="353"/>
    <n v="4"/>
    <n v="70.599999999999994"/>
    <x v="0"/>
    <m/>
    <n v="3"/>
    <n v="1165"/>
    <n v="21894"/>
    <s v="AMARILLO"/>
    <n v="0"/>
    <n v="0"/>
    <n v="0"/>
    <n v="18.356000000000002"/>
    <n v="70.599999999999994"/>
    <n v="52"/>
    <n v="1357.6923076923076"/>
    <x v="6"/>
    <x v="0"/>
    <n v="29"/>
    <n v="4"/>
    <n v="117.66666666666667"/>
  </r>
  <r>
    <d v="2025-07-31T07:20:00"/>
    <s v="INYECTADO"/>
    <x v="10"/>
    <x v="165"/>
    <s v="JOSDER GONZALEZ"/>
    <s v="SEGUNDA"/>
    <s v="."/>
    <s v="PP INYECTADO"/>
    <s v="EMBUDO #3"/>
    <s v="EMBUDO #3-AMARILLO"/>
    <n v="435"/>
    <n v="7"/>
    <n v="87.7"/>
    <x v="1"/>
    <m/>
    <n v="5"/>
    <n v="1165"/>
    <n v="21895"/>
    <s v="AMARILLO"/>
    <n v="11.3"/>
    <n v="0"/>
    <n v="0"/>
    <n v="22.62"/>
    <n v="87.7"/>
    <n v="52"/>
    <n v="1686.5384615384614"/>
    <x v="6"/>
    <x v="0"/>
    <n v="29"/>
    <n v="4"/>
    <n v="145"/>
  </r>
  <r>
    <d v="2025-07-31T07:20:00"/>
    <s v="INYECTADO"/>
    <x v="10"/>
    <x v="165"/>
    <s v="JOSDER GONZALEZ"/>
    <s v="SEGUNDA"/>
    <s v="."/>
    <s v="PP INYECTADO"/>
    <s v="EMBUDO #3"/>
    <s v="EMBUDO #3-VERDE"/>
    <n v="154"/>
    <n v="2"/>
    <n v="30.9"/>
    <x v="1"/>
    <m/>
    <n v="2"/>
    <n v="1165"/>
    <n v="21895"/>
    <s v="VERDE"/>
    <n v="4.2"/>
    <n v="0"/>
    <n v="0"/>
    <n v="8.0079999999999991"/>
    <n v="30.9"/>
    <n v="52"/>
    <n v="594.23076923076928"/>
    <x v="6"/>
    <x v="0"/>
    <n v="29"/>
    <n v="4"/>
    <n v="51.333333333333336"/>
  </r>
  <r>
    <d v="2025-07-31T07:20:00"/>
    <s v="INYECTADO"/>
    <x v="10"/>
    <x v="158"/>
    <s v="NELSON PINEDO"/>
    <s v="SEGUNDA"/>
    <s v="."/>
    <s v="PP INYECTADO"/>
    <s v="EMBUDO #3"/>
    <s v="EMBUDO #3-VERDE"/>
    <n v="359"/>
    <n v="4"/>
    <n v="71.900000000000006"/>
    <x v="0"/>
    <m/>
    <n v="4"/>
    <n v="1165"/>
    <n v="21896"/>
    <s v="VERDE"/>
    <n v="0"/>
    <n v="0"/>
    <n v="0"/>
    <n v="18.667999999999999"/>
    <n v="71.900000000000006"/>
    <n v="52"/>
    <n v="1382.6923076923076"/>
    <x v="6"/>
    <x v="0"/>
    <n v="30"/>
    <n v="4"/>
    <n v="119.66666666666667"/>
  </r>
  <r>
    <d v="2025-07-31T07:20:00"/>
    <s v="INYECTADO"/>
    <x v="10"/>
    <x v="158"/>
    <s v="ISABEL LINARIZ "/>
    <s v="SEGUNDA"/>
    <s v="."/>
    <s v="PP INYECTADO"/>
    <s v="EMBUDO #3"/>
    <s v="EMBUDO #3-VERDE"/>
    <n v="290"/>
    <n v="4"/>
    <n v="58.1"/>
    <x v="1"/>
    <m/>
    <n v="4"/>
    <n v="1165"/>
    <n v="21897"/>
    <s v="VERDE"/>
    <n v="18"/>
    <n v="0"/>
    <n v="0"/>
    <n v="15.08"/>
    <n v="58.1"/>
    <n v="52"/>
    <n v="1117.3076923076924"/>
    <x v="6"/>
    <x v="0"/>
    <n v="30"/>
    <n v="4"/>
    <n v="96.666666666666671"/>
  </r>
  <r>
    <d v="2025-07-31T07:20:00"/>
    <s v="INYECTADO"/>
    <x v="10"/>
    <x v="158"/>
    <s v="ISABEL LINARIZ "/>
    <s v="SEGUNDA"/>
    <s v="."/>
    <s v="PP INYECTADO"/>
    <s v="EMBUDO #3"/>
    <s v="EMBUDO #3-FUCSIA"/>
    <n v="621"/>
    <n v="7"/>
    <n v="124.2"/>
    <x v="1"/>
    <m/>
    <n v="6"/>
    <n v="1165"/>
    <n v="21897"/>
    <s v="FUCSIA"/>
    <n v="8.6"/>
    <n v="0"/>
    <n v="0"/>
    <n v="32.292000000000002"/>
    <n v="124.2"/>
    <n v="52"/>
    <n v="2388.4615384615386"/>
    <x v="6"/>
    <x v="0"/>
    <n v="30"/>
    <n v="4"/>
    <n v="207"/>
  </r>
  <r>
    <d v="2025-07-31T07:20:00"/>
    <s v="INYECTADO"/>
    <x v="10"/>
    <x v="159"/>
    <s v="JUANA CRUCES"/>
    <s v="SEGUNDA"/>
    <s v="."/>
    <s v="PP INYECTADO"/>
    <s v="EMBUDO #3"/>
    <s v="EMBUDO #3-FUCSIA"/>
    <n v="163"/>
    <n v="3"/>
    <n v="33.799999999999997"/>
    <x v="0"/>
    <m/>
    <n v="2"/>
    <n v="1165"/>
    <n v="21898"/>
    <s v="FUCSIA"/>
    <n v="10.5"/>
    <n v="0"/>
    <n v="0"/>
    <n v="8.4760000000000009"/>
    <n v="33.799999999999997"/>
    <n v="52"/>
    <n v="650"/>
    <x v="6"/>
    <x v="0"/>
    <n v="30"/>
    <n v="4"/>
    <n v="54.333333333333336"/>
  </r>
  <r>
    <d v="2025-07-31T07:20:00"/>
    <s v="INYECTADO"/>
    <x v="10"/>
    <x v="159"/>
    <s v="JUANA CRUCES"/>
    <s v="SEGUNDA"/>
    <s v="."/>
    <s v="PP INYECTADO"/>
    <s v="EMBUDO #3"/>
    <s v="EMBUDO #3-ROJO"/>
    <n v="645"/>
    <n v="8"/>
    <n v="133.6"/>
    <x v="0"/>
    <m/>
    <n v="7"/>
    <n v="1165"/>
    <n v="21898"/>
    <s v="ROJO"/>
    <n v="23.7"/>
    <n v="0"/>
    <n v="0"/>
    <n v="33.54"/>
    <n v="133.6"/>
    <n v="52"/>
    <n v="2569.2307692307691"/>
    <x v="6"/>
    <x v="0"/>
    <n v="30"/>
    <n v="4"/>
    <n v="215"/>
  </r>
  <r>
    <d v="2025-07-31T07:20:00"/>
    <s v="INYECTADO"/>
    <x v="10"/>
    <x v="159"/>
    <s v="JUANA CRUCES"/>
    <s v="SEGUNDA"/>
    <s v="."/>
    <s v="PP INYECTADO"/>
    <s v="EMBUDO #3"/>
    <s v="EMBUDO #3-AZUL"/>
    <n v="71"/>
    <n v="1"/>
    <n v="14.7"/>
    <x v="0"/>
    <m/>
    <n v="1"/>
    <n v="1165"/>
    <n v="21898"/>
    <s v="AZUL"/>
    <n v="7.2"/>
    <n v="0"/>
    <n v="0"/>
    <n v="3.6920000000000002"/>
    <n v="14.7"/>
    <n v="52"/>
    <n v="282.69230769230768"/>
    <x v="6"/>
    <x v="0"/>
    <n v="30"/>
    <n v="4"/>
    <n v="23.666666666666668"/>
  </r>
  <r>
    <d v="2025-07-31T07:20:00"/>
    <s v="INYECTADO"/>
    <x v="10"/>
    <x v="159"/>
    <s v="GABRIEL REQUENA"/>
    <s v="SEGUNDA"/>
    <s v="."/>
    <s v="PP INYECTADO"/>
    <s v="EMBUDO #3"/>
    <s v="EMBUDO #3-AZUL"/>
    <n v="678"/>
    <n v="6"/>
    <n v="140.30000000000001"/>
    <x v="1"/>
    <m/>
    <n v="8"/>
    <n v="1165"/>
    <n v="21899"/>
    <s v="AZUL"/>
    <n v="4.4000000000000004"/>
    <n v="0"/>
    <n v="0"/>
    <n v="35.256"/>
    <n v="140.30000000000001"/>
    <n v="52"/>
    <n v="2698.0769230769229"/>
    <x v="6"/>
    <x v="0"/>
    <n v="30"/>
    <n v="4"/>
    <n v="226"/>
  </r>
  <r>
    <d v="2025-07-31T07:20:00"/>
    <s v="INYECTADO"/>
    <x v="10"/>
    <x v="159"/>
    <s v="GABRIEL REQUENA"/>
    <s v="SEGUNDA"/>
    <s v="."/>
    <s v="PP INYECTADO"/>
    <s v="EMBUDO #3"/>
    <s v="EMBUDO #3-LILA"/>
    <n v="509"/>
    <n v="4"/>
    <n v="105.5"/>
    <x v="1"/>
    <m/>
    <n v="6"/>
    <n v="1165"/>
    <n v="21899"/>
    <s v="LILA"/>
    <n v="4.5999999999999996"/>
    <n v="0"/>
    <n v="0"/>
    <n v="26.468"/>
    <n v="105.5"/>
    <n v="52"/>
    <n v="2028.8461538461538"/>
    <x v="6"/>
    <x v="0"/>
    <n v="30"/>
    <n v="4"/>
    <n v="169.66666666666666"/>
  </r>
  <r>
    <d v="2025-07-31T07:20:00"/>
    <s v="INYECTADO"/>
    <x v="10"/>
    <x v="160"/>
    <s v="CARLOS SULCA"/>
    <s v="SEGUNDA"/>
    <s v="."/>
    <s v="PP INYECTADO"/>
    <s v="EMBUDO #3"/>
    <s v="EMBUDO #3-LILA"/>
    <n v="45"/>
    <n v="1"/>
    <n v="9.8000000000000007"/>
    <x v="0"/>
    <m/>
    <n v="1"/>
    <n v="1165"/>
    <n v="21900"/>
    <s v="LILA"/>
    <n v="20.399999999999999"/>
    <n v="0"/>
    <n v="0"/>
    <n v="2.34"/>
    <n v="9.8000000000000007"/>
    <n v="52"/>
    <n v="188.46153846153845"/>
    <x v="6"/>
    <x v="0"/>
    <n v="30"/>
    <n v="4"/>
    <n v="15"/>
  </r>
  <r>
    <d v="2025-07-31T07:20:00"/>
    <s v="INYECTADO"/>
    <x v="10"/>
    <x v="160"/>
    <s v="CARLOS SULCA"/>
    <s v="SEGUNDA"/>
    <s v="."/>
    <s v="PP INYECTADO"/>
    <s v="EMBUDO #3"/>
    <s v="EMBUDO #3-ANARANJADO"/>
    <n v="211"/>
    <n v="4"/>
    <n v="45.9"/>
    <x v="0"/>
    <m/>
    <n v="3"/>
    <n v="1165"/>
    <n v="21900"/>
    <s v="NARANJA"/>
    <n v="6.4"/>
    <n v="0"/>
    <n v="0"/>
    <n v="10.972"/>
    <n v="45.9"/>
    <n v="52"/>
    <n v="882.69230769230774"/>
    <x v="6"/>
    <x v="0"/>
    <n v="30"/>
    <n v="4"/>
    <n v="70.333333333333329"/>
  </r>
  <r>
    <d v="2025-07-31T07:20:00"/>
    <s v="INYECTADO"/>
    <x v="10"/>
    <x v="160"/>
    <s v="CARLOS SULCA"/>
    <s v="SEGUNDA"/>
    <s v="."/>
    <s v="PP INYECTADO"/>
    <s v="EMBUDO #3"/>
    <s v="EMBUDO #3-ROJO"/>
    <n v="177"/>
    <n v="3"/>
    <n v="38.6"/>
    <x v="0"/>
    <m/>
    <n v="2"/>
    <n v="1165"/>
    <n v="21900"/>
    <s v="ROJO"/>
    <n v="3.2"/>
    <n v="0"/>
    <n v="0"/>
    <n v="9.2040000000000006"/>
    <n v="38.6"/>
    <n v="52"/>
    <n v="742.30769230769226"/>
    <x v="6"/>
    <x v="0"/>
    <n v="30"/>
    <n v="4"/>
    <n v="59"/>
  </r>
  <r>
    <d v="2025-07-31T07:20:00"/>
    <s v="INYECTADO"/>
    <x v="10"/>
    <x v="160"/>
    <s v="CARLOS SULCA"/>
    <s v="SEGUNDA"/>
    <s v="."/>
    <s v="PP INYECTADO"/>
    <s v="EMBUDO #4"/>
    <s v="EMBUDO #4-FUCSIA"/>
    <n v="105"/>
    <n v="1"/>
    <n v="23"/>
    <x v="0"/>
    <m/>
    <n v="2"/>
    <n v="1165"/>
    <n v="21900"/>
    <s v="FUCSIA"/>
    <n v="3.1"/>
    <n v="0"/>
    <n v="0"/>
    <n v="13.23"/>
    <n v="23"/>
    <n v="126"/>
    <n v="182.53968253968253"/>
    <x v="6"/>
    <x v="0"/>
    <n v="30"/>
    <n v="2"/>
    <n v="17.5"/>
  </r>
  <r>
    <d v="2025-07-31T07:20:00"/>
    <s v="INYECTADO"/>
    <x v="10"/>
    <x v="160"/>
    <s v="JUAN MANUEL PEREZ"/>
    <s v="SEGUNDA"/>
    <s v="."/>
    <s v="PP INYECTADO"/>
    <s v="EMBUDO #4"/>
    <s v="EMBUDO #4-FUCSIA"/>
    <n v="620"/>
    <n v="7"/>
    <n v="155.69999999999999"/>
    <x v="1"/>
    <m/>
    <n v="21"/>
    <n v="1167"/>
    <n v="22601"/>
    <s v="FUCSIA"/>
    <n v="3.1"/>
    <n v="0"/>
    <n v="0"/>
    <n v="78.12"/>
    <n v="155.69999999999999"/>
    <n v="126"/>
    <n v="1235.7142857142858"/>
    <x v="6"/>
    <x v="0"/>
    <n v="30"/>
    <n v="2"/>
    <n v="103.33333333333333"/>
  </r>
  <r>
    <d v="2025-07-31T07:20:00"/>
    <s v="INYECTADO"/>
    <x v="10"/>
    <x v="160"/>
    <s v="JUAN MANUEL PEREZ"/>
    <s v="SEGUNDA"/>
    <s v="."/>
    <s v="PP INYECTADO"/>
    <s v="EMBUDO #4"/>
    <s v="EMBUDO #4-LILA"/>
    <n v="353"/>
    <n v="4"/>
    <n v="88.6"/>
    <x v="1"/>
    <m/>
    <n v="12"/>
    <n v="1167"/>
    <n v="22601"/>
    <s v="LILA"/>
    <n v="1"/>
    <n v="0"/>
    <n v="0"/>
    <n v="44.478000000000002"/>
    <n v="88.6"/>
    <n v="126"/>
    <n v="703.17460317460313"/>
    <x v="6"/>
    <x v="0"/>
    <n v="30"/>
    <n v="2"/>
    <n v="58.833333333333336"/>
  </r>
  <r>
    <d v="2025-07-31T07:20:00"/>
    <s v="INYECTADO"/>
    <x v="10"/>
    <x v="154"/>
    <s v="SAID VILLAMIZAR"/>
    <s v="SEGUNDA"/>
    <s v="."/>
    <s v="PP INYECTADO"/>
    <s v="EMBUDO #4"/>
    <s v="EMBUDO #4-LILA"/>
    <n v="410"/>
    <n v="5"/>
    <n v="103"/>
    <x v="0"/>
    <m/>
    <n v="14"/>
    <n v="1167"/>
    <n v="22602"/>
    <s v="LILA"/>
    <n v="0"/>
    <n v="0"/>
    <n v="0"/>
    <n v="51.66"/>
    <n v="103"/>
    <n v="126"/>
    <n v="817.46031746031747"/>
    <x v="6"/>
    <x v="0"/>
    <n v="30"/>
    <n v="2"/>
    <n v="68.333333333333329"/>
  </r>
  <r>
    <d v="2025-07-31T07:20:00"/>
    <s v="INYECTADO"/>
    <x v="10"/>
    <x v="154"/>
    <s v="SAID VILLAMIZAR"/>
    <s v="SEGUNDA"/>
    <s v="."/>
    <s v="PP INYECTADO"/>
    <s v="EMBUDO #4"/>
    <s v="EMBUDO #4-AMARILLO"/>
    <n v="552"/>
    <n v="6"/>
    <n v="138.6"/>
    <x v="0"/>
    <m/>
    <n v="13"/>
    <n v="1167"/>
    <n v="22602"/>
    <s v="AMARILLO"/>
    <n v="2.9"/>
    <n v="0"/>
    <n v="0"/>
    <n v="69.552000000000007"/>
    <n v="138.6"/>
    <n v="126"/>
    <n v="1100"/>
    <x v="6"/>
    <x v="0"/>
    <n v="30"/>
    <n v="2"/>
    <n v="92"/>
  </r>
  <r>
    <d v="2025-07-31T07:20:00"/>
    <s v="INYECTADO"/>
    <x v="10"/>
    <x v="154"/>
    <s v="JOSDER GONZALEZ"/>
    <s v="SEGUNDA"/>
    <s v="."/>
    <s v="PP INYECTADO"/>
    <s v="EMBUDO #4"/>
    <s v="EMBUDO #4-AMARILLO"/>
    <n v="60"/>
    <n v="1"/>
    <n v="15.2"/>
    <x v="1"/>
    <m/>
    <n v="2"/>
    <n v="1167"/>
    <n v="22603"/>
    <s v="AMARILLO"/>
    <n v="0.5"/>
    <n v="0"/>
    <n v="0"/>
    <n v="7.56"/>
    <n v="15.2"/>
    <n v="126"/>
    <n v="120.63492063492063"/>
    <x v="6"/>
    <x v="0"/>
    <n v="30"/>
    <n v="2"/>
    <n v="10"/>
  </r>
  <r>
    <d v="2025-07-31T07:20:00"/>
    <s v="INYECTADO"/>
    <x v="10"/>
    <x v="154"/>
    <s v="JOSDER GONZALEZ"/>
    <s v="SEGUNDA"/>
    <s v="."/>
    <s v="PP INYECTADO"/>
    <s v="EMBUDO #4"/>
    <s v="EMBUDO #4-ROJO"/>
    <n v="181"/>
    <n v="2"/>
    <n v="45.6"/>
    <x v="1"/>
    <m/>
    <n v="6"/>
    <n v="1167"/>
    <n v="22603"/>
    <s v="ROJO"/>
    <n v="2.2999999999999998"/>
    <n v="0"/>
    <n v="0"/>
    <n v="22.806000000000001"/>
    <n v="45.6"/>
    <n v="126"/>
    <n v="361.90476190476193"/>
    <x v="6"/>
    <x v="0"/>
    <n v="30"/>
    <n v="2"/>
    <n v="30.166666666666668"/>
  </r>
  <r>
    <d v="2025-07-31T07:20:00"/>
    <s v="INYECTADO"/>
    <x v="10"/>
    <x v="154"/>
    <s v="JOSDER GONZALEZ"/>
    <s v="SEGUNDA"/>
    <s v="."/>
    <s v="PP INYECTADO"/>
    <s v="EMBUDO #4"/>
    <s v="EMBUDO #4-VERDE"/>
    <n v="661"/>
    <n v="8"/>
    <n v="166"/>
    <x v="1"/>
    <m/>
    <n v="22"/>
    <n v="1167"/>
    <n v="22603"/>
    <s v="VERDE"/>
    <n v="2.1"/>
    <n v="0"/>
    <n v="0"/>
    <n v="83.286000000000001"/>
    <n v="166"/>
    <n v="126"/>
    <n v="1317.4603174603174"/>
    <x v="6"/>
    <x v="0"/>
    <n v="30"/>
    <n v="2"/>
    <n v="110.16666666666667"/>
  </r>
  <r>
    <d v="2025-07-31T07:20:00"/>
    <s v="INYECTADO"/>
    <x v="10"/>
    <x v="155"/>
    <s v="JUANA CRUCES"/>
    <s v="SEGUNDA"/>
    <s v="."/>
    <s v="PP INYECTADO"/>
    <s v="EMBUDO #4"/>
    <s v="EMBUDO #4-ROJO"/>
    <n v="460"/>
    <n v="5"/>
    <n v="115.5"/>
    <x v="0"/>
    <m/>
    <n v="16"/>
    <n v="1167"/>
    <n v="22604"/>
    <s v="ROJO"/>
    <n v="10.4"/>
    <n v="0"/>
    <n v="0"/>
    <n v="57.96"/>
    <n v="115.5"/>
    <n v="126"/>
    <n v="916.66666666666663"/>
    <x v="6"/>
    <x v="0"/>
    <n v="30"/>
    <n v="2"/>
    <n v="76.666666666666671"/>
  </r>
  <r>
    <d v="2025-07-31T07:20:00"/>
    <s v="INYECTADO"/>
    <x v="10"/>
    <x v="155"/>
    <s v="JUANA CRUCES"/>
    <s v="SEGUNDA"/>
    <s v="."/>
    <s v="PP INYECTADO"/>
    <s v="EMBUDO #4"/>
    <s v="EMBUDO #4-AZUL"/>
    <n v="526"/>
    <n v="6"/>
    <n v="132.1"/>
    <x v="0"/>
    <m/>
    <n v="17"/>
    <n v="1167"/>
    <n v="22604"/>
    <s v="AZUL"/>
    <n v="5.0999999999999996"/>
    <n v="0"/>
    <n v="0"/>
    <n v="66.275999999999996"/>
    <n v="132.1"/>
    <n v="126"/>
    <n v="1048.4126984126983"/>
    <x v="6"/>
    <x v="0"/>
    <n v="30"/>
    <n v="2"/>
    <n v="87.666666666666671"/>
  </r>
  <r>
    <d v="2025-07-31T07:20:00"/>
    <s v="INYECTADO"/>
    <x v="10"/>
    <x v="155"/>
    <s v="GABRIEL REQUENA"/>
    <s v="SEGUNDA"/>
    <s v="."/>
    <s v="PP INYECTADO"/>
    <s v="EMBUDO #4"/>
    <s v="EMBUDO #4-AZUL"/>
    <n v="151"/>
    <n v="3"/>
    <n v="38"/>
    <x v="1"/>
    <m/>
    <n v="5"/>
    <n v="1167"/>
    <n v="22605"/>
    <s v="AZUL"/>
    <n v="8.4"/>
    <n v="0"/>
    <n v="0"/>
    <n v="19.026"/>
    <n v="38"/>
    <n v="126"/>
    <n v="301.58730158730157"/>
    <x v="6"/>
    <x v="0"/>
    <n v="30"/>
    <n v="2"/>
    <n v="25.166666666666668"/>
  </r>
  <r>
    <d v="2025-07-31T07:20:00"/>
    <s v="INYECTADO"/>
    <x v="10"/>
    <x v="155"/>
    <s v="GABRIEL REQUENA"/>
    <s v="SEGUNDA"/>
    <s v="."/>
    <s v="PP INYECTADO"/>
    <s v="EMBUDO #4"/>
    <s v="EMBUDO #4-AMARILLO"/>
    <n v="96"/>
    <n v="2"/>
    <n v="24.3"/>
    <x v="1"/>
    <m/>
    <n v="3"/>
    <n v="1167"/>
    <n v="22605"/>
    <s v="AMARILLO"/>
    <n v="2.2000000000000002"/>
    <n v="0"/>
    <n v="0"/>
    <n v="12.096"/>
    <n v="24.3"/>
    <n v="126"/>
    <n v="192.85714285714286"/>
    <x v="6"/>
    <x v="0"/>
    <n v="30"/>
    <n v="2"/>
    <n v="16"/>
  </r>
  <r>
    <d v="2025-07-31T07:20:00"/>
    <s v="INYECTADO"/>
    <x v="10"/>
    <x v="155"/>
    <s v="GABRIEL REQUENA"/>
    <s v="SEGUNDA"/>
    <s v="."/>
    <s v="PP INYECTADO"/>
    <s v="EMBUDO #4"/>
    <s v="EMBUDO #4-VERDE"/>
    <n v="96"/>
    <n v="2"/>
    <n v="24.1"/>
    <x v="1"/>
    <m/>
    <n v="3"/>
    <n v="1167"/>
    <n v="22605"/>
    <s v="VERDE"/>
    <n v="4.3"/>
    <n v="0"/>
    <n v="0"/>
    <n v="12.096"/>
    <n v="24.1"/>
    <n v="126"/>
    <n v="191.26984126984127"/>
    <x v="6"/>
    <x v="0"/>
    <n v="30"/>
    <n v="2"/>
    <n v="16"/>
  </r>
  <r>
    <d v="2025-07-31T07:20:00"/>
    <s v="INYECTADO"/>
    <x v="10"/>
    <x v="156"/>
    <s v="GABRIEL REQUENA"/>
    <s v="VIRGEN"/>
    <s v="PP CLARIFICADO"/>
    <s v="."/>
    <s v="BASE ORGANIZADOR  DE 2KG"/>
    <s v="BASE ORGANIZADOR  DE 2KG CARAMELO-AMARILLO"/>
    <n v="768"/>
    <n v="8"/>
    <n v="48.4"/>
    <x v="1"/>
    <m/>
    <n v="14"/>
    <n v="1179"/>
    <n v="22606"/>
    <s v="AMARILLO"/>
    <n v="16.899999999999999"/>
    <n v="0"/>
    <n v="0"/>
    <n v="38.4"/>
    <n v="48.4"/>
    <n v="50"/>
    <n v="968"/>
    <x v="6"/>
    <x v="0"/>
    <n v="30"/>
    <n v="2"/>
    <n v="128"/>
  </r>
  <r>
    <d v="2025-07-31T07:20:00"/>
    <s v="INYECTADO"/>
    <x v="10"/>
    <x v="157"/>
    <s v="SAID VILLAMIZAR"/>
    <s v="VIRGEN"/>
    <s v="PP CLARIFICADO"/>
    <s v="."/>
    <s v="BASE ORGANIZADOR  DE 2KG"/>
    <s v="BASE ORGANIZADOR  DE 2KG CARAMELO-AMARILLO"/>
    <n v="87"/>
    <n v="2"/>
    <n v="5"/>
    <x v="0"/>
    <m/>
    <n v="2"/>
    <n v="1179"/>
    <n v="22607"/>
    <s v="AMARILLO"/>
    <n v="4.3"/>
    <n v="0"/>
    <n v="0"/>
    <n v="4.3499999999999996"/>
    <n v="5"/>
    <n v="50"/>
    <n v="100"/>
    <x v="6"/>
    <x v="0"/>
    <n v="30"/>
    <n v="2"/>
    <n v="14.5"/>
  </r>
  <r>
    <d v="2025-07-31T07:20:00"/>
    <s v="INYECTADO"/>
    <x v="10"/>
    <x v="157"/>
    <s v="SAID VILLAMIZAR"/>
    <s v="VIRGEN"/>
    <s v="PP CLARIFICADO"/>
    <s v="."/>
    <s v="BASE ORGANIZADOR  DE 2KG"/>
    <s v="BASE ORGANIZADOR  DE 2KG CARAMELO-VERDE"/>
    <n v="22"/>
    <n v="1"/>
    <n v="1.4"/>
    <x v="0"/>
    <m/>
    <n v="1"/>
    <n v="1179"/>
    <n v="22607"/>
    <s v="VERDE"/>
    <n v="2.6"/>
    <n v="0"/>
    <n v="0"/>
    <n v="1.1000000000000001"/>
    <n v="1.4"/>
    <n v="50"/>
    <n v="28"/>
    <x v="6"/>
    <x v="0"/>
    <n v="30"/>
    <n v="2"/>
    <n v="3.6666666666666665"/>
  </r>
  <r>
    <d v="2025-07-31T07:20:00"/>
    <s v="INYECTADO"/>
    <x v="10"/>
    <x v="166"/>
    <s v="SAID VILLAMIZAR"/>
    <s v="VIRGEN"/>
    <s v="PP CLARIFICADO"/>
    <s v="."/>
    <s v="BASE ORGANIZADOR  DE 2KG"/>
    <s v="BASE ORGANIZADOR  DE 2KG CARAMELO-VERDE"/>
    <n v="1200"/>
    <n v="9"/>
    <n v="70"/>
    <x v="0"/>
    <m/>
    <n v="20"/>
    <n v="1179"/>
    <n v="22608"/>
    <s v="VERDE"/>
    <n v="3.6"/>
    <n v="0"/>
    <n v="0"/>
    <n v="60"/>
    <n v="70"/>
    <n v="50"/>
    <n v="1400"/>
    <x v="6"/>
    <x v="0"/>
    <n v="31"/>
    <n v="2"/>
    <n v="200"/>
  </r>
  <r>
    <d v="2025-07-31T07:20:00"/>
    <s v="INYECTADO"/>
    <x v="10"/>
    <x v="166"/>
    <s v="SAID VILLAMIZAR"/>
    <s v="VIRGEN"/>
    <s v="PP CLARIFICADO"/>
    <s v="."/>
    <s v="BASE ORGANIZADOR  DE 2KG"/>
    <s v="BASE ORGANIZADOR  DE 2KG CARAMELO-FUCSIA"/>
    <n v="118"/>
    <n v="2"/>
    <n v="6.9"/>
    <x v="0"/>
    <m/>
    <n v="2"/>
    <n v="1179"/>
    <n v="22608"/>
    <s v="FUCSIA"/>
    <n v="6.1"/>
    <n v="0"/>
    <n v="0"/>
    <n v="5.9"/>
    <n v="6.9"/>
    <n v="50"/>
    <n v="138"/>
    <x v="6"/>
    <x v="0"/>
    <n v="31"/>
    <n v="2"/>
    <n v="19.666666666666668"/>
  </r>
  <r>
    <d v="2025-07-31T07:20:00"/>
    <s v="INYECTADO"/>
    <x v="10"/>
    <x v="167"/>
    <s v="SAID VILLAMIZAR"/>
    <s v="VIRGEN"/>
    <s v="PP CLARIFICADO"/>
    <s v="."/>
    <s v="BASE ORGANIZADOR  DE 2KG"/>
    <s v="BASE ORGANIZADOR  DE 2KG CARAMELO-FUCSIA"/>
    <n v="113"/>
    <n v="2"/>
    <n v="6.6"/>
    <x v="0"/>
    <m/>
    <n v="3"/>
    <n v="1179"/>
    <n v="22609"/>
    <s v="FUCSIA"/>
    <n v="8"/>
    <n v="0"/>
    <n v="0"/>
    <n v="5.65"/>
    <n v="6.6"/>
    <n v="50"/>
    <n v="132"/>
    <x v="6"/>
    <x v="0"/>
    <n v="31"/>
    <n v="2"/>
    <n v="18.833333333333332"/>
  </r>
  <r>
    <d v="2025-07-31T07:20:00"/>
    <s v="INYECTADO"/>
    <x v="10"/>
    <x v="167"/>
    <s v="SAID VILLAMIZAR"/>
    <s v="VIRGEN"/>
    <s v="PP CLARIFICADO"/>
    <s v="."/>
    <s v="BASE ORGANIZADOR  DE 2KG"/>
    <s v="BASE ORGANIZADOR  DE 2KG CARAMELO-AZUL"/>
    <n v="1152"/>
    <n v="9"/>
    <n v="67.2"/>
    <x v="0"/>
    <m/>
    <n v="20"/>
    <n v="1179"/>
    <n v="22609"/>
    <s v="AZUL"/>
    <n v="5.9"/>
    <n v="0"/>
    <n v="0"/>
    <n v="57.6"/>
    <n v="67.2"/>
    <n v="50"/>
    <n v="1344"/>
    <x v="6"/>
    <x v="0"/>
    <n v="31"/>
    <n v="2"/>
    <n v="192"/>
  </r>
  <r>
    <d v="2025-07-31T07:20:00"/>
    <s v="INYECTADO"/>
    <x v="10"/>
    <x v="168"/>
    <s v="NELSON PINEDO"/>
    <s v="VIRGEN"/>
    <s v="PP CLARIFICADO"/>
    <s v="."/>
    <s v="BASE ORGANIZADOR  DE 2KG"/>
    <s v="BASE ORGANIZADOR  DE 2KG CARAMELO-AZUL"/>
    <n v="25"/>
    <n v="1"/>
    <n v="1.6"/>
    <x v="0"/>
    <m/>
    <n v="1"/>
    <n v="1179"/>
    <n v="22610"/>
    <s v="AZUL"/>
    <n v="5.8"/>
    <n v="0"/>
    <n v="0"/>
    <n v="1.25"/>
    <n v="1.6"/>
    <n v="50"/>
    <n v="32"/>
    <x v="6"/>
    <x v="0"/>
    <n v="31"/>
    <n v="2"/>
    <n v="4.166666666666667"/>
  </r>
  <r>
    <d v="2025-07-31T07:20:00"/>
    <s v="INYECTADO"/>
    <x v="10"/>
    <x v="168"/>
    <s v="NELSON PINEDO"/>
    <s v="VIRGEN"/>
    <s v="PP CLARIFICADO"/>
    <s v="."/>
    <s v="BASE ORGANIZADOR  DE 2KG"/>
    <s v="BASE ORGANIZADOR  DE 2KG CARAMELO-FUCSIA"/>
    <n v="740"/>
    <n v="6"/>
    <n v="45.9"/>
    <x v="0"/>
    <m/>
    <n v="13"/>
    <n v="1179"/>
    <n v="22610"/>
    <s v="FUCSIA"/>
    <n v="3.9"/>
    <n v="0"/>
    <n v="0"/>
    <n v="37"/>
    <n v="45.9"/>
    <n v="50"/>
    <n v="918"/>
    <x v="6"/>
    <x v="0"/>
    <n v="31"/>
    <n v="2"/>
    <n v="123.33333333333333"/>
  </r>
  <r>
    <d v="2025-07-31T07:20:00"/>
    <s v="INYECTADO"/>
    <x v="10"/>
    <x v="168"/>
    <s v="NELSON PINEDO"/>
    <s v="VIRGEN"/>
    <s v="PP CLARIFICADO"/>
    <s v="."/>
    <s v="BASE ORGANIZADOR  DE 2KG"/>
    <s v="BASE ORGANIZADOR  DE 2KG CARAMELO-LILA"/>
    <n v="346"/>
    <n v="3"/>
    <n v="21.5"/>
    <x v="0"/>
    <m/>
    <n v="6"/>
    <n v="1179"/>
    <n v="22610"/>
    <s v="LILA"/>
    <n v="0"/>
    <n v="0"/>
    <n v="0"/>
    <n v="17.3"/>
    <n v="21.5"/>
    <n v="50"/>
    <n v="430"/>
    <x v="6"/>
    <x v="0"/>
    <n v="31"/>
    <n v="2"/>
    <n v="57.666666666666664"/>
  </r>
  <r>
    <d v="2025-07-31T07:20:00"/>
    <s v="INYECTADO"/>
    <x v="10"/>
    <x v="168"/>
    <s v="GABRIEL REQUENA"/>
    <s v="VIRGEN"/>
    <s v="PP CLARIFICADO"/>
    <s v="."/>
    <s v="BASE ORGANIZADOR  DE 2KG"/>
    <s v="BASE ORGANIZADOR  DE 2KG CARAMELO-LILA"/>
    <n v="877"/>
    <n v="9"/>
    <n v="54.4"/>
    <x v="1"/>
    <m/>
    <n v="16"/>
    <n v="1179"/>
    <n v="22611"/>
    <s v="LILA"/>
    <n v="5"/>
    <n v="0"/>
    <n v="0"/>
    <n v="43.85"/>
    <n v="54.4"/>
    <n v="50"/>
    <n v="1088"/>
    <x v="6"/>
    <x v="0"/>
    <n v="31"/>
    <n v="2"/>
    <n v="146.16666666666666"/>
  </r>
  <r>
    <d v="2025-07-31T07:20:00"/>
    <s v="INYECTADO"/>
    <x v="10"/>
    <x v="168"/>
    <s v="GABRIEL REQUENA"/>
    <s v="VIRGEN"/>
    <s v="PP CLARIFICADO"/>
    <s v="."/>
    <s v="BASE ORGANIZADOR  DE 2KG"/>
    <s v="BASE ORGANIZADOR  DE 2KG CARAMELO-AMARILLO"/>
    <n v="235"/>
    <n v="2"/>
    <n v="14.6"/>
    <x v="1"/>
    <m/>
    <n v="4"/>
    <n v="1179"/>
    <n v="22611"/>
    <s v="AMARILLO"/>
    <n v="2.5"/>
    <n v="0"/>
    <n v="0"/>
    <n v="11.75"/>
    <n v="14.6"/>
    <n v="50"/>
    <n v="292"/>
    <x v="6"/>
    <x v="0"/>
    <n v="31"/>
    <n v="2"/>
    <n v="39.166666666666664"/>
  </r>
  <r>
    <d v="2025-07-31T07:20:00"/>
    <s v="INYECTADO"/>
    <x v="10"/>
    <x v="151"/>
    <s v="LEONOR GUTIERREZ"/>
    <s v="VIRGEN"/>
    <s v="PP CLARIFICADO"/>
    <s v="."/>
    <s v="BASE ORGANIZADOR  DE 2KG"/>
    <s v="BASE ORGANIZADOR  DE 2KG CARAMELO-AMARILLO"/>
    <n v="88"/>
    <n v="1"/>
    <n v="5.2"/>
    <x v="0"/>
    <m/>
    <n v="2"/>
    <n v="1179"/>
    <n v="22612"/>
    <s v="AMARILLO"/>
    <n v="0"/>
    <n v="0"/>
    <n v="0"/>
    <n v="4.4000000000000004"/>
    <n v="5.2"/>
    <n v="50"/>
    <n v="104"/>
    <x v="6"/>
    <x v="0"/>
    <n v="31"/>
    <n v="2"/>
    <n v="14.666666666666666"/>
  </r>
  <r>
    <d v="2025-07-31T07:20:00"/>
    <s v="INYECTADO"/>
    <x v="10"/>
    <x v="151"/>
    <s v="LEONOR GUTIERREZ"/>
    <s v="VIRGEN"/>
    <s v="PP CLARIFICADO"/>
    <s v="."/>
    <s v="BASE ORGANIZADOR  DE 2KG"/>
    <s v="BASE ORGANIZADOR  DE 2KG-TRANSPARENTE"/>
    <n v="296"/>
    <n v="4"/>
    <n v="17.5"/>
    <x v="0"/>
    <m/>
    <n v="5"/>
    <n v="1179"/>
    <n v="22612"/>
    <s v="VERDE"/>
    <n v="6.2"/>
    <n v="0"/>
    <n v="0"/>
    <n v="14.8"/>
    <n v="17.5"/>
    <n v="50"/>
    <n v="350"/>
    <x v="6"/>
    <x v="0"/>
    <n v="31"/>
    <n v="2"/>
    <n v="49.333333333333336"/>
  </r>
  <r>
    <d v="2025-07-31T07:20:00"/>
    <s v="INYECTADO"/>
    <x v="10"/>
    <x v="151"/>
    <s v="LEONOR GUTIERREZ"/>
    <s v="VIRGEN"/>
    <s v="PP CLARIFICADO"/>
    <s v="."/>
    <s v="BASE ORGANIZADOR  DE 2KG"/>
    <s v="BASE ORGANIZADOR  DE 2KG CARAMELO-ROJO"/>
    <n v="878"/>
    <n v="7"/>
    <n v="78"/>
    <x v="0"/>
    <m/>
    <n v="13"/>
    <n v="1179"/>
    <n v="22612"/>
    <s v="ROJO"/>
    <n v="2.4"/>
    <n v="0"/>
    <n v="0"/>
    <n v="43.9"/>
    <n v="78"/>
    <n v="50"/>
    <n v="1560"/>
    <x v="6"/>
    <x v="0"/>
    <n v="31"/>
    <n v="2"/>
    <n v="146.33333333333334"/>
  </r>
  <r>
    <d v="2025-07-31T07:20:00"/>
    <s v="INYECTADO"/>
    <x v="10"/>
    <x v="151"/>
    <s v="ISABEL LINARIZ "/>
    <s v="VIRGEN"/>
    <s v="PP CLARIFICADO"/>
    <s v="."/>
    <s v="BASE ORGANIZADOR  DE 2KG"/>
    <s v="BASE ORGANIZADOR  DE 2KG-TRANSPARENTE"/>
    <n v="1193"/>
    <n v="12"/>
    <n v="74"/>
    <x v="1"/>
    <m/>
    <n v="20"/>
    <n v="1179"/>
    <n v="22613"/>
    <s v="TRANSPARENTE"/>
    <n v="4.4000000000000004"/>
    <n v="0"/>
    <n v="0"/>
    <n v="59.65"/>
    <n v="74"/>
    <n v="50"/>
    <n v="1480"/>
    <x v="6"/>
    <x v="0"/>
    <n v="31"/>
    <n v="2"/>
    <n v="198.83333333333334"/>
  </r>
  <r>
    <d v="2025-07-31T09:10:00"/>
    <s v="INYECTADO"/>
    <x v="8"/>
    <x v="145"/>
    <s v="NELSON PINEDO"/>
    <s v="VIRGEN"/>
    <s v="PP CLARIFICADO"/>
    <s v="."/>
    <s v="JARRA REAL 6 LT-TRANSPARENTE"/>
    <s v="JARRA REAL 6 LT-TRANSPARENTE"/>
    <n v="346"/>
    <n v="3"/>
    <n v="83.5"/>
    <x v="0"/>
    <n v="0"/>
    <n v="14"/>
    <n v="1151"/>
    <n v="22112"/>
    <s v="TRANSPARENTE"/>
    <n v="20.5"/>
    <n v="0"/>
    <n v="0"/>
    <n v="83.04"/>
    <n v="83.5"/>
    <n v="240"/>
    <n v="347.91666666666669"/>
    <x v="6"/>
    <x v="0"/>
    <n v="28"/>
    <n v="1"/>
    <n v="28.833333333333332"/>
  </r>
  <r>
    <d v="2025-07-31T09:10:00"/>
    <s v="INYECTADO"/>
    <x v="8"/>
    <x v="146"/>
    <s v="NELSON PINEDO"/>
    <s v="VIRGEN"/>
    <s v="PP CLARIFICADO"/>
    <s v="."/>
    <s v="JARRA REAL 6 LT-TRANSPARENTE"/>
    <s v="JARRA REAL 6 LT-TRANSPARENTE"/>
    <n v="141"/>
    <n v="1"/>
    <n v="34.1"/>
    <x v="0"/>
    <n v="0"/>
    <n v="6"/>
    <n v="1151"/>
    <n v="22113"/>
    <s v="TRANSPARENTE"/>
    <n v="19.7"/>
    <n v="0"/>
    <n v="0"/>
    <n v="33.840000000000003"/>
    <n v="34.1"/>
    <n v="240"/>
    <n v="142.08333333333334"/>
    <x v="6"/>
    <x v="0"/>
    <n v="28"/>
    <n v="1"/>
    <n v="11.75"/>
  </r>
  <r>
    <d v="2025-07-31T09:10:00"/>
    <s v="INYECTADO"/>
    <x v="8"/>
    <x v="150"/>
    <s v="ROSA MERINO"/>
    <s v="VIRGEN"/>
    <s v="PP CLARIFICADO"/>
    <s v="."/>
    <s v="TAPA TAPERS REDONDOS"/>
    <s v="TAPA TAPER REDONDO-AMARILLO"/>
    <n v="410"/>
    <n v="5"/>
    <n v="38.6"/>
    <x v="0"/>
    <n v="0"/>
    <n v="5"/>
    <n v="1157"/>
    <n v="22114"/>
    <s v="AMARILLO"/>
    <n v="0"/>
    <n v="0"/>
    <n v="0"/>
    <n v="13.53"/>
    <n v="38.6"/>
    <n v="33"/>
    <n v="1169.6969696969697"/>
    <x v="6"/>
    <x v="0"/>
    <n v="29"/>
    <n v="4"/>
    <n v="136.66666666666666"/>
  </r>
  <r>
    <d v="2025-07-31T09:10:00"/>
    <s v="INYECTADO"/>
    <x v="8"/>
    <x v="150"/>
    <s v="ROSA MERINO"/>
    <s v="VIRGEN"/>
    <s v="PP CLARIFICADO"/>
    <s v="."/>
    <s v="TAPA TAPERS REDONDOS"/>
    <s v="TAPA TAPER REDONDO-VERDE"/>
    <n v="167"/>
    <n v="3"/>
    <n v="15.7"/>
    <x v="0"/>
    <n v="0"/>
    <n v="2"/>
    <n v="1157"/>
    <n v="22114"/>
    <s v="VERDE"/>
    <n v="0"/>
    <n v="0"/>
    <n v="0"/>
    <n v="5.5110000000000001"/>
    <n v="15.7"/>
    <n v="33"/>
    <n v="475.75757575757575"/>
    <x v="6"/>
    <x v="0"/>
    <n v="29"/>
    <n v="4"/>
    <n v="55.666666666666664"/>
  </r>
  <r>
    <d v="2025-07-31T09:10:00"/>
    <s v="INYECTADO"/>
    <x v="8"/>
    <x v="150"/>
    <s v="JUAN MANUEL PEREZ"/>
    <s v="VIRGEN"/>
    <s v="PP CLARIFICADO"/>
    <s v="."/>
    <s v="TAPA TAPERS REDONDOS"/>
    <s v="TAPA TAPER REDONDO-VERDE"/>
    <n v="246"/>
    <n v="2"/>
    <n v="23.7"/>
    <x v="1"/>
    <n v="0"/>
    <n v="3"/>
    <n v="1157"/>
    <n v="22115"/>
    <s v="VERDE"/>
    <n v="3"/>
    <n v="0"/>
    <n v="0"/>
    <n v="8.1180000000000003"/>
    <n v="23.7"/>
    <n v="33"/>
    <n v="718.18181818181813"/>
    <x v="6"/>
    <x v="0"/>
    <n v="29"/>
    <n v="4"/>
    <n v="82"/>
  </r>
  <r>
    <d v="2025-07-31T09:10:00"/>
    <s v="INYECTADO"/>
    <x v="8"/>
    <x v="150"/>
    <s v="JUAN MANUEL PEREZ"/>
    <s v="VIRGEN"/>
    <s v="PP CLARIFICADO"/>
    <s v="."/>
    <s v="TAPA TAPERS REDONDOS"/>
    <s v="TAPA TAPER REDONDO-TURQUESA"/>
    <n v="472"/>
    <n v="3"/>
    <n v="45.4"/>
    <x v="1"/>
    <n v="0"/>
    <n v="6"/>
    <n v="1157"/>
    <n v="22115"/>
    <s v="TURQUESA"/>
    <n v="3"/>
    <n v="0"/>
    <n v="0"/>
    <n v="15.576000000000001"/>
    <n v="45.4"/>
    <n v="33"/>
    <n v="1375.7575757575758"/>
    <x v="6"/>
    <x v="0"/>
    <n v="29"/>
    <n v="4"/>
    <n v="157.33333333333334"/>
  </r>
  <r>
    <d v="2025-07-31T09:10:00"/>
    <s v="INYECTADO"/>
    <x v="8"/>
    <x v="150"/>
    <s v="JUAN MANUEL PEREZ"/>
    <s v="VIRGEN"/>
    <s v="PP CLARIFICADO"/>
    <s v="."/>
    <s v="TAPA TAPERS REDONDOS"/>
    <s v="TAPA TAPER REDONDO-ROJO"/>
    <n v="615"/>
    <n v="6"/>
    <n v="59.1"/>
    <x v="1"/>
    <n v="0"/>
    <n v="3"/>
    <n v="1115"/>
    <n v="22115"/>
    <s v="ROJO"/>
    <n v="3"/>
    <n v="0"/>
    <n v="0"/>
    <n v="20.295000000000002"/>
    <n v="59.1"/>
    <n v="33"/>
    <n v="1790.909090909091"/>
    <x v="6"/>
    <x v="0"/>
    <n v="29"/>
    <n v="4"/>
    <n v="205"/>
  </r>
  <r>
    <d v="2025-07-31T09:10:00"/>
    <s v="INYECTADO"/>
    <x v="8"/>
    <x v="162"/>
    <s v="JUANA CRUCES"/>
    <s v="VIRGEN"/>
    <s v="PP CLARIFICADO"/>
    <s v="."/>
    <s v="TAPA TAPERS REDONDOS"/>
    <s v="TAPA TAPER REDONDO-ROJO"/>
    <n v="201"/>
    <n v="2"/>
    <n v="19.3"/>
    <x v="0"/>
    <n v="0"/>
    <n v="2"/>
    <n v="1157"/>
    <n v="22116"/>
    <s v="ROJO"/>
    <n v="6.5"/>
    <n v="0"/>
    <n v="0"/>
    <n v="6.633"/>
    <n v="19.3"/>
    <n v="33"/>
    <n v="584.84848484848487"/>
    <x v="6"/>
    <x v="0"/>
    <n v="29"/>
    <n v="4"/>
    <n v="67"/>
  </r>
  <r>
    <d v="2025-07-31T09:10:00"/>
    <s v="INYECTADO"/>
    <x v="8"/>
    <x v="162"/>
    <s v="JUANA CRUCES"/>
    <s v="VIRGEN"/>
    <s v="PP CLARIFICADO"/>
    <s v="."/>
    <s v="TAPA TAPERS REDONDOS"/>
    <s v="TAPA TAPER REDONDO-FUCSIA"/>
    <n v="505"/>
    <n v="5"/>
    <n v="48.5"/>
    <x v="0"/>
    <n v="0"/>
    <n v="7"/>
    <n v="1157"/>
    <n v="22116"/>
    <s v="FUCSIA"/>
    <n v="12.5"/>
    <n v="0"/>
    <n v="0"/>
    <n v="16.664999999999999"/>
    <n v="48.5"/>
    <n v="33"/>
    <n v="1469.6969696969697"/>
    <x v="6"/>
    <x v="0"/>
    <n v="29"/>
    <n v="4"/>
    <n v="168.33333333333334"/>
  </r>
  <r>
    <d v="2025-07-31T09:10:00"/>
    <s v="INYECTADO"/>
    <x v="8"/>
    <x v="162"/>
    <s v="JUANA CRUCES"/>
    <s v="VIRGEN"/>
    <s v="PP CLARIFICADO"/>
    <s v="."/>
    <s v="TAPA TAPERS REDONDOS"/>
    <s v="TAPA TAPER REDONDO-AZUL"/>
    <n v="481"/>
    <n v="4"/>
    <n v="48.2"/>
    <x v="0"/>
    <n v="0"/>
    <n v="6"/>
    <n v="1157"/>
    <n v="22116"/>
    <s v="AZUL"/>
    <n v="5.0999999999999996"/>
    <n v="0"/>
    <n v="0"/>
    <n v="15.872999999999999"/>
    <n v="48.2"/>
    <n v="33"/>
    <n v="1460.6060606060605"/>
    <x v="6"/>
    <x v="0"/>
    <n v="29"/>
    <n v="4"/>
    <n v="160.33333333333334"/>
  </r>
  <r>
    <d v="2025-07-31T09:10:00"/>
    <s v="INYECTADO"/>
    <x v="8"/>
    <x v="162"/>
    <s v="JOSDER GONZALEZ"/>
    <s v="VIRGEN"/>
    <s v="PP CLARIFICADO"/>
    <s v="."/>
    <s v="TAPA TAPERS REDONDOS"/>
    <s v="TAPA TAPER REDONDO-ROJO"/>
    <n v="179"/>
    <n v="2"/>
    <n v="16.899999999999999"/>
    <x v="1"/>
    <n v="0"/>
    <n v="3"/>
    <n v="1157"/>
    <n v="22117"/>
    <s v="ROJO"/>
    <n v="7.8"/>
    <n v="0"/>
    <n v="0"/>
    <n v="5.907"/>
    <n v="16.899999999999999"/>
    <n v="33"/>
    <n v="512.12121212121212"/>
    <x v="6"/>
    <x v="0"/>
    <n v="29"/>
    <n v="4"/>
    <n v="59.666666666666664"/>
  </r>
  <r>
    <d v="2025-07-31T09:10:00"/>
    <s v="INYECTADO"/>
    <x v="8"/>
    <x v="162"/>
    <s v="JOSDER GONZALEZ"/>
    <s v="VIRGEN"/>
    <s v="PP CLARIFICADO"/>
    <s v="."/>
    <s v="TAPA TAPERS REDONDOS"/>
    <s v="TAPA TAPER REDONDO-AMARILLO"/>
    <n v="500"/>
    <n v="6"/>
    <n v="48"/>
    <x v="1"/>
    <n v="0"/>
    <n v="7"/>
    <n v="1157"/>
    <n v="22117"/>
    <s v="AMARILLO"/>
    <n v="9.9"/>
    <n v="0"/>
    <n v="0"/>
    <n v="16.5"/>
    <n v="48"/>
    <n v="33"/>
    <n v="1454.5454545454545"/>
    <x v="6"/>
    <x v="0"/>
    <n v="29"/>
    <n v="4"/>
    <n v="166.66666666666666"/>
  </r>
  <r>
    <d v="2025-07-31T09:10:00"/>
    <s v="INYECTADO"/>
    <x v="8"/>
    <x v="162"/>
    <s v="JOSDER GONZALEZ"/>
    <s v="VIRGEN"/>
    <s v="PP CLARIFICADO"/>
    <s v="."/>
    <s v="TAPA TAPERS REDONDOS"/>
    <s v="TAPA TAPER REDONDO-VERDE"/>
    <n v="500"/>
    <n v="5"/>
    <n v="48.9"/>
    <x v="1"/>
    <n v="0"/>
    <n v="7"/>
    <n v="1157"/>
    <n v="22117"/>
    <s v="VERDE"/>
    <n v="8.6"/>
    <n v="0"/>
    <n v="0"/>
    <n v="16.5"/>
    <n v="48.9"/>
    <n v="33"/>
    <n v="1481.8181818181818"/>
    <x v="6"/>
    <x v="0"/>
    <n v="29"/>
    <n v="4"/>
    <n v="166.66666666666666"/>
  </r>
  <r>
    <d v="2025-07-31T09:10:00"/>
    <s v="INYECTADO"/>
    <x v="8"/>
    <x v="162"/>
    <s v="JOSDER GONZALEZ"/>
    <s v="VIRGEN"/>
    <s v="PP CLARIFICADO"/>
    <s v="."/>
    <s v="TAPA TAPERS REDONDOS"/>
    <s v="TAPA TAPER REDONDO-TURQUESA"/>
    <n v="40"/>
    <n v="1"/>
    <n v="3.9"/>
    <x v="1"/>
    <n v="0"/>
    <n v="1"/>
    <n v="1157"/>
    <n v="22117"/>
    <s v="TURQUESA"/>
    <n v="4.3"/>
    <n v="0"/>
    <n v="0"/>
    <n v="1.32"/>
    <n v="3.9"/>
    <n v="33"/>
    <n v="118.18181818181819"/>
    <x v="6"/>
    <x v="0"/>
    <n v="29"/>
    <n v="4"/>
    <n v="13.333333333333334"/>
  </r>
  <r>
    <d v="2025-07-31T09:10:00"/>
    <s v="INYECTADO"/>
    <x v="8"/>
    <x v="163"/>
    <s v="CRISALIDA ZAPATA"/>
    <s v="VIRGEN"/>
    <s v="PP CLARIFICADO"/>
    <s v="."/>
    <s v="TAPA TAPERS REDONDOS"/>
    <s v="TAPA TAPER REDONDO-TURQUESA"/>
    <n v="420"/>
    <n v="4"/>
    <n v="40.299999999999997"/>
    <x v="0"/>
    <n v="0"/>
    <n v="6"/>
    <n v="1157"/>
    <n v="22118"/>
    <s v="TURQUESA"/>
    <n v="12.6"/>
    <n v="0"/>
    <n v="0"/>
    <n v="13.86"/>
    <n v="40.299999999999997"/>
    <n v="33"/>
    <n v="1221.2121212121212"/>
    <x v="6"/>
    <x v="0"/>
    <n v="29"/>
    <n v="4"/>
    <n v="140"/>
  </r>
  <r>
    <d v="2025-07-31T09:10:00"/>
    <s v="INYECTADO"/>
    <x v="8"/>
    <x v="163"/>
    <s v="CRISALIDA ZAPATA"/>
    <s v="VIRGEN"/>
    <s v="PP CLARIFICADO"/>
    <s v="."/>
    <s v="TAPA TAPERS REDONDOS"/>
    <s v="TAPA TAPER REDONDO-AZUL"/>
    <n v="494"/>
    <n v="4"/>
    <n v="46.5"/>
    <x v="0"/>
    <n v="0"/>
    <n v="6"/>
    <n v="1157"/>
    <n v="22118"/>
    <s v="AZUL"/>
    <n v="9.5"/>
    <n v="0"/>
    <n v="0"/>
    <n v="16.302"/>
    <n v="46.5"/>
    <n v="33"/>
    <n v="1409.090909090909"/>
    <x v="6"/>
    <x v="0"/>
    <n v="29"/>
    <n v="4"/>
    <n v="164.66666666666666"/>
  </r>
  <r>
    <d v="2025-07-31T09:10:00"/>
    <s v="INYECTADO"/>
    <x v="8"/>
    <x v="163"/>
    <s v="CRISALIDA ZAPATA"/>
    <s v="VIRGEN"/>
    <s v="PP CLARIFICADO"/>
    <s v="."/>
    <s v="TAPA TAPERS REDONDOS"/>
    <s v="TAPA TAPER REDONDO-FUCSIA"/>
    <n v="213"/>
    <n v="2"/>
    <n v="20.100000000000001"/>
    <x v="0"/>
    <n v="0"/>
    <n v="3"/>
    <n v="1157"/>
    <n v="22118"/>
    <s v="FUCSIA"/>
    <n v="5"/>
    <n v="0"/>
    <n v="0"/>
    <n v="7.0289999999999999"/>
    <n v="20.100000000000001"/>
    <n v="33"/>
    <n v="609.09090909090912"/>
    <x v="6"/>
    <x v="0"/>
    <n v="29"/>
    <n v="4"/>
    <n v="71"/>
  </r>
  <r>
    <d v="2025-07-31T09:10:00"/>
    <s v="INYECTADO"/>
    <x v="8"/>
    <x v="163"/>
    <s v="ISABEL LINARIZ "/>
    <s v="VIRGEN"/>
    <s v="PP CLARIFICADO"/>
    <s v="."/>
    <s v="TAPA TAPERS REDONDOS"/>
    <s v="TAPA TAPER REDONDO-FUCSIA"/>
    <n v="12"/>
    <n v="1"/>
    <n v="1.2"/>
    <x v="1"/>
    <n v="0"/>
    <n v="1"/>
    <n v="1157"/>
    <n v="22119"/>
    <s v="FUCSIA"/>
    <n v="1"/>
    <n v="0"/>
    <n v="0"/>
    <n v="0.39600000000000002"/>
    <n v="1.2"/>
    <n v="33"/>
    <n v="36.363636363636367"/>
    <x v="6"/>
    <x v="0"/>
    <n v="29"/>
    <n v="4"/>
    <n v="4"/>
  </r>
  <r>
    <d v="2025-07-31T09:10:00"/>
    <s v="INYECTADO"/>
    <x v="8"/>
    <x v="163"/>
    <s v="ISABEL LINARIZ "/>
    <s v="VIRGEN"/>
    <s v="PP CLARIFICADO"/>
    <s v="."/>
    <s v="TAPA TAPERS REDONDOS CARAMELO"/>
    <s v="TAPA TAPERS REDONDOS CARAMELO-AMARILLO"/>
    <n v="523"/>
    <n v="4"/>
    <n v="49.2"/>
    <x v="1"/>
    <n v="0"/>
    <n v="7"/>
    <n v="1157"/>
    <n v="22119"/>
    <s v="AMARILLO"/>
    <n v="10"/>
    <n v="0"/>
    <n v="0"/>
    <n v="17.259"/>
    <n v="49.2"/>
    <n v="33"/>
    <n v="1490.909090909091"/>
    <x v="6"/>
    <x v="0"/>
    <n v="29"/>
    <n v="4"/>
    <n v="174.33333333333334"/>
  </r>
  <r>
    <d v="2025-07-31T09:10:00"/>
    <s v="INYECTADO"/>
    <x v="8"/>
    <x v="163"/>
    <s v="ISABEL LINARIZ "/>
    <s v="VIRGEN"/>
    <s v="PP CLARIFICADO"/>
    <s v="."/>
    <s v="TAPA TAPERS REDONDOS CARAMELO"/>
    <s v="TAPA TAPERS REDONDOS CARAMELO-VERDE"/>
    <n v="528"/>
    <n v="4"/>
    <n v="49.7"/>
    <x v="1"/>
    <n v="0"/>
    <n v="7"/>
    <n v="1157"/>
    <n v="22119"/>
    <s v="VERDE"/>
    <n v="3"/>
    <n v="0"/>
    <n v="0"/>
    <n v="17.423999999999999"/>
    <n v="49.7"/>
    <n v="33"/>
    <n v="1506.060606060606"/>
    <x v="6"/>
    <x v="0"/>
    <n v="29"/>
    <n v="4"/>
    <n v="176"/>
  </r>
  <r>
    <d v="2025-07-31T09:10:00"/>
    <s v="INYECTADO"/>
    <x v="8"/>
    <x v="163"/>
    <s v="ISABEL LINARIZ "/>
    <s v="VIRGEN"/>
    <s v="PP CLARIFICADO"/>
    <s v="."/>
    <s v="TAPA TAPERS REDONDOS CARAMELO"/>
    <s v="TAPA TAPERS REDONDOS CARAMELO-ROJO"/>
    <n v="373"/>
    <n v="3"/>
    <n v="35.1"/>
    <x v="1"/>
    <n v="0"/>
    <n v="5"/>
    <n v="1157"/>
    <n v="22119"/>
    <s v="ROJO"/>
    <n v="1.3"/>
    <n v="0"/>
    <n v="0"/>
    <n v="12.308999999999999"/>
    <n v="35.1"/>
    <n v="33"/>
    <n v="1063.6363636363637"/>
    <x v="6"/>
    <x v="0"/>
    <n v="29"/>
    <n v="4"/>
    <n v="124.33333333333333"/>
  </r>
  <r>
    <d v="2025-07-31T09:10:00"/>
    <s v="INYECTADO"/>
    <x v="8"/>
    <x v="164"/>
    <s v="KARLA HUISA"/>
    <s v="VIRGEN"/>
    <s v="PP CLARIFICADO"/>
    <s v="."/>
    <s v="TAPA TAPERS REDONDOS CARAMELO"/>
    <s v="TAPA TAPERS REDONDOS CARAMELO-ROJO"/>
    <n v="198"/>
    <n v="2"/>
    <n v="13.2"/>
    <x v="0"/>
    <n v="0"/>
    <n v="2"/>
    <n v="1157"/>
    <n v="22120"/>
    <s v="ROJO"/>
    <n v="10.4"/>
    <n v="0"/>
    <n v="0"/>
    <n v="6.5339999999999998"/>
    <n v="13.2"/>
    <n v="33"/>
    <n v="400"/>
    <x v="6"/>
    <x v="0"/>
    <n v="29"/>
    <n v="4"/>
    <n v="66"/>
  </r>
  <r>
    <d v="2025-07-31T09:10:00"/>
    <s v="INYECTADO"/>
    <x v="8"/>
    <x v="164"/>
    <s v="KARLA HUISA"/>
    <s v="VIRGEN"/>
    <s v="PP CLARIFICADO"/>
    <s v="."/>
    <s v="TAPA TAPERS REDONDOS"/>
    <s v="TAPA TAPERS REDONDOS CARAMELO-FUCSIA"/>
    <n v="520"/>
    <n v="5"/>
    <n v="46.6"/>
    <x v="0"/>
    <n v="0"/>
    <n v="5"/>
    <n v="1157"/>
    <n v="22120"/>
    <s v="FUCSIA"/>
    <n v="12.4"/>
    <n v="0"/>
    <n v="0"/>
    <n v="17.16"/>
    <n v="46.6"/>
    <n v="33"/>
    <n v="1412.121212121212"/>
    <x v="6"/>
    <x v="0"/>
    <n v="29"/>
    <n v="4"/>
    <n v="173.33333333333334"/>
  </r>
  <r>
    <d v="2025-07-31T09:10:00"/>
    <s v="INYECTADO"/>
    <x v="8"/>
    <x v="164"/>
    <s v="KARLA HUISA"/>
    <s v="VIRGEN"/>
    <s v="PP CLARIFICADO"/>
    <s v="."/>
    <s v="TAPA TAPERS REDONDOS CARAMELO"/>
    <s v="TAPA TAPER REDONDO-FUCSIA"/>
    <n v="253"/>
    <n v="3"/>
    <n v="24.7"/>
    <x v="0"/>
    <n v="0"/>
    <n v="3"/>
    <n v="1157"/>
    <n v="22120"/>
    <s v="FUCSIA"/>
    <n v="12.4"/>
    <n v="0"/>
    <n v="0"/>
    <n v="8.3490000000000002"/>
    <n v="24.7"/>
    <n v="33"/>
    <n v="748.4848484848485"/>
    <x v="6"/>
    <x v="0"/>
    <n v="29"/>
    <n v="4"/>
    <n v="84.333333333333329"/>
  </r>
  <r>
    <d v="2025-07-31T09:10:00"/>
    <s v="INYECTADO"/>
    <x v="8"/>
    <x v="164"/>
    <s v="KARLA HUISA"/>
    <s v="VIRGEN"/>
    <s v="PP CLARIFICADO"/>
    <s v="."/>
    <s v="TAPA TAPERS REDONDOS CARAMELO"/>
    <s v="TAPA TAPERS REDONDOS CARAMELO-AZUL"/>
    <n v="80"/>
    <n v="1"/>
    <n v="6.3"/>
    <x v="0"/>
    <n v="0"/>
    <n v="6"/>
    <n v="1157"/>
    <n v="22120"/>
    <s v="AZUL"/>
    <n v="1.3"/>
    <n v="0"/>
    <n v="0"/>
    <n v="2.64"/>
    <n v="6.3"/>
    <n v="33"/>
    <n v="190.90909090909091"/>
    <x v="6"/>
    <x v="0"/>
    <n v="29"/>
    <n v="4"/>
    <n v="26.666666666666668"/>
  </r>
  <r>
    <d v="2025-07-31T09:10:00"/>
    <s v="INYECTADO"/>
    <x v="8"/>
    <x v="164"/>
    <s v="ISABEL LINARIZ "/>
    <s v="VIRGEN"/>
    <s v="PP CLARIFICADO"/>
    <s v="."/>
    <s v="TAPA TAPERS REDONDOS CARAMELO"/>
    <s v="TAPA TAPERS REDONDOS CARAMELO-AZUL"/>
    <n v="369"/>
    <n v="4"/>
    <n v="34.700000000000003"/>
    <x v="1"/>
    <n v="0"/>
    <n v="6"/>
    <n v="1157"/>
    <n v="22121"/>
    <s v="AZUL"/>
    <n v="1.2"/>
    <n v="0"/>
    <n v="0"/>
    <n v="12.177"/>
    <n v="34.700000000000003"/>
    <n v="33"/>
    <n v="1051.5151515151515"/>
    <x v="6"/>
    <x v="0"/>
    <n v="29"/>
    <n v="4"/>
    <n v="123"/>
  </r>
  <r>
    <d v="2025-07-31T09:10:00"/>
    <s v="INYECTADO"/>
    <x v="8"/>
    <x v="164"/>
    <s v="ISABEL LINARIZ "/>
    <s v="VIRGEN"/>
    <s v="PP CLARIFICADO"/>
    <s v="."/>
    <s v="TAPA TAPERS REDONDOS CARAMELO"/>
    <s v="TAPA TAPERS REDONDOS CARAMELO-LILA"/>
    <n v="493"/>
    <n v="4"/>
    <n v="46.4"/>
    <x v="1"/>
    <n v="0"/>
    <n v="5"/>
    <n v="1157"/>
    <n v="22121"/>
    <s v="LILA"/>
    <n v="0.9"/>
    <n v="0"/>
    <n v="0"/>
    <n v="16.268999999999998"/>
    <n v="46.4"/>
    <n v="33"/>
    <n v="1406.060606060606"/>
    <x v="6"/>
    <x v="0"/>
    <n v="29"/>
    <n v="4"/>
    <n v="164.33333333333334"/>
  </r>
  <r>
    <d v="2025-07-31T09:10:00"/>
    <s v="INYECTADO"/>
    <x v="8"/>
    <x v="165"/>
    <s v="JUANA CRUCES"/>
    <s v="VIRGEN"/>
    <s v="PP CLARIFICADO"/>
    <s v="."/>
    <s v="TAPA TAPERS REDONDOS"/>
    <s v="TAPA TAPERS REDONDOS CARAMELO-LILA"/>
    <n v="34"/>
    <n v="1"/>
    <n v="3.2"/>
    <x v="0"/>
    <n v="0"/>
    <n v="6"/>
    <n v="1157"/>
    <n v="22122"/>
    <s v="LILA"/>
    <n v="10.199999999999999"/>
    <n v="0"/>
    <n v="0"/>
    <n v="1.1220000000000001"/>
    <n v="3.2"/>
    <n v="33"/>
    <n v="96.969696969696969"/>
    <x v="6"/>
    <x v="0"/>
    <n v="29"/>
    <n v="4"/>
    <n v="11.333333333333334"/>
  </r>
  <r>
    <d v="2025-07-31T09:10:00"/>
    <s v="INYECTADO"/>
    <x v="8"/>
    <x v="165"/>
    <s v="JUANA CRUCES"/>
    <s v="VIRGEN"/>
    <s v="PP CLARIFICADO"/>
    <s v="."/>
    <s v="TAPA TAPERS REDONDOS"/>
    <s v="TAPA TAPER REDONDO-AMARILLO"/>
    <n v="488"/>
    <n v="4"/>
    <n v="46.9"/>
    <x v="0"/>
    <n v="0"/>
    <n v="5"/>
    <n v="1157"/>
    <n v="22122"/>
    <s v="AMARILLO"/>
    <n v="11"/>
    <n v="0"/>
    <n v="0"/>
    <n v="16.103999999999999"/>
    <n v="46.9"/>
    <n v="33"/>
    <n v="1421.2121212121212"/>
    <x v="6"/>
    <x v="0"/>
    <n v="29"/>
    <n v="4"/>
    <n v="162.66666666666666"/>
  </r>
  <r>
    <d v="2025-07-31T09:10:00"/>
    <s v="INYECTADO"/>
    <x v="8"/>
    <x v="165"/>
    <s v="JUANA CRUCES"/>
    <s v="VIRGEN"/>
    <s v="PP CLARIFICADO"/>
    <s v="."/>
    <s v="TAPA TAPERS REDONDOS"/>
    <s v="TAPA TAPER REDONDO-VERDE"/>
    <n v="471"/>
    <n v="4"/>
    <n v="45.7"/>
    <x v="0"/>
    <n v="0"/>
    <n v="6"/>
    <n v="1157"/>
    <n v="22122"/>
    <s v="VERDE"/>
    <n v="3.2"/>
    <n v="0"/>
    <n v="0"/>
    <n v="15.542999999999999"/>
    <n v="45.7"/>
    <n v="33"/>
    <n v="1384.8484848484848"/>
    <x v="6"/>
    <x v="0"/>
    <n v="29"/>
    <n v="4"/>
    <n v="157"/>
  </r>
  <r>
    <d v="2025-07-31T09:10:00"/>
    <s v="INYECTADO"/>
    <x v="8"/>
    <x v="165"/>
    <s v="JUAN MANUEL PEREZ"/>
    <s v="VIRGEN"/>
    <s v="PP CLARIFICADO"/>
    <s v="."/>
    <s v="TAPA TAPERS REDONDOS"/>
    <s v="TAPA TAPER REDONDO-TURQUESA"/>
    <n v="495"/>
    <n v="5"/>
    <n v="48.6"/>
    <x v="1"/>
    <n v="0"/>
    <n v="6"/>
    <n v="1157"/>
    <n v="22123"/>
    <s v="TURQUESA"/>
    <n v="3"/>
    <n v="0"/>
    <n v="0"/>
    <n v="16.335000000000001"/>
    <n v="48.6"/>
    <n v="33"/>
    <n v="1472.7272727272727"/>
    <x v="6"/>
    <x v="0"/>
    <n v="29"/>
    <n v="4"/>
    <n v="165"/>
  </r>
  <r>
    <d v="2025-07-31T09:10:00"/>
    <s v="INYECTADO"/>
    <x v="8"/>
    <x v="165"/>
    <s v="JUAN MANUEL PEREZ"/>
    <s v="VIRGEN"/>
    <s v="PP CLARIFICADO"/>
    <s v="."/>
    <s v="TAPA TAPERS REDONDOS"/>
    <s v="TAPA TAPER REDONDO-AZUL"/>
    <n v="459"/>
    <n v="6"/>
    <n v="45"/>
    <x v="1"/>
    <n v="0"/>
    <n v="6"/>
    <n v="1157"/>
    <n v="22123"/>
    <s v="AZUL"/>
    <n v="3"/>
    <n v="0"/>
    <n v="0"/>
    <n v="15.147"/>
    <n v="45"/>
    <n v="33"/>
    <n v="1363.6363636363637"/>
    <x v="6"/>
    <x v="0"/>
    <n v="29"/>
    <n v="4"/>
    <n v="153"/>
  </r>
  <r>
    <d v="2025-07-31T09:10:00"/>
    <s v="INYECTADO"/>
    <x v="8"/>
    <x v="165"/>
    <s v="JUAN MANUEL PEREZ"/>
    <s v="VIRGEN"/>
    <s v="PP CLARIFICADO"/>
    <s v="."/>
    <s v="TAPA TAPERS REDONDOS"/>
    <s v="TAPA TAPER REDONDO-VERDE"/>
    <n v="40"/>
    <n v="1"/>
    <n v="3.9"/>
    <x v="1"/>
    <n v="0"/>
    <n v="1"/>
    <n v="1157"/>
    <n v="22123"/>
    <s v="VERDE"/>
    <n v="0"/>
    <n v="0"/>
    <n v="0"/>
    <n v="1.32"/>
    <n v="3.9"/>
    <n v="33"/>
    <n v="118.18181818181819"/>
    <x v="6"/>
    <x v="0"/>
    <n v="29"/>
    <n v="4"/>
    <n v="13.333333333333334"/>
  </r>
  <r>
    <d v="2025-07-31T09:10:00"/>
    <s v="INYECTADO"/>
    <x v="8"/>
    <x v="158"/>
    <s v="JUANA CRUCES"/>
    <s v="VIRGEN"/>
    <s v="PP CLARIFICADO"/>
    <s v="."/>
    <s v="TAPA TAPERS REDONDOS"/>
    <s v="TAPA TAPER REDONDO-AZUL"/>
    <n v="27"/>
    <n v="1"/>
    <n v="2.6"/>
    <x v="0"/>
    <n v="0"/>
    <n v="1"/>
    <n v="1157"/>
    <n v="22124"/>
    <s v="AZUL"/>
    <n v="9.1999999999999993"/>
    <n v="0"/>
    <n v="0"/>
    <n v="0.89100000000000001"/>
    <n v="2.6"/>
    <n v="33"/>
    <n v="78.787878787878782"/>
    <x v="6"/>
    <x v="0"/>
    <n v="30"/>
    <n v="4"/>
    <n v="9"/>
  </r>
  <r>
    <d v="2025-07-31T09:10:00"/>
    <s v="INYECTADO"/>
    <x v="8"/>
    <x v="158"/>
    <s v="JUANA CRUCES"/>
    <s v="VIRGEN"/>
    <s v="PP CLARIFICADO"/>
    <s v="."/>
    <s v="TAPA TAPERS REDONDOS"/>
    <s v="TAPA TAPER REDONDO-FUCSIA"/>
    <n v="506"/>
    <n v="5"/>
    <n v="49.6"/>
    <x v="0"/>
    <n v="0"/>
    <n v="7"/>
    <n v="1157"/>
    <n v="22124"/>
    <s v="FUCSIA"/>
    <n v="11.7"/>
    <n v="0"/>
    <n v="0"/>
    <n v="16.698"/>
    <n v="49.6"/>
    <n v="33"/>
    <n v="1503.030303030303"/>
    <x v="6"/>
    <x v="0"/>
    <n v="30"/>
    <n v="4"/>
    <n v="168.66666666666666"/>
  </r>
  <r>
    <d v="2025-07-31T09:10:00"/>
    <s v="INYECTADO"/>
    <x v="8"/>
    <x v="158"/>
    <s v="JUANA CRUCES"/>
    <s v="VIRGEN"/>
    <s v="PP CLARIFICADO"/>
    <s v="."/>
    <s v="TAPA TAPERS REDONDOS"/>
    <s v="TAPA TAPER REDONDO-ROJO"/>
    <n v="428"/>
    <n v="4"/>
    <n v="42"/>
    <x v="0"/>
    <n v="0"/>
    <n v="6"/>
    <n v="1157"/>
    <n v="22124"/>
    <s v="ROJO"/>
    <n v="5.0999999999999996"/>
    <n v="0"/>
    <n v="0"/>
    <n v="14.124000000000001"/>
    <n v="42"/>
    <n v="33"/>
    <n v="1272.7272727272727"/>
    <x v="6"/>
    <x v="0"/>
    <n v="30"/>
    <n v="4"/>
    <n v="142.66666666666666"/>
  </r>
  <r>
    <d v="2025-07-31T09:10:00"/>
    <s v="INYECTADO"/>
    <x v="8"/>
    <x v="159"/>
    <s v="ROSA MERINO"/>
    <s v="VIRGEN"/>
    <s v="PP CLARIFICADO"/>
    <s v="."/>
    <s v="TAPER ALEMAN 550ML TRANSP"/>
    <s v="TAPER 550ML TRANSP-TRANSPARENTE"/>
    <n v="214"/>
    <n v="2"/>
    <n v="16.7"/>
    <x v="0"/>
    <n v="0"/>
    <n v="2"/>
    <n v="1168"/>
    <n v="22126"/>
    <s v="TRANSPARENTE"/>
    <n v="14.8"/>
    <n v="0"/>
    <n v="0"/>
    <n v="7.9180000000000001"/>
    <n v="16.7"/>
    <n v="37"/>
    <n v="451.35135135135135"/>
    <x v="6"/>
    <x v="0"/>
    <n v="30"/>
    <n v="1"/>
    <n v="17.833333333333332"/>
  </r>
  <r>
    <d v="2025-07-31T09:10:00"/>
    <s v="INYECTADO"/>
    <x v="8"/>
    <x v="159"/>
    <s v="ISABEL LINARIZ "/>
    <s v="VIRGEN"/>
    <s v="PP CLARIFICADO"/>
    <s v="."/>
    <s v="TAPER ALEMAN 550ML TRANSP"/>
    <s v="TAPER 550ML TRANSP-TRANSPARENTE"/>
    <n v="2092"/>
    <n v="12"/>
    <n v="163.19999999999999"/>
    <x v="1"/>
    <n v="0"/>
    <n v="19"/>
    <n v="1168"/>
    <n v="22127"/>
    <s v="TRANSPARENTE"/>
    <n v="1.5"/>
    <n v="0"/>
    <n v="0"/>
    <n v="77.403999999999996"/>
    <n v="163.19999999999999"/>
    <n v="37"/>
    <n v="4410.8108108108108"/>
    <x v="6"/>
    <x v="0"/>
    <n v="30"/>
    <n v="1"/>
    <n v="174.33333333333334"/>
  </r>
  <r>
    <d v="2025-07-31T09:10:00"/>
    <s v="INYECTADO"/>
    <x v="8"/>
    <x v="160"/>
    <s v="JUANA CRUCES"/>
    <s v="VIRGEN"/>
    <s v="PP CLARIFICADO"/>
    <s v="."/>
    <s v="TAPER ALEMAN 550ML TRANSP"/>
    <s v="TAPER 550ML TRANSP-TRANSPARENTE"/>
    <n v="1890"/>
    <n v="11"/>
    <n v="145.6"/>
    <x v="0"/>
    <n v="0"/>
    <n v="16"/>
    <n v="1168"/>
    <n v="22128"/>
    <s v="TRANSPARENTE"/>
    <n v="2.2000000000000002"/>
    <n v="0"/>
    <n v="0"/>
    <n v="69.930000000000007"/>
    <n v="145.6"/>
    <n v="37"/>
    <n v="3935.135135135135"/>
    <x v="6"/>
    <x v="0"/>
    <n v="30"/>
    <n v="1"/>
    <n v="157.5"/>
  </r>
  <r>
    <d v="2025-07-31T09:10:00"/>
    <s v="INYECTADO"/>
    <x v="8"/>
    <x v="160"/>
    <s v="JOSDER GONZALEZ"/>
    <s v="VIRGEN"/>
    <s v="PP CLARIFICADO"/>
    <s v="."/>
    <s v="TAPER ALEMAN 550ML TRANSP"/>
    <s v="TAPER 550ML TRANSP-TRANSPARENTE"/>
    <n v="619"/>
    <n v="6"/>
    <n v="47.7"/>
    <x v="1"/>
    <n v="0"/>
    <n v="6"/>
    <n v="1168"/>
    <n v="22129"/>
    <s v="TRANSPARENTE"/>
    <n v="0"/>
    <n v="0"/>
    <n v="0"/>
    <n v="22.902999999999999"/>
    <n v="47.7"/>
    <n v="37"/>
    <n v="1289.1891891891892"/>
    <x v="6"/>
    <x v="0"/>
    <n v="30"/>
    <n v="1"/>
    <n v="51.583333333333336"/>
  </r>
  <r>
    <d v="2025-07-31T09:10:00"/>
    <s v="INYECTADO"/>
    <x v="8"/>
    <x v="160"/>
    <s v="JOSDER GONZALEZ"/>
    <s v="VIRGEN"/>
    <s v="PP CLARIFICADO"/>
    <s v="."/>
    <s v="TAPER ALEMAN 550ML CARAMELO"/>
    <s v="TAPER 550ML CARAMELO-AMARILLO"/>
    <n v="319"/>
    <n v="3"/>
    <n v="24.6"/>
    <x v="1"/>
    <n v="0"/>
    <n v="3"/>
    <n v="1175"/>
    <n v="22129"/>
    <s v="AMARILLO"/>
    <n v="4.0999999999999996"/>
    <n v="0"/>
    <n v="0"/>
    <n v="12.122"/>
    <n v="24.6"/>
    <n v="38"/>
    <n v="647.36842105263156"/>
    <x v="6"/>
    <x v="0"/>
    <n v="30"/>
    <n v="2"/>
    <n v="53.166666666666664"/>
  </r>
  <r>
    <d v="2025-07-31T09:10:00"/>
    <s v="INYECTADO"/>
    <x v="8"/>
    <x v="160"/>
    <s v="JOSDER GONZALEZ"/>
    <s v="VIRGEN"/>
    <s v="PP CLARIFICADO"/>
    <s v="."/>
    <s v="TAPER ALEMAN 550ML CARAMELO"/>
    <s v="TAPER 550ML CARAMELO-ROJO"/>
    <n v="831"/>
    <n v="8"/>
    <n v="64"/>
    <x v="1"/>
    <n v="0"/>
    <n v="7"/>
    <n v="1175"/>
    <n v="22129"/>
    <s v="ROJO"/>
    <n v="3.5"/>
    <n v="0"/>
    <n v="0"/>
    <n v="31.577999999999999"/>
    <n v="64"/>
    <n v="38"/>
    <n v="1684.2105263157894"/>
    <x v="6"/>
    <x v="0"/>
    <n v="30"/>
    <n v="2"/>
    <n v="138.5"/>
  </r>
  <r>
    <d v="2025-07-31T09:10:00"/>
    <s v="INYECTADO"/>
    <x v="8"/>
    <x v="154"/>
    <s v="JUANA CRUCES"/>
    <s v="VIRGEN"/>
    <s v="PP CLARIFICADO"/>
    <s v="."/>
    <s v="TAPER ALEMAN 550ML CARAMELO"/>
    <s v="TAPER 550ML CARAMELO-ROJO"/>
    <n v="484"/>
    <n v="4"/>
    <n v="36.799999999999997"/>
    <x v="0"/>
    <n v="0"/>
    <n v="5"/>
    <n v="1175"/>
    <n v="22130"/>
    <s v="ROJO"/>
    <n v="12.2"/>
    <n v="0"/>
    <n v="0"/>
    <n v="18.391999999999999"/>
    <n v="36.799999999999997"/>
    <n v="38"/>
    <n v="968.42105263157896"/>
    <x v="6"/>
    <x v="0"/>
    <n v="30"/>
    <n v="2"/>
    <n v="80.666666666666671"/>
  </r>
  <r>
    <d v="2025-07-31T09:10:00"/>
    <s v="INYECTADO"/>
    <x v="8"/>
    <x v="154"/>
    <s v="JUANA CRUCES"/>
    <s v="VIRGEN"/>
    <s v="PP CLARIFICADO"/>
    <s v="."/>
    <s v="TAPER ALEMAN 550ML CARAMELO"/>
    <s v="TAPER 550ML CARAMELO-FUCSIA"/>
    <n v="642"/>
    <n v="6"/>
    <n v="50.1"/>
    <x v="0"/>
    <n v="0"/>
    <n v="6"/>
    <n v="1175"/>
    <n v="22130"/>
    <s v="FUCSIA"/>
    <n v="3.4"/>
    <n v="0"/>
    <n v="0"/>
    <n v="24.396000000000001"/>
    <n v="50.1"/>
    <n v="38"/>
    <n v="1318.421052631579"/>
    <x v="6"/>
    <x v="0"/>
    <n v="30"/>
    <n v="2"/>
    <n v="107"/>
  </r>
  <r>
    <d v="2025-07-31T09:10:00"/>
    <s v="INYECTADO"/>
    <x v="8"/>
    <x v="154"/>
    <s v="JUANA CRUCES"/>
    <s v="VIRGEN"/>
    <s v="PP CLARIFICADO"/>
    <s v="."/>
    <s v="TAPER ALEMAN 550ML CARAMELO"/>
    <s v="TAPER 550ML CARAMELO-LILA"/>
    <n v="484"/>
    <n v="4"/>
    <n v="37.799999999999997"/>
    <x v="0"/>
    <n v="0"/>
    <n v="4"/>
    <n v="1175"/>
    <n v="22130"/>
    <s v="LILA"/>
    <n v="5.5"/>
    <n v="0"/>
    <n v="0"/>
    <n v="18.391999999999999"/>
    <n v="37.799999999999997"/>
    <n v="38"/>
    <n v="994.73684210526312"/>
    <x v="6"/>
    <x v="0"/>
    <n v="30"/>
    <n v="2"/>
    <n v="80.666666666666671"/>
  </r>
  <r>
    <d v="2025-07-31T09:10:00"/>
    <s v="INYECTADO"/>
    <x v="8"/>
    <x v="154"/>
    <s v="ISABEL LINARIZ "/>
    <s v="VIRGEN"/>
    <s v="PP CLARIFICADO"/>
    <s v="."/>
    <s v="TAPER ALEMAN 550ML CARAMELO"/>
    <s v="TAPER 550ML CARAMELO-AZUL"/>
    <n v="319"/>
    <n v="3"/>
    <n v="24.9"/>
    <x v="1"/>
    <n v="0"/>
    <n v="3"/>
    <n v="1175"/>
    <n v="22131"/>
    <s v="AZUL"/>
    <n v="4.9000000000000004"/>
    <n v="0"/>
    <n v="0"/>
    <n v="12.122"/>
    <n v="24.9"/>
    <n v="38"/>
    <n v="655.26315789473688"/>
    <x v="6"/>
    <x v="0"/>
    <n v="30"/>
    <n v="2"/>
    <n v="53.166666666666664"/>
  </r>
  <r>
    <d v="2025-07-31T09:10:00"/>
    <s v="INYECTADO"/>
    <x v="8"/>
    <x v="154"/>
    <s v="ISABEL LINARIZ "/>
    <s v="VIRGEN"/>
    <s v="PP CLARIFICADO"/>
    <s v="."/>
    <s v="TAPER ALEMAN 550ML CARAMELO"/>
    <s v="TAPER 550ML CARAMELO-VERDE"/>
    <n v="323"/>
    <n v="3"/>
    <n v="25.2"/>
    <x v="1"/>
    <n v="0"/>
    <n v="3"/>
    <n v="1175"/>
    <n v="22131"/>
    <s v="VERDE"/>
    <n v="1.7"/>
    <n v="0"/>
    <n v="0"/>
    <n v="12.273999999999999"/>
    <n v="25.2"/>
    <n v="38"/>
    <n v="663.15789473684208"/>
    <x v="6"/>
    <x v="0"/>
    <n v="30"/>
    <n v="2"/>
    <n v="53.833333333333336"/>
  </r>
  <r>
    <d v="2025-07-31T09:10:00"/>
    <s v="INYECTADO"/>
    <x v="8"/>
    <x v="154"/>
    <s v="ISABEL LINARIZ "/>
    <s v="VIRGEN"/>
    <s v="PP CLARIFICADO"/>
    <s v="."/>
    <s v="TAPER ALEMAN 550ML SOLIDO"/>
    <s v="TAPER 550ML SOLIDO-TURQUESA"/>
    <n v="638"/>
    <n v="6"/>
    <n v="49.8"/>
    <x v="1"/>
    <n v="0"/>
    <n v="6"/>
    <n v="1176"/>
    <n v="22131"/>
    <s v="TURQUESA"/>
    <n v="9.1999999999999993"/>
    <n v="0"/>
    <n v="0"/>
    <n v="24.244"/>
    <n v="49.8"/>
    <n v="38"/>
    <n v="1310.5263157894738"/>
    <x v="6"/>
    <x v="0"/>
    <n v="30"/>
    <n v="2"/>
    <n v="106.33333333333333"/>
  </r>
  <r>
    <d v="2025-07-31T09:10:00"/>
    <s v="INYECTADO"/>
    <x v="8"/>
    <x v="154"/>
    <s v="ISABEL LINARIZ "/>
    <s v="VIRGEN"/>
    <s v="PP CLARIFICADO"/>
    <s v="."/>
    <s v="TAPER ALEMAN 550ML SOLIDO"/>
    <s v="TAPER 550ML SOLIDO-AMARILLO"/>
    <n v="382"/>
    <n v="3"/>
    <n v="29.8"/>
    <x v="1"/>
    <n v="0"/>
    <n v="4"/>
    <n v="1176"/>
    <n v="22131"/>
    <s v="AMARILLO"/>
    <n v="3.3"/>
    <n v="0"/>
    <n v="0"/>
    <n v="14.516"/>
    <n v="29.8"/>
    <n v="38"/>
    <n v="784.21052631578948"/>
    <x v="6"/>
    <x v="0"/>
    <n v="30"/>
    <n v="2"/>
    <n v="63.666666666666664"/>
  </r>
  <r>
    <d v="2025-07-31T09:10:00"/>
    <s v="INYECTADO"/>
    <x v="8"/>
    <x v="155"/>
    <s v="KARLA HUISA"/>
    <s v="VIRGEN"/>
    <s v="PP CLARIFICADO"/>
    <s v="."/>
    <s v="TAPER ALEMAN 550ML SOLIDO"/>
    <s v="TAPER 550ML SOLIDO-AMARILLO"/>
    <n v="274"/>
    <n v="2"/>
    <n v="21.4"/>
    <x v="0"/>
    <n v="0"/>
    <n v="3"/>
    <n v="1176"/>
    <n v="22132"/>
    <s v="AZUL"/>
    <n v="4.9000000000000004"/>
    <n v="0"/>
    <n v="0"/>
    <n v="10.412000000000001"/>
    <n v="21.4"/>
    <n v="38"/>
    <n v="563.15789473684208"/>
    <x v="6"/>
    <x v="0"/>
    <n v="30"/>
    <n v="2"/>
    <n v="45.666666666666664"/>
  </r>
  <r>
    <d v="2025-07-31T09:10:00"/>
    <s v="INYECTADO"/>
    <x v="8"/>
    <x v="155"/>
    <s v="KARLA HUISA"/>
    <s v="VIRGEN"/>
    <s v="PP CLARIFICADO"/>
    <s v="."/>
    <s v="TAPER ALEMAN 550ML SOLIDO"/>
    <s v="TAPER 550ML SOLIDO-FUCSIA"/>
    <n v="578"/>
    <n v="5"/>
    <n v="45.1"/>
    <x v="0"/>
    <n v="0"/>
    <n v="5"/>
    <n v="1176"/>
    <n v="22132"/>
    <s v="FUCSIA"/>
    <n v="10.3"/>
    <n v="0"/>
    <n v="0"/>
    <n v="21.963999999999999"/>
    <n v="45.1"/>
    <n v="38"/>
    <n v="1186.8421052631579"/>
    <x v="6"/>
    <x v="0"/>
    <n v="30"/>
    <n v="2"/>
    <n v="96.333333333333329"/>
  </r>
  <r>
    <d v="2025-07-31T09:10:00"/>
    <s v="INYECTADO"/>
    <x v="8"/>
    <x v="155"/>
    <s v="KARLA HUISA"/>
    <s v="VIRGEN"/>
    <s v="PP CLARIFICADO"/>
    <s v="."/>
    <s v="TAPER ALEMAN 550ML SOLIDO"/>
    <s v="TAPER 550ML SOLIDO-VERDE"/>
    <n v="608"/>
    <n v="6"/>
    <n v="47.5"/>
    <x v="0"/>
    <n v="0"/>
    <n v="6"/>
    <n v="1176"/>
    <n v="22132"/>
    <s v="VERDE"/>
    <n v="7.6"/>
    <n v="0"/>
    <n v="0"/>
    <n v="23.103999999999999"/>
    <n v="47.5"/>
    <n v="38"/>
    <n v="1250"/>
    <x v="6"/>
    <x v="0"/>
    <n v="30"/>
    <n v="2"/>
    <n v="101.33333333333333"/>
  </r>
  <r>
    <d v="2025-07-31T09:10:00"/>
    <s v="INYECTADO"/>
    <x v="8"/>
    <x v="155"/>
    <s v="JUAN MANUEL PEREZ"/>
    <s v="VIRGEN"/>
    <s v="PP CLARIFICADO"/>
    <s v="."/>
    <s v="TAPER ALEMAN 550ML SOLIDO"/>
    <s v="TAPER 550ML SOLIDO-VERDE"/>
    <n v="43"/>
    <n v="1"/>
    <n v="3.4"/>
    <x v="1"/>
    <n v="0"/>
    <n v="1"/>
    <n v="1176"/>
    <n v="22133"/>
    <s v="VERDE"/>
    <n v="3"/>
    <n v="0"/>
    <n v="0"/>
    <n v="1.6339999999999999"/>
    <n v="3.4"/>
    <n v="38"/>
    <n v="89.473684210526315"/>
    <x v="6"/>
    <x v="0"/>
    <n v="30"/>
    <n v="2"/>
    <n v="7.166666666666667"/>
  </r>
  <r>
    <d v="2025-07-31T09:10:00"/>
    <s v="INYECTADO"/>
    <x v="8"/>
    <x v="155"/>
    <s v="JUAN MANUEL PEREZ"/>
    <s v="VIRGEN"/>
    <s v="PP CLARIFICADO"/>
    <s v="."/>
    <s v="TAPER ALEMAN 550ML SOLIDO"/>
    <s v="TAPER 550ML SOLIDO-AZUL"/>
    <n v="633"/>
    <n v="5"/>
    <n v="49.4"/>
    <x v="1"/>
    <n v="0"/>
    <n v="6"/>
    <n v="1176"/>
    <n v="22133"/>
    <s v="AZUL"/>
    <n v="4.2"/>
    <n v="0"/>
    <n v="0"/>
    <n v="24.053999999999998"/>
    <n v="49.4"/>
    <n v="38"/>
    <n v="1300"/>
    <x v="6"/>
    <x v="0"/>
    <n v="30"/>
    <n v="2"/>
    <n v="105.5"/>
  </r>
  <r>
    <d v="2025-07-31T09:10:00"/>
    <s v="INYECTADO"/>
    <x v="8"/>
    <x v="155"/>
    <s v="JUAN MANUEL PEREZ"/>
    <s v="VIRGEN"/>
    <s v="PP CLARIFICADO"/>
    <s v="."/>
    <s v="TAPER ALEMAN 550ML SOLIDO"/>
    <s v="TAPER 550ML SOLIDO-ROJO"/>
    <n v="632"/>
    <n v="5"/>
    <n v="49.3"/>
    <x v="1"/>
    <n v="0"/>
    <n v="6"/>
    <n v="1176"/>
    <n v="22133"/>
    <s v="ROJO"/>
    <n v="4.2"/>
    <n v="0"/>
    <n v="0"/>
    <n v="24.015999999999998"/>
    <n v="49.3"/>
    <n v="38"/>
    <n v="1297.3684210526317"/>
    <x v="6"/>
    <x v="0"/>
    <n v="30"/>
    <n v="2"/>
    <n v="105.33333333333333"/>
  </r>
  <r>
    <d v="2025-07-31T09:10:00"/>
    <s v="INYECTADO"/>
    <x v="8"/>
    <x v="156"/>
    <s v="JUAN MANUEL PEREZ"/>
    <s v="VIRGEN"/>
    <s v="PP CLARIFICADO"/>
    <s v="."/>
    <s v="TAPER ALEMAN 2800ML TRANSP"/>
    <s v="TAPER 2800ML TRANSP-TRANSPARENTE"/>
    <n v="618"/>
    <n v="5"/>
    <n v="81"/>
    <x v="1"/>
    <n v="0"/>
    <n v="10"/>
    <n v="1177"/>
    <n v="22134"/>
    <s v="TRANSPARENTE"/>
    <n v="30.6"/>
    <n v="0"/>
    <n v="0"/>
    <n v="82.811999999999998"/>
    <n v="81"/>
    <n v="134"/>
    <n v="604.47761194029852"/>
    <x v="6"/>
    <x v="0"/>
    <n v="30"/>
    <n v="1"/>
    <n v="51.5"/>
  </r>
  <r>
    <d v="2025-07-31T09:10:00"/>
    <s v="INYECTADO"/>
    <x v="8"/>
    <x v="157"/>
    <s v="SAID VILLAMIZAR"/>
    <s v="VIRGEN"/>
    <s v="PP CLARIFICADO"/>
    <s v="."/>
    <s v="TAPER ALEMAN 2800ML TRANSP"/>
    <s v="TAPER 2800ML TRANSP-TRANSPARENTE"/>
    <n v="669"/>
    <n v="6"/>
    <n v="87.7"/>
    <x v="0"/>
    <n v="0"/>
    <n v="12"/>
    <n v="1177"/>
    <n v="22135"/>
    <s v="TRANSPARENTE"/>
    <n v="11.1"/>
    <n v="0"/>
    <n v="0"/>
    <n v="89.646000000000001"/>
    <n v="87.7"/>
    <n v="134"/>
    <n v="654.47761194029852"/>
    <x v="6"/>
    <x v="0"/>
    <n v="30"/>
    <n v="1"/>
    <n v="55.75"/>
  </r>
  <r>
    <d v="2025-07-31T09:10:00"/>
    <s v="INYECTADO"/>
    <x v="8"/>
    <x v="166"/>
    <s v="SEBASTIAN MURGA"/>
    <s v="VIRGEN"/>
    <s v="PP CLARIFICADO"/>
    <s v="."/>
    <s v="TAPER ALEMAN 2800ML TRANSP"/>
    <s v="TAPER 2800ML TRANSP-TRANSPARENTE"/>
    <n v="1012"/>
    <n v="9"/>
    <n v="131.30000000000001"/>
    <x v="0"/>
    <n v="0"/>
    <n v="17"/>
    <n v="1177"/>
    <n v="22136"/>
    <s v="TRANSPARENTE"/>
    <n v="0.5"/>
    <n v="0"/>
    <n v="0"/>
    <n v="135.608"/>
    <n v="131.30000000000001"/>
    <n v="134"/>
    <n v="979.85074626865674"/>
    <x v="6"/>
    <x v="0"/>
    <n v="31"/>
    <n v="1"/>
    <n v="84.333333333333329"/>
  </r>
  <r>
    <d v="2025-07-31T09:10:00"/>
    <s v="INYECTADO"/>
    <x v="8"/>
    <x v="166"/>
    <s v="SEBASTIAN MURGA"/>
    <s v="VIRGEN"/>
    <s v="PP CLARIFICADO"/>
    <s v="."/>
    <s v="TAPER ALEMAN 2800ML CARAMELO"/>
    <s v="TAPER 2800ML CARAMELO-AMARILLO"/>
    <n v="179"/>
    <n v="2"/>
    <n v="23.5"/>
    <x v="0"/>
    <n v="0"/>
    <n v="3"/>
    <n v="1178"/>
    <n v="22136"/>
    <s v="AMARILLO"/>
    <n v="3.4"/>
    <n v="0"/>
    <n v="0"/>
    <n v="24.702000000000002"/>
    <n v="23.5"/>
    <n v="138"/>
    <n v="170.28985507246378"/>
    <x v="6"/>
    <x v="0"/>
    <n v="31"/>
    <n v="1"/>
    <n v="14.916666666666666"/>
  </r>
  <r>
    <d v="2025-07-31T09:10:00"/>
    <s v="INYECTADO"/>
    <x v="8"/>
    <x v="167"/>
    <s v="SEBASTIAN MURGA"/>
    <s v="VIRGEN"/>
    <s v="PP CLARIFICADO"/>
    <s v="."/>
    <s v="TAPER ALEMAN 2800ML CARAMELO"/>
    <s v="TAPER 2800ML CARAMELO-AMARILLO"/>
    <n v="174"/>
    <n v="2"/>
    <n v="22.9"/>
    <x v="0"/>
    <n v="0"/>
    <n v="3"/>
    <n v="1178"/>
    <n v="22137"/>
    <s v="AMARILLO"/>
    <n v="1.6"/>
    <n v="0"/>
    <n v="0"/>
    <n v="24.012"/>
    <n v="22.9"/>
    <n v="138"/>
    <n v="165.94202898550725"/>
    <x v="6"/>
    <x v="0"/>
    <n v="31"/>
    <n v="1"/>
    <n v="14.5"/>
  </r>
  <r>
    <d v="2025-07-31T09:10:00"/>
    <s v="INYECTADO"/>
    <x v="8"/>
    <x v="167"/>
    <s v="SEBASTIAN MURGA"/>
    <s v="VIRGEN"/>
    <s v="PP CLARIFICADO"/>
    <s v="."/>
    <s v="TAPER ALEMAN 2800ML CARAMELO"/>
    <s v="TAPER 2800ML CARAMELO-VERDE"/>
    <n v="361"/>
    <n v="3"/>
    <n v="47.3"/>
    <x v="0"/>
    <n v="0"/>
    <n v="6"/>
    <n v="1178"/>
    <n v="22137"/>
    <s v="VERDE"/>
    <n v="1.8"/>
    <n v="0"/>
    <n v="0"/>
    <n v="49.817999999999998"/>
    <n v="47.3"/>
    <n v="138"/>
    <n v="342.75362318840581"/>
    <x v="6"/>
    <x v="0"/>
    <n v="31"/>
    <n v="1"/>
    <n v="30.083333333333332"/>
  </r>
  <r>
    <d v="2025-07-31T09:10:00"/>
    <s v="INYECTADO"/>
    <x v="8"/>
    <x v="167"/>
    <s v="SEBASTIAN MURGA"/>
    <s v="VIRGEN"/>
    <s v="PP CLARIFICADO"/>
    <s v="."/>
    <s v="TAPER ALEMAN 2800ML CARAMELO"/>
    <s v="TAPER 2800ML CARAMELO-FUCSIA"/>
    <n v="354"/>
    <n v="3"/>
    <n v="46.5"/>
    <x v="0"/>
    <n v="0"/>
    <n v="6"/>
    <n v="1178"/>
    <n v="22137"/>
    <s v="FUCSIA"/>
    <n v="2.9"/>
    <n v="0"/>
    <n v="0"/>
    <n v="48.851999999999997"/>
    <n v="46.5"/>
    <n v="138"/>
    <n v="336.95652173913044"/>
    <x v="6"/>
    <x v="0"/>
    <n v="31"/>
    <n v="1"/>
    <n v="29.5"/>
  </r>
  <r>
    <d v="2025-07-31T09:10:00"/>
    <s v="INYECTADO"/>
    <x v="8"/>
    <x v="167"/>
    <s v="SEBASTIAN MURGA"/>
    <s v="VIRGEN"/>
    <s v="PP CLARIFICADO"/>
    <s v="."/>
    <s v="TAPER ALEMAN 2800ML CARAMELO"/>
    <s v="TAPER 2800ML CARAMELO-AZUL"/>
    <n v="301"/>
    <n v="3"/>
    <n v="39.5"/>
    <x v="0"/>
    <n v="0"/>
    <n v="5"/>
    <n v="1178"/>
    <n v="22137"/>
    <s v="AZUL"/>
    <n v="2.9"/>
    <n v="0"/>
    <n v="0"/>
    <n v="41.537999999999997"/>
    <n v="39.5"/>
    <n v="138"/>
    <n v="286.231884057971"/>
    <x v="6"/>
    <x v="0"/>
    <n v="31"/>
    <n v="1"/>
    <n v="25.083333333333332"/>
  </r>
  <r>
    <d v="2025-07-31T09:10:00"/>
    <s v="INYECTADO"/>
    <x v="8"/>
    <x v="168"/>
    <s v="JUANA CRUCES"/>
    <s v="VIRGEN"/>
    <s v="PP CLARIFICADO"/>
    <s v="."/>
    <s v="TAPER ALEMAN 2800ML CARAMELO"/>
    <s v="TAPER 2800ML CARAMELO-AZUL"/>
    <n v="29"/>
    <n v="1"/>
    <n v="3.8"/>
    <x v="0"/>
    <n v="0"/>
    <n v="5"/>
    <n v="1178"/>
    <n v="22138"/>
    <s v="AZUL"/>
    <n v="2.9"/>
    <n v="0"/>
    <n v="0"/>
    <n v="4.0019999999999998"/>
    <n v="3.8"/>
    <n v="138"/>
    <n v="27.536231884057973"/>
    <x v="6"/>
    <x v="0"/>
    <n v="31"/>
    <n v="1"/>
    <n v="2.4166666666666665"/>
  </r>
  <r>
    <d v="2025-07-31T09:10:00"/>
    <s v="INYECTADO"/>
    <x v="8"/>
    <x v="168"/>
    <s v="JUANA CRUCES"/>
    <s v="VIRGEN"/>
    <s v="PP CLARIFICADO"/>
    <s v="."/>
    <s v="TAPER ALEMAN 2800ML CARAMELO"/>
    <s v="TAPER 2800ML CARAMELO-LILA"/>
    <n v="375"/>
    <n v="3"/>
    <n v="49.5"/>
    <x v="0"/>
    <n v="0"/>
    <n v="7"/>
    <n v="1178"/>
    <n v="22138"/>
    <s v="LILA"/>
    <n v="6.7"/>
    <n v="0"/>
    <n v="0"/>
    <n v="51.75"/>
    <n v="49.5"/>
    <n v="138"/>
    <n v="358.69565217391306"/>
    <x v="6"/>
    <x v="0"/>
    <n v="31"/>
    <n v="1"/>
    <n v="31.25"/>
  </r>
  <r>
    <d v="2025-07-31T09:10:00"/>
    <s v="INYECTADO"/>
    <x v="8"/>
    <x v="168"/>
    <s v="JUANA CRUCES"/>
    <s v="VIRGEN"/>
    <s v="PP CLARIFICADO"/>
    <s v="."/>
    <s v="TAPER ALEMAN 2800ML TRANSP"/>
    <s v="TAPER 2800ML TRANSP-TRANSPARENTE"/>
    <n v="909"/>
    <n v="6"/>
    <n v="120.1"/>
    <x v="0"/>
    <n v="0"/>
    <n v="15"/>
    <n v="1178"/>
    <n v="22138"/>
    <s v="TRANSPARENTE"/>
    <n v="0"/>
    <n v="0"/>
    <n v="0"/>
    <n v="121.806"/>
    <n v="120.1"/>
    <n v="134"/>
    <n v="896.26865671641792"/>
    <x v="6"/>
    <x v="0"/>
    <n v="31"/>
    <n v="1"/>
    <n v="75.75"/>
  </r>
  <r>
    <d v="2025-07-31T09:10:00"/>
    <s v="INYECTADO"/>
    <x v="8"/>
    <x v="168"/>
    <s v="GABRIEL REQUENA"/>
    <s v="VIRGEN"/>
    <s v="PP CLARIFICADO"/>
    <s v="."/>
    <s v="TAPER ALEMAN 2800ML CARAMELO"/>
    <s v="TAPER 2800ML CARAMELO-ROJO"/>
    <n v="346"/>
    <n v="3"/>
    <n v="45.8"/>
    <x v="1"/>
    <n v="0"/>
    <n v="6"/>
    <n v="1178"/>
    <n v="22139"/>
    <s v="ROJO"/>
    <n v="4.0999999999999996"/>
    <n v="0"/>
    <n v="0"/>
    <n v="47.747999999999998"/>
    <n v="45.8"/>
    <n v="138"/>
    <n v="331.8840579710145"/>
    <x v="6"/>
    <x v="0"/>
    <n v="31"/>
    <n v="1"/>
    <n v="28.833333333333332"/>
  </r>
  <r>
    <m/>
    <m/>
    <x v="14"/>
    <x v="55"/>
    <m/>
    <m/>
    <m/>
    <m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n v="0"/>
    <n v="0"/>
    <e v="#N/A"/>
    <s v=""/>
    <e v="#N/A"/>
    <n v="0"/>
    <x v="2"/>
    <x v="1"/>
    <n v="1"/>
    <e v="#N/A"/>
    <e v="#N/A"/>
  </r>
  <r>
    <d v="2025-09-01T07:20:00"/>
    <s v="SOPLADO"/>
    <x v="9"/>
    <x v="171"/>
    <s v="LUIS PINEDO"/>
    <s v="VIRGEN"/>
    <s v="PP SOPLADO"/>
    <s v="."/>
    <s v="SALSERO CLICK 300 ML"/>
    <s v="SALSERO IDEAL 300ML-TRANSPARENTE"/>
    <n v="1150"/>
    <n v="10"/>
    <n v="28.8"/>
    <x v="0"/>
    <m/>
    <n v="4"/>
    <n v="1158"/>
    <n v="21457"/>
    <s v="TRANSPARENTE"/>
    <n v="17.600000000000001"/>
    <n v="0"/>
    <n v="0"/>
    <n v="21.85"/>
    <n v="28.8"/>
    <n v="19"/>
    <n v="1515.7894736842106"/>
    <x v="7"/>
    <x v="0"/>
    <n v="31"/>
    <n v="1"/>
    <n v="95.833333333333329"/>
  </r>
  <r>
    <d v="2025-09-01T07:20:00"/>
    <s v="SOPLADO"/>
    <x v="9"/>
    <x v="171"/>
    <s v="GABRIEL REQUENA"/>
    <s v="VIRGEN"/>
    <s v="PP SOPLADO"/>
    <s v="."/>
    <s v="SALSERO CLICK 300 ML"/>
    <s v="SALSERO IDEAL 300ML-TRANSPARENTE"/>
    <n v="859"/>
    <n v="8"/>
    <n v="18.899999999999999"/>
    <x v="1"/>
    <m/>
    <n v="4"/>
    <n v="1158"/>
    <n v="21458"/>
    <s v="TRANSPARENTE"/>
    <n v="0"/>
    <n v="0"/>
    <n v="0"/>
    <n v="16.321000000000002"/>
    <n v="18.899999999999999"/>
    <n v="19"/>
    <n v="994.73684210526312"/>
    <x v="7"/>
    <x v="0"/>
    <n v="31"/>
    <n v="1"/>
    <n v="71.583333333333329"/>
  </r>
  <r>
    <d v="2025-09-01T07:20:00"/>
    <s v="SOPLADO"/>
    <x v="9"/>
    <x v="172"/>
    <s v="LUIS RENGIFO"/>
    <s v="VIRGEN"/>
    <s v="PP SOPLADO"/>
    <s v="."/>
    <s v="SALSERO CLICK 300 ML"/>
    <s v="SALSERO IDEAL 300ML-TRANSPARENTE"/>
    <n v="1181"/>
    <n v="10"/>
    <n v="26"/>
    <x v="0"/>
    <m/>
    <n v="4"/>
    <n v="1158"/>
    <n v="21459"/>
    <s v="TRANSPARENTE"/>
    <n v="18"/>
    <n v="0"/>
    <n v="0"/>
    <n v="22.439"/>
    <n v="26"/>
    <n v="19"/>
    <n v="1368.421052631579"/>
    <x v="7"/>
    <x v="0"/>
    <n v="31"/>
    <n v="1"/>
    <n v="98.416666666666671"/>
  </r>
  <r>
    <d v="2025-09-01T07:20:00"/>
    <s v="SOPLADO"/>
    <x v="9"/>
    <x v="173"/>
    <s v="ROSA MERINO"/>
    <s v="VIRGEN"/>
    <s v="PP SOPLADO"/>
    <s v="."/>
    <s v="SALSERO CLICK 300 ML"/>
    <s v="SALSERO IDEAL 300ML-TRANSPARENTE"/>
    <n v="970"/>
    <n v="8"/>
    <n v="26.3"/>
    <x v="0"/>
    <m/>
    <n v="3"/>
    <n v="1158"/>
    <n v="21460"/>
    <s v="TRANSPARENTE"/>
    <n v="7.1"/>
    <n v="0"/>
    <n v="0"/>
    <n v="18.43"/>
    <n v="26.3"/>
    <n v="19"/>
    <n v="1384.2105263157894"/>
    <x v="7"/>
    <x v="0"/>
    <n v="33"/>
    <n v="1"/>
    <n v="80.833333333333329"/>
  </r>
  <r>
    <d v="2025-09-01T07:20:00"/>
    <s v="SOPLADO"/>
    <x v="9"/>
    <x v="174"/>
    <s v="LUIS PINEDO"/>
    <s v="VIRGEN"/>
    <s v="PP SOPLADO"/>
    <s v="."/>
    <s v="SALSERO MULTIUSO 600 ML"/>
    <s v="SALSERO MULTIUSO 600ML-TRANSPARENTE"/>
    <n v="780"/>
    <n v="6"/>
    <n v="31.4"/>
    <x v="0"/>
    <m/>
    <n v="4"/>
    <n v="1184"/>
    <n v="21461"/>
    <s v="TRANSPARENTE"/>
    <n v="12.2"/>
    <n v="0"/>
    <n v="0"/>
    <n v="31.2"/>
    <n v="31.4"/>
    <n v="40"/>
    <n v="785"/>
    <x v="7"/>
    <x v="0"/>
    <n v="33"/>
    <n v="1"/>
    <n v="65"/>
  </r>
  <r>
    <d v="2025-09-01T07:20:00"/>
    <s v="SOPLADO"/>
    <x v="9"/>
    <x v="175"/>
    <s v="LUIS PINEDO"/>
    <s v="VIRGEN"/>
    <s v="PP SOPLADO"/>
    <s v="."/>
    <s v="SALSERO MULTIUSO 600 ML"/>
    <s v="SALSERO MULTIUSO 600ML-TRANSPARENTE"/>
    <n v="1211"/>
    <n v="10"/>
    <n v="48.8"/>
    <x v="0"/>
    <m/>
    <n v="7"/>
    <n v="1184"/>
    <n v="21462"/>
    <s v="TRANSPARENTE"/>
    <n v="18.100000000000001"/>
    <n v="0"/>
    <n v="0"/>
    <n v="48.44"/>
    <n v="48.8"/>
    <n v="40"/>
    <n v="1220"/>
    <x v="7"/>
    <x v="0"/>
    <n v="33"/>
    <n v="1"/>
    <n v="100.91666666666667"/>
  </r>
  <r>
    <d v="2025-09-01T07:20:00"/>
    <s v="SOPLADO"/>
    <x v="9"/>
    <x v="176"/>
    <s v="ROSA MERINO"/>
    <s v="VIRGEN"/>
    <s v="PP SOPLADO"/>
    <s v="."/>
    <s v="SALSERO MULTIUSO 600 ML"/>
    <s v="SALSERO MULTIUSO 600ML-TRANSPARENTE"/>
    <n v="1199"/>
    <n v="10"/>
    <n v="49.4"/>
    <x v="0"/>
    <m/>
    <n v="8"/>
    <n v="1184"/>
    <n v="21463"/>
    <s v="TRANSPARENTE"/>
    <n v="16.2"/>
    <n v="0"/>
    <n v="0"/>
    <n v="47.96"/>
    <n v="49.4"/>
    <n v="40"/>
    <n v="1235"/>
    <x v="7"/>
    <x v="0"/>
    <n v="33"/>
    <n v="1"/>
    <n v="99.916666666666671"/>
  </r>
  <r>
    <d v="2025-09-01T07:20:00"/>
    <s v="SOPLADO"/>
    <x v="9"/>
    <x v="177"/>
    <s v="LEONOR GUTIERREZ"/>
    <s v="VIRGEN"/>
    <s v="PP SOPLADO"/>
    <s v="."/>
    <s v="SALSERO MULTIUSO 600 ML"/>
    <s v="SALSERO MULTIUSO 600ML-TRANSPARENTE"/>
    <n v="1214"/>
    <n v="9"/>
    <n v="47.3"/>
    <x v="0"/>
    <m/>
    <n v="7"/>
    <n v="1184"/>
    <n v="21464"/>
    <s v="TRANSPARENTE"/>
    <n v="18.8"/>
    <n v="0"/>
    <n v="0"/>
    <n v="48.56"/>
    <n v="47.3"/>
    <n v="40"/>
    <n v="1182.5"/>
    <x v="7"/>
    <x v="0"/>
    <n v="33"/>
    <n v="1"/>
    <n v="101.16666666666667"/>
  </r>
  <r>
    <d v="2025-09-01T07:20:00"/>
    <s v="SOPLADO"/>
    <x v="9"/>
    <x v="178"/>
    <s v="LEONOR GUTIERREZ"/>
    <s v="VIRGEN"/>
    <s v="PP SOPLADO"/>
    <s v="."/>
    <s v="SALSERO MULTIUSO 600 ML"/>
    <s v="SALSERO MULTIUSO 600ML-TRANSPARENTE"/>
    <n v="498"/>
    <n v="4"/>
    <n v="14.4"/>
    <x v="0"/>
    <m/>
    <n v="2"/>
    <n v="1185"/>
    <n v="21465"/>
    <s v="TRANSPARENTE"/>
    <n v="14.9"/>
    <n v="0"/>
    <n v="0"/>
    <n v="19.920000000000002"/>
    <n v="14.4"/>
    <n v="40"/>
    <n v="360"/>
    <x v="7"/>
    <x v="0"/>
    <n v="33"/>
    <n v="1"/>
    <n v="41.5"/>
  </r>
  <r>
    <d v="2025-09-01T07:20:00"/>
    <s v="SOPLADO"/>
    <x v="9"/>
    <x v="179"/>
    <s v="LUIS RENGIFO"/>
    <s v="VIRGEN"/>
    <s v="PP SOPLADO"/>
    <s v="."/>
    <s v="SALSERO MULTIUSO 480 ML"/>
    <s v="SALSERO MULTIUSO 480ML-TRANSPARENTE"/>
    <n v="1360"/>
    <n v="10"/>
    <n v="51.6"/>
    <x v="0"/>
    <m/>
    <n v="7"/>
    <n v="1185"/>
    <n v="21466"/>
    <s v="TRANSPARENTE"/>
    <n v="21.6"/>
    <n v="0"/>
    <n v="0"/>
    <n v="51.68"/>
    <n v="51.6"/>
    <n v="38"/>
    <n v="1357.8947368421052"/>
    <x v="7"/>
    <x v="0"/>
    <n v="34"/>
    <n v="1"/>
    <n v="113.33333333333333"/>
  </r>
  <r>
    <d v="2025-09-01T07:20:00"/>
    <s v="SOPLADO"/>
    <x v="12"/>
    <x v="180"/>
    <s v="LUIS PINEDO"/>
    <s v="SEGUNDA"/>
    <s v="."/>
    <s v="ALTA SOPLADO"/>
    <s v="FLORERO ITALIANO"/>
    <s v="FLORERO ITALIANO-BLANCO"/>
    <n v="421"/>
    <n v="5"/>
    <n v="25.7"/>
    <x v="0"/>
    <m/>
    <n v="7"/>
    <n v="1189"/>
    <n v="22310"/>
    <s v="BLANCO"/>
    <n v="25.7"/>
    <n v="0"/>
    <n v="0"/>
    <n v="25.681000000000001"/>
    <n v="25.7"/>
    <n v="61"/>
    <n v="421.31147540983608"/>
    <x v="7"/>
    <x v="0"/>
    <n v="32"/>
    <n v="1"/>
    <n v="35.083333333333336"/>
  </r>
  <r>
    <d v="2025-09-01T07:20:00"/>
    <s v="SOPLADO"/>
    <x v="12"/>
    <x v="181"/>
    <s v="LUIS PINEDO"/>
    <s v="SEGUNDA"/>
    <s v="."/>
    <s v="ALTA SOPLADO"/>
    <s v="FLORERO ITALIANO"/>
    <s v="FLORERO ITALIANO-BLANCO"/>
    <n v="960"/>
    <n v="12"/>
    <n v="59.2"/>
    <x v="0"/>
    <m/>
    <n v="14"/>
    <n v="1189"/>
    <n v="22311"/>
    <s v="BLANCO"/>
    <n v="34.4"/>
    <n v="0"/>
    <n v="0"/>
    <n v="58.56"/>
    <n v="59.2"/>
    <n v="61"/>
    <n v="970.49180327868851"/>
    <x v="7"/>
    <x v="0"/>
    <n v="32"/>
    <n v="1"/>
    <n v="80"/>
  </r>
  <r>
    <d v="2025-09-01T07:20:00"/>
    <s v="SOPLADO"/>
    <x v="12"/>
    <x v="181"/>
    <s v="GABRIEL REQUENA"/>
    <s v="SEGUNDA"/>
    <s v="."/>
    <s v="ALTA SOPLADO"/>
    <s v="FLORERO ITALIANO"/>
    <s v="FLORERO ITALIANO-BLANCO"/>
    <n v="908"/>
    <n v="12"/>
    <n v="56.3"/>
    <x v="1"/>
    <m/>
    <n v="13"/>
    <n v="1189"/>
    <n v="22312"/>
    <s v="BLANCO"/>
    <n v="36.6"/>
    <n v="0"/>
    <n v="0"/>
    <n v="55.387999999999998"/>
    <n v="56.3"/>
    <n v="61"/>
    <n v="922.95081967213116"/>
    <x v="7"/>
    <x v="0"/>
    <n v="32"/>
    <n v="1"/>
    <n v="75.666666666666671"/>
  </r>
  <r>
    <d v="2025-09-01T07:20:00"/>
    <s v="SOPLADO"/>
    <x v="12"/>
    <x v="182"/>
    <s v="LUIS PINEDO"/>
    <s v="SEGUNDA"/>
    <s v="."/>
    <s v="ALTA SOPLADO"/>
    <s v="FLORERO ITALIANO"/>
    <s v="FLORERO ITALIANO-BLANCO"/>
    <n v="1055"/>
    <n v="11"/>
    <n v="64.400000000000006"/>
    <x v="0"/>
    <m/>
    <n v="15"/>
    <n v="1189"/>
    <n v="22313"/>
    <s v="BLANCO"/>
    <n v="45.3"/>
    <n v="0"/>
    <n v="0"/>
    <n v="64.355000000000004"/>
    <n v="64.400000000000006"/>
    <n v="61"/>
    <n v="1055.7377049180329"/>
    <x v="7"/>
    <x v="0"/>
    <n v="32"/>
    <n v="1"/>
    <n v="87.916666666666671"/>
  </r>
  <r>
    <d v="2025-09-01T07:20:00"/>
    <s v="SOPLADO"/>
    <x v="12"/>
    <x v="182"/>
    <s v="GABRIEL REQUENA"/>
    <s v="SEGUNDA"/>
    <s v="."/>
    <s v="ALTA SOPLADO"/>
    <s v="FLORERO ITALIANO"/>
    <s v="FLORERO ITALIANO-BLANCO"/>
    <n v="933"/>
    <n v="11"/>
    <n v="56"/>
    <x v="1"/>
    <m/>
    <n v="13"/>
    <n v="1189"/>
    <n v="22314"/>
    <s v="BLANCO"/>
    <n v="51.699999999999996"/>
    <n v="0"/>
    <n v="0"/>
    <n v="56.912999999999997"/>
    <n v="56"/>
    <n v="61"/>
    <n v="918.03278688524586"/>
    <x v="7"/>
    <x v="0"/>
    <n v="32"/>
    <n v="1"/>
    <n v="77.75"/>
  </r>
  <r>
    <d v="2025-09-01T07:20:00"/>
    <s v="SOPLADO"/>
    <x v="12"/>
    <x v="183"/>
    <s v="LUIS PINEDO"/>
    <s v="VIRGEN"/>
    <s v="PP SOPLADO"/>
    <s v="."/>
    <s v="FLORERO DIAMANTE"/>
    <s v="FLORERO DIAMANTE CARAMELO-AMARILLO"/>
    <n v="258"/>
    <n v="3"/>
    <n v="18.600000000000001"/>
    <x v="0"/>
    <m/>
    <n v="4"/>
    <n v="1180"/>
    <n v="22315"/>
    <s v="AMARILLO"/>
    <n v="12.9"/>
    <n v="0"/>
    <n v="0"/>
    <n v="15.48"/>
    <n v="18.600000000000001"/>
    <n v="60"/>
    <n v="310"/>
    <x v="7"/>
    <x v="0"/>
    <n v="32"/>
    <n v="1"/>
    <n v="21.5"/>
  </r>
  <r>
    <d v="2025-09-01T07:20:00"/>
    <s v="SOPLADO"/>
    <x v="12"/>
    <x v="184"/>
    <s v="NELSON PINEDO"/>
    <s v="VIRGEN"/>
    <s v="PP SOPLADO"/>
    <s v="."/>
    <s v="FLORERO DIAMANTE"/>
    <s v="FLORERO DIAMANTE CARAMELO-AMARILLO"/>
    <n v="225"/>
    <n v="2"/>
    <n v="16.2"/>
    <x v="0"/>
    <m/>
    <n v="4"/>
    <n v="1180"/>
    <n v="22316"/>
    <s v="AMARILLO"/>
    <n v="7.2"/>
    <n v="0"/>
    <n v="0"/>
    <n v="13.5"/>
    <n v="16.2"/>
    <n v="60"/>
    <n v="270"/>
    <x v="7"/>
    <x v="0"/>
    <n v="32"/>
    <n v="1"/>
    <n v="18.75"/>
  </r>
  <r>
    <d v="2025-09-01T07:20:00"/>
    <s v="SOPLADO"/>
    <x v="12"/>
    <x v="184"/>
    <s v="NELSON PINEDO"/>
    <s v="VIRGEN"/>
    <s v="PP SOPLADO"/>
    <s v="."/>
    <s v="FLORERO DIAMANTE"/>
    <s v="FLORERO DIAMANTE CARAMELO-VERDE"/>
    <n v="279"/>
    <n v="3"/>
    <n v="20.100000000000001"/>
    <x v="0"/>
    <m/>
    <n v="3"/>
    <n v="1180"/>
    <n v="22316"/>
    <s v="VERDE"/>
    <n v="20.3"/>
    <n v="0"/>
    <n v="0"/>
    <n v="16.739999999999998"/>
    <n v="20.100000000000001"/>
    <n v="60"/>
    <n v="335"/>
    <x v="7"/>
    <x v="0"/>
    <n v="32"/>
    <n v="1"/>
    <n v="23.25"/>
  </r>
  <r>
    <d v="2025-09-01T07:20:00"/>
    <s v="SOPLADO"/>
    <x v="12"/>
    <x v="184"/>
    <s v="NELSON PINEDO"/>
    <s v="VIRGEN"/>
    <s v="PP SOPLADO"/>
    <s v="."/>
    <s v="FLORERO DIAMANTE"/>
    <s v="FLORERO DIAMANTE CARAMELO-AZUL"/>
    <n v="336"/>
    <n v="4"/>
    <n v="24.2"/>
    <x v="0"/>
    <m/>
    <n v="4"/>
    <n v="1180"/>
    <n v="22316"/>
    <s v="AZUL"/>
    <n v="17.399999999999999"/>
    <n v="0"/>
    <n v="0"/>
    <n v="20.16"/>
    <n v="24.2"/>
    <n v="60"/>
    <n v="403.33333333333331"/>
    <x v="7"/>
    <x v="0"/>
    <n v="32"/>
    <n v="1"/>
    <n v="28"/>
  </r>
  <r>
    <d v="2025-09-01T07:20:00"/>
    <s v="SOPLADO"/>
    <x v="12"/>
    <x v="185"/>
    <s v="BRAYAN PINEDO"/>
    <s v="VIRGEN"/>
    <s v="PP SOPLADO"/>
    <s v="."/>
    <s v="FLORERO DIAMANTE"/>
    <s v="FLORERO DIAMANTE CARAMELO-AZUL"/>
    <n v="108"/>
    <n v="1"/>
    <n v="8.1"/>
    <x v="0"/>
    <m/>
    <n v="1"/>
    <n v="1180"/>
    <n v="22317"/>
    <s v="AZUL"/>
    <n v="11"/>
    <n v="0"/>
    <n v="0"/>
    <n v="6.48"/>
    <n v="8.1"/>
    <n v="60"/>
    <n v="135"/>
    <x v="7"/>
    <x v="0"/>
    <n v="32"/>
    <n v="1"/>
    <n v="9"/>
  </r>
  <r>
    <d v="2025-09-01T07:20:00"/>
    <s v="SOPLADO"/>
    <x v="12"/>
    <x v="185"/>
    <s v="BRAYAN PINEDO"/>
    <s v="VIRGEN"/>
    <s v="PP SOPLADO"/>
    <s v="."/>
    <s v="FLORERO DIAMANTE"/>
    <s v="FLORERO DIAMANTE CARAMELO-FUCSIA"/>
    <n v="396"/>
    <n v="4"/>
    <n v="29.7"/>
    <x v="0"/>
    <m/>
    <n v="4"/>
    <n v="1180"/>
    <n v="22317"/>
    <s v="FUCSIA"/>
    <n v="20"/>
    <n v="0"/>
    <n v="0"/>
    <n v="23.76"/>
    <n v="29.7"/>
    <n v="60"/>
    <n v="495"/>
    <x v="7"/>
    <x v="0"/>
    <n v="32"/>
    <n v="1"/>
    <n v="33"/>
  </r>
  <r>
    <d v="2025-09-01T07:20:00"/>
    <s v="SOPLADO"/>
    <x v="12"/>
    <x v="185"/>
    <s v="BRAYAN PINEDO"/>
    <s v="VIRGEN"/>
    <s v="PP SOPLADO"/>
    <s v="."/>
    <s v="FLORERO DIAMANTE"/>
    <s v="FLORERO DIAMANTE CARAMELO-LILA"/>
    <n v="137"/>
    <n v="2"/>
    <n v="10.3"/>
    <x v="0"/>
    <m/>
    <n v="2"/>
    <n v="1180"/>
    <n v="22317"/>
    <s v="LILA"/>
    <n v="8"/>
    <n v="0"/>
    <n v="0"/>
    <n v="8.2200000000000006"/>
    <n v="10.3"/>
    <n v="60"/>
    <n v="171.66666666666666"/>
    <x v="7"/>
    <x v="0"/>
    <n v="32"/>
    <n v="1"/>
    <n v="11.416666666666666"/>
  </r>
  <r>
    <d v="2025-09-01T07:20:00"/>
    <s v="SOPLADO"/>
    <x v="12"/>
    <x v="185"/>
    <s v="GABRIEL REQUENA"/>
    <s v="VIRGEN"/>
    <s v="PP SOPLADO"/>
    <s v="."/>
    <s v="FLORERO DIAMANTE"/>
    <s v="FLORERO DIAMANTE CARAMELO-LILA"/>
    <n v="80"/>
    <n v="1"/>
    <n v="6"/>
    <x v="1"/>
    <m/>
    <n v="1"/>
    <n v="1180"/>
    <n v="22318"/>
    <s v="LILA"/>
    <n v="22"/>
    <n v="0"/>
    <n v="0"/>
    <n v="4.8"/>
    <n v="6"/>
    <n v="60"/>
    <n v="100"/>
    <x v="7"/>
    <x v="0"/>
    <n v="32"/>
    <n v="1"/>
    <n v="6.666666666666667"/>
  </r>
  <r>
    <d v="2025-09-01T07:20:00"/>
    <s v="SOPLADO"/>
    <x v="12"/>
    <x v="185"/>
    <s v="GABRIEL REQUENA"/>
    <s v="VIRGEN"/>
    <s v="PP SOPLADO"/>
    <s v="."/>
    <s v="FLORERO DIAMANTE"/>
    <s v="FLORERO DIAMANTE CARAMELO-FUCSIA"/>
    <n v="342"/>
    <n v="5"/>
    <n v="25.7"/>
    <x v="1"/>
    <m/>
    <n v="5"/>
    <n v="1180"/>
    <n v="22318"/>
    <s v="FUCSIA"/>
    <n v="27.6"/>
    <n v="0"/>
    <n v="0"/>
    <n v="20.52"/>
    <n v="25.7"/>
    <n v="60"/>
    <n v="428.33333333333331"/>
    <x v="7"/>
    <x v="0"/>
    <n v="32"/>
    <n v="1"/>
    <n v="28.5"/>
  </r>
  <r>
    <d v="2025-09-01T07:20:00"/>
    <s v="SOPLADO"/>
    <x v="12"/>
    <x v="185"/>
    <s v="GABRIEL REQUENA"/>
    <s v="VIRGEN"/>
    <s v="PP SOPLADO"/>
    <s v="."/>
    <s v="FLORERO DIAMANTE"/>
    <s v="FLORERO DIAMANTE PASTEL-MELON"/>
    <n v="48"/>
    <n v="1"/>
    <n v="3.6"/>
    <x v="1"/>
    <m/>
    <n v="1"/>
    <n v="1180"/>
    <n v="22318"/>
    <s v="MELON"/>
    <n v="3.4"/>
    <n v="0"/>
    <n v="0"/>
    <n v="2.88"/>
    <n v="3.6"/>
    <n v="60"/>
    <n v="60"/>
    <x v="7"/>
    <x v="0"/>
    <n v="32"/>
    <n v="1"/>
    <n v="4"/>
  </r>
  <r>
    <d v="2025-09-01T07:20:00"/>
    <s v="SOPLADO"/>
    <x v="12"/>
    <x v="173"/>
    <s v="NELSON PINEDO"/>
    <s v="VIRGEN"/>
    <s v="PP SOPLADO"/>
    <s v="."/>
    <s v="FLORERO DIAMANTE"/>
    <s v="FLORERO DIAMANTE CARAMELO-ANARANJADO"/>
    <n v="377"/>
    <n v="5"/>
    <n v="27.2"/>
    <x v="0"/>
    <m/>
    <n v="6"/>
    <n v="1180"/>
    <n v="22319"/>
    <s v="NARANJA"/>
    <n v="28.4"/>
    <n v="0"/>
    <n v="0"/>
    <n v="22.62"/>
    <n v="27.2"/>
    <n v="60"/>
    <n v="453.33333333333331"/>
    <x v="7"/>
    <x v="0"/>
    <n v="33"/>
    <n v="1"/>
    <n v="31.416666666666668"/>
  </r>
  <r>
    <d v="2025-09-01T07:20:00"/>
    <s v="SOPLADO"/>
    <x v="12"/>
    <x v="173"/>
    <s v="NELSON PINEDO"/>
    <s v="VIRGEN"/>
    <s v="PP SOPLADO"/>
    <s v="."/>
    <s v="FLORERO DIAMANTE"/>
    <s v="FLORERO DIAMANTE CARAMELO-LILA"/>
    <n v="269"/>
    <n v="3"/>
    <n v="19.399999999999999"/>
    <x v="0"/>
    <m/>
    <n v="3"/>
    <n v="1180"/>
    <n v="22319"/>
    <s v="LILA"/>
    <n v="17.2"/>
    <n v="0"/>
    <n v="0"/>
    <n v="16.14"/>
    <n v="19.399999999999999"/>
    <n v="60"/>
    <n v="323.33333333333331"/>
    <x v="7"/>
    <x v="0"/>
    <n v="33"/>
    <n v="1"/>
    <n v="22.416666666666668"/>
  </r>
  <r>
    <d v="2025-09-01T07:20:00"/>
    <s v="SOPLADO"/>
    <x v="12"/>
    <x v="173"/>
    <s v="GABRIEL REQUENA"/>
    <s v="VIRGEN"/>
    <s v="PP SOPLADO"/>
    <s v="."/>
    <s v="FLORERO DIAMANTE"/>
    <s v="FLORERO DIAMANTE PASTEL-TURQUESA"/>
    <n v="418"/>
    <n v="5"/>
    <n v="30.1"/>
    <x v="1"/>
    <m/>
    <n v="6"/>
    <n v="1180"/>
    <n v="22320"/>
    <s v="TURQUESA"/>
    <n v="32.1"/>
    <n v="0"/>
    <n v="0"/>
    <n v="25.08"/>
    <n v="30.1"/>
    <n v="60"/>
    <n v="501.66666666666669"/>
    <x v="7"/>
    <x v="0"/>
    <n v="33"/>
    <n v="1"/>
    <n v="34.833333333333336"/>
  </r>
  <r>
    <d v="2025-09-01T07:20:00"/>
    <s v="SOPLADO"/>
    <x v="12"/>
    <x v="173"/>
    <s v="GABRIEL REQUENA"/>
    <s v="VIRGEN"/>
    <s v="PP SOPLADO"/>
    <s v="."/>
    <s v="FLORERO DIAMANTE"/>
    <s v="FLORERO DIAMANTE PASTEL-CELESTE"/>
    <n v="420"/>
    <n v="5"/>
    <n v="30.3"/>
    <x v="1"/>
    <m/>
    <n v="6"/>
    <n v="1180"/>
    <n v="22320"/>
    <s v="CELESTE"/>
    <n v="28.5"/>
    <n v="0"/>
    <n v="0"/>
    <n v="25.2"/>
    <n v="30.3"/>
    <n v="60"/>
    <n v="505"/>
    <x v="7"/>
    <x v="0"/>
    <n v="33"/>
    <n v="1"/>
    <n v="35"/>
  </r>
  <r>
    <d v="2025-09-01T07:20:00"/>
    <s v="SOPLADO"/>
    <x v="12"/>
    <x v="174"/>
    <s v="NELSON PINEDO"/>
    <s v="VIRGEN"/>
    <s v="PP SOPLADO"/>
    <s v="."/>
    <s v="FLORERO DIAMANTE"/>
    <s v="FLORERO DIAMANTE PASTEL-MELON"/>
    <n v="278"/>
    <n v="4"/>
    <n v="20.9"/>
    <x v="0"/>
    <m/>
    <n v="5"/>
    <n v="1180"/>
    <n v="22321"/>
    <s v="MELON"/>
    <n v="31.2"/>
    <n v="0"/>
    <n v="0"/>
    <n v="16.68"/>
    <n v="20.9"/>
    <n v="60"/>
    <n v="348.33333333333331"/>
    <x v="7"/>
    <x v="0"/>
    <n v="33"/>
    <n v="1"/>
    <n v="23.166666666666668"/>
  </r>
  <r>
    <d v="2025-09-01T07:20:00"/>
    <s v="SOPLADO"/>
    <x v="12"/>
    <x v="174"/>
    <s v="NELSON PINEDO"/>
    <s v="VIRGEN"/>
    <s v="PP SOPLADO"/>
    <s v="."/>
    <s v="FLORERO DIAMANTE"/>
    <s v="FLORERO DIAMANTE PASTEL-CREMA"/>
    <n v="302"/>
    <n v="2"/>
    <n v="22.7"/>
    <x v="0"/>
    <m/>
    <n v="4"/>
    <n v="1180"/>
    <n v="22321"/>
    <s v="CREMA"/>
    <n v="0"/>
    <n v="0"/>
    <n v="0"/>
    <n v="18.12"/>
    <n v="22.7"/>
    <n v="60"/>
    <n v="378.33333333333331"/>
    <x v="7"/>
    <x v="0"/>
    <n v="33"/>
    <n v="1"/>
    <n v="25.166666666666668"/>
  </r>
  <r>
    <d v="2025-09-01T07:20:00"/>
    <s v="SOPLADO"/>
    <x v="12"/>
    <x v="174"/>
    <s v="GABRIEL REQUENA"/>
    <s v="VIRGEN"/>
    <s v="PP SOPLADO"/>
    <s v="."/>
    <s v="FLORERO DIAMANTE"/>
    <s v="FLORERO DIAMANTE PASTEL-CREMA"/>
    <n v="123"/>
    <n v="2"/>
    <n v="9"/>
    <x v="1"/>
    <m/>
    <n v="3"/>
    <n v="1180"/>
    <n v="22322"/>
    <s v="CREMA"/>
    <n v="21.7"/>
    <n v="0"/>
    <n v="0"/>
    <n v="7.38"/>
    <n v="9"/>
    <n v="60"/>
    <n v="150"/>
    <x v="7"/>
    <x v="0"/>
    <n v="33"/>
    <n v="1"/>
    <n v="10.25"/>
  </r>
  <r>
    <d v="2025-09-01T07:20:00"/>
    <s v="SOPLADO"/>
    <x v="12"/>
    <x v="174"/>
    <s v="GABRIEL REQUENA"/>
    <s v="VIRGEN"/>
    <s v="PP SOPLADO"/>
    <s v="."/>
    <s v="FLORERO DIAMANTE"/>
    <s v="FLORERO DIAMANTE CARAMELO-LILA"/>
    <n v="397"/>
    <n v="5"/>
    <n v="29.8"/>
    <x v="1"/>
    <m/>
    <n v="5"/>
    <n v="1180"/>
    <n v="22322"/>
    <s v="LILA"/>
    <n v="19.2"/>
    <n v="0"/>
    <n v="0"/>
    <n v="23.82"/>
    <n v="29.8"/>
    <n v="60"/>
    <n v="496.66666666666669"/>
    <x v="7"/>
    <x v="0"/>
    <n v="33"/>
    <n v="1"/>
    <n v="33.083333333333336"/>
  </r>
  <r>
    <d v="2025-09-01T07:20:00"/>
    <s v="SOPLADO"/>
    <x v="12"/>
    <x v="175"/>
    <s v="LUIS PINEDO"/>
    <s v="VIRGEN"/>
    <s v="PP SOPLADO"/>
    <s v="."/>
    <s v="FLORERO DIAMANTE"/>
    <s v="FLORERO DIAMANTE PASTEL-ROSADO"/>
    <n v="63"/>
    <n v="1"/>
    <n v="4.7"/>
    <x v="0"/>
    <m/>
    <n v="1"/>
    <n v="1180"/>
    <n v="22322"/>
    <s v="ROSADO"/>
    <n v="0"/>
    <n v="0"/>
    <n v="0"/>
    <n v="3.78"/>
    <n v="4.7"/>
    <n v="60"/>
    <n v="78.333333333333329"/>
    <x v="7"/>
    <x v="0"/>
    <n v="33"/>
    <n v="1"/>
    <n v="5.25"/>
  </r>
  <r>
    <d v="2025-09-01T07:20:00"/>
    <s v="SOPLADO"/>
    <x v="12"/>
    <x v="175"/>
    <s v="LUIS RENGIFO"/>
    <s v="VIRGEN"/>
    <s v="PP SOPLADO"/>
    <s v="."/>
    <s v="FLORERO ROMANO"/>
    <s v="FLORERO ROMANO PASTEL-ROSADO"/>
    <n v="482"/>
    <n v="3"/>
    <n v="35.700000000000003"/>
    <x v="0"/>
    <m/>
    <n v="5"/>
    <n v="1190"/>
    <n v="22323"/>
    <s v="ROSADO"/>
    <n v="0"/>
    <n v="0"/>
    <n v="0"/>
    <n v="40.97"/>
    <n v="35.700000000000003"/>
    <n v="85"/>
    <n v="420"/>
    <x v="7"/>
    <x v="0"/>
    <n v="33"/>
    <n v="1"/>
    <n v="40.166666666666664"/>
  </r>
  <r>
    <d v="2025-09-01T07:20:00"/>
    <s v="SOPLADO"/>
    <x v="12"/>
    <x v="176"/>
    <s v="NELSON PINEDO"/>
    <s v="VIRGEN"/>
    <s v="PP SOPLADO"/>
    <s v="."/>
    <s v="FLORERO ROMANO"/>
    <s v="FLORERO ROMANO PASTEL-LILA"/>
    <n v="405"/>
    <n v="5"/>
    <n v="34.9"/>
    <x v="0"/>
    <m/>
    <n v="7"/>
    <n v="1190"/>
    <n v="22324"/>
    <s v="LILA"/>
    <n v="26.3"/>
    <n v="0"/>
    <n v="0"/>
    <n v="34.424999999999997"/>
    <n v="34.9"/>
    <n v="85"/>
    <n v="410.58823529411762"/>
    <x v="7"/>
    <x v="0"/>
    <n v="33"/>
    <n v="1"/>
    <n v="33.75"/>
  </r>
  <r>
    <d v="2025-09-01T07:20:00"/>
    <s v="SOPLADO"/>
    <x v="12"/>
    <x v="176"/>
    <s v="NELSON PINEDO"/>
    <s v="VIRGEN"/>
    <s v="PP SOPLADO"/>
    <s v="."/>
    <s v="FLORERO ROMANO"/>
    <s v="FLORERO ROMANO PASTEL-MELON"/>
    <n v="409"/>
    <n v="4"/>
    <n v="35.200000000000003"/>
    <x v="0"/>
    <m/>
    <n v="8"/>
    <n v="1190"/>
    <n v="22324"/>
    <s v="MELON"/>
    <n v="3.9"/>
    <n v="0"/>
    <n v="0"/>
    <n v="34.765000000000001"/>
    <n v="35.200000000000003"/>
    <n v="85"/>
    <n v="414.11764705882354"/>
    <x v="7"/>
    <x v="0"/>
    <n v="33"/>
    <n v="1"/>
    <n v="34.083333333333336"/>
  </r>
  <r>
    <d v="2025-09-01T07:20:00"/>
    <s v="SOPLADO"/>
    <x v="12"/>
    <x v="176"/>
    <s v="NELSON PINEDO"/>
    <s v="VIRGEN"/>
    <s v="PP SOPLADO"/>
    <s v="."/>
    <s v="FLORERO ROMANO"/>
    <s v="FLORERO ROMANO PASTEL-TURQUESA"/>
    <n v="32"/>
    <n v="1"/>
    <n v="2.8"/>
    <x v="0"/>
    <m/>
    <n v="8"/>
    <n v="1190"/>
    <n v="22324"/>
    <s v="TURQUESA"/>
    <n v="0"/>
    <n v="0"/>
    <n v="0"/>
    <n v="2.72"/>
    <n v="2.8"/>
    <n v="85"/>
    <n v="32.941176470588232"/>
    <x v="7"/>
    <x v="0"/>
    <n v="33"/>
    <n v="1"/>
    <n v="2.6666666666666665"/>
  </r>
  <r>
    <d v="2025-09-01T07:20:00"/>
    <s v="SOPLADO"/>
    <x v="12"/>
    <x v="176"/>
    <s v="GABRIEL REQUENA"/>
    <s v="VIRGEN"/>
    <s v="PP SOPLADO"/>
    <s v="."/>
    <s v="FLORERO ROMANO"/>
    <s v="FLORERO ROMANO PASTEL-TURQUESA"/>
    <n v="312"/>
    <n v="3"/>
    <n v="26.9"/>
    <x v="1"/>
    <m/>
    <n v="7"/>
    <n v="1190"/>
    <n v="22325"/>
    <s v="TURQUESA"/>
    <n v="21.7"/>
    <n v="0"/>
    <n v="0"/>
    <n v="26.52"/>
    <n v="26.9"/>
    <n v="85"/>
    <n v="316.47058823529414"/>
    <x v="7"/>
    <x v="0"/>
    <n v="33"/>
    <n v="1"/>
    <n v="26"/>
  </r>
  <r>
    <d v="2025-09-01T07:20:00"/>
    <s v="SOPLADO"/>
    <x v="12"/>
    <x v="176"/>
    <s v="GABRIEL REQUENA"/>
    <s v="VIRGEN"/>
    <s v="PP SOPLADO"/>
    <s v="."/>
    <s v="FLORERO ROMANO"/>
    <s v="FLORERO ROMANO PASTEL-CREMA"/>
    <n v="359"/>
    <n v="4"/>
    <n v="30.9"/>
    <x v="1"/>
    <m/>
    <n v="8"/>
    <n v="1190"/>
    <n v="22325"/>
    <s v="CREMA"/>
    <n v="25.6"/>
    <n v="0"/>
    <n v="0"/>
    <n v="30.515000000000001"/>
    <n v="30.9"/>
    <n v="85"/>
    <n v="363.52941176470586"/>
    <x v="7"/>
    <x v="0"/>
    <n v="33"/>
    <n v="1"/>
    <n v="29.916666666666668"/>
  </r>
  <r>
    <d v="2025-09-01T07:20:00"/>
    <s v="SOPLADO"/>
    <x v="12"/>
    <x v="176"/>
    <s v="GABRIEL REQUENA"/>
    <s v="VIRGEN"/>
    <s v="PP SOPLADO"/>
    <s v="."/>
    <s v="FLORERO ROMANO"/>
    <s v="FLORERO ROMANO PASTEL-CELESTE"/>
    <n v="290"/>
    <n v="3"/>
    <n v="25"/>
    <x v="1"/>
    <m/>
    <n v="6"/>
    <n v="1190"/>
    <n v="22325"/>
    <s v="CELESTE"/>
    <n v="16"/>
    <n v="0"/>
    <n v="0"/>
    <n v="24.65"/>
    <n v="25"/>
    <n v="85"/>
    <n v="294.11764705882354"/>
    <x v="7"/>
    <x v="0"/>
    <n v="33"/>
    <n v="1"/>
    <n v="24.166666666666668"/>
  </r>
  <r>
    <d v="2025-09-01T07:20:00"/>
    <s v="SOPLADO"/>
    <x v="12"/>
    <x v="177"/>
    <s v="NELSON PINEDO"/>
    <s v="VIRGEN"/>
    <s v="PP SOPLADO"/>
    <s v="."/>
    <s v="FLORERO ROMANO"/>
    <s v="FLORERO ROMANO PASTEL-CELESTE"/>
    <n v="144"/>
    <n v="2"/>
    <n v="13.7"/>
    <x v="0"/>
    <m/>
    <n v="3"/>
    <n v="1190"/>
    <n v="22326"/>
    <s v="CELESTE"/>
    <n v="10.3"/>
    <n v="0"/>
    <n v="0"/>
    <n v="12.24"/>
    <n v="13.7"/>
    <n v="85"/>
    <n v="161.1764705882353"/>
    <x v="7"/>
    <x v="0"/>
    <n v="33"/>
    <n v="1"/>
    <n v="12"/>
  </r>
  <r>
    <d v="2025-09-01T07:20:00"/>
    <s v="SOPLADO"/>
    <x v="12"/>
    <x v="177"/>
    <s v="NELSON PINEDO"/>
    <s v="VIRGEN"/>
    <s v="PP SOPLADO"/>
    <s v="."/>
    <s v="FLORERO ROMANO"/>
    <s v="FLORERO ROMANO PASTEL-ROSADO"/>
    <n v="323"/>
    <n v="3"/>
    <n v="27.8"/>
    <x v="0"/>
    <m/>
    <n v="6"/>
    <n v="1190"/>
    <n v="22326"/>
    <s v="ROSADO"/>
    <n v="19"/>
    <n v="0"/>
    <n v="0"/>
    <n v="27.454999999999998"/>
    <n v="27.8"/>
    <n v="85"/>
    <n v="327.05882352941177"/>
    <x v="7"/>
    <x v="0"/>
    <n v="33"/>
    <n v="1"/>
    <n v="26.916666666666668"/>
  </r>
  <r>
    <d v="2025-09-01T07:20:00"/>
    <s v="SOPLADO"/>
    <x v="12"/>
    <x v="177"/>
    <s v="NELSON PINEDO"/>
    <s v="VIRGEN"/>
    <s v="PP SOPLADO"/>
    <s v="."/>
    <s v="FLORERO ROMANO"/>
    <s v="FLORERO ROMANO CARAMELO-FUCSIA"/>
    <n v="322"/>
    <n v="4"/>
    <n v="27.7"/>
    <x v="0"/>
    <m/>
    <n v="6"/>
    <n v="1190"/>
    <n v="22326"/>
    <s v="FUCSIA"/>
    <n v="20.7"/>
    <n v="0"/>
    <n v="0"/>
    <n v="27.37"/>
    <n v="27.7"/>
    <n v="85"/>
    <n v="325.88235294117646"/>
    <x v="7"/>
    <x v="0"/>
    <n v="33"/>
    <n v="1"/>
    <n v="26.833333333333332"/>
  </r>
  <r>
    <d v="2025-09-01T07:20:00"/>
    <s v="SOPLADO"/>
    <x v="12"/>
    <x v="177"/>
    <s v="GABRIEL REQUENA"/>
    <s v="VIRGEN"/>
    <s v="PP SOPLADO"/>
    <s v="."/>
    <s v="FLORERO ROMANO"/>
    <s v="FLORERO ROMANO CARAMELO-FUCSIA"/>
    <n v="97"/>
    <n v="2"/>
    <n v="8.4"/>
    <x v="1"/>
    <m/>
    <n v="2"/>
    <n v="1187"/>
    <n v="22327"/>
    <s v="FUCSIA"/>
    <n v="9.1"/>
    <n v="0"/>
    <n v="0"/>
    <n v="8.2449999999999992"/>
    <n v="8.4"/>
    <n v="85"/>
    <n v="98.82352941176471"/>
    <x v="7"/>
    <x v="0"/>
    <n v="33"/>
    <n v="1"/>
    <n v="8.0833333333333339"/>
  </r>
  <r>
    <d v="2025-09-01T07:20:00"/>
    <s v="SOPLADO"/>
    <x v="12"/>
    <x v="177"/>
    <s v="GABRIEL REQUENA"/>
    <s v="VIRGEN"/>
    <s v="PP SOPLADO"/>
    <s v="."/>
    <s v="FLORERO ROMANO"/>
    <s v="FLORERO ROMANO CARAMELO-LILA"/>
    <n v="36"/>
    <n v="1"/>
    <n v="3.1"/>
    <x v="1"/>
    <m/>
    <n v="1"/>
    <n v="1187"/>
    <n v="22327"/>
    <s v="LILA"/>
    <n v="16.2"/>
    <n v="0"/>
    <n v="0"/>
    <n v="3.06"/>
    <n v="3.1"/>
    <n v="85"/>
    <n v="36.470588235294116"/>
    <x v="7"/>
    <x v="0"/>
    <n v="33"/>
    <n v="1"/>
    <n v="3"/>
  </r>
  <r>
    <d v="2025-09-01T07:20:00"/>
    <s v="SOPLADO"/>
    <x v="12"/>
    <x v="177"/>
    <s v="GABRIEL REQUENA"/>
    <s v="VIRGEN"/>
    <s v="PP SOPLADO"/>
    <s v="."/>
    <s v="FLORERO ROMANO"/>
    <s v="FLORERO ROMANO CARAMELO-AMARILLO"/>
    <n v="368"/>
    <n v="5"/>
    <n v="31.700000000000003"/>
    <x v="1"/>
    <m/>
    <n v="8"/>
    <n v="1187"/>
    <n v="22327"/>
    <s v="AMARILLO"/>
    <n v="25.8"/>
    <n v="0"/>
    <n v="0"/>
    <n v="31.28"/>
    <n v="31.700000000000003"/>
    <n v="85"/>
    <n v="372.94117647058829"/>
    <x v="7"/>
    <x v="0"/>
    <n v="33"/>
    <n v="1"/>
    <n v="30.666666666666668"/>
  </r>
  <r>
    <d v="2025-09-01T07:20:00"/>
    <s v="SOPLADO"/>
    <x v="12"/>
    <x v="177"/>
    <s v="GABRIEL REQUENA"/>
    <s v="VIRGEN"/>
    <s v="PP SOPLADO"/>
    <s v="."/>
    <s v="FLORERO ROMANO"/>
    <s v="FLORERO ROMANO CARAMELO-VERDE"/>
    <n v="290"/>
    <n v="4"/>
    <n v="25"/>
    <x v="1"/>
    <m/>
    <n v="5"/>
    <n v="1187"/>
    <n v="22327"/>
    <s v="VERDE"/>
    <n v="19.399999999999999"/>
    <n v="0"/>
    <n v="0"/>
    <n v="24.65"/>
    <n v="25"/>
    <n v="85"/>
    <n v="294.11764705882354"/>
    <x v="7"/>
    <x v="0"/>
    <n v="33"/>
    <n v="1"/>
    <n v="24.166666666666668"/>
  </r>
  <r>
    <d v="2025-09-01T07:20:00"/>
    <s v="SOPLADO"/>
    <x v="12"/>
    <x v="177"/>
    <s v="GABRIEL REQUENA"/>
    <s v="VIRGEN"/>
    <s v="PP SOPLADO"/>
    <s v="."/>
    <s v="FLORERO ROMANO"/>
    <s v="FLORERO ROMANO CARAMELO-AZUL"/>
    <n v="39"/>
    <n v="1"/>
    <n v="3.4"/>
    <x v="1"/>
    <m/>
    <n v="1"/>
    <n v="1187"/>
    <n v="22327"/>
    <s v="VERDE"/>
    <n v="19.399999999999999"/>
    <n v="0"/>
    <n v="0"/>
    <n v="3.3149999999999999"/>
    <n v="3.4"/>
    <n v="85"/>
    <n v="40"/>
    <x v="7"/>
    <x v="0"/>
    <n v="33"/>
    <n v="1"/>
    <n v="3.25"/>
  </r>
  <r>
    <d v="2025-09-01T07:20:00"/>
    <s v="SOPLADO"/>
    <x v="12"/>
    <x v="178"/>
    <s v="LUIS PINEDO"/>
    <s v="VIRGEN"/>
    <s v="PP SOPLADO"/>
    <s v="."/>
    <s v="FLORERO ROMANO"/>
    <s v="FLORERO ROMANO CARAMELO-AZUL"/>
    <n v="355"/>
    <n v="4"/>
    <n v="30.6"/>
    <x v="0"/>
    <m/>
    <n v="8"/>
    <n v="1187"/>
    <n v="22328"/>
    <s v="AZUL"/>
    <n v="16.899999999999999"/>
    <n v="0"/>
    <n v="0"/>
    <n v="30.175000000000001"/>
    <n v="30.6"/>
    <n v="85"/>
    <n v="360"/>
    <x v="7"/>
    <x v="0"/>
    <n v="33"/>
    <n v="1"/>
    <n v="29.583333333333332"/>
  </r>
  <r>
    <d v="2025-09-01T07:20:00"/>
    <s v="SOPLADO"/>
    <x v="12"/>
    <x v="178"/>
    <s v="LUIS PINEDO"/>
    <s v="VIRGEN"/>
    <s v="PP SOPLADO"/>
    <s v="."/>
    <s v="FLORERO ROMANO"/>
    <s v="FLORERO ROMANO CARAMELO-ANARANJADO"/>
    <n v="209"/>
    <n v="3"/>
    <n v="18"/>
    <x v="0"/>
    <m/>
    <n v="4"/>
    <n v="1187"/>
    <n v="22328"/>
    <s v="NARANJA"/>
    <n v="6.1"/>
    <n v="0"/>
    <n v="0"/>
    <n v="17.765000000000001"/>
    <n v="18"/>
    <n v="85"/>
    <n v="211.76470588235293"/>
    <x v="7"/>
    <x v="0"/>
    <n v="33"/>
    <n v="1"/>
    <n v="17.416666666666668"/>
  </r>
  <r>
    <d v="2025-09-01T07:20:00"/>
    <s v="SOPLADO"/>
    <x v="12"/>
    <x v="179"/>
    <s v="LUIS PINEDO"/>
    <s v="VIRGEN"/>
    <s v="PP SOPLADO"/>
    <s v="."/>
    <s v="FLORERO ROMANO"/>
    <s v="FLORERO ROMANO CARAMELO-ANARANJADO"/>
    <n v="231"/>
    <n v="2"/>
    <n v="20.399999999999999"/>
    <x v="0"/>
    <m/>
    <n v="5"/>
    <n v="1187"/>
    <n v="22329"/>
    <s v="NARANJA"/>
    <n v="16.399999999999999"/>
    <n v="0"/>
    <n v="0"/>
    <n v="19.635000000000002"/>
    <n v="20.399999999999999"/>
    <n v="85"/>
    <n v="240"/>
    <x v="7"/>
    <x v="0"/>
    <n v="34"/>
    <n v="1"/>
    <n v="19.25"/>
  </r>
  <r>
    <d v="2025-09-01T07:20:00"/>
    <s v="SOPLADO"/>
    <x v="12"/>
    <x v="179"/>
    <s v="LUIS PINEDO"/>
    <s v="VIRGEN"/>
    <s v="PP SOPLADO"/>
    <s v="."/>
    <s v="FLORERO ROMANO"/>
    <s v="FLORERO ROMANO CARAMELO-LILA"/>
    <n v="387"/>
    <n v="4"/>
    <n v="34.1"/>
    <x v="0"/>
    <m/>
    <n v="7"/>
    <n v="1187"/>
    <n v="22329"/>
    <s v="LILA"/>
    <n v="18.7"/>
    <n v="0"/>
    <n v="0"/>
    <n v="32.895000000000003"/>
    <n v="34.1"/>
    <n v="85"/>
    <n v="401.1764705882353"/>
    <x v="7"/>
    <x v="0"/>
    <n v="34"/>
    <n v="1"/>
    <n v="32.25"/>
  </r>
  <r>
    <d v="2025-09-01T07:20:00"/>
    <s v="SOPLADO"/>
    <x v="12"/>
    <x v="179"/>
    <s v="LUIS PINEDO"/>
    <s v="VIRGEN"/>
    <s v="PP SOPLADO"/>
    <s v="."/>
    <s v="FLORERO ROMANO"/>
    <s v="FLORERO ROMANO CARAMELO-AMARILLO"/>
    <n v="85"/>
    <n v="1"/>
    <n v="7.5"/>
    <x v="0"/>
    <m/>
    <n v="2"/>
    <n v="1187"/>
    <n v="22329"/>
    <s v="AMARILLO"/>
    <n v="5.7"/>
    <n v="0"/>
    <n v="0"/>
    <n v="7.2249999999999996"/>
    <n v="7.5"/>
    <n v="85"/>
    <n v="88.235294117647058"/>
    <x v="7"/>
    <x v="0"/>
    <n v="34"/>
    <n v="1"/>
    <n v="7.083333333333333"/>
  </r>
  <r>
    <d v="2025-09-01T07:20:00"/>
    <s v="SOPLADO"/>
    <x v="12"/>
    <x v="179"/>
    <s v="LUIS PINEDO"/>
    <s v="VIRGEN"/>
    <s v="PP SOPLADO"/>
    <s v="."/>
    <s v="FLORERO ROMANO"/>
    <s v="FLORERO ROMANO CARAMELO-VERDE"/>
    <n v="54"/>
    <n v="1"/>
    <n v="4.8"/>
    <x v="0"/>
    <m/>
    <n v="1"/>
    <n v="1187"/>
    <n v="22329"/>
    <s v="VERDE"/>
    <n v="3.4"/>
    <n v="0"/>
    <n v="0"/>
    <n v="4.59"/>
    <n v="4.8"/>
    <n v="85"/>
    <n v="56.470588235294116"/>
    <x v="7"/>
    <x v="0"/>
    <n v="34"/>
    <n v="1"/>
    <n v="4.5"/>
  </r>
  <r>
    <d v="2025-09-01T07:20:00"/>
    <s v="INYECTADO"/>
    <x v="0"/>
    <x v="172"/>
    <s v="LUIS PINEDO"/>
    <s v="VIRGEN"/>
    <s v="PP CLARIFICADO"/>
    <s v="."/>
    <s v="BALDE CANCUN"/>
    <s v="BALDE CANCUN-AMARILLO"/>
    <n v="447"/>
    <n v="5"/>
    <n v="21.5"/>
    <x v="0"/>
    <m/>
    <n v="3"/>
    <n v="1191"/>
    <n v="21753"/>
    <s v="AMARILLO"/>
    <n v="11.3"/>
    <n v="0"/>
    <n v="0"/>
    <n v="21.456"/>
    <n v="21.5"/>
    <n v="48"/>
    <n v="447.91666666666669"/>
    <x v="7"/>
    <x v="0"/>
    <n v="31"/>
    <n v="1"/>
    <n v="37.25"/>
  </r>
  <r>
    <d v="2025-09-01T07:20:00"/>
    <s v="INYECTADO"/>
    <x v="0"/>
    <x v="172"/>
    <s v="LUIS PINEDO"/>
    <s v="VIRGEN"/>
    <s v="PP CLARIFICADO"/>
    <s v="."/>
    <s v="BALDE CANCUN"/>
    <s v="BALDE CANCUN-VERDE"/>
    <n v="475"/>
    <n v="5"/>
    <n v="22.8"/>
    <x v="0"/>
    <m/>
    <n v="2"/>
    <n v="1191"/>
    <n v="21753"/>
    <s v="VERDE"/>
    <n v="2.2000000000000002"/>
    <n v="0"/>
    <n v="0"/>
    <n v="22.8"/>
    <n v="22.8"/>
    <n v="48"/>
    <n v="475"/>
    <x v="7"/>
    <x v="0"/>
    <n v="31"/>
    <n v="1"/>
    <n v="39.583333333333336"/>
  </r>
  <r>
    <d v="2025-09-01T07:20:00"/>
    <s v="INYECTADO"/>
    <x v="0"/>
    <x v="180"/>
    <s v="MARJORIE VILCHEZ"/>
    <s v="VIRGEN"/>
    <s v="PP CLARIFICADO"/>
    <s v="."/>
    <s v="BALDE CANCUN"/>
    <s v="BALDE CANCUN-VERDE"/>
    <n v="18"/>
    <n v="1"/>
    <n v="0.9"/>
    <x v="0"/>
    <m/>
    <n v="1"/>
    <n v="1191"/>
    <n v="21754"/>
    <s v="VERDE"/>
    <n v="2.2000000000000002"/>
    <n v="0"/>
    <n v="0"/>
    <n v="0.86399999999999999"/>
    <n v="0.9"/>
    <n v="48"/>
    <n v="18.75"/>
    <x v="7"/>
    <x v="0"/>
    <n v="32"/>
    <n v="1"/>
    <n v="1.5"/>
  </r>
  <r>
    <d v="2025-09-01T07:20:00"/>
    <s v="INYECTADO"/>
    <x v="0"/>
    <x v="180"/>
    <s v="MARJORIE VILCHEZ"/>
    <s v="VIRGEN"/>
    <s v="PP CLARIFICADO"/>
    <s v="."/>
    <s v="BALDE CANCUN"/>
    <s v="BALDE CANCUN-AZUL"/>
    <n v="500"/>
    <n v="4"/>
    <n v="24"/>
    <x v="0"/>
    <m/>
    <n v="2"/>
    <n v="1191"/>
    <n v="21754"/>
    <s v="AZUL"/>
    <n v="3.6"/>
    <n v="0"/>
    <n v="0"/>
    <n v="24"/>
    <n v="24"/>
    <n v="48"/>
    <n v="500"/>
    <x v="7"/>
    <x v="0"/>
    <n v="32"/>
    <n v="1"/>
    <n v="41.666666666666664"/>
  </r>
  <r>
    <d v="2025-09-01T07:20:00"/>
    <s v="INYECTADO"/>
    <x v="0"/>
    <x v="180"/>
    <s v="MARJORIE VILCHEZ"/>
    <s v="VIRGEN"/>
    <s v="PP CLARIFICADO"/>
    <s v="."/>
    <s v="BALDE CANCUN"/>
    <s v="BALDE CANCUN-FUCSIA"/>
    <n v="504"/>
    <n v="4"/>
    <n v="24.2"/>
    <x v="0"/>
    <m/>
    <n v="2"/>
    <n v="1191"/>
    <n v="21754"/>
    <s v="ROSADO"/>
    <n v="3"/>
    <n v="0"/>
    <n v="0"/>
    <n v="24.192"/>
    <n v="24.2"/>
    <n v="48"/>
    <n v="504.16666666666669"/>
    <x v="7"/>
    <x v="0"/>
    <n v="32"/>
    <n v="1"/>
    <n v="42"/>
  </r>
  <r>
    <d v="2025-09-01T07:20:00"/>
    <s v="INYECTADO"/>
    <x v="0"/>
    <x v="180"/>
    <s v="MARJORIE VILCHEZ"/>
    <s v="VIRGEN"/>
    <s v="PP CLARIFICADO"/>
    <s v="."/>
    <s v="BALDE CANCUN"/>
    <s v="BALDE CANCUN-LILA"/>
    <n v="189"/>
    <n v="2"/>
    <n v="9.1"/>
    <x v="0"/>
    <m/>
    <n v="1"/>
    <n v="1191"/>
    <n v="21754"/>
    <s v="LILA"/>
    <n v="0.8"/>
    <n v="0"/>
    <n v="0"/>
    <n v="9.0719999999999992"/>
    <n v="9.1"/>
    <n v="48"/>
    <n v="189.58333333333334"/>
    <x v="7"/>
    <x v="0"/>
    <n v="32"/>
    <n v="1"/>
    <n v="15.75"/>
  </r>
  <r>
    <d v="2025-09-01T07:20:00"/>
    <s v="INYECTADO"/>
    <x v="0"/>
    <x v="181"/>
    <s v="CARMINA"/>
    <s v="VIRGEN"/>
    <s v="PP CLARIFICADO"/>
    <s v="."/>
    <s v="BALDE CANCUN"/>
    <s v="BALDE CANCUN PASTEL-LILA"/>
    <n v="306"/>
    <n v="3"/>
    <n v="14.7"/>
    <x v="0"/>
    <m/>
    <n v="2"/>
    <n v="1191"/>
    <n v="21755"/>
    <s v="LILA"/>
    <n v="11.6"/>
    <n v="0"/>
    <n v="0"/>
    <n v="14.688000000000001"/>
    <n v="14.7"/>
    <n v="48"/>
    <n v="306.25"/>
    <x v="7"/>
    <x v="0"/>
    <n v="32"/>
    <n v="1"/>
    <n v="25.5"/>
  </r>
  <r>
    <d v="2025-09-01T07:20:00"/>
    <s v="INYECTADO"/>
    <x v="0"/>
    <x v="181"/>
    <s v="CARMINA"/>
    <s v="VIRGEN"/>
    <s v="PP CLARIFICADO"/>
    <s v="."/>
    <s v="BALDE CANCUN"/>
    <s v="BALDE CANCUN PASTEL-MELON"/>
    <n v="229"/>
    <n v="2"/>
    <n v="11"/>
    <x v="0"/>
    <m/>
    <n v="1"/>
    <n v="1191"/>
    <n v="21755"/>
    <s v="MELON"/>
    <n v="0"/>
    <n v="0"/>
    <n v="0"/>
    <n v="10.992000000000001"/>
    <n v="11"/>
    <n v="48"/>
    <n v="229.16666666666666"/>
    <x v="7"/>
    <x v="0"/>
    <n v="32"/>
    <n v="1"/>
    <n v="19.083333333333332"/>
  </r>
  <r>
    <d v="2025-09-01T07:20:00"/>
    <s v="INYECTADO"/>
    <x v="0"/>
    <x v="181"/>
    <s v="CARMINA"/>
    <s v="VIRGEN"/>
    <s v="PP CLARIFICADO"/>
    <s v="."/>
    <s v="BALDE CANCUN"/>
    <s v="BALDE CANCUN PASTEL-CREMA"/>
    <n v="262"/>
    <n v="2"/>
    <n v="12.6"/>
    <x v="0"/>
    <m/>
    <n v="1"/>
    <n v="1191"/>
    <n v="21755"/>
    <s v="CREMA"/>
    <n v="0"/>
    <n v="0"/>
    <n v="0"/>
    <n v="12.576000000000001"/>
    <n v="12.6"/>
    <n v="48"/>
    <n v="262.5"/>
    <x v="7"/>
    <x v="0"/>
    <n v="32"/>
    <n v="1"/>
    <n v="21.833333333333332"/>
  </r>
  <r>
    <d v="2025-09-01T07:20:00"/>
    <s v="INYECTADO"/>
    <x v="0"/>
    <x v="181"/>
    <s v="CARMINA"/>
    <s v="VIRGEN"/>
    <s v="PP CLARIFICADO"/>
    <s v="."/>
    <s v="BALDE CANCUN"/>
    <s v="BALDE CANCUN-ROJO"/>
    <n v="243"/>
    <n v="2"/>
    <n v="11.7"/>
    <x v="0"/>
    <m/>
    <n v="1"/>
    <n v="1191"/>
    <n v="21755"/>
    <s v="ROJO"/>
    <n v="0"/>
    <n v="0"/>
    <n v="0"/>
    <n v="11.664"/>
    <n v="11.7"/>
    <n v="48"/>
    <n v="243.75"/>
    <x v="7"/>
    <x v="0"/>
    <n v="32"/>
    <n v="1"/>
    <n v="20.25"/>
  </r>
  <r>
    <d v="2025-09-01T07:20:00"/>
    <s v="INYECTADO"/>
    <x v="0"/>
    <x v="183"/>
    <s v="CRISALIDA ZAPATA"/>
    <s v="VIRGEN"/>
    <s v="PP CLARIFICADO"/>
    <s v="."/>
    <s v="BALDE CANCUN"/>
    <s v="BALDE CANCUN-ROJO"/>
    <n v="322"/>
    <n v="4"/>
    <n v="15.5"/>
    <x v="0"/>
    <m/>
    <n v="2"/>
    <n v="1191"/>
    <n v="21756"/>
    <s v="ROJO"/>
    <n v="7.2"/>
    <n v="0"/>
    <n v="0"/>
    <n v="15.456"/>
    <n v="15.5"/>
    <n v="48"/>
    <n v="322.91666666666669"/>
    <x v="7"/>
    <x v="0"/>
    <n v="32"/>
    <n v="1"/>
    <n v="26.833333333333332"/>
  </r>
  <r>
    <d v="2025-09-01T07:20:00"/>
    <s v="INYECTADO"/>
    <x v="0"/>
    <x v="183"/>
    <s v="CRISALIDA ZAPATA"/>
    <s v="VIRGEN"/>
    <s v="PP CLARIFICADO"/>
    <s v="."/>
    <s v="BALDE CANCUN"/>
    <s v="BALDE CANCUN PASTEL-TURQUESA"/>
    <n v="243"/>
    <n v="2"/>
    <n v="11.7"/>
    <x v="0"/>
    <m/>
    <n v="1"/>
    <n v="1191"/>
    <n v="21756"/>
    <s v="TURQUESA"/>
    <n v="3.8"/>
    <n v="0"/>
    <n v="0"/>
    <n v="11.664"/>
    <n v="11.7"/>
    <n v="48"/>
    <n v="243.75"/>
    <x v="7"/>
    <x v="0"/>
    <n v="32"/>
    <n v="1"/>
    <n v="20.25"/>
  </r>
  <r>
    <d v="2025-09-01T07:20:00"/>
    <s v="INYECTADO"/>
    <x v="0"/>
    <x v="183"/>
    <s v="CRISALIDA ZAPATA"/>
    <s v="VIRGEN"/>
    <s v="PP CLARIFICADO"/>
    <s v="."/>
    <s v="BALDE CANCUN"/>
    <s v="BALDE CANCUN PASTEL-ROSADO"/>
    <n v="29"/>
    <n v="1"/>
    <n v="1.4"/>
    <x v="0"/>
    <m/>
    <n v="1"/>
    <n v="1191"/>
    <n v="21756"/>
    <s v="ROSADO"/>
    <n v="0.8"/>
    <n v="0"/>
    <n v="0"/>
    <n v="1.3919999999999999"/>
    <n v="1.4"/>
    <n v="48"/>
    <n v="29.166666666666668"/>
    <x v="7"/>
    <x v="0"/>
    <n v="32"/>
    <n v="1"/>
    <n v="2.4166666666666665"/>
  </r>
  <r>
    <d v="2025-09-01T07:20:00"/>
    <s v="INYECTADO"/>
    <x v="0"/>
    <x v="185"/>
    <s v="CRISALIDA ZAPATA"/>
    <s v="VIRGEN"/>
    <s v="PP CLARIFICADO"/>
    <s v="."/>
    <s v="BALDE CANCUN"/>
    <s v="BALDE CANCUN-FUCSIA"/>
    <n v="185"/>
    <n v="2"/>
    <n v="8.9"/>
    <x v="0"/>
    <m/>
    <n v="1"/>
    <n v="1191"/>
    <n v="21757"/>
    <s v="FUCSIA"/>
    <n v="1.8"/>
    <n v="0"/>
    <n v="0"/>
    <n v="8.8800000000000008"/>
    <n v="8.9"/>
    <n v="48"/>
    <n v="185.41666666666666"/>
    <x v="7"/>
    <x v="0"/>
    <n v="32"/>
    <n v="1"/>
    <n v="15.416666666666666"/>
  </r>
  <r>
    <d v="2025-09-01T07:20:00"/>
    <s v="INYECTADO"/>
    <x v="0"/>
    <x v="185"/>
    <s v="CRISALIDA ZAPATA"/>
    <s v="VIRGEN"/>
    <s v="PP CLARIFICADO"/>
    <s v="."/>
    <s v="BALDE CANCUN"/>
    <s v="BALDE CANCUN-LILA"/>
    <n v="252"/>
    <n v="3"/>
    <n v="12.1"/>
    <x v="0"/>
    <m/>
    <n v="1"/>
    <n v="1191"/>
    <n v="21757"/>
    <s v="LILA"/>
    <n v="1.5"/>
    <n v="0"/>
    <n v="0"/>
    <n v="12.096"/>
    <n v="12.1"/>
    <n v="48"/>
    <n v="252.08333333333334"/>
    <x v="7"/>
    <x v="0"/>
    <n v="32"/>
    <n v="1"/>
    <n v="21"/>
  </r>
  <r>
    <d v="2025-09-01T07:20:00"/>
    <s v="INYECTADO"/>
    <x v="4"/>
    <x v="171"/>
    <s v="SAID VILLAMIZAR"/>
    <s v="VIRGEN"/>
    <s v="PP CLARIFICADO"/>
    <s v="."/>
    <s v="ASAS DE BALDE CANCUN"/>
    <s v="ASAS DE BALDE CANCUN-BLANCO"/>
    <n v="1780"/>
    <n v="10"/>
    <n v="17.8"/>
    <x v="0"/>
    <m/>
    <n v="2"/>
    <n v="1192"/>
    <n v="20475"/>
    <s v="BLANCO"/>
    <n v="5.5"/>
    <n v="0"/>
    <n v="0"/>
    <n v="17.8"/>
    <n v="17.8"/>
    <n v="10"/>
    <n v="1780"/>
    <x v="7"/>
    <x v="0"/>
    <n v="31"/>
    <n v="4"/>
    <n v="593.33333333333337"/>
  </r>
  <r>
    <d v="2025-09-01T07:20:00"/>
    <s v="INYECTADO"/>
    <x v="4"/>
    <x v="171"/>
    <s v="GABRIEL REQUENA"/>
    <s v="VIRGEN"/>
    <s v="PP CLARIFICADO"/>
    <s v="."/>
    <s v="ASAS DE BALDE CANCUN"/>
    <s v="ASAS DE BALDE CANCUN-BLANCO"/>
    <n v="400"/>
    <n v="2"/>
    <n v="3.6"/>
    <x v="1"/>
    <m/>
    <n v="1"/>
    <n v="1192"/>
    <n v="20476"/>
    <s v="BLANCO"/>
    <n v="3.6"/>
    <n v="0"/>
    <n v="0"/>
    <n v="4"/>
    <n v="3.6"/>
    <n v="10"/>
    <n v="360"/>
    <x v="7"/>
    <x v="0"/>
    <n v="31"/>
    <n v="4"/>
    <n v="133.33333333333334"/>
  </r>
  <r>
    <d v="2025-09-01T07:20:00"/>
    <s v="INYECTADO"/>
    <x v="4"/>
    <x v="173"/>
    <s v="JUAN MANUEL "/>
    <s v="VIRGEN"/>
    <s v="PP CLARIFICADO"/>
    <s v="."/>
    <s v="ASAS DE BALDE CANCUN"/>
    <s v="ASAS DE BALDE CANCUN-BLANCO"/>
    <n v="500"/>
    <n v="5"/>
    <n v="5"/>
    <x v="1"/>
    <m/>
    <n v="5"/>
    <n v="1192"/>
    <n v="22298"/>
    <s v="BLANCO"/>
    <n v="0"/>
    <n v="0"/>
    <n v="0"/>
    <n v="5"/>
    <n v="5"/>
    <n v="10"/>
    <n v="500"/>
    <x v="7"/>
    <x v="0"/>
    <n v="33"/>
    <n v="4"/>
    <n v="166.66666666666666"/>
  </r>
  <r>
    <d v="2025-09-01T07:20:00"/>
    <s v="INYECTADO"/>
    <x v="4"/>
    <x v="174"/>
    <s v="CRISALIDA ZAPATA"/>
    <s v="VIRGEN"/>
    <s v="PP CLARIFICADO"/>
    <s v="."/>
    <s v="ASAS DE BALDE CANCUN"/>
    <s v="ASAS DE BALDE CANCUN-BLANCO"/>
    <n v="1280"/>
    <n v="7"/>
    <n v="12.8"/>
    <x v="0"/>
    <m/>
    <n v="2"/>
    <n v="1192"/>
    <n v="20477"/>
    <s v="BLANCO"/>
    <n v="3.4"/>
    <n v="0"/>
    <n v="0"/>
    <n v="12.8"/>
    <n v="12.8"/>
    <n v="10"/>
    <n v="1280"/>
    <x v="7"/>
    <x v="0"/>
    <n v="33"/>
    <n v="4"/>
    <n v="426.66666666666669"/>
  </r>
  <r>
    <d v="2025-09-01T07:20:00"/>
    <s v="INYECTADO"/>
    <x v="4"/>
    <x v="175"/>
    <s v="CRISALIDA ZAPATA"/>
    <s v="VIRGEN"/>
    <s v="PP CLARIFICADO"/>
    <s v="."/>
    <s v="ASAS DE BALDE CANCUN"/>
    <s v="ASAS DE BALDE CANCUN-BLANCO"/>
    <n v="2210"/>
    <n v="11"/>
    <n v="22.1"/>
    <x v="0"/>
    <m/>
    <n v="3"/>
    <n v="1192"/>
    <n v="20478"/>
    <s v="BLANCO"/>
    <n v="0"/>
    <n v="0"/>
    <n v="0"/>
    <n v="22.1"/>
    <n v="22.1"/>
    <n v="10"/>
    <n v="2210"/>
    <x v="7"/>
    <x v="0"/>
    <n v="33"/>
    <n v="4"/>
    <n v="736.66666666666663"/>
  </r>
  <r>
    <d v="2025-09-01T07:20:00"/>
    <s v="INYECTADO"/>
    <x v="5"/>
    <x v="182"/>
    <s v="ISABEL LINARIZ "/>
    <s v="VIRGEN"/>
    <s v="ALTA INYECCION"/>
    <s v="."/>
    <s v="ASAS ORGANIZADOR 2 Y 3 PASTEL"/>
    <s v="ASAS DE ORGANIZADOR 2 Y 3-CELESTE PASTEL"/>
    <n v="1081"/>
    <n v="7"/>
    <n v="34.6"/>
    <x v="0"/>
    <m/>
    <n v="4"/>
    <n v="1163"/>
    <n v="22508"/>
    <s v="CELESTE"/>
    <n v="15.3"/>
    <n v="0"/>
    <n v="0"/>
    <n v="11.891"/>
    <n v="34.6"/>
    <n v="11"/>
    <n v="3145.4545454545455"/>
    <x v="7"/>
    <x v="0"/>
    <n v="32"/>
    <n v="3"/>
    <n v="270.25"/>
  </r>
  <r>
    <d v="2025-09-01T07:20:00"/>
    <s v="INYECTADO"/>
    <x v="5"/>
    <x v="182"/>
    <s v="ISABEL LINARIZ "/>
    <s v="VIRGEN"/>
    <s v="ALTA INYECCION"/>
    <s v="."/>
    <s v="ASAS ORGANIZADOR 2 Y 3 PASTEL"/>
    <s v="ASAS DE ORGANIZADOR 2 Y 3-AZURE"/>
    <n v="484"/>
    <n v="4"/>
    <n v="15.5"/>
    <x v="0"/>
    <m/>
    <n v="2"/>
    <n v="1163"/>
    <n v="22508"/>
    <s v="AZURE"/>
    <n v="6.9"/>
    <n v="0"/>
    <n v="0"/>
    <n v="5.3239999999999998"/>
    <n v="15.5"/>
    <n v="11"/>
    <n v="1409.090909090909"/>
    <x v="7"/>
    <x v="0"/>
    <n v="32"/>
    <n v="3"/>
    <n v="121"/>
  </r>
  <r>
    <d v="2025-09-01T07:20:00"/>
    <s v="INYECTADO"/>
    <x v="5"/>
    <x v="182"/>
    <s v="JOSDER GONZALEZ"/>
    <s v="VIRGEN"/>
    <s v="ALTA INYECCION"/>
    <s v="."/>
    <s v="ASAS ORGANIZADOR 2 Y 3 PASTEL"/>
    <s v="ASAS DE ORGANIZADOR 2 Y 3-AZURE"/>
    <n v="637"/>
    <n v="5"/>
    <n v="20.399999999999999"/>
    <x v="1"/>
    <m/>
    <n v="3"/>
    <n v="1163"/>
    <n v="22509"/>
    <s v="AZURE"/>
    <n v="9.9"/>
    <n v="0"/>
    <n v="0"/>
    <n v="7.0069999999999997"/>
    <n v="20.399999999999999"/>
    <n v="11"/>
    <n v="1854.5454545454545"/>
    <x v="7"/>
    <x v="0"/>
    <n v="32"/>
    <n v="3"/>
    <n v="159.25"/>
  </r>
  <r>
    <d v="2025-09-01T07:20:00"/>
    <s v="INYECTADO"/>
    <x v="5"/>
    <x v="182"/>
    <s v="JOSDER GONZALEZ"/>
    <s v="VIRGEN"/>
    <s v="ALTA INYECCION"/>
    <s v="."/>
    <s v="ASAS ORGANIZADOR 2 Y 3 SOLIDO"/>
    <s v="ASAS DE ORGANIZADOR 2 Y 3-VERDE"/>
    <n v="871"/>
    <n v="6"/>
    <n v="27.9"/>
    <x v="1"/>
    <m/>
    <n v="4"/>
    <n v="1193"/>
    <n v="22509"/>
    <s v="VERDE"/>
    <n v="10.5"/>
    <n v="0"/>
    <n v="0"/>
    <n v="9.5809999999999995"/>
    <n v="27.9"/>
    <n v="11"/>
    <n v="2536.3636363636365"/>
    <x v="7"/>
    <x v="0"/>
    <n v="32"/>
    <n v="3"/>
    <n v="217.75"/>
  </r>
  <r>
    <d v="2025-09-01T07:20:00"/>
    <s v="INYECTADO"/>
    <x v="5"/>
    <x v="183"/>
    <s v="CARMINA"/>
    <s v="VIRGEN"/>
    <s v="ALTA INYECCION"/>
    <s v="."/>
    <s v="ASAS ORGANIZADOR 2 Y 3 SOLIDO"/>
    <s v="ASAS DE ORGANIZADOR 2 Y 3-VERDE"/>
    <n v="821"/>
    <n v="6"/>
    <n v="26.3"/>
    <x v="0"/>
    <m/>
    <n v="3"/>
    <n v="1193"/>
    <s v="22509-1"/>
    <s v="VERDE"/>
    <n v="15.4"/>
    <n v="0"/>
    <n v="0"/>
    <n v="9.0310000000000006"/>
    <n v="26.3"/>
    <n v="11"/>
    <n v="2390.909090909091"/>
    <x v="7"/>
    <x v="0"/>
    <n v="32"/>
    <n v="3"/>
    <n v="205.25"/>
  </r>
  <r>
    <d v="2025-09-01T07:20:00"/>
    <s v="INYECTADO"/>
    <x v="5"/>
    <x v="183"/>
    <s v="CARMINA"/>
    <s v="VIRGEN"/>
    <s v="ALTA INYECCION"/>
    <s v="."/>
    <s v="ASAS ORGANIZADOR 2 Y 3 SOLIDO"/>
    <s v="ASAS DE ORGANIZADOR 2 Y 3-ROJO"/>
    <n v="334"/>
    <n v="3"/>
    <n v="10.7"/>
    <x v="0"/>
    <m/>
    <n v="3"/>
    <n v="1193"/>
    <s v="22509-1"/>
    <s v="ROJO"/>
    <n v="4.7"/>
    <n v="0"/>
    <n v="0"/>
    <n v="3.6739999999999999"/>
    <n v="10.7"/>
    <n v="11"/>
    <n v="972.72727272727275"/>
    <x v="7"/>
    <x v="0"/>
    <n v="32"/>
    <n v="3"/>
    <n v="83.5"/>
  </r>
  <r>
    <d v="2025-09-01T07:20:00"/>
    <s v="INYECTADO"/>
    <x v="5"/>
    <x v="184"/>
    <s v="JUANA CRUCES"/>
    <s v="VIRGEN"/>
    <s v="ALTA INYECCION"/>
    <s v="."/>
    <s v="ASAS ORGANIZADOR 2 Y 3 SOLIDO"/>
    <s v="ASAS DE ORGANIZADOR 2 Y 3-ROJO"/>
    <n v="856"/>
    <n v="7"/>
    <n v="27.4"/>
    <x v="0"/>
    <m/>
    <n v="3"/>
    <n v="1193"/>
    <n v="22510"/>
    <s v="ROJO"/>
    <n v="15.8"/>
    <n v="0"/>
    <n v="0"/>
    <n v="9.4160000000000004"/>
    <n v="27.4"/>
    <n v="11"/>
    <n v="2490.909090909091"/>
    <x v="7"/>
    <x v="0"/>
    <n v="32"/>
    <n v="3"/>
    <n v="214"/>
  </r>
  <r>
    <d v="2025-09-01T07:20:00"/>
    <s v="INYECTADO"/>
    <x v="5"/>
    <x v="184"/>
    <s v="JUANA CRUCES"/>
    <s v="VIRGEN"/>
    <s v="ALTA INYECCION"/>
    <s v="."/>
    <s v="ASAS ORGANIZADOR 2 Y 3 SOLIDO"/>
    <s v="ASAS DE ORGANIZADOR 2 Y 3-LILA"/>
    <n v="543"/>
    <n v="4"/>
    <n v="17.399999999999999"/>
    <x v="0"/>
    <m/>
    <n v="2"/>
    <n v="1193"/>
    <n v="22510"/>
    <s v="LILA"/>
    <n v="8.4"/>
    <n v="0"/>
    <n v="0"/>
    <n v="5.9729999999999999"/>
    <n v="17.399999999999999"/>
    <n v="11"/>
    <n v="1581.8181818181818"/>
    <x v="7"/>
    <x v="0"/>
    <n v="32"/>
    <n v="3"/>
    <n v="135.75"/>
  </r>
  <r>
    <d v="2025-09-01T07:20:00"/>
    <s v="INYECTADO"/>
    <x v="5"/>
    <x v="173"/>
    <s v="JUAN MANUEL "/>
    <s v="VIRGEN"/>
    <s v="ALTA INYECCION"/>
    <s v="."/>
    <s v="ASAS ORGANIZADOR 2 Y 3 SOLIDO"/>
    <s v="ASAS DE ORGANIZADOR 2 Y 3-LILA"/>
    <n v="558"/>
    <n v="5"/>
    <n v="17.3"/>
    <x v="1"/>
    <m/>
    <n v="2"/>
    <n v="1193"/>
    <n v="22299"/>
    <s v="LILA"/>
    <n v="7.2"/>
    <n v="0"/>
    <n v="0"/>
    <n v="6.1379999999999999"/>
    <n v="17.3"/>
    <n v="11"/>
    <n v="1572.7272727272727"/>
    <x v="7"/>
    <x v="0"/>
    <n v="33"/>
    <n v="3"/>
    <n v="139.5"/>
  </r>
  <r>
    <d v="2025-09-01T07:20:00"/>
    <s v="INYECTADO"/>
    <x v="2"/>
    <x v="171"/>
    <s v="KARLA HUISA"/>
    <s v="VIRGEN"/>
    <s v="PP CLARIFICADO"/>
    <s v="."/>
    <s v="TAPER REDONDO 2500ML"/>
    <s v="TAPER REDONDO 2500ML CARAMELO-LILA"/>
    <n v="879"/>
    <n v="8"/>
    <n v="56.3"/>
    <x v="0"/>
    <m/>
    <n v="7"/>
    <n v="1186"/>
    <n v="21963"/>
    <s v="LILA"/>
    <n v="4"/>
    <n v="0"/>
    <n v="0"/>
    <n v="60.651000000000003"/>
    <n v="56.3"/>
    <n v="69"/>
    <n v="815.94202898550725"/>
    <x v="7"/>
    <x v="0"/>
    <n v="31"/>
    <n v="1"/>
    <n v="73.25"/>
  </r>
  <r>
    <d v="2025-09-01T07:20:00"/>
    <s v="INYECTADO"/>
    <x v="2"/>
    <x v="171"/>
    <s v="KARLA HUISA"/>
    <s v="VIRGEN"/>
    <s v="PP CLARIFICADO"/>
    <s v="."/>
    <s v="TAPER REDONDO 2500ML"/>
    <s v="TAPER REDONDO 2500ML CARAMELO-FUCSIA"/>
    <n v="243"/>
    <n v="2"/>
    <n v="15.6"/>
    <x v="0"/>
    <m/>
    <n v="2"/>
    <n v="1186"/>
    <n v="21963"/>
    <s v="FUCSIA"/>
    <n v="2.1"/>
    <n v="0"/>
    <n v="0"/>
    <n v="16.766999999999999"/>
    <n v="15.6"/>
    <n v="69"/>
    <n v="226.08695652173913"/>
    <x v="7"/>
    <x v="0"/>
    <n v="31"/>
    <n v="1"/>
    <n v="20.25"/>
  </r>
  <r>
    <d v="2025-09-01T07:20:00"/>
    <s v="INYECTADO"/>
    <x v="2"/>
    <x v="171"/>
    <s v="KARLA HUISA"/>
    <s v="VIRGEN"/>
    <s v="PP CLARIFICADO"/>
    <s v="."/>
    <s v="TAPER REDONDO 2500ML"/>
    <s v="TAPER REDONDO 2500ML CARAMELO-AZUL"/>
    <n v="25"/>
    <n v="1"/>
    <n v="1.6"/>
    <x v="0"/>
    <m/>
    <n v="1"/>
    <n v="1186"/>
    <n v="21963"/>
    <s v="AZUL"/>
    <n v="0"/>
    <n v="0"/>
    <n v="0"/>
    <n v="1.7250000000000001"/>
    <n v="1.6"/>
    <n v="69"/>
    <n v="23.188405797101449"/>
    <x v="7"/>
    <x v="0"/>
    <n v="31"/>
    <n v="1"/>
    <n v="2.0833333333333335"/>
  </r>
  <r>
    <d v="2025-09-01T07:20:00"/>
    <s v="INYECTADO"/>
    <x v="2"/>
    <x v="171"/>
    <s v="JUAN MANUEL "/>
    <s v="VIRGEN"/>
    <s v="PP CLARIFICADO"/>
    <s v="."/>
    <s v="TAPER REDONDO 2500ML"/>
    <s v="TAPER REDONDO 2500ML CARAMELO-FUCSIA"/>
    <n v="1110"/>
    <n v="11"/>
    <n v="74.3"/>
    <x v="1"/>
    <m/>
    <n v="10"/>
    <n v="1186"/>
    <n v="21964"/>
    <s v="ROSADO"/>
    <n v="3"/>
    <n v="0"/>
    <n v="0"/>
    <n v="76.59"/>
    <n v="74.3"/>
    <n v="69"/>
    <n v="1076.8115942028985"/>
    <x v="7"/>
    <x v="0"/>
    <n v="31"/>
    <n v="1"/>
    <n v="92.5"/>
  </r>
  <r>
    <d v="2025-09-01T07:20:00"/>
    <s v="INYECTADO"/>
    <x v="2"/>
    <x v="172"/>
    <s v="LEONOR GUTIERREZ"/>
    <s v="VIRGEN"/>
    <s v="PP CLARIFICADO"/>
    <s v="."/>
    <s v="TAPER REDONDO 2500ML"/>
    <s v="TAPER REDONDO 2500ML CARAMELO-ROJO"/>
    <n v="1114"/>
    <n v="11"/>
    <n v="80.599999999999994"/>
    <x v="0"/>
    <m/>
    <n v="11"/>
    <n v="1186"/>
    <n v="21965"/>
    <s v="ROJO"/>
    <n v="4.7"/>
    <n v="0"/>
    <n v="0"/>
    <n v="76.866"/>
    <n v="80.599999999999994"/>
    <n v="69"/>
    <n v="1168.1159420289855"/>
    <x v="7"/>
    <x v="0"/>
    <n v="31"/>
    <n v="1"/>
    <n v="92.833333333333329"/>
  </r>
  <r>
    <d v="2025-09-01T07:20:00"/>
    <s v="INYECTADO"/>
    <x v="2"/>
    <x v="172"/>
    <s v="JOSDER GONZALEZ"/>
    <s v="VIRGEN"/>
    <s v="PP CLARIFICADO"/>
    <s v="."/>
    <s v="TAPER REDONDO 2500ML"/>
    <s v="TAPER REDONDO 2500ML CARAMELO-ROJO"/>
    <n v="381"/>
    <n v="5"/>
    <n v="25.5"/>
    <x v="1"/>
    <m/>
    <n v="4"/>
    <n v="1186"/>
    <n v="21966"/>
    <s v="ROJO"/>
    <n v="5"/>
    <n v="0"/>
    <n v="0"/>
    <n v="26.289000000000001"/>
    <n v="25.5"/>
    <n v="69"/>
    <n v="369.56521739130437"/>
    <x v="7"/>
    <x v="0"/>
    <n v="31"/>
    <n v="1"/>
    <n v="31.75"/>
  </r>
  <r>
    <d v="2025-09-01T07:20:00"/>
    <s v="INYECTADO"/>
    <x v="2"/>
    <x v="172"/>
    <s v="JOSDER GONZALEZ"/>
    <s v="VIRGEN"/>
    <s v="PP CLARIFICADO"/>
    <s v="."/>
    <s v="TAPER REDONDO 2500ML"/>
    <s v="TAPER REDONDO 2500ML CARAMELO-AMARILLO"/>
    <n v="497"/>
    <n v="6"/>
    <n v="33.1"/>
    <x v="1"/>
    <m/>
    <n v="5"/>
    <n v="1186"/>
    <n v="21966"/>
    <s v="AMARILLO"/>
    <n v="5.7"/>
    <n v="0"/>
    <n v="0"/>
    <n v="34.292999999999999"/>
    <n v="33.1"/>
    <n v="69"/>
    <n v="479.71014492753625"/>
    <x v="7"/>
    <x v="0"/>
    <n v="31"/>
    <n v="1"/>
    <n v="41.416666666666664"/>
  </r>
  <r>
    <d v="2025-09-01T07:20:00"/>
    <s v="INYECTADO"/>
    <x v="2"/>
    <x v="172"/>
    <s v="JOSDER GONZALEZ"/>
    <s v="VIRGEN"/>
    <s v="PP CLARIFICADO"/>
    <s v="."/>
    <s v="TAPER REDONDO 2500ML"/>
    <s v="TAPER REDONDO 2500ML CARAMELO-VERDE"/>
    <n v="50"/>
    <n v="1"/>
    <n v="3.4"/>
    <x v="1"/>
    <m/>
    <n v="1"/>
    <n v="1186"/>
    <n v="21966"/>
    <s v="VERDE"/>
    <n v="1.2"/>
    <n v="0"/>
    <n v="0"/>
    <n v="3.45"/>
    <n v="3.4"/>
    <n v="69"/>
    <n v="49.275362318840578"/>
    <x v="7"/>
    <x v="0"/>
    <n v="31"/>
    <n v="1"/>
    <n v="4.166666666666667"/>
  </r>
  <r>
    <d v="2025-09-01T07:20:00"/>
    <s v="INYECTADO"/>
    <x v="2"/>
    <x v="180"/>
    <s v="CARMINA"/>
    <s v="VIRGEN"/>
    <s v="PP CLARIFICADO"/>
    <s v="."/>
    <s v="TAPER REDONDO 2500ML"/>
    <s v="TAPER REDONDO 2500ML CARAMELO-VERDE"/>
    <n v="604"/>
    <n v="6"/>
    <n v="39.299999999999997"/>
    <x v="0"/>
    <m/>
    <n v="6"/>
    <n v="1186"/>
    <n v="21967"/>
    <s v="VERDE"/>
    <n v="8.5"/>
    <n v="0"/>
    <n v="0"/>
    <n v="41.676000000000002"/>
    <n v="39.299999999999997"/>
    <n v="69"/>
    <n v="569.56521739130437"/>
    <x v="7"/>
    <x v="0"/>
    <n v="32"/>
    <n v="1"/>
    <n v="50.333333333333336"/>
  </r>
  <r>
    <d v="2025-09-01T07:20:00"/>
    <s v="INYECTADO"/>
    <x v="2"/>
    <x v="180"/>
    <s v="CARMINA"/>
    <s v="VIRGEN"/>
    <s v="PP CLARIFICADO"/>
    <s v="."/>
    <s v="TAPER REDONDO 2500ML"/>
    <s v="TAPER REDONDO 2500ML CARAMELO-AZUL"/>
    <n v="121"/>
    <n v="1"/>
    <n v="7.9"/>
    <x v="0"/>
    <m/>
    <n v="1"/>
    <n v="1186"/>
    <n v="21967"/>
    <s v="AZUL"/>
    <n v="0"/>
    <n v="0"/>
    <n v="0"/>
    <n v="8.3490000000000002"/>
    <n v="7.9"/>
    <n v="69"/>
    <n v="114.49275362318841"/>
    <x v="7"/>
    <x v="0"/>
    <n v="32"/>
    <n v="1"/>
    <n v="10.083333333333334"/>
  </r>
  <r>
    <d v="2025-09-01T07:20:00"/>
    <s v="INYECTADO"/>
    <x v="2"/>
    <x v="181"/>
    <s v="SIN NOMBRE"/>
    <s v="VIRGEN"/>
    <s v="PP CLARIFICADO"/>
    <s v="."/>
    <s v="TAPER REDONDO 2500ML"/>
    <s v="TAPER REDONDO 2500ML CARAMELO-AZUL"/>
    <n v="370"/>
    <n v="4"/>
    <n v="23.7"/>
    <x v="0"/>
    <m/>
    <n v="3"/>
    <n v="1186"/>
    <n v="21968"/>
    <s v="AZUL"/>
    <n v="23.7"/>
    <n v="0"/>
    <n v="0"/>
    <n v="25.53"/>
    <n v="23.7"/>
    <n v="69"/>
    <n v="343.47826086956519"/>
    <x v="7"/>
    <x v="0"/>
    <n v="32"/>
    <n v="1"/>
    <n v="30.833333333333332"/>
  </r>
  <r>
    <d v="2025-09-01T07:20:00"/>
    <s v="INYECTADO"/>
    <x v="2"/>
    <x v="181"/>
    <s v="SIN NOMBRE"/>
    <s v="VIRGEN"/>
    <s v="PP CLARIFICADO"/>
    <s v="."/>
    <s v="TAPER REDONDO 2500ML"/>
    <s v="TAPER REDONDO 2500ML CARAMELO-ROJO"/>
    <n v="150"/>
    <n v="2"/>
    <n v="9.6"/>
    <x v="0"/>
    <m/>
    <n v="1"/>
    <n v="1186"/>
    <n v="21968"/>
    <s v="ROJO"/>
    <n v="9.6"/>
    <n v="0"/>
    <n v="0"/>
    <n v="10.35"/>
    <n v="9.6"/>
    <n v="69"/>
    <n v="139.13043478260869"/>
    <x v="7"/>
    <x v="0"/>
    <n v="32"/>
    <n v="1"/>
    <n v="12.5"/>
  </r>
  <r>
    <d v="2025-09-01T07:20:00"/>
    <s v="INYECTADO"/>
    <x v="2"/>
    <x v="181"/>
    <s v="SIN NOMBRE"/>
    <s v="VIRGEN"/>
    <s v="PP CLARIFICADO"/>
    <s v="."/>
    <s v="TAPER REDONDO 2500ML"/>
    <s v="TAPER REDONDO 2500ML-TRANSPARENTE"/>
    <n v="121"/>
    <n v="1"/>
    <n v="8.9"/>
    <x v="0"/>
    <m/>
    <n v="1"/>
    <m/>
    <n v="21968"/>
    <s v="TRANSPARENTE"/>
    <n v="7.8"/>
    <n v="0"/>
    <n v="0"/>
    <n v="8.4700000000000006"/>
    <n v="8.9"/>
    <n v="70"/>
    <n v="127.14285714285714"/>
    <x v="7"/>
    <x v="0"/>
    <n v="32"/>
    <n v="1"/>
    <n v="10.083333333333334"/>
  </r>
  <r>
    <d v="2025-09-01T07:20:00"/>
    <s v="INYECTADO"/>
    <x v="2"/>
    <x v="177"/>
    <s v="LUIS PINEDO"/>
    <s v="VIRGEN"/>
    <s v="PP CLARIFICADO"/>
    <s v="."/>
    <s v="TAPER REDONDO 2500ML"/>
    <s v="TAPER REDONDO 2500ML-TRANSPARENTE"/>
    <n v="765"/>
    <n v="7"/>
    <n v="51.7"/>
    <x v="0"/>
    <m/>
    <n v="7"/>
    <m/>
    <n v="21969"/>
    <s v="TRANSPARENTE"/>
    <n v="2.2000000000000002"/>
    <n v="0"/>
    <n v="0"/>
    <n v="53.55"/>
    <n v="51.7"/>
    <n v="70"/>
    <n v="738.57142857142856"/>
    <x v="7"/>
    <x v="0"/>
    <n v="33"/>
    <n v="1"/>
    <n v="63.75"/>
  </r>
  <r>
    <d v="2025-09-01T07:20:00"/>
    <s v="INYECTADO"/>
    <x v="2"/>
    <x v="178"/>
    <s v="JUANA CRUCES"/>
    <s v="VIRGEN"/>
    <s v="PP CLARIFICADO"/>
    <s v="."/>
    <s v="TAPER REDONDO 2500ML"/>
    <s v="TAPER REDONDO 2500ML-TRANSPARENTE"/>
    <n v="687"/>
    <n v="7"/>
    <n v="43.8"/>
    <x v="0"/>
    <m/>
    <n v="6"/>
    <m/>
    <n v="21970"/>
    <s v="TRANSPARENTE"/>
    <n v="0"/>
    <n v="0"/>
    <n v="0"/>
    <n v="48.09"/>
    <n v="43.8"/>
    <n v="70"/>
    <n v="625.71428571428567"/>
    <x v="7"/>
    <x v="0"/>
    <n v="33"/>
    <n v="1"/>
    <n v="57.25"/>
  </r>
  <r>
    <d v="2025-09-01T07:20:00"/>
    <s v="INYECTADO"/>
    <x v="2"/>
    <x v="179"/>
    <s v="ROSA MERINO"/>
    <s v="VIRGEN"/>
    <s v="PP CLARIFICADO"/>
    <s v="."/>
    <s v="TAPER REDONDO 2500ML"/>
    <s v="TAPER REDONDO 2500ML-TRANSPARENTE"/>
    <n v="1072"/>
    <n v="10"/>
    <n v="62.8"/>
    <x v="0"/>
    <m/>
    <n v="9"/>
    <m/>
    <s v="21970-1"/>
    <s v="TRANSPARENTE"/>
    <n v="0"/>
    <n v="0"/>
    <n v="0"/>
    <n v="75.040000000000006"/>
    <n v="62.8"/>
    <n v="70"/>
    <n v="897.14285714285711"/>
    <x v="7"/>
    <x v="0"/>
    <n v="34"/>
    <n v="1"/>
    <n v="89.333333333333329"/>
  </r>
  <r>
    <d v="2025-09-01T07:20:00"/>
    <s v="INYECTADO"/>
    <x v="2"/>
    <x v="179"/>
    <s v="JOSDER GONZALEZ"/>
    <s v="VIRGEN"/>
    <s v="PP CLARIFICADO"/>
    <s v="."/>
    <s v="TAPER REDONDO 2500ML"/>
    <s v="TAPER REDONDO 2500ML-TRANSPARENTE"/>
    <n v="468"/>
    <n v="5"/>
    <n v="30.9"/>
    <x v="1"/>
    <m/>
    <n v="5"/>
    <m/>
    <n v="21971"/>
    <s v="TRANSPARENTE"/>
    <n v="0.8"/>
    <n v="0"/>
    <n v="0"/>
    <n v="32.76"/>
    <n v="30.9"/>
    <n v="70"/>
    <n v="441.42857142857144"/>
    <x v="7"/>
    <x v="0"/>
    <n v="34"/>
    <n v="1"/>
    <n v="39"/>
  </r>
  <r>
    <d v="2025-09-01T07:20:00"/>
    <s v="INYECTADO"/>
    <x v="2"/>
    <x v="186"/>
    <s v="JUANA CRUCES"/>
    <s v="VIRGEN"/>
    <s v="PP CLARIFICADO"/>
    <s v="."/>
    <s v="TAPER REDONDO 2500ML"/>
    <s v="TAPER REDONDO 2500ML-TRANSPARENTE"/>
    <n v="1148"/>
    <n v="11"/>
    <n v="68.5"/>
    <x v="0"/>
    <m/>
    <n v="10"/>
    <m/>
    <n v="21972"/>
    <s v="TRANSPARENTE"/>
    <n v="0.9"/>
    <n v="0"/>
    <n v="0"/>
    <n v="80.36"/>
    <n v="68.5"/>
    <n v="70"/>
    <n v="978.57142857142856"/>
    <x v="7"/>
    <x v="0"/>
    <n v="34"/>
    <n v="1"/>
    <n v="95.666666666666671"/>
  </r>
  <r>
    <d v="2025-09-01T07:20:00"/>
    <s v="INYECTADO"/>
    <x v="3"/>
    <x v="184"/>
    <s v="MARJORIE VILCHEZ"/>
    <s v="VIRGEN"/>
    <s v="PP CLARIFICADO"/>
    <s v="."/>
    <s v="JARRA GRECIA 500ML"/>
    <s v="JARRA GRECIA 500ML CARAMELO-ANARANJADO"/>
    <n v="106"/>
    <n v="1"/>
    <n v="13"/>
    <x v="0"/>
    <m/>
    <n v="2"/>
    <n v="1170"/>
    <n v="22019"/>
    <s v="NARANJA"/>
    <n v="4.4000000000000004"/>
    <n v="0"/>
    <n v="0"/>
    <n v="3.3919999999999999"/>
    <n v="13"/>
    <n v="32"/>
    <n v="406.25"/>
    <x v="7"/>
    <x v="0"/>
    <n v="32"/>
    <n v="3"/>
    <n v="26.5"/>
  </r>
  <r>
    <d v="2025-09-01T07:20:00"/>
    <s v="INYECTADO"/>
    <x v="3"/>
    <x v="185"/>
    <s v="CRISALIDA ZAPATA"/>
    <s v="VIRGEN"/>
    <s v="PP CLARIFICADO"/>
    <s v="."/>
    <s v="JARRA GRECIA 500ML"/>
    <s v="JARRA GRECIA 500ML CARAMELO-ANARANJADO"/>
    <n v="312"/>
    <n v="4"/>
    <n v="40"/>
    <x v="0"/>
    <m/>
    <n v="4"/>
    <n v="1170"/>
    <n v="22020"/>
    <s v="NARANJA"/>
    <n v="5.4"/>
    <n v="0"/>
    <n v="0"/>
    <n v="9.984"/>
    <n v="40"/>
    <n v="32"/>
    <n v="1250"/>
    <x v="7"/>
    <x v="0"/>
    <n v="32"/>
    <n v="3"/>
    <n v="78"/>
  </r>
  <r>
    <d v="2025-09-01T07:20:00"/>
    <s v="INYECTADO"/>
    <x v="3"/>
    <x v="185"/>
    <s v="CRISALIDA ZAPATA"/>
    <s v="VIRGEN"/>
    <s v="PP CLARIFICADO"/>
    <s v="."/>
    <s v="JARRA GRECIA 500ML"/>
    <s v="JARRA GRECIA 500ML CARAMELO-AZUL"/>
    <n v="204"/>
    <n v="2"/>
    <n v="25.4"/>
    <x v="0"/>
    <m/>
    <n v="2"/>
    <n v="1170"/>
    <n v="22020"/>
    <s v="AZUL"/>
    <n v="1.4"/>
    <n v="0"/>
    <n v="0"/>
    <n v="6.5279999999999996"/>
    <n v="25.4"/>
    <n v="32"/>
    <n v="793.75"/>
    <x v="7"/>
    <x v="0"/>
    <n v="32"/>
    <n v="3"/>
    <n v="51"/>
  </r>
  <r>
    <d v="2025-09-01T07:20:00"/>
    <s v="INYECTADO"/>
    <x v="3"/>
    <x v="173"/>
    <s v="CRISALIDA ZAPATA"/>
    <s v="VIRGEN"/>
    <s v="PP CLARIFICADO"/>
    <s v="."/>
    <s v="JARRA GRECIA 500ML"/>
    <s v="JARRA GRECIA 500ML CARAMELO-VERDE"/>
    <n v="111"/>
    <n v="2"/>
    <n v="13.7"/>
    <x v="0"/>
    <m/>
    <n v="1"/>
    <n v="1170"/>
    <n v="22021"/>
    <s v="VERDE"/>
    <n v="0"/>
    <n v="0"/>
    <n v="0"/>
    <n v="3.552"/>
    <n v="13.7"/>
    <n v="32"/>
    <n v="428.125"/>
    <x v="7"/>
    <x v="0"/>
    <n v="33"/>
    <n v="3"/>
    <n v="27.75"/>
  </r>
  <r>
    <d v="2025-09-01T07:20:00"/>
    <s v="INYECTADO"/>
    <x v="3"/>
    <x v="173"/>
    <s v="CRISALIDA ZAPATA"/>
    <s v="VIRGEN"/>
    <s v="PP CLARIFICADO"/>
    <s v="."/>
    <s v="JARRA GRECIA 500ML"/>
    <s v="JARRA GRECIA 500ML CARAMELO-AZUL"/>
    <n v="180"/>
    <n v="3"/>
    <n v="22.4"/>
    <x v="0"/>
    <m/>
    <n v="2"/>
    <n v="1170"/>
    <n v="22021"/>
    <s v="AZUL"/>
    <n v="9.3000000000000007"/>
    <n v="0"/>
    <n v="0"/>
    <n v="5.76"/>
    <n v="22.4"/>
    <n v="32"/>
    <n v="700"/>
    <x v="7"/>
    <x v="0"/>
    <n v="33"/>
    <n v="3"/>
    <n v="45"/>
  </r>
  <r>
    <d v="2025-09-01T07:20:00"/>
    <s v="INYECTADO"/>
    <x v="3"/>
    <x v="173"/>
    <s v="CRISALIDA ZAPATA"/>
    <s v="VIRGEN"/>
    <s v="PP CLARIFICADO"/>
    <s v="."/>
    <s v="JARRA GRECIA 500ML"/>
    <s v="JARRA GRECIA 500ML CARAMELO-ANARANJADO"/>
    <n v="212"/>
    <n v="3"/>
    <n v="26.3"/>
    <x v="0"/>
    <m/>
    <n v="3"/>
    <n v="1170"/>
    <n v="22021"/>
    <s v="NARANJA"/>
    <n v="5.0999999999999996"/>
    <n v="0"/>
    <n v="0"/>
    <n v="6.7839999999999998"/>
    <n v="26.3"/>
    <n v="32"/>
    <n v="821.875"/>
    <x v="7"/>
    <x v="0"/>
    <n v="33"/>
    <n v="3"/>
    <n v="53"/>
  </r>
  <r>
    <d v="2025-09-01T07:20:00"/>
    <s v="INYECTADO"/>
    <x v="3"/>
    <x v="173"/>
    <s v="CRISALIDA ZAPATA"/>
    <s v="VIRGEN"/>
    <s v="PP CLARIFICADO"/>
    <s v="."/>
    <s v="JARRA GRECIA 500ML"/>
    <s v="JARRA GRECIA 500ML CARAMELO-AMARILLO"/>
    <n v="99"/>
    <n v="1"/>
    <n v="12.3"/>
    <x v="0"/>
    <m/>
    <n v="1"/>
    <n v="1170"/>
    <n v="22021"/>
    <s v="AMARILLO"/>
    <n v="5"/>
    <n v="0"/>
    <n v="0"/>
    <n v="3.1680000000000001"/>
    <n v="12.3"/>
    <n v="32"/>
    <n v="384.375"/>
    <x v="7"/>
    <x v="0"/>
    <n v="33"/>
    <n v="3"/>
    <n v="24.75"/>
  </r>
  <r>
    <d v="2025-09-01T07:20:00"/>
    <s v="INYECTADO"/>
    <x v="3"/>
    <x v="173"/>
    <s v="CRISALIDA ZAPATA"/>
    <s v="VIRGEN"/>
    <s v="PP CLARIFICADO"/>
    <s v="."/>
    <s v="JARRA GRECIA 500ML"/>
    <s v="JARRA GRECIA 500ML CARAMELO-FUCSIA"/>
    <n v="246"/>
    <n v="2"/>
    <n v="30.6"/>
    <x v="0"/>
    <m/>
    <n v="3"/>
    <n v="1170"/>
    <n v="22021"/>
    <s v="FUCSIA"/>
    <n v="1.3"/>
    <n v="0"/>
    <n v="0"/>
    <n v="7.8719999999999999"/>
    <n v="30.6"/>
    <n v="32"/>
    <n v="956.25"/>
    <x v="7"/>
    <x v="0"/>
    <n v="33"/>
    <n v="3"/>
    <n v="61.5"/>
  </r>
  <r>
    <d v="2025-09-01T07:20:00"/>
    <s v="INYECTADO"/>
    <x v="3"/>
    <x v="173"/>
    <s v="CRISALIDA ZAPATA"/>
    <s v="VIRGEN"/>
    <s v="PP CLARIFICADO"/>
    <s v="."/>
    <s v="JARRA GRECIA 500ML"/>
    <s v="JARRA GRECIA 500ML CARAMELO-LILA"/>
    <n v="30"/>
    <n v="1"/>
    <n v="3.8"/>
    <x v="0"/>
    <m/>
    <n v="1"/>
    <n v="1170"/>
    <n v="22021"/>
    <s v="LILA"/>
    <n v="0.7"/>
    <n v="0"/>
    <n v="0"/>
    <n v="0.96"/>
    <n v="3.8"/>
    <n v="32"/>
    <n v="118.75"/>
    <x v="7"/>
    <x v="0"/>
    <n v="33"/>
    <n v="3"/>
    <n v="7.5"/>
  </r>
  <r>
    <d v="2025-09-01T07:20:00"/>
    <s v="INYECTADO"/>
    <x v="3"/>
    <x v="174"/>
    <s v="CRISALIDA ZAPATA"/>
    <s v="VIRGEN"/>
    <s v="PP CLARIFICADO"/>
    <s v="."/>
    <s v="JARRA GRECIA 500ML"/>
    <s v="JARRA GRECIA 500ML CARAMELO-LILA"/>
    <n v="149"/>
    <n v="3"/>
    <n v="18.5"/>
    <x v="0"/>
    <m/>
    <n v="2"/>
    <n v="1170"/>
    <n v="22022"/>
    <s v="LILA"/>
    <n v="12.1"/>
    <n v="0"/>
    <n v="0"/>
    <n v="4.7679999999999998"/>
    <n v="18.5"/>
    <n v="32"/>
    <n v="578.125"/>
    <x v="7"/>
    <x v="0"/>
    <n v="33"/>
    <n v="3"/>
    <n v="37.25"/>
  </r>
  <r>
    <d v="2025-09-01T07:20:00"/>
    <s v="INYECTADO"/>
    <x v="3"/>
    <x v="174"/>
    <s v="CRISALIDA ZAPATA"/>
    <s v="VIRGEN"/>
    <s v="PP CLARIFICADO"/>
    <s v="."/>
    <s v="JARRA GRECIA 500ML"/>
    <s v="JARRA GRECIA 500ML CARAMELO-AZUL"/>
    <n v="70"/>
    <n v="1"/>
    <n v="4.4000000000000004"/>
    <x v="0"/>
    <m/>
    <n v="1"/>
    <n v="1170"/>
    <n v="22022"/>
    <s v="AZUL"/>
    <n v="1.5"/>
    <n v="0"/>
    <n v="0"/>
    <n v="2.2400000000000002"/>
    <n v="4.4000000000000004"/>
    <n v="32"/>
    <n v="137.5"/>
    <x v="7"/>
    <x v="0"/>
    <n v="33"/>
    <n v="3"/>
    <n v="17.5"/>
  </r>
  <r>
    <d v="2025-09-01T07:20:00"/>
    <s v="INYECTADO"/>
    <x v="13"/>
    <x v="172"/>
    <s v="BRAYAN PINEDO"/>
    <s v="SEGUNDA"/>
    <s v=". "/>
    <s v="ALTA SOPLADO"/>
    <s v="ALCANCIA PABLO GRANDE"/>
    <s v="ALCANCIA PABLO GRANDE-CARNE"/>
    <n v="37"/>
    <n v="1"/>
    <n v="5.0999999999999996"/>
    <x v="0"/>
    <m/>
    <n v="1"/>
    <m/>
    <n v="22403"/>
    <s v="CARNE"/>
    <n v="13.9"/>
    <n v="0"/>
    <n v="0"/>
    <n v="4.625"/>
    <n v="5.0999999999999996"/>
    <n v="125"/>
    <n v="40.799999999999997"/>
    <x v="7"/>
    <x v="0"/>
    <n v="31"/>
    <n v="1"/>
    <n v="3.0833333333333335"/>
  </r>
  <r>
    <d v="2025-09-01T07:20:00"/>
    <s v="INYECTADO"/>
    <x v="13"/>
    <x v="187"/>
    <s v="BRAYAN PINEDO"/>
    <s v="SEGUNDA"/>
    <s v=". "/>
    <s v="ALTA SOPLADO"/>
    <s v="ALCANCIA PABLO GRANDE"/>
    <s v="ALCANCIA PABLO GRANDE-CARNE"/>
    <n v="279"/>
    <n v="7"/>
    <n v="40.299999999999997"/>
    <x v="0"/>
    <m/>
    <n v="5"/>
    <m/>
    <n v="22404"/>
    <s v="CARNE"/>
    <n v="43.2"/>
    <n v="0"/>
    <n v="0"/>
    <n v="34.875"/>
    <n v="40.299999999999997"/>
    <n v="125"/>
    <n v="322.39999999999998"/>
    <x v="7"/>
    <x v="0"/>
    <n v="31"/>
    <n v="1"/>
    <n v="23.25"/>
  </r>
  <r>
    <d v="2025-09-01T07:20:00"/>
    <s v="INYECTADO"/>
    <x v="13"/>
    <x v="176"/>
    <s v="SAID VILLAMIZAR"/>
    <s v="SEGUNDA"/>
    <s v=". "/>
    <s v="ALTA SOPLADO"/>
    <s v="ALCANCIA PABLO GRANDE"/>
    <s v="ALCANCIA PABLO GRANDE-CARNE"/>
    <n v="514"/>
    <n v="9"/>
    <n v="66.900000000000006"/>
    <x v="0"/>
    <m/>
    <n v="13"/>
    <m/>
    <n v="22405"/>
    <s v="CARNE"/>
    <n v="23.5"/>
    <n v="0"/>
    <n v="0"/>
    <n v="64.25"/>
    <n v="66.900000000000006"/>
    <n v="125"/>
    <n v="535.20000000000005"/>
    <x v="7"/>
    <x v="0"/>
    <n v="33"/>
    <n v="1"/>
    <n v="42.833333333333336"/>
  </r>
  <r>
    <d v="2025-09-01T07:20:00"/>
    <s v="INYECTADO"/>
    <x v="13"/>
    <x v="177"/>
    <s v="LUIS RENGIFO"/>
    <s v="SEGUNDA"/>
    <s v=". "/>
    <s v="ALTA SOPLADO"/>
    <s v="ALCANCIA PABLO GRANDE"/>
    <s v="ALCANCIA PABLO GRANDE-CARNE"/>
    <n v="606"/>
    <n v="9"/>
    <n v="85.6"/>
    <x v="0"/>
    <m/>
    <n v="6"/>
    <m/>
    <n v="22406"/>
    <s v="CARNE"/>
    <n v="35.200000000000003"/>
    <n v="0"/>
    <n v="0"/>
    <n v="75.75"/>
    <n v="85.6"/>
    <n v="125"/>
    <n v="684.8"/>
    <x v="7"/>
    <x v="0"/>
    <n v="33"/>
    <n v="1"/>
    <n v="50.5"/>
  </r>
  <r>
    <d v="2025-09-01T07:20:00"/>
    <s v="INYECTADO"/>
    <x v="13"/>
    <x v="177"/>
    <s v="SAID VILLAMIZAR"/>
    <s v="SEGUNDA"/>
    <s v=". "/>
    <s v="ALTA SOPLADO"/>
    <s v="ALCANCIA PABLO GRANDE"/>
    <s v="ALCANCIA PABLO GRANDE-CARNE"/>
    <n v="260"/>
    <n v="3"/>
    <n v="35.200000000000003"/>
    <x v="0"/>
    <m/>
    <n v="3"/>
    <m/>
    <n v="22407"/>
    <s v="CARNE"/>
    <n v="27"/>
    <n v="0"/>
    <n v="0"/>
    <n v="32.5"/>
    <n v="35.200000000000003"/>
    <n v="125"/>
    <n v="281.60000000000002"/>
    <x v="7"/>
    <x v="0"/>
    <n v="33"/>
    <n v="1"/>
    <n v="21.666666666666668"/>
  </r>
  <r>
    <d v="2025-09-01T07:20:00"/>
    <s v="INYECTADO"/>
    <x v="13"/>
    <x v="178"/>
    <s v="SAID VILLAMIZAR"/>
    <s v="SEGUNDA"/>
    <s v=". "/>
    <s v="ALTA SOPLADO"/>
    <s v="ALCANCIA PABLO GRANDE"/>
    <s v="ALCANCIA PABLO GRANDE-CARNE"/>
    <n v="219"/>
    <n v="4"/>
    <n v="29.6"/>
    <x v="0"/>
    <m/>
    <n v="5"/>
    <m/>
    <n v="22408"/>
    <s v="CARNE"/>
    <n v="0"/>
    <n v="0"/>
    <n v="0"/>
    <n v="27.375"/>
    <n v="29.6"/>
    <n v="125"/>
    <n v="236.8"/>
    <x v="7"/>
    <x v="0"/>
    <n v="33"/>
    <n v="1"/>
    <n v="18.25"/>
  </r>
  <r>
    <d v="2025-09-01T07:20:00"/>
    <s v="INYECTADO"/>
    <x v="8"/>
    <x v="171"/>
    <s v="NELSON PINEDO"/>
    <s v="VIRGEN"/>
    <s v="PP CLARIFICADO"/>
    <s v="."/>
    <s v="BASE ORGANIZADOR  DE 3KG-TRANSPARENTE"/>
    <s v="BASE ORGANIZADOR  DE 3KG-TRANSPARENTE"/>
    <n v="320"/>
    <n v="3"/>
    <n v="30.9"/>
    <x v="0"/>
    <m/>
    <n v="5"/>
    <n v="1182"/>
    <n v="22140"/>
    <s v="TRANSPARENTE"/>
    <n v="4"/>
    <n v="0"/>
    <n v="0"/>
    <n v="16"/>
    <n v="30.9"/>
    <n v="50"/>
    <n v="618"/>
    <x v="7"/>
    <x v="0"/>
    <n v="31"/>
    <n v="2"/>
    <n v="53.333333333333336"/>
  </r>
  <r>
    <d v="2025-09-01T07:20:00"/>
    <s v="INYECTADO"/>
    <x v="8"/>
    <x v="171"/>
    <s v="ISABEL LINARIZ "/>
    <s v="VIRGEN"/>
    <s v="PP CLARIFICADO"/>
    <s v="."/>
    <s v="BASE ORGANIZADOR  DE 3KG-TRANSPARENTE"/>
    <s v="BASE ORGANIZADOR  DE 3KG-TRANSPARENTE"/>
    <n v="880"/>
    <n v="11"/>
    <n v="86.7"/>
    <x v="0"/>
    <m/>
    <n v="15"/>
    <n v="1182"/>
    <n v="22141"/>
    <s v="TRANSPARENTE"/>
    <n v="21.7"/>
    <n v="0"/>
    <n v="0"/>
    <n v="44"/>
    <n v="86.7"/>
    <n v="50"/>
    <n v="1734"/>
    <x v="7"/>
    <x v="0"/>
    <n v="31"/>
    <n v="2"/>
    <n v="146.66666666666666"/>
  </r>
  <r>
    <d v="2025-09-01T07:20:00"/>
    <s v="INYECTADO"/>
    <x v="8"/>
    <x v="172"/>
    <s v="NELSON PINEDO"/>
    <s v="VIRGEN"/>
    <s v="PP CLARIFICADO"/>
    <s v="."/>
    <s v="BASE ORGANIZADOR  DE 3KG-TRANSPARENTE"/>
    <s v="BASE ORGANIZADOR  DE 3KG-TRANSPARENTE"/>
    <n v="1210"/>
    <n v="10"/>
    <n v="106.2"/>
    <x v="0"/>
    <m/>
    <n v="19"/>
    <n v="1182"/>
    <n v="22142"/>
    <s v="TRANSPARENTE"/>
    <n v="0"/>
    <n v="0"/>
    <n v="0"/>
    <n v="60.5"/>
    <n v="106.2"/>
    <n v="50"/>
    <n v="2124"/>
    <x v="7"/>
    <x v="0"/>
    <n v="31"/>
    <n v="2"/>
    <n v="201.66666666666666"/>
  </r>
  <r>
    <d v="2025-09-01T07:20:00"/>
    <s v="INYECTADO"/>
    <x v="8"/>
    <x v="172"/>
    <s v="JUAN MANUEL "/>
    <s v="VIRGEN"/>
    <s v="PP CLARIFICADO"/>
    <s v="."/>
    <s v="BASE ORGANIZADOR  DE 3KG-TRANSPARENTE"/>
    <s v="BASE ORGANIZADOR  DE 3KG-TRANSPARENTE"/>
    <n v="660"/>
    <n v="5"/>
    <n v="64.900000000000006"/>
    <x v="1"/>
    <m/>
    <n v="11"/>
    <n v="1182"/>
    <n v="22143"/>
    <s v="TRANSPARENTE"/>
    <n v="3"/>
    <n v="0"/>
    <n v="0"/>
    <n v="33"/>
    <n v="64.900000000000006"/>
    <n v="50"/>
    <n v="1298.0000000000002"/>
    <x v="7"/>
    <x v="0"/>
    <n v="31"/>
    <n v="2"/>
    <n v="110"/>
  </r>
  <r>
    <d v="2025-09-01T07:20:00"/>
    <s v="INYECTADO"/>
    <x v="8"/>
    <x v="172"/>
    <s v="JUAN MANUEL "/>
    <s v="VIRGEN"/>
    <s v="PP CLARIFICADO"/>
    <s v="."/>
    <s v="BASE ORGANIZADOR  DE 3KG-CARAMELO"/>
    <s v="BASE ORGANIZADOR  DE 3KG CARAMELO-AMARILLO"/>
    <n v="720"/>
    <n v="12"/>
    <n v="70.8"/>
    <x v="1"/>
    <m/>
    <n v="12"/>
    <n v="1194"/>
    <n v="21143"/>
    <s v="AMARILLO"/>
    <n v="3"/>
    <n v="0"/>
    <n v="0"/>
    <n v="70.56"/>
    <n v="70.8"/>
    <n v="98"/>
    <n v="722.44897959183675"/>
    <x v="7"/>
    <x v="0"/>
    <n v="31"/>
    <n v="2"/>
    <n v="120"/>
  </r>
  <r>
    <d v="2025-09-01T07:20:00"/>
    <s v="INYECTADO"/>
    <x v="8"/>
    <x v="187"/>
    <s v="KARLA HUISA"/>
    <s v="VIRGEN"/>
    <s v="PP CLARIFICADO"/>
    <s v="."/>
    <s v="BASE ORGANIZADOR  DE 3KG-CARAMELO"/>
    <s v="BASE ORGANIZADOR  DE 3KG CARAMELO-AMARILLO"/>
    <n v="60"/>
    <n v="1"/>
    <n v="5.9"/>
    <x v="0"/>
    <m/>
    <n v="1"/>
    <n v="1194"/>
    <n v="22144"/>
    <s v="AMARILLO"/>
    <n v="0"/>
    <n v="0"/>
    <n v="0"/>
    <n v="5.88"/>
    <n v="5.9"/>
    <n v="98"/>
    <n v="60.204081632653065"/>
    <x v="7"/>
    <x v="0"/>
    <n v="31"/>
    <n v="2"/>
    <n v="10"/>
  </r>
  <r>
    <d v="2025-09-01T07:20:00"/>
    <s v="INYECTADO"/>
    <x v="8"/>
    <x v="187"/>
    <s v="KARLA HUISA"/>
    <s v="VIRGEN"/>
    <s v="PP CLARIFICADO"/>
    <s v="."/>
    <s v="BASE ORGANIZADOR  DE 3KG-CARAMELO"/>
    <s v="BASE ORGANIZADOR  DE 3KG CARAMELO-VERDE"/>
    <n v="775"/>
    <n v="6"/>
    <n v="76.3"/>
    <x v="0"/>
    <m/>
    <n v="13"/>
    <n v="1194"/>
    <n v="22144"/>
    <s v="VERDE"/>
    <n v="6.6"/>
    <n v="0"/>
    <n v="0"/>
    <n v="75.95"/>
    <n v="76.3"/>
    <n v="98"/>
    <n v="778.57142857142856"/>
    <x v="7"/>
    <x v="0"/>
    <n v="31"/>
    <n v="2"/>
    <n v="129.16666666666666"/>
  </r>
  <r>
    <d v="2025-09-01T07:20:00"/>
    <s v="INYECTADO"/>
    <x v="8"/>
    <x v="180"/>
    <s v="LUIS PINEDO"/>
    <s v="VIRGEN"/>
    <s v="PP CLARIFICADO"/>
    <s v="."/>
    <s v="BASE ORGANIZADOR  DE 3KG-CARAMELO"/>
    <s v="BASE ORGANIZADOR  DE 3KG CARAMELO-AZUL"/>
    <n v="744"/>
    <n v="7"/>
    <n v="74.400000000000006"/>
    <x v="0"/>
    <m/>
    <n v="13"/>
    <n v="1194"/>
    <n v="22145"/>
    <s v="AZUL"/>
    <n v="7.7"/>
    <n v="0"/>
    <n v="0"/>
    <n v="72.912000000000006"/>
    <n v="74.400000000000006"/>
    <n v="98"/>
    <n v="759.18367346938771"/>
    <x v="7"/>
    <x v="0"/>
    <n v="32"/>
    <n v="2"/>
    <n v="124"/>
  </r>
  <r>
    <d v="2025-09-01T07:20:00"/>
    <s v="INYECTADO"/>
    <x v="8"/>
    <x v="180"/>
    <s v="LUIS PINEDO"/>
    <s v="VIRGEN"/>
    <s v="PP CLARIFICADO"/>
    <s v="."/>
    <s v="BASE ORGANIZADOR  DE 3KG-CARAMELO"/>
    <s v="BASE ORGANIZADOR  DE 3KG CARAMELO-LILA"/>
    <n v="200"/>
    <n v="3"/>
    <n v="31.9"/>
    <x v="0"/>
    <m/>
    <n v="3"/>
    <n v="1194"/>
    <n v="22145"/>
    <s v="LILA"/>
    <n v="6.7"/>
    <n v="0"/>
    <n v="0"/>
    <n v="19.600000000000001"/>
    <n v="31.9"/>
    <n v="98"/>
    <n v="325.51020408163265"/>
    <x v="7"/>
    <x v="0"/>
    <n v="32"/>
    <n v="2"/>
    <n v="33.333333333333336"/>
  </r>
  <r>
    <d v="2025-09-01T07:20:00"/>
    <s v="INYECTADO"/>
    <x v="8"/>
    <x v="180"/>
    <s v="GABRIEL REQUENA"/>
    <s v="VIRGEN"/>
    <s v="PP CLARIFICADO"/>
    <s v="."/>
    <s v="BASE ORGANIZADOR  DE 3KG-CARAMELO"/>
    <s v="BASE ORGANIZADOR  DE 3KG CARAMELO-LILA"/>
    <n v="385"/>
    <n v="4"/>
    <n v="37.799999999999997"/>
    <x v="1"/>
    <m/>
    <n v="11"/>
    <n v="1194"/>
    <n v="22146"/>
    <s v="LILA"/>
    <n v="4.4000000000000004"/>
    <n v="0"/>
    <n v="0"/>
    <n v="37.729999999999997"/>
    <n v="37.799999999999997"/>
    <n v="98"/>
    <n v="385.71428571428572"/>
    <x v="7"/>
    <x v="0"/>
    <n v="32"/>
    <n v="2"/>
    <n v="64.166666666666671"/>
  </r>
  <r>
    <d v="2025-09-01T07:20:00"/>
    <s v="INYECTADO"/>
    <x v="8"/>
    <x v="180"/>
    <s v="GABRIEL REQUENA"/>
    <s v="VIRGEN"/>
    <s v="PP CLARIFICADO"/>
    <s v="."/>
    <s v="BASE ORGANIZADOR  DE 3KG-CARAMELO"/>
    <s v="BASE ORGANIZADOR  DE 3KG CARAMELO-ROJO"/>
    <n v="615"/>
    <n v="7"/>
    <n v="79.5"/>
    <x v="1"/>
    <m/>
    <n v="13"/>
    <n v="1194"/>
    <n v="22146"/>
    <s v="ROJO"/>
    <n v="7"/>
    <n v="0"/>
    <n v="0"/>
    <n v="60.27"/>
    <n v="79.5"/>
    <n v="98"/>
    <n v="811.22448979591832"/>
    <x v="7"/>
    <x v="0"/>
    <n v="32"/>
    <n v="2"/>
    <n v="102.5"/>
  </r>
  <r>
    <d v="2025-09-01T07:20:00"/>
    <s v="INYECTADO"/>
    <x v="8"/>
    <x v="181"/>
    <s v="ISABEL LINARIZ "/>
    <s v="VIRGEN"/>
    <s v="PP CLARIFICADO"/>
    <s v="."/>
    <s v="BASE ORGANIZADOR  DE 3KG-CARAMELO"/>
    <s v="BASE ORGANIZADOR  DE 3KG CARAMELO-FUCSIA"/>
    <n v="800"/>
    <n v="8"/>
    <n v="77.900000000000006"/>
    <x v="0"/>
    <m/>
    <n v="14"/>
    <n v="1194"/>
    <n v="22147"/>
    <s v="FUCSIA"/>
    <n v="5.3"/>
    <n v="0"/>
    <n v="0"/>
    <n v="78.400000000000006"/>
    <n v="77.900000000000006"/>
    <n v="98"/>
    <n v="794.89795918367349"/>
    <x v="7"/>
    <x v="0"/>
    <n v="32"/>
    <n v="2"/>
    <n v="133.33333333333334"/>
  </r>
  <r>
    <d v="2025-09-01T07:20:00"/>
    <s v="INYECTADO"/>
    <x v="8"/>
    <x v="181"/>
    <s v="ISABEL LINARIZ "/>
    <s v="VIRGEN"/>
    <s v="PP CLARIFICADO"/>
    <s v="."/>
    <s v="BASE ORGANIZADOR  DE 3KG-PASTEL"/>
    <s v="BASE ORGANIZADOR DE 3KG PASTEL-CELESTE"/>
    <n v="300"/>
    <n v="4"/>
    <n v="39.700000000000003"/>
    <x v="0"/>
    <m/>
    <n v="5"/>
    <n v="1195"/>
    <n v="22147"/>
    <s v="CELESTE"/>
    <n v="2.1"/>
    <n v="0"/>
    <n v="0"/>
    <n v="29.4"/>
    <n v="39.700000000000003"/>
    <n v="98"/>
    <n v="405.10204081632651"/>
    <x v="7"/>
    <x v="0"/>
    <n v="32"/>
    <n v="2"/>
    <n v="50"/>
  </r>
  <r>
    <d v="2025-09-01T07:20:00"/>
    <s v="INYECTADO"/>
    <x v="8"/>
    <x v="181"/>
    <s v="JOSDER GONZALEZ"/>
    <s v="VIRGEN"/>
    <s v="PP CLARIFICADO"/>
    <s v="."/>
    <s v="BASE ORGANIZADOR  DE 3KG-PASTEL"/>
    <s v="BASE ORGANIZADOR DE 3KG PASTEL-CELESTE"/>
    <n v="378"/>
    <n v="4"/>
    <n v="34.700000000000003"/>
    <x v="1"/>
    <m/>
    <n v="7"/>
    <n v="1195"/>
    <n v="22148"/>
    <s v="CELESTE"/>
    <n v="4.9000000000000004"/>
    <n v="0"/>
    <n v="0"/>
    <n v="37.043999999999997"/>
    <n v="34.700000000000003"/>
    <n v="98"/>
    <n v="354.08163265306121"/>
    <x v="7"/>
    <x v="0"/>
    <n v="32"/>
    <n v="2"/>
    <n v="63"/>
  </r>
  <r>
    <d v="2025-09-01T07:20:00"/>
    <s v="INYECTADO"/>
    <x v="8"/>
    <x v="181"/>
    <s v="JOSDER GONZALEZ"/>
    <s v="VIRGEN"/>
    <s v="PP CLARIFICADO"/>
    <s v="."/>
    <s v="BASE ORGANIZADOR  DE 3KG-PASTEL"/>
    <s v="BASE ORGANIZADOR DE 3KG PASTEL-TURQUESA"/>
    <n v="725"/>
    <n v="6"/>
    <n v="69.8"/>
    <x v="1"/>
    <m/>
    <n v="12"/>
    <n v="1195"/>
    <n v="22148"/>
    <s v="TURQUESA"/>
    <n v="9.4"/>
    <n v="0"/>
    <n v="0"/>
    <n v="71.05"/>
    <n v="69.8"/>
    <n v="98"/>
    <n v="712.24489795918362"/>
    <x v="7"/>
    <x v="0"/>
    <n v="32"/>
    <n v="2"/>
    <n v="120.83333333333333"/>
  </r>
  <r>
    <d v="2025-09-01T07:20:00"/>
    <s v="INYECTADO"/>
    <x v="8"/>
    <x v="182"/>
    <s v="JUANA CRUCES"/>
    <s v="VIRGEN"/>
    <s v="PP CLARIFICADO"/>
    <s v="."/>
    <s v="BASE ORGANIZADOR  DE 3KG-PASTEL"/>
    <s v="BASE ORGANIZADOR DE 3KG PASTEL-SANDIA"/>
    <n v="683"/>
    <n v="11"/>
    <n v="64.599999999999994"/>
    <x v="0"/>
    <m/>
    <n v="12"/>
    <n v="1195"/>
    <n v="22149"/>
    <s v="SANDIA"/>
    <n v="0"/>
    <n v="0"/>
    <n v="0"/>
    <n v="66.933999999999997"/>
    <n v="64.599999999999994"/>
    <n v="98"/>
    <n v="659.18367346938771"/>
    <x v="7"/>
    <x v="0"/>
    <n v="32"/>
    <n v="2"/>
    <n v="113.83333333333333"/>
  </r>
  <r>
    <d v="2025-09-01T07:20:00"/>
    <s v="INYECTADO"/>
    <x v="8"/>
    <x v="182"/>
    <s v="JUANA CRUCES"/>
    <s v="VIRGEN"/>
    <s v="PP CLARIFICADO"/>
    <s v="."/>
    <s v="BASE ORGANIZADOR  DE 3KG-PASTEL"/>
    <s v="BASE ORGANIZADOR DE 3KG PASTEL-AZURE"/>
    <n v="80"/>
    <n v="1"/>
    <n v="7.6"/>
    <x v="0"/>
    <m/>
    <n v="2"/>
    <n v="1195"/>
    <n v="22149"/>
    <s v="AZURE"/>
    <n v="0"/>
    <n v="0"/>
    <n v="0"/>
    <n v="7.84"/>
    <n v="7.6"/>
    <n v="98"/>
    <n v="77.551020408163268"/>
    <x v="7"/>
    <x v="0"/>
    <n v="32"/>
    <n v="2"/>
    <n v="13.333333333333334"/>
  </r>
  <r>
    <d v="2025-09-01T07:20:00"/>
    <s v="INYECTADO"/>
    <x v="8"/>
    <x v="182"/>
    <s v="JUAN MANUEL "/>
    <s v="VIRGEN"/>
    <s v="PP CLARIFICADO"/>
    <s v="."/>
    <s v="BASE ORGANIZADOR  DE 3KG-PASTEL"/>
    <s v="BASE ORGANIZADOR DE 3KG PASTEL-AZURE"/>
    <n v="640"/>
    <n v="8"/>
    <n v="60.7"/>
    <x v="1"/>
    <m/>
    <n v="11"/>
    <n v="1195"/>
    <n v="22150"/>
    <s v="AZURE"/>
    <n v="11.3"/>
    <n v="0"/>
    <n v="0"/>
    <n v="62.72"/>
    <n v="60.7"/>
    <n v="98"/>
    <n v="619.38775510204084"/>
    <x v="7"/>
    <x v="0"/>
    <n v="32"/>
    <n v="2"/>
    <n v="106.66666666666667"/>
  </r>
  <r>
    <d v="2025-09-01T07:20:00"/>
    <s v="INYECTADO"/>
    <x v="8"/>
    <x v="182"/>
    <s v="JUAN MANUEL "/>
    <s v="VIRGEN"/>
    <s v="PP CLARIFICADO"/>
    <s v="."/>
    <s v="BASE ORGANIZADOR  DE 3KG-PASTEL"/>
    <s v="BASE ORGANIZADOR DE 3KG PASTEL-LILA"/>
    <n v="200"/>
    <n v="3"/>
    <n v="17.2"/>
    <x v="1"/>
    <m/>
    <n v="3"/>
    <n v="1195"/>
    <n v="22150"/>
    <s v="LILA"/>
    <n v="4.2"/>
    <n v="0"/>
    <n v="0"/>
    <n v="19.600000000000001"/>
    <n v="17.2"/>
    <n v="98"/>
    <n v="175.51020408163265"/>
    <x v="7"/>
    <x v="0"/>
    <n v="32"/>
    <n v="2"/>
    <n v="33.333333333333336"/>
  </r>
  <r>
    <d v="2025-09-01T07:20:00"/>
    <s v="INYECTADO"/>
    <x v="8"/>
    <x v="183"/>
    <s v="ISABEL LINARIZ "/>
    <s v="VIRGEN"/>
    <s v="PP CLARIFICADO"/>
    <s v="."/>
    <s v="BASE ORGANIZADOR  DE 3KG-PASTEL"/>
    <s v="BASE ORGANIZADOR DE 3KG PASTEL-LILA"/>
    <n v="521"/>
    <n v="10"/>
    <n v="48.6"/>
    <x v="0"/>
    <m/>
    <n v="9"/>
    <n v="1195"/>
    <n v="22151"/>
    <s v="LILA"/>
    <n v="4.9000000000000004"/>
    <n v="0"/>
    <n v="0"/>
    <n v="51.058"/>
    <n v="48.6"/>
    <n v="98"/>
    <n v="495.91836734693879"/>
    <x v="7"/>
    <x v="0"/>
    <n v="32"/>
    <n v="2"/>
    <n v="86.833333333333329"/>
  </r>
  <r>
    <d v="2025-09-01T07:20:00"/>
    <s v="INYECTADO"/>
    <x v="8"/>
    <x v="183"/>
    <s v="ISABEL LINARIZ "/>
    <s v="VIRGEN"/>
    <s v="PP CLARIFICADO"/>
    <s v="."/>
    <s v="BASE ORGANIZADOR  DE 3KG-PASTEL"/>
    <s v="BASE ORGANIZADOR DE 3KG PASTEL-ROSADO"/>
    <n v="24"/>
    <n v="2"/>
    <n v="2.2999999999999998"/>
    <x v="0"/>
    <m/>
    <n v="1"/>
    <n v="1195"/>
    <n v="22151"/>
    <s v="ROSADO"/>
    <n v="3.8"/>
    <n v="0"/>
    <n v="0"/>
    <n v="2.3519999999999999"/>
    <n v="2.2999999999999998"/>
    <n v="98"/>
    <n v="23.469387755102041"/>
    <x v="7"/>
    <x v="0"/>
    <n v="32"/>
    <n v="2"/>
    <n v="4"/>
  </r>
  <r>
    <d v="2025-09-01T07:20:00"/>
    <s v="INYECTADO"/>
    <x v="8"/>
    <x v="183"/>
    <s v="GABRIEL REQUENA"/>
    <s v="VIRGEN"/>
    <s v="PP CLARIFICADO"/>
    <s v="."/>
    <s v="BASE ORGANIZADOR  DE 3KG-PASTEL"/>
    <s v="BASE ORGANIZADOR DE 3KG PASTEL-ROSADO"/>
    <n v="860"/>
    <n v="11"/>
    <n v="79.5"/>
    <x v="1"/>
    <m/>
    <n v="14"/>
    <n v="1195"/>
    <n v="22152"/>
    <s v="ROSADO"/>
    <n v="11.5"/>
    <n v="0"/>
    <n v="0"/>
    <n v="84.28"/>
    <n v="79.5"/>
    <n v="98"/>
    <n v="811.22448979591832"/>
    <x v="7"/>
    <x v="0"/>
    <n v="32"/>
    <n v="2"/>
    <n v="143.33333333333334"/>
  </r>
  <r>
    <d v="2025-09-01T07:20:00"/>
    <s v="INYECTADO"/>
    <x v="8"/>
    <x v="184"/>
    <s v="LUIS PINEDO"/>
    <s v="VIRGEN"/>
    <s v="PP CLARIFICADO"/>
    <s v="."/>
    <s v="BASE ORGANIZADOR  DE 3KG-PASTEL"/>
    <s v="BASE ORGANIZADOR DE 3KG PASTEL-ROSADO"/>
    <n v="550"/>
    <n v="8"/>
    <n v="53.5"/>
    <x v="0"/>
    <m/>
    <n v="10"/>
    <n v="1195"/>
    <n v="22153"/>
    <s v="ROSADO"/>
    <n v="0"/>
    <n v="0"/>
    <n v="0"/>
    <n v="53.9"/>
    <n v="53.5"/>
    <n v="98"/>
    <n v="545.91836734693879"/>
    <x v="7"/>
    <x v="0"/>
    <n v="32"/>
    <n v="2"/>
    <n v="91.666666666666671"/>
  </r>
  <r>
    <d v="2025-09-01T07:20:00"/>
    <s v="INYECTADO"/>
    <x v="8"/>
    <x v="184"/>
    <s v="LUIS PINEDO"/>
    <s v="VIRGEN"/>
    <s v="PP CLARIFICADO"/>
    <s v="."/>
    <s v="BASE ORGANIZADOR  DE 3KG-PASTEL"/>
    <s v="BASE ORGANIZADOR DE 3KG PASTEL-SANDIA"/>
    <n v="100"/>
    <n v="2"/>
    <n v="17.100000000000001"/>
    <x v="0"/>
    <m/>
    <n v="3"/>
    <n v="1195"/>
    <n v="22153"/>
    <s v="SANDIA"/>
    <n v="0"/>
    <n v="0"/>
    <n v="0"/>
    <n v="9.8000000000000007"/>
    <n v="17.100000000000001"/>
    <n v="98"/>
    <n v="174.48979591836735"/>
    <x v="7"/>
    <x v="0"/>
    <n v="32"/>
    <n v="2"/>
    <n v="16.666666666666668"/>
  </r>
  <r>
    <d v="2025-09-01T07:20:00"/>
    <s v="INYECTADO"/>
    <x v="8"/>
    <x v="184"/>
    <s v="JUAN MANUEL "/>
    <s v="VIRGEN"/>
    <s v="PP CLARIFICADO"/>
    <s v="."/>
    <s v="BASE ORGANIZADOR  DE 3KG-PASTEL"/>
    <s v="BASE ORGANIZADOR DE 3KG PASTEL-SANDIA"/>
    <n v="320"/>
    <n v="8"/>
    <n v="57"/>
    <x v="1"/>
    <m/>
    <n v="10"/>
    <n v="1195"/>
    <n v="22154"/>
    <s v="SANDIA"/>
    <n v="4"/>
    <n v="0"/>
    <n v="0"/>
    <n v="31.36"/>
    <n v="57"/>
    <n v="98"/>
    <n v="581.63265306122446"/>
    <x v="7"/>
    <x v="0"/>
    <n v="32"/>
    <n v="2"/>
    <n v="53.333333333333336"/>
  </r>
  <r>
    <d v="2025-09-01T07:20:00"/>
    <s v="INYECTADO"/>
    <x v="8"/>
    <x v="184"/>
    <s v="JUAN MANUEL "/>
    <s v="VIRGEN"/>
    <s v="PP CLARIFICADO"/>
    <s v="."/>
    <s v="BASE ORGANIZADOR  DE 3KG-PASTEL"/>
    <s v="BASE ORGANIZADOR DE 3KG PASTEL-CELESTE"/>
    <n v="150"/>
    <n v="3"/>
    <n v="13.9"/>
    <x v="1"/>
    <m/>
    <n v="3"/>
    <n v="1195"/>
    <n v="22154"/>
    <s v="CELESTE"/>
    <n v="2"/>
    <n v="0"/>
    <n v="0"/>
    <n v="14.7"/>
    <n v="13.9"/>
    <n v="98"/>
    <n v="141.83673469387756"/>
    <x v="7"/>
    <x v="0"/>
    <n v="32"/>
    <n v="2"/>
    <n v="25"/>
  </r>
  <r>
    <d v="2025-09-01T07:20:00"/>
    <s v="INYECTADO"/>
    <x v="8"/>
    <x v="185"/>
    <s v="NELSON PINEDO"/>
    <s v="VIRGEN"/>
    <s v="PP CLARIFICADO"/>
    <s v="."/>
    <s v="BASE ORGANIZADOR  DE 3KG-PASTEL"/>
    <s v="BASE ORGANIZADOR DE 3KG PASTEL-CELESTE"/>
    <n v="160"/>
    <n v="2"/>
    <n v="14.6"/>
    <x v="0"/>
    <m/>
    <n v="3"/>
    <n v="1195"/>
    <n v="22155"/>
    <s v="CELESTE"/>
    <n v="3.3"/>
    <n v="0"/>
    <n v="0"/>
    <n v="15.68"/>
    <n v="14.6"/>
    <n v="98"/>
    <n v="148.9795918367347"/>
    <x v="7"/>
    <x v="0"/>
    <n v="32"/>
    <n v="2"/>
    <n v="26.666666666666668"/>
  </r>
  <r>
    <d v="2025-09-01T07:20:00"/>
    <s v="INYECTADO"/>
    <x v="8"/>
    <x v="185"/>
    <s v="JOSDER GONZALEZ"/>
    <s v="VIRGEN"/>
    <s v="PP CLARIFICADO"/>
    <s v="."/>
    <s v="BASE ORGANIZADOR  DE 3KG-PASTEL"/>
    <s v="BASE ORGANIZADOR DE 3KG PASTEL-CELESTE"/>
    <n v="355"/>
    <n v="4"/>
    <n v="39.799999999999997"/>
    <x v="1"/>
    <m/>
    <n v="8"/>
    <n v="1195"/>
    <n v="22156"/>
    <s v="CELESTE"/>
    <n v="2.4"/>
    <n v="0"/>
    <n v="0"/>
    <n v="34.79"/>
    <n v="39.799999999999997"/>
    <n v="98"/>
    <n v="406.12244897959181"/>
    <x v="7"/>
    <x v="0"/>
    <n v="32"/>
    <n v="2"/>
    <n v="59.166666666666664"/>
  </r>
  <r>
    <d v="2025-09-01T07:20:00"/>
    <s v="INYECTADO"/>
    <x v="8"/>
    <x v="185"/>
    <s v="JOSDER GONZALEZ"/>
    <s v="VIRGEN"/>
    <s v="PP CLARIFICADO"/>
    <s v="."/>
    <s v="BASE ORGANIZADOR  DE 3KG-PASTEL"/>
    <s v="BASE ORGANIZADOR DE 3KG PASTEL-AZURE"/>
    <n v="206"/>
    <n v="3"/>
    <n v="20.6"/>
    <x v="1"/>
    <m/>
    <n v="4"/>
    <n v="1195"/>
    <n v="22156"/>
    <s v="AZURE"/>
    <n v="4.5"/>
    <n v="0"/>
    <n v="0"/>
    <n v="20.187999999999999"/>
    <n v="20.6"/>
    <n v="98"/>
    <n v="210.20408163265307"/>
    <x v="7"/>
    <x v="0"/>
    <n v="32"/>
    <n v="2"/>
    <n v="34.333333333333336"/>
  </r>
  <r>
    <d v="2025-09-01T07:20:00"/>
    <s v="INYECTADO"/>
    <x v="8"/>
    <x v="188"/>
    <s v="SAID VILLAMIZAR"/>
    <s v="VIRGEN"/>
    <s v="PP CLARIFICADO"/>
    <s v="."/>
    <s v="BASE ORGANIZADOR  DE 3KG-PASTEL"/>
    <s v="BASE ORGANIZADOR DE 3KG PASTEL-AZURE"/>
    <n v="603"/>
    <n v="7"/>
    <n v="60.3"/>
    <x v="0"/>
    <m/>
    <n v="11"/>
    <n v="1195"/>
    <n v="22157"/>
    <s v="AZURE"/>
    <n v="6.6"/>
    <n v="0"/>
    <n v="0"/>
    <n v="59.094000000000001"/>
    <n v="60.3"/>
    <n v="98"/>
    <n v="615.30612244897964"/>
    <x v="7"/>
    <x v="0"/>
    <n v="32"/>
    <n v="2"/>
    <n v="100.5"/>
  </r>
  <r>
    <d v="2025-09-01T07:20:00"/>
    <s v="INYECTADO"/>
    <x v="8"/>
    <x v="173"/>
    <s v="JUANA CRUCES"/>
    <s v="VIRGEN"/>
    <s v="PP CLARIFICADO"/>
    <s v="."/>
    <s v="BASE ORGANIZADOR  DE 3KG-PASTEL"/>
    <s v="BASE ORGANIZADOR DE 3KG PASTEL-TURQUESA"/>
    <n v="747"/>
    <n v="10"/>
    <n v="69.5"/>
    <x v="0"/>
    <m/>
    <n v="13"/>
    <n v="1195"/>
    <n v="22158"/>
    <s v="TURQUESA"/>
    <n v="12.7"/>
    <n v="0"/>
    <n v="0"/>
    <n v="73.206000000000003"/>
    <n v="69.5"/>
    <n v="98"/>
    <n v="709.18367346938771"/>
    <x v="7"/>
    <x v="0"/>
    <n v="33"/>
    <n v="2"/>
    <n v="124.5"/>
  </r>
  <r>
    <d v="2025-09-01T07:20:00"/>
    <s v="INYECTADO"/>
    <x v="8"/>
    <x v="173"/>
    <s v="JUANA CRUCES"/>
    <s v="VIRGEN"/>
    <s v="PP CLARIFICADO"/>
    <s v="."/>
    <s v="BASE ORGANIZADOR  DE 3KG-PASTEL"/>
    <s v="BASE ORGANIZADOR DE 3KG PASTEL-LILA"/>
    <n v="25"/>
    <n v="1"/>
    <n v="2.2999999999999998"/>
    <x v="0"/>
    <m/>
    <n v="13"/>
    <n v="1195"/>
    <n v="22158"/>
    <s v="TURQUESA"/>
    <n v="12.7"/>
    <n v="0"/>
    <n v="0"/>
    <n v="2.4500000000000002"/>
    <n v="2.2999999999999998"/>
    <n v="98"/>
    <n v="23.469387755102041"/>
    <x v="7"/>
    <x v="0"/>
    <n v="33"/>
    <n v="2"/>
    <n v="4.166666666666667"/>
  </r>
  <r>
    <d v="2025-09-01T07:20:00"/>
    <s v="INYECTADO"/>
    <x v="8"/>
    <x v="173"/>
    <s v="JOSDER GONZALEZ"/>
    <s v="VIRGEN"/>
    <s v="PP CLARIFICADO"/>
    <s v="."/>
    <s v="BASE ORGANIZADOR  DE 3KG-PASTEL"/>
    <s v="BASE ORGANIZADOR DE 3KG PASTEL-LILA"/>
    <n v="795"/>
    <n v="9"/>
    <n v="74.7"/>
    <x v="1"/>
    <m/>
    <n v="3"/>
    <n v="1195"/>
    <n v="22159"/>
    <s v="AZUL"/>
    <n v="1"/>
    <n v="0"/>
    <n v="0"/>
    <n v="77.91"/>
    <n v="74.7"/>
    <n v="98"/>
    <n v="762.24489795918362"/>
    <x v="7"/>
    <x v="0"/>
    <n v="33"/>
    <n v="2"/>
    <n v="132.5"/>
  </r>
  <r>
    <d v="2025-09-01T07:20:00"/>
    <s v="INYECTADO"/>
    <x v="8"/>
    <x v="173"/>
    <s v="JOSDER GONZALEZ"/>
    <s v="VIRGEN"/>
    <s v="PP CLARIFICADO"/>
    <s v="."/>
    <s v="BASE ORGANIZADOR  DE 3KG-CARAMELO"/>
    <s v="BASE ORGANIZADOR  DE 3KG CARAMELO-AZUL"/>
    <n v="210"/>
    <n v="3"/>
    <n v="19.5"/>
    <x v="1"/>
    <m/>
    <n v="4"/>
    <n v="1194"/>
    <n v="22159"/>
    <s v="LILA"/>
    <n v="6.9"/>
    <n v="0"/>
    <n v="0"/>
    <n v="20.58"/>
    <n v="19.5"/>
    <n v="98"/>
    <n v="198.9795918367347"/>
    <x v="7"/>
    <x v="0"/>
    <n v="33"/>
    <n v="2"/>
    <n v="35"/>
  </r>
  <r>
    <d v="2025-09-01T07:20:00"/>
    <s v="INYECTADO"/>
    <x v="8"/>
    <x v="174"/>
    <s v="JUANA CRUCES"/>
    <s v="VIRGEN"/>
    <s v="PP CLARIFICADO"/>
    <s v="."/>
    <s v="BASE ORGANIZADOR  DE 3KG-CARAMELO"/>
    <s v="BASE ORGANIZADOR  DE 3KG CARAMELO-AZUL"/>
    <n v="304"/>
    <n v="4"/>
    <n v="28.3"/>
    <x v="0"/>
    <m/>
    <n v="6"/>
    <n v="1194"/>
    <n v="22160"/>
    <s v="AZUL"/>
    <n v="7.2"/>
    <n v="0"/>
    <n v="0"/>
    <n v="29.792000000000002"/>
    <n v="28.3"/>
    <n v="98"/>
    <n v="288.77551020408163"/>
    <x v="7"/>
    <x v="0"/>
    <n v="33"/>
    <n v="2"/>
    <n v="50.666666666666664"/>
  </r>
  <r>
    <d v="2025-09-01T07:20:00"/>
    <s v="INYECTADO"/>
    <x v="8"/>
    <x v="174"/>
    <s v="JUANA CRUCES"/>
    <s v="VIRGEN"/>
    <s v="PP CLARIFICADO"/>
    <s v="."/>
    <s v="BASE ORGANIZADOR  DE 3KG-CARAMELO"/>
    <s v="BASE ORGANIZADOR  DE 3KG CARAMELO-FUCSIA"/>
    <n v="385"/>
    <n v="7"/>
    <n v="34.4"/>
    <x v="0"/>
    <m/>
    <n v="7"/>
    <n v="1194"/>
    <n v="22160"/>
    <s v="FUCISA"/>
    <n v="11.8"/>
    <n v="0"/>
    <n v="0"/>
    <n v="37.729999999999997"/>
    <n v="34.4"/>
    <n v="98"/>
    <n v="351.0204081632653"/>
    <x v="7"/>
    <x v="0"/>
    <n v="33"/>
    <n v="2"/>
    <n v="64.166666666666671"/>
  </r>
  <r>
    <d v="2025-09-01T07:20:00"/>
    <s v="INYECTADO"/>
    <x v="8"/>
    <x v="174"/>
    <s v="JUAN MANUEL "/>
    <s v="VIRGEN"/>
    <s v="PP CLARIFICADO"/>
    <s v="."/>
    <s v="BASE ORGANIZADOR  DE 3KG-CARAMELO"/>
    <s v="BASE ORGANIZADOR  DE 3KG CARAMELO-LILA"/>
    <n v="260"/>
    <n v="3"/>
    <n v="28.8"/>
    <x v="1"/>
    <m/>
    <n v="5"/>
    <n v="1194"/>
    <n v="22161"/>
    <s v="LILA"/>
    <n v="6.7"/>
    <n v="0"/>
    <n v="0"/>
    <n v="25.48"/>
    <n v="28.8"/>
    <n v="98"/>
    <n v="293.87755102040819"/>
    <x v="7"/>
    <x v="0"/>
    <n v="33"/>
    <n v="2"/>
    <n v="43.333333333333336"/>
  </r>
  <r>
    <d v="2025-09-01T07:20:00"/>
    <s v="INYECTADO"/>
    <x v="8"/>
    <x v="175"/>
    <s v="ISABEL LINARIZ "/>
    <s v="VIRGEN"/>
    <s v="PP CLARIFICADO"/>
    <s v="."/>
    <s v="BASE ORGANIZADOR  DE 3KG-CARAMELO"/>
    <s v="BASE ORGANIZADOR  DE 3KG CARAMELO-LILA"/>
    <n v="100"/>
    <n v="3"/>
    <n v="9.6"/>
    <x v="0"/>
    <m/>
    <n v="2"/>
    <n v="1194"/>
    <n v="22162"/>
    <s v="LILA"/>
    <n v="9.5"/>
    <n v="0"/>
    <n v="0"/>
    <n v="9.8000000000000007"/>
    <n v="9.6"/>
    <n v="98"/>
    <n v="97.959183673469383"/>
    <x v="7"/>
    <x v="0"/>
    <n v="33"/>
    <n v="2"/>
    <n v="16.666666666666668"/>
  </r>
  <r>
    <d v="2025-09-01T07:20:00"/>
    <s v="INYECTADO"/>
    <x v="8"/>
    <x v="175"/>
    <s v="ISABEL LINARIZ "/>
    <s v="VIRGEN"/>
    <s v="PP CLARIFICADO"/>
    <s v="."/>
    <s v="BASE ORGANIZADOR  DE 3KG-CARAMELO"/>
    <s v="BASE ORGANIZADOR  DE 3KG CARAMELO-AMARILLO"/>
    <n v="430"/>
    <n v="8"/>
    <n v="44.5"/>
    <x v="0"/>
    <m/>
    <n v="9"/>
    <n v="1194"/>
    <n v="22162"/>
    <s v="AMARILLO"/>
    <n v="2.4"/>
    <n v="0"/>
    <n v="0"/>
    <n v="42.14"/>
    <n v="44.5"/>
    <n v="98"/>
    <n v="454.08163265306121"/>
    <x v="7"/>
    <x v="0"/>
    <n v="33"/>
    <n v="2"/>
    <n v="71.666666666666671"/>
  </r>
  <r>
    <d v="2025-09-01T07:20:00"/>
    <s v="INYECTADO"/>
    <x v="8"/>
    <x v="175"/>
    <m/>
    <s v="VIRGEN"/>
    <s v="PP CLARIFICADO"/>
    <s v="."/>
    <s v="BASE ORGANIZADOR  DE 3KG-CARAMELO"/>
    <s v="BASE ORGANIZADOR  DE 3KG CARAMELO-VERDE"/>
    <n v="40"/>
    <n v="1"/>
    <n v="3.8"/>
    <x v="0"/>
    <m/>
    <n v="9"/>
    <n v="1194"/>
    <n v="22162"/>
    <s v="AMARILLO"/>
    <n v="2.4"/>
    <n v="0"/>
    <n v="0"/>
    <n v="3.92"/>
    <n v="3.8"/>
    <n v="98"/>
    <n v="38.775510204081634"/>
    <x v="7"/>
    <x v="0"/>
    <n v="33"/>
    <n v="2"/>
    <n v="6.666666666666667"/>
  </r>
  <r>
    <d v="2025-09-01T07:20:00"/>
    <s v="INYECTADO"/>
    <x v="8"/>
    <x v="175"/>
    <s v="JOSDER GONZALEZ"/>
    <s v="VIRGEN"/>
    <s v="PP CLARIFICADO"/>
    <s v="."/>
    <s v="BASE ORGANIZADOR  DE 3KG-CARAMELO"/>
    <s v="BASE ORGANIZADOR  DE 3KG CARAMELO-VERDE"/>
    <n v="480"/>
    <n v="7"/>
    <n v="44.8"/>
    <x v="1"/>
    <m/>
    <n v="9"/>
    <n v="1194"/>
    <n v="22163"/>
    <s v="VERDE"/>
    <n v="5.2"/>
    <n v="0"/>
    <n v="0"/>
    <n v="47.04"/>
    <n v="44.8"/>
    <n v="98"/>
    <n v="457.14285714285717"/>
    <x v="7"/>
    <x v="0"/>
    <n v="33"/>
    <n v="2"/>
    <n v="80"/>
  </r>
  <r>
    <d v="2025-09-01T07:20:00"/>
    <s v="INYECTADO"/>
    <x v="8"/>
    <x v="175"/>
    <s v="JOSDER GONZALEZ"/>
    <s v="VIRGEN"/>
    <s v="PP CLARIFICADO"/>
    <s v="."/>
    <s v="BASE ORGANIZADOR  DE 3KG-CARAMELO"/>
    <s v="BASE ORGANIZADOR  DE 3KG CARAMELO-ROJO"/>
    <n v="368"/>
    <n v="5"/>
    <n v="33.6"/>
    <x v="1"/>
    <m/>
    <n v="6"/>
    <n v="1194"/>
    <n v="22163"/>
    <s v="ROJO"/>
    <n v="2.9"/>
    <n v="0"/>
    <n v="0"/>
    <n v="36.064"/>
    <n v="33.6"/>
    <n v="98"/>
    <n v="342.85714285714283"/>
    <x v="7"/>
    <x v="0"/>
    <n v="33"/>
    <n v="2"/>
    <n v="61.333333333333336"/>
  </r>
  <r>
    <d v="2025-09-01T07:20:00"/>
    <s v="INYECTADO"/>
    <x v="8"/>
    <x v="176"/>
    <s v="ISABEL LINARIZ "/>
    <s v="VIRGEN"/>
    <s v="PP CLARIFICADO"/>
    <s v="."/>
    <s v="BASE ORGANIZADOR  DE 3KG-CARAMELO"/>
    <s v="BASE ORGANIZADOR  DE 3KG CARAMELO-ROJO"/>
    <n v="132"/>
    <n v="2"/>
    <n v="12.3"/>
    <x v="0"/>
    <m/>
    <n v="3"/>
    <n v="1194"/>
    <n v="22164"/>
    <s v="ROJO"/>
    <n v="0"/>
    <n v="0"/>
    <n v="0"/>
    <n v="12.936"/>
    <n v="12.3"/>
    <n v="98"/>
    <n v="125.51020408163265"/>
    <x v="7"/>
    <x v="0"/>
    <n v="33"/>
    <n v="2"/>
    <n v="22"/>
  </r>
  <r>
    <d v="2025-09-01T07:20:00"/>
    <s v="INYECTADO"/>
    <x v="8"/>
    <x v="176"/>
    <s v="ISABEL LINARIZ "/>
    <s v="VIRGEN"/>
    <s v="PP CLARIFICADO"/>
    <s v="."/>
    <s v="BASE ORGANIZADOR  DE 3KG-PASTEL"/>
    <s v="BASE ORGANIZADOR DE 3KG PASTEL-SANDIA"/>
    <n v="520"/>
    <n v="7"/>
    <n v="48.4"/>
    <x v="0"/>
    <m/>
    <n v="9"/>
    <n v="1194"/>
    <n v="22164"/>
    <s v="SANDIA"/>
    <n v="0"/>
    <n v="0"/>
    <n v="0"/>
    <n v="50.96"/>
    <n v="48.4"/>
    <n v="98"/>
    <n v="493.87755102040819"/>
    <x v="7"/>
    <x v="0"/>
    <n v="33"/>
    <n v="2"/>
    <n v="86.666666666666671"/>
  </r>
  <r>
    <d v="2025-09-01T07:20:00"/>
    <s v="INYECTADO"/>
    <x v="8"/>
    <x v="176"/>
    <s v="ISABEL LINARIZ "/>
    <s v="VIRGEN"/>
    <s v="PP CLARIFICADO"/>
    <s v="."/>
    <s v="BASE ORGANIZADOR  DE 3KG-PASTEL"/>
    <s v="BASE ORGANIZADOR DE 3KG PASTEL-ROSADO"/>
    <n v="80"/>
    <n v="2"/>
    <n v="7.2"/>
    <x v="0"/>
    <m/>
    <n v="1"/>
    <n v="1195"/>
    <n v="22164"/>
    <s v="ROSADO"/>
    <n v="0"/>
    <n v="0"/>
    <n v="0"/>
    <n v="7.84"/>
    <n v="7.2"/>
    <n v="98"/>
    <n v="73.469387755102048"/>
    <x v="7"/>
    <x v="0"/>
    <n v="33"/>
    <n v="2"/>
    <n v="13.333333333333334"/>
  </r>
  <r>
    <d v="2025-09-01T07:20:00"/>
    <s v="INYECTADO"/>
    <x v="8"/>
    <x v="176"/>
    <s v="JUAN MANUEL "/>
    <s v="VIRGEN"/>
    <s v="PP CLARIFICADO"/>
    <s v="."/>
    <s v="BASE ORGANIZADOR  DE 3KG-PASTEL"/>
    <s v="BASE ORGANIZADOR DE 3KG PASTEL-ROSADO"/>
    <n v="365"/>
    <n v="5"/>
    <n v="36.5"/>
    <x v="1"/>
    <m/>
    <n v="7"/>
    <n v="1195"/>
    <n v="22165"/>
    <s v="ROSADO"/>
    <n v="4"/>
    <n v="0"/>
    <n v="0"/>
    <n v="35.770000000000003"/>
    <n v="36.5"/>
    <n v="98"/>
    <n v="372.44897959183675"/>
    <x v="7"/>
    <x v="0"/>
    <n v="33"/>
    <n v="2"/>
    <n v="60.833333333333336"/>
  </r>
  <r>
    <d v="2025-09-01T07:20:00"/>
    <s v="INYECTADO"/>
    <x v="8"/>
    <x v="176"/>
    <s v="JUAN MANUEL "/>
    <s v="VIRGEN"/>
    <s v="PP CLARIFICADO"/>
    <s v="."/>
    <s v="BASE ORGANIZADOR  DE 3KG-PASTEL"/>
    <s v="BASE ORGANIZADOR DE 3KG PASTEL-LILA"/>
    <n v="480"/>
    <n v="6"/>
    <n v="45.6"/>
    <x v="1"/>
    <m/>
    <n v="8"/>
    <n v="1195"/>
    <n v="22165"/>
    <s v="LILA"/>
    <n v="5"/>
    <n v="0"/>
    <n v="0"/>
    <n v="47.04"/>
    <n v="45.6"/>
    <n v="98"/>
    <n v="465.30612244897958"/>
    <x v="7"/>
    <x v="0"/>
    <n v="33"/>
    <n v="2"/>
    <n v="80"/>
  </r>
  <r>
    <d v="2025-09-01T07:20:00"/>
    <s v="INYECTADO"/>
    <x v="8"/>
    <x v="177"/>
    <s v="JUANA CRUCES"/>
    <s v="VIRGEN"/>
    <s v="PP CLARIFICADO"/>
    <s v="."/>
    <s v="BASE ORGANIZADOR  DE 3KG-PASTEL"/>
    <s v="BASE ORGANIZADOR DE 3KG PASTEL-CELESTE"/>
    <n v="443"/>
    <n v="8"/>
    <n v="43.9"/>
    <x v="0"/>
    <m/>
    <n v="8"/>
    <n v="1195"/>
    <n v="22166"/>
    <s v="CELESTE"/>
    <n v="13.8"/>
    <n v="0"/>
    <n v="0"/>
    <n v="43.414000000000001"/>
    <n v="43.9"/>
    <n v="98"/>
    <n v="447.9591836734694"/>
    <x v="7"/>
    <x v="0"/>
    <n v="33"/>
    <n v="2"/>
    <n v="73.833333333333329"/>
  </r>
  <r>
    <d v="2025-09-01T07:20:00"/>
    <s v="INYECTADO"/>
    <x v="8"/>
    <x v="177"/>
    <s v="JUANA CRUCES"/>
    <s v="VIRGEN"/>
    <s v="PP CLARIFICADO"/>
    <s v="."/>
    <s v="BASE ORGANIZADOR  DE 3KG-PASTEL"/>
    <s v="BASE ORGANIZADOR DE 3KG PASTEL-AZURE"/>
    <n v="280"/>
    <n v="4"/>
    <n v="20.9"/>
    <x v="0"/>
    <m/>
    <n v="4"/>
    <n v="1195"/>
    <n v="22166"/>
    <s v="AZURE"/>
    <n v="1.9"/>
    <n v="0"/>
    <n v="0"/>
    <n v="27.44"/>
    <n v="20.9"/>
    <n v="98"/>
    <n v="213.26530612244898"/>
    <x v="7"/>
    <x v="0"/>
    <n v="33"/>
    <n v="2"/>
    <n v="46.666666666666664"/>
  </r>
  <r>
    <d v="2025-09-01T07:20:00"/>
    <s v="INYECTADO"/>
    <x v="8"/>
    <x v="177"/>
    <s v="JOSDER GONZALEZ"/>
    <s v="VIRGEN"/>
    <s v="PP CLARIFICADO"/>
    <s v="."/>
    <s v="BASE ORGANIZADOR  DE 3KG-PASTEL"/>
    <s v="BASE ORGANIZADOR DE 3KG PASTEL-AZURE"/>
    <n v="243"/>
    <n v="4"/>
    <n v="22.1"/>
    <x v="1"/>
    <m/>
    <n v="5"/>
    <n v="1195"/>
    <n v="22167"/>
    <s v="AZURE"/>
    <n v="7.9"/>
    <n v="0"/>
    <n v="0"/>
    <n v="23.814"/>
    <n v="22.1"/>
    <n v="98"/>
    <n v="225.51020408163265"/>
    <x v="7"/>
    <x v="0"/>
    <n v="33"/>
    <n v="2"/>
    <n v="40.5"/>
  </r>
  <r>
    <d v="2025-09-01T07:20:00"/>
    <s v="INYECTADO"/>
    <x v="8"/>
    <x v="177"/>
    <s v="JOSDER GONZALEZ"/>
    <s v="VIRGEN"/>
    <s v="PP CLARIFICADO"/>
    <s v="."/>
    <s v="BASE ORGANIZADOR  DE 3KG-PASTEL"/>
    <s v="BASE ORGANIZADOR DE 3KG PASTEL-TURQUESA"/>
    <n v="465"/>
    <n v="7"/>
    <n v="43.2"/>
    <x v="1"/>
    <m/>
    <n v="8"/>
    <n v="1195"/>
    <n v="22167"/>
    <s v="TURQUESA"/>
    <n v="11.2"/>
    <n v="0"/>
    <n v="0"/>
    <n v="45.57"/>
    <n v="43.2"/>
    <n v="98"/>
    <n v="440.81632653061223"/>
    <x v="7"/>
    <x v="0"/>
    <n v="33"/>
    <n v="2"/>
    <n v="77.5"/>
  </r>
  <r>
    <d v="2025-09-01T07:20:00"/>
    <s v="INYECTADO"/>
    <x v="8"/>
    <x v="177"/>
    <s v="JOSDER GONZALEZ"/>
    <s v="VIRGEN"/>
    <s v="PP CLARIFICADO"/>
    <s v="."/>
    <s v="BASE ORGANIZADOR  DE 3KG-CARAMELO"/>
    <s v="BASE ORGANIZADOR  DE 3KG CARAMELO-VERDE"/>
    <n v="20"/>
    <n v="1"/>
    <n v="1.9"/>
    <x v="1"/>
    <m/>
    <n v="1"/>
    <n v="1195"/>
    <n v="22167"/>
    <s v="VERDE"/>
    <n v="0.9"/>
    <n v="0"/>
    <n v="0"/>
    <n v="1.96"/>
    <n v="1.9"/>
    <n v="98"/>
    <n v="19.387755102040817"/>
    <x v="7"/>
    <x v="0"/>
    <n v="33"/>
    <n v="2"/>
    <n v="3.3333333333333335"/>
  </r>
  <r>
    <d v="2025-09-01T07:20:00"/>
    <s v="INYECTADO"/>
    <x v="8"/>
    <x v="178"/>
    <s v="ISABEL LINARIZ "/>
    <s v="VIRGEN"/>
    <s v="PP CLARIFICADO"/>
    <s v="."/>
    <s v="BASE ORGANIZADOR  DE 3KG-CARAMELO"/>
    <s v="BASE ORGANIZADOR  DE 3KG CARAMELO-VERDE"/>
    <n v="350"/>
    <n v="7"/>
    <n v="37.1"/>
    <x v="0"/>
    <m/>
    <n v="7"/>
    <n v="1194"/>
    <n v="22168"/>
    <s v="VERDE"/>
    <n v="13.2"/>
    <n v="0"/>
    <n v="0"/>
    <n v="34.299999999999997"/>
    <n v="37.1"/>
    <n v="98"/>
    <n v="378.57142857142856"/>
    <x v="7"/>
    <x v="0"/>
    <n v="33"/>
    <n v="2"/>
    <n v="58.333333333333336"/>
  </r>
  <r>
    <d v="2025-09-01T07:20:00"/>
    <s v="INYECTADO"/>
    <x v="8"/>
    <x v="178"/>
    <s v="JOSDER GONZALEZ"/>
    <s v="VIRGEN"/>
    <s v="PP CLARIFICADO"/>
    <s v="."/>
    <s v="BASE ORGANIZADOR  DE 3KG-CARAMELO"/>
    <s v="BASE ORGANIZADOR  DE 3KG CARAMELO-AMARILLO"/>
    <n v="509"/>
    <n v="8"/>
    <n v="48.3"/>
    <x v="1"/>
    <m/>
    <n v="9"/>
    <n v="1194"/>
    <n v="22169"/>
    <s v="AMARILLO"/>
    <n v="4.5999999999999996"/>
    <n v="0"/>
    <n v="0"/>
    <n v="49.881999999999998"/>
    <n v="48.3"/>
    <n v="98"/>
    <n v="492.85714285714283"/>
    <x v="7"/>
    <x v="0"/>
    <n v="33"/>
    <n v="2"/>
    <n v="84.833333333333329"/>
  </r>
  <r>
    <d v="2025-09-01T07:20:00"/>
    <s v="INYECTADO"/>
    <x v="8"/>
    <x v="178"/>
    <s v="JOSDER GONZALEZ"/>
    <s v="VIRGEN"/>
    <s v="PP CLARIFICADO"/>
    <s v="."/>
    <s v="BASE ORGANIZADOR  DE 3KG-CARAMELO"/>
    <s v="BASE ORGANIZADOR  DE 3KG CARAMELO-AZUL"/>
    <n v="280"/>
    <n v="3"/>
    <n v="26.5"/>
    <x v="1"/>
    <m/>
    <n v="5"/>
    <n v="1194"/>
    <n v="22169"/>
    <s v="AZUL"/>
    <n v="2.6"/>
    <n v="0"/>
    <n v="0"/>
    <n v="27.44"/>
    <n v="26.5"/>
    <n v="98"/>
    <n v="270.40816326530614"/>
    <x v="7"/>
    <x v="0"/>
    <n v="33"/>
    <n v="2"/>
    <n v="46.666666666666664"/>
  </r>
  <r>
    <d v="2025-09-01T07:20:00"/>
    <s v="INYECTADO"/>
    <x v="8"/>
    <x v="179"/>
    <s v="MARJORIE VILCHEZ"/>
    <s v="VIRGEN"/>
    <s v="PP CLARIFICADO"/>
    <s v="."/>
    <s v="BASE ORGANIZADOR  DE 3KG-CARAMELO"/>
    <s v="BASE ORGANIZADOR  DE 3KG CARAMELO-AZUL"/>
    <n v="212"/>
    <n v="3"/>
    <n v="19.5"/>
    <x v="0"/>
    <m/>
    <n v="4"/>
    <n v="1194"/>
    <n v="22170"/>
    <s v="AZUL"/>
    <n v="6.8"/>
    <n v="0"/>
    <n v="0"/>
    <n v="20.776"/>
    <n v="19.5"/>
    <n v="98"/>
    <n v="198.9795918367347"/>
    <x v="7"/>
    <x v="0"/>
    <n v="34"/>
    <n v="2"/>
    <n v="35.333333333333336"/>
  </r>
  <r>
    <d v="2025-09-01T07:20:00"/>
    <s v="INYECTADO"/>
    <x v="8"/>
    <x v="179"/>
    <s v="MARJORIE VILCHEZ"/>
    <s v="VIRGEN"/>
    <s v="PP CLARIFICADO"/>
    <s v="."/>
    <s v="BASE ORGANIZADOR  DE 3KG-CARAMELO"/>
    <s v="BASE ORGANIZADOR  DE 3KG CARAMELO-LILA"/>
    <n v="444"/>
    <n v="7"/>
    <n v="40.4"/>
    <x v="0"/>
    <m/>
    <n v="7"/>
    <n v="1194"/>
    <n v="22170"/>
    <s v="LILA"/>
    <n v="1.6"/>
    <n v="0"/>
    <n v="0"/>
    <n v="43.512"/>
    <n v="40.4"/>
    <n v="98"/>
    <n v="412.24489795918367"/>
    <x v="7"/>
    <x v="0"/>
    <n v="34"/>
    <n v="2"/>
    <n v="74"/>
  </r>
  <r>
    <d v="2025-09-01T07:20:00"/>
    <s v="INYECTADO"/>
    <x v="8"/>
    <x v="179"/>
    <s v="JUAN MANUEL "/>
    <s v="VIRGEN"/>
    <s v="PP CLARIFICADO"/>
    <s v="."/>
    <s v="BASE ORGANIZADOR  DE 3KG-PASTEL"/>
    <s v="BASE ORGANIZADOR DE 3KG PASTEL-LILA"/>
    <n v="294"/>
    <n v="4"/>
    <n v="33.6"/>
    <x v="1"/>
    <m/>
    <n v="6"/>
    <n v="1195"/>
    <n v="22171"/>
    <s v="LILA"/>
    <n v="6"/>
    <n v="0"/>
    <n v="0"/>
    <n v="28.812000000000001"/>
    <n v="33.6"/>
    <n v="98"/>
    <n v="342.85714285714283"/>
    <x v="7"/>
    <x v="0"/>
    <n v="34"/>
    <n v="2"/>
    <n v="49"/>
  </r>
  <r>
    <d v="2025-09-01T07:20:00"/>
    <s v="INYECTADO"/>
    <x v="8"/>
    <x v="179"/>
    <s v="JUAN MANUEL "/>
    <s v="VIRGEN"/>
    <s v="PP CLARIFICADO"/>
    <s v="."/>
    <s v="BASE ORGANIZADOR  DE 3KG-PASTEL"/>
    <s v="BASE ORGANIZADOR DE 3KG PASTEL-SANDIA"/>
    <n v="160"/>
    <n v="4"/>
    <n v="17.100000000000001"/>
    <x v="1"/>
    <m/>
    <n v="3"/>
    <n v="1195"/>
    <n v="22171"/>
    <s v="SANDIA"/>
    <n v="4"/>
    <n v="0"/>
    <n v="0"/>
    <n v="15.68"/>
    <n v="17.100000000000001"/>
    <n v="98"/>
    <n v="174.48979591836735"/>
    <x v="7"/>
    <x v="0"/>
    <n v="34"/>
    <n v="2"/>
    <n v="26.666666666666668"/>
  </r>
  <r>
    <d v="2025-09-01T07:20:00"/>
    <s v="INYECTADO"/>
    <x v="8"/>
    <x v="186"/>
    <s v="NELSON PINEDO"/>
    <s v="VIRGEN"/>
    <s v="PP CLARIFICADO"/>
    <s v="."/>
    <s v="BASE ORGANIZADOR  DE 3KG-CARAMELO"/>
    <s v="BASE ORGANIZADOR DE 3KG PASTEL-SANDIA"/>
    <n v="173"/>
    <n v="2"/>
    <n v="16.399999999999999"/>
    <x v="0"/>
    <m/>
    <n v="3"/>
    <n v="1194"/>
    <n v="22172"/>
    <s v="SANDIA"/>
    <n v="8.6999999999999993"/>
    <n v="0"/>
    <n v="0"/>
    <n v="16.954000000000001"/>
    <n v="16.399999999999999"/>
    <n v="98"/>
    <n v="167.34693877551021"/>
    <x v="7"/>
    <x v="0"/>
    <n v="34"/>
    <n v="2"/>
    <n v="28.833333333333332"/>
  </r>
  <r>
    <d v="2025-09-01T07:20:00"/>
    <s v="INYECTADO"/>
    <x v="8"/>
    <x v="186"/>
    <s v="NELSON PINEDO"/>
    <s v="VIRGEN"/>
    <s v="PP CLARIFICADO"/>
    <s v="."/>
    <s v="BASE ORGANIZADOR  DE 3KG-CARAMELO"/>
    <s v="BASE ORGANIZADOR  DE 3KG CARAMELO-FUCSIA"/>
    <n v="531"/>
    <n v="7"/>
    <n v="7.8"/>
    <x v="0"/>
    <m/>
    <n v="8"/>
    <n v="1194"/>
    <n v="22172"/>
    <s v="FUCSIA"/>
    <n v="11.1"/>
    <n v="0"/>
    <n v="0"/>
    <n v="52.037999999999997"/>
    <n v="7.8"/>
    <n v="98"/>
    <n v="79.591836734693871"/>
    <x v="7"/>
    <x v="0"/>
    <n v="34"/>
    <n v="2"/>
    <n v="88.5"/>
  </r>
  <r>
    <d v="2025-09-01T07:20:00"/>
    <s v="INYECTADO"/>
    <x v="8"/>
    <x v="186"/>
    <s v="NELSON PINEDO"/>
    <s v="VIRGEN"/>
    <s v="PP CLARIFICADO"/>
    <s v="."/>
    <s v="BASE ORGANIZADOR  DE 3KG-PASTEL"/>
    <s v="BASE ORGANIZADOR DE 3KG PASTEL-ROSADO"/>
    <n v="43"/>
    <n v="1"/>
    <n v="46.2"/>
    <x v="0"/>
    <m/>
    <n v="1"/>
    <n v="1195"/>
    <n v="22172"/>
    <s v="ROSADO"/>
    <n v="0"/>
    <n v="0"/>
    <n v="0"/>
    <n v="4.2140000000000004"/>
    <n v="46.2"/>
    <n v="98"/>
    <n v="471.42857142857144"/>
    <x v="7"/>
    <x v="0"/>
    <n v="34"/>
    <n v="2"/>
    <n v="7.166666666666667"/>
  </r>
  <r>
    <d v="2025-09-01T07:20:00"/>
    <s v="SOPLADO"/>
    <x v="12"/>
    <x v="186"/>
    <s v="LUIS PINEDO"/>
    <s v="VIRGEN"/>
    <s v="PP SOPLADO"/>
    <s v="."/>
    <s v="FLORERO ROMANO"/>
    <s v="FLORERO ROMANO CARAMELO-VERDE"/>
    <n v="80"/>
    <n v="1"/>
    <n v="7.2"/>
    <x v="0"/>
    <m/>
    <n v="2"/>
    <n v="1187"/>
    <n v="22330"/>
    <s v="VERDE"/>
    <n v="10.6"/>
    <n v="0"/>
    <n v="0"/>
    <n v="6.8"/>
    <n v="7.2"/>
    <n v="85"/>
    <n v="84.705882352941174"/>
    <x v="7"/>
    <x v="0"/>
    <n v="34"/>
    <n v="1"/>
    <n v="6.666666666666667"/>
  </r>
  <r>
    <d v="2025-09-01T07:20:00"/>
    <s v="SOPLADO"/>
    <x v="12"/>
    <x v="186"/>
    <s v="LUIS PINEDO"/>
    <s v="VIRGEN"/>
    <s v="PP SOPLADO"/>
    <s v="."/>
    <s v="FLORERO ROMANO"/>
    <s v="FLORERO ROMANO CARAMELO-FUCSIA"/>
    <n v="26"/>
    <n v="1"/>
    <n v="2.2999999999999998"/>
    <x v="0"/>
    <m/>
    <n v="1"/>
    <n v="1187"/>
    <n v="22330"/>
    <s v="FUCSIA"/>
    <n v="14.4"/>
    <n v="0"/>
    <n v="0"/>
    <n v="2.21"/>
    <n v="2.2999999999999998"/>
    <n v="85"/>
    <n v="27.058823529411764"/>
    <x v="7"/>
    <x v="0"/>
    <n v="34"/>
    <n v="1"/>
    <n v="2.1666666666666665"/>
  </r>
  <r>
    <d v="2025-09-01T07:20:00"/>
    <s v="SOPLADO"/>
    <x v="12"/>
    <x v="186"/>
    <s v="LUIS PINEDO"/>
    <s v="VIRGEN"/>
    <s v="PP SOPLADO"/>
    <s v="."/>
    <s v="FLORERO ROMANO"/>
    <s v="FLORERO ROMANO PASTEL-CREMA"/>
    <n v="63"/>
    <n v="1"/>
    <n v="5.6"/>
    <x v="0"/>
    <m/>
    <n v="1"/>
    <n v="1190"/>
    <n v="22330"/>
    <s v="CREMA"/>
    <n v="6.2"/>
    <n v="0"/>
    <n v="0"/>
    <n v="5.3550000000000004"/>
    <n v="5.6"/>
    <n v="85"/>
    <n v="65.882352941176464"/>
    <x v="7"/>
    <x v="0"/>
    <n v="34"/>
    <n v="1"/>
    <n v="5.25"/>
  </r>
  <r>
    <d v="2025-09-01T07:20:00"/>
    <s v="SOPLADO"/>
    <x v="12"/>
    <x v="186"/>
    <s v="LUIS PINEDO"/>
    <s v="VIRGEN"/>
    <s v="PP SOPLADO"/>
    <s v="."/>
    <s v="FLORERO ITALIANO GRANDE"/>
    <s v="FLORERO ITALIANO GRANDE-BLANCO"/>
    <n v="185"/>
    <n v="2"/>
    <n v="16.3"/>
    <x v="0"/>
    <m/>
    <n v="2"/>
    <n v="1196"/>
    <n v="22330"/>
    <s v="BLANCO"/>
    <n v="6"/>
    <n v="0"/>
    <n v="0"/>
    <n v="16.28"/>
    <n v="16.3"/>
    <n v="88"/>
    <n v="185.22727272727272"/>
    <x v="7"/>
    <x v="0"/>
    <n v="34"/>
    <n v="1"/>
    <n v="15.416666666666666"/>
  </r>
  <r>
    <d v="2025-09-01T07:20:00"/>
    <s v="SOPLADO"/>
    <x v="12"/>
    <x v="189"/>
    <s v="LUIS PINEDO"/>
    <s v="VIRGEN"/>
    <s v="PP SOPLADO"/>
    <s v="."/>
    <s v="FLORERO ITALIANO GRANDE"/>
    <s v="FLORERO ITALIANO GRANDE-BLANCO"/>
    <n v="964"/>
    <n v="11"/>
    <n v="86.8"/>
    <x v="0"/>
    <m/>
    <n v="17"/>
    <n v="1196"/>
    <n v="22331"/>
    <s v="BLANCO"/>
    <n v="37.4"/>
    <n v="0"/>
    <n v="0"/>
    <n v="84.831999999999994"/>
    <n v="86.8"/>
    <n v="88"/>
    <n v="986.36363636363637"/>
    <x v="7"/>
    <x v="0"/>
    <n v="34"/>
    <n v="1"/>
    <n v="80.333333333333329"/>
  </r>
  <r>
    <d v="2025-09-01T07:20:00"/>
    <s v="SOPLADO"/>
    <x v="12"/>
    <x v="190"/>
    <s v="SAID VILLAMIZAR"/>
    <s v="VIRGEN"/>
    <s v="PP SOPLADO"/>
    <s v="."/>
    <s v="FLORERO ITALIANO GRANDE"/>
    <s v="FLORERO ITALIANO GRANDE-BLANCO"/>
    <n v="1012"/>
    <n v="10"/>
    <n v="91.1"/>
    <x v="0"/>
    <m/>
    <n v="18"/>
    <n v="1196"/>
    <n v="22332"/>
    <s v="BLANCO"/>
    <n v="33.4"/>
    <n v="0"/>
    <n v="0"/>
    <n v="89.055999999999997"/>
    <n v="91.1"/>
    <n v="88"/>
    <n v="1035.2272727272727"/>
    <x v="7"/>
    <x v="0"/>
    <n v="34"/>
    <n v="1"/>
    <n v="84.333333333333329"/>
  </r>
  <r>
    <d v="2025-09-01T07:20:00"/>
    <s v="INYECTADO"/>
    <x v="7"/>
    <x v="171"/>
    <s v="CRISALIDA ZAPATA"/>
    <s v="VIRGEN"/>
    <s v="PP CLARIFICADO"/>
    <s v="."/>
    <s v="TAPA DE ORGANIZADOR #3 CARAMELO"/>
    <s v="TAPA DE ORGANIZADOR #3 CARAMELO-FUCSIA"/>
    <n v="183"/>
    <n v="2"/>
    <n v="12.1"/>
    <x v="0"/>
    <m/>
    <n v="2"/>
    <n v="1174"/>
    <n v="22260"/>
    <s v="FUCSIA"/>
    <n v="1.6"/>
    <n v="0"/>
    <n v="0"/>
    <n v="6.9539999999999997"/>
    <n v="12.1"/>
    <n v="38"/>
    <n v="318.42105263157896"/>
    <x v="7"/>
    <x v="0"/>
    <n v="31"/>
    <n v="2"/>
    <n v="30.5"/>
  </r>
  <r>
    <d v="2025-09-01T07:20:00"/>
    <s v="INYECTADO"/>
    <x v="7"/>
    <x v="171"/>
    <s v="CRISALIDA ZAPATA"/>
    <s v="VIRGEN"/>
    <s v="PP CLARIFICADO"/>
    <s v="."/>
    <s v="TAPA DE ORGANIZADOR #3 CARAMELO"/>
    <s v="TAPA DE ORGANIZADOR #3 CARAMELO-AZUL"/>
    <n v="252"/>
    <n v="3"/>
    <n v="16.899999999999999"/>
    <x v="0"/>
    <m/>
    <n v="3"/>
    <n v="1174"/>
    <n v="22260"/>
    <s v="AZUL"/>
    <n v="4.3"/>
    <n v="0"/>
    <n v="0"/>
    <n v="9.5760000000000005"/>
    <n v="16.899999999999999"/>
    <n v="38"/>
    <n v="444.73684210526318"/>
    <x v="7"/>
    <x v="0"/>
    <n v="31"/>
    <n v="2"/>
    <n v="42"/>
  </r>
  <r>
    <d v="2025-09-01T07:20:00"/>
    <s v="INYECTADO"/>
    <x v="7"/>
    <x v="171"/>
    <s v="CRISALIDA ZAPATA"/>
    <s v="VIRGEN"/>
    <s v="PP CLARIFICADO"/>
    <s v="."/>
    <s v="TAPA DE ORGANIZADOR #3 CARAMELO"/>
    <s v="TAPA DE ORGANIZADOR #3 CARAMELO-AMARILLO"/>
    <n v="366"/>
    <n v="3"/>
    <n v="24.2"/>
    <x v="0"/>
    <m/>
    <n v="3"/>
    <n v="1174"/>
    <n v="22260"/>
    <s v="AMARILLO"/>
    <n v="5"/>
    <n v="0"/>
    <n v="0"/>
    <n v="13.907999999999999"/>
    <n v="24.2"/>
    <n v="38"/>
    <n v="636.84210526315792"/>
    <x v="7"/>
    <x v="0"/>
    <n v="31"/>
    <n v="2"/>
    <n v="61"/>
  </r>
  <r>
    <d v="2025-09-01T07:20:00"/>
    <s v="INYECTADO"/>
    <x v="7"/>
    <x v="171"/>
    <s v="CRISALIDA ZAPATA"/>
    <s v="VIRGEN"/>
    <s v="PP CLARIFICADO"/>
    <s v="."/>
    <s v="TAPA DE ORGANIZADOR #3 CARAMELO"/>
    <s v="TAPA DE ORGANIZADOR #3 CARAMELO-VERDE"/>
    <n v="381"/>
    <n v="3"/>
    <n v="25.2"/>
    <x v="0"/>
    <m/>
    <n v="3"/>
    <n v="1174"/>
    <n v="22260"/>
    <s v="VERDE"/>
    <n v="0"/>
    <n v="0"/>
    <n v="0"/>
    <n v="14.478"/>
    <n v="25.2"/>
    <n v="38"/>
    <n v="663.15789473684208"/>
    <x v="7"/>
    <x v="0"/>
    <n v="31"/>
    <n v="2"/>
    <n v="63.5"/>
  </r>
  <r>
    <d v="2025-09-01T07:20:00"/>
    <s v="INYECTADO"/>
    <x v="7"/>
    <x v="172"/>
    <s v="CRISALIDA ZAPATA"/>
    <s v="VIRGEN"/>
    <s v="PP CLARIFICADO"/>
    <s v="."/>
    <s v="TAPA DE ORGANIZADOR #3 CARAMELO"/>
    <s v="TAPA DE ORGANIZADOR #3 CARAMELO-FUCSIA"/>
    <n v="157"/>
    <n v="2"/>
    <n v="10.3"/>
    <x v="0"/>
    <m/>
    <n v="2"/>
    <n v="1174"/>
    <n v="22261"/>
    <s v="FUCSIA"/>
    <n v="0"/>
    <n v="0"/>
    <n v="0"/>
    <n v="5.9660000000000002"/>
    <n v="10.3"/>
    <n v="38"/>
    <n v="271.05263157894734"/>
    <x v="7"/>
    <x v="0"/>
    <n v="31"/>
    <n v="2"/>
    <n v="26.166666666666668"/>
  </r>
  <r>
    <d v="2025-09-01T07:20:00"/>
    <s v="INYECTADO"/>
    <x v="7"/>
    <x v="172"/>
    <s v="CRISALIDA ZAPATA"/>
    <s v="VIRGEN"/>
    <s v="PP CLARIFICADO"/>
    <s v="."/>
    <s v="TAPA DE ORGANIZADOR #3 PASTEL"/>
    <s v="TAPA DE ORGANIZADOR #3-BLANCO"/>
    <n v="872"/>
    <n v="7"/>
    <n v="61.3"/>
    <x v="0"/>
    <m/>
    <n v="7"/>
    <n v="1174"/>
    <n v="22261"/>
    <s v="BLANCO"/>
    <n v="0"/>
    <n v="0"/>
    <n v="0"/>
    <n v="33.136000000000003"/>
    <n v="61.3"/>
    <n v="38"/>
    <n v="1613.1578947368421"/>
    <x v="7"/>
    <x v="0"/>
    <n v="31"/>
    <n v="2"/>
    <n v="145.33333333333334"/>
  </r>
  <r>
    <d v="2025-09-01T07:20:00"/>
    <s v="INYECTADO"/>
    <x v="7"/>
    <x v="172"/>
    <s v="ISABEL LINARIZ "/>
    <s v="VIRGEN"/>
    <s v="PP CLARIFICADO"/>
    <s v="."/>
    <s v="TAPA DE ORGANIZADOR #3 PASTEL"/>
    <s v="TAPA DE ORGANIZADOR #3-BLANCO"/>
    <n v="1458"/>
    <n v="12"/>
    <n v="105.1"/>
    <x v="0"/>
    <m/>
    <n v="13"/>
    <n v="1174"/>
    <n v="22262"/>
    <s v="BLANCO"/>
    <n v="0"/>
    <n v="0"/>
    <n v="0"/>
    <n v="55.404000000000003"/>
    <n v="105.1"/>
    <n v="38"/>
    <n v="2765.7894736842104"/>
    <x v="7"/>
    <x v="0"/>
    <n v="31"/>
    <n v="2"/>
    <n v="243"/>
  </r>
  <r>
    <d v="2025-09-01T07:20:00"/>
    <s v="INYECTADO"/>
    <x v="7"/>
    <x v="180"/>
    <s v="CRISALIDA ZAPATA"/>
    <s v="VIRGEN"/>
    <s v="PP CLARIFICADO"/>
    <s v="."/>
    <s v="TAPA DE ORGANIZADOR #3 PASTEL"/>
    <s v="TAPA DE ORGANIZADOR #3-BLANCO"/>
    <n v="1352"/>
    <n v="12"/>
    <n v="103.7"/>
    <x v="0"/>
    <m/>
    <n v="12"/>
    <n v="1174"/>
    <n v="22263"/>
    <s v="BLANCO"/>
    <n v="2.9"/>
    <n v="0"/>
    <n v="0"/>
    <n v="51.375999999999998"/>
    <n v="103.7"/>
    <n v="38"/>
    <n v="2728.9473684210525"/>
    <x v="7"/>
    <x v="0"/>
    <n v="32"/>
    <n v="2"/>
    <n v="225.33333333333334"/>
  </r>
  <r>
    <d v="2025-09-01T07:20:00"/>
    <s v="INYECTADO"/>
    <x v="7"/>
    <x v="180"/>
    <s v="JUAN MANUEL "/>
    <s v="VIRGEN"/>
    <s v="PP CLARIFICADO"/>
    <s v="."/>
    <s v="TAPA DE ORGANIZADOR #3 PASTEL"/>
    <s v="TAPA DE ORGANIZADOR #3-BLANCO"/>
    <n v="600"/>
    <n v="5"/>
    <n v="44.4"/>
    <x v="1"/>
    <m/>
    <n v="5"/>
    <n v="1174"/>
    <n v="22264"/>
    <s v="BLANCO"/>
    <n v="3"/>
    <n v="0"/>
    <n v="0"/>
    <n v="22.8"/>
    <n v="44.4"/>
    <n v="38"/>
    <n v="1168.421052631579"/>
    <x v="7"/>
    <x v="0"/>
    <n v="32"/>
    <n v="2"/>
    <n v="100"/>
  </r>
  <r>
    <d v="2025-09-01T07:20:00"/>
    <s v="INYECTADO"/>
    <x v="7"/>
    <x v="180"/>
    <s v="JUAN MANUEL "/>
    <s v="VIRGEN"/>
    <s v="PP CLARIFICADO"/>
    <s v="."/>
    <s v="TAPA DE ORGANIZADOR #3 CARAMELO"/>
    <s v="TAPA DE ORGANIZADOR #3 CARAMELO-AMARILLO"/>
    <n v="560"/>
    <n v="5"/>
    <n v="44.4"/>
    <x v="1"/>
    <m/>
    <n v="5"/>
    <n v="1174"/>
    <n v="22264"/>
    <s v="AMARILLO"/>
    <n v="8"/>
    <n v="0"/>
    <n v="0"/>
    <n v="21.28"/>
    <n v="44.4"/>
    <n v="38"/>
    <n v="1168.421052631579"/>
    <x v="7"/>
    <x v="0"/>
    <n v="32"/>
    <n v="2"/>
    <n v="93.333333333333329"/>
  </r>
  <r>
    <d v="2025-09-01T07:20:00"/>
    <s v="INYECTADO"/>
    <x v="7"/>
    <x v="180"/>
    <s v="JUAN MANUEL "/>
    <s v="VIRGEN"/>
    <s v="PP CLARIFICADO"/>
    <s v="."/>
    <s v="TAPA DE ORGANIZADOR #3 CARAMELO"/>
    <s v="TAPA DE ORGANIZADOR #3 CARAMELO-VERDE"/>
    <n v="175"/>
    <n v="2"/>
    <n v="12.6"/>
    <x v="1"/>
    <m/>
    <n v="2"/>
    <n v="1174"/>
    <n v="22264"/>
    <s v="VERDE"/>
    <n v="0"/>
    <n v="0"/>
    <n v="0"/>
    <n v="6.65"/>
    <n v="12.6"/>
    <n v="38"/>
    <n v="331.57894736842104"/>
    <x v="7"/>
    <x v="0"/>
    <n v="32"/>
    <n v="2"/>
    <n v="29.166666666666668"/>
  </r>
  <r>
    <d v="2025-09-01T07:20:00"/>
    <s v="INYECTADO"/>
    <x v="7"/>
    <x v="181"/>
    <s v="CRISALIDA ZAPATA"/>
    <s v="VIRGEN"/>
    <s v="PP CLARIFICADO"/>
    <s v="."/>
    <s v="TAPA DE ORGANIZADOR #3 CARAMELO"/>
    <s v="TAPA DE ORGANIZADOR #3 CARAMELO-VERDE"/>
    <n v="499"/>
    <n v="4"/>
    <n v="37"/>
    <x v="0"/>
    <m/>
    <n v="5"/>
    <n v="1174"/>
    <n v="22265"/>
    <s v="VERDE"/>
    <n v="2.6"/>
    <n v="0"/>
    <n v="0"/>
    <n v="18.962"/>
    <n v="37"/>
    <n v="38"/>
    <n v="973.68421052631584"/>
    <x v="7"/>
    <x v="0"/>
    <n v="32"/>
    <n v="2"/>
    <n v="83.166666666666671"/>
  </r>
  <r>
    <d v="2025-09-01T07:20:00"/>
    <s v="INYECTADO"/>
    <x v="7"/>
    <x v="181"/>
    <s v="CRISALIDA ZAPATA"/>
    <s v="VIRGEN"/>
    <s v="PP CLARIFICADO"/>
    <s v="."/>
    <s v="TAPA DE ORGANIZADOR #3 CARAMELO"/>
    <s v="TAPA DE ORGANIZADOR #3 CARAMELO-AZUL"/>
    <n v="861"/>
    <n v="7"/>
    <n v="62.6"/>
    <x v="0"/>
    <m/>
    <n v="7"/>
    <n v="1174"/>
    <n v="22265"/>
    <s v="AZUL"/>
    <n v="0.8"/>
    <n v="0"/>
    <n v="0"/>
    <n v="32.718000000000004"/>
    <n v="62.6"/>
    <n v="38"/>
    <n v="1647.3684210526317"/>
    <x v="7"/>
    <x v="0"/>
    <n v="32"/>
    <n v="2"/>
    <n v="143.5"/>
  </r>
  <r>
    <d v="2025-09-01T07:20:00"/>
    <s v="INYECTADO"/>
    <x v="7"/>
    <x v="182"/>
    <s v="CRISALIDA ZAPATA"/>
    <s v="VIRGEN"/>
    <s v="PP CLARIFICADO"/>
    <s v="."/>
    <s v="TAPA DE ORGANIZADOR #3 CARAMELO"/>
    <s v="TAPA DE ORGANIZADOR #3 CARAMELO-FUCSIA"/>
    <n v="790"/>
    <n v="7"/>
    <n v="58.4"/>
    <x v="0"/>
    <m/>
    <n v="7"/>
    <n v="1174"/>
    <n v="22266"/>
    <s v="AZUL"/>
    <n v="3.9"/>
    <n v="0"/>
    <n v="0"/>
    <n v="30.02"/>
    <n v="58.4"/>
    <n v="38"/>
    <n v="1536.8421052631579"/>
    <x v="7"/>
    <x v="0"/>
    <n v="32"/>
    <n v="2"/>
    <n v="131.66666666666666"/>
  </r>
  <r>
    <d v="2025-09-01T07:20:00"/>
    <s v="INYECTADO"/>
    <x v="7"/>
    <x v="182"/>
    <s v="CRISALIDA ZAPATA"/>
    <s v="VIRGEN"/>
    <s v="PP CLARIFICADO"/>
    <s v="."/>
    <s v="TAPA DE ORGANIZADOR #3 CARAMELO"/>
    <s v="TAPA DE ORGANIZADOR #3 CARAMELO-LILA"/>
    <n v="450"/>
    <n v="4"/>
    <n v="33.6"/>
    <x v="0"/>
    <m/>
    <n v="4"/>
    <n v="1174"/>
    <n v="22266"/>
    <s v="LILA"/>
    <n v="2.2000000000000002"/>
    <n v="0"/>
    <n v="0"/>
    <n v="17.100000000000001"/>
    <n v="33.6"/>
    <n v="38"/>
    <n v="884.21052631578948"/>
    <x v="7"/>
    <x v="0"/>
    <n v="32"/>
    <n v="2"/>
    <n v="75"/>
  </r>
  <r>
    <d v="2025-09-01T07:20:00"/>
    <s v="INYECTADO"/>
    <x v="7"/>
    <x v="183"/>
    <s v="CRISALIDA ZAPATA"/>
    <s v="VIRGEN"/>
    <s v="PP CLARIFICADO"/>
    <s v="."/>
    <s v="TAPA DE ORGANIZADOR #3 CARAMELO"/>
    <s v="TAPA DE ORGANIZADOR #3 CARAMELO-LILA"/>
    <n v="239"/>
    <n v="3"/>
    <n v="19"/>
    <x v="0"/>
    <m/>
    <n v="3"/>
    <n v="1174"/>
    <n v="22267"/>
    <s v="LILA"/>
    <n v="3.7"/>
    <n v="0"/>
    <n v="0"/>
    <n v="9.0820000000000007"/>
    <n v="19"/>
    <n v="38"/>
    <n v="500"/>
    <x v="7"/>
    <x v="0"/>
    <n v="32"/>
    <n v="2"/>
    <n v="39.833333333333336"/>
  </r>
  <r>
    <d v="2025-09-01T07:20:00"/>
    <s v="INYECTADO"/>
    <x v="7"/>
    <x v="183"/>
    <s v="CRISALIDA ZAPATA"/>
    <s v="VIRGEN"/>
    <s v="PP CLARIFICADO"/>
    <s v="."/>
    <s v="BASE ORGANIZADOR DE 10KG"/>
    <s v="BASE ORGANIZADOR DE 10KG-TRANSPARENTE"/>
    <n v="89"/>
    <n v="1"/>
    <n v="29.7"/>
    <x v="0"/>
    <m/>
    <n v="4"/>
    <n v="1174"/>
    <n v="22267"/>
    <s v="TRANSPARENTE"/>
    <n v="0"/>
    <n v="0"/>
    <n v="0"/>
    <n v="29.637"/>
    <n v="29.7"/>
    <n v="333"/>
    <n v="89.189189189189193"/>
    <x v="7"/>
    <x v="0"/>
    <n v="32"/>
    <n v="1"/>
    <n v="7.416666666666667"/>
  </r>
  <r>
    <d v="2025-09-01T07:20:00"/>
    <s v="INYECTADO"/>
    <x v="7"/>
    <x v="184"/>
    <s v="CRISALIDA ZAPATA"/>
    <s v="VIRGEN"/>
    <s v="PP CLARIFICADO"/>
    <s v="."/>
    <s v="BASE ORGANIZADOR DE 10KG"/>
    <s v="BASE ORGANIZADOR DE 10KG-TRANSPARENTE"/>
    <n v="890"/>
    <n v="11"/>
    <n v="276"/>
    <x v="0"/>
    <m/>
    <n v="35"/>
    <n v="1183"/>
    <n v="22268"/>
    <s v="TRANSPARENTE"/>
    <n v="17"/>
    <n v="0"/>
    <n v="0"/>
    <n v="296.37"/>
    <n v="276"/>
    <n v="333"/>
    <n v="828.82882882882882"/>
    <x v="7"/>
    <x v="0"/>
    <n v="32"/>
    <n v="1"/>
    <n v="74.166666666666671"/>
  </r>
  <r>
    <d v="2025-09-01T07:20:00"/>
    <s v="INYECTADO"/>
    <x v="7"/>
    <x v="184"/>
    <s v="GABRIEL REQUENA"/>
    <s v="VIRGEN"/>
    <s v="PP CLARIFICADO"/>
    <s v="."/>
    <s v="BASE ORGANIZADOR DE 10KG"/>
    <s v="BASE ORGANIZADOR DE 10KG-TRANSPARENTE"/>
    <n v="917"/>
    <n v="12"/>
    <n v="307.5"/>
    <x v="1"/>
    <m/>
    <n v="38"/>
    <n v="1183"/>
    <n v="22269"/>
    <s v="TRANSPARENTE"/>
    <n v="5.3"/>
    <n v="0"/>
    <n v="0"/>
    <n v="305.36099999999999"/>
    <n v="307.5"/>
    <n v="333"/>
    <n v="923.4234234234234"/>
    <x v="7"/>
    <x v="0"/>
    <n v="32"/>
    <n v="1"/>
    <n v="76.416666666666671"/>
  </r>
  <r>
    <d v="2025-09-01T07:20:00"/>
    <s v="INYECTADO"/>
    <x v="7"/>
    <x v="185"/>
    <s v="ISABEL LINARIZ "/>
    <s v="VIRGEN"/>
    <s v="PP CLARIFICADO"/>
    <s v="."/>
    <s v="BASE ORGANIZADOR DE 10KG"/>
    <s v="BASE ORGANIZADOR DE 10KG-TRANSPARENTE"/>
    <n v="639"/>
    <n v="8"/>
    <n v="228.5"/>
    <x v="0"/>
    <m/>
    <n v="27"/>
    <n v="1183"/>
    <n v="22270"/>
    <s v="TRANSPARENTE"/>
    <n v="9.8000000000000007"/>
    <n v="0"/>
    <n v="0"/>
    <n v="212.78700000000001"/>
    <n v="228.5"/>
    <n v="333"/>
    <n v="686.18618618618621"/>
    <x v="7"/>
    <x v="0"/>
    <n v="32"/>
    <n v="1"/>
    <n v="53.25"/>
  </r>
  <r>
    <d v="2025-09-01T07:20:00"/>
    <s v="INYECTADO"/>
    <x v="7"/>
    <x v="173"/>
    <s v="ISABEL LINARIZ "/>
    <s v="VIRGEN"/>
    <s v="PP CLARIFICADO"/>
    <s v="."/>
    <s v="BASE ORGANIZADOR DE 10KG"/>
    <s v="BASE ORGANIZADOR DE 10KG-TRANSPARENTE"/>
    <n v="792"/>
    <n v="11"/>
    <n v="256.10000000000002"/>
    <x v="0"/>
    <m/>
    <n v="34"/>
    <n v="1183"/>
    <n v="22271"/>
    <s v="TRANSPARENTE"/>
    <n v="280.89999999999998"/>
    <n v="0"/>
    <n v="0"/>
    <n v="263.73599999999999"/>
    <n v="256.10000000000002"/>
    <n v="333"/>
    <n v="769.0690690690692"/>
    <x v="7"/>
    <x v="0"/>
    <n v="33"/>
    <n v="1"/>
    <n v="66"/>
  </r>
  <r>
    <d v="2025-09-01T07:20:00"/>
    <s v="INYECTADO"/>
    <x v="7"/>
    <x v="174"/>
    <s v="CARMINA"/>
    <s v="VIRGEN"/>
    <s v="PP CLARIFICADO"/>
    <s v="."/>
    <s v="TAPA DE ORGANIZADOR #2"/>
    <s v="TAPA DE ORGANIZADOR #2-BLANCO"/>
    <n v="340"/>
    <n v="3"/>
    <n v="14.3"/>
    <x v="0"/>
    <m/>
    <n v="3"/>
    <n v="1188"/>
    <n v="22272"/>
    <s v="BLANCO"/>
    <n v="0"/>
    <n v="0"/>
    <n v="0"/>
    <n v="7.14"/>
    <n v="14.3"/>
    <n v="21"/>
    <n v="680.95238095238096"/>
    <x v="7"/>
    <x v="0"/>
    <n v="33"/>
    <n v="2"/>
    <n v="56.666666666666664"/>
  </r>
  <r>
    <d v="2025-09-01T07:20:00"/>
    <s v="INYECTADO"/>
    <x v="7"/>
    <x v="174"/>
    <s v="JOSDER GONZALEZ"/>
    <s v="VIRGEN"/>
    <s v="PP CLARIFICADO"/>
    <s v="."/>
    <s v="TAPA DE ORGANIZADOR #2"/>
    <s v="TAPA DE ORGANIZADOR #2-BLANCO"/>
    <n v="397"/>
    <n v="4"/>
    <n v="15.4"/>
    <x v="1"/>
    <m/>
    <n v="4"/>
    <n v="1197"/>
    <n v="22273"/>
    <s v="BLANCO"/>
    <n v="3.4"/>
    <n v="0"/>
    <n v="0"/>
    <n v="8.3369999999999997"/>
    <n v="15.4"/>
    <n v="21"/>
    <n v="733.33333333333337"/>
    <x v="7"/>
    <x v="0"/>
    <n v="33"/>
    <n v="2"/>
    <n v="66.166666666666671"/>
  </r>
  <r>
    <d v="2025-09-01T07:20:00"/>
    <s v="INYECTADO"/>
    <x v="7"/>
    <x v="175"/>
    <s v="JUANA CRUCES"/>
    <s v="VIRGEN"/>
    <s v="PP CLARIFICADO"/>
    <s v="."/>
    <s v="TAPA DE ORGANIZADOR #2"/>
    <s v="TAPA DE ORGANIZADOR #2-BLANCO"/>
    <n v="1320"/>
    <n v="11"/>
    <n v="48.1"/>
    <x v="0"/>
    <m/>
    <n v="11"/>
    <n v="1197"/>
    <n v="22274"/>
    <s v="BLANCO"/>
    <n v="0.6"/>
    <n v="0"/>
    <n v="0"/>
    <n v="27.72"/>
    <n v="48.1"/>
    <n v="21"/>
    <n v="2290.4761904761904"/>
    <x v="7"/>
    <x v="0"/>
    <n v="33"/>
    <n v="2"/>
    <n v="220"/>
  </r>
  <r>
    <d v="2025-09-01T07:20:00"/>
    <s v="INYECTADO"/>
    <x v="7"/>
    <x v="176"/>
    <s v="CRISALIDA ZAPATA"/>
    <s v="VIRGEN"/>
    <s v="PP CLARIFICADO"/>
    <s v="."/>
    <s v="TAPA DE ORGANIZADOR #2"/>
    <s v="TAPA DE ORGANIZADOR #2-BLANCO"/>
    <n v="1165"/>
    <n v="11"/>
    <n v="51.6"/>
    <x v="0"/>
    <m/>
    <n v="11"/>
    <n v="1197"/>
    <n v="22275"/>
    <s v="BLANCO"/>
    <n v="3"/>
    <n v="0"/>
    <n v="0"/>
    <n v="24.465"/>
    <n v="51.6"/>
    <n v="21"/>
    <n v="2457.1428571428573"/>
    <x v="7"/>
    <x v="0"/>
    <n v="33"/>
    <n v="2"/>
    <n v="194.16666666666666"/>
  </r>
  <r>
    <d v="2025-09-01T07:20:00"/>
    <s v="INYECTADO"/>
    <x v="7"/>
    <x v="177"/>
    <s v="CRISALIDA ZAPATA"/>
    <s v="VIRGEN"/>
    <s v="PP CLARIFICADO"/>
    <s v="."/>
    <s v="TAPA DE ORGANIZADOR #2"/>
    <s v="TAPA DE ORGANIZADOR #2-BLANCO"/>
    <n v="1103"/>
    <n v="11"/>
    <n v="52.9"/>
    <x v="0"/>
    <m/>
    <n v="10"/>
    <n v="1197"/>
    <n v="22276"/>
    <s v="BLANCO"/>
    <n v="2.9"/>
    <n v="0"/>
    <n v="0"/>
    <n v="23.163"/>
    <n v="52.9"/>
    <n v="21"/>
    <n v="2519.0476190476193"/>
    <x v="7"/>
    <x v="0"/>
    <n v="33"/>
    <n v="2"/>
    <n v="183.83333333333334"/>
  </r>
  <r>
    <d v="2025-09-01T07:20:00"/>
    <s v="INYECTADO"/>
    <x v="7"/>
    <x v="177"/>
    <s v="JUAN MANUEL "/>
    <s v="VIRGEN"/>
    <s v="PP CLARIFICADO"/>
    <s v="."/>
    <s v="TAPA DE ORGANIZADOR #2"/>
    <s v="TAPA DE ORGANIZADOR #2-BLANCO"/>
    <n v="1320"/>
    <n v="11"/>
    <n v="71.099999999999994"/>
    <x v="1"/>
    <m/>
    <n v="11"/>
    <n v="1197"/>
    <n v="22277"/>
    <s v="BLANCO"/>
    <n v="1"/>
    <n v="0"/>
    <n v="0"/>
    <n v="27.72"/>
    <n v="71.099999999999994"/>
    <n v="21"/>
    <n v="3385.7142857142858"/>
    <x v="7"/>
    <x v="0"/>
    <n v="33"/>
    <n v="2"/>
    <n v="220"/>
  </r>
  <r>
    <d v="2025-09-01T07:20:00"/>
    <s v="INYECTADO"/>
    <x v="7"/>
    <x v="178"/>
    <s v="CRISALIDA ZAPATA"/>
    <s v="VIRGEN"/>
    <s v="PP CLARIFICADO"/>
    <s v="."/>
    <s v="TAPA DE ORGANIZADOR #2"/>
    <s v="TAPA DE ORGANIZADOR #2 CARAMELO-FUCSIA"/>
    <n v="600"/>
    <n v="6"/>
    <n v="27.6"/>
    <x v="0"/>
    <m/>
    <n v="5"/>
    <n v="1188"/>
    <n v="22278"/>
    <s v="FUCSIA"/>
    <n v="14.7"/>
    <n v="0"/>
    <n v="0"/>
    <n v="12.6"/>
    <n v="27.6"/>
    <n v="21"/>
    <n v="1314.2857142857142"/>
    <x v="7"/>
    <x v="0"/>
    <n v="33"/>
    <n v="2"/>
    <n v="100"/>
  </r>
  <r>
    <d v="2025-09-01T07:20:00"/>
    <s v="INYECTADO"/>
    <x v="7"/>
    <x v="179"/>
    <s v="CRISALIDA ZAPATA"/>
    <s v="VIRGEN"/>
    <s v="PP CLARIFICADO"/>
    <s v="."/>
    <s v="TAPA DE ORGANIZADOR #2"/>
    <s v="TAPA DE ORGANIZADOR #2 CARAMELO-FUCSIA"/>
    <n v="509"/>
    <n v="7"/>
    <n v="21.4"/>
    <x v="0"/>
    <m/>
    <n v="5"/>
    <n v="1188"/>
    <n v="22279"/>
    <s v="FUCSIA"/>
    <n v="5"/>
    <n v="0"/>
    <n v="0"/>
    <n v="10.689"/>
    <n v="21.4"/>
    <n v="21"/>
    <n v="1019.047619047619"/>
    <x v="7"/>
    <x v="0"/>
    <n v="34"/>
    <n v="2"/>
    <n v="84.833333333333329"/>
  </r>
  <r>
    <d v="2025-09-01T07:20:00"/>
    <s v="INYECTADO"/>
    <x v="7"/>
    <x v="179"/>
    <s v="CRISALIDA ZAPATA"/>
    <s v="VIRGEN"/>
    <s v="PP CLARIFICADO"/>
    <s v="."/>
    <s v="TAPA DE ORGANIZADOR #2"/>
    <s v="TAPA DE ORGANIZADOR #2 CARAMELO-AMARILLO"/>
    <n v="448"/>
    <n v="4"/>
    <n v="19.600000000000001"/>
    <x v="0"/>
    <m/>
    <n v="4"/>
    <n v="1188"/>
    <n v="22279"/>
    <s v="AMARILLO"/>
    <n v="0.5"/>
    <n v="0"/>
    <n v="0"/>
    <n v="9.4079999999999995"/>
    <n v="19.600000000000001"/>
    <n v="21"/>
    <n v="933.33333333333337"/>
    <x v="7"/>
    <x v="0"/>
    <n v="34"/>
    <n v="2"/>
    <n v="74.666666666666671"/>
  </r>
  <r>
    <d v="2025-09-01T07:20:00"/>
    <s v="INYECTADO"/>
    <x v="7"/>
    <x v="186"/>
    <s v="CRISALIDA ZAPATA"/>
    <s v="VIRGEN"/>
    <s v="PP CLARIFICADO"/>
    <s v="."/>
    <s v="TAPA DE ORGANIZADOR #2"/>
    <s v="TAPA DE ORGANIZADOR #2 CARAMELO-AMARILLO"/>
    <n v="680"/>
    <n v="7"/>
    <n v="29.2"/>
    <x v="0"/>
    <m/>
    <n v="7"/>
    <n v="1188"/>
    <n v="22280"/>
    <s v="AMARILLO"/>
    <n v="1.4"/>
    <n v="0"/>
    <n v="0"/>
    <n v="14.28"/>
    <n v="29.2"/>
    <n v="21"/>
    <n v="1390.4761904761904"/>
    <x v="7"/>
    <x v="0"/>
    <n v="34"/>
    <n v="2"/>
    <n v="113.33333333333333"/>
  </r>
  <r>
    <d v="2025-09-01T07:20:00"/>
    <s v="INYECTADO"/>
    <x v="7"/>
    <x v="186"/>
    <s v="CRISALIDA ZAPATA"/>
    <s v="VIRGEN"/>
    <s v="PP CLARIFICADO"/>
    <s v="."/>
    <s v="TAPA DE ORGANIZADOR #2"/>
    <s v="TAPA DE ORGANIZADOR #2 CARAMELO-VERDE"/>
    <n v="561"/>
    <n v="5"/>
    <n v="24.6"/>
    <x v="0"/>
    <m/>
    <n v="5"/>
    <n v="1188"/>
    <n v="22280"/>
    <s v="VERDE"/>
    <n v="0"/>
    <n v="0"/>
    <n v="0"/>
    <n v="11.781000000000001"/>
    <n v="24.6"/>
    <n v="21"/>
    <n v="1171.4285714285713"/>
    <x v="7"/>
    <x v="0"/>
    <n v="34"/>
    <n v="2"/>
    <n v="93.5"/>
  </r>
  <r>
    <d v="2025-09-01T07:20:00"/>
    <s v="INYECTADO"/>
    <x v="7"/>
    <x v="186"/>
    <s v="JOSDER GONZALEZ"/>
    <s v="VIRGEN"/>
    <s v="PP CLARIFICADO"/>
    <s v="."/>
    <s v="TAPA DE ORGANIZADOR #2"/>
    <s v="TAPA DE ORGANIZADOR #2 CARAMELO-VERDE"/>
    <n v="310"/>
    <n v="3"/>
    <n v="13.6"/>
    <x v="1"/>
    <m/>
    <n v="4"/>
    <n v="1188"/>
    <n v="22281"/>
    <s v="VERDE"/>
    <n v="2.2999999999999998"/>
    <n v="0"/>
    <n v="0"/>
    <n v="6.51"/>
    <n v="13.6"/>
    <n v="21"/>
    <n v="647.61904761904759"/>
    <x v="7"/>
    <x v="0"/>
    <n v="34"/>
    <n v="2"/>
    <n v="51.666666666666664"/>
  </r>
  <r>
    <d v="2025-09-01T07:20:00"/>
    <s v="INYECTADO"/>
    <x v="7"/>
    <x v="186"/>
    <s v="JOSDER GONZALEZ"/>
    <s v="VIRGEN"/>
    <s v="PP CLARIFICADO"/>
    <s v="."/>
    <s v="TAPA DE ORGANIZADOR #2"/>
    <s v="TAPA DE ORGANIZADOR #2 CARAMELO-AZUL"/>
    <n v="849"/>
    <n v="9"/>
    <n v="37.299999999999997"/>
    <x v="1"/>
    <m/>
    <n v="7"/>
    <n v="1188"/>
    <n v="22281"/>
    <s v="AZUL"/>
    <n v="2.8"/>
    <n v="0"/>
    <n v="0"/>
    <n v="17.829000000000001"/>
    <n v="37.299999999999997"/>
    <n v="21"/>
    <n v="1776.1904761904761"/>
    <x v="7"/>
    <x v="0"/>
    <n v="34"/>
    <n v="2"/>
    <n v="141.5"/>
  </r>
  <r>
    <d v="2025-09-01T07:20:00"/>
    <s v="INYECTADO"/>
    <x v="7"/>
    <x v="189"/>
    <s v="CRISALIDA ZAPATA"/>
    <s v="VIRGEN"/>
    <s v="PP CLARIFICADO"/>
    <s v="."/>
    <s v="TAPA DE ORGANIZADOR #2"/>
    <s v="TAPA DE ORGANIZADOR #2 CARAMELO-LILA"/>
    <n v="580"/>
    <n v="6"/>
    <n v="25.5"/>
    <x v="0"/>
    <m/>
    <n v="5"/>
    <n v="1188"/>
    <n v="22282"/>
    <s v="LILA"/>
    <n v="4"/>
    <n v="0"/>
    <n v="0"/>
    <n v="12.18"/>
    <n v="25.5"/>
    <n v="21"/>
    <n v="1214.2857142857142"/>
    <x v="7"/>
    <x v="0"/>
    <n v="34"/>
    <n v="2"/>
    <n v="96.666666666666671"/>
  </r>
  <r>
    <d v="2025-09-01T07:20:00"/>
    <s v="INYECTADO"/>
    <x v="7"/>
    <x v="189"/>
    <s v="CRISALIDA ZAPATA"/>
    <s v="VIRGEN"/>
    <s v="PP CLARIFICADO"/>
    <s v="."/>
    <s v="TAPA DE ORGANIZADOR #2"/>
    <s v="TAPA DE ORGANIZADOR #2 CARAMELO-ROJO"/>
    <n v="565"/>
    <n v="5"/>
    <n v="24.8"/>
    <x v="0"/>
    <m/>
    <n v="5"/>
    <n v="1188"/>
    <n v="22282"/>
    <s v="ROJO"/>
    <n v="0.7"/>
    <n v="0"/>
    <n v="0"/>
    <n v="11.865"/>
    <n v="24.8"/>
    <n v="21"/>
    <n v="1180.952380952381"/>
    <x v="7"/>
    <x v="0"/>
    <n v="34"/>
    <n v="2"/>
    <n v="94.166666666666671"/>
  </r>
  <r>
    <d v="2025-09-01T07:20:00"/>
    <s v="INYECTADO"/>
    <x v="4"/>
    <x v="190"/>
    <s v="ISABEL LINARIZ "/>
    <s v="SEGUNDA"/>
    <s v="."/>
    <s v="ALTA INYECCION"/>
    <s v="ASA CANASTA CANDY"/>
    <s v="ASAS DE BALDE CANCUN-BLANCO"/>
    <n v="483"/>
    <n v="4"/>
    <n v="17.399999999999999"/>
    <x v="0"/>
    <m/>
    <n v="4"/>
    <m/>
    <n v="20479"/>
    <s v="BLANCO"/>
    <n v="2.6"/>
    <n v="0"/>
    <n v="0"/>
    <n v="4.83"/>
    <n v="17.399999999999999"/>
    <n v="10"/>
    <n v="1740"/>
    <x v="7"/>
    <x v="0"/>
    <n v="34"/>
    <n v="4"/>
    <n v="161"/>
  </r>
  <r>
    <d v="2025-09-01T07:20:00"/>
    <s v="INYECTADO"/>
    <x v="4"/>
    <x v="191"/>
    <s v="JUANA CRUCES"/>
    <s v="SEGUNDA"/>
    <s v="."/>
    <s v="ALTA INYECCION"/>
    <s v="ASA CANASTA CANDY"/>
    <s v="ASAS DE BALDE CANCUN-BLANCO"/>
    <n v="1077"/>
    <n v="12"/>
    <n v="38.799999999999997"/>
    <x v="0"/>
    <m/>
    <n v="6"/>
    <m/>
    <n v="20480"/>
    <s v="BLANCO"/>
    <n v="8"/>
    <n v="0"/>
    <n v="0"/>
    <n v="10.77"/>
    <n v="38.799999999999997"/>
    <n v="10"/>
    <n v="3880"/>
    <x v="7"/>
    <x v="0"/>
    <n v="34"/>
    <n v="4"/>
    <n v="359"/>
  </r>
  <r>
    <d v="2025-09-01T07:20:00"/>
    <s v="INYECTADO"/>
    <x v="4"/>
    <x v="192"/>
    <s v="CRISALIDA ZAPATA"/>
    <s v="SEGUNDA"/>
    <s v="."/>
    <s v="ALTA INYECCION"/>
    <s v="ASA CANASTA CANDY"/>
    <s v="ASAS DE BALDE CANCUN-BLANCO"/>
    <n v="891"/>
    <n v="9"/>
    <n v="32.1"/>
    <x v="0"/>
    <m/>
    <n v="4"/>
    <m/>
    <n v="20481"/>
    <s v="BLANCO"/>
    <n v="4.9000000000000004"/>
    <n v="0"/>
    <n v="0"/>
    <n v="8.91"/>
    <n v="32.1"/>
    <n v="10"/>
    <n v="3210"/>
    <x v="7"/>
    <x v="0"/>
    <n v="35"/>
    <n v="4"/>
    <n v="297"/>
  </r>
  <r>
    <d v="2025-09-01T07:20:00"/>
    <s v="INYECTADO"/>
    <x v="5"/>
    <x v="193"/>
    <s v="JUANA CRUCES"/>
    <s v="VIRGEN"/>
    <s v="ALTA INYECCION"/>
    <s v="."/>
    <s v="ASAS ORGANIZADOR 2 Y 3 SOLIDO"/>
    <s v="ASAS DE ORGANIZADOR 2 Y 3-AMARILLO"/>
    <n v="243"/>
    <n v="3"/>
    <n v="7.8"/>
    <x v="0"/>
    <m/>
    <n v="2"/>
    <m/>
    <n v="22511"/>
    <s v="LILA"/>
    <n v="2.5"/>
    <n v="0"/>
    <n v="0"/>
    <n v="2.673"/>
    <n v="7.8"/>
    <n v="11"/>
    <n v="709.09090909090912"/>
    <x v="7"/>
    <x v="0"/>
    <n v="34"/>
    <n v="3"/>
    <n v="60.75"/>
  </r>
  <r>
    <d v="2025-09-01T07:20:00"/>
    <s v="INYECTADO"/>
    <x v="5"/>
    <x v="193"/>
    <s v="JUANA CRUCES"/>
    <s v="VIRGEN"/>
    <s v="ALTA INYECCION"/>
    <s v="."/>
    <s v="ASAS ORGANIZADOR 2 Y 3 SOLIDO"/>
    <s v="ASAS DE ORGANIZADOR 2 Y 3-FUCSIA"/>
    <n v="1137"/>
    <n v="8"/>
    <n v="36.4"/>
    <x v="0"/>
    <m/>
    <n v="5"/>
    <m/>
    <n v="22511"/>
    <s v="ROSADO"/>
    <n v="16.5"/>
    <n v="0"/>
    <n v="0"/>
    <n v="12.507"/>
    <n v="36.4"/>
    <n v="11"/>
    <n v="3309.090909090909"/>
    <x v="7"/>
    <x v="0"/>
    <n v="34"/>
    <n v="3"/>
    <n v="284.25"/>
  </r>
  <r>
    <d v="2025-09-01T07:20:00"/>
    <s v="INYECTADO"/>
    <x v="5"/>
    <x v="194"/>
    <s v="LEYDI VALLEZ"/>
    <s v="VIRGEN"/>
    <s v="ALTA INYECCION"/>
    <s v="."/>
    <s v="ASAS ORGANIZADOR 2 Y 3 SOLIDO"/>
    <s v="ASAS DE ORGANIZADOR 2 Y 3-AMARILLO NEON"/>
    <n v="565"/>
    <n v="5"/>
    <n v="18.7"/>
    <x v="0"/>
    <m/>
    <n v="3"/>
    <n v="1201"/>
    <n v="22512"/>
    <s v="AMARILLO"/>
    <n v="9.6"/>
    <n v="0"/>
    <n v="0"/>
    <n v="6.2149999999999999"/>
    <n v="18.7"/>
    <n v="11"/>
    <n v="1700"/>
    <x v="7"/>
    <x v="0"/>
    <n v="35"/>
    <n v="3"/>
    <n v="141.25"/>
  </r>
  <r>
    <d v="2025-09-01T07:20:00"/>
    <s v="INYECTADO"/>
    <x v="5"/>
    <x v="194"/>
    <s v="LEYDI VALLEZ"/>
    <s v="VIRGEN"/>
    <s v="ALTA INYECCION"/>
    <s v="."/>
    <s v="ASAS ORGANIZADOR 2 Y 3 SOLIDO"/>
    <s v="ASAS DE ORGANIZADOR 2 Y 3-VERDE NEON"/>
    <n v="178"/>
    <n v="3"/>
    <n v="5.7"/>
    <x v="0"/>
    <m/>
    <n v="2"/>
    <n v="1201"/>
    <n v="22512"/>
    <s v="VERDE"/>
    <n v="2.7"/>
    <n v="0"/>
    <n v="0"/>
    <n v="1.958"/>
    <n v="5.7"/>
    <n v="11"/>
    <n v="518.18181818181813"/>
    <x v="7"/>
    <x v="0"/>
    <n v="35"/>
    <n v="3"/>
    <n v="44.5"/>
  </r>
  <r>
    <d v="2025-09-01T07:20:00"/>
    <s v="INYECTADO"/>
    <x v="5"/>
    <x v="194"/>
    <s v="JOSDER GONZALEZ"/>
    <s v="VIRGEN"/>
    <s v="ALTA INYECCION"/>
    <s v="."/>
    <s v="ASAS ORGANIZADOR 2 Y 3 SOLIDO"/>
    <s v="ASAS DE ORGANIZADOR 2 Y 3-VERDE NEON"/>
    <n v="387"/>
    <n v="3"/>
    <n v="12.4"/>
    <x v="1"/>
    <m/>
    <n v="3"/>
    <n v="1201"/>
    <n v="22513"/>
    <s v="VERDE"/>
    <n v="6.8"/>
    <n v="0"/>
    <n v="0"/>
    <n v="4.2569999999999997"/>
    <n v="12.4"/>
    <n v="11"/>
    <n v="1127.2727272727273"/>
    <x v="7"/>
    <x v="0"/>
    <n v="35"/>
    <n v="3"/>
    <n v="96.75"/>
  </r>
  <r>
    <d v="2025-09-01T07:20:00"/>
    <s v="INYECTADO"/>
    <x v="5"/>
    <x v="194"/>
    <s v="JOSDER GONZALEZ"/>
    <s v="VIRGEN"/>
    <s v="ALTA INYECCION"/>
    <s v="."/>
    <s v="ASAS ORGANIZADOR 2 Y 3 SOLIDO"/>
    <s v="ASAS DE ORGANIZADOR 2 Y 3-CELESTE PASTEL"/>
    <n v="559"/>
    <n v="2"/>
    <n v="17.899999999999999"/>
    <x v="1"/>
    <m/>
    <n v="2"/>
    <m/>
    <n v="22513"/>
    <s v="CELESTE"/>
    <n v="7.7"/>
    <n v="0"/>
    <n v="0"/>
    <n v="6.149"/>
    <n v="17.899999999999999"/>
    <n v="11"/>
    <n v="1627.2727272727273"/>
    <x v="7"/>
    <x v="0"/>
    <n v="35"/>
    <n v="3"/>
    <n v="139.75"/>
  </r>
  <r>
    <d v="2025-09-01T07:20:00"/>
    <s v="INYECTADO"/>
    <x v="5"/>
    <x v="194"/>
    <s v="JOSDER GONZALEZ"/>
    <s v="VIRGEN"/>
    <s v="ALTA INYECCION"/>
    <s v="."/>
    <s v="ASAS ORGANIZADOR 2 Y 3 PASTEL"/>
    <s v="ASAS DE ORGANIZADOR 2 Y 3-AZURE"/>
    <n v="831"/>
    <n v="3"/>
    <n v="26.6"/>
    <x v="1"/>
    <m/>
    <n v="3"/>
    <m/>
    <n v="22513"/>
    <s v="AZURE"/>
    <n v="7.7"/>
    <n v="0"/>
    <n v="0"/>
    <n v="9.141"/>
    <n v="26.6"/>
    <n v="11"/>
    <n v="2418.181818181818"/>
    <x v="7"/>
    <x v="0"/>
    <n v="35"/>
    <n v="3"/>
    <n v="207.75"/>
  </r>
  <r>
    <d v="2025-09-01T07:20:00"/>
    <s v="INYECTADO"/>
    <x v="5"/>
    <x v="195"/>
    <s v="CRISALIDA ZAPATA"/>
    <s v="VIRGEN"/>
    <s v="ALTA INYECCION"/>
    <s v="."/>
    <s v="ASAS ORGANIZADOR 2 Y 3 PASTEL"/>
    <s v="ASAS DE ORGANIZADOR 2 Y 3-AZURE"/>
    <n v="290"/>
    <n v="2"/>
    <n v="9.3000000000000007"/>
    <x v="0"/>
    <m/>
    <n v="2"/>
    <m/>
    <n v="22514"/>
    <s v="AZURE"/>
    <n v="8.6"/>
    <n v="0"/>
    <n v="0"/>
    <n v="3.19"/>
    <n v="9.3000000000000007"/>
    <n v="11"/>
    <n v="845.4545454545455"/>
    <x v="7"/>
    <x v="0"/>
    <n v="35"/>
    <n v="3"/>
    <n v="72.5"/>
  </r>
  <r>
    <d v="2025-09-01T07:20:00"/>
    <s v="INYECTADO"/>
    <x v="5"/>
    <x v="195"/>
    <s v="CRISALIDA ZAPATA"/>
    <s v="VIRGEN"/>
    <s v="ALTA INYECCION"/>
    <s v="."/>
    <s v="ASAS ORGANIZADOR 2 Y 3 SOLIDO"/>
    <s v="ASAS DE ORGANIZADOR 2 Y 3-LILA PASTEL"/>
    <n v="978"/>
    <n v="7"/>
    <n v="31.3"/>
    <x v="0"/>
    <m/>
    <n v="4"/>
    <m/>
    <n v="22514"/>
    <s v="LILA"/>
    <n v="11.4"/>
    <n v="0"/>
    <n v="0"/>
    <n v="10.757999999999999"/>
    <n v="31.3"/>
    <n v="11"/>
    <n v="2845.4545454545455"/>
    <x v="7"/>
    <x v="0"/>
    <n v="35"/>
    <n v="3"/>
    <n v="244.5"/>
  </r>
  <r>
    <d v="2025-09-01T07:20:00"/>
    <s v="INYECTADO"/>
    <x v="5"/>
    <x v="195"/>
    <s v="CRISALIDA ZAPATA"/>
    <s v="VIRGEN"/>
    <s v="ALTA INYECCION"/>
    <s v="."/>
    <s v="ASAS ORGANIZADOR 2 Y 3 SOLIDO"/>
    <s v="ASAS DE ORGANIZADOR 2 Y 3-VIOLETA NEON"/>
    <n v="271"/>
    <n v="2"/>
    <n v="8.6999999999999993"/>
    <x v="0"/>
    <m/>
    <n v="2"/>
    <n v="1201"/>
    <n v="22514"/>
    <s v="MORADO NEON"/>
    <n v="6.5"/>
    <n v="0"/>
    <n v="0"/>
    <n v="2.9809999999999999"/>
    <n v="8.6999999999999993"/>
    <n v="11"/>
    <n v="790.90909090909088"/>
    <x v="7"/>
    <x v="0"/>
    <n v="35"/>
    <n v="3"/>
    <n v="67.75"/>
  </r>
  <r>
    <d v="2025-09-01T07:20:00"/>
    <s v="INYECTADO"/>
    <x v="5"/>
    <x v="196"/>
    <s v="CARMINA"/>
    <s v="VIRGEN"/>
    <s v="ALTA INYECCION"/>
    <s v="."/>
    <s v="ASAS ORGANIZADOR 2 Y 3 SOLIDO"/>
    <s v="ASAS DE ORGANIZADOR 2 Y 3-FUCSIA NEON"/>
    <n v="378"/>
    <n v="3"/>
    <n v="12.1"/>
    <x v="0"/>
    <m/>
    <n v="2"/>
    <n v="1201"/>
    <n v="22515"/>
    <s v="FUCSIA"/>
    <n v="12.1"/>
    <n v="0"/>
    <n v="0"/>
    <n v="4.1580000000000004"/>
    <n v="12.1"/>
    <n v="11"/>
    <n v="1100"/>
    <x v="7"/>
    <x v="0"/>
    <n v="35"/>
    <n v="3"/>
    <n v="94.5"/>
  </r>
  <r>
    <d v="2025-09-01T07:20:00"/>
    <s v="INYECTADO"/>
    <x v="5"/>
    <x v="196"/>
    <s v="CARMINA"/>
    <s v="VIRGEN"/>
    <s v="ALTA INYECCION"/>
    <s v="."/>
    <s v="ASAS ORGANIZADOR 2 Y 3 SOLIDO"/>
    <s v="ASAS DE ORGANIZADOR 2 Y 3-AZUL NEON"/>
    <n v="600"/>
    <n v="5"/>
    <n v="19.2"/>
    <x v="0"/>
    <m/>
    <n v="3"/>
    <n v="1201"/>
    <n v="22515"/>
    <s v="AZUL"/>
    <n v="19.2"/>
    <n v="0"/>
    <n v="0"/>
    <n v="6.6"/>
    <n v="19.2"/>
    <n v="11"/>
    <n v="1745.4545454545455"/>
    <x v="7"/>
    <x v="0"/>
    <n v="35"/>
    <n v="3"/>
    <n v="150"/>
  </r>
  <r>
    <d v="2025-09-01T07:20:00"/>
    <s v="INYECTADO"/>
    <x v="5"/>
    <x v="196"/>
    <s v="CARMINA"/>
    <s v="VIRGEN"/>
    <s v="ALTA INYECCION"/>
    <s v="."/>
    <s v="ASAS ORGANIZADOR 2 Y 3 SOLIDO"/>
    <s v="ASAS DE ORGANIZADOR 2 Y 3-VIOLETA NEON"/>
    <n v="278"/>
    <n v="3"/>
    <n v="8.9"/>
    <x v="0"/>
    <m/>
    <n v="3"/>
    <n v="1201"/>
    <n v="22515"/>
    <s v="VIOLETA"/>
    <n v="8.9"/>
    <n v="0"/>
    <n v="0"/>
    <n v="3.0579999999999998"/>
    <n v="8.9"/>
    <n v="11"/>
    <n v="809.09090909090912"/>
    <x v="7"/>
    <x v="0"/>
    <n v="35"/>
    <n v="3"/>
    <n v="69.5"/>
  </r>
  <r>
    <d v="2025-09-01T07:20:00"/>
    <s v="INYECTADO"/>
    <x v="5"/>
    <x v="196"/>
    <s v="GABRIEL REQUENA"/>
    <s v="VIRGEN"/>
    <s v="ALTA INYECCION"/>
    <s v="."/>
    <s v="ASAS ORGANIZADOR 2 Y 3 SOLIDO"/>
    <s v="ASAS DE ORGANIZADOR 2 Y 3-FUCSIA NEON"/>
    <n v="168"/>
    <n v="2"/>
    <n v="5.4"/>
    <x v="1"/>
    <m/>
    <n v="2"/>
    <n v="1201"/>
    <n v="22516"/>
    <s v="FUCSIA"/>
    <n v="0"/>
    <n v="0"/>
    <n v="0"/>
    <n v="1.8480000000000001"/>
    <n v="5.4"/>
    <n v="11"/>
    <n v="490.90909090909093"/>
    <x v="7"/>
    <x v="0"/>
    <n v="35"/>
    <n v="3"/>
    <n v="42"/>
  </r>
  <r>
    <d v="2025-09-01T07:20:00"/>
    <s v="INYECTADO"/>
    <x v="5"/>
    <x v="196"/>
    <s v="GABRIEL REQUENA"/>
    <s v="VIRGEN"/>
    <s v="ALTA INYECCION"/>
    <s v="."/>
    <s v="ASAS ORGANIZADOR 2 Y 3 PASTEL"/>
    <s v="ASAS DE ORGANIZADOR 2 Y 3-SANDIA"/>
    <n v="584"/>
    <n v="4"/>
    <n v="20.100000000000001"/>
    <x v="1"/>
    <m/>
    <n v="2"/>
    <n v="1201"/>
    <n v="22516"/>
    <s v="SANDIA"/>
    <n v="9.1999999999999993"/>
    <n v="0"/>
    <n v="0"/>
    <n v="6.4240000000000004"/>
    <n v="20.100000000000001"/>
    <n v="11"/>
    <n v="1827.2727272727273"/>
    <x v="7"/>
    <x v="0"/>
    <n v="35"/>
    <n v="3"/>
    <n v="146"/>
  </r>
  <r>
    <d v="2025-09-01T07:20:00"/>
    <s v="INYECTADO"/>
    <x v="5"/>
    <x v="197"/>
    <s v="CARMINA"/>
    <s v="VIRGEN"/>
    <s v="ALTA INYECCION"/>
    <s v="."/>
    <s v="ASAS ORGANIZADOR 2 Y 3 PASTEL"/>
    <s v="ASAS DE ORGANIZADOR 2 Y 3-SANDIA"/>
    <n v="881"/>
    <n v="5"/>
    <n v="28.2"/>
    <x v="0"/>
    <m/>
    <n v="4"/>
    <n v="1201"/>
    <n v="22517"/>
    <s v="SANDIA"/>
    <n v="8.1999999999999993"/>
    <n v="0"/>
    <n v="0"/>
    <n v="9.6910000000000007"/>
    <n v="28.2"/>
    <n v="11"/>
    <n v="2563.6363636363635"/>
    <x v="7"/>
    <x v="0"/>
    <n v="35"/>
    <n v="3"/>
    <n v="220.25"/>
  </r>
  <r>
    <d v="2025-09-01T07:20:00"/>
    <s v="INYECTADO"/>
    <x v="5"/>
    <x v="197"/>
    <s v="CARMINA"/>
    <s v="VIRGEN"/>
    <s v="ALTA INYECCION"/>
    <s v="."/>
    <s v="ASAS ORGANIZADOR 2 Y 3 SOLIDO"/>
    <s v="ASAS DE ORGANIZADOR 2 Y 3-ANARANJADO NEON"/>
    <n v="559"/>
    <n v="3"/>
    <n v="17.899999999999999"/>
    <x v="0"/>
    <m/>
    <n v="3"/>
    <n v="1201"/>
    <n v="22517"/>
    <s v="NARANJA"/>
    <n v="11.2"/>
    <n v="0"/>
    <n v="0"/>
    <n v="6.149"/>
    <n v="17.899999999999999"/>
    <n v="11"/>
    <n v="1627.2727272727273"/>
    <x v="7"/>
    <x v="0"/>
    <n v="35"/>
    <n v="3"/>
    <n v="139.75"/>
  </r>
  <r>
    <d v="2025-09-01T07:20:00"/>
    <s v="INYECTADO"/>
    <x v="5"/>
    <x v="197"/>
    <s v="CARMINA"/>
    <s v="VIRGEN"/>
    <s v="ALTA INYECCION"/>
    <s v="."/>
    <s v="ASAS ORGANIZADOR 2 Y 3 PASTEL"/>
    <s v="ASAS DE ORGANIZADOR 2 Y 3-LILA PASTEL"/>
    <n v="421"/>
    <n v="3"/>
    <n v="13.5"/>
    <x v="0"/>
    <m/>
    <n v="2"/>
    <n v="1201"/>
    <n v="22517"/>
    <s v="LILA"/>
    <n v="5.9"/>
    <n v="0"/>
    <n v="0"/>
    <n v="4.6310000000000002"/>
    <n v="13.5"/>
    <n v="11"/>
    <n v="1227.2727272727273"/>
    <x v="7"/>
    <x v="0"/>
    <n v="35"/>
    <n v="3"/>
    <n v="105.25"/>
  </r>
  <r>
    <d v="2025-09-01T07:20:00"/>
    <s v="INYECTADO"/>
    <x v="0"/>
    <x v="197"/>
    <s v="CRISALIDA ZAPATA"/>
    <s v="VIRGEN"/>
    <s v="PP CLARIFICADO"/>
    <s v="."/>
    <s v="BALDE CANCUN"/>
    <s v="BALDE CANCUN PASTEL-CELESTE"/>
    <n v="181"/>
    <n v="2"/>
    <n v="8.6999999999999993"/>
    <x v="0"/>
    <m/>
    <n v="1"/>
    <n v="1191"/>
    <n v="21758"/>
    <s v="CELESTE"/>
    <n v="2.1"/>
    <n v="0"/>
    <n v="0"/>
    <n v="8.6880000000000006"/>
    <n v="8.6999999999999993"/>
    <n v="48"/>
    <n v="181.25"/>
    <x v="7"/>
    <x v="0"/>
    <n v="35"/>
    <n v="1"/>
    <n v="15.083333333333334"/>
  </r>
  <r>
    <d v="2025-09-01T07:20:00"/>
    <s v="INYECTADO"/>
    <x v="0"/>
    <x v="192"/>
    <s v="CRISALIDA ZAPATA"/>
    <s v="VIRGEN"/>
    <s v="PP CLARIFICADO"/>
    <s v="."/>
    <s v="BALDE CANCUN"/>
    <s v="BALDE CANCUN PASTEL-CELESTE"/>
    <n v="33"/>
    <n v="1"/>
    <n v="1.5"/>
    <x v="0"/>
    <m/>
    <n v="1"/>
    <n v="1191"/>
    <n v="21759"/>
    <s v="CELESTE"/>
    <n v="0.8"/>
    <n v="0"/>
    <n v="0"/>
    <n v="1.5840000000000001"/>
    <n v="1.5"/>
    <n v="48"/>
    <n v="31.25"/>
    <x v="7"/>
    <x v="0"/>
    <n v="35"/>
    <n v="1"/>
    <n v="2.75"/>
  </r>
  <r>
    <d v="2025-09-01T07:20:00"/>
    <s v="INYECTADO"/>
    <x v="0"/>
    <x v="198"/>
    <s v="LUIS RENGIFO"/>
    <s v="VIRGEN"/>
    <s v="PP CLARIFICADO"/>
    <s v="."/>
    <s v="BALDE CANCUN"/>
    <s v="BALDE CANCUN PASTEL-CELESTE"/>
    <n v="350"/>
    <n v="2"/>
    <n v="10.5"/>
    <x v="0"/>
    <m/>
    <n v="2"/>
    <n v="1191"/>
    <n v="21760"/>
    <s v="CELESTE"/>
    <n v="0"/>
    <n v="0"/>
    <n v="0"/>
    <n v="16.8"/>
    <n v="10.5"/>
    <n v="48"/>
    <n v="218.75"/>
    <x v="7"/>
    <x v="0"/>
    <n v="35"/>
    <n v="1"/>
    <n v="29.166666666666668"/>
  </r>
  <r>
    <d v="2025-09-01T07:20:00"/>
    <s v="INYECTADO"/>
    <x v="1"/>
    <x v="189"/>
    <s v="LUIS RENGIFO"/>
    <s v="SEGUNDA"/>
    <s v="."/>
    <s v="PP INY MOLIDO"/>
    <s v="CANASTA CANDY"/>
    <s v="CANASTA CANDY-TURQUESA"/>
    <n v="360"/>
    <n v="3"/>
    <n v="27.7"/>
    <x v="0"/>
    <m/>
    <n v="3"/>
    <m/>
    <n v="21611"/>
    <s v="TURQUESA"/>
    <n v="27.7"/>
    <n v="0"/>
    <n v="0"/>
    <n v="28.44"/>
    <n v="27.7"/>
    <n v="79"/>
    <n v="350.63291139240505"/>
    <x v="7"/>
    <x v="0"/>
    <n v="34"/>
    <n v="1"/>
    <n v="30"/>
  </r>
  <r>
    <d v="2025-09-01T07:20:00"/>
    <s v="INYECTADO"/>
    <x v="1"/>
    <x v="189"/>
    <s v="JUAN MANUEL "/>
    <s v="SEGUNDA"/>
    <s v="."/>
    <s v="PP INY MOLIDO"/>
    <s v="CANASTA CANDY"/>
    <s v="CANASTA CANDY-ROSADO"/>
    <n v="360"/>
    <n v="4"/>
    <n v="27.7"/>
    <x v="1"/>
    <m/>
    <n v="3"/>
    <m/>
    <n v="21612"/>
    <s v="ROSADO"/>
    <n v="12"/>
    <n v="0"/>
    <n v="0"/>
    <n v="28.44"/>
    <n v="27.7"/>
    <n v="79"/>
    <n v="350.63291139240505"/>
    <x v="7"/>
    <x v="0"/>
    <n v="34"/>
    <n v="1"/>
    <n v="30"/>
  </r>
  <r>
    <d v="2025-09-01T07:20:00"/>
    <s v="INYECTADO"/>
    <x v="1"/>
    <x v="189"/>
    <s v="JUAN MANUEL "/>
    <s v="SEGUNDA"/>
    <s v="."/>
    <s v="PP INY MOLIDO"/>
    <s v="CANASTA CANDY"/>
    <s v="CANASTA CANDY-MELON"/>
    <n v="362"/>
    <n v="4"/>
    <n v="27.8"/>
    <x v="1"/>
    <m/>
    <n v="3"/>
    <m/>
    <n v="21612"/>
    <s v="MELON"/>
    <n v="11"/>
    <n v="0"/>
    <n v="0"/>
    <n v="28.597999999999999"/>
    <n v="27.8"/>
    <n v="79"/>
    <n v="351.8987341772152"/>
    <x v="7"/>
    <x v="0"/>
    <n v="34"/>
    <n v="1"/>
    <n v="30.166666666666668"/>
  </r>
  <r>
    <d v="2025-09-01T07:20:00"/>
    <s v="INYECTADO"/>
    <x v="1"/>
    <x v="189"/>
    <s v="JUAN MANUEL "/>
    <s v="SEGUNDA"/>
    <s v="."/>
    <s v="PP INY MOLIDO"/>
    <s v="CANASTA CANDY"/>
    <s v="CANASTA CANDY-LILA"/>
    <n v="120"/>
    <n v="3"/>
    <n v="9.1999999999999993"/>
    <x v="1"/>
    <m/>
    <n v="1"/>
    <m/>
    <n v="21612"/>
    <s v="LILA"/>
    <n v="6"/>
    <n v="0"/>
    <n v="0"/>
    <n v="9.48"/>
    <n v="9.1999999999999993"/>
    <n v="79"/>
    <n v="116.45569620253164"/>
    <x v="7"/>
    <x v="0"/>
    <n v="34"/>
    <n v="1"/>
    <n v="10"/>
  </r>
  <r>
    <d v="2025-09-01T07:20:00"/>
    <s v="INYECTADO"/>
    <x v="1"/>
    <x v="190"/>
    <s v="LUIS PINEDO"/>
    <s v="SEGUNDA"/>
    <s v="."/>
    <s v="PP INY MOLIDO"/>
    <s v="CANASTA CANDY"/>
    <s v="CANASTA CANDY-LILA"/>
    <n v="594"/>
    <n v="7"/>
    <n v="45.8"/>
    <x v="0"/>
    <m/>
    <n v="6"/>
    <m/>
    <n v="21613"/>
    <s v="LILA"/>
    <n v="16.7"/>
    <n v="0"/>
    <n v="0"/>
    <n v="46.926000000000002"/>
    <n v="45.8"/>
    <n v="79"/>
    <n v="579.74683544303798"/>
    <x v="7"/>
    <x v="0"/>
    <n v="34"/>
    <n v="1"/>
    <n v="49.5"/>
  </r>
  <r>
    <d v="2025-09-01T07:20:00"/>
    <s v="INYECTADO"/>
    <x v="1"/>
    <x v="190"/>
    <s v="LUIS PINEDO"/>
    <s v="SEGUNDA"/>
    <s v="."/>
    <s v="PP INY MOLIDO"/>
    <s v="CANASTA CANDY"/>
    <s v="CANASTA CANDY-MELON"/>
    <n v="303"/>
    <n v="3"/>
    <n v="23.3"/>
    <x v="0"/>
    <m/>
    <n v="3"/>
    <m/>
    <n v="21613"/>
    <s v="MELON"/>
    <n v="1.8"/>
    <n v="0"/>
    <n v="0"/>
    <n v="23.937000000000001"/>
    <n v="23.3"/>
    <n v="79"/>
    <n v="294.9367088607595"/>
    <x v="7"/>
    <x v="0"/>
    <n v="34"/>
    <n v="1"/>
    <n v="25.25"/>
  </r>
  <r>
    <d v="2025-09-01T07:20:00"/>
    <s v="INYECTADO"/>
    <x v="1"/>
    <x v="190"/>
    <s v="GABRIEL REQUENA"/>
    <s v="SEGUNDA"/>
    <s v="."/>
    <s v="PP INY MOLIDO"/>
    <s v="CANASTA CANDY"/>
    <s v="CANASTA CANDY-ROSADO"/>
    <n v="423"/>
    <n v="5"/>
    <n v="33.4"/>
    <x v="1"/>
    <m/>
    <n v="4"/>
    <m/>
    <n v="21614"/>
    <s v="ROSADO"/>
    <n v="7.8"/>
    <n v="0"/>
    <n v="0"/>
    <n v="33.417000000000002"/>
    <n v="33.4"/>
    <n v="79"/>
    <n v="422.78481012658227"/>
    <x v="7"/>
    <x v="0"/>
    <n v="34"/>
    <n v="1"/>
    <n v="35.25"/>
  </r>
  <r>
    <d v="2025-09-01T07:20:00"/>
    <s v="INYECTADO"/>
    <x v="1"/>
    <x v="190"/>
    <s v="GABRIEL REQUENA"/>
    <s v="SEGUNDA"/>
    <s v="."/>
    <s v="PP INY MOLIDO"/>
    <s v="CANASTA CANDY"/>
    <s v="CANASTA CANDY-MELON"/>
    <n v="118"/>
    <n v="2"/>
    <n v="9.3000000000000007"/>
    <x v="1"/>
    <m/>
    <n v="2"/>
    <m/>
    <n v="21614"/>
    <s v="MELON"/>
    <n v="3"/>
    <n v="0"/>
    <n v="0"/>
    <n v="9.3219999999999992"/>
    <n v="9.3000000000000007"/>
    <n v="79"/>
    <n v="117.72151898734177"/>
    <x v="7"/>
    <x v="0"/>
    <n v="34"/>
    <n v="1"/>
    <n v="9.8333333333333339"/>
  </r>
  <r>
    <d v="2025-09-01T07:20:00"/>
    <s v="INYECTADO"/>
    <x v="1"/>
    <x v="190"/>
    <s v="GABRIEL REQUENA"/>
    <s v="SEGUNDA"/>
    <s v="."/>
    <s v="PP INY MOLIDO"/>
    <s v="CANASTA CANDY"/>
    <s v="CANASTA CANDY-TURQUESA"/>
    <n v="481"/>
    <n v="4"/>
    <n v="38.1"/>
    <x v="1"/>
    <m/>
    <n v="4"/>
    <m/>
    <n v="21614"/>
    <s v="TURQUESA"/>
    <n v="2.5"/>
    <n v="0"/>
    <n v="0"/>
    <n v="37.999000000000002"/>
    <n v="38.1"/>
    <n v="79"/>
    <n v="482.27848101265823"/>
    <x v="7"/>
    <x v="0"/>
    <n v="34"/>
    <n v="1"/>
    <n v="40.083333333333336"/>
  </r>
  <r>
    <d v="2025-09-01T07:20:00"/>
    <s v="INYECTADO"/>
    <x v="1"/>
    <x v="193"/>
    <s v="SAID VILLAMIZAR"/>
    <s v="SEGUNDA"/>
    <s v="."/>
    <s v="PP INY MOLIDO"/>
    <s v="CANASTA CANDY"/>
    <s v="CANASTA CANDY-LILA"/>
    <n v="804"/>
    <n v="7"/>
    <n v="61.9"/>
    <x v="0"/>
    <m/>
    <n v="7"/>
    <m/>
    <n v="21615"/>
    <s v="LILA"/>
    <n v="7.8"/>
    <n v="0"/>
    <n v="0"/>
    <n v="63.515999999999998"/>
    <n v="61.9"/>
    <n v="79"/>
    <n v="783.54430379746839"/>
    <x v="7"/>
    <x v="0"/>
    <n v="34"/>
    <n v="1"/>
    <n v="67"/>
  </r>
  <r>
    <d v="2025-09-01T07:20:00"/>
    <s v="INYECTADO"/>
    <x v="1"/>
    <x v="194"/>
    <s v="ANGIE VALDERRAMA"/>
    <s v="SEGUNDA"/>
    <s v="."/>
    <s v="PP INY MOLIDO"/>
    <s v="CANASTA CANDY"/>
    <s v="CANASTA CANDY-ROSADO"/>
    <n v="187"/>
    <n v="3"/>
    <n v="14.3"/>
    <x v="0"/>
    <m/>
    <n v="2"/>
    <n v="1203"/>
    <n v="21616"/>
    <s v="ROSADO"/>
    <n v="8.5"/>
    <n v="0"/>
    <n v="0"/>
    <n v="14.773"/>
    <n v="14.3"/>
    <n v="79"/>
    <n v="181.01265822784811"/>
    <x v="7"/>
    <x v="0"/>
    <n v="35"/>
    <n v="1"/>
    <n v="15.583333333333334"/>
  </r>
  <r>
    <d v="2025-09-01T07:20:00"/>
    <s v="INYECTADO"/>
    <x v="1"/>
    <x v="194"/>
    <s v="ANGIE VALDERRAMA"/>
    <s v="SEGUNDA"/>
    <s v="."/>
    <s v="PP INY MOLIDO"/>
    <s v="CANASTA CANDY"/>
    <s v="CANASTA CANDY-LILA"/>
    <n v="360"/>
    <n v="5"/>
    <n v="27.7"/>
    <x v="0"/>
    <m/>
    <n v="4"/>
    <n v="1203"/>
    <n v="21616"/>
    <s v="LILA"/>
    <n v="6.6"/>
    <n v="0"/>
    <n v="0"/>
    <n v="28.44"/>
    <n v="27.7"/>
    <n v="79"/>
    <n v="350.63291139240505"/>
    <x v="7"/>
    <x v="0"/>
    <n v="35"/>
    <n v="1"/>
    <n v="30"/>
  </r>
  <r>
    <d v="2025-09-01T07:20:00"/>
    <s v="INYECTADO"/>
    <x v="1"/>
    <x v="195"/>
    <s v="ANGIE VALDERRAMA"/>
    <s v="SEGUNDA"/>
    <s v="."/>
    <s v="PP INY MOLIDO"/>
    <s v="CANASTA CANDY"/>
    <s v="CANASTA CANDY-ROSADO"/>
    <n v="815"/>
    <n v="10"/>
    <n v="62.7"/>
    <x v="0"/>
    <m/>
    <n v="8"/>
    <n v="1203"/>
    <n v="21617"/>
    <s v="ROSADO"/>
    <n v="12.6"/>
    <n v="0"/>
    <n v="0"/>
    <n v="64.385000000000005"/>
    <n v="62.7"/>
    <n v="79"/>
    <n v="793.6708860759494"/>
    <x v="7"/>
    <x v="0"/>
    <n v="35"/>
    <n v="1"/>
    <n v="67.916666666666671"/>
  </r>
  <r>
    <d v="2025-09-01T07:20:00"/>
    <s v="INYECTADO"/>
    <x v="1"/>
    <x v="196"/>
    <s v="CRISALIDA ZAPATA"/>
    <s v="SEGUNDA"/>
    <s v="."/>
    <s v="PP INY MOLIDO"/>
    <s v="CANASTA CANDY"/>
    <s v="CANASTA CANDY-MELON"/>
    <n v="956"/>
    <n v="10"/>
    <n v="74.599999999999994"/>
    <x v="0"/>
    <m/>
    <n v="8"/>
    <n v="1203"/>
    <n v="21618"/>
    <s v="MELON"/>
    <n v="2.6"/>
    <n v="0"/>
    <n v="0"/>
    <n v="75.524000000000001"/>
    <n v="74.599999999999994"/>
    <n v="79"/>
    <n v="944.30379746835445"/>
    <x v="7"/>
    <x v="0"/>
    <n v="35"/>
    <n v="1"/>
    <n v="79.666666666666671"/>
  </r>
  <r>
    <d v="2025-09-01T07:20:00"/>
    <s v="INYECTADO"/>
    <x v="1"/>
    <x v="196"/>
    <s v="CRISALIDA ZAPATA"/>
    <s v="SEGUNDA"/>
    <s v="."/>
    <s v="PP INY MOLIDO"/>
    <s v="CANASTA CANDY"/>
    <s v="CANASTA CANDY-ROSADO"/>
    <n v="17"/>
    <n v="1"/>
    <n v="1.4"/>
    <x v="0"/>
    <m/>
    <n v="1"/>
    <n v="1203"/>
    <n v="21618"/>
    <s v="ROSADO"/>
    <n v="0"/>
    <n v="0"/>
    <n v="0"/>
    <n v="1.343"/>
    <n v="1.4"/>
    <n v="79"/>
    <n v="17.721518987341771"/>
    <x v="7"/>
    <x v="0"/>
    <n v="35"/>
    <n v="1"/>
    <n v="1.4166666666666667"/>
  </r>
  <r>
    <d v="2025-09-01T07:20:00"/>
    <s v="INYECTADO"/>
    <x v="1"/>
    <x v="196"/>
    <s v="JUAN MANUEL "/>
    <s v="SEGUNDA"/>
    <s v="."/>
    <s v="PP INY MOLIDO"/>
    <s v="CANASTA CANDY"/>
    <s v="CANASTA CANDY-TURQUESA"/>
    <n v="533"/>
    <n v="5"/>
    <n v="42.2"/>
    <x v="1"/>
    <m/>
    <n v="5"/>
    <n v="1203"/>
    <n v="21619"/>
    <s v="TURQUESA"/>
    <n v="0"/>
    <n v="0"/>
    <n v="0"/>
    <n v="42.106999999999999"/>
    <n v="42.2"/>
    <n v="79"/>
    <n v="534.17721518987344"/>
    <x v="7"/>
    <x v="0"/>
    <n v="35"/>
    <n v="1"/>
    <n v="44.416666666666664"/>
  </r>
  <r>
    <d v="2025-09-01T07:20:00"/>
    <s v="INYECTADO"/>
    <x v="1"/>
    <x v="197"/>
    <s v="CRISALIDA ZAPATA"/>
    <s v="SEGUNDA"/>
    <s v="."/>
    <s v="PP INY MOLIDO"/>
    <s v="CANASTA CANDY"/>
    <s v="CANASTA CANDY-TURQUESA"/>
    <n v="453"/>
    <n v="4"/>
    <n v="34.9"/>
    <x v="0"/>
    <m/>
    <n v="4"/>
    <n v="1203"/>
    <n v="21620"/>
    <s v="TURQUESA"/>
    <n v="5.0999999999999996"/>
    <n v="0"/>
    <n v="0"/>
    <n v="35.786999999999999"/>
    <n v="34.9"/>
    <n v="79"/>
    <n v="441.77215189873419"/>
    <x v="7"/>
    <x v="0"/>
    <n v="35"/>
    <n v="1"/>
    <n v="37.75"/>
  </r>
  <r>
    <d v="2025-09-01T07:20:00"/>
    <s v="INYECTADO"/>
    <x v="1"/>
    <x v="197"/>
    <s v="CRISALIDA ZAPATA"/>
    <s v="SEGUNDA"/>
    <s v="."/>
    <s v="PP INY MOLIDO"/>
    <s v="CANASTA CANDY"/>
    <s v="CANASTA CANDY-ROSADO"/>
    <n v="185"/>
    <n v="2"/>
    <n v="14.5"/>
    <x v="0"/>
    <m/>
    <n v="2"/>
    <n v="1203"/>
    <n v="21620"/>
    <s v="ROSADO"/>
    <n v="1.2"/>
    <n v="0"/>
    <n v="0"/>
    <n v="14.615"/>
    <n v="14.5"/>
    <n v="79"/>
    <n v="183.54430379746836"/>
    <x v="7"/>
    <x v="0"/>
    <n v="35"/>
    <n v="1"/>
    <n v="15.416666666666666"/>
  </r>
  <r>
    <d v="2025-09-01T07:20:00"/>
    <s v="INYECTADO"/>
    <x v="1"/>
    <x v="197"/>
    <s v="CRISALIDA ZAPATA"/>
    <s v="SEGUNDA"/>
    <s v="."/>
    <s v="PP INY MOLIDO"/>
    <s v="CANASTA CANDY"/>
    <s v="CANASTA CANDY-LILA"/>
    <n v="74"/>
    <n v="1"/>
    <n v="5.8"/>
    <x v="0"/>
    <m/>
    <n v="1"/>
    <n v="1203"/>
    <n v="21620"/>
    <s v="LILA"/>
    <n v="1"/>
    <n v="0"/>
    <n v="0"/>
    <n v="5.8460000000000001"/>
    <n v="5.8"/>
    <n v="79"/>
    <n v="73.417721518987335"/>
    <x v="7"/>
    <x v="0"/>
    <n v="35"/>
    <n v="1"/>
    <n v="6.166666666666667"/>
  </r>
  <r>
    <d v="2025-09-01T07:20:00"/>
    <s v="INYECTADO"/>
    <x v="6"/>
    <x v="192"/>
    <s v="NELSON PINEDO"/>
    <s v="VIRGEN"/>
    <s v="ALTA INYECCION"/>
    <s v="."/>
    <s v="TAPAS DE JARRA 5 Y 6L"/>
    <s v="TAPAS DE JARRA DE 5 Y 6L-AMARILLO"/>
    <n v="255"/>
    <n v="3"/>
    <n v="42.3"/>
    <x v="0"/>
    <m/>
    <n v="10"/>
    <m/>
    <n v="21294"/>
    <s v="AMARILLO"/>
    <n v="0"/>
    <n v="0"/>
    <n v="0"/>
    <n v="20.655000000000001"/>
    <n v="42.3"/>
    <n v="81"/>
    <n v="522.22222222222217"/>
    <x v="7"/>
    <x v="0"/>
    <n v="35"/>
    <n v="2"/>
    <n v="42.5"/>
  </r>
  <r>
    <d v="2025-09-01T07:20:00"/>
    <s v="INYECTADO"/>
    <x v="6"/>
    <x v="192"/>
    <s v="JUAN MANUEL "/>
    <s v="VIRGEN"/>
    <s v="ALTA INYECCION"/>
    <s v="."/>
    <s v="TAPAS DE JARRA 5 Y 6L"/>
    <s v="TAPAS DE JARRA DE 5 Y 6L-AMARILLO"/>
    <n v="1110"/>
    <n v="11"/>
    <n v="184.2"/>
    <x v="1"/>
    <m/>
    <n v="31"/>
    <m/>
    <n v="21295"/>
    <s v="AMARILLO"/>
    <n v="0"/>
    <n v="0"/>
    <n v="0"/>
    <n v="89.91"/>
    <n v="184.2"/>
    <n v="81"/>
    <n v="2274.0740740740739"/>
    <x v="7"/>
    <x v="0"/>
    <n v="35"/>
    <n v="2"/>
    <n v="185"/>
  </r>
  <r>
    <d v="2025-09-01T07:20:00"/>
    <s v="INYECTADO"/>
    <x v="6"/>
    <x v="198"/>
    <s v="CRISALIDA ZAPATA"/>
    <s v="VIRGEN"/>
    <s v="ALTA INYECCION"/>
    <s v="."/>
    <s v="TAPAS DE JARRA 5 Y 6L"/>
    <s v="TAPAS DE JARRA DE 5 Y 6L-VERDE"/>
    <n v="647"/>
    <n v="5"/>
    <n v="108.6"/>
    <x v="0"/>
    <m/>
    <n v="22"/>
    <m/>
    <n v="21296"/>
    <s v="VERDE"/>
    <n v="8.5"/>
    <n v="0"/>
    <n v="0"/>
    <n v="52.406999999999996"/>
    <n v="108.6"/>
    <n v="81"/>
    <n v="1340.7407407407406"/>
    <x v="7"/>
    <x v="0"/>
    <n v="35"/>
    <n v="2"/>
    <n v="107.83333333333333"/>
  </r>
  <r>
    <d v="2025-09-01T07:20:00"/>
    <s v="INYECTADO"/>
    <x v="6"/>
    <x v="198"/>
    <s v="JUAN MANUEL "/>
    <s v="VIRGEN"/>
    <s v="ALTA INYECCION"/>
    <s v="."/>
    <s v="TAPAS DE JARRA 5 Y 6L"/>
    <s v="TAPAS DE JARRA DE 5 Y 6L-VERDE"/>
    <n v="780"/>
    <n v="9"/>
    <n v="131"/>
    <x v="1"/>
    <m/>
    <n v="22"/>
    <m/>
    <n v="21297"/>
    <s v="VERDE"/>
    <n v="0"/>
    <n v="0"/>
    <n v="0"/>
    <n v="63.18"/>
    <n v="131"/>
    <n v="81"/>
    <n v="1617.2839506172841"/>
    <x v="7"/>
    <x v="0"/>
    <n v="35"/>
    <n v="2"/>
    <n v="130"/>
  </r>
  <r>
    <d v="2025-09-01T07:20:00"/>
    <s v="INYECTADO"/>
    <x v="2"/>
    <x v="191"/>
    <s v="JOSDER GONZALEZ"/>
    <s v="SEGUNDA"/>
    <s v="."/>
    <s v="PP INY MOLIDO"/>
    <s v="CANASTA PICNIC"/>
    <s v="CANASTA PICNIC-MELON"/>
    <n v="502"/>
    <n v="3"/>
    <n v="85.3"/>
    <x v="1"/>
    <m/>
    <n v="6"/>
    <m/>
    <n v="21973"/>
    <s v="MELON"/>
    <n v="5.9"/>
    <n v="0"/>
    <n v="0"/>
    <n v="89.858000000000004"/>
    <n v="85.3"/>
    <n v="179"/>
    <n v="476.53631284916202"/>
    <x v="7"/>
    <x v="0"/>
    <n v="34"/>
    <n v="1"/>
    <n v="41.833333333333336"/>
  </r>
  <r>
    <d v="2025-09-01T07:20:00"/>
    <s v="INYECTADO"/>
    <x v="2"/>
    <x v="191"/>
    <s v="JOSDER GONZALEZ"/>
    <s v="SEGUNDA"/>
    <s v="."/>
    <s v="PP INY MOLIDO"/>
    <s v="CANASTA PICNIC"/>
    <s v="CANASTA PICNIC-ROSADO"/>
    <n v="46"/>
    <n v="2"/>
    <n v="7.8"/>
    <x v="1"/>
    <m/>
    <n v="1"/>
    <m/>
    <n v="21973"/>
    <s v="ROSADO"/>
    <n v="3.6"/>
    <n v="0"/>
    <n v="0"/>
    <n v="8.234"/>
    <n v="7.8"/>
    <n v="179"/>
    <n v="43.575418994413411"/>
    <x v="7"/>
    <x v="0"/>
    <n v="34"/>
    <n v="1"/>
    <n v="3.8333333333333335"/>
  </r>
  <r>
    <d v="2025-09-01T07:20:00"/>
    <s v="INYECTADO"/>
    <x v="2"/>
    <x v="194"/>
    <s v="MARJORIE VILCHEZ"/>
    <s v="SEGUNDA"/>
    <s v="."/>
    <s v="PP INY MOLIDO"/>
    <s v="CANASTA PICNIC"/>
    <s v="CANASTA PICNIC-LILA"/>
    <n v="490"/>
    <n v="6"/>
    <n v="83.7"/>
    <x v="0"/>
    <m/>
    <n v="6"/>
    <m/>
    <n v="21974"/>
    <s v="LILA"/>
    <n v="2.6"/>
    <n v="0"/>
    <n v="0"/>
    <n v="87.71"/>
    <n v="83.7"/>
    <n v="179"/>
    <n v="467.59776536312847"/>
    <x v="7"/>
    <x v="0"/>
    <n v="35"/>
    <n v="1"/>
    <n v="40.833333333333336"/>
  </r>
  <r>
    <d v="2025-09-01T07:20:00"/>
    <s v="INYECTADO"/>
    <x v="2"/>
    <x v="194"/>
    <s v="MARJORIE VILCHEZ"/>
    <s v="SEGUNDA"/>
    <s v="."/>
    <s v="PP INY MOLIDO"/>
    <s v="CANASTA PICNIC"/>
    <s v="CANASTA PICNIC-ROSADO"/>
    <n v="523"/>
    <n v="4"/>
    <n v="89.4"/>
    <x v="0"/>
    <m/>
    <n v="7"/>
    <m/>
    <n v="21974"/>
    <s v="ROSADO"/>
    <n v="1.6"/>
    <n v="0"/>
    <n v="0"/>
    <n v="93.617000000000004"/>
    <n v="89.4"/>
    <n v="179"/>
    <n v="499.44134078212289"/>
    <x v="7"/>
    <x v="0"/>
    <n v="35"/>
    <n v="1"/>
    <n v="43.583333333333336"/>
  </r>
  <r>
    <d v="2025-09-01T07:20:00"/>
    <s v="INYECTADO"/>
    <x v="2"/>
    <x v="195"/>
    <s v="KARLA HUISA"/>
    <s v="SEGUNDA"/>
    <s v="."/>
    <s v="PP INY MOLIDO"/>
    <s v="CANASTA PICNIC"/>
    <s v="CANASTA PICNIC-LILA"/>
    <n v="95"/>
    <n v="2"/>
    <n v="16.2"/>
    <x v="0"/>
    <m/>
    <n v="2"/>
    <m/>
    <n v="21975"/>
    <s v="LILA"/>
    <n v="5"/>
    <n v="0"/>
    <n v="0"/>
    <n v="17.004999999999999"/>
    <n v="16.2"/>
    <n v="179"/>
    <n v="90.502793296089379"/>
    <x v="7"/>
    <x v="0"/>
    <n v="35"/>
    <n v="1"/>
    <n v="7.916666666666667"/>
  </r>
  <r>
    <d v="2025-09-01T07:20:00"/>
    <s v="INYECTADO"/>
    <x v="2"/>
    <x v="195"/>
    <s v="KARLA HUISA"/>
    <s v="SEGUNDA"/>
    <s v="."/>
    <s v="PP INY MOLIDO"/>
    <s v="CANASTA PICNIC"/>
    <s v="CANASTA PICNIC-TURQUESA"/>
    <n v="661"/>
    <n v="6"/>
    <n v="110.3"/>
    <x v="0"/>
    <m/>
    <n v="7"/>
    <m/>
    <n v="21975"/>
    <s v="TURQUESA"/>
    <n v="3.5"/>
    <n v="0"/>
    <n v="0"/>
    <n v="118.319"/>
    <n v="110.3"/>
    <n v="179"/>
    <n v="616.20111731843576"/>
    <x v="7"/>
    <x v="0"/>
    <n v="35"/>
    <n v="1"/>
    <n v="55.083333333333336"/>
  </r>
  <r>
    <d v="2025-09-01T07:20:00"/>
    <s v="INYECTADO"/>
    <x v="2"/>
    <x v="195"/>
    <s v="JUAN MANUEL "/>
    <s v="SEGUNDA"/>
    <s v="."/>
    <s v="PP INY MOLIDO"/>
    <s v="CANASTA PICNIC"/>
    <s v="CANASTA PICNIC-TURQUESA"/>
    <n v="690"/>
    <n v="7"/>
    <n v="115.9"/>
    <x v="1"/>
    <m/>
    <n v="8"/>
    <m/>
    <n v="21976"/>
    <s v="TURQUESA"/>
    <n v="6.6"/>
    <n v="0"/>
    <n v="0"/>
    <n v="123.51"/>
    <n v="115.9"/>
    <n v="179"/>
    <n v="647.48603351955308"/>
    <x v="7"/>
    <x v="0"/>
    <n v="35"/>
    <n v="1"/>
    <n v="57.5"/>
  </r>
  <r>
    <d v="2025-09-01T07:20:00"/>
    <s v="INYECTADO"/>
    <x v="2"/>
    <x v="195"/>
    <s v="JUAN MANUEL "/>
    <s v="SEGUNDA"/>
    <s v="."/>
    <s v="PP INY MOLIDO"/>
    <s v="CANASTA PICNIC"/>
    <s v="CANASTA PICNIC-MELON"/>
    <n v="570"/>
    <n v="4"/>
    <n v="96.2"/>
    <x v="1"/>
    <m/>
    <n v="7"/>
    <m/>
    <n v="21976"/>
    <s v="MELON"/>
    <n v="1.5"/>
    <n v="0"/>
    <n v="0"/>
    <n v="102.03"/>
    <n v="96.2"/>
    <n v="179"/>
    <n v="537.43016759776538"/>
    <x v="7"/>
    <x v="0"/>
    <n v="35"/>
    <n v="1"/>
    <n v="47.5"/>
  </r>
  <r>
    <d v="2025-09-01T07:20:00"/>
    <s v="INYECTADO"/>
    <x v="2"/>
    <x v="196"/>
    <s v="LEONOR GUTIERREZ"/>
    <s v="SEGUNDA"/>
    <s v="."/>
    <s v="PP INY MOLIDO"/>
    <s v="CANASTA PICNIC"/>
    <s v="CANASTA PICNIC-MELON"/>
    <n v="285"/>
    <n v="3"/>
    <n v="47.8"/>
    <x v="0"/>
    <m/>
    <n v="3"/>
    <m/>
    <n v="21977"/>
    <s v="MELON"/>
    <n v="2.1"/>
    <n v="0"/>
    <n v="0"/>
    <n v="51.015000000000001"/>
    <n v="47.8"/>
    <n v="179"/>
    <n v="267.03910614525142"/>
    <x v="7"/>
    <x v="0"/>
    <n v="35"/>
    <n v="1"/>
    <n v="23.75"/>
  </r>
  <r>
    <d v="2025-09-01T07:20:00"/>
    <s v="INYECTADO"/>
    <x v="2"/>
    <x v="196"/>
    <s v="LEONOR GUTIERREZ"/>
    <s v="SEGUNDA"/>
    <s v="."/>
    <s v="PP INY MOLIDO"/>
    <s v="CANASTA PICNIC"/>
    <s v="CANASTA PICNIC-ROSADO"/>
    <n v="810"/>
    <n v="7"/>
    <n v="136.80000000000001"/>
    <x v="0"/>
    <m/>
    <n v="8"/>
    <m/>
    <n v="21977"/>
    <s v="ROSADO"/>
    <n v="7.1"/>
    <n v="0"/>
    <n v="0"/>
    <n v="144.99"/>
    <n v="136.80000000000001"/>
    <n v="179"/>
    <n v="764.24581005586595"/>
    <x v="7"/>
    <x v="0"/>
    <n v="35"/>
    <n v="1"/>
    <n v="67.5"/>
  </r>
  <r>
    <d v="2025-09-01T07:20:00"/>
    <s v="INYECTADO"/>
    <x v="2"/>
    <x v="196"/>
    <s v="JUAN MANUEL "/>
    <s v="SEGUNDA"/>
    <s v="."/>
    <s v="PP INY MOLIDO"/>
    <s v="CANASTA PICNIC"/>
    <s v="CANASTA PICNIC-LILA"/>
    <n v="720"/>
    <n v="7"/>
    <n v="123.1"/>
    <x v="1"/>
    <m/>
    <n v="8"/>
    <m/>
    <n v="21978"/>
    <s v="LILA"/>
    <n v="0"/>
    <n v="0"/>
    <n v="0"/>
    <n v="128.88"/>
    <n v="123.1"/>
    <n v="179"/>
    <n v="687.70949720670387"/>
    <x v="7"/>
    <x v="0"/>
    <n v="35"/>
    <n v="1"/>
    <n v="60"/>
  </r>
  <r>
    <d v="2025-09-01T07:20:00"/>
    <s v="INYECTADO"/>
    <x v="2"/>
    <x v="197"/>
    <s v="LUIS RENGIFO"/>
    <s v="SEGUNDA"/>
    <s v="."/>
    <s v="PP INY MOLIDO"/>
    <s v="TAPA ORGANIZADOR DE 10KG"/>
    <s v="TAPA ORGANIZADOR DE 10KG-AZUL"/>
    <n v="89"/>
    <n v="1"/>
    <n v="11.1"/>
    <x v="0"/>
    <m/>
    <n v="1"/>
    <m/>
    <n v="21979"/>
    <s v="AZUL"/>
    <n v="0"/>
    <n v="0"/>
    <n v="0"/>
    <n v="12.282"/>
    <n v="11.1"/>
    <n v="138"/>
    <n v="80.434782608695656"/>
    <x v="7"/>
    <x v="0"/>
    <n v="35"/>
    <n v="1"/>
    <n v="7.416666666666667"/>
  </r>
  <r>
    <d v="2025-09-01T07:20:00"/>
    <s v="INYECTADO"/>
    <x v="2"/>
    <x v="197"/>
    <s v="JOSDER GONZALEZ"/>
    <s v="SEGUNDA"/>
    <s v="."/>
    <s v="PP INY MOLIDO"/>
    <s v="TAPA ORGANIZADOR DE 10KG"/>
    <s v="TAPA ORGANIZADOR DE 10KG-AZUL"/>
    <n v="1239"/>
    <n v="12"/>
    <n v="154.80000000000001"/>
    <x v="1"/>
    <m/>
    <n v="11"/>
    <m/>
    <n v="21980"/>
    <s v="AZUL"/>
    <n v="1.3"/>
    <n v="0"/>
    <n v="0"/>
    <n v="170.982"/>
    <n v="154.80000000000001"/>
    <n v="138"/>
    <n v="1121.7391304347825"/>
    <x v="7"/>
    <x v="0"/>
    <n v="35"/>
    <n v="1"/>
    <n v="103.25"/>
  </r>
  <r>
    <d v="2025-09-01T07:20:00"/>
    <s v="INYECTADO"/>
    <x v="2"/>
    <x v="192"/>
    <s v="JUANA CRUCES"/>
    <s v="SEGUNDA"/>
    <s v="."/>
    <s v="PP INY MOLIDO"/>
    <s v="TAPA ORGANIZADOR DE 10KG"/>
    <s v="TAPA ORGANIZADOR DE 10KG-AZUL"/>
    <n v="42"/>
    <n v="1"/>
    <n v="5.0999999999999996"/>
    <x v="0"/>
    <m/>
    <n v="1"/>
    <m/>
    <n v="21981"/>
    <s v="AZUL"/>
    <n v="4.2"/>
    <n v="0"/>
    <n v="0"/>
    <n v="5.7960000000000003"/>
    <n v="5.0999999999999996"/>
    <n v="138"/>
    <n v="36.956521739130437"/>
    <x v="7"/>
    <x v="0"/>
    <n v="35"/>
    <n v="1"/>
    <n v="3.5"/>
  </r>
  <r>
    <d v="2025-09-01T07:20:00"/>
    <s v="INYECTADO"/>
    <x v="2"/>
    <x v="192"/>
    <s v="JUANA CRUCES"/>
    <s v="SEGUNDA"/>
    <s v="."/>
    <s v="PP INY MOLIDO"/>
    <s v="TAPA ORGANIZADOR DE 10KG"/>
    <s v="TAPA ORGANIZADOR DE 10KG-ROJO"/>
    <n v="1093"/>
    <n v="10"/>
    <n v="136.6"/>
    <x v="0"/>
    <m/>
    <n v="9"/>
    <m/>
    <n v="21981"/>
    <s v="ROJO"/>
    <n v="1.7"/>
    <n v="0"/>
    <n v="0"/>
    <n v="150.834"/>
    <n v="136.6"/>
    <n v="138"/>
    <n v="989.85507246376812"/>
    <x v="7"/>
    <x v="0"/>
    <n v="35"/>
    <n v="1"/>
    <n v="91.083333333333329"/>
  </r>
  <r>
    <d v="2025-09-01T07:20:00"/>
    <s v="INYECTADO"/>
    <x v="2"/>
    <x v="192"/>
    <s v="ISABEL LINARIZ "/>
    <s v="SEGUNDA"/>
    <s v="."/>
    <s v="PP INY MOLIDO"/>
    <s v="TAPA ORGANIZADOR DE 10KG"/>
    <s v="TAPA ORGANIZADOR DE 10KG-ROJO"/>
    <n v="348"/>
    <n v="4"/>
    <n v="43.1"/>
    <x v="1"/>
    <m/>
    <n v="3"/>
    <m/>
    <n v="21982"/>
    <s v="ROJO"/>
    <n v="7.6"/>
    <n v="0"/>
    <n v="0"/>
    <n v="48.024000000000001"/>
    <n v="43.1"/>
    <n v="138"/>
    <n v="312.31884057971013"/>
    <x v="7"/>
    <x v="0"/>
    <n v="35"/>
    <n v="1"/>
    <n v="29"/>
  </r>
  <r>
    <d v="2025-09-01T07:20:00"/>
    <s v="INYECTADO"/>
    <x v="2"/>
    <x v="192"/>
    <s v="ISABEL LINARIZ "/>
    <s v="SEGUNDA"/>
    <s v="."/>
    <s v="PP INY MOLIDO"/>
    <s v="TAPA ORGANIZADOR DE 10KG"/>
    <s v="TAPA ORGANIZADOR DE 10KG-FUCSIA"/>
    <n v="818"/>
    <n v="8"/>
    <n v="101.5"/>
    <x v="1"/>
    <m/>
    <n v="7"/>
    <m/>
    <n v="21982"/>
    <s v="FUCSIA"/>
    <n v="3.5"/>
    <n v="0"/>
    <n v="0"/>
    <n v="112.884"/>
    <n v="101.5"/>
    <n v="138"/>
    <n v="735.50724637681162"/>
    <x v="7"/>
    <x v="0"/>
    <n v="35"/>
    <n v="1"/>
    <n v="68.166666666666671"/>
  </r>
  <r>
    <d v="2025-09-01T07:20:00"/>
    <s v="INYECTADO"/>
    <x v="2"/>
    <x v="198"/>
    <s v="CARMINA"/>
    <s v="SEGUNDA"/>
    <s v="."/>
    <s v="PP INY MOLIDO"/>
    <s v="TAPA ORGANIZADOR DE 10KG"/>
    <s v="TAPA ORGANIZADOR DE 10KG-FUCSIA"/>
    <n v="630"/>
    <n v="8"/>
    <n v="78.7"/>
    <x v="0"/>
    <m/>
    <n v="7"/>
    <m/>
    <n v="21983"/>
    <s v="FUCSIA"/>
    <n v="19.7"/>
    <n v="0"/>
    <n v="0"/>
    <n v="86.94"/>
    <n v="78.7"/>
    <n v="138"/>
    <n v="570.28985507246375"/>
    <x v="7"/>
    <x v="0"/>
    <n v="35"/>
    <n v="1"/>
    <n v="52.5"/>
  </r>
  <r>
    <d v="2025-09-01T07:20:00"/>
    <s v="INYECTADO"/>
    <x v="2"/>
    <x v="198"/>
    <s v="JOSDER GONZALEZ"/>
    <s v="SEGUNDA"/>
    <s v="."/>
    <s v="PP INY MOLIDO"/>
    <s v="TAPA ORGANIZADOR DE 10KG"/>
    <s v="TAPA ORGANIZADOR DE 10KG-TURQUESA"/>
    <n v="759"/>
    <n v="8"/>
    <n v="94.1"/>
    <x v="1"/>
    <m/>
    <n v="7"/>
    <m/>
    <n v="21984"/>
    <s v="TURQUESA"/>
    <n v="0"/>
    <n v="0"/>
    <n v="0"/>
    <n v="104.742"/>
    <n v="94.1"/>
    <n v="138"/>
    <n v="681.8840579710145"/>
    <x v="7"/>
    <x v="0"/>
    <n v="35"/>
    <n v="1"/>
    <n v="63.25"/>
  </r>
  <r>
    <d v="2025-09-01T07:20:00"/>
    <s v="INYECTADO"/>
    <x v="7"/>
    <x v="190"/>
    <s v="CRISALIDA ZAPATA"/>
    <s v="VIRGEN"/>
    <s v="PP CLARIFICADO"/>
    <s v="."/>
    <s v="TAPA DE ORGANIZADOR #2"/>
    <s v="TAPA DE ORGANIZADOR #2 CARAMELO-ROJO"/>
    <n v="544"/>
    <n v="6"/>
    <n v="23.3"/>
    <x v="0"/>
    <m/>
    <n v="6"/>
    <n v="1188"/>
    <n v="22283"/>
    <s v="ROJO"/>
    <n v="4.3"/>
    <n v="0"/>
    <n v="0"/>
    <n v="11.423999999999999"/>
    <n v="23.3"/>
    <n v="21"/>
    <n v="1109.5238095238096"/>
    <x v="7"/>
    <x v="0"/>
    <n v="34"/>
    <n v="2"/>
    <n v="90.666666666666671"/>
  </r>
  <r>
    <d v="2025-09-01T07:20:00"/>
    <s v="INYECTADO"/>
    <x v="7"/>
    <x v="190"/>
    <s v="CRISALIDA ZAPATA"/>
    <s v="VIRGEN"/>
    <s v="PP CLARIFICADO"/>
    <s v="."/>
    <s v="TAPA DE ORGANIZADOR #2"/>
    <s v="TAPA DE ORGANIZADOR #2-TRANSPARENTE"/>
    <n v="441"/>
    <n v="4"/>
    <n v="19.399999999999999"/>
    <x v="0"/>
    <m/>
    <n v="4"/>
    <n v="1204"/>
    <n v="22283"/>
    <s v="TRANSPARENTE"/>
    <n v="0"/>
    <n v="0"/>
    <n v="0"/>
    <n v="9.2609999999999992"/>
    <n v="19.399999999999999"/>
    <n v="21"/>
    <n v="923.80952380952385"/>
    <x v="7"/>
    <x v="0"/>
    <n v="34"/>
    <n v="2"/>
    <n v="73.5"/>
  </r>
  <r>
    <d v="2025-09-01T07:20:00"/>
    <s v="INYECTADO"/>
    <x v="7"/>
    <x v="190"/>
    <s v="JUAN MANUEL "/>
    <s v="VIRGEN"/>
    <s v="PP CLARIFICADO"/>
    <s v="."/>
    <s v="TAPA DE ORGANIZADOR #2"/>
    <s v="TAPA DE ORGANIZADOR #2-TRANSPARENTE"/>
    <n v="1440"/>
    <n v="11"/>
    <n v="63.3"/>
    <x v="1"/>
    <m/>
    <n v="12"/>
    <n v="1204"/>
    <n v="22284"/>
    <s v="TRANSPARENTE"/>
    <n v="0"/>
    <n v="0"/>
    <n v="0"/>
    <n v="30.24"/>
    <n v="63.3"/>
    <n v="21"/>
    <n v="3014.2857142857142"/>
    <x v="7"/>
    <x v="0"/>
    <n v="34"/>
    <n v="2"/>
    <n v="240"/>
  </r>
  <r>
    <d v="2025-09-01T07:20:00"/>
    <s v="INYECTADO"/>
    <x v="7"/>
    <x v="191"/>
    <s v="CRISALIDA ZAPATA"/>
    <s v="VIRGEN"/>
    <s v="PP CLARIFICADO"/>
    <s v="."/>
    <s v="TAPA DE ORGANIZADOR #2"/>
    <s v="TAPA DE ORGANIZADOR #2-TRANSPARENTE"/>
    <n v="1104"/>
    <n v="10"/>
    <n v="48.6"/>
    <x v="0"/>
    <m/>
    <n v="10"/>
    <n v="1204"/>
    <n v="22285"/>
    <s v="TRANSPARENTE"/>
    <n v="0"/>
    <n v="0"/>
    <n v="0"/>
    <n v="23.184000000000001"/>
    <n v="48.6"/>
    <n v="21"/>
    <n v="2314.2857142857142"/>
    <x v="7"/>
    <x v="0"/>
    <n v="34"/>
    <n v="2"/>
    <n v="184"/>
  </r>
  <r>
    <d v="2025-09-01T07:20:00"/>
    <s v="INYECTADO"/>
    <x v="7"/>
    <x v="191"/>
    <s v="CRISALIDA ZAPATA"/>
    <s v="VIRGEN"/>
    <s v="PP CLARIFICADO"/>
    <s v="."/>
    <s v="TAPA DE ORGANIZADOR #2"/>
    <s v="TAPA DE ORGANIZADOR #2-BLANCO"/>
    <n v="120"/>
    <n v="1"/>
    <n v="5.2"/>
    <x v="0"/>
    <m/>
    <n v="1"/>
    <m/>
    <n v="22285"/>
    <s v="BLANCO"/>
    <n v="1.3"/>
    <n v="0"/>
    <n v="0"/>
    <n v="2.52"/>
    <n v="5.2"/>
    <n v="21"/>
    <n v="247.61904761904762"/>
    <x v="7"/>
    <x v="0"/>
    <n v="34"/>
    <n v="2"/>
    <n v="20"/>
  </r>
  <r>
    <d v="2025-09-01T07:20:00"/>
    <s v="INYECTADO"/>
    <x v="7"/>
    <x v="191"/>
    <s v="JOSDER GONZALEZ"/>
    <s v="VIRGEN"/>
    <s v="PP CLARIFICADO"/>
    <s v="."/>
    <s v="TAPA DE ORGANIZADOR #2"/>
    <s v="TAPA DE ORGANIZADOR #2-BLANCO"/>
    <n v="1320"/>
    <n v="12"/>
    <n v="58"/>
    <x v="1"/>
    <m/>
    <n v="12"/>
    <m/>
    <n v="22286"/>
    <s v="BLANCO"/>
    <n v="0.4"/>
    <n v="0"/>
    <n v="0"/>
    <n v="27.72"/>
    <n v="58"/>
    <n v="21"/>
    <n v="2761.9047619047619"/>
    <x v="7"/>
    <x v="0"/>
    <n v="34"/>
    <n v="2"/>
    <n v="220"/>
  </r>
  <r>
    <d v="2025-09-01T07:20:00"/>
    <s v="INYECTADO"/>
    <x v="7"/>
    <x v="193"/>
    <s v="CRISALIDA ZAPATA"/>
    <s v="VIRGEN"/>
    <s v="PP CLARIFICADO"/>
    <s v="."/>
    <s v="TAPA DE ORGANIZADOR #2"/>
    <s v="TAPA DE ORGANIZADOR #2-BLANCO"/>
    <n v="20"/>
    <n v="1"/>
    <n v="0.8"/>
    <x v="0"/>
    <m/>
    <n v="1"/>
    <m/>
    <n v="22287"/>
    <s v="BLANCO"/>
    <n v="0"/>
    <n v="0"/>
    <n v="0"/>
    <n v="0.42"/>
    <n v="0.8"/>
    <n v="21"/>
    <n v="38.095238095238095"/>
    <x v="7"/>
    <x v="0"/>
    <n v="34"/>
    <n v="2"/>
    <n v="3.3333333333333335"/>
  </r>
  <r>
    <d v="2025-09-01T07:20:00"/>
    <s v="INYECTADO"/>
    <x v="7"/>
    <x v="193"/>
    <s v="CRISALIDA ZAPATA"/>
    <s v="VIRGEN"/>
    <s v="PP CLARIFICADO"/>
    <s v="."/>
    <s v="TAPA DE ORGANIZADOR #2"/>
    <s v="TAPA DE ORGANIZADOR #2-TRANSPARENTE"/>
    <n v="1059"/>
    <n v="10"/>
    <n v="46.6"/>
    <x v="0"/>
    <m/>
    <n v="9"/>
    <n v="1204"/>
    <n v="22287"/>
    <s v="TRANSPARENTE"/>
    <n v="0"/>
    <n v="0"/>
    <n v="0"/>
    <n v="22.239000000000001"/>
    <n v="46.6"/>
    <n v="21"/>
    <n v="2219.0476190476193"/>
    <x v="7"/>
    <x v="0"/>
    <n v="34"/>
    <n v="2"/>
    <n v="176.5"/>
  </r>
  <r>
    <d v="2025-09-01T07:20:00"/>
    <s v="INYECTADO"/>
    <x v="7"/>
    <x v="194"/>
    <s v="CRISALIDA ZAPATA"/>
    <s v="VIRGEN"/>
    <s v="PP CLARIFICADO"/>
    <s v="."/>
    <s v="TAPA DE ORGANIZADOR #2"/>
    <s v="TAPA DE ORGANIZADOR #2-TRANSPARENTE"/>
    <n v="1155"/>
    <n v="10"/>
    <n v="49.7"/>
    <x v="0"/>
    <m/>
    <n v="10"/>
    <n v="1204"/>
    <n v="22288"/>
    <s v="TRANSPARENTE"/>
    <n v="1.3"/>
    <n v="0"/>
    <n v="0"/>
    <n v="24.254999999999999"/>
    <n v="49.7"/>
    <n v="21"/>
    <n v="2366.6666666666665"/>
    <x v="7"/>
    <x v="0"/>
    <n v="35"/>
    <n v="2"/>
    <n v="192.5"/>
  </r>
  <r>
    <d v="2025-09-01T07:20:00"/>
    <s v="INYECTADO"/>
    <x v="7"/>
    <x v="195"/>
    <s v="NELSON PINEDO"/>
    <s v="SEGUNDA"/>
    <s v="."/>
    <s v="PP INY MOLIDO"/>
    <s v="ESCURRIDOR PORTA VAJILLA"/>
    <s v="ESCURRIDOR PORTAVAJILLA-CREMA"/>
    <n v="724"/>
    <n v="7"/>
    <n v="173.9"/>
    <x v="0"/>
    <m/>
    <n v="24"/>
    <m/>
    <n v="22290"/>
    <s v="CREMA"/>
    <n v="13.1"/>
    <n v="0"/>
    <n v="0"/>
    <n v="178.10400000000001"/>
    <n v="173.9"/>
    <n v="246"/>
    <n v="706.91056910569102"/>
    <x v="7"/>
    <x v="0"/>
    <n v="35"/>
    <n v="1"/>
    <n v="60.333333333333336"/>
  </r>
  <r>
    <d v="2025-09-01T07:20:00"/>
    <s v="INYECTADO"/>
    <x v="7"/>
    <x v="195"/>
    <s v="NELSON PINEDO"/>
    <s v="SEGUNDA"/>
    <s v="."/>
    <s v="PP INY MOLIDO"/>
    <s v="ESCURRIDOR PORTA VAJILLA"/>
    <s v="ESCURRIDOR PORTAVAJILLA-VERDE"/>
    <n v="80"/>
    <n v="1"/>
    <n v="19.2"/>
    <x v="0"/>
    <m/>
    <n v="3"/>
    <m/>
    <n v="22290"/>
    <s v="VERDE"/>
    <n v="4.9000000000000004"/>
    <n v="0"/>
    <n v="0"/>
    <n v="19.68"/>
    <n v="19.2"/>
    <n v="246"/>
    <n v="78.048780487804876"/>
    <x v="7"/>
    <x v="0"/>
    <n v="35"/>
    <n v="1"/>
    <n v="6.666666666666667"/>
  </r>
  <r>
    <d v="2025-09-01T07:20:00"/>
    <s v="INYECTADO"/>
    <x v="7"/>
    <x v="195"/>
    <s v="ISABEL LINARIZ "/>
    <s v="SEGUNDA"/>
    <s v="."/>
    <s v="PP INY MOLIDO"/>
    <s v="ESCURRIDOR PORTA VAJILLA"/>
    <s v="ESCURRIDOR PORTAVAJILLA-VERDE"/>
    <n v="629"/>
    <n v="6"/>
    <n v="151"/>
    <x v="1"/>
    <m/>
    <n v="21"/>
    <m/>
    <n v="22291"/>
    <s v="VERDE"/>
    <n v="7"/>
    <n v="0"/>
    <n v="0"/>
    <n v="154.73400000000001"/>
    <n v="151"/>
    <n v="246"/>
    <n v="613.82113821138216"/>
    <x v="7"/>
    <x v="0"/>
    <n v="35"/>
    <n v="1"/>
    <n v="52.416666666666664"/>
  </r>
  <r>
    <d v="2025-09-01T07:20:00"/>
    <s v="INYECTADO"/>
    <x v="7"/>
    <x v="195"/>
    <s v="ISABEL LINARIZ "/>
    <s v="SEGUNDA"/>
    <s v="."/>
    <s v="PP INY MOLIDO"/>
    <s v="ESCURRIDOR PORTA VAJILLA"/>
    <s v="ESCURRIDOR PORTAVAJILLA-TURQUESA"/>
    <n v="451"/>
    <n v="5"/>
    <n v="108.3"/>
    <x v="1"/>
    <m/>
    <n v="14"/>
    <m/>
    <n v="22291"/>
    <s v="TURQUESA"/>
    <n v="9.6"/>
    <n v="0"/>
    <n v="0"/>
    <n v="110.946"/>
    <n v="108.3"/>
    <n v="246"/>
    <n v="440.2439024390244"/>
    <x v="7"/>
    <x v="0"/>
    <n v="35"/>
    <n v="1"/>
    <n v="37.583333333333336"/>
  </r>
  <r>
    <d v="2025-09-01T07:20:00"/>
    <s v="INYECTADO"/>
    <x v="7"/>
    <x v="195"/>
    <s v="ISABEL LINARIZ "/>
    <s v="SEGUNDA"/>
    <s v="."/>
    <s v="PP INY MOLIDO"/>
    <s v="ESCURRIDOR PORTA VAJILLA"/>
    <s v="ESCURRIDOR PORTAVAJILLA-MELON"/>
    <n v="140"/>
    <n v="1"/>
    <n v="33.6"/>
    <x v="1"/>
    <m/>
    <n v="4"/>
    <m/>
    <n v="22291"/>
    <s v="MELON"/>
    <n v="2.2999999999999998"/>
    <n v="0"/>
    <n v="0"/>
    <n v="34.44"/>
    <n v="33.6"/>
    <n v="246"/>
    <n v="136.58536585365854"/>
    <x v="7"/>
    <x v="0"/>
    <n v="35"/>
    <n v="1"/>
    <n v="11.666666666666666"/>
  </r>
  <r>
    <d v="2025-09-01T07:20:00"/>
    <s v="INYECTADO"/>
    <x v="7"/>
    <x v="196"/>
    <s v="JUANA CRUCES"/>
    <s v="SEGUNDA"/>
    <s v="."/>
    <s v="PP INY MOLIDO"/>
    <s v="ESCURRIDOR PORTA VAJILLA"/>
    <s v="ESCURRIDOR PORTAVAJILLA-MELON"/>
    <n v="579"/>
    <n v="6"/>
    <n v="139"/>
    <x v="0"/>
    <m/>
    <n v="20"/>
    <m/>
    <n v="22292"/>
    <s v="MELON"/>
    <n v="5"/>
    <n v="0"/>
    <n v="0"/>
    <n v="142.434"/>
    <n v="139"/>
    <n v="246"/>
    <n v="565.04065040650403"/>
    <x v="7"/>
    <x v="0"/>
    <n v="35"/>
    <n v="1"/>
    <n v="48.25"/>
  </r>
  <r>
    <d v="2025-09-01T07:20:00"/>
    <s v="INYECTADO"/>
    <x v="7"/>
    <x v="196"/>
    <s v="JUANA CRUCES"/>
    <s v="SEGUNDA"/>
    <s v="."/>
    <s v="PP INY MOLIDO"/>
    <s v="ESCURRIDOR PORTA VAJILLA"/>
    <s v="ESCURRIDOR PORTAVAJILLA-ROSADO"/>
    <n v="418"/>
    <n v="5"/>
    <n v="100.4"/>
    <x v="0"/>
    <m/>
    <n v="14"/>
    <m/>
    <n v="22292"/>
    <s v="ROSADO"/>
    <n v="0"/>
    <n v="0"/>
    <n v="0"/>
    <n v="102.828"/>
    <n v="100.4"/>
    <n v="246"/>
    <n v="408.130081300813"/>
    <x v="7"/>
    <x v="0"/>
    <n v="35"/>
    <n v="1"/>
    <n v="34.833333333333336"/>
  </r>
  <r>
    <d v="2025-09-01T07:20:00"/>
    <s v="INYECTADO"/>
    <x v="7"/>
    <x v="196"/>
    <s v="JOSDER GONZALEZ"/>
    <s v="SEGUNDA"/>
    <s v="."/>
    <s v="PP INY MOLIDO"/>
    <s v="ESCURRIDOR PORTA VAJILLA"/>
    <s v="ESCURRIDOR PORTAVAJILLA-ROSADO"/>
    <n v="268"/>
    <n v="2"/>
    <n v="64.5"/>
    <x v="1"/>
    <m/>
    <n v="9"/>
    <m/>
    <n v="22293"/>
    <s v="ROSADO"/>
    <n v="1.3"/>
    <n v="0"/>
    <n v="0"/>
    <n v="65.927999999999997"/>
    <n v="64.5"/>
    <n v="246"/>
    <n v="262.19512195121951"/>
    <x v="7"/>
    <x v="0"/>
    <n v="35"/>
    <n v="1"/>
    <n v="22.333333333333332"/>
  </r>
  <r>
    <d v="2025-09-01T07:20:00"/>
    <s v="INYECTADO"/>
    <x v="7"/>
    <x v="196"/>
    <s v="JOSDER GONZALEZ"/>
    <s v="SEGUNDA"/>
    <s v="."/>
    <s v="PP INY MOLIDO"/>
    <s v="ESCURRIDOR PORTA VAJILLA"/>
    <s v="ESCURRIDOR PORTAVAJILLA-LILA"/>
    <n v="657"/>
    <n v="7"/>
    <n v="157.9"/>
    <x v="1"/>
    <m/>
    <n v="22"/>
    <m/>
    <n v="22293"/>
    <s v="LILA"/>
    <n v="7.7"/>
    <n v="0"/>
    <n v="0"/>
    <n v="161.62200000000001"/>
    <n v="157.9"/>
    <n v="246"/>
    <n v="641.869918699187"/>
    <x v="7"/>
    <x v="0"/>
    <n v="35"/>
    <n v="1"/>
    <n v="54.75"/>
  </r>
  <r>
    <d v="2025-09-01T07:20:00"/>
    <s v="INYECTADO"/>
    <x v="7"/>
    <x v="197"/>
    <s v="MARJORIE VILCHEZ"/>
    <s v="SEGUNDA"/>
    <s v="."/>
    <s v="PP INY MOLIDO"/>
    <s v="ESCURRIDOR PORTA VAJILLA"/>
    <s v="ESCURRIDOR PORTAVAJILLA-TURQUESA"/>
    <n v="365"/>
    <n v="5"/>
    <n v="87.7"/>
    <x v="0"/>
    <m/>
    <n v="14"/>
    <m/>
    <n v="22294"/>
    <s v="TURQUESA"/>
    <n v="9"/>
    <n v="0"/>
    <n v="0"/>
    <n v="89.79"/>
    <n v="87.7"/>
    <n v="246"/>
    <n v="356.5040650406504"/>
    <x v="7"/>
    <x v="0"/>
    <n v="35"/>
    <n v="1"/>
    <n v="30.416666666666668"/>
  </r>
  <r>
    <d v="2025-09-01T07:20:00"/>
    <s v="INYECTADO"/>
    <x v="7"/>
    <x v="197"/>
    <s v="MARJORIE VILCHEZ"/>
    <s v="SEGUNDA"/>
    <s v="."/>
    <s v="PP INY MOLIDO"/>
    <s v="ESCURRIDOR PORTA VAJILLA"/>
    <s v="ESCURRIDOR PORTAVAJILLA-CREMA"/>
    <n v="90"/>
    <n v="1"/>
    <n v="21.6"/>
    <x v="0"/>
    <m/>
    <n v="3"/>
    <m/>
    <n v="22294"/>
    <s v="CREMA"/>
    <n v="11.2"/>
    <n v="0"/>
    <n v="0"/>
    <n v="22.14"/>
    <n v="21.6"/>
    <n v="246"/>
    <n v="87.804878048780495"/>
    <x v="7"/>
    <x v="0"/>
    <n v="35"/>
    <n v="1"/>
    <n v="7.5"/>
  </r>
  <r>
    <d v="2025-09-01T07:20:00"/>
    <s v="INYECTADO"/>
    <x v="7"/>
    <x v="197"/>
    <s v="MARJORIE VILCHEZ"/>
    <s v="SEGUNDA"/>
    <s v="."/>
    <s v="PP INY MOLIDO"/>
    <s v="ESCURRIDOR PORTA VAJILLA"/>
    <s v="ESCURRIDOR PORTAVAJILLA-VERDE"/>
    <n v="95"/>
    <n v="2"/>
    <n v="22.9"/>
    <x v="0"/>
    <m/>
    <n v="4"/>
    <m/>
    <n v="22294"/>
    <s v="VERDE"/>
    <n v="16.399999999999999"/>
    <n v="0"/>
    <n v="0"/>
    <n v="23.37"/>
    <n v="22.9"/>
    <n v="246"/>
    <n v="93.089430894308947"/>
    <x v="7"/>
    <x v="0"/>
    <n v="35"/>
    <n v="1"/>
    <n v="7.916666666666667"/>
  </r>
  <r>
    <d v="2025-09-01T07:20:00"/>
    <s v="INYECTADO"/>
    <x v="7"/>
    <x v="197"/>
    <s v="MARJORIE VILCHEZ"/>
    <s v="SEGUNDA"/>
    <s v="."/>
    <s v="PP INY MOLIDO"/>
    <s v="ESCURRIDOR PORTA VAJILLA"/>
    <s v="ESCURRIDOR PORTAVAJILLA-MELON"/>
    <n v="48"/>
    <n v="1"/>
    <n v="11.6"/>
    <x v="0"/>
    <m/>
    <n v="1"/>
    <m/>
    <n v="22294"/>
    <s v="MELON"/>
    <n v="1.9"/>
    <n v="0"/>
    <n v="0"/>
    <n v="11.808"/>
    <n v="11.6"/>
    <n v="246"/>
    <n v="47.154471544715449"/>
    <x v="7"/>
    <x v="0"/>
    <n v="35"/>
    <n v="1"/>
    <n v="4"/>
  </r>
  <r>
    <d v="2025-09-01T07:20:00"/>
    <s v="INYECTADO"/>
    <x v="7"/>
    <x v="192"/>
    <s v="LUIS RENGIFO"/>
    <s v="VIRGEN"/>
    <s v="PP CLARIFICADO"/>
    <s v="."/>
    <s v="PORTA CUBIERTOS PASTEL"/>
    <s v="PORTA CUBIERTOS PASTEL-ROSADO"/>
    <n v="215"/>
    <n v="3"/>
    <n v="40.6"/>
    <x v="0"/>
    <m/>
    <n v="4"/>
    <m/>
    <n v="22295"/>
    <s v="ROSADO"/>
    <n v="3.2"/>
    <n v="0"/>
    <n v="0"/>
    <n v="27.305"/>
    <n v="40.6"/>
    <n v="127"/>
    <n v="319.68503937007875"/>
    <x v="7"/>
    <x v="0"/>
    <n v="35"/>
    <n v="6"/>
    <n v="107.5"/>
  </r>
  <r>
    <d v="2025-09-01T07:20:00"/>
    <s v="INYECTADO"/>
    <x v="7"/>
    <x v="198"/>
    <s v="MARJORIE VILCHEZ"/>
    <s v="VIRGEN"/>
    <s v="PP CLARIFICADO"/>
    <s v="."/>
    <s v="PORTA CUBIERTOS PASTEL"/>
    <s v="PORTA CUBIERTOS PASTEL-ROSADO"/>
    <n v="360"/>
    <n v="4"/>
    <n v="52.2"/>
    <x v="0"/>
    <m/>
    <n v="5"/>
    <m/>
    <n v="22296"/>
    <s v="ROSADO"/>
    <n v="10.6"/>
    <n v="0"/>
    <n v="0"/>
    <n v="45.72"/>
    <n v="52.2"/>
    <n v="127"/>
    <n v="411.02362204724409"/>
    <x v="7"/>
    <x v="0"/>
    <n v="35"/>
    <n v="6"/>
    <n v="180"/>
  </r>
  <r>
    <d v="2025-09-01T07:20:00"/>
    <s v="INYECTADO"/>
    <x v="7"/>
    <x v="198"/>
    <s v="MARJORIE VILCHEZ"/>
    <s v="VIRGEN"/>
    <s v="PP CLARIFICADO"/>
    <s v="."/>
    <s v="PORTA CUBIERTOS PASTEL"/>
    <s v="PORTA CUBIERTOS PASTEL-LILA"/>
    <n v="126"/>
    <n v="2"/>
    <n v="17.7"/>
    <x v="0"/>
    <m/>
    <n v="2"/>
    <m/>
    <n v="22296"/>
    <s v="LILA"/>
    <n v="6.5"/>
    <n v="0"/>
    <n v="0"/>
    <n v="16.001999999999999"/>
    <n v="17.7"/>
    <n v="127"/>
    <n v="139.37007874015748"/>
    <x v="7"/>
    <x v="0"/>
    <n v="35"/>
    <n v="6"/>
    <n v="63"/>
  </r>
  <r>
    <d v="2025-09-01T07:20:00"/>
    <s v="SOPLADO"/>
    <x v="9"/>
    <x v="186"/>
    <s v="SAID VILLAMIZAR"/>
    <s v="VIRGEN"/>
    <s v="PP SOPLADO"/>
    <s v="."/>
    <s v="SALSERO MULTIUSO 480 ML"/>
    <s v="SALSERO MULTIUSO 480ML-TRANSPARENTE"/>
    <n v="479"/>
    <n v="5"/>
    <n v="19.8"/>
    <x v="0"/>
    <m/>
    <n v="3"/>
    <n v="1185"/>
    <n v="21467"/>
    <s v="TRANSPARENTE"/>
    <n v="8.1999999999999993"/>
    <n v="0"/>
    <n v="0"/>
    <n v="18.202000000000002"/>
    <n v="19.8"/>
    <n v="38"/>
    <n v="521.0526315789474"/>
    <x v="7"/>
    <x v="0"/>
    <n v="34"/>
    <n v="1"/>
    <n v="39.916666666666664"/>
  </r>
  <r>
    <d v="2025-09-01T07:20:00"/>
    <s v="SOPLADO"/>
    <x v="9"/>
    <x v="189"/>
    <s v="ISABEL LINARIZ "/>
    <s v="VIRGEN"/>
    <s v="PP SOPLADO"/>
    <s v="."/>
    <s v="SALSERO MULTIUSO 480 ML"/>
    <s v="SALSERO MULTIUSO 480ML-TRANSPARENTE"/>
    <n v="1403"/>
    <n v="11"/>
    <n v="46.3"/>
    <x v="0"/>
    <m/>
    <n v="7"/>
    <n v="1185"/>
    <n v="21468"/>
    <s v="TRANSPARENTE"/>
    <n v="20.100000000000001"/>
    <n v="0"/>
    <n v="0"/>
    <n v="53.314"/>
    <n v="46.3"/>
    <n v="38"/>
    <n v="1218.421052631579"/>
    <x v="7"/>
    <x v="0"/>
    <n v="34"/>
    <n v="1"/>
    <n v="116.91666666666667"/>
  </r>
  <r>
    <d v="2025-09-01T07:20:00"/>
    <s v="SOPLADO"/>
    <x v="9"/>
    <x v="190"/>
    <s v="NELSON PINEDO"/>
    <s v="VIRGEN"/>
    <s v="PP SOPLADO"/>
    <s v="."/>
    <s v="SALSERO MULTIUSO 1200ML"/>
    <s v="SALSERO MULTIUSO 1200ML-TRANSPARENTE"/>
    <n v="60"/>
    <n v="1"/>
    <n v="3.6"/>
    <x v="0"/>
    <m/>
    <n v="1"/>
    <m/>
    <n v="21469"/>
    <s v="TRANSPARENTE"/>
    <n v="0"/>
    <n v="0"/>
    <n v="0"/>
    <n v="3.9"/>
    <n v="3.6"/>
    <n v="65"/>
    <n v="55.384615384615387"/>
    <x v="7"/>
    <x v="0"/>
    <n v="34"/>
    <n v="1"/>
    <n v="5"/>
  </r>
  <r>
    <d v="2025-09-01T07:20:00"/>
    <s v="SOPLADO"/>
    <x v="9"/>
    <x v="190"/>
    <s v="ISABEL LINARIZ "/>
    <s v="VIRGEN"/>
    <s v="PP SOPLADO"/>
    <s v="."/>
    <s v="SALSERO MULTIUSO 1200ML"/>
    <s v="SALSERO MULTIUSO 1200ML-TRANSPARENTE"/>
    <n v="1537"/>
    <n v="12"/>
    <n v="94.1"/>
    <x v="0"/>
    <m/>
    <n v="15"/>
    <m/>
    <n v="21470"/>
    <s v="TRANSPARENTE"/>
    <n v="34.1"/>
    <n v="0"/>
    <n v="0"/>
    <n v="99.905000000000001"/>
    <n v="94.1"/>
    <n v="65"/>
    <n v="1447.6923076923076"/>
    <x v="7"/>
    <x v="0"/>
    <n v="34"/>
    <n v="1"/>
    <n v="128.08333333333334"/>
  </r>
  <r>
    <d v="2025-09-01T07:20:00"/>
    <s v="SOPLADO"/>
    <x v="9"/>
    <x v="192"/>
    <s v="MARJORIE VILCHEZ"/>
    <s v="VIRGEN"/>
    <s v="PP SOPLADO"/>
    <s v="."/>
    <s v="SALSERO MULTIUSO 1200ML"/>
    <s v="SALSERO MULTIUSO 1200ML-TRANSPARENTE"/>
    <n v="1275"/>
    <n v="11"/>
    <n v="79.099999999999994"/>
    <x v="0"/>
    <m/>
    <n v="12"/>
    <m/>
    <n v="21471"/>
    <s v="TRANSPARENTE"/>
    <n v="38.700000000000003"/>
    <n v="0"/>
    <n v="0"/>
    <n v="82.875"/>
    <n v="79.099999999999994"/>
    <n v="65"/>
    <n v="1216.9230769230769"/>
    <x v="7"/>
    <x v="0"/>
    <n v="35"/>
    <n v="1"/>
    <n v="106.25"/>
  </r>
  <r>
    <d v="2025-09-01T07:20:00"/>
    <s v="SOPLADO"/>
    <x v="9"/>
    <x v="192"/>
    <s v="GABRIEL REQUENA"/>
    <s v="VIRGEN"/>
    <s v="PP SOPLADO"/>
    <s v="."/>
    <s v="SALSERO MULTIUSO 1200ML"/>
    <s v="SALSERO MULTIUSO 1200ML-TRANSPARENTE"/>
    <n v="1558"/>
    <n v="12"/>
    <n v="93.5"/>
    <x v="1"/>
    <m/>
    <n v="14"/>
    <m/>
    <n v="21472"/>
    <s v="TRANSPARENTE"/>
    <n v="23"/>
    <n v="0"/>
    <n v="0"/>
    <n v="101.27"/>
    <n v="93.5"/>
    <n v="65"/>
    <n v="1438.4615384615386"/>
    <x v="7"/>
    <x v="0"/>
    <n v="35"/>
    <n v="1"/>
    <n v="129.83333333333334"/>
  </r>
  <r>
    <d v="2025-09-01T07:20:00"/>
    <s v="SOPLADO"/>
    <x v="9"/>
    <x v="198"/>
    <s v="LUIS PINEDO"/>
    <s v="VIRGEN"/>
    <s v="PP SOPLADO"/>
    <s v="."/>
    <s v="TOMATODO AVENTURA 600ML"/>
    <s v="TOMATODO AVENTURA 600ML-TRANSPARENTE"/>
    <n v="229"/>
    <n v="3"/>
    <n v="11"/>
    <x v="0"/>
    <m/>
    <n v="2"/>
    <m/>
    <n v="21473"/>
    <s v="TRANSPARENTE"/>
    <n v="0"/>
    <n v="0"/>
    <n v="0"/>
    <n v="10.534000000000001"/>
    <n v="11"/>
    <n v="46"/>
    <n v="239.13043478260869"/>
    <x v="7"/>
    <x v="0"/>
    <n v="35"/>
    <n v="1"/>
    <n v="19.083333333333332"/>
  </r>
  <r>
    <d v="2025-09-01T07:20:00"/>
    <s v="SOPLADO"/>
    <x v="9"/>
    <x v="198"/>
    <s v="ISABEL LINARIZ "/>
    <s v="VIRGEN"/>
    <s v="PP SOPLADO"/>
    <s v="."/>
    <s v="TOMATODO AVENTURA 600ML"/>
    <s v="TOMATODO AVENTURA 600ML-TRANSPARENTE"/>
    <n v="952"/>
    <n v="8"/>
    <n v="45.7"/>
    <x v="1"/>
    <m/>
    <n v="6"/>
    <m/>
    <n v="21474"/>
    <s v="TRANSPARENTE"/>
    <n v="0"/>
    <n v="0"/>
    <n v="0"/>
    <n v="43.792000000000002"/>
    <n v="45.7"/>
    <n v="46"/>
    <n v="993.47826086956525"/>
    <x v="7"/>
    <x v="0"/>
    <n v="35"/>
    <n v="1"/>
    <n v="79.333333333333329"/>
  </r>
  <r>
    <d v="2025-09-01T07:20:00"/>
    <s v="INYECTADO"/>
    <x v="8"/>
    <x v="189"/>
    <s v="SAID VILLAMIZAR"/>
    <s v="VIRGEN"/>
    <s v="PP CLARIFICADO"/>
    <s v="."/>
    <s v="BASE PORTA VAJILLA-TRANSPARENTE"/>
    <s v="BASE PORTA VAJILLA-TRANSPARENTE"/>
    <n v="30"/>
    <n v="1"/>
    <n v="13.1"/>
    <x v="0"/>
    <m/>
    <n v="1"/>
    <m/>
    <n v="22173"/>
    <s v="TRANSPARENTE"/>
    <n v="3.1"/>
    <n v="0"/>
    <n v="0"/>
    <n v="11.28"/>
    <n v="13.1"/>
    <n v="376"/>
    <n v="34.840425531914896"/>
    <x v="7"/>
    <x v="0"/>
    <n v="34"/>
    <n v="1"/>
    <n v="2.5"/>
  </r>
  <r>
    <d v="2025-09-01T07:20:00"/>
    <s v="INYECTADO"/>
    <x v="8"/>
    <x v="189"/>
    <s v="GABRIEL REQUENA"/>
    <s v="VIRGEN"/>
    <s v="PP CLARIFICADO"/>
    <s v="."/>
    <s v="BASE PORTA VAJILLA-TRANSPARENTE"/>
    <s v="BASE PORTA VAJILLA-TRANSPARENTE"/>
    <n v="968"/>
    <n v="11"/>
    <n v="426"/>
    <x v="1"/>
    <m/>
    <n v="33"/>
    <m/>
    <n v="22174"/>
    <s v="TRANSPARENTE"/>
    <n v="0"/>
    <n v="0"/>
    <n v="0"/>
    <n v="363.96800000000002"/>
    <n v="426"/>
    <n v="376"/>
    <n v="1132.9787234042553"/>
    <x v="7"/>
    <x v="0"/>
    <n v="34"/>
    <n v="1"/>
    <n v="80.666666666666671"/>
  </r>
  <r>
    <d v="2025-09-01T07:20:00"/>
    <s v="INYECTADO"/>
    <x v="8"/>
    <x v="190"/>
    <s v="ISABEL LINARIZ "/>
    <s v="VIRGEN"/>
    <s v="PP CLARIFICADO"/>
    <s v="."/>
    <s v="BASE PORTA VAJILLA-TRANSPARENTE"/>
    <s v="BASE PORTA VAJILLA-TRANSPARENTE"/>
    <n v="487"/>
    <n v="6"/>
    <n v="207"/>
    <x v="0"/>
    <m/>
    <n v="16"/>
    <m/>
    <n v="22175"/>
    <s v="TRANSPARENTE"/>
    <n v="0"/>
    <n v="0"/>
    <n v="0"/>
    <n v="183.11199999999999"/>
    <n v="207"/>
    <n v="376"/>
    <n v="550.531914893617"/>
    <x v="7"/>
    <x v="0"/>
    <n v="34"/>
    <n v="1"/>
    <n v="40.583333333333336"/>
  </r>
  <r>
    <d v="2025-09-01T07:20:00"/>
    <s v="INYECTADO"/>
    <x v="8"/>
    <x v="191"/>
    <s v="NELSON PINEDO"/>
    <s v="VIRGEN"/>
    <s v="PP CLARIFICADO"/>
    <s v="."/>
    <s v="BASE ORGANIZADOR  DE 3KG CARAMELO"/>
    <s v="BASE ORGANIZADOR  DE 3KG CARAMELO-AMARILLO"/>
    <n v="362"/>
    <n v="5"/>
    <n v="34.799999999999997"/>
    <x v="0"/>
    <m/>
    <n v="6"/>
    <m/>
    <n v="22176"/>
    <s v="AMARILLO"/>
    <n v="10.3"/>
    <n v="0"/>
    <n v="0"/>
    <n v="35.475999999999999"/>
    <n v="34.799999999999997"/>
    <n v="98"/>
    <n v="355.10204081632651"/>
    <x v="7"/>
    <x v="0"/>
    <n v="34"/>
    <n v="2"/>
    <n v="60.333333333333336"/>
  </r>
  <r>
    <d v="2025-09-01T07:20:00"/>
    <s v="INYECTADO"/>
    <x v="8"/>
    <x v="191"/>
    <s v="GABRIEL REQUENA"/>
    <s v="VIRGEN"/>
    <s v="PP CLARIFICADO"/>
    <s v="."/>
    <s v="BASE ORGANIZADOR  DE 3KG CARAMELO"/>
    <s v="BASE ORGANIZADOR  DE 3KG CARAMELO-VERDE"/>
    <n v="240"/>
    <n v="3"/>
    <n v="23"/>
    <x v="1"/>
    <m/>
    <n v="4"/>
    <m/>
    <n v="22177"/>
    <s v="VERDE"/>
    <n v="8.1999999999999993"/>
    <n v="0"/>
    <n v="0"/>
    <n v="23.52"/>
    <n v="23"/>
    <n v="98"/>
    <n v="234.69387755102042"/>
    <x v="7"/>
    <x v="0"/>
    <n v="34"/>
    <n v="2"/>
    <n v="40"/>
  </r>
  <r>
    <d v="2025-09-01T07:20:00"/>
    <s v="INYECTADO"/>
    <x v="8"/>
    <x v="191"/>
    <s v="GABRIEL REQUENA"/>
    <s v="VIRGEN"/>
    <s v="PP CLARIFICADO"/>
    <s v="."/>
    <s v="BASE ORGANIZADOR DE 3KG PASTEL"/>
    <s v="BASE ORGANIZADOR DE 3KG PASTEL-CELESTE"/>
    <n v="195"/>
    <n v="3"/>
    <n v="18.899999999999999"/>
    <x v="1"/>
    <m/>
    <n v="3"/>
    <m/>
    <n v="22177"/>
    <s v="CELESTE"/>
    <n v="6.4"/>
    <n v="0"/>
    <n v="0"/>
    <n v="19.11"/>
    <n v="18.899999999999999"/>
    <n v="98"/>
    <n v="192.85714285714286"/>
    <x v="7"/>
    <x v="0"/>
    <n v="34"/>
    <n v="2"/>
    <n v="32.5"/>
  </r>
  <r>
    <d v="2025-09-01T07:20:00"/>
    <s v="INYECTADO"/>
    <x v="8"/>
    <x v="191"/>
    <s v="GABRIEL REQUENA"/>
    <s v="VIRGEN"/>
    <s v="PP CLARIFICADO"/>
    <s v="."/>
    <s v="BASE ORGANIZADOR DE 3KG PASTEL"/>
    <s v="BASE ORGANIZADOR DE 3KG PASTEL-ROSADO"/>
    <n v="188"/>
    <n v="2"/>
    <n v="18.2"/>
    <x v="1"/>
    <m/>
    <n v="3"/>
    <m/>
    <n v="22177"/>
    <s v="ROSADO"/>
    <n v="7.7"/>
    <n v="0"/>
    <n v="0"/>
    <n v="18.423999999999999"/>
    <n v="18.2"/>
    <n v="98"/>
    <n v="185.71428571428572"/>
    <x v="7"/>
    <x v="0"/>
    <n v="34"/>
    <n v="2"/>
    <n v="31.333333333333332"/>
  </r>
  <r>
    <d v="2025-09-01T07:20:00"/>
    <s v="INYECTADO"/>
    <x v="8"/>
    <x v="191"/>
    <s v="GABRIEL REQUENA"/>
    <s v="VIRGEN"/>
    <s v="PP CLARIFICADO"/>
    <s v="."/>
    <s v="BASE ORGANIZADOR DE 3KG PASTEL"/>
    <s v="BASE ORGANIZADOR DE 3KG PASTEL-LILA"/>
    <n v="184"/>
    <n v="2"/>
    <n v="17.8"/>
    <x v="1"/>
    <m/>
    <n v="3"/>
    <m/>
    <n v="22177"/>
    <s v="LILA"/>
    <n v="0"/>
    <n v="0"/>
    <n v="0"/>
    <n v="18.032"/>
    <n v="17.8"/>
    <n v="98"/>
    <n v="181.63265306122449"/>
    <x v="7"/>
    <x v="0"/>
    <n v="34"/>
    <n v="2"/>
    <n v="30.666666666666668"/>
  </r>
  <r>
    <d v="2025-09-01T07:20:00"/>
    <s v="INYECTADO"/>
    <x v="8"/>
    <x v="191"/>
    <s v="GABRIEL REQUENA"/>
    <s v="VIRGEN"/>
    <s v="PP CLARIFICADO"/>
    <s v="."/>
    <s v="BASE ORGANIZADOR DE 3KG PASTEL"/>
    <s v="BASE ORGANIZADOR DE 3KG PASTEL-SANDIA"/>
    <n v="126"/>
    <n v="2"/>
    <n v="12.2"/>
    <x v="1"/>
    <m/>
    <n v="2"/>
    <m/>
    <n v="22177"/>
    <s v="SANDIA"/>
    <n v="1.5"/>
    <n v="0"/>
    <n v="0"/>
    <n v="12.348000000000001"/>
    <n v="12.2"/>
    <n v="98"/>
    <n v="124.48979591836735"/>
    <x v="7"/>
    <x v="0"/>
    <n v="34"/>
    <n v="2"/>
    <n v="21"/>
  </r>
  <r>
    <d v="2025-09-01T07:20:00"/>
    <s v="INYECTADO"/>
    <x v="8"/>
    <x v="193"/>
    <s v="MARJORIE VILCHEZ"/>
    <s v="VIRGEN"/>
    <s v="PP CLARIFICADO"/>
    <s v="."/>
    <s v="BASE ORGANIZADOR DE 3KG PASTEL"/>
    <s v="BASE ORGANIZADOR DE 3KG PASTEL-SANDIA"/>
    <n v="383"/>
    <n v="4"/>
    <n v="37.1"/>
    <x v="0"/>
    <m/>
    <n v="7"/>
    <m/>
    <n v="22178"/>
    <s v="SANDIA"/>
    <n v="11.5"/>
    <n v="0"/>
    <n v="0"/>
    <n v="37.533999999999999"/>
    <n v="37.1"/>
    <n v="98"/>
    <n v="378.57142857142856"/>
    <x v="7"/>
    <x v="0"/>
    <n v="34"/>
    <n v="2"/>
    <n v="63.833333333333336"/>
  </r>
  <r>
    <d v="2025-09-01T07:20:00"/>
    <s v="INYECTADO"/>
    <x v="8"/>
    <x v="193"/>
    <s v="MARJORIE VILCHEZ"/>
    <s v="VIRGEN"/>
    <s v="PP CLARIFICADO"/>
    <s v="."/>
    <s v="BASE ORGANIZADOR DE 3KG PASTEL"/>
    <s v="BASE ORGANIZADOR DE 3KG PASTEL-TURQUESA"/>
    <n v="300"/>
    <n v="3"/>
    <n v="29.1"/>
    <x v="0"/>
    <m/>
    <n v="5"/>
    <m/>
    <n v="22178"/>
    <s v="TURQUESA"/>
    <n v="15.6"/>
    <n v="0"/>
    <n v="0"/>
    <n v="29.4"/>
    <n v="29.1"/>
    <n v="98"/>
    <n v="296.9387755102041"/>
    <x v="7"/>
    <x v="0"/>
    <n v="34"/>
    <n v="2"/>
    <n v="50"/>
  </r>
  <r>
    <d v="2025-09-01T07:20:00"/>
    <s v="INYECTADO"/>
    <x v="8"/>
    <x v="193"/>
    <s v="JOSDER GONZALEZ"/>
    <s v="VIRGEN"/>
    <s v="PP CLARIFICADO"/>
    <s v="."/>
    <s v="BASE ORGANIZADOR DE 3KG PASTEL"/>
    <s v="BASE ORGANIZADOR DE 3KG PASTEL-TURQUESA"/>
    <n v="92"/>
    <n v="1"/>
    <n v="8.9"/>
    <x v="1"/>
    <m/>
    <n v="2"/>
    <m/>
    <n v="22179"/>
    <s v="TURQUESA"/>
    <n v="4.5999999999999996"/>
    <n v="0"/>
    <n v="0"/>
    <n v="9.016"/>
    <n v="8.9"/>
    <n v="98"/>
    <n v="90.816326530612244"/>
    <x v="7"/>
    <x v="0"/>
    <n v="34"/>
    <n v="2"/>
    <n v="15.333333333333334"/>
  </r>
  <r>
    <d v="2025-09-01T07:20:00"/>
    <s v="INYECTADO"/>
    <x v="8"/>
    <x v="193"/>
    <s v="JOSDER GONZALEZ"/>
    <s v="VIRGEN"/>
    <s v="PP CLARIFICADO"/>
    <s v="."/>
    <s v="BASE ORGANIZADOR DE 3KG PASTEL"/>
    <s v="BASE ORGANIZADOR DE 3KG PASTEL-CELESTE"/>
    <n v="293"/>
    <n v="3"/>
    <n v="28.4"/>
    <x v="1"/>
    <m/>
    <n v="5"/>
    <m/>
    <n v="22179"/>
    <s v="CELESTE"/>
    <n v="3.8"/>
    <n v="0"/>
    <n v="0"/>
    <n v="28.713999999999999"/>
    <n v="28.4"/>
    <n v="98"/>
    <n v="289.79591836734693"/>
    <x v="7"/>
    <x v="0"/>
    <n v="34"/>
    <n v="2"/>
    <n v="48.833333333333336"/>
  </r>
  <r>
    <d v="2025-09-01T07:20:00"/>
    <s v="INYECTADO"/>
    <x v="8"/>
    <x v="193"/>
    <s v="JOSDER GONZALEZ"/>
    <s v="VIRGEN"/>
    <s v="PP CLARIFICADO"/>
    <s v="."/>
    <s v="BASE ORGANIZADOR DE 3KG PASTEL"/>
    <s v="BASE ORGANIZADOR DE 3KG PASTEL-AZURE"/>
    <n v="495"/>
    <n v="5"/>
    <n v="48"/>
    <x v="1"/>
    <m/>
    <n v="9"/>
    <m/>
    <n v="22179"/>
    <s v="AZURE"/>
    <n v="9.1999999999999993"/>
    <n v="0"/>
    <n v="0"/>
    <n v="48.51"/>
    <n v="48"/>
    <n v="98"/>
    <n v="489.79591836734693"/>
    <x v="7"/>
    <x v="0"/>
    <n v="34"/>
    <n v="2"/>
    <n v="82.5"/>
  </r>
  <r>
    <d v="2025-09-01T07:20:00"/>
    <s v="INYECTADO"/>
    <x v="8"/>
    <x v="193"/>
    <s v="JOSDER GONZALEZ"/>
    <s v="VIRGEN"/>
    <s v="PP CLARIFICADO"/>
    <s v="."/>
    <s v="BASE ORGANIZADOR DE 3KG PASTEL"/>
    <s v="BASE ORGANIZADOR DE 3KG PASTEL-ROSADO"/>
    <n v="141"/>
    <n v="2"/>
    <n v="13.6"/>
    <x v="1"/>
    <m/>
    <n v="3"/>
    <m/>
    <n v="22179"/>
    <s v="ROSADO"/>
    <n v="1.7"/>
    <n v="0"/>
    <n v="0"/>
    <n v="13.818"/>
    <n v="13.6"/>
    <n v="98"/>
    <n v="138.77551020408163"/>
    <x v="7"/>
    <x v="0"/>
    <n v="34"/>
    <n v="2"/>
    <n v="23.5"/>
  </r>
  <r>
    <d v="2025-09-01T07:20:00"/>
    <s v="SOPLADO"/>
    <x v="12"/>
    <x v="191"/>
    <s v="LUIS PINEDO"/>
    <s v="VIRGEN"/>
    <s v="PP SOPLADO"/>
    <s v="."/>
    <s v="FLORERO ITALIANO GRANDE"/>
    <s v="FLORERO ITALIANO GRANDE-BLANCO"/>
    <n v="1036"/>
    <n v="10"/>
    <n v="93.3"/>
    <x v="0"/>
    <m/>
    <n v="20"/>
    <n v="1196"/>
    <n v="22333"/>
    <s v="BLANCO"/>
    <n v="35.200000000000003"/>
    <n v="0"/>
    <n v="0"/>
    <n v="91.168000000000006"/>
    <n v="93.3"/>
    <n v="88"/>
    <n v="1060.2272727272727"/>
    <x v="7"/>
    <x v="0"/>
    <n v="34"/>
    <n v="1"/>
    <n v="86.333333333333329"/>
  </r>
  <r>
    <d v="2025-09-01T07:20:00"/>
    <s v="SOPLADO"/>
    <x v="12"/>
    <x v="193"/>
    <s v="LUIS PINEDO"/>
    <s v="VIRGEN"/>
    <s v="PP SOPLADO"/>
    <s v="."/>
    <s v="FLORERO ITALIANO GRANDE"/>
    <s v="FLORERO ITALIANO GRANDE-BLANCO"/>
    <n v="45"/>
    <n v="1"/>
    <n v="4.0999999999999996"/>
    <x v="0"/>
    <m/>
    <n v="1"/>
    <n v="1196"/>
    <n v="22334"/>
    <s v="BLANCO"/>
    <n v="4"/>
    <n v="0"/>
    <n v="0"/>
    <n v="3.96"/>
    <n v="4.0999999999999996"/>
    <n v="88"/>
    <n v="46.590909090909093"/>
    <x v="7"/>
    <x v="0"/>
    <n v="34"/>
    <n v="1"/>
    <n v="3.75"/>
  </r>
  <r>
    <d v="2025-09-01T07:20:00"/>
    <s v="SOPLADO"/>
    <x v="12"/>
    <x v="193"/>
    <s v="LUIS PINEDO"/>
    <s v="VIRGEN"/>
    <s v="PP SOPLADO"/>
    <s v="."/>
    <s v="FLORERO ITALIANO GRANDE"/>
    <s v="FLORERO ITALIANO GRANDE PASTEL-CREMA"/>
    <n v="416"/>
    <n v="4"/>
    <n v="37.5"/>
    <x v="0"/>
    <m/>
    <n v="8"/>
    <n v="1196"/>
    <n v="22334"/>
    <s v="CREMA"/>
    <n v="18.8"/>
    <n v="0"/>
    <n v="0"/>
    <n v="37.44"/>
    <n v="37.5"/>
    <n v="90"/>
    <n v="416.66666666666669"/>
    <x v="7"/>
    <x v="0"/>
    <n v="34"/>
    <n v="1"/>
    <n v="34.666666666666664"/>
  </r>
  <r>
    <d v="2025-09-01T07:20:00"/>
    <s v="SOPLADO"/>
    <x v="12"/>
    <x v="193"/>
    <s v="LUIS PINEDO"/>
    <s v="VIRGEN"/>
    <s v="PP SOPLADO"/>
    <s v="."/>
    <s v="FLORERO ITALIANO GRANDE"/>
    <s v="FLORERO ITALIANO GRANDE PASTEL-CELESTE"/>
    <n v="414"/>
    <n v="4"/>
    <n v="37.299999999999997"/>
    <x v="0"/>
    <m/>
    <n v="8"/>
    <n v="1196"/>
    <n v="22334"/>
    <s v="CELESTE"/>
    <n v="18.7"/>
    <n v="0"/>
    <n v="0"/>
    <n v="37.26"/>
    <n v="37.299999999999997"/>
    <n v="90"/>
    <n v="414.44444444444446"/>
    <x v="7"/>
    <x v="0"/>
    <n v="34"/>
    <n v="1"/>
    <n v="34.5"/>
  </r>
  <r>
    <d v="2025-09-01T07:20:00"/>
    <s v="SOPLADO"/>
    <x v="12"/>
    <x v="194"/>
    <s v="LUIS PINEDO"/>
    <s v="VIRGEN"/>
    <s v="PP SOPLADO"/>
    <s v="."/>
    <s v="FLORERO ITALIANO GRANDE"/>
    <s v="FLORERO ITALIANO GRANDE PASTEL-TURQUESA"/>
    <n v="402"/>
    <n v="4"/>
    <n v="36.6"/>
    <x v="0"/>
    <m/>
    <n v="7"/>
    <n v="1196"/>
    <n v="22335"/>
    <s v="TURQUESA"/>
    <n v="19.600000000000001"/>
    <n v="0"/>
    <n v="0"/>
    <n v="36.18"/>
    <n v="36.6"/>
    <n v="90"/>
    <n v="406.66666666666669"/>
    <x v="7"/>
    <x v="0"/>
    <n v="35"/>
    <n v="1"/>
    <n v="33.5"/>
  </r>
  <r>
    <d v="2025-09-01T07:20:00"/>
    <s v="SOPLADO"/>
    <x v="12"/>
    <x v="194"/>
    <s v="LUIS PINEDO"/>
    <s v="VIRGEN"/>
    <s v="PP SOPLADO"/>
    <s v="."/>
    <s v="FLORERO ITALIANO GRANDE"/>
    <s v="FLORERO ITALIANO GRANDE PASTEL-ROSADO"/>
    <n v="240"/>
    <n v="3"/>
    <n v="21.9"/>
    <x v="0"/>
    <m/>
    <n v="3"/>
    <n v="1196"/>
    <n v="22335"/>
    <s v="ROSADO"/>
    <n v="11.1"/>
    <n v="0"/>
    <n v="0"/>
    <n v="21.6"/>
    <n v="21.9"/>
    <n v="90"/>
    <n v="243.33333333333334"/>
    <x v="7"/>
    <x v="0"/>
    <n v="35"/>
    <n v="1"/>
    <n v="20"/>
  </r>
  <r>
    <d v="2025-09-01T07:20:00"/>
    <s v="SOPLADO"/>
    <x v="12"/>
    <x v="194"/>
    <s v="GABRIEL REQUENA"/>
    <s v="VIRGEN"/>
    <s v="PP SOPLADO"/>
    <s v="."/>
    <s v="FLORERO ITALIANO GRANDE"/>
    <s v="FLORERO ITALIANO GRANDE PASTEL-LILA"/>
    <n v="412"/>
    <n v="6"/>
    <n v="37.1"/>
    <x v="1"/>
    <m/>
    <n v="8"/>
    <n v="1196"/>
    <n v="22336"/>
    <s v="LILA"/>
    <n v="31.4"/>
    <n v="0"/>
    <n v="0"/>
    <n v="37.08"/>
    <n v="37.1"/>
    <n v="90"/>
    <n v="412.22222222222223"/>
    <x v="7"/>
    <x v="0"/>
    <n v="35"/>
    <n v="1"/>
    <n v="34.333333333333336"/>
  </r>
  <r>
    <d v="2025-09-01T07:20:00"/>
    <s v="SOPLADO"/>
    <x v="12"/>
    <x v="194"/>
    <s v="GABRIEL REQUENA"/>
    <s v="VIRGEN"/>
    <s v="PP SOPLADO"/>
    <s v="."/>
    <s v="FLORERO ITALIANO GRANDE"/>
    <s v="FLORERO ITALIANO GRANDE PASTEL-ROSADO"/>
    <n v="177"/>
    <n v="2"/>
    <n v="16"/>
    <x v="1"/>
    <m/>
    <n v="4"/>
    <n v="1196"/>
    <n v="22336"/>
    <s v="ROSADO"/>
    <n v="11.8"/>
    <n v="0"/>
    <n v="0"/>
    <n v="15.93"/>
    <n v="16"/>
    <n v="90"/>
    <n v="177.77777777777777"/>
    <x v="7"/>
    <x v="0"/>
    <n v="35"/>
    <n v="1"/>
    <n v="14.75"/>
  </r>
  <r>
    <d v="2025-09-01T07:20:00"/>
    <s v="SOPLADO"/>
    <x v="12"/>
    <x v="194"/>
    <s v="GABRIEL REQUENA"/>
    <s v="VIRGEN"/>
    <s v="PP SOPLADO"/>
    <s v="."/>
    <s v="FLORERO ITALIANO GRANDE"/>
    <s v="FLORERO ITALIANO GRANDE CARAMELO-AMARILLO"/>
    <n v="360"/>
    <n v="3"/>
    <n v="32.4"/>
    <x v="1"/>
    <m/>
    <n v="6"/>
    <n v="1196"/>
    <n v="22336"/>
    <s v="AMARILLO"/>
    <n v="11.1"/>
    <n v="0"/>
    <n v="0"/>
    <n v="32.4"/>
    <n v="32.4"/>
    <n v="90"/>
    <n v="360"/>
    <x v="7"/>
    <x v="0"/>
    <n v="35"/>
    <n v="1"/>
    <n v="30"/>
  </r>
  <r>
    <d v="2025-09-01T07:20:00"/>
    <s v="SOPLADO"/>
    <x v="12"/>
    <x v="195"/>
    <s v="LEYDI VALLEZ"/>
    <s v="VIRGEN"/>
    <s v="PP SOPLADO"/>
    <s v="."/>
    <s v="FLORERO ITALIANO GRANDE"/>
    <s v="FLORERO ITALIANO GRANDE CARAMELO-AMARILLO"/>
    <n v="24"/>
    <n v="1"/>
    <n v="2.1"/>
    <x v="0"/>
    <m/>
    <n v="1"/>
    <n v="1196"/>
    <n v="22337"/>
    <s v="AMARILLO"/>
    <n v="7.9"/>
    <n v="0"/>
    <n v="0"/>
    <n v="2.16"/>
    <n v="2.1"/>
    <n v="90"/>
    <n v="23.333333333333332"/>
    <x v="7"/>
    <x v="0"/>
    <n v="35"/>
    <n v="1"/>
    <n v="2"/>
  </r>
  <r>
    <d v="2025-09-01T07:20:00"/>
    <s v="SOPLADO"/>
    <x v="12"/>
    <x v="195"/>
    <s v="LEYDI VALLEZ"/>
    <s v="VIRGEN"/>
    <s v="PP SOPLADO"/>
    <s v="."/>
    <s v="FLORERO ITALIANO GRANDE"/>
    <s v="FLORERO ITALIANO GRANDE CARAMELO-VERDE"/>
    <n v="431"/>
    <n v="5"/>
    <n v="37.1"/>
    <x v="0"/>
    <m/>
    <n v="8"/>
    <n v="1196"/>
    <n v="22337"/>
    <s v="VERDE"/>
    <n v="28.7"/>
    <n v="0"/>
    <n v="0"/>
    <n v="38.79"/>
    <n v="37.1"/>
    <n v="90"/>
    <n v="412.22222222222223"/>
    <x v="7"/>
    <x v="0"/>
    <n v="35"/>
    <n v="1"/>
    <n v="35.916666666666664"/>
  </r>
  <r>
    <d v="2025-09-01T07:20:00"/>
    <s v="SOPLADO"/>
    <x v="12"/>
    <x v="195"/>
    <s v="LEYDI VALLEZ"/>
    <s v="VIRGEN"/>
    <s v="PP SOPLADO"/>
    <s v="."/>
    <s v="FLORERO ITALIANO GRANDE"/>
    <s v="FLORERO ITALIANO GRANDE CARAMELO-ANARANJADO"/>
    <n v="416"/>
    <n v="5"/>
    <n v="24.4"/>
    <x v="0"/>
    <m/>
    <n v="6"/>
    <n v="1196"/>
    <n v="22337"/>
    <s v="NARANJA"/>
    <n v="20.6"/>
    <n v="0"/>
    <n v="0"/>
    <n v="37.44"/>
    <n v="24.4"/>
    <n v="90"/>
    <n v="271.11111111111109"/>
    <x v="7"/>
    <x v="0"/>
    <n v="35"/>
    <n v="1"/>
    <n v="34.666666666666664"/>
  </r>
  <r>
    <d v="2025-09-01T07:20:00"/>
    <s v="SOPLADO"/>
    <x v="12"/>
    <x v="196"/>
    <s v="ROSA MERINO"/>
    <s v="VIRGEN"/>
    <s v="PP SOPLADO"/>
    <s v="."/>
    <s v="FLORERO ITALIANO GRANDE"/>
    <s v="FLORERO ITALIANO GRANDE CARAMELO-LILA"/>
    <n v="441"/>
    <n v="4"/>
    <n v="39.700000000000003"/>
    <x v="0"/>
    <m/>
    <n v="7"/>
    <n v="1196"/>
    <n v="22338"/>
    <s v="LILA"/>
    <n v="17.2"/>
    <n v="0"/>
    <n v="0"/>
    <n v="39.69"/>
    <n v="39.700000000000003"/>
    <n v="90"/>
    <n v="441.11111111111109"/>
    <x v="7"/>
    <x v="0"/>
    <n v="35"/>
    <n v="1"/>
    <n v="36.75"/>
  </r>
  <r>
    <d v="2025-09-01T07:20:00"/>
    <s v="SOPLADO"/>
    <x v="12"/>
    <x v="196"/>
    <s v="ROSA MERINO"/>
    <s v="VIRGEN"/>
    <s v="PP SOPLADO"/>
    <s v="."/>
    <s v="FLORERO ITALIANO GRANDE"/>
    <s v="FLORERO ITALIANO GRANDE CARAMELO-AZUL"/>
    <n v="440"/>
    <n v="5"/>
    <n v="36.1"/>
    <x v="0"/>
    <m/>
    <n v="8"/>
    <n v="1196"/>
    <n v="22338"/>
    <s v="AZUL"/>
    <n v="0"/>
    <n v="0"/>
    <n v="0"/>
    <n v="39.6"/>
    <n v="36.1"/>
    <n v="90"/>
    <n v="401.11111111111109"/>
    <x v="7"/>
    <x v="0"/>
    <n v="35"/>
    <n v="1"/>
    <n v="36.666666666666664"/>
  </r>
  <r>
    <d v="2025-09-01T07:20:00"/>
    <s v="SOPLADO"/>
    <x v="12"/>
    <x v="196"/>
    <s v="ROSA MERINO"/>
    <s v="VIRGEN"/>
    <s v="PP SOPLADO"/>
    <s v="."/>
    <s v="FLORERO ITALIANO GRANDE"/>
    <s v="FLORERO ITALIANO GRANDE CARAMELO-ANARANJADO"/>
    <n v="78"/>
    <n v="1"/>
    <n v="6.4"/>
    <x v="0"/>
    <m/>
    <n v="2"/>
    <n v="1196"/>
    <n v="22338"/>
    <s v="NARANJA"/>
    <n v="16.399999999999999"/>
    <n v="0"/>
    <n v="0"/>
    <n v="7.02"/>
    <n v="6.4"/>
    <n v="90"/>
    <n v="71.111111111111114"/>
    <x v="7"/>
    <x v="0"/>
    <n v="35"/>
    <n v="1"/>
    <n v="6.5"/>
  </r>
  <r>
    <d v="2025-09-01T07:20:00"/>
    <s v="SOPLADO"/>
    <x v="12"/>
    <x v="197"/>
    <s v="LUIS PINEDO"/>
    <s v="VIRGEN"/>
    <s v="PP SOPLADO"/>
    <s v="."/>
    <s v="FLORERO ITALIANO GRANDE"/>
    <s v="FLORERO ITALIANO GRANDE CARAMELO-FUCSIA"/>
    <n v="418"/>
    <n v="5"/>
    <n v="37.700000000000003"/>
    <x v="0"/>
    <m/>
    <n v="8"/>
    <n v="1196"/>
    <n v="22340"/>
    <s v="FUCSIA"/>
    <n v="17"/>
    <n v="0"/>
    <n v="0"/>
    <n v="37.619999999999997"/>
    <n v="37.700000000000003"/>
    <n v="90"/>
    <n v="418.88888888888891"/>
    <x v="7"/>
    <x v="0"/>
    <n v="35"/>
    <n v="1"/>
    <n v="34.833333333333336"/>
  </r>
  <r>
    <d v="2025-09-01T07:20:00"/>
    <s v="SOPLADO"/>
    <x v="12"/>
    <x v="196"/>
    <s v="GABRIEL REQUENA"/>
    <s v="VIRGEN"/>
    <s v="PP SOPLADO"/>
    <s v="."/>
    <s v="FLORERO ITALIANO GRANDE"/>
    <s v="FLORERO ITALIANO GRANDE CARAMELO-LILA"/>
    <n v="17"/>
    <n v="1"/>
    <n v="1.6"/>
    <x v="1"/>
    <m/>
    <n v="1"/>
    <m/>
    <n v="22339"/>
    <s v="LILA"/>
    <n v="13"/>
    <n v="0"/>
    <n v="0"/>
    <n v="1.53"/>
    <n v="1.6"/>
    <n v="90"/>
    <n v="17.777777777777779"/>
    <x v="7"/>
    <x v="0"/>
    <n v="35"/>
    <n v="1"/>
    <n v="1.4166666666666667"/>
  </r>
  <r>
    <d v="2025-09-01T07:20:00"/>
    <s v="SOPLADO"/>
    <x v="12"/>
    <x v="196"/>
    <s v="GABRIEL REQUENA"/>
    <s v="VIRGEN"/>
    <s v="PP SOPLADO"/>
    <s v="."/>
    <s v="FLORERO ITALIANO GRANDE"/>
    <s v="FLORERO ITALIANO GRANDE PASTEL-MELON"/>
    <n v="426"/>
    <n v="5"/>
    <n v="38.4"/>
    <x v="1"/>
    <m/>
    <n v="8"/>
    <m/>
    <n v="22339"/>
    <s v="MELON"/>
    <n v="24.8"/>
    <n v="0"/>
    <n v="0"/>
    <n v="38.340000000000003"/>
    <n v="38.4"/>
    <n v="90"/>
    <n v="426.66666666666669"/>
    <x v="7"/>
    <x v="0"/>
    <n v="35"/>
    <n v="1"/>
    <n v="35.5"/>
  </r>
  <r>
    <d v="2025-09-01T07:20:00"/>
    <s v="SOPLADO"/>
    <x v="12"/>
    <x v="197"/>
    <s v="GABRIEL REQUENA"/>
    <s v="SEGUNDA"/>
    <s v="."/>
    <s v="ALTA SOPLADO"/>
    <s v="FLORERO GIRASOL"/>
    <s v="FLORERO GIRASOL ATERRADO-MELON"/>
    <n v="361"/>
    <n v="5"/>
    <n v="41.2"/>
    <x v="1"/>
    <m/>
    <n v="4"/>
    <m/>
    <n v="22341"/>
    <s v="MELON"/>
    <n v="33.299999999999997"/>
    <n v="0"/>
    <n v="0"/>
    <n v="41.154000000000003"/>
    <n v="41.2"/>
    <n v="114"/>
    <n v="361.40350877192981"/>
    <x v="7"/>
    <x v="0"/>
    <n v="35"/>
    <n v="1"/>
    <n v="30.083333333333332"/>
  </r>
  <r>
    <d v="2025-09-01T07:20:00"/>
    <s v="SOPLADO"/>
    <x v="12"/>
    <x v="197"/>
    <s v="GABRIEL REQUENA"/>
    <s v="SEGUNDA"/>
    <s v="."/>
    <s v="ALTA SOPLADO"/>
    <s v="FLORERO GIRASOL"/>
    <s v="FLORERO GIRASOL ATERRADO-VERDE"/>
    <n v="499"/>
    <n v="5"/>
    <n v="57.9"/>
    <x v="1"/>
    <m/>
    <n v="5"/>
    <m/>
    <n v="22341"/>
    <s v="VERDE"/>
    <n v="22.8"/>
    <n v="0"/>
    <n v="0"/>
    <n v="56.886000000000003"/>
    <n v="57.9"/>
    <n v="114"/>
    <n v="507.89473684210526"/>
    <x v="7"/>
    <x v="0"/>
    <n v="35"/>
    <n v="1"/>
    <n v="41.583333333333336"/>
  </r>
  <r>
    <d v="2025-09-01T07:20:00"/>
    <s v="SOPLADO"/>
    <x v="12"/>
    <x v="197"/>
    <s v="GABRIEL REQUENA"/>
    <s v="SEGUNDA"/>
    <s v="."/>
    <s v="ALTA SOPLADO"/>
    <s v="FLORERO GIRASOL"/>
    <s v="FLORERO GIRASOL ATERRADO-PLOMO"/>
    <n v="79"/>
    <n v="1"/>
    <n v="9.1"/>
    <x v="1"/>
    <m/>
    <n v="1"/>
    <m/>
    <n v="22341"/>
    <s v="PLOMO"/>
    <n v="0"/>
    <n v="0"/>
    <n v="0"/>
    <n v="9.0060000000000002"/>
    <n v="9.1"/>
    <n v="114"/>
    <n v="79.824561403508767"/>
    <x v="7"/>
    <x v="0"/>
    <n v="35"/>
    <n v="1"/>
    <n v="6.583333333333333"/>
  </r>
  <r>
    <d v="2025-09-01T07:20:00"/>
    <s v="INYECTADO"/>
    <x v="10"/>
    <x v="171"/>
    <s v="JUANA CRUCES"/>
    <s v="VIRGEN"/>
    <s v="PP CLARIFICADO"/>
    <s v="."/>
    <s v="BASE ORGANIZADOR  DE 2KG "/>
    <s v="BASE ORGANIZADOR  DE 2KG-TRANSPARENTE"/>
    <n v="1261"/>
    <n v="10"/>
    <n v="74.400000000000006"/>
    <x v="0"/>
    <m/>
    <n v="20"/>
    <m/>
    <n v="22614"/>
    <s v="TRANSPARENTE"/>
    <n v="0"/>
    <n v="0"/>
    <n v="0"/>
    <n v="63.05"/>
    <n v="74.400000000000006"/>
    <n v="50"/>
    <n v="1488"/>
    <x v="7"/>
    <x v="0"/>
    <n v="31"/>
    <n v="2"/>
    <n v="210.16666666666666"/>
  </r>
  <r>
    <d v="2025-09-01T07:20:00"/>
    <s v="INYECTADO"/>
    <x v="10"/>
    <x v="171"/>
    <s v="JOSDER GONZALEZ"/>
    <s v="VIRGEN"/>
    <s v="PP CLARIFICADO"/>
    <s v="."/>
    <s v="BASE ORGANIZADOR  DE 2KG "/>
    <s v="BASE ORGANIZADOR  DE 2KG CARAMELO-AMARILLO"/>
    <n v="618"/>
    <n v="5"/>
    <n v="36.5"/>
    <x v="1"/>
    <m/>
    <n v="10"/>
    <n v="1197"/>
    <s v="22614-1"/>
    <s v="AMARILLO"/>
    <n v="0.8"/>
    <n v="0"/>
    <n v="0"/>
    <n v="30.9"/>
    <n v="36.5"/>
    <n v="50"/>
    <n v="730"/>
    <x v="7"/>
    <x v="0"/>
    <n v="31"/>
    <n v="2"/>
    <n v="103"/>
  </r>
  <r>
    <d v="2025-09-01T07:20:00"/>
    <s v="INYECTADO"/>
    <x v="10"/>
    <x v="171"/>
    <s v="JOSDER GONZALEZ"/>
    <s v="VIRGEN"/>
    <s v="PP CLARIFICADO"/>
    <s v="."/>
    <s v="BASE ORGANIZADOR  DE 2KG "/>
    <s v="BASE ORGANIZADOR  DE 2KG CARAMELO-VERDE"/>
    <n v="564"/>
    <n v="5"/>
    <n v="33.299999999999997"/>
    <x v="1"/>
    <m/>
    <n v="9"/>
    <n v="1197"/>
    <s v="22614-1"/>
    <s v="VERDE"/>
    <n v="5.3"/>
    <n v="0"/>
    <n v="0"/>
    <n v="28.2"/>
    <n v="33.299999999999997"/>
    <n v="50"/>
    <n v="666"/>
    <x v="7"/>
    <x v="0"/>
    <n v="31"/>
    <n v="2"/>
    <n v="94"/>
  </r>
  <r>
    <d v="2025-09-01T07:20:00"/>
    <s v="INYECTADO"/>
    <x v="10"/>
    <x v="171"/>
    <s v="JOSDER GONZALEZ"/>
    <s v="VIRGEN"/>
    <s v="PP CLARIFICADO"/>
    <s v="."/>
    <s v="BASE ORGANIZADOR  DE 2KG "/>
    <s v="BASE ORGANIZADOR  DE 2KG CARAMELO-AZUL"/>
    <n v="87"/>
    <n v="2"/>
    <n v="4.8"/>
    <x v="1"/>
    <m/>
    <n v="2"/>
    <n v="1197"/>
    <s v="22614-1"/>
    <s v="AZUL"/>
    <n v="0"/>
    <n v="0"/>
    <n v="0"/>
    <n v="4.3499999999999996"/>
    <n v="4.8"/>
    <n v="50"/>
    <n v="96"/>
    <x v="7"/>
    <x v="0"/>
    <n v="31"/>
    <n v="2"/>
    <n v="14.5"/>
  </r>
  <r>
    <d v="2025-09-01T07:20:00"/>
    <s v="INYECTADO"/>
    <x v="10"/>
    <x v="172"/>
    <s v="JUANA CRUCES"/>
    <s v="VIRGEN"/>
    <s v="PP CLARIFICADO"/>
    <s v="."/>
    <s v="BASE ORGANIZADOR  DE 2KG "/>
    <s v="BASE ORGANIZADOR  DE 2KG CARAMELO-AZUL"/>
    <n v="611"/>
    <n v="5"/>
    <n v="36.1"/>
    <x v="0"/>
    <m/>
    <n v="10"/>
    <n v="1197"/>
    <n v="22615"/>
    <s v="AZUL"/>
    <n v="0"/>
    <n v="0"/>
    <n v="0"/>
    <n v="30.55"/>
    <n v="36.1"/>
    <n v="50"/>
    <n v="722"/>
    <x v="7"/>
    <x v="0"/>
    <n v="31"/>
    <n v="2"/>
    <n v="101.83333333333333"/>
  </r>
  <r>
    <d v="2025-09-01T07:20:00"/>
    <s v="INYECTADO"/>
    <x v="10"/>
    <x v="172"/>
    <s v="JUANA CRUCES"/>
    <s v="VIRGEN"/>
    <s v="PP CLARIFICADO"/>
    <s v="."/>
    <s v="BASE ORGANIZADOR  DE 2KG "/>
    <s v="BASE ORGANIZADOR  DE 2KG CARAMELO-LILA"/>
    <n v="672"/>
    <n v="6"/>
    <n v="39.700000000000003"/>
    <x v="0"/>
    <m/>
    <n v="10"/>
    <n v="1197"/>
    <n v="22615"/>
    <s v="LILA"/>
    <n v="0"/>
    <n v="0"/>
    <n v="0"/>
    <n v="33.6"/>
    <n v="39.700000000000003"/>
    <n v="50"/>
    <n v="794"/>
    <x v="7"/>
    <x v="0"/>
    <n v="31"/>
    <n v="2"/>
    <n v="112"/>
  </r>
  <r>
    <d v="2025-09-01T07:20:00"/>
    <s v="INYECTADO"/>
    <x v="10"/>
    <x v="172"/>
    <s v="GABRIEL REQUENA"/>
    <s v="VIRGEN"/>
    <s v="PP CLARIFICADO"/>
    <s v="."/>
    <s v="BASE ORGANIZADOR  DE 2KG "/>
    <s v="BASE ORGANIZADOR  DE 2KG CARAMELO-FUCSIA"/>
    <n v="838"/>
    <n v="8"/>
    <n v="49.5"/>
    <x v="1"/>
    <m/>
    <n v="14"/>
    <n v="1197"/>
    <n v="22616"/>
    <s v="FUCSIA"/>
    <n v="3.9"/>
    <n v="0"/>
    <n v="0"/>
    <n v="41.9"/>
    <n v="49.5"/>
    <n v="50"/>
    <n v="990"/>
    <x v="7"/>
    <x v="0"/>
    <n v="31"/>
    <n v="2"/>
    <n v="139.66666666666666"/>
  </r>
  <r>
    <d v="2025-09-01T07:20:00"/>
    <s v="INYECTADO"/>
    <x v="10"/>
    <x v="172"/>
    <s v="GABRIEL REQUENA"/>
    <s v="VIRGEN"/>
    <s v="PP CLARIFICADO"/>
    <s v="."/>
    <s v="BASE ORGANIZADOR  DE 2KG "/>
    <s v="BASE ORGANIZADOR  DE 2KG CARAMELO-LILA"/>
    <n v="159"/>
    <n v="2"/>
    <n v="9.4"/>
    <x v="1"/>
    <m/>
    <n v="4"/>
    <n v="1197"/>
    <n v="22616"/>
    <s v="LILA"/>
    <n v="3"/>
    <n v="0"/>
    <n v="0"/>
    <n v="7.95"/>
    <n v="9.4"/>
    <n v="50"/>
    <n v="188"/>
    <x v="7"/>
    <x v="0"/>
    <n v="31"/>
    <n v="2"/>
    <n v="26.5"/>
  </r>
  <r>
    <d v="2025-09-01T07:20:00"/>
    <s v="INYECTADO"/>
    <x v="10"/>
    <x v="172"/>
    <s v="GABRIEL REQUENA"/>
    <s v="VIRGEN"/>
    <s v="PP CLARIFICADO"/>
    <s v="."/>
    <s v="BASE ORGANIZADOR  DE 2KG "/>
    <s v="BASE ORGANIZADOR  DE 2KG CARAMELO-ROJO"/>
    <n v="188"/>
    <n v="2"/>
    <n v="11.1"/>
    <x v="1"/>
    <m/>
    <n v="3"/>
    <n v="1197"/>
    <n v="22616"/>
    <s v="ROJO"/>
    <n v="0"/>
    <n v="0"/>
    <n v="0"/>
    <n v="9.4"/>
    <n v="11.1"/>
    <n v="50"/>
    <n v="222"/>
    <x v="7"/>
    <x v="0"/>
    <n v="31"/>
    <n v="2"/>
    <n v="31.333333333333332"/>
  </r>
  <r>
    <d v="2025-09-01T07:20:00"/>
    <s v="INYECTADO"/>
    <x v="10"/>
    <x v="187"/>
    <s v="SAID VILLAMIZAR"/>
    <s v="VIRGEN"/>
    <s v="PP CLARIFICADO"/>
    <s v="."/>
    <s v="BASE ORGANIZADOR  DE 2KG "/>
    <s v="BASE ORGANIZADOR  DE 2KG CARAMELO-ROJO"/>
    <n v="961"/>
    <n v="8"/>
    <n v="56.7"/>
    <x v="0"/>
    <m/>
    <n v="16"/>
    <n v="1197"/>
    <n v="22617"/>
    <s v="ROJO"/>
    <n v="0"/>
    <n v="0"/>
    <n v="0"/>
    <n v="48.05"/>
    <n v="56.7"/>
    <n v="50"/>
    <n v="1134"/>
    <x v="7"/>
    <x v="0"/>
    <n v="31"/>
    <n v="2"/>
    <n v="160.16666666666666"/>
  </r>
  <r>
    <d v="2025-09-01T07:20:00"/>
    <s v="INYECTADO"/>
    <x v="10"/>
    <x v="180"/>
    <s v="JUANA CRUCES"/>
    <s v="VIRGEN"/>
    <s v="PP CLARIFICADO"/>
    <s v="."/>
    <s v="BASE ORGANIZADOR  DE 2KG "/>
    <s v="BASE ORGANIZADOR  DE 2KG CARAMELO-ROJO"/>
    <n v="42"/>
    <n v="1"/>
    <n v="2.5"/>
    <x v="0"/>
    <m/>
    <n v="1"/>
    <n v="1197"/>
    <n v="22618"/>
    <n v="8.9"/>
    <n v="0"/>
    <n v="0"/>
    <n v="0"/>
    <n v="2.1"/>
    <n v="2.5"/>
    <n v="50"/>
    <n v="50"/>
    <x v="7"/>
    <x v="0"/>
    <n v="32"/>
    <n v="2"/>
    <n v="7"/>
  </r>
  <r>
    <d v="2025-09-01T07:20:00"/>
    <s v="INYECTADO"/>
    <x v="10"/>
    <x v="180"/>
    <s v="JUANA CRUCES"/>
    <s v="VIRGEN"/>
    <s v="PP CLARIFICADO"/>
    <s v="."/>
    <s v="BASE ORGANIZADOR  DE 2KG "/>
    <s v="BASE ORGANIZADOR  DE 2KG CARAMELO-FUCSIA"/>
    <n v="125"/>
    <n v="1"/>
    <n v="7.4"/>
    <x v="0"/>
    <m/>
    <n v="2"/>
    <n v="1197"/>
    <n v="22618"/>
    <n v="3.7"/>
    <n v="0"/>
    <n v="0"/>
    <n v="0"/>
    <n v="6.25"/>
    <n v="7.4"/>
    <n v="50"/>
    <n v="148"/>
    <x v="7"/>
    <x v="0"/>
    <n v="32"/>
    <n v="2"/>
    <n v="20.833333333333332"/>
  </r>
  <r>
    <d v="2025-09-01T07:20:00"/>
    <s v="INYECTADO"/>
    <x v="10"/>
    <x v="180"/>
    <s v="JUANA CRUCES"/>
    <s v="VIRGEN"/>
    <s v="PP CLARIFICADO"/>
    <s v="."/>
    <s v="BASE ORGANIZADOR  DE 2KG "/>
    <s v="BASE ORGANIZADOR  DE 2KG CARAMELO-LILA"/>
    <n v="57"/>
    <n v="1"/>
    <n v="3.4"/>
    <x v="0"/>
    <m/>
    <n v="1"/>
    <n v="1197"/>
    <n v="22618"/>
    <n v="1.3"/>
    <n v="0"/>
    <n v="0"/>
    <n v="0"/>
    <n v="2.85"/>
    <n v="3.4"/>
    <n v="50"/>
    <n v="68"/>
    <x v="7"/>
    <x v="0"/>
    <n v="32"/>
    <n v="2"/>
    <n v="9.5"/>
  </r>
  <r>
    <d v="2025-09-01T07:20:00"/>
    <s v="INYECTADO"/>
    <x v="10"/>
    <x v="180"/>
    <s v="JUANA CRUCES"/>
    <s v="VIRGEN"/>
    <s v="PP CLARIFICADO"/>
    <s v="."/>
    <s v="BASE ORGANIZADOR  DE 2KG "/>
    <s v="BASE ORGANIZADOR  DE 2KG-TRANSPARENTE"/>
    <n v="886"/>
    <n v="7"/>
    <n v="52.3"/>
    <x v="0"/>
    <m/>
    <n v="12"/>
    <n v="1197"/>
    <n v="22618"/>
    <s v="TRANSPARENTE"/>
    <n v="4.8"/>
    <n v="0"/>
    <n v="0"/>
    <n v="44.3"/>
    <n v="52.3"/>
    <n v="50"/>
    <n v="1046"/>
    <x v="7"/>
    <x v="0"/>
    <n v="32"/>
    <n v="2"/>
    <n v="147.66666666666666"/>
  </r>
  <r>
    <d v="2025-09-01T07:20:00"/>
    <s v="INYECTADO"/>
    <x v="10"/>
    <x v="180"/>
    <s v="JOSDER GONZALEZ"/>
    <s v="VIRGEN"/>
    <s v="PP CLARIFICADO"/>
    <s v="."/>
    <s v="BASE ORGANIZADOR  DE 2KG "/>
    <s v="BASE ORGANIZADOR  DE 2KG-TRANSPARENTE"/>
    <n v="1213"/>
    <n v="12"/>
    <n v="71.599999999999994"/>
    <x v="1"/>
    <m/>
    <n v="20"/>
    <n v="1197"/>
    <n v="22619"/>
    <s v="TRANSPARENTE"/>
    <n v="3.9"/>
    <n v="0"/>
    <n v="0"/>
    <n v="60.65"/>
    <n v="71.599999999999994"/>
    <n v="50"/>
    <n v="1432"/>
    <x v="7"/>
    <x v="0"/>
    <n v="32"/>
    <n v="2"/>
    <n v="202.16666666666666"/>
  </r>
  <r>
    <d v="2025-09-01T07:20:00"/>
    <s v="INYECTADO"/>
    <x v="10"/>
    <x v="181"/>
    <s v="JUANA CRUCES"/>
    <s v="VIRGEN"/>
    <s v="PP CLARIFICADO"/>
    <s v="."/>
    <s v="BASE ORGANIZADOR  DE 2KG "/>
    <s v="BASE ORGANIZADOR  DE 2KG-TRANSPARENTE"/>
    <n v="633"/>
    <n v="6"/>
    <n v="36.9"/>
    <x v="0"/>
    <m/>
    <n v="10"/>
    <n v="1197"/>
    <n v="22620"/>
    <s v="TRANSPARENTE"/>
    <n v="0"/>
    <n v="0"/>
    <n v="0"/>
    <n v="31.65"/>
    <n v="36.9"/>
    <n v="50"/>
    <n v="738"/>
    <x v="7"/>
    <x v="0"/>
    <n v="32"/>
    <n v="2"/>
    <n v="105.5"/>
  </r>
  <r>
    <d v="2025-09-01T07:20:00"/>
    <s v="INYECTADO"/>
    <x v="10"/>
    <x v="181"/>
    <s v="JUANA CRUCES"/>
    <s v="VIRGEN"/>
    <s v="PP CLARIFICADO"/>
    <s v="."/>
    <s v="BASE ORGANIZADOR  DE 2KG "/>
    <s v="BASE ORGANIZADOR  DE 2KG PASTEL-ROSADO"/>
    <n v="231"/>
    <n v="2"/>
    <n v="13.9"/>
    <x v="0"/>
    <m/>
    <n v="4"/>
    <n v="1198"/>
    <n v="22620"/>
    <s v="ROSADO"/>
    <n v="5.8"/>
    <n v="0"/>
    <n v="0"/>
    <n v="11.55"/>
    <n v="13.9"/>
    <n v="50"/>
    <n v="278"/>
    <x v="7"/>
    <x v="0"/>
    <n v="32"/>
    <n v="2"/>
    <n v="38.5"/>
  </r>
  <r>
    <d v="2025-09-01T07:20:00"/>
    <s v="INYECTADO"/>
    <x v="10"/>
    <x v="182"/>
    <s v="NELSON PINEDO"/>
    <s v="VIRGEN"/>
    <s v="PP CLARIFICADO"/>
    <s v="."/>
    <s v="JARRA REAL 6LT"/>
    <s v="JARRA REAL 6 LT-TRANSPARENTE"/>
    <n v="617"/>
    <n v="8"/>
    <n v="148.69999999999999"/>
    <x v="0"/>
    <m/>
    <n v="24"/>
    <n v="1181"/>
    <n v="22621"/>
    <s v="TRANSPARENTE"/>
    <n v="8.4"/>
    <n v="0"/>
    <n v="0"/>
    <n v="148.08000000000001"/>
    <n v="148.69999999999999"/>
    <n v="240"/>
    <n v="619.58333333333337"/>
    <x v="7"/>
    <x v="0"/>
    <n v="32"/>
    <n v="1"/>
    <n v="51.416666666666664"/>
  </r>
  <r>
    <d v="2025-09-01T07:20:00"/>
    <s v="INYECTADO"/>
    <x v="10"/>
    <x v="183"/>
    <s v="JUANA CRUCES"/>
    <s v="VIRGEN"/>
    <s v="PP CLARIFICADO"/>
    <s v="."/>
    <s v="JARRA REAL 6LT"/>
    <s v="JARRA REAL 6 LT-TRANSPARENTE"/>
    <n v="680"/>
    <n v="9"/>
    <n v="166.7"/>
    <x v="0"/>
    <m/>
    <n v="28"/>
    <n v="1181"/>
    <n v="22622"/>
    <s v="TRANSPARENTE"/>
    <n v="21.5"/>
    <n v="0"/>
    <n v="0"/>
    <n v="163.19999999999999"/>
    <n v="166.7"/>
    <n v="240"/>
    <n v="694.58333333333337"/>
    <x v="7"/>
    <x v="0"/>
    <n v="32"/>
    <n v="1"/>
    <n v="56.666666666666664"/>
  </r>
  <r>
    <d v="2025-09-01T07:20:00"/>
    <s v="INYECTADO"/>
    <x v="10"/>
    <x v="183"/>
    <s v="JOSDER GONZALEZ"/>
    <s v="VIRGEN"/>
    <s v="PP CLARIFICADO"/>
    <s v="."/>
    <s v="JARRA REAL 6LT"/>
    <s v="JARRA REAL 6 LT-TRANSPARENTE"/>
    <n v="896"/>
    <n v="12"/>
    <n v="219.6"/>
    <x v="1"/>
    <m/>
    <n v="39"/>
    <n v="1181"/>
    <n v="22623"/>
    <s v="TRANSPARENTE"/>
    <n v="9.6"/>
    <n v="0"/>
    <n v="0"/>
    <n v="215.04"/>
    <n v="219.6"/>
    <n v="240"/>
    <n v="915"/>
    <x v="7"/>
    <x v="0"/>
    <n v="32"/>
    <n v="1"/>
    <n v="74.666666666666671"/>
  </r>
  <r>
    <d v="2025-09-01T07:20:00"/>
    <s v="INYECTADO"/>
    <x v="10"/>
    <x v="184"/>
    <s v="ISABEL LINARIZ "/>
    <s v="VIRGEN"/>
    <s v="PP CLARIFICADO"/>
    <s v="."/>
    <s v="JARRA REAL 6LT"/>
    <s v="JARRA REAL 6 LT-TRANSPARENTE"/>
    <n v="922"/>
    <n v="11"/>
    <n v="224.1"/>
    <x v="0"/>
    <m/>
    <n v="38"/>
    <n v="1181"/>
    <n v="22624"/>
    <s v="TRANSPARENTE"/>
    <n v="3.5"/>
    <n v="0"/>
    <n v="0"/>
    <n v="221.28"/>
    <n v="224.1"/>
    <n v="240"/>
    <n v="933.75"/>
    <x v="7"/>
    <x v="0"/>
    <n v="32"/>
    <n v="1"/>
    <n v="76.833333333333329"/>
  </r>
  <r>
    <d v="2025-09-01T07:20:00"/>
    <s v="INYECTADO"/>
    <x v="10"/>
    <x v="184"/>
    <s v="JOSDER GONZALEZ"/>
    <s v="VIRGEN"/>
    <s v="PP CLARIFICADO"/>
    <s v="."/>
    <s v="JARRA REAL 6LT"/>
    <s v="JARRA REAL 6 LT-TRANSPARENTE"/>
    <n v="954"/>
    <n v="12"/>
    <n v="231.9"/>
    <x v="1"/>
    <m/>
    <n v="39"/>
    <n v="1181"/>
    <n v="22625"/>
    <s v="TRANSPARENTE"/>
    <n v="4.4000000000000004"/>
    <n v="0"/>
    <n v="0"/>
    <n v="228.96"/>
    <n v="231.9"/>
    <n v="240"/>
    <n v="966.25"/>
    <x v="7"/>
    <x v="0"/>
    <n v="32"/>
    <n v="1"/>
    <n v="79.5"/>
  </r>
  <r>
    <d v="2025-09-01T07:20:00"/>
    <s v="INYECTADO"/>
    <x v="10"/>
    <x v="185"/>
    <s v="JUANA CRUCES"/>
    <s v="VIRGEN"/>
    <s v="PP CLARIFICADO"/>
    <s v="."/>
    <s v="JARRA REAL 6LT"/>
    <s v="JARRA REAL 6 LT-TRANSPARENTE"/>
    <n v="665"/>
    <n v="8"/>
    <n v="162"/>
    <x v="0"/>
    <m/>
    <n v="27"/>
    <n v="1181"/>
    <n v="22626"/>
    <s v="TRANSPARENTE"/>
    <n v="4"/>
    <n v="0"/>
    <n v="0"/>
    <n v="159.6"/>
    <n v="162"/>
    <n v="240"/>
    <n v="675"/>
    <x v="7"/>
    <x v="0"/>
    <n v="32"/>
    <n v="1"/>
    <n v="55.416666666666664"/>
  </r>
  <r>
    <d v="2025-09-01T07:20:00"/>
    <s v="INYECTADO"/>
    <x v="10"/>
    <x v="185"/>
    <s v="JUAN MANUEL "/>
    <s v="VIRGEN"/>
    <s v="PP CLARIFICADO"/>
    <s v="."/>
    <s v="JARRA REAL 6LT"/>
    <s v="JARRA REAL 6 LT-TRANSPARENTE"/>
    <n v="543"/>
    <n v="8"/>
    <n v="132"/>
    <x v="1"/>
    <m/>
    <n v="22"/>
    <n v="1181"/>
    <n v="22627"/>
    <s v="TRANSPARENTE"/>
    <n v="0"/>
    <n v="0"/>
    <n v="0"/>
    <n v="130.32"/>
    <n v="132"/>
    <n v="240"/>
    <n v="550"/>
    <x v="7"/>
    <x v="0"/>
    <n v="32"/>
    <n v="1"/>
    <n v="45.25"/>
  </r>
  <r>
    <d v="2025-09-01T07:20:00"/>
    <s v="INYECTADO"/>
    <x v="10"/>
    <x v="173"/>
    <s v="ROSA MERINO"/>
    <s v="VIRGEN"/>
    <s v="PP CLARIFICADO"/>
    <s v="."/>
    <s v="JARRA REAL 6LT"/>
    <s v="JARRA REAL 6 LT-TRANSPARENTE"/>
    <n v="271"/>
    <n v="3"/>
    <n v="66"/>
    <x v="0"/>
    <m/>
    <n v="11"/>
    <n v="1181"/>
    <n v="22629"/>
    <s v="TRANSPARENTE"/>
    <n v="5.3"/>
    <n v="0"/>
    <n v="0"/>
    <n v="65.040000000000006"/>
    <n v="66"/>
    <n v="240"/>
    <n v="275"/>
    <x v="7"/>
    <x v="0"/>
    <n v="33"/>
    <n v="1"/>
    <n v="22.583333333333332"/>
  </r>
  <r>
    <d v="2025-09-01T07:20:00"/>
    <s v="INYECTADO"/>
    <x v="10"/>
    <x v="173"/>
    <s v="ROSA MERINO"/>
    <s v="VIRGEN"/>
    <s v="PP CLARIFICADO"/>
    <s v="."/>
    <s v="ORGANIZADOR DE 15KG"/>
    <s v="BASE ORGANIZADOR DE 15KG-TRANSPARENTE"/>
    <n v="84"/>
    <n v="1"/>
    <n v="44.5"/>
    <x v="0"/>
    <m/>
    <n v="7"/>
    <n v="1199"/>
    <n v="22629"/>
    <s v="TRANSPARENTE"/>
    <n v="0"/>
    <n v="0"/>
    <n v="0"/>
    <n v="43.68"/>
    <n v="44.5"/>
    <n v="520"/>
    <n v="85.57692307692308"/>
    <x v="7"/>
    <x v="0"/>
    <n v="33"/>
    <n v="1"/>
    <n v="7"/>
  </r>
  <r>
    <d v="2025-09-01T07:20:00"/>
    <s v="INYECTADO"/>
    <x v="10"/>
    <x v="173"/>
    <s v="JUAN MANUEL "/>
    <s v="VIRGEN"/>
    <s v="PP CLARIFICADO"/>
    <s v="."/>
    <s v="ORGANIZADOR DE 15KG"/>
    <s v="BASE ORGANIZADOR DE 15KG-TRANSPARENTE"/>
    <n v="93"/>
    <n v="2"/>
    <n v="49.2"/>
    <x v="1"/>
    <m/>
    <n v="8"/>
    <n v="1199"/>
    <n v="22630"/>
    <s v="TRANSPARENTE"/>
    <n v="44.1"/>
    <n v="0"/>
    <n v="0"/>
    <n v="48.36"/>
    <n v="49.2"/>
    <n v="520"/>
    <n v="94.615384615384613"/>
    <x v="7"/>
    <x v="0"/>
    <n v="33"/>
    <n v="1"/>
    <n v="7.75"/>
  </r>
  <r>
    <d v="2025-09-01T07:20:00"/>
    <s v="INYECTADO"/>
    <x v="10"/>
    <x v="174"/>
    <s v="SAID VILLAMIZAR"/>
    <s v="VIRGEN"/>
    <s v="PP CLARIFICADO"/>
    <s v="."/>
    <s v="ORGANIZADOR DE 15KG"/>
    <s v="BASE ORGANIZADOR DE 15KG-TRANSPARENTE"/>
    <n v="486"/>
    <n v="9"/>
    <n v="254.1"/>
    <x v="0"/>
    <m/>
    <n v="39"/>
    <n v="1199"/>
    <n v="22631"/>
    <s v="TRANSPARENTE"/>
    <n v="36.5"/>
    <n v="0"/>
    <n v="0"/>
    <n v="252.72"/>
    <n v="254.1"/>
    <n v="520"/>
    <n v="488.65384615384613"/>
    <x v="7"/>
    <x v="0"/>
    <n v="33"/>
    <n v="1"/>
    <n v="40.5"/>
  </r>
  <r>
    <d v="2025-09-01T07:20:00"/>
    <s v="INYECTADO"/>
    <x v="10"/>
    <x v="174"/>
    <s v="JOSDER GONZALEZ"/>
    <s v="VIRGEN"/>
    <s v="PP CLARIFICADO"/>
    <s v="."/>
    <s v="ORGANIZADOR DE 15KG"/>
    <s v="BASE ORGANIZADOR DE 15KG-TRANSPARENTE"/>
    <n v="514"/>
    <n v="7"/>
    <n v="268.8"/>
    <x v="1"/>
    <m/>
    <n v="43"/>
    <n v="1199"/>
    <n v="22632"/>
    <s v="TRANSPARENTE"/>
    <n v="16.2"/>
    <n v="0"/>
    <n v="0"/>
    <n v="267.27999999999997"/>
    <n v="268.8"/>
    <n v="520"/>
    <n v="516.92307692307691"/>
    <x v="7"/>
    <x v="0"/>
    <n v="33"/>
    <n v="1"/>
    <n v="42.833333333333336"/>
  </r>
  <r>
    <d v="2025-09-01T07:20:00"/>
    <s v="INYECTADO"/>
    <x v="10"/>
    <x v="175"/>
    <s v="NELSON PINEDO"/>
    <s v="VIRGEN"/>
    <s v="PP CLARIFICADO"/>
    <s v="."/>
    <s v="CUBIERTOS PASTEL"/>
    <s v="CUBIERTOS PASTEL-CREMA"/>
    <n v="418"/>
    <n v="5"/>
    <n v="51.9"/>
    <x v="0"/>
    <m/>
    <n v="7"/>
    <n v="1200"/>
    <n v="22633"/>
    <s v="CREMA"/>
    <n v="11.5"/>
    <n v="0"/>
    <n v="0"/>
    <n v="53.085999999999999"/>
    <n v="51.9"/>
    <n v="127"/>
    <n v="408.66141732283467"/>
    <x v="7"/>
    <x v="0"/>
    <n v="33"/>
    <n v="6"/>
    <n v="209"/>
  </r>
  <r>
    <d v="2025-09-01T07:20:00"/>
    <s v="INYECTADO"/>
    <x v="10"/>
    <x v="175"/>
    <s v="GABRIEL REQUENA"/>
    <s v="VIRGEN"/>
    <s v="PP CLARIFICADO"/>
    <s v="."/>
    <s v="CUBIERTOS PASTEL"/>
    <s v="CUBIERTOS PASTEL-CREMA"/>
    <n v="201"/>
    <n v="3"/>
    <n v="24.6"/>
    <x v="1"/>
    <m/>
    <n v="6"/>
    <n v="1200"/>
    <n v="22634"/>
    <s v="CREMA"/>
    <n v="17.399999999999999"/>
    <n v="0"/>
    <n v="0"/>
    <n v="25.527000000000001"/>
    <n v="24.6"/>
    <n v="127"/>
    <n v="193.70078740157481"/>
    <x v="7"/>
    <x v="0"/>
    <n v="33"/>
    <n v="6"/>
    <n v="100.5"/>
  </r>
  <r>
    <d v="2025-09-01T07:20:00"/>
    <s v="INYECTADO"/>
    <x v="10"/>
    <x v="175"/>
    <s v="GABRIEL REQUENA"/>
    <s v="VIRGEN"/>
    <s v="PP CLARIFICADO"/>
    <s v="."/>
    <s v="CUBIERTOS PASTEL"/>
    <s v="CUBIERTOS PASTEL-CELESTE"/>
    <n v="445"/>
    <n v="6"/>
    <n v="55.3"/>
    <x v="1"/>
    <m/>
    <n v="4"/>
    <n v="1200"/>
    <n v="22634"/>
    <s v="CELESTE"/>
    <n v="27.4"/>
    <n v="0"/>
    <n v="0"/>
    <n v="56.515000000000001"/>
    <n v="55.3"/>
    <n v="127"/>
    <n v="435.43307086614175"/>
    <x v="7"/>
    <x v="0"/>
    <n v="33"/>
    <n v="6"/>
    <n v="222.5"/>
  </r>
  <r>
    <d v="2025-09-01T07:20:00"/>
    <s v="INYECTADO"/>
    <x v="10"/>
    <x v="175"/>
    <s v="GABRIEL REQUENA"/>
    <s v="VIRGEN"/>
    <s v="PP CLARIFICADO"/>
    <s v="."/>
    <s v="CUBIERTOS PASTEL"/>
    <s v="CUBIERTOS PASTEL-LILA"/>
    <n v="185"/>
    <n v="2"/>
    <n v="23"/>
    <x v="1"/>
    <m/>
    <n v="3"/>
    <n v="1200"/>
    <n v="22634"/>
    <s v="LILA"/>
    <n v="0"/>
    <n v="0"/>
    <n v="0"/>
    <n v="23.495000000000001"/>
    <n v="23"/>
    <n v="127"/>
    <n v="181.10236220472441"/>
    <x v="7"/>
    <x v="0"/>
    <n v="33"/>
    <n v="6"/>
    <n v="92.5"/>
  </r>
  <r>
    <d v="2025-09-01T07:20:00"/>
    <s v="INYECTADO"/>
    <x v="10"/>
    <x v="176"/>
    <s v="JUANA CRUCES"/>
    <s v="VIRGEN"/>
    <s v="PP CLARIFICADO"/>
    <s v="."/>
    <s v="CUBIERTOS PASTEL"/>
    <s v="CUBIERTOS PASTEL-LILA"/>
    <n v="451"/>
    <n v="6"/>
    <n v="56"/>
    <x v="0"/>
    <m/>
    <n v="9"/>
    <n v="1200"/>
    <n v="22635"/>
    <s v="LILA"/>
    <n v="35.200000000000003"/>
    <n v="0"/>
    <n v="0"/>
    <n v="57.277000000000001"/>
    <n v="56"/>
    <n v="127"/>
    <n v="440.94488188976379"/>
    <x v="7"/>
    <x v="0"/>
    <n v="33"/>
    <n v="6"/>
    <n v="225.5"/>
  </r>
  <r>
    <d v="2025-09-01T07:20:00"/>
    <s v="INYECTADO"/>
    <x v="10"/>
    <x v="176"/>
    <s v="JUANA CRUCES"/>
    <s v="VIRGEN"/>
    <s v="PP CLARIFICADO"/>
    <s v="."/>
    <s v="CUBIERTOS PASTEL"/>
    <s v="CUBIERTOS PASTEL-TURQUESA"/>
    <n v="354"/>
    <n v="5"/>
    <n v="44.7"/>
    <x v="0"/>
    <m/>
    <n v="6"/>
    <n v="1200"/>
    <n v="22635"/>
    <s v="TURQUESA"/>
    <n v="16.100000000000001"/>
    <n v="0"/>
    <n v="0"/>
    <n v="44.957999999999998"/>
    <n v="44.7"/>
    <n v="127"/>
    <n v="351.96850393700788"/>
    <x v="7"/>
    <x v="0"/>
    <n v="33"/>
    <n v="6"/>
    <n v="177"/>
  </r>
  <r>
    <d v="2025-09-01T07:20:00"/>
    <s v="INYECTADO"/>
    <x v="10"/>
    <x v="176"/>
    <s v="JOSDER GONZALEZ"/>
    <s v="VIRGEN"/>
    <s v="PP CLARIFICADO"/>
    <s v="."/>
    <s v="CUBIERTOS PASTEL"/>
    <s v="CUBIERTOS PASTEL-TURQUESA"/>
    <n v="302"/>
    <n v="4"/>
    <n v="37.5"/>
    <x v="1"/>
    <m/>
    <n v="7"/>
    <n v="1200"/>
    <n v="22636"/>
    <s v="TURQUESA"/>
    <n v="17.5"/>
    <n v="0"/>
    <n v="0"/>
    <n v="38.353999999999999"/>
    <n v="37.5"/>
    <n v="127"/>
    <n v="295.2755905511811"/>
    <x v="7"/>
    <x v="0"/>
    <n v="33"/>
    <n v="6"/>
    <n v="151"/>
  </r>
  <r>
    <d v="2025-09-01T07:20:00"/>
    <s v="INYECTADO"/>
    <x v="10"/>
    <x v="176"/>
    <s v="JOSDER GONZALEZ"/>
    <s v="VIRGEN"/>
    <s v="PP CLARIFICADO"/>
    <s v="."/>
    <s v="CUBIERTOS PASTEL"/>
    <s v="CUBIERTOS PASTEL-MELON"/>
    <n v="556"/>
    <n v="6"/>
    <n v="69.599999999999994"/>
    <x v="1"/>
    <m/>
    <n v="7"/>
    <n v="1200"/>
    <n v="22636"/>
    <s v="MELON"/>
    <n v="20.85"/>
    <n v="0"/>
    <n v="0"/>
    <n v="70.611999999999995"/>
    <n v="69.599999999999994"/>
    <n v="127"/>
    <n v="548.03149606299212"/>
    <x v="7"/>
    <x v="0"/>
    <n v="33"/>
    <n v="6"/>
    <n v="278"/>
  </r>
  <r>
    <d v="2025-09-01T07:20:00"/>
    <s v="INYECTADO"/>
    <x v="10"/>
    <x v="177"/>
    <s v="ISABEL LINARIZ "/>
    <s v="VIRGEN"/>
    <s v="PP CLARIFICADO"/>
    <s v="."/>
    <s v="CUBIERTOS PASTEL"/>
    <s v="CUBIERTOS PASTEL-MELON"/>
    <n v="68"/>
    <n v="1"/>
    <n v="8.5"/>
    <x v="0"/>
    <m/>
    <n v="3"/>
    <n v="1200"/>
    <n v="22637"/>
    <s v="MELON"/>
    <n v="8.5"/>
    <n v="0"/>
    <n v="0"/>
    <n v="8.6359999999999992"/>
    <n v="8.5"/>
    <n v="127"/>
    <n v="66.929133858267718"/>
    <x v="7"/>
    <x v="0"/>
    <n v="33"/>
    <n v="6"/>
    <n v="34"/>
  </r>
  <r>
    <d v="2025-09-01T07:20:00"/>
    <s v="INYECTADO"/>
    <x v="10"/>
    <x v="177"/>
    <s v="ISABEL LINARIZ "/>
    <s v="VIRGEN"/>
    <s v="PP CLARIFICADO"/>
    <s v="."/>
    <s v="CUBIERTOS PASTEL"/>
    <s v="CUBIERTOS PASTEL-ROSADO"/>
    <n v="596"/>
    <n v="8"/>
    <n v="75.2"/>
    <x v="0"/>
    <m/>
    <n v="9"/>
    <n v="1200"/>
    <n v="22637"/>
    <s v="ROSADO"/>
    <n v="75.2"/>
    <n v="0"/>
    <n v="0"/>
    <n v="75.691999999999993"/>
    <n v="75.2"/>
    <n v="127"/>
    <n v="592.12598425196848"/>
    <x v="7"/>
    <x v="0"/>
    <n v="33"/>
    <n v="6"/>
    <n v="298"/>
  </r>
  <r>
    <d v="2025-09-01T07:20:00"/>
    <s v="INYECTADO"/>
    <x v="10"/>
    <x v="177"/>
    <s v="ISABEL LINARIZ "/>
    <s v="VIRGEN"/>
    <s v="PP CLARIFICADO"/>
    <s v="."/>
    <s v="CUBIERTOS PASTEL"/>
    <s v="CUBIERTOS PASTEL-CELESTE"/>
    <n v="88"/>
    <n v="1"/>
    <n v="11.1"/>
    <x v="0"/>
    <m/>
    <n v="3"/>
    <n v="1200"/>
    <n v="22637"/>
    <s v="CELESTE"/>
    <n v="11.1"/>
    <n v="0"/>
    <n v="0"/>
    <n v="11.176"/>
    <n v="11.1"/>
    <n v="127"/>
    <n v="87.4015748031496"/>
    <x v="7"/>
    <x v="0"/>
    <n v="33"/>
    <n v="6"/>
    <n v="44"/>
  </r>
  <r>
    <d v="2025-09-01T07:20:00"/>
    <s v="INYECTADO"/>
    <x v="10"/>
    <x v="178"/>
    <s v="JUANA CRUCES"/>
    <s v="VIRGEN"/>
    <s v="PP CLARIFICADO"/>
    <s v="."/>
    <s v="CUBIERTOS PASTEL"/>
    <s v="CUBIERTOS PASTEL-CELESTE"/>
    <n v="51"/>
    <n v="1"/>
    <n v="6.5"/>
    <x v="0"/>
    <m/>
    <n v="3"/>
    <n v="1200"/>
    <n v="22638"/>
    <s v="CELESTE"/>
    <n v="4.0999999999999996"/>
    <n v="0"/>
    <n v="0"/>
    <n v="6.4770000000000003"/>
    <n v="6.5"/>
    <n v="127"/>
    <n v="51.181102362204726"/>
    <x v="7"/>
    <x v="0"/>
    <n v="33"/>
    <n v="6"/>
    <n v="25.5"/>
  </r>
  <r>
    <d v="2025-09-01T07:20:00"/>
    <s v="INYECTADO"/>
    <x v="10"/>
    <x v="178"/>
    <s v="GABRIEL REQUENA"/>
    <s v="VIRGEN"/>
    <s v="PP CLARIFICADO"/>
    <s v="."/>
    <s v="BASE ORGANIZADOR  DE 2KG"/>
    <s v="BASE ORGANIZADOR  DE 2KG PASTEL-TURQUESA"/>
    <n v="301"/>
    <n v="4"/>
    <n v="17.8"/>
    <x v="1"/>
    <m/>
    <n v="5"/>
    <n v="1179"/>
    <n v="22639"/>
    <s v="TURQUESA"/>
    <n v="12.1"/>
    <n v="0"/>
    <n v="0"/>
    <n v="15.05"/>
    <n v="17.8"/>
    <n v="50"/>
    <n v="356"/>
    <x v="7"/>
    <x v="0"/>
    <n v="33"/>
    <n v="2"/>
    <n v="50.166666666666664"/>
  </r>
  <r>
    <d v="2025-09-01T07:20:00"/>
    <s v="INYECTADO"/>
    <x v="10"/>
    <x v="178"/>
    <s v="GABRIEL REQUENA"/>
    <s v="VIRGEN"/>
    <s v="PP CLARIFICADO"/>
    <s v="."/>
    <s v="BASE ORGANIZADOR  DE 2KG"/>
    <s v="BASE ORGANIZADOR  DE 2KG PASTEL-CELESTE"/>
    <n v="322"/>
    <n v="5"/>
    <n v="18.899999999999999"/>
    <x v="1"/>
    <m/>
    <n v="5"/>
    <n v="1179"/>
    <n v="22639"/>
    <s v="CELESTE"/>
    <n v="9.9"/>
    <n v="0"/>
    <n v="0"/>
    <n v="16.100000000000001"/>
    <n v="18.899999999999999"/>
    <n v="50"/>
    <n v="378"/>
    <x v="7"/>
    <x v="0"/>
    <n v="33"/>
    <n v="2"/>
    <n v="53.666666666666664"/>
  </r>
  <r>
    <d v="2025-09-01T07:20:00"/>
    <s v="INYECTADO"/>
    <x v="10"/>
    <x v="178"/>
    <s v="GABRIEL REQUENA"/>
    <s v="VIRGEN"/>
    <s v="PP CLARIFICADO"/>
    <s v="."/>
    <s v="BASE ORGANIZADOR  DE 2KG"/>
    <s v="BASE ORGANIZADOR  DE 2KG PASTEL-ROSADO"/>
    <n v="64"/>
    <n v="1"/>
    <n v="3.8"/>
    <x v="1"/>
    <m/>
    <n v="1"/>
    <n v="1179"/>
    <n v="22639"/>
    <s v="ROSADO"/>
    <n v="2.2999999999999998"/>
    <n v="0"/>
    <n v="0"/>
    <n v="3.2"/>
    <n v="3.8"/>
    <n v="50"/>
    <n v="76"/>
    <x v="7"/>
    <x v="0"/>
    <n v="33"/>
    <n v="2"/>
    <n v="10.666666666666666"/>
  </r>
  <r>
    <d v="2025-09-01T07:20:00"/>
    <s v="INYECTADO"/>
    <x v="10"/>
    <x v="199"/>
    <s v="SAID VILLAMIZAR"/>
    <s v="VIRGEN"/>
    <s v="PP CLARIFICADO"/>
    <s v="."/>
    <s v="BASE ORGANIZADOR  DE 2KG"/>
    <s v="BASE ORGANIZADOR  DE 2KG PASTEL-ROSADO"/>
    <n v="281"/>
    <n v="3"/>
    <n v="16.600000000000001"/>
    <x v="0"/>
    <m/>
    <n v="5"/>
    <n v="1179"/>
    <n v="22640"/>
    <s v="ROSADO"/>
    <n v="3"/>
    <n v="0"/>
    <n v="0"/>
    <n v="14.05"/>
    <n v="16.600000000000001"/>
    <n v="50"/>
    <n v="332"/>
    <x v="7"/>
    <x v="0"/>
    <n v="33"/>
    <n v="2"/>
    <n v="46.833333333333336"/>
  </r>
  <r>
    <d v="2025-09-01T07:20:00"/>
    <s v="INYECTADO"/>
    <x v="10"/>
    <x v="199"/>
    <s v="SAID VILLAMIZAR"/>
    <s v="VIRGEN"/>
    <s v="PP CLARIFICADO"/>
    <s v="."/>
    <s v="BASE ORGANIZADOR  DE 2KG"/>
    <s v="BASE ORGANIZADOR  DE 2KG PASTEL-LILA"/>
    <n v="361"/>
    <n v="4"/>
    <n v="21.3"/>
    <x v="0"/>
    <m/>
    <n v="5"/>
    <n v="1179"/>
    <n v="22640"/>
    <s v="LILA"/>
    <n v="8.1"/>
    <n v="0"/>
    <n v="0"/>
    <n v="18.05"/>
    <n v="21.3"/>
    <n v="50"/>
    <n v="426"/>
    <x v="7"/>
    <x v="0"/>
    <n v="33"/>
    <n v="2"/>
    <n v="60.166666666666664"/>
  </r>
  <r>
    <d v="2025-09-01T07:20:00"/>
    <s v="INYECTADO"/>
    <x v="10"/>
    <x v="199"/>
    <s v="SAID VILLAMIZAR"/>
    <s v="VIRGEN"/>
    <s v="PP CLARIFICADO"/>
    <s v="."/>
    <s v="BASE ORGANIZADOR  DE 2KG"/>
    <s v="BASE ORGANIZADOR  DE 2KG PASTEL-AZURE"/>
    <n v="37"/>
    <n v="1"/>
    <n v="2.2000000000000002"/>
    <x v="0"/>
    <m/>
    <n v="1"/>
    <n v="1179"/>
    <n v="22640"/>
    <s v="AZURE"/>
    <n v="2"/>
    <n v="0"/>
    <n v="0"/>
    <n v="1.85"/>
    <n v="2.2000000000000002"/>
    <n v="50"/>
    <n v="44"/>
    <x v="7"/>
    <x v="0"/>
    <n v="33"/>
    <n v="2"/>
    <n v="6.166666666666667"/>
  </r>
  <r>
    <d v="2025-09-01T07:20:00"/>
    <s v="INYECTADO"/>
    <x v="10"/>
    <x v="179"/>
    <s v="NELSON PINEDO"/>
    <s v="VIRGEN"/>
    <s v="PP CLARIFICADO"/>
    <s v="."/>
    <s v="BASE ORGANIZADOR  DE 2KG"/>
    <s v="BASE ORGANIZADOR  DE 2KG PASTEL-AZURE"/>
    <n v="375"/>
    <n v="4"/>
    <n v="42.4"/>
    <x v="0"/>
    <m/>
    <n v="13"/>
    <n v="1179"/>
    <n v="22641"/>
    <s v="AZURE"/>
    <n v="10.8"/>
    <n v="0"/>
    <n v="0"/>
    <n v="18.75"/>
    <n v="42.4"/>
    <n v="50"/>
    <n v="848"/>
    <x v="7"/>
    <x v="0"/>
    <n v="34"/>
    <n v="2"/>
    <n v="62.5"/>
  </r>
  <r>
    <d v="2025-09-01T07:20:00"/>
    <s v="INYECTADO"/>
    <x v="10"/>
    <x v="179"/>
    <s v="NELSON PINEDO"/>
    <s v="VIRGEN"/>
    <s v="PP CLARIFICADO"/>
    <s v="."/>
    <s v="BASE ORGANIZADOR  DE 2KG"/>
    <s v="BASE ORGANIZADOR  DE 2KG PASTEL-TURQUESA"/>
    <n v="278"/>
    <n v="3"/>
    <n v="31.5"/>
    <x v="0"/>
    <m/>
    <n v="9"/>
    <n v="1179"/>
    <n v="22641"/>
    <s v="TURQUESA"/>
    <n v="10.6"/>
    <n v="0"/>
    <n v="0"/>
    <n v="13.9"/>
    <n v="31.5"/>
    <n v="50"/>
    <n v="630"/>
    <x v="7"/>
    <x v="0"/>
    <n v="34"/>
    <n v="2"/>
    <n v="46.333333333333336"/>
  </r>
  <r>
    <d v="2025-09-01T07:20:00"/>
    <s v="INYECTADO"/>
    <x v="10"/>
    <x v="179"/>
    <s v="NELSON PINEDO"/>
    <s v="VIRGEN"/>
    <s v="PP CLARIFICADO"/>
    <s v="."/>
    <s v="BASE ORGANIZADOR  DE 2KG"/>
    <s v="BASE ORGANIZADOR  DE 2KG PASTEL-SANDIA"/>
    <n v="185"/>
    <n v="2"/>
    <n v="21"/>
    <x v="0"/>
    <m/>
    <n v="5"/>
    <n v="1179"/>
    <n v="22641"/>
    <s v="SANDIA"/>
    <n v="3.4"/>
    <n v="0"/>
    <n v="0"/>
    <n v="9.25"/>
    <n v="21"/>
    <n v="50"/>
    <n v="420"/>
    <x v="7"/>
    <x v="0"/>
    <n v="34"/>
    <n v="2"/>
    <n v="30.833333333333332"/>
  </r>
  <r>
    <d v="2025-09-01T07:20:00"/>
    <s v="INYECTADO"/>
    <x v="10"/>
    <x v="179"/>
    <s v="JOSDER GONZALEZ"/>
    <s v="VIRGEN"/>
    <s v="PP CLARIFICADO"/>
    <s v="."/>
    <s v="BASE ORGANIZADOR  DE 2KG"/>
    <s v="BASE ORGANIZADOR  DE 2KG PASTEL-LILA"/>
    <n v="198"/>
    <n v="2"/>
    <n v="22.4"/>
    <x v="1"/>
    <m/>
    <n v="7"/>
    <n v="1179"/>
    <n v="22642"/>
    <s v="SANDIA"/>
    <n v="8"/>
    <n v="0"/>
    <n v="0"/>
    <n v="9.9"/>
    <n v="22.4"/>
    <n v="50"/>
    <n v="448"/>
    <x v="7"/>
    <x v="0"/>
    <n v="34"/>
    <n v="2"/>
    <n v="33"/>
  </r>
  <r>
    <d v="2025-09-01T07:20:00"/>
    <s v="INYECTADO"/>
    <x v="10"/>
    <x v="179"/>
    <s v="JOSDER GONZALEZ"/>
    <s v="VIRGEN"/>
    <s v="PP CLARIFICADO"/>
    <s v="."/>
    <s v="BASE ORGANIZADOR  DE 2KG"/>
    <s v="BASE ORGANIZADOR  DE 2KG PASTEL-ROSADO"/>
    <n v="154"/>
    <n v="2"/>
    <n v="17.5"/>
    <x v="1"/>
    <m/>
    <n v="5"/>
    <n v="1179"/>
    <n v="22642"/>
    <s v="ROSADO"/>
    <n v="4"/>
    <n v="0"/>
    <n v="0"/>
    <n v="7.7"/>
    <n v="17.5"/>
    <n v="50"/>
    <n v="350"/>
    <x v="7"/>
    <x v="0"/>
    <n v="34"/>
    <n v="2"/>
    <n v="25.666666666666668"/>
  </r>
  <r>
    <d v="2025-09-01T07:20:00"/>
    <s v="INYECTADO"/>
    <x v="10"/>
    <x v="179"/>
    <s v="JOSDER GONZALEZ"/>
    <s v="VIRGEN"/>
    <s v="PP CLARIFICADO"/>
    <s v="."/>
    <s v="BASE ORGANIZADOR  DE 2KG"/>
    <s v="BASE ORGANIZADOR  DE 2KG PASTEL-SANDIA"/>
    <n v="50"/>
    <n v="1"/>
    <n v="5.7"/>
    <x v="1"/>
    <m/>
    <n v="2"/>
    <n v="1179"/>
    <n v="22642"/>
    <s v="LILA"/>
    <n v="7.8"/>
    <n v="0"/>
    <n v="0"/>
    <n v="2.5"/>
    <n v="5.7"/>
    <n v="50"/>
    <n v="114"/>
    <x v="7"/>
    <x v="0"/>
    <n v="34"/>
    <n v="2"/>
    <n v="8.3333333333333339"/>
  </r>
  <r>
    <d v="2025-09-01T07:20:00"/>
    <s v="INYECTADO"/>
    <x v="10"/>
    <x v="186"/>
    <s v="ISABEL LINARIZ "/>
    <s v="VIRGEN"/>
    <s v="PP CLARIFICADO"/>
    <s v="."/>
    <s v="BASE ORGANIZADOR  DE 2KG"/>
    <s v="BASE ORGANIZADOR  DE 2KG PASTEL-CELESTE"/>
    <n v="123"/>
    <n v="1"/>
    <n v="14"/>
    <x v="0"/>
    <m/>
    <n v="4"/>
    <n v="1179"/>
    <n v="22643"/>
    <s v="CELESTE"/>
    <n v="13.8"/>
    <n v="0"/>
    <n v="0"/>
    <n v="6.15"/>
    <n v="14"/>
    <n v="50"/>
    <n v="280"/>
    <x v="7"/>
    <x v="0"/>
    <n v="34"/>
    <n v="2"/>
    <n v="20.5"/>
  </r>
  <r>
    <d v="2025-09-01T07:20:00"/>
    <s v="INYECTADO"/>
    <x v="10"/>
    <x v="186"/>
    <s v="ISABEL LINARIZ "/>
    <s v="VIRGEN"/>
    <s v="PP CLARIFICADO"/>
    <s v="."/>
    <s v="BASE ORGANIZADOR  DE 2KG"/>
    <s v="BASE ORGANIZADOR  DE 2KG-TRANSPARENTE"/>
    <n v="949"/>
    <n v="9"/>
    <n v="107.3"/>
    <x v="0"/>
    <m/>
    <n v="22"/>
    <n v="1179"/>
    <n v="22643"/>
    <s v="TRANSPARENTE"/>
    <n v="0"/>
    <n v="0"/>
    <n v="0"/>
    <n v="47.45"/>
    <n v="107.3"/>
    <n v="50"/>
    <n v="2146"/>
    <x v="7"/>
    <x v="0"/>
    <n v="34"/>
    <n v="2"/>
    <n v="158.16666666666666"/>
  </r>
  <r>
    <d v="2025-09-01T07:20:00"/>
    <s v="INYECTADO"/>
    <x v="10"/>
    <x v="186"/>
    <s v="GABRIEL REQUENA"/>
    <s v="VIRGEN"/>
    <s v="PP CLARIFICADO"/>
    <s v="."/>
    <s v="BASE ORGANIZADOR  DE 2KG"/>
    <s v="BASE ORGANIZADOR  DE 2KG-TRANSPARENTE"/>
    <n v="1375"/>
    <n v="12"/>
    <n v="154"/>
    <x v="1"/>
    <m/>
    <n v="44"/>
    <n v="1179"/>
    <n v="22644"/>
    <s v="TRANSPARENTE"/>
    <n v="0"/>
    <n v="0"/>
    <n v="0"/>
    <n v="68.75"/>
    <n v="154"/>
    <n v="50"/>
    <n v="3080"/>
    <x v="7"/>
    <x v="0"/>
    <n v="34"/>
    <n v="2"/>
    <n v="229.16666666666666"/>
  </r>
  <r>
    <d v="2025-09-01T07:20:00"/>
    <s v="INYECTADO"/>
    <x v="10"/>
    <x v="189"/>
    <s v="JUANA CRUCES"/>
    <s v="VIRGEN"/>
    <s v="PP CLARIFICADO"/>
    <s v="."/>
    <s v="BASE ORGANIZADOR  DE 2KG"/>
    <s v="BASE ORGANIZADOR  DE 2KG-TRANSPARENTE"/>
    <n v="942"/>
    <n v="9"/>
    <n v="105.6"/>
    <x v="0"/>
    <m/>
    <n v="21"/>
    <n v="1179"/>
    <n v="22645"/>
    <s v="TRANSPARENTE"/>
    <n v="0.5"/>
    <n v="0"/>
    <n v="0"/>
    <n v="47.1"/>
    <n v="105.6"/>
    <n v="50"/>
    <n v="2112"/>
    <x v="7"/>
    <x v="0"/>
    <n v="34"/>
    <n v="2"/>
    <n v="157"/>
  </r>
  <r>
    <d v="2025-09-01T07:20:00"/>
    <s v="INYECTADO"/>
    <x v="10"/>
    <x v="189"/>
    <s v="JUANA CRUCES"/>
    <s v="VIRGEN"/>
    <s v="PP CLARIFICADO"/>
    <s v="."/>
    <s v="BASE ORGANIZADOR  DE 2KG"/>
    <s v="BASE ORGANIZADOR  DE 2KG CARAMELO-AMARILLO"/>
    <n v="346"/>
    <n v="3"/>
    <n v="38.5"/>
    <x v="0"/>
    <m/>
    <n v="8"/>
    <n v="1179"/>
    <n v="22645"/>
    <s v="AMARILLO"/>
    <n v="2"/>
    <n v="0"/>
    <n v="0"/>
    <n v="17.3"/>
    <n v="38.5"/>
    <n v="50"/>
    <n v="770"/>
    <x v="7"/>
    <x v="0"/>
    <n v="34"/>
    <n v="2"/>
    <n v="57.666666666666664"/>
  </r>
  <r>
    <d v="2025-09-01T07:20:00"/>
    <s v="INYECTADO"/>
    <x v="10"/>
    <x v="189"/>
    <s v="JOSDER GONZALEZ"/>
    <s v="VIRGEN"/>
    <s v="PP CLARIFICADO"/>
    <s v="."/>
    <s v="BASE ORGANIZADOR  DE 2KG"/>
    <s v="BASE ORGANIZADOR  DE 2KG CARAMELO-AMARILLO"/>
    <n v="106"/>
    <n v="1"/>
    <n v="12.1"/>
    <x v="1"/>
    <m/>
    <n v="4"/>
    <n v="1179"/>
    <n v="22646"/>
    <s v="AMARILLO"/>
    <n v="0"/>
    <n v="0"/>
    <n v="0"/>
    <n v="5.3"/>
    <n v="12.1"/>
    <n v="50"/>
    <n v="242"/>
    <x v="7"/>
    <x v="0"/>
    <n v="34"/>
    <n v="2"/>
    <n v="17.666666666666668"/>
  </r>
  <r>
    <d v="2025-09-01T07:20:00"/>
    <s v="INYECTADO"/>
    <x v="10"/>
    <x v="189"/>
    <s v="JOSDER GONZALEZ"/>
    <s v="VIRGEN"/>
    <s v="PP CLARIFICADO"/>
    <s v="."/>
    <s v="BASE ORGANIZADOR  DE 2KG"/>
    <s v="BASE ORGANIZADOR  DE 2KG CARAMELO-VERDE"/>
    <n v="450"/>
    <n v="4"/>
    <n v="51.3"/>
    <x v="1"/>
    <m/>
    <n v="15"/>
    <n v="1179"/>
    <n v="22646"/>
    <s v="VERDE"/>
    <n v="4.4000000000000004"/>
    <n v="0"/>
    <n v="0"/>
    <n v="22.5"/>
    <n v="51.3"/>
    <n v="50"/>
    <n v="1026"/>
    <x v="7"/>
    <x v="0"/>
    <n v="34"/>
    <n v="2"/>
    <n v="75"/>
  </r>
  <r>
    <d v="2025-09-01T07:20:00"/>
    <s v="INYECTADO"/>
    <x v="10"/>
    <x v="189"/>
    <s v="JOSDER GONZALEZ"/>
    <s v="VIRGEN"/>
    <s v="PP CLARIFICADO"/>
    <s v="."/>
    <s v="BASE ORGANIZADOR  DE 2KG"/>
    <s v="BASE ORGANIZADOR  DE 2KG CARAMELO-AZUL"/>
    <n v="455"/>
    <n v="4"/>
    <n v="51.9"/>
    <x v="1"/>
    <m/>
    <n v="15"/>
    <n v="1179"/>
    <n v="22646"/>
    <s v="AZUL"/>
    <n v="3.8"/>
    <n v="0"/>
    <n v="0"/>
    <n v="22.75"/>
    <n v="51.9"/>
    <n v="50"/>
    <n v="1038"/>
    <x v="7"/>
    <x v="0"/>
    <n v="34"/>
    <n v="2"/>
    <n v="75.833333333333329"/>
  </r>
  <r>
    <d v="2025-09-01T07:20:00"/>
    <s v="INYECTADO"/>
    <x v="10"/>
    <x v="189"/>
    <s v="JOSDER GONZALEZ"/>
    <s v="VIRGEN"/>
    <s v="PP CLARIFICADO"/>
    <s v="."/>
    <s v="BASE ORGANIZADOR  DE 2KG"/>
    <s v="BASE ORGANIZADOR  DE 2KG CARAMELO-FUCSIA"/>
    <n v="122"/>
    <n v="2"/>
    <n v="14"/>
    <x v="1"/>
    <m/>
    <n v="6"/>
    <n v="1179"/>
    <n v="22646"/>
    <s v="FUCSIA"/>
    <n v="1.3"/>
    <n v="0"/>
    <n v="0"/>
    <n v="6.1"/>
    <n v="14"/>
    <n v="50"/>
    <n v="280"/>
    <x v="7"/>
    <x v="0"/>
    <n v="34"/>
    <n v="2"/>
    <n v="20.333333333333332"/>
  </r>
  <r>
    <d v="2025-09-01T07:20:00"/>
    <s v="INYECTADO"/>
    <x v="10"/>
    <x v="190"/>
    <s v="JUANA CRUCES"/>
    <s v="VIRGEN"/>
    <s v="PP CLARIFICADO"/>
    <s v="."/>
    <s v="BASE ORGANIZADOR  DE 2KG"/>
    <s v="BASE ORGANIZADOR  DE 2KG CARAMELO-FUCSIA"/>
    <n v="265"/>
    <n v="3"/>
    <n v="29.2"/>
    <x v="0"/>
    <m/>
    <n v="9"/>
    <n v="1179"/>
    <n v="22647"/>
    <s v="FUCSIA"/>
    <n v="3.7"/>
    <n v="0"/>
    <n v="0"/>
    <n v="13.25"/>
    <n v="29.2"/>
    <n v="50"/>
    <n v="584"/>
    <x v="7"/>
    <x v="0"/>
    <n v="34"/>
    <n v="2"/>
    <n v="44.166666666666664"/>
  </r>
  <r>
    <d v="2025-09-01T07:20:00"/>
    <s v="INYECTADO"/>
    <x v="10"/>
    <x v="190"/>
    <s v="JUANA CRUCES"/>
    <s v="VIRGEN"/>
    <s v="PP CLARIFICADO"/>
    <s v="."/>
    <s v="BASE ORGANIZADOR  DE 2KG"/>
    <s v="BASE ORGANIZADOR  DE 2KG CARAMELO-LILA"/>
    <n v="461"/>
    <n v="5"/>
    <n v="50.8"/>
    <x v="0"/>
    <m/>
    <n v="15"/>
    <n v="1179"/>
    <n v="22647"/>
    <s v="LILA"/>
    <n v="3.9"/>
    <n v="0"/>
    <n v="0"/>
    <n v="23.05"/>
    <n v="50.8"/>
    <n v="50"/>
    <n v="1016"/>
    <x v="7"/>
    <x v="0"/>
    <n v="34"/>
    <n v="2"/>
    <n v="76.833333333333329"/>
  </r>
  <r>
    <d v="2025-09-01T07:20:00"/>
    <s v="INYECTADO"/>
    <x v="10"/>
    <x v="190"/>
    <s v="JUANA CRUCES"/>
    <s v="VIRGEN"/>
    <s v="PP CLARIFICADO"/>
    <s v="."/>
    <s v="BASE ORGANIZADOR  DE 2KG"/>
    <s v="BASE ORGANIZADOR  DE 2KG CARAMELO-ROJO"/>
    <n v="346"/>
    <n v="4"/>
    <n v="38.5"/>
    <x v="0"/>
    <m/>
    <n v="13"/>
    <n v="1179"/>
    <n v="22647"/>
    <s v="ROJO"/>
    <n v="6.9"/>
    <n v="0"/>
    <n v="0"/>
    <n v="17.3"/>
    <n v="38.5"/>
    <n v="50"/>
    <n v="770"/>
    <x v="7"/>
    <x v="0"/>
    <n v="34"/>
    <n v="2"/>
    <n v="57.666666666666664"/>
  </r>
  <r>
    <d v="2025-09-01T07:20:00"/>
    <s v="INYECTADO"/>
    <x v="10"/>
    <x v="190"/>
    <s v="JOSDER GONZALEZ"/>
    <s v="VIRGEN"/>
    <s v="PP CLARIFICADO"/>
    <s v="."/>
    <s v="BASE ORGANIZADOR  DE 2KG"/>
    <s v="BASE ORGANIZADOR  DE 2KG CARAMELO-FUCSIA"/>
    <n v="252"/>
    <n v="3"/>
    <n v="27.8"/>
    <x v="1"/>
    <m/>
    <n v="8"/>
    <n v="1179"/>
    <n v="22648"/>
    <s v="FUCSIA"/>
    <n v="0"/>
    <n v="0"/>
    <n v="0"/>
    <n v="12.6"/>
    <n v="27.8"/>
    <n v="50"/>
    <n v="556"/>
    <x v="7"/>
    <x v="0"/>
    <n v="34"/>
    <n v="2"/>
    <n v="42"/>
  </r>
  <r>
    <d v="2025-09-01T07:20:00"/>
    <s v="INYECTADO"/>
    <x v="10"/>
    <x v="190"/>
    <s v="JOSDER GONZALEZ"/>
    <s v="VIRGEN"/>
    <s v="PP CLARIFICADO"/>
    <s v="."/>
    <s v="BASE ORGANIZADOR  DE 2KG"/>
    <s v="BASE ORGANIZADOR  DE 2KG PASTEL-SANDIA"/>
    <n v="437"/>
    <n v="5"/>
    <n v="48.6"/>
    <x v="1"/>
    <m/>
    <n v="15"/>
    <n v="1179"/>
    <n v="22648"/>
    <s v="SANDIA"/>
    <n v="9"/>
    <n v="0"/>
    <n v="0"/>
    <n v="21.85"/>
    <n v="48.6"/>
    <n v="50"/>
    <n v="972"/>
    <x v="7"/>
    <x v="0"/>
    <n v="34"/>
    <n v="2"/>
    <n v="72.833333333333329"/>
  </r>
  <r>
    <d v="2025-09-01T07:20:00"/>
    <s v="INYECTADO"/>
    <x v="10"/>
    <x v="190"/>
    <s v="JOSDER GONZALEZ"/>
    <s v="VIRGEN"/>
    <s v="PP CLARIFICADO"/>
    <s v="."/>
    <s v="BASE ORGANIZADOR  DE 2KG"/>
    <s v="BASE ORGANIZADOR  DE 2KG PASTEL-LILA"/>
    <n v="275"/>
    <n v="2"/>
    <n v="30.3"/>
    <x v="1"/>
    <m/>
    <n v="9"/>
    <n v="1179"/>
    <n v="22648"/>
    <s v="LILA"/>
    <n v="1.7"/>
    <n v="0"/>
    <n v="0"/>
    <n v="13.75"/>
    <n v="30.3"/>
    <n v="50"/>
    <n v="606"/>
    <x v="7"/>
    <x v="0"/>
    <n v="34"/>
    <n v="2"/>
    <n v="45.833333333333336"/>
  </r>
  <r>
    <d v="2025-09-01T07:20:00"/>
    <s v="INYECTADO"/>
    <x v="10"/>
    <x v="190"/>
    <s v="JOSDER GONZALEZ"/>
    <s v="VIRGEN"/>
    <s v="PP CLARIFICADO"/>
    <s v="."/>
    <s v="BASE ORGANIZADOR  DE 2KG"/>
    <s v="BASE ORGANIZADOR  DE 2KG PASTEL-ROSADO"/>
    <n v="185"/>
    <n v="2"/>
    <n v="20.399999999999999"/>
    <x v="1"/>
    <m/>
    <n v="6"/>
    <n v="1179"/>
    <n v="22648"/>
    <s v="ROSADO"/>
    <n v="3.2"/>
    <n v="0"/>
    <n v="0"/>
    <n v="9.25"/>
    <n v="20.399999999999999"/>
    <n v="50"/>
    <n v="408"/>
    <x v="7"/>
    <x v="0"/>
    <n v="34"/>
    <n v="2"/>
    <n v="30.833333333333332"/>
  </r>
  <r>
    <d v="2025-09-01T07:20:00"/>
    <s v="INYECTADO"/>
    <x v="10"/>
    <x v="191"/>
    <s v="ISABEL LINARIZ "/>
    <s v="VIRGEN"/>
    <s v="PP CLARIFICADO"/>
    <s v="."/>
    <s v="BASE ORGANIZADOR  DE 2KG"/>
    <s v="BASE ORGANIZADOR  DE 2KG PASTEL-LILA"/>
    <n v="155"/>
    <n v="2"/>
    <n v="17.3"/>
    <x v="0"/>
    <m/>
    <n v="6"/>
    <n v="1179"/>
    <n v="22649"/>
    <s v="LILA"/>
    <n v="6.7"/>
    <n v="0"/>
    <n v="0"/>
    <n v="7.75"/>
    <n v="17.3"/>
    <n v="50"/>
    <n v="346"/>
    <x v="7"/>
    <x v="0"/>
    <n v="34"/>
    <n v="2"/>
    <n v="25.833333333333332"/>
  </r>
  <r>
    <d v="2025-09-01T07:20:00"/>
    <s v="INYECTADO"/>
    <x v="10"/>
    <x v="191"/>
    <s v="ISABEL LINARIZ "/>
    <s v="VIRGEN"/>
    <s v="PP CLARIFICADO"/>
    <s v="."/>
    <s v="BASE ORGANIZADOR  DE 2KG"/>
    <s v="BASE ORGANIZADOR  DE 2KG PASTEL-CELESTE"/>
    <n v="418"/>
    <n v="4"/>
    <n v="46.5"/>
    <x v="0"/>
    <m/>
    <n v="14"/>
    <n v="1179"/>
    <n v="22649"/>
    <s v="CELESTE"/>
    <n v="6.6"/>
    <n v="0"/>
    <n v="0"/>
    <n v="20.9"/>
    <n v="46.5"/>
    <n v="50"/>
    <n v="930"/>
    <x v="7"/>
    <x v="0"/>
    <n v="34"/>
    <n v="2"/>
    <n v="69.666666666666671"/>
  </r>
  <r>
    <d v="2025-09-01T07:20:00"/>
    <s v="INYECTADO"/>
    <x v="10"/>
    <x v="191"/>
    <s v="ISABEL LINARIZ "/>
    <s v="VIRGEN"/>
    <s v="PP CLARIFICADO"/>
    <s v="."/>
    <s v="BASE ORGANIZADOR  DE 2KG"/>
    <s v="BASE ORGANIZADOR  DE 2KG PASTEL-AZURE"/>
    <n v="449"/>
    <n v="4"/>
    <n v="49.9"/>
    <x v="0"/>
    <m/>
    <n v="11"/>
    <n v="1179"/>
    <n v="22649"/>
    <s v="AZURE"/>
    <n v="2.2999999999999998"/>
    <n v="0"/>
    <n v="0"/>
    <n v="22.45"/>
    <n v="49.9"/>
    <n v="50"/>
    <n v="998"/>
    <x v="7"/>
    <x v="0"/>
    <n v="34"/>
    <n v="2"/>
    <n v="74.833333333333329"/>
  </r>
  <r>
    <d v="2025-09-01T07:20:00"/>
    <s v="INYECTADO"/>
    <x v="10"/>
    <x v="191"/>
    <s v="ISABEL LINARIZ "/>
    <s v="VIRGEN"/>
    <s v="PP CLARIFICADO"/>
    <s v="."/>
    <s v="BASE ORGANIZADOR  DE 2KG"/>
    <s v="BASE ORGANIZADOR  DE 2KG PASTEL-TURQUESA"/>
    <n v="16"/>
    <n v="1"/>
    <n v="1.8"/>
    <x v="0"/>
    <m/>
    <n v="1"/>
    <n v="1179"/>
    <n v="22649"/>
    <s v="TURQUESA"/>
    <n v="0"/>
    <n v="0"/>
    <n v="0"/>
    <n v="0.8"/>
    <n v="1.8"/>
    <n v="50"/>
    <n v="36"/>
    <x v="7"/>
    <x v="0"/>
    <n v="34"/>
    <n v="2"/>
    <n v="2.6666666666666665"/>
  </r>
  <r>
    <d v="2025-09-01T07:20:00"/>
    <s v="INYECTADO"/>
    <x v="10"/>
    <x v="191"/>
    <s v="JUAN MANUEL "/>
    <s v="VIRGEN"/>
    <s v="PP CLARIFICADO"/>
    <s v="."/>
    <s v="BASE ORGANIZADOR  DE 2KG"/>
    <s v="BASE ORGANIZADOR  DE 2KG PASTEL-TURQUESA"/>
    <n v="420"/>
    <n v="4"/>
    <n v="47.1"/>
    <x v="1"/>
    <m/>
    <n v="14"/>
    <n v="1179"/>
    <n v="22650"/>
    <s v="TURQUESA"/>
    <n v="6"/>
    <n v="0"/>
    <n v="0"/>
    <n v="21"/>
    <n v="47.1"/>
    <n v="50"/>
    <n v="942"/>
    <x v="7"/>
    <x v="0"/>
    <n v="34"/>
    <n v="2"/>
    <n v="70"/>
  </r>
  <r>
    <d v="2025-09-01T07:20:00"/>
    <s v="INYECTADO"/>
    <x v="10"/>
    <x v="191"/>
    <s v="JUAN MANUEL "/>
    <s v="VIRGEN"/>
    <s v="PP CLARIFICADO"/>
    <s v="."/>
    <s v="BASE ORGANIZADOR  DE 2KG"/>
    <s v="BASE ORGANIZADOR  DE 2KG PASTEL-ROSADO"/>
    <n v="406"/>
    <n v="7"/>
    <n v="45.5"/>
    <x v="1"/>
    <m/>
    <n v="13"/>
    <n v="1179"/>
    <n v="22650"/>
    <s v="ROSADO"/>
    <n v="10"/>
    <n v="0"/>
    <n v="0"/>
    <n v="20.3"/>
    <n v="45.5"/>
    <n v="50"/>
    <n v="910"/>
    <x v="7"/>
    <x v="0"/>
    <n v="34"/>
    <n v="2"/>
    <n v="67.666666666666671"/>
  </r>
  <r>
    <d v="2025-09-01T07:20:00"/>
    <s v="INYECTADO"/>
    <x v="10"/>
    <x v="193"/>
    <s v="ISABEL LINARIZ "/>
    <s v="VIRGEN"/>
    <s v="PP CLARIFICADO"/>
    <s v="."/>
    <s v="BASE ORGANIZADOR  DE 2KG"/>
    <s v="BASE ORGANIZADOR  DE 2KG PASTEL-LILA"/>
    <n v="410"/>
    <n v="4"/>
    <n v="46"/>
    <x v="0"/>
    <m/>
    <n v="13"/>
    <n v="1179"/>
    <n v="22651"/>
    <s v="LILA"/>
    <n v="7.5"/>
    <n v="0"/>
    <n v="0"/>
    <n v="20.5"/>
    <n v="46"/>
    <n v="50"/>
    <n v="920"/>
    <x v="7"/>
    <x v="0"/>
    <n v="34"/>
    <n v="2"/>
    <n v="68.333333333333329"/>
  </r>
  <r>
    <d v="2025-09-01T07:20:00"/>
    <s v="INYECTADO"/>
    <x v="10"/>
    <x v="193"/>
    <s v="ISABEL LINARIZ "/>
    <s v="VIRGEN"/>
    <s v="PP CLARIFICADO"/>
    <s v="."/>
    <s v="BASE ORGANIZADOR  DE 2KG"/>
    <s v="BASE ORGANIZADOR  DE 2KG PASTEL-SANDIA"/>
    <n v="404"/>
    <n v="4"/>
    <n v="44.9"/>
    <x v="0"/>
    <m/>
    <n v="13"/>
    <n v="1179"/>
    <n v="22651"/>
    <s v="SANDIA"/>
    <n v="10"/>
    <n v="0"/>
    <n v="0"/>
    <n v="20.2"/>
    <n v="44.9"/>
    <n v="50"/>
    <n v="898"/>
    <x v="7"/>
    <x v="0"/>
    <n v="34"/>
    <n v="2"/>
    <n v="67.333333333333329"/>
  </r>
  <r>
    <d v="2025-09-01T07:20:00"/>
    <s v="INYECTADO"/>
    <x v="10"/>
    <x v="193"/>
    <s v="ISABEL LINARIZ "/>
    <s v="VIRGEN"/>
    <s v="PP CLARIFICADO"/>
    <s v="."/>
    <s v="BASE ORGANIZADOR  DE 2KG"/>
    <s v="BASE ORGANIZADOR  DE 2KG PASTEL-AZURE"/>
    <n v="31"/>
    <n v="2"/>
    <n v="3.5"/>
    <x v="0"/>
    <m/>
    <n v="1"/>
    <n v="1179"/>
    <n v="22651"/>
    <s v="AZURE"/>
    <n v="8.5"/>
    <n v="0"/>
    <n v="0"/>
    <n v="1.55"/>
    <n v="3.5"/>
    <n v="50"/>
    <n v="70"/>
    <x v="7"/>
    <x v="0"/>
    <n v="34"/>
    <n v="2"/>
    <n v="5.166666666666667"/>
  </r>
  <r>
    <d v="2025-09-01T07:20:00"/>
    <s v="INYECTADO"/>
    <x v="10"/>
    <x v="193"/>
    <s v="GABRIEL REQUENA"/>
    <s v="VIRGEN"/>
    <s v="PP CLARIFICADO"/>
    <s v="."/>
    <s v="BASE ORGANIZADOR  DE 2KG"/>
    <s v="BASE ORGANIZADOR  DE 2KG PASTEL-AZURE"/>
    <n v="348"/>
    <n v="4"/>
    <n v="38.700000000000003"/>
    <x v="1"/>
    <m/>
    <n v="6"/>
    <n v="1179"/>
    <n v="22652"/>
    <s v="AZURE"/>
    <n v="9.6999999999999993"/>
    <n v="0"/>
    <n v="0"/>
    <n v="17.399999999999999"/>
    <n v="38.700000000000003"/>
    <n v="50"/>
    <n v="774"/>
    <x v="7"/>
    <x v="0"/>
    <n v="34"/>
    <n v="2"/>
    <n v="58"/>
  </r>
  <r>
    <d v="2025-09-01T07:20:00"/>
    <s v="INYECTADO"/>
    <x v="10"/>
    <x v="193"/>
    <s v="GABRIEL REQUENA"/>
    <s v="VIRGEN"/>
    <s v="PP CLARIFICADO"/>
    <s v="."/>
    <s v="BASE ORGANIZADOR  DE 2KG"/>
    <s v="BASE ORGANIZADOR  DE 2KG CARAMELO-AMARILLO"/>
    <n v="456"/>
    <n v="5"/>
    <n v="50.7"/>
    <x v="1"/>
    <m/>
    <n v="13"/>
    <n v="1179"/>
    <n v="22652"/>
    <s v="AMARILLO"/>
    <n v="2.5"/>
    <n v="0"/>
    <n v="0"/>
    <n v="22.8"/>
    <n v="50.7"/>
    <n v="50"/>
    <n v="1014"/>
    <x v="7"/>
    <x v="0"/>
    <n v="34"/>
    <n v="2"/>
    <n v="76"/>
  </r>
  <r>
    <d v="2025-09-01T07:20:00"/>
    <s v="INYECTADO"/>
    <x v="10"/>
    <x v="193"/>
    <s v="GABRIEL REQUENA"/>
    <s v="VIRGEN"/>
    <s v="PP CLARIFICADO"/>
    <s v="."/>
    <s v="BASE ORGANIZADOR  DE 2KG"/>
    <s v="BASE ORGANIZADOR  DE 2KG CARAMELO-VERDE"/>
    <n v="250"/>
    <n v="3"/>
    <n v="27.7"/>
    <x v="1"/>
    <m/>
    <n v="8"/>
    <n v="1179"/>
    <n v="22652"/>
    <s v="VERDE"/>
    <n v="1.5"/>
    <n v="0"/>
    <n v="0"/>
    <n v="12.5"/>
    <n v="27.7"/>
    <n v="50"/>
    <n v="554"/>
    <x v="7"/>
    <x v="0"/>
    <n v="34"/>
    <n v="2"/>
    <n v="41.666666666666664"/>
  </r>
  <r>
    <d v="2025-09-01T07:20:00"/>
    <s v="INYECTADO"/>
    <x v="10"/>
    <x v="200"/>
    <s v="SAID VILLAMIZAR"/>
    <s v="VIRGEN"/>
    <s v="PP CLARIFICADO"/>
    <s v="."/>
    <s v="BASE ORGANIZADOR  DE 2KG"/>
    <s v="BASE ORGANIZADOR  DE 2KG CARAMELO-VERDE"/>
    <n v="193"/>
    <n v="2"/>
    <n v="21.5"/>
    <x v="0"/>
    <m/>
    <n v="7"/>
    <m/>
    <n v="22653"/>
    <s v="VERDE"/>
    <n v="3.4"/>
    <n v="0"/>
    <n v="0"/>
    <n v="9.65"/>
    <n v="21.5"/>
    <n v="50"/>
    <n v="430"/>
    <x v="7"/>
    <x v="0"/>
    <n v="34"/>
    <n v="2"/>
    <n v="32.166666666666664"/>
  </r>
  <r>
    <d v="2025-09-01T07:20:00"/>
    <s v="INYECTADO"/>
    <x v="10"/>
    <x v="200"/>
    <s v="SAID VILLAMIZAR"/>
    <s v="VIRGEN"/>
    <s v="PP CLARIFICADO"/>
    <s v="."/>
    <s v="BASE ORGANIZADOR  DE 2KG"/>
    <s v="BASE ORGANIZADOR  DE 2KG CARAMELO-AZUL"/>
    <n v="424"/>
    <n v="5"/>
    <n v="47.1"/>
    <x v="0"/>
    <m/>
    <n v="14"/>
    <m/>
    <n v="22653"/>
    <s v="AZUL"/>
    <n v="5"/>
    <n v="0"/>
    <n v="0"/>
    <n v="21.2"/>
    <n v="47.1"/>
    <n v="50"/>
    <n v="942"/>
    <x v="7"/>
    <x v="0"/>
    <n v="34"/>
    <n v="2"/>
    <n v="70.666666666666671"/>
  </r>
  <r>
    <d v="2025-09-01T07:20:00"/>
    <s v="INYECTADO"/>
    <x v="10"/>
    <x v="200"/>
    <s v="SAID VILLAMIZAR"/>
    <s v="VIRGEN"/>
    <s v="PP CLARIFICADO"/>
    <s v="."/>
    <s v="BASE ORGANIZADOR  DE 2KG"/>
    <s v="BASE ORGANIZADOR  DE 2KG CARAMELO-LILA"/>
    <n v="71"/>
    <n v="1"/>
    <n v="7.9"/>
    <x v="0"/>
    <m/>
    <n v="3"/>
    <m/>
    <n v="22653"/>
    <s v="LILA"/>
    <n v="0"/>
    <n v="0"/>
    <n v="0"/>
    <n v="3.55"/>
    <n v="7.9"/>
    <n v="50"/>
    <n v="158"/>
    <x v="7"/>
    <x v="0"/>
    <n v="34"/>
    <n v="2"/>
    <n v="11.833333333333334"/>
  </r>
  <r>
    <d v="2025-09-01T07:20:00"/>
    <s v="INYECTADO"/>
    <x v="10"/>
    <x v="194"/>
    <s v="JUANA CRUCES"/>
    <s v="VIRGEN"/>
    <s v="PP CLARIFICADO"/>
    <s v="."/>
    <s v="BASE ORGANIZADOR  DE 2KG"/>
    <s v="BASE ORGANIZADOR  DE 2KG CARAMELO-LILA"/>
    <n v="361"/>
    <n v="4"/>
    <n v="40.1"/>
    <x v="0"/>
    <m/>
    <n v="12"/>
    <n v="1197"/>
    <n v="22654"/>
    <s v="LILA"/>
    <n v="7"/>
    <n v="0"/>
    <n v="0"/>
    <n v="18.05"/>
    <n v="40.1"/>
    <n v="50"/>
    <n v="802"/>
    <x v="7"/>
    <x v="0"/>
    <n v="35"/>
    <n v="2"/>
    <n v="60.166666666666664"/>
  </r>
  <r>
    <d v="2025-09-01T07:20:00"/>
    <s v="INYECTADO"/>
    <x v="10"/>
    <x v="194"/>
    <s v="JUANA CRUCES"/>
    <s v="VIRGEN"/>
    <s v="PP CLARIFICADO"/>
    <s v="."/>
    <s v="BASE ORGANIZADOR  DE 2KG"/>
    <s v="BASE ORGANIZADOR  DE 2KG CARAMELO-FUCSIA"/>
    <n v="465"/>
    <n v="5"/>
    <n v="51.7"/>
    <x v="0"/>
    <m/>
    <n v="15"/>
    <n v="1197"/>
    <n v="22654"/>
    <s v="FUCSIA"/>
    <n v="3.5"/>
    <n v="0"/>
    <n v="0"/>
    <n v="23.25"/>
    <n v="51.7"/>
    <n v="50"/>
    <n v="1034"/>
    <x v="7"/>
    <x v="0"/>
    <n v="35"/>
    <n v="2"/>
    <n v="77.5"/>
  </r>
  <r>
    <d v="2025-09-01T07:20:00"/>
    <s v="INYECTADO"/>
    <x v="10"/>
    <x v="194"/>
    <s v="JUANA CRUCES"/>
    <s v="VIRGEN"/>
    <s v="PP CLARIFICADO"/>
    <s v="."/>
    <s v="BASE ORGANIZADOR  DE 2KG"/>
    <s v="BASE ORGANIZADOR  DE 2KG CARAMELO-ROJO"/>
    <n v="215"/>
    <n v="2"/>
    <n v="23.9"/>
    <x v="0"/>
    <m/>
    <n v="3"/>
    <n v="1197"/>
    <n v="22654"/>
    <s v="ROJO"/>
    <n v="3.1"/>
    <n v="0"/>
    <n v="0"/>
    <n v="10.75"/>
    <n v="23.9"/>
    <n v="50"/>
    <n v="478"/>
    <x v="7"/>
    <x v="0"/>
    <n v="35"/>
    <n v="2"/>
    <n v="35.833333333333336"/>
  </r>
  <r>
    <d v="2025-09-01T07:20:00"/>
    <s v="INYECTADO"/>
    <x v="10"/>
    <x v="194"/>
    <s v="ISABEL LINARIZ "/>
    <s v="VIRGEN"/>
    <s v="PP CLARIFICADO"/>
    <s v="."/>
    <s v="BASE ORGANIZADOR  DE 2KG"/>
    <s v="BASE ORGANIZADOR  DE 2KG CARAMELO-ROJO"/>
    <n v="235"/>
    <n v="3"/>
    <n v="26.3"/>
    <x v="1"/>
    <m/>
    <n v="8"/>
    <n v="1197"/>
    <n v="22655"/>
    <s v="ROJO"/>
    <n v="6.8"/>
    <n v="0"/>
    <n v="0"/>
    <n v="11.75"/>
    <n v="26.3"/>
    <n v="50"/>
    <n v="526"/>
    <x v="7"/>
    <x v="0"/>
    <n v="35"/>
    <n v="2"/>
    <n v="39.166666666666664"/>
  </r>
  <r>
    <d v="2025-09-01T07:20:00"/>
    <s v="INYECTADO"/>
    <x v="10"/>
    <x v="194"/>
    <s v="ISABEL LINARIZ "/>
    <s v="VIRGEN"/>
    <s v="PP CLARIFICADO"/>
    <s v="."/>
    <s v="BASE ORGANIZADOR  DE 2KG"/>
    <s v="BASE ORGANIZADOR  DE 2KG NEON-VERDE"/>
    <n v="453"/>
    <n v="4"/>
    <n v="51.2"/>
    <x v="1"/>
    <m/>
    <n v="14"/>
    <n v="1179"/>
    <n v="22655"/>
    <s v="VERDE"/>
    <n v="3.8"/>
    <n v="0"/>
    <n v="0"/>
    <n v="51.642000000000003"/>
    <n v="51.2"/>
    <n v="114"/>
    <n v="449.12280701754383"/>
    <x v="7"/>
    <x v="0"/>
    <n v="35"/>
    <n v="2"/>
    <n v="75.5"/>
  </r>
  <r>
    <d v="2025-09-01T07:20:00"/>
    <s v="INYECTADO"/>
    <x v="10"/>
    <x v="194"/>
    <s v="ISABEL LINARIZ "/>
    <s v="VIRGEN"/>
    <s v="PP CLARIFICADO"/>
    <s v="."/>
    <s v="BASE ORGANIZADOR  DE 2KG"/>
    <s v="BASE ORGANIZADOR  DE 2KG NEON-AMARILLO"/>
    <n v="426"/>
    <n v="4"/>
    <n v="48.2"/>
    <x v="1"/>
    <m/>
    <n v="14"/>
    <n v="1179"/>
    <n v="22655"/>
    <s v="AMARILLO"/>
    <n v="4.3"/>
    <n v="0"/>
    <n v="0"/>
    <n v="48.564"/>
    <n v="48.2"/>
    <n v="114"/>
    <n v="422.80701754385967"/>
    <x v="7"/>
    <x v="0"/>
    <n v="35"/>
    <n v="2"/>
    <n v="71"/>
  </r>
  <r>
    <d v="2025-09-01T07:20:00"/>
    <s v="INYECTADO"/>
    <x v="10"/>
    <x v="195"/>
    <s v="JUANA CRUCES"/>
    <s v="VIRGEN"/>
    <s v="PP CLARIFICADO"/>
    <s v="."/>
    <s v="BASE ORGANIZADOR  DE 2KG"/>
    <s v="BASE ORGANIZADOR  DE 2KG NEON-ANARANJADO"/>
    <n v="423"/>
    <n v="5"/>
    <n v="47.9"/>
    <x v="0"/>
    <m/>
    <n v="14"/>
    <n v="1179"/>
    <n v="22656"/>
    <s v="NARANJA"/>
    <n v="9.1"/>
    <n v="0"/>
    <n v="0"/>
    <n v="48.222000000000001"/>
    <n v="47.9"/>
    <n v="114"/>
    <n v="420.17543859649123"/>
    <x v="7"/>
    <x v="0"/>
    <n v="35"/>
    <n v="2"/>
    <n v="70.5"/>
  </r>
  <r>
    <d v="2025-09-01T07:20:00"/>
    <s v="INYECTADO"/>
    <x v="10"/>
    <x v="195"/>
    <s v="JUANA CRUCES"/>
    <s v="VIRGEN"/>
    <s v="PP CLARIFICADO"/>
    <s v="."/>
    <s v="BASE ORGANIZADOR  DE 2KG"/>
    <s v="BASE ORGANIZADOR  DE 2KG NEON-AZUL"/>
    <n v="423"/>
    <n v="5"/>
    <n v="47.9"/>
    <x v="0"/>
    <m/>
    <n v="13"/>
    <n v="1179"/>
    <n v="22656"/>
    <s v="AZUL"/>
    <n v="10.9"/>
    <n v="0"/>
    <n v="0"/>
    <n v="48.222000000000001"/>
    <n v="47.9"/>
    <n v="114"/>
    <n v="420.17543859649123"/>
    <x v="7"/>
    <x v="0"/>
    <n v="35"/>
    <n v="2"/>
    <n v="70.5"/>
  </r>
  <r>
    <d v="2025-09-01T07:20:00"/>
    <s v="INYECTADO"/>
    <x v="10"/>
    <x v="195"/>
    <s v="JUANA CRUCES"/>
    <s v="VIRGEN"/>
    <s v="PP CLARIFICADO"/>
    <s v="."/>
    <s v="BASE ORGANIZADOR  DE 2KG"/>
    <s v="BASE ORGANIZADOR  DE 2KG NEON-VIOLETA"/>
    <n v="134"/>
    <n v="2"/>
    <n v="15.2"/>
    <x v="0"/>
    <m/>
    <n v="5"/>
    <n v="1179"/>
    <n v="22656"/>
    <s v="VIOLETA"/>
    <n v="3.3"/>
    <n v="0"/>
    <n v="0"/>
    <n v="15.276"/>
    <n v="15.2"/>
    <n v="114"/>
    <n v="133.33333333333334"/>
    <x v="7"/>
    <x v="0"/>
    <n v="35"/>
    <n v="2"/>
    <n v="22.333333333333332"/>
  </r>
  <r>
    <d v="2025-09-01T07:20:00"/>
    <s v="INYECTADO"/>
    <x v="10"/>
    <x v="195"/>
    <s v="JOSDER GONZALEZ"/>
    <s v="VIRGEN"/>
    <s v="PP CLARIFICADO"/>
    <s v="."/>
    <s v="BASE ORGANIZADOR  DE 2KG"/>
    <s v="BASE ORGANIZADOR  DE 2KG NEON-VIOLETA"/>
    <n v="265"/>
    <n v="3"/>
    <n v="29.5"/>
    <x v="1"/>
    <m/>
    <n v="9"/>
    <n v="1179"/>
    <n v="22657"/>
    <s v="VIOLETA"/>
    <n v="9.8000000000000007"/>
    <n v="0"/>
    <n v="0"/>
    <n v="30.21"/>
    <n v="29.5"/>
    <n v="114"/>
    <n v="258.77192982456143"/>
    <x v="7"/>
    <x v="0"/>
    <n v="35"/>
    <n v="2"/>
    <n v="44.166666666666664"/>
  </r>
  <r>
    <d v="2025-09-01T07:20:00"/>
    <s v="INYECTADO"/>
    <x v="10"/>
    <x v="195"/>
    <s v="JOSDER GONZALEZ"/>
    <s v="VIRGEN"/>
    <s v="PP CLARIFICADO"/>
    <s v="."/>
    <s v="BASE ORGANIZADOR  DE 2KG"/>
    <s v="BASE ORGANIZADOR  DE 2KG NEON-FUCSIA"/>
    <n v="441"/>
    <n v="5"/>
    <n v="49"/>
    <x v="1"/>
    <m/>
    <n v="14"/>
    <n v="1179"/>
    <n v="22657"/>
    <s v="FUCSIA"/>
    <n v="7.7"/>
    <n v="0"/>
    <n v="0"/>
    <n v="50.274000000000001"/>
    <n v="49"/>
    <n v="114"/>
    <n v="429.82456140350877"/>
    <x v="7"/>
    <x v="0"/>
    <n v="35"/>
    <n v="2"/>
    <n v="73.5"/>
  </r>
  <r>
    <d v="2025-09-01T07:20:00"/>
    <s v="INYECTADO"/>
    <x v="10"/>
    <x v="195"/>
    <s v="JOSDER GONZALEZ"/>
    <s v="VIRGEN"/>
    <s v="PP CLARIFICADO"/>
    <s v="."/>
    <s v="BASE ORGANIZADOR  DE 2KG"/>
    <s v="BASE ORGANIZADOR  DE 2KG PASTEL-SANDIA"/>
    <n v="346"/>
    <n v="4"/>
    <n v="38.5"/>
    <x v="1"/>
    <m/>
    <n v="11"/>
    <n v="1179"/>
    <n v="22657"/>
    <s v="SANDIA"/>
    <n v="5.5"/>
    <n v="0"/>
    <n v="0"/>
    <n v="17.3"/>
    <n v="38.5"/>
    <n v="50"/>
    <n v="770"/>
    <x v="7"/>
    <x v="0"/>
    <n v="35"/>
    <n v="2"/>
    <n v="57.666666666666664"/>
  </r>
  <r>
    <d v="2025-09-01T07:20:00"/>
    <s v="INYECTADO"/>
    <x v="10"/>
    <x v="196"/>
    <s v="MARJORIE VILCHEZ"/>
    <s v="VIRGEN"/>
    <s v="PP CLARIFICADO"/>
    <s v="."/>
    <s v="BASE ORGANIZADOR  DE 2KG"/>
    <s v="BASE ORGANIZADOR  DE 2KG PASTEL-SANDIA"/>
    <n v="63"/>
    <n v="1"/>
    <n v="7"/>
    <x v="0"/>
    <m/>
    <n v="2"/>
    <n v="1179"/>
    <n v="22658"/>
    <s v="SANDIA"/>
    <n v="7.9"/>
    <n v="0"/>
    <n v="0"/>
    <n v="3.15"/>
    <n v="7"/>
    <n v="50"/>
    <n v="140"/>
    <x v="7"/>
    <x v="0"/>
    <n v="35"/>
    <n v="2"/>
    <n v="10.5"/>
  </r>
  <r>
    <d v="2025-09-01T07:20:00"/>
    <s v="INYECTADO"/>
    <x v="10"/>
    <x v="196"/>
    <s v="MARJORIE VILCHEZ"/>
    <s v="VIRGEN"/>
    <s v="PP CLARIFICADO"/>
    <s v="."/>
    <s v="BASE ORGANIZADOR  DE 2KG"/>
    <s v="BASE ORGANIZADOR  DE 2KG PASTEL-ROSADO"/>
    <n v="375"/>
    <n v="5"/>
    <n v="41.7"/>
    <x v="0"/>
    <m/>
    <n v="13"/>
    <n v="1179"/>
    <n v="22658"/>
    <s v="ROSADO"/>
    <n v="14.1"/>
    <n v="0"/>
    <n v="0"/>
    <n v="18.75"/>
    <n v="41.7"/>
    <n v="50"/>
    <n v="834"/>
    <x v="7"/>
    <x v="0"/>
    <n v="35"/>
    <n v="2"/>
    <n v="62.5"/>
  </r>
  <r>
    <d v="2025-09-01T07:20:00"/>
    <s v="INYECTADO"/>
    <x v="10"/>
    <x v="196"/>
    <s v="MARJORIE VILCHEZ"/>
    <s v="VIRGEN"/>
    <s v="PP CLARIFICADO"/>
    <s v="."/>
    <s v="BASE ORGANIZADOR  DE 2KG"/>
    <s v="BASE ORGANIZADOR  DE 2KG PASTEL-TURQUESA"/>
    <n v="357"/>
    <n v="5"/>
    <n v="39.700000000000003"/>
    <x v="0"/>
    <m/>
    <n v="13"/>
    <n v="1179"/>
    <n v="22658"/>
    <s v="TURQUESA"/>
    <n v="3.5"/>
    <n v="0"/>
    <n v="0"/>
    <n v="17.850000000000001"/>
    <n v="39.700000000000003"/>
    <n v="50"/>
    <n v="794"/>
    <x v="7"/>
    <x v="0"/>
    <n v="35"/>
    <n v="2"/>
    <n v="59.5"/>
  </r>
  <r>
    <d v="2025-09-01T07:20:00"/>
    <s v="INYECTADO"/>
    <x v="10"/>
    <x v="196"/>
    <s v="ISABEL LINARIZ "/>
    <s v="VIRGEN"/>
    <s v="PP CLARIFICADO"/>
    <s v="."/>
    <s v="BASE ORGANIZADOR  DE 2KG"/>
    <s v="BASE ORGANIZADOR  DE 2KG PASTEL-TURQUESA"/>
    <n v="36"/>
    <n v="1"/>
    <n v="4"/>
    <x v="1"/>
    <m/>
    <n v="2"/>
    <n v="1179"/>
    <n v="22659"/>
    <s v="TURQUESA"/>
    <n v="7.6"/>
    <n v="0"/>
    <n v="0"/>
    <n v="1.8"/>
    <n v="4"/>
    <n v="50"/>
    <n v="80"/>
    <x v="7"/>
    <x v="0"/>
    <n v="35"/>
    <n v="2"/>
    <n v="6"/>
  </r>
  <r>
    <d v="2025-09-01T07:20:00"/>
    <s v="INYECTADO"/>
    <x v="10"/>
    <x v="196"/>
    <s v="ISABEL LINARIZ "/>
    <s v="VIRGEN"/>
    <s v="PP CLARIFICADO"/>
    <s v="."/>
    <s v="BASE ORGANIZADOR  DE 2KG"/>
    <s v="BASE ORGANIZADOR  DE 2KG PASTEL-CELESTE"/>
    <n v="426"/>
    <n v="5"/>
    <n v="47.3"/>
    <x v="1"/>
    <m/>
    <n v="14"/>
    <n v="1179"/>
    <n v="22659"/>
    <s v="CELESTE"/>
    <n v="8.5"/>
    <n v="0"/>
    <n v="0"/>
    <n v="21.3"/>
    <n v="47.3"/>
    <n v="50"/>
    <n v="946"/>
    <x v="7"/>
    <x v="0"/>
    <n v="35"/>
    <n v="2"/>
    <n v="71"/>
  </r>
  <r>
    <d v="2025-09-01T07:20:00"/>
    <s v="INYECTADO"/>
    <x v="10"/>
    <x v="196"/>
    <s v="ISABEL LINARIZ "/>
    <s v="VIRGEN"/>
    <s v="PP CLARIFICADO"/>
    <s v="."/>
    <s v="BASE ORGANIZADOR  DE 2KG"/>
    <s v="BASE ORGANIZADOR  DE 2KG PASTEL-AZURE"/>
    <n v="434"/>
    <n v="5"/>
    <n v="48.2"/>
    <x v="1"/>
    <m/>
    <n v="14"/>
    <n v="1179"/>
    <n v="22659"/>
    <s v="AZURE"/>
    <n v="9"/>
    <n v="0"/>
    <n v="0"/>
    <n v="21.7"/>
    <n v="48.2"/>
    <n v="50"/>
    <n v="964"/>
    <x v="7"/>
    <x v="0"/>
    <n v="35"/>
    <n v="2"/>
    <n v="72.333333333333329"/>
  </r>
  <r>
    <d v="2025-09-01T07:20:00"/>
    <s v="INYECTADO"/>
    <x v="10"/>
    <x v="196"/>
    <s v="ISABEL LINARIZ "/>
    <s v="VIRGEN"/>
    <s v="PP CLARIFICADO"/>
    <s v="."/>
    <s v="BASE ORGANIZADOR  DE 2KG"/>
    <s v="BASE ORGANIZADOR  DE 2KG PASTEL-LILA"/>
    <n v="10"/>
    <n v="1"/>
    <n v="1.2"/>
    <x v="1"/>
    <m/>
    <n v="1"/>
    <n v="1179"/>
    <n v="22659"/>
    <s v="LILA"/>
    <n v="3.5"/>
    <n v="0"/>
    <n v="0"/>
    <n v="0.5"/>
    <n v="1.2"/>
    <n v="50"/>
    <n v="24"/>
    <x v="7"/>
    <x v="0"/>
    <n v="35"/>
    <n v="2"/>
    <n v="1.6666666666666667"/>
  </r>
  <r>
    <d v="2025-09-01T07:20:00"/>
    <s v="INYECTADO"/>
    <x v="10"/>
    <x v="197"/>
    <s v="JUANA CRUCES"/>
    <s v="VIRGEN"/>
    <s v="PP CLARIFICADO"/>
    <s v="."/>
    <s v="BASE ORGANIZADOR  DE 2KG"/>
    <s v="BASE ORGANIZADOR  DE 2KG PASTEL-LILA"/>
    <n v="415"/>
    <n v="4"/>
    <n v="46.1"/>
    <x v="0"/>
    <m/>
    <n v="14"/>
    <n v="1179"/>
    <n v="22660"/>
    <s v="LILA"/>
    <n v="7.6"/>
    <n v="0"/>
    <n v="0"/>
    <n v="20.75"/>
    <n v="46.1"/>
    <n v="50"/>
    <n v="922"/>
    <x v="7"/>
    <x v="0"/>
    <n v="35"/>
    <n v="2"/>
    <n v="69.166666666666671"/>
  </r>
  <r>
    <d v="2025-09-01T07:20:00"/>
    <s v="INYECTADO"/>
    <x v="10"/>
    <x v="197"/>
    <s v="JUANA CRUCES"/>
    <s v="VIRGEN"/>
    <s v="PP CLARIFICADO"/>
    <s v="."/>
    <s v="BASE ORGANIZADOR  DE 2KG"/>
    <s v="BASE ORGANIZADOR  DE 2KG CARAMELO-LILA"/>
    <n v="448"/>
    <n v="6"/>
    <n v="49.8"/>
    <x v="0"/>
    <m/>
    <n v="14"/>
    <n v="1179"/>
    <n v="22660"/>
    <s v="LILA"/>
    <n v="10.7"/>
    <n v="0"/>
    <n v="0"/>
    <n v="22.4"/>
    <n v="49.8"/>
    <n v="50"/>
    <n v="996"/>
    <x v="7"/>
    <x v="0"/>
    <n v="35"/>
    <n v="2"/>
    <n v="74.666666666666671"/>
  </r>
  <r>
    <d v="2025-09-01T07:20:00"/>
    <s v="INYECTADO"/>
    <x v="10"/>
    <x v="197"/>
    <s v="JUANA CRUCES"/>
    <s v="VIRGEN"/>
    <s v="PP CLARIFICADO"/>
    <s v="."/>
    <s v="BASE ORGANIZADOR  DE 2KG"/>
    <s v="BASE ORGANIZADOR  DE 2KG CARAMELO-AZUL"/>
    <n v="187"/>
    <n v="2"/>
    <n v="20.8"/>
    <x v="0"/>
    <m/>
    <n v="6"/>
    <n v="1179"/>
    <n v="22660"/>
    <s v="AZUL"/>
    <n v="1.2"/>
    <n v="0"/>
    <n v="0"/>
    <n v="9.35"/>
    <n v="20.8"/>
    <n v="50"/>
    <n v="416"/>
    <x v="7"/>
    <x v="0"/>
    <n v="35"/>
    <n v="2"/>
    <n v="31.166666666666668"/>
  </r>
  <r>
    <d v="2025-09-01T07:20:00"/>
    <s v="INYECTADO"/>
    <x v="10"/>
    <x v="197"/>
    <s v="JUAN MANUEL "/>
    <s v="VIRGEN"/>
    <s v="PP CLARIFICADO"/>
    <s v="."/>
    <s v="BASE ORGANIZADOR  DE 2KG"/>
    <s v="BASE ORGANIZADOR  DE 2KG CARAMELO-AZUL"/>
    <n v="294"/>
    <n v="3"/>
    <n v="32.700000000000003"/>
    <x v="1"/>
    <m/>
    <n v="10"/>
    <n v="1179"/>
    <n v="22661"/>
    <s v="AZUL"/>
    <n v="2"/>
    <n v="0"/>
    <n v="0"/>
    <n v="14.7"/>
    <n v="32.700000000000003"/>
    <n v="50"/>
    <n v="654.00000000000011"/>
    <x v="7"/>
    <x v="0"/>
    <n v="35"/>
    <n v="2"/>
    <n v="49"/>
  </r>
  <r>
    <d v="2025-09-01T07:20:00"/>
    <s v="INYECTADO"/>
    <x v="10"/>
    <x v="197"/>
    <s v="JUAN MANUEL "/>
    <s v="VIRGEN"/>
    <s v="PP CLARIFICADO"/>
    <s v="."/>
    <s v="BASE ORGANIZADOR  DE 2KG"/>
    <s v="BASE ORGANIZADOR  DE 2KG CARAMELO-FUCSIA"/>
    <n v="470"/>
    <n v="5"/>
    <n v="52.2"/>
    <x v="1"/>
    <m/>
    <n v="15"/>
    <n v="1179"/>
    <n v="22661"/>
    <s v="FUCSIA"/>
    <n v="2"/>
    <n v="0"/>
    <n v="0"/>
    <n v="23.5"/>
    <n v="52.2"/>
    <n v="50"/>
    <n v="1044"/>
    <x v="7"/>
    <x v="0"/>
    <n v="35"/>
    <n v="2"/>
    <n v="78.333333333333329"/>
  </r>
  <r>
    <d v="2025-09-01T07:20:00"/>
    <s v="INYECTADO"/>
    <x v="10"/>
    <x v="197"/>
    <s v="JUAN MANUEL "/>
    <s v="VIRGEN"/>
    <s v="PP CLARIFICADO"/>
    <s v="."/>
    <s v="BASE ORGANIZADOR  DE 2KG"/>
    <s v="BASE ORGANIZADOR  DE 2KG CARAMELO-VERDE"/>
    <n v="126"/>
    <n v="2"/>
    <n v="14"/>
    <x v="1"/>
    <m/>
    <n v="4"/>
    <n v="1179"/>
    <n v="22661"/>
    <s v="VERDE"/>
    <n v="3"/>
    <n v="0"/>
    <n v="0"/>
    <n v="6.3"/>
    <n v="14"/>
    <n v="50"/>
    <n v="280"/>
    <x v="7"/>
    <x v="0"/>
    <n v="35"/>
    <n v="2"/>
    <n v="21"/>
  </r>
  <r>
    <d v="2025-09-01T07:20:00"/>
    <s v="INYECTADO"/>
    <x v="10"/>
    <x v="192"/>
    <s v="CARMINA"/>
    <s v="VIRGEN"/>
    <s v="PP CLARIFICADO"/>
    <s v="."/>
    <s v="BASE ORGANIZADOR  DE 2KG"/>
    <s v="BASE ORGANIZADOR  DE 2KG CARAMELO-VERDE"/>
    <n v="346"/>
    <n v="3"/>
    <n v="38.5"/>
    <x v="0"/>
    <m/>
    <n v="7"/>
    <n v="1179"/>
    <n v="22662"/>
    <s v="VERDE"/>
    <n v="1.3"/>
    <n v="0"/>
    <n v="0"/>
    <n v="17.3"/>
    <n v="38.5"/>
    <n v="50"/>
    <n v="770"/>
    <x v="7"/>
    <x v="0"/>
    <n v="35"/>
    <n v="2"/>
    <n v="57.666666666666664"/>
  </r>
  <r>
    <d v="2025-09-01T07:20:00"/>
    <s v="INYECTADO"/>
    <x v="10"/>
    <x v="192"/>
    <s v="CARMINA"/>
    <s v="VIRGEN"/>
    <s v="PP CLARIFICADO"/>
    <s v="."/>
    <s v="BASE ORGANIZADOR  DE 2KG"/>
    <s v="BASE ORGANIZADOR  DE 2KG CARAMELO-AMARILLO"/>
    <n v="440"/>
    <n v="5"/>
    <n v="48.9"/>
    <x v="0"/>
    <m/>
    <n v="11"/>
    <n v="1179"/>
    <n v="22662"/>
    <s v="AMARILLO"/>
    <n v="5.5"/>
    <n v="0"/>
    <n v="0"/>
    <n v="22"/>
    <n v="48.9"/>
    <n v="50"/>
    <n v="978"/>
    <x v="7"/>
    <x v="0"/>
    <n v="35"/>
    <n v="2"/>
    <n v="73.333333333333329"/>
  </r>
  <r>
    <d v="2025-09-01T07:20:00"/>
    <s v="INYECTADO"/>
    <x v="10"/>
    <x v="192"/>
    <s v="CARMINA"/>
    <s v="VIRGEN"/>
    <s v="PP CLARIFICADO"/>
    <s v="."/>
    <s v="BASE ORGANIZADOR  DE 2KG"/>
    <s v="BASE ORGANIZADOR  DE 2KG CARAMELO-ROJO"/>
    <n v="189"/>
    <n v="2"/>
    <n v="21"/>
    <x v="0"/>
    <m/>
    <n v="7"/>
    <n v="1179"/>
    <n v="22662"/>
    <s v="ROJO"/>
    <n v="2.5"/>
    <n v="0"/>
    <n v="0"/>
    <n v="9.4499999999999993"/>
    <n v="21"/>
    <n v="50"/>
    <n v="420"/>
    <x v="7"/>
    <x v="0"/>
    <n v="35"/>
    <n v="2"/>
    <n v="31.5"/>
  </r>
  <r>
    <d v="2025-09-01T07:20:00"/>
    <s v="INYECTADO"/>
    <x v="10"/>
    <x v="192"/>
    <s v="JOSDER GONZALEZ"/>
    <s v="VIRGEN"/>
    <s v="PP CLARIFICADO"/>
    <s v="."/>
    <s v="BASE ORGANIZADOR  DE 2KG"/>
    <s v="BASE ORGANIZADOR  DE 2KG CARAMELO-ROJO"/>
    <n v="218"/>
    <n v="3"/>
    <n v="24.2"/>
    <x v="1"/>
    <m/>
    <n v="7"/>
    <n v="1179"/>
    <n v="22663"/>
    <s v="ROJO"/>
    <n v="12.8"/>
    <n v="0"/>
    <n v="0"/>
    <n v="10.9"/>
    <n v="24.2"/>
    <n v="50"/>
    <n v="484"/>
    <x v="7"/>
    <x v="0"/>
    <n v="35"/>
    <n v="2"/>
    <n v="36.333333333333336"/>
  </r>
  <r>
    <d v="2025-09-01T07:20:00"/>
    <s v="INYECTADO"/>
    <x v="10"/>
    <x v="192"/>
    <s v="JOSDER GONZALEZ"/>
    <s v="VIRGEN"/>
    <s v="PP CLARIFICADO"/>
    <s v="."/>
    <s v="BASE ORGANIZADOR  DE 2KG"/>
    <s v="BASE ORGANIZADOR  DE 2KG-TRANSPARENTE"/>
    <n v="918"/>
    <n v="9"/>
    <n v="102"/>
    <x v="1"/>
    <m/>
    <n v="30"/>
    <m/>
    <n v="22663"/>
    <s v="TRANSPARENTE"/>
    <n v="0"/>
    <n v="0"/>
    <n v="0"/>
    <n v="45.9"/>
    <n v="102"/>
    <n v="50"/>
    <n v="2040"/>
    <x v="7"/>
    <x v="0"/>
    <n v="35"/>
    <n v="2"/>
    <n v="153"/>
  </r>
  <r>
    <d v="2025-09-01T07:20:00"/>
    <s v="INYECTADO"/>
    <x v="10"/>
    <x v="198"/>
    <s v="JUANA CRUCES"/>
    <s v="VIRGEN"/>
    <s v="PP CLARIFICADO"/>
    <s v="."/>
    <s v="BASE ORGANIZADOR  DE 2KG"/>
    <s v="BASE ORGANIZADOR  DE 2KG-TRANSPARENTE"/>
    <n v="837"/>
    <n v="8"/>
    <n v="93"/>
    <x v="0"/>
    <m/>
    <n v="27"/>
    <m/>
    <n v="22664"/>
    <s v="TRANSPARENTE"/>
    <n v="0"/>
    <n v="0"/>
    <n v="0"/>
    <n v="41.85"/>
    <n v="93"/>
    <n v="50"/>
    <n v="1860"/>
    <x v="7"/>
    <x v="0"/>
    <n v="35"/>
    <n v="2"/>
    <n v="139.5"/>
  </r>
  <r>
    <d v="2025-09-01T07:20:00"/>
    <s v="INYECTADO"/>
    <x v="10"/>
    <x v="198"/>
    <s v="GABRIEL REQUENA"/>
    <s v="VIRGEN"/>
    <s v="PP CLARIFICADO"/>
    <s v="."/>
    <s v="BASE ORGANIZADOR  DE 2KG"/>
    <s v="BASE ORGANIZADOR  DE 2KG-TRANSPARENTE"/>
    <n v="785"/>
    <n v="8"/>
    <n v="87.2"/>
    <x v="1"/>
    <m/>
    <n v="26"/>
    <m/>
    <n v="22665"/>
    <s v="TRANSPARENTE"/>
    <n v="0"/>
    <n v="0"/>
    <n v="0"/>
    <n v="39.25"/>
    <n v="87.2"/>
    <n v="50"/>
    <n v="1744"/>
    <x v="7"/>
    <x v="0"/>
    <n v="35"/>
    <n v="2"/>
    <n v="130.83333333333334"/>
  </r>
  <r>
    <d v="2025-10-01T08:00:00"/>
    <s v="INYECTADO"/>
    <x v="4"/>
    <x v="201"/>
    <s v="CRISALIDA ZAPATA"/>
    <s v="VIRGEN"/>
    <s v="ALTA INYECCION"/>
    <m/>
    <s v="ASAS DE CANASTA CANDY"/>
    <s v="ASAS DE CANASTA CANDY-BLANCO"/>
    <n v="1697"/>
    <n v="8"/>
    <n v="61.1"/>
    <x v="0"/>
    <m/>
    <n v="5"/>
    <n v="1226"/>
    <n v="20482"/>
    <s v="BLANCO"/>
    <n v="4.9000000000000004"/>
    <n v="0"/>
    <n v="0"/>
    <n v="16.97"/>
    <n v="61.1"/>
    <n v="10"/>
    <n v="6110"/>
    <x v="8"/>
    <x v="0"/>
    <n v="37"/>
    <n v="4"/>
    <n v="565.66666666666663"/>
  </r>
  <r>
    <d v="2025-10-01T08:00:00"/>
    <s v="INYECTADO"/>
    <x v="4"/>
    <x v="202"/>
    <s v="JUAN MANUEL "/>
    <s v="VIRGEN"/>
    <s v="ALTA INYECCION"/>
    <m/>
    <s v="ASAS DE CANASTA CANDY"/>
    <s v="ASAS DE CANASTA CANDY-BLANCO"/>
    <n v="1418"/>
    <n v="11"/>
    <n v="52.5"/>
    <x v="1"/>
    <m/>
    <n v="5"/>
    <n v="1226"/>
    <n v="20483"/>
    <s v="BLANCO"/>
    <n v="6"/>
    <n v="0"/>
    <n v="0"/>
    <n v="14.18"/>
    <n v="52.5"/>
    <n v="10"/>
    <n v="5250"/>
    <x v="8"/>
    <x v="0"/>
    <n v="39"/>
    <n v="4"/>
    <n v="472.66666666666669"/>
  </r>
  <r>
    <d v="2025-10-01T08:00:00"/>
    <s v="INYECTADO"/>
    <x v="5"/>
    <x v="203"/>
    <s v="DAIRET"/>
    <s v="VIRGEN"/>
    <s v="ALTA INYECCION"/>
    <m/>
    <s v="ASAS ORGANIZADOR 2 Y 3 PASTEL"/>
    <s v="ASAS DE ORGANIZADOR 2 Y 3-LILA"/>
    <n v="178"/>
    <n v="1"/>
    <n v="5.7"/>
    <x v="0"/>
    <m/>
    <n v="2"/>
    <n v="1227"/>
    <n v="22518"/>
    <s v="LILA"/>
    <n v="0"/>
    <n v="0"/>
    <n v="0"/>
    <n v="1.958"/>
    <n v="5.7"/>
    <n v="11"/>
    <n v="518.18181818181813"/>
    <x v="8"/>
    <x v="0"/>
    <n v="38"/>
    <n v="3"/>
    <n v="44.5"/>
  </r>
  <r>
    <d v="2025-10-01T08:00:00"/>
    <s v="INYECTADO"/>
    <x v="5"/>
    <x v="203"/>
    <s v="DAIRET"/>
    <s v="VIRGEN"/>
    <s v="ALTA INYECCION"/>
    <m/>
    <s v="ASAS ORGANIZADOR 2 Y 3 SOLIDO"/>
    <s v="ASAS DE ORGANIZADOR 2 Y 3-LILA"/>
    <n v="143"/>
    <n v="1"/>
    <n v="4.5999999999999996"/>
    <x v="0"/>
    <m/>
    <n v="2"/>
    <n v="1227"/>
    <n v="22518"/>
    <s v="LILA"/>
    <n v="0"/>
    <n v="0"/>
    <n v="0"/>
    <n v="1.573"/>
    <n v="4.5999999999999996"/>
    <n v="11"/>
    <n v="418.18181818181819"/>
    <x v="8"/>
    <x v="0"/>
    <n v="38"/>
    <n v="3"/>
    <n v="35.75"/>
  </r>
  <r>
    <d v="2025-10-01T08:00:00"/>
    <s v="INYECTADO"/>
    <x v="5"/>
    <x v="203"/>
    <s v="ISABEL LINARIZ "/>
    <s v="VIRGEN"/>
    <s v="ALTA INYECCION"/>
    <m/>
    <s v="ASAS ORGANIZADOR 2 Y 3 SOLIDO"/>
    <s v="ASAS DE ORGANIZADOR 2 Y 3-LILA"/>
    <n v="959"/>
    <n v="7"/>
    <n v="30.7"/>
    <x v="1"/>
    <m/>
    <n v="3"/>
    <n v="1193"/>
    <n v="22519"/>
    <s v="LILA"/>
    <n v="15.2"/>
    <n v="0"/>
    <n v="0"/>
    <n v="10.548999999999999"/>
    <n v="30.7"/>
    <n v="11"/>
    <n v="2790.909090909091"/>
    <x v="8"/>
    <x v="0"/>
    <n v="38"/>
    <n v="3"/>
    <n v="239.75"/>
  </r>
  <r>
    <d v="2025-10-01T08:00:00"/>
    <s v="INYECTADO"/>
    <x v="5"/>
    <x v="203"/>
    <s v="ISABEL LINARIZ "/>
    <s v="VIRGEN"/>
    <s v="ALTA INYECCION"/>
    <m/>
    <s v="ASAS ORGANIZADOR 2 Y 3 SOLIDO"/>
    <s v="ASAS DE ORGANIZADOR 2 Y 3 AZUL"/>
    <n v="50"/>
    <n v="1"/>
    <n v="1.6"/>
    <x v="1"/>
    <m/>
    <n v="2"/>
    <n v="1193"/>
    <n v="22519"/>
    <s v="AZUL"/>
    <n v="0"/>
    <n v="0"/>
    <n v="0"/>
    <e v="#N/A"/>
    <n v="1.6"/>
    <e v="#N/A"/>
    <n v="0"/>
    <x v="8"/>
    <x v="0"/>
    <n v="38"/>
    <e v="#N/A"/>
    <e v="#N/A"/>
  </r>
  <r>
    <d v="2025-10-01T08:00:00"/>
    <s v="INYECTADO"/>
    <x v="5"/>
    <x v="204"/>
    <s v="KARLA HUISA"/>
    <s v="VIRGEN"/>
    <s v="ALTA INYECCION"/>
    <m/>
    <s v="ASAS ORGANIZADOR 2 Y 3 SOLIDO"/>
    <s v="ASAS DE ORGANIZADOR 2 Y 3 AZUL"/>
    <n v="1109"/>
    <n v="8"/>
    <n v="35.5"/>
    <x v="0"/>
    <m/>
    <n v="6"/>
    <n v="1193"/>
    <n v="22520"/>
    <s v="AZUL"/>
    <n v="18.2"/>
    <n v="0"/>
    <n v="0"/>
    <e v="#N/A"/>
    <n v="35.5"/>
    <e v="#N/A"/>
    <n v="0"/>
    <x v="8"/>
    <x v="0"/>
    <n v="38"/>
    <e v="#N/A"/>
    <e v="#N/A"/>
  </r>
  <r>
    <d v="2025-10-01T08:00:00"/>
    <s v="INYECTADO"/>
    <x v="5"/>
    <x v="204"/>
    <s v="KARLA HUISA"/>
    <s v="VIRGEN"/>
    <s v="ALTA INYECCION"/>
    <m/>
    <s v="ASAS ORGANIZADOR 2 Y 3 PASTEL"/>
    <s v="ASAS DE ORGANIZADOR 2 Y 3-CELESTE"/>
    <n v="462"/>
    <n v="3"/>
    <n v="14.8"/>
    <x v="0"/>
    <m/>
    <n v="2"/>
    <n v="1227"/>
    <n v="22520"/>
    <s v="CELESTE"/>
    <n v="6.8"/>
    <n v="0"/>
    <n v="0"/>
    <e v="#N/A"/>
    <n v="14.8"/>
    <e v="#N/A"/>
    <n v="0"/>
    <x v="8"/>
    <x v="0"/>
    <n v="38"/>
    <e v="#N/A"/>
    <e v="#N/A"/>
  </r>
  <r>
    <d v="2025-10-01T08:00:00"/>
    <s v="INYECTADO"/>
    <x v="5"/>
    <x v="205"/>
    <s v="CARLOS SULCA"/>
    <s v="VIRGEN"/>
    <s v="ALTA INYECCION"/>
    <m/>
    <s v="ASAS ORGANIZADOR 2 Y 3 PASTEL"/>
    <s v="ASAS DE ORGANIZADOR 2 Y 3-CELESTE"/>
    <n v="415"/>
    <n v="4"/>
    <n v="13.3"/>
    <x v="1"/>
    <m/>
    <n v="2"/>
    <n v="1227"/>
    <n v="22521"/>
    <s v="CELESTE"/>
    <n v="0"/>
    <n v="0"/>
    <n v="0"/>
    <e v="#N/A"/>
    <n v="13.3"/>
    <e v="#N/A"/>
    <n v="0"/>
    <x v="8"/>
    <x v="0"/>
    <n v="38"/>
    <e v="#N/A"/>
    <e v="#N/A"/>
  </r>
  <r>
    <d v="2025-10-01T08:00:00"/>
    <s v="INYECTADO"/>
    <x v="5"/>
    <x v="206"/>
    <s v="JUAN MANUEL "/>
    <s v="VIRGEN"/>
    <s v="ALTA INYECCION"/>
    <m/>
    <s v="ASAS ORGANIZADOR 2 Y 3 PASTEL"/>
    <s v="ASAS DE ORGANIZADOR 2 Y 3-CELESTE"/>
    <n v="265"/>
    <n v="2"/>
    <n v="8.5"/>
    <x v="1"/>
    <m/>
    <n v="2"/>
    <n v="1227"/>
    <n v="22522"/>
    <s v="CELESTE"/>
    <n v="4"/>
    <n v="0"/>
    <n v="0"/>
    <e v="#N/A"/>
    <n v="8.5"/>
    <e v="#N/A"/>
    <n v="0"/>
    <x v="8"/>
    <x v="0"/>
    <n v="38"/>
    <e v="#N/A"/>
    <e v="#N/A"/>
  </r>
  <r>
    <d v="2025-10-01T08:00:00"/>
    <s v="INYECTADO"/>
    <x v="5"/>
    <x v="206"/>
    <s v="JUAN MANUEL "/>
    <s v="VIRGEN"/>
    <s v="ALTA INYECCION"/>
    <m/>
    <s v="ASAS ORGANIZADOR 2 Y 3 PASTEL"/>
    <s v="ASAS DE ORGANIZADOR 2 Y 3-ROSADO"/>
    <n v="1131"/>
    <n v="9"/>
    <n v="36.200000000000003"/>
    <x v="1"/>
    <m/>
    <n v="4"/>
    <n v="1227"/>
    <n v="22522"/>
    <s v="ROSADO"/>
    <n v="14.5"/>
    <n v="0"/>
    <n v="0"/>
    <e v="#N/A"/>
    <n v="36.200000000000003"/>
    <e v="#N/A"/>
    <n v="0"/>
    <x v="8"/>
    <x v="0"/>
    <n v="38"/>
    <e v="#N/A"/>
    <e v="#N/A"/>
  </r>
  <r>
    <d v="2025-10-01T08:00:00"/>
    <s v="INYECTADO"/>
    <x v="5"/>
    <x v="207"/>
    <s v="MARJORIE VILCHEZ"/>
    <s v="VIRGEN"/>
    <s v="ALTA INYECCION"/>
    <m/>
    <s v="ASAS ORGANIZADOR 2 Y 3 PASTEL"/>
    <s v="ASAS DE ORGANIZADOR 2 Y 3-ROSADO"/>
    <n v="1106"/>
    <n v="9"/>
    <n v="35.4"/>
    <x v="0"/>
    <m/>
    <n v="3"/>
    <n v="1193"/>
    <n v="22523"/>
    <s v="ROSADO"/>
    <n v="17.899999999999999"/>
    <n v="0"/>
    <n v="0"/>
    <e v="#N/A"/>
    <n v="35.4"/>
    <e v="#N/A"/>
    <n v="0"/>
    <x v="8"/>
    <x v="0"/>
    <n v="38"/>
    <e v="#N/A"/>
    <e v="#N/A"/>
  </r>
  <r>
    <d v="2025-10-01T08:00:00"/>
    <s v="INYECTADO"/>
    <x v="5"/>
    <x v="207"/>
    <s v="MARJORIE VILCHEZ"/>
    <s v="VIRGEN"/>
    <s v="ALTA INYECCION"/>
    <m/>
    <s v="ASAS ORGANIZADOR 2 Y 3 SOLIDO"/>
    <s v="ASAS DE ORGANIZADOR 2 Y 3 VERDE"/>
    <n v="259"/>
    <n v="2"/>
    <n v="8.3000000000000007"/>
    <x v="0"/>
    <m/>
    <n v="2"/>
    <n v="1193"/>
    <n v="22523"/>
    <s v="VERDE"/>
    <n v="4.4000000000000004"/>
    <n v="0"/>
    <n v="0"/>
    <e v="#N/A"/>
    <n v="8.3000000000000007"/>
    <e v="#N/A"/>
    <n v="0"/>
    <x v="8"/>
    <x v="0"/>
    <n v="38"/>
    <e v="#N/A"/>
    <e v="#N/A"/>
  </r>
  <r>
    <d v="2025-10-01T08:00:00"/>
    <s v="INYECTADO"/>
    <x v="5"/>
    <x v="202"/>
    <s v="ANGIE VALDERRAMA"/>
    <s v="VIRGEN"/>
    <s v="ALTA INYECCION"/>
    <m/>
    <s v="ASAS ORGANIZADOR 2 Y 3 SOLIDO"/>
    <s v="ASAS DE ORGANIZADOR 2 Y 3 VERDE"/>
    <n v="887"/>
    <n v="6"/>
    <n v="28.4"/>
    <x v="0"/>
    <m/>
    <n v="3"/>
    <n v="1193"/>
    <n v="22524"/>
    <s v="VERDE"/>
    <n v="12.7"/>
    <n v="0"/>
    <n v="0"/>
    <e v="#N/A"/>
    <n v="28.4"/>
    <e v="#N/A"/>
    <n v="0"/>
    <x v="8"/>
    <x v="0"/>
    <n v="39"/>
    <e v="#N/A"/>
    <e v="#N/A"/>
  </r>
  <r>
    <d v="2025-10-01T08:00:00"/>
    <s v="INYECTADO"/>
    <x v="5"/>
    <x v="202"/>
    <s v="ANGIE VALDERRAMA"/>
    <s v="VIRGEN"/>
    <s v="ALTA INYECCION"/>
    <m/>
    <s v="ASAS ORGANIZADOR 2 Y 3 VERDE NAVIDAD"/>
    <s v="ASAS DE ORGANIZADOR 2 Y 3 VERDE NAVIDAD"/>
    <n v="243"/>
    <n v="2"/>
    <n v="7.8"/>
    <x v="0"/>
    <m/>
    <n v="2"/>
    <n v="1193"/>
    <n v="22524"/>
    <s v="VERDE NAVIDAD"/>
    <n v="8.9"/>
    <n v="0"/>
    <n v="0"/>
    <e v="#N/A"/>
    <n v="7.8"/>
    <e v="#N/A"/>
    <n v="0"/>
    <x v="8"/>
    <x v="0"/>
    <n v="39"/>
    <e v="#N/A"/>
    <e v="#N/A"/>
  </r>
  <r>
    <d v="2025-10-01T08:00:00"/>
    <s v="INYECTADO"/>
    <x v="5"/>
    <x v="202"/>
    <s v="ANGIE VALDERRAMA"/>
    <s v="VIRGEN"/>
    <s v="ALTA INYECCION"/>
    <m/>
    <s v="ASAS ORGANIZADOR 2 Y 3 PASTEL"/>
    <s v="ASAS DE ORGANIZADOR 2 Y 3-LILA"/>
    <n v="143"/>
    <n v="1"/>
    <n v="4.6900000000000004"/>
    <x v="0"/>
    <m/>
    <n v="2"/>
    <n v="1193"/>
    <n v="22524"/>
    <s v="LILA"/>
    <n v="1.3"/>
    <n v="0"/>
    <n v="0"/>
    <n v="1.573"/>
    <n v="4.6900000000000004"/>
    <n v="11"/>
    <n v="426.36363636363637"/>
    <x v="8"/>
    <x v="0"/>
    <n v="39"/>
    <n v="3"/>
    <n v="35.75"/>
  </r>
  <r>
    <d v="2025-10-01T08:00:00"/>
    <s v="INYECTADO"/>
    <x v="5"/>
    <x v="208"/>
    <s v="ANGIE VALDERRAMA"/>
    <s v="VIRGEN"/>
    <s v="ALTA INYECCION"/>
    <m/>
    <s v="ASAS ORGANIZADOR 2 Y 3 PASTEL"/>
    <s v="ASAS DE ORGANIZADOR 2 Y 3-LILA"/>
    <n v="381"/>
    <n v="3"/>
    <n v="12.2"/>
    <x v="0"/>
    <m/>
    <n v="3"/>
    <n v="1193"/>
    <n v="22525"/>
    <s v="LILA"/>
    <n v="4.5999999999999996"/>
    <n v="0"/>
    <n v="0"/>
    <n v="4.1909999999999998"/>
    <n v="12.2"/>
    <n v="11"/>
    <n v="1109.090909090909"/>
    <x v="8"/>
    <x v="0"/>
    <n v="39"/>
    <n v="3"/>
    <n v="95.25"/>
  </r>
  <r>
    <d v="2025-10-01T08:00:00"/>
    <s v="INYECTADO"/>
    <x v="5"/>
    <x v="208"/>
    <s v="ANGIE VALDERRAMA"/>
    <s v="VIRGEN"/>
    <s v="ALTA INYECCION"/>
    <m/>
    <s v="ASAS ORGANIZADOR 2 Y 3 SOLIDO"/>
    <s v="ASAS DE ORGANIZADOR 2 Y 3-LILA"/>
    <n v="875"/>
    <n v="8"/>
    <n v="28"/>
    <x v="0"/>
    <m/>
    <n v="5"/>
    <n v="1227"/>
    <n v="22525"/>
    <s v="LILA"/>
    <n v="11.6"/>
    <n v="0"/>
    <n v="0"/>
    <n v="9.625"/>
    <n v="28"/>
    <n v="11"/>
    <n v="2545.4545454545455"/>
    <x v="8"/>
    <x v="0"/>
    <n v="39"/>
    <n v="3"/>
    <n v="218.75"/>
  </r>
  <r>
    <d v="2025-10-01T08:00:00"/>
    <s v="INYECTADO"/>
    <x v="5"/>
    <x v="209"/>
    <s v="ANGIE VALDERRAMA"/>
    <s v="VIRGEN"/>
    <s v="ALTA INYECCION"/>
    <m/>
    <s v="ASAS ORGANIZADOR 2 Y 3 SOLIDO"/>
    <s v="ASAS DE ORGANIZADOR 2 Y 3-LILA"/>
    <n v="296"/>
    <n v="3"/>
    <n v="9.5"/>
    <x v="0"/>
    <m/>
    <n v="2"/>
    <n v="1227"/>
    <n v="22526"/>
    <s v="LILA"/>
    <n v="5.8"/>
    <n v="0"/>
    <n v="0"/>
    <n v="3.2559999999999998"/>
    <n v="9.5"/>
    <n v="11"/>
    <n v="863.63636363636363"/>
    <x v="8"/>
    <x v="0"/>
    <n v="39"/>
    <n v="3"/>
    <n v="74"/>
  </r>
  <r>
    <d v="2025-10-01T08:00:00"/>
    <s v="INYECTADO"/>
    <x v="5"/>
    <x v="209"/>
    <s v="ANGIE VALDERRAMA"/>
    <s v="VIRGEN"/>
    <s v="ALTA INYECCION"/>
    <m/>
    <s v="ASAS ORGANIZADOR 2 Y 3 SOLIDO"/>
    <s v="ASAS DE ORGANIZADOR 2 Y 3-ROJO"/>
    <n v="796"/>
    <n v="7"/>
    <n v="25"/>
    <x v="0"/>
    <m/>
    <n v="3"/>
    <n v="1227"/>
    <n v="22526"/>
    <s v="ROJO"/>
    <n v="14.6"/>
    <n v="0"/>
    <n v="0"/>
    <n v="8.7560000000000002"/>
    <n v="25"/>
    <n v="11"/>
    <n v="2272.7272727272725"/>
    <x v="8"/>
    <x v="0"/>
    <n v="39"/>
    <n v="3"/>
    <n v="199"/>
  </r>
  <r>
    <d v="2025-10-01T08:00:00"/>
    <s v="INYECTADO"/>
    <x v="5"/>
    <x v="210"/>
    <s v="CARLOS SULCA"/>
    <s v="VIRGEN"/>
    <s v="ALTA INYECCION"/>
    <m/>
    <s v="ASAS ORGANIZADOR 2 Y 3 SOLIDO"/>
    <s v="ASAS DE ORGANIZADOR 2 Y 3-ROJO"/>
    <n v="325"/>
    <n v="2"/>
    <n v="10.4"/>
    <x v="0"/>
    <m/>
    <n v="2"/>
    <n v="1227"/>
    <n v="22527"/>
    <s v="ROJO"/>
    <n v="4.4000000000000004"/>
    <n v="0"/>
    <n v="0"/>
    <n v="3.5750000000000002"/>
    <n v="10.4"/>
    <n v="11"/>
    <n v="945.4545454545455"/>
    <x v="8"/>
    <x v="0"/>
    <n v="39"/>
    <n v="3"/>
    <n v="81.25"/>
  </r>
  <r>
    <d v="2025-10-01T08:00:00"/>
    <s v="INYECTADO"/>
    <x v="5"/>
    <x v="210"/>
    <s v="CARLOS SULCA"/>
    <s v="VIRGEN"/>
    <s v="ALTA INYECCION"/>
    <m/>
    <s v="ASAS ORGANIZADOR 2 Y 3 SOLIDO"/>
    <s v="ASAS DE ORGANIZADOR 2 Y 3-VERDE"/>
    <n v="737"/>
    <n v="6"/>
    <n v="23.6"/>
    <x v="0"/>
    <m/>
    <n v="3"/>
    <n v="1227"/>
    <n v="22527"/>
    <s v="VERDE"/>
    <n v="12.1"/>
    <n v="0"/>
    <n v="0"/>
    <n v="8.1069999999999993"/>
    <n v="23.6"/>
    <n v="11"/>
    <n v="2145.4545454545455"/>
    <x v="8"/>
    <x v="0"/>
    <n v="39"/>
    <n v="3"/>
    <n v="184.25"/>
  </r>
  <r>
    <d v="2025-10-01T08:00:00"/>
    <s v="INYECTADO"/>
    <x v="5"/>
    <x v="211"/>
    <s v="LEONOR GUTIERREZ"/>
    <s v="VIRGEN"/>
    <s v="ALTA INYECCION"/>
    <m/>
    <s v="ASAS ORGANIZADOR 2 Y 3 SOLIDO"/>
    <s v="ASAS DE ORGANIZADOR 2 Y 3-VERDE"/>
    <n v="1015"/>
    <n v="10"/>
    <n v="32.5"/>
    <x v="0"/>
    <m/>
    <n v="4"/>
    <n v="1227"/>
    <n v="22528"/>
    <s v="VERDE"/>
    <n v="17.600000000000001"/>
    <n v="0"/>
    <n v="0"/>
    <n v="11.164999999999999"/>
    <n v="32.5"/>
    <n v="11"/>
    <n v="2954.5454545454545"/>
    <x v="8"/>
    <x v="0"/>
    <n v="40"/>
    <n v="3"/>
    <n v="253.75"/>
  </r>
  <r>
    <d v="2025-10-01T08:00:00"/>
    <s v="INYECTADO"/>
    <x v="5"/>
    <x v="211"/>
    <s v="ISABEL LINARIZ "/>
    <s v="VIRGEN"/>
    <s v="ALTA INYECCION"/>
    <m/>
    <s v="ASAS ORGANIZADOR 2 Y 3 SOLIDO"/>
    <s v="ASAS DE ORGANIZADOR 2 Y 3-VERDE"/>
    <n v="240"/>
    <n v="2"/>
    <n v="7.7"/>
    <x v="1"/>
    <m/>
    <n v="2"/>
    <n v="1227"/>
    <n v="22529"/>
    <s v="VERDE"/>
    <n v="6.2"/>
    <n v="0"/>
    <n v="0"/>
    <n v="2.64"/>
    <n v="7.7"/>
    <n v="11"/>
    <n v="700"/>
    <x v="8"/>
    <x v="0"/>
    <n v="40"/>
    <n v="3"/>
    <n v="60"/>
  </r>
  <r>
    <d v="2025-10-01T08:00:00"/>
    <s v="INYECTADO"/>
    <x v="5"/>
    <x v="211"/>
    <s v="ISABEL LINARIZ "/>
    <s v="VIRGEN"/>
    <s v="ALTA INYECCION"/>
    <m/>
    <s v="ASAS ORGANIZADOR 2 Y 3 SOLIDO"/>
    <s v="ASAS DE ORGANIZADOR 2 Y 3-ROJO"/>
    <n v="1218"/>
    <n v="9"/>
    <n v="39"/>
    <x v="1"/>
    <m/>
    <n v="3"/>
    <n v="1227"/>
    <n v="22529"/>
    <s v="ROJO"/>
    <n v="0"/>
    <n v="0"/>
    <n v="0"/>
    <n v="13.398"/>
    <n v="39"/>
    <n v="11"/>
    <n v="3545.4545454545455"/>
    <x v="8"/>
    <x v="0"/>
    <n v="40"/>
    <n v="3"/>
    <n v="304.5"/>
  </r>
  <r>
    <d v="2025-10-01T08:00:00"/>
    <s v="INYECTADO"/>
    <x v="5"/>
    <x v="212"/>
    <s v="JUANA CRUCES"/>
    <s v="VIRGEN"/>
    <s v="ALTA INYECCION"/>
    <m/>
    <s v="ASAS ORGANIZADOR 2 Y 3 SOLIDO"/>
    <s v="ASAS DE ORGANIZADOR 2 Y 3-ROJO"/>
    <n v="465"/>
    <n v="4"/>
    <n v="14.9"/>
    <x v="0"/>
    <m/>
    <n v="2"/>
    <n v="1227"/>
    <n v="22530"/>
    <s v="ROJO"/>
    <n v="9.5"/>
    <n v="0"/>
    <n v="0"/>
    <n v="5.1150000000000002"/>
    <n v="14.9"/>
    <n v="11"/>
    <n v="1354.5454545454545"/>
    <x v="8"/>
    <x v="0"/>
    <n v="40"/>
    <n v="3"/>
    <n v="116.25"/>
  </r>
  <r>
    <d v="2025-10-01T08:00:00"/>
    <s v="INYECTADO"/>
    <x v="5"/>
    <x v="212"/>
    <s v="JUANA CRUCES"/>
    <s v="VIRGEN"/>
    <s v="ALTA INYECCION"/>
    <m/>
    <s v="ASAS ORGANIZADOR 2 Y 3 SOLIDO"/>
    <s v="ASAS DE ORGANIZADOR 2 Y 3-AMARILLO"/>
    <n v="865"/>
    <n v="7"/>
    <n v="27.7"/>
    <x v="0"/>
    <m/>
    <n v="3"/>
    <n v="1227"/>
    <n v="22530"/>
    <s v="AMARILLO"/>
    <n v="11.7"/>
    <n v="0"/>
    <n v="0"/>
    <n v="9.5150000000000006"/>
    <n v="27.7"/>
    <n v="11"/>
    <n v="2518.181818181818"/>
    <x v="8"/>
    <x v="0"/>
    <n v="40"/>
    <n v="3"/>
    <n v="216.25"/>
  </r>
  <r>
    <d v="2025-10-01T08:00:00"/>
    <s v="INYECTADO"/>
    <x v="0"/>
    <x v="213"/>
    <s v="LUIS PINEDO"/>
    <s v="VIRGEN"/>
    <s v="PP CLARIFICADO"/>
    <m/>
    <s v="COLADOR HOGAR SOLIDO #1"/>
    <s v="COLADOR HOGAR SOLIDO#1-CELESTE"/>
    <n v="1230"/>
    <n v="8"/>
    <n v="36.9"/>
    <x v="0"/>
    <m/>
    <n v="6"/>
    <n v="1213"/>
    <n v="21761"/>
    <s v="CELESTE"/>
    <n v="3.9"/>
    <n v="0"/>
    <n v="0"/>
    <e v="#N/A"/>
    <n v="36.9"/>
    <e v="#N/A"/>
    <n v="0"/>
    <x v="8"/>
    <x v="0"/>
    <n v="36"/>
    <e v="#N/A"/>
    <e v="#N/A"/>
  </r>
  <r>
    <d v="2025-10-01T08:00:00"/>
    <s v="INYECTADO"/>
    <x v="0"/>
    <x v="213"/>
    <s v="LUIS PINEDO"/>
    <s v="VIRGEN"/>
    <s v="PP CLARIFICADO"/>
    <m/>
    <s v="COLADOR HOGAR SOLIDO #1"/>
    <s v="COLADOR HOGAR SOLIDO#1-CREMA"/>
    <n v="180"/>
    <n v="2"/>
    <n v="5.4"/>
    <x v="0"/>
    <m/>
    <n v="1"/>
    <n v="1213"/>
    <n v="21761"/>
    <s v="CREMA"/>
    <n v="0.9"/>
    <n v="0"/>
    <n v="0"/>
    <n v="5.4"/>
    <n v="5.4"/>
    <n v="30"/>
    <n v="180"/>
    <x v="8"/>
    <x v="0"/>
    <n v="36"/>
    <n v="1"/>
    <n v="15"/>
  </r>
  <r>
    <d v="2025-10-01T08:00:00"/>
    <s v="INYECTADO"/>
    <x v="0"/>
    <x v="214"/>
    <s v="MARJORIE VILCHEZ"/>
    <s v="VIRGEN"/>
    <s v="PP CLARIFICADO"/>
    <m/>
    <s v="COLADOR HOGAR SOLIDO #1"/>
    <s v="COLADOR HOGAR SOLIDO#1-CREMA"/>
    <n v="66"/>
    <n v="1"/>
    <n v="2"/>
    <x v="0"/>
    <m/>
    <n v="1"/>
    <n v="1213"/>
    <n v="21762"/>
    <s v="CREMA"/>
    <n v="0.6"/>
    <n v="0"/>
    <n v="0"/>
    <n v="1.98"/>
    <n v="2"/>
    <n v="30"/>
    <n v="66.666666666666671"/>
    <x v="8"/>
    <x v="0"/>
    <n v="36"/>
    <n v="1"/>
    <n v="5.5"/>
  </r>
  <r>
    <d v="2025-10-01T08:00:00"/>
    <s v="INYECTADO"/>
    <x v="0"/>
    <x v="214"/>
    <s v="MARJORIE VILCHEZ"/>
    <s v="VIRGEN"/>
    <s v="PP CLARIFICADO"/>
    <m/>
    <s v="COLADOR HOGAR SOLIDO #1"/>
    <s v="COLADOR HOGAR SOLIDO#1-ROJO"/>
    <n v="1166"/>
    <n v="10"/>
    <n v="35"/>
    <x v="0"/>
    <m/>
    <n v="5"/>
    <n v="1213"/>
    <n v="21762"/>
    <s v="ROJO"/>
    <n v="5.2"/>
    <n v="0"/>
    <n v="0"/>
    <n v="34.979999999999997"/>
    <n v="35"/>
    <n v="30"/>
    <n v="1166.6666666666667"/>
    <x v="8"/>
    <x v="0"/>
    <n v="36"/>
    <n v="1"/>
    <n v="97.166666666666671"/>
  </r>
  <r>
    <d v="2025-10-01T08:00:00"/>
    <s v="INYECTADO"/>
    <x v="0"/>
    <x v="214"/>
    <s v="JOSDER GONZALEZ"/>
    <s v="VIRGEN"/>
    <s v="PP CLARIFICADO"/>
    <m/>
    <s v="COLADOR HOGAR SOLIDO #1"/>
    <s v="COLADOR HOGAR SOLIDO#1-ROJO"/>
    <n v="43"/>
    <n v="1"/>
    <n v="1.3"/>
    <x v="1"/>
    <m/>
    <n v="1"/>
    <n v="1213"/>
    <n v="21763"/>
    <s v="ROJO"/>
    <n v="3.3"/>
    <n v="0"/>
    <n v="0"/>
    <n v="1.29"/>
    <n v="1.3"/>
    <n v="30"/>
    <n v="43.333333333333336"/>
    <x v="8"/>
    <x v="0"/>
    <n v="36"/>
    <n v="1"/>
    <n v="3.5833333333333335"/>
  </r>
  <r>
    <d v="2025-10-01T08:00:00"/>
    <s v="INYECTADO"/>
    <x v="0"/>
    <x v="214"/>
    <s v="JOSDER GONZALEZ"/>
    <s v="VIRGEN"/>
    <s v="PP CLARIFICADO"/>
    <m/>
    <s v="COLADOR HOGAR SOLIDO #1"/>
    <s v="COLADOR HOGAR SOLIDO#1-AZUL"/>
    <n v="953"/>
    <n v="7"/>
    <n v="28.6"/>
    <x v="1"/>
    <m/>
    <n v="4"/>
    <n v="1213"/>
    <n v="21763"/>
    <s v="AZUL"/>
    <n v="1.8"/>
    <n v="0"/>
    <n v="0"/>
    <n v="28.59"/>
    <n v="28.6"/>
    <n v="30"/>
    <n v="953.33333333333337"/>
    <x v="8"/>
    <x v="0"/>
    <n v="36"/>
    <n v="1"/>
    <n v="79.416666666666671"/>
  </r>
  <r>
    <d v="2025-10-01T08:00:00"/>
    <s v="INYECTADO"/>
    <x v="0"/>
    <x v="215"/>
    <s v="CRISALIDA ZAPATA"/>
    <s v="VIRGEN"/>
    <s v="PP CLARIFICADO"/>
    <m/>
    <s v="COLADOR HOGAR SOLIDO #1"/>
    <s v="COLADOR HOGAR SOLIDO#1-AZUL"/>
    <n v="127"/>
    <n v="1"/>
    <n v="3.7"/>
    <x v="0"/>
    <m/>
    <n v="2"/>
    <n v="1213"/>
    <n v="21764"/>
    <s v="AZUL"/>
    <n v="10.3"/>
    <n v="0"/>
    <n v="0"/>
    <n v="3.81"/>
    <n v="3.7"/>
    <n v="30"/>
    <n v="123.33333333333333"/>
    <x v="8"/>
    <x v="0"/>
    <n v="36"/>
    <n v="1"/>
    <n v="10.583333333333334"/>
  </r>
  <r>
    <d v="2025-10-01T08:00:00"/>
    <s v="INYECTADO"/>
    <x v="0"/>
    <x v="215"/>
    <s v="CRISALIDA ZAPATA"/>
    <s v="VIRGEN"/>
    <s v="PP CLARIFICADO"/>
    <m/>
    <s v="COLADOR HOGAR SOLIDO #1"/>
    <s v="COLADOR HOGAR SOLIDO#1-VERDE"/>
    <n v="523"/>
    <n v="6"/>
    <n v="15.7"/>
    <x v="0"/>
    <m/>
    <n v="4"/>
    <n v="1213"/>
    <n v="21764"/>
    <s v="VERDE"/>
    <n v="0"/>
    <n v="0"/>
    <n v="0"/>
    <n v="15.69"/>
    <n v="15.7"/>
    <n v="30"/>
    <n v="523.33333333333337"/>
    <x v="8"/>
    <x v="0"/>
    <n v="36"/>
    <n v="1"/>
    <n v="43.583333333333336"/>
  </r>
  <r>
    <d v="2025-10-01T08:00:00"/>
    <s v="INYECTADO"/>
    <x v="0"/>
    <x v="216"/>
    <s v="CRISALIDA ZAPATA"/>
    <s v="VIRGEN"/>
    <s v="PP CLARIFICADO"/>
    <m/>
    <s v="COLADOR HOGAR SOLIDO #1"/>
    <s v="COLADOR HOGAR SOLIDO#1-VERDE"/>
    <n v="850"/>
    <n v="9"/>
    <n v="25.8"/>
    <x v="0"/>
    <m/>
    <n v="5"/>
    <n v="1213"/>
    <n v="21765"/>
    <s v="VERDE"/>
    <n v="5.5"/>
    <n v="0"/>
    <n v="0"/>
    <n v="25.5"/>
    <n v="25.8"/>
    <n v="30"/>
    <n v="860"/>
    <x v="8"/>
    <x v="0"/>
    <n v="36"/>
    <n v="1"/>
    <n v="70.833333333333329"/>
  </r>
  <r>
    <d v="2025-10-01T08:00:00"/>
    <s v="INYECTADO"/>
    <x v="0"/>
    <x v="217"/>
    <s v="CRISALIDA ZAPATA"/>
    <s v="VIRGEN"/>
    <s v="PP CLARIFICADO"/>
    <m/>
    <s v="COLADOR HOGAR SOLIDO #1"/>
    <s v="COLADOR HOGAR SOLIDO#1-CREMA"/>
    <n v="1163"/>
    <n v="8"/>
    <n v="34.9"/>
    <x v="0"/>
    <m/>
    <n v="5"/>
    <n v="1213"/>
    <n v="21766"/>
    <s v="CREMA"/>
    <n v="3"/>
    <n v="0"/>
    <n v="0"/>
    <n v="34.89"/>
    <n v="34.9"/>
    <n v="30"/>
    <n v="1163.3333333333333"/>
    <x v="8"/>
    <x v="0"/>
    <n v="36"/>
    <n v="1"/>
    <n v="96.916666666666671"/>
  </r>
  <r>
    <d v="2025-10-01T08:00:00"/>
    <s v="INYECTADO"/>
    <x v="0"/>
    <x v="217"/>
    <s v="CRISALIDA ZAPATA"/>
    <s v="VIRGEN"/>
    <s v="PP CLARIFICADO"/>
    <m/>
    <s v="COLADOR HOGAR SOLIDO #1"/>
    <s v="COLADOR HOGAR SOLIDO#1-NARANJA"/>
    <n v="240"/>
    <n v="2"/>
    <n v="7.2"/>
    <x v="0"/>
    <m/>
    <n v="2"/>
    <n v="1213"/>
    <n v="21766"/>
    <s v="NARANJA"/>
    <n v="0.9"/>
    <n v="0"/>
    <n v="0"/>
    <e v="#N/A"/>
    <n v="7.2"/>
    <e v="#N/A"/>
    <n v="0"/>
    <x v="8"/>
    <x v="0"/>
    <n v="36"/>
    <e v="#N/A"/>
    <e v="#N/A"/>
  </r>
  <r>
    <d v="2025-10-01T08:00:00"/>
    <s v="INYECTADO"/>
    <x v="0"/>
    <x v="218"/>
    <s v="GABRIEL REQUENA"/>
    <s v="VIRGEN"/>
    <s v="PP CLARIFICADO"/>
    <m/>
    <s v="COLADOR HOGAR SOLIDO #1"/>
    <s v="COLADOR HOGAR SOLIDO#1-NARANJA"/>
    <n v="1151"/>
    <n v="8"/>
    <n v="35"/>
    <x v="1"/>
    <m/>
    <n v="5"/>
    <n v="1213"/>
    <n v="21767"/>
    <s v="NARANJA"/>
    <n v="0"/>
    <n v="0"/>
    <n v="0"/>
    <e v="#N/A"/>
    <n v="35"/>
    <e v="#N/A"/>
    <n v="0"/>
    <x v="8"/>
    <x v="0"/>
    <n v="36"/>
    <e v="#N/A"/>
    <e v="#N/A"/>
  </r>
  <r>
    <d v="2025-10-01T08:00:00"/>
    <s v="INYECTADO"/>
    <x v="0"/>
    <x v="219"/>
    <s v="CRISALIDA ZAPATA"/>
    <s v="VIRGEN"/>
    <s v="PP CLARIFICADO"/>
    <m/>
    <s v="COLADOR HOGAR SOLIDO #1"/>
    <s v="COLADOR HOGAR SOLIDO#1-NARANJA"/>
    <n v="263"/>
    <n v="2"/>
    <n v="7.9"/>
    <x v="0"/>
    <m/>
    <n v="2"/>
    <n v="1213"/>
    <n v="21768"/>
    <s v="NARANJA"/>
    <n v="7"/>
    <n v="0"/>
    <n v="0"/>
    <e v="#N/A"/>
    <n v="7.9"/>
    <e v="#N/A"/>
    <n v="0"/>
    <x v="8"/>
    <x v="0"/>
    <n v="37"/>
    <e v="#N/A"/>
    <e v="#N/A"/>
  </r>
  <r>
    <d v="2025-10-01T08:00:00"/>
    <s v="INYECTADO"/>
    <x v="0"/>
    <x v="219"/>
    <s v="CRISALIDA ZAPATA"/>
    <s v="VIRGEN"/>
    <s v="PP CLARIFICADO"/>
    <m/>
    <s v="COLADOR HOGAR SOLIDO #1"/>
    <s v="COLADOR HOGAR SOLIDO#1-AZUL"/>
    <n v="346"/>
    <n v="3"/>
    <n v="10.4"/>
    <x v="0"/>
    <m/>
    <n v="2"/>
    <n v="1213"/>
    <n v="21768"/>
    <s v="AZUL"/>
    <n v="4.9000000000000004"/>
    <n v="0"/>
    <n v="0"/>
    <n v="10.38"/>
    <n v="10.4"/>
    <n v="30"/>
    <n v="346.66666666666669"/>
    <x v="8"/>
    <x v="0"/>
    <n v="37"/>
    <n v="1"/>
    <n v="28.833333333333332"/>
  </r>
  <r>
    <d v="2025-10-01T08:00:00"/>
    <s v="INYECTADO"/>
    <x v="0"/>
    <x v="219"/>
    <s v="CRISALIDA ZAPATA"/>
    <s v="VIRGEN"/>
    <s v="PP CLARIFICADO"/>
    <m/>
    <s v="COLADOR HOGAR SOLIDO #1"/>
    <s v="COLADOR HOGAR SOLIDO#1-ROJO"/>
    <n v="186"/>
    <n v="2"/>
    <n v="5.6"/>
    <x v="0"/>
    <m/>
    <n v="1"/>
    <n v="1213"/>
    <n v="21768"/>
    <s v="ROJO"/>
    <n v="1.5"/>
    <n v="0"/>
    <n v="0"/>
    <n v="5.58"/>
    <n v="5.6"/>
    <n v="30"/>
    <n v="186.66666666666666"/>
    <x v="8"/>
    <x v="0"/>
    <n v="37"/>
    <n v="1"/>
    <n v="15.5"/>
  </r>
  <r>
    <d v="2025-10-01T08:00:00"/>
    <s v="INYECTADO"/>
    <x v="0"/>
    <x v="219"/>
    <s v="CRISALIDA ZAPATA"/>
    <s v="VIRGEN"/>
    <s v="PP CLARIFICADO"/>
    <m/>
    <s v="COLADOR HOGAR SOLIDO #1"/>
    <s v="COLADOR HOGAR SOLIDO#1-CELESTE"/>
    <n v="80"/>
    <n v="1"/>
    <n v="2.4"/>
    <x v="0"/>
    <m/>
    <n v="1"/>
    <n v="1213"/>
    <n v="21768"/>
    <s v="CELESTE"/>
    <n v="0.9"/>
    <n v="0"/>
    <n v="0"/>
    <e v="#N/A"/>
    <n v="2.4"/>
    <e v="#N/A"/>
    <n v="0"/>
    <x v="8"/>
    <x v="0"/>
    <n v="37"/>
    <e v="#N/A"/>
    <e v="#N/A"/>
  </r>
  <r>
    <d v="2025-10-01T08:00:00"/>
    <s v="INYECTADO"/>
    <x v="0"/>
    <x v="201"/>
    <s v="CRISALIDA ZAPATA"/>
    <s v="VIRGEN"/>
    <s v="PP CLARIFICADO"/>
    <m/>
    <s v="COLADOR HOGAR SOLIDO #1"/>
    <s v="COLADOR HOGAR SOLIDO#1-ROJO"/>
    <n v="201"/>
    <n v="2"/>
    <n v="6.1"/>
    <x v="0"/>
    <m/>
    <n v="1"/>
    <n v="1213"/>
    <n v="21769"/>
    <s v="ROJO"/>
    <n v="5.0999999999999996"/>
    <n v="0"/>
    <n v="0"/>
    <n v="6.03"/>
    <n v="6.1"/>
    <n v="30"/>
    <n v="203.33333333333334"/>
    <x v="8"/>
    <x v="0"/>
    <n v="37"/>
    <n v="1"/>
    <n v="16.75"/>
  </r>
  <r>
    <d v="2025-10-01T08:00:00"/>
    <s v="INYECTADO"/>
    <x v="0"/>
    <x v="220"/>
    <s v="ROSA/DAIMARY"/>
    <s v="VIRGEN"/>
    <s v="PP CLARIFICADO"/>
    <m/>
    <s v="COLADOR HOGAR SOLIDO #1"/>
    <s v="COLADOR HOGAR SOLIDO#1-CREMA"/>
    <n v="240"/>
    <n v="2"/>
    <n v="7.3"/>
    <x v="0"/>
    <m/>
    <n v="1"/>
    <m/>
    <n v="21770"/>
    <s v="CREMA"/>
    <n v="0"/>
    <n v="0"/>
    <n v="0"/>
    <n v="7.2"/>
    <n v="7.3"/>
    <n v="30"/>
    <n v="243.33333333333334"/>
    <x v="8"/>
    <x v="0"/>
    <n v="37"/>
    <n v="1"/>
    <n v="20"/>
  </r>
  <r>
    <d v="2025-10-01T08:00:00"/>
    <s v="INYECTADO"/>
    <x v="0"/>
    <x v="203"/>
    <s v="MARJORIE VILCHEZ"/>
    <s v="VIRGEN"/>
    <s v="PP CLARIFICADO"/>
    <m/>
    <s v="COLADOR HOGAR SOLIDO #1"/>
    <s v="COLADOR HOGAR SOLIDO#1-CREMA"/>
    <n v="606"/>
    <n v="3"/>
    <n v="17.600000000000001"/>
    <x v="0"/>
    <m/>
    <n v="3"/>
    <m/>
    <n v="21771"/>
    <s v="CREMA"/>
    <n v="2.4"/>
    <n v="0"/>
    <n v="0"/>
    <n v="18.18"/>
    <n v="17.600000000000001"/>
    <n v="30"/>
    <n v="586.66666666666663"/>
    <x v="8"/>
    <x v="0"/>
    <n v="38"/>
    <n v="1"/>
    <n v="50.5"/>
  </r>
  <r>
    <d v="2025-10-01T08:00:00"/>
    <s v="INYECTADO"/>
    <x v="0"/>
    <x v="203"/>
    <s v="MARJORIE VILCHEZ"/>
    <s v="VIRGEN"/>
    <s v="PP CLARIFICADO"/>
    <m/>
    <s v="COLADOR HOGAR SOLIDO #1"/>
    <s v="COLADOR HOGAR SOLIDO#1-VERDE"/>
    <n v="1053"/>
    <n v="5"/>
    <n v="31.6"/>
    <x v="0"/>
    <m/>
    <n v="4"/>
    <m/>
    <n v="21771"/>
    <s v="VERDE"/>
    <n v="0.8"/>
    <n v="0"/>
    <n v="0"/>
    <n v="31.59"/>
    <n v="31.6"/>
    <n v="30"/>
    <n v="1053.3333333333333"/>
    <x v="8"/>
    <x v="0"/>
    <n v="38"/>
    <n v="1"/>
    <n v="87.75"/>
  </r>
  <r>
    <d v="2025-10-01T08:00:00"/>
    <s v="INYECTADO"/>
    <x v="0"/>
    <x v="203"/>
    <s v="MARJORIE VILCHEZ"/>
    <s v="VIRGEN"/>
    <s v="PP CLARIFICADO"/>
    <m/>
    <s v="COLADOR HOGAR SOLIDO #1"/>
    <s v="COLADOR HOGAR SOLIDO#1-CELESTE"/>
    <n v="413"/>
    <n v="3"/>
    <n v="12"/>
    <x v="0"/>
    <m/>
    <n v="2"/>
    <m/>
    <n v="21771"/>
    <s v="CELESTE"/>
    <n v="1.4"/>
    <n v="0"/>
    <n v="0"/>
    <e v="#N/A"/>
    <n v="12"/>
    <e v="#N/A"/>
    <n v="0"/>
    <x v="8"/>
    <x v="0"/>
    <n v="38"/>
    <e v="#N/A"/>
    <e v="#N/A"/>
  </r>
  <r>
    <d v="2025-10-01T08:00:00"/>
    <s v="INYECTADO"/>
    <x v="0"/>
    <x v="203"/>
    <s v="JUAN MANUEL "/>
    <s v="VIRGEN"/>
    <s v="PP CLARIFICADO"/>
    <m/>
    <s v="COLADOR HOGAR SOLIDO #1"/>
    <s v="COLADOR HOGAR SOLIDO#1-CELESTE"/>
    <n v="413"/>
    <n v="3"/>
    <n v="0"/>
    <x v="1"/>
    <m/>
    <n v="0"/>
    <m/>
    <n v="21772"/>
    <s v="CELESTE"/>
    <n v="0"/>
    <n v="0"/>
    <n v="0"/>
    <e v="#N/A"/>
    <s v="Setiembre"/>
    <e v="#N/A"/>
    <n v="0"/>
    <x v="8"/>
    <x v="0"/>
    <n v="38"/>
    <e v="#N/A"/>
    <e v="#N/A"/>
  </r>
  <r>
    <d v="2025-10-01T08:00:00"/>
    <s v="INYECTADO"/>
    <x v="0"/>
    <x v="203"/>
    <s v="JUAN MANUEL "/>
    <s v="VIRGEN"/>
    <s v="PP CLARIFICADO"/>
    <m/>
    <s v="COLADOR HOGAR SOLIDO #1"/>
    <s v="COLADOR HOGAR SOLIDO#1-ROJO"/>
    <n v="773"/>
    <n v="7"/>
    <n v="0"/>
    <x v="1"/>
    <m/>
    <n v="0"/>
    <m/>
    <n v="21772"/>
    <s v="ROJO"/>
    <n v="4"/>
    <n v="0"/>
    <n v="0"/>
    <n v="23.19"/>
    <s v="Setiembre"/>
    <n v="30"/>
    <n v="0"/>
    <x v="8"/>
    <x v="0"/>
    <n v="38"/>
    <n v="1"/>
    <n v="64.416666666666671"/>
  </r>
  <r>
    <d v="2025-10-01T08:00:00"/>
    <s v="INYECTADO"/>
    <x v="0"/>
    <x v="203"/>
    <s v="JUAN MANUEL "/>
    <s v="VIRGEN"/>
    <s v="PP CLARIFICADO"/>
    <m/>
    <s v="COLADOR HOGAR SOLIDO #1"/>
    <s v="COLADOR HOGAR SOLIDO#1-NARANJA"/>
    <n v="416"/>
    <n v="3"/>
    <n v="0"/>
    <x v="1"/>
    <m/>
    <n v="0"/>
    <m/>
    <n v="21772"/>
    <s v="NARANJA"/>
    <n v="1"/>
    <n v="0"/>
    <n v="0"/>
    <e v="#N/A"/>
    <s v="Setiembre"/>
    <e v="#N/A"/>
    <n v="0"/>
    <x v="8"/>
    <x v="0"/>
    <n v="38"/>
    <e v="#N/A"/>
    <e v="#N/A"/>
  </r>
  <r>
    <d v="2025-10-01T08:00:00"/>
    <s v="INYECTADO"/>
    <x v="0"/>
    <x v="212"/>
    <s v="SAID VILLAMIZAR"/>
    <s v="VIRGEN"/>
    <s v="PP CLARIFICADO"/>
    <m/>
    <s v="COLADOR HOGAR SOLIDO #1"/>
    <s v="COLADOR HOGAR SOLIDO#1-AZUL"/>
    <n v="610"/>
    <n v="4"/>
    <n v="18.3"/>
    <x v="0"/>
    <m/>
    <n v="3"/>
    <m/>
    <n v="21773"/>
    <s v="AZUL"/>
    <n v="2.1"/>
    <n v="0"/>
    <n v="0"/>
    <n v="18.3"/>
    <n v="18.3"/>
    <n v="30"/>
    <n v="610"/>
    <x v="8"/>
    <x v="0"/>
    <n v="40"/>
    <n v="1"/>
    <n v="50.833333333333336"/>
  </r>
  <r>
    <d v="2025-10-01T08:00:00"/>
    <s v="INYECTADO"/>
    <x v="6"/>
    <x v="213"/>
    <s v="CRISALIDA ZAPATA"/>
    <s v="VIRGEN"/>
    <s v="ALTA INYECCION"/>
    <m/>
    <s v="TAPAS DE JARRA DE 5 Y 6L"/>
    <s v="TAPAS DE JARRA DE 5 Y 6L-AZUL"/>
    <n v="625"/>
    <n v="7"/>
    <n v="105.6"/>
    <x v="0"/>
    <m/>
    <n v="18"/>
    <n v="1208"/>
    <n v="21298"/>
    <s v="AZUL"/>
    <n v="3.8"/>
    <n v="0"/>
    <n v="0"/>
    <n v="50.625"/>
    <n v="105.6"/>
    <n v="81"/>
    <n v="1303.7037037037037"/>
    <x v="8"/>
    <x v="0"/>
    <n v="36"/>
    <n v="2"/>
    <n v="104.16666666666667"/>
  </r>
  <r>
    <d v="2025-10-01T08:00:00"/>
    <s v="INYECTADO"/>
    <x v="6"/>
    <x v="213"/>
    <s v="CRISALIDA ZAPATA"/>
    <s v="VIRGEN"/>
    <s v="ALTA INYECCION"/>
    <m/>
    <s v="TAPAS DE JARRA DE 5 Y 6L"/>
    <s v="TAPAS DE JARRA DE 5 Y 6L-VERDE"/>
    <n v="53"/>
    <n v="2"/>
    <n v="8.9"/>
    <x v="0"/>
    <m/>
    <n v="2"/>
    <n v="1208"/>
    <n v="21298"/>
    <s v="VERDE"/>
    <n v="19"/>
    <n v="0"/>
    <n v="0"/>
    <n v="4.2930000000000001"/>
    <n v="8.9"/>
    <n v="81"/>
    <n v="109.87654320987654"/>
    <x v="8"/>
    <x v="0"/>
    <n v="36"/>
    <n v="2"/>
    <n v="8.8333333333333339"/>
  </r>
  <r>
    <d v="2025-10-01T08:00:00"/>
    <s v="INYECTADO"/>
    <x v="6"/>
    <x v="213"/>
    <s v="JUAN MANUEL "/>
    <s v="VIRGEN"/>
    <s v="ALTA INYECCION"/>
    <m/>
    <s v="TAPAS DE JARRA DE 5 Y 6L"/>
    <s v="TAPAS DE JARRA DE 5 Y 6L-AZUL"/>
    <n v="600"/>
    <n v="6"/>
    <n v="100.2"/>
    <x v="1"/>
    <m/>
    <n v="17"/>
    <n v="1208"/>
    <n v="21299"/>
    <s v="AZUL"/>
    <n v="2.2000000000000002"/>
    <n v="0"/>
    <n v="0"/>
    <n v="48.6"/>
    <n v="100.2"/>
    <n v="81"/>
    <n v="1237.037037037037"/>
    <x v="8"/>
    <x v="0"/>
    <n v="36"/>
    <n v="2"/>
    <n v="100"/>
  </r>
  <r>
    <d v="2025-10-01T08:00:00"/>
    <s v="INYECTADO"/>
    <x v="6"/>
    <x v="213"/>
    <s v="JUAN MANUEL "/>
    <s v="VIRGEN"/>
    <s v="ALTA INYECCION"/>
    <m/>
    <s v="TAPAS DE JARRA DE 5 Y 6L"/>
    <s v="TAPAS DE JARRA DE 5 Y 6L-ROJO"/>
    <n v="353"/>
    <n v="5"/>
    <n v="58.9"/>
    <x v="1"/>
    <m/>
    <n v="10"/>
    <n v="1208"/>
    <n v="21299"/>
    <s v="ROJO"/>
    <n v="12.4"/>
    <n v="0"/>
    <n v="0"/>
    <n v="28.593"/>
    <n v="58.9"/>
    <n v="81"/>
    <n v="727.16049382716051"/>
    <x v="8"/>
    <x v="0"/>
    <n v="36"/>
    <n v="2"/>
    <n v="58.833333333333336"/>
  </r>
  <r>
    <d v="2025-10-01T08:00:00"/>
    <s v="INYECTADO"/>
    <x v="6"/>
    <x v="214"/>
    <s v="CRISALIDA ZAPATA"/>
    <s v="VIRGEN"/>
    <s v="ALTA INYECCION"/>
    <m/>
    <s v="TAPAS DE JARRA DE 5 Y 6L"/>
    <s v="TAPAS DE JARRA DE 5 Y 6L-ROJO"/>
    <n v="838"/>
    <n v="11"/>
    <n v="143.19999999999999"/>
    <x v="0"/>
    <m/>
    <n v="27"/>
    <n v="1208"/>
    <n v="22801"/>
    <s v="ROJO"/>
    <n v="13.8"/>
    <n v="0"/>
    <n v="0"/>
    <n v="67.878"/>
    <n v="143.19999999999999"/>
    <n v="81"/>
    <n v="1767.9012345679012"/>
    <x v="8"/>
    <x v="0"/>
    <n v="36"/>
    <n v="2"/>
    <n v="139.66666666666666"/>
  </r>
  <r>
    <d v="2025-10-01T08:00:00"/>
    <s v="INYECTADO"/>
    <x v="6"/>
    <x v="215"/>
    <s v="BRAYAN/LEONOR"/>
    <s v="VIRGEN"/>
    <s v="ALTA INYECCION"/>
    <m/>
    <s v="TAPAS DE JARRA DE 5 Y 6L"/>
    <s v="TAPAS DE JARRA DE 5 Y 6L-ROJO"/>
    <n v="204"/>
    <n v="4"/>
    <n v="35.700000000000003"/>
    <x v="0"/>
    <m/>
    <n v="7"/>
    <n v="1208"/>
    <n v="22802"/>
    <s v="ROJO"/>
    <n v="9.6"/>
    <n v="0"/>
    <n v="0"/>
    <n v="16.524000000000001"/>
    <n v="35.700000000000003"/>
    <n v="81"/>
    <n v="440.74074074074076"/>
    <x v="8"/>
    <x v="0"/>
    <n v="36"/>
    <n v="2"/>
    <n v="34"/>
  </r>
  <r>
    <d v="2025-10-01T08:00:00"/>
    <s v="INYECTADO"/>
    <x v="6"/>
    <x v="215"/>
    <s v="BRAYAN/LEONOR"/>
    <s v="VIRGEN"/>
    <s v="ALTA INYECCION"/>
    <m/>
    <s v="TAPAS DE JARRA DE 5 Y 6L"/>
    <s v="TAPAS DE JARRA DE 5 Y 6L-AZUL"/>
    <n v="206"/>
    <n v="4"/>
    <n v="36"/>
    <x v="0"/>
    <m/>
    <n v="7"/>
    <n v="1208"/>
    <n v="22802"/>
    <s v="AZUL"/>
    <n v="17.399999999999999"/>
    <n v="0"/>
    <n v="0"/>
    <n v="16.686"/>
    <n v="36"/>
    <n v="81"/>
    <n v="444.44444444444446"/>
    <x v="8"/>
    <x v="0"/>
    <n v="36"/>
    <n v="2"/>
    <n v="34.333333333333336"/>
  </r>
  <r>
    <d v="2025-10-01T08:00:00"/>
    <s v="INYECTADO"/>
    <x v="6"/>
    <x v="221"/>
    <s v="CRISALIDA ZAPATA"/>
    <s v="VIRGEN"/>
    <s v="ALTA INYECCION"/>
    <m/>
    <s v="TAPAS DE JARRA DE 5 Y 6L"/>
    <s v="TAPAS DE JARRA DE 5 Y 6L-AMARILLO"/>
    <n v="354"/>
    <n v="7"/>
    <n v="30.4"/>
    <x v="0"/>
    <m/>
    <n v="6"/>
    <n v="1208"/>
    <n v="22803"/>
    <s v="AMARILLO"/>
    <n v="37.200000000000003"/>
    <n v="0"/>
    <n v="0"/>
    <n v="28.673999999999999"/>
    <n v="30.4"/>
    <n v="81"/>
    <n v="375.30864197530866"/>
    <x v="8"/>
    <x v="0"/>
    <n v="36"/>
    <n v="2"/>
    <n v="59"/>
  </r>
  <r>
    <d v="2025-10-01T08:00:00"/>
    <s v="INYECTADO"/>
    <x v="6"/>
    <x v="222"/>
    <s v="CARLOS SULCA"/>
    <s v="VIRGEN"/>
    <s v="ALTA INYECCION"/>
    <m/>
    <s v="COLADOR HOGAR SOLIDO #4"/>
    <s v="COLADOR HOGAR SOLIDO#4-CREMA"/>
    <n v="421"/>
    <n v="4"/>
    <n v="47.2"/>
    <x v="0"/>
    <m/>
    <n v="4"/>
    <m/>
    <n v="22804"/>
    <s v="CREMA"/>
    <n v="4.5"/>
    <n v="0"/>
    <n v="0"/>
    <n v="46.31"/>
    <n v="47.2"/>
    <n v="110"/>
    <n v="429.09090909090907"/>
    <x v="8"/>
    <x v="0"/>
    <n v="37"/>
    <n v="1"/>
    <n v="35.083333333333336"/>
  </r>
  <r>
    <d v="2025-10-01T08:00:00"/>
    <s v="INYECTADO"/>
    <x v="6"/>
    <x v="222"/>
    <s v="CARLOS SULCA"/>
    <s v="VIRGEN"/>
    <s v="ALTA INYECCION"/>
    <m/>
    <s v="COLADOR HOGAR SOLIDO #4"/>
    <s v="COLADOR HOGAR SOLIDO#4-VERDE"/>
    <n v="448"/>
    <n v="4"/>
    <n v="50.2"/>
    <x v="0"/>
    <m/>
    <n v="4"/>
    <m/>
    <n v="22804"/>
    <s v="VERDE"/>
    <n v="2.7"/>
    <n v="0"/>
    <n v="0"/>
    <n v="49.28"/>
    <n v="50.2"/>
    <n v="110"/>
    <n v="456.36363636363637"/>
    <x v="8"/>
    <x v="0"/>
    <n v="37"/>
    <n v="1"/>
    <n v="37.333333333333336"/>
  </r>
  <r>
    <d v="2025-10-01T08:00:00"/>
    <s v="INYECTADO"/>
    <x v="6"/>
    <x v="222"/>
    <s v="CARLOS SULCA"/>
    <s v="VIRGEN"/>
    <s v="ALTA INYECCION"/>
    <m/>
    <s v="COLADOR HOGAR SOLIDO #4"/>
    <s v="COLADOR HOGAR SOLIDO#4-ROJO"/>
    <n v="242"/>
    <n v="2"/>
    <n v="27.2"/>
    <x v="0"/>
    <m/>
    <n v="2"/>
    <m/>
    <n v="22804"/>
    <s v="AMARILLO"/>
    <n v="2.7"/>
    <n v="0"/>
    <n v="0"/>
    <n v="26.62"/>
    <n v="27.2"/>
    <n v="110"/>
    <n v="247.27272727272728"/>
    <x v="8"/>
    <x v="0"/>
    <n v="37"/>
    <n v="1"/>
    <n v="20.166666666666668"/>
  </r>
  <r>
    <d v="2025-10-01T08:00:00"/>
    <s v="INYECTADO"/>
    <x v="6"/>
    <x v="222"/>
    <s v="ISABEL LINARIZ "/>
    <s v="VIRGEN"/>
    <s v="ALTA INYECCION"/>
    <m/>
    <s v="COLADOR HOGAR SOLIDO #4"/>
    <s v="COLADOR HOGAR SOLIDO#4-ROJO"/>
    <n v="183"/>
    <n v="2"/>
    <n v="20.6"/>
    <x v="1"/>
    <m/>
    <n v="2"/>
    <m/>
    <n v="22805"/>
    <s v="ROJO"/>
    <n v="5.2"/>
    <n v="0"/>
    <n v="0"/>
    <n v="20.13"/>
    <n v="20.6"/>
    <n v="110"/>
    <n v="187.27272727272728"/>
    <x v="8"/>
    <x v="0"/>
    <n v="37"/>
    <n v="1"/>
    <n v="15.25"/>
  </r>
  <r>
    <d v="2025-10-01T08:00:00"/>
    <s v="INYECTADO"/>
    <x v="6"/>
    <x v="222"/>
    <s v="ISABEL LINARIZ "/>
    <s v="VIRGEN"/>
    <s v="ALTA INYECCION"/>
    <m/>
    <s v="COLADOR HOGAR SOLIDO #4"/>
    <s v="COLADOR HOGAR SOLIDO#4-NARANJA"/>
    <n v="398"/>
    <n v="3"/>
    <n v="44.6"/>
    <x v="1"/>
    <m/>
    <n v="4"/>
    <m/>
    <n v="22805"/>
    <s v="NARANJA"/>
    <n v="4.4000000000000004"/>
    <n v="0"/>
    <n v="0"/>
    <e v="#N/A"/>
    <n v="44.6"/>
    <e v="#N/A"/>
    <n v="0"/>
    <x v="8"/>
    <x v="0"/>
    <n v="37"/>
    <e v="#N/A"/>
    <e v="#N/A"/>
  </r>
  <r>
    <d v="2025-10-01T08:00:00"/>
    <s v="INYECTADO"/>
    <x v="6"/>
    <x v="222"/>
    <s v="ISABEL LINARIZ "/>
    <s v="VIRGEN"/>
    <s v="ALTA INYECCION"/>
    <m/>
    <s v="COLADOR HOGAR SOLIDO #4"/>
    <s v="COLADOR HOGAR SOLIDO#4-CELESTE"/>
    <n v="445"/>
    <n v="3"/>
    <n v="49.5"/>
    <x v="1"/>
    <m/>
    <n v="4"/>
    <m/>
    <n v="22805"/>
    <s v="CELESTE"/>
    <n v="2.9"/>
    <n v="0"/>
    <n v="0"/>
    <e v="#N/A"/>
    <n v="49.5"/>
    <e v="#N/A"/>
    <n v="0"/>
    <x v="8"/>
    <x v="0"/>
    <n v="37"/>
    <e v="#N/A"/>
    <e v="#N/A"/>
  </r>
  <r>
    <d v="2025-10-01T08:00:00"/>
    <s v="INYECTADO"/>
    <x v="6"/>
    <x v="222"/>
    <s v="ISABEL LINARIZ "/>
    <s v="VIRGEN"/>
    <s v="ALTA INYECCION"/>
    <m/>
    <s v="COLADOR HOGAR SOLIDO #4"/>
    <s v="COLADOR HOGAR SOLIDO#4-AZUL"/>
    <n v="587"/>
    <n v="4"/>
    <n v="65.8"/>
    <x v="1"/>
    <m/>
    <n v="5"/>
    <m/>
    <n v="22805"/>
    <s v="AZUL"/>
    <n v="3.3"/>
    <n v="0"/>
    <n v="0"/>
    <n v="64.569999999999993"/>
    <n v="65.8"/>
    <n v="110"/>
    <n v="598.18181818181813"/>
    <x v="8"/>
    <x v="0"/>
    <n v="37"/>
    <n v="1"/>
    <n v="48.916666666666664"/>
  </r>
  <r>
    <d v="2025-10-01T08:00:00"/>
    <s v="INYECTADO"/>
    <x v="6"/>
    <x v="223"/>
    <s v="SIN NOMBRE"/>
    <s v="VIRGEN"/>
    <s v="ALTA INYECCION"/>
    <m/>
    <s v="COLADOR HOGAR SOLIDO #4"/>
    <s v="COLADOR HOGAR SOLIDO#4-AZUL"/>
    <n v="874"/>
    <n v="7"/>
    <n v="97.9"/>
    <x v="0"/>
    <m/>
    <n v="8"/>
    <m/>
    <n v="22806"/>
    <s v="AZUL"/>
    <n v="0"/>
    <n v="0"/>
    <n v="0"/>
    <n v="96.14"/>
    <n v="97.9"/>
    <n v="110"/>
    <n v="890"/>
    <x v="8"/>
    <x v="0"/>
    <n v="37"/>
    <n v="1"/>
    <n v="72.833333333333329"/>
  </r>
  <r>
    <d v="2025-10-01T08:00:00"/>
    <s v="INYECTADO"/>
    <x v="6"/>
    <x v="223"/>
    <s v="SIN NOMBRE"/>
    <s v="VIRGEN"/>
    <s v="ALTA INYECCION"/>
    <m/>
    <s v="COLADOR HOGAR SOLIDO #4"/>
    <s v="COLADOR HOGAR SOLIDO#4-CELESTE"/>
    <n v="547"/>
    <n v="4"/>
    <n v="61.3"/>
    <x v="0"/>
    <m/>
    <n v="5"/>
    <m/>
    <n v="22806"/>
    <s v="CELESTE"/>
    <n v="0"/>
    <n v="0"/>
    <n v="0"/>
    <e v="#N/A"/>
    <n v="61.3"/>
    <e v="#N/A"/>
    <n v="0"/>
    <x v="8"/>
    <x v="0"/>
    <n v="37"/>
    <e v="#N/A"/>
    <e v="#N/A"/>
  </r>
  <r>
    <d v="2025-10-01T08:00:00"/>
    <s v="INYECTADO"/>
    <x v="6"/>
    <x v="223"/>
    <s v="ISABEL LINARIZ "/>
    <s v="VIRGEN"/>
    <s v="ALTA INYECCION"/>
    <m/>
    <s v="COLADOR HOGAR SOLIDO #4"/>
    <s v="COLADOR HOGAR SOLIDO#4-CELESTE"/>
    <n v="455"/>
    <n v="3"/>
    <n v="51"/>
    <x v="1"/>
    <m/>
    <n v="5"/>
    <m/>
    <n v="22807"/>
    <s v="CELESTE"/>
    <n v="5.5"/>
    <n v="0"/>
    <n v="0"/>
    <e v="#N/A"/>
    <n v="51"/>
    <e v="#N/A"/>
    <n v="0"/>
    <x v="8"/>
    <x v="0"/>
    <n v="37"/>
    <e v="#N/A"/>
    <e v="#N/A"/>
  </r>
  <r>
    <d v="2025-10-01T08:00:00"/>
    <s v="INYECTADO"/>
    <x v="6"/>
    <x v="223"/>
    <s v="ISABEL LINARIZ "/>
    <s v="VIRGEN"/>
    <s v="ALTA INYECCION"/>
    <m/>
    <s v="COLADOR HOGAR SOLIDO #4"/>
    <s v="COLADOR HOGAR SOLIDO#4-VERDE"/>
    <n v="1125"/>
    <n v="8"/>
    <n v="126.1"/>
    <x v="1"/>
    <m/>
    <n v="10"/>
    <m/>
    <n v="22807"/>
    <s v="VERDE"/>
    <n v="4.3"/>
    <n v="0"/>
    <n v="0"/>
    <n v="123.75"/>
    <n v="126.1"/>
    <n v="110"/>
    <n v="1146.3636363636363"/>
    <x v="8"/>
    <x v="0"/>
    <n v="37"/>
    <n v="1"/>
    <n v="93.75"/>
  </r>
  <r>
    <d v="2025-10-01T08:00:00"/>
    <s v="INYECTADO"/>
    <x v="6"/>
    <x v="220"/>
    <s v="CARLOS SULCA"/>
    <m/>
    <m/>
    <m/>
    <s v="COLADOR HOGAR SOLIDO #4"/>
    <s v="COLADOR HOGAR SOLIDO#4-CREMA"/>
    <n v="732"/>
    <n v="6"/>
    <n v="82"/>
    <x v="0"/>
    <m/>
    <n v="6"/>
    <m/>
    <n v="22808"/>
    <s v="CREMA"/>
    <n v="2.2000000000000002"/>
    <n v="0"/>
    <n v="0"/>
    <n v="80.52"/>
    <n v="82"/>
    <n v="110"/>
    <n v="745.4545454545455"/>
    <x v="8"/>
    <x v="0"/>
    <n v="37"/>
    <n v="1"/>
    <n v="61"/>
  </r>
  <r>
    <d v="2025-10-01T08:00:00"/>
    <s v="INYECTADO"/>
    <x v="6"/>
    <x v="220"/>
    <s v="CARLOS SULCA"/>
    <m/>
    <m/>
    <m/>
    <s v="COLADOR HOGAR SOLIDO #4"/>
    <s v="COLADOR HOGAR SOLIDO#4-ROJO"/>
    <n v="183"/>
    <n v="2"/>
    <n v="20.6"/>
    <x v="0"/>
    <m/>
    <n v="2"/>
    <m/>
    <n v="22808"/>
    <s v="ROJO"/>
    <n v="2.9"/>
    <n v="0"/>
    <n v="0"/>
    <n v="20.13"/>
    <n v="20.6"/>
    <n v="110"/>
    <n v="187.27272727272728"/>
    <x v="8"/>
    <x v="0"/>
    <n v="37"/>
    <n v="1"/>
    <n v="15.25"/>
  </r>
  <r>
    <d v="2025-10-01T08:00:00"/>
    <s v="INYECTADO"/>
    <x v="6"/>
    <x v="224"/>
    <s v="ANGIE VALDERRAMA"/>
    <m/>
    <m/>
    <m/>
    <s v="COLADOR HOGAR SOLIDO #4"/>
    <s v="COLADOR HOGAR SOLIDO#4-ROJO"/>
    <n v="1145"/>
    <n v="9"/>
    <n v="130.6"/>
    <x v="0"/>
    <m/>
    <n v="10"/>
    <m/>
    <n v="22809"/>
    <s v="ROJO"/>
    <n v="7.3"/>
    <n v="0"/>
    <n v="0"/>
    <n v="125.95"/>
    <n v="130.6"/>
    <n v="110"/>
    <n v="1187.2727272727273"/>
    <x v="8"/>
    <x v="0"/>
    <n v="37"/>
    <n v="1"/>
    <n v="95.416666666666671"/>
  </r>
  <r>
    <d v="2025-10-01T08:00:00"/>
    <s v="INYECTADO"/>
    <x v="6"/>
    <x v="224"/>
    <s v="ANGIE VALDERRAMA"/>
    <m/>
    <m/>
    <m/>
    <s v="COLADOR HOGAR SOLIDO #4"/>
    <s v="COLADOR HOGAR SOLIDO#4-NARANJA"/>
    <n v="60"/>
    <n v="1"/>
    <n v="6.9"/>
    <x v="0"/>
    <m/>
    <n v="1"/>
    <m/>
    <n v="22809"/>
    <s v="NARANJA"/>
    <n v="2.7"/>
    <n v="0"/>
    <n v="0"/>
    <e v="#N/A"/>
    <n v="6.9"/>
    <e v="#N/A"/>
    <n v="0"/>
    <x v="8"/>
    <x v="0"/>
    <n v="37"/>
    <e v="#N/A"/>
    <e v="#N/A"/>
  </r>
  <r>
    <d v="2025-10-01T08:00:00"/>
    <s v="INYECTADO"/>
    <x v="6"/>
    <x v="224"/>
    <s v="ISABEL LINARIZ "/>
    <m/>
    <m/>
    <m/>
    <s v="COLADOR HOGAR SOLIDO #4"/>
    <s v="COLADOR HOGAR SOLIDO#4-NARANJA"/>
    <n v="1385"/>
    <n v="10"/>
    <n v="158"/>
    <x v="1"/>
    <m/>
    <n v="12"/>
    <m/>
    <n v="22810"/>
    <s v="NARANJA"/>
    <n v="5.2"/>
    <n v="0"/>
    <n v="0"/>
    <e v="#N/A"/>
    <n v="158"/>
    <e v="#N/A"/>
    <n v="0"/>
    <x v="8"/>
    <x v="0"/>
    <n v="37"/>
    <e v="#N/A"/>
    <e v="#N/A"/>
  </r>
  <r>
    <d v="2025-10-01T08:00:00"/>
    <s v="INYECTADO"/>
    <x v="6"/>
    <x v="224"/>
    <s v="ISABEL LINARIZ "/>
    <m/>
    <m/>
    <m/>
    <s v="COLADOR HOGAR SOLIDO #4"/>
    <s v="COLADOR HOGAR SOLIDO#4-CREMA"/>
    <n v="126"/>
    <n v="1"/>
    <n v="14.4"/>
    <x v="1"/>
    <m/>
    <n v="1"/>
    <m/>
    <n v="22810"/>
    <s v="CREMA"/>
    <n v="0.7"/>
    <n v="0"/>
    <n v="0"/>
    <n v="13.86"/>
    <n v="14.4"/>
    <n v="110"/>
    <n v="130.90909090909091"/>
    <x v="8"/>
    <x v="0"/>
    <n v="37"/>
    <n v="1"/>
    <n v="10.5"/>
  </r>
  <r>
    <d v="2025-10-01T08:00:00"/>
    <s v="INYECTADO"/>
    <x v="6"/>
    <x v="225"/>
    <s v="LUIS PINEDO"/>
    <m/>
    <m/>
    <m/>
    <s v="PORTA YOGURT"/>
    <s v="BASE PORTA YOGURT-TRANSPARENTE"/>
    <n v="237"/>
    <n v="3"/>
    <n v="27.3"/>
    <x v="0"/>
    <m/>
    <n v="6"/>
    <m/>
    <n v="22811"/>
    <s v="TRANSPARENTE"/>
    <n v="5.9"/>
    <n v="0"/>
    <n v="0"/>
    <e v="#N/A"/>
    <n v="27.3"/>
    <e v="#N/A"/>
    <n v="0"/>
    <x v="8"/>
    <x v="0"/>
    <n v="38"/>
    <e v="#N/A"/>
    <e v="#N/A"/>
  </r>
  <r>
    <d v="2025-10-01T08:00:00"/>
    <s v="INYECTADO"/>
    <x v="6"/>
    <x v="225"/>
    <s v="ISABEL LINARIZ "/>
    <m/>
    <m/>
    <m/>
    <s v="PORTA YOGURT"/>
    <s v="BASE PORTA YOGURT-TRANSPARENTE"/>
    <n v="1249"/>
    <n v="12"/>
    <n v="143.69999999999999"/>
    <x v="1"/>
    <m/>
    <n v="23"/>
    <m/>
    <n v="22812"/>
    <s v="TRANSPARENTE"/>
    <n v="0.5"/>
    <n v="0"/>
    <n v="0"/>
    <e v="#N/A"/>
    <n v="143.69999999999999"/>
    <e v="#N/A"/>
    <n v="0"/>
    <x v="8"/>
    <x v="0"/>
    <n v="38"/>
    <e v="#N/A"/>
    <e v="#N/A"/>
  </r>
  <r>
    <d v="2025-10-01T08:00:00"/>
    <s v="INYECTADO"/>
    <x v="6"/>
    <x v="203"/>
    <s v="DAIRET"/>
    <m/>
    <m/>
    <m/>
    <s v="PORTA YOGURT"/>
    <s v="BASE PORTA YOGURT-TRANSPARENTE"/>
    <n v="910"/>
    <n v="9"/>
    <n v="104.7"/>
    <x v="0"/>
    <m/>
    <n v="20"/>
    <m/>
    <n v="22813"/>
    <s v="TRANSPARENTE"/>
    <n v="0"/>
    <n v="0"/>
    <n v="0"/>
    <e v="#N/A"/>
    <n v="104.7"/>
    <e v="#N/A"/>
    <n v="0"/>
    <x v="8"/>
    <x v="0"/>
    <n v="38"/>
    <e v="#N/A"/>
    <e v="#N/A"/>
  </r>
  <r>
    <d v="2025-10-01T08:00:00"/>
    <s v="INYECTADO"/>
    <x v="6"/>
    <x v="204"/>
    <s v="ANGIE VALDERRAMA"/>
    <m/>
    <m/>
    <m/>
    <s v="CESTO MULTIUSO"/>
    <s v="CESTO MULTIUSO-CREMA"/>
    <n v="552"/>
    <n v="5"/>
    <n v="83.4"/>
    <x v="0"/>
    <m/>
    <n v="10"/>
    <m/>
    <n v="22814"/>
    <s v="CREMA"/>
    <n v="2.4"/>
    <n v="0"/>
    <n v="0"/>
    <n v="93.84"/>
    <n v="83.4"/>
    <n v="170"/>
    <n v="490.58823529411762"/>
    <x v="8"/>
    <x v="0"/>
    <n v="38"/>
    <n v="1"/>
    <n v="46"/>
  </r>
  <r>
    <d v="2025-10-01T08:00:00"/>
    <s v="INYECTADO"/>
    <x v="6"/>
    <x v="204"/>
    <s v="ISABEL LINARIZ "/>
    <m/>
    <m/>
    <m/>
    <s v="CESTO MULTIUSO"/>
    <s v="CESTO MULTIUSO-CREMA"/>
    <n v="96"/>
    <n v="1"/>
    <n v="14.6"/>
    <x v="1"/>
    <m/>
    <n v="2"/>
    <m/>
    <n v="22815"/>
    <s v="CREMA"/>
    <n v="6.2"/>
    <n v="0"/>
    <n v="0"/>
    <n v="16.32"/>
    <n v="14.6"/>
    <n v="170"/>
    <n v="85.882352941176464"/>
    <x v="8"/>
    <x v="0"/>
    <n v="38"/>
    <n v="1"/>
    <n v="8"/>
  </r>
  <r>
    <d v="2025-10-01T08:00:00"/>
    <s v="INYECTADO"/>
    <x v="6"/>
    <x v="204"/>
    <s v="ISABEL LINARIZ "/>
    <m/>
    <m/>
    <m/>
    <s v="CESTO MULTIUSO"/>
    <s v="CESTO MULTIUSO-VERDE"/>
    <n v="656"/>
    <n v="6"/>
    <n v="99.1"/>
    <x v="1"/>
    <m/>
    <n v="11"/>
    <m/>
    <n v="22815"/>
    <s v="VERDE"/>
    <n v="0"/>
    <n v="0"/>
    <n v="0"/>
    <n v="111.52"/>
    <n v="99.1"/>
    <n v="170"/>
    <n v="582.94117647058829"/>
    <x v="8"/>
    <x v="0"/>
    <n v="38"/>
    <n v="1"/>
    <n v="54.666666666666664"/>
  </r>
  <r>
    <d v="2025-10-01T08:00:00"/>
    <s v="INYECTADO"/>
    <x v="6"/>
    <x v="204"/>
    <s v="ISABEL LINARIZ "/>
    <m/>
    <m/>
    <m/>
    <s v="CESTO MULTIUSO"/>
    <s v="CESTO MULTIUSO-ROSADO"/>
    <n v="442"/>
    <n v="4"/>
    <n v="66.8"/>
    <x v="1"/>
    <m/>
    <n v="8"/>
    <m/>
    <n v="22815"/>
    <s v="ROSADO"/>
    <n v="10.1"/>
    <n v="0"/>
    <n v="0"/>
    <n v="75.14"/>
    <n v="66.8"/>
    <n v="170"/>
    <n v="392.94117647058823"/>
    <x v="8"/>
    <x v="0"/>
    <n v="38"/>
    <n v="1"/>
    <n v="36.833333333333336"/>
  </r>
  <r>
    <d v="2025-10-01T08:00:00"/>
    <s v="INYECTADO"/>
    <x v="6"/>
    <x v="205"/>
    <s v="JUANA CRUCES"/>
    <m/>
    <m/>
    <m/>
    <s v="CESTO MULTIUSO"/>
    <s v="CESTO MULTIUSO-ROSADO"/>
    <n v="220"/>
    <n v="2"/>
    <n v="33.299999999999997"/>
    <x v="0"/>
    <m/>
    <n v="4"/>
    <m/>
    <n v="22816"/>
    <s v="ROSADO"/>
    <n v="2.2000000000000002"/>
    <n v="0"/>
    <n v="0"/>
    <n v="37.4"/>
    <n v="33.299999999999997"/>
    <n v="170"/>
    <n v="195.88235294117646"/>
    <x v="8"/>
    <x v="0"/>
    <n v="38"/>
    <n v="1"/>
    <n v="18.333333333333332"/>
  </r>
  <r>
    <d v="2025-10-01T08:00:00"/>
    <s v="INYECTADO"/>
    <x v="6"/>
    <x v="205"/>
    <s v="JUANA CRUCES"/>
    <m/>
    <m/>
    <m/>
    <s v="CESTO MULTIUSO"/>
    <s v="CESTO MULTIUSO-LILA"/>
    <n v="907"/>
    <n v="8"/>
    <n v="137.1"/>
    <x v="0"/>
    <m/>
    <n v="16"/>
    <m/>
    <n v="22816"/>
    <s v="LILA"/>
    <n v="5.3"/>
    <n v="0"/>
    <n v="0"/>
    <n v="154.19"/>
    <n v="137.1"/>
    <n v="170"/>
    <n v="806.47058823529414"/>
    <x v="8"/>
    <x v="0"/>
    <n v="38"/>
    <n v="1"/>
    <n v="75.583333333333329"/>
  </r>
  <r>
    <d v="2025-10-01T08:00:00"/>
    <s v="INYECTADO"/>
    <x v="6"/>
    <x v="205"/>
    <s v="JUANA CRUCES"/>
    <m/>
    <m/>
    <m/>
    <s v="CESTO MULTIUSO"/>
    <s v="CESTO MULTIUSO-MELON"/>
    <n v="72"/>
    <n v="1"/>
    <n v="10.9"/>
    <x v="0"/>
    <m/>
    <n v="1"/>
    <m/>
    <n v="22816"/>
    <s v="MELON"/>
    <n v="0.7"/>
    <n v="0"/>
    <n v="0"/>
    <n v="12.24"/>
    <n v="10.9"/>
    <n v="170"/>
    <n v="64.117647058823536"/>
    <x v="8"/>
    <x v="0"/>
    <n v="38"/>
    <n v="1"/>
    <n v="6"/>
  </r>
  <r>
    <d v="2025-10-01T08:00:00"/>
    <s v="INYECTADO"/>
    <x v="6"/>
    <x v="205"/>
    <s v="JOSDER GONZALEZ"/>
    <m/>
    <m/>
    <m/>
    <s v="CESTO MULTIUSO"/>
    <s v="CESTO MULTIUSO-MELON"/>
    <n v="827"/>
    <n v="7"/>
    <n v="124.9"/>
    <x v="1"/>
    <m/>
    <n v="14"/>
    <m/>
    <n v="22817"/>
    <s v="MELON"/>
    <n v="5.8"/>
    <n v="0"/>
    <n v="0"/>
    <n v="140.59"/>
    <n v="124.9"/>
    <n v="170"/>
    <n v="734.70588235294122"/>
    <x v="8"/>
    <x v="0"/>
    <n v="38"/>
    <n v="1"/>
    <n v="68.916666666666671"/>
  </r>
  <r>
    <d v="2025-10-01T08:00:00"/>
    <s v="INYECTADO"/>
    <x v="6"/>
    <x v="205"/>
    <s v="JOSDER GONZALEZ"/>
    <m/>
    <m/>
    <m/>
    <s v="CESTO MULTIUSO"/>
    <s v="CESTO MULTIUSO-TURQUESA"/>
    <n v="469"/>
    <n v="4"/>
    <n v="70.900000000000006"/>
    <x v="1"/>
    <m/>
    <n v="8"/>
    <m/>
    <n v="22817"/>
    <s v="TURQUESA"/>
    <n v="1.3"/>
    <n v="0"/>
    <n v="0"/>
    <n v="79.73"/>
    <n v="70.900000000000006"/>
    <n v="170"/>
    <n v="417.05882352941177"/>
    <x v="8"/>
    <x v="0"/>
    <n v="38"/>
    <n v="1"/>
    <n v="39.083333333333336"/>
  </r>
  <r>
    <d v="2025-10-01T08:00:00"/>
    <s v="INYECTADO"/>
    <x v="6"/>
    <x v="206"/>
    <s v="ANGIE VALDERRAMA"/>
    <m/>
    <m/>
    <m/>
    <s v="CESTO MULTIUSO"/>
    <s v="CESTO MULTIUSO-TURQUESA"/>
    <n v="423"/>
    <n v="4"/>
    <n v="64"/>
    <x v="0"/>
    <m/>
    <n v="8"/>
    <m/>
    <n v="22818"/>
    <s v="TURQUESA"/>
    <n v="3.7"/>
    <n v="0"/>
    <n v="0"/>
    <n v="71.91"/>
    <n v="64"/>
    <n v="170"/>
    <n v="376.47058823529414"/>
    <x v="8"/>
    <x v="0"/>
    <n v="38"/>
    <n v="1"/>
    <n v="35.25"/>
  </r>
  <r>
    <d v="2025-10-01T08:00:00"/>
    <s v="INYECTADO"/>
    <x v="6"/>
    <x v="206"/>
    <s v="ANGIE VALDERRAMA"/>
    <m/>
    <m/>
    <m/>
    <s v="CESTO MULTIUSO"/>
    <s v="CESTO MULTIUSO-CREMA"/>
    <n v="186"/>
    <n v="2"/>
    <n v="28.1"/>
    <x v="0"/>
    <m/>
    <n v="3"/>
    <m/>
    <n v="22818"/>
    <s v="CREMA"/>
    <n v="2.4"/>
    <n v="0"/>
    <n v="0"/>
    <n v="31.62"/>
    <n v="28.1"/>
    <n v="170"/>
    <n v="165.29411764705881"/>
    <x v="8"/>
    <x v="0"/>
    <n v="38"/>
    <n v="1"/>
    <n v="15.5"/>
  </r>
  <r>
    <d v="2025-10-01T08:00:00"/>
    <s v="INYECTADO"/>
    <x v="6"/>
    <x v="206"/>
    <s v="ANGIE VALDERRAMA"/>
    <m/>
    <m/>
    <m/>
    <s v="CESTO MULTIUSO"/>
    <s v="CESTO MULTIUSO-ROSADO"/>
    <n v="249"/>
    <n v="2"/>
    <n v="37.6"/>
    <x v="0"/>
    <m/>
    <n v="4"/>
    <m/>
    <n v="22818"/>
    <s v="ROSADO"/>
    <n v="0.6"/>
    <n v="0"/>
    <n v="0"/>
    <n v="42.33"/>
    <n v="37.6"/>
    <n v="170"/>
    <n v="221.1764705882353"/>
    <x v="8"/>
    <x v="0"/>
    <n v="38"/>
    <n v="1"/>
    <n v="20.75"/>
  </r>
  <r>
    <d v="2025-10-01T08:00:00"/>
    <s v="INYECTADO"/>
    <x v="6"/>
    <x v="206"/>
    <s v="ANGIE VALDERRAMA"/>
    <m/>
    <m/>
    <m/>
    <s v="CESTO MULTIUSO"/>
    <s v="CESTO MULTIUSO-VERDE"/>
    <n v="222"/>
    <n v="2"/>
    <n v="33.6"/>
    <x v="0"/>
    <m/>
    <n v="3"/>
    <m/>
    <n v="22818"/>
    <s v="VERDE"/>
    <n v="3.4"/>
    <n v="0"/>
    <n v="0"/>
    <n v="37.74"/>
    <n v="33.6"/>
    <n v="170"/>
    <n v="197.64705882352942"/>
    <x v="8"/>
    <x v="0"/>
    <n v="38"/>
    <n v="1"/>
    <n v="18.5"/>
  </r>
  <r>
    <d v="2025-10-01T08:00:00"/>
    <s v="INYECTADO"/>
    <x v="6"/>
    <x v="207"/>
    <s v="CARLOS SULCA"/>
    <m/>
    <m/>
    <m/>
    <s v="REPOSTERO REAL 6 KG"/>
    <s v="REPOSTERO 6KG -TRANSPARENTE"/>
    <n v="81"/>
    <n v="1"/>
    <n v="17"/>
    <x v="0"/>
    <m/>
    <n v="2"/>
    <m/>
    <n v="22819"/>
    <s v="TRANSPARENTE"/>
    <n v="5.3"/>
    <n v="0"/>
    <n v="0"/>
    <n v="17.091000000000001"/>
    <n v="17"/>
    <n v="211"/>
    <n v="80.568720379146924"/>
    <x v="8"/>
    <x v="0"/>
    <n v="38"/>
    <n v="1"/>
    <n v="6.75"/>
  </r>
  <r>
    <d v="2025-10-01T08:00:00"/>
    <s v="INYECTADO"/>
    <x v="6"/>
    <x v="207"/>
    <s v="ISABEL LINARIZ "/>
    <m/>
    <m/>
    <m/>
    <s v="REPOSTERO REAL 6 KG"/>
    <s v="REPOSTERO 6KG -TRANSPARENTE"/>
    <n v="1194"/>
    <n v="12"/>
    <n v="249.7"/>
    <x v="1"/>
    <m/>
    <n v="21"/>
    <m/>
    <n v="22820"/>
    <s v="TRANSPARENTE"/>
    <n v="5.6"/>
    <n v="0"/>
    <n v="0"/>
    <n v="251.934"/>
    <n v="249.7"/>
    <n v="211"/>
    <n v="1183.4123222748815"/>
    <x v="8"/>
    <x v="0"/>
    <n v="38"/>
    <n v="1"/>
    <n v="99.5"/>
  </r>
  <r>
    <d v="2025-10-01T08:00:00"/>
    <s v="INYECTADO"/>
    <x v="6"/>
    <x v="202"/>
    <s v="MARJORIE VILCHEZ"/>
    <m/>
    <m/>
    <m/>
    <s v="REPOSTERO REAL 6 KG"/>
    <s v="REPOSTERO 6KG -TRANSPARENTE"/>
    <n v="1093"/>
    <n v="11"/>
    <n v="227.4"/>
    <x v="0"/>
    <m/>
    <n v="18"/>
    <m/>
    <n v="22821"/>
    <s v="TRANSPARENTE"/>
    <n v="7"/>
    <n v="0"/>
    <n v="0"/>
    <n v="230.62299999999999"/>
    <n v="227.4"/>
    <n v="211"/>
    <n v="1077.7251184834124"/>
    <x v="8"/>
    <x v="0"/>
    <n v="39"/>
    <n v="1"/>
    <n v="91.083333333333329"/>
  </r>
  <r>
    <d v="2025-10-01T08:00:00"/>
    <s v="INYECTADO"/>
    <x v="6"/>
    <x v="208"/>
    <s v="JUAN MANUEL "/>
    <m/>
    <m/>
    <m/>
    <s v="REPOSTERO REAL 6 KG"/>
    <s v="REPOSTERO 6KG -TRANSPARENTE"/>
    <n v="1033"/>
    <n v="12"/>
    <n v="215"/>
    <x v="1"/>
    <m/>
    <n v="17"/>
    <m/>
    <n v="22822"/>
    <s v="TRANSPARENTE"/>
    <n v="0"/>
    <n v="0"/>
    <n v="0"/>
    <n v="217.96299999999999"/>
    <n v="215"/>
    <n v="211"/>
    <n v="1018.957345971564"/>
    <x v="8"/>
    <x v="0"/>
    <n v="39"/>
    <n v="1"/>
    <n v="86.083333333333329"/>
  </r>
  <r>
    <d v="2025-10-01T08:00:00"/>
    <s v="INYECTADO"/>
    <x v="6"/>
    <x v="209"/>
    <s v="KARLA HUISA"/>
    <m/>
    <m/>
    <m/>
    <s v="REPOSTERO REAL 6 KG"/>
    <s v="REPOSTERO 6KG -TRANSPARENTE"/>
    <n v="1099"/>
    <n v="11"/>
    <n v="228.6"/>
    <x v="0"/>
    <m/>
    <n v="18"/>
    <m/>
    <n v="22823"/>
    <s v="TRANSPARENTE"/>
    <n v="3.1"/>
    <n v="0"/>
    <n v="0"/>
    <n v="231.88900000000001"/>
    <n v="228.6"/>
    <n v="211"/>
    <n v="1083.4123222748815"/>
    <x v="8"/>
    <x v="0"/>
    <n v="39"/>
    <n v="1"/>
    <n v="91.583333333333329"/>
  </r>
  <r>
    <d v="2025-10-01T08:00:00"/>
    <s v="INYECTADO"/>
    <x v="6"/>
    <x v="210"/>
    <s v="KARLA HUISA"/>
    <m/>
    <m/>
    <m/>
    <s v="REPOSTERO REAL 6 KG"/>
    <s v="REPOSTERO 6KG -TRANSPARENTE"/>
    <n v="899"/>
    <n v="10"/>
    <n v="207.9"/>
    <x v="0"/>
    <m/>
    <n v="17"/>
    <m/>
    <n v="22824"/>
    <s v="TRANSPARENTE"/>
    <n v="11.6"/>
    <n v="0"/>
    <n v="0"/>
    <n v="189.68899999999999"/>
    <n v="207.9"/>
    <n v="211"/>
    <n v="985.30805687203792"/>
    <x v="8"/>
    <x v="0"/>
    <n v="39"/>
    <n v="1"/>
    <n v="74.916666666666671"/>
  </r>
  <r>
    <d v="2025-10-01T08:00:00"/>
    <s v="INYECTADO"/>
    <x v="6"/>
    <x v="226"/>
    <s v="CARLOS SULCA"/>
    <m/>
    <m/>
    <m/>
    <s v="REPOSTERO REAL 6 KG"/>
    <s v="REPOSTERO 6KG -TRANSPARENTE"/>
    <n v="950"/>
    <n v="10"/>
    <n v="165.6"/>
    <x v="0"/>
    <m/>
    <n v="13"/>
    <m/>
    <n v="22825"/>
    <s v="TRANSPARENTE"/>
    <n v="2.7"/>
    <n v="0"/>
    <n v="0"/>
    <n v="200.45"/>
    <n v="165.6"/>
    <n v="211"/>
    <n v="784.83412322274887"/>
    <x v="8"/>
    <x v="0"/>
    <n v="39"/>
    <n v="1"/>
    <n v="79.166666666666671"/>
  </r>
  <r>
    <d v="2025-10-01T08:00:00"/>
    <s v="INYECTADO"/>
    <x v="6"/>
    <x v="211"/>
    <s v="MARJORIE VILCHEZ"/>
    <m/>
    <m/>
    <m/>
    <s v="REPOSTERO REAL 6 KG"/>
    <s v="REPOSTERO 6KG -TRANSPARENTE"/>
    <n v="1080"/>
    <n v="12"/>
    <n v="191.6"/>
    <x v="1"/>
    <m/>
    <n v="15"/>
    <m/>
    <n v="22826"/>
    <s v="TRANSPARENTE"/>
    <n v="2.5"/>
    <n v="0"/>
    <n v="0"/>
    <n v="227.88"/>
    <n v="191.6"/>
    <n v="211"/>
    <n v="908.05687203791467"/>
    <x v="8"/>
    <x v="0"/>
    <n v="40"/>
    <n v="1"/>
    <n v="90"/>
  </r>
  <r>
    <d v="2025-10-01T08:00:00"/>
    <s v="INYECTADO"/>
    <x v="6"/>
    <x v="212"/>
    <s v="ANGIE VALDERRAMA"/>
    <m/>
    <m/>
    <m/>
    <s v="REPOSTERO REAL 6 KG"/>
    <s v="REPOSTERO 6KG -TRANSPARENTE"/>
    <n v="975"/>
    <n v="11"/>
    <n v="204.8"/>
    <x v="0"/>
    <m/>
    <n v="16"/>
    <m/>
    <n v="22827"/>
    <s v="TRANSPARENTE"/>
    <n v="0"/>
    <n v="0"/>
    <n v="0"/>
    <n v="205.72499999999999"/>
    <n v="204.8"/>
    <n v="211"/>
    <n v="970.61611374407585"/>
    <x v="8"/>
    <x v="0"/>
    <n v="40"/>
    <n v="1"/>
    <n v="81.25"/>
  </r>
  <r>
    <d v="2025-10-01T08:00:00"/>
    <s v="INYECTADO"/>
    <x v="6"/>
    <x v="212"/>
    <s v="MARJORIE VILCHEZ"/>
    <m/>
    <m/>
    <m/>
    <s v="REPOSTERO REAL 6 KG"/>
    <s v="REPOSTERO 6KG -TRANSPARENTE"/>
    <n v="1059"/>
    <n v="12"/>
    <n v="222.5"/>
    <x v="1"/>
    <m/>
    <n v="18"/>
    <m/>
    <n v="22828"/>
    <s v="TRANSPARENTE"/>
    <n v="1.9"/>
    <n v="0"/>
    <n v="0"/>
    <n v="223.44900000000001"/>
    <n v="222.5"/>
    <n v="211"/>
    <n v="1054.5023696682465"/>
    <x v="8"/>
    <x v="0"/>
    <n v="40"/>
    <n v="1"/>
    <n v="88.25"/>
  </r>
  <r>
    <d v="2025-10-01T08:00:00"/>
    <s v="INYECTADO"/>
    <x v="2"/>
    <x v="213"/>
    <s v="CARMINA"/>
    <m/>
    <m/>
    <m/>
    <s v="TAPA ORGANIZADOR DE 10KG"/>
    <s v="TAPA ORGANIZADOR DE 10KG-TURQUESA"/>
    <n v="454"/>
    <n v="5"/>
    <n v="56.7"/>
    <x v="0"/>
    <m/>
    <n v="4"/>
    <n v="1205"/>
    <n v="21985"/>
    <s v="TURQUESA"/>
    <n v="4.4000000000000004"/>
    <n v="0"/>
    <n v="0"/>
    <n v="62.652000000000001"/>
    <n v="56.7"/>
    <n v="138"/>
    <n v="410.86956521739131"/>
    <x v="8"/>
    <x v="0"/>
    <n v="36"/>
    <n v="1"/>
    <n v="37.833333333333336"/>
  </r>
  <r>
    <d v="2025-10-01T08:00:00"/>
    <s v="INYECTADO"/>
    <x v="2"/>
    <x v="213"/>
    <s v="CARMINA"/>
    <m/>
    <m/>
    <m/>
    <s v="TAPA ORGANIZADOR DE 10KG"/>
    <s v="TAPA ORGANIZADOR DE 10KG-VERDE"/>
    <n v="467"/>
    <n v="5"/>
    <n v="58.3"/>
    <x v="0"/>
    <m/>
    <n v="4"/>
    <n v="1205"/>
    <n v="21985"/>
    <s v="VERDE"/>
    <n v="1.3"/>
    <n v="0"/>
    <n v="0"/>
    <n v="64.445999999999998"/>
    <n v="58.3"/>
    <n v="138"/>
    <n v="422.463768115942"/>
    <x v="8"/>
    <x v="0"/>
    <n v="36"/>
    <n v="1"/>
    <n v="38.916666666666664"/>
  </r>
  <r>
    <d v="2025-10-01T08:00:00"/>
    <s v="INYECTADO"/>
    <x v="2"/>
    <x v="213"/>
    <s v="JOSDER GONZALEZ"/>
    <m/>
    <m/>
    <m/>
    <s v="TAPA ORGANIZADOR DE 10KG"/>
    <s v="TAPA ORGANIZADOR DE 10KG-VERDE"/>
    <n v="840"/>
    <n v="8"/>
    <n v="105.8"/>
    <x v="1"/>
    <m/>
    <n v="8"/>
    <n v="1205"/>
    <n v="21986"/>
    <s v="VERDE"/>
    <n v="12.6"/>
    <n v="0"/>
    <n v="0"/>
    <n v="115.92"/>
    <n v="105.8"/>
    <n v="138"/>
    <n v="766.66666666666663"/>
    <x v="8"/>
    <x v="0"/>
    <n v="36"/>
    <n v="1"/>
    <n v="70"/>
  </r>
  <r>
    <d v="2025-10-01T08:00:00"/>
    <s v="INYECTADO"/>
    <x v="2"/>
    <x v="213"/>
    <s v="JOSDER GONZALEZ"/>
    <m/>
    <m/>
    <m/>
    <s v="TAPA ORGANIZADOR DE 10KG"/>
    <s v="TAPA ORGANIZADOR DE 10KG-AMARILLO"/>
    <n v="290"/>
    <n v="3"/>
    <n v="36.200000000000003"/>
    <x v="1"/>
    <m/>
    <n v="3"/>
    <n v="1205"/>
    <n v="21986"/>
    <s v="AMARILLO"/>
    <n v="8.6999999999999993"/>
    <n v="0"/>
    <n v="0"/>
    <n v="40.020000000000003"/>
    <n v="36.200000000000003"/>
    <n v="138"/>
    <n v="262.31884057971013"/>
    <x v="8"/>
    <x v="0"/>
    <n v="36"/>
    <n v="1"/>
    <n v="24.166666666666668"/>
  </r>
  <r>
    <d v="2025-10-01T08:00:00"/>
    <s v="INYECTADO"/>
    <x v="2"/>
    <x v="214"/>
    <s v="JUANA CRUCES"/>
    <m/>
    <m/>
    <m/>
    <s v="TAPA ORGANIZADOR DE 10KG"/>
    <s v="TAPA ORGANIZADOR DE 10KG-AMARILLO"/>
    <n v="1101"/>
    <n v="11"/>
    <n v="139.80000000000001"/>
    <x v="0"/>
    <m/>
    <n v="10"/>
    <n v="1205"/>
    <n v="21987"/>
    <s v="AMARILLO"/>
    <n v="7.4"/>
    <n v="0"/>
    <n v="0"/>
    <n v="151.93799999999999"/>
    <n v="139.80000000000001"/>
    <n v="138"/>
    <n v="1013.0434782608696"/>
    <x v="8"/>
    <x v="0"/>
    <n v="36"/>
    <n v="1"/>
    <n v="91.75"/>
  </r>
  <r>
    <d v="2025-10-01T08:00:00"/>
    <s v="INYECTADO"/>
    <x v="2"/>
    <x v="215"/>
    <s v="ANGIE VALDERRAMA"/>
    <m/>
    <m/>
    <m/>
    <s v="TAPA ORGANIZADOR DE 10KG"/>
    <s v="TAPA ORGANIZADOR DE 10KG-AMARILLO"/>
    <n v="54"/>
    <n v="1"/>
    <n v="6.8"/>
    <x v="0"/>
    <m/>
    <n v="1"/>
    <n v="1205"/>
    <n v="21988"/>
    <s v="AMARILLO"/>
    <n v="3.8"/>
    <n v="0"/>
    <n v="0"/>
    <n v="7.452"/>
    <n v="6.8"/>
    <n v="138"/>
    <n v="49.275362318840578"/>
    <x v="8"/>
    <x v="0"/>
    <n v="36"/>
    <n v="1"/>
    <n v="4.5"/>
  </r>
  <r>
    <d v="2025-10-01T08:00:00"/>
    <s v="INYECTADO"/>
    <x v="2"/>
    <x v="215"/>
    <s v="LUIS RENGIFO"/>
    <m/>
    <m/>
    <m/>
    <s v="TAPA ORGANIZADOR DE 10KG"/>
    <s v="TAPA ORGANIZADOR DE 10KG-TURQUESA"/>
    <n v="120"/>
    <n v="1"/>
    <n v="15.1"/>
    <x v="0"/>
    <m/>
    <n v="1"/>
    <n v="1205"/>
    <n v="21988"/>
    <s v="TURQUESA"/>
    <n v="5.7"/>
    <n v="0"/>
    <n v="0"/>
    <n v="16.559999999999999"/>
    <n v="15.1"/>
    <n v="138"/>
    <n v="109.42028985507247"/>
    <x v="8"/>
    <x v="0"/>
    <n v="36"/>
    <n v="1"/>
    <n v="10"/>
  </r>
  <r>
    <d v="2025-10-01T08:00:00"/>
    <s v="INYECTADO"/>
    <x v="2"/>
    <x v="215"/>
    <s v="LUIS RENGIFO"/>
    <m/>
    <m/>
    <m/>
    <s v="TAPA ORGANIZADOR DE 10KG"/>
    <s v="TAPA ORGANIZADOR DE 10KG-VERDE"/>
    <n v="120"/>
    <n v="1"/>
    <n v="15.1"/>
    <x v="0"/>
    <m/>
    <n v="1"/>
    <n v="1205"/>
    <n v="21988"/>
    <s v="VERDE"/>
    <n v="1.1000000000000001"/>
    <n v="0"/>
    <n v="0"/>
    <n v="16.559999999999999"/>
    <n v="15.1"/>
    <n v="138"/>
    <n v="109.42028985507247"/>
    <x v="8"/>
    <x v="0"/>
    <n v="36"/>
    <n v="1"/>
    <n v="10"/>
  </r>
  <r>
    <d v="2025-10-01T08:00:00"/>
    <s v="INYECTADO"/>
    <x v="2"/>
    <x v="215"/>
    <s v="LUIS RENGIFO"/>
    <m/>
    <m/>
    <m/>
    <s v="TAPA ORGANIZADOR DE 15KG"/>
    <s v="TAPA ORGANIZADOR DE 15KG-VERDE"/>
    <n v="60"/>
    <n v="1"/>
    <n v="10"/>
    <x v="0"/>
    <m/>
    <n v="1"/>
    <m/>
    <n v="21989"/>
    <s v="VERDE"/>
    <n v="0"/>
    <n v="0"/>
    <n v="0"/>
    <n v="11.4"/>
    <n v="10"/>
    <n v="190"/>
    <n v="52.631578947368418"/>
    <x v="8"/>
    <x v="0"/>
    <n v="36"/>
    <n v="1"/>
    <n v="5"/>
  </r>
  <r>
    <d v="2025-10-01T08:00:00"/>
    <s v="INYECTADO"/>
    <x v="2"/>
    <x v="215"/>
    <s v="ISABEL LINARIZ "/>
    <m/>
    <m/>
    <m/>
    <s v="TAPA ORGANIZADOR DE 15KG"/>
    <s v="TAPA ORGANIZADOR DE 15KG-VERDE"/>
    <n v="891"/>
    <n v="9"/>
    <n v="151.4"/>
    <x v="1"/>
    <m/>
    <n v="15"/>
    <m/>
    <n v="21989"/>
    <s v="VERDE"/>
    <n v="8.9"/>
    <n v="0"/>
    <n v="0"/>
    <n v="169.29"/>
    <n v="151.4"/>
    <n v="190"/>
    <n v="796.84210526315792"/>
    <x v="8"/>
    <x v="0"/>
    <n v="36"/>
    <n v="1"/>
    <n v="74.25"/>
  </r>
  <r>
    <d v="2025-10-01T08:00:00"/>
    <s v="INYECTADO"/>
    <x v="2"/>
    <x v="215"/>
    <s v="ISABEL LINARIZ "/>
    <m/>
    <m/>
    <m/>
    <s v="TAPA ORGANIZADOR DE 15KG"/>
    <s v="TAPA ORGANIZADOR DE 15KG-AZUL"/>
    <n v="252"/>
    <n v="2"/>
    <n v="42.8"/>
    <x v="1"/>
    <m/>
    <n v="5"/>
    <m/>
    <n v="21989"/>
    <s v="AZUL"/>
    <n v="4.0999999999999996"/>
    <n v="0"/>
    <n v="0"/>
    <n v="47.88"/>
    <n v="42.8"/>
    <n v="190"/>
    <n v="225.26315789473685"/>
    <x v="8"/>
    <x v="0"/>
    <n v="36"/>
    <n v="1"/>
    <n v="21"/>
  </r>
  <r>
    <d v="2025-10-01T08:00:00"/>
    <s v="INYECTADO"/>
    <x v="2"/>
    <x v="221"/>
    <s v="ANGIE VALDERRAMA"/>
    <m/>
    <m/>
    <m/>
    <s v="TAPA ORGANIZADOR DE 15KG"/>
    <s v="TAPA ORGANIZADOR DE 15KG-AZUL"/>
    <n v="709"/>
    <n v="8"/>
    <n v="122.6"/>
    <x v="0"/>
    <m/>
    <n v="12"/>
    <m/>
    <n v="21990"/>
    <s v="AZUL"/>
    <n v="4.2"/>
    <n v="0"/>
    <n v="0"/>
    <n v="134.71"/>
    <n v="122.6"/>
    <n v="190"/>
    <n v="645.26315789473688"/>
    <x v="8"/>
    <x v="0"/>
    <n v="36"/>
    <n v="1"/>
    <n v="59.083333333333336"/>
  </r>
  <r>
    <d v="2025-10-01T08:00:00"/>
    <s v="INYECTADO"/>
    <x v="2"/>
    <x v="221"/>
    <s v="ANGIE VALDERRAMA"/>
    <m/>
    <m/>
    <m/>
    <s v="TAPA ORGANIZADOR DE 15KG"/>
    <s v="TAPA ORGANIZADOR DE 15KG-ROJO"/>
    <n v="360"/>
    <n v="3"/>
    <n v="62.2"/>
    <x v="0"/>
    <m/>
    <n v="6"/>
    <m/>
    <n v="21990"/>
    <s v="ROJO"/>
    <n v="1.1000000000000001"/>
    <n v="0"/>
    <n v="0"/>
    <n v="68.400000000000006"/>
    <n v="62.2"/>
    <n v="190"/>
    <n v="327.36842105263156"/>
    <x v="8"/>
    <x v="0"/>
    <n v="36"/>
    <n v="1"/>
    <n v="30"/>
  </r>
  <r>
    <d v="2025-10-01T08:00:00"/>
    <s v="INYECTADO"/>
    <x v="2"/>
    <x v="221"/>
    <s v="JUAN MANUEL "/>
    <m/>
    <m/>
    <m/>
    <s v="TAPA ORGANIZADOR DE 15KG"/>
    <s v="TAPA ORGANIZADOR DE 15KG-TURQUESA"/>
    <n v="540"/>
    <n v="5"/>
    <n v="93.4"/>
    <x v="1"/>
    <m/>
    <n v="9"/>
    <m/>
    <n v="21991"/>
    <s v="TURQUESA"/>
    <n v="0"/>
    <n v="0"/>
    <n v="0"/>
    <n v="102.6"/>
    <n v="93.4"/>
    <n v="190"/>
    <n v="491.57894736842104"/>
    <x v="8"/>
    <x v="0"/>
    <n v="36"/>
    <n v="1"/>
    <n v="45"/>
  </r>
  <r>
    <d v="2025-10-01T08:00:00"/>
    <s v="INYECTADO"/>
    <x v="2"/>
    <x v="221"/>
    <s v="JUAN MANUEL "/>
    <m/>
    <m/>
    <m/>
    <s v="TAPA ORGANIZADOR DE 15KG"/>
    <s v="TAPA ORGANIZADOR DE 15KG-ROJO"/>
    <n v="660"/>
    <n v="6"/>
    <n v="114.1"/>
    <x v="1"/>
    <m/>
    <n v="11"/>
    <m/>
    <n v="21991"/>
    <s v="ROJO"/>
    <n v="0"/>
    <n v="0"/>
    <n v="0"/>
    <n v="125.4"/>
    <n v="114.1"/>
    <n v="190"/>
    <n v="600.52631578947364"/>
    <x v="8"/>
    <x v="0"/>
    <n v="36"/>
    <n v="1"/>
    <n v="55"/>
  </r>
  <r>
    <d v="2025-10-01T08:00:00"/>
    <s v="INYECTADO"/>
    <x v="2"/>
    <x v="216"/>
    <s v="MARJORIE VILCHEZ"/>
    <m/>
    <m/>
    <m/>
    <s v="TAPA ORGANIZADOR DE 15KG"/>
    <s v="TAPA ORGANIZADOR DE 15KG-TURQUESA"/>
    <n v="420"/>
    <n v="5"/>
    <n v="72.599999999999994"/>
    <x v="0"/>
    <m/>
    <n v="7"/>
    <m/>
    <n v="21992"/>
    <s v="TURQUESA"/>
    <n v="7.8"/>
    <n v="0"/>
    <n v="0"/>
    <n v="79.8"/>
    <n v="72.599999999999994"/>
    <n v="190"/>
    <n v="382.10526315789474"/>
    <x v="8"/>
    <x v="0"/>
    <n v="36"/>
    <n v="1"/>
    <n v="35"/>
  </r>
  <r>
    <d v="2025-10-01T08:00:00"/>
    <s v="INYECTADO"/>
    <x v="2"/>
    <x v="216"/>
    <s v="MARJORIE VILCHEZ"/>
    <m/>
    <m/>
    <m/>
    <s v="TAPA ORGANIZADOR DE 15KG"/>
    <s v="TAPA ORGANIZADOR DE 15KG-AMARILLO"/>
    <n v="674"/>
    <n v="6"/>
    <n v="116.6"/>
    <x v="0"/>
    <m/>
    <n v="10"/>
    <m/>
    <n v="21992"/>
    <s v="AMARILLO"/>
    <n v="3.8"/>
    <n v="0"/>
    <n v="0"/>
    <n v="128.06"/>
    <n v="116.6"/>
    <n v="190"/>
    <n v="613.68421052631584"/>
    <x v="8"/>
    <x v="0"/>
    <n v="36"/>
    <n v="1"/>
    <n v="56.166666666666664"/>
  </r>
  <r>
    <d v="2025-10-01T08:00:00"/>
    <s v="INYECTADO"/>
    <x v="2"/>
    <x v="216"/>
    <s v="ISABEL LINARIZ "/>
    <m/>
    <m/>
    <m/>
    <s v="TAPA ORGANIZADOR DE 15KG"/>
    <s v="TAPA ORGANIZADOR DE 15KG-AMARILLO"/>
    <n v="289"/>
    <n v="3"/>
    <n v="49.9"/>
    <x v="1"/>
    <m/>
    <n v="5"/>
    <m/>
    <n v="21993"/>
    <s v="AMARILLO"/>
    <n v="4.8"/>
    <n v="0"/>
    <n v="0"/>
    <n v="54.91"/>
    <n v="49.9"/>
    <n v="190"/>
    <n v="262.63157894736844"/>
    <x v="8"/>
    <x v="0"/>
    <n v="36"/>
    <n v="1"/>
    <n v="24.083333333333332"/>
  </r>
  <r>
    <d v="2025-10-01T08:00:00"/>
    <s v="INYECTADO"/>
    <x v="2"/>
    <x v="216"/>
    <s v="ISABEL LINARIZ "/>
    <m/>
    <m/>
    <m/>
    <s v="TAPA ORGANIZADOR DE 15KG"/>
    <s v="TAPA ORGANIZADOR DE 15KG-FUCSIA"/>
    <n v="964"/>
    <n v="8"/>
    <n v="166.7"/>
    <x v="1"/>
    <m/>
    <n v="16"/>
    <m/>
    <n v="21993"/>
    <s v="FUCSIA"/>
    <n v="3.2"/>
    <n v="0"/>
    <n v="0"/>
    <n v="183.16"/>
    <n v="166.7"/>
    <n v="190"/>
    <n v="877.36842105263156"/>
    <x v="8"/>
    <x v="0"/>
    <n v="36"/>
    <n v="1"/>
    <n v="80.333333333333329"/>
  </r>
  <r>
    <d v="2025-10-01T08:00:00"/>
    <s v="INYECTADO"/>
    <x v="2"/>
    <x v="219"/>
    <s v="NELSON PINEDO"/>
    <m/>
    <m/>
    <m/>
    <s v="LAVACUELA REDONDO"/>
    <s v="LAVACUELA REDONDO-CREMA"/>
    <n v="406"/>
    <n v="4"/>
    <n v="39.299999999999997"/>
    <x v="0"/>
    <m/>
    <n v="4"/>
    <m/>
    <n v="21994"/>
    <s v="CREMA"/>
    <n v="0"/>
    <n v="0"/>
    <n v="0"/>
    <n v="37.555"/>
    <n v="39.299999999999997"/>
    <n v="92.5"/>
    <n v="424.86486486486484"/>
    <x v="8"/>
    <x v="0"/>
    <n v="37"/>
    <n v="1"/>
    <n v="33.833333333333336"/>
  </r>
  <r>
    <d v="2025-10-01T08:00:00"/>
    <s v="INYECTADO"/>
    <x v="2"/>
    <x v="201"/>
    <s v="NELSON PINEDO"/>
    <m/>
    <m/>
    <m/>
    <s v="LAVACUELA REDONDO"/>
    <s v="LAVACUELA REDONDO-CREMA"/>
    <n v="1336"/>
    <n v="11"/>
    <n v="129.1"/>
    <x v="0"/>
    <m/>
    <n v="12"/>
    <m/>
    <n v="21995"/>
    <s v="CREMA"/>
    <n v="1.1000000000000001"/>
    <n v="0"/>
    <n v="0"/>
    <n v="123.58"/>
    <n v="129.1"/>
    <n v="92.5"/>
    <n v="1395.6756756756756"/>
    <x v="8"/>
    <x v="0"/>
    <n v="37"/>
    <n v="1"/>
    <n v="111.33333333333333"/>
  </r>
  <r>
    <d v="2025-10-01T08:00:00"/>
    <s v="INYECTADO"/>
    <x v="2"/>
    <x v="201"/>
    <s v="ISABEL LINARIZ "/>
    <m/>
    <m/>
    <m/>
    <s v="LAVACUELA REDONDO"/>
    <s v="LAVACUELA REDONDO-CREMA"/>
    <n v="108"/>
    <n v="1"/>
    <n v="10.5"/>
    <x v="1"/>
    <m/>
    <n v="1"/>
    <m/>
    <n v="21996"/>
    <s v="CREMA"/>
    <n v="3"/>
    <n v="0"/>
    <n v="0"/>
    <n v="9.99"/>
    <n v="10.5"/>
    <n v="92.5"/>
    <n v="113.51351351351352"/>
    <x v="8"/>
    <x v="0"/>
    <n v="37"/>
    <n v="1"/>
    <n v="9"/>
  </r>
  <r>
    <d v="2025-10-01T08:00:00"/>
    <s v="INYECTADO"/>
    <x v="2"/>
    <x v="201"/>
    <s v="ISABEL LINARIZ "/>
    <m/>
    <m/>
    <m/>
    <s v="LAVACUELA REDONDO"/>
    <s v="LAVACUELA REDONDO-VERDE"/>
    <n v="1266"/>
    <n v="11"/>
    <n v="122.3"/>
    <x v="1"/>
    <m/>
    <n v="11"/>
    <m/>
    <n v="21996"/>
    <s v="VERDE"/>
    <n v="1"/>
    <n v="0"/>
    <n v="0"/>
    <n v="117.105"/>
    <n v="122.3"/>
    <n v="92.5"/>
    <n v="1322.1621621621621"/>
    <x v="8"/>
    <x v="0"/>
    <n v="37"/>
    <n v="1"/>
    <n v="105.5"/>
  </r>
  <r>
    <d v="2025-10-01T08:00:00"/>
    <s v="INYECTADO"/>
    <x v="2"/>
    <x v="222"/>
    <s v="CRISALIDA ZAPATA"/>
    <m/>
    <m/>
    <m/>
    <s v="LAVACUELA REDONDO"/>
    <s v="LAVACUELA REDONDO-VERDE"/>
    <n v="545"/>
    <n v="5"/>
    <n v="53.2"/>
    <x v="0"/>
    <m/>
    <n v="5"/>
    <m/>
    <n v="21997"/>
    <s v="VERDE"/>
    <n v="5.0999999999999996"/>
    <n v="0"/>
    <n v="0"/>
    <n v="50.412500000000001"/>
    <n v="53.2"/>
    <n v="92.5"/>
    <n v="575.1351351351351"/>
    <x v="8"/>
    <x v="0"/>
    <n v="37"/>
    <n v="1"/>
    <n v="45.416666666666664"/>
  </r>
  <r>
    <d v="2025-10-01T08:00:00"/>
    <s v="INYECTADO"/>
    <x v="2"/>
    <x v="222"/>
    <s v="CRISALIDA ZAPATA"/>
    <m/>
    <m/>
    <m/>
    <s v="LAVACUELA REDONDO"/>
    <s v="LAVACUELA REDONDO-TURQUESA"/>
    <n v="675"/>
    <n v="6"/>
    <n v="65.900000000000006"/>
    <x v="0"/>
    <m/>
    <n v="6"/>
    <m/>
    <n v="21997"/>
    <s v="TURQUESA"/>
    <n v="1.8"/>
    <n v="0"/>
    <n v="0"/>
    <n v="62.4375"/>
    <n v="65.900000000000006"/>
    <n v="92.5"/>
    <n v="712.43243243243239"/>
    <x v="8"/>
    <x v="0"/>
    <n v="37"/>
    <n v="1"/>
    <n v="56.25"/>
  </r>
  <r>
    <d v="2025-10-01T08:00:00"/>
    <s v="INYECTADO"/>
    <x v="2"/>
    <x v="222"/>
    <s v="JOSDER GONZALEZ"/>
    <m/>
    <m/>
    <m/>
    <s v="LAVACUELA REDONDO"/>
    <s v="LAVACUELA REDONDO-TURQUESA"/>
    <n v="1112"/>
    <n v="9"/>
    <n v="108.5"/>
    <x v="1"/>
    <m/>
    <n v="10"/>
    <m/>
    <n v="21998"/>
    <s v="TURQUESA"/>
    <n v="5.0999999999999996"/>
    <n v="0"/>
    <n v="0"/>
    <n v="102.86"/>
    <n v="108.5"/>
    <n v="92.5"/>
    <n v="1172.9729729729729"/>
    <x v="8"/>
    <x v="0"/>
    <n v="37"/>
    <n v="1"/>
    <n v="92.666666666666671"/>
  </r>
  <r>
    <d v="2025-10-01T08:00:00"/>
    <s v="INYECTADO"/>
    <x v="2"/>
    <x v="222"/>
    <s v="JOSDER GONZALEZ"/>
    <m/>
    <m/>
    <m/>
    <s v="LAVACUELA REDONDO"/>
    <s v="LAVACUELA REDONDO-MELON"/>
    <n v="218"/>
    <n v="2"/>
    <n v="21.3"/>
    <x v="1"/>
    <m/>
    <n v="1"/>
    <m/>
    <n v="21998"/>
    <s v="MELON"/>
    <n v="0"/>
    <n v="0"/>
    <n v="0"/>
    <n v="20.164999999999999"/>
    <n v="21.3"/>
    <n v="92.5"/>
    <n v="230.27027027027026"/>
    <x v="8"/>
    <x v="0"/>
    <n v="37"/>
    <n v="1"/>
    <n v="18.166666666666668"/>
  </r>
  <r>
    <d v="2025-10-01T08:00:00"/>
    <s v="INYECTADO"/>
    <x v="2"/>
    <x v="223"/>
    <s v="CRISALIDA ZAPATA"/>
    <m/>
    <m/>
    <m/>
    <s v="LAVACUELA REDONDO"/>
    <s v="LAVACUELA REDONDO-MELON"/>
    <n v="1218"/>
    <n v="11"/>
    <n v="118.8"/>
    <x v="0"/>
    <m/>
    <n v="12"/>
    <m/>
    <n v="21999"/>
    <s v="MELON"/>
    <n v="6.7"/>
    <n v="0"/>
    <n v="0"/>
    <n v="112.66500000000001"/>
    <n v="118.8"/>
    <n v="92.5"/>
    <n v="1284.3243243243244"/>
    <x v="8"/>
    <x v="0"/>
    <n v="37"/>
    <n v="1"/>
    <n v="101.5"/>
  </r>
  <r>
    <d v="2025-10-01T08:00:00"/>
    <s v="INYECTADO"/>
    <x v="2"/>
    <x v="223"/>
    <s v="JUAN MANUEL "/>
    <m/>
    <m/>
    <m/>
    <s v="LAVACUELA REDONDO"/>
    <s v="LAVACUELA REDONDO-MELON"/>
    <n v="344"/>
    <n v="3"/>
    <n v="33.6"/>
    <x v="1"/>
    <m/>
    <n v="3"/>
    <m/>
    <n v="22000"/>
    <s v="MELON"/>
    <n v="0"/>
    <n v="0"/>
    <n v="0"/>
    <n v="31.82"/>
    <n v="33.6"/>
    <n v="92.5"/>
    <n v="363.24324324324323"/>
    <x v="8"/>
    <x v="0"/>
    <n v="37"/>
    <n v="1"/>
    <n v="28.666666666666668"/>
  </r>
  <r>
    <d v="2025-10-01T08:00:00"/>
    <s v="INYECTADO"/>
    <x v="2"/>
    <x v="223"/>
    <s v="JUAN MANUEL "/>
    <m/>
    <m/>
    <m/>
    <s v="LAVACUELA REDONDO"/>
    <s v="LAVACUELA REDONDO-ROSADO"/>
    <n v="832"/>
    <n v="8"/>
    <n v="81.2"/>
    <x v="1"/>
    <m/>
    <n v="7"/>
    <m/>
    <n v="22000"/>
    <s v="ROSADO"/>
    <n v="0"/>
    <n v="0"/>
    <n v="0"/>
    <n v="76.959999999999994"/>
    <n v="81.2"/>
    <n v="92.5"/>
    <n v="877.83783783783781"/>
    <x v="8"/>
    <x v="0"/>
    <n v="37"/>
    <n v="1"/>
    <n v="69.333333333333329"/>
  </r>
  <r>
    <d v="2025-10-01T08:00:00"/>
    <s v="INYECTADO"/>
    <x v="2"/>
    <x v="220"/>
    <s v="CRISALIDA ZAPATA"/>
    <m/>
    <m/>
    <m/>
    <s v="LAVACUELA REDONDO"/>
    <s v="LAVACUELA REDONDO-ROSADO"/>
    <n v="970"/>
    <n v="8"/>
    <n v="94.6"/>
    <x v="0"/>
    <m/>
    <n v="8"/>
    <m/>
    <n v="23101"/>
    <s v="ROSADO"/>
    <n v="1.6"/>
    <n v="0"/>
    <n v="0"/>
    <n v="89.724999999999994"/>
    <n v="94.6"/>
    <n v="92.5"/>
    <n v="1022.7027027027027"/>
    <x v="8"/>
    <x v="0"/>
    <n v="37"/>
    <n v="1"/>
    <n v="80.833333333333329"/>
  </r>
  <r>
    <d v="2025-10-01T08:00:00"/>
    <s v="INYECTADO"/>
    <x v="2"/>
    <x v="220"/>
    <s v="MARJORIE VILCHEZ"/>
    <m/>
    <m/>
    <m/>
    <s v="LAVACUELA REDONDO"/>
    <s v="LAVACUELA REDONDO-LILA"/>
    <n v="379"/>
    <n v="3"/>
    <n v="37"/>
    <x v="0"/>
    <m/>
    <n v="4"/>
    <m/>
    <n v="23101"/>
    <s v="LILA"/>
    <n v="0.8"/>
    <n v="0"/>
    <n v="0"/>
    <n v="35.057499999999997"/>
    <n v="37"/>
    <n v="92.5"/>
    <n v="400"/>
    <x v="8"/>
    <x v="0"/>
    <n v="37"/>
    <n v="1"/>
    <n v="31.583333333333332"/>
  </r>
  <r>
    <d v="2025-10-01T08:00:00"/>
    <s v="INYECTADO"/>
    <x v="2"/>
    <x v="220"/>
    <s v="JOSDER GONZALEZ"/>
    <m/>
    <m/>
    <m/>
    <s v="LAVACUELA REDONDO"/>
    <s v="LAVACUELA REDONDO-LILA PASTEL"/>
    <n v="1326"/>
    <n v="12"/>
    <n v="129.30000000000001"/>
    <x v="1"/>
    <m/>
    <n v="12"/>
    <m/>
    <n v="23102"/>
    <s v="LILA"/>
    <n v="10"/>
    <n v="0"/>
    <n v="0"/>
    <e v="#N/A"/>
    <n v="129.30000000000001"/>
    <e v="#N/A"/>
    <n v="0"/>
    <x v="8"/>
    <x v="0"/>
    <n v="37"/>
    <e v="#N/A"/>
    <e v="#N/A"/>
  </r>
  <r>
    <d v="2025-10-01T08:00:00"/>
    <s v="INYECTADO"/>
    <x v="2"/>
    <x v="224"/>
    <s v="CRISALIDA ZAPATA"/>
    <m/>
    <m/>
    <m/>
    <s v="LAVACUELA REDONDO"/>
    <s v="LAVACUELA REDONDO-LILA"/>
    <n v="85"/>
    <n v="1"/>
    <n v="8.3000000000000007"/>
    <x v="0"/>
    <m/>
    <n v="1"/>
    <m/>
    <n v="23103"/>
    <s v="LILA"/>
    <n v="1.1000000000000001"/>
    <n v="0"/>
    <n v="0"/>
    <n v="7.8624999999999998"/>
    <n v="8.3000000000000007"/>
    <n v="92.5"/>
    <n v="89.729729729729726"/>
    <x v="8"/>
    <x v="0"/>
    <n v="37"/>
    <n v="1"/>
    <n v="7.083333333333333"/>
  </r>
  <r>
    <d v="2025-10-01T08:00:00"/>
    <s v="INYECTADO"/>
    <x v="2"/>
    <x v="224"/>
    <s v="CARLOS SULCA"/>
    <m/>
    <m/>
    <m/>
    <s v="TAPA DE PORTA YOGURT"/>
    <s v="TAPA DE PORTA YOGURT-TRANSPARENTE"/>
    <n v="300"/>
    <n v="3"/>
    <n v="20.7"/>
    <x v="0"/>
    <m/>
    <n v="3"/>
    <m/>
    <n v="23103"/>
    <s v="TRANSPARENTE"/>
    <n v="2.2999999999999998"/>
    <n v="0"/>
    <n v="0"/>
    <e v="#N/A"/>
    <n v="20.7"/>
    <e v="#N/A"/>
    <n v="0"/>
    <x v="8"/>
    <x v="0"/>
    <n v="37"/>
    <e v="#N/A"/>
    <e v="#N/A"/>
  </r>
  <r>
    <d v="2025-10-01T08:00:00"/>
    <s v="INYECTADO"/>
    <x v="2"/>
    <x v="225"/>
    <s v="CRISALIDA ZAPATA"/>
    <m/>
    <m/>
    <m/>
    <s v="TAPA DE PORTA YOGURT"/>
    <s v="TAPA DE PORTA YOGURT-TRANSPARENTE"/>
    <n v="1102"/>
    <n v="11"/>
    <n v="75"/>
    <x v="0"/>
    <m/>
    <n v="10"/>
    <m/>
    <n v="23104"/>
    <s v="TRANSPARENTE"/>
    <n v="0.4"/>
    <n v="0"/>
    <n v="0"/>
    <e v="#N/A"/>
    <n v="75"/>
    <e v="#N/A"/>
    <n v="0"/>
    <x v="8"/>
    <x v="0"/>
    <n v="38"/>
    <e v="#N/A"/>
    <e v="#N/A"/>
  </r>
  <r>
    <d v="2025-10-01T08:00:00"/>
    <s v="INYECTADO"/>
    <x v="2"/>
    <x v="225"/>
    <s v="JOSDER GONZALEZ"/>
    <m/>
    <m/>
    <m/>
    <s v="TAPA DE PORTA YOGURT"/>
    <s v="TAPA DE PORTA YOGURT-TRANSPARENTE"/>
    <n v="239"/>
    <n v="4"/>
    <n v="16.3"/>
    <x v="1"/>
    <m/>
    <n v="3"/>
    <m/>
    <n v="23105"/>
    <s v="TRANSPARENTE"/>
    <n v="0"/>
    <n v="0"/>
    <n v="0"/>
    <e v="#N/A"/>
    <n v="16.3"/>
    <e v="#N/A"/>
    <n v="0"/>
    <x v="8"/>
    <x v="0"/>
    <n v="38"/>
    <e v="#N/A"/>
    <e v="#N/A"/>
  </r>
  <r>
    <d v="2025-10-01T08:00:00"/>
    <s v="INYECTADO"/>
    <x v="2"/>
    <x v="203"/>
    <s v="CRISALIDA ZAPATA"/>
    <m/>
    <m/>
    <m/>
    <s v="TAPA DE PORTA YOGURT"/>
    <s v="TAPA DE PORTA YOGURT-TRANSPARENTE"/>
    <n v="1064"/>
    <n v="11"/>
    <n v="72.400000000000006"/>
    <x v="0"/>
    <m/>
    <n v="10"/>
    <m/>
    <n v="23106"/>
    <s v="TRANSPARENTE"/>
    <n v="3.9"/>
    <n v="0"/>
    <n v="0"/>
    <e v="#N/A"/>
    <n v="72.400000000000006"/>
    <e v="#N/A"/>
    <n v="0"/>
    <x v="8"/>
    <x v="0"/>
    <n v="38"/>
    <e v="#N/A"/>
    <e v="#N/A"/>
  </r>
  <r>
    <d v="2025-10-01T08:00:00"/>
    <s v="INYECTADO"/>
    <x v="2"/>
    <x v="204"/>
    <s v="LUIS RENGIFO"/>
    <m/>
    <m/>
    <m/>
    <s v="FRUTERO CORONITA"/>
    <s v="FRUTERO CORONA-CREMA"/>
    <n v="771"/>
    <n v="7"/>
    <n v="51.7"/>
    <x v="0"/>
    <m/>
    <n v="4"/>
    <n v="1220"/>
    <n v="23107"/>
    <s v="CREMA"/>
    <n v="0"/>
    <n v="0"/>
    <n v="0"/>
    <n v="52.427999999999997"/>
    <n v="51.7"/>
    <n v="68"/>
    <n v="760.29411764705878"/>
    <x v="8"/>
    <x v="0"/>
    <n v="38"/>
    <n v="1"/>
    <n v="64.25"/>
  </r>
  <r>
    <d v="2025-10-01T08:00:00"/>
    <s v="INYECTADO"/>
    <x v="2"/>
    <x v="204"/>
    <s v="JUAN MANUEL "/>
    <m/>
    <m/>
    <m/>
    <s v="FRUTERO CORONITA"/>
    <s v="FRUTERO CORONA-CREMA"/>
    <n v="720"/>
    <n v="6"/>
    <n v="48.3"/>
    <x v="1"/>
    <m/>
    <n v="4"/>
    <n v="1220"/>
    <n v="23108"/>
    <s v="CREMA"/>
    <n v="0"/>
    <n v="0"/>
    <n v="0"/>
    <n v="48.96"/>
    <n v="48.3"/>
    <n v="68"/>
    <n v="710.29411764705878"/>
    <x v="8"/>
    <x v="0"/>
    <n v="38"/>
    <n v="1"/>
    <n v="60"/>
  </r>
  <r>
    <d v="2025-10-01T08:00:00"/>
    <s v="INYECTADO"/>
    <x v="2"/>
    <x v="204"/>
    <s v="JUAN MANUEL "/>
    <m/>
    <m/>
    <m/>
    <s v="FRUTERO CORONITA"/>
    <s v="FRUTERO CORONA-VERDE"/>
    <n v="491"/>
    <n v="5"/>
    <n v="32.9"/>
    <x v="1"/>
    <m/>
    <n v="2"/>
    <n v="1220"/>
    <n v="23108"/>
    <s v="VERDE"/>
    <n v="0"/>
    <n v="0"/>
    <n v="0"/>
    <n v="33.387999999999998"/>
    <n v="32.9"/>
    <n v="68"/>
    <n v="483.8235294117647"/>
    <x v="8"/>
    <x v="0"/>
    <n v="38"/>
    <n v="1"/>
    <n v="40.916666666666664"/>
  </r>
  <r>
    <d v="2025-10-01T08:00:00"/>
    <s v="INYECTADO"/>
    <x v="2"/>
    <x v="205"/>
    <s v="MARJORIE VILCHEZ"/>
    <m/>
    <m/>
    <m/>
    <s v="FRUTERO CORONITA"/>
    <s v="FRUTERO CORONA-VERDE"/>
    <n v="1037"/>
    <n v="8"/>
    <n v="69.5"/>
    <x v="0"/>
    <m/>
    <n v="6"/>
    <n v="1220"/>
    <n v="23109"/>
    <s v="VERDE"/>
    <n v="0"/>
    <n v="0"/>
    <n v="0"/>
    <n v="70.516000000000005"/>
    <n v="69.5"/>
    <n v="68"/>
    <n v="1022.0588235294117"/>
    <x v="8"/>
    <x v="0"/>
    <n v="38"/>
    <n v="1"/>
    <n v="86.416666666666671"/>
  </r>
  <r>
    <d v="2025-10-01T08:00:00"/>
    <s v="INYECTADO"/>
    <x v="2"/>
    <x v="205"/>
    <s v="MARJORIE VILCHEZ"/>
    <m/>
    <m/>
    <m/>
    <s v="FRUTERO CORONITA"/>
    <s v="FRUTERO CORONA-TURQUESA"/>
    <n v="441"/>
    <n v="3"/>
    <n v="30"/>
    <x v="0"/>
    <m/>
    <n v="2"/>
    <n v="1220"/>
    <n v="23109"/>
    <s v="TURQUESA"/>
    <n v="1.2"/>
    <n v="0"/>
    <n v="0"/>
    <n v="29.988"/>
    <n v="30"/>
    <n v="68"/>
    <n v="441.1764705882353"/>
    <x v="8"/>
    <x v="0"/>
    <n v="38"/>
    <n v="1"/>
    <n v="36.75"/>
  </r>
  <r>
    <d v="2025-10-01T08:00:00"/>
    <s v="INYECTADO"/>
    <x v="2"/>
    <x v="205"/>
    <s v="ISABEL LINARIZ "/>
    <m/>
    <m/>
    <m/>
    <s v="FRUTERO CORONITA"/>
    <s v="FRUTERO CORONA-TURQUESA"/>
    <n v="317"/>
    <n v="3"/>
    <n v="21.3"/>
    <x v="1"/>
    <m/>
    <n v="2"/>
    <n v="1220"/>
    <n v="23110"/>
    <s v="TURQUESA"/>
    <n v="0"/>
    <n v="0"/>
    <n v="0"/>
    <n v="21.556000000000001"/>
    <n v="21.3"/>
    <n v="68"/>
    <n v="313.23529411764707"/>
    <x v="8"/>
    <x v="0"/>
    <n v="38"/>
    <n v="1"/>
    <n v="26.416666666666668"/>
  </r>
  <r>
    <d v="2025-10-01T08:00:00"/>
    <s v="INYECTADO"/>
    <x v="2"/>
    <x v="206"/>
    <s v="MARJORIE VILCHEZ"/>
    <m/>
    <m/>
    <m/>
    <s v="FRUTERO CORONITA"/>
    <s v="FRUTERO CORONA-TURQUESA"/>
    <n v="742"/>
    <n v="7"/>
    <n v="50.5"/>
    <x v="0"/>
    <m/>
    <n v="5"/>
    <n v="1220"/>
    <n v="23111"/>
    <s v="TURQUESA"/>
    <n v="3"/>
    <n v="0"/>
    <n v="0"/>
    <n v="50.456000000000003"/>
    <n v="50.5"/>
    <n v="68"/>
    <n v="742.64705882352939"/>
    <x v="8"/>
    <x v="0"/>
    <n v="38"/>
    <n v="1"/>
    <n v="61.833333333333336"/>
  </r>
  <r>
    <d v="2025-10-01T08:00:00"/>
    <s v="INYECTADO"/>
    <x v="2"/>
    <x v="206"/>
    <s v="MARJORIE VILCHEZ"/>
    <m/>
    <m/>
    <m/>
    <s v="FRUTERO CORONITA"/>
    <s v="FRUTERO CORONA-MELON"/>
    <n v="479"/>
    <n v="4"/>
    <n v="32.6"/>
    <x v="0"/>
    <m/>
    <n v="3"/>
    <n v="1220"/>
    <n v="23111"/>
    <s v="MELON"/>
    <n v="1"/>
    <n v="0"/>
    <n v="0"/>
    <n v="32.572000000000003"/>
    <n v="32.6"/>
    <n v="68"/>
    <n v="479.41176470588238"/>
    <x v="8"/>
    <x v="0"/>
    <n v="38"/>
    <n v="1"/>
    <n v="39.916666666666664"/>
  </r>
  <r>
    <d v="2025-10-01T08:00:00"/>
    <s v="INYECTADO"/>
    <x v="2"/>
    <x v="206"/>
    <s v="ISABEL LINARIZ "/>
    <m/>
    <m/>
    <m/>
    <s v="FRUTERO CORONITA"/>
    <s v="FRUTERO CORONA-ROSADO"/>
    <n v="479"/>
    <n v="3"/>
    <n v="32.6"/>
    <x v="1"/>
    <m/>
    <n v="2"/>
    <n v="1220"/>
    <n v="23112"/>
    <s v="ROSADO"/>
    <n v="0.6"/>
    <n v="0"/>
    <n v="0"/>
    <n v="32.572000000000003"/>
    <n v="32.6"/>
    <n v="68"/>
    <n v="479.41176470588238"/>
    <x v="8"/>
    <x v="0"/>
    <n v="38"/>
    <n v="1"/>
    <n v="39.916666666666664"/>
  </r>
  <r>
    <d v="2025-10-01T08:00:00"/>
    <s v="INYECTADO"/>
    <x v="2"/>
    <x v="206"/>
    <s v="ISABEL LINARIZ "/>
    <m/>
    <m/>
    <m/>
    <s v="FRUTERO CORONITA"/>
    <s v="FRUTERO CORONA-MELON"/>
    <n v="922"/>
    <n v="8"/>
    <n v="62.7"/>
    <x v="1"/>
    <m/>
    <n v="4"/>
    <n v="1220"/>
    <n v="23112"/>
    <s v="MELON"/>
    <n v="1.9"/>
    <n v="0"/>
    <n v="0"/>
    <n v="62.695999999999998"/>
    <n v="62.7"/>
    <n v="68"/>
    <n v="922.05882352941171"/>
    <x v="8"/>
    <x v="0"/>
    <n v="38"/>
    <n v="1"/>
    <n v="76.833333333333329"/>
  </r>
  <r>
    <d v="2025-10-01T08:00:00"/>
    <s v="INYECTADO"/>
    <x v="2"/>
    <x v="207"/>
    <s v="JUANA CRUCES"/>
    <m/>
    <m/>
    <m/>
    <s v="FRUTERO CORONITA"/>
    <s v="FRUTERO CORONA-ROSADO"/>
    <n v="963"/>
    <n v="9"/>
    <n v="65.5"/>
    <x v="0"/>
    <m/>
    <n v="4"/>
    <n v="1220"/>
    <n v="23113"/>
    <s v="ROSADO"/>
    <n v="2.1"/>
    <n v="0"/>
    <n v="0"/>
    <n v="65.483999999999995"/>
    <n v="65.5"/>
    <n v="68"/>
    <n v="963.23529411764707"/>
    <x v="8"/>
    <x v="0"/>
    <n v="38"/>
    <n v="1"/>
    <n v="80.25"/>
  </r>
  <r>
    <d v="2025-10-01T08:00:00"/>
    <s v="INYECTADO"/>
    <x v="2"/>
    <x v="207"/>
    <s v="JUANA CRUCES"/>
    <m/>
    <m/>
    <m/>
    <s v="FRUTERO CORONITA"/>
    <s v="FRUTERO CORONA-LILA"/>
    <n v="241"/>
    <n v="2"/>
    <n v="16.399999999999999"/>
    <x v="0"/>
    <m/>
    <n v="1"/>
    <n v="1220"/>
    <n v="23113"/>
    <s v="LILA"/>
    <n v="1.2"/>
    <n v="0"/>
    <n v="0"/>
    <n v="16.388000000000002"/>
    <n v="16.399999999999999"/>
    <n v="68"/>
    <n v="241.1764705882353"/>
    <x v="8"/>
    <x v="0"/>
    <n v="38"/>
    <n v="1"/>
    <n v="20.083333333333332"/>
  </r>
  <r>
    <d v="2025-10-01T08:00:00"/>
    <s v="INYECTADO"/>
    <x v="2"/>
    <x v="207"/>
    <s v="JUAN MANUEL "/>
    <m/>
    <m/>
    <m/>
    <s v="FRUTERO CORONITA"/>
    <s v="FRUTERO CORONA-LILA"/>
    <n v="1275"/>
    <n v="11"/>
    <n v="86.7"/>
    <x v="1"/>
    <m/>
    <n v="6"/>
    <n v="1220"/>
    <n v="23114"/>
    <s v="LILA"/>
    <n v="0"/>
    <n v="0"/>
    <n v="0"/>
    <n v="86.7"/>
    <n v="86.7"/>
    <n v="68"/>
    <n v="1275"/>
    <x v="8"/>
    <x v="0"/>
    <n v="38"/>
    <n v="1"/>
    <n v="106.25"/>
  </r>
  <r>
    <d v="2025-10-01T08:00:00"/>
    <s v="INYECTADO"/>
    <x v="2"/>
    <x v="202"/>
    <s v="SIN NOMBRE"/>
    <m/>
    <m/>
    <m/>
    <s v="FRUTERO CORONITA"/>
    <s v="FRUTERO CORONA-LILA"/>
    <n v="130"/>
    <n v="2"/>
    <n v="8.8000000000000007"/>
    <x v="0"/>
    <m/>
    <n v="8"/>
    <n v="1220"/>
    <n v="23115"/>
    <s v="LILA"/>
    <n v="0"/>
    <n v="0"/>
    <n v="0"/>
    <n v="8.84"/>
    <n v="8.8000000000000007"/>
    <n v="68"/>
    <n v="129.41176470588235"/>
    <x v="8"/>
    <x v="0"/>
    <n v="39"/>
    <n v="1"/>
    <n v="10.833333333333334"/>
  </r>
  <r>
    <d v="2025-10-01T08:00:00"/>
    <s v="INYECTADO"/>
    <x v="2"/>
    <x v="209"/>
    <s v="BRAYAN PINEDO"/>
    <m/>
    <m/>
    <m/>
    <s v="REPOSTERO REAL 4 KG"/>
    <s v="REPOSTERO 4KG-TRANSPARENTE"/>
    <n v="346"/>
    <n v="4"/>
    <n v="48.9"/>
    <x v="0"/>
    <m/>
    <n v="6"/>
    <m/>
    <n v="23116"/>
    <s v="TRANSPARENTE"/>
    <n v="9.1"/>
    <n v="0"/>
    <n v="0"/>
    <n v="48.786000000000001"/>
    <n v="48.9"/>
    <n v="141"/>
    <n v="346.80851063829789"/>
    <x v="8"/>
    <x v="0"/>
    <n v="39"/>
    <n v="1"/>
    <n v="28.833333333333332"/>
  </r>
  <r>
    <d v="2025-10-01T08:00:00"/>
    <s v="INYECTADO"/>
    <x v="2"/>
    <x v="209"/>
    <s v="JUAN MANUEL "/>
    <m/>
    <m/>
    <m/>
    <s v="REPOSTERO REAL 4 KG"/>
    <s v="REPOSTERO 4KG-TRANSPARENTE"/>
    <n v="1283"/>
    <n v="12"/>
    <n v="181"/>
    <x v="1"/>
    <m/>
    <n v="22"/>
    <m/>
    <n v="23117"/>
    <s v="TRANSPARENTE"/>
    <n v="0"/>
    <n v="0"/>
    <n v="0"/>
    <n v="180.90299999999999"/>
    <n v="181"/>
    <n v="141"/>
    <n v="1283.6879432624114"/>
    <x v="8"/>
    <x v="0"/>
    <n v="39"/>
    <n v="1"/>
    <n v="106.91666666666667"/>
  </r>
  <r>
    <d v="2025-10-01T08:00:00"/>
    <s v="INYECTADO"/>
    <x v="2"/>
    <x v="210"/>
    <s v="SAID VILLAMIZAR"/>
    <m/>
    <m/>
    <m/>
    <s v="REPOSTERO REAL 4 KG"/>
    <s v="REPOSTERO 4KG-TRANSPARENTE"/>
    <n v="1250"/>
    <n v="11"/>
    <n v="181.4"/>
    <x v="0"/>
    <m/>
    <n v="22"/>
    <m/>
    <n v="23118"/>
    <s v="TRANSPARENTE"/>
    <n v="0"/>
    <n v="0"/>
    <n v="0"/>
    <n v="176.25"/>
    <n v="181.4"/>
    <n v="141"/>
    <n v="1286.5248226950355"/>
    <x v="8"/>
    <x v="0"/>
    <n v="39"/>
    <n v="1"/>
    <n v="104.16666666666667"/>
  </r>
  <r>
    <d v="2025-10-01T08:00:00"/>
    <s v="INYECTADO"/>
    <x v="2"/>
    <x v="227"/>
    <s v="LUIS RENGIFO"/>
    <m/>
    <m/>
    <m/>
    <s v="REPOSTERO REAL 4 KG"/>
    <s v="REPOSTERO 4KG-TRANSPARENTE"/>
    <n v="1150"/>
    <n v="11"/>
    <n v="160"/>
    <x v="0"/>
    <m/>
    <n v="19"/>
    <n v="1228"/>
    <n v="23119"/>
    <s v="TRANSPARENTE"/>
    <n v="2.8"/>
    <n v="0"/>
    <n v="0"/>
    <n v="162.15"/>
    <n v="160"/>
    <n v="141"/>
    <n v="1134.7517730496454"/>
    <x v="8"/>
    <x v="0"/>
    <n v="39"/>
    <n v="1"/>
    <n v="95.833333333333329"/>
  </r>
  <r>
    <d v="2025-10-01T08:00:00"/>
    <s v="INYECTADO"/>
    <x v="2"/>
    <x v="226"/>
    <s v="ANGIE VALDERRAMA"/>
    <m/>
    <m/>
    <m/>
    <s v="REPOSTERO REAL 4 KG"/>
    <s v="REPOSTERO 4KG-TRANSPARENTE"/>
    <n v="989"/>
    <n v="10"/>
    <n v="127.5"/>
    <x v="0"/>
    <m/>
    <n v="15"/>
    <n v="1228"/>
    <n v="23120"/>
    <s v="TRANSPARENTE"/>
    <n v="2.2000000000000002"/>
    <n v="0"/>
    <n v="0"/>
    <n v="139.44900000000001"/>
    <n v="127.5"/>
    <n v="141"/>
    <n v="904.25531914893622"/>
    <x v="8"/>
    <x v="0"/>
    <n v="39"/>
    <n v="1"/>
    <n v="82.416666666666671"/>
  </r>
  <r>
    <d v="2025-10-01T08:00:00"/>
    <s v="INYECTADO"/>
    <x v="2"/>
    <x v="226"/>
    <s v="JOSDER GONZALEZ"/>
    <m/>
    <m/>
    <m/>
    <s v="REPOSTERO REAL 4 KG"/>
    <s v="REPOSTERO 4KG-TRANSPARENTE"/>
    <n v="251"/>
    <n v="3"/>
    <n v="127.5"/>
    <x v="1"/>
    <m/>
    <n v="5"/>
    <n v="1228"/>
    <n v="23121"/>
    <s v="TRANSPARENTE"/>
    <n v="1.5"/>
    <n v="0"/>
    <n v="0"/>
    <n v="35.390999999999998"/>
    <n v="127.5"/>
    <n v="141"/>
    <n v="904.25531914893622"/>
    <x v="8"/>
    <x v="0"/>
    <n v="39"/>
    <n v="1"/>
    <n v="20.916666666666668"/>
  </r>
  <r>
    <d v="2025-10-01T08:00:00"/>
    <s v="INYECTADO"/>
    <x v="2"/>
    <x v="228"/>
    <s v="JUAN MANUEL "/>
    <m/>
    <m/>
    <m/>
    <s v="REPOSTERO REAL 4 KG"/>
    <s v="REPOSTERO 4KG-TRANSPARENTE"/>
    <n v="1235"/>
    <n v="11"/>
    <n v="131"/>
    <x v="1"/>
    <m/>
    <n v="16"/>
    <n v="1228"/>
    <n v="23122"/>
    <s v="TRANSPARENTE"/>
    <n v="0"/>
    <n v="0"/>
    <n v="0"/>
    <n v="174.13499999999999"/>
    <n v="131"/>
    <n v="141"/>
    <n v="929.07801418439715"/>
    <x v="8"/>
    <x v="0"/>
    <n v="39"/>
    <n v="1"/>
    <n v="102.91666666666667"/>
  </r>
  <r>
    <d v="2025-10-01T08:00:00"/>
    <s v="INYECTADO"/>
    <x v="2"/>
    <x v="211"/>
    <s v="NELSON PINEDO"/>
    <m/>
    <m/>
    <m/>
    <s v="REPOSTERO REAL 4 KG"/>
    <s v="REPOSTERO 4KG-TRANSPARENTE"/>
    <n v="1301"/>
    <n v="11"/>
    <n v="182.2"/>
    <x v="0"/>
    <m/>
    <n v="22"/>
    <n v="1228"/>
    <n v="23123"/>
    <s v="TRANSPARENTE"/>
    <n v="0"/>
    <n v="0"/>
    <n v="0"/>
    <n v="183.441"/>
    <n v="182.2"/>
    <n v="141"/>
    <n v="1292.1985815602836"/>
    <x v="8"/>
    <x v="0"/>
    <n v="40"/>
    <n v="1"/>
    <n v="108.41666666666667"/>
  </r>
  <r>
    <d v="2025-10-01T08:00:00"/>
    <s v="INYECTADO"/>
    <x v="2"/>
    <x v="211"/>
    <s v="JOSDER GONZALEZ"/>
    <m/>
    <m/>
    <m/>
    <s v="REPOSTERO REAL 4 KG"/>
    <s v="REPOSTERO 4KG-TRANSPARENTE"/>
    <n v="140"/>
    <n v="2"/>
    <n v="19.600000000000001"/>
    <x v="1"/>
    <m/>
    <n v="3"/>
    <n v="1228"/>
    <n v="23124"/>
    <s v="TRANSPARENTE"/>
    <n v="0"/>
    <n v="0"/>
    <n v="0"/>
    <n v="19.739999999999998"/>
    <n v="19.600000000000001"/>
    <n v="141"/>
    <n v="139.00709219858157"/>
    <x v="8"/>
    <x v="0"/>
    <n v="40"/>
    <n v="1"/>
    <n v="11.666666666666666"/>
  </r>
  <r>
    <d v="2025-10-01T08:00:00"/>
    <s v="INYECTADO"/>
    <x v="2"/>
    <x v="212"/>
    <s v="ROSA MERINO"/>
    <m/>
    <m/>
    <m/>
    <s v="TAPA REPOSTEROS"/>
    <s v="TAPA REPOSTEROS-AMARILLO"/>
    <n v="505"/>
    <n v="4"/>
    <n v="55.1"/>
    <x v="0"/>
    <m/>
    <n v="6"/>
    <m/>
    <n v="23125"/>
    <s v="AMARILLO"/>
    <n v="8.3000000000000007"/>
    <n v="0"/>
    <n v="0"/>
    <n v="27.27"/>
    <n v="55.1"/>
    <n v="54"/>
    <n v="1020.3703703703703"/>
    <x v="8"/>
    <x v="0"/>
    <n v="40"/>
    <n v="2"/>
    <n v="84.166666666666671"/>
  </r>
  <r>
    <d v="2025-10-01T08:00:00"/>
    <s v="INYECTADO"/>
    <x v="2"/>
    <x v="212"/>
    <s v="ROSA MERINO"/>
    <m/>
    <m/>
    <m/>
    <s v="TAPA REPOSTEROS"/>
    <s v="TAPA REPOSTEROS-VERDE"/>
    <n v="351"/>
    <n v="3"/>
    <n v="38.299999999999997"/>
    <x v="0"/>
    <m/>
    <n v="4"/>
    <m/>
    <n v="23125"/>
    <s v="VERDE"/>
    <n v="3.2"/>
    <n v="0"/>
    <n v="0"/>
    <n v="18.954000000000001"/>
    <n v="38.299999999999997"/>
    <n v="54"/>
    <n v="709.25925925925924"/>
    <x v="8"/>
    <x v="0"/>
    <n v="40"/>
    <n v="2"/>
    <n v="58.5"/>
  </r>
  <r>
    <d v="2025-10-01T08:00:00"/>
    <s v="INYECTADO"/>
    <x v="2"/>
    <x v="212"/>
    <s v="JUAN MANUEL "/>
    <m/>
    <m/>
    <m/>
    <s v="TAPA REPOSTEROS"/>
    <s v="TAPA REPOSTEROS-AZUL"/>
    <n v="453"/>
    <n v="4"/>
    <n v="49.4"/>
    <x v="1"/>
    <m/>
    <n v="5"/>
    <m/>
    <n v="23126"/>
    <s v="AZUL"/>
    <n v="5.4"/>
    <n v="0"/>
    <n v="0"/>
    <n v="24.462"/>
    <n v="49.4"/>
    <n v="54"/>
    <n v="914.81481481481478"/>
    <x v="8"/>
    <x v="0"/>
    <n v="40"/>
    <n v="2"/>
    <n v="75.5"/>
  </r>
  <r>
    <d v="2025-10-01T08:00:00"/>
    <s v="INYECTADO"/>
    <x v="2"/>
    <x v="212"/>
    <s v="JUAN MANUEL "/>
    <m/>
    <m/>
    <m/>
    <s v="TAPA REPOSTEROS"/>
    <s v="TAPA REPOSTEROS-TURQUESA"/>
    <n v="366"/>
    <n v="4"/>
    <n v="39.9"/>
    <x v="1"/>
    <m/>
    <n v="4"/>
    <m/>
    <n v="23126"/>
    <s v="TURQUESA"/>
    <n v="12.8"/>
    <n v="0"/>
    <n v="0"/>
    <n v="19.763999999999999"/>
    <n v="39.9"/>
    <n v="54"/>
    <n v="738.88888888888891"/>
    <x v="8"/>
    <x v="0"/>
    <n v="40"/>
    <n v="2"/>
    <n v="61"/>
  </r>
  <r>
    <d v="2025-10-01T08:00:00"/>
    <s v="INYECTADO"/>
    <x v="2"/>
    <x v="212"/>
    <s v="JUAN MANUEL "/>
    <m/>
    <m/>
    <m/>
    <s v="TAPA REPOSTEROS"/>
    <s v="TAPA REPOSTEROS-ROJO"/>
    <n v="183"/>
    <n v="4"/>
    <n v="20"/>
    <x v="1"/>
    <m/>
    <n v="2"/>
    <m/>
    <n v="23126"/>
    <s v="ROJO"/>
    <n v="0"/>
    <n v="0"/>
    <n v="0"/>
    <n v="9.8819999999999997"/>
    <n v="20"/>
    <n v="54"/>
    <n v="370.37037037037038"/>
    <x v="8"/>
    <x v="0"/>
    <n v="40"/>
    <n v="2"/>
    <n v="30.5"/>
  </r>
  <r>
    <d v="2025-10-01T08:00:00"/>
    <s v="INYECTADO"/>
    <x v="2"/>
    <x v="212"/>
    <s v="JUAN MANUEL "/>
    <m/>
    <m/>
    <m/>
    <s v="TAPA REPOSTEROS"/>
    <s v="TAPA REPOSTEROS-VERDE"/>
    <n v="92"/>
    <n v="2"/>
    <n v="10.1"/>
    <x v="1"/>
    <m/>
    <n v="2"/>
    <m/>
    <n v="23126"/>
    <s v="VERDE"/>
    <n v="2"/>
    <n v="0"/>
    <n v="0"/>
    <n v="4.968"/>
    <n v="10.1"/>
    <n v="54"/>
    <n v="187.03703703703704"/>
    <x v="8"/>
    <x v="0"/>
    <n v="40"/>
    <n v="2"/>
    <n v="15.333333333333334"/>
  </r>
  <r>
    <d v="2025-10-01T08:00:00"/>
    <s v="INYECTADO"/>
    <x v="3"/>
    <x v="206"/>
    <s v="LEONOR GUTIERREZ"/>
    <m/>
    <m/>
    <m/>
    <s v="COLADOR HOGAR SOLIDO #3"/>
    <s v="COLADOR HOGAR SOLIDO#3-ANARANJADO"/>
    <n v="230"/>
    <n v="2"/>
    <n v="21.3"/>
    <x v="0"/>
    <m/>
    <n v="2"/>
    <n v="1222"/>
    <n v="22023"/>
    <s v="NARANJA"/>
    <n v="7.9"/>
    <n v="0"/>
    <n v="0"/>
    <n v="21.39"/>
    <n v="21.3"/>
    <n v="93"/>
    <n v="229.03225806451613"/>
    <x v="8"/>
    <x v="0"/>
    <n v="38"/>
    <n v="1"/>
    <n v="19.166666666666668"/>
  </r>
  <r>
    <d v="2025-10-01T08:00:00"/>
    <s v="INYECTADO"/>
    <x v="3"/>
    <x v="206"/>
    <s v="LEONOR GUTIERREZ"/>
    <m/>
    <m/>
    <m/>
    <s v="COLADOR HOGAR SOLIDO #3"/>
    <s v="COLADOR HOGAR SOLIDO#3-CREMA"/>
    <n v="390"/>
    <n v="3"/>
    <n v="35.9"/>
    <x v="0"/>
    <m/>
    <n v="3"/>
    <n v="1222"/>
    <n v="22023"/>
    <s v="CREMA"/>
    <n v="3.2"/>
    <n v="0"/>
    <n v="0"/>
    <n v="36.270000000000003"/>
    <n v="35.9"/>
    <n v="93"/>
    <n v="386.02150537634407"/>
    <x v="8"/>
    <x v="0"/>
    <n v="38"/>
    <n v="1"/>
    <n v="32.5"/>
  </r>
  <r>
    <d v="2025-10-01T08:00:00"/>
    <s v="INYECTADO"/>
    <x v="3"/>
    <x v="206"/>
    <s v="LEONOR GUTIERREZ"/>
    <m/>
    <m/>
    <m/>
    <s v="COLADOR HOGAR SOLIDO #3"/>
    <s v="COLADOR HOGAR SOLIDO#3-CELESTE"/>
    <n v="538"/>
    <n v="4"/>
    <n v="49.5"/>
    <x v="0"/>
    <m/>
    <n v="4"/>
    <n v="1222"/>
    <n v="22023"/>
    <s v="CELESTE"/>
    <n v="0"/>
    <n v="0"/>
    <n v="0"/>
    <e v="#N/A"/>
    <n v="49.5"/>
    <e v="#N/A"/>
    <n v="0"/>
    <x v="8"/>
    <x v="0"/>
    <n v="38"/>
    <e v="#N/A"/>
    <e v="#N/A"/>
  </r>
  <r>
    <d v="2025-10-01T08:00:00"/>
    <s v="INYECTADO"/>
    <x v="3"/>
    <x v="206"/>
    <s v="LEONOR GUTIERREZ"/>
    <m/>
    <m/>
    <m/>
    <s v="COLADOR HOGAR SOLIDO #3"/>
    <s v="COLADOR HOGAR SOLIDO#3-AZUL"/>
    <n v="90"/>
    <n v="1"/>
    <n v="8.3000000000000007"/>
    <x v="0"/>
    <m/>
    <n v="1"/>
    <n v="1222"/>
    <n v="22023"/>
    <s v="AZUL"/>
    <n v="2.8"/>
    <n v="0"/>
    <n v="0"/>
    <n v="8.3699999999999992"/>
    <n v="8.3000000000000007"/>
    <n v="93"/>
    <n v="89.247311827956992"/>
    <x v="8"/>
    <x v="0"/>
    <n v="38"/>
    <n v="1"/>
    <n v="7.5"/>
  </r>
  <r>
    <d v="2025-10-01T08:00:00"/>
    <s v="INYECTADO"/>
    <x v="3"/>
    <x v="206"/>
    <s v="JUAN MANUEL "/>
    <m/>
    <m/>
    <m/>
    <s v="COLADOR HOGAR SOLIDO #3"/>
    <s v="COLADOR HOGAR SOLIDO#3-AZUL"/>
    <n v="152"/>
    <n v="1"/>
    <n v="14.3"/>
    <x v="1"/>
    <m/>
    <n v="2"/>
    <n v="1222"/>
    <n v="22024"/>
    <s v="AZUL"/>
    <n v="0"/>
    <n v="0"/>
    <n v="0"/>
    <n v="14.135999999999999"/>
    <n v="14.3"/>
    <n v="93"/>
    <n v="153.76344086021504"/>
    <x v="8"/>
    <x v="0"/>
    <n v="38"/>
    <n v="1"/>
    <n v="12.666666666666666"/>
  </r>
  <r>
    <d v="2025-10-01T08:00:00"/>
    <s v="INYECTADO"/>
    <x v="3"/>
    <x v="207"/>
    <s v="ANGIE VALDERRAMA"/>
    <m/>
    <m/>
    <m/>
    <s v="COLADOR HOGAR SOLIDO #3"/>
    <s v="COLADOR HOGAR SOLIDO#3-AZUL"/>
    <n v="1060"/>
    <n v="7"/>
    <n v="99.7"/>
    <x v="0"/>
    <m/>
    <n v="9"/>
    <n v="1222"/>
    <n v="22025"/>
    <s v="AZUL"/>
    <n v="5.4"/>
    <n v="0"/>
    <n v="0"/>
    <n v="98.58"/>
    <n v="99.7"/>
    <n v="93"/>
    <n v="1072.0430107526881"/>
    <x v="8"/>
    <x v="0"/>
    <n v="38"/>
    <n v="1"/>
    <n v="88.333333333333329"/>
  </r>
  <r>
    <d v="2025-10-01T08:00:00"/>
    <s v="INYECTADO"/>
    <x v="3"/>
    <x v="207"/>
    <s v="ANGIE VALDERRAMA"/>
    <m/>
    <m/>
    <m/>
    <s v="COLADOR HOGAR SOLIDO #3"/>
    <s v="COLADOR HOGAR SOLIDO#3-CREMA"/>
    <n v="37"/>
    <n v="1"/>
    <n v="3.5"/>
    <x v="0"/>
    <m/>
    <n v="1"/>
    <n v="1222"/>
    <n v="22025"/>
    <s v="CREMA"/>
    <n v="6.3"/>
    <n v="0"/>
    <n v="0"/>
    <n v="3.4409999999999998"/>
    <n v="3.5"/>
    <n v="93"/>
    <n v="37.634408602150536"/>
    <x v="8"/>
    <x v="0"/>
    <n v="38"/>
    <n v="1"/>
    <n v="3.0833333333333335"/>
  </r>
  <r>
    <d v="2025-10-01T08:00:00"/>
    <s v="INYECTADO"/>
    <x v="3"/>
    <x v="202"/>
    <s v="LUIS PINEDO"/>
    <m/>
    <m/>
    <m/>
    <s v="COLADOR HOGAR SOLIDO #3"/>
    <s v="COLADOR HOGAR SOLIDO#3-CREMA"/>
    <n v="1376"/>
    <n v="9"/>
    <n v="126.6"/>
    <x v="0"/>
    <m/>
    <n v="12"/>
    <n v="1222"/>
    <n v="22026"/>
    <s v="CREMA"/>
    <n v="1.2"/>
    <n v="0"/>
    <n v="0"/>
    <n v="127.968"/>
    <n v="126.6"/>
    <n v="93"/>
    <n v="1361.2903225806451"/>
    <x v="8"/>
    <x v="0"/>
    <n v="39"/>
    <n v="1"/>
    <n v="114.66666666666667"/>
  </r>
  <r>
    <d v="2025-10-01T08:00:00"/>
    <s v="INYECTADO"/>
    <x v="3"/>
    <x v="208"/>
    <s v="MARJORIE VILCHEZ"/>
    <m/>
    <m/>
    <m/>
    <s v="COLADOR HOGAR SOLIDO #3"/>
    <s v="COLADOR HOGAR SOLIDO#3-CELESTE"/>
    <n v="1366"/>
    <n v="9"/>
    <n v="125.7"/>
    <x v="0"/>
    <m/>
    <n v="2"/>
    <n v="1222"/>
    <n v="22027"/>
    <s v="CELESTE"/>
    <n v="3.6"/>
    <n v="0"/>
    <n v="0"/>
    <e v="#N/A"/>
    <n v="125.7"/>
    <e v="#N/A"/>
    <n v="0"/>
    <x v="8"/>
    <x v="0"/>
    <n v="39"/>
    <e v="#N/A"/>
    <e v="#N/A"/>
  </r>
  <r>
    <d v="2025-10-01T08:00:00"/>
    <s v="INYECTADO"/>
    <x v="3"/>
    <x v="208"/>
    <s v="MARJORIE VILCHEZ"/>
    <m/>
    <m/>
    <m/>
    <s v="COLADOR HOGAR SOLIDO #3"/>
    <s v="COLADOR HOGAR SOLIDO#3-AZUL"/>
    <n v="351"/>
    <n v="2"/>
    <n v="32.299999999999997"/>
    <x v="0"/>
    <m/>
    <n v="3"/>
    <n v="1222"/>
    <n v="22027"/>
    <s v="AZUL"/>
    <n v="0.9"/>
    <n v="0"/>
    <n v="0"/>
    <n v="32.643000000000001"/>
    <n v="32.299999999999997"/>
    <n v="93"/>
    <n v="347.31182795698919"/>
    <x v="8"/>
    <x v="0"/>
    <n v="39"/>
    <n v="1"/>
    <n v="29.25"/>
  </r>
  <r>
    <d v="2025-10-01T08:00:00"/>
    <s v="INYECTADO"/>
    <x v="3"/>
    <x v="209"/>
    <s v="MARJORIE VILCHEZ"/>
    <m/>
    <m/>
    <m/>
    <s v="COLADOR HOGAR SOLIDO #3"/>
    <s v="COLADOR HOGAR SOLIDO#3-AZUL"/>
    <n v="34"/>
    <n v="1"/>
    <n v="3.2"/>
    <x v="1"/>
    <m/>
    <n v="2"/>
    <n v="1222"/>
    <n v="22028"/>
    <s v="AZUL"/>
    <n v="3.4"/>
    <n v="0"/>
    <n v="0"/>
    <n v="3.1619999999999999"/>
    <n v="3.2"/>
    <n v="93"/>
    <n v="34.408602150537632"/>
    <x v="8"/>
    <x v="0"/>
    <n v="39"/>
    <n v="1"/>
    <n v="2.8333333333333335"/>
  </r>
  <r>
    <d v="2025-10-01T08:00:00"/>
    <s v="INYECTADO"/>
    <x v="3"/>
    <x v="209"/>
    <s v="MARJORIE VILCHEZ"/>
    <m/>
    <m/>
    <m/>
    <s v="COLADOR HOGAR SOLIDO #3"/>
    <s v="COLADOR HOGAR SOLIDO#3-ROJO"/>
    <n v="1452"/>
    <n v="10"/>
    <n v="133.6"/>
    <x v="1"/>
    <m/>
    <n v="12"/>
    <n v="1222"/>
    <n v="22028"/>
    <s v="ROJO"/>
    <n v="5.9"/>
    <n v="0"/>
    <n v="0"/>
    <n v="135.036"/>
    <n v="133.6"/>
    <n v="93"/>
    <n v="1436.5591397849462"/>
    <x v="8"/>
    <x v="0"/>
    <n v="39"/>
    <n v="1"/>
    <n v="121"/>
  </r>
  <r>
    <d v="2025-10-01T08:00:00"/>
    <s v="INYECTADO"/>
    <x v="3"/>
    <x v="210"/>
    <s v="ANGIE VALDERRAMA"/>
    <m/>
    <m/>
    <m/>
    <s v="COLADOR HOGAR SOLIDO #3"/>
    <s v="COLADOR HOGAR SOLIDO#3-NARANJA"/>
    <n v="1339"/>
    <n v="9"/>
    <n v="123.2"/>
    <x v="0"/>
    <m/>
    <n v="1"/>
    <n v="1222"/>
    <n v="22029"/>
    <s v="NARANJA"/>
    <n v="0"/>
    <n v="0"/>
    <n v="0"/>
    <e v="#N/A"/>
    <n v="123.2"/>
    <e v="#N/A"/>
    <n v="0"/>
    <x v="8"/>
    <x v="0"/>
    <n v="39"/>
    <e v="#N/A"/>
    <e v="#N/A"/>
  </r>
  <r>
    <d v="2025-10-01T08:00:00"/>
    <s v="INYECTADO"/>
    <x v="3"/>
    <x v="210"/>
    <s v="ANGIE VALDERRAMA"/>
    <m/>
    <m/>
    <m/>
    <s v="COLADOR HOGAR SOLIDO #3"/>
    <s v="COLADOR HOGAR SOLIDO#3-ROJO"/>
    <n v="133"/>
    <n v="2"/>
    <n v="12.3"/>
    <x v="0"/>
    <m/>
    <n v="11"/>
    <n v="1222"/>
    <n v="22029"/>
    <s v="ROJO"/>
    <n v="2.4"/>
    <n v="0"/>
    <n v="0"/>
    <n v="12.369"/>
    <n v="12.3"/>
    <n v="93"/>
    <n v="132.25806451612902"/>
    <x v="8"/>
    <x v="0"/>
    <n v="39"/>
    <n v="1"/>
    <n v="11.083333333333334"/>
  </r>
  <r>
    <d v="2025-10-01T08:00:00"/>
    <s v="INYECTADO"/>
    <x v="3"/>
    <x v="227"/>
    <s v="ANGIE VALDERRAMA"/>
    <m/>
    <m/>
    <m/>
    <s v="COLADOR HOGAR SOLIDO #3"/>
    <s v="COLADOR HOGAR SOLIDO#3-NARANJA"/>
    <n v="93"/>
    <n v="1"/>
    <n v="8.6"/>
    <x v="0"/>
    <m/>
    <n v="1"/>
    <n v="1222"/>
    <n v="22030"/>
    <s v="NARANJA"/>
    <n v="0"/>
    <n v="0"/>
    <n v="0"/>
    <e v="#N/A"/>
    <n v="8.6"/>
    <e v="#N/A"/>
    <n v="0"/>
    <x v="8"/>
    <x v="0"/>
    <n v="39"/>
    <e v="#N/A"/>
    <e v="#N/A"/>
  </r>
  <r>
    <d v="2025-10-01T08:00:00"/>
    <s v="INYECTADO"/>
    <x v="3"/>
    <x v="227"/>
    <s v="ANGIE VALDERRAMA"/>
    <m/>
    <m/>
    <m/>
    <s v="COLADOR HOGAR SOLIDO #3"/>
    <s v="COLADOR HOGAR SOLIDO#3-VERDE"/>
    <n v="1209"/>
    <n v="10"/>
    <n v="111.3"/>
    <x v="0"/>
    <m/>
    <n v="11"/>
    <n v="1222"/>
    <n v="22030"/>
    <s v="VERDE"/>
    <n v="0"/>
    <n v="0"/>
    <n v="0"/>
    <n v="112.437"/>
    <n v="111.3"/>
    <n v="93"/>
    <n v="1196.7741935483871"/>
    <x v="8"/>
    <x v="0"/>
    <n v="39"/>
    <n v="1"/>
    <n v="100.75"/>
  </r>
  <r>
    <d v="2025-10-01T08:00:00"/>
    <s v="INYECTADO"/>
    <x v="3"/>
    <x v="226"/>
    <s v="NELSON PINEDO"/>
    <m/>
    <m/>
    <m/>
    <s v="COLADOR HOGAR SOLIDO #3"/>
    <s v="COLADOR HOGAR SOLIDO#3-VERDE"/>
    <n v="242"/>
    <n v="2"/>
    <n v="22.3"/>
    <x v="0"/>
    <m/>
    <n v="2"/>
    <n v="1222"/>
    <n v="22031"/>
    <s v="VERDE"/>
    <n v="0"/>
    <n v="0"/>
    <n v="0"/>
    <n v="22.506"/>
    <n v="22.3"/>
    <n v="93"/>
    <n v="239.78494623655914"/>
    <x v="8"/>
    <x v="0"/>
    <n v="39"/>
    <n v="1"/>
    <n v="20.166666666666668"/>
  </r>
  <r>
    <d v="2025-10-01T08:00:00"/>
    <s v="INYECTADO"/>
    <x v="7"/>
    <x v="213"/>
    <s v="JUANA CRUCES"/>
    <m/>
    <m/>
    <m/>
    <s v="PORTA CUBIERTOS PASTEL"/>
    <s v="PORTA CUBIERTOS PASTEL-LILA"/>
    <n v="576"/>
    <n v="6"/>
    <n v="80.7"/>
    <x v="0"/>
    <m/>
    <n v="8"/>
    <n v="1210"/>
    <n v="22297"/>
    <s v="LILA"/>
    <n v="10"/>
    <n v="0"/>
    <n v="0"/>
    <n v="73.152000000000001"/>
    <n v="80.7"/>
    <n v="127"/>
    <n v="635.43307086614175"/>
    <x v="8"/>
    <x v="0"/>
    <n v="36"/>
    <n v="6"/>
    <n v="288"/>
  </r>
  <r>
    <d v="2025-10-01T08:00:00"/>
    <s v="INYECTADO"/>
    <x v="7"/>
    <x v="213"/>
    <s v="JUANA CRUCES"/>
    <m/>
    <m/>
    <m/>
    <s v="PORTA CUBIERTOS PASTEL"/>
    <s v="PORTA CUBIERTOS PASTEL-MELON"/>
    <n v="255"/>
    <n v="4"/>
    <n v="35.700000000000003"/>
    <x v="0"/>
    <m/>
    <n v="4"/>
    <n v="1210"/>
    <n v="22297"/>
    <s v="MELON"/>
    <n v="4.4000000000000004"/>
    <n v="0"/>
    <n v="0"/>
    <n v="32.384999999999998"/>
    <n v="35.700000000000003"/>
    <n v="127"/>
    <n v="281.10236220472439"/>
    <x v="8"/>
    <x v="0"/>
    <n v="36"/>
    <n v="6"/>
    <n v="127.5"/>
  </r>
  <r>
    <d v="2025-10-01T08:00:00"/>
    <s v="INYECTADO"/>
    <x v="7"/>
    <x v="213"/>
    <s v="ISABEL LINARIZ "/>
    <m/>
    <m/>
    <m/>
    <s v="PORTA CUBIERTOS PASTEL"/>
    <s v="PORTA CUBIERTOS PASTEL-MELON"/>
    <n v="416"/>
    <n v="3"/>
    <n v="58.7"/>
    <x v="1"/>
    <m/>
    <n v="4"/>
    <n v="1210"/>
    <n v="22701"/>
    <s v="MELON"/>
    <n v="9.6"/>
    <n v="0"/>
    <n v="0"/>
    <n v="52.832000000000001"/>
    <n v="58.7"/>
    <n v="127"/>
    <n v="462.20472440944883"/>
    <x v="8"/>
    <x v="0"/>
    <n v="36"/>
    <n v="6"/>
    <n v="208"/>
  </r>
  <r>
    <d v="2025-10-01T08:00:00"/>
    <s v="INYECTADO"/>
    <x v="7"/>
    <x v="213"/>
    <s v="ISABEL LINARIZ "/>
    <m/>
    <m/>
    <m/>
    <s v="PORTA CUBIERTOS PASTEL"/>
    <s v="PORTA CUBIERTOS PASTEL-CELESTE"/>
    <n v="617"/>
    <n v="7"/>
    <n v="86.5"/>
    <x v="1"/>
    <m/>
    <n v="7"/>
    <n v="1210"/>
    <n v="22701"/>
    <s v="CELESTE"/>
    <n v="9.9"/>
    <n v="0"/>
    <n v="0"/>
    <n v="78.358999999999995"/>
    <n v="86.5"/>
    <n v="127"/>
    <n v="681.10236220472439"/>
    <x v="8"/>
    <x v="0"/>
    <n v="36"/>
    <n v="6"/>
    <n v="308.5"/>
  </r>
  <r>
    <d v="2025-10-01T08:00:00"/>
    <s v="INYECTADO"/>
    <x v="7"/>
    <x v="213"/>
    <s v="ISABEL LINARIZ "/>
    <m/>
    <m/>
    <m/>
    <s v="PORTA CUBIERTOS PASTEL"/>
    <s v="PORTA CUBIERTOS PASTEL-CREMA"/>
    <n v="165"/>
    <n v="2"/>
    <n v="23.1"/>
    <x v="1"/>
    <m/>
    <n v="2"/>
    <n v="1210"/>
    <n v="22701"/>
    <s v="CREMA"/>
    <n v="2.4"/>
    <n v="0"/>
    <n v="0"/>
    <n v="20.954999999999998"/>
    <n v="23.1"/>
    <n v="127"/>
    <n v="181.88976377952756"/>
    <x v="8"/>
    <x v="0"/>
    <n v="36"/>
    <n v="6"/>
    <n v="82.5"/>
  </r>
  <r>
    <d v="2025-10-01T08:00:00"/>
    <s v="INYECTADO"/>
    <x v="7"/>
    <x v="214"/>
    <s v="JOSDER GONZALEZ"/>
    <m/>
    <m/>
    <m/>
    <s v="PORTA CUBIERTOS PASTEL"/>
    <s v="PORTA CUBIERTOS PASTEL-CREMA"/>
    <n v="177"/>
    <n v="3"/>
    <n v="25"/>
    <x v="0"/>
    <m/>
    <n v="2"/>
    <n v="1210"/>
    <n v="22702"/>
    <s v="CREMA"/>
    <n v="7.1"/>
    <n v="0"/>
    <n v="0"/>
    <n v="22.478999999999999"/>
    <n v="25"/>
    <n v="127"/>
    <n v="196.85039370078741"/>
    <x v="8"/>
    <x v="0"/>
    <n v="36"/>
    <n v="6"/>
    <n v="88.5"/>
  </r>
  <r>
    <d v="2025-10-01T08:00:00"/>
    <s v="INYECTADO"/>
    <x v="7"/>
    <x v="215"/>
    <s v="KARLA HUISA"/>
    <m/>
    <m/>
    <m/>
    <s v="PORTA CUBIERTOS PASTEL"/>
    <s v="PORTA CUBIERTOS PASTEL-CREMA"/>
    <n v="295"/>
    <n v="3"/>
    <n v="41.9"/>
    <x v="0"/>
    <m/>
    <n v="4"/>
    <n v="1210"/>
    <n v="22703"/>
    <s v="CREMA"/>
    <n v="2.4"/>
    <n v="0"/>
    <n v="0"/>
    <n v="37.465000000000003"/>
    <n v="41.9"/>
    <n v="127"/>
    <n v="329.9212598425197"/>
    <x v="8"/>
    <x v="0"/>
    <n v="36"/>
    <n v="6"/>
    <n v="147.5"/>
  </r>
  <r>
    <d v="2025-10-01T08:00:00"/>
    <s v="INYECTADO"/>
    <x v="7"/>
    <x v="215"/>
    <s v="KARLA HUISA"/>
    <m/>
    <m/>
    <m/>
    <s v="PORTA CUBIERTOS PASTEL"/>
    <s v="PORTA CUBIERTOS PASTEL-TURQUESA"/>
    <n v="690"/>
    <n v="7"/>
    <n v="96.7"/>
    <x v="0"/>
    <m/>
    <n v="7"/>
    <n v="1210"/>
    <n v="22703"/>
    <s v="TURQUESA"/>
    <n v="3.1"/>
    <n v="0"/>
    <n v="0"/>
    <n v="87.63"/>
    <n v="96.7"/>
    <n v="127"/>
    <n v="761.41732283464569"/>
    <x v="8"/>
    <x v="0"/>
    <n v="36"/>
    <n v="6"/>
    <n v="345"/>
  </r>
  <r>
    <d v="2025-10-01T08:00:00"/>
    <s v="INYECTADO"/>
    <x v="7"/>
    <x v="221"/>
    <s v="LUIS PINEDO"/>
    <m/>
    <m/>
    <m/>
    <s v="PORTA CUBIERTOS PASTEL"/>
    <s v="PORTA CUBIERTOS PASTEL-CREMA"/>
    <n v="77"/>
    <n v="1"/>
    <n v="10.8"/>
    <x v="0"/>
    <m/>
    <n v="1"/>
    <n v="1210"/>
    <n v="22704"/>
    <s v="CREMA"/>
    <n v="5.7"/>
    <n v="0"/>
    <n v="0"/>
    <n v="9.7789999999999999"/>
    <n v="10.8"/>
    <n v="127"/>
    <n v="85.039370078740163"/>
    <x v="8"/>
    <x v="0"/>
    <n v="36"/>
    <n v="6"/>
    <n v="38.5"/>
  </r>
  <r>
    <d v="2025-10-01T08:00:00"/>
    <s v="INYECTADO"/>
    <x v="7"/>
    <x v="221"/>
    <s v="LUIS PINEDO"/>
    <m/>
    <m/>
    <m/>
    <s v="PORTA CUBIERTOS PASTEL"/>
    <s v="PORTA CUBIERTOS PASTEL-TURQUESA"/>
    <n v="84"/>
    <n v="1"/>
    <n v="11.8"/>
    <x v="0"/>
    <m/>
    <n v="1"/>
    <n v="1210"/>
    <n v="22704"/>
    <s v="TURQUESA"/>
    <n v="8.3000000000000007"/>
    <n v="0"/>
    <n v="0"/>
    <n v="10.667999999999999"/>
    <n v="11.8"/>
    <n v="127"/>
    <n v="92.913385826771659"/>
    <x v="8"/>
    <x v="0"/>
    <n v="36"/>
    <n v="6"/>
    <n v="42"/>
  </r>
  <r>
    <d v="2025-10-01T08:00:00"/>
    <s v="INYECTADO"/>
    <x v="7"/>
    <x v="221"/>
    <s v="LUIS PINEDO"/>
    <m/>
    <m/>
    <m/>
    <s v="PORTA CUBIERTOS PASTEL"/>
    <s v="PORTA CUBIERTOS PASTEL-CELESTE"/>
    <n v="76"/>
    <n v="1"/>
    <n v="10.7"/>
    <x v="0"/>
    <m/>
    <n v="1"/>
    <n v="1210"/>
    <n v="22704"/>
    <s v="CELESTE"/>
    <n v="3.4"/>
    <n v="0"/>
    <n v="0"/>
    <n v="9.6519999999999992"/>
    <n v="10.7"/>
    <n v="127"/>
    <n v="84.251968503937007"/>
    <x v="8"/>
    <x v="0"/>
    <n v="36"/>
    <n v="6"/>
    <n v="38"/>
  </r>
  <r>
    <d v="2025-10-01T08:00:00"/>
    <s v="INYECTADO"/>
    <x v="7"/>
    <x v="221"/>
    <s v="GABRIEL REQUENA"/>
    <m/>
    <m/>
    <m/>
    <s v="VASO SORBETE SOLIDO"/>
    <s v="VASO SORBETE SOLIDO-VERDE"/>
    <n v="901"/>
    <n v="12"/>
    <n v="135.19999999999999"/>
    <x v="1"/>
    <m/>
    <n v="15"/>
    <m/>
    <n v="22705"/>
    <s v="VERDE"/>
    <n v="4.8"/>
    <n v="0"/>
    <n v="0"/>
    <n v="21.173500000000001"/>
    <n v="135.19999999999999"/>
    <n v="23.5"/>
    <n v="5753.1914893617022"/>
    <x v="8"/>
    <x v="0"/>
    <n v="36"/>
    <n v="2"/>
    <n v="150.16666666666666"/>
  </r>
  <r>
    <d v="2025-10-01T08:00:00"/>
    <s v="INYECTADO"/>
    <x v="7"/>
    <x v="216"/>
    <s v="LUIS PINEDO"/>
    <m/>
    <m/>
    <m/>
    <s v="VASO SORBETE SOLIDO"/>
    <s v="VASO SORBETE SOLIDO-VERDE"/>
    <n v="163"/>
    <n v="2"/>
    <n v="24.7"/>
    <x v="0"/>
    <m/>
    <n v="4"/>
    <m/>
    <n v="22706"/>
    <s v="VERDE"/>
    <n v="0"/>
    <n v="0"/>
    <n v="0"/>
    <n v="3.8304999999999998"/>
    <n v="24.7"/>
    <n v="23.5"/>
    <n v="1051.063829787234"/>
    <x v="8"/>
    <x v="0"/>
    <n v="36"/>
    <n v="2"/>
    <n v="27.166666666666668"/>
  </r>
  <r>
    <d v="2025-10-01T08:00:00"/>
    <s v="INYECTADO"/>
    <x v="7"/>
    <x v="216"/>
    <s v="LUIS PINEDO"/>
    <m/>
    <m/>
    <m/>
    <s v="VASO SORBETE SOLIDO"/>
    <s v="VASO SORBETE SOLIDO-ROJO"/>
    <n v="879"/>
    <n v="8"/>
    <n v="131.1"/>
    <x v="0"/>
    <m/>
    <n v="15"/>
    <m/>
    <n v="22706"/>
    <s v="ROJO"/>
    <n v="0"/>
    <n v="0"/>
    <n v="0"/>
    <n v="20.656500000000001"/>
    <n v="131.1"/>
    <n v="23.5"/>
    <n v="5578.7234042553191"/>
    <x v="8"/>
    <x v="0"/>
    <n v="36"/>
    <n v="2"/>
    <n v="146.5"/>
  </r>
  <r>
    <d v="2025-10-01T08:00:00"/>
    <s v="INYECTADO"/>
    <x v="7"/>
    <x v="216"/>
    <s v="GABRIEL REQUENA"/>
    <m/>
    <m/>
    <m/>
    <s v="VASO SORBETE SOLIDO"/>
    <s v="VASO SORBETE SOLIDO-ROJO"/>
    <n v="167"/>
    <n v="2"/>
    <n v="25.1"/>
    <x v="1"/>
    <m/>
    <n v="3"/>
    <m/>
    <n v="22707"/>
    <s v="ROJO"/>
    <n v="7.5"/>
    <n v="0"/>
    <n v="0"/>
    <n v="3.9245000000000001"/>
    <n v="25.1"/>
    <n v="23.5"/>
    <n v="1068.0851063829787"/>
    <x v="8"/>
    <x v="0"/>
    <n v="36"/>
    <n v="2"/>
    <n v="27.833333333333332"/>
  </r>
  <r>
    <d v="2025-10-01T08:00:00"/>
    <s v="INYECTADO"/>
    <x v="7"/>
    <x v="216"/>
    <s v="GABRIEL REQUENA"/>
    <m/>
    <m/>
    <m/>
    <s v="VASO SORBETE SOLIDO"/>
    <s v="VASO SORBETE SOLIDO-AMARILLO"/>
    <n v="813"/>
    <n v="9"/>
    <n v="122"/>
    <x v="1"/>
    <m/>
    <n v="12"/>
    <m/>
    <n v="22707"/>
    <s v="AMARILLO"/>
    <n v="4.2"/>
    <n v="0"/>
    <n v="0"/>
    <n v="19.105499999999999"/>
    <n v="122"/>
    <n v="23.5"/>
    <n v="5191.489361702128"/>
    <x v="8"/>
    <x v="0"/>
    <n v="36"/>
    <n v="2"/>
    <n v="135.5"/>
  </r>
  <r>
    <d v="2025-10-01T08:00:00"/>
    <s v="INYECTADO"/>
    <x v="7"/>
    <x v="217"/>
    <s v="SAID VILLAMIZAR"/>
    <m/>
    <m/>
    <m/>
    <s v="VASO SORBETE SOLIDO"/>
    <s v="VASO SORBETE SOLIDO-AMARILLO"/>
    <n v="290"/>
    <n v="4"/>
    <n v="43.5"/>
    <x v="0"/>
    <m/>
    <n v="6"/>
    <m/>
    <n v="22708"/>
    <s v="AMARILLO"/>
    <n v="4.9000000000000004"/>
    <n v="0"/>
    <n v="0"/>
    <n v="6.8150000000000004"/>
    <n v="43.5"/>
    <n v="23.5"/>
    <n v="1851.063829787234"/>
    <x v="8"/>
    <x v="0"/>
    <n v="36"/>
    <n v="2"/>
    <n v="48.333333333333336"/>
  </r>
  <r>
    <d v="2025-10-01T08:00:00"/>
    <s v="INYECTADO"/>
    <x v="7"/>
    <x v="217"/>
    <s v="SAID VILLAMIZAR"/>
    <m/>
    <m/>
    <m/>
    <s v="VASO SORBETE SOLIDO"/>
    <s v="VASO SORBETE SOLIDO-AZUL"/>
    <n v="526"/>
    <n v="7"/>
    <n v="76.8"/>
    <x v="0"/>
    <m/>
    <n v="10"/>
    <m/>
    <n v="22708"/>
    <s v="AZUL"/>
    <n v="2.4"/>
    <n v="0"/>
    <n v="0"/>
    <n v="12.361000000000001"/>
    <n v="76.8"/>
    <n v="23.5"/>
    <n v="3268.0851063829787"/>
    <x v="8"/>
    <x v="0"/>
    <n v="36"/>
    <n v="2"/>
    <n v="87.666666666666671"/>
  </r>
  <r>
    <d v="2025-10-01T08:00:00"/>
    <s v="INYECTADO"/>
    <x v="7"/>
    <x v="217"/>
    <s v="JOSDER GONZALEZ"/>
    <m/>
    <m/>
    <m/>
    <s v="VASO SORBETE SOLIDO"/>
    <s v="VASO SORBETE SOLIDO-AZUL"/>
    <n v="590"/>
    <n v="7"/>
    <n v="89.1"/>
    <x v="1"/>
    <m/>
    <n v="14"/>
    <m/>
    <n v="22709"/>
    <s v="AZUL"/>
    <n v="9.9"/>
    <n v="0"/>
    <n v="0"/>
    <n v="13.865"/>
    <n v="89.1"/>
    <n v="23.5"/>
    <n v="3791.4893617021276"/>
    <x v="8"/>
    <x v="0"/>
    <n v="36"/>
    <n v="2"/>
    <n v="98.333333333333329"/>
  </r>
  <r>
    <d v="2025-10-01T08:00:00"/>
    <s v="INYECTADO"/>
    <x v="7"/>
    <x v="217"/>
    <s v="JOSDER GONZALEZ"/>
    <m/>
    <m/>
    <m/>
    <s v="VASO SORBETE SOLIDO"/>
    <s v="VASO SORBETE SOLIDO-FUCSIA"/>
    <n v="390"/>
    <n v="4"/>
    <n v="59"/>
    <x v="1"/>
    <m/>
    <n v="8"/>
    <m/>
    <n v="22709"/>
    <s v="FUCSIA"/>
    <n v="1.3"/>
    <n v="0"/>
    <n v="0"/>
    <n v="9.1649999999999991"/>
    <n v="59"/>
    <n v="23.5"/>
    <n v="2510.6382978723404"/>
    <x v="8"/>
    <x v="0"/>
    <n v="36"/>
    <n v="2"/>
    <n v="65"/>
  </r>
  <r>
    <d v="2025-10-01T08:00:00"/>
    <s v="INYECTADO"/>
    <x v="7"/>
    <x v="219"/>
    <s v="KARLA HUISA"/>
    <m/>
    <m/>
    <m/>
    <s v="VASO SORBETE SOLIDO"/>
    <s v="VASO SORBETE SOLIDO-FUCSIA"/>
    <n v="710"/>
    <n v="7"/>
    <n v="106.5"/>
    <x v="0"/>
    <m/>
    <n v="12"/>
    <m/>
    <n v="22710"/>
    <s v="FUCSIA"/>
    <n v="0.7"/>
    <n v="0"/>
    <n v="0"/>
    <n v="16.684999999999999"/>
    <n v="106.5"/>
    <n v="23.5"/>
    <n v="4531.9148936170213"/>
    <x v="8"/>
    <x v="0"/>
    <n v="37"/>
    <n v="2"/>
    <n v="118.33333333333333"/>
  </r>
  <r>
    <d v="2025-10-01T08:00:00"/>
    <s v="INYECTADO"/>
    <x v="7"/>
    <x v="219"/>
    <s v="KARLA HUISA"/>
    <m/>
    <m/>
    <m/>
    <s v="VASO SORBETE SOLIDO"/>
    <s v="VASO SORBETE SOLIDO-LILA"/>
    <n v="230"/>
    <n v="2"/>
    <n v="34.6"/>
    <x v="0"/>
    <m/>
    <n v="4"/>
    <m/>
    <n v="22710"/>
    <s v="LILA"/>
    <n v="1.9"/>
    <n v="0"/>
    <n v="0"/>
    <n v="5.4050000000000002"/>
    <n v="34.6"/>
    <n v="23.5"/>
    <n v="1472.3404255319149"/>
    <x v="8"/>
    <x v="0"/>
    <n v="37"/>
    <n v="2"/>
    <n v="38.333333333333336"/>
  </r>
  <r>
    <d v="2025-10-01T08:00:00"/>
    <s v="INYECTADO"/>
    <x v="7"/>
    <x v="219"/>
    <s v="GABRIEL REQUENA"/>
    <m/>
    <m/>
    <m/>
    <s v="VASO SORBETE SOLIDO"/>
    <s v="VASO SORBETE SOLIDO-LILA"/>
    <n v="868"/>
    <n v="10"/>
    <n v="130.19999999999999"/>
    <x v="1"/>
    <m/>
    <n v="15"/>
    <m/>
    <n v="22711"/>
    <s v="LILA"/>
    <n v="6.8"/>
    <n v="0"/>
    <n v="0"/>
    <n v="20.398"/>
    <n v="130.19999999999999"/>
    <n v="23.5"/>
    <n v="5540.4255319148933"/>
    <x v="8"/>
    <x v="0"/>
    <n v="37"/>
    <n v="2"/>
    <n v="144.66666666666666"/>
  </r>
  <r>
    <d v="2025-10-01T08:00:00"/>
    <s v="INYECTADO"/>
    <x v="7"/>
    <x v="219"/>
    <s v="GABRIEL REQUENA"/>
    <m/>
    <m/>
    <m/>
    <s v="VASO SORBETE PASTEL"/>
    <s v="VASO SORBETE PASTEL-TURQUESA"/>
    <n v="190"/>
    <n v="2"/>
    <n v="28.5"/>
    <x v="1"/>
    <m/>
    <n v="5"/>
    <m/>
    <n v="22711"/>
    <s v="TURQUESA"/>
    <n v="5.8"/>
    <n v="0"/>
    <n v="0"/>
    <n v="4.4649999999999999"/>
    <n v="28.5"/>
    <n v="23.5"/>
    <n v="1212.7659574468084"/>
    <x v="8"/>
    <x v="0"/>
    <n v="37"/>
    <n v="2"/>
    <n v="31.666666666666668"/>
  </r>
  <r>
    <d v="2025-10-01T08:00:00"/>
    <s v="INYECTADO"/>
    <x v="7"/>
    <x v="201"/>
    <s v="ANGIE VALDERRAMA"/>
    <m/>
    <m/>
    <m/>
    <s v="VASO SORBETE PASTEL"/>
    <s v="VASO SORBETE PASTEL-TURQUESA"/>
    <n v="478"/>
    <n v="7"/>
    <n v="71.7"/>
    <x v="0"/>
    <m/>
    <n v="11"/>
    <m/>
    <n v="22712"/>
    <s v="TURQUESA"/>
    <n v="4.2"/>
    <n v="0"/>
    <n v="0"/>
    <n v="11.233000000000001"/>
    <n v="71.7"/>
    <n v="23.5"/>
    <n v="3051.0638297872342"/>
    <x v="8"/>
    <x v="0"/>
    <n v="37"/>
    <n v="2"/>
    <n v="79.666666666666671"/>
  </r>
  <r>
    <d v="2025-10-01T08:00:00"/>
    <s v="INYECTADO"/>
    <x v="7"/>
    <x v="201"/>
    <s v="ANGIE VALDERRAMA"/>
    <m/>
    <m/>
    <m/>
    <s v="VASO SORBETE PASTEL"/>
    <s v="VASO SORBETE PASTEL-CELESTE"/>
    <n v="258"/>
    <n v="4"/>
    <n v="38.799999999999997"/>
    <x v="0"/>
    <m/>
    <n v="5"/>
    <m/>
    <n v="22712"/>
    <s v="CELESTE"/>
    <n v="3.7"/>
    <n v="0"/>
    <n v="0"/>
    <n v="6.0629999999999997"/>
    <n v="38.799999999999997"/>
    <n v="23.5"/>
    <n v="1651.063829787234"/>
    <x v="8"/>
    <x v="0"/>
    <n v="37"/>
    <n v="2"/>
    <n v="43"/>
  </r>
  <r>
    <d v="2025-10-01T08:00:00"/>
    <s v="INYECTADO"/>
    <x v="7"/>
    <x v="201"/>
    <s v="JOSDER GONZALEZ"/>
    <m/>
    <m/>
    <m/>
    <s v="VASO SORBETE PASTEL"/>
    <s v="VASO SORBETE PASTEL-CELESTE"/>
    <n v="329"/>
    <n v="4"/>
    <n v="49.4"/>
    <x v="1"/>
    <m/>
    <n v="6"/>
    <m/>
    <n v="22713"/>
    <s v="CELESTE"/>
    <n v="3.5"/>
    <n v="0"/>
    <n v="0"/>
    <n v="7.7314999999999996"/>
    <n v="49.4"/>
    <n v="23.5"/>
    <n v="2102.127659574468"/>
    <x v="8"/>
    <x v="0"/>
    <n v="37"/>
    <n v="2"/>
    <n v="54.833333333333336"/>
  </r>
  <r>
    <d v="2025-10-01T08:00:00"/>
    <s v="INYECTADO"/>
    <x v="7"/>
    <x v="201"/>
    <s v="JOSDER GONZALEZ"/>
    <m/>
    <m/>
    <m/>
    <s v="VASO SORBETE PASTEL"/>
    <s v="VASO SORBETE PASTEL-AZURE"/>
    <n v="569"/>
    <n v="6"/>
    <n v="85.4"/>
    <x v="1"/>
    <m/>
    <n v="11"/>
    <m/>
    <n v="22713"/>
    <s v="AZURE"/>
    <n v="1.5"/>
    <n v="0"/>
    <n v="0"/>
    <n v="13.371499999999999"/>
    <n v="85.4"/>
    <n v="23.5"/>
    <n v="3634.0425531914893"/>
    <x v="8"/>
    <x v="0"/>
    <n v="37"/>
    <n v="2"/>
    <n v="94.833333333333329"/>
  </r>
  <r>
    <d v="2025-10-01T08:00:00"/>
    <s v="INYECTADO"/>
    <x v="7"/>
    <x v="223"/>
    <s v="ANGIE VALDERRAMA"/>
    <m/>
    <m/>
    <m/>
    <s v="VASO SORBETE PASTEL"/>
    <s v="VASO SORBETE PASTEL-AZURE"/>
    <n v="48"/>
    <n v="1"/>
    <n v="7.3"/>
    <x v="0"/>
    <m/>
    <n v="1"/>
    <m/>
    <n v="22714"/>
    <s v="AZURE"/>
    <n v="0"/>
    <n v="0"/>
    <n v="0"/>
    <n v="1.1279999999999999"/>
    <n v="7.3"/>
    <n v="23.5"/>
    <n v="310.63829787234044"/>
    <x v="8"/>
    <x v="0"/>
    <n v="37"/>
    <n v="2"/>
    <n v="8"/>
  </r>
  <r>
    <d v="2025-10-01T08:00:00"/>
    <s v="INYECTADO"/>
    <x v="7"/>
    <x v="223"/>
    <s v="ANGIE VALDERRAMA"/>
    <m/>
    <m/>
    <m/>
    <s v="VASO SORBETE PASTEL"/>
    <s v="VASO SORBETE PASTEL-SANDIA"/>
    <n v="366"/>
    <n v="6"/>
    <n v="54.9"/>
    <x v="0"/>
    <m/>
    <n v="7"/>
    <m/>
    <n v="22714"/>
    <s v="SANDIA"/>
    <n v="8"/>
    <n v="0"/>
    <n v="0"/>
    <n v="8.6010000000000009"/>
    <n v="54.9"/>
    <n v="23.5"/>
    <n v="2336.1702127659573"/>
    <x v="8"/>
    <x v="0"/>
    <n v="37"/>
    <n v="2"/>
    <n v="61"/>
  </r>
  <r>
    <d v="2025-10-01T08:00:00"/>
    <s v="INYECTADO"/>
    <x v="7"/>
    <x v="223"/>
    <s v="ANGIE VALDERRAMA"/>
    <m/>
    <m/>
    <m/>
    <s v="VASO SORBETE PASTEL"/>
    <s v="VASO SORBETE PASTEL-ROSADO"/>
    <n v="308"/>
    <n v="4"/>
    <n v="46.2"/>
    <x v="0"/>
    <m/>
    <n v="6"/>
    <m/>
    <n v="22714"/>
    <s v="ROSADO"/>
    <n v="5.5"/>
    <n v="0"/>
    <n v="0"/>
    <n v="7.2380000000000004"/>
    <n v="46.2"/>
    <n v="23.5"/>
    <n v="1965.9574468085107"/>
    <x v="8"/>
    <x v="0"/>
    <n v="37"/>
    <n v="2"/>
    <n v="51.333333333333336"/>
  </r>
  <r>
    <d v="2025-10-01T08:00:00"/>
    <s v="INYECTADO"/>
    <x v="7"/>
    <x v="220"/>
    <s v="KARLA HUISA"/>
    <m/>
    <m/>
    <m/>
    <s v="VASO SORBETE PASTEL"/>
    <s v="VASO SORBETE PASTEL-ROSADO"/>
    <n v="248"/>
    <n v="4"/>
    <n v="37.299999999999997"/>
    <x v="0"/>
    <m/>
    <n v="6"/>
    <m/>
    <n v="22715"/>
    <s v="ROSADO"/>
    <n v="3.5"/>
    <n v="0"/>
    <n v="0"/>
    <n v="5.8280000000000003"/>
    <n v="37.299999999999997"/>
    <n v="23.5"/>
    <n v="1587.2340425531916"/>
    <x v="8"/>
    <x v="0"/>
    <n v="37"/>
    <n v="2"/>
    <n v="41.333333333333336"/>
  </r>
  <r>
    <d v="2025-10-01T08:00:00"/>
    <s v="INYECTADO"/>
    <x v="7"/>
    <x v="220"/>
    <s v="KARLA HUISA"/>
    <m/>
    <m/>
    <m/>
    <s v="VASO SORBETE PASTEL"/>
    <s v="VASO SORBETE PASTEL-LILA"/>
    <n v="520"/>
    <n v="7"/>
    <n v="78.099999999999994"/>
    <x v="0"/>
    <m/>
    <n v="10"/>
    <m/>
    <n v="22715"/>
    <s v="LILA"/>
    <n v="4.8"/>
    <n v="0"/>
    <n v="0"/>
    <n v="12.22"/>
    <n v="78.099999999999994"/>
    <n v="23.5"/>
    <n v="3323.4042553191489"/>
    <x v="8"/>
    <x v="0"/>
    <n v="37"/>
    <n v="2"/>
    <n v="86.666666666666671"/>
  </r>
  <r>
    <d v="2025-10-01T08:00:00"/>
    <s v="INYECTADO"/>
    <x v="7"/>
    <x v="224"/>
    <s v="NELSON PINEDO"/>
    <m/>
    <m/>
    <m/>
    <s v="PORTA YOGURT PASTEL"/>
    <s v="ROSCA PORTA YOGURT-LILA"/>
    <n v="183"/>
    <n v="2"/>
    <n v="14.7"/>
    <x v="0"/>
    <m/>
    <n v="1"/>
    <m/>
    <n v="22716"/>
    <s v="LILA"/>
    <n v="3.3"/>
    <n v="0"/>
    <n v="0"/>
    <e v="#N/A"/>
    <n v="14.7"/>
    <e v="#N/A"/>
    <n v="0"/>
    <x v="8"/>
    <x v="0"/>
    <n v="37"/>
    <e v="#N/A"/>
    <e v="#N/A"/>
  </r>
  <r>
    <d v="2025-10-01T08:00:00"/>
    <s v="INYECTADO"/>
    <x v="7"/>
    <x v="225"/>
    <s v="JUANA CRUCES"/>
    <m/>
    <m/>
    <m/>
    <s v="PORTA YOGURT PASTEL"/>
    <s v="ROSCA PORTA YOGURT-LILA"/>
    <n v="353"/>
    <n v="4"/>
    <n v="28.3"/>
    <x v="0"/>
    <m/>
    <n v="2"/>
    <m/>
    <n v="22717"/>
    <s v="LILA"/>
    <n v="7.3"/>
    <n v="0"/>
    <n v="0"/>
    <e v="#N/A"/>
    <n v="28.3"/>
    <e v="#N/A"/>
    <n v="0"/>
    <x v="8"/>
    <x v="0"/>
    <n v="38"/>
    <e v="#N/A"/>
    <e v="#N/A"/>
  </r>
  <r>
    <d v="2025-10-01T08:00:00"/>
    <s v="INYECTADO"/>
    <x v="7"/>
    <x v="225"/>
    <s v="JUANA CRUCES"/>
    <m/>
    <m/>
    <m/>
    <s v="PORTA YOGURT PASTEL"/>
    <s v="ROSCA PORTA YOGURT-ROSADO"/>
    <n v="530"/>
    <n v="6"/>
    <n v="43.5"/>
    <x v="0"/>
    <m/>
    <n v="3"/>
    <m/>
    <n v="22717"/>
    <s v="ROSADO"/>
    <n v="11.9"/>
    <n v="0"/>
    <n v="0"/>
    <e v="#N/A"/>
    <n v="43.5"/>
    <e v="#N/A"/>
    <n v="0"/>
    <x v="8"/>
    <x v="0"/>
    <n v="38"/>
    <e v="#N/A"/>
    <e v="#N/A"/>
  </r>
  <r>
    <d v="2025-10-01T08:00:00"/>
    <s v="INYECTADO"/>
    <x v="7"/>
    <x v="225"/>
    <s v="JUANA CRUCES"/>
    <m/>
    <m/>
    <m/>
    <s v="PORTA YOGURT PASTEL"/>
    <s v="ROSCA PORTA YOGURT-AZUL"/>
    <n v="84"/>
    <n v="1"/>
    <n v="6.9"/>
    <x v="0"/>
    <m/>
    <n v="1"/>
    <m/>
    <n v="22717"/>
    <s v="AZUL"/>
    <n v="0"/>
    <n v="0"/>
    <n v="0"/>
    <e v="#N/A"/>
    <n v="6.9"/>
    <e v="#N/A"/>
    <n v="0"/>
    <x v="8"/>
    <x v="0"/>
    <n v="38"/>
    <e v="#N/A"/>
    <e v="#N/A"/>
  </r>
  <r>
    <d v="2025-10-01T08:00:00"/>
    <s v="INYECTADO"/>
    <x v="7"/>
    <x v="225"/>
    <s v="JOSDER GONZALEZ"/>
    <m/>
    <m/>
    <m/>
    <s v="PORTA YOGURT PASTEL"/>
    <s v="ROSCA PORTA YOGURT-AZUL"/>
    <n v="452"/>
    <n v="5"/>
    <n v="37.1"/>
    <x v="1"/>
    <m/>
    <n v="5"/>
    <m/>
    <n v="22718"/>
    <s v="AZUL"/>
    <n v="10.9"/>
    <n v="0"/>
    <n v="0"/>
    <e v="#N/A"/>
    <n v="37.1"/>
    <e v="#N/A"/>
    <n v="0"/>
    <x v="8"/>
    <x v="0"/>
    <n v="38"/>
    <e v="#N/A"/>
    <e v="#N/A"/>
  </r>
  <r>
    <d v="2025-10-01T08:00:00"/>
    <s v="INYECTADO"/>
    <x v="7"/>
    <x v="225"/>
    <s v="JOSDER GONZALEZ"/>
    <m/>
    <m/>
    <m/>
    <s v="PORTA YOGURT PASTEL"/>
    <s v="ROSCA PORTA YOGURT-PLOMO"/>
    <n v="186"/>
    <n v="3"/>
    <n v="15.3"/>
    <x v="1"/>
    <m/>
    <n v="3"/>
    <m/>
    <n v="22718"/>
    <s v="PLOMO"/>
    <n v="9.5"/>
    <n v="0"/>
    <n v="0"/>
    <e v="#N/A"/>
    <n v="15.3"/>
    <e v="#N/A"/>
    <n v="0"/>
    <x v="8"/>
    <x v="0"/>
    <n v="38"/>
    <e v="#N/A"/>
    <e v="#N/A"/>
  </r>
  <r>
    <d v="2025-10-01T08:00:00"/>
    <s v="INYECTADO"/>
    <x v="7"/>
    <x v="203"/>
    <s v="GABRIEL REQUENA"/>
    <m/>
    <m/>
    <m/>
    <s v="ORGANIZADOR  DE 2KG PASTEL"/>
    <s v="TAPA DE ORGANIZADOR #2 PASTEL-BLANCO"/>
    <n v="1064"/>
    <n v="10"/>
    <n v="44.6"/>
    <x v="1"/>
    <m/>
    <n v="9"/>
    <m/>
    <n v="22720"/>
    <s v="BLANCO"/>
    <n v="4.4000000000000004"/>
    <n v="0"/>
    <n v="0"/>
    <e v="#N/A"/>
    <n v="44.6"/>
    <e v="#N/A"/>
    <n v="0"/>
    <x v="8"/>
    <x v="0"/>
    <n v="38"/>
    <e v="#N/A"/>
    <e v="#N/A"/>
  </r>
  <r>
    <d v="2025-10-01T08:00:00"/>
    <s v="INYECTADO"/>
    <x v="7"/>
    <x v="203"/>
    <s v="LUIS PINEDO"/>
    <m/>
    <m/>
    <m/>
    <s v="PORTA YOGURT PASTEL"/>
    <s v="ROSCA PORTA YOGURT-PLOMO"/>
    <n v="374"/>
    <n v="6"/>
    <n v="31.1"/>
    <x v="0"/>
    <m/>
    <n v="2"/>
    <m/>
    <n v="22719"/>
    <s v="PLOMO"/>
    <n v="0"/>
    <n v="0"/>
    <n v="0"/>
    <e v="#N/A"/>
    <n v="31.1"/>
    <e v="#N/A"/>
    <n v="0"/>
    <x v="8"/>
    <x v="0"/>
    <n v="38"/>
    <e v="#N/A"/>
    <e v="#N/A"/>
  </r>
  <r>
    <d v="2025-10-01T08:00:00"/>
    <s v="INYECTADO"/>
    <x v="7"/>
    <x v="204"/>
    <s v="CRISALIDA ZAPATA"/>
    <m/>
    <m/>
    <m/>
    <s v="ORGANIZADOR  DE 2KG PASTEL"/>
    <s v="TAPA DE ORGANIZADOR #2 PASTEL-BLANCO"/>
    <n v="1459"/>
    <n v="11"/>
    <n v="61.3"/>
    <x v="0"/>
    <m/>
    <n v="13"/>
    <m/>
    <n v="22721"/>
    <s v="BLANCO"/>
    <n v="0.3"/>
    <n v="0"/>
    <n v="0"/>
    <e v="#N/A"/>
    <n v="61.3"/>
    <e v="#N/A"/>
    <n v="0"/>
    <x v="8"/>
    <x v="0"/>
    <n v="38"/>
    <e v="#N/A"/>
    <e v="#N/A"/>
  </r>
  <r>
    <d v="2025-10-01T08:00:00"/>
    <s v="INYECTADO"/>
    <x v="7"/>
    <x v="204"/>
    <s v="JOSDER GONZALEZ"/>
    <m/>
    <m/>
    <m/>
    <s v="ORGANIZADOR  DE 2KG PASTEL"/>
    <s v="TAPA DE ORGANIZADOR #2 PASTEL-BLANCO"/>
    <n v="1468"/>
    <n v="12"/>
    <n v="61.6"/>
    <x v="1"/>
    <m/>
    <n v="13"/>
    <m/>
    <n v="22722"/>
    <s v="BLANCO"/>
    <n v="0.5"/>
    <n v="0"/>
    <n v="0"/>
    <e v="#N/A"/>
    <n v="61.6"/>
    <e v="#N/A"/>
    <n v="0"/>
    <x v="8"/>
    <x v="0"/>
    <n v="38"/>
    <e v="#N/A"/>
    <e v="#N/A"/>
  </r>
  <r>
    <d v="2025-10-01T08:00:00"/>
    <s v="INYECTADO"/>
    <x v="7"/>
    <x v="205"/>
    <s v="CRISALIDA ZAPATA"/>
    <m/>
    <m/>
    <m/>
    <s v="ORGANIZADOR  DE 2KG PASTEL"/>
    <s v="TAPA DE ORGANIZADOR #2 PASTEL-BLANCO"/>
    <n v="1210"/>
    <n v="11"/>
    <n v="50.8"/>
    <x v="0"/>
    <m/>
    <n v="11"/>
    <m/>
    <n v="22723"/>
    <s v="BLANCO"/>
    <n v="1.4"/>
    <n v="0"/>
    <n v="0"/>
    <e v="#N/A"/>
    <n v="50.8"/>
    <e v="#N/A"/>
    <n v="0"/>
    <x v="8"/>
    <x v="0"/>
    <n v="38"/>
    <e v="#N/A"/>
    <e v="#N/A"/>
  </r>
  <r>
    <d v="2025-10-01T08:00:00"/>
    <s v="INYECTADO"/>
    <x v="7"/>
    <x v="206"/>
    <s v="CRISALIDA ZAPATA"/>
    <m/>
    <m/>
    <m/>
    <s v="ORGANIZADOR  DE 2KG PASTEL"/>
    <s v="TAPA DE ORGANIZADOR #2 PASTEL-BLANCO"/>
    <n v="1120"/>
    <n v="11"/>
    <n v="45.9"/>
    <x v="0"/>
    <m/>
    <n v="10"/>
    <m/>
    <n v="22724"/>
    <s v="BLANCO"/>
    <n v="0"/>
    <n v="0"/>
    <n v="0"/>
    <e v="#N/A"/>
    <n v="45.9"/>
    <e v="#N/A"/>
    <n v="0"/>
    <x v="8"/>
    <x v="0"/>
    <n v="38"/>
    <e v="#N/A"/>
    <e v="#N/A"/>
  </r>
  <r>
    <d v="2025-10-01T08:00:00"/>
    <s v="INYECTADO"/>
    <x v="7"/>
    <x v="206"/>
    <s v="JOSDER GONZALEZ"/>
    <m/>
    <m/>
    <m/>
    <s v="ORGANIZADOR  DE 2KG PASTEL"/>
    <s v="TAPA DE ORGANIZADOR #2 PASTEL-BLANCO"/>
    <n v="710"/>
    <n v="6"/>
    <n v="29.8"/>
    <x v="1"/>
    <m/>
    <n v="7"/>
    <m/>
    <n v="22725"/>
    <s v="BLANCO"/>
    <n v="0.9"/>
    <n v="0"/>
    <n v="0"/>
    <e v="#N/A"/>
    <n v="29.8"/>
    <e v="#N/A"/>
    <n v="0"/>
    <x v="8"/>
    <x v="0"/>
    <n v="38"/>
    <e v="#N/A"/>
    <e v="#N/A"/>
  </r>
  <r>
    <d v="2025-10-01T08:00:00"/>
    <s v="INYECTADO"/>
    <x v="7"/>
    <x v="207"/>
    <s v="CRISALIDA ZAPATA"/>
    <m/>
    <m/>
    <m/>
    <s v="ORGANIZADOR  DE 2KG PASTEL"/>
    <s v="TAPA DE ORGANIZADOR #2 PASTEL-BLANCO"/>
    <n v="212"/>
    <n v="2"/>
    <n v="8.9"/>
    <x v="0"/>
    <m/>
    <n v="2"/>
    <m/>
    <n v="22726"/>
    <s v="BLANCO"/>
    <n v="5.9"/>
    <n v="0"/>
    <n v="0"/>
    <e v="#N/A"/>
    <n v="8.9"/>
    <e v="#N/A"/>
    <n v="0"/>
    <x v="8"/>
    <x v="0"/>
    <n v="38"/>
    <e v="#N/A"/>
    <e v="#N/A"/>
  </r>
  <r>
    <d v="2025-10-01T08:00:00"/>
    <s v="INYECTADO"/>
    <x v="7"/>
    <x v="207"/>
    <s v="CRISALIDA ZAPATA"/>
    <m/>
    <m/>
    <m/>
    <s v="ORGANIZADOR  DE 2KG TRANSPARENTE"/>
    <s v="TAPA DE ORGANIZADOR  DE 2KG TRANSPARENTE"/>
    <n v="800"/>
    <n v="9"/>
    <n v="32.799999999999997"/>
    <x v="0"/>
    <m/>
    <n v="8"/>
    <m/>
    <n v="22726"/>
    <s v="TRANSPARENTE"/>
    <n v="5.2"/>
    <n v="0"/>
    <n v="0"/>
    <e v="#N/A"/>
    <n v="32.799999999999997"/>
    <e v="#N/A"/>
    <n v="0"/>
    <x v="8"/>
    <x v="0"/>
    <n v="38"/>
    <e v="#N/A"/>
    <e v="#N/A"/>
  </r>
  <r>
    <d v="2025-10-01T08:00:00"/>
    <s v="INYECTADO"/>
    <x v="7"/>
    <x v="202"/>
    <s v="CRISALIDA ZAPATA"/>
    <m/>
    <m/>
    <m/>
    <s v="ORGANIZADOR  DE 2KG TRANSPARENTE"/>
    <s v="TAPA DE ORGANIZADOR  DE 2KG TRANSPARENTE"/>
    <n v="1251"/>
    <n v="11"/>
    <n v="53.7"/>
    <x v="0"/>
    <m/>
    <n v="12"/>
    <m/>
    <n v="22727"/>
    <s v="TRANSPARENTE"/>
    <n v="0.7"/>
    <n v="0"/>
    <n v="0"/>
    <e v="#N/A"/>
    <n v="53.7"/>
    <e v="#N/A"/>
    <n v="0"/>
    <x v="8"/>
    <x v="0"/>
    <n v="39"/>
    <e v="#N/A"/>
    <e v="#N/A"/>
  </r>
  <r>
    <d v="2025-10-01T08:00:00"/>
    <s v="INYECTADO"/>
    <x v="7"/>
    <x v="202"/>
    <s v="JOSDER GONZALEZ"/>
    <m/>
    <m/>
    <m/>
    <s v="ORGANIZADOR  DE 2KG TRANSPARENTE"/>
    <s v="TAPA DE ORGANIZADOR  DE 2KG TRANSPARENTE"/>
    <n v="1417"/>
    <n v="12"/>
    <n v="60.9"/>
    <x v="1"/>
    <m/>
    <n v="14"/>
    <m/>
    <n v="22728"/>
    <s v="TRANSPARENTE"/>
    <n v="0.5"/>
    <n v="0"/>
    <n v="0"/>
    <e v="#N/A"/>
    <n v="60.9"/>
    <e v="#N/A"/>
    <n v="0"/>
    <x v="8"/>
    <x v="0"/>
    <n v="39"/>
    <e v="#N/A"/>
    <e v="#N/A"/>
  </r>
  <r>
    <d v="2025-10-01T08:00:00"/>
    <s v="INYECTADO"/>
    <x v="7"/>
    <x v="208"/>
    <s v="CRISALIDA ZAPATA"/>
    <m/>
    <m/>
    <m/>
    <s v="ORGANIZADOR  DE 2KG TRANSPARENTE"/>
    <s v="TAPA DE ORGANIZADOR  DE 2KG TRANSPARENTE"/>
    <n v="1348"/>
    <n v="11"/>
    <n v="58"/>
    <x v="0"/>
    <m/>
    <n v="12"/>
    <m/>
    <n v="22729"/>
    <s v="TRANSPARENTE"/>
    <n v="0.4"/>
    <n v="0"/>
    <n v="0"/>
    <e v="#N/A"/>
    <n v="58"/>
    <e v="#N/A"/>
    <n v="0"/>
    <x v="8"/>
    <x v="0"/>
    <n v="39"/>
    <e v="#N/A"/>
    <e v="#N/A"/>
  </r>
  <r>
    <d v="2025-10-01T08:00:00"/>
    <s v="INYECTADO"/>
    <x v="7"/>
    <x v="208"/>
    <s v="JOSDER GONZALEZ"/>
    <m/>
    <m/>
    <m/>
    <s v="ORGANIZADOR  DE 2KG TRANSPARENTE"/>
    <s v="TAPA DE ORGANIZADOR  DE 2KG TRANSPARENTE"/>
    <n v="1469"/>
    <n v="12"/>
    <n v="64.7"/>
    <x v="1"/>
    <m/>
    <n v="13"/>
    <m/>
    <n v="22730"/>
    <s v="TRANSPARENTE"/>
    <n v="0.6"/>
    <n v="0"/>
    <n v="0"/>
    <e v="#N/A"/>
    <n v="64.7"/>
    <e v="#N/A"/>
    <n v="0"/>
    <x v="8"/>
    <x v="0"/>
    <n v="39"/>
    <e v="#N/A"/>
    <e v="#N/A"/>
  </r>
  <r>
    <d v="2025-10-01T08:00:00"/>
    <s v="INYECTADO"/>
    <x v="7"/>
    <x v="209"/>
    <s v="CRISALIDA ZAPATA"/>
    <m/>
    <m/>
    <m/>
    <s v="ORGANIZADOR  DE 2KG TRANSPARENTE"/>
    <s v="TAPA DE ORGANIZADOR  DE 2KG TRANSPARENTE"/>
    <n v="240"/>
    <n v="2"/>
    <n v="10.5"/>
    <x v="0"/>
    <m/>
    <n v="4"/>
    <m/>
    <n v="22731"/>
    <s v="TRANSPARENTE"/>
    <n v="0"/>
    <n v="0"/>
    <n v="0"/>
    <e v="#N/A"/>
    <n v="10.5"/>
    <e v="#N/A"/>
    <n v="0"/>
    <x v="8"/>
    <x v="0"/>
    <n v="39"/>
    <e v="#N/A"/>
    <e v="#N/A"/>
  </r>
  <r>
    <d v="2025-10-01T08:00:00"/>
    <s v="INYECTADO"/>
    <x v="7"/>
    <x v="209"/>
    <s v="CRISALIDA ZAPATA"/>
    <m/>
    <m/>
    <m/>
    <s v="ORGANIZADOR  DE 2KG CARAMELO"/>
    <s v="TAPA DE ORGANIZADOR  DE 2KG CARAMELO-AMARILLO"/>
    <n v="1072"/>
    <n v="9"/>
    <n v="47.1"/>
    <x v="0"/>
    <m/>
    <n v="9"/>
    <m/>
    <n v="22731"/>
    <s v="AMARILLO"/>
    <n v="0.8"/>
    <n v="0"/>
    <n v="0"/>
    <e v="#N/A"/>
    <n v="47.1"/>
    <e v="#N/A"/>
    <n v="0"/>
    <x v="8"/>
    <x v="0"/>
    <n v="39"/>
    <e v="#N/A"/>
    <e v="#N/A"/>
  </r>
  <r>
    <d v="2025-10-01T08:00:00"/>
    <s v="INYECTADO"/>
    <x v="7"/>
    <x v="209"/>
    <s v="ISABEL LINARIZ "/>
    <m/>
    <m/>
    <m/>
    <s v="ORGANIZADOR  DE 2KG CARAMELO"/>
    <s v="TAPA DE ORGANIZADOR  DE 2KG CARAMELO-AMARILLO"/>
    <n v="76"/>
    <n v="1"/>
    <n v="3.3"/>
    <x v="1"/>
    <m/>
    <n v="2"/>
    <m/>
    <n v="22732"/>
    <s v="AMARILLO"/>
    <n v="0"/>
    <n v="0"/>
    <n v="0"/>
    <e v="#N/A"/>
    <n v="3.3"/>
    <e v="#N/A"/>
    <n v="0"/>
    <x v="8"/>
    <x v="0"/>
    <n v="39"/>
    <e v="#N/A"/>
    <e v="#N/A"/>
  </r>
  <r>
    <d v="2025-10-01T08:00:00"/>
    <s v="INYECTADO"/>
    <x v="7"/>
    <x v="209"/>
    <s v="ISABEL LINARIZ "/>
    <m/>
    <m/>
    <m/>
    <s v="ORGANIZADOR  DE 2KG CARAMELO"/>
    <s v="TAPA DE ORGANIZADOR  DE 2KG CARAMELO-VERDE"/>
    <n v="1142"/>
    <n v="9"/>
    <n v="50.2"/>
    <x v="1"/>
    <m/>
    <n v="10"/>
    <m/>
    <n v="22732"/>
    <s v="VERDE"/>
    <n v="2.4"/>
    <n v="0"/>
    <n v="0"/>
    <e v="#N/A"/>
    <n v="50.2"/>
    <e v="#N/A"/>
    <n v="0"/>
    <x v="8"/>
    <x v="0"/>
    <n v="39"/>
    <e v="#N/A"/>
    <e v="#N/A"/>
  </r>
  <r>
    <d v="2025-10-01T08:00:00"/>
    <s v="INYECTADO"/>
    <x v="7"/>
    <x v="209"/>
    <s v="ISABEL LINARIZ "/>
    <m/>
    <m/>
    <m/>
    <s v="ORGANIZADOR  DE 2KG CARAMELO"/>
    <s v="TAPA DE ORGANIZADOR  DE 2KG CARAMELO-FUCSIA"/>
    <n v="150"/>
    <n v="2"/>
    <n v="6.6"/>
    <x v="1"/>
    <m/>
    <n v="2"/>
    <m/>
    <n v="22732"/>
    <s v="FUCSIA"/>
    <n v="2"/>
    <n v="0"/>
    <n v="0"/>
    <e v="#N/A"/>
    <n v="6.6"/>
    <e v="#N/A"/>
    <n v="0"/>
    <x v="8"/>
    <x v="0"/>
    <n v="39"/>
    <e v="#N/A"/>
    <e v="#N/A"/>
  </r>
  <r>
    <d v="2025-10-01T08:00:00"/>
    <s v="INYECTADO"/>
    <x v="7"/>
    <x v="210"/>
    <s v="CRISALIDA ZAPATA"/>
    <m/>
    <m/>
    <m/>
    <s v="ORGANIZADOR  DE 2KG CARAMELO"/>
    <s v="TAPA DE ORGANIZADOR  DE 2KG CARAMELO-FUCSIA"/>
    <n v="1015"/>
    <n v="8"/>
    <n v="44.6"/>
    <x v="0"/>
    <m/>
    <n v="9"/>
    <m/>
    <n v="22733"/>
    <s v="FUCSIA"/>
    <n v="0.2"/>
    <n v="0"/>
    <n v="0"/>
    <e v="#N/A"/>
    <n v="44.6"/>
    <e v="#N/A"/>
    <n v="0"/>
    <x v="8"/>
    <x v="0"/>
    <n v="39"/>
    <e v="#N/A"/>
    <e v="#N/A"/>
  </r>
  <r>
    <d v="2025-10-01T08:00:00"/>
    <s v="INYECTADO"/>
    <x v="7"/>
    <x v="210"/>
    <s v="CRISALIDA ZAPATA"/>
    <m/>
    <m/>
    <m/>
    <s v="ORGANIZADOR  DE 2KG CARAMELO"/>
    <s v="TAPA DE ORGANIZADOR  DE 2KG CARAMELO-LILA"/>
    <n v="304"/>
    <n v="3"/>
    <n v="13.3"/>
    <x v="0"/>
    <m/>
    <n v="2"/>
    <m/>
    <n v="22733"/>
    <s v="LILA"/>
    <n v="0.2"/>
    <n v="0"/>
    <n v="0"/>
    <e v="#N/A"/>
    <n v="13.3"/>
    <e v="#N/A"/>
    <n v="0"/>
    <x v="8"/>
    <x v="0"/>
    <n v="39"/>
    <e v="#N/A"/>
    <e v="#N/A"/>
  </r>
  <r>
    <d v="2025-10-01T08:00:00"/>
    <s v="INYECTADO"/>
    <x v="7"/>
    <x v="210"/>
    <s v="JUAN MANUEL "/>
    <m/>
    <m/>
    <m/>
    <s v="ORGANIZADOR  DE 2KG CARAMELO"/>
    <s v="TAPA DE ORGANIZADOR  DE 2KG CARAMELO-LILA"/>
    <n v="840"/>
    <n v="8"/>
    <n v="36.9"/>
    <x v="1"/>
    <m/>
    <n v="8"/>
    <m/>
    <n v="22734"/>
    <s v="LILA"/>
    <n v="2.2999999999999998"/>
    <n v="0"/>
    <n v="0"/>
    <e v="#N/A"/>
    <n v="36.9"/>
    <e v="#N/A"/>
    <n v="0"/>
    <x v="8"/>
    <x v="0"/>
    <n v="39"/>
    <e v="#N/A"/>
    <e v="#N/A"/>
  </r>
  <r>
    <d v="2025-10-01T08:00:00"/>
    <s v="INYECTADO"/>
    <x v="7"/>
    <x v="210"/>
    <s v="JUAN MANUEL "/>
    <m/>
    <m/>
    <m/>
    <s v="ORGANIZADOR  DE 2KG CARAMELO"/>
    <s v="TAPA DE ORGANIZADOR  DE 2KG CARAMELO-AZUL"/>
    <n v="481"/>
    <n v="4"/>
    <n v="21.2"/>
    <x v="1"/>
    <m/>
    <n v="3"/>
    <m/>
    <n v="22734"/>
    <s v="AZUL"/>
    <n v="2.7"/>
    <n v="0"/>
    <n v="0"/>
    <e v="#N/A"/>
    <n v="21.2"/>
    <e v="#N/A"/>
    <n v="0"/>
    <x v="8"/>
    <x v="0"/>
    <n v="39"/>
    <e v="#N/A"/>
    <e v="#N/A"/>
  </r>
  <r>
    <d v="2025-10-01T08:00:00"/>
    <s v="INYECTADO"/>
    <x v="7"/>
    <x v="227"/>
    <s v="CRISALIDA ZAPATA"/>
    <m/>
    <m/>
    <m/>
    <s v="ORGANIZADOR  DE 2KG CARAMELO"/>
    <s v="TAPA DE ORGANIZADOR  DE 2KG CARAMELO-AZUL"/>
    <n v="668"/>
    <n v="6"/>
    <n v="59.4"/>
    <x v="0"/>
    <m/>
    <n v="7"/>
    <m/>
    <n v="22735"/>
    <s v="AZUL"/>
    <n v="0"/>
    <n v="0"/>
    <n v="0"/>
    <e v="#N/A"/>
    <n v="59.4"/>
    <e v="#N/A"/>
    <n v="0"/>
    <x v="8"/>
    <x v="0"/>
    <n v="39"/>
    <e v="#N/A"/>
    <e v="#N/A"/>
  </r>
  <r>
    <d v="2025-10-01T08:00:00"/>
    <s v="INYECTADO"/>
    <x v="7"/>
    <x v="227"/>
    <s v="CRISALIDA ZAPATA"/>
    <m/>
    <m/>
    <m/>
    <s v="ORGANIZADOR  DE 2KG CARAMELO"/>
    <s v="TAPA DE ORGANIZADOR  DE 2KG CARAMELO-ROJO"/>
    <n v="510"/>
    <n v="5"/>
    <n v="22.4"/>
    <x v="0"/>
    <m/>
    <n v="5"/>
    <m/>
    <n v="22735"/>
    <s v="ROJO"/>
    <n v="0"/>
    <n v="0"/>
    <n v="0"/>
    <e v="#N/A"/>
    <n v="22.4"/>
    <e v="#N/A"/>
    <n v="0"/>
    <x v="8"/>
    <x v="0"/>
    <n v="39"/>
    <e v="#N/A"/>
    <e v="#N/A"/>
  </r>
  <r>
    <d v="2025-10-01T08:00:00"/>
    <s v="INYECTADO"/>
    <x v="7"/>
    <x v="227"/>
    <s v="JUAN MANUEL "/>
    <m/>
    <m/>
    <m/>
    <s v="ORGANIZADOR  DE 2KG CARAMELO"/>
    <s v="TAPA DE ORGANIZADOR  DE 2KG CARAMELO-ROJO"/>
    <n v="658"/>
    <n v="6"/>
    <n v="29.6"/>
    <x v="1"/>
    <m/>
    <n v="6"/>
    <m/>
    <n v="22736"/>
    <s v="ROJO"/>
    <n v="4"/>
    <n v="0"/>
    <n v="0"/>
    <e v="#N/A"/>
    <n v="29.6"/>
    <e v="#N/A"/>
    <n v="0"/>
    <x v="8"/>
    <x v="0"/>
    <n v="39"/>
    <e v="#N/A"/>
    <e v="#N/A"/>
  </r>
  <r>
    <d v="2025-10-01T08:00:00"/>
    <s v="INYECTADO"/>
    <x v="7"/>
    <x v="227"/>
    <s v="JUAN MANUEL "/>
    <m/>
    <m/>
    <m/>
    <s v="ORGANIZADOR  DE 2KG NAVIDAD"/>
    <s v="TAPA DE ORGANIZADOR #2 BRILLITO-TRANSPARENTE"/>
    <n v="634"/>
    <n v="6"/>
    <n v="28.5"/>
    <x v="1"/>
    <m/>
    <n v="6"/>
    <m/>
    <n v="22736"/>
    <s v="ROJO"/>
    <n v="0"/>
    <n v="0"/>
    <n v="0"/>
    <n v="30.431999999999999"/>
    <n v="28.5"/>
    <n v="48"/>
    <n v="593.75"/>
    <x v="8"/>
    <x v="0"/>
    <n v="39"/>
    <n v="2"/>
    <n v="105.66666666666667"/>
  </r>
  <r>
    <d v="2025-10-01T08:00:00"/>
    <s v="INYECTADO"/>
    <x v="7"/>
    <x v="226"/>
    <s v="CRISALIDA ZAPATA"/>
    <m/>
    <m/>
    <m/>
    <s v="ORGANIZADOR  DE 2KG NAVIDAD"/>
    <s v="TAPA DE ORGANIZADOR #2 BRILLITO-TRANSPARENTE"/>
    <n v="729"/>
    <n v="9"/>
    <n v="32.799999999999997"/>
    <x v="0"/>
    <m/>
    <n v="6"/>
    <m/>
    <n v="22737"/>
    <s v="TRANSPARENTE"/>
    <n v="0"/>
    <n v="0"/>
    <n v="0"/>
    <n v="34.991999999999997"/>
    <n v="32.799999999999997"/>
    <n v="48"/>
    <n v="683.33333333333337"/>
    <x v="8"/>
    <x v="0"/>
    <n v="39"/>
    <n v="2"/>
    <n v="121.5"/>
  </r>
  <r>
    <d v="2025-10-01T08:00:00"/>
    <s v="INYECTADO"/>
    <x v="7"/>
    <x v="226"/>
    <s v="CRISALIDA ZAPATA"/>
    <m/>
    <m/>
    <m/>
    <s v="ORGANIZADOR  DE 2KG NAVIDAD"/>
    <s v="TAPA DE ORGANIZADOR #2 NAVIDAD-BLANCO"/>
    <n v="467"/>
    <n v="5"/>
    <n v="20.9"/>
    <x v="0"/>
    <m/>
    <n v="2"/>
    <m/>
    <n v="22737"/>
    <s v="BLANCO"/>
    <n v="0"/>
    <n v="0"/>
    <n v="0"/>
    <n v="0"/>
    <n v="20.9"/>
    <n v="0"/>
    <n v="0"/>
    <x v="8"/>
    <x v="0"/>
    <n v="39"/>
    <n v="0"/>
    <n v="0"/>
  </r>
  <r>
    <d v="2025-10-01T08:00:00"/>
    <s v="INYECTADO"/>
    <x v="7"/>
    <x v="226"/>
    <s v="ISABEL LINARIZ "/>
    <m/>
    <m/>
    <m/>
    <s v="ORGANIZADOR  DE 2KG NAVIDAD"/>
    <s v="TAPA DE ORGANIZADOR #2 NAVIDAD-BLANCO"/>
    <n v="1377"/>
    <n v="12"/>
    <n v="61.9"/>
    <x v="1"/>
    <m/>
    <n v="12"/>
    <m/>
    <n v="22738"/>
    <s v="BLANCO"/>
    <n v="0"/>
    <n v="0"/>
    <n v="0"/>
    <n v="0"/>
    <n v="61.9"/>
    <n v="0"/>
    <n v="0"/>
    <x v="8"/>
    <x v="0"/>
    <n v="39"/>
    <n v="0"/>
    <n v="0"/>
  </r>
  <r>
    <d v="2025-10-01T08:00:00"/>
    <s v="INYECTADO"/>
    <x v="7"/>
    <x v="228"/>
    <s v="JOSDER GONZALEZ"/>
    <m/>
    <m/>
    <m/>
    <s v="ORGANIZADOR  DE 2KG NAVIDAD"/>
    <s v="TAPA DE ORGANIZADOR #2 NAVIDAD-BLANCO"/>
    <n v="1464"/>
    <n v="12"/>
    <n v="65.900000000000006"/>
    <x v="1"/>
    <m/>
    <n v="13"/>
    <m/>
    <n v="22739"/>
    <s v="BLANCO"/>
    <n v="0.7"/>
    <n v="0"/>
    <n v="0"/>
    <n v="0"/>
    <n v="65.900000000000006"/>
    <n v="0"/>
    <n v="0"/>
    <x v="8"/>
    <x v="0"/>
    <n v="39"/>
    <n v="0"/>
    <n v="0"/>
  </r>
  <r>
    <d v="2025-10-01T08:00:00"/>
    <s v="INYECTADO"/>
    <x v="7"/>
    <x v="211"/>
    <s v="CRISALIDA ZAPATA"/>
    <m/>
    <m/>
    <m/>
    <s v="ORGANIZADOR  DE 2KG NAVIDAD"/>
    <s v="TAPA DE ORGANIZADOR #2 NAVIDAD-BLANCO"/>
    <n v="838"/>
    <n v="7"/>
    <n v="37.700000000000003"/>
    <x v="0"/>
    <m/>
    <n v="8"/>
    <m/>
    <n v="22740"/>
    <s v="BLANCO"/>
    <n v="6.3"/>
    <n v="0"/>
    <n v="0"/>
    <n v="0"/>
    <n v="37.700000000000003"/>
    <n v="0"/>
    <n v="0"/>
    <x v="8"/>
    <x v="0"/>
    <n v="40"/>
    <n v="0"/>
    <n v="0"/>
  </r>
  <r>
    <d v="2025-10-01T08:00:00"/>
    <s v="INYECTADO"/>
    <x v="7"/>
    <x v="211"/>
    <s v="CRISALIDA ZAPATA"/>
    <m/>
    <m/>
    <m/>
    <s v="ORGANIZADOR  DE 2KG NAVIDAD"/>
    <s v="TAPA DE ORGANIZADOR #2 BRILLITO-TRANSPARENTE"/>
    <n v="231"/>
    <n v="2"/>
    <n v="10.4"/>
    <x v="0"/>
    <m/>
    <n v="2"/>
    <m/>
    <n v="22740"/>
    <s v="TRANSPARENTE"/>
    <n v="0"/>
    <n v="0"/>
    <n v="0"/>
    <n v="11.087999999999999"/>
    <n v="10.4"/>
    <n v="48"/>
    <n v="216.66666666666666"/>
    <x v="8"/>
    <x v="0"/>
    <n v="40"/>
    <n v="2"/>
    <n v="38.5"/>
  </r>
  <r>
    <d v="2025-10-01T08:00:00"/>
    <s v="INYECTADO"/>
    <x v="7"/>
    <x v="211"/>
    <s v="JOSDER GONZALEZ"/>
    <m/>
    <m/>
    <m/>
    <s v="ORGANIZADOR  DE 2KG NAVIDAD"/>
    <s v="TAPA DE ORGANIZADOR #2 BRILLITO-TRANSPARENTE"/>
    <n v="1144"/>
    <n v="11"/>
    <n v="51.5"/>
    <x v="1"/>
    <m/>
    <n v="12"/>
    <m/>
    <n v="22741"/>
    <s v="TRANSPARENTE"/>
    <n v="0.6"/>
    <n v="0"/>
    <n v="0"/>
    <n v="54.911999999999999"/>
    <n v="51.5"/>
    <n v="48"/>
    <n v="1072.9166666666667"/>
    <x v="8"/>
    <x v="0"/>
    <n v="40"/>
    <n v="2"/>
    <n v="190.66666666666666"/>
  </r>
  <r>
    <d v="2025-10-01T08:00:00"/>
    <s v="INYECTADO"/>
    <x v="7"/>
    <x v="212"/>
    <s v="CRISALIDA ZAPATA"/>
    <m/>
    <m/>
    <m/>
    <s v="ORGANIZADOR  DE 2KG NAVIDAD"/>
    <s v="TAPA DE ORGANIZADOR #2 BRILLITO-TRANSPARENTE"/>
    <n v="939"/>
    <n v="9"/>
    <n v="42.2"/>
    <x v="0"/>
    <m/>
    <n v="8"/>
    <m/>
    <n v="22742"/>
    <s v="TRANSPARENTE"/>
    <n v="4.5999999999999996"/>
    <n v="0"/>
    <n v="0"/>
    <n v="45.072000000000003"/>
    <n v="42.2"/>
    <n v="48"/>
    <n v="879.16666666666663"/>
    <x v="8"/>
    <x v="0"/>
    <n v="40"/>
    <n v="2"/>
    <n v="156.5"/>
  </r>
  <r>
    <d v="2025-10-01T08:00:00"/>
    <s v="INYECTADO"/>
    <x v="8"/>
    <x v="215"/>
    <s v="NELSON PINEDO"/>
    <s v="VIRGEN"/>
    <s v="PP CLARIFICADO"/>
    <m/>
    <s v="BASE ORGANIZADOR  DE 3KG"/>
    <s v="BASE ORGANIZADOR  DE 3KG-ROSADO"/>
    <n v="300"/>
    <n v="3"/>
    <n v="57"/>
    <x v="0"/>
    <m/>
    <n v="10"/>
    <n v="1216"/>
    <n v="22180"/>
    <s v="ROSADO"/>
    <n v="0"/>
    <n v="0"/>
    <n v="0"/>
    <e v="#N/A"/>
    <n v="57"/>
    <e v="#N/A"/>
    <n v="0"/>
    <x v="8"/>
    <x v="0"/>
    <n v="36"/>
    <e v="#N/A"/>
    <e v="#N/A"/>
  </r>
  <r>
    <d v="2025-10-01T08:00:00"/>
    <s v="INYECTADO"/>
    <x v="8"/>
    <x v="215"/>
    <s v="JOSDER GONZALEZ"/>
    <s v="VIRGEN"/>
    <s v="PP CLARIFICADO"/>
    <m/>
    <s v="BASE ORGANIZADOR  DE 3KG"/>
    <s v="BASE ORGANIZADOR  DE 3KG PASTEL-ROSADO"/>
    <n v="132"/>
    <n v="2"/>
    <n v="25.1"/>
    <x v="1"/>
    <m/>
    <n v="4"/>
    <n v="1216"/>
    <n v="22181"/>
    <s v="ROSADO"/>
    <n v="4"/>
    <n v="0"/>
    <n v="0"/>
    <e v="#N/A"/>
    <n v="25.1"/>
    <e v="#N/A"/>
    <n v="0"/>
    <x v="8"/>
    <x v="0"/>
    <n v="36"/>
    <e v="#N/A"/>
    <e v="#N/A"/>
  </r>
  <r>
    <d v="2025-10-01T08:00:00"/>
    <s v="INYECTADO"/>
    <x v="8"/>
    <x v="215"/>
    <s v="JOSDER GONZALEZ"/>
    <s v="VIRGEN"/>
    <s v="PP CLARIFICADO"/>
    <m/>
    <s v="BASE ORGANIZADOR  DE 3KG"/>
    <s v="BASE ORGANIZADOR  DE 3KG PASTEL-LILA"/>
    <n v="279"/>
    <n v="3"/>
    <n v="53.1"/>
    <x v="1"/>
    <m/>
    <n v="9"/>
    <n v="1216"/>
    <n v="22181"/>
    <s v="LILA"/>
    <n v="4.9000000000000004"/>
    <n v="0"/>
    <n v="0"/>
    <e v="#N/A"/>
    <n v="53.1"/>
    <e v="#N/A"/>
    <n v="0"/>
    <x v="8"/>
    <x v="0"/>
    <n v="36"/>
    <e v="#N/A"/>
    <e v="#N/A"/>
  </r>
  <r>
    <d v="2025-10-01T08:00:00"/>
    <s v="INYECTADO"/>
    <x v="8"/>
    <x v="215"/>
    <s v="JOSDER GONZALEZ"/>
    <s v="VIRGEN"/>
    <s v="PP CLARIFICADO"/>
    <m/>
    <s v="BASE ORGANIZADOR  DE 3KG"/>
    <s v="BASE ORGANIZADOR  DE 3KG PASTEL-CELESTE "/>
    <n v="122"/>
    <n v="2"/>
    <n v="23.2"/>
    <x v="1"/>
    <m/>
    <n v="4"/>
    <n v="1216"/>
    <n v="22181"/>
    <s v="CELESTE"/>
    <n v="1.4"/>
    <n v="0"/>
    <n v="0"/>
    <e v="#N/A"/>
    <n v="23.2"/>
    <e v="#N/A"/>
    <n v="0"/>
    <x v="8"/>
    <x v="0"/>
    <n v="36"/>
    <e v="#N/A"/>
    <e v="#N/A"/>
  </r>
  <r>
    <d v="2025-10-01T08:00:00"/>
    <s v="INYECTADO"/>
    <x v="8"/>
    <x v="215"/>
    <s v="JOSDER GONZALEZ"/>
    <s v="VIRGEN"/>
    <s v="PP CLARIFICADO"/>
    <m/>
    <s v="BASE ORGANIZADOR  DE 3KG"/>
    <s v="BASE ORGANIZADOR  DE 3KG PASTEL-AZURE"/>
    <n v="398"/>
    <n v="4"/>
    <n v="75.8"/>
    <x v="1"/>
    <m/>
    <n v="13"/>
    <n v="1216"/>
    <n v="22181"/>
    <s v="AZURE"/>
    <n v="7.3"/>
    <n v="0"/>
    <n v="0"/>
    <e v="#N/A"/>
    <n v="75.8"/>
    <e v="#N/A"/>
    <n v="0"/>
    <x v="8"/>
    <x v="0"/>
    <n v="36"/>
    <e v="#N/A"/>
    <e v="#N/A"/>
  </r>
  <r>
    <d v="2025-10-01T08:00:00"/>
    <s v="INYECTADO"/>
    <x v="8"/>
    <x v="215"/>
    <s v="JOSDER GONZALEZ"/>
    <s v="VIRGEN"/>
    <s v="PP CLARIFICADO"/>
    <m/>
    <s v="BASE ORGANIZADOR  DE 3KG"/>
    <s v="BASE ORGANIZADOR  DE 3KG PASTEL-SANDIA"/>
    <n v="150"/>
    <n v="2"/>
    <n v="28.5"/>
    <x v="1"/>
    <m/>
    <n v="5"/>
    <n v="1216"/>
    <n v="22181"/>
    <s v="SANDIA"/>
    <n v="1.4"/>
    <n v="0"/>
    <n v="0"/>
    <e v="#N/A"/>
    <n v="28.5"/>
    <e v="#N/A"/>
    <n v="0"/>
    <x v="8"/>
    <x v="0"/>
    <n v="36"/>
    <e v="#N/A"/>
    <e v="#N/A"/>
  </r>
  <r>
    <d v="2025-10-01T08:00:00"/>
    <s v="INYECTADO"/>
    <x v="8"/>
    <x v="221"/>
    <s v="JUANA CRUCES"/>
    <s v="VIRGEN"/>
    <s v="PP CLARIFICADO"/>
    <m/>
    <s v="BASE ORGANIZADOR  DE 3KG"/>
    <s v="BASE ORGANIZADOR  DE 3KG PASTEL-SANDIA"/>
    <n v="347"/>
    <n v="6"/>
    <n v="65.900000000000006"/>
    <x v="0"/>
    <m/>
    <n v="12"/>
    <n v="1216"/>
    <n v="22182"/>
    <s v="SANDIA"/>
    <n v="10.199999999999999"/>
    <n v="0"/>
    <n v="0"/>
    <e v="#N/A"/>
    <n v="65.900000000000006"/>
    <e v="#N/A"/>
    <n v="0"/>
    <x v="8"/>
    <x v="0"/>
    <n v="36"/>
    <e v="#N/A"/>
    <e v="#N/A"/>
  </r>
  <r>
    <d v="2025-10-01T08:00:00"/>
    <s v="INYECTADO"/>
    <x v="8"/>
    <x v="221"/>
    <s v="JUANA CRUCES"/>
    <s v="VIRGEN"/>
    <s v="PP CLARIFICADO"/>
    <m/>
    <s v="BASE ORGANIZADOR  DE 3KG"/>
    <s v="BASE ORGANIZADOR  DE 3KG PASTEL-TURQUESA"/>
    <n v="540"/>
    <n v="4"/>
    <n v="102.6"/>
    <x v="0"/>
    <m/>
    <n v="18"/>
    <n v="1216"/>
    <n v="22182"/>
    <s v="TURQUESA"/>
    <n v="10"/>
    <n v="0"/>
    <n v="0"/>
    <e v="#N/A"/>
    <n v="102.6"/>
    <e v="#N/A"/>
    <n v="0"/>
    <x v="8"/>
    <x v="0"/>
    <n v="36"/>
    <e v="#N/A"/>
    <e v="#N/A"/>
  </r>
  <r>
    <d v="2025-10-01T08:00:00"/>
    <s v="INYECTADO"/>
    <x v="8"/>
    <x v="221"/>
    <s v="ISABEL LINARIZ "/>
    <s v="VIRGEN"/>
    <s v="PP CLARIFICADO"/>
    <m/>
    <s v="BASE ORGANIZADOR  DE 3KG"/>
    <s v="BASE ORGANIZADOR  DE 3KG PASTEL-SANDIA"/>
    <n v="174"/>
    <n v="2"/>
    <n v="33"/>
    <x v="1"/>
    <m/>
    <n v="7"/>
    <n v="1216"/>
    <n v="22183"/>
    <s v="SANDIA"/>
    <n v="0"/>
    <n v="0"/>
    <n v="0"/>
    <e v="#N/A"/>
    <n v="33"/>
    <e v="#N/A"/>
    <n v="0"/>
    <x v="8"/>
    <x v="0"/>
    <n v="36"/>
    <e v="#N/A"/>
    <e v="#N/A"/>
  </r>
  <r>
    <d v="2025-10-01T08:00:00"/>
    <s v="INYECTADO"/>
    <x v="8"/>
    <x v="221"/>
    <s v="ISABEL LINARIZ "/>
    <s v="VIRGEN"/>
    <s v="PP CLARIFICADO"/>
    <m/>
    <s v="BASE ORGANIZADOR  DE 3KG"/>
    <s v="BASE ORGANIZADOR  DE 3KG PASTEL-AZURE"/>
    <n v="235"/>
    <n v="3"/>
    <n v="44.6"/>
    <x v="1"/>
    <m/>
    <n v="8"/>
    <n v="1216"/>
    <n v="22183"/>
    <s v="AZURE"/>
    <n v="11"/>
    <n v="0"/>
    <n v="0"/>
    <e v="#N/A"/>
    <n v="44.6"/>
    <e v="#N/A"/>
    <n v="0"/>
    <x v="8"/>
    <x v="0"/>
    <n v="36"/>
    <e v="#N/A"/>
    <e v="#N/A"/>
  </r>
  <r>
    <d v="2025-10-01T08:00:00"/>
    <s v="INYECTADO"/>
    <x v="8"/>
    <x v="221"/>
    <s v="ISABEL LINARIZ "/>
    <s v="VIRGEN"/>
    <s v="PP CLARIFICADO"/>
    <m/>
    <s v="BASE ORGANIZADOR  DE 3KG"/>
    <s v="BASE ORGANIZADOR  DE 3KG PASTEL-ROSADO"/>
    <n v="457"/>
    <n v="5"/>
    <n v="86.8"/>
    <x v="1"/>
    <m/>
    <n v="15"/>
    <n v="1216"/>
    <n v="22183"/>
    <s v="ROSADO"/>
    <n v="4.5999999999999996"/>
    <n v="0"/>
    <n v="0"/>
    <e v="#N/A"/>
    <n v="86.8"/>
    <e v="#N/A"/>
    <n v="0"/>
    <x v="8"/>
    <x v="0"/>
    <n v="36"/>
    <e v="#N/A"/>
    <e v="#N/A"/>
  </r>
  <r>
    <d v="2025-10-01T08:00:00"/>
    <s v="INYECTADO"/>
    <x v="8"/>
    <x v="221"/>
    <s v="ISABEL LINARIZ "/>
    <s v="VIRGEN"/>
    <s v="PP CLARIFICADO"/>
    <m/>
    <s v="BASE ORGANIZADOR  DE 3KG"/>
    <s v="BASE ORGANIZADOR  DE 3KG PASTEL-LILA"/>
    <n v="17"/>
    <n v="1"/>
    <n v="3.2"/>
    <x v="1"/>
    <m/>
    <n v="1"/>
    <n v="1216"/>
    <n v="22183"/>
    <s v="LILA"/>
    <n v="3.7"/>
    <n v="0"/>
    <n v="0"/>
    <e v="#N/A"/>
    <n v="3.2"/>
    <e v="#N/A"/>
    <n v="0"/>
    <x v="8"/>
    <x v="0"/>
    <n v="36"/>
    <e v="#N/A"/>
    <e v="#N/A"/>
  </r>
  <r>
    <d v="2025-10-01T08:00:00"/>
    <s v="INYECTADO"/>
    <x v="8"/>
    <x v="216"/>
    <s v="KARLA HUISA"/>
    <s v="VIRGEN"/>
    <s v="PP CLARIFICADO"/>
    <m/>
    <s v="BASE ORGANIZADOR  DE 3KG"/>
    <s v="BASE ORGANIZADOR  DE 3KG PASTEL-LILA"/>
    <n v="501"/>
    <n v="5"/>
    <n v="95.1"/>
    <x v="0"/>
    <m/>
    <n v="17"/>
    <n v="1216"/>
    <n v="22184"/>
    <s v="LILA"/>
    <n v="2.2999999999999998"/>
    <n v="0"/>
    <n v="0"/>
    <e v="#N/A"/>
    <n v="95.1"/>
    <e v="#N/A"/>
    <n v="0"/>
    <x v="8"/>
    <x v="0"/>
    <n v="36"/>
    <e v="#N/A"/>
    <e v="#N/A"/>
  </r>
  <r>
    <d v="2025-10-01T08:00:00"/>
    <s v="INYECTADO"/>
    <x v="8"/>
    <x v="216"/>
    <s v="KARLA HUISA"/>
    <s v="VIRGEN"/>
    <s v="PP CLARIFICADO"/>
    <m/>
    <s v="BASE ORGANIZADOR  DE 3KG"/>
    <s v="BASE ORGANIZADOR  DE 3KG PASTEL-CELESTE "/>
    <n v="448"/>
    <n v="4"/>
    <n v="85.1"/>
    <x v="0"/>
    <m/>
    <n v="15"/>
    <n v="1216"/>
    <n v="22184"/>
    <s v="CELESTE"/>
    <n v="6.3"/>
    <n v="0"/>
    <n v="0"/>
    <e v="#N/A"/>
    <n v="85.1"/>
    <e v="#N/A"/>
    <n v="0"/>
    <x v="8"/>
    <x v="0"/>
    <n v="36"/>
    <e v="#N/A"/>
    <e v="#N/A"/>
  </r>
  <r>
    <d v="2025-10-01T08:00:00"/>
    <s v="INYECTADO"/>
    <x v="8"/>
    <x v="216"/>
    <s v="JOSDER GONZALEZ"/>
    <s v="VIRGEN"/>
    <s v="PP CLARIFICADO"/>
    <m/>
    <s v="BASE ORGANIZADOR  DE 3KG"/>
    <s v="BASE ORGANIZADOR  DE 3KG PASTEL-CELESTE "/>
    <n v="254"/>
    <n v="2"/>
    <n v="48.5"/>
    <x v="1"/>
    <m/>
    <n v="9"/>
    <n v="1216"/>
    <n v="22185"/>
    <s v="CELESTE"/>
    <n v="5.5"/>
    <n v="0"/>
    <n v="0"/>
    <e v="#N/A"/>
    <n v="48.5"/>
    <e v="#N/A"/>
    <n v="0"/>
    <x v="8"/>
    <x v="0"/>
    <n v="36"/>
    <e v="#N/A"/>
    <e v="#N/A"/>
  </r>
  <r>
    <d v="2025-10-01T08:00:00"/>
    <s v="INYECTADO"/>
    <x v="8"/>
    <x v="216"/>
    <s v="JOSDER GONZALEZ"/>
    <s v="VIRGEN"/>
    <s v="PP CLARIFICADO"/>
    <m/>
    <s v="BASE ORGANIZADOR  DE 3KG"/>
    <s v="BASE ORGANIZADOR  DE 3KG CARAMELO-AZUL"/>
    <n v="550"/>
    <n v="6"/>
    <n v="104.5"/>
    <x v="1"/>
    <m/>
    <n v="18"/>
    <n v="1216"/>
    <n v="22185"/>
    <s v="AZUL"/>
    <n v="9.1999999999999993"/>
    <n v="0"/>
    <n v="0"/>
    <n v="53.9"/>
    <n v="104.5"/>
    <n v="98"/>
    <n v="1066.3265306122448"/>
    <x v="8"/>
    <x v="0"/>
    <n v="36"/>
    <n v="2"/>
    <n v="91.666666666666671"/>
  </r>
  <r>
    <d v="2025-10-01T08:00:00"/>
    <s v="INYECTADO"/>
    <x v="8"/>
    <x v="216"/>
    <s v="JOSDER GONZALEZ"/>
    <s v="VIRGEN"/>
    <s v="PP CLARIFICADO"/>
    <m/>
    <s v="BASE ORGANIZADOR  DE 3KG"/>
    <s v="BASE ORGANIZADOR  DE 3KG CARAMELO-FUCSIA"/>
    <n v="163"/>
    <n v="2"/>
    <n v="31.1"/>
    <x v="1"/>
    <m/>
    <n v="5"/>
    <n v="1216"/>
    <n v="22185"/>
    <s v="FUCSIA"/>
    <n v="1.2"/>
    <n v="0"/>
    <n v="0"/>
    <n v="15.974"/>
    <n v="31.1"/>
    <n v="98"/>
    <n v="317.34693877551018"/>
    <x v="8"/>
    <x v="0"/>
    <n v="36"/>
    <n v="2"/>
    <n v="27.166666666666668"/>
  </r>
  <r>
    <d v="2025-10-01T08:00:00"/>
    <s v="INYECTADO"/>
    <x v="8"/>
    <x v="217"/>
    <s v="JUANA CRUCES"/>
    <s v="VIRGEN"/>
    <s v="PP CLARIFICADO"/>
    <m/>
    <s v="BASE ORGANIZADOR  DE 3KG"/>
    <s v="BASE ORGANIZADOR  DE 3KG CARAMELO-FUCSIA"/>
    <n v="509"/>
    <n v="5"/>
    <n v="97.2"/>
    <x v="0"/>
    <m/>
    <n v="17"/>
    <n v="1216"/>
    <n v="22186"/>
    <s v="FUCSIA"/>
    <n v="2"/>
    <n v="0"/>
    <n v="0"/>
    <n v="49.881999999999998"/>
    <n v="97.2"/>
    <n v="98"/>
    <n v="991.83673469387759"/>
    <x v="8"/>
    <x v="0"/>
    <n v="36"/>
    <n v="2"/>
    <n v="84.833333333333329"/>
  </r>
  <r>
    <d v="2025-10-01T08:00:00"/>
    <s v="INYECTADO"/>
    <x v="8"/>
    <x v="217"/>
    <s v="JUANA CRUCES"/>
    <s v="VIRGEN"/>
    <s v="PP CLARIFICADO"/>
    <m/>
    <s v="BASE ORGANIZADOR  DE 3KG"/>
    <s v="BASE ORGANIZADOR  DE 3KG CARAMELO-LILA"/>
    <n v="472"/>
    <n v="6"/>
    <n v="89.6"/>
    <x v="0"/>
    <m/>
    <n v="16"/>
    <n v="1216"/>
    <n v="22186"/>
    <s v="LILA"/>
    <n v="5.5"/>
    <n v="0"/>
    <n v="0"/>
    <n v="46.256"/>
    <n v="89.6"/>
    <n v="98"/>
    <n v="914.28571428571433"/>
    <x v="8"/>
    <x v="0"/>
    <n v="36"/>
    <n v="2"/>
    <n v="78.666666666666671"/>
  </r>
  <r>
    <d v="2025-10-01T08:00:00"/>
    <s v="INYECTADO"/>
    <x v="8"/>
    <x v="217"/>
    <s v="JUAN MANUEL "/>
    <s v="VIRGEN"/>
    <s v="PP CLARIFICADO"/>
    <m/>
    <s v="BASE ORGANIZADOR  DE 3KG"/>
    <s v="BASE ORGANIZADOR  DE 3KG CARAMELO-LILA"/>
    <n v="130"/>
    <n v="2"/>
    <n v="24.7"/>
    <x v="1"/>
    <m/>
    <n v="5"/>
    <n v="1216"/>
    <n v="22187"/>
    <s v="LILA"/>
    <n v="3"/>
    <n v="0"/>
    <n v="0"/>
    <n v="12.74"/>
    <n v="24.7"/>
    <n v="98"/>
    <n v="252.0408163265306"/>
    <x v="8"/>
    <x v="0"/>
    <n v="36"/>
    <n v="2"/>
    <n v="21.666666666666668"/>
  </r>
  <r>
    <d v="2025-10-01T08:00:00"/>
    <s v="INYECTADO"/>
    <x v="8"/>
    <x v="217"/>
    <s v="JUAN MANUEL "/>
    <s v="VIRGEN"/>
    <s v="PP CLARIFICADO"/>
    <m/>
    <s v="BASE ORGANIZADOR  DE 3KG"/>
    <s v="BASE ORGANIZADOR  DE 3KG CARAMELO-VERDE"/>
    <n v="195"/>
    <n v="2"/>
    <n v="37"/>
    <x v="1"/>
    <m/>
    <n v="7"/>
    <n v="1216"/>
    <n v="22187"/>
    <s v="VERDE"/>
    <n v="5"/>
    <n v="0"/>
    <n v="0"/>
    <n v="19.11"/>
    <n v="37"/>
    <n v="98"/>
    <n v="377.55102040816325"/>
    <x v="8"/>
    <x v="0"/>
    <n v="36"/>
    <n v="2"/>
    <n v="32.5"/>
  </r>
  <r>
    <d v="2025-10-01T08:00:00"/>
    <s v="INYECTADO"/>
    <x v="8"/>
    <x v="217"/>
    <s v="JUAN MANUEL "/>
    <s v="VIRGEN"/>
    <s v="PP CLARIFICADO"/>
    <m/>
    <s v="BASE ORGANIZADOR  DE 3KG"/>
    <s v="BASE ORGANIZADOR  DE 3KG CARAMELO-AMARILLO"/>
    <n v="606"/>
    <n v="7"/>
    <n v="115.2"/>
    <x v="1"/>
    <m/>
    <n v="20"/>
    <n v="1216"/>
    <n v="22187"/>
    <s v="AMARILLO"/>
    <n v="3"/>
    <n v="0"/>
    <n v="0"/>
    <n v="59.387999999999998"/>
    <n v="115.2"/>
    <n v="98"/>
    <n v="1175.5102040816328"/>
    <x v="8"/>
    <x v="0"/>
    <n v="36"/>
    <n v="2"/>
    <n v="101"/>
  </r>
  <r>
    <d v="2025-10-01T08:00:00"/>
    <s v="INYECTADO"/>
    <x v="8"/>
    <x v="219"/>
    <s v="MARJORIE VILCHEZ"/>
    <s v="VIRGEN"/>
    <s v="PP CLARIFICADO"/>
    <m/>
    <s v="BASE ORGANIZADOR  DE 3KG"/>
    <s v="BASE ORGANIZADOR  DE 3KG CARAMELO-VERDE"/>
    <n v="427"/>
    <n v="5"/>
    <n v="80"/>
    <x v="0"/>
    <m/>
    <n v="15"/>
    <n v="1216"/>
    <n v="22188"/>
    <s v="VERDE"/>
    <n v="6.4"/>
    <n v="0"/>
    <n v="0"/>
    <n v="41.845999999999997"/>
    <n v="80"/>
    <n v="98"/>
    <n v="816.32653061224494"/>
    <x v="8"/>
    <x v="0"/>
    <n v="37"/>
    <n v="2"/>
    <n v="71.166666666666671"/>
  </r>
  <r>
    <d v="2025-10-01T08:00:00"/>
    <s v="INYECTADO"/>
    <x v="8"/>
    <x v="219"/>
    <s v="MARJORIE VILCHEZ"/>
    <s v="VIRGEN"/>
    <s v="PP CLARIFICADO"/>
    <m/>
    <s v="BASE ORGANIZADOR  DE 3KG"/>
    <s v="BASE ORGANIZADOR  DE 3KG CARAMELO-ROJO"/>
    <n v="427"/>
    <n v="5"/>
    <n v="79.8"/>
    <x v="0"/>
    <m/>
    <n v="15"/>
    <n v="1216"/>
    <n v="22188"/>
    <s v="ROJO"/>
    <n v="7.6"/>
    <n v="0"/>
    <n v="0"/>
    <n v="41.845999999999997"/>
    <n v="79.8"/>
    <n v="98"/>
    <n v="814.28571428571433"/>
    <x v="8"/>
    <x v="0"/>
    <n v="37"/>
    <n v="2"/>
    <n v="71.166666666666671"/>
  </r>
  <r>
    <d v="2025-10-01T08:00:00"/>
    <s v="INYECTADO"/>
    <x v="8"/>
    <x v="201"/>
    <s v="LUIS PINEDO"/>
    <s v="VIRGEN"/>
    <s v="PP CLARIFICADO"/>
    <m/>
    <s v="BASE ORGANIZADOR  DE 3KG"/>
    <s v="BASE ORGANIZADOR  DE 3KG CARAMELO-ROJO"/>
    <n v="216"/>
    <n v="3"/>
    <n v="40.299999999999997"/>
    <x v="0"/>
    <m/>
    <n v="8"/>
    <n v="1216"/>
    <n v="22189"/>
    <s v="ROJO"/>
    <n v="14"/>
    <n v="0"/>
    <n v="0"/>
    <n v="21.167999999999999"/>
    <n v="40.299999999999997"/>
    <n v="98"/>
    <n v="411.22448979591837"/>
    <x v="8"/>
    <x v="0"/>
    <n v="37"/>
    <n v="2"/>
    <n v="36"/>
  </r>
  <r>
    <d v="2025-10-01T08:00:00"/>
    <s v="INYECTADO"/>
    <x v="8"/>
    <x v="201"/>
    <s v="LUIS PINEDO"/>
    <s v="VIRGEN"/>
    <s v="PP CLARIFICADO"/>
    <m/>
    <s v="BASE ORGANIZADOR  DE 3KG"/>
    <s v="BASE ORGANIZADOR  DE 3KG TRANSPARENTE"/>
    <n v="164"/>
    <n v="2"/>
    <n v="30.6"/>
    <x v="0"/>
    <m/>
    <n v="7"/>
    <n v="1216"/>
    <n v="22189"/>
    <s v="TRANSPARENTE"/>
    <n v="10.6"/>
    <n v="0"/>
    <n v="0"/>
    <e v="#N/A"/>
    <n v="30.6"/>
    <e v="#N/A"/>
    <n v="0"/>
    <x v="8"/>
    <x v="0"/>
    <n v="37"/>
    <e v="#N/A"/>
    <e v="#N/A"/>
  </r>
  <r>
    <d v="2025-10-01T08:00:00"/>
    <s v="INYECTADO"/>
    <x v="8"/>
    <x v="222"/>
    <s v="GABRIEL REQUENA"/>
    <s v="VIRGEN"/>
    <s v="PP CLARIFICADO"/>
    <m/>
    <s v="BASE ORGANIZADOR  DE 3KG"/>
    <s v="BASE ORGANIZADOR  DE 3KG TRANSPARENTE"/>
    <n v="1032"/>
    <n v="11"/>
    <n v="193.1"/>
    <x v="1"/>
    <m/>
    <n v="35"/>
    <s v="OP015"/>
    <n v="22190"/>
    <s v="TRANSPARENTE"/>
    <n v="5.2"/>
    <n v="0"/>
    <n v="0"/>
    <e v="#N/A"/>
    <n v="193.1"/>
    <e v="#N/A"/>
    <n v="0"/>
    <x v="8"/>
    <x v="0"/>
    <n v="37"/>
    <e v="#N/A"/>
    <e v="#N/A"/>
  </r>
  <r>
    <d v="2025-10-01T08:00:00"/>
    <s v="INYECTADO"/>
    <x v="8"/>
    <x v="223"/>
    <s v="CARLO SULCA"/>
    <s v="VIRGEN"/>
    <s v="PP CLARIFICADO"/>
    <m/>
    <s v="BASE ORGANIZADOR  DE 3KG"/>
    <s v="BASE ORGANIZADOR  DE 3KG TRANSPARENTE"/>
    <n v="780"/>
    <n v="9"/>
    <n v="148.9"/>
    <x v="0"/>
    <m/>
    <n v="26"/>
    <s v="OP015"/>
    <n v="22191"/>
    <s v="TRANSPARENTE"/>
    <n v="0"/>
    <n v="0"/>
    <n v="0"/>
    <e v="#N/A"/>
    <n v="148.9"/>
    <e v="#N/A"/>
    <n v="0"/>
    <x v="8"/>
    <x v="0"/>
    <n v="37"/>
    <e v="#N/A"/>
    <e v="#N/A"/>
  </r>
  <r>
    <d v="2025-10-01T08:00:00"/>
    <s v="INYECTADO"/>
    <x v="8"/>
    <x v="223"/>
    <s v="JOSDER GONZALEZ"/>
    <s v="VIRGEN"/>
    <s v="PP CLARIFICADO"/>
    <m/>
    <s v="BASE ORGANIZADOR  DE 3KG"/>
    <s v="BASE ORGANIZADOR  DE 3KG TRANSPARENTE"/>
    <n v="656"/>
    <n v="12"/>
    <n v="122.8"/>
    <x v="1"/>
    <m/>
    <n v="22"/>
    <s v="OP015"/>
    <n v="22192"/>
    <s v="TRANSPARENTE"/>
    <n v="5"/>
    <n v="0"/>
    <n v="0"/>
    <e v="#N/A"/>
    <n v="122.8"/>
    <e v="#N/A"/>
    <n v="0"/>
    <x v="8"/>
    <x v="0"/>
    <n v="37"/>
    <e v="#N/A"/>
    <e v="#N/A"/>
  </r>
  <r>
    <d v="2025-10-01T08:00:00"/>
    <s v="INYECTADO"/>
    <x v="8"/>
    <x v="220"/>
    <s v="NELSON PINEDO"/>
    <s v="VIRGEN"/>
    <s v="PP CLARIFICADO"/>
    <m/>
    <s v="BASE ORGANIZADOR  DE 3KG"/>
    <s v="BASE ORGANIZADOR  DE 3KG TRANSPARENTE"/>
    <n v="420"/>
    <n v="5"/>
    <n v="79.8"/>
    <x v="0"/>
    <m/>
    <n v="13"/>
    <s v="OP015"/>
    <n v="22193"/>
    <s v="TRANSPARENTE"/>
    <n v="0"/>
    <n v="0"/>
    <n v="0"/>
    <e v="#N/A"/>
    <n v="79.8"/>
    <e v="#N/A"/>
    <n v="0"/>
    <x v="8"/>
    <x v="0"/>
    <n v="37"/>
    <e v="#N/A"/>
    <e v="#N/A"/>
  </r>
  <r>
    <d v="2025-10-01T08:00:00"/>
    <s v="INYECTADO"/>
    <x v="8"/>
    <x v="220"/>
    <s v="NELSON PINEDO"/>
    <s v="VIRGEN"/>
    <s v="PP CLARIFICADO"/>
    <m/>
    <s v="TAPA PORTAVAJILLA"/>
    <s v="TAPA PORTAVAJILLA-TRANSPARENTE"/>
    <n v="240"/>
    <n v="2"/>
    <n v="73.2"/>
    <x v="0"/>
    <m/>
    <n v="4"/>
    <m/>
    <n v="22193"/>
    <s v="TRANSPARENTE"/>
    <n v="0"/>
    <n v="0"/>
    <n v="0"/>
    <n v="80.64"/>
    <n v="73.2"/>
    <n v="336"/>
    <n v="217.85714285714286"/>
    <x v="8"/>
    <x v="0"/>
    <n v="37"/>
    <n v="1"/>
    <n v="20"/>
  </r>
  <r>
    <d v="2025-10-01T08:00:00"/>
    <s v="INYECTADO"/>
    <x v="8"/>
    <x v="220"/>
    <s v="GABRIEL REQUENA"/>
    <s v="VIRGEN"/>
    <s v="PP CLARIFICADO"/>
    <m/>
    <s v="TAPA PORTAVAJILLA"/>
    <s v="TAPA PORTAVAJILLA-TRANSPARENTE"/>
    <n v="1140"/>
    <n v="12"/>
    <n v="348.7"/>
    <x v="1"/>
    <m/>
    <n v="19"/>
    <m/>
    <n v="22194"/>
    <s v="TRANSPARENTE"/>
    <n v="10"/>
    <n v="0"/>
    <n v="0"/>
    <n v="383.04"/>
    <n v="348.7"/>
    <n v="336"/>
    <n v="1037.797619047619"/>
    <x v="8"/>
    <x v="0"/>
    <n v="37"/>
    <n v="1"/>
    <n v="95"/>
  </r>
  <r>
    <d v="2025-10-01T08:00:00"/>
    <s v="INYECTADO"/>
    <x v="8"/>
    <x v="224"/>
    <s v="MARJORIE VILCHEZ"/>
    <s v="VIRGEN"/>
    <s v="PP CLARIFICADO"/>
    <m/>
    <s v="TAPA PORTAVAJILLA"/>
    <s v="TAPA PORTAVAJILLA-TRANSPARENTE"/>
    <n v="1153"/>
    <n v="11"/>
    <n v="355.3"/>
    <x v="0"/>
    <m/>
    <n v="19"/>
    <m/>
    <n v="22195"/>
    <s v="TRANSPARENTE"/>
    <n v="0"/>
    <n v="0"/>
    <n v="0"/>
    <n v="387.40800000000002"/>
    <n v="355.3"/>
    <n v="336"/>
    <n v="1057.4404761904761"/>
    <x v="8"/>
    <x v="0"/>
    <n v="37"/>
    <n v="1"/>
    <n v="96.083333333333329"/>
  </r>
  <r>
    <d v="2025-10-01T08:00:00"/>
    <s v="INYECTADO"/>
    <x v="8"/>
    <x v="224"/>
    <s v="JUAN MANUEL "/>
    <s v="VIRGEN"/>
    <s v="PP CLARIFICADO"/>
    <m/>
    <s v="TAPA PORTAVAJILLA"/>
    <s v="TAPA PORTAVAJILLA-TRANSPARENTE"/>
    <n v="214"/>
    <n v="2"/>
    <n v="66.099999999999994"/>
    <x v="1"/>
    <m/>
    <n v="4"/>
    <m/>
    <n v="22196"/>
    <s v="TRANSPARENTE"/>
    <n v="0"/>
    <n v="0"/>
    <n v="0"/>
    <n v="71.903999999999996"/>
    <n v="66.099999999999994"/>
    <n v="336"/>
    <n v="196.72619047619048"/>
    <x v="8"/>
    <x v="0"/>
    <n v="37"/>
    <n v="1"/>
    <n v="17.833333333333332"/>
  </r>
  <r>
    <d v="2025-10-01T08:00:00"/>
    <s v="INYECTADO"/>
    <x v="8"/>
    <x v="229"/>
    <s v="SAID VILLAMIZAR"/>
    <s v="VIRGEN"/>
    <s v="PP CLARIFICADO"/>
    <m/>
    <s v="TAPA PORTAVAJILLA"/>
    <s v="TAPA PORTAVAJILLA-TRANSPARENTE"/>
    <n v="796"/>
    <n v="7"/>
    <n v="246.8"/>
    <x v="0"/>
    <m/>
    <n v="14"/>
    <m/>
    <n v="22197"/>
    <s v="TRANSPARENTE"/>
    <n v="0"/>
    <n v="0"/>
    <n v="0"/>
    <n v="267.45600000000002"/>
    <n v="246.8"/>
    <n v="336"/>
    <n v="734.52380952380952"/>
    <x v="8"/>
    <x v="0"/>
    <n v="37"/>
    <n v="1"/>
    <n v="66.333333333333329"/>
  </r>
  <r>
    <d v="2025-10-01T08:00:00"/>
    <s v="INYECTADO"/>
    <x v="8"/>
    <x v="225"/>
    <s v="LEONOR GUTIERREZ"/>
    <s v="VIRGEN"/>
    <s v="PP CLARIFICADO"/>
    <m/>
    <s v="BASE PORTA VAJILLA"/>
    <s v="BASE PORTA VAJILLA-TRANSPARENTE"/>
    <n v="443"/>
    <n v="5"/>
    <n v="199.6"/>
    <x v="0"/>
    <m/>
    <n v="14"/>
    <m/>
    <n v="22198"/>
    <s v="TRANSPARENTE"/>
    <n v="3.2"/>
    <n v="0"/>
    <n v="0"/>
    <n v="166.56800000000001"/>
    <n v="199.6"/>
    <n v="376"/>
    <n v="530.85106382978722"/>
    <x v="8"/>
    <x v="0"/>
    <n v="38"/>
    <n v="1"/>
    <n v="36.916666666666664"/>
  </r>
  <r>
    <d v="2025-10-01T08:00:00"/>
    <s v="INYECTADO"/>
    <x v="8"/>
    <x v="225"/>
    <s v="JUAN MANUEL "/>
    <s v="VIRGEN"/>
    <s v="PP CLARIFICADO"/>
    <m/>
    <s v="BASE PORTA VAJILLA"/>
    <s v="BASE PORTA VAJILLA-TRANSPARENTE"/>
    <n v="755"/>
    <n v="12"/>
    <n v="339.8"/>
    <x v="1"/>
    <m/>
    <n v="26"/>
    <m/>
    <n v="22199"/>
    <s v="TRANSPARENTE"/>
    <n v="0"/>
    <n v="0"/>
    <n v="0"/>
    <n v="283.88"/>
    <n v="339.8"/>
    <n v="376"/>
    <n v="903.72340425531911"/>
    <x v="8"/>
    <x v="0"/>
    <n v="38"/>
    <n v="1"/>
    <n v="62.916666666666664"/>
  </r>
  <r>
    <d v="2025-10-01T08:00:00"/>
    <s v="INYECTADO"/>
    <x v="8"/>
    <x v="203"/>
    <s v="JUANA CRUCES"/>
    <s v="VIRGEN"/>
    <s v="PP CLARIFICADO"/>
    <m/>
    <s v="BASE PORTA VAJILLA"/>
    <s v="BASE PORTA VAJILLA-TRANSPARENTE"/>
    <n v="919"/>
    <n v="11"/>
    <n v="413.6"/>
    <x v="0"/>
    <m/>
    <n v="33"/>
    <m/>
    <n v="22200"/>
    <s v="TRANSPARENTE"/>
    <n v="7.4"/>
    <n v="0"/>
    <n v="0"/>
    <n v="345.54399999999998"/>
    <n v="413.6"/>
    <n v="376"/>
    <n v="1100"/>
    <x v="8"/>
    <x v="0"/>
    <n v="38"/>
    <n v="1"/>
    <n v="76.583333333333329"/>
  </r>
  <r>
    <d v="2025-10-01T08:00:00"/>
    <s v="INYECTADO"/>
    <x v="8"/>
    <x v="205"/>
    <s v="NELSON PINEDO"/>
    <s v="VIRGEN"/>
    <s v="PP CLARIFICADO"/>
    <m/>
    <s v="JABONERA PASTEL"/>
    <s v="JABONERA PASTEL-CREMA"/>
    <n v="268"/>
    <n v="3"/>
    <n v="31.2"/>
    <x v="0"/>
    <m/>
    <n v="3"/>
    <m/>
    <n v="22901"/>
    <s v="TRANSPARENTE"/>
    <n v="0"/>
    <n v="0"/>
    <n v="0"/>
    <n v="30.015999999999998"/>
    <n v="31.2"/>
    <n v="112"/>
    <n v="278.57142857142856"/>
    <x v="8"/>
    <x v="0"/>
    <n v="38"/>
    <n v="4"/>
    <n v="89.333333333333329"/>
  </r>
  <r>
    <d v="2025-10-01T08:00:00"/>
    <s v="INYECTADO"/>
    <x v="8"/>
    <x v="206"/>
    <s v="KARLA HUISA"/>
    <s v="VIRGEN"/>
    <s v="PP CLARIFICADO"/>
    <m/>
    <s v="JABONERA PASTEL"/>
    <s v="JABONERA PASTEL-CREMA"/>
    <n v="575"/>
    <n v="6"/>
    <n v="67.3"/>
    <x v="1"/>
    <m/>
    <n v="7"/>
    <m/>
    <n v="22902"/>
    <s v="CREMA"/>
    <n v="6.2"/>
    <n v="0"/>
    <n v="0"/>
    <n v="64.400000000000006"/>
    <n v="67.3"/>
    <n v="112"/>
    <n v="600.89285714285711"/>
    <x v="8"/>
    <x v="0"/>
    <n v="38"/>
    <n v="4"/>
    <n v="191.66666666666666"/>
  </r>
  <r>
    <d v="2025-10-01T08:00:00"/>
    <s v="INYECTADO"/>
    <x v="8"/>
    <x v="206"/>
    <s v="KARLA HUISA"/>
    <s v="VIRGEN"/>
    <s v="PP CLARIFICADO"/>
    <m/>
    <s v="JABONERA PASTEL"/>
    <s v="JABONERA PASTEL-TURQUESA"/>
    <n v="564"/>
    <n v="5"/>
    <n v="66"/>
    <x v="1"/>
    <m/>
    <n v="6"/>
    <m/>
    <n v="22902"/>
    <s v="TURQUESA"/>
    <n v="0"/>
    <n v="0"/>
    <n v="0"/>
    <n v="63.167999999999999"/>
    <n v="66"/>
    <n v="112"/>
    <n v="589.28571428571433"/>
    <x v="8"/>
    <x v="0"/>
    <n v="38"/>
    <n v="4"/>
    <n v="188"/>
  </r>
  <r>
    <d v="2025-10-01T08:00:00"/>
    <s v="INYECTADO"/>
    <x v="8"/>
    <x v="206"/>
    <s v="GABRIEL REQUENA"/>
    <s v="VIRGEN"/>
    <s v="PP CLARIFICADO"/>
    <m/>
    <s v="JABONERA PASTEL"/>
    <s v="JABONERA PASTEL-TURQUESA"/>
    <n v="267"/>
    <n v="3"/>
    <n v="31.3"/>
    <x v="1"/>
    <m/>
    <n v="3"/>
    <m/>
    <n v="22903"/>
    <s v="TURQUESA"/>
    <n v="5.3"/>
    <n v="0"/>
    <n v="0"/>
    <n v="29.904"/>
    <n v="31.3"/>
    <n v="112"/>
    <n v="279.46428571428572"/>
    <x v="8"/>
    <x v="0"/>
    <n v="38"/>
    <n v="4"/>
    <n v="89"/>
  </r>
  <r>
    <d v="2025-10-01T08:00:00"/>
    <s v="INYECTADO"/>
    <x v="8"/>
    <x v="206"/>
    <s v="GABRIEL REQUENA"/>
    <s v="VIRGEN"/>
    <s v="PP CLARIFICADO"/>
    <m/>
    <s v="JABONERA PASTEL"/>
    <s v="JABONERA PASTEL-CELESTE"/>
    <n v="839"/>
    <n v="7"/>
    <n v="98.2"/>
    <x v="1"/>
    <m/>
    <n v="8"/>
    <m/>
    <n v="22903"/>
    <s v="CELESTE"/>
    <n v="2.7"/>
    <n v="0"/>
    <n v="0"/>
    <n v="93.968000000000004"/>
    <n v="98.2"/>
    <n v="112"/>
    <n v="876.78571428571433"/>
    <x v="8"/>
    <x v="0"/>
    <n v="38"/>
    <n v="4"/>
    <n v="279.66666666666669"/>
  </r>
  <r>
    <d v="2025-10-01T08:00:00"/>
    <s v="INYECTADO"/>
    <x v="8"/>
    <x v="207"/>
    <s v="LUIS PINEDO"/>
    <s v="VIRGEN"/>
    <s v="PP CLARIFICADO"/>
    <m/>
    <s v="JABONERA PASTEL"/>
    <s v="JABONERA PASTEL-CELESTE"/>
    <n v="15"/>
    <n v="1"/>
    <n v="1.7"/>
    <x v="0"/>
    <m/>
    <n v="1"/>
    <m/>
    <n v="22904"/>
    <s v="CELESTE"/>
    <n v="5.8"/>
    <n v="0"/>
    <n v="0"/>
    <n v="1.68"/>
    <n v="1.7"/>
    <n v="112"/>
    <n v="15.178571428571429"/>
    <x v="8"/>
    <x v="0"/>
    <n v="38"/>
    <n v="4"/>
    <n v="5"/>
  </r>
  <r>
    <d v="2025-10-01T08:00:00"/>
    <s v="INYECTADO"/>
    <x v="8"/>
    <x v="207"/>
    <s v="LUIS PINEDO"/>
    <s v="VIRGEN"/>
    <s v="PP CLARIFICADO"/>
    <m/>
    <s v="JABONERA PASTEL"/>
    <s v="JABONERA PASTEL-MELON"/>
    <n v="848"/>
    <n v="7"/>
    <n v="99.3"/>
    <x v="0"/>
    <m/>
    <n v="8"/>
    <m/>
    <n v="22904"/>
    <s v="MELON"/>
    <n v="8.1999999999999993"/>
    <n v="0"/>
    <n v="0"/>
    <n v="94.975999999999999"/>
    <n v="99.3"/>
    <n v="112"/>
    <n v="886.60714285714289"/>
    <x v="8"/>
    <x v="0"/>
    <n v="38"/>
    <n v="4"/>
    <n v="282.66666666666669"/>
  </r>
  <r>
    <d v="2025-10-01T08:00:00"/>
    <s v="INYECTADO"/>
    <x v="8"/>
    <x v="207"/>
    <s v="LUIS PINEDO"/>
    <s v="VIRGEN"/>
    <s v="PP CLARIFICADO"/>
    <m/>
    <s v="JABONERA PASTEL"/>
    <s v="JABONERA PASTEL-ROSADO"/>
    <n v="209"/>
    <n v="2"/>
    <n v="24.6"/>
    <x v="0"/>
    <m/>
    <n v="2"/>
    <m/>
    <n v="22904"/>
    <s v="ROSADO"/>
    <n v="4.5"/>
    <n v="0"/>
    <n v="0"/>
    <n v="23.408000000000001"/>
    <n v="24.6"/>
    <n v="112"/>
    <n v="219.64285714285714"/>
    <x v="8"/>
    <x v="0"/>
    <n v="38"/>
    <n v="4"/>
    <n v="69.666666666666671"/>
  </r>
  <r>
    <d v="2025-10-01T08:00:00"/>
    <s v="INYECTADO"/>
    <x v="8"/>
    <x v="207"/>
    <s v="JOSDER GONZALEZ"/>
    <s v="VIRGEN"/>
    <s v="PP CLARIFICADO"/>
    <m/>
    <s v="JABONERA PASTEL"/>
    <s v="JABONERA PASTEL-ROSADO"/>
    <n v="611"/>
    <n v="6"/>
    <n v="71.5"/>
    <x v="1"/>
    <m/>
    <n v="7"/>
    <m/>
    <n v="22905"/>
    <s v="ROSADO"/>
    <n v="2.4"/>
    <n v="0"/>
    <n v="0"/>
    <n v="68.432000000000002"/>
    <n v="71.5"/>
    <n v="112"/>
    <n v="638.39285714285711"/>
    <x v="8"/>
    <x v="0"/>
    <n v="38"/>
    <n v="4"/>
    <n v="203.66666666666666"/>
  </r>
  <r>
    <d v="2025-10-01T08:00:00"/>
    <s v="INYECTADO"/>
    <x v="8"/>
    <x v="207"/>
    <s v="JOSDER GONZALEZ"/>
    <s v="VIRGEN"/>
    <s v="PP CLARIFICADO"/>
    <m/>
    <s v="JABONERA PASTEL"/>
    <s v="JABONERA PASTEL-LILA"/>
    <n v="418"/>
    <n v="4"/>
    <n v="49"/>
    <x v="1"/>
    <m/>
    <n v="5"/>
    <m/>
    <n v="22905"/>
    <s v="LILA"/>
    <n v="15.4"/>
    <n v="0"/>
    <n v="0"/>
    <n v="46.816000000000003"/>
    <n v="49"/>
    <n v="112"/>
    <n v="437.5"/>
    <x v="8"/>
    <x v="0"/>
    <n v="38"/>
    <n v="4"/>
    <n v="139.33333333333334"/>
  </r>
  <r>
    <d v="2025-10-01T08:00:00"/>
    <s v="INYECTADO"/>
    <x v="8"/>
    <x v="202"/>
    <s v="KARLA HUISA"/>
    <s v="VIRGEN"/>
    <s v="PP CLARIFICADO"/>
    <m/>
    <s v="JABONERA PASTEL"/>
    <s v="JABONERA PASTEL-LILA"/>
    <n v="329"/>
    <n v="3"/>
    <n v="38.6"/>
    <x v="0"/>
    <m/>
    <n v="4"/>
    <m/>
    <n v="22906"/>
    <s v="LILA"/>
    <n v="9.3000000000000007"/>
    <n v="0"/>
    <n v="0"/>
    <n v="36.847999999999999"/>
    <n v="38.6"/>
    <n v="112"/>
    <n v="344.64285714285717"/>
    <x v="8"/>
    <x v="0"/>
    <n v="39"/>
    <n v="4"/>
    <n v="109.66666666666667"/>
  </r>
  <r>
    <d v="2025-10-01T08:00:00"/>
    <s v="INYECTADO"/>
    <x v="8"/>
    <x v="202"/>
    <s v="MARIA GUEVARA"/>
    <s v="VIRGEN"/>
    <s v="PP CLARIFICADO"/>
    <m/>
    <s v="JABONERA CARAMELO"/>
    <s v="JABONERA CARAMELO-LILA"/>
    <n v="650"/>
    <n v="6"/>
    <n v="75.400000000000006"/>
    <x v="0"/>
    <m/>
    <n v="9"/>
    <n v="1218"/>
    <n v="22906"/>
    <s v="LILA"/>
    <n v="3.3"/>
    <n v="0"/>
    <n v="0"/>
    <n v="72.8"/>
    <n v="75.400000000000006"/>
    <n v="112"/>
    <n v="673.21428571428567"/>
    <x v="8"/>
    <x v="0"/>
    <n v="39"/>
    <n v="4"/>
    <n v="216.66666666666666"/>
  </r>
  <r>
    <d v="2025-10-01T08:00:00"/>
    <s v="INYECTADO"/>
    <x v="8"/>
    <x v="202"/>
    <s v="GABRIEL REQUENA"/>
    <s v="VIRGEN"/>
    <s v="PP CLARIFICADO"/>
    <m/>
    <s v="JABONERA CARAMELO"/>
    <s v="JABONERA CARAMELO-AZUL"/>
    <n v="630"/>
    <n v="7"/>
    <n v="73.099999999999994"/>
    <x v="1"/>
    <m/>
    <n v="8"/>
    <n v="1218"/>
    <n v="22907"/>
    <s v="AZUL"/>
    <n v="4.5"/>
    <n v="0"/>
    <n v="0"/>
    <n v="70.56"/>
    <n v="73.099999999999994"/>
    <n v="112"/>
    <n v="652.67857142857144"/>
    <x v="8"/>
    <x v="0"/>
    <n v="39"/>
    <n v="4"/>
    <n v="210"/>
  </r>
  <r>
    <d v="2025-10-01T08:00:00"/>
    <s v="INYECTADO"/>
    <x v="8"/>
    <x v="202"/>
    <s v="GABRIEL REQUENA"/>
    <s v="VIRGEN"/>
    <s v="PP CLARIFICADO"/>
    <m/>
    <s v="JABONERA CARAMELO"/>
    <s v="JABONERA CARAMELO-FUCSIA"/>
    <n v="392"/>
    <n v="3"/>
    <n v="45.5"/>
    <x v="1"/>
    <m/>
    <n v="4"/>
    <n v="1218"/>
    <n v="22907"/>
    <s v="FUCSIA"/>
    <n v="1.6"/>
    <n v="0"/>
    <n v="0"/>
    <n v="43.904000000000003"/>
    <n v="45.5"/>
    <n v="112"/>
    <n v="406.25"/>
    <x v="8"/>
    <x v="0"/>
    <n v="39"/>
    <n v="4"/>
    <n v="130.66666666666666"/>
  </r>
  <r>
    <d v="2025-10-01T08:00:00"/>
    <s v="INYECTADO"/>
    <x v="8"/>
    <x v="208"/>
    <s v="JUANA CRUCES"/>
    <s v="VIRGEN"/>
    <s v="PP CLARIFICADO"/>
    <m/>
    <s v="JABONERA CARAMELO"/>
    <s v="JABONERA CARAMELO-FUCSIA"/>
    <n v="255"/>
    <n v="3"/>
    <n v="29.6"/>
    <x v="0"/>
    <m/>
    <n v="3"/>
    <n v="1218"/>
    <n v="22908"/>
    <s v="FUCSIA"/>
    <n v="2"/>
    <n v="0"/>
    <n v="0"/>
    <n v="28.56"/>
    <n v="29.6"/>
    <n v="112"/>
    <n v="264.28571428571428"/>
    <x v="8"/>
    <x v="0"/>
    <n v="39"/>
    <n v="4"/>
    <n v="85"/>
  </r>
  <r>
    <d v="2025-10-01T08:00:00"/>
    <s v="INYECTADO"/>
    <x v="8"/>
    <x v="208"/>
    <s v="JUANA CRUCES"/>
    <s v="VIRGEN"/>
    <s v="PP CLARIFICADO"/>
    <m/>
    <s v="JABONERA CARAMELO"/>
    <s v="JABONERA CARAMELO-AMARILLO"/>
    <n v="653"/>
    <n v="6"/>
    <n v="75.8"/>
    <x v="0"/>
    <m/>
    <n v="7"/>
    <n v="1218"/>
    <n v="22908"/>
    <s v="AMARILLO"/>
    <n v="11"/>
    <n v="0"/>
    <n v="0"/>
    <n v="73.135999999999996"/>
    <n v="75.8"/>
    <n v="112"/>
    <n v="676.78571428571433"/>
    <x v="8"/>
    <x v="0"/>
    <n v="39"/>
    <n v="4"/>
    <n v="217.66666666666666"/>
  </r>
  <r>
    <d v="2025-10-01T08:00:00"/>
    <s v="INYECTADO"/>
    <x v="8"/>
    <x v="208"/>
    <s v="JUANA CRUCES"/>
    <s v="VIRGEN"/>
    <s v="PP CLARIFICADO"/>
    <m/>
    <s v="JABONERA CARAMELO"/>
    <s v="JABONERA CARAMELO-VERDE"/>
    <n v="131"/>
    <n v="2"/>
    <n v="15.6"/>
    <x v="0"/>
    <m/>
    <n v="2"/>
    <n v="1218"/>
    <n v="22908"/>
    <s v="VERDE"/>
    <n v="8"/>
    <n v="0"/>
    <n v="0"/>
    <n v="14.672000000000001"/>
    <n v="15.6"/>
    <n v="112"/>
    <n v="139.28571428571428"/>
    <x v="8"/>
    <x v="0"/>
    <n v="39"/>
    <n v="4"/>
    <n v="43.666666666666664"/>
  </r>
  <r>
    <d v="2025-10-01T08:00:00"/>
    <s v="INYECTADO"/>
    <x v="8"/>
    <x v="208"/>
    <s v="GABRIEL REQUENA"/>
    <s v="VIRGEN"/>
    <s v="PP CLARIFICADO"/>
    <m/>
    <s v="JABONERA CARAMELO"/>
    <s v="JABONERA CARAMELO-ROJO"/>
    <n v="629"/>
    <n v="7"/>
    <n v="73"/>
    <x v="1"/>
    <m/>
    <n v="6"/>
    <n v="1218"/>
    <n v="22909"/>
    <s v="ROJO"/>
    <n v="1.3"/>
    <n v="0"/>
    <n v="0"/>
    <n v="70.447999999999993"/>
    <n v="73"/>
    <n v="112"/>
    <n v="651.78571428571433"/>
    <x v="8"/>
    <x v="0"/>
    <n v="39"/>
    <n v="4"/>
    <n v="209.66666666666666"/>
  </r>
  <r>
    <d v="2025-10-01T08:00:00"/>
    <s v="INYECTADO"/>
    <x v="8"/>
    <x v="208"/>
    <s v="GABRIEL REQUENA"/>
    <s v="VIRGEN"/>
    <s v="PP CLARIFICADO"/>
    <m/>
    <s v="JABONERA CARAMELO"/>
    <s v="JABONERA CARAMELO-VERDE"/>
    <n v="412"/>
    <n v="4"/>
    <n v="47.8"/>
    <x v="1"/>
    <m/>
    <n v="5"/>
    <n v="1218"/>
    <n v="22909"/>
    <s v="VERDE"/>
    <n v="3.9"/>
    <n v="0"/>
    <n v="0"/>
    <n v="46.143999999999998"/>
    <n v="47.8"/>
    <n v="112"/>
    <n v="426.78571428571428"/>
    <x v="8"/>
    <x v="0"/>
    <n v="39"/>
    <n v="4"/>
    <n v="137.33333333333334"/>
  </r>
  <r>
    <d v="2025-10-01T08:00:00"/>
    <s v="INYECTADO"/>
    <x v="8"/>
    <x v="209"/>
    <s v="JOSDER GONZALEZ"/>
    <s v="VIRGEN"/>
    <s v="PP CLARIFICADO"/>
    <m/>
    <s v="TAPA DE ORGANIZADOR #3"/>
    <s v="TAPA DE ORGANIZADOR #3-TRANSPARENTE"/>
    <n v="743"/>
    <n v="9"/>
    <n v="59.4"/>
    <x v="1"/>
    <m/>
    <n v="6"/>
    <m/>
    <n v="22910"/>
    <s v="TRANSPARENTE"/>
    <n v="4.5"/>
    <n v="0"/>
    <n v="0"/>
    <n v="28.234000000000002"/>
    <n v="59.4"/>
    <n v="38"/>
    <n v="1563.1578947368421"/>
    <x v="8"/>
    <x v="0"/>
    <n v="39"/>
    <n v="2"/>
    <n v="123.83333333333333"/>
  </r>
  <r>
    <d v="2025-10-01T08:00:00"/>
    <s v="INYECTADO"/>
    <x v="8"/>
    <x v="210"/>
    <s v="NELSON PINEDO"/>
    <s v="VIRGEN"/>
    <s v="PP CLARIFICADO"/>
    <m/>
    <s v="TAPA DE ORGANIZADOR #3"/>
    <s v="TAPA DE ORGANIZADOR #3-BLANCO"/>
    <n v="232"/>
    <n v="2"/>
    <n v="18.5"/>
    <x v="0"/>
    <m/>
    <n v="2"/>
    <m/>
    <n v="22911"/>
    <s v="BLANCO"/>
    <n v="3.4"/>
    <n v="0"/>
    <n v="0"/>
    <n v="8.8160000000000007"/>
    <n v="18.5"/>
    <n v="38"/>
    <n v="486.84210526315792"/>
    <x v="8"/>
    <x v="0"/>
    <n v="39"/>
    <n v="2"/>
    <n v="38.666666666666664"/>
  </r>
  <r>
    <d v="2025-10-01T08:00:00"/>
    <s v="INYECTADO"/>
    <x v="8"/>
    <x v="210"/>
    <s v="ISABEL LINARIZ "/>
    <s v="VIRGEN"/>
    <s v="PP CLARIFICADO"/>
    <m/>
    <s v="TAPA DE ORGANIZADOR #3"/>
    <s v="TAPA DE ORGANIZADOR #3-BLANCO"/>
    <n v="1202"/>
    <n v="12"/>
    <n v="96.1"/>
    <x v="1"/>
    <m/>
    <n v="10"/>
    <n v="1229"/>
    <n v="22912"/>
    <s v="BLANCO"/>
    <n v="0"/>
    <n v="0"/>
    <n v="0"/>
    <n v="45.676000000000002"/>
    <n v="96.1"/>
    <n v="38"/>
    <n v="2528.9473684210525"/>
    <x v="8"/>
    <x v="0"/>
    <n v="39"/>
    <n v="2"/>
    <n v="200.33333333333334"/>
  </r>
  <r>
    <d v="2025-10-01T08:00:00"/>
    <s v="INYECTADO"/>
    <x v="8"/>
    <x v="227"/>
    <s v="KARLA HUISA"/>
    <s v="VIRGEN"/>
    <s v="PP CLARIFICADO"/>
    <m/>
    <s v="TAPA DE ORGANIZADOR #3"/>
    <s v="TAPA DE ORGANIZADOR #3-BLANCO"/>
    <n v="1254"/>
    <n v="11"/>
    <n v="100.3"/>
    <x v="0"/>
    <m/>
    <n v="10"/>
    <n v="1229"/>
    <n v="22913"/>
    <s v="BLANCO"/>
    <n v="1.9"/>
    <n v="0"/>
    <n v="0"/>
    <n v="47.652000000000001"/>
    <n v="100.3"/>
    <n v="38"/>
    <n v="2639.4736842105262"/>
    <x v="8"/>
    <x v="0"/>
    <n v="39"/>
    <n v="2"/>
    <n v="209"/>
  </r>
  <r>
    <d v="2025-10-01T08:00:00"/>
    <s v="INYECTADO"/>
    <x v="8"/>
    <x v="227"/>
    <s v="ISABEL LINARIZ "/>
    <s v="VIRGEN"/>
    <s v="PP CLARIFICADO"/>
    <m/>
    <s v="TAPA DE ORGANIZADOR #3"/>
    <s v="TAPA DE ORGANIZADOR #3-BLANCO"/>
    <n v="1158"/>
    <n v="12"/>
    <n v="92.6"/>
    <x v="1"/>
    <m/>
    <n v="10"/>
    <n v="1229"/>
    <n v="22914"/>
    <s v="BLANCO"/>
    <n v="1.4"/>
    <n v="0"/>
    <n v="0"/>
    <n v="44.003999999999998"/>
    <n v="92.6"/>
    <n v="38"/>
    <n v="2436.8421052631579"/>
    <x v="8"/>
    <x v="0"/>
    <n v="39"/>
    <n v="2"/>
    <n v="193"/>
  </r>
  <r>
    <d v="2025-10-01T08:00:00"/>
    <s v="INYECTADO"/>
    <x v="8"/>
    <x v="226"/>
    <s v="JUAN MANUEL "/>
    <s v="VIRGEN"/>
    <s v="PP CLARIFICADO"/>
    <m/>
    <s v="TAPA DE ORGANIZADOR #3"/>
    <s v="TAPA DE ORGANIZADOR #3-BLANCO"/>
    <n v="630"/>
    <n v="6"/>
    <n v="51.1"/>
    <x v="1"/>
    <m/>
    <n v="6"/>
    <n v="1229"/>
    <n v="22916"/>
    <s v="BLANCO"/>
    <n v="3"/>
    <n v="0"/>
    <n v="0"/>
    <n v="23.94"/>
    <n v="51.1"/>
    <n v="38"/>
    <n v="1344.7368421052631"/>
    <x v="8"/>
    <x v="0"/>
    <n v="39"/>
    <n v="2"/>
    <n v="105"/>
  </r>
  <r>
    <d v="2025-10-01T08:00:00"/>
    <s v="INYECTADO"/>
    <x v="8"/>
    <x v="226"/>
    <s v="JUAN MANUEL "/>
    <s v="VIRGEN"/>
    <s v="PP CLARIFICADO"/>
    <m/>
    <s v="TAPA DE ORGANIZADOR #3"/>
    <s v="TAPA DE ORGANIZADOR #3-AMARILLO"/>
    <n v="541"/>
    <n v="5"/>
    <n v="43.8"/>
    <x v="1"/>
    <m/>
    <n v="5"/>
    <n v="1229"/>
    <n v="22916"/>
    <s v="AMARILLO"/>
    <n v="1"/>
    <n v="0"/>
    <n v="0"/>
    <e v="#N/A"/>
    <n v="43.8"/>
    <e v="#N/A"/>
    <n v="0"/>
    <x v="8"/>
    <x v="0"/>
    <n v="39"/>
    <e v="#N/A"/>
    <e v="#N/A"/>
  </r>
  <r>
    <d v="2025-10-01T08:00:00"/>
    <s v="INYECTADO"/>
    <x v="8"/>
    <x v="226"/>
    <s v="MARJORIE VILCHEZ"/>
    <s v="VIRGEN"/>
    <s v="PP CLARIFICADO"/>
    <m/>
    <s v="TAPA DE ORGANIZADOR #3"/>
    <s v="TAPA DE ORGANIZADOR #3-BLANCO"/>
    <n v="1228"/>
    <n v="11"/>
    <n v="99.4"/>
    <x v="0"/>
    <m/>
    <n v="11"/>
    <n v="1229"/>
    <n v="22915"/>
    <s v="BLANCO"/>
    <n v="0.8"/>
    <n v="0"/>
    <n v="0"/>
    <n v="46.664000000000001"/>
    <n v="99.4"/>
    <n v="38"/>
    <n v="2615.7894736842104"/>
    <x v="8"/>
    <x v="0"/>
    <n v="39"/>
    <n v="2"/>
    <n v="204.66666666666666"/>
  </r>
  <r>
    <d v="2025-10-01T08:00:00"/>
    <s v="INYECTADO"/>
    <x v="8"/>
    <x v="228"/>
    <s v="MARJORIE VILCHEZ"/>
    <s v="VIRGEN"/>
    <s v="PP CLARIFICADO"/>
    <m/>
    <s v="TAPA DE ORGANIZADOR #3"/>
    <s v="TAPA DE ORGANIZADOR #3-AMARILLO"/>
    <n v="278"/>
    <n v="2"/>
    <n v="22.7"/>
    <x v="1"/>
    <m/>
    <n v="3"/>
    <n v="1229"/>
    <n v="22917"/>
    <s v="AMARILLO"/>
    <n v="2"/>
    <n v="0"/>
    <n v="0"/>
    <e v="#N/A"/>
    <n v="22.7"/>
    <e v="#N/A"/>
    <n v="0"/>
    <x v="8"/>
    <x v="0"/>
    <n v="39"/>
    <e v="#N/A"/>
    <e v="#N/A"/>
  </r>
  <r>
    <d v="2025-10-01T08:00:00"/>
    <s v="INYECTADO"/>
    <x v="8"/>
    <x v="228"/>
    <s v="MARJORIE VILCHEZ"/>
    <s v="VIRGEN"/>
    <s v="PP CLARIFICADO"/>
    <m/>
    <s v="TAPA DE ORGANIZADOR #3"/>
    <s v="TAPA DE ORGANIZADOR #3-VERDE"/>
    <n v="773"/>
    <n v="6"/>
    <n v="62.6"/>
    <x v="1"/>
    <m/>
    <n v="7"/>
    <n v="1229"/>
    <n v="22917"/>
    <s v="VERDE"/>
    <n v="2"/>
    <n v="0"/>
    <n v="0"/>
    <e v="#N/A"/>
    <n v="62.6"/>
    <e v="#N/A"/>
    <n v="0"/>
    <x v="8"/>
    <x v="0"/>
    <n v="39"/>
    <e v="#N/A"/>
    <e v="#N/A"/>
  </r>
  <r>
    <d v="2025-10-01T08:00:00"/>
    <s v="INYECTADO"/>
    <x v="8"/>
    <x v="228"/>
    <s v="MARJORIE VILCHEZ"/>
    <s v="VIRGEN"/>
    <s v="PP CLARIFICADO"/>
    <m/>
    <s v="TAPA DE ORGANIZADOR #3"/>
    <s v="TAPA DE ORGANIZADOR #3-FUCSIA"/>
    <n v="271"/>
    <n v="2"/>
    <n v="21.1"/>
    <x v="1"/>
    <m/>
    <n v="2"/>
    <n v="1229"/>
    <n v="22917"/>
    <s v="FUCSIA"/>
    <n v="0"/>
    <n v="0"/>
    <n v="0"/>
    <e v="#N/A"/>
    <n v="21.1"/>
    <e v="#N/A"/>
    <n v="0"/>
    <x v="8"/>
    <x v="0"/>
    <n v="39"/>
    <e v="#N/A"/>
    <e v="#N/A"/>
  </r>
  <r>
    <d v="2025-10-01T08:00:00"/>
    <s v="INYECTADO"/>
    <x v="8"/>
    <x v="228"/>
    <s v="MARJORIE VILCHEZ"/>
    <s v="VIRGEN"/>
    <s v="PP CLARIFICADO"/>
    <m/>
    <s v="TAPA DE ORGANIZADOR #3"/>
    <s v="TAPA DE ORGANIZADOR #3-BLANCO"/>
    <n v="45"/>
    <n v="1"/>
    <n v="3.6"/>
    <x v="1"/>
    <m/>
    <n v="1"/>
    <n v="1229"/>
    <n v="22917"/>
    <s v="BLANCO"/>
    <n v="0"/>
    <n v="0"/>
    <n v="0"/>
    <n v="1.71"/>
    <n v="3.6"/>
    <n v="38"/>
    <n v="94.736842105263165"/>
    <x v="8"/>
    <x v="0"/>
    <n v="39"/>
    <n v="2"/>
    <n v="7.5"/>
  </r>
  <r>
    <d v="2025-10-01T08:00:00"/>
    <s v="INYECTADO"/>
    <x v="8"/>
    <x v="211"/>
    <s v="LUIS PINEDO"/>
    <s v="VIRGEN"/>
    <s v="PP CLARIFICADO"/>
    <m/>
    <s v="TAPA DE ORGANIZADOR #3"/>
    <s v="TAPA DE ORGANIZADOR #3-FUCSIA"/>
    <n v="673"/>
    <n v="8"/>
    <n v="53.8"/>
    <x v="0"/>
    <m/>
    <n v="6"/>
    <n v="1229"/>
    <n v="22918"/>
    <s v="FUCSIA"/>
    <n v="0"/>
    <n v="0"/>
    <n v="0"/>
    <e v="#N/A"/>
    <n v="53.8"/>
    <e v="#N/A"/>
    <n v="0"/>
    <x v="8"/>
    <x v="0"/>
    <n v="40"/>
    <e v="#N/A"/>
    <e v="#N/A"/>
  </r>
  <r>
    <d v="2025-10-01T08:00:00"/>
    <s v="INYECTADO"/>
    <x v="8"/>
    <x v="211"/>
    <s v="LUIS PINEDO"/>
    <s v="VIRGEN"/>
    <s v="PP CLARIFICADO"/>
    <m/>
    <s v="TAPA DE ORGANIZADOR #3"/>
    <s v="TAPA DE ORGANIZADOR #3-AZUL"/>
    <n v="72"/>
    <n v="1"/>
    <n v="5.4"/>
    <x v="0"/>
    <m/>
    <n v="1"/>
    <n v="1229"/>
    <n v="22918"/>
    <s v="AZUL"/>
    <n v="0"/>
    <n v="0"/>
    <n v="0"/>
    <e v="#N/A"/>
    <n v="5.4"/>
    <e v="#N/A"/>
    <n v="0"/>
    <x v="8"/>
    <x v="0"/>
    <n v="40"/>
    <e v="#N/A"/>
    <e v="#N/A"/>
  </r>
  <r>
    <d v="2025-10-01T08:00:00"/>
    <s v="INYECTADO"/>
    <x v="8"/>
    <x v="211"/>
    <s v="LUIS PINEDO"/>
    <s v="VIRGEN"/>
    <s v="PP CLARIFICADO"/>
    <m/>
    <s v="TAPA DE ORGANIZADOR #3"/>
    <s v="TAPA DE ORGANIZADOR #3-TRANSPARENTE"/>
    <n v="460"/>
    <n v="3"/>
    <n v="36.299999999999997"/>
    <x v="0"/>
    <m/>
    <n v="4"/>
    <n v="1229"/>
    <n v="22918"/>
    <s v="TRANSPARENTE"/>
    <n v="0"/>
    <n v="0"/>
    <n v="0"/>
    <n v="17.48"/>
    <n v="36.299999999999997"/>
    <n v="38"/>
    <n v="955.26315789473688"/>
    <x v="8"/>
    <x v="0"/>
    <n v="40"/>
    <n v="2"/>
    <n v="76.666666666666671"/>
  </r>
  <r>
    <d v="2025-10-01T08:00:00"/>
    <s v="INYECTADO"/>
    <x v="8"/>
    <x v="211"/>
    <s v="JUAN MANUEL "/>
    <s v="VIRGEN"/>
    <s v="PP CLARIFICADO"/>
    <m/>
    <s v="TAPA DE ORGANIZADOR #3"/>
    <s v="TAPA DE ORGANIZADOR #3-AZUL"/>
    <n v="580"/>
    <n v="5"/>
    <n v="45"/>
    <x v="1"/>
    <m/>
    <n v="6"/>
    <n v="1229"/>
    <n v="22919"/>
    <s v="AZUL"/>
    <n v="3"/>
    <n v="0"/>
    <n v="0"/>
    <e v="#N/A"/>
    <n v="45"/>
    <e v="#N/A"/>
    <n v="0"/>
    <x v="8"/>
    <x v="0"/>
    <n v="40"/>
    <e v="#N/A"/>
    <e v="#N/A"/>
  </r>
  <r>
    <d v="2025-10-01T08:00:00"/>
    <s v="INYECTADO"/>
    <x v="8"/>
    <x v="211"/>
    <s v="JUAN MANUEL "/>
    <s v="VIRGEN"/>
    <s v="PP CLARIFICADO"/>
    <m/>
    <s v="TAPA DE ORGANIZADOR #3"/>
    <s v="TAPA DE ORGANIZADOR #3-LILA"/>
    <n v="646"/>
    <n v="6"/>
    <n v="50"/>
    <x v="1"/>
    <m/>
    <n v="7"/>
    <n v="1229"/>
    <n v="22919"/>
    <s v="LILA"/>
    <n v="3"/>
    <n v="0"/>
    <n v="0"/>
    <e v="#N/A"/>
    <n v="50"/>
    <e v="#N/A"/>
    <n v="0"/>
    <x v="8"/>
    <x v="0"/>
    <n v="40"/>
    <e v="#N/A"/>
    <e v="#N/A"/>
  </r>
  <r>
    <d v="2025-10-01T08:00:00"/>
    <s v="INYECTADO"/>
    <x v="8"/>
    <x v="212"/>
    <s v="SIN NOMBRE"/>
    <s v="VIRGEN"/>
    <s v="PP CLARIFICADO"/>
    <m/>
    <s v="TAPER 550ML CARAMELO"/>
    <s v="TAPER 550ML CARAMELO-AMARILLO"/>
    <n v="122"/>
    <n v="2"/>
    <n v="9.5"/>
    <x v="0"/>
    <m/>
    <n v="1"/>
    <m/>
    <n v="22920"/>
    <s v="AMARILLO"/>
    <n v="0"/>
    <n v="0"/>
    <n v="0"/>
    <n v="4.6360000000000001"/>
    <n v="9.5"/>
    <n v="38"/>
    <n v="250"/>
    <x v="8"/>
    <x v="0"/>
    <n v="40"/>
    <n v="2"/>
    <n v="20.333333333333332"/>
  </r>
  <r>
    <d v="2025-10-01T08:00:00"/>
    <s v="INYECTADO"/>
    <x v="8"/>
    <x v="212"/>
    <s v="GABRIEL REQUENA"/>
    <s v="VIRGEN"/>
    <s v="PP CLARIFICADO"/>
    <m/>
    <s v="TAPER 550ML CARAMELO"/>
    <s v="TAPER 550ML CARAMELO-ROJO"/>
    <n v="250"/>
    <n v="2"/>
    <n v="19.2"/>
    <x v="1"/>
    <m/>
    <n v="2"/>
    <m/>
    <n v="22921"/>
    <s v="ROJO"/>
    <n v="2.2999999999999998"/>
    <n v="0"/>
    <n v="0"/>
    <n v="9.5"/>
    <n v="19.2"/>
    <n v="38"/>
    <n v="505.26315789473682"/>
    <x v="8"/>
    <x v="0"/>
    <n v="40"/>
    <n v="2"/>
    <n v="41.666666666666664"/>
  </r>
  <r>
    <d v="2025-10-01T08:00:00"/>
    <s v="INYECTADO"/>
    <x v="8"/>
    <x v="212"/>
    <s v="GABRIEL REQUENA"/>
    <s v="VIRGEN"/>
    <s v="PP CLARIFICADO"/>
    <m/>
    <s v="TAPER 550ML CARAMELO"/>
    <s v="TAPER 550ML CARAMELO-AMARILLO"/>
    <n v="314"/>
    <n v="3"/>
    <n v="24.9"/>
    <x v="1"/>
    <m/>
    <n v="3"/>
    <m/>
    <n v="22921"/>
    <s v="AMARILLO"/>
    <n v="1.1000000000000001"/>
    <n v="0"/>
    <n v="0"/>
    <n v="11.932"/>
    <n v="24.9"/>
    <n v="38"/>
    <n v="655.26315789473688"/>
    <x v="8"/>
    <x v="0"/>
    <n v="40"/>
    <n v="2"/>
    <n v="52.333333333333336"/>
  </r>
  <r>
    <d v="2025-10-01T08:00:00"/>
    <s v="INYECTADO"/>
    <x v="8"/>
    <x v="212"/>
    <s v="GABRIEL REQUENA"/>
    <s v="VIRGEN"/>
    <s v="PP CLARIFICADO"/>
    <m/>
    <s v="TAPER 550ML CARAMELO"/>
    <s v="TAPER 550ML CARAMELO-VERDE"/>
    <n v="410"/>
    <n v="4"/>
    <n v="38.4"/>
    <x v="1"/>
    <m/>
    <n v="4"/>
    <m/>
    <n v="22921"/>
    <s v="VERDE"/>
    <n v="0"/>
    <n v="0"/>
    <n v="0"/>
    <n v="15.58"/>
    <n v="38.4"/>
    <n v="38"/>
    <n v="1010.5263157894736"/>
    <x v="8"/>
    <x v="0"/>
    <n v="40"/>
    <n v="2"/>
    <n v="68.333333333333329"/>
  </r>
  <r>
    <d v="2025-10-01T08:00:00"/>
    <s v="INYECTADO"/>
    <x v="8"/>
    <x v="212"/>
    <s v="GABRIEL REQUENA"/>
    <s v="VIRGEN"/>
    <s v="PP CLARIFICADO"/>
    <m/>
    <s v="TAPER 550ML CARAMELO"/>
    <s v="TAPER 550ML CARAMELO-FUCSIA"/>
    <n v="474"/>
    <n v="4"/>
    <n v="37.1"/>
    <x v="1"/>
    <m/>
    <n v="4"/>
    <m/>
    <n v="22921"/>
    <s v="FUCSIA"/>
    <n v="1.9"/>
    <n v="0"/>
    <n v="0"/>
    <n v="18.012"/>
    <n v="37.1"/>
    <n v="38"/>
    <n v="976.31578947368416"/>
    <x v="8"/>
    <x v="0"/>
    <n v="40"/>
    <n v="2"/>
    <n v="79"/>
  </r>
  <r>
    <d v="2025-10-01T08:00:00"/>
    <s v="SOPLADO"/>
    <x v="9"/>
    <x v="213"/>
    <s v="LUIS RENGIFO"/>
    <m/>
    <m/>
    <m/>
    <s v="TOMATODO AVENTURA 600ML"/>
    <s v="TOMATODO AVENTURA 600ML-TRANSPARENTE"/>
    <n v="1020"/>
    <n v="9"/>
    <n v="48.1"/>
    <x v="0"/>
    <m/>
    <n v="7"/>
    <m/>
    <n v="21475"/>
    <s v="TRANSPARENTE"/>
    <n v="22.9"/>
    <n v="0"/>
    <n v="0"/>
    <n v="46.92"/>
    <n v="48.1"/>
    <n v="46"/>
    <n v="1045.6521739130435"/>
    <x v="8"/>
    <x v="0"/>
    <n v="36"/>
    <n v="1"/>
    <n v="85"/>
  </r>
  <r>
    <d v="2025-10-01T08:00:00"/>
    <s v="SOPLADO"/>
    <x v="9"/>
    <x v="215"/>
    <s v="LUIS PINEDO"/>
    <m/>
    <m/>
    <m/>
    <s v="ALCANCIA MEDIANA"/>
    <s v="ALCANCIA MEDIANA-AMARILLO"/>
    <n v="507"/>
    <n v="5"/>
    <n v="24.3"/>
    <x v="0"/>
    <m/>
    <n v="3"/>
    <m/>
    <n v="21476"/>
    <s v="AMARILLO"/>
    <n v="29.5"/>
    <n v="0"/>
    <n v="0"/>
    <n v="20.28"/>
    <n v="24.3"/>
    <n v="40"/>
    <n v="607.5"/>
    <x v="8"/>
    <x v="0"/>
    <n v="36"/>
    <n v="2"/>
    <n v="84.5"/>
  </r>
  <r>
    <d v="2025-10-01T08:00:00"/>
    <s v="SOPLADO"/>
    <x v="9"/>
    <x v="215"/>
    <s v="LUIS PINEDO"/>
    <m/>
    <m/>
    <m/>
    <s v="ALCANCIA MEDIANA"/>
    <s v="ALCANCIA MEDIANA-VERDE"/>
    <n v="9"/>
    <n v="1"/>
    <n v="0.5"/>
    <x v="0"/>
    <m/>
    <n v="1"/>
    <m/>
    <n v="21476"/>
    <s v="VERDE"/>
    <n v="0"/>
    <n v="0"/>
    <n v="0"/>
    <n v="0.36"/>
    <n v="0.5"/>
    <n v="40"/>
    <n v="12.5"/>
    <x v="8"/>
    <x v="0"/>
    <n v="36"/>
    <n v="2"/>
    <n v="1.5"/>
  </r>
  <r>
    <d v="2025-10-01T08:00:00"/>
    <s v="SOPLADO"/>
    <x v="9"/>
    <x v="215"/>
    <s v="GABRIEL REQUENA"/>
    <m/>
    <m/>
    <m/>
    <s v="ALCANCIA MEDIANA"/>
    <s v="ALCANCIA MEDIANA-VERDE"/>
    <n v="409"/>
    <n v="5"/>
    <n v="18.3"/>
    <x v="1"/>
    <m/>
    <n v="3"/>
    <m/>
    <n v="21477"/>
    <s v="VERDE"/>
    <n v="29.700000000000003"/>
    <n v="0"/>
    <n v="0"/>
    <n v="16.36"/>
    <n v="18.3"/>
    <n v="40"/>
    <n v="457.5"/>
    <x v="8"/>
    <x v="0"/>
    <n v="36"/>
    <n v="2"/>
    <n v="68.166666666666671"/>
  </r>
  <r>
    <d v="2025-10-01T08:00:00"/>
    <s v="SOPLADO"/>
    <x v="9"/>
    <x v="215"/>
    <s v="GABRIEL REQUENA"/>
    <m/>
    <m/>
    <m/>
    <s v="ALCANCIA MEDIANA"/>
    <s v="ALCANCIA MEDIANA-AZUL"/>
    <n v="400"/>
    <n v="5"/>
    <n v="18.8"/>
    <x v="1"/>
    <m/>
    <n v="3"/>
    <m/>
    <n v="21477"/>
    <s v="AZUL"/>
    <n v="38.900000000000006"/>
    <n v="0"/>
    <n v="0"/>
    <e v="#N/A"/>
    <n v="18.8"/>
    <e v="#N/A"/>
    <n v="0"/>
    <x v="8"/>
    <x v="0"/>
    <n v="36"/>
    <e v="#N/A"/>
    <e v="#N/A"/>
  </r>
  <r>
    <d v="2025-10-01T08:00:00"/>
    <s v="SOPLADO"/>
    <x v="9"/>
    <x v="221"/>
    <s v="SAID VILLAMIZAR"/>
    <m/>
    <m/>
    <m/>
    <s v="ALCANCIA MEDIANA"/>
    <s v="ALCANCIA MEDIANA-NARANJA"/>
    <n v="440"/>
    <n v="5"/>
    <n v="20.2"/>
    <x v="0"/>
    <m/>
    <n v="3"/>
    <m/>
    <n v="21478"/>
    <s v="NARANJA"/>
    <n v="18.399999999999999"/>
    <n v="0"/>
    <n v="0"/>
    <e v="#N/A"/>
    <n v="20.2"/>
    <e v="#N/A"/>
    <n v="0"/>
    <x v="8"/>
    <x v="0"/>
    <n v="36"/>
    <e v="#N/A"/>
    <e v="#N/A"/>
  </r>
  <r>
    <d v="2025-10-01T08:00:00"/>
    <s v="SOPLADO"/>
    <x v="9"/>
    <x v="221"/>
    <s v="SAID VILLAMIZAR"/>
    <m/>
    <m/>
    <m/>
    <s v="ALCANCIA MEDIANA"/>
    <s v="ALCANCIA MEDIANA-ROJO"/>
    <n v="404"/>
    <n v="5"/>
    <n v="24"/>
    <x v="0"/>
    <m/>
    <n v="3"/>
    <m/>
    <n v="21478"/>
    <s v="ROJO"/>
    <n v="17.2"/>
    <n v="0"/>
    <n v="0"/>
    <n v="16.16"/>
    <n v="24"/>
    <n v="40"/>
    <n v="600"/>
    <x v="8"/>
    <x v="0"/>
    <n v="36"/>
    <n v="2"/>
    <n v="67.333333333333329"/>
  </r>
  <r>
    <d v="2025-10-01T08:00:00"/>
    <s v="SOPLADO"/>
    <x v="9"/>
    <x v="216"/>
    <s v="LUIS RENGIFO"/>
    <m/>
    <m/>
    <m/>
    <s v="ALCANCIA MEDIANA"/>
    <s v="ALCANCIA MEDIANA-LILA"/>
    <n v="400"/>
    <n v="5"/>
    <n v="19.899999999999999"/>
    <x v="0"/>
    <m/>
    <n v="3"/>
    <m/>
    <n v="21479"/>
    <s v="LILA"/>
    <n v="0"/>
    <n v="0"/>
    <n v="0"/>
    <n v="16"/>
    <n v="19.899999999999999"/>
    <n v="40"/>
    <n v="497.5"/>
    <x v="8"/>
    <x v="0"/>
    <n v="36"/>
    <n v="2"/>
    <n v="66.666666666666671"/>
  </r>
  <r>
    <d v="2025-10-01T08:00:00"/>
    <s v="SOPLADO"/>
    <x v="9"/>
    <x v="217"/>
    <s v="ISABEL LINARIZ "/>
    <m/>
    <m/>
    <m/>
    <s v="TOMATODO AVENTURA 600ML"/>
    <s v="TOMATODO AVENTURA 600ML-TRANSPARENTE"/>
    <n v="955"/>
    <n v="9"/>
    <n v="43.7"/>
    <x v="1"/>
    <m/>
    <n v="7"/>
    <m/>
    <n v="21480"/>
    <s v="TRANSPARENTE"/>
    <n v="29.2"/>
    <n v="0"/>
    <n v="0"/>
    <n v="43.93"/>
    <n v="43.7"/>
    <n v="46"/>
    <n v="950"/>
    <x v="8"/>
    <x v="0"/>
    <n v="36"/>
    <n v="1"/>
    <n v="79.583333333333329"/>
  </r>
  <r>
    <d v="2025-10-01T08:00:00"/>
    <s v="SOPLADO"/>
    <x v="9"/>
    <x v="219"/>
    <s v="LEONOR GUTIERREZ"/>
    <m/>
    <m/>
    <m/>
    <s v="TOMATODO AVENTURA 600ML"/>
    <s v="TOMATODO AVENTURA 600ML-TRANSPARENTE"/>
    <n v="924"/>
    <n v="9"/>
    <n v="45.9"/>
    <x v="0"/>
    <m/>
    <n v="6"/>
    <m/>
    <n v="21481"/>
    <s v="TRANSPARENTE"/>
    <n v="0"/>
    <n v="0"/>
    <n v="0"/>
    <n v="42.503999999999998"/>
    <n v="45.9"/>
    <n v="46"/>
    <n v="997.82608695652175"/>
    <x v="8"/>
    <x v="0"/>
    <n v="37"/>
    <n v="1"/>
    <n v="77"/>
  </r>
  <r>
    <d v="2025-10-01T08:00:00"/>
    <s v="SOPLADO"/>
    <x v="9"/>
    <x v="201"/>
    <s v="LEONOR GUTIERREZ"/>
    <m/>
    <m/>
    <m/>
    <s v="TOMATODO AVENTURA 600ML"/>
    <s v="TOMATODO AVENTURA 600ML-TRANSPARENTE"/>
    <n v="725"/>
    <n v="7"/>
    <n v="31.9"/>
    <x v="0"/>
    <m/>
    <n v="4"/>
    <m/>
    <n v="21482"/>
    <s v="TRANSPARENTE"/>
    <n v="18"/>
    <n v="0"/>
    <n v="0"/>
    <n v="33.35"/>
    <n v="31.9"/>
    <n v="46"/>
    <n v="693.47826086956525"/>
    <x v="8"/>
    <x v="0"/>
    <n v="37"/>
    <n v="1"/>
    <n v="60.416666666666664"/>
  </r>
  <r>
    <d v="2025-10-01T08:00:00"/>
    <s v="SOPLADO"/>
    <x v="9"/>
    <x v="225"/>
    <s v="ANGIE VALDERRAMA"/>
    <m/>
    <m/>
    <m/>
    <s v="SALSERO CARITAS 600ML"/>
    <s v="SALSERO CARITAS 600ML-BLANCO"/>
    <n v="1081"/>
    <n v="9"/>
    <n v="47.6"/>
    <x v="0"/>
    <m/>
    <n v="6"/>
    <m/>
    <n v="21483"/>
    <s v="BLANCO"/>
    <n v="18.2"/>
    <n v="0"/>
    <n v="0"/>
    <e v="#N/A"/>
    <n v="47.6"/>
    <e v="#N/A"/>
    <n v="0"/>
    <x v="8"/>
    <x v="0"/>
    <n v="38"/>
    <e v="#N/A"/>
    <e v="#N/A"/>
  </r>
  <r>
    <d v="2025-10-01T08:00:00"/>
    <s v="SOPLADO"/>
    <x v="9"/>
    <x v="203"/>
    <s v="SAID VILLAMIZAR"/>
    <m/>
    <m/>
    <m/>
    <s v="SALSERO CARITAS 600ML"/>
    <s v="SALSERO CARITAS 600ML-BLANCO"/>
    <n v="500"/>
    <n v="5"/>
    <n v="20.2"/>
    <x v="0"/>
    <m/>
    <n v="3"/>
    <m/>
    <n v="21484"/>
    <s v="BLANCO"/>
    <n v="10"/>
    <n v="0"/>
    <n v="0"/>
    <e v="#N/A"/>
    <n v="20.2"/>
    <e v="#N/A"/>
    <n v="0"/>
    <x v="8"/>
    <x v="0"/>
    <n v="38"/>
    <e v="#N/A"/>
    <e v="#N/A"/>
  </r>
  <r>
    <d v="2025-10-01T08:00:00"/>
    <s v="SOPLADO"/>
    <x v="9"/>
    <x v="203"/>
    <s v="SAID VILLAMIZAR"/>
    <m/>
    <m/>
    <m/>
    <s v="SALSERO CARITAS 600ML"/>
    <s v="SALSERO CARITAS 600ML-AMARILLO"/>
    <n v="500"/>
    <n v="5"/>
    <n v="20"/>
    <x v="0"/>
    <m/>
    <n v="3"/>
    <m/>
    <n v="21484"/>
    <s v="AMARILLO"/>
    <n v="19.100000000000001"/>
    <n v="0"/>
    <n v="0"/>
    <e v="#N/A"/>
    <n v="20"/>
    <e v="#N/A"/>
    <n v="0"/>
    <x v="8"/>
    <x v="0"/>
    <n v="38"/>
    <e v="#N/A"/>
    <e v="#N/A"/>
  </r>
  <r>
    <d v="2025-10-01T08:00:00"/>
    <s v="SOPLADO"/>
    <x v="9"/>
    <x v="203"/>
    <s v="GABRIEL REQUENA"/>
    <m/>
    <m/>
    <m/>
    <s v="SALSERO CARITAS 600ML"/>
    <s v="SALSERO CARITAS 600ML-AMARILLO"/>
    <n v="333"/>
    <n v="3"/>
    <n v="13.4"/>
    <x v="1"/>
    <m/>
    <n v="3"/>
    <m/>
    <n v="21485"/>
    <s v="AMARILLO"/>
    <n v="17.600000000000001"/>
    <n v="0"/>
    <n v="0"/>
    <e v="#N/A"/>
    <n v="13.4"/>
    <e v="#N/A"/>
    <n v="0"/>
    <x v="8"/>
    <x v="0"/>
    <n v="38"/>
    <e v="#N/A"/>
    <e v="#N/A"/>
  </r>
  <r>
    <d v="2025-10-01T08:00:00"/>
    <s v="SOPLADO"/>
    <x v="9"/>
    <x v="227"/>
    <s v="NELSON PINEDO"/>
    <m/>
    <m/>
    <m/>
    <s v="SALSERO MULTIUSO 600 ML"/>
    <s v="SALSERO MULTIUSO 600ML-AMARILLO"/>
    <n v="290"/>
    <n v="3"/>
    <n v="11.6"/>
    <x v="0"/>
    <m/>
    <n v="2"/>
    <m/>
    <n v="21486"/>
    <s v="AMARILLO"/>
    <n v="7.5"/>
    <n v="0"/>
    <n v="0"/>
    <e v="#N/A"/>
    <n v="11.6"/>
    <e v="#N/A"/>
    <n v="0"/>
    <x v="8"/>
    <x v="0"/>
    <n v="39"/>
    <e v="#N/A"/>
    <e v="#N/A"/>
  </r>
  <r>
    <d v="2025-10-01T08:00:00"/>
    <s v="SOPLADO"/>
    <x v="9"/>
    <x v="227"/>
    <s v="GABRIEL REQUENA"/>
    <m/>
    <m/>
    <m/>
    <s v="SALSERO MULTIUSO 600 ML"/>
    <s v="SALSERO MULTIUSO 600ML-AMARILLO"/>
    <n v="505"/>
    <n v="5"/>
    <n v="20.2"/>
    <x v="1"/>
    <m/>
    <n v="3"/>
    <m/>
    <n v="21487"/>
    <s v="AMARILLO"/>
    <n v="21.4"/>
    <n v="0"/>
    <n v="0"/>
    <e v="#N/A"/>
    <n v="20.2"/>
    <e v="#N/A"/>
    <n v="0"/>
    <x v="8"/>
    <x v="0"/>
    <n v="39"/>
    <e v="#N/A"/>
    <e v="#N/A"/>
  </r>
  <r>
    <d v="2025-10-01T08:00:00"/>
    <s v="SOPLADO"/>
    <x v="9"/>
    <x v="227"/>
    <s v="GABRIEL REQUENA"/>
    <m/>
    <m/>
    <m/>
    <s v="SALSERO MULTIUSO 600 ML"/>
    <s v="SALSERO MULTIUSO 600ML-ROJO"/>
    <n v="587"/>
    <n v="4"/>
    <n v="23.5"/>
    <x v="1"/>
    <m/>
    <n v="4"/>
    <m/>
    <n v="21487"/>
    <s v="ROJO"/>
    <n v="0"/>
    <n v="0"/>
    <n v="0"/>
    <n v="22.306000000000001"/>
    <n v="23.5"/>
    <n v="38"/>
    <n v="618.42105263157896"/>
    <x v="8"/>
    <x v="0"/>
    <n v="39"/>
    <n v="1"/>
    <n v="48.916666666666664"/>
  </r>
  <r>
    <d v="2025-10-01T08:00:00"/>
    <s v="SOPLADO"/>
    <x v="9"/>
    <x v="226"/>
    <s v="SAID VILLAMIZAR"/>
    <m/>
    <m/>
    <m/>
    <s v="SALSERO MULTIUSO 600 ML"/>
    <s v="SALSERO MULTIUSO 600ML-ROJO"/>
    <n v="906"/>
    <n v="9"/>
    <n v="54.4"/>
    <x v="0"/>
    <m/>
    <n v="8"/>
    <m/>
    <n v="21488"/>
    <s v="ROJO"/>
    <n v="21.9"/>
    <n v="0"/>
    <n v="0"/>
    <n v="34.427999999999997"/>
    <n v="54.4"/>
    <n v="38"/>
    <n v="1431.578947368421"/>
    <x v="8"/>
    <x v="0"/>
    <n v="39"/>
    <n v="1"/>
    <n v="75.5"/>
  </r>
  <r>
    <d v="2025-10-01T08:00:00"/>
    <s v="SOPLADO"/>
    <x v="9"/>
    <x v="226"/>
    <s v="GABRIEL REQUENA"/>
    <m/>
    <m/>
    <m/>
    <s v="SALSERO MULTIUSO 600 ML"/>
    <s v="SALSERO MULTIUSO 600ML-ROJO"/>
    <n v="1135"/>
    <n v="11"/>
    <n v="45.4"/>
    <x v="1"/>
    <m/>
    <n v="6"/>
    <m/>
    <n v="21489"/>
    <s v="ROJO"/>
    <n v="25.8"/>
    <n v="0"/>
    <n v="0"/>
    <n v="43.13"/>
    <n v="45.4"/>
    <n v="38"/>
    <n v="1194.7368421052631"/>
    <x v="8"/>
    <x v="0"/>
    <n v="39"/>
    <n v="1"/>
    <n v="94.583333333333329"/>
  </r>
  <r>
    <d v="2025-10-01T08:00:00"/>
    <s v="SOPLADO"/>
    <x v="9"/>
    <x v="211"/>
    <s v="LUIS RENGIFO"/>
    <m/>
    <m/>
    <m/>
    <s v="SALSERO MULTIUSO 600 ML"/>
    <s v="SALSERO MULTIUSO 600ML-ROJO"/>
    <n v="361"/>
    <n v="4"/>
    <n v="15.2"/>
    <x v="0"/>
    <m/>
    <n v="2"/>
    <m/>
    <n v="21490"/>
    <s v="ROJO"/>
    <n v="0"/>
    <n v="0"/>
    <n v="0"/>
    <n v="13.718"/>
    <n v="15.2"/>
    <n v="38"/>
    <n v="400"/>
    <x v="8"/>
    <x v="0"/>
    <n v="40"/>
    <n v="1"/>
    <n v="30.083333333333332"/>
  </r>
  <r>
    <d v="2025-10-01T08:00:00"/>
    <s v="SOPLADO"/>
    <x v="12"/>
    <x v="213"/>
    <s v="NELSON PINEDO"/>
    <m/>
    <m/>
    <m/>
    <s v="FLORERO GRIEGO"/>
    <s v="FLORERO GRIEGO ATERRADO-CREMA"/>
    <n v="470"/>
    <n v="6"/>
    <n v="55.9"/>
    <x v="0"/>
    <m/>
    <n v="5"/>
    <m/>
    <n v="22343"/>
    <s v="CREMA"/>
    <n v="23"/>
    <n v="0"/>
    <n v="0"/>
    <n v="53.58"/>
    <n v="55.9"/>
    <n v="114"/>
    <n v="490.35087719298247"/>
    <x v="8"/>
    <x v="0"/>
    <n v="36"/>
    <n v="1"/>
    <n v="39.166666666666664"/>
  </r>
  <r>
    <d v="2025-10-01T08:00:00"/>
    <s v="SOPLADO"/>
    <x v="12"/>
    <x v="213"/>
    <s v="NELSON PINEDO"/>
    <m/>
    <m/>
    <m/>
    <s v="FLORERO GRIEGO"/>
    <s v="FLORERO GRIEGO ATERRADO-MELON"/>
    <n v="285"/>
    <n v="3"/>
    <n v="33.4"/>
    <x v="0"/>
    <m/>
    <n v="3"/>
    <m/>
    <n v="22343"/>
    <s v="MELON"/>
    <n v="0"/>
    <n v="0"/>
    <n v="0"/>
    <n v="32.49"/>
    <n v="33.4"/>
    <n v="114"/>
    <n v="292.98245614035091"/>
    <x v="8"/>
    <x v="0"/>
    <n v="36"/>
    <n v="1"/>
    <n v="23.75"/>
  </r>
  <r>
    <d v="2025-10-01T08:00:00"/>
    <s v="SOPLADO"/>
    <x v="12"/>
    <x v="213"/>
    <s v="GABRIEL REQUENA"/>
    <m/>
    <m/>
    <m/>
    <s v="FLORERO GRIEGO"/>
    <s v="FLORERO GRIEGO ATERRADO-MELON"/>
    <n v="198"/>
    <n v="2"/>
    <n v="22.9"/>
    <x v="1"/>
    <m/>
    <n v="1"/>
    <m/>
    <n v="22344"/>
    <s v="MELON"/>
    <n v="23.7"/>
    <n v="0"/>
    <n v="0"/>
    <n v="22.571999999999999"/>
    <n v="22.9"/>
    <n v="114"/>
    <n v="200.87719298245614"/>
    <x v="8"/>
    <x v="0"/>
    <n v="36"/>
    <n v="1"/>
    <n v="16.5"/>
  </r>
  <r>
    <d v="2025-10-01T08:00:00"/>
    <s v="SOPLADO"/>
    <x v="12"/>
    <x v="213"/>
    <s v="GABRIEL REQUENA"/>
    <m/>
    <m/>
    <m/>
    <s v="FLORERO GRIEGO"/>
    <s v="FLORERO GRIEGO ATERRADO-VERDE"/>
    <n v="452"/>
    <n v="5"/>
    <n v="53.7"/>
    <x v="1"/>
    <m/>
    <n v="4"/>
    <m/>
    <n v="22344"/>
    <s v="VERDE"/>
    <n v="22.1"/>
    <n v="0"/>
    <n v="0"/>
    <n v="51.527999999999999"/>
    <n v="53.7"/>
    <n v="114"/>
    <n v="471.05263157894734"/>
    <x v="8"/>
    <x v="0"/>
    <n v="36"/>
    <n v="1"/>
    <n v="37.666666666666664"/>
  </r>
  <r>
    <d v="2025-10-01T08:00:00"/>
    <s v="SOPLADO"/>
    <x v="12"/>
    <x v="213"/>
    <s v="GABRIEL REQUENA"/>
    <m/>
    <m/>
    <m/>
    <s v="FLORERO GRIEGO"/>
    <s v="FLORERO GRIEGO ATERRADO-PLOMO"/>
    <n v="299"/>
    <n v="3"/>
    <n v="35.9"/>
    <x v="1"/>
    <m/>
    <n v="3"/>
    <m/>
    <n v="22344"/>
    <s v="PLOMO"/>
    <n v="0"/>
    <n v="0"/>
    <n v="0"/>
    <n v="34.085999999999999"/>
    <n v="35.9"/>
    <n v="114"/>
    <n v="314.91228070175441"/>
    <x v="8"/>
    <x v="0"/>
    <n v="36"/>
    <n v="1"/>
    <n v="24.916666666666668"/>
  </r>
  <r>
    <d v="2025-10-01T08:00:00"/>
    <s v="SOPLADO"/>
    <x v="12"/>
    <x v="214"/>
    <s v="LUIS RENGIFO"/>
    <m/>
    <m/>
    <m/>
    <s v="FLORERO GRIEGO"/>
    <s v="FLORERO GRIEGO ATERRADO-PLOMO"/>
    <n v="60"/>
    <n v="1"/>
    <n v="7"/>
    <x v="0"/>
    <m/>
    <n v="1"/>
    <m/>
    <n v="22345"/>
    <s v="PLOMO"/>
    <n v="0"/>
    <n v="0"/>
    <n v="0"/>
    <n v="6.84"/>
    <n v="7"/>
    <n v="114"/>
    <n v="61.403508771929822"/>
    <x v="8"/>
    <x v="0"/>
    <n v="36"/>
    <n v="1"/>
    <n v="5"/>
  </r>
  <r>
    <d v="2025-10-01T08:00:00"/>
    <s v="SOPLADO"/>
    <x v="12"/>
    <x v="214"/>
    <s v="GABRIEL REQUENA"/>
    <m/>
    <m/>
    <m/>
    <s v="FLORERO GRIEGO"/>
    <s v="FLORERO GRIEGO ATERRADO-MARRON"/>
    <n v="466"/>
    <n v="5"/>
    <n v="53.4"/>
    <x v="1"/>
    <m/>
    <n v="6"/>
    <m/>
    <n v="22346"/>
    <s v="MARRON"/>
    <n v="27.9"/>
    <n v="0"/>
    <n v="0"/>
    <n v="53.124000000000002"/>
    <n v="53.4"/>
    <n v="114"/>
    <n v="468.42105263157896"/>
    <x v="8"/>
    <x v="0"/>
    <n v="36"/>
    <n v="1"/>
    <n v="38.833333333333336"/>
  </r>
  <r>
    <d v="2025-10-01T08:00:00"/>
    <s v="SOPLADO"/>
    <x v="12"/>
    <x v="214"/>
    <s v="GABRIEL REQUENA"/>
    <m/>
    <m/>
    <m/>
    <s v="FLORERO GIRASOL ATERRADO"/>
    <s v="FLORERO GIRASOL ATERRADO-MARRON"/>
    <n v="492"/>
    <n v="5"/>
    <n v="56.4"/>
    <x v="1"/>
    <m/>
    <n v="5"/>
    <m/>
    <n v="22346"/>
    <s v="MARRON"/>
    <n v="0"/>
    <n v="0"/>
    <n v="0"/>
    <n v="56.088000000000001"/>
    <n v="56.4"/>
    <n v="114"/>
    <n v="494.73684210526318"/>
    <x v="8"/>
    <x v="0"/>
    <n v="36"/>
    <n v="1"/>
    <n v="41"/>
  </r>
  <r>
    <d v="2025-10-01T08:00:00"/>
    <s v="SOPLADO"/>
    <x v="12"/>
    <x v="215"/>
    <s v="LUIS RENGIFO"/>
    <m/>
    <m/>
    <m/>
    <s v="FLORERO GIRASOL ATERRADO"/>
    <s v="FLORERO GIRASOL ATERRADO-VERDE"/>
    <n v="69"/>
    <n v="1"/>
    <n v="8"/>
    <x v="0"/>
    <m/>
    <n v="1"/>
    <m/>
    <n v="22347"/>
    <s v="VERDE"/>
    <n v="4.2"/>
    <n v="0"/>
    <n v="0"/>
    <n v="7.8659999999999997"/>
    <n v="8"/>
    <n v="114"/>
    <n v="70.175438596491233"/>
    <x v="8"/>
    <x v="0"/>
    <n v="36"/>
    <n v="1"/>
    <n v="5.75"/>
  </r>
  <r>
    <d v="2025-10-01T08:00:00"/>
    <s v="SOPLADO"/>
    <x v="12"/>
    <x v="215"/>
    <s v="CARLOS SULCA"/>
    <m/>
    <m/>
    <m/>
    <s v="FLORERO GIRASOL ATERRADO"/>
    <s v="FLORERO GIRASOL ATERRADO-CREMA"/>
    <n v="231"/>
    <n v="3"/>
    <n v="26.7"/>
    <x v="0"/>
    <m/>
    <n v="2"/>
    <m/>
    <n v="22347"/>
    <s v="CREMA"/>
    <n v="0"/>
    <n v="0"/>
    <n v="0"/>
    <n v="26.334"/>
    <n v="26.7"/>
    <n v="114"/>
    <n v="234.21052631578948"/>
    <x v="8"/>
    <x v="0"/>
    <n v="36"/>
    <n v="1"/>
    <n v="19.25"/>
  </r>
  <r>
    <d v="2025-10-01T08:00:00"/>
    <s v="SOPLADO"/>
    <x v="12"/>
    <x v="221"/>
    <s v="LUIS PINEDO"/>
    <m/>
    <m/>
    <m/>
    <s v="FLORERO GIRASOL ATERRADO"/>
    <s v="FLORERO GIRASOL ATERRADO-PLOMO"/>
    <n v="402"/>
    <n v="4"/>
    <n v="45.5"/>
    <x v="0"/>
    <m/>
    <n v="6"/>
    <m/>
    <n v="22342"/>
    <s v="PLOMO"/>
    <n v="28.3"/>
    <n v="0"/>
    <n v="0"/>
    <n v="45.828000000000003"/>
    <n v="45.5"/>
    <n v="114"/>
    <n v="399.12280701754383"/>
    <x v="8"/>
    <x v="0"/>
    <n v="36"/>
    <n v="1"/>
    <n v="33.5"/>
  </r>
  <r>
    <d v="2025-10-01T08:00:00"/>
    <s v="SOPLADO"/>
    <x v="12"/>
    <x v="221"/>
    <s v="LUIS PINEDO"/>
    <m/>
    <m/>
    <m/>
    <s v="FLORERO GIRASOL ATERRADO"/>
    <s v="FLORERO GIRASOL ATERRADO-CREMA"/>
    <n v="349"/>
    <n v="3"/>
    <n v="39.5"/>
    <x v="0"/>
    <m/>
    <n v="4"/>
    <m/>
    <n v="22342"/>
    <s v="CREMA"/>
    <n v="15.8"/>
    <n v="0"/>
    <n v="0"/>
    <n v="39.786000000000001"/>
    <n v="39.5"/>
    <n v="114"/>
    <n v="346.49122807017545"/>
    <x v="8"/>
    <x v="0"/>
    <n v="36"/>
    <n v="1"/>
    <n v="29.083333333333332"/>
  </r>
  <r>
    <d v="2025-10-01T08:00:00"/>
    <s v="SOPLADO"/>
    <x v="12"/>
    <x v="222"/>
    <s v="NELSON PINEDO"/>
    <m/>
    <m/>
    <m/>
    <s v="FLORERO GIRASOL ATERRADO"/>
    <s v="FLORERO GIRASOL ATERRADO-MELON"/>
    <n v="36"/>
    <n v="1"/>
    <n v="4.9000000000000004"/>
    <x v="0"/>
    <m/>
    <n v="2"/>
    <m/>
    <n v="22348"/>
    <s v="MELON"/>
    <n v="7"/>
    <n v="0"/>
    <n v="0"/>
    <n v="4.1040000000000001"/>
    <n v="4.9000000000000004"/>
    <n v="114"/>
    <n v="42.982456140350877"/>
    <x v="8"/>
    <x v="0"/>
    <n v="37"/>
    <n v="1"/>
    <n v="3"/>
  </r>
  <r>
    <d v="2025-10-01T08:00:00"/>
    <s v="SOPLADO"/>
    <x v="12"/>
    <x v="222"/>
    <s v="NELSON PINEDO"/>
    <m/>
    <m/>
    <m/>
    <s v="FLORERO GIRASOL ATERRADO"/>
    <s v="FLORERO GIRASOL ATERRADO-PLOMO"/>
    <n v="36"/>
    <n v="1"/>
    <n v="4.8"/>
    <x v="0"/>
    <m/>
    <n v="1"/>
    <m/>
    <n v="22348"/>
    <s v="PLOMO"/>
    <n v="8.1999999999999993"/>
    <n v="0"/>
    <n v="0"/>
    <n v="4.1040000000000001"/>
    <n v="4.8"/>
    <n v="114"/>
    <n v="42.10526315789474"/>
    <x v="8"/>
    <x v="0"/>
    <n v="37"/>
    <n v="1"/>
    <n v="3"/>
  </r>
  <r>
    <d v="2025-10-01T08:00:00"/>
    <s v="SOPLADO"/>
    <x v="12"/>
    <x v="223"/>
    <s v="LUIS PINEDO"/>
    <m/>
    <m/>
    <m/>
    <s v="FLORERO CISNE"/>
    <s v="FLORERO CISNE-BLANCO"/>
    <n v="740"/>
    <n v="8"/>
    <n v="46.3"/>
    <x v="0"/>
    <m/>
    <n v="3"/>
    <m/>
    <n v="22349"/>
    <s v="BLANCO"/>
    <n v="64.2"/>
    <n v="0"/>
    <n v="0"/>
    <n v="44.4"/>
    <n v="46.3"/>
    <n v="60"/>
    <n v="771.66666666666663"/>
    <x v="8"/>
    <x v="0"/>
    <n v="37"/>
    <n v="1"/>
    <n v="61.666666666666664"/>
  </r>
  <r>
    <d v="2025-10-01T08:00:00"/>
    <s v="SOPLADO"/>
    <x v="12"/>
    <x v="206"/>
    <s v="BRAYAN PINEDO"/>
    <m/>
    <m/>
    <m/>
    <s v="FLORERO CISNE"/>
    <s v="FLORERO CISNE-BLANCO"/>
    <n v="703"/>
    <n v="7"/>
    <n v="47.4"/>
    <x v="0"/>
    <m/>
    <n v="3"/>
    <m/>
    <n v="22350"/>
    <s v="BLANCO"/>
    <n v="58.3"/>
    <n v="0"/>
    <n v="0"/>
    <n v="42.18"/>
    <n v="47.4"/>
    <n v="60"/>
    <n v="790"/>
    <x v="8"/>
    <x v="0"/>
    <n v="38"/>
    <n v="1"/>
    <n v="58.583333333333336"/>
  </r>
  <r>
    <d v="2025-10-01T08:00:00"/>
    <s v="SOPLADO"/>
    <x v="12"/>
    <x v="207"/>
    <s v="SAID VILLAMIZAR"/>
    <m/>
    <m/>
    <m/>
    <s v="FLORERO CISNE"/>
    <s v="FLORERO CISNE-BLANCO"/>
    <n v="796"/>
    <n v="8"/>
    <n v="49.7"/>
    <x v="0"/>
    <m/>
    <n v="6"/>
    <m/>
    <n v="22351"/>
    <s v="BLANCO"/>
    <n v="88.5"/>
    <n v="0"/>
    <n v="0"/>
    <n v="47.76"/>
    <n v="49.7"/>
    <n v="60"/>
    <n v="828.33333333333337"/>
    <x v="8"/>
    <x v="0"/>
    <n v="38"/>
    <n v="1"/>
    <n v="66.333333333333329"/>
  </r>
  <r>
    <d v="2025-10-01T08:00:00"/>
    <s v="SOPLADO"/>
    <x v="12"/>
    <x v="202"/>
    <s v="BRAYAN PINEDO"/>
    <m/>
    <m/>
    <m/>
    <s v="FLORERO CISNE"/>
    <s v="FLORERO CISNE-BLANCO"/>
    <n v="645"/>
    <n v="9"/>
    <n v="42.4"/>
    <x v="0"/>
    <m/>
    <n v="7"/>
    <m/>
    <n v="22352"/>
    <s v="BLANCO"/>
    <n v="111.4"/>
    <n v="0"/>
    <n v="0"/>
    <n v="38.700000000000003"/>
    <n v="42.4"/>
    <n v="60"/>
    <n v="706.66666666666663"/>
    <x v="8"/>
    <x v="0"/>
    <n v="39"/>
    <n v="1"/>
    <n v="53.75"/>
  </r>
  <r>
    <d v="2025-10-01T08:00:00"/>
    <s v="SOPLADO"/>
    <x v="13"/>
    <x v="222"/>
    <s v="SAID VILLAMIZAR"/>
    <m/>
    <m/>
    <m/>
    <s v="ALCANCIA PABLO GRANDE"/>
    <s v="ALCANCIA PABLO GRANDE-CARNE"/>
    <n v="556"/>
    <n v="9"/>
    <n v="73.400000000000006"/>
    <x v="0"/>
    <m/>
    <n v="10"/>
    <m/>
    <n v="22409"/>
    <s v="CREMA"/>
    <n v="0"/>
    <n v="0"/>
    <n v="0"/>
    <n v="69.5"/>
    <n v="73.400000000000006"/>
    <n v="125"/>
    <n v="587.20000000000005"/>
    <x v="8"/>
    <x v="0"/>
    <n v="37"/>
    <n v="1"/>
    <n v="46.333333333333336"/>
  </r>
  <r>
    <d v="2025-10-01T08:00:00"/>
    <s v="SOPLADO"/>
    <x v="13"/>
    <x v="223"/>
    <s v="LUIS RENGIFO"/>
    <m/>
    <m/>
    <m/>
    <s v="ALCANCIA PABLO GRANDE"/>
    <s v="ALCANCIA PABLO GRANDE-CARNE"/>
    <n v="669"/>
    <n v="5"/>
    <n v="83.7"/>
    <x v="0"/>
    <m/>
    <n v="12"/>
    <m/>
    <n v="22410"/>
    <s v="CARNE"/>
    <n v="21.4"/>
    <n v="0"/>
    <n v="0"/>
    <n v="83.625"/>
    <n v="83.7"/>
    <n v="125"/>
    <n v="669.6"/>
    <x v="8"/>
    <x v="0"/>
    <n v="37"/>
    <n v="1"/>
    <n v="55.75"/>
  </r>
  <r>
    <d v="2025-10-01T08:00:00"/>
    <s v="SOPLADO"/>
    <x v="11"/>
    <x v="220"/>
    <s v="CRISALIDA ZAPATA"/>
    <m/>
    <m/>
    <m/>
    <s v="TOMATODO 350ML"/>
    <s v="TOMATODO 350ML-TRANSPARENTE"/>
    <n v="1375"/>
    <n v="8"/>
    <n v="44"/>
    <x v="0"/>
    <m/>
    <n v="6"/>
    <m/>
    <n v="20993"/>
    <s v="TRANSPARENTE"/>
    <n v="22.5"/>
    <n v="0"/>
    <n v="0"/>
    <n v="85.25"/>
    <n v="44"/>
    <n v="62"/>
    <n v="709.67741935483866"/>
    <x v="8"/>
    <x v="0"/>
    <n v="37"/>
    <n v="2"/>
    <n v="229.16666666666666"/>
  </r>
  <r>
    <d v="2025-10-01T08:00:00"/>
    <s v="SOPLADO"/>
    <x v="11"/>
    <x v="224"/>
    <s v="CRISALIDA ZAPATA"/>
    <m/>
    <m/>
    <m/>
    <s v="TOMATODO 350ML"/>
    <s v="TOMATODO 350ML-TRANSPARENTE"/>
    <n v="2006"/>
    <n v="11"/>
    <n v="64.2"/>
    <x v="0"/>
    <m/>
    <n v="7"/>
    <m/>
    <n v="20994"/>
    <s v="TRANSPARENTE"/>
    <n v="23.7"/>
    <n v="0"/>
    <n v="0"/>
    <n v="124.372"/>
    <n v="64.2"/>
    <n v="62"/>
    <n v="1035.483870967742"/>
    <x v="8"/>
    <x v="0"/>
    <n v="37"/>
    <n v="2"/>
    <n v="334.33333333333331"/>
  </r>
  <r>
    <d v="2025-10-01T08:00:00"/>
    <s v="SOPLADO"/>
    <x v="11"/>
    <x v="224"/>
    <s v="GABRIEL REQUENA"/>
    <m/>
    <m/>
    <m/>
    <s v="TOMATODO 350ML"/>
    <s v="TOMATODO 350ML-TRANSPARENTE"/>
    <n v="2053"/>
    <n v="12"/>
    <n v="65.7"/>
    <x v="1"/>
    <m/>
    <n v="7"/>
    <m/>
    <n v="20995"/>
    <s v="TRANSPARENTE"/>
    <n v="35.700000000000003"/>
    <n v="0"/>
    <n v="0"/>
    <n v="127.286"/>
    <n v="65.7"/>
    <n v="62"/>
    <n v="1059.6774193548388"/>
    <x v="8"/>
    <x v="0"/>
    <n v="37"/>
    <n v="2"/>
    <n v="342.16666666666669"/>
  </r>
  <r>
    <d v="2025-10-01T08:00:00"/>
    <s v="SOPLADO"/>
    <x v="11"/>
    <x v="225"/>
    <s v="KARLA HUISA"/>
    <m/>
    <m/>
    <m/>
    <s v="TOMATODO 350ML"/>
    <s v="TOMATODO 350ML-TRANSPARENTE"/>
    <n v="1703"/>
    <n v="11"/>
    <n v="54.5"/>
    <x v="0"/>
    <m/>
    <n v="6"/>
    <m/>
    <n v="20996"/>
    <s v="TRANSPARENTE"/>
    <n v="29.3"/>
    <n v="0"/>
    <n v="0"/>
    <n v="105.586"/>
    <n v="54.5"/>
    <n v="62"/>
    <n v="879.0322580645161"/>
    <x v="8"/>
    <x v="0"/>
    <n v="38"/>
    <n v="2"/>
    <n v="283.83333333333331"/>
  </r>
  <r>
    <d v="2025-10-01T08:00:00"/>
    <s v="INYECTADO"/>
    <x v="10"/>
    <x v="213"/>
    <s v="MARJORIE VILCHEZ"/>
    <m/>
    <m/>
    <m/>
    <s v="BASE ORGANIZADOR  DE 2KG"/>
    <s v="BASE ORGANIZADOR  DE 2KG-TRANSPARENTE"/>
    <n v="1602"/>
    <n v="11"/>
    <n v="94.8"/>
    <x v="0"/>
    <m/>
    <n v="28"/>
    <m/>
    <n v="22666"/>
    <s v="TRANSPARENTE"/>
    <n v="2.1"/>
    <n v="0"/>
    <n v="0"/>
    <n v="80.099999999999994"/>
    <n v="94.8"/>
    <n v="50"/>
    <n v="1896"/>
    <x v="8"/>
    <x v="0"/>
    <n v="36"/>
    <n v="2"/>
    <n v="267"/>
  </r>
  <r>
    <d v="2025-10-01T08:00:00"/>
    <s v="INYECTADO"/>
    <x v="10"/>
    <x v="214"/>
    <s v="SAID VILLAMIZAR"/>
    <m/>
    <m/>
    <m/>
    <s v="BASE ORGANIZADOR  DE 2KG"/>
    <s v="BASE ORGANIZADOR  DE 2KG-VERDE NEON"/>
    <n v="60"/>
    <n v="1"/>
    <n v="3.4"/>
    <x v="0"/>
    <m/>
    <n v="1"/>
    <m/>
    <n v="22667"/>
    <s v="VERDE NEON"/>
    <n v="0"/>
    <n v="0"/>
    <n v="0"/>
    <e v="#N/A"/>
    <n v="3.4"/>
    <e v="#N/A"/>
    <n v="0"/>
    <x v="8"/>
    <x v="0"/>
    <n v="36"/>
    <e v="#N/A"/>
    <e v="#N/A"/>
  </r>
  <r>
    <d v="2025-10-01T08:00:00"/>
    <s v="INYECTADO"/>
    <x v="10"/>
    <x v="214"/>
    <s v="SAID VILLAMIZAR"/>
    <m/>
    <m/>
    <m/>
    <s v="BASE ORGANIZADOR  DE 2KG"/>
    <s v="BASE ORGANIZADOR  DE 2KG-ROJO NEON"/>
    <n v="60"/>
    <n v="1"/>
    <n v="3.4"/>
    <x v="0"/>
    <m/>
    <n v="1"/>
    <m/>
    <n v="22667"/>
    <s v="ROJO NEON"/>
    <n v="0"/>
    <n v="0"/>
    <n v="0"/>
    <e v="#N/A"/>
    <n v="3.4"/>
    <e v="#N/A"/>
    <n v="0"/>
    <x v="8"/>
    <x v="0"/>
    <n v="36"/>
    <e v="#N/A"/>
    <e v="#N/A"/>
  </r>
  <r>
    <d v="2025-10-01T08:00:00"/>
    <s v="INYECTADO"/>
    <x v="10"/>
    <x v="214"/>
    <s v="ISABEL LINARIZ "/>
    <m/>
    <m/>
    <m/>
    <s v="TAPER REDONDO 1500ML"/>
    <s v="TAPER REDONDO 1500ML-TRANSPARENTE"/>
    <n v="1331"/>
    <n v="12"/>
    <n v="141.1"/>
    <x v="1"/>
    <m/>
    <n v="21"/>
    <m/>
    <n v="22668"/>
    <s v="TRANSPARENTE"/>
    <n v="2.2000000000000002"/>
    <n v="0"/>
    <n v="0"/>
    <n v="69.212000000000003"/>
    <n v="141.1"/>
    <n v="52"/>
    <n v="2713.4615384615386"/>
    <x v="8"/>
    <x v="0"/>
    <n v="36"/>
    <n v="2"/>
    <n v="221.83333333333334"/>
  </r>
  <r>
    <d v="2025-10-01T08:00:00"/>
    <s v="INYECTADO"/>
    <x v="10"/>
    <x v="215"/>
    <s v="JUANA CRUCES"/>
    <m/>
    <m/>
    <m/>
    <s v="TAPER REDONDO 1500ML"/>
    <s v="TAPER REDONDO 1500ML-TRANSPARENTE"/>
    <n v="994"/>
    <n v="11"/>
    <n v="105.4"/>
    <x v="0"/>
    <m/>
    <n v="18"/>
    <m/>
    <n v="22669"/>
    <s v="TRANSPARENTE"/>
    <n v="8.5"/>
    <n v="0"/>
    <n v="0"/>
    <n v="51.688000000000002"/>
    <n v="105.4"/>
    <n v="52"/>
    <n v="2026.9230769230769"/>
    <x v="8"/>
    <x v="0"/>
    <n v="36"/>
    <n v="2"/>
    <n v="165.66666666666666"/>
  </r>
  <r>
    <d v="2025-10-01T08:00:00"/>
    <s v="INYECTADO"/>
    <x v="10"/>
    <x v="215"/>
    <s v="JUAN MANUEL "/>
    <m/>
    <m/>
    <m/>
    <s v="TAPER REDONDO 1500ML"/>
    <s v="TAPER REDONDO 1500ML-TRANSPARENTE"/>
    <n v="1155"/>
    <n v="11"/>
    <n v="122.5"/>
    <x v="1"/>
    <m/>
    <n v="19"/>
    <m/>
    <n v="22670"/>
    <s v="TRANSPARENTE"/>
    <n v="0"/>
    <n v="0"/>
    <n v="0"/>
    <n v="60.06"/>
    <n v="122.5"/>
    <n v="52"/>
    <n v="2355.7692307692309"/>
    <x v="8"/>
    <x v="0"/>
    <n v="36"/>
    <n v="2"/>
    <n v="192.5"/>
  </r>
  <r>
    <d v="2025-10-01T08:00:00"/>
    <s v="INYECTADO"/>
    <x v="10"/>
    <x v="221"/>
    <s v="MARJORIE VILCHEZ"/>
    <m/>
    <m/>
    <m/>
    <s v="TAPER REDONDO 1500ML"/>
    <s v="TAPER REDONDO 1500ML-TRANSPARENTE"/>
    <n v="1050"/>
    <n v="11"/>
    <n v="111.3"/>
    <x v="0"/>
    <m/>
    <n v="17"/>
    <m/>
    <n v="22671"/>
    <s v="TRANSPARENTE"/>
    <n v="1.3"/>
    <n v="0"/>
    <n v="0"/>
    <n v="54.6"/>
    <n v="111.3"/>
    <n v="52"/>
    <n v="2140.3846153846152"/>
    <x v="8"/>
    <x v="0"/>
    <n v="36"/>
    <n v="2"/>
    <n v="175"/>
  </r>
  <r>
    <d v="2025-10-01T08:00:00"/>
    <s v="INYECTADO"/>
    <x v="10"/>
    <x v="221"/>
    <s v="JOSDER GONZALEZ"/>
    <m/>
    <m/>
    <m/>
    <s v="TAPER REDONDO 1500ML"/>
    <s v="TAPER REDONDO 1500ML-TRANSPARENTE"/>
    <n v="1276"/>
    <n v="12"/>
    <n v="135.30000000000001"/>
    <x v="1"/>
    <m/>
    <n v="21"/>
    <m/>
    <n v="22672"/>
    <s v="TRANSPARENTE"/>
    <n v="0.9"/>
    <n v="0"/>
    <n v="0"/>
    <n v="66.352000000000004"/>
    <n v="135.30000000000001"/>
    <n v="52"/>
    <n v="2601.9230769230771"/>
    <x v="8"/>
    <x v="0"/>
    <n v="36"/>
    <n v="2"/>
    <n v="212.66666666666666"/>
  </r>
  <r>
    <d v="2025-10-01T08:00:00"/>
    <s v="INYECTADO"/>
    <x v="10"/>
    <x v="216"/>
    <s v="JUANA CRUCES"/>
    <m/>
    <m/>
    <m/>
    <s v="TAPER REDONDO 1500ML"/>
    <s v="TAPER REDONDO 1500ML-TRANSPARENTE"/>
    <n v="313"/>
    <n v="3"/>
    <n v="33.200000000000003"/>
    <x v="0"/>
    <m/>
    <n v="5"/>
    <m/>
    <n v="22673"/>
    <s v="TRANSPARENTE"/>
    <n v="0"/>
    <n v="0"/>
    <n v="0"/>
    <n v="16.276"/>
    <n v="33.200000000000003"/>
    <n v="52"/>
    <n v="638.46153846153845"/>
    <x v="8"/>
    <x v="0"/>
    <n v="36"/>
    <n v="2"/>
    <n v="52.166666666666664"/>
  </r>
  <r>
    <d v="2025-10-01T08:00:00"/>
    <s v="INYECTADO"/>
    <x v="10"/>
    <x v="216"/>
    <s v="JUANA CRUCES"/>
    <m/>
    <m/>
    <m/>
    <s v="TAPER REDONDO 1500ML"/>
    <s v="TAPA TAPER REDONDO-AMARILLO"/>
    <n v="512"/>
    <n v="4"/>
    <n v="54.3"/>
    <x v="0"/>
    <m/>
    <n v="9"/>
    <m/>
    <n v="22673"/>
    <s v="AMARILLO"/>
    <n v="0"/>
    <n v="0"/>
    <n v="0"/>
    <n v="16.896000000000001"/>
    <n v="54.3"/>
    <n v="33"/>
    <n v="1645.4545454545455"/>
    <x v="8"/>
    <x v="0"/>
    <n v="36"/>
    <n v="4"/>
    <n v="170.66666666666666"/>
  </r>
  <r>
    <d v="2025-10-01T08:00:00"/>
    <s v="INYECTADO"/>
    <x v="10"/>
    <x v="216"/>
    <s v="JUANA CRUCES"/>
    <m/>
    <m/>
    <m/>
    <s v="TAPER REDONDO 1500ML"/>
    <s v="TAPA TAPER REDONDO-VERDE"/>
    <n v="396"/>
    <n v="4"/>
    <n v="42"/>
    <x v="0"/>
    <m/>
    <n v="7"/>
    <m/>
    <n v="22673"/>
    <s v="VERDE"/>
    <n v="0"/>
    <n v="0"/>
    <n v="0"/>
    <n v="13.068"/>
    <n v="42"/>
    <n v="33"/>
    <n v="1272.7272727272727"/>
    <x v="8"/>
    <x v="0"/>
    <n v="36"/>
    <n v="4"/>
    <n v="132"/>
  </r>
  <r>
    <d v="2025-10-01T08:00:00"/>
    <s v="INYECTADO"/>
    <x v="10"/>
    <x v="216"/>
    <s v="JUAN MANUEL "/>
    <m/>
    <m/>
    <m/>
    <s v="TAPER REDONDO 1500ML"/>
    <s v="TAPA TAPER REDONDO-VERDE"/>
    <n v="24"/>
    <n v="1"/>
    <n v="2.6"/>
    <x v="1"/>
    <m/>
    <n v="1"/>
    <m/>
    <n v="22674"/>
    <s v="VERDE"/>
    <n v="3.5"/>
    <n v="0"/>
    <n v="0"/>
    <n v="0.79200000000000004"/>
    <n v="2.6"/>
    <n v="33"/>
    <n v="78.787878787878782"/>
    <x v="8"/>
    <x v="0"/>
    <n v="36"/>
    <n v="4"/>
    <n v="8"/>
  </r>
  <r>
    <d v="2025-10-01T08:00:00"/>
    <s v="INYECTADO"/>
    <x v="10"/>
    <x v="216"/>
    <s v="JUAN MANUEL "/>
    <m/>
    <m/>
    <m/>
    <s v="TAPER REDONDO 1500ML"/>
    <s v="TAPA TAPER REDONDO-AZUL"/>
    <n v="434"/>
    <n v="4"/>
    <n v="46.1"/>
    <x v="1"/>
    <m/>
    <n v="7"/>
    <m/>
    <n v="22674"/>
    <s v="AZUL "/>
    <n v="3.3"/>
    <n v="0"/>
    <n v="0"/>
    <n v="14.321999999999999"/>
    <n v="46.1"/>
    <n v="33"/>
    <n v="1396.969696969697"/>
    <x v="8"/>
    <x v="0"/>
    <n v="36"/>
    <n v="4"/>
    <n v="144.66666666666666"/>
  </r>
  <r>
    <d v="2025-10-01T08:00:00"/>
    <s v="INYECTADO"/>
    <x v="10"/>
    <x v="216"/>
    <s v="JUAN MANUEL "/>
    <m/>
    <m/>
    <m/>
    <s v="TAPER REDONDO 1500ML"/>
    <s v="TAPA TAPER REDONDO-FUCSIA"/>
    <n v="450"/>
    <n v="4"/>
    <n v="47.8"/>
    <x v="1"/>
    <m/>
    <n v="8"/>
    <m/>
    <n v="22674"/>
    <s v="FUCSIA"/>
    <n v="2.1"/>
    <n v="0"/>
    <n v="0"/>
    <n v="14.85"/>
    <n v="47.8"/>
    <n v="33"/>
    <n v="1448.4848484848485"/>
    <x v="8"/>
    <x v="0"/>
    <n v="36"/>
    <n v="4"/>
    <n v="150"/>
  </r>
  <r>
    <d v="2025-10-01T08:00:00"/>
    <s v="INYECTADO"/>
    <x v="10"/>
    <x v="216"/>
    <s v="JUAN MANUEL "/>
    <m/>
    <m/>
    <m/>
    <s v="TAPER REDONDO 1500ML"/>
    <s v="TAPA TAPER REDONDO-LILA"/>
    <n v="122"/>
    <n v="2"/>
    <n v="13"/>
    <x v="1"/>
    <m/>
    <n v="2"/>
    <m/>
    <n v="22674"/>
    <s v="LILA"/>
    <n v="1.1000000000000001"/>
    <n v="0"/>
    <n v="0"/>
    <e v="#N/A"/>
    <n v="13"/>
    <e v="#N/A"/>
    <n v="0"/>
    <x v="8"/>
    <x v="0"/>
    <n v="36"/>
    <e v="#N/A"/>
    <e v="#N/A"/>
  </r>
  <r>
    <d v="2025-10-01T08:00:00"/>
    <s v="INYECTADO"/>
    <x v="10"/>
    <x v="217"/>
    <s v="MARJORIE VILCHEZ"/>
    <m/>
    <m/>
    <m/>
    <s v="TAPER REDONDO 1500ML"/>
    <s v="TAPA TAPER REDONDO-LILA"/>
    <n v="433"/>
    <n v="5"/>
    <n v="45.9"/>
    <x v="0"/>
    <m/>
    <n v="7"/>
    <m/>
    <n v="22675"/>
    <s v="LILA"/>
    <n v="4.7"/>
    <n v="0"/>
    <n v="0"/>
    <e v="#N/A"/>
    <n v="45.9"/>
    <e v="#N/A"/>
    <n v="0"/>
    <x v="8"/>
    <x v="0"/>
    <n v="36"/>
    <e v="#N/A"/>
    <e v="#N/A"/>
  </r>
  <r>
    <d v="2025-10-01T08:00:00"/>
    <s v="INYECTADO"/>
    <x v="10"/>
    <x v="217"/>
    <s v="MARJORIE VILCHEZ"/>
    <m/>
    <m/>
    <m/>
    <s v="TAPER REDONDO 1500ML"/>
    <s v="TAPA TAPER REDONDO-ROJO"/>
    <n v="438"/>
    <n v="5"/>
    <n v="46.5"/>
    <x v="0"/>
    <m/>
    <n v="8"/>
    <m/>
    <n v="22675"/>
    <s v="ROJO"/>
    <n v="4.3"/>
    <n v="0"/>
    <n v="0"/>
    <n v="14.454000000000001"/>
    <n v="46.5"/>
    <n v="33"/>
    <n v="1409.090909090909"/>
    <x v="8"/>
    <x v="0"/>
    <n v="36"/>
    <n v="4"/>
    <n v="146"/>
  </r>
  <r>
    <d v="2025-10-01T08:00:00"/>
    <s v="INYECTADO"/>
    <x v="10"/>
    <x v="219"/>
    <s v="LUIS PINEDO"/>
    <m/>
    <m/>
    <m/>
    <s v="JARRA GRECIA 5LT"/>
    <s v="JARRA GRECIA 5LT-TRANSPARENTE"/>
    <n v="778"/>
    <n v="9"/>
    <n v="180.5"/>
    <x v="0"/>
    <m/>
    <n v="15"/>
    <m/>
    <n v="22676"/>
    <s v="TRANSPARENTE"/>
    <n v="70.3"/>
    <n v="0"/>
    <n v="0"/>
    <n v="172.71600000000001"/>
    <n v="180.5"/>
    <n v="222"/>
    <n v="813.06306306306305"/>
    <x v="8"/>
    <x v="0"/>
    <n v="37"/>
    <n v="1"/>
    <n v="64.833333333333329"/>
  </r>
  <r>
    <d v="2025-10-01T08:00:00"/>
    <s v="INYECTADO"/>
    <x v="10"/>
    <x v="219"/>
    <s v="JUAN MANUEL "/>
    <m/>
    <m/>
    <m/>
    <s v="JARRA GRECIA 5LT"/>
    <s v="JARRA GRECIA 5LT-TRANSPARENTE"/>
    <n v="980"/>
    <n v="11"/>
    <n v="225.5"/>
    <x v="1"/>
    <m/>
    <n v="16"/>
    <m/>
    <n v="22677"/>
    <s v="TRANSPARENTE"/>
    <n v="8"/>
    <n v="0"/>
    <n v="0"/>
    <n v="217.56"/>
    <n v="225.5"/>
    <n v="222"/>
    <n v="1015.7657657657658"/>
    <x v="8"/>
    <x v="0"/>
    <n v="37"/>
    <n v="1"/>
    <n v="81.666666666666671"/>
  </r>
  <r>
    <d v="2025-10-01T08:00:00"/>
    <s v="INYECTADO"/>
    <x v="10"/>
    <x v="201"/>
    <s v="BRAYAN PINEDO"/>
    <m/>
    <m/>
    <m/>
    <s v="JARRA GRECIA 5LT"/>
    <s v="JARRA GRECIA 5LT-TRANSPARENTE"/>
    <n v="1013"/>
    <n v="12"/>
    <n v="233.1"/>
    <x v="0"/>
    <m/>
    <n v="17"/>
    <m/>
    <n v="22678"/>
    <s v="TRANSPARENTE"/>
    <n v="0"/>
    <n v="0"/>
    <n v="0"/>
    <n v="224.886"/>
    <n v="233.1"/>
    <n v="222"/>
    <n v="1050"/>
    <x v="8"/>
    <x v="0"/>
    <n v="37"/>
    <n v="1"/>
    <n v="84.416666666666671"/>
  </r>
  <r>
    <d v="2025-10-01T08:00:00"/>
    <s v="INYECTADO"/>
    <x v="10"/>
    <x v="201"/>
    <s v="JOSDER GONZALEZ"/>
    <m/>
    <m/>
    <m/>
    <s v="JARRA GRECIA 5LT"/>
    <s v="JARRA GRECIA 5LT-TRANSPARENTE"/>
    <n v="942"/>
    <n v="12"/>
    <n v="224.3"/>
    <x v="1"/>
    <m/>
    <n v="16"/>
    <m/>
    <n v="22679"/>
    <s v="TRANSPARENTE"/>
    <n v="13.05"/>
    <n v="0"/>
    <n v="0"/>
    <n v="209.124"/>
    <n v="224.3"/>
    <n v="222"/>
    <n v="1010.3603603603603"/>
    <x v="8"/>
    <x v="0"/>
    <n v="37"/>
    <n v="1"/>
    <n v="78.5"/>
  </r>
  <r>
    <d v="2025-10-01T08:00:00"/>
    <s v="INYECTADO"/>
    <x v="10"/>
    <x v="222"/>
    <s v="MARJORIE VILCHEZ"/>
    <m/>
    <m/>
    <m/>
    <s v="JARRA GRECIA 5LT"/>
    <s v="JARRA GRECIA 5LT-TRANSPARENTE"/>
    <n v="886"/>
    <n v="12"/>
    <n v="211.2"/>
    <x v="0"/>
    <m/>
    <n v="16"/>
    <m/>
    <n v="22680"/>
    <s v="TRANSPARENTE"/>
    <n v="2.7"/>
    <n v="0"/>
    <n v="0"/>
    <n v="196.69200000000001"/>
    <n v="211.2"/>
    <n v="222"/>
    <n v="951.35135135135135"/>
    <x v="8"/>
    <x v="0"/>
    <n v="37"/>
    <n v="1"/>
    <n v="73.833333333333329"/>
  </r>
  <r>
    <d v="2025-10-01T08:00:00"/>
    <s v="INYECTADO"/>
    <x v="10"/>
    <x v="222"/>
    <s v="JUAN MANUEL "/>
    <m/>
    <m/>
    <m/>
    <s v="JARRA GRECIA 5LT"/>
    <s v="JARRA GRECIA 5LT-TRANSPARENTE"/>
    <n v="869"/>
    <n v="11"/>
    <n v="207.3"/>
    <x v="1"/>
    <m/>
    <n v="15"/>
    <m/>
    <n v="22681"/>
    <s v="TRANSPARENTE"/>
    <n v="12"/>
    <n v="0"/>
    <n v="0"/>
    <n v="192.91800000000001"/>
    <n v="207.3"/>
    <n v="222"/>
    <n v="933.78378378378375"/>
    <x v="8"/>
    <x v="0"/>
    <n v="37"/>
    <n v="1"/>
    <n v="72.416666666666671"/>
  </r>
  <r>
    <d v="2025-10-01T08:00:00"/>
    <s v="INYECTADO"/>
    <x v="10"/>
    <x v="223"/>
    <s v="MARJORIE VILCHEZ"/>
    <m/>
    <m/>
    <m/>
    <s v="JARRA GRECIA 5LT"/>
    <s v="JARRA GRECIA 5LT-TRANSPARENTE"/>
    <n v="1001"/>
    <n v="12"/>
    <n v="228.4"/>
    <x v="0"/>
    <m/>
    <n v="16"/>
    <m/>
    <n v="22682"/>
    <s v="TRANSPARENTE"/>
    <n v="0"/>
    <n v="0"/>
    <n v="0"/>
    <n v="222.22200000000001"/>
    <n v="228.4"/>
    <n v="222"/>
    <n v="1028.8288288288288"/>
    <x v="8"/>
    <x v="0"/>
    <n v="37"/>
    <n v="1"/>
    <n v="83.416666666666671"/>
  </r>
  <r>
    <d v="2025-10-01T08:00:00"/>
    <s v="INYECTADO"/>
    <x v="10"/>
    <x v="223"/>
    <s v="GABRIEL REQUENA"/>
    <m/>
    <m/>
    <m/>
    <s v="JARRA GRECIA 5LT"/>
    <s v="JARRA GRECIA 5LT-TRANSPARENTE"/>
    <n v="910"/>
    <n v="12"/>
    <n v="216.2"/>
    <x v="1"/>
    <m/>
    <n v="35"/>
    <m/>
    <n v="22683"/>
    <s v="TRANSPARENTE"/>
    <n v="10"/>
    <n v="0"/>
    <n v="0"/>
    <n v="202.02"/>
    <n v="216.2"/>
    <n v="222"/>
    <n v="973.87387387387389"/>
    <x v="8"/>
    <x v="0"/>
    <n v="37"/>
    <n v="1"/>
    <n v="75.833333333333329"/>
  </r>
  <r>
    <d v="2025-10-01T08:00:00"/>
    <s v="INYECTADO"/>
    <x v="10"/>
    <x v="220"/>
    <s v="KARLA HUISA"/>
    <m/>
    <m/>
    <m/>
    <s v="JARRA GRECIA 5LT"/>
    <s v="JARRA GRECIA 5LT-TRANSPARENTE"/>
    <n v="891"/>
    <n v="10"/>
    <n v="215.3"/>
    <x v="0"/>
    <m/>
    <n v="36"/>
    <m/>
    <n v="22684"/>
    <s v="TRANSPARENTE"/>
    <n v="8.1999999999999993"/>
    <n v="0"/>
    <n v="0"/>
    <n v="197.80199999999999"/>
    <n v="215.3"/>
    <n v="222"/>
    <n v="969.81981981981983"/>
    <x v="8"/>
    <x v="0"/>
    <n v="37"/>
    <n v="1"/>
    <n v="74.25"/>
  </r>
  <r>
    <d v="2025-10-01T08:00:00"/>
    <s v="INYECTADO"/>
    <x v="10"/>
    <x v="220"/>
    <s v="JUAN MANUEL "/>
    <m/>
    <m/>
    <m/>
    <s v="JARRA GRECIA 5LT"/>
    <s v="JARRA GRECIA 5LT-TRANSPARENTE"/>
    <n v="808"/>
    <n v="11"/>
    <n v="192"/>
    <x v="1"/>
    <m/>
    <n v="34"/>
    <m/>
    <n v="22685"/>
    <s v="TRANSPARENTE"/>
    <n v="9"/>
    <n v="0"/>
    <n v="0"/>
    <n v="179.376"/>
    <n v="192"/>
    <n v="222"/>
    <n v="864.8648648648649"/>
    <x v="8"/>
    <x v="0"/>
    <n v="37"/>
    <n v="1"/>
    <n v="67.333333333333329"/>
  </r>
  <r>
    <d v="2025-10-01T08:00:00"/>
    <s v="INYECTADO"/>
    <x v="10"/>
    <x v="224"/>
    <s v="KARLA HUISA"/>
    <m/>
    <m/>
    <m/>
    <s v="JARRA GRECIA 5LT"/>
    <s v="JARRA GRECIA 5LT-TRANSPARENTE"/>
    <n v="912"/>
    <n v="11"/>
    <n v="216.8"/>
    <x v="0"/>
    <m/>
    <n v="38"/>
    <m/>
    <n v="22686"/>
    <s v="TRANSPARENTE"/>
    <n v="3.2"/>
    <n v="0"/>
    <n v="0"/>
    <n v="202.464"/>
    <n v="216.8"/>
    <n v="222"/>
    <n v="976.5765765765766"/>
    <x v="8"/>
    <x v="0"/>
    <n v="37"/>
    <n v="1"/>
    <n v="76"/>
  </r>
  <r>
    <d v="2025-10-01T08:00:00"/>
    <s v="INYECTADO"/>
    <x v="10"/>
    <x v="224"/>
    <s v="JOSDER GONZALEZ"/>
    <m/>
    <m/>
    <m/>
    <s v="JARRA GRECIA 5LT"/>
    <s v="JARRA GRECIA 5LT-TRANSPARENTE"/>
    <n v="739"/>
    <n v="11"/>
    <n v="175.6"/>
    <x v="1"/>
    <m/>
    <n v="31"/>
    <m/>
    <n v="22687"/>
    <s v="TRANSPARENTE"/>
    <n v="29.3"/>
    <n v="0"/>
    <n v="0"/>
    <n v="164.05799999999999"/>
    <n v="175.6"/>
    <n v="222"/>
    <n v="790.99099099099101"/>
    <x v="8"/>
    <x v="0"/>
    <n v="37"/>
    <n v="1"/>
    <n v="61.583333333333336"/>
  </r>
  <r>
    <d v="2025-10-01T08:00:00"/>
    <s v="INYECTADO"/>
    <x v="10"/>
    <x v="203"/>
    <s v="NELSON PINEDO"/>
    <m/>
    <m/>
    <m/>
    <s v="JARRA REAL 1200 ML"/>
    <s v="JARRA REAL 1200 LT-TRANSPARENTE"/>
    <n v="258"/>
    <n v="3"/>
    <n v="36.9"/>
    <x v="0"/>
    <m/>
    <n v="5"/>
    <m/>
    <n v="22688"/>
    <s v="TRANSPARENTE"/>
    <n v="3"/>
    <n v="0"/>
    <n v="0"/>
    <n v="17.544"/>
    <n v="36.9"/>
    <n v="68"/>
    <n v="542.64705882352939"/>
    <x v="8"/>
    <x v="0"/>
    <n v="38"/>
    <n v="2"/>
    <n v="43"/>
  </r>
  <r>
    <d v="2025-10-01T08:00:00"/>
    <s v="INYECTADO"/>
    <x v="10"/>
    <x v="203"/>
    <s v="JOSDER GONZALEZ"/>
    <m/>
    <m/>
    <m/>
    <s v="JARRA REAL 1200 ML"/>
    <s v="JARRA REAL 1200 LT-TRANSPARENTE"/>
    <n v="1065"/>
    <n v="12"/>
    <n v="153.5"/>
    <x v="1"/>
    <m/>
    <n v="22"/>
    <m/>
    <n v="22689"/>
    <s v="TRANSPARENTE"/>
    <n v="0.2"/>
    <n v="0"/>
    <n v="0"/>
    <n v="72.42"/>
    <n v="153.5"/>
    <n v="68"/>
    <n v="2257.3529411764707"/>
    <x v="8"/>
    <x v="0"/>
    <n v="38"/>
    <n v="2"/>
    <n v="177.5"/>
  </r>
  <r>
    <d v="2025-10-01T08:00:00"/>
    <s v="INYECTADO"/>
    <x v="10"/>
    <x v="204"/>
    <s v="JUANA CRUCES"/>
    <m/>
    <m/>
    <m/>
    <s v="JARRA REAL 1200 ML"/>
    <s v="JARRA REAL 1200 LT-TRANSPARENTE"/>
    <n v="1266"/>
    <n v="12"/>
    <n v="182.4"/>
    <x v="0"/>
    <m/>
    <n v="17"/>
    <m/>
    <n v="22690"/>
    <s v="TRANSPARENTE"/>
    <n v="6.8"/>
    <n v="0"/>
    <n v="0"/>
    <n v="86.087999999999994"/>
    <n v="182.4"/>
    <n v="68"/>
    <n v="2682.3529411764707"/>
    <x v="8"/>
    <x v="0"/>
    <n v="38"/>
    <n v="2"/>
    <n v="211"/>
  </r>
  <r>
    <d v="2025-10-01T08:00:00"/>
    <s v="INYECTADO"/>
    <x v="10"/>
    <x v="204"/>
    <s v="GABRIEL REQUENA"/>
    <m/>
    <m/>
    <m/>
    <s v="JARRA REAL 1200 ML"/>
    <s v="JARRA REAL 1200 LT-TRANSPARENTE"/>
    <n v="1240"/>
    <n v="12"/>
    <n v="176.2"/>
    <x v="1"/>
    <m/>
    <n v="19"/>
    <m/>
    <n v="22691"/>
    <s v="TRANSPARENTE"/>
    <n v="0"/>
    <n v="0"/>
    <n v="0"/>
    <n v="84.32"/>
    <n v="176.2"/>
    <n v="68"/>
    <n v="2591.1764705882351"/>
    <x v="8"/>
    <x v="0"/>
    <n v="38"/>
    <n v="2"/>
    <n v="206.66666666666666"/>
  </r>
  <r>
    <d v="2025-10-01T08:00:00"/>
    <s v="INYECTADO"/>
    <x v="10"/>
    <x v="205"/>
    <s v="KARLA HUISA"/>
    <m/>
    <m/>
    <m/>
    <s v="JARRA REAL 1200 ML"/>
    <s v="JARRA REAL 1200 LT-TRANSPARENTE"/>
    <n v="1046"/>
    <n v="12"/>
    <n v="149.69999999999999"/>
    <x v="0"/>
    <m/>
    <n v="15"/>
    <m/>
    <n v="22692"/>
    <s v="TRANSPARENTE"/>
    <n v="0"/>
    <n v="0"/>
    <n v="0"/>
    <n v="71.128"/>
    <n v="149.69999999999999"/>
    <n v="68"/>
    <n v="2201.4705882352941"/>
    <x v="8"/>
    <x v="0"/>
    <n v="38"/>
    <n v="2"/>
    <n v="174.33333333333334"/>
  </r>
  <r>
    <d v="2025-10-01T08:00:00"/>
    <s v="INYECTADO"/>
    <x v="10"/>
    <x v="205"/>
    <s v="GABRIEL REQUENA"/>
    <m/>
    <m/>
    <m/>
    <s v="JARRA REAL 1200 ML"/>
    <s v="JARRA REAL 1200 LT-TRANSPARENTE"/>
    <n v="1211"/>
    <n v="12"/>
    <n v="172.1"/>
    <x v="1"/>
    <m/>
    <n v="18"/>
    <m/>
    <n v="22693"/>
    <s v="TRANSPARENTE"/>
    <n v="3.7"/>
    <n v="0"/>
    <n v="0"/>
    <n v="82.347999999999999"/>
    <n v="172.1"/>
    <n v="68"/>
    <n v="2530.8823529411766"/>
    <x v="8"/>
    <x v="0"/>
    <n v="38"/>
    <n v="2"/>
    <n v="201.83333333333334"/>
  </r>
  <r>
    <d v="2025-10-01T08:00:00"/>
    <s v="INYECTADO"/>
    <x v="10"/>
    <x v="206"/>
    <s v="JUANA CRUCES"/>
    <m/>
    <m/>
    <m/>
    <s v="JARRA REAL 1200 ML"/>
    <s v="JARRA REAL 1200 LT-TRANSPARENTE"/>
    <n v="1287"/>
    <n v="12"/>
    <n v="182.8"/>
    <x v="0"/>
    <m/>
    <n v="19"/>
    <m/>
    <n v="22694"/>
    <s v="TRANSPARENTE"/>
    <n v="0"/>
    <n v="0"/>
    <n v="0"/>
    <n v="87.516000000000005"/>
    <n v="182.8"/>
    <n v="68"/>
    <n v="2688.2352941176468"/>
    <x v="8"/>
    <x v="0"/>
    <n v="38"/>
    <n v="2"/>
    <n v="214.5"/>
  </r>
  <r>
    <d v="2025-10-01T08:00:00"/>
    <s v="INYECTADO"/>
    <x v="10"/>
    <x v="206"/>
    <s v="JOSDER GONZALEZ"/>
    <m/>
    <m/>
    <m/>
    <s v="JARRA REAL 1200 ML"/>
    <s v="JARRA REAL 1200 LT-TRANSPARENTE"/>
    <n v="604"/>
    <n v="6"/>
    <n v="85.8"/>
    <x v="1"/>
    <m/>
    <n v="9"/>
    <m/>
    <n v="22695"/>
    <s v="TRANSPARENTE"/>
    <n v="0.1"/>
    <n v="0"/>
    <n v="0"/>
    <n v="41.072000000000003"/>
    <n v="85.8"/>
    <n v="68"/>
    <n v="1261.7647058823529"/>
    <x v="8"/>
    <x v="0"/>
    <n v="38"/>
    <n v="2"/>
    <n v="100.66666666666667"/>
  </r>
  <r>
    <d v="2025-10-01T08:00:00"/>
    <s v="INYECTADO"/>
    <x v="10"/>
    <x v="230"/>
    <s v="NELSON PINEDO"/>
    <m/>
    <m/>
    <m/>
    <s v="JARRA REAL 6LT"/>
    <s v="JARRA REAL 6 LT-TRANSPARENTE"/>
    <n v="645"/>
    <n v="6"/>
    <n v="155.5"/>
    <x v="0"/>
    <m/>
    <n v="26"/>
    <m/>
    <n v="22696"/>
    <s v="TRANSPARENTE"/>
    <n v="0"/>
    <n v="0"/>
    <n v="0"/>
    <n v="154.80000000000001"/>
    <n v="155.5"/>
    <n v="240"/>
    <n v="647.91666666666663"/>
    <x v="9"/>
    <x v="2"/>
    <e v="#VALUE!"/>
    <n v="1"/>
    <n v="53.75"/>
  </r>
  <r>
    <d v="2025-10-01T08:00:00"/>
    <s v="INYECTADO"/>
    <x v="10"/>
    <x v="207"/>
    <s v="GABRIEL REQUENA"/>
    <m/>
    <m/>
    <m/>
    <s v="JARRA REAL 6LT"/>
    <s v="JARRA REAL 6 LT-TRANSPARENTE"/>
    <n v="917"/>
    <n v="12"/>
    <n v="222"/>
    <x v="1"/>
    <m/>
    <n v="37"/>
    <m/>
    <n v="22697"/>
    <s v="TRANSPARENTE"/>
    <n v="4.5"/>
    <n v="0"/>
    <n v="0"/>
    <n v="220.08"/>
    <n v="222"/>
    <n v="240"/>
    <n v="925"/>
    <x v="8"/>
    <x v="0"/>
    <n v="38"/>
    <n v="1"/>
    <n v="76.416666666666671"/>
  </r>
  <r>
    <d v="2025-10-01T08:00:00"/>
    <s v="INYECTADO"/>
    <x v="10"/>
    <x v="202"/>
    <s v="JUANA CRUCES"/>
    <m/>
    <m/>
    <m/>
    <s v="JARRA REAL 6LT"/>
    <s v="JARRA REAL 6 LT-TRANSPARENTE"/>
    <n v="956"/>
    <n v="11"/>
    <n v="230.6"/>
    <x v="0"/>
    <m/>
    <n v="39"/>
    <m/>
    <n v="22698"/>
    <s v="TRANSPARENTE"/>
    <n v="0"/>
    <n v="0"/>
    <n v="0"/>
    <n v="229.44"/>
    <n v="230.6"/>
    <n v="240"/>
    <n v="960.83333333333337"/>
    <x v="8"/>
    <x v="0"/>
    <n v="39"/>
    <n v="1"/>
    <n v="79.666666666666671"/>
  </r>
  <r>
    <d v="2025-10-01T08:00:00"/>
    <s v="INYECTADO"/>
    <x v="10"/>
    <x v="208"/>
    <s v="SIN NOMBRE"/>
    <m/>
    <m/>
    <m/>
    <s v="JARRA REAL 6LT"/>
    <s v="JARRA REAL 6 LT-TRANSPARENTE"/>
    <n v="931"/>
    <n v="12"/>
    <n v="224.5"/>
    <x v="0"/>
    <m/>
    <n v="38"/>
    <m/>
    <n v="22699"/>
    <s v="TRANSPARENTE"/>
    <n v="3.1"/>
    <n v="0"/>
    <n v="0"/>
    <n v="223.44"/>
    <n v="224.5"/>
    <n v="240"/>
    <n v="935.41666666666663"/>
    <x v="8"/>
    <x v="0"/>
    <n v="39"/>
    <n v="1"/>
    <n v="77.583333333333329"/>
  </r>
  <r>
    <d v="2025-10-01T08:00:00"/>
    <s v="INYECTADO"/>
    <x v="10"/>
    <x v="208"/>
    <s v="ISABEL LINARIZ "/>
    <m/>
    <m/>
    <m/>
    <s v="JARRA REAL 6LT"/>
    <s v="JARRA REAL 6 LT-TRANSPARENTE"/>
    <n v="1046"/>
    <n v="12"/>
    <n v="261.5"/>
    <x v="1"/>
    <m/>
    <n v="44"/>
    <m/>
    <n v="22700"/>
    <s v="TRANSPARENTE"/>
    <n v="3"/>
    <n v="0"/>
    <n v="0"/>
    <n v="251.04"/>
    <n v="261.5"/>
    <n v="240"/>
    <n v="1089.5833333333333"/>
    <x v="8"/>
    <x v="0"/>
    <n v="39"/>
    <n v="1"/>
    <n v="87.166666666666671"/>
  </r>
  <r>
    <d v="2025-10-01T08:00:00"/>
    <s v="INYECTADO"/>
    <x v="10"/>
    <x v="209"/>
    <s v="NELSON PINEDO"/>
    <m/>
    <m/>
    <m/>
    <s v="JARRA REAL 6LT"/>
    <s v="JARRA REAL 6 LT-TRANSPARENTE"/>
    <n v="497"/>
    <n v="5"/>
    <n v="56.2"/>
    <x v="0"/>
    <m/>
    <n v="16"/>
    <m/>
    <n v="23001"/>
    <s v="TRANSPARENTE"/>
    <n v="0"/>
    <n v="0"/>
    <n v="0"/>
    <n v="119.28"/>
    <n v="56.2"/>
    <n v="240"/>
    <n v="234.16666666666666"/>
    <x v="8"/>
    <x v="0"/>
    <n v="39"/>
    <n v="1"/>
    <n v="41.416666666666664"/>
  </r>
  <r>
    <d v="2025-10-01T08:00:00"/>
    <s v="INYECTADO"/>
    <x v="10"/>
    <x v="210"/>
    <s v="GABRIEL REQUENA"/>
    <m/>
    <m/>
    <m/>
    <s v="BASE ORGANIZADOR  DE 2KG"/>
    <s v="BASE ORGANIZADOR  DE 2KG-TRANSPARENTE"/>
    <n v="1248"/>
    <n v="12"/>
    <n v="144.80000000000001"/>
    <x v="1"/>
    <m/>
    <n v="42"/>
    <m/>
    <n v="23002"/>
    <s v="TRANSPARENTE"/>
    <n v="3.4"/>
    <n v="0"/>
    <n v="0"/>
    <n v="62.4"/>
    <n v="144.80000000000001"/>
    <n v="50"/>
    <n v="2896"/>
    <x v="8"/>
    <x v="0"/>
    <n v="39"/>
    <n v="2"/>
    <n v="208"/>
  </r>
  <r>
    <d v="2025-10-01T08:00:00"/>
    <s v="INYECTADO"/>
    <x v="10"/>
    <x v="210"/>
    <s v="MARJORIE VILCHEZ"/>
    <m/>
    <m/>
    <m/>
    <s v="BASE ORGANIZADOR  DE 2KG"/>
    <s v="BASE ORGANIZADOR  DE 2KG-TRANSPARENTE"/>
    <n v="1103"/>
    <n v="12"/>
    <n v="122.5"/>
    <x v="0"/>
    <m/>
    <n v="36"/>
    <m/>
    <n v="23003"/>
    <s v="TRANSPARENTE"/>
    <n v="4.2"/>
    <n v="0"/>
    <n v="0"/>
    <n v="55.15"/>
    <n v="122.5"/>
    <n v="50"/>
    <n v="2450"/>
    <x v="8"/>
    <x v="0"/>
    <n v="39"/>
    <n v="2"/>
    <n v="183.83333333333334"/>
  </r>
  <r>
    <d v="2025-10-01T08:00:00"/>
    <s v="INYECTADO"/>
    <x v="10"/>
    <x v="210"/>
    <s v="JOSDER GONZALEZ"/>
    <m/>
    <m/>
    <m/>
    <s v="BASE ORGANIZADOR  DE 2KG"/>
    <s v="BASE ORGANIZADOR  DE 2KG-TRANSPARENTE"/>
    <n v="150"/>
    <n v="2"/>
    <n v="17.5"/>
    <x v="1"/>
    <m/>
    <n v="5"/>
    <m/>
    <n v="23004"/>
    <s v="TRANSPARENTE"/>
    <n v="1.4"/>
    <n v="0"/>
    <n v="0"/>
    <n v="7.5"/>
    <n v="17.5"/>
    <n v="50"/>
    <n v="350"/>
    <x v="8"/>
    <x v="0"/>
    <n v="39"/>
    <n v="2"/>
    <n v="25"/>
  </r>
  <r>
    <d v="2025-10-01T08:00:00"/>
    <s v="INYECTADO"/>
    <x v="10"/>
    <x v="210"/>
    <s v="JOSDER GONZALEZ"/>
    <m/>
    <m/>
    <m/>
    <s v="BASE ORGANIZADOR  DE 2KG"/>
    <s v="BASE ORGANIZADOR  DE 2KG CARAMELO-AMARILLO"/>
    <n v="409"/>
    <n v="4"/>
    <n v="47.8"/>
    <x v="1"/>
    <m/>
    <n v="14"/>
    <n v="1230"/>
    <n v="23004"/>
    <s v="TRANSPARENTE"/>
    <n v="4.7"/>
    <n v="0"/>
    <n v="0"/>
    <n v="20.45"/>
    <n v="47.8"/>
    <n v="50"/>
    <n v="956"/>
    <x v="8"/>
    <x v="0"/>
    <n v="39"/>
    <n v="2"/>
    <n v="68.166666666666671"/>
  </r>
  <r>
    <d v="2025-10-01T08:00:00"/>
    <s v="INYECTADO"/>
    <x v="10"/>
    <x v="210"/>
    <s v="JOSDER GONZALEZ"/>
    <m/>
    <m/>
    <m/>
    <s v="BASE ORGANIZADOR  DE 2KG"/>
    <s v="BASE ORGANIZADOR  DE 2KG CARAMELO-VERDE"/>
    <n v="420"/>
    <n v="4"/>
    <n v="49"/>
    <x v="1"/>
    <m/>
    <n v="14"/>
    <n v="1230"/>
    <n v="23004"/>
    <s v="TRANSPARENTE"/>
    <n v="6.4"/>
    <n v="0"/>
    <n v="0"/>
    <n v="21"/>
    <n v="49"/>
    <n v="50"/>
    <n v="980"/>
    <x v="8"/>
    <x v="0"/>
    <n v="39"/>
    <n v="2"/>
    <n v="70"/>
  </r>
  <r>
    <d v="2025-10-01T08:00:00"/>
    <s v="INYECTADO"/>
    <x v="10"/>
    <x v="210"/>
    <s v="JOSDER GONZALEZ"/>
    <m/>
    <m/>
    <m/>
    <s v="BASE ORGANIZADOR  DE 2KG"/>
    <s v="BASE ORGANIZADOR  DE 2KG CARAMELO-AZUL"/>
    <n v="60"/>
    <n v="1"/>
    <n v="7"/>
    <x v="1"/>
    <m/>
    <n v="2"/>
    <n v="1230"/>
    <n v="23004"/>
    <s v="TRANSPARENTE"/>
    <n v="1.5"/>
    <n v="0"/>
    <n v="0"/>
    <n v="3"/>
    <n v="7"/>
    <n v="50"/>
    <n v="140"/>
    <x v="8"/>
    <x v="0"/>
    <n v="39"/>
    <n v="2"/>
    <n v="10"/>
  </r>
  <r>
    <d v="2025-10-01T08:00:00"/>
    <s v="INYECTADO"/>
    <x v="10"/>
    <x v="227"/>
    <s v="MARJORIE VILCHEZ"/>
    <m/>
    <m/>
    <m/>
    <s v="BASE ORGANIZADOR  DE 2KG"/>
    <s v="BASE ORGANIZADOR  DE 2KG CARAMELO-AZUL"/>
    <n v="343"/>
    <n v="4"/>
    <n v="40"/>
    <x v="0"/>
    <m/>
    <n v="12"/>
    <n v="1230"/>
    <n v="23005"/>
    <s v="AZUL"/>
    <n v="3.8"/>
    <n v="0"/>
    <n v="0"/>
    <n v="17.149999999999999"/>
    <n v="40"/>
    <n v="50"/>
    <n v="800"/>
    <x v="8"/>
    <x v="0"/>
    <n v="39"/>
    <n v="2"/>
    <n v="57.166666666666664"/>
  </r>
  <r>
    <d v="2025-10-01T08:00:00"/>
    <s v="INYECTADO"/>
    <x v="10"/>
    <x v="227"/>
    <s v="MARJORIE VILCHEZ"/>
    <m/>
    <m/>
    <m/>
    <s v="BASE ORGANIZADOR  DE 2KG"/>
    <s v="BASE ORGANIZADOR  DE 2KG CARAMELO-LILA"/>
    <n v="409"/>
    <n v="5"/>
    <n v="47.7"/>
    <x v="0"/>
    <m/>
    <n v="14"/>
    <n v="1230"/>
    <n v="23005"/>
    <s v="LILA"/>
    <n v="11"/>
    <n v="0"/>
    <n v="0"/>
    <n v="20.45"/>
    <n v="47.7"/>
    <n v="50"/>
    <n v="954"/>
    <x v="8"/>
    <x v="0"/>
    <n v="39"/>
    <n v="2"/>
    <n v="68.166666666666671"/>
  </r>
  <r>
    <d v="2025-10-01T08:00:00"/>
    <s v="INYECTADO"/>
    <x v="10"/>
    <x v="227"/>
    <s v="MARJORIE VILCHEZ"/>
    <m/>
    <m/>
    <m/>
    <s v="BASE ORGANIZADOR  DE 2KG"/>
    <s v="BASE ORGANIZADOR  DE 2KG CARAMELO-FUCSIA"/>
    <n v="185"/>
    <n v="2"/>
    <n v="21.6"/>
    <x v="0"/>
    <m/>
    <n v="6"/>
    <n v="1230"/>
    <n v="23005"/>
    <s v="FUCSIA"/>
    <n v="2.1"/>
    <n v="0"/>
    <n v="0"/>
    <n v="9.25"/>
    <n v="21.6"/>
    <n v="50"/>
    <n v="432"/>
    <x v="8"/>
    <x v="0"/>
    <n v="39"/>
    <n v="2"/>
    <n v="30.833333333333332"/>
  </r>
  <r>
    <d v="2025-10-01T08:00:00"/>
    <s v="INYECTADO"/>
    <x v="10"/>
    <x v="227"/>
    <s v="JOSDER GONZALEZ"/>
    <m/>
    <m/>
    <m/>
    <s v="BASE ORGANIZADOR  DE 2KG"/>
    <s v="BASE ORGANIZADOR  DE 2KG CARAMELO-FUCSIA"/>
    <n v="132"/>
    <n v="2"/>
    <n v="15"/>
    <x v="1"/>
    <m/>
    <n v="5"/>
    <n v="1230"/>
    <n v="23006"/>
    <s v="FUCSIA"/>
    <n v="0.6"/>
    <n v="0"/>
    <n v="0"/>
    <n v="6.6"/>
    <n v="15"/>
    <n v="50"/>
    <n v="300"/>
    <x v="8"/>
    <x v="0"/>
    <n v="39"/>
    <n v="2"/>
    <n v="22"/>
  </r>
  <r>
    <d v="2025-10-01T08:00:00"/>
    <s v="INYECTADO"/>
    <x v="10"/>
    <x v="227"/>
    <s v="JOSDER GONZALEZ"/>
    <m/>
    <m/>
    <m/>
    <s v="BASE ORGANIZADOR  DE 2KG"/>
    <s v="BASE ORGANIZADOR  DE 2KG CARAMELO-ROJO"/>
    <n v="438"/>
    <n v="4"/>
    <n v="49.7"/>
    <x v="1"/>
    <m/>
    <n v="15"/>
    <n v="1230"/>
    <n v="23006"/>
    <s v="ROJO"/>
    <n v="1.9"/>
    <n v="0"/>
    <n v="0"/>
    <n v="21.9"/>
    <n v="49.7"/>
    <n v="50"/>
    <n v="994"/>
    <x v="8"/>
    <x v="0"/>
    <n v="39"/>
    <n v="2"/>
    <n v="73"/>
  </r>
  <r>
    <d v="2025-10-01T08:00:00"/>
    <s v="INYECTADO"/>
    <x v="10"/>
    <x v="227"/>
    <s v="JOSDER GONZALEZ"/>
    <m/>
    <m/>
    <m/>
    <s v="BASE ORGANIZADOR  DE 2KG NAVIDEÑO"/>
    <s v="BASE ORGANIZADOR  DE 2KG NAVIDEÑO-ROJO "/>
    <n v="646"/>
    <n v="6"/>
    <n v="73.3"/>
    <x v="1"/>
    <m/>
    <n v="22"/>
    <m/>
    <n v="23006"/>
    <s v="ROJO"/>
    <n v="3.3"/>
    <n v="0"/>
    <n v="0"/>
    <e v="#N/A"/>
    <n v="73.3"/>
    <e v="#N/A"/>
    <n v="0"/>
    <x v="8"/>
    <x v="0"/>
    <n v="39"/>
    <e v="#N/A"/>
    <e v="#N/A"/>
  </r>
  <r>
    <d v="2025-10-01T08:00:00"/>
    <s v="INYECTADO"/>
    <x v="10"/>
    <x v="226"/>
    <s v="LEONOR GUTIERREZ"/>
    <m/>
    <m/>
    <m/>
    <s v="BASE ORGANIZADOR  DE 2KG NAVIDEÑO"/>
    <s v="BASE ORGANIZADOR  DE 2KG NAVIDEÑO-ROJO "/>
    <n v="227"/>
    <n v="2"/>
    <n v="25.3"/>
    <x v="0"/>
    <m/>
    <n v="8"/>
    <m/>
    <n v="23007"/>
    <s v="ROJO"/>
    <n v="7.2"/>
    <n v="0"/>
    <n v="0"/>
    <e v="#N/A"/>
    <n v="25.3"/>
    <e v="#N/A"/>
    <n v="0"/>
    <x v="8"/>
    <x v="0"/>
    <n v="39"/>
    <e v="#N/A"/>
    <e v="#N/A"/>
  </r>
  <r>
    <d v="2025-10-01T08:00:00"/>
    <s v="INYECTADO"/>
    <x v="10"/>
    <x v="226"/>
    <s v="LEONOR GUTIERREZ"/>
    <m/>
    <m/>
    <m/>
    <s v="BASE ORGANIZADOR  DE 2KG NAVIDEÑO"/>
    <s v="BASE ORGANIZADOR  DE 2KG NAVIDEÑO-VERDE "/>
    <n v="889"/>
    <n v="9"/>
    <n v="98.7"/>
    <x v="0"/>
    <m/>
    <n v="29"/>
    <m/>
    <n v="23007"/>
    <s v="VERDE"/>
    <n v="4.5"/>
    <n v="0"/>
    <n v="0"/>
    <e v="#N/A"/>
    <n v="98.7"/>
    <e v="#N/A"/>
    <n v="0"/>
    <x v="8"/>
    <x v="0"/>
    <n v="39"/>
    <e v="#N/A"/>
    <e v="#N/A"/>
  </r>
  <r>
    <d v="2025-10-01T08:00:00"/>
    <s v="INYECTADO"/>
    <x v="10"/>
    <x v="226"/>
    <s v="JOSDER GONZALEZ"/>
    <m/>
    <m/>
    <m/>
    <s v="BASE ORGANIZADOR  DE 2KG"/>
    <s v="BASE ORGANIZADOR  DE 2KG PASTEL-TURQUESA"/>
    <n v="431"/>
    <n v="5"/>
    <n v="47.9"/>
    <x v="1"/>
    <m/>
    <n v="14"/>
    <m/>
    <n v="23008"/>
    <s v="TURQUESA"/>
    <n v="8.6999999999999993"/>
    <n v="0"/>
    <n v="0"/>
    <n v="21.55"/>
    <n v="47.9"/>
    <n v="50"/>
    <n v="958"/>
    <x v="8"/>
    <x v="0"/>
    <n v="39"/>
    <n v="2"/>
    <n v="71.833333333333329"/>
  </r>
  <r>
    <d v="2025-10-01T08:00:00"/>
    <s v="INYECTADO"/>
    <x v="10"/>
    <x v="228"/>
    <s v="SAID VILLAMIZAR"/>
    <m/>
    <m/>
    <m/>
    <s v="BASE ORGANIZADOR  DE 2KG"/>
    <s v="BASE ORGANIZADOR  DE 2KG PASTEL-ROSADO"/>
    <n v="333"/>
    <n v="4"/>
    <n v="38.700000000000003"/>
    <x v="0"/>
    <m/>
    <n v="11"/>
    <m/>
    <n v="23009"/>
    <s v="ROSADO"/>
    <n v="0"/>
    <n v="0"/>
    <n v="0"/>
    <n v="16.649999999999999"/>
    <n v="38.700000000000003"/>
    <n v="50"/>
    <n v="774"/>
    <x v="8"/>
    <x v="0"/>
    <n v="39"/>
    <n v="2"/>
    <n v="55.5"/>
  </r>
  <r>
    <d v="2025-10-01T08:00:00"/>
    <s v="INYECTADO"/>
    <x v="10"/>
    <x v="228"/>
    <s v="SAID VILLAMIZAR"/>
    <m/>
    <m/>
    <m/>
    <s v="BASE ORGANIZADOR  DE 2KG"/>
    <s v="BASE ORGANIZADOR  DE 2KG PASTEL-LILA"/>
    <n v="422"/>
    <n v="4"/>
    <n v="48.2"/>
    <x v="0"/>
    <m/>
    <n v="14"/>
    <m/>
    <n v="23009"/>
    <s v="LILA"/>
    <n v="0"/>
    <n v="0"/>
    <n v="0"/>
    <n v="21.1"/>
    <n v="48.2"/>
    <n v="50"/>
    <n v="964"/>
    <x v="8"/>
    <x v="0"/>
    <n v="39"/>
    <n v="2"/>
    <n v="70.333333333333329"/>
  </r>
  <r>
    <d v="2025-10-01T08:00:00"/>
    <s v="INYECTADO"/>
    <x v="10"/>
    <x v="228"/>
    <s v="SAID VILLAMIZAR"/>
    <m/>
    <m/>
    <m/>
    <s v="BASE ORGANIZADOR  DE 2KG"/>
    <s v="BASE ORGANIZADOR  DE 2KG PASTEL-SANDIA"/>
    <n v="287"/>
    <n v="3"/>
    <n v="32.799999999999997"/>
    <x v="0"/>
    <m/>
    <n v="10"/>
    <m/>
    <n v="23009"/>
    <s v="SANDIA"/>
    <n v="0"/>
    <n v="0"/>
    <n v="0"/>
    <n v="14.35"/>
    <n v="32.799999999999997"/>
    <n v="50"/>
    <n v="656"/>
    <x v="8"/>
    <x v="0"/>
    <n v="39"/>
    <n v="2"/>
    <n v="47.833333333333336"/>
  </r>
  <r>
    <d v="2025-10-01T08:00:00"/>
    <s v="INYECTADO"/>
    <x v="10"/>
    <x v="228"/>
    <s v="GABRIEL REQUENA"/>
    <m/>
    <m/>
    <m/>
    <s v="BASE ORGANIZADOR  DE 2KG"/>
    <s v="BASE ORGANIZADOR  DE 2KG PASTEL-SANDIA"/>
    <n v="141"/>
    <n v="2"/>
    <n v="16.100000000000001"/>
    <x v="1"/>
    <m/>
    <n v="5"/>
    <m/>
    <n v="23010"/>
    <s v="SANDIA"/>
    <n v="4.7"/>
    <n v="0"/>
    <n v="0"/>
    <n v="7.05"/>
    <n v="16.100000000000001"/>
    <n v="50"/>
    <n v="322.00000000000006"/>
    <x v="8"/>
    <x v="0"/>
    <n v="39"/>
    <n v="2"/>
    <n v="23.5"/>
  </r>
  <r>
    <d v="2025-10-01T08:00:00"/>
    <s v="INYECTADO"/>
    <x v="10"/>
    <x v="228"/>
    <s v="GABRIEL REQUENA"/>
    <m/>
    <m/>
    <m/>
    <s v="BASE ORGANIZADOR  DE 2KG"/>
    <s v="BASE ORGANIZADOR  DE 2KG SOLIDO-ROJO"/>
    <n v="436"/>
    <n v="5"/>
    <n v="49.8"/>
    <x v="1"/>
    <m/>
    <n v="14"/>
    <m/>
    <n v="23010"/>
    <s v="ROJO"/>
    <n v="12.7"/>
    <n v="0"/>
    <n v="0"/>
    <e v="#N/A"/>
    <n v="49.8"/>
    <e v="#N/A"/>
    <n v="0"/>
    <x v="8"/>
    <x v="0"/>
    <n v="39"/>
    <e v="#N/A"/>
    <e v="#N/A"/>
  </r>
  <r>
    <d v="2025-10-01T08:00:00"/>
    <s v="INYECTADO"/>
    <x v="10"/>
    <x v="228"/>
    <s v="GABRIEL REQUENA"/>
    <m/>
    <m/>
    <m/>
    <s v="BASE ORGANIZADOR  DE 2KG"/>
    <s v="BASE ORGANIZADOR  DE 2KG PASTEL-AZURE"/>
    <n v="375"/>
    <n v="3"/>
    <n v="42.8"/>
    <x v="1"/>
    <m/>
    <n v="12"/>
    <m/>
    <n v="23010"/>
    <s v="AZURE"/>
    <n v="5.6"/>
    <n v="0"/>
    <n v="0"/>
    <n v="18.75"/>
    <n v="42.8"/>
    <n v="50"/>
    <n v="856"/>
    <x v="8"/>
    <x v="0"/>
    <n v="39"/>
    <n v="2"/>
    <n v="62.5"/>
  </r>
  <r>
    <d v="2025-10-01T08:00:00"/>
    <s v="INYECTADO"/>
    <x v="10"/>
    <x v="211"/>
    <s v="JUANA CRUCES"/>
    <m/>
    <m/>
    <m/>
    <s v="BASE ORGANIZADOR  DE 2KG"/>
    <s v="BASE ORGANIZADOR  DE 2KG PASTEL-CELESTE"/>
    <n v="168"/>
    <n v="2"/>
    <n v="18.7"/>
    <x v="0"/>
    <m/>
    <n v="6"/>
    <m/>
    <n v="23011"/>
    <s v="CELESTE"/>
    <n v="7.8"/>
    <n v="0"/>
    <n v="0"/>
    <n v="8.4"/>
    <n v="18.7"/>
    <n v="50"/>
    <n v="374"/>
    <x v="8"/>
    <x v="0"/>
    <n v="40"/>
    <n v="2"/>
    <n v="28"/>
  </r>
  <r>
    <d v="2025-10-01T08:00:00"/>
    <s v="INYECTADO"/>
    <x v="10"/>
    <x v="211"/>
    <s v="JUANA CRUCES"/>
    <m/>
    <m/>
    <m/>
    <s v="BASE ORGANIZADOR  DE 2KG"/>
    <s v="BASE ORGANIZADOR  DE 2KG SOLIDO-FUCSIA"/>
    <n v="422"/>
    <n v="5"/>
    <n v="46.9"/>
    <x v="0"/>
    <m/>
    <n v="14"/>
    <m/>
    <n v="23011"/>
    <s v="FUCSIA"/>
    <n v="13.5"/>
    <n v="0"/>
    <n v="0"/>
    <e v="#N/A"/>
    <n v="46.9"/>
    <e v="#N/A"/>
    <n v="0"/>
    <x v="8"/>
    <x v="0"/>
    <n v="40"/>
    <e v="#N/A"/>
    <e v="#N/A"/>
  </r>
  <r>
    <d v="2025-10-01T08:00:00"/>
    <s v="INYECTADO"/>
    <x v="10"/>
    <x v="211"/>
    <s v="JUANA CRUCES"/>
    <m/>
    <m/>
    <m/>
    <s v="BASE ORGANIZADOR  DE 2KG"/>
    <s v="BASE ORGANIZADOR  DE 2KG SOLIDO-AMARILLO"/>
    <n v="336"/>
    <n v="4"/>
    <n v="37.4"/>
    <x v="0"/>
    <m/>
    <n v="11"/>
    <m/>
    <n v="23011"/>
    <s v="AMARILLO"/>
    <n v="1.6"/>
    <n v="0"/>
    <n v="0"/>
    <e v="#N/A"/>
    <n v="37.4"/>
    <e v="#N/A"/>
    <n v="0"/>
    <x v="8"/>
    <x v="0"/>
    <n v="40"/>
    <e v="#N/A"/>
    <e v="#N/A"/>
  </r>
  <r>
    <d v="2025-10-01T08:00:00"/>
    <s v="INYECTADO"/>
    <x v="10"/>
    <x v="211"/>
    <s v="GABRIEL REQUENA"/>
    <m/>
    <m/>
    <m/>
    <s v="BASE ORGANIZADOR  DE 2KG"/>
    <s v="BASE ORGANIZADOR  DE 2KG SOLIDO-AMARILLO"/>
    <n v="106"/>
    <n v="1"/>
    <n v="11.8"/>
    <x v="1"/>
    <m/>
    <n v="3"/>
    <m/>
    <n v="23012"/>
    <s v="AMARILLO"/>
    <n v="1.8"/>
    <n v="0"/>
    <n v="0"/>
    <e v="#N/A"/>
    <n v="11.8"/>
    <e v="#N/A"/>
    <n v="0"/>
    <x v="8"/>
    <x v="0"/>
    <n v="40"/>
    <e v="#N/A"/>
    <e v="#N/A"/>
  </r>
  <r>
    <d v="2025-10-01T08:00:00"/>
    <s v="INYECTADO"/>
    <x v="10"/>
    <x v="211"/>
    <s v="GABRIEL REQUENA"/>
    <m/>
    <m/>
    <m/>
    <s v="BASE ORGANIZADOR  DE 2KG"/>
    <s v="BASE ORGANIZADOR  DE 2KG NEON-FUCSIA"/>
    <n v="395"/>
    <n v="5"/>
    <n v="43.9"/>
    <x v="1"/>
    <m/>
    <n v="9"/>
    <m/>
    <n v="23012"/>
    <s v="FUCSIA"/>
    <n v="4.5"/>
    <n v="0"/>
    <n v="0"/>
    <n v="45.03"/>
    <n v="43.9"/>
    <n v="114"/>
    <n v="385.08771929824559"/>
    <x v="8"/>
    <x v="0"/>
    <n v="40"/>
    <n v="2"/>
    <n v="65.833333333333329"/>
  </r>
  <r>
    <d v="2025-10-01T08:00:00"/>
    <s v="INYECTADO"/>
    <x v="10"/>
    <x v="211"/>
    <s v="GABRIEL REQUENA"/>
    <m/>
    <m/>
    <m/>
    <s v="BASE ORGANIZADOR  DE 2KG"/>
    <s v="BASE ORGANIZADOR  DE 2KG NEON-VERDE"/>
    <n v="414"/>
    <n v="5"/>
    <n v="46"/>
    <x v="1"/>
    <m/>
    <n v="14"/>
    <m/>
    <n v="23012"/>
    <s v="VERDE"/>
    <n v="16.600000000000001"/>
    <n v="0"/>
    <n v="0"/>
    <n v="47.195999999999998"/>
    <n v="46"/>
    <n v="114"/>
    <n v="403.50877192982455"/>
    <x v="8"/>
    <x v="0"/>
    <n v="40"/>
    <n v="2"/>
    <n v="69"/>
  </r>
  <r>
    <d v="2025-10-01T08:00:00"/>
    <s v="INYECTADO"/>
    <x v="10"/>
    <x v="212"/>
    <s v="LEONOR GUTIERREZ"/>
    <m/>
    <m/>
    <m/>
    <s v="BASE ORGANIZADOR  DE 2KG"/>
    <s v="BASE ORGANIZADOR  DE 2KG NEON-NARANJA"/>
    <n v="434"/>
    <n v="5"/>
    <n v="48.2"/>
    <x v="0"/>
    <m/>
    <n v="14"/>
    <m/>
    <n v="23013"/>
    <s v="NARANJA"/>
    <n v="17.399999999999999"/>
    <n v="0"/>
    <n v="0"/>
    <e v="#N/A"/>
    <n v="48.2"/>
    <e v="#N/A"/>
    <n v="0"/>
    <x v="8"/>
    <x v="0"/>
    <n v="40"/>
    <e v="#N/A"/>
    <e v="#N/A"/>
  </r>
  <r>
    <d v="2025-10-01T08:00:00"/>
    <s v="INYECTADO"/>
    <x v="10"/>
    <x v="212"/>
    <s v="LEONOR GUTIERREZ"/>
    <m/>
    <m/>
    <m/>
    <s v="BASE ORGANIZADOR  DE 2KG"/>
    <s v="BASE ORGANIZADOR  DE 2KG NEON-AZURE"/>
    <n v="428"/>
    <n v="5"/>
    <n v="47.6"/>
    <x v="0"/>
    <m/>
    <n v="14"/>
    <m/>
    <n v="23013"/>
    <s v="AZURE"/>
    <n v="9.5"/>
    <n v="0"/>
    <n v="0"/>
    <e v="#N/A"/>
    <n v="47.6"/>
    <e v="#N/A"/>
    <n v="0"/>
    <x v="8"/>
    <x v="0"/>
    <n v="40"/>
    <e v="#N/A"/>
    <e v="#N/A"/>
  </r>
  <r>
    <d v="2025-10-01T08:00:00"/>
    <s v="INYECTADO"/>
    <x v="10"/>
    <x v="212"/>
    <s v="JOSDER GONZALEZ"/>
    <m/>
    <m/>
    <m/>
    <s v="BASE ORGANIZADOR  DE 2KG"/>
    <s v="BASE ORGANIZADOR  DE 2KG NEON-AMARILLO"/>
    <n v="434"/>
    <n v="4"/>
    <n v="49.5"/>
    <x v="1"/>
    <m/>
    <n v="14"/>
    <m/>
    <n v="23014"/>
    <s v="AMARILLO"/>
    <n v="2.4"/>
    <n v="0"/>
    <n v="0"/>
    <n v="49.475999999999999"/>
    <n v="49.5"/>
    <n v="114"/>
    <n v="434.21052631578948"/>
    <x v="8"/>
    <x v="0"/>
    <n v="40"/>
    <n v="2"/>
    <n v="72.333333333333329"/>
  </r>
  <r>
    <d v="2025-10-01T08:00:00"/>
    <s v="INYECTADO"/>
    <x v="10"/>
    <x v="212"/>
    <s v="JOSDER GONZALEZ"/>
    <m/>
    <m/>
    <m/>
    <s v="BASE ORGANIZADOR  DE 2KG"/>
    <s v="BASE ORGANIZADOR  DE 2KG NEON-VERDE"/>
    <n v="459"/>
    <n v="4"/>
    <n v="51"/>
    <x v="1"/>
    <m/>
    <n v="14"/>
    <m/>
    <n v="23014"/>
    <s v="VERDE"/>
    <n v="6.1"/>
    <n v="0"/>
    <n v="0"/>
    <n v="52.326000000000001"/>
    <n v="51"/>
    <n v="114"/>
    <n v="447.36842105263156"/>
    <x v="8"/>
    <x v="0"/>
    <n v="40"/>
    <n v="2"/>
    <n v="76.5"/>
  </r>
  <r>
    <d v="2025-10-01T08:00:00"/>
    <s v="INYECTADO"/>
    <x v="10"/>
    <x v="212"/>
    <s v="JOSDER GONZALEZ"/>
    <m/>
    <m/>
    <m/>
    <s v="BASE ORGANIZADOR  DE 2KG"/>
    <s v="BASE ORGANIZADOR  DE 2KG NEON-VIOLETA"/>
    <n v="306"/>
    <n v="3"/>
    <n v="34"/>
    <x v="1"/>
    <m/>
    <n v="10"/>
    <m/>
    <n v="23014"/>
    <s v="VIOLETA"/>
    <n v="2.7"/>
    <n v="0"/>
    <n v="0"/>
    <n v="34.884"/>
    <n v="34"/>
    <n v="114"/>
    <n v="298.24561403508773"/>
    <x v="8"/>
    <x v="0"/>
    <n v="40"/>
    <n v="2"/>
    <n v="51"/>
  </r>
  <r>
    <d v="2025-11-03T08:00:00"/>
    <s v="INYECTADO"/>
    <x v="7"/>
    <x v="231"/>
    <s v="ISABEL LINARIZ "/>
    <m/>
    <m/>
    <m/>
    <s v="TAPA DE ORGANIZADOR #2"/>
    <s v="TAPA DE ORGANIZADOR #2-TRANSPARENTE"/>
    <n v="1492"/>
    <n v="12"/>
    <n v="65.900000000000006"/>
    <x v="1"/>
    <m/>
    <n v="12"/>
    <n v="1231"/>
    <n v="22745"/>
    <s v="TRANSPARENTE"/>
    <n v="0"/>
    <n v="0"/>
    <n v="0"/>
    <n v="31.332000000000001"/>
    <n v="65.900000000000006"/>
    <n v="21"/>
    <n v="3138.0952380952381"/>
    <x v="10"/>
    <x v="0"/>
    <n v="41"/>
    <n v="2"/>
    <n v="248.66666666666666"/>
  </r>
  <r>
    <d v="2025-11-03T08:00:00"/>
    <s v="INYECTADO"/>
    <x v="7"/>
    <x v="232"/>
    <s v="ANGIE VALDERRAMA"/>
    <m/>
    <m/>
    <m/>
    <s v="TAPA DE ORGANIZADOR #2"/>
    <s v="TAPA DE ORGANIZADOR #2-TRANSPARENTE"/>
    <n v="1343"/>
    <n v="11"/>
    <n v="60.4"/>
    <x v="0"/>
    <m/>
    <n v="11"/>
    <n v="1231"/>
    <n v="22746"/>
    <s v="TRANSPARENTE"/>
    <n v="0"/>
    <n v="0"/>
    <n v="0"/>
    <n v="28.202999999999999"/>
    <n v="60.4"/>
    <n v="21"/>
    <n v="2876.1904761904761"/>
    <x v="10"/>
    <x v="0"/>
    <n v="41"/>
    <n v="2"/>
    <n v="223.83333333333334"/>
  </r>
  <r>
    <d v="2025-11-03T08:00:00"/>
    <s v="INYECTADO"/>
    <x v="7"/>
    <x v="232"/>
    <s v="ISABEL LINARIZ "/>
    <m/>
    <m/>
    <m/>
    <s v="TAPA DE ORGANIZADOR #2"/>
    <s v="TAPA DE ORGANIZADOR #2-TRANSPARENTE"/>
    <n v="78"/>
    <n v="1"/>
    <n v="3.4"/>
    <x v="1"/>
    <m/>
    <n v="2"/>
    <n v="1231"/>
    <n v="22747"/>
    <s v="TRANSPARENTE"/>
    <n v="0.6"/>
    <n v="0"/>
    <n v="0"/>
    <n v="1.6379999999999999"/>
    <n v="3.4"/>
    <n v="21"/>
    <n v="161.9047619047619"/>
    <x v="10"/>
    <x v="0"/>
    <n v="41"/>
    <n v="2"/>
    <n v="13"/>
  </r>
  <r>
    <d v="2025-11-03T08:00:00"/>
    <s v="INYECTADO"/>
    <x v="7"/>
    <x v="232"/>
    <s v="ISABEL LINARIZ "/>
    <m/>
    <m/>
    <m/>
    <s v="TAPA DE ORGANIZADOR #2"/>
    <s v="TAPA DE ORGANIZADOR #2-BLANCO"/>
    <n v="1283"/>
    <n v="11"/>
    <n v="56.4"/>
    <x v="1"/>
    <m/>
    <n v="11"/>
    <n v="1231"/>
    <n v="22747"/>
    <s v="BLANCO"/>
    <n v="1"/>
    <n v="0"/>
    <n v="0"/>
    <n v="26.943000000000001"/>
    <n v="56.4"/>
    <n v="21"/>
    <n v="2685.7142857142858"/>
    <x v="10"/>
    <x v="0"/>
    <n v="41"/>
    <n v="2"/>
    <n v="213.83333333333334"/>
  </r>
  <r>
    <d v="2025-11-03T08:00:00"/>
    <s v="INYECTADO"/>
    <x v="7"/>
    <x v="233"/>
    <s v="CRISALIDA ZAPATA"/>
    <m/>
    <m/>
    <m/>
    <s v="TAPA DE ORGANIZADOR #2"/>
    <s v="TAPA DE ORGANIZADOR #2-BLANCO PASTEL"/>
    <n v="238"/>
    <n v="3"/>
    <n v="10.4"/>
    <x v="0"/>
    <m/>
    <n v="12"/>
    <n v="1231"/>
    <n v="22748"/>
    <s v="BLANCO"/>
    <n v="2"/>
    <n v="0"/>
    <n v="0"/>
    <e v="#N/A"/>
    <n v="10.4"/>
    <e v="#N/A"/>
    <n v="0"/>
    <x v="10"/>
    <x v="0"/>
    <n v="41"/>
    <e v="#N/A"/>
    <e v="#N/A"/>
  </r>
  <r>
    <d v="2025-11-03T08:00:00"/>
    <s v="INYECTADO"/>
    <x v="7"/>
    <x v="233"/>
    <s v="CRISALIDA ZAPATA"/>
    <m/>
    <m/>
    <m/>
    <s v="TAPA DE ORGANIZADOR #2"/>
    <s v="TAPA DE ORGANIZADOR #2-BLANCO NAVIDAD"/>
    <n v="1131"/>
    <n v="8"/>
    <n v="49.8"/>
    <x v="0"/>
    <m/>
    <n v="4"/>
    <n v="1231"/>
    <n v="22748"/>
    <s v="BLANCO"/>
    <n v="0"/>
    <n v="0"/>
    <n v="0"/>
    <e v="#N/A"/>
    <n v="49.8"/>
    <e v="#N/A"/>
    <n v="0"/>
    <x v="10"/>
    <x v="0"/>
    <n v="41"/>
    <e v="#N/A"/>
    <e v="#N/A"/>
  </r>
  <r>
    <d v="2025-11-03T08:00:00"/>
    <s v="INYECTADO"/>
    <x v="7"/>
    <x v="233"/>
    <s v="MARJORIE VILCHEZ"/>
    <m/>
    <m/>
    <m/>
    <s v="TAPA DE ORGANIZADOR #2"/>
    <s v="TAPA DE ORGANIZADOR #2-BLANCO NAVIDAD"/>
    <m/>
    <m/>
    <m/>
    <x v="1"/>
    <m/>
    <n v="13"/>
    <n v="1231"/>
    <n v="22749"/>
    <s v="BLANCO"/>
    <n v="0"/>
    <n v="0"/>
    <n v="0"/>
    <e v="#N/A"/>
    <s v="Octubre"/>
    <e v="#N/A"/>
    <n v="0"/>
    <x v="10"/>
    <x v="0"/>
    <n v="41"/>
    <e v="#N/A"/>
    <e v="#N/A"/>
  </r>
  <r>
    <d v="2025-11-03T08:00:00"/>
    <s v="INYECTADO"/>
    <x v="7"/>
    <x v="234"/>
    <s v="CRISALIDA ZAPATA"/>
    <m/>
    <m/>
    <m/>
    <s v="TAPA DE ORGANIZADOR #2"/>
    <s v="TAPA DE ORGANIZADOR #2-BLANCO"/>
    <m/>
    <m/>
    <m/>
    <x v="0"/>
    <m/>
    <n v="12"/>
    <n v="1231"/>
    <n v="22750"/>
    <s v="BLANCO"/>
    <n v="0"/>
    <n v="0"/>
    <n v="0"/>
    <n v="0"/>
    <s v="Octubre"/>
    <n v="21"/>
    <n v="0"/>
    <x v="10"/>
    <x v="0"/>
    <n v="41"/>
    <n v="2"/>
    <n v="0"/>
  </r>
  <r>
    <d v="2025-11-03T08:00:00"/>
    <s v="INYECTADO"/>
    <x v="7"/>
    <x v="234"/>
    <s v="MARJORIE VILCHEZ"/>
    <m/>
    <m/>
    <m/>
    <s v="TAPA DE ORGANIZADOR #2"/>
    <s v="TAPA DE ORGANIZADOR #2-BLANCO"/>
    <m/>
    <m/>
    <m/>
    <x v="1"/>
    <m/>
    <n v="12"/>
    <n v="1231"/>
    <n v="22751"/>
    <s v="BLANCO"/>
    <n v="0"/>
    <n v="0"/>
    <n v="0"/>
    <n v="0"/>
    <s v="Octubre"/>
    <n v="21"/>
    <n v="0"/>
    <x v="10"/>
    <x v="0"/>
    <n v="41"/>
    <n v="2"/>
    <n v="0"/>
  </r>
  <r>
    <d v="2025-11-03T08:00:00"/>
    <s v="INYECTADO"/>
    <x v="7"/>
    <x v="235"/>
    <s v="CRISALIDA ZAPATA"/>
    <m/>
    <m/>
    <m/>
    <s v="TAPA DE ORGANIZADOR #2"/>
    <s v="TAPA DE ORGANIZADOR #2-BLANCO"/>
    <m/>
    <m/>
    <m/>
    <x v="0"/>
    <m/>
    <n v="12"/>
    <n v="1231"/>
    <n v="22752"/>
    <s v="BLANCO"/>
    <n v="0.2"/>
    <n v="0"/>
    <n v="0"/>
    <n v="0"/>
    <s v="Octubre"/>
    <n v="21"/>
    <n v="0"/>
    <x v="10"/>
    <x v="0"/>
    <n v="41"/>
    <n v="2"/>
    <n v="0"/>
  </r>
  <r>
    <d v="2025-11-03T08:00:00"/>
    <s v="INYECTADO"/>
    <x v="7"/>
    <x v="235"/>
    <s v="MARJORIE VILCHEZ"/>
    <m/>
    <m/>
    <m/>
    <s v="TAPA DE ORGANIZADOR #2"/>
    <s v="TAPA DE ORGANIZADOR #2-BLANCO"/>
    <m/>
    <m/>
    <m/>
    <x v="1"/>
    <m/>
    <n v="12"/>
    <n v="1231"/>
    <n v="22753"/>
    <s v="BLANCO"/>
    <n v="0.7"/>
    <n v="0"/>
    <n v="0"/>
    <n v="0"/>
    <s v="Octubre"/>
    <n v="21"/>
    <n v="0"/>
    <x v="10"/>
    <x v="0"/>
    <n v="41"/>
    <n v="2"/>
    <n v="0"/>
  </r>
  <r>
    <d v="2025-11-03T08:00:00"/>
    <s v="INYECTADO"/>
    <x v="5"/>
    <x v="232"/>
    <s v="JUANA CRUCES"/>
    <m/>
    <m/>
    <m/>
    <s v="ASAS ORGANIZADOR 2 Y 3 SOLIDO"/>
    <s v="ASAS DE ORGANIZADOR 2 Y 3-ANARANJADO"/>
    <m/>
    <m/>
    <m/>
    <x v="2"/>
    <m/>
    <m/>
    <n v="1227"/>
    <n v="22538"/>
    <s v="ANARANJADO"/>
    <n v="10.199999999999999"/>
    <n v="0"/>
    <n v="0"/>
    <e v="#N/A"/>
    <s v="Octubre"/>
    <e v="#N/A"/>
    <n v="0"/>
    <x v="10"/>
    <x v="0"/>
    <n v="41"/>
    <e v="#N/A"/>
    <e v="#N/A"/>
  </r>
  <r>
    <d v="2025-11-03T08:00:00"/>
    <s v="INYECTADO"/>
    <x v="5"/>
    <x v="232"/>
    <s v="JUANA CRUCES"/>
    <m/>
    <m/>
    <m/>
    <s v="ASAS ORGANIZADOR 2 Y 3 NEON"/>
    <s v="ASAS DE ORGANIZADOR 2 Y 3-LILA"/>
    <m/>
    <m/>
    <m/>
    <x v="2"/>
    <m/>
    <m/>
    <n v="1227"/>
    <n v="22538"/>
    <s v="LILA"/>
    <n v="8.6"/>
    <n v="0"/>
    <n v="0"/>
    <n v="0"/>
    <s v="Octubre"/>
    <n v="11"/>
    <n v="0"/>
    <x v="10"/>
    <x v="0"/>
    <n v="41"/>
    <n v="3"/>
    <n v="0"/>
  </r>
  <r>
    <d v="2025-11-03T08:00:00"/>
    <s v="INYECTADO"/>
    <x v="5"/>
    <x v="232"/>
    <s v="JUAN MANUEL "/>
    <m/>
    <m/>
    <m/>
    <s v="ASAS ORGANIZADOR 2 Y 3 SOLIDO"/>
    <s v="ASAS DE ORGANIZADOR 2 Y 3-VERDE"/>
    <m/>
    <m/>
    <m/>
    <x v="2"/>
    <m/>
    <m/>
    <m/>
    <n v="22539"/>
    <s v="VERDE"/>
    <n v="14"/>
    <n v="0"/>
    <n v="0"/>
    <n v="0"/>
    <s v="Octubre"/>
    <n v="11"/>
    <n v="0"/>
    <x v="10"/>
    <x v="0"/>
    <n v="41"/>
    <n v="3"/>
    <n v="0"/>
  </r>
  <r>
    <d v="2025-11-03T08:00:00"/>
    <s v="INYECTADO"/>
    <x v="5"/>
    <x v="232"/>
    <s v="JUAN MANUEL "/>
    <m/>
    <m/>
    <m/>
    <s v="ASAS ORGANIZADOR 2 Y 3 PASTEL"/>
    <s v="ASAS DE ORGANIZADOR 2 Y 3-CELESTE"/>
    <m/>
    <m/>
    <m/>
    <x v="2"/>
    <m/>
    <m/>
    <m/>
    <n v="22539"/>
    <s v="CELESTE"/>
    <n v="7"/>
    <n v="0"/>
    <n v="0"/>
    <e v="#N/A"/>
    <s v="Octubre"/>
    <e v="#N/A"/>
    <n v="0"/>
    <x v="10"/>
    <x v="0"/>
    <n v="41"/>
    <e v="#N/A"/>
    <e v="#N/A"/>
  </r>
  <r>
    <d v="2025-11-03T08:00:00"/>
    <s v="INYECTADO"/>
    <x v="5"/>
    <x v="233"/>
    <s v="JULIO "/>
    <m/>
    <m/>
    <m/>
    <s v="ASAS ORGANIZADOR 2 Y 3 NAVIDAD"/>
    <s v="ASAS DE ORGANIZADOR 2 Y 3-VERDE NAVIDAD"/>
    <m/>
    <m/>
    <m/>
    <x v="2"/>
    <m/>
    <m/>
    <m/>
    <n v="22540"/>
    <s v="VERDE NAVIDAD"/>
    <n v="7"/>
    <n v="0"/>
    <n v="0"/>
    <e v="#N/A"/>
    <s v="Octubre"/>
    <e v="#N/A"/>
    <n v="0"/>
    <x v="10"/>
    <x v="0"/>
    <n v="41"/>
    <e v="#N/A"/>
    <e v="#N/A"/>
  </r>
  <r>
    <d v="2025-11-03T08:00:00"/>
    <s v="INYECTADO"/>
    <x v="5"/>
    <x v="233"/>
    <s v="JULIO "/>
    <m/>
    <m/>
    <m/>
    <s v="ASAS ORGANIZADOR 2 Y 3 NEON"/>
    <s v="ASAS DE ORGANIZADOR 2 Y 3-VIOLETA"/>
    <m/>
    <m/>
    <m/>
    <x v="2"/>
    <m/>
    <m/>
    <m/>
    <n v="22540"/>
    <s v="VIOLETA "/>
    <n v="6.9"/>
    <n v="0"/>
    <n v="0"/>
    <e v="#N/A"/>
    <s v="Octubre"/>
    <e v="#N/A"/>
    <n v="0"/>
    <x v="10"/>
    <x v="0"/>
    <n v="41"/>
    <e v="#N/A"/>
    <e v="#N/A"/>
  </r>
  <r>
    <d v="2025-11-03T08:00:00"/>
    <s v="INYECTADO"/>
    <x v="5"/>
    <x v="235"/>
    <s v="JULIO "/>
    <m/>
    <m/>
    <m/>
    <s v="ASAS ORGANIZADOR 2 Y 3 SOLIDO"/>
    <s v="ASAS DE ORGANIZADOR 2 Y 3-FUCSIA"/>
    <m/>
    <m/>
    <m/>
    <x v="2"/>
    <m/>
    <m/>
    <m/>
    <n v="22541"/>
    <s v="FUCSIA"/>
    <n v="6.6"/>
    <n v="0"/>
    <n v="0"/>
    <n v="0"/>
    <s v="Octubre"/>
    <n v="11"/>
    <n v="0"/>
    <x v="10"/>
    <x v="0"/>
    <n v="41"/>
    <n v="3"/>
    <n v="0"/>
  </r>
  <r>
    <d v="2025-11-03T08:00:00"/>
    <s v="INYECTADO"/>
    <x v="5"/>
    <x v="235"/>
    <s v="JULIO "/>
    <m/>
    <m/>
    <m/>
    <s v="ASAS ORGANIZADOR 2 Y 3 PASTEL"/>
    <s v="ASAS DE ORGANIZADOR 2 Y 3-TURQUESA"/>
    <m/>
    <m/>
    <m/>
    <x v="2"/>
    <m/>
    <m/>
    <m/>
    <n v="22541"/>
    <s v="TURQUESA"/>
    <n v="10.6"/>
    <n v="0"/>
    <n v="0"/>
    <e v="#N/A"/>
    <s v="Octubre"/>
    <e v="#N/A"/>
    <n v="0"/>
    <x v="10"/>
    <x v="0"/>
    <n v="41"/>
    <e v="#N/A"/>
    <e v="#N/A"/>
  </r>
  <r>
    <d v="2025-11-03T08:00:00"/>
    <s v="INYECTADO"/>
    <x v="5"/>
    <x v="235"/>
    <s v="GABRIEL REQUENA"/>
    <m/>
    <m/>
    <m/>
    <s v="ASAS ORGANIZADOR 2 Y 3 PASTEL"/>
    <s v="ASAS DE ORGANIZADOR 2 Y 3-AZURE"/>
    <m/>
    <m/>
    <m/>
    <x v="2"/>
    <m/>
    <m/>
    <m/>
    <n v="22543"/>
    <s v="AZURE"/>
    <n v="7.6"/>
    <n v="0"/>
    <n v="0"/>
    <n v="0"/>
    <s v="Octubre"/>
    <n v="11"/>
    <n v="0"/>
    <x v="10"/>
    <x v="0"/>
    <n v="41"/>
    <n v="3"/>
    <n v="0"/>
  </r>
  <r>
    <d v="2025-11-03T08:00:00"/>
    <s v="INYECTADO"/>
    <x v="5"/>
    <x v="235"/>
    <s v="GABRIEL REQUENA"/>
    <m/>
    <m/>
    <m/>
    <s v="ASAS ORGANIZADOR 2 Y 3 PASTEL"/>
    <s v="ASAS DE ORGANIZADOR 2 Y 3-SANDIA"/>
    <m/>
    <m/>
    <m/>
    <x v="2"/>
    <m/>
    <m/>
    <m/>
    <n v="22543"/>
    <s v="SANDIA"/>
    <n v="6.5"/>
    <n v="0"/>
    <n v="0"/>
    <n v="0"/>
    <s v="Octubre"/>
    <n v="11"/>
    <n v="0"/>
    <x v="10"/>
    <x v="0"/>
    <n v="41"/>
    <n v="3"/>
    <n v="0"/>
  </r>
  <r>
    <d v="2025-11-03T08:00:00"/>
    <s v="INYECTADO"/>
    <x v="5"/>
    <x v="235"/>
    <s v="GABRIEL REQUENA"/>
    <m/>
    <m/>
    <m/>
    <s v="ASAS ORGANIZADOR 2 Y 3 SOLIDO"/>
    <s v="ASAS DE ORGANIZADOR 2 Y 3-FUCSIA"/>
    <m/>
    <m/>
    <m/>
    <x v="2"/>
    <m/>
    <m/>
    <m/>
    <n v="22543"/>
    <s v="FUCSIA"/>
    <n v="6.1"/>
    <n v="0"/>
    <n v="0"/>
    <n v="0"/>
    <s v="Octubre"/>
    <n v="11"/>
    <n v="0"/>
    <x v="10"/>
    <x v="0"/>
    <n v="41"/>
    <n v="3"/>
    <n v="0"/>
  </r>
  <r>
    <d v="2025-11-03T08:00:00"/>
    <s v="INYECTADO"/>
    <x v="5"/>
    <x v="236"/>
    <s v="JULIO "/>
    <m/>
    <m/>
    <m/>
    <s v="ASAS ORGANIZADOR 2 Y 3 SOLIDO"/>
    <s v="ASAS DE ORGANIZADOR 2 Y 3-ROJO"/>
    <m/>
    <m/>
    <m/>
    <x v="2"/>
    <m/>
    <m/>
    <m/>
    <n v="22544"/>
    <s v="ROJO"/>
    <n v="10.6"/>
    <n v="0"/>
    <n v="0"/>
    <n v="0"/>
    <s v="Octubre"/>
    <n v="11"/>
    <n v="0"/>
    <x v="10"/>
    <x v="0"/>
    <n v="41"/>
    <n v="3"/>
    <n v="0"/>
  </r>
  <r>
    <d v="2025-11-03T08:00:00"/>
    <s v="INYECTADO"/>
    <x v="5"/>
    <x v="236"/>
    <s v="JUAN MANUEL "/>
    <m/>
    <m/>
    <m/>
    <s v="ASAS ORGANIZADOR 2 Y 3 SOLIDO"/>
    <s v="ASAS DE ORGANIZADOR 2 Y 3-ROJO"/>
    <m/>
    <m/>
    <m/>
    <x v="2"/>
    <m/>
    <m/>
    <m/>
    <n v="22545"/>
    <s v="ROJO"/>
    <n v="0"/>
    <n v="0"/>
    <n v="0"/>
    <n v="0"/>
    <s v="Octubre"/>
    <n v="11"/>
    <n v="0"/>
    <x v="10"/>
    <x v="0"/>
    <n v="41"/>
    <n v="3"/>
    <n v="0"/>
  </r>
  <r>
    <d v="2025-11-03T08:00:00"/>
    <s v="INYECTADO"/>
    <x v="5"/>
    <x v="236"/>
    <s v="JUAN MANUEL "/>
    <m/>
    <m/>
    <m/>
    <s v="ASAS ORGANIZADOR 2 Y 3 SOLIDO"/>
    <s v="ASAS DE ORGANIZADOR 2 Y 3-VERDE"/>
    <m/>
    <m/>
    <m/>
    <x v="2"/>
    <m/>
    <m/>
    <m/>
    <n v="22545"/>
    <s v="VERDE"/>
    <n v="0"/>
    <n v="0"/>
    <n v="0"/>
    <n v="0"/>
    <s v="Octubre"/>
    <n v="11"/>
    <n v="0"/>
    <x v="10"/>
    <x v="0"/>
    <n v="41"/>
    <n v="3"/>
    <n v="0"/>
  </r>
  <r>
    <d v="2025-11-03T08:00:00"/>
    <s v="INYECTADO"/>
    <x v="5"/>
    <x v="237"/>
    <s v="KARLA HUISA"/>
    <m/>
    <m/>
    <m/>
    <s v="ASAS ORGANIZADOR 2 Y 3 NAVIDAD"/>
    <s v="ASAS DE ORGANIZADOR 2 Y 3-VERDE NAVIDAD"/>
    <m/>
    <m/>
    <m/>
    <x v="2"/>
    <m/>
    <m/>
    <m/>
    <n v="22546"/>
    <s v="VERDE NAVIDAD"/>
    <n v="17.399999999999999"/>
    <n v="0"/>
    <n v="0"/>
    <e v="#N/A"/>
    <s v="Octubre"/>
    <e v="#N/A"/>
    <n v="0"/>
    <x v="10"/>
    <x v="0"/>
    <n v="42"/>
    <e v="#N/A"/>
    <e v="#N/A"/>
  </r>
  <r>
    <d v="2025-11-03T08:00:00"/>
    <s v="INYECTADO"/>
    <x v="5"/>
    <x v="237"/>
    <s v="KARLA HUISA"/>
    <m/>
    <m/>
    <m/>
    <s v="ASAS ORGANIZADOR 2 Y 3 PASTEL"/>
    <s v="ASAS DE ORGANIZADOR 2 Y 3-TURQUESA"/>
    <m/>
    <m/>
    <m/>
    <x v="2"/>
    <m/>
    <m/>
    <m/>
    <n v="22546"/>
    <s v="TURQUESA"/>
    <n v="0"/>
    <n v="0"/>
    <n v="0"/>
    <e v="#N/A"/>
    <s v="Octubre"/>
    <e v="#N/A"/>
    <n v="0"/>
    <x v="10"/>
    <x v="0"/>
    <n v="42"/>
    <e v="#N/A"/>
    <e v="#N/A"/>
  </r>
  <r>
    <d v="2025-11-03T08:00:00"/>
    <s v="INYECTADO"/>
    <x v="5"/>
    <x v="238"/>
    <s v="JULIO "/>
    <m/>
    <m/>
    <m/>
    <s v="ASAS ORGANIZADOR 2 Y 3 PASTEL"/>
    <s v="ASAS DE ORGANIZADOR 2 Y 3-TURQUESA"/>
    <m/>
    <m/>
    <m/>
    <x v="2"/>
    <m/>
    <m/>
    <m/>
    <n v="22547"/>
    <s v="TURQUESA"/>
    <n v="16.7"/>
    <n v="0"/>
    <n v="0"/>
    <e v="#N/A"/>
    <s v="Octubre"/>
    <e v="#N/A"/>
    <n v="0"/>
    <x v="10"/>
    <x v="0"/>
    <n v="42"/>
    <e v="#N/A"/>
    <e v="#N/A"/>
  </r>
  <r>
    <d v="2025-11-03T08:00:00"/>
    <s v="INYECTADO"/>
    <x v="5"/>
    <x v="239"/>
    <s v="JUANA CRUCES"/>
    <m/>
    <m/>
    <m/>
    <s v="ASAS ORGANIZADOR 2 Y 3 PASTEL"/>
    <s v="ASAS DE ORGANIZADOR 2 Y 3-FUCSIA"/>
    <m/>
    <m/>
    <m/>
    <x v="0"/>
    <m/>
    <m/>
    <m/>
    <n v="22550"/>
    <s v="FUCSIA"/>
    <n v="11.4"/>
    <n v="0"/>
    <n v="0"/>
    <n v="0"/>
    <s v="Octubre"/>
    <n v="11"/>
    <n v="0"/>
    <x v="10"/>
    <x v="0"/>
    <n v="42"/>
    <n v="3"/>
    <n v="0"/>
  </r>
  <r>
    <d v="2025-11-03T08:00:00"/>
    <s v="INYECTADO"/>
    <x v="5"/>
    <x v="239"/>
    <s v="JUANA CRUCES"/>
    <m/>
    <m/>
    <m/>
    <s v="ASAS ORGANIZADOR 2 Y 3 PASTEL"/>
    <s v="ASAS DE ORGANIZADOR 2 Y 3-SANDIA"/>
    <m/>
    <m/>
    <m/>
    <x v="0"/>
    <m/>
    <m/>
    <m/>
    <n v="22550"/>
    <s v="SANDIA"/>
    <n v="7.5"/>
    <n v="0"/>
    <n v="0"/>
    <n v="0"/>
    <s v="Octubre"/>
    <n v="11"/>
    <n v="0"/>
    <x v="10"/>
    <x v="0"/>
    <n v="42"/>
    <n v="3"/>
    <n v="0"/>
  </r>
  <r>
    <d v="2025-11-03T08:00:00"/>
    <s v="INYECTADO"/>
    <x v="5"/>
    <x v="240"/>
    <s v="JULIO "/>
    <m/>
    <m/>
    <m/>
    <s v="ASAS ORGANIZADOR 2 Y 3 PASTEL"/>
    <s v="ASAS DE ORGANIZADOR 2 Y 3-SANDIA"/>
    <m/>
    <m/>
    <m/>
    <x v="0"/>
    <m/>
    <m/>
    <m/>
    <n v="22551"/>
    <s v="SANDIA"/>
    <n v="11"/>
    <n v="0"/>
    <n v="0"/>
    <n v="0"/>
    <s v="Octubre"/>
    <n v="11"/>
    <n v="0"/>
    <x v="10"/>
    <x v="0"/>
    <n v="42"/>
    <n v="3"/>
    <n v="0"/>
  </r>
  <r>
    <d v="2025-11-03T08:00:00"/>
    <s v="INYECTADO"/>
    <x v="5"/>
    <x v="240"/>
    <s v="ANGIE VALDERRAMA"/>
    <m/>
    <m/>
    <m/>
    <s v="ASAS ORGANIZADOR 2 Y 3 PASTEL"/>
    <s v="ASAS DE ORGANIZADOR 2 Y 3-TURQUESA"/>
    <m/>
    <m/>
    <m/>
    <x v="0"/>
    <m/>
    <m/>
    <m/>
    <n v="22551"/>
    <s v="TURQUESA"/>
    <n v="8.5"/>
    <n v="0"/>
    <n v="0"/>
    <e v="#N/A"/>
    <s v="Octubre"/>
    <e v="#N/A"/>
    <n v="0"/>
    <x v="10"/>
    <x v="0"/>
    <n v="42"/>
    <e v="#N/A"/>
    <e v="#N/A"/>
  </r>
  <r>
    <d v="2025-11-03T08:00:00"/>
    <s v="INYECTADO"/>
    <x v="5"/>
    <x v="240"/>
    <s v="JUAN MANUEL "/>
    <m/>
    <m/>
    <m/>
    <s v="ASAS ORGANIZADOR 2 Y 3 PASTEL"/>
    <s v="ASAS DE ORGANIZADOR 2 Y 3-TURQUESA"/>
    <m/>
    <m/>
    <m/>
    <x v="1"/>
    <m/>
    <m/>
    <m/>
    <n v="22552"/>
    <s v="TURQUESA"/>
    <n v="7.8"/>
    <n v="0"/>
    <n v="0"/>
    <e v="#N/A"/>
    <s v="Octubre"/>
    <e v="#N/A"/>
    <n v="0"/>
    <x v="10"/>
    <x v="0"/>
    <n v="42"/>
    <e v="#N/A"/>
    <e v="#N/A"/>
  </r>
  <r>
    <d v="2025-11-03T08:00:00"/>
    <s v="INYECTADO"/>
    <x v="5"/>
    <x v="240"/>
    <s v="JUAN MANUEL "/>
    <m/>
    <m/>
    <m/>
    <s v="ASAS ORGANIZADOR 2 Y 3 PASTEL"/>
    <s v="ASAS DE ORGANIZADOR 2 Y 3-AZURE"/>
    <m/>
    <m/>
    <m/>
    <x v="1"/>
    <m/>
    <m/>
    <m/>
    <n v="22552"/>
    <s v="AZURE"/>
    <n v="8.5"/>
    <n v="0"/>
    <n v="0"/>
    <n v="0"/>
    <s v="Octubre"/>
    <n v="11"/>
    <n v="0"/>
    <x v="10"/>
    <x v="0"/>
    <n v="42"/>
    <n v="3"/>
    <n v="0"/>
  </r>
  <r>
    <d v="2025-11-03T08:00:00"/>
    <s v="INYECTADO"/>
    <x v="5"/>
    <x v="241"/>
    <s v="SIN NOMBRE"/>
    <m/>
    <m/>
    <m/>
    <s v="ASAS ORGANIZADOR 2 Y 3 SOLIDO"/>
    <s v="ASAS DE ORGANIZADOR 2 Y 3-ROJO"/>
    <m/>
    <m/>
    <m/>
    <x v="0"/>
    <m/>
    <m/>
    <m/>
    <n v="22553"/>
    <s v="ROJO"/>
    <n v="12.4"/>
    <n v="0"/>
    <n v="0"/>
    <n v="0"/>
    <s v="Octubre"/>
    <n v="11"/>
    <n v="0"/>
    <x v="10"/>
    <x v="0"/>
    <n v="42"/>
    <n v="3"/>
    <n v="0"/>
  </r>
  <r>
    <d v="2025-11-03T08:00:00"/>
    <s v="INYECTADO"/>
    <x v="5"/>
    <x v="241"/>
    <s v="MARJORIE VILCHEZ"/>
    <m/>
    <m/>
    <m/>
    <s v="ASAS ORGANIZADOR 2 Y 3 SOLIDO"/>
    <s v="ASAS DE ORGANIZADOR 2 Y 3-AZUL"/>
    <m/>
    <m/>
    <m/>
    <x v="1"/>
    <m/>
    <m/>
    <m/>
    <n v="22554"/>
    <s v="AZUL"/>
    <n v="5"/>
    <n v="0"/>
    <n v="0"/>
    <n v="0"/>
    <s v="Octubre"/>
    <n v="11"/>
    <n v="0"/>
    <x v="10"/>
    <x v="0"/>
    <n v="42"/>
    <n v="3"/>
    <n v="0"/>
  </r>
  <r>
    <d v="2025-11-03T08:00:00"/>
    <s v="INYECTADO"/>
    <x v="5"/>
    <x v="241"/>
    <s v="MARJORIE VILCHEZ"/>
    <m/>
    <m/>
    <m/>
    <s v="ASAS ORGANIZADOR 2 Y 3 SOLIDO"/>
    <s v="ASAS DE ORGANIZADOR 2 Y 3-LILA"/>
    <m/>
    <m/>
    <m/>
    <x v="1"/>
    <m/>
    <m/>
    <m/>
    <n v="22554"/>
    <s v="LILA"/>
    <n v="5"/>
    <n v="0"/>
    <n v="0"/>
    <n v="0"/>
    <s v="Octubre"/>
    <n v="11"/>
    <n v="0"/>
    <x v="10"/>
    <x v="0"/>
    <n v="42"/>
    <n v="3"/>
    <n v="0"/>
  </r>
  <r>
    <d v="2025-11-03T08:00:00"/>
    <s v="INYECTADO"/>
    <x v="5"/>
    <x v="242"/>
    <s v="ANGIE VALDERRAMA"/>
    <m/>
    <m/>
    <m/>
    <s v="ASAS ORGANIZADOR 2 Y 3 SOLIDO"/>
    <s v="ASAS DE ORGANIZADOR 2 Y 3-VERDE"/>
    <m/>
    <m/>
    <m/>
    <x v="0"/>
    <m/>
    <m/>
    <m/>
    <n v="22555"/>
    <s v="VERDE"/>
    <n v="11.2"/>
    <n v="0"/>
    <n v="0"/>
    <n v="0"/>
    <s v="Octubre"/>
    <n v="11"/>
    <n v="0"/>
    <x v="10"/>
    <x v="0"/>
    <n v="43"/>
    <n v="3"/>
    <n v="0"/>
  </r>
  <r>
    <d v="2025-11-03T08:00:00"/>
    <s v="INYECTADO"/>
    <x v="5"/>
    <x v="243"/>
    <s v="SIN NOMBRE"/>
    <m/>
    <m/>
    <m/>
    <s v="ASAS ORGANIZADOR 2 Y 3 SOLIDO"/>
    <s v="ASAS DE ORGANIZADOR 2 Y 3-VERDE"/>
    <m/>
    <m/>
    <n v="9.9"/>
    <x v="1"/>
    <m/>
    <m/>
    <m/>
    <n v="22556"/>
    <s v="VERDE"/>
    <n v="0"/>
    <n v="0"/>
    <n v="0"/>
    <n v="0"/>
    <n v="9.9"/>
    <n v="11"/>
    <n v="900"/>
    <x v="10"/>
    <x v="0"/>
    <n v="43"/>
    <n v="3"/>
    <n v="0"/>
  </r>
  <r>
    <d v="2025-11-03T08:00:00"/>
    <s v="INYECTADO"/>
    <x v="5"/>
    <x v="243"/>
    <s v="SIN NOMBRE"/>
    <m/>
    <m/>
    <m/>
    <s v="ASAS ORGANIZADOR 2 Y 3 SOLIDO"/>
    <s v="ASAS DE ORGANIZADOR 2 Y 3-AMARILLO"/>
    <m/>
    <m/>
    <n v="12"/>
    <x v="1"/>
    <m/>
    <m/>
    <m/>
    <n v="22556"/>
    <s v="AMARILLO"/>
    <n v="11.9"/>
    <n v="0"/>
    <n v="0"/>
    <n v="0"/>
    <n v="12"/>
    <n v="11"/>
    <n v="1090.909090909091"/>
    <x v="10"/>
    <x v="0"/>
    <n v="43"/>
    <n v="3"/>
    <n v="0"/>
  </r>
  <r>
    <d v="2025-11-03T08:00:00"/>
    <s v="INYECTADO"/>
    <x v="5"/>
    <x v="244"/>
    <s v="SIN NOMBRE"/>
    <m/>
    <m/>
    <m/>
    <s v="ASAS ORGANIZADOR 2 Y 3 SOLIDO"/>
    <s v="ASAS DE ORGANIZADOR 2 Y 3-AMARILLO"/>
    <m/>
    <m/>
    <m/>
    <x v="0"/>
    <m/>
    <m/>
    <m/>
    <n v="22557"/>
    <s v="AMARILLO"/>
    <n v="7"/>
    <n v="0"/>
    <n v="0"/>
    <n v="0"/>
    <s v="Octubre"/>
    <n v="11"/>
    <n v="0"/>
    <x v="10"/>
    <x v="0"/>
    <n v="43"/>
    <n v="3"/>
    <n v="0"/>
  </r>
  <r>
    <d v="2025-11-03T08:00:00"/>
    <s v="INYECTADO"/>
    <x v="5"/>
    <x v="244"/>
    <s v="SIN NOMBRE"/>
    <m/>
    <m/>
    <m/>
    <s v="ASAS ORGANIZADOR 2 Y 3 SOLIDO"/>
    <s v="ASAS DE ORGANIZADOR 2 Y 3-AZUL"/>
    <m/>
    <m/>
    <m/>
    <x v="0"/>
    <m/>
    <m/>
    <m/>
    <n v="22557"/>
    <s v="AZUL"/>
    <n v="9.9"/>
    <n v="0"/>
    <n v="0"/>
    <n v="0"/>
    <s v="Octubre"/>
    <n v="11"/>
    <n v="0"/>
    <x v="10"/>
    <x v="0"/>
    <n v="43"/>
    <n v="3"/>
    <n v="0"/>
  </r>
  <r>
    <d v="2025-11-03T08:00:00"/>
    <s v="INYECTADO"/>
    <x v="5"/>
    <x v="245"/>
    <s v="KARLA HUISA"/>
    <m/>
    <m/>
    <m/>
    <s v="ASAS ORGANIZADOR 2 Y 3 SOLIDO"/>
    <s v="ASAS DE ORGANIZADOR 2 Y 3-AZUL"/>
    <m/>
    <m/>
    <m/>
    <x v="0"/>
    <m/>
    <m/>
    <m/>
    <n v="22558"/>
    <s v="AZUL"/>
    <n v="3.6"/>
    <n v="0"/>
    <n v="0"/>
    <n v="0"/>
    <s v="Octubre"/>
    <n v="11"/>
    <n v="0"/>
    <x v="10"/>
    <x v="0"/>
    <n v="44"/>
    <n v="3"/>
    <n v="0"/>
  </r>
  <r>
    <d v="2025-11-03T08:00:00"/>
    <s v="INYECTADO"/>
    <x v="5"/>
    <x v="245"/>
    <s v="KARLA HUISA"/>
    <m/>
    <m/>
    <m/>
    <s v="ASAS ORGANIZADOR 2 Y 3 SOLIDO"/>
    <s v="ASAS DE ORGANIZADOR 2 Y 3-FUCSIA"/>
    <m/>
    <m/>
    <m/>
    <x v="0"/>
    <m/>
    <m/>
    <m/>
    <n v="22558"/>
    <s v="FUCSIA"/>
    <n v="13.1"/>
    <n v="0"/>
    <n v="0"/>
    <n v="0"/>
    <s v="Octubre"/>
    <n v="11"/>
    <n v="0"/>
    <x v="10"/>
    <x v="0"/>
    <n v="44"/>
    <n v="3"/>
    <n v="0"/>
  </r>
  <r>
    <d v="2025-11-03T08:00:00"/>
    <s v="INYECTADO"/>
    <x v="5"/>
    <x v="246"/>
    <s v="CARLOS SULCA"/>
    <m/>
    <m/>
    <m/>
    <s v="ASAS ORGANIZADOR 2 Y 3 PASTEL"/>
    <s v="ASAS DE ORGANIZADOR 2 Y 3-FUCSIA"/>
    <m/>
    <m/>
    <m/>
    <x v="0"/>
    <m/>
    <m/>
    <m/>
    <n v="22559"/>
    <s v="FUCSIA"/>
    <n v="0"/>
    <n v="0"/>
    <n v="0"/>
    <n v="0"/>
    <s v="Octubre"/>
    <n v="11"/>
    <n v="0"/>
    <x v="10"/>
    <x v="0"/>
    <n v="44"/>
    <n v="3"/>
    <n v="0"/>
  </r>
  <r>
    <d v="2025-11-03T08:00:00"/>
    <s v="INYECTADO"/>
    <x v="5"/>
    <x v="246"/>
    <s v="CARLOS SULCA"/>
    <m/>
    <m/>
    <m/>
    <s v="ASAS ORGANIZADOR 2 Y 3 PASTEL"/>
    <s v="ASAS DE ORGANIZADOR 2 Y 3-ROSADO"/>
    <m/>
    <m/>
    <m/>
    <x v="0"/>
    <m/>
    <m/>
    <m/>
    <n v="22559"/>
    <s v="ROSADO"/>
    <n v="9"/>
    <n v="0"/>
    <n v="0"/>
    <e v="#N/A"/>
    <s v="Octubre"/>
    <e v="#N/A"/>
    <n v="0"/>
    <x v="10"/>
    <x v="0"/>
    <n v="44"/>
    <e v="#N/A"/>
    <e v="#N/A"/>
  </r>
  <r>
    <d v="2025-11-03T08:00:00"/>
    <s v="INYECTADO"/>
    <x v="5"/>
    <x v="247"/>
    <s v="NESTOR"/>
    <m/>
    <m/>
    <m/>
    <s v="ASAS ORGANIZADOR 2 Y 3 PASTEL"/>
    <s v="ASAS DE ORGANIZADOR 2 Y 3-ROSADO"/>
    <m/>
    <m/>
    <m/>
    <x v="0"/>
    <m/>
    <m/>
    <m/>
    <n v="22560"/>
    <s v="ROSADO"/>
    <n v="7.5"/>
    <n v="0"/>
    <n v="0"/>
    <e v="#N/A"/>
    <s v="Octubre"/>
    <e v="#N/A"/>
    <n v="0"/>
    <x v="10"/>
    <x v="0"/>
    <n v="44"/>
    <e v="#N/A"/>
    <e v="#N/A"/>
  </r>
  <r>
    <d v="2025-11-03T08:00:00"/>
    <s v="INYECTADO"/>
    <x v="5"/>
    <x v="247"/>
    <s v="NESTOR"/>
    <m/>
    <m/>
    <m/>
    <s v="ASAS ORGANIZADOR 2 Y 3 PASTEL"/>
    <s v="ASAS DE ORGANIZADOR 2 Y 3-CELESTE"/>
    <m/>
    <m/>
    <m/>
    <x v="0"/>
    <m/>
    <m/>
    <m/>
    <n v="22560"/>
    <s v="CELESTE"/>
    <n v="12.9"/>
    <n v="0"/>
    <n v="0"/>
    <e v="#N/A"/>
    <s v="Octubre"/>
    <e v="#N/A"/>
    <n v="0"/>
    <x v="10"/>
    <x v="0"/>
    <n v="44"/>
    <e v="#N/A"/>
    <e v="#N/A"/>
  </r>
  <r>
    <d v="2025-11-03T08:00:00"/>
    <s v="INYECTADO"/>
    <x v="5"/>
    <x v="247"/>
    <s v="JUAN MANUEL "/>
    <m/>
    <m/>
    <m/>
    <s v="ASAS ORGANIZADOR 2 Y 3 PASTEL"/>
    <s v="ASAS DE ORGANIZADOR 2 Y 3-CELESTE"/>
    <m/>
    <m/>
    <m/>
    <x v="1"/>
    <m/>
    <m/>
    <m/>
    <n v="22561"/>
    <s v="CELESTE"/>
    <n v="3"/>
    <n v="0"/>
    <n v="0"/>
    <e v="#N/A"/>
    <s v="Octubre"/>
    <e v="#N/A"/>
    <n v="0"/>
    <x v="10"/>
    <x v="0"/>
    <n v="44"/>
    <e v="#N/A"/>
    <e v="#N/A"/>
  </r>
  <r>
    <d v="2025-11-03T08:00:00"/>
    <s v="INYECTADO"/>
    <x v="5"/>
    <x v="247"/>
    <s v="JUAN MANUEL "/>
    <m/>
    <m/>
    <m/>
    <s v="ASAS ORGANIZADOR 2 Y 3 NAVIDAD"/>
    <s v="ASAS DE ORGANIZADOR 2 Y 3-VERDE"/>
    <m/>
    <m/>
    <m/>
    <x v="1"/>
    <m/>
    <m/>
    <m/>
    <n v="22561"/>
    <s v="VERDE"/>
    <n v="8.1999999999999993"/>
    <n v="0"/>
    <n v="0"/>
    <n v="0"/>
    <s v="Octubre"/>
    <n v="11"/>
    <n v="0"/>
    <x v="10"/>
    <x v="0"/>
    <n v="44"/>
    <n v="3"/>
    <n v="0"/>
  </r>
  <r>
    <d v="2025-11-03T08:00:00"/>
    <s v="INYECTADO"/>
    <x v="5"/>
    <x v="248"/>
    <s v="SIN NOMBRE"/>
    <m/>
    <m/>
    <m/>
    <s v="ASAS ORGANIZADOR 2 Y 3 NAVIDAD"/>
    <s v="ASAS DE ORGANIZADOR 2 Y 3-VERDE"/>
    <m/>
    <m/>
    <m/>
    <x v="0"/>
    <m/>
    <m/>
    <m/>
    <n v="22562"/>
    <s v="VERDE"/>
    <n v="0"/>
    <n v="0"/>
    <n v="0"/>
    <n v="0"/>
    <s v="Octubre"/>
    <n v="11"/>
    <n v="0"/>
    <x v="10"/>
    <x v="0"/>
    <n v="44"/>
    <n v="3"/>
    <n v="0"/>
  </r>
  <r>
    <d v="2025-11-03T08:00:00"/>
    <s v="INYECTADO"/>
    <x v="5"/>
    <x v="248"/>
    <s v="MARJORIE VILCHEZ"/>
    <m/>
    <m/>
    <m/>
    <s v="ASAS ORGANIZADOR 2 Y 3 NAVIDAD"/>
    <s v="ASAS DE ORGANIZADOR 2 Y 3-VERDE"/>
    <m/>
    <m/>
    <m/>
    <x v="1"/>
    <m/>
    <m/>
    <m/>
    <n v="22563"/>
    <s v="VERDE"/>
    <n v="17.5"/>
    <n v="0"/>
    <n v="0"/>
    <n v="0"/>
    <s v="Octubre"/>
    <n v="11"/>
    <n v="0"/>
    <x v="10"/>
    <x v="0"/>
    <n v="44"/>
    <n v="3"/>
    <n v="0"/>
  </r>
  <r>
    <d v="2025-11-03T08:00:00"/>
    <s v="INYECTADO"/>
    <x v="5"/>
    <x v="249"/>
    <s v="JUAN MANUEL "/>
    <m/>
    <m/>
    <m/>
    <s v="ASAS ORGANIZADOR 2 Y 3 NAVIDAD"/>
    <s v="ASAS DE ORGANIZADOR 2 Y 3-ROJO"/>
    <m/>
    <m/>
    <m/>
    <x v="1"/>
    <m/>
    <m/>
    <m/>
    <n v="22564"/>
    <s v="ROJO"/>
    <n v="4.2"/>
    <n v="0"/>
    <n v="0"/>
    <n v="0"/>
    <s v="Octubre"/>
    <n v="11"/>
    <n v="0"/>
    <x v="10"/>
    <x v="0"/>
    <n v="44"/>
    <n v="3"/>
    <n v="0"/>
  </r>
  <r>
    <d v="2025-11-03T08:00:00"/>
    <s v="INYECTADO"/>
    <x v="7"/>
    <x v="243"/>
    <s v="MARJORIE VILCHEZ"/>
    <m/>
    <m/>
    <m/>
    <s v="TAPA DE ORGANIZADOR #2 CARAMELO"/>
    <s v="TAPA DE ORGANIZADOR #2 CARAMELO-FUCSIA"/>
    <m/>
    <m/>
    <m/>
    <x v="1"/>
    <m/>
    <n v="4"/>
    <n v="1281"/>
    <n v="22774"/>
    <s v="FUCSIA"/>
    <n v="6.2"/>
    <n v="0"/>
    <n v="0"/>
    <n v="0"/>
    <s v="Octubre"/>
    <n v="21"/>
    <n v="0"/>
    <x v="10"/>
    <x v="0"/>
    <n v="43"/>
    <n v="2"/>
    <n v="0"/>
  </r>
  <r>
    <d v="2025-11-03T08:00:00"/>
    <s v="INYECTADO"/>
    <x v="7"/>
    <x v="243"/>
    <s v="MARJORIE VILCHEZ"/>
    <m/>
    <m/>
    <m/>
    <s v="TAPA DE ORGANIZADOR #2 CARAMELO"/>
    <s v="TAPA DE ORGANIZADOR #2 CARAMELO-AZUL"/>
    <m/>
    <m/>
    <m/>
    <x v="1"/>
    <m/>
    <n v="5"/>
    <n v="1281"/>
    <n v="22774"/>
    <s v="AZUL"/>
    <n v="4.8"/>
    <n v="0"/>
    <n v="0"/>
    <n v="0"/>
    <s v="Octubre"/>
    <n v="21"/>
    <n v="0"/>
    <x v="10"/>
    <x v="0"/>
    <n v="43"/>
    <n v="2"/>
    <n v="0"/>
  </r>
  <r>
    <d v="2025-11-03T08:00:00"/>
    <s v="INYECTADO"/>
    <x v="7"/>
    <x v="244"/>
    <s v="CRISALIDA ZAPATA"/>
    <m/>
    <m/>
    <m/>
    <s v="TAPA DE ORGANIZADOR #2 CARAMELO"/>
    <s v="TAPA DE ORGANIZADOR #2 CARAMELO-ROJO"/>
    <m/>
    <m/>
    <m/>
    <x v="0"/>
    <m/>
    <n v="5"/>
    <n v="1281"/>
    <n v="22775"/>
    <s v="ROJO"/>
    <n v="3.7"/>
    <n v="0"/>
    <n v="0"/>
    <n v="0"/>
    <s v="Octubre"/>
    <n v="21"/>
    <n v="0"/>
    <x v="10"/>
    <x v="0"/>
    <n v="43"/>
    <n v="2"/>
    <n v="0"/>
  </r>
  <r>
    <d v="2025-11-03T08:00:00"/>
    <s v="INYECTADO"/>
    <x v="7"/>
    <x v="244"/>
    <s v="CRISALIDA ZAPATA"/>
    <m/>
    <m/>
    <m/>
    <s v="TAPA DE ORGANIZADOR #2 CARAMELO"/>
    <s v="TAPA DE ORGANIZADOR #2 CARAMELO-VERDE"/>
    <m/>
    <m/>
    <m/>
    <x v="0"/>
    <m/>
    <n v="4"/>
    <n v="1281"/>
    <n v="22775"/>
    <s v="VERDE"/>
    <n v="4"/>
    <n v="0"/>
    <n v="0"/>
    <n v="0"/>
    <s v="Octubre"/>
    <n v="21"/>
    <n v="0"/>
    <x v="10"/>
    <x v="0"/>
    <n v="43"/>
    <n v="2"/>
    <n v="0"/>
  </r>
  <r>
    <d v="2025-11-03T08:00:00"/>
    <s v="INYECTADO"/>
    <x v="7"/>
    <x v="244"/>
    <s v="MARJORIE VILCHEZ"/>
    <m/>
    <m/>
    <m/>
    <s v="TAPA DE ORGANIZADOR #2 CARAMELO"/>
    <s v="TAPA DE ORGANIZADOR #2 CARAMELO-VERDE"/>
    <m/>
    <m/>
    <m/>
    <x v="1"/>
    <m/>
    <n v="3.6"/>
    <n v="1281"/>
    <n v="22776"/>
    <s v="VERDE"/>
    <n v="1.6"/>
    <n v="0"/>
    <n v="0"/>
    <n v="0"/>
    <s v="Octubre"/>
    <n v="21"/>
    <n v="0"/>
    <x v="10"/>
    <x v="0"/>
    <n v="43"/>
    <n v="2"/>
    <n v="0"/>
  </r>
  <r>
    <d v="2025-11-03T08:00:00"/>
    <s v="INYECTADO"/>
    <x v="7"/>
    <x v="244"/>
    <s v="MARJORIE VILCHEZ"/>
    <m/>
    <m/>
    <m/>
    <s v="TAPA DE ORGANIZADOR #2 TRANSPARENTE"/>
    <s v="TAPA DE ORGANIZADOR #2-TRANSPARENTE"/>
    <m/>
    <m/>
    <m/>
    <x v="1"/>
    <m/>
    <n v="50"/>
    <n v="1281"/>
    <n v="22776"/>
    <s v="TRANSPARENTE"/>
    <n v="1.5"/>
    <n v="0"/>
    <n v="0"/>
    <n v="0"/>
    <s v="Octubre"/>
    <n v="21"/>
    <n v="0"/>
    <x v="10"/>
    <x v="0"/>
    <n v="43"/>
    <n v="2"/>
    <n v="0"/>
  </r>
  <r>
    <d v="2025-11-03T08:00:00"/>
    <s v="INYECTADO"/>
    <x v="7"/>
    <x v="245"/>
    <s v="CRISALIDA ZAPATA"/>
    <m/>
    <m/>
    <m/>
    <s v="TAPA DE ORGANIZADOR #2 TRANSPARENTE"/>
    <s v="TAPA DE ORGANIZADOR #2-TRANSPARENTE"/>
    <m/>
    <m/>
    <m/>
    <x v="0"/>
    <m/>
    <n v="8"/>
    <n v="1281"/>
    <n v="22777"/>
    <s v="TRANSPARENTE"/>
    <n v="3.4"/>
    <n v="0"/>
    <n v="0"/>
    <n v="0"/>
    <s v="Octubre"/>
    <n v="21"/>
    <n v="0"/>
    <x v="10"/>
    <x v="0"/>
    <n v="44"/>
    <n v="2"/>
    <n v="0"/>
  </r>
  <r>
    <d v="2025-11-03T08:00:00"/>
    <s v="INYECTADO"/>
    <x v="7"/>
    <x v="245"/>
    <s v="MARJORIE VILCHEZ"/>
    <m/>
    <m/>
    <m/>
    <s v="TAPA DE ORGANIZADOR #2 TRANSPARENTE"/>
    <s v="TAPA DE ORGANIZADOR #2-TRANSPARENTE"/>
    <m/>
    <m/>
    <m/>
    <x v="1"/>
    <m/>
    <n v="11"/>
    <n v="1281"/>
    <n v="22778"/>
    <s v="TRANSPARENTE"/>
    <n v="0"/>
    <n v="0"/>
    <n v="0"/>
    <n v="0"/>
    <s v="Octubre"/>
    <n v="21"/>
    <n v="0"/>
    <x v="10"/>
    <x v="0"/>
    <n v="44"/>
    <n v="2"/>
    <n v="0"/>
  </r>
  <r>
    <d v="2025-11-03T08:00:00"/>
    <s v="INYECTADO"/>
    <x v="7"/>
    <x v="246"/>
    <s v="CRISALIDA ZAPATA"/>
    <m/>
    <m/>
    <m/>
    <s v="TAPA DE ORGANIZADOR #2 TRANSPARENTE"/>
    <s v="TAPA DE ORGANIZADOR #2-TRANSPARENTE"/>
    <m/>
    <m/>
    <m/>
    <x v="0"/>
    <m/>
    <n v="11"/>
    <n v="1281"/>
    <n v="22779"/>
    <s v="TRANSPARENTE"/>
    <n v="0.7"/>
    <n v="0"/>
    <n v="0"/>
    <n v="0"/>
    <s v="Octubre"/>
    <n v="21"/>
    <n v="0"/>
    <x v="10"/>
    <x v="0"/>
    <n v="44"/>
    <n v="2"/>
    <n v="0"/>
  </r>
  <r>
    <d v="2025-11-03T08:00:00"/>
    <s v="INYECTADO"/>
    <x v="7"/>
    <x v="246"/>
    <s v="ISABEL LINARIZ "/>
    <m/>
    <m/>
    <m/>
    <s v="TAPA DE ORGANIZADOR #2 TRANSPARENTE"/>
    <s v="TAPA DE ORGANIZADOR #2-TRANSPARENTE"/>
    <m/>
    <m/>
    <m/>
    <x v="1"/>
    <m/>
    <n v="6"/>
    <n v="1281"/>
    <n v="22780"/>
    <s v="TRANSPARENTE"/>
    <n v="0"/>
    <n v="0"/>
    <n v="0"/>
    <n v="0"/>
    <s v="Octubre"/>
    <n v="21"/>
    <n v="0"/>
    <x v="10"/>
    <x v="0"/>
    <n v="44"/>
    <n v="2"/>
    <n v="0"/>
  </r>
  <r>
    <d v="2025-11-03T08:00:00"/>
    <s v="INYECTADO"/>
    <x v="7"/>
    <x v="247"/>
    <s v="CRISALIDA ZAPATA"/>
    <m/>
    <m/>
    <m/>
    <s v="TAPA DE ORGANIZADOR #2 TRANSPARENTE"/>
    <s v="TAPA DE ORGANIZADOR #2-TRANSPARENTE"/>
    <m/>
    <m/>
    <m/>
    <x v="0"/>
    <m/>
    <n v="4"/>
    <m/>
    <n v="22781"/>
    <s v="TRANSPARENTE"/>
    <n v="4.5"/>
    <n v="0"/>
    <n v="0"/>
    <n v="0"/>
    <s v="Octubre"/>
    <n v="21"/>
    <n v="0"/>
    <x v="10"/>
    <x v="0"/>
    <n v="44"/>
    <n v="2"/>
    <n v="0"/>
  </r>
  <r>
    <d v="2025-11-03T08:00:00"/>
    <s v="INYECTADO"/>
    <x v="7"/>
    <x v="247"/>
    <s v="CRISALIDA ZAPATA"/>
    <m/>
    <m/>
    <m/>
    <s v="TAPA DE ORGANIZADOR #2 PASTEL"/>
    <s v="TAPA DE ORGANIZADOR #2-BLANCO"/>
    <m/>
    <m/>
    <m/>
    <x v="0"/>
    <m/>
    <n v="6"/>
    <m/>
    <n v="22781"/>
    <s v="BLANCO"/>
    <n v="1.7"/>
    <n v="0"/>
    <n v="0"/>
    <n v="0"/>
    <s v="Octubre"/>
    <n v="21"/>
    <n v="0"/>
    <x v="10"/>
    <x v="0"/>
    <n v="44"/>
    <n v="2"/>
    <n v="0"/>
  </r>
  <r>
    <d v="2025-11-03T08:00:00"/>
    <s v="INYECTADO"/>
    <x v="7"/>
    <x v="248"/>
    <s v="CRISALIDA ZAPATA"/>
    <m/>
    <m/>
    <m/>
    <s v="TAPA DE ORGANIZADOR #2 PASTEL"/>
    <s v="TAPA DE ORGANIZADOR #2-BLANCO"/>
    <m/>
    <m/>
    <m/>
    <x v="0"/>
    <m/>
    <n v="7"/>
    <m/>
    <n v="22782"/>
    <s v="BLANCO"/>
    <n v="0"/>
    <n v="0"/>
    <n v="0"/>
    <n v="0"/>
    <s v="Octubre"/>
    <n v="21"/>
    <n v="0"/>
    <x v="10"/>
    <x v="0"/>
    <n v="44"/>
    <n v="2"/>
    <n v="0"/>
  </r>
  <r>
    <d v="2025-11-03T08:00:00"/>
    <s v="INYECTADO"/>
    <x v="7"/>
    <x v="249"/>
    <s v="CRISALIDA ZAPATA"/>
    <m/>
    <m/>
    <m/>
    <s v="TAPA DE ORGANIZADOR #2 PASTEL"/>
    <s v="TAPA DE ORGANIZADOR #2-BLANCO"/>
    <m/>
    <m/>
    <m/>
    <x v="0"/>
    <m/>
    <n v="10"/>
    <m/>
    <n v="22783"/>
    <s v="BLANCO"/>
    <n v="2.6"/>
    <n v="0"/>
    <n v="0"/>
    <n v="0"/>
    <s v="Octubre"/>
    <n v="21"/>
    <n v="0"/>
    <x v="10"/>
    <x v="0"/>
    <n v="44"/>
    <n v="2"/>
    <n v="0"/>
  </r>
  <r>
    <d v="2025-11-03T08:00:00"/>
    <s v="INYECTADO"/>
    <x v="7"/>
    <x v="249"/>
    <s v="MARJORIE VILCHEZ"/>
    <m/>
    <m/>
    <m/>
    <s v="TAPA DE ORGANIZADOR #2 PASTEL"/>
    <s v="TAPA DE ORGANIZADOR #2-BLANCO"/>
    <m/>
    <m/>
    <m/>
    <x v="1"/>
    <m/>
    <n v="12"/>
    <m/>
    <n v="22784"/>
    <s v="BLANCO"/>
    <n v="0.1"/>
    <n v="0"/>
    <n v="0"/>
    <n v="0"/>
    <s v="Octubre"/>
    <n v="21"/>
    <n v="0"/>
    <x v="10"/>
    <x v="0"/>
    <n v="44"/>
    <n v="2"/>
    <n v="0"/>
  </r>
  <r>
    <d v="2025-11-03T08:00:00"/>
    <s v="SOPLADO"/>
    <x v="12"/>
    <x v="250"/>
    <s v="SAID VILLAMIZAR"/>
    <m/>
    <m/>
    <m/>
    <s v="FLORERO DIAMANTE"/>
    <s v="FLORERO DIAMANTE CARAMELO-AMARILLO"/>
    <n v="342"/>
    <n v="6"/>
    <n v="24.3"/>
    <x v="0"/>
    <m/>
    <n v="7"/>
    <m/>
    <n v="22353"/>
    <s v="AMARILLO"/>
    <n v="0"/>
    <n v="0"/>
    <n v="0"/>
    <n v="20.52"/>
    <n v="24.3"/>
    <n v="60"/>
    <n v="405"/>
    <x v="10"/>
    <x v="0"/>
    <n v="40"/>
    <n v="1"/>
    <n v="28.5"/>
  </r>
  <r>
    <d v="2025-11-03T08:00:00"/>
    <s v="SOPLADO"/>
    <x v="12"/>
    <x v="250"/>
    <s v="SAID VILLAMIZAR"/>
    <m/>
    <m/>
    <m/>
    <s v="FLORERO DIAMANTE"/>
    <s v="FLORERO DIAMANTE CARAMELO-LILA"/>
    <n v="101"/>
    <n v="1"/>
    <n v="7.2"/>
    <x v="0"/>
    <m/>
    <n v="2"/>
    <m/>
    <n v="22353"/>
    <s v="LILA"/>
    <n v="0"/>
    <n v="0"/>
    <n v="0"/>
    <n v="6.06"/>
    <n v="7.2"/>
    <n v="60"/>
    <n v="120"/>
    <x v="10"/>
    <x v="0"/>
    <n v="40"/>
    <n v="1"/>
    <n v="8.4166666666666661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s v="ASAS ORGANIZADOR 2 Y 3 SOLIDO"/>
    <s v="ASAS DE ORGANIZADOR 2 Y 3-"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0-24T08:00:00"/>
    <s v="INYECTADO"/>
    <x v="5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d v="2025-11-03T08:00:00"/>
    <s v="SOPLADO"/>
    <x v="12"/>
    <x v="250"/>
    <s v="GABRIEL REQUENA"/>
    <m/>
    <m/>
    <m/>
    <s v="FLORERO DIAMANTE"/>
    <s v="FLORERO DIAMANTE CARAMELO-AZUL"/>
    <n v="339"/>
    <n v="4"/>
    <n v="24.8"/>
    <x v="1"/>
    <m/>
    <n v="5"/>
    <m/>
    <n v="22354"/>
    <s v="AZUL"/>
    <n v="26.9"/>
    <n v="0"/>
    <n v="0"/>
    <n v="20.34"/>
    <n v="24.8"/>
    <n v="60"/>
    <n v="413.33333333333331"/>
    <x v="10"/>
    <x v="0"/>
    <n v="40"/>
    <n v="1"/>
    <n v="28.25"/>
  </r>
  <r>
    <d v="2025-11-03T08:00:00"/>
    <s v="SOPLADO"/>
    <x v="12"/>
    <x v="250"/>
    <s v="GABRIEL REQUENA"/>
    <m/>
    <m/>
    <m/>
    <s v="FLORERO DIAMANTE"/>
    <s v="FLORERO DIAMANTE CARAMELO-VERDE"/>
    <n v="349"/>
    <n v="5"/>
    <n v="27.5"/>
    <x v="1"/>
    <m/>
    <n v="6"/>
    <m/>
    <n v="22354"/>
    <s v="VERDE"/>
    <n v="28"/>
    <n v="0"/>
    <n v="0"/>
    <n v="20.94"/>
    <n v="27.5"/>
    <n v="60"/>
    <n v="458.33333333333331"/>
    <x v="10"/>
    <x v="0"/>
    <n v="40"/>
    <n v="1"/>
    <n v="29.083333333333332"/>
  </r>
  <r>
    <d v="2025-11-03T08:00:00"/>
    <s v="SOPLADO"/>
    <x v="12"/>
    <x v="251"/>
    <s v="BRAYAN PINEDO"/>
    <m/>
    <m/>
    <m/>
    <s v="FLORERO DIAMANTE"/>
    <s v="FLORERO DIAMANTE CARAMELO-NARANJA"/>
    <n v="390"/>
    <n v="4"/>
    <n v="28.5"/>
    <x v="0"/>
    <m/>
    <n v="2"/>
    <m/>
    <n v="22355"/>
    <s v="NARANJA"/>
    <n v="21.2"/>
    <n v="0"/>
    <n v="0"/>
    <e v="#N/A"/>
    <n v="28.5"/>
    <e v="#N/A"/>
    <n v="0"/>
    <x v="10"/>
    <x v="0"/>
    <n v="40"/>
    <e v="#N/A"/>
    <e v="#N/A"/>
  </r>
  <r>
    <d v="2025-11-03T08:00:00"/>
    <s v="SOPLADO"/>
    <x v="12"/>
    <x v="251"/>
    <s v="BRAYAN PINEDO"/>
    <m/>
    <m/>
    <m/>
    <s v="FLORERO DIAMANTE"/>
    <s v="FLORERO DIAMANTE CARAMELO-FUCSIA"/>
    <n v="230"/>
    <n v="3"/>
    <n v="16.8"/>
    <x v="0"/>
    <m/>
    <n v="1"/>
    <m/>
    <n v="22355"/>
    <s v="FUCSIA"/>
    <n v="12.4"/>
    <n v="0"/>
    <n v="0"/>
    <n v="13.8"/>
    <n v="16.8"/>
    <n v="60"/>
    <n v="280"/>
    <x v="10"/>
    <x v="0"/>
    <n v="40"/>
    <n v="1"/>
    <n v="19.166666666666668"/>
  </r>
  <r>
    <d v="2025-11-03T08:00:00"/>
    <s v="SOPLADO"/>
    <x v="12"/>
    <x v="231"/>
    <s v="LUIS RENGIFO"/>
    <m/>
    <m/>
    <m/>
    <s v="FLORERO DIAMANTE"/>
    <s v="FLORERO DIAMANTE CARAMELO-FUCSIA"/>
    <n v="216"/>
    <n v="2"/>
    <n v="15.8"/>
    <x v="0"/>
    <m/>
    <n v="3"/>
    <m/>
    <n v="22356"/>
    <s v="FUCSIA"/>
    <n v="11.3"/>
    <n v="0"/>
    <n v="0"/>
    <n v="12.96"/>
    <n v="15.8"/>
    <n v="60"/>
    <n v="263.33333333333331"/>
    <x v="10"/>
    <x v="0"/>
    <n v="41"/>
    <n v="1"/>
    <n v="18"/>
  </r>
  <r>
    <d v="2025-11-03T08:00:00"/>
    <s v="SOPLADO"/>
    <x v="12"/>
    <x v="231"/>
    <s v="LUIS RENGIFO"/>
    <m/>
    <m/>
    <m/>
    <s v="FLORERO DIAMANTE"/>
    <s v="FLORERO DIAMANTE CARAMELO-LILA"/>
    <n v="429"/>
    <n v="4"/>
    <n v="31.8"/>
    <x v="0"/>
    <m/>
    <n v="5"/>
    <m/>
    <n v="22356"/>
    <s v="LILA"/>
    <n v="20"/>
    <n v="0"/>
    <n v="0"/>
    <n v="25.74"/>
    <n v="31.8"/>
    <n v="60"/>
    <n v="530"/>
    <x v="10"/>
    <x v="0"/>
    <n v="41"/>
    <n v="1"/>
    <n v="35.75"/>
  </r>
  <r>
    <d v="2025-11-03T08:00:00"/>
    <s v="SOPLADO"/>
    <x v="12"/>
    <x v="231"/>
    <s v="GABRIEL REQUENA"/>
    <m/>
    <m/>
    <m/>
    <s v="FLORERO ITALIANO"/>
    <s v="FLORERO ITALIANO CHICO-BLANCO"/>
    <n v="735"/>
    <n v="8"/>
    <n v="45.6"/>
    <x v="1"/>
    <m/>
    <n v="6"/>
    <m/>
    <n v="22357"/>
    <s v="BLANCO"/>
    <n v="46.8"/>
    <n v="0"/>
    <n v="0"/>
    <e v="#N/A"/>
    <n v="45.6"/>
    <e v="#N/A"/>
    <n v="0"/>
    <x v="10"/>
    <x v="0"/>
    <n v="41"/>
    <e v="#N/A"/>
    <e v="#N/A"/>
  </r>
  <r>
    <d v="2025-11-03T08:00:00"/>
    <s v="SOPLADO"/>
    <x v="12"/>
    <x v="233"/>
    <s v="LUIS RENGIFO"/>
    <m/>
    <m/>
    <m/>
    <s v="FLORERO ITALIANO"/>
    <s v="FLORERO ITALIANO CHICO-BLANCO"/>
    <n v="916"/>
    <n v="9"/>
    <n v="56.8"/>
    <x v="0"/>
    <m/>
    <n v="10"/>
    <m/>
    <n v="22358"/>
    <s v="BLANCO"/>
    <n v="38.1"/>
    <n v="0"/>
    <n v="0"/>
    <e v="#N/A"/>
    <n v="56.8"/>
    <e v="#N/A"/>
    <n v="0"/>
    <x v="10"/>
    <x v="0"/>
    <n v="41"/>
    <e v="#N/A"/>
    <e v="#N/A"/>
  </r>
  <r>
    <d v="2025-11-03T08:00:00"/>
    <s v="SOPLADO"/>
    <x v="12"/>
    <x v="235"/>
    <s v="LUIS PINEDO"/>
    <m/>
    <m/>
    <m/>
    <s v="FLORERO ITALIANO"/>
    <s v="FLORERO ITALIANO CHICO-BLANCO"/>
    <n v="648"/>
    <n v="10"/>
    <n v="41.5"/>
    <x v="0"/>
    <m/>
    <n v="10"/>
    <m/>
    <n v="22359"/>
    <s v="BLANCO"/>
    <n v="41.5"/>
    <n v="0"/>
    <n v="0"/>
    <e v="#N/A"/>
    <n v="41.5"/>
    <e v="#N/A"/>
    <n v="0"/>
    <x v="10"/>
    <x v="0"/>
    <n v="41"/>
    <e v="#N/A"/>
    <e v="#N/A"/>
  </r>
  <r>
    <d v="2025-11-03T08:00:00"/>
    <s v="SOPLADO"/>
    <x v="12"/>
    <x v="236"/>
    <s v="SAID VILLAMIZAR"/>
    <m/>
    <m/>
    <m/>
    <s v="FLORERO ITALIANO"/>
    <s v="FLORERO ITALIANO CHICO PASTEL-CREMA"/>
    <n v="262"/>
    <n v="3"/>
    <n v="16.3"/>
    <x v="0"/>
    <m/>
    <n v="3"/>
    <m/>
    <n v="22360"/>
    <s v="CREMA"/>
    <n v="17.8"/>
    <n v="0"/>
    <n v="0"/>
    <e v="#N/A"/>
    <n v="16.3"/>
    <e v="#N/A"/>
    <n v="0"/>
    <x v="10"/>
    <x v="0"/>
    <n v="41"/>
    <e v="#N/A"/>
    <e v="#N/A"/>
  </r>
  <r>
    <d v="2025-11-03T08:00:00"/>
    <s v="SOPLADO"/>
    <x v="12"/>
    <x v="236"/>
    <s v="SAID VILLAMIZAR"/>
    <m/>
    <m/>
    <m/>
    <s v="FLORERO ITALIANO"/>
    <s v="FLORERO ITALIANO CHICO PASTEL-LILA"/>
    <n v="272"/>
    <n v="2"/>
    <n v="16.899999999999999"/>
    <x v="0"/>
    <m/>
    <n v="3"/>
    <m/>
    <n v="22360"/>
    <s v="LILA"/>
    <n v="14"/>
    <n v="0"/>
    <n v="0"/>
    <e v="#N/A"/>
    <n v="16.899999999999999"/>
    <e v="#N/A"/>
    <n v="0"/>
    <x v="10"/>
    <x v="0"/>
    <n v="41"/>
    <e v="#N/A"/>
    <e v="#N/A"/>
  </r>
  <r>
    <d v="2025-11-03T08:00:00"/>
    <s v="SOPLADO"/>
    <x v="12"/>
    <x v="237"/>
    <s v="LUIS PINEDO"/>
    <m/>
    <m/>
    <m/>
    <s v="FLORERO ITALIANO"/>
    <s v="FLORERO ITALIANO CHICO PASTEL-LILA"/>
    <n v="41"/>
    <n v="1"/>
    <n v="2.6"/>
    <x v="0"/>
    <m/>
    <n v="1"/>
    <m/>
    <n v="22361"/>
    <s v="LILA"/>
    <n v="13.1"/>
    <n v="0"/>
    <n v="0"/>
    <e v="#N/A"/>
    <n v="2.6"/>
    <e v="#N/A"/>
    <n v="0"/>
    <x v="10"/>
    <x v="0"/>
    <n v="42"/>
    <e v="#N/A"/>
    <e v="#N/A"/>
  </r>
  <r>
    <d v="2025-11-03T08:00:00"/>
    <s v="SOPLADO"/>
    <x v="12"/>
    <x v="237"/>
    <s v="LUIS PINEDO"/>
    <m/>
    <m/>
    <m/>
    <s v="FLORERO ITALIANO"/>
    <s v="FLORERO ITALIANO CHICO PASTEL-TURQUESA"/>
    <n v="233"/>
    <n v="3"/>
    <n v="14.5"/>
    <x v="0"/>
    <m/>
    <n v="2"/>
    <m/>
    <n v="22361"/>
    <s v="TURQUESA"/>
    <n v="14.8"/>
    <n v="0"/>
    <n v="0"/>
    <e v="#N/A"/>
    <n v="14.5"/>
    <e v="#N/A"/>
    <n v="0"/>
    <x v="10"/>
    <x v="0"/>
    <n v="42"/>
    <e v="#N/A"/>
    <e v="#N/A"/>
  </r>
  <r>
    <d v="2025-11-03T08:00:00"/>
    <s v="SOPLADO"/>
    <x v="12"/>
    <x v="237"/>
    <s v="LUIS PINEDO"/>
    <m/>
    <m/>
    <m/>
    <s v="FLORERO ITALIANO"/>
    <s v="FLORERO ITALIANO CHICO PASTEL-ROSADO"/>
    <n v="241"/>
    <n v="3"/>
    <n v="15"/>
    <x v="0"/>
    <m/>
    <n v="3"/>
    <m/>
    <n v="22361"/>
    <s v="ROSADO"/>
    <n v="11.6"/>
    <n v="0"/>
    <n v="0"/>
    <e v="#N/A"/>
    <n v="15"/>
    <e v="#N/A"/>
    <n v="0"/>
    <x v="10"/>
    <x v="0"/>
    <n v="42"/>
    <e v="#N/A"/>
    <e v="#N/A"/>
  </r>
  <r>
    <d v="2025-11-03T08:00:00"/>
    <s v="SOPLADO"/>
    <x v="12"/>
    <x v="237"/>
    <s v="LUIS PINEDO"/>
    <m/>
    <m/>
    <m/>
    <s v="FLORERO ITALIANO"/>
    <s v="FLORERO ITALIANO CHICO PASTEL-CELESTE"/>
    <n v="40"/>
    <n v="1"/>
    <n v="2.5"/>
    <x v="0"/>
    <m/>
    <n v="1"/>
    <m/>
    <n v="22361"/>
    <s v="CELESTE"/>
    <n v="2.9"/>
    <n v="0"/>
    <n v="0"/>
    <e v="#N/A"/>
    <n v="2.5"/>
    <e v="#N/A"/>
    <n v="0"/>
    <x v="10"/>
    <x v="0"/>
    <n v="42"/>
    <e v="#N/A"/>
    <e v="#N/A"/>
  </r>
  <r>
    <d v="2025-11-03T08:00:00"/>
    <s v="SOPLADO"/>
    <x v="12"/>
    <x v="240"/>
    <s v="NELSON PINEDO"/>
    <m/>
    <m/>
    <m/>
    <s v="FLORERO ITALIANO"/>
    <s v="FLORERO ITALIANO CHICO PASTEL-CELESTE"/>
    <n v="211"/>
    <n v="2"/>
    <n v="13.1"/>
    <x v="0"/>
    <m/>
    <n v="2"/>
    <m/>
    <n v="22362"/>
    <s v="MELON"/>
    <n v="9.3000000000000007"/>
    <n v="0"/>
    <n v="0"/>
    <e v="#N/A"/>
    <n v="13.1"/>
    <e v="#N/A"/>
    <n v="0"/>
    <x v="10"/>
    <x v="0"/>
    <n v="42"/>
    <e v="#N/A"/>
    <e v="#N/A"/>
  </r>
  <r>
    <d v="2025-11-03T08:00:00"/>
    <s v="SOPLADO"/>
    <x v="12"/>
    <x v="240"/>
    <s v="NELSON PINEDO"/>
    <m/>
    <m/>
    <m/>
    <s v="FLORERO ITALIANO"/>
    <s v="FLORERO ITALIANO CHICO PASTEL-MELON"/>
    <n v="224"/>
    <n v="2"/>
    <n v="13.9"/>
    <x v="0"/>
    <m/>
    <n v="3"/>
    <m/>
    <n v="22362"/>
    <s v="CELESTE"/>
    <n v="9.5"/>
    <n v="0"/>
    <n v="0"/>
    <e v="#N/A"/>
    <n v="13.9"/>
    <e v="#N/A"/>
    <n v="0"/>
    <x v="10"/>
    <x v="0"/>
    <n v="42"/>
    <e v="#N/A"/>
    <e v="#N/A"/>
  </r>
  <r>
    <d v="2025-11-03T08:00:00"/>
    <s v="SOPLADO"/>
    <x v="12"/>
    <x v="240"/>
    <s v="NELSON PINEDO"/>
    <m/>
    <m/>
    <m/>
    <s v="FLORERO ROMANO CARAMELO"/>
    <s v="FLORERO ROMANO CARAMELO-AMARILLO"/>
    <n v="198"/>
    <n v="2"/>
    <n v="17.899999999999999"/>
    <x v="0"/>
    <m/>
    <n v="1"/>
    <m/>
    <n v="22362"/>
    <s v="AMARILLO"/>
    <n v="10"/>
    <n v="0"/>
    <n v="0"/>
    <n v="16.829999999999998"/>
    <n v="17.899999999999999"/>
    <n v="85"/>
    <n v="210.58823529411765"/>
    <x v="10"/>
    <x v="0"/>
    <n v="42"/>
    <n v="1"/>
    <n v="16.5"/>
  </r>
  <r>
    <d v="2025-11-03T08:00:00"/>
    <s v="SOPLADO"/>
    <x v="12"/>
    <x v="240"/>
    <s v="GABRIEL REQUENA"/>
    <m/>
    <m/>
    <m/>
    <s v="FLORERO ROMANO CARAMELO"/>
    <s v="FLORERO ROMANO CARAMELO-AMARILLO"/>
    <n v="28"/>
    <n v="1"/>
    <n v="2.6"/>
    <x v="1"/>
    <m/>
    <n v="1"/>
    <m/>
    <n v="22363"/>
    <s v="AMARILLO"/>
    <n v="3.5"/>
    <n v="0"/>
    <n v="0"/>
    <n v="2.38"/>
    <n v="2.6"/>
    <n v="85"/>
    <n v="30.588235294117649"/>
    <x v="10"/>
    <x v="0"/>
    <n v="42"/>
    <n v="1"/>
    <n v="2.3333333333333335"/>
  </r>
  <r>
    <d v="2025-11-03T08:00:00"/>
    <s v="SOPLADO"/>
    <x v="12"/>
    <x v="240"/>
    <s v="GABRIEL REQUENA"/>
    <m/>
    <m/>
    <m/>
    <s v="FLORERO ROMANO CARAMELO"/>
    <s v="FLORERO ROMANO CARAMELO-AZUL"/>
    <n v="246"/>
    <n v="2"/>
    <n v="22.2"/>
    <x v="1"/>
    <m/>
    <n v="2"/>
    <m/>
    <n v="22363"/>
    <s v="AZUL"/>
    <n v="18.600000000000001"/>
    <n v="0"/>
    <n v="0"/>
    <n v="20.91"/>
    <n v="22.2"/>
    <n v="85"/>
    <n v="261.1764705882353"/>
    <x v="10"/>
    <x v="0"/>
    <n v="42"/>
    <n v="1"/>
    <n v="20.5"/>
  </r>
  <r>
    <d v="2025-11-03T08:00:00"/>
    <s v="SOPLADO"/>
    <x v="12"/>
    <x v="240"/>
    <s v="GABRIEL REQUENA"/>
    <m/>
    <m/>
    <m/>
    <s v="FLORERO ROMANO CARAMELO"/>
    <s v="FLORERO ROMANO CARAMELO-FUCSIA"/>
    <n v="238"/>
    <n v="2"/>
    <n v="21.5"/>
    <x v="1"/>
    <m/>
    <n v="2"/>
    <m/>
    <n v="22363"/>
    <s v="FUCSIA"/>
    <n v="17.399999999999999"/>
    <n v="0"/>
    <n v="0"/>
    <n v="20.23"/>
    <n v="21.5"/>
    <n v="85"/>
    <n v="252.94117647058823"/>
    <x v="10"/>
    <x v="0"/>
    <n v="42"/>
    <n v="1"/>
    <n v="19.833333333333332"/>
  </r>
  <r>
    <d v="2025-11-03T08:00:00"/>
    <s v="SOPLADO"/>
    <x v="12"/>
    <x v="240"/>
    <s v="GABRIEL REQUENA"/>
    <m/>
    <m/>
    <m/>
    <s v="FLORERO ROMANO CARAMELO"/>
    <s v="FLORERO ROMANO CARAMELO-LILA"/>
    <n v="171"/>
    <n v="2"/>
    <n v="15.4"/>
    <x v="1"/>
    <m/>
    <n v="2"/>
    <m/>
    <n v="22363"/>
    <s v="LILA"/>
    <n v="0"/>
    <n v="0"/>
    <n v="0"/>
    <n v="14.535"/>
    <n v="15.4"/>
    <n v="85"/>
    <n v="181.1764705882353"/>
    <x v="10"/>
    <x v="0"/>
    <n v="42"/>
    <n v="1"/>
    <n v="14.25"/>
  </r>
  <r>
    <d v="2025-11-03T08:00:00"/>
    <s v="SOPLADO"/>
    <x v="12"/>
    <x v="240"/>
    <s v="GABRIEL REQUENA"/>
    <s v="FLORERO ROMANO CARAMELO"/>
    <s v="FLORERO ROMANO CARAMELO-LILA"/>
    <m/>
    <s v="FLORERO ROMANO CARAMELO"/>
    <s v="FLORERO ROMANO CARAMELO-VERDE"/>
    <n v="228"/>
    <n v="2"/>
    <n v="20.6"/>
    <x v="1"/>
    <m/>
    <n v="2"/>
    <m/>
    <n v="22363"/>
    <s v="VERDE"/>
    <n v="21.5"/>
    <n v="0"/>
    <n v="0"/>
    <n v="19.38"/>
    <n v="20.6"/>
    <n v="85"/>
    <n v="242.35294117647058"/>
    <x v="10"/>
    <x v="0"/>
    <n v="42"/>
    <n v="1"/>
    <n v="19"/>
  </r>
  <r>
    <d v="2025-11-03T08:00:00"/>
    <s v="SOPLADO"/>
    <x v="12"/>
    <x v="241"/>
    <s v="NELSON PINEDO"/>
    <m/>
    <m/>
    <m/>
    <s v="FLORERO ROMANO CARAMELO"/>
    <s v="FLORERO ROMANO CARAMELO-LILA"/>
    <n v="44"/>
    <n v="1"/>
    <n v="4"/>
    <x v="0"/>
    <m/>
    <n v="1"/>
    <m/>
    <n v="22364"/>
    <s v="LILA"/>
    <n v="13.4"/>
    <n v="0"/>
    <n v="0"/>
    <n v="3.74"/>
    <n v="4"/>
    <n v="85"/>
    <n v="47.058823529411768"/>
    <x v="10"/>
    <x v="0"/>
    <n v="42"/>
    <n v="1"/>
    <n v="3.6666666666666665"/>
  </r>
  <r>
    <d v="2025-11-03T08:00:00"/>
    <s v="SOPLADO"/>
    <x v="12"/>
    <x v="241"/>
    <s v="NELSON PINEDO"/>
    <m/>
    <m/>
    <m/>
    <s v="FLORERO ROMANO CARAMELO"/>
    <s v="FLORERO ROMANO CARAMELO-NARANJA"/>
    <n v="237"/>
    <n v="2"/>
    <n v="21.4"/>
    <x v="0"/>
    <m/>
    <n v="5"/>
    <m/>
    <n v="22364"/>
    <s v="NARANJA"/>
    <n v="12.7"/>
    <n v="0"/>
    <n v="0"/>
    <e v="#N/A"/>
    <n v="21.4"/>
    <e v="#N/A"/>
    <n v="0"/>
    <x v="10"/>
    <x v="0"/>
    <n v="42"/>
    <e v="#N/A"/>
    <e v="#N/A"/>
  </r>
  <r>
    <d v="2025-11-03T08:00:00"/>
    <s v="SOPLADO"/>
    <x v="12"/>
    <x v="241"/>
    <s v="NELSON PINEDO"/>
    <m/>
    <m/>
    <m/>
    <s v="FLORERO ROMANO PASTEL"/>
    <s v="FLORERO ROMANO PASTEL-MELON"/>
    <n v="166"/>
    <n v="2"/>
    <n v="15"/>
    <x v="0"/>
    <m/>
    <n v="3"/>
    <m/>
    <n v="22364"/>
    <s v="MELON"/>
    <n v="25.6"/>
    <n v="0"/>
    <n v="0"/>
    <n v="14.11"/>
    <n v="15"/>
    <n v="85"/>
    <n v="176.47058823529412"/>
    <x v="10"/>
    <x v="0"/>
    <n v="42"/>
    <n v="1"/>
    <n v="13.833333333333334"/>
  </r>
  <r>
    <d v="2025-11-03T08:00:00"/>
    <s v="SOPLADO"/>
    <x v="12"/>
    <x v="241"/>
    <s v="NELSON PINEDO"/>
    <m/>
    <m/>
    <m/>
    <s v="FLORERO ROMANO PASTEL"/>
    <s v="FLORERO ROMANO PASTEL-CREMA"/>
    <n v="241"/>
    <n v="2"/>
    <n v="21.7"/>
    <x v="0"/>
    <m/>
    <n v="5"/>
    <m/>
    <n v="22364"/>
    <s v="CREMA"/>
    <n v="14.2"/>
    <n v="0"/>
    <n v="0"/>
    <n v="20.484999999999999"/>
    <n v="21.7"/>
    <n v="85"/>
    <n v="255.29411764705881"/>
    <x v="10"/>
    <x v="0"/>
    <n v="42"/>
    <n v="1"/>
    <n v="20.083333333333332"/>
  </r>
  <r>
    <d v="2025-11-03T08:00:00"/>
    <s v="SOPLADO"/>
    <x v="12"/>
    <x v="241"/>
    <s v="GABRIEL REQUENA"/>
    <m/>
    <m/>
    <m/>
    <s v="FLORERO ROMANO PASTEL"/>
    <s v="FLORERO ROMANO PASTEL-CELESTE"/>
    <n v="163"/>
    <n v="2"/>
    <n v="13.9"/>
    <x v="1"/>
    <m/>
    <n v="4"/>
    <m/>
    <n v="22365"/>
    <s v="CELESTE"/>
    <n v="14"/>
    <n v="0"/>
    <n v="0"/>
    <n v="13.855"/>
    <n v="13.9"/>
    <n v="85"/>
    <n v="163.52941176470588"/>
    <x v="10"/>
    <x v="0"/>
    <n v="42"/>
    <n v="1"/>
    <n v="13.583333333333334"/>
  </r>
  <r>
    <d v="2025-11-03T08:00:00"/>
    <s v="SOPLADO"/>
    <x v="12"/>
    <x v="241"/>
    <s v="GABRIEL REQUENA"/>
    <m/>
    <m/>
    <m/>
    <s v="FLORERO ROMANO PASTEL"/>
    <s v="FLORERO ROMANO PASTEL-TURQUESA"/>
    <n v="190"/>
    <n v="3"/>
    <n v="17.100000000000001"/>
    <x v="1"/>
    <m/>
    <n v="5"/>
    <m/>
    <n v="22365"/>
    <s v="TURQUESA"/>
    <n v="21.2"/>
    <n v="0"/>
    <n v="0"/>
    <n v="16.149999999999999"/>
    <n v="17.100000000000001"/>
    <n v="85"/>
    <n v="201.1764705882353"/>
    <x v="10"/>
    <x v="0"/>
    <n v="42"/>
    <n v="1"/>
    <n v="15.833333333333334"/>
  </r>
  <r>
    <d v="2025-11-03T08:00:00"/>
    <s v="SOPLADO"/>
    <x v="12"/>
    <x v="241"/>
    <s v="GABRIEL REQUENA"/>
    <m/>
    <m/>
    <m/>
    <s v="FLORERO ROMANO PASTEL"/>
    <s v="FLORERO ROMANO PASTEL-ROSADO"/>
    <n v="159"/>
    <n v="2"/>
    <n v="13.7"/>
    <x v="1"/>
    <m/>
    <n v="4"/>
    <m/>
    <n v="22365"/>
    <s v="ROSADO"/>
    <n v="15.4"/>
    <n v="0"/>
    <n v="0"/>
    <n v="13.515000000000001"/>
    <n v="13.7"/>
    <n v="85"/>
    <n v="161.1764705882353"/>
    <x v="10"/>
    <x v="0"/>
    <n v="42"/>
    <n v="1"/>
    <n v="13.25"/>
  </r>
  <r>
    <d v="2025-11-03T08:00:00"/>
    <s v="SOPLADO"/>
    <x v="12"/>
    <x v="241"/>
    <s v="GABRIEL REQUENA"/>
    <m/>
    <m/>
    <m/>
    <s v="FLORERO ROMANO PASTEL"/>
    <s v="FLORERO ROMANO PASTEL-LILA"/>
    <n v="133"/>
    <n v="2"/>
    <n v="11.5"/>
    <x v="1"/>
    <m/>
    <n v="3"/>
    <m/>
    <n v="22365"/>
    <s v="LILA"/>
    <n v="14.9"/>
    <n v="0"/>
    <n v="0"/>
    <n v="11.305"/>
    <n v="11.5"/>
    <n v="85"/>
    <n v="135.29411764705881"/>
    <x v="10"/>
    <x v="0"/>
    <n v="42"/>
    <n v="1"/>
    <n v="11.083333333333334"/>
  </r>
  <r>
    <d v="2025-11-03T08:00:00"/>
    <s v="SOPLADO"/>
    <x v="12"/>
    <x v="241"/>
    <s v="GABRIEL REQUENA"/>
    <m/>
    <m/>
    <m/>
    <s v="FLORERO ROMANO PASTEL"/>
    <s v="FLORERO ROMANO PASTEL-MELON"/>
    <n v="45"/>
    <n v="1"/>
    <n v="3.9"/>
    <x v="1"/>
    <m/>
    <n v="1"/>
    <m/>
    <n v="22365"/>
    <s v="MELON"/>
    <n v="7.9"/>
    <n v="0"/>
    <n v="0"/>
    <n v="3.8250000000000002"/>
    <n v="3.9"/>
    <n v="85"/>
    <n v="45.882352941176471"/>
    <x v="10"/>
    <x v="0"/>
    <n v="42"/>
    <n v="1"/>
    <n v="3.75"/>
  </r>
  <r>
    <d v="2025-11-03T08:00:00"/>
    <s v="SOPLADO"/>
    <x v="11"/>
    <x v="252"/>
    <s v="NELSON PINEDO"/>
    <m/>
    <m/>
    <m/>
    <s v="TOMATODO 350ML"/>
    <s v="TOMATODO 350ML-TRANSPARENTE"/>
    <n v="1846"/>
    <n v="11"/>
    <n v="59.1"/>
    <x v="0"/>
    <m/>
    <n v="5"/>
    <m/>
    <n v="20997"/>
    <s v="TRANSPARENTE"/>
    <n v="36.4"/>
    <n v="0"/>
    <n v="0"/>
    <n v="114.452"/>
    <n v="59.1"/>
    <n v="62"/>
    <n v="953.22580645161293"/>
    <x v="10"/>
    <x v="0"/>
    <n v="40"/>
    <n v="2"/>
    <n v="307.66666666666669"/>
  </r>
  <r>
    <d v="2025-11-03T08:00:00"/>
    <s v="SOPLADO"/>
    <x v="11"/>
    <x v="253"/>
    <s v="NELSON/CRISALIDA"/>
    <m/>
    <m/>
    <m/>
    <s v="TOMATODO 350ML"/>
    <s v="TOMATODO 350ML-TRANSPARENTE"/>
    <n v="2127"/>
    <n v="12"/>
    <n v="70.2"/>
    <x v="0"/>
    <m/>
    <n v="8"/>
    <m/>
    <n v="20998"/>
    <s v="TRANSPARENTE"/>
    <n v="22.6"/>
    <n v="0"/>
    <n v="0"/>
    <n v="131.874"/>
    <n v="70.2"/>
    <n v="62"/>
    <n v="1132.258064516129"/>
    <x v="10"/>
    <x v="0"/>
    <n v="40"/>
    <n v="2"/>
    <n v="354.5"/>
  </r>
  <r>
    <d v="2025-11-03T08:00:00"/>
    <s v="SOPLADO"/>
    <x v="11"/>
    <x v="253"/>
    <s v="GABRIEL REQUENA"/>
    <m/>
    <m/>
    <m/>
    <s v="TOMATODO 350ML"/>
    <s v="TOMATODO 350ML-TRANSPARENTE"/>
    <n v="2334"/>
    <n v="12"/>
    <n v="74.7"/>
    <x v="1"/>
    <m/>
    <n v="8"/>
    <m/>
    <n v="20999"/>
    <s v="TRANSPARENTE"/>
    <n v="38.299999999999997"/>
    <n v="0"/>
    <n v="0"/>
    <n v="144.708"/>
    <n v="74.7"/>
    <n v="62"/>
    <n v="1204.8387096774193"/>
    <x v="10"/>
    <x v="0"/>
    <n v="40"/>
    <n v="2"/>
    <n v="389"/>
  </r>
  <r>
    <d v="2025-11-03T08:00:00"/>
    <s v="SOPLADO"/>
    <x v="11"/>
    <x v="254"/>
    <s v="CRISALIDA ZAPATA"/>
    <m/>
    <m/>
    <m/>
    <s v="TOMATODO 350ML"/>
    <s v="TOMATODO 350ML-TRANSPARENTE"/>
    <n v="2239"/>
    <n v="12"/>
    <n v="73.900000000000006"/>
    <x v="0"/>
    <m/>
    <n v="8"/>
    <m/>
    <n v="21000"/>
    <s v="TRANSPARENTE"/>
    <n v="41.3"/>
    <n v="0"/>
    <n v="0"/>
    <n v="138.81800000000001"/>
    <n v="73.900000000000006"/>
    <n v="62"/>
    <n v="1191.9354838709678"/>
    <x v="10"/>
    <x v="0"/>
    <n v="40"/>
    <n v="2"/>
    <n v="373.16666666666669"/>
  </r>
  <r>
    <d v="2025-11-03T08:00:00"/>
    <s v="SOPLADO"/>
    <x v="11"/>
    <x v="254"/>
    <s v="GABRIEL REQUENA"/>
    <m/>
    <m/>
    <m/>
    <s v="TOMATODO 350ML"/>
    <s v="TOMATODO 350ML-TRANSPARENTE"/>
    <n v="78"/>
    <n v="1"/>
    <n v="2.6"/>
    <x v="1"/>
    <m/>
    <n v="1"/>
    <m/>
    <n v="23201"/>
    <s v="TRANSPARENTE"/>
    <n v="0"/>
    <n v="0"/>
    <n v="0"/>
    <n v="4.8360000000000003"/>
    <n v="2.6"/>
    <n v="62"/>
    <n v="41.935483870967744"/>
    <x v="10"/>
    <x v="0"/>
    <n v="40"/>
    <n v="2"/>
    <n v="13"/>
  </r>
  <r>
    <d v="2025-11-03T08:00:00"/>
    <s v="SOPLADO"/>
    <x v="11"/>
    <x v="254"/>
    <s v="GABRIEL REQUENA"/>
    <m/>
    <m/>
    <m/>
    <s v="TOMATODO 350ML"/>
    <s v="TOMATODO 350ML PASTEL-CELESTE"/>
    <n v="1225"/>
    <n v="8"/>
    <n v="38"/>
    <x v="1"/>
    <m/>
    <n v="4"/>
    <m/>
    <n v="23201"/>
    <s v="CELESTE"/>
    <n v="35.200000000000003"/>
    <n v="0"/>
    <n v="0"/>
    <n v="35.524999999999999"/>
    <n v="38"/>
    <n v="29"/>
    <n v="1310.344827586207"/>
    <x v="10"/>
    <x v="0"/>
    <n v="40"/>
    <n v="1"/>
    <n v="102.08333333333333"/>
  </r>
  <r>
    <d v="2025-11-03T08:00:00"/>
    <s v="SOPLADO"/>
    <x v="11"/>
    <x v="254"/>
    <s v="GABRIEL REQUENA"/>
    <m/>
    <m/>
    <m/>
    <s v="TOMATODO 350ML"/>
    <s v="TOMATODO 350ML PASTEL-AZURE"/>
    <n v="528"/>
    <n v="3"/>
    <n v="16.899999999999999"/>
    <x v="1"/>
    <m/>
    <n v="2"/>
    <m/>
    <n v="23201"/>
    <s v="AZURE"/>
    <n v="11.3"/>
    <n v="0"/>
    <n v="0"/>
    <n v="15.311999999999999"/>
    <n v="16.899999999999999"/>
    <n v="29"/>
    <n v="582.75862068965512"/>
    <x v="10"/>
    <x v="0"/>
    <n v="40"/>
    <n v="1"/>
    <n v="44"/>
  </r>
  <r>
    <d v="2025-11-03T08:00:00"/>
    <s v="SOPLADO"/>
    <x v="11"/>
    <x v="250"/>
    <s v="CRISALIDA ZAPATA"/>
    <m/>
    <m/>
    <m/>
    <s v="TOMATODO 350ML"/>
    <s v="TOMATODO 350ML PASTEL-AZURE"/>
    <n v="638"/>
    <n v="4"/>
    <n v="19.8"/>
    <x v="0"/>
    <m/>
    <n v="3"/>
    <m/>
    <n v="23202"/>
    <s v="AZURE"/>
    <n v="27.4"/>
    <n v="0"/>
    <n v="0"/>
    <n v="18.501999999999999"/>
    <n v="19.8"/>
    <n v="29"/>
    <n v="682.75862068965512"/>
    <x v="10"/>
    <x v="0"/>
    <n v="40"/>
    <n v="1"/>
    <n v="53.166666666666664"/>
  </r>
  <r>
    <d v="2025-11-03T08:00:00"/>
    <s v="SOPLADO"/>
    <x v="11"/>
    <x v="250"/>
    <s v="CRISALIDA ZAPATA"/>
    <m/>
    <m/>
    <m/>
    <s v="TOMATODO 350ML"/>
    <s v="TOMATODO 350ML PASTEL-LILA"/>
    <n v="674"/>
    <n v="4"/>
    <n v="20.9"/>
    <x v="0"/>
    <m/>
    <n v="2"/>
    <m/>
    <n v="23202"/>
    <s v="LILA"/>
    <n v="12.9"/>
    <n v="0"/>
    <n v="0"/>
    <n v="19.545999999999999"/>
    <n v="20.9"/>
    <n v="29"/>
    <n v="720.68965517241384"/>
    <x v="10"/>
    <x v="0"/>
    <n v="40"/>
    <n v="1"/>
    <n v="56.166666666666664"/>
  </r>
  <r>
    <d v="2025-11-03T08:00:00"/>
    <s v="SOPLADO"/>
    <x v="11"/>
    <x v="250"/>
    <s v="CRISALIDA ZAPATA"/>
    <m/>
    <m/>
    <m/>
    <s v="TOMATODO 350ML"/>
    <s v="TOMATODO 350ML PASTEL-ROSADO"/>
    <n v="25"/>
    <n v="1"/>
    <n v="0.8"/>
    <x v="0"/>
    <m/>
    <n v="1"/>
    <m/>
    <n v="23202"/>
    <s v="ROSADO"/>
    <n v="8.1999999999999993"/>
    <n v="0"/>
    <n v="0"/>
    <n v="0.72499999999999998"/>
    <n v="0.8"/>
    <n v="29"/>
    <n v="27.586206896551722"/>
    <x v="10"/>
    <x v="0"/>
    <n v="40"/>
    <n v="1"/>
    <n v="2.0833333333333335"/>
  </r>
  <r>
    <d v="2025-11-03T08:00:00"/>
    <s v="SOPLADO"/>
    <x v="11"/>
    <x v="250"/>
    <s v="CRISALIDA ZAPATA"/>
    <m/>
    <m/>
    <m/>
    <s v="TOMATODO 350ML"/>
    <s v="TOMATODO 350ML-TRANSPARENTE"/>
    <n v="100"/>
    <n v="2"/>
    <n v="3.1"/>
    <x v="0"/>
    <m/>
    <n v="1"/>
    <m/>
    <n v="23202"/>
    <s v="TRANSPARENTE"/>
    <n v="0"/>
    <n v="0"/>
    <n v="0"/>
    <n v="6.2"/>
    <n v="3.1"/>
    <n v="62"/>
    <n v="50"/>
    <x v="10"/>
    <x v="0"/>
    <n v="40"/>
    <n v="2"/>
    <n v="16.666666666666668"/>
  </r>
  <r>
    <d v="2025-11-03T08:00:00"/>
    <s v="SOPLADO"/>
    <x v="11"/>
    <x v="250"/>
    <s v="JOSDER GONZALEZ"/>
    <m/>
    <m/>
    <m/>
    <s v="TOMATODO 350ML"/>
    <s v="TOMATODO 350ML PASTEL-LILA"/>
    <n v="506"/>
    <n v="3"/>
    <n v="16.2"/>
    <x v="1"/>
    <m/>
    <n v="2"/>
    <m/>
    <n v="23203"/>
    <s v="LILA"/>
    <n v="16.7"/>
    <n v="0"/>
    <n v="0"/>
    <n v="14.673999999999999"/>
    <n v="16.2"/>
    <n v="29"/>
    <n v="558.62068965517244"/>
    <x v="10"/>
    <x v="0"/>
    <n v="40"/>
    <n v="1"/>
    <n v="42.166666666666664"/>
  </r>
  <r>
    <d v="2025-11-03T08:00:00"/>
    <s v="SOPLADO"/>
    <x v="11"/>
    <x v="250"/>
    <s v="JOSDER GONZALEZ"/>
    <m/>
    <m/>
    <m/>
    <s v="TOMATODO 350ML"/>
    <s v="TOMATODO 350ML PASTEL-ROSADO"/>
    <n v="1137"/>
    <n v="8"/>
    <n v="36.4"/>
    <x v="1"/>
    <m/>
    <n v="4"/>
    <m/>
    <n v="23203"/>
    <s v="ROSADO"/>
    <n v="34"/>
    <n v="0"/>
    <n v="0"/>
    <n v="32.972999999999999"/>
    <n v="36.4"/>
    <n v="29"/>
    <n v="1255.1724137931035"/>
    <x v="10"/>
    <x v="0"/>
    <n v="40"/>
    <n v="1"/>
    <n v="94.75"/>
  </r>
  <r>
    <d v="2025-11-03T08:00:00"/>
    <s v="SOPLADO"/>
    <x v="11"/>
    <x v="250"/>
    <s v="JOSDER GONZALEZ"/>
    <m/>
    <m/>
    <m/>
    <s v="TOMATODO 350ML"/>
    <s v="TOMATODO 350ML PASTEL-SANDIA"/>
    <n v="43"/>
    <n v="1"/>
    <n v="1.4"/>
    <x v="1"/>
    <m/>
    <n v="1"/>
    <m/>
    <n v="23203"/>
    <s v="SANDIA"/>
    <n v="1.4"/>
    <n v="0"/>
    <n v="0"/>
    <n v="1.2470000000000001"/>
    <n v="1.4"/>
    <n v="29"/>
    <n v="48.275862068965516"/>
    <x v="10"/>
    <x v="0"/>
    <n v="40"/>
    <n v="1"/>
    <n v="3.5833333333333335"/>
  </r>
  <r>
    <d v="2025-11-03T08:00:00"/>
    <s v="SOPLADO"/>
    <x v="11"/>
    <x v="231"/>
    <s v="CRISALIDA ZAPATA"/>
    <m/>
    <m/>
    <m/>
    <s v="TOMATODO 350ML"/>
    <s v="TOMATODO 350ML PASTEL-SANDIA"/>
    <n v="1159"/>
    <n v="7"/>
    <n v="37.1"/>
    <x v="0"/>
    <m/>
    <n v="5"/>
    <m/>
    <n v="23204"/>
    <s v="SANDIA"/>
    <n v="26.8"/>
    <n v="0"/>
    <n v="0"/>
    <n v="33.610999999999997"/>
    <n v="37.1"/>
    <n v="29"/>
    <n v="1279.3103448275863"/>
    <x v="10"/>
    <x v="0"/>
    <n v="41"/>
    <n v="1"/>
    <n v="96.583333333333329"/>
  </r>
  <r>
    <d v="2025-11-03T08:00:00"/>
    <s v="SOPLADO"/>
    <x v="11"/>
    <x v="231"/>
    <s v="CRISALIDA ZAPATA"/>
    <m/>
    <m/>
    <m/>
    <s v="TOMATODO 350ML"/>
    <s v="TOMATODO 350ML PASTEL-TURQUESA"/>
    <n v="484"/>
    <n v="3"/>
    <n v="15.5"/>
    <x v="0"/>
    <m/>
    <n v="2"/>
    <m/>
    <n v="23204"/>
    <s v="TURQUESA"/>
    <n v="6.1"/>
    <n v="0"/>
    <n v="0"/>
    <n v="14.036"/>
    <n v="15.5"/>
    <n v="29"/>
    <n v="534.48275862068965"/>
    <x v="10"/>
    <x v="0"/>
    <n v="41"/>
    <n v="1"/>
    <n v="40.333333333333336"/>
  </r>
  <r>
    <d v="2025-11-03T08:00:00"/>
    <s v="SOPLADO"/>
    <x v="11"/>
    <x v="231"/>
    <s v="JOSDER GONZALEZ"/>
    <m/>
    <m/>
    <m/>
    <s v="TOMATODO 350ML"/>
    <s v="TOMATODO 350ML PASTEL-TURQUESA"/>
    <n v="918"/>
    <n v="6"/>
    <n v="29.4"/>
    <x v="1"/>
    <m/>
    <n v="4"/>
    <m/>
    <n v="23205"/>
    <s v="TURQUESA"/>
    <n v="33.700000000000003"/>
    <n v="0"/>
    <n v="0"/>
    <n v="26.622"/>
    <n v="29.4"/>
    <n v="29"/>
    <n v="1013.7931034482758"/>
    <x v="10"/>
    <x v="0"/>
    <n v="41"/>
    <n v="1"/>
    <n v="76.5"/>
  </r>
  <r>
    <d v="2025-11-03T08:00:00"/>
    <s v="SOPLADO"/>
    <x v="11"/>
    <x v="231"/>
    <s v="JOSDER GONZALEZ"/>
    <m/>
    <m/>
    <m/>
    <s v="TOMATODO 350ML"/>
    <s v="TOMATODO 350ML PASTEL-ROSADO"/>
    <n v="759"/>
    <n v="4"/>
    <n v="24.3"/>
    <x v="1"/>
    <m/>
    <n v="3"/>
    <m/>
    <n v="23205"/>
    <s v="ROSADO"/>
    <n v="20.7"/>
    <n v="0"/>
    <n v="0"/>
    <n v="22.010999999999999"/>
    <n v="24.3"/>
    <n v="29"/>
    <n v="837.93103448275861"/>
    <x v="10"/>
    <x v="0"/>
    <n v="41"/>
    <n v="1"/>
    <n v="63.25"/>
  </r>
  <r>
    <d v="2025-11-03T08:00:00"/>
    <s v="SOPLADO"/>
    <x v="11"/>
    <x v="231"/>
    <s v="JOSDER GONZALEZ"/>
    <m/>
    <m/>
    <m/>
    <s v="TOMATODO 350ML"/>
    <s v="TOMATODO 350ML PASTEL-LILA"/>
    <n v="121"/>
    <n v="1"/>
    <n v="3.9"/>
    <x v="1"/>
    <m/>
    <n v="1"/>
    <m/>
    <n v="23205"/>
    <s v="LILA"/>
    <n v="2.6"/>
    <n v="0"/>
    <n v="0"/>
    <n v="3.5089999999999999"/>
    <n v="3.9"/>
    <n v="29"/>
    <n v="134.48275862068965"/>
    <x v="10"/>
    <x v="0"/>
    <n v="41"/>
    <n v="1"/>
    <n v="10.083333333333334"/>
  </r>
  <r>
    <d v="2025-11-03T08:00:00"/>
    <s v="SOPLADO"/>
    <x v="11"/>
    <x v="232"/>
    <s v="LEONOR GUTIERREZ"/>
    <m/>
    <m/>
    <m/>
    <s v="TOMATODO 350ML"/>
    <s v="TOMATODO 350ML PASTEL-LILA"/>
    <n v="651"/>
    <n v="4"/>
    <n v="20.2"/>
    <x v="0"/>
    <m/>
    <n v="3"/>
    <m/>
    <n v="23206"/>
    <s v="LILA"/>
    <n v="19"/>
    <n v="0"/>
    <n v="0"/>
    <n v="18.879000000000001"/>
    <n v="20.2"/>
    <n v="29"/>
    <n v="696.55172413793105"/>
    <x v="10"/>
    <x v="0"/>
    <n v="41"/>
    <n v="1"/>
    <n v="54.25"/>
  </r>
  <r>
    <d v="2025-11-03T08:00:00"/>
    <s v="SOPLADO"/>
    <x v="11"/>
    <x v="232"/>
    <s v="CRISALIDA ZAPATA"/>
    <m/>
    <m/>
    <m/>
    <s v="TOMATODO 350ML"/>
    <s v="TOMATODO 350ML PASTEL-TURQUESA"/>
    <n v="551"/>
    <n v="4"/>
    <n v="17.100000000000001"/>
    <x v="0"/>
    <m/>
    <n v="3"/>
    <m/>
    <n v="23206"/>
    <s v="TURQUESA"/>
    <n v="26.7"/>
    <n v="0"/>
    <n v="0"/>
    <n v="15.978999999999999"/>
    <n v="17.100000000000001"/>
    <n v="29"/>
    <n v="589.65517241379314"/>
    <x v="10"/>
    <x v="0"/>
    <n v="41"/>
    <n v="1"/>
    <n v="45.916666666666664"/>
  </r>
  <r>
    <d v="2025-11-03T08:00:00"/>
    <s v="SOPLADO"/>
    <x v="11"/>
    <x v="232"/>
    <s v="CRISALIDA ZAPATA"/>
    <m/>
    <m/>
    <m/>
    <s v="TOMATODO 350ML"/>
    <s v="TOMATODO 350ML PASTEL-CELESTE"/>
    <n v="419"/>
    <n v="3"/>
    <n v="13"/>
    <x v="0"/>
    <m/>
    <n v="2"/>
    <m/>
    <n v="23206"/>
    <s v="CELESTE"/>
    <n v="9.6"/>
    <n v="0"/>
    <n v="0"/>
    <n v="12.151"/>
    <n v="13"/>
    <n v="29"/>
    <n v="448.27586206896552"/>
    <x v="10"/>
    <x v="0"/>
    <n v="41"/>
    <n v="1"/>
    <n v="34.916666666666664"/>
  </r>
  <r>
    <d v="2025-11-03T08:00:00"/>
    <s v="SOPLADO"/>
    <x v="9"/>
    <x v="233"/>
    <s v="GABRIEL REQUENA"/>
    <m/>
    <m/>
    <m/>
    <s v="FLORERO AMERICANO"/>
    <s v="FLORERO AMERICANO-BLANCO"/>
    <n v="333"/>
    <n v="10"/>
    <n v="28"/>
    <x v="1"/>
    <m/>
    <n v="4"/>
    <m/>
    <n v="21491"/>
    <s v="BLANCO"/>
    <n v="0"/>
    <n v="0"/>
    <n v="0"/>
    <n v="24.641999999999999"/>
    <n v="28"/>
    <n v="74"/>
    <n v="378.37837837837839"/>
    <x v="10"/>
    <x v="0"/>
    <n v="41"/>
    <n v="1"/>
    <n v="27.75"/>
  </r>
  <r>
    <d v="2025-11-03T08:00:00"/>
    <s v="SOPLADO"/>
    <x v="9"/>
    <x v="234"/>
    <s v="GABRIEL REQUENA"/>
    <m/>
    <m/>
    <m/>
    <s v="FLORERO AMERICANO"/>
    <s v="FLORERO AMERICANO-BLANCO"/>
    <n v="697"/>
    <n v="11"/>
    <n v="58.6"/>
    <x v="1"/>
    <m/>
    <n v="8"/>
    <m/>
    <n v="21492"/>
    <s v="BLANCO"/>
    <n v="61"/>
    <n v="0"/>
    <n v="0"/>
    <n v="51.578000000000003"/>
    <n v="58.6"/>
    <n v="74"/>
    <n v="791.89189189189187"/>
    <x v="10"/>
    <x v="0"/>
    <n v="41"/>
    <n v="1"/>
    <n v="58.083333333333336"/>
  </r>
  <r>
    <d v="2025-11-03T08:00:00"/>
    <s v="SOPLADO"/>
    <x v="9"/>
    <x v="235"/>
    <s v="LUIS RENGIFO"/>
    <m/>
    <m/>
    <m/>
    <s v="FLORERO AMERICANO"/>
    <s v="FLORERO AMERICANO-BLANCO"/>
    <n v="919"/>
    <n v="9"/>
    <n v="77.2"/>
    <x v="0"/>
    <m/>
    <n v="8"/>
    <m/>
    <n v="21493"/>
    <s v="BLANCO"/>
    <n v="75.7"/>
    <n v="0"/>
    <n v="0"/>
    <n v="68.006"/>
    <n v="77.2"/>
    <n v="74"/>
    <n v="1043.2432432432433"/>
    <x v="10"/>
    <x v="0"/>
    <n v="41"/>
    <n v="1"/>
    <n v="76.583333333333329"/>
  </r>
  <r>
    <d v="2025-11-03T08:00:00"/>
    <s v="SOPLADO"/>
    <x v="9"/>
    <x v="242"/>
    <s v="GABRIEL REQUENA"/>
    <m/>
    <m/>
    <m/>
    <s v="SALSERO MULTIUSO 600 ML"/>
    <s v="SALSERO MULTIUSO 600ML-TRANSPARENTE"/>
    <n v="1305"/>
    <n v="12"/>
    <n v="52.2"/>
    <x v="1"/>
    <m/>
    <n v="7"/>
    <m/>
    <n v="21494"/>
    <s v="TRANSPARENTE"/>
    <n v="27.8"/>
    <n v="0"/>
    <n v="0"/>
    <n v="52.2"/>
    <n v="52.2"/>
    <n v="40"/>
    <n v="1305"/>
    <x v="10"/>
    <x v="0"/>
    <n v="43"/>
    <n v="1"/>
    <n v="108.75"/>
  </r>
  <r>
    <d v="2025-11-03T08:00:00"/>
    <s v="SOPLADO"/>
    <x v="9"/>
    <x v="255"/>
    <s v="SAID VILLAMIZAR"/>
    <m/>
    <m/>
    <m/>
    <s v="SALSERO MULTIUSO 600 ML"/>
    <s v="SALSERO MULTIUSO 600ML-TRANSPARENTE"/>
    <n v="1270"/>
    <n v="11"/>
    <n v="51.1"/>
    <x v="0"/>
    <m/>
    <n v="9"/>
    <m/>
    <n v="21495"/>
    <s v="TRANSPARENTE"/>
    <n v="23.2"/>
    <n v="0"/>
    <n v="0"/>
    <n v="50.8"/>
    <n v="51.1"/>
    <n v="40"/>
    <n v="1277.5"/>
    <x v="10"/>
    <x v="0"/>
    <n v="43"/>
    <n v="1"/>
    <n v="105.83333333333333"/>
  </r>
  <r>
    <d v="2025-11-03T08:00:00"/>
    <s v="SOPLADO"/>
    <x v="9"/>
    <x v="255"/>
    <s v="ISABEL LINARIZ "/>
    <m/>
    <m/>
    <m/>
    <s v="SALSERO MULTIUSO 600 ML"/>
    <s v="SALSERO MULTIUSO 600ML-TRANSPARENTE"/>
    <n v="1405"/>
    <n v="12"/>
    <n v="56.2"/>
    <x v="1"/>
    <m/>
    <n v="8"/>
    <m/>
    <n v="21496"/>
    <s v="TRANSPARENTE"/>
    <n v="25.3"/>
    <n v="0"/>
    <n v="0"/>
    <n v="56.2"/>
    <n v="56.2"/>
    <n v="40"/>
    <n v="1405"/>
    <x v="10"/>
    <x v="0"/>
    <n v="43"/>
    <n v="1"/>
    <n v="117.08333333333333"/>
  </r>
  <r>
    <d v="2025-11-03T08:00:00"/>
    <s v="SOPLADO"/>
    <x v="12"/>
    <x v="242"/>
    <s v="NELSON PINEDO"/>
    <m/>
    <m/>
    <m/>
    <s v="FLORERO ROMANO PASTEL"/>
    <s v="FLORERO ROMANO PASTEL-CELESTE"/>
    <n v="57"/>
    <n v="1"/>
    <n v="4.8"/>
    <x v="0"/>
    <m/>
    <n v="1"/>
    <m/>
    <n v="22366"/>
    <s v="CELESTE"/>
    <n v="11.8"/>
    <n v="0"/>
    <n v="0"/>
    <n v="4.8449999999999998"/>
    <n v="4.8"/>
    <n v="85"/>
    <n v="56.470588235294116"/>
    <x v="10"/>
    <x v="0"/>
    <n v="43"/>
    <n v="1"/>
    <n v="4.75"/>
  </r>
  <r>
    <d v="2025-11-03T08:00:00"/>
    <s v="SOPLADO"/>
    <x v="12"/>
    <x v="242"/>
    <s v="NELSON PINEDO"/>
    <m/>
    <m/>
    <m/>
    <s v="FLORERO ROMANO PASTEL"/>
    <s v="FLORERO ROMANO PASTEL-ROSADO"/>
    <n v="64"/>
    <n v="1"/>
    <n v="5.4"/>
    <x v="0"/>
    <m/>
    <n v="1"/>
    <m/>
    <n v="22366"/>
    <s v="ROSADO"/>
    <n v="8.4"/>
    <n v="0"/>
    <n v="0"/>
    <n v="5.44"/>
    <n v="5.4"/>
    <n v="85"/>
    <n v="63.529411764705884"/>
    <x v="10"/>
    <x v="0"/>
    <n v="43"/>
    <n v="1"/>
    <n v="5.333333333333333"/>
  </r>
  <r>
    <d v="2025-11-03T08:00:00"/>
    <s v="SOPLADO"/>
    <x v="12"/>
    <x v="242"/>
    <s v="NELSON PINEDO"/>
    <m/>
    <m/>
    <m/>
    <s v="FLORERO ROMANO PASTEL"/>
    <s v="FLORERO ROMANO PASTEL-LILA"/>
    <n v="89"/>
    <n v="1"/>
    <n v="7.5"/>
    <x v="0"/>
    <m/>
    <n v="2"/>
    <m/>
    <n v="22366"/>
    <s v="LILA"/>
    <n v="10.6"/>
    <n v="0"/>
    <n v="0"/>
    <n v="7.5650000000000004"/>
    <n v="7.5"/>
    <n v="85"/>
    <n v="88.235294117647058"/>
    <x v="10"/>
    <x v="0"/>
    <n v="43"/>
    <n v="1"/>
    <n v="7.416666666666667"/>
  </r>
  <r>
    <d v="2025-11-03T08:00:00"/>
    <s v="SOPLADO"/>
    <x v="12"/>
    <x v="256"/>
    <s v="NELSON PINEDO"/>
    <m/>
    <m/>
    <m/>
    <s v="SALSERO MULTIUSO 480 ML"/>
    <s v="SALSERO MULTIUSO 480ML-TRANSPARENTE"/>
    <n v="390"/>
    <n v="3"/>
    <n v="13.5"/>
    <x v="0"/>
    <m/>
    <n v="2"/>
    <m/>
    <n v="22367"/>
    <s v="TRANSPARENTE"/>
    <n v="0"/>
    <n v="0"/>
    <n v="0"/>
    <n v="14.82"/>
    <n v="13.5"/>
    <n v="38"/>
    <n v="355.26315789473682"/>
    <x v="10"/>
    <x v="0"/>
    <n v="43"/>
    <n v="1"/>
    <n v="32.5"/>
  </r>
  <r>
    <d v="2025-11-03T08:00:00"/>
    <s v="SOPLADO"/>
    <x v="12"/>
    <x v="256"/>
    <s v="GABRIEL REQUENA"/>
    <m/>
    <m/>
    <m/>
    <s v="SALSERO MULTIUSO 480 ML"/>
    <s v="SALSERO MULTIUSO 480ML-TRANSPARENTE"/>
    <n v="1678"/>
    <n v="12"/>
    <n v="59.4"/>
    <x v="1"/>
    <m/>
    <n v="9"/>
    <m/>
    <n v="22368"/>
    <s v="TRANSPARENTE"/>
    <n v="32.1"/>
    <n v="0"/>
    <n v="0"/>
    <n v="63.764000000000003"/>
    <n v="59.4"/>
    <n v="38"/>
    <n v="1563.1578947368421"/>
    <x v="10"/>
    <x v="0"/>
    <n v="43"/>
    <n v="1"/>
    <n v="139.83333333333334"/>
  </r>
  <r>
    <d v="2025-11-03T08:00:00"/>
    <s v="SOPLADO"/>
    <x v="12"/>
    <x v="257"/>
    <s v="SAID VILLAMIZAR"/>
    <m/>
    <m/>
    <m/>
    <s v="SALSERO MULTIUSO 480 ML"/>
    <s v="SALSERO MULTIUSO 480ML-TRANSPARENTE"/>
    <n v="1552"/>
    <n v="11"/>
    <n v="55.9"/>
    <x v="0"/>
    <m/>
    <n v="8"/>
    <m/>
    <n v="22369"/>
    <s v="TRANSPARENTE"/>
    <n v="0"/>
    <n v="0"/>
    <n v="0"/>
    <n v="58.975999999999999"/>
    <n v="55.9"/>
    <n v="38"/>
    <n v="1471.0526315789473"/>
    <x v="10"/>
    <x v="0"/>
    <n v="43"/>
    <n v="1"/>
    <n v="129.33333333333334"/>
  </r>
  <r>
    <d v="2025-11-03T08:00:00"/>
    <s v="INYECTADO"/>
    <x v="5"/>
    <x v="252"/>
    <s v="JUAN MANUEL "/>
    <m/>
    <m/>
    <m/>
    <s v="ASAS ORGANIZADOR 2 Y 3 SOLIDO"/>
    <s v="ASAS DE ORGANIZADOR 2 Y 3-AMARILLO"/>
    <n v="312"/>
    <n v="2"/>
    <n v="10"/>
    <x v="1"/>
    <m/>
    <n v="2"/>
    <n v="1227"/>
    <n v="22531"/>
    <s v="AMARILLO"/>
    <n v="5.0999999999999996"/>
    <n v="0"/>
    <n v="0"/>
    <n v="3.4319999999999999"/>
    <n v="10"/>
    <n v="11"/>
    <n v="909.09090909090912"/>
    <x v="10"/>
    <x v="0"/>
    <n v="40"/>
    <n v="3"/>
    <n v="78"/>
  </r>
  <r>
    <d v="2025-11-03T08:00:00"/>
    <s v="INYECTADO"/>
    <x v="5"/>
    <x v="252"/>
    <s v="JUAN MANUEL "/>
    <m/>
    <m/>
    <m/>
    <s v="ASAS ORGANIZADOR 2 Y 3 SOLIDO"/>
    <s v="ASAS DE ORGANIZADOR 2 Y 3-FUCSIA"/>
    <n v="912"/>
    <n v="10"/>
    <n v="29.2"/>
    <x v="1"/>
    <m/>
    <n v="4"/>
    <n v="1227"/>
    <n v="22531"/>
    <s v="ROSADO"/>
    <n v="10.7"/>
    <n v="0"/>
    <n v="0"/>
    <n v="10.032"/>
    <n v="29.2"/>
    <n v="11"/>
    <n v="2654.5454545454545"/>
    <x v="10"/>
    <x v="0"/>
    <n v="40"/>
    <n v="3"/>
    <n v="228"/>
  </r>
  <r>
    <d v="2025-11-03T08:00:00"/>
    <s v="INYECTADO"/>
    <x v="5"/>
    <x v="253"/>
    <s v="ANGIE VALDERRAMA"/>
    <m/>
    <m/>
    <m/>
    <s v="ASAS ORGANIZADOR 2 Y 3 SOLIDO"/>
    <s v="ASAS DE ORGANIZADOR 2 Y 3-AZUL"/>
    <n v="1125"/>
    <n v="9"/>
    <n v="36"/>
    <x v="0"/>
    <m/>
    <n v="3"/>
    <n v="1227"/>
    <n v="22532"/>
    <s v="AZUL"/>
    <n v="10.6"/>
    <n v="0"/>
    <n v="0"/>
    <n v="12.375"/>
    <n v="36"/>
    <n v="11"/>
    <n v="3272.7272727272725"/>
    <x v="10"/>
    <x v="0"/>
    <n v="40"/>
    <n v="3"/>
    <n v="281.25"/>
  </r>
  <r>
    <d v="2025-11-03T08:00:00"/>
    <s v="INYECTADO"/>
    <x v="5"/>
    <x v="253"/>
    <s v="ANGIE VALDERRAMA"/>
    <m/>
    <m/>
    <m/>
    <s v="ASAS ORGANIZADOR 2 Y 3 SOLIDO"/>
    <s v="ASAS DE ORGANIZADOR 2 Y 3-VERDE"/>
    <n v="246"/>
    <n v="2"/>
    <n v="7.9"/>
    <x v="0"/>
    <m/>
    <n v="2"/>
    <n v="1227"/>
    <n v="22532"/>
    <s v="VERDE"/>
    <n v="7.5"/>
    <n v="0"/>
    <n v="0"/>
    <n v="2.706"/>
    <n v="7.9"/>
    <n v="11"/>
    <n v="718.18181818181813"/>
    <x v="10"/>
    <x v="0"/>
    <n v="40"/>
    <n v="3"/>
    <n v="61.5"/>
  </r>
  <r>
    <d v="2025-11-03T08:00:00"/>
    <s v="INYECTADO"/>
    <x v="5"/>
    <x v="253"/>
    <s v="MARJORIE VILCHEZ"/>
    <m/>
    <m/>
    <m/>
    <s v="ASAS ORGANIZADOR 2 Y 3 SOLIDO"/>
    <s v="ASAS DE ORGANIZADOR 2 Y 3-VERDE"/>
    <n v="1062"/>
    <n v="8"/>
    <n v="34"/>
    <x v="1"/>
    <m/>
    <n v="5"/>
    <n v="1227"/>
    <n v="22533"/>
    <s v="VERDE"/>
    <n v="5.5"/>
    <n v="0"/>
    <n v="0"/>
    <n v="11.682"/>
    <n v="34"/>
    <n v="11"/>
    <n v="3090.909090909091"/>
    <x v="10"/>
    <x v="0"/>
    <n v="40"/>
    <n v="3"/>
    <n v="265.5"/>
  </r>
  <r>
    <d v="2025-11-03T08:00:00"/>
    <s v="INYECTADO"/>
    <x v="5"/>
    <x v="253"/>
    <s v="MARJORIE VILCHEZ"/>
    <m/>
    <m/>
    <m/>
    <s v="ASAS ORGANIZADOR 2 Y 3 SOLIDO"/>
    <s v="ASAS DE ORGANIZADOR 2 Y 3-LILA"/>
    <n v="434"/>
    <n v="4"/>
    <n v="13.9"/>
    <x v="1"/>
    <m/>
    <n v="2"/>
    <n v="1227"/>
    <n v="22533"/>
    <s v="LILA"/>
    <n v="5.5"/>
    <n v="0"/>
    <n v="0"/>
    <n v="4.774"/>
    <n v="13.9"/>
    <n v="11"/>
    <n v="1263.6363636363637"/>
    <x v="10"/>
    <x v="0"/>
    <n v="40"/>
    <n v="3"/>
    <n v="108.5"/>
  </r>
  <r>
    <d v="2025-11-03T08:00:00"/>
    <s v="INYECTADO"/>
    <x v="5"/>
    <x v="254"/>
    <s v="DANIEL"/>
    <m/>
    <m/>
    <m/>
    <s v="ASAS ORGANIZADOR 2 Y 3 SOLIDO"/>
    <s v="ASAS DE ORGANIZADOR 2 Y 3-LILA"/>
    <n v="653"/>
    <n v="6"/>
    <n v="20.9"/>
    <x v="0"/>
    <m/>
    <n v="3"/>
    <n v="1227"/>
    <n v="22534"/>
    <s v="LILA"/>
    <n v="0"/>
    <n v="0"/>
    <n v="0"/>
    <n v="7.1829999999999998"/>
    <n v="20.9"/>
    <n v="11"/>
    <n v="1900"/>
    <x v="10"/>
    <x v="0"/>
    <n v="40"/>
    <n v="3"/>
    <n v="163.25"/>
  </r>
  <r>
    <d v="2025-11-03T08:00:00"/>
    <s v="INYECTADO"/>
    <x v="5"/>
    <x v="254"/>
    <s v="DANIEL"/>
    <m/>
    <m/>
    <m/>
    <s v="ASAS ORGANIZADOR 2 Y 3 SOLIDO"/>
    <s v="ASAS DE ORGANIZADOR 2 Y 3-ROJO"/>
    <n v="600"/>
    <n v="5"/>
    <n v="18.2"/>
    <x v="0"/>
    <m/>
    <n v="3"/>
    <n v="1227"/>
    <n v="22534"/>
    <s v="ROJO"/>
    <n v="0"/>
    <n v="0"/>
    <n v="0"/>
    <n v="6.6"/>
    <n v="18.2"/>
    <n v="11"/>
    <n v="1654.5454545454545"/>
    <x v="10"/>
    <x v="0"/>
    <n v="40"/>
    <n v="3"/>
    <n v="150"/>
  </r>
  <r>
    <d v="2025-11-03T08:00:00"/>
    <s v="INYECTADO"/>
    <x v="5"/>
    <x v="254"/>
    <s v="MARJORIE VILCHEZ"/>
    <m/>
    <m/>
    <m/>
    <s v="ASAS ORGANIZADOR 2 Y 3 SOLIDO"/>
    <s v="ASAS DE ORGANIZADOR 2 Y 3-ROJO"/>
    <n v="1384"/>
    <n v="8"/>
    <n v="44.3"/>
    <x v="1"/>
    <m/>
    <n v="5"/>
    <n v="1227"/>
    <n v="22535"/>
    <s v="ROJO"/>
    <n v="5.5"/>
    <n v="0"/>
    <n v="0"/>
    <n v="15.224"/>
    <n v="44.3"/>
    <n v="11"/>
    <n v="4027.2727272727275"/>
    <x v="10"/>
    <x v="0"/>
    <n v="40"/>
    <n v="3"/>
    <n v="346"/>
  </r>
  <r>
    <d v="2025-11-03T08:00:00"/>
    <s v="INYECTADO"/>
    <x v="5"/>
    <x v="254"/>
    <s v="MARJORIE VILCHEZ"/>
    <m/>
    <m/>
    <m/>
    <s v="ASAS ORGANIZADOR 2 Y 3 SOLIDO"/>
    <s v="ASAS DE ORGANIZADOR 2 Y 3-FUCSIA"/>
    <n v="481"/>
    <n v="4"/>
    <n v="15.4"/>
    <x v="1"/>
    <m/>
    <n v="3"/>
    <n v="1227"/>
    <n v="22535"/>
    <s v="FUCSIA"/>
    <n v="5.5"/>
    <n v="0"/>
    <n v="0"/>
    <n v="5.2910000000000004"/>
    <n v="15.4"/>
    <n v="11"/>
    <n v="1400"/>
    <x v="10"/>
    <x v="0"/>
    <n v="40"/>
    <n v="3"/>
    <n v="120.25"/>
  </r>
  <r>
    <d v="2025-11-03T08:00:00"/>
    <s v="INYECTADO"/>
    <x v="5"/>
    <x v="250"/>
    <s v="DANIEL"/>
    <m/>
    <m/>
    <m/>
    <s v="ASAS ORGANIZADOR 2 Y 3 SOLIDO"/>
    <s v="ASAS DE ORGANIZADOR 2 Y 3-FUCSIA"/>
    <n v="603"/>
    <n v="6"/>
    <n v="19.3"/>
    <x v="0"/>
    <m/>
    <n v="3"/>
    <n v="1227"/>
    <n v="22536"/>
    <s v="FUCSIA"/>
    <n v="0"/>
    <n v="0"/>
    <n v="0"/>
    <n v="6.633"/>
    <n v="19.3"/>
    <n v="11"/>
    <n v="1754.5454545454545"/>
    <x v="10"/>
    <x v="0"/>
    <n v="40"/>
    <n v="3"/>
    <n v="150.75"/>
  </r>
  <r>
    <d v="2025-11-03T08:00:00"/>
    <s v="INYECTADO"/>
    <x v="5"/>
    <x v="250"/>
    <s v="DANIEL"/>
    <m/>
    <m/>
    <m/>
    <s v="ASAS ORGANIZADOR 2 Y 3 SOLIDO"/>
    <s v="ASAS DE ORGANIZADOR 2 Y 3-AMARILLO"/>
    <n v="565"/>
    <n v="5"/>
    <n v="18.100000000000001"/>
    <x v="0"/>
    <m/>
    <n v="3"/>
    <n v="1227"/>
    <n v="22536"/>
    <s v="AMARILLO"/>
    <n v="0"/>
    <n v="0"/>
    <n v="0"/>
    <n v="6.2149999999999999"/>
    <n v="18.100000000000001"/>
    <n v="11"/>
    <n v="1645.4545454545455"/>
    <x v="10"/>
    <x v="0"/>
    <n v="40"/>
    <n v="3"/>
    <n v="141.25"/>
  </r>
  <r>
    <d v="2025-11-03T08:00:00"/>
    <s v="INYECTADO"/>
    <x v="5"/>
    <x v="231"/>
    <s v="ANGIE VALDERRAMA"/>
    <m/>
    <m/>
    <m/>
    <s v="ASAS ORGANIZADOR 2 Y 3 SOLIDO"/>
    <s v="ASAS DE ORGANIZADOR 2 Y 3-AMARILLO"/>
    <n v="1221"/>
    <n v="9"/>
    <n v="39.1"/>
    <x v="0"/>
    <m/>
    <n v="4"/>
    <n v="1227"/>
    <n v="22537"/>
    <s v="AMARILLO"/>
    <n v="17.5"/>
    <n v="0"/>
    <n v="0"/>
    <n v="13.430999999999999"/>
    <n v="39.1"/>
    <n v="11"/>
    <n v="3554.5454545454545"/>
    <x v="10"/>
    <x v="0"/>
    <n v="41"/>
    <n v="3"/>
    <n v="305.25"/>
  </r>
  <r>
    <d v="2025-11-03T08:00:00"/>
    <s v="INYECTADO"/>
    <x v="5"/>
    <x v="231"/>
    <s v="ANGIE VALDERRAMA"/>
    <m/>
    <m/>
    <m/>
    <s v="ASAS ORGANIZADOR 2 Y 3 SOLIDO"/>
    <s v="ASAS DE ORGANIZADOR 2 Y 3-VERDE"/>
    <n v="91"/>
    <n v="1"/>
    <n v="2.9"/>
    <x v="0"/>
    <m/>
    <n v="1"/>
    <n v="1227"/>
    <n v="22537"/>
    <s v="VERDE"/>
    <n v="1.6"/>
    <n v="0"/>
    <n v="0"/>
    <n v="1.0009999999999999"/>
    <n v="2.9"/>
    <n v="11"/>
    <n v="263.63636363636363"/>
    <x v="10"/>
    <x v="0"/>
    <n v="41"/>
    <n v="3"/>
    <n v="22.75"/>
  </r>
  <r>
    <d v="2025-11-03T08:00:00"/>
    <s v="INYECTADO"/>
    <x v="5"/>
    <x v="232"/>
    <s v="JUANA CRUCES"/>
    <m/>
    <m/>
    <m/>
    <s v="ASAS ORGANIZADOR 2 Y 3 SOLIDO"/>
    <s v="ASAS DE ORGANIZADOR 2 Y 3-AZUL"/>
    <m/>
    <m/>
    <m/>
    <x v="2"/>
    <m/>
    <m/>
    <n v="1227"/>
    <n v="22538"/>
    <s v="AZUL"/>
    <n v="2"/>
    <n v="0"/>
    <n v="0"/>
    <n v="0"/>
    <s v="Octubre"/>
    <n v="11"/>
    <n v="0"/>
    <x v="10"/>
    <x v="0"/>
    <n v="41"/>
    <n v="3"/>
    <n v="0"/>
  </r>
  <r>
    <d v="2025-11-03T08:00:00"/>
    <s v="INYECTADO"/>
    <x v="5"/>
    <x v="258"/>
    <s v="JULIO "/>
    <m/>
    <m/>
    <m/>
    <s v="ASAS ORGANIZADOR 2 Y 3 SOLIDO"/>
    <s v="ASAS DE ORGANIZADOR 2 Y 3-AZUL"/>
    <n v="937"/>
    <n v="6"/>
    <n v="30"/>
    <x v="0"/>
    <m/>
    <n v="4"/>
    <n v="1227"/>
    <n v="22548"/>
    <s v="AZUL"/>
    <n v="12.9"/>
    <n v="0"/>
    <n v="0"/>
    <n v="10.307"/>
    <n v="30"/>
    <n v="11"/>
    <n v="2727.2727272727275"/>
    <x v="10"/>
    <x v="0"/>
    <n v="42"/>
    <n v="3"/>
    <n v="234.25"/>
  </r>
  <r>
    <d v="2025-11-03T08:00:00"/>
    <s v="INYECTADO"/>
    <x v="5"/>
    <x v="258"/>
    <s v="JULIO "/>
    <m/>
    <m/>
    <m/>
    <s v="ASAS ORGANIZADOR 2 Y 3 SOLIDO"/>
    <s v="ASAS DE ORGANIZADOR 2 Y 3-ROJO"/>
    <n v="56"/>
    <n v="1"/>
    <n v="1.8"/>
    <x v="0"/>
    <m/>
    <n v="1"/>
    <n v="1227"/>
    <n v="22548"/>
    <s v="ROJO"/>
    <n v="2.7"/>
    <n v="0"/>
    <n v="0"/>
    <n v="0.61599999999999999"/>
    <n v="1.8"/>
    <n v="11"/>
    <n v="163.63636363636363"/>
    <x v="10"/>
    <x v="0"/>
    <n v="42"/>
    <n v="3"/>
    <n v="14"/>
  </r>
  <r>
    <d v="2025-11-03T08:00:00"/>
    <s v="INYECTADO"/>
    <x v="5"/>
    <x v="258"/>
    <s v="JUAN MANUEL "/>
    <m/>
    <m/>
    <m/>
    <s v="ASAS ORGANIZADOR 2 Y 3 SOLIDO"/>
    <s v="ASAS DE ORGANIZADOR 2 Y 3-ROJO"/>
    <n v="965"/>
    <n v="9"/>
    <n v="30.9"/>
    <x v="1"/>
    <m/>
    <n v="3"/>
    <n v="1227"/>
    <n v="22549"/>
    <s v="ROJO"/>
    <n v="15.5"/>
    <n v="0"/>
    <n v="0"/>
    <n v="10.615"/>
    <n v="30.9"/>
    <n v="11"/>
    <n v="2809.090909090909"/>
    <x v="10"/>
    <x v="0"/>
    <n v="42"/>
    <n v="3"/>
    <n v="241.25"/>
  </r>
  <r>
    <d v="2025-11-03T08:00:00"/>
    <s v="INYECTADO"/>
    <x v="5"/>
    <x v="258"/>
    <s v="JUAN MANUEL "/>
    <m/>
    <m/>
    <m/>
    <s v="ASAS ORGANIZADOR 2 Y 3 PASTEL"/>
    <s v="ASAS DE ORGANIZADOR 2 Y 3-FUCSIA"/>
    <n v="296"/>
    <n v="3"/>
    <n v="9.5"/>
    <x v="1"/>
    <m/>
    <n v="2"/>
    <n v="1227"/>
    <n v="22549"/>
    <s v="FUCSIA"/>
    <n v="0"/>
    <n v="0"/>
    <n v="0"/>
    <n v="3.2559999999999998"/>
    <n v="9.5"/>
    <n v="11"/>
    <n v="863.63636363636363"/>
    <x v="10"/>
    <x v="0"/>
    <n v="42"/>
    <n v="3"/>
    <n v="74"/>
  </r>
  <r>
    <d v="2025-11-03T08:00:00"/>
    <s v="INYECTADO"/>
    <x v="4"/>
    <x v="244"/>
    <s v="ANGIE VALDERRAMA"/>
    <m/>
    <m/>
    <m/>
    <s v="ASAS CARGA ORG 5,10,15"/>
    <s v="ASAS CARGA ORG 5,10,15-PLOMO"/>
    <n v="1079"/>
    <n v="10"/>
    <n v="42"/>
    <x v="0"/>
    <m/>
    <n v="3"/>
    <n v="1289"/>
    <n v="20484"/>
    <s v="PLOMO"/>
    <n v="6.3"/>
    <n v="0"/>
    <n v="0"/>
    <e v="#N/A"/>
    <n v="42"/>
    <e v="#N/A"/>
    <n v="0"/>
    <x v="10"/>
    <x v="0"/>
    <n v="43"/>
    <e v="#N/A"/>
    <e v="#N/A"/>
  </r>
  <r>
    <d v="2025-11-03T08:00:00"/>
    <s v="INYECTADO"/>
    <x v="4"/>
    <x v="245"/>
    <s v="CARLOS SULCA"/>
    <m/>
    <m/>
    <m/>
    <s v="ASAS CARGA ORG 5,10,15"/>
    <s v="ASAS CARGA ORG 5,10,15-PLOMO"/>
    <n v="900"/>
    <n v="8"/>
    <n v="35.1"/>
    <x v="0"/>
    <m/>
    <n v="3"/>
    <n v="1289"/>
    <n v="20485"/>
    <s v="PLOMO"/>
    <n v="0"/>
    <n v="0"/>
    <n v="0"/>
    <e v="#N/A"/>
    <n v="35.1"/>
    <e v="#N/A"/>
    <n v="0"/>
    <x v="10"/>
    <x v="0"/>
    <n v="44"/>
    <e v="#N/A"/>
    <e v="#N/A"/>
  </r>
  <r>
    <d v="2025-11-03T08:00:00"/>
    <s v="INYECTADO"/>
    <x v="4"/>
    <x v="245"/>
    <s v="CARLOS SULCA"/>
    <m/>
    <m/>
    <m/>
    <s v="ASAS CARGA ORG 5,10,15"/>
    <s v="ASAS CARGA ORG 5,10,15-PLOMO"/>
    <n v="341"/>
    <n v="3"/>
    <n v="13.3"/>
    <x v="3"/>
    <m/>
    <n v="2"/>
    <n v="1289"/>
    <n v="20486"/>
    <s v="PLOMO"/>
    <n v="10.8"/>
    <n v="0"/>
    <n v="0"/>
    <e v="#N/A"/>
    <n v="13.3"/>
    <e v="#N/A"/>
    <n v="0"/>
    <x v="10"/>
    <x v="0"/>
    <n v="44"/>
    <e v="#N/A"/>
    <e v="#N/A"/>
  </r>
  <r>
    <d v="2025-11-03T08:00:00"/>
    <s v="INYECTADO"/>
    <x v="0"/>
    <x v="252"/>
    <s v="ANGIE VALDERRAMA"/>
    <m/>
    <m/>
    <m/>
    <s v="TAPA TOMATODO DOBLE CLICK SOLIDO"/>
    <s v="TAPA TOMATODO DOBLE CLICK-FUCSIA"/>
    <n v="362"/>
    <n v="7"/>
    <n v="63.7"/>
    <x v="0"/>
    <m/>
    <n v="6"/>
    <m/>
    <n v="21774"/>
    <s v="FUCSIA"/>
    <n v="11.5"/>
    <n v="0"/>
    <n v="0"/>
    <n v="8.0146800000000002"/>
    <n v="63.7"/>
    <n v="22.14"/>
    <n v="2877.1454381210478"/>
    <x v="10"/>
    <x v="0"/>
    <n v="40"/>
    <n v="7"/>
    <n v="211.16666666666666"/>
  </r>
  <r>
    <d v="2025-11-03T08:00:00"/>
    <s v="INYECTADO"/>
    <x v="0"/>
    <x v="252"/>
    <s v="ANGIE VALDERRAMA"/>
    <m/>
    <m/>
    <m/>
    <s v="TAPA TOMATODO DOBLE CLICK SOLIDO"/>
    <s v="TAPA TOMATODO DOBLE CLICK-LILA"/>
    <n v="127"/>
    <n v="2"/>
    <n v="22.3"/>
    <x v="0"/>
    <m/>
    <n v="3"/>
    <m/>
    <n v="21774"/>
    <s v="LILA"/>
    <n v="3.1"/>
    <n v="0"/>
    <n v="0"/>
    <n v="2.8117800000000002"/>
    <n v="22.3"/>
    <n v="22.14"/>
    <n v="1007.226738934056"/>
    <x v="10"/>
    <x v="0"/>
    <n v="40"/>
    <n v="7"/>
    <n v="74.083333333333329"/>
  </r>
  <r>
    <d v="2025-11-03T08:00:00"/>
    <s v="INYECTADO"/>
    <x v="0"/>
    <x v="252"/>
    <s v="ISABEL LINARIZ "/>
    <m/>
    <m/>
    <m/>
    <s v="TAPA TOMATODO DOBLE CLICK SOLIDO"/>
    <s v="TAPA TOMATODO DOBLE CLICK-LILA"/>
    <n v="112"/>
    <n v="2"/>
    <n v="19.5"/>
    <x v="1"/>
    <m/>
    <n v="2"/>
    <m/>
    <n v="21775"/>
    <s v="LILA"/>
    <n v="5.3"/>
    <n v="0"/>
    <n v="0"/>
    <n v="2.4796800000000001"/>
    <n v="19.5"/>
    <n v="22.14"/>
    <n v="880.75880758807591"/>
    <x v="10"/>
    <x v="0"/>
    <n v="40"/>
    <n v="7"/>
    <n v="65.333333333333329"/>
  </r>
  <r>
    <d v="2025-11-03T08:00:00"/>
    <s v="INYECTADO"/>
    <x v="0"/>
    <x v="252"/>
    <s v="ISABEL LINARIZ "/>
    <m/>
    <m/>
    <m/>
    <s v="TAPA TOMATODO DOBLE CLICK SOLIDO"/>
    <s v="TAPA TOMATODO DOBLE CLICK-AMARILLO"/>
    <n v="235"/>
    <n v="4"/>
    <n v="41.3"/>
    <x v="1"/>
    <m/>
    <n v="4"/>
    <m/>
    <n v="21775"/>
    <s v="AMARILLO"/>
    <n v="5.6"/>
    <n v="0"/>
    <n v="0"/>
    <n v="5.2029000000000005"/>
    <n v="41.3"/>
    <n v="22.14"/>
    <n v="1865.4019873532068"/>
    <x v="10"/>
    <x v="0"/>
    <n v="40"/>
    <n v="7"/>
    <n v="137.08333333333334"/>
  </r>
  <r>
    <d v="2025-11-03T08:00:00"/>
    <s v="INYECTADO"/>
    <x v="0"/>
    <x v="252"/>
    <s v="ISABEL LINARIZ "/>
    <m/>
    <m/>
    <m/>
    <s v="TAPA TOMATODO DOBLE CLICK SOLIDO"/>
    <s v="TAPA TOMATODO DOBLE CLICK-VERDE"/>
    <n v="242"/>
    <n v="4"/>
    <n v="42.2"/>
    <x v="1"/>
    <m/>
    <n v="5"/>
    <m/>
    <n v="21775"/>
    <s v="VERDE"/>
    <n v="7.3"/>
    <n v="0"/>
    <n v="0"/>
    <n v="5.3578799999999998"/>
    <n v="42.2"/>
    <n v="22.14"/>
    <n v="1906.0523938572719"/>
    <x v="10"/>
    <x v="0"/>
    <n v="40"/>
    <n v="7"/>
    <n v="141.16666666666666"/>
  </r>
  <r>
    <d v="2025-11-03T08:00:00"/>
    <s v="INYECTADO"/>
    <x v="0"/>
    <x v="252"/>
    <s v="ISABEL LINARIZ "/>
    <m/>
    <m/>
    <m/>
    <s v="TAPA TOMATODO DOBLE CLICK SOLIDO"/>
    <s v="TAPA TOMATODO DOBLE CLICK-ANARANJADO"/>
    <n v="73"/>
    <n v="1"/>
    <n v="12.8"/>
    <x v="1"/>
    <m/>
    <n v="2"/>
    <m/>
    <n v="21775"/>
    <s v="ANARANJADO"/>
    <n v="0"/>
    <n v="0"/>
    <n v="0"/>
    <n v="1.61622"/>
    <n v="12.8"/>
    <n v="22.14"/>
    <n v="578.13911472448058"/>
    <x v="10"/>
    <x v="0"/>
    <n v="40"/>
    <n v="7"/>
    <n v="42.583333333333336"/>
  </r>
  <r>
    <d v="2025-11-03T08:00:00"/>
    <s v="INYECTADO"/>
    <x v="0"/>
    <x v="253"/>
    <s v="BRAYAN PINEDO"/>
    <m/>
    <m/>
    <m/>
    <s v="TAPA TOMATODO DOBLE CLICK SOLIDO"/>
    <s v="TAPA TOMATODO DOBLE CLICK-ANARANJADO"/>
    <n v="166"/>
    <n v="3"/>
    <n v="29.2"/>
    <x v="0"/>
    <m/>
    <n v="3"/>
    <m/>
    <n v="21776"/>
    <s v="ANARANJADO"/>
    <n v="10.5"/>
    <n v="0"/>
    <n v="0"/>
    <n v="3.6752400000000001"/>
    <n v="29.2"/>
    <n v="22.14"/>
    <n v="1318.8798554652212"/>
    <x v="10"/>
    <x v="0"/>
    <n v="40"/>
    <n v="7"/>
    <n v="96.833333333333329"/>
  </r>
  <r>
    <d v="2025-11-03T08:00:00"/>
    <s v="INYECTADO"/>
    <x v="0"/>
    <x v="253"/>
    <s v="BRAYAN PINEDO"/>
    <m/>
    <m/>
    <m/>
    <s v="TAPA TOMATODO DOBLE CLICK SOLIDO"/>
    <s v="TAPA TOMATODO DOBLE CLICK-TURQUESA"/>
    <n v="455"/>
    <n v="8"/>
    <n v="80"/>
    <x v="0"/>
    <m/>
    <n v="8"/>
    <m/>
    <n v="21776"/>
    <s v="TURQUESA"/>
    <n v="10.9"/>
    <n v="0"/>
    <n v="0"/>
    <n v="10.073700000000001"/>
    <n v="80"/>
    <n v="22.14"/>
    <n v="3613.3694670280033"/>
    <x v="10"/>
    <x v="0"/>
    <n v="40"/>
    <n v="7"/>
    <n v="265.41666666666669"/>
  </r>
  <r>
    <d v="2025-11-03T08:00:00"/>
    <s v="INYECTADO"/>
    <x v="0"/>
    <x v="254"/>
    <s v="KARLA HUISA"/>
    <m/>
    <m/>
    <m/>
    <s v="TAPA TOMATODO DOBLE CLICK SOLIDO"/>
    <s v="TAPA TOMATODO DOBLE CLICK-TURQUESA"/>
    <n v="267"/>
    <n v="5"/>
    <n v="47.2"/>
    <x v="0"/>
    <m/>
    <n v="4"/>
    <m/>
    <n v="21777"/>
    <s v="TURQUESA"/>
    <n v="12.2"/>
    <n v="0"/>
    <n v="0"/>
    <n v="5.9113800000000003"/>
    <n v="47.2"/>
    <n v="22.14"/>
    <n v="2131.887985546522"/>
    <x v="10"/>
    <x v="0"/>
    <n v="40"/>
    <n v="7"/>
    <n v="155.75"/>
  </r>
  <r>
    <d v="2025-11-03T08:00:00"/>
    <s v="INYECTADO"/>
    <x v="0"/>
    <x v="254"/>
    <s v="KARLA HUISA"/>
    <m/>
    <m/>
    <m/>
    <s v="TAPA TOMATODO DOBLE CLICK SOLIDO"/>
    <s v="TAPA TOMATODO DOBLE CLICK-AMARILLO"/>
    <n v="187"/>
    <n v="4"/>
    <n v="41.4"/>
    <x v="0"/>
    <m/>
    <n v="3"/>
    <m/>
    <n v="21777"/>
    <s v="AMARILLO"/>
    <n v="5.4"/>
    <n v="0"/>
    <n v="0"/>
    <n v="4.14018"/>
    <n v="41.4"/>
    <n v="22.14"/>
    <n v="1869.9186991869917"/>
    <x v="10"/>
    <x v="0"/>
    <n v="40"/>
    <n v="7"/>
    <n v="109.08333333333333"/>
  </r>
  <r>
    <d v="2025-11-03T08:00:00"/>
    <s v="INYECTADO"/>
    <x v="0"/>
    <x v="254"/>
    <s v="JOSDER GONZALEZ"/>
    <m/>
    <m/>
    <m/>
    <s v="TAPA TOMATODO DOBLE CLICK SOLIDO"/>
    <s v="TAPA TOMATODO DOBLE CLICK-AMARILLO"/>
    <n v="298"/>
    <n v="5"/>
    <n v="52.7"/>
    <x v="1"/>
    <m/>
    <n v="5"/>
    <m/>
    <n v="21778"/>
    <s v="AMARILLO"/>
    <n v="6.3"/>
    <n v="0"/>
    <n v="0"/>
    <n v="6.5977200000000007"/>
    <n v="52.7"/>
    <n v="22.14"/>
    <n v="2380.3071364046973"/>
    <x v="10"/>
    <x v="0"/>
    <n v="40"/>
    <n v="7"/>
    <n v="173.83333333333334"/>
  </r>
  <r>
    <d v="2025-11-03T08:00:00"/>
    <s v="INYECTADO"/>
    <x v="0"/>
    <x v="254"/>
    <s v="JOSDER GONZALEZ"/>
    <m/>
    <m/>
    <m/>
    <s v="TAPA TOMATODO DOBLE CLICK SOLIDO"/>
    <s v="TAPA TOMATODO DOBLE CLICK-ANARANJADO"/>
    <n v="341"/>
    <n v="6"/>
    <n v="60.3"/>
    <x v="1"/>
    <m/>
    <n v="8"/>
    <m/>
    <n v="21778"/>
    <s v="ANARANJADO"/>
    <n v="8.1"/>
    <n v="0"/>
    <n v="0"/>
    <n v="7.5497399999999999"/>
    <n v="60.3"/>
    <n v="22.14"/>
    <n v="2723.5772357723577"/>
    <x v="10"/>
    <x v="0"/>
    <n v="40"/>
    <n v="7"/>
    <n v="198.91666666666666"/>
  </r>
  <r>
    <d v="2025-11-03T08:00:00"/>
    <s v="INYECTADO"/>
    <x v="0"/>
    <x v="250"/>
    <s v="NELSON PINEDO"/>
    <m/>
    <m/>
    <m/>
    <s v="TAPA TOMATODO DOBLE CLICK SOLIDO"/>
    <s v="TAPA TOMATODO DOBLE CLICK-ANARANJADO"/>
    <n v="251"/>
    <n v="2"/>
    <n v="44.5"/>
    <x v="0"/>
    <m/>
    <n v="6"/>
    <m/>
    <n v="21779"/>
    <s v="ANARANJADO"/>
    <n v="5.0999999999999996"/>
    <n v="0"/>
    <n v="0"/>
    <n v="5.5571400000000004"/>
    <n v="44.5"/>
    <n v="22.14"/>
    <n v="2009.9367660343269"/>
    <x v="10"/>
    <x v="0"/>
    <n v="40"/>
    <n v="7"/>
    <n v="146.41666666666666"/>
  </r>
  <r>
    <d v="2025-11-03T08:00:00"/>
    <s v="INYECTADO"/>
    <x v="0"/>
    <x v="250"/>
    <s v="NELSON PINEDO"/>
    <m/>
    <m/>
    <m/>
    <s v="TAPA TOMATODO DOBLE CLICK SOLIDO"/>
    <s v="TAPA TOMATODO DOBLE CLICK-FUCSIA"/>
    <n v="489"/>
    <n v="8"/>
    <n v="86.5"/>
    <x v="0"/>
    <m/>
    <n v="8"/>
    <m/>
    <n v="21779"/>
    <s v="FUCSIA"/>
    <n v="14.6"/>
    <n v="0"/>
    <n v="0"/>
    <n v="10.826460000000001"/>
    <n v="86.5"/>
    <n v="22.14"/>
    <n v="3906.9557362240289"/>
    <x v="10"/>
    <x v="0"/>
    <n v="40"/>
    <n v="7"/>
    <n v="285.25"/>
  </r>
  <r>
    <d v="2025-11-03T08:00:00"/>
    <s v="INYECTADO"/>
    <x v="0"/>
    <x v="234"/>
    <s v="KARLA HUISA"/>
    <m/>
    <m/>
    <m/>
    <s v="TAPA TOMATODO DOBLE CLICK SOLIDO"/>
    <s v="TAPA TOMATODO DOBLE CLICK-VERDE"/>
    <n v="119"/>
    <n v="2"/>
    <n v="21"/>
    <x v="0"/>
    <m/>
    <n v="3"/>
    <m/>
    <n v="21780"/>
    <s v="VERDE"/>
    <n v="9.6999999999999993"/>
    <n v="0"/>
    <n v="0"/>
    <n v="2.6346599999999998"/>
    <n v="21"/>
    <n v="22.14"/>
    <n v="948.5094850948509"/>
    <x v="10"/>
    <x v="0"/>
    <n v="41"/>
    <n v="7"/>
    <n v="69.416666666666671"/>
  </r>
  <r>
    <d v="2025-11-03T08:00:00"/>
    <s v="INYECTADO"/>
    <x v="0"/>
    <x v="234"/>
    <s v="KARLA HUISA"/>
    <m/>
    <m/>
    <m/>
    <s v="TAPA TOMATODO DOBLE CLICK SOLIDO"/>
    <s v="TAPA TOMATODO DOBLE CLICK-LILA"/>
    <n v="417"/>
    <n v="8"/>
    <n v="73.900000000000006"/>
    <x v="0"/>
    <m/>
    <n v="8"/>
    <m/>
    <n v="21780"/>
    <s v="LILA"/>
    <n v="10.199999999999999"/>
    <n v="0"/>
    <n v="0"/>
    <n v="9.2323800000000009"/>
    <n v="73.900000000000006"/>
    <n v="22.14"/>
    <n v="3337.8500451671184"/>
    <x v="10"/>
    <x v="0"/>
    <n v="41"/>
    <n v="7"/>
    <n v="243.25"/>
  </r>
  <r>
    <d v="2025-11-03T08:00:00"/>
    <s v="INYECTADO"/>
    <x v="0"/>
    <x v="239"/>
    <s v="DAIRETH"/>
    <m/>
    <m/>
    <m/>
    <s v="ORRING ARGOLLA"/>
    <s v="ORRING ARGOLLA-TRANSPARENTE"/>
    <n v="512"/>
    <n v="7"/>
    <n v="8.1999999999999993"/>
    <x v="0"/>
    <m/>
    <n v="3"/>
    <m/>
    <n v="21781"/>
    <s v="TRANSPARENTE"/>
    <n v="8.6"/>
    <n v="0"/>
    <n v="0"/>
    <n v="0.51200000000000001"/>
    <n v="8.1999999999999993"/>
    <n v="1"/>
    <n v="8200"/>
    <x v="10"/>
    <x v="0"/>
    <n v="42"/>
    <n v="16"/>
    <n v="682.66666666666663"/>
  </r>
  <r>
    <d v="2025-11-03T08:00:00"/>
    <s v="INYECTADO"/>
    <x v="0"/>
    <x v="256"/>
    <s v="ISABEL LINARIZ "/>
    <m/>
    <m/>
    <m/>
    <s v="ORRING ARGOLLA"/>
    <s v="ORRING ARGOLLA-TRANSPARENTE"/>
    <n v="687"/>
    <n v="12"/>
    <n v="11"/>
    <x v="1"/>
    <m/>
    <n v="2"/>
    <m/>
    <n v="21785"/>
    <s v="TRANSPARENTE"/>
    <n v="11.1"/>
    <n v="0"/>
    <n v="0"/>
    <n v="0.68700000000000006"/>
    <n v="11"/>
    <n v="1"/>
    <n v="11000"/>
    <x v="10"/>
    <x v="0"/>
    <n v="43"/>
    <n v="16"/>
    <n v="916"/>
  </r>
  <r>
    <d v="2025-11-03T08:00:00"/>
    <s v="INYECTADO"/>
    <x v="0"/>
    <x v="257"/>
    <s v="CRISALIDA ZAPATA"/>
    <m/>
    <m/>
    <m/>
    <s v="ORRING ARGOLLA"/>
    <s v="ORRING ARGOLLA-TRANSPARENTE"/>
    <n v="796"/>
    <n v="11"/>
    <n v="11.6"/>
    <x v="0"/>
    <m/>
    <n v="2"/>
    <m/>
    <n v="21786"/>
    <s v="TRANSPARENTE"/>
    <n v="11.2"/>
    <n v="0"/>
    <n v="0"/>
    <n v="0.79600000000000004"/>
    <n v="11.6"/>
    <n v="1"/>
    <n v="11600"/>
    <x v="10"/>
    <x v="0"/>
    <n v="43"/>
    <n v="16"/>
    <n v="1061.3333333333333"/>
  </r>
  <r>
    <d v="2025-11-03T08:00:00"/>
    <s v="INYECTADO"/>
    <x v="0"/>
    <x v="243"/>
    <s v="ANGIE VALDERRAMA"/>
    <m/>
    <m/>
    <m/>
    <s v="ORRING ARGOLLA"/>
    <s v="ORRING ARGOLLA-TRANSPARENTE"/>
    <n v="80"/>
    <n v="2"/>
    <n v="1.5"/>
    <x v="0"/>
    <m/>
    <n v="1"/>
    <m/>
    <n v="21787"/>
    <s v="TRANSPARENTE"/>
    <n v="0"/>
    <n v="0"/>
    <n v="0"/>
    <n v="0.08"/>
    <n v="1.5"/>
    <n v="1"/>
    <n v="1500"/>
    <x v="10"/>
    <x v="0"/>
    <n v="43"/>
    <n v="16"/>
    <n v="106.66666666666667"/>
  </r>
  <r>
    <d v="2025-11-03T08:00:00"/>
    <s v="INYECTADO"/>
    <x v="0"/>
    <x v="243"/>
    <s v="JOSDER GONZALEZ"/>
    <m/>
    <m/>
    <m/>
    <s v="TAPA ORGANIZADOR DE 5KG"/>
    <s v="TAPA ORGANIZADOR DE 5KG-AMARILLO"/>
    <n v="1260"/>
    <n v="12"/>
    <n v="93.5"/>
    <x v="1"/>
    <m/>
    <n v="11"/>
    <m/>
    <n v="21788"/>
    <s v="AMARILLO"/>
    <n v="3"/>
    <n v="0"/>
    <n v="0"/>
    <n v="119.7"/>
    <n v="93.5"/>
    <n v="95"/>
    <n v="984.21052631578948"/>
    <x v="10"/>
    <x v="0"/>
    <n v="43"/>
    <n v="1"/>
    <n v="105"/>
  </r>
  <r>
    <d v="2025-11-03T08:00:00"/>
    <s v="INYECTADO"/>
    <x v="0"/>
    <x v="244"/>
    <s v="JUANA CRUCES"/>
    <m/>
    <m/>
    <m/>
    <s v="TAPA ORGANIZADOR DE 5KG"/>
    <s v="TAPA ORGANIZADOR DE 5KG-VERDE"/>
    <n v="1274"/>
    <n v="11"/>
    <n v="95.6"/>
    <x v="0"/>
    <m/>
    <n v="11"/>
    <m/>
    <n v="21789"/>
    <s v="VERDE"/>
    <n v="1.4"/>
    <n v="0"/>
    <n v="0"/>
    <n v="121.03"/>
    <n v="95.6"/>
    <n v="95"/>
    <n v="1006.3157894736842"/>
    <x v="10"/>
    <x v="0"/>
    <n v="43"/>
    <n v="1"/>
    <n v="106.16666666666667"/>
  </r>
  <r>
    <d v="2025-11-03T08:00:00"/>
    <s v="INYECTADO"/>
    <x v="0"/>
    <x v="244"/>
    <s v="ISABEL LINARIZ "/>
    <m/>
    <m/>
    <m/>
    <s v="TAPA ORGANIZADOR DE 5KG"/>
    <s v="TAPA ORGANIZADOR DE 5KG-VERDE"/>
    <n v="57"/>
    <n v="1"/>
    <n v="4.2"/>
    <x v="1"/>
    <m/>
    <n v="1"/>
    <m/>
    <n v="21790"/>
    <s v="VERDE"/>
    <n v="0"/>
    <n v="0"/>
    <n v="0"/>
    <n v="5.415"/>
    <n v="4.2"/>
    <n v="95"/>
    <n v="44.210526315789473"/>
    <x v="10"/>
    <x v="0"/>
    <n v="43"/>
    <n v="1"/>
    <n v="4.75"/>
  </r>
  <r>
    <d v="2025-11-03T08:00:00"/>
    <s v="INYECTADO"/>
    <x v="2"/>
    <x v="259"/>
    <s v="MARJORIE VILCHEZ"/>
    <m/>
    <m/>
    <m/>
    <s v="TAPA REPOSTEROS"/>
    <s v="TAPA REPOSTEROS-VERDE"/>
    <n v="509"/>
    <n v="5"/>
    <n v="58.1"/>
    <x v="1"/>
    <m/>
    <n v="6"/>
    <m/>
    <n v="23132"/>
    <s v="VERDE"/>
    <n v="5"/>
    <n v="0"/>
    <n v="0"/>
    <n v="27.486000000000001"/>
    <n v="58.1"/>
    <n v="54"/>
    <n v="1075.9259259259259"/>
    <x v="11"/>
    <x v="3"/>
    <e v="#VALUE!"/>
    <n v="2"/>
    <n v="84.833333333333329"/>
  </r>
  <r>
    <d v="2025-11-03T08:00:00"/>
    <s v="INYECTADO"/>
    <x v="2"/>
    <x v="259"/>
    <s v="MARJORIE VILCHEZ"/>
    <m/>
    <m/>
    <m/>
    <s v="TAPA REPOSTEROS"/>
    <s v="TAPA REPOSTEROS-NARANJA "/>
    <n v="793"/>
    <n v="6"/>
    <n v="90.5"/>
    <x v="1"/>
    <m/>
    <n v="9"/>
    <m/>
    <n v="23132"/>
    <s v="NARANJA"/>
    <n v="5"/>
    <n v="0"/>
    <n v="0"/>
    <e v="#N/A"/>
    <n v="90.5"/>
    <e v="#N/A"/>
    <n v="0"/>
    <x v="11"/>
    <x v="3"/>
    <e v="#VALUE!"/>
    <e v="#N/A"/>
    <e v="#N/A"/>
  </r>
  <r>
    <d v="2025-11-03T08:00:00"/>
    <s v="INYECTADO"/>
    <x v="0"/>
    <x v="244"/>
    <s v="ISABEL LINARIZ "/>
    <m/>
    <m/>
    <m/>
    <s v="TAPA ORGANIZADOR DE 5KG"/>
    <s v="TAPA ORGANIZADOR DE 5KG-TURQUESA"/>
    <n v="1097"/>
    <n v="11"/>
    <n v="82.2"/>
    <x v="1"/>
    <m/>
    <n v="10"/>
    <m/>
    <n v="21790"/>
    <s v="TURQUESA"/>
    <n v="5.5"/>
    <n v="0"/>
    <n v="0"/>
    <n v="104.215"/>
    <n v="82.2"/>
    <n v="95"/>
    <n v="865.26315789473688"/>
    <x v="10"/>
    <x v="0"/>
    <n v="43"/>
    <n v="1"/>
    <n v="91.416666666666671"/>
  </r>
  <r>
    <d v="2025-11-03T08:00:00"/>
    <s v="INYECTADO"/>
    <x v="0"/>
    <x v="245"/>
    <s v="ANGIE VALDERRAMA"/>
    <m/>
    <m/>
    <m/>
    <s v="TAPA ORGANIZADOR DE 5KG"/>
    <s v="TAPA ORGANIZADOR DE 5KG-TURQUESA"/>
    <n v="171"/>
    <n v="2"/>
    <n v="12.8"/>
    <x v="0"/>
    <m/>
    <n v="2"/>
    <m/>
    <n v="21791"/>
    <s v="TURQUESA"/>
    <n v="4.2"/>
    <n v="0"/>
    <n v="0"/>
    <n v="16.245000000000001"/>
    <n v="12.8"/>
    <n v="95"/>
    <n v="134.73684210526315"/>
    <x v="10"/>
    <x v="0"/>
    <n v="44"/>
    <n v="1"/>
    <n v="14.25"/>
  </r>
  <r>
    <d v="2025-11-03T08:00:00"/>
    <s v="INYECTADO"/>
    <x v="0"/>
    <x v="245"/>
    <s v="ANGIE VALDERRAMA"/>
    <m/>
    <m/>
    <m/>
    <s v="TAPA ORGANIZADOR DE 5KG"/>
    <s v="TAPA ORGANIZADOR DE 5KG-ROJO"/>
    <n v="675"/>
    <n v="7"/>
    <n v="50.6"/>
    <x v="0"/>
    <m/>
    <n v="6"/>
    <m/>
    <n v="21791"/>
    <s v="ROJO"/>
    <n v="12.4"/>
    <n v="0"/>
    <n v="0"/>
    <n v="64.125"/>
    <n v="50.6"/>
    <n v="95"/>
    <n v="532.63157894736844"/>
    <x v="10"/>
    <x v="0"/>
    <n v="44"/>
    <n v="1"/>
    <n v="56.25"/>
  </r>
  <r>
    <d v="2025-11-03T08:00:00"/>
    <s v="INYECTADO"/>
    <x v="0"/>
    <x v="245"/>
    <s v="JUAN MANUEL "/>
    <m/>
    <m/>
    <m/>
    <s v="TAPA ORGANIZADOR DE 5KG"/>
    <s v="TAPA ORGANIZADOR DE 5KG-ROJO"/>
    <n v="613"/>
    <n v="6"/>
    <n v="44.7"/>
    <x v="1"/>
    <m/>
    <n v="6"/>
    <m/>
    <n v="21792"/>
    <s v="ROJO"/>
    <n v="5"/>
    <n v="0"/>
    <n v="0"/>
    <n v="58.234999999999999"/>
    <n v="44.7"/>
    <n v="95"/>
    <n v="470.5263157894737"/>
    <x v="10"/>
    <x v="0"/>
    <n v="44"/>
    <n v="1"/>
    <n v="51.083333333333336"/>
  </r>
  <r>
    <d v="2025-11-03T08:00:00"/>
    <s v="INYECTADO"/>
    <x v="0"/>
    <x v="245"/>
    <s v="JUAN MANUEL "/>
    <m/>
    <m/>
    <m/>
    <s v="TAPA ORGANIZADOR DE 5KG"/>
    <s v="TAPA ORGANIZADOR DE 5KG-FUCSIA"/>
    <n v="480"/>
    <n v="6"/>
    <n v="35"/>
    <x v="1"/>
    <m/>
    <n v="4"/>
    <m/>
    <n v="21792"/>
    <s v="FUCSIA"/>
    <n v="1"/>
    <n v="0"/>
    <n v="0"/>
    <n v="45.6"/>
    <n v="35"/>
    <n v="95"/>
    <n v="368.42105263157896"/>
    <x v="10"/>
    <x v="0"/>
    <n v="44"/>
    <n v="1"/>
    <n v="40"/>
  </r>
  <r>
    <d v="2025-11-03T08:00:00"/>
    <s v="INYECTADO"/>
    <x v="6"/>
    <x v="252"/>
    <s v="DANIEL"/>
    <m/>
    <m/>
    <m/>
    <s v="REPOSTERO REAL 6 KG"/>
    <s v="REPOSTERO 6KG -TRANSPARENTE"/>
    <n v="940"/>
    <n v="11"/>
    <n v="197.6"/>
    <x v="0"/>
    <m/>
    <n v="16"/>
    <n v="1224"/>
    <n v="22829"/>
    <s v="TRANSPARENTE"/>
    <n v="0"/>
    <n v="0"/>
    <n v="0"/>
    <n v="198.34"/>
    <n v="197.6"/>
    <n v="211"/>
    <n v="936.49289099526061"/>
    <x v="10"/>
    <x v="0"/>
    <n v="40"/>
    <n v="1"/>
    <n v="78.333333333333329"/>
  </r>
  <r>
    <d v="2025-11-03T08:00:00"/>
    <s v="INYECTADO"/>
    <x v="6"/>
    <x v="252"/>
    <s v="MARJORIE VILCHEZ"/>
    <m/>
    <m/>
    <m/>
    <s v="REPOSTERO REAL 6 KG"/>
    <s v="REPOSTERO 6KG -TRANSPARENTE"/>
    <n v="1076"/>
    <n v="12"/>
    <n v="229.3"/>
    <x v="1"/>
    <m/>
    <n v="18"/>
    <n v="1224"/>
    <n v="22830"/>
    <s v="TRANSPARENTE"/>
    <n v="0"/>
    <n v="0"/>
    <n v="0"/>
    <n v="227.036"/>
    <n v="229.3"/>
    <n v="211"/>
    <n v="1086.7298578199052"/>
    <x v="10"/>
    <x v="0"/>
    <n v="40"/>
    <n v="1"/>
    <n v="89.666666666666671"/>
  </r>
  <r>
    <d v="2025-11-03T08:00:00"/>
    <s v="INYECTADO"/>
    <x v="6"/>
    <x v="253"/>
    <s v="CARLOS SULCA"/>
    <m/>
    <m/>
    <m/>
    <s v="REPOSTERO REAL 6 KG"/>
    <s v="REPOSTERO 6KG -TRANSPARENTE"/>
    <n v="540"/>
    <n v="6"/>
    <n v="115.2"/>
    <x v="0"/>
    <m/>
    <n v="9"/>
    <n v="1224"/>
    <n v="22831"/>
    <s v="TRANSPARENTE"/>
    <n v="0"/>
    <n v="0"/>
    <n v="0"/>
    <n v="113.94"/>
    <n v="115.2"/>
    <n v="211"/>
    <n v="545.97156398104266"/>
    <x v="10"/>
    <x v="0"/>
    <n v="40"/>
    <n v="1"/>
    <n v="45"/>
  </r>
  <r>
    <d v="2025-11-03T08:00:00"/>
    <s v="INYECTADO"/>
    <x v="6"/>
    <x v="253"/>
    <s v="JOSDER GONZALEZ"/>
    <m/>
    <m/>
    <m/>
    <s v="VASO MUNDO MANZANITA"/>
    <s v="VASO MUNDO MANZANITA CARAMELO-VERDE"/>
    <n v="383"/>
    <n v="4"/>
    <n v="50.2"/>
    <x v="1"/>
    <m/>
    <n v="5"/>
    <n v="1224"/>
    <n v="22832"/>
    <s v="VERDE"/>
    <n v="2.5"/>
    <n v="0"/>
    <n v="0"/>
    <n v="8.4260000000000002"/>
    <n v="50.2"/>
    <n v="22"/>
    <n v="2281.818181818182"/>
    <x v="10"/>
    <x v="0"/>
    <n v="40"/>
    <n v="6"/>
    <n v="191.5"/>
  </r>
  <r>
    <d v="2025-11-03T08:00:00"/>
    <s v="INYECTADO"/>
    <x v="6"/>
    <x v="253"/>
    <s v="JOSDER GONZALEZ"/>
    <m/>
    <m/>
    <m/>
    <s v="VASO MUNDO MANZANITA"/>
    <s v="VASO MUNDO MANZANITA CARAMELO-ANARANJADO"/>
    <n v="384"/>
    <n v="4"/>
    <n v="50.4"/>
    <x v="1"/>
    <m/>
    <n v="6"/>
    <n v="1224"/>
    <n v="22832"/>
    <s v="ANARANJADO"/>
    <n v="2.4"/>
    <n v="0"/>
    <n v="0"/>
    <n v="8.4480000000000004"/>
    <n v="50.4"/>
    <n v="22"/>
    <n v="2290.909090909091"/>
    <x v="10"/>
    <x v="0"/>
    <n v="40"/>
    <n v="6"/>
    <n v="192"/>
  </r>
  <r>
    <d v="2025-11-03T08:00:00"/>
    <s v="INYECTADO"/>
    <x v="6"/>
    <x v="253"/>
    <s v="JOSDER GONZALEZ"/>
    <m/>
    <m/>
    <m/>
    <s v="VASO MUNDO MANZANITA"/>
    <s v="VASO MUNDO MANZANITA CARAMELO-AZUL"/>
    <n v="261"/>
    <n v="3"/>
    <n v="34.299999999999997"/>
    <x v="1"/>
    <m/>
    <n v="4"/>
    <n v="1224"/>
    <n v="22832"/>
    <s v="AZUL"/>
    <n v="0"/>
    <n v="0"/>
    <n v="0"/>
    <n v="5.742"/>
    <n v="34.299999999999997"/>
    <n v="22"/>
    <n v="1559.090909090909"/>
    <x v="10"/>
    <x v="0"/>
    <n v="40"/>
    <n v="6"/>
    <n v="130.5"/>
  </r>
  <r>
    <d v="2025-11-03T08:00:00"/>
    <s v="INYECTADO"/>
    <x v="6"/>
    <x v="254"/>
    <s v="ANGIE VALDERRAMA"/>
    <m/>
    <m/>
    <m/>
    <s v="VASO MUNDO MANZANITA"/>
    <s v="VASO MUNDO MANZANITA CARAMELO-AZUL"/>
    <n v="119"/>
    <n v="2"/>
    <n v="15.6"/>
    <x v="0"/>
    <m/>
    <n v="2"/>
    <n v="1224"/>
    <n v="22833"/>
    <s v="AZUL"/>
    <n v="2.4"/>
    <n v="0"/>
    <n v="0"/>
    <n v="2.6179999999999999"/>
    <n v="15.6"/>
    <n v="22"/>
    <n v="709.09090909090912"/>
    <x v="10"/>
    <x v="0"/>
    <n v="40"/>
    <n v="6"/>
    <n v="59.5"/>
  </r>
  <r>
    <d v="2025-11-03T08:00:00"/>
    <s v="INYECTADO"/>
    <x v="6"/>
    <x v="254"/>
    <s v="ANGIE VALDERRAMA"/>
    <m/>
    <m/>
    <m/>
    <s v="VASO MUNDO MANZANITA"/>
    <s v="VASO MUNDO MANZANITA CARAMELO-AMARILLO"/>
    <n v="492"/>
    <n v="4"/>
    <n v="64.5"/>
    <x v="0"/>
    <m/>
    <n v="7"/>
    <n v="1224"/>
    <n v="22833"/>
    <s v="AMARILLO"/>
    <n v="15.6"/>
    <n v="0"/>
    <n v="0"/>
    <n v="10.824"/>
    <n v="64.5"/>
    <n v="22"/>
    <n v="2931.818181818182"/>
    <x v="10"/>
    <x v="0"/>
    <n v="40"/>
    <n v="6"/>
    <n v="246"/>
  </r>
  <r>
    <d v="2025-11-03T08:00:00"/>
    <s v="INYECTADO"/>
    <x v="6"/>
    <x v="254"/>
    <s v="ANGIE VALDERRAMA"/>
    <m/>
    <m/>
    <m/>
    <s v="VASO MUNDO MANZANITA"/>
    <s v="VASO MUNDO MANZANITA CARAMELO-FUCSIA"/>
    <n v="387"/>
    <n v="4"/>
    <n v="50.8"/>
    <x v="0"/>
    <m/>
    <n v="6"/>
    <n v="1224"/>
    <n v="22833"/>
    <s v="FUCSIA"/>
    <n v="2.8"/>
    <n v="0"/>
    <n v="0"/>
    <n v="8.5139999999999993"/>
    <n v="50.8"/>
    <n v="22"/>
    <n v="2309.090909090909"/>
    <x v="10"/>
    <x v="0"/>
    <n v="40"/>
    <n v="6"/>
    <n v="193.5"/>
  </r>
  <r>
    <d v="2025-11-03T08:00:00"/>
    <s v="INYECTADO"/>
    <x v="6"/>
    <x v="250"/>
    <s v="ANGIE VALDERRAMA"/>
    <m/>
    <m/>
    <m/>
    <s v="VASO MUNDO MANZANITA"/>
    <s v="VASO MUNDO MANZANITA CARAMELO-AMARILLO"/>
    <n v="916"/>
    <n v="9"/>
    <n v="120.1"/>
    <x v="0"/>
    <m/>
    <n v="9"/>
    <n v="1224"/>
    <n v="22834"/>
    <s v="AMARILLO"/>
    <n v="1"/>
    <n v="0"/>
    <n v="0"/>
    <n v="20.152000000000001"/>
    <n v="120.1"/>
    <n v="22"/>
    <n v="5459.090909090909"/>
    <x v="10"/>
    <x v="0"/>
    <n v="40"/>
    <n v="6"/>
    <n v="458"/>
  </r>
  <r>
    <d v="2025-11-03T08:00:00"/>
    <s v="INYECTADO"/>
    <x v="6"/>
    <x v="231"/>
    <s v="NELSON PINEDO"/>
    <m/>
    <m/>
    <m/>
    <s v="VASO MUNDO MANZANITA"/>
    <s v="VASO MUNDO MANZANITA CARAMELO-AMARILLO"/>
    <n v="187"/>
    <n v="2"/>
    <n v="24.5"/>
    <x v="0"/>
    <m/>
    <n v="3"/>
    <m/>
    <n v="22835"/>
    <s v="AMARILLO"/>
    <n v="3.1"/>
    <n v="0"/>
    <n v="0"/>
    <n v="4.1139999999999999"/>
    <n v="24.5"/>
    <n v="22"/>
    <n v="1113.6363636363637"/>
    <x v="10"/>
    <x v="0"/>
    <n v="41"/>
    <n v="6"/>
    <n v="93.5"/>
  </r>
  <r>
    <d v="2025-11-03T08:00:00"/>
    <s v="INYECTADO"/>
    <x v="6"/>
    <x v="231"/>
    <s v="NELSON PINEDO"/>
    <m/>
    <m/>
    <m/>
    <s v="VASO MUNDO MANZANITA"/>
    <s v="VASO MUNDO MANZANITA CARAMELO-LILA"/>
    <n v="395"/>
    <n v="4"/>
    <n v="52.2"/>
    <x v="0"/>
    <m/>
    <n v="6"/>
    <m/>
    <n v="22835"/>
    <s v="LILA"/>
    <n v="5"/>
    <n v="0"/>
    <n v="0"/>
    <n v="8.69"/>
    <n v="52.2"/>
    <n v="22"/>
    <n v="2372.7272727272725"/>
    <x v="10"/>
    <x v="0"/>
    <n v="41"/>
    <n v="6"/>
    <n v="197.5"/>
  </r>
  <r>
    <d v="2025-11-03T08:00:00"/>
    <s v="INYECTADO"/>
    <x v="6"/>
    <x v="233"/>
    <s v="ANGIE VALDERRAMA"/>
    <m/>
    <m/>
    <m/>
    <s v="VASO MUNDO MANZANITA"/>
    <s v="VASO MUNDO MANZANITA CARAMELO-LILA"/>
    <n v="909"/>
    <n v="10"/>
    <n v="119.1"/>
    <x v="0"/>
    <m/>
    <n v="11"/>
    <m/>
    <n v="22836"/>
    <s v="LILA"/>
    <n v="0"/>
    <n v="0"/>
    <n v="0"/>
    <n v="19.998000000000001"/>
    <n v="119.1"/>
    <n v="22"/>
    <n v="5413.636363636364"/>
    <x v="10"/>
    <x v="0"/>
    <n v="41"/>
    <n v="6"/>
    <n v="454.5"/>
  </r>
  <r>
    <d v="2025-11-03T08:00:00"/>
    <s v="INYECTADO"/>
    <x v="6"/>
    <x v="234"/>
    <s v="LUIS PINEDO"/>
    <m/>
    <m/>
    <m/>
    <s v="VASO MUNDO MANZANITA"/>
    <s v="VASO MUNDO MANZANITA CARAMELO-LILA"/>
    <n v="254"/>
    <n v="3"/>
    <n v="33.299999999999997"/>
    <x v="0"/>
    <m/>
    <n v="4"/>
    <m/>
    <n v="22837"/>
    <s v="LILA"/>
    <n v="3.3"/>
    <n v="0"/>
    <n v="0"/>
    <n v="5.5880000000000001"/>
    <n v="33.299999999999997"/>
    <n v="22"/>
    <n v="1513.6363636363637"/>
    <x v="10"/>
    <x v="0"/>
    <n v="41"/>
    <n v="6"/>
    <n v="127"/>
  </r>
  <r>
    <d v="2025-11-03T08:00:00"/>
    <s v="INYECTADO"/>
    <x v="6"/>
    <x v="234"/>
    <s v="LUIS PINEDO"/>
    <m/>
    <m/>
    <m/>
    <s v="VASO MUNDO MANZANITA"/>
    <s v="VASO MUNDO MANZANITA CARAMELO-AZUL"/>
    <n v="669"/>
    <n v="8"/>
    <n v="87.7"/>
    <x v="0"/>
    <m/>
    <n v="8"/>
    <m/>
    <n v="22837"/>
    <s v="AZUL"/>
    <n v="1.1000000000000001"/>
    <n v="0"/>
    <n v="0"/>
    <n v="14.718"/>
    <n v="87.7"/>
    <n v="22"/>
    <n v="3986.3636363636365"/>
    <x v="10"/>
    <x v="0"/>
    <n v="41"/>
    <n v="6"/>
    <n v="334.5"/>
  </r>
  <r>
    <d v="2025-11-03T08:00:00"/>
    <s v="INYECTADO"/>
    <x v="6"/>
    <x v="235"/>
    <s v="JOSDER GONZALEZ"/>
    <m/>
    <m/>
    <m/>
    <s v="VASO MUNDO MANZANITA"/>
    <s v="VASO MUNDO MANZANITA CARAMELO-AZUL"/>
    <n v="493"/>
    <n v="5"/>
    <n v="64.7"/>
    <x v="0"/>
    <m/>
    <n v="7"/>
    <m/>
    <n v="22838"/>
    <s v="AZUL"/>
    <n v="2"/>
    <n v="0"/>
    <n v="0"/>
    <n v="10.846"/>
    <n v="64.7"/>
    <n v="22"/>
    <n v="2940.909090909091"/>
    <x v="10"/>
    <x v="0"/>
    <n v="41"/>
    <n v="6"/>
    <n v="246.5"/>
  </r>
  <r>
    <d v="2025-11-03T08:00:00"/>
    <s v="INYECTADO"/>
    <x v="6"/>
    <x v="235"/>
    <s v="JOSDER GONZALEZ"/>
    <m/>
    <m/>
    <m/>
    <s v="VASO MUNDO MANZANITA"/>
    <s v="VASO MUNDO MANZANITA CARAMELO-FUCSIA"/>
    <n v="722"/>
    <n v="6"/>
    <n v="94.6"/>
    <x v="0"/>
    <m/>
    <n v="9"/>
    <m/>
    <n v="22838"/>
    <s v="FUCSIA"/>
    <n v="0.7"/>
    <n v="0"/>
    <n v="0"/>
    <n v="15.884"/>
    <n v="94.6"/>
    <n v="22"/>
    <n v="4300"/>
    <x v="10"/>
    <x v="0"/>
    <n v="41"/>
    <n v="6"/>
    <n v="361"/>
  </r>
  <r>
    <d v="2025-11-03T08:00:00"/>
    <s v="INYECTADO"/>
    <x v="6"/>
    <x v="236"/>
    <s v="ANGIE VALDERRAMA"/>
    <m/>
    <m/>
    <m/>
    <s v="VASO MUNDO MANZANITA"/>
    <s v="VASO MUNDO MANZANITA CARAMELO-FUCSIA"/>
    <n v="442"/>
    <n v="5"/>
    <n v="58"/>
    <x v="0"/>
    <m/>
    <n v="5"/>
    <m/>
    <n v="22839"/>
    <s v="FUCSIA"/>
    <n v="0"/>
    <n v="0"/>
    <n v="0"/>
    <n v="9.7240000000000002"/>
    <n v="58"/>
    <n v="22"/>
    <n v="2636.3636363636365"/>
    <x v="10"/>
    <x v="0"/>
    <n v="41"/>
    <n v="6"/>
    <n v="221"/>
  </r>
  <r>
    <d v="2025-11-03T08:00:00"/>
    <s v="INYECTADO"/>
    <x v="6"/>
    <x v="236"/>
    <s v="ANGIE VALDERRAMA"/>
    <m/>
    <m/>
    <m/>
    <s v="VASO MUNDO MANZANITA"/>
    <s v="VASO MUNDO MANZANITA CARAMELO-VERDE"/>
    <n v="235"/>
    <n v="3"/>
    <n v="30.8"/>
    <x v="0"/>
    <m/>
    <n v="3"/>
    <m/>
    <n v="22839"/>
    <s v="VERDE"/>
    <n v="0"/>
    <n v="0"/>
    <n v="0"/>
    <n v="5.17"/>
    <n v="30.8"/>
    <n v="22"/>
    <n v="1400"/>
    <x v="10"/>
    <x v="0"/>
    <n v="41"/>
    <n v="6"/>
    <n v="117.5"/>
  </r>
  <r>
    <d v="2025-11-03T08:00:00"/>
    <s v="INYECTADO"/>
    <x v="6"/>
    <x v="236"/>
    <s v="ISABEL LINARIZ "/>
    <m/>
    <m/>
    <m/>
    <s v="VASO MUNDO MANZANITA"/>
    <s v="VASO MUNDO MANZANITA CARAMELO-VERDE"/>
    <n v="810"/>
    <n v="8"/>
    <n v="106.2"/>
    <x v="1"/>
    <m/>
    <n v="8"/>
    <m/>
    <n v="22840"/>
    <s v="VERDE"/>
    <n v="1.7"/>
    <n v="0"/>
    <n v="0"/>
    <n v="17.82"/>
    <n v="106.2"/>
    <n v="22"/>
    <n v="4827.272727272727"/>
    <x v="10"/>
    <x v="0"/>
    <n v="41"/>
    <n v="6"/>
    <n v="405"/>
  </r>
  <r>
    <d v="2025-11-03T08:00:00"/>
    <s v="INYECTADO"/>
    <x v="6"/>
    <x v="238"/>
    <s v="ANGIE VALDERRAMA"/>
    <m/>
    <m/>
    <m/>
    <s v="VASO MUNDO MANZANITA"/>
    <s v="VASO MUNDO MANZANITA CARAMELO-VERDE"/>
    <m/>
    <n v="1"/>
    <n v="4.3"/>
    <x v="0"/>
    <m/>
    <n v="1"/>
    <m/>
    <n v="22841"/>
    <s v="VERDE"/>
    <n v="2.5"/>
    <n v="0"/>
    <n v="0"/>
    <n v="0"/>
    <n v="4.3"/>
    <n v="22"/>
    <n v="195.45454545454547"/>
    <x v="10"/>
    <x v="0"/>
    <n v="42"/>
    <n v="6"/>
    <n v="0"/>
  </r>
  <r>
    <d v="2025-11-03T08:00:00"/>
    <s v="INYECTADO"/>
    <x v="6"/>
    <x v="238"/>
    <s v="ANGIE VALDERRAMA"/>
    <m/>
    <m/>
    <m/>
    <s v="VASO MUNDO MANZANITA"/>
    <s v="VASO MUNDO MANZANITA CARAMELO-NARANJA"/>
    <m/>
    <n v="9"/>
    <n v="98.4"/>
    <x v="0"/>
    <m/>
    <n v="9"/>
    <m/>
    <n v="22841"/>
    <s v="ANARANJADO"/>
    <n v="1.7"/>
    <n v="0"/>
    <n v="0"/>
    <e v="#N/A"/>
    <n v="98.4"/>
    <e v="#N/A"/>
    <n v="0"/>
    <x v="10"/>
    <x v="0"/>
    <n v="42"/>
    <e v="#N/A"/>
    <e v="#N/A"/>
  </r>
  <r>
    <d v="2025-11-03T08:00:00"/>
    <s v="INYECTADO"/>
    <x v="6"/>
    <x v="238"/>
    <s v="JUAN MANUEL "/>
    <m/>
    <m/>
    <m/>
    <s v="VASO MUNDO MANZANITA"/>
    <s v="VASO MUNDO MANZANITA CARAMELO-NARANJA"/>
    <m/>
    <n v="4"/>
    <n v="51"/>
    <x v="1"/>
    <m/>
    <n v="5"/>
    <m/>
    <n v="22842"/>
    <s v="ANARANJADO"/>
    <n v="3.6"/>
    <n v="0"/>
    <n v="0"/>
    <e v="#N/A"/>
    <n v="51"/>
    <e v="#N/A"/>
    <n v="0"/>
    <x v="10"/>
    <x v="0"/>
    <n v="42"/>
    <e v="#N/A"/>
    <e v="#N/A"/>
  </r>
  <r>
    <d v="2025-11-03T08:00:00"/>
    <s v="INYECTADO"/>
    <x v="6"/>
    <x v="238"/>
    <s v="JUAN MANUEL "/>
    <m/>
    <m/>
    <m/>
    <s v="VASO MUNDO MANZANITA"/>
    <s v="VASO MUNDO MANZANITA TRANSPARENTE"/>
    <m/>
    <n v="8"/>
    <n v="77.3"/>
    <x v="1"/>
    <m/>
    <n v="7"/>
    <m/>
    <n v="22842"/>
    <s v="TRANSPARENTE"/>
    <n v="0"/>
    <n v="0"/>
    <n v="0"/>
    <e v="#N/A"/>
    <n v="77.3"/>
    <e v="#N/A"/>
    <n v="0"/>
    <x v="10"/>
    <x v="0"/>
    <n v="42"/>
    <e v="#N/A"/>
    <e v="#N/A"/>
  </r>
  <r>
    <d v="2025-11-03T08:00:00"/>
    <s v="INYECTADO"/>
    <x v="6"/>
    <x v="258"/>
    <s v="KARLA HUISA"/>
    <m/>
    <m/>
    <m/>
    <s v="VASO MUNDO MANZANITA"/>
    <s v="VASO MUNDO MANZANITA TRANSPARENTE"/>
    <n v="1048"/>
    <n v="11"/>
    <n v="137.4"/>
    <x v="0"/>
    <m/>
    <n v="12"/>
    <m/>
    <n v="22843"/>
    <s v="TRANSPARENTE"/>
    <n v="0"/>
    <n v="0"/>
    <n v="0"/>
    <e v="#N/A"/>
    <n v="137.4"/>
    <e v="#N/A"/>
    <n v="0"/>
    <x v="10"/>
    <x v="0"/>
    <n v="42"/>
    <e v="#N/A"/>
    <e v="#N/A"/>
  </r>
  <r>
    <d v="2025-11-03T08:00:00"/>
    <s v="INYECTADO"/>
    <x v="6"/>
    <x v="258"/>
    <s v="MARJORIE VILCHEZ"/>
    <m/>
    <m/>
    <m/>
    <s v="VASO MUNDO MANZANITA"/>
    <s v="VASO MUNDO MANZANITA TRANSPARENTE"/>
    <n v="161"/>
    <n v="2"/>
    <n v="21.2"/>
    <x v="1"/>
    <m/>
    <n v="2"/>
    <m/>
    <n v="22844"/>
    <s v="TRANSPARENTE"/>
    <n v="2.1"/>
    <n v="0"/>
    <n v="0"/>
    <e v="#N/A"/>
    <n v="21.2"/>
    <e v="#N/A"/>
    <n v="0"/>
    <x v="10"/>
    <x v="0"/>
    <n v="42"/>
    <e v="#N/A"/>
    <e v="#N/A"/>
  </r>
  <r>
    <d v="2025-11-03T08:00:00"/>
    <s v="INYECTADO"/>
    <x v="6"/>
    <x v="239"/>
    <s v="JULIO "/>
    <m/>
    <m/>
    <m/>
    <s v="VASO MUNDO MANZANITA"/>
    <s v="VASO MUNDO MANZANITA TRANSPARENTE"/>
    <n v="1111"/>
    <n v="9"/>
    <n v="145.6"/>
    <x v="0"/>
    <m/>
    <n v="19"/>
    <m/>
    <n v="22845"/>
    <s v="TRANSPARENTE"/>
    <n v="0"/>
    <n v="0"/>
    <n v="0"/>
    <e v="#N/A"/>
    <n v="145.6"/>
    <e v="#N/A"/>
    <n v="0"/>
    <x v="10"/>
    <x v="0"/>
    <n v="42"/>
    <e v="#N/A"/>
    <e v="#N/A"/>
  </r>
  <r>
    <d v="2025-11-03T08:00:00"/>
    <s v="INYECTADO"/>
    <x v="6"/>
    <x v="242"/>
    <s v="ISABEL LINARIZ "/>
    <m/>
    <m/>
    <m/>
    <s v="VASO MUNDO MANZANITA"/>
    <s v="VASO MUNDO MANZANITA CARAMELO-AMARILLO"/>
    <n v="280"/>
    <n v="3"/>
    <n v="36.799999999999997"/>
    <x v="1"/>
    <m/>
    <n v="4"/>
    <m/>
    <n v="22846"/>
    <s v="AMARILLO"/>
    <n v="0"/>
    <n v="0"/>
    <n v="0"/>
    <n v="6.16"/>
    <n v="36.799999999999997"/>
    <n v="22"/>
    <n v="1672.7272727272727"/>
    <x v="10"/>
    <x v="0"/>
    <n v="43"/>
    <n v="6"/>
    <n v="140"/>
  </r>
  <r>
    <d v="2025-11-03T08:00:00"/>
    <s v="INYECTADO"/>
    <x v="6"/>
    <x v="255"/>
    <s v="JUANA CRUCES"/>
    <m/>
    <m/>
    <m/>
    <s v="VASO MUNDO MANZANITA"/>
    <s v="VASO MUNDO MANZANITA CARAMELO-AMARILLO"/>
    <n v="480"/>
    <n v="5"/>
    <n v="63"/>
    <x v="0"/>
    <m/>
    <n v="7"/>
    <m/>
    <n v="22847"/>
    <s v="AMARILLO"/>
    <n v="0.3"/>
    <n v="0"/>
    <n v="0"/>
    <n v="10.56"/>
    <n v="63"/>
    <n v="22"/>
    <n v="2863.6363636363635"/>
    <x v="10"/>
    <x v="0"/>
    <n v="43"/>
    <n v="6"/>
    <n v="240"/>
  </r>
  <r>
    <d v="2025-11-03T08:00:00"/>
    <s v="INYECTADO"/>
    <x v="6"/>
    <x v="255"/>
    <s v="JUANA CRUCES"/>
    <m/>
    <m/>
    <m/>
    <s v="VASO MUNDO MANZANITA"/>
    <s v="VASO MUNDO MANZANITA CARAMELO-VERDE"/>
    <n v="645"/>
    <n v="6"/>
    <n v="84.5"/>
    <x v="0"/>
    <m/>
    <n v="9"/>
    <m/>
    <n v="22847"/>
    <s v="VERDE"/>
    <n v="0.2"/>
    <n v="0"/>
    <n v="0"/>
    <n v="14.19"/>
    <n v="84.5"/>
    <n v="22"/>
    <n v="3840.909090909091"/>
    <x v="10"/>
    <x v="0"/>
    <n v="43"/>
    <n v="6"/>
    <n v="322.5"/>
  </r>
  <r>
    <d v="2025-11-03T08:00:00"/>
    <s v="INYECTADO"/>
    <x v="6"/>
    <x v="255"/>
    <s v="MARJORIE VILCHEZ"/>
    <m/>
    <m/>
    <m/>
    <s v="VASO MUNDO MANZANITA"/>
    <s v="VASO MUNDO MANZANITA CARAMELO-VERDE"/>
    <n v="122"/>
    <n v="2"/>
    <n v="16.100000000000001"/>
    <x v="1"/>
    <m/>
    <n v="2"/>
    <m/>
    <n v="22848"/>
    <s v="VERDE"/>
    <n v="2.8"/>
    <n v="0"/>
    <n v="0"/>
    <n v="2.6840000000000002"/>
    <n v="16.100000000000001"/>
    <n v="22"/>
    <n v="731.81818181818187"/>
    <x v="10"/>
    <x v="0"/>
    <n v="43"/>
    <n v="6"/>
    <n v="61"/>
  </r>
  <r>
    <d v="2025-11-03T08:00:00"/>
    <s v="INYECTADO"/>
    <x v="6"/>
    <x v="255"/>
    <s v="MARJORIE VILCHEZ"/>
    <m/>
    <m/>
    <m/>
    <s v="VASO MUNDO MANZANITA"/>
    <s v="VASO MUNDO MANZANITA CARAMELO-FUCSIA"/>
    <n v="199"/>
    <n v="2"/>
    <n v="26.1"/>
    <x v="1"/>
    <m/>
    <n v="3"/>
    <m/>
    <n v="22848"/>
    <s v="FUCSIA"/>
    <n v="0"/>
    <n v="0"/>
    <n v="0"/>
    <n v="4.3780000000000001"/>
    <n v="26.1"/>
    <n v="22"/>
    <n v="1186.3636363636363"/>
    <x v="10"/>
    <x v="0"/>
    <n v="43"/>
    <n v="6"/>
    <n v="99.5"/>
  </r>
  <r>
    <d v="2025-11-03T08:00:00"/>
    <s v="INYECTADO"/>
    <x v="6"/>
    <x v="255"/>
    <s v="MARJORIE VILCHEZ"/>
    <m/>
    <m/>
    <m/>
    <s v="VASO MUNDO MANZANITA"/>
    <s v="VASO MUNDO MANZANITA CARAMELO-NARANJA"/>
    <n v="720"/>
    <n v="8"/>
    <n v="94.4"/>
    <x v="1"/>
    <m/>
    <n v="9"/>
    <m/>
    <n v="22848"/>
    <s v="NARANJA"/>
    <n v="2.7"/>
    <n v="0"/>
    <n v="0"/>
    <e v="#N/A"/>
    <n v="94.4"/>
    <e v="#N/A"/>
    <n v="0"/>
    <x v="10"/>
    <x v="0"/>
    <n v="43"/>
    <e v="#N/A"/>
    <e v="#N/A"/>
  </r>
  <r>
    <d v="2025-11-03T08:00:00"/>
    <s v="INYECTADO"/>
    <x v="4"/>
    <x v="246"/>
    <s v="MARJORIE VILCHEZ"/>
    <m/>
    <m/>
    <m/>
    <s v="ASAS CARGA ORG 5,10,15"/>
    <s v="ASAS CARGA ORG 5,10,15-PLOMO"/>
    <n v="1471"/>
    <n v="12"/>
    <n v="55.9"/>
    <x v="1"/>
    <m/>
    <n v="4"/>
    <n v="1289"/>
    <n v="20487"/>
    <s v="PLOMO"/>
    <n v="12.8"/>
    <n v="0"/>
    <n v="0"/>
    <e v="#N/A"/>
    <n v="55.9"/>
    <e v="#N/A"/>
    <n v="0"/>
    <x v="10"/>
    <x v="0"/>
    <n v="44"/>
    <e v="#N/A"/>
    <e v="#N/A"/>
  </r>
  <r>
    <d v="2025-11-03T08:00:00"/>
    <s v="INYECTADO"/>
    <x v="4"/>
    <x v="247"/>
    <s v="JUANA CRUCES"/>
    <m/>
    <m/>
    <m/>
    <s v="ASAS CARGA ORG 5,10,15"/>
    <s v="ASAS CARGA ORG 5,10,15-PLOMO"/>
    <n v="1334"/>
    <n v="11"/>
    <n v="50.7"/>
    <x v="0"/>
    <m/>
    <n v="4"/>
    <n v="1289"/>
    <n v="20488"/>
    <s v="PLOMO"/>
    <n v="11"/>
    <n v="0"/>
    <n v="0"/>
    <e v="#N/A"/>
    <n v="50.7"/>
    <e v="#N/A"/>
    <n v="0"/>
    <x v="10"/>
    <x v="0"/>
    <n v="44"/>
    <e v="#N/A"/>
    <e v="#N/A"/>
  </r>
  <r>
    <d v="2025-11-03T08:00:00"/>
    <s v="INYECTADO"/>
    <x v="4"/>
    <x v="248"/>
    <s v="NESTOR"/>
    <m/>
    <m/>
    <m/>
    <s v="ASAS CARGA ORG 5,10,15"/>
    <s v="ASAS CARGA ORG 5,10,15-PLOMO"/>
    <n v="1505"/>
    <n v="12"/>
    <n v="57.2"/>
    <x v="0"/>
    <m/>
    <n v="6"/>
    <n v="1289"/>
    <n v="20489"/>
    <s v="PLOMO"/>
    <n v="11.9"/>
    <n v="0"/>
    <n v="0"/>
    <e v="#N/A"/>
    <n v="57.2"/>
    <e v="#N/A"/>
    <n v="0"/>
    <x v="10"/>
    <x v="0"/>
    <n v="44"/>
    <e v="#N/A"/>
    <e v="#N/A"/>
  </r>
  <r>
    <d v="2025-11-03T08:00:00"/>
    <s v="INYECTADO"/>
    <x v="4"/>
    <x v="249"/>
    <s v="NESTOR"/>
    <m/>
    <m/>
    <m/>
    <s v="ASAS CARGA ORG 5,10,15"/>
    <s v="ASAS CARGA ORG 5,10,15-PLOMO"/>
    <n v="1250"/>
    <n v="11"/>
    <n v="47.5"/>
    <x v="0"/>
    <m/>
    <n v="4"/>
    <n v="1289"/>
    <n v="20490"/>
    <s v="PLOMO"/>
    <n v="10.7"/>
    <n v="0"/>
    <n v="0"/>
    <e v="#N/A"/>
    <n v="47.5"/>
    <e v="#N/A"/>
    <n v="0"/>
    <x v="10"/>
    <x v="0"/>
    <n v="44"/>
    <e v="#N/A"/>
    <e v="#N/A"/>
  </r>
  <r>
    <d v="2025-11-03T08:00:00"/>
    <s v="INYECTADO"/>
    <x v="0"/>
    <x v="246"/>
    <s v="ANGIE VALDERRAMA"/>
    <m/>
    <m/>
    <m/>
    <s v="TAPA ORGANIZADOR DE 5KG"/>
    <s v="TAPA ORGANIZADOR DE 5KG-FUCSIA"/>
    <n v="819"/>
    <n v="8"/>
    <n v="59.7"/>
    <x v="0"/>
    <m/>
    <n v="7"/>
    <m/>
    <n v="21793"/>
    <s v="FUCSIA"/>
    <n v="8.9"/>
    <n v="0"/>
    <n v="0"/>
    <n v="77.805000000000007"/>
    <n v="59.7"/>
    <n v="95"/>
    <n v="628.42105263157896"/>
    <x v="10"/>
    <x v="0"/>
    <n v="44"/>
    <n v="1"/>
    <n v="68.25"/>
  </r>
  <r>
    <d v="2025-11-03T08:00:00"/>
    <s v="INYECTADO"/>
    <x v="0"/>
    <x v="246"/>
    <s v="ANGIE VALDERRAMA"/>
    <m/>
    <m/>
    <m/>
    <s v="TAPA ORGANIZADOR DE 5KG"/>
    <s v="TAPA ORGANIZADOR DE 5KG-AZUL"/>
    <n v="308"/>
    <n v="2"/>
    <n v="22.4"/>
    <x v="0"/>
    <m/>
    <n v="2"/>
    <m/>
    <n v="21793"/>
    <s v="AZUL"/>
    <n v="4.0999999999999996"/>
    <n v="0"/>
    <n v="0"/>
    <n v="29.26"/>
    <n v="22.4"/>
    <n v="95"/>
    <n v="235.78947368421052"/>
    <x v="10"/>
    <x v="0"/>
    <n v="44"/>
    <n v="1"/>
    <n v="25.666666666666668"/>
  </r>
  <r>
    <d v="2025-11-03T08:00:00"/>
    <s v="INYECTADO"/>
    <x v="0"/>
    <x v="246"/>
    <s v="JOSDER GONZALEZ"/>
    <m/>
    <m/>
    <m/>
    <s v="TAPA ORGANIZADOR DE 5KG"/>
    <s v="TAPA ORGANIZADOR DE 5KG-AZUL"/>
    <n v="953"/>
    <n v="7"/>
    <n v="69.5"/>
    <x v="1"/>
    <m/>
    <n v="8"/>
    <m/>
    <n v="21794"/>
    <s v="AZUL"/>
    <n v="1.3"/>
    <n v="0"/>
    <n v="0"/>
    <n v="90.534999999999997"/>
    <n v="69.5"/>
    <n v="95"/>
    <n v="731.57894736842104"/>
    <x v="10"/>
    <x v="0"/>
    <n v="44"/>
    <n v="1"/>
    <n v="79.416666666666671"/>
  </r>
  <r>
    <d v="2025-11-03T08:00:00"/>
    <s v="INYECTADO"/>
    <x v="0"/>
    <x v="249"/>
    <s v="JUAN MANUEL "/>
    <m/>
    <m/>
    <m/>
    <s v="TAPA SALSEROS MULTIUSO"/>
    <s v="TAPA SALSERO MULTIUSO-AMARILLO"/>
    <n v="579"/>
    <n v="8"/>
    <n v="42.2"/>
    <x v="1"/>
    <m/>
    <n v="6"/>
    <m/>
    <n v="21796"/>
    <s v="AMARILLO"/>
    <n v="9.9"/>
    <n v="0"/>
    <n v="0"/>
    <n v="5.79"/>
    <n v="42.2"/>
    <n v="10"/>
    <n v="4220"/>
    <x v="10"/>
    <x v="0"/>
    <n v="44"/>
    <n v="6"/>
    <n v="289.5"/>
  </r>
  <r>
    <d v="2025-11-03T08:00:00"/>
    <s v="INYECTADO"/>
    <x v="1"/>
    <x v="247"/>
    <s v="JUANA CRUCES"/>
    <m/>
    <m/>
    <m/>
    <s v="TAPA TOMATODO DOBLE CLICK SOLIDO"/>
    <s v="TAPA TOMATODO DOBLE CLICK-VERDE"/>
    <n v="372"/>
    <n v="6"/>
    <n v="66.5"/>
    <x v="0"/>
    <m/>
    <n v="8"/>
    <m/>
    <n v="21621"/>
    <s v="VERDE"/>
    <n v="10.8"/>
    <n v="0"/>
    <n v="0"/>
    <n v="8.2360799999999994"/>
    <n v="66.5"/>
    <n v="22.14"/>
    <n v="3003.613369467028"/>
    <x v="10"/>
    <x v="0"/>
    <n v="44"/>
    <n v="7"/>
    <n v="217"/>
  </r>
  <r>
    <d v="2025-11-03T08:00:00"/>
    <s v="INYECTADO"/>
    <x v="1"/>
    <x v="247"/>
    <s v="JUANA CRUCES"/>
    <m/>
    <m/>
    <m/>
    <s v="TAPA TOMATODO DOBLE CLICK SOLIDO"/>
    <s v="TAPA TOMATODO DOBLE CLICK-AMARILLO"/>
    <n v="53"/>
    <n v="1"/>
    <n v="9.4"/>
    <x v="0"/>
    <m/>
    <n v="1"/>
    <m/>
    <n v="21621"/>
    <s v="AMARILLO"/>
    <n v="2.6"/>
    <n v="0"/>
    <n v="0"/>
    <n v="1.1734200000000001"/>
    <n v="9.4"/>
    <n v="22.14"/>
    <n v="424.57091237579039"/>
    <x v="10"/>
    <x v="0"/>
    <n v="44"/>
    <n v="7"/>
    <n v="30.916666666666668"/>
  </r>
  <r>
    <d v="2025-11-03T08:00:00"/>
    <s v="INYECTADO"/>
    <x v="1"/>
    <x v="247"/>
    <s v="ISABEL LINARIZ "/>
    <m/>
    <m/>
    <m/>
    <s v="TAPA TOMATODO DOBLE CLICK SOLIDO"/>
    <s v="TAPA TOMATODO DOBLE CLICK-AMARILLO"/>
    <n v="192"/>
    <n v="3"/>
    <n v="34.299999999999997"/>
    <x v="1"/>
    <m/>
    <n v="3"/>
    <m/>
    <n v="21622"/>
    <s v="AMARILLO"/>
    <n v="6.2"/>
    <n v="0"/>
    <n v="0"/>
    <n v="4.2508800000000004"/>
    <n v="34.299999999999997"/>
    <n v="22.14"/>
    <n v="1549.2321589882565"/>
    <x v="10"/>
    <x v="0"/>
    <n v="44"/>
    <n v="7"/>
    <n v="112"/>
  </r>
  <r>
    <d v="2025-11-03T08:00:00"/>
    <s v="INYECTADO"/>
    <x v="1"/>
    <x v="247"/>
    <s v="ISABEL LINARIZ "/>
    <m/>
    <m/>
    <m/>
    <s v="TAPA TOMATODO DOBLE CLICK SOLIDO"/>
    <s v="TAPA TOMATODO DOBLE CLICK-LILA"/>
    <n v="467"/>
    <n v="8"/>
    <n v="83.7"/>
    <x v="1"/>
    <m/>
    <n v="7"/>
    <m/>
    <n v="21622"/>
    <s v="LILA"/>
    <n v="10.4"/>
    <n v="0"/>
    <n v="0"/>
    <n v="10.33938"/>
    <n v="83.7"/>
    <n v="22.14"/>
    <n v="3780.4878048780488"/>
    <x v="10"/>
    <x v="0"/>
    <n v="44"/>
    <n v="7"/>
    <n v="272.41666666666669"/>
  </r>
  <r>
    <d v="2025-11-03T08:00:00"/>
    <s v="INYECTADO"/>
    <x v="1"/>
    <x v="248"/>
    <s v="JOSDER GONZALEZ"/>
    <m/>
    <m/>
    <m/>
    <s v="TAPA TOMATODO DOBLE CLICK SOLIDO"/>
    <s v="TAPA TOMATODO DOBLE CLICK-AMARILLO"/>
    <n v="251"/>
    <n v="3"/>
    <n v="44.9"/>
    <x v="1"/>
    <m/>
    <n v="4"/>
    <m/>
    <n v="21623"/>
    <s v="AMARILLO"/>
    <n v="5.5"/>
    <n v="0"/>
    <n v="0"/>
    <n v="5.5571400000000004"/>
    <n v="44.9"/>
    <n v="22.14"/>
    <n v="2028.0036133694671"/>
    <x v="10"/>
    <x v="0"/>
    <n v="44"/>
    <n v="7"/>
    <n v="146.41666666666666"/>
  </r>
  <r>
    <d v="2025-11-03T08:00:00"/>
    <s v="INYECTADO"/>
    <x v="1"/>
    <x v="248"/>
    <s v="JOSDER GONZALEZ"/>
    <m/>
    <m/>
    <m/>
    <s v="TAPA TOMATODO DOBLE CLICK SOLIDO"/>
    <s v="TAPA TOMATODO DOBLE CLICK-VERDE"/>
    <n v="246"/>
    <n v="3"/>
    <n v="44"/>
    <x v="1"/>
    <m/>
    <n v="5"/>
    <m/>
    <n v="21623"/>
    <s v="VERDE"/>
    <n v="8.6999999999999993"/>
    <n v="0"/>
    <n v="0"/>
    <n v="5.4464400000000008"/>
    <n v="44"/>
    <n v="22.14"/>
    <n v="1987.3532068654019"/>
    <x v="10"/>
    <x v="0"/>
    <n v="44"/>
    <n v="7"/>
    <n v="143.5"/>
  </r>
  <r>
    <d v="2025-11-03T08:00:00"/>
    <s v="INYECTADO"/>
    <x v="1"/>
    <x v="248"/>
    <s v="JOSDER GONZALEZ"/>
    <m/>
    <m/>
    <m/>
    <s v="TAPA TOMATODO DOBLE CLICK SOLIDO"/>
    <s v="TAPA TOMATODO DOBLE CLICK-FUCSIA"/>
    <n v="250"/>
    <n v="3"/>
    <n v="44.9"/>
    <x v="1"/>
    <m/>
    <n v="4"/>
    <m/>
    <n v="21623"/>
    <s v="FUCSIA"/>
    <n v="5.4"/>
    <n v="0"/>
    <n v="0"/>
    <n v="5.5350000000000001"/>
    <n v="44.9"/>
    <n v="22.14"/>
    <n v="2028.0036133694671"/>
    <x v="10"/>
    <x v="0"/>
    <n v="44"/>
    <n v="7"/>
    <n v="145.83333333333334"/>
  </r>
  <r>
    <d v="2025-11-03T08:00:00"/>
    <s v="INYECTADO"/>
    <x v="1"/>
    <x v="249"/>
    <s v="JUANA CRUCES"/>
    <m/>
    <m/>
    <m/>
    <s v="TAPA TOMATODO DOBLE CLICK SOLIDO"/>
    <s v="TAPA TOMATODO DOBLE CLICK-FUCSIA"/>
    <n v="4"/>
    <n v="1"/>
    <n v="0.7"/>
    <x v="0"/>
    <m/>
    <n v="1"/>
    <m/>
    <n v="21624"/>
    <s v="FUCSIA"/>
    <n v="0"/>
    <n v="0"/>
    <n v="0"/>
    <n v="8.856E-2"/>
    <n v="0.7"/>
    <n v="22.14"/>
    <n v="31.61698283649503"/>
    <x v="10"/>
    <x v="0"/>
    <n v="44"/>
    <n v="7"/>
    <n v="2.3333333333333335"/>
  </r>
  <r>
    <d v="2025-11-03T08:00:00"/>
    <s v="INYECTADO"/>
    <x v="1"/>
    <x v="249"/>
    <s v="JUANA CRUCES"/>
    <m/>
    <m/>
    <m/>
    <s v="TAPA TOMATODO DOBLE CLICK SOLIDO"/>
    <s v="TAPA TOMATODO DOBLE CLICK-LILA"/>
    <n v="261"/>
    <n v="3"/>
    <n v="46.8"/>
    <x v="0"/>
    <m/>
    <n v="5"/>
    <m/>
    <n v="21624"/>
    <s v="LILA"/>
    <n v="16.7"/>
    <n v="0"/>
    <n v="0"/>
    <n v="5.7785399999999996"/>
    <n v="46.8"/>
    <n v="22.14"/>
    <n v="2113.8211382113823"/>
    <x v="10"/>
    <x v="0"/>
    <n v="44"/>
    <n v="7"/>
    <n v="152.25"/>
  </r>
  <r>
    <d v="2025-11-03T08:00:00"/>
    <s v="INYECTADO"/>
    <x v="1"/>
    <x v="249"/>
    <s v="JUANA CRUCES"/>
    <m/>
    <m/>
    <m/>
    <s v="TAPA TOMATODO DOBLE CLICK SOLIDO"/>
    <s v="TAPA TOMATODO DOBLE CLICK-TURQUESA"/>
    <n v="255"/>
    <n v="3"/>
    <n v="45.6"/>
    <x v="0"/>
    <m/>
    <n v="4"/>
    <m/>
    <n v="21624"/>
    <s v="TURQUESA"/>
    <n v="8.8000000000000007"/>
    <n v="0"/>
    <n v="0"/>
    <n v="5.6456999999999997"/>
    <n v="45.6"/>
    <n v="22.14"/>
    <n v="2059.6205962059621"/>
    <x v="10"/>
    <x v="0"/>
    <n v="44"/>
    <n v="7"/>
    <n v="148.75"/>
  </r>
  <r>
    <d v="2025-11-03T08:00:00"/>
    <s v="INYECTADO"/>
    <x v="1"/>
    <x v="249"/>
    <s v="JUANA CRUCES"/>
    <m/>
    <m/>
    <m/>
    <s v="TAPA TOMATODO DOBLE CLICK SOLIDO"/>
    <s v="TAPA TOMATODO DOBLE CLICK-ANARANJADO"/>
    <n v="141"/>
    <n v="2"/>
    <n v="25.2"/>
    <x v="0"/>
    <m/>
    <n v="2"/>
    <m/>
    <n v="21624"/>
    <s v="ANARANJADO"/>
    <n v="10.4"/>
    <n v="0"/>
    <n v="0"/>
    <n v="3.1217400000000004"/>
    <n v="25.2"/>
    <n v="22.14"/>
    <n v="1138.2113821138212"/>
    <x v="10"/>
    <x v="0"/>
    <n v="44"/>
    <n v="7"/>
    <n v="82.25"/>
  </r>
  <r>
    <d v="2025-11-03T08:00:00"/>
    <s v="INYECTADO"/>
    <x v="1"/>
    <x v="249"/>
    <s v="ISABEL LINARIZ "/>
    <m/>
    <m/>
    <m/>
    <s v="TAPA TOMATODO DOBLE CLICK SOLIDO"/>
    <s v="TAPA TOMATODO DOBLE CLICK-ANARANJADO"/>
    <n v="95"/>
    <n v="2"/>
    <n v="17"/>
    <x v="1"/>
    <m/>
    <n v="3"/>
    <m/>
    <n v="21625"/>
    <s v="ANARANJADO"/>
    <n v="2"/>
    <n v="0"/>
    <n v="0"/>
    <n v="2.1033000000000004"/>
    <n v="17"/>
    <n v="22.14"/>
    <n v="767.84101174345074"/>
    <x v="10"/>
    <x v="0"/>
    <n v="44"/>
    <n v="7"/>
    <n v="55.416666666666664"/>
  </r>
  <r>
    <d v="2025-11-03T08:00:00"/>
    <s v="INYECTADO"/>
    <x v="2"/>
    <x v="252"/>
    <s v="CRISALIDA ZAPATA"/>
    <m/>
    <m/>
    <m/>
    <s v="TAPA REPOSTEROS"/>
    <s v="TAPA REPOSTEROS-ROJO"/>
    <n v="191"/>
    <n v="2"/>
    <n v="20.5"/>
    <x v="0"/>
    <m/>
    <n v="3"/>
    <m/>
    <n v="23127"/>
    <s v="ROJO"/>
    <n v="11.5"/>
    <n v="0"/>
    <n v="0"/>
    <n v="10.314"/>
    <n v="20.5"/>
    <n v="54"/>
    <n v="379.62962962962962"/>
    <x v="10"/>
    <x v="0"/>
    <n v="40"/>
    <n v="2"/>
    <n v="31.833333333333332"/>
  </r>
  <r>
    <d v="2025-11-03T08:00:00"/>
    <s v="INYECTADO"/>
    <x v="2"/>
    <x v="252"/>
    <s v="CRISALIDA ZAPATA"/>
    <m/>
    <m/>
    <m/>
    <s v="TAPA REPOSTEROS"/>
    <s v="TAPA REPOSTEROS-NARANJA "/>
    <n v="433"/>
    <n v="4"/>
    <n v="46.8"/>
    <x v="0"/>
    <m/>
    <n v="6"/>
    <m/>
    <n v="23127"/>
    <s v="NARANJA"/>
    <n v="9.8000000000000007"/>
    <n v="0"/>
    <n v="0"/>
    <e v="#N/A"/>
    <n v="46.8"/>
    <e v="#N/A"/>
    <n v="0"/>
    <x v="10"/>
    <x v="0"/>
    <n v="40"/>
    <e v="#N/A"/>
    <e v="#N/A"/>
  </r>
  <r>
    <d v="2025-11-03T08:00:00"/>
    <s v="INYECTADO"/>
    <x v="2"/>
    <x v="252"/>
    <s v="CRISALIDA ZAPATA"/>
    <m/>
    <m/>
    <m/>
    <s v="TAPA REPOSTEROS"/>
    <s v="TAPA REPOSTEROS-AZUL"/>
    <n v="428"/>
    <n v="4"/>
    <n v="47.1"/>
    <x v="0"/>
    <m/>
    <n v="5"/>
    <m/>
    <n v="23127"/>
    <s v="AZUL"/>
    <n v="4.0999999999999996"/>
    <n v="0"/>
    <n v="0"/>
    <n v="23.111999999999998"/>
    <n v="47.1"/>
    <n v="54"/>
    <n v="872.22222222222217"/>
    <x v="10"/>
    <x v="0"/>
    <n v="40"/>
    <n v="2"/>
    <n v="71.333333333333329"/>
  </r>
  <r>
    <d v="2025-11-03T08:00:00"/>
    <s v="INYECTADO"/>
    <x v="2"/>
    <x v="253"/>
    <s v="CRISALIDA ZAPATA"/>
    <m/>
    <m/>
    <m/>
    <s v="TAPA REPOSTEROS"/>
    <s v="TAPA REPOSTEROS-AZUL"/>
    <n v="1068"/>
    <n v="11"/>
    <n v="117.5"/>
    <x v="0"/>
    <m/>
    <n v="12"/>
    <m/>
    <n v="23128"/>
    <s v="AZUL"/>
    <n v="7.6"/>
    <n v="0"/>
    <n v="0"/>
    <n v="57.671999999999997"/>
    <n v="117.5"/>
    <n v="54"/>
    <n v="2175.9259259259261"/>
    <x v="10"/>
    <x v="0"/>
    <n v="40"/>
    <n v="2"/>
    <n v="178"/>
  </r>
  <r>
    <d v="2025-11-03T08:00:00"/>
    <s v="INYECTADO"/>
    <x v="2"/>
    <x v="254"/>
    <s v="NELSON PINEDO"/>
    <m/>
    <m/>
    <m/>
    <s v="TAPA REPOSTEROS"/>
    <s v="TAPA REPOSTEROS-AMARILLO"/>
    <n v="1124"/>
    <n v="10"/>
    <n v="124.8"/>
    <x v="0"/>
    <m/>
    <n v="13"/>
    <m/>
    <n v="23129"/>
    <s v="AMARILLO"/>
    <n v="7.3"/>
    <n v="0"/>
    <n v="0"/>
    <n v="60.695999999999998"/>
    <n v="124.8"/>
    <n v="54"/>
    <n v="2311.1111111111113"/>
    <x v="10"/>
    <x v="0"/>
    <n v="40"/>
    <n v="2"/>
    <n v="187.33333333333334"/>
  </r>
  <r>
    <d v="2025-11-03T08:00:00"/>
    <s v="INYECTADO"/>
    <x v="2"/>
    <x v="254"/>
    <s v="NELSON PINEDO"/>
    <m/>
    <m/>
    <m/>
    <s v="TAPA REPOSTEROS"/>
    <s v="TAPA REPOSTEROS-AZUL"/>
    <n v="19"/>
    <n v="1"/>
    <n v="2"/>
    <x v="0"/>
    <m/>
    <n v="1"/>
    <m/>
    <n v="23129"/>
    <s v="AZUL"/>
    <n v="3.7"/>
    <n v="0"/>
    <n v="0"/>
    <n v="1.026"/>
    <n v="2"/>
    <n v="54"/>
    <n v="37.037037037037038"/>
    <x v="10"/>
    <x v="0"/>
    <n v="40"/>
    <n v="2"/>
    <n v="3.1666666666666665"/>
  </r>
  <r>
    <d v="2025-11-03T08:00:00"/>
    <s v="INYECTADO"/>
    <x v="2"/>
    <x v="250"/>
    <s v="JULIO RAMOS"/>
    <m/>
    <m/>
    <m/>
    <s v="TAPA REPOSTEROS"/>
    <s v="TAPA REPOSTEROS-AMARILLO"/>
    <n v="395"/>
    <n v="4"/>
    <n v="43.5"/>
    <x v="0"/>
    <m/>
    <n v="5"/>
    <m/>
    <n v="23130"/>
    <s v="AMARILLO"/>
    <n v="7.5"/>
    <n v="0"/>
    <n v="0"/>
    <n v="21.33"/>
    <n v="43.5"/>
    <n v="54"/>
    <n v="805.55555555555554"/>
    <x v="10"/>
    <x v="0"/>
    <n v="40"/>
    <n v="2"/>
    <n v="65.833333333333329"/>
  </r>
  <r>
    <d v="2025-11-03T08:00:00"/>
    <s v="INYECTADO"/>
    <x v="2"/>
    <x v="250"/>
    <s v="JULIO RAMOS"/>
    <m/>
    <m/>
    <m/>
    <s v="TAPA REPOSTEROS"/>
    <s v="TAPA REPOSTEROS-TURQUESA"/>
    <n v="615"/>
    <n v="6"/>
    <n v="68.3"/>
    <x v="0"/>
    <m/>
    <n v="7"/>
    <m/>
    <n v="23130"/>
    <s v="TURQUESA"/>
    <n v="11.3"/>
    <n v="0"/>
    <n v="0"/>
    <n v="33.21"/>
    <n v="68.3"/>
    <n v="54"/>
    <n v="1264.8148148148148"/>
    <x v="10"/>
    <x v="0"/>
    <n v="40"/>
    <n v="2"/>
    <n v="102.5"/>
  </r>
  <r>
    <d v="2025-11-03T08:00:00"/>
    <s v="INYECTADO"/>
    <x v="2"/>
    <x v="231"/>
    <s v="JULIO RAMOS"/>
    <m/>
    <m/>
    <m/>
    <s v="TAPA REPOSTEROS"/>
    <s v="TAPA REPOSTEROS-TURQUESA"/>
    <n v="741"/>
    <n v="7"/>
    <n v="85.3"/>
    <x v="0"/>
    <m/>
    <n v="8"/>
    <m/>
    <n v="23131"/>
    <s v="TURQUESA"/>
    <n v="9.6"/>
    <n v="0"/>
    <n v="0"/>
    <n v="40.014000000000003"/>
    <n v="85.3"/>
    <n v="54"/>
    <n v="1579.6296296296296"/>
    <x v="10"/>
    <x v="0"/>
    <n v="41"/>
    <n v="2"/>
    <n v="123.5"/>
  </r>
  <r>
    <d v="2025-11-03T08:00:00"/>
    <s v="INYECTADO"/>
    <x v="2"/>
    <x v="231"/>
    <s v="JULIO RAMOS"/>
    <m/>
    <m/>
    <m/>
    <s v="TAPA REPOSTEROS"/>
    <s v="TAPA REPOSTEROS-VERDE"/>
    <n v="82"/>
    <n v="2"/>
    <n v="9.1"/>
    <x v="0"/>
    <m/>
    <n v="1"/>
    <m/>
    <n v="23131"/>
    <s v="VERDE"/>
    <n v="2.2000000000000002"/>
    <n v="0"/>
    <n v="0"/>
    <n v="4.4279999999999999"/>
    <n v="9.1"/>
    <n v="54"/>
    <n v="168.5185185185185"/>
    <x v="10"/>
    <x v="0"/>
    <n v="41"/>
    <n v="2"/>
    <n v="13.666666666666666"/>
  </r>
  <r>
    <d v="2025-11-03T08:00:00"/>
    <s v="INYECTADO"/>
    <x v="2"/>
    <x v="232"/>
    <s v="CRISALIDA ZAPATA"/>
    <m/>
    <m/>
    <m/>
    <s v="TAPA REPOSTEROS"/>
    <s v="TAPA REPOSTEROS-NARANJA "/>
    <n v="944"/>
    <n v="11"/>
    <n v="108.6"/>
    <x v="0"/>
    <m/>
    <n v="11"/>
    <m/>
    <n v="23133"/>
    <s v="NARANJA"/>
    <n v="12"/>
    <n v="0"/>
    <n v="0"/>
    <e v="#N/A"/>
    <n v="108.6"/>
    <e v="#N/A"/>
    <n v="0"/>
    <x v="10"/>
    <x v="0"/>
    <n v="41"/>
    <e v="#N/A"/>
    <e v="#N/A"/>
  </r>
  <r>
    <d v="2025-11-03T08:00:00"/>
    <s v="INYECTADO"/>
    <x v="2"/>
    <x v="232"/>
    <s v="MARJORIE VILCHEZ"/>
    <m/>
    <m/>
    <m/>
    <s v="TAPA REPOSTEROS"/>
    <s v="TAPA REPOSTEROS-ROJO"/>
    <n v="1242"/>
    <n v="12"/>
    <n v="137.5"/>
    <x v="1"/>
    <m/>
    <n v="13"/>
    <m/>
    <n v="23134"/>
    <s v="ROJO"/>
    <n v="11.7"/>
    <n v="0"/>
    <n v="0"/>
    <n v="67.067999999999998"/>
    <n v="137.5"/>
    <n v="54"/>
    <n v="2546.2962962962961"/>
    <x v="10"/>
    <x v="0"/>
    <n v="41"/>
    <n v="2"/>
    <n v="207"/>
  </r>
  <r>
    <d v="2025-11-03T08:00:00"/>
    <s v="INYECTADO"/>
    <x v="2"/>
    <x v="233"/>
    <s v="KARLA HUISA"/>
    <m/>
    <m/>
    <m/>
    <s v="TAPA REPOSTEROS"/>
    <s v="TAPA REPOSTEROS-ROJO"/>
    <n v="222"/>
    <n v="3"/>
    <n v="24.2"/>
    <x v="0"/>
    <m/>
    <n v="3"/>
    <m/>
    <n v="23135"/>
    <s v="ROJO"/>
    <n v="12.2"/>
    <n v="0"/>
    <n v="0"/>
    <n v="11.988"/>
    <n v="24.2"/>
    <n v="54"/>
    <n v="448.14814814814815"/>
    <x v="10"/>
    <x v="0"/>
    <n v="41"/>
    <n v="2"/>
    <n v="37"/>
  </r>
  <r>
    <d v="2025-11-03T08:00:00"/>
    <s v="INYECTADO"/>
    <x v="2"/>
    <x v="233"/>
    <s v="KARLA HUISA"/>
    <m/>
    <m/>
    <m/>
    <s v="TAPA REPOSTEROS"/>
    <s v="TAPA REPOSTEROS-VERDE"/>
    <n v="657"/>
    <n v="8"/>
    <n v="72.3"/>
    <x v="0"/>
    <m/>
    <n v="7"/>
    <m/>
    <n v="23135"/>
    <s v="VERDE"/>
    <n v="8.6999999999999993"/>
    <n v="0"/>
    <n v="0"/>
    <n v="35.478000000000002"/>
    <n v="72.3"/>
    <n v="54"/>
    <n v="1338.8888888888889"/>
    <x v="10"/>
    <x v="0"/>
    <n v="41"/>
    <n v="2"/>
    <n v="109.5"/>
  </r>
  <r>
    <d v="2025-11-03T08:00:00"/>
    <s v="INYECTADO"/>
    <x v="2"/>
    <x v="238"/>
    <s v="CRISALIDA ZAPATA"/>
    <m/>
    <m/>
    <m/>
    <s v="TAPAS DE JARRA 5 Y 6L"/>
    <s v="TAPAS DE JARRA DE 5 Y 6L-AMARILLO"/>
    <n v="213"/>
    <n v="3"/>
    <n v="34.9"/>
    <x v="0"/>
    <m/>
    <n v="7"/>
    <n v="1261"/>
    <n v="23136"/>
    <s v="AMARILLO"/>
    <n v="30.8"/>
    <n v="0"/>
    <n v="0"/>
    <n v="17.253"/>
    <n v="34.9"/>
    <n v="81"/>
    <n v="430.8641975308642"/>
    <x v="10"/>
    <x v="0"/>
    <n v="42"/>
    <n v="2"/>
    <n v="35.5"/>
  </r>
  <r>
    <d v="2025-11-03T08:00:00"/>
    <s v="INYECTADO"/>
    <x v="2"/>
    <x v="238"/>
    <s v="CRISALIDA ZAPATA"/>
    <m/>
    <m/>
    <m/>
    <s v="TAPAS DE JARRA 5 Y 6L"/>
    <s v="TAPAS DE JARRA DE 5 Y 6L-VERDE"/>
    <n v="28"/>
    <n v="1"/>
    <n v="4.5999999999999996"/>
    <x v="0"/>
    <m/>
    <n v="1"/>
    <n v="1261"/>
    <n v="23136"/>
    <s v="VERDE"/>
    <n v="17.899999999999999"/>
    <n v="0"/>
    <n v="0"/>
    <n v="2.2679999999999998"/>
    <n v="4.5999999999999996"/>
    <n v="81"/>
    <n v="56.790123456790127"/>
    <x v="10"/>
    <x v="0"/>
    <n v="42"/>
    <n v="2"/>
    <n v="4.666666666666667"/>
  </r>
  <r>
    <d v="2025-11-03T08:00:00"/>
    <s v="INYECTADO"/>
    <x v="2"/>
    <x v="238"/>
    <s v="ISABEL LINARIZ "/>
    <m/>
    <m/>
    <m/>
    <s v="TAPAS DE JARRA 5 Y 6L"/>
    <s v="TAPAS DE JARRA DE 5 Y 6L-VERDE"/>
    <n v="525"/>
    <n v="7"/>
    <n v="86.6"/>
    <x v="1"/>
    <m/>
    <n v="15"/>
    <n v="1261"/>
    <n v="23137"/>
    <s v="VERDE"/>
    <n v="16.7"/>
    <n v="0"/>
    <n v="0"/>
    <n v="42.524999999999999"/>
    <n v="86.6"/>
    <n v="81"/>
    <n v="1069.1358024691358"/>
    <x v="10"/>
    <x v="0"/>
    <n v="42"/>
    <n v="2"/>
    <n v="87.5"/>
  </r>
  <r>
    <d v="2025-11-03T08:00:00"/>
    <s v="INYECTADO"/>
    <x v="2"/>
    <x v="238"/>
    <s v="ISABEL LINARIZ "/>
    <m/>
    <m/>
    <m/>
    <s v="TAPAS DE JARRA 5 Y 6L"/>
    <s v="TAPAS DE JARRA DE 5 Y 6L-AZUL"/>
    <n v="335"/>
    <n v="4"/>
    <n v="55.2"/>
    <x v="1"/>
    <m/>
    <n v="9"/>
    <n v="1261"/>
    <n v="23137"/>
    <s v="AZUL"/>
    <n v="1.8"/>
    <n v="0"/>
    <n v="0"/>
    <n v="27.135000000000002"/>
    <n v="55.2"/>
    <n v="81"/>
    <n v="681.48148148148152"/>
    <x v="10"/>
    <x v="0"/>
    <n v="42"/>
    <n v="2"/>
    <n v="55.833333333333336"/>
  </r>
  <r>
    <d v="2025-11-03T08:00:00"/>
    <s v="SOPLADO"/>
    <x v="9"/>
    <x v="246"/>
    <s v="NELSON"/>
    <m/>
    <m/>
    <m/>
    <s v="TOMATODO AVENTURA 600ML"/>
    <s v="TOMATODO AVENTURA 600ML-TRANSPARENTE"/>
    <n v="939"/>
    <n v="9"/>
    <n v="43.2"/>
    <x v="0"/>
    <m/>
    <n v="7"/>
    <m/>
    <n v="21497"/>
    <s v="TRANSPARENTE"/>
    <n v="17"/>
    <n v="0"/>
    <n v="0"/>
    <n v="43.194000000000003"/>
    <n v="43.2"/>
    <n v="46"/>
    <n v="939.13043478260875"/>
    <x v="10"/>
    <x v="0"/>
    <n v="44"/>
    <n v="1"/>
    <n v="78.25"/>
  </r>
  <r>
    <d v="2025-11-03T08:00:00"/>
    <s v="SOPLADO"/>
    <x v="9"/>
    <x v="246"/>
    <s v="GABRIEL REQUENA"/>
    <m/>
    <m/>
    <m/>
    <s v="TOMATODO AVENTURA 600ML"/>
    <s v="TOMATODO AVENTURA 600ML-TRANSPARENTE"/>
    <n v="1313"/>
    <n v="12"/>
    <n v="60.4"/>
    <x v="1"/>
    <m/>
    <n v="10"/>
    <m/>
    <n v="21498"/>
    <s v="TRANSPARENTE"/>
    <n v="30.2"/>
    <n v="0"/>
    <n v="0"/>
    <n v="60.398000000000003"/>
    <n v="60.4"/>
    <n v="46"/>
    <n v="1313.0434782608695"/>
    <x v="10"/>
    <x v="0"/>
    <n v="44"/>
    <n v="1"/>
    <n v="109.41666666666667"/>
  </r>
  <r>
    <d v="2025-11-03T08:00:00"/>
    <s v="SOPLADO"/>
    <x v="9"/>
    <x v="247"/>
    <s v="LEONOR GUTIERREZ"/>
    <m/>
    <m/>
    <m/>
    <s v="TOMATODO AVENTURA 600ML"/>
    <s v="TOMATODO AVENTURA 600ML-TRANSPARENTE"/>
    <n v="828"/>
    <n v="8"/>
    <n v="38.1"/>
    <x v="0"/>
    <m/>
    <n v="8"/>
    <m/>
    <n v="21499"/>
    <s v="TRANSPARENTE"/>
    <n v="0"/>
    <n v="0"/>
    <n v="0"/>
    <n v="38.088000000000001"/>
    <n v="38.1"/>
    <n v="46"/>
    <n v="828.26086956521738"/>
    <x v="10"/>
    <x v="0"/>
    <n v="44"/>
    <n v="1"/>
    <n v="69"/>
  </r>
  <r>
    <d v="2025-11-03T08:00:00"/>
    <s v="INYECTADO"/>
    <x v="2"/>
    <x v="258"/>
    <s v="CRISALIDA ZAPATA"/>
    <m/>
    <m/>
    <m/>
    <s v="TAPAS DE JARRA 5 Y 6L"/>
    <s v="TAPAS DE JARRA DE 5 Y 6L-AZUL"/>
    <n v="264"/>
    <n v="3"/>
    <n v="42.7"/>
    <x v="0"/>
    <m/>
    <n v="7"/>
    <n v="1261"/>
    <n v="23138"/>
    <s v="AZUL"/>
    <n v="12"/>
    <n v="0"/>
    <n v="0"/>
    <n v="21.384"/>
    <n v="42.7"/>
    <n v="81"/>
    <n v="527.16049382716051"/>
    <x v="10"/>
    <x v="0"/>
    <n v="42"/>
    <n v="2"/>
    <n v="44"/>
  </r>
  <r>
    <d v="2025-11-03T08:00:00"/>
    <s v="INYECTADO"/>
    <x v="2"/>
    <x v="258"/>
    <s v="CRISALIDA ZAPATA"/>
    <m/>
    <m/>
    <m/>
    <s v="TAPAS DE JARRA 5 Y 6L"/>
    <s v="TAPAS DE JARRA DE 5 Y 6L-ROJO"/>
    <n v="458"/>
    <n v="7"/>
    <n v="74.099999999999994"/>
    <x v="0"/>
    <m/>
    <n v="18"/>
    <n v="1261"/>
    <n v="23138"/>
    <s v="ROJO"/>
    <n v="10"/>
    <n v="0"/>
    <n v="0"/>
    <n v="37.097999999999999"/>
    <n v="74.099999999999994"/>
    <n v="81"/>
    <n v="914.81481481481478"/>
    <x v="10"/>
    <x v="0"/>
    <n v="42"/>
    <n v="2"/>
    <n v="76.333333333333329"/>
  </r>
  <r>
    <d v="2025-11-03T08:00:00"/>
    <s v="INYECTADO"/>
    <x v="2"/>
    <x v="258"/>
    <s v="ISABEL LINARIZ "/>
    <m/>
    <m/>
    <m/>
    <s v="TAPAS DE JARRA 5 Y 6L"/>
    <s v="TAPAS DE JARRA DE 5 Y 6L-ROJO"/>
    <n v="946"/>
    <n v="12"/>
    <n v="156"/>
    <x v="1"/>
    <m/>
    <n v="28"/>
    <n v="1261"/>
    <n v="23139"/>
    <s v="ROJO"/>
    <n v="0"/>
    <n v="0"/>
    <n v="0"/>
    <n v="76.626000000000005"/>
    <n v="156"/>
    <n v="81"/>
    <n v="1925.9259259259259"/>
    <x v="10"/>
    <x v="0"/>
    <n v="42"/>
    <n v="2"/>
    <n v="157.66666666666666"/>
  </r>
  <r>
    <d v="2025-11-03T08:00:00"/>
    <s v="INYECTADO"/>
    <x v="2"/>
    <x v="239"/>
    <s v="CRISALIDA ZAPATA"/>
    <m/>
    <m/>
    <m/>
    <s v="TAPAS DE JARRA 5 Y 6L"/>
    <s v="TAPAS DE JARRA DE 5 Y 6L-ROJO"/>
    <n v="72"/>
    <n v="1"/>
    <n v="12"/>
    <x v="0"/>
    <m/>
    <n v="3"/>
    <n v="1261"/>
    <n v="23140"/>
    <s v="ROJO"/>
    <n v="15.1"/>
    <n v="0"/>
    <n v="0"/>
    <n v="5.8319999999999999"/>
    <n v="12"/>
    <n v="81"/>
    <n v="148.14814814814815"/>
    <x v="10"/>
    <x v="0"/>
    <n v="42"/>
    <n v="2"/>
    <n v="12"/>
  </r>
  <r>
    <d v="2025-11-03T08:00:00"/>
    <s v="INYECTADO"/>
    <x v="2"/>
    <x v="239"/>
    <s v="CRISALIDA ZAPATA"/>
    <m/>
    <m/>
    <m/>
    <s v="TAPAS DE JARRA 5 Y 6L"/>
    <s v="TAPAS DE JARRA DE 5 Y 6L-AZUL"/>
    <n v="595"/>
    <n v="9"/>
    <n v="99.7"/>
    <x v="0"/>
    <m/>
    <n v="18"/>
    <n v="1261"/>
    <n v="23140"/>
    <s v="AZUL"/>
    <n v="16.399999999999999"/>
    <n v="0"/>
    <n v="0"/>
    <n v="48.195"/>
    <n v="99.7"/>
    <n v="81"/>
    <n v="1230.8641975308642"/>
    <x v="10"/>
    <x v="0"/>
    <n v="42"/>
    <n v="2"/>
    <n v="99.166666666666671"/>
  </r>
  <r>
    <d v="2025-11-03T08:00:00"/>
    <s v="INYECTADO"/>
    <x v="2"/>
    <x v="240"/>
    <s v="NELSON/LEONOR"/>
    <m/>
    <m/>
    <m/>
    <s v="TAPAS DE JARRA 5 Y 6L"/>
    <s v="TAPAS DE JARRA DE 5 Y 6L-AZUL"/>
    <n v="271"/>
    <n v="4"/>
    <n v="44.4"/>
    <x v="0"/>
    <m/>
    <n v="8"/>
    <n v="1261"/>
    <n v="23141"/>
    <s v="AZUL"/>
    <n v="10.7"/>
    <n v="0"/>
    <n v="0"/>
    <n v="21.951000000000001"/>
    <n v="44.4"/>
    <n v="81"/>
    <n v="548.14814814814815"/>
    <x v="10"/>
    <x v="0"/>
    <n v="42"/>
    <n v="2"/>
    <n v="45.166666666666664"/>
  </r>
  <r>
    <d v="2025-11-03T08:00:00"/>
    <s v="INYECTADO"/>
    <x v="2"/>
    <x v="240"/>
    <s v="LEONOR/BRAYAN"/>
    <m/>
    <m/>
    <m/>
    <s v="TAPAS DE JARRA 5 Y 6L"/>
    <s v="TAPAS DE JARRA DE 5 Y 6L-VERDE"/>
    <n v="285"/>
    <n v="3"/>
    <n v="63.1"/>
    <x v="0"/>
    <m/>
    <n v="13"/>
    <n v="1261"/>
    <n v="23141"/>
    <s v="VERDE"/>
    <n v="19.2"/>
    <n v="0"/>
    <n v="0"/>
    <n v="23.085000000000001"/>
    <n v="63.1"/>
    <n v="81"/>
    <n v="779.01234567901236"/>
    <x v="10"/>
    <x v="0"/>
    <n v="42"/>
    <n v="2"/>
    <n v="47.5"/>
  </r>
  <r>
    <d v="2025-11-03T08:00:00"/>
    <s v="INYECTADO"/>
    <x v="2"/>
    <x v="241"/>
    <s v="ANGIE VALDERRAMA"/>
    <m/>
    <m/>
    <m/>
    <s v="TAPAS DE JARRA 5 Y 6L"/>
    <s v="TAPAS DE JARRA DE 5 Y 6L-VERDE"/>
    <n v="516"/>
    <n v="7"/>
    <n v="84.1"/>
    <x v="0"/>
    <m/>
    <n v="18"/>
    <n v="1261"/>
    <n v="23142"/>
    <s v="VERDE"/>
    <n v="0"/>
    <n v="0"/>
    <n v="0"/>
    <n v="41.795999999999999"/>
    <n v="84.1"/>
    <n v="81"/>
    <n v="1038.2716049382716"/>
    <x v="10"/>
    <x v="0"/>
    <n v="42"/>
    <n v="2"/>
    <n v="86"/>
  </r>
  <r>
    <d v="2025-11-03T08:00:00"/>
    <s v="INYECTADO"/>
    <x v="2"/>
    <x v="242"/>
    <s v="ISABEL LINARIZ "/>
    <m/>
    <m/>
    <m/>
    <s v="TAPAS DE JARRA 5 Y 6L"/>
    <s v="TAPAS DE JARRA DE 5 Y 6L-AMARILLO"/>
    <n v="529"/>
    <n v="9"/>
    <n v="88.6"/>
    <x v="1"/>
    <m/>
    <n v="15"/>
    <n v="1261"/>
    <n v="23144"/>
    <s v="AMARILLO"/>
    <n v="15"/>
    <n v="0"/>
    <n v="0"/>
    <n v="42.848999999999997"/>
    <n v="88.6"/>
    <n v="81"/>
    <n v="1093.8271604938273"/>
    <x v="10"/>
    <x v="0"/>
    <n v="43"/>
    <n v="2"/>
    <n v="88.166666666666671"/>
  </r>
  <r>
    <d v="2025-11-03T08:00:00"/>
    <s v="INYECTADO"/>
    <x v="2"/>
    <x v="255"/>
    <s v="KARLA HUISA"/>
    <m/>
    <m/>
    <m/>
    <s v="TAPAS DE JARRA 5 Y 6L"/>
    <s v="TAPAS DE JARRA DE 5 Y 6L-AMARILLO"/>
    <n v="655"/>
    <n v="10"/>
    <n v="108"/>
    <x v="0"/>
    <m/>
    <n v="23"/>
    <n v="1261"/>
    <n v="23145"/>
    <s v="AMARILLO"/>
    <n v="6.8"/>
    <n v="0"/>
    <n v="0"/>
    <n v="53.055"/>
    <n v="108"/>
    <n v="81"/>
    <n v="1333.3333333333333"/>
    <x v="10"/>
    <x v="0"/>
    <n v="43"/>
    <n v="2"/>
    <n v="109.16666666666667"/>
  </r>
  <r>
    <d v="2025-11-03T08:00:00"/>
    <s v="INYECTADO"/>
    <x v="2"/>
    <x v="255"/>
    <s v="JUAN MANUEL "/>
    <m/>
    <m/>
    <m/>
    <s v="TAPAS DE JARRA 5 Y 6L"/>
    <s v="TAPAS DE JARRA DE 5 Y 6L-AMARILLO"/>
    <n v="599"/>
    <n v="6"/>
    <n v="99.4"/>
    <x v="1"/>
    <m/>
    <n v="20"/>
    <n v="1261"/>
    <n v="23146"/>
    <s v="AMARILLO"/>
    <n v="5"/>
    <n v="0"/>
    <n v="0"/>
    <n v="48.518999999999998"/>
    <n v="99.4"/>
    <n v="81"/>
    <n v="1227.1604938271605"/>
    <x v="10"/>
    <x v="0"/>
    <n v="43"/>
    <n v="2"/>
    <n v="99.833333333333329"/>
  </r>
  <r>
    <d v="2025-11-03T08:00:00"/>
    <s v="INYECTADO"/>
    <x v="2"/>
    <x v="255"/>
    <s v="JUAN MANUEL "/>
    <m/>
    <m/>
    <m/>
    <s v="TAPAS DE JARRA 5 Y 6L"/>
    <s v="TAPAS DE JARRA DE 5 Y 6L-VERDE"/>
    <n v="300"/>
    <n v="5"/>
    <n v="49.5"/>
    <x v="1"/>
    <m/>
    <n v="10"/>
    <n v="1261"/>
    <n v="23146"/>
    <s v="VERDE"/>
    <n v="5"/>
    <n v="0"/>
    <n v="0"/>
    <n v="24.3"/>
    <n v="49.5"/>
    <n v="81"/>
    <n v="611.11111111111109"/>
    <x v="10"/>
    <x v="0"/>
    <n v="43"/>
    <n v="2"/>
    <n v="50"/>
  </r>
  <r>
    <d v="2025-11-03T08:00:00"/>
    <s v="INYECTADO"/>
    <x v="2"/>
    <x v="256"/>
    <s v="CRISALIDA ZAPATA"/>
    <m/>
    <m/>
    <m/>
    <s v="TAPAS DE JARRA 5 Y 6L"/>
    <s v="TAPAS DE JARRA DE 5 Y 6L-VERDE"/>
    <n v="249"/>
    <n v="4"/>
    <n v="41.3"/>
    <x v="0"/>
    <m/>
    <n v="8"/>
    <n v="1261"/>
    <n v="23147"/>
    <s v="VERDE"/>
    <n v="12.8"/>
    <n v="0"/>
    <n v="0"/>
    <n v="20.169"/>
    <n v="41.3"/>
    <n v="81"/>
    <n v="509.87654320987656"/>
    <x v="10"/>
    <x v="0"/>
    <n v="43"/>
    <n v="2"/>
    <n v="41.5"/>
  </r>
  <r>
    <d v="2025-11-03T08:00:00"/>
    <s v="INYECTADO"/>
    <x v="2"/>
    <x v="256"/>
    <s v="CRISALIDA ZAPATA"/>
    <m/>
    <m/>
    <m/>
    <s v="TAPAS DE JARRA 5 Y 6L"/>
    <s v="TAPAS DE JARRA DE 5 Y 6L-AZUL"/>
    <n v="462"/>
    <n v="7"/>
    <n v="76.599999999999994"/>
    <x v="0"/>
    <m/>
    <n v="15"/>
    <n v="1261"/>
    <n v="23147"/>
    <s v="AZUL"/>
    <n v="0"/>
    <n v="0"/>
    <n v="0"/>
    <n v="37.421999999999997"/>
    <n v="76.599999999999994"/>
    <n v="81"/>
    <n v="945.67901234567898"/>
    <x v="10"/>
    <x v="0"/>
    <n v="43"/>
    <n v="2"/>
    <n v="77"/>
  </r>
  <r>
    <d v="2025-11-03T08:00:00"/>
    <s v="INYECTADO"/>
    <x v="2"/>
    <x v="257"/>
    <s v="LEONOR GUTIERREZ"/>
    <m/>
    <m/>
    <m/>
    <s v="TAPAS DE JARRA 5 Y 6L"/>
    <s v="TAPAS DE JARRA DE 5 Y 6L-AZUL"/>
    <n v="99"/>
    <n v="2"/>
    <n v="16.399999999999999"/>
    <x v="0"/>
    <m/>
    <n v="4"/>
    <n v="1261"/>
    <n v="23148"/>
    <s v="AZUL"/>
    <n v="21.6"/>
    <n v="0"/>
    <n v="0"/>
    <n v="8.0190000000000001"/>
    <n v="16.399999999999999"/>
    <n v="81"/>
    <n v="202.46913580246914"/>
    <x v="10"/>
    <x v="0"/>
    <n v="43"/>
    <n v="2"/>
    <n v="16.5"/>
  </r>
  <r>
    <d v="2025-11-03T08:00:00"/>
    <s v="INYECTADO"/>
    <x v="2"/>
    <x v="257"/>
    <s v="LEONOR GUTIERREZ"/>
    <m/>
    <m/>
    <m/>
    <s v="TAPAS DE JARRA 5 Y 6L"/>
    <s v="TAPAS DE JARRA DE 5 Y 6L-ROJO"/>
    <n v="411"/>
    <n v="7"/>
    <n v="74.099999999999994"/>
    <x v="0"/>
    <m/>
    <n v="14"/>
    <n v="1261"/>
    <n v="23148"/>
    <s v="ROJO"/>
    <n v="5"/>
    <n v="0"/>
    <n v="0"/>
    <n v="33.290999999999997"/>
    <n v="74.099999999999994"/>
    <n v="81"/>
    <n v="914.81481481481478"/>
    <x v="10"/>
    <x v="0"/>
    <n v="43"/>
    <n v="2"/>
    <n v="68.5"/>
  </r>
  <r>
    <d v="2025-11-03T08:00:00"/>
    <s v="INYECTADO"/>
    <x v="2"/>
    <x v="243"/>
    <s v="ANGIE VALDERRAMA"/>
    <m/>
    <m/>
    <m/>
    <s v="TAPAS DE JARRA 5 Y 6L"/>
    <s v="TAPAS DE JARRA DE 5 Y 6L-ROJO"/>
    <n v="147"/>
    <n v="3"/>
    <n v="26.6"/>
    <x v="0"/>
    <m/>
    <n v="5"/>
    <n v="1261"/>
    <n v="23149"/>
    <s v="ROJO"/>
    <n v="5"/>
    <n v="0"/>
    <n v="0"/>
    <n v="11.907"/>
    <n v="26.6"/>
    <n v="81"/>
    <n v="328.39506172839504"/>
    <x v="10"/>
    <x v="0"/>
    <n v="43"/>
    <n v="2"/>
    <n v="24.5"/>
  </r>
  <r>
    <d v="2025-11-03T08:00:00"/>
    <s v="INYECTADO"/>
    <x v="2"/>
    <x v="248"/>
    <s v="NELSON PINEDO"/>
    <m/>
    <m/>
    <m/>
    <s v="CABINA VOLQUETE MINERO "/>
    <s v="CABINA VOLQUETE MINERO-ROJO"/>
    <n v="78"/>
    <n v="1"/>
    <n v="11.8"/>
    <x v="0"/>
    <m/>
    <n v="1"/>
    <m/>
    <n v="23150"/>
    <s v="ROJO"/>
    <n v="15"/>
    <n v="0"/>
    <n v="0"/>
    <e v="#N/A"/>
    <n v="11.8"/>
    <e v="#N/A"/>
    <n v="0"/>
    <x v="10"/>
    <x v="0"/>
    <n v="44"/>
    <e v="#N/A"/>
    <e v="#N/A"/>
  </r>
  <r>
    <d v="2025-11-03T08:00:00"/>
    <s v="INYECTADO"/>
    <x v="2"/>
    <x v="248"/>
    <s v="NELSON PINEDO"/>
    <m/>
    <m/>
    <m/>
    <s v="CABINA VOLQUETE MINERO "/>
    <s v="CABINA VOLQUETE MINERO-AZURE"/>
    <n v="75"/>
    <n v="1"/>
    <n v="11.1"/>
    <x v="0"/>
    <m/>
    <n v="1"/>
    <m/>
    <n v="23150"/>
    <s v="AZURE"/>
    <n v="0"/>
    <n v="0"/>
    <n v="0"/>
    <e v="#N/A"/>
    <n v="11.1"/>
    <e v="#N/A"/>
    <n v="0"/>
    <x v="10"/>
    <x v="0"/>
    <n v="44"/>
    <e v="#N/A"/>
    <e v="#N/A"/>
  </r>
  <r>
    <d v="2025-11-03T08:00:00"/>
    <s v="INYECTADO"/>
    <x v="2"/>
    <x v="248"/>
    <s v="NELSON PINEDO"/>
    <m/>
    <m/>
    <m/>
    <s v="CABINA VOLQUETE MINERO "/>
    <s v="CABINA VOLQUETE MINERO-VERDE"/>
    <n v="79"/>
    <n v="1"/>
    <n v="11.5"/>
    <x v="0"/>
    <m/>
    <n v="1"/>
    <m/>
    <n v="23150"/>
    <s v="VERDE"/>
    <n v="0"/>
    <n v="0"/>
    <n v="0"/>
    <e v="#N/A"/>
    <n v="11.5"/>
    <e v="#N/A"/>
    <n v="0"/>
    <x v="10"/>
    <x v="0"/>
    <n v="44"/>
    <e v="#N/A"/>
    <e v="#N/A"/>
  </r>
  <r>
    <d v="2025-11-03T08:00:00"/>
    <s v="SOPLADO"/>
    <x v="12"/>
    <x v="243"/>
    <s v="BRAYAN PINEDO"/>
    <m/>
    <m/>
    <m/>
    <s v="SALSERO MULTIUSO 480 ML"/>
    <s v="SALSERO MULTIUSO 480ML-TRANSPARENTE"/>
    <n v="1344"/>
    <n v="10"/>
    <n v="48.4"/>
    <x v="0"/>
    <m/>
    <n v="7"/>
    <m/>
    <n v="22370"/>
    <s v="TRANSPARENTE"/>
    <n v="20.3"/>
    <n v="0"/>
    <n v="0"/>
    <n v="51.072000000000003"/>
    <n v="48.4"/>
    <n v="38"/>
    <n v="1273.6842105263158"/>
    <x v="10"/>
    <x v="0"/>
    <n v="43"/>
    <n v="1"/>
    <n v="112"/>
  </r>
  <r>
    <d v="2025-11-03T08:00:00"/>
    <s v="INYECTADO"/>
    <x v="6"/>
    <x v="256"/>
    <s v="KARLA HUISA"/>
    <m/>
    <m/>
    <m/>
    <s v="VASO MUNDO MANZANITA"/>
    <s v="VASO MUNDO MANZANITA CARAMELO-FUCSIA"/>
    <n v="578"/>
    <n v="6"/>
    <n v="75.8"/>
    <x v="0"/>
    <m/>
    <n v="8"/>
    <m/>
    <n v="22849"/>
    <s v="FUCSIA"/>
    <n v="0"/>
    <n v="0"/>
    <n v="0"/>
    <n v="12.715999999999999"/>
    <n v="75.8"/>
    <n v="22"/>
    <n v="3445.4545454545455"/>
    <x v="10"/>
    <x v="0"/>
    <n v="43"/>
    <n v="6"/>
    <n v="289"/>
  </r>
  <r>
    <d v="2025-11-03T08:00:00"/>
    <s v="INYECTADO"/>
    <x v="6"/>
    <x v="256"/>
    <s v="KARLA HUISA"/>
    <m/>
    <m/>
    <m/>
    <s v="VASO MUNDO MANZANITA"/>
    <s v="VASO MUNDO MANZANITA CARAMELO-LILA"/>
    <n v="539"/>
    <n v="5"/>
    <n v="70.7"/>
    <x v="0"/>
    <m/>
    <n v="7"/>
    <m/>
    <n v="22849"/>
    <s v="LILA"/>
    <n v="0.5"/>
    <n v="0"/>
    <n v="0"/>
    <n v="11.858000000000001"/>
    <n v="70.7"/>
    <n v="22"/>
    <n v="3213.6363636363635"/>
    <x v="10"/>
    <x v="0"/>
    <n v="43"/>
    <n v="6"/>
    <n v="269.5"/>
  </r>
  <r>
    <d v="2025-11-03T08:00:00"/>
    <s v="INYECTADO"/>
    <x v="6"/>
    <x v="257"/>
    <s v="ANGIE VALDERRAMA"/>
    <m/>
    <m/>
    <m/>
    <s v="VASO MUNDO MANZANITA"/>
    <s v="VASO MUNDO MANZANITA CARAMELO-LILA"/>
    <n v="231"/>
    <n v="3"/>
    <n v="30.3"/>
    <x v="0"/>
    <m/>
    <n v="3"/>
    <m/>
    <n v="22850"/>
    <s v="LILA"/>
    <n v="2.6"/>
    <n v="0"/>
    <n v="0"/>
    <n v="5.0819999999999999"/>
    <n v="30.3"/>
    <n v="22"/>
    <n v="1377.2727272727273"/>
    <x v="10"/>
    <x v="0"/>
    <n v="43"/>
    <n v="6"/>
    <n v="115.5"/>
  </r>
  <r>
    <d v="2025-11-03T08:00:00"/>
    <s v="INYECTADO"/>
    <x v="6"/>
    <x v="257"/>
    <s v="ANGIE VALDERRAMA"/>
    <m/>
    <m/>
    <m/>
    <s v="VASO MUNDO MANZANITA"/>
    <s v="VASO MUNDO MANZANITA CARAMELO-AZUL"/>
    <n v="773"/>
    <n v="9"/>
    <n v="101.3"/>
    <x v="0"/>
    <m/>
    <n v="8"/>
    <m/>
    <n v="22850"/>
    <s v="AZUL"/>
    <n v="0.9"/>
    <n v="0"/>
    <n v="0"/>
    <n v="17.006"/>
    <n v="101.3"/>
    <n v="22"/>
    <n v="4604.545454545455"/>
    <x v="10"/>
    <x v="0"/>
    <n v="43"/>
    <n v="6"/>
    <n v="386.5"/>
  </r>
  <r>
    <d v="2025-11-03T08:00:00"/>
    <s v="INYECTADO"/>
    <x v="6"/>
    <x v="243"/>
    <s v="NELSON PINEDO"/>
    <m/>
    <m/>
    <m/>
    <s v="EMBUDO #2"/>
    <s v="EMBUDO #2-AMARILLO"/>
    <n v="145"/>
    <n v="2"/>
    <n v="19.2"/>
    <x v="0"/>
    <m/>
    <n v="2"/>
    <m/>
    <n v="22851"/>
    <s v="AMARILLO"/>
    <n v="9.8000000000000007"/>
    <n v="0"/>
    <n v="0"/>
    <n v="5.0750000000000002"/>
    <n v="19.2"/>
    <n v="35"/>
    <n v="548.57142857142856"/>
    <x v="10"/>
    <x v="0"/>
    <n v="43"/>
    <n v="4"/>
    <n v="48.333333333333336"/>
  </r>
  <r>
    <d v="2025-11-03T08:00:00"/>
    <s v="INYECTADO"/>
    <x v="6"/>
    <x v="243"/>
    <s v="GABRIEL REQUENA"/>
    <m/>
    <m/>
    <m/>
    <s v="EMBUDO #2"/>
    <s v="EMBUDO #2-AMARILLO"/>
    <n v="1200"/>
    <n v="12"/>
    <n v="158.5"/>
    <x v="1"/>
    <m/>
    <n v="11"/>
    <m/>
    <n v="22852"/>
    <s v="AMARILLO"/>
    <n v="26.8"/>
    <n v="0"/>
    <n v="0"/>
    <n v="42"/>
    <n v="158.5"/>
    <n v="35"/>
    <n v="4528.5714285714284"/>
    <x v="10"/>
    <x v="0"/>
    <n v="43"/>
    <n v="4"/>
    <n v="400"/>
  </r>
  <r>
    <d v="2025-11-03T08:00:00"/>
    <s v="INYECTADO"/>
    <x v="6"/>
    <x v="244"/>
    <s v="NELSON PINEDO"/>
    <m/>
    <m/>
    <m/>
    <s v="EMBUDO #2"/>
    <s v="EMBUDO #2-ROJO"/>
    <n v="1270"/>
    <n v="11"/>
    <n v="167.1"/>
    <x v="0"/>
    <m/>
    <n v="12"/>
    <m/>
    <n v="22853"/>
    <s v="ROJO"/>
    <n v="28.9"/>
    <n v="0"/>
    <n v="0"/>
    <n v="44.45"/>
    <n v="167.1"/>
    <n v="35"/>
    <n v="4774.2857142857147"/>
    <x v="10"/>
    <x v="0"/>
    <n v="43"/>
    <n v="4"/>
    <n v="423.33333333333331"/>
  </r>
  <r>
    <d v="2025-11-03T08:00:00"/>
    <s v="INYECTADO"/>
    <x v="6"/>
    <x v="244"/>
    <s v="GABRIEL REQUENA"/>
    <m/>
    <m/>
    <m/>
    <s v="EMBUDO #2"/>
    <s v="EMBUDO #2-ROJO"/>
    <n v="53"/>
    <n v="1"/>
    <n v="7.1"/>
    <x v="1"/>
    <m/>
    <n v="1"/>
    <m/>
    <n v="22854"/>
    <s v="ROJO"/>
    <n v="7.1"/>
    <n v="0"/>
    <n v="0"/>
    <n v="1.855"/>
    <n v="7.1"/>
    <n v="35"/>
    <n v="202.85714285714286"/>
    <x v="10"/>
    <x v="0"/>
    <n v="43"/>
    <n v="4"/>
    <n v="17.666666666666668"/>
  </r>
  <r>
    <d v="2025-11-03T08:00:00"/>
    <s v="INYECTADO"/>
    <x v="6"/>
    <x v="244"/>
    <s v="GABRIEL REQUENA"/>
    <m/>
    <m/>
    <m/>
    <s v="EMBUDO #2"/>
    <s v="EMBUDO #2-FUCSIA"/>
    <n v="650"/>
    <n v="6"/>
    <n v="85.8"/>
    <x v="1"/>
    <m/>
    <n v="6"/>
    <m/>
    <n v="22854"/>
    <s v="FUCSIA"/>
    <n v="85.8"/>
    <n v="0"/>
    <n v="0"/>
    <n v="22.75"/>
    <n v="85.8"/>
    <n v="35"/>
    <n v="2451.4285714285716"/>
    <x v="10"/>
    <x v="0"/>
    <n v="43"/>
    <n v="4"/>
    <n v="216.66666666666666"/>
  </r>
  <r>
    <d v="2025-11-03T08:00:00"/>
    <s v="INYECTADO"/>
    <x v="6"/>
    <x v="244"/>
    <s v="GABRIEL REQUENA"/>
    <m/>
    <m/>
    <m/>
    <s v="EMBUDO #2"/>
    <s v="EMBUDO #2-LILA"/>
    <n v="509"/>
    <n v="3"/>
    <n v="67.3"/>
    <x v="1"/>
    <m/>
    <n v="5"/>
    <m/>
    <n v="22854"/>
    <s v="LILA"/>
    <n v="67.3"/>
    <n v="0"/>
    <n v="0"/>
    <n v="17.815000000000001"/>
    <n v="67.3"/>
    <n v="35"/>
    <n v="1922.8571428571429"/>
    <x v="10"/>
    <x v="0"/>
    <n v="43"/>
    <n v="4"/>
    <n v="169.66666666666666"/>
  </r>
  <r>
    <d v="2025-11-03T08:00:00"/>
    <s v="INYECTADO"/>
    <x v="6"/>
    <x v="245"/>
    <s v="BRAYAN PINEDO"/>
    <m/>
    <m/>
    <m/>
    <s v="EMBUDO #2"/>
    <s v="EMBUDO #2-LILA"/>
    <n v="164"/>
    <n v="2"/>
    <n v="21.7"/>
    <x v="0"/>
    <m/>
    <n v="7"/>
    <m/>
    <n v="22855"/>
    <s v="LILA"/>
    <n v="7.1"/>
    <n v="0"/>
    <n v="0"/>
    <n v="5.74"/>
    <n v="21.7"/>
    <n v="35"/>
    <n v="620"/>
    <x v="10"/>
    <x v="0"/>
    <n v="44"/>
    <n v="4"/>
    <n v="54.666666666666664"/>
  </r>
  <r>
    <d v="2025-11-03T08:00:00"/>
    <s v="INYECTADO"/>
    <x v="6"/>
    <x v="245"/>
    <s v="BRAYAN PINEDO"/>
    <m/>
    <m/>
    <m/>
    <s v="EMBUDO #2"/>
    <s v="EMBUDO #2-CELESTE"/>
    <n v="968"/>
    <n v="9"/>
    <n v="129.80000000000001"/>
    <x v="0"/>
    <m/>
    <n v="6"/>
    <m/>
    <n v="22855"/>
    <s v="CELESTE"/>
    <n v="17.8"/>
    <n v="0"/>
    <n v="0"/>
    <n v="33.880000000000003"/>
    <n v="129.80000000000001"/>
    <n v="35"/>
    <n v="3708.5714285714289"/>
    <x v="10"/>
    <x v="0"/>
    <n v="44"/>
    <n v="4"/>
    <n v="322.66666666666669"/>
  </r>
  <r>
    <d v="2025-11-03T08:00:00"/>
    <s v="INYECTADO"/>
    <x v="6"/>
    <x v="245"/>
    <s v="ISABEL LINARIZ "/>
    <m/>
    <m/>
    <m/>
    <s v="EMBUDO #2"/>
    <s v="EMBUDO #2-AZUL"/>
    <n v="284"/>
    <n v="3"/>
    <n v="37.6"/>
    <x v="1"/>
    <m/>
    <n v="3"/>
    <m/>
    <n v="22856"/>
    <s v="AZUL"/>
    <n v="8.8000000000000007"/>
    <n v="0"/>
    <n v="0"/>
    <n v="9.94"/>
    <n v="37.6"/>
    <n v="35"/>
    <n v="1074.2857142857142"/>
    <x v="10"/>
    <x v="0"/>
    <n v="44"/>
    <n v="4"/>
    <n v="94.666666666666671"/>
  </r>
  <r>
    <d v="2025-11-03T08:00:00"/>
    <s v="INYECTADO"/>
    <x v="6"/>
    <x v="245"/>
    <s v="ISABEL LINARIZ "/>
    <m/>
    <m/>
    <m/>
    <s v="EMBUDO #2"/>
    <s v="EMBUDO #2-VERDE"/>
    <n v="1075"/>
    <n v="8"/>
    <n v="143.1"/>
    <x v="1"/>
    <m/>
    <n v="9"/>
    <m/>
    <n v="22856"/>
    <s v="VERDE"/>
    <n v="27.1"/>
    <n v="0"/>
    <n v="0"/>
    <n v="37.625"/>
    <n v="143.1"/>
    <n v="35"/>
    <n v="4088.5714285714284"/>
    <x v="10"/>
    <x v="0"/>
    <n v="44"/>
    <n v="4"/>
    <n v="358.33333333333331"/>
  </r>
  <r>
    <d v="2025-11-03T08:00:00"/>
    <s v="INYECTADO"/>
    <x v="6"/>
    <x v="246"/>
    <s v="KARLA HUISA"/>
    <m/>
    <m/>
    <m/>
    <s v="EMBUDO #2"/>
    <s v="EMBUDO #2-VERDE"/>
    <n v="273"/>
    <n v="2"/>
    <n v="36.4"/>
    <x v="0"/>
    <m/>
    <n v="3"/>
    <m/>
    <n v="22858"/>
    <s v="VERDE"/>
    <n v="15.8"/>
    <n v="0"/>
    <n v="0"/>
    <n v="9.5549999999999997"/>
    <n v="36.4"/>
    <n v="35"/>
    <n v="1040"/>
    <x v="10"/>
    <x v="0"/>
    <n v="44"/>
    <n v="4"/>
    <n v="91"/>
  </r>
  <r>
    <d v="2025-11-03T08:00:00"/>
    <s v="INYECTADO"/>
    <x v="6"/>
    <x v="246"/>
    <s v="KARLA HUISA"/>
    <m/>
    <m/>
    <m/>
    <s v="EMBUDO #2"/>
    <s v="EMBUDO #2-FUCSIA"/>
    <n v="663"/>
    <n v="6"/>
    <n v="88.2"/>
    <x v="0"/>
    <m/>
    <n v="6"/>
    <m/>
    <n v="22858"/>
    <s v="FUCSIA"/>
    <n v="15.5"/>
    <n v="0"/>
    <n v="0"/>
    <n v="23.204999999999998"/>
    <n v="88.2"/>
    <n v="35"/>
    <n v="2520"/>
    <x v="10"/>
    <x v="0"/>
    <n v="44"/>
    <n v="4"/>
    <n v="221"/>
  </r>
  <r>
    <d v="2025-11-03T08:00:00"/>
    <s v="INYECTADO"/>
    <x v="6"/>
    <x v="246"/>
    <s v="KARLA HUISA"/>
    <m/>
    <m/>
    <m/>
    <s v="EMBUDO #2"/>
    <s v="EMBUDO #2-LILA"/>
    <n v="241"/>
    <n v="3"/>
    <n v="32.299999999999997"/>
    <x v="0"/>
    <m/>
    <n v="2"/>
    <m/>
    <n v="22858"/>
    <s v="LILA"/>
    <n v="5.8"/>
    <n v="0"/>
    <n v="0"/>
    <n v="8.4350000000000005"/>
    <n v="32.299999999999997"/>
    <n v="35"/>
    <n v="922.85714285714278"/>
    <x v="10"/>
    <x v="0"/>
    <n v="44"/>
    <n v="4"/>
    <n v="80.333333333333329"/>
  </r>
  <r>
    <d v="2025-11-03T08:00:00"/>
    <s v="INYECTADO"/>
    <x v="6"/>
    <x v="246"/>
    <s v="JOSDER GONZALEZ"/>
    <m/>
    <m/>
    <m/>
    <s v="EMBUDO #2"/>
    <s v="EMBUDO #2-LILA"/>
    <n v="435"/>
    <n v="4"/>
    <n v="58.3"/>
    <x v="1"/>
    <m/>
    <n v="5"/>
    <m/>
    <n v="22859"/>
    <s v="LILA"/>
    <n v="9.3000000000000007"/>
    <n v="0"/>
    <n v="0"/>
    <n v="15.225"/>
    <n v="58.3"/>
    <n v="35"/>
    <n v="1665.7142857142858"/>
    <x v="10"/>
    <x v="0"/>
    <n v="44"/>
    <n v="4"/>
    <n v="145"/>
  </r>
  <r>
    <d v="2025-11-03T08:00:00"/>
    <s v="INYECTADO"/>
    <x v="6"/>
    <x v="248"/>
    <s v="ISABEL LINARIZ "/>
    <m/>
    <m/>
    <m/>
    <s v="SET DE COCINA ANITA"/>
    <s v="SET DE COCINA ANITA-ROSADO"/>
    <n v="839"/>
    <n v="10"/>
    <n v="104.9"/>
    <x v="1"/>
    <m/>
    <n v="9"/>
    <m/>
    <n v="22860"/>
    <s v="ROSADO"/>
    <n v="26.4"/>
    <n v="0"/>
    <n v="0"/>
    <n v="107.392"/>
    <n v="104.9"/>
    <n v="128"/>
    <n v="819.53125"/>
    <x v="10"/>
    <x v="0"/>
    <n v="44"/>
    <n v="1"/>
    <n v="69.916666666666671"/>
  </r>
  <r>
    <d v="2025-11-03T08:00:00"/>
    <s v="INYECTADO"/>
    <x v="6"/>
    <x v="249"/>
    <s v="DAIRETH"/>
    <m/>
    <m/>
    <m/>
    <s v="SET DE COCINA ANITA"/>
    <s v="SET DE COCINA ANITA-ROSADO"/>
    <n v="776"/>
    <n v="11"/>
    <n v="97.9"/>
    <x v="0"/>
    <m/>
    <n v="9"/>
    <m/>
    <n v="22861"/>
    <s v="ROSADO"/>
    <n v="20.6"/>
    <n v="0"/>
    <n v="0"/>
    <n v="99.328000000000003"/>
    <n v="97.9"/>
    <n v="128"/>
    <n v="764.84375"/>
    <x v="10"/>
    <x v="0"/>
    <n v="44"/>
    <n v="1"/>
    <n v="64.666666666666671"/>
  </r>
  <r>
    <d v="2025-11-03T08:00:00"/>
    <s v="INYECTADO"/>
    <x v="6"/>
    <x v="249"/>
    <s v="JOSDER GONZALEZ"/>
    <m/>
    <m/>
    <m/>
    <s v="SET DE COCINA ANITA"/>
    <s v="SET DE COCINA ANITA-FUCSIA"/>
    <n v="30"/>
    <n v="11"/>
    <n v="3.8"/>
    <x v="1"/>
    <m/>
    <n v="5"/>
    <m/>
    <n v="22862"/>
    <s v="FUCSIA"/>
    <n v="6.5"/>
    <n v="0"/>
    <n v="0"/>
    <e v="#N/A"/>
    <n v="3.8"/>
    <e v="#N/A"/>
    <n v="0"/>
    <x v="10"/>
    <x v="0"/>
    <n v="44"/>
    <e v="#N/A"/>
    <e v="#N/A"/>
  </r>
  <r>
    <d v="2025-11-03T08:00:00"/>
    <s v="INYECTADO"/>
    <x v="6"/>
    <x v="249"/>
    <s v="JOSDER GONZALEZ"/>
    <m/>
    <m/>
    <m/>
    <s v="SET DE COCINA ANITA"/>
    <s v="SET DE COCINA ANITA-MELON"/>
    <n v="796"/>
    <n v="1"/>
    <n v="100.4"/>
    <x v="1"/>
    <m/>
    <n v="3"/>
    <m/>
    <n v="22862"/>
    <s v="MELON"/>
    <n v="21.8"/>
    <n v="0"/>
    <n v="0"/>
    <n v="101.88800000000001"/>
    <n v="100.4"/>
    <n v="128"/>
    <n v="784.375"/>
    <x v="10"/>
    <x v="0"/>
    <n v="44"/>
    <n v="1"/>
    <n v="66.333333333333329"/>
  </r>
  <r>
    <d v="2025-11-03T08:00:00"/>
    <s v="INYECTADO"/>
    <x v="7"/>
    <x v="250"/>
    <s v="MARJORIE VILCHEZ"/>
    <m/>
    <m/>
    <m/>
    <s v="TAPA DE ORGANIZADOR #2"/>
    <s v="TAPA DE ORGANIZADOR #2-TRANSPARENTE"/>
    <n v="1433"/>
    <n v="12"/>
    <n v="63"/>
    <x v="1"/>
    <m/>
    <n v="12"/>
    <n v="1231"/>
    <n v="22743"/>
    <s v="TRANSPARENTE"/>
    <n v="0"/>
    <n v="0"/>
    <n v="0"/>
    <n v="30.093"/>
    <n v="63"/>
    <n v="21"/>
    <n v="3000"/>
    <x v="10"/>
    <x v="0"/>
    <n v="40"/>
    <n v="2"/>
    <n v="238.83333333333334"/>
  </r>
  <r>
    <d v="2025-11-03T08:00:00"/>
    <s v="INYECTADO"/>
    <x v="7"/>
    <x v="251"/>
    <s v="KARLA HUISA"/>
    <m/>
    <m/>
    <m/>
    <s v="TAPA DE ORGANIZADOR #2"/>
    <s v="TAPA DE ORGANIZADOR #2-TRANSPARENTE"/>
    <n v="964"/>
    <n v="8"/>
    <n v="43.3"/>
    <x v="0"/>
    <m/>
    <n v="9"/>
    <n v="1231"/>
    <n v="22744"/>
    <s v="TRANSPARENTE"/>
    <n v="0.7"/>
    <n v="0"/>
    <n v="0"/>
    <n v="20.244"/>
    <n v="43.3"/>
    <n v="21"/>
    <n v="2061.9047619047619"/>
    <x v="10"/>
    <x v="0"/>
    <n v="40"/>
    <n v="2"/>
    <n v="160.66666666666666"/>
  </r>
  <r>
    <d v="2025-11-03T08:00:00"/>
    <s v="INYECTADO"/>
    <x v="7"/>
    <x v="236"/>
    <s v="CRISALIDA ZAPATA"/>
    <m/>
    <m/>
    <m/>
    <s v="TAPA DE ORGANIZADOR #2"/>
    <s v="TAPA DE ORGANIZADOR #2-BLANCO"/>
    <n v="517"/>
    <n v="5"/>
    <n v="23.3"/>
    <x v="0"/>
    <m/>
    <n v="5"/>
    <n v="1231"/>
    <n v="22754"/>
    <s v="BLANCO"/>
    <n v="4.0999999999999996"/>
    <n v="0"/>
    <n v="0"/>
    <n v="10.856999999999999"/>
    <n v="23.3"/>
    <n v="21"/>
    <n v="1109.5238095238096"/>
    <x v="10"/>
    <x v="0"/>
    <n v="41"/>
    <n v="2"/>
    <n v="86.166666666666671"/>
  </r>
  <r>
    <d v="2025-11-03T08:00:00"/>
    <s v="INYECTADO"/>
    <x v="7"/>
    <x v="236"/>
    <s v="CRISALIDA ZAPATA"/>
    <m/>
    <m/>
    <m/>
    <s v="TAPA DE ORGANIZADOR #2"/>
    <s v="TAPA DE ORGANIZADOR #2 BRILLITO-TRANSPARENTE"/>
    <n v="344"/>
    <n v="3"/>
    <n v="15.1"/>
    <x v="0"/>
    <m/>
    <n v="2"/>
    <n v="1231"/>
    <n v="22754"/>
    <s v="TRANSPARENTE"/>
    <n v="0.3"/>
    <n v="0"/>
    <n v="0"/>
    <n v="16.512"/>
    <n v="15.1"/>
    <n v="48"/>
    <n v="314.58333333333331"/>
    <x v="10"/>
    <x v="0"/>
    <n v="41"/>
    <n v="2"/>
    <n v="57.333333333333336"/>
  </r>
  <r>
    <d v="2025-11-03T08:00:00"/>
    <s v="INYECTADO"/>
    <x v="7"/>
    <x v="236"/>
    <s v="MARJORIE VILCHEZ"/>
    <m/>
    <m/>
    <m/>
    <s v="TAPA DE ORGANIZADOR #2"/>
    <s v="TAPA DE ORGANIZADOR #2 BRILLITO-TRANSPARENTE"/>
    <n v="939"/>
    <n v="8"/>
    <n v="41.3"/>
    <x v="1"/>
    <m/>
    <n v="8"/>
    <n v="1231"/>
    <n v="22755"/>
    <s v="TRANSPARENTE"/>
    <n v="0"/>
    <n v="0"/>
    <n v="0"/>
    <n v="45.072000000000003"/>
    <n v="41.3"/>
    <n v="48"/>
    <n v="860.41666666666663"/>
    <x v="10"/>
    <x v="0"/>
    <n v="41"/>
    <n v="2"/>
    <n v="156.5"/>
  </r>
  <r>
    <d v="2025-11-03T08:00:00"/>
    <s v="INYECTADO"/>
    <x v="7"/>
    <x v="237"/>
    <s v="CRISALIDA ZAPATA"/>
    <m/>
    <m/>
    <m/>
    <s v="TAPA DE ORGANIZADOR #2"/>
    <s v="TAPA DE ORGANIZADOR #2 BRILLITO-TRANSPARENTE"/>
    <n v="1150"/>
    <n v="11"/>
    <n v="50.6"/>
    <x v="0"/>
    <m/>
    <n v="11"/>
    <n v="1231"/>
    <n v="22756"/>
    <s v="TRANSPARENTE"/>
    <n v="3.2"/>
    <n v="0"/>
    <n v="0"/>
    <n v="55.2"/>
    <n v="50.6"/>
    <n v="48"/>
    <n v="1054.1666666666667"/>
    <x v="10"/>
    <x v="0"/>
    <n v="42"/>
    <n v="2"/>
    <n v="191.66666666666666"/>
  </r>
  <r>
    <d v="2025-11-03T08:00:00"/>
    <s v="INYECTADO"/>
    <x v="7"/>
    <x v="237"/>
    <s v="MARJORIE VILCHEZ"/>
    <m/>
    <m/>
    <m/>
    <s v="TAPA DE ORGANIZADOR #2"/>
    <s v="TAPA DE ORGANIZADOR #2 BRILLITO-TRANSPARENTE"/>
    <n v="106"/>
    <n v="1"/>
    <n v="4.5999999999999996"/>
    <x v="1"/>
    <m/>
    <n v="1"/>
    <n v="1231"/>
    <n v="22757"/>
    <s v="TRANSPARENTE"/>
    <n v="19"/>
    <n v="0"/>
    <n v="0"/>
    <n v="5.0880000000000001"/>
    <n v="4.5999999999999996"/>
    <n v="48"/>
    <n v="95.833333333333329"/>
    <x v="10"/>
    <x v="0"/>
    <n v="42"/>
    <n v="2"/>
    <n v="17.666666666666668"/>
  </r>
  <r>
    <d v="2025-11-03T08:00:00"/>
    <s v="INYECTADO"/>
    <x v="7"/>
    <x v="237"/>
    <s v="MARJORIE VILCHEZ"/>
    <m/>
    <m/>
    <m/>
    <s v="TAPA DE ORGANIZADOR #2"/>
    <s v="TAPA DE ORGANIZADOR #2-TRANSPARENTE"/>
    <n v="979"/>
    <n v="8"/>
    <n v="42.1"/>
    <x v="1"/>
    <m/>
    <n v="8"/>
    <n v="1231"/>
    <n v="22757"/>
    <s v="TRANSPARENTE"/>
    <n v="0"/>
    <n v="0"/>
    <n v="0"/>
    <n v="20.559000000000001"/>
    <n v="42.1"/>
    <n v="21"/>
    <n v="2004.7619047619048"/>
    <x v="10"/>
    <x v="0"/>
    <n v="42"/>
    <n v="2"/>
    <n v="163.16666666666666"/>
  </r>
  <r>
    <d v="2025-11-03T08:00:00"/>
    <s v="INYECTADO"/>
    <x v="7"/>
    <x v="238"/>
    <s v="CRISALIDA ZAPATA"/>
    <m/>
    <m/>
    <m/>
    <s v="TAPA DE ORGANIZADOR #2"/>
    <s v="TAPA DE ORGANIZADOR #2-TRANSPARENTE"/>
    <n v="430"/>
    <n v="4"/>
    <n v="18.5"/>
    <x v="0"/>
    <m/>
    <n v="4"/>
    <n v="1231"/>
    <n v="22758"/>
    <s v="TRANSPARENTE"/>
    <n v="0"/>
    <n v="0"/>
    <n v="0"/>
    <n v="9.0299999999999994"/>
    <n v="18.5"/>
    <n v="21"/>
    <n v="880.95238095238096"/>
    <x v="10"/>
    <x v="0"/>
    <n v="42"/>
    <n v="2"/>
    <n v="71.666666666666671"/>
  </r>
  <r>
    <d v="2025-11-03T08:00:00"/>
    <s v="INYECTADO"/>
    <x v="7"/>
    <x v="238"/>
    <s v="CRISALIDA ZAPATA"/>
    <m/>
    <m/>
    <m/>
    <s v="ESCURRIDOR PORTA VAJILLA"/>
    <s v="ESCURRIDOR PORTAVAJILLA-CREMA"/>
    <n v="309"/>
    <n v="3"/>
    <n v="72.8"/>
    <x v="0"/>
    <m/>
    <n v="10"/>
    <m/>
    <n v="22758"/>
    <s v="CREMA"/>
    <n v="2.2999999999999998"/>
    <n v="0"/>
    <n v="0"/>
    <n v="76.013999999999996"/>
    <n v="72.8"/>
    <n v="246"/>
    <n v="295.9349593495935"/>
    <x v="10"/>
    <x v="0"/>
    <n v="42"/>
    <n v="1"/>
    <n v="25.75"/>
  </r>
  <r>
    <d v="2025-11-03T08:00:00"/>
    <s v="INYECTADO"/>
    <x v="7"/>
    <x v="238"/>
    <s v="MARJORIE VILCHEZ"/>
    <m/>
    <m/>
    <m/>
    <s v="ESCURRIDOR PORTA VAJILLA"/>
    <s v="ESCURRIDOR PORTAVAJILLA-VERDE"/>
    <n v="300"/>
    <n v="2"/>
    <n v="70.5"/>
    <x v="1"/>
    <m/>
    <n v="10"/>
    <m/>
    <n v="22759"/>
    <s v="VERDE"/>
    <n v="2.5"/>
    <n v="0"/>
    <n v="0"/>
    <n v="73.8"/>
    <n v="70.5"/>
    <n v="246"/>
    <n v="286.58536585365852"/>
    <x v="10"/>
    <x v="0"/>
    <n v="42"/>
    <n v="1"/>
    <n v="25"/>
  </r>
  <r>
    <d v="2025-11-03T08:00:00"/>
    <s v="INYECTADO"/>
    <x v="7"/>
    <x v="238"/>
    <s v="MARJORIE VILCHEZ"/>
    <m/>
    <m/>
    <m/>
    <s v="ESCURRIDOR PORTA VAJILLA"/>
    <s v="ESCURRIDOR PORTAVAJILLA-LILA"/>
    <n v="311"/>
    <n v="3"/>
    <n v="73.2"/>
    <x v="1"/>
    <m/>
    <n v="11"/>
    <m/>
    <n v="22759"/>
    <s v="LILA"/>
    <n v="6"/>
    <n v="0"/>
    <n v="0"/>
    <n v="76.506"/>
    <n v="73.2"/>
    <n v="246"/>
    <n v="297.5609756097561"/>
    <x v="10"/>
    <x v="0"/>
    <n v="42"/>
    <n v="1"/>
    <n v="25.916666666666668"/>
  </r>
  <r>
    <d v="2025-11-03T08:00:00"/>
    <s v="INYECTADO"/>
    <x v="7"/>
    <x v="238"/>
    <s v="MARJORIE VILCHEZ"/>
    <m/>
    <m/>
    <m/>
    <s v="ESCURRIDOR PORTA VAJILLA"/>
    <s v="ESCURRIDOR PORTAVAJILLA-MELON"/>
    <n v="302"/>
    <n v="3"/>
    <n v="71"/>
    <x v="1"/>
    <m/>
    <n v="10"/>
    <m/>
    <n v="22759"/>
    <s v="MELON"/>
    <n v="8.1"/>
    <n v="0"/>
    <n v="0"/>
    <n v="74.292000000000002"/>
    <n v="71"/>
    <n v="246"/>
    <n v="288.6178861788618"/>
    <x v="10"/>
    <x v="0"/>
    <n v="42"/>
    <n v="1"/>
    <n v="25.166666666666668"/>
  </r>
  <r>
    <d v="2025-11-03T08:00:00"/>
    <s v="INYECTADO"/>
    <x v="7"/>
    <x v="238"/>
    <s v="MARJORIE VILCHEZ"/>
    <m/>
    <m/>
    <m/>
    <s v="ESCURRIDOR PORTA VAJILLA"/>
    <s v="ESCURRIDOR PORTAVAJILLA-ROSADO"/>
    <n v="318"/>
    <n v="2"/>
    <n v="73.400000000000006"/>
    <x v="1"/>
    <m/>
    <n v="11"/>
    <m/>
    <n v="22759"/>
    <s v="ROSADO"/>
    <n v="6.6"/>
    <n v="0"/>
    <n v="0"/>
    <n v="78.227999999999994"/>
    <n v="73.400000000000006"/>
    <n v="246"/>
    <n v="298.3739837398374"/>
    <x v="10"/>
    <x v="0"/>
    <n v="42"/>
    <n v="1"/>
    <n v="26.5"/>
  </r>
  <r>
    <d v="2025-11-03T08:00:00"/>
    <s v="INYECTADO"/>
    <x v="7"/>
    <x v="238"/>
    <s v="MARJORIE VILCHEZ"/>
    <m/>
    <m/>
    <m/>
    <s v="ESCURRIDOR PORTA VAJILLA"/>
    <s v="ESCURRIDOR PORTAVAJILLA-CREMA"/>
    <n v="13"/>
    <n v="1"/>
    <n v="3.2"/>
    <x v="1"/>
    <m/>
    <n v="1"/>
    <m/>
    <n v="22759"/>
    <s v="CREMA"/>
    <n v="6.5"/>
    <n v="0"/>
    <n v="0"/>
    <n v="3.198"/>
    <n v="3.2"/>
    <n v="246"/>
    <n v="13.008130081300813"/>
    <x v="10"/>
    <x v="0"/>
    <n v="42"/>
    <n v="1"/>
    <n v="1.0833333333333333"/>
  </r>
  <r>
    <d v="2025-11-03T08:00:00"/>
    <s v="INYECTADO"/>
    <x v="7"/>
    <x v="258"/>
    <s v="JUANA CRUCES"/>
    <m/>
    <m/>
    <m/>
    <s v="ESCURRIDOR PORTA VAJILLA"/>
    <s v="ESCURRIDOR PORTAVAJILLA-TURQUESA"/>
    <n v="607"/>
    <n v="6"/>
    <n v="142.69999999999999"/>
    <x v="0"/>
    <m/>
    <n v="20"/>
    <n v="1253"/>
    <n v="22760"/>
    <s v="TURQUESA"/>
    <n v="0"/>
    <n v="0"/>
    <n v="0"/>
    <n v="149.322"/>
    <n v="142.69999999999999"/>
    <n v="246"/>
    <n v="580.08130081300817"/>
    <x v="10"/>
    <x v="0"/>
    <n v="42"/>
    <n v="1"/>
    <n v="50.583333333333336"/>
  </r>
  <r>
    <d v="2025-11-03T08:00:00"/>
    <s v="INYECTADO"/>
    <x v="7"/>
    <x v="258"/>
    <s v="JUANA CRUCES"/>
    <m/>
    <m/>
    <m/>
    <s v="ESCURRIDOR PORTA VAJILLA"/>
    <s v="ESCURRIDOR PORTAVAJILLA-VERDE"/>
    <n v="12"/>
    <n v="1"/>
    <n v="2.9"/>
    <x v="0"/>
    <m/>
    <n v="1"/>
    <n v="1253"/>
    <n v="22760"/>
    <s v="VERDE"/>
    <n v="4.4000000000000004"/>
    <n v="0"/>
    <n v="0"/>
    <n v="2.952"/>
    <n v="2.9"/>
    <n v="246"/>
    <n v="11.788617886178862"/>
    <x v="10"/>
    <x v="0"/>
    <n v="42"/>
    <n v="1"/>
    <n v="1"/>
  </r>
  <r>
    <d v="2025-11-03T08:00:00"/>
    <s v="INYECTADO"/>
    <x v="7"/>
    <x v="258"/>
    <s v="JUANA CRUCES"/>
    <m/>
    <m/>
    <m/>
    <s v="ESCURRIDOR PORTA VAJILLA"/>
    <s v="ESCURRIDOR PORTAVAJILLA-ROSADO"/>
    <n v="305"/>
    <n v="3"/>
    <n v="71.7"/>
    <x v="0"/>
    <m/>
    <n v="10"/>
    <n v="1253"/>
    <n v="22760"/>
    <s v="ROSADO"/>
    <n v="3"/>
    <n v="0"/>
    <n v="0"/>
    <n v="75.03"/>
    <n v="71.7"/>
    <n v="246"/>
    <n v="291.46341463414632"/>
    <x v="10"/>
    <x v="0"/>
    <n v="42"/>
    <n v="1"/>
    <n v="25.416666666666668"/>
  </r>
  <r>
    <d v="2025-11-03T08:00:00"/>
    <s v="INYECTADO"/>
    <x v="7"/>
    <x v="258"/>
    <s v="JUANA CRUCES"/>
    <m/>
    <m/>
    <m/>
    <s v="ESCURRIDOR PORTA VAJILLA"/>
    <s v="ESCURRIDOR PORTAVAJILLA-LILA"/>
    <n v="151"/>
    <n v="2"/>
    <n v="35.5"/>
    <x v="0"/>
    <m/>
    <n v="5"/>
    <n v="1253"/>
    <n v="22760"/>
    <s v="LILA"/>
    <n v="1.5"/>
    <n v="0"/>
    <n v="0"/>
    <n v="37.146000000000001"/>
    <n v="35.5"/>
    <n v="246"/>
    <n v="144.3089430894309"/>
    <x v="10"/>
    <x v="0"/>
    <n v="42"/>
    <n v="1"/>
    <n v="12.583333333333334"/>
  </r>
  <r>
    <d v="2025-11-03T08:00:00"/>
    <s v="INYECTADO"/>
    <x v="7"/>
    <x v="258"/>
    <s v="MARJORIE VILCHEZ"/>
    <m/>
    <m/>
    <m/>
    <s v="ESCURRIDOR PORTA VAJILLA"/>
    <s v="ESCURRIDOR PORTAVAJILLA-VERDE"/>
    <n v="302"/>
    <n v="2"/>
    <n v="71"/>
    <x v="1"/>
    <m/>
    <n v="10"/>
    <n v="1253"/>
    <n v="22761"/>
    <s v="VERDE"/>
    <n v="5.0999999999999996"/>
    <n v="0"/>
    <n v="0"/>
    <n v="74.292000000000002"/>
    <n v="71"/>
    <n v="246"/>
    <n v="288.6178861788618"/>
    <x v="10"/>
    <x v="0"/>
    <n v="42"/>
    <n v="1"/>
    <n v="25.166666666666668"/>
  </r>
  <r>
    <d v="2025-11-03T08:00:00"/>
    <s v="INYECTADO"/>
    <x v="7"/>
    <x v="258"/>
    <s v="MARJORIE VILCHEZ"/>
    <m/>
    <m/>
    <m/>
    <s v="ESCURRIDOR PORTA VAJILLA"/>
    <s v="ESCURRIDOR PORTAVAJILLA-LILA"/>
    <n v="156"/>
    <n v="3"/>
    <n v="36.799999999999997"/>
    <x v="1"/>
    <m/>
    <n v="6"/>
    <n v="1253"/>
    <n v="22761"/>
    <s v="LILA"/>
    <n v="4.5999999999999996"/>
    <n v="0"/>
    <n v="0"/>
    <n v="38.375999999999998"/>
    <n v="36.799999999999997"/>
    <n v="246"/>
    <n v="149.59349593495935"/>
    <x v="10"/>
    <x v="0"/>
    <n v="42"/>
    <n v="1"/>
    <n v="13"/>
  </r>
  <r>
    <d v="2025-11-03T08:00:00"/>
    <s v="INYECTADO"/>
    <x v="7"/>
    <x v="258"/>
    <s v="MARJORIE VILCHEZ"/>
    <m/>
    <m/>
    <m/>
    <s v="ESCURRIDOR PORTA VAJILLA"/>
    <s v="ESCURRIDOR PORTAVAJILLA-MELON"/>
    <n v="120"/>
    <n v="1"/>
    <n v="28.4"/>
    <x v="1"/>
    <m/>
    <n v="4"/>
    <n v="1253"/>
    <n v="22761"/>
    <s v="MELON"/>
    <n v="10.6"/>
    <n v="0"/>
    <n v="0"/>
    <n v="29.52"/>
    <n v="28.4"/>
    <n v="246"/>
    <n v="115.44715447154472"/>
    <x v="10"/>
    <x v="0"/>
    <n v="42"/>
    <n v="1"/>
    <n v="10"/>
  </r>
  <r>
    <d v="2025-11-03T08:00:00"/>
    <s v="INYECTADO"/>
    <x v="7"/>
    <x v="258"/>
    <s v="MARJORIE VILCHEZ"/>
    <m/>
    <m/>
    <m/>
    <s v="ESCURRIDOR PORTA VAJILLA"/>
    <s v="ESCURRIDOR PORTAVAJILLA-CREMA"/>
    <n v="302"/>
    <n v="3"/>
    <n v="71"/>
    <x v="1"/>
    <m/>
    <n v="10"/>
    <n v="1253"/>
    <n v="22761"/>
    <s v="CREMA"/>
    <n v="6.1"/>
    <n v="0"/>
    <n v="0"/>
    <n v="74.292000000000002"/>
    <n v="71"/>
    <n v="246"/>
    <n v="288.6178861788618"/>
    <x v="10"/>
    <x v="0"/>
    <n v="42"/>
    <n v="1"/>
    <n v="25.166666666666668"/>
  </r>
  <r>
    <d v="2025-11-03T08:00:00"/>
    <s v="INYECTADO"/>
    <x v="7"/>
    <x v="239"/>
    <s v="DAIRETH"/>
    <m/>
    <m/>
    <m/>
    <s v="ESCURRIDOR PORTA VAJILLA"/>
    <s v="ESCURRIDOR PORTAVAJILLA-MELON"/>
    <n v="176"/>
    <n v="3"/>
    <n v="41.5"/>
    <x v="0"/>
    <m/>
    <n v="6"/>
    <n v="1253"/>
    <n v="22762"/>
    <s v="MELON"/>
    <n v="39.299999999999997"/>
    <n v="0"/>
    <n v="0"/>
    <n v="43.295999999999999"/>
    <n v="41.5"/>
    <n v="246"/>
    <n v="168.69918699186991"/>
    <x v="10"/>
    <x v="0"/>
    <n v="42"/>
    <n v="1"/>
    <n v="14.666666666666666"/>
  </r>
  <r>
    <d v="2025-11-03T08:00:00"/>
    <s v="INYECTADO"/>
    <x v="7"/>
    <x v="239"/>
    <s v="ISABEL LINARIZ "/>
    <m/>
    <m/>
    <m/>
    <s v="TAPA DE ORGANIZADOR #3"/>
    <s v="TAPA DE ORGANIZADOR #3-TRANSPARENTE"/>
    <n v="1452"/>
    <n v="12"/>
    <n v="104.6"/>
    <x v="1"/>
    <m/>
    <n v="12"/>
    <n v="1269"/>
    <n v="22763"/>
    <s v="TRANSPARENTE"/>
    <n v="10.8"/>
    <n v="0"/>
    <n v="0"/>
    <n v="55.176000000000002"/>
    <n v="104.6"/>
    <n v="38"/>
    <n v="2752.6315789473683"/>
    <x v="10"/>
    <x v="0"/>
    <n v="42"/>
    <n v="2"/>
    <n v="242"/>
  </r>
  <r>
    <d v="2025-11-03T08:00:00"/>
    <s v="INYECTADO"/>
    <x v="7"/>
    <x v="240"/>
    <s v="CRISALIDA ZAPATA"/>
    <m/>
    <m/>
    <m/>
    <s v="TAPA DE ORGANIZADOR #3"/>
    <s v="TAPA DE ORGANIZADOR #3-TRANSPARENTE"/>
    <n v="1365"/>
    <n v="11"/>
    <n v="98.2"/>
    <x v="0"/>
    <m/>
    <n v="12"/>
    <n v="1269"/>
    <n v="22764"/>
    <s v="TRANSPARENTE"/>
    <n v="0.7"/>
    <n v="0"/>
    <n v="0"/>
    <n v="51.87"/>
    <n v="98.2"/>
    <n v="38"/>
    <n v="2584.2105263157896"/>
    <x v="10"/>
    <x v="0"/>
    <n v="42"/>
    <n v="2"/>
    <n v="227.5"/>
  </r>
  <r>
    <d v="2025-11-03T08:00:00"/>
    <s v="INYECTADO"/>
    <x v="7"/>
    <x v="240"/>
    <s v="MARJORIE VILCHEZ"/>
    <m/>
    <m/>
    <m/>
    <s v="TAPA DE ORGANIZADOR #3"/>
    <s v="TAPA DE ORGANIZADOR #3-TRANSPARENTE"/>
    <n v="1503"/>
    <n v="12"/>
    <n v="108.2"/>
    <x v="1"/>
    <m/>
    <n v="13"/>
    <n v="1269"/>
    <n v="22765"/>
    <s v="TRANSPARENTE"/>
    <n v="1"/>
    <n v="0"/>
    <n v="0"/>
    <n v="57.113999999999997"/>
    <n v="108.2"/>
    <n v="38"/>
    <n v="2847.3684210526317"/>
    <x v="10"/>
    <x v="0"/>
    <n v="42"/>
    <n v="2"/>
    <n v="250.5"/>
  </r>
  <r>
    <d v="2025-11-03T08:00:00"/>
    <s v="INYECTADO"/>
    <x v="7"/>
    <x v="241"/>
    <s v="CRISALIDA ZAPATA"/>
    <m/>
    <m/>
    <m/>
    <s v="TAPA DE ORGANIZADOR #3"/>
    <s v="TAPA DE ORGANIZADOR #3-TRANSPARENTE"/>
    <n v="437"/>
    <n v="4"/>
    <n v="31.5"/>
    <x v="0"/>
    <m/>
    <n v="5"/>
    <n v="1269"/>
    <n v="22766"/>
    <s v="TRANSPARENTE"/>
    <n v="0"/>
    <n v="0"/>
    <n v="0"/>
    <n v="16.606000000000002"/>
    <n v="31.5"/>
    <n v="38"/>
    <n v="828.9473684210526"/>
    <x v="10"/>
    <x v="0"/>
    <n v="42"/>
    <n v="2"/>
    <n v="72.833333333333329"/>
  </r>
  <r>
    <d v="2025-11-03T08:00:00"/>
    <s v="INYECTADO"/>
    <x v="7"/>
    <x v="241"/>
    <s v="CRISALIDA ZAPATA"/>
    <m/>
    <m/>
    <m/>
    <s v="TAPA DE ORGANIZADOR #3"/>
    <s v="TAPA DE ORGANIZADOR #3-BLANCO"/>
    <n v="881"/>
    <n v="7"/>
    <n v="63.4"/>
    <x v="0"/>
    <m/>
    <n v="8"/>
    <n v="1269"/>
    <n v="22766"/>
    <s v="BLANCO"/>
    <n v="0.3"/>
    <n v="0"/>
    <n v="0"/>
    <n v="33.478000000000002"/>
    <n v="63.4"/>
    <n v="38"/>
    <n v="1668.421052631579"/>
    <x v="10"/>
    <x v="0"/>
    <n v="42"/>
    <n v="2"/>
    <n v="146.83333333333334"/>
  </r>
  <r>
    <d v="2025-11-03T08:00:00"/>
    <s v="INYECTADO"/>
    <x v="7"/>
    <x v="241"/>
    <s v="ISABEL LINARIZ "/>
    <m/>
    <m/>
    <m/>
    <s v="TAPA DE ORGANIZADOR #3"/>
    <s v="TAPA DE ORGANIZADOR #3-BLANCO"/>
    <n v="1447"/>
    <n v="12"/>
    <n v="104.2"/>
    <x v="1"/>
    <m/>
    <n v="13"/>
    <n v="1269"/>
    <n v="22767"/>
    <s v="BLANCO"/>
    <n v="2"/>
    <n v="0"/>
    <n v="0"/>
    <n v="54.985999999999997"/>
    <n v="104.2"/>
    <n v="38"/>
    <n v="2742.1052631578946"/>
    <x v="10"/>
    <x v="0"/>
    <n v="42"/>
    <n v="2"/>
    <n v="241.16666666666666"/>
  </r>
  <r>
    <d v="2025-11-03T08:00:00"/>
    <s v="INYECTADO"/>
    <x v="7"/>
    <x v="242"/>
    <s v="CRISALIDA ZAPATA"/>
    <m/>
    <m/>
    <m/>
    <s v="TAPA DE ORGANIZADOR #3"/>
    <s v="TAPA DE ORGANIZADOR #3-BLANCO"/>
    <n v="1175"/>
    <n v="11"/>
    <n v="84.6"/>
    <x v="0"/>
    <m/>
    <n v="11"/>
    <n v="1269"/>
    <n v="22768"/>
    <s v="BLANCO"/>
    <n v="8.1"/>
    <n v="0"/>
    <n v="0"/>
    <n v="44.65"/>
    <n v="84.6"/>
    <n v="38"/>
    <n v="2226.3157894736842"/>
    <x v="10"/>
    <x v="0"/>
    <n v="43"/>
    <n v="2"/>
    <n v="195.83333333333334"/>
  </r>
  <r>
    <d v="2025-11-03T08:00:00"/>
    <s v="INYECTADO"/>
    <x v="7"/>
    <x v="242"/>
    <s v="MARJORIE VILCHEZ"/>
    <m/>
    <m/>
    <m/>
    <s v="TAPA DE ORGANIZADOR #3"/>
    <s v="TAPA DE ORGANIZADOR #3-TRANSPARENTE"/>
    <n v="1408"/>
    <n v="12"/>
    <n v="101.3"/>
    <x v="1"/>
    <m/>
    <n v="12"/>
    <n v="1269"/>
    <n v="22769"/>
    <s v="TRANSPARENTE"/>
    <n v="4.2"/>
    <n v="0"/>
    <n v="0"/>
    <n v="53.503999999999998"/>
    <n v="101.3"/>
    <n v="38"/>
    <n v="2665.7894736842104"/>
    <x v="10"/>
    <x v="0"/>
    <n v="43"/>
    <n v="2"/>
    <n v="234.66666666666666"/>
  </r>
  <r>
    <d v="2025-11-03T08:00:00"/>
    <s v="INYECTADO"/>
    <x v="7"/>
    <x v="255"/>
    <s v="CRISALIDA ZAPATA"/>
    <m/>
    <m/>
    <m/>
    <s v="TAPA DE ORGANIZADOR #3"/>
    <s v="TAPA DE ORGANIZADOR #3-TRANSPARENTE"/>
    <n v="1276"/>
    <n v="11"/>
    <n v="112.6"/>
    <x v="0"/>
    <m/>
    <n v="12"/>
    <n v="1269"/>
    <n v="22770"/>
    <s v="TRANSPARENTE"/>
    <n v="5.2"/>
    <n v="0"/>
    <n v="0"/>
    <n v="48.488"/>
    <n v="112.6"/>
    <n v="38"/>
    <n v="2963.1578947368421"/>
    <x v="10"/>
    <x v="0"/>
    <n v="43"/>
    <n v="2"/>
    <n v="212.66666666666666"/>
  </r>
  <r>
    <d v="2025-11-03T08:00:00"/>
    <s v="INYECTADO"/>
    <x v="7"/>
    <x v="257"/>
    <s v="CARLOS SULCA"/>
    <m/>
    <m/>
    <m/>
    <s v="TAPA DE ORGANIZADOR #2 CARAMELO"/>
    <s v="TAPA DE ORGANIZADOR #2 CARAMELO-AMARILLO"/>
    <n v="716"/>
    <n v="8"/>
    <n v="30"/>
    <x v="0"/>
    <m/>
    <n v="6"/>
    <n v="1281"/>
    <n v="22771"/>
    <s v="AMARILLO"/>
    <n v="5.7"/>
    <n v="0"/>
    <n v="0"/>
    <n v="15.036"/>
    <n v="30"/>
    <n v="21"/>
    <n v="1428.5714285714287"/>
    <x v="10"/>
    <x v="0"/>
    <n v="43"/>
    <n v="2"/>
    <n v="119.33333333333333"/>
  </r>
  <r>
    <d v="2025-11-03T08:00:00"/>
    <s v="INYECTADO"/>
    <x v="7"/>
    <x v="257"/>
    <s v="ISABEL LINARIZ "/>
    <m/>
    <m/>
    <m/>
    <s v="TAPA DE ORGANIZADOR #2 CARAMELO"/>
    <s v="TAPA DE ORGANIZADOR #2 CARAMELO-AMARILLO"/>
    <n v="86"/>
    <n v="1"/>
    <n v="3.6"/>
    <x v="1"/>
    <m/>
    <n v="1"/>
    <n v="1281"/>
    <n v="22772"/>
    <s v="AMARILLO"/>
    <n v="0"/>
    <n v="0"/>
    <n v="0"/>
    <n v="1.806"/>
    <n v="3.6"/>
    <n v="21"/>
    <n v="171.42857142857142"/>
    <x v="10"/>
    <x v="0"/>
    <n v="43"/>
    <n v="2"/>
    <n v="14.333333333333334"/>
  </r>
  <r>
    <d v="2025-11-03T08:00:00"/>
    <s v="INYECTADO"/>
    <x v="7"/>
    <x v="257"/>
    <s v="ISABEL LINARIZ "/>
    <m/>
    <m/>
    <m/>
    <s v="TAPA DE ORGANIZADOR #2 CARAMELO"/>
    <s v="TAPA DE ORGANIZADOR #2 CARAMELO-VERDE"/>
    <n v="540"/>
    <n v="4"/>
    <n v="23.7"/>
    <x v="1"/>
    <m/>
    <n v="6"/>
    <n v="1281"/>
    <n v="22772"/>
    <s v="VERDE"/>
    <n v="2.8"/>
    <n v="0"/>
    <n v="0"/>
    <n v="11.34"/>
    <n v="23.7"/>
    <n v="21"/>
    <n v="1128.5714285714287"/>
    <x v="10"/>
    <x v="0"/>
    <n v="43"/>
    <n v="2"/>
    <n v="90"/>
  </r>
  <r>
    <d v="2025-11-03T08:00:00"/>
    <s v="INYECTADO"/>
    <x v="7"/>
    <x v="257"/>
    <s v="ISABEL LINARIZ "/>
    <m/>
    <m/>
    <m/>
    <s v="TAPA DE ORGANIZADOR #2 CARAMELO"/>
    <s v="TAPA DE ORGANIZADOR #2 CARAMELO-FUCSIA"/>
    <n v="495"/>
    <n v="6"/>
    <n v="21.7"/>
    <x v="1"/>
    <m/>
    <n v="5"/>
    <n v="1281"/>
    <n v="22772"/>
    <s v="FUCSIA"/>
    <n v="6.1"/>
    <n v="0"/>
    <n v="0"/>
    <n v="10.395"/>
    <n v="21.7"/>
    <n v="21"/>
    <n v="1033.3333333333333"/>
    <x v="10"/>
    <x v="0"/>
    <n v="43"/>
    <n v="2"/>
    <n v="82.5"/>
  </r>
  <r>
    <d v="2025-11-03T08:00:00"/>
    <s v="INYECTADO"/>
    <x v="7"/>
    <x v="257"/>
    <s v="ISABEL LINARIZ "/>
    <m/>
    <m/>
    <m/>
    <s v="TAPA DE ORGANIZADOR #2 CARAMELO"/>
    <s v="TAPA DE ORGANIZADOR #2 CARAMELO-LILA"/>
    <n v="114"/>
    <n v="1"/>
    <n v="5"/>
    <x v="1"/>
    <m/>
    <n v="1"/>
    <n v="1281"/>
    <n v="22772"/>
    <s v="LILA"/>
    <n v="1"/>
    <n v="0"/>
    <n v="0"/>
    <n v="2.3940000000000001"/>
    <n v="5"/>
    <n v="21"/>
    <n v="238.0952380952381"/>
    <x v="10"/>
    <x v="0"/>
    <n v="43"/>
    <n v="2"/>
    <n v="19"/>
  </r>
  <r>
    <d v="2025-11-03T08:00:00"/>
    <s v="INYECTADO"/>
    <x v="7"/>
    <x v="243"/>
    <s v="CRISALIDA ZAPATA"/>
    <m/>
    <m/>
    <m/>
    <s v="TAPA DE ORGANIZADOR #2 CARAMELO"/>
    <s v="TAPA DE ORGANIZADOR #2 CARAMELO-LILA"/>
    <n v="902"/>
    <n v="10"/>
    <n v="48.7"/>
    <x v="0"/>
    <m/>
    <n v="8"/>
    <n v="1281"/>
    <n v="22773"/>
    <s v="LILA"/>
    <n v="0"/>
    <n v="0"/>
    <n v="0"/>
    <n v="18.942"/>
    <n v="48.7"/>
    <n v="21"/>
    <n v="2319.0476190476193"/>
    <x v="10"/>
    <x v="0"/>
    <n v="43"/>
    <n v="2"/>
    <n v="150.33333333333334"/>
  </r>
  <r>
    <d v="2025-11-03T08:00:00"/>
    <s v="INYECTADO"/>
    <x v="7"/>
    <x v="243"/>
    <s v="CRISALIDA ZAPATA"/>
    <m/>
    <m/>
    <m/>
    <s v="TAPA DE ORGANIZADOR #2 CARAMELO"/>
    <s v="TAPA DE ORGANIZADOR #2 CARAMELO-FUCSIA"/>
    <n v="10"/>
    <n v="1"/>
    <n v="0.6"/>
    <x v="0"/>
    <m/>
    <n v="1"/>
    <n v="1281"/>
    <n v="22773"/>
    <s v="FUCSIA"/>
    <n v="0"/>
    <n v="0"/>
    <n v="0"/>
    <n v="0.21"/>
    <n v="0.6"/>
    <n v="21"/>
    <n v="28.571428571428573"/>
    <x v="10"/>
    <x v="0"/>
    <n v="43"/>
    <n v="2"/>
    <n v="1.6666666666666667"/>
  </r>
  <r>
    <d v="2025-11-03T08:00:00"/>
    <s v="INYECTADO"/>
    <x v="3"/>
    <x v="232"/>
    <s v="NELSON PINEDO"/>
    <m/>
    <m/>
    <m/>
    <s v="ORRING PORTA YOGURT"/>
    <s v="ORRING PORTA YOGURT-TRANSPARENTE"/>
    <n v="552"/>
    <n v="8"/>
    <n v="11.6"/>
    <x v="0"/>
    <m/>
    <n v="1"/>
    <m/>
    <n v="22032"/>
    <s v="TRANSPARENTE"/>
    <n v="0"/>
    <n v="0"/>
    <n v="0"/>
    <n v="11.592000000000001"/>
    <n v="11.6"/>
    <n v="21"/>
    <n v="552.38095238095241"/>
    <x v="10"/>
    <x v="0"/>
    <n v="41"/>
    <n v="16"/>
    <n v="736"/>
  </r>
  <r>
    <d v="2025-11-03T08:00:00"/>
    <s v="INYECTADO"/>
    <x v="3"/>
    <x v="247"/>
    <s v="LEONOR GUTIERREZ"/>
    <m/>
    <m/>
    <m/>
    <s v="ORRING PORTA YOGURT"/>
    <s v="ORRING PORTA YOGURT-TRANSPARENTE"/>
    <n v="180"/>
    <n v="3"/>
    <n v="3.8"/>
    <x v="0"/>
    <m/>
    <n v="1"/>
    <m/>
    <n v="22033"/>
    <s v="TRANSPARENTE"/>
    <n v="8.6"/>
    <n v="0"/>
    <n v="0"/>
    <n v="3.78"/>
    <n v="3.8"/>
    <n v="21"/>
    <n v="180.95238095238096"/>
    <x v="10"/>
    <x v="0"/>
    <n v="44"/>
    <n v="16"/>
    <n v="240"/>
  </r>
  <r>
    <d v="2025-11-03T08:00:00"/>
    <s v="INYECTADO"/>
    <x v="3"/>
    <x v="248"/>
    <s v="SILFREDO"/>
    <m/>
    <m/>
    <m/>
    <s v="ORRING PORTA YOGURT"/>
    <s v="ORRING PORTA YOGURT-TRANSPARENTE"/>
    <n v="631"/>
    <n v="11"/>
    <n v="13.8"/>
    <x v="0"/>
    <m/>
    <n v="2"/>
    <m/>
    <n v="22034"/>
    <s v="TRANSPARENTE"/>
    <n v="8.4"/>
    <n v="0"/>
    <n v="0"/>
    <n v="13.250999999999999"/>
    <n v="13.8"/>
    <n v="21"/>
    <n v="657.14285714285711"/>
    <x v="10"/>
    <x v="0"/>
    <n v="44"/>
    <n v="16"/>
    <n v="841.33333333333337"/>
  </r>
  <r>
    <d v="2025-11-03T08:00:00"/>
    <s v="INYECTADO"/>
    <x v="3"/>
    <x v="249"/>
    <s v="KARLA/SILFREDO"/>
    <m/>
    <m/>
    <m/>
    <s v="ORRING PORTA YOGURT"/>
    <s v="ORRING PORTA YOGURT-TRANSPARENTE"/>
    <n v="622"/>
    <n v="11"/>
    <n v="13.7"/>
    <x v="0"/>
    <m/>
    <n v="1"/>
    <m/>
    <n v="22035"/>
    <s v="TRANSPARENTE"/>
    <n v="13.7"/>
    <n v="0"/>
    <n v="0"/>
    <n v="13.061999999999999"/>
    <n v="13.7"/>
    <n v="21"/>
    <n v="652.38095238095241"/>
    <x v="10"/>
    <x v="0"/>
    <n v="44"/>
    <n v="16"/>
    <n v="829.33333333333337"/>
  </r>
  <r>
    <d v="2025-11-03T08:00:00"/>
    <s v="INYECTADO"/>
    <x v="3"/>
    <x v="249"/>
    <s v="ISABEL LINARIZ "/>
    <m/>
    <m/>
    <m/>
    <s v="ORRING PORTA YOGURT"/>
    <s v="ORRING PORTA YOGURT-TRANSPARENTE"/>
    <n v="440"/>
    <n v="10"/>
    <n v="9.6999999999999993"/>
    <x v="1"/>
    <m/>
    <n v="1"/>
    <m/>
    <n v="22036"/>
    <s v="TRANSPARENTE"/>
    <n v="0"/>
    <n v="0"/>
    <n v="0"/>
    <n v="9.24"/>
    <n v="9.6999999999999993"/>
    <n v="21"/>
    <n v="461.90476190476193"/>
    <x v="10"/>
    <x v="0"/>
    <n v="44"/>
    <n v="16"/>
    <n v="586.66666666666663"/>
  </r>
  <r>
    <d v="2025-11-03T08:00:00"/>
    <s v="INYECTADO"/>
    <x v="8"/>
    <x v="252"/>
    <s v="LEONOR GUTIERREZ"/>
    <m/>
    <m/>
    <m/>
    <s v="TAPER ALEMAN 550ML"/>
    <s v="TAPER 550ML CARAMELO-ROJO"/>
    <n v="210"/>
    <n v="2"/>
    <n v="16.399999999999999"/>
    <x v="0"/>
    <m/>
    <n v="2"/>
    <m/>
    <n v="22922"/>
    <s v="ROJO"/>
    <n v="8.6"/>
    <n v="0"/>
    <n v="0"/>
    <n v="7.98"/>
    <n v="16.399999999999999"/>
    <n v="38"/>
    <n v="431.57894736842104"/>
    <x v="10"/>
    <x v="0"/>
    <n v="40"/>
    <n v="2"/>
    <n v="35"/>
  </r>
  <r>
    <d v="2025-11-03T08:00:00"/>
    <s v="INYECTADO"/>
    <x v="8"/>
    <x v="252"/>
    <s v="LEONOR GUTIERREZ"/>
    <m/>
    <m/>
    <m/>
    <s v="TAPER ALEMAN 550ML"/>
    <s v="TAPER 550ML CARAMELO-AZUL"/>
    <n v="492"/>
    <n v="4"/>
    <n v="38.4"/>
    <x v="0"/>
    <m/>
    <n v="4"/>
    <m/>
    <n v="22922"/>
    <s v="AZUL"/>
    <n v="1.2"/>
    <n v="0"/>
    <n v="0"/>
    <n v="18.696000000000002"/>
    <n v="38.4"/>
    <n v="38"/>
    <n v="1010.5263157894736"/>
    <x v="10"/>
    <x v="0"/>
    <n v="40"/>
    <n v="2"/>
    <n v="82"/>
  </r>
  <r>
    <d v="2025-11-03T08:00:00"/>
    <s v="INYECTADO"/>
    <x v="8"/>
    <x v="252"/>
    <s v="LEONOR GUTIERREZ"/>
    <m/>
    <m/>
    <m/>
    <s v="TAPER ALEMAN 550ML"/>
    <s v="TAPER 550ML CARAMELO-LILA"/>
    <n v="487"/>
    <n v="4"/>
    <n v="38"/>
    <x v="0"/>
    <m/>
    <n v="4"/>
    <m/>
    <n v="22922"/>
    <s v="LILA"/>
    <n v="3.5"/>
    <n v="0"/>
    <n v="0"/>
    <n v="18.506"/>
    <n v="38"/>
    <n v="38"/>
    <n v="1000"/>
    <x v="10"/>
    <x v="0"/>
    <n v="40"/>
    <n v="2"/>
    <n v="81.166666666666671"/>
  </r>
  <r>
    <d v="2025-11-03T08:00:00"/>
    <s v="INYECTADO"/>
    <x v="8"/>
    <x v="252"/>
    <s v="LEONOR GUTIERREZ"/>
    <m/>
    <m/>
    <m/>
    <s v="TAPER ALEMAN 550ML"/>
    <s v="TAPER 550ML PASTEL-LILA"/>
    <n v="379"/>
    <n v="3"/>
    <n v="30"/>
    <x v="0"/>
    <m/>
    <n v="4"/>
    <m/>
    <n v="22922"/>
    <s v="LILA"/>
    <n v="0"/>
    <n v="0"/>
    <n v="0"/>
    <n v="14.401999999999999"/>
    <n v="30"/>
    <n v="38"/>
    <n v="789.47368421052636"/>
    <x v="10"/>
    <x v="0"/>
    <n v="40"/>
    <n v="2"/>
    <n v="63.166666666666664"/>
  </r>
  <r>
    <d v="2025-11-03T08:00:00"/>
    <s v="INYECTADO"/>
    <x v="8"/>
    <x v="252"/>
    <s v="JOSDER GONZALEZ"/>
    <m/>
    <m/>
    <m/>
    <s v="TAPER ALEMAN 550ML"/>
    <s v="TAPER 550ML PASTEL-LILA"/>
    <n v="103"/>
    <n v="1"/>
    <n v="8.1"/>
    <x v="1"/>
    <m/>
    <n v="1"/>
    <m/>
    <n v="22923"/>
    <s v="LILA"/>
    <n v="5.0999999999999996"/>
    <n v="0"/>
    <n v="0"/>
    <n v="3.9140000000000001"/>
    <n v="8.1"/>
    <n v="38"/>
    <n v="213.15789473684211"/>
    <x v="10"/>
    <x v="0"/>
    <n v="40"/>
    <n v="2"/>
    <n v="17.166666666666668"/>
  </r>
  <r>
    <d v="2025-11-03T08:00:00"/>
    <s v="INYECTADO"/>
    <x v="8"/>
    <x v="252"/>
    <s v="JOSDER GONZALEZ"/>
    <m/>
    <m/>
    <m/>
    <s v="TAPER ALEMAN 550ML"/>
    <s v="TAPER 550ML PASTEL-ROSADO"/>
    <n v="469"/>
    <n v="4"/>
    <n v="37.299999999999997"/>
    <x v="1"/>
    <m/>
    <n v="4"/>
    <m/>
    <n v="22923"/>
    <s v="ROSADO"/>
    <n v="6.8"/>
    <n v="0"/>
    <n v="0"/>
    <n v="17.821999999999999"/>
    <n v="37.299999999999997"/>
    <n v="38"/>
    <n v="981.57894736842104"/>
    <x v="10"/>
    <x v="0"/>
    <n v="40"/>
    <n v="2"/>
    <n v="78.166666666666671"/>
  </r>
  <r>
    <d v="2025-11-03T08:00:00"/>
    <s v="INYECTADO"/>
    <x v="8"/>
    <x v="252"/>
    <s v="JOSDER GONZALEZ"/>
    <m/>
    <m/>
    <m/>
    <s v="TAPER ALEMAN 550ML"/>
    <s v="TAPER 550ML PASTEL-TURQUESA"/>
    <n v="475"/>
    <n v="4"/>
    <n v="37.6"/>
    <x v="1"/>
    <m/>
    <n v="4"/>
    <m/>
    <n v="22923"/>
    <s v="TURQUESA"/>
    <n v="5.6"/>
    <n v="0"/>
    <n v="0"/>
    <n v="18.05"/>
    <n v="37.6"/>
    <n v="38"/>
    <n v="989.47368421052636"/>
    <x v="10"/>
    <x v="0"/>
    <n v="40"/>
    <n v="2"/>
    <n v="79.166666666666671"/>
  </r>
  <r>
    <d v="2025-11-03T08:00:00"/>
    <s v="INYECTADO"/>
    <x v="8"/>
    <x v="252"/>
    <s v="JOSDER GONZALEZ"/>
    <m/>
    <m/>
    <m/>
    <s v="TAPER ALEMAN 550ML"/>
    <s v="TAPER 550ML PASTEL-CELESTE"/>
    <n v="386"/>
    <n v="3"/>
    <n v="30.5"/>
    <x v="1"/>
    <m/>
    <n v="3"/>
    <m/>
    <n v="22923"/>
    <s v="CELESTE"/>
    <n v="30.5"/>
    <n v="0"/>
    <n v="0"/>
    <n v="14.667999999999999"/>
    <n v="30.5"/>
    <n v="38"/>
    <n v="802.63157894736844"/>
    <x v="10"/>
    <x v="0"/>
    <n v="40"/>
    <n v="2"/>
    <n v="64.333333333333329"/>
  </r>
  <r>
    <d v="2025-11-03T08:00:00"/>
    <s v="INYECTADO"/>
    <x v="8"/>
    <x v="253"/>
    <s v="JUANA CRUCES"/>
    <m/>
    <m/>
    <m/>
    <s v="TAPER ALEMAN 550ML"/>
    <s v="TAPER 550ML PASTEL-CELESTE"/>
    <n v="91"/>
    <n v="1"/>
    <n v="7.2"/>
    <x v="0"/>
    <m/>
    <n v="1"/>
    <m/>
    <n v="22924"/>
    <s v="CELESTE"/>
    <n v="2.6"/>
    <n v="0"/>
    <n v="0"/>
    <n v="3.4580000000000002"/>
    <n v="7.2"/>
    <n v="38"/>
    <n v="189.47368421052633"/>
    <x v="10"/>
    <x v="0"/>
    <n v="40"/>
    <n v="2"/>
    <n v="15.166666666666666"/>
  </r>
  <r>
    <d v="2025-11-03T08:00:00"/>
    <s v="INYECTADO"/>
    <x v="8"/>
    <x v="253"/>
    <s v="JUANA CRUCES"/>
    <m/>
    <m/>
    <m/>
    <s v="TAPER ALEMAN 550ML"/>
    <s v="TAPER 550ML PASTEL-AZURE"/>
    <n v="455"/>
    <n v="4"/>
    <n v="36"/>
    <x v="0"/>
    <m/>
    <n v="4"/>
    <m/>
    <n v="22924"/>
    <s v="SANDIA"/>
    <n v="5.9"/>
    <n v="0"/>
    <n v="0"/>
    <n v="17.29"/>
    <n v="36"/>
    <n v="38"/>
    <n v="947.36842105263156"/>
    <x v="10"/>
    <x v="0"/>
    <n v="40"/>
    <n v="2"/>
    <n v="75.833333333333329"/>
  </r>
  <r>
    <d v="2025-11-03T08:00:00"/>
    <s v="INYECTADO"/>
    <x v="8"/>
    <x v="253"/>
    <s v="JUANA CRUCES"/>
    <m/>
    <m/>
    <m/>
    <s v="TAPER ALEMAN 550ML"/>
    <s v="TAPER 550ML PASTEL-SANDIA"/>
    <n v="721"/>
    <n v="7"/>
    <n v="57"/>
    <x v="0"/>
    <m/>
    <n v="6"/>
    <m/>
    <n v="22924"/>
    <s v="AZURE"/>
    <n v="7.1"/>
    <n v="0"/>
    <n v="0"/>
    <n v="27.398"/>
    <n v="57"/>
    <n v="38"/>
    <n v="1500"/>
    <x v="10"/>
    <x v="0"/>
    <n v="40"/>
    <n v="2"/>
    <n v="120.16666666666667"/>
  </r>
  <r>
    <d v="2025-11-03T08:00:00"/>
    <s v="INYECTADO"/>
    <x v="8"/>
    <x v="253"/>
    <s v="JUAN MANUEL"/>
    <m/>
    <m/>
    <m/>
    <s v="TAPER ALEMAN 550ML"/>
    <s v="TAPER 550ML PASTEL-ROSADO"/>
    <n v="360"/>
    <n v="8"/>
    <n v="28.5"/>
    <x v="1"/>
    <m/>
    <n v="3"/>
    <m/>
    <n v="22925"/>
    <s v="ROSADO"/>
    <n v="6.2"/>
    <n v="0"/>
    <n v="0"/>
    <n v="13.68"/>
    <n v="28.5"/>
    <n v="38"/>
    <n v="750"/>
    <x v="10"/>
    <x v="0"/>
    <n v="40"/>
    <n v="2"/>
    <n v="60"/>
  </r>
  <r>
    <d v="2025-11-03T08:00:00"/>
    <s v="INYECTADO"/>
    <x v="8"/>
    <x v="253"/>
    <s v="JUAN MANUEL"/>
    <m/>
    <m/>
    <m/>
    <s v="TAPER ALEMAN 550ML"/>
    <s v="TAPER 550ML PASTEL-SANDIA"/>
    <n v="1068"/>
    <n v="4"/>
    <n v="84.5"/>
    <x v="1"/>
    <m/>
    <n v="9"/>
    <m/>
    <n v="22925"/>
    <s v="SANDIA"/>
    <n v="4.2"/>
    <n v="0"/>
    <n v="0"/>
    <n v="40.584000000000003"/>
    <n v="84.5"/>
    <n v="38"/>
    <n v="2223.6842105263158"/>
    <x v="10"/>
    <x v="0"/>
    <n v="40"/>
    <n v="2"/>
    <n v="178"/>
  </r>
  <r>
    <d v="2025-11-03T08:00:00"/>
    <s v="INYECTADO"/>
    <x v="8"/>
    <x v="254"/>
    <s v="LUIS RENGIFO"/>
    <m/>
    <m/>
    <m/>
    <s v="TAPER ALEMAN 550ML"/>
    <s v="TAPER 550ML PASTEL-ROSADO"/>
    <n v="993"/>
    <n v="7"/>
    <n v="79.5"/>
    <x v="0"/>
    <m/>
    <n v="8"/>
    <m/>
    <n v="22926"/>
    <s v="ROSADO"/>
    <n v="0"/>
    <n v="0"/>
    <n v="0"/>
    <n v="37.734000000000002"/>
    <n v="79.5"/>
    <n v="38"/>
    <n v="2092.1052631578946"/>
    <x v="10"/>
    <x v="0"/>
    <n v="40"/>
    <n v="2"/>
    <n v="165.5"/>
  </r>
  <r>
    <d v="2025-11-03T08:00:00"/>
    <s v="INYECTADO"/>
    <x v="8"/>
    <x v="254"/>
    <s v="LUIS RENGIFO"/>
    <m/>
    <m/>
    <m/>
    <s v="TAPER ALEMAN 550ML"/>
    <s v="TAPER 550ML PASTEL-LILA"/>
    <n v="712"/>
    <n v="5"/>
    <n v="57"/>
    <x v="0"/>
    <m/>
    <n v="6"/>
    <m/>
    <n v="22926"/>
    <s v="LILA"/>
    <n v="1.9"/>
    <n v="0"/>
    <n v="0"/>
    <n v="27.056000000000001"/>
    <n v="57"/>
    <n v="38"/>
    <n v="1500"/>
    <x v="10"/>
    <x v="0"/>
    <n v="40"/>
    <n v="2"/>
    <n v="118.66666666666667"/>
  </r>
  <r>
    <d v="2025-11-03T08:00:00"/>
    <s v="INYECTADO"/>
    <x v="8"/>
    <x v="254"/>
    <s v="ISABEL LINARIZ "/>
    <m/>
    <m/>
    <m/>
    <s v="TAPER ALEMAN 550ML"/>
    <s v="TAPER 550ML PASTEL-LILA"/>
    <n v="695"/>
    <n v="5"/>
    <n v="55.6"/>
    <x v="1"/>
    <m/>
    <n v="6"/>
    <m/>
    <n v="22927"/>
    <s v="LILA"/>
    <n v="5.5"/>
    <n v="0"/>
    <n v="0"/>
    <n v="26.41"/>
    <n v="55.6"/>
    <n v="38"/>
    <n v="1463.1578947368421"/>
    <x v="10"/>
    <x v="0"/>
    <n v="40"/>
    <n v="2"/>
    <n v="115.83333333333333"/>
  </r>
  <r>
    <d v="2025-11-03T08:00:00"/>
    <s v="INYECTADO"/>
    <x v="8"/>
    <x v="254"/>
    <s v="ISABEL LINARIZ "/>
    <m/>
    <m/>
    <m/>
    <s v="TAPER ALEMAN 550ML"/>
    <s v="TAPER 550ML PASTEL-CELESTE"/>
    <n v="871"/>
    <n v="7"/>
    <n v="69.7"/>
    <x v="1"/>
    <m/>
    <n v="8"/>
    <m/>
    <n v="22927"/>
    <s v="CELESTE"/>
    <n v="2.7"/>
    <n v="0"/>
    <n v="0"/>
    <n v="33.097999999999999"/>
    <n v="69.7"/>
    <n v="38"/>
    <n v="1834.2105263157894"/>
    <x v="10"/>
    <x v="0"/>
    <n v="40"/>
    <n v="2"/>
    <n v="145.16666666666666"/>
  </r>
  <r>
    <d v="2025-11-03T08:00:00"/>
    <s v="INYECTADO"/>
    <x v="8"/>
    <x v="250"/>
    <s v="JUANA CRUCES"/>
    <m/>
    <m/>
    <m/>
    <s v="TAPER ALEMAN 550ML"/>
    <s v="TAPER 550ML PASTEL-CELESTE"/>
    <n v="605"/>
    <n v="5"/>
    <n v="47.8"/>
    <x v="0"/>
    <m/>
    <n v="6"/>
    <m/>
    <n v="22928"/>
    <s v="CELESTE"/>
    <n v="1.9"/>
    <n v="0"/>
    <n v="0"/>
    <n v="22.99"/>
    <n v="47.8"/>
    <n v="38"/>
    <n v="1257.8947368421052"/>
    <x v="10"/>
    <x v="0"/>
    <n v="40"/>
    <n v="2"/>
    <n v="100.83333333333333"/>
  </r>
  <r>
    <d v="2025-11-03T08:00:00"/>
    <s v="INYECTADO"/>
    <x v="8"/>
    <x v="250"/>
    <s v="JUANA CRUCES"/>
    <m/>
    <m/>
    <m/>
    <s v="TAPER ALEMAN 550ML"/>
    <s v="TAPER 550ML PASTEL-AZURE"/>
    <n v="1002"/>
    <n v="7"/>
    <n v="79.2"/>
    <x v="0"/>
    <m/>
    <n v="9"/>
    <m/>
    <n v="22928"/>
    <s v="AZURE"/>
    <n v="3.1"/>
    <n v="0"/>
    <n v="0"/>
    <n v="38.076000000000001"/>
    <n v="79.2"/>
    <n v="38"/>
    <n v="2084.2105263157896"/>
    <x v="10"/>
    <x v="0"/>
    <n v="40"/>
    <n v="2"/>
    <n v="167"/>
  </r>
  <r>
    <d v="2025-11-03T08:00:00"/>
    <s v="INYECTADO"/>
    <x v="8"/>
    <x v="250"/>
    <s v="JUAN MANUEL"/>
    <m/>
    <m/>
    <m/>
    <s v="TAPER ALEMAN 550ML"/>
    <s v="TAPER 550ML PASTEL-AZURE"/>
    <n v="440"/>
    <n v="4"/>
    <n v="34.799999999999997"/>
    <x v="1"/>
    <m/>
    <n v="4"/>
    <m/>
    <n v="22929"/>
    <s v="AZURE"/>
    <n v="5"/>
    <n v="0"/>
    <n v="0"/>
    <n v="16.72"/>
    <n v="34.799999999999997"/>
    <n v="38"/>
    <n v="915.78947368421052"/>
    <x v="10"/>
    <x v="0"/>
    <n v="40"/>
    <n v="2"/>
    <n v="73.333333333333329"/>
  </r>
  <r>
    <d v="2025-11-03T08:00:00"/>
    <s v="INYECTADO"/>
    <x v="8"/>
    <x v="250"/>
    <s v="JUAN MANUEL"/>
    <m/>
    <m/>
    <m/>
    <s v="TAPER ALEMAN 550ML"/>
    <s v="TAPER 550ML PASTEL-TURQUESA"/>
    <n v="962"/>
    <n v="7"/>
    <n v="76"/>
    <x v="1"/>
    <m/>
    <n v="8"/>
    <m/>
    <n v="22929"/>
    <s v="TURQUESA"/>
    <n v="3"/>
    <n v="0"/>
    <n v="0"/>
    <n v="36.555999999999997"/>
    <n v="76"/>
    <n v="38"/>
    <n v="2000"/>
    <x v="10"/>
    <x v="0"/>
    <n v="40"/>
    <n v="2"/>
    <n v="160.33333333333334"/>
  </r>
  <r>
    <d v="2025-11-03T08:00:00"/>
    <s v="INYECTADO"/>
    <x v="8"/>
    <x v="231"/>
    <s v="JUANA CRUCES"/>
    <m/>
    <m/>
    <m/>
    <s v="TAPER ALEMAN 550ML"/>
    <s v="TAPER 550ML PASTEL-TURQUESA"/>
    <n v="475"/>
    <n v="5"/>
    <n v="37.6"/>
    <x v="0"/>
    <m/>
    <n v="4"/>
    <m/>
    <n v="22930"/>
    <s v="TURQUESA"/>
    <n v="6.9"/>
    <n v="0"/>
    <n v="0"/>
    <n v="18.05"/>
    <n v="37.6"/>
    <n v="38"/>
    <n v="989.47368421052636"/>
    <x v="10"/>
    <x v="0"/>
    <n v="41"/>
    <n v="2"/>
    <n v="79.166666666666671"/>
  </r>
  <r>
    <d v="2025-11-03T08:00:00"/>
    <s v="INYECTADO"/>
    <x v="8"/>
    <x v="231"/>
    <s v="JUANA CRUCES"/>
    <m/>
    <m/>
    <m/>
    <s v="TAPER ALEMAN 550ML"/>
    <s v="TAPER 550ML CARAMELO-AMARILLO"/>
    <n v="816"/>
    <n v="6"/>
    <n v="64.5"/>
    <x v="0"/>
    <m/>
    <n v="7"/>
    <m/>
    <n v="22930"/>
    <s v="AMARILLO"/>
    <n v="11.9"/>
    <n v="0"/>
    <n v="0"/>
    <n v="31.007999999999999"/>
    <n v="64.5"/>
    <n v="38"/>
    <n v="1697.3684210526317"/>
    <x v="10"/>
    <x v="0"/>
    <n v="41"/>
    <n v="2"/>
    <n v="136"/>
  </r>
  <r>
    <d v="2025-11-03T08:00:00"/>
    <s v="INYECTADO"/>
    <x v="8"/>
    <x v="231"/>
    <s v="GABRIEL REQUENA"/>
    <m/>
    <m/>
    <m/>
    <s v="TAPER ALEMAN 550ML"/>
    <s v="TAPER 550ML CARAMELO-AMARILLO"/>
    <n v="363"/>
    <n v="3"/>
    <n v="28.7"/>
    <x v="1"/>
    <m/>
    <n v="3"/>
    <m/>
    <n v="22931"/>
    <s v="AMARILLO"/>
    <n v="0"/>
    <n v="0"/>
    <n v="0"/>
    <n v="13.794"/>
    <n v="28.7"/>
    <n v="38"/>
    <n v="755.26315789473688"/>
    <x v="10"/>
    <x v="0"/>
    <n v="41"/>
    <n v="2"/>
    <n v="60.5"/>
  </r>
  <r>
    <d v="2025-11-03T08:00:00"/>
    <s v="INYECTADO"/>
    <x v="8"/>
    <x v="232"/>
    <s v="KARLA HUISA"/>
    <m/>
    <m/>
    <m/>
    <s v="TAPER ALEMAN 550ML"/>
    <s v="TAPER 550ML CARAMELO-AMARILLO"/>
    <n v="392"/>
    <n v="3"/>
    <n v="31"/>
    <x v="0"/>
    <m/>
    <n v="4"/>
    <m/>
    <n v="22932"/>
    <s v="AMARILLO"/>
    <n v="0"/>
    <n v="0"/>
    <n v="0"/>
    <n v="14.896000000000001"/>
    <n v="31"/>
    <n v="38"/>
    <n v="815.78947368421052"/>
    <x v="10"/>
    <x v="0"/>
    <n v="41"/>
    <n v="2"/>
    <n v="65.333333333333329"/>
  </r>
  <r>
    <d v="2025-11-03T08:00:00"/>
    <s v="INYECTADO"/>
    <x v="8"/>
    <x v="232"/>
    <s v="KARLA HUISA"/>
    <m/>
    <m/>
    <m/>
    <s v="TAPER ALEMAN 550ML"/>
    <s v="TAPER 550ML CARAMELO-VERDE"/>
    <n v="1073"/>
    <n v="8"/>
    <n v="84.8"/>
    <x v="0"/>
    <m/>
    <n v="9"/>
    <m/>
    <n v="22932"/>
    <s v="VERDE"/>
    <n v="1.5"/>
    <n v="0"/>
    <n v="0"/>
    <n v="40.774000000000001"/>
    <n v="84.8"/>
    <n v="38"/>
    <n v="2231.5789473684213"/>
    <x v="10"/>
    <x v="0"/>
    <n v="41"/>
    <n v="2"/>
    <n v="178.83333333333334"/>
  </r>
  <r>
    <d v="2025-11-03T08:00:00"/>
    <s v="INYECTADO"/>
    <x v="8"/>
    <x v="232"/>
    <s v="JUAN MANUEL"/>
    <m/>
    <m/>
    <m/>
    <s v="TAPER ALEMAN 550ML"/>
    <s v="TAPER 550ML CARAMELO-VERDE"/>
    <n v="374"/>
    <n v="3"/>
    <n v="29.6"/>
    <x v="1"/>
    <m/>
    <n v="4"/>
    <m/>
    <n v="22933"/>
    <s v="VERDE"/>
    <n v="2"/>
    <n v="0"/>
    <n v="0"/>
    <n v="14.212"/>
    <n v="29.6"/>
    <n v="38"/>
    <n v="778.9473684210526"/>
    <x v="10"/>
    <x v="0"/>
    <n v="41"/>
    <n v="2"/>
    <n v="62.333333333333336"/>
  </r>
  <r>
    <d v="2025-11-03T08:00:00"/>
    <s v="INYECTADO"/>
    <x v="8"/>
    <x v="232"/>
    <s v="JUAN MANUEL"/>
    <m/>
    <m/>
    <m/>
    <s v="TAPER ALEMAN 550ML"/>
    <s v="TAPER 550ML CARAMELO-FUCSIA"/>
    <n v="1093"/>
    <n v="9"/>
    <n v="86.4"/>
    <x v="1"/>
    <m/>
    <n v="9"/>
    <m/>
    <n v="22933"/>
    <s v="FUCSIA"/>
    <n v="1"/>
    <n v="0"/>
    <n v="0"/>
    <n v="41.533999999999999"/>
    <n v="86.4"/>
    <n v="38"/>
    <n v="2273.6842105263158"/>
    <x v="10"/>
    <x v="0"/>
    <n v="41"/>
    <n v="2"/>
    <n v="182.16666666666666"/>
  </r>
  <r>
    <d v="2025-11-03T08:00:00"/>
    <s v="INYECTADO"/>
    <x v="8"/>
    <x v="233"/>
    <s v="JUANA CRUCES"/>
    <m/>
    <m/>
    <m/>
    <s v="TAPER ALEMAN 550ML"/>
    <s v="TAPER 550ML CARAMELO-FUCSIA"/>
    <n v="349"/>
    <n v="3"/>
    <n v="27.6"/>
    <x v="0"/>
    <m/>
    <n v="3"/>
    <m/>
    <n v="22934"/>
    <s v="FUCSIA"/>
    <n v="1.1000000000000001"/>
    <n v="0"/>
    <n v="0"/>
    <n v="13.262"/>
    <n v="27.6"/>
    <n v="38"/>
    <n v="726.31578947368416"/>
    <x v="10"/>
    <x v="0"/>
    <n v="41"/>
    <n v="2"/>
    <n v="58.166666666666664"/>
  </r>
  <r>
    <d v="2025-11-03T08:00:00"/>
    <s v="INYECTADO"/>
    <x v="8"/>
    <x v="233"/>
    <s v="JUANA CRUCES"/>
    <m/>
    <m/>
    <m/>
    <s v="TAPER ALEMAN 550ML"/>
    <s v="TAPER 550ML CARAMELO-LILA"/>
    <n v="1363"/>
    <n v="9"/>
    <n v="107.7"/>
    <x v="0"/>
    <m/>
    <n v="12"/>
    <m/>
    <n v="22934"/>
    <s v="LILA"/>
    <n v="0"/>
    <n v="0"/>
    <n v="0"/>
    <n v="51.793999999999997"/>
    <n v="107.7"/>
    <n v="38"/>
    <n v="2834.2105263157896"/>
    <x v="10"/>
    <x v="0"/>
    <n v="41"/>
    <n v="2"/>
    <n v="227.16666666666666"/>
  </r>
  <r>
    <d v="2025-11-03T08:00:00"/>
    <s v="INYECTADO"/>
    <x v="8"/>
    <x v="233"/>
    <s v="JUAN MANUEL"/>
    <m/>
    <m/>
    <m/>
    <s v="TAPER ALEMAN 550ML"/>
    <s v="TAPER 550ML CARAMELO-LILA"/>
    <n v="79"/>
    <n v="1"/>
    <n v="6.3"/>
    <x v="1"/>
    <m/>
    <n v="1"/>
    <m/>
    <n v="22935"/>
    <s v="LILA"/>
    <n v="3"/>
    <n v="0"/>
    <n v="0"/>
    <n v="3.0019999999999998"/>
    <n v="6.3"/>
    <n v="38"/>
    <n v="165.78947368421052"/>
    <x v="10"/>
    <x v="0"/>
    <n v="41"/>
    <n v="2"/>
    <n v="13.166666666666666"/>
  </r>
  <r>
    <d v="2025-11-03T08:00:00"/>
    <s v="INYECTADO"/>
    <x v="8"/>
    <x v="233"/>
    <s v="JUAN MANUEL"/>
    <m/>
    <m/>
    <m/>
    <s v="TAPER ALEMAN 550ML"/>
    <s v="TAPER 550ML CARAMELO-AZUL"/>
    <n v="1322"/>
    <n v="11"/>
    <n v="104.5"/>
    <x v="1"/>
    <m/>
    <n v="11"/>
    <m/>
    <n v="22935"/>
    <s v="AZUL"/>
    <n v="1"/>
    <n v="0"/>
    <n v="0"/>
    <n v="50.235999999999997"/>
    <n v="104.5"/>
    <n v="38"/>
    <n v="2750"/>
    <x v="10"/>
    <x v="0"/>
    <n v="41"/>
    <n v="2"/>
    <n v="220.33333333333334"/>
  </r>
  <r>
    <d v="2025-11-03T08:00:00"/>
    <s v="INYECTADO"/>
    <x v="8"/>
    <x v="234"/>
    <s v="LEONOR GUTIERREZ"/>
    <m/>
    <m/>
    <m/>
    <s v="TAPER ALEMAN 550ML"/>
    <s v="TAPER 550ML CARAMELO-TRANSPARENTE"/>
    <n v="1887"/>
    <n v="12"/>
    <n v="149.1"/>
    <x v="0"/>
    <m/>
    <n v="16"/>
    <m/>
    <n v="22936"/>
    <s v="TRANSPARENTE"/>
    <n v="0"/>
    <n v="0"/>
    <n v="0"/>
    <e v="#N/A"/>
    <n v="149.1"/>
    <e v="#N/A"/>
    <n v="0"/>
    <x v="10"/>
    <x v="0"/>
    <n v="41"/>
    <e v="#N/A"/>
    <e v="#N/A"/>
  </r>
  <r>
    <d v="2025-11-03T08:00:00"/>
    <s v="INYECTADO"/>
    <x v="8"/>
    <x v="234"/>
    <s v="ISABEL LINARIZ "/>
    <m/>
    <m/>
    <m/>
    <s v="TAPER ALEMAN 550ML"/>
    <s v="TAPER 550ML CARAMELO-TRANSPARENTE"/>
    <n v="1734"/>
    <n v="12"/>
    <n v="137"/>
    <x v="1"/>
    <m/>
    <n v="15"/>
    <m/>
    <n v="22937"/>
    <s v="TRANSPARENTE"/>
    <n v="0"/>
    <n v="0"/>
    <n v="0"/>
    <e v="#N/A"/>
    <n v="137"/>
    <e v="#N/A"/>
    <n v="0"/>
    <x v="10"/>
    <x v="0"/>
    <n v="41"/>
    <e v="#N/A"/>
    <e v="#N/A"/>
  </r>
  <r>
    <d v="2025-11-03T08:00:00"/>
    <s v="INYECTADO"/>
    <x v="8"/>
    <x v="235"/>
    <s v="JUANA CRUCES"/>
    <m/>
    <m/>
    <m/>
    <s v="TAPER ALEMAN 550ML"/>
    <s v="TAPER 550ML CARAMELO-TRANSPARENTE"/>
    <n v="1743"/>
    <n v="11"/>
    <n v="137.69999999999999"/>
    <x v="0"/>
    <m/>
    <n v="15"/>
    <m/>
    <n v="22938"/>
    <s v="TRANSPARENTE"/>
    <n v="0"/>
    <n v="0"/>
    <n v="0"/>
    <e v="#N/A"/>
    <n v="137.69999999999999"/>
    <e v="#N/A"/>
    <n v="0"/>
    <x v="10"/>
    <x v="0"/>
    <n v="41"/>
    <e v="#N/A"/>
    <e v="#N/A"/>
  </r>
  <r>
    <d v="2025-11-03T08:00:00"/>
    <s v="INYECTADO"/>
    <x v="8"/>
    <x v="235"/>
    <s v="JUANA CRUCES"/>
    <m/>
    <m/>
    <m/>
    <s v="TAPER ALEMAN 550ML"/>
    <s v="TAPER 550ML SOLIDO-AMARILLO"/>
    <n v="31"/>
    <n v="1"/>
    <n v="2.5"/>
    <x v="0"/>
    <m/>
    <n v="1"/>
    <m/>
    <n v="22938"/>
    <s v="AMARILLO"/>
    <n v="0"/>
    <n v="0"/>
    <n v="0"/>
    <n v="1.1779999999999999"/>
    <n v="2.5"/>
    <n v="38"/>
    <n v="65.78947368421052"/>
    <x v="10"/>
    <x v="0"/>
    <n v="41"/>
    <n v="2"/>
    <n v="5.166666666666667"/>
  </r>
  <r>
    <d v="2025-11-03T08:00:00"/>
    <s v="INYECTADO"/>
    <x v="8"/>
    <x v="235"/>
    <s v="JUAN MANUEL"/>
    <m/>
    <m/>
    <m/>
    <s v="TAPER ALEMAN 550ML"/>
    <s v="TAPER 550ML SOLIDO-AMARILLO"/>
    <n v="1411"/>
    <n v="11"/>
    <n v="114.3"/>
    <x v="1"/>
    <m/>
    <n v="12"/>
    <m/>
    <n v="22939"/>
    <s v="AMARILLO"/>
    <n v="0"/>
    <n v="0"/>
    <n v="0"/>
    <n v="53.618000000000002"/>
    <n v="114.3"/>
    <n v="38"/>
    <n v="3007.8947368421054"/>
    <x v="10"/>
    <x v="0"/>
    <n v="41"/>
    <n v="2"/>
    <n v="235.16666666666666"/>
  </r>
  <r>
    <d v="2025-11-03T08:00:00"/>
    <s v="INYECTADO"/>
    <x v="8"/>
    <x v="235"/>
    <s v="JUAN MANUEL"/>
    <m/>
    <m/>
    <m/>
    <s v="TAPER ALEMAN 550ML"/>
    <s v="TAPER 550ML SOLIDO-VERDE"/>
    <n v="60"/>
    <n v="1"/>
    <n v="4.9000000000000004"/>
    <x v="1"/>
    <m/>
    <n v="1"/>
    <m/>
    <n v="22939"/>
    <s v="VERDE"/>
    <n v="3"/>
    <n v="0"/>
    <n v="0"/>
    <n v="2.2799999999999998"/>
    <n v="4.9000000000000004"/>
    <n v="38"/>
    <n v="128.94736842105263"/>
    <x v="10"/>
    <x v="0"/>
    <n v="41"/>
    <n v="2"/>
    <n v="10"/>
  </r>
  <r>
    <d v="2025-11-03T08:00:00"/>
    <s v="INYECTADO"/>
    <x v="8"/>
    <x v="236"/>
    <s v="JUANA CRUCES"/>
    <m/>
    <m/>
    <m/>
    <s v="TAPER ALEMAN 550ML"/>
    <s v="TAPER 550ML SOLIDO-VERDE"/>
    <n v="1158"/>
    <n v="8"/>
    <n v="93.8"/>
    <x v="0"/>
    <m/>
    <n v="11"/>
    <m/>
    <n v="22940"/>
    <s v="VERDE"/>
    <n v="4"/>
    <n v="0"/>
    <n v="0"/>
    <n v="44.003999999999998"/>
    <n v="93.8"/>
    <n v="38"/>
    <n v="2468.4210526315787"/>
    <x v="10"/>
    <x v="0"/>
    <n v="41"/>
    <n v="2"/>
    <n v="193"/>
  </r>
  <r>
    <d v="2025-11-03T08:00:00"/>
    <s v="INYECTADO"/>
    <x v="8"/>
    <x v="236"/>
    <s v="JOSDER GONZALEZ"/>
    <m/>
    <m/>
    <m/>
    <s v="TAPER ALEMAN 550ML"/>
    <s v="TAPER 550ML SOLIDO-VERDE"/>
    <n v="206"/>
    <n v="2"/>
    <n v="16.2"/>
    <x v="1"/>
    <m/>
    <n v="2"/>
    <m/>
    <n v="22941"/>
    <s v="VERDE"/>
    <n v="4.7"/>
    <n v="0"/>
    <n v="0"/>
    <n v="7.8280000000000003"/>
    <n v="16.2"/>
    <n v="38"/>
    <n v="426.31578947368422"/>
    <x v="10"/>
    <x v="0"/>
    <n v="41"/>
    <n v="2"/>
    <n v="34.333333333333336"/>
  </r>
  <r>
    <d v="2025-11-03T08:00:00"/>
    <s v="INYECTADO"/>
    <x v="8"/>
    <x v="236"/>
    <s v="JOSDER GONZALEZ"/>
    <m/>
    <m/>
    <m/>
    <s v="TAPER ALEMAN 550ML"/>
    <s v="TAPER 550ML SOLIDO-FUCSIA"/>
    <n v="792"/>
    <n v="6"/>
    <n v="63.4"/>
    <x v="1"/>
    <m/>
    <n v="7"/>
    <m/>
    <n v="22941"/>
    <s v="FUCSIA"/>
    <n v="4.5999999999999996"/>
    <n v="0"/>
    <n v="0"/>
    <n v="30.096"/>
    <n v="63.4"/>
    <n v="38"/>
    <n v="1668.421052631579"/>
    <x v="10"/>
    <x v="0"/>
    <n v="41"/>
    <n v="2"/>
    <n v="132"/>
  </r>
  <r>
    <d v="2025-11-03T08:00:00"/>
    <s v="INYECTADO"/>
    <x v="8"/>
    <x v="260"/>
    <s v="BRAYAN PINEDO"/>
    <m/>
    <m/>
    <m/>
    <s v="TAPER ALEMAN 550ML"/>
    <s v="TAPER 550ML SOLIDO-FUCSIA"/>
    <n v="601"/>
    <n v="6"/>
    <n v="48.1"/>
    <x v="0"/>
    <m/>
    <n v="7"/>
    <m/>
    <n v="22942"/>
    <s v="FUCSIA"/>
    <n v="1.2"/>
    <n v="0"/>
    <n v="0"/>
    <n v="22.838000000000001"/>
    <n v="48.1"/>
    <n v="38"/>
    <n v="1265.7894736842106"/>
    <x v="10"/>
    <x v="0"/>
    <n v="41"/>
    <n v="2"/>
    <n v="100.16666666666667"/>
  </r>
  <r>
    <d v="2025-11-03T08:00:00"/>
    <s v="INYECTADO"/>
    <x v="8"/>
    <x v="260"/>
    <s v="BRAYAN PINEDO"/>
    <m/>
    <m/>
    <m/>
    <s v="TAPER ALEMAN 550ML"/>
    <s v="TAPER 550ML SOLIDO-ROJO"/>
    <n v="363"/>
    <n v="3"/>
    <n v="29.1"/>
    <x v="0"/>
    <m/>
    <n v="3"/>
    <m/>
    <n v="22942"/>
    <s v="ROJO"/>
    <n v="2.1"/>
    <n v="0"/>
    <n v="0"/>
    <n v="13.794"/>
    <n v="29.1"/>
    <n v="38"/>
    <n v="765.78947368421052"/>
    <x v="10"/>
    <x v="0"/>
    <n v="41"/>
    <n v="2"/>
    <n v="60.5"/>
  </r>
  <r>
    <d v="2025-11-03T08:00:00"/>
    <s v="INYECTADO"/>
    <x v="8"/>
    <x v="237"/>
    <s v="JUANA CRUCES"/>
    <m/>
    <m/>
    <m/>
    <s v="TAPER ALEMAN 550ML"/>
    <s v="TAPER 550ML SOLIDO-ROJO"/>
    <n v="975"/>
    <n v="9"/>
    <n v="78"/>
    <x v="0"/>
    <m/>
    <n v="8"/>
    <m/>
    <n v="22943"/>
    <s v="ROJO"/>
    <n v="6.8"/>
    <n v="0"/>
    <n v="0"/>
    <n v="37.049999999999997"/>
    <n v="78"/>
    <n v="38"/>
    <n v="2052.6315789473683"/>
    <x v="10"/>
    <x v="0"/>
    <n v="42"/>
    <n v="2"/>
    <n v="162.5"/>
  </r>
  <r>
    <d v="2025-11-03T08:00:00"/>
    <s v="INYECTADO"/>
    <x v="8"/>
    <x v="237"/>
    <s v="JUANA CRUCES"/>
    <m/>
    <m/>
    <m/>
    <s v="TAPER ALEMAN 550ML"/>
    <s v="TAPER 550ML SOLIDO-TURQUESA"/>
    <n v="543"/>
    <n v="3"/>
    <n v="41.3"/>
    <x v="0"/>
    <m/>
    <n v="5"/>
    <m/>
    <n v="22943"/>
    <s v="TURQUESA"/>
    <n v="4.7"/>
    <n v="0"/>
    <n v="0"/>
    <n v="20.634"/>
    <n v="41.3"/>
    <n v="38"/>
    <n v="1086.8421052631579"/>
    <x v="10"/>
    <x v="0"/>
    <n v="42"/>
    <n v="2"/>
    <n v="90.5"/>
  </r>
  <r>
    <d v="2025-11-03T08:00:00"/>
    <s v="INYECTADO"/>
    <x v="8"/>
    <x v="237"/>
    <s v="JUAN MANUEL"/>
    <m/>
    <m/>
    <m/>
    <s v="TAPER ALEMAN 550ML"/>
    <s v="TAPER 550ML SOLIDO-TURQUESA"/>
    <n v="972"/>
    <n v="7"/>
    <n v="77.8"/>
    <x v="1"/>
    <m/>
    <n v="9"/>
    <m/>
    <n v="22944"/>
    <s v="TURQUESA"/>
    <n v="3"/>
    <n v="0"/>
    <n v="0"/>
    <n v="36.936"/>
    <n v="77.8"/>
    <n v="38"/>
    <n v="2047.3684210526317"/>
    <x v="10"/>
    <x v="0"/>
    <n v="42"/>
    <n v="2"/>
    <n v="162"/>
  </r>
  <r>
    <d v="2025-11-03T08:00:00"/>
    <s v="INYECTADO"/>
    <x v="8"/>
    <x v="237"/>
    <s v="JUAN MANUEL"/>
    <m/>
    <m/>
    <m/>
    <s v="TAPER ALEMAN 550ML"/>
    <s v="TAPER 550ML SOLIDO-AZUL"/>
    <n v="911"/>
    <n v="5"/>
    <n v="72.900000000000006"/>
    <x v="1"/>
    <m/>
    <n v="7"/>
    <m/>
    <n v="22944"/>
    <s v="AZUL"/>
    <n v="1"/>
    <n v="0"/>
    <n v="0"/>
    <n v="34.618000000000002"/>
    <n v="72.900000000000006"/>
    <n v="38"/>
    <n v="1918.421052631579"/>
    <x v="10"/>
    <x v="0"/>
    <n v="42"/>
    <n v="2"/>
    <n v="151.83333333333334"/>
  </r>
  <r>
    <d v="2025-11-03T08:00:00"/>
    <s v="INYECTADO"/>
    <x v="8"/>
    <x v="238"/>
    <s v="JUANA CRUCES"/>
    <m/>
    <m/>
    <m/>
    <s v="TAPER ALEMAN 550ML"/>
    <s v="TAPER 550ML SOLIDO-AZUL"/>
    <n v="406"/>
    <n v="3"/>
    <n v="30.9"/>
    <x v="0"/>
    <m/>
    <n v="5"/>
    <m/>
    <n v="22945"/>
    <s v="AZUL"/>
    <n v="4.5"/>
    <n v="0"/>
    <n v="0"/>
    <n v="15.428000000000001"/>
    <n v="30.9"/>
    <n v="38"/>
    <n v="813.15789473684208"/>
    <x v="10"/>
    <x v="0"/>
    <n v="42"/>
    <n v="2"/>
    <n v="67.666666666666671"/>
  </r>
  <r>
    <d v="2025-11-03T08:00:00"/>
    <s v="INYECTADO"/>
    <x v="8"/>
    <x v="238"/>
    <s v="JUANA CRUCES"/>
    <m/>
    <m/>
    <m/>
    <s v="TAPER ALEMAN 550ML"/>
    <s v="TAPER 550ML SOLIDO-ROJO"/>
    <n v="686"/>
    <n v="5"/>
    <n v="52.3"/>
    <x v="0"/>
    <m/>
    <n v="6"/>
    <m/>
    <n v="22945"/>
    <s v="ROJO"/>
    <n v="3.2"/>
    <n v="0"/>
    <n v="0"/>
    <n v="26.068000000000001"/>
    <n v="52.3"/>
    <n v="38"/>
    <n v="1376.3157894736842"/>
    <x v="10"/>
    <x v="0"/>
    <n v="42"/>
    <n v="2"/>
    <n v="114.33333333333333"/>
  </r>
  <r>
    <d v="2025-11-03T08:00:00"/>
    <s v="INYECTADO"/>
    <x v="8"/>
    <x v="238"/>
    <s v="GABRIEL REQUENA"/>
    <m/>
    <m/>
    <m/>
    <s v="BASE PORTA VAJILLA"/>
    <s v="BASE PORTA VAJILLA-TRANSPARENTE"/>
    <n v="1203"/>
    <n v="11"/>
    <n v="489.2"/>
    <x v="1"/>
    <m/>
    <n v="40"/>
    <n v="1262"/>
    <n v="22946"/>
    <s v="TRANSPARENTE"/>
    <n v="16.7"/>
    <n v="0"/>
    <n v="0"/>
    <n v="452.32799999999997"/>
    <n v="489.2"/>
    <n v="376"/>
    <n v="1301.063829787234"/>
    <x v="10"/>
    <x v="0"/>
    <n v="42"/>
    <n v="1"/>
    <n v="100.25"/>
  </r>
  <r>
    <d v="2025-11-03T08:00:00"/>
    <s v="INYECTADO"/>
    <x v="8"/>
    <x v="258"/>
    <s v="LEONOR GUTIERREZ"/>
    <m/>
    <m/>
    <m/>
    <s v="BASE PORTA VAJILLA"/>
    <s v="BASE PORTA VAJILLA-TRANSPARENTE"/>
    <n v="1279"/>
    <n v="12"/>
    <n v="516"/>
    <x v="0"/>
    <m/>
    <n v="43"/>
    <n v="1262"/>
    <n v="22947"/>
    <s v="TRANSPARENTE"/>
    <n v="0"/>
    <n v="0"/>
    <n v="0"/>
    <n v="480.904"/>
    <n v="516"/>
    <n v="376"/>
    <n v="1372.3404255319149"/>
    <x v="10"/>
    <x v="0"/>
    <n v="42"/>
    <n v="1"/>
    <n v="106.58333333333333"/>
  </r>
  <r>
    <d v="2025-11-03T08:00:00"/>
    <s v="INYECTADO"/>
    <x v="8"/>
    <x v="258"/>
    <s v="JOSDER GONZALEZ"/>
    <m/>
    <m/>
    <m/>
    <s v="BASE PORTA VAJILLA"/>
    <s v="BASE PORTA VAJILLA-TRANSPARENTE"/>
    <n v="1260"/>
    <n v="11"/>
    <n v="512"/>
    <x v="1"/>
    <m/>
    <n v="42"/>
    <n v="1262"/>
    <n v="22948"/>
    <s v="TRANSPARENTE"/>
    <n v="5.2"/>
    <n v="0"/>
    <n v="0"/>
    <n v="473.76"/>
    <n v="512"/>
    <n v="376"/>
    <n v="1361.7021276595744"/>
    <x v="10"/>
    <x v="0"/>
    <n v="42"/>
    <n v="1"/>
    <n v="105"/>
  </r>
  <r>
    <d v="2025-11-03T08:00:00"/>
    <s v="INYECTADO"/>
    <x v="8"/>
    <x v="239"/>
    <s v="NELSON PINEDO"/>
    <m/>
    <m/>
    <m/>
    <s v="BASE ORGANIZADOR  DE 3KG TRANSPARENTE"/>
    <s v="BASE ORGANIZADOR DE 3KG PASTEL-TRANSPARENTE"/>
    <n v="644"/>
    <n v="6"/>
    <n v="121.8"/>
    <x v="0"/>
    <n v="21"/>
    <n v="40"/>
    <n v="1268"/>
    <n v="22949"/>
    <s v="TRANSPARENTE"/>
    <n v="0"/>
    <n v="0"/>
    <n v="0"/>
    <e v="#N/A"/>
    <n v="121.8"/>
    <e v="#N/A"/>
    <n v="0"/>
    <x v="10"/>
    <x v="0"/>
    <n v="42"/>
    <e v="#N/A"/>
    <e v="#N/A"/>
  </r>
  <r>
    <d v="2025-11-03T08:00:00"/>
    <s v="INYECTADO"/>
    <x v="8"/>
    <x v="239"/>
    <s v="JOSDER GONZALEZ"/>
    <m/>
    <m/>
    <m/>
    <s v="BASE ORGANIZADOR  DE 3KG TRANSPARENTE"/>
    <s v="BASE ORGANIZADOR DE 3KG PASTEL-TRANSPARENTE"/>
    <n v="1282"/>
    <n v="12"/>
    <n v="243.6"/>
    <x v="1"/>
    <m/>
    <n v="33"/>
    <n v="1268"/>
    <n v="22950"/>
    <s v="TRANSPARENTE"/>
    <n v="1.8"/>
    <n v="0"/>
    <n v="0"/>
    <e v="#N/A"/>
    <n v="243.6"/>
    <e v="#N/A"/>
    <n v="0"/>
    <x v="10"/>
    <x v="0"/>
    <n v="42"/>
    <e v="#N/A"/>
    <e v="#N/A"/>
  </r>
  <r>
    <d v="2025-11-03T08:00:00"/>
    <s v="INYECTADO"/>
    <x v="8"/>
    <x v="240"/>
    <s v="JUANA CRUCES"/>
    <m/>
    <m/>
    <m/>
    <s v="BASE ORGANIZADOR  DE 3KG TRANSPARENTE"/>
    <s v="BASE ORGANIZADOR DE 3KG PASTEL-TRANSPARENTE"/>
    <n v="1220"/>
    <n v="12"/>
    <n v="231.2"/>
    <x v="0"/>
    <m/>
    <n v="31"/>
    <n v="1268"/>
    <n v="22951"/>
    <s v="TRANSPARENTE"/>
    <n v="0"/>
    <n v="0"/>
    <n v="0"/>
    <e v="#N/A"/>
    <n v="231.2"/>
    <e v="#N/A"/>
    <n v="0"/>
    <x v="10"/>
    <x v="0"/>
    <n v="42"/>
    <e v="#N/A"/>
    <e v="#N/A"/>
  </r>
  <r>
    <d v="2025-11-03T08:00:00"/>
    <s v="INYECTADO"/>
    <x v="8"/>
    <x v="240"/>
    <s v="JOSDER GONZALEZ"/>
    <m/>
    <m/>
    <m/>
    <s v="BASE ORGANIZADOR  DE 3KG TRANSPARENTE"/>
    <s v="BASE ORGANIZADOR DE 3KG PASTEL-TRANSPARENTE"/>
    <n v="1050"/>
    <n v="12"/>
    <n v="199.5"/>
    <x v="1"/>
    <m/>
    <n v="26"/>
    <n v="1268"/>
    <n v="22952"/>
    <s v="TRANSPARENTE"/>
    <n v="0"/>
    <n v="0"/>
    <n v="0"/>
    <e v="#N/A"/>
    <n v="199.5"/>
    <e v="#N/A"/>
    <n v="0"/>
    <x v="10"/>
    <x v="0"/>
    <n v="42"/>
    <e v="#N/A"/>
    <e v="#N/A"/>
  </r>
  <r>
    <d v="2025-11-03T08:00:00"/>
    <s v="INYECTADO"/>
    <x v="8"/>
    <x v="240"/>
    <s v="JOSDER GONZALEZ"/>
    <m/>
    <m/>
    <m/>
    <s v="ORGANIZADOR  DE 3KG CARAMELO"/>
    <s v="BASE ORGANIZADOR  DE 3KG CARAMELO-AMARILLO"/>
    <n v="482"/>
    <n v="4"/>
    <n v="91.6"/>
    <x v="1"/>
    <m/>
    <n v="16"/>
    <m/>
    <n v="22952"/>
    <s v="AMARILLO"/>
    <n v="0"/>
    <n v="0"/>
    <n v="0"/>
    <n v="47.235999999999997"/>
    <n v="91.6"/>
    <n v="98"/>
    <n v="934.69387755102036"/>
    <x v="10"/>
    <x v="0"/>
    <n v="42"/>
    <n v="2"/>
    <n v="80.333333333333329"/>
  </r>
  <r>
    <d v="2025-11-03T08:00:00"/>
    <s v="INYECTADO"/>
    <x v="8"/>
    <x v="241"/>
    <s v="JUANA CRUCES"/>
    <m/>
    <m/>
    <m/>
    <s v="ORGANIZADOR  DE 3KG CARAMELO"/>
    <s v="BASE ORGANIZADOR  DE 3KG CARAMELO-AMARILLO"/>
    <n v="71"/>
    <n v="1"/>
    <n v="13.5"/>
    <x v="0"/>
    <m/>
    <n v="2"/>
    <m/>
    <n v="22953"/>
    <s v="AMARILLO"/>
    <n v="0"/>
    <n v="0"/>
    <n v="0"/>
    <n v="6.9580000000000002"/>
    <n v="13.5"/>
    <n v="98"/>
    <n v="137.75510204081633"/>
    <x v="10"/>
    <x v="0"/>
    <n v="42"/>
    <n v="2"/>
    <n v="11.833333333333334"/>
  </r>
  <r>
    <d v="2025-11-03T08:00:00"/>
    <s v="INYECTADO"/>
    <x v="8"/>
    <x v="241"/>
    <s v="JUANA CRUCES"/>
    <m/>
    <m/>
    <m/>
    <s v="ORGANIZADOR  DE 3KG CARAMELO"/>
    <s v="BASE ORGANIZADOR  DE 3KG CARAMELO-VERDE"/>
    <n v="557"/>
    <n v="5"/>
    <n v="106"/>
    <x v="0"/>
    <m/>
    <n v="17"/>
    <m/>
    <n v="22953"/>
    <s v="VERDE"/>
    <n v="3.6"/>
    <n v="0"/>
    <n v="0"/>
    <n v="54.585999999999999"/>
    <n v="106"/>
    <n v="98"/>
    <n v="1081.6326530612246"/>
    <x v="10"/>
    <x v="0"/>
    <n v="42"/>
    <n v="2"/>
    <n v="92.833333333333329"/>
  </r>
  <r>
    <d v="2025-11-03T08:00:00"/>
    <s v="INYECTADO"/>
    <x v="8"/>
    <x v="241"/>
    <s v="JUANA CRUCES"/>
    <m/>
    <m/>
    <m/>
    <s v="ORGANIZADOR  DE 3KG CARAMELO"/>
    <s v="BASE ORGANIZADOR  DE 3KG CARAMELO-FUCISA"/>
    <n v="487"/>
    <n v="6"/>
    <n v="92.7"/>
    <x v="0"/>
    <m/>
    <n v="16"/>
    <m/>
    <n v="22953"/>
    <s v="FUCSIA"/>
    <n v="4.7"/>
    <n v="0"/>
    <n v="0"/>
    <e v="#N/A"/>
    <n v="92.7"/>
    <e v="#N/A"/>
    <n v="0"/>
    <x v="10"/>
    <x v="0"/>
    <n v="42"/>
    <e v="#N/A"/>
    <e v="#N/A"/>
  </r>
  <r>
    <d v="2025-11-03T08:00:00"/>
    <s v="INYECTADO"/>
    <x v="8"/>
    <x v="241"/>
    <s v="JUAN MANUEL"/>
    <m/>
    <m/>
    <m/>
    <s v="ORGANIZADOR  DE 3KG CARAMELO"/>
    <s v="BASE ORGANIZADOR  DE 3KG CARAMELO-ROJO"/>
    <n v="91"/>
    <n v="1"/>
    <n v="17.399999999999999"/>
    <x v="1"/>
    <m/>
    <n v="3"/>
    <m/>
    <n v="22954"/>
    <s v="ROJO"/>
    <n v="1"/>
    <n v="0"/>
    <n v="0"/>
    <n v="8.9179999999999993"/>
    <n v="17.399999999999999"/>
    <n v="98"/>
    <n v="177.55102040816325"/>
    <x v="10"/>
    <x v="0"/>
    <n v="42"/>
    <n v="2"/>
    <n v="15.166666666666666"/>
  </r>
  <r>
    <d v="2025-11-03T08:00:00"/>
    <s v="INYECTADO"/>
    <x v="8"/>
    <x v="241"/>
    <s v="JUAN MANUEL"/>
    <m/>
    <m/>
    <m/>
    <s v="ORGANIZADOR  DE 3KG CARAMELO"/>
    <s v="BASE ORGANIZADOR  DE 3KG CARAMELO-FUCISA"/>
    <n v="30"/>
    <n v="1"/>
    <n v="5.8"/>
    <x v="1"/>
    <m/>
    <n v="1"/>
    <m/>
    <n v="22954"/>
    <s v="FUCSIA"/>
    <n v="3"/>
    <n v="0"/>
    <n v="0"/>
    <e v="#N/A"/>
    <n v="5.8"/>
    <e v="#N/A"/>
    <n v="0"/>
    <x v="10"/>
    <x v="0"/>
    <n v="42"/>
    <e v="#N/A"/>
    <e v="#N/A"/>
  </r>
  <r>
    <d v="2025-11-03T08:00:00"/>
    <s v="INYECTADO"/>
    <x v="8"/>
    <x v="241"/>
    <s v="JUAN MANUEL"/>
    <m/>
    <m/>
    <m/>
    <s v="ORGANIZADOR  DE 3KG CARAMELO"/>
    <s v="BASE ORGANIZADOR  DE 3KG CARAMELO-AZUL"/>
    <n v="544"/>
    <n v="5"/>
    <n v="103.4"/>
    <x v="1"/>
    <m/>
    <n v="18"/>
    <m/>
    <n v="22954"/>
    <s v="AZUL"/>
    <n v="0"/>
    <n v="0"/>
    <n v="0"/>
    <n v="53.311999999999998"/>
    <n v="103.4"/>
    <n v="98"/>
    <n v="1055.1020408163265"/>
    <x v="10"/>
    <x v="0"/>
    <n v="42"/>
    <n v="2"/>
    <n v="90.666666666666671"/>
  </r>
  <r>
    <d v="2025-11-03T08:00:00"/>
    <s v="INYECTADO"/>
    <x v="8"/>
    <x v="241"/>
    <s v="JUAN MANUEL"/>
    <m/>
    <m/>
    <m/>
    <s v="ORGANIZADOR  DE 3KG CARAMELO"/>
    <s v="BASE ORGANIZADOR  DE 3KG CARAMELO-LILA"/>
    <n v="528"/>
    <n v="5"/>
    <n v="100.4"/>
    <x v="1"/>
    <m/>
    <n v="18"/>
    <m/>
    <n v="22954"/>
    <s v="LILA"/>
    <n v="0"/>
    <n v="0"/>
    <n v="0"/>
    <n v="51.744"/>
    <n v="100.4"/>
    <n v="98"/>
    <n v="1024.4897959183672"/>
    <x v="10"/>
    <x v="0"/>
    <n v="42"/>
    <n v="2"/>
    <n v="88"/>
  </r>
  <r>
    <d v="2025-11-03T08:00:00"/>
    <s v="INYECTADO"/>
    <x v="8"/>
    <x v="242"/>
    <s v="JUANA CRUCES"/>
    <m/>
    <m/>
    <m/>
    <s v="ORGANIZADOR  DE 3KG CARAMELO"/>
    <s v="BASE ORGANIZADOR  DE 3KG CARAMELO-ROJO"/>
    <n v="431"/>
    <n v="5"/>
    <n v="81.2"/>
    <x v="0"/>
    <m/>
    <n v="14"/>
    <m/>
    <n v="22955"/>
    <s v="ROJO"/>
    <n v="4.2"/>
    <n v="0"/>
    <n v="0"/>
    <n v="42.238"/>
    <n v="81.2"/>
    <n v="98"/>
    <n v="828.57142857142856"/>
    <x v="10"/>
    <x v="0"/>
    <n v="43"/>
    <n v="2"/>
    <n v="71.833333333333329"/>
  </r>
  <r>
    <d v="2025-11-03T08:00:00"/>
    <s v="INYECTADO"/>
    <x v="8"/>
    <x v="242"/>
    <s v="JUANA CRUCES"/>
    <m/>
    <m/>
    <m/>
    <s v="ORGANIZADOR  DE 3KG CARAMELO"/>
    <s v="BASE ORGANIZADOR  DE 3KG PASTEL-SANDIA"/>
    <n v="277"/>
    <n v="3"/>
    <n v="52.2"/>
    <x v="0"/>
    <m/>
    <n v="9"/>
    <m/>
    <n v="22955"/>
    <s v="SANDIA"/>
    <n v="1.3"/>
    <n v="0"/>
    <n v="0"/>
    <e v="#N/A"/>
    <n v="52.2"/>
    <e v="#N/A"/>
    <n v="0"/>
    <x v="10"/>
    <x v="0"/>
    <n v="43"/>
    <e v="#N/A"/>
    <e v="#N/A"/>
  </r>
  <r>
    <d v="2025-11-03T08:00:00"/>
    <s v="INYECTADO"/>
    <x v="8"/>
    <x v="242"/>
    <s v="JUANA CRUCES"/>
    <m/>
    <m/>
    <m/>
    <s v="ORGANIZADOR  DE 3KG PASTEL"/>
    <s v="BASE ORGANIZADOR  DE 3KG PASTEL-ROSADO"/>
    <n v="271"/>
    <n v="3"/>
    <n v="51.1"/>
    <x v="0"/>
    <m/>
    <n v="8"/>
    <m/>
    <n v="22955"/>
    <s v="ROSADO"/>
    <n v="5.7"/>
    <n v="0"/>
    <n v="0"/>
    <e v="#N/A"/>
    <n v="51.1"/>
    <e v="#N/A"/>
    <n v="0"/>
    <x v="10"/>
    <x v="0"/>
    <n v="43"/>
    <e v="#N/A"/>
    <e v="#N/A"/>
  </r>
  <r>
    <d v="2025-11-03T08:00:00"/>
    <s v="INYECTADO"/>
    <x v="8"/>
    <x v="242"/>
    <s v="JUANA CRUCES"/>
    <m/>
    <m/>
    <m/>
    <s v="ORGANIZADOR  DE 3KG PASTEL"/>
    <s v="BASE ORGANIZADOR  DE 3KG PASTEL-LILA"/>
    <n v="82"/>
    <n v="1"/>
    <n v="15.5"/>
    <x v="0"/>
    <m/>
    <n v="1"/>
    <m/>
    <n v="22955"/>
    <s v="LILA"/>
    <n v="1.7"/>
    <n v="0"/>
    <n v="0"/>
    <e v="#N/A"/>
    <n v="15.5"/>
    <e v="#N/A"/>
    <n v="0"/>
    <x v="10"/>
    <x v="0"/>
    <n v="43"/>
    <e v="#N/A"/>
    <e v="#N/A"/>
  </r>
  <r>
    <d v="2025-11-03T08:00:00"/>
    <s v="INYECTADO"/>
    <x v="8"/>
    <x v="242"/>
    <s v="JOSDER GONZALEZ"/>
    <m/>
    <m/>
    <m/>
    <s v="ORGANIZADOR  DE 3KG PASTEL"/>
    <s v="BASE ORGANIZADOR  DE 3KG PASTEL-LILA"/>
    <n v="203"/>
    <n v="2"/>
    <n v="38.200000000000003"/>
    <x v="1"/>
    <m/>
    <n v="7"/>
    <m/>
    <n v="22956"/>
    <s v="LILA"/>
    <n v="4.0999999999999996"/>
    <n v="0"/>
    <n v="0"/>
    <e v="#N/A"/>
    <n v="38.200000000000003"/>
    <e v="#N/A"/>
    <n v="0"/>
    <x v="10"/>
    <x v="0"/>
    <n v="43"/>
    <e v="#N/A"/>
    <e v="#N/A"/>
  </r>
  <r>
    <d v="2025-11-03T08:00:00"/>
    <s v="INYECTADO"/>
    <x v="8"/>
    <x v="242"/>
    <s v="JOSDER GONZALEZ"/>
    <m/>
    <m/>
    <m/>
    <s v="ORGANIZADOR  DE 3KG PASTEL"/>
    <s v="BASE ORGANIZADOR  DE 3KG PASTEL-TURQUESA"/>
    <n v="273"/>
    <n v="3"/>
    <n v="51.4"/>
    <x v="1"/>
    <m/>
    <n v="9"/>
    <m/>
    <n v="22956"/>
    <s v="TURQUESA"/>
    <n v="5.8"/>
    <n v="0"/>
    <n v="0"/>
    <e v="#N/A"/>
    <n v="51.4"/>
    <e v="#N/A"/>
    <n v="0"/>
    <x v="10"/>
    <x v="0"/>
    <n v="43"/>
    <e v="#N/A"/>
    <e v="#N/A"/>
  </r>
  <r>
    <d v="2025-11-03T08:00:00"/>
    <s v="INYECTADO"/>
    <x v="8"/>
    <x v="242"/>
    <s v="JOSDER GONZALEZ"/>
    <m/>
    <m/>
    <m/>
    <s v="ORGANIZADOR  DE 3KG PASTEL"/>
    <s v="BASE ORGANIZADOR  DE 3KG PASTEL-CELESTE"/>
    <n v="274"/>
    <n v="3"/>
    <n v="51.6"/>
    <x v="1"/>
    <m/>
    <n v="9"/>
    <m/>
    <n v="22956"/>
    <s v="CELESTE"/>
    <n v="2.4"/>
    <n v="0"/>
    <n v="0"/>
    <e v="#N/A"/>
    <n v="51.6"/>
    <e v="#N/A"/>
    <n v="0"/>
    <x v="10"/>
    <x v="0"/>
    <n v="43"/>
    <e v="#N/A"/>
    <e v="#N/A"/>
  </r>
  <r>
    <d v="2025-11-03T08:00:00"/>
    <s v="INYECTADO"/>
    <x v="8"/>
    <x v="242"/>
    <s v="JOSDER GONZALEZ"/>
    <m/>
    <m/>
    <m/>
    <s v="ORGANIZADOR  DE 3KG PASTEL"/>
    <s v="BASE ORGANIZADOR  DE 3KG PASTEL-AZURE"/>
    <n v="274"/>
    <n v="3"/>
    <n v="51.6"/>
    <x v="1"/>
    <m/>
    <n v="9"/>
    <m/>
    <n v="22956"/>
    <s v="AZURE"/>
    <n v="0"/>
    <n v="0"/>
    <n v="0"/>
    <e v="#N/A"/>
    <n v="51.6"/>
    <e v="#N/A"/>
    <n v="0"/>
    <x v="10"/>
    <x v="0"/>
    <n v="43"/>
    <e v="#N/A"/>
    <e v="#N/A"/>
  </r>
  <r>
    <d v="2025-11-03T08:00:00"/>
    <s v="INYECTADO"/>
    <x v="8"/>
    <x v="255"/>
    <s v="GABRIEL REQUENA"/>
    <m/>
    <m/>
    <m/>
    <s v="JARRA GRECIA 5LT"/>
    <s v="JARRA GRECIA 5LT-TRANSPARENTE"/>
    <n v="1024"/>
    <n v="12"/>
    <n v="238.8"/>
    <x v="1"/>
    <m/>
    <n v="42"/>
    <m/>
    <n v="22957"/>
    <s v="TRANSPARENTE"/>
    <n v="5.5"/>
    <n v="0"/>
    <n v="0"/>
    <n v="227.328"/>
    <n v="238.8"/>
    <n v="222"/>
    <n v="1075.6756756756756"/>
    <x v="10"/>
    <x v="0"/>
    <n v="43"/>
    <n v="1"/>
    <n v="85.333333333333329"/>
  </r>
  <r>
    <d v="2025-11-03T08:00:00"/>
    <s v="INYECTADO"/>
    <x v="8"/>
    <x v="256"/>
    <s v="JUANA CRUCES"/>
    <m/>
    <m/>
    <m/>
    <s v="JARRA GRECIA 5LT"/>
    <s v="JARRA GRECIA 5LT-TRANSPARENTE"/>
    <n v="1031"/>
    <n v="12"/>
    <n v="232.1"/>
    <x v="0"/>
    <m/>
    <n v="42"/>
    <m/>
    <n v="22958"/>
    <s v="TRANSPARENTE"/>
    <n v="3.2"/>
    <n v="0"/>
    <n v="0"/>
    <n v="228.88200000000001"/>
    <n v="232.1"/>
    <n v="222"/>
    <n v="1045.4954954954956"/>
    <x v="10"/>
    <x v="0"/>
    <n v="43"/>
    <n v="1"/>
    <n v="85.916666666666671"/>
  </r>
  <r>
    <d v="2025-11-03T08:00:00"/>
    <s v="INYECTADO"/>
    <x v="8"/>
    <x v="256"/>
    <s v="JUAN MANUEL"/>
    <m/>
    <m/>
    <m/>
    <s v="JARRA GRECIA 5LT"/>
    <s v="JARRA GRECIA 5LT-TRANSPARENTE"/>
    <n v="1005"/>
    <n v="12"/>
    <n v="235.2"/>
    <x v="1"/>
    <m/>
    <n v="42"/>
    <m/>
    <n v="22959"/>
    <s v="TRANSPARENTE"/>
    <n v="0"/>
    <n v="0"/>
    <n v="0"/>
    <n v="223.11"/>
    <n v="235.2"/>
    <n v="222"/>
    <n v="1059.4594594594594"/>
    <x v="10"/>
    <x v="0"/>
    <n v="43"/>
    <n v="1"/>
    <n v="83.75"/>
  </r>
  <r>
    <d v="2025-11-03T08:00:00"/>
    <s v="INYECTADO"/>
    <x v="8"/>
    <x v="257"/>
    <s v="JUANA CRUCES"/>
    <m/>
    <m/>
    <m/>
    <s v="JARRA GRECIA 5LT"/>
    <s v="JARRA GRECIA 5LT-TRANSPARENTE"/>
    <n v="1088"/>
    <n v="12"/>
    <n v="247"/>
    <x v="0"/>
    <m/>
    <n v="45"/>
    <m/>
    <n v="22960"/>
    <s v="TRANSPARENTE"/>
    <n v="0"/>
    <n v="0"/>
    <n v="0"/>
    <n v="241.536"/>
    <n v="247"/>
    <n v="222"/>
    <n v="1112.6126126126126"/>
    <x v="10"/>
    <x v="0"/>
    <n v="43"/>
    <n v="1"/>
    <n v="90.666666666666671"/>
  </r>
  <r>
    <d v="2025-11-03T08:00:00"/>
    <s v="INYECTADO"/>
    <x v="8"/>
    <x v="257"/>
    <s v="JOSDER GONZALEZ"/>
    <m/>
    <m/>
    <m/>
    <s v="JARRA GRECIA 5LT"/>
    <s v="JARRA GRECIA 5LT-TRANSPARENTE"/>
    <n v="1123"/>
    <n v="12"/>
    <n v="254"/>
    <x v="1"/>
    <m/>
    <n v="47"/>
    <m/>
    <n v="22961"/>
    <s v="TRANSPARENTE"/>
    <n v="1"/>
    <n v="0"/>
    <n v="0"/>
    <n v="249.30600000000001"/>
    <n v="254"/>
    <n v="222"/>
    <n v="1144.1441441441441"/>
    <x v="10"/>
    <x v="0"/>
    <n v="43"/>
    <n v="1"/>
    <n v="93.583333333333329"/>
  </r>
  <r>
    <d v="2025-11-03T08:00:00"/>
    <s v="INYECTADO"/>
    <x v="8"/>
    <x v="243"/>
    <s v="JUANA CRUCES"/>
    <m/>
    <m/>
    <m/>
    <s v="JARRA GRECIA 5LT"/>
    <s v="JARRA GRECIA 5LT-TRANSPARENTE"/>
    <n v="954"/>
    <n v="12"/>
    <n v="216.6"/>
    <x v="0"/>
    <m/>
    <n v="38"/>
    <m/>
    <s v="22961-2"/>
    <s v="TRANSPARENTE"/>
    <n v="1"/>
    <n v="0"/>
    <n v="0"/>
    <n v="211.78800000000001"/>
    <n v="216.6"/>
    <n v="222"/>
    <n v="975.67567567567562"/>
    <x v="10"/>
    <x v="0"/>
    <n v="43"/>
    <n v="1"/>
    <n v="79.5"/>
  </r>
  <r>
    <d v="2025-11-03T08:00:00"/>
    <s v="INYECTADO"/>
    <x v="8"/>
    <x v="243"/>
    <s v="ISABEL LINARIZ "/>
    <m/>
    <m/>
    <m/>
    <s v="JARRA GRECIA 5LT"/>
    <s v="JARRA GRECIA 5LT-TRANSPARENTE"/>
    <n v="1088"/>
    <n v="12"/>
    <n v="249.4"/>
    <x v="1"/>
    <m/>
    <n v="43"/>
    <m/>
    <n v="22962"/>
    <s v="TRANSPARENTE"/>
    <n v="0"/>
    <n v="0"/>
    <n v="0"/>
    <n v="241.536"/>
    <n v="249.4"/>
    <n v="222"/>
    <n v="1123.4234234234234"/>
    <x v="10"/>
    <x v="0"/>
    <n v="43"/>
    <n v="1"/>
    <n v="90.666666666666671"/>
  </r>
  <r>
    <d v="2025-11-03T08:00:00"/>
    <s v="INYECTADO"/>
    <x v="8"/>
    <x v="244"/>
    <s v="LEONOR GUTIERREZ"/>
    <m/>
    <m/>
    <m/>
    <s v="JARRA GRECIA 5LT"/>
    <s v="JARRA GRECIA 5LT-TRANSPARENTE"/>
    <n v="853"/>
    <n v="11"/>
    <n v="195.6"/>
    <x v="0"/>
    <m/>
    <n v="36"/>
    <m/>
    <n v="22963"/>
    <s v="TRANSPARENTE"/>
    <n v="1.1000000000000001"/>
    <n v="0"/>
    <n v="0"/>
    <n v="189.36600000000001"/>
    <n v="195.6"/>
    <n v="222"/>
    <n v="881.08108108108104"/>
    <x v="10"/>
    <x v="0"/>
    <n v="43"/>
    <n v="1"/>
    <n v="71.083333333333329"/>
  </r>
  <r>
    <d v="2025-11-03T08:00:00"/>
    <s v="INYECTADO"/>
    <x v="8"/>
    <x v="244"/>
    <s v="JOSDER GONZALEZ"/>
    <m/>
    <m/>
    <m/>
    <s v="JARRA GRECIA 5LT"/>
    <s v="JARRA GRECIA 5LT-TRANSPARENTE"/>
    <n v="941"/>
    <n v="12"/>
    <n v="215.6"/>
    <x v="1"/>
    <m/>
    <n v="39"/>
    <m/>
    <n v="22964"/>
    <s v="TRANSPARENTE"/>
    <n v="1.1000000000000001"/>
    <n v="0"/>
    <n v="0"/>
    <n v="208.90199999999999"/>
    <n v="215.6"/>
    <n v="222"/>
    <n v="971.17117117117118"/>
    <x v="10"/>
    <x v="0"/>
    <n v="43"/>
    <n v="1"/>
    <n v="78.416666666666671"/>
  </r>
  <r>
    <d v="2025-11-03T08:00:00"/>
    <s v="INYECTADO"/>
    <x v="8"/>
    <x v="245"/>
    <s v="NELSON PINEDO"/>
    <m/>
    <m/>
    <m/>
    <s v="TAPA PORTAVAJILLA"/>
    <s v="TAPA PORTAVAJILLA-TRANSPARENTE"/>
    <n v="758"/>
    <n v="5"/>
    <n v="230.7"/>
    <x v="0"/>
    <m/>
    <n v="12"/>
    <m/>
    <n v="22965"/>
    <s v="TRANSPARENTE"/>
    <n v="4.2"/>
    <n v="0"/>
    <n v="0"/>
    <n v="254.68799999999999"/>
    <n v="230.7"/>
    <n v="336"/>
    <n v="686.60714285714289"/>
    <x v="10"/>
    <x v="0"/>
    <n v="44"/>
    <n v="1"/>
    <n v="63.166666666666664"/>
  </r>
  <r>
    <d v="2025-11-03T08:00:00"/>
    <s v="INYECTADO"/>
    <x v="8"/>
    <x v="245"/>
    <s v="JOSDER GONZALEZ"/>
    <m/>
    <m/>
    <m/>
    <s v="TAPA PORTAVAJILLA"/>
    <s v="TAPA PORTAVAJILLA-TRANSPARENTE"/>
    <n v="1488"/>
    <n v="12"/>
    <n v="451.5"/>
    <x v="1"/>
    <m/>
    <n v="12"/>
    <m/>
    <n v="22966"/>
    <s v="TRANSPARENTE"/>
    <n v="3.6"/>
    <n v="0"/>
    <n v="0"/>
    <n v="499.96800000000002"/>
    <n v="451.5"/>
    <n v="336"/>
    <n v="1343.75"/>
    <x v="10"/>
    <x v="0"/>
    <n v="44"/>
    <n v="1"/>
    <n v="124"/>
  </r>
  <r>
    <d v="2025-11-03T08:00:00"/>
    <s v="INYECTADO"/>
    <x v="8"/>
    <x v="246"/>
    <s v="JUANA CRUCES"/>
    <m/>
    <m/>
    <m/>
    <s v="TAPA PORTAVAJILLA"/>
    <s v="TAPA PORTAVAJILLA-TRANSPARENTE"/>
    <n v="1299"/>
    <n v="11"/>
    <n v="393.8"/>
    <x v="0"/>
    <m/>
    <n v="11"/>
    <m/>
    <n v="22967"/>
    <s v="TRANSPARENTE"/>
    <n v="5.7"/>
    <n v="0"/>
    <n v="0"/>
    <n v="436.464"/>
    <n v="393.8"/>
    <n v="336"/>
    <n v="1172.0238095238096"/>
    <x v="10"/>
    <x v="0"/>
    <n v="44"/>
    <n v="1"/>
    <n v="108.25"/>
  </r>
  <r>
    <d v="2025-11-03T08:00:00"/>
    <s v="INYECTADO"/>
    <x v="8"/>
    <x v="247"/>
    <s v="SAID VILLAMIZAR"/>
    <m/>
    <m/>
    <m/>
    <s v="EMBUDO #3"/>
    <s v="EMBUDO #3-AZUL"/>
    <n v="416"/>
    <n v="8"/>
    <n v="84.5"/>
    <x v="0"/>
    <m/>
    <n v="4"/>
    <m/>
    <n v="22968"/>
    <s v="AZUL"/>
    <n v="0"/>
    <n v="0"/>
    <n v="0"/>
    <n v="21.632000000000001"/>
    <n v="84.5"/>
    <n v="52"/>
    <n v="1625"/>
    <x v="10"/>
    <x v="0"/>
    <n v="44"/>
    <n v="4"/>
    <n v="138.66666666666666"/>
  </r>
  <r>
    <d v="2025-11-03T08:00:00"/>
    <s v="INYECTADO"/>
    <x v="8"/>
    <x v="247"/>
    <s v="GABRIEL REQUENA"/>
    <m/>
    <m/>
    <m/>
    <s v="EMBUDO #3"/>
    <s v="EMBUDO #3-AZUL"/>
    <n v="514"/>
    <n v="5"/>
    <n v="104.5"/>
    <x v="1"/>
    <m/>
    <n v="6"/>
    <m/>
    <n v="22969"/>
    <s v="AZUL"/>
    <n v="7.2"/>
    <n v="0"/>
    <n v="0"/>
    <n v="26.728000000000002"/>
    <n v="104.5"/>
    <n v="52"/>
    <n v="2009.6153846153845"/>
    <x v="10"/>
    <x v="0"/>
    <n v="44"/>
    <n v="4"/>
    <n v="171.33333333333334"/>
  </r>
  <r>
    <d v="2025-11-03T08:00:00"/>
    <s v="INYECTADO"/>
    <x v="8"/>
    <x v="247"/>
    <s v="GABRIEL REQUENA"/>
    <m/>
    <m/>
    <m/>
    <s v="EMBUDO #3"/>
    <s v="EMBUDO #3-LILA"/>
    <n v="601"/>
    <n v="7"/>
    <n v="122.2"/>
    <x v="1"/>
    <m/>
    <n v="6"/>
    <m/>
    <n v="22969"/>
    <s v="LILA"/>
    <n v="9.3000000000000007"/>
    <n v="0"/>
    <n v="0"/>
    <n v="31.251999999999999"/>
    <n v="122.2"/>
    <n v="52"/>
    <n v="2350"/>
    <x v="10"/>
    <x v="0"/>
    <n v="44"/>
    <n v="4"/>
    <n v="200.33333333333334"/>
  </r>
  <r>
    <d v="2025-11-03T08:00:00"/>
    <s v="INYECTADO"/>
    <x v="8"/>
    <x v="248"/>
    <s v="BRAYAN PINEDO"/>
    <m/>
    <m/>
    <m/>
    <s v="EMBUDO #3"/>
    <s v="EMBUDO #3-ROJO"/>
    <n v="676"/>
    <n v="8"/>
    <n v="138"/>
    <x v="0"/>
    <m/>
    <n v="8"/>
    <m/>
    <n v="22970"/>
    <s v="ROJO"/>
    <n v="0"/>
    <n v="0"/>
    <n v="0"/>
    <n v="35.152000000000001"/>
    <n v="138"/>
    <n v="52"/>
    <n v="2653.8461538461538"/>
    <x v="10"/>
    <x v="0"/>
    <n v="44"/>
    <n v="4"/>
    <n v="225.33333333333334"/>
  </r>
  <r>
    <d v="2025-11-03T08:00:00"/>
    <s v="INYECTADO"/>
    <x v="8"/>
    <x v="248"/>
    <s v="BRAYAN PINEDO"/>
    <m/>
    <m/>
    <m/>
    <s v="EMBUDO #3"/>
    <s v="EMBUDO #3-LILA"/>
    <n v="327"/>
    <n v="4"/>
    <n v="66.900000000000006"/>
    <x v="0"/>
    <m/>
    <n v="4"/>
    <m/>
    <n v="22970"/>
    <s v="LILA"/>
    <n v="0"/>
    <n v="0"/>
    <n v="0"/>
    <n v="17.004000000000001"/>
    <n v="66.900000000000006"/>
    <n v="52"/>
    <n v="1286.5384615384614"/>
    <x v="10"/>
    <x v="0"/>
    <n v="44"/>
    <n v="4"/>
    <n v="109"/>
  </r>
  <r>
    <d v="2025-11-03T08:00:00"/>
    <s v="INYECTADO"/>
    <x v="8"/>
    <x v="248"/>
    <s v="ISABEL LINARIZ "/>
    <m/>
    <m/>
    <m/>
    <s v="EMBUDO #3"/>
    <s v="EMBUDO #3-FUCSIA"/>
    <n v="1058"/>
    <n v="7"/>
    <n v="107.7"/>
    <x v="1"/>
    <m/>
    <n v="6"/>
    <m/>
    <n v="22971"/>
    <s v="FUCSIA"/>
    <n v="9.3000000000000007"/>
    <n v="0"/>
    <n v="0"/>
    <n v="55.015999999999998"/>
    <n v="107.7"/>
    <n v="52"/>
    <n v="2071.1538461538462"/>
    <x v="10"/>
    <x v="0"/>
    <n v="44"/>
    <n v="4"/>
    <n v="352.66666666666669"/>
  </r>
  <r>
    <d v="2025-11-03T08:00:00"/>
    <s v="INYECTADO"/>
    <x v="8"/>
    <x v="248"/>
    <s v="ISABEL LINARIZ "/>
    <m/>
    <m/>
    <m/>
    <s v="EMBUDO #3"/>
    <s v="EMBUDO #3-ROJO"/>
    <n v="547"/>
    <n v="5"/>
    <n v="50.9"/>
    <x v="1"/>
    <m/>
    <n v="3"/>
    <m/>
    <n v="22971"/>
    <s v="ROJO"/>
    <n v="5.2"/>
    <n v="0"/>
    <n v="0"/>
    <n v="28.443999999999999"/>
    <n v="50.9"/>
    <n v="52"/>
    <n v="978.84615384615381"/>
    <x v="10"/>
    <x v="0"/>
    <n v="44"/>
    <n v="4"/>
    <n v="182.33333333333334"/>
  </r>
  <r>
    <d v="2025-11-03T08:00:00"/>
    <s v="INYECTADO"/>
    <x v="8"/>
    <x v="249"/>
    <s v="SAID VILLAMIZAR"/>
    <m/>
    <m/>
    <m/>
    <s v="EMBUDO #3"/>
    <s v="EMBUDO #3-VERDE"/>
    <n v="99"/>
    <n v="1"/>
    <n v="20.5"/>
    <x v="0"/>
    <m/>
    <n v="1"/>
    <m/>
    <n v="22972"/>
    <s v="VERDE"/>
    <n v="0"/>
    <n v="0"/>
    <n v="0"/>
    <n v="5.1479999999999997"/>
    <n v="20.5"/>
    <n v="52"/>
    <n v="394.23076923076923"/>
    <x v="10"/>
    <x v="0"/>
    <n v="44"/>
    <n v="4"/>
    <n v="33"/>
  </r>
  <r>
    <d v="2025-11-03T08:00:00"/>
    <s v="INYECTADO"/>
    <x v="8"/>
    <x v="249"/>
    <s v="SAID VILLAMIZAR"/>
    <m/>
    <m/>
    <m/>
    <s v="EMBUDO #3"/>
    <s v="EMBUDO #3-FUCSIA"/>
    <n v="380"/>
    <n v="6"/>
    <n v="78.3"/>
    <x v="0"/>
    <m/>
    <n v="4"/>
    <m/>
    <n v="22972"/>
    <s v="FUCSIA"/>
    <n v="19.2"/>
    <n v="0"/>
    <n v="0"/>
    <n v="19.760000000000002"/>
    <n v="78.3"/>
    <n v="52"/>
    <n v="1505.7692307692307"/>
    <x v="10"/>
    <x v="0"/>
    <n v="44"/>
    <n v="4"/>
    <n v="126.66666666666667"/>
  </r>
  <r>
    <d v="2025-11-03T08:00:00"/>
    <s v="INYECTADO"/>
    <x v="8"/>
    <x v="249"/>
    <s v="GABRIEL REQUENA"/>
    <m/>
    <m/>
    <m/>
    <s v="EMBUDO #3"/>
    <s v="EMBUDO #3-VERDE"/>
    <n v="832"/>
    <n v="12"/>
    <n v="171.5"/>
    <x v="1"/>
    <m/>
    <n v="9"/>
    <m/>
    <n v="22973"/>
    <s v="VERDE"/>
    <n v="8.6"/>
    <n v="0"/>
    <n v="0"/>
    <n v="43.264000000000003"/>
    <n v="171.5"/>
    <n v="52"/>
    <n v="3298.0769230769229"/>
    <x v="10"/>
    <x v="0"/>
    <n v="44"/>
    <n v="4"/>
    <n v="277.33333333333331"/>
  </r>
  <r>
    <d v="2025-11-03T08:00:00"/>
    <s v="INYECTADO"/>
    <x v="10"/>
    <x v="252"/>
    <s v="JUANA CRUCES"/>
    <m/>
    <m/>
    <m/>
    <s v="BASE ORGANIZADOR  DE 2KG NEON"/>
    <s v="BASE ORGANIZADOR  DE 2KG NEON-VIOLETA"/>
    <n v="217"/>
    <n v="3"/>
    <n v="24.1"/>
    <x v="0"/>
    <m/>
    <n v="8"/>
    <m/>
    <n v="23015"/>
    <s v="VIOLETA"/>
    <n v="0"/>
    <n v="0"/>
    <n v="0"/>
    <n v="24.738"/>
    <n v="24.1"/>
    <n v="114"/>
    <n v="211.40350877192984"/>
    <x v="10"/>
    <x v="0"/>
    <n v="40"/>
    <n v="2"/>
    <n v="36.166666666666664"/>
  </r>
  <r>
    <d v="2025-11-03T08:00:00"/>
    <s v="INYECTADO"/>
    <x v="10"/>
    <x v="252"/>
    <s v="JUANA CRUCES"/>
    <m/>
    <m/>
    <m/>
    <s v="BASE ORGANIZADOR  DE 2KG SOLIDO"/>
    <s v="BASE ORGANIZADOR  DE 2KG SOLIDO-AZUL"/>
    <n v="445"/>
    <n v="4"/>
    <n v="49.4"/>
    <x v="0"/>
    <m/>
    <n v="14"/>
    <m/>
    <n v="23015"/>
    <s v="AZUL"/>
    <n v="5.9"/>
    <n v="0"/>
    <n v="0"/>
    <e v="#N/A"/>
    <n v="49.4"/>
    <e v="#N/A"/>
    <n v="0"/>
    <x v="10"/>
    <x v="0"/>
    <n v="40"/>
    <e v="#N/A"/>
    <e v="#N/A"/>
  </r>
  <r>
    <d v="2025-11-03T08:00:00"/>
    <s v="INYECTADO"/>
    <x v="10"/>
    <x v="252"/>
    <s v="JUANA CRUCES"/>
    <m/>
    <m/>
    <m/>
    <s v="BASE ORGANIZADOR  DE 2KG SOLIDO"/>
    <s v="BASE ORGANIZADOR  DE 2KG SOLIDO-LILA"/>
    <n v="418"/>
    <n v="4"/>
    <n v="46.5"/>
    <x v="0"/>
    <m/>
    <n v="15"/>
    <m/>
    <n v="23015"/>
    <s v="LILA"/>
    <n v="10.6"/>
    <n v="0"/>
    <n v="0"/>
    <e v="#N/A"/>
    <n v="46.5"/>
    <e v="#N/A"/>
    <n v="0"/>
    <x v="10"/>
    <x v="0"/>
    <n v="40"/>
    <e v="#N/A"/>
    <e v="#N/A"/>
  </r>
  <r>
    <d v="2025-11-03T08:00:00"/>
    <s v="INYECTADO"/>
    <x v="10"/>
    <x v="240"/>
    <s v="DAIRETH"/>
    <m/>
    <m/>
    <m/>
    <s v="BASE ORGANIZADOR  DE 2KG CARAMELO"/>
    <s v="BASE ORGANIZADOR  DE 2KG CARAMELO-VERDE"/>
    <n v="527"/>
    <n v="8"/>
    <n v="61.2"/>
    <x v="0"/>
    <m/>
    <n v="17"/>
    <m/>
    <n v="23042"/>
    <s v="VERDE"/>
    <n v="7.1"/>
    <n v="0"/>
    <n v="0"/>
    <n v="26.35"/>
    <n v="61.2"/>
    <n v="50"/>
    <n v="1224"/>
    <x v="10"/>
    <x v="0"/>
    <n v="42"/>
    <n v="2"/>
    <n v="87.833333333333329"/>
  </r>
  <r>
    <d v="2025-11-03T08:00:00"/>
    <s v="INYECTADO"/>
    <x v="10"/>
    <x v="240"/>
    <s v="ISABEL LINARIZ "/>
    <m/>
    <m/>
    <m/>
    <s v="BASE ORGANIZADOR  DE 2KG CARAMELO"/>
    <s v="BASE ORGANIZADOR  DE 2KG CARAMELO-VERDE"/>
    <n v="127"/>
    <n v="2"/>
    <n v="14.9"/>
    <x v="1"/>
    <m/>
    <n v="5"/>
    <m/>
    <n v="23043"/>
    <s v="VERDE"/>
    <n v="4.0999999999999996"/>
    <n v="0"/>
    <n v="0"/>
    <n v="6.35"/>
    <n v="14.9"/>
    <n v="50"/>
    <n v="298"/>
    <x v="10"/>
    <x v="0"/>
    <n v="42"/>
    <n v="2"/>
    <n v="21.166666666666668"/>
  </r>
  <r>
    <d v="2025-11-03T08:00:00"/>
    <s v="INYECTADO"/>
    <x v="10"/>
    <x v="240"/>
    <s v="ISABEL LINARIZ "/>
    <m/>
    <m/>
    <m/>
    <s v="BASE ORGANIZADOR  DE 2KG CARAMELO"/>
    <s v="BASE ORGANIZADOR  DE 2KG CARAMELO-AMARILLO"/>
    <n v="491"/>
    <n v="5"/>
    <n v="57.3"/>
    <x v="1"/>
    <m/>
    <n v="17"/>
    <m/>
    <n v="23043"/>
    <s v="AMARILLO"/>
    <n v="4.8"/>
    <n v="0"/>
    <n v="0"/>
    <n v="24.55"/>
    <n v="57.3"/>
    <n v="50"/>
    <n v="1146"/>
    <x v="10"/>
    <x v="0"/>
    <n v="42"/>
    <n v="2"/>
    <n v="81.833333333333329"/>
  </r>
  <r>
    <d v="2025-11-03T08:00:00"/>
    <s v="INYECTADO"/>
    <x v="10"/>
    <x v="240"/>
    <s v="ISABEL LINARIZ "/>
    <m/>
    <m/>
    <m/>
    <s v="BASE ORGANIZADOR  DE 2KG CARAMELO"/>
    <s v="BASE ORGANIZADOR  DE 2KG CARAMELO-FUCSIA"/>
    <n v="438"/>
    <n v="5"/>
    <n v="51.1"/>
    <x v="1"/>
    <m/>
    <n v="12"/>
    <m/>
    <n v="23043"/>
    <s v="FUCSIA"/>
    <n v="0"/>
    <n v="0"/>
    <n v="0"/>
    <n v="21.9"/>
    <n v="51.1"/>
    <n v="50"/>
    <n v="1022"/>
    <x v="10"/>
    <x v="0"/>
    <n v="42"/>
    <n v="2"/>
    <n v="73"/>
  </r>
  <r>
    <d v="2025-11-03T08:00:00"/>
    <s v="INYECTADO"/>
    <x v="10"/>
    <x v="252"/>
    <s v="GABRIEL REQUENA"/>
    <m/>
    <m/>
    <m/>
    <s v="BASE ORGANIZADOR  DE 2KG SOLIDO"/>
    <s v="BASE ORGANIZADOR  DE 2KG SOLIDO-LILA"/>
    <n v="7"/>
    <n v="1"/>
    <n v="0.8"/>
    <x v="1"/>
    <m/>
    <n v="1"/>
    <m/>
    <n v="23016"/>
    <s v="LILA"/>
    <n v="5.3"/>
    <n v="0"/>
    <n v="0"/>
    <e v="#N/A"/>
    <n v="0.8"/>
    <e v="#N/A"/>
    <n v="0"/>
    <x v="10"/>
    <x v="0"/>
    <n v="40"/>
    <e v="#N/A"/>
    <e v="#N/A"/>
  </r>
  <r>
    <d v="2025-11-03T08:00:00"/>
    <s v="INYECTADO"/>
    <x v="10"/>
    <x v="252"/>
    <s v="GABRIEL REQUENA"/>
    <m/>
    <m/>
    <m/>
    <s v="BASE ORGANIZADOR  DE 2KG PASTEL"/>
    <s v="BASE ORGANIZADOR  DE 2KG PASTEL-CELESTE"/>
    <n v="186"/>
    <n v="3"/>
    <n v="20.9"/>
    <x v="1"/>
    <m/>
    <n v="6"/>
    <m/>
    <n v="23016"/>
    <s v="CELESTE"/>
    <n v="8.1999999999999993"/>
    <n v="0"/>
    <n v="0"/>
    <n v="9.3000000000000007"/>
    <n v="20.9"/>
    <n v="50"/>
    <n v="418"/>
    <x v="10"/>
    <x v="0"/>
    <n v="40"/>
    <n v="2"/>
    <n v="31"/>
  </r>
  <r>
    <d v="2025-11-03T08:00:00"/>
    <s v="INYECTADO"/>
    <x v="10"/>
    <x v="252"/>
    <s v="GABRIEL REQUENA"/>
    <m/>
    <m/>
    <m/>
    <s v="BASE ORGANIZADOR  DE 2KG NAVIDAD"/>
    <s v="BASE ORGANIZADOR  DE 2KG NAVIDAD-VERDE"/>
    <n v="819"/>
    <n v="8"/>
    <n v="91.8"/>
    <x v="1"/>
    <m/>
    <n v="27"/>
    <m/>
    <n v="23016"/>
    <s v="VERDE"/>
    <n v="5.0999999999999996"/>
    <n v="0"/>
    <n v="0"/>
    <n v="93.366"/>
    <n v="91.8"/>
    <n v="114"/>
    <n v="805.26315789473688"/>
    <x v="10"/>
    <x v="0"/>
    <n v="40"/>
    <n v="2"/>
    <n v="136.5"/>
  </r>
  <r>
    <d v="2025-11-03T08:00:00"/>
    <s v="INYECTADO"/>
    <x v="10"/>
    <x v="253"/>
    <s v="NELSON PINEDO"/>
    <m/>
    <m/>
    <m/>
    <s v="BASE ORGANIZADOR  DE 2KG NAVIDAD"/>
    <s v="BASE ORGANIZADOR  DE 2KG NAVIDAD-VERDE"/>
    <n v="67"/>
    <n v="1"/>
    <n v="7.6"/>
    <x v="0"/>
    <m/>
    <n v="2"/>
    <m/>
    <n v="23017"/>
    <s v="VERDE"/>
    <n v="29.1"/>
    <n v="0"/>
    <n v="0"/>
    <n v="7.6379999999999999"/>
    <n v="7.6"/>
    <n v="114"/>
    <n v="66.666666666666671"/>
    <x v="10"/>
    <x v="0"/>
    <n v="40"/>
    <n v="2"/>
    <n v="11.166666666666666"/>
  </r>
  <r>
    <d v="2025-11-03T08:00:00"/>
    <s v="INYECTADO"/>
    <x v="10"/>
    <x v="253"/>
    <s v="NELSON PINEDO"/>
    <m/>
    <m/>
    <m/>
    <s v="BASE ORGANIZADOR  DE 2KG"/>
    <s v="BASE ORGANIZADOR  DE 2KG-TRANSPARENTE"/>
    <n v="830"/>
    <n v="8"/>
    <n v="91.3"/>
    <x v="0"/>
    <m/>
    <n v="26"/>
    <m/>
    <n v="23017"/>
    <s v="TRANSPARENTE"/>
    <n v="0"/>
    <n v="0"/>
    <n v="0"/>
    <n v="41.5"/>
    <n v="91.3"/>
    <n v="50"/>
    <n v="1826"/>
    <x v="10"/>
    <x v="0"/>
    <n v="40"/>
    <n v="2"/>
    <n v="138.33333333333334"/>
  </r>
  <r>
    <d v="2025-11-03T08:00:00"/>
    <s v="INYECTADO"/>
    <x v="10"/>
    <x v="253"/>
    <s v="ISABEL LINARIZ "/>
    <m/>
    <m/>
    <m/>
    <s v="BASE ORGANIZADOR  DE 2KG"/>
    <s v="BASE ORGANIZADOR  DE 2KG-TRANSPARENTE"/>
    <n v="1278"/>
    <n v="41"/>
    <n v="141.9"/>
    <x v="1"/>
    <m/>
    <n v="41"/>
    <m/>
    <n v="23018"/>
    <s v="TRANSPARENTE"/>
    <n v="0"/>
    <n v="0"/>
    <n v="0"/>
    <n v="63.9"/>
    <n v="141.9"/>
    <n v="50"/>
    <n v="2838"/>
    <x v="10"/>
    <x v="0"/>
    <n v="40"/>
    <n v="2"/>
    <n v="213"/>
  </r>
  <r>
    <d v="2025-11-03T08:00:00"/>
    <s v="INYECTADO"/>
    <x v="10"/>
    <x v="254"/>
    <s v="JUANA CRUCES"/>
    <m/>
    <m/>
    <m/>
    <s v="BASE ORGANIZADOR  DE 2KG"/>
    <s v="BASE ORGANIZADOR  DE 2KG-TRANSPARENTE"/>
    <n v="1166"/>
    <n v="36"/>
    <n v="129.5"/>
    <x v="0"/>
    <m/>
    <n v="37"/>
    <m/>
    <n v="23019"/>
    <s v="TRANSPARENTE"/>
    <n v="2.1"/>
    <n v="0"/>
    <n v="0"/>
    <n v="58.3"/>
    <n v="129.5"/>
    <n v="50"/>
    <n v="2590"/>
    <x v="10"/>
    <x v="0"/>
    <n v="40"/>
    <n v="2"/>
    <n v="194.33333333333334"/>
  </r>
  <r>
    <d v="2025-11-03T08:00:00"/>
    <s v="INYECTADO"/>
    <x v="10"/>
    <x v="254"/>
    <s v="JUAN MANUEL"/>
    <m/>
    <m/>
    <m/>
    <s v="BASE ORGANIZADOR  DE 2KG"/>
    <s v="BASE ORGANIZADOR  DE 2KG-TRANSPARENTE"/>
    <n v="1072"/>
    <n v="12"/>
    <n v="119"/>
    <x v="1"/>
    <m/>
    <n v="34"/>
    <m/>
    <n v="23020"/>
    <s v="TRANSPARENTE"/>
    <n v="5"/>
    <n v="0"/>
    <n v="0"/>
    <n v="53.6"/>
    <n v="119"/>
    <n v="50"/>
    <n v="2380"/>
    <x v="10"/>
    <x v="0"/>
    <n v="40"/>
    <n v="2"/>
    <n v="178.66666666666666"/>
  </r>
  <r>
    <d v="2025-11-03T08:00:00"/>
    <s v="INYECTADO"/>
    <x v="10"/>
    <x v="250"/>
    <s v="LEONOR GUTIERREZ"/>
    <m/>
    <m/>
    <m/>
    <s v="BASE ORGANIZADOR  DE 2KG"/>
    <s v="BASE ORGANIZADOR  DE 2KG-TRANSPARENTE"/>
    <n v="303"/>
    <n v="3"/>
    <n v="33.700000000000003"/>
    <x v="0"/>
    <m/>
    <n v="10"/>
    <m/>
    <n v="23021"/>
    <s v="TRANSPARENTE"/>
    <n v="0"/>
    <n v="0"/>
    <n v="0"/>
    <n v="15.15"/>
    <n v="33.700000000000003"/>
    <n v="50"/>
    <n v="674"/>
    <x v="10"/>
    <x v="0"/>
    <n v="40"/>
    <n v="2"/>
    <n v="50.5"/>
  </r>
  <r>
    <d v="2025-11-03T08:00:00"/>
    <s v="INYECTADO"/>
    <x v="10"/>
    <x v="250"/>
    <s v="LEONOR GUTIERREZ"/>
    <m/>
    <m/>
    <m/>
    <s v="BASE ORGANIZADOR  DE 2KG PASTEL"/>
    <s v="BASE ORGANIZADOR  DE 2KG PASTEL-CELESTE"/>
    <n v="418"/>
    <n v="4"/>
    <n v="46.5"/>
    <x v="0"/>
    <m/>
    <n v="14"/>
    <m/>
    <n v="23021"/>
    <s v="CELESTE"/>
    <n v="4"/>
    <n v="0"/>
    <n v="0"/>
    <n v="20.9"/>
    <n v="46.5"/>
    <n v="50"/>
    <n v="930"/>
    <x v="10"/>
    <x v="0"/>
    <n v="40"/>
    <n v="2"/>
    <n v="69.666666666666671"/>
  </r>
  <r>
    <d v="2025-11-03T08:00:00"/>
    <s v="INYECTADO"/>
    <x v="10"/>
    <x v="250"/>
    <s v="LEONOR GUTIERREZ"/>
    <m/>
    <m/>
    <m/>
    <s v="BASE ORGANIZADOR  DE 2KG PASTEL"/>
    <s v="BASE ORGANIZADOR  DE 2KG PASTEL-TURQUESA"/>
    <n v="336"/>
    <n v="3"/>
    <n v="37.4"/>
    <x v="0"/>
    <m/>
    <n v="10"/>
    <m/>
    <n v="23021"/>
    <s v="TURQUESA"/>
    <n v="3.5"/>
    <n v="0"/>
    <n v="0"/>
    <n v="16.8"/>
    <n v="37.4"/>
    <n v="50"/>
    <n v="748"/>
    <x v="10"/>
    <x v="0"/>
    <n v="40"/>
    <n v="2"/>
    <n v="56"/>
  </r>
  <r>
    <d v="2025-11-03T08:00:00"/>
    <s v="INYECTADO"/>
    <x v="10"/>
    <x v="250"/>
    <s v="ISABEL LINARIZ "/>
    <m/>
    <m/>
    <m/>
    <s v="BASE ORGANIZADOR  DE 2KG PASTEL"/>
    <s v="BASE ORGANIZADOR  DE 2KG PASTEL-TURQUESA"/>
    <n v="96"/>
    <n v="1"/>
    <n v="10.8"/>
    <x v="1"/>
    <m/>
    <n v="3"/>
    <m/>
    <n v="23022"/>
    <s v="TURQUESA"/>
    <n v="4.5999999999999996"/>
    <n v="0"/>
    <n v="0"/>
    <n v="4.8"/>
    <n v="10.8"/>
    <n v="50"/>
    <n v="216"/>
    <x v="10"/>
    <x v="0"/>
    <n v="40"/>
    <n v="2"/>
    <n v="16"/>
  </r>
  <r>
    <d v="2025-11-03T08:00:00"/>
    <s v="INYECTADO"/>
    <x v="10"/>
    <x v="250"/>
    <s v="ISABEL LINARIZ "/>
    <m/>
    <m/>
    <m/>
    <s v="BASE ORGANIZADOR  DE 2KG PASTEL"/>
    <s v="BASE ORGANIZADOR  DE 2KG PASTEL-AZURE"/>
    <n v="418"/>
    <n v="4"/>
    <n v="46.5"/>
    <x v="1"/>
    <m/>
    <n v="13"/>
    <m/>
    <n v="23022"/>
    <s v="AZURE"/>
    <n v="17.8"/>
    <n v="0"/>
    <n v="0"/>
    <n v="20.9"/>
    <n v="46.5"/>
    <n v="50"/>
    <n v="930"/>
    <x v="10"/>
    <x v="0"/>
    <n v="40"/>
    <n v="2"/>
    <n v="69.666666666666671"/>
  </r>
  <r>
    <d v="2025-11-03T08:00:00"/>
    <s v="INYECTADO"/>
    <x v="10"/>
    <x v="250"/>
    <s v="ISABEL LINARIZ "/>
    <m/>
    <m/>
    <m/>
    <s v="BASE ORGANIZADOR  DE 2KG PASTEL"/>
    <s v="BASE ORGANIZADOR  DE 2KG PASTEL-ROSADO"/>
    <n v="425"/>
    <n v="4"/>
    <n v="47.6"/>
    <x v="1"/>
    <m/>
    <n v="14"/>
    <m/>
    <n v="23022"/>
    <s v="ROSADO"/>
    <n v="4.8"/>
    <n v="0"/>
    <n v="0"/>
    <n v="21.25"/>
    <n v="47.6"/>
    <n v="50"/>
    <n v="952"/>
    <x v="10"/>
    <x v="0"/>
    <n v="40"/>
    <n v="2"/>
    <n v="70.833333333333329"/>
  </r>
  <r>
    <d v="2025-11-03T08:00:00"/>
    <s v="INYECTADO"/>
    <x v="10"/>
    <x v="231"/>
    <s v="LUIS PINEDO"/>
    <m/>
    <m/>
    <m/>
    <s v="BASE ORGANIZADOR  DE 2KG PASTEL"/>
    <s v="BASE ORGANIZADOR  DE 2KG PASTEL-SANDIA"/>
    <n v="390"/>
    <n v="4"/>
    <n v="43.7"/>
    <x v="0"/>
    <m/>
    <n v="13"/>
    <m/>
    <n v="23023"/>
    <s v="SANDIA"/>
    <n v="1.9"/>
    <n v="0"/>
    <n v="0"/>
    <n v="19.5"/>
    <n v="43.7"/>
    <n v="50"/>
    <n v="874"/>
    <x v="10"/>
    <x v="0"/>
    <n v="41"/>
    <n v="2"/>
    <n v="65"/>
  </r>
  <r>
    <d v="2025-11-03T08:00:00"/>
    <s v="INYECTADO"/>
    <x v="10"/>
    <x v="231"/>
    <s v="LUIS PINEDO"/>
    <m/>
    <m/>
    <m/>
    <s v="BASE ORGANIZADOR  DE 2KG PASTEL"/>
    <s v="BASE ORGANIZADOR  DE 2KG PASTEL-LILA"/>
    <n v="246"/>
    <n v="23"/>
    <n v="27.6"/>
    <x v="0"/>
    <m/>
    <n v="8"/>
    <m/>
    <n v="23023"/>
    <s v="LILA"/>
    <n v="2"/>
    <n v="0"/>
    <n v="0"/>
    <n v="12.3"/>
    <n v="27.6"/>
    <n v="50"/>
    <n v="552"/>
    <x v="10"/>
    <x v="0"/>
    <n v="41"/>
    <n v="2"/>
    <n v="41"/>
  </r>
  <r>
    <d v="2025-11-03T08:00:00"/>
    <s v="INYECTADO"/>
    <x v="10"/>
    <x v="232"/>
    <s v="LEONOR GUTIERREZ"/>
    <m/>
    <m/>
    <m/>
    <s v="BASE ORGANIZADOR  DE 2KG PASTEL"/>
    <s v="BASE ORGANIZADOR  DE 2KG PASTEL-LILA"/>
    <n v="102"/>
    <n v="2"/>
    <n v="11.5"/>
    <x v="0"/>
    <m/>
    <n v="3"/>
    <m/>
    <n v="23024"/>
    <s v="LILA"/>
    <n v="16.2"/>
    <n v="0"/>
    <n v="0"/>
    <n v="5.0999999999999996"/>
    <n v="11.5"/>
    <n v="50"/>
    <n v="230"/>
    <x v="10"/>
    <x v="0"/>
    <n v="41"/>
    <n v="2"/>
    <n v="17"/>
  </r>
  <r>
    <d v="2025-11-03T08:00:00"/>
    <s v="INYECTADO"/>
    <x v="10"/>
    <x v="232"/>
    <s v="LEONOR GUTIERREZ"/>
    <m/>
    <m/>
    <m/>
    <s v="BASE ORGANIZADOR  DE 2KG NAVIDAD"/>
    <s v="BASE ORGANIZADOR  DE 2KG NAVIDAD-ROJO"/>
    <n v="375"/>
    <n v="5"/>
    <n v="42"/>
    <x v="0"/>
    <m/>
    <n v="11"/>
    <m/>
    <n v="23024"/>
    <s v="ROJO"/>
    <n v="8.3000000000000007"/>
    <n v="0"/>
    <n v="0"/>
    <n v="42.75"/>
    <n v="42"/>
    <n v="114"/>
    <n v="368.42105263157896"/>
    <x v="10"/>
    <x v="0"/>
    <n v="41"/>
    <n v="2"/>
    <n v="62.5"/>
  </r>
  <r>
    <d v="2025-11-03T08:00:00"/>
    <s v="INYECTADO"/>
    <x v="10"/>
    <x v="232"/>
    <s v="JOSDER GONZALEZ"/>
    <m/>
    <m/>
    <m/>
    <s v="BASE ORGANIZADOR  DE 2KG NAVIDAD"/>
    <s v="BASE ORGANIZADOR  DE 2KG NAVIDAD-ROJO"/>
    <n v="460"/>
    <n v="5"/>
    <n v="52.5"/>
    <x v="1"/>
    <m/>
    <n v="15"/>
    <m/>
    <n v="23025"/>
    <s v="ROJO"/>
    <n v="10"/>
    <n v="0"/>
    <n v="0"/>
    <n v="52.44"/>
    <n v="52.5"/>
    <n v="114"/>
    <n v="460.5263157894737"/>
    <x v="10"/>
    <x v="0"/>
    <n v="41"/>
    <n v="2"/>
    <n v="76.666666666666671"/>
  </r>
  <r>
    <d v="2025-11-03T08:00:00"/>
    <s v="INYECTADO"/>
    <x v="10"/>
    <x v="232"/>
    <s v="JOSDER GONZALEZ"/>
    <m/>
    <m/>
    <m/>
    <s v="BASE ORGANIZADOR  DE 2KG PASTEL"/>
    <s v="BASE ORGANIZADOR  DE 2KG PASTEL-PASTEL"/>
    <n v="629"/>
    <n v="6"/>
    <n v="71.8"/>
    <x v="1"/>
    <m/>
    <n v="21"/>
    <m/>
    <n v="23025"/>
    <s v="SANDIA"/>
    <n v="11.8"/>
    <n v="0"/>
    <n v="0"/>
    <e v="#N/A"/>
    <n v="71.8"/>
    <e v="#N/A"/>
    <n v="0"/>
    <x v="10"/>
    <x v="0"/>
    <n v="41"/>
    <e v="#N/A"/>
    <e v="#N/A"/>
  </r>
  <r>
    <d v="2025-11-03T08:00:00"/>
    <s v="INYECTADO"/>
    <x v="10"/>
    <x v="233"/>
    <s v="BRAYAN PINEDO"/>
    <m/>
    <m/>
    <m/>
    <s v="BASE ORGANIZADOR  DE 2KG PASTEL"/>
    <s v="BASE ORGANIZADOR  DE 2KG PASTEL-ROSADO"/>
    <n v="605"/>
    <n v="6"/>
    <n v="69.599999999999994"/>
    <x v="0"/>
    <m/>
    <n v="21"/>
    <m/>
    <n v="23026"/>
    <s v="ROSADO"/>
    <n v="12"/>
    <n v="0"/>
    <n v="0"/>
    <n v="30.25"/>
    <n v="69.599999999999994"/>
    <n v="50"/>
    <n v="1392"/>
    <x v="10"/>
    <x v="0"/>
    <n v="41"/>
    <n v="2"/>
    <n v="100.83333333333333"/>
  </r>
  <r>
    <d v="2025-11-03T08:00:00"/>
    <s v="INYECTADO"/>
    <x v="10"/>
    <x v="233"/>
    <s v="BRAYAN PINEDO"/>
    <m/>
    <m/>
    <m/>
    <s v="BASE ORGANIZADOR  DE 2KG NAVIDAD"/>
    <s v="BASE ORGANIZADOR  DE 2KG NAVIDAD-ROJO"/>
    <n v="307"/>
    <n v="5"/>
    <n v="35"/>
    <x v="0"/>
    <m/>
    <n v="10"/>
    <m/>
    <n v="23026"/>
    <s v="ROJO"/>
    <n v="2.5"/>
    <n v="0"/>
    <n v="0"/>
    <n v="34.997999999999998"/>
    <n v="35"/>
    <n v="114"/>
    <n v="307.01754385964909"/>
    <x v="10"/>
    <x v="0"/>
    <n v="41"/>
    <n v="2"/>
    <n v="51.166666666666664"/>
  </r>
  <r>
    <d v="2025-11-03T08:00:00"/>
    <s v="INYECTADO"/>
    <x v="10"/>
    <x v="233"/>
    <s v="ISABEL LINARIZ "/>
    <m/>
    <m/>
    <m/>
    <s v="BASE ORGANIZADOR  DE 2KG NAVIDAD"/>
    <s v="BASE ORGANIZADOR  DE 2KG NAVIDAD-ROJO"/>
    <n v="502"/>
    <n v="5"/>
    <n v="57.8"/>
    <x v="1"/>
    <m/>
    <n v="18"/>
    <m/>
    <n v="23027"/>
    <s v="ROJO"/>
    <n v="4.8"/>
    <n v="0"/>
    <n v="0"/>
    <n v="57.228000000000002"/>
    <n v="57.8"/>
    <n v="114"/>
    <n v="507.01754385964909"/>
    <x v="10"/>
    <x v="0"/>
    <n v="41"/>
    <n v="2"/>
    <n v="83.666666666666671"/>
  </r>
  <r>
    <d v="2025-11-03T08:00:00"/>
    <s v="INYECTADO"/>
    <x v="10"/>
    <x v="233"/>
    <s v="ISABEL LINARIZ "/>
    <m/>
    <m/>
    <m/>
    <s v="BASE ORGANIZADOR  DE 2KG NAVIDAD"/>
    <s v="BASE ORGANIZADOR  DE 2KG NAVIDAD-VERDE"/>
    <n v="467"/>
    <n v="5"/>
    <n v="53.3"/>
    <x v="1"/>
    <m/>
    <n v="16"/>
    <m/>
    <n v="23027"/>
    <s v="VERDE"/>
    <n v="9.5"/>
    <n v="0"/>
    <n v="0"/>
    <n v="53.238"/>
    <n v="53.3"/>
    <n v="114"/>
    <n v="467.54385964912279"/>
    <x v="10"/>
    <x v="0"/>
    <n v="41"/>
    <n v="2"/>
    <n v="77.833333333333329"/>
  </r>
  <r>
    <d v="2025-11-03T08:00:00"/>
    <s v="INYECTADO"/>
    <x v="10"/>
    <x v="234"/>
    <s v="JUANA CRUCES"/>
    <m/>
    <m/>
    <m/>
    <s v="BASE ORGANIZADOR  DE 2KG NAVIDAD"/>
    <s v="BASE ORGANIZADOR  DE 2KG NAVIDAD-VERDE"/>
    <n v="383"/>
    <n v="4"/>
    <n v="44.1"/>
    <x v="0"/>
    <m/>
    <n v="13"/>
    <m/>
    <n v="23028"/>
    <s v="VERDE"/>
    <n v="8.6999999999999993"/>
    <n v="0"/>
    <n v="0"/>
    <n v="43.661999999999999"/>
    <n v="44.1"/>
    <n v="114"/>
    <n v="386.84210526315792"/>
    <x v="10"/>
    <x v="0"/>
    <n v="41"/>
    <n v="2"/>
    <n v="63.833333333333336"/>
  </r>
  <r>
    <d v="2025-11-03T08:00:00"/>
    <s v="INYECTADO"/>
    <x v="10"/>
    <x v="234"/>
    <s v="JUANA CRUCES"/>
    <m/>
    <m/>
    <m/>
    <s v="BASE ORGANIZADOR  DE 2KG PASTEL"/>
    <s v="BASE ORGANIZADOR  DE 2KG PASTEL-LILA"/>
    <n v="620"/>
    <n v="7"/>
    <n v="71.3"/>
    <x v="0"/>
    <m/>
    <n v="21"/>
    <m/>
    <n v="23028"/>
    <s v="LILA"/>
    <n v="15.5"/>
    <n v="0"/>
    <n v="0"/>
    <n v="31"/>
    <n v="71.3"/>
    <n v="50"/>
    <n v="1426"/>
    <x v="10"/>
    <x v="0"/>
    <n v="41"/>
    <n v="2"/>
    <n v="103.33333333333333"/>
  </r>
  <r>
    <d v="2025-11-03T08:00:00"/>
    <s v="INYECTADO"/>
    <x v="10"/>
    <x v="234"/>
    <s v="JUAN MANUEL"/>
    <m/>
    <m/>
    <m/>
    <s v="BASE ORGANIZADOR  DE 2KG PASTEL"/>
    <s v="BASE ORGANIZADOR  DE 2KG PASTEL-LILA"/>
    <n v="180"/>
    <n v="2"/>
    <n v="20.2"/>
    <x v="1"/>
    <m/>
    <n v="6"/>
    <m/>
    <n v="23029"/>
    <s v="LILA"/>
    <n v="0"/>
    <n v="0"/>
    <n v="0"/>
    <n v="9"/>
    <n v="20.2"/>
    <n v="50"/>
    <n v="404"/>
    <x v="10"/>
    <x v="0"/>
    <n v="41"/>
    <n v="2"/>
    <n v="30"/>
  </r>
  <r>
    <d v="2025-11-03T08:00:00"/>
    <s v="INYECTADO"/>
    <x v="10"/>
    <x v="234"/>
    <s v="JUAN MANUEL"/>
    <m/>
    <m/>
    <m/>
    <s v="BASE ORGANIZADOR  DE 2KG PASTEL"/>
    <s v="BASE ORGANIZADOR  DE 2KG PASTEL-CELESTE"/>
    <n v="450"/>
    <n v="7"/>
    <n v="50.4"/>
    <x v="1"/>
    <m/>
    <n v="14"/>
    <m/>
    <n v="23029"/>
    <s v="CELESTE"/>
    <n v="23.8"/>
    <n v="0"/>
    <n v="0"/>
    <n v="22.5"/>
    <n v="50.4"/>
    <n v="50"/>
    <n v="1008"/>
    <x v="10"/>
    <x v="0"/>
    <n v="41"/>
    <n v="2"/>
    <n v="75"/>
  </r>
  <r>
    <d v="2025-11-03T08:00:00"/>
    <s v="INYECTADO"/>
    <x v="10"/>
    <x v="235"/>
    <s v="MARIA/LEONOR"/>
    <m/>
    <m/>
    <m/>
    <s v="BASE ORGANIZADOR  DE 2KG PASTEL"/>
    <s v="BASE ORGANIZADOR  DE 2KG PASTEL-CELESTE"/>
    <n v="110"/>
    <n v="2"/>
    <n v="12.5"/>
    <x v="0"/>
    <m/>
    <n v="2"/>
    <m/>
    <n v="23030"/>
    <s v="CELESTE"/>
    <n v="12.2"/>
    <n v="0"/>
    <n v="0"/>
    <n v="5.5"/>
    <n v="12.5"/>
    <n v="50"/>
    <n v="250"/>
    <x v="10"/>
    <x v="0"/>
    <n v="41"/>
    <n v="2"/>
    <n v="18.333333333333332"/>
  </r>
  <r>
    <d v="2025-11-03T08:00:00"/>
    <s v="INYECTADO"/>
    <x v="10"/>
    <x v="235"/>
    <s v="MARIA/LEONOR"/>
    <m/>
    <m/>
    <m/>
    <s v="BASE ORGANIZADOR  DE 2KG PASTEL"/>
    <s v="BASE ORGANIZADOR  DE 2KG PASTEL-TURQUESA"/>
    <n v="883"/>
    <n v="8"/>
    <n v="100.7"/>
    <x v="0"/>
    <m/>
    <n v="9"/>
    <m/>
    <n v="23030"/>
    <s v="TURQUESA"/>
    <n v="5.8"/>
    <n v="0"/>
    <n v="0"/>
    <n v="44.15"/>
    <n v="100.7"/>
    <n v="50"/>
    <n v="2014"/>
    <x v="10"/>
    <x v="0"/>
    <n v="41"/>
    <n v="2"/>
    <n v="147.16666666666666"/>
  </r>
  <r>
    <d v="2025-11-03T08:00:00"/>
    <s v="INYECTADO"/>
    <x v="10"/>
    <x v="235"/>
    <s v="ISABEL LINARIZ "/>
    <m/>
    <m/>
    <m/>
    <s v="BASE ORGANIZADOR  DE 2KG PASTEL"/>
    <s v="BASE ORGANIZADOR  DE 2KG PASTEL-AZURE"/>
    <n v="748"/>
    <n v="9"/>
    <n v="87.5"/>
    <x v="1"/>
    <m/>
    <n v="25"/>
    <m/>
    <n v="23031"/>
    <s v="AZURE"/>
    <n v="11.4"/>
    <n v="0"/>
    <n v="0"/>
    <n v="37.4"/>
    <n v="87.5"/>
    <n v="50"/>
    <n v="1750"/>
    <x v="10"/>
    <x v="0"/>
    <n v="41"/>
    <n v="2"/>
    <n v="124.66666666666667"/>
  </r>
  <r>
    <d v="2025-11-03T08:00:00"/>
    <s v="INYECTADO"/>
    <x v="10"/>
    <x v="235"/>
    <s v="ISABEL LINARIZ "/>
    <m/>
    <m/>
    <m/>
    <s v="BASE ORGANIZADOR  DE 2KG CARAMELO"/>
    <s v="BASE ORGANIZADOR  DE 2KG CARAMELO-AMARILLO"/>
    <n v="120"/>
    <n v="2"/>
    <n v="14"/>
    <x v="1"/>
    <m/>
    <n v="4"/>
    <m/>
    <n v="23031"/>
    <s v="AMARILLO"/>
    <n v="8.1999999999999993"/>
    <n v="0"/>
    <n v="0"/>
    <n v="6"/>
    <n v="14"/>
    <n v="50"/>
    <n v="280"/>
    <x v="10"/>
    <x v="0"/>
    <n v="41"/>
    <n v="2"/>
    <n v="20"/>
  </r>
  <r>
    <d v="2025-11-03T08:00:00"/>
    <s v="INYECTADO"/>
    <x v="10"/>
    <x v="236"/>
    <s v="LUIS PINEDO"/>
    <m/>
    <m/>
    <m/>
    <s v="BASE ORGANIZADOR  DE 2KG CARAMELO"/>
    <s v="BASE ORGANIZADOR  DE 2KG CARAMELO-AMARILLO"/>
    <n v="729"/>
    <n v="7"/>
    <n v="85.1"/>
    <x v="0"/>
    <m/>
    <n v="25"/>
    <m/>
    <n v="23032"/>
    <s v="AMARILLO"/>
    <n v="0"/>
    <n v="0"/>
    <n v="0"/>
    <n v="36.450000000000003"/>
    <n v="85.1"/>
    <n v="50"/>
    <n v="1702"/>
    <x v="10"/>
    <x v="0"/>
    <n v="41"/>
    <n v="2"/>
    <n v="121.5"/>
  </r>
  <r>
    <d v="2025-11-03T08:00:00"/>
    <s v="INYECTADO"/>
    <x v="10"/>
    <x v="236"/>
    <s v="LUIS PINEDO"/>
    <m/>
    <m/>
    <m/>
    <s v="BASE ORGANIZADOR  DE 2KG CARAMELO"/>
    <s v="BASE ORGANIZADOR  DE 2KG CARAMELO-VERDE"/>
    <n v="110"/>
    <n v="1"/>
    <n v="12.9"/>
    <x v="0"/>
    <m/>
    <n v="4"/>
    <m/>
    <n v="23032"/>
    <s v="VERDE"/>
    <n v="0"/>
    <n v="0"/>
    <n v="0"/>
    <n v="5.5"/>
    <n v="12.9"/>
    <n v="50"/>
    <n v="258"/>
    <x v="10"/>
    <x v="0"/>
    <n v="41"/>
    <n v="2"/>
    <n v="18.333333333333332"/>
  </r>
  <r>
    <d v="2025-11-03T08:00:00"/>
    <s v="INYECTADO"/>
    <x v="10"/>
    <x v="236"/>
    <s v="GABRIEL REQUENA"/>
    <m/>
    <m/>
    <m/>
    <s v="BASE ORGANIZADOR  DE 2KG CARAMELO"/>
    <s v="BASE ORGANIZADOR  DE 2KG CARAMELO-VERDE"/>
    <n v="655"/>
    <n v="7"/>
    <n v="79.3"/>
    <x v="1"/>
    <m/>
    <n v="22"/>
    <m/>
    <n v="23033"/>
    <s v="VERDE"/>
    <n v="3.9"/>
    <n v="0"/>
    <n v="0"/>
    <n v="32.75"/>
    <n v="79.3"/>
    <n v="50"/>
    <n v="1586"/>
    <x v="10"/>
    <x v="0"/>
    <n v="41"/>
    <n v="2"/>
    <n v="109.16666666666667"/>
  </r>
  <r>
    <d v="2025-11-03T08:00:00"/>
    <s v="INYECTADO"/>
    <x v="10"/>
    <x v="236"/>
    <s v="GABRIEL REQUENA"/>
    <m/>
    <m/>
    <m/>
    <s v="BASE ORGANIZADOR  DE 2KG CARAMELO"/>
    <s v="BASE ORGANIZADOR  DE 2KG CARAMELO-FUCSIA"/>
    <n v="60"/>
    <n v="1"/>
    <n v="7"/>
    <x v="1"/>
    <m/>
    <n v="2"/>
    <m/>
    <n v="23033"/>
    <s v="FUCSIA"/>
    <n v="0.9"/>
    <n v="0"/>
    <n v="0"/>
    <n v="3"/>
    <n v="7"/>
    <n v="50"/>
    <n v="140"/>
    <x v="10"/>
    <x v="0"/>
    <n v="41"/>
    <n v="2"/>
    <n v="10"/>
  </r>
  <r>
    <d v="2025-11-03T08:00:00"/>
    <s v="INYECTADO"/>
    <x v="10"/>
    <x v="237"/>
    <s v="DAIRETH"/>
    <m/>
    <m/>
    <m/>
    <s v="BASE ORGANIZADOR  DE 2KG CARAMELO"/>
    <s v="BASE ORGANIZADOR  DE 2KG CARAMELO-FUCSIA"/>
    <n v="695"/>
    <n v="8"/>
    <n v="82.8"/>
    <x v="0"/>
    <m/>
    <n v="23"/>
    <m/>
    <n v="23034"/>
    <s v="FUCSIA"/>
    <n v="15"/>
    <n v="0"/>
    <n v="0"/>
    <n v="34.75"/>
    <n v="82.8"/>
    <n v="50"/>
    <n v="1656"/>
    <x v="10"/>
    <x v="0"/>
    <n v="42"/>
    <n v="2"/>
    <n v="115.83333333333333"/>
  </r>
  <r>
    <d v="2025-11-03T08:00:00"/>
    <s v="INYECTADO"/>
    <x v="10"/>
    <x v="237"/>
    <s v="GABRIEL REQUENA"/>
    <m/>
    <m/>
    <m/>
    <s v="BASE ORGANIZADOR  DE 2KG CARAMELO"/>
    <s v="BASE ORGANIZADOR  DE 2KG CARAMELO-LILA"/>
    <n v="755"/>
    <n v="7"/>
    <n v="90.6"/>
    <x v="1"/>
    <m/>
    <n v="25"/>
    <m/>
    <n v="23035"/>
    <s v="LILA"/>
    <n v="5.9"/>
    <n v="0"/>
    <n v="0"/>
    <n v="37.75"/>
    <n v="90.6"/>
    <n v="50"/>
    <n v="1812"/>
    <x v="10"/>
    <x v="0"/>
    <n v="42"/>
    <n v="2"/>
    <n v="125.83333333333333"/>
  </r>
  <r>
    <d v="2025-11-03T08:00:00"/>
    <s v="INYECTADO"/>
    <x v="10"/>
    <x v="237"/>
    <s v="GABRIEL REQUENA"/>
    <m/>
    <m/>
    <m/>
    <s v="BASE ORGANIZADOR  DE 2KG CARAMELO"/>
    <s v="BASE ORGANIZADOR  DE 2KG CARAMELO-AMARILLO"/>
    <n v="156"/>
    <n v="2"/>
    <n v="18.8"/>
    <x v="1"/>
    <m/>
    <n v="5"/>
    <m/>
    <n v="23035"/>
    <s v="AMARILLO"/>
    <n v="4.7"/>
    <n v="0"/>
    <n v="0"/>
    <n v="7.8"/>
    <n v="18.8"/>
    <n v="50"/>
    <n v="376"/>
    <x v="10"/>
    <x v="0"/>
    <n v="42"/>
    <n v="2"/>
    <n v="26"/>
  </r>
  <r>
    <d v="2025-11-03T08:00:00"/>
    <s v="INYECTADO"/>
    <x v="10"/>
    <x v="237"/>
    <s v="GABRIEL REQUENA"/>
    <m/>
    <m/>
    <m/>
    <s v="BASE ORGANIZADOR  DE 2KG CARAMELO"/>
    <s v="BASE ORGANIZADOR  DE 2KG CARAMELO-AZUL"/>
    <n v="295"/>
    <n v="3"/>
    <n v="35.5"/>
    <x v="1"/>
    <m/>
    <n v="6"/>
    <m/>
    <n v="23035"/>
    <s v="AZUL"/>
    <n v="5.5"/>
    <n v="0"/>
    <n v="0"/>
    <n v="14.75"/>
    <n v="35.5"/>
    <n v="50"/>
    <n v="710"/>
    <x v="10"/>
    <x v="0"/>
    <n v="42"/>
    <n v="2"/>
    <n v="49.166666666666664"/>
  </r>
  <r>
    <d v="2025-11-03T08:00:00"/>
    <s v="INYECTADO"/>
    <x v="10"/>
    <x v="238"/>
    <s v="DAIRETH"/>
    <m/>
    <m/>
    <m/>
    <s v="BASE ORGANIZADOR  DE 2KG CARAMELO"/>
    <s v="BASE ORGANIZADOR  DE 2KG CARAMELO-AZUL"/>
    <n v="469"/>
    <n v="4"/>
    <n v="54"/>
    <x v="0"/>
    <m/>
    <n v="12"/>
    <m/>
    <n v="23036"/>
    <s v="AZUL"/>
    <n v="0"/>
    <n v="0"/>
    <n v="0"/>
    <n v="23.45"/>
    <n v="54"/>
    <n v="50"/>
    <n v="1080"/>
    <x v="10"/>
    <x v="0"/>
    <n v="42"/>
    <n v="2"/>
    <n v="78.166666666666671"/>
  </r>
  <r>
    <d v="2025-11-03T08:00:00"/>
    <s v="INYECTADO"/>
    <x v="10"/>
    <x v="238"/>
    <s v="DAIRETH"/>
    <m/>
    <m/>
    <m/>
    <s v="BASE ORGANIZADOR  DE 2KG CARAMELO"/>
    <s v="BASE ORGANIZADOR  DE 2KG CARAMELO-ROJO"/>
    <n v="718"/>
    <n v="7"/>
    <n v="84.8"/>
    <x v="0"/>
    <m/>
    <n v="15"/>
    <m/>
    <n v="23036"/>
    <s v="ROJO"/>
    <n v="0"/>
    <n v="0"/>
    <n v="0"/>
    <n v="35.9"/>
    <n v="84.8"/>
    <n v="50"/>
    <n v="1696"/>
    <x v="10"/>
    <x v="0"/>
    <n v="42"/>
    <n v="2"/>
    <n v="119.66666666666667"/>
  </r>
  <r>
    <d v="2025-11-03T08:00:00"/>
    <s v="INYECTADO"/>
    <x v="10"/>
    <x v="238"/>
    <s v="JOSDER GONZALEZ"/>
    <m/>
    <m/>
    <m/>
    <s v="BASE ORGANIZADOR  DE 2KG CARAMELO"/>
    <s v="BASE ORGANIZADOR  DE 2KG CARAMELO-ROJO"/>
    <n v="60"/>
    <n v="1"/>
    <n v="7.2"/>
    <x v="1"/>
    <m/>
    <n v="2"/>
    <m/>
    <n v="23037"/>
    <s v="ROJO"/>
    <n v="3.5"/>
    <n v="0"/>
    <n v="0"/>
    <n v="3"/>
    <n v="7.2"/>
    <n v="50"/>
    <n v="144"/>
    <x v="10"/>
    <x v="0"/>
    <n v="42"/>
    <n v="2"/>
    <n v="10"/>
  </r>
  <r>
    <d v="2025-11-03T08:00:00"/>
    <s v="INYECTADO"/>
    <x v="10"/>
    <x v="238"/>
    <s v="JOSDER GONZALEZ"/>
    <m/>
    <m/>
    <m/>
    <s v="BASE ORGANIZADOR  DE 2KG"/>
    <s v="BASE ORGANIZADOR  DE 2KG PASTEL-ROSADO"/>
    <n v="210"/>
    <n v="4"/>
    <n v="23.8"/>
    <x v="1"/>
    <m/>
    <n v="7"/>
    <m/>
    <n v="23037"/>
    <s v="ROSADO"/>
    <n v="2.7"/>
    <n v="0"/>
    <n v="0"/>
    <n v="10.5"/>
    <n v="23.8"/>
    <n v="50"/>
    <n v="476"/>
    <x v="10"/>
    <x v="0"/>
    <n v="42"/>
    <n v="2"/>
    <n v="35"/>
  </r>
  <r>
    <d v="2025-11-03T08:00:00"/>
    <s v="INYECTADO"/>
    <x v="10"/>
    <x v="238"/>
    <s v="JOSDER GONZALEZ"/>
    <m/>
    <m/>
    <m/>
    <s v="BASE ORGANIZADOR  DE 2KG"/>
    <s v="BASE ORGANIZADOR  DE 2KG PASTEL-SANDIA"/>
    <n v="284"/>
    <n v="3"/>
    <n v="33.200000000000003"/>
    <x v="1"/>
    <m/>
    <n v="10"/>
    <m/>
    <n v="23037"/>
    <s v="SANDIA"/>
    <n v="31.3"/>
    <n v="0"/>
    <n v="0"/>
    <n v="14.2"/>
    <n v="33.200000000000003"/>
    <n v="50"/>
    <n v="664"/>
    <x v="10"/>
    <x v="0"/>
    <n v="42"/>
    <n v="2"/>
    <n v="47.333333333333336"/>
  </r>
  <r>
    <d v="2025-11-03T08:00:00"/>
    <s v="INYECTADO"/>
    <x v="10"/>
    <x v="258"/>
    <s v="LUIS PINEDO"/>
    <m/>
    <m/>
    <m/>
    <s v="BASE ORGANIZADOR  DE 2KG"/>
    <s v="BASE ORGANIZADOR  DE 2KG PASTEL-ROSADO"/>
    <n v="85"/>
    <n v="1"/>
    <n v="9.6999999999999993"/>
    <x v="0"/>
    <m/>
    <n v="3"/>
    <m/>
    <n v="23038"/>
    <s v="ROSADO"/>
    <n v="3.4"/>
    <n v="0"/>
    <n v="0"/>
    <n v="4.25"/>
    <n v="9.6999999999999993"/>
    <n v="50"/>
    <n v="194"/>
    <x v="10"/>
    <x v="0"/>
    <n v="42"/>
    <n v="2"/>
    <n v="14.166666666666666"/>
  </r>
  <r>
    <d v="2025-11-03T08:00:00"/>
    <s v="INYECTADO"/>
    <x v="10"/>
    <x v="258"/>
    <s v="LUIS PINEDO"/>
    <m/>
    <m/>
    <m/>
    <s v="BASE ORGANIZADOR  DE 2KG"/>
    <s v="BASE ORGANIZADOR  DE 2KG PASTEL-LILA"/>
    <n v="300"/>
    <n v="3"/>
    <n v="34"/>
    <x v="0"/>
    <m/>
    <n v="10"/>
    <m/>
    <n v="23038"/>
    <s v="LILA"/>
    <n v="9.4"/>
    <n v="0"/>
    <n v="0"/>
    <n v="15"/>
    <n v="34"/>
    <n v="50"/>
    <n v="680"/>
    <x v="10"/>
    <x v="0"/>
    <n v="42"/>
    <n v="2"/>
    <n v="50"/>
  </r>
  <r>
    <d v="2025-11-03T08:00:00"/>
    <s v="INYECTADO"/>
    <x v="10"/>
    <x v="258"/>
    <s v="LUIS PINEDO"/>
    <m/>
    <m/>
    <m/>
    <s v="BASE ORGANIZADOR  DE 2KG"/>
    <s v="BASE ORGANIZADOR  DE 2KG PASTEL-TURQUESA"/>
    <n v="332"/>
    <n v="3"/>
    <n v="37.700000000000003"/>
    <x v="0"/>
    <m/>
    <n v="11"/>
    <m/>
    <n v="23038"/>
    <s v="TURQUESA"/>
    <n v="3.1"/>
    <n v="0"/>
    <n v="0"/>
    <n v="16.600000000000001"/>
    <n v="37.700000000000003"/>
    <n v="50"/>
    <n v="754"/>
    <x v="10"/>
    <x v="0"/>
    <n v="42"/>
    <n v="2"/>
    <n v="55.333333333333336"/>
  </r>
  <r>
    <d v="2025-11-03T08:00:00"/>
    <s v="INYECTADO"/>
    <x v="10"/>
    <x v="258"/>
    <s v="LUIS PINEDO"/>
    <m/>
    <m/>
    <m/>
    <s v="BASE ORGANIZADOR  DE 2KG"/>
    <s v="BASE ORGANIZADOR  DE 2KG PASTEL-AZURE"/>
    <n v="257"/>
    <n v="3"/>
    <n v="29.2"/>
    <x v="0"/>
    <m/>
    <n v="9"/>
    <m/>
    <n v="23038"/>
    <s v="AZURE"/>
    <n v="3.4"/>
    <n v="0"/>
    <n v="0"/>
    <n v="12.85"/>
    <n v="29.2"/>
    <n v="50"/>
    <n v="584"/>
    <x v="10"/>
    <x v="0"/>
    <n v="42"/>
    <n v="2"/>
    <n v="42.833333333333336"/>
  </r>
  <r>
    <d v="2025-11-03T08:00:00"/>
    <s v="INYECTADO"/>
    <x v="10"/>
    <x v="258"/>
    <s v="GABRIEL REQUENA"/>
    <m/>
    <m/>
    <m/>
    <s v="BASE ORGANIZADOR  DE 2KG"/>
    <s v="BASE ORGANIZADOR  DE 2KG PASTEL-CELESTE"/>
    <n v="496"/>
    <n v="5"/>
    <n v="6"/>
    <x v="1"/>
    <m/>
    <n v="19"/>
    <m/>
    <n v="23039"/>
    <s v="AZURE"/>
    <n v="10.6"/>
    <n v="0"/>
    <n v="0"/>
    <n v="24.8"/>
    <n v="6"/>
    <n v="50"/>
    <n v="120"/>
    <x v="10"/>
    <x v="0"/>
    <n v="42"/>
    <n v="2"/>
    <n v="82.666666666666671"/>
  </r>
  <r>
    <d v="2025-11-03T08:00:00"/>
    <s v="INYECTADO"/>
    <x v="10"/>
    <x v="258"/>
    <s v="GABRIEL REQUENA"/>
    <m/>
    <m/>
    <m/>
    <s v="BASE ORGANIZADOR  DE 2KG"/>
    <s v="BASE ORGANIZADOR  DE 2KG PASTEL-AZURE"/>
    <n v="590"/>
    <n v="7"/>
    <n v="5"/>
    <x v="1"/>
    <m/>
    <n v="16"/>
    <m/>
    <n v="23039"/>
    <s v="CELESTE"/>
    <n v="13.5"/>
    <n v="0"/>
    <n v="0"/>
    <n v="29.5"/>
    <n v="5"/>
    <n v="50"/>
    <n v="100"/>
    <x v="10"/>
    <x v="0"/>
    <n v="42"/>
    <n v="2"/>
    <n v="98.333333333333329"/>
  </r>
  <r>
    <d v="2025-11-03T08:00:00"/>
    <s v="INYECTADO"/>
    <x v="10"/>
    <x v="239"/>
    <s v="SAID VILLAMIZAR"/>
    <m/>
    <m/>
    <m/>
    <s v="BASE ORGANIZADOR  DE 2KG"/>
    <s v="BASE ORGANIZADOR  DE 2KG PASTEL-CELESTE"/>
    <n v="80"/>
    <n v="1"/>
    <n v="10.5"/>
    <x v="0"/>
    <m/>
    <n v="3"/>
    <m/>
    <n v="23040"/>
    <s v="CELESTE"/>
    <n v="7"/>
    <n v="0"/>
    <n v="0"/>
    <n v="4"/>
    <n v="10.5"/>
    <n v="50"/>
    <n v="210"/>
    <x v="10"/>
    <x v="0"/>
    <n v="42"/>
    <n v="2"/>
    <n v="13.333333333333334"/>
  </r>
  <r>
    <d v="2025-11-03T08:00:00"/>
    <s v="INYECTADO"/>
    <x v="10"/>
    <x v="239"/>
    <s v="SAID VILLAMIZAR"/>
    <m/>
    <m/>
    <m/>
    <s v="BASE ORGANIZADOR  DE 2KG"/>
    <s v="BASE ORGANIZADOR  DE 2KG PASTEL-ROSADO"/>
    <n v="444"/>
    <n v="7"/>
    <n v="52.5"/>
    <x v="0"/>
    <m/>
    <n v="14"/>
    <m/>
    <n v="23040"/>
    <s v="ROSADO"/>
    <n v="16.2"/>
    <n v="0"/>
    <n v="0"/>
    <n v="22.2"/>
    <n v="52.5"/>
    <n v="50"/>
    <n v="1050"/>
    <x v="10"/>
    <x v="0"/>
    <n v="42"/>
    <n v="2"/>
    <n v="74"/>
  </r>
  <r>
    <d v="2025-11-03T08:00:00"/>
    <s v="INYECTADO"/>
    <x v="10"/>
    <x v="239"/>
    <s v="GABRIEL REQUENA"/>
    <m/>
    <m/>
    <m/>
    <s v="BASE ORGANIZADOR  DE 2KG"/>
    <s v="BASE ORGANIZADOR  DE 2KG PASTEL-LILA"/>
    <n v="435"/>
    <n v="4"/>
    <n v="47.6"/>
    <x v="1"/>
    <m/>
    <n v="14"/>
    <m/>
    <n v="23041"/>
    <s v="LILA"/>
    <n v="3.9"/>
    <n v="0"/>
    <n v="0"/>
    <n v="21.75"/>
    <n v="47.6"/>
    <n v="50"/>
    <n v="952"/>
    <x v="10"/>
    <x v="0"/>
    <n v="42"/>
    <n v="2"/>
    <n v="72.5"/>
  </r>
  <r>
    <d v="2025-11-03T08:00:00"/>
    <s v="INYECTADO"/>
    <x v="10"/>
    <x v="239"/>
    <s v="GABRIEL REQUENA"/>
    <m/>
    <m/>
    <m/>
    <s v="BASE ORGANIZADOR  DE 2KG"/>
    <s v="BASE ORGANIZADOR  DE 2KG PASTEL-SANDIA"/>
    <n v="448"/>
    <n v="4"/>
    <n v="51"/>
    <x v="1"/>
    <m/>
    <n v="15"/>
    <m/>
    <n v="23041"/>
    <s v="SANDIA"/>
    <n v="7.9"/>
    <n v="0"/>
    <n v="0"/>
    <n v="22.4"/>
    <n v="51"/>
    <n v="50"/>
    <n v="1020"/>
    <x v="10"/>
    <x v="0"/>
    <n v="42"/>
    <n v="2"/>
    <n v="74.666666666666671"/>
  </r>
  <r>
    <d v="2025-11-03T08:00:00"/>
    <s v="INYECTADO"/>
    <x v="10"/>
    <x v="239"/>
    <s v="GABRIEL REQUENA"/>
    <m/>
    <m/>
    <m/>
    <s v="BASE ORGANIZADOR  DE 2KG"/>
    <s v="BASE ORGANIZADOR  DE 2KG PASTEL-TURQUESA"/>
    <n v="60"/>
    <n v="1"/>
    <n v="7"/>
    <x v="1"/>
    <m/>
    <n v="2"/>
    <m/>
    <n v="23041"/>
    <s v="TURQUESA"/>
    <n v="12.7"/>
    <n v="0"/>
    <n v="0"/>
    <n v="3"/>
    <n v="7"/>
    <n v="50"/>
    <n v="140"/>
    <x v="10"/>
    <x v="0"/>
    <n v="42"/>
    <n v="2"/>
    <n v="10"/>
  </r>
  <r>
    <d v="2025-11-03T08:00:00"/>
    <s v="INYECTADO"/>
    <x v="10"/>
    <x v="240"/>
    <s v="DAIRETH"/>
    <m/>
    <m/>
    <m/>
    <s v="BASE ORGANIZADOR  DE 2KG"/>
    <s v="BASE ORGANIZADOR  DE 2KG PASTEL-TURQUESA"/>
    <n v="366"/>
    <n v="4"/>
    <n v="42.2"/>
    <x v="0"/>
    <m/>
    <n v="12"/>
    <m/>
    <n v="23042"/>
    <s v="TURQUESA"/>
    <n v="8"/>
    <n v="0"/>
    <n v="0"/>
    <n v="18.3"/>
    <n v="42.2"/>
    <n v="50"/>
    <n v="844"/>
    <x v="10"/>
    <x v="0"/>
    <n v="42"/>
    <n v="2"/>
    <n v="61"/>
  </r>
  <r>
    <d v="2025-11-03T08:00:00"/>
    <s v="INYECTADO"/>
    <x v="10"/>
    <x v="241"/>
    <s v="DAIRETH"/>
    <m/>
    <m/>
    <m/>
    <s v="BASE ORGANIZADOR  DE 2KG CARAMELO"/>
    <s v="BASE ORGANIZADOR  DE 2KG CARAMELO-FUCSIA"/>
    <n v="244"/>
    <n v="3"/>
    <n v="27.9"/>
    <x v="0"/>
    <m/>
    <n v="8"/>
    <m/>
    <n v="23044"/>
    <s v="FUCSIA"/>
    <n v="0"/>
    <n v="0"/>
    <n v="0"/>
    <n v="12.2"/>
    <n v="27.9"/>
    <n v="50"/>
    <n v="558"/>
    <x v="10"/>
    <x v="0"/>
    <n v="42"/>
    <n v="2"/>
    <n v="40.666666666666664"/>
  </r>
  <r>
    <d v="2025-11-03T08:00:00"/>
    <s v="INYECTADO"/>
    <x v="10"/>
    <x v="241"/>
    <s v="DAIRETH"/>
    <m/>
    <m/>
    <m/>
    <s v="BASE ORGANIZADOR  DE 2KG CARAMELO"/>
    <s v="BASE ORGANIZADOR  DE 2KG CARAMELO-LILA"/>
    <n v="591"/>
    <n v="7"/>
    <n v="67.400000000000006"/>
    <x v="0"/>
    <m/>
    <n v="19"/>
    <m/>
    <n v="23044"/>
    <s v="LILA"/>
    <n v="6.1"/>
    <n v="0"/>
    <n v="0"/>
    <n v="29.55"/>
    <n v="67.400000000000006"/>
    <n v="50"/>
    <n v="1348"/>
    <x v="10"/>
    <x v="0"/>
    <n v="42"/>
    <n v="2"/>
    <n v="98.5"/>
  </r>
  <r>
    <d v="2025-11-03T08:00:00"/>
    <s v="INYECTADO"/>
    <x v="10"/>
    <x v="241"/>
    <s v="DAIRETH"/>
    <m/>
    <m/>
    <m/>
    <s v="BASE ORGANIZADOR  DE 2KG CARAMELO"/>
    <s v="BASE ORGANIZADOR  DE 2KG CARAMELO-AZUL"/>
    <n v="61"/>
    <n v="1"/>
    <n v="7.4"/>
    <x v="0"/>
    <m/>
    <n v="2"/>
    <m/>
    <n v="23044"/>
    <s v="AZUL"/>
    <n v="0"/>
    <n v="0"/>
    <n v="0"/>
    <n v="3.05"/>
    <n v="7.4"/>
    <n v="50"/>
    <n v="148"/>
    <x v="10"/>
    <x v="0"/>
    <n v="42"/>
    <n v="2"/>
    <n v="10.166666666666666"/>
  </r>
  <r>
    <d v="2025-11-03T08:00:00"/>
    <s v="INYECTADO"/>
    <x v="10"/>
    <x v="241"/>
    <s v="JOSDER GONZALEZ"/>
    <m/>
    <m/>
    <m/>
    <s v="BASE ORGANIZADOR  DE 2KG CARAMELO"/>
    <s v="BASE ORGANIZADOR  DE 2KG CARAMELO-AZUL"/>
    <n v="598"/>
    <n v="8"/>
    <n v="71.8"/>
    <x v="1"/>
    <m/>
    <n v="20"/>
    <m/>
    <n v="23046"/>
    <s v="AZUL"/>
    <n v="7.1"/>
    <n v="0"/>
    <n v="0"/>
    <n v="29.9"/>
    <n v="71.8"/>
    <n v="50"/>
    <n v="1436"/>
    <x v="10"/>
    <x v="0"/>
    <n v="42"/>
    <n v="2"/>
    <n v="99.666666666666671"/>
  </r>
  <r>
    <d v="2025-11-03T08:00:00"/>
    <s v="INYECTADO"/>
    <x v="10"/>
    <x v="241"/>
    <s v="JOSDER GONZALEZ"/>
    <m/>
    <m/>
    <m/>
    <s v="BASE ORGANIZADOR  DE 2KG CARAMELO"/>
    <s v="BASE ORGANIZADOR  DE 2KG CARAMELO-ROJO"/>
    <n v="469"/>
    <n v="4"/>
    <n v="56.3"/>
    <x v="1"/>
    <m/>
    <n v="16"/>
    <m/>
    <n v="23046"/>
    <s v="ROJO"/>
    <n v="2.4"/>
    <n v="0"/>
    <n v="0"/>
    <n v="23.45"/>
    <n v="56.3"/>
    <n v="50"/>
    <n v="1126"/>
    <x v="10"/>
    <x v="0"/>
    <n v="42"/>
    <n v="2"/>
    <n v="78.166666666666671"/>
  </r>
  <r>
    <d v="2025-11-03T08:00:00"/>
    <s v="INYECTADO"/>
    <x v="10"/>
    <x v="261"/>
    <s v="SAID VILLAMIZAR"/>
    <m/>
    <m/>
    <m/>
    <s v="BASE ORGANIZADOR  DE 2KG CARAMELO"/>
    <s v="BASE ORGANIZADOR  DE 2KG CARAMELO-ROJO"/>
    <n v="138"/>
    <n v="3"/>
    <n v="16.5"/>
    <x v="0"/>
    <m/>
    <n v="5"/>
    <m/>
    <n v="23047"/>
    <s v="ROJO"/>
    <n v="9.1999999999999993"/>
    <n v="0"/>
    <n v="0"/>
    <n v="6.9"/>
    <n v="16.5"/>
    <n v="50"/>
    <n v="330"/>
    <x v="10"/>
    <x v="0"/>
    <n v="42"/>
    <n v="2"/>
    <n v="23"/>
  </r>
  <r>
    <d v="2025-11-03T08:00:00"/>
    <s v="INYECTADO"/>
    <x v="10"/>
    <x v="261"/>
    <s v="SAID VILLAMIZAR"/>
    <m/>
    <m/>
    <m/>
    <s v="BASE ORGANIZADOR  DE 2KG"/>
    <s v="BASE ORGANIZADOR  DE 2KG-TRANSPARENTE"/>
    <n v="450"/>
    <n v="5"/>
    <n v="54.4"/>
    <x v="0"/>
    <m/>
    <n v="15"/>
    <m/>
    <n v="23047"/>
    <s v="TRANSPARENTE"/>
    <n v="0"/>
    <n v="0"/>
    <n v="0"/>
    <n v="22.5"/>
    <n v="54.4"/>
    <n v="50"/>
    <n v="1088"/>
    <x v="10"/>
    <x v="0"/>
    <n v="42"/>
    <n v="2"/>
    <n v="75"/>
  </r>
  <r>
    <d v="2025-11-03T08:00:00"/>
    <s v="INYECTADO"/>
    <x v="10"/>
    <x v="242"/>
    <s v="BRAYAN PINEDO"/>
    <m/>
    <m/>
    <m/>
    <s v="BASE ORGANIZADOR  DE 2KG"/>
    <s v="BASE ORGANIZADOR  DE 2KG-TRANSPARENTE"/>
    <n v="302"/>
    <n v="4"/>
    <n v="36"/>
    <x v="0"/>
    <m/>
    <n v="10"/>
    <m/>
    <n v="23048"/>
    <s v="TRANSPARENTE"/>
    <n v="0"/>
    <n v="0"/>
    <n v="0"/>
    <n v="15.1"/>
    <n v="36"/>
    <n v="50"/>
    <n v="720"/>
    <x v="10"/>
    <x v="0"/>
    <n v="43"/>
    <n v="2"/>
    <n v="50.333333333333336"/>
  </r>
  <r>
    <d v="2025-11-03T08:00:00"/>
    <s v="INYECTADO"/>
    <x v="10"/>
    <x v="255"/>
    <s v="NELSON PINEDO"/>
    <m/>
    <m/>
    <m/>
    <s v="JARRA REAL 6LT"/>
    <s v="JARRA REAL 6 LT-TRANSPARENTE"/>
    <n v="866"/>
    <n v="10"/>
    <n v="208"/>
    <x v="0"/>
    <m/>
    <n v="32"/>
    <m/>
    <n v="23049"/>
    <s v="TRANSPARENTE"/>
    <n v="2.2999999999999998"/>
    <n v="0"/>
    <n v="0"/>
    <n v="207.84"/>
    <n v="208"/>
    <n v="240"/>
    <n v="866.66666666666663"/>
    <x v="10"/>
    <x v="0"/>
    <n v="43"/>
    <n v="1"/>
    <n v="72.166666666666671"/>
  </r>
  <r>
    <d v="2025-11-03T08:00:00"/>
    <s v="INYECTADO"/>
    <x v="10"/>
    <x v="255"/>
    <s v="JOSDER GONZALEZ"/>
    <m/>
    <m/>
    <m/>
    <s v="JARRA REAL 6LT"/>
    <s v="JARRA REAL 6 LT-TRANSPARENTE"/>
    <n v="1078"/>
    <n v="12"/>
    <n v="260"/>
    <x v="1"/>
    <m/>
    <n v="45"/>
    <m/>
    <n v="23050"/>
    <s v="TRANSPARENTE"/>
    <n v="3.9"/>
    <n v="0"/>
    <n v="0"/>
    <n v="258.72000000000003"/>
    <n v="260"/>
    <n v="240"/>
    <n v="1083.3333333333333"/>
    <x v="10"/>
    <x v="0"/>
    <n v="43"/>
    <n v="1"/>
    <n v="89.833333333333329"/>
  </r>
  <r>
    <d v="2025-11-03T08:00:00"/>
    <s v="INYECTADO"/>
    <x v="10"/>
    <x v="256"/>
    <s v="LEONOR GUTIERREZ"/>
    <m/>
    <m/>
    <m/>
    <s v="JARRA REAL 6LT"/>
    <s v="JARRA REAL 6 LT-TRANSPARENTE"/>
    <n v="946"/>
    <n v="11"/>
    <n v="228"/>
    <x v="0"/>
    <m/>
    <n v="38"/>
    <m/>
    <n v="23051"/>
    <s v="TRANSPARENTE"/>
    <n v="1.6"/>
    <n v="0"/>
    <n v="0"/>
    <n v="227.04"/>
    <n v="228"/>
    <n v="240"/>
    <n v="950"/>
    <x v="10"/>
    <x v="0"/>
    <n v="43"/>
    <n v="1"/>
    <n v="78.833333333333329"/>
  </r>
  <r>
    <d v="2025-11-03T08:00:00"/>
    <s v="INYECTADO"/>
    <x v="10"/>
    <x v="256"/>
    <s v="MARJORIE VILCHEZ"/>
    <m/>
    <m/>
    <m/>
    <s v="JARRA REAL 6LT"/>
    <s v="JARRA REAL 6 LT-TRANSPARENTE"/>
    <n v="1017"/>
    <n v="12"/>
    <n v="245.2"/>
    <x v="1"/>
    <m/>
    <n v="39"/>
    <m/>
    <n v="23052"/>
    <s v="TRANSPARENTE"/>
    <n v="0"/>
    <n v="0"/>
    <n v="0"/>
    <n v="244.08"/>
    <n v="245.2"/>
    <n v="240"/>
    <n v="1021.6666666666666"/>
    <x v="10"/>
    <x v="0"/>
    <n v="43"/>
    <n v="1"/>
    <n v="84.75"/>
  </r>
  <r>
    <d v="2025-11-03T08:00:00"/>
    <s v="INYECTADO"/>
    <x v="10"/>
    <x v="257"/>
    <s v="NELSON PINEDO"/>
    <m/>
    <m/>
    <m/>
    <s v="JARRA REAL 6LT"/>
    <s v="JARRA REAL 6 LT-TRANSPARENTE"/>
    <n v="412"/>
    <n v="5"/>
    <n v="98.9"/>
    <x v="0"/>
    <m/>
    <n v="17"/>
    <m/>
    <n v="23053"/>
    <s v="TRANSPARENTE"/>
    <n v="0"/>
    <n v="0"/>
    <n v="0"/>
    <n v="98.88"/>
    <n v="98.9"/>
    <n v="240"/>
    <n v="412.08333333333331"/>
    <x v="10"/>
    <x v="0"/>
    <n v="43"/>
    <n v="1"/>
    <n v="34.333333333333336"/>
  </r>
  <r>
    <d v="2025-11-03T08:00:00"/>
    <s v="INYECTADO"/>
    <x v="10"/>
    <x v="257"/>
    <s v="GABRIEL REQUENA"/>
    <m/>
    <m/>
    <m/>
    <s v="TAPER ALEMAN 2800ML TRANSP"/>
    <s v="TAPER 2800ML TRANSP-TRANSPARENTE"/>
    <n v="1082"/>
    <n v="12"/>
    <n v="151.5"/>
    <x v="1"/>
    <m/>
    <n v="18"/>
    <m/>
    <n v="23054"/>
    <s v="TRANSPARENTE"/>
    <n v="5.7"/>
    <n v="0"/>
    <n v="0"/>
    <n v="144.988"/>
    <n v="151.5"/>
    <n v="134"/>
    <n v="1130.5970149253731"/>
    <x v="10"/>
    <x v="0"/>
    <n v="43"/>
    <n v="1"/>
    <n v="90.166666666666671"/>
  </r>
  <r>
    <d v="2025-11-03T08:00:00"/>
    <s v="INYECTADO"/>
    <x v="10"/>
    <x v="243"/>
    <s v="KARLA HUISA"/>
    <m/>
    <m/>
    <m/>
    <s v="TAPER ALEMAN 2800ML TRANSP"/>
    <s v="TAPER 2800ML TRANSP-TRANSPARENTE"/>
    <n v="1294"/>
    <n v="12"/>
    <n v="174.8"/>
    <x v="0"/>
    <m/>
    <n v="22"/>
    <m/>
    <n v="23055"/>
    <s v="TRANSPARENTE"/>
    <n v="8.4"/>
    <n v="0"/>
    <n v="0"/>
    <n v="173.39599999999999"/>
    <n v="174.8"/>
    <n v="134"/>
    <n v="1304.4776119402984"/>
    <x v="10"/>
    <x v="0"/>
    <n v="43"/>
    <n v="1"/>
    <n v="107.83333333333333"/>
  </r>
  <r>
    <d v="2025-11-03T08:00:00"/>
    <s v="INYECTADO"/>
    <x v="10"/>
    <x v="243"/>
    <s v="JUAN MANUEL"/>
    <m/>
    <m/>
    <m/>
    <s v="TAPER ALEMAN 2800ML TRANSP"/>
    <s v="TAPER 2800ML TRANSP-TRANSPARENTE"/>
    <n v="1388"/>
    <n v="12"/>
    <n v="186"/>
    <x v="1"/>
    <m/>
    <n v="24"/>
    <m/>
    <n v="23056"/>
    <s v="TRANSPARENTE"/>
    <n v="0"/>
    <n v="0"/>
    <n v="0"/>
    <n v="185.99199999999999"/>
    <n v="186"/>
    <n v="134"/>
    <n v="1388.0597014925372"/>
    <x v="10"/>
    <x v="0"/>
    <n v="43"/>
    <n v="1"/>
    <n v="115.66666666666667"/>
  </r>
  <r>
    <d v="2025-11-03T08:00:00"/>
    <s v="INYECTADO"/>
    <x v="10"/>
    <x v="244"/>
    <s v="JUANA CRUCES"/>
    <m/>
    <m/>
    <m/>
    <s v="TAPER ALEMAN 2800ML TRANSP"/>
    <s v="TAPER 2800ML TRANSP-TRANSPARENTE"/>
    <n v="1273"/>
    <n v="12"/>
    <n v="170.6"/>
    <x v="0"/>
    <m/>
    <n v="21"/>
    <m/>
    <n v="23057"/>
    <s v="TRANSPARENTE"/>
    <n v="0"/>
    <n v="0"/>
    <n v="0"/>
    <n v="170.58199999999999"/>
    <n v="170.6"/>
    <n v="134"/>
    <n v="1273.1343283582089"/>
    <x v="10"/>
    <x v="0"/>
    <n v="43"/>
    <n v="1"/>
    <n v="106.08333333333333"/>
  </r>
  <r>
    <d v="2025-11-03T08:00:00"/>
    <s v="INYECTADO"/>
    <x v="10"/>
    <x v="244"/>
    <s v="JUAN MANUEL"/>
    <m/>
    <m/>
    <m/>
    <s v="TAPER ALEMAN 2800ML TRANSP"/>
    <s v="TAPER 2800ML TRANSP-TRANSPARENTE"/>
    <n v="1316"/>
    <n v="12"/>
    <n v="176.4"/>
    <x v="1"/>
    <m/>
    <n v="21"/>
    <m/>
    <n v="23058"/>
    <s v="TRANSPARENTE"/>
    <n v="5"/>
    <n v="0"/>
    <n v="0"/>
    <n v="176.34399999999999"/>
    <n v="176.4"/>
    <n v="134"/>
    <n v="1316.4179104477612"/>
    <x v="10"/>
    <x v="0"/>
    <n v="43"/>
    <n v="1"/>
    <n v="109.66666666666667"/>
  </r>
  <r>
    <d v="2025-11-03T08:00:00"/>
    <s v="INYECTADO"/>
    <x v="10"/>
    <x v="244"/>
    <s v="JUAN MANUEL"/>
    <m/>
    <m/>
    <m/>
    <s v="TAPER ALEMAN 2800ML CARAMELO"/>
    <s v="TAPER 2800ML CARAMELO-AMARILLO"/>
    <n v="61"/>
    <n v="1"/>
    <n v="8.1999999999999993"/>
    <x v="1"/>
    <m/>
    <n v="1"/>
    <m/>
    <n v="23058"/>
    <s v="AMARILLO"/>
    <n v="3"/>
    <n v="0"/>
    <n v="0"/>
    <n v="8.4179999999999993"/>
    <n v="8.1999999999999993"/>
    <n v="138"/>
    <n v="59.420289855072461"/>
    <x v="10"/>
    <x v="0"/>
    <n v="43"/>
    <n v="1"/>
    <n v="5.083333333333333"/>
  </r>
  <r>
    <d v="2025-11-03T08:00:00"/>
    <s v="INYECTADO"/>
    <x v="10"/>
    <x v="262"/>
    <s v="SAID VILLAMIZAR"/>
    <m/>
    <m/>
    <m/>
    <s v="TAPER ALEMAN 2800ML CARAMELO"/>
    <s v="TAPER 2800ML CARAMELO-AMARILLO"/>
    <n v="954"/>
    <n v="8"/>
    <n v="130.69999999999999"/>
    <x v="0"/>
    <m/>
    <n v="16"/>
    <m/>
    <n v="23059"/>
    <s v="AMARILLO"/>
    <n v="0"/>
    <n v="0"/>
    <n v="0"/>
    <n v="131.65199999999999"/>
    <n v="130.69999999999999"/>
    <n v="138"/>
    <n v="947.10144927536226"/>
    <x v="10"/>
    <x v="0"/>
    <n v="43"/>
    <n v="1"/>
    <n v="79.5"/>
  </r>
  <r>
    <d v="2025-11-03T08:00:00"/>
    <s v="INYECTADO"/>
    <x v="10"/>
    <x v="262"/>
    <s v="SAID VILLAMIZAR"/>
    <m/>
    <m/>
    <m/>
    <s v="TAPER ALEMAN 2800ML CARAMELO"/>
    <s v="TAPER 2800ML CARAMELO-AZUL"/>
    <n v="413"/>
    <n v="4"/>
    <n v="56.7"/>
    <x v="0"/>
    <m/>
    <n v="7"/>
    <m/>
    <n v="23059"/>
    <s v="AZUL"/>
    <n v="0"/>
    <n v="0"/>
    <n v="0"/>
    <n v="56.994"/>
    <n v="56.7"/>
    <n v="138"/>
    <n v="410.86956521739131"/>
    <x v="10"/>
    <x v="0"/>
    <n v="43"/>
    <n v="1"/>
    <n v="34.416666666666664"/>
  </r>
  <r>
    <d v="2025-11-03T08:00:00"/>
    <s v="INYECTADO"/>
    <x v="10"/>
    <x v="245"/>
    <s v="JUANA CRUCES"/>
    <m/>
    <m/>
    <m/>
    <s v="TAPER ALEMAN 2800ML CARAMELO"/>
    <s v="TAPER 2800ML CARAMELO-AZUL"/>
    <n v="480"/>
    <n v="5"/>
    <n v="65.8"/>
    <x v="0"/>
    <m/>
    <n v="9"/>
    <m/>
    <n v="23060"/>
    <s v="AZUL"/>
    <n v="5.4"/>
    <n v="0"/>
    <n v="0"/>
    <n v="66.239999999999995"/>
    <n v="65.8"/>
    <n v="138"/>
    <n v="476.81159420289856"/>
    <x v="10"/>
    <x v="0"/>
    <n v="44"/>
    <n v="1"/>
    <n v="40"/>
  </r>
  <r>
    <d v="2025-11-03T08:00:00"/>
    <s v="INYECTADO"/>
    <x v="10"/>
    <x v="245"/>
    <s v="JUANA CRUCES"/>
    <m/>
    <m/>
    <m/>
    <s v="TAPER ALEMAN 2800ML CARAMELO"/>
    <s v="TAPER 2800ML CARAMELO-LILA"/>
    <n v="715"/>
    <n v="6"/>
    <n v="95.9"/>
    <x v="0"/>
    <m/>
    <n v="13"/>
    <m/>
    <n v="23060"/>
    <s v="LILA"/>
    <n v="1.4"/>
    <n v="0"/>
    <n v="0"/>
    <n v="98.67"/>
    <n v="95.9"/>
    <n v="138"/>
    <n v="694.92753623188401"/>
    <x v="10"/>
    <x v="0"/>
    <n v="44"/>
    <n v="1"/>
    <n v="59.583333333333336"/>
  </r>
  <r>
    <d v="2025-11-03T08:00:00"/>
    <s v="INYECTADO"/>
    <x v="10"/>
    <x v="245"/>
    <s v="GABRIEL REQUENA"/>
    <m/>
    <m/>
    <m/>
    <s v="TAPER ALEMAN 2800ML CARAMELO"/>
    <s v="TAPER 2800ML CARAMELO-LILA"/>
    <n v="326"/>
    <n v="3"/>
    <n v="44.1"/>
    <x v="1"/>
    <m/>
    <n v="6"/>
    <m/>
    <n v="23061"/>
    <s v="LILA"/>
    <n v="0"/>
    <n v="0"/>
    <n v="0"/>
    <n v="44.988"/>
    <n v="44.1"/>
    <n v="138"/>
    <n v="319.56521739130437"/>
    <x v="10"/>
    <x v="0"/>
    <n v="44"/>
    <n v="1"/>
    <n v="27.166666666666668"/>
  </r>
  <r>
    <d v="2025-11-03T08:00:00"/>
    <s v="INYECTADO"/>
    <x v="10"/>
    <x v="245"/>
    <s v="GABRIEL REQUENA"/>
    <m/>
    <m/>
    <m/>
    <s v="TAPER ALEMAN 2800ML CARAMELO"/>
    <s v="TAPER 2800ML CARAMELO-FUCSIA"/>
    <n v="948"/>
    <n v="8"/>
    <n v="128"/>
    <x v="1"/>
    <m/>
    <n v="16"/>
    <m/>
    <n v="23061"/>
    <s v="FUCSIA"/>
    <n v="13.2"/>
    <n v="0"/>
    <n v="0"/>
    <n v="130.82400000000001"/>
    <n v="128"/>
    <n v="138"/>
    <n v="927.536231884058"/>
    <x v="10"/>
    <x v="0"/>
    <n v="44"/>
    <n v="1"/>
    <n v="79"/>
  </r>
  <r>
    <d v="2025-11-03T08:00:00"/>
    <s v="INYECTADO"/>
    <x v="10"/>
    <x v="245"/>
    <s v="GABRIEL REQUENA"/>
    <m/>
    <m/>
    <m/>
    <s v="TAPER ALEMAN 2800ML CARAMELO"/>
    <s v="TAPER 2800ML CARAMELO-ROJO"/>
    <n v="60"/>
    <n v="1"/>
    <n v="8.1"/>
    <x v="1"/>
    <m/>
    <n v="1"/>
    <m/>
    <n v="23061"/>
    <s v="ROJO"/>
    <n v="5.2"/>
    <n v="0"/>
    <n v="0"/>
    <n v="8.2799999999999994"/>
    <n v="8.1"/>
    <n v="138"/>
    <n v="58.695652173913047"/>
    <x v="10"/>
    <x v="0"/>
    <n v="44"/>
    <n v="1"/>
    <n v="5"/>
  </r>
  <r>
    <d v="2025-11-03T08:00:00"/>
    <s v="INYECTADO"/>
    <x v="10"/>
    <x v="246"/>
    <s v="LEONOR GUTIERREZ"/>
    <m/>
    <m/>
    <m/>
    <s v="TAPER ALEMAN 2800ML CARAMELO"/>
    <s v="TAPER 2800ML CARAMELO-ROJO"/>
    <n v="1107"/>
    <n v="11"/>
    <n v="149.5"/>
    <x v="0"/>
    <m/>
    <n v="18"/>
    <m/>
    <n v="23062"/>
    <s v="ROJO"/>
    <n v="23.7"/>
    <n v="0"/>
    <n v="0"/>
    <n v="152.76599999999999"/>
    <n v="149.5"/>
    <n v="138"/>
    <n v="1083.3333333333333"/>
    <x v="10"/>
    <x v="0"/>
    <n v="44"/>
    <n v="1"/>
    <n v="92.25"/>
  </r>
  <r>
    <d v="2025-11-03T08:00:00"/>
    <s v="INYECTADO"/>
    <x v="10"/>
    <x v="246"/>
    <s v="JUAN MANUEL"/>
    <m/>
    <m/>
    <m/>
    <s v="TAPER ALEMAN 2800ML CARAMELO"/>
    <s v="TAPER 2800ML CARAMELO-VERDE"/>
    <n v="965"/>
    <n v="9"/>
    <n v="130.4"/>
    <x v="1"/>
    <m/>
    <n v="16"/>
    <m/>
    <n v="23063"/>
    <s v="VERDE"/>
    <n v="17.399999999999999"/>
    <n v="0"/>
    <n v="0"/>
    <n v="133.16999999999999"/>
    <n v="130.4"/>
    <n v="138"/>
    <n v="944.92753623188401"/>
    <x v="10"/>
    <x v="0"/>
    <n v="44"/>
    <n v="1"/>
    <n v="80.416666666666671"/>
  </r>
  <r>
    <d v="2025-11-03T08:00:00"/>
    <s v="INYECTADO"/>
    <x v="10"/>
    <x v="246"/>
    <s v="JUAN MANUEL"/>
    <m/>
    <m/>
    <m/>
    <s v="TAPER ALEMAN 2800ML CARAMELO"/>
    <s v="TAPER 2800ML CARAMELO-FUCSIA"/>
    <n v="187"/>
    <n v="2"/>
    <n v="25.3"/>
    <x v="1"/>
    <m/>
    <n v="3"/>
    <m/>
    <n v="23063"/>
    <s v="FUCSIA"/>
    <n v="3"/>
    <n v="0"/>
    <n v="0"/>
    <n v="25.806000000000001"/>
    <n v="25.3"/>
    <n v="138"/>
    <n v="183.33333333333334"/>
    <x v="10"/>
    <x v="0"/>
    <n v="44"/>
    <n v="1"/>
    <n v="15.583333333333334"/>
  </r>
  <r>
    <d v="2025-11-03T08:00:00"/>
    <s v="INYECTADO"/>
    <x v="10"/>
    <x v="247"/>
    <s v="KARLA HUISA"/>
    <m/>
    <m/>
    <m/>
    <s v="TOLVA VOLQUETE MINERO"/>
    <s v="TOLVA VOLQUETE MINERO-AMARILLO"/>
    <n v="20"/>
    <n v="1"/>
    <n v="8.1"/>
    <x v="0"/>
    <m/>
    <n v="2"/>
    <m/>
    <n v="23064"/>
    <s v="AMARILLO"/>
    <n v="26.6"/>
    <n v="0"/>
    <n v="0"/>
    <e v="#N/A"/>
    <n v="8.1"/>
    <e v="#N/A"/>
    <n v="0"/>
    <x v="10"/>
    <x v="0"/>
    <n v="44"/>
    <e v="#N/A"/>
    <e v="#N/A"/>
  </r>
  <r>
    <d v="2025-11-03T08:00:00"/>
    <s v="INYECTADO"/>
    <x v="10"/>
    <x v="247"/>
    <s v="JOSDER GONZALEZ"/>
    <m/>
    <m/>
    <m/>
    <s v="TOLVA VOLQUETE MINERO"/>
    <s v="TOLVA VOLQUETE MINERO-AMARILLO"/>
    <n v="1003"/>
    <n v="12"/>
    <n v="417.6"/>
    <x v="1"/>
    <m/>
    <n v="84"/>
    <m/>
    <n v="23065"/>
    <s v="AMARILLO"/>
    <n v="32.5"/>
    <n v="0"/>
    <n v="0"/>
    <e v="#N/A"/>
    <n v="417.6"/>
    <e v="#N/A"/>
    <n v="0"/>
    <x v="10"/>
    <x v="0"/>
    <n v="44"/>
    <e v="#N/A"/>
    <e v="#N/A"/>
  </r>
  <r>
    <d v="2025-11-03T08:00:00"/>
    <s v="INYECTADO"/>
    <x v="10"/>
    <x v="248"/>
    <s v="KARLA HUISA"/>
    <m/>
    <m/>
    <m/>
    <s v="TOLVA VOLQUETE MINERO"/>
    <s v="TOLVA VOLQUETE MINERO-AMARILLO"/>
    <n v="1064"/>
    <n v="12"/>
    <n v="433.1"/>
    <x v="0"/>
    <m/>
    <n v="14"/>
    <m/>
    <n v="23066"/>
    <s v="AMARILLO"/>
    <n v="0"/>
    <n v="0"/>
    <n v="0"/>
    <e v="#N/A"/>
    <n v="433.1"/>
    <e v="#N/A"/>
    <n v="0"/>
    <x v="10"/>
    <x v="0"/>
    <n v="44"/>
    <e v="#N/A"/>
    <e v="#N/A"/>
  </r>
  <r>
    <d v="2025-11-03T08:00:00"/>
    <s v="INYECTADO"/>
    <x v="10"/>
    <x v="248"/>
    <s v="JUAN MANUEL"/>
    <m/>
    <m/>
    <m/>
    <s v="TOLVA VOLQUETE MINERO"/>
    <s v="TOLVA VOLQUETE MINERO-AMARILLO"/>
    <n v="1092"/>
    <n v="12"/>
    <n v="454.6"/>
    <x v="1"/>
    <m/>
    <n v="91"/>
    <m/>
    <n v="23067"/>
    <s v="AMARILLO"/>
    <n v="0"/>
    <n v="0"/>
    <n v="0"/>
    <e v="#N/A"/>
    <n v="454.6"/>
    <e v="#N/A"/>
    <n v="0"/>
    <x v="10"/>
    <x v="0"/>
    <n v="44"/>
    <e v="#N/A"/>
    <e v="#N/A"/>
  </r>
  <r>
    <d v="2025-12-01T08:00:00"/>
    <s v="INYECTADO"/>
    <x v="4"/>
    <x v="263"/>
    <s v="ISABEL LINARIZ "/>
    <s v="VIRGEN"/>
    <s v="PP CLARIFICADO"/>
    <s v="."/>
    <s v="ASAS CARGA ORG 5,10,15"/>
    <s v="ASAS PRESION ORG 5,10,15 -PLOMO"/>
    <n v="1389"/>
    <n v="12"/>
    <n v="54.2"/>
    <x v="1"/>
    <m/>
    <n v="5"/>
    <m/>
    <n v="20492"/>
    <s v="PLOMO"/>
    <n v="1.9"/>
    <n v="0"/>
    <n v="0"/>
    <n v="13.89"/>
    <n v="54.2"/>
    <n v="10"/>
    <n v="5420"/>
    <x v="12"/>
    <x v="0"/>
    <n v="45"/>
    <n v="4"/>
    <n v="463"/>
  </r>
  <r>
    <d v="2025-12-01T08:00:00"/>
    <s v="INYECTADO"/>
    <x v="4"/>
    <x v="264"/>
    <s v="NESTOR"/>
    <s v="VIRGEN"/>
    <s v="PP CLARIFICADO"/>
    <s v="."/>
    <s v="ASAS CARGA ORG 5,10,15"/>
    <s v="ASAS PRESION ORG 5,10,15 -PLOMO"/>
    <n v="1125"/>
    <n v="11"/>
    <n v="43.9"/>
    <x v="0"/>
    <m/>
    <n v="4"/>
    <m/>
    <n v="20493"/>
    <s v="PLOMO"/>
    <n v="0.4"/>
    <n v="0"/>
    <n v="0"/>
    <n v="11.25"/>
    <n v="43.9"/>
    <n v="10"/>
    <n v="4390"/>
    <x v="12"/>
    <x v="0"/>
    <n v="46"/>
    <n v="4"/>
    <n v="375"/>
  </r>
  <r>
    <d v="2025-12-01T08:00:00"/>
    <s v="INYECTADO"/>
    <x v="4"/>
    <x v="265"/>
    <s v="KARLA HUISA"/>
    <s v="VIRGEN"/>
    <s v="PP CLARIFICADO"/>
    <s v="."/>
    <s v="ASAS CARGA ORG 5,10,15"/>
    <s v="ASAS PRESION ORG 5,10,15 -PLOMO"/>
    <n v="1220"/>
    <n v="11"/>
    <n v="47.6"/>
    <x v="0"/>
    <m/>
    <n v="4"/>
    <m/>
    <n v="20494"/>
    <s v="PLOMO"/>
    <n v="0.6"/>
    <n v="0"/>
    <n v="0"/>
    <n v="12.2"/>
    <n v="47.6"/>
    <n v="10"/>
    <n v="4760"/>
    <x v="12"/>
    <x v="0"/>
    <n v="46"/>
    <n v="4"/>
    <n v="406.66666666666669"/>
  </r>
  <r>
    <d v="2025-12-01T08:00:00"/>
    <s v="INYECTADO"/>
    <x v="4"/>
    <x v="266"/>
    <s v="CRISALIDA ZAPATA"/>
    <s v="VIRGEN"/>
    <s v="PP CLARIFICADO"/>
    <s v="."/>
    <s v="ASAS CARGA ORG 5,10,15"/>
    <s v="ASAS PRESION ORG 5,10,15 -PLOMO"/>
    <n v="1346"/>
    <n v="12"/>
    <n v="52.5"/>
    <x v="1"/>
    <m/>
    <n v="4"/>
    <m/>
    <n v="20495"/>
    <s v="PLOMO"/>
    <n v="0.2"/>
    <n v="0"/>
    <n v="0"/>
    <n v="13.46"/>
    <n v="52.5"/>
    <n v="10"/>
    <n v="5250"/>
    <x v="12"/>
    <x v="0"/>
    <n v="46"/>
    <n v="4"/>
    <n v="448.66666666666669"/>
  </r>
  <r>
    <d v="2025-12-01T08:00:00"/>
    <s v="INYECTADO"/>
    <x v="4"/>
    <x v="266"/>
    <s v="JOSDER GONZALEZ"/>
    <s v="VIRGEN"/>
    <s v="PP CLARIFICADO"/>
    <s v="."/>
    <s v="ASAS CARGA ORG 5,10,15"/>
    <s v="ASAS PRESION ORG 5,10,15 -PLOMO"/>
    <n v="1366"/>
    <n v="12"/>
    <n v="53.3"/>
    <x v="1"/>
    <m/>
    <n v="4"/>
    <m/>
    <n v="20496"/>
    <s v="PLOMO"/>
    <n v="0.3"/>
    <n v="0"/>
    <n v="0"/>
    <n v="13.66"/>
    <n v="53.3"/>
    <n v="10"/>
    <n v="5330"/>
    <x v="12"/>
    <x v="0"/>
    <n v="46"/>
    <n v="4"/>
    <n v="455.33333333333331"/>
  </r>
  <r>
    <d v="2025-12-01T08:00:00"/>
    <s v="INYECTADO"/>
    <x v="4"/>
    <x v="267"/>
    <s v="CRISALIDA ZAPATA"/>
    <s v="VIRGEN"/>
    <s v="PP CLARIFICADO"/>
    <s v="."/>
    <s v="ASAS CARGA ORG 5,10,15"/>
    <s v="ASAS PRESION ORG 5,10,15 -PLOMO"/>
    <n v="176"/>
    <n v="2"/>
    <n v="6.9"/>
    <x v="0"/>
    <m/>
    <n v="1"/>
    <m/>
    <n v="20497"/>
    <s v="PLOMO"/>
    <n v="2.5"/>
    <n v="0"/>
    <n v="0"/>
    <n v="1.76"/>
    <n v="6.9"/>
    <n v="10"/>
    <n v="690"/>
    <x v="12"/>
    <x v="0"/>
    <n v="46"/>
    <n v="4"/>
    <n v="58.666666666666664"/>
  </r>
  <r>
    <d v="2025-12-01T08:00:00"/>
    <s v="INYECTADO"/>
    <x v="4"/>
    <x v="267"/>
    <s v="CRISALIDA ZAPATA"/>
    <s v="VIRGEN"/>
    <s v="PP CLARIFICADO"/>
    <s v="."/>
    <s v="ASAS CARGA ORG 5,10,15"/>
    <s v="ASAS CARGA ORG 5,10,15 -SANDIA"/>
    <n v="864"/>
    <n v="8"/>
    <n v="33.700000000000003"/>
    <x v="0"/>
    <m/>
    <n v="2"/>
    <m/>
    <n v="20497"/>
    <s v="SANDIA"/>
    <n v="4.8"/>
    <n v="0"/>
    <n v="0"/>
    <n v="8.2080000000000002"/>
    <n v="33.700000000000003"/>
    <n v="9.5"/>
    <n v="3547.3684210526317"/>
    <x v="12"/>
    <x v="0"/>
    <n v="46"/>
    <n v="4"/>
    <n v="288"/>
  </r>
  <r>
    <d v="2025-12-01T08:00:00"/>
    <s v="INYECTADO"/>
    <x v="4"/>
    <x v="267"/>
    <s v="CRISALIDA ZAPATA"/>
    <s v="VIRGEN"/>
    <s v="PP CLARIFICADO"/>
    <s v="."/>
    <s v="ASAS CARGA ORG 5,10,15 PASTEL"/>
    <s v="ASAS CARGA ORG 5,10,15 -LILA"/>
    <n v="33"/>
    <n v="1"/>
    <n v="1.3"/>
    <x v="0"/>
    <m/>
    <n v="1"/>
    <m/>
    <n v="20497"/>
    <s v="LILA"/>
    <n v="0.3"/>
    <n v="0"/>
    <n v="0"/>
    <n v="0.3135"/>
    <n v="1.3"/>
    <n v="9.5"/>
    <n v="136.84210526315789"/>
    <x v="12"/>
    <x v="0"/>
    <n v="46"/>
    <n v="4"/>
    <n v="11"/>
  </r>
  <r>
    <d v="2025-12-01T08:00:00"/>
    <s v="INYECTADO"/>
    <x v="4"/>
    <x v="268"/>
    <s v="SILFREDO"/>
    <s v="VIRGEN"/>
    <s v="PP CLARIFICADO"/>
    <s v="."/>
    <s v="ASAS CARGA ORG 5,10,15 PASTEL"/>
    <s v="ASAS CARGA ORG 5,10,15 -LILA"/>
    <n v="566"/>
    <n v="5"/>
    <n v="22.1"/>
    <x v="0"/>
    <m/>
    <n v="2"/>
    <m/>
    <n v="20498"/>
    <s v="LILA"/>
    <n v="0.2"/>
    <n v="0"/>
    <n v="0"/>
    <n v="5.3769999999999998"/>
    <n v="22.1"/>
    <n v="9.5"/>
    <n v="2326.3157894736842"/>
    <x v="12"/>
    <x v="0"/>
    <n v="46"/>
    <n v="4"/>
    <n v="188.66666666666666"/>
  </r>
  <r>
    <d v="2025-12-01T08:00:00"/>
    <s v="INYECTADO"/>
    <x v="4"/>
    <x v="268"/>
    <s v="SILFREDO"/>
    <s v="VIRGEN"/>
    <s v="PP CLARIFICADO"/>
    <s v="."/>
    <s v="ASAS CARGA ORG 5,10,15 PASTEL"/>
    <s v="ASAS CARGA ORG 5,10,15 -TURQUESA"/>
    <n v="420"/>
    <n v="4"/>
    <n v="16.399999999999999"/>
    <x v="0"/>
    <m/>
    <n v="2"/>
    <m/>
    <n v="20498"/>
    <s v="TURQUESA"/>
    <n v="0"/>
    <n v="0"/>
    <n v="0"/>
    <n v="3.99"/>
    <n v="16.399999999999999"/>
    <n v="9.5"/>
    <n v="1726.3157894736842"/>
    <x v="12"/>
    <x v="0"/>
    <n v="46"/>
    <n v="4"/>
    <n v="140"/>
  </r>
  <r>
    <d v="2025-12-01T08:00:00"/>
    <s v="INYECTADO"/>
    <x v="4"/>
    <x v="269"/>
    <s v="CRISALIDA ZAPATA"/>
    <s v="VIRGEN"/>
    <s v="PP CLARIFICADO"/>
    <s v="."/>
    <s v="ASAS CARGA ORG 5,10,15 PASTEL"/>
    <s v="ASAS CARGA ORG 5,10,15 -TURQUESA"/>
    <n v="182"/>
    <n v="2"/>
    <n v="7.1"/>
    <x v="0"/>
    <m/>
    <n v="1"/>
    <m/>
    <n v="20499"/>
    <s v="TURQUESA"/>
    <n v="1.8"/>
    <n v="0"/>
    <n v="0"/>
    <n v="1.7290000000000001"/>
    <n v="7.1"/>
    <n v="9.5"/>
    <n v="747.36842105263156"/>
    <x v="12"/>
    <x v="0"/>
    <n v="47"/>
    <n v="4"/>
    <n v="60.666666666666664"/>
  </r>
  <r>
    <d v="2025-12-01T08:00:00"/>
    <s v="INYECTADO"/>
    <x v="4"/>
    <x v="269"/>
    <s v="CRISALIDA ZAPATA"/>
    <s v="VIRGEN"/>
    <s v="PP CLARIFICADO"/>
    <s v="."/>
    <s v="ASAS CARGA ORG 5,10,15 PASTEL"/>
    <s v="ASAS CARGA ORG 5,10,15 -CELESTE"/>
    <n v="287"/>
    <n v="3"/>
    <n v="11.5"/>
    <x v="0"/>
    <m/>
    <n v="1"/>
    <m/>
    <n v="20499"/>
    <s v="CELESTE"/>
    <n v="2.2000000000000002"/>
    <n v="0"/>
    <n v="0"/>
    <n v="2.7265000000000001"/>
    <n v="11.5"/>
    <n v="9.5"/>
    <n v="1210.5263157894738"/>
    <x v="12"/>
    <x v="0"/>
    <n v="47"/>
    <n v="4"/>
    <n v="95.666666666666671"/>
  </r>
  <r>
    <d v="2025-12-01T08:00:00"/>
    <s v="INYECTADO"/>
    <x v="4"/>
    <x v="269"/>
    <s v="CRISALIDA ZAPATA"/>
    <s v="VIRGEN"/>
    <s v="PP CLARIFICADO"/>
    <s v="."/>
    <s v="ASAS CARGA ORG 5,10,15"/>
    <s v="ASAS CARGA ORG 5,10,15 -PLOMO"/>
    <n v="600"/>
    <n v="5"/>
    <n v="24"/>
    <x v="0"/>
    <m/>
    <n v="2"/>
    <m/>
    <n v="20499"/>
    <s v="PLOMO"/>
    <n v="2.2000000000000002"/>
    <n v="0"/>
    <n v="0"/>
    <n v="5.7"/>
    <n v="24"/>
    <n v="9.5"/>
    <n v="2526.3157894736842"/>
    <x v="12"/>
    <x v="0"/>
    <n v="47"/>
    <n v="4"/>
    <n v="200"/>
  </r>
  <r>
    <d v="2025-12-01T08:00:00"/>
    <s v="INYECTADO"/>
    <x v="4"/>
    <x v="270"/>
    <s v="SILFREDO"/>
    <s v="VIRGEN"/>
    <s v="PP CLARIFICADO"/>
    <s v="."/>
    <s v="ASAS CARGA ORG 5,10,15"/>
    <s v="ASAS CARGA ORG 5,10,15 -PLOMO"/>
    <n v="610"/>
    <n v="5"/>
    <n v="23.2"/>
    <x v="0"/>
    <m/>
    <n v="2"/>
    <m/>
    <n v="23601"/>
    <s v="PLOMO"/>
    <n v="3.7"/>
    <n v="0"/>
    <n v="0"/>
    <n v="5.7949999999999999"/>
    <n v="23.2"/>
    <n v="9.5"/>
    <n v="2442.1052631578946"/>
    <x v="12"/>
    <x v="0"/>
    <n v="47"/>
    <n v="4"/>
    <n v="203.33333333333334"/>
  </r>
  <r>
    <d v="2025-12-01T08:00:00"/>
    <s v="INYECTADO"/>
    <x v="4"/>
    <x v="270"/>
    <s v="SILFREDO"/>
    <s v="VIRGEN"/>
    <s v="PP CLARIFICADO"/>
    <s v="."/>
    <s v="ASAS CARGA ORG 5,10,15 PASTEL"/>
    <s v="ASAS CARGA ORG 5,10,15 -ROSADO"/>
    <n v="507"/>
    <n v="4"/>
    <n v="19.2"/>
    <x v="0"/>
    <m/>
    <n v="2"/>
    <m/>
    <n v="23601"/>
    <s v="ROSADO"/>
    <n v="1.9"/>
    <n v="0"/>
    <n v="0"/>
    <n v="4.8164999999999996"/>
    <n v="19.2"/>
    <n v="9.5"/>
    <n v="2021.0526315789473"/>
    <x v="12"/>
    <x v="0"/>
    <n v="47"/>
    <n v="4"/>
    <n v="169"/>
  </r>
  <r>
    <d v="2025-12-01T08:00:00"/>
    <s v="INYECTADO"/>
    <x v="5"/>
    <x v="271"/>
    <s v="NESTOR"/>
    <s v="VIRGEN"/>
    <s v="ALTA INYECCION"/>
    <s v="."/>
    <s v="ASAS ORGANIZADOR 2 Y 3 SOLIDO"/>
    <s v="ASAS DE ORGANIZADOR 2 Y 3-ROJO"/>
    <n v="800"/>
    <n v="5"/>
    <n v="25.6"/>
    <x v="0"/>
    <m/>
    <n v="4"/>
    <m/>
    <n v="22565"/>
    <s v="ROJO"/>
    <n v="13.3"/>
    <n v="0"/>
    <n v="0"/>
    <n v="8.8000000000000007"/>
    <n v="25.6"/>
    <n v="11"/>
    <n v="2327.2727272727275"/>
    <x v="12"/>
    <x v="0"/>
    <n v="44"/>
    <n v="3"/>
    <n v="200"/>
  </r>
  <r>
    <d v="2025-12-01T08:00:00"/>
    <s v="INYECTADO"/>
    <x v="5"/>
    <x v="271"/>
    <s v="NESTOR"/>
    <s v="VIRGEN"/>
    <s v="ALTA INYECCION"/>
    <s v="."/>
    <s v="ASAS ORGANIZADOR 2 Y 3 SOLIDO"/>
    <s v="ASAS DE ORGANIZADOR 2 Y 3-AMARILLO"/>
    <n v="175"/>
    <n v="2"/>
    <n v="5.6"/>
    <x v="0"/>
    <m/>
    <n v="2"/>
    <m/>
    <n v="22565"/>
    <s v="AMARILLO"/>
    <n v="0.9"/>
    <n v="0"/>
    <n v="0"/>
    <n v="1.925"/>
    <n v="5.6"/>
    <n v="11"/>
    <n v="509.09090909090907"/>
    <x v="12"/>
    <x v="0"/>
    <n v="44"/>
    <n v="3"/>
    <n v="43.75"/>
  </r>
  <r>
    <d v="2025-12-01T08:00:00"/>
    <s v="INYECTADO"/>
    <x v="5"/>
    <x v="272"/>
    <s v="NESTOR"/>
    <s v="VIRGEN"/>
    <s v="ALTA INYECCION"/>
    <s v="."/>
    <s v="ASAS ORGANIZADOR 2 Y 3 SOLIDO"/>
    <s v="ASAS DE ORGANIZADOR 2 Y 3-AMARILLO"/>
    <n v="112"/>
    <n v="1"/>
    <n v="3.6"/>
    <x v="0"/>
    <m/>
    <n v="2"/>
    <m/>
    <n v="22566"/>
    <s v="AMARILLO"/>
    <n v="1.1000000000000001"/>
    <n v="0"/>
    <n v="0"/>
    <n v="1.232"/>
    <n v="3.6"/>
    <n v="11"/>
    <n v="327.27272727272725"/>
    <x v="12"/>
    <x v="0"/>
    <n v="45"/>
    <n v="3"/>
    <n v="28"/>
  </r>
  <r>
    <d v="2025-12-01T08:00:00"/>
    <s v="INYECTADO"/>
    <x v="5"/>
    <x v="267"/>
    <s v="ISABEL LINARIZ "/>
    <s v="VIRGEN"/>
    <s v="ALTA INYECCION"/>
    <s v="."/>
    <s v="ASAS ORGANIZADOR 2 Y 3 SOLIDO"/>
    <s v="ASAS DE ORGANIZADOR 2 Y 3-AMARILLO"/>
    <n v="584"/>
    <n v="5"/>
    <n v="18.7"/>
    <x v="1"/>
    <m/>
    <n v="5"/>
    <m/>
    <n v="22567"/>
    <s v="AMARILLO"/>
    <n v="6.4"/>
    <n v="0"/>
    <n v="0"/>
    <n v="6.4240000000000004"/>
    <n v="18.7"/>
    <n v="11"/>
    <n v="1700"/>
    <x v="12"/>
    <x v="0"/>
    <n v="46"/>
    <n v="3"/>
    <n v="146"/>
  </r>
  <r>
    <d v="2025-12-01T08:00:00"/>
    <s v="INYECTADO"/>
    <x v="5"/>
    <x v="267"/>
    <s v="ISABEL LINARIZ "/>
    <s v="VIRGEN"/>
    <s v="ALTA INYECCION"/>
    <s v="."/>
    <s v="ASAS ORGANIZADOR 2 Y 3 SOLIDO"/>
    <s v="ASAS DE ORGANIZADOR 2 Y 3-ROJO"/>
    <n v="1018"/>
    <n v="6"/>
    <n v="32.6"/>
    <x v="1"/>
    <m/>
    <n v="3"/>
    <m/>
    <n v="22567"/>
    <s v="ROJO"/>
    <n v="16.100000000000001"/>
    <n v="0"/>
    <n v="0"/>
    <n v="11.198"/>
    <n v="32.6"/>
    <n v="11"/>
    <n v="2963.6363636363635"/>
    <x v="12"/>
    <x v="0"/>
    <n v="46"/>
    <n v="3"/>
    <n v="254.5"/>
  </r>
  <r>
    <d v="2025-12-01T08:00:00"/>
    <s v="INYECTADO"/>
    <x v="5"/>
    <x v="268"/>
    <s v="JUANA CRUCES"/>
    <s v="VIRGEN"/>
    <s v="ALTA INYECCION"/>
    <s v="."/>
    <s v="ASAS ORGANIZADOR 2 Y 3 SOLIDO"/>
    <s v="ASAS DE ORGANIZADOR 2 Y 3-ROJO"/>
    <n v="346"/>
    <n v="3"/>
    <n v="11.1"/>
    <x v="0"/>
    <m/>
    <n v="2"/>
    <m/>
    <n v="22568"/>
    <s v="ROJO"/>
    <n v="7.4"/>
    <n v="0"/>
    <n v="0"/>
    <n v="3.806"/>
    <n v="11.1"/>
    <n v="11"/>
    <n v="1009.0909090909091"/>
    <x v="12"/>
    <x v="0"/>
    <n v="46"/>
    <n v="3"/>
    <n v="86.5"/>
  </r>
  <r>
    <d v="2025-12-01T08:00:00"/>
    <s v="INYECTADO"/>
    <x v="5"/>
    <x v="268"/>
    <s v="JUANA CRUCES"/>
    <s v="VIRGEN"/>
    <s v="ALTA INYECCION"/>
    <s v="."/>
    <s v="ASAS ORGANIZADOR 2 Y 3 SOLIDO"/>
    <s v="ASAS DE ORGANIZADOR 2 Y 3-LILA"/>
    <n v="1218"/>
    <n v="8"/>
    <n v="39"/>
    <x v="0"/>
    <m/>
    <n v="5"/>
    <m/>
    <n v="22568"/>
    <s v="LILA"/>
    <n v="12.9"/>
    <n v="0"/>
    <n v="0"/>
    <n v="13.398"/>
    <n v="39"/>
    <n v="11"/>
    <n v="3545.4545454545455"/>
    <x v="12"/>
    <x v="0"/>
    <n v="46"/>
    <n v="3"/>
    <n v="304.5"/>
  </r>
  <r>
    <d v="2025-12-01T08:00:00"/>
    <s v="INYECTADO"/>
    <x v="5"/>
    <x v="269"/>
    <s v="NESTOR"/>
    <s v="VIRGEN"/>
    <s v="ALTA INYECCION"/>
    <s v="."/>
    <s v="ASAS ORGANIZADOR 2 Y 3 SOLIDO"/>
    <s v="ASAS DE ORGANIZADOR 2 Y 3-VERDE"/>
    <n v="1125"/>
    <n v="8"/>
    <n v="36"/>
    <x v="0"/>
    <m/>
    <n v="5"/>
    <m/>
    <n v="22569"/>
    <s v="VERDE"/>
    <n v="16.5"/>
    <n v="0"/>
    <n v="0"/>
    <n v="12.375"/>
    <n v="36"/>
    <n v="11"/>
    <n v="3272.7272727272725"/>
    <x v="12"/>
    <x v="0"/>
    <n v="47"/>
    <n v="3"/>
    <n v="281.25"/>
  </r>
  <r>
    <d v="2025-12-01T08:00:00"/>
    <s v="INYECTADO"/>
    <x v="5"/>
    <x v="269"/>
    <s v="NESTOR"/>
    <s v="VIRGEN"/>
    <s v="ALTA INYECCION"/>
    <s v="."/>
    <s v="ASAS ORGANIZADOR 2 Y 3 PASTEL"/>
    <s v="ASAS DE ORGANIZADOR 2 Y 3-SANDIA"/>
    <n v="165"/>
    <n v="2"/>
    <n v="5.3"/>
    <x v="0"/>
    <m/>
    <n v="2"/>
    <m/>
    <n v="22569"/>
    <s v="SANDIA"/>
    <n v="3.3"/>
    <n v="0"/>
    <n v="0"/>
    <n v="1.8149999999999999"/>
    <n v="5.3"/>
    <n v="11"/>
    <n v="481.81818181818181"/>
    <x v="12"/>
    <x v="0"/>
    <n v="47"/>
    <n v="3"/>
    <n v="41.25"/>
  </r>
  <r>
    <d v="2025-12-01T08:00:00"/>
    <s v="INYECTADO"/>
    <x v="0"/>
    <x v="271"/>
    <s v="SILFREDO"/>
    <s v="VIRGEN"/>
    <s v="PP CLARIFICADO"/>
    <s v="."/>
    <s v="TAPA SALSEROS MULTIUSO"/>
    <s v="TAPA SALSERO MULTIUSO-AMARILLO"/>
    <n v="859"/>
    <n v="7"/>
    <n v="67.900000000000006"/>
    <x v="0"/>
    <m/>
    <n v="8"/>
    <m/>
    <n v="21797"/>
    <s v="AMARILLO"/>
    <n v="9.4"/>
    <n v="0"/>
    <n v="0"/>
    <n v="8.59"/>
    <n v="67.900000000000006"/>
    <n v="10"/>
    <n v="6790"/>
    <x v="12"/>
    <x v="0"/>
    <n v="44"/>
    <n v="6"/>
    <n v="429.5"/>
  </r>
  <r>
    <d v="2025-12-01T08:00:00"/>
    <s v="INYECTADO"/>
    <x v="0"/>
    <x v="271"/>
    <s v="MARJORIE VILCHEZ"/>
    <s v="VIRGEN"/>
    <s v="PP CLARIFICADO"/>
    <s v="."/>
    <s v="TAPA SALSEROS MULTIUSO"/>
    <s v="TAPA SALSERO MULTIUSO-AMARILLO"/>
    <n v="842"/>
    <n v="8"/>
    <n v="65.7"/>
    <x v="1"/>
    <m/>
    <n v="8"/>
    <m/>
    <n v="21798"/>
    <s v="AMARILLO"/>
    <n v="9.1999999999999993"/>
    <n v="0"/>
    <n v="0"/>
    <n v="8.42"/>
    <n v="65.7"/>
    <n v="10"/>
    <n v="6570"/>
    <x v="12"/>
    <x v="0"/>
    <n v="44"/>
    <n v="6"/>
    <n v="421"/>
  </r>
  <r>
    <d v="2025-12-01T08:00:00"/>
    <s v="INYECTADO"/>
    <x v="0"/>
    <x v="273"/>
    <s v="KARLA HUISA"/>
    <s v="VIRGEN"/>
    <s v="PP CLARIFICADO"/>
    <s v="."/>
    <s v="TAPA SALSEROS MULTIUSO"/>
    <s v="TAPA SALSERO MULTIUSO-AMARILLO"/>
    <n v="428"/>
    <n v="5"/>
    <n v="33.4"/>
    <x v="0"/>
    <m/>
    <n v="5"/>
    <m/>
    <n v="21799"/>
    <s v="AMARILLO"/>
    <n v="5.6"/>
    <n v="0"/>
    <n v="0"/>
    <n v="4.28"/>
    <n v="33.4"/>
    <n v="10"/>
    <n v="3340"/>
    <x v="12"/>
    <x v="0"/>
    <n v="44"/>
    <n v="6"/>
    <n v="214"/>
  </r>
  <r>
    <d v="2025-12-01T08:00:00"/>
    <s v="INYECTADO"/>
    <x v="0"/>
    <x v="273"/>
    <s v="KARLA HUISA"/>
    <s v="VIRGEN"/>
    <s v="PP CLARIFICADO"/>
    <s v="."/>
    <s v="TAPA SALSEROS MULTIUSO"/>
    <s v="TAPA SALSERO MULTIUSO-VERDE"/>
    <n v="419"/>
    <n v="4"/>
    <n v="32.700000000000003"/>
    <x v="0"/>
    <m/>
    <n v="4"/>
    <m/>
    <n v="21799"/>
    <s v="VERDE"/>
    <n v="5.4"/>
    <n v="0"/>
    <n v="0"/>
    <n v="4.1900000000000004"/>
    <n v="32.700000000000003"/>
    <n v="10"/>
    <n v="3270.0000000000005"/>
    <x v="12"/>
    <x v="0"/>
    <n v="44"/>
    <n v="6"/>
    <n v="209.5"/>
  </r>
  <r>
    <d v="2025-12-01T08:00:00"/>
    <s v="INYECTADO"/>
    <x v="0"/>
    <x v="272"/>
    <s v="LEONOR GUTIERREZ"/>
    <s v="VIRGEN"/>
    <s v="PP CLARIFICADO"/>
    <s v="."/>
    <s v="TAPA SALSEROS MULTIUSO"/>
    <s v="TAPA SALSERO MULTIUSO-VERDE"/>
    <n v="1283"/>
    <n v="11"/>
    <n v="100.1"/>
    <x v="0"/>
    <m/>
    <n v="11"/>
    <m/>
    <n v="21800"/>
    <s v="VERDE"/>
    <n v="13.8"/>
    <n v="0"/>
    <n v="0"/>
    <n v="12.83"/>
    <n v="100.1"/>
    <n v="10"/>
    <n v="10010"/>
    <x v="12"/>
    <x v="0"/>
    <n v="45"/>
    <n v="6"/>
    <n v="641.5"/>
  </r>
  <r>
    <d v="2025-12-01T08:00:00"/>
    <s v="INYECTADO"/>
    <x v="0"/>
    <x v="272"/>
    <s v="JUAN MANUEL"/>
    <s v="VIRGEN"/>
    <s v="PP CLARIFICADO"/>
    <s v="."/>
    <s v="TAPA SALSEROS MULTIUSO"/>
    <s v="TAPA SALSERO MULTIUSO-VERDE"/>
    <n v="90"/>
    <n v="1"/>
    <n v="7"/>
    <x v="1"/>
    <m/>
    <n v="1"/>
    <m/>
    <n v="23301"/>
    <s v="VERDE"/>
    <n v="1"/>
    <n v="0"/>
    <n v="0"/>
    <n v="0.9"/>
    <n v="7"/>
    <n v="10"/>
    <n v="700"/>
    <x v="12"/>
    <x v="0"/>
    <n v="45"/>
    <n v="6"/>
    <n v="45"/>
  </r>
  <r>
    <d v="2025-12-01T08:00:00"/>
    <s v="INYECTADO"/>
    <x v="0"/>
    <x v="274"/>
    <s v="NESTOR"/>
    <s v="VIRGEN"/>
    <s v="PP CLARIFICADO"/>
    <s v="."/>
    <s v="TAPA SALSEROS MULTIUSO"/>
    <s v="TAPA SALSERO MULTIUSO-VERDE"/>
    <n v="1215"/>
    <n v="11"/>
    <n v="96"/>
    <x v="0"/>
    <m/>
    <n v="13"/>
    <m/>
    <n v="23302"/>
    <s v="VERDE"/>
    <n v="12.2"/>
    <n v="0"/>
    <n v="0"/>
    <n v="12.15"/>
    <n v="96"/>
    <n v="10"/>
    <n v="9600"/>
    <x v="12"/>
    <x v="0"/>
    <n v="45"/>
    <n v="6"/>
    <n v="607.5"/>
  </r>
  <r>
    <d v="2025-12-01T08:00:00"/>
    <s v="INYECTADO"/>
    <x v="0"/>
    <x v="274"/>
    <s v="MARJORIE VILCHEZ"/>
    <s v="VIRGEN"/>
    <s v="PP CLARIFICADO"/>
    <s v="."/>
    <s v="TAPA SALSEROS MULTIUSO"/>
    <s v="TAPA SALSERO MULTIUSO-ROJO"/>
    <n v="1347"/>
    <n v="12"/>
    <n v="105.1"/>
    <x v="1"/>
    <m/>
    <n v="12"/>
    <m/>
    <n v="23303"/>
    <s v="ROJO"/>
    <n v="11.9"/>
    <n v="0"/>
    <n v="0"/>
    <n v="13.47"/>
    <n v="105.1"/>
    <n v="10"/>
    <n v="10510"/>
    <x v="12"/>
    <x v="0"/>
    <n v="45"/>
    <n v="6"/>
    <n v="673.5"/>
  </r>
  <r>
    <d v="2025-12-01T08:00:00"/>
    <s v="INYECTADO"/>
    <x v="0"/>
    <x v="275"/>
    <s v="KARLA HUISA"/>
    <s v="VIRGEN"/>
    <s v="PP CLARIFICADO"/>
    <s v="."/>
    <s v="TAPA SALSEROS MULTIUSO"/>
    <s v="TAPA SALSERO MULTIUSO-ROJO"/>
    <n v="1273"/>
    <n v="11"/>
    <n v="99.3"/>
    <x v="0"/>
    <m/>
    <n v="10"/>
    <m/>
    <n v="23304"/>
    <s v="ROJO"/>
    <n v="14.4"/>
    <n v="0"/>
    <n v="0"/>
    <n v="12.73"/>
    <n v="99.3"/>
    <n v="10"/>
    <n v="9930"/>
    <x v="12"/>
    <x v="0"/>
    <n v="45"/>
    <n v="6"/>
    <n v="636.5"/>
  </r>
  <r>
    <d v="2025-12-01T08:00:00"/>
    <s v="INYECTADO"/>
    <x v="0"/>
    <x v="275"/>
    <s v="JOSDER GONZALEZ"/>
    <s v="VIRGEN"/>
    <s v="PP CLARIFICADO"/>
    <s v="."/>
    <s v="TAPA SALSEROS MULTIUSO"/>
    <s v="TAPA SALSERO MULTIUSO-ROJO"/>
    <n v="353"/>
    <n v="3"/>
    <n v="27.6"/>
    <x v="1"/>
    <m/>
    <n v="3"/>
    <m/>
    <n v="23305"/>
    <s v="ROJO"/>
    <n v="8"/>
    <n v="0"/>
    <n v="0"/>
    <n v="3.53"/>
    <n v="27.6"/>
    <n v="10"/>
    <n v="2760"/>
    <x v="12"/>
    <x v="0"/>
    <n v="45"/>
    <n v="6"/>
    <n v="176.5"/>
  </r>
  <r>
    <d v="2025-12-01T08:00:00"/>
    <s v="INYECTADO"/>
    <x v="0"/>
    <x v="275"/>
    <s v="JOSDER GONZALEZ"/>
    <s v="VIRGEN"/>
    <s v="PP CLARIFICADO"/>
    <s v="."/>
    <s v="TAPA SALSEROS MULTIUSO"/>
    <s v="TAPA SALSERO MULTIUSO-BLANCO"/>
    <n v="1089"/>
    <n v="9"/>
    <n v="85"/>
    <x v="1"/>
    <m/>
    <n v="9"/>
    <m/>
    <n v="23305"/>
    <s v="BLANCO"/>
    <n v="10.4"/>
    <n v="0"/>
    <n v="0"/>
    <n v="10.89"/>
    <n v="85"/>
    <n v="10"/>
    <n v="8500"/>
    <x v="12"/>
    <x v="0"/>
    <n v="45"/>
    <n v="6"/>
    <n v="544.5"/>
  </r>
  <r>
    <d v="2025-12-01T08:00:00"/>
    <s v="INYECTADO"/>
    <x v="0"/>
    <x v="276"/>
    <s v="CRISALIDA ZAPATA"/>
    <s v="VIRGEN"/>
    <s v="PP CLARIFICADO"/>
    <s v="."/>
    <s v="TAPA SALSEROS MULTIUSO"/>
    <s v="TAPA SALSERO MULTIUSO-BLANCO"/>
    <n v="1300"/>
    <n v="11"/>
    <n v="101.4"/>
    <x v="0"/>
    <m/>
    <n v="11"/>
    <m/>
    <n v="23306"/>
    <s v="BLANCO"/>
    <n v="14.2"/>
    <n v="0"/>
    <n v="0"/>
    <n v="13"/>
    <n v="101.4"/>
    <n v="10"/>
    <n v="10140"/>
    <x v="12"/>
    <x v="0"/>
    <n v="45"/>
    <n v="6"/>
    <n v="650"/>
  </r>
  <r>
    <d v="2025-12-01T08:00:00"/>
    <s v="INYECTADO"/>
    <x v="0"/>
    <x v="276"/>
    <s v="ISABEL LINARIZ "/>
    <s v="VIRGEN"/>
    <s v="PP CLARIFICADO"/>
    <s v="."/>
    <s v="TAPA SALSEROS MULTIUSO"/>
    <s v="TAPA SALSERO MULTIUSO-BLANCO"/>
    <n v="471"/>
    <n v="4"/>
    <n v="36.799999999999997"/>
    <x v="1"/>
    <m/>
    <n v="5"/>
    <m/>
    <n v="23307"/>
    <s v="BLANCO"/>
    <n v="4.9000000000000004"/>
    <n v="0"/>
    <n v="0"/>
    <n v="4.71"/>
    <n v="36.799999999999997"/>
    <n v="10"/>
    <n v="3680"/>
    <x v="12"/>
    <x v="0"/>
    <n v="45"/>
    <n v="6"/>
    <n v="235.5"/>
  </r>
  <r>
    <d v="2025-12-01T08:00:00"/>
    <s v="INYECTADO"/>
    <x v="0"/>
    <x v="276"/>
    <s v="ISABEL LINARIZ "/>
    <s v="VIRGEN"/>
    <s v="PP CLARIFICADO"/>
    <s v="."/>
    <s v="TAPA SALSEROS MULTIUSO"/>
    <s v="TAPA SALSERO MULTIUSO-AMARILLO"/>
    <n v="674"/>
    <n v="5"/>
    <n v="53.3"/>
    <x v="1"/>
    <m/>
    <n v="7"/>
    <m/>
    <n v="23307"/>
    <s v="AMARILLO"/>
    <n v="6.8"/>
    <n v="0"/>
    <n v="0"/>
    <n v="6.74"/>
    <n v="53.3"/>
    <n v="10"/>
    <n v="5330"/>
    <x v="12"/>
    <x v="0"/>
    <n v="45"/>
    <n v="6"/>
    <n v="337"/>
  </r>
  <r>
    <d v="2025-12-01T08:00:00"/>
    <s v="INYECTADO"/>
    <x v="1"/>
    <x v="272"/>
    <s v="NELSON"/>
    <s v="VIRGEN"/>
    <s v="PP CLARIFICADO"/>
    <s v="."/>
    <s v="LAVACUELA REDONDO"/>
    <s v="LAVACUELA REDONDO-MELON"/>
    <n v="850"/>
    <n v="6"/>
    <n v="79.099999999999994"/>
    <x v="0"/>
    <m/>
    <n v="7"/>
    <m/>
    <n v="21626"/>
    <s v="MELON"/>
    <n v="1.8"/>
    <n v="0"/>
    <n v="0"/>
    <n v="78.625"/>
    <n v="79.099999999999994"/>
    <n v="92.5"/>
    <n v="855.1351351351351"/>
    <x v="12"/>
    <x v="0"/>
    <n v="45"/>
    <n v="1"/>
    <n v="70.833333333333329"/>
  </r>
  <r>
    <d v="2025-12-01T08:00:00"/>
    <s v="INYECTADO"/>
    <x v="1"/>
    <x v="272"/>
    <s v="ISABEL LINARIZ "/>
    <s v="VIRGEN"/>
    <s v="PP CLARIFICADO"/>
    <s v="."/>
    <s v="LAVACUELA REDONDO"/>
    <s v="LAVACUELA REDONDO-MELON"/>
    <n v="224"/>
    <n v="2"/>
    <n v="20.9"/>
    <x v="1"/>
    <m/>
    <n v="2"/>
    <m/>
    <n v="21627"/>
    <s v="MELON"/>
    <n v="4.7"/>
    <n v="0"/>
    <n v="0"/>
    <n v="20.72"/>
    <n v="20.9"/>
    <n v="92.5"/>
    <n v="225.94594594594594"/>
    <x v="12"/>
    <x v="0"/>
    <n v="45"/>
    <n v="1"/>
    <n v="18.666666666666668"/>
  </r>
  <r>
    <d v="2025-12-01T08:00:00"/>
    <s v="INYECTADO"/>
    <x v="1"/>
    <x v="272"/>
    <s v="ISABEL LINARIZ "/>
    <s v="VIRGEN"/>
    <s v="PP CLARIFICADO"/>
    <s v="."/>
    <s v="LAVACUELA REDONDO"/>
    <s v="LAVACUELA REDONDO-ROSADO"/>
    <n v="1097"/>
    <n v="8"/>
    <n v="102.1"/>
    <x v="1"/>
    <m/>
    <n v="9"/>
    <m/>
    <n v="21627"/>
    <s v="ROSADO"/>
    <n v="1.5"/>
    <n v="0"/>
    <n v="0"/>
    <n v="101.4725"/>
    <n v="102.1"/>
    <n v="92.5"/>
    <n v="1103.7837837837837"/>
    <x v="12"/>
    <x v="0"/>
    <n v="45"/>
    <n v="1"/>
    <n v="91.416666666666671"/>
  </r>
  <r>
    <d v="2025-12-01T08:00:00"/>
    <s v="INYECTADO"/>
    <x v="1"/>
    <x v="274"/>
    <s v="CARLOS SULCA"/>
    <s v="VIRGEN"/>
    <s v="PP CLARIFICADO"/>
    <s v="."/>
    <s v="LAVACUELA REDONDO"/>
    <s v="LAVACUELA REDONDO-CREMA"/>
    <n v="240"/>
    <n v="3"/>
    <n v="22.4"/>
    <x v="0"/>
    <m/>
    <n v="2"/>
    <m/>
    <n v="21628"/>
    <s v="CREMA"/>
    <n v="1.5"/>
    <n v="0"/>
    <n v="0"/>
    <n v="22.2"/>
    <n v="22.4"/>
    <n v="92.5"/>
    <n v="242.16216216216216"/>
    <x v="12"/>
    <x v="0"/>
    <n v="45"/>
    <n v="1"/>
    <n v="20"/>
  </r>
  <r>
    <d v="2025-12-01T08:00:00"/>
    <s v="INYECTADO"/>
    <x v="1"/>
    <x v="274"/>
    <s v="GABRIEL REQUENA"/>
    <s v="VIRGEN"/>
    <s v="PP CLARIFICADO"/>
    <s v="."/>
    <s v="LAVACUELA REDONDO"/>
    <s v="LAVACUELA REDONDO-CREMA"/>
    <n v="822"/>
    <n v="7"/>
    <n v="76.7"/>
    <x v="1"/>
    <m/>
    <n v="7"/>
    <m/>
    <n v="21629"/>
    <s v="CREMA"/>
    <n v="1.4"/>
    <n v="0"/>
    <n v="0"/>
    <n v="76.034999999999997"/>
    <n v="76.7"/>
    <n v="92.5"/>
    <n v="829.18918918918916"/>
    <x v="12"/>
    <x v="0"/>
    <n v="45"/>
    <n v="1"/>
    <n v="68.5"/>
  </r>
  <r>
    <d v="2025-12-01T08:00:00"/>
    <s v="INYECTADO"/>
    <x v="1"/>
    <x v="274"/>
    <s v="GABRIEL REQUENA"/>
    <s v="VIRGEN"/>
    <s v="PP CLARIFICADO"/>
    <s v="."/>
    <s v="LAVACUELA REDONDO"/>
    <s v="LAVACUELA REDONDO-TURQUESA"/>
    <n v="543"/>
    <n v="5"/>
    <n v="50.7"/>
    <x v="1"/>
    <m/>
    <n v="5"/>
    <m/>
    <n v="21629"/>
    <s v="TURQUESA"/>
    <n v="0.8"/>
    <n v="0"/>
    <n v="0"/>
    <n v="50.227499999999999"/>
    <n v="50.7"/>
    <n v="92.5"/>
    <n v="548.10810810810813"/>
    <x v="12"/>
    <x v="0"/>
    <n v="45"/>
    <n v="1"/>
    <n v="45.25"/>
  </r>
  <r>
    <d v="2025-12-01T08:00:00"/>
    <s v="INYECTADO"/>
    <x v="1"/>
    <x v="275"/>
    <s v="JUANA CRUCES"/>
    <s v="VIRGEN"/>
    <s v="PP CLARIFICADO"/>
    <s v="."/>
    <s v="LAVACUELA REDONDO"/>
    <s v="LAVACUELA REDONDO-TURQUESA"/>
    <n v="525"/>
    <n v="5"/>
    <n v="48.9"/>
    <x v="0"/>
    <m/>
    <n v="5"/>
    <m/>
    <n v="21630"/>
    <s v="TURQUESA"/>
    <n v="9.6999999999999993"/>
    <n v="0"/>
    <n v="0"/>
    <n v="48.5625"/>
    <n v="48.9"/>
    <n v="92.5"/>
    <n v="528.64864864864865"/>
    <x v="12"/>
    <x v="0"/>
    <n v="45"/>
    <n v="1"/>
    <n v="43.75"/>
  </r>
  <r>
    <d v="2025-12-01T08:00:00"/>
    <s v="INYECTADO"/>
    <x v="1"/>
    <x v="275"/>
    <s v="JUANA CRUCES"/>
    <s v="VIRGEN"/>
    <s v="PP CLARIFICADO"/>
    <s v="."/>
    <s v="LAVACUELA REDONDO"/>
    <s v="LAVACUELA REDONDO-VERDE"/>
    <n v="820"/>
    <n v="6"/>
    <n v="76.3"/>
    <x v="0"/>
    <m/>
    <n v="7"/>
    <m/>
    <n v="21630"/>
    <s v="VERDE"/>
    <n v="3.1"/>
    <n v="0"/>
    <n v="0"/>
    <n v="75.849999999999994"/>
    <n v="76.3"/>
    <n v="92.5"/>
    <n v="824.8648648648649"/>
    <x v="12"/>
    <x v="0"/>
    <n v="45"/>
    <n v="1"/>
    <n v="68.333333333333329"/>
  </r>
  <r>
    <d v="2025-12-01T08:00:00"/>
    <s v="INYECTADO"/>
    <x v="1"/>
    <x v="275"/>
    <s v="GABRIEL REQUENA"/>
    <s v="VIRGEN"/>
    <s v="PP CLARIFICADO"/>
    <s v="."/>
    <s v="LAVACUELA REDONDO"/>
    <s v="LAVACUELA REDONDO-VERDE"/>
    <n v="213"/>
    <n v="2"/>
    <n v="19.899999999999999"/>
    <x v="1"/>
    <m/>
    <n v="3"/>
    <m/>
    <n v="21631"/>
    <s v="VERDE"/>
    <n v="1.1000000000000001"/>
    <n v="0"/>
    <n v="0"/>
    <n v="19.702500000000001"/>
    <n v="19.899999999999999"/>
    <n v="92.5"/>
    <n v="215.13513513513513"/>
    <x v="12"/>
    <x v="0"/>
    <n v="45"/>
    <n v="1"/>
    <n v="17.75"/>
  </r>
  <r>
    <d v="2025-12-01T08:00:00"/>
    <s v="INYECTADO"/>
    <x v="1"/>
    <x v="275"/>
    <s v="GABRIEL REQUENA"/>
    <s v="VIRGEN"/>
    <s v="PP CLARIFICADO"/>
    <s v="."/>
    <s v="LAVACUELA REDONDO"/>
    <s v="LAVACUELA REDONDO-LILA"/>
    <n v="1079"/>
    <n v="10"/>
    <n v="100.4"/>
    <x v="1"/>
    <m/>
    <n v="9"/>
    <m/>
    <n v="21631"/>
    <s v="LILA"/>
    <n v="2.2000000000000002"/>
    <n v="0"/>
    <n v="0"/>
    <n v="99.807500000000005"/>
    <n v="100.4"/>
    <n v="92.5"/>
    <n v="1085.4054054054054"/>
    <x v="12"/>
    <x v="0"/>
    <n v="45"/>
    <n v="1"/>
    <n v="89.916666666666671"/>
  </r>
  <r>
    <d v="2025-12-01T08:00:00"/>
    <s v="INYECTADO"/>
    <x v="1"/>
    <x v="263"/>
    <s v="LEONOR GUTIERREZ"/>
    <s v="VIRGEN"/>
    <s v="ALTA INYECCION"/>
    <s v="."/>
    <s v="JARRA PATTY"/>
    <s v="JARRA PATTY-BLANCO"/>
    <n v="696"/>
    <n v="6"/>
    <n v="38.299999999999997"/>
    <x v="0"/>
    <m/>
    <n v="3"/>
    <m/>
    <n v="21632"/>
    <s v="BLANCO"/>
    <n v="5.2"/>
    <n v="0"/>
    <n v="0"/>
    <n v="19.488"/>
    <n v="38.299999999999997"/>
    <n v="28"/>
    <n v="1367.8571428571429"/>
    <x v="12"/>
    <x v="0"/>
    <n v="45"/>
    <n v="2"/>
    <n v="116"/>
  </r>
  <r>
    <d v="2025-12-01T08:00:00"/>
    <s v="INYECTADO"/>
    <x v="1"/>
    <x v="264"/>
    <s v="LEONOR GUTIERREZ"/>
    <s v="VIRGEN"/>
    <s v="ALTA INYECCION"/>
    <s v="."/>
    <s v="JARRA PATTY"/>
    <s v="JARRA PATTY-BLANCO"/>
    <n v="1253"/>
    <n v="11"/>
    <n v="70.2"/>
    <x v="1"/>
    <m/>
    <n v="5"/>
    <m/>
    <n v="21633"/>
    <s v="BLANCO"/>
    <n v="5.3"/>
    <n v="0"/>
    <n v="0"/>
    <n v="35.084000000000003"/>
    <n v="70.2"/>
    <n v="28"/>
    <n v="2507.1428571428573"/>
    <x v="12"/>
    <x v="0"/>
    <n v="46"/>
    <n v="2"/>
    <n v="208.83333333333334"/>
  </r>
  <r>
    <d v="2025-12-01T08:00:00"/>
    <s v="INYECTADO"/>
    <x v="1"/>
    <x v="265"/>
    <s v="LEONOR GUTIERREZ"/>
    <s v="VIRGEN"/>
    <s v="ALTA INYECCION"/>
    <s v="."/>
    <s v="JARRA PATTY"/>
    <s v="JARRA PATTY-BLANCO"/>
    <n v="1232"/>
    <n v="11"/>
    <n v="67.8"/>
    <x v="0"/>
    <m/>
    <n v="4"/>
    <m/>
    <n v="21634"/>
    <s v="BLANCO"/>
    <n v="6.1"/>
    <n v="0"/>
    <n v="0"/>
    <n v="34.496000000000002"/>
    <n v="67.8"/>
    <n v="28"/>
    <n v="2421.4285714285716"/>
    <x v="12"/>
    <x v="0"/>
    <n v="46"/>
    <n v="2"/>
    <n v="205.33333333333334"/>
  </r>
  <r>
    <d v="2025-12-01T08:00:00"/>
    <s v="INYECTADO"/>
    <x v="1"/>
    <x v="266"/>
    <s v="CARLOS SULCA"/>
    <s v="VIRGEN"/>
    <s v="ALTA INYECCION"/>
    <s v="."/>
    <s v="JARRA PATTY"/>
    <s v="JARRA PATTY-BLANCO"/>
    <n v="520"/>
    <n v="5"/>
    <n v="28.6"/>
    <x v="0"/>
    <m/>
    <n v="2"/>
    <m/>
    <n v="21635"/>
    <s v="BLANCO"/>
    <n v="2.5"/>
    <n v="0"/>
    <n v="0"/>
    <n v="14.56"/>
    <n v="28.6"/>
    <n v="28"/>
    <n v="1021.4285714285714"/>
    <x v="12"/>
    <x v="0"/>
    <n v="46"/>
    <n v="2"/>
    <n v="86.666666666666671"/>
  </r>
  <r>
    <d v="2025-12-01T08:00:00"/>
    <s v="INYECTADO"/>
    <x v="1"/>
    <x v="266"/>
    <s v="ISABEL LINARIZ "/>
    <s v="VIRGEN"/>
    <s v="ALTA INYECCION"/>
    <s v="."/>
    <s v="JARRA PATTY"/>
    <s v="JARRA PATTY-BLANCO"/>
    <n v="343"/>
    <n v="4"/>
    <n v="18.899999999999999"/>
    <x v="1"/>
    <m/>
    <n v="1"/>
    <m/>
    <n v="21636"/>
    <s v="BLANCO"/>
    <n v="3.4"/>
    <n v="0"/>
    <n v="0"/>
    <n v="9.6039999999999992"/>
    <n v="18.899999999999999"/>
    <n v="28"/>
    <n v="675"/>
    <x v="12"/>
    <x v="0"/>
    <n v="46"/>
    <n v="2"/>
    <n v="57.166666666666664"/>
  </r>
  <r>
    <d v="2025-12-01T08:00:00"/>
    <s v="INYECTADO"/>
    <x v="1"/>
    <x v="267"/>
    <s v="NESTOR"/>
    <s v="VIRGEN"/>
    <s v="ALTA INYECCION"/>
    <s v="."/>
    <s v="JARRA PATTY"/>
    <s v="JARRA PATTY-BLANCO"/>
    <n v="1190"/>
    <n v="11"/>
    <n v="65.5"/>
    <x v="0"/>
    <m/>
    <n v="4"/>
    <m/>
    <n v="21637"/>
    <s v="BLANCO"/>
    <n v="4.7"/>
    <n v="0"/>
    <n v="0"/>
    <n v="33.32"/>
    <n v="65.5"/>
    <n v="28"/>
    <n v="2339.2857142857142"/>
    <x v="12"/>
    <x v="0"/>
    <n v="46"/>
    <n v="2"/>
    <n v="198.33333333333334"/>
  </r>
  <r>
    <d v="2025-12-01T08:00:00"/>
    <s v="INYECTADO"/>
    <x v="6"/>
    <x v="271"/>
    <s v="JUANA CRUCES"/>
    <s v="VIRGEN"/>
    <s v="ALTA INYECCION"/>
    <s v="."/>
    <s v="SET DE COCINA ANITA"/>
    <s v="SET DE COCINA ANITA-MELON"/>
    <n v="700"/>
    <n v="9"/>
    <n v="87.5"/>
    <x v="0"/>
    <m/>
    <n v="5"/>
    <n v="1296"/>
    <n v="22863"/>
    <s v="MELON"/>
    <n v="17.2"/>
    <n v="0"/>
    <n v="0"/>
    <n v="89.6"/>
    <n v="87.5"/>
    <n v="128"/>
    <n v="683.59375"/>
    <x v="12"/>
    <x v="0"/>
    <n v="44"/>
    <n v="1"/>
    <n v="58.333333333333336"/>
  </r>
  <r>
    <d v="2025-12-01T08:00:00"/>
    <s v="INYECTADO"/>
    <x v="6"/>
    <x v="271"/>
    <s v="ISABEL LINARIZ "/>
    <s v="VIRGEN"/>
    <s v="ALTA INYECCION"/>
    <s v="."/>
    <s v="SET DE COCINA ANITA"/>
    <s v="SET DE COCINA ANITA-MELON"/>
    <n v="111"/>
    <n v="2"/>
    <n v="22.8"/>
    <x v="1"/>
    <m/>
    <n v="3"/>
    <n v="1296"/>
    <n v="22864"/>
    <s v="MELON"/>
    <n v="6.1"/>
    <n v="0"/>
    <n v="0"/>
    <n v="14.208"/>
    <n v="22.8"/>
    <n v="128"/>
    <n v="178.125"/>
    <x v="12"/>
    <x v="0"/>
    <n v="44"/>
    <n v="1"/>
    <n v="9.25"/>
  </r>
  <r>
    <d v="2025-12-01T08:00:00"/>
    <s v="INYECTADO"/>
    <x v="6"/>
    <x v="271"/>
    <s v="ISABEL LINARIZ "/>
    <s v="VIRGEN"/>
    <s v="ALTA INYECCION"/>
    <s v="."/>
    <s v="SET DE COCINA ANITA"/>
    <s v="SET DE COCINA ANITA-LILA"/>
    <n v="298"/>
    <n v="4"/>
    <n v="36.6"/>
    <x v="1"/>
    <m/>
    <n v="3"/>
    <n v="1296"/>
    <n v="22864"/>
    <s v="LILA"/>
    <n v="9"/>
    <n v="0"/>
    <n v="0"/>
    <n v="38.143999999999998"/>
    <n v="36.6"/>
    <n v="128"/>
    <n v="285.9375"/>
    <x v="12"/>
    <x v="0"/>
    <n v="44"/>
    <n v="1"/>
    <n v="24.833333333333332"/>
  </r>
  <r>
    <d v="2025-12-01T08:00:00"/>
    <s v="INYECTADO"/>
    <x v="6"/>
    <x v="273"/>
    <s v="BRAYAN PINEDO"/>
    <s v="VIRGEN"/>
    <s v="ALTA INYECCION"/>
    <s v="."/>
    <s v="SET DE COCINA ANITA"/>
    <s v="SET DE COCINA ANITA-LILA"/>
    <n v="581"/>
    <n v="8"/>
    <n v="72.599999999999994"/>
    <x v="0"/>
    <m/>
    <n v="4"/>
    <n v="1296"/>
    <n v="22865"/>
    <s v="LILA"/>
    <n v="18.100000000000001"/>
    <n v="0"/>
    <n v="0"/>
    <n v="74.367999999999995"/>
    <n v="72.599999999999994"/>
    <n v="128"/>
    <n v="567.1875"/>
    <x v="12"/>
    <x v="0"/>
    <n v="44"/>
    <n v="1"/>
    <n v="48.416666666666664"/>
  </r>
  <r>
    <d v="2025-12-01T08:00:00"/>
    <s v="INYECTADO"/>
    <x v="6"/>
    <x v="272"/>
    <s v="JUANA CRUCES"/>
    <s v="VIRGEN"/>
    <s v="ALTA INYECCION"/>
    <s v="."/>
    <s v="SET DE COCINA ANITA"/>
    <s v="SET DE COCINA ANITA-LILA"/>
    <n v="800"/>
    <n v="10"/>
    <n v="100.1"/>
    <x v="0"/>
    <m/>
    <n v="7"/>
    <n v="1296"/>
    <n v="22866"/>
    <s v="LILA"/>
    <n v="28.7"/>
    <n v="0"/>
    <n v="0"/>
    <n v="102.4"/>
    <n v="100.1"/>
    <n v="128"/>
    <n v="782.03125"/>
    <x v="12"/>
    <x v="0"/>
    <n v="45"/>
    <n v="1"/>
    <n v="66.666666666666671"/>
  </r>
  <r>
    <d v="2025-12-01T08:00:00"/>
    <s v="INYECTADO"/>
    <x v="6"/>
    <x v="272"/>
    <s v="JUANA CRUCES"/>
    <s v="VIRGEN"/>
    <s v="ALTA INYECCION"/>
    <s v="."/>
    <s v="SET DE COCINA ANITA"/>
    <s v="SET DE COCINA ANITA-TURQUESA"/>
    <n v="27"/>
    <n v="1"/>
    <n v="3.4"/>
    <x v="0"/>
    <m/>
    <n v="1"/>
    <n v="1296"/>
    <n v="22866"/>
    <s v="TURQUESA"/>
    <n v="0"/>
    <n v="0"/>
    <n v="0"/>
    <n v="3.456"/>
    <n v="3.4"/>
    <n v="128"/>
    <n v="26.5625"/>
    <x v="12"/>
    <x v="0"/>
    <n v="45"/>
    <n v="1"/>
    <n v="2.25"/>
  </r>
  <r>
    <d v="2025-12-01T08:00:00"/>
    <s v="INYECTADO"/>
    <x v="6"/>
    <x v="272"/>
    <s v="GABRIEL REQUENA"/>
    <s v="VIRGEN"/>
    <s v="ALTA INYECCION"/>
    <s v="."/>
    <s v="SET DE COCINA ANITA"/>
    <s v="SET DE COCINA ANITA-TURQUESA"/>
    <n v="962"/>
    <n v="12"/>
    <n v="119.3"/>
    <x v="1"/>
    <m/>
    <n v="7"/>
    <n v="1296"/>
    <n v="22867"/>
    <s v="TURQUESA"/>
    <n v="18"/>
    <n v="0"/>
    <n v="0"/>
    <n v="123.136"/>
    <n v="119.3"/>
    <n v="128"/>
    <n v="932.03125"/>
    <x v="12"/>
    <x v="0"/>
    <n v="45"/>
    <n v="1"/>
    <n v="80.166666666666671"/>
  </r>
  <r>
    <d v="2025-12-01T08:00:00"/>
    <s v="INYECTADO"/>
    <x v="6"/>
    <x v="274"/>
    <s v="LEONOR GUTIERREZ"/>
    <s v="VIRGEN"/>
    <s v="ALTA INYECCION"/>
    <s v="."/>
    <s v="SET DE COCINA ANITA"/>
    <s v="SET DE COCINA ANITA-TURQUESA"/>
    <n v="990"/>
    <n v="11"/>
    <n v="123.8"/>
    <x v="0"/>
    <m/>
    <n v="6"/>
    <n v="1296"/>
    <n v="22868"/>
    <s v="TURQUESA"/>
    <n v="30.4"/>
    <n v="0"/>
    <n v="0"/>
    <n v="126.72"/>
    <n v="123.8"/>
    <n v="128"/>
    <n v="967.1875"/>
    <x v="12"/>
    <x v="0"/>
    <n v="45"/>
    <n v="1"/>
    <n v="82.5"/>
  </r>
  <r>
    <d v="2025-12-01T08:00:00"/>
    <s v="INYECTADO"/>
    <x v="6"/>
    <x v="275"/>
    <s v="BRAYAN PINEDO"/>
    <s v="VIRGEN"/>
    <s v="ALTA INYECCION"/>
    <s v="."/>
    <s v="SET DE COCINA ANITA"/>
    <s v="SET DE COCINA ANITA-TURQUESA"/>
    <n v="859"/>
    <n v="11"/>
    <n v="108.3"/>
    <x v="0"/>
    <m/>
    <n v="6"/>
    <n v="1296"/>
    <n v="22869"/>
    <s v="TURQUESA"/>
    <n v="18.100000000000001"/>
    <n v="0"/>
    <n v="0"/>
    <n v="109.952"/>
    <n v="108.3"/>
    <n v="128"/>
    <n v="846.09375"/>
    <x v="12"/>
    <x v="0"/>
    <n v="45"/>
    <n v="1"/>
    <n v="71.583333333333329"/>
  </r>
  <r>
    <d v="2025-12-01T08:00:00"/>
    <s v="INYECTADO"/>
    <x v="6"/>
    <x v="276"/>
    <s v="SAID VILLAMIZAR"/>
    <s v="VIRGEN"/>
    <s v="ALTA INYECCION"/>
    <s v="."/>
    <s v="SET DE COCINA ANITA"/>
    <s v="SET DE COCINA ANITA-TURQUESA"/>
    <n v="768"/>
    <n v="10"/>
    <n v="96"/>
    <x v="0"/>
    <m/>
    <n v="6"/>
    <n v="1296"/>
    <n v="22870"/>
    <s v="TURQUESA"/>
    <n v="0"/>
    <n v="0"/>
    <n v="0"/>
    <n v="98.304000000000002"/>
    <n v="96"/>
    <n v="128"/>
    <n v="750"/>
    <x v="12"/>
    <x v="0"/>
    <n v="45"/>
    <n v="1"/>
    <n v="64"/>
  </r>
  <r>
    <d v="2025-12-01T08:00:00"/>
    <s v="INYECTADO"/>
    <x v="6"/>
    <x v="276"/>
    <s v="JOSDER GONZALEZ"/>
    <s v="VIRGEN"/>
    <s v="ALTA INYECCION"/>
    <s v="."/>
    <s v="SET DE COCINA ANITA"/>
    <s v="SET DE COCINA ANITA-TURQUESA"/>
    <n v="342"/>
    <n v="5"/>
    <n v="42.8"/>
    <x v="1"/>
    <m/>
    <n v="3"/>
    <n v="1296"/>
    <n v="22871"/>
    <s v="TURQUESA"/>
    <n v="12.4"/>
    <n v="0"/>
    <n v="0"/>
    <n v="43.776000000000003"/>
    <n v="42.8"/>
    <n v="128"/>
    <n v="334.375"/>
    <x v="12"/>
    <x v="0"/>
    <n v="45"/>
    <n v="1"/>
    <n v="28.5"/>
  </r>
  <r>
    <d v="2025-12-01T08:00:00"/>
    <s v="INYECTADO"/>
    <x v="6"/>
    <x v="276"/>
    <s v="JOSDER GONZALEZ"/>
    <s v="VIRGEN"/>
    <s v="ALTA INYECCION"/>
    <s v="."/>
    <s v="SET DE COCINA ANITA"/>
    <s v="SET DE COCINA ANITA-MELON"/>
    <n v="560"/>
    <n v="6"/>
    <n v="69"/>
    <x v="1"/>
    <m/>
    <n v="5"/>
    <n v="1296"/>
    <n v="22871"/>
    <s v="MELON"/>
    <n v="12.8"/>
    <n v="0"/>
    <n v="0"/>
    <n v="71.680000000000007"/>
    <n v="69"/>
    <n v="128"/>
    <n v="539.0625"/>
    <x v="12"/>
    <x v="0"/>
    <n v="45"/>
    <n v="1"/>
    <n v="46.666666666666664"/>
  </r>
  <r>
    <d v="2025-12-01T08:00:00"/>
    <s v="INYECTADO"/>
    <x v="6"/>
    <x v="277"/>
    <s v="NESTOR"/>
    <s v="VIRGEN"/>
    <s v="ALTA INYECCION"/>
    <s v="."/>
    <s v="SET DE COCINA ANITA"/>
    <s v="SET DE COCINA ANITA-TURQUESA"/>
    <n v="64"/>
    <n v="1"/>
    <n v="8"/>
    <x v="0"/>
    <m/>
    <n v="3"/>
    <n v="1296"/>
    <n v="22872"/>
    <s v="TURQUESA"/>
    <n v="0"/>
    <n v="0"/>
    <n v="0"/>
    <n v="8.1920000000000002"/>
    <n v="8"/>
    <n v="128"/>
    <n v="62.5"/>
    <x v="12"/>
    <x v="0"/>
    <n v="45"/>
    <n v="1"/>
    <n v="5.333333333333333"/>
  </r>
  <r>
    <d v="2025-12-01T08:00:00"/>
    <s v="INYECTADO"/>
    <x v="6"/>
    <x v="277"/>
    <s v="NESTOR"/>
    <s v="VIRGEN"/>
    <s v="ALTA INYECCION"/>
    <s v="."/>
    <s v="SET DE COCINA ANITA"/>
    <s v="SET DE COCINA ANITA-MELON"/>
    <n v="853"/>
    <n v="10"/>
    <n v="105.8"/>
    <x v="0"/>
    <m/>
    <n v="10"/>
    <n v="1296"/>
    <n v="22872"/>
    <s v="MELON"/>
    <n v="24.1"/>
    <n v="0"/>
    <n v="0"/>
    <n v="109.184"/>
    <n v="105.8"/>
    <n v="128"/>
    <n v="826.5625"/>
    <x v="12"/>
    <x v="0"/>
    <n v="45"/>
    <n v="1"/>
    <n v="71.083333333333329"/>
  </r>
  <r>
    <d v="2025-12-01T08:00:00"/>
    <s v="INYECTADO"/>
    <x v="6"/>
    <x v="277"/>
    <s v="JUAN MANUEL"/>
    <s v="VIRGEN"/>
    <s v="ALTA INYECCION"/>
    <s v="."/>
    <s v="SET DE COCINA ANITA"/>
    <s v="SET DE COCINA ANITA-MELON"/>
    <n v="205"/>
    <n v="3"/>
    <n v="25.7"/>
    <x v="1"/>
    <m/>
    <n v="3"/>
    <n v="1296"/>
    <n v="22873"/>
    <s v="MELON"/>
    <n v="0"/>
    <n v="0"/>
    <n v="0"/>
    <n v="26.24"/>
    <n v="25.7"/>
    <n v="128"/>
    <n v="200.78125"/>
    <x v="12"/>
    <x v="0"/>
    <n v="45"/>
    <n v="1"/>
    <n v="17.083333333333332"/>
  </r>
  <r>
    <d v="2025-12-01T08:00:00"/>
    <s v="INYECTADO"/>
    <x v="6"/>
    <x v="263"/>
    <s v="SILFREDO"/>
    <s v="VIRGEN"/>
    <s v="ALTA INYECCION"/>
    <s v="."/>
    <s v="SET DE COCINA ANITA"/>
    <s v="SET DE COCINA ANITA-MELON"/>
    <n v="195"/>
    <n v="2"/>
    <n v="24.4"/>
    <x v="0"/>
    <m/>
    <n v="3"/>
    <n v="1296"/>
    <n v="22874"/>
    <s v="MELON"/>
    <n v="8.9"/>
    <n v="0"/>
    <n v="0"/>
    <n v="24.96"/>
    <n v="24.4"/>
    <n v="128"/>
    <n v="190.625"/>
    <x v="12"/>
    <x v="0"/>
    <n v="45"/>
    <n v="1"/>
    <n v="16.25"/>
  </r>
  <r>
    <d v="2025-12-01T08:00:00"/>
    <s v="INYECTADO"/>
    <x v="6"/>
    <x v="263"/>
    <s v="SILFREDO"/>
    <s v="VIRGEN"/>
    <s v="ALTA INYECCION"/>
    <s v="."/>
    <s v="SET DE COCINA ANITA"/>
    <s v="SET DE COCINA ANITA-LILA"/>
    <n v="533"/>
    <n v="8"/>
    <n v="66.7"/>
    <x v="0"/>
    <m/>
    <n v="5"/>
    <n v="1296"/>
    <n v="22874"/>
    <s v="LILA"/>
    <n v="12.6"/>
    <n v="0"/>
    <n v="0"/>
    <n v="68.224000000000004"/>
    <n v="66.7"/>
    <n v="128"/>
    <n v="521.09375"/>
    <x v="12"/>
    <x v="0"/>
    <n v="45"/>
    <n v="1"/>
    <n v="44.416666666666664"/>
  </r>
  <r>
    <d v="2025-12-01T08:00:00"/>
    <s v="INYECTADO"/>
    <x v="6"/>
    <x v="266"/>
    <s v="JUAN MANUEL"/>
    <s v="VIRGEN"/>
    <s v="ALTA INYECCION"/>
    <s v="."/>
    <s v="SET DE COCINA ANITA"/>
    <s v="SET DE COCINA ANITA-LILA"/>
    <n v="851"/>
    <n v="12"/>
    <n v="105.6"/>
    <x v="1"/>
    <m/>
    <n v="6"/>
    <n v="1296"/>
    <n v="22875"/>
    <s v="LILA"/>
    <n v="9.9"/>
    <n v="0"/>
    <n v="0"/>
    <n v="108.928"/>
    <n v="105.6"/>
    <n v="128"/>
    <n v="825"/>
    <x v="12"/>
    <x v="0"/>
    <n v="46"/>
    <n v="1"/>
    <n v="70.916666666666671"/>
  </r>
  <r>
    <d v="2025-12-01T08:00:00"/>
    <s v="INYECTADO"/>
    <x v="6"/>
    <x v="267"/>
    <s v="KARLA HUISA"/>
    <s v="VIRGEN"/>
    <s v="ALTA INYECCION"/>
    <s v="."/>
    <s v="SET DE COCINA ANITA"/>
    <s v="SET DE COCINA ANITA-LILA"/>
    <n v="375"/>
    <n v="5"/>
    <n v="46.5"/>
    <x v="0"/>
    <m/>
    <n v="5"/>
    <n v="1296"/>
    <n v="22876"/>
    <s v="LILA"/>
    <n v="12"/>
    <n v="0"/>
    <n v="0"/>
    <n v="48"/>
    <n v="46.5"/>
    <n v="128"/>
    <n v="363.28125"/>
    <x v="12"/>
    <x v="0"/>
    <n v="46"/>
    <n v="1"/>
    <n v="31.25"/>
  </r>
  <r>
    <d v="2025-12-01T08:00:00"/>
    <s v="INYECTADO"/>
    <x v="6"/>
    <x v="267"/>
    <s v="KARLA HUISA"/>
    <s v="VIRGEN"/>
    <s v="ALTA INYECCION"/>
    <s v="."/>
    <s v="SET DE COCINA ANITA"/>
    <s v="SET DE COCINA ANITA-ROSADO"/>
    <n v="588"/>
    <n v="6"/>
    <n v="73"/>
    <x v="0"/>
    <m/>
    <n v="5"/>
    <n v="1296"/>
    <n v="22876"/>
    <s v="ROSADO"/>
    <n v="20.100000000000001"/>
    <n v="0"/>
    <n v="0"/>
    <n v="75.263999999999996"/>
    <n v="73"/>
    <n v="128"/>
    <n v="570.3125"/>
    <x v="12"/>
    <x v="0"/>
    <n v="46"/>
    <n v="1"/>
    <n v="49"/>
  </r>
  <r>
    <d v="2025-12-01T08:00:00"/>
    <s v="INYECTADO"/>
    <x v="6"/>
    <x v="267"/>
    <s v="GABRIEL REQUENA"/>
    <s v="VIRGEN"/>
    <s v="ALTA INYECCION"/>
    <s v="."/>
    <s v="SET DE COCINA ANITA"/>
    <s v="SET DE COCINA ANITA-ROSADO"/>
    <n v="865"/>
    <n v="12"/>
    <n v="109"/>
    <x v="1"/>
    <m/>
    <n v="6"/>
    <n v="1296"/>
    <n v="22877"/>
    <s v="ROSADO"/>
    <n v="14.4"/>
    <n v="0"/>
    <n v="0"/>
    <n v="110.72"/>
    <n v="109"/>
    <n v="128"/>
    <n v="851.5625"/>
    <x v="12"/>
    <x v="0"/>
    <n v="46"/>
    <n v="1"/>
    <n v="72.083333333333329"/>
  </r>
  <r>
    <d v="2025-12-01T08:00:00"/>
    <s v="INYECTADO"/>
    <x v="6"/>
    <x v="268"/>
    <s v="LEONOR GUTIERREZ"/>
    <s v="VIRGEN"/>
    <s v="ALTA INYECCION"/>
    <s v="."/>
    <s v="SET DE COCINA ANITA"/>
    <s v="SET DE COCINA ANITA-ROSADO"/>
    <n v="445"/>
    <n v="7"/>
    <n v="55.7"/>
    <x v="0"/>
    <m/>
    <n v="6"/>
    <n v="1296"/>
    <n v="22878"/>
    <s v="ROSADO"/>
    <n v="16.3"/>
    <n v="0"/>
    <n v="0"/>
    <n v="56.96"/>
    <n v="55.7"/>
    <n v="128"/>
    <n v="435.15625"/>
    <x v="12"/>
    <x v="0"/>
    <n v="46"/>
    <n v="1"/>
    <n v="37.083333333333336"/>
  </r>
  <r>
    <d v="2025-12-01T08:00:00"/>
    <s v="INYECTADO"/>
    <x v="6"/>
    <x v="268"/>
    <s v="ISABEL LINARIZ "/>
    <s v="VIRGEN"/>
    <s v="ALTA INYECCION"/>
    <s v="."/>
    <s v="SET DE COCINA ANITA"/>
    <s v="SET DE COCINA ANITA-ROSADO"/>
    <n v="1153"/>
    <n v="12"/>
    <n v="145.30000000000001"/>
    <x v="1"/>
    <m/>
    <n v="13"/>
    <n v="1296"/>
    <n v="22879"/>
    <s v="ROSADO"/>
    <n v="26.3"/>
    <n v="0"/>
    <n v="0"/>
    <n v="147.584"/>
    <n v="145.30000000000001"/>
    <n v="128"/>
    <n v="1135.15625"/>
    <x v="12"/>
    <x v="0"/>
    <n v="46"/>
    <n v="1"/>
    <n v="96.083333333333329"/>
  </r>
  <r>
    <d v="2025-12-01T08:00:00"/>
    <s v="INYECTADO"/>
    <x v="6"/>
    <x v="278"/>
    <s v="JUANA CRUCES"/>
    <s v="VIRGEN"/>
    <s v="ALTA INYECCION"/>
    <s v="."/>
    <s v="SET DE COCINA ANITA"/>
    <s v="SET DE COCINA ANITA-MELON"/>
    <n v="494"/>
    <n v="8"/>
    <n v="62.3"/>
    <x v="0"/>
    <m/>
    <n v="5"/>
    <n v="1296"/>
    <n v="22880"/>
    <s v="MELON"/>
    <n v="15"/>
    <n v="0"/>
    <n v="0"/>
    <n v="63.231999999999999"/>
    <n v="62.3"/>
    <n v="128"/>
    <n v="486.71875"/>
    <x v="12"/>
    <x v="0"/>
    <n v="46"/>
    <n v="1"/>
    <n v="41.166666666666664"/>
  </r>
  <r>
    <d v="2025-12-01T08:00:00"/>
    <s v="INYECTADO"/>
    <x v="2"/>
    <x v="272"/>
    <s v="NESTOR"/>
    <s v="VIRGEN"/>
    <s v="PP HOMOPOLIMERO"/>
    <s v="PP COPOLIMERO"/>
    <s v="CABINA MINERITO"/>
    <s v="CABINA MINERITO-AMARILLO"/>
    <n v="735"/>
    <n v="8"/>
    <n v="108.8"/>
    <x v="0"/>
    <m/>
    <n v="8"/>
    <n v="1299"/>
    <n v="23151"/>
    <s v="AMARILLO"/>
    <n v="1.3"/>
    <n v="0"/>
    <n v="0"/>
    <n v="121.27500000000001"/>
    <n v="108.8"/>
    <n v="165"/>
    <n v="659.39393939393938"/>
    <x v="12"/>
    <x v="0"/>
    <n v="45"/>
    <n v="4"/>
    <n v="245"/>
  </r>
  <r>
    <d v="2025-12-01T08:00:00"/>
    <s v="INYECTADO"/>
    <x v="2"/>
    <x v="272"/>
    <s v="JOSDER GONZALEZ"/>
    <s v="VIRGEN"/>
    <s v="PP HOMOPOLIMERO"/>
    <s v="PP COPOLIMERO"/>
    <s v="CABINA MINERITO"/>
    <s v="CABINA MINERITO-AMARILLO"/>
    <n v="1249"/>
    <n v="12"/>
    <n v="186.2"/>
    <x v="1"/>
    <m/>
    <n v="11"/>
    <n v="1299"/>
    <n v="23152"/>
    <s v="AMARILLO"/>
    <n v="2.9"/>
    <n v="0"/>
    <n v="0"/>
    <n v="206.08500000000001"/>
    <n v="186.2"/>
    <n v="165"/>
    <n v="1128.4848484848485"/>
    <x v="12"/>
    <x v="0"/>
    <n v="45"/>
    <n v="4"/>
    <n v="416.33333333333331"/>
  </r>
  <r>
    <d v="2025-12-01T08:00:00"/>
    <s v="INYECTADO"/>
    <x v="2"/>
    <x v="274"/>
    <s v="SILFREDO"/>
    <s v="VIRGEN"/>
    <s v="PP HOMOPOLIMERO"/>
    <s v="PP COPOLIMERO"/>
    <s v="CABINA MINERITO"/>
    <s v="CABINA MINERITO-AMARILLO"/>
    <n v="783"/>
    <n v="9"/>
    <n v="116.8"/>
    <x v="0"/>
    <m/>
    <n v="8"/>
    <n v="1299"/>
    <n v="23153"/>
    <s v="AMARILLO"/>
    <n v="0"/>
    <n v="0"/>
    <n v="0"/>
    <n v="129.19499999999999"/>
    <n v="116.8"/>
    <n v="165"/>
    <n v="707.87878787878788"/>
    <x v="12"/>
    <x v="0"/>
    <n v="45"/>
    <n v="4"/>
    <n v="261"/>
  </r>
  <r>
    <d v="2025-12-01T08:00:00"/>
    <s v="INYECTADO"/>
    <x v="2"/>
    <x v="276"/>
    <s v="NESTOR"/>
    <s v="VIRGEN"/>
    <s v="PP HOMOPOLIMERO"/>
    <s v="PP COPOLIMERO"/>
    <s v="CABINA MINERITO"/>
    <s v="CABINA MINERITO-AMARILLO"/>
    <n v="809"/>
    <n v="9"/>
    <n v="119.8"/>
    <x v="0"/>
    <m/>
    <n v="7"/>
    <n v="1299"/>
    <n v="23154"/>
    <s v="AMARILLO"/>
    <n v="3.4"/>
    <n v="0"/>
    <n v="0"/>
    <n v="133.48500000000001"/>
    <n v="119.8"/>
    <n v="165"/>
    <n v="726.06060606060601"/>
    <x v="12"/>
    <x v="0"/>
    <n v="45"/>
    <n v="4"/>
    <n v="269.66666666666669"/>
  </r>
  <r>
    <d v="2025-12-01T08:00:00"/>
    <s v="INYECTADO"/>
    <x v="2"/>
    <x v="276"/>
    <s v="GABRIEL REQUENA"/>
    <s v="VIRGEN"/>
    <s v="PP HOMOPOLIMERO"/>
    <s v="PP COPOLIMERO"/>
    <s v="CABINA MINERITO"/>
    <s v="CABINA MINERITO-AMARILLO"/>
    <n v="120"/>
    <n v="2"/>
    <n v="17.8"/>
    <x v="1"/>
    <m/>
    <n v="1"/>
    <n v="1299"/>
    <n v="23155"/>
    <s v="AMARILLO"/>
    <n v="0.2"/>
    <n v="0"/>
    <n v="0"/>
    <n v="19.8"/>
    <n v="17.8"/>
    <n v="165"/>
    <n v="107.87878787878788"/>
    <x v="12"/>
    <x v="0"/>
    <n v="45"/>
    <n v="4"/>
    <n v="40"/>
  </r>
  <r>
    <d v="2025-12-01T08:00:00"/>
    <s v="INYECTADO"/>
    <x v="2"/>
    <x v="277"/>
    <s v="SILFREDO"/>
    <s v="VIRGEN"/>
    <s v="PP HOMOPOLIMERO"/>
    <s v="PP COPOLIMERO"/>
    <s v="CABINA MINERITO"/>
    <s v="CABINA MINERITO-AMARILLO"/>
    <n v="1102"/>
    <n v="11"/>
    <n v="163.1"/>
    <x v="0"/>
    <m/>
    <n v="10"/>
    <n v="1299"/>
    <n v="23156"/>
    <s v="AMARILLO"/>
    <n v="3.75"/>
    <n v="0"/>
    <n v="0"/>
    <n v="181.83"/>
    <n v="163.1"/>
    <n v="165"/>
    <n v="988.4848484848485"/>
    <x v="12"/>
    <x v="0"/>
    <n v="45"/>
    <n v="4"/>
    <n v="367.33333333333331"/>
  </r>
  <r>
    <d v="2025-12-01T08:00:00"/>
    <s v="INYECTADO"/>
    <x v="2"/>
    <x v="264"/>
    <s v="NELSON"/>
    <s v="VIRGEN"/>
    <s v="PP CLARIFICADO"/>
    <s v="."/>
    <s v="ORGANIZADOR DE 5KG"/>
    <s v="BASE ORGANIZADOR DE 5KG-TRANSPARENTE"/>
    <n v="108"/>
    <n v="2"/>
    <n v="21.2"/>
    <x v="0"/>
    <m/>
    <n v="3"/>
    <n v="1307"/>
    <n v="23157"/>
    <s v="TRANSPARENTE"/>
    <n v="9"/>
    <n v="0"/>
    <n v="0"/>
    <n v="20.52"/>
    <n v="21.2"/>
    <n v="190"/>
    <n v="111.57894736842105"/>
    <x v="12"/>
    <x v="0"/>
    <n v="46"/>
    <n v="1"/>
    <n v="9"/>
  </r>
  <r>
    <d v="2025-12-01T08:00:00"/>
    <s v="INYECTADO"/>
    <x v="2"/>
    <x v="264"/>
    <s v="JOSDER GONZALEZ"/>
    <s v="VIRGEN"/>
    <s v="PP CLARIFICADO"/>
    <s v="."/>
    <s v="ORGANIZADOR DE 5KG"/>
    <s v="BASE ORGANIZADOR DE 5KG-TRANSPARENTE"/>
    <n v="972"/>
    <n v="10"/>
    <n v="191"/>
    <x v="1"/>
    <m/>
    <n v="27"/>
    <n v="1307"/>
    <n v="23158"/>
    <s v="TRANSPARENTE"/>
    <n v="2"/>
    <n v="0"/>
    <n v="0"/>
    <n v="184.68"/>
    <n v="191"/>
    <n v="190"/>
    <n v="1005.2631578947369"/>
    <x v="12"/>
    <x v="0"/>
    <n v="46"/>
    <n v="1"/>
    <n v="81"/>
  </r>
  <r>
    <d v="2025-12-01T08:00:00"/>
    <s v="INYECTADO"/>
    <x v="2"/>
    <x v="265"/>
    <s v="JUANA CRUCES"/>
    <s v="VIRGEN"/>
    <s v="PP CLARIFICADO"/>
    <s v="."/>
    <s v="ORGANIZADOR DE 5KG"/>
    <s v="BASE ORGANIZADOR DE 5KG-TRANSPARENTE"/>
    <n v="1088"/>
    <n v="11"/>
    <n v="213.9"/>
    <x v="0"/>
    <m/>
    <n v="30"/>
    <n v="1307"/>
    <n v="23159"/>
    <s v="TRANSPARENTE"/>
    <n v="4.0999999999999996"/>
    <n v="0"/>
    <n v="0"/>
    <n v="206.72"/>
    <n v="213.9"/>
    <n v="190"/>
    <n v="1125.7894736842106"/>
    <x v="12"/>
    <x v="0"/>
    <n v="46"/>
    <n v="1"/>
    <n v="90.666666666666671"/>
  </r>
  <r>
    <d v="2025-12-01T08:00:00"/>
    <s v="INYECTADO"/>
    <x v="2"/>
    <x v="265"/>
    <s v="ISABEL LINARIZ "/>
    <s v="VIRGEN"/>
    <s v="PP CLARIFICADO"/>
    <s v="."/>
    <s v="ORGANIZADOR DE 5KG"/>
    <s v="BASE ORGANIZADOR DE 5KG-TRANSPARENTE"/>
    <n v="1149"/>
    <n v="12"/>
    <n v="225.8"/>
    <x v="1"/>
    <m/>
    <n v="32"/>
    <n v="1307"/>
    <n v="23160"/>
    <s v="TRANSPARENTE"/>
    <n v="2.2000000000000002"/>
    <n v="0"/>
    <n v="0"/>
    <n v="218.31"/>
    <n v="225.8"/>
    <n v="190"/>
    <n v="1188.421052631579"/>
    <x v="12"/>
    <x v="0"/>
    <n v="46"/>
    <n v="1"/>
    <n v="95.75"/>
  </r>
  <r>
    <d v="2025-12-01T08:00:00"/>
    <s v="INYECTADO"/>
    <x v="2"/>
    <x v="266"/>
    <s v="SILFREDO"/>
    <s v="VIRGEN"/>
    <s v="PP CLARIFICADO"/>
    <s v="."/>
    <s v="ORGANIZADOR DE 5KG"/>
    <s v="BASE ORGANIZADOR DE 5KG-TRANSPARENTE"/>
    <n v="1015"/>
    <n v="11"/>
    <n v="199.5"/>
    <x v="0"/>
    <m/>
    <n v="28"/>
    <n v="1307"/>
    <n v="23161"/>
    <s v="TRANSPARENTE"/>
    <n v="2.5"/>
    <n v="0"/>
    <n v="0"/>
    <n v="192.85"/>
    <n v="199.5"/>
    <n v="190"/>
    <n v="1050"/>
    <x v="12"/>
    <x v="0"/>
    <n v="46"/>
    <n v="1"/>
    <n v="84.583333333333329"/>
  </r>
  <r>
    <d v="2025-12-01T08:00:00"/>
    <s v="INYECTADO"/>
    <x v="2"/>
    <x v="267"/>
    <s v="JUAN MANUEL"/>
    <s v="VIRGEN"/>
    <s v="PP CLARIFICADO"/>
    <s v="."/>
    <s v="ORGANIZADOR DE 5KG PASTEL"/>
    <s v="BASE ORGANIZADOR DE 5KG PASTEL-ROSADO"/>
    <n v="319"/>
    <n v="4"/>
    <n v="61.8"/>
    <x v="1"/>
    <m/>
    <n v="9"/>
    <m/>
    <n v="23162"/>
    <s v="ROSADO"/>
    <n v="1"/>
    <n v="0"/>
    <n v="0"/>
    <n v="60.61"/>
    <n v="61.8"/>
    <n v="190"/>
    <n v="325.26315789473682"/>
    <x v="12"/>
    <x v="0"/>
    <n v="46"/>
    <n v="1"/>
    <n v="26.583333333333332"/>
  </r>
  <r>
    <d v="2025-12-01T08:00:00"/>
    <s v="INYECTADO"/>
    <x v="2"/>
    <x v="267"/>
    <s v="JUAN MANUEL"/>
    <s v="VIRGEN"/>
    <s v="PP CLARIFICADO"/>
    <s v="."/>
    <s v="ORGANIZADOR DE 5KG PASTEL"/>
    <s v="BASE ORGANIZADOR DE 5KG PASTEL-LILA"/>
    <n v="323"/>
    <n v="4"/>
    <n v="62.5"/>
    <x v="1"/>
    <m/>
    <n v="9"/>
    <m/>
    <n v="23162"/>
    <s v="LILA"/>
    <n v="1"/>
    <n v="0"/>
    <n v="0"/>
    <n v="61.37"/>
    <n v="62.5"/>
    <n v="190"/>
    <n v="328.94736842105266"/>
    <x v="12"/>
    <x v="0"/>
    <n v="46"/>
    <n v="1"/>
    <n v="26.916666666666668"/>
  </r>
  <r>
    <d v="2025-12-01T08:00:00"/>
    <s v="INYECTADO"/>
    <x v="2"/>
    <x v="267"/>
    <s v="JUAN MANUEL"/>
    <s v="VIRGEN"/>
    <s v="PP CLARIFICADO"/>
    <s v="."/>
    <s v="ORGANIZADOR DE 5KG PASTEL"/>
    <s v="BASE ORGANIZADOR DE 5KG PASTEL-SANDIA"/>
    <n v="271"/>
    <n v="3"/>
    <n v="52.5"/>
    <x v="1"/>
    <m/>
    <n v="8"/>
    <m/>
    <n v="23162"/>
    <s v="SANDIA"/>
    <n v="0"/>
    <n v="0"/>
    <n v="0"/>
    <n v="51.49"/>
    <n v="52.5"/>
    <n v="190"/>
    <n v="276.31578947368422"/>
    <x v="12"/>
    <x v="0"/>
    <n v="46"/>
    <n v="1"/>
    <n v="22.583333333333332"/>
  </r>
  <r>
    <d v="2025-12-01T08:00:00"/>
    <s v="INYECTADO"/>
    <x v="2"/>
    <x v="268"/>
    <s v="KARLA HUISA"/>
    <s v="VIRGEN"/>
    <s v="PP CLARIFICADO"/>
    <s v="."/>
    <s v="ORGANIZADOR DE 5KG PASTEL"/>
    <s v="BASE ORGANIZADOR DE 5KG PASTEL-SANDIA"/>
    <n v="17"/>
    <n v="1"/>
    <n v="3.2"/>
    <x v="0"/>
    <m/>
    <n v="1"/>
    <m/>
    <n v="23163"/>
    <s v="SANDIA"/>
    <n v="5.3"/>
    <n v="0"/>
    <n v="0"/>
    <n v="3.23"/>
    <n v="3.2"/>
    <n v="190"/>
    <n v="16.842105263157894"/>
    <x v="12"/>
    <x v="0"/>
    <n v="46"/>
    <n v="1"/>
    <n v="1.4166666666666667"/>
  </r>
  <r>
    <d v="2025-12-01T08:00:00"/>
    <s v="INYECTADO"/>
    <x v="2"/>
    <x v="268"/>
    <s v="KARLA HUISA"/>
    <s v="VIRGEN"/>
    <s v="PP CLARIFICADO"/>
    <s v="."/>
    <s v="ORGANIZADOR DE 5KG PASTEL"/>
    <s v="BASE ORGANIZADOR DE 5KG PASTEL-TURQUESA"/>
    <n v="414"/>
    <n v="4"/>
    <n v="80.2"/>
    <x v="0"/>
    <m/>
    <n v="10"/>
    <m/>
    <n v="23163"/>
    <s v="TURQUESA"/>
    <n v="3.1"/>
    <n v="0"/>
    <n v="0"/>
    <n v="78.66"/>
    <n v="80.2"/>
    <n v="190"/>
    <n v="422.10526315789474"/>
    <x v="12"/>
    <x v="0"/>
    <n v="46"/>
    <n v="1"/>
    <n v="34.5"/>
  </r>
  <r>
    <d v="2025-12-01T08:00:00"/>
    <s v="INYECTADO"/>
    <x v="2"/>
    <x v="268"/>
    <s v="KARLA HUISA"/>
    <s v="VIRGEN"/>
    <s v="PP CLARIFICADO"/>
    <s v="."/>
    <s v="ORGANIZADOR DE 5KG PASTEL"/>
    <s v="BASE ORGANIZADOR DE 5KG PASTEL-CELESTE"/>
    <n v="315"/>
    <n v="3"/>
    <n v="61"/>
    <x v="0"/>
    <m/>
    <n v="9"/>
    <m/>
    <n v="23163"/>
    <s v="CELESTE"/>
    <n v="2"/>
    <n v="0"/>
    <n v="0"/>
    <n v="59.85"/>
    <n v="61"/>
    <n v="190"/>
    <n v="321.05263157894734"/>
    <x v="12"/>
    <x v="0"/>
    <n v="46"/>
    <n v="1"/>
    <n v="26.25"/>
  </r>
  <r>
    <d v="2025-12-01T08:00:00"/>
    <s v="INYECTADO"/>
    <x v="2"/>
    <x v="268"/>
    <s v="KARLA HUISA"/>
    <s v="VIRGEN"/>
    <s v="PP CLARIFICADO"/>
    <s v="."/>
    <s v="ORGANIZADOR DE 5KG PASTEL"/>
    <s v="BASE ORGANIZADOR DE 5KG PASTEL-AZURE"/>
    <n v="295"/>
    <n v="3"/>
    <n v="56.6"/>
    <x v="0"/>
    <m/>
    <n v="9"/>
    <m/>
    <n v="23163"/>
    <s v="AZURE"/>
    <n v="3.9"/>
    <n v="0"/>
    <n v="0"/>
    <n v="56.05"/>
    <n v="56.6"/>
    <n v="190"/>
    <n v="297.89473684210526"/>
    <x v="12"/>
    <x v="0"/>
    <n v="46"/>
    <n v="1"/>
    <n v="24.583333333333332"/>
  </r>
  <r>
    <d v="2025-12-01T08:00:00"/>
    <s v="INYECTADO"/>
    <x v="2"/>
    <x v="278"/>
    <s v="BRAYAN PINEDO"/>
    <s v="VIRGEN"/>
    <s v="PP CLARIFICADO"/>
    <s v="."/>
    <s v="ORGANIZADOR DE 5KG PASTEL"/>
    <s v="BASE ORGANIZADOR DE 5KG PASTEL-AZURE"/>
    <n v="36"/>
    <n v="1"/>
    <n v="6.9"/>
    <x v="0"/>
    <m/>
    <n v="1"/>
    <m/>
    <n v="23164"/>
    <s v="AZURE"/>
    <n v="0"/>
    <n v="0"/>
    <n v="0"/>
    <n v="6.84"/>
    <n v="6.9"/>
    <n v="190"/>
    <n v="36.315789473684212"/>
    <x v="12"/>
    <x v="0"/>
    <n v="46"/>
    <n v="1"/>
    <n v="3"/>
  </r>
  <r>
    <d v="2025-12-01T08:00:00"/>
    <s v="INYECTADO"/>
    <x v="2"/>
    <x v="270"/>
    <s v="GABRIEL REQUENA"/>
    <s v="VIRGEN"/>
    <s v="PP HOMOPOLIMERO"/>
    <s v="PP COPOLIMERO"/>
    <s v="CHASIS MINERITO"/>
    <s v="CHASIS MINERITO-NEGRO"/>
    <n v="76"/>
    <n v="1"/>
    <n v="18.7"/>
    <x v="1"/>
    <m/>
    <n v="3"/>
    <m/>
    <n v="23165"/>
    <s v="NEGRO"/>
    <n v="0"/>
    <n v="0"/>
    <n v="0"/>
    <n v="19"/>
    <n v="18.7"/>
    <n v="250"/>
    <n v="74.8"/>
    <x v="12"/>
    <x v="0"/>
    <n v="47"/>
    <n v="2"/>
    <n v="12.666666666666666"/>
  </r>
  <r>
    <d v="2025-12-01T08:00:00"/>
    <s v="INYECTADO"/>
    <x v="3"/>
    <x v="274"/>
    <s v="SAID VILLAMIZAR"/>
    <s v="VIRGEN"/>
    <s v="ALTA INYECCION"/>
    <s v="."/>
    <s v="TAZAS PATTY"/>
    <s v="TAZAS PATTY-LILA"/>
    <n v="1043"/>
    <n v="9"/>
    <n v="38.6"/>
    <x v="0"/>
    <m/>
    <n v="3"/>
    <m/>
    <n v="22037"/>
    <s v="LILA"/>
    <n v="14"/>
    <n v="0"/>
    <n v="0"/>
    <n v="12.828900000000001"/>
    <n v="38.6"/>
    <n v="12.3"/>
    <n v="3138.2113821138209"/>
    <x v="12"/>
    <x v="0"/>
    <n v="45"/>
    <n v="3"/>
    <n v="260.75"/>
  </r>
  <r>
    <d v="2025-12-01T08:00:00"/>
    <s v="INYECTADO"/>
    <x v="3"/>
    <x v="274"/>
    <s v="JOSDER GONZALEZ"/>
    <s v="VIRGEN"/>
    <s v="ALTA INYECCION"/>
    <s v="."/>
    <s v="TAZAS PATTY"/>
    <s v="TAZAS PATTY-LILA"/>
    <n v="1297"/>
    <n v="12"/>
    <n v="48"/>
    <x v="1"/>
    <m/>
    <n v="4"/>
    <m/>
    <n v="22038"/>
    <s v="LILA"/>
    <n v="19.5"/>
    <n v="0"/>
    <n v="0"/>
    <n v="15.953100000000001"/>
    <n v="48"/>
    <n v="12.3"/>
    <n v="3902.4390243902435"/>
    <x v="12"/>
    <x v="0"/>
    <n v="45"/>
    <n v="3"/>
    <n v="324.25"/>
  </r>
  <r>
    <d v="2025-12-01T08:00:00"/>
    <s v="INYECTADO"/>
    <x v="3"/>
    <x v="275"/>
    <s v="NESTOR"/>
    <s v="VIRGEN"/>
    <s v="ALTA INYECCION"/>
    <s v="."/>
    <s v="TAZAS PATTY"/>
    <s v="TAZAS PATTY-LILA"/>
    <n v="1162"/>
    <n v="10"/>
    <n v="43"/>
    <x v="0"/>
    <m/>
    <n v="3"/>
    <m/>
    <n v="22039"/>
    <s v="LILA"/>
    <n v="16.3"/>
    <n v="0"/>
    <n v="0"/>
    <n v="14.2926"/>
    <n v="43"/>
    <n v="12.3"/>
    <n v="3495.9349593495931"/>
    <x v="12"/>
    <x v="0"/>
    <n v="45"/>
    <n v="3"/>
    <n v="290.5"/>
  </r>
  <r>
    <d v="2025-12-01T08:00:00"/>
    <s v="INYECTADO"/>
    <x v="3"/>
    <x v="275"/>
    <s v="JUAN MANUEL"/>
    <s v="VIRGEN"/>
    <s v="ALTA INYECCION"/>
    <s v="."/>
    <s v="TAZAS PATTY"/>
    <s v="TAZAS PATTY-LILA"/>
    <n v="1313"/>
    <n v="12"/>
    <n v="48.6"/>
    <x v="1"/>
    <m/>
    <n v="3"/>
    <m/>
    <n v="22040"/>
    <s v="LILA"/>
    <n v="16.3"/>
    <n v="0"/>
    <n v="0"/>
    <n v="16.149900000000002"/>
    <n v="48.6"/>
    <n v="12.3"/>
    <n v="3951.2195121951218"/>
    <x v="12"/>
    <x v="0"/>
    <n v="45"/>
    <n v="3"/>
    <n v="328.25"/>
  </r>
  <r>
    <d v="2025-12-01T08:00:00"/>
    <s v="INYECTADO"/>
    <x v="3"/>
    <x v="276"/>
    <s v="SILFREDO"/>
    <s v="VIRGEN"/>
    <s v="ALTA INYECCION"/>
    <s v="."/>
    <s v="TAZAS PATTY"/>
    <s v="TAZAS PATTY-LILA"/>
    <n v="513"/>
    <n v="4"/>
    <n v="19"/>
    <x v="0"/>
    <m/>
    <n v="1"/>
    <m/>
    <n v="22041"/>
    <s v="LILA"/>
    <n v="8.3000000000000007"/>
    <n v="0"/>
    <n v="0"/>
    <n v="6.3099000000000007"/>
    <n v="19"/>
    <n v="12.3"/>
    <n v="1544.7154471544713"/>
    <x v="12"/>
    <x v="0"/>
    <n v="45"/>
    <n v="3"/>
    <n v="128.25"/>
  </r>
  <r>
    <d v="2025-12-01T08:00:00"/>
    <s v="INYECTADO"/>
    <x v="3"/>
    <x v="276"/>
    <s v="SILFREDO"/>
    <s v="VIRGEN"/>
    <s v="ALTA INYECCION"/>
    <s v="."/>
    <s v="TAZAS PATTY"/>
    <s v="TAZAS PATTY-ROSADO"/>
    <n v="700"/>
    <n v="7"/>
    <n v="25.9"/>
    <x v="0"/>
    <m/>
    <n v="2"/>
    <m/>
    <n v="22041"/>
    <s v="ROSADO"/>
    <n v="11"/>
    <n v="0"/>
    <n v="0"/>
    <n v="8.61"/>
    <n v="25.9"/>
    <n v="12.3"/>
    <n v="2105.6910569105689"/>
    <x v="12"/>
    <x v="0"/>
    <n v="45"/>
    <n v="3"/>
    <n v="175"/>
  </r>
  <r>
    <d v="2025-12-01T08:00:00"/>
    <s v="INYECTADO"/>
    <x v="3"/>
    <x v="276"/>
    <s v="MARJORIE VILCHEZ"/>
    <s v="VIRGEN"/>
    <s v="ALTA INYECCION"/>
    <s v="."/>
    <s v="TAZAS PATTY"/>
    <s v="TAZAS PATTY-ROSADO"/>
    <n v="1345"/>
    <n v="12"/>
    <n v="49.8"/>
    <x v="1"/>
    <m/>
    <n v="3"/>
    <m/>
    <n v="22042"/>
    <s v="ROSADO"/>
    <n v="12.3"/>
    <n v="0"/>
    <n v="0"/>
    <n v="16.543500000000002"/>
    <n v="49.8"/>
    <n v="12.3"/>
    <n v="4048.7804878048778"/>
    <x v="12"/>
    <x v="0"/>
    <n v="45"/>
    <n v="3"/>
    <n v="336.25"/>
  </r>
  <r>
    <d v="2025-12-01T08:00:00"/>
    <s v="INYECTADO"/>
    <x v="3"/>
    <x v="277"/>
    <s v="CRISALIDA ZAPATA"/>
    <s v="VIRGEN"/>
    <s v="ALTA INYECCION"/>
    <s v="."/>
    <s v="TAZAS PATTY"/>
    <s v="TAZAS PATTY-ROSADO"/>
    <n v="1297"/>
    <n v="11"/>
    <n v="48"/>
    <x v="0"/>
    <m/>
    <n v="4"/>
    <m/>
    <s v="22042-1"/>
    <s v="ROSADO"/>
    <n v="19.2"/>
    <n v="0"/>
    <n v="0"/>
    <n v="15.953100000000001"/>
    <n v="48"/>
    <n v="12.3"/>
    <n v="3902.4390243902435"/>
    <x v="12"/>
    <x v="0"/>
    <n v="45"/>
    <n v="3"/>
    <n v="324.25"/>
  </r>
  <r>
    <d v="2025-12-01T08:00:00"/>
    <s v="INYECTADO"/>
    <x v="3"/>
    <x v="277"/>
    <s v="MARJORIE VILCHEZ"/>
    <s v="VIRGEN"/>
    <s v="ALTA INYECCION"/>
    <s v="."/>
    <s v="TAZAS PATTY"/>
    <s v="TAZAS PATTY-ROSADO"/>
    <n v="1337"/>
    <n v="12"/>
    <n v="49.5"/>
    <x v="1"/>
    <m/>
    <n v="3"/>
    <m/>
    <n v="22043"/>
    <s v="ROSADO"/>
    <n v="19.2"/>
    <n v="0"/>
    <n v="0"/>
    <n v="16.445100000000004"/>
    <n v="49.5"/>
    <n v="12.3"/>
    <n v="4024.3902439024387"/>
    <x v="12"/>
    <x v="0"/>
    <n v="45"/>
    <n v="3"/>
    <n v="334.25"/>
  </r>
  <r>
    <d v="2025-12-01T08:00:00"/>
    <s v="INYECTADO"/>
    <x v="3"/>
    <x v="263"/>
    <s v="CRISALIDA ZAPATA"/>
    <s v="VIRGEN"/>
    <s v="ALTA INYECCION"/>
    <s v="."/>
    <s v="TAZAS PATTY"/>
    <s v="TAZAS PATTY-ROSADO"/>
    <n v="1308"/>
    <n v="11"/>
    <n v="48.4"/>
    <x v="0"/>
    <m/>
    <n v="3"/>
    <m/>
    <n v="22044"/>
    <s v="ROSADO"/>
    <n v="18.899999999999999"/>
    <n v="0"/>
    <n v="0"/>
    <n v="16.0884"/>
    <n v="48.4"/>
    <n v="12.3"/>
    <n v="3934.9593495934955"/>
    <x v="12"/>
    <x v="0"/>
    <n v="45"/>
    <n v="3"/>
    <n v="327"/>
  </r>
  <r>
    <d v="2025-12-01T08:00:00"/>
    <s v="INYECTADO"/>
    <x v="3"/>
    <x v="263"/>
    <s v="MARJORIE VILCHEZ"/>
    <s v="VIRGEN"/>
    <s v="ALTA INYECCION"/>
    <s v="."/>
    <s v="TAZAS PATTY"/>
    <s v="TAZAS PATTY-ROSADO"/>
    <n v="123"/>
    <n v="2"/>
    <n v="4.7"/>
    <x v="1"/>
    <m/>
    <n v="1"/>
    <m/>
    <s v="22044-2"/>
    <s v="ROSADO"/>
    <n v="3.2"/>
    <n v="0"/>
    <n v="0"/>
    <n v="1.5129000000000001"/>
    <n v="4.7"/>
    <n v="12.3"/>
    <n v="382.11382113821134"/>
    <x v="12"/>
    <x v="0"/>
    <n v="45"/>
    <n v="3"/>
    <n v="30.75"/>
  </r>
  <r>
    <d v="2025-12-01T08:00:00"/>
    <s v="INYECTADO"/>
    <x v="3"/>
    <x v="263"/>
    <s v="MARJORIE VILCHEZ"/>
    <s v="VIRGEN"/>
    <s v="ALTA INYECCION"/>
    <s v="."/>
    <s v="TAZAS PATTY"/>
    <s v="TAZAS PATTY-TURQUESA"/>
    <n v="1094"/>
    <n v="10"/>
    <n v="41.6"/>
    <x v="1"/>
    <m/>
    <n v="3"/>
    <m/>
    <s v="22044-2"/>
    <s v="TURQUESA"/>
    <n v="17.2"/>
    <n v="0"/>
    <n v="0"/>
    <n v="13.456200000000001"/>
    <n v="41.6"/>
    <n v="12.3"/>
    <n v="3382.1138211382113"/>
    <x v="12"/>
    <x v="0"/>
    <n v="45"/>
    <n v="3"/>
    <n v="273.5"/>
  </r>
  <r>
    <d v="2025-12-01T08:00:00"/>
    <s v="INYECTADO"/>
    <x v="3"/>
    <x v="264"/>
    <s v="CRISALIDA ZAPATA"/>
    <s v="VIRGEN"/>
    <s v="ALTA INYECCION"/>
    <s v="."/>
    <s v="TAZAS PATTY"/>
    <s v="TAZAS PATTY-TURQUESA"/>
    <n v="1010"/>
    <n v="11"/>
    <n v="38.4"/>
    <x v="0"/>
    <m/>
    <n v="3"/>
    <m/>
    <s v="22044-3"/>
    <s v="TURQUESA"/>
    <n v="17"/>
    <n v="0"/>
    <n v="0"/>
    <n v="12.423"/>
    <n v="38.4"/>
    <n v="12.3"/>
    <n v="3121.9512195121952"/>
    <x v="12"/>
    <x v="0"/>
    <n v="46"/>
    <n v="3"/>
    <n v="252.5"/>
  </r>
  <r>
    <d v="2025-12-01T08:00:00"/>
    <s v="INYECTADO"/>
    <x v="3"/>
    <x v="265"/>
    <s v="CRISALIDA ZAPATA"/>
    <s v="VIRGEN"/>
    <s v="ALTA INYECCION"/>
    <s v="."/>
    <s v="TAZAS PATTY"/>
    <s v="TAZAS PATTY-TURQUESA"/>
    <n v="1097"/>
    <n v="11"/>
    <n v="41.7"/>
    <x v="0"/>
    <m/>
    <n v="3"/>
    <m/>
    <n v="22045"/>
    <s v="TURQUESA"/>
    <n v="15"/>
    <n v="0"/>
    <n v="0"/>
    <n v="13.4931"/>
    <n v="41.7"/>
    <n v="12.3"/>
    <n v="3390.2439024390242"/>
    <x v="12"/>
    <x v="0"/>
    <n v="46"/>
    <n v="3"/>
    <n v="274.25"/>
  </r>
  <r>
    <d v="2025-12-01T08:00:00"/>
    <s v="INYECTADO"/>
    <x v="3"/>
    <x v="266"/>
    <s v="KARLA HUISA"/>
    <s v="VIRGEN"/>
    <s v="ALTA INYECCION"/>
    <s v="."/>
    <s v="TAZAS PATTY"/>
    <s v="TAZAS PATTY-TURQUESA"/>
    <n v="1002"/>
    <n v="9"/>
    <n v="37.1"/>
    <x v="0"/>
    <m/>
    <n v="3"/>
    <m/>
    <s v="22045-1"/>
    <s v="TURQUESA"/>
    <n v="16.899999999999999"/>
    <n v="0"/>
    <n v="0"/>
    <n v="12.3246"/>
    <n v="37.1"/>
    <n v="12.3"/>
    <n v="3016.2601626016258"/>
    <x v="12"/>
    <x v="0"/>
    <n v="46"/>
    <n v="3"/>
    <n v="250.5"/>
  </r>
  <r>
    <d v="2025-12-01T08:00:00"/>
    <s v="INYECTADO"/>
    <x v="3"/>
    <x v="266"/>
    <s v="GABRIEL REQUENA"/>
    <s v="VIRGEN"/>
    <s v="ALTA INYECCION"/>
    <s v="."/>
    <s v="TAZAS PATTY"/>
    <s v="TAZAS PATTY-TURQUESA"/>
    <n v="1183"/>
    <n v="8"/>
    <n v="42.6"/>
    <x v="1"/>
    <m/>
    <n v="3"/>
    <m/>
    <n v="22046"/>
    <s v="TURQUESA"/>
    <n v="13.9"/>
    <n v="0"/>
    <n v="0"/>
    <n v="14.550900000000002"/>
    <n v="42.6"/>
    <n v="12.3"/>
    <n v="3463.4146341463411"/>
    <x v="12"/>
    <x v="0"/>
    <n v="46"/>
    <n v="3"/>
    <n v="295.75"/>
  </r>
  <r>
    <d v="2025-12-01T08:00:00"/>
    <s v="INYECTADO"/>
    <x v="3"/>
    <x v="266"/>
    <s v="GABRIEL REQUENA"/>
    <s v="VIRGEN"/>
    <s v="ALTA INYECCION"/>
    <s v="."/>
    <s v="TAZAS PATTY"/>
    <s v="TAZAS PATTY-MELON"/>
    <n v="447"/>
    <n v="4"/>
    <n v="16.100000000000001"/>
    <x v="1"/>
    <m/>
    <n v="1"/>
    <m/>
    <n v="22046"/>
    <s v="MELON"/>
    <n v="6.3"/>
    <n v="0"/>
    <n v="0"/>
    <n v="5.4981"/>
    <n v="16.100000000000001"/>
    <n v="12.3"/>
    <n v="1308.9430894308944"/>
    <x v="12"/>
    <x v="0"/>
    <n v="46"/>
    <n v="3"/>
    <n v="111.75"/>
  </r>
  <r>
    <d v="2025-12-01T08:00:00"/>
    <s v="INYECTADO"/>
    <x v="3"/>
    <x v="267"/>
    <s v="JUANA CRUCES"/>
    <s v="VIRGEN"/>
    <s v="ALTA INYECCION"/>
    <s v="."/>
    <s v="TAZAS PATTY"/>
    <s v="TAZAS PATTY-MELON"/>
    <n v="1255"/>
    <n v="11"/>
    <n v="45.2"/>
    <x v="0"/>
    <m/>
    <n v="5"/>
    <m/>
    <s v="22046-2"/>
    <s v="MELON"/>
    <n v="14.3"/>
    <n v="0"/>
    <n v="0"/>
    <n v="15.436500000000001"/>
    <n v="45.2"/>
    <n v="12.3"/>
    <n v="3674.7967479674794"/>
    <x v="12"/>
    <x v="0"/>
    <n v="46"/>
    <n v="3"/>
    <n v="313.75"/>
  </r>
  <r>
    <d v="2025-12-01T08:00:00"/>
    <s v="INYECTADO"/>
    <x v="3"/>
    <x v="267"/>
    <s v="JOSDER GONZALEZ"/>
    <s v="VIRGEN"/>
    <s v="ALTA INYECCION"/>
    <s v="."/>
    <s v="TAZAS PATTY"/>
    <s v="TAZAS PATTY-MELON"/>
    <n v="1441"/>
    <n v="12"/>
    <n v="51.9"/>
    <x v="1"/>
    <m/>
    <n v="5"/>
    <m/>
    <n v="22047"/>
    <s v="MELON"/>
    <n v="21.7"/>
    <n v="0"/>
    <n v="0"/>
    <n v="17.724299999999999"/>
    <n v="51.9"/>
    <n v="12.3"/>
    <n v="4219.5121951219508"/>
    <x v="12"/>
    <x v="0"/>
    <n v="46"/>
    <n v="3"/>
    <n v="360.25"/>
  </r>
  <r>
    <d v="2025-12-01T08:00:00"/>
    <s v="INYECTADO"/>
    <x v="3"/>
    <x v="268"/>
    <s v="CRISALIDA ZAPATA"/>
    <s v="VIRGEN"/>
    <s v="ALTA INYECCION"/>
    <s v="."/>
    <s v="TAZAS PATTY"/>
    <s v="TAZAS PATTY-MELON"/>
    <n v="1358"/>
    <n v="11"/>
    <n v="48.9"/>
    <x v="0"/>
    <m/>
    <n v="4"/>
    <m/>
    <s v="22047-2"/>
    <s v="MELON"/>
    <n v="19.8"/>
    <n v="0"/>
    <n v="0"/>
    <n v="16.703400000000002"/>
    <n v="48.9"/>
    <n v="12.3"/>
    <n v="3975.6097560975609"/>
    <x v="12"/>
    <x v="0"/>
    <n v="46"/>
    <n v="3"/>
    <n v="339.5"/>
  </r>
  <r>
    <d v="2025-12-01T08:00:00"/>
    <s v="INYECTADO"/>
    <x v="3"/>
    <x v="278"/>
    <s v="CRISALIDA ZAPATA"/>
    <s v="VIRGEN"/>
    <s v="ALTA INYECCION"/>
    <s v="."/>
    <s v="TAZAS PATTY"/>
    <s v="TAZAS PATTY-MELON"/>
    <n v="1125"/>
    <n v="11"/>
    <n v="40.5"/>
    <x v="0"/>
    <m/>
    <n v="3"/>
    <m/>
    <n v="22048"/>
    <s v="MELON"/>
    <n v="15.4"/>
    <n v="0"/>
    <n v="0"/>
    <n v="13.8375"/>
    <n v="40.5"/>
    <n v="12.3"/>
    <n v="3292.6829268292681"/>
    <x v="12"/>
    <x v="0"/>
    <n v="46"/>
    <n v="3"/>
    <n v="281.25"/>
  </r>
  <r>
    <d v="2025-12-01T08:00:00"/>
    <s v="INYECTADO"/>
    <x v="7"/>
    <x v="271"/>
    <s v="CRISALIDA ZAPATA"/>
    <s v="VIRGEN"/>
    <s v="PP CLARIFICADO"/>
    <s v="."/>
    <s v="TAPA DE ORGANIZADOR #2"/>
    <s v="TAPA DE ORGANIZADOR #2-BLANCO"/>
    <n v="874"/>
    <n v="8"/>
    <n v="40.200000000000003"/>
    <x v="0"/>
    <m/>
    <n v="8"/>
    <m/>
    <n v="22785"/>
    <s v="BLANCO"/>
    <n v="0"/>
    <n v="0"/>
    <n v="0"/>
    <n v="18.353999999999999"/>
    <n v="40.200000000000003"/>
    <n v="21"/>
    <n v="1914.2857142857142"/>
    <x v="12"/>
    <x v="0"/>
    <n v="44"/>
    <n v="2"/>
    <n v="145.66666666666666"/>
  </r>
  <r>
    <d v="2025-12-01T08:00:00"/>
    <s v="INYECTADO"/>
    <x v="7"/>
    <x v="271"/>
    <s v="JUAN MANUEL"/>
    <s v="VIRGEN"/>
    <s v="PP CLARIFICADO"/>
    <s v="."/>
    <s v="TAPA DE ORGANIZADOR #2"/>
    <s v="TAPA DE ORGANIZADOR #2-BLANCO"/>
    <n v="234"/>
    <n v="2"/>
    <n v="10.7"/>
    <x v="1"/>
    <m/>
    <n v="3"/>
    <m/>
    <n v="22786"/>
    <s v="BLANCO"/>
    <n v="0"/>
    <n v="0"/>
    <n v="0"/>
    <n v="4.9139999999999997"/>
    <n v="10.7"/>
    <n v="21"/>
    <n v="509.52380952380952"/>
    <x v="12"/>
    <x v="0"/>
    <n v="44"/>
    <n v="2"/>
    <n v="39"/>
  </r>
  <r>
    <d v="2025-12-01T08:00:00"/>
    <s v="INYECTADO"/>
    <x v="10"/>
    <x v="271"/>
    <s v="DAIRETH"/>
    <s v="VIRGEN"/>
    <s v="ALTA INYECCION"/>
    <s v="."/>
    <s v="TOLVA MINERITO"/>
    <s v="TOLVA MINERITO-AMARILLO"/>
    <n v="485"/>
    <n v="6"/>
    <n v="196.1"/>
    <x v="0"/>
    <m/>
    <n v="39"/>
    <m/>
    <n v="23068"/>
    <s v="AMARILLO"/>
    <n v="0"/>
    <n v="0"/>
    <n v="0"/>
    <n v="74.204999999999998"/>
    <n v="196.1"/>
    <n v="153"/>
    <n v="1281.6993464052287"/>
    <x v="12"/>
    <x v="0"/>
    <n v="44"/>
    <n v="2"/>
    <n v="80.833333333333329"/>
  </r>
  <r>
    <d v="2025-12-01T08:00:00"/>
    <s v="INYECTADO"/>
    <x v="10"/>
    <x v="271"/>
    <s v="JOSDER GONZALEZ"/>
    <s v="VIRGEN"/>
    <s v="ALTA INYECCION"/>
    <s v="."/>
    <s v="TOLVA MINERITO"/>
    <s v="TOLVA MINERITO-AMARILLO"/>
    <n v="547"/>
    <n v="7"/>
    <n v="220.5"/>
    <x v="1"/>
    <m/>
    <n v="43"/>
    <m/>
    <n v="23069"/>
    <s v="AMARILLO"/>
    <n v="49.1"/>
    <n v="0"/>
    <n v="0"/>
    <n v="83.691000000000003"/>
    <n v="220.5"/>
    <n v="153"/>
    <n v="1441.1764705882354"/>
    <x v="12"/>
    <x v="0"/>
    <n v="44"/>
    <n v="2"/>
    <n v="91.166666666666671"/>
  </r>
  <r>
    <d v="2025-12-01T08:00:00"/>
    <s v="INYECTADO"/>
    <x v="10"/>
    <x v="272"/>
    <s v="SILFREDO"/>
    <s v="VIRGEN"/>
    <s v="ALTA INYECCION"/>
    <s v="."/>
    <s v="TOLVA MINERITO"/>
    <s v="TOLVA MINERITO-AMARILLO"/>
    <n v="807"/>
    <n v="10"/>
    <n v="325.39999999999998"/>
    <x v="0"/>
    <m/>
    <n v="65"/>
    <m/>
    <n v="23070"/>
    <s v="AMARILLO"/>
    <n v="11"/>
    <n v="0"/>
    <n v="0"/>
    <n v="123.471"/>
    <n v="325.39999999999998"/>
    <n v="153"/>
    <n v="2126.7973856209151"/>
    <x v="12"/>
    <x v="0"/>
    <n v="45"/>
    <n v="2"/>
    <n v="134.5"/>
  </r>
  <r>
    <d v="2025-12-01T08:00:00"/>
    <s v="INYECTADO"/>
    <x v="10"/>
    <x v="275"/>
    <s v="SILFREDO"/>
    <s v="VIRGEN"/>
    <s v="ALTA INYECCION"/>
    <s v="."/>
    <s v="TOLVA MINERITO"/>
    <s v="TOLVA MINERITO-AMARILLO"/>
    <n v="852"/>
    <n v="10"/>
    <n v="348"/>
    <x v="0"/>
    <m/>
    <n v="69"/>
    <m/>
    <n v="23071"/>
    <s v="AMARILLO"/>
    <n v="0"/>
    <n v="0"/>
    <n v="0"/>
    <n v="130.35599999999999"/>
    <n v="348"/>
    <n v="153"/>
    <n v="2274.5098039215686"/>
    <x v="12"/>
    <x v="0"/>
    <n v="45"/>
    <n v="2"/>
    <n v="142"/>
  </r>
  <r>
    <d v="2025-12-01T08:00:00"/>
    <s v="INYECTADO"/>
    <x v="10"/>
    <x v="276"/>
    <s v="NELSON"/>
    <s v="MIXTO"/>
    <s v="PP CLARIFICADO"/>
    <s v="PP INYECTADO"/>
    <s v="ACCESORIOS PLAYEROS MARINOS"/>
    <s v="ACCESORIO PLAYERO MARINO-AMARILLO"/>
    <n v="217"/>
    <n v="2"/>
    <n v="25.9"/>
    <x v="0"/>
    <m/>
    <n v="4"/>
    <m/>
    <n v="23072"/>
    <s v="AMARILLO"/>
    <n v="17.399999999999999"/>
    <n v="0"/>
    <n v="0"/>
    <n v="3.2549999999999999"/>
    <n v="25.9"/>
    <n v="15"/>
    <n v="1726.6666666666667"/>
    <x v="12"/>
    <x v="0"/>
    <n v="45"/>
    <n v="8"/>
    <n v="144.66666666666666"/>
  </r>
  <r>
    <d v="2025-12-01T08:00:00"/>
    <s v="INYECTADO"/>
    <x v="10"/>
    <x v="276"/>
    <s v="GABRIEL REQUENA"/>
    <s v="MIXTO"/>
    <s v="PP CLARIFICADO"/>
    <s v="PP INYECTADO"/>
    <s v="ACCESORIOS PLAYEROS MARINOS"/>
    <s v="ACCESORIO PLAYERO MARINO-AMARILLO"/>
    <n v="271"/>
    <n v="3"/>
    <n v="32.299999999999997"/>
    <x v="1"/>
    <m/>
    <n v="8"/>
    <m/>
    <n v="23073"/>
    <s v="AMARILLO"/>
    <n v="26.4"/>
    <n v="0"/>
    <n v="0"/>
    <n v="4.0650000000000004"/>
    <n v="32.299999999999997"/>
    <n v="15"/>
    <n v="2153.333333333333"/>
    <x v="12"/>
    <x v="0"/>
    <n v="45"/>
    <n v="8"/>
    <n v="180.66666666666666"/>
  </r>
  <r>
    <d v="2025-12-01T08:00:00"/>
    <s v="INYECTADO"/>
    <x v="10"/>
    <x v="276"/>
    <s v="GABRIEL REQUENA"/>
    <s v="MIXTO"/>
    <s v="PP CLARIFICADO"/>
    <s v="PP INYECTADO"/>
    <s v="ACCESORIOS PLAYEROS MARINOS"/>
    <s v="ACCESORIO PLAYERO MARINO-VERDE"/>
    <n v="483"/>
    <n v="5"/>
    <n v="57.5"/>
    <x v="1"/>
    <m/>
    <n v="8"/>
    <m/>
    <n v="23073"/>
    <s v="VERDE"/>
    <n v="40.299999999999997"/>
    <n v="0"/>
    <n v="0"/>
    <n v="7.2450000000000001"/>
    <n v="57.5"/>
    <n v="15"/>
    <n v="3833.3333333333335"/>
    <x v="12"/>
    <x v="0"/>
    <n v="45"/>
    <n v="8"/>
    <n v="322"/>
  </r>
  <r>
    <d v="2025-12-01T08:00:00"/>
    <s v="INYECTADO"/>
    <x v="10"/>
    <x v="276"/>
    <s v="GABRIEL REQUENA"/>
    <s v="MIXTO"/>
    <s v="PP CLARIFICADO"/>
    <s v="PP INYECTADO"/>
    <s v="ACCESORIOS PLAYEROS MARINOS"/>
    <s v="ACCESORIO PLAYERO MARINO-AZUL"/>
    <n v="348"/>
    <n v="4"/>
    <n v="41.5"/>
    <x v="1"/>
    <m/>
    <n v="6"/>
    <m/>
    <n v="23073"/>
    <s v="AZUL"/>
    <n v="35.299999999999997"/>
    <n v="0"/>
    <n v="0"/>
    <n v="5.22"/>
    <n v="41.5"/>
    <n v="15"/>
    <n v="2766.6666666666665"/>
    <x v="12"/>
    <x v="0"/>
    <n v="45"/>
    <n v="8"/>
    <n v="232"/>
  </r>
  <r>
    <d v="2025-12-01T08:00:00"/>
    <s v="INYECTADO"/>
    <x v="10"/>
    <x v="277"/>
    <s v="NELSON"/>
    <s v="MIXTO"/>
    <s v="PP CLARIFICADO"/>
    <s v="PP INYECTADO"/>
    <s v="ACCESORIOS PLAYEROS MARINOS"/>
    <s v="ACCESORIO PLAYERO MARINO-AZUL"/>
    <n v="42"/>
    <n v="1"/>
    <n v="5.0999999999999996"/>
    <x v="0"/>
    <m/>
    <n v="4"/>
    <m/>
    <n v="23074"/>
    <s v="AZUL"/>
    <n v="17.3"/>
    <n v="0"/>
    <n v="0"/>
    <n v="0.63"/>
    <n v="5.0999999999999996"/>
    <n v="15"/>
    <n v="340"/>
    <x v="12"/>
    <x v="0"/>
    <n v="45"/>
    <n v="8"/>
    <n v="28"/>
  </r>
  <r>
    <d v="2025-12-01T08:00:00"/>
    <s v="INYECTADO"/>
    <x v="10"/>
    <x v="277"/>
    <s v="NELSON"/>
    <s v="MIXTO"/>
    <s v="PP CLARIFICADO"/>
    <s v="PP INYECTADO"/>
    <s v="ACCESORIOS PLAYEROS MARINOS"/>
    <s v="ACCESORIO PLAYERO MARINO-ROJO"/>
    <n v="546"/>
    <n v="5"/>
    <n v="65.599999999999994"/>
    <x v="0"/>
    <m/>
    <n v="9"/>
    <m/>
    <n v="23074"/>
    <s v="ROJO"/>
    <n v="47.1"/>
    <n v="0"/>
    <n v="0"/>
    <n v="8.19"/>
    <n v="65.599999999999994"/>
    <n v="15"/>
    <n v="4373.333333333333"/>
    <x v="12"/>
    <x v="0"/>
    <n v="45"/>
    <n v="8"/>
    <n v="364"/>
  </r>
  <r>
    <d v="2025-12-01T08:00:00"/>
    <s v="INYECTADO"/>
    <x v="10"/>
    <x v="277"/>
    <s v="NELSON"/>
    <s v="MIXTO"/>
    <s v="PP CLARIFICADO"/>
    <s v="PP INYECTADO"/>
    <s v="ACCESORIOS PLAYEROS MARINOS"/>
    <s v="ACCESORIO PLAYERO MARINO-LILA"/>
    <n v="582"/>
    <n v="5"/>
    <n v="69.900000000000006"/>
    <x v="0"/>
    <m/>
    <n v="8"/>
    <m/>
    <n v="23074"/>
    <s v="LILA"/>
    <n v="41.6"/>
    <n v="0"/>
    <n v="0"/>
    <n v="8.73"/>
    <n v="69.900000000000006"/>
    <n v="15"/>
    <n v="4660"/>
    <x v="12"/>
    <x v="0"/>
    <n v="45"/>
    <n v="8"/>
    <n v="388"/>
  </r>
  <r>
    <d v="2025-12-01T08:00:00"/>
    <s v="INYECTADO"/>
    <x v="10"/>
    <x v="277"/>
    <s v="JOSDER GONZALEZ"/>
    <s v="MIXTO"/>
    <s v="PP CLARIFICADO"/>
    <s v="PP INYECTADO"/>
    <s v="ACCESORIOS PLAYEROS MARINOS"/>
    <s v="ACCESORIO PLAYERO MARINO-AZUL"/>
    <n v="657"/>
    <n v="5"/>
    <n v="79.5"/>
    <x v="1"/>
    <m/>
    <n v="10"/>
    <m/>
    <n v="23075"/>
    <s v="AZUL"/>
    <n v="45.6"/>
    <n v="0"/>
    <n v="0"/>
    <n v="9.8550000000000004"/>
    <n v="79.5"/>
    <n v="15"/>
    <n v="5300"/>
    <x v="12"/>
    <x v="0"/>
    <n v="45"/>
    <n v="8"/>
    <n v="438"/>
  </r>
  <r>
    <d v="2025-12-01T08:00:00"/>
    <s v="INYECTADO"/>
    <x v="10"/>
    <x v="277"/>
    <s v="JOSDER GONZALEZ"/>
    <s v="MIXTO"/>
    <s v="PP CLARIFICADO"/>
    <s v="PP INYECTADO"/>
    <s v="ACCESORIOS PLAYEROS MARINOS"/>
    <s v="ACCESORIO PLAYERO MARINO-LILA"/>
    <n v="589"/>
    <n v="5"/>
    <n v="71.3"/>
    <x v="1"/>
    <m/>
    <n v="11"/>
    <m/>
    <n v="23075"/>
    <s v="LILA"/>
    <n v="53.1"/>
    <n v="0"/>
    <n v="0"/>
    <n v="8.8350000000000009"/>
    <n v="71.3"/>
    <n v="15"/>
    <n v="4753.333333333333"/>
    <x v="12"/>
    <x v="0"/>
    <n v="45"/>
    <n v="8"/>
    <n v="392.66666666666669"/>
  </r>
  <r>
    <d v="2025-12-01T08:00:00"/>
    <s v="INYECTADO"/>
    <x v="10"/>
    <x v="277"/>
    <s v="JOSDER GONZALEZ"/>
    <s v="MIXTO"/>
    <s v="PP CLARIFICADO"/>
    <s v="PP INYECTADO"/>
    <s v="ACCESORIOS PLAYEROS MARINOS"/>
    <s v="ACCESORIO PLAYERO MARINO-AMARILLO"/>
    <n v="172"/>
    <n v="2"/>
    <n v="20.9"/>
    <x v="1"/>
    <m/>
    <n v="4"/>
    <m/>
    <n v="23075"/>
    <s v="AMARILLO"/>
    <n v="22.3"/>
    <n v="0"/>
    <n v="0"/>
    <n v="2.58"/>
    <n v="20.9"/>
    <n v="15"/>
    <n v="1393.3333333333333"/>
    <x v="12"/>
    <x v="0"/>
    <n v="45"/>
    <n v="8"/>
    <n v="114.66666666666667"/>
  </r>
  <r>
    <d v="2025-12-01T08:00:00"/>
    <s v="INYECTADO"/>
    <x v="10"/>
    <x v="263"/>
    <s v="MARIA GUEVARA"/>
    <s v="MIXTO"/>
    <s v="PP CLARIFICADO"/>
    <s v="PP INYECTADO"/>
    <s v="ACCESORIOS PLAYEROS MARINOS"/>
    <s v="ACCESORIO PLAYERO MARINO-AMARILLO"/>
    <n v="471"/>
    <n v="4"/>
    <n v="58"/>
    <x v="0"/>
    <m/>
    <n v="8"/>
    <m/>
    <n v="23076"/>
    <s v="AMARILLO"/>
    <n v="35.700000000000003"/>
    <n v="0"/>
    <n v="0"/>
    <n v="7.0650000000000004"/>
    <n v="58"/>
    <n v="15"/>
    <n v="3866.6666666666665"/>
    <x v="12"/>
    <x v="0"/>
    <n v="45"/>
    <n v="8"/>
    <n v="314"/>
  </r>
  <r>
    <d v="2025-12-01T08:00:00"/>
    <s v="INYECTADO"/>
    <x v="10"/>
    <x v="263"/>
    <s v="MARIA GUEVARA"/>
    <s v="MIXTO"/>
    <s v="PP CLARIFICADO"/>
    <s v="PP INYECTADO"/>
    <s v="ACCESORIOS PLAYEROS MARINOS"/>
    <s v="ACCESORIO PLAYERO MARINO-VERDE"/>
    <n v="630"/>
    <n v="6"/>
    <n v="77.5"/>
    <x v="0"/>
    <m/>
    <n v="15"/>
    <m/>
    <n v="23076"/>
    <s v="VERDE"/>
    <n v="47.8"/>
    <n v="0"/>
    <n v="0"/>
    <n v="9.4499999999999993"/>
    <n v="77.5"/>
    <n v="15"/>
    <n v="5166.666666666667"/>
    <x v="12"/>
    <x v="0"/>
    <n v="45"/>
    <n v="8"/>
    <n v="420"/>
  </r>
  <r>
    <d v="2025-12-01T08:00:00"/>
    <s v="INYECTADO"/>
    <x v="10"/>
    <x v="263"/>
    <s v="GABRIEL REQUENA"/>
    <s v="MIXTO"/>
    <s v="PP CLARIFICADO"/>
    <s v="PP INYECTADO"/>
    <s v="ACCESORIOS PLAYEROS MARINOS"/>
    <s v="ACCESORIO PLAYERO MARINO-VERDE"/>
    <n v="207"/>
    <n v="3"/>
    <n v="25.5"/>
    <x v="1"/>
    <m/>
    <n v="5"/>
    <m/>
    <n v="23077"/>
    <s v="VERDE"/>
    <n v="17.8"/>
    <n v="0"/>
    <n v="0"/>
    <n v="3.105"/>
    <n v="25.5"/>
    <n v="15"/>
    <n v="1700"/>
    <x v="12"/>
    <x v="0"/>
    <n v="45"/>
    <n v="8"/>
    <n v="138"/>
  </r>
  <r>
    <d v="2025-12-01T08:00:00"/>
    <s v="INYECTADO"/>
    <x v="10"/>
    <x v="263"/>
    <s v="GABRIEL REQUENA"/>
    <s v="MIXTO"/>
    <s v="PP CLARIFICADO"/>
    <s v="PP INYECTADO"/>
    <s v="ACCESORIOS PLAYEROS MARINOS"/>
    <s v="ACCESORIO PLAYERO MARINO-AMARILLO"/>
    <n v="250"/>
    <n v="3"/>
    <n v="30.8"/>
    <x v="1"/>
    <m/>
    <n v="7"/>
    <m/>
    <n v="23077"/>
    <s v="AMARILLO"/>
    <n v="21.4"/>
    <n v="0"/>
    <n v="0"/>
    <n v="3.75"/>
    <n v="30.8"/>
    <n v="15"/>
    <n v="2053.3333333333335"/>
    <x v="12"/>
    <x v="0"/>
    <n v="45"/>
    <n v="8"/>
    <n v="166.66666666666666"/>
  </r>
  <r>
    <d v="2025-12-01T08:00:00"/>
    <s v="INYECTADO"/>
    <x v="10"/>
    <x v="263"/>
    <s v="GABRIEL REQUENA"/>
    <s v="MIXTO"/>
    <s v="PP CLARIFICADO"/>
    <s v="PP INYECTADO"/>
    <s v="ACCESORIOS PLAYEROS MARINOS"/>
    <s v="ACCESORIO PLAYERO MARINO-ROJO"/>
    <n v="522"/>
    <n v="6"/>
    <n v="62.7"/>
    <x v="1"/>
    <m/>
    <n v="8"/>
    <m/>
    <n v="23077"/>
    <s v="ROJO"/>
    <n v="33.200000000000003"/>
    <n v="0"/>
    <n v="0"/>
    <n v="7.83"/>
    <n v="62.7"/>
    <n v="15"/>
    <n v="4180"/>
    <x v="12"/>
    <x v="0"/>
    <n v="45"/>
    <n v="8"/>
    <n v="348"/>
  </r>
  <r>
    <d v="2025-12-01T08:00:00"/>
    <s v="INYECTADO"/>
    <x v="10"/>
    <x v="264"/>
    <s v="KARLA HUISA"/>
    <s v="MIXTO"/>
    <s v="PP CLARIFICADO"/>
    <s v="PP INYECTADO"/>
    <s v="ACCESORIOS PLAYEROS MARINOS"/>
    <s v="ACCESORIO PLAYERO MARINO-VERDE"/>
    <n v="41"/>
    <n v="1"/>
    <n v="4.9000000000000004"/>
    <x v="0"/>
    <m/>
    <n v="4"/>
    <m/>
    <n v="23078"/>
    <s v="VERDE"/>
    <n v="0"/>
    <n v="0"/>
    <n v="0"/>
    <n v="0.61499999999999999"/>
    <n v="4.9000000000000004"/>
    <n v="15"/>
    <n v="326.66666666666669"/>
    <x v="12"/>
    <x v="0"/>
    <n v="46"/>
    <n v="8"/>
    <n v="27.333333333333332"/>
  </r>
  <r>
    <d v="2025-12-01T08:00:00"/>
    <s v="INYECTADO"/>
    <x v="10"/>
    <x v="264"/>
    <s v="KARLA HUISA"/>
    <s v="MIXTO"/>
    <s v="PP CLARIFICADO"/>
    <s v="PP INYECTADO"/>
    <s v="ACCESORIOS PLAYEROS MARINOS"/>
    <s v="ACCESORIO PLAYERO MARINO-FUCSIA"/>
    <n v="251"/>
    <n v="3"/>
    <n v="29.9"/>
    <x v="0"/>
    <m/>
    <n v="4"/>
    <m/>
    <n v="23078"/>
    <s v="FUCSIA"/>
    <n v="21"/>
    <n v="0"/>
    <n v="0"/>
    <n v="3.7650000000000001"/>
    <n v="29.9"/>
    <n v="15"/>
    <n v="1993.3333333333333"/>
    <x v="12"/>
    <x v="0"/>
    <n v="46"/>
    <n v="8"/>
    <n v="167.33333333333334"/>
  </r>
  <r>
    <d v="2025-12-01T08:00:00"/>
    <s v="INYECTADO"/>
    <x v="10"/>
    <x v="264"/>
    <s v="KARLA HUISA"/>
    <s v="MIXTO"/>
    <s v="PP CLARIFICADO"/>
    <s v="PP INYECTADO"/>
    <s v="ACCESORIOS PLAYEROS MARINOS"/>
    <s v="ACCESORIO PLAYERO MARINO-AZUL"/>
    <n v="363"/>
    <n v="3"/>
    <n v="44"/>
    <x v="0"/>
    <m/>
    <n v="6"/>
    <m/>
    <n v="23078"/>
    <s v="AZUL"/>
    <n v="47.3"/>
    <n v="0"/>
    <n v="0"/>
    <n v="5.4450000000000003"/>
    <n v="44"/>
    <n v="15"/>
    <n v="2933.3333333333335"/>
    <x v="12"/>
    <x v="0"/>
    <n v="46"/>
    <n v="8"/>
    <n v="242"/>
  </r>
  <r>
    <d v="2025-12-01T08:00:00"/>
    <s v="INYECTADO"/>
    <x v="10"/>
    <x v="264"/>
    <s v="KARLA HUISA"/>
    <s v="MIXTO"/>
    <s v="PP CLARIFICADO"/>
    <s v="PP INYECTADO"/>
    <s v="ACCESORIOS PLAYEROS MARINOS"/>
    <s v="ACCESORIO PLAYERO MARINO-ROJO"/>
    <n v="356"/>
    <n v="3"/>
    <n v="42.4"/>
    <x v="0"/>
    <m/>
    <n v="6"/>
    <m/>
    <n v="23078"/>
    <s v="ROJO"/>
    <n v="21.9"/>
    <n v="0"/>
    <n v="0"/>
    <n v="5.34"/>
    <n v="42.4"/>
    <n v="15"/>
    <n v="2826.6666666666665"/>
    <x v="12"/>
    <x v="0"/>
    <n v="46"/>
    <n v="8"/>
    <n v="237.33333333333334"/>
  </r>
  <r>
    <d v="2025-12-01T08:00:00"/>
    <s v="INYECTADO"/>
    <x v="10"/>
    <x v="264"/>
    <s v="JOSDER GONZALEZ"/>
    <s v="MIXTO"/>
    <s v="PP CLARIFICADO"/>
    <s v="PP INYECTADO"/>
    <s v="ACCESORIOS PLAYEROS MARINOS"/>
    <s v="ACCESORIO PLAYERO MARINO-AMARILLO"/>
    <n v="57"/>
    <n v="1"/>
    <n v="6.9"/>
    <x v="1"/>
    <m/>
    <n v="4"/>
    <m/>
    <n v="23079"/>
    <s v="AMARILLO"/>
    <n v="6.6"/>
    <n v="0"/>
    <n v="0"/>
    <n v="0.85499999999999998"/>
    <n v="6.9"/>
    <n v="15"/>
    <n v="460"/>
    <x v="12"/>
    <x v="0"/>
    <n v="46"/>
    <n v="8"/>
    <n v="38"/>
  </r>
  <r>
    <d v="2025-12-01T08:00:00"/>
    <s v="INYECTADO"/>
    <x v="10"/>
    <x v="264"/>
    <s v="JOSDER GONZALEZ"/>
    <s v="MIXTO"/>
    <s v="PP CLARIFICADO"/>
    <s v="PP INYECTADO"/>
    <s v="ACCESORIOS PLAYEROS MARINOS"/>
    <s v="ACCESORIO PLAYERO MARINO-VERDE"/>
    <n v="122"/>
    <n v="2"/>
    <n v="14.8"/>
    <x v="1"/>
    <m/>
    <n v="4"/>
    <m/>
    <n v="23079"/>
    <s v="VERDE"/>
    <n v="11.2"/>
    <n v="0"/>
    <n v="0"/>
    <n v="1.83"/>
    <n v="14.8"/>
    <n v="15"/>
    <n v="986.66666666666663"/>
    <x v="12"/>
    <x v="0"/>
    <n v="46"/>
    <n v="8"/>
    <n v="81.333333333333329"/>
  </r>
  <r>
    <d v="2025-12-01T08:00:00"/>
    <s v="INYECTADO"/>
    <x v="10"/>
    <x v="265"/>
    <s v="NELSON"/>
    <s v="VIRGEN"/>
    <s v="PP CLARIFICADO"/>
    <s v="."/>
    <s v="ORGANIZADOR DE 15KG"/>
    <s v="BASE ORGANIZADOR DE 15KG-TRANSPARENTE"/>
    <n v="348"/>
    <n v="3"/>
    <n v="187.2"/>
    <x v="0"/>
    <m/>
    <n v="29"/>
    <m/>
    <n v="23080"/>
    <s v="TRANSPARENTE"/>
    <n v="0.7"/>
    <n v="0"/>
    <n v="0"/>
    <n v="180.96"/>
    <n v="187.2"/>
    <n v="520"/>
    <n v="360"/>
    <x v="12"/>
    <x v="0"/>
    <n v="46"/>
    <n v="1"/>
    <n v="29"/>
  </r>
  <r>
    <d v="2025-12-01T08:00:00"/>
    <s v="INYECTADO"/>
    <x v="10"/>
    <x v="265"/>
    <s v="JUAN MANUEL"/>
    <s v="VIRGEN"/>
    <s v="PP CLARIFICADO"/>
    <s v="."/>
    <s v="ORGANIZADOR DE 15KG"/>
    <s v="BASE ORGANIZADOR DE 15KG-TRANSPARENTE"/>
    <n v="1092"/>
    <n v="12"/>
    <n v="587.4"/>
    <x v="1"/>
    <m/>
    <n v="81"/>
    <m/>
    <n v="23081"/>
    <s v="TRANSPARENTE"/>
    <n v="3"/>
    <n v="0"/>
    <n v="0"/>
    <n v="567.84"/>
    <n v="587.4"/>
    <n v="520"/>
    <n v="1129.6153846153845"/>
    <x v="12"/>
    <x v="0"/>
    <n v="46"/>
    <n v="1"/>
    <n v="91"/>
  </r>
  <r>
    <d v="2025-12-01T08:00:00"/>
    <s v="INYECTADO"/>
    <x v="10"/>
    <x v="266"/>
    <s v="BRAYAN PINEDO"/>
    <s v="VIRGEN"/>
    <s v="PP CLARIFICADO"/>
    <s v="."/>
    <s v="ORGANIZADOR DE 15KG"/>
    <s v="BASE ORGANIZADOR DE 15KG-TRANSPARENTE"/>
    <n v="549"/>
    <n v="10"/>
    <n v="292"/>
    <x v="0"/>
    <m/>
    <n v="82"/>
    <m/>
    <n v="23082"/>
    <s v="TRANSPARENTE"/>
    <n v="1"/>
    <n v="0"/>
    <n v="0"/>
    <n v="285.48"/>
    <n v="292"/>
    <n v="520"/>
    <n v="561.53846153846155"/>
    <x v="12"/>
    <x v="0"/>
    <n v="46"/>
    <n v="1"/>
    <n v="45.75"/>
  </r>
  <r>
    <d v="2025-12-01T08:00:00"/>
    <s v="INYECTADO"/>
    <x v="10"/>
    <x v="268"/>
    <s v="JOSDER GONZALEZ"/>
    <s v="VIRGEN"/>
    <s v="PP CLARIFICADO"/>
    <s v="."/>
    <s v="BASE ORGANIZADOR  DE 2KG"/>
    <s v="BASE ORGANIZADOR  DE 2KG-TRANSPARENTE"/>
    <n v="1576"/>
    <n v="12"/>
    <n v="94.6"/>
    <x v="1"/>
    <m/>
    <n v="25"/>
    <m/>
    <n v="23083"/>
    <s v="TRANSPARENTE"/>
    <n v="1.6"/>
    <n v="0"/>
    <n v="0"/>
    <n v="78.8"/>
    <n v="94.6"/>
    <n v="50"/>
    <n v="1892"/>
    <x v="12"/>
    <x v="0"/>
    <n v="46"/>
    <n v="2"/>
    <n v="262.66666666666669"/>
  </r>
  <r>
    <d v="2025-12-01T08:00:00"/>
    <s v="INYECTADO"/>
    <x v="10"/>
    <x v="278"/>
    <s v="SILFREDO"/>
    <s v="VIRGEN"/>
    <s v="PP CLARIFICADO"/>
    <s v="."/>
    <s v="BASE ORGANIZADOR  DE 2KG"/>
    <s v="BASE ORGANIZADOR  DE 2KG-TRANSPARENTE"/>
    <n v="1473"/>
    <n v="11"/>
    <n v="88.4"/>
    <x v="0"/>
    <m/>
    <n v="24"/>
    <m/>
    <n v="23084"/>
    <s v="TRANSPARENTE"/>
    <n v="6.1"/>
    <n v="0"/>
    <n v="0"/>
    <n v="73.650000000000006"/>
    <n v="88.4"/>
    <n v="50"/>
    <n v="1768"/>
    <x v="12"/>
    <x v="0"/>
    <n v="46"/>
    <n v="2"/>
    <n v="245.5"/>
  </r>
  <r>
    <d v="2025-12-01T08:00:00"/>
    <s v="INYECTADO"/>
    <x v="10"/>
    <x v="278"/>
    <s v="JOSDER GONZALEZ"/>
    <s v="VIRGEN"/>
    <s v="PP CLARIFICADO"/>
    <s v="."/>
    <s v="BASE ORGANIZADOR  DE 2KG"/>
    <s v="BASE ORGANIZADOR  DE 2KG-TRANSPARENTE"/>
    <n v="845"/>
    <n v="7"/>
    <n v="52.1"/>
    <x v="1"/>
    <m/>
    <n v="7"/>
    <m/>
    <n v="23085"/>
    <s v="TRANSPARENTE"/>
    <n v="0"/>
    <n v="0"/>
    <n v="0"/>
    <n v="42.25"/>
    <n v="52.1"/>
    <n v="50"/>
    <n v="1042"/>
    <x v="12"/>
    <x v="0"/>
    <n v="46"/>
    <n v="2"/>
    <n v="140.83333333333334"/>
  </r>
  <r>
    <d v="2025-12-01T08:00:00"/>
    <s v="INYECTADO"/>
    <x v="10"/>
    <x v="278"/>
    <s v="JOSDER GONZALEZ"/>
    <s v="VIRGEN"/>
    <s v="PP CLARIFICADO"/>
    <s v="."/>
    <s v="BASE ORGANIZADOR  DE 2KG"/>
    <s v="BASE ORGANIZADOR  DE 2KG PASTEL-CELESTE"/>
    <n v="640"/>
    <n v="4"/>
    <n v="38.4"/>
    <x v="1"/>
    <m/>
    <n v="5"/>
    <m/>
    <n v="23085"/>
    <s v="CELESTE"/>
    <n v="1.5"/>
    <n v="0"/>
    <n v="0"/>
    <n v="32"/>
    <n v="38.4"/>
    <n v="50"/>
    <n v="768"/>
    <x v="12"/>
    <x v="0"/>
    <n v="46"/>
    <n v="2"/>
    <n v="106.66666666666667"/>
  </r>
  <r>
    <d v="2025-12-01T08:00:00"/>
    <s v="INYECTADO"/>
    <x v="10"/>
    <x v="269"/>
    <s v="KARLA HUISA"/>
    <s v="VIRGEN"/>
    <s v="PP CLARIFICADO"/>
    <s v="."/>
    <s v="BASE ORGANIZADOR  DE 2KG"/>
    <s v="BASE ORGANIZADOR  DE 2KG PASTEL-CELESTE"/>
    <n v="151"/>
    <n v="2"/>
    <n v="8.5"/>
    <x v="0"/>
    <m/>
    <n v="3"/>
    <m/>
    <n v="23086"/>
    <s v="CELESTE"/>
    <n v="8.9"/>
    <n v="0"/>
    <n v="0"/>
    <n v="7.55"/>
    <n v="8.5"/>
    <n v="50"/>
    <n v="170"/>
    <x v="12"/>
    <x v="0"/>
    <n v="47"/>
    <n v="2"/>
    <n v="25.166666666666668"/>
  </r>
  <r>
    <d v="2025-12-01T08:00:00"/>
    <s v="INYECTADO"/>
    <x v="10"/>
    <x v="269"/>
    <s v="KARLA HUISA"/>
    <s v="VIRGEN"/>
    <s v="PP CLARIFICADO"/>
    <s v="."/>
    <s v="BASE ORGANIZADOR  DE 2KG"/>
    <s v="BASE ORGANIZADOR  DE 2KG PASTEL-SANDIA"/>
    <n v="600"/>
    <n v="6"/>
    <n v="33.6"/>
    <x v="0"/>
    <m/>
    <n v="10"/>
    <m/>
    <n v="23086"/>
    <s v="SANDIA"/>
    <n v="8.3000000000000007"/>
    <n v="0"/>
    <n v="0"/>
    <n v="30"/>
    <n v="33.6"/>
    <n v="50"/>
    <n v="672"/>
    <x v="12"/>
    <x v="0"/>
    <n v="47"/>
    <n v="2"/>
    <n v="100"/>
  </r>
  <r>
    <d v="2025-12-01T08:00:00"/>
    <s v="INYECTADO"/>
    <x v="10"/>
    <x v="269"/>
    <s v="KARLA HUISA"/>
    <s v="VIRGEN"/>
    <s v="PP CLARIFICADO"/>
    <s v="."/>
    <s v="BASE ORGANIZADOR  DE 2KG"/>
    <s v="BASE ORGANIZADOR  DE 2KG CARAMELO-ROJO"/>
    <n v="101"/>
    <n v="1"/>
    <n v="5.7"/>
    <x v="0"/>
    <m/>
    <n v="2"/>
    <m/>
    <n v="23086"/>
    <s v="ROJO"/>
    <n v="0"/>
    <n v="0"/>
    <n v="0"/>
    <n v="5.05"/>
    <n v="5.7"/>
    <n v="50"/>
    <n v="114"/>
    <x v="12"/>
    <x v="0"/>
    <n v="47"/>
    <n v="2"/>
    <n v="16.833333333333332"/>
  </r>
  <r>
    <d v="2025-12-01T08:00:00"/>
    <s v="INYECTADO"/>
    <x v="10"/>
    <x v="269"/>
    <s v="MARJORIE VILCHEZ"/>
    <s v="VIRGEN"/>
    <s v="PP CLARIFICADO"/>
    <s v="."/>
    <s v="BASE ORGANIZADOR  DE 2KG"/>
    <s v="BASE ORGANIZADOR  DE 2KG CARAMELO-ROJO"/>
    <n v="793"/>
    <n v="1"/>
    <n v="47.6"/>
    <x v="1"/>
    <m/>
    <n v="14"/>
    <m/>
    <n v="23087"/>
    <s v="ROJO"/>
    <n v="5.2"/>
    <n v="0"/>
    <n v="0"/>
    <n v="39.65"/>
    <n v="47.6"/>
    <n v="50"/>
    <n v="952"/>
    <x v="12"/>
    <x v="0"/>
    <n v="47"/>
    <n v="2"/>
    <n v="132.16666666666666"/>
  </r>
  <r>
    <d v="2025-12-01T08:00:00"/>
    <s v="INYECTADO"/>
    <x v="10"/>
    <x v="269"/>
    <s v="MARJORIE VILCHEZ"/>
    <s v="VIRGEN"/>
    <s v="PP CLARIFICADO"/>
    <s v="."/>
    <s v="BASE ORGANIZADOR  DE 2KG"/>
    <s v="BASE ORGANIZADOR  DE 2KG CARAMELO-AMARILLO"/>
    <n v="583"/>
    <n v="1"/>
    <n v="35"/>
    <x v="1"/>
    <m/>
    <n v="10"/>
    <m/>
    <n v="23087"/>
    <s v="AMARILLO"/>
    <n v="2.2000000000000002"/>
    <n v="0"/>
    <n v="0"/>
    <n v="29.15"/>
    <n v="35"/>
    <n v="50"/>
    <n v="700"/>
    <x v="12"/>
    <x v="0"/>
    <n v="47"/>
    <n v="2"/>
    <n v="97.166666666666671"/>
  </r>
  <r>
    <d v="2025-12-01T08:00:00"/>
    <s v="INYECTADO"/>
    <x v="10"/>
    <x v="270"/>
    <s v="NESTOR"/>
    <s v="VIRGEN"/>
    <s v="PP CLARIFICADO"/>
    <s v="."/>
    <s v="BASE ORGANIZADOR  DE 2KG"/>
    <s v="BASE ORGANIZADOR  DE 2KG CARAMELO-AMARILLO"/>
    <n v="314"/>
    <n v="3"/>
    <n v="17.3"/>
    <x v="0"/>
    <m/>
    <n v="5"/>
    <m/>
    <n v="23088"/>
    <s v="AMARILLO"/>
    <n v="0"/>
    <n v="0"/>
    <n v="0"/>
    <n v="15.7"/>
    <n v="17.3"/>
    <n v="50"/>
    <n v="346"/>
    <x v="12"/>
    <x v="0"/>
    <n v="47"/>
    <n v="2"/>
    <n v="52.333333333333336"/>
  </r>
  <r>
    <d v="2025-12-01T08:00:00"/>
    <s v="INYECTADO"/>
    <x v="10"/>
    <x v="270"/>
    <s v="NESTOR"/>
    <s v="VIRGEN"/>
    <s v="PP CLARIFICADO"/>
    <s v="."/>
    <s v="BASE ORGANIZADOR  DE 2KG"/>
    <s v="BASE ORGANIZADOR  DE 2KG CARAMELO-VERDE"/>
    <n v="945"/>
    <n v="8"/>
    <n v="52"/>
    <x v="0"/>
    <m/>
    <n v="15"/>
    <m/>
    <n v="23088"/>
    <s v="VERDE"/>
    <n v="2.7"/>
    <n v="0"/>
    <n v="0"/>
    <n v="47.25"/>
    <n v="52"/>
    <n v="50"/>
    <n v="1040"/>
    <x v="12"/>
    <x v="0"/>
    <n v="47"/>
    <n v="2"/>
    <n v="157.5"/>
  </r>
  <r>
    <d v="2025-12-01T08:00:00"/>
    <s v="INYECTADO"/>
    <x v="10"/>
    <x v="270"/>
    <s v="NESTOR"/>
    <s v="VIRGEN"/>
    <s v="PP CLARIFICADO"/>
    <s v="."/>
    <s v="BASE ORGANIZADOR  DE 2KG"/>
    <s v="BASE ORGANIZADOR  DE 2KG CARAMELO-FUCSIA"/>
    <n v="60"/>
    <n v="1"/>
    <n v="3.3"/>
    <x v="0"/>
    <m/>
    <n v="1"/>
    <m/>
    <n v="23088"/>
    <s v="ROSADO"/>
    <n v="1.3"/>
    <n v="0"/>
    <n v="0"/>
    <n v="3"/>
    <n v="3.3"/>
    <n v="50"/>
    <n v="66"/>
    <x v="12"/>
    <x v="0"/>
    <n v="47"/>
    <n v="2"/>
    <n v="10"/>
  </r>
  <r>
    <d v="2025-12-01T08:00:00"/>
    <s v="INYECTADO"/>
    <x v="10"/>
    <x v="270"/>
    <s v="JOSDER GONZALEZ"/>
    <s v="VIRGEN"/>
    <s v="PP CLARIFICADO"/>
    <s v="."/>
    <s v="BASE ORGANIZADOR  DE 2KG"/>
    <s v="BASE ORGANIZADOR  DE 2KG PASTEL-ROSADO"/>
    <n v="909"/>
    <n v="6"/>
    <n v="50"/>
    <x v="1"/>
    <m/>
    <n v="18"/>
    <m/>
    <n v="23089"/>
    <s v="ROSADO"/>
    <n v="0"/>
    <n v="0"/>
    <n v="0"/>
    <n v="45.45"/>
    <n v="50"/>
    <n v="50"/>
    <n v="1000"/>
    <x v="12"/>
    <x v="0"/>
    <n v="47"/>
    <n v="2"/>
    <n v="151.5"/>
  </r>
  <r>
    <d v="2025-12-01T08:00:00"/>
    <s v="INYECTADO"/>
    <x v="10"/>
    <x v="270"/>
    <s v="JOSDER GONZALEZ"/>
    <s v="VIRGEN"/>
    <s v="PP CLARIFICADO"/>
    <s v="."/>
    <s v="BASE ORGANIZADOR  DE 2KG"/>
    <s v="BASE ORGANIZADOR  DE 2KG PASTEL-LILA"/>
    <n v="240"/>
    <n v="2"/>
    <n v="13.2"/>
    <x v="1"/>
    <m/>
    <n v="4"/>
    <m/>
    <n v="23089"/>
    <s v="LILA"/>
    <n v="7"/>
    <n v="0"/>
    <n v="0"/>
    <n v="12"/>
    <n v="13.2"/>
    <n v="50"/>
    <n v="264"/>
    <x v="12"/>
    <x v="0"/>
    <n v="47"/>
    <n v="2"/>
    <n v="40"/>
  </r>
  <r>
    <d v="2025-12-01T08:00:00"/>
    <s v="INYECTADO"/>
    <x v="10"/>
    <x v="270"/>
    <s v="JOSDER GONZALEZ"/>
    <s v="VIRGEN"/>
    <s v="PP CLARIFICADO"/>
    <s v="."/>
    <s v="BASE ORGANIZADOR  DE 2KG"/>
    <s v="BASE ORGANIZADOR  DE 2KG CARAMELO-AZUL"/>
    <n v="381"/>
    <n v="3"/>
    <n v="21"/>
    <x v="1"/>
    <m/>
    <n v="6"/>
    <m/>
    <n v="23089"/>
    <s v="AZUL"/>
    <n v="0.9"/>
    <n v="0"/>
    <n v="0"/>
    <n v="19.05"/>
    <n v="21"/>
    <n v="50"/>
    <n v="420"/>
    <x v="12"/>
    <x v="0"/>
    <n v="47"/>
    <n v="2"/>
    <n v="63.5"/>
  </r>
  <r>
    <d v="2025-12-01T08:00:00"/>
    <s v="SOPLADO"/>
    <x v="11"/>
    <x v="271"/>
    <s v="NELSON"/>
    <s v="VIRGEN"/>
    <s v="PP SOPLADO"/>
    <s v="."/>
    <s v="TOMATODO 350ML"/>
    <s v="TOMATODO 350ML-TRANSPARENTE"/>
    <n v="619"/>
    <n v="5"/>
    <n v="19.2"/>
    <x v="0"/>
    <m/>
    <n v="2"/>
    <m/>
    <n v="23207"/>
    <s v="TRANSPARENTE"/>
    <n v="10.5"/>
    <n v="0"/>
    <n v="0"/>
    <n v="38.378"/>
    <n v="19.2"/>
    <n v="62"/>
    <n v="309.67741935483872"/>
    <x v="12"/>
    <x v="0"/>
    <n v="44"/>
    <n v="2"/>
    <n v="103.16666666666667"/>
  </r>
  <r>
    <d v="2025-12-01T08:00:00"/>
    <s v="SOPLADO"/>
    <x v="11"/>
    <x v="271"/>
    <s v="GABRIEL REQUENA"/>
    <s v="VIRGEN"/>
    <s v="PP SOPLADO"/>
    <s v="."/>
    <s v="TOMATODO 350ML"/>
    <s v="TOMATODO 350ML-TRANSPARENTE"/>
    <n v="1612"/>
    <n v="9"/>
    <n v="51.6"/>
    <x v="1"/>
    <m/>
    <n v="6"/>
    <m/>
    <n v="23208"/>
    <s v="TRANSPARENTE"/>
    <n v="27.4"/>
    <n v="0"/>
    <n v="0"/>
    <n v="99.944000000000003"/>
    <n v="51.6"/>
    <n v="62"/>
    <n v="832.25806451612902"/>
    <x v="12"/>
    <x v="0"/>
    <n v="44"/>
    <n v="2"/>
    <n v="268.66666666666669"/>
  </r>
  <r>
    <d v="2025-12-01T08:00:00"/>
    <s v="SOPLADO"/>
    <x v="11"/>
    <x v="273"/>
    <s v="SAID VILLAMIZAR"/>
    <s v="VIRGEN"/>
    <s v="PP SOPLADO"/>
    <s v="."/>
    <s v="TOMATODO 350ML"/>
    <s v="TOMATODO 350ML-TRANSPARENTE"/>
    <n v="1221"/>
    <n v="8"/>
    <n v="39.1"/>
    <x v="0"/>
    <m/>
    <n v="5"/>
    <m/>
    <n v="23209"/>
    <s v="TRANSPARENTE"/>
    <n v="20.7"/>
    <n v="0"/>
    <n v="0"/>
    <n v="75.701999999999998"/>
    <n v="39.1"/>
    <n v="62"/>
    <n v="630.64516129032256"/>
    <x v="12"/>
    <x v="0"/>
    <n v="44"/>
    <n v="2"/>
    <n v="203.5"/>
  </r>
  <r>
    <d v="2025-12-01T08:00:00"/>
    <s v="SOPLADO"/>
    <x v="11"/>
    <x v="274"/>
    <s v="JUANA CRUCES"/>
    <s v="VIRGEN"/>
    <s v="PP SOPLADO"/>
    <s v="."/>
    <s v="TOMATODO 350ML"/>
    <s v="TOMATODO 350ML-TRANSPARENTE"/>
    <n v="1453"/>
    <n v="8"/>
    <n v="46.5"/>
    <x v="0"/>
    <m/>
    <n v="5"/>
    <m/>
    <n v="23210"/>
    <s v="TRANSPARENTE"/>
    <n v="27.6"/>
    <n v="0"/>
    <n v="0"/>
    <n v="90.085999999999999"/>
    <n v="46.5"/>
    <n v="62"/>
    <n v="750"/>
    <x v="12"/>
    <x v="0"/>
    <n v="45"/>
    <n v="2"/>
    <n v="242.16666666666666"/>
  </r>
  <r>
    <d v="2025-12-01T08:00:00"/>
    <s v="SOPLADO"/>
    <x v="9"/>
    <x v="268"/>
    <s v="GABRIEL REQUENA"/>
    <s v="VIRGEN "/>
    <s v="ALTA SOPLADO"/>
    <s v="."/>
    <s v="HUEVO Y CHOCLO"/>
    <s v="HUEVO Y CHOCLO ANITA-BLANCO"/>
    <n v="1307"/>
    <n v="12"/>
    <n v="36.6"/>
    <x v="1"/>
    <m/>
    <n v="5"/>
    <m/>
    <n v="23501"/>
    <s v="BLANCO"/>
    <n v="58.2"/>
    <n v="0"/>
    <n v="0"/>
    <n v="14.377000000000001"/>
    <n v="36.6"/>
    <n v="11"/>
    <n v="3327.2727272727275"/>
    <x v="12"/>
    <x v="0"/>
    <n v="46"/>
    <n v="2"/>
    <n v="217.83333333333334"/>
  </r>
  <r>
    <d v="2025-12-01T08:00:00"/>
    <s v="SOPLADO"/>
    <x v="9"/>
    <x v="278"/>
    <s v="BRAYAN PINEDO"/>
    <s v="VIRGEN "/>
    <s v="ALTA SOPLADO"/>
    <s v="."/>
    <s v="HUEVO Y CHOCLO"/>
    <s v="HUEVO Y CHOCLO ANITA-BLANCO"/>
    <n v="1050"/>
    <n v="11"/>
    <n v="29.4"/>
    <x v="0"/>
    <m/>
    <n v="3"/>
    <m/>
    <n v="23502"/>
    <s v="BLANCO"/>
    <n v="26"/>
    <n v="0"/>
    <n v="0"/>
    <n v="11.55"/>
    <n v="29.4"/>
    <n v="11"/>
    <n v="2672.7272727272725"/>
    <x v="12"/>
    <x v="0"/>
    <n v="46"/>
    <n v="2"/>
    <n v="175"/>
  </r>
  <r>
    <d v="2025-11-18T08:00:00"/>
    <s v="INYECTADO"/>
    <x v="7"/>
    <x v="55"/>
    <m/>
    <m/>
    <m/>
    <m/>
    <s v="TAPA DE ORGANIZADOR #2"/>
    <s v="TAPA DE ORGANIZADOR #2-TRANSPARENTE"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s v="TAPA DE ORGANIZADOR #2-TRANSPARENTE"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s v="TAPA DE ORGANIZADOR #2-TRANSPARENTE"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s v="TAPA DE ORGANIZADOR #2-TRANSPARENTE"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1-18T08:00:00"/>
    <s v="INYECTADO"/>
    <x v="7"/>
    <x v="55"/>
    <m/>
    <m/>
    <m/>
    <m/>
    <s v="TAPA DE ORGANIZADOR #2"/>
    <m/>
    <m/>
    <m/>
    <m/>
    <x v="2"/>
    <m/>
    <m/>
    <m/>
    <m/>
    <m/>
    <m/>
    <m/>
    <m/>
    <m/>
    <m/>
    <m/>
    <m/>
    <x v="13"/>
    <x v="4"/>
    <m/>
    <m/>
    <m/>
  </r>
  <r>
    <d v="2025-12-01T08:00:00"/>
    <s v="SOPLADO"/>
    <x v="9"/>
    <x v="278"/>
    <s v="GABRIEL REQUENA"/>
    <s v="VIRGEN "/>
    <s v="ALTA SOPLADO"/>
    <s v="."/>
    <s v="HUEVO Y CHOCLO"/>
    <s v="HUEVO Y CHOCLO ANITA-BLANCO"/>
    <n v="971"/>
    <n v="12"/>
    <n v="27.2"/>
    <x v="1"/>
    <m/>
    <n v="3"/>
    <m/>
    <n v="23503"/>
    <s v="BLANCO"/>
    <n v="53.4"/>
    <n v="0"/>
    <n v="0"/>
    <n v="10.680999999999999"/>
    <n v="27.2"/>
    <n v="11"/>
    <n v="2472.7272727272725"/>
    <x v="12"/>
    <x v="0"/>
    <n v="46"/>
    <n v="2"/>
    <n v="161.83333333333334"/>
  </r>
  <r>
    <d v="2025-12-01T08:00:00"/>
    <s v="SOPLADO"/>
    <x v="9"/>
    <x v="270"/>
    <s v="NELSON"/>
    <s v="VIRGEN "/>
    <s v="ALTA SOPLADO"/>
    <s v="."/>
    <s v="HUEVO Y CHOCLO"/>
    <s v="HUEVO Y CHOCLO ANITA-BLANCO"/>
    <n v="1080"/>
    <n v="9"/>
    <n v="32.6"/>
    <x v="0"/>
    <m/>
    <n v="4"/>
    <m/>
    <n v="23504"/>
    <s v="BLANCO"/>
    <n v="0"/>
    <n v="0"/>
    <n v="0"/>
    <n v="11.88"/>
    <n v="32.6"/>
    <n v="11"/>
    <n v="2963.6363636363635"/>
    <x v="12"/>
    <x v="0"/>
    <n v="47"/>
    <n v="2"/>
    <n v="180"/>
  </r>
  <r>
    <d v="2025-12-01T08:00:00"/>
    <s v="INYECTADO"/>
    <x v="5"/>
    <x v="270"/>
    <s v="JUANA CRUCES"/>
    <s v="VIRGEN"/>
    <s v="PP CLARIFICADO"/>
    <s v="."/>
    <s v="ASAS ORGANIZADOR 2 Y 3 PASTEL"/>
    <s v="ASAS DE ORGANIZADOR 2 Y 3-SANDIA"/>
    <n v="1103"/>
    <n v="7"/>
    <n v="35.299999999999997"/>
    <x v="1"/>
    <m/>
    <n v="3"/>
    <m/>
    <n v="22570"/>
    <s v="SANDIA"/>
    <n v="13.9"/>
    <n v="0"/>
    <n v="0"/>
    <n v="12.132999999999999"/>
    <n v="35.299999999999997"/>
    <n v="11"/>
    <n v="3209.090909090909"/>
    <x v="12"/>
    <x v="0"/>
    <n v="47"/>
    <n v="3"/>
    <n v="275.75"/>
  </r>
  <r>
    <d v="2025-12-01T08:00:00"/>
    <s v="INYECTADO"/>
    <x v="5"/>
    <x v="270"/>
    <s v="JUANA CRUCES"/>
    <s v="VIRGEN"/>
    <s v="PP CLARIFICADO"/>
    <s v="."/>
    <s v="ASAS ORGANIZADOR 2 Y 3 PASTEL"/>
    <s v="ASAS DE ORGANIZADOR 2 Y 3-CELESTE PASTEL"/>
    <n v="634"/>
    <n v="4"/>
    <n v="20.3"/>
    <x v="1"/>
    <m/>
    <n v="2"/>
    <m/>
    <n v="22570"/>
    <s v="CELESTE"/>
    <n v="10"/>
    <n v="0"/>
    <n v="0"/>
    <n v="6.9740000000000002"/>
    <n v="20.3"/>
    <n v="11"/>
    <n v="1845.4545454545455"/>
    <x v="12"/>
    <x v="0"/>
    <n v="47"/>
    <n v="3"/>
    <n v="158.5"/>
  </r>
  <r>
    <d v="2025-12-01T08:00:00"/>
    <s v="INYECTADO"/>
    <x v="5"/>
    <x v="279"/>
    <s v="CRISALIDA ZAPATA"/>
    <s v="VIRGEN"/>
    <s v="PP CLARIFICADO"/>
    <s v="."/>
    <s v="ASAS ORGANIZADOR 2 Y 3 PASTEL"/>
    <s v="ASAS DE ORGANIZADOR 2 Y 3-CELESTE PASTEL"/>
    <n v="465"/>
    <n v="3"/>
    <n v="14.9"/>
    <x v="0"/>
    <m/>
    <n v="2"/>
    <m/>
    <n v="22571"/>
    <s v="CELESTE"/>
    <n v="9"/>
    <n v="0"/>
    <n v="0"/>
    <n v="5.1150000000000002"/>
    <n v="14.9"/>
    <n v="11"/>
    <n v="1354.5454545454545"/>
    <x v="12"/>
    <x v="0"/>
    <n v="47"/>
    <n v="3"/>
    <n v="116.25"/>
  </r>
  <r>
    <d v="2025-12-01T08:00:00"/>
    <s v="INYECTADO"/>
    <x v="5"/>
    <x v="279"/>
    <s v="CRISALIDA ZAPATA"/>
    <s v="VIRGEN"/>
    <s v="PP CLARIFICADO"/>
    <s v="."/>
    <s v="ASAS ORGANIZADOR 2 Y 3 PASTEL"/>
    <s v="ASAS DE ORGANIZADOR 2 Y 3-LILA"/>
    <n v="1106"/>
    <n v="8"/>
    <n v="35.4"/>
    <x v="0"/>
    <m/>
    <n v="5"/>
    <m/>
    <n v="22571"/>
    <s v="LILA"/>
    <n v="5.7"/>
    <n v="0"/>
    <n v="0"/>
    <n v="12.166"/>
    <n v="35.4"/>
    <n v="11"/>
    <n v="3218.181818181818"/>
    <x v="12"/>
    <x v="0"/>
    <n v="47"/>
    <n v="3"/>
    <n v="276.5"/>
  </r>
  <r>
    <d v="2025-12-01T08:00:00"/>
    <s v="INYECTADO"/>
    <x v="5"/>
    <x v="279"/>
    <s v="JOSDER GONZALEZ"/>
    <s v="VIRGEN"/>
    <s v="PP CLARIFICADO"/>
    <s v="."/>
    <s v="ASAS ORGANIZADOR 2 Y 3 PASTEL"/>
    <s v="ASAS DE ORGANIZADOR 2 Y 3-LILA"/>
    <n v="34"/>
    <n v="1"/>
    <n v="1.1000000000000001"/>
    <x v="1"/>
    <m/>
    <n v="2"/>
    <m/>
    <n v="22572"/>
    <s v="LILA"/>
    <n v="1.8"/>
    <n v="0"/>
    <n v="0"/>
    <n v="0.374"/>
    <n v="1.1000000000000001"/>
    <n v="11"/>
    <n v="100"/>
    <x v="12"/>
    <x v="0"/>
    <n v="47"/>
    <n v="3"/>
    <n v="8.5"/>
  </r>
  <r>
    <d v="2025-12-01T08:00:00"/>
    <s v="INYECTADO"/>
    <x v="5"/>
    <x v="279"/>
    <s v="JOSDER GONZALEZ"/>
    <s v="VIRGEN"/>
    <s v="PP CLARIFICADO"/>
    <s v="."/>
    <s v="ASAS ORGANIZADOR 2 Y 3 SOLIDO"/>
    <s v="ASAS DE ORGANIZADOR 2 Y 3-ROJO"/>
    <n v="1125"/>
    <n v="9"/>
    <n v="36"/>
    <x v="1"/>
    <m/>
    <n v="4"/>
    <m/>
    <n v="22572"/>
    <s v="ROJO"/>
    <n v="17.100000000000001"/>
    <n v="0"/>
    <n v="0"/>
    <n v="12.375"/>
    <n v="36"/>
    <n v="11"/>
    <n v="3272.7272727272725"/>
    <x v="12"/>
    <x v="0"/>
    <n v="47"/>
    <n v="3"/>
    <n v="281.25"/>
  </r>
  <r>
    <d v="2025-12-01T08:00:00"/>
    <s v="INYECTADO"/>
    <x v="5"/>
    <x v="279"/>
    <s v="JOSDER GONZALEZ"/>
    <s v="VIRGEN"/>
    <s v="PP CLARIFICADO"/>
    <s v="."/>
    <s v="ASAS ORGANIZADOR 2 Y 3 SOLIDO"/>
    <s v="ASAS DE ORGANIZADOR 2 Y 3-VERDE"/>
    <n v="284"/>
    <n v="2"/>
    <n v="9.1"/>
    <x v="1"/>
    <m/>
    <n v="2"/>
    <m/>
    <n v="22572"/>
    <s v="VERDE"/>
    <n v="4.2"/>
    <n v="0"/>
    <n v="0"/>
    <n v="3.1240000000000001"/>
    <n v="9.1"/>
    <n v="11"/>
    <n v="827.27272727272725"/>
    <x v="12"/>
    <x v="0"/>
    <n v="47"/>
    <n v="3"/>
    <n v="71"/>
  </r>
  <r>
    <d v="2025-12-01T08:00:00"/>
    <s v="INYECTADO"/>
    <x v="1"/>
    <x v="279"/>
    <s v="GABRIEL REQUENA"/>
    <s v="VIRGEN"/>
    <s v="PP HOMOPOLIMERO"/>
    <s v="PP COPOLIMERO"/>
    <s v="PINES Y COMPUERTAS MINERO"/>
    <s v="PIN Y COMPUERTA MINERITO-AMARILLO"/>
    <n v="1514"/>
    <n v="12"/>
    <n v="71.2"/>
    <x v="1"/>
    <m/>
    <n v="4"/>
    <m/>
    <n v="21638"/>
    <s v="AMARILLO"/>
    <n v="21.2"/>
    <n v="0"/>
    <n v="0"/>
    <n v="71.158000000000001"/>
    <n v="71.2"/>
    <n v="47"/>
    <n v="1514.8936170212767"/>
    <x v="12"/>
    <x v="0"/>
    <n v="47"/>
    <n v="2"/>
    <n v="252.33333333333334"/>
  </r>
  <r>
    <d v="2025-12-01T08:00:00"/>
    <s v="INYECTADO"/>
    <x v="10"/>
    <x v="279"/>
    <s v="SAID VILLAMIZAR"/>
    <s v="VIRGEN"/>
    <s v="PP CLARIFICADO"/>
    <s v="."/>
    <s v="BASE ORGANIZADOR  DE 2KG"/>
    <s v="BASE ORGANIZADOR  DE 2KG CARAMELO-AZUL"/>
    <n v="525"/>
    <n v="5"/>
    <n v="29.4"/>
    <x v="0"/>
    <m/>
    <n v="9"/>
    <m/>
    <n v="23090"/>
    <s v="AZUL"/>
    <n v="0"/>
    <n v="0"/>
    <n v="0"/>
    <n v="26.25"/>
    <n v="29.4"/>
    <n v="50"/>
    <n v="588"/>
    <x v="12"/>
    <x v="0"/>
    <n v="47"/>
    <n v="2"/>
    <n v="87.5"/>
  </r>
  <r>
    <d v="2025-12-01T08:00:00"/>
    <s v="INYECTADO"/>
    <x v="10"/>
    <x v="279"/>
    <s v="SAID VILLAMIZAR"/>
    <s v="VIRGEN"/>
    <s v="PP CLARIFICADO"/>
    <s v="."/>
    <s v="BASE ORGANIZADOR  DE 2KG"/>
    <s v="BASE ORGANIZADOR  DE 2KG CARAMELO-LILA"/>
    <n v="845"/>
    <n v="6"/>
    <n v="46.5"/>
    <x v="0"/>
    <m/>
    <n v="14"/>
    <m/>
    <n v="23090"/>
    <s v="LILA"/>
    <n v="0"/>
    <n v="0"/>
    <n v="0"/>
    <n v="42.25"/>
    <n v="46.5"/>
    <n v="50"/>
    <n v="930"/>
    <x v="12"/>
    <x v="0"/>
    <n v="47"/>
    <n v="2"/>
    <n v="140.83333333333334"/>
  </r>
  <r>
    <d v="2025-12-01T08:00:00"/>
    <s v="INYECTADO"/>
    <x v="10"/>
    <x v="279"/>
    <s v="MARJORIE VILCHEZ"/>
    <s v="VIRGEN"/>
    <s v="PP CLARIFICADO"/>
    <s v="."/>
    <s v="BASE ORGANIZADOR  DE 2KG"/>
    <s v="BASE ORGANIZADOR  DE 2KG CARAMELO-LILA"/>
    <n v="61"/>
    <n v="1"/>
    <n v="3.4"/>
    <x v="1"/>
    <m/>
    <n v="2"/>
    <m/>
    <n v="23091"/>
    <s v="LILA"/>
    <n v="4"/>
    <n v="0"/>
    <n v="0"/>
    <n v="3.05"/>
    <n v="3.4"/>
    <n v="50"/>
    <n v="68"/>
    <x v="12"/>
    <x v="0"/>
    <n v="47"/>
    <n v="2"/>
    <n v="10.166666666666666"/>
  </r>
  <r>
    <d v="2025-12-01T08:00:00"/>
    <s v="INYECTADO"/>
    <x v="10"/>
    <x v="279"/>
    <s v="MARJORIE VILCHEZ"/>
    <s v="VIRGEN"/>
    <s v="PP CLARIFICADO"/>
    <s v="."/>
    <s v="BASE ORGANIZADOR  DE 2KG"/>
    <s v="BASE ORGANIZADOR  DE 2KG CARAMELO-FUCSIA"/>
    <n v="927"/>
    <n v="8"/>
    <n v="51"/>
    <x v="1"/>
    <m/>
    <n v="15"/>
    <m/>
    <n v="23091"/>
    <s v="FUCSIA"/>
    <n v="9"/>
    <n v="0"/>
    <n v="0"/>
    <n v="46.35"/>
    <n v="51"/>
    <n v="50"/>
    <n v="1020"/>
    <x v="12"/>
    <x v="0"/>
    <n v="47"/>
    <n v="2"/>
    <n v="154.5"/>
  </r>
  <r>
    <d v="2025-12-01T08:00:00"/>
    <s v="INYECTADO"/>
    <x v="10"/>
    <x v="279"/>
    <s v="MARJORIE VILCHEZ"/>
    <s v="VIRGEN"/>
    <s v="PP CLARIFICADO"/>
    <s v="."/>
    <s v="BASE ORGANIZADOR  DE 2KG"/>
    <s v="BASE ORGANIZADOR  DE 2KG-TRANSPARENTE"/>
    <n v="321"/>
    <n v="3"/>
    <n v="17.7"/>
    <x v="1"/>
    <m/>
    <n v="5"/>
    <m/>
    <n v="23091"/>
    <s v="TRANSPARENTE"/>
    <n v="0"/>
    <n v="0"/>
    <n v="0"/>
    <n v="16.05"/>
    <n v="17.7"/>
    <n v="50"/>
    <n v="354"/>
    <x v="12"/>
    <x v="0"/>
    <n v="47"/>
    <n v="2"/>
    <n v="53.5"/>
  </r>
  <r>
    <d v="2025-12-01T08:00:00"/>
    <s v="INYECTADO"/>
    <x v="8"/>
    <x v="271"/>
    <s v="BRAYAN PINEDO"/>
    <s v="VIRGEN"/>
    <s v="PP CLARIFICADO"/>
    <s v="."/>
    <s v="EMBUDO #3"/>
    <s v="EMBUDO #3-AMARILLO"/>
    <n v="520"/>
    <n v="6"/>
    <n v="108.2"/>
    <x v="0"/>
    <m/>
    <n v="6"/>
    <m/>
    <n v="22975"/>
    <s v="AMARILLO"/>
    <n v="2.6"/>
    <n v="0"/>
    <n v="0"/>
    <n v="27.04"/>
    <n v="108.2"/>
    <n v="52"/>
    <n v="2080.7692307692309"/>
    <x v="12"/>
    <x v="0"/>
    <n v="44"/>
    <n v="4"/>
    <n v="173.33333333333334"/>
  </r>
  <r>
    <d v="2025-12-01T08:00:00"/>
    <s v="INYECTADO"/>
    <x v="8"/>
    <x v="271"/>
    <s v="JUAN MANUEL"/>
    <s v="VIRGEN"/>
    <s v="PP CLARIFICADO"/>
    <s v="."/>
    <s v="EMBUDO #3"/>
    <s v="EMBUDO #3-AMARILLO"/>
    <n v="399"/>
    <n v="4"/>
    <n v="83"/>
    <x v="1"/>
    <m/>
    <n v="5"/>
    <m/>
    <n v="22976"/>
    <s v="AMARILLO"/>
    <n v="2.7"/>
    <n v="0"/>
    <n v="0"/>
    <n v="20.748000000000001"/>
    <n v="83"/>
    <n v="52"/>
    <n v="1596.1538461538462"/>
    <x v="12"/>
    <x v="0"/>
    <n v="44"/>
    <n v="4"/>
    <n v="133"/>
  </r>
  <r>
    <d v="2025-12-01T08:00:00"/>
    <s v="INYECTADO"/>
    <x v="8"/>
    <x v="274"/>
    <s v="NELSON"/>
    <s v="VIRGEN"/>
    <s v="PP CLARIFICADO"/>
    <s v="."/>
    <s v="TAPA TAPERS REDONDOS"/>
    <s v="TAPA TAPER REDONDO-AMARILLO"/>
    <n v="397"/>
    <n v="3"/>
    <n v="37"/>
    <x v="0"/>
    <m/>
    <n v="5"/>
    <m/>
    <n v="22977"/>
    <s v="AMARILLO"/>
    <n v="0"/>
    <n v="0"/>
    <n v="0"/>
    <n v="13.101000000000001"/>
    <n v="37"/>
    <n v="33"/>
    <n v="1121.2121212121212"/>
    <x v="12"/>
    <x v="0"/>
    <n v="45"/>
    <n v="4"/>
    <n v="132.33333333333334"/>
  </r>
  <r>
    <d v="2025-12-01T08:00:00"/>
    <s v="INYECTADO"/>
    <x v="8"/>
    <x v="274"/>
    <s v="JUAN MANUEL"/>
    <s v="VIRGEN"/>
    <s v="PP CLARIFICADO"/>
    <s v="."/>
    <s v="TAPA TAPERS REDONDOS"/>
    <s v="TAPA TAPER REDONDO-AMARILLO"/>
    <n v="622"/>
    <n v="4"/>
    <n v="57.9"/>
    <x v="1"/>
    <m/>
    <n v="8"/>
    <m/>
    <n v="22978"/>
    <s v="AMARILLO"/>
    <n v="0"/>
    <n v="0"/>
    <n v="0"/>
    <n v="20.526"/>
    <n v="57.9"/>
    <n v="33"/>
    <n v="1754.5454545454545"/>
    <x v="12"/>
    <x v="0"/>
    <n v="45"/>
    <n v="4"/>
    <n v="207.33333333333334"/>
  </r>
  <r>
    <d v="2025-12-01T08:00:00"/>
    <s v="INYECTADO"/>
    <x v="8"/>
    <x v="274"/>
    <s v="JUAN MANUEL"/>
    <s v="VIRGEN"/>
    <s v="PP CLARIFICADO"/>
    <s v="."/>
    <s v="TAPA TAPERS REDONDOS"/>
    <s v="TAPA TAPER REDONDO-VERDE"/>
    <n v="1068"/>
    <n v="8"/>
    <n v="99.4"/>
    <x v="1"/>
    <m/>
    <n v="14"/>
    <m/>
    <n v="22978"/>
    <s v="VERDE"/>
    <n v="0"/>
    <n v="0"/>
    <n v="0"/>
    <n v="35.244"/>
    <n v="99.4"/>
    <n v="33"/>
    <n v="3012.121212121212"/>
    <x v="12"/>
    <x v="0"/>
    <n v="45"/>
    <n v="4"/>
    <n v="356"/>
  </r>
  <r>
    <d v="2025-12-01T08:00:00"/>
    <s v="INYECTADO"/>
    <x v="8"/>
    <x v="275"/>
    <s v="NELSON"/>
    <s v="VIRGEN"/>
    <s v="PP CLARIFICADO"/>
    <s v="."/>
    <s v="TAPA TAPERS REDONDOS"/>
    <s v="TAPA TAPER REDONDO-TURQUESA"/>
    <n v="1090"/>
    <n v="8"/>
    <n v="101.4"/>
    <x v="0"/>
    <m/>
    <n v="14"/>
    <m/>
    <s v="22978-1"/>
    <s v="TURQUESA"/>
    <n v="3.6"/>
    <n v="0"/>
    <n v="0"/>
    <n v="35.97"/>
    <n v="101.4"/>
    <n v="33"/>
    <n v="3072.7272727272725"/>
    <x v="12"/>
    <x v="0"/>
    <n v="45"/>
    <n v="4"/>
    <n v="363.33333333333331"/>
  </r>
  <r>
    <d v="2025-12-01T08:00:00"/>
    <s v="INYECTADO"/>
    <x v="8"/>
    <x v="275"/>
    <s v="NELSON"/>
    <s v="VIRGEN"/>
    <s v="PP CLARIFICADO"/>
    <s v="."/>
    <s v="TAPA TAPERS REDONDOS"/>
    <s v="TAPA TAPER REDONDO-AZUL"/>
    <n v="135"/>
    <n v="1"/>
    <n v="12.6"/>
    <x v="0"/>
    <m/>
    <n v="2"/>
    <m/>
    <s v="22978-1"/>
    <s v="AZUL"/>
    <n v="5.7"/>
    <n v="0"/>
    <n v="0"/>
    <n v="4.4550000000000001"/>
    <n v="12.6"/>
    <n v="33"/>
    <n v="381.81818181818181"/>
    <x v="12"/>
    <x v="0"/>
    <n v="45"/>
    <n v="4"/>
    <n v="45"/>
  </r>
  <r>
    <d v="2025-12-01T08:00:00"/>
    <s v="INYECTADO"/>
    <x v="8"/>
    <x v="275"/>
    <s v="ISABEL LINARIZ "/>
    <s v="VIRGEN"/>
    <s v="PP CLARIFICADO"/>
    <s v="."/>
    <s v="TAPA TAPERS REDONDOS"/>
    <s v="TAPA TAPER REDONDO-AZUL"/>
    <n v="952"/>
    <n v="6"/>
    <n v="88.6"/>
    <x v="1"/>
    <m/>
    <n v="12"/>
    <m/>
    <n v="22979"/>
    <s v="AZUL"/>
    <n v="4.4000000000000004"/>
    <n v="0"/>
    <n v="0"/>
    <n v="31.416"/>
    <n v="88.6"/>
    <n v="33"/>
    <n v="2684.848484848485"/>
    <x v="12"/>
    <x v="0"/>
    <n v="45"/>
    <n v="4"/>
    <n v="317.33333333333331"/>
  </r>
  <r>
    <d v="2025-12-01T08:00:00"/>
    <s v="INYECTADO"/>
    <x v="8"/>
    <x v="275"/>
    <s v="ISABEL LINARIZ "/>
    <s v="VIRGEN"/>
    <s v="PP CLARIFICADO"/>
    <s v="."/>
    <s v="TAPA TAPERS REDONDOS"/>
    <s v="TAPA TAPER REDONDO-FUCSIA"/>
    <n v="884"/>
    <n v="5"/>
    <n v="82.3"/>
    <x v="1"/>
    <m/>
    <n v="11"/>
    <m/>
    <n v="22979"/>
    <s v="FUCSIA"/>
    <n v="2.8"/>
    <n v="0"/>
    <n v="0"/>
    <n v="29.172000000000001"/>
    <n v="82.3"/>
    <n v="33"/>
    <n v="2493.939393939394"/>
    <x v="12"/>
    <x v="0"/>
    <n v="45"/>
    <n v="4"/>
    <n v="294.66666666666669"/>
  </r>
  <r>
    <d v="2025-12-01T08:00:00"/>
    <s v="INYECTADO"/>
    <x v="8"/>
    <x v="276"/>
    <s v="JUANA CRUCES"/>
    <s v="VIRGEN"/>
    <s v="PP CLARIFICADO"/>
    <s v="."/>
    <s v="TAPA TAPERS REDONDOS"/>
    <s v="TAPA TAPER REDONDO-FUCSIA"/>
    <n v="162"/>
    <n v="1"/>
    <n v="15.1"/>
    <x v="0"/>
    <m/>
    <n v="2"/>
    <m/>
    <n v="22980"/>
    <s v="FUCSIA"/>
    <n v="5.2"/>
    <n v="0"/>
    <n v="0"/>
    <n v="5.3460000000000001"/>
    <n v="15.1"/>
    <n v="33"/>
    <n v="457.57575757575756"/>
    <x v="12"/>
    <x v="0"/>
    <n v="45"/>
    <n v="4"/>
    <n v="54"/>
  </r>
  <r>
    <d v="2025-12-01T08:00:00"/>
    <s v="INYECTADO"/>
    <x v="8"/>
    <x v="276"/>
    <s v="JUANA CRUCES"/>
    <s v="VIRGEN"/>
    <s v="PP CLARIFICADO"/>
    <s v="."/>
    <s v="TAPA TAPERS REDONDOS"/>
    <s v="TAPA TAPER REDONDO-ROJO"/>
    <n v="1521"/>
    <n v="11"/>
    <n v="141.5"/>
    <x v="0"/>
    <m/>
    <n v="19"/>
    <m/>
    <n v="22980"/>
    <s v="ROJO"/>
    <n v="2.9"/>
    <n v="0"/>
    <n v="0"/>
    <n v="50.192999999999998"/>
    <n v="141.5"/>
    <n v="33"/>
    <n v="4287.878787878788"/>
    <x v="12"/>
    <x v="0"/>
    <n v="45"/>
    <n v="4"/>
    <n v="507"/>
  </r>
  <r>
    <d v="2025-12-01T08:00:00"/>
    <s v="INYECTADO"/>
    <x v="8"/>
    <x v="276"/>
    <s v="JUAN MANUEL"/>
    <s v="VIRGEN"/>
    <s v="PP CLARIFICADO"/>
    <s v="."/>
    <s v="TAPA TAPERS REDONDOS"/>
    <s v="TAPA TAPER REDONDO-ROJO"/>
    <n v="633"/>
    <n v="4"/>
    <n v="58.9"/>
    <x v="1"/>
    <m/>
    <n v="8"/>
    <m/>
    <n v="22981"/>
    <s v="ROJO"/>
    <n v="0"/>
    <n v="0"/>
    <n v="0"/>
    <n v="20.888999999999999"/>
    <n v="58.9"/>
    <n v="33"/>
    <n v="1784.8484848484848"/>
    <x v="12"/>
    <x v="0"/>
    <n v="45"/>
    <n v="4"/>
    <n v="211"/>
  </r>
  <r>
    <d v="2025-12-01T08:00:00"/>
    <s v="INYECTADO"/>
    <x v="8"/>
    <x v="276"/>
    <s v="JUAN MANUEL"/>
    <s v="VIRGEN"/>
    <s v="PP CLARIFICADO"/>
    <s v="."/>
    <s v="TAPA TAPERS REDONDOS"/>
    <s v="TAPA TAPER REDONDO-AZUL"/>
    <n v="1080"/>
    <n v="8"/>
    <n v="100.5"/>
    <x v="1"/>
    <m/>
    <n v="14"/>
    <m/>
    <n v="22981"/>
    <s v="AZUL"/>
    <n v="0"/>
    <n v="0"/>
    <n v="0"/>
    <n v="35.64"/>
    <n v="100.5"/>
    <n v="33"/>
    <n v="3045.4545454545455"/>
    <x v="12"/>
    <x v="0"/>
    <n v="45"/>
    <n v="4"/>
    <n v="360"/>
  </r>
  <r>
    <d v="2025-12-01T08:00:00"/>
    <s v="INYECTADO"/>
    <x v="8"/>
    <x v="277"/>
    <s v="JUANA CRUCES"/>
    <s v="VIRGEN"/>
    <s v="PP CLARIFICADO"/>
    <s v="."/>
    <s v="TAPA TAPERS REDONDOS"/>
    <s v="TAPA TAPER REDONDO-VERDE"/>
    <n v="404"/>
    <n v="3"/>
    <n v="37.6"/>
    <x v="0"/>
    <m/>
    <n v="4"/>
    <m/>
    <n v="22982"/>
    <s v="VERDE"/>
    <n v="0.5"/>
    <n v="0"/>
    <n v="0"/>
    <n v="13.332000000000001"/>
    <n v="37.6"/>
    <n v="33"/>
    <n v="1139.3939393939395"/>
    <x v="12"/>
    <x v="0"/>
    <n v="45"/>
    <n v="4"/>
    <n v="134.66666666666666"/>
  </r>
  <r>
    <d v="2025-12-01T08:00:00"/>
    <s v="INYECTADO"/>
    <x v="8"/>
    <x v="277"/>
    <s v="JUANA CRUCES"/>
    <s v="VIRGEN"/>
    <s v="PP CLARIFICADO"/>
    <s v="."/>
    <s v="TAPA TAPERS REDONDOS"/>
    <s v="TAPA TAPER REDONDO-TURQUESA"/>
    <n v="1086"/>
    <n v="8"/>
    <n v="101"/>
    <x v="0"/>
    <m/>
    <n v="14"/>
    <m/>
    <n v="22982"/>
    <s v="TURQUESA"/>
    <n v="5.8"/>
    <n v="0"/>
    <n v="0"/>
    <n v="35.838000000000001"/>
    <n v="101"/>
    <n v="33"/>
    <n v="3060.6060606060605"/>
    <x v="12"/>
    <x v="0"/>
    <n v="45"/>
    <n v="4"/>
    <n v="362"/>
  </r>
  <r>
    <d v="2025-12-01T08:00:00"/>
    <s v="INYECTADO"/>
    <x v="8"/>
    <x v="277"/>
    <s v="ISABEL LINARIZ "/>
    <s v="VIRGEN"/>
    <s v="PP CLARIFICADO"/>
    <s v="."/>
    <s v="TAPA TAPERS REDONDOS"/>
    <s v="TAPA TAPER REDONDO-VERDE"/>
    <n v="690"/>
    <n v="4"/>
    <n v="64.2"/>
    <x v="1"/>
    <m/>
    <n v="9"/>
    <m/>
    <n v="22983"/>
    <s v="VERDE"/>
    <n v="3.9"/>
    <n v="0"/>
    <n v="0"/>
    <n v="22.77"/>
    <n v="64.2"/>
    <n v="33"/>
    <n v="1945.4545454545455"/>
    <x v="12"/>
    <x v="0"/>
    <n v="45"/>
    <n v="4"/>
    <n v="230"/>
  </r>
  <r>
    <d v="2025-12-01T08:00:00"/>
    <s v="INYECTADO"/>
    <x v="8"/>
    <x v="277"/>
    <s v="ISABEL LINARIZ "/>
    <s v="VIRGEN"/>
    <s v="PP CLARIFICADO"/>
    <s v="."/>
    <s v="TAPA TAPERS REDONDOS"/>
    <s v="TAPA TAPER REDONDO-AMARILLO"/>
    <n v="1003"/>
    <n v="7"/>
    <n v="93.3"/>
    <x v="1"/>
    <m/>
    <n v="13"/>
    <m/>
    <n v="22983"/>
    <s v="AMARILLO"/>
    <n v="6.6"/>
    <n v="0"/>
    <n v="0"/>
    <n v="33.098999999999997"/>
    <n v="93.3"/>
    <n v="33"/>
    <n v="2827.2727272727275"/>
    <x v="12"/>
    <x v="0"/>
    <n v="45"/>
    <n v="4"/>
    <n v="334.33333333333331"/>
  </r>
  <r>
    <d v="2025-12-01T08:00:00"/>
    <s v="INYECTADO"/>
    <x v="8"/>
    <x v="263"/>
    <s v="NESTOR"/>
    <s v="VIRGEN"/>
    <s v="PP CLARIFICADO"/>
    <s v="."/>
    <s v="TAPA TAPERS REDONDOS"/>
    <s v="TAPA TAPER REDONDO-FUCSIA"/>
    <n v="1130"/>
    <n v="9"/>
    <n v="105.1"/>
    <x v="0"/>
    <m/>
    <n v="14"/>
    <m/>
    <n v="22984"/>
    <s v="FUCSIA"/>
    <n v="6.1"/>
    <n v="0"/>
    <n v="0"/>
    <n v="37.29"/>
    <n v="105.1"/>
    <n v="33"/>
    <n v="3184.848484848485"/>
    <x v="12"/>
    <x v="0"/>
    <n v="45"/>
    <n v="4"/>
    <n v="376.66666666666669"/>
  </r>
  <r>
    <d v="2025-12-01T08:00:00"/>
    <s v="INYECTADO"/>
    <x v="8"/>
    <x v="265"/>
    <s v="JOSDER GONZALEZ"/>
    <s v="MIXTO"/>
    <s v="PP CLARIFICADO"/>
    <s v="PP INYECTADO"/>
    <s v="EMBUDO GIGANTE"/>
    <s v="EMBUDO GIGANTE-AMARILLO"/>
    <n v="1014"/>
    <n v="10"/>
    <n v="168.4"/>
    <x v="1"/>
    <m/>
    <n v="32"/>
    <m/>
    <n v="22985"/>
    <s v="AMARILLO"/>
    <n v="22.1"/>
    <n v="0"/>
    <n v="0"/>
    <n v="201.786"/>
    <n v="168.4"/>
    <n v="199"/>
    <n v="846.2311557788945"/>
    <x v="12"/>
    <x v="0"/>
    <n v="46"/>
    <n v="1"/>
    <n v="84.5"/>
  </r>
  <r>
    <d v="2025-12-01T08:00:00"/>
    <s v="INYECTADO"/>
    <x v="8"/>
    <x v="265"/>
    <s v="JOSDER GONZALEZ"/>
    <s v="MIXTO"/>
    <s v="PP CLARIFICADO"/>
    <s v="PP INYECTADO"/>
    <s v="EMBUDO GIGANTE"/>
    <s v="EMBUDO GIGANTE-VERDE"/>
    <n v="296"/>
    <n v="2"/>
    <n v="49.2"/>
    <x v="1"/>
    <m/>
    <n v="10"/>
    <m/>
    <n v="22985"/>
    <s v="VERDE"/>
    <n v="5.6"/>
    <n v="0"/>
    <n v="0"/>
    <n v="58.904000000000003"/>
    <n v="49.2"/>
    <n v="199"/>
    <n v="247.23618090452263"/>
    <x v="12"/>
    <x v="0"/>
    <n v="46"/>
    <n v="1"/>
    <n v="24.666666666666668"/>
  </r>
  <r>
    <d v="2025-12-01T08:00:00"/>
    <s v="INYECTADO"/>
    <x v="8"/>
    <x v="266"/>
    <s v="NELSON"/>
    <s v="MIXTO"/>
    <s v="PP CLARIFICADO"/>
    <s v="PP INYECTADO"/>
    <s v="EMBUDO GIGANTE"/>
    <s v="EMBUDO GIGANTE-VERDE"/>
    <n v="430"/>
    <n v="4"/>
    <n v="68.5"/>
    <x v="0"/>
    <m/>
    <n v="11"/>
    <m/>
    <n v="22986"/>
    <s v="VERDE"/>
    <n v="0"/>
    <n v="0"/>
    <n v="0"/>
    <n v="85.57"/>
    <n v="68.5"/>
    <n v="199"/>
    <n v="344.2211055276382"/>
    <x v="12"/>
    <x v="0"/>
    <n v="46"/>
    <n v="1"/>
    <n v="35.833333333333336"/>
  </r>
  <r>
    <d v="2025-12-01T08:00:00"/>
    <s v="INYECTADO"/>
    <x v="8"/>
    <x v="266"/>
    <s v="NELSON"/>
    <s v="MIXTO"/>
    <s v="PP CLARIFICADO"/>
    <s v="PP INYECTADO"/>
    <s v="EMBUDO GIGANTE"/>
    <s v="EMBUDO GIGANTE-ROJO"/>
    <n v="800"/>
    <n v="7"/>
    <n v="127.3"/>
    <x v="0"/>
    <m/>
    <n v="24"/>
    <m/>
    <n v="22986"/>
    <s v="ROJO"/>
    <n v="0"/>
    <n v="0"/>
    <n v="0"/>
    <n v="159.19999999999999"/>
    <n v="127.3"/>
    <n v="199"/>
    <n v="639.69849246231161"/>
    <x v="12"/>
    <x v="0"/>
    <n v="46"/>
    <n v="1"/>
    <n v="66.666666666666671"/>
  </r>
  <r>
    <d v="2025-12-01T08:00:00"/>
    <s v="INYECTADO"/>
    <x v="8"/>
    <x v="268"/>
    <s v="JUAN MANUEL"/>
    <s v="MIXTO"/>
    <s v="PP CLARIFICADO"/>
    <s v="PP INYECTADO"/>
    <s v="EMBUDO GIGANTE"/>
    <s v="EMBUDO GIGANTE-ROJO"/>
    <n v="273"/>
    <n v="3"/>
    <n v="44.1"/>
    <x v="1"/>
    <m/>
    <n v="8"/>
    <m/>
    <n v="22987"/>
    <s v="ROJO"/>
    <n v="3"/>
    <n v="0"/>
    <n v="0"/>
    <n v="54.326999999999998"/>
    <n v="44.1"/>
    <n v="199"/>
    <n v="221.60804020100502"/>
    <x v="12"/>
    <x v="0"/>
    <n v="46"/>
    <n v="1"/>
    <n v="22.75"/>
  </r>
  <r>
    <d v="2025-12-01T08:00:00"/>
    <s v="INYECTADO"/>
    <x v="8"/>
    <x v="268"/>
    <s v="JUAN MANUEL"/>
    <s v="MIXTO"/>
    <s v="PP CLARIFICADO"/>
    <s v="PP INYECTADO"/>
    <s v="EMBUDO GIGANTE"/>
    <s v="EMBUDO GIGANTE-AZUL"/>
    <n v="897"/>
    <n v="9"/>
    <n v="145.4"/>
    <x v="1"/>
    <m/>
    <n v="15"/>
    <m/>
    <n v="22987"/>
    <s v="AZUL"/>
    <n v="3"/>
    <n v="0"/>
    <n v="0"/>
    <n v="178.50299999999999"/>
    <n v="145.4"/>
    <n v="199"/>
    <n v="730.6532663316583"/>
    <x v="12"/>
    <x v="0"/>
    <n v="46"/>
    <n v="1"/>
    <n v="74.75"/>
  </r>
  <r>
    <d v="2025-12-01T08:00:00"/>
    <s v="INYECTADO"/>
    <x v="8"/>
    <x v="278"/>
    <s v="NESTOR"/>
    <s v="MIXTO"/>
    <s v="PP CLARIFICADO"/>
    <s v="PP INYECTADO"/>
    <s v="EMBUDO GIGANTE"/>
    <s v="EMBUDO GIGANTE-AZUL"/>
    <n v="188"/>
    <n v="2"/>
    <n v="30.3"/>
    <x v="0"/>
    <m/>
    <n v="3"/>
    <m/>
    <n v="22988"/>
    <s v="AZUL"/>
    <n v="2.1"/>
    <n v="0"/>
    <n v="0"/>
    <n v="37.411999999999999"/>
    <n v="30.3"/>
    <n v="199"/>
    <n v="152.26130653266333"/>
    <x v="12"/>
    <x v="0"/>
    <n v="46"/>
    <n v="1"/>
    <n v="15.666666666666666"/>
  </r>
  <r>
    <d v="2025-12-01T08:00:00"/>
    <s v="INYECTADO"/>
    <x v="8"/>
    <x v="278"/>
    <s v="NESTOR"/>
    <s v="MIXTO"/>
    <s v="PP CLARIFICADO"/>
    <s v="PP INYECTADO"/>
    <s v="EMBUDO GIGANTE"/>
    <s v="EMBUDO GIGANTE-LILA"/>
    <n v="878"/>
    <n v="8"/>
    <n v="141.4"/>
    <x v="0"/>
    <m/>
    <n v="15"/>
    <m/>
    <n v="22988"/>
    <s v="LILA"/>
    <n v="12"/>
    <n v="0"/>
    <n v="0"/>
    <n v="174.72200000000001"/>
    <n v="141.4"/>
    <n v="199"/>
    <n v="710.5527638190955"/>
    <x v="12"/>
    <x v="0"/>
    <n v="46"/>
    <n v="1"/>
    <n v="73.166666666666671"/>
  </r>
  <r>
    <d v="2025-12-01T08:00:00"/>
    <s v="INYECTADO"/>
    <x v="8"/>
    <x v="278"/>
    <s v="NESTOR"/>
    <s v="MIXTO"/>
    <s v="PP CLARIFICADO"/>
    <s v="PP INYECTADO"/>
    <s v="EMBUDO GIGANTE"/>
    <s v="EMBUDO GIGANTE-PLOMO"/>
    <n v="18"/>
    <n v="1"/>
    <n v="2.9"/>
    <x v="0"/>
    <m/>
    <n v="1"/>
    <m/>
    <n v="22988"/>
    <s v="PLOMO"/>
    <n v="1.2"/>
    <n v="0"/>
    <n v="0"/>
    <n v="0"/>
    <n v="2.9"/>
    <n v="0"/>
    <n v="0"/>
    <x v="12"/>
    <x v="0"/>
    <n v="46"/>
    <n v="0"/>
    <n v="0"/>
  </r>
  <r>
    <d v="2025-12-01T08:00:00"/>
    <s v="INYECTADO"/>
    <x v="8"/>
    <x v="278"/>
    <s v="JUAN MANUEL"/>
    <s v="MIXTO"/>
    <s v="PP CLARIFICADO"/>
    <s v="PP INYECTADO"/>
    <s v="EMBUDO GIGANTE"/>
    <s v="EMBUDO GIGANTE-ANARANJADO"/>
    <n v="1021"/>
    <n v="9"/>
    <n v="164.4"/>
    <x v="1"/>
    <m/>
    <n v="17"/>
    <m/>
    <n v="22989"/>
    <s v="NARANJA"/>
    <n v="2"/>
    <n v="0"/>
    <n v="0"/>
    <n v="203.179"/>
    <n v="164.4"/>
    <n v="199"/>
    <n v="826.13065326633171"/>
    <x v="12"/>
    <x v="0"/>
    <n v="46"/>
    <n v="1"/>
    <n v="85.083333333333329"/>
  </r>
  <r>
    <d v="2025-12-01T08:00:00"/>
    <s v="INYECTADO"/>
    <x v="8"/>
    <x v="278"/>
    <s v="JUAN MANUEL"/>
    <s v="MIXTO"/>
    <s v="PP CLARIFICADO"/>
    <s v="PP INYECTADO"/>
    <s v="EMBUDO GIGANTE"/>
    <s v="EMBUDO GIGANTE-PLOMO"/>
    <n v="134"/>
    <n v="2"/>
    <n v="21.7"/>
    <x v="1"/>
    <m/>
    <n v="3"/>
    <m/>
    <n v="22989"/>
    <s v="PLOMO"/>
    <n v="2"/>
    <n v="0"/>
    <n v="0"/>
    <n v="0"/>
    <n v="21.7"/>
    <n v="0"/>
    <n v="0"/>
    <x v="12"/>
    <x v="0"/>
    <n v="46"/>
    <n v="0"/>
    <n v="0"/>
  </r>
  <r>
    <d v="2025-12-01T08:00:00"/>
    <s v="INYECTADO"/>
    <x v="8"/>
    <x v="278"/>
    <s v="JUAN MANUEL"/>
    <s v="MIXTO"/>
    <s v="PP CLARIFICADO"/>
    <s v="PP INYECTADO"/>
    <s v="EMBUDO GIGANTE"/>
    <s v="EMBUDO GIGANTE-VERDE"/>
    <n v="48"/>
    <n v="1"/>
    <n v="7.7"/>
    <x v="1"/>
    <m/>
    <n v="1"/>
    <m/>
    <n v="22989"/>
    <s v="VERDE"/>
    <n v="1"/>
    <n v="0"/>
    <n v="0"/>
    <n v="9.5519999999999996"/>
    <n v="7.7"/>
    <n v="199"/>
    <n v="38.693467336683419"/>
    <x v="12"/>
    <x v="0"/>
    <n v="46"/>
    <n v="1"/>
    <n v="4"/>
  </r>
  <r>
    <d v="2025-12-01T08:00:00"/>
    <s v="INYECTADO"/>
    <x v="8"/>
    <x v="280"/>
    <s v="SAID VILLAMIZAR"/>
    <s v="MIXTO"/>
    <s v="PP CLARIFICADO"/>
    <s v="PP INYECTADO"/>
    <s v="EMBUDO GIGANTE"/>
    <s v="EMBUDO GIGANTE-VERDE"/>
    <n v="262"/>
    <n v="3"/>
    <n v="42.2"/>
    <x v="0"/>
    <m/>
    <n v="5"/>
    <m/>
    <n v="22990"/>
    <s v="VERDE"/>
    <n v="5.8"/>
    <n v="0"/>
    <n v="0"/>
    <n v="52.137999999999998"/>
    <n v="42.2"/>
    <n v="199"/>
    <n v="212.0603015075377"/>
    <x v="12"/>
    <x v="0"/>
    <n v="46"/>
    <n v="1"/>
    <n v="21.833333333333332"/>
  </r>
  <r>
    <d v="2025-12-01T08:00:00"/>
    <s v="INYECTADO"/>
    <x v="8"/>
    <x v="280"/>
    <s v="SAID VILLAMIZAR"/>
    <s v="MIXTO"/>
    <s v="PP CLARIFICADO"/>
    <s v="PP INYECTADO"/>
    <s v="EMBUDO GIGANTE"/>
    <s v="EMBUDO GIGANTE-PLOMO"/>
    <n v="32"/>
    <n v="1"/>
    <n v="5.3"/>
    <x v="0"/>
    <m/>
    <n v="1"/>
    <m/>
    <n v="22990"/>
    <s v="PLOMO"/>
    <n v="3"/>
    <n v="0"/>
    <n v="0"/>
    <n v="0"/>
    <n v="5.3"/>
    <n v="0"/>
    <n v="0"/>
    <x v="12"/>
    <x v="0"/>
    <n v="46"/>
    <n v="0"/>
    <n v="0"/>
  </r>
  <r>
    <d v="2025-12-01T08:00:00"/>
    <s v="INYECTADO"/>
    <x v="8"/>
    <x v="269"/>
    <s v="SILFREDO"/>
    <s v="VIRGEN"/>
    <s v="PP CLARIFICADO"/>
    <s v="."/>
    <s v="TAPER ALEMAN 2800ML PASTEL"/>
    <s v="TAPER 2800ML PASTEL-CREMA"/>
    <n v="1091"/>
    <n v="9"/>
    <n v="146.30000000000001"/>
    <x v="0"/>
    <m/>
    <n v="18"/>
    <m/>
    <n v="22991"/>
    <s v="CREMA"/>
    <n v="8.8000000000000007"/>
    <n v="0"/>
    <n v="0"/>
    <n v="150.55799999999999"/>
    <n v="146.30000000000001"/>
    <n v="138"/>
    <n v="1060.144927536232"/>
    <x v="12"/>
    <x v="0"/>
    <n v="47"/>
    <n v="1"/>
    <n v="90.916666666666671"/>
  </r>
  <r>
    <d v="2025-12-01T08:00:00"/>
    <s v="INYECTADO"/>
    <x v="8"/>
    <x v="269"/>
    <s v="ISABEL LINARIZ "/>
    <s v="VIRGEN"/>
    <s v="PP CLARIFICADO"/>
    <s v="."/>
    <s v="TAPER ALEMAN 2800ML PASTEL"/>
    <s v="TAPER 2800ML PASTEL-TURQUESA"/>
    <n v="487"/>
    <n v="3"/>
    <n v="64.8"/>
    <x v="1"/>
    <m/>
    <n v="8"/>
    <m/>
    <n v="22992"/>
    <s v="TURQUESA"/>
    <n v="2.2999999999999998"/>
    <n v="0"/>
    <n v="0"/>
    <n v="67.206000000000003"/>
    <n v="64.8"/>
    <n v="138"/>
    <n v="469.56521739130437"/>
    <x v="12"/>
    <x v="0"/>
    <n v="47"/>
    <n v="1"/>
    <n v="40.583333333333336"/>
  </r>
  <r>
    <d v="2025-12-01T08:00:00"/>
    <s v="INYECTADO"/>
    <x v="8"/>
    <x v="269"/>
    <s v="ISABEL LINARIZ "/>
    <s v="VIRGEN"/>
    <s v="PP CLARIFICADO"/>
    <s v="."/>
    <s v="TAPER ALEMAN 2800ML PASTEL"/>
    <s v="TAPER 2800ML PASTEL-CELESTE"/>
    <n v="1119"/>
    <n v="8"/>
    <n v="150"/>
    <x v="1"/>
    <m/>
    <n v="19"/>
    <m/>
    <n v="22992"/>
    <s v="CELESTE"/>
    <n v="7.3"/>
    <n v="0"/>
    <n v="0"/>
    <n v="154.422"/>
    <n v="150"/>
    <n v="138"/>
    <n v="1086.9565217391305"/>
    <x v="12"/>
    <x v="0"/>
    <n v="47"/>
    <n v="1"/>
    <n v="93.25"/>
  </r>
  <r>
    <d v="2025-12-01T08:00:00"/>
    <s v="INYECTADO"/>
    <x v="8"/>
    <x v="270"/>
    <s v="LEONOR GUTIERREZ"/>
    <s v="VIRGEN"/>
    <s v="PP CLARIFICADO"/>
    <s v="."/>
    <s v="TAPER ALEMAN 2800ML PASTEL"/>
    <s v="TAPER 2800ML PASTEL-TURQUESA"/>
    <n v="618"/>
    <n v="5"/>
    <n v="83.5"/>
    <x v="0"/>
    <m/>
    <n v="11"/>
    <m/>
    <n v="22993"/>
    <s v="TURQUESA"/>
    <n v="11.4"/>
    <n v="0"/>
    <n v="0"/>
    <n v="85.284000000000006"/>
    <n v="83.5"/>
    <n v="138"/>
    <n v="605.07246376811599"/>
    <x v="12"/>
    <x v="0"/>
    <n v="47"/>
    <n v="1"/>
    <n v="51.5"/>
  </r>
  <r>
    <d v="2025-12-01T08:00:00"/>
    <s v="INYECTADO"/>
    <x v="8"/>
    <x v="270"/>
    <s v="LEONOR GUTIERREZ"/>
    <s v="VIRGEN"/>
    <s v="PP CLARIFICADO"/>
    <s v="."/>
    <s v="TAPER ALEMAN 2800ML PASTEL"/>
    <s v="TAPER 2800ML PASTEL-MELON"/>
    <n v="657"/>
    <n v="5"/>
    <n v="88.1"/>
    <x v="0"/>
    <m/>
    <n v="11"/>
    <m/>
    <n v="22993"/>
    <s v="MELON"/>
    <n v="7.5"/>
    <n v="0"/>
    <n v="0"/>
    <n v="90.665999999999997"/>
    <n v="88.1"/>
    <n v="138"/>
    <n v="638.40579710144925"/>
    <x v="12"/>
    <x v="0"/>
    <n v="47"/>
    <n v="1"/>
    <n v="54.75"/>
  </r>
  <r>
    <d v="2025-12-01T08:00:00"/>
    <s v="INYECTADO"/>
    <x v="8"/>
    <x v="270"/>
    <s v="JUAN MANUEL"/>
    <s v="VIRGEN"/>
    <s v="PP CLARIFICADO"/>
    <s v="."/>
    <s v="TAPER ALEMAN 2800ML PASTEL"/>
    <s v="TAPER 2800ML PASTEL-MELON"/>
    <n v="407"/>
    <n v="3"/>
    <n v="54.6"/>
    <x v="1"/>
    <m/>
    <n v="8"/>
    <m/>
    <n v="22994"/>
    <s v="MELON"/>
    <n v="5.4"/>
    <n v="0"/>
    <n v="0"/>
    <n v="56.165999999999997"/>
    <n v="54.6"/>
    <n v="138"/>
    <n v="395.6521739130435"/>
    <x v="12"/>
    <x v="0"/>
    <n v="47"/>
    <n v="1"/>
    <n v="33.916666666666664"/>
  </r>
  <r>
    <d v="2025-12-01T08:00:00"/>
    <s v="INYECTADO"/>
    <x v="8"/>
    <x v="270"/>
    <s v="JUAN MANUEL"/>
    <s v="VIRGEN"/>
    <s v="PP CLARIFICADO"/>
    <s v="."/>
    <s v="TAPER ALEMAN 2800ML PASTEL"/>
    <s v="TAPER 2800ML PASTEL-ROSADO"/>
    <n v="1104"/>
    <n v="9"/>
    <n v="150.9"/>
    <x v="1"/>
    <m/>
    <n v="18"/>
    <m/>
    <n v="22994"/>
    <s v="ROSADO"/>
    <n v="3.8"/>
    <n v="0"/>
    <n v="0"/>
    <n v="152.352"/>
    <n v="150.9"/>
    <n v="138"/>
    <n v="1093.4782608695652"/>
    <x v="12"/>
    <x v="0"/>
    <n v="47"/>
    <n v="1"/>
    <n v="92"/>
  </r>
  <r>
    <d v="2025-12-01T08:00:00"/>
    <s v="INYECTADO"/>
    <x v="8"/>
    <x v="270"/>
    <s v="JUAN MANUEL"/>
    <s v="VIRGEN"/>
    <s v="PP CLARIFICADO"/>
    <s v="."/>
    <s v="TAPER ALEMAN 2800ML PASTEL"/>
    <s v="TAPER 2800ML PASTEL-LILA"/>
    <n v="120"/>
    <n v="1"/>
    <n v="16.399999999999999"/>
    <x v="1"/>
    <m/>
    <n v="2"/>
    <m/>
    <n v="22994"/>
    <s v="LILA"/>
    <n v="2.2000000000000002"/>
    <n v="0"/>
    <n v="0"/>
    <n v="16.559999999999999"/>
    <n v="16.399999999999999"/>
    <n v="138"/>
    <n v="118.84057971014492"/>
    <x v="12"/>
    <x v="0"/>
    <n v="47"/>
    <n v="1"/>
    <n v="10"/>
  </r>
  <r>
    <d v="2025-12-01T08:00:00"/>
    <s v="INYECTADO"/>
    <x v="8"/>
    <x v="279"/>
    <s v="KARLA HUISA"/>
    <s v="VIRGEN"/>
    <s v="PP CLARIFICADO"/>
    <s v="."/>
    <s v="TAPER ALEMAN 2800ML PASTEL"/>
    <s v="TAPER 2800ML PASTEL-LILA"/>
    <n v="970"/>
    <n v="8"/>
    <n v="133.9"/>
    <x v="0"/>
    <m/>
    <n v="16"/>
    <m/>
    <n v="22995"/>
    <s v="LILA"/>
    <n v="9"/>
    <n v="0"/>
    <n v="0"/>
    <n v="133.86000000000001"/>
    <n v="133.9"/>
    <n v="138"/>
    <n v="970.28985507246375"/>
    <x v="12"/>
    <x v="0"/>
    <n v="47"/>
    <n v="1"/>
    <n v="80.833333333333329"/>
  </r>
  <r>
    <d v="2025-12-01T08:00:00"/>
    <s v="INYECTADO"/>
    <x v="8"/>
    <x v="279"/>
    <s v="KARLA HUISA"/>
    <s v="VIRGEN"/>
    <s v="PP CLARIFICADO"/>
    <s v="."/>
    <s v="TAPER ALEMAN 2800ML SOLIDO"/>
    <s v="TAPER 2800ML SOLIDO-AMARILLO"/>
    <n v="482"/>
    <n v="4"/>
    <n v="48.9"/>
    <x v="0"/>
    <m/>
    <n v="6"/>
    <m/>
    <n v="22995"/>
    <s v="AMARILLO"/>
    <n v="5.5"/>
    <n v="0"/>
    <n v="0"/>
    <n v="66.516000000000005"/>
    <n v="48.9"/>
    <n v="138"/>
    <n v="354.3478260869565"/>
    <x v="12"/>
    <x v="0"/>
    <n v="47"/>
    <n v="1"/>
    <n v="40.166666666666664"/>
  </r>
  <r>
    <d v="2025-12-01T08:00:00"/>
    <s v="INYECTADO"/>
    <x v="8"/>
    <x v="279"/>
    <s v="ISABEL LINARIZ "/>
    <s v="VIRGEN"/>
    <s v="PP CLARIFICADO"/>
    <s v="."/>
    <s v="TAPER ALEMAN 2800ML SOLIDO"/>
    <s v="TAPER 2800ML SOLIDO-AMARILLO"/>
    <n v="607"/>
    <n v="4"/>
    <n v="82"/>
    <x v="1"/>
    <m/>
    <n v="10"/>
    <m/>
    <n v="22996"/>
    <s v="AMARILLO"/>
    <n v="1.6"/>
    <n v="0"/>
    <n v="0"/>
    <n v="83.766000000000005"/>
    <n v="82"/>
    <n v="138"/>
    <n v="594.20289855072463"/>
    <x v="12"/>
    <x v="0"/>
    <n v="47"/>
    <n v="1"/>
    <n v="50.583333333333336"/>
  </r>
  <r>
    <d v="2025-12-01T08:00:00"/>
    <s v="INYECTADO"/>
    <x v="8"/>
    <x v="279"/>
    <s v="ISABEL LINARIZ "/>
    <s v="VIRGEN"/>
    <s v="PP CLARIFICADO"/>
    <s v="."/>
    <s v="TAPER ALEMAN 2800ML SOLIDO"/>
    <s v="TAPER 2800ML SOLIDO-VERDE"/>
    <n v="911"/>
    <n v="8"/>
    <n v="123"/>
    <x v="1"/>
    <m/>
    <n v="15"/>
    <m/>
    <n v="22996"/>
    <s v="VERDE"/>
    <n v="6.4"/>
    <n v="0"/>
    <n v="0"/>
    <n v="125.718"/>
    <n v="123"/>
    <n v="138"/>
    <n v="891.304347826087"/>
    <x v="12"/>
    <x v="0"/>
    <n v="47"/>
    <n v="1"/>
    <n v="75.916666666666671"/>
  </r>
  <r>
    <d v="2025-12-01T08:00:00"/>
    <s v="INYECTADO"/>
    <x v="7"/>
    <x v="272"/>
    <s v="CRISALIDA ZAPATA"/>
    <s v="VIRGEN"/>
    <s v="PP CLARIFICADO"/>
    <s v="."/>
    <s v="TAPA DE ORGANIZADOR #2"/>
    <s v="TAPA DE ORGANIZADOR #2-TRANSPARENTE"/>
    <n v="1009"/>
    <n v="10"/>
    <n v="46.4"/>
    <x v="0"/>
    <m/>
    <n v="9"/>
    <m/>
    <n v="22787"/>
    <s v="TRANSPARENTE"/>
    <n v="1.1000000000000001"/>
    <n v="0"/>
    <n v="0"/>
    <n v="21.189"/>
    <n v="46.4"/>
    <n v="21"/>
    <n v="2209.5238095238096"/>
    <x v="12"/>
    <x v="0"/>
    <n v="45"/>
    <n v="2"/>
    <n v="168.16666666666666"/>
  </r>
  <r>
    <d v="2025-12-01T08:00:00"/>
    <s v="INYECTADO"/>
    <x v="7"/>
    <x v="272"/>
    <s v="MARJORIE VILCHEZ"/>
    <s v="VIRGEN"/>
    <s v="PP CLARIFICADO"/>
    <s v="."/>
    <s v="TAPA DE ORGANIZADOR #2"/>
    <s v="TAPA DE ORGANIZADOR #2-TRANSPARENTE"/>
    <n v="176"/>
    <n v="2"/>
    <n v="7.9"/>
    <x v="1"/>
    <m/>
    <n v="1"/>
    <m/>
    <n v="22788"/>
    <s v="TRANSPARENTE"/>
    <n v="0"/>
    <n v="0"/>
    <n v="0"/>
    <n v="3.6960000000000002"/>
    <n v="7.9"/>
    <n v="21"/>
    <n v="376.1904761904762"/>
    <x v="12"/>
    <x v="0"/>
    <n v="45"/>
    <n v="2"/>
    <n v="29.333333333333332"/>
  </r>
  <r>
    <d v="2025-12-01T08:00:00"/>
    <s v="INYECTADO"/>
    <x v="7"/>
    <x v="274"/>
    <s v="CRISALIDA ZAPATA"/>
    <s v="VIRGEN"/>
    <s v="PP CLARIFICADO"/>
    <s v="."/>
    <s v="TAPA DE ORGANIZADOR #2"/>
    <s v="TAPA DE ORGANIZADOR #2-TRANSPARENTE"/>
    <n v="1220"/>
    <n v="11"/>
    <n v="56.1"/>
    <x v="0"/>
    <m/>
    <n v="10"/>
    <m/>
    <n v="22789"/>
    <s v="TRANSPARENTE"/>
    <n v="0.2"/>
    <n v="0"/>
    <n v="0"/>
    <n v="25.62"/>
    <n v="56.1"/>
    <n v="21"/>
    <n v="2671.4285714285716"/>
    <x v="12"/>
    <x v="0"/>
    <n v="45"/>
    <n v="2"/>
    <n v="203.33333333333334"/>
  </r>
  <r>
    <d v="2025-12-01T08:00:00"/>
    <s v="INYECTADO"/>
    <x v="7"/>
    <x v="274"/>
    <s v="ISABEL LINARIZ "/>
    <s v="VIRGEN"/>
    <s v="PP CLARIFICADO"/>
    <s v="."/>
    <s v="TAPA DE ORGANIZADOR #2"/>
    <s v="TAPA DE ORGANIZADOR #2-TRANSPARENTE"/>
    <n v="325"/>
    <n v="3"/>
    <n v="18.2"/>
    <x v="1"/>
    <m/>
    <n v="3"/>
    <m/>
    <n v="22790"/>
    <s v="TRANSPARENTE"/>
    <n v="1.7"/>
    <n v="0"/>
    <n v="0"/>
    <n v="6.8250000000000002"/>
    <n v="18.2"/>
    <n v="21"/>
    <n v="866.66666666666663"/>
    <x v="12"/>
    <x v="0"/>
    <n v="45"/>
    <n v="2"/>
    <n v="54.166666666666664"/>
  </r>
  <r>
    <d v="2025-12-01T08:00:00"/>
    <s v="INYECTADO"/>
    <x v="7"/>
    <x v="274"/>
    <s v="ISABEL LINARIZ "/>
    <s v="VIRGEN"/>
    <s v="PP CLARIFICADO"/>
    <s v="."/>
    <s v="TAPA DE ORGANIZADOR #2"/>
    <s v="TAPA DE ORGANIZADOR #2 CARAMELO-AZUL"/>
    <n v="525"/>
    <n v="5"/>
    <n v="24.1"/>
    <x v="1"/>
    <m/>
    <n v="5"/>
    <m/>
    <n v="22790"/>
    <s v="AZUL"/>
    <n v="2.1"/>
    <n v="0"/>
    <n v="0"/>
    <n v="11.025"/>
    <n v="24.1"/>
    <n v="21"/>
    <n v="1147.6190476190477"/>
    <x v="12"/>
    <x v="0"/>
    <n v="45"/>
    <n v="2"/>
    <n v="87.5"/>
  </r>
  <r>
    <d v="2025-12-01T08:00:00"/>
    <s v="INYECTADO"/>
    <x v="7"/>
    <x v="274"/>
    <s v="ISABEL LINARIZ "/>
    <s v="VIRGEN"/>
    <s v="PP CLARIFICADO"/>
    <s v="."/>
    <s v="TAPA DE ORGANIZADOR #2"/>
    <s v="TAPA DE ORGANIZADOR #2 CARAMELO-ROJO"/>
    <n v="346"/>
    <n v="3"/>
    <n v="15.6"/>
    <x v="1"/>
    <m/>
    <n v="2"/>
    <m/>
    <n v="22790"/>
    <s v="ROJO"/>
    <n v="0.4"/>
    <n v="0"/>
    <n v="0"/>
    <n v="7.266"/>
    <n v="15.6"/>
    <n v="21"/>
    <n v="742.85714285714289"/>
    <x v="12"/>
    <x v="0"/>
    <n v="45"/>
    <n v="2"/>
    <n v="57.666666666666664"/>
  </r>
  <r>
    <d v="2025-12-01T08:00:00"/>
    <s v="INYECTADO"/>
    <x v="7"/>
    <x v="275"/>
    <s v="CRISALIDA ZAPATA"/>
    <s v="VIRGEN"/>
    <s v="PP CLARIFICADO"/>
    <s v="."/>
    <s v="TAPA DE ORGANIZADOR #2"/>
    <s v="TAPA DE ORGANIZADOR #2 CARAMELO-ROJO"/>
    <n v="300"/>
    <n v="2"/>
    <n v="12.9"/>
    <x v="0"/>
    <m/>
    <n v="3"/>
    <m/>
    <n v="22791"/>
    <s v="ROJO"/>
    <n v="5.7"/>
    <n v="0"/>
    <n v="0"/>
    <n v="6.3"/>
    <n v="12.9"/>
    <n v="21"/>
    <n v="614.28571428571433"/>
    <x v="12"/>
    <x v="0"/>
    <n v="45"/>
    <n v="2"/>
    <n v="50"/>
  </r>
  <r>
    <d v="2025-12-01T08:00:00"/>
    <s v="INYECTADO"/>
    <x v="7"/>
    <x v="275"/>
    <s v="CRISALIDA ZAPATA"/>
    <s v="VIRGEN"/>
    <s v="PP CLARIFICADO"/>
    <s v="."/>
    <s v="TAPA DE ORGANIZADOR #2"/>
    <s v="TAPA DE ORGANIZADOR #2-BLANCO"/>
    <n v="777"/>
    <n v="8"/>
    <n v="34.9"/>
    <x v="0"/>
    <m/>
    <n v="7"/>
    <m/>
    <n v="22791"/>
    <s v="BLANCO"/>
    <n v="4.7"/>
    <n v="0"/>
    <n v="0"/>
    <n v="16.317"/>
    <n v="34.9"/>
    <n v="21"/>
    <n v="1661.9047619047619"/>
    <x v="12"/>
    <x v="0"/>
    <n v="45"/>
    <n v="2"/>
    <n v="129.5"/>
  </r>
  <r>
    <d v="2025-12-01T08:00:00"/>
    <s v="INYECTADO"/>
    <x v="7"/>
    <x v="275"/>
    <s v="MARJORIE VILCHEZ"/>
    <s v="VIRGEN"/>
    <s v="PP CLARIFICADO"/>
    <s v="."/>
    <s v="TAPA DE ORGANIZADOR #2"/>
    <s v="TAPA DE ORGANIZADOR #2-BLANCO"/>
    <n v="1264"/>
    <n v="12"/>
    <n v="54.3"/>
    <x v="1"/>
    <m/>
    <n v="11"/>
    <m/>
    <n v="22792"/>
    <s v="BLANCO"/>
    <n v="0"/>
    <n v="0"/>
    <n v="0"/>
    <n v="26.544"/>
    <n v="54.3"/>
    <n v="21"/>
    <n v="2585.7142857142858"/>
    <x v="12"/>
    <x v="0"/>
    <n v="45"/>
    <n v="2"/>
    <n v="210.66666666666666"/>
  </r>
  <r>
    <d v="2025-12-01T08:00:00"/>
    <s v="INYECTADO"/>
    <x v="7"/>
    <x v="276"/>
    <s v="CRISALIDA ZAPATA"/>
    <s v="VIRGEN"/>
    <s v="PP CLARIFICADO"/>
    <s v="."/>
    <s v="TAPA DE ORGANIZADOR #2"/>
    <s v="TAPA DE ORGANIZADOR #2-BLANCO"/>
    <n v="604"/>
    <n v="6"/>
    <n v="25.3"/>
    <x v="0"/>
    <m/>
    <n v="6"/>
    <m/>
    <n v="22793"/>
    <s v="BLANCO"/>
    <n v="0.6"/>
    <n v="0"/>
    <n v="0"/>
    <n v="12.683999999999999"/>
    <n v="25.3"/>
    <n v="21"/>
    <n v="1204.7619047619048"/>
    <x v="12"/>
    <x v="0"/>
    <n v="45"/>
    <n v="2"/>
    <n v="100.66666666666667"/>
  </r>
  <r>
    <d v="2025-12-01T08:00:00"/>
    <s v="INYECTADO"/>
    <x v="7"/>
    <x v="277"/>
    <s v="GABRIEL REQUENA"/>
    <s v="MIXTO"/>
    <s v="PP CLARIFICADO"/>
    <s v="PP INYECTADO"/>
    <s v="BALDE REAL"/>
    <s v="BALDE REAL-AMARILLO"/>
    <n v="946"/>
    <n v="10"/>
    <n v="158.9"/>
    <x v="1"/>
    <m/>
    <n v="16"/>
    <m/>
    <n v="22795"/>
    <s v="AMARILLO"/>
    <n v="4.3"/>
    <n v="0"/>
    <n v="0"/>
    <n v="81.355999999999995"/>
    <n v="158.9"/>
    <n v="86"/>
    <n v="1847.6744186046512"/>
    <x v="12"/>
    <x v="0"/>
    <n v="45"/>
    <n v="2"/>
    <n v="157.66666666666666"/>
  </r>
  <r>
    <d v="2025-12-01T08:00:00"/>
    <s v="INYECTADO"/>
    <x v="7"/>
    <x v="277"/>
    <s v="GABRIEL REQUENA"/>
    <s v="MIXTO"/>
    <s v="PP CLARIFICADO"/>
    <s v="PP INYECTADO"/>
    <s v="BALDE REAL"/>
    <s v="BALDE REAL-VERDE"/>
    <n v="178"/>
    <n v="2"/>
    <n v="30"/>
    <x v="1"/>
    <m/>
    <n v="3"/>
    <m/>
    <n v="22795"/>
    <s v="VERDE"/>
    <n v="1.6"/>
    <n v="0"/>
    <n v="0"/>
    <n v="15.308"/>
    <n v="30"/>
    <n v="86"/>
    <n v="348.83720930232556"/>
    <x v="12"/>
    <x v="0"/>
    <n v="45"/>
    <n v="2"/>
    <n v="29.666666666666668"/>
  </r>
  <r>
    <d v="2025-12-01T08:00:00"/>
    <s v="INYECTADO"/>
    <x v="7"/>
    <x v="263"/>
    <s v="JUANA CRUCES"/>
    <s v="MIXTO"/>
    <s v="PP CLARIFICADO"/>
    <s v="PP INYECTADO"/>
    <s v="BALDE REAL"/>
    <s v="BALDE REAL-VERDE"/>
    <n v="861"/>
    <n v="10"/>
    <n v="144.6"/>
    <x v="0"/>
    <m/>
    <n v="16"/>
    <m/>
    <n v="22799"/>
    <s v="VERDE"/>
    <n v="5.5"/>
    <n v="0"/>
    <n v="0"/>
    <n v="74.046000000000006"/>
    <n v="144.6"/>
    <n v="86"/>
    <n v="1681.3953488372092"/>
    <x v="12"/>
    <x v="0"/>
    <n v="45"/>
    <n v="2"/>
    <n v="143.5"/>
  </r>
  <r>
    <d v="2025-12-01T08:00:00"/>
    <s v="INYECTADO"/>
    <x v="7"/>
    <x v="263"/>
    <s v="JUANA CRUCES"/>
    <s v="MIXTO"/>
    <s v="PP CLARIFICADO"/>
    <s v="PP INYECTADO"/>
    <s v="BALDE REAL"/>
    <s v="BALDE REAL-AZUL"/>
    <n v="23"/>
    <n v="1"/>
    <n v="3.8"/>
    <x v="0"/>
    <m/>
    <n v="1"/>
    <m/>
    <n v="22799"/>
    <s v="AZUL"/>
    <n v="2"/>
    <n v="0"/>
    <n v="0"/>
    <n v="1.978"/>
    <n v="3.8"/>
    <n v="86"/>
    <n v="44.186046511627907"/>
    <x v="12"/>
    <x v="0"/>
    <n v="45"/>
    <n v="2"/>
    <n v="3.8333333333333335"/>
  </r>
  <r>
    <d v="2025-12-01T08:00:00"/>
    <s v="INYECTADO"/>
    <x v="7"/>
    <x v="263"/>
    <s v="JUAN MANUEL"/>
    <s v="MIXTO"/>
    <s v="PP CLARIFICADO"/>
    <s v="PP INYECTADO"/>
    <s v="BALDE REAL"/>
    <s v="BALDE REAL-AZUL"/>
    <n v="616"/>
    <n v="7"/>
    <n v="103.4"/>
    <x v="1"/>
    <m/>
    <n v="11"/>
    <m/>
    <n v="22796"/>
    <s v="AZUL"/>
    <n v="6.4"/>
    <n v="0"/>
    <n v="0"/>
    <n v="52.975999999999999"/>
    <n v="103.4"/>
    <n v="86"/>
    <n v="1202.3255813953488"/>
    <x v="12"/>
    <x v="0"/>
    <n v="45"/>
    <n v="2"/>
    <n v="102.66666666666667"/>
  </r>
  <r>
    <d v="2025-12-01T08:00:00"/>
    <s v="INYECTADO"/>
    <x v="7"/>
    <x v="263"/>
    <s v="JUAN MANUEL"/>
    <s v="MIXTO"/>
    <s v="PP CLARIFICADO"/>
    <s v="PP INYECTADO"/>
    <s v="BALDE REAL"/>
    <s v="BALDE REAL-FUCSIA"/>
    <n v="303"/>
    <n v="4"/>
    <n v="50.9"/>
    <x v="1"/>
    <m/>
    <n v="5"/>
    <m/>
    <n v="22796"/>
    <s v="FUCSIA"/>
    <n v="0"/>
    <n v="0"/>
    <n v="0"/>
    <n v="26.058"/>
    <n v="50.9"/>
    <n v="86"/>
    <n v="591.8604651162791"/>
    <x v="12"/>
    <x v="0"/>
    <n v="45"/>
    <n v="2"/>
    <n v="50.5"/>
  </r>
  <r>
    <d v="2025-12-01T08:00:00"/>
    <s v="INYECTADO"/>
    <x v="7"/>
    <x v="281"/>
    <s v="ALGIMIRO CALDERAS"/>
    <s v="MIXTO"/>
    <s v="PP CLARIFICADO"/>
    <s v="PP INYECTADO"/>
    <s v="BALDE REAL"/>
    <s v="BALDE REAL-FUCSIA"/>
    <n v="802"/>
    <n v="12"/>
    <n v="134.69999999999999"/>
    <x v="0"/>
    <m/>
    <n v="14"/>
    <m/>
    <n v="22797"/>
    <s v="FUCSIA"/>
    <n v="10.3"/>
    <n v="0"/>
    <n v="0"/>
    <n v="68.971999999999994"/>
    <n v="134.69999999999999"/>
    <n v="86"/>
    <n v="1566.2790697674418"/>
    <x v="12"/>
    <x v="0"/>
    <n v="45"/>
    <n v="2"/>
    <n v="133.66666666666666"/>
  </r>
  <r>
    <d v="2025-12-01T08:00:00"/>
    <s v="INYECTADO"/>
    <x v="7"/>
    <x v="264"/>
    <s v="SAID VILLAMIZAR"/>
    <s v="MIXTO"/>
    <s v="PP CLARIFICADO"/>
    <s v="PP INYECTADO"/>
    <s v="BALDE REAL"/>
    <s v="BALDE REAL-ROJO"/>
    <n v="781"/>
    <n v="1"/>
    <n v="130.4"/>
    <x v="0"/>
    <m/>
    <n v="13"/>
    <m/>
    <n v="23401"/>
    <s v="ROJO"/>
    <n v="6.3"/>
    <n v="0"/>
    <n v="0"/>
    <n v="67.165999999999997"/>
    <n v="130.4"/>
    <n v="86"/>
    <n v="1516.2790697674418"/>
    <x v="12"/>
    <x v="0"/>
    <n v="46"/>
    <n v="2"/>
    <n v="130.16666666666666"/>
  </r>
  <r>
    <d v="2025-12-01T08:00:00"/>
    <s v="INYECTADO"/>
    <x v="7"/>
    <x v="264"/>
    <s v="SAID VILLAMIZAR"/>
    <s v="MIXTO"/>
    <s v="PP CLARIFICADO"/>
    <s v="PP INYECTADO"/>
    <s v="BALDE REAL"/>
    <s v="BALDE REAL-LILA"/>
    <n v="70"/>
    <n v="9"/>
    <n v="11.7"/>
    <x v="0"/>
    <m/>
    <n v="1"/>
    <m/>
    <n v="23401"/>
    <s v="LILA"/>
    <n v="4.5"/>
    <n v="0"/>
    <n v="0"/>
    <n v="6.02"/>
    <n v="11.7"/>
    <n v="86"/>
    <n v="136.04651162790697"/>
    <x v="12"/>
    <x v="0"/>
    <n v="46"/>
    <n v="2"/>
    <n v="11.666666666666666"/>
  </r>
  <r>
    <d v="2025-12-01T08:00:00"/>
    <s v="INYECTADO"/>
    <x v="7"/>
    <x v="264"/>
    <s v="GABRIEL REQUENA"/>
    <s v="MIXTO"/>
    <s v="PP CLARIFICADO"/>
    <s v="PP INYECTADO"/>
    <s v="BALDE REAL"/>
    <s v="BALDE REAL-ROJO"/>
    <n v="360"/>
    <n v="4"/>
    <n v="60.4"/>
    <x v="1"/>
    <m/>
    <n v="6"/>
    <m/>
    <n v="23402"/>
    <s v="ROJO"/>
    <n v="0"/>
    <n v="0"/>
    <n v="0"/>
    <n v="30.96"/>
    <n v="60.4"/>
    <n v="86"/>
    <n v="702.32558139534888"/>
    <x v="12"/>
    <x v="0"/>
    <n v="46"/>
    <n v="2"/>
    <n v="60"/>
  </r>
  <r>
    <d v="2025-12-01T08:00:00"/>
    <s v="INYECTADO"/>
    <x v="7"/>
    <x v="264"/>
    <s v="GABRIEL REQUENA"/>
    <s v="MIXTO"/>
    <s v="PP CLARIFICADO"/>
    <s v="PP INYECTADO"/>
    <s v="BALDE REAL"/>
    <s v="BALDE REAL-LILA"/>
    <n v="605"/>
    <n v="6"/>
    <n v="101.6"/>
    <x v="1"/>
    <m/>
    <n v="10"/>
    <m/>
    <n v="23402"/>
    <s v="LILA"/>
    <n v="0"/>
    <n v="0"/>
    <n v="0"/>
    <n v="52.03"/>
    <n v="101.6"/>
    <n v="86"/>
    <n v="1181.3953488372092"/>
    <x v="12"/>
    <x v="0"/>
    <n v="46"/>
    <n v="2"/>
    <n v="100.83333333333333"/>
  </r>
  <r>
    <d v="2025-12-01T08:00:00"/>
    <s v="INYECTADO"/>
    <x v="7"/>
    <x v="265"/>
    <s v="SAID VILLAMIZAR"/>
    <s v="MIXTO"/>
    <s v="PP CLARIFICADO"/>
    <s v="PP INYECTADO"/>
    <s v="BALDE REAL"/>
    <s v="BALDE REAL-LILA"/>
    <n v="413"/>
    <n v="4"/>
    <n v="69.3"/>
    <x v="0"/>
    <m/>
    <n v="7"/>
    <m/>
    <n v="23403"/>
    <s v="LILA"/>
    <n v="3.4"/>
    <n v="0"/>
    <n v="0"/>
    <n v="35.518000000000001"/>
    <n v="69.3"/>
    <n v="86"/>
    <n v="805.81395348837214"/>
    <x v="12"/>
    <x v="0"/>
    <n v="46"/>
    <n v="2"/>
    <n v="68.833333333333329"/>
  </r>
  <r>
    <d v="2025-12-01T08:00:00"/>
    <s v="INYECTADO"/>
    <x v="7"/>
    <x v="265"/>
    <s v="SAID VILLAMIZAR"/>
    <s v="MIXTO"/>
    <s v="PP CLARIFICADO"/>
    <s v="PP INYECTADO"/>
    <s v="BALDE REAL"/>
    <s v="BALDE REAL-AZUL"/>
    <n v="355"/>
    <n v="4"/>
    <n v="59.2"/>
    <x v="0"/>
    <m/>
    <n v="6"/>
    <m/>
    <n v="23403"/>
    <s v="AZUL"/>
    <n v="0"/>
    <n v="0"/>
    <n v="0"/>
    <n v="30.53"/>
    <n v="59.2"/>
    <n v="86"/>
    <n v="688.37209302325584"/>
    <x v="12"/>
    <x v="0"/>
    <n v="46"/>
    <n v="2"/>
    <n v="59.166666666666664"/>
  </r>
  <r>
    <d v="2025-12-01T08:00:00"/>
    <s v="INYECTADO"/>
    <x v="7"/>
    <x v="265"/>
    <s v="GABRIEL REQUENA"/>
    <s v="MIXTO"/>
    <s v="PP CLARIFICADO"/>
    <s v="PP INYECTADO"/>
    <s v="BASE ORGANIZADOR DE 10KG"/>
    <s v="BASE ORGANIZADOR DE 10KG-TRANSPARENTE"/>
    <n v="846"/>
    <n v="11"/>
    <n v="276.60000000000002"/>
    <x v="1"/>
    <m/>
    <n v="37"/>
    <m/>
    <n v="23404"/>
    <s v="TRANSPARENTE"/>
    <n v="3.9"/>
    <n v="0"/>
    <n v="0"/>
    <n v="281.71800000000002"/>
    <n v="276.60000000000002"/>
    <n v="333"/>
    <n v="830.63063063063066"/>
    <x v="12"/>
    <x v="0"/>
    <n v="46"/>
    <n v="1"/>
    <n v="70.5"/>
  </r>
  <r>
    <d v="2025-12-01T08:00:00"/>
    <s v="INYECTADO"/>
    <x v="7"/>
    <x v="266"/>
    <s v="SAID VILLAMIZAR"/>
    <s v="MIXTO"/>
    <s v="PP CLARIFICADO"/>
    <s v="PP INYECTADO"/>
    <s v="BASE ORGANIZADOR DE 10KG"/>
    <s v="BASE ORGANIZADOR DE 10KG-TRANSPARENTE"/>
    <n v="967"/>
    <n v="11"/>
    <n v="316.2"/>
    <x v="0"/>
    <m/>
    <n v="41"/>
    <m/>
    <n v="23405"/>
    <s v="TRANSPARENTE"/>
    <n v="1"/>
    <n v="0"/>
    <n v="0"/>
    <n v="322.01100000000002"/>
    <n v="316.2"/>
    <n v="333"/>
    <n v="949.54954954954951"/>
    <x v="12"/>
    <x v="0"/>
    <n v="46"/>
    <n v="1"/>
    <n v="80.583333333333329"/>
  </r>
  <r>
    <d v="2025-12-01T08:00:00"/>
    <s v="INYECTADO"/>
    <x v="7"/>
    <x v="267"/>
    <s v="SILFREDO"/>
    <s v="MIXTO"/>
    <s v="PP CLARIFICADO"/>
    <s v="PP INYECTADO"/>
    <s v="BASE ORGANIZADOR DE 10KG"/>
    <s v="BASE ORGANIZADOR DE 10KG-TRANSPARENTE"/>
    <n v="472"/>
    <n v="6"/>
    <n v="155.19999999999999"/>
    <x v="0"/>
    <m/>
    <n v="20"/>
    <m/>
    <n v="23406"/>
    <s v="TRANSPARENTE"/>
    <n v="0.4"/>
    <n v="0"/>
    <n v="0"/>
    <n v="157.17599999999999"/>
    <n v="155.19999999999999"/>
    <n v="333"/>
    <n v="466.06606606606607"/>
    <x v="12"/>
    <x v="0"/>
    <n v="46"/>
    <n v="1"/>
    <n v="39.333333333333336"/>
  </r>
  <r>
    <d v="2025-12-01T08:00:00"/>
    <s v="INYECTADO"/>
    <x v="7"/>
    <x v="278"/>
    <s v="JUANA CRUCES"/>
    <s v="VIRGEN"/>
    <s v="ALTA INYECCION"/>
    <s v="."/>
    <s v="PALA Y RASTRILLO CARRETILLA"/>
    <s v="PALA RASTRILLO CARRETILLA-AMARILLO"/>
    <n v="423"/>
    <n v="4"/>
    <n v="57.6"/>
    <x v="0"/>
    <m/>
    <n v="17"/>
    <m/>
    <n v="23407"/>
    <s v="AMARILLO"/>
    <n v="12.6"/>
    <n v="0"/>
    <n v="0"/>
    <n v="57.527999999999999"/>
    <n v="57.6"/>
    <n v="136"/>
    <n v="423.52941176470586"/>
    <x v="12"/>
    <x v="0"/>
    <n v="46"/>
    <n v="1"/>
    <n v="35.25"/>
  </r>
  <r>
    <d v="2025-12-01T08:00:00"/>
    <s v="INYECTADO"/>
    <x v="7"/>
    <x v="278"/>
    <s v="ISABEL LINARIZ "/>
    <s v="VIRGEN"/>
    <s v="ALTA INYECCION"/>
    <s v="."/>
    <s v="PALA Y RASTRILLO CARRETILLA"/>
    <s v="PALA RASTRILLO CARRETILLA-AMARILLO"/>
    <n v="585"/>
    <n v="5"/>
    <n v="80.2"/>
    <x v="1"/>
    <m/>
    <n v="22"/>
    <m/>
    <n v="23408"/>
    <s v="AMARILLO"/>
    <n v="18"/>
    <n v="0"/>
    <n v="0"/>
    <n v="79.56"/>
    <n v="80.2"/>
    <n v="136"/>
    <n v="589.70588235294122"/>
    <x v="12"/>
    <x v="0"/>
    <n v="46"/>
    <n v="1"/>
    <n v="48.75"/>
  </r>
  <r>
    <d v="2025-12-01T08:00:00"/>
    <s v="INYECTADO"/>
    <x v="7"/>
    <x v="278"/>
    <s v="ISABEL LINARIZ "/>
    <s v="VIRGEN"/>
    <s v="ALTA INYECCION"/>
    <s v="."/>
    <s v="PALA Y RASTRILLO CARRETILLA"/>
    <s v="PALA RASTRILLO CARRETILLA-VERDE"/>
    <n v="829"/>
    <n v="7"/>
    <n v="113.7"/>
    <x v="1"/>
    <m/>
    <n v="17"/>
    <m/>
    <n v="23408"/>
    <s v="VERDE"/>
    <n v="25.2"/>
    <n v="0"/>
    <n v="0"/>
    <n v="112.744"/>
    <n v="113.7"/>
    <n v="136"/>
    <n v="836.02941176470586"/>
    <x v="12"/>
    <x v="0"/>
    <n v="46"/>
    <n v="1"/>
    <n v="69.083333333333329"/>
  </r>
  <r>
    <d v="2025-12-01T08:00:00"/>
    <s v="INYECTADO"/>
    <x v="7"/>
    <x v="269"/>
    <s v="JUANA CRUCES"/>
    <s v="VIRGEN"/>
    <s v="ALTA INYECCION"/>
    <s v="."/>
    <s v="PALA Y RASTRILLO CARRETILLA"/>
    <s v="PALA RASTRILLO CARRETILLA-VERDE"/>
    <n v="183"/>
    <n v="2"/>
    <n v="25.1"/>
    <x v="0"/>
    <m/>
    <n v="6"/>
    <m/>
    <n v="23409"/>
    <s v="VERDE"/>
    <n v="9.9"/>
    <n v="0"/>
    <n v="0"/>
    <n v="24.888000000000002"/>
    <n v="25.1"/>
    <n v="136"/>
    <n v="184.55882352941177"/>
    <x v="12"/>
    <x v="0"/>
    <n v="47"/>
    <n v="1"/>
    <n v="15.25"/>
  </r>
  <r>
    <d v="2025-12-01T08:00:00"/>
    <s v="INYECTADO"/>
    <x v="7"/>
    <x v="269"/>
    <s v="JUANA CRUCES"/>
    <s v="VIRGEN"/>
    <s v="ALTA INYECCION"/>
    <s v="."/>
    <s v="PALA Y RASTRILLO CARRETILLA"/>
    <s v="PALA RASTRILLO CARRETILLA-ROJO"/>
    <n v="1067"/>
    <n v="9"/>
    <n v="146.30000000000001"/>
    <x v="0"/>
    <m/>
    <n v="27"/>
    <m/>
    <n v="23409"/>
    <s v="ROJO"/>
    <n v="38.799999999999997"/>
    <n v="0"/>
    <n v="0"/>
    <n v="145.11199999999999"/>
    <n v="146.30000000000001"/>
    <n v="136"/>
    <n v="1075.7352941176471"/>
    <x v="12"/>
    <x v="0"/>
    <n v="47"/>
    <n v="1"/>
    <n v="88.916666666666671"/>
  </r>
  <r>
    <d v="2025-12-01T08:00:00"/>
    <s v="INYECTADO"/>
    <x v="7"/>
    <x v="269"/>
    <s v="JOSDER GONZALEZ"/>
    <s v="VIRGEN"/>
    <s v="ALTA INYECCION"/>
    <s v="."/>
    <s v="PALA Y RASTRILLO CARRETILLA"/>
    <s v="PALA RASTRILLO CARRETILLA-AZUL"/>
    <n v="1367"/>
    <n v="12"/>
    <n v="187.4"/>
    <x v="1"/>
    <m/>
    <n v="40"/>
    <m/>
    <n v="23410"/>
    <s v="AZUL"/>
    <n v="54.5"/>
    <n v="0"/>
    <n v="0"/>
    <n v="185.91200000000001"/>
    <n v="187.4"/>
    <n v="136"/>
    <n v="1377.9411764705883"/>
    <x v="12"/>
    <x v="0"/>
    <n v="47"/>
    <n v="1"/>
    <n v="113.91666666666667"/>
  </r>
  <r>
    <d v="2025-12-01T08:00:00"/>
    <s v="INYECTADO"/>
    <x v="7"/>
    <x v="270"/>
    <s v="CRISALIDA ZAPATA"/>
    <s v="VIRGEN"/>
    <s v="ALTA INYECCION"/>
    <s v="."/>
    <s v="PALA Y RASTRILLO CARRETILLA"/>
    <s v="PALA RASTRILLO CARRETILLA-LILA"/>
    <n v="486"/>
    <n v="5"/>
    <n v="66.7"/>
    <x v="0"/>
    <m/>
    <n v="13"/>
    <m/>
    <n v="23411"/>
    <s v="LILA"/>
    <n v="16.7"/>
    <n v="0"/>
    <n v="0"/>
    <n v="66.096000000000004"/>
    <n v="66.7"/>
    <n v="136"/>
    <n v="490.44117647058823"/>
    <x v="12"/>
    <x v="0"/>
    <n v="47"/>
    <n v="1"/>
    <n v="40.5"/>
  </r>
  <r>
    <d v="2025-12-01T08:00:00"/>
    <s v="INYECTADO"/>
    <x v="7"/>
    <x v="270"/>
    <s v="MARJORIE VILCHEZ"/>
    <s v="VIRGEN"/>
    <s v="ALTA INYECCION"/>
    <s v="."/>
    <s v="PALA Y RASTRILLO CARRETILLA"/>
    <s v="PALA RASTRILLO CARRETILLA-FUCSIA"/>
    <n v="610"/>
    <n v="5"/>
    <n v="83.7"/>
    <x v="1"/>
    <m/>
    <n v="15"/>
    <m/>
    <n v="23412"/>
    <s v="FUCSIA"/>
    <n v="23.3"/>
    <n v="0"/>
    <n v="0"/>
    <n v="82.96"/>
    <n v="83.7"/>
    <n v="136"/>
    <n v="615.44117647058829"/>
    <x v="12"/>
    <x v="0"/>
    <n v="47"/>
    <n v="1"/>
    <n v="50.833333333333336"/>
  </r>
  <r>
    <d v="2025-12-01T08:00:00"/>
    <s v="INYECTADO"/>
    <x v="7"/>
    <x v="270"/>
    <s v="MARJORIE VILCHEZ"/>
    <s v="VIRGEN"/>
    <s v="ALTA INYECCION"/>
    <s v="."/>
    <s v="PALA Y RASTRILLO CARRETILLA"/>
    <s v="PALA RASTRILLO CARRETILLA-LILA"/>
    <n v="575"/>
    <n v="6"/>
    <n v="78.8"/>
    <x v="1"/>
    <m/>
    <n v="15"/>
    <m/>
    <n v="23412"/>
    <s v="LILA"/>
    <n v="21.2"/>
    <n v="0"/>
    <n v="0"/>
    <n v="78.2"/>
    <n v="78.8"/>
    <n v="136"/>
    <n v="579.41176470588232"/>
    <x v="12"/>
    <x v="0"/>
    <n v="47"/>
    <n v="1"/>
    <n v="47.916666666666664"/>
  </r>
  <r>
    <d v="2025-12-01T08:00:00"/>
    <s v="INYECTADO"/>
    <x v="7"/>
    <x v="279"/>
    <s v="JUANA CRUCES"/>
    <s v="VIRGEN"/>
    <s v="ALTA INYECCION"/>
    <s v="."/>
    <s v="PALA Y RASTRILLO CARRETILLA"/>
    <s v="PALA RASTRILLO CARRETILLA-FUCSIA"/>
    <n v="806"/>
    <n v="9"/>
    <n v="110.5"/>
    <x v="0"/>
    <m/>
    <n v="16"/>
    <m/>
    <n v="23413"/>
    <s v="FUCSIA"/>
    <n v="9.1999999999999993"/>
    <n v="0"/>
    <n v="0"/>
    <n v="109.616"/>
    <n v="110.5"/>
    <n v="136"/>
    <n v="812.5"/>
    <x v="12"/>
    <x v="0"/>
    <n v="47"/>
    <n v="1"/>
    <n v="67.166666666666671"/>
  </r>
  <r>
    <d v="2025-12-01T08:00:00"/>
    <s v="INYECTADO"/>
    <x v="7"/>
    <x v="279"/>
    <s v="JUANA CRUCES"/>
    <s v="VIRGEN"/>
    <s v="ALTA INYECCION"/>
    <s v="."/>
    <s v="PALA Y RASTRILLO CARRETILLA"/>
    <s v="PALA RASTRILLO CARRETILLA-LILA"/>
    <n v="193"/>
    <n v="2"/>
    <n v="26.5"/>
    <x v="0"/>
    <m/>
    <n v="5"/>
    <m/>
    <n v="23413"/>
    <s v="LILA"/>
    <n v="21.7"/>
    <n v="0"/>
    <n v="0"/>
    <n v="26.248000000000001"/>
    <n v="26.5"/>
    <n v="136"/>
    <n v="194.85294117647058"/>
    <x v="12"/>
    <x v="0"/>
    <n v="47"/>
    <n v="1"/>
    <n v="16.083333333333332"/>
  </r>
  <r>
    <d v="2025-12-01T08:00:00"/>
    <s v="INYECTADO"/>
    <x v="7"/>
    <x v="279"/>
    <s v="JUAN MANUEL"/>
    <s v="VIRGEN"/>
    <s v="ALTA INYECCION"/>
    <s v="."/>
    <s v="PALA Y RASTRILLO CARRETILLA"/>
    <s v="PALA RASTRILLO CARRETILLA-LILA"/>
    <n v="98"/>
    <n v="1"/>
    <n v="13.5"/>
    <x v="1"/>
    <m/>
    <n v="3"/>
    <m/>
    <n v="23414"/>
    <s v="LILA"/>
    <n v="5"/>
    <n v="0"/>
    <n v="0"/>
    <n v="13.327999999999999"/>
    <n v="13.5"/>
    <n v="136"/>
    <n v="99.264705882352942"/>
    <x v="12"/>
    <x v="0"/>
    <n v="47"/>
    <n v="1"/>
    <n v="8.1666666666666661"/>
  </r>
  <r>
    <d v="2025-12-01T08:00:00"/>
    <s v="INYECTADO"/>
    <x v="7"/>
    <x v="279"/>
    <s v="JUAN MANUEL"/>
    <s v="VIRGEN"/>
    <s v="ALTA INYECCION"/>
    <s v="."/>
    <s v="PALA Y RASTRILLO CARRETILLA"/>
    <s v="PALA RASTRILLO CARRETILLA-AMARILLO"/>
    <n v="300"/>
    <n v="3"/>
    <n v="41.2"/>
    <x v="1"/>
    <m/>
    <n v="6"/>
    <m/>
    <n v="23414"/>
    <s v="AMARILLO"/>
    <n v="10"/>
    <n v="0"/>
    <n v="0"/>
    <n v="40.799999999999997"/>
    <n v="41.2"/>
    <n v="136"/>
    <n v="302.94117647058823"/>
    <x v="12"/>
    <x v="0"/>
    <n v="47"/>
    <n v="1"/>
    <n v="25"/>
  </r>
  <r>
    <d v="2025-12-01T08:00:00"/>
    <s v="INYECTADO"/>
    <x v="7"/>
    <x v="279"/>
    <s v="JUAN MANUEL"/>
    <s v="VIRGEN"/>
    <s v="ALTA INYECCION"/>
    <s v="."/>
    <s v="PALA Y RASTRILLO CARRETILLA"/>
    <s v="PALA RASTRILLO CARRETILLA-VERDE"/>
    <n v="300"/>
    <n v="3"/>
    <n v="41.2"/>
    <x v="1"/>
    <m/>
    <n v="5"/>
    <m/>
    <n v="23414"/>
    <s v="VERDE"/>
    <n v="12.5"/>
    <n v="0"/>
    <n v="0"/>
    <n v="40.799999999999997"/>
    <n v="41.2"/>
    <n v="136"/>
    <n v="302.94117647058823"/>
    <x v="12"/>
    <x v="0"/>
    <n v="47"/>
    <n v="1"/>
    <n v="25"/>
  </r>
  <r>
    <d v="2025-12-01T08:00:00"/>
    <s v="INYECTADO"/>
    <x v="7"/>
    <x v="279"/>
    <s v="JUAN MANUEL"/>
    <s v="VIRGEN"/>
    <s v="ALTA INYECCION"/>
    <s v="."/>
    <s v="PALA Y RASTRILLO CARRETILLA"/>
    <s v="PALA RASTRILLO CARRETILLA-ROJO"/>
    <n v="294"/>
    <n v="3"/>
    <n v="40.4"/>
    <x v="1"/>
    <m/>
    <n v="4"/>
    <m/>
    <n v="23414"/>
    <s v="ROJO"/>
    <n v="9"/>
    <n v="0"/>
    <n v="0"/>
    <n v="39.984000000000002"/>
    <n v="40.4"/>
    <n v="136"/>
    <n v="297.05882352941177"/>
    <x v="12"/>
    <x v="0"/>
    <n v="47"/>
    <n v="1"/>
    <n v="24.5"/>
  </r>
  <r>
    <d v="2025-12-01T08:00:00"/>
    <s v="INYECTADO"/>
    <x v="0"/>
    <x v="282"/>
    <s v="CRISALIDA ZAPATA"/>
    <s v="SEGUNDA"/>
    <s v="."/>
    <s v="PP INYECTADO"/>
    <s v="CONDUCTOR VOLQUETE MINERITO"/>
    <s v="CONDUCTOR MINERITO-PLOMO"/>
    <n v="120"/>
    <n v="4"/>
    <n v="4.7"/>
    <x v="0"/>
    <m/>
    <n v="1"/>
    <n v="1324"/>
    <n v="23308"/>
    <s v="PLOMO"/>
    <n v="0"/>
    <n v="0"/>
    <n v="0"/>
    <n v="4.5599999999999996"/>
    <n v="4.7"/>
    <n v="38"/>
    <n v="123.68421052631579"/>
    <x v="12"/>
    <x v="0"/>
    <n v="47"/>
    <n v="8"/>
    <n v="80"/>
  </r>
  <r>
    <d v="2025-12-01T08:00:00"/>
    <s v="INYECTADO"/>
    <x v="0"/>
    <x v="282"/>
    <s v="CRISALIDA ZAPATA"/>
    <s v="SEGUNDA"/>
    <s v="."/>
    <s v="PP INYECTADO"/>
    <s v="CONDUCTOR VOLQUETE MINERITO"/>
    <s v="CONDUCTOR MINERITO-NEGRO"/>
    <n v="297"/>
    <n v="3"/>
    <n v="11.3"/>
    <x v="0"/>
    <m/>
    <n v="2"/>
    <n v="1324"/>
    <n v="23308"/>
    <s v="NEGRO"/>
    <n v="8.5"/>
    <n v="0"/>
    <n v="0"/>
    <n v="11.286"/>
    <n v="11.3"/>
    <n v="38"/>
    <n v="297.36842105263156"/>
    <x v="12"/>
    <x v="0"/>
    <n v="47"/>
    <n v="8"/>
    <n v="198"/>
  </r>
  <r>
    <d v="2025-12-01T08:00:00"/>
    <s v="INYECTADO"/>
    <x v="0"/>
    <x v="282"/>
    <s v="JOSDER GONZALEZ"/>
    <s v="SEGUNDA"/>
    <s v="."/>
    <s v="PP INYECTADO"/>
    <s v="CONDUCTOR VOLQUETE MINERITO"/>
    <s v="CONDUCTOR MINERITO-PLOMO"/>
    <n v="994"/>
    <n v="9"/>
    <n v="37.799999999999997"/>
    <x v="1"/>
    <m/>
    <n v="5"/>
    <n v="1324"/>
    <n v="23309"/>
    <s v="PLOMO"/>
    <n v="11.5"/>
    <n v="0"/>
    <n v="0"/>
    <n v="37.771999999999998"/>
    <n v="37.799999999999997"/>
    <n v="38"/>
    <n v="994.73684210526312"/>
    <x v="12"/>
    <x v="0"/>
    <n v="47"/>
    <n v="8"/>
    <n v="662.66666666666663"/>
  </r>
  <r>
    <d v="2025-12-01T08:00:00"/>
    <s v="INYECTADO"/>
    <x v="0"/>
    <x v="283"/>
    <s v="CRISALIDA ZAPATA"/>
    <s v="SEGUNDA"/>
    <s v="."/>
    <s v="PP INYECTADO"/>
    <s v="CONDUCTOR VOLQUETE MINERITO"/>
    <s v="CONDUCTOR MINERITO-PLOMO"/>
    <n v="955"/>
    <n v="9"/>
    <n v="36.299999999999997"/>
    <x v="0"/>
    <m/>
    <n v="5"/>
    <n v="1324"/>
    <n v="23310"/>
    <s v="PLOMO"/>
    <n v="10.3"/>
    <n v="0"/>
    <n v="0"/>
    <n v="36.29"/>
    <n v="36.299999999999997"/>
    <n v="38"/>
    <n v="955.26315789473688"/>
    <x v="12"/>
    <x v="0"/>
    <n v="47"/>
    <n v="8"/>
    <n v="636.66666666666663"/>
  </r>
  <r>
    <d v="2025-12-01T08:00:00"/>
    <s v="INYECTADO"/>
    <x v="0"/>
    <x v="283"/>
    <s v="ISABEL LINARIZ "/>
    <s v="SEGUNDA"/>
    <s v="."/>
    <s v="PP INYECTADO"/>
    <s v="CONDUCTOR VOLQUETE MINERITO"/>
    <s v="CONDUCTOR MINERITO-PLOMO"/>
    <n v="1521"/>
    <n v="12"/>
    <n v="57.8"/>
    <x v="1"/>
    <m/>
    <n v="7"/>
    <n v="1324"/>
    <n v="23311"/>
    <s v="PLOMO"/>
    <n v="15.1"/>
    <n v="0"/>
    <n v="0"/>
    <n v="57.798000000000002"/>
    <n v="57.8"/>
    <n v="38"/>
    <n v="1521.0526315789473"/>
    <x v="12"/>
    <x v="0"/>
    <n v="47"/>
    <n v="8"/>
    <n v="1014"/>
  </r>
  <r>
    <d v="2025-12-01T08:00:00"/>
    <s v="INYECTADO"/>
    <x v="0"/>
    <x v="284"/>
    <s v="CRISALIDA ZAPATA"/>
    <s v="SEGUNDA"/>
    <s v="."/>
    <s v="PP INYECTADO"/>
    <s v="CONDUCTOR VOLQUETE MINERITO"/>
    <s v="CONDUCTOR MINERITO-PLOMO"/>
    <n v="245"/>
    <n v="3"/>
    <n v="9.1"/>
    <x v="0"/>
    <m/>
    <n v="2"/>
    <n v="1324"/>
    <n v="23312"/>
    <s v="PLOMO"/>
    <n v="2.2999999999999998"/>
    <n v="0"/>
    <n v="0"/>
    <n v="9.31"/>
    <n v="9.1"/>
    <n v="38"/>
    <n v="239.47368421052633"/>
    <x v="12"/>
    <x v="0"/>
    <n v="47"/>
    <n v="8"/>
    <n v="163.33333333333334"/>
  </r>
  <r>
    <d v="2025-12-01T08:00:00"/>
    <s v="INYECTADO"/>
    <x v="0"/>
    <x v="284"/>
    <s v="CRISALIDA ZAPATA"/>
    <s v="SEGUNDA"/>
    <s v="."/>
    <s v="PP INYECTADO"/>
    <s v="CONDUCTOR VOLQUETE MINERITO"/>
    <s v="CONDUCTOR MINERITO-NEGRO"/>
    <n v="907"/>
    <n v="8"/>
    <n v="34.5"/>
    <x v="0"/>
    <m/>
    <n v="5"/>
    <n v="1324"/>
    <n v="23312"/>
    <s v="NEGRO"/>
    <n v="10"/>
    <n v="0"/>
    <n v="0"/>
    <n v="34.466000000000001"/>
    <n v="34.5"/>
    <n v="38"/>
    <n v="907.89473684210532"/>
    <x v="12"/>
    <x v="0"/>
    <n v="47"/>
    <n v="8"/>
    <n v="604.66666666666663"/>
  </r>
  <r>
    <d v="2025-12-01T08:00:00"/>
    <s v="INYECTADO"/>
    <x v="1"/>
    <x v="282"/>
    <s v="JUANA CRUCES"/>
    <s v="VIRGEN"/>
    <s v="PP HOMOPOLIMERO"/>
    <s v="PP COPOLIMERO"/>
    <s v="PINES Y COMPUERTAS MINERO"/>
    <s v="PIN Y COMPUERTA MINERITO-AMARILLO"/>
    <n v="1295"/>
    <n v="11"/>
    <n v="60.9"/>
    <x v="0"/>
    <m/>
    <n v="5"/>
    <m/>
    <n v="21639"/>
    <s v="AMARILLO"/>
    <n v="17.3"/>
    <n v="0"/>
    <n v="0"/>
    <n v="60.865000000000002"/>
    <n v="60.9"/>
    <n v="47"/>
    <n v="1295.7446808510638"/>
    <x v="12"/>
    <x v="0"/>
    <n v="47"/>
    <n v="2"/>
    <n v="215.83333333333334"/>
  </r>
  <r>
    <d v="2025-12-01T08:00:00"/>
    <s v="INYECTADO"/>
    <x v="1"/>
    <x v="283"/>
    <s v="SILFREDO"/>
    <s v="VIRGEN"/>
    <s v="PP HOMOPOLIMERO"/>
    <s v="PP COPOLIMERO"/>
    <s v="PINES Y COMPUERTAS MINERO"/>
    <s v="PIN Y COMPUERTA MINERITO-AMARILLO"/>
    <n v="1004"/>
    <n v="8"/>
    <n v="47.2"/>
    <x v="0"/>
    <m/>
    <n v="4"/>
    <m/>
    <n v="21640"/>
    <s v="AMARILLO"/>
    <n v="12.7"/>
    <n v="0"/>
    <n v="0"/>
    <n v="47.188000000000002"/>
    <n v="47.2"/>
    <n v="47"/>
    <n v="1004.2553191489362"/>
    <x v="12"/>
    <x v="0"/>
    <n v="47"/>
    <n v="2"/>
    <n v="167.33333333333334"/>
  </r>
  <r>
    <d v="2025-12-01T08:00:00"/>
    <s v="INYECTADO"/>
    <x v="1"/>
    <x v="283"/>
    <s v="MARJORIE VILCHEZ"/>
    <s v="VIRGEN"/>
    <s v="PP HOMOPOLIMERO"/>
    <s v="PP COPOLIMERO"/>
    <s v="PINES Y COMPUERTAS MINERO"/>
    <s v="PIN Y COMPUERTA MINERITO-AMARILLO"/>
    <n v="1536"/>
    <n v="10"/>
    <n v="72.2"/>
    <x v="1"/>
    <m/>
    <n v="6"/>
    <m/>
    <n v="21641"/>
    <s v="AMARILLO"/>
    <n v="16.7"/>
    <n v="0"/>
    <n v="0"/>
    <n v="72.191999999999993"/>
    <n v="72.2"/>
    <n v="47"/>
    <n v="1536.1702127659576"/>
    <x v="12"/>
    <x v="0"/>
    <n v="47"/>
    <n v="2"/>
    <n v="256"/>
  </r>
  <r>
    <d v="2025-12-01T08:00:00"/>
    <s v="INYECTADO"/>
    <x v="6"/>
    <x v="270"/>
    <s v="NESTOR"/>
    <s v="MIXTO"/>
    <s v="ALTA INYECCION"/>
    <s v="ALTA INY MOLIDO"/>
    <s v="LLANTA MINERITO"/>
    <s v="LLANTA MINERITO-NEGRO"/>
    <n v="477"/>
    <n v="8"/>
    <n v="88.9"/>
    <x v="0"/>
    <m/>
    <n v="17"/>
    <m/>
    <n v="22881"/>
    <s v="NEGRO"/>
    <n v="43"/>
    <n v="0"/>
    <n v="0"/>
    <n v="90.153000000000006"/>
    <n v="88.9"/>
    <n v="189"/>
    <n v="470.37037037037038"/>
    <x v="12"/>
    <x v="0"/>
    <n v="47"/>
    <n v="8"/>
    <n v="318"/>
  </r>
  <r>
    <d v="2025-12-01T08:00:00"/>
    <s v="INYECTADO"/>
    <x v="6"/>
    <x v="284"/>
    <s v="JOSDER GONZALEZ"/>
    <s v="MIXTO"/>
    <s v="ALTA INYECCION"/>
    <s v="ALTA INY MOLIDO"/>
    <s v="LLANTA MINERITO"/>
    <s v="LLANTA MINERITO-NEGRO"/>
    <n v="500"/>
    <n v="7"/>
    <n v="94.6"/>
    <x v="1"/>
    <m/>
    <n v="24"/>
    <m/>
    <n v="22882"/>
    <s v="NEGRO"/>
    <n v="35.200000000000003"/>
    <n v="0"/>
    <n v="0"/>
    <n v="94.5"/>
    <n v="94.6"/>
    <n v="189"/>
    <n v="500.5291005291005"/>
    <x v="12"/>
    <x v="0"/>
    <n v="47"/>
    <n v="8"/>
    <n v="333.33333333333331"/>
  </r>
  <r>
    <d v="2025-12-01T08:00:00"/>
    <s v="INYECTADO"/>
    <x v="6"/>
    <x v="285"/>
    <s v="NESTOR"/>
    <s v="MIXTO"/>
    <s v="ALTA INYECCION"/>
    <s v="ALTA INY MOLIDO"/>
    <s v="LLANTA MINERITO"/>
    <s v="LLANTA MINERITO-NEGRO"/>
    <n v="530"/>
    <n v="8"/>
    <n v="100.3"/>
    <x v="0"/>
    <m/>
    <n v="18"/>
    <m/>
    <n v="22883"/>
    <s v="NEGRO"/>
    <n v="33.1"/>
    <n v="0"/>
    <n v="0"/>
    <n v="100.17"/>
    <n v="100.3"/>
    <n v="189"/>
    <n v="530.68783068783068"/>
    <x v="12"/>
    <x v="0"/>
    <n v="48"/>
    <n v="8"/>
    <n v="353.33333333333331"/>
  </r>
  <r>
    <d v="2025-12-01T08:00:00"/>
    <s v="INYECTADO"/>
    <x v="6"/>
    <x v="286"/>
    <s v="CRISALIDA ZAPATA"/>
    <s v="MIXTO"/>
    <s v="ALTA INYECCION"/>
    <s v="ALTA INY MOLIDO"/>
    <s v="LLANTA MINERITO"/>
    <s v="LLANTA MINERITO-NEGRO"/>
    <n v="969"/>
    <n v="9"/>
    <n v="183.2"/>
    <x v="0"/>
    <m/>
    <n v="37"/>
    <m/>
    <n v="22884"/>
    <s v="NEGRO"/>
    <n v="33.9"/>
    <n v="0"/>
    <n v="0"/>
    <n v="183.14099999999999"/>
    <n v="183.2"/>
    <n v="189"/>
    <n v="969.31216931216932"/>
    <x v="12"/>
    <x v="0"/>
    <n v="48"/>
    <n v="8"/>
    <n v="646"/>
  </r>
  <r>
    <d v="2025-12-01T08:00:00"/>
    <s v="INYECTADO"/>
    <x v="6"/>
    <x v="286"/>
    <s v="ISABEL LINARIZ "/>
    <s v="MIXTO"/>
    <s v="ALTA INYECCION"/>
    <s v="ALTA INY MOLIDO"/>
    <s v="LLANTA MINERITO"/>
    <s v="LLANTA MINERITO-NEGRO"/>
    <n v="935"/>
    <n v="12"/>
    <n v="176.8"/>
    <x v="1"/>
    <m/>
    <n v="36"/>
    <m/>
    <n v="22885"/>
    <s v="NEGRO"/>
    <n v="37.299999999999997"/>
    <n v="0"/>
    <n v="0"/>
    <n v="176.715"/>
    <n v="176.8"/>
    <n v="189"/>
    <n v="935.4497354497355"/>
    <x v="12"/>
    <x v="0"/>
    <n v="48"/>
    <n v="8"/>
    <n v="623.33333333333337"/>
  </r>
  <r>
    <d v="2025-12-01T08:00:00"/>
    <s v="INYECTADO"/>
    <x v="2"/>
    <x v="284"/>
    <s v="NELSON"/>
    <s v="VIRGEN"/>
    <s v="PP HOMOPOLIMERO"/>
    <s v="PP COPOLIMERO"/>
    <s v="CHASIS MINERITO"/>
    <s v="CHASIS MINERITO-NEGRO"/>
    <n v="580"/>
    <n v="5"/>
    <n v="142.9"/>
    <x v="0"/>
    <m/>
    <n v="13"/>
    <m/>
    <n v="23166"/>
    <s v="NEGRO"/>
    <n v="14.8"/>
    <n v="0"/>
    <n v="0"/>
    <n v="145"/>
    <n v="142.9"/>
    <n v="250"/>
    <n v="571.6"/>
    <x v="12"/>
    <x v="0"/>
    <n v="47"/>
    <n v="2"/>
    <n v="96.666666666666671"/>
  </r>
  <r>
    <d v="2025-12-01T08:00:00"/>
    <s v="INYECTADO"/>
    <x v="2"/>
    <x v="287"/>
    <s v="JUAN MANUEL"/>
    <s v="VIRGEN"/>
    <s v="PP HOMOPOLIMERO"/>
    <s v="PP COPOLIMERO"/>
    <s v="CHASIS MINERITO"/>
    <s v="CHASIS MINERITO-NEGRO"/>
    <n v="422"/>
    <n v="6"/>
    <n v="103.9"/>
    <x v="1"/>
    <m/>
    <n v="10"/>
    <m/>
    <n v="23167"/>
    <s v="NEGRO"/>
    <n v="45"/>
    <n v="0"/>
    <n v="0"/>
    <n v="105.5"/>
    <n v="103.9"/>
    <n v="250"/>
    <n v="415.6"/>
    <x v="12"/>
    <x v="0"/>
    <n v="48"/>
    <n v="2"/>
    <n v="70.333333333333329"/>
  </r>
  <r>
    <d v="2025-12-01T08:00:00"/>
    <s v="INYECTADO"/>
    <x v="2"/>
    <x v="287"/>
    <s v="BRAYAN PINEDO"/>
    <s v="VIRGEN"/>
    <s v="PP HOMOPOLIMERO"/>
    <s v="PP COPOLIMERO"/>
    <s v="CHASIS MINERITO"/>
    <s v="CHASIS MINERITO-NEGRO"/>
    <n v="822"/>
    <n v="9"/>
    <n v="205.7"/>
    <x v="0"/>
    <m/>
    <n v="23"/>
    <m/>
    <n v="23168"/>
    <s v="NEGRO"/>
    <n v="11.2"/>
    <n v="0"/>
    <n v="0"/>
    <n v="205.5"/>
    <n v="205.7"/>
    <n v="250"/>
    <n v="822.8"/>
    <x v="12"/>
    <x v="0"/>
    <n v="48"/>
    <n v="2"/>
    <n v="137"/>
  </r>
  <r>
    <d v="2025-12-01T08:00:00"/>
    <s v="SOPLADO"/>
    <x v="11"/>
    <x v="287"/>
    <s v="NELSON"/>
    <s v="VIRGEN"/>
    <s v="PP SOPLADO"/>
    <s v="."/>
    <s v="SALSERO PERITA 225ML"/>
    <s v="SALSERO PERITA 225ML-TRANSPARENTE"/>
    <n v="611"/>
    <n v="4"/>
    <n v="11"/>
    <x v="0"/>
    <m/>
    <n v="2"/>
    <m/>
    <n v="23211"/>
    <s v="TRANSPARENTE"/>
    <n v="11"/>
    <n v="0"/>
    <n v="0"/>
    <n v="9.7759999999999998"/>
    <n v="11"/>
    <n v="16"/>
    <n v="687.5"/>
    <x v="12"/>
    <x v="0"/>
    <n v="48"/>
    <n v="2"/>
    <n v="101.83333333333333"/>
  </r>
  <r>
    <d v="2025-11-25T12:00:00"/>
    <s v="SOPLADO"/>
    <x v="11"/>
    <x v="55"/>
    <m/>
    <m/>
    <m/>
    <m/>
    <m/>
    <m/>
    <m/>
    <m/>
    <m/>
    <x v="2"/>
    <m/>
    <m/>
    <m/>
    <m/>
    <m/>
    <m/>
    <m/>
    <m/>
    <m/>
    <m/>
    <m/>
    <m/>
    <x v="13"/>
    <x v="4"/>
    <m/>
    <m/>
    <m/>
  </r>
  <r>
    <d v="2025-12-01T08:00:00"/>
    <s v="INYECTADO"/>
    <x v="4"/>
    <x v="287"/>
    <s v="NESTOR"/>
    <s v="VIRGEN"/>
    <s v="PP HOMOPOLIMERO"/>
    <s v="PP COPOLIMERO"/>
    <s v="CASCO VOLQUETE MINERITO"/>
    <s v="CASCO CONDUCTOR-ROSADO"/>
    <n v="26"/>
    <n v="1"/>
    <n v="0.6"/>
    <x v="0"/>
    <m/>
    <n v="1"/>
    <m/>
    <n v="23602"/>
    <s v="ROSADO"/>
    <n v="1.3"/>
    <n v="0"/>
    <n v="0"/>
    <n v="0.98799999999999999"/>
    <n v="0.6"/>
    <n v="38"/>
    <n v="15.789473684210526"/>
    <x v="12"/>
    <x v="0"/>
    <n v="48"/>
    <n v="8"/>
    <n v="17.333333333333332"/>
  </r>
  <r>
    <d v="2025-12-01T08:00:00"/>
    <s v="INYECTADO"/>
    <x v="4"/>
    <x v="287"/>
    <s v="NESTOR"/>
    <s v="VIRGEN"/>
    <s v="PP HOMOPOLIMERO"/>
    <s v="PP COPOLIMERO"/>
    <s v="CASCO VOLQUETE MINERITO"/>
    <s v="CASCO CONDUCTOR-AMARILLO"/>
    <n v="860"/>
    <n v="6"/>
    <n v="19.8"/>
    <x v="0"/>
    <m/>
    <n v="3"/>
    <m/>
    <n v="23602"/>
    <s v="AMARILLO"/>
    <n v="5.6"/>
    <n v="0"/>
    <n v="0"/>
    <n v="20.64"/>
    <n v="19.8"/>
    <n v="24"/>
    <n v="825"/>
    <x v="12"/>
    <x v="0"/>
    <n v="48"/>
    <n v="8"/>
    <n v="573.33333333333337"/>
  </r>
  <r>
    <d v="2025-12-01T08:00:00"/>
    <s v="INYECTADO"/>
    <x v="4"/>
    <x v="287"/>
    <s v="NESTOR"/>
    <s v="VIRGEN"/>
    <s v="PP HOMOPOLIMERO"/>
    <s v="PP COPOLIMERO"/>
    <s v="CASCO VOLQUETE MINERITO"/>
    <s v="CASCO CONDUCTOR-ROJO"/>
    <n v="573"/>
    <n v="4"/>
    <n v="13.2"/>
    <x v="0"/>
    <m/>
    <n v="2"/>
    <m/>
    <n v="23602"/>
    <s v="ROJO"/>
    <n v="2.9"/>
    <n v="0"/>
    <n v="0"/>
    <n v="13.752000000000001"/>
    <n v="13.2"/>
    <n v="24"/>
    <n v="550"/>
    <x v="12"/>
    <x v="0"/>
    <n v="48"/>
    <n v="8"/>
    <n v="382"/>
  </r>
  <r>
    <d v="2025-12-01T08:00:00"/>
    <s v="INYECTADO"/>
    <x v="4"/>
    <x v="288"/>
    <s v="CRISALIDA ZAPATA"/>
    <s v="VIRGEN"/>
    <s v="PP HOMOPOLIMERO"/>
    <s v="PP COPOLIMERO"/>
    <s v="CASCO VOLQUETE MINERITO"/>
    <s v="CASCO CONDUCTOR-ROJO"/>
    <n v="221"/>
    <n v="2"/>
    <n v="5.0999999999999996"/>
    <x v="0"/>
    <m/>
    <n v="1"/>
    <m/>
    <n v="23603"/>
    <s v="ROJO"/>
    <n v="1.2"/>
    <n v="0"/>
    <n v="0"/>
    <n v="5.3040000000000003"/>
    <n v="5.0999999999999996"/>
    <n v="24"/>
    <n v="212.5"/>
    <x v="12"/>
    <x v="0"/>
    <n v="48"/>
    <n v="8"/>
    <n v="147.33333333333334"/>
  </r>
  <r>
    <d v="2025-12-01T08:00:00"/>
    <s v="INYECTADO"/>
    <x v="4"/>
    <x v="288"/>
    <s v="JOSDER GONZALEZ"/>
    <s v="VIRGEN"/>
    <s v="PP HOMOPOLIMERO"/>
    <s v="PP COPOLIMERO"/>
    <s v="CASCO VOLQUETE MINERITO"/>
    <s v="CASCO CONDUCTOR-ROJO"/>
    <n v="121"/>
    <n v="1"/>
    <n v="2.8"/>
    <x v="1"/>
    <m/>
    <n v="1"/>
    <m/>
    <n v="23604"/>
    <s v="ROJO"/>
    <n v="2.2000000000000002"/>
    <n v="0"/>
    <n v="0"/>
    <n v="2.9039999999999999"/>
    <n v="2.8"/>
    <n v="24"/>
    <n v="116.66666666666667"/>
    <x v="12"/>
    <x v="0"/>
    <n v="48"/>
    <n v="8"/>
    <n v="80.666666666666671"/>
  </r>
  <r>
    <d v="2025-12-01T08:00:00"/>
    <s v="INYECTADO"/>
    <x v="4"/>
    <x v="288"/>
    <s v="JOSDER GONZALEZ"/>
    <s v="VIRGEN"/>
    <s v="PP HOMOPOLIMERO"/>
    <s v="PP COPOLIMERO"/>
    <s v="CASCO VOLQUETE MINERITO"/>
    <s v="CASCO CONDUCTOR-AZURE"/>
    <n v="286"/>
    <n v="2"/>
    <n v="6.6"/>
    <x v="1"/>
    <m/>
    <n v="1"/>
    <m/>
    <n v="23604"/>
    <s v="AZURE"/>
    <n v="1.6"/>
    <n v="0"/>
    <n v="0"/>
    <n v="6.8639999999999999"/>
    <n v="6.6"/>
    <n v="24"/>
    <n v="275"/>
    <x v="12"/>
    <x v="0"/>
    <n v="48"/>
    <n v="8"/>
    <n v="190.66666666666666"/>
  </r>
  <r>
    <d v="2025-12-01T08:00:00"/>
    <s v="INYECTADO"/>
    <x v="4"/>
    <x v="286"/>
    <s v="MARIA GUEVARA"/>
    <s v="VIRGEN"/>
    <s v="PP HOMOPOLIMERO"/>
    <s v="PP COPOLIMERO"/>
    <s v="CASCO VOLQUETE MINERITO"/>
    <s v="CASCO CONDUCTOR-AZURE"/>
    <n v="447"/>
    <n v="3"/>
    <n v="10.3"/>
    <x v="0"/>
    <m/>
    <n v="1"/>
    <m/>
    <n v="23605"/>
    <s v="CELESTE"/>
    <n v="0"/>
    <n v="0"/>
    <n v="0"/>
    <n v="10.728"/>
    <n v="10.3"/>
    <n v="24"/>
    <n v="429.16666666666669"/>
    <x v="12"/>
    <x v="0"/>
    <n v="48"/>
    <n v="8"/>
    <n v="298"/>
  </r>
  <r>
    <d v="2025-12-01T08:00:00"/>
    <s v="INYECTADO"/>
    <x v="5"/>
    <x v="282"/>
    <s v="ISABEL LINARIZ "/>
    <s v="SEGUNDA"/>
    <s v="."/>
    <s v="PP INYECTADO"/>
    <s v="ASAS ORGANIZADOR 2 Y 3 SOLIDO"/>
    <s v="ASAS DE ORGANIZADOR 2 Y 3-VERDE"/>
    <n v="859"/>
    <n v="6"/>
    <n v="27.5"/>
    <x v="1"/>
    <m/>
    <n v="0"/>
    <m/>
    <n v="22573"/>
    <s v="VERDE"/>
    <n v="12.8"/>
    <n v="0"/>
    <n v="0"/>
    <n v="9.4489999999999998"/>
    <n v="27.5"/>
    <n v="11"/>
    <n v="2500"/>
    <x v="12"/>
    <x v="0"/>
    <n v="47"/>
    <n v="3"/>
    <n v="214.75"/>
  </r>
  <r>
    <d v="2025-12-01T08:00:00"/>
    <s v="INYECTADO"/>
    <x v="5"/>
    <x v="282"/>
    <s v="ISABEL LINARIZ "/>
    <s v="SEGUNDA"/>
    <s v="."/>
    <s v="PP INYECTADO"/>
    <s v="ASAS ORGANIZADOR 2 Y 3 SOLIDO"/>
    <s v="ASAS DE ORGANIZADOR 2 Y 3-FUCSIA"/>
    <n v="840"/>
    <n v="6"/>
    <n v="27.5"/>
    <x v="1"/>
    <m/>
    <n v="0"/>
    <m/>
    <n v="22573"/>
    <s v="FUCSIA"/>
    <n v="11.6"/>
    <n v="0"/>
    <n v="0"/>
    <n v="9.24"/>
    <n v="27.5"/>
    <n v="11"/>
    <n v="2500"/>
    <x v="12"/>
    <x v="0"/>
    <n v="47"/>
    <n v="3"/>
    <n v="210"/>
  </r>
  <r>
    <d v="2025-12-01T08:00:00"/>
    <s v="INYECTADO"/>
    <x v="5"/>
    <x v="283"/>
    <s v="NESTOR"/>
    <s v="SEGUNDA"/>
    <s v="."/>
    <s v="PP INYECTADO"/>
    <s v="ASAS ORGANIZADOR 2 Y 3 SOLIDO"/>
    <s v="ASAS DE ORGANIZADOR 2 Y 3-FUCSIA"/>
    <n v="153"/>
    <n v="1"/>
    <n v="4.9000000000000004"/>
    <x v="0"/>
    <m/>
    <n v="2"/>
    <m/>
    <n v="22574"/>
    <s v="FUCSIA"/>
    <n v="2.4"/>
    <n v="0"/>
    <n v="0"/>
    <n v="1.6830000000000001"/>
    <n v="4.9000000000000004"/>
    <n v="11"/>
    <n v="445.45454545454544"/>
    <x v="12"/>
    <x v="0"/>
    <n v="47"/>
    <n v="3"/>
    <n v="38.25"/>
  </r>
  <r>
    <d v="2025-12-01T08:00:00"/>
    <s v="INYECTADO"/>
    <x v="5"/>
    <x v="283"/>
    <s v="NESTOR"/>
    <s v="SEGUNDA"/>
    <s v="."/>
    <s v="PP INYECTADO"/>
    <s v="ASAS ORGANIZADOR 2 Y 3 SOLIDO"/>
    <s v="ASAS DE ORGANIZADOR 2 Y 3-LILA"/>
    <n v="1078"/>
    <n v="8"/>
    <n v="34.5"/>
    <x v="0"/>
    <m/>
    <n v="4"/>
    <m/>
    <n v="22574"/>
    <s v="LILA"/>
    <n v="14.9"/>
    <n v="0"/>
    <n v="0"/>
    <n v="11.858000000000001"/>
    <n v="34.5"/>
    <n v="11"/>
    <n v="3136.3636363636365"/>
    <x v="12"/>
    <x v="0"/>
    <n v="47"/>
    <n v="3"/>
    <n v="269.5"/>
  </r>
  <r>
    <d v="2025-12-01T08:00:00"/>
    <s v="INYECTADO"/>
    <x v="5"/>
    <x v="283"/>
    <s v="JUAN MANUEL"/>
    <s v="SEGUNDA"/>
    <s v="."/>
    <s v="PP INYECTADO"/>
    <s v="ASAS ORGANIZADOR 2 Y 3 SOLIDO"/>
    <s v="ASAS DE ORGANIZADOR 2 Y 3-LILA"/>
    <n v="78"/>
    <n v="1"/>
    <n v="2.5"/>
    <x v="1"/>
    <m/>
    <n v="2"/>
    <m/>
    <n v="22575"/>
    <s v="LILA"/>
    <n v="0"/>
    <n v="0"/>
    <n v="0"/>
    <n v="0.85799999999999998"/>
    <n v="2.5"/>
    <n v="11"/>
    <n v="227.27272727272728"/>
    <x v="12"/>
    <x v="0"/>
    <n v="47"/>
    <n v="3"/>
    <n v="19.5"/>
  </r>
  <r>
    <d v="2025-12-01T08:00:00"/>
    <s v="INYECTADO"/>
    <x v="5"/>
    <x v="283"/>
    <s v="JUAN MANUEL"/>
    <s v="SEGUNDA"/>
    <s v="."/>
    <s v="PP INYECTADO"/>
    <s v="ASAS ORGANIZADOR 2 Y 3 SOLIDO"/>
    <s v="ASAS DE ORGANIZADOR 2 Y 3-ROJO"/>
    <n v="1025"/>
    <n v="8"/>
    <n v="32.799999999999997"/>
    <x v="1"/>
    <m/>
    <n v="4"/>
    <m/>
    <n v="22575"/>
    <s v="ROJO"/>
    <n v="18"/>
    <n v="0"/>
    <n v="0"/>
    <n v="11.275"/>
    <n v="32.799999999999997"/>
    <n v="11"/>
    <n v="2981.818181818182"/>
    <x v="12"/>
    <x v="0"/>
    <n v="47"/>
    <n v="3"/>
    <n v="256.25"/>
  </r>
  <r>
    <d v="2025-12-01T08:00:00"/>
    <s v="INYECTADO"/>
    <x v="5"/>
    <x v="283"/>
    <s v="JUAN MANUEL"/>
    <s v="SEGUNDA"/>
    <s v="."/>
    <s v="PP INYECTADO"/>
    <s v="ASAS ORGANIZADOR 2 Y 3 SOLIDO"/>
    <s v="ASAS DE ORGANIZADOR 2 Y 3-AZUL"/>
    <n v="309"/>
    <n v="2"/>
    <n v="9.9"/>
    <x v="1"/>
    <m/>
    <n v="2"/>
    <m/>
    <n v="22575"/>
    <s v="AZUL"/>
    <n v="9"/>
    <n v="0"/>
    <n v="0"/>
    <n v="3.399"/>
    <n v="9.9"/>
    <n v="11"/>
    <n v="900"/>
    <x v="12"/>
    <x v="0"/>
    <n v="47"/>
    <n v="3"/>
    <n v="77.25"/>
  </r>
  <r>
    <d v="2025-12-01T08:00:00"/>
    <s v="INYECTADO"/>
    <x v="5"/>
    <x v="284"/>
    <s v="MARJORIE VILCHEZ"/>
    <s v="SEGUNDA"/>
    <s v="."/>
    <s v="PP INYECTADO"/>
    <s v="ASAS ORGANIZADOR 2 Y 3 SOLIDO"/>
    <s v="ASAS DE ORGANIZADOR 2 Y 3-AZUL"/>
    <n v="1062"/>
    <n v="10"/>
    <n v="34"/>
    <x v="1"/>
    <m/>
    <n v="3"/>
    <m/>
    <n v="22576"/>
    <s v="AZUL"/>
    <n v="21.8"/>
    <n v="0"/>
    <n v="0"/>
    <n v="11.682"/>
    <n v="34"/>
    <n v="11"/>
    <n v="3090.909090909091"/>
    <x v="12"/>
    <x v="0"/>
    <n v="47"/>
    <n v="3"/>
    <n v="265.5"/>
  </r>
  <r>
    <d v="2025-11-18T08:00:00"/>
    <s v="INYECTADO"/>
    <x v="1"/>
    <x v="55"/>
    <m/>
    <m/>
    <m/>
    <m/>
    <s v="PINES Y COMPUERTAS MINERO"/>
    <s v="PINES Y COMPUERTAS MINERO-AMARILLO"/>
    <m/>
    <m/>
    <m/>
    <x v="2"/>
    <m/>
    <m/>
    <m/>
    <n v="21642"/>
    <s v="AMARILLO"/>
    <n v="0"/>
    <n v="0"/>
    <n v="0"/>
    <m/>
    <m/>
    <m/>
    <m/>
    <x v="13"/>
    <x v="4"/>
    <m/>
    <m/>
    <m/>
  </r>
  <r>
    <d v="2025-11-18T08:00:00"/>
    <s v="INYECTADO"/>
    <x v="1"/>
    <x v="55"/>
    <m/>
    <m/>
    <m/>
    <m/>
    <s v="PINES Y COMPUERTAS MINERO"/>
    <s v="PINES Y COMPUERTAS MINERO-AMARILLO"/>
    <m/>
    <m/>
    <m/>
    <x v="2"/>
    <m/>
    <m/>
    <m/>
    <n v="21643"/>
    <s v="AMARILLO"/>
    <n v="12.6"/>
    <n v="0"/>
    <n v="0"/>
    <m/>
    <m/>
    <m/>
    <m/>
    <x v="13"/>
    <x v="4"/>
    <m/>
    <m/>
    <m/>
  </r>
  <r>
    <d v="2025-12-01T08:00:00"/>
    <s v="INYECTADO"/>
    <x v="3"/>
    <x v="284"/>
    <s v="CARLOS SULCA"/>
    <s v="VIRGEN"/>
    <s v="PP HOMOPOLIMERO"/>
    <s v="PP COPOLIMERO"/>
    <s v="TOLVA MINERITO"/>
    <s v="TOLVA MINERITO-AMARILLO"/>
    <n v="83"/>
    <n v="1"/>
    <n v="12.7"/>
    <x v="0"/>
    <m/>
    <n v="2"/>
    <m/>
    <n v="22049"/>
    <s v="AMARILLO M"/>
    <n v="9.6999999999999993"/>
    <n v="0"/>
    <n v="0"/>
    <n v="12.699"/>
    <n v="12.7"/>
    <n v="153"/>
    <n v="83.006535947712422"/>
    <x v="12"/>
    <x v="0"/>
    <n v="47"/>
    <n v="2"/>
    <n v="13.833333333333334"/>
  </r>
  <r>
    <d v="2025-12-01T08:00:00"/>
    <s v="INYECTADO"/>
    <x v="3"/>
    <x v="284"/>
    <s v="GABRIEL REQUENA"/>
    <s v="VIRGEN"/>
    <s v="PP HOMOPOLIMERO"/>
    <s v="PP COPOLIMERO"/>
    <s v="TOLVA MINERITO"/>
    <s v="TOLVA MINERITO-AMARILLO"/>
    <n v="797"/>
    <n v="12"/>
    <n v="121.9"/>
    <x v="1"/>
    <m/>
    <n v="18"/>
    <m/>
    <n v="22050"/>
    <s v="AMARILLO M"/>
    <n v="4.0999999999999996"/>
    <n v="0"/>
    <n v="0"/>
    <n v="121.941"/>
    <n v="121.9"/>
    <n v="153"/>
    <n v="796.7320261437909"/>
    <x v="12"/>
    <x v="0"/>
    <n v="47"/>
    <n v="2"/>
    <n v="132.83333333333334"/>
  </r>
  <r>
    <d v="2025-12-01T08:00:00"/>
    <s v="INYECTADO"/>
    <x v="3"/>
    <x v="285"/>
    <s v="CRISALIDA ZAPATA"/>
    <s v="VIRGEN"/>
    <s v="PP HOMOPOLIMERO"/>
    <s v="PP COPOLIMERO"/>
    <s v="TOLVA MINERITO"/>
    <s v="TOLVA MINERITO-AMARILLO"/>
    <n v="927"/>
    <n v="11"/>
    <n v="140.9"/>
    <x v="0"/>
    <m/>
    <n v="27"/>
    <m/>
    <n v="22051"/>
    <s v="AMARILLO M"/>
    <n v="8.6"/>
    <n v="0"/>
    <n v="0"/>
    <n v="141.83099999999999"/>
    <n v="140.9"/>
    <n v="153"/>
    <n v="920.9150326797386"/>
    <x v="12"/>
    <x v="0"/>
    <n v="48"/>
    <n v="2"/>
    <n v="154.5"/>
  </r>
  <r>
    <d v="2025-12-01T08:00:00"/>
    <s v="INYECTADO"/>
    <x v="3"/>
    <x v="285"/>
    <s v="ISABEL LINARIZ "/>
    <s v="VIRGEN"/>
    <s v="PP HOMOPOLIMERO"/>
    <s v="PP COPOLIMERO"/>
    <s v="TOLVA MINERITO"/>
    <s v="TOLVA MINERITO-AMARILLO"/>
    <n v="1111"/>
    <n v="12"/>
    <n v="168.8"/>
    <x v="1"/>
    <m/>
    <n v="34"/>
    <m/>
    <n v="22052"/>
    <s v="AMARILLO M"/>
    <n v="0"/>
    <n v="0"/>
    <n v="0"/>
    <n v="169.983"/>
    <n v="168.8"/>
    <n v="153"/>
    <n v="1103.2679738562092"/>
    <x v="12"/>
    <x v="0"/>
    <n v="48"/>
    <n v="2"/>
    <n v="185.16666666666666"/>
  </r>
  <r>
    <d v="2025-12-01T08:00:00"/>
    <s v="INYECTADO"/>
    <x v="3"/>
    <x v="287"/>
    <s v="CRISALIDA ZAPATA"/>
    <s v="VIRGEN"/>
    <s v="PP HOMOPOLIMERO"/>
    <s v="PP COPOLIMERO"/>
    <s v="TOLVA MINERITO"/>
    <s v="TOLVA MINERITO-AMARILLO"/>
    <n v="1087"/>
    <n v="11"/>
    <n v="165.2"/>
    <x v="0"/>
    <m/>
    <n v="27"/>
    <m/>
    <n v="22053"/>
    <s v="AMARILLO M"/>
    <n v="0"/>
    <n v="0"/>
    <n v="0"/>
    <n v="166.31100000000001"/>
    <n v="165.2"/>
    <n v="153"/>
    <n v="1079.7385620915034"/>
    <x v="12"/>
    <x v="0"/>
    <n v="48"/>
    <n v="2"/>
    <n v="181.16666666666666"/>
  </r>
  <r>
    <d v="2025-12-01T08:00:00"/>
    <s v="INYECTADO"/>
    <x v="3"/>
    <x v="287"/>
    <s v="MARJORIE VILCHEZ"/>
    <s v="VIRGEN"/>
    <s v="PP HOMOPOLIMERO"/>
    <s v="PP COPOLIMERO"/>
    <s v="TOLVA MINERITO"/>
    <s v="TOLVA MINERITO-AMARILLO"/>
    <n v="276"/>
    <n v="3"/>
    <n v="42.2"/>
    <x v="1"/>
    <m/>
    <n v="6"/>
    <m/>
    <n v="22054"/>
    <s v="AMARILLO M"/>
    <n v="0"/>
    <n v="0"/>
    <n v="0"/>
    <n v="42.228000000000002"/>
    <n v="42.2"/>
    <n v="153"/>
    <n v="275.8169934640523"/>
    <x v="12"/>
    <x v="0"/>
    <n v="48"/>
    <n v="2"/>
    <n v="46"/>
  </r>
  <r>
    <d v="2025-12-01T08:00:00"/>
    <s v="INYECTADO"/>
    <x v="3"/>
    <x v="288"/>
    <s v="CRISALIDA ZAPATA"/>
    <s v="VIRGEN"/>
    <s v="PP HOMOPOLIMERO"/>
    <s v="PP COPOLIMERO"/>
    <s v="TOLVA MINERITO"/>
    <s v="TOLVA MINERITO-AMARILLO"/>
    <n v="688"/>
    <n v="9"/>
    <n v="105.2"/>
    <x v="0"/>
    <m/>
    <n v="17"/>
    <m/>
    <n v="22055"/>
    <s v="AMARILLO M"/>
    <n v="0"/>
    <n v="0"/>
    <n v="0"/>
    <n v="105.264"/>
    <n v="105.2"/>
    <n v="153"/>
    <n v="687.58169934640523"/>
    <x v="12"/>
    <x v="0"/>
    <n v="48"/>
    <n v="2"/>
    <n v="114.66666666666667"/>
  </r>
  <r>
    <d v="2025-12-01T08:00:00"/>
    <s v="INYECTADO"/>
    <x v="3"/>
    <x v="286"/>
    <s v="MARJORIE VILCHEZ"/>
    <s v="VIRGEN"/>
    <s v="PP HOMOPOLIMERO"/>
    <s v="PP COPOLIMERO"/>
    <s v="TOLVA MINERITO"/>
    <s v="TOLVA MINERITO-AMARILLO"/>
    <n v="137"/>
    <n v="2"/>
    <n v="20"/>
    <x v="1"/>
    <m/>
    <n v="3"/>
    <m/>
    <n v="22056"/>
    <s v="AMARILLO M"/>
    <n v="0.6"/>
    <n v="0"/>
    <n v="0"/>
    <n v="20.960999999999999"/>
    <n v="20"/>
    <n v="153"/>
    <n v="130.718954248366"/>
    <x v="12"/>
    <x v="0"/>
    <n v="48"/>
    <n v="2"/>
    <n v="22.833333333333332"/>
  </r>
  <r>
    <d v="2025-12-01T08:00:00"/>
    <s v="INYECTADO"/>
    <x v="3"/>
    <x v="289"/>
    <s v="JUANA CRUCES"/>
    <s v="VIRGEN"/>
    <s v="PP HOMOPOLIMERO"/>
    <s v="PP COPOLIMERO"/>
    <s v="TOLVA MINERITO"/>
    <s v="TOLVA MINERITO-AMARILLO"/>
    <n v="1003"/>
    <n v="10"/>
    <n v="154.5"/>
    <x v="0"/>
    <m/>
    <n v="29"/>
    <m/>
    <n v="22057"/>
    <s v="AMARILLO M"/>
    <n v="1.5"/>
    <n v="0"/>
    <n v="0"/>
    <n v="153.459"/>
    <n v="154.5"/>
    <n v="153"/>
    <n v="1009.8039215686274"/>
    <x v="12"/>
    <x v="0"/>
    <n v="48"/>
    <n v="2"/>
    <n v="167.16666666666666"/>
  </r>
  <r>
    <d v="2025-12-01T08:00:00"/>
    <s v="INYECTADO"/>
    <x v="1"/>
    <x v="284"/>
    <s v="MARJORIE VILCHEZ"/>
    <s v="VIRGEN"/>
    <s v="PP HOMOPOLIMERO"/>
    <s v="PP COPOLIMERO"/>
    <s v="PIN Y COMPUERTA MINERITO"/>
    <s v="PIN Y COMPUERTA MINERITO-AMARILLO"/>
    <n v="614"/>
    <n v="6"/>
    <n v="28.9"/>
    <x v="1"/>
    <m/>
    <n v="3"/>
    <m/>
    <n v="21642"/>
    <s v="AMARILLO"/>
    <n v="0"/>
    <n v="0"/>
    <n v="0"/>
    <n v="28.858000000000001"/>
    <n v="28.9"/>
    <n v="47"/>
    <n v="614.89361702127655"/>
    <x v="12"/>
    <x v="0"/>
    <n v="47"/>
    <n v="2"/>
    <n v="102.33333333333333"/>
  </r>
  <r>
    <d v="2025-12-01T08:00:00"/>
    <s v="INYECTADO"/>
    <x v="1"/>
    <x v="286"/>
    <s v="CARLOS SULCA"/>
    <s v="VIRGEN"/>
    <s v="PP HOMOPOLIMERO"/>
    <s v="PP COPOLIMERO"/>
    <s v="PIN Y COMPUERTA MINERITO"/>
    <s v="PIN Y COMPUERTA MINERITO-AMARILLO"/>
    <n v="295"/>
    <n v="2"/>
    <n v="13.9"/>
    <x v="3"/>
    <m/>
    <n v="2"/>
    <m/>
    <n v="21643"/>
    <s v="AMARILLO"/>
    <n v="12.6"/>
    <n v="0"/>
    <n v="0"/>
    <n v="13.865"/>
    <n v="13.9"/>
    <n v="47"/>
    <n v="295.74468085106383"/>
    <x v="12"/>
    <x v="0"/>
    <n v="48"/>
    <n v="2"/>
    <n v="49.166666666666664"/>
  </r>
  <r>
    <d v="2025-12-01T08:00:00"/>
    <s v="SOPLADO"/>
    <x v="11"/>
    <x v="286"/>
    <s v="AUTOMATICO"/>
    <m/>
    <m/>
    <m/>
    <s v="SALSERO PERITA 225ML"/>
    <s v="SALSERO PERITA 225ML-TRANSPARENTE"/>
    <n v="1288"/>
    <n v="9"/>
    <n v="23.2"/>
    <x v="0"/>
    <m/>
    <n v="3"/>
    <m/>
    <n v="23212"/>
    <s v="TRANSPARENTE"/>
    <n v="0"/>
    <n v="0"/>
    <n v="0"/>
    <n v="20.608000000000001"/>
    <n v="23.2"/>
    <n v="16"/>
    <n v="1450"/>
    <x v="12"/>
    <x v="0"/>
    <n v="48"/>
    <n v="2"/>
    <n v="214.66666666666666"/>
  </r>
  <r>
    <d v="2025-12-01T08:00:00"/>
    <s v="SOPLADO"/>
    <x v="11"/>
    <x v="289"/>
    <s v="KARLA HUISA"/>
    <m/>
    <m/>
    <m/>
    <s v="SALSERO PERITA 225ML"/>
    <s v="SALSERO PERITA 225ML-TRANSPARENTE"/>
    <n v="2027"/>
    <n v="12"/>
    <n v="36.5"/>
    <x v="0"/>
    <m/>
    <n v="5"/>
    <m/>
    <n v="23213"/>
    <s v="TRANSPARENTE"/>
    <n v="34.700000000000003"/>
    <n v="0"/>
    <n v="0"/>
    <n v="32.432000000000002"/>
    <n v="36.5"/>
    <n v="16"/>
    <n v="2281.25"/>
    <x v="12"/>
    <x v="0"/>
    <n v="48"/>
    <n v="2"/>
    <n v="337.83333333333331"/>
  </r>
  <r>
    <d v="2025-12-01T08:00:00"/>
    <s v="SOPLADO"/>
    <x v="11"/>
    <x v="289"/>
    <s v="ISABEL LINARIZ "/>
    <m/>
    <m/>
    <m/>
    <s v="SALSERO PERITA 225ML"/>
    <s v="SALSERO PERITA 225ML-TRANSPARENTE"/>
    <n v="2172"/>
    <n v="12"/>
    <n v="39.1"/>
    <x v="1"/>
    <m/>
    <n v="5"/>
    <m/>
    <n v="23214"/>
    <s v="TRANSPARENTE"/>
    <n v="25.3"/>
    <n v="0"/>
    <n v="0"/>
    <n v="34.752000000000002"/>
    <n v="39.1"/>
    <n v="16"/>
    <n v="2443.75"/>
    <x v="12"/>
    <x v="0"/>
    <n v="48"/>
    <n v="2"/>
    <n v="362"/>
  </r>
  <r>
    <d v="2025-12-01T08:00:00"/>
    <s v="SOPLADO"/>
    <x v="9"/>
    <x v="285"/>
    <s v="NELSON"/>
    <m/>
    <m/>
    <m/>
    <s v="ASIENTO VOLQUETE MINERO"/>
    <s v="ASIENTO VOLQUETE MINERO-NEGRO"/>
    <n v="687"/>
    <n v="8"/>
    <n v="68.7"/>
    <x v="0"/>
    <m/>
    <n v="7"/>
    <m/>
    <n v="23505"/>
    <s v="NEGRO"/>
    <n v="78.400000000000006"/>
    <n v="0"/>
    <n v="0"/>
    <n v="0"/>
    <n v="68.7"/>
    <n v="0"/>
    <n v="0"/>
    <x v="12"/>
    <x v="0"/>
    <n v="48"/>
    <n v="0"/>
    <n v="0"/>
  </r>
  <r>
    <d v="2025-12-01T08:00:00"/>
    <s v="SOPLADO"/>
    <x v="9"/>
    <x v="285"/>
    <s v="GABRIEL REQUENA"/>
    <m/>
    <m/>
    <m/>
    <s v="ASIENTO VOLQUETE MINERO"/>
    <s v="ASIENTO VOLQUETE MINERO-NEGRO"/>
    <n v="841"/>
    <n v="11"/>
    <n v="84.1"/>
    <x v="1"/>
    <m/>
    <n v="12"/>
    <m/>
    <n v="23506"/>
    <s v="NEGRO"/>
    <n v="116.7"/>
    <n v="0"/>
    <n v="0"/>
    <n v="0"/>
    <n v="84.1"/>
    <n v="0"/>
    <n v="0"/>
    <x v="12"/>
    <x v="0"/>
    <n v="48"/>
    <n v="0"/>
    <n v="0"/>
  </r>
  <r>
    <d v="2025-12-01T08:00:00"/>
    <s v="SOPLADO"/>
    <x v="9"/>
    <x v="287"/>
    <s v="BRAYAN PINEDO"/>
    <m/>
    <m/>
    <m/>
    <s v="ASIENTO VOLQUETE MINERO"/>
    <s v="ASIENTO VOLQUETE MINERO-NEGRO"/>
    <n v="814"/>
    <n v="9"/>
    <n v="93.7"/>
    <x v="0"/>
    <m/>
    <n v="8"/>
    <m/>
    <n v="23507"/>
    <s v="NEGRO"/>
    <n v="93"/>
    <n v="0"/>
    <n v="0"/>
    <n v="0"/>
    <n v="93.7"/>
    <n v="0"/>
    <n v="0"/>
    <x v="12"/>
    <x v="0"/>
    <n v="48"/>
    <n v="0"/>
    <n v="0"/>
  </r>
  <r>
    <d v="2025-12-01T08:00:00"/>
    <s v="SOPLADO"/>
    <x v="9"/>
    <x v="287"/>
    <s v="JOSDER GONZALEZ"/>
    <m/>
    <m/>
    <m/>
    <s v="ASIENTO VOLQUETE MINERO"/>
    <s v="ASIENTO VOLQUETE MINERO-NEGRO"/>
    <n v="1064"/>
    <n v="12"/>
    <n v="116"/>
    <x v="1"/>
    <m/>
    <n v="11"/>
    <m/>
    <n v="23508"/>
    <s v="NEGRO"/>
    <n v="140.19999999999999"/>
    <n v="0"/>
    <n v="0"/>
    <n v="0"/>
    <n v="116"/>
    <n v="0"/>
    <n v="0"/>
    <x v="12"/>
    <x v="0"/>
    <n v="48"/>
    <n v="0"/>
    <n v="0"/>
  </r>
  <r>
    <d v="2025-12-01T08:00:00"/>
    <s v="SOPLADO"/>
    <x v="9"/>
    <x v="288"/>
    <s v="SAID VILLAMIZAR"/>
    <m/>
    <m/>
    <m/>
    <s v="ASIENTO VOLQUETE MINERO"/>
    <s v="ASIENTO VOLQUETE MINERO-NEGRO"/>
    <n v="1262"/>
    <n v="13"/>
    <n v="137.6"/>
    <x v="0"/>
    <m/>
    <n v="13"/>
    <m/>
    <n v="23509"/>
    <s v="NEGRO"/>
    <n v="88.8"/>
    <n v="0"/>
    <n v="0"/>
    <n v="0"/>
    <n v="137.6"/>
    <n v="0"/>
    <n v="0"/>
    <x v="12"/>
    <x v="0"/>
    <n v="48"/>
    <n v="0"/>
    <n v="0"/>
  </r>
  <r>
    <d v="2025-12-01T08:00:00"/>
    <s v="SOPLADO"/>
    <x v="9"/>
    <x v="288"/>
    <s v="JOSDER GONZALEZ"/>
    <m/>
    <m/>
    <m/>
    <s v="ASIENTO VOLQUETE MINERO"/>
    <s v="ASIENTO VOLQUETE MINERO-NEGRO"/>
    <n v="872"/>
    <n v="8"/>
    <n v="95.1"/>
    <x v="1"/>
    <m/>
    <n v="12"/>
    <m/>
    <n v="23510"/>
    <s v="NEGRO"/>
    <n v="58.5"/>
    <n v="0"/>
    <n v="0"/>
    <n v="0"/>
    <n v="95.1"/>
    <n v="0"/>
    <n v="0"/>
    <x v="12"/>
    <x v="0"/>
    <n v="48"/>
    <n v="0"/>
    <n v="0"/>
  </r>
  <r>
    <d v="2025-12-01T08:00:00"/>
    <s v="SOPLADO"/>
    <x v="9"/>
    <x v="286"/>
    <s v="BRAYAN PINEDO"/>
    <m/>
    <m/>
    <m/>
    <s v="EXTREMIDADES FABIOLA"/>
    <s v="EXTREMIDADES FABIOLA-CARNE"/>
    <n v="140"/>
    <n v="1"/>
    <n v="6.3"/>
    <x v="0"/>
    <m/>
    <n v="1"/>
    <m/>
    <n v="23511"/>
    <s v="CARNE"/>
    <n v="19"/>
    <n v="0"/>
    <n v="0"/>
    <n v="5.88"/>
    <n v="6.3"/>
    <n v="42"/>
    <n v="150"/>
    <x v="12"/>
    <x v="0"/>
    <n v="48"/>
    <n v="1"/>
    <n v="11.666666666666666"/>
  </r>
  <r>
    <d v="2025-12-01T08:00:00"/>
    <s v="SOPLADO"/>
    <x v="9"/>
    <x v="289"/>
    <s v="BRAYAN PINEDO"/>
    <m/>
    <m/>
    <m/>
    <s v="EXTREMIDADES FABIOLA"/>
    <s v="EXTREMIDADES FABIOLA-CARNE"/>
    <n v="1002"/>
    <n v="9"/>
    <n v="45.1"/>
    <x v="0"/>
    <m/>
    <n v="3"/>
    <m/>
    <n v="23512"/>
    <s v="CARNE"/>
    <n v="62.3"/>
    <n v="0"/>
    <n v="0"/>
    <n v="42.084000000000003"/>
    <n v="45.1"/>
    <n v="42"/>
    <n v="1073.8095238095239"/>
    <x v="12"/>
    <x v="0"/>
    <n v="48"/>
    <n v="1"/>
    <n v="83.5"/>
  </r>
  <r>
    <d v="2025-12-01T08:00:00"/>
    <s v="SOPLADO"/>
    <x v="9"/>
    <x v="290"/>
    <s v="SAID VILLAMIZAR"/>
    <m/>
    <m/>
    <m/>
    <s v="EXTREMIDADES FABIOLA"/>
    <s v="EXTREMIDADES FABIOLA-CARNE"/>
    <n v="1004"/>
    <n v="9"/>
    <n v="44.2"/>
    <x v="0"/>
    <m/>
    <n v="3"/>
    <m/>
    <n v="23513"/>
    <s v="CARNE"/>
    <n v="53.2"/>
    <n v="0"/>
    <n v="0"/>
    <n v="42.167999999999999"/>
    <n v="44.2"/>
    <n v="42"/>
    <n v="1052.3809523809523"/>
    <x v="12"/>
    <x v="0"/>
    <n v="48"/>
    <n v="1"/>
    <n v="83.666666666666671"/>
  </r>
  <r>
    <d v="2025-12-01T12:00:00"/>
    <s v="INYECTADO"/>
    <x v="4"/>
    <x v="290"/>
    <s v="CRISALIDA ZAPATA"/>
    <s v="VIRGEN"/>
    <s v="PP HOMOPOLIMERO"/>
    <s v="PP COPOLIMERO"/>
    <s v="CASCO VOLQUETE MINERITO"/>
    <s v="CASCO CONDUCTOR-AZURE"/>
    <n v="1295"/>
    <n v="10"/>
    <n v="31.1"/>
    <x v="0"/>
    <m/>
    <n v="3"/>
    <m/>
    <n v="23606"/>
    <s v="AZURE"/>
    <n v="7.9"/>
    <n v="0"/>
    <n v="0"/>
    <n v="31.08"/>
    <n v="31.1"/>
    <n v="24"/>
    <n v="1295.8333333333333"/>
    <x v="12"/>
    <x v="0"/>
    <n v="48"/>
    <n v="8"/>
    <n v="863.33333333333337"/>
  </r>
  <r>
    <d v="2025-12-01T12:00:00"/>
    <s v="INYECTADO"/>
    <x v="4"/>
    <x v="290"/>
    <s v="CRISALIDA ZAPATA"/>
    <s v="VIRGEN"/>
    <s v="PP HOMOPOLIMERO"/>
    <s v="PP COPOLIMERO"/>
    <s v="CASCO VOLQUETE MINERITO"/>
    <s v="CASCO CONDUCTOR-AMARILLO"/>
    <n v="87"/>
    <n v="1"/>
    <n v="2.1"/>
    <x v="0"/>
    <m/>
    <n v="1"/>
    <m/>
    <n v="23606"/>
    <s v="AMARILLO"/>
    <n v="0.9"/>
    <n v="0"/>
    <n v="0"/>
    <n v="2.0880000000000001"/>
    <n v="2.1"/>
    <n v="24"/>
    <n v="87.5"/>
    <x v="12"/>
    <x v="0"/>
    <n v="48"/>
    <n v="8"/>
    <n v="58"/>
  </r>
  <r>
    <d v="2025-12-01T12:00:00"/>
    <s v="INYECTADO"/>
    <x v="4"/>
    <x v="290"/>
    <s v="MARJORIE VILCHEZ"/>
    <s v="VIRGEN"/>
    <s v="PP HOMOPOLIMERO"/>
    <s v="PP COPOLIMERO"/>
    <s v="CASCO VOLQUETE MINERITO"/>
    <s v="CASCO CONDUCTOR-AMARILLO"/>
    <n v="808"/>
    <n v="5"/>
    <n v="19.399999999999999"/>
    <x v="1"/>
    <m/>
    <n v="3"/>
    <m/>
    <n v="23607"/>
    <s v="AMARILLO"/>
    <n v="6.1"/>
    <n v="0"/>
    <n v="0"/>
    <n v="19.391999999999999"/>
    <n v="19.399999999999999"/>
    <n v="24"/>
    <n v="808.33333333333337"/>
    <x v="12"/>
    <x v="0"/>
    <n v="48"/>
    <n v="8"/>
    <n v="538.66666666666663"/>
  </r>
  <r>
    <d v="2025-12-01T12:00:00"/>
    <s v="INYECTADO"/>
    <x v="4"/>
    <x v="290"/>
    <s v="MARJORIE VILCHEZ"/>
    <s v="VIRGEN"/>
    <s v="PP HOMOPOLIMERO"/>
    <s v="PP COPOLIMERO"/>
    <s v="CASCO VOLQUETE MINERITO"/>
    <s v="CASCO CONDUCTOR-ROJO"/>
    <n v="741"/>
    <n v="4"/>
    <n v="17.8"/>
    <x v="1"/>
    <m/>
    <n v="2"/>
    <m/>
    <n v="23607"/>
    <s v="ROJO"/>
    <n v="6.5"/>
    <n v="0"/>
    <n v="0"/>
    <n v="17.783999999999999"/>
    <n v="17.8"/>
    <n v="24"/>
    <n v="741.66666666666663"/>
    <x v="12"/>
    <x v="0"/>
    <n v="48"/>
    <n v="8"/>
    <n v="494"/>
  </r>
  <r>
    <d v="2025-12-01T08:00:00"/>
    <s v="INYECTADO"/>
    <x v="5"/>
    <x v="290"/>
    <s v="JUAN MANUEL"/>
    <s v="SEGUNDA"/>
    <s v="."/>
    <s v="PP INYECTADO"/>
    <s v="ASAS ORGANIZADOR 2 Y 3 SOLIDO"/>
    <s v="ASAS DE ORGANIZADOR 2 Y 3-ROJO"/>
    <n v="1131"/>
    <n v="8"/>
    <n v="36.200000000000003"/>
    <x v="1"/>
    <m/>
    <n v="4"/>
    <m/>
    <n v="22577"/>
    <s v="ROJO"/>
    <n v="27"/>
    <n v="0"/>
    <n v="0"/>
    <n v="12.441000000000001"/>
    <n v="36.200000000000003"/>
    <n v="11"/>
    <n v="3290.909090909091"/>
    <x v="12"/>
    <x v="0"/>
    <n v="48"/>
    <n v="3"/>
    <n v="282.75"/>
  </r>
  <r>
    <d v="2025-12-01T08:00:00"/>
    <s v="INYECTADO"/>
    <x v="5"/>
    <x v="290"/>
    <s v="JUAN MANUEL"/>
    <s v="SEGUNDA"/>
    <s v="."/>
    <s v="PP INYECTADO"/>
    <s v="ASAS ORGANIZADOR 2 Y 3 PASTEL"/>
    <s v="ASAS DE ORGANIZADOR 2 Y 3-SANDIA"/>
    <n v="356"/>
    <n v="4"/>
    <n v="11.4"/>
    <x v="1"/>
    <m/>
    <n v="1"/>
    <m/>
    <n v="22577"/>
    <s v="SANDIA"/>
    <n v="0"/>
    <n v="0"/>
    <n v="0"/>
    <n v="3.9159999999999999"/>
    <n v="11.4"/>
    <n v="11"/>
    <n v="1036.3636363636363"/>
    <x v="12"/>
    <x v="0"/>
    <n v="48"/>
    <n v="3"/>
    <n v="89"/>
  </r>
  <r>
    <d v="2025-12-01T11:00:00"/>
    <s v="INYECTADO"/>
    <x v="0"/>
    <x v="289"/>
    <s v="JOSDER GONZALEZ"/>
    <s v="SEGUNDA"/>
    <s v="."/>
    <s v="PP INYECTADO"/>
    <s v="EMBUDO #1"/>
    <s v="EMBUDO #1-AMARILLO"/>
    <n v="656"/>
    <n v="12"/>
    <n v="53.2"/>
    <x v="1"/>
    <m/>
    <n v="4"/>
    <m/>
    <n v="23313"/>
    <s v="AMARILLO"/>
    <n v="19.7"/>
    <n v="0"/>
    <n v="0"/>
    <n v="14.432"/>
    <n v="53.2"/>
    <n v="22"/>
    <n v="2418.181818181818"/>
    <x v="12"/>
    <x v="0"/>
    <n v="48"/>
    <n v="4"/>
    <n v="218.66666666666666"/>
  </r>
  <r>
    <d v="2025-12-01T11:00:00"/>
    <s v="INYECTADO"/>
    <x v="0"/>
    <x v="290"/>
    <s v="MARIA GUEVARA"/>
    <s v="SEGUNDA"/>
    <s v="."/>
    <s v="PP INYECTADO"/>
    <s v="EMBUDO #1"/>
    <s v="EMBUDO #1-AMARILLO"/>
    <n v="77"/>
    <n v="1"/>
    <n v="6.3"/>
    <x v="0"/>
    <m/>
    <n v="1"/>
    <m/>
    <n v="23314"/>
    <s v="AMARILLO"/>
    <n v="8.4"/>
    <n v="0"/>
    <n v="0"/>
    <n v="1.694"/>
    <n v="6.3"/>
    <n v="22"/>
    <n v="286.36363636363637"/>
    <x v="12"/>
    <x v="0"/>
    <n v="48"/>
    <n v="4"/>
    <n v="25.666666666666668"/>
  </r>
  <r>
    <d v="2025-12-01T11:00:00"/>
    <s v="INYECTADO"/>
    <x v="0"/>
    <x v="290"/>
    <s v="CRISALIDA ZAPATA"/>
    <s v="SEGUNDA"/>
    <s v="."/>
    <s v="PP INYECTADO"/>
    <s v="EMBUDO #1"/>
    <s v="EMBUDO #1-ROJO"/>
    <n v="796"/>
    <n v="10"/>
    <n v="64.5"/>
    <x v="0"/>
    <m/>
    <n v="5"/>
    <m/>
    <n v="23314"/>
    <s v="ROJO"/>
    <n v="17.600000000000001"/>
    <n v="0"/>
    <n v="0"/>
    <n v="17.512"/>
    <n v="64.5"/>
    <n v="22"/>
    <n v="2931.818181818182"/>
    <x v="12"/>
    <x v="0"/>
    <n v="48"/>
    <n v="4"/>
    <n v="265.33333333333331"/>
  </r>
  <r>
    <d v="2025-12-01T11:00:00"/>
    <s v="INYECTADO"/>
    <x v="0"/>
    <x v="290"/>
    <s v="GABRIEL REQUENA"/>
    <s v="SEGUNDA"/>
    <s v="."/>
    <s v="PP INYECTADO"/>
    <s v="EMBUDO #1"/>
    <s v="EMBUDO #1-AZUL"/>
    <n v="790"/>
    <n v="9"/>
    <n v="64"/>
    <x v="1"/>
    <m/>
    <n v="5"/>
    <m/>
    <n v="23315"/>
    <s v="AZUL"/>
    <n v="11.4"/>
    <n v="0"/>
    <n v="0"/>
    <n v="17.38"/>
    <n v="64"/>
    <n v="22"/>
    <n v="2909.090909090909"/>
    <x v="12"/>
    <x v="0"/>
    <n v="48"/>
    <n v="4"/>
    <n v="263.33333333333331"/>
  </r>
  <r>
    <d v="2025-12-01T11:00:00"/>
    <s v="INYECTADO"/>
    <x v="0"/>
    <x v="290"/>
    <s v="GABRIEL REQUENA"/>
    <s v="SEGUNDA"/>
    <s v="."/>
    <s v="PP INYECTADO"/>
    <s v="EMBUDO #1"/>
    <s v="EMBUDO #1-LILA"/>
    <n v="187"/>
    <n v="2"/>
    <n v="15.2"/>
    <x v="1"/>
    <m/>
    <n v="1"/>
    <m/>
    <n v="23315"/>
    <s v="LILA"/>
    <n v="3.2"/>
    <n v="0"/>
    <n v="0"/>
    <n v="4.1139999999999999"/>
    <n v="15.2"/>
    <n v="22"/>
    <n v="690.90909090909088"/>
    <x v="12"/>
    <x v="0"/>
    <n v="48"/>
    <n v="4"/>
    <n v="62.333333333333336"/>
  </r>
  <r>
    <d v="2025-12-01T08:00:00"/>
    <s v="INYECTADO"/>
    <x v="6"/>
    <x v="289"/>
    <s v="CRISALIDA ZAPATA"/>
    <s v="MIXTO"/>
    <s v="ALTA INYECCION"/>
    <s v="ALTA INY MOLIDO"/>
    <s v="LLANTA MINERITO"/>
    <s v="LLANTA MINERITO-NEGRO"/>
    <n v="972"/>
    <n v="11"/>
    <n v="178.9"/>
    <x v="0"/>
    <m/>
    <n v="34"/>
    <m/>
    <n v="22886"/>
    <s v="NEGRO"/>
    <n v="22.6"/>
    <n v="0"/>
    <n v="0"/>
    <n v="183.708"/>
    <n v="178.9"/>
    <n v="189"/>
    <n v="946.56084656084658"/>
    <x v="12"/>
    <x v="0"/>
    <n v="48"/>
    <n v="8"/>
    <n v="648"/>
  </r>
  <r>
    <d v="2025-12-01T08:00:00"/>
    <s v="INYECTADO"/>
    <x v="6"/>
    <x v="290"/>
    <s v="JOSDER GONZALEZ"/>
    <s v="MIXTO"/>
    <s v="ALTA INYECCION"/>
    <s v="ALTA INY MOLIDO"/>
    <s v="BALDE CASTILLO"/>
    <s v="BALDE CASTILLO-AMARILLO"/>
    <n v="607"/>
    <n v="5"/>
    <n v="83.7"/>
    <x v="1"/>
    <m/>
    <n v="8"/>
    <m/>
    <n v="22887"/>
    <s v="AMARILLO"/>
    <n v="1.2"/>
    <n v="0"/>
    <n v="0"/>
    <n v="84.373000000000005"/>
    <n v="83.7"/>
    <n v="139"/>
    <n v="602.15827338129498"/>
    <x v="12"/>
    <x v="0"/>
    <n v="48"/>
    <n v="1"/>
    <n v="50.583333333333336"/>
  </r>
  <r>
    <d v="2025-12-01T08:00:00"/>
    <s v="INYECTADO"/>
    <x v="6"/>
    <x v="290"/>
    <s v="JOSDER GONZALEZ"/>
    <s v="MIXTO"/>
    <s v="ALTA INYECCION"/>
    <s v="ALTA INY MOLIDO"/>
    <s v="BALDE CASTILLO"/>
    <s v="BALDE CASTILLO-VERDE"/>
    <n v="736"/>
    <n v="6"/>
    <n v="101.5"/>
    <x v="1"/>
    <m/>
    <n v="10"/>
    <m/>
    <n v="22887"/>
    <s v="VERDE"/>
    <n v="7.6"/>
    <n v="0"/>
    <n v="0"/>
    <n v="98.623999999999995"/>
    <n v="101.5"/>
    <n v="134"/>
    <n v="757.46268656716416"/>
    <x v="12"/>
    <x v="0"/>
    <n v="48"/>
    <n v="1"/>
    <n v="61.333333333333336"/>
  </r>
  <r>
    <d v="2025-12-01T08:00:00"/>
    <s v="INYECTADO"/>
    <x v="6"/>
    <x v="290"/>
    <s v="JOSDER GONZALEZ"/>
    <s v="MIXTO"/>
    <s v="ALTA INYECCION"/>
    <s v="ALTA INY MOLIDO"/>
    <s v="BALDE CASTILLO"/>
    <s v="BALDE CASTILLO-AZUL"/>
    <n v="53"/>
    <n v="1"/>
    <n v="7.3"/>
    <x v="1"/>
    <m/>
    <n v="1"/>
    <m/>
    <n v="22887"/>
    <s v="AZUL"/>
    <n v="0.2"/>
    <n v="0"/>
    <n v="0"/>
    <n v="7.1020000000000003"/>
    <n v="7.3"/>
    <n v="134"/>
    <n v="54.477611940298509"/>
    <x v="12"/>
    <x v="0"/>
    <n v="48"/>
    <n v="1"/>
    <n v="4.416666666666667"/>
  </r>
  <r>
    <d v="2025-12-01T12:00:00"/>
    <s v="INYECTADO"/>
    <x v="2"/>
    <x v="289"/>
    <s v="JUAN MANUEL"/>
    <s v="VIRGEN"/>
    <s v="PP HOMOPOLIMERO"/>
    <s v="PP COPOLIMERO"/>
    <s v="CHASIS MINERITO"/>
    <s v="CHASIS MINERITO-NEGRO"/>
    <n v="829"/>
    <n v="12"/>
    <n v="207.4"/>
    <x v="1"/>
    <m/>
    <n v="22"/>
    <m/>
    <n v="23169"/>
    <s v="NEGRO"/>
    <n v="47"/>
    <n v="0"/>
    <n v="0"/>
    <n v="207.25"/>
    <n v="207.4"/>
    <n v="250"/>
    <n v="829.6"/>
    <x v="12"/>
    <x v="0"/>
    <n v="48"/>
    <n v="2"/>
    <n v="138.16666666666666"/>
  </r>
  <r>
    <d v="2025-12-01T12:00:00"/>
    <s v="INYECTADO"/>
    <x v="2"/>
    <x v="290"/>
    <s v="SILFREDO"/>
    <s v="VIRGEN"/>
    <s v="PP HOMOPOLIMERO"/>
    <s v="PP COPOLIMERO"/>
    <s v="CHASIS MINERITO"/>
    <s v="CHASIS MINERITO-NEGRO"/>
    <n v="968"/>
    <n v="11"/>
    <n v="243.1"/>
    <x v="0"/>
    <m/>
    <n v="30"/>
    <m/>
    <n v="23170"/>
    <s v="NEGRO"/>
    <n v="16"/>
    <n v="0"/>
    <n v="0"/>
    <n v="242"/>
    <n v="243.1"/>
    <n v="250"/>
    <n v="972.4"/>
    <x v="12"/>
    <x v="0"/>
    <n v="48"/>
    <n v="2"/>
    <n v="161.33333333333334"/>
  </r>
  <r>
    <d v="2025-12-01T12:00:00"/>
    <s v="INYECTADO"/>
    <x v="2"/>
    <x v="290"/>
    <s v="ISABEL LINARIZ "/>
    <s v="VIRGEN"/>
    <s v="PP HOMOPOLIMERO"/>
    <s v="PP COPOLIMERO"/>
    <s v="CHASIS MINERITO"/>
    <s v="CHASIS MINERITO-NEGRO"/>
    <n v="1093"/>
    <n v="11"/>
    <n v="274.5"/>
    <x v="1"/>
    <m/>
    <n v="37"/>
    <m/>
    <n v="23171"/>
    <s v="NEGRO"/>
    <n v="13.1"/>
    <n v="0"/>
    <n v="0"/>
    <n v="273.25"/>
    <n v="274.5"/>
    <n v="250"/>
    <n v="1098"/>
    <x v="12"/>
    <x v="0"/>
    <n v="48"/>
    <n v="2"/>
    <n v="182.16666666666666"/>
  </r>
  <r>
    <d v="2025-12-01T10:00:00"/>
    <s v="INYECTADO"/>
    <x v="7"/>
    <x v="282"/>
    <s v="GABRIEL REQUENA"/>
    <s v="VIRGEN"/>
    <s v="ALTA INYECCION"/>
    <s v="."/>
    <s v="BALDE PLAYERO ROMANO"/>
    <s v="BALDE ROMANO-AMARILLO"/>
    <n v="792"/>
    <n v="8"/>
    <n v="129.80000000000001"/>
    <x v="1"/>
    <m/>
    <n v="7"/>
    <m/>
    <n v="23415"/>
    <s v="AMARILLO"/>
    <n v="11.4"/>
    <n v="0"/>
    <n v="0"/>
    <n v="65.736000000000004"/>
    <n v="129.80000000000001"/>
    <n v="83"/>
    <n v="1563.8554216867471"/>
    <x v="12"/>
    <x v="0"/>
    <n v="47"/>
    <n v="2"/>
    <n v="132"/>
  </r>
  <r>
    <d v="2025-12-01T10:00:00"/>
    <s v="INYECTADO"/>
    <x v="7"/>
    <x v="283"/>
    <s v="BRAYAN PINEDO"/>
    <s v="VIRGEN"/>
    <s v="ALTA INYECCION"/>
    <s v="."/>
    <s v="BALDE PLAYERO ROMANO"/>
    <s v="BALDE ROMANO-AMARILLO"/>
    <n v="223"/>
    <n v="2"/>
    <n v="36.5"/>
    <x v="0"/>
    <m/>
    <n v="2"/>
    <m/>
    <n v="23416"/>
    <s v="AMARILLO"/>
    <n v="6"/>
    <n v="0"/>
    <n v="0"/>
    <n v="18.509"/>
    <n v="36.5"/>
    <n v="83"/>
    <n v="439.75903614457832"/>
    <x v="12"/>
    <x v="0"/>
    <n v="47"/>
    <n v="2"/>
    <n v="37.166666666666664"/>
  </r>
  <r>
    <d v="2025-12-01T10:00:00"/>
    <s v="INYECTADO"/>
    <x v="7"/>
    <x v="283"/>
    <s v="BRAYAN PINEDO"/>
    <s v="VIRGEN"/>
    <s v="ALTA INYECCION"/>
    <s v="."/>
    <s v="BALDE PLAYERO ROMANO"/>
    <s v="BALDE ROMANO-ROJO"/>
    <n v="577"/>
    <n v="7"/>
    <n v="94.6"/>
    <x v="0"/>
    <m/>
    <n v="6"/>
    <m/>
    <n v="23416"/>
    <s v="ROJO"/>
    <n v="4.8"/>
    <n v="0"/>
    <n v="0"/>
    <n v="47.890999999999998"/>
    <n v="94.6"/>
    <n v="83"/>
    <n v="1139.7590361445782"/>
    <x v="12"/>
    <x v="0"/>
    <n v="47"/>
    <n v="2"/>
    <n v="96.166666666666671"/>
  </r>
  <r>
    <d v="2025-12-01T10:00:00"/>
    <s v="INYECTADO"/>
    <x v="7"/>
    <x v="283"/>
    <s v="JOSDER GONZALEZ"/>
    <s v="VIRGEN"/>
    <s v="ALTA INYECCION"/>
    <s v="."/>
    <s v="BALDE PLAYERO ROMANO"/>
    <s v="BALDE ROMANO-ROJO"/>
    <n v="334"/>
    <n v="3"/>
    <n v="30.8"/>
    <x v="1"/>
    <m/>
    <n v="3"/>
    <m/>
    <n v="23417"/>
    <s v="ROJO"/>
    <n v="2.5"/>
    <n v="0"/>
    <n v="0"/>
    <n v="27.722000000000001"/>
    <n v="30.8"/>
    <n v="83"/>
    <n v="371.08433734939757"/>
    <x v="12"/>
    <x v="0"/>
    <n v="47"/>
    <n v="2"/>
    <n v="55.666666666666664"/>
  </r>
  <r>
    <d v="2025-12-01T10:00:00"/>
    <s v="INYECTADO"/>
    <x v="7"/>
    <x v="283"/>
    <s v="JOSDER GONZALEZ"/>
    <s v="VIRGEN"/>
    <s v="ALTA INYECCION"/>
    <s v="."/>
    <s v="BALDE PLAYERO ROMANO"/>
    <s v="BALDE ROMANO-LILA"/>
    <n v="765"/>
    <n v="7"/>
    <n v="125.4"/>
    <x v="1"/>
    <m/>
    <n v="6"/>
    <m/>
    <n v="23417"/>
    <s v="LILA"/>
    <n v="21.9"/>
    <n v="0"/>
    <n v="0"/>
    <n v="63.494999999999997"/>
    <n v="125.4"/>
    <n v="83"/>
    <n v="1510.8433734939758"/>
    <x v="12"/>
    <x v="0"/>
    <n v="47"/>
    <n v="2"/>
    <n v="127.5"/>
  </r>
  <r>
    <d v="2025-12-01T10:00:00"/>
    <s v="INYECTADO"/>
    <x v="7"/>
    <x v="284"/>
    <s v="ROSA MERINO"/>
    <s v="VIRGEN"/>
    <s v="ALTA INYECCION"/>
    <s v="."/>
    <s v="BALDE PLAYERO ROMANO"/>
    <s v="BALDE ROMANO-LILA"/>
    <n v="18"/>
    <n v="1"/>
    <n v="2.8"/>
    <x v="0"/>
    <m/>
    <n v="1"/>
    <m/>
    <n v="23418"/>
    <s v="LILA"/>
    <n v="9.4"/>
    <n v="0"/>
    <n v="0"/>
    <n v="1.494"/>
    <n v="2.8"/>
    <n v="83"/>
    <n v="33.734939759036145"/>
    <x v="12"/>
    <x v="0"/>
    <n v="47"/>
    <n v="2"/>
    <n v="3"/>
  </r>
  <r>
    <d v="2025-12-01T10:00:00"/>
    <s v="INYECTADO"/>
    <x v="7"/>
    <x v="284"/>
    <s v="ROSA MERINO"/>
    <s v="VIRGEN"/>
    <s v="ALTA INYECCION"/>
    <s v="."/>
    <s v="BALDE PLAYERO ROMANO"/>
    <s v="BALDE ROMANO-VERDE"/>
    <n v="867"/>
    <n v="9"/>
    <n v="138.69999999999999"/>
    <x v="0"/>
    <m/>
    <n v="8"/>
    <m/>
    <n v="23418"/>
    <s v="VERDE"/>
    <n v="6.6"/>
    <n v="0"/>
    <n v="0"/>
    <n v="71.960999999999999"/>
    <n v="138.69999999999999"/>
    <n v="83"/>
    <n v="1671.0843373493976"/>
    <x v="12"/>
    <x v="0"/>
    <n v="47"/>
    <n v="2"/>
    <n v="144.5"/>
  </r>
  <r>
    <d v="2025-12-01T10:00:00"/>
    <s v="INYECTADO"/>
    <x v="7"/>
    <x v="284"/>
    <s v="ISABEL LINARIZ "/>
    <s v="VIRGEN"/>
    <s v="ALTA INYECCION"/>
    <s v="."/>
    <s v="BALDE PLAYERO ROMANO"/>
    <s v="BALDE ROMANO-VERDE"/>
    <n v="96"/>
    <n v="1"/>
    <n v="15.7"/>
    <x v="1"/>
    <m/>
    <n v="1"/>
    <m/>
    <n v="23419"/>
    <s v="VERDE"/>
    <n v="13.3"/>
    <n v="0"/>
    <n v="0"/>
    <n v="7.968"/>
    <n v="15.7"/>
    <n v="83"/>
    <n v="189.15662650602408"/>
    <x v="12"/>
    <x v="0"/>
    <n v="47"/>
    <n v="2"/>
    <n v="16"/>
  </r>
  <r>
    <d v="2025-12-01T10:00:00"/>
    <s v="INYECTADO"/>
    <x v="7"/>
    <x v="284"/>
    <s v="ISABEL LINARIZ "/>
    <s v="VIRGEN"/>
    <s v="ALTA INYECCION"/>
    <s v="."/>
    <s v="BALDE PLAYERO ROMANO"/>
    <s v="BALDE ROMANO-AZUL"/>
    <n v="825"/>
    <n v="8"/>
    <n v="133"/>
    <x v="1"/>
    <m/>
    <n v="8"/>
    <m/>
    <n v="23419"/>
    <s v="AZUL"/>
    <n v="8.6999999999999993"/>
    <n v="0"/>
    <n v="0"/>
    <n v="68.474999999999994"/>
    <n v="133"/>
    <n v="83"/>
    <n v="1602.4096385542168"/>
    <x v="12"/>
    <x v="0"/>
    <n v="47"/>
    <n v="2"/>
    <n v="137.5"/>
  </r>
  <r>
    <d v="2025-12-01T10:00:00"/>
    <s v="INYECTADO"/>
    <x v="7"/>
    <x v="285"/>
    <s v="JUANA CRUCES"/>
    <s v="VIRGEN"/>
    <s v="ALTA INYECCION"/>
    <s v="."/>
    <s v="BALDE PLAYERO ROMANO"/>
    <s v="BALDE ROMANO-AZUL"/>
    <n v="875"/>
    <n v="10"/>
    <n v="141.69999999999999"/>
    <x v="0"/>
    <m/>
    <n v="8"/>
    <m/>
    <n v="23420"/>
    <s v="AZUL"/>
    <n v="10.9"/>
    <n v="0"/>
    <n v="0"/>
    <n v="72.625"/>
    <n v="141.69999999999999"/>
    <n v="83"/>
    <n v="1707.2289156626507"/>
    <x v="12"/>
    <x v="0"/>
    <n v="48"/>
    <n v="2"/>
    <n v="145.83333333333334"/>
  </r>
  <r>
    <d v="2025-12-01T10:00:00"/>
    <s v="INYECTADO"/>
    <x v="7"/>
    <x v="285"/>
    <s v="JUAN MANUEL"/>
    <s v="VIRGEN"/>
    <s v="ALTA INYECCION"/>
    <s v="."/>
    <s v="BALDE PLAYERO ROMANO"/>
    <s v="BALDE ROMANO-AZUL"/>
    <n v="325"/>
    <n v="4"/>
    <n v="52.7"/>
    <x v="1"/>
    <m/>
    <n v="3"/>
    <m/>
    <n v="23421"/>
    <s v="AZUL"/>
    <n v="2"/>
    <n v="0"/>
    <n v="0"/>
    <n v="26.975000000000001"/>
    <n v="52.7"/>
    <n v="83"/>
    <n v="634.93975903614455"/>
    <x v="12"/>
    <x v="0"/>
    <n v="48"/>
    <n v="2"/>
    <n v="54.166666666666664"/>
  </r>
  <r>
    <d v="2025-12-01T10:00:00"/>
    <s v="INYECTADO"/>
    <x v="7"/>
    <x v="285"/>
    <s v="JUAN MANUEL"/>
    <s v="VIRGEN"/>
    <s v="ALTA INYECCION"/>
    <s v="."/>
    <s v="BALDE PLAYERO ROMANO"/>
    <s v="BALDE ROMANO-AMARILLO"/>
    <n v="730"/>
    <n v="7"/>
    <n v="118.2"/>
    <x v="1"/>
    <m/>
    <n v="6"/>
    <m/>
    <n v="23421"/>
    <s v="AMARILLO"/>
    <n v="1"/>
    <n v="0"/>
    <n v="0"/>
    <n v="60.59"/>
    <n v="118.2"/>
    <n v="83"/>
    <n v="1424.0963855421687"/>
    <x v="12"/>
    <x v="0"/>
    <n v="48"/>
    <n v="2"/>
    <n v="121.66666666666667"/>
  </r>
  <r>
    <d v="2025-12-01T10:00:00"/>
    <s v="INYECTADO"/>
    <x v="7"/>
    <x v="287"/>
    <s v="KARLA HUISA"/>
    <s v="VIRGEN"/>
    <s v="ALTA INYECCION"/>
    <s v="."/>
    <s v="BALDE PLAYERO ROMANO"/>
    <s v="BALDE ROMANO-AMARILLO"/>
    <n v="224"/>
    <n v="3"/>
    <n v="36.700000000000003"/>
    <x v="0"/>
    <m/>
    <n v="2"/>
    <m/>
    <n v="23422"/>
    <s v="AMARILLO"/>
    <n v="7.1"/>
    <n v="0"/>
    <n v="0"/>
    <n v="18.591999999999999"/>
    <n v="36.700000000000003"/>
    <n v="83"/>
    <n v="442.1686746987952"/>
    <x v="12"/>
    <x v="0"/>
    <n v="48"/>
    <n v="2"/>
    <n v="37.333333333333336"/>
  </r>
  <r>
    <d v="2025-12-01T10:00:00"/>
    <s v="INYECTADO"/>
    <x v="7"/>
    <x v="287"/>
    <s v="KARLA HUISA"/>
    <s v="VIRGEN"/>
    <s v="ALTA INYECCION"/>
    <s v="."/>
    <s v="BALDE PLAYERO ROMANO"/>
    <s v="BALDE ROMANO-VERDE"/>
    <n v="1026"/>
    <n v="9"/>
    <n v="168.2"/>
    <x v="0"/>
    <m/>
    <n v="10"/>
    <m/>
    <n v="23422"/>
    <s v="VERDE"/>
    <n v="5.4"/>
    <n v="0"/>
    <n v="0"/>
    <n v="85.158000000000001"/>
    <n v="168.2"/>
    <n v="83"/>
    <n v="2026.5060240963855"/>
    <x v="12"/>
    <x v="0"/>
    <n v="48"/>
    <n v="2"/>
    <n v="171"/>
  </r>
  <r>
    <d v="2025-12-01T10:00:00"/>
    <s v="INYECTADO"/>
    <x v="7"/>
    <x v="287"/>
    <s v="ISABEL LINARIZ "/>
    <s v="VIRGEN"/>
    <s v="ALTA INYECCION"/>
    <s v="."/>
    <s v="BALDE PLAYERO ROMANO"/>
    <s v="BALDE ROMANO-FUCSIA"/>
    <n v="1425"/>
    <n v="12"/>
    <n v="228"/>
    <x v="1"/>
    <m/>
    <n v="11"/>
    <m/>
    <n v="23423"/>
    <s v="FUCSIA"/>
    <n v="4.2"/>
    <n v="0"/>
    <n v="0"/>
    <n v="118.27500000000001"/>
    <n v="228"/>
    <n v="83"/>
    <n v="2746.9879518072289"/>
    <x v="12"/>
    <x v="0"/>
    <n v="48"/>
    <n v="2"/>
    <n v="237.5"/>
  </r>
  <r>
    <d v="2025-12-01T10:00:00"/>
    <s v="INYECTADO"/>
    <x v="7"/>
    <x v="288"/>
    <s v="JUANA CRUCES"/>
    <s v="VIRGEN"/>
    <s v="ALTA INYECCION"/>
    <s v="."/>
    <s v="BALDE PLAYERO ROMANO"/>
    <s v="BALDE ROMANO-FUCSIA"/>
    <n v="828"/>
    <n v="7"/>
    <n v="132.4"/>
    <x v="0"/>
    <m/>
    <n v="8"/>
    <m/>
    <n v="23424"/>
    <s v="FUCSIA"/>
    <n v="2.4"/>
    <n v="0"/>
    <n v="0"/>
    <n v="68.724000000000004"/>
    <n v="132.4"/>
    <n v="83"/>
    <n v="1595.1807228915663"/>
    <x v="12"/>
    <x v="0"/>
    <n v="48"/>
    <n v="2"/>
    <n v="138"/>
  </r>
  <r>
    <d v="2025-12-01T10:00:00"/>
    <s v="INYECTADO"/>
    <x v="7"/>
    <x v="288"/>
    <s v="JUANA CRUCES"/>
    <s v="VIRGEN"/>
    <s v="ALTA INYECCION"/>
    <s v="."/>
    <s v="BALDE PLAYERO ROMANO"/>
    <s v="BALDE ROMANO-LILA"/>
    <n v="171"/>
    <n v="2"/>
    <n v="27.3"/>
    <x v="0"/>
    <m/>
    <n v="2"/>
    <m/>
    <n v="23424"/>
    <s v="LILA"/>
    <n v="6.7"/>
    <n v="0"/>
    <n v="0"/>
    <n v="14.193"/>
    <n v="27.3"/>
    <n v="83"/>
    <n v="328.91566265060243"/>
    <x v="12"/>
    <x v="0"/>
    <n v="48"/>
    <n v="2"/>
    <n v="28.5"/>
  </r>
  <r>
    <d v="2025-12-01T10:00:00"/>
    <s v="INYECTADO"/>
    <x v="7"/>
    <x v="286"/>
    <s v="SAID VILLAMIZAR"/>
    <s v="VIRGEN"/>
    <s v="ALTA INYECCION"/>
    <s v="."/>
    <s v="BALDE PLAYERO ROMANO"/>
    <s v="BALDE ROMANO-LILA"/>
    <n v="1251"/>
    <n v="12"/>
    <n v="203.9"/>
    <x v="0"/>
    <m/>
    <n v="10"/>
    <m/>
    <n v="23425"/>
    <s v="LILA"/>
    <n v="3.5"/>
    <n v="0"/>
    <n v="0"/>
    <n v="103.833"/>
    <n v="203.9"/>
    <n v="83"/>
    <n v="2456.6265060240962"/>
    <x v="12"/>
    <x v="0"/>
    <n v="48"/>
    <n v="2"/>
    <n v="208.5"/>
  </r>
  <r>
    <d v="2025-12-01T10:00:00"/>
    <s v="INYECTADO"/>
    <x v="7"/>
    <x v="286"/>
    <s v="JOSDER GONZALEZ"/>
    <s v="VIRGEN"/>
    <s v="ALTA INYECCION"/>
    <s v="."/>
    <s v="BALDE PLAYERO ROMANO"/>
    <s v="BALDE ROMANO-LILA"/>
    <n v="179"/>
    <n v="2"/>
    <n v="29.1"/>
    <x v="1"/>
    <m/>
    <n v="3"/>
    <m/>
    <n v="23426"/>
    <s v="LILA"/>
    <n v="7.2"/>
    <n v="0"/>
    <n v="0"/>
    <n v="14.856999999999999"/>
    <n v="29.1"/>
    <n v="83"/>
    <n v="350.60240963855421"/>
    <x v="12"/>
    <x v="0"/>
    <n v="48"/>
    <n v="2"/>
    <n v="29.833333333333332"/>
  </r>
  <r>
    <d v="2025-12-01T10:00:00"/>
    <s v="INYECTADO"/>
    <x v="7"/>
    <x v="286"/>
    <s v="JOSDER GONZALEZ"/>
    <s v="VIRGEN"/>
    <s v="ALTA INYECCION"/>
    <s v="."/>
    <s v="BALDE PLAYERO ROMANO"/>
    <s v="BALDE ROMANO-ROJO"/>
    <n v="798"/>
    <n v="9"/>
    <n v="130"/>
    <x v="1"/>
    <m/>
    <n v="7"/>
    <m/>
    <n v="23426"/>
    <s v="ROJO"/>
    <n v="3.8"/>
    <n v="0"/>
    <n v="0"/>
    <n v="66.233999999999995"/>
    <n v="130"/>
    <n v="83"/>
    <n v="1566.2650602409637"/>
    <x v="12"/>
    <x v="0"/>
    <n v="48"/>
    <n v="2"/>
    <n v="133"/>
  </r>
  <r>
    <d v="2025-12-01T10:00:00"/>
    <s v="INYECTADO"/>
    <x v="7"/>
    <x v="289"/>
    <s v="NESTOR"/>
    <s v="VIRGEN"/>
    <s v="ALTA INYECCION"/>
    <s v="."/>
    <s v="BALDE PLAYERO ROMANO"/>
    <s v="BALDE ROMANO-FUCSIA"/>
    <n v="733"/>
    <n v="7"/>
    <n v="118.7"/>
    <x v="0"/>
    <m/>
    <n v="7"/>
    <m/>
    <n v="23427"/>
    <s v="FUCSIA"/>
    <n v="9.4"/>
    <n v="0"/>
    <n v="0"/>
    <n v="60.838999999999999"/>
    <n v="118.7"/>
    <n v="83"/>
    <n v="1430.1204819277109"/>
    <x v="12"/>
    <x v="0"/>
    <n v="48"/>
    <n v="2"/>
    <n v="122.16666666666667"/>
  </r>
  <r>
    <d v="2025-12-01T10:00:00"/>
    <s v="INYECTADO"/>
    <x v="7"/>
    <x v="289"/>
    <s v="NESTOR"/>
    <s v="VIRGEN"/>
    <s v="ALTA INYECCION"/>
    <s v="."/>
    <s v="BALDE PLAYERO ROMANO"/>
    <s v="BALDE ROMANO-LILA"/>
    <n v="75"/>
    <n v="1"/>
    <n v="12.1"/>
    <x v="0"/>
    <m/>
    <n v="1"/>
    <m/>
    <n v="23427"/>
    <s v="LILA"/>
    <n v="1.5"/>
    <n v="0"/>
    <n v="0"/>
    <n v="6.2249999999999996"/>
    <n v="12.1"/>
    <n v="83"/>
    <n v="145.78313253012047"/>
    <x v="12"/>
    <x v="0"/>
    <n v="48"/>
    <n v="2"/>
    <n v="12.5"/>
  </r>
  <r>
    <d v="2025-12-01T10:00:00"/>
    <s v="INYECTADO"/>
    <x v="7"/>
    <x v="289"/>
    <s v="GABRIEL REQUENA"/>
    <s v="VIRGEN"/>
    <s v="ALTA INYECCION"/>
    <s v="."/>
    <s v="BALDE PLAYERO ROMANO"/>
    <s v="BALDE ROMANO-LILA"/>
    <n v="557"/>
    <n v="5"/>
    <n v="90.2"/>
    <x v="1"/>
    <m/>
    <n v="6"/>
    <m/>
    <n v="23428"/>
    <s v="LILA"/>
    <n v="8.6"/>
    <n v="0"/>
    <n v="0"/>
    <n v="46.231000000000002"/>
    <n v="90.2"/>
    <n v="83"/>
    <n v="1086.7469879518073"/>
    <x v="12"/>
    <x v="0"/>
    <n v="48"/>
    <n v="2"/>
    <n v="92.833333333333329"/>
  </r>
  <r>
    <d v="2025-12-01T10:00:00"/>
    <s v="INYECTADO"/>
    <x v="7"/>
    <x v="289"/>
    <s v="GABRIEL REQUENA"/>
    <s v="VIRGEN"/>
    <s v="ALTA INYECCION"/>
    <s v="."/>
    <s v="BALDE PLAYERO ROMANO"/>
    <s v="BALDE ROMANO-VERDE"/>
    <n v="310"/>
    <n v="3"/>
    <n v="50.2"/>
    <x v="1"/>
    <m/>
    <n v="6"/>
    <m/>
    <n v="23428"/>
    <s v="VERDE"/>
    <n v="7.4"/>
    <n v="0"/>
    <n v="0"/>
    <n v="25.73"/>
    <n v="50.2"/>
    <n v="83"/>
    <n v="604.81927710843377"/>
    <x v="12"/>
    <x v="0"/>
    <n v="48"/>
    <n v="2"/>
    <n v="51.666666666666664"/>
  </r>
  <r>
    <d v="2025-12-01T10:00:00"/>
    <s v="INYECTADO"/>
    <x v="7"/>
    <x v="289"/>
    <s v="GABRIEL REQUENA"/>
    <s v="VIRGEN"/>
    <s v="ALTA INYECCION"/>
    <s v="."/>
    <s v="BALDE PLAYERO ROMANO"/>
    <s v="BALDE ROMANO-AZUL"/>
    <n v="296"/>
    <n v="3"/>
    <n v="47.9"/>
    <x v="1"/>
    <m/>
    <n v="4"/>
    <m/>
    <n v="23428"/>
    <s v="AZUL"/>
    <n v="2.6"/>
    <n v="0"/>
    <n v="0"/>
    <n v="24.568000000000001"/>
    <n v="47.9"/>
    <n v="83"/>
    <n v="577.10843373493981"/>
    <x v="12"/>
    <x v="0"/>
    <n v="48"/>
    <n v="2"/>
    <n v="49.333333333333336"/>
  </r>
  <r>
    <d v="2025-12-01T08:00:00"/>
    <s v="INYECTADO"/>
    <x v="8"/>
    <x v="282"/>
    <s v="KARLA HUISA"/>
    <s v="VIRGEN"/>
    <s v="PP CLARIFICADO"/>
    <s v="."/>
    <s v="TAPER ALEMAN 2800ML SOLIDO"/>
    <s v="TAPER 2800ML SOLIDO-VERDE"/>
    <n v="61"/>
    <n v="1"/>
    <n v="8.1999999999999993"/>
    <x v="0"/>
    <m/>
    <n v="1"/>
    <m/>
    <n v="22997"/>
    <s v="VERDE"/>
    <n v="10.1"/>
    <n v="0"/>
    <n v="0"/>
    <n v="8.4179999999999993"/>
    <n v="8.1999999999999993"/>
    <n v="138"/>
    <n v="59.420289855072461"/>
    <x v="12"/>
    <x v="0"/>
    <n v="47"/>
    <n v="1"/>
    <n v="5.083333333333333"/>
  </r>
  <r>
    <d v="2025-12-01T08:00:00"/>
    <s v="INYECTADO"/>
    <x v="8"/>
    <x v="282"/>
    <s v="KARLA HUISA"/>
    <s v="VIRGEN"/>
    <s v="PP CLARIFICADO"/>
    <s v="."/>
    <s v="TAPER ALEMAN 2800ML SOLIDO"/>
    <s v="TAPER 2800ML SOLIDO-ROJO"/>
    <n v="59"/>
    <n v="1"/>
    <n v="8"/>
    <x v="0"/>
    <m/>
    <n v="1"/>
    <m/>
    <n v="22997"/>
    <s v="ROJO"/>
    <n v="4"/>
    <n v="0"/>
    <n v="0"/>
    <n v="8.1419999999999995"/>
    <n v="8"/>
    <n v="138"/>
    <n v="57.971014492753625"/>
    <x v="12"/>
    <x v="0"/>
    <n v="47"/>
    <n v="1"/>
    <n v="4.916666666666667"/>
  </r>
  <r>
    <d v="2025-12-01T08:00:00"/>
    <s v="INYECTADO"/>
    <x v="8"/>
    <x v="282"/>
    <s v="KARLA HUISA"/>
    <s v="VIRGEN"/>
    <s v="PP CLARIFICADO"/>
    <s v="."/>
    <s v="TAPER ALEMAN 2800ML SOLIDO"/>
    <s v="TAPER 2800ML SOLIDO-AZUL"/>
    <n v="1116"/>
    <n v="9"/>
    <n v="149.6"/>
    <x v="0"/>
    <m/>
    <n v="18"/>
    <m/>
    <n v="22997"/>
    <s v="AZUL"/>
    <n v="11.6"/>
    <n v="0"/>
    <n v="0"/>
    <n v="154.00800000000001"/>
    <n v="149.6"/>
    <n v="138"/>
    <n v="1084.0579710144928"/>
    <x v="12"/>
    <x v="0"/>
    <n v="47"/>
    <n v="1"/>
    <n v="93"/>
  </r>
  <r>
    <d v="2025-12-01T08:00:00"/>
    <s v="INYECTADO"/>
    <x v="8"/>
    <x v="282"/>
    <s v="JUAN MANUEL"/>
    <s v="VIRGEN"/>
    <s v="PP CLARIFICADO"/>
    <s v="."/>
    <s v="TAPER ALEMAN 2800ML SOLIDO"/>
    <s v="TAPER 2800ML SOLIDO-ROJO"/>
    <n v="960"/>
    <n v="9"/>
    <n v="129.69999999999999"/>
    <x v="1"/>
    <m/>
    <n v="16"/>
    <m/>
    <n v="22998"/>
    <s v="ROJO"/>
    <n v="0"/>
    <n v="0"/>
    <n v="0"/>
    <n v="132.47999999999999"/>
    <n v="129.69999999999999"/>
    <n v="138"/>
    <n v="939.85507246376801"/>
    <x v="12"/>
    <x v="0"/>
    <n v="47"/>
    <n v="1"/>
    <n v="80"/>
  </r>
  <r>
    <d v="2025-12-01T08:00:00"/>
    <s v="INYECTADO"/>
    <x v="8"/>
    <x v="282"/>
    <s v="JUAN MANUEL"/>
    <s v="VIRGEN"/>
    <s v="PP CLARIFICADO"/>
    <s v="."/>
    <s v="TAPER ALEMAN 2800ML SOLIDO"/>
    <s v="TAPER 2800ML SOLIDO-FUCSIA"/>
    <n v="311"/>
    <n v="2"/>
    <n v="42"/>
    <x v="1"/>
    <m/>
    <n v="6"/>
    <m/>
    <n v="22998"/>
    <s v="FUCSIA"/>
    <n v="0"/>
    <n v="0"/>
    <n v="0"/>
    <n v="42.917999999999999"/>
    <n v="42"/>
    <n v="138"/>
    <n v="304.3478260869565"/>
    <x v="12"/>
    <x v="0"/>
    <n v="47"/>
    <n v="1"/>
    <n v="25.916666666666668"/>
  </r>
  <r>
    <d v="2025-12-01T08:00:00"/>
    <s v="INYECTADO"/>
    <x v="8"/>
    <x v="283"/>
    <s v="JUANA CRUCES"/>
    <s v="VIRGEN"/>
    <s v="PP CLARIFICADO"/>
    <s v="."/>
    <s v="TAPER ALEMAN 2800ML SOLIDO"/>
    <s v="TAPER 2800ML SOLIDO-FUCSIA"/>
    <n v="780"/>
    <n v="6"/>
    <n v="106.1"/>
    <x v="0"/>
    <m/>
    <n v="13"/>
    <m/>
    <n v="22999"/>
    <s v="FUCSIA"/>
    <n v="11.9"/>
    <n v="0"/>
    <n v="0"/>
    <n v="107.64"/>
    <n v="106.1"/>
    <n v="138"/>
    <n v="768.84057971014488"/>
    <x v="12"/>
    <x v="0"/>
    <n v="47"/>
    <n v="1"/>
    <n v="65"/>
  </r>
  <r>
    <d v="2025-12-01T08:00:00"/>
    <s v="INYECTADO"/>
    <x v="8"/>
    <x v="283"/>
    <s v="JUANA CRUCES"/>
    <s v="VIRGEN"/>
    <s v="PP CLARIFICADO"/>
    <s v="."/>
    <s v="TAPER ALEMAN 2800ML SOLIDO"/>
    <s v="TAPER 2800ML SOLIDO-TURQUESA"/>
    <n v="253"/>
    <n v="3"/>
    <n v="34.5"/>
    <x v="0"/>
    <m/>
    <n v="4"/>
    <m/>
    <n v="22999"/>
    <s v="TURQUESA"/>
    <n v="1.8"/>
    <n v="0"/>
    <n v="0"/>
    <n v="34.914000000000001"/>
    <n v="34.5"/>
    <n v="138"/>
    <n v="250"/>
    <x v="12"/>
    <x v="0"/>
    <n v="47"/>
    <n v="1"/>
    <n v="21.083333333333332"/>
  </r>
  <r>
    <d v="2025-12-01T08:00:00"/>
    <s v="INYECTADO"/>
    <x v="8"/>
    <x v="283"/>
    <s v="GABRIEL REQUENA"/>
    <s v="VIRGEN"/>
    <s v="PP CLARIFICADO"/>
    <s v="."/>
    <s v="TAPER ALEMAN 2800ML SOLIDO"/>
    <s v="TAPER 2800ML SOLIDO-TURQUESA"/>
    <n v="833"/>
    <n v="8"/>
    <n v="110.8"/>
    <x v="1"/>
    <m/>
    <n v="14"/>
    <m/>
    <n v="23000"/>
    <s v="TURQUESA"/>
    <n v="9.3000000000000007"/>
    <n v="0"/>
    <n v="0"/>
    <n v="114.95399999999999"/>
    <n v="110.8"/>
    <n v="138"/>
    <n v="802.89855072463763"/>
    <x v="12"/>
    <x v="0"/>
    <n v="47"/>
    <n v="1"/>
    <n v="69.416666666666671"/>
  </r>
  <r>
    <d v="2025-12-01T08:00:00"/>
    <s v="INYECTADO"/>
    <x v="8"/>
    <x v="284"/>
    <s v="LEONOR GUTIERREZ"/>
    <s v="VIRGEN"/>
    <s v="PP CLARIFICADO"/>
    <s v="."/>
    <s v="TAPER ALEMAN 2800ML TRANSPARENTE"/>
    <s v="TAPER 2800ML TRANSP-TRANSPARENTE"/>
    <n v="1017"/>
    <n v="8"/>
    <n v="135.30000000000001"/>
    <x v="0"/>
    <m/>
    <n v="17"/>
    <m/>
    <n v="23701"/>
    <s v="TRANSPARENTE"/>
    <n v="20.399999999999999"/>
    <n v="0"/>
    <n v="0"/>
    <n v="136.27799999999999"/>
    <n v="135.30000000000001"/>
    <n v="134"/>
    <n v="1009.7014925373135"/>
    <x v="12"/>
    <x v="0"/>
    <n v="47"/>
    <n v="1"/>
    <n v="84.75"/>
  </r>
  <r>
    <d v="2025-12-01T08:00:00"/>
    <s v="INYECTADO"/>
    <x v="8"/>
    <x v="284"/>
    <s v="JUAN MANUEL"/>
    <s v="VIRGEN"/>
    <s v="PP CLARIFICADO"/>
    <s v="."/>
    <s v="TAPER ALEMAN 2800ML TRANSPARENTE"/>
    <s v="TAPER 2800ML TRANSP-TRANSPARENTE"/>
    <n v="1407"/>
    <n v="12"/>
    <n v="188.6"/>
    <x v="1"/>
    <m/>
    <n v="23"/>
    <m/>
    <n v="23702"/>
    <s v="TRANSPARENTE"/>
    <n v="3.5"/>
    <n v="0"/>
    <n v="0"/>
    <n v="188.53800000000001"/>
    <n v="188.6"/>
    <n v="134"/>
    <n v="1407.4626865671642"/>
    <x v="12"/>
    <x v="0"/>
    <n v="47"/>
    <n v="1"/>
    <n v="117.25"/>
  </r>
  <r>
    <d v="2025-12-01T08:00:00"/>
    <s v="INYECTADO"/>
    <x v="8"/>
    <x v="285"/>
    <s v="SAID VILLAMIZAR"/>
    <s v="VIRGEN"/>
    <s v="PP CLARIFICADO"/>
    <s v="."/>
    <s v="TAPER 2800ML CARAMELO"/>
    <s v="TAPER 2800ML CARAMELO-AMARILLO"/>
    <n v="545"/>
    <n v="5"/>
    <n v="73.7"/>
    <x v="0"/>
    <m/>
    <n v="9"/>
    <m/>
    <n v="23703"/>
    <s v="AMARILLO"/>
    <n v="2"/>
    <n v="0"/>
    <n v="0"/>
    <n v="75.209999999999994"/>
    <n v="73.7"/>
    <n v="138"/>
    <n v="534.05797101449275"/>
    <x v="12"/>
    <x v="0"/>
    <n v="48"/>
    <n v="1"/>
    <n v="45.416666666666664"/>
  </r>
  <r>
    <d v="2025-12-01T08:00:00"/>
    <s v="INYECTADO"/>
    <x v="8"/>
    <x v="285"/>
    <s v="SAID VILLAMIZAR"/>
    <s v="VIRGEN"/>
    <s v="PP CLARIFICADO"/>
    <s v="."/>
    <s v="TAPER 2800ML CARAMELO"/>
    <s v="TAPER 2800ML CARAMELO-AZUL"/>
    <n v="552"/>
    <n v="5"/>
    <n v="74.599999999999994"/>
    <x v="0"/>
    <m/>
    <n v="9"/>
    <m/>
    <n v="23703"/>
    <s v="AZUL"/>
    <n v="7"/>
    <n v="0"/>
    <n v="0"/>
    <n v="76.176000000000002"/>
    <n v="74.599999999999994"/>
    <n v="138"/>
    <n v="540.5797101449275"/>
    <x v="12"/>
    <x v="0"/>
    <n v="48"/>
    <n v="1"/>
    <n v="46"/>
  </r>
  <r>
    <d v="2025-12-01T08:00:00"/>
    <s v="INYECTADO"/>
    <x v="8"/>
    <x v="285"/>
    <s v="JOSDER GONZALEZ"/>
    <s v="VIRGEN"/>
    <s v="PP CLARIFICADO"/>
    <s v="."/>
    <s v="TAPER 2800ML CARAMELO"/>
    <s v="TAPER 2800ML CARAMELO-ROJO"/>
    <n v="540"/>
    <n v="5"/>
    <n v="72.900000000000006"/>
    <x v="1"/>
    <m/>
    <n v="10"/>
    <m/>
    <n v="23704"/>
    <s v="ROJO"/>
    <n v="12.4"/>
    <n v="0"/>
    <n v="0"/>
    <n v="74.52"/>
    <n v="72.900000000000006"/>
    <n v="138"/>
    <n v="528.26086956521738"/>
    <x v="12"/>
    <x v="0"/>
    <n v="48"/>
    <n v="1"/>
    <n v="45"/>
  </r>
  <r>
    <d v="2025-12-01T08:00:00"/>
    <s v="INYECTADO"/>
    <x v="8"/>
    <x v="285"/>
    <s v="JOSDER GONZALEZ"/>
    <s v="VIRGEN"/>
    <s v="PP CLARIFICADO"/>
    <s v="."/>
    <s v="TAPER ALEMAN 2800ML PASTEL"/>
    <s v="TAPER 2800ML PASTEL-TURQUESA"/>
    <n v="320"/>
    <n v="3"/>
    <n v="43.2"/>
    <x v="1"/>
    <m/>
    <n v="6"/>
    <m/>
    <n v="23704"/>
    <s v="TURQUESA"/>
    <n v="3.2"/>
    <n v="0"/>
    <n v="0"/>
    <n v="44.16"/>
    <n v="43.2"/>
    <n v="138"/>
    <n v="313.04347826086956"/>
    <x v="12"/>
    <x v="0"/>
    <n v="48"/>
    <n v="1"/>
    <n v="26.666666666666668"/>
  </r>
  <r>
    <d v="2025-12-01T08:00:00"/>
    <s v="INYECTADO"/>
    <x v="8"/>
    <x v="285"/>
    <s v="JOSDER GONZALEZ"/>
    <s v="VIRGEN"/>
    <s v="PP CLARIFICADO"/>
    <s v="."/>
    <s v="TAPER ALEMAN 2800ML PASTEL"/>
    <s v="TAPER 2800ML PASTEL-CELESTE"/>
    <n v="482"/>
    <n v="4"/>
    <n v="65.099999999999994"/>
    <x v="1"/>
    <m/>
    <n v="9"/>
    <m/>
    <n v="23704"/>
    <s v="CELESTE"/>
    <n v="10.199999999999999"/>
    <n v="0"/>
    <n v="0"/>
    <n v="66.516000000000005"/>
    <n v="65.099999999999994"/>
    <n v="138"/>
    <n v="471.73913043478257"/>
    <x v="12"/>
    <x v="0"/>
    <n v="48"/>
    <n v="1"/>
    <n v="40.166666666666664"/>
  </r>
  <r>
    <d v="2025-12-01T08:00:00"/>
    <s v="INYECTADO"/>
    <x v="8"/>
    <x v="287"/>
    <s v="SILFREDO"/>
    <s v="VIRGEN"/>
    <s v="PP CLARIFICADO"/>
    <s v="."/>
    <s v="TAPER ALEMAN 2800ML PASTEL"/>
    <s v="TAPER 2800ML PASTEL-TURQUESA"/>
    <n v="229"/>
    <n v="2"/>
    <n v="30.7"/>
    <x v="0"/>
    <m/>
    <n v="5"/>
    <m/>
    <n v="23705"/>
    <s v="TURQUESA"/>
    <n v="6.8"/>
    <n v="0"/>
    <n v="0"/>
    <n v="31.602"/>
    <n v="30.7"/>
    <n v="138"/>
    <n v="222.46376811594203"/>
    <x v="12"/>
    <x v="0"/>
    <n v="48"/>
    <n v="1"/>
    <n v="19.083333333333332"/>
  </r>
  <r>
    <d v="2025-12-01T08:00:00"/>
    <s v="INYECTADO"/>
    <x v="8"/>
    <x v="287"/>
    <s v="SILFREDO"/>
    <s v="VIRGEN"/>
    <s v="PP CLARIFICADO"/>
    <s v="."/>
    <s v="TAPER ALEMAN 2800ML PASTEL"/>
    <s v="TAPER 2800ML PASTEL-CREMA"/>
    <n v="426"/>
    <n v="4"/>
    <n v="57.1"/>
    <x v="0"/>
    <m/>
    <n v="7"/>
    <m/>
    <n v="23705"/>
    <s v="CREMA"/>
    <n v="23.1"/>
    <n v="0"/>
    <n v="0"/>
    <n v="58.787999999999997"/>
    <n v="57.1"/>
    <n v="138"/>
    <n v="413.768115942029"/>
    <x v="12"/>
    <x v="0"/>
    <n v="48"/>
    <n v="1"/>
    <n v="35.5"/>
  </r>
  <r>
    <d v="2025-12-01T08:00:00"/>
    <s v="INYECTADO"/>
    <x v="8"/>
    <x v="287"/>
    <s v="SILFREDO"/>
    <s v="VIRGEN"/>
    <s v="PP CLARIFICADO"/>
    <s v="."/>
    <s v="TAPER ALEMAN 2800ML PASTEL"/>
    <s v="TAPER 2800ML PASTEL-MELON"/>
    <n v="439"/>
    <n v="4"/>
    <n v="58.9"/>
    <x v="0"/>
    <m/>
    <n v="8"/>
    <m/>
    <n v="23705"/>
    <s v="MELON"/>
    <n v="4.4000000000000004"/>
    <n v="0"/>
    <n v="0"/>
    <n v="60.582000000000001"/>
    <n v="58.9"/>
    <n v="138"/>
    <n v="426.81159420289856"/>
    <x v="12"/>
    <x v="0"/>
    <n v="48"/>
    <n v="1"/>
    <n v="36.583333333333336"/>
  </r>
  <r>
    <d v="2025-12-01T08:00:00"/>
    <s v="INYECTADO"/>
    <x v="8"/>
    <x v="288"/>
    <s v="NESTOR"/>
    <s v="VIRGEN"/>
    <s v="PP CLARIFICADO"/>
    <s v="."/>
    <s v="TAPER ALEMAN 2800ML PASTEL"/>
    <s v="TAPER 2800ML PASTEL-MELON"/>
    <n v="75"/>
    <n v="1"/>
    <n v="10.1"/>
    <x v="0"/>
    <m/>
    <n v="2"/>
    <m/>
    <n v="23706"/>
    <s v="MELON"/>
    <n v="10.5"/>
    <n v="0"/>
    <n v="0"/>
    <n v="10.35"/>
    <n v="10.1"/>
    <n v="138"/>
    <n v="73.188405797101453"/>
    <x v="12"/>
    <x v="0"/>
    <n v="48"/>
    <n v="1"/>
    <n v="6.25"/>
  </r>
  <r>
    <d v="2025-12-01T08:00:00"/>
    <s v="INYECTADO"/>
    <x v="8"/>
    <x v="288"/>
    <s v="NESTOR"/>
    <s v="VIRGEN"/>
    <s v="PP CLARIFICADO"/>
    <s v="."/>
    <s v="TAPER ALEMAN 2800ML PASTEL"/>
    <s v="TAPER 2800ML PASTEL-ROSADO"/>
    <n v="526"/>
    <n v="5"/>
    <n v="70.599999999999994"/>
    <x v="0"/>
    <m/>
    <n v="9"/>
    <m/>
    <n v="23706"/>
    <s v="ROSADO"/>
    <n v="6.5"/>
    <n v="0"/>
    <n v="0"/>
    <n v="72.587999999999994"/>
    <n v="70.599999999999994"/>
    <n v="138"/>
    <n v="511.59420289855075"/>
    <x v="12"/>
    <x v="0"/>
    <n v="48"/>
    <n v="1"/>
    <n v="43.833333333333336"/>
  </r>
  <r>
    <d v="2025-12-01T08:00:00"/>
    <s v="INYECTADO"/>
    <x v="8"/>
    <x v="288"/>
    <s v="NESTOR"/>
    <s v="VIRGEN"/>
    <s v="PP CLARIFICADO"/>
    <s v="."/>
    <s v="TAPER 2800ML CARAMELO"/>
    <s v="TAPER 2800ML CARAMELO-FUCSIA"/>
    <n v="511"/>
    <n v="5"/>
    <n v="68.599999999999994"/>
    <x v="0"/>
    <m/>
    <n v="9"/>
    <m/>
    <n v="23706"/>
    <s v="ROSADO"/>
    <n v="0"/>
    <n v="0"/>
    <n v="0"/>
    <n v="70.518000000000001"/>
    <n v="68.599999999999994"/>
    <n v="138"/>
    <n v="497.10144927536231"/>
    <x v="12"/>
    <x v="0"/>
    <n v="48"/>
    <n v="1"/>
    <n v="42.583333333333336"/>
  </r>
  <r>
    <d v="2025-12-01T08:00:00"/>
    <s v="INYECTADO"/>
    <x v="8"/>
    <x v="286"/>
    <s v="SILFREDO"/>
    <s v="VIRGEN"/>
    <s v="PP CLARIFICADO"/>
    <s v="."/>
    <s v="TAPER 2800ML CARAMELO"/>
    <s v="TAPER 2800ML CARAMELO-LILA"/>
    <n v="544"/>
    <n v="5"/>
    <n v="73"/>
    <x v="0"/>
    <m/>
    <n v="9"/>
    <m/>
    <n v="23707"/>
    <s v="LILA"/>
    <n v="3.7"/>
    <n v="0"/>
    <n v="0"/>
    <n v="75.072000000000003"/>
    <n v="73"/>
    <n v="138"/>
    <n v="528.98550724637676"/>
    <x v="12"/>
    <x v="0"/>
    <n v="48"/>
    <n v="1"/>
    <n v="45.333333333333336"/>
  </r>
  <r>
    <d v="2025-12-01T08:00:00"/>
    <s v="INYECTADO"/>
    <x v="8"/>
    <x v="286"/>
    <s v="SILFREDO"/>
    <s v="VIRGEN"/>
    <s v="PP CLARIFICADO"/>
    <s v="."/>
    <s v="TAPER ALEMAN 2800ML PASTEL"/>
    <s v="TAPER 2800ML PASTEL-LILA"/>
    <n v="541"/>
    <n v="5"/>
    <n v="72.5"/>
    <x v="0"/>
    <m/>
    <n v="9"/>
    <m/>
    <n v="23707"/>
    <s v="LILA"/>
    <n v="8.6"/>
    <n v="0"/>
    <n v="0"/>
    <n v="74.658000000000001"/>
    <n v="72.5"/>
    <n v="138"/>
    <n v="525.36231884057975"/>
    <x v="12"/>
    <x v="0"/>
    <n v="48"/>
    <n v="1"/>
    <n v="45.083333333333336"/>
  </r>
  <r>
    <d v="2025-12-01T08:00:00"/>
    <s v="INYECTADO"/>
    <x v="8"/>
    <x v="286"/>
    <s v="SILFREDO"/>
    <s v="VIRGEN"/>
    <s v="PP CLARIFICADO"/>
    <s v="."/>
    <s v="TAPER ALEMAN 2800ML PASTEL"/>
    <s v="TAPER 2800ML PASTEL-ROSADO"/>
    <n v="64"/>
    <n v="1"/>
    <n v="8.6"/>
    <x v="0"/>
    <m/>
    <n v="1"/>
    <m/>
    <n v="23707"/>
    <s v="ROSADO"/>
    <n v="2.7"/>
    <n v="0"/>
    <n v="0"/>
    <n v="8.8320000000000007"/>
    <n v="8.6"/>
    <n v="138"/>
    <n v="62.318840579710148"/>
    <x v="12"/>
    <x v="0"/>
    <n v="48"/>
    <n v="1"/>
    <n v="5.333333333333333"/>
  </r>
  <r>
    <d v="2025-12-01T08:00:00"/>
    <s v="INYECTADO"/>
    <x v="8"/>
    <x v="289"/>
    <s v="KARLA HUISA"/>
    <s v="VIRGEN"/>
    <s v="PP CLARIFICADO"/>
    <s v="."/>
    <s v="TAPER 2800ML CARAMELO"/>
    <s v="TAPER 2800ML CARAMELO-VERDE"/>
    <n v="547"/>
    <n v="5"/>
    <n v="73.3"/>
    <x v="0"/>
    <m/>
    <n v="9"/>
    <m/>
    <n v="23708"/>
    <s v="VERDE"/>
    <n v="12.2"/>
    <n v="0"/>
    <n v="0"/>
    <n v="75.486000000000004"/>
    <n v="73.3"/>
    <n v="138"/>
    <n v="531.15942028985512"/>
    <x v="12"/>
    <x v="0"/>
    <n v="48"/>
    <n v="1"/>
    <n v="45.583333333333336"/>
  </r>
  <r>
    <d v="2025-12-01T08:00:00"/>
    <s v="INYECTADO"/>
    <x v="8"/>
    <x v="289"/>
    <s v="KARLA HUISA"/>
    <s v="VIRGEN"/>
    <s v="PP CLARIFICADO"/>
    <s v="."/>
    <s v="TAPER ALEMAN 2800ML PASTEL"/>
    <s v="TAPER 2800ML PASTEL-CREMA"/>
    <n v="163"/>
    <n v="2"/>
    <n v="21.9"/>
    <x v="0"/>
    <m/>
    <n v="3"/>
    <m/>
    <n v="23708"/>
    <s v="CREMA"/>
    <n v="4.5"/>
    <n v="0"/>
    <n v="0"/>
    <n v="22.494"/>
    <n v="21.9"/>
    <n v="138"/>
    <n v="158.69565217391303"/>
    <x v="12"/>
    <x v="0"/>
    <n v="48"/>
    <n v="1"/>
    <n v="13.583333333333334"/>
  </r>
  <r>
    <d v="2025-12-01T08:00:00"/>
    <s v="INYECTADO"/>
    <x v="10"/>
    <x v="282"/>
    <s v="SILFREDO"/>
    <s v="VIRGEN"/>
    <s v="PP CLARIFICADO"/>
    <s v="."/>
    <s v="BASE ORGANIZADOR  DE 2KG"/>
    <s v="BASE ORGANIZADOR  DE 2KG-TRANSPARENTE"/>
    <n v="1400"/>
    <n v="11"/>
    <n v="77"/>
    <x v="0"/>
    <m/>
    <n v="22"/>
    <m/>
    <n v="23092"/>
    <s v="TRANSPARENTE"/>
    <n v="0"/>
    <n v="0"/>
    <n v="0"/>
    <n v="70"/>
    <n v="77"/>
    <n v="50"/>
    <n v="1540"/>
    <x v="12"/>
    <x v="0"/>
    <n v="47"/>
    <n v="2"/>
    <n v="233.33333333333334"/>
  </r>
  <r>
    <d v="2025-12-01T08:00:00"/>
    <s v="INYECTADO"/>
    <x v="10"/>
    <x v="282"/>
    <s v="MARJORIE VILCHEZ"/>
    <s v="VIRGEN"/>
    <s v="PP CLARIFICADO"/>
    <s v="."/>
    <s v="BASE ORGANIZADOR  DE 2KG"/>
    <s v="BASE ORGANIZADOR  DE 2KG-TRANSPARENTE"/>
    <n v="1590"/>
    <n v="12"/>
    <n v="87.5"/>
    <x v="1"/>
    <m/>
    <n v="25"/>
    <m/>
    <n v="23093"/>
    <s v="TRANSPARENTE"/>
    <n v="1.3"/>
    <n v="0"/>
    <n v="0"/>
    <n v="79.5"/>
    <n v="87.5"/>
    <n v="50"/>
    <n v="1750"/>
    <x v="12"/>
    <x v="0"/>
    <n v="47"/>
    <n v="2"/>
    <n v="265"/>
  </r>
  <r>
    <d v="2025-12-01T08:00:00"/>
    <s v="INYECTADO"/>
    <x v="10"/>
    <x v="283"/>
    <s v="SAID VILLAMIZAR"/>
    <s v="VIRGEN"/>
    <s v="PP CLARIFICADO"/>
    <s v="."/>
    <s v="BASE ORGANIZADOR  DE 2KG"/>
    <s v="BASE ORGANIZADOR  DE 2KG-TRANSPARENTE"/>
    <n v="869"/>
    <n v="7"/>
    <n v="47.8"/>
    <x v="0"/>
    <m/>
    <n v="14"/>
    <m/>
    <n v="23094"/>
    <s v="TRANSPARENTE"/>
    <n v="2"/>
    <n v="0"/>
    <n v="0"/>
    <n v="43.45"/>
    <n v="47.8"/>
    <n v="50"/>
    <n v="956"/>
    <x v="12"/>
    <x v="0"/>
    <n v="47"/>
    <n v="2"/>
    <n v="144.83333333333334"/>
  </r>
  <r>
    <d v="2025-12-01T08:00:00"/>
    <s v="INYECTADO"/>
    <x v="10"/>
    <x v="283"/>
    <s v="SAID VILLAMIZAR"/>
    <s v="VIRGEN"/>
    <s v="PP CLARIFICADO"/>
    <s v="."/>
    <s v="BASE ORGANIZADOR  DE 2KG"/>
    <s v="BASE ORGANIZADOR  DE 2KG CARAMELO-ROJO"/>
    <n v="382"/>
    <n v="3"/>
    <n v="13.4"/>
    <x v="0"/>
    <m/>
    <n v="4"/>
    <m/>
    <n v="23094"/>
    <s v="ROJO"/>
    <n v="1.5"/>
    <n v="0"/>
    <n v="0"/>
    <n v="19.100000000000001"/>
    <n v="13.4"/>
    <n v="50"/>
    <n v="268"/>
    <x v="12"/>
    <x v="0"/>
    <n v="47"/>
    <n v="2"/>
    <n v="63.666666666666664"/>
  </r>
  <r>
    <d v="2025-12-01T08:00:00"/>
    <s v="INYECTADO"/>
    <x v="10"/>
    <x v="283"/>
    <s v="GABRIEL REQUENA"/>
    <s v="VIRGEN"/>
    <s v="PP CLARIFICADO"/>
    <s v="."/>
    <s v="BASE ORGANIZADOR  DE 2KG"/>
    <s v="BASE ORGANIZADOR  DE 2KG NAVIDAD-ROJO"/>
    <n v="370"/>
    <n v="4"/>
    <n v="20.399999999999999"/>
    <x v="1"/>
    <m/>
    <n v="6"/>
    <m/>
    <n v="23095"/>
    <s v="ROJO NAVIDAD"/>
    <n v="0.8"/>
    <n v="0"/>
    <n v="0"/>
    <n v="42.18"/>
    <n v="20.399999999999999"/>
    <n v="114"/>
    <n v="178.94736842105263"/>
    <x v="12"/>
    <x v="0"/>
    <n v="47"/>
    <n v="2"/>
    <n v="61.666666666666664"/>
  </r>
  <r>
    <d v="2025-12-01T08:00:00"/>
    <s v="INYECTADO"/>
    <x v="10"/>
    <x v="284"/>
    <s v="JUANA CRUCES"/>
    <s v="VIRGEN"/>
    <s v="PP CLARIFICADO"/>
    <s v="."/>
    <s v="BASE ORGANIZADOR  DE 2KG"/>
    <s v="BASE ORGANIZADOR  DE 2KG NAVIDAD-ROJO"/>
    <n v="1192"/>
    <n v="10"/>
    <n v="65.599999999999994"/>
    <x v="0"/>
    <m/>
    <n v="20"/>
    <m/>
    <n v="23096"/>
    <s v="ROJO NAVIDAD"/>
    <n v="0"/>
    <n v="0"/>
    <n v="0"/>
    <n v="135.88800000000001"/>
    <n v="65.599999999999994"/>
    <n v="114"/>
    <n v="575.43859649122805"/>
    <x v="12"/>
    <x v="0"/>
    <n v="47"/>
    <n v="2"/>
    <n v="198.66666666666666"/>
  </r>
  <r>
    <d v="2025-12-01T08:00:00"/>
    <s v="INYECTADO"/>
    <x v="10"/>
    <x v="284"/>
    <s v="JOSDER GONZALEZ"/>
    <s v="VIRGEN"/>
    <s v="PP CLARIFICADO"/>
    <s v="."/>
    <s v="BASE ORGANIZADOR  DE 2KG"/>
    <s v="BASE ORGANIZADOR  DE 2KG NAVIDAD-ROJO"/>
    <n v="352"/>
    <n v="4"/>
    <n v="19.399999999999999"/>
    <x v="1"/>
    <m/>
    <n v="6"/>
    <m/>
    <n v="23097"/>
    <s v="ROJO NAVIDAD"/>
    <n v="0.5"/>
    <n v="0"/>
    <n v="0"/>
    <n v="40.128"/>
    <n v="19.399999999999999"/>
    <n v="114"/>
    <n v="170.17543859649123"/>
    <x v="12"/>
    <x v="0"/>
    <n v="47"/>
    <n v="2"/>
    <n v="58.666666666666664"/>
  </r>
  <r>
    <d v="2025-12-01T08:00:00"/>
    <s v="INYECTADO"/>
    <x v="10"/>
    <x v="285"/>
    <s v="KARLA HUISA"/>
    <s v="VIRGEN"/>
    <s v="PP CLARIFICADO"/>
    <s v="."/>
    <s v="BASE ORGANIZADOR  DE 2KG"/>
    <s v="BASE ORGANIZADOR  DE 2KG NAVIDAD-ROJO"/>
    <n v="1070"/>
    <n v="9"/>
    <n v="57.8"/>
    <x v="0"/>
    <m/>
    <n v="17"/>
    <m/>
    <n v="23098"/>
    <s v="ROJO NAVIDAD"/>
    <n v="22.5"/>
    <n v="0"/>
    <n v="0"/>
    <n v="121.98"/>
    <n v="57.8"/>
    <n v="114"/>
    <n v="507.01754385964909"/>
    <x v="12"/>
    <x v="0"/>
    <n v="48"/>
    <n v="2"/>
    <n v="178.33333333333334"/>
  </r>
  <r>
    <d v="2025-12-01T08:00:00"/>
    <s v="INYECTADO"/>
    <x v="10"/>
    <x v="285"/>
    <s v="MARJORIE VILCHEZ"/>
    <s v="VIRGEN"/>
    <s v="PP CLARIFICADO"/>
    <s v="."/>
    <s v="BASE ORGANIZADOR  DE 2KG"/>
    <s v="BASE ORGANIZADOR  DE 2KG NAVIDAD-VERDE"/>
    <n v="667"/>
    <n v="6"/>
    <n v="37.4"/>
    <x v="1"/>
    <m/>
    <n v="11"/>
    <m/>
    <n v="23099"/>
    <s v="VERDE NAVIDAD"/>
    <n v="18.100000000000001"/>
    <n v="0"/>
    <n v="0"/>
    <n v="76.037999999999997"/>
    <n v="37.4"/>
    <n v="114"/>
    <n v="328.07017543859649"/>
    <x v="12"/>
    <x v="0"/>
    <n v="48"/>
    <n v="2"/>
    <n v="111.16666666666667"/>
  </r>
  <r>
    <d v="2025-12-01T08:00:00"/>
    <s v="INYECTADO"/>
    <x v="10"/>
    <x v="287"/>
    <s v="JUANA CRUCES"/>
    <s v="VIRGEN"/>
    <s v="PP CLARIFICADO"/>
    <s v="."/>
    <s v="BASE ORGANIZADOR  DE 2KG"/>
    <s v="BASE ORGANIZADOR  DE 2KG NAVIDAD-VERDE"/>
    <n v="1457"/>
    <n v="12"/>
    <n v="81.599999999999994"/>
    <x v="0"/>
    <m/>
    <n v="24"/>
    <m/>
    <n v="23801"/>
    <s v="VERDE NAVIDAD"/>
    <n v="2.2999999999999998"/>
    <n v="0"/>
    <n v="0"/>
    <n v="166.09800000000001"/>
    <n v="81.599999999999994"/>
    <n v="114"/>
    <n v="715.78947368421052"/>
    <x v="12"/>
    <x v="0"/>
    <n v="48"/>
    <n v="2"/>
    <n v="242.83333333333334"/>
  </r>
  <r>
    <d v="2025-12-01T08:00:00"/>
    <s v="INYECTADO"/>
    <x v="10"/>
    <x v="287"/>
    <s v="GABRIEL REQUENA"/>
    <s v="VIRGEN"/>
    <s v="PP CLARIFICADO"/>
    <s v="."/>
    <s v="BASE ORGANIZADOR  DE 2KG"/>
    <s v="BASE ORGANIZADOR  DE 2KG NAVIDAD-VERDE"/>
    <n v="960"/>
    <n v="9"/>
    <n v="52.8"/>
    <x v="1"/>
    <m/>
    <n v="16"/>
    <m/>
    <n v="23802"/>
    <s v="VERDE NAVIDAD"/>
    <n v="0"/>
    <n v="0"/>
    <n v="0"/>
    <n v="109.44"/>
    <n v="52.8"/>
    <n v="114"/>
    <n v="463.15789473684208"/>
    <x v="12"/>
    <x v="0"/>
    <n v="48"/>
    <n v="2"/>
    <n v="160"/>
  </r>
  <r>
    <d v="2025-12-01T08:00:00"/>
    <s v="INYECTADO"/>
    <x v="10"/>
    <x v="287"/>
    <s v="GABRIEL REQUENA"/>
    <s v="VIRGEN"/>
    <s v="PP CLARIFICADO"/>
    <s v="."/>
    <s v="BASE ORGANIZADOR  DE 2KG"/>
    <s v="BASE ORGANIZADOR  DE 2KG NAVIDAD-ROJO"/>
    <n v="245"/>
    <n v="3"/>
    <n v="13.5"/>
    <x v="1"/>
    <m/>
    <n v="4"/>
    <m/>
    <n v="23802"/>
    <s v="ROJO NAVIDAD"/>
    <n v="3.1"/>
    <n v="0"/>
    <n v="0"/>
    <n v="27.93"/>
    <n v="13.5"/>
    <n v="114"/>
    <n v="118.42105263157895"/>
    <x v="12"/>
    <x v="0"/>
    <n v="48"/>
    <n v="2"/>
    <n v="40.833333333333336"/>
  </r>
  <r>
    <d v="2025-12-01T08:00:00"/>
    <s v="INYECTADO"/>
    <x v="10"/>
    <x v="288"/>
    <s v="NELSON"/>
    <s v="VIRGEN"/>
    <s v="PP HOMOPOLIMERO"/>
    <s v="PP COPOLIMERO"/>
    <s v="CABINA MINERITO"/>
    <s v="CABINA MINERITO-AMARILLO"/>
    <n v="519"/>
    <n v="5"/>
    <n v="87.3"/>
    <x v="0"/>
    <m/>
    <n v="19"/>
    <m/>
    <n v="23803"/>
    <s v="AMARILLO M"/>
    <n v="14"/>
    <n v="0"/>
    <n v="0"/>
    <n v="85.635000000000005"/>
    <n v="87.3"/>
    <n v="165"/>
    <n v="529.09090909090912"/>
    <x v="12"/>
    <x v="0"/>
    <n v="48"/>
    <n v="4"/>
    <n v="173"/>
  </r>
  <r>
    <d v="2025-12-01T08:00:00"/>
    <s v="INYECTADO"/>
    <x v="10"/>
    <x v="288"/>
    <s v="GABRIEL REQUENA"/>
    <s v="VIRGEN"/>
    <s v="PP HOMOPOLIMERO"/>
    <s v="PP COPOLIMERO"/>
    <s v="CABINA MINERITO"/>
    <s v="CABINA MINERITO-AMARILLO"/>
    <n v="1149"/>
    <n v="12"/>
    <n v="189.6"/>
    <x v="1"/>
    <m/>
    <n v="49"/>
    <m/>
    <n v="23804"/>
    <s v="AMARILLO M"/>
    <n v="16"/>
    <n v="0"/>
    <n v="0"/>
    <n v="189.58500000000001"/>
    <n v="189.6"/>
    <n v="165"/>
    <n v="1149.090909090909"/>
    <x v="12"/>
    <x v="0"/>
    <n v="48"/>
    <n v="4"/>
    <n v="383"/>
  </r>
  <r>
    <d v="2025-12-01T08:00:00"/>
    <s v="INYECTADO"/>
    <x v="10"/>
    <x v="286"/>
    <s v="JUANA CRUCES"/>
    <s v="VIRGEN"/>
    <s v="PP HOMOPOLIMERO"/>
    <s v="PP COPOLIMERO"/>
    <s v="CABINA MINERITO"/>
    <s v="CABINA MINERITO-AMARILLO"/>
    <n v="1044"/>
    <n v="11"/>
    <n v="172.4"/>
    <x v="0"/>
    <m/>
    <n v="43"/>
    <m/>
    <n v="23805"/>
    <s v="AMARILLO M"/>
    <n v="14.1"/>
    <n v="0"/>
    <n v="0"/>
    <n v="172.26"/>
    <n v="172.4"/>
    <n v="165"/>
    <n v="1044.8484848484848"/>
    <x v="12"/>
    <x v="0"/>
    <n v="48"/>
    <n v="4"/>
    <n v="348"/>
  </r>
  <r>
    <d v="2025-12-01T08:00:00"/>
    <s v="INYECTADO"/>
    <x v="10"/>
    <x v="289"/>
    <s v="SILFREDO"/>
    <s v="VIRGEN"/>
    <s v="PP HOMOPOLIMERO"/>
    <s v="PP COPOLIMERO"/>
    <s v="CABINA MINERITO"/>
    <s v="CABINA MINERITO-AMARILLO"/>
    <n v="901"/>
    <n v="11"/>
    <n v="149.6"/>
    <x v="0"/>
    <m/>
    <n v="28"/>
    <m/>
    <n v="23806"/>
    <s v="AMARILLO M"/>
    <n v="6.4"/>
    <n v="0"/>
    <n v="0"/>
    <n v="148.66499999999999"/>
    <n v="149.6"/>
    <n v="165"/>
    <n v="906.66666666666663"/>
    <x v="12"/>
    <x v="0"/>
    <n v="48"/>
    <n v="4"/>
    <n v="300.33333333333331"/>
  </r>
  <r>
    <d v="2025-12-01T08:00:00"/>
    <s v="INYECTADO"/>
    <x v="10"/>
    <x v="289"/>
    <s v="MARJORIE VILCHEZ"/>
    <s v="VIRGEN"/>
    <s v="PP HOMOPOLIMERO"/>
    <s v="PP COPOLIMERO"/>
    <s v="CABINA MINERITO"/>
    <s v="CABINA MINERITO-AMARILLO"/>
    <n v="1200"/>
    <n v="12"/>
    <n v="198"/>
    <x v="1"/>
    <m/>
    <n v="36"/>
    <m/>
    <n v="23807"/>
    <s v="AMARILLO M"/>
    <n v="9.1"/>
    <n v="0"/>
    <n v="0"/>
    <n v="198"/>
    <n v="198"/>
    <n v="165"/>
    <n v="1200"/>
    <x v="12"/>
    <x v="0"/>
    <n v="48"/>
    <n v="4"/>
    <n v="400"/>
  </r>
  <r>
    <d v="2025-12-01T08:00:00"/>
    <s v="INYECTADO"/>
    <x v="10"/>
    <x v="290"/>
    <s v="NESTOR"/>
    <s v="VIRGEN"/>
    <s v="PP HOMOPOLIMERO"/>
    <s v="PP COPOLIMERO"/>
    <s v="CABINA MINERITO"/>
    <s v="CABINA MINERITO-AMARILLO"/>
    <n v="1093"/>
    <n v="11"/>
    <n v="180.4"/>
    <x v="0"/>
    <m/>
    <n v="39"/>
    <m/>
    <n v="23808"/>
    <s v="AMARILLO M"/>
    <n v="9.1999999999999993"/>
    <n v="0"/>
    <n v="0"/>
    <n v="180.345"/>
    <n v="180.4"/>
    <n v="165"/>
    <n v="1093.3333333333333"/>
    <x v="12"/>
    <x v="0"/>
    <n v="48"/>
    <n v="4"/>
    <n v="364.33333333333331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e v="#N/A"/>
    <s v=""/>
    <e v="#N/A"/>
    <n v="0"/>
    <x v="2"/>
    <x v="1"/>
    <n v="1"/>
    <e v="#N/A"/>
    <e v="#N/A"/>
  </r>
  <r>
    <m/>
    <m/>
    <x v="14"/>
    <x v="55"/>
    <m/>
    <m/>
    <m/>
    <m/>
    <m/>
    <m/>
    <m/>
    <m/>
    <m/>
    <x v="2"/>
    <m/>
    <m/>
    <m/>
    <m/>
    <m/>
    <m/>
    <m/>
    <m/>
    <m/>
    <m/>
    <m/>
    <m/>
    <x v="13"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3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77:B78" firstHeaderRow="1" firstDataRow="1" firstDataCol="1" rowPageCount="2" colPageCount="1"/>
  <pivotFields count="33">
    <pivotField compact="0" outline="0" showAll="0" defaultSubtotal="0"/>
    <pivotField compact="0" outline="0" showAll="0"/>
    <pivotField compact="0" outline="0" showAll="0" sortType="ascending" defaultSubtotal="0"/>
    <pivotField compact="0" outline="0" showAll="0" sortType="ascending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72">
        <item m="1" x="345"/>
        <item m="1" x="241"/>
        <item m="1" x="134"/>
        <item m="1" x="289"/>
        <item x="86"/>
        <item m="1" x="311"/>
        <item x="85"/>
        <item m="1" x="324"/>
        <item x="121"/>
        <item m="1" x="316"/>
        <item m="1" x="283"/>
        <item m="1" x="274"/>
        <item m="1" x="286"/>
        <item m="1" x="182"/>
        <item m="1" x="150"/>
        <item m="1" x="147"/>
        <item m="1" x="132"/>
        <item x="46"/>
        <item x="26"/>
        <item m="1" x="213"/>
        <item m="1" x="156"/>
        <item x="59"/>
        <item m="1" x="340"/>
        <item m="1" x="170"/>
        <item m="1" x="338"/>
        <item m="1" x="281"/>
        <item m="1" x="157"/>
        <item x="42"/>
        <item m="1" x="237"/>
        <item x="68"/>
        <item m="1" x="228"/>
        <item x="3"/>
        <item m="1" x="176"/>
        <item m="1" x="124"/>
        <item m="1" x="277"/>
        <item m="1" x="260"/>
        <item m="1" x="162"/>
        <item m="1" x="196"/>
        <item m="1" x="191"/>
        <item m="1" x="322"/>
        <item m="1" x="297"/>
        <item m="1" x="131"/>
        <item m="1" x="356"/>
        <item m="1" x="330"/>
        <item m="1" x="125"/>
        <item m="1" x="295"/>
        <item x="91"/>
        <item m="1" x="280"/>
        <item x="54"/>
        <item m="1" x="325"/>
        <item m="1" x="329"/>
        <item x="112"/>
        <item x="113"/>
        <item m="1" x="141"/>
        <item m="1" x="303"/>
        <item m="1" x="234"/>
        <item m="1" x="192"/>
        <item m="1" x="292"/>
        <item m="1" x="287"/>
        <item m="1" x="217"/>
        <item m="1" x="349"/>
        <item m="1" x="261"/>
        <item m="1" x="258"/>
        <item x="23"/>
        <item m="1" x="271"/>
        <item m="1" x="369"/>
        <item m="1" x="354"/>
        <item x="11"/>
        <item m="1" x="293"/>
        <item m="1" x="186"/>
        <item m="1" x="126"/>
        <item m="1" x="306"/>
        <item m="1" x="143"/>
        <item m="1" x="351"/>
        <item m="1" x="230"/>
        <item m="1" x="222"/>
        <item m="1" x="285"/>
        <item m="1" x="244"/>
        <item m="1" x="245"/>
        <item m="1" x="207"/>
        <item x="1"/>
        <item m="1" x="165"/>
        <item x="75"/>
        <item m="1" x="256"/>
        <item m="1" x="173"/>
        <item m="1" x="218"/>
        <item m="1" x="168"/>
        <item x="67"/>
        <item x="4"/>
        <item m="1" x="247"/>
        <item x="5"/>
        <item m="1" x="148"/>
        <item x="43"/>
        <item x="70"/>
        <item m="1" x="164"/>
        <item m="1" x="317"/>
        <item m="1" x="219"/>
        <item m="1" x="264"/>
        <item m="1" x="183"/>
        <item m="1" x="187"/>
        <item m="1" x="355"/>
        <item m="1" x="282"/>
        <item m="1" x="272"/>
        <item m="1" x="184"/>
        <item m="1" x="333"/>
        <item m="1" x="358"/>
        <item m="1" x="149"/>
        <item m="1" x="235"/>
        <item m="1" x="179"/>
        <item m="1" x="299"/>
        <item m="1" x="210"/>
        <item m="1" x="136"/>
        <item m="1" x="160"/>
        <item m="1" x="178"/>
        <item m="1" x="366"/>
        <item m="1" x="344"/>
        <item m="1" x="153"/>
        <item m="1" x="262"/>
        <item x="98"/>
        <item m="1" x="359"/>
        <item m="1" x="302"/>
        <item m="1" x="273"/>
        <item m="1" x="342"/>
        <item m="1" x="155"/>
        <item m="1" x="232"/>
        <item m="1" x="137"/>
        <item m="1" x="139"/>
        <item m="1" x="198"/>
        <item m="1" x="127"/>
        <item m="1" x="290"/>
        <item m="1" x="242"/>
        <item m="1" x="199"/>
        <item m="1" x="128"/>
        <item m="1" x="291"/>
        <item m="1" x="243"/>
        <item m="1" x="130"/>
        <item m="1" x="254"/>
        <item m="1" x="370"/>
        <item m="1" x="298"/>
        <item m="1" x="352"/>
        <item m="1" x="238"/>
        <item m="1" x="353"/>
        <item m="1" x="175"/>
        <item m="1" x="204"/>
        <item m="1" x="236"/>
        <item m="1" x="263"/>
        <item m="1" x="223"/>
        <item m="1" x="172"/>
        <item m="1" x="252"/>
        <item m="1" x="357"/>
        <item m="1" x="195"/>
        <item x="117"/>
        <item m="1" x="233"/>
        <item x="71"/>
        <item x="72"/>
        <item x="73"/>
        <item m="1" x="154"/>
        <item m="1" x="163"/>
        <item m="1" x="142"/>
        <item m="1" x="309"/>
        <item m="1" x="138"/>
        <item m="1" x="269"/>
        <item m="1" x="174"/>
        <item m="1" x="145"/>
        <item x="119"/>
        <item m="1" x="239"/>
        <item m="1" x="300"/>
        <item m="1" x="257"/>
        <item m="1" x="129"/>
        <item m="1" x="360"/>
        <item m="1" x="266"/>
        <item m="1" x="288"/>
        <item m="1" x="347"/>
        <item x="6"/>
        <item m="1" x="190"/>
        <item m="1" x="275"/>
        <item m="1" x="265"/>
        <item m="1" x="361"/>
        <item m="1" x="215"/>
        <item m="1" x="323"/>
        <item m="1" x="336"/>
        <item m="1" x="337"/>
        <item m="1" x="268"/>
        <item m="1" x="189"/>
        <item m="1" x="362"/>
        <item m="1" x="229"/>
        <item m="1" x="224"/>
        <item m="1" x="305"/>
        <item m="1" x="159"/>
        <item m="1" x="144"/>
        <item m="1" x="335"/>
        <item m="1" x="220"/>
        <item x="27"/>
        <item x="39"/>
        <item x="19"/>
        <item m="1" x="308"/>
        <item x="14"/>
        <item x="97"/>
        <item m="1" x="346"/>
        <item x="118"/>
        <item x="28"/>
        <item m="1" x="307"/>
        <item x="36"/>
        <item x="2"/>
        <item x="79"/>
        <item x="111"/>
        <item m="1" x="253"/>
        <item m="1" x="319"/>
        <item x="90"/>
        <item x="60"/>
        <item x="18"/>
        <item x="35"/>
        <item m="1" x="240"/>
        <item x="38"/>
        <item m="1" x="158"/>
        <item m="1" x="181"/>
        <item m="1" x="152"/>
        <item m="1" x="133"/>
        <item x="52"/>
        <item m="1" x="251"/>
        <item m="1" x="363"/>
        <item m="1" x="166"/>
        <item m="1" x="255"/>
        <item x="110"/>
        <item m="1" x="249"/>
        <item m="1" x="278"/>
        <item x="114"/>
        <item x="8"/>
        <item m="1" x="197"/>
        <item m="1" x="194"/>
        <item x="80"/>
        <item x="44"/>
        <item m="1" x="270"/>
        <item x="50"/>
        <item m="1" x="276"/>
        <item m="1" x="315"/>
        <item x="55"/>
        <item x="57"/>
        <item m="1" x="177"/>
        <item x="58"/>
        <item m="1" x="225"/>
        <item m="1" x="250"/>
        <item m="1" x="231"/>
        <item m="1" x="339"/>
        <item m="1" x="201"/>
        <item m="1" x="326"/>
        <item m="1" x="167"/>
        <item m="1" x="332"/>
        <item m="1" x="151"/>
        <item x="30"/>
        <item m="1" x="188"/>
        <item m="1" x="200"/>
        <item x="25"/>
        <item m="1" x="135"/>
        <item m="1" x="296"/>
        <item m="1" x="284"/>
        <item m="1" x="221"/>
        <item m="1" x="348"/>
        <item m="1" x="226"/>
        <item x="0"/>
        <item m="1" x="341"/>
        <item m="1" x="331"/>
        <item m="1" x="350"/>
        <item m="1" x="304"/>
        <item x="31"/>
        <item m="1" x="327"/>
        <item m="1" x="208"/>
        <item m="1" x="294"/>
        <item m="1" x="246"/>
        <item m="1" x="211"/>
        <item m="1" x="227"/>
        <item m="1" x="328"/>
        <item m="1" x="318"/>
        <item m="1" x="320"/>
        <item m="1" x="180"/>
        <item m="1" x="169"/>
        <item m="1" x="140"/>
        <item m="1" x="216"/>
        <item m="1" x="146"/>
        <item m="1" x="214"/>
        <item m="1" x="314"/>
        <item m="1" x="185"/>
        <item m="1" x="206"/>
        <item m="1" x="310"/>
        <item m="1" x="334"/>
        <item x="24"/>
        <item x="76"/>
        <item m="1" x="267"/>
        <item m="1" x="205"/>
        <item x="51"/>
        <item x="53"/>
        <item x="17"/>
        <item x="32"/>
        <item x="33"/>
        <item x="22"/>
        <item x="56"/>
        <item x="21"/>
        <item x="40"/>
        <item x="41"/>
        <item m="1" x="248"/>
        <item x="61"/>
        <item m="1" x="368"/>
        <item x="107"/>
        <item x="81"/>
        <item m="1" x="212"/>
        <item m="1" x="203"/>
        <item m="1" x="202"/>
        <item x="34"/>
        <item x="77"/>
        <item m="1" x="301"/>
        <item m="1" x="259"/>
        <item x="15"/>
        <item x="13"/>
        <item x="16"/>
        <item x="94"/>
        <item m="1" x="364"/>
        <item x="115"/>
        <item x="69"/>
        <item m="1" x="171"/>
        <item m="1" x="367"/>
        <item x="83"/>
        <item m="1" x="193"/>
        <item x="49"/>
        <item x="48"/>
        <item m="1" x="209"/>
        <item m="1" x="343"/>
        <item x="47"/>
        <item m="1" x="321"/>
        <item x="12"/>
        <item x="92"/>
        <item x="45"/>
        <item x="62"/>
        <item m="1" x="312"/>
        <item m="1" x="365"/>
        <item m="1" x="313"/>
        <item m="1" x="161"/>
        <item m="1" x="279"/>
        <item x="9"/>
        <item x="10"/>
        <item x="7"/>
        <item x="20"/>
        <item x="29"/>
        <item x="37"/>
        <item x="63"/>
        <item x="64"/>
        <item x="65"/>
        <item x="66"/>
        <item x="74"/>
        <item x="78"/>
        <item x="82"/>
        <item x="84"/>
        <item x="87"/>
        <item x="88"/>
        <item x="89"/>
        <item x="93"/>
        <item x="95"/>
        <item x="96"/>
        <item x="99"/>
        <item x="100"/>
        <item x="101"/>
        <item x="102"/>
        <item x="103"/>
        <item x="104"/>
        <item x="105"/>
        <item x="106"/>
        <item x="108"/>
        <item x="109"/>
        <item x="116"/>
        <item x="120"/>
        <item x="122"/>
        <item x="1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20">
        <item h="1" x="7"/>
        <item h="1" x="0"/>
        <item x="1"/>
        <item h="1" m="1" x="17"/>
        <item h="1" x="4"/>
        <item h="1" x="5"/>
        <item h="1" x="6"/>
        <item h="1" m="1" x="18"/>
        <item m="1" x="13"/>
        <item h="1" m="1" x="10"/>
        <item m="1" x="11"/>
        <item h="1" x="3"/>
        <item m="1" x="8"/>
        <item h="1" m="1" x="9"/>
        <item h="1" x="2"/>
        <item h="1" m="1" x="15"/>
        <item h="1" m="1" x="12"/>
        <item h="1" m="1" x="16"/>
        <item h="1" m="1" x="14"/>
        <item t="default"/>
      </items>
    </pivotField>
    <pivotField axis="axisPage" compact="0" outline="0" multipleItemSelectionAllowed="1" showAll="0">
      <items count="14">
        <item h="1" m="1" x="12"/>
        <item h="1" m="1" x="11"/>
        <item h="1" m="1" x="10"/>
        <item h="1" x="2"/>
        <item m="1" x="9"/>
        <item h="1" m="1" x="3"/>
        <item h="1" x="1"/>
        <item h="1" m="1" x="7"/>
        <item h="1" m="1" x="4"/>
        <item h="1" m="1" x="8"/>
        <item m="1" x="5"/>
        <item h="1" m="1" x="6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8"/>
  </rowFields>
  <rowItems count="1">
    <i t="grand">
      <x/>
    </i>
  </rowItems>
  <colItems count="1">
    <i/>
  </colItems>
  <pageFields count="2">
    <pageField fld="27" hier="-1"/>
    <pageField fld="26" hier="-1"/>
  </pageFields>
  <dataFields count="1">
    <dataField name="Suma de Peso Merma" fld="19" baseField="0" baseItem="0"/>
  </dataFields>
  <formats count="19">
    <format dxfId="4433">
      <pivotArea outline="0" collapsedLevelsAreSubtotals="1" fieldPosition="0"/>
    </format>
    <format dxfId="4432">
      <pivotArea dataOnly="0" labelOnly="1" grandRow="1" outline="0" fieldPosition="0"/>
    </format>
    <format dxfId="4431">
      <pivotArea grandCol="1" outline="0" collapsedLevelsAreSubtotals="1" fieldPosition="0"/>
    </format>
    <format dxfId="4430">
      <pivotArea type="topRight" dataOnly="0" labelOnly="1" outline="0" offset="I1" fieldPosition="0"/>
    </format>
    <format dxfId="4429">
      <pivotArea type="topRight" dataOnly="0" labelOnly="1" outline="0" fieldPosition="0"/>
    </format>
    <format dxfId="4428">
      <pivotArea grandCol="1" outline="0" collapsedLevelsAreSubtotals="1" fieldPosition="0"/>
    </format>
    <format dxfId="4427">
      <pivotArea grandCol="1" outline="0" collapsedLevelsAreSubtotals="1" fieldPosition="0"/>
    </format>
    <format dxfId="4426">
      <pivotArea dataOnly="0" labelOnly="1" grandCol="1" outline="0" fieldPosition="0"/>
    </format>
    <format dxfId="4425">
      <pivotArea grandCol="1" outline="0" collapsedLevelsAreSubtotals="1" fieldPosition="0"/>
    </format>
    <format dxfId="4424">
      <pivotArea type="all" dataOnly="0" outline="0" fieldPosition="0"/>
    </format>
    <format dxfId="4423">
      <pivotArea outline="0" collapsedLevelsAreSubtotals="1" fieldPosition="0"/>
    </format>
    <format dxfId="4422">
      <pivotArea field="8" type="button" dataOnly="0" labelOnly="1" outline="0" axis="axisRow" fieldPosition="0"/>
    </format>
    <format dxfId="4421">
      <pivotArea dataOnly="0" labelOnly="1" grandRow="1" outline="0" fieldPosition="0"/>
    </format>
    <format dxfId="4420">
      <pivotArea dataOnly="0" labelOnly="1" outline="0" axis="axisValues" fieldPosition="0"/>
    </format>
    <format dxfId="4419">
      <pivotArea type="all" dataOnly="0" outline="0" fieldPosition="0"/>
    </format>
    <format dxfId="4418">
      <pivotArea outline="0" collapsedLevelsAreSubtotals="1" fieldPosition="0"/>
    </format>
    <format dxfId="4417">
      <pivotArea field="8" type="button" dataOnly="0" labelOnly="1" outline="0" axis="axisRow" fieldPosition="0"/>
    </format>
    <format dxfId="4416">
      <pivotArea dataOnly="0" labelOnly="1" grandRow="1" outline="0" fieldPosition="0"/>
    </format>
    <format dxfId="441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50:AF66" firstHeaderRow="1" firstDataRow="2" firstDataCol="1" rowPageCount="2" colPageCount="1"/>
  <pivotFields count="33">
    <pivotField compact="0" outline="0" showAll="0" defaultSubtotal="0"/>
    <pivotField compact="0" outline="0" showAll="0"/>
    <pivotField axis="axisRow" compact="0" outline="0" showAll="0" sortType="descending" defaultSubtotal="0">
      <items count="40">
        <item m="1" x="18"/>
        <item m="1" x="29"/>
        <item m="1" x="37"/>
        <item x="6"/>
        <item x="2"/>
        <item x="3"/>
        <item m="1" x="31"/>
        <item x="8"/>
        <item x="10"/>
        <item m="1" x="36"/>
        <item m="1" x="22"/>
        <item m="1" x="20"/>
        <item m="1" x="26"/>
        <item sd="0" x="13"/>
        <item m="1" x="35"/>
        <item x="1"/>
        <item x="9"/>
        <item x="11"/>
        <item x="4"/>
        <item m="1" x="16"/>
        <item m="1" x="38"/>
        <item x="5"/>
        <item m="1" x="24"/>
        <item m="1" x="23"/>
        <item m="1" x="32"/>
        <item x="7"/>
        <item m="1" x="28"/>
        <item m="1" x="25"/>
        <item m="1" x="34"/>
        <item m="1" x="15"/>
        <item x="0"/>
        <item m="1" x="33"/>
        <item m="1" x="19"/>
        <item m="1" x="21"/>
        <item m="1" x="39"/>
        <item m="1" x="30"/>
        <item m="1" x="17"/>
        <item m="1" x="27"/>
        <item x="12"/>
        <item x="1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sortType="ascending">
      <items count="1637">
        <item m="1" x="205"/>
        <item m="1" x="936"/>
        <item m="1" x="219"/>
        <item m="1" x="946"/>
        <item m="1" x="227"/>
        <item m="1" x="961"/>
        <item m="1" x="239"/>
        <item m="1" x="973"/>
        <item m="1" x="249"/>
        <item m="1" x="989"/>
        <item m="1" x="266"/>
        <item m="1" x="1002"/>
        <item m="1" x="281"/>
        <item m="1" x="1019"/>
        <item m="1" x="299"/>
        <item m="1" x="1036"/>
        <item m="1" x="317"/>
        <item m="1" x="1056"/>
        <item m="1" x="340"/>
        <item m="1" x="1077"/>
        <item m="1" x="362"/>
        <item m="1" x="1103"/>
        <item m="1" x="388"/>
        <item m="1" x="1130"/>
        <item m="1" x="415"/>
        <item m="1" x="1163"/>
        <item m="1" x="447"/>
        <item m="1" x="1196"/>
        <item m="1" x="480"/>
        <item m="1" x="1231"/>
        <item m="1" x="948"/>
        <item m="1" x="229"/>
        <item m="1" x="963"/>
        <item m="1" x="241"/>
        <item m="1" x="975"/>
        <item m="1" x="251"/>
        <item m="1" x="991"/>
        <item m="1" x="268"/>
        <item m="1" x="283"/>
        <item m="1" x="1021"/>
        <item m="1" x="301"/>
        <item m="1" x="1038"/>
        <item m="1" x="319"/>
        <item m="1" x="1058"/>
        <item m="1" x="342"/>
        <item m="1" x="1079"/>
        <item m="1" x="364"/>
        <item m="1" x="1105"/>
        <item m="1" x="390"/>
        <item m="1" x="1132"/>
        <item m="1" x="417"/>
        <item m="1" x="1165"/>
        <item m="1" x="449"/>
        <item m="1" x="1198"/>
        <item m="1" x="482"/>
        <item m="1" x="1232"/>
        <item m="1" x="516"/>
        <item m="1" x="1265"/>
        <item m="1" x="255"/>
        <item m="1" x="994"/>
        <item m="1" x="272"/>
        <item m="1" x="1007"/>
        <item m="1" x="287"/>
        <item m="1" x="1025"/>
        <item m="1" x="1042"/>
        <item m="1" x="323"/>
        <item m="1" x="1062"/>
        <item m="1" x="346"/>
        <item m="1" x="1083"/>
        <item m="1" x="368"/>
        <item m="1" x="394"/>
        <item m="1" x="1136"/>
        <item m="1" x="421"/>
        <item m="1" x="1169"/>
        <item m="1" x="453"/>
        <item m="1" x="1201"/>
        <item m="1" x="1178"/>
        <item m="1" x="462"/>
        <item m="1" x="494"/>
        <item m="1" x="1244"/>
        <item m="1" x="525"/>
        <item m="1" x="551"/>
        <item m="1" x="1300"/>
        <item m="1" x="581"/>
        <item m="1" x="1330"/>
        <item m="1" x="610"/>
        <item m="1" x="1362"/>
        <item m="1" x="1393"/>
        <item m="1" x="666"/>
        <item m="1" x="1425"/>
        <item m="1" x="698"/>
        <item m="1" x="1453"/>
        <item m="1" x="726"/>
        <item m="1" x="1095"/>
        <item m="1" x="380"/>
        <item m="1" x="1121"/>
        <item m="1" x="407"/>
        <item m="1" x="1149"/>
        <item m="1" x="434"/>
        <item m="1" x="1182"/>
        <item m="1" x="466"/>
        <item m="1" x="1214"/>
        <item m="1" x="499"/>
        <item m="1" x="1249"/>
        <item m="1" x="530"/>
        <item m="1" x="1275"/>
        <item m="1" x="1305"/>
        <item m="1" x="586"/>
        <item m="1" x="1334"/>
        <item m="1" x="614"/>
        <item m="1" x="1366"/>
        <item m="1" x="643"/>
        <item m="1" x="670"/>
        <item m="1" x="1427"/>
        <item m="1" x="700"/>
        <item m="1" x="1455"/>
        <item m="1" x="728"/>
        <item m="1" x="1485"/>
        <item m="1" x="1513"/>
        <item m="1" x="786"/>
        <item m="1" x="1154"/>
        <item m="1" x="439"/>
        <item m="1" x="1187"/>
        <item m="1" x="471"/>
        <item m="1" x="504"/>
        <item m="1" x="1254"/>
        <item m="1" x="535"/>
        <item m="1" x="1279"/>
        <item m="1" x="560"/>
        <item m="1" x="1310"/>
        <item m="1" x="1339"/>
        <item m="1" x="619"/>
        <item m="1" x="1371"/>
        <item m="1" x="647"/>
        <item m="1" x="1401"/>
        <item m="1" x="675"/>
        <item m="1" x="704"/>
        <item m="1" x="1459"/>
        <item m="1" x="732"/>
        <item m="1" x="1488"/>
        <item m="1" x="761"/>
        <item m="1" x="1515"/>
        <item m="1" x="1540"/>
        <item m="1" x="1561"/>
        <item m="1" x="833"/>
        <item m="1" x="1582"/>
        <item m="1" x="1223"/>
        <item m="1" x="1258"/>
        <item m="1" x="539"/>
        <item m="1" x="1284"/>
        <item m="1" x="565"/>
        <item m="1" x="1314"/>
        <item m="1" x="595"/>
        <item m="1" x="624"/>
        <item m="1" x="1376"/>
        <item m="1" x="652"/>
        <item m="1" x="1406"/>
        <item m="1" x="680"/>
        <item m="1" x="1435"/>
        <item m="1" x="1463"/>
        <item m="1" x="737"/>
        <item m="1" x="1493"/>
        <item m="1" x="765"/>
        <item m="1" x="1519"/>
        <item m="1" x="791"/>
        <item m="1" x="814"/>
        <item m="1" x="1563"/>
        <item m="1" x="835"/>
        <item m="1" x="1584"/>
        <item m="1" x="853"/>
        <item m="1" x="1604"/>
        <item m="1" x="1623"/>
        <item m="1" x="1289"/>
        <item m="1" x="570"/>
        <item m="1" x="1319"/>
        <item m="1" x="599"/>
        <item m="1" x="1348"/>
        <item m="1" x="1381"/>
        <item m="1" x="656"/>
        <item m="1" x="1411"/>
        <item m="1" x="685"/>
        <item m="1" x="1440"/>
        <item m="1" x="713"/>
        <item m="1" x="742"/>
        <item m="1" x="1497"/>
        <item m="1" x="770"/>
        <item m="1" x="1524"/>
        <item m="1" x="796"/>
        <item m="1" x="1545"/>
        <item m="1" x="1566"/>
        <item m="1" x="837"/>
        <item m="1" x="1587"/>
        <item m="1" x="855"/>
        <item m="1" x="1606"/>
        <item m="1" x="873"/>
        <item m="1" x="889"/>
        <item m="1" x="171"/>
        <item m="1" x="902"/>
        <item m="1" x="1352"/>
        <item m="1" x="632"/>
        <item m="1" x="1385"/>
        <item m="1" x="660"/>
        <item m="1" x="1415"/>
        <item m="1" x="688"/>
        <item m="1" x="1444"/>
        <item m="1" x="717"/>
        <item m="1" x="1471"/>
        <item m="1" x="746"/>
        <item m="1" x="1501"/>
        <item m="1" x="774"/>
        <item m="1" x="1527"/>
        <item m="1" x="800"/>
        <item m="1" x="1549"/>
        <item m="1" x="820"/>
        <item m="1" x="1570"/>
        <item m="1" x="841"/>
        <item m="1" x="1591"/>
        <item m="1" x="858"/>
        <item m="1" x="1609"/>
        <item m="1" x="876"/>
        <item m="1" x="1627"/>
        <item m="1" x="891"/>
        <item m="1" x="173"/>
        <item m="1" x="904"/>
        <item m="1" x="184"/>
        <item m="1" x="915"/>
        <item m="1" x="195"/>
        <item m="1" x="926"/>
        <item m="1" x="209"/>
        <item m="1" x="1419"/>
        <item m="1" x="692"/>
        <item m="1" x="1447"/>
        <item m="1" x="721"/>
        <item m="1" x="1475"/>
        <item m="1" x="750"/>
        <item m="1" x="1505"/>
        <item m="1" x="1531"/>
        <item m="1" x="803"/>
        <item m="1" x="1552"/>
        <item m="1" x="824"/>
        <item m="1" x="1573"/>
        <item m="1" x="845"/>
        <item m="1" x="1595"/>
        <item m="1" x="862"/>
        <item m="1" x="1613"/>
        <item m="1" x="880"/>
        <item m="1" x="1630"/>
        <item m="1" x="894"/>
        <item m="1" x="176"/>
        <item m="1" x="907"/>
        <item m="1" x="186"/>
        <item m="1" x="917"/>
        <item m="1" x="197"/>
        <item m="1" x="928"/>
        <item m="1" x="211"/>
        <item m="1" x="941"/>
        <item m="1" x="224"/>
        <item m="1" x="956"/>
        <item m="1" x="1480"/>
        <item m="1" x="755"/>
        <item m="1" x="1509"/>
        <item m="1" x="782"/>
        <item m="1" x="1535"/>
        <item m="1" x="808"/>
        <item m="1" x="1556"/>
        <item m="1" x="829"/>
        <item m="1" x="1578"/>
        <item m="1" x="849"/>
        <item m="1" x="1600"/>
        <item m="1" x="867"/>
        <item m="1" x="1618"/>
        <item m="1" x="884"/>
        <item m="1" x="1633"/>
        <item m="1" x="898"/>
        <item m="1" x="180"/>
        <item m="1" x="911"/>
        <item m="1" x="190"/>
        <item m="1" x="921"/>
        <item m="1" x="201"/>
        <item m="1" x="932"/>
        <item m="1" x="215"/>
        <item m="1" x="943"/>
        <item m="1" x="958"/>
        <item m="1" x="237"/>
        <item m="1" x="971"/>
        <item m="1" x="247"/>
        <item m="1" x="987"/>
        <item m="1" x="264"/>
        <item m="1" x="925"/>
        <item m="1" x="206"/>
        <item m="1" x="937"/>
        <item m="1" x="220"/>
        <item m="1" x="947"/>
        <item m="1" x="228"/>
        <item m="1" x="962"/>
        <item m="1" x="240"/>
        <item m="1" x="974"/>
        <item m="1" x="250"/>
        <item m="1" x="990"/>
        <item m="1" x="267"/>
        <item m="1" x="1003"/>
        <item m="1" x="282"/>
        <item m="1" x="1020"/>
        <item m="1" x="300"/>
        <item m="1" x="1037"/>
        <item m="1" x="318"/>
        <item m="1" x="1057"/>
        <item m="1" x="341"/>
        <item m="1" x="1078"/>
        <item m="1" x="363"/>
        <item m="1" x="1104"/>
        <item m="1" x="389"/>
        <item m="1" x="1131"/>
        <item m="1" x="416"/>
        <item m="1" x="1164"/>
        <item m="1" x="448"/>
        <item m="1" x="1197"/>
        <item m="1" x="481"/>
        <item m="1" x="950"/>
        <item m="1" x="231"/>
        <item m="1" x="965"/>
        <item m="1" x="243"/>
        <item m="1" x="977"/>
        <item m="1" x="253"/>
        <item m="1" x="270"/>
        <item m="1" x="1005"/>
        <item m="1" x="285"/>
        <item m="1" x="1023"/>
        <item m="1" x="303"/>
        <item m="1" x="1040"/>
        <item m="1" x="321"/>
        <item m="1" x="1060"/>
        <item m="1" x="344"/>
        <item m="1" x="1081"/>
        <item m="1" x="366"/>
        <item m="1" x="1107"/>
        <item m="1" x="392"/>
        <item m="1" x="1134"/>
        <item m="1" x="419"/>
        <item m="1" x="1167"/>
        <item m="1" x="451"/>
        <item m="1" x="1200"/>
        <item m="1" x="484"/>
        <item m="1" x="1234"/>
        <item m="1" x="517"/>
        <item m="1" x="981"/>
        <item m="1" x="258"/>
        <item m="1" x="997"/>
        <item m="1" x="275"/>
        <item m="1" x="1010"/>
        <item m="1" x="290"/>
        <item m="1" x="1028"/>
        <item m="1" x="307"/>
        <item m="1" x="1044"/>
        <item m="1" x="326"/>
        <item m="1" x="1065"/>
        <item m="1" x="349"/>
        <item m="1" x="1086"/>
        <item m="1" x="371"/>
        <item m="1" x="1111"/>
        <item m="1" x="397"/>
        <item m="1" x="1139"/>
        <item m="1" x="424"/>
        <item m="1" x="1172"/>
        <item m="1" x="456"/>
        <item m="1" x="1204"/>
        <item m="1" x="488"/>
        <item m="1" x="1238"/>
        <item m="1" x="519"/>
        <item m="1" x="1266"/>
        <item m="1" x="547"/>
        <item m="1" x="1296"/>
        <item m="1" x="577"/>
        <item m="1" x="1326"/>
        <item m="1" x="606"/>
        <item m="1" x="1358"/>
        <item m="1" x="1031"/>
        <item m="1" x="311"/>
        <item m="1" x="1048"/>
        <item m="1" x="330"/>
        <item m="1" x="1069"/>
        <item m="1" x="353"/>
        <item m="1" x="1090"/>
        <item m="1" x="374"/>
        <item m="1" x="1115"/>
        <item m="1" x="401"/>
        <item m="1" x="1143"/>
        <item m="1" x="428"/>
        <item m="1" x="1176"/>
        <item m="1" x="460"/>
        <item m="1" x="1208"/>
        <item m="1" x="492"/>
        <item m="1" x="1242"/>
        <item m="1" x="523"/>
        <item m="1" x="1269"/>
        <item m="1" x="549"/>
        <item m="1" x="1298"/>
        <item m="1" x="579"/>
        <item m="1" x="1328"/>
        <item m="1" x="608"/>
        <item m="1" x="1360"/>
        <item m="1" x="639"/>
        <item m="1" x="1392"/>
        <item m="1" x="665"/>
        <item m="1" x="334"/>
        <item m="1" x="1073"/>
        <item m="1" x="357"/>
        <item m="1" x="1094"/>
        <item m="1" x="378"/>
        <item m="1" x="1119"/>
        <item m="1" x="405"/>
        <item m="1" x="1147"/>
        <item m="1" x="432"/>
        <item m="1" x="1180"/>
        <item m="1" x="464"/>
        <item m="1" x="1212"/>
        <item m="1" x="497"/>
        <item m="1" x="1247"/>
        <item m="1" x="528"/>
        <item m="1" x="1273"/>
        <item m="1" x="554"/>
        <item m="1" x="1303"/>
        <item m="1" x="584"/>
        <item m="1" x="1332"/>
        <item m="1" x="612"/>
        <item m="1" x="1364"/>
        <item m="1" x="641"/>
        <item m="1" x="1395"/>
        <item m="1" x="668"/>
        <item m="1" x="1426"/>
        <item m="1" x="699"/>
        <item m="1" x="1454"/>
        <item m="1" x="727"/>
        <item m="1" x="1484"/>
        <item m="1" x="1098"/>
        <item m="1" x="383"/>
        <item m="1" x="1124"/>
        <item m="1" x="410"/>
        <item m="1" x="1152"/>
        <item m="1" x="437"/>
        <item m="1" x="1185"/>
        <item m="1" x="469"/>
        <item m="1" x="1217"/>
        <item m="1" x="502"/>
        <item m="1" x="1252"/>
        <item m="1" x="533"/>
        <item m="1" x="1277"/>
        <item m="1" x="558"/>
        <item m="1" x="1308"/>
        <item m="1" x="589"/>
        <item m="1" x="1337"/>
        <item m="1" x="617"/>
        <item m="1" x="1369"/>
        <item m="1" x="1399"/>
        <item m="1" x="673"/>
        <item m="1" x="1429"/>
        <item m="1" x="702"/>
        <item m="1" x="1457"/>
        <item m="1" x="730"/>
        <item m="1" x="1486"/>
        <item m="1" x="760"/>
        <item m="1" x="1514"/>
        <item m="1" x="787"/>
        <item m="1" x="1157"/>
        <item m="1" x="442"/>
        <item m="1" x="1190"/>
        <item m="1" x="474"/>
        <item m="1" x="1221"/>
        <item m="1" x="507"/>
        <item m="1" x="1257"/>
        <item m="1" x="537"/>
        <item m="1" x="1282"/>
        <item m="1" x="563"/>
        <item m="1" x="1312"/>
        <item m="1" x="593"/>
        <item m="1" x="1342"/>
        <item m="1" x="622"/>
        <item m="1" x="1374"/>
        <item m="1" x="650"/>
        <item m="1" x="1404"/>
        <item m="1" x="678"/>
        <item m="1" x="1433"/>
        <item m="1" x="707"/>
        <item m="1" x="1462"/>
        <item m="1" x="735"/>
        <item m="1" x="1491"/>
        <item m="1" x="763"/>
        <item m="1" x="1517"/>
        <item m="1" x="789"/>
        <item m="1" x="1541"/>
        <item m="1" x="813"/>
        <item m="1" x="1562"/>
        <item m="1" x="834"/>
        <item m="1" x="1583"/>
        <item m="1" x="1226"/>
        <item m="1" x="511"/>
        <item m="1" x="1261"/>
        <item m="1" x="542"/>
        <item m="1" x="1287"/>
        <item m="1" x="568"/>
        <item m="1" x="1317"/>
        <item m="1" x="597"/>
        <item m="1" x="1346"/>
        <item m="1" x="627"/>
        <item m="1" x="1379"/>
        <item m="1" x="655"/>
        <item m="1" x="1409"/>
        <item m="1" x="683"/>
        <item m="1" x="1438"/>
        <item m="1" x="711"/>
        <item m="1" x="1466"/>
        <item m="1" x="740"/>
        <item m="1" x="1496"/>
        <item m="1" x="768"/>
        <item m="1" x="1522"/>
        <item m="1" x="794"/>
        <item m="1" x="1543"/>
        <item m="1" x="816"/>
        <item m="1" x="1565"/>
        <item m="1" x="836"/>
        <item m="1" x="1585"/>
        <item m="1" x="854"/>
        <item m="1" x="1605"/>
        <item m="1" x="872"/>
        <item m="1" x="1624"/>
        <item m="1" x="1292"/>
        <item m="1" x="573"/>
        <item m="1" x="1322"/>
        <item m="1" x="602"/>
        <item m="1" x="1350"/>
        <item m="1" x="630"/>
        <item m="1" x="1383"/>
        <item m="1" x="658"/>
        <item m="1" x="1413"/>
        <item m="1" x="686"/>
        <item m="1" x="1442"/>
        <item m="1" x="715"/>
        <item m="1" x="1469"/>
        <item m="1" x="744"/>
        <item m="1" x="1499"/>
        <item m="1" x="772"/>
        <item m="1" x="1525"/>
        <item m="1" x="798"/>
        <item m="1" x="1547"/>
        <item m="1" x="818"/>
        <item m="1" x="1568"/>
        <item m="1" x="839"/>
        <item m="1" x="1589"/>
        <item m="1" x="856"/>
        <item m="1" x="1607"/>
        <item m="1" x="874"/>
        <item m="1" x="1625"/>
        <item m="1" x="890"/>
        <item m="1" x="172"/>
        <item m="1" x="903"/>
        <item m="1" x="1354"/>
        <item m="1" x="634"/>
        <item m="1" x="1387"/>
        <item m="1" x="661"/>
        <item m="1" x="1417"/>
        <item m="1" x="690"/>
        <item m="1" x="1445"/>
        <item m="1" x="719"/>
        <item m="1" x="1473"/>
        <item m="1" x="748"/>
        <item m="1" x="1503"/>
        <item m="1" x="776"/>
        <item m="1" x="1529"/>
        <item m="1" x="801"/>
        <item m="1" x="1550"/>
        <item m="1" x="822"/>
        <item m="1" x="843"/>
        <item m="1" x="1593"/>
        <item m="1" x="860"/>
        <item m="1" x="1611"/>
        <item m="1" x="878"/>
        <item m="1" x="1629"/>
        <item m="1" x="893"/>
        <item m="1" x="175"/>
        <item m="1" x="906"/>
        <item m="1" x="185"/>
        <item m="1" x="916"/>
        <item m="1" x="196"/>
        <item m="1" x="927"/>
        <item m="1" x="210"/>
        <item m="1" x="1422"/>
        <item m="1" x="695"/>
        <item m="1" x="1450"/>
        <item m="1" x="724"/>
        <item m="1" x="1478"/>
        <item m="1" x="753"/>
        <item m="1" x="1507"/>
        <item m="1" x="780"/>
        <item m="1" x="1533"/>
        <item m="1" x="806"/>
        <item m="1" x="1555"/>
        <item m="1" x="827"/>
        <item m="1" x="1576"/>
        <item m="1" x="847"/>
        <item m="1" x="1598"/>
        <item m="1" x="865"/>
        <item m="1" x="1616"/>
        <item m="1" x="882"/>
        <item m="1" x="1631"/>
        <item m="1" x="896"/>
        <item m="1" x="178"/>
        <item m="1" x="909"/>
        <item m="1" x="188"/>
        <item m="1" x="919"/>
        <item m="1" x="199"/>
        <item m="1" x="930"/>
        <item m="1" x="213"/>
        <item m="1" x="942"/>
        <item m="1" x="225"/>
        <item m="1" x="957"/>
        <item m="1" x="1481"/>
        <item m="1" x="756"/>
        <item m="1" x="1510"/>
        <item m="1" x="783"/>
        <item m="1" x="1536"/>
        <item m="1" x="809"/>
        <item m="1" x="1557"/>
        <item m="1" x="830"/>
        <item m="1" x="1579"/>
        <item m="1" x="850"/>
        <item m="1" x="1601"/>
        <item m="1" x="868"/>
        <item m="1" x="1619"/>
        <item m="1" x="885"/>
        <item m="1" x="1634"/>
        <item m="1" x="899"/>
        <item m="1" x="181"/>
        <item m="1" x="912"/>
        <item m="1" x="191"/>
        <item m="1" x="922"/>
        <item m="1" x="202"/>
        <item m="1" x="933"/>
        <item m="1" x="216"/>
        <item m="1" x="944"/>
        <item m="1" x="238"/>
        <item m="1" x="972"/>
        <item m="1" x="248"/>
        <item m="1" x="988"/>
        <item m="1" x="265"/>
        <item m="1" x="207"/>
        <item m="1" x="938"/>
        <item m="1" x="221"/>
        <item m="1" x="949"/>
        <item m="1" x="230"/>
        <item m="1" x="964"/>
        <item m="1" x="242"/>
        <item m="1" x="976"/>
        <item m="1" x="252"/>
        <item m="1" x="992"/>
        <item m="1" x="269"/>
        <item m="1" x="1004"/>
        <item m="1" x="284"/>
        <item m="1" x="1022"/>
        <item m="1" x="302"/>
        <item m="1" x="1039"/>
        <item m="1" x="320"/>
        <item m="1" x="1059"/>
        <item m="1" x="343"/>
        <item m="1" x="1080"/>
        <item m="1" x="365"/>
        <item m="1" x="1106"/>
        <item m="1" x="391"/>
        <item m="1" x="1133"/>
        <item m="1" x="418"/>
        <item m="1" x="1166"/>
        <item m="1" x="450"/>
        <item m="1" x="1199"/>
        <item m="1" x="483"/>
        <item m="1" x="1233"/>
        <item m="1" x="952"/>
        <item m="1" x="233"/>
        <item m="1" x="967"/>
        <item m="1" x="244"/>
        <item m="1" x="979"/>
        <item m="1" x="256"/>
        <item m="1" x="995"/>
        <item m="1" x="273"/>
        <item m="1" x="1008"/>
        <item m="1" x="288"/>
        <item m="1" x="1026"/>
        <item m="1" x="305"/>
        <item m="1" x="324"/>
        <item m="1" x="1063"/>
        <item m="1" x="347"/>
        <item m="1" x="1084"/>
        <item m="1" x="369"/>
        <item m="1" x="1109"/>
        <item m="1" x="395"/>
        <item m="1" x="1137"/>
        <item m="1" x="422"/>
        <item m="1" x="1170"/>
        <item m="1" x="454"/>
        <item m="1" x="1202"/>
        <item m="1" x="486"/>
        <item m="1" x="1236"/>
        <item m="1" x="518"/>
        <item m="1" x="983"/>
        <item m="1" x="260"/>
        <item m="1" x="999"/>
        <item m="1" x="277"/>
        <item m="1" x="1012"/>
        <item m="1" x="292"/>
        <item m="1" x="1030"/>
        <item m="1" x="309"/>
        <item m="1" x="1046"/>
        <item m="1" x="328"/>
        <item m="1" x="1067"/>
        <item m="1" x="351"/>
        <item m="1" x="1088"/>
        <item m="1" x="373"/>
        <item m="1" x="1113"/>
        <item m="1" x="399"/>
        <item m="1" x="1141"/>
        <item m="1" x="426"/>
        <item m="1" x="1174"/>
        <item m="1" x="458"/>
        <item m="1" x="1206"/>
        <item m="1" x="490"/>
        <item m="1" x="1240"/>
        <item m="1" x="521"/>
        <item m="1" x="1267"/>
        <item m="1" x="548"/>
        <item m="1" x="1297"/>
        <item m="1" x="578"/>
        <item m="1" x="1327"/>
        <item m="1" x="607"/>
        <item m="1" x="1359"/>
        <item m="1" x="1015"/>
        <item m="1" x="295"/>
        <item m="1" x="313"/>
        <item m="1" x="1050"/>
        <item m="1" x="332"/>
        <item m="1" x="1071"/>
        <item m="1" x="355"/>
        <item m="1" x="1092"/>
        <item m="1" x="376"/>
        <item m="1" x="1117"/>
        <item m="1" x="403"/>
        <item m="1" x="1145"/>
        <item m="1" x="430"/>
        <item m="1" x="1210"/>
        <item m="1" x="495"/>
        <item m="1" x="1245"/>
        <item m="1" x="526"/>
        <item m="1" x="1271"/>
        <item m="1" x="552"/>
        <item m="1" x="1301"/>
        <item m="1" x="582"/>
        <item m="1" x="1331"/>
        <item m="1" x="611"/>
        <item m="1" x="1363"/>
        <item m="1" x="640"/>
        <item m="1" x="1394"/>
        <item m="1" x="667"/>
        <item m="1" x="1053"/>
        <item m="1" x="336"/>
        <item m="1" x="1074"/>
        <item m="1" x="358"/>
        <item m="1" x="1096"/>
        <item m="1" x="381"/>
        <item m="1" x="1122"/>
        <item m="1" x="408"/>
        <item m="1" x="1150"/>
        <item m="1" x="435"/>
        <item m="1" x="1183"/>
        <item m="1" x="467"/>
        <item m="1" x="1215"/>
        <item m="1" x="500"/>
        <item m="1" x="1250"/>
        <item m="1" x="531"/>
        <item m="1" x="1276"/>
        <item m="1" x="556"/>
        <item m="1" x="1306"/>
        <item m="1" x="587"/>
        <item m="1" x="1335"/>
        <item m="1" x="615"/>
        <item m="1" x="1367"/>
        <item m="1" x="644"/>
        <item m="1" x="1397"/>
        <item m="1" x="671"/>
        <item m="1" x="1428"/>
        <item m="1" x="701"/>
        <item m="1" x="1456"/>
        <item m="1" x="729"/>
        <item m="1" x="1100"/>
        <item m="1" x="385"/>
        <item m="1" x="1126"/>
        <item m="1" x="412"/>
        <item m="1" x="1155"/>
        <item m="1" x="440"/>
        <item m="1" x="1188"/>
        <item m="1" x="472"/>
        <item m="1" x="1219"/>
        <item m="1" x="505"/>
        <item m="1" x="1255"/>
        <item m="1" x="1280"/>
        <item m="1" x="561"/>
        <item m="1" x="1311"/>
        <item m="1" x="591"/>
        <item m="1" x="1340"/>
        <item m="1" x="620"/>
        <item m="1" x="1372"/>
        <item m="1" x="648"/>
        <item m="1" x="1402"/>
        <item m="1" x="676"/>
        <item m="1" x="1431"/>
        <item m="1" x="705"/>
        <item m="1" x="1460"/>
        <item m="1" x="733"/>
        <item m="1" x="1489"/>
        <item m="1" x="762"/>
        <item m="1" x="1516"/>
        <item m="1" x="788"/>
        <item m="1" x="1159"/>
        <item m="1" x="444"/>
        <item m="1" x="1192"/>
        <item m="1" x="476"/>
        <item m="1" x="1224"/>
        <item m="1" x="509"/>
        <item m="1" x="1259"/>
        <item m="1" x="540"/>
        <item m="1" x="1285"/>
        <item m="1" x="566"/>
        <item m="1" x="1315"/>
        <item m="1" x="596"/>
        <item m="1" x="1344"/>
        <item m="1" x="625"/>
        <item m="1" x="1377"/>
        <item m="1" x="653"/>
        <item m="1" x="1407"/>
        <item m="1" x="681"/>
        <item m="1" x="1436"/>
        <item m="1" x="709"/>
        <item m="1" x="1464"/>
        <item m="1" x="738"/>
        <item m="1" x="1494"/>
        <item m="1" x="766"/>
        <item m="1" x="1520"/>
        <item m="1" x="792"/>
        <item m="1" x="1542"/>
        <item m="1" x="815"/>
        <item m="1" x="1564"/>
        <item m="1" x="1228"/>
        <item m="1" x="513"/>
        <item m="1" x="1263"/>
        <item m="1" x="544"/>
        <item m="1" x="1290"/>
        <item m="1" x="571"/>
        <item m="1" x="1320"/>
        <item m="1" x="600"/>
        <item m="1" x="1349"/>
        <item m="1" x="629"/>
        <item m="1" x="1382"/>
        <item m="1" x="657"/>
        <item m="1" x="1412"/>
        <item m="1" x="1441"/>
        <item m="1" x="714"/>
        <item m="1" x="1468"/>
        <item m="1" x="743"/>
        <item m="1" x="1498"/>
        <item m="1" x="771"/>
        <item m="1" x="797"/>
        <item m="1" x="1546"/>
        <item m="1" x="817"/>
        <item m="1" x="1567"/>
        <item m="1" x="838"/>
        <item m="1" x="1588"/>
        <item m="1" x="1294"/>
        <item m="1" x="574"/>
        <item m="1" x="1324"/>
        <item m="1" x="1353"/>
        <item m="1" x="633"/>
        <item m="1" x="1386"/>
        <item m="1" x="1416"/>
        <item m="1" x="689"/>
        <item m="1" x="718"/>
        <item m="1" x="1472"/>
        <item m="1" x="747"/>
        <item m="1" x="1502"/>
        <item m="1" x="775"/>
        <item m="1" x="1528"/>
        <item m="1" x="821"/>
        <item m="1" x="1571"/>
        <item m="1" x="842"/>
        <item m="1" x="1592"/>
        <item m="1" x="859"/>
        <item m="1" x="1610"/>
        <item m="1" x="877"/>
        <item m="1" x="1628"/>
        <item m="1" x="892"/>
        <item m="1" x="174"/>
        <item m="1" x="905"/>
        <item m="1" x="1356"/>
        <item m="1" x="636"/>
        <item m="1" x="1389"/>
        <item m="1" x="663"/>
        <item m="1" x="1420"/>
        <item m="1" x="693"/>
        <item m="1" x="1448"/>
        <item m="1" x="722"/>
        <item m="1" x="1476"/>
        <item m="1" x="751"/>
        <item m="1" x="1506"/>
        <item m="1" x="778"/>
        <item m="1" x="1532"/>
        <item m="1" x="804"/>
        <item m="1" x="1553"/>
        <item m="1" x="825"/>
        <item m="1" x="1574"/>
        <item m="1" x="846"/>
        <item m="1" x="1596"/>
        <item m="1" x="863"/>
        <item m="1" x="1614"/>
        <item m="1" x="881"/>
        <item m="1" x="895"/>
        <item m="1" x="177"/>
        <item m="1" x="908"/>
        <item m="1" x="187"/>
        <item m="1" x="918"/>
        <item m="1" x="198"/>
        <item m="1" x="929"/>
        <item m="1" x="212"/>
        <item m="1" x="1483"/>
        <item m="1" x="758"/>
        <item m="1" x="1512"/>
        <item m="1" x="1538"/>
        <item m="1" x="811"/>
        <item m="1" x="1559"/>
        <item m="1" x="831"/>
        <item m="1" x="1581"/>
        <item m="1" x="852"/>
        <item m="1" x="870"/>
        <item m="1" x="1621"/>
        <item m="1" x="887"/>
        <item m="1" x="183"/>
        <item m="1" x="193"/>
        <item m="1" x="939"/>
        <item m="1" x="222"/>
        <item m="1" x="951"/>
        <item m="1" x="232"/>
        <item m="1" x="966"/>
        <item m="1" x="978"/>
        <item m="1" x="254"/>
        <item m="1" x="993"/>
        <item m="1" x="271"/>
        <item m="1" x="1006"/>
        <item m="1" x="286"/>
        <item m="1" x="1024"/>
        <item m="1" x="304"/>
        <item m="1" x="1041"/>
        <item m="1" x="322"/>
        <item m="1" x="1061"/>
        <item m="1" x="345"/>
        <item m="1" x="1082"/>
        <item m="1" x="367"/>
        <item m="1" x="1108"/>
        <item m="1" x="393"/>
        <item m="1" x="1135"/>
        <item m="1" x="420"/>
        <item m="1" x="1168"/>
        <item m="1" x="452"/>
        <item m="1" x="485"/>
        <item m="1" x="1235"/>
        <item m="1" x="954"/>
        <item m="1" x="235"/>
        <item m="1" x="969"/>
        <item m="1" x="246"/>
        <item m="1" x="982"/>
        <item m="1" x="259"/>
        <item m="1" x="998"/>
        <item m="1" x="276"/>
        <item m="1" x="1011"/>
        <item m="1" x="291"/>
        <item m="1" x="1029"/>
        <item m="1" x="308"/>
        <item m="1" x="1045"/>
        <item m="1" x="327"/>
        <item m="1" x="1066"/>
        <item m="1" x="350"/>
        <item m="1" x="1087"/>
        <item m="1" x="372"/>
        <item m="1" x="1112"/>
        <item m="1" x="398"/>
        <item m="1" x="1140"/>
        <item m="1" x="425"/>
        <item m="1" x="1173"/>
        <item m="1" x="457"/>
        <item m="1" x="1205"/>
        <item m="1" x="489"/>
        <item m="1" x="1239"/>
        <item m="1" x="520"/>
        <item m="1" x="985"/>
        <item m="1" x="262"/>
        <item m="1" x="1001"/>
        <item m="1" x="279"/>
        <item m="1" x="1014"/>
        <item m="1" x="294"/>
        <item m="1" x="1032"/>
        <item m="1" x="312"/>
        <item m="1" x="1049"/>
        <item m="1" x="331"/>
        <item m="1" x="1070"/>
        <item m="1" x="354"/>
        <item m="1" x="1091"/>
        <item m="1" x="375"/>
        <item m="1" x="1116"/>
        <item m="1" x="402"/>
        <item m="1" x="1144"/>
        <item m="1" x="429"/>
        <item m="1" x="1177"/>
        <item m="1" x="461"/>
        <item m="1" x="1209"/>
        <item m="1" x="493"/>
        <item m="1" x="1243"/>
        <item m="1" x="524"/>
        <item m="1" x="1270"/>
        <item m="1" x="550"/>
        <item m="1" x="1299"/>
        <item m="1" x="580"/>
        <item m="1" x="1329"/>
        <item m="1" x="609"/>
        <item m="1" x="1361"/>
        <item m="1" x="1017"/>
        <item m="1" x="297"/>
        <item m="1" x="1034"/>
        <item m="1" x="315"/>
        <item m="1" x="1052"/>
        <item m="1" x="335"/>
        <item m="1" x="379"/>
        <item m="1" x="1120"/>
        <item m="1" x="406"/>
        <item m="1" x="1148"/>
        <item m="1" x="433"/>
        <item m="1" x="1181"/>
        <item m="1" x="465"/>
        <item m="1" x="1213"/>
        <item m="1" x="498"/>
        <item m="1" x="1248"/>
        <item m="1" x="529"/>
        <item m="1" x="1274"/>
        <item m="1" x="555"/>
        <item m="1" x="1304"/>
        <item m="1" x="585"/>
        <item m="1" x="1333"/>
        <item m="1" x="613"/>
        <item m="1" x="1365"/>
        <item m="1" x="642"/>
        <item m="1" x="1396"/>
        <item m="1" x="669"/>
        <item m="1" x="338"/>
        <item m="1" x="1075"/>
        <item m="1" x="360"/>
        <item m="1" x="1099"/>
        <item m="1" x="384"/>
        <item m="1" x="1125"/>
        <item m="1" x="411"/>
        <item m="1" x="1153"/>
        <item m="1" x="438"/>
        <item m="1" x="1186"/>
        <item m="1" x="470"/>
        <item m="1" x="1218"/>
        <item m="1" x="503"/>
        <item m="1" x="1253"/>
        <item m="1" x="534"/>
        <item m="1" x="1278"/>
        <item m="1" x="559"/>
        <item m="1" x="1309"/>
        <item m="1" x="590"/>
        <item m="1" x="1338"/>
        <item m="1" x="618"/>
        <item m="1" x="1370"/>
        <item m="1" x="646"/>
        <item m="1" x="1400"/>
        <item m="1" x="674"/>
        <item m="1" x="1430"/>
        <item m="1" x="703"/>
        <item m="1" x="1458"/>
        <item m="1" x="731"/>
        <item m="1" x="1487"/>
        <item m="1" x="1101"/>
        <item m="1" x="387"/>
        <item m="1" x="1128"/>
        <item m="1" x="1158"/>
        <item m="1" x="443"/>
        <item m="1" x="1191"/>
        <item m="1" x="475"/>
        <item m="1" x="1222"/>
        <item m="1" x="508"/>
        <item m="1" x="538"/>
        <item m="1" x="1283"/>
        <item m="1" x="564"/>
        <item m="1" x="1313"/>
        <item m="1" x="594"/>
        <item m="1" x="1343"/>
        <item m="1" x="623"/>
        <item m="1" x="1375"/>
        <item m="1" x="651"/>
        <item m="1" x="1405"/>
        <item m="1" x="679"/>
        <item m="1" x="1434"/>
        <item m="1" x="708"/>
        <item m="1" x="736"/>
        <item m="1" x="1492"/>
        <item m="1" x="764"/>
        <item m="1" x="1518"/>
        <item m="1" x="790"/>
        <item m="1" x="1161"/>
        <item m="1" x="1194"/>
        <item m="1" x="478"/>
        <item m="1" x="1227"/>
        <item m="1" x="512"/>
        <item m="1" x="1262"/>
        <item m="1" x="543"/>
        <item m="1" x="1288"/>
        <item m="1" x="569"/>
        <item m="1" x="1318"/>
        <item m="1" x="598"/>
        <item m="1" x="1347"/>
        <item m="1" x="628"/>
        <item m="1" x="1380"/>
        <item m="1" x="1410"/>
        <item m="1" x="684"/>
        <item m="1" x="1439"/>
        <item m="1" x="712"/>
        <item m="1" x="1467"/>
        <item m="1" x="741"/>
        <item m="1" x="769"/>
        <item m="1" x="1523"/>
        <item m="1" x="795"/>
        <item m="1" x="1544"/>
        <item m="1" x="1586"/>
        <item m="1" x="1230"/>
        <item m="1" x="515"/>
        <item m="1" x="1264"/>
        <item m="1" x="546"/>
        <item m="1" x="1293"/>
        <item m="1" x="1323"/>
        <item m="1" x="603"/>
        <item m="1" x="1351"/>
        <item m="1" x="631"/>
        <item m="1" x="1384"/>
        <item m="1" x="659"/>
        <item m="1" x="1414"/>
        <item m="1" x="687"/>
        <item m="1" x="1443"/>
        <item m="1" x="716"/>
        <item m="1" x="1470"/>
        <item m="1" x="745"/>
        <item m="1" x="1500"/>
        <item m="1" x="773"/>
        <item m="1" x="1526"/>
        <item m="1" x="799"/>
        <item m="1" x="1548"/>
        <item m="1" x="819"/>
        <item m="1" x="1569"/>
        <item m="1" x="840"/>
        <item m="1" x="1590"/>
        <item m="1" x="857"/>
        <item m="1" x="1608"/>
        <item m="1" x="875"/>
        <item m="1" x="1626"/>
        <item m="1" x="1295"/>
        <item m="1" x="575"/>
        <item m="1" x="604"/>
        <item m="1" x="1355"/>
        <item m="1" x="635"/>
        <item m="1" x="1388"/>
        <item m="1" x="662"/>
        <item m="1" x="1418"/>
        <item m="1" x="691"/>
        <item m="1" x="1446"/>
        <item m="1" x="720"/>
        <item m="1" x="1474"/>
        <item m="1" x="749"/>
        <item m="1" x="1504"/>
        <item m="1" x="777"/>
        <item m="1" x="1530"/>
        <item m="1" x="802"/>
        <item m="1" x="1551"/>
        <item m="1" x="823"/>
        <item m="1" x="1572"/>
        <item m="1" x="844"/>
        <item m="1" x="1594"/>
        <item m="1" x="861"/>
        <item m="1" x="1612"/>
        <item m="1" x="879"/>
        <item m="1" x="638"/>
        <item m="1" x="1391"/>
        <item m="1" x="664"/>
        <item m="1" x="1423"/>
        <item m="1" x="696"/>
        <item m="1" x="1451"/>
        <item m="1" x="1479"/>
        <item m="1" x="754"/>
        <item m="1" x="1508"/>
        <item m="1" x="781"/>
        <item m="1" x="1534"/>
        <item m="1" x="807"/>
        <item m="1" x="828"/>
        <item m="1" x="1577"/>
        <item m="1" x="848"/>
        <item m="1" x="1599"/>
        <item m="1" x="866"/>
        <item m="1" x="1617"/>
        <item m="1" x="883"/>
        <item m="1" x="1632"/>
        <item m="1" x="897"/>
        <item m="1" x="179"/>
        <item m="1" x="910"/>
        <item m="1" x="189"/>
        <item m="1" x="920"/>
        <item m="1" x="200"/>
        <item m="1" x="931"/>
        <item m="1" x="214"/>
        <item m="1" x="1424"/>
        <item m="1" x="697"/>
        <item m="1" x="1452"/>
        <item m="1" x="725"/>
        <item m="1" x="1482"/>
        <item m="1" x="757"/>
        <item m="1" x="1511"/>
        <item m="1" x="784"/>
        <item m="1" x="1537"/>
        <item m="1" x="810"/>
        <item m="1" x="1558"/>
        <item m="1" x="1580"/>
        <item m="1" x="851"/>
        <item m="1" x="1602"/>
        <item m="1" x="869"/>
        <item m="1" x="1620"/>
        <item m="1" x="886"/>
        <item m="1" x="900"/>
        <item m="1" x="182"/>
        <item m="1" x="913"/>
        <item m="1" x="192"/>
        <item m="1" x="923"/>
        <item m="1" x="203"/>
        <item m="1" x="934"/>
        <item m="1" x="217"/>
        <item m="1" x="945"/>
        <item m="1" x="226"/>
        <item m="1" x="959"/>
        <item m="1" x="759"/>
        <item m="1" x="785"/>
        <item m="1" x="1539"/>
        <item m="1" x="812"/>
        <item m="1" x="1560"/>
        <item m="1" x="832"/>
        <item m="1" x="1603"/>
        <item m="1" x="871"/>
        <item m="1" x="1622"/>
        <item m="1" x="888"/>
        <item m="1" x="1635"/>
        <item m="1" x="901"/>
        <item m="1" x="914"/>
        <item m="1" x="194"/>
        <item m="1" x="924"/>
        <item m="1" x="204"/>
        <item m="1" x="935"/>
        <item m="1" x="218"/>
        <item m="1" x="960"/>
        <item m="1" x="208"/>
        <item m="1" x="940"/>
        <item m="1" x="223"/>
        <item m="1" x="953"/>
        <item m="1" x="234"/>
        <item m="1" x="968"/>
        <item m="1" x="245"/>
        <item m="1" x="980"/>
        <item m="1" x="257"/>
        <item m="1" x="996"/>
        <item m="1" x="274"/>
        <item m="1" x="1009"/>
        <item m="1" x="289"/>
        <item m="1" x="1027"/>
        <item m="1" x="306"/>
        <item m="1" x="1043"/>
        <item m="1" x="325"/>
        <item m="1" x="1064"/>
        <item m="1" x="348"/>
        <item m="1" x="1085"/>
        <item m="1" x="370"/>
        <item m="1" x="1110"/>
        <item m="1" x="396"/>
        <item m="1" x="1138"/>
        <item m="1" x="423"/>
        <item m="1" x="1171"/>
        <item m="1" x="455"/>
        <item m="1" x="1203"/>
        <item m="1" x="487"/>
        <item m="1" x="1237"/>
        <item m="1" x="955"/>
        <item m="1" x="236"/>
        <item m="1" x="970"/>
        <item m="1" x="984"/>
        <item m="1" x="261"/>
        <item m="1" x="1000"/>
        <item m="1" x="278"/>
        <item m="1" x="1013"/>
        <item m="1" x="293"/>
        <item m="1" x="310"/>
        <item m="1" x="1047"/>
        <item m="1" x="329"/>
        <item m="1" x="1068"/>
        <item m="1" x="352"/>
        <item m="1" x="1089"/>
        <item m="1" x="1114"/>
        <item m="1" x="400"/>
        <item m="1" x="1142"/>
        <item m="1" x="427"/>
        <item m="1" x="1175"/>
        <item m="1" x="459"/>
        <item m="1" x="1207"/>
        <item m="1" x="491"/>
        <item m="1" x="1241"/>
        <item m="1" x="522"/>
        <item m="1" x="1268"/>
        <item m="1" x="986"/>
        <item m="1" x="263"/>
        <item m="1" x="280"/>
        <item m="1" x="1016"/>
        <item m="1" x="296"/>
        <item m="1" x="1033"/>
        <item m="1" x="314"/>
        <item m="1" x="1051"/>
        <item m="1" x="333"/>
        <item m="1" x="1072"/>
        <item m="1" x="356"/>
        <item m="1" x="1093"/>
        <item m="1" x="377"/>
        <item m="1" x="1118"/>
        <item m="1" x="404"/>
        <item m="1" x="1146"/>
        <item m="1" x="431"/>
        <item m="1" x="1179"/>
        <item m="1" x="463"/>
        <item m="1" x="1211"/>
        <item m="1" x="496"/>
        <item m="1" x="1246"/>
        <item m="1" x="527"/>
        <item m="1" x="1272"/>
        <item m="1" x="553"/>
        <item m="1" x="1302"/>
        <item m="1" x="583"/>
        <item m="1" x="1018"/>
        <item m="1" x="298"/>
        <item m="1" x="1035"/>
        <item m="1" x="316"/>
        <item m="1" x="1054"/>
        <item m="1" x="337"/>
        <item m="1" x="359"/>
        <item m="1" x="1097"/>
        <item m="1" x="382"/>
        <item m="1" x="1123"/>
        <item m="1" x="409"/>
        <item m="1" x="1151"/>
        <item m="1" x="436"/>
        <item m="1" x="1184"/>
        <item m="1" x="468"/>
        <item m="1" x="1216"/>
        <item m="1" x="501"/>
        <item m="1" x="1251"/>
        <item m="1" x="532"/>
        <item m="1" x="557"/>
        <item m="1" x="1307"/>
        <item m="1" x="588"/>
        <item m="1" x="1336"/>
        <item m="1" x="616"/>
        <item m="1" x="1368"/>
        <item m="1" x="645"/>
        <item m="1" x="1398"/>
        <item m="1" x="672"/>
        <item m="1" x="1055"/>
        <item m="1" x="339"/>
        <item m="1" x="1076"/>
        <item m="1" x="361"/>
        <item m="1" x="386"/>
        <item m="1" x="1127"/>
        <item m="1" x="413"/>
        <item m="1" x="1156"/>
        <item m="1" x="441"/>
        <item m="1" x="1189"/>
        <item m="1" x="473"/>
        <item m="1" x="1220"/>
        <item m="1" x="506"/>
        <item m="1" x="1256"/>
        <item m="1" x="536"/>
        <item m="1" x="1281"/>
        <item m="1" x="562"/>
        <item m="1" x="592"/>
        <item m="1" x="1341"/>
        <item m="1" x="621"/>
        <item m="1" x="1373"/>
        <item m="1" x="649"/>
        <item m="1" x="1403"/>
        <item m="1" x="677"/>
        <item m="1" x="1432"/>
        <item m="1" x="706"/>
        <item m="1" x="1461"/>
        <item m="1" x="734"/>
        <item m="1" x="1490"/>
        <item m="1" x="1102"/>
        <item m="1" x="1129"/>
        <item m="1" x="414"/>
        <item m="1" x="1160"/>
        <item m="1" x="445"/>
        <item m="1" x="1193"/>
        <item m="1" x="477"/>
        <item m="1" x="1225"/>
        <item m="1" x="510"/>
        <item m="1" x="1260"/>
        <item m="1" x="541"/>
        <item m="1" x="1286"/>
        <item m="1" x="567"/>
        <item m="1" x="1316"/>
        <item m="1" x="1345"/>
        <item m="1" x="626"/>
        <item m="1" x="1378"/>
        <item m="1" x="654"/>
        <item m="1" x="1408"/>
        <item m="1" x="682"/>
        <item m="1" x="1437"/>
        <item m="1" x="710"/>
        <item m="1" x="1465"/>
        <item m="1" x="739"/>
        <item m="1" x="1495"/>
        <item m="1" x="767"/>
        <item m="1" x="1521"/>
        <item m="1" x="793"/>
        <item m="1" x="1162"/>
        <item m="1" x="446"/>
        <item m="1" x="1195"/>
        <item m="1" x="479"/>
        <item m="1" x="1229"/>
        <item m="1" x="514"/>
        <item m="1" x="545"/>
        <item m="1" x="1291"/>
        <item m="1" x="572"/>
        <item m="1" x="1321"/>
        <item m="1" x="601"/>
        <item m="1" x="576"/>
        <item m="1" x="1325"/>
        <item m="1" x="605"/>
        <item m="1" x="1357"/>
        <item m="1" x="637"/>
        <item m="1" x="1390"/>
        <item m="1" x="1421"/>
        <item m="1" x="694"/>
        <item m="1" x="1449"/>
        <item m="1" x="723"/>
        <item m="1" x="1477"/>
        <item m="1" x="752"/>
        <item m="1" x="779"/>
        <item m="1" x="805"/>
        <item m="1" x="1554"/>
        <item m="1" x="826"/>
        <item m="1" x="1575"/>
        <item m="1" x="1597"/>
        <item m="1" x="864"/>
        <item m="1" x="1615"/>
        <item x="0"/>
        <item x="1"/>
        <item x="2"/>
        <item x="3"/>
        <item x="18"/>
        <item x="19"/>
        <item x="20"/>
        <item x="21"/>
        <item x="22"/>
        <item x="4"/>
        <item x="28"/>
        <item x="5"/>
        <item x="6"/>
        <item x="9"/>
        <item x="10"/>
        <item x="11"/>
        <item x="23"/>
        <item x="27"/>
        <item x="12"/>
        <item x="13"/>
        <item x="24"/>
        <item x="25"/>
        <item x="14"/>
        <item x="15"/>
        <item x="29"/>
        <item x="7"/>
        <item x="8"/>
        <item x="16"/>
        <item x="17"/>
        <item x="26"/>
        <item x="41"/>
        <item x="54"/>
        <item x="42"/>
        <item x="35"/>
        <item x="47"/>
        <item x="48"/>
        <item x="49"/>
        <item x="50"/>
        <item x="30"/>
        <item x="31"/>
        <item x="36"/>
        <item x="37"/>
        <item x="32"/>
        <item x="33"/>
        <item x="34"/>
        <item x="43"/>
        <item x="44"/>
        <item x="51"/>
        <item x="52"/>
        <item x="53"/>
        <item x="56"/>
        <item x="45"/>
        <item x="38"/>
        <item x="46"/>
        <item x="39"/>
        <item x="40"/>
        <item x="57"/>
        <item x="61"/>
        <item x="58"/>
        <item x="59"/>
        <item x="62"/>
        <item x="67"/>
        <item x="68"/>
        <item x="69"/>
        <item x="63"/>
        <item x="64"/>
        <item x="65"/>
        <item x="66"/>
        <item x="70"/>
        <item x="71"/>
        <item x="72"/>
        <item x="73"/>
        <item x="74"/>
        <item x="60"/>
        <item x="75"/>
        <item x="76"/>
        <item x="77"/>
        <item x="78"/>
        <item x="79"/>
        <item x="80"/>
        <item x="104"/>
        <item x="81"/>
        <item x="110"/>
        <item x="82"/>
        <item x="83"/>
        <item x="93"/>
        <item x="94"/>
        <item x="96"/>
        <item x="97"/>
        <item x="107"/>
        <item x="105"/>
        <item x="84"/>
        <item x="85"/>
        <item x="86"/>
        <item x="87"/>
        <item x="88"/>
        <item x="108"/>
        <item x="98"/>
        <item x="99"/>
        <item x="100"/>
        <item x="101"/>
        <item x="89"/>
        <item x="90"/>
        <item x="109"/>
        <item x="91"/>
        <item x="92"/>
        <item x="102"/>
        <item x="103"/>
        <item x="95"/>
        <item x="106"/>
        <item x="137"/>
        <item x="111"/>
        <item x="130"/>
        <item x="131"/>
        <item x="121"/>
        <item x="122"/>
        <item x="112"/>
        <item x="138"/>
        <item x="113"/>
        <item x="132"/>
        <item x="133"/>
        <item x="134"/>
        <item x="126"/>
        <item x="127"/>
        <item x="135"/>
        <item x="114"/>
        <item x="115"/>
        <item x="116"/>
        <item x="117"/>
        <item x="118"/>
        <item x="119"/>
        <item x="139"/>
        <item x="136"/>
        <item x="128"/>
        <item x="123"/>
        <item x="124"/>
        <item x="125"/>
        <item x="120"/>
        <item x="140"/>
        <item x="129"/>
        <item x="151"/>
        <item x="152"/>
        <item x="160"/>
        <item x="141"/>
        <item x="142"/>
        <item x="143"/>
        <item x="144"/>
        <item x="145"/>
        <item x="146"/>
        <item x="147"/>
        <item x="148"/>
        <item x="170"/>
        <item x="149"/>
        <item x="150"/>
        <item x="161"/>
        <item x="162"/>
        <item x="163"/>
        <item x="164"/>
        <item x="165"/>
        <item x="157"/>
        <item x="158"/>
        <item x="159"/>
        <item x="153"/>
        <item x="154"/>
        <item x="155"/>
        <item x="156"/>
        <item x="166"/>
        <item x="167"/>
        <item x="168"/>
        <item x="169"/>
        <item x="5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20">
        <item h="1" x="7"/>
        <item h="1" x="0"/>
        <item h="1" x="1"/>
        <item h="1" m="1" x="17"/>
        <item h="1" x="4"/>
        <item h="1" x="5"/>
        <item x="6"/>
        <item h="1" m="1" x="18"/>
        <item m="1" x="13"/>
        <item h="1" m="1" x="10"/>
        <item m="1" x="11"/>
        <item h="1" x="3"/>
        <item m="1" x="8"/>
        <item h="1" m="1" x="9"/>
        <item h="1" x="2"/>
        <item h="1" m="1" x="15"/>
        <item h="1" m="1" x="12"/>
        <item h="1" m="1" x="16"/>
        <item h="1" m="1" x="14"/>
        <item t="default"/>
      </items>
    </pivotField>
    <pivotField axis="axisPage" compact="0" outline="0" multipleItemSelectionAllowed="1" showAll="0">
      <items count="14">
        <item h="1" m="1" x="12"/>
        <item h="1" m="1" x="11"/>
        <item h="1" m="1" x="10"/>
        <item h="1" x="2"/>
        <item m="1" x="9"/>
        <item h="1" m="1" x="3"/>
        <item h="1" x="1"/>
        <item h="1" m="1" x="7"/>
        <item h="1" m="1" x="4"/>
        <item h="1" m="1" x="8"/>
        <item m="1" x="5"/>
        <item h="1" m="1" x="6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2"/>
  </rowFields>
  <rowItems count="15">
    <i>
      <x v="38"/>
    </i>
    <i>
      <x v="8"/>
    </i>
    <i>
      <x v="7"/>
    </i>
    <i>
      <x v="25"/>
    </i>
    <i>
      <x v="3"/>
    </i>
    <i>
      <x v="17"/>
    </i>
    <i>
      <x v="30"/>
    </i>
    <i>
      <x v="5"/>
    </i>
    <i>
      <x v="4"/>
    </i>
    <i>
      <x v="21"/>
    </i>
    <i>
      <x v="18"/>
    </i>
    <i>
      <x v="16"/>
    </i>
    <i>
      <x v="15"/>
    </i>
    <i>
      <x v="39"/>
    </i>
    <i t="grand">
      <x/>
    </i>
  </rowItems>
  <colFields count="1">
    <field x="3"/>
  </colFields>
  <colItems count="31"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 t="grand">
      <x/>
    </i>
  </colItems>
  <pageFields count="2">
    <pageField fld="27" hier="-1"/>
    <pageField fld="26" hier="-1"/>
  </pageFields>
  <dataFields count="1">
    <dataField name="Suma de Peso Merma" fld="19" baseField="0" baseItem="0"/>
  </dataFields>
  <formats count="117">
    <format dxfId="4550">
      <pivotArea outline="0" collapsedLevelsAreSubtotals="1" fieldPosition="0"/>
    </format>
    <format dxfId="4549">
      <pivotArea dataOnly="0" labelOnly="1" grandRow="1" outline="0" fieldPosition="0"/>
    </format>
    <format dxfId="4548">
      <pivotArea grandCol="1" outline="0" collapsedLevelsAreSubtotals="1" fieldPosition="0"/>
    </format>
    <format dxfId="4547">
      <pivotArea type="topRight" dataOnly="0" labelOnly="1" outline="0" offset="I1" fieldPosition="0"/>
    </format>
    <format dxfId="4546">
      <pivotArea grandCol="1" outline="0" collapsedLevelsAreSubtotals="1" fieldPosition="0"/>
    </format>
    <format dxfId="4545">
      <pivotArea grandCol="1" outline="0" collapsedLevelsAreSubtotals="1" fieldPosition="0"/>
    </format>
    <format dxfId="4544">
      <pivotArea dataOnly="0" labelOnly="1" grandCol="1" outline="0" fieldPosition="0"/>
    </format>
    <format dxfId="4543">
      <pivotArea grandCol="1" outline="0" collapsedLevelsAreSubtotals="1" fieldPosition="0"/>
    </format>
    <format dxfId="4542">
      <pivotArea type="all" dataOnly="0" outline="0" fieldPosition="0"/>
    </format>
    <format dxfId="4541">
      <pivotArea outline="0" fieldPosition="0">
        <references count="1">
          <reference field="3" count="1" selected="0">
            <x v="679"/>
          </reference>
        </references>
      </pivotArea>
    </format>
    <format dxfId="4540">
      <pivotArea dataOnly="0" labelOnly="1" outline="0" fieldPosition="0">
        <references count="1">
          <reference field="3" count="1">
            <x v="679"/>
          </reference>
        </references>
      </pivotArea>
    </format>
    <format dxfId="4539">
      <pivotArea outline="0" fieldPosition="0">
        <references count="1">
          <reference field="3" count="1" selected="0">
            <x v="679"/>
          </reference>
        </references>
      </pivotArea>
    </format>
    <format dxfId="4538">
      <pivotArea dataOnly="0" labelOnly="1" outline="0" fieldPosition="0">
        <references count="1">
          <reference field="3" count="1">
            <x v="679"/>
          </reference>
        </references>
      </pivotArea>
    </format>
    <format dxfId="4537">
      <pivotArea type="all" dataOnly="0" outline="0" fieldPosition="0"/>
    </format>
    <format dxfId="4536">
      <pivotArea outline="0" collapsedLevelsAreSubtotals="1" fieldPosition="0"/>
    </format>
    <format dxfId="4535">
      <pivotArea type="origin" dataOnly="0" labelOnly="1" outline="0" fieldPosition="0"/>
    </format>
    <format dxfId="4534">
      <pivotArea field="3" type="button" dataOnly="0" labelOnly="1" outline="0" axis="axisCol" fieldPosition="0"/>
    </format>
    <format dxfId="4533">
      <pivotArea type="topRight" dataOnly="0" labelOnly="1" outline="0" fieldPosition="0"/>
    </format>
    <format dxfId="4532">
      <pivotArea field="2" type="button" dataOnly="0" labelOnly="1" outline="0" axis="axisRow" fieldPosition="0"/>
    </format>
    <format dxfId="4531">
      <pivotArea dataOnly="0" labelOnly="1" outline="0" fieldPosition="0">
        <references count="1">
          <reference field="2" count="11">
            <x v="0"/>
            <x v="4"/>
            <x v="5"/>
            <x v="7"/>
            <x v="8"/>
            <x v="9"/>
            <x v="14"/>
            <x v="16"/>
            <x v="17"/>
            <x v="18"/>
            <x v="19"/>
          </reference>
        </references>
      </pivotArea>
    </format>
    <format dxfId="4530">
      <pivotArea dataOnly="0" labelOnly="1" grandRow="1" outline="0" fieldPosition="0"/>
    </format>
    <format dxfId="4529">
      <pivotArea dataOnly="0" labelOnly="1" outline="0" fieldPosition="0">
        <references count="1">
          <reference field="3" count="28"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</reference>
        </references>
      </pivotArea>
    </format>
    <format dxfId="4528">
      <pivotArea dataOnly="0" labelOnly="1" grandCol="1" outline="0" fieldPosition="0"/>
    </format>
    <format dxfId="4527">
      <pivotArea outline="0" fieldPosition="0">
        <references count="1">
          <reference field="3" count="1" selected="0">
            <x v="1606"/>
          </reference>
        </references>
      </pivotArea>
    </format>
    <format dxfId="4526">
      <pivotArea type="topRight" dataOnly="0" labelOnly="1" outline="0" offset="A1" fieldPosition="0"/>
    </format>
    <format dxfId="4525">
      <pivotArea dataOnly="0" labelOnly="1" outline="0" fieldPosition="0">
        <references count="1">
          <reference field="3" count="1">
            <x v="1606"/>
          </reference>
        </references>
      </pivotArea>
    </format>
    <format dxfId="4524">
      <pivotArea outline="0" fieldPosition="0">
        <references count="1">
          <reference field="3" count="1" selected="0">
            <x v="1607"/>
          </reference>
        </references>
      </pivotArea>
    </format>
    <format dxfId="4523">
      <pivotArea type="topRight" dataOnly="0" labelOnly="1" outline="0" offset="B1" fieldPosition="0"/>
    </format>
    <format dxfId="4522">
      <pivotArea dataOnly="0" labelOnly="1" outline="0" fieldPosition="0">
        <references count="1">
          <reference field="3" count="1">
            <x v="1607"/>
          </reference>
        </references>
      </pivotArea>
    </format>
    <format dxfId="4521">
      <pivotArea outline="0" fieldPosition="0">
        <references count="1">
          <reference field="3" count="1" selected="0">
            <x v="1608"/>
          </reference>
        </references>
      </pivotArea>
    </format>
    <format dxfId="4520">
      <pivotArea type="topRight" dataOnly="0" labelOnly="1" outline="0" offset="C1" fieldPosition="0"/>
    </format>
    <format dxfId="4519">
      <pivotArea dataOnly="0" labelOnly="1" outline="0" fieldPosition="0">
        <references count="1">
          <reference field="3" count="1">
            <x v="1608"/>
          </reference>
        </references>
      </pivotArea>
    </format>
    <format dxfId="4518">
      <pivotArea outline="0" fieldPosition="0">
        <references count="1">
          <reference field="3" count="1" selected="0">
            <x v="1609"/>
          </reference>
        </references>
      </pivotArea>
    </format>
    <format dxfId="4517">
      <pivotArea type="topRight" dataOnly="0" labelOnly="1" outline="0" offset="D1" fieldPosition="0"/>
    </format>
    <format dxfId="4516">
      <pivotArea dataOnly="0" labelOnly="1" outline="0" fieldPosition="0">
        <references count="1">
          <reference field="3" count="1">
            <x v="1609"/>
          </reference>
        </references>
      </pivotArea>
    </format>
    <format dxfId="4515">
      <pivotArea outline="0" fieldPosition="0">
        <references count="1">
          <reference field="3" count="1" selected="0">
            <x v="1610"/>
          </reference>
        </references>
      </pivotArea>
    </format>
    <format dxfId="4514">
      <pivotArea type="topRight" dataOnly="0" labelOnly="1" outline="0" offset="E1" fieldPosition="0"/>
    </format>
    <format dxfId="4513">
      <pivotArea dataOnly="0" labelOnly="1" outline="0" fieldPosition="0">
        <references count="1">
          <reference field="3" count="1">
            <x v="1610"/>
          </reference>
        </references>
      </pivotArea>
    </format>
    <format dxfId="4512">
      <pivotArea outline="0" fieldPosition="0">
        <references count="1">
          <reference field="3" count="1" selected="0">
            <x v="1611"/>
          </reference>
        </references>
      </pivotArea>
    </format>
    <format dxfId="4511">
      <pivotArea type="topRight" dataOnly="0" labelOnly="1" outline="0" offset="F1" fieldPosition="0"/>
    </format>
    <format dxfId="4510">
      <pivotArea dataOnly="0" labelOnly="1" outline="0" fieldPosition="0">
        <references count="1">
          <reference field="3" count="1">
            <x v="1611"/>
          </reference>
        </references>
      </pivotArea>
    </format>
    <format dxfId="4509">
      <pivotArea outline="0" fieldPosition="0">
        <references count="1">
          <reference field="3" count="1" selected="0">
            <x v="1612"/>
          </reference>
        </references>
      </pivotArea>
    </format>
    <format dxfId="4508">
      <pivotArea type="topRight" dataOnly="0" labelOnly="1" outline="0" offset="G1" fieldPosition="0"/>
    </format>
    <format dxfId="4507">
      <pivotArea dataOnly="0" labelOnly="1" outline="0" fieldPosition="0">
        <references count="1">
          <reference field="3" count="1">
            <x v="1612"/>
          </reference>
        </references>
      </pivotArea>
    </format>
    <format dxfId="4506">
      <pivotArea outline="0" fieldPosition="0">
        <references count="1">
          <reference field="3" count="1" selected="0">
            <x v="1613"/>
          </reference>
        </references>
      </pivotArea>
    </format>
    <format dxfId="4505">
      <pivotArea type="topRight" dataOnly="0" labelOnly="1" outline="0" offset="H1" fieldPosition="0"/>
    </format>
    <format dxfId="4504">
      <pivotArea dataOnly="0" labelOnly="1" outline="0" fieldPosition="0">
        <references count="1">
          <reference field="3" count="1">
            <x v="1613"/>
          </reference>
        </references>
      </pivotArea>
    </format>
    <format dxfId="4503">
      <pivotArea outline="0" fieldPosition="0">
        <references count="1">
          <reference field="3" count="1" selected="0">
            <x v="1614"/>
          </reference>
        </references>
      </pivotArea>
    </format>
    <format dxfId="4502">
      <pivotArea type="topRight" dataOnly="0" labelOnly="1" outline="0" offset="I1" fieldPosition="0"/>
    </format>
    <format dxfId="4501">
      <pivotArea dataOnly="0" labelOnly="1" outline="0" fieldPosition="0">
        <references count="1">
          <reference field="3" count="1">
            <x v="1614"/>
          </reference>
        </references>
      </pivotArea>
    </format>
    <format dxfId="4500">
      <pivotArea outline="0" fieldPosition="0">
        <references count="1">
          <reference field="3" count="1" selected="0">
            <x v="1615"/>
          </reference>
        </references>
      </pivotArea>
    </format>
    <format dxfId="4499">
      <pivotArea type="topRight" dataOnly="0" labelOnly="1" outline="0" offset="J1" fieldPosition="0"/>
    </format>
    <format dxfId="4498">
      <pivotArea dataOnly="0" labelOnly="1" outline="0" fieldPosition="0">
        <references count="1">
          <reference field="3" count="1">
            <x v="1615"/>
          </reference>
        </references>
      </pivotArea>
    </format>
    <format dxfId="4497">
      <pivotArea outline="0" fieldPosition="0">
        <references count="1">
          <reference field="3" count="1" selected="0">
            <x v="1616"/>
          </reference>
        </references>
      </pivotArea>
    </format>
    <format dxfId="4496">
      <pivotArea type="topRight" dataOnly="0" labelOnly="1" outline="0" offset="K1" fieldPosition="0"/>
    </format>
    <format dxfId="4495">
      <pivotArea dataOnly="0" labelOnly="1" outline="0" fieldPosition="0">
        <references count="1">
          <reference field="3" count="1">
            <x v="1616"/>
          </reference>
        </references>
      </pivotArea>
    </format>
    <format dxfId="4494">
      <pivotArea outline="0" fieldPosition="0">
        <references count="1">
          <reference field="3" count="1" selected="0">
            <x v="1617"/>
          </reference>
        </references>
      </pivotArea>
    </format>
    <format dxfId="4493">
      <pivotArea type="topRight" dataOnly="0" labelOnly="1" outline="0" offset="L1" fieldPosition="0"/>
    </format>
    <format dxfId="4492">
      <pivotArea dataOnly="0" labelOnly="1" outline="0" fieldPosition="0">
        <references count="1">
          <reference field="3" count="1">
            <x v="1617"/>
          </reference>
        </references>
      </pivotArea>
    </format>
    <format dxfId="4491">
      <pivotArea outline="0" fieldPosition="0">
        <references count="1">
          <reference field="3" count="1" selected="0">
            <x v="1618"/>
          </reference>
        </references>
      </pivotArea>
    </format>
    <format dxfId="4490">
      <pivotArea type="topRight" dataOnly="0" labelOnly="1" outline="0" offset="M1" fieldPosition="0"/>
    </format>
    <format dxfId="4489">
      <pivotArea dataOnly="0" labelOnly="1" outline="0" fieldPosition="0">
        <references count="1">
          <reference field="3" count="1">
            <x v="1618"/>
          </reference>
        </references>
      </pivotArea>
    </format>
    <format dxfId="4488">
      <pivotArea outline="0" fieldPosition="0">
        <references count="1">
          <reference field="3" count="1" selected="0">
            <x v="1619"/>
          </reference>
        </references>
      </pivotArea>
    </format>
    <format dxfId="4487">
      <pivotArea type="topRight" dataOnly="0" labelOnly="1" outline="0" offset="N1" fieldPosition="0"/>
    </format>
    <format dxfId="4486">
      <pivotArea dataOnly="0" labelOnly="1" outline="0" fieldPosition="0">
        <references count="1">
          <reference field="3" count="1">
            <x v="1619"/>
          </reference>
        </references>
      </pivotArea>
    </format>
    <format dxfId="4485">
      <pivotArea outline="0" fieldPosition="0">
        <references count="1">
          <reference field="3" count="1" selected="0">
            <x v="1620"/>
          </reference>
        </references>
      </pivotArea>
    </format>
    <format dxfId="4484">
      <pivotArea type="topRight" dataOnly="0" labelOnly="1" outline="0" offset="O1" fieldPosition="0"/>
    </format>
    <format dxfId="4483">
      <pivotArea dataOnly="0" labelOnly="1" outline="0" fieldPosition="0">
        <references count="1">
          <reference field="3" count="1">
            <x v="1620"/>
          </reference>
        </references>
      </pivotArea>
    </format>
    <format dxfId="4482">
      <pivotArea outline="0" fieldPosition="0">
        <references count="1">
          <reference field="3" count="1" selected="0">
            <x v="1621"/>
          </reference>
        </references>
      </pivotArea>
    </format>
    <format dxfId="4481">
      <pivotArea type="topRight" dataOnly="0" labelOnly="1" outline="0" offset="P1" fieldPosition="0"/>
    </format>
    <format dxfId="4480">
      <pivotArea dataOnly="0" labelOnly="1" outline="0" fieldPosition="0">
        <references count="1">
          <reference field="3" count="1">
            <x v="1621"/>
          </reference>
        </references>
      </pivotArea>
    </format>
    <format dxfId="4479">
      <pivotArea outline="0" fieldPosition="0">
        <references count="1">
          <reference field="3" count="1" selected="0">
            <x v="1622"/>
          </reference>
        </references>
      </pivotArea>
    </format>
    <format dxfId="4478">
      <pivotArea type="topRight" dataOnly="0" labelOnly="1" outline="0" offset="Q1" fieldPosition="0"/>
    </format>
    <format dxfId="4477">
      <pivotArea dataOnly="0" labelOnly="1" outline="0" fieldPosition="0">
        <references count="1">
          <reference field="3" count="1">
            <x v="1622"/>
          </reference>
        </references>
      </pivotArea>
    </format>
    <format dxfId="4476">
      <pivotArea outline="0" fieldPosition="0">
        <references count="1">
          <reference field="3" count="1" selected="0">
            <x v="1623"/>
          </reference>
        </references>
      </pivotArea>
    </format>
    <format dxfId="4475">
      <pivotArea type="topRight" dataOnly="0" labelOnly="1" outline="0" offset="R1" fieldPosition="0"/>
    </format>
    <format dxfId="4474">
      <pivotArea dataOnly="0" labelOnly="1" outline="0" fieldPosition="0">
        <references count="1">
          <reference field="3" count="1">
            <x v="1623"/>
          </reference>
        </references>
      </pivotArea>
    </format>
    <format dxfId="4473">
      <pivotArea outline="0" fieldPosition="0">
        <references count="1">
          <reference field="3" count="1" selected="0">
            <x v="1624"/>
          </reference>
        </references>
      </pivotArea>
    </format>
    <format dxfId="4472">
      <pivotArea type="topRight" dataOnly="0" labelOnly="1" outline="0" offset="S1" fieldPosition="0"/>
    </format>
    <format dxfId="4471">
      <pivotArea dataOnly="0" labelOnly="1" outline="0" fieldPosition="0">
        <references count="1">
          <reference field="3" count="1">
            <x v="1624"/>
          </reference>
        </references>
      </pivotArea>
    </format>
    <format dxfId="4470">
      <pivotArea outline="0" fieldPosition="0">
        <references count="1">
          <reference field="3" count="1" selected="0">
            <x v="1625"/>
          </reference>
        </references>
      </pivotArea>
    </format>
    <format dxfId="4469">
      <pivotArea type="topRight" dataOnly="0" labelOnly="1" outline="0" offset="T1" fieldPosition="0"/>
    </format>
    <format dxfId="4468">
      <pivotArea dataOnly="0" labelOnly="1" outline="0" fieldPosition="0">
        <references count="1">
          <reference field="3" count="1">
            <x v="1625"/>
          </reference>
        </references>
      </pivotArea>
    </format>
    <format dxfId="4467">
      <pivotArea outline="0" fieldPosition="0">
        <references count="1">
          <reference field="3" count="1" selected="0">
            <x v="1626"/>
          </reference>
        </references>
      </pivotArea>
    </format>
    <format dxfId="4466">
      <pivotArea type="topRight" dataOnly="0" labelOnly="1" outline="0" offset="U1" fieldPosition="0"/>
    </format>
    <format dxfId="4465">
      <pivotArea dataOnly="0" labelOnly="1" outline="0" fieldPosition="0">
        <references count="1">
          <reference field="3" count="1">
            <x v="1626"/>
          </reference>
        </references>
      </pivotArea>
    </format>
    <format dxfId="4464">
      <pivotArea outline="0" fieldPosition="0">
        <references count="1">
          <reference field="3" count="1" selected="0">
            <x v="1627"/>
          </reference>
        </references>
      </pivotArea>
    </format>
    <format dxfId="4463">
      <pivotArea type="topRight" dataOnly="0" labelOnly="1" outline="0" offset="V1" fieldPosition="0"/>
    </format>
    <format dxfId="4462">
      <pivotArea dataOnly="0" labelOnly="1" outline="0" fieldPosition="0">
        <references count="1">
          <reference field="3" count="1">
            <x v="1627"/>
          </reference>
        </references>
      </pivotArea>
    </format>
    <format dxfId="4461">
      <pivotArea outline="0" fieldPosition="0">
        <references count="1">
          <reference field="3" count="1" selected="0">
            <x v="1628"/>
          </reference>
        </references>
      </pivotArea>
    </format>
    <format dxfId="4460">
      <pivotArea type="topRight" dataOnly="0" labelOnly="1" outline="0" offset="W1" fieldPosition="0"/>
    </format>
    <format dxfId="4459">
      <pivotArea dataOnly="0" labelOnly="1" outline="0" fieldPosition="0">
        <references count="1">
          <reference field="3" count="1">
            <x v="1628"/>
          </reference>
        </references>
      </pivotArea>
    </format>
    <format dxfId="4458">
      <pivotArea outline="0" fieldPosition="0">
        <references count="1">
          <reference field="3" count="1" selected="0">
            <x v="1629"/>
          </reference>
        </references>
      </pivotArea>
    </format>
    <format dxfId="4457">
      <pivotArea type="topRight" dataOnly="0" labelOnly="1" outline="0" offset="X1" fieldPosition="0"/>
    </format>
    <format dxfId="4456">
      <pivotArea dataOnly="0" labelOnly="1" outline="0" fieldPosition="0">
        <references count="1">
          <reference field="3" count="1">
            <x v="1629"/>
          </reference>
        </references>
      </pivotArea>
    </format>
    <format dxfId="4455">
      <pivotArea outline="0" fieldPosition="0">
        <references count="1">
          <reference field="3" count="1" selected="0">
            <x v="1630"/>
          </reference>
        </references>
      </pivotArea>
    </format>
    <format dxfId="4454">
      <pivotArea type="topRight" dataOnly="0" labelOnly="1" outline="0" offset="Y1" fieldPosition="0"/>
    </format>
    <format dxfId="4453">
      <pivotArea dataOnly="0" labelOnly="1" outline="0" fieldPosition="0">
        <references count="1">
          <reference field="3" count="1">
            <x v="1630"/>
          </reference>
        </references>
      </pivotArea>
    </format>
    <format dxfId="4452">
      <pivotArea outline="0" fieldPosition="0">
        <references count="1">
          <reference field="3" count="1" selected="0">
            <x v="1631"/>
          </reference>
        </references>
      </pivotArea>
    </format>
    <format dxfId="4451">
      <pivotArea type="topRight" dataOnly="0" labelOnly="1" outline="0" offset="Z1" fieldPosition="0"/>
    </format>
    <format dxfId="4450">
      <pivotArea dataOnly="0" labelOnly="1" outline="0" fieldPosition="0">
        <references count="1">
          <reference field="3" count="1">
            <x v="1631"/>
          </reference>
        </references>
      </pivotArea>
    </format>
    <format dxfId="4449">
      <pivotArea outline="0" fieldPosition="0">
        <references count="1">
          <reference field="3" count="1" selected="0">
            <x v="1632"/>
          </reference>
        </references>
      </pivotArea>
    </format>
    <format dxfId="4448">
      <pivotArea type="topRight" dataOnly="0" labelOnly="1" outline="0" offset="AA1" fieldPosition="0"/>
    </format>
    <format dxfId="4447">
      <pivotArea dataOnly="0" labelOnly="1" outline="0" fieldPosition="0">
        <references count="1">
          <reference field="3" count="1">
            <x v="1632"/>
          </reference>
        </references>
      </pivotArea>
    </format>
    <format dxfId="4446">
      <pivotArea outline="0" fieldPosition="0">
        <references count="1">
          <reference field="3" count="1" selected="0">
            <x v="1633"/>
          </reference>
        </references>
      </pivotArea>
    </format>
    <format dxfId="4445">
      <pivotArea type="topRight" dataOnly="0" labelOnly="1" outline="0" offset="AB1" fieldPosition="0"/>
    </format>
    <format dxfId="4444">
      <pivotArea dataOnly="0" labelOnly="1" outline="0" fieldPosition="0">
        <references count="1">
          <reference field="3" count="1">
            <x v="1633"/>
          </reference>
        </references>
      </pivotArea>
    </format>
    <format dxfId="4443">
      <pivotArea type="all" dataOnly="0" outline="0" fieldPosition="0"/>
    </format>
    <format dxfId="4442">
      <pivotArea outline="0" collapsedLevelsAreSubtotals="1" fieldPosition="0"/>
    </format>
    <format dxfId="4441">
      <pivotArea type="origin" dataOnly="0" labelOnly="1" outline="0" fieldPosition="0"/>
    </format>
    <format dxfId="4440">
      <pivotArea field="3" type="button" dataOnly="0" labelOnly="1" outline="0" axis="axisCol" fieldPosition="0"/>
    </format>
    <format dxfId="4439">
      <pivotArea type="topRight" dataOnly="0" labelOnly="1" outline="0" fieldPosition="0"/>
    </format>
    <format dxfId="4438">
      <pivotArea field="2" type="button" dataOnly="0" labelOnly="1" outline="0" axis="axisRow" fieldPosition="0"/>
    </format>
    <format dxfId="4437">
      <pivotArea dataOnly="0" labelOnly="1" outline="0" fieldPosition="0">
        <references count="1">
          <reference field="2" count="14">
            <x v="3"/>
            <x v="4"/>
            <x v="5"/>
            <x v="7"/>
            <x v="8"/>
            <x v="15"/>
            <x v="16"/>
            <x v="17"/>
            <x v="18"/>
            <x v="21"/>
            <x v="25"/>
            <x v="30"/>
            <x v="38"/>
            <x v="39"/>
          </reference>
        </references>
      </pivotArea>
    </format>
    <format dxfId="4436">
      <pivotArea dataOnly="0" labelOnly="1" grandRow="1" outline="0" fieldPosition="0"/>
    </format>
    <format dxfId="4435">
      <pivotArea dataOnly="0" labelOnly="1" outline="0" fieldPosition="0">
        <references count="1">
          <reference field="3" count="30"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</reference>
        </references>
      </pivotArea>
    </format>
    <format dxfId="443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AE31" firstHeaderRow="1" firstDataRow="2" firstDataCol="2" rowPageCount="2" colPageCount="1"/>
  <pivotFields count="33">
    <pivotField compact="0" outline="0" showAll="0"/>
    <pivotField compact="0" outline="0" showAll="0"/>
    <pivotField axis="axisRow" compact="0" outline="0" showAll="0" sortType="ascending" defaultSubtotal="0">
      <items count="48">
        <item m="1" x="35"/>
        <item m="1" x="42"/>
        <item m="1" x="18"/>
        <item m="1" x="39"/>
        <item m="1" x="34"/>
        <item x="4"/>
        <item m="1" x="37"/>
        <item m="1" x="24"/>
        <item x="5"/>
        <item m="1" x="19"/>
        <item x="0"/>
        <item m="1" x="44"/>
        <item x="1"/>
        <item m="1" x="45"/>
        <item x="6"/>
        <item m="1" x="22"/>
        <item x="2"/>
        <item m="1" x="47"/>
        <item x="3"/>
        <item m="1" x="38"/>
        <item x="7"/>
        <item m="1" x="36"/>
        <item x="8"/>
        <item x="10"/>
        <item m="1" x="43"/>
        <item m="1" x="46"/>
        <item m="1" x="30"/>
        <item m="1" x="32"/>
        <item m="1" x="33"/>
        <item m="1" x="26"/>
        <item m="1" x="23"/>
        <item m="1" x="20"/>
        <item m="1" x="16"/>
        <item m="1" x="28"/>
        <item m="1" x="25"/>
        <item m="1" x="21"/>
        <item x="11"/>
        <item m="1" x="29"/>
        <item x="9"/>
        <item x="12"/>
        <item m="1" x="41"/>
        <item m="1" x="15"/>
        <item m="1" x="40"/>
        <item m="1" x="31"/>
        <item m="1" x="27"/>
        <item m="1" x="17"/>
        <item x="13"/>
        <item sd="0" x="14"/>
      </items>
    </pivotField>
    <pivotField axis="axisCol" compact="0" outline="0" showAll="0" sortType="ascending">
      <items count="1783">
        <item m="1" x="1020"/>
        <item x="259"/>
        <item x="230"/>
        <item m="1" x="1002"/>
        <item m="1" x="675"/>
        <item m="1" x="1410"/>
        <item m="1" x="329"/>
        <item m="1" x="1073"/>
        <item m="1" x="344"/>
        <item m="1" x="1083"/>
        <item m="1" x="352"/>
        <item m="1" x="1098"/>
        <item m="1" x="365"/>
        <item m="1" x="1111"/>
        <item m="1" x="376"/>
        <item m="1" x="1128"/>
        <item m="1" x="394"/>
        <item m="1" x="1141"/>
        <item m="1" x="409"/>
        <item m="1" x="1157"/>
        <item m="1" x="427"/>
        <item m="1" x="1174"/>
        <item m="1" x="445"/>
        <item m="1" x="1194"/>
        <item m="1" x="468"/>
        <item m="1" x="1216"/>
        <item m="1" x="490"/>
        <item m="1" x="1242"/>
        <item m="1" x="516"/>
        <item m="1" x="1269"/>
        <item m="1" x="543"/>
        <item m="1" x="1302"/>
        <item m="1" x="575"/>
        <item m="1" x="1335"/>
        <item m="1" x="608"/>
        <item m="1" x="1370"/>
        <item m="1" x="1085"/>
        <item m="1" x="354"/>
        <item m="1" x="1100"/>
        <item m="1" x="367"/>
        <item m="1" x="1113"/>
        <item m="1" x="378"/>
        <item m="1" x="1130"/>
        <item m="1" x="396"/>
        <item m="1" x="411"/>
        <item m="1" x="1159"/>
        <item m="1" x="429"/>
        <item m="1" x="1176"/>
        <item m="1" x="447"/>
        <item m="1" x="1196"/>
        <item m="1" x="470"/>
        <item m="1" x="1218"/>
        <item m="1" x="492"/>
        <item m="1" x="1244"/>
        <item m="1" x="518"/>
        <item m="1" x="1271"/>
        <item m="1" x="545"/>
        <item m="1" x="1304"/>
        <item m="1" x="577"/>
        <item m="1" x="1337"/>
        <item m="1" x="610"/>
        <item m="1" x="1371"/>
        <item m="1" x="644"/>
        <item m="1" x="1404"/>
        <item m="1" x="382"/>
        <item m="1" x="1133"/>
        <item m="1" x="400"/>
        <item m="1" x="1146"/>
        <item m="1" x="415"/>
        <item m="1" x="1163"/>
        <item m="1" x="1180"/>
        <item m="1" x="451"/>
        <item m="1" x="1200"/>
        <item m="1" x="474"/>
        <item m="1" x="1222"/>
        <item m="1" x="496"/>
        <item m="1" x="522"/>
        <item m="1" x="1275"/>
        <item m="1" x="549"/>
        <item m="1" x="1308"/>
        <item m="1" x="581"/>
        <item m="1" x="1340"/>
        <item m="1" x="1317"/>
        <item m="1" x="590"/>
        <item m="1" x="622"/>
        <item m="1" x="1383"/>
        <item m="1" x="653"/>
        <item m="1" x="680"/>
        <item m="1" x="1440"/>
        <item m="1" x="710"/>
        <item m="1" x="1470"/>
        <item m="1" x="739"/>
        <item m="1" x="1502"/>
        <item m="1" x="1533"/>
        <item m="1" x="795"/>
        <item m="1" x="1565"/>
        <item m="1" x="827"/>
        <item m="1" x="1593"/>
        <item m="1" x="855"/>
        <item m="1" x="1234"/>
        <item m="1" x="508"/>
        <item m="1" x="1260"/>
        <item m="1" x="535"/>
        <item m="1" x="1288"/>
        <item m="1" x="562"/>
        <item m="1" x="1321"/>
        <item m="1" x="594"/>
        <item m="1" x="1353"/>
        <item m="1" x="627"/>
        <item m="1" x="1388"/>
        <item m="1" x="658"/>
        <item m="1" x="1415"/>
        <item m="1" x="1445"/>
        <item m="1" x="715"/>
        <item m="1" x="1474"/>
        <item m="1" x="743"/>
        <item m="1" x="1506"/>
        <item m="1" x="772"/>
        <item m="1" x="799"/>
        <item m="1" x="1567"/>
        <item m="1" x="829"/>
        <item m="1" x="1595"/>
        <item m="1" x="857"/>
        <item m="1" x="1626"/>
        <item m="1" x="1655"/>
        <item m="1" x="915"/>
        <item m="1" x="1293"/>
        <item m="1" x="567"/>
        <item m="1" x="1326"/>
        <item m="1" x="599"/>
        <item m="1" x="632"/>
        <item m="1" x="1393"/>
        <item m="1" x="663"/>
        <item m="1" x="1419"/>
        <item m="1" x="689"/>
        <item m="1" x="1450"/>
        <item m="1" x="1479"/>
        <item m="1" x="748"/>
        <item m="1" x="1511"/>
        <item m="1" x="776"/>
        <item m="1" x="1541"/>
        <item m="1" x="804"/>
        <item m="1" x="833"/>
        <item m="1" x="1599"/>
        <item m="1" x="861"/>
        <item m="1" x="1629"/>
        <item m="1" x="890"/>
        <item m="1" x="1657"/>
        <item m="1" x="1683"/>
        <item m="1" x="1704"/>
        <item m="1" x="963"/>
        <item m="1" x="1726"/>
        <item m="1" x="1362"/>
        <item m="1" x="1397"/>
        <item m="1" x="667"/>
        <item m="1" x="1424"/>
        <item m="1" x="694"/>
        <item m="1" x="1454"/>
        <item m="1" x="724"/>
        <item m="1" x="753"/>
        <item m="1" x="1516"/>
        <item m="1" x="781"/>
        <item m="1" x="1546"/>
        <item m="1" x="809"/>
        <item m="1" x="1575"/>
        <item m="1" x="1603"/>
        <item m="1" x="866"/>
        <item m="1" x="1634"/>
        <item m="1" x="894"/>
        <item m="1" x="1661"/>
        <item m="1" x="920"/>
        <item m="1" x="944"/>
        <item m="1" x="1706"/>
        <item m="1" x="965"/>
        <item m="1" x="1728"/>
        <item m="1" x="983"/>
        <item m="1" x="1748"/>
        <item m="1" x="1767"/>
        <item m="1" x="1429"/>
        <item m="1" x="699"/>
        <item m="1" x="1459"/>
        <item m="1" x="728"/>
        <item m="1" x="1488"/>
        <item m="1" x="1521"/>
        <item m="1" x="785"/>
        <item m="1" x="1551"/>
        <item m="1" x="814"/>
        <item m="1" x="1580"/>
        <item m="1" x="842"/>
        <item m="1" x="871"/>
        <item m="1" x="1638"/>
        <item m="1" x="899"/>
        <item m="1" x="1666"/>
        <item m="1" x="925"/>
        <item m="1" x="1688"/>
        <item m="1" x="1709"/>
        <item m="1" x="967"/>
        <item m="1" x="1731"/>
        <item m="1" x="985"/>
        <item m="1" x="1750"/>
        <item m="1" x="1004"/>
        <item m="1" x="1021"/>
        <item m="1" x="291"/>
        <item m="1" x="1037"/>
        <item m="1" x="1492"/>
        <item m="1" x="761"/>
        <item m="1" x="1525"/>
        <item m="1" x="789"/>
        <item m="1" x="1555"/>
        <item m="1" x="817"/>
        <item m="1" x="1584"/>
        <item m="1" x="846"/>
        <item m="1" x="1611"/>
        <item m="1" x="875"/>
        <item m="1" x="1642"/>
        <item m="1" x="903"/>
        <item m="1" x="1669"/>
        <item m="1" x="929"/>
        <item m="1" x="1692"/>
        <item m="1" x="950"/>
        <item m="1" x="1713"/>
        <item m="1" x="971"/>
        <item m="1" x="1735"/>
        <item m="1" x="988"/>
        <item m="1" x="1753"/>
        <item m="1" x="1007"/>
        <item m="1" x="1771"/>
        <item m="1" x="1023"/>
        <item m="1" x="293"/>
        <item m="1" x="1039"/>
        <item m="1" x="307"/>
        <item m="1" x="1052"/>
        <item m="1" x="318"/>
        <item m="1" x="1063"/>
        <item m="1" x="333"/>
        <item m="1" x="1559"/>
        <item m="1" x="821"/>
        <item m="1" x="1587"/>
        <item m="1" x="850"/>
        <item m="1" x="1615"/>
        <item m="1" x="879"/>
        <item m="1" x="1646"/>
        <item m="1" x="1673"/>
        <item m="1" x="932"/>
        <item m="1" x="1695"/>
        <item m="1" x="954"/>
        <item m="1" x="1716"/>
        <item m="1" x="975"/>
        <item m="1" x="1739"/>
        <item m="1" x="992"/>
        <item m="1" x="1757"/>
        <item m="1" x="1011"/>
        <item m="1" x="1775"/>
        <item m="1" x="1027"/>
        <item m="1" x="297"/>
        <item m="1" x="1043"/>
        <item m="1" x="309"/>
        <item m="1" x="1054"/>
        <item m="1" x="320"/>
        <item m="1" x="1065"/>
        <item m="1" x="335"/>
        <item m="1" x="1078"/>
        <item m="1" x="349"/>
        <item m="1" x="1093"/>
        <item m="1" x="1620"/>
        <item m="1" x="884"/>
        <item m="1" x="1650"/>
        <item m="1" x="911"/>
        <item m="1" x="1677"/>
        <item m="1" x="937"/>
        <item m="1" x="1699"/>
        <item m="1" x="959"/>
        <item m="1" x="1721"/>
        <item m="1" x="979"/>
        <item m="1" x="1744"/>
        <item m="1" x="997"/>
        <item m="1" x="1762"/>
        <item m="1" x="1015"/>
        <item m="1" x="1779"/>
        <item m="1" x="1032"/>
        <item m="1" x="301"/>
        <item m="1" x="1047"/>
        <item m="1" x="313"/>
        <item m="1" x="1058"/>
        <item m="1" x="324"/>
        <item m="1" x="1069"/>
        <item m="1" x="339"/>
        <item m="1" x="1080"/>
        <item m="1" x="1095"/>
        <item m="1" x="362"/>
        <item m="1" x="1108"/>
        <item m="1" x="373"/>
        <item m="1" x="1125"/>
        <item m="1" x="391"/>
        <item m="1" x="1062"/>
        <item m="1" x="330"/>
        <item m="1" x="1074"/>
        <item m="1" x="345"/>
        <item m="1" x="1084"/>
        <item m="1" x="353"/>
        <item m="1" x="1099"/>
        <item m="1" x="366"/>
        <item m="1" x="1112"/>
        <item m="1" x="377"/>
        <item m="1" x="1129"/>
        <item m="1" x="395"/>
        <item m="1" x="1142"/>
        <item m="1" x="410"/>
        <item m="1" x="1158"/>
        <item m="1" x="428"/>
        <item m="1" x="1175"/>
        <item m="1" x="446"/>
        <item m="1" x="1195"/>
        <item m="1" x="469"/>
        <item m="1" x="1217"/>
        <item m="1" x="491"/>
        <item m="1" x="1243"/>
        <item m="1" x="517"/>
        <item m="1" x="1270"/>
        <item m="1" x="544"/>
        <item m="1" x="1303"/>
        <item m="1" x="576"/>
        <item m="1" x="1336"/>
        <item m="1" x="609"/>
        <item m="1" x="1087"/>
        <item m="1" x="356"/>
        <item m="1" x="1102"/>
        <item m="1" x="369"/>
        <item m="1" x="1115"/>
        <item m="1" x="380"/>
        <item m="1" x="398"/>
        <item m="1" x="1144"/>
        <item m="1" x="413"/>
        <item m="1" x="1161"/>
        <item m="1" x="431"/>
        <item m="1" x="1178"/>
        <item m="1" x="449"/>
        <item m="1" x="1198"/>
        <item m="1" x="472"/>
        <item m="1" x="1220"/>
        <item m="1" x="494"/>
        <item m="1" x="1246"/>
        <item m="1" x="520"/>
        <item m="1" x="1273"/>
        <item m="1" x="547"/>
        <item m="1" x="1306"/>
        <item m="1" x="579"/>
        <item m="1" x="1339"/>
        <item m="1" x="612"/>
        <item m="1" x="1373"/>
        <item m="1" x="645"/>
        <item m="1" x="1119"/>
        <item m="1" x="385"/>
        <item m="1" x="1136"/>
        <item m="1" x="403"/>
        <item m="1" x="1149"/>
        <item m="1" x="418"/>
        <item m="1" x="1166"/>
        <item m="1" x="435"/>
        <item m="1" x="1182"/>
        <item m="1" x="454"/>
        <item m="1" x="1203"/>
        <item m="1" x="477"/>
        <item m="1" x="1225"/>
        <item m="1" x="499"/>
        <item m="1" x="1250"/>
        <item m="1" x="525"/>
        <item m="1" x="1278"/>
        <item m="1" x="552"/>
        <item m="1" x="1311"/>
        <item m="1" x="584"/>
        <item m="1" x="1343"/>
        <item m="1" x="616"/>
        <item m="1" x="1377"/>
        <item m="1" x="647"/>
        <item m="1" x="1405"/>
        <item m="1" x="676"/>
        <item m="1" x="1436"/>
        <item m="1" x="706"/>
        <item m="1" x="1466"/>
        <item m="1" x="735"/>
        <item m="1" x="1498"/>
        <item m="1" x="1169"/>
        <item m="1" x="439"/>
        <item m="1" x="1186"/>
        <item m="1" x="458"/>
        <item m="1" x="1207"/>
        <item m="1" x="481"/>
        <item m="1" x="1229"/>
        <item m="1" x="502"/>
        <item m="1" x="1254"/>
        <item m="1" x="529"/>
        <item m="1" x="1282"/>
        <item m="1" x="556"/>
        <item m="1" x="1315"/>
        <item m="1" x="588"/>
        <item m="1" x="1347"/>
        <item m="1" x="620"/>
        <item m="1" x="1381"/>
        <item m="1" x="651"/>
        <item m="1" x="1408"/>
        <item m="1" x="678"/>
        <item m="1" x="1438"/>
        <item m="1" x="708"/>
        <item m="1" x="1468"/>
        <item m="1" x="737"/>
        <item m="1" x="1500"/>
        <item m="1" x="768"/>
        <item m="1" x="1532"/>
        <item m="1" x="794"/>
        <item m="1" x="462"/>
        <item m="1" x="1211"/>
        <item m="1" x="485"/>
        <item m="1" x="1233"/>
        <item m="1" x="506"/>
        <item m="1" x="1258"/>
        <item m="1" x="533"/>
        <item m="1" x="1286"/>
        <item m="1" x="560"/>
        <item m="1" x="1319"/>
        <item m="1" x="592"/>
        <item m="1" x="1351"/>
        <item m="1" x="625"/>
        <item m="1" x="1386"/>
        <item m="1" x="656"/>
        <item m="1" x="1413"/>
        <item m="1" x="683"/>
        <item m="1" x="1443"/>
        <item m="1" x="713"/>
        <item m="1" x="1472"/>
        <item m="1" x="741"/>
        <item m="1" x="1504"/>
        <item m="1" x="770"/>
        <item m="1" x="1535"/>
        <item m="1" x="797"/>
        <item m="1" x="1566"/>
        <item m="1" x="828"/>
        <item m="1" x="1594"/>
        <item m="1" x="856"/>
        <item m="1" x="1625"/>
        <item m="1" x="1237"/>
        <item m="1" x="511"/>
        <item m="1" x="1263"/>
        <item m="1" x="538"/>
        <item m="1" x="1291"/>
        <item m="1" x="565"/>
        <item m="1" x="1324"/>
        <item m="1" x="597"/>
        <item m="1" x="1356"/>
        <item m="1" x="630"/>
        <item m="1" x="1391"/>
        <item m="1" x="661"/>
        <item m="1" x="1417"/>
        <item m="1" x="687"/>
        <item m="1" x="1448"/>
        <item m="1" x="718"/>
        <item m="1" x="1477"/>
        <item m="1" x="746"/>
        <item m="1" x="1509"/>
        <item m="1" x="1539"/>
        <item m="1" x="802"/>
        <item m="1" x="1569"/>
        <item m="1" x="831"/>
        <item m="1" x="1597"/>
        <item m="1" x="859"/>
        <item m="1" x="1627"/>
        <item m="1" x="889"/>
        <item m="1" x="1656"/>
        <item m="1" x="916"/>
        <item m="1" x="1296"/>
        <item m="1" x="570"/>
        <item m="1" x="1329"/>
        <item m="1" x="602"/>
        <item m="1" x="1360"/>
        <item m="1" x="635"/>
        <item m="1" x="1396"/>
        <item m="1" x="665"/>
        <item m="1" x="1422"/>
        <item m="1" x="692"/>
        <item m="1" x="1452"/>
        <item m="1" x="722"/>
        <item m="1" x="1482"/>
        <item m="1" x="751"/>
        <item m="1" x="1514"/>
        <item m="1" x="779"/>
        <item m="1" x="1544"/>
        <item m="1" x="807"/>
        <item m="1" x="1573"/>
        <item m="1" x="836"/>
        <item m="1" x="1602"/>
        <item m="1" x="864"/>
        <item m="1" x="1632"/>
        <item m="1" x="892"/>
        <item m="1" x="1659"/>
        <item m="1" x="918"/>
        <item m="1" x="1684"/>
        <item m="1" x="943"/>
        <item m="1" x="1705"/>
        <item m="1" x="964"/>
        <item m="1" x="1727"/>
        <item m="1" x="1365"/>
        <item m="1" x="639"/>
        <item m="1" x="1400"/>
        <item m="1" x="670"/>
        <item m="1" x="1427"/>
        <item m="1" x="697"/>
        <item m="1" x="1457"/>
        <item m="1" x="726"/>
        <item m="1" x="1486"/>
        <item m="1" x="756"/>
        <item m="1" x="1519"/>
        <item m="1" x="784"/>
        <item m="1" x="1549"/>
        <item m="1" x="812"/>
        <item m="1" x="1578"/>
        <item m="1" x="840"/>
        <item m="1" x="1606"/>
        <item m="1" x="869"/>
        <item m="1" x="1637"/>
        <item m="1" x="897"/>
        <item m="1" x="1664"/>
        <item m="1" x="923"/>
        <item m="1" x="1686"/>
        <item m="1" x="946"/>
        <item m="1" x="1708"/>
        <item m="1" x="966"/>
        <item m="1" x="1729"/>
        <item m="1" x="984"/>
        <item m="1" x="1749"/>
        <item m="1" x="1003"/>
        <item m="1" x="1768"/>
        <item m="1" x="1432"/>
        <item m="1" x="702"/>
        <item m="1" x="1462"/>
        <item m="1" x="731"/>
        <item m="1" x="1490"/>
        <item m="1" x="759"/>
        <item m="1" x="1523"/>
        <item m="1" x="787"/>
        <item m="1" x="1553"/>
        <item m="1" x="815"/>
        <item m="1" x="1582"/>
        <item m="1" x="844"/>
        <item m="1" x="1609"/>
        <item m="1" x="873"/>
        <item m="1" x="1640"/>
        <item m="1" x="901"/>
        <item m="1" x="1667"/>
        <item m="1" x="927"/>
        <item m="1" x="1690"/>
        <item m="1" x="948"/>
        <item m="1" x="1711"/>
        <item m="1" x="969"/>
        <item m="1" x="1733"/>
        <item m="1" x="986"/>
        <item m="1" x="1751"/>
        <item m="1" x="1005"/>
        <item m="1" x="1769"/>
        <item m="1" x="1022"/>
        <item m="1" x="292"/>
        <item m="1" x="1038"/>
        <item m="1" x="1494"/>
        <item m="1" x="763"/>
        <item m="1" x="1527"/>
        <item m="1" x="790"/>
        <item m="1" x="1557"/>
        <item m="1" x="819"/>
        <item m="1" x="1585"/>
        <item m="1" x="848"/>
        <item m="1" x="1613"/>
        <item m="1" x="877"/>
        <item m="1" x="1644"/>
        <item m="1" x="905"/>
        <item m="1" x="1671"/>
        <item m="1" x="930"/>
        <item m="1" x="1693"/>
        <item m="1" x="952"/>
        <item m="1" x="973"/>
        <item m="1" x="1737"/>
        <item m="1" x="990"/>
        <item m="1" x="1755"/>
        <item m="1" x="1009"/>
        <item m="1" x="1773"/>
        <item m="1" x="1025"/>
        <item m="1" x="295"/>
        <item m="1" x="1041"/>
        <item m="1" x="308"/>
        <item m="1" x="1053"/>
        <item m="1" x="319"/>
        <item m="1" x="1064"/>
        <item m="1" x="334"/>
        <item m="1" x="1562"/>
        <item m="1" x="824"/>
        <item m="1" x="1590"/>
        <item m="1" x="853"/>
        <item m="1" x="1618"/>
        <item m="1" x="882"/>
        <item m="1" x="1648"/>
        <item m="1" x="909"/>
        <item m="1" x="1675"/>
        <item m="1" x="935"/>
        <item m="1" x="1698"/>
        <item m="1" x="957"/>
        <item m="1" x="1719"/>
        <item m="1" x="977"/>
        <item m="1" x="1742"/>
        <item m="1" x="995"/>
        <item m="1" x="1760"/>
        <item m="1" x="1013"/>
        <item m="1" x="1777"/>
        <item m="1" x="1030"/>
        <item m="1" x="299"/>
        <item m="1" x="1045"/>
        <item m="1" x="311"/>
        <item m="1" x="1056"/>
        <item m="1" x="322"/>
        <item m="1" x="1067"/>
        <item m="1" x="337"/>
        <item m="1" x="1079"/>
        <item m="1" x="350"/>
        <item m="1" x="1094"/>
        <item m="1" x="1621"/>
        <item m="1" x="885"/>
        <item m="1" x="1651"/>
        <item m="1" x="912"/>
        <item m="1" x="1678"/>
        <item m="1" x="938"/>
        <item m="1" x="1700"/>
        <item m="1" x="960"/>
        <item m="1" x="1722"/>
        <item m="1" x="980"/>
        <item m="1" x="1745"/>
        <item m="1" x="998"/>
        <item m="1" x="1763"/>
        <item m="1" x="1016"/>
        <item m="1" x="1780"/>
        <item m="1" x="1033"/>
        <item m="1" x="302"/>
        <item m="1" x="1048"/>
        <item m="1" x="314"/>
        <item m="1" x="1059"/>
        <item m="1" x="325"/>
        <item m="1" x="1070"/>
        <item m="1" x="340"/>
        <item m="1" x="1081"/>
        <item m="1" x="363"/>
        <item m="1" x="1109"/>
        <item m="1" x="374"/>
        <item m="1" x="1126"/>
        <item m="1" x="392"/>
        <item m="1" x="331"/>
        <item m="1" x="1075"/>
        <item m="1" x="346"/>
        <item m="1" x="1086"/>
        <item m="1" x="355"/>
        <item m="1" x="1101"/>
        <item m="1" x="368"/>
        <item m="1" x="1114"/>
        <item m="1" x="379"/>
        <item m="1" x="1131"/>
        <item m="1" x="397"/>
        <item m="1" x="1143"/>
        <item m="1" x="412"/>
        <item m="1" x="1160"/>
        <item m="1" x="430"/>
        <item m="1" x="1177"/>
        <item m="1" x="448"/>
        <item m="1" x="1197"/>
        <item m="1" x="471"/>
        <item m="1" x="1219"/>
        <item m="1" x="493"/>
        <item m="1" x="1245"/>
        <item m="1" x="519"/>
        <item m="1" x="1272"/>
        <item m="1" x="546"/>
        <item m="1" x="1305"/>
        <item m="1" x="578"/>
        <item m="1" x="1338"/>
        <item m="1" x="611"/>
        <item m="1" x="1372"/>
        <item m="1" x="1089"/>
        <item m="1" x="358"/>
        <item m="1" x="1104"/>
        <item m="1" x="370"/>
        <item m="1" x="1117"/>
        <item m="1" x="383"/>
        <item m="1" x="1134"/>
        <item m="1" x="401"/>
        <item m="1" x="1147"/>
        <item m="1" x="416"/>
        <item m="1" x="1164"/>
        <item m="1" x="433"/>
        <item m="1" x="452"/>
        <item m="1" x="1201"/>
        <item m="1" x="475"/>
        <item m="1" x="1223"/>
        <item m="1" x="497"/>
        <item m="1" x="1248"/>
        <item m="1" x="523"/>
        <item m="1" x="1276"/>
        <item m="1" x="550"/>
        <item m="1" x="1309"/>
        <item m="1" x="582"/>
        <item m="1" x="1341"/>
        <item m="1" x="614"/>
        <item m="1" x="1375"/>
        <item m="1" x="646"/>
        <item m="1" x="1121"/>
        <item m="1" x="387"/>
        <item m="1" x="1138"/>
        <item m="1" x="405"/>
        <item m="1" x="1151"/>
        <item m="1" x="420"/>
        <item m="1" x="1168"/>
        <item m="1" x="437"/>
        <item m="1" x="1184"/>
        <item m="1" x="456"/>
        <item m="1" x="1205"/>
        <item m="1" x="479"/>
        <item m="1" x="1227"/>
        <item m="1" x="501"/>
        <item m="1" x="1252"/>
        <item m="1" x="527"/>
        <item m="1" x="1280"/>
        <item m="1" x="554"/>
        <item m="1" x="1313"/>
        <item m="1" x="586"/>
        <item m="1" x="1345"/>
        <item m="1" x="618"/>
        <item m="1" x="1379"/>
        <item m="1" x="649"/>
        <item m="1" x="1406"/>
        <item m="1" x="677"/>
        <item m="1" x="1437"/>
        <item m="1" x="707"/>
        <item m="1" x="1467"/>
        <item m="1" x="736"/>
        <item m="1" x="1499"/>
        <item m="1" x="1153"/>
        <item m="1" x="423"/>
        <item m="1" x="441"/>
        <item m="1" x="1188"/>
        <item m="1" x="460"/>
        <item m="1" x="1209"/>
        <item m="1" x="483"/>
        <item m="1" x="1231"/>
        <item m="1" x="504"/>
        <item m="1" x="1256"/>
        <item m="1" x="531"/>
        <item m="1" x="1284"/>
        <item m="1" x="558"/>
        <item m="1" x="1349"/>
        <item m="1" x="623"/>
        <item m="1" x="1384"/>
        <item m="1" x="654"/>
        <item m="1" x="1411"/>
        <item m="1" x="681"/>
        <item m="1" x="1441"/>
        <item m="1" x="711"/>
        <item m="1" x="1471"/>
        <item m="1" x="740"/>
        <item m="1" x="1503"/>
        <item m="1" x="769"/>
        <item m="1" x="1534"/>
        <item m="1" x="796"/>
        <item m="1" x="1191"/>
        <item m="1" x="464"/>
        <item m="1" x="1212"/>
        <item m="1" x="486"/>
        <item m="1" x="1235"/>
        <item m="1" x="509"/>
        <item m="1" x="1261"/>
        <item m="1" x="536"/>
        <item m="1" x="1289"/>
        <item m="1" x="563"/>
        <item m="1" x="1322"/>
        <item m="1" x="595"/>
        <item m="1" x="1354"/>
        <item m="1" x="628"/>
        <item m="1" x="1389"/>
        <item m="1" x="659"/>
        <item m="1" x="1416"/>
        <item m="1" x="685"/>
        <item m="1" x="1446"/>
        <item m="1" x="716"/>
        <item m="1" x="1475"/>
        <item m="1" x="744"/>
        <item m="1" x="1507"/>
        <item m="1" x="773"/>
        <item m="1" x="1537"/>
        <item m="1" x="800"/>
        <item m="1" x="1568"/>
        <item m="1" x="830"/>
        <item m="1" x="1596"/>
        <item m="1" x="858"/>
        <item m="1" x="1239"/>
        <item m="1" x="513"/>
        <item m="1" x="1265"/>
        <item m="1" x="540"/>
        <item m="1" x="1294"/>
        <item m="1" x="568"/>
        <item m="1" x="1327"/>
        <item m="1" x="600"/>
        <item m="1" x="1358"/>
        <item m="1" x="633"/>
        <item m="1" x="1394"/>
        <item m="1" x="1420"/>
        <item m="1" x="690"/>
        <item m="1" x="1451"/>
        <item m="1" x="720"/>
        <item m="1" x="1480"/>
        <item m="1" x="749"/>
        <item m="1" x="1512"/>
        <item m="1" x="777"/>
        <item m="1" x="1542"/>
        <item m="1" x="805"/>
        <item m="1" x="1571"/>
        <item m="1" x="834"/>
        <item m="1" x="1600"/>
        <item m="1" x="862"/>
        <item m="1" x="1630"/>
        <item m="1" x="891"/>
        <item m="1" x="1658"/>
        <item m="1" x="917"/>
        <item m="1" x="1298"/>
        <item m="1" x="572"/>
        <item m="1" x="1331"/>
        <item m="1" x="604"/>
        <item m="1" x="1363"/>
        <item m="1" x="637"/>
        <item m="1" x="1398"/>
        <item m="1" x="668"/>
        <item m="1" x="1425"/>
        <item m="1" x="695"/>
        <item m="1" x="1455"/>
        <item m="1" x="725"/>
        <item m="1" x="1484"/>
        <item m="1" x="754"/>
        <item m="1" x="1517"/>
        <item m="1" x="782"/>
        <item m="1" x="1547"/>
        <item m="1" x="810"/>
        <item m="1" x="1576"/>
        <item m="1" x="838"/>
        <item m="1" x="1604"/>
        <item m="1" x="867"/>
        <item m="1" x="1635"/>
        <item m="1" x="895"/>
        <item m="1" x="1662"/>
        <item m="1" x="921"/>
        <item m="1" x="1685"/>
        <item m="1" x="945"/>
        <item m="1" x="1707"/>
        <item m="1" x="1367"/>
        <item m="1" x="641"/>
        <item m="1" x="1402"/>
        <item m="1" x="672"/>
        <item m="1" x="1430"/>
        <item m="1" x="700"/>
        <item m="1" x="1460"/>
        <item m="1" x="729"/>
        <item m="1" x="1489"/>
        <item m="1" x="758"/>
        <item m="1" x="1522"/>
        <item m="1" x="786"/>
        <item m="1" x="1552"/>
        <item m="1" x="1581"/>
        <item m="1" x="843"/>
        <item m="1" x="1608"/>
        <item m="1" x="872"/>
        <item m="1" x="1639"/>
        <item m="1" x="900"/>
        <item m="1" x="926"/>
        <item m="1" x="1689"/>
        <item m="1" x="947"/>
        <item m="1" x="1710"/>
        <item m="1" x="968"/>
        <item m="1" x="1732"/>
        <item m="1" x="1434"/>
        <item m="1" x="703"/>
        <item m="1" x="1464"/>
        <item m="1" x="1493"/>
        <item m="1" x="762"/>
        <item m="1" x="1526"/>
        <item m="1" x="1556"/>
        <item m="1" x="818"/>
        <item m="1" x="847"/>
        <item m="1" x="1612"/>
        <item m="1" x="876"/>
        <item m="1" x="1643"/>
        <item m="1" x="904"/>
        <item m="1" x="1670"/>
        <item m="1" x="951"/>
        <item m="1" x="1714"/>
        <item m="1" x="972"/>
        <item m="1" x="1736"/>
        <item m="1" x="989"/>
        <item m="1" x="1754"/>
        <item m="1" x="1008"/>
        <item m="1" x="1772"/>
        <item m="1" x="1024"/>
        <item m="1" x="294"/>
        <item m="1" x="1040"/>
        <item m="1" x="1496"/>
        <item m="1" x="765"/>
        <item m="1" x="1529"/>
        <item m="1" x="792"/>
        <item m="1" x="1560"/>
        <item m="1" x="822"/>
        <item m="1" x="1588"/>
        <item m="1" x="851"/>
        <item m="1" x="1616"/>
        <item m="1" x="880"/>
        <item m="1" x="1647"/>
        <item m="1" x="907"/>
        <item m="1" x="1674"/>
        <item m="1" x="933"/>
        <item m="1" x="1696"/>
        <item m="1" x="955"/>
        <item m="1" x="1717"/>
        <item m="1" x="976"/>
        <item m="1" x="1740"/>
        <item m="1" x="993"/>
        <item m="1" x="1758"/>
        <item m="1" x="1012"/>
        <item m="1" x="1028"/>
        <item m="1" x="298"/>
        <item m="1" x="1044"/>
        <item m="1" x="310"/>
        <item m="1" x="1055"/>
        <item m="1" x="321"/>
        <item m="1" x="1066"/>
        <item m="1" x="336"/>
        <item m="1" x="1623"/>
        <item m="1" x="887"/>
        <item m="1" x="1653"/>
        <item m="1" x="1680"/>
        <item m="1" x="940"/>
        <item m="1" x="1702"/>
        <item m="1" x="961"/>
        <item m="1" x="1724"/>
        <item m="1" x="982"/>
        <item m="1" x="1000"/>
        <item m="1" x="1765"/>
        <item m="1" x="1018"/>
        <item m="1" x="304"/>
        <item m="1" x="316"/>
        <item m="1" x="1076"/>
        <item m="1" x="347"/>
        <item m="1" x="1088"/>
        <item m="1" x="357"/>
        <item m="1" x="1103"/>
        <item m="1" x="1116"/>
        <item m="1" x="381"/>
        <item m="1" x="1132"/>
        <item m="1" x="399"/>
        <item m="1" x="1145"/>
        <item m="1" x="414"/>
        <item m="1" x="1162"/>
        <item m="1" x="432"/>
        <item m="1" x="1179"/>
        <item m="1" x="450"/>
        <item m="1" x="1199"/>
        <item m="1" x="473"/>
        <item m="1" x="1221"/>
        <item m="1" x="495"/>
        <item m="1" x="1247"/>
        <item m="1" x="521"/>
        <item m="1" x="1274"/>
        <item m="1" x="548"/>
        <item m="1" x="1307"/>
        <item m="1" x="580"/>
        <item m="1" x="613"/>
        <item m="1" x="1374"/>
        <item m="1" x="1091"/>
        <item m="1" x="360"/>
        <item m="1" x="1106"/>
        <item m="1" x="372"/>
        <item m="1" x="1120"/>
        <item m="1" x="386"/>
        <item m="1" x="1137"/>
        <item m="1" x="404"/>
        <item m="1" x="1150"/>
        <item m="1" x="419"/>
        <item m="1" x="1167"/>
        <item m="1" x="436"/>
        <item m="1" x="1183"/>
        <item m="1" x="455"/>
        <item m="1" x="1204"/>
        <item m="1" x="478"/>
        <item m="1" x="1226"/>
        <item m="1" x="500"/>
        <item m="1" x="1251"/>
        <item m="1" x="526"/>
        <item m="1" x="1279"/>
        <item m="1" x="553"/>
        <item m="1" x="1312"/>
        <item m="1" x="585"/>
        <item m="1" x="1344"/>
        <item m="1" x="617"/>
        <item m="1" x="1378"/>
        <item m="1" x="648"/>
        <item m="1" x="1123"/>
        <item m="1" x="389"/>
        <item m="1" x="1140"/>
        <item m="1" x="407"/>
        <item m="1" x="422"/>
        <item m="1" x="1170"/>
        <item m="1" x="440"/>
        <item m="1" x="1187"/>
        <item m="1" x="459"/>
        <item m="1" x="1208"/>
        <item m="1" x="482"/>
        <item m="1" x="1230"/>
        <item m="1" x="503"/>
        <item m="1" x="1255"/>
        <item m="1" x="530"/>
        <item m="1" x="1283"/>
        <item m="1" x="557"/>
        <item m="1" x="1316"/>
        <item m="1" x="589"/>
        <item m="1" x="1348"/>
        <item m="1" x="621"/>
        <item m="1" x="1382"/>
        <item m="1" x="652"/>
        <item m="1" x="1409"/>
        <item m="1" x="679"/>
        <item m="1" x="1439"/>
        <item m="1" x="709"/>
        <item m="1" x="1469"/>
        <item m="1" x="738"/>
        <item m="1" x="1501"/>
        <item m="1" x="1155"/>
        <item m="1" x="425"/>
        <item m="1" x="1172"/>
        <item m="1" x="443"/>
        <item m="1" x="1190"/>
        <item m="1" x="463"/>
        <item m="1" x="507"/>
        <item m="1" x="1259"/>
        <item m="1" x="534"/>
        <item m="1" x="1287"/>
        <item m="1" x="561"/>
        <item m="1" x="1320"/>
        <item m="1" x="593"/>
        <item m="1" x="1352"/>
        <item m="1" x="626"/>
        <item m="1" x="1387"/>
        <item m="1" x="657"/>
        <item m="1" x="1414"/>
        <item m="1" x="684"/>
        <item m="1" x="1444"/>
        <item m="1" x="714"/>
        <item m="1" x="1473"/>
        <item m="1" x="742"/>
        <item m="1" x="1505"/>
        <item m="1" x="771"/>
        <item m="1" x="1536"/>
        <item m="1" x="798"/>
        <item m="1" x="466"/>
        <item m="1" x="1214"/>
        <item m="1" x="488"/>
        <item m="1" x="1238"/>
        <item m="1" x="512"/>
        <item m="1" x="1264"/>
        <item m="1" x="539"/>
        <item m="1" x="1292"/>
        <item m="1" x="566"/>
        <item m="1" x="1325"/>
        <item m="1" x="598"/>
        <item m="1" x="1357"/>
        <item m="1" x="631"/>
        <item m="1" x="1392"/>
        <item m="1" x="662"/>
        <item m="1" x="1418"/>
        <item m="1" x="688"/>
        <item m="1" x="1449"/>
        <item m="1" x="719"/>
        <item m="1" x="1478"/>
        <item m="1" x="747"/>
        <item m="1" x="1510"/>
        <item m="1" x="775"/>
        <item m="1" x="1540"/>
        <item m="1" x="803"/>
        <item m="1" x="1570"/>
        <item m="1" x="832"/>
        <item m="1" x="1598"/>
        <item m="1" x="860"/>
        <item m="1" x="1628"/>
        <item m="1" x="1240"/>
        <item m="1" x="515"/>
        <item m="1" x="1267"/>
        <item m="1" x="1297"/>
        <item m="1" x="571"/>
        <item m="1" x="1330"/>
        <item m="1" x="603"/>
        <item m="1" x="1361"/>
        <item m="1" x="636"/>
        <item m="1" x="666"/>
        <item m="1" x="1423"/>
        <item m="1" x="693"/>
        <item m="1" x="1453"/>
        <item m="1" x="723"/>
        <item m="1" x="1483"/>
        <item m="1" x="752"/>
        <item m="1" x="1515"/>
        <item m="1" x="780"/>
        <item m="1" x="1545"/>
        <item m="1" x="808"/>
        <item m="1" x="1574"/>
        <item m="1" x="837"/>
        <item m="1" x="865"/>
        <item m="1" x="1633"/>
        <item m="1" x="893"/>
        <item m="1" x="1660"/>
        <item m="1" x="919"/>
        <item m="1" x="1300"/>
        <item m="1" x="1333"/>
        <item m="1" x="606"/>
        <item m="1" x="1366"/>
        <item m="1" x="640"/>
        <item m="1" x="1401"/>
        <item m="1" x="671"/>
        <item m="1" x="1428"/>
        <item m="1" x="698"/>
        <item m="1" x="1458"/>
        <item m="1" x="727"/>
        <item m="1" x="1487"/>
        <item m="1" x="757"/>
        <item m="1" x="1520"/>
        <item m="1" x="1550"/>
        <item m="1" x="813"/>
        <item m="1" x="1579"/>
        <item m="1" x="841"/>
        <item m="1" x="1607"/>
        <item m="1" x="870"/>
        <item m="1" x="898"/>
        <item m="1" x="1665"/>
        <item m="1" x="924"/>
        <item m="1" x="1687"/>
        <item m="1" x="1730"/>
        <item m="1" x="1369"/>
        <item m="1" x="643"/>
        <item m="1" x="1403"/>
        <item m="1" x="674"/>
        <item m="1" x="1433"/>
        <item m="1" x="1463"/>
        <item m="1" x="732"/>
        <item m="1" x="1491"/>
        <item m="1" x="760"/>
        <item m="1" x="1524"/>
        <item m="1" x="788"/>
        <item m="1" x="1554"/>
        <item m="1" x="816"/>
        <item m="1" x="1583"/>
        <item m="1" x="845"/>
        <item m="1" x="1610"/>
        <item m="1" x="874"/>
        <item m="1" x="1641"/>
        <item m="1" x="902"/>
        <item m="1" x="1668"/>
        <item m="1" x="928"/>
        <item m="1" x="1691"/>
        <item m="1" x="949"/>
        <item m="1" x="1712"/>
        <item m="1" x="970"/>
        <item m="1" x="1734"/>
        <item m="1" x="987"/>
        <item m="1" x="1752"/>
        <item m="1" x="1006"/>
        <item m="1" x="1770"/>
        <item m="1" x="1435"/>
        <item m="1" x="704"/>
        <item m="1" x="733"/>
        <item m="1" x="1495"/>
        <item m="1" x="764"/>
        <item m="1" x="1528"/>
        <item m="1" x="791"/>
        <item m="1" x="1558"/>
        <item m="1" x="820"/>
        <item m="1" x="1586"/>
        <item m="1" x="849"/>
        <item m="1" x="1614"/>
        <item m="1" x="878"/>
        <item m="1" x="1645"/>
        <item m="1" x="906"/>
        <item m="1" x="1672"/>
        <item m="1" x="931"/>
        <item m="1" x="1694"/>
        <item m="1" x="953"/>
        <item m="1" x="1715"/>
        <item m="1" x="974"/>
        <item m="1" x="1738"/>
        <item m="1" x="991"/>
        <item m="1" x="1756"/>
        <item m="1" x="1010"/>
        <item m="1" x="1774"/>
        <item m="1" x="1026"/>
        <item m="1" x="296"/>
        <item m="1" x="1042"/>
        <item m="1" x="767"/>
        <item m="1" x="1531"/>
        <item m="1" x="793"/>
        <item m="1" x="1563"/>
        <item m="1" x="825"/>
        <item m="1" x="1591"/>
        <item m="1" x="1619"/>
        <item m="1" x="883"/>
        <item m="1" x="1649"/>
        <item m="1" x="910"/>
        <item m="1" x="1676"/>
        <item m="1" x="936"/>
        <item m="1" x="958"/>
        <item m="1" x="1720"/>
        <item m="1" x="978"/>
        <item m="1" x="1743"/>
        <item m="1" x="996"/>
        <item m="1" x="1761"/>
        <item m="1" x="1014"/>
        <item m="1" x="1778"/>
        <item m="1" x="1031"/>
        <item m="1" x="300"/>
        <item m="1" x="1046"/>
        <item m="1" x="312"/>
        <item m="1" x="1057"/>
        <item m="1" x="323"/>
        <item m="1" x="1068"/>
        <item m="1" x="338"/>
        <item m="1" x="1564"/>
        <item m="1" x="826"/>
        <item m="1" x="1592"/>
        <item m="1" x="854"/>
        <item m="1" x="1622"/>
        <item m="1" x="886"/>
        <item m="1" x="1652"/>
        <item m="1" x="913"/>
        <item m="1" x="1679"/>
        <item m="1" x="939"/>
        <item m="1" x="1701"/>
        <item m="1" x="1723"/>
        <item m="1" x="981"/>
        <item m="1" x="1746"/>
        <item m="1" x="999"/>
        <item m="1" x="1764"/>
        <item m="1" x="1017"/>
        <item m="1" x="1034"/>
        <item m="1" x="303"/>
        <item m="1" x="1049"/>
        <item m="1" x="315"/>
        <item m="1" x="1060"/>
        <item m="1" x="326"/>
        <item m="1" x="1071"/>
        <item m="1" x="341"/>
        <item m="1" x="1082"/>
        <item m="1" x="351"/>
        <item m="1" x="1096"/>
        <item m="1" x="1624"/>
        <item m="1" x="888"/>
        <item m="1" x="1654"/>
        <item m="1" x="914"/>
        <item m="1" x="1681"/>
        <item m="1" x="941"/>
        <item m="1" x="1703"/>
        <item m="1" x="962"/>
        <item m="1" x="1725"/>
        <item m="1" x="1747"/>
        <item m="1" x="1001"/>
        <item m="1" x="1766"/>
        <item m="1" x="1019"/>
        <item m="1" x="1781"/>
        <item m="1" x="1035"/>
        <item m="1" x="305"/>
        <item m="1" x="1050"/>
        <item m="1" x="317"/>
        <item m="1" x="1061"/>
        <item m="1" x="327"/>
        <item m="1" x="1072"/>
        <item m="1" x="342"/>
        <item m="1" x="1097"/>
        <item m="1" x="364"/>
        <item m="1" x="1110"/>
        <item m="1" x="375"/>
        <item m="1" x="1127"/>
        <item m="1" x="393"/>
        <item m="1" x="332"/>
        <item m="1" x="1077"/>
        <item m="1" x="348"/>
        <item m="1" x="1090"/>
        <item m="1" x="359"/>
        <item m="1" x="1105"/>
        <item m="1" x="371"/>
        <item m="1" x="1118"/>
        <item m="1" x="384"/>
        <item m="1" x="1135"/>
        <item m="1" x="402"/>
        <item m="1" x="1148"/>
        <item m="1" x="417"/>
        <item m="1" x="1165"/>
        <item m="1" x="434"/>
        <item m="1" x="1181"/>
        <item m="1" x="453"/>
        <item m="1" x="1202"/>
        <item m="1" x="476"/>
        <item m="1" x="1224"/>
        <item m="1" x="498"/>
        <item m="1" x="1249"/>
        <item m="1" x="524"/>
        <item m="1" x="1277"/>
        <item m="1" x="551"/>
        <item m="1" x="1310"/>
        <item m="1" x="583"/>
        <item m="1" x="1342"/>
        <item m="1" x="615"/>
        <item m="1" x="1376"/>
        <item m="1" x="1092"/>
        <item m="1" x="361"/>
        <item m="1" x="1107"/>
        <item m="1" x="1122"/>
        <item m="1" x="388"/>
        <item m="1" x="1139"/>
        <item m="1" x="406"/>
        <item m="1" x="1152"/>
        <item m="1" x="421"/>
        <item m="1" x="438"/>
        <item m="1" x="1185"/>
        <item m="1" x="457"/>
        <item m="1" x="1206"/>
        <item m="1" x="480"/>
        <item m="1" x="1228"/>
        <item m="1" x="1253"/>
        <item m="1" x="528"/>
        <item m="1" x="1281"/>
        <item m="1" x="555"/>
        <item m="1" x="1314"/>
        <item m="1" x="587"/>
        <item m="1" x="1346"/>
        <item m="1" x="619"/>
        <item m="1" x="1380"/>
        <item m="1" x="650"/>
        <item m="1" x="1407"/>
        <item m="1" x="1124"/>
        <item m="1" x="390"/>
        <item m="1" x="408"/>
        <item m="1" x="1154"/>
        <item m="1" x="424"/>
        <item m="1" x="1171"/>
        <item m="1" x="442"/>
        <item m="1" x="1189"/>
        <item m="1" x="461"/>
        <item m="1" x="1210"/>
        <item m="1" x="484"/>
        <item m="1" x="1232"/>
        <item m="1" x="505"/>
        <item m="1" x="1257"/>
        <item m="1" x="532"/>
        <item m="1" x="1285"/>
        <item m="1" x="559"/>
        <item m="1" x="1318"/>
        <item m="1" x="591"/>
        <item m="1" x="1350"/>
        <item m="1" x="624"/>
        <item m="1" x="1385"/>
        <item m="1" x="655"/>
        <item m="1" x="1412"/>
        <item m="1" x="682"/>
        <item m="1" x="1442"/>
        <item m="1" x="712"/>
        <item m="1" x="1156"/>
        <item m="1" x="426"/>
        <item m="1" x="1173"/>
        <item m="1" x="444"/>
        <item m="1" x="1192"/>
        <item m="1" x="465"/>
        <item m="1" x="1213"/>
        <item m="1" x="487"/>
        <item m="1" x="1236"/>
        <item m="1" x="510"/>
        <item m="1" x="1262"/>
        <item m="1" x="537"/>
        <item m="1" x="1290"/>
        <item m="1" x="564"/>
        <item m="1" x="1323"/>
        <item m="1" x="596"/>
        <item m="1" x="1355"/>
        <item m="1" x="629"/>
        <item m="1" x="1390"/>
        <item m="1" x="660"/>
        <item m="1" x="686"/>
        <item m="1" x="1447"/>
        <item m="1" x="717"/>
        <item m="1" x="1476"/>
        <item m="1" x="745"/>
        <item m="1" x="1508"/>
        <item m="1" x="774"/>
        <item m="1" x="1538"/>
        <item m="1" x="801"/>
        <item m="1" x="1193"/>
        <item m="1" x="467"/>
        <item m="1" x="1215"/>
        <item m="1" x="489"/>
        <item m="1" x="514"/>
        <item m="1" x="1266"/>
        <item m="1" x="541"/>
        <item m="1" x="1295"/>
        <item m="1" x="569"/>
        <item m="1" x="1328"/>
        <item m="1" x="601"/>
        <item m="1" x="1359"/>
        <item m="1" x="634"/>
        <item m="1" x="1395"/>
        <item m="1" x="664"/>
        <item m="1" x="1421"/>
        <item m="1" x="691"/>
        <item m="1" x="721"/>
        <item m="1" x="1481"/>
        <item m="1" x="750"/>
        <item m="1" x="1513"/>
        <item m="1" x="778"/>
        <item m="1" x="1543"/>
        <item m="1" x="806"/>
        <item m="1" x="1572"/>
        <item m="1" x="835"/>
        <item m="1" x="1601"/>
        <item m="1" x="863"/>
        <item m="1" x="1631"/>
        <item m="1" x="1241"/>
        <item m="1" x="1268"/>
        <item m="1" x="542"/>
        <item m="1" x="1299"/>
        <item m="1" x="573"/>
        <item m="1" x="1332"/>
        <item m="1" x="605"/>
        <item m="1" x="1364"/>
        <item m="1" x="638"/>
        <item m="1" x="1399"/>
        <item m="1" x="669"/>
        <item m="1" x="1426"/>
        <item m="1" x="696"/>
        <item m="1" x="1456"/>
        <item m="1" x="1485"/>
        <item m="1" x="755"/>
        <item m="1" x="1518"/>
        <item m="1" x="783"/>
        <item m="1" x="1548"/>
        <item m="1" x="811"/>
        <item m="1" x="1577"/>
        <item m="1" x="839"/>
        <item m="1" x="1605"/>
        <item m="1" x="868"/>
        <item m="1" x="1636"/>
        <item m="1" x="896"/>
        <item m="1" x="1663"/>
        <item m="1" x="922"/>
        <item m="1" x="1301"/>
        <item m="1" x="574"/>
        <item m="1" x="1334"/>
        <item m="1" x="607"/>
        <item m="1" x="1368"/>
        <item m="1" x="642"/>
        <item m="1" x="673"/>
        <item m="1" x="1431"/>
        <item m="1" x="701"/>
        <item m="1" x="1461"/>
        <item m="1" x="730"/>
        <item m="1" x="705"/>
        <item m="1" x="1465"/>
        <item m="1" x="734"/>
        <item m="1" x="1497"/>
        <item m="1" x="766"/>
        <item m="1" x="1530"/>
        <item m="1" x="1561"/>
        <item m="1" x="823"/>
        <item m="1" x="1589"/>
        <item m="1" x="852"/>
        <item m="1" x="1617"/>
        <item m="1" x="881"/>
        <item m="1" x="908"/>
        <item m="1" x="934"/>
        <item m="1" x="1697"/>
        <item m="1" x="956"/>
        <item m="1" x="1718"/>
        <item m="1" x="1741"/>
        <item m="1" x="994"/>
        <item m="1" x="1759"/>
        <item m="1" x="1776"/>
        <item m="1" x="1029"/>
        <item m="1" x="1682"/>
        <item m="1" x="942"/>
        <item m="1" x="1036"/>
        <item m="1" x="306"/>
        <item m="1" x="1051"/>
        <item m="1" x="328"/>
        <item m="1" x="343"/>
        <item x="0"/>
        <item x="1"/>
        <item x="2"/>
        <item x="3"/>
        <item x="18"/>
        <item x="19"/>
        <item x="20"/>
        <item x="21"/>
        <item x="22"/>
        <item x="4"/>
        <item x="28"/>
        <item x="5"/>
        <item x="6"/>
        <item x="9"/>
        <item x="10"/>
        <item x="11"/>
        <item x="23"/>
        <item x="27"/>
        <item x="12"/>
        <item x="13"/>
        <item x="24"/>
        <item x="25"/>
        <item x="14"/>
        <item x="15"/>
        <item x="29"/>
        <item x="7"/>
        <item x="8"/>
        <item x="16"/>
        <item x="17"/>
        <item x="26"/>
        <item x="41"/>
        <item x="54"/>
        <item x="42"/>
        <item x="35"/>
        <item x="47"/>
        <item x="48"/>
        <item x="49"/>
        <item x="50"/>
        <item x="30"/>
        <item x="31"/>
        <item x="36"/>
        <item x="37"/>
        <item x="32"/>
        <item x="33"/>
        <item x="34"/>
        <item x="43"/>
        <item x="44"/>
        <item x="51"/>
        <item x="52"/>
        <item x="53"/>
        <item x="56"/>
        <item x="45"/>
        <item x="38"/>
        <item x="46"/>
        <item x="39"/>
        <item x="40"/>
        <item x="57"/>
        <item x="61"/>
        <item x="58"/>
        <item x="59"/>
        <item x="62"/>
        <item x="67"/>
        <item x="68"/>
        <item x="69"/>
        <item x="63"/>
        <item x="64"/>
        <item x="65"/>
        <item x="66"/>
        <item x="70"/>
        <item x="71"/>
        <item x="72"/>
        <item x="73"/>
        <item x="74"/>
        <item x="60"/>
        <item x="75"/>
        <item x="76"/>
        <item x="77"/>
        <item x="78"/>
        <item x="79"/>
        <item x="80"/>
        <item x="104"/>
        <item x="81"/>
        <item x="110"/>
        <item x="82"/>
        <item x="83"/>
        <item x="93"/>
        <item x="94"/>
        <item x="96"/>
        <item x="97"/>
        <item x="107"/>
        <item x="105"/>
        <item x="84"/>
        <item x="85"/>
        <item x="86"/>
        <item x="87"/>
        <item x="88"/>
        <item x="108"/>
        <item x="98"/>
        <item x="99"/>
        <item x="100"/>
        <item x="101"/>
        <item x="89"/>
        <item x="90"/>
        <item x="109"/>
        <item x="91"/>
        <item x="92"/>
        <item x="102"/>
        <item x="103"/>
        <item x="95"/>
        <item x="106"/>
        <item x="137"/>
        <item x="111"/>
        <item x="130"/>
        <item x="131"/>
        <item x="121"/>
        <item x="122"/>
        <item x="112"/>
        <item x="138"/>
        <item x="113"/>
        <item x="132"/>
        <item x="133"/>
        <item x="134"/>
        <item x="126"/>
        <item x="127"/>
        <item x="135"/>
        <item x="114"/>
        <item x="115"/>
        <item x="116"/>
        <item x="117"/>
        <item x="118"/>
        <item x="119"/>
        <item x="139"/>
        <item x="136"/>
        <item x="128"/>
        <item x="123"/>
        <item x="124"/>
        <item x="125"/>
        <item x="120"/>
        <item x="140"/>
        <item x="129"/>
        <item x="152"/>
        <item x="153"/>
        <item x="161"/>
        <item x="141"/>
        <item x="142"/>
        <item x="143"/>
        <item x="144"/>
        <item x="145"/>
        <item x="146"/>
        <item x="147"/>
        <item x="148"/>
        <item x="169"/>
        <item x="149"/>
        <item x="150"/>
        <item x="162"/>
        <item x="163"/>
        <item x="164"/>
        <item x="165"/>
        <item x="170"/>
        <item x="158"/>
        <item x="159"/>
        <item x="160"/>
        <item x="154"/>
        <item x="155"/>
        <item x="156"/>
        <item x="157"/>
        <item x="166"/>
        <item x="167"/>
        <item x="168"/>
        <item x="151"/>
        <item x="171"/>
        <item x="172"/>
        <item x="187"/>
        <item x="180"/>
        <item x="181"/>
        <item x="182"/>
        <item x="183"/>
        <item x="184"/>
        <item x="185"/>
        <item x="188"/>
        <item x="173"/>
        <item x="174"/>
        <item x="175"/>
        <item x="176"/>
        <item x="177"/>
        <item x="178"/>
        <item x="199"/>
        <item x="179"/>
        <item x="186"/>
        <item x="189"/>
        <item x="190"/>
        <item x="191"/>
        <item x="193"/>
        <item x="200"/>
        <item x="194"/>
        <item x="195"/>
        <item x="196"/>
        <item x="197"/>
        <item x="192"/>
        <item x="198"/>
        <item x="213"/>
        <item x="214"/>
        <item x="215"/>
        <item x="221"/>
        <item x="216"/>
        <item x="217"/>
        <item x="218"/>
        <item x="219"/>
        <item x="201"/>
        <item x="222"/>
        <item x="223"/>
        <item x="220"/>
        <item x="224"/>
        <item x="229"/>
        <item x="225"/>
        <item x="203"/>
        <item x="204"/>
        <item x="205"/>
        <item x="206"/>
        <item x="207"/>
        <item x="202"/>
        <item x="208"/>
        <item x="209"/>
        <item x="210"/>
        <item x="227"/>
        <item x="226"/>
        <item x="228"/>
        <item x="211"/>
        <item x="212"/>
        <item x="252"/>
        <item x="253"/>
        <item x="254"/>
        <item x="250"/>
        <item x="251"/>
        <item x="231"/>
        <item x="232"/>
        <item x="233"/>
        <item x="234"/>
        <item x="235"/>
        <item x="236"/>
        <item x="260"/>
        <item x="237"/>
        <item x="238"/>
        <item x="258"/>
        <item x="239"/>
        <item x="240"/>
        <item x="241"/>
        <item x="261"/>
        <item x="242"/>
        <item x="255"/>
        <item x="256"/>
        <item x="257"/>
        <item x="243"/>
        <item x="244"/>
        <item x="262"/>
        <item x="245"/>
        <item x="246"/>
        <item x="247"/>
        <item x="248"/>
        <item x="249"/>
        <item x="271"/>
        <item x="273"/>
        <item x="272"/>
        <item x="274"/>
        <item x="275"/>
        <item x="276"/>
        <item x="277"/>
        <item x="263"/>
        <item x="281"/>
        <item x="264"/>
        <item x="265"/>
        <item x="266"/>
        <item x="267"/>
        <item x="268"/>
        <item x="278"/>
        <item x="280"/>
        <item x="269"/>
        <item x="270"/>
        <item x="279"/>
        <item x="282"/>
        <item x="283"/>
        <item x="284"/>
        <item x="285"/>
        <item x="287"/>
        <item x="288"/>
        <item x="286"/>
        <item x="289"/>
        <item x="290"/>
        <item x="5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/>
    <pivotField axis="axisRow" compact="0" outline="0" showAll="0" defaultSubtotal="0">
      <items count="5">
        <item x="0"/>
        <item x="1"/>
        <item x="2"/>
        <item m="1" x="4"/>
        <item x="3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7">
        <item x="13"/>
        <item x="0"/>
        <item x="1"/>
        <item x="4"/>
        <item x="5"/>
        <item x="3"/>
        <item x="2"/>
        <item m="1" x="15"/>
        <item m="1" x="14"/>
        <item x="6"/>
        <item x="7"/>
        <item x="8"/>
        <item x="9"/>
        <item x="10"/>
        <item x="11"/>
        <item x="12"/>
        <item t="default"/>
      </items>
    </pivotField>
    <pivotField axis="axisPage" compact="0" outline="0" multipleItemSelectionAllowed="1" showAll="0">
      <items count="7">
        <item h="1" x="4"/>
        <item h="1" x="1"/>
        <item x="0"/>
        <item h="1" m="1" x="5"/>
        <item h="1" x="2"/>
        <item h="1" x="3"/>
        <item t="default"/>
      </items>
    </pivotField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"/>
    <field x="13"/>
  </rowFields>
  <rowItems count="26">
    <i>
      <x v="5"/>
      <x/>
    </i>
    <i r="1">
      <x v="1"/>
    </i>
    <i>
      <x v="8"/>
      <x/>
    </i>
    <i r="1">
      <x v="1"/>
    </i>
    <i>
      <x v="10"/>
      <x/>
    </i>
    <i r="1">
      <x v="1"/>
    </i>
    <i>
      <x v="12"/>
      <x/>
    </i>
    <i r="1">
      <x v="1"/>
    </i>
    <i r="1">
      <x v="4"/>
    </i>
    <i>
      <x v="14"/>
      <x/>
    </i>
    <i r="1">
      <x v="1"/>
    </i>
    <i>
      <x v="16"/>
      <x/>
    </i>
    <i r="1">
      <x v="1"/>
    </i>
    <i>
      <x v="18"/>
      <x/>
    </i>
    <i r="1">
      <x v="1"/>
    </i>
    <i>
      <x v="20"/>
      <x/>
    </i>
    <i r="1">
      <x v="1"/>
    </i>
    <i>
      <x v="22"/>
      <x/>
    </i>
    <i r="1">
      <x v="1"/>
    </i>
    <i>
      <x v="23"/>
      <x/>
    </i>
    <i r="1">
      <x v="1"/>
    </i>
    <i>
      <x v="36"/>
      <x/>
    </i>
    <i r="1">
      <x v="1"/>
    </i>
    <i>
      <x v="38"/>
      <x/>
    </i>
    <i r="1">
      <x v="1"/>
    </i>
    <i t="grand">
      <x/>
    </i>
  </rowItems>
  <colFields count="1">
    <field x="3"/>
  </colFields>
  <colItems count="29"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 t="grand">
      <x/>
    </i>
  </colItems>
  <pageFields count="2">
    <pageField fld="27" hier="-1"/>
    <pageField fld="26" item="15" hier="-1"/>
  </pageFields>
  <dataFields count="1">
    <dataField name="Suma de Peso Real (Kg)" fld="12" baseField="13" baseItem="2"/>
  </dataFields>
  <formats count="236">
    <format dxfId="4786">
      <pivotArea outline="0" collapsedLevelsAreSubtotals="1" fieldPosition="0"/>
    </format>
    <format dxfId="4785">
      <pivotArea dataOnly="0" labelOnly="1" grandRow="1" outline="0" fieldPosition="0"/>
    </format>
    <format dxfId="4784">
      <pivotArea grandCol="1" outline="0" collapsedLevelsAreSubtotals="1" fieldPosition="0"/>
    </format>
    <format dxfId="4783">
      <pivotArea type="topRight" dataOnly="0" labelOnly="1" outline="0" offset="I1" fieldPosition="0"/>
    </format>
    <format dxfId="4782">
      <pivotArea grandCol="1" outline="0" collapsedLevelsAreSubtotals="1" fieldPosition="0"/>
    </format>
    <format dxfId="4781">
      <pivotArea grandCol="1" outline="0" collapsedLevelsAreSubtotals="1" fieldPosition="0"/>
    </format>
    <format dxfId="4780">
      <pivotArea dataOnly="0" labelOnly="1" grandCol="1" outline="0" fieldPosition="0"/>
    </format>
    <format dxfId="4779">
      <pivotArea grandCol="1" outline="0" collapsedLevelsAreSubtotals="1" fieldPosition="0"/>
    </format>
    <format dxfId="4778">
      <pivotArea type="all" dataOnly="0" outline="0" fieldPosition="0"/>
    </format>
    <format dxfId="4777">
      <pivotArea outline="0" fieldPosition="0">
        <references count="1">
          <reference field="3" count="1" selected="0">
            <x v="685"/>
          </reference>
        </references>
      </pivotArea>
    </format>
    <format dxfId="4776">
      <pivotArea dataOnly="0" labelOnly="1" outline="0" fieldPosition="0">
        <references count="1">
          <reference field="3" count="1">
            <x v="685"/>
          </reference>
        </references>
      </pivotArea>
    </format>
    <format dxfId="4775">
      <pivotArea outline="0" fieldPosition="0">
        <references count="1">
          <reference field="3" count="1" selected="0">
            <x v="685"/>
          </reference>
        </references>
      </pivotArea>
    </format>
    <format dxfId="4774">
      <pivotArea dataOnly="0" labelOnly="1" outline="0" fieldPosition="0">
        <references count="1">
          <reference field="3" count="1">
            <x v="685"/>
          </reference>
        </references>
      </pivotArea>
    </format>
    <format dxfId="4773">
      <pivotArea outline="0" fieldPosition="0">
        <references count="3">
          <reference field="2" count="1" selected="0">
            <x v="24"/>
          </reference>
          <reference field="3" count="1" selected="0">
            <x v="795"/>
          </reference>
          <reference field="13" count="2" selected="0">
            <x v="0"/>
            <x v="1"/>
          </reference>
        </references>
      </pivotArea>
    </format>
    <format dxfId="4772">
      <pivotArea outline="0" fieldPosition="0">
        <references count="3">
          <reference field="2" count="1" selected="0">
            <x v="24"/>
          </reference>
          <reference field="3" count="2" selected="0">
            <x v="796"/>
            <x v="797"/>
          </reference>
          <reference field="13" count="1" selected="0">
            <x v="0"/>
          </reference>
        </references>
      </pivotArea>
    </format>
    <format dxfId="4771">
      <pivotArea outline="0" fieldPosition="0">
        <references count="3">
          <reference field="2" count="1" selected="0">
            <x v="24"/>
          </reference>
          <reference field="3" count="1" selected="0">
            <x v="798"/>
          </reference>
          <reference field="13" count="1" selected="0">
            <x v="0"/>
          </reference>
        </references>
      </pivotArea>
    </format>
    <format dxfId="4770">
      <pivotArea outline="0" fieldPosition="0">
        <references count="3">
          <reference field="2" count="1" selected="0">
            <x v="24"/>
          </reference>
          <reference field="3" count="1" selected="0">
            <x v="800"/>
          </reference>
          <reference field="13" count="1" selected="0">
            <x v="0"/>
          </reference>
        </references>
      </pivotArea>
    </format>
    <format dxfId="4769">
      <pivotArea outline="0" fieldPosition="0">
        <references count="3">
          <reference field="2" count="1" selected="0">
            <x v="24"/>
          </reference>
          <reference field="3" count="3" selected="0">
            <x v="801"/>
            <x v="802"/>
            <x v="803"/>
          </reference>
          <reference field="13" count="1" selected="0">
            <x v="0"/>
          </reference>
        </references>
      </pivotArea>
    </format>
    <format dxfId="4768">
      <pivotArea outline="0" fieldPosition="0">
        <references count="3">
          <reference field="2" count="1" selected="0">
            <x v="24"/>
          </reference>
          <reference field="3" count="1" selected="0">
            <x v="805"/>
          </reference>
          <reference field="13" count="1" selected="0">
            <x v="0"/>
          </reference>
        </references>
      </pivotArea>
    </format>
    <format dxfId="4767">
      <pivotArea outline="0" fieldPosition="0">
        <references count="3">
          <reference field="2" count="1" selected="0">
            <x v="24"/>
          </reference>
          <reference field="3" count="1" selected="0">
            <x v="807"/>
          </reference>
          <reference field="13" count="1" selected="0">
            <x v="0"/>
          </reference>
        </references>
      </pivotArea>
    </format>
    <format dxfId="4766">
      <pivotArea outline="0" fieldPosition="0">
        <references count="3">
          <reference field="2" count="1" selected="0">
            <x v="24"/>
          </reference>
          <reference field="3" count="2" selected="0">
            <x v="809"/>
            <x v="810"/>
          </reference>
          <reference field="13" count="1" selected="0">
            <x v="0"/>
          </reference>
        </references>
      </pivotArea>
    </format>
    <format dxfId="4765">
      <pivotArea outline="0" fieldPosition="0">
        <references count="3">
          <reference field="2" count="1" selected="0">
            <x v="24"/>
          </reference>
          <reference field="3" count="1" selected="0">
            <x v="811"/>
          </reference>
          <reference field="13" count="1" selected="0">
            <x v="0"/>
          </reference>
        </references>
      </pivotArea>
    </format>
    <format dxfId="4764">
      <pivotArea outline="0" fieldPosition="0">
        <references count="3">
          <reference field="2" count="1" selected="0">
            <x v="24"/>
          </reference>
          <reference field="3" count="1" selected="0">
            <x v="816"/>
          </reference>
          <reference field="13" count="2" selected="0">
            <x v="0"/>
            <x v="1"/>
          </reference>
        </references>
      </pivotArea>
    </format>
    <format dxfId="4763">
      <pivotArea outline="0" fieldPosition="0">
        <references count="3">
          <reference field="2" count="1" selected="0">
            <x v="24"/>
          </reference>
          <reference field="3" count="1" selected="0">
            <x v="821"/>
          </reference>
          <reference field="13" count="1" selected="0">
            <x v="0"/>
          </reference>
        </references>
      </pivotArea>
    </format>
    <format dxfId="4762">
      <pivotArea outline="0" fieldPosition="0">
        <references count="3">
          <reference field="2" count="1" selected="0">
            <x v="24"/>
          </reference>
          <reference field="3" count="2" selected="0">
            <x v="822"/>
            <x v="823"/>
          </reference>
          <reference field="13" count="1" selected="0">
            <x v="0"/>
          </reference>
        </references>
      </pivotArea>
    </format>
    <format dxfId="4761">
      <pivotArea outline="0" fieldPosition="0">
        <references count="3">
          <reference field="2" count="1" selected="0">
            <x v="24"/>
          </reference>
          <reference field="3" count="1" selected="0">
            <x v="808"/>
          </reference>
          <reference field="13" count="1" selected="0">
            <x v="0"/>
          </reference>
        </references>
      </pivotArea>
    </format>
    <format dxfId="4760">
      <pivotArea outline="0" fieldPosition="0">
        <references count="3">
          <reference field="2" count="1" selected="0">
            <x v="24"/>
          </reference>
          <reference field="3" count="20" selected="0">
            <x v="798"/>
            <x v="799"/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3"/>
            <x v="814"/>
            <x v="815"/>
            <x v="816"/>
            <x v="817"/>
            <x v="818"/>
          </reference>
          <reference field="13" count="1" selected="0">
            <x v="0"/>
          </reference>
        </references>
      </pivotArea>
    </format>
    <format dxfId="4759">
      <pivotArea outline="0" fieldPosition="0">
        <references count="3">
          <reference field="2" count="1" selected="0">
            <x v="18"/>
          </reference>
          <reference field="3" count="1" selected="0">
            <x v="957"/>
          </reference>
          <reference field="13" count="1" selected="0">
            <x v="1"/>
          </reference>
        </references>
      </pivotArea>
    </format>
    <format dxfId="4758">
      <pivotArea outline="0" fieldPosition="0">
        <references count="3">
          <reference field="2" count="3" selected="0">
            <x v="22"/>
            <x v="23"/>
            <x v="24"/>
          </reference>
          <reference field="3" count="1" selected="0">
            <x v="957"/>
          </reference>
          <reference field="13" count="2" selected="0">
            <x v="0"/>
            <x v="1"/>
          </reference>
        </references>
      </pivotArea>
    </format>
    <format dxfId="4757">
      <pivotArea outline="0" fieldPosition="0">
        <references count="3">
          <reference field="2" count="4" selected="0">
            <x v="16"/>
            <x v="18"/>
            <x v="22"/>
            <x v="23"/>
          </reference>
          <reference field="3" count="1" selected="0">
            <x v="966"/>
          </reference>
          <reference field="13" count="2" selected="0">
            <x v="0"/>
            <x v="1"/>
          </reference>
        </references>
      </pivotArea>
    </format>
    <format dxfId="4756">
      <pivotArea outline="0" fieldPosition="0">
        <references count="3">
          <reference field="2" count="6" selected="0">
            <x v="2"/>
            <x v="16"/>
            <x v="18"/>
            <x v="22"/>
            <x v="23"/>
            <x v="24"/>
          </reference>
          <reference field="3" count="1" selected="0">
            <x v="968"/>
          </reference>
          <reference field="13" count="2" selected="0">
            <x v="0"/>
            <x v="1"/>
          </reference>
        </references>
      </pivotArea>
    </format>
    <format dxfId="4755">
      <pivotArea outline="0" fieldPosition="0">
        <references count="3">
          <reference field="2" count="6" selected="0">
            <x v="2"/>
            <x v="16"/>
            <x v="18"/>
            <x v="22"/>
            <x v="23"/>
            <x v="24"/>
          </reference>
          <reference field="3" count="1" selected="0">
            <x v="969"/>
          </reference>
          <reference field="13" count="2" selected="0">
            <x v="0"/>
            <x v="1"/>
          </reference>
        </references>
      </pivotArea>
    </format>
    <format dxfId="4754">
      <pivotArea outline="0" fieldPosition="0">
        <references count="3">
          <reference field="2" count="8" selected="0">
            <x v="2"/>
            <x v="16"/>
            <x v="18"/>
            <x v="22"/>
            <x v="23"/>
            <x v="24"/>
            <x v="26"/>
            <x v="27"/>
          </reference>
          <reference field="3" count="1" selected="0">
            <x v="970"/>
          </reference>
          <reference field="13" count="2" selected="0">
            <x v="0"/>
            <x v="1"/>
          </reference>
        </references>
      </pivotArea>
    </format>
    <format dxfId="4753">
      <pivotArea outline="0" fieldPosition="0">
        <references count="3">
          <reference field="2" count="6" selected="0">
            <x v="2"/>
            <x v="16"/>
            <x v="18"/>
            <x v="22"/>
            <x v="23"/>
            <x v="24"/>
          </reference>
          <reference field="3" count="1" selected="0">
            <x v="971"/>
          </reference>
          <reference field="13" count="2" selected="0">
            <x v="0"/>
            <x v="1"/>
          </reference>
        </references>
      </pivotArea>
    </format>
    <format dxfId="4752">
      <pivotArea outline="0" fieldPosition="0">
        <references count="3">
          <reference field="2" count="7" selected="0">
            <x v="2"/>
            <x v="16"/>
            <x v="18"/>
            <x v="22"/>
            <x v="23"/>
            <x v="24"/>
            <x v="26"/>
          </reference>
          <reference field="3" count="1" selected="0">
            <x v="972"/>
          </reference>
          <reference field="13" count="2" selected="0">
            <x v="0"/>
            <x v="1"/>
          </reference>
        </references>
      </pivotArea>
    </format>
    <format dxfId="4751">
      <pivotArea outline="0" fieldPosition="0">
        <references count="3">
          <reference field="2" count="1" selected="0">
            <x v="27"/>
          </reference>
          <reference field="3" count="1" selected="0">
            <x v="972"/>
          </reference>
          <reference field="13" count="1" selected="0">
            <x v="0"/>
          </reference>
        </references>
      </pivotArea>
    </format>
    <format dxfId="4750">
      <pivotArea outline="0" fieldPosition="0">
        <references count="3">
          <reference field="2" count="7" selected="0">
            <x v="2"/>
            <x v="16"/>
            <x v="18"/>
            <x v="22"/>
            <x v="23"/>
            <x v="24"/>
            <x v="26"/>
          </reference>
          <reference field="3" count="1" selected="0">
            <x v="973"/>
          </reference>
          <reference field="13" count="2" selected="0">
            <x v="0"/>
            <x v="1"/>
          </reference>
        </references>
      </pivotArea>
    </format>
    <format dxfId="4749">
      <pivotArea type="all" dataOnly="0" outline="0" fieldPosition="0"/>
    </format>
    <format dxfId="4748">
      <pivotArea field="3" grandRow="1" outline="0" axis="axisCol" fieldPosition="0">
        <references count="1">
          <reference field="3" count="1" selected="0">
            <x v="975"/>
          </reference>
        </references>
      </pivotArea>
    </format>
    <format dxfId="4747">
      <pivotArea field="3" grandRow="1" outline="0" axis="axisCol" fieldPosition="0">
        <references count="1">
          <reference field="3" count="2" selected="0">
            <x v="976"/>
            <x v="977"/>
          </reference>
        </references>
      </pivotArea>
    </format>
    <format dxfId="4746">
      <pivotArea field="3" grandRow="1" outline="0" axis="axisCol" fieldPosition="0">
        <references count="1">
          <reference field="3" count="10" selected="0">
            <x v="978"/>
            <x v="979"/>
            <x v="980"/>
            <x v="981"/>
            <x v="982"/>
            <x v="983"/>
            <x v="984"/>
            <x v="985"/>
            <x v="986"/>
            <x v="987"/>
          </reference>
        </references>
      </pivotArea>
    </format>
    <format dxfId="4745">
      <pivotArea field="3" grandRow="1" outline="0" axis="axisCol" fieldPosition="0">
        <references count="1">
          <reference field="3" count="5" selected="0">
            <x v="988"/>
            <x v="989"/>
            <x v="990"/>
            <x v="991"/>
            <x v="992"/>
          </reference>
        </references>
      </pivotArea>
    </format>
    <format dxfId="4744">
      <pivotArea field="3" grandRow="1" outline="0" axis="axisCol" fieldPosition="0">
        <references count="1">
          <reference field="3" count="1" selected="0">
            <x v="993"/>
          </reference>
        </references>
      </pivotArea>
    </format>
    <format dxfId="4743">
      <pivotArea field="3" grandRow="1" outline="0" axis="axisCol" fieldPosition="0">
        <references count="1">
          <reference field="3" count="1" selected="0">
            <x v="995"/>
          </reference>
        </references>
      </pivotArea>
    </format>
    <format dxfId="4742">
      <pivotArea field="3" grandRow="1" outline="0" axis="axisCol" fieldPosition="0">
        <references count="1">
          <reference field="3" count="1" selected="0">
            <x v="996"/>
          </reference>
        </references>
      </pivotArea>
    </format>
    <format dxfId="4741">
      <pivotArea field="3" grandRow="1" outline="0" axis="axisCol" fieldPosition="0">
        <references count="1">
          <reference field="3" count="1" selected="0">
            <x v="997"/>
          </reference>
        </references>
      </pivotArea>
    </format>
    <format dxfId="4740">
      <pivotArea field="3" grandRow="1" outline="0" axis="axisCol" fieldPosition="0">
        <references count="1">
          <reference field="3" count="2" selected="0">
            <x v="998"/>
            <x v="999"/>
          </reference>
        </references>
      </pivotArea>
    </format>
    <format dxfId="4739">
      <pivotArea field="3" grandRow="1" outline="0" axis="axisCol" fieldPosition="0">
        <references count="1">
          <reference field="3" count="1" selected="0">
            <x v="1001"/>
          </reference>
        </references>
      </pivotArea>
    </format>
    <format dxfId="4738">
      <pivotArea field="3" grandRow="1" outline="0" axis="axisCol" fieldPosition="0">
        <references count="1">
          <reference field="3" count="1" selected="0">
            <x v="994"/>
          </reference>
        </references>
      </pivotArea>
    </format>
    <format dxfId="4737">
      <pivotArea outline="0" fieldPosition="0">
        <references count="1">
          <reference field="3" count="28" selected="0"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</reference>
        </references>
      </pivotArea>
    </format>
    <format dxfId="4736">
      <pivotArea type="all" dataOnly="0" outline="0" fieldPosition="0"/>
    </format>
    <format dxfId="4735">
      <pivotArea outline="0" collapsedLevelsAreSubtotals="1" fieldPosition="0"/>
    </format>
    <format dxfId="4734">
      <pivotArea type="origin" dataOnly="0" labelOnly="1" outline="0" fieldPosition="0"/>
    </format>
    <format dxfId="4733">
      <pivotArea field="3" type="button" dataOnly="0" labelOnly="1" outline="0" axis="axisCol" fieldPosition="0"/>
    </format>
    <format dxfId="4732">
      <pivotArea type="topRight" dataOnly="0" labelOnly="1" outline="0" fieldPosition="0"/>
    </format>
    <format dxfId="4731">
      <pivotArea field="2" type="button" dataOnly="0" labelOnly="1" outline="0" axis="axisRow" fieldPosition="0"/>
    </format>
    <format dxfId="4730">
      <pivotArea field="13" type="button" dataOnly="0" labelOnly="1" outline="0" axis="axisRow" fieldPosition="1"/>
    </format>
    <format dxfId="4729">
      <pivotArea dataOnly="0" labelOnly="1" outline="0" fieldPosition="0">
        <references count="1">
          <reference field="2" count="11">
            <x v="1"/>
            <x v="2"/>
            <x v="5"/>
            <x v="16"/>
            <x v="18"/>
            <x v="22"/>
            <x v="23"/>
            <x v="24"/>
            <x v="26"/>
            <x v="27"/>
            <x v="32"/>
          </reference>
        </references>
      </pivotArea>
    </format>
    <format dxfId="4728">
      <pivotArea dataOnly="0" labelOnly="1" grandRow="1" outline="0" fieldPosition="0"/>
    </format>
    <format dxfId="4727">
      <pivotArea dataOnly="0" labelOnly="1" outline="0" fieldPosition="0">
        <references count="2">
          <reference field="2" count="1" selected="0">
            <x v="1"/>
          </reference>
          <reference field="13" count="1">
            <x v="0"/>
          </reference>
        </references>
      </pivotArea>
    </format>
    <format dxfId="4726">
      <pivotArea dataOnly="0" labelOnly="1" outline="0" fieldPosition="0">
        <references count="2">
          <reference field="2" count="1" selected="0">
            <x v="2"/>
          </reference>
          <reference field="13" count="1">
            <x v="0"/>
          </reference>
        </references>
      </pivotArea>
    </format>
    <format dxfId="4725">
      <pivotArea dataOnly="0" labelOnly="1" outline="0" fieldPosition="0">
        <references count="2">
          <reference field="2" count="1" selected="0">
            <x v="5"/>
          </reference>
          <reference field="13" count="2">
            <x v="0"/>
            <x v="1"/>
          </reference>
        </references>
      </pivotArea>
    </format>
    <format dxfId="4724">
      <pivotArea dataOnly="0" labelOnly="1" outline="0" fieldPosition="0">
        <references count="2">
          <reference field="2" count="1" selected="0">
            <x v="16"/>
          </reference>
          <reference field="13" count="2">
            <x v="0"/>
            <x v="1"/>
          </reference>
        </references>
      </pivotArea>
    </format>
    <format dxfId="4723">
      <pivotArea dataOnly="0" labelOnly="1" outline="0" fieldPosition="0">
        <references count="2">
          <reference field="2" count="1" selected="0">
            <x v="18"/>
          </reference>
          <reference field="13" count="2">
            <x v="0"/>
            <x v="1"/>
          </reference>
        </references>
      </pivotArea>
    </format>
    <format dxfId="4722">
      <pivotArea dataOnly="0" labelOnly="1" outline="0" fieldPosition="0">
        <references count="2">
          <reference field="2" count="1" selected="0">
            <x v="22"/>
          </reference>
          <reference field="13" count="2">
            <x v="0"/>
            <x v="1"/>
          </reference>
        </references>
      </pivotArea>
    </format>
    <format dxfId="4721">
      <pivotArea dataOnly="0" labelOnly="1" outline="0" fieldPosition="0">
        <references count="2">
          <reference field="2" count="1" selected="0">
            <x v="23"/>
          </reference>
          <reference field="13" count="2">
            <x v="0"/>
            <x v="1"/>
          </reference>
        </references>
      </pivotArea>
    </format>
    <format dxfId="4720">
      <pivotArea dataOnly="0" labelOnly="1" outline="0" fieldPosition="0">
        <references count="2">
          <reference field="2" count="1" selected="0">
            <x v="24"/>
          </reference>
          <reference field="13" count="2">
            <x v="0"/>
            <x v="1"/>
          </reference>
        </references>
      </pivotArea>
    </format>
    <format dxfId="4719">
      <pivotArea dataOnly="0" labelOnly="1" outline="0" fieldPosition="0">
        <references count="2">
          <reference field="2" count="1" selected="0">
            <x v="26"/>
          </reference>
          <reference field="13" count="2">
            <x v="0"/>
            <x v="1"/>
          </reference>
        </references>
      </pivotArea>
    </format>
    <format dxfId="4718">
      <pivotArea dataOnly="0" labelOnly="1" outline="0" fieldPosition="0">
        <references count="2">
          <reference field="2" count="1" selected="0">
            <x v="27"/>
          </reference>
          <reference field="13" count="2">
            <x v="0"/>
            <x v="1"/>
          </reference>
        </references>
      </pivotArea>
    </format>
    <format dxfId="4717">
      <pivotArea dataOnly="0" labelOnly="1" outline="0" fieldPosition="0">
        <references count="2">
          <reference field="2" count="1" selected="0">
            <x v="32"/>
          </reference>
          <reference field="13" count="1">
            <x v="0"/>
          </reference>
        </references>
      </pivotArea>
    </format>
    <format dxfId="4716">
      <pivotArea dataOnly="0" labelOnly="1" outline="0" fieldPosition="0">
        <references count="1">
          <reference field="3" count="28"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</reference>
        </references>
      </pivotArea>
    </format>
    <format dxfId="4715">
      <pivotArea dataOnly="0" labelOnly="1" grandCol="1" outline="0" fieldPosition="0"/>
    </format>
    <format dxfId="4714">
      <pivotArea field="3" grandRow="1" outline="0" axis="axisCol" fieldPosition="0">
        <references count="1">
          <reference field="3" count="10" selected="0">
            <x v="1004"/>
            <x v="1005"/>
            <x v="1006"/>
            <x v="1007"/>
            <x v="1008"/>
            <x v="1009"/>
            <x v="1010"/>
            <x v="1011"/>
            <x v="1012"/>
            <x v="1013"/>
          </reference>
        </references>
      </pivotArea>
    </format>
    <format dxfId="4713">
      <pivotArea outline="0" fieldPosition="0">
        <references count="3">
          <reference field="2" count="10" selected="0">
            <x v="1"/>
            <x v="2"/>
            <x v="5"/>
            <x v="8"/>
            <x v="11"/>
            <x v="16"/>
            <x v="18"/>
            <x v="22"/>
            <x v="23"/>
            <x v="26"/>
          </reference>
          <reference field="3" count="1" selected="0">
            <x v="1007"/>
          </reference>
          <reference field="13" count="2" selected="0">
            <x v="0"/>
            <x v="1"/>
          </reference>
        </references>
      </pivotArea>
    </format>
    <format dxfId="4712">
      <pivotArea outline="0" fieldPosition="0">
        <references count="3">
          <reference field="2" count="1" selected="0">
            <x v="27"/>
          </reference>
          <reference field="3" count="1" selected="0">
            <x v="1007"/>
          </reference>
          <reference field="13" count="1" selected="0">
            <x v="0"/>
          </reference>
        </references>
      </pivotArea>
    </format>
    <format dxfId="4711">
      <pivotArea field="3" grandRow="1" outline="0" axis="axisCol" fieldPosition="0">
        <references count="1">
          <reference field="3" count="3" selected="0">
            <x v="1032"/>
            <x v="1033"/>
            <x v="1034"/>
          </reference>
        </references>
      </pivotArea>
    </format>
    <format dxfId="4710">
      <pivotArea field="3" grandRow="1" outline="0" axis="axisCol" fieldPosition="0">
        <references count="1">
          <reference field="3" count="1" selected="0">
            <x v="1036"/>
          </reference>
        </references>
      </pivotArea>
    </format>
    <format dxfId="4709">
      <pivotArea field="3" grandRow="1" outline="0" axis="axisCol" fieldPosition="0">
        <references count="1">
          <reference field="3" count="1" selected="0">
            <x v="1043"/>
          </reference>
        </references>
      </pivotArea>
    </format>
    <format dxfId="4708">
      <pivotArea field="3" grandRow="1" outline="0" axis="axisCol" fieldPosition="0">
        <references count="1">
          <reference field="3" count="1" selected="0">
            <x v="1045"/>
          </reference>
        </references>
      </pivotArea>
    </format>
    <format dxfId="4707">
      <pivotArea field="3" grandRow="1" outline="0" axis="axisCol" fieldPosition="0">
        <references count="1">
          <reference field="3" count="2" selected="0">
            <x v="1046"/>
            <x v="1047"/>
          </reference>
        </references>
      </pivotArea>
    </format>
    <format dxfId="4706">
      <pivotArea field="3" grandRow="1" outline="0" axis="axisCol" fieldPosition="0">
        <references count="1">
          <reference field="3" count="1" selected="0">
            <x v="1051"/>
          </reference>
        </references>
      </pivotArea>
    </format>
    <format dxfId="4705">
      <pivotArea field="3" grandRow="1" outline="0" axis="axisCol" fieldPosition="0">
        <references count="1">
          <reference field="3" count="1" selected="0">
            <x v="1035"/>
          </reference>
        </references>
      </pivotArea>
    </format>
    <format dxfId="4704">
      <pivotArea field="3" grandRow="1" outline="0" axis="axisCol" fieldPosition="0">
        <references count="1">
          <reference field="3" count="6" selected="0">
            <x v="1036"/>
            <x v="1037"/>
            <x v="1038"/>
            <x v="1039"/>
            <x v="1040"/>
            <x v="1041"/>
          </reference>
        </references>
      </pivotArea>
    </format>
    <format dxfId="4703">
      <pivotArea field="3" grandRow="1" outline="0" axis="axisCol" fieldPosition="0">
        <references count="1">
          <reference field="3" count="1" selected="0">
            <x v="1044"/>
          </reference>
        </references>
      </pivotArea>
    </format>
    <format dxfId="4702">
      <pivotArea field="3" grandRow="1" outline="0" axis="axisCol" fieldPosition="0">
        <references count="1">
          <reference field="3" count="3" selected="0">
            <x v="1050"/>
            <x v="1051"/>
            <x v="1052"/>
          </reference>
        </references>
      </pivotArea>
    </format>
    <format dxfId="4701">
      <pivotArea field="3" grandRow="1" outline="0" axis="axisCol" fieldPosition="0">
        <references count="1">
          <reference field="3" count="1" selected="0">
            <x v="1048"/>
          </reference>
        </references>
      </pivotArea>
    </format>
    <format dxfId="4700">
      <pivotArea field="3" grandRow="1" outline="0" axis="axisCol" fieldPosition="0">
        <references count="1">
          <reference field="3" count="1" selected="0">
            <x v="1058"/>
          </reference>
        </references>
      </pivotArea>
    </format>
    <format dxfId="4699">
      <pivotArea grandRow="1" outline="0" collapsedLevelsAreSubtotals="1" fieldPosition="0"/>
    </format>
    <format dxfId="4698">
      <pivotArea dataOnly="0" labelOnly="1" grandRow="1" outline="0" fieldPosition="0"/>
    </format>
    <format dxfId="4697">
      <pivotArea field="3" grandRow="1" outline="0" axis="axisCol" fieldPosition="0">
        <references count="1">
          <reference field="3" count="2" selected="0">
            <x v="1228"/>
            <x v="1229"/>
          </reference>
        </references>
      </pivotArea>
    </format>
    <format dxfId="4696">
      <pivotArea field="3" grandRow="1" outline="0" axis="axisCol" fieldPosition="0">
        <references count="1">
          <reference field="3" count="1" selected="0">
            <x v="1232"/>
          </reference>
        </references>
      </pivotArea>
    </format>
    <format dxfId="4695">
      <pivotArea field="3" grandRow="1" outline="0" axis="axisCol" fieldPosition="0">
        <references count="1">
          <reference field="3" count="1" selected="0">
            <x v="1233"/>
          </reference>
        </references>
      </pivotArea>
    </format>
    <format dxfId="4694">
      <pivotArea field="3" grandRow="1" outline="0" axis="axisCol" fieldPosition="0">
        <references count="1">
          <reference field="3" count="1" selected="0">
            <x v="1237"/>
          </reference>
        </references>
      </pivotArea>
    </format>
    <format dxfId="4693">
      <pivotArea field="3" grandRow="1" outline="0" axis="axisCol" fieldPosition="0">
        <references count="1">
          <reference field="3" count="1" selected="0">
            <x v="1241"/>
          </reference>
        </references>
      </pivotArea>
    </format>
    <format dxfId="4692">
      <pivotArea field="3" grandRow="1" outline="0" axis="axisCol" fieldPosition="0">
        <references count="1">
          <reference field="3" count="1" selected="0">
            <x v="1242"/>
          </reference>
        </references>
      </pivotArea>
    </format>
    <format dxfId="4691">
      <pivotArea field="3" grandRow="1" outline="0" axis="axisCol" fieldPosition="0">
        <references count="1">
          <reference field="3" count="1" selected="0">
            <x v="1244"/>
          </reference>
        </references>
      </pivotArea>
    </format>
    <format dxfId="4690">
      <pivotArea field="3" grandRow="1" outline="0" axis="axisCol" fieldPosition="0">
        <references count="1">
          <reference field="3" count="2" selected="0">
            <x v="1246"/>
            <x v="1247"/>
          </reference>
        </references>
      </pivotArea>
    </format>
    <format dxfId="4689">
      <pivotArea field="3" grandRow="1" outline="0" axis="axisCol" fieldPosition="0">
        <references count="1">
          <reference field="3" count="1" selected="0">
            <x v="1248"/>
          </reference>
        </references>
      </pivotArea>
    </format>
    <format dxfId="4688">
      <pivotArea field="3" grandRow="1" outline="0" axis="axisCol" fieldPosition="0">
        <references count="1">
          <reference field="3" count="1" selected="0">
            <x v="1250"/>
          </reference>
        </references>
      </pivotArea>
    </format>
    <format dxfId="4687">
      <pivotArea field="3" grandRow="1" outline="0" axis="axisCol" fieldPosition="0">
        <references count="1">
          <reference field="3" count="1" selected="0">
            <x v="1251"/>
          </reference>
        </references>
      </pivotArea>
    </format>
    <format dxfId="4686">
      <pivotArea field="3" grandRow="1" outline="0" axis="axisCol" fieldPosition="0">
        <references count="1">
          <reference field="3" count="1" selected="0">
            <x v="1252"/>
          </reference>
        </references>
      </pivotArea>
    </format>
    <format dxfId="4685">
      <pivotArea field="3" grandRow="1" outline="0" axis="axisCol" fieldPosition="0">
        <references count="1">
          <reference field="3" count="1" selected="0">
            <x v="1253"/>
          </reference>
        </references>
      </pivotArea>
    </format>
    <format dxfId="4684">
      <pivotArea field="3" grandRow="1" outline="0" axis="axisCol" fieldPosition="0">
        <references count="1">
          <reference field="3" count="1" selected="0">
            <x v="1230"/>
          </reference>
        </references>
      </pivotArea>
    </format>
    <format dxfId="4683">
      <pivotArea field="3" grandRow="1" outline="0" axis="axisCol" fieldPosition="0">
        <references count="1">
          <reference field="3" count="1" selected="0">
            <x v="1231"/>
          </reference>
        </references>
      </pivotArea>
    </format>
    <format dxfId="4682">
      <pivotArea field="3" grandRow="1" outline="0" axis="axisCol" fieldPosition="0">
        <references count="1">
          <reference field="3" count="1" selected="0">
            <x v="1235"/>
          </reference>
        </references>
      </pivotArea>
    </format>
    <format dxfId="4681">
      <pivotArea field="3" grandRow="1" outline="0" axis="axisCol" fieldPosition="0">
        <references count="1">
          <reference field="3" count="1" selected="0">
            <x v="1234"/>
          </reference>
        </references>
      </pivotArea>
    </format>
    <format dxfId="4680">
      <pivotArea field="3" grandRow="1" outline="0" axis="axisCol" fieldPosition="0">
        <references count="1">
          <reference field="3" count="1" selected="0">
            <x v="1236"/>
          </reference>
        </references>
      </pivotArea>
    </format>
    <format dxfId="4679">
      <pivotArea field="3" grandRow="1" outline="0" axis="axisCol" fieldPosition="0">
        <references count="1">
          <reference field="3" count="1" selected="0">
            <x v="1238"/>
          </reference>
        </references>
      </pivotArea>
    </format>
    <format dxfId="4678">
      <pivotArea field="3" grandRow="1" outline="0" axis="axisCol" fieldPosition="0">
        <references count="1">
          <reference field="3" count="1" selected="0">
            <x v="1240"/>
          </reference>
        </references>
      </pivotArea>
    </format>
    <format dxfId="4677">
      <pivotArea field="3" grandRow="1" outline="0" axis="axisCol" fieldPosition="0">
        <references count="1">
          <reference field="3" count="1" selected="0">
            <x v="1243"/>
          </reference>
        </references>
      </pivotArea>
    </format>
    <format dxfId="4676">
      <pivotArea field="3" grandRow="1" outline="0" axis="axisCol" fieldPosition="0">
        <references count="1">
          <reference field="3" count="1" selected="0">
            <x v="1245"/>
          </reference>
        </references>
      </pivotArea>
    </format>
    <format dxfId="4675">
      <pivotArea field="3" grandRow="1" outline="0" axis="axisCol" fieldPosition="0">
        <references count="1">
          <reference field="3" count="1" selected="0">
            <x v="1249"/>
          </reference>
        </references>
      </pivotArea>
    </format>
    <format dxfId="4674">
      <pivotArea field="3" grandRow="1" outline="0" axis="axisCol" fieldPosition="0">
        <references count="1">
          <reference field="3" count="28" selected="0"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  <x v="1250"/>
            <x v="1251"/>
            <x v="1252"/>
            <x v="1253"/>
            <x v="1254"/>
            <x v="1255"/>
          </reference>
        </references>
      </pivotArea>
    </format>
    <format dxfId="4673">
      <pivotArea dataOnly="0" outline="0" fieldPosition="0">
        <references count="1">
          <reference field="3" count="2">
            <x v="1264"/>
            <x v="1265"/>
          </reference>
        </references>
      </pivotArea>
    </format>
    <format dxfId="4672">
      <pivotArea outline="0" fieldPosition="0">
        <references count="1">
          <reference field="3" count="1" selected="0">
            <x v="1271"/>
          </reference>
        </references>
      </pivotArea>
    </format>
    <format dxfId="4671">
      <pivotArea type="topRight" dataOnly="0" labelOnly="1" outline="0" offset="N1" fieldPosition="0"/>
    </format>
    <format dxfId="4670">
      <pivotArea dataOnly="0" labelOnly="1" outline="0" fieldPosition="0">
        <references count="1">
          <reference field="3" count="1">
            <x v="1271"/>
          </reference>
        </references>
      </pivotArea>
    </format>
    <format dxfId="4669">
      <pivotArea field="3" grandRow="1" outline="0" axis="axisCol" fieldPosition="0">
        <references count="1">
          <reference field="3" count="1" selected="0">
            <x v="1256"/>
          </reference>
        </references>
      </pivotArea>
    </format>
    <format dxfId="4668">
      <pivotArea field="3" grandRow="1" outline="0" axis="axisCol" fieldPosition="0">
        <references count="1">
          <reference field="3" count="1" selected="0">
            <x v="1262"/>
          </reference>
        </references>
      </pivotArea>
    </format>
    <format dxfId="4667">
      <pivotArea field="3" grandRow="1" outline="0" axis="axisCol" fieldPosition="0">
        <references count="1">
          <reference field="3" count="1" selected="0">
            <x v="1263"/>
          </reference>
        </references>
      </pivotArea>
    </format>
    <format dxfId="4666">
      <pivotArea field="3" grandRow="1" outline="0" axis="axisCol" fieldPosition="0">
        <references count="1">
          <reference field="3" count="1" selected="0">
            <x v="1266"/>
          </reference>
        </references>
      </pivotArea>
    </format>
    <format dxfId="4665">
      <pivotArea field="3" grandRow="1" outline="0" axis="axisCol" fieldPosition="0">
        <references count="1">
          <reference field="3" count="11" selected="0">
            <x v="1256"/>
            <x v="1257"/>
            <x v="1259"/>
            <x v="1260"/>
            <x v="1261"/>
            <x v="1262"/>
            <x v="1263"/>
            <x v="1264"/>
            <x v="1265"/>
            <x v="1266"/>
            <x v="1267"/>
          </reference>
        </references>
      </pivotArea>
    </format>
    <format dxfId="4664">
      <pivotArea field="3" grandRow="1" outline="0" axis="axisCol" fieldPosition="0">
        <references count="1">
          <reference field="3" count="1" selected="0">
            <x v="1256"/>
          </reference>
        </references>
      </pivotArea>
    </format>
    <format dxfId="4663">
      <pivotArea field="3" grandRow="1" outline="0" axis="axisCol" fieldPosition="0">
        <references count="1">
          <reference field="3" count="1" selected="0">
            <x v="1262"/>
          </reference>
        </references>
      </pivotArea>
    </format>
    <format dxfId="4662">
      <pivotArea field="3" grandRow="1" outline="0" axis="axisCol" fieldPosition="0">
        <references count="1">
          <reference field="3" count="2" selected="0">
            <x v="1263"/>
            <x v="1264"/>
          </reference>
        </references>
      </pivotArea>
    </format>
    <format dxfId="4661">
      <pivotArea field="3" grandRow="1" outline="0" axis="axisCol" fieldPosition="0">
        <references count="1">
          <reference field="3" count="1" selected="0">
            <x v="1266"/>
          </reference>
        </references>
      </pivotArea>
    </format>
    <format dxfId="4660">
      <pivotArea field="3" grandRow="1" outline="0" axis="axisCol" fieldPosition="0">
        <references count="1">
          <reference field="3" count="1" selected="0">
            <x v="1271"/>
          </reference>
        </references>
      </pivotArea>
    </format>
    <format dxfId="4659">
      <pivotArea field="3" grandRow="1" outline="0" axis="axisCol" fieldPosition="0">
        <references count="1">
          <reference field="3" count="1" selected="0">
            <x v="1272"/>
          </reference>
        </references>
      </pivotArea>
    </format>
    <format dxfId="4658">
      <pivotArea field="3" grandRow="1" outline="0" axis="axisCol" fieldPosition="0">
        <references count="1">
          <reference field="3" count="1" selected="0">
            <x v="1274"/>
          </reference>
        </references>
      </pivotArea>
    </format>
    <format dxfId="4657">
      <pivotArea outline="0" fieldPosition="0">
        <references count="3">
          <reference field="2" count="11" selected="0">
            <x v="5"/>
            <x v="8"/>
            <x v="10"/>
            <x v="12"/>
            <x v="14"/>
            <x v="16"/>
            <x v="20"/>
            <x v="22"/>
            <x v="23"/>
            <x v="26"/>
            <x v="32"/>
          </reference>
          <reference field="3" count="1" selected="0">
            <x v="1265"/>
          </reference>
          <reference field="13" count="2" selected="0">
            <x v="0"/>
            <x v="1"/>
          </reference>
        </references>
      </pivotArea>
    </format>
    <format dxfId="4656">
      <pivotArea dataOnly="0" labelOnly="1" outline="0" fieldPosition="0">
        <references count="1">
          <reference field="3" count="1">
            <x v="1265"/>
          </reference>
        </references>
      </pivotArea>
    </format>
    <format dxfId="4655">
      <pivotArea dataOnly="0" labelOnly="1" outline="0" fieldPosition="0">
        <references count="1">
          <reference field="3" count="26"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</reference>
        </references>
      </pivotArea>
    </format>
    <format dxfId="4654">
      <pivotArea field="3" grandRow="1" outline="0" axis="axisCol" fieldPosition="0">
        <references count="1">
          <reference field="3" count="1" selected="0">
            <x v="1315"/>
          </reference>
        </references>
      </pivotArea>
    </format>
    <format dxfId="4653">
      <pivotArea field="3" grandRow="1" outline="0" axis="axisCol" fieldPosition="0">
        <references count="1">
          <reference field="3" count="1" selected="0">
            <x v="1318"/>
          </reference>
        </references>
      </pivotArea>
    </format>
    <format dxfId="4652">
      <pivotArea field="3" grandRow="1" outline="0" axis="axisCol" fieldPosition="0">
        <references count="1">
          <reference field="3" count="7" selected="0">
            <x v="1314"/>
            <x v="1315"/>
            <x v="1316"/>
            <x v="1317"/>
            <x v="1318"/>
            <x v="1319"/>
            <x v="1320"/>
          </reference>
        </references>
      </pivotArea>
    </format>
    <format dxfId="4651">
      <pivotArea dataOnly="0" labelOnly="1" outline="0" fieldPosition="0">
        <references count="1">
          <reference field="2" count="12">
            <x v="5"/>
            <x v="8"/>
            <x v="10"/>
            <x v="12"/>
            <x v="14"/>
            <x v="16"/>
            <x v="18"/>
            <x v="20"/>
            <x v="22"/>
            <x v="23"/>
            <x v="42"/>
            <x v="43"/>
          </reference>
        </references>
      </pivotArea>
    </format>
    <format dxfId="4650">
      <pivotArea dataOnly="0" labelOnly="1" outline="0" fieldPosition="0">
        <references count="2">
          <reference field="2" count="1" selected="0">
            <x v="42"/>
          </reference>
          <reference field="13" count="1">
            <x v="0"/>
          </reference>
        </references>
      </pivotArea>
    </format>
    <format dxfId="4649">
      <pivotArea dataOnly="0" labelOnly="1" outline="0" fieldPosition="0">
        <references count="2">
          <reference field="2" count="1" selected="0">
            <x v="43"/>
          </reference>
          <reference field="13" count="1">
            <x v="0"/>
          </reference>
        </references>
      </pivotArea>
    </format>
    <format dxfId="4648">
      <pivotArea dataOnly="0" labelOnly="1" outline="0" fieldPosition="0">
        <references count="1">
          <reference field="3" count="26"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</reference>
        </references>
      </pivotArea>
    </format>
    <format dxfId="4647">
      <pivotArea dataOnly="0" labelOnly="1" outline="0" fieldPosition="0">
        <references count="1">
          <reference field="3" count="26"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</reference>
        </references>
      </pivotArea>
    </format>
    <format dxfId="4646">
      <pivotArea field="13" grandCol="1" outline="0" axis="axisRow" fieldPosition="1">
        <references count="2">
          <reference field="2" count="1" selected="0">
            <x v="5"/>
          </reference>
          <reference field="13" count="1" selected="0">
            <x v="0"/>
          </reference>
        </references>
      </pivotArea>
    </format>
    <format dxfId="4645">
      <pivotArea field="13" grandCol="1" outline="0" axis="axisRow" fieldPosition="1">
        <references count="2">
          <reference field="2" count="1" selected="0">
            <x v="12"/>
          </reference>
          <reference field="13" count="1" selected="0">
            <x v="0"/>
          </reference>
        </references>
      </pivotArea>
    </format>
    <format dxfId="4644">
      <pivotArea field="3" grandRow="1" outline="0" axis="axisCol" fieldPosition="0">
        <references count="1">
          <reference field="3" count="1" selected="0">
            <x v="1367"/>
          </reference>
        </references>
      </pivotArea>
    </format>
    <format dxfId="4643">
      <pivotArea field="3" grandRow="1" outline="0" axis="axisCol" fieldPosition="0">
        <references count="1">
          <reference field="3" count="1" selected="0">
            <x v="1368"/>
          </reference>
        </references>
      </pivotArea>
    </format>
    <format dxfId="4642">
      <pivotArea field="3" grandRow="1" outline="0" axis="axisCol" fieldPosition="0">
        <references count="1">
          <reference field="3" count="1" selected="0">
            <x v="1367"/>
          </reference>
        </references>
      </pivotArea>
    </format>
    <format dxfId="4641">
      <pivotArea field="3" grandRow="1" outline="0" axis="axisCol" fieldPosition="0">
        <references count="1">
          <reference field="3" count="1" selected="0">
            <x v="1375"/>
          </reference>
        </references>
      </pivotArea>
    </format>
    <format dxfId="4640">
      <pivotArea field="3" grandRow="1" outline="0" axis="axisCol" fieldPosition="0">
        <references count="1">
          <reference field="3" count="1" selected="0">
            <x v="1377"/>
          </reference>
        </references>
      </pivotArea>
    </format>
    <format dxfId="4639">
      <pivotArea field="3" grandRow="1" outline="0" axis="axisCol" fieldPosition="0">
        <references count="1">
          <reference field="3" count="1" selected="0">
            <x v="1380"/>
          </reference>
        </references>
      </pivotArea>
    </format>
    <format dxfId="4638">
      <pivotArea field="3" grandRow="1" outline="0" axis="axisCol" fieldPosition="0">
        <references count="1">
          <reference field="3" count="1" selected="0">
            <x v="1386"/>
          </reference>
        </references>
      </pivotArea>
    </format>
    <format dxfId="4637">
      <pivotArea field="3" grandRow="1" outline="0" axis="axisCol" fieldPosition="0">
        <references count="1">
          <reference field="3" count="1" selected="0">
            <x v="1389"/>
          </reference>
        </references>
      </pivotArea>
    </format>
    <format dxfId="4636">
      <pivotArea field="3" grandRow="1" outline="0" axis="axisCol" fieldPosition="0">
        <references count="1">
          <reference field="3" count="1" selected="0">
            <x v="1390"/>
          </reference>
        </references>
      </pivotArea>
    </format>
    <format dxfId="4635">
      <pivotArea field="3" grandRow="1" outline="0" axis="axisCol" fieldPosition="0">
        <references count="1">
          <reference field="3" count="1" selected="0">
            <x v="1391"/>
          </reference>
        </references>
      </pivotArea>
    </format>
    <format dxfId="4634">
      <pivotArea field="3" grandRow="1" outline="0" axis="axisCol" fieldPosition="0">
        <references count="1">
          <reference field="3" count="1" selected="0">
            <x v="1393"/>
          </reference>
        </references>
      </pivotArea>
    </format>
    <format dxfId="4633">
      <pivotArea field="3" grandRow="1" outline="0" axis="axisCol" fieldPosition="0">
        <references count="1">
          <reference field="3" count="1" selected="0">
            <x v="1368"/>
          </reference>
        </references>
      </pivotArea>
    </format>
    <format dxfId="4632">
      <pivotArea field="3" grandRow="1" outline="0" axis="axisCol" fieldPosition="0">
        <references count="1">
          <reference field="3" count="1" selected="0">
            <x v="1369"/>
          </reference>
        </references>
      </pivotArea>
    </format>
    <format dxfId="4631">
      <pivotArea field="3" grandRow="1" outline="0" axis="axisCol" fieldPosition="0">
        <references count="1">
          <reference field="3" count="1" selected="0">
            <x v="1370"/>
          </reference>
        </references>
      </pivotArea>
    </format>
    <format dxfId="4630">
      <pivotArea field="3" grandRow="1" outline="0" axis="axisCol" fieldPosition="0">
        <references count="1">
          <reference field="3" count="1" selected="0">
            <x v="1371"/>
          </reference>
        </references>
      </pivotArea>
    </format>
    <format dxfId="4629">
      <pivotArea field="3" grandRow="1" outline="0" axis="axisCol" fieldPosition="0">
        <references count="1">
          <reference field="3" count="1" selected="0">
            <x v="1372"/>
          </reference>
        </references>
      </pivotArea>
    </format>
    <format dxfId="4628">
      <pivotArea field="3" grandRow="1" outline="0" axis="axisCol" fieldPosition="0">
        <references count="1">
          <reference field="3" count="1" selected="0">
            <x v="1374"/>
          </reference>
        </references>
      </pivotArea>
    </format>
    <format dxfId="4627">
      <pivotArea field="3" grandRow="1" outline="0" axis="axisCol" fieldPosition="0">
        <references count="1">
          <reference field="3" count="1" selected="0">
            <x v="1376"/>
          </reference>
        </references>
      </pivotArea>
    </format>
    <format dxfId="4626">
      <pivotArea field="3" grandRow="1" outline="0" axis="axisCol" fieldPosition="0">
        <references count="1">
          <reference field="3" count="1" selected="0">
            <x v="1378"/>
          </reference>
        </references>
      </pivotArea>
    </format>
    <format dxfId="4625">
      <pivotArea field="3" grandRow="1" outline="0" axis="axisCol" fieldPosition="0">
        <references count="1">
          <reference field="3" count="1" selected="0">
            <x v="1379"/>
          </reference>
        </references>
      </pivotArea>
    </format>
    <format dxfId="4624">
      <pivotArea field="3" grandRow="1" outline="0" axis="axisCol" fieldPosition="0">
        <references count="1">
          <reference field="3" count="1" selected="0">
            <x v="1381"/>
          </reference>
        </references>
      </pivotArea>
    </format>
    <format dxfId="4623">
      <pivotArea field="3" grandRow="1" outline="0" axis="axisCol" fieldPosition="0">
        <references count="1">
          <reference field="3" count="1" selected="0">
            <x v="1382"/>
          </reference>
        </references>
      </pivotArea>
    </format>
    <format dxfId="4622">
      <pivotArea field="3" grandRow="1" outline="0" axis="axisCol" fieldPosition="0">
        <references count="1">
          <reference field="3" count="1" selected="0">
            <x v="1383"/>
          </reference>
        </references>
      </pivotArea>
    </format>
    <format dxfId="4621">
      <pivotArea field="3" grandRow="1" outline="0" axis="axisCol" fieldPosition="0">
        <references count="1">
          <reference field="3" count="1" selected="0">
            <x v="1385"/>
          </reference>
        </references>
      </pivotArea>
    </format>
    <format dxfId="4620">
      <pivotArea field="3" grandRow="1" outline="0" axis="axisCol" fieldPosition="0">
        <references count="1">
          <reference field="3" count="1" selected="0">
            <x v="1387"/>
          </reference>
        </references>
      </pivotArea>
    </format>
    <format dxfId="4619">
      <pivotArea field="3" grandRow="1" outline="0" axis="axisCol" fieldPosition="0">
        <references count="1">
          <reference field="3" count="1" selected="0">
            <x v="1388"/>
          </reference>
        </references>
      </pivotArea>
    </format>
    <format dxfId="4618">
      <pivotArea field="3" grandRow="1" outline="0" axis="axisCol" fieldPosition="0">
        <references count="1">
          <reference field="3" count="1" selected="0">
            <x v="1384"/>
          </reference>
        </references>
      </pivotArea>
    </format>
    <format dxfId="4617">
      <pivotArea field="3" grandRow="1" outline="0" axis="axisCol" fieldPosition="0">
        <references count="1">
          <reference field="3" count="1" selected="0">
            <x v="1392"/>
          </reference>
        </references>
      </pivotArea>
    </format>
    <format dxfId="4616">
      <pivotArea field="3" grandRow="1" outline="0" axis="axisCol" fieldPosition="0">
        <references count="1">
          <reference field="3" count="1" selected="0">
            <x v="1394"/>
          </reference>
        </references>
      </pivotArea>
    </format>
    <format dxfId="4615">
      <pivotArea field="3" grandRow="1" outline="0" axis="axisCol" fieldPosition="0">
        <references count="1">
          <reference field="3" count="1" selected="0">
            <x v="1395"/>
          </reference>
        </references>
      </pivotArea>
    </format>
    <format dxfId="4614">
      <pivotArea grandRow="1" outline="0" collapsedLevelsAreSubtotals="1" fieldPosition="0"/>
    </format>
    <format dxfId="4613">
      <pivotArea field="3" grandRow="1" outline="0" axis="axisCol" fieldPosition="0">
        <references count="1">
          <reference field="3" count="8" selected="0">
            <x v="1425"/>
            <x v="1426"/>
            <x v="1427"/>
            <x v="1428"/>
            <x v="1429"/>
            <x v="1430"/>
            <x v="1431"/>
            <x v="1433"/>
          </reference>
        </references>
      </pivotArea>
    </format>
    <format dxfId="4612">
      <pivotArea outline="0" fieldPosition="0">
        <references count="3">
          <reference field="2" count="1" selected="0">
            <x v="20"/>
          </reference>
          <reference field="3" count="1" selected="0">
            <x v="1584"/>
          </reference>
          <reference field="13" count="1" selected="0">
            <x v="1"/>
          </reference>
        </references>
      </pivotArea>
    </format>
    <format dxfId="4611">
      <pivotArea outline="0" fieldPosition="0">
        <references count="3">
          <reference field="2" count="1" selected="0">
            <x v="20"/>
          </reference>
          <reference field="3" count="1" selected="0">
            <x v="1584"/>
          </reference>
          <reference field="13" count="1" selected="0">
            <x v="1"/>
          </reference>
        </references>
      </pivotArea>
    </format>
    <format dxfId="4610">
      <pivotArea field="3" grandRow="1" outline="0" axis="axisCol" fieldPosition="0">
        <references count="1">
          <reference field="3" count="1" selected="0">
            <x v="1584"/>
          </reference>
        </references>
      </pivotArea>
    </format>
    <format dxfId="4609">
      <pivotArea field="3" grandRow="1" outline="0" axis="axisCol" fieldPosition="0">
        <references count="1">
          <reference field="3" count="1" selected="0">
            <x v="1591"/>
          </reference>
        </references>
      </pivotArea>
    </format>
    <format dxfId="4608">
      <pivotArea type="all" dataOnly="0" outline="0" fieldPosition="0"/>
    </format>
    <format dxfId="4607">
      <pivotArea outline="0" collapsedLevelsAreSubtotals="1" fieldPosition="0"/>
    </format>
    <format dxfId="4606">
      <pivotArea type="origin" dataOnly="0" labelOnly="1" outline="0" fieldPosition="0"/>
    </format>
    <format dxfId="4605">
      <pivotArea field="3" type="button" dataOnly="0" labelOnly="1" outline="0" axis="axisCol" fieldPosition="0"/>
    </format>
    <format dxfId="4604">
      <pivotArea type="topRight" dataOnly="0" labelOnly="1" outline="0" fieldPosition="0"/>
    </format>
    <format dxfId="4603">
      <pivotArea field="2" type="button" dataOnly="0" labelOnly="1" outline="0" axis="axisRow" fieldPosition="0"/>
    </format>
    <format dxfId="4602">
      <pivotArea field="13" type="button" dataOnly="0" labelOnly="1" outline="0" axis="axisRow" fieldPosition="1"/>
    </format>
    <format dxfId="4601">
      <pivotArea dataOnly="0" labelOnly="1" outline="0" fieldPosition="0">
        <references count="1">
          <reference field="2" count="12">
            <x v="5"/>
            <x v="8"/>
            <x v="10"/>
            <x v="12"/>
            <x v="14"/>
            <x v="16"/>
            <x v="18"/>
            <x v="20"/>
            <x v="22"/>
            <x v="23"/>
            <x v="36"/>
            <x v="38"/>
          </reference>
        </references>
      </pivotArea>
    </format>
    <format dxfId="4600">
      <pivotArea dataOnly="0" labelOnly="1" grandRow="1" outline="0" fieldPosition="0"/>
    </format>
    <format dxfId="4599">
      <pivotArea dataOnly="0" labelOnly="1" outline="0" fieldPosition="0">
        <references count="2">
          <reference field="2" count="1" selected="0">
            <x v="5"/>
          </reference>
          <reference field="13" count="2">
            <x v="0"/>
            <x v="1"/>
          </reference>
        </references>
      </pivotArea>
    </format>
    <format dxfId="4598">
      <pivotArea dataOnly="0" labelOnly="1" outline="0" fieldPosition="0">
        <references count="2">
          <reference field="2" count="1" selected="0">
            <x v="8"/>
          </reference>
          <reference field="13" count="2">
            <x v="0"/>
            <x v="1"/>
          </reference>
        </references>
      </pivotArea>
    </format>
    <format dxfId="4597">
      <pivotArea dataOnly="0" labelOnly="1" outline="0" fieldPosition="0">
        <references count="2">
          <reference field="2" count="1" selected="0">
            <x v="10"/>
          </reference>
          <reference field="13" count="2">
            <x v="0"/>
            <x v="1"/>
          </reference>
        </references>
      </pivotArea>
    </format>
    <format dxfId="4596">
      <pivotArea dataOnly="0" labelOnly="1" outline="0" fieldPosition="0">
        <references count="2">
          <reference field="2" count="1" selected="0">
            <x v="12"/>
          </reference>
          <reference field="13" count="3">
            <x v="0"/>
            <x v="1"/>
            <x v="4"/>
          </reference>
        </references>
      </pivotArea>
    </format>
    <format dxfId="4595">
      <pivotArea dataOnly="0" labelOnly="1" outline="0" fieldPosition="0">
        <references count="2">
          <reference field="2" count="1" selected="0">
            <x v="14"/>
          </reference>
          <reference field="13" count="2">
            <x v="0"/>
            <x v="1"/>
          </reference>
        </references>
      </pivotArea>
    </format>
    <format dxfId="4594">
      <pivotArea dataOnly="0" labelOnly="1" outline="0" fieldPosition="0">
        <references count="2">
          <reference field="2" count="1" selected="0">
            <x v="16"/>
          </reference>
          <reference field="13" count="2">
            <x v="0"/>
            <x v="1"/>
          </reference>
        </references>
      </pivotArea>
    </format>
    <format dxfId="4593">
      <pivotArea dataOnly="0" labelOnly="1" outline="0" fieldPosition="0">
        <references count="2">
          <reference field="2" count="1" selected="0">
            <x v="18"/>
          </reference>
          <reference field="13" count="2">
            <x v="0"/>
            <x v="1"/>
          </reference>
        </references>
      </pivotArea>
    </format>
    <format dxfId="4592">
      <pivotArea dataOnly="0" labelOnly="1" outline="0" fieldPosition="0">
        <references count="2">
          <reference field="2" count="1" selected="0">
            <x v="20"/>
          </reference>
          <reference field="13" count="2">
            <x v="0"/>
            <x v="1"/>
          </reference>
        </references>
      </pivotArea>
    </format>
    <format dxfId="4591">
      <pivotArea dataOnly="0" labelOnly="1" outline="0" fieldPosition="0">
        <references count="2">
          <reference field="2" count="1" selected="0">
            <x v="22"/>
          </reference>
          <reference field="13" count="2">
            <x v="0"/>
            <x v="1"/>
          </reference>
        </references>
      </pivotArea>
    </format>
    <format dxfId="4590">
      <pivotArea dataOnly="0" labelOnly="1" outline="0" fieldPosition="0">
        <references count="2">
          <reference field="2" count="1" selected="0">
            <x v="23"/>
          </reference>
          <reference field="13" count="2">
            <x v="0"/>
            <x v="1"/>
          </reference>
        </references>
      </pivotArea>
    </format>
    <format dxfId="4589">
      <pivotArea dataOnly="0" labelOnly="1" outline="0" fieldPosition="0">
        <references count="2">
          <reference field="2" count="1" selected="0">
            <x v="36"/>
          </reference>
          <reference field="13" count="2">
            <x v="0"/>
            <x v="1"/>
          </reference>
        </references>
      </pivotArea>
    </format>
    <format dxfId="4588">
      <pivotArea dataOnly="0" labelOnly="1" outline="0" fieldPosition="0">
        <references count="2">
          <reference field="2" count="1" selected="0">
            <x v="38"/>
          </reference>
          <reference field="13" count="2">
            <x v="0"/>
            <x v="1"/>
          </reference>
        </references>
      </pivotArea>
    </format>
    <format dxfId="4587">
      <pivotArea dataOnly="0" labelOnly="1" outline="0" fieldPosition="0">
        <references count="1">
          <reference field="3" count="28"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</reference>
        </references>
      </pivotArea>
    </format>
    <format dxfId="4586">
      <pivotArea dataOnly="0" labelOnly="1" grandCol="1" outline="0" fieldPosition="0"/>
    </format>
    <format dxfId="4585">
      <pivotArea type="all" dataOnly="0" outline="0" fieldPosition="0"/>
    </format>
    <format dxfId="4584">
      <pivotArea outline="0" collapsedLevelsAreSubtotals="1" fieldPosition="0"/>
    </format>
    <format dxfId="4583">
      <pivotArea type="origin" dataOnly="0" labelOnly="1" outline="0" fieldPosition="0"/>
    </format>
    <format dxfId="4582">
      <pivotArea field="3" type="button" dataOnly="0" labelOnly="1" outline="0" axis="axisCol" fieldPosition="0"/>
    </format>
    <format dxfId="4581">
      <pivotArea type="topRight" dataOnly="0" labelOnly="1" outline="0" fieldPosition="0"/>
    </format>
    <format dxfId="4580">
      <pivotArea field="2" type="button" dataOnly="0" labelOnly="1" outline="0" axis="axisRow" fieldPosition="0"/>
    </format>
    <format dxfId="4579">
      <pivotArea field="13" type="button" dataOnly="0" labelOnly="1" outline="0" axis="axisRow" fieldPosition="1"/>
    </format>
    <format dxfId="4578">
      <pivotArea dataOnly="0" labelOnly="1" outline="0" fieldPosition="0">
        <references count="1">
          <reference field="2" count="12">
            <x v="5"/>
            <x v="8"/>
            <x v="10"/>
            <x v="12"/>
            <x v="14"/>
            <x v="16"/>
            <x v="18"/>
            <x v="20"/>
            <x v="22"/>
            <x v="23"/>
            <x v="36"/>
            <x v="38"/>
          </reference>
        </references>
      </pivotArea>
    </format>
    <format dxfId="4577">
      <pivotArea dataOnly="0" labelOnly="1" grandRow="1" outline="0" fieldPosition="0"/>
    </format>
    <format dxfId="4576">
      <pivotArea dataOnly="0" labelOnly="1" outline="0" fieldPosition="0">
        <references count="2">
          <reference field="2" count="1" selected="0">
            <x v="5"/>
          </reference>
          <reference field="13" count="2">
            <x v="0"/>
            <x v="1"/>
          </reference>
        </references>
      </pivotArea>
    </format>
    <format dxfId="4575">
      <pivotArea dataOnly="0" labelOnly="1" outline="0" fieldPosition="0">
        <references count="2">
          <reference field="2" count="1" selected="0">
            <x v="8"/>
          </reference>
          <reference field="13" count="2">
            <x v="0"/>
            <x v="1"/>
          </reference>
        </references>
      </pivotArea>
    </format>
    <format dxfId="4574">
      <pivotArea dataOnly="0" labelOnly="1" outline="0" fieldPosition="0">
        <references count="2">
          <reference field="2" count="1" selected="0">
            <x v="10"/>
          </reference>
          <reference field="13" count="2">
            <x v="0"/>
            <x v="1"/>
          </reference>
        </references>
      </pivotArea>
    </format>
    <format dxfId="4573">
      <pivotArea dataOnly="0" labelOnly="1" outline="0" fieldPosition="0">
        <references count="2">
          <reference field="2" count="1" selected="0">
            <x v="12"/>
          </reference>
          <reference field="13" count="3">
            <x v="0"/>
            <x v="1"/>
            <x v="4"/>
          </reference>
        </references>
      </pivotArea>
    </format>
    <format dxfId="4572">
      <pivotArea dataOnly="0" labelOnly="1" outline="0" fieldPosition="0">
        <references count="2">
          <reference field="2" count="1" selected="0">
            <x v="14"/>
          </reference>
          <reference field="13" count="2">
            <x v="0"/>
            <x v="1"/>
          </reference>
        </references>
      </pivotArea>
    </format>
    <format dxfId="4571">
      <pivotArea dataOnly="0" labelOnly="1" outline="0" fieldPosition="0">
        <references count="2">
          <reference field="2" count="1" selected="0">
            <x v="16"/>
          </reference>
          <reference field="13" count="2">
            <x v="0"/>
            <x v="1"/>
          </reference>
        </references>
      </pivotArea>
    </format>
    <format dxfId="4570">
      <pivotArea dataOnly="0" labelOnly="1" outline="0" fieldPosition="0">
        <references count="2">
          <reference field="2" count="1" selected="0">
            <x v="18"/>
          </reference>
          <reference field="13" count="2">
            <x v="0"/>
            <x v="1"/>
          </reference>
        </references>
      </pivotArea>
    </format>
    <format dxfId="4569">
      <pivotArea dataOnly="0" labelOnly="1" outline="0" fieldPosition="0">
        <references count="2">
          <reference field="2" count="1" selected="0">
            <x v="20"/>
          </reference>
          <reference field="13" count="2">
            <x v="0"/>
            <x v="1"/>
          </reference>
        </references>
      </pivotArea>
    </format>
    <format dxfId="4568">
      <pivotArea dataOnly="0" labelOnly="1" outline="0" fieldPosition="0">
        <references count="2">
          <reference field="2" count="1" selected="0">
            <x v="22"/>
          </reference>
          <reference field="13" count="2">
            <x v="0"/>
            <x v="1"/>
          </reference>
        </references>
      </pivotArea>
    </format>
    <format dxfId="4567">
      <pivotArea dataOnly="0" labelOnly="1" outline="0" fieldPosition="0">
        <references count="2">
          <reference field="2" count="1" selected="0">
            <x v="23"/>
          </reference>
          <reference field="13" count="2">
            <x v="0"/>
            <x v="1"/>
          </reference>
        </references>
      </pivotArea>
    </format>
    <format dxfId="4566">
      <pivotArea dataOnly="0" labelOnly="1" outline="0" fieldPosition="0">
        <references count="2">
          <reference field="2" count="1" selected="0">
            <x v="36"/>
          </reference>
          <reference field="13" count="2">
            <x v="0"/>
            <x v="1"/>
          </reference>
        </references>
      </pivotArea>
    </format>
    <format dxfId="4565">
      <pivotArea dataOnly="0" labelOnly="1" outline="0" fieldPosition="0">
        <references count="2">
          <reference field="2" count="1" selected="0">
            <x v="38"/>
          </reference>
          <reference field="13" count="2">
            <x v="0"/>
            <x v="1"/>
          </reference>
        </references>
      </pivotArea>
    </format>
    <format dxfId="4564">
      <pivotArea dataOnly="0" labelOnly="1" outline="0" fieldPosition="0">
        <references count="1">
          <reference field="3" count="28"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</reference>
        </references>
      </pivotArea>
    </format>
    <format dxfId="4563">
      <pivotArea dataOnly="0" labelOnly="1" grandCol="1" outline="0" fieldPosition="0"/>
    </format>
    <format dxfId="4562">
      <pivotArea field="3" grandRow="1" outline="0" axis="axisCol" fieldPosition="0">
        <references count="1">
          <reference field="3" count="1" selected="0">
            <x v="1753"/>
          </reference>
        </references>
      </pivotArea>
    </format>
    <format dxfId="4561">
      <pivotArea field="3" grandRow="1" outline="0" axis="axisCol" fieldPosition="0">
        <references count="1">
          <reference field="3" count="1" selected="0">
            <x v="1754"/>
          </reference>
        </references>
      </pivotArea>
    </format>
    <format dxfId="4560">
      <pivotArea field="3" grandRow="1" outline="0" axis="axisCol" fieldPosition="0">
        <references count="1">
          <reference field="3" count="1" selected="0">
            <x v="1755"/>
          </reference>
        </references>
      </pivotArea>
    </format>
    <format dxfId="4559">
      <pivotArea field="3" grandRow="1" outline="0" axis="axisCol" fieldPosition="0">
        <references count="1">
          <reference field="3" count="1" selected="0">
            <x v="1756"/>
          </reference>
        </references>
      </pivotArea>
    </format>
    <format dxfId="4558">
      <pivotArea field="3" grandRow="1" outline="0" axis="axisCol" fieldPosition="0">
        <references count="1">
          <reference field="3" count="1" selected="0">
            <x v="1757"/>
          </reference>
        </references>
      </pivotArea>
    </format>
    <format dxfId="4557">
      <pivotArea field="3" grandRow="1" outline="0" axis="axisCol" fieldPosition="0">
        <references count="1">
          <reference field="3" count="1" selected="0">
            <x v="1758"/>
          </reference>
        </references>
      </pivotArea>
    </format>
    <format dxfId="4556">
      <pivotArea field="3" grandRow="1" outline="0" axis="axisCol" fieldPosition="0">
        <references count="1">
          <reference field="3" count="1" selected="0">
            <x v="1759"/>
          </reference>
        </references>
      </pivotArea>
    </format>
    <format dxfId="4555">
      <pivotArea field="3" grandRow="1" outline="0" axis="axisCol" fieldPosition="0">
        <references count="1">
          <reference field="3" count="1" selected="0">
            <x v="1760"/>
          </reference>
        </references>
      </pivotArea>
    </format>
    <format dxfId="4554">
      <pivotArea field="3" grandRow="1" outline="0" axis="axisCol" fieldPosition="0">
        <references count="1">
          <reference field="3" count="1" selected="0">
            <x v="1761"/>
          </reference>
        </references>
      </pivotArea>
    </format>
    <format dxfId="4553">
      <pivotArea field="3" grandRow="1" outline="0" axis="axisCol" fieldPosition="0">
        <references count="1">
          <reference field="3" count="1" selected="0">
            <x v="1762"/>
          </reference>
        </references>
      </pivotArea>
    </format>
    <format dxfId="4552">
      <pivotArea field="3" grandRow="1" outline="0" axis="axisCol" fieldPosition="0">
        <references count="1">
          <reference field="3" count="1" selected="0">
            <x v="1763"/>
          </reference>
        </references>
      </pivotArea>
    </format>
    <format dxfId="4551">
      <pivotArea field="3" grandRow="1" outline="0" axis="axisCol" fieldPosition="0">
        <references count="1">
          <reference field="3" count="1" selected="0">
            <x v="176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a8" displayName="Tabla8" ref="A1:AA269" totalsRowShown="0">
  <autoFilter ref="A1:AA269" xr:uid="{00000000-0009-0000-0100-000008000000}"/>
  <tableColumns count="27">
    <tableColumn id="1" xr3:uid="{00000000-0010-0000-0000-000001000000}" name="Fecha/hora" dataDxfId="4414"/>
    <tableColumn id="2" xr3:uid="{00000000-0010-0000-0000-000002000000}" name="Topo Maq"/>
    <tableColumn id="3" xr3:uid="{00000000-0010-0000-0000-000003000000}" name="Maquina"/>
    <tableColumn id="4" xr3:uid="{00000000-0010-0000-0000-000004000000}" name="Fecha" dataDxfId="4413"/>
    <tableColumn id="5" xr3:uid="{00000000-0010-0000-0000-000005000000}" name="Maquinista"/>
    <tableColumn id="6" xr3:uid="{00000000-0010-0000-0000-000006000000}" name="Tipo MP"/>
    <tableColumn id="7" xr3:uid="{00000000-0010-0000-0000-000007000000}" name="Material 1"/>
    <tableColumn id="8" xr3:uid="{00000000-0010-0000-0000-000008000000}" name="Material 2"/>
    <tableColumn id="9" xr3:uid="{00000000-0010-0000-0000-000009000000}" name="Molde"/>
    <tableColumn id="10" xr3:uid="{00000000-0010-0000-0000-00000A000000}" name="Pieza-Color"/>
    <tableColumn id="11" xr3:uid="{00000000-0010-0000-0000-00000B000000}" name="Coladas"/>
    <tableColumn id="12" xr3:uid="{00000000-0010-0000-0000-00000C000000}" name="Horas Trab."/>
    <tableColumn id="13" xr3:uid="{00000000-0010-0000-0000-00000D000000}" name="Peso Real (Kg)"/>
    <tableColumn id="14" xr3:uid="{00000000-0010-0000-0000-00000E000000}" name="Turno"/>
    <tableColumn id="15" xr3:uid="{00000000-0010-0000-0000-00000F000000}" name="Cantidad x Bulto"/>
    <tableColumn id="16" xr3:uid="{00000000-0010-0000-0000-000010000000}" name="#Bultos"/>
    <tableColumn id="17" xr3:uid="{00000000-0010-0000-0000-000011000000}" name="Nº OP"/>
    <tableColumn id="18" xr3:uid="{00000000-0010-0000-0000-000012000000}" name="#Doc. Registro"/>
    <tableColumn id="19" xr3:uid="{00000000-0010-0000-0000-000013000000}" name="Peso Aprox. (Kg)"/>
    <tableColumn id="20" xr3:uid="{00000000-0010-0000-0000-000014000000}" name="Peso (kg)"/>
    <tableColumn id="21" xr3:uid="{00000000-0010-0000-0000-000015000000}" name="Peso unitario (Gr)"/>
    <tableColumn id="22" xr3:uid="{00000000-0010-0000-0000-000016000000}" name="Cantidad Real"/>
    <tableColumn id="23" xr3:uid="{00000000-0010-0000-0000-000017000000}" name="MES"/>
    <tableColumn id="24" xr3:uid="{00000000-0010-0000-0000-000018000000}" name="AÑO"/>
    <tableColumn id="25" xr3:uid="{00000000-0010-0000-0000-000019000000}" name="SEMANA"/>
    <tableColumn id="26" xr3:uid="{00000000-0010-0000-0000-00001A000000}" name="Cavidades"/>
    <tableColumn id="27" xr3:uid="{00000000-0010-0000-0000-00001B000000}" name="DOC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a10" displayName="Tabla10" ref="A1:AA269" totalsRowShown="0">
  <autoFilter ref="A1:AA269" xr:uid="{00000000-0009-0000-0100-00000A000000}"/>
  <tableColumns count="27">
    <tableColumn id="1" xr3:uid="{00000000-0010-0000-0100-000001000000}" name="Fecha/hora" dataDxfId="4412"/>
    <tableColumn id="2" xr3:uid="{00000000-0010-0000-0100-000002000000}" name="Topo Maq"/>
    <tableColumn id="3" xr3:uid="{00000000-0010-0000-0100-000003000000}" name="Maquina"/>
    <tableColumn id="4" xr3:uid="{00000000-0010-0000-0100-000004000000}" name="Fecha" dataDxfId="4411"/>
    <tableColumn id="5" xr3:uid="{00000000-0010-0000-0100-000005000000}" name="Maquinista"/>
    <tableColumn id="6" xr3:uid="{00000000-0010-0000-0100-000006000000}" name="Tipo MP"/>
    <tableColumn id="7" xr3:uid="{00000000-0010-0000-0100-000007000000}" name="Material 1"/>
    <tableColumn id="8" xr3:uid="{00000000-0010-0000-0100-000008000000}" name="Material 2"/>
    <tableColumn id="9" xr3:uid="{00000000-0010-0000-0100-000009000000}" name="Molde"/>
    <tableColumn id="10" xr3:uid="{00000000-0010-0000-0100-00000A000000}" name="Pieza-Color"/>
    <tableColumn id="11" xr3:uid="{00000000-0010-0000-0100-00000B000000}" name="Coladas"/>
    <tableColumn id="12" xr3:uid="{00000000-0010-0000-0100-00000C000000}" name="Horas Trab."/>
    <tableColumn id="13" xr3:uid="{00000000-0010-0000-0100-00000D000000}" name="Peso Real (Kg)"/>
    <tableColumn id="14" xr3:uid="{00000000-0010-0000-0100-00000E000000}" name="Turno"/>
    <tableColumn id="15" xr3:uid="{00000000-0010-0000-0100-00000F000000}" name="Cantidad x Bulto"/>
    <tableColumn id="16" xr3:uid="{00000000-0010-0000-0100-000010000000}" name="#Bultos"/>
    <tableColumn id="17" xr3:uid="{00000000-0010-0000-0100-000011000000}" name="Nº OP"/>
    <tableColumn id="18" xr3:uid="{00000000-0010-0000-0100-000012000000}" name="#Doc. Registro"/>
    <tableColumn id="19" xr3:uid="{00000000-0010-0000-0100-000013000000}" name="Peso Aprox. (Kg)"/>
    <tableColumn id="20" xr3:uid="{00000000-0010-0000-0100-000014000000}" name="Peso (kg)"/>
    <tableColumn id="21" xr3:uid="{00000000-0010-0000-0100-000015000000}" name="Peso unitario (Gr)"/>
    <tableColumn id="22" xr3:uid="{00000000-0010-0000-0100-000016000000}" name="Cantidad Real"/>
    <tableColumn id="23" xr3:uid="{00000000-0010-0000-0100-000017000000}" name="MES"/>
    <tableColumn id="24" xr3:uid="{00000000-0010-0000-0100-000018000000}" name="AÑO"/>
    <tableColumn id="25" xr3:uid="{00000000-0010-0000-0100-000019000000}" name="SEMANA"/>
    <tableColumn id="26" xr3:uid="{00000000-0010-0000-0100-00001A000000}" name="Cavidades"/>
    <tableColumn id="27" xr3:uid="{00000000-0010-0000-0100-00001B000000}" name="DOC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la12" displayName="Tabla12" ref="A1:AA269" totalsRowShown="0">
  <autoFilter ref="A1:AA269" xr:uid="{00000000-0009-0000-0100-00000C000000}"/>
  <tableColumns count="27">
    <tableColumn id="1" xr3:uid="{00000000-0010-0000-0200-000001000000}" name="Fecha/hora" dataDxfId="4410"/>
    <tableColumn id="2" xr3:uid="{00000000-0010-0000-0200-000002000000}" name="Topo Maq"/>
    <tableColumn id="3" xr3:uid="{00000000-0010-0000-0200-000003000000}" name="Maquina"/>
    <tableColumn id="4" xr3:uid="{00000000-0010-0000-0200-000004000000}" name="Fecha" dataDxfId="4409"/>
    <tableColumn id="5" xr3:uid="{00000000-0010-0000-0200-000005000000}" name="Maquinista"/>
    <tableColumn id="6" xr3:uid="{00000000-0010-0000-0200-000006000000}" name="Tipo MP"/>
    <tableColumn id="7" xr3:uid="{00000000-0010-0000-0200-000007000000}" name="Material 1"/>
    <tableColumn id="8" xr3:uid="{00000000-0010-0000-0200-000008000000}" name="Material 2"/>
    <tableColumn id="9" xr3:uid="{00000000-0010-0000-0200-000009000000}" name="Molde"/>
    <tableColumn id="10" xr3:uid="{00000000-0010-0000-0200-00000A000000}" name="Pieza-Color"/>
    <tableColumn id="11" xr3:uid="{00000000-0010-0000-0200-00000B000000}" name="Coladas"/>
    <tableColumn id="12" xr3:uid="{00000000-0010-0000-0200-00000C000000}" name="Horas Trab."/>
    <tableColumn id="13" xr3:uid="{00000000-0010-0000-0200-00000D000000}" name="Peso Real (Kg)"/>
    <tableColumn id="14" xr3:uid="{00000000-0010-0000-0200-00000E000000}" name="Turno"/>
    <tableColumn id="15" xr3:uid="{00000000-0010-0000-0200-00000F000000}" name="Cantidad x Bulto"/>
    <tableColumn id="16" xr3:uid="{00000000-0010-0000-0200-000010000000}" name="#Bultos"/>
    <tableColumn id="17" xr3:uid="{00000000-0010-0000-0200-000011000000}" name="Nº OP"/>
    <tableColumn id="18" xr3:uid="{00000000-0010-0000-0200-000012000000}" name="#Doc. Registro"/>
    <tableColumn id="19" xr3:uid="{00000000-0010-0000-0200-000013000000}" name="Peso Aprox. (Kg)"/>
    <tableColumn id="20" xr3:uid="{00000000-0010-0000-0200-000014000000}" name="Peso (kg)"/>
    <tableColumn id="21" xr3:uid="{00000000-0010-0000-0200-000015000000}" name="Peso unitario (Gr)"/>
    <tableColumn id="22" xr3:uid="{00000000-0010-0000-0200-000016000000}" name="Cantidad Real"/>
    <tableColumn id="23" xr3:uid="{00000000-0010-0000-0200-000017000000}" name="MES"/>
    <tableColumn id="24" xr3:uid="{00000000-0010-0000-0200-000018000000}" name="AÑO"/>
    <tableColumn id="25" xr3:uid="{00000000-0010-0000-0200-000019000000}" name="SEMANA"/>
    <tableColumn id="26" xr3:uid="{00000000-0010-0000-0200-00001A000000}" name="Cavidades"/>
    <tableColumn id="27" xr3:uid="{00000000-0010-0000-0200-00001B000000}" name="DOC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la13" displayName="Tabla13" ref="A1:AA269" totalsRowShown="0">
  <autoFilter ref="A1:AA269" xr:uid="{00000000-0009-0000-0100-00000D000000}"/>
  <tableColumns count="27">
    <tableColumn id="1" xr3:uid="{00000000-0010-0000-0300-000001000000}" name="Fecha/hora" dataDxfId="4408"/>
    <tableColumn id="2" xr3:uid="{00000000-0010-0000-0300-000002000000}" name="Topo Maq"/>
    <tableColumn id="3" xr3:uid="{00000000-0010-0000-0300-000003000000}" name="Maquina"/>
    <tableColumn id="4" xr3:uid="{00000000-0010-0000-0300-000004000000}" name="Fecha" dataDxfId="4407"/>
    <tableColumn id="5" xr3:uid="{00000000-0010-0000-0300-000005000000}" name="Maquinista"/>
    <tableColumn id="6" xr3:uid="{00000000-0010-0000-0300-000006000000}" name="Tipo MP"/>
    <tableColumn id="7" xr3:uid="{00000000-0010-0000-0300-000007000000}" name="Material 1"/>
    <tableColumn id="8" xr3:uid="{00000000-0010-0000-0300-000008000000}" name="Material 2"/>
    <tableColumn id="9" xr3:uid="{00000000-0010-0000-0300-000009000000}" name="Molde"/>
    <tableColumn id="10" xr3:uid="{00000000-0010-0000-0300-00000A000000}" name="Pieza-Color"/>
    <tableColumn id="11" xr3:uid="{00000000-0010-0000-0300-00000B000000}" name="Coladas"/>
    <tableColumn id="12" xr3:uid="{00000000-0010-0000-0300-00000C000000}" name="Horas Trab."/>
    <tableColumn id="13" xr3:uid="{00000000-0010-0000-0300-00000D000000}" name="Peso Real (Kg)"/>
    <tableColumn id="14" xr3:uid="{00000000-0010-0000-0300-00000E000000}" name="Turno"/>
    <tableColumn id="15" xr3:uid="{00000000-0010-0000-0300-00000F000000}" name="Cantidad x Bulto"/>
    <tableColumn id="16" xr3:uid="{00000000-0010-0000-0300-000010000000}" name="#Bultos"/>
    <tableColumn id="17" xr3:uid="{00000000-0010-0000-0300-000011000000}" name="Nº OP"/>
    <tableColumn id="18" xr3:uid="{00000000-0010-0000-0300-000012000000}" name="#Doc. Registro"/>
    <tableColumn id="19" xr3:uid="{00000000-0010-0000-0300-000013000000}" name="Peso Aprox. (Kg)"/>
    <tableColumn id="20" xr3:uid="{00000000-0010-0000-0300-000014000000}" name="Peso (kg)"/>
    <tableColumn id="21" xr3:uid="{00000000-0010-0000-0300-000015000000}" name="Peso unitario (Gr)"/>
    <tableColumn id="22" xr3:uid="{00000000-0010-0000-0300-000016000000}" name="Cantidad Real"/>
    <tableColumn id="23" xr3:uid="{00000000-0010-0000-0300-000017000000}" name="MES"/>
    <tableColumn id="24" xr3:uid="{00000000-0010-0000-0300-000018000000}" name="AÑO"/>
    <tableColumn id="25" xr3:uid="{00000000-0010-0000-0300-000019000000}" name="SEMANA"/>
    <tableColumn id="26" xr3:uid="{00000000-0010-0000-0300-00001A000000}" name="Cavidades"/>
    <tableColumn id="27" xr3:uid="{00000000-0010-0000-0300-00001B000000}" name="DOC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Tabla15" displayName="Tabla15" ref="A1:AA24" totalsRowShown="0">
  <autoFilter ref="A1:AA24" xr:uid="{00000000-0009-0000-0100-00000F000000}"/>
  <tableColumns count="27">
    <tableColumn id="1" xr3:uid="{00000000-0010-0000-0400-000001000000}" name="Fecha/hora" dataDxfId="4406"/>
    <tableColumn id="2" xr3:uid="{00000000-0010-0000-0400-000002000000}" name="Topo Maq"/>
    <tableColumn id="3" xr3:uid="{00000000-0010-0000-0400-000003000000}" name="Maquina"/>
    <tableColumn id="4" xr3:uid="{00000000-0010-0000-0400-000004000000}" name="Fecha" dataDxfId="4405"/>
    <tableColumn id="5" xr3:uid="{00000000-0010-0000-0400-000005000000}" name="Maquinista"/>
    <tableColumn id="6" xr3:uid="{00000000-0010-0000-0400-000006000000}" name="Tipo MP"/>
    <tableColumn id="7" xr3:uid="{00000000-0010-0000-0400-000007000000}" name="Material 1"/>
    <tableColumn id="8" xr3:uid="{00000000-0010-0000-0400-000008000000}" name="Material 2"/>
    <tableColumn id="9" xr3:uid="{00000000-0010-0000-0400-000009000000}" name="Molde"/>
    <tableColumn id="10" xr3:uid="{00000000-0010-0000-0400-00000A000000}" name="Pieza-Color"/>
    <tableColumn id="11" xr3:uid="{00000000-0010-0000-0400-00000B000000}" name="Coladas"/>
    <tableColumn id="12" xr3:uid="{00000000-0010-0000-0400-00000C000000}" name="Horas Trab."/>
    <tableColumn id="13" xr3:uid="{00000000-0010-0000-0400-00000D000000}" name="Peso Real (Kg)" dataDxfId="4404"/>
    <tableColumn id="14" xr3:uid="{00000000-0010-0000-0400-00000E000000}" name="Turno"/>
    <tableColumn id="15" xr3:uid="{00000000-0010-0000-0400-00000F000000}" name="Cantidad x Bulto"/>
    <tableColumn id="16" xr3:uid="{00000000-0010-0000-0400-000010000000}" name="#Bultos"/>
    <tableColumn id="17" xr3:uid="{00000000-0010-0000-0400-000011000000}" name="Nº OP"/>
    <tableColumn id="18" xr3:uid="{00000000-0010-0000-0400-000012000000}" name="#Doc. Registro"/>
    <tableColumn id="19" xr3:uid="{00000000-0010-0000-0400-000013000000}" name="Peso Aprox. (Kg)"/>
    <tableColumn id="20" xr3:uid="{00000000-0010-0000-0400-000014000000}" name="Peso (kg)"/>
    <tableColumn id="21" xr3:uid="{00000000-0010-0000-0400-000015000000}" name="Peso unitario (Gr)"/>
    <tableColumn id="22" xr3:uid="{00000000-0010-0000-0400-000016000000}" name="Cantidad Real"/>
    <tableColumn id="23" xr3:uid="{00000000-0010-0000-0400-000017000000}" name="MES"/>
    <tableColumn id="24" xr3:uid="{00000000-0010-0000-0400-000018000000}" name="AÑO"/>
    <tableColumn id="25" xr3:uid="{00000000-0010-0000-0400-000019000000}" name="SEMANA"/>
    <tableColumn id="26" xr3:uid="{00000000-0010-0000-0400-00001A000000}" name="Cavidades"/>
    <tableColumn id="27" xr3:uid="{00000000-0010-0000-0400-00001B000000}" name="DOC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A1:AA3" totalsRowShown="0">
  <autoFilter ref="A1:AA3" xr:uid="{00000000-0009-0000-0100-000010000000}"/>
  <tableColumns count="27">
    <tableColumn id="1" xr3:uid="{00000000-0010-0000-0500-000001000000}" name="Fecha/hora" dataDxfId="4403"/>
    <tableColumn id="2" xr3:uid="{00000000-0010-0000-0500-000002000000}" name="Topo Maq"/>
    <tableColumn id="3" xr3:uid="{00000000-0010-0000-0500-000003000000}" name="Maquina"/>
    <tableColumn id="4" xr3:uid="{00000000-0010-0000-0500-000004000000}" name="Fecha" dataDxfId="4402"/>
    <tableColumn id="5" xr3:uid="{00000000-0010-0000-0500-000005000000}" name="Maquinista"/>
    <tableColumn id="6" xr3:uid="{00000000-0010-0000-0500-000006000000}" name="Tipo MP"/>
    <tableColumn id="7" xr3:uid="{00000000-0010-0000-0500-000007000000}" name="Material 1"/>
    <tableColumn id="8" xr3:uid="{00000000-0010-0000-0500-000008000000}" name="Material 2"/>
    <tableColumn id="9" xr3:uid="{00000000-0010-0000-0500-000009000000}" name="Molde"/>
    <tableColumn id="10" xr3:uid="{00000000-0010-0000-0500-00000A000000}" name="Pieza-Color"/>
    <tableColumn id="11" xr3:uid="{00000000-0010-0000-0500-00000B000000}" name="Coladas"/>
    <tableColumn id="12" xr3:uid="{00000000-0010-0000-0500-00000C000000}" name="Horas Trab."/>
    <tableColumn id="13" xr3:uid="{00000000-0010-0000-0500-00000D000000}" name="Peso Real (Kg)"/>
    <tableColumn id="14" xr3:uid="{00000000-0010-0000-0500-00000E000000}" name="Turno"/>
    <tableColumn id="15" xr3:uid="{00000000-0010-0000-0500-00000F000000}" name="Cantidad x Bulto"/>
    <tableColumn id="16" xr3:uid="{00000000-0010-0000-0500-000010000000}" name="#Bultos"/>
    <tableColumn id="17" xr3:uid="{00000000-0010-0000-0500-000011000000}" name="Nº OP"/>
    <tableColumn id="18" xr3:uid="{00000000-0010-0000-0500-000012000000}" name="#Doc. Registro"/>
    <tableColumn id="19" xr3:uid="{00000000-0010-0000-0500-000013000000}" name="Peso Aprox. (Kg)"/>
    <tableColumn id="20" xr3:uid="{00000000-0010-0000-0500-000014000000}" name="Peso (kg)"/>
    <tableColumn id="21" xr3:uid="{00000000-0010-0000-0500-000015000000}" name="Peso unitario (Gr)"/>
    <tableColumn id="22" xr3:uid="{00000000-0010-0000-0500-000016000000}" name="Cantidad Real"/>
    <tableColumn id="23" xr3:uid="{00000000-0010-0000-0500-000017000000}" name="MES"/>
    <tableColumn id="24" xr3:uid="{00000000-0010-0000-0500-000018000000}" name="AÑO"/>
    <tableColumn id="25" xr3:uid="{00000000-0010-0000-0500-000019000000}" name="SEMANA"/>
    <tableColumn id="26" xr3:uid="{00000000-0010-0000-0500-00001A000000}" name="Cavidades"/>
    <tableColumn id="27" xr3:uid="{00000000-0010-0000-0500-00001B000000}" name="DOC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6000000}" name="Tabla17" displayName="Tabla17" ref="A1:AA3" totalsRowShown="0">
  <autoFilter ref="A1:AA3" xr:uid="{00000000-0009-0000-0100-000011000000}"/>
  <tableColumns count="27">
    <tableColumn id="1" xr3:uid="{00000000-0010-0000-0600-000001000000}" name="Fecha/hora" dataDxfId="4401"/>
    <tableColumn id="2" xr3:uid="{00000000-0010-0000-0600-000002000000}" name="Topo Maq"/>
    <tableColumn id="3" xr3:uid="{00000000-0010-0000-0600-000003000000}" name="Maquina"/>
    <tableColumn id="4" xr3:uid="{00000000-0010-0000-0600-000004000000}" name="Fecha" dataDxfId="4400"/>
    <tableColumn id="5" xr3:uid="{00000000-0010-0000-0600-000005000000}" name="Maquinista"/>
    <tableColumn id="6" xr3:uid="{00000000-0010-0000-0600-000006000000}" name="Tipo MP"/>
    <tableColumn id="7" xr3:uid="{00000000-0010-0000-0600-000007000000}" name="Material 1"/>
    <tableColumn id="8" xr3:uid="{00000000-0010-0000-0600-000008000000}" name="Material 2"/>
    <tableColumn id="9" xr3:uid="{00000000-0010-0000-0600-000009000000}" name="Molde"/>
    <tableColumn id="10" xr3:uid="{00000000-0010-0000-0600-00000A000000}" name="Pieza-Color"/>
    <tableColumn id="11" xr3:uid="{00000000-0010-0000-0600-00000B000000}" name="Coladas"/>
    <tableColumn id="12" xr3:uid="{00000000-0010-0000-0600-00000C000000}" name="Horas Trab."/>
    <tableColumn id="13" xr3:uid="{00000000-0010-0000-0600-00000D000000}" name="Peso Real (Kg)"/>
    <tableColumn id="14" xr3:uid="{00000000-0010-0000-0600-00000E000000}" name="Turno"/>
    <tableColumn id="15" xr3:uid="{00000000-0010-0000-0600-00000F000000}" name="Cantidad x Bulto"/>
    <tableColumn id="16" xr3:uid="{00000000-0010-0000-0600-000010000000}" name="#Bultos"/>
    <tableColumn id="17" xr3:uid="{00000000-0010-0000-0600-000011000000}" name="Nº OP"/>
    <tableColumn id="18" xr3:uid="{00000000-0010-0000-0600-000012000000}" name="#Doc. Registro"/>
    <tableColumn id="19" xr3:uid="{00000000-0010-0000-0600-000013000000}" name="Peso Aprox. (Kg)"/>
    <tableColumn id="20" xr3:uid="{00000000-0010-0000-0600-000014000000}" name="Peso (kg)"/>
    <tableColumn id="21" xr3:uid="{00000000-0010-0000-0600-000015000000}" name="Peso unitario (Gr)"/>
    <tableColumn id="22" xr3:uid="{00000000-0010-0000-0600-000016000000}" name="Cantidad Real"/>
    <tableColumn id="23" xr3:uid="{00000000-0010-0000-0600-000017000000}" name="MES"/>
    <tableColumn id="24" xr3:uid="{00000000-0010-0000-0600-000018000000}" name="AÑO"/>
    <tableColumn id="25" xr3:uid="{00000000-0010-0000-0600-000019000000}" name="SEMANA"/>
    <tableColumn id="26" xr3:uid="{00000000-0010-0000-0600-00001A000000}" name="Cavidades"/>
    <tableColumn id="27" xr3:uid="{00000000-0010-0000-0600-00001B000000}" name="DOC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7000000}" name="Tabla20" displayName="Tabla20" ref="A1:AA2" insertRow="1" totalsRowShown="0">
  <autoFilter ref="A1:AA2" xr:uid="{00000000-0009-0000-0100-000014000000}"/>
  <tableColumns count="27">
    <tableColumn id="1" xr3:uid="{00000000-0010-0000-0700-000001000000}" name="Fecha/hora"/>
    <tableColumn id="2" xr3:uid="{00000000-0010-0000-0700-000002000000}" name="Topo Maq"/>
    <tableColumn id="3" xr3:uid="{00000000-0010-0000-0700-000003000000}" name="Maquina"/>
    <tableColumn id="4" xr3:uid="{00000000-0010-0000-0700-000004000000}" name="Fecha"/>
    <tableColumn id="5" xr3:uid="{00000000-0010-0000-0700-000005000000}" name="Maquinista"/>
    <tableColumn id="6" xr3:uid="{00000000-0010-0000-0700-000006000000}" name="Tipo MP"/>
    <tableColumn id="7" xr3:uid="{00000000-0010-0000-0700-000007000000}" name="Material 1"/>
    <tableColumn id="8" xr3:uid="{00000000-0010-0000-0700-000008000000}" name="Material 2"/>
    <tableColumn id="9" xr3:uid="{00000000-0010-0000-0700-000009000000}" name="Molde"/>
    <tableColumn id="10" xr3:uid="{00000000-0010-0000-0700-00000A000000}" name="Pieza-Color"/>
    <tableColumn id="11" xr3:uid="{00000000-0010-0000-0700-00000B000000}" name="Coladas"/>
    <tableColumn id="12" xr3:uid="{00000000-0010-0000-0700-00000C000000}" name="Horas Trab."/>
    <tableColumn id="13" xr3:uid="{00000000-0010-0000-0700-00000D000000}" name="Peso Real (Kg)"/>
    <tableColumn id="14" xr3:uid="{00000000-0010-0000-0700-00000E000000}" name="Turno"/>
    <tableColumn id="15" xr3:uid="{00000000-0010-0000-0700-00000F000000}" name="Cantidad x Bulto"/>
    <tableColumn id="16" xr3:uid="{00000000-0010-0000-0700-000010000000}" name="#Bultos"/>
    <tableColumn id="17" xr3:uid="{00000000-0010-0000-0700-000011000000}" name="Nº OP"/>
    <tableColumn id="18" xr3:uid="{00000000-0010-0000-0700-000012000000}" name="#Doc. Registro"/>
    <tableColumn id="19" xr3:uid="{00000000-0010-0000-0700-000013000000}" name="Peso Aprox. (Kg)"/>
    <tableColumn id="20" xr3:uid="{00000000-0010-0000-0700-000014000000}" name="Peso (kg)"/>
    <tableColumn id="21" xr3:uid="{00000000-0010-0000-0700-000015000000}" name="Peso unitario (Gr)"/>
    <tableColumn id="22" xr3:uid="{00000000-0010-0000-0700-000016000000}" name="Cantidad Real"/>
    <tableColumn id="23" xr3:uid="{00000000-0010-0000-0700-000017000000}" name="MES"/>
    <tableColumn id="24" xr3:uid="{00000000-0010-0000-0700-000018000000}" name="AÑO"/>
    <tableColumn id="25" xr3:uid="{00000000-0010-0000-0700-000019000000}" name="SEMANA"/>
    <tableColumn id="26" xr3:uid="{00000000-0010-0000-0700-00001A000000}" name="Cavidades"/>
    <tableColumn id="27" xr3:uid="{00000000-0010-0000-0700-00001B000000}" name="DOC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8000000}" name="Tabla21" displayName="Tabla21" ref="A1:AA3" totalsRowShown="0">
  <autoFilter ref="A1:AA3" xr:uid="{00000000-0009-0000-0100-000015000000}"/>
  <tableColumns count="27">
    <tableColumn id="1" xr3:uid="{00000000-0010-0000-0800-000001000000}" name="Fecha/hora" dataDxfId="4399"/>
    <tableColumn id="2" xr3:uid="{00000000-0010-0000-0800-000002000000}" name="Topo Maq"/>
    <tableColumn id="3" xr3:uid="{00000000-0010-0000-0800-000003000000}" name="Maquina"/>
    <tableColumn id="4" xr3:uid="{00000000-0010-0000-0800-000004000000}" name="Fecha" dataDxfId="4398"/>
    <tableColumn id="5" xr3:uid="{00000000-0010-0000-0800-000005000000}" name="Maquinista"/>
    <tableColumn id="6" xr3:uid="{00000000-0010-0000-0800-000006000000}" name="Tipo MP"/>
    <tableColumn id="7" xr3:uid="{00000000-0010-0000-0800-000007000000}" name="Material 1"/>
    <tableColumn id="8" xr3:uid="{00000000-0010-0000-0800-000008000000}" name="Material 2"/>
    <tableColumn id="9" xr3:uid="{00000000-0010-0000-0800-000009000000}" name="Molde"/>
    <tableColumn id="10" xr3:uid="{00000000-0010-0000-0800-00000A000000}" name="Pieza-Color"/>
    <tableColumn id="11" xr3:uid="{00000000-0010-0000-0800-00000B000000}" name="Coladas"/>
    <tableColumn id="12" xr3:uid="{00000000-0010-0000-0800-00000C000000}" name="Horas Trab."/>
    <tableColumn id="13" xr3:uid="{00000000-0010-0000-0800-00000D000000}" name="Peso Real (Kg)"/>
    <tableColumn id="14" xr3:uid="{00000000-0010-0000-0800-00000E000000}" name="Turno"/>
    <tableColumn id="15" xr3:uid="{00000000-0010-0000-0800-00000F000000}" name="Cantidad x Bulto"/>
    <tableColumn id="16" xr3:uid="{00000000-0010-0000-0800-000010000000}" name="#Bultos"/>
    <tableColumn id="17" xr3:uid="{00000000-0010-0000-0800-000011000000}" name="Nº OP"/>
    <tableColumn id="18" xr3:uid="{00000000-0010-0000-0800-000012000000}" name="#Doc. Registro"/>
    <tableColumn id="19" xr3:uid="{00000000-0010-0000-0800-000013000000}" name="Peso Aprox. (Kg)"/>
    <tableColumn id="20" xr3:uid="{00000000-0010-0000-0800-000014000000}" name="Peso (kg)"/>
    <tableColumn id="21" xr3:uid="{00000000-0010-0000-0800-000015000000}" name="Peso unitario (Gr)"/>
    <tableColumn id="22" xr3:uid="{00000000-0010-0000-0800-000016000000}" name="Cantidad Real"/>
    <tableColumn id="23" xr3:uid="{00000000-0010-0000-0800-000017000000}" name="MES"/>
    <tableColumn id="24" xr3:uid="{00000000-0010-0000-0800-000018000000}" name="AÑO"/>
    <tableColumn id="25" xr3:uid="{00000000-0010-0000-0800-000019000000}" name="SEMANA"/>
    <tableColumn id="26" xr3:uid="{00000000-0010-0000-0800-00001A000000}" name="Cavidades"/>
    <tableColumn id="27" xr3:uid="{00000000-0010-0000-0800-00001B000000}" name="DO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la22" displayName="Tabla22" ref="A1:AA2" insertRow="1" totalsRowShown="0">
  <autoFilter ref="A1:AA2" xr:uid="{00000000-0009-0000-0100-000016000000}"/>
  <tableColumns count="27">
    <tableColumn id="1" xr3:uid="{00000000-0010-0000-0900-000001000000}" name="Fecha/hora"/>
    <tableColumn id="2" xr3:uid="{00000000-0010-0000-0900-000002000000}" name="Topo Maq"/>
    <tableColumn id="3" xr3:uid="{00000000-0010-0000-0900-000003000000}" name="Maquina"/>
    <tableColumn id="4" xr3:uid="{00000000-0010-0000-0900-000004000000}" name="Fecha"/>
    <tableColumn id="5" xr3:uid="{00000000-0010-0000-0900-000005000000}" name="Maquinista"/>
    <tableColumn id="6" xr3:uid="{00000000-0010-0000-0900-000006000000}" name="Tipo MP"/>
    <tableColumn id="7" xr3:uid="{00000000-0010-0000-0900-000007000000}" name="Material 1"/>
    <tableColumn id="8" xr3:uid="{00000000-0010-0000-0900-000008000000}" name="Material 2"/>
    <tableColumn id="9" xr3:uid="{00000000-0010-0000-0900-000009000000}" name="Molde"/>
    <tableColumn id="10" xr3:uid="{00000000-0010-0000-0900-00000A000000}" name="Pieza-Color"/>
    <tableColumn id="11" xr3:uid="{00000000-0010-0000-0900-00000B000000}" name="Coladas"/>
    <tableColumn id="12" xr3:uid="{00000000-0010-0000-0900-00000C000000}" name="Horas Trab."/>
    <tableColumn id="13" xr3:uid="{00000000-0010-0000-0900-00000D000000}" name="Peso Real (Kg)"/>
    <tableColumn id="14" xr3:uid="{00000000-0010-0000-0900-00000E000000}" name="Turno"/>
    <tableColumn id="15" xr3:uid="{00000000-0010-0000-0900-00000F000000}" name="Cantidad x Bulto"/>
    <tableColumn id="16" xr3:uid="{00000000-0010-0000-0900-000010000000}" name="#Bultos"/>
    <tableColumn id="17" xr3:uid="{00000000-0010-0000-0900-000011000000}" name="Nº OP"/>
    <tableColumn id="18" xr3:uid="{00000000-0010-0000-0900-000012000000}" name="#Doc. Registro"/>
    <tableColumn id="19" xr3:uid="{00000000-0010-0000-0900-000013000000}" name="Peso Aprox. (Kg)"/>
    <tableColumn id="20" xr3:uid="{00000000-0010-0000-0900-000014000000}" name="Peso (kg)"/>
    <tableColumn id="21" xr3:uid="{00000000-0010-0000-0900-000015000000}" name="Peso unitario (Gr)"/>
    <tableColumn id="22" xr3:uid="{00000000-0010-0000-0900-000016000000}" name="Cantidad Real"/>
    <tableColumn id="23" xr3:uid="{00000000-0010-0000-0900-000017000000}" name="MES"/>
    <tableColumn id="24" xr3:uid="{00000000-0010-0000-0900-000018000000}" name="AÑO"/>
    <tableColumn id="25" xr3:uid="{00000000-0010-0000-0900-000019000000}" name="SEMANA"/>
    <tableColumn id="26" xr3:uid="{00000000-0010-0000-0900-00001A000000}" name="Cavidades"/>
    <tableColumn id="27" xr3:uid="{00000000-0010-0000-0900-00001B000000}" name="DOC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A000000}" name="Tabla23" displayName="Tabla23" ref="A1:AA2" insertRow="1" totalsRowShown="0">
  <autoFilter ref="A1:AA2" xr:uid="{00000000-0009-0000-0100-000017000000}"/>
  <tableColumns count="27">
    <tableColumn id="1" xr3:uid="{00000000-0010-0000-0A00-000001000000}" name="Fecha/hora"/>
    <tableColumn id="2" xr3:uid="{00000000-0010-0000-0A00-000002000000}" name="Topo Maq"/>
    <tableColumn id="3" xr3:uid="{00000000-0010-0000-0A00-000003000000}" name="Maquina"/>
    <tableColumn id="4" xr3:uid="{00000000-0010-0000-0A00-000004000000}" name="Fecha"/>
    <tableColumn id="5" xr3:uid="{00000000-0010-0000-0A00-000005000000}" name="Maquinista"/>
    <tableColumn id="6" xr3:uid="{00000000-0010-0000-0A00-000006000000}" name="Tipo MP"/>
    <tableColumn id="7" xr3:uid="{00000000-0010-0000-0A00-000007000000}" name="Material 1"/>
    <tableColumn id="8" xr3:uid="{00000000-0010-0000-0A00-000008000000}" name="Material 2"/>
    <tableColumn id="9" xr3:uid="{00000000-0010-0000-0A00-000009000000}" name="Molde"/>
    <tableColumn id="10" xr3:uid="{00000000-0010-0000-0A00-00000A000000}" name="Pieza-Color"/>
    <tableColumn id="11" xr3:uid="{00000000-0010-0000-0A00-00000B000000}" name="Coladas"/>
    <tableColumn id="12" xr3:uid="{00000000-0010-0000-0A00-00000C000000}" name="Horas Trab."/>
    <tableColumn id="13" xr3:uid="{00000000-0010-0000-0A00-00000D000000}" name="Peso Real (Kg)"/>
    <tableColumn id="14" xr3:uid="{00000000-0010-0000-0A00-00000E000000}" name="Turno"/>
    <tableColumn id="15" xr3:uid="{00000000-0010-0000-0A00-00000F000000}" name="Cantidad x Bulto"/>
    <tableColumn id="16" xr3:uid="{00000000-0010-0000-0A00-000010000000}" name="#Bultos"/>
    <tableColumn id="17" xr3:uid="{00000000-0010-0000-0A00-000011000000}" name="Nº OP"/>
    <tableColumn id="18" xr3:uid="{00000000-0010-0000-0A00-000012000000}" name="#Doc. Registro"/>
    <tableColumn id="19" xr3:uid="{00000000-0010-0000-0A00-000013000000}" name="Peso Aprox. (Kg)"/>
    <tableColumn id="20" xr3:uid="{00000000-0010-0000-0A00-000014000000}" name="Peso (kg)"/>
    <tableColumn id="21" xr3:uid="{00000000-0010-0000-0A00-000015000000}" name="Peso unitario (Gr)"/>
    <tableColumn id="22" xr3:uid="{00000000-0010-0000-0A00-000016000000}" name="Cantidad Real"/>
    <tableColumn id="23" xr3:uid="{00000000-0010-0000-0A00-000017000000}" name="MES"/>
    <tableColumn id="24" xr3:uid="{00000000-0010-0000-0A00-000018000000}" name="AÑO"/>
    <tableColumn id="25" xr3:uid="{00000000-0010-0000-0A00-000019000000}" name="SEMANA"/>
    <tableColumn id="26" xr3:uid="{00000000-0010-0000-0A00-00001A000000}" name="Cavidades"/>
    <tableColumn id="27" xr3:uid="{00000000-0010-0000-0A00-00001B000000}" name="DO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B000000}" name="Tabla24" displayName="Tabla24" ref="A1:AA5" totalsRowShown="0">
  <autoFilter ref="A1:AA5" xr:uid="{00000000-0009-0000-0100-000018000000}"/>
  <tableColumns count="27">
    <tableColumn id="1" xr3:uid="{00000000-0010-0000-0B00-000001000000}" name="Fecha/hora" dataDxfId="4397"/>
    <tableColumn id="2" xr3:uid="{00000000-0010-0000-0B00-000002000000}" name="Topo Maq"/>
    <tableColumn id="3" xr3:uid="{00000000-0010-0000-0B00-000003000000}" name="Maquina"/>
    <tableColumn id="4" xr3:uid="{00000000-0010-0000-0B00-000004000000}" name="Fecha" dataDxfId="4396"/>
    <tableColumn id="5" xr3:uid="{00000000-0010-0000-0B00-000005000000}" name="Maquinista"/>
    <tableColumn id="6" xr3:uid="{00000000-0010-0000-0B00-000006000000}" name="Tipo MP"/>
    <tableColumn id="7" xr3:uid="{00000000-0010-0000-0B00-000007000000}" name="Material 1"/>
    <tableColumn id="8" xr3:uid="{00000000-0010-0000-0B00-000008000000}" name="Material 2"/>
    <tableColumn id="9" xr3:uid="{00000000-0010-0000-0B00-000009000000}" name="Molde"/>
    <tableColumn id="10" xr3:uid="{00000000-0010-0000-0B00-00000A000000}" name="Pieza-Color"/>
    <tableColumn id="11" xr3:uid="{00000000-0010-0000-0B00-00000B000000}" name="Coladas"/>
    <tableColumn id="12" xr3:uid="{00000000-0010-0000-0B00-00000C000000}" name="Horas Trab."/>
    <tableColumn id="13" xr3:uid="{00000000-0010-0000-0B00-00000D000000}" name="Peso Real (Kg)"/>
    <tableColumn id="14" xr3:uid="{00000000-0010-0000-0B00-00000E000000}" name="Turno"/>
    <tableColumn id="15" xr3:uid="{00000000-0010-0000-0B00-00000F000000}" name="Cantidad x Bulto"/>
    <tableColumn id="16" xr3:uid="{00000000-0010-0000-0B00-000010000000}" name="#Bultos"/>
    <tableColumn id="17" xr3:uid="{00000000-0010-0000-0B00-000011000000}" name="Nº OP"/>
    <tableColumn id="18" xr3:uid="{00000000-0010-0000-0B00-000012000000}" name="#Doc. Registro"/>
    <tableColumn id="19" xr3:uid="{00000000-0010-0000-0B00-000013000000}" name="Peso Aprox. (Kg)"/>
    <tableColumn id="20" xr3:uid="{00000000-0010-0000-0B00-000014000000}" name="Peso (kg)"/>
    <tableColumn id="21" xr3:uid="{00000000-0010-0000-0B00-000015000000}" name="Peso unitario (Gr)"/>
    <tableColumn id="22" xr3:uid="{00000000-0010-0000-0B00-000016000000}" name="Cantidad Real"/>
    <tableColumn id="23" xr3:uid="{00000000-0010-0000-0B00-000017000000}" name="MES"/>
    <tableColumn id="24" xr3:uid="{00000000-0010-0000-0B00-000018000000}" name="AÑO"/>
    <tableColumn id="25" xr3:uid="{00000000-0010-0000-0B00-000019000000}" name="SEMANA"/>
    <tableColumn id="26" xr3:uid="{00000000-0010-0000-0B00-00001A000000}" name="Cavidades"/>
    <tableColumn id="27" xr3:uid="{00000000-0010-0000-0B00-00001B000000}" name="DOC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C000000}" name="Tabla30" displayName="Tabla30" ref="A1:AA2" totalsRowShown="0">
  <autoFilter ref="A1:AA2" xr:uid="{00000000-0009-0000-0100-00001E000000}"/>
  <tableColumns count="27">
    <tableColumn id="1" xr3:uid="{00000000-0010-0000-0C00-000001000000}" name="Fecha/hora" dataDxfId="4395"/>
    <tableColumn id="2" xr3:uid="{00000000-0010-0000-0C00-000002000000}" name="Topo Maq"/>
    <tableColumn id="3" xr3:uid="{00000000-0010-0000-0C00-000003000000}" name="Maquina"/>
    <tableColumn id="4" xr3:uid="{00000000-0010-0000-0C00-000004000000}" name="FECHA" dataDxfId="4394"/>
    <tableColumn id="5" xr3:uid="{00000000-0010-0000-0C00-000005000000}" name="Maquinista"/>
    <tableColumn id="6" xr3:uid="{00000000-0010-0000-0C00-000006000000}" name="Tipo MP"/>
    <tableColumn id="7" xr3:uid="{00000000-0010-0000-0C00-000007000000}" name="Material 1"/>
    <tableColumn id="8" xr3:uid="{00000000-0010-0000-0C00-000008000000}" name="Material 2"/>
    <tableColumn id="9" xr3:uid="{00000000-0010-0000-0C00-000009000000}" name="Molde"/>
    <tableColumn id="10" xr3:uid="{00000000-0010-0000-0C00-00000A000000}" name="Pieza-Color"/>
    <tableColumn id="11" xr3:uid="{00000000-0010-0000-0C00-00000B000000}" name="Coladas"/>
    <tableColumn id="12" xr3:uid="{00000000-0010-0000-0C00-00000C000000}" name="Horas Trab."/>
    <tableColumn id="13" xr3:uid="{00000000-0010-0000-0C00-00000D000000}" name="Peso Real (Kg)"/>
    <tableColumn id="14" xr3:uid="{00000000-0010-0000-0C00-00000E000000}" name="Turno"/>
    <tableColumn id="15" xr3:uid="{00000000-0010-0000-0C00-00000F000000}" name="Cantidad x Bulto"/>
    <tableColumn id="16" xr3:uid="{00000000-0010-0000-0C00-000010000000}" name="#Bultos"/>
    <tableColumn id="17" xr3:uid="{00000000-0010-0000-0C00-000011000000}" name="Nº OP"/>
    <tableColumn id="18" xr3:uid="{00000000-0010-0000-0C00-000012000000}" name="#Doc. Registro"/>
    <tableColumn id="19" xr3:uid="{00000000-0010-0000-0C00-000013000000}" name="Peso Aprox. (Kg)"/>
    <tableColumn id="20" xr3:uid="{00000000-0010-0000-0C00-000014000000}" name="Peso (kg)"/>
    <tableColumn id="21" xr3:uid="{00000000-0010-0000-0C00-000015000000}" name="Peso unitario (Gr)"/>
    <tableColumn id="22" xr3:uid="{00000000-0010-0000-0C00-000016000000}" name="Cantidad Real"/>
    <tableColumn id="23" xr3:uid="{00000000-0010-0000-0C00-000017000000}" name="MES"/>
    <tableColumn id="24" xr3:uid="{00000000-0010-0000-0C00-000018000000}" name="AÑO"/>
    <tableColumn id="25" xr3:uid="{00000000-0010-0000-0C00-000019000000}" name="SEMANA"/>
    <tableColumn id="26" xr3:uid="{00000000-0010-0000-0C00-00001A000000}" name="Cavidades"/>
    <tableColumn id="27" xr3:uid="{00000000-0010-0000-0C00-00001B000000}" name="DOC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D000000}" name="Tabla31" displayName="Tabla31" ref="A1:AA4" totalsRowShown="0">
  <autoFilter ref="A1:AA4" xr:uid="{00000000-0009-0000-0100-00001F000000}"/>
  <tableColumns count="27">
    <tableColumn id="1" xr3:uid="{00000000-0010-0000-0D00-000001000000}" name="Fecha/hora" dataDxfId="4393"/>
    <tableColumn id="2" xr3:uid="{00000000-0010-0000-0D00-000002000000}" name="Topo Maq"/>
    <tableColumn id="3" xr3:uid="{00000000-0010-0000-0D00-000003000000}" name="Maquina"/>
    <tableColumn id="4" xr3:uid="{00000000-0010-0000-0D00-000004000000}" name="FECHA" dataDxfId="4392"/>
    <tableColumn id="5" xr3:uid="{00000000-0010-0000-0D00-000005000000}" name="Maquinista"/>
    <tableColumn id="6" xr3:uid="{00000000-0010-0000-0D00-000006000000}" name="Tipo MP"/>
    <tableColumn id="7" xr3:uid="{00000000-0010-0000-0D00-000007000000}" name="Material 1"/>
    <tableColumn id="8" xr3:uid="{00000000-0010-0000-0D00-000008000000}" name="Material 2"/>
    <tableColumn id="9" xr3:uid="{00000000-0010-0000-0D00-000009000000}" name="Molde"/>
    <tableColumn id="10" xr3:uid="{00000000-0010-0000-0D00-00000A000000}" name="Pieza-Color"/>
    <tableColumn id="11" xr3:uid="{00000000-0010-0000-0D00-00000B000000}" name="Coladas"/>
    <tableColumn id="12" xr3:uid="{00000000-0010-0000-0D00-00000C000000}" name="Horas Trab."/>
    <tableColumn id="13" xr3:uid="{00000000-0010-0000-0D00-00000D000000}" name="Peso Real (Kg)"/>
    <tableColumn id="14" xr3:uid="{00000000-0010-0000-0D00-00000E000000}" name="Turno"/>
    <tableColumn id="15" xr3:uid="{00000000-0010-0000-0D00-00000F000000}" name="Cantidad x Bulto"/>
    <tableColumn id="16" xr3:uid="{00000000-0010-0000-0D00-000010000000}" name="#Bultos"/>
    <tableColumn id="17" xr3:uid="{00000000-0010-0000-0D00-000011000000}" name="Nº OP"/>
    <tableColumn id="18" xr3:uid="{00000000-0010-0000-0D00-000012000000}" name="#Doc. Registro"/>
    <tableColumn id="19" xr3:uid="{00000000-0010-0000-0D00-000013000000}" name="Peso Aprox. (Kg)"/>
    <tableColumn id="20" xr3:uid="{00000000-0010-0000-0D00-000014000000}" name="Peso (kg)"/>
    <tableColumn id="21" xr3:uid="{00000000-0010-0000-0D00-000015000000}" name="Peso unitario (Gr)"/>
    <tableColumn id="22" xr3:uid="{00000000-0010-0000-0D00-000016000000}" name="Cantidad Real"/>
    <tableColumn id="23" xr3:uid="{00000000-0010-0000-0D00-000017000000}" name="MES"/>
    <tableColumn id="24" xr3:uid="{00000000-0010-0000-0D00-000018000000}" name="AÑO"/>
    <tableColumn id="25" xr3:uid="{00000000-0010-0000-0D00-000019000000}" name="SEMANA"/>
    <tableColumn id="26" xr3:uid="{00000000-0010-0000-0D00-00001A000000}" name="Cavidades"/>
    <tableColumn id="27" xr3:uid="{00000000-0010-0000-0D00-00001B000000}" name="DOC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E000000}" name="Tabla32" displayName="Tabla32" ref="A1:AA3" totalsRowShown="0">
  <autoFilter ref="A1:AA3" xr:uid="{00000000-0009-0000-0100-000020000000}"/>
  <tableColumns count="27">
    <tableColumn id="1" xr3:uid="{00000000-0010-0000-0E00-000001000000}" name="Fecha/hora" dataDxfId="4391"/>
    <tableColumn id="2" xr3:uid="{00000000-0010-0000-0E00-000002000000}" name="Topo Maq"/>
    <tableColumn id="3" xr3:uid="{00000000-0010-0000-0E00-000003000000}" name="Maquina"/>
    <tableColumn id="4" xr3:uid="{00000000-0010-0000-0E00-000004000000}" name="FECHA" dataDxfId="4390"/>
    <tableColumn id="5" xr3:uid="{00000000-0010-0000-0E00-000005000000}" name="Maquinista"/>
    <tableColumn id="6" xr3:uid="{00000000-0010-0000-0E00-000006000000}" name="Tipo MP"/>
    <tableColumn id="7" xr3:uid="{00000000-0010-0000-0E00-000007000000}" name="Material 1"/>
    <tableColumn id="8" xr3:uid="{00000000-0010-0000-0E00-000008000000}" name="Material 2"/>
    <tableColumn id="9" xr3:uid="{00000000-0010-0000-0E00-000009000000}" name="Molde"/>
    <tableColumn id="10" xr3:uid="{00000000-0010-0000-0E00-00000A000000}" name="Pieza-Color"/>
    <tableColumn id="11" xr3:uid="{00000000-0010-0000-0E00-00000B000000}" name="Coladas"/>
    <tableColumn id="12" xr3:uid="{00000000-0010-0000-0E00-00000C000000}" name="Horas Trab."/>
    <tableColumn id="13" xr3:uid="{00000000-0010-0000-0E00-00000D000000}" name="Peso Real (Kg)"/>
    <tableColumn id="14" xr3:uid="{00000000-0010-0000-0E00-00000E000000}" name="Turno"/>
    <tableColumn id="15" xr3:uid="{00000000-0010-0000-0E00-00000F000000}" name="Cantidad x Bulto"/>
    <tableColumn id="16" xr3:uid="{00000000-0010-0000-0E00-000010000000}" name="#Bultos"/>
    <tableColumn id="17" xr3:uid="{00000000-0010-0000-0E00-000011000000}" name="Nº OP"/>
    <tableColumn id="18" xr3:uid="{00000000-0010-0000-0E00-000012000000}" name="#Doc. Registro"/>
    <tableColumn id="19" xr3:uid="{00000000-0010-0000-0E00-000013000000}" name="Peso Aprox. (Kg)"/>
    <tableColumn id="20" xr3:uid="{00000000-0010-0000-0E00-000014000000}" name="Peso (kg)"/>
    <tableColumn id="21" xr3:uid="{00000000-0010-0000-0E00-000015000000}" name="Peso unitario (Gr)"/>
    <tableColumn id="22" xr3:uid="{00000000-0010-0000-0E00-000016000000}" name="Cantidad Real"/>
    <tableColumn id="23" xr3:uid="{00000000-0010-0000-0E00-000017000000}" name="MES"/>
    <tableColumn id="24" xr3:uid="{00000000-0010-0000-0E00-000018000000}" name="AÑO"/>
    <tableColumn id="25" xr3:uid="{00000000-0010-0000-0E00-000019000000}" name="SEMANA"/>
    <tableColumn id="26" xr3:uid="{00000000-0010-0000-0E00-00001A000000}" name="Cavidades"/>
    <tableColumn id="27" xr3:uid="{00000000-0010-0000-0E00-00001B000000}" name="DOC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F000000}" name="Tabla33" displayName="Tabla33" ref="A1:AA2" totalsRowShown="0">
  <autoFilter ref="A1:AA2" xr:uid="{00000000-0009-0000-0100-000021000000}"/>
  <tableColumns count="27">
    <tableColumn id="1" xr3:uid="{00000000-0010-0000-0F00-000001000000}" name="Fecha/hora" dataDxfId="4389"/>
    <tableColumn id="2" xr3:uid="{00000000-0010-0000-0F00-000002000000}" name="Topo Maq"/>
    <tableColumn id="3" xr3:uid="{00000000-0010-0000-0F00-000003000000}" name="Maquina"/>
    <tableColumn id="4" xr3:uid="{00000000-0010-0000-0F00-000004000000}" name="FECHA" dataDxfId="4388"/>
    <tableColumn id="5" xr3:uid="{00000000-0010-0000-0F00-000005000000}" name="Maquinista"/>
    <tableColumn id="6" xr3:uid="{00000000-0010-0000-0F00-000006000000}" name="Tipo MP"/>
    <tableColumn id="7" xr3:uid="{00000000-0010-0000-0F00-000007000000}" name="Material 1"/>
    <tableColumn id="8" xr3:uid="{00000000-0010-0000-0F00-000008000000}" name="Material 2"/>
    <tableColumn id="9" xr3:uid="{00000000-0010-0000-0F00-000009000000}" name="Molde"/>
    <tableColumn id="10" xr3:uid="{00000000-0010-0000-0F00-00000A000000}" name="Pieza-Color"/>
    <tableColumn id="11" xr3:uid="{00000000-0010-0000-0F00-00000B000000}" name="Coladas"/>
    <tableColumn id="12" xr3:uid="{00000000-0010-0000-0F00-00000C000000}" name="Horas Trab."/>
    <tableColumn id="13" xr3:uid="{00000000-0010-0000-0F00-00000D000000}" name="Peso Real (Kg)"/>
    <tableColumn id="14" xr3:uid="{00000000-0010-0000-0F00-00000E000000}" name="Turno"/>
    <tableColumn id="15" xr3:uid="{00000000-0010-0000-0F00-00000F000000}" name="Cantidad x Bulto"/>
    <tableColumn id="16" xr3:uid="{00000000-0010-0000-0F00-000010000000}" name="#Bultos"/>
    <tableColumn id="17" xr3:uid="{00000000-0010-0000-0F00-000011000000}" name="Nº OP"/>
    <tableColumn id="18" xr3:uid="{00000000-0010-0000-0F00-000012000000}" name="#Doc. Registro"/>
    <tableColumn id="19" xr3:uid="{00000000-0010-0000-0F00-000013000000}" name="Peso Aprox. (Kg)"/>
    <tableColumn id="20" xr3:uid="{00000000-0010-0000-0F00-000014000000}" name="Peso (kg)"/>
    <tableColumn id="21" xr3:uid="{00000000-0010-0000-0F00-000015000000}" name="Peso unitario (Gr)"/>
    <tableColumn id="22" xr3:uid="{00000000-0010-0000-0F00-000016000000}" name="Cantidad Real"/>
    <tableColumn id="23" xr3:uid="{00000000-0010-0000-0F00-000017000000}" name="MES"/>
    <tableColumn id="24" xr3:uid="{00000000-0010-0000-0F00-000018000000}" name="AÑO"/>
    <tableColumn id="25" xr3:uid="{00000000-0010-0000-0F00-000019000000}" name="SEMANA"/>
    <tableColumn id="26" xr3:uid="{00000000-0010-0000-0F00-00001A000000}" name="Cavidades"/>
    <tableColumn id="27" xr3:uid="{00000000-0010-0000-0F00-00001B000000}" name="DOC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0000000}" name="Tabla34" displayName="Tabla34" ref="A1:AA2" totalsRowShown="0">
  <autoFilter ref="A1:AA2" xr:uid="{00000000-0009-0000-0100-000022000000}"/>
  <tableColumns count="27">
    <tableColumn id="1" xr3:uid="{00000000-0010-0000-1000-000001000000}" name="Fecha/hora" dataDxfId="4387"/>
    <tableColumn id="2" xr3:uid="{00000000-0010-0000-1000-000002000000}" name="Topo Maq"/>
    <tableColumn id="3" xr3:uid="{00000000-0010-0000-1000-000003000000}" name="Maquina"/>
    <tableColumn id="4" xr3:uid="{00000000-0010-0000-1000-000004000000}" name="FECHA" dataDxfId="4386"/>
    <tableColumn id="5" xr3:uid="{00000000-0010-0000-1000-000005000000}" name="Maquinista"/>
    <tableColumn id="6" xr3:uid="{00000000-0010-0000-1000-000006000000}" name="Tipo MP"/>
    <tableColumn id="7" xr3:uid="{00000000-0010-0000-1000-000007000000}" name="Material 1"/>
    <tableColumn id="8" xr3:uid="{00000000-0010-0000-1000-000008000000}" name="Material 2"/>
    <tableColumn id="9" xr3:uid="{00000000-0010-0000-1000-000009000000}" name="Molde"/>
    <tableColumn id="10" xr3:uid="{00000000-0010-0000-1000-00000A000000}" name="Pieza-Color"/>
    <tableColumn id="11" xr3:uid="{00000000-0010-0000-1000-00000B000000}" name="Coladas"/>
    <tableColumn id="12" xr3:uid="{00000000-0010-0000-1000-00000C000000}" name="Horas Trab."/>
    <tableColumn id="13" xr3:uid="{00000000-0010-0000-1000-00000D000000}" name="Peso Real (Kg)"/>
    <tableColumn id="14" xr3:uid="{00000000-0010-0000-1000-00000E000000}" name="Turno"/>
    <tableColumn id="15" xr3:uid="{00000000-0010-0000-1000-00000F000000}" name="Cantidad x Bulto"/>
    <tableColumn id="16" xr3:uid="{00000000-0010-0000-1000-000010000000}" name="#Bultos"/>
    <tableColumn id="17" xr3:uid="{00000000-0010-0000-1000-000011000000}" name="Nº OP"/>
    <tableColumn id="18" xr3:uid="{00000000-0010-0000-1000-000012000000}" name="#Doc. Registro"/>
    <tableColumn id="19" xr3:uid="{00000000-0010-0000-1000-000013000000}" name="Peso Aprox. (Kg)"/>
    <tableColumn id="20" xr3:uid="{00000000-0010-0000-1000-000014000000}" name="Peso (kg)"/>
    <tableColumn id="21" xr3:uid="{00000000-0010-0000-1000-000015000000}" name="Peso unitario (Gr)"/>
    <tableColumn id="22" xr3:uid="{00000000-0010-0000-1000-000016000000}" name="Cantidad Real"/>
    <tableColumn id="23" xr3:uid="{00000000-0010-0000-1000-000017000000}" name="MES"/>
    <tableColumn id="24" xr3:uid="{00000000-0010-0000-1000-000018000000}" name="AÑO"/>
    <tableColumn id="25" xr3:uid="{00000000-0010-0000-1000-000019000000}" name="SEMANA"/>
    <tableColumn id="26" xr3:uid="{00000000-0010-0000-1000-00001A000000}" name="Cavidades"/>
    <tableColumn id="27" xr3:uid="{00000000-0010-0000-1000-00001B000000}" name="DOC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1000000}" name="Tabla35" displayName="Tabla35" ref="A1:AA2" totalsRowShown="0">
  <autoFilter ref="A1:AA2" xr:uid="{00000000-0009-0000-0100-000023000000}"/>
  <tableColumns count="27">
    <tableColumn id="1" xr3:uid="{00000000-0010-0000-1100-000001000000}" name="Fecha/hora" dataDxfId="4385"/>
    <tableColumn id="2" xr3:uid="{00000000-0010-0000-1100-000002000000}" name="Topo Maq"/>
    <tableColumn id="3" xr3:uid="{00000000-0010-0000-1100-000003000000}" name="Maquina"/>
    <tableColumn id="4" xr3:uid="{00000000-0010-0000-1100-000004000000}" name="FECHA" dataDxfId="4384"/>
    <tableColumn id="5" xr3:uid="{00000000-0010-0000-1100-000005000000}" name="Maquinista"/>
    <tableColumn id="6" xr3:uid="{00000000-0010-0000-1100-000006000000}" name="Tipo MP"/>
    <tableColumn id="7" xr3:uid="{00000000-0010-0000-1100-000007000000}" name="Material 1"/>
    <tableColumn id="8" xr3:uid="{00000000-0010-0000-1100-000008000000}" name="Material 2"/>
    <tableColumn id="9" xr3:uid="{00000000-0010-0000-1100-000009000000}" name="Molde"/>
    <tableColumn id="10" xr3:uid="{00000000-0010-0000-1100-00000A000000}" name="Pieza-Color"/>
    <tableColumn id="11" xr3:uid="{00000000-0010-0000-1100-00000B000000}" name="Coladas"/>
    <tableColumn id="12" xr3:uid="{00000000-0010-0000-1100-00000C000000}" name="Horas Trab."/>
    <tableColumn id="13" xr3:uid="{00000000-0010-0000-1100-00000D000000}" name="Peso Real (Kg)"/>
    <tableColumn id="14" xr3:uid="{00000000-0010-0000-1100-00000E000000}" name="Turno"/>
    <tableColumn id="15" xr3:uid="{00000000-0010-0000-1100-00000F000000}" name="Cantidad x Bulto"/>
    <tableColumn id="16" xr3:uid="{00000000-0010-0000-1100-000010000000}" name="#Bultos"/>
    <tableColumn id="17" xr3:uid="{00000000-0010-0000-1100-000011000000}" name="Nº OP"/>
    <tableColumn id="18" xr3:uid="{00000000-0010-0000-1100-000012000000}" name="#Doc. Registro"/>
    <tableColumn id="19" xr3:uid="{00000000-0010-0000-1100-000013000000}" name="Peso Aprox. (Kg)"/>
    <tableColumn id="20" xr3:uid="{00000000-0010-0000-1100-000014000000}" name="Peso (kg)"/>
    <tableColumn id="21" xr3:uid="{00000000-0010-0000-1100-000015000000}" name="Peso unitario (Gr)"/>
    <tableColumn id="22" xr3:uid="{00000000-0010-0000-1100-000016000000}" name="Cantidad Real"/>
    <tableColumn id="23" xr3:uid="{00000000-0010-0000-1100-000017000000}" name="MES"/>
    <tableColumn id="24" xr3:uid="{00000000-0010-0000-1100-000018000000}" name="AÑO"/>
    <tableColumn id="25" xr3:uid="{00000000-0010-0000-1100-000019000000}" name="SEMANA"/>
    <tableColumn id="26" xr3:uid="{00000000-0010-0000-1100-00001A000000}" name="Cavidades"/>
    <tableColumn id="27" xr3:uid="{00000000-0010-0000-1100-00001B000000}" name="DOC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2000000}" name="Tabla46" displayName="Tabla46" ref="A1:AD2" totalsRowShown="0">
  <autoFilter ref="A1:AD2" xr:uid="{00000000-0009-0000-0100-00002E000000}"/>
  <tableColumns count="30">
    <tableColumn id="1" xr3:uid="{00000000-0010-0000-1200-000001000000}" name="Fecha/hora" dataDxfId="4383"/>
    <tableColumn id="2" xr3:uid="{00000000-0010-0000-1200-000002000000}" name="Topo Maq"/>
    <tableColumn id="3" xr3:uid="{00000000-0010-0000-1200-000003000000}" name="Maquina"/>
    <tableColumn id="4" xr3:uid="{00000000-0010-0000-1200-000004000000}" name="FECHA" dataDxfId="4382"/>
    <tableColumn id="5" xr3:uid="{00000000-0010-0000-1200-000005000000}" name="Maquinista"/>
    <tableColumn id="6" xr3:uid="{00000000-0010-0000-1200-000006000000}" name="Tipo MP"/>
    <tableColumn id="7" xr3:uid="{00000000-0010-0000-1200-000007000000}" name="Material 1"/>
    <tableColumn id="8" xr3:uid="{00000000-0010-0000-1200-000008000000}" name="Material 2"/>
    <tableColumn id="9" xr3:uid="{00000000-0010-0000-1200-000009000000}" name="Molde"/>
    <tableColumn id="10" xr3:uid="{00000000-0010-0000-1200-00000A000000}" name="Pieza-Color"/>
    <tableColumn id="11" xr3:uid="{00000000-0010-0000-1200-00000B000000}" name="Coladas"/>
    <tableColumn id="12" xr3:uid="{00000000-0010-0000-1200-00000C000000}" name="Horas Trab."/>
    <tableColumn id="13" xr3:uid="{00000000-0010-0000-1200-00000D000000}" name="Peso Real (Kg)"/>
    <tableColumn id="14" xr3:uid="{00000000-0010-0000-1200-00000E000000}" name="Turno"/>
    <tableColumn id="15" xr3:uid="{00000000-0010-0000-1200-00000F000000}" name="Cantidad x Bulto"/>
    <tableColumn id="16" xr3:uid="{00000000-0010-0000-1200-000010000000}" name="#Bultos"/>
    <tableColumn id="17" xr3:uid="{00000000-0010-0000-1200-000011000000}" name="Nº OP"/>
    <tableColumn id="18" xr3:uid="{00000000-0010-0000-1200-000012000000}" name="#Doc. Registro"/>
    <tableColumn id="19" xr3:uid="{00000000-0010-0000-1200-000013000000}" name="Color Merma"/>
    <tableColumn id="20" xr3:uid="{00000000-0010-0000-1200-000014000000}" name="Peso Merma"/>
    <tableColumn id="21" xr3:uid="{00000000-0010-0000-1200-000015000000}" name="Peso Chancaca"/>
    <tableColumn id="22" xr3:uid="{00000000-0010-0000-1200-000016000000}" name="Peso Aprox. (Kg)"/>
    <tableColumn id="23" xr3:uid="{00000000-0010-0000-1200-000017000000}" name="Peso (kg)"/>
    <tableColumn id="24" xr3:uid="{00000000-0010-0000-1200-000018000000}" name="Peso unitario (Gr)"/>
    <tableColumn id="25" xr3:uid="{00000000-0010-0000-1200-000019000000}" name="Cantidad Real"/>
    <tableColumn id="26" xr3:uid="{00000000-0010-0000-1200-00001A000000}" name="MES"/>
    <tableColumn id="27" xr3:uid="{00000000-0010-0000-1200-00001B000000}" name="AÑO"/>
    <tableColumn id="28" xr3:uid="{00000000-0010-0000-1200-00001C000000}" name="SEMANA"/>
    <tableColumn id="29" xr3:uid="{00000000-0010-0000-1200-00001D000000}" name="Cavidades"/>
    <tableColumn id="30" xr3:uid="{00000000-0010-0000-1200-00001E000000}" name="DOC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3000000}" name="Tabla47" displayName="Tabla47" ref="A1:AD2" totalsRowShown="0">
  <autoFilter ref="A1:AD2" xr:uid="{00000000-0009-0000-0100-00002F000000}"/>
  <tableColumns count="30">
    <tableColumn id="1" xr3:uid="{00000000-0010-0000-1300-000001000000}" name="Fecha/hora" dataDxfId="4381"/>
    <tableColumn id="2" xr3:uid="{00000000-0010-0000-1300-000002000000}" name="Topo Maq"/>
    <tableColumn id="3" xr3:uid="{00000000-0010-0000-1300-000003000000}" name="Maquina"/>
    <tableColumn id="4" xr3:uid="{00000000-0010-0000-1300-000004000000}" name="FECHA" dataDxfId="4380"/>
    <tableColumn id="5" xr3:uid="{00000000-0010-0000-1300-000005000000}" name="Maquinista"/>
    <tableColumn id="6" xr3:uid="{00000000-0010-0000-1300-000006000000}" name="Tipo MP"/>
    <tableColumn id="7" xr3:uid="{00000000-0010-0000-1300-000007000000}" name="Material 1"/>
    <tableColumn id="8" xr3:uid="{00000000-0010-0000-1300-000008000000}" name="Material 2"/>
    <tableColumn id="9" xr3:uid="{00000000-0010-0000-1300-000009000000}" name="Molde"/>
    <tableColumn id="10" xr3:uid="{00000000-0010-0000-1300-00000A000000}" name="Pieza-Color"/>
    <tableColumn id="11" xr3:uid="{00000000-0010-0000-1300-00000B000000}" name="Coladas"/>
    <tableColumn id="12" xr3:uid="{00000000-0010-0000-1300-00000C000000}" name="Horas Trab."/>
    <tableColumn id="13" xr3:uid="{00000000-0010-0000-1300-00000D000000}" name="Peso Real (Kg)"/>
    <tableColumn id="14" xr3:uid="{00000000-0010-0000-1300-00000E000000}" name="Turno"/>
    <tableColumn id="15" xr3:uid="{00000000-0010-0000-1300-00000F000000}" name="Cantidad x Bulto"/>
    <tableColumn id="16" xr3:uid="{00000000-0010-0000-1300-000010000000}" name="#Bultos"/>
    <tableColumn id="17" xr3:uid="{00000000-0010-0000-1300-000011000000}" name="Nº OP"/>
    <tableColumn id="18" xr3:uid="{00000000-0010-0000-1300-000012000000}" name="#Doc. Registro"/>
    <tableColumn id="19" xr3:uid="{00000000-0010-0000-1300-000013000000}" name="Color Merma"/>
    <tableColumn id="20" xr3:uid="{00000000-0010-0000-1300-000014000000}" name="Peso Merma"/>
    <tableColumn id="21" xr3:uid="{00000000-0010-0000-1300-000015000000}" name="Peso Chancaca"/>
    <tableColumn id="22" xr3:uid="{00000000-0010-0000-1300-000016000000}" name="Peso Aprox. (Kg)"/>
    <tableColumn id="23" xr3:uid="{00000000-0010-0000-1300-000017000000}" name="Peso (kg)"/>
    <tableColumn id="24" xr3:uid="{00000000-0010-0000-1300-000018000000}" name="Peso unitario (Gr)"/>
    <tableColumn id="25" xr3:uid="{00000000-0010-0000-1300-000019000000}" name="Cantidad Real"/>
    <tableColumn id="26" xr3:uid="{00000000-0010-0000-1300-00001A000000}" name="MES"/>
    <tableColumn id="27" xr3:uid="{00000000-0010-0000-1300-00001B000000}" name="AÑO"/>
    <tableColumn id="28" xr3:uid="{00000000-0010-0000-1300-00001C000000}" name="SEMANA"/>
    <tableColumn id="29" xr3:uid="{00000000-0010-0000-1300-00001D000000}" name="Cavidades"/>
    <tableColumn id="30" xr3:uid="{00000000-0010-0000-1300-00001E000000}" name="DOC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4000000}" name="Tabla48" displayName="Tabla48" ref="A1:AD2" totalsRowShown="0">
  <autoFilter ref="A1:AD2" xr:uid="{00000000-0009-0000-0100-000030000000}"/>
  <tableColumns count="30">
    <tableColumn id="1" xr3:uid="{00000000-0010-0000-1400-000001000000}" name="Fecha/hora" dataDxfId="4379"/>
    <tableColumn id="2" xr3:uid="{00000000-0010-0000-1400-000002000000}" name="Topo Maq"/>
    <tableColumn id="3" xr3:uid="{00000000-0010-0000-1400-000003000000}" name="Maquina"/>
    <tableColumn id="4" xr3:uid="{00000000-0010-0000-1400-000004000000}" name="FECHA" dataDxfId="4378"/>
    <tableColumn id="5" xr3:uid="{00000000-0010-0000-1400-000005000000}" name="Maquinista"/>
    <tableColumn id="6" xr3:uid="{00000000-0010-0000-1400-000006000000}" name="Tipo MP"/>
    <tableColumn id="7" xr3:uid="{00000000-0010-0000-1400-000007000000}" name="Material 1"/>
    <tableColumn id="8" xr3:uid="{00000000-0010-0000-1400-000008000000}" name="Material 2"/>
    <tableColumn id="9" xr3:uid="{00000000-0010-0000-1400-000009000000}" name="Molde"/>
    <tableColumn id="10" xr3:uid="{00000000-0010-0000-1400-00000A000000}" name="Pieza-Color"/>
    <tableColumn id="11" xr3:uid="{00000000-0010-0000-1400-00000B000000}" name="Coladas"/>
    <tableColumn id="12" xr3:uid="{00000000-0010-0000-1400-00000C000000}" name="Horas Trab."/>
    <tableColumn id="13" xr3:uid="{00000000-0010-0000-1400-00000D000000}" name="Peso Real (Kg)"/>
    <tableColumn id="14" xr3:uid="{00000000-0010-0000-1400-00000E000000}" name="Turno"/>
    <tableColumn id="15" xr3:uid="{00000000-0010-0000-1400-00000F000000}" name="Cantidad x Bulto"/>
    <tableColumn id="16" xr3:uid="{00000000-0010-0000-1400-000010000000}" name="#Bultos"/>
    <tableColumn id="17" xr3:uid="{00000000-0010-0000-1400-000011000000}" name="Nº OP"/>
    <tableColumn id="18" xr3:uid="{00000000-0010-0000-1400-000012000000}" name="#Doc. Registro"/>
    <tableColumn id="19" xr3:uid="{00000000-0010-0000-1400-000013000000}" name="Color Merma"/>
    <tableColumn id="20" xr3:uid="{00000000-0010-0000-1400-000014000000}" name="Peso Merma"/>
    <tableColumn id="21" xr3:uid="{00000000-0010-0000-1400-000015000000}" name="Peso Chancaca"/>
    <tableColumn id="22" xr3:uid="{00000000-0010-0000-1400-000016000000}" name="Peso Aprox. (Kg)"/>
    <tableColumn id="23" xr3:uid="{00000000-0010-0000-1400-000017000000}" name="Peso (kg)"/>
    <tableColumn id="24" xr3:uid="{00000000-0010-0000-1400-000018000000}" name="Peso unitario (Gr)"/>
    <tableColumn id="25" xr3:uid="{00000000-0010-0000-1400-000019000000}" name="Cantidad Real"/>
    <tableColumn id="26" xr3:uid="{00000000-0010-0000-1400-00001A000000}" name="MES"/>
    <tableColumn id="27" xr3:uid="{00000000-0010-0000-1400-00001B000000}" name="AÑO"/>
    <tableColumn id="28" xr3:uid="{00000000-0010-0000-1400-00001C000000}" name="SEMANA"/>
    <tableColumn id="29" xr3:uid="{00000000-0010-0000-1400-00001D000000}" name="Cavidades"/>
    <tableColumn id="30" xr3:uid="{00000000-0010-0000-1400-00001E000000}" name="DOC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5000000}" name="Tabla49" displayName="Tabla49" ref="A1:AD2" totalsRowShown="0">
  <autoFilter ref="A1:AD2" xr:uid="{00000000-0009-0000-0100-000031000000}"/>
  <tableColumns count="30">
    <tableColumn id="1" xr3:uid="{00000000-0010-0000-1500-000001000000}" name="Fecha/hora" dataDxfId="4377"/>
    <tableColumn id="2" xr3:uid="{00000000-0010-0000-1500-000002000000}" name="Topo Maq"/>
    <tableColumn id="3" xr3:uid="{00000000-0010-0000-1500-000003000000}" name="Maquina"/>
    <tableColumn id="4" xr3:uid="{00000000-0010-0000-1500-000004000000}" name="FECHA" dataDxfId="4376"/>
    <tableColumn id="5" xr3:uid="{00000000-0010-0000-1500-000005000000}" name="Maquinista"/>
    <tableColumn id="6" xr3:uid="{00000000-0010-0000-1500-000006000000}" name="Tipo MP"/>
    <tableColumn id="7" xr3:uid="{00000000-0010-0000-1500-000007000000}" name="Material 1"/>
    <tableColumn id="8" xr3:uid="{00000000-0010-0000-1500-000008000000}" name="Material 2"/>
    <tableColumn id="9" xr3:uid="{00000000-0010-0000-1500-000009000000}" name="Molde"/>
    <tableColumn id="10" xr3:uid="{00000000-0010-0000-1500-00000A000000}" name="Pieza-Color"/>
    <tableColumn id="11" xr3:uid="{00000000-0010-0000-1500-00000B000000}" name="Coladas"/>
    <tableColumn id="12" xr3:uid="{00000000-0010-0000-1500-00000C000000}" name="Horas Trab."/>
    <tableColumn id="13" xr3:uid="{00000000-0010-0000-1500-00000D000000}" name="Peso Real (Kg)"/>
    <tableColumn id="14" xr3:uid="{00000000-0010-0000-1500-00000E000000}" name="Turno"/>
    <tableColumn id="15" xr3:uid="{00000000-0010-0000-1500-00000F000000}" name="Cantidad x Bulto"/>
    <tableColumn id="16" xr3:uid="{00000000-0010-0000-1500-000010000000}" name="#Bultos"/>
    <tableColumn id="17" xr3:uid="{00000000-0010-0000-1500-000011000000}" name="Nº OP"/>
    <tableColumn id="18" xr3:uid="{00000000-0010-0000-1500-000012000000}" name="#Doc. Registro"/>
    <tableColumn id="19" xr3:uid="{00000000-0010-0000-1500-000013000000}" name="Color Merma"/>
    <tableColumn id="20" xr3:uid="{00000000-0010-0000-1500-000014000000}" name="Peso Merma"/>
    <tableColumn id="21" xr3:uid="{00000000-0010-0000-1500-000015000000}" name="Peso Chancaca"/>
    <tableColumn id="22" xr3:uid="{00000000-0010-0000-1500-000016000000}" name="Peso Aprox. (Kg)"/>
    <tableColumn id="23" xr3:uid="{00000000-0010-0000-1500-000017000000}" name="Peso (kg)"/>
    <tableColumn id="24" xr3:uid="{00000000-0010-0000-1500-000018000000}" name="Peso unitario (Gr)"/>
    <tableColumn id="25" xr3:uid="{00000000-0010-0000-1500-000019000000}" name="Cantidad Real"/>
    <tableColumn id="26" xr3:uid="{00000000-0010-0000-1500-00001A000000}" name="MES"/>
    <tableColumn id="27" xr3:uid="{00000000-0010-0000-1500-00001B000000}" name="AÑO"/>
    <tableColumn id="28" xr3:uid="{00000000-0010-0000-1500-00001C000000}" name="SEMANA"/>
    <tableColumn id="29" xr3:uid="{00000000-0010-0000-1500-00001D000000}" name="Cavidades"/>
    <tableColumn id="30" xr3:uid="{00000000-0010-0000-1500-00001E000000}" name="DOC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6000000}" name="Tabla50" displayName="Tabla50" ref="A1:AD2" totalsRowShown="0">
  <autoFilter ref="A1:AD2" xr:uid="{00000000-0009-0000-0100-000032000000}"/>
  <tableColumns count="30">
    <tableColumn id="1" xr3:uid="{00000000-0010-0000-1600-000001000000}" name="Fecha/hora" dataDxfId="4375"/>
    <tableColumn id="2" xr3:uid="{00000000-0010-0000-1600-000002000000}" name="Topo Maq"/>
    <tableColumn id="3" xr3:uid="{00000000-0010-0000-1600-000003000000}" name="Maquina"/>
    <tableColumn id="4" xr3:uid="{00000000-0010-0000-1600-000004000000}" name="FECHA" dataDxfId="4374"/>
    <tableColumn id="5" xr3:uid="{00000000-0010-0000-1600-000005000000}" name="Maquinista"/>
    <tableColumn id="6" xr3:uid="{00000000-0010-0000-1600-000006000000}" name="Tipo MP"/>
    <tableColumn id="7" xr3:uid="{00000000-0010-0000-1600-000007000000}" name="Material 1"/>
    <tableColumn id="8" xr3:uid="{00000000-0010-0000-1600-000008000000}" name="Material 2"/>
    <tableColumn id="9" xr3:uid="{00000000-0010-0000-1600-000009000000}" name="Molde"/>
    <tableColumn id="10" xr3:uid="{00000000-0010-0000-1600-00000A000000}" name="Pieza-Color"/>
    <tableColumn id="11" xr3:uid="{00000000-0010-0000-1600-00000B000000}" name="Coladas"/>
    <tableColumn id="12" xr3:uid="{00000000-0010-0000-1600-00000C000000}" name="Horas Trab."/>
    <tableColumn id="13" xr3:uid="{00000000-0010-0000-1600-00000D000000}" name="Peso Real (Kg)"/>
    <tableColumn id="14" xr3:uid="{00000000-0010-0000-1600-00000E000000}" name="Turno"/>
    <tableColumn id="15" xr3:uid="{00000000-0010-0000-1600-00000F000000}" name="Cantidad x Bulto"/>
    <tableColumn id="16" xr3:uid="{00000000-0010-0000-1600-000010000000}" name="#Bultos"/>
    <tableColumn id="17" xr3:uid="{00000000-0010-0000-1600-000011000000}" name="Nº OP"/>
    <tableColumn id="18" xr3:uid="{00000000-0010-0000-1600-000012000000}" name="#Doc. Registro"/>
    <tableColumn id="19" xr3:uid="{00000000-0010-0000-1600-000013000000}" name="Color Merma"/>
    <tableColumn id="20" xr3:uid="{00000000-0010-0000-1600-000014000000}" name="Peso Merma"/>
    <tableColumn id="21" xr3:uid="{00000000-0010-0000-1600-000015000000}" name="Peso Chancaca"/>
    <tableColumn id="22" xr3:uid="{00000000-0010-0000-1600-000016000000}" name="Peso Aprox. (Kg)"/>
    <tableColumn id="23" xr3:uid="{00000000-0010-0000-1600-000017000000}" name="Peso (kg)"/>
    <tableColumn id="24" xr3:uid="{00000000-0010-0000-1600-000018000000}" name="Peso unitario (Gr)"/>
    <tableColumn id="25" xr3:uid="{00000000-0010-0000-1600-000019000000}" name="Cantidad Real"/>
    <tableColumn id="26" xr3:uid="{00000000-0010-0000-1600-00001A000000}" name="MES"/>
    <tableColumn id="27" xr3:uid="{00000000-0010-0000-1600-00001B000000}" name="AÑO"/>
    <tableColumn id="28" xr3:uid="{00000000-0010-0000-1600-00001C000000}" name="SEMANA"/>
    <tableColumn id="29" xr3:uid="{00000000-0010-0000-1600-00001D000000}" name="Cavidades"/>
    <tableColumn id="30" xr3:uid="{00000000-0010-0000-1600-00001E000000}" name="DOC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7000000}" name="Tabla51" displayName="Tabla51" ref="A1:AD2" insertRow="1" totalsRowShown="0">
  <autoFilter ref="A1:AD2" xr:uid="{00000000-0009-0000-0100-000033000000}"/>
  <tableColumns count="30">
    <tableColumn id="1" xr3:uid="{00000000-0010-0000-1700-000001000000}" name="Fecha/hora"/>
    <tableColumn id="2" xr3:uid="{00000000-0010-0000-1700-000002000000}" name="Topo Maq"/>
    <tableColumn id="3" xr3:uid="{00000000-0010-0000-1700-000003000000}" name="Maquina"/>
    <tableColumn id="4" xr3:uid="{00000000-0010-0000-1700-000004000000}" name="FECHA"/>
    <tableColumn id="5" xr3:uid="{00000000-0010-0000-1700-000005000000}" name="Maquinista"/>
    <tableColumn id="6" xr3:uid="{00000000-0010-0000-1700-000006000000}" name="Tipo MP"/>
    <tableColumn id="7" xr3:uid="{00000000-0010-0000-1700-000007000000}" name="Material 1"/>
    <tableColumn id="8" xr3:uid="{00000000-0010-0000-1700-000008000000}" name="Material 2"/>
    <tableColumn id="9" xr3:uid="{00000000-0010-0000-1700-000009000000}" name="Molde"/>
    <tableColumn id="10" xr3:uid="{00000000-0010-0000-1700-00000A000000}" name="Pieza-Color"/>
    <tableColumn id="11" xr3:uid="{00000000-0010-0000-1700-00000B000000}" name="Coladas"/>
    <tableColumn id="12" xr3:uid="{00000000-0010-0000-1700-00000C000000}" name="Horas Trab."/>
    <tableColumn id="13" xr3:uid="{00000000-0010-0000-1700-00000D000000}" name="Peso Real (Kg)"/>
    <tableColumn id="14" xr3:uid="{00000000-0010-0000-1700-00000E000000}" name="Turno"/>
    <tableColumn id="15" xr3:uid="{00000000-0010-0000-1700-00000F000000}" name="Cantidad x Bulto"/>
    <tableColumn id="16" xr3:uid="{00000000-0010-0000-1700-000010000000}" name="#Bultos"/>
    <tableColumn id="17" xr3:uid="{00000000-0010-0000-1700-000011000000}" name="Nº OP"/>
    <tableColumn id="18" xr3:uid="{00000000-0010-0000-1700-000012000000}" name="#Doc. Registro"/>
    <tableColumn id="19" xr3:uid="{00000000-0010-0000-1700-000013000000}" name="Color Merma"/>
    <tableColumn id="20" xr3:uid="{00000000-0010-0000-1700-000014000000}" name="Peso Merma"/>
    <tableColumn id="21" xr3:uid="{00000000-0010-0000-1700-000015000000}" name="Peso Chancaca"/>
    <tableColumn id="22" xr3:uid="{00000000-0010-0000-1700-000016000000}" name="Peso Aprox. (Kg)"/>
    <tableColumn id="23" xr3:uid="{00000000-0010-0000-1700-000017000000}" name="Peso (kg)"/>
    <tableColumn id="24" xr3:uid="{00000000-0010-0000-1700-000018000000}" name="Peso unitario (Gr)"/>
    <tableColumn id="25" xr3:uid="{00000000-0010-0000-1700-000019000000}" name="Cantidad Real"/>
    <tableColumn id="26" xr3:uid="{00000000-0010-0000-1700-00001A000000}" name="MES"/>
    <tableColumn id="27" xr3:uid="{00000000-0010-0000-1700-00001B000000}" name="AÑO"/>
    <tableColumn id="28" xr3:uid="{00000000-0010-0000-1700-00001C000000}" name="SEMANA"/>
    <tableColumn id="29" xr3:uid="{00000000-0010-0000-1700-00001D000000}" name="Cavidades"/>
    <tableColumn id="30" xr3:uid="{00000000-0010-0000-1700-00001E000000}" name="DOC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18000000}" name="Tabla54" displayName="Tabla54" ref="A1:AD2" totalsRowShown="0">
  <autoFilter ref="A1:AD2" xr:uid="{00000000-0009-0000-0100-000036000000}"/>
  <tableColumns count="30">
    <tableColumn id="1" xr3:uid="{00000000-0010-0000-1800-000001000000}" name="Fecha/hora" dataDxfId="4373"/>
    <tableColumn id="2" xr3:uid="{00000000-0010-0000-1800-000002000000}" name="Topo Maq"/>
    <tableColumn id="3" xr3:uid="{00000000-0010-0000-1800-000003000000}" name="Maquina"/>
    <tableColumn id="4" xr3:uid="{00000000-0010-0000-1800-000004000000}" name="FECHA" dataDxfId="4372"/>
    <tableColumn id="5" xr3:uid="{00000000-0010-0000-1800-000005000000}" name="Maquinista"/>
    <tableColumn id="6" xr3:uid="{00000000-0010-0000-1800-000006000000}" name="Tipo MP"/>
    <tableColumn id="7" xr3:uid="{00000000-0010-0000-1800-000007000000}" name="Material 1"/>
    <tableColumn id="8" xr3:uid="{00000000-0010-0000-1800-000008000000}" name="Material 2"/>
    <tableColumn id="9" xr3:uid="{00000000-0010-0000-1800-000009000000}" name="Molde"/>
    <tableColumn id="10" xr3:uid="{00000000-0010-0000-1800-00000A000000}" name="Pieza-Color"/>
    <tableColumn id="11" xr3:uid="{00000000-0010-0000-1800-00000B000000}" name="Coladas"/>
    <tableColumn id="12" xr3:uid="{00000000-0010-0000-1800-00000C000000}" name="Horas Trab."/>
    <tableColumn id="13" xr3:uid="{00000000-0010-0000-1800-00000D000000}" name="Peso Real (Kg)"/>
    <tableColumn id="14" xr3:uid="{00000000-0010-0000-1800-00000E000000}" name="Turno"/>
    <tableColumn id="15" xr3:uid="{00000000-0010-0000-1800-00000F000000}" name="Cantidad x Bulto"/>
    <tableColumn id="16" xr3:uid="{00000000-0010-0000-1800-000010000000}" name="#Bultos"/>
    <tableColumn id="17" xr3:uid="{00000000-0010-0000-1800-000011000000}" name="Nº OP"/>
    <tableColumn id="18" xr3:uid="{00000000-0010-0000-1800-000012000000}" name="#Doc. Registro"/>
    <tableColumn id="19" xr3:uid="{00000000-0010-0000-1800-000013000000}" name="Color Merma"/>
    <tableColumn id="20" xr3:uid="{00000000-0010-0000-1800-000014000000}" name="Peso Merma"/>
    <tableColumn id="21" xr3:uid="{00000000-0010-0000-1800-000015000000}" name="Peso Chancaca"/>
    <tableColumn id="22" xr3:uid="{00000000-0010-0000-1800-000016000000}" name="Peso Aprox. (Kg)"/>
    <tableColumn id="23" xr3:uid="{00000000-0010-0000-1800-000017000000}" name="Peso (kg)"/>
    <tableColumn id="24" xr3:uid="{00000000-0010-0000-1800-000018000000}" name="Peso unitario (Gr)"/>
    <tableColumn id="25" xr3:uid="{00000000-0010-0000-1800-000019000000}" name="Cantidad Real"/>
    <tableColumn id="26" xr3:uid="{00000000-0010-0000-1800-00001A000000}" name="MES"/>
    <tableColumn id="27" xr3:uid="{00000000-0010-0000-1800-00001B000000}" name="AÑO"/>
    <tableColumn id="28" xr3:uid="{00000000-0010-0000-1800-00001C000000}" name="SEMANA"/>
    <tableColumn id="29" xr3:uid="{00000000-0010-0000-1800-00001D000000}" name="Cavidades"/>
    <tableColumn id="30" xr3:uid="{00000000-0010-0000-1800-00001E000000}" name="DOC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19000000}" name="Tabla55" displayName="Tabla55" ref="A1:AD3" totalsRowShown="0">
  <autoFilter ref="A1:AD3" xr:uid="{00000000-0009-0000-0100-000037000000}"/>
  <tableColumns count="30">
    <tableColumn id="1" xr3:uid="{00000000-0010-0000-1900-000001000000}" name="Fecha/hora" dataDxfId="4371"/>
    <tableColumn id="2" xr3:uid="{00000000-0010-0000-1900-000002000000}" name="Topo Maq"/>
    <tableColumn id="3" xr3:uid="{00000000-0010-0000-1900-000003000000}" name="Maquina"/>
    <tableColumn id="4" xr3:uid="{00000000-0010-0000-1900-000004000000}" name="FECHA" dataDxfId="4370"/>
    <tableColumn id="5" xr3:uid="{00000000-0010-0000-1900-000005000000}" name="Maquinista"/>
    <tableColumn id="6" xr3:uid="{00000000-0010-0000-1900-000006000000}" name="Tipo MP"/>
    <tableColumn id="7" xr3:uid="{00000000-0010-0000-1900-000007000000}" name="Material 1"/>
    <tableColumn id="8" xr3:uid="{00000000-0010-0000-1900-000008000000}" name="Material 2"/>
    <tableColumn id="9" xr3:uid="{00000000-0010-0000-1900-000009000000}" name="Molde"/>
    <tableColumn id="10" xr3:uid="{00000000-0010-0000-1900-00000A000000}" name="Pieza-Color"/>
    <tableColumn id="11" xr3:uid="{00000000-0010-0000-1900-00000B000000}" name="Coladas"/>
    <tableColumn id="12" xr3:uid="{00000000-0010-0000-1900-00000C000000}" name="Horas Trab."/>
    <tableColumn id="13" xr3:uid="{00000000-0010-0000-1900-00000D000000}" name="Peso Real (Kg)"/>
    <tableColumn id="14" xr3:uid="{00000000-0010-0000-1900-00000E000000}" name="Turno"/>
    <tableColumn id="15" xr3:uid="{00000000-0010-0000-1900-00000F000000}" name="Cantidad x Bulto"/>
    <tableColumn id="16" xr3:uid="{00000000-0010-0000-1900-000010000000}" name="#Bultos"/>
    <tableColumn id="17" xr3:uid="{00000000-0010-0000-1900-000011000000}" name="Nº OP"/>
    <tableColumn id="18" xr3:uid="{00000000-0010-0000-1900-000012000000}" name="#Doc. Registro"/>
    <tableColumn id="19" xr3:uid="{00000000-0010-0000-1900-000013000000}" name="Color Merma"/>
    <tableColumn id="20" xr3:uid="{00000000-0010-0000-1900-000014000000}" name="Peso Merma"/>
    <tableColumn id="21" xr3:uid="{00000000-0010-0000-1900-000015000000}" name="Peso Chancaca"/>
    <tableColumn id="22" xr3:uid="{00000000-0010-0000-1900-000016000000}" name="Peso Aprox. (Kg)"/>
    <tableColumn id="23" xr3:uid="{00000000-0010-0000-1900-000017000000}" name="Peso (kg)"/>
    <tableColumn id="24" xr3:uid="{00000000-0010-0000-1900-000018000000}" name="Peso unitario (Gr)"/>
    <tableColumn id="25" xr3:uid="{00000000-0010-0000-1900-000019000000}" name="Cantidad Real"/>
    <tableColumn id="26" xr3:uid="{00000000-0010-0000-1900-00001A000000}" name="MES"/>
    <tableColumn id="27" xr3:uid="{00000000-0010-0000-1900-00001B000000}" name="AÑO"/>
    <tableColumn id="28" xr3:uid="{00000000-0010-0000-1900-00001C000000}" name="SEMANA"/>
    <tableColumn id="29" xr3:uid="{00000000-0010-0000-1900-00001D000000}" name="Cavidades"/>
    <tableColumn id="30" xr3:uid="{00000000-0010-0000-1900-00001E000000}" name="DOC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1A000000}" name="Tabla56" displayName="Tabla56" ref="A1:AD4" totalsRowShown="0">
  <autoFilter ref="A1:AD4" xr:uid="{00000000-0009-0000-0100-000038000000}"/>
  <tableColumns count="30">
    <tableColumn id="1" xr3:uid="{00000000-0010-0000-1A00-000001000000}" name="Fecha/hora" dataDxfId="4369"/>
    <tableColumn id="2" xr3:uid="{00000000-0010-0000-1A00-000002000000}" name="Topo Maq"/>
    <tableColumn id="3" xr3:uid="{00000000-0010-0000-1A00-000003000000}" name="Maquina"/>
    <tableColumn id="4" xr3:uid="{00000000-0010-0000-1A00-000004000000}" name="FECHA" dataDxfId="4368"/>
    <tableColumn id="5" xr3:uid="{00000000-0010-0000-1A00-000005000000}" name="Maquinista"/>
    <tableColumn id="6" xr3:uid="{00000000-0010-0000-1A00-000006000000}" name="Tipo MP"/>
    <tableColumn id="7" xr3:uid="{00000000-0010-0000-1A00-000007000000}" name="Material 1"/>
    <tableColumn id="8" xr3:uid="{00000000-0010-0000-1A00-000008000000}" name="Material 2"/>
    <tableColumn id="9" xr3:uid="{00000000-0010-0000-1A00-000009000000}" name="Molde"/>
    <tableColumn id="10" xr3:uid="{00000000-0010-0000-1A00-00000A000000}" name="Pieza-Color"/>
    <tableColumn id="11" xr3:uid="{00000000-0010-0000-1A00-00000B000000}" name="Coladas"/>
    <tableColumn id="12" xr3:uid="{00000000-0010-0000-1A00-00000C000000}" name="Horas Trab."/>
    <tableColumn id="13" xr3:uid="{00000000-0010-0000-1A00-00000D000000}" name="Peso Real (Kg)"/>
    <tableColumn id="14" xr3:uid="{00000000-0010-0000-1A00-00000E000000}" name="Turno"/>
    <tableColumn id="15" xr3:uid="{00000000-0010-0000-1A00-00000F000000}" name="Cantidad x Bulto"/>
    <tableColumn id="16" xr3:uid="{00000000-0010-0000-1A00-000010000000}" name="#Bultos"/>
    <tableColumn id="17" xr3:uid="{00000000-0010-0000-1A00-000011000000}" name="Nº OP"/>
    <tableColumn id="18" xr3:uid="{00000000-0010-0000-1A00-000012000000}" name="#Doc. Registro"/>
    <tableColumn id="19" xr3:uid="{00000000-0010-0000-1A00-000013000000}" name="Color Merma"/>
    <tableColumn id="20" xr3:uid="{00000000-0010-0000-1A00-000014000000}" name="Peso Merma"/>
    <tableColumn id="21" xr3:uid="{00000000-0010-0000-1A00-000015000000}" name="Peso Chancaca"/>
    <tableColumn id="22" xr3:uid="{00000000-0010-0000-1A00-000016000000}" name="Peso Aprox. (Kg)"/>
    <tableColumn id="23" xr3:uid="{00000000-0010-0000-1A00-000017000000}" name="Peso (kg)"/>
    <tableColumn id="24" xr3:uid="{00000000-0010-0000-1A00-000018000000}" name="Peso unitario (Gr)"/>
    <tableColumn id="25" xr3:uid="{00000000-0010-0000-1A00-000019000000}" name="Cantidad Real"/>
    <tableColumn id="26" xr3:uid="{00000000-0010-0000-1A00-00001A000000}" name="MES"/>
    <tableColumn id="27" xr3:uid="{00000000-0010-0000-1A00-00001B000000}" name="AÑO"/>
    <tableColumn id="28" xr3:uid="{00000000-0010-0000-1A00-00001C000000}" name="SEMANA"/>
    <tableColumn id="29" xr3:uid="{00000000-0010-0000-1A00-00001D000000}" name="Cavidades"/>
    <tableColumn id="30" xr3:uid="{00000000-0010-0000-1A00-00001E000000}" name="DOC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B000000}" name="Tabla57" displayName="Tabla57" ref="A1:AD3" totalsRowShown="0">
  <autoFilter ref="A1:AD3" xr:uid="{00000000-0009-0000-0100-000039000000}"/>
  <tableColumns count="30">
    <tableColumn id="1" xr3:uid="{00000000-0010-0000-1B00-000001000000}" name="Fecha/hora" dataDxfId="4367"/>
    <tableColumn id="2" xr3:uid="{00000000-0010-0000-1B00-000002000000}" name="Topo Maq"/>
    <tableColumn id="3" xr3:uid="{00000000-0010-0000-1B00-000003000000}" name="Maquina"/>
    <tableColumn id="4" xr3:uid="{00000000-0010-0000-1B00-000004000000}" name="FECHA" dataDxfId="4366"/>
    <tableColumn id="5" xr3:uid="{00000000-0010-0000-1B00-000005000000}" name="Maquinista"/>
    <tableColumn id="6" xr3:uid="{00000000-0010-0000-1B00-000006000000}" name="Tipo MP"/>
    <tableColumn id="7" xr3:uid="{00000000-0010-0000-1B00-000007000000}" name="Material 1"/>
    <tableColumn id="8" xr3:uid="{00000000-0010-0000-1B00-000008000000}" name="Material 2"/>
    <tableColumn id="9" xr3:uid="{00000000-0010-0000-1B00-000009000000}" name="Molde"/>
    <tableColumn id="10" xr3:uid="{00000000-0010-0000-1B00-00000A000000}" name="Pieza-Color"/>
    <tableColumn id="11" xr3:uid="{00000000-0010-0000-1B00-00000B000000}" name="Coladas"/>
    <tableColumn id="12" xr3:uid="{00000000-0010-0000-1B00-00000C000000}" name="Horas Trab."/>
    <tableColumn id="13" xr3:uid="{00000000-0010-0000-1B00-00000D000000}" name="Peso Real (Kg)"/>
    <tableColumn id="14" xr3:uid="{00000000-0010-0000-1B00-00000E000000}" name="Turno"/>
    <tableColumn id="15" xr3:uid="{00000000-0010-0000-1B00-00000F000000}" name="Cantidad x Bulto"/>
    <tableColumn id="16" xr3:uid="{00000000-0010-0000-1B00-000010000000}" name="#Bultos"/>
    <tableColumn id="17" xr3:uid="{00000000-0010-0000-1B00-000011000000}" name="Nº OP"/>
    <tableColumn id="18" xr3:uid="{00000000-0010-0000-1B00-000012000000}" name="#Doc. Registro"/>
    <tableColumn id="19" xr3:uid="{00000000-0010-0000-1B00-000013000000}" name="Color Merma"/>
    <tableColumn id="20" xr3:uid="{00000000-0010-0000-1B00-000014000000}" name="Peso Merma"/>
    <tableColumn id="21" xr3:uid="{00000000-0010-0000-1B00-000015000000}" name="Peso Chancaca"/>
    <tableColumn id="22" xr3:uid="{00000000-0010-0000-1B00-000016000000}" name="Peso Aprox. (Kg)"/>
    <tableColumn id="23" xr3:uid="{00000000-0010-0000-1B00-000017000000}" name="Peso (kg)"/>
    <tableColumn id="24" xr3:uid="{00000000-0010-0000-1B00-000018000000}" name="Peso unitario (Gr)"/>
    <tableColumn id="25" xr3:uid="{00000000-0010-0000-1B00-000019000000}" name="Cantidad Real"/>
    <tableColumn id="26" xr3:uid="{00000000-0010-0000-1B00-00001A000000}" name="MES"/>
    <tableColumn id="27" xr3:uid="{00000000-0010-0000-1B00-00001B000000}" name="AÑO"/>
    <tableColumn id="28" xr3:uid="{00000000-0010-0000-1B00-00001C000000}" name="SEMANA"/>
    <tableColumn id="29" xr3:uid="{00000000-0010-0000-1B00-00001D000000}" name="Cavidades"/>
    <tableColumn id="30" xr3:uid="{00000000-0010-0000-1B00-00001E000000}" name="DO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0" filterMode="1"/>
  <dimension ref="A1:Y1231"/>
  <sheetViews>
    <sheetView topLeftCell="C1" zoomScale="227" zoomScaleNormal="180" workbookViewId="0">
      <pane ySplit="1" topLeftCell="A18" activePane="bottomLeft" state="frozen"/>
      <selection activeCell="M235" sqref="M235"/>
      <selection pane="bottomLeft" activeCell="F40" sqref="F40"/>
    </sheetView>
  </sheetViews>
  <sheetFormatPr defaultColWidth="11.44140625" defaultRowHeight="12.75" customHeight="1" x14ac:dyDescent="0.3"/>
  <cols>
    <col min="1" max="1" width="12" style="3" bestFit="1" customWidth="1"/>
    <col min="2" max="2" width="9.109375" style="3" bestFit="1" customWidth="1"/>
    <col min="3" max="3" width="11.33203125" style="3" bestFit="1" customWidth="1"/>
    <col min="4" max="4" width="27.6640625" style="3" bestFit="1" customWidth="1"/>
    <col min="5" max="5" width="11.88671875" style="3" hidden="1" customWidth="1"/>
    <col min="6" max="6" width="39.5546875" style="3" customWidth="1"/>
    <col min="7" max="7" width="10.5546875" style="3" hidden="1" customWidth="1"/>
    <col min="8" max="8" width="12.33203125" style="3" hidden="1" customWidth="1"/>
    <col min="9" max="9" width="10.6640625" style="3" hidden="1" customWidth="1"/>
    <col min="10" max="10" width="8.6640625" style="3" hidden="1" customWidth="1"/>
    <col min="11" max="11" width="11.88671875" style="3" hidden="1" customWidth="1"/>
    <col min="12" max="12" width="15.6640625" style="3" customWidth="1"/>
    <col min="13" max="13" width="10.6640625" style="3" customWidth="1"/>
    <col min="14" max="14" width="7.88671875" style="3" customWidth="1"/>
    <col min="15" max="15" width="12" style="3" customWidth="1"/>
    <col min="16" max="16" width="10.88671875" style="3" customWidth="1"/>
    <col min="17" max="17" width="11.44140625" style="3" customWidth="1"/>
    <col min="18" max="18" width="38.6640625" style="3" customWidth="1"/>
    <col min="19" max="16384" width="11.44140625" style="3"/>
  </cols>
  <sheetData>
    <row r="1" spans="1:25" ht="12.75" customHeight="1" thickBot="1" x14ac:dyDescent="0.35">
      <c r="A1" s="21" t="s">
        <v>1270</v>
      </c>
      <c r="B1" s="22" t="s">
        <v>1271</v>
      </c>
      <c r="C1" s="22" t="s">
        <v>1272</v>
      </c>
      <c r="D1" s="22" t="s">
        <v>1273</v>
      </c>
      <c r="E1" s="21" t="s">
        <v>1274</v>
      </c>
      <c r="F1" s="22" t="s">
        <v>1275</v>
      </c>
      <c r="G1" s="21" t="s">
        <v>1276</v>
      </c>
      <c r="H1" s="22" t="s">
        <v>1277</v>
      </c>
      <c r="I1" s="22" t="s">
        <v>1278</v>
      </c>
      <c r="J1" s="22" t="s">
        <v>1279</v>
      </c>
      <c r="K1" s="21" t="s">
        <v>1280</v>
      </c>
      <c r="L1" s="22" t="s">
        <v>1281</v>
      </c>
      <c r="M1" s="22" t="s">
        <v>1282</v>
      </c>
      <c r="N1" s="22" t="s">
        <v>1283</v>
      </c>
      <c r="O1" s="21" t="s">
        <v>1284</v>
      </c>
      <c r="P1" s="22" t="s">
        <v>22</v>
      </c>
      <c r="Q1" s="23" t="s">
        <v>49</v>
      </c>
      <c r="R1" s="24" t="s">
        <v>1733</v>
      </c>
      <c r="S1" s="25" t="s">
        <v>1278</v>
      </c>
      <c r="T1" s="25" t="s">
        <v>1279</v>
      </c>
      <c r="U1" s="25" t="s">
        <v>1946</v>
      </c>
      <c r="V1" s="19"/>
      <c r="W1" s="19"/>
      <c r="X1" s="19"/>
      <c r="Y1" s="19"/>
    </row>
    <row r="2" spans="1:25" ht="12" hidden="1" customHeight="1" thickBot="1" x14ac:dyDescent="0.35">
      <c r="A2" s="20">
        <v>1</v>
      </c>
      <c r="B2" s="20" t="s">
        <v>1556</v>
      </c>
      <c r="C2" s="20" t="s">
        <v>1557</v>
      </c>
      <c r="D2" s="20" t="s">
        <v>32</v>
      </c>
      <c r="E2" s="20">
        <v>116</v>
      </c>
      <c r="F2" s="20" t="s">
        <v>2058</v>
      </c>
      <c r="G2" s="20" t="s">
        <v>1287</v>
      </c>
      <c r="H2" s="20" t="s">
        <v>1288</v>
      </c>
      <c r="I2" s="20">
        <v>1</v>
      </c>
      <c r="J2" s="20">
        <v>177</v>
      </c>
      <c r="K2" s="20">
        <v>1</v>
      </c>
      <c r="L2" s="20" t="s">
        <v>13</v>
      </c>
      <c r="M2" s="20"/>
      <c r="N2" s="20"/>
      <c r="O2" s="20">
        <v>10</v>
      </c>
      <c r="P2" s="20" t="s">
        <v>26</v>
      </c>
      <c r="Q2" s="20" t="s">
        <v>66</v>
      </c>
      <c r="R2" s="20" t="str">
        <f t="shared" ref="R2:R21" si="0">F2</f>
        <v>EMBUDO GIGANTE-AMARILLO</v>
      </c>
      <c r="S2" s="19">
        <f t="shared" ref="S2:S21" si="1">+I2</f>
        <v>1</v>
      </c>
      <c r="T2" s="19">
        <v>199</v>
      </c>
      <c r="U2" s="19">
        <v>120</v>
      </c>
      <c r="V2" s="19"/>
      <c r="W2" s="19"/>
      <c r="X2" s="19"/>
      <c r="Y2" s="19"/>
    </row>
    <row r="3" spans="1:25" ht="12" hidden="1" customHeight="1" thickBot="1" x14ac:dyDescent="0.35">
      <c r="A3" s="20">
        <v>1</v>
      </c>
      <c r="B3" s="20" t="s">
        <v>1556</v>
      </c>
      <c r="C3" s="20" t="s">
        <v>1557</v>
      </c>
      <c r="D3" s="20" t="s">
        <v>32</v>
      </c>
      <c r="E3" s="20">
        <v>117</v>
      </c>
      <c r="F3" s="20" t="s">
        <v>2060</v>
      </c>
      <c r="G3" s="20" t="s">
        <v>1287</v>
      </c>
      <c r="H3" s="20" t="s">
        <v>1288</v>
      </c>
      <c r="I3" s="20">
        <v>1</v>
      </c>
      <c r="J3" s="20">
        <v>177</v>
      </c>
      <c r="K3" s="20">
        <v>1</v>
      </c>
      <c r="L3" s="20" t="s">
        <v>13</v>
      </c>
      <c r="M3" s="20"/>
      <c r="N3" s="20"/>
      <c r="O3" s="20">
        <v>12</v>
      </c>
      <c r="P3" s="20" t="s">
        <v>24</v>
      </c>
      <c r="Q3" s="20" t="s">
        <v>67</v>
      </c>
      <c r="R3" s="20" t="str">
        <f t="shared" si="0"/>
        <v>EMBUDO GIGANTE-AZUL</v>
      </c>
      <c r="S3" s="19">
        <f t="shared" si="1"/>
        <v>1</v>
      </c>
      <c r="T3" s="19">
        <v>199</v>
      </c>
      <c r="U3" s="19">
        <v>120</v>
      </c>
      <c r="V3" s="19"/>
      <c r="W3" s="19"/>
      <c r="X3" s="19"/>
      <c r="Y3" s="19"/>
    </row>
    <row r="4" spans="1:25" ht="12" hidden="1" customHeight="1" thickBot="1" x14ac:dyDescent="0.35">
      <c r="A4" s="20">
        <v>1</v>
      </c>
      <c r="B4" s="20" t="s">
        <v>1556</v>
      </c>
      <c r="C4" s="20" t="s">
        <v>1557</v>
      </c>
      <c r="D4" s="20" t="s">
        <v>32</v>
      </c>
      <c r="E4" s="20">
        <v>118</v>
      </c>
      <c r="F4" s="20" t="s">
        <v>2059</v>
      </c>
      <c r="G4" s="20" t="s">
        <v>1287</v>
      </c>
      <c r="H4" s="20" t="s">
        <v>1288</v>
      </c>
      <c r="I4" s="20">
        <v>1</v>
      </c>
      <c r="J4" s="20">
        <v>177</v>
      </c>
      <c r="K4" s="20">
        <v>1</v>
      </c>
      <c r="L4" s="20" t="s">
        <v>13</v>
      </c>
      <c r="M4" s="20"/>
      <c r="N4" s="20"/>
      <c r="O4" s="20">
        <v>19</v>
      </c>
      <c r="P4" s="20" t="s">
        <v>27</v>
      </c>
      <c r="Q4" s="20" t="s">
        <v>68</v>
      </c>
      <c r="R4" s="20" t="str">
        <f t="shared" si="0"/>
        <v>EMBUDO GIGANTE-ROJO</v>
      </c>
      <c r="S4" s="19">
        <f t="shared" si="1"/>
        <v>1</v>
      </c>
      <c r="T4" s="19">
        <v>199</v>
      </c>
      <c r="U4" s="19">
        <v>120</v>
      </c>
      <c r="V4" s="19"/>
      <c r="W4" s="19"/>
      <c r="X4" s="19"/>
      <c r="Y4" s="19"/>
    </row>
    <row r="5" spans="1:25" ht="12" hidden="1" customHeight="1" thickBot="1" x14ac:dyDescent="0.35">
      <c r="A5" s="20">
        <v>1</v>
      </c>
      <c r="B5" s="20" t="s">
        <v>1556</v>
      </c>
      <c r="C5" s="20" t="s">
        <v>1557</v>
      </c>
      <c r="D5" s="20" t="s">
        <v>32</v>
      </c>
      <c r="E5" s="20">
        <v>119</v>
      </c>
      <c r="F5" s="20" t="s">
        <v>2057</v>
      </c>
      <c r="G5" s="20" t="s">
        <v>1287</v>
      </c>
      <c r="H5" s="20" t="s">
        <v>1288</v>
      </c>
      <c r="I5" s="20">
        <v>1</v>
      </c>
      <c r="J5" s="20">
        <v>177</v>
      </c>
      <c r="K5" s="20">
        <v>1</v>
      </c>
      <c r="L5" s="20" t="s">
        <v>13</v>
      </c>
      <c r="M5" s="20"/>
      <c r="N5" s="20"/>
      <c r="O5" s="20">
        <v>23</v>
      </c>
      <c r="P5" s="20" t="s">
        <v>1221</v>
      </c>
      <c r="Q5" s="20" t="s">
        <v>69</v>
      </c>
      <c r="R5" s="20" t="str">
        <f t="shared" si="0"/>
        <v>EMBUDO GIGANTE-VERDE</v>
      </c>
      <c r="S5" s="19">
        <f t="shared" si="1"/>
        <v>1</v>
      </c>
      <c r="T5" s="19">
        <v>199</v>
      </c>
      <c r="U5" s="19">
        <v>120</v>
      </c>
      <c r="V5" s="19"/>
      <c r="W5" s="19"/>
      <c r="X5" s="19"/>
      <c r="Y5" s="19"/>
    </row>
    <row r="6" spans="1:25" ht="12" hidden="1" customHeight="1" thickBot="1" x14ac:dyDescent="0.35">
      <c r="A6" s="20">
        <v>1</v>
      </c>
      <c r="B6" s="20" t="s">
        <v>1556</v>
      </c>
      <c r="C6" s="20" t="s">
        <v>1557</v>
      </c>
      <c r="D6" s="20" t="s">
        <v>2168</v>
      </c>
      <c r="E6" s="20">
        <v>100</v>
      </c>
      <c r="F6" s="20" t="s">
        <v>2162</v>
      </c>
      <c r="G6" s="20" t="s">
        <v>1287</v>
      </c>
      <c r="H6" s="20" t="s">
        <v>1288</v>
      </c>
      <c r="I6" s="20">
        <v>4</v>
      </c>
      <c r="J6" s="20">
        <v>22</v>
      </c>
      <c r="K6" s="20">
        <v>1</v>
      </c>
      <c r="L6" s="20" t="s">
        <v>13</v>
      </c>
      <c r="M6" s="20"/>
      <c r="N6" s="20"/>
      <c r="O6" s="20">
        <v>10</v>
      </c>
      <c r="P6" s="20" t="s">
        <v>26</v>
      </c>
      <c r="Q6" s="20" t="s">
        <v>50</v>
      </c>
      <c r="R6" s="20" t="str">
        <f>F6</f>
        <v>EMBUDO #1-AMARILLO</v>
      </c>
      <c r="S6" s="19">
        <f t="shared" si="1"/>
        <v>4</v>
      </c>
      <c r="T6" s="19">
        <f t="shared" ref="T6:T17" si="2">+J6</f>
        <v>22</v>
      </c>
      <c r="U6" s="19">
        <v>120</v>
      </c>
      <c r="V6" s="19"/>
      <c r="W6" s="19"/>
      <c r="X6" s="19"/>
      <c r="Y6" s="19"/>
    </row>
    <row r="7" spans="1:25" ht="12" hidden="1" customHeight="1" thickBot="1" x14ac:dyDescent="0.35">
      <c r="A7" s="20">
        <v>1</v>
      </c>
      <c r="B7" s="20" t="s">
        <v>1556</v>
      </c>
      <c r="C7" s="20" t="s">
        <v>1557</v>
      </c>
      <c r="D7" s="20" t="s">
        <v>2168</v>
      </c>
      <c r="E7" s="20">
        <v>101</v>
      </c>
      <c r="F7" s="20" t="s">
        <v>2163</v>
      </c>
      <c r="G7" s="20" t="s">
        <v>1287</v>
      </c>
      <c r="H7" s="20" t="s">
        <v>1288</v>
      </c>
      <c r="I7" s="20">
        <v>4</v>
      </c>
      <c r="J7" s="20">
        <v>22</v>
      </c>
      <c r="K7" s="20">
        <v>1</v>
      </c>
      <c r="L7" s="20" t="s">
        <v>13</v>
      </c>
      <c r="M7" s="20"/>
      <c r="N7" s="20"/>
      <c r="O7" s="20">
        <v>11</v>
      </c>
      <c r="P7" s="20" t="s">
        <v>1207</v>
      </c>
      <c r="Q7" s="20" t="s">
        <v>51</v>
      </c>
      <c r="R7" s="20" t="str">
        <f t="shared" si="0"/>
        <v>EMBUDO #1-ANARANJADO</v>
      </c>
      <c r="S7" s="19">
        <f t="shared" si="1"/>
        <v>4</v>
      </c>
      <c r="T7" s="19">
        <f t="shared" si="2"/>
        <v>22</v>
      </c>
      <c r="U7" s="19">
        <v>120</v>
      </c>
      <c r="V7" s="19"/>
      <c r="W7" s="19"/>
      <c r="X7" s="19"/>
      <c r="Y7" s="19"/>
    </row>
    <row r="8" spans="1:25" ht="12" hidden="1" customHeight="1" thickBot="1" x14ac:dyDescent="0.35">
      <c r="A8" s="20">
        <v>1</v>
      </c>
      <c r="B8" s="20" t="s">
        <v>1556</v>
      </c>
      <c r="C8" s="20" t="s">
        <v>1557</v>
      </c>
      <c r="D8" s="20" t="s">
        <v>2168</v>
      </c>
      <c r="E8" s="20">
        <v>102</v>
      </c>
      <c r="F8" s="20" t="s">
        <v>2164</v>
      </c>
      <c r="G8" s="20" t="s">
        <v>1287</v>
      </c>
      <c r="H8" s="20" t="s">
        <v>1288</v>
      </c>
      <c r="I8" s="20">
        <v>4</v>
      </c>
      <c r="J8" s="20">
        <v>22</v>
      </c>
      <c r="K8" s="20">
        <v>1</v>
      </c>
      <c r="L8" s="20" t="s">
        <v>13</v>
      </c>
      <c r="M8" s="20"/>
      <c r="N8" s="20"/>
      <c r="O8" s="20">
        <v>14</v>
      </c>
      <c r="P8" s="20" t="s">
        <v>1209</v>
      </c>
      <c r="Q8" s="20" t="s">
        <v>52</v>
      </c>
      <c r="R8" s="20" t="str">
        <f t="shared" si="0"/>
        <v>EMBUDO #1-CELESTE</v>
      </c>
      <c r="S8" s="19">
        <f t="shared" si="1"/>
        <v>4</v>
      </c>
      <c r="T8" s="19">
        <f t="shared" si="2"/>
        <v>22</v>
      </c>
      <c r="U8" s="19">
        <v>120</v>
      </c>
      <c r="V8" s="19"/>
      <c r="W8" s="19"/>
      <c r="X8" s="19"/>
      <c r="Y8" s="19"/>
    </row>
    <row r="9" spans="1:25" ht="12" hidden="1" customHeight="1" thickBot="1" x14ac:dyDescent="0.35">
      <c r="A9" s="20">
        <v>1</v>
      </c>
      <c r="B9" s="20" t="s">
        <v>1556</v>
      </c>
      <c r="C9" s="20" t="s">
        <v>1557</v>
      </c>
      <c r="D9" s="20" t="s">
        <v>1981</v>
      </c>
      <c r="E9" s="20">
        <v>107</v>
      </c>
      <c r="F9" s="20" t="s">
        <v>1983</v>
      </c>
      <c r="G9" s="20" t="s">
        <v>1287</v>
      </c>
      <c r="H9" s="20" t="s">
        <v>1288</v>
      </c>
      <c r="I9" s="20">
        <v>4</v>
      </c>
      <c r="J9" s="20">
        <v>35</v>
      </c>
      <c r="K9" s="20">
        <v>1</v>
      </c>
      <c r="L9" s="20" t="s">
        <v>13</v>
      </c>
      <c r="M9" s="20"/>
      <c r="N9" s="20"/>
      <c r="O9" s="20">
        <v>11</v>
      </c>
      <c r="P9" s="20" t="s">
        <v>1207</v>
      </c>
      <c r="Q9" s="20" t="s">
        <v>57</v>
      </c>
      <c r="R9" s="20" t="str">
        <f t="shared" si="0"/>
        <v>EMBUDO #2-ANARANJADO</v>
      </c>
      <c r="S9" s="19">
        <f t="shared" si="1"/>
        <v>4</v>
      </c>
      <c r="T9" s="19">
        <f t="shared" si="2"/>
        <v>35</v>
      </c>
      <c r="U9" s="19">
        <v>105</v>
      </c>
      <c r="V9" s="19"/>
      <c r="W9" s="19"/>
      <c r="X9" s="19"/>
      <c r="Y9" s="19"/>
    </row>
    <row r="10" spans="1:25" ht="12" hidden="1" customHeight="1" thickBot="1" x14ac:dyDescent="0.35">
      <c r="A10" s="20">
        <v>1</v>
      </c>
      <c r="B10" s="20" t="s">
        <v>1556</v>
      </c>
      <c r="C10" s="20" t="s">
        <v>1557</v>
      </c>
      <c r="D10" s="20" t="s">
        <v>2168</v>
      </c>
      <c r="E10" s="20">
        <v>103</v>
      </c>
      <c r="F10" s="20" t="s">
        <v>2165</v>
      </c>
      <c r="G10" s="20" t="s">
        <v>1287</v>
      </c>
      <c r="H10" s="20" t="s">
        <v>1288</v>
      </c>
      <c r="I10" s="20">
        <v>4</v>
      </c>
      <c r="J10" s="20">
        <v>22</v>
      </c>
      <c r="K10" s="20">
        <v>1</v>
      </c>
      <c r="L10" s="20" t="s">
        <v>13</v>
      </c>
      <c r="M10" s="20"/>
      <c r="N10" s="20"/>
      <c r="O10" s="20">
        <v>16</v>
      </c>
      <c r="P10" s="20" t="s">
        <v>1212</v>
      </c>
      <c r="Q10" s="20" t="s">
        <v>53</v>
      </c>
      <c r="R10" s="20" t="str">
        <f t="shared" si="0"/>
        <v>EMBUDO #1-LILA</v>
      </c>
      <c r="S10" s="19">
        <f t="shared" si="1"/>
        <v>4</v>
      </c>
      <c r="T10" s="19">
        <f t="shared" si="2"/>
        <v>22</v>
      </c>
      <c r="U10" s="19">
        <v>120</v>
      </c>
      <c r="V10" s="19"/>
      <c r="W10" s="19"/>
      <c r="X10" s="19"/>
      <c r="Y10" s="19"/>
    </row>
    <row r="11" spans="1:25" ht="12" hidden="1" customHeight="1" thickBot="1" x14ac:dyDescent="0.35">
      <c r="A11" s="20">
        <v>1</v>
      </c>
      <c r="B11" s="20" t="s">
        <v>1556</v>
      </c>
      <c r="C11" s="20" t="s">
        <v>1557</v>
      </c>
      <c r="D11" s="20" t="s">
        <v>2168</v>
      </c>
      <c r="E11" s="20">
        <v>104</v>
      </c>
      <c r="F11" s="20" t="s">
        <v>2166</v>
      </c>
      <c r="G11" s="20" t="s">
        <v>1287</v>
      </c>
      <c r="H11" s="20" t="s">
        <v>1288</v>
      </c>
      <c r="I11" s="20">
        <v>4</v>
      </c>
      <c r="J11" s="20">
        <v>22</v>
      </c>
      <c r="K11" s="20">
        <v>1</v>
      </c>
      <c r="L11" s="20" t="s">
        <v>13</v>
      </c>
      <c r="M11" s="20"/>
      <c r="N11" s="20"/>
      <c r="O11" s="20">
        <v>20</v>
      </c>
      <c r="P11" s="20" t="s">
        <v>1217</v>
      </c>
      <c r="Q11" s="20" t="s">
        <v>54</v>
      </c>
      <c r="R11" s="20" t="str">
        <f t="shared" si="0"/>
        <v>EMBUDO #1-ROSADO</v>
      </c>
      <c r="S11" s="19">
        <f t="shared" si="1"/>
        <v>4</v>
      </c>
      <c r="T11" s="19">
        <f t="shared" si="2"/>
        <v>22</v>
      </c>
      <c r="U11" s="19">
        <v>120</v>
      </c>
      <c r="V11" s="19"/>
      <c r="W11" s="19"/>
      <c r="X11" s="19"/>
      <c r="Y11" s="19"/>
    </row>
    <row r="12" spans="1:25" ht="12" hidden="1" customHeight="1" thickBot="1" x14ac:dyDescent="0.35">
      <c r="A12" s="20">
        <v>1</v>
      </c>
      <c r="B12" s="20" t="s">
        <v>1556</v>
      </c>
      <c r="C12" s="20" t="s">
        <v>1557</v>
      </c>
      <c r="D12" s="20" t="s">
        <v>2168</v>
      </c>
      <c r="E12" s="20">
        <v>105</v>
      </c>
      <c r="F12" s="20" t="s">
        <v>2167</v>
      </c>
      <c r="G12" s="20" t="s">
        <v>1287</v>
      </c>
      <c r="H12" s="20" t="s">
        <v>1288</v>
      </c>
      <c r="I12" s="20">
        <v>4</v>
      </c>
      <c r="J12" s="20">
        <v>22</v>
      </c>
      <c r="K12" s="20">
        <v>1</v>
      </c>
      <c r="L12" s="20" t="s">
        <v>13</v>
      </c>
      <c r="M12" s="20"/>
      <c r="N12" s="20"/>
      <c r="O12" s="20">
        <v>23</v>
      </c>
      <c r="P12" s="20" t="s">
        <v>1221</v>
      </c>
      <c r="Q12" s="20" t="s">
        <v>55</v>
      </c>
      <c r="R12" s="20" t="str">
        <f t="shared" si="0"/>
        <v>EMBUDO #1-VERDE</v>
      </c>
      <c r="S12" s="19">
        <f t="shared" si="1"/>
        <v>4</v>
      </c>
      <c r="T12" s="19">
        <f t="shared" si="2"/>
        <v>22</v>
      </c>
      <c r="U12" s="19">
        <v>120</v>
      </c>
      <c r="V12" s="19"/>
      <c r="W12" s="19"/>
      <c r="X12" s="19"/>
      <c r="Y12" s="19"/>
    </row>
    <row r="13" spans="1:25" ht="12" hidden="1" customHeight="1" thickBot="1" x14ac:dyDescent="0.35">
      <c r="A13" s="20">
        <v>1</v>
      </c>
      <c r="B13" s="20" t="s">
        <v>1556</v>
      </c>
      <c r="C13" s="20" t="s">
        <v>1557</v>
      </c>
      <c r="D13" s="20" t="s">
        <v>1981</v>
      </c>
      <c r="E13" s="20">
        <v>106</v>
      </c>
      <c r="F13" s="20" t="s">
        <v>1982</v>
      </c>
      <c r="G13" s="20" t="s">
        <v>1287</v>
      </c>
      <c r="H13" s="20" t="s">
        <v>1288</v>
      </c>
      <c r="I13" s="20">
        <v>4</v>
      </c>
      <c r="J13" s="20">
        <v>35</v>
      </c>
      <c r="K13" s="20">
        <v>1</v>
      </c>
      <c r="L13" s="20" t="s">
        <v>13</v>
      </c>
      <c r="M13" s="20"/>
      <c r="N13" s="20"/>
      <c r="O13" s="20">
        <v>10</v>
      </c>
      <c r="P13" s="20" t="s">
        <v>26</v>
      </c>
      <c r="Q13" s="20" t="s">
        <v>56</v>
      </c>
      <c r="R13" s="20" t="str">
        <f t="shared" si="0"/>
        <v>EMBUDO #2-AMARILLO</v>
      </c>
      <c r="S13" s="19">
        <f t="shared" si="1"/>
        <v>4</v>
      </c>
      <c r="T13" s="19">
        <f t="shared" si="2"/>
        <v>35</v>
      </c>
      <c r="U13" s="19">
        <v>105</v>
      </c>
      <c r="V13" s="19"/>
      <c r="W13" s="19"/>
      <c r="X13" s="19"/>
      <c r="Y13" s="19"/>
    </row>
    <row r="14" spans="1:25" ht="12" hidden="1" customHeight="1" thickBot="1" x14ac:dyDescent="0.35">
      <c r="A14" s="20">
        <v>1</v>
      </c>
      <c r="B14" s="20" t="s">
        <v>1556</v>
      </c>
      <c r="C14" s="20" t="s">
        <v>1557</v>
      </c>
      <c r="D14" s="20" t="s">
        <v>1981</v>
      </c>
      <c r="E14" s="20">
        <v>108</v>
      </c>
      <c r="F14" s="20" t="s">
        <v>1984</v>
      </c>
      <c r="G14" s="20" t="s">
        <v>1287</v>
      </c>
      <c r="H14" s="20" t="s">
        <v>1288</v>
      </c>
      <c r="I14" s="20">
        <v>4</v>
      </c>
      <c r="J14" s="20">
        <v>35</v>
      </c>
      <c r="K14" s="20">
        <v>1</v>
      </c>
      <c r="L14" s="20" t="s">
        <v>13</v>
      </c>
      <c r="M14" s="20"/>
      <c r="N14" s="20"/>
      <c r="O14" s="20">
        <v>14</v>
      </c>
      <c r="P14" s="20" t="s">
        <v>1209</v>
      </c>
      <c r="Q14" s="20" t="s">
        <v>58</v>
      </c>
      <c r="R14" s="20" t="str">
        <f t="shared" si="0"/>
        <v>EMBUDO #2-CELESTE</v>
      </c>
      <c r="S14" s="19">
        <f t="shared" si="1"/>
        <v>4</v>
      </c>
      <c r="T14" s="19">
        <f t="shared" si="2"/>
        <v>35</v>
      </c>
      <c r="U14" s="19">
        <v>105</v>
      </c>
      <c r="V14" s="19"/>
      <c r="W14" s="19"/>
      <c r="X14" s="19"/>
      <c r="Y14" s="19"/>
    </row>
    <row r="15" spans="1:25" ht="12" hidden="1" customHeight="1" thickBot="1" x14ac:dyDescent="0.35">
      <c r="A15" s="20">
        <v>1</v>
      </c>
      <c r="B15" s="20" t="s">
        <v>1556</v>
      </c>
      <c r="C15" s="20" t="s">
        <v>1557</v>
      </c>
      <c r="D15" s="20" t="s">
        <v>1981</v>
      </c>
      <c r="E15" s="20">
        <v>109</v>
      </c>
      <c r="F15" s="20" t="s">
        <v>1987</v>
      </c>
      <c r="G15" s="20" t="s">
        <v>1287</v>
      </c>
      <c r="H15" s="20" t="s">
        <v>1288</v>
      </c>
      <c r="I15" s="20">
        <v>4</v>
      </c>
      <c r="J15" s="20">
        <v>35</v>
      </c>
      <c r="K15" s="20">
        <v>1</v>
      </c>
      <c r="L15" s="20" t="s">
        <v>13</v>
      </c>
      <c r="M15" s="20"/>
      <c r="N15" s="20"/>
      <c r="O15" s="20">
        <v>16</v>
      </c>
      <c r="P15" s="20" t="s">
        <v>1212</v>
      </c>
      <c r="Q15" s="20" t="s">
        <v>59</v>
      </c>
      <c r="R15" s="20" t="str">
        <f t="shared" si="0"/>
        <v>EMBUDO #2-ROJO</v>
      </c>
      <c r="S15" s="19">
        <f t="shared" si="1"/>
        <v>4</v>
      </c>
      <c r="T15" s="19">
        <f t="shared" si="2"/>
        <v>35</v>
      </c>
      <c r="U15" s="19">
        <v>105</v>
      </c>
      <c r="V15" s="19"/>
      <c r="W15" s="19"/>
      <c r="X15" s="19"/>
      <c r="Y15" s="19"/>
    </row>
    <row r="16" spans="1:25" ht="12" hidden="1" customHeight="1" thickBot="1" x14ac:dyDescent="0.35">
      <c r="A16" s="20">
        <v>1</v>
      </c>
      <c r="B16" s="20" t="s">
        <v>1556</v>
      </c>
      <c r="C16" s="20" t="s">
        <v>1557</v>
      </c>
      <c r="D16" s="20" t="s">
        <v>1981</v>
      </c>
      <c r="E16" s="20">
        <v>110</v>
      </c>
      <c r="F16" s="20" t="s">
        <v>1986</v>
      </c>
      <c r="G16" s="20" t="s">
        <v>1287</v>
      </c>
      <c r="H16" s="20" t="s">
        <v>1288</v>
      </c>
      <c r="I16" s="20">
        <v>4</v>
      </c>
      <c r="J16" s="20">
        <v>35</v>
      </c>
      <c r="K16" s="20">
        <v>1</v>
      </c>
      <c r="L16" s="20" t="s">
        <v>13</v>
      </c>
      <c r="M16" s="20"/>
      <c r="N16" s="20"/>
      <c r="O16" s="20">
        <v>20</v>
      </c>
      <c r="P16" s="20" t="s">
        <v>1217</v>
      </c>
      <c r="Q16" s="20" t="s">
        <v>60</v>
      </c>
      <c r="R16" s="20" t="str">
        <f t="shared" si="0"/>
        <v>EMBUDO #2-AZUL</v>
      </c>
      <c r="S16" s="19">
        <f t="shared" si="1"/>
        <v>4</v>
      </c>
      <c r="T16" s="19">
        <f t="shared" si="2"/>
        <v>35</v>
      </c>
      <c r="U16" s="19">
        <v>105</v>
      </c>
      <c r="V16" s="19"/>
      <c r="W16" s="19"/>
      <c r="X16" s="19"/>
      <c r="Y16" s="19"/>
    </row>
    <row r="17" spans="1:25" ht="12" hidden="1" customHeight="1" thickBot="1" x14ac:dyDescent="0.35">
      <c r="A17" s="20">
        <v>1</v>
      </c>
      <c r="B17" s="20" t="s">
        <v>1556</v>
      </c>
      <c r="C17" s="20" t="s">
        <v>1557</v>
      </c>
      <c r="D17" s="20" t="s">
        <v>1981</v>
      </c>
      <c r="E17" s="20">
        <v>111</v>
      </c>
      <c r="F17" s="20" t="s">
        <v>1985</v>
      </c>
      <c r="G17" s="20" t="s">
        <v>1287</v>
      </c>
      <c r="H17" s="20" t="s">
        <v>1288</v>
      </c>
      <c r="I17" s="20">
        <v>4</v>
      </c>
      <c r="J17" s="20">
        <v>35</v>
      </c>
      <c r="K17" s="20">
        <v>1</v>
      </c>
      <c r="L17" s="20" t="s">
        <v>13</v>
      </c>
      <c r="M17" s="20"/>
      <c r="N17" s="20"/>
      <c r="O17" s="20">
        <v>23</v>
      </c>
      <c r="P17" s="20" t="s">
        <v>1221</v>
      </c>
      <c r="Q17" s="20" t="s">
        <v>61</v>
      </c>
      <c r="R17" s="20" t="str">
        <f t="shared" si="0"/>
        <v>EMBUDO #2-VERDE</v>
      </c>
      <c r="S17" s="19">
        <f t="shared" si="1"/>
        <v>4</v>
      </c>
      <c r="T17" s="19">
        <f t="shared" si="2"/>
        <v>35</v>
      </c>
      <c r="U17" s="19">
        <v>105</v>
      </c>
      <c r="V17" s="19"/>
      <c r="W17" s="19"/>
      <c r="X17" s="19"/>
      <c r="Y17" s="19"/>
    </row>
    <row r="18" spans="1:25" ht="12" hidden="1" customHeight="1" thickBot="1" x14ac:dyDescent="0.35">
      <c r="A18" s="20">
        <v>1</v>
      </c>
      <c r="B18" s="20" t="s">
        <v>1556</v>
      </c>
      <c r="C18" s="20" t="s">
        <v>1557</v>
      </c>
      <c r="D18" s="20" t="s">
        <v>1558</v>
      </c>
      <c r="E18" s="20">
        <v>112</v>
      </c>
      <c r="F18" s="20" t="s">
        <v>2064</v>
      </c>
      <c r="G18" s="20" t="s">
        <v>1287</v>
      </c>
      <c r="H18" s="20" t="s">
        <v>1288</v>
      </c>
      <c r="I18" s="20">
        <v>2</v>
      </c>
      <c r="J18" s="20">
        <v>126</v>
      </c>
      <c r="K18" s="20">
        <v>1</v>
      </c>
      <c r="L18" s="20" t="s">
        <v>13</v>
      </c>
      <c r="M18" s="20"/>
      <c r="N18" s="20"/>
      <c r="O18" s="20">
        <v>10</v>
      </c>
      <c r="P18" s="20" t="s">
        <v>26</v>
      </c>
      <c r="Q18" s="20" t="s">
        <v>62</v>
      </c>
      <c r="R18" s="20" t="str">
        <f t="shared" si="0"/>
        <v>EMBUDO #4-AMARILLO</v>
      </c>
      <c r="S18" s="19">
        <f t="shared" si="1"/>
        <v>2</v>
      </c>
      <c r="T18" s="19">
        <v>126</v>
      </c>
      <c r="U18" s="19">
        <v>90</v>
      </c>
      <c r="V18" s="19"/>
      <c r="W18" s="19"/>
      <c r="X18" s="19"/>
      <c r="Y18" s="19"/>
    </row>
    <row r="19" spans="1:25" ht="12" hidden="1" customHeight="1" thickBot="1" x14ac:dyDescent="0.35">
      <c r="A19" s="20">
        <v>1</v>
      </c>
      <c r="B19" s="20" t="s">
        <v>1556</v>
      </c>
      <c r="C19" s="20" t="s">
        <v>1557</v>
      </c>
      <c r="D19" s="20" t="s">
        <v>1558</v>
      </c>
      <c r="E19" s="20">
        <v>113</v>
      </c>
      <c r="F19" s="20" t="s">
        <v>2065</v>
      </c>
      <c r="G19" s="20" t="s">
        <v>1287</v>
      </c>
      <c r="H19" s="20" t="s">
        <v>1288</v>
      </c>
      <c r="I19" s="20">
        <v>2</v>
      </c>
      <c r="J19" s="20">
        <v>126</v>
      </c>
      <c r="K19" s="20">
        <v>1</v>
      </c>
      <c r="L19" s="20" t="s">
        <v>13</v>
      </c>
      <c r="M19" s="20"/>
      <c r="N19" s="20"/>
      <c r="O19" s="20">
        <v>12</v>
      </c>
      <c r="P19" s="20" t="s">
        <v>24</v>
      </c>
      <c r="Q19" s="20" t="s">
        <v>63</v>
      </c>
      <c r="R19" s="20" t="str">
        <f t="shared" si="0"/>
        <v>EMBUDO #4-AZUL</v>
      </c>
      <c r="S19" s="19">
        <f t="shared" si="1"/>
        <v>2</v>
      </c>
      <c r="T19" s="19">
        <v>126</v>
      </c>
      <c r="U19" s="19">
        <v>90</v>
      </c>
      <c r="V19" s="19"/>
      <c r="W19" s="19"/>
      <c r="X19" s="19"/>
      <c r="Y19" s="19"/>
    </row>
    <row r="20" spans="1:25" ht="12" hidden="1" customHeight="1" thickBot="1" x14ac:dyDescent="0.35">
      <c r="A20" s="20">
        <v>1</v>
      </c>
      <c r="B20" s="20" t="s">
        <v>1556</v>
      </c>
      <c r="C20" s="20" t="s">
        <v>1557</v>
      </c>
      <c r="D20" s="20" t="s">
        <v>1558</v>
      </c>
      <c r="E20" s="20">
        <v>114</v>
      </c>
      <c r="F20" s="20" t="s">
        <v>2068</v>
      </c>
      <c r="G20" s="20" t="s">
        <v>1287</v>
      </c>
      <c r="H20" s="20" t="s">
        <v>1288</v>
      </c>
      <c r="I20" s="20">
        <v>2</v>
      </c>
      <c r="J20" s="20">
        <v>126</v>
      </c>
      <c r="K20" s="20">
        <v>1</v>
      </c>
      <c r="L20" s="20" t="s">
        <v>13</v>
      </c>
      <c r="M20" s="20"/>
      <c r="N20" s="20"/>
      <c r="O20" s="20">
        <v>19</v>
      </c>
      <c r="P20" s="20" t="s">
        <v>27</v>
      </c>
      <c r="Q20" s="20" t="s">
        <v>64</v>
      </c>
      <c r="R20" s="20" t="str">
        <f t="shared" si="0"/>
        <v>EMBUDO #4-ROJO</v>
      </c>
      <c r="S20" s="19">
        <f t="shared" si="1"/>
        <v>2</v>
      </c>
      <c r="T20" s="19">
        <v>126</v>
      </c>
      <c r="U20" s="19">
        <v>90</v>
      </c>
      <c r="V20" s="19"/>
      <c r="W20" s="19"/>
      <c r="X20" s="19"/>
      <c r="Y20" s="19"/>
    </row>
    <row r="21" spans="1:25" ht="12" hidden="1" customHeight="1" thickBot="1" x14ac:dyDescent="0.35">
      <c r="A21" s="20">
        <v>1</v>
      </c>
      <c r="B21" s="20" t="s">
        <v>1556</v>
      </c>
      <c r="C21" s="20" t="s">
        <v>1557</v>
      </c>
      <c r="D21" s="20" t="s">
        <v>1558</v>
      </c>
      <c r="E21" s="20">
        <v>115</v>
      </c>
      <c r="F21" s="20" t="s">
        <v>2066</v>
      </c>
      <c r="G21" s="20" t="s">
        <v>1287</v>
      </c>
      <c r="H21" s="20" t="s">
        <v>1288</v>
      </c>
      <c r="I21" s="20">
        <v>2</v>
      </c>
      <c r="J21" s="20">
        <v>126</v>
      </c>
      <c r="K21" s="20">
        <v>1</v>
      </c>
      <c r="L21" s="20" t="s">
        <v>13</v>
      </c>
      <c r="M21" s="20"/>
      <c r="N21" s="20"/>
      <c r="O21" s="20">
        <v>23</v>
      </c>
      <c r="P21" s="20" t="s">
        <v>1221</v>
      </c>
      <c r="Q21" s="20" t="s">
        <v>65</v>
      </c>
      <c r="R21" s="20" t="str">
        <f t="shared" si="0"/>
        <v>EMBUDO #4-VERDE</v>
      </c>
      <c r="S21" s="19">
        <f t="shared" si="1"/>
        <v>2</v>
      </c>
      <c r="T21" s="19">
        <v>126</v>
      </c>
      <c r="U21" s="19">
        <v>90</v>
      </c>
      <c r="V21" s="19"/>
      <c r="W21" s="19"/>
      <c r="X21" s="19"/>
      <c r="Y21" s="19"/>
    </row>
    <row r="22" spans="1:25" ht="12" hidden="1" customHeight="1" thickBot="1" x14ac:dyDescent="0.35">
      <c r="A22" s="20">
        <v>1</v>
      </c>
      <c r="B22" s="20" t="s">
        <v>1556</v>
      </c>
      <c r="C22" s="20" t="s">
        <v>1559</v>
      </c>
      <c r="D22" s="20" t="s">
        <v>1560</v>
      </c>
      <c r="E22" s="20">
        <v>120</v>
      </c>
      <c r="F22" s="20" t="s">
        <v>126</v>
      </c>
      <c r="G22" s="20" t="s">
        <v>1561</v>
      </c>
      <c r="H22" s="20" t="s">
        <v>1218</v>
      </c>
      <c r="I22" s="20">
        <v>1</v>
      </c>
      <c r="J22" s="20">
        <v>143</v>
      </c>
      <c r="K22" s="20">
        <v>1</v>
      </c>
      <c r="L22" s="20" t="s">
        <v>13</v>
      </c>
      <c r="M22" s="20"/>
      <c r="N22" s="20"/>
      <c r="O22" s="20">
        <v>21</v>
      </c>
      <c r="P22" s="20" t="s">
        <v>1218</v>
      </c>
      <c r="Q22" s="20" t="s">
        <v>70</v>
      </c>
      <c r="R22" s="20" t="str">
        <f t="shared" ref="R22:R66" si="3">F22</f>
        <v>REPOSTERO 4KG-TRANSPARENTE</v>
      </c>
      <c r="S22" s="19">
        <f t="shared" ref="S22:S66" si="4">+I22</f>
        <v>1</v>
      </c>
      <c r="T22" s="19">
        <f t="shared" ref="T22:T66" si="5">+J22</f>
        <v>143</v>
      </c>
      <c r="U22" s="19">
        <v>120</v>
      </c>
      <c r="V22" s="19"/>
      <c r="W22" s="19"/>
      <c r="X22" s="19"/>
      <c r="Y22" s="19"/>
    </row>
    <row r="23" spans="1:25" ht="12" hidden="1" customHeight="1" thickBot="1" x14ac:dyDescent="0.35">
      <c r="A23" s="20">
        <v>1</v>
      </c>
      <c r="B23" s="20" t="s">
        <v>1556</v>
      </c>
      <c r="C23" s="20" t="s">
        <v>1559</v>
      </c>
      <c r="D23" s="20" t="s">
        <v>955</v>
      </c>
      <c r="E23" s="20">
        <v>121</v>
      </c>
      <c r="F23" s="20" t="s">
        <v>1980</v>
      </c>
      <c r="G23" s="20" t="s">
        <v>1287</v>
      </c>
      <c r="H23" s="20" t="s">
        <v>1288</v>
      </c>
      <c r="I23" s="20">
        <v>2</v>
      </c>
      <c r="J23" s="20">
        <v>56</v>
      </c>
      <c r="K23" s="20">
        <v>1</v>
      </c>
      <c r="L23" s="20" t="s">
        <v>13</v>
      </c>
      <c r="M23" s="20"/>
      <c r="N23" s="20"/>
      <c r="O23" s="20">
        <v>10</v>
      </c>
      <c r="P23" s="20" t="s">
        <v>26</v>
      </c>
      <c r="Q23" s="20" t="s">
        <v>71</v>
      </c>
      <c r="R23" s="20" t="str">
        <f t="shared" si="3"/>
        <v>TAPA REPOSTEROS-AMARILLO</v>
      </c>
      <c r="S23" s="19">
        <f t="shared" si="4"/>
        <v>2</v>
      </c>
      <c r="T23" s="19">
        <v>54</v>
      </c>
      <c r="U23" s="19">
        <v>130</v>
      </c>
      <c r="V23" s="19"/>
      <c r="W23" s="19"/>
      <c r="X23" s="19"/>
      <c r="Y23" s="19"/>
    </row>
    <row r="24" spans="1:25" ht="12" hidden="1" customHeight="1" thickBot="1" x14ac:dyDescent="0.35">
      <c r="A24" s="20">
        <v>1</v>
      </c>
      <c r="B24" s="20" t="s">
        <v>1556</v>
      </c>
      <c r="C24" s="20" t="s">
        <v>1559</v>
      </c>
      <c r="D24" s="20" t="s">
        <v>955</v>
      </c>
      <c r="E24" s="20">
        <v>122</v>
      </c>
      <c r="F24" s="20" t="s">
        <v>127</v>
      </c>
      <c r="G24" s="20" t="s">
        <v>1287</v>
      </c>
      <c r="H24" s="20" t="s">
        <v>1288</v>
      </c>
      <c r="I24" s="20">
        <v>2</v>
      </c>
      <c r="J24" s="20">
        <v>56</v>
      </c>
      <c r="K24" s="20">
        <v>1</v>
      </c>
      <c r="L24" s="20" t="s">
        <v>13</v>
      </c>
      <c r="M24" s="20"/>
      <c r="N24" s="20"/>
      <c r="O24" s="20">
        <v>12</v>
      </c>
      <c r="P24" s="20" t="s">
        <v>24</v>
      </c>
      <c r="Q24" s="20" t="s">
        <v>72</v>
      </c>
      <c r="R24" s="20" t="str">
        <f t="shared" si="3"/>
        <v>TAPA REPOSTEROS-AZUL</v>
      </c>
      <c r="S24" s="19">
        <f>+I24</f>
        <v>2</v>
      </c>
      <c r="T24" s="19">
        <v>54</v>
      </c>
      <c r="U24" s="19">
        <v>130</v>
      </c>
      <c r="V24" s="19"/>
      <c r="W24" s="19"/>
      <c r="X24" s="19"/>
      <c r="Y24" s="19"/>
    </row>
    <row r="25" spans="1:25" ht="12" hidden="1" customHeight="1" thickBot="1" x14ac:dyDescent="0.35">
      <c r="A25" s="20">
        <v>1</v>
      </c>
      <c r="B25" s="20" t="s">
        <v>1556</v>
      </c>
      <c r="C25" s="20" t="s">
        <v>1559</v>
      </c>
      <c r="D25" s="20" t="s">
        <v>955</v>
      </c>
      <c r="E25" s="20">
        <v>123</v>
      </c>
      <c r="F25" s="20" t="s">
        <v>128</v>
      </c>
      <c r="G25" s="20" t="s">
        <v>1287</v>
      </c>
      <c r="H25" s="20" t="s">
        <v>1288</v>
      </c>
      <c r="I25" s="20">
        <v>2</v>
      </c>
      <c r="J25" s="20">
        <v>56</v>
      </c>
      <c r="K25" s="20">
        <v>1</v>
      </c>
      <c r="L25" s="20" t="s">
        <v>13</v>
      </c>
      <c r="M25" s="20"/>
      <c r="N25" s="20"/>
      <c r="O25" s="20">
        <v>19</v>
      </c>
      <c r="P25" s="20" t="s">
        <v>27</v>
      </c>
      <c r="Q25" s="20" t="s">
        <v>73</v>
      </c>
      <c r="R25" s="20" t="str">
        <f t="shared" si="3"/>
        <v>TAPA REPOSTEROS-ROJO</v>
      </c>
      <c r="S25" s="19">
        <f>+I25</f>
        <v>2</v>
      </c>
      <c r="T25" s="19">
        <v>54</v>
      </c>
      <c r="U25" s="19">
        <v>130</v>
      </c>
      <c r="V25" s="19"/>
      <c r="W25" s="19"/>
      <c r="X25" s="19"/>
      <c r="Y25" s="19"/>
    </row>
    <row r="26" spans="1:25" ht="12" hidden="1" customHeight="1" thickBot="1" x14ac:dyDescent="0.35">
      <c r="A26" s="20">
        <v>1</v>
      </c>
      <c r="B26" s="20" t="s">
        <v>1556</v>
      </c>
      <c r="C26" s="20" t="s">
        <v>1559</v>
      </c>
      <c r="D26" s="20" t="s">
        <v>955</v>
      </c>
      <c r="E26" s="20">
        <v>124</v>
      </c>
      <c r="F26" s="20" t="s">
        <v>1953</v>
      </c>
      <c r="G26" s="20" t="s">
        <v>1287</v>
      </c>
      <c r="H26" s="20" t="s">
        <v>1288</v>
      </c>
      <c r="I26" s="20">
        <v>2</v>
      </c>
      <c r="J26" s="20">
        <v>56</v>
      </c>
      <c r="K26" s="20">
        <v>1</v>
      </c>
      <c r="L26" s="20" t="s">
        <v>13</v>
      </c>
      <c r="M26" s="20"/>
      <c r="N26" s="20"/>
      <c r="O26" s="20">
        <v>23</v>
      </c>
      <c r="P26" s="20" t="s">
        <v>1221</v>
      </c>
      <c r="Q26" s="20" t="s">
        <v>74</v>
      </c>
      <c r="R26" s="20" t="str">
        <f t="shared" si="3"/>
        <v>TAPA REPOSTEROS-VERDE</v>
      </c>
      <c r="S26" s="19">
        <f>+I26</f>
        <v>2</v>
      </c>
      <c r="T26" s="19">
        <v>54</v>
      </c>
      <c r="U26" s="19">
        <v>130</v>
      </c>
      <c r="V26" s="19"/>
      <c r="W26" s="19"/>
      <c r="X26" s="19"/>
      <c r="Y26" s="19"/>
    </row>
    <row r="27" spans="1:25" ht="12" hidden="1" customHeight="1" thickBot="1" x14ac:dyDescent="0.35">
      <c r="A27" s="20">
        <v>1</v>
      </c>
      <c r="B27" s="20" t="s">
        <v>1556</v>
      </c>
      <c r="C27" s="20" t="s">
        <v>1559</v>
      </c>
      <c r="D27" s="20" t="s">
        <v>1562</v>
      </c>
      <c r="E27" s="20">
        <v>125</v>
      </c>
      <c r="F27" s="20" t="s">
        <v>129</v>
      </c>
      <c r="G27" s="20" t="s">
        <v>1561</v>
      </c>
      <c r="H27" s="20" t="s">
        <v>1218</v>
      </c>
      <c r="I27" s="20">
        <v>1</v>
      </c>
      <c r="J27" s="20">
        <v>211</v>
      </c>
      <c r="K27" s="20">
        <v>1</v>
      </c>
      <c r="L27" s="20" t="s">
        <v>13</v>
      </c>
      <c r="M27" s="20"/>
      <c r="N27" s="20"/>
      <c r="O27" s="20">
        <v>21</v>
      </c>
      <c r="P27" s="20" t="s">
        <v>1218</v>
      </c>
      <c r="Q27" s="20" t="s">
        <v>75</v>
      </c>
      <c r="R27" s="20" t="str">
        <f t="shared" si="3"/>
        <v>REPOSTERO 6KG -TRANSPARENTE</v>
      </c>
      <c r="S27" s="19">
        <f t="shared" si="4"/>
        <v>1</v>
      </c>
      <c r="T27" s="19">
        <f t="shared" si="5"/>
        <v>211</v>
      </c>
      <c r="U27" s="19">
        <v>120</v>
      </c>
      <c r="V27" s="19"/>
      <c r="W27" s="19"/>
      <c r="X27" s="19"/>
      <c r="Y27" s="19"/>
    </row>
    <row r="28" spans="1:25" ht="12.75" hidden="1" customHeight="1" thickBot="1" x14ac:dyDescent="0.35">
      <c r="A28" s="20">
        <v>1</v>
      </c>
      <c r="B28" s="20" t="s">
        <v>1556</v>
      </c>
      <c r="C28" s="20" t="s">
        <v>1563</v>
      </c>
      <c r="D28" s="20" t="s">
        <v>11</v>
      </c>
      <c r="E28" s="20">
        <v>126</v>
      </c>
      <c r="F28" s="20" t="s">
        <v>130</v>
      </c>
      <c r="G28" s="20" t="s">
        <v>1287</v>
      </c>
      <c r="H28" s="20" t="s">
        <v>1288</v>
      </c>
      <c r="I28" s="20">
        <v>1</v>
      </c>
      <c r="J28" s="20">
        <v>56</v>
      </c>
      <c r="K28" s="20">
        <v>2</v>
      </c>
      <c r="L28" s="20" t="s">
        <v>12</v>
      </c>
      <c r="M28" s="20"/>
      <c r="N28" s="20"/>
      <c r="O28" s="20">
        <v>13</v>
      </c>
      <c r="P28" s="20" t="s">
        <v>25</v>
      </c>
      <c r="Q28" s="20" t="s">
        <v>76</v>
      </c>
      <c r="R28" s="20" t="str">
        <f t="shared" si="3"/>
        <v>FLORERO AMERICANO-BLANCO</v>
      </c>
      <c r="S28" s="19">
        <f t="shared" si="4"/>
        <v>1</v>
      </c>
      <c r="T28" s="19">
        <f t="shared" si="5"/>
        <v>56</v>
      </c>
      <c r="U28" s="19"/>
      <c r="V28" s="19"/>
      <c r="W28" s="19"/>
      <c r="X28" s="19"/>
      <c r="Y28" s="19"/>
    </row>
    <row r="29" spans="1:25" ht="12.75" hidden="1" customHeight="1" thickBot="1" x14ac:dyDescent="0.35">
      <c r="A29" s="20">
        <v>1</v>
      </c>
      <c r="B29" s="20" t="s">
        <v>1556</v>
      </c>
      <c r="C29" s="20" t="s">
        <v>1563</v>
      </c>
      <c r="D29" s="20" t="s">
        <v>11</v>
      </c>
      <c r="E29" s="20">
        <v>127</v>
      </c>
      <c r="F29" s="20" t="s">
        <v>1565</v>
      </c>
      <c r="G29" s="20" t="s">
        <v>1287</v>
      </c>
      <c r="H29" s="20" t="s">
        <v>1288</v>
      </c>
      <c r="I29" s="20">
        <v>1</v>
      </c>
      <c r="J29" s="20">
        <v>56</v>
      </c>
      <c r="K29" s="20">
        <v>2</v>
      </c>
      <c r="L29" s="20" t="s">
        <v>12</v>
      </c>
      <c r="M29" s="20"/>
      <c r="N29" s="20"/>
      <c r="O29" s="20">
        <v>10</v>
      </c>
      <c r="P29" s="20" t="s">
        <v>26</v>
      </c>
      <c r="Q29" s="20" t="s">
        <v>1564</v>
      </c>
      <c r="R29" s="20" t="str">
        <f t="shared" si="3"/>
        <v>FLORERO AMERICANO-PINTADO AMARILLO</v>
      </c>
      <c r="S29" s="19">
        <f t="shared" si="4"/>
        <v>1</v>
      </c>
      <c r="T29" s="19">
        <f t="shared" si="5"/>
        <v>56</v>
      </c>
      <c r="U29" s="19"/>
      <c r="V29" s="19"/>
      <c r="W29" s="19"/>
      <c r="X29" s="19"/>
      <c r="Y29" s="19"/>
    </row>
    <row r="30" spans="1:25" ht="12.75" hidden="1" customHeight="1" thickBot="1" x14ac:dyDescent="0.35">
      <c r="A30" s="20">
        <v>1</v>
      </c>
      <c r="B30" s="20" t="s">
        <v>1556</v>
      </c>
      <c r="C30" s="20" t="s">
        <v>1563</v>
      </c>
      <c r="D30" s="20" t="s">
        <v>11</v>
      </c>
      <c r="E30" s="20">
        <v>128</v>
      </c>
      <c r="F30" s="20" t="s">
        <v>1567</v>
      </c>
      <c r="G30" s="20" t="s">
        <v>1287</v>
      </c>
      <c r="H30" s="20" t="s">
        <v>1288</v>
      </c>
      <c r="I30" s="20">
        <v>1</v>
      </c>
      <c r="J30" s="20">
        <v>56</v>
      </c>
      <c r="K30" s="20">
        <v>2</v>
      </c>
      <c r="L30" s="20" t="s">
        <v>12</v>
      </c>
      <c r="M30" s="20"/>
      <c r="N30" s="20"/>
      <c r="O30" s="20">
        <v>12</v>
      </c>
      <c r="P30" s="20" t="s">
        <v>24</v>
      </c>
      <c r="Q30" s="20" t="s">
        <v>1566</v>
      </c>
      <c r="R30" s="20" t="str">
        <f t="shared" si="3"/>
        <v>FLORERO AMERICANO-PINTADO AZUL</v>
      </c>
      <c r="S30" s="19">
        <f t="shared" si="4"/>
        <v>1</v>
      </c>
      <c r="T30" s="19">
        <f t="shared" si="5"/>
        <v>56</v>
      </c>
      <c r="U30" s="19"/>
      <c r="V30" s="19"/>
      <c r="W30" s="19"/>
      <c r="X30" s="19"/>
      <c r="Y30" s="19"/>
    </row>
    <row r="31" spans="1:25" ht="12.75" hidden="1" customHeight="1" thickBot="1" x14ac:dyDescent="0.35">
      <c r="A31" s="20">
        <v>1</v>
      </c>
      <c r="B31" s="20" t="s">
        <v>1556</v>
      </c>
      <c r="C31" s="20" t="s">
        <v>1563</v>
      </c>
      <c r="D31" s="20" t="s">
        <v>11</v>
      </c>
      <c r="E31" s="20">
        <v>129</v>
      </c>
      <c r="F31" s="20" t="s">
        <v>1569</v>
      </c>
      <c r="G31" s="20" t="s">
        <v>1287</v>
      </c>
      <c r="H31" s="20" t="s">
        <v>1288</v>
      </c>
      <c r="I31" s="20">
        <v>1</v>
      </c>
      <c r="J31" s="20">
        <v>56</v>
      </c>
      <c r="K31" s="20">
        <v>2</v>
      </c>
      <c r="L31" s="20" t="s">
        <v>12</v>
      </c>
      <c r="M31" s="20"/>
      <c r="N31" s="20"/>
      <c r="O31" s="20">
        <v>15</v>
      </c>
      <c r="P31" s="20" t="s">
        <v>1211</v>
      </c>
      <c r="Q31" s="20" t="s">
        <v>1568</v>
      </c>
      <c r="R31" s="20" t="str">
        <f t="shared" si="3"/>
        <v>FLORERO AMERICANO-PINTADO FUCSIA</v>
      </c>
      <c r="S31" s="19">
        <f t="shared" si="4"/>
        <v>1</v>
      </c>
      <c r="T31" s="19">
        <f t="shared" si="5"/>
        <v>56</v>
      </c>
      <c r="U31" s="19"/>
      <c r="V31" s="19"/>
      <c r="W31" s="19"/>
      <c r="X31" s="19"/>
      <c r="Y31" s="19"/>
    </row>
    <row r="32" spans="1:25" ht="12.75" hidden="1" customHeight="1" thickBot="1" x14ac:dyDescent="0.35">
      <c r="A32" s="20">
        <v>1</v>
      </c>
      <c r="B32" s="20" t="s">
        <v>1556</v>
      </c>
      <c r="C32" s="20" t="s">
        <v>1563</v>
      </c>
      <c r="D32" s="20" t="s">
        <v>957</v>
      </c>
      <c r="E32" s="20">
        <v>130</v>
      </c>
      <c r="F32" s="20" t="s">
        <v>131</v>
      </c>
      <c r="G32" s="20" t="s">
        <v>1287</v>
      </c>
      <c r="H32" s="20" t="s">
        <v>1288</v>
      </c>
      <c r="I32" s="20">
        <v>1</v>
      </c>
      <c r="J32" s="20">
        <v>56</v>
      </c>
      <c r="K32" s="20">
        <v>2</v>
      </c>
      <c r="L32" s="20" t="s">
        <v>12</v>
      </c>
      <c r="M32" s="20"/>
      <c r="N32" s="20"/>
      <c r="O32" s="20">
        <v>13</v>
      </c>
      <c r="P32" s="20" t="s">
        <v>25</v>
      </c>
      <c r="Q32" s="20" t="s">
        <v>77</v>
      </c>
      <c r="R32" s="20" t="str">
        <f t="shared" si="3"/>
        <v>FLORERO CISNE-BLANCO</v>
      </c>
      <c r="S32" s="19">
        <f t="shared" si="4"/>
        <v>1</v>
      </c>
      <c r="T32" s="19">
        <f t="shared" si="5"/>
        <v>56</v>
      </c>
      <c r="U32" s="19"/>
      <c r="V32" s="19"/>
      <c r="W32" s="19"/>
      <c r="X32" s="19"/>
      <c r="Y32" s="19"/>
    </row>
    <row r="33" spans="1:25" ht="12.75" hidden="1" customHeight="1" thickBot="1" x14ac:dyDescent="0.35">
      <c r="A33" s="20">
        <v>1</v>
      </c>
      <c r="B33" s="20" t="s">
        <v>1556</v>
      </c>
      <c r="C33" s="20" t="s">
        <v>1563</v>
      </c>
      <c r="D33" s="20" t="s">
        <v>957</v>
      </c>
      <c r="E33" s="20">
        <v>131</v>
      </c>
      <c r="F33" s="20" t="s">
        <v>1571</v>
      </c>
      <c r="G33" s="20" t="s">
        <v>1287</v>
      </c>
      <c r="H33" s="20" t="s">
        <v>1288</v>
      </c>
      <c r="I33" s="20">
        <v>1</v>
      </c>
      <c r="J33" s="20">
        <v>56</v>
      </c>
      <c r="K33" s="20">
        <v>2</v>
      </c>
      <c r="L33" s="20" t="s">
        <v>12</v>
      </c>
      <c r="M33" s="20"/>
      <c r="N33" s="20"/>
      <c r="O33" s="20">
        <v>10</v>
      </c>
      <c r="P33" s="20" t="s">
        <v>26</v>
      </c>
      <c r="Q33" s="20" t="s">
        <v>1570</v>
      </c>
      <c r="R33" s="20" t="str">
        <f t="shared" si="3"/>
        <v>FLORERO CISNE-PINTADO AMARILLO</v>
      </c>
      <c r="S33" s="19">
        <f t="shared" si="4"/>
        <v>1</v>
      </c>
      <c r="T33" s="19">
        <f t="shared" si="5"/>
        <v>56</v>
      </c>
      <c r="U33" s="19"/>
      <c r="V33" s="19"/>
      <c r="W33" s="19"/>
      <c r="X33" s="19"/>
      <c r="Y33" s="19"/>
    </row>
    <row r="34" spans="1:25" ht="12.75" hidden="1" customHeight="1" thickBot="1" x14ac:dyDescent="0.35">
      <c r="A34" s="20">
        <v>1</v>
      </c>
      <c r="B34" s="20" t="s">
        <v>1556</v>
      </c>
      <c r="C34" s="20" t="s">
        <v>1563</v>
      </c>
      <c r="D34" s="20" t="s">
        <v>957</v>
      </c>
      <c r="E34" s="20">
        <v>132</v>
      </c>
      <c r="F34" s="20" t="s">
        <v>1573</v>
      </c>
      <c r="G34" s="20" t="s">
        <v>1287</v>
      </c>
      <c r="H34" s="20" t="s">
        <v>1288</v>
      </c>
      <c r="I34" s="20">
        <v>1</v>
      </c>
      <c r="J34" s="20">
        <v>56</v>
      </c>
      <c r="K34" s="20">
        <v>2</v>
      </c>
      <c r="L34" s="20" t="s">
        <v>12</v>
      </c>
      <c r="M34" s="20"/>
      <c r="N34" s="20"/>
      <c r="O34" s="20">
        <v>12</v>
      </c>
      <c r="P34" s="20" t="s">
        <v>24</v>
      </c>
      <c r="Q34" s="20" t="s">
        <v>1572</v>
      </c>
      <c r="R34" s="20" t="str">
        <f t="shared" si="3"/>
        <v>FLORERO CISNE-PINTADO AZUL</v>
      </c>
      <c r="S34" s="19">
        <f t="shared" si="4"/>
        <v>1</v>
      </c>
      <c r="T34" s="19">
        <f t="shared" si="5"/>
        <v>56</v>
      </c>
      <c r="U34" s="19"/>
      <c r="V34" s="19"/>
      <c r="W34" s="19"/>
      <c r="X34" s="19"/>
      <c r="Y34" s="19"/>
    </row>
    <row r="35" spans="1:25" ht="12.75" hidden="1" customHeight="1" thickBot="1" x14ac:dyDescent="0.35">
      <c r="A35" s="20">
        <v>1</v>
      </c>
      <c r="B35" s="20" t="s">
        <v>1556</v>
      </c>
      <c r="C35" s="20" t="s">
        <v>1563</v>
      </c>
      <c r="D35" s="20" t="s">
        <v>957</v>
      </c>
      <c r="E35" s="20">
        <v>133</v>
      </c>
      <c r="F35" s="20" t="s">
        <v>1575</v>
      </c>
      <c r="G35" s="20" t="s">
        <v>1287</v>
      </c>
      <c r="H35" s="20" t="s">
        <v>1288</v>
      </c>
      <c r="I35" s="20">
        <v>1</v>
      </c>
      <c r="J35" s="20">
        <v>56</v>
      </c>
      <c r="K35" s="20">
        <v>2</v>
      </c>
      <c r="L35" s="20" t="s">
        <v>12</v>
      </c>
      <c r="M35" s="20"/>
      <c r="N35" s="20"/>
      <c r="O35" s="20">
        <v>15</v>
      </c>
      <c r="P35" s="20" t="s">
        <v>1211</v>
      </c>
      <c r="Q35" s="20" t="s">
        <v>1574</v>
      </c>
      <c r="R35" s="20" t="str">
        <f t="shared" si="3"/>
        <v>FLORERO CISNE-PINTADO FUCSIA</v>
      </c>
      <c r="S35" s="19">
        <f t="shared" si="4"/>
        <v>1</v>
      </c>
      <c r="T35" s="19">
        <f t="shared" si="5"/>
        <v>56</v>
      </c>
      <c r="U35" s="19"/>
      <c r="V35" s="19"/>
      <c r="W35" s="19"/>
      <c r="X35" s="19"/>
      <c r="Y35" s="19"/>
    </row>
    <row r="36" spans="1:25" ht="12.75" hidden="1" customHeight="1" thickBot="1" x14ac:dyDescent="0.35">
      <c r="A36" s="20">
        <v>1</v>
      </c>
      <c r="B36" s="20" t="s">
        <v>1556</v>
      </c>
      <c r="C36" s="20" t="s">
        <v>1563</v>
      </c>
      <c r="D36" s="20" t="s">
        <v>956</v>
      </c>
      <c r="E36" s="20">
        <v>134</v>
      </c>
      <c r="F36" s="20" t="s">
        <v>132</v>
      </c>
      <c r="G36" s="20" t="s">
        <v>1287</v>
      </c>
      <c r="H36" s="20" t="s">
        <v>1288</v>
      </c>
      <c r="I36" s="20">
        <v>1</v>
      </c>
      <c r="J36" s="20">
        <v>61</v>
      </c>
      <c r="K36" s="20">
        <v>2</v>
      </c>
      <c r="L36" s="20" t="s">
        <v>12</v>
      </c>
      <c r="M36" s="20"/>
      <c r="N36" s="20"/>
      <c r="O36" s="20">
        <v>13</v>
      </c>
      <c r="P36" s="20" t="s">
        <v>25</v>
      </c>
      <c r="Q36" s="20" t="s">
        <v>78</v>
      </c>
      <c r="R36" s="20" t="str">
        <f t="shared" si="3"/>
        <v>FLORERO ITALIANO-BLANCO</v>
      </c>
      <c r="S36" s="19">
        <f t="shared" si="4"/>
        <v>1</v>
      </c>
      <c r="T36" s="19">
        <f t="shared" si="5"/>
        <v>61</v>
      </c>
      <c r="U36" s="19">
        <v>100</v>
      </c>
      <c r="V36" s="19"/>
      <c r="W36" s="19"/>
      <c r="X36" s="19"/>
      <c r="Y36" s="19"/>
    </row>
    <row r="37" spans="1:25" ht="12.75" hidden="1" customHeight="1" thickBot="1" x14ac:dyDescent="0.35">
      <c r="A37" s="20">
        <v>1</v>
      </c>
      <c r="B37" s="20" t="s">
        <v>1556</v>
      </c>
      <c r="C37" s="20" t="s">
        <v>1563</v>
      </c>
      <c r="D37" s="20" t="s">
        <v>956</v>
      </c>
      <c r="E37" s="20">
        <v>135</v>
      </c>
      <c r="F37" s="20" t="s">
        <v>1577</v>
      </c>
      <c r="G37" s="20" t="s">
        <v>1287</v>
      </c>
      <c r="H37" s="20" t="s">
        <v>1288</v>
      </c>
      <c r="I37" s="20">
        <v>1</v>
      </c>
      <c r="J37" s="20">
        <v>61</v>
      </c>
      <c r="K37" s="20">
        <v>2</v>
      </c>
      <c r="L37" s="20" t="s">
        <v>12</v>
      </c>
      <c r="M37" s="20"/>
      <c r="N37" s="20"/>
      <c r="O37" s="20">
        <v>10</v>
      </c>
      <c r="P37" s="20" t="s">
        <v>26</v>
      </c>
      <c r="Q37" s="20" t="s">
        <v>1576</v>
      </c>
      <c r="R37" s="20" t="str">
        <f t="shared" si="3"/>
        <v>FLORERO ITALIANO-PINTADO AMARILLO</v>
      </c>
      <c r="S37" s="19">
        <f t="shared" si="4"/>
        <v>1</v>
      </c>
      <c r="T37" s="19">
        <f t="shared" si="5"/>
        <v>61</v>
      </c>
      <c r="U37" s="19">
        <v>100</v>
      </c>
      <c r="V37" s="19"/>
      <c r="W37" s="19"/>
      <c r="X37" s="19"/>
      <c r="Y37" s="19"/>
    </row>
    <row r="38" spans="1:25" ht="12.75" hidden="1" customHeight="1" thickBot="1" x14ac:dyDescent="0.35">
      <c r="A38" s="20">
        <v>1</v>
      </c>
      <c r="B38" s="20" t="s">
        <v>1556</v>
      </c>
      <c r="C38" s="20" t="s">
        <v>1563</v>
      </c>
      <c r="D38" s="20" t="s">
        <v>956</v>
      </c>
      <c r="E38" s="20">
        <v>136</v>
      </c>
      <c r="F38" s="20" t="s">
        <v>1579</v>
      </c>
      <c r="G38" s="20" t="s">
        <v>1287</v>
      </c>
      <c r="H38" s="20" t="s">
        <v>1288</v>
      </c>
      <c r="I38" s="20">
        <v>1</v>
      </c>
      <c r="J38" s="20">
        <v>61</v>
      </c>
      <c r="K38" s="20">
        <v>2</v>
      </c>
      <c r="L38" s="20" t="s">
        <v>12</v>
      </c>
      <c r="M38" s="20"/>
      <c r="N38" s="20"/>
      <c r="O38" s="20">
        <v>12</v>
      </c>
      <c r="P38" s="20" t="s">
        <v>24</v>
      </c>
      <c r="Q38" s="20" t="s">
        <v>1578</v>
      </c>
      <c r="R38" s="20" t="str">
        <f t="shared" si="3"/>
        <v>FLORERO ITALIANO-PINTADO AZUL</v>
      </c>
      <c r="S38" s="19">
        <f t="shared" si="4"/>
        <v>1</v>
      </c>
      <c r="T38" s="19">
        <f t="shared" si="5"/>
        <v>61</v>
      </c>
      <c r="U38" s="19">
        <v>100</v>
      </c>
      <c r="V38" s="19"/>
      <c r="W38" s="19"/>
      <c r="X38" s="19"/>
      <c r="Y38" s="19"/>
    </row>
    <row r="39" spans="1:25" ht="12.75" hidden="1" customHeight="1" thickBot="1" x14ac:dyDescent="0.35">
      <c r="A39" s="20">
        <v>1</v>
      </c>
      <c r="B39" s="20" t="s">
        <v>1556</v>
      </c>
      <c r="C39" s="20" t="s">
        <v>1563</v>
      </c>
      <c r="D39" s="20" t="s">
        <v>956</v>
      </c>
      <c r="E39" s="20">
        <v>137</v>
      </c>
      <c r="F39" s="20" t="s">
        <v>1581</v>
      </c>
      <c r="G39" s="20" t="s">
        <v>1287</v>
      </c>
      <c r="H39" s="20" t="s">
        <v>1288</v>
      </c>
      <c r="I39" s="20">
        <v>1</v>
      </c>
      <c r="J39" s="20">
        <v>61</v>
      </c>
      <c r="K39" s="20">
        <v>2</v>
      </c>
      <c r="L39" s="20" t="s">
        <v>12</v>
      </c>
      <c r="M39" s="20"/>
      <c r="N39" s="20"/>
      <c r="O39" s="20">
        <v>15</v>
      </c>
      <c r="P39" s="20" t="s">
        <v>1211</v>
      </c>
      <c r="Q39" s="20" t="s">
        <v>1580</v>
      </c>
      <c r="R39" s="20" t="str">
        <f t="shared" si="3"/>
        <v>FLORERO ITALIANO-PINTADO FUCSIA</v>
      </c>
      <c r="S39" s="19">
        <f t="shared" si="4"/>
        <v>1</v>
      </c>
      <c r="T39" s="19">
        <f t="shared" si="5"/>
        <v>61</v>
      </c>
      <c r="U39" s="19">
        <v>100</v>
      </c>
      <c r="V39" s="19"/>
      <c r="W39" s="19"/>
      <c r="X39" s="19"/>
      <c r="Y39" s="19"/>
    </row>
    <row r="40" spans="1:25" ht="12.75" customHeight="1" thickBot="1" x14ac:dyDescent="0.35">
      <c r="A40" s="20">
        <v>1</v>
      </c>
      <c r="B40" s="20" t="s">
        <v>1556</v>
      </c>
      <c r="C40" s="20" t="s">
        <v>1563</v>
      </c>
      <c r="D40" s="20" t="s">
        <v>1152</v>
      </c>
      <c r="E40" s="20">
        <v>138</v>
      </c>
      <c r="F40" s="20" t="s">
        <v>133</v>
      </c>
      <c r="G40" s="20" t="s">
        <v>1287</v>
      </c>
      <c r="H40" s="20" t="s">
        <v>1288</v>
      </c>
      <c r="I40" s="20">
        <v>1</v>
      </c>
      <c r="J40" s="20">
        <v>84</v>
      </c>
      <c r="K40" s="20">
        <v>2</v>
      </c>
      <c r="L40" s="20" t="s">
        <v>12</v>
      </c>
      <c r="M40" s="20"/>
      <c r="N40" s="20"/>
      <c r="O40" s="20">
        <v>13</v>
      </c>
      <c r="P40" s="20" t="s">
        <v>25</v>
      </c>
      <c r="Q40" s="20" t="s">
        <v>79</v>
      </c>
      <c r="R40" s="20" t="str">
        <f t="shared" si="3"/>
        <v>FLORERO ITALIANO GRANDE-BLANCO</v>
      </c>
      <c r="S40" s="19">
        <f t="shared" si="4"/>
        <v>1</v>
      </c>
      <c r="T40" s="19">
        <f t="shared" si="5"/>
        <v>84</v>
      </c>
      <c r="U40" s="19"/>
      <c r="V40" s="19"/>
      <c r="W40" s="19"/>
      <c r="X40" s="19"/>
      <c r="Y40" s="19"/>
    </row>
    <row r="41" spans="1:25" ht="12.75" customHeight="1" thickBot="1" x14ac:dyDescent="0.35">
      <c r="A41" s="20">
        <v>1</v>
      </c>
      <c r="B41" s="20" t="s">
        <v>1556</v>
      </c>
      <c r="C41" s="20" t="s">
        <v>1563</v>
      </c>
      <c r="D41" s="20" t="s">
        <v>1152</v>
      </c>
      <c r="E41" s="20">
        <v>139</v>
      </c>
      <c r="F41" s="20" t="s">
        <v>1583</v>
      </c>
      <c r="G41" s="20" t="s">
        <v>1287</v>
      </c>
      <c r="H41" s="20" t="s">
        <v>1288</v>
      </c>
      <c r="I41" s="20">
        <v>1</v>
      </c>
      <c r="J41" s="20">
        <v>84</v>
      </c>
      <c r="K41" s="20">
        <v>2</v>
      </c>
      <c r="L41" s="20" t="s">
        <v>12</v>
      </c>
      <c r="M41" s="20"/>
      <c r="N41" s="20"/>
      <c r="O41" s="20">
        <v>10</v>
      </c>
      <c r="P41" s="20" t="s">
        <v>26</v>
      </c>
      <c r="Q41" s="20" t="s">
        <v>1582</v>
      </c>
      <c r="R41" s="20" t="str">
        <f t="shared" si="3"/>
        <v>FLORERO ITALIANO GRANDE-PINTADO AMARILLO</v>
      </c>
      <c r="S41" s="19">
        <f t="shared" si="4"/>
        <v>1</v>
      </c>
      <c r="T41" s="19">
        <f t="shared" si="5"/>
        <v>84</v>
      </c>
      <c r="U41" s="19"/>
      <c r="V41" s="19"/>
      <c r="W41" s="19"/>
      <c r="X41" s="19"/>
      <c r="Y41" s="19"/>
    </row>
    <row r="42" spans="1:25" ht="12.75" customHeight="1" thickBot="1" x14ac:dyDescent="0.35">
      <c r="A42" s="20">
        <v>1</v>
      </c>
      <c r="B42" s="20" t="s">
        <v>1556</v>
      </c>
      <c r="C42" s="20" t="s">
        <v>1563</v>
      </c>
      <c r="D42" s="20" t="s">
        <v>1152</v>
      </c>
      <c r="E42" s="20">
        <v>140</v>
      </c>
      <c r="F42" s="20" t="s">
        <v>1585</v>
      </c>
      <c r="G42" s="20" t="s">
        <v>1287</v>
      </c>
      <c r="H42" s="20" t="s">
        <v>1288</v>
      </c>
      <c r="I42" s="20">
        <v>1</v>
      </c>
      <c r="J42" s="20">
        <v>84</v>
      </c>
      <c r="K42" s="20">
        <v>2</v>
      </c>
      <c r="L42" s="20" t="s">
        <v>12</v>
      </c>
      <c r="M42" s="20"/>
      <c r="N42" s="20"/>
      <c r="O42" s="20">
        <v>12</v>
      </c>
      <c r="P42" s="20" t="s">
        <v>24</v>
      </c>
      <c r="Q42" s="20" t="s">
        <v>1584</v>
      </c>
      <c r="R42" s="20" t="str">
        <f t="shared" si="3"/>
        <v>FLORERO ITALIANO GRANDE-PINTADO AZUL</v>
      </c>
      <c r="S42" s="19">
        <f t="shared" si="4"/>
        <v>1</v>
      </c>
      <c r="T42" s="19">
        <f t="shared" si="5"/>
        <v>84</v>
      </c>
      <c r="U42" s="19"/>
      <c r="V42" s="19"/>
      <c r="W42" s="19"/>
      <c r="X42" s="19"/>
      <c r="Y42" s="19"/>
    </row>
    <row r="43" spans="1:25" ht="12.75" customHeight="1" thickBot="1" x14ac:dyDescent="0.35">
      <c r="A43" s="20">
        <v>1</v>
      </c>
      <c r="B43" s="20" t="s">
        <v>1556</v>
      </c>
      <c r="C43" s="20" t="s">
        <v>1563</v>
      </c>
      <c r="D43" s="20" t="s">
        <v>1152</v>
      </c>
      <c r="E43" s="20">
        <v>141</v>
      </c>
      <c r="F43" s="20" t="s">
        <v>1587</v>
      </c>
      <c r="G43" s="20" t="s">
        <v>1287</v>
      </c>
      <c r="H43" s="20" t="s">
        <v>1288</v>
      </c>
      <c r="I43" s="20">
        <v>1</v>
      </c>
      <c r="J43" s="20">
        <v>84</v>
      </c>
      <c r="K43" s="20">
        <v>2</v>
      </c>
      <c r="L43" s="20" t="s">
        <v>12</v>
      </c>
      <c r="M43" s="20"/>
      <c r="N43" s="20"/>
      <c r="O43" s="20">
        <v>15</v>
      </c>
      <c r="P43" s="20" t="s">
        <v>1211</v>
      </c>
      <c r="Q43" s="20" t="s">
        <v>1586</v>
      </c>
      <c r="R43" s="20" t="str">
        <f t="shared" si="3"/>
        <v>FLORERO ITALIANO GRANDE-PINTADO FUCSIA</v>
      </c>
      <c r="S43" s="19">
        <f t="shared" si="4"/>
        <v>1</v>
      </c>
      <c r="T43" s="19">
        <f t="shared" si="5"/>
        <v>84</v>
      </c>
      <c r="U43" s="19"/>
      <c r="V43" s="19"/>
      <c r="W43" s="19"/>
      <c r="X43" s="19"/>
      <c r="Y43" s="19"/>
    </row>
    <row r="44" spans="1:25" ht="12.75" hidden="1" customHeight="1" thickBot="1" x14ac:dyDescent="0.35">
      <c r="A44" s="20">
        <v>1</v>
      </c>
      <c r="B44" s="20" t="s">
        <v>1556</v>
      </c>
      <c r="C44" s="20" t="s">
        <v>1563</v>
      </c>
      <c r="D44" s="20" t="s">
        <v>958</v>
      </c>
      <c r="E44" s="20">
        <v>142</v>
      </c>
      <c r="F44" s="20" t="s">
        <v>134</v>
      </c>
      <c r="G44" s="20" t="s">
        <v>1287</v>
      </c>
      <c r="H44" s="20" t="s">
        <v>1288</v>
      </c>
      <c r="I44" s="20">
        <v>1</v>
      </c>
      <c r="J44" s="20">
        <v>56</v>
      </c>
      <c r="K44" s="20">
        <v>2</v>
      </c>
      <c r="L44" s="20" t="s">
        <v>12</v>
      </c>
      <c r="M44" s="20"/>
      <c r="N44" s="20"/>
      <c r="O44" s="20">
        <v>13</v>
      </c>
      <c r="P44" s="20" t="s">
        <v>25</v>
      </c>
      <c r="Q44" s="20" t="s">
        <v>80</v>
      </c>
      <c r="R44" s="20" t="str">
        <f t="shared" si="3"/>
        <v>FLORERO ORIENTAL-BLANCO</v>
      </c>
      <c r="S44" s="19">
        <f t="shared" si="4"/>
        <v>1</v>
      </c>
      <c r="T44" s="19">
        <f t="shared" si="5"/>
        <v>56</v>
      </c>
      <c r="U44" s="19"/>
      <c r="V44" s="19"/>
      <c r="W44" s="19"/>
      <c r="X44" s="19"/>
      <c r="Y44" s="19"/>
    </row>
    <row r="45" spans="1:25" ht="12.75" hidden="1" customHeight="1" thickBot="1" x14ac:dyDescent="0.35">
      <c r="A45" s="20">
        <v>1</v>
      </c>
      <c r="B45" s="20" t="s">
        <v>1556</v>
      </c>
      <c r="C45" s="20" t="s">
        <v>1563</v>
      </c>
      <c r="D45" s="20" t="s">
        <v>958</v>
      </c>
      <c r="E45" s="20">
        <v>143</v>
      </c>
      <c r="F45" s="20" t="s">
        <v>1589</v>
      </c>
      <c r="G45" s="20" t="s">
        <v>1287</v>
      </c>
      <c r="H45" s="20" t="s">
        <v>1288</v>
      </c>
      <c r="I45" s="20">
        <v>1</v>
      </c>
      <c r="J45" s="20">
        <v>56</v>
      </c>
      <c r="K45" s="20">
        <v>2</v>
      </c>
      <c r="L45" s="20" t="s">
        <v>12</v>
      </c>
      <c r="M45" s="20"/>
      <c r="N45" s="20"/>
      <c r="O45" s="20">
        <v>10</v>
      </c>
      <c r="P45" s="20" t="s">
        <v>26</v>
      </c>
      <c r="Q45" s="20" t="s">
        <v>1588</v>
      </c>
      <c r="R45" s="20" t="str">
        <f t="shared" si="3"/>
        <v>FLORERO ORIENTAL-PINTADO AMARILLO</v>
      </c>
      <c r="S45" s="19">
        <f t="shared" si="4"/>
        <v>1</v>
      </c>
      <c r="T45" s="19">
        <f t="shared" si="5"/>
        <v>56</v>
      </c>
      <c r="U45" s="19"/>
      <c r="V45" s="19"/>
      <c r="W45" s="19"/>
      <c r="X45" s="19"/>
      <c r="Y45" s="19"/>
    </row>
    <row r="46" spans="1:25" ht="12.75" hidden="1" customHeight="1" thickBot="1" x14ac:dyDescent="0.35">
      <c r="A46" s="20">
        <v>1</v>
      </c>
      <c r="B46" s="20" t="s">
        <v>1556</v>
      </c>
      <c r="C46" s="20" t="s">
        <v>1563</v>
      </c>
      <c r="D46" s="20" t="s">
        <v>958</v>
      </c>
      <c r="E46" s="20">
        <v>144</v>
      </c>
      <c r="F46" s="20" t="s">
        <v>1591</v>
      </c>
      <c r="G46" s="20" t="s">
        <v>1287</v>
      </c>
      <c r="H46" s="20" t="s">
        <v>1288</v>
      </c>
      <c r="I46" s="20">
        <v>1</v>
      </c>
      <c r="J46" s="20">
        <v>56</v>
      </c>
      <c r="K46" s="20">
        <v>2</v>
      </c>
      <c r="L46" s="20" t="s">
        <v>12</v>
      </c>
      <c r="M46" s="20"/>
      <c r="N46" s="20"/>
      <c r="O46" s="20">
        <v>12</v>
      </c>
      <c r="P46" s="20" t="s">
        <v>24</v>
      </c>
      <c r="Q46" s="20" t="s">
        <v>1590</v>
      </c>
      <c r="R46" s="20" t="str">
        <f t="shared" si="3"/>
        <v>FLORERO ORIENTAL-PINTADO AZUL</v>
      </c>
      <c r="S46" s="19">
        <f t="shared" si="4"/>
        <v>1</v>
      </c>
      <c r="T46" s="19">
        <f t="shared" si="5"/>
        <v>56</v>
      </c>
      <c r="U46" s="19"/>
      <c r="V46" s="19"/>
      <c r="W46" s="19"/>
      <c r="X46" s="19"/>
      <c r="Y46" s="19"/>
    </row>
    <row r="47" spans="1:25" ht="12.75" hidden="1" customHeight="1" thickBot="1" x14ac:dyDescent="0.35">
      <c r="A47" s="20">
        <v>1</v>
      </c>
      <c r="B47" s="20" t="s">
        <v>1556</v>
      </c>
      <c r="C47" s="20" t="s">
        <v>1563</v>
      </c>
      <c r="D47" s="20" t="s">
        <v>958</v>
      </c>
      <c r="E47" s="20">
        <v>145</v>
      </c>
      <c r="F47" s="20" t="s">
        <v>1593</v>
      </c>
      <c r="G47" s="20" t="s">
        <v>1287</v>
      </c>
      <c r="H47" s="20" t="s">
        <v>1288</v>
      </c>
      <c r="I47" s="20">
        <v>1</v>
      </c>
      <c r="J47" s="20">
        <v>56</v>
      </c>
      <c r="K47" s="20">
        <v>2</v>
      </c>
      <c r="L47" s="20" t="s">
        <v>12</v>
      </c>
      <c r="M47" s="20"/>
      <c r="N47" s="20"/>
      <c r="O47" s="20">
        <v>15</v>
      </c>
      <c r="P47" s="20" t="s">
        <v>1211</v>
      </c>
      <c r="Q47" s="20" t="s">
        <v>1592</v>
      </c>
      <c r="R47" s="20" t="str">
        <f t="shared" si="3"/>
        <v>FLORERO ORIENTAL-PINTADO FUCSIA</v>
      </c>
      <c r="S47" s="19">
        <f t="shared" si="4"/>
        <v>1</v>
      </c>
      <c r="T47" s="19">
        <f t="shared" si="5"/>
        <v>56</v>
      </c>
      <c r="U47" s="19"/>
      <c r="V47" s="19"/>
      <c r="W47" s="19"/>
      <c r="X47" s="19"/>
      <c r="Y47" s="19"/>
    </row>
    <row r="48" spans="1:25" ht="12.75" hidden="1" customHeight="1" thickBot="1" x14ac:dyDescent="0.35">
      <c r="A48" s="20">
        <v>1</v>
      </c>
      <c r="B48" s="20" t="s">
        <v>1556</v>
      </c>
      <c r="C48" s="20" t="s">
        <v>1563</v>
      </c>
      <c r="D48" s="20" t="s">
        <v>959</v>
      </c>
      <c r="E48" s="20">
        <v>146</v>
      </c>
      <c r="F48" s="20" t="s">
        <v>135</v>
      </c>
      <c r="G48" s="20" t="s">
        <v>1287</v>
      </c>
      <c r="H48" s="20" t="s">
        <v>1288</v>
      </c>
      <c r="I48" s="20">
        <v>1</v>
      </c>
      <c r="J48" s="20">
        <v>56</v>
      </c>
      <c r="K48" s="20">
        <v>2</v>
      </c>
      <c r="L48" s="20" t="s">
        <v>12</v>
      </c>
      <c r="M48" s="20"/>
      <c r="N48" s="20"/>
      <c r="O48" s="20">
        <v>13</v>
      </c>
      <c r="P48" s="20" t="s">
        <v>25</v>
      </c>
      <c r="Q48" s="20" t="s">
        <v>81</v>
      </c>
      <c r="R48" s="20" t="str">
        <f t="shared" si="3"/>
        <v>FLORERO PERSA-BLANCO</v>
      </c>
      <c r="S48" s="19">
        <f t="shared" si="4"/>
        <v>1</v>
      </c>
      <c r="T48" s="19">
        <f t="shared" si="5"/>
        <v>56</v>
      </c>
      <c r="U48" s="19"/>
      <c r="V48" s="19"/>
      <c r="W48" s="19"/>
      <c r="X48" s="19"/>
      <c r="Y48" s="19"/>
    </row>
    <row r="49" spans="1:25" ht="12.75" hidden="1" customHeight="1" thickBot="1" x14ac:dyDescent="0.35">
      <c r="A49" s="20">
        <v>1</v>
      </c>
      <c r="B49" s="20" t="s">
        <v>1556</v>
      </c>
      <c r="C49" s="20" t="s">
        <v>1563</v>
      </c>
      <c r="D49" s="20" t="s">
        <v>959</v>
      </c>
      <c r="E49" s="20">
        <v>147</v>
      </c>
      <c r="F49" s="20" t="s">
        <v>1595</v>
      </c>
      <c r="G49" s="20" t="s">
        <v>1287</v>
      </c>
      <c r="H49" s="20" t="s">
        <v>1288</v>
      </c>
      <c r="I49" s="20">
        <v>1</v>
      </c>
      <c r="J49" s="20">
        <v>56</v>
      </c>
      <c r="K49" s="20">
        <v>2</v>
      </c>
      <c r="L49" s="20" t="s">
        <v>12</v>
      </c>
      <c r="M49" s="20"/>
      <c r="N49" s="20"/>
      <c r="O49" s="20">
        <v>10</v>
      </c>
      <c r="P49" s="20" t="s">
        <v>26</v>
      </c>
      <c r="Q49" s="20" t="s">
        <v>1594</v>
      </c>
      <c r="R49" s="20" t="str">
        <f t="shared" si="3"/>
        <v>FLORERO PERSA-PINTADO AMARILLO</v>
      </c>
      <c r="S49" s="19">
        <f t="shared" si="4"/>
        <v>1</v>
      </c>
      <c r="T49" s="19">
        <f t="shared" si="5"/>
        <v>56</v>
      </c>
      <c r="U49" s="19"/>
      <c r="V49" s="19"/>
      <c r="W49" s="19"/>
      <c r="X49" s="19"/>
      <c r="Y49" s="19"/>
    </row>
    <row r="50" spans="1:25" ht="12.75" hidden="1" customHeight="1" thickBot="1" x14ac:dyDescent="0.35">
      <c r="A50" s="20">
        <v>1</v>
      </c>
      <c r="B50" s="20" t="s">
        <v>1556</v>
      </c>
      <c r="C50" s="20" t="s">
        <v>1563</v>
      </c>
      <c r="D50" s="20" t="s">
        <v>959</v>
      </c>
      <c r="E50" s="20">
        <v>148</v>
      </c>
      <c r="F50" s="20" t="s">
        <v>1597</v>
      </c>
      <c r="G50" s="20" t="s">
        <v>1287</v>
      </c>
      <c r="H50" s="20" t="s">
        <v>1288</v>
      </c>
      <c r="I50" s="20">
        <v>1</v>
      </c>
      <c r="J50" s="20">
        <v>56</v>
      </c>
      <c r="K50" s="20">
        <v>2</v>
      </c>
      <c r="L50" s="20" t="s">
        <v>12</v>
      </c>
      <c r="M50" s="20"/>
      <c r="N50" s="20"/>
      <c r="O50" s="20">
        <v>12</v>
      </c>
      <c r="P50" s="20" t="s">
        <v>24</v>
      </c>
      <c r="Q50" s="20" t="s">
        <v>1596</v>
      </c>
      <c r="R50" s="20" t="str">
        <f t="shared" si="3"/>
        <v>FLORERO PERSA-PINTADO AZUL</v>
      </c>
      <c r="S50" s="19">
        <f t="shared" si="4"/>
        <v>1</v>
      </c>
      <c r="T50" s="19">
        <f t="shared" si="5"/>
        <v>56</v>
      </c>
      <c r="U50" s="19"/>
      <c r="V50" s="19"/>
      <c r="W50" s="19"/>
      <c r="X50" s="19"/>
      <c r="Y50" s="19"/>
    </row>
    <row r="51" spans="1:25" ht="12.75" hidden="1" customHeight="1" thickBot="1" x14ac:dyDescent="0.35">
      <c r="A51" s="20">
        <v>1</v>
      </c>
      <c r="B51" s="20" t="s">
        <v>1556</v>
      </c>
      <c r="C51" s="20" t="s">
        <v>1563</v>
      </c>
      <c r="D51" s="20" t="s">
        <v>959</v>
      </c>
      <c r="E51" s="20">
        <v>149</v>
      </c>
      <c r="F51" s="20" t="s">
        <v>1599</v>
      </c>
      <c r="G51" s="20" t="s">
        <v>1287</v>
      </c>
      <c r="H51" s="20" t="s">
        <v>1288</v>
      </c>
      <c r="I51" s="20">
        <v>1</v>
      </c>
      <c r="J51" s="20">
        <v>56</v>
      </c>
      <c r="K51" s="20">
        <v>2</v>
      </c>
      <c r="L51" s="20" t="s">
        <v>12</v>
      </c>
      <c r="M51" s="20"/>
      <c r="N51" s="20"/>
      <c r="O51" s="20">
        <v>15</v>
      </c>
      <c r="P51" s="20" t="s">
        <v>1211</v>
      </c>
      <c r="Q51" s="20" t="s">
        <v>1598</v>
      </c>
      <c r="R51" s="20" t="str">
        <f t="shared" si="3"/>
        <v>FLORERO PERSA-PINTADO FUCSIA</v>
      </c>
      <c r="S51" s="19">
        <f t="shared" si="4"/>
        <v>1</v>
      </c>
      <c r="T51" s="19">
        <f t="shared" si="5"/>
        <v>56</v>
      </c>
      <c r="U51" s="19"/>
      <c r="V51" s="19"/>
      <c r="W51" s="19"/>
      <c r="X51" s="19"/>
      <c r="Y51" s="19"/>
    </row>
    <row r="52" spans="1:25" ht="12" hidden="1" customHeight="1" thickBot="1" x14ac:dyDescent="0.35">
      <c r="A52" s="20">
        <v>1</v>
      </c>
      <c r="B52" s="20" t="s">
        <v>1556</v>
      </c>
      <c r="C52" s="20" t="s">
        <v>1600</v>
      </c>
      <c r="D52" s="20" t="s">
        <v>1601</v>
      </c>
      <c r="E52" s="20">
        <v>150</v>
      </c>
      <c r="F52" s="20" t="s">
        <v>136</v>
      </c>
      <c r="G52" s="20" t="s">
        <v>1561</v>
      </c>
      <c r="H52" s="20" t="s">
        <v>1218</v>
      </c>
      <c r="I52" s="20">
        <v>4</v>
      </c>
      <c r="J52" s="20">
        <v>35</v>
      </c>
      <c r="K52" s="20">
        <v>1</v>
      </c>
      <c r="L52" s="20" t="s">
        <v>13</v>
      </c>
      <c r="M52" s="20"/>
      <c r="N52" s="20"/>
      <c r="O52" s="20">
        <v>21</v>
      </c>
      <c r="P52" s="20" t="s">
        <v>1218</v>
      </c>
      <c r="Q52" s="20" t="s">
        <v>82</v>
      </c>
      <c r="R52" s="20" t="str">
        <f t="shared" si="3"/>
        <v>JARRA GRECIA 500ML-TRANSPARENTE</v>
      </c>
      <c r="S52" s="19">
        <f t="shared" si="4"/>
        <v>4</v>
      </c>
      <c r="T52" s="19">
        <f t="shared" si="5"/>
        <v>35</v>
      </c>
      <c r="U52" s="19"/>
      <c r="V52" s="19"/>
      <c r="W52" s="19"/>
      <c r="X52" s="19"/>
      <c r="Y52" s="19"/>
    </row>
    <row r="53" spans="1:25" ht="12" hidden="1" customHeight="1" thickBot="1" x14ac:dyDescent="0.35">
      <c r="A53" s="20">
        <v>1</v>
      </c>
      <c r="B53" s="20" t="s">
        <v>1556</v>
      </c>
      <c r="C53" s="20" t="s">
        <v>1600</v>
      </c>
      <c r="D53" s="20" t="s">
        <v>1602</v>
      </c>
      <c r="E53" s="20">
        <v>151</v>
      </c>
      <c r="F53" s="20" t="s">
        <v>137</v>
      </c>
      <c r="G53" s="20" t="s">
        <v>1603</v>
      </c>
      <c r="H53" s="20" t="s">
        <v>1604</v>
      </c>
      <c r="I53" s="20">
        <v>4</v>
      </c>
      <c r="J53" s="20">
        <v>35</v>
      </c>
      <c r="K53" s="20">
        <v>1</v>
      </c>
      <c r="L53" s="20" t="s">
        <v>13</v>
      </c>
      <c r="M53" s="20"/>
      <c r="N53" s="20"/>
      <c r="O53" s="20">
        <v>10</v>
      </c>
      <c r="P53" s="20" t="s">
        <v>26</v>
      </c>
      <c r="Q53" s="20" t="s">
        <v>83</v>
      </c>
      <c r="R53" s="20" t="str">
        <f>F53</f>
        <v>JARRA GRECIA 500ML CARAMELO-AMARILLO</v>
      </c>
      <c r="S53" s="19">
        <v>3</v>
      </c>
      <c r="T53" s="19">
        <v>32</v>
      </c>
      <c r="U53" s="19">
        <v>110</v>
      </c>
      <c r="V53" s="19"/>
      <c r="W53" s="19"/>
      <c r="X53" s="19"/>
      <c r="Y53" s="19"/>
    </row>
    <row r="54" spans="1:25" ht="12" hidden="1" customHeight="1" thickBot="1" x14ac:dyDescent="0.35">
      <c r="A54" s="20">
        <v>1</v>
      </c>
      <c r="B54" s="20" t="s">
        <v>1556</v>
      </c>
      <c r="C54" s="20" t="s">
        <v>1600</v>
      </c>
      <c r="D54" s="20" t="s">
        <v>1602</v>
      </c>
      <c r="E54" s="20">
        <v>152</v>
      </c>
      <c r="F54" s="20" t="s">
        <v>138</v>
      </c>
      <c r="G54" s="20" t="s">
        <v>1603</v>
      </c>
      <c r="H54" s="20" t="s">
        <v>1604</v>
      </c>
      <c r="I54" s="20">
        <v>4</v>
      </c>
      <c r="J54" s="20">
        <v>35</v>
      </c>
      <c r="K54" s="20">
        <v>1</v>
      </c>
      <c r="L54" s="20" t="s">
        <v>13</v>
      </c>
      <c r="M54" s="20"/>
      <c r="N54" s="20"/>
      <c r="O54" s="20">
        <v>11</v>
      </c>
      <c r="P54" s="20" t="s">
        <v>1207</v>
      </c>
      <c r="Q54" s="20" t="s">
        <v>84</v>
      </c>
      <c r="R54" s="20" t="str">
        <f>F54</f>
        <v>JARRA GRECIA 500ML CARAMELO-ANARANJADO</v>
      </c>
      <c r="S54" s="19">
        <v>3</v>
      </c>
      <c r="T54" s="19">
        <v>32</v>
      </c>
      <c r="U54" s="19">
        <v>110</v>
      </c>
      <c r="V54" s="19"/>
      <c r="W54" s="19"/>
      <c r="X54" s="19"/>
      <c r="Y54" s="19"/>
    </row>
    <row r="55" spans="1:25" ht="12" hidden="1" customHeight="1" thickBot="1" x14ac:dyDescent="0.35">
      <c r="A55" s="20">
        <v>1</v>
      </c>
      <c r="B55" s="20" t="s">
        <v>1556</v>
      </c>
      <c r="C55" s="20" t="s">
        <v>1600</v>
      </c>
      <c r="D55" s="20" t="s">
        <v>1602</v>
      </c>
      <c r="E55" s="20">
        <v>153</v>
      </c>
      <c r="F55" s="20" t="s">
        <v>139</v>
      </c>
      <c r="G55" s="20" t="s">
        <v>1603</v>
      </c>
      <c r="H55" s="20" t="s">
        <v>1604</v>
      </c>
      <c r="I55" s="20">
        <v>4</v>
      </c>
      <c r="J55" s="20">
        <v>35</v>
      </c>
      <c r="K55" s="20">
        <v>1</v>
      </c>
      <c r="L55" s="20" t="s">
        <v>13</v>
      </c>
      <c r="M55" s="20"/>
      <c r="N55" s="20"/>
      <c r="O55" s="20">
        <v>12</v>
      </c>
      <c r="P55" s="20" t="s">
        <v>24</v>
      </c>
      <c r="Q55" s="20" t="s">
        <v>85</v>
      </c>
      <c r="R55" s="20" t="str">
        <f t="shared" si="3"/>
        <v>JARRA GRECIA 500ML CARAMELO-AZUL</v>
      </c>
      <c r="S55" s="19">
        <v>3</v>
      </c>
      <c r="T55" s="19">
        <v>32</v>
      </c>
      <c r="U55" s="19">
        <v>110</v>
      </c>
      <c r="V55" s="19"/>
      <c r="W55" s="19"/>
      <c r="X55" s="19"/>
      <c r="Y55" s="19"/>
    </row>
    <row r="56" spans="1:25" ht="12" hidden="1" customHeight="1" thickBot="1" x14ac:dyDescent="0.35">
      <c r="A56" s="20">
        <v>1</v>
      </c>
      <c r="B56" s="20" t="s">
        <v>1556</v>
      </c>
      <c r="C56" s="20" t="s">
        <v>1600</v>
      </c>
      <c r="D56" s="20" t="s">
        <v>1602</v>
      </c>
      <c r="E56" s="20">
        <v>154</v>
      </c>
      <c r="F56" s="20" t="s">
        <v>140</v>
      </c>
      <c r="G56" s="20" t="s">
        <v>1603</v>
      </c>
      <c r="H56" s="20" t="s">
        <v>1604</v>
      </c>
      <c r="I56" s="20">
        <v>4</v>
      </c>
      <c r="J56" s="20">
        <v>35</v>
      </c>
      <c r="K56" s="20">
        <v>1</v>
      </c>
      <c r="L56" s="20" t="s">
        <v>13</v>
      </c>
      <c r="M56" s="20"/>
      <c r="N56" s="20"/>
      <c r="O56" s="20">
        <v>15</v>
      </c>
      <c r="P56" s="20" t="s">
        <v>1211</v>
      </c>
      <c r="Q56" s="20" t="s">
        <v>86</v>
      </c>
      <c r="R56" s="20" t="str">
        <f t="shared" si="3"/>
        <v>JARRA GRECIA 500ML CARAMELO-FUCSIA</v>
      </c>
      <c r="S56" s="19">
        <v>3</v>
      </c>
      <c r="T56" s="19">
        <v>32</v>
      </c>
      <c r="U56" s="19">
        <v>110</v>
      </c>
      <c r="V56" s="19"/>
      <c r="W56" s="19"/>
      <c r="X56" s="19"/>
      <c r="Y56" s="19"/>
    </row>
    <row r="57" spans="1:25" ht="12" hidden="1" customHeight="1" thickBot="1" x14ac:dyDescent="0.35">
      <c r="A57" s="20">
        <v>1</v>
      </c>
      <c r="B57" s="20" t="s">
        <v>1556</v>
      </c>
      <c r="C57" s="20" t="s">
        <v>1600</v>
      </c>
      <c r="D57" s="20" t="s">
        <v>1602</v>
      </c>
      <c r="E57" s="20">
        <v>155</v>
      </c>
      <c r="F57" s="20" t="s">
        <v>141</v>
      </c>
      <c r="G57" s="20" t="s">
        <v>1603</v>
      </c>
      <c r="H57" s="20" t="s">
        <v>1604</v>
      </c>
      <c r="I57" s="20">
        <v>4</v>
      </c>
      <c r="J57" s="20">
        <v>35</v>
      </c>
      <c r="K57" s="20">
        <v>1</v>
      </c>
      <c r="L57" s="20" t="s">
        <v>13</v>
      </c>
      <c r="M57" s="20"/>
      <c r="N57" s="20"/>
      <c r="O57" s="20">
        <v>16</v>
      </c>
      <c r="P57" s="20" t="s">
        <v>1212</v>
      </c>
      <c r="Q57" s="20" t="s">
        <v>87</v>
      </c>
      <c r="R57" s="20" t="str">
        <f t="shared" si="3"/>
        <v>JARRA GRECIA 500ML CARAMELO-LILA</v>
      </c>
      <c r="S57" s="19">
        <v>3</v>
      </c>
      <c r="T57" s="19">
        <v>32</v>
      </c>
      <c r="U57" s="19">
        <v>110</v>
      </c>
      <c r="V57" s="19"/>
      <c r="W57" s="19"/>
      <c r="X57" s="19"/>
      <c r="Y57" s="19"/>
    </row>
    <row r="58" spans="1:25" ht="12" hidden="1" customHeight="1" thickBot="1" x14ac:dyDescent="0.35">
      <c r="A58" s="20">
        <v>1</v>
      </c>
      <c r="B58" s="20" t="s">
        <v>1556</v>
      </c>
      <c r="C58" s="20" t="s">
        <v>1600</v>
      </c>
      <c r="D58" s="20" t="s">
        <v>1602</v>
      </c>
      <c r="E58" s="20">
        <v>156</v>
      </c>
      <c r="F58" s="20" t="s">
        <v>142</v>
      </c>
      <c r="G58" s="20" t="s">
        <v>1603</v>
      </c>
      <c r="H58" s="20" t="s">
        <v>1604</v>
      </c>
      <c r="I58" s="20">
        <v>4</v>
      </c>
      <c r="J58" s="20">
        <v>35</v>
      </c>
      <c r="K58" s="20">
        <v>1</v>
      </c>
      <c r="L58" s="20" t="s">
        <v>13</v>
      </c>
      <c r="M58" s="20"/>
      <c r="N58" s="20"/>
      <c r="O58" s="20">
        <v>23</v>
      </c>
      <c r="P58" s="20" t="s">
        <v>1221</v>
      </c>
      <c r="Q58" s="20" t="s">
        <v>88</v>
      </c>
      <c r="R58" s="20" t="str">
        <f t="shared" si="3"/>
        <v>JARRA GRECIA 500ML CARAMELO-VERDE</v>
      </c>
      <c r="S58" s="19">
        <v>3</v>
      </c>
      <c r="T58" s="19">
        <v>32</v>
      </c>
      <c r="U58" s="19">
        <v>110</v>
      </c>
      <c r="V58" s="19"/>
      <c r="W58" s="19"/>
      <c r="X58" s="19"/>
      <c r="Y58" s="19"/>
    </row>
    <row r="59" spans="1:25" ht="12" hidden="1" customHeight="1" thickBot="1" x14ac:dyDescent="0.35">
      <c r="A59" s="20">
        <v>1</v>
      </c>
      <c r="B59" s="20" t="s">
        <v>1556</v>
      </c>
      <c r="C59" s="20" t="s">
        <v>1600</v>
      </c>
      <c r="D59" s="20" t="s">
        <v>1049</v>
      </c>
      <c r="E59" s="20">
        <v>157</v>
      </c>
      <c r="F59" s="20" t="s">
        <v>143</v>
      </c>
      <c r="G59" s="20" t="s">
        <v>1561</v>
      </c>
      <c r="H59" s="20" t="s">
        <v>1218</v>
      </c>
      <c r="I59" s="20">
        <v>1</v>
      </c>
      <c r="J59" s="20">
        <v>221</v>
      </c>
      <c r="K59" s="20">
        <v>1</v>
      </c>
      <c r="L59" s="20" t="s">
        <v>13</v>
      </c>
      <c r="M59" s="20"/>
      <c r="N59" s="20"/>
      <c r="O59" s="20">
        <v>21</v>
      </c>
      <c r="P59" s="20" t="s">
        <v>1218</v>
      </c>
      <c r="Q59" s="20" t="s">
        <v>89</v>
      </c>
      <c r="R59" s="20" t="str">
        <f t="shared" si="3"/>
        <v>JARRA GRECIA 5LT-TRANSPARENTE</v>
      </c>
      <c r="S59" s="19">
        <f t="shared" si="4"/>
        <v>1</v>
      </c>
      <c r="T59" s="19">
        <f t="shared" si="5"/>
        <v>221</v>
      </c>
      <c r="U59" s="19">
        <v>120</v>
      </c>
      <c r="V59" s="19"/>
      <c r="W59" s="19"/>
      <c r="X59" s="19"/>
      <c r="Y59" s="19"/>
    </row>
    <row r="60" spans="1:25" ht="12" hidden="1" customHeight="1" thickBot="1" x14ac:dyDescent="0.35">
      <c r="A60" s="20">
        <v>1</v>
      </c>
      <c r="B60" s="20" t="s">
        <v>1556</v>
      </c>
      <c r="C60" s="20" t="s">
        <v>1600</v>
      </c>
      <c r="D60" s="20" t="s">
        <v>1049</v>
      </c>
      <c r="E60" s="20">
        <v>158</v>
      </c>
      <c r="F60" s="20" t="s">
        <v>144</v>
      </c>
      <c r="G60" s="20" t="s">
        <v>1287</v>
      </c>
      <c r="H60" s="20" t="s">
        <v>1288</v>
      </c>
      <c r="I60" s="20">
        <v>8</v>
      </c>
      <c r="J60" s="20">
        <v>5</v>
      </c>
      <c r="K60" s="20">
        <v>1</v>
      </c>
      <c r="L60" s="20" t="s">
        <v>13</v>
      </c>
      <c r="M60" s="20"/>
      <c r="N60" s="20"/>
      <c r="O60" s="20">
        <v>10</v>
      </c>
      <c r="P60" s="20" t="s">
        <v>26</v>
      </c>
      <c r="Q60" s="20" t="s">
        <v>90</v>
      </c>
      <c r="R60" s="20" t="str">
        <f t="shared" si="3"/>
        <v>PICO TAPAS JARRAS GRANDES-AMARILLO PATO</v>
      </c>
      <c r="S60" s="19">
        <f t="shared" si="4"/>
        <v>8</v>
      </c>
      <c r="T60" s="19">
        <f t="shared" si="5"/>
        <v>5</v>
      </c>
      <c r="U60" s="19">
        <v>120</v>
      </c>
      <c r="V60" s="19"/>
      <c r="W60" s="19"/>
      <c r="X60" s="19"/>
      <c r="Y60" s="19"/>
    </row>
    <row r="61" spans="1:25" ht="12" hidden="1" customHeight="1" thickBot="1" x14ac:dyDescent="0.35">
      <c r="A61" s="20">
        <v>1</v>
      </c>
      <c r="B61" s="20" t="s">
        <v>1556</v>
      </c>
      <c r="C61" s="20" t="s">
        <v>1600</v>
      </c>
      <c r="D61" s="20" t="s">
        <v>1049</v>
      </c>
      <c r="E61" s="20">
        <v>159</v>
      </c>
      <c r="F61" s="20" t="s">
        <v>145</v>
      </c>
      <c r="G61" s="20" t="s">
        <v>1287</v>
      </c>
      <c r="H61" s="20" t="s">
        <v>1288</v>
      </c>
      <c r="I61" s="20">
        <v>8</v>
      </c>
      <c r="J61" s="20">
        <v>5</v>
      </c>
      <c r="K61" s="20">
        <v>1</v>
      </c>
      <c r="L61" s="20" t="s">
        <v>13</v>
      </c>
      <c r="M61" s="20"/>
      <c r="N61" s="20"/>
      <c r="O61" s="20">
        <v>12</v>
      </c>
      <c r="P61" s="20" t="s">
        <v>24</v>
      </c>
      <c r="Q61" s="20" t="s">
        <v>91</v>
      </c>
      <c r="R61" s="20" t="str">
        <f t="shared" si="3"/>
        <v>PICO TAPAS JARRAS GRANDES-AZUL</v>
      </c>
      <c r="S61" s="19">
        <f t="shared" si="4"/>
        <v>8</v>
      </c>
      <c r="T61" s="19">
        <f t="shared" si="5"/>
        <v>5</v>
      </c>
      <c r="U61" s="19">
        <v>120</v>
      </c>
      <c r="V61" s="19"/>
      <c r="W61" s="19"/>
      <c r="X61" s="19"/>
      <c r="Y61" s="19"/>
    </row>
    <row r="62" spans="1:25" ht="12" hidden="1" customHeight="1" thickBot="1" x14ac:dyDescent="0.35">
      <c r="A62" s="20">
        <v>1</v>
      </c>
      <c r="B62" s="20" t="s">
        <v>1556</v>
      </c>
      <c r="C62" s="20" t="s">
        <v>1600</v>
      </c>
      <c r="D62" s="20" t="s">
        <v>1049</v>
      </c>
      <c r="E62" s="20">
        <v>160</v>
      </c>
      <c r="F62" s="20" t="s">
        <v>146</v>
      </c>
      <c r="G62" s="20" t="s">
        <v>1287</v>
      </c>
      <c r="H62" s="20" t="s">
        <v>1288</v>
      </c>
      <c r="I62" s="20">
        <v>8</v>
      </c>
      <c r="J62" s="20">
        <v>5</v>
      </c>
      <c r="K62" s="20">
        <v>1</v>
      </c>
      <c r="L62" s="20" t="s">
        <v>13</v>
      </c>
      <c r="M62" s="20"/>
      <c r="N62" s="20"/>
      <c r="O62" s="20">
        <v>19</v>
      </c>
      <c r="P62" s="20" t="s">
        <v>27</v>
      </c>
      <c r="Q62" s="20" t="s">
        <v>92</v>
      </c>
      <c r="R62" s="20" t="str">
        <f t="shared" si="3"/>
        <v>PICO TAPAS JARRAS GRANDES-ROJO</v>
      </c>
      <c r="S62" s="19">
        <f t="shared" si="4"/>
        <v>8</v>
      </c>
      <c r="T62" s="19">
        <f t="shared" si="5"/>
        <v>5</v>
      </c>
      <c r="U62" s="19">
        <v>120</v>
      </c>
      <c r="V62" s="19"/>
      <c r="W62" s="19"/>
      <c r="X62" s="19"/>
      <c r="Y62" s="19"/>
    </row>
    <row r="63" spans="1:25" ht="12" hidden="1" customHeight="1" thickBot="1" x14ac:dyDescent="0.35">
      <c r="A63" s="20">
        <v>1</v>
      </c>
      <c r="B63" s="20" t="s">
        <v>1556</v>
      </c>
      <c r="C63" s="20" t="s">
        <v>1600</v>
      </c>
      <c r="D63" s="20" t="s">
        <v>1049</v>
      </c>
      <c r="E63" s="20">
        <v>161</v>
      </c>
      <c r="F63" s="20" t="s">
        <v>147</v>
      </c>
      <c r="G63" s="20" t="s">
        <v>1287</v>
      </c>
      <c r="H63" s="20" t="s">
        <v>1288</v>
      </c>
      <c r="I63" s="20">
        <v>8</v>
      </c>
      <c r="J63" s="20">
        <v>5</v>
      </c>
      <c r="K63" s="20">
        <v>1</v>
      </c>
      <c r="L63" s="20" t="s">
        <v>13</v>
      </c>
      <c r="M63" s="20"/>
      <c r="N63" s="20"/>
      <c r="O63" s="20">
        <v>23</v>
      </c>
      <c r="P63" s="20" t="s">
        <v>1221</v>
      </c>
      <c r="Q63" s="20" t="s">
        <v>93</v>
      </c>
      <c r="R63" s="20" t="str">
        <f t="shared" si="3"/>
        <v>PICO TAPAS JARRAS GRANDES-VERDE PASTO</v>
      </c>
      <c r="S63" s="19">
        <f t="shared" si="4"/>
        <v>8</v>
      </c>
      <c r="T63" s="19">
        <f t="shared" si="5"/>
        <v>5</v>
      </c>
      <c r="U63" s="19">
        <v>120</v>
      </c>
      <c r="V63" s="19"/>
      <c r="W63" s="19"/>
      <c r="X63" s="19"/>
      <c r="Y63" s="19"/>
    </row>
    <row r="64" spans="1:25" ht="12" hidden="1" customHeight="1" thickBot="1" x14ac:dyDescent="0.35">
      <c r="A64" s="20">
        <v>1</v>
      </c>
      <c r="B64" s="20" t="s">
        <v>1556</v>
      </c>
      <c r="C64" s="20" t="s">
        <v>1600</v>
      </c>
      <c r="D64" s="20" t="s">
        <v>1049</v>
      </c>
      <c r="E64" s="20">
        <v>162</v>
      </c>
      <c r="F64" s="20" t="s">
        <v>148</v>
      </c>
      <c r="G64" s="20" t="s">
        <v>1287</v>
      </c>
      <c r="H64" s="20" t="s">
        <v>1288</v>
      </c>
      <c r="I64" s="20">
        <v>2</v>
      </c>
      <c r="J64" s="20">
        <v>81</v>
      </c>
      <c r="K64" s="20">
        <v>1</v>
      </c>
      <c r="L64" s="20" t="s">
        <v>13</v>
      </c>
      <c r="M64" s="20"/>
      <c r="N64" s="20"/>
      <c r="O64" s="20">
        <v>10</v>
      </c>
      <c r="P64" s="20" t="s">
        <v>26</v>
      </c>
      <c r="Q64" s="20" t="s">
        <v>94</v>
      </c>
      <c r="R64" s="20" t="str">
        <f t="shared" si="3"/>
        <v>TAPAS JARRAS GRANDES-AMARILLO PATO</v>
      </c>
      <c r="S64" s="19">
        <f t="shared" si="4"/>
        <v>2</v>
      </c>
      <c r="T64" s="19">
        <f t="shared" si="5"/>
        <v>81</v>
      </c>
      <c r="U64" s="19">
        <v>105</v>
      </c>
      <c r="V64" s="19"/>
      <c r="W64" s="19"/>
      <c r="X64" s="19"/>
      <c r="Y64" s="19"/>
    </row>
    <row r="65" spans="1:25" ht="12" hidden="1" customHeight="1" thickBot="1" x14ac:dyDescent="0.35">
      <c r="A65" s="20">
        <v>1</v>
      </c>
      <c r="B65" s="20" t="s">
        <v>1556</v>
      </c>
      <c r="C65" s="20" t="s">
        <v>1600</v>
      </c>
      <c r="D65" s="20" t="s">
        <v>1049</v>
      </c>
      <c r="E65" s="20">
        <v>163</v>
      </c>
      <c r="F65" s="20" t="s">
        <v>149</v>
      </c>
      <c r="G65" s="20" t="s">
        <v>1287</v>
      </c>
      <c r="H65" s="20" t="s">
        <v>1288</v>
      </c>
      <c r="I65" s="20">
        <v>2</v>
      </c>
      <c r="J65" s="20">
        <v>81</v>
      </c>
      <c r="K65" s="20">
        <v>1</v>
      </c>
      <c r="L65" s="20" t="s">
        <v>13</v>
      </c>
      <c r="M65" s="20"/>
      <c r="N65" s="20"/>
      <c r="O65" s="20">
        <v>12</v>
      </c>
      <c r="P65" s="20" t="s">
        <v>24</v>
      </c>
      <c r="Q65" s="20" t="s">
        <v>95</v>
      </c>
      <c r="R65" s="20" t="str">
        <f t="shared" si="3"/>
        <v>TAPAS JARRAS GRANDES-AZUL</v>
      </c>
      <c r="S65" s="19">
        <f t="shared" si="4"/>
        <v>2</v>
      </c>
      <c r="T65" s="19">
        <f t="shared" si="5"/>
        <v>81</v>
      </c>
      <c r="U65" s="19">
        <v>105</v>
      </c>
      <c r="V65" s="19"/>
      <c r="W65" s="19"/>
      <c r="X65" s="19"/>
      <c r="Y65" s="19"/>
    </row>
    <row r="66" spans="1:25" ht="12" hidden="1" customHeight="1" thickBot="1" x14ac:dyDescent="0.35">
      <c r="A66" s="20">
        <v>1</v>
      </c>
      <c r="B66" s="20" t="s">
        <v>1556</v>
      </c>
      <c r="C66" s="20" t="s">
        <v>1600</v>
      </c>
      <c r="D66" s="20" t="s">
        <v>1049</v>
      </c>
      <c r="E66" s="20">
        <v>164</v>
      </c>
      <c r="F66" s="20" t="s">
        <v>150</v>
      </c>
      <c r="G66" s="20" t="s">
        <v>1287</v>
      </c>
      <c r="H66" s="20" t="s">
        <v>1288</v>
      </c>
      <c r="I66" s="20">
        <v>2</v>
      </c>
      <c r="J66" s="20">
        <v>81</v>
      </c>
      <c r="K66" s="20">
        <v>1</v>
      </c>
      <c r="L66" s="20" t="s">
        <v>13</v>
      </c>
      <c r="M66" s="20"/>
      <c r="N66" s="20"/>
      <c r="O66" s="20">
        <v>19</v>
      </c>
      <c r="P66" s="20" t="s">
        <v>27</v>
      </c>
      <c r="Q66" s="20" t="s">
        <v>96</v>
      </c>
      <c r="R66" s="20" t="str">
        <f t="shared" si="3"/>
        <v>TAPAS JARRAS GRANDES-ROJO</v>
      </c>
      <c r="S66" s="19">
        <f t="shared" si="4"/>
        <v>2</v>
      </c>
      <c r="T66" s="19">
        <f t="shared" si="5"/>
        <v>81</v>
      </c>
      <c r="U66" s="19">
        <v>105</v>
      </c>
      <c r="V66" s="19"/>
      <c r="W66" s="19"/>
      <c r="X66" s="19"/>
      <c r="Y66" s="19"/>
    </row>
    <row r="67" spans="1:25" ht="12" hidden="1" customHeight="1" thickBot="1" x14ac:dyDescent="0.35">
      <c r="A67" s="20">
        <v>1</v>
      </c>
      <c r="B67" s="20" t="s">
        <v>1556</v>
      </c>
      <c r="C67" s="20" t="s">
        <v>1600</v>
      </c>
      <c r="D67" s="20" t="s">
        <v>1049</v>
      </c>
      <c r="E67" s="20">
        <v>165</v>
      </c>
      <c r="F67" s="20" t="s">
        <v>151</v>
      </c>
      <c r="G67" s="20" t="s">
        <v>1287</v>
      </c>
      <c r="H67" s="20" t="s">
        <v>1288</v>
      </c>
      <c r="I67" s="20">
        <v>2</v>
      </c>
      <c r="J67" s="20">
        <v>81</v>
      </c>
      <c r="K67" s="20">
        <v>1</v>
      </c>
      <c r="L67" s="20" t="s">
        <v>13</v>
      </c>
      <c r="M67" s="20"/>
      <c r="N67" s="20"/>
      <c r="O67" s="20">
        <v>23</v>
      </c>
      <c r="P67" s="20" t="s">
        <v>1221</v>
      </c>
      <c r="Q67" s="20" t="s">
        <v>97</v>
      </c>
      <c r="R67" s="20" t="str">
        <f t="shared" ref="R67:R130" si="6">F67</f>
        <v>TAPAS JARRAS GRANDES-VERDE PASTO</v>
      </c>
      <c r="S67" s="19">
        <f t="shared" ref="S67:S119" si="7">+I67</f>
        <v>2</v>
      </c>
      <c r="T67" s="19">
        <f t="shared" ref="T67:T119" si="8">+J67</f>
        <v>81</v>
      </c>
      <c r="U67" s="19">
        <v>105</v>
      </c>
      <c r="V67" s="19"/>
      <c r="W67" s="19"/>
      <c r="X67" s="19"/>
      <c r="Y67" s="19"/>
    </row>
    <row r="68" spans="1:25" ht="12" hidden="1" customHeight="1" thickBot="1" x14ac:dyDescent="0.35">
      <c r="A68" s="20">
        <v>1</v>
      </c>
      <c r="B68" s="20" t="s">
        <v>1556</v>
      </c>
      <c r="C68" s="20" t="s">
        <v>1600</v>
      </c>
      <c r="D68" s="20" t="s">
        <v>2180</v>
      </c>
      <c r="E68" s="20">
        <v>166</v>
      </c>
      <c r="F68" s="20" t="s">
        <v>2179</v>
      </c>
      <c r="G68" s="20" t="s">
        <v>1561</v>
      </c>
      <c r="H68" s="20" t="s">
        <v>1218</v>
      </c>
      <c r="I68" s="20">
        <v>1</v>
      </c>
      <c r="J68" s="20">
        <v>240</v>
      </c>
      <c r="K68" s="20">
        <v>1</v>
      </c>
      <c r="L68" s="20" t="s">
        <v>13</v>
      </c>
      <c r="M68" s="20"/>
      <c r="N68" s="20"/>
      <c r="O68" s="20">
        <v>21</v>
      </c>
      <c r="P68" s="20" t="s">
        <v>1218</v>
      </c>
      <c r="Q68" s="20" t="s">
        <v>98</v>
      </c>
      <c r="R68" s="20" t="str">
        <f t="shared" si="6"/>
        <v>JARRA REAL 6 LT-TRANSPARENTE</v>
      </c>
      <c r="S68" s="19">
        <f t="shared" si="7"/>
        <v>1</v>
      </c>
      <c r="T68" s="19">
        <f t="shared" si="8"/>
        <v>240</v>
      </c>
      <c r="U68" s="19">
        <v>120</v>
      </c>
      <c r="V68" s="19"/>
      <c r="W68" s="19"/>
      <c r="X68" s="19"/>
      <c r="Y68" s="19"/>
    </row>
    <row r="69" spans="1:25" ht="12" hidden="1" customHeight="1" thickBot="1" x14ac:dyDescent="0.35">
      <c r="A69" s="20">
        <v>1</v>
      </c>
      <c r="B69" s="20" t="s">
        <v>1556</v>
      </c>
      <c r="C69" s="20" t="s">
        <v>1600</v>
      </c>
      <c r="D69" s="20" t="s">
        <v>1605</v>
      </c>
      <c r="E69" s="20">
        <v>167</v>
      </c>
      <c r="F69" s="20" t="s">
        <v>2182</v>
      </c>
      <c r="G69" s="20" t="s">
        <v>1561</v>
      </c>
      <c r="H69" s="20" t="s">
        <v>1218</v>
      </c>
      <c r="I69" s="20">
        <v>2</v>
      </c>
      <c r="J69" s="20">
        <v>66</v>
      </c>
      <c r="K69" s="20">
        <v>1</v>
      </c>
      <c r="L69" s="20" t="s">
        <v>13</v>
      </c>
      <c r="M69" s="20"/>
      <c r="N69" s="20"/>
      <c r="O69" s="20">
        <v>21</v>
      </c>
      <c r="P69" s="20" t="s">
        <v>1218</v>
      </c>
      <c r="Q69" s="20" t="s">
        <v>99</v>
      </c>
      <c r="R69" s="20" t="str">
        <f t="shared" si="6"/>
        <v>JARRA REAL 1200 LT-TRANSPARENTE</v>
      </c>
      <c r="S69" s="19">
        <f t="shared" si="7"/>
        <v>2</v>
      </c>
      <c r="T69" s="19">
        <f t="shared" si="8"/>
        <v>66</v>
      </c>
      <c r="U69" s="19">
        <v>120</v>
      </c>
      <c r="V69" s="19"/>
      <c r="W69" s="19"/>
      <c r="X69" s="19"/>
      <c r="Y69" s="19"/>
    </row>
    <row r="70" spans="1:25" ht="12" hidden="1" customHeight="1" thickBot="1" x14ac:dyDescent="0.35">
      <c r="A70" s="20">
        <v>1</v>
      </c>
      <c r="B70" s="20" t="s">
        <v>1556</v>
      </c>
      <c r="C70" s="20" t="s">
        <v>1600</v>
      </c>
      <c r="D70" s="20" t="s">
        <v>1605</v>
      </c>
      <c r="E70" s="20">
        <v>168</v>
      </c>
      <c r="F70" s="20" t="s">
        <v>154</v>
      </c>
      <c r="G70" s="20" t="s">
        <v>1287</v>
      </c>
      <c r="H70" s="20" t="s">
        <v>1288</v>
      </c>
      <c r="I70" s="20">
        <v>8</v>
      </c>
      <c r="J70" s="20">
        <v>3</v>
      </c>
      <c r="K70" s="20">
        <v>1</v>
      </c>
      <c r="L70" s="20" t="s">
        <v>13</v>
      </c>
      <c r="M70" s="20"/>
      <c r="N70" s="20"/>
      <c r="O70" s="20">
        <v>10</v>
      </c>
      <c r="P70" s="20" t="s">
        <v>26</v>
      </c>
      <c r="Q70" s="20" t="s">
        <v>100</v>
      </c>
      <c r="R70" s="20" t="str">
        <f t="shared" si="6"/>
        <v>PICO TAPA JARRA 1.2LT-AMARILLO PATO</v>
      </c>
      <c r="S70" s="19">
        <f t="shared" si="7"/>
        <v>8</v>
      </c>
      <c r="T70" s="19">
        <f t="shared" si="8"/>
        <v>3</v>
      </c>
      <c r="U70" s="19">
        <v>140</v>
      </c>
      <c r="V70" s="19"/>
      <c r="W70" s="19"/>
      <c r="X70" s="19"/>
      <c r="Y70" s="19"/>
    </row>
    <row r="71" spans="1:25" ht="12" hidden="1" customHeight="1" thickBot="1" x14ac:dyDescent="0.35">
      <c r="A71" s="20">
        <v>1</v>
      </c>
      <c r="B71" s="20" t="s">
        <v>1556</v>
      </c>
      <c r="C71" s="20" t="s">
        <v>1600</v>
      </c>
      <c r="D71" s="20" t="s">
        <v>1605</v>
      </c>
      <c r="E71" s="20">
        <v>169</v>
      </c>
      <c r="F71" s="20" t="s">
        <v>155</v>
      </c>
      <c r="G71" s="20" t="s">
        <v>1287</v>
      </c>
      <c r="H71" s="20" t="s">
        <v>1288</v>
      </c>
      <c r="I71" s="20">
        <v>8</v>
      </c>
      <c r="J71" s="20">
        <v>3</v>
      </c>
      <c r="K71" s="20">
        <v>1</v>
      </c>
      <c r="L71" s="20" t="s">
        <v>13</v>
      </c>
      <c r="M71" s="20"/>
      <c r="N71" s="20"/>
      <c r="O71" s="20">
        <v>12</v>
      </c>
      <c r="P71" s="20" t="s">
        <v>24</v>
      </c>
      <c r="Q71" s="20" t="s">
        <v>101</v>
      </c>
      <c r="R71" s="20" t="str">
        <f t="shared" si="6"/>
        <v>PICO TAPA JARRA 1.2LT-AZUL</v>
      </c>
      <c r="S71" s="19">
        <f t="shared" si="7"/>
        <v>8</v>
      </c>
      <c r="T71" s="19">
        <f t="shared" si="8"/>
        <v>3</v>
      </c>
      <c r="U71" s="19">
        <v>140</v>
      </c>
      <c r="V71" s="19"/>
      <c r="W71" s="19"/>
      <c r="X71" s="19"/>
      <c r="Y71" s="19"/>
    </row>
    <row r="72" spans="1:25" ht="12" hidden="1" customHeight="1" thickBot="1" x14ac:dyDescent="0.35">
      <c r="A72" s="20">
        <v>1</v>
      </c>
      <c r="B72" s="20" t="s">
        <v>1556</v>
      </c>
      <c r="C72" s="20" t="s">
        <v>1600</v>
      </c>
      <c r="D72" s="20" t="s">
        <v>1605</v>
      </c>
      <c r="E72" s="20">
        <v>170</v>
      </c>
      <c r="F72" s="20" t="s">
        <v>156</v>
      </c>
      <c r="G72" s="20" t="s">
        <v>1287</v>
      </c>
      <c r="H72" s="20" t="s">
        <v>1288</v>
      </c>
      <c r="I72" s="20">
        <v>8</v>
      </c>
      <c r="J72" s="20">
        <v>3</v>
      </c>
      <c r="K72" s="20">
        <v>1</v>
      </c>
      <c r="L72" s="20" t="s">
        <v>13</v>
      </c>
      <c r="M72" s="20"/>
      <c r="N72" s="20"/>
      <c r="O72" s="20">
        <v>19</v>
      </c>
      <c r="P72" s="20" t="s">
        <v>27</v>
      </c>
      <c r="Q72" s="20" t="s">
        <v>102</v>
      </c>
      <c r="R72" s="20" t="str">
        <f t="shared" si="6"/>
        <v>PICO TAPA JARRA 1.2LT-ROJO</v>
      </c>
      <c r="S72" s="19">
        <f t="shared" si="7"/>
        <v>8</v>
      </c>
      <c r="T72" s="19">
        <f t="shared" si="8"/>
        <v>3</v>
      </c>
      <c r="U72" s="19">
        <v>140</v>
      </c>
      <c r="V72" s="19"/>
      <c r="W72" s="19"/>
      <c r="X72" s="19"/>
      <c r="Y72" s="19"/>
    </row>
    <row r="73" spans="1:25" ht="12" hidden="1" customHeight="1" thickBot="1" x14ac:dyDescent="0.35">
      <c r="A73" s="20">
        <v>1</v>
      </c>
      <c r="B73" s="20" t="s">
        <v>1556</v>
      </c>
      <c r="C73" s="20" t="s">
        <v>1600</v>
      </c>
      <c r="D73" s="20" t="s">
        <v>1605</v>
      </c>
      <c r="E73" s="20">
        <v>171</v>
      </c>
      <c r="F73" s="20" t="s">
        <v>157</v>
      </c>
      <c r="G73" s="20" t="s">
        <v>1287</v>
      </c>
      <c r="H73" s="20" t="s">
        <v>1288</v>
      </c>
      <c r="I73" s="20">
        <v>8</v>
      </c>
      <c r="J73" s="20">
        <v>3</v>
      </c>
      <c r="K73" s="20">
        <v>1</v>
      </c>
      <c r="L73" s="20" t="s">
        <v>13</v>
      </c>
      <c r="M73" s="20"/>
      <c r="N73" s="20"/>
      <c r="O73" s="20">
        <v>23</v>
      </c>
      <c r="P73" s="20" t="s">
        <v>1221</v>
      </c>
      <c r="Q73" s="20" t="s">
        <v>103</v>
      </c>
      <c r="R73" s="20" t="str">
        <f t="shared" si="6"/>
        <v>PICO TAPA JARRA 1.2LT-VERDE PASTO</v>
      </c>
      <c r="S73" s="19">
        <f t="shared" si="7"/>
        <v>8</v>
      </c>
      <c r="T73" s="19">
        <f t="shared" si="8"/>
        <v>3</v>
      </c>
      <c r="U73" s="19">
        <v>140</v>
      </c>
      <c r="V73" s="19"/>
      <c r="W73" s="19"/>
      <c r="X73" s="19"/>
      <c r="Y73" s="19"/>
    </row>
    <row r="74" spans="1:25" ht="12" hidden="1" customHeight="1" thickBot="1" x14ac:dyDescent="0.35">
      <c r="A74" s="20">
        <v>1</v>
      </c>
      <c r="B74" s="20" t="s">
        <v>1556</v>
      </c>
      <c r="C74" s="20" t="s">
        <v>1600</v>
      </c>
      <c r="D74" s="20" t="s">
        <v>1605</v>
      </c>
      <c r="E74" s="20">
        <v>172</v>
      </c>
      <c r="F74" s="20" t="s">
        <v>158</v>
      </c>
      <c r="G74" s="20" t="s">
        <v>1287</v>
      </c>
      <c r="H74" s="20" t="s">
        <v>1288</v>
      </c>
      <c r="I74" s="20">
        <v>2</v>
      </c>
      <c r="J74" s="20">
        <v>21</v>
      </c>
      <c r="K74" s="20">
        <v>1</v>
      </c>
      <c r="L74" s="20" t="s">
        <v>13</v>
      </c>
      <c r="M74" s="20"/>
      <c r="N74" s="20"/>
      <c r="O74" s="20">
        <v>10</v>
      </c>
      <c r="P74" s="20" t="s">
        <v>26</v>
      </c>
      <c r="Q74" s="20" t="s">
        <v>104</v>
      </c>
      <c r="R74" s="20" t="str">
        <f t="shared" si="6"/>
        <v>TAPA JARRA 1200ML-AMARILLO PATO</v>
      </c>
      <c r="S74" s="19">
        <f t="shared" si="7"/>
        <v>2</v>
      </c>
      <c r="T74" s="19">
        <f t="shared" si="8"/>
        <v>21</v>
      </c>
      <c r="U74" s="19"/>
      <c r="V74" s="19"/>
      <c r="W74" s="19"/>
      <c r="X74" s="19"/>
      <c r="Y74" s="19"/>
    </row>
    <row r="75" spans="1:25" ht="12" hidden="1" customHeight="1" thickBot="1" x14ac:dyDescent="0.35">
      <c r="A75" s="20">
        <v>1</v>
      </c>
      <c r="B75" s="20" t="s">
        <v>1556</v>
      </c>
      <c r="C75" s="20" t="s">
        <v>1600</v>
      </c>
      <c r="D75" s="20" t="s">
        <v>1605</v>
      </c>
      <c r="E75" s="20">
        <v>173</v>
      </c>
      <c r="F75" s="20" t="s">
        <v>159</v>
      </c>
      <c r="G75" s="20" t="s">
        <v>1287</v>
      </c>
      <c r="H75" s="20" t="s">
        <v>1288</v>
      </c>
      <c r="I75" s="20">
        <v>2</v>
      </c>
      <c r="J75" s="20">
        <v>21</v>
      </c>
      <c r="K75" s="20">
        <v>1</v>
      </c>
      <c r="L75" s="20" t="s">
        <v>13</v>
      </c>
      <c r="M75" s="20"/>
      <c r="N75" s="20"/>
      <c r="O75" s="20">
        <v>12</v>
      </c>
      <c r="P75" s="20" t="s">
        <v>24</v>
      </c>
      <c r="Q75" s="20" t="s">
        <v>105</v>
      </c>
      <c r="R75" s="20" t="str">
        <f t="shared" si="6"/>
        <v>TAPA JARRA 1200ML-AZUL</v>
      </c>
      <c r="S75" s="19">
        <f t="shared" si="7"/>
        <v>2</v>
      </c>
      <c r="T75" s="19">
        <f t="shared" si="8"/>
        <v>21</v>
      </c>
      <c r="U75" s="19"/>
      <c r="V75" s="19"/>
      <c r="W75" s="19"/>
      <c r="X75" s="19"/>
      <c r="Y75" s="19"/>
    </row>
    <row r="76" spans="1:25" ht="12" hidden="1" customHeight="1" thickBot="1" x14ac:dyDescent="0.35">
      <c r="A76" s="20">
        <v>1</v>
      </c>
      <c r="B76" s="20" t="s">
        <v>1556</v>
      </c>
      <c r="C76" s="20" t="s">
        <v>1600</v>
      </c>
      <c r="D76" s="20" t="s">
        <v>1605</v>
      </c>
      <c r="E76" s="20">
        <v>174</v>
      </c>
      <c r="F76" s="20" t="s">
        <v>160</v>
      </c>
      <c r="G76" s="20" t="s">
        <v>1287</v>
      </c>
      <c r="H76" s="20" t="s">
        <v>1288</v>
      </c>
      <c r="I76" s="20">
        <v>2</v>
      </c>
      <c r="J76" s="20">
        <v>21</v>
      </c>
      <c r="K76" s="20">
        <v>1</v>
      </c>
      <c r="L76" s="20" t="s">
        <v>13</v>
      </c>
      <c r="M76" s="20"/>
      <c r="N76" s="20"/>
      <c r="O76" s="20">
        <v>19</v>
      </c>
      <c r="P76" s="20" t="s">
        <v>27</v>
      </c>
      <c r="Q76" s="20" t="s">
        <v>106</v>
      </c>
      <c r="R76" s="20" t="str">
        <f t="shared" si="6"/>
        <v>TAPA JARRA 1200ML-ROJO</v>
      </c>
      <c r="S76" s="19">
        <f t="shared" si="7"/>
        <v>2</v>
      </c>
      <c r="T76" s="19">
        <f t="shared" si="8"/>
        <v>21</v>
      </c>
      <c r="U76" s="19"/>
      <c r="V76" s="19"/>
      <c r="W76" s="19"/>
      <c r="X76" s="19"/>
      <c r="Y76" s="19"/>
    </row>
    <row r="77" spans="1:25" ht="12" hidden="1" customHeight="1" thickBot="1" x14ac:dyDescent="0.35">
      <c r="A77" s="20">
        <v>1</v>
      </c>
      <c r="B77" s="20" t="s">
        <v>1556</v>
      </c>
      <c r="C77" s="20" t="s">
        <v>1600</v>
      </c>
      <c r="D77" s="20" t="s">
        <v>1605</v>
      </c>
      <c r="E77" s="20">
        <v>175</v>
      </c>
      <c r="F77" s="20" t="s">
        <v>161</v>
      </c>
      <c r="G77" s="20" t="s">
        <v>1287</v>
      </c>
      <c r="H77" s="20" t="s">
        <v>1288</v>
      </c>
      <c r="I77" s="20">
        <v>2</v>
      </c>
      <c r="J77" s="20">
        <v>21</v>
      </c>
      <c r="K77" s="20">
        <v>1</v>
      </c>
      <c r="L77" s="20" t="s">
        <v>13</v>
      </c>
      <c r="M77" s="20"/>
      <c r="N77" s="20"/>
      <c r="O77" s="20">
        <v>23</v>
      </c>
      <c r="P77" s="20" t="s">
        <v>1221</v>
      </c>
      <c r="Q77" s="20" t="s">
        <v>107</v>
      </c>
      <c r="R77" s="20" t="str">
        <f t="shared" si="6"/>
        <v>TAPA JARRA 1200ML-VERDE PASTO</v>
      </c>
      <c r="S77" s="19">
        <f t="shared" si="7"/>
        <v>2</v>
      </c>
      <c r="T77" s="19">
        <f t="shared" si="8"/>
        <v>21</v>
      </c>
      <c r="U77" s="19"/>
      <c r="V77" s="19"/>
      <c r="W77" s="19"/>
      <c r="X77" s="19"/>
      <c r="Y77" s="19"/>
    </row>
    <row r="78" spans="1:25" ht="12" hidden="1" customHeight="1" thickBot="1" x14ac:dyDescent="0.35">
      <c r="A78" s="20">
        <v>1</v>
      </c>
      <c r="B78" s="20" t="s">
        <v>1556</v>
      </c>
      <c r="C78" s="20" t="s">
        <v>1606</v>
      </c>
      <c r="D78" s="20" t="s">
        <v>1607</v>
      </c>
      <c r="E78" s="20">
        <v>176</v>
      </c>
      <c r="F78" s="20" t="s">
        <v>162</v>
      </c>
      <c r="G78" s="20" t="s">
        <v>1287</v>
      </c>
      <c r="H78" s="20" t="s">
        <v>1288</v>
      </c>
      <c r="I78" s="20">
        <v>1</v>
      </c>
      <c r="J78" s="20">
        <v>38</v>
      </c>
      <c r="K78" s="20">
        <v>2</v>
      </c>
      <c r="L78" s="20" t="s">
        <v>12</v>
      </c>
      <c r="M78" s="20"/>
      <c r="N78" s="20"/>
      <c r="O78" s="20">
        <v>10</v>
      </c>
      <c r="P78" s="20" t="s">
        <v>26</v>
      </c>
      <c r="Q78" s="20" t="s">
        <v>108</v>
      </c>
      <c r="R78" s="20" t="str">
        <f t="shared" si="6"/>
        <v>SALSERO MULTIUSO 600ML-AMARILLO PATO</v>
      </c>
      <c r="S78" s="19">
        <f t="shared" si="7"/>
        <v>1</v>
      </c>
      <c r="T78" s="19">
        <f t="shared" si="8"/>
        <v>38</v>
      </c>
      <c r="U78" s="19"/>
      <c r="V78" s="19"/>
      <c r="W78" s="19"/>
      <c r="X78" s="19"/>
      <c r="Y78" s="19"/>
    </row>
    <row r="79" spans="1:25" ht="12" hidden="1" customHeight="1" thickBot="1" x14ac:dyDescent="0.35">
      <c r="A79" s="20">
        <v>1</v>
      </c>
      <c r="B79" s="20" t="s">
        <v>1556</v>
      </c>
      <c r="C79" s="20" t="s">
        <v>1606</v>
      </c>
      <c r="D79" s="20" t="s">
        <v>1607</v>
      </c>
      <c r="E79" s="20">
        <v>177</v>
      </c>
      <c r="F79" s="20" t="s">
        <v>163</v>
      </c>
      <c r="G79" s="20" t="s">
        <v>1287</v>
      </c>
      <c r="H79" s="20" t="s">
        <v>1288</v>
      </c>
      <c r="I79" s="20">
        <v>1</v>
      </c>
      <c r="J79" s="20">
        <v>38</v>
      </c>
      <c r="K79" s="20">
        <v>2</v>
      </c>
      <c r="L79" s="20" t="s">
        <v>12</v>
      </c>
      <c r="M79" s="20"/>
      <c r="N79" s="20"/>
      <c r="O79" s="20">
        <v>13</v>
      </c>
      <c r="P79" s="20" t="s">
        <v>25</v>
      </c>
      <c r="Q79" s="20" t="s">
        <v>109</v>
      </c>
      <c r="R79" s="20" t="str">
        <f t="shared" si="6"/>
        <v>SALSERO MULTIUSO 600ML-BLANCO</v>
      </c>
      <c r="S79" s="19">
        <f t="shared" si="7"/>
        <v>1</v>
      </c>
      <c r="T79" s="19">
        <f t="shared" si="8"/>
        <v>38</v>
      </c>
      <c r="U79" s="19"/>
      <c r="V79" s="19"/>
      <c r="W79" s="19"/>
      <c r="X79" s="19"/>
      <c r="Y79" s="19"/>
    </row>
    <row r="80" spans="1:25" ht="12" hidden="1" customHeight="1" thickBot="1" x14ac:dyDescent="0.35">
      <c r="A80" s="20">
        <v>1</v>
      </c>
      <c r="B80" s="20" t="s">
        <v>1556</v>
      </c>
      <c r="C80" s="20" t="s">
        <v>1606</v>
      </c>
      <c r="D80" s="20" t="s">
        <v>1607</v>
      </c>
      <c r="E80" s="20">
        <v>178</v>
      </c>
      <c r="F80" s="20" t="s">
        <v>164</v>
      </c>
      <c r="G80" s="20" t="s">
        <v>1287</v>
      </c>
      <c r="H80" s="20" t="s">
        <v>1288</v>
      </c>
      <c r="I80" s="20">
        <v>1</v>
      </c>
      <c r="J80" s="20">
        <v>38</v>
      </c>
      <c r="K80" s="20">
        <v>2</v>
      </c>
      <c r="L80" s="20" t="s">
        <v>12</v>
      </c>
      <c r="M80" s="20"/>
      <c r="N80" s="20"/>
      <c r="O80" s="20">
        <v>19</v>
      </c>
      <c r="P80" s="20" t="s">
        <v>27</v>
      </c>
      <c r="Q80" s="20" t="s">
        <v>110</v>
      </c>
      <c r="R80" s="20" t="str">
        <f t="shared" si="6"/>
        <v>SALSERO MULTIUSO 600ML-ROJO</v>
      </c>
      <c r="S80" s="19">
        <f t="shared" si="7"/>
        <v>1</v>
      </c>
      <c r="T80" s="19">
        <f t="shared" si="8"/>
        <v>38</v>
      </c>
      <c r="U80" s="19"/>
      <c r="V80" s="19"/>
      <c r="W80" s="19"/>
      <c r="X80" s="19"/>
      <c r="Y80" s="19"/>
    </row>
    <row r="81" spans="1:25" ht="12" hidden="1" customHeight="1" thickBot="1" x14ac:dyDescent="0.35">
      <c r="A81" s="20">
        <v>1</v>
      </c>
      <c r="B81" s="20" t="s">
        <v>1556</v>
      </c>
      <c r="C81" s="20" t="s">
        <v>1606</v>
      </c>
      <c r="D81" s="20" t="s">
        <v>1607</v>
      </c>
      <c r="E81" s="20">
        <v>179</v>
      </c>
      <c r="F81" s="20" t="s">
        <v>165</v>
      </c>
      <c r="G81" s="20" t="s">
        <v>1287</v>
      </c>
      <c r="H81" s="20" t="s">
        <v>1288</v>
      </c>
      <c r="I81" s="20">
        <v>1</v>
      </c>
      <c r="J81" s="20">
        <v>38</v>
      </c>
      <c r="K81" s="20">
        <v>2</v>
      </c>
      <c r="L81" s="20" t="s">
        <v>12</v>
      </c>
      <c r="M81" s="20"/>
      <c r="N81" s="20"/>
      <c r="O81" s="20">
        <v>23</v>
      </c>
      <c r="P81" s="20" t="s">
        <v>1221</v>
      </c>
      <c r="Q81" s="20" t="s">
        <v>111</v>
      </c>
      <c r="R81" s="20" t="str">
        <f t="shared" si="6"/>
        <v>SALSERO MULTIUSO 600ML-VERD TELEFONICO</v>
      </c>
      <c r="S81" s="19">
        <f t="shared" si="7"/>
        <v>1</v>
      </c>
      <c r="T81" s="19">
        <f t="shared" si="8"/>
        <v>38</v>
      </c>
      <c r="U81" s="19"/>
      <c r="V81" s="19"/>
      <c r="W81" s="19"/>
      <c r="X81" s="19"/>
      <c r="Y81" s="19"/>
    </row>
    <row r="82" spans="1:25" ht="12" hidden="1" customHeight="1" thickBot="1" x14ac:dyDescent="0.35">
      <c r="A82" s="20">
        <v>1</v>
      </c>
      <c r="B82" s="20" t="s">
        <v>1556</v>
      </c>
      <c r="C82" s="20" t="s">
        <v>1606</v>
      </c>
      <c r="D82" s="20" t="s">
        <v>2089</v>
      </c>
      <c r="E82" s="20">
        <v>180</v>
      </c>
      <c r="F82" s="20" t="s">
        <v>2045</v>
      </c>
      <c r="G82" s="20" t="s">
        <v>1287</v>
      </c>
      <c r="H82" s="20" t="s">
        <v>1288</v>
      </c>
      <c r="I82" s="20">
        <v>8</v>
      </c>
      <c r="J82" s="20">
        <v>10</v>
      </c>
      <c r="K82" s="20">
        <v>1</v>
      </c>
      <c r="L82" s="20" t="s">
        <v>13</v>
      </c>
      <c r="M82" s="20"/>
      <c r="N82" s="20"/>
      <c r="O82" s="20">
        <v>10</v>
      </c>
      <c r="P82" s="20" t="s">
        <v>26</v>
      </c>
      <c r="Q82" s="20" t="s">
        <v>112</v>
      </c>
      <c r="R82" s="20" t="str">
        <f t="shared" si="6"/>
        <v>TAPA SALSERO MULTIUSO-AMARILLO</v>
      </c>
      <c r="S82" s="19">
        <f t="shared" si="7"/>
        <v>8</v>
      </c>
      <c r="T82" s="19">
        <v>10</v>
      </c>
      <c r="U82" s="19">
        <v>120</v>
      </c>
      <c r="V82" s="19"/>
      <c r="W82" s="19"/>
      <c r="X82" s="19"/>
      <c r="Y82" s="19"/>
    </row>
    <row r="83" spans="1:25" ht="12" hidden="1" customHeight="1" thickBot="1" x14ac:dyDescent="0.35">
      <c r="A83" s="20">
        <v>1</v>
      </c>
      <c r="B83" s="20" t="s">
        <v>1556</v>
      </c>
      <c r="C83" s="20" t="s">
        <v>1606</v>
      </c>
      <c r="D83" s="20" t="s">
        <v>2089</v>
      </c>
      <c r="E83" s="20">
        <v>181</v>
      </c>
      <c r="F83" s="20" t="s">
        <v>166</v>
      </c>
      <c r="G83" s="20" t="s">
        <v>1287</v>
      </c>
      <c r="H83" s="20" t="s">
        <v>1288</v>
      </c>
      <c r="I83" s="20">
        <v>8</v>
      </c>
      <c r="J83" s="20">
        <v>10</v>
      </c>
      <c r="K83" s="20">
        <v>1</v>
      </c>
      <c r="L83" s="20" t="s">
        <v>13</v>
      </c>
      <c r="M83" s="20"/>
      <c r="N83" s="20"/>
      <c r="O83" s="20">
        <v>13</v>
      </c>
      <c r="P83" s="20" t="s">
        <v>25</v>
      </c>
      <c r="Q83" s="20" t="s">
        <v>113</v>
      </c>
      <c r="R83" s="20" t="str">
        <f t="shared" si="6"/>
        <v>TAPA SALSERO MULTIUSO-BLANCO</v>
      </c>
      <c r="S83" s="19">
        <f t="shared" si="7"/>
        <v>8</v>
      </c>
      <c r="T83" s="19">
        <f t="shared" si="8"/>
        <v>10</v>
      </c>
      <c r="U83" s="19">
        <v>120</v>
      </c>
      <c r="V83" s="19"/>
      <c r="W83" s="19"/>
      <c r="X83" s="19"/>
      <c r="Y83" s="19"/>
    </row>
    <row r="84" spans="1:25" ht="12" hidden="1" customHeight="1" thickBot="1" x14ac:dyDescent="0.35">
      <c r="A84" s="20">
        <v>1</v>
      </c>
      <c r="B84" s="20" t="s">
        <v>1556</v>
      </c>
      <c r="C84" s="20" t="s">
        <v>1606</v>
      </c>
      <c r="D84" s="20" t="s">
        <v>2089</v>
      </c>
      <c r="E84" s="20">
        <v>182</v>
      </c>
      <c r="F84" s="20" t="s">
        <v>167</v>
      </c>
      <c r="G84" s="20" t="s">
        <v>1287</v>
      </c>
      <c r="H84" s="20" t="s">
        <v>1288</v>
      </c>
      <c r="I84" s="20">
        <v>8</v>
      </c>
      <c r="J84" s="20">
        <v>10</v>
      </c>
      <c r="K84" s="20">
        <v>1</v>
      </c>
      <c r="L84" s="20" t="s">
        <v>13</v>
      </c>
      <c r="M84" s="20"/>
      <c r="N84" s="20"/>
      <c r="O84" s="20">
        <v>19</v>
      </c>
      <c r="P84" s="20" t="s">
        <v>27</v>
      </c>
      <c r="Q84" s="20" t="s">
        <v>114</v>
      </c>
      <c r="R84" s="20" t="str">
        <f t="shared" si="6"/>
        <v>TAPA SALSERO MULTIUSO-ROJO</v>
      </c>
      <c r="S84" s="19">
        <f t="shared" si="7"/>
        <v>8</v>
      </c>
      <c r="T84" s="19">
        <f t="shared" si="8"/>
        <v>10</v>
      </c>
      <c r="U84" s="19">
        <v>120</v>
      </c>
      <c r="V84" s="19"/>
      <c r="W84" s="19"/>
      <c r="X84" s="19"/>
      <c r="Y84" s="19"/>
    </row>
    <row r="85" spans="1:25" ht="12" hidden="1" customHeight="1" thickBot="1" x14ac:dyDescent="0.35">
      <c r="A85" s="20">
        <v>1</v>
      </c>
      <c r="B85" s="20" t="s">
        <v>1556</v>
      </c>
      <c r="C85" s="20" t="s">
        <v>1606</v>
      </c>
      <c r="D85" s="20" t="s">
        <v>2089</v>
      </c>
      <c r="E85" s="20">
        <v>183</v>
      </c>
      <c r="F85" s="20" t="s">
        <v>2044</v>
      </c>
      <c r="G85" s="20" t="s">
        <v>1287</v>
      </c>
      <c r="H85" s="20" t="s">
        <v>1288</v>
      </c>
      <c r="I85" s="20">
        <v>8</v>
      </c>
      <c r="J85" s="20">
        <v>10</v>
      </c>
      <c r="K85" s="20">
        <v>1</v>
      </c>
      <c r="L85" s="20" t="s">
        <v>13</v>
      </c>
      <c r="M85" s="20"/>
      <c r="N85" s="20"/>
      <c r="O85" s="20">
        <v>23</v>
      </c>
      <c r="P85" s="20" t="s">
        <v>1221</v>
      </c>
      <c r="Q85" s="20" t="s">
        <v>115</v>
      </c>
      <c r="R85" s="20" t="str">
        <f t="shared" si="6"/>
        <v>TAPA SALSERO MULTIUSO-VERDE</v>
      </c>
      <c r="S85" s="19">
        <f t="shared" si="7"/>
        <v>8</v>
      </c>
      <c r="T85" s="19">
        <f t="shared" si="8"/>
        <v>10</v>
      </c>
      <c r="U85" s="19">
        <v>120</v>
      </c>
      <c r="V85" s="19"/>
      <c r="W85" s="19"/>
      <c r="X85" s="19"/>
      <c r="Y85" s="19"/>
    </row>
    <row r="86" spans="1:25" ht="12" hidden="1" customHeight="1" thickBot="1" x14ac:dyDescent="0.35">
      <c r="A86" s="20">
        <v>1</v>
      </c>
      <c r="B86" s="20" t="s">
        <v>1556</v>
      </c>
      <c r="C86" s="20" t="s">
        <v>1606</v>
      </c>
      <c r="D86" s="18" t="s">
        <v>2221</v>
      </c>
      <c r="E86" s="20">
        <v>184</v>
      </c>
      <c r="F86" s="47" t="s">
        <v>168</v>
      </c>
      <c r="G86" s="20" t="s">
        <v>1561</v>
      </c>
      <c r="H86" s="20" t="s">
        <v>1218</v>
      </c>
      <c r="I86" s="20">
        <v>1</v>
      </c>
      <c r="J86" s="20">
        <v>18</v>
      </c>
      <c r="K86" s="20">
        <v>2</v>
      </c>
      <c r="L86" s="20" t="s">
        <v>12</v>
      </c>
      <c r="M86" s="20"/>
      <c r="N86" s="20"/>
      <c r="O86" s="20">
        <v>21</v>
      </c>
      <c r="P86" s="20" t="s">
        <v>1218</v>
      </c>
      <c r="Q86" s="20" t="s">
        <v>116</v>
      </c>
      <c r="R86" s="20" t="str">
        <f t="shared" si="6"/>
        <v>SALSERO IDEAL 300ML.-TRANSPARENTE</v>
      </c>
      <c r="S86" s="19">
        <f t="shared" si="7"/>
        <v>1</v>
      </c>
      <c r="T86" s="19">
        <v>20</v>
      </c>
      <c r="U86" s="19">
        <v>160</v>
      </c>
      <c r="V86" s="19"/>
      <c r="W86" s="19"/>
      <c r="X86" s="19"/>
      <c r="Y86" s="19"/>
    </row>
    <row r="87" spans="1:25" ht="12" hidden="1" customHeight="1" thickBot="1" x14ac:dyDescent="0.35">
      <c r="A87" s="20">
        <v>1</v>
      </c>
      <c r="B87" s="20" t="s">
        <v>1556</v>
      </c>
      <c r="C87" s="20" t="s">
        <v>1606</v>
      </c>
      <c r="D87" s="18" t="s">
        <v>2221</v>
      </c>
      <c r="E87" s="20">
        <v>185</v>
      </c>
      <c r="F87" s="20" t="s">
        <v>1608</v>
      </c>
      <c r="G87" s="20" t="s">
        <v>1287</v>
      </c>
      <c r="H87" s="20" t="s">
        <v>1288</v>
      </c>
      <c r="I87" s="20">
        <v>8</v>
      </c>
      <c r="J87" s="20">
        <v>6</v>
      </c>
      <c r="K87" s="20">
        <v>1</v>
      </c>
      <c r="L87" s="20" t="s">
        <v>13</v>
      </c>
      <c r="M87" s="20"/>
      <c r="N87" s="20"/>
      <c r="O87" s="20">
        <v>10</v>
      </c>
      <c r="P87" s="20" t="s">
        <v>26</v>
      </c>
      <c r="Q87" s="20" t="s">
        <v>117</v>
      </c>
      <c r="R87" s="20" t="str">
        <f t="shared" si="6"/>
        <v>TAPAS DOBLE SALSERO IDEAL -AMARILLO PATO</v>
      </c>
      <c r="S87" s="19">
        <f t="shared" si="7"/>
        <v>8</v>
      </c>
      <c r="T87" s="19">
        <f t="shared" si="8"/>
        <v>6</v>
      </c>
      <c r="U87" s="19"/>
      <c r="V87" s="19"/>
      <c r="W87" s="19"/>
      <c r="X87" s="19"/>
      <c r="Y87" s="19"/>
    </row>
    <row r="88" spans="1:25" ht="12" hidden="1" customHeight="1" thickBot="1" x14ac:dyDescent="0.35">
      <c r="A88" s="20">
        <v>1</v>
      </c>
      <c r="B88" s="20" t="s">
        <v>1556</v>
      </c>
      <c r="C88" s="20" t="s">
        <v>1606</v>
      </c>
      <c r="D88" s="18" t="s">
        <v>2221</v>
      </c>
      <c r="E88" s="20">
        <v>186</v>
      </c>
      <c r="F88" s="20" t="s">
        <v>1609</v>
      </c>
      <c r="G88" s="20" t="s">
        <v>1287</v>
      </c>
      <c r="H88" s="20" t="s">
        <v>1288</v>
      </c>
      <c r="I88" s="20">
        <v>8</v>
      </c>
      <c r="J88" s="20">
        <v>6</v>
      </c>
      <c r="K88" s="20">
        <v>1</v>
      </c>
      <c r="L88" s="20" t="s">
        <v>13</v>
      </c>
      <c r="M88" s="20"/>
      <c r="N88" s="20"/>
      <c r="O88" s="20">
        <v>13</v>
      </c>
      <c r="P88" s="20" t="s">
        <v>25</v>
      </c>
      <c r="Q88" s="20" t="s">
        <v>118</v>
      </c>
      <c r="R88" s="20" t="str">
        <f t="shared" si="6"/>
        <v>TAPAS DOBLE SALSERO IDEAL -BLANCO</v>
      </c>
      <c r="S88" s="19">
        <f t="shared" si="7"/>
        <v>8</v>
      </c>
      <c r="T88" s="19">
        <f t="shared" si="8"/>
        <v>6</v>
      </c>
      <c r="U88" s="19"/>
      <c r="V88" s="19"/>
      <c r="W88" s="19"/>
      <c r="X88" s="19"/>
      <c r="Y88" s="19"/>
    </row>
    <row r="89" spans="1:25" ht="12" hidden="1" customHeight="1" thickBot="1" x14ac:dyDescent="0.35">
      <c r="A89" s="20">
        <v>1</v>
      </c>
      <c r="B89" s="20" t="s">
        <v>1556</v>
      </c>
      <c r="C89" s="20" t="s">
        <v>1606</v>
      </c>
      <c r="D89" s="18" t="s">
        <v>2221</v>
      </c>
      <c r="E89" s="20">
        <v>187</v>
      </c>
      <c r="F89" s="20" t="s">
        <v>1610</v>
      </c>
      <c r="G89" s="20" t="s">
        <v>1287</v>
      </c>
      <c r="H89" s="20" t="s">
        <v>1288</v>
      </c>
      <c r="I89" s="20">
        <v>8</v>
      </c>
      <c r="J89" s="20">
        <v>6</v>
      </c>
      <c r="K89" s="20">
        <v>1</v>
      </c>
      <c r="L89" s="20" t="s">
        <v>13</v>
      </c>
      <c r="M89" s="20"/>
      <c r="N89" s="20"/>
      <c r="O89" s="20">
        <v>19</v>
      </c>
      <c r="P89" s="20" t="s">
        <v>27</v>
      </c>
      <c r="Q89" s="20" t="s">
        <v>119</v>
      </c>
      <c r="R89" s="20" t="str">
        <f t="shared" si="6"/>
        <v>TAPAS DOBLE SALSERO IDEAL -ROJO</v>
      </c>
      <c r="S89" s="19">
        <f t="shared" si="7"/>
        <v>8</v>
      </c>
      <c r="T89" s="19">
        <f t="shared" si="8"/>
        <v>6</v>
      </c>
      <c r="U89" s="19"/>
      <c r="V89" s="19"/>
      <c r="W89" s="19"/>
      <c r="X89" s="19"/>
      <c r="Y89" s="19"/>
    </row>
    <row r="90" spans="1:25" ht="12" hidden="1" customHeight="1" thickBot="1" x14ac:dyDescent="0.35">
      <c r="A90" s="20">
        <v>1</v>
      </c>
      <c r="B90" s="20" t="s">
        <v>1556</v>
      </c>
      <c r="C90" s="20" t="s">
        <v>1606</v>
      </c>
      <c r="D90" s="18" t="s">
        <v>2221</v>
      </c>
      <c r="E90" s="20">
        <v>188</v>
      </c>
      <c r="F90" s="20" t="s">
        <v>1611</v>
      </c>
      <c r="G90" s="20" t="s">
        <v>1287</v>
      </c>
      <c r="H90" s="20" t="s">
        <v>1288</v>
      </c>
      <c r="I90" s="20">
        <v>8</v>
      </c>
      <c r="J90" s="20">
        <v>6</v>
      </c>
      <c r="K90" s="20">
        <v>1</v>
      </c>
      <c r="L90" s="20" t="s">
        <v>13</v>
      </c>
      <c r="M90" s="20"/>
      <c r="N90" s="20"/>
      <c r="O90" s="20">
        <v>23</v>
      </c>
      <c r="P90" s="20" t="s">
        <v>1221</v>
      </c>
      <c r="Q90" s="20" t="s">
        <v>120</v>
      </c>
      <c r="R90" s="20" t="str">
        <f t="shared" si="6"/>
        <v>TAPAS DOBLE SALSERO IDEAL -VERDE TELEFONICO</v>
      </c>
      <c r="S90" s="19">
        <f t="shared" si="7"/>
        <v>8</v>
      </c>
      <c r="T90" s="19">
        <f t="shared" si="8"/>
        <v>6</v>
      </c>
      <c r="U90" s="19"/>
      <c r="V90" s="19"/>
      <c r="W90" s="19"/>
      <c r="X90" s="19"/>
      <c r="Y90" s="19"/>
    </row>
    <row r="91" spans="1:25" ht="12" hidden="1" customHeight="1" thickBot="1" x14ac:dyDescent="0.35">
      <c r="A91" s="20">
        <v>1</v>
      </c>
      <c r="B91" s="20" t="s">
        <v>1556</v>
      </c>
      <c r="C91" s="20" t="s">
        <v>1606</v>
      </c>
      <c r="D91" s="18" t="s">
        <v>2218</v>
      </c>
      <c r="E91" s="20">
        <v>189</v>
      </c>
      <c r="F91" s="47" t="s">
        <v>169</v>
      </c>
      <c r="G91" s="20" t="s">
        <v>1561</v>
      </c>
      <c r="H91" s="20" t="s">
        <v>1218</v>
      </c>
      <c r="I91" s="20"/>
      <c r="J91" s="20">
        <v>20</v>
      </c>
      <c r="K91" s="20">
        <v>2</v>
      </c>
      <c r="L91" s="20" t="s">
        <v>12</v>
      </c>
      <c r="M91" s="20"/>
      <c r="N91" s="20"/>
      <c r="O91" s="20">
        <v>21</v>
      </c>
      <c r="P91" s="20" t="s">
        <v>1218</v>
      </c>
      <c r="Q91" s="20" t="s">
        <v>121</v>
      </c>
      <c r="R91" s="20" t="str">
        <f t="shared" si="6"/>
        <v>SALSERO IDEAL 400ML.-TRANSPARENTE</v>
      </c>
      <c r="S91" s="19">
        <v>1</v>
      </c>
      <c r="T91" s="19">
        <v>24</v>
      </c>
      <c r="U91" s="19">
        <v>160</v>
      </c>
      <c r="V91" s="19"/>
      <c r="W91" s="19"/>
      <c r="X91" s="19"/>
      <c r="Y91" s="19"/>
    </row>
    <row r="92" spans="1:25" ht="12" hidden="1" customHeight="1" thickBot="1" x14ac:dyDescent="0.35">
      <c r="A92" s="20">
        <v>1</v>
      </c>
      <c r="B92" s="20" t="s">
        <v>1556</v>
      </c>
      <c r="C92" s="20" t="s">
        <v>1606</v>
      </c>
      <c r="D92" s="20" t="s">
        <v>2026</v>
      </c>
      <c r="E92" s="20">
        <v>190</v>
      </c>
      <c r="F92" s="20" t="s">
        <v>170</v>
      </c>
      <c r="G92" s="20" t="s">
        <v>1561</v>
      </c>
      <c r="H92" s="20" t="s">
        <v>1218</v>
      </c>
      <c r="I92" s="20">
        <v>1</v>
      </c>
      <c r="J92" s="20">
        <v>65</v>
      </c>
      <c r="K92" s="20">
        <v>2</v>
      </c>
      <c r="L92" s="20" t="s">
        <v>12</v>
      </c>
      <c r="M92" s="20"/>
      <c r="N92" s="20"/>
      <c r="O92" s="20">
        <v>21</v>
      </c>
      <c r="P92" s="20" t="s">
        <v>1218</v>
      </c>
      <c r="Q92" s="20" t="s">
        <v>642</v>
      </c>
      <c r="R92" s="20" t="str">
        <f t="shared" si="6"/>
        <v>SALSERO MULTIUSO 1200ML-TRANSPARENTE</v>
      </c>
      <c r="S92" s="19">
        <f t="shared" si="7"/>
        <v>1</v>
      </c>
      <c r="T92" s="19">
        <f t="shared" si="8"/>
        <v>65</v>
      </c>
      <c r="U92" s="19">
        <v>110</v>
      </c>
      <c r="V92" s="19"/>
      <c r="W92" s="19"/>
      <c r="X92" s="19"/>
      <c r="Y92" s="19"/>
    </row>
    <row r="93" spans="1:25" ht="12" hidden="1" customHeight="1" thickBot="1" x14ac:dyDescent="0.35">
      <c r="A93" s="20">
        <v>1</v>
      </c>
      <c r="B93" s="20" t="s">
        <v>1556</v>
      </c>
      <c r="C93" s="20" t="s">
        <v>1606</v>
      </c>
      <c r="D93" s="20" t="s">
        <v>2089</v>
      </c>
      <c r="E93" s="20">
        <v>191</v>
      </c>
      <c r="F93" s="20" t="s">
        <v>171</v>
      </c>
      <c r="G93" s="20" t="s">
        <v>1287</v>
      </c>
      <c r="H93" s="20" t="s">
        <v>1288</v>
      </c>
      <c r="I93" s="20"/>
      <c r="J93" s="20">
        <v>10</v>
      </c>
      <c r="K93" s="20">
        <v>1</v>
      </c>
      <c r="L93" s="20" t="s">
        <v>13</v>
      </c>
      <c r="M93" s="20"/>
      <c r="N93" s="20"/>
      <c r="O93" s="20">
        <v>18</v>
      </c>
      <c r="P93" s="20" t="s">
        <v>1215</v>
      </c>
      <c r="Q93" s="20" t="s">
        <v>643</v>
      </c>
      <c r="R93" s="20" t="str">
        <f t="shared" si="6"/>
        <v>TAPA SALSERO MULTIUSO-NEGRO</v>
      </c>
      <c r="S93" s="19">
        <v>8</v>
      </c>
      <c r="T93" s="19">
        <f t="shared" si="8"/>
        <v>10</v>
      </c>
      <c r="U93" s="19">
        <v>120</v>
      </c>
      <c r="V93" s="19"/>
      <c r="W93" s="19"/>
      <c r="X93" s="19"/>
      <c r="Y93" s="19"/>
    </row>
    <row r="94" spans="1:25" ht="12" hidden="1" customHeight="1" thickBot="1" x14ac:dyDescent="0.35">
      <c r="A94" s="20">
        <v>1</v>
      </c>
      <c r="B94" s="20" t="s">
        <v>1556</v>
      </c>
      <c r="C94" s="20" t="s">
        <v>1606</v>
      </c>
      <c r="D94" s="20" t="s">
        <v>2089</v>
      </c>
      <c r="E94" s="20">
        <v>192</v>
      </c>
      <c r="F94" s="20" t="s">
        <v>172</v>
      </c>
      <c r="G94" s="20" t="s">
        <v>1561</v>
      </c>
      <c r="H94" s="20" t="s">
        <v>1218</v>
      </c>
      <c r="I94" s="20"/>
      <c r="J94" s="20">
        <v>10</v>
      </c>
      <c r="K94" s="20">
        <v>1</v>
      </c>
      <c r="L94" s="20" t="s">
        <v>13</v>
      </c>
      <c r="M94" s="20"/>
      <c r="N94" s="20"/>
      <c r="O94" s="20">
        <v>21</v>
      </c>
      <c r="P94" s="20" t="s">
        <v>1218</v>
      </c>
      <c r="Q94" s="20" t="s">
        <v>644</v>
      </c>
      <c r="R94" s="20" t="str">
        <f t="shared" si="6"/>
        <v>TAPA SALSERO MULTIUSO-TRANSPARENTE</v>
      </c>
      <c r="S94" s="19">
        <v>8</v>
      </c>
      <c r="T94" s="19">
        <f t="shared" si="8"/>
        <v>10</v>
      </c>
      <c r="U94" s="19">
        <v>120</v>
      </c>
      <c r="V94" s="19"/>
      <c r="W94" s="19"/>
      <c r="X94" s="19"/>
      <c r="Y94" s="19"/>
    </row>
    <row r="95" spans="1:25" ht="12" hidden="1" customHeight="1" thickBot="1" x14ac:dyDescent="0.35">
      <c r="A95" s="20">
        <v>1</v>
      </c>
      <c r="B95" s="20" t="s">
        <v>1556</v>
      </c>
      <c r="C95" s="20" t="s">
        <v>1606</v>
      </c>
      <c r="D95" s="31" t="s">
        <v>2055</v>
      </c>
      <c r="E95" s="20">
        <v>193</v>
      </c>
      <c r="F95" s="31" t="s">
        <v>173</v>
      </c>
      <c r="G95" s="20" t="s">
        <v>1561</v>
      </c>
      <c r="H95" s="20" t="s">
        <v>1218</v>
      </c>
      <c r="I95" s="20">
        <v>1</v>
      </c>
      <c r="J95" s="20">
        <v>24</v>
      </c>
      <c r="K95" s="20">
        <v>2</v>
      </c>
      <c r="L95" s="20" t="s">
        <v>12</v>
      </c>
      <c r="M95" s="20"/>
      <c r="N95" s="20"/>
      <c r="O95" s="20">
        <v>21</v>
      </c>
      <c r="P95" s="20" t="s">
        <v>1218</v>
      </c>
      <c r="Q95" s="20" t="s">
        <v>645</v>
      </c>
      <c r="R95" s="20" t="str">
        <f t="shared" si="6"/>
        <v>SALSERO MULTIUSO 380ML-TRANSPARENTE</v>
      </c>
      <c r="S95" s="19">
        <f>+I95</f>
        <v>1</v>
      </c>
      <c r="T95" s="19">
        <f>+J95</f>
        <v>24</v>
      </c>
      <c r="U95" s="19">
        <v>160</v>
      </c>
      <c r="V95" s="19"/>
      <c r="W95" s="19"/>
      <c r="X95" s="19"/>
      <c r="Y95" s="19"/>
    </row>
    <row r="96" spans="1:25" ht="12" hidden="1" customHeight="1" thickBot="1" x14ac:dyDescent="0.35">
      <c r="A96" s="20">
        <v>1</v>
      </c>
      <c r="B96" s="20" t="s">
        <v>1556</v>
      </c>
      <c r="C96" s="20" t="s">
        <v>1606</v>
      </c>
      <c r="D96" s="48" t="s">
        <v>2217</v>
      </c>
      <c r="E96" s="20">
        <v>194</v>
      </c>
      <c r="F96" s="9" t="s">
        <v>174</v>
      </c>
      <c r="G96" s="20" t="s">
        <v>1561</v>
      </c>
      <c r="H96" s="20" t="s">
        <v>1218</v>
      </c>
      <c r="I96" s="20"/>
      <c r="J96" s="20">
        <v>34</v>
      </c>
      <c r="K96" s="20">
        <v>2</v>
      </c>
      <c r="L96" s="20" t="s">
        <v>12</v>
      </c>
      <c r="M96" s="20"/>
      <c r="N96" s="20"/>
      <c r="O96" s="20">
        <v>21</v>
      </c>
      <c r="P96" s="20" t="s">
        <v>1218</v>
      </c>
      <c r="Q96" s="20" t="s">
        <v>122</v>
      </c>
      <c r="R96" s="20" t="str">
        <f t="shared" si="6"/>
        <v>SALSERO MULTIUSO 480ML-TRANSPARENTE</v>
      </c>
      <c r="S96" s="19">
        <v>1</v>
      </c>
      <c r="T96" s="19">
        <f t="shared" si="8"/>
        <v>34</v>
      </c>
      <c r="U96" s="19">
        <v>130</v>
      </c>
      <c r="V96" s="19"/>
      <c r="W96" s="19"/>
      <c r="X96" s="19"/>
      <c r="Y96" s="19"/>
    </row>
    <row r="97" spans="1:25" ht="12" hidden="1" customHeight="1" thickBot="1" x14ac:dyDescent="0.35">
      <c r="A97" s="20">
        <v>1</v>
      </c>
      <c r="B97" s="20" t="s">
        <v>1556</v>
      </c>
      <c r="C97" s="20" t="s">
        <v>1606</v>
      </c>
      <c r="D97" s="18" t="s">
        <v>2301</v>
      </c>
      <c r="E97" s="20">
        <v>195</v>
      </c>
      <c r="F97" s="20" t="s">
        <v>175</v>
      </c>
      <c r="G97" s="20" t="s">
        <v>1561</v>
      </c>
      <c r="H97" s="20" t="s">
        <v>1218</v>
      </c>
      <c r="I97" s="20"/>
      <c r="J97" s="20">
        <v>38</v>
      </c>
      <c r="K97" s="20">
        <v>2</v>
      </c>
      <c r="L97" s="20" t="s">
        <v>12</v>
      </c>
      <c r="M97" s="20"/>
      <c r="N97" s="20"/>
      <c r="O97" s="20">
        <v>21</v>
      </c>
      <c r="P97" s="20" t="s">
        <v>1218</v>
      </c>
      <c r="Q97" s="20" t="s">
        <v>646</v>
      </c>
      <c r="R97" s="20" t="str">
        <f t="shared" si="6"/>
        <v>SALSERO MULTIUSO 600ML-TRANSPARENTE</v>
      </c>
      <c r="S97" s="19">
        <v>1</v>
      </c>
      <c r="T97" s="19">
        <v>38</v>
      </c>
      <c r="U97" s="19">
        <v>140</v>
      </c>
      <c r="V97" s="19"/>
      <c r="W97" s="19"/>
      <c r="X97" s="19"/>
      <c r="Y97" s="19"/>
    </row>
    <row r="98" spans="1:25" ht="12" hidden="1" customHeight="1" thickBot="1" x14ac:dyDescent="0.35">
      <c r="A98" s="20">
        <v>1</v>
      </c>
      <c r="B98" s="20" t="s">
        <v>1556</v>
      </c>
      <c r="C98" s="20" t="s">
        <v>1802</v>
      </c>
      <c r="D98" s="20" t="s">
        <v>1126</v>
      </c>
      <c r="E98" s="20">
        <v>196</v>
      </c>
      <c r="F98" s="20" t="s">
        <v>1954</v>
      </c>
      <c r="G98" s="20" t="s">
        <v>1287</v>
      </c>
      <c r="H98" s="20" t="s">
        <v>1288</v>
      </c>
      <c r="I98" s="20">
        <v>12</v>
      </c>
      <c r="J98" s="20">
        <v>4</v>
      </c>
      <c r="K98" s="20">
        <v>1</v>
      </c>
      <c r="L98" s="20" t="s">
        <v>13</v>
      </c>
      <c r="M98" s="20"/>
      <c r="N98" s="20"/>
      <c r="O98" s="20">
        <v>10</v>
      </c>
      <c r="P98" s="20" t="s">
        <v>26</v>
      </c>
      <c r="Q98" s="20" t="s">
        <v>647</v>
      </c>
      <c r="R98" s="20" t="str">
        <f t="shared" si="6"/>
        <v>PUNTA DOBLE CLICK-AMARILLO</v>
      </c>
      <c r="S98" s="19">
        <f t="shared" si="7"/>
        <v>12</v>
      </c>
      <c r="T98" s="19">
        <f t="shared" si="8"/>
        <v>4</v>
      </c>
      <c r="U98" s="19">
        <v>190</v>
      </c>
      <c r="V98" s="19"/>
      <c r="W98" s="19"/>
      <c r="X98" s="19"/>
      <c r="Y98" s="19"/>
    </row>
    <row r="99" spans="1:25" ht="12" hidden="1" customHeight="1" thickBot="1" x14ac:dyDescent="0.35">
      <c r="A99" s="20">
        <v>1</v>
      </c>
      <c r="B99" s="20" t="s">
        <v>1556</v>
      </c>
      <c r="C99" s="20" t="s">
        <v>1802</v>
      </c>
      <c r="D99" s="20" t="s">
        <v>1126</v>
      </c>
      <c r="E99" s="20">
        <v>197</v>
      </c>
      <c r="F99" s="20" t="s">
        <v>1117</v>
      </c>
      <c r="G99" s="20" t="s">
        <v>1287</v>
      </c>
      <c r="H99" s="20" t="s">
        <v>1288</v>
      </c>
      <c r="I99" s="20">
        <v>12</v>
      </c>
      <c r="J99" s="20">
        <v>4</v>
      </c>
      <c r="K99" s="20">
        <v>1</v>
      </c>
      <c r="L99" s="20" t="s">
        <v>13</v>
      </c>
      <c r="M99" s="20"/>
      <c r="N99" s="20"/>
      <c r="O99" s="20">
        <v>11</v>
      </c>
      <c r="P99" s="20" t="s">
        <v>1207</v>
      </c>
      <c r="Q99" s="20" t="s">
        <v>648</v>
      </c>
      <c r="R99" s="20" t="str">
        <f t="shared" si="6"/>
        <v>PUNTA DOBLE CLICK-ANARANJADO</v>
      </c>
      <c r="S99" s="19">
        <f t="shared" si="7"/>
        <v>12</v>
      </c>
      <c r="T99" s="19">
        <f t="shared" si="8"/>
        <v>4</v>
      </c>
      <c r="U99" s="19">
        <v>190</v>
      </c>
      <c r="V99" s="19"/>
      <c r="W99" s="19"/>
      <c r="X99" s="19"/>
      <c r="Y99" s="19"/>
    </row>
    <row r="100" spans="1:25" ht="12" hidden="1" customHeight="1" thickBot="1" x14ac:dyDescent="0.35">
      <c r="A100" s="20">
        <v>1</v>
      </c>
      <c r="B100" s="20" t="s">
        <v>1556</v>
      </c>
      <c r="C100" s="20" t="s">
        <v>1802</v>
      </c>
      <c r="D100" s="20" t="s">
        <v>1126</v>
      </c>
      <c r="E100" s="20">
        <v>198</v>
      </c>
      <c r="F100" s="20" t="s">
        <v>1118</v>
      </c>
      <c r="G100" s="20" t="s">
        <v>1287</v>
      </c>
      <c r="H100" s="20" t="s">
        <v>1288</v>
      </c>
      <c r="I100" s="20">
        <v>12</v>
      </c>
      <c r="J100" s="20">
        <v>4</v>
      </c>
      <c r="K100" s="20">
        <v>1</v>
      </c>
      <c r="L100" s="20" t="s">
        <v>13</v>
      </c>
      <c r="M100" s="20"/>
      <c r="N100" s="20"/>
      <c r="O100" s="20">
        <v>15</v>
      </c>
      <c r="P100" s="20" t="s">
        <v>1211</v>
      </c>
      <c r="Q100" s="20" t="s">
        <v>649</v>
      </c>
      <c r="R100" s="20" t="str">
        <f t="shared" si="6"/>
        <v>PUNTA DOBLE CLICK-FUCSIA</v>
      </c>
      <c r="S100" s="19">
        <f t="shared" si="7"/>
        <v>12</v>
      </c>
      <c r="T100" s="19">
        <f t="shared" si="8"/>
        <v>4</v>
      </c>
      <c r="U100" s="19">
        <v>190</v>
      </c>
      <c r="V100" s="19"/>
      <c r="W100" s="19"/>
      <c r="X100" s="19"/>
      <c r="Y100" s="19"/>
    </row>
    <row r="101" spans="1:25" ht="12" hidden="1" customHeight="1" thickBot="1" x14ac:dyDescent="0.35">
      <c r="A101" s="20">
        <v>1</v>
      </c>
      <c r="B101" s="20" t="s">
        <v>1556</v>
      </c>
      <c r="C101" s="20" t="s">
        <v>1802</v>
      </c>
      <c r="D101" s="20" t="s">
        <v>1126</v>
      </c>
      <c r="E101" s="20">
        <v>199</v>
      </c>
      <c r="F101" s="20" t="s">
        <v>1119</v>
      </c>
      <c r="G101" s="20" t="s">
        <v>1287</v>
      </c>
      <c r="H101" s="20" t="s">
        <v>1288</v>
      </c>
      <c r="I101" s="20">
        <v>12</v>
      </c>
      <c r="J101" s="20">
        <v>4</v>
      </c>
      <c r="K101" s="20">
        <v>1</v>
      </c>
      <c r="L101" s="20" t="s">
        <v>13</v>
      </c>
      <c r="M101" s="20"/>
      <c r="N101" s="20"/>
      <c r="O101" s="20">
        <v>16</v>
      </c>
      <c r="P101" s="20" t="s">
        <v>1212</v>
      </c>
      <c r="Q101" s="20" t="s">
        <v>650</v>
      </c>
      <c r="R101" s="20" t="str">
        <f t="shared" si="6"/>
        <v>PUNTA DOBLE CLICK-LILA</v>
      </c>
      <c r="S101" s="19">
        <f t="shared" si="7"/>
        <v>12</v>
      </c>
      <c r="T101" s="19">
        <f t="shared" si="8"/>
        <v>4</v>
      </c>
      <c r="U101" s="19">
        <v>190</v>
      </c>
      <c r="V101" s="19"/>
      <c r="W101" s="19"/>
      <c r="X101" s="19"/>
      <c r="Y101" s="19"/>
    </row>
    <row r="102" spans="1:25" ht="12" hidden="1" customHeight="1" thickBot="1" x14ac:dyDescent="0.35">
      <c r="A102" s="20">
        <v>1</v>
      </c>
      <c r="B102" s="20" t="s">
        <v>1556</v>
      </c>
      <c r="C102" s="20" t="s">
        <v>1802</v>
      </c>
      <c r="D102" s="20" t="s">
        <v>1126</v>
      </c>
      <c r="E102" s="20">
        <v>200</v>
      </c>
      <c r="F102" s="20" t="s">
        <v>1187</v>
      </c>
      <c r="G102" s="20" t="s">
        <v>1287</v>
      </c>
      <c r="H102" s="20" t="s">
        <v>1288</v>
      </c>
      <c r="I102" s="20">
        <v>12</v>
      </c>
      <c r="J102" s="20">
        <v>4</v>
      </c>
      <c r="K102" s="20">
        <v>1</v>
      </c>
      <c r="L102" s="20" t="s">
        <v>13</v>
      </c>
      <c r="M102" s="20"/>
      <c r="N102" s="20"/>
      <c r="O102" s="20">
        <v>22</v>
      </c>
      <c r="P102" s="20" t="s">
        <v>1209</v>
      </c>
      <c r="Q102" s="20" t="s">
        <v>651</v>
      </c>
      <c r="R102" s="20" t="str">
        <f t="shared" si="6"/>
        <v>PUNTA DOBLE CLICK-CELESTE</v>
      </c>
      <c r="S102" s="19">
        <f t="shared" si="7"/>
        <v>12</v>
      </c>
      <c r="T102" s="19">
        <f t="shared" si="8"/>
        <v>4</v>
      </c>
      <c r="U102" s="19">
        <v>190</v>
      </c>
      <c r="V102" s="19"/>
      <c r="W102" s="19"/>
      <c r="X102" s="19"/>
      <c r="Y102" s="19"/>
    </row>
    <row r="103" spans="1:25" ht="12" hidden="1" customHeight="1" thickBot="1" x14ac:dyDescent="0.35">
      <c r="A103" s="20">
        <v>1</v>
      </c>
      <c r="B103" s="20" t="s">
        <v>1556</v>
      </c>
      <c r="C103" s="20" t="s">
        <v>1802</v>
      </c>
      <c r="D103" s="20" t="s">
        <v>1126</v>
      </c>
      <c r="E103" s="20">
        <v>201</v>
      </c>
      <c r="F103" s="20" t="s">
        <v>1963</v>
      </c>
      <c r="G103" s="20" t="s">
        <v>1287</v>
      </c>
      <c r="H103" s="20" t="s">
        <v>1288</v>
      </c>
      <c r="I103" s="20">
        <v>12</v>
      </c>
      <c r="J103" s="20">
        <v>4</v>
      </c>
      <c r="K103" s="20">
        <v>1</v>
      </c>
      <c r="L103" s="20" t="s">
        <v>13</v>
      </c>
      <c r="M103" s="20"/>
      <c r="N103" s="20"/>
      <c r="O103" s="20">
        <v>23</v>
      </c>
      <c r="P103" s="20" t="s">
        <v>1221</v>
      </c>
      <c r="Q103" s="20" t="s">
        <v>652</v>
      </c>
      <c r="R103" s="20" t="str">
        <f t="shared" si="6"/>
        <v>PUNTA DOBLE CLICK-VERDE</v>
      </c>
      <c r="S103" s="19">
        <f t="shared" si="7"/>
        <v>12</v>
      </c>
      <c r="T103" s="19">
        <f t="shared" si="8"/>
        <v>4</v>
      </c>
      <c r="U103" s="19">
        <v>190</v>
      </c>
      <c r="V103" s="19"/>
      <c r="W103" s="19"/>
      <c r="X103" s="19"/>
      <c r="Y103" s="19"/>
    </row>
    <row r="104" spans="1:25" ht="12" hidden="1" customHeight="1" thickBot="1" x14ac:dyDescent="0.35">
      <c r="A104" s="20">
        <v>1</v>
      </c>
      <c r="B104" s="20" t="s">
        <v>1556</v>
      </c>
      <c r="C104" s="20" t="s">
        <v>1612</v>
      </c>
      <c r="D104" s="20" t="s">
        <v>1613</v>
      </c>
      <c r="E104" s="20">
        <v>202</v>
      </c>
      <c r="F104" s="20" t="s">
        <v>176</v>
      </c>
      <c r="G104" s="20" t="s">
        <v>1287</v>
      </c>
      <c r="H104" s="20" t="s">
        <v>1288</v>
      </c>
      <c r="I104" s="20">
        <v>8</v>
      </c>
      <c r="J104" s="20">
        <v>22</v>
      </c>
      <c r="K104" s="20">
        <v>1</v>
      </c>
      <c r="L104" s="20" t="s">
        <v>13</v>
      </c>
      <c r="M104" s="20"/>
      <c r="N104" s="20"/>
      <c r="O104" s="20">
        <v>10</v>
      </c>
      <c r="P104" s="20" t="s">
        <v>26</v>
      </c>
      <c r="Q104" s="20" t="s">
        <v>653</v>
      </c>
      <c r="R104" s="20" t="str">
        <f t="shared" si="6"/>
        <v>TAPA CLICK-AMARILLO PATITO</v>
      </c>
      <c r="S104" s="19">
        <f t="shared" si="7"/>
        <v>8</v>
      </c>
      <c r="T104" s="19">
        <f t="shared" si="8"/>
        <v>22</v>
      </c>
      <c r="U104" s="19"/>
      <c r="V104" s="19"/>
      <c r="W104" s="19"/>
      <c r="X104" s="19"/>
      <c r="Y104" s="19"/>
    </row>
    <row r="105" spans="1:25" ht="12" hidden="1" customHeight="1" thickBot="1" x14ac:dyDescent="0.35">
      <c r="A105" s="20">
        <v>1</v>
      </c>
      <c r="B105" s="20" t="s">
        <v>1556</v>
      </c>
      <c r="C105" s="20" t="s">
        <v>1612</v>
      </c>
      <c r="D105" s="20" t="s">
        <v>1613</v>
      </c>
      <c r="E105" s="20">
        <v>203</v>
      </c>
      <c r="F105" s="20" t="s">
        <v>177</v>
      </c>
      <c r="G105" s="20" t="s">
        <v>1287</v>
      </c>
      <c r="H105" s="20" t="s">
        <v>1288</v>
      </c>
      <c r="I105" s="20">
        <v>8</v>
      </c>
      <c r="J105" s="20">
        <v>22</v>
      </c>
      <c r="K105" s="20">
        <v>1</v>
      </c>
      <c r="L105" s="20" t="s">
        <v>13</v>
      </c>
      <c r="M105" s="20"/>
      <c r="N105" s="20"/>
      <c r="O105" s="20">
        <v>11</v>
      </c>
      <c r="P105" s="20" t="s">
        <v>1207</v>
      </c>
      <c r="Q105" s="20" t="s">
        <v>654</v>
      </c>
      <c r="R105" s="20" t="str">
        <f t="shared" si="6"/>
        <v>TAPA CLICK-ANARANJADO</v>
      </c>
      <c r="S105" s="19">
        <f t="shared" si="7"/>
        <v>8</v>
      </c>
      <c r="T105" s="19">
        <f t="shared" si="8"/>
        <v>22</v>
      </c>
      <c r="U105" s="19"/>
      <c r="V105" s="19"/>
      <c r="W105" s="19"/>
      <c r="X105" s="19"/>
      <c r="Y105" s="19"/>
    </row>
    <row r="106" spans="1:25" ht="12" hidden="1" customHeight="1" thickBot="1" x14ac:dyDescent="0.35">
      <c r="A106" s="20">
        <v>1</v>
      </c>
      <c r="B106" s="20" t="s">
        <v>1556</v>
      </c>
      <c r="C106" s="20" t="s">
        <v>1612</v>
      </c>
      <c r="D106" s="20" t="s">
        <v>1613</v>
      </c>
      <c r="E106" s="20">
        <v>204</v>
      </c>
      <c r="F106" s="20" t="s">
        <v>178</v>
      </c>
      <c r="G106" s="20" t="s">
        <v>1287</v>
      </c>
      <c r="H106" s="20" t="s">
        <v>1288</v>
      </c>
      <c r="I106" s="20">
        <v>8</v>
      </c>
      <c r="J106" s="20">
        <v>22</v>
      </c>
      <c r="K106" s="20">
        <v>1</v>
      </c>
      <c r="L106" s="20" t="s">
        <v>13</v>
      </c>
      <c r="M106" s="20"/>
      <c r="N106" s="20"/>
      <c r="O106" s="20">
        <v>15</v>
      </c>
      <c r="P106" s="20" t="s">
        <v>1211</v>
      </c>
      <c r="Q106" s="20" t="s">
        <v>655</v>
      </c>
      <c r="R106" s="20" t="str">
        <f t="shared" si="6"/>
        <v>TAPA CLICK-FUCSIA</v>
      </c>
      <c r="S106" s="19">
        <f t="shared" si="7"/>
        <v>8</v>
      </c>
      <c r="T106" s="19">
        <f t="shared" si="8"/>
        <v>22</v>
      </c>
      <c r="U106" s="19"/>
      <c r="V106" s="19"/>
      <c r="W106" s="19"/>
      <c r="X106" s="19"/>
      <c r="Y106" s="19"/>
    </row>
    <row r="107" spans="1:25" ht="12" hidden="1" customHeight="1" thickBot="1" x14ac:dyDescent="0.35">
      <c r="A107" s="20">
        <v>1</v>
      </c>
      <c r="B107" s="20" t="s">
        <v>1556</v>
      </c>
      <c r="C107" s="20" t="s">
        <v>1612</v>
      </c>
      <c r="D107" s="20" t="s">
        <v>1613</v>
      </c>
      <c r="E107" s="20">
        <v>205</v>
      </c>
      <c r="F107" s="20" t="s">
        <v>179</v>
      </c>
      <c r="G107" s="20" t="s">
        <v>1287</v>
      </c>
      <c r="H107" s="20" t="s">
        <v>1288</v>
      </c>
      <c r="I107" s="20">
        <v>8</v>
      </c>
      <c r="J107" s="20">
        <v>22</v>
      </c>
      <c r="K107" s="20">
        <v>1</v>
      </c>
      <c r="L107" s="20" t="s">
        <v>13</v>
      </c>
      <c r="M107" s="20"/>
      <c r="N107" s="20"/>
      <c r="O107" s="20">
        <v>16</v>
      </c>
      <c r="P107" s="20" t="s">
        <v>1212</v>
      </c>
      <c r="Q107" s="20" t="s">
        <v>656</v>
      </c>
      <c r="R107" s="20" t="str">
        <f t="shared" si="6"/>
        <v>TAPA CLICK-LILA</v>
      </c>
      <c r="S107" s="19">
        <f t="shared" si="7"/>
        <v>8</v>
      </c>
      <c r="T107" s="19">
        <f t="shared" si="8"/>
        <v>22</v>
      </c>
      <c r="U107" s="19"/>
      <c r="V107" s="19"/>
      <c r="W107" s="19"/>
      <c r="X107" s="19"/>
      <c r="Y107" s="19"/>
    </row>
    <row r="108" spans="1:25" ht="12" hidden="1" customHeight="1" thickBot="1" x14ac:dyDescent="0.35">
      <c r="A108" s="20">
        <v>1</v>
      </c>
      <c r="B108" s="20" t="s">
        <v>1556</v>
      </c>
      <c r="C108" s="20" t="s">
        <v>1612</v>
      </c>
      <c r="D108" s="20" t="s">
        <v>1613</v>
      </c>
      <c r="E108" s="20">
        <v>206</v>
      </c>
      <c r="F108" s="20" t="s">
        <v>180</v>
      </c>
      <c r="G108" s="20" t="s">
        <v>1287</v>
      </c>
      <c r="H108" s="20" t="s">
        <v>1288</v>
      </c>
      <c r="I108" s="20">
        <v>8</v>
      </c>
      <c r="J108" s="20">
        <v>22</v>
      </c>
      <c r="K108" s="20">
        <v>1</v>
      </c>
      <c r="L108" s="20" t="s">
        <v>13</v>
      </c>
      <c r="M108" s="20"/>
      <c r="N108" s="20"/>
      <c r="O108" s="20">
        <v>22</v>
      </c>
      <c r="P108" s="20" t="s">
        <v>1614</v>
      </c>
      <c r="Q108" s="20" t="s">
        <v>657</v>
      </c>
      <c r="R108" s="20" t="str">
        <f t="shared" si="6"/>
        <v>TAPA CLICK-TURQUEZA</v>
      </c>
      <c r="S108" s="19">
        <f t="shared" si="7"/>
        <v>8</v>
      </c>
      <c r="T108" s="19">
        <f t="shared" si="8"/>
        <v>22</v>
      </c>
      <c r="U108" s="19"/>
      <c r="V108" s="19"/>
      <c r="W108" s="19"/>
      <c r="X108" s="19"/>
      <c r="Y108" s="19"/>
    </row>
    <row r="109" spans="1:25" ht="12" hidden="1" customHeight="1" thickBot="1" x14ac:dyDescent="0.35">
      <c r="A109" s="20">
        <v>1</v>
      </c>
      <c r="B109" s="20" t="s">
        <v>1556</v>
      </c>
      <c r="C109" s="20" t="s">
        <v>1612</v>
      </c>
      <c r="D109" s="20" t="s">
        <v>1613</v>
      </c>
      <c r="E109" s="20">
        <v>207</v>
      </c>
      <c r="F109" s="20" t="s">
        <v>181</v>
      </c>
      <c r="G109" s="20" t="s">
        <v>1287</v>
      </c>
      <c r="H109" s="20" t="s">
        <v>1288</v>
      </c>
      <c r="I109" s="20">
        <v>8</v>
      </c>
      <c r="J109" s="20">
        <v>22</v>
      </c>
      <c r="K109" s="20">
        <v>1</v>
      </c>
      <c r="L109" s="20" t="s">
        <v>13</v>
      </c>
      <c r="M109" s="20"/>
      <c r="N109" s="20"/>
      <c r="O109" s="20">
        <v>23</v>
      </c>
      <c r="P109" s="20" t="s">
        <v>1221</v>
      </c>
      <c r="Q109" s="20" t="s">
        <v>658</v>
      </c>
      <c r="R109" s="20" t="str">
        <f t="shared" si="6"/>
        <v>TAPA CLICK-VERDE PASTO</v>
      </c>
      <c r="S109" s="19">
        <f t="shared" si="7"/>
        <v>8</v>
      </c>
      <c r="T109" s="19">
        <f t="shared" si="8"/>
        <v>22</v>
      </c>
      <c r="U109" s="19"/>
      <c r="V109" s="19"/>
      <c r="W109" s="19"/>
      <c r="X109" s="19"/>
      <c r="Y109" s="19"/>
    </row>
    <row r="110" spans="1:25" ht="12" hidden="1" customHeight="1" thickBot="1" x14ac:dyDescent="0.35">
      <c r="A110" s="20">
        <v>1</v>
      </c>
      <c r="B110" s="20" t="s">
        <v>1556</v>
      </c>
      <c r="C110" s="20" t="s">
        <v>1612</v>
      </c>
      <c r="D110" s="20" t="s">
        <v>1615</v>
      </c>
      <c r="E110" s="20">
        <v>208</v>
      </c>
      <c r="F110" s="20" t="s">
        <v>182</v>
      </c>
      <c r="G110" s="20" t="s">
        <v>1561</v>
      </c>
      <c r="H110" s="20" t="s">
        <v>1218</v>
      </c>
      <c r="I110" s="20"/>
      <c r="J110" s="20">
        <v>0.7</v>
      </c>
      <c r="K110" s="20">
        <v>1</v>
      </c>
      <c r="L110" s="20" t="s">
        <v>13</v>
      </c>
      <c r="M110" s="20"/>
      <c r="N110" s="20"/>
      <c r="O110" s="20">
        <v>21</v>
      </c>
      <c r="P110" s="20" t="s">
        <v>1218</v>
      </c>
      <c r="Q110" s="20" t="s">
        <v>659</v>
      </c>
      <c r="R110" s="20" t="str">
        <f t="shared" si="6"/>
        <v>ORING ANILLO-TRANSPARENTE</v>
      </c>
      <c r="S110" s="19">
        <f t="shared" si="7"/>
        <v>0</v>
      </c>
      <c r="T110" s="19">
        <f t="shared" si="8"/>
        <v>0.7</v>
      </c>
      <c r="U110" s="19"/>
      <c r="V110" s="19"/>
      <c r="W110" s="19"/>
      <c r="X110" s="19"/>
      <c r="Y110" s="19"/>
    </row>
    <row r="111" spans="1:25" ht="12" hidden="1" customHeight="1" thickBot="1" x14ac:dyDescent="0.35">
      <c r="A111" s="20">
        <v>1</v>
      </c>
      <c r="B111" s="20" t="s">
        <v>1556</v>
      </c>
      <c r="C111" s="20" t="s">
        <v>1612</v>
      </c>
      <c r="D111" s="20" t="s">
        <v>1615</v>
      </c>
      <c r="E111" s="20">
        <v>209</v>
      </c>
      <c r="F111" s="20" t="s">
        <v>183</v>
      </c>
      <c r="G111" s="20" t="s">
        <v>1561</v>
      </c>
      <c r="H111" s="20" t="s">
        <v>1218</v>
      </c>
      <c r="I111" s="20"/>
      <c r="J111" s="20">
        <v>1</v>
      </c>
      <c r="K111" s="20">
        <v>1</v>
      </c>
      <c r="L111" s="20" t="s">
        <v>13</v>
      </c>
      <c r="M111" s="20"/>
      <c r="N111" s="20"/>
      <c r="O111" s="20">
        <v>21</v>
      </c>
      <c r="P111" s="20" t="s">
        <v>1218</v>
      </c>
      <c r="Q111" s="20" t="s">
        <v>660</v>
      </c>
      <c r="R111" s="20" t="str">
        <f t="shared" si="6"/>
        <v>ORING ARGOLLA-TRANSPARENTE</v>
      </c>
      <c r="S111" s="19">
        <f t="shared" si="7"/>
        <v>0</v>
      </c>
      <c r="T111" s="19">
        <f t="shared" si="8"/>
        <v>1</v>
      </c>
      <c r="U111" s="19"/>
      <c r="V111" s="19"/>
      <c r="W111" s="19"/>
      <c r="X111" s="19"/>
      <c r="Y111" s="19"/>
    </row>
    <row r="112" spans="1:25" ht="12" hidden="1" customHeight="1" thickBot="1" x14ac:dyDescent="0.35">
      <c r="A112" s="20">
        <v>1</v>
      </c>
      <c r="B112" s="20" t="s">
        <v>1556</v>
      </c>
      <c r="C112" s="20" t="s">
        <v>1612</v>
      </c>
      <c r="D112" s="20" t="s">
        <v>1615</v>
      </c>
      <c r="E112" s="20">
        <v>210</v>
      </c>
      <c r="F112" s="20" t="s">
        <v>184</v>
      </c>
      <c r="G112" s="20" t="s">
        <v>1561</v>
      </c>
      <c r="H112" s="20" t="s">
        <v>1218</v>
      </c>
      <c r="I112" s="20">
        <v>16</v>
      </c>
      <c r="J112" s="20">
        <v>0.3</v>
      </c>
      <c r="K112" s="20">
        <v>1</v>
      </c>
      <c r="L112" s="20" t="s">
        <v>13</v>
      </c>
      <c r="M112" s="20"/>
      <c r="N112" s="20"/>
      <c r="O112" s="20">
        <v>21</v>
      </c>
      <c r="P112" s="20" t="s">
        <v>1218</v>
      </c>
      <c r="Q112" s="20" t="s">
        <v>661</v>
      </c>
      <c r="R112" s="20" t="str">
        <f t="shared" si="6"/>
        <v>ORING PUNTA-TRANSPARENTE</v>
      </c>
      <c r="S112" s="19">
        <f t="shared" si="7"/>
        <v>16</v>
      </c>
      <c r="T112" s="19">
        <f t="shared" si="8"/>
        <v>0.3</v>
      </c>
      <c r="U112" s="19"/>
      <c r="V112" s="19"/>
      <c r="W112" s="19"/>
      <c r="X112" s="19"/>
      <c r="Y112" s="19"/>
    </row>
    <row r="113" spans="1:25" ht="12" hidden="1" customHeight="1" thickBot="1" x14ac:dyDescent="0.35">
      <c r="A113" s="20">
        <v>1</v>
      </c>
      <c r="B113" s="20" t="s">
        <v>1556</v>
      </c>
      <c r="C113" s="20" t="s">
        <v>1612</v>
      </c>
      <c r="D113" s="20" t="s">
        <v>1615</v>
      </c>
      <c r="E113" s="20">
        <v>211</v>
      </c>
      <c r="F113" s="20" t="s">
        <v>185</v>
      </c>
      <c r="G113" s="20" t="s">
        <v>1561</v>
      </c>
      <c r="H113" s="20" t="s">
        <v>1218</v>
      </c>
      <c r="I113" s="20">
        <v>12</v>
      </c>
      <c r="J113" s="20">
        <v>6</v>
      </c>
      <c r="K113" s="20">
        <v>1</v>
      </c>
      <c r="L113" s="20" t="s">
        <v>13</v>
      </c>
      <c r="M113" s="20"/>
      <c r="N113" s="20"/>
      <c r="O113" s="20">
        <v>21</v>
      </c>
      <c r="P113" s="20" t="s">
        <v>1218</v>
      </c>
      <c r="Q113" s="20" t="s">
        <v>662</v>
      </c>
      <c r="R113" s="20" t="str">
        <f t="shared" si="6"/>
        <v>PUNTA TAPA SORBETE-TRANSPARENTE</v>
      </c>
      <c r="S113" s="19">
        <f t="shared" si="7"/>
        <v>12</v>
      </c>
      <c r="T113" s="19">
        <f t="shared" si="8"/>
        <v>6</v>
      </c>
      <c r="U113" s="19"/>
      <c r="V113" s="19"/>
      <c r="W113" s="19"/>
      <c r="X113" s="19"/>
      <c r="Y113" s="19"/>
    </row>
    <row r="114" spans="1:25" ht="12" hidden="1" customHeight="1" thickBot="1" x14ac:dyDescent="0.35">
      <c r="A114" s="20">
        <v>1</v>
      </c>
      <c r="B114" s="20" t="s">
        <v>1556</v>
      </c>
      <c r="C114" s="20" t="s">
        <v>1612</v>
      </c>
      <c r="D114" s="20" t="s">
        <v>1615</v>
      </c>
      <c r="E114" s="20">
        <v>212</v>
      </c>
      <c r="F114" s="20" t="s">
        <v>186</v>
      </c>
      <c r="G114" s="20" t="s">
        <v>1287</v>
      </c>
      <c r="H114" s="20" t="s">
        <v>1288</v>
      </c>
      <c r="I114" s="20"/>
      <c r="J114" s="20">
        <v>22</v>
      </c>
      <c r="K114" s="20">
        <v>1</v>
      </c>
      <c r="L114" s="20" t="s">
        <v>13</v>
      </c>
      <c r="M114" s="20"/>
      <c r="N114" s="20"/>
      <c r="O114" s="20">
        <v>10</v>
      </c>
      <c r="P114" s="20" t="s">
        <v>26</v>
      </c>
      <c r="Q114" s="20" t="s">
        <v>663</v>
      </c>
      <c r="R114" s="20" t="str">
        <f t="shared" si="6"/>
        <v>TAPAS SORBETE-AMARILLO PATITO</v>
      </c>
      <c r="S114" s="19">
        <f t="shared" si="7"/>
        <v>0</v>
      </c>
      <c r="T114" s="19">
        <f t="shared" si="8"/>
        <v>22</v>
      </c>
      <c r="U114" s="19"/>
      <c r="V114" s="19"/>
      <c r="W114" s="19"/>
      <c r="X114" s="19"/>
      <c r="Y114" s="19"/>
    </row>
    <row r="115" spans="1:25" ht="12" hidden="1" customHeight="1" thickBot="1" x14ac:dyDescent="0.35">
      <c r="A115" s="20">
        <v>1</v>
      </c>
      <c r="B115" s="20" t="s">
        <v>1556</v>
      </c>
      <c r="C115" s="20" t="s">
        <v>1612</v>
      </c>
      <c r="D115" s="20" t="s">
        <v>1615</v>
      </c>
      <c r="E115" s="20">
        <v>213</v>
      </c>
      <c r="F115" s="20" t="s">
        <v>187</v>
      </c>
      <c r="G115" s="20" t="s">
        <v>1287</v>
      </c>
      <c r="H115" s="20" t="s">
        <v>1288</v>
      </c>
      <c r="I115" s="20"/>
      <c r="J115" s="20">
        <v>22</v>
      </c>
      <c r="K115" s="20">
        <v>1</v>
      </c>
      <c r="L115" s="20" t="s">
        <v>13</v>
      </c>
      <c r="M115" s="20"/>
      <c r="N115" s="20"/>
      <c r="O115" s="20">
        <v>11</v>
      </c>
      <c r="P115" s="20" t="s">
        <v>1207</v>
      </c>
      <c r="Q115" s="20" t="s">
        <v>664</v>
      </c>
      <c r="R115" s="20" t="str">
        <f t="shared" si="6"/>
        <v>TAPAS SORBETE-ANARANJADO</v>
      </c>
      <c r="S115" s="19">
        <f t="shared" si="7"/>
        <v>0</v>
      </c>
      <c r="T115" s="19">
        <f t="shared" si="8"/>
        <v>22</v>
      </c>
      <c r="U115" s="19"/>
      <c r="V115" s="19"/>
      <c r="W115" s="19"/>
      <c r="X115" s="19"/>
      <c r="Y115" s="19"/>
    </row>
    <row r="116" spans="1:25" ht="12" hidden="1" customHeight="1" thickBot="1" x14ac:dyDescent="0.35">
      <c r="A116" s="20">
        <v>1</v>
      </c>
      <c r="B116" s="20" t="s">
        <v>1556</v>
      </c>
      <c r="C116" s="20" t="s">
        <v>1612</v>
      </c>
      <c r="D116" s="20" t="s">
        <v>1615</v>
      </c>
      <c r="E116" s="20">
        <v>214</v>
      </c>
      <c r="F116" s="20" t="s">
        <v>188</v>
      </c>
      <c r="G116" s="20" t="s">
        <v>1287</v>
      </c>
      <c r="H116" s="20" t="s">
        <v>1288</v>
      </c>
      <c r="I116" s="20"/>
      <c r="J116" s="20">
        <v>22</v>
      </c>
      <c r="K116" s="20">
        <v>1</v>
      </c>
      <c r="L116" s="20" t="s">
        <v>13</v>
      </c>
      <c r="M116" s="20"/>
      <c r="N116" s="20"/>
      <c r="O116" s="20">
        <v>15</v>
      </c>
      <c r="P116" s="20" t="s">
        <v>1211</v>
      </c>
      <c r="Q116" s="20" t="s">
        <v>665</v>
      </c>
      <c r="R116" s="20" t="str">
        <f t="shared" si="6"/>
        <v>TAPAS SORBETE-FUCSIA</v>
      </c>
      <c r="S116" s="19">
        <f t="shared" si="7"/>
        <v>0</v>
      </c>
      <c r="T116" s="19">
        <f t="shared" si="8"/>
        <v>22</v>
      </c>
      <c r="U116" s="19"/>
      <c r="V116" s="19"/>
      <c r="W116" s="19"/>
      <c r="X116" s="19"/>
      <c r="Y116" s="19"/>
    </row>
    <row r="117" spans="1:25" ht="12" hidden="1" customHeight="1" thickBot="1" x14ac:dyDescent="0.35">
      <c r="A117" s="20">
        <v>1</v>
      </c>
      <c r="B117" s="20" t="s">
        <v>1556</v>
      </c>
      <c r="C117" s="20" t="s">
        <v>1612</v>
      </c>
      <c r="D117" s="20" t="s">
        <v>1615</v>
      </c>
      <c r="E117" s="20">
        <v>215</v>
      </c>
      <c r="F117" s="20" t="s">
        <v>189</v>
      </c>
      <c r="G117" s="20" t="s">
        <v>1287</v>
      </c>
      <c r="H117" s="20" t="s">
        <v>1288</v>
      </c>
      <c r="I117" s="20"/>
      <c r="J117" s="20">
        <v>22</v>
      </c>
      <c r="K117" s="20">
        <v>1</v>
      </c>
      <c r="L117" s="20" t="s">
        <v>13</v>
      </c>
      <c r="M117" s="20"/>
      <c r="N117" s="20"/>
      <c r="O117" s="20">
        <v>16</v>
      </c>
      <c r="P117" s="20" t="s">
        <v>1212</v>
      </c>
      <c r="Q117" s="20" t="s">
        <v>666</v>
      </c>
      <c r="R117" s="20" t="str">
        <f t="shared" si="6"/>
        <v>TAPAS SORBETE-LILA</v>
      </c>
      <c r="S117" s="19">
        <f t="shared" si="7"/>
        <v>0</v>
      </c>
      <c r="T117" s="19">
        <f t="shared" si="8"/>
        <v>22</v>
      </c>
      <c r="U117" s="19"/>
      <c r="V117" s="19"/>
      <c r="W117" s="19"/>
      <c r="X117" s="19"/>
      <c r="Y117" s="19"/>
    </row>
    <row r="118" spans="1:25" ht="12" hidden="1" customHeight="1" thickBot="1" x14ac:dyDescent="0.35">
      <c r="A118" s="20">
        <v>1</v>
      </c>
      <c r="B118" s="20" t="s">
        <v>1556</v>
      </c>
      <c r="C118" s="20" t="s">
        <v>1612</v>
      </c>
      <c r="D118" s="20" t="s">
        <v>1615</v>
      </c>
      <c r="E118" s="20">
        <v>216</v>
      </c>
      <c r="F118" s="20" t="s">
        <v>190</v>
      </c>
      <c r="G118" s="20" t="s">
        <v>1287</v>
      </c>
      <c r="H118" s="20" t="s">
        <v>1288</v>
      </c>
      <c r="I118" s="20"/>
      <c r="J118" s="20">
        <v>22</v>
      </c>
      <c r="K118" s="20">
        <v>1</v>
      </c>
      <c r="L118" s="20" t="s">
        <v>13</v>
      </c>
      <c r="M118" s="20"/>
      <c r="N118" s="20"/>
      <c r="O118" s="20">
        <v>22</v>
      </c>
      <c r="P118" s="20" t="s">
        <v>1614</v>
      </c>
      <c r="Q118" s="20" t="s">
        <v>667</v>
      </c>
      <c r="R118" s="20" t="str">
        <f t="shared" si="6"/>
        <v>TAPAS SORBETE-TURQUEZA</v>
      </c>
      <c r="S118" s="19">
        <f t="shared" si="7"/>
        <v>0</v>
      </c>
      <c r="T118" s="19">
        <f t="shared" si="8"/>
        <v>22</v>
      </c>
      <c r="U118" s="19"/>
      <c r="V118" s="19"/>
      <c r="W118" s="19"/>
      <c r="X118" s="19"/>
      <c r="Y118" s="19"/>
    </row>
    <row r="119" spans="1:25" ht="12" hidden="1" customHeight="1" thickBot="1" x14ac:dyDescent="0.35">
      <c r="A119" s="20">
        <v>1</v>
      </c>
      <c r="B119" s="20" t="s">
        <v>1556</v>
      </c>
      <c r="C119" s="20" t="s">
        <v>1612</v>
      </c>
      <c r="D119" s="20" t="s">
        <v>1615</v>
      </c>
      <c r="E119" s="20">
        <v>217</v>
      </c>
      <c r="F119" s="20" t="s">
        <v>191</v>
      </c>
      <c r="G119" s="20" t="s">
        <v>1287</v>
      </c>
      <c r="H119" s="20" t="s">
        <v>1288</v>
      </c>
      <c r="I119" s="20"/>
      <c r="J119" s="20">
        <v>22</v>
      </c>
      <c r="K119" s="20">
        <v>1</v>
      </c>
      <c r="L119" s="20" t="s">
        <v>13</v>
      </c>
      <c r="M119" s="20"/>
      <c r="N119" s="20"/>
      <c r="O119" s="20">
        <v>23</v>
      </c>
      <c r="P119" s="20" t="s">
        <v>1221</v>
      </c>
      <c r="Q119" s="20" t="s">
        <v>668</v>
      </c>
      <c r="R119" s="20" t="str">
        <f t="shared" si="6"/>
        <v>TAPAS SORBETE-VERDE PASTO</v>
      </c>
      <c r="S119" s="19">
        <f t="shared" si="7"/>
        <v>0</v>
      </c>
      <c r="T119" s="19">
        <f t="shared" si="8"/>
        <v>22</v>
      </c>
      <c r="U119" s="19"/>
      <c r="V119" s="19"/>
      <c r="W119" s="19"/>
      <c r="X119" s="19"/>
      <c r="Y119" s="19"/>
    </row>
    <row r="120" spans="1:25" s="33" customFormat="1" ht="12" hidden="1" customHeight="1" thickBot="1" x14ac:dyDescent="0.35">
      <c r="A120" s="20">
        <v>1</v>
      </c>
      <c r="B120" s="20" t="s">
        <v>1556</v>
      </c>
      <c r="C120" s="20" t="s">
        <v>1616</v>
      </c>
      <c r="D120" s="5" t="s">
        <v>1037</v>
      </c>
      <c r="E120" s="20">
        <v>218</v>
      </c>
      <c r="F120" s="9" t="s">
        <v>192</v>
      </c>
      <c r="G120" s="20" t="s">
        <v>1603</v>
      </c>
      <c r="H120" s="20" t="s">
        <v>1604</v>
      </c>
      <c r="I120" s="20">
        <v>2</v>
      </c>
      <c r="J120" s="20">
        <v>71</v>
      </c>
      <c r="K120" s="20">
        <v>1</v>
      </c>
      <c r="L120" s="20" t="s">
        <v>13</v>
      </c>
      <c r="M120" s="20"/>
      <c r="N120" s="20"/>
      <c r="O120" s="20">
        <v>10</v>
      </c>
      <c r="P120" s="20" t="s">
        <v>26</v>
      </c>
      <c r="Q120" s="20" t="s">
        <v>669</v>
      </c>
      <c r="R120" s="20" t="str">
        <f t="shared" si="6"/>
        <v>TAPER 1100ML CARAMELO-AMARILLO</v>
      </c>
      <c r="S120" s="20">
        <v>2</v>
      </c>
      <c r="T120" s="20">
        <v>68</v>
      </c>
      <c r="U120" s="20">
        <v>140</v>
      </c>
      <c r="V120" s="20"/>
      <c r="W120" s="20"/>
      <c r="X120" s="20"/>
      <c r="Y120" s="20"/>
    </row>
    <row r="121" spans="1:25" s="33" customFormat="1" ht="12" hidden="1" customHeight="1" thickBot="1" x14ac:dyDescent="0.35">
      <c r="A121" s="20">
        <v>1</v>
      </c>
      <c r="B121" s="20" t="s">
        <v>1556</v>
      </c>
      <c r="C121" s="20" t="s">
        <v>1616</v>
      </c>
      <c r="D121" s="5" t="s">
        <v>1037</v>
      </c>
      <c r="E121" s="20">
        <v>219</v>
      </c>
      <c r="F121" s="20" t="s">
        <v>193</v>
      </c>
      <c r="G121" s="20" t="s">
        <v>1603</v>
      </c>
      <c r="H121" s="20" t="s">
        <v>1604</v>
      </c>
      <c r="I121" s="20">
        <v>2</v>
      </c>
      <c r="J121" s="20">
        <v>71</v>
      </c>
      <c r="K121" s="20">
        <v>1</v>
      </c>
      <c r="L121" s="20" t="s">
        <v>13</v>
      </c>
      <c r="M121" s="20"/>
      <c r="N121" s="20"/>
      <c r="O121" s="20">
        <v>11</v>
      </c>
      <c r="P121" s="20" t="s">
        <v>1207</v>
      </c>
      <c r="Q121" s="20" t="s">
        <v>670</v>
      </c>
      <c r="R121" s="20" t="str">
        <f t="shared" si="6"/>
        <v>TAPER 1100ML CARAMELO-ANARANJADO</v>
      </c>
      <c r="S121" s="20">
        <v>2</v>
      </c>
      <c r="T121" s="20">
        <v>68</v>
      </c>
      <c r="U121" s="20">
        <v>140</v>
      </c>
      <c r="V121" s="20"/>
      <c r="W121" s="20"/>
      <c r="X121" s="20"/>
      <c r="Y121" s="20"/>
    </row>
    <row r="122" spans="1:25" s="33" customFormat="1" ht="12" hidden="1" customHeight="1" thickBot="1" x14ac:dyDescent="0.35">
      <c r="A122" s="20">
        <v>1</v>
      </c>
      <c r="B122" s="20" t="s">
        <v>1556</v>
      </c>
      <c r="C122" s="20" t="s">
        <v>1616</v>
      </c>
      <c r="D122" s="5" t="s">
        <v>1037</v>
      </c>
      <c r="E122" s="20">
        <v>220</v>
      </c>
      <c r="F122" s="20" t="s">
        <v>194</v>
      </c>
      <c r="G122" s="20" t="s">
        <v>1603</v>
      </c>
      <c r="H122" s="20" t="s">
        <v>1604</v>
      </c>
      <c r="I122" s="20">
        <v>2</v>
      </c>
      <c r="J122" s="20">
        <v>71</v>
      </c>
      <c r="K122" s="20">
        <v>1</v>
      </c>
      <c r="L122" s="20" t="s">
        <v>13</v>
      </c>
      <c r="M122" s="20"/>
      <c r="N122" s="20"/>
      <c r="O122" s="20">
        <v>12</v>
      </c>
      <c r="P122" s="20" t="s">
        <v>24</v>
      </c>
      <c r="Q122" s="20" t="s">
        <v>671</v>
      </c>
      <c r="R122" s="20" t="str">
        <f t="shared" si="6"/>
        <v>TAPER 1100ML CARAMELO-AZUL</v>
      </c>
      <c r="S122" s="20">
        <v>2</v>
      </c>
      <c r="T122" s="20">
        <v>68</v>
      </c>
      <c r="U122" s="20">
        <v>140</v>
      </c>
      <c r="V122" s="20"/>
      <c r="W122" s="20"/>
      <c r="X122" s="20"/>
      <c r="Y122" s="20"/>
    </row>
    <row r="123" spans="1:25" s="33" customFormat="1" ht="12" hidden="1" customHeight="1" thickBot="1" x14ac:dyDescent="0.35">
      <c r="A123" s="20">
        <v>1</v>
      </c>
      <c r="B123" s="20" t="s">
        <v>1556</v>
      </c>
      <c r="C123" s="20" t="s">
        <v>1616</v>
      </c>
      <c r="D123" s="5" t="s">
        <v>1037</v>
      </c>
      <c r="E123" s="20">
        <v>221</v>
      </c>
      <c r="F123" s="20" t="s">
        <v>195</v>
      </c>
      <c r="G123" s="20" t="s">
        <v>1603</v>
      </c>
      <c r="H123" s="20" t="s">
        <v>1604</v>
      </c>
      <c r="I123" s="20">
        <v>2</v>
      </c>
      <c r="J123" s="20">
        <v>71</v>
      </c>
      <c r="K123" s="20">
        <v>1</v>
      </c>
      <c r="L123" s="20" t="s">
        <v>13</v>
      </c>
      <c r="M123" s="20"/>
      <c r="N123" s="20"/>
      <c r="O123" s="20">
        <v>15</v>
      </c>
      <c r="P123" s="20" t="s">
        <v>1211</v>
      </c>
      <c r="Q123" s="20" t="s">
        <v>672</v>
      </c>
      <c r="R123" s="20" t="str">
        <f t="shared" si="6"/>
        <v>TAPER 1100ML CARAMELO-FUCSIA</v>
      </c>
      <c r="S123" s="20">
        <v>2</v>
      </c>
      <c r="T123" s="20">
        <v>68</v>
      </c>
      <c r="U123" s="20">
        <v>140</v>
      </c>
      <c r="V123" s="20"/>
      <c r="W123" s="20"/>
      <c r="X123" s="20"/>
      <c r="Y123" s="20"/>
    </row>
    <row r="124" spans="1:25" s="33" customFormat="1" ht="12" hidden="1" customHeight="1" thickBot="1" x14ac:dyDescent="0.35">
      <c r="A124" s="20">
        <v>1</v>
      </c>
      <c r="B124" s="20" t="s">
        <v>1556</v>
      </c>
      <c r="C124" s="20" t="s">
        <v>1616</v>
      </c>
      <c r="D124" s="5" t="s">
        <v>1037</v>
      </c>
      <c r="E124" s="20">
        <v>222</v>
      </c>
      <c r="F124" s="20" t="s">
        <v>196</v>
      </c>
      <c r="G124" s="20" t="s">
        <v>1603</v>
      </c>
      <c r="H124" s="20" t="s">
        <v>1604</v>
      </c>
      <c r="I124" s="20">
        <v>2</v>
      </c>
      <c r="J124" s="20">
        <v>71</v>
      </c>
      <c r="K124" s="20">
        <v>1</v>
      </c>
      <c r="L124" s="20" t="s">
        <v>13</v>
      </c>
      <c r="M124" s="20"/>
      <c r="N124" s="20"/>
      <c r="O124" s="20">
        <v>16</v>
      </c>
      <c r="P124" s="20" t="s">
        <v>1212</v>
      </c>
      <c r="Q124" s="20" t="s">
        <v>673</v>
      </c>
      <c r="R124" s="20" t="str">
        <f t="shared" si="6"/>
        <v>TAPER 1100ML CARAMELO-LILA</v>
      </c>
      <c r="S124" s="20">
        <v>2</v>
      </c>
      <c r="T124" s="20">
        <v>68</v>
      </c>
      <c r="U124" s="20">
        <v>140</v>
      </c>
      <c r="V124" s="20"/>
      <c r="W124" s="20"/>
      <c r="X124" s="20"/>
      <c r="Y124" s="20"/>
    </row>
    <row r="125" spans="1:25" s="33" customFormat="1" ht="12" hidden="1" customHeight="1" thickBot="1" x14ac:dyDescent="0.35">
      <c r="A125" s="20">
        <v>1</v>
      </c>
      <c r="B125" s="20" t="s">
        <v>1556</v>
      </c>
      <c r="C125" s="20" t="s">
        <v>1616</v>
      </c>
      <c r="D125" s="5" t="s">
        <v>1037</v>
      </c>
      <c r="E125" s="20">
        <v>223</v>
      </c>
      <c r="F125" s="20" t="s">
        <v>197</v>
      </c>
      <c r="G125" s="20" t="s">
        <v>1603</v>
      </c>
      <c r="H125" s="20" t="s">
        <v>1604</v>
      </c>
      <c r="I125" s="20">
        <v>2</v>
      </c>
      <c r="J125" s="20">
        <v>71</v>
      </c>
      <c r="K125" s="20">
        <v>1</v>
      </c>
      <c r="L125" s="20" t="s">
        <v>13</v>
      </c>
      <c r="M125" s="20"/>
      <c r="N125" s="20"/>
      <c r="O125" s="20">
        <v>23</v>
      </c>
      <c r="P125" s="20" t="s">
        <v>1221</v>
      </c>
      <c r="Q125" s="20" t="s">
        <v>674</v>
      </c>
      <c r="R125" s="20" t="str">
        <f t="shared" si="6"/>
        <v>TAPER 1100ML CARAMELO-VERDE</v>
      </c>
      <c r="S125" s="20">
        <v>2</v>
      </c>
      <c r="T125" s="20">
        <v>68</v>
      </c>
      <c r="U125" s="20">
        <v>140</v>
      </c>
      <c r="V125" s="20"/>
      <c r="W125" s="20"/>
      <c r="X125" s="20"/>
      <c r="Y125" s="20"/>
    </row>
    <row r="126" spans="1:25" ht="12" hidden="1" customHeight="1" thickBot="1" x14ac:dyDescent="0.35">
      <c r="A126" s="20">
        <v>1</v>
      </c>
      <c r="B126" s="20" t="s">
        <v>1556</v>
      </c>
      <c r="C126" s="20" t="s">
        <v>1616</v>
      </c>
      <c r="D126" s="18" t="s">
        <v>1040</v>
      </c>
      <c r="E126" s="20">
        <v>224</v>
      </c>
      <c r="F126" s="47" t="s">
        <v>198</v>
      </c>
      <c r="G126" s="20" t="s">
        <v>1617</v>
      </c>
      <c r="H126" s="20" t="s">
        <v>1618</v>
      </c>
      <c r="I126" s="20"/>
      <c r="J126" s="20">
        <v>71</v>
      </c>
      <c r="K126" s="20">
        <v>1</v>
      </c>
      <c r="L126" s="20" t="s">
        <v>13</v>
      </c>
      <c r="M126" s="20"/>
      <c r="N126" s="20"/>
      <c r="O126" s="20">
        <v>10</v>
      </c>
      <c r="P126" s="20" t="s">
        <v>26</v>
      </c>
      <c r="Q126" s="20" t="s">
        <v>675</v>
      </c>
      <c r="R126" s="20" t="str">
        <f t="shared" si="6"/>
        <v>TAPER 1100ML PASTEL-AMARILLO PASTEL</v>
      </c>
      <c r="S126" s="19">
        <v>2</v>
      </c>
      <c r="T126" s="19">
        <v>68</v>
      </c>
      <c r="U126" s="19">
        <v>120</v>
      </c>
      <c r="V126" s="19"/>
      <c r="W126" s="19"/>
      <c r="X126" s="19"/>
      <c r="Y126" s="19"/>
    </row>
    <row r="127" spans="1:25" ht="12" hidden="1" customHeight="1" thickBot="1" x14ac:dyDescent="0.35">
      <c r="A127" s="20">
        <v>1</v>
      </c>
      <c r="B127" s="20" t="s">
        <v>1556</v>
      </c>
      <c r="C127" s="20" t="s">
        <v>1616</v>
      </c>
      <c r="D127" s="18" t="s">
        <v>1040</v>
      </c>
      <c r="E127" s="20">
        <v>225</v>
      </c>
      <c r="F127" s="20" t="s">
        <v>199</v>
      </c>
      <c r="G127" s="20" t="s">
        <v>1617</v>
      </c>
      <c r="H127" s="20" t="s">
        <v>1618</v>
      </c>
      <c r="I127" s="20"/>
      <c r="J127" s="20">
        <v>71</v>
      </c>
      <c r="K127" s="20">
        <v>1</v>
      </c>
      <c r="L127" s="20" t="s">
        <v>13</v>
      </c>
      <c r="M127" s="20"/>
      <c r="N127" s="20"/>
      <c r="O127" s="20">
        <v>12</v>
      </c>
      <c r="P127" s="20" t="s">
        <v>24</v>
      </c>
      <c r="Q127" s="20" t="s">
        <v>676</v>
      </c>
      <c r="R127" s="20" t="str">
        <f t="shared" si="6"/>
        <v>TAPER 1100ML PASTEL-AZUL PASTEL</v>
      </c>
      <c r="S127" s="19">
        <v>2</v>
      </c>
      <c r="T127" s="19">
        <v>68</v>
      </c>
      <c r="U127" s="19">
        <v>120</v>
      </c>
      <c r="V127" s="19"/>
      <c r="W127" s="19"/>
      <c r="X127" s="19"/>
      <c r="Y127" s="19"/>
    </row>
    <row r="128" spans="1:25" ht="12" hidden="1" customHeight="1" thickBot="1" x14ac:dyDescent="0.35">
      <c r="A128" s="20">
        <v>1</v>
      </c>
      <c r="B128" s="20" t="s">
        <v>1556</v>
      </c>
      <c r="C128" s="20" t="s">
        <v>1616</v>
      </c>
      <c r="D128" s="18" t="s">
        <v>1040</v>
      </c>
      <c r="E128" s="20">
        <v>226</v>
      </c>
      <c r="F128" s="20" t="s">
        <v>200</v>
      </c>
      <c r="G128" s="20" t="s">
        <v>1617</v>
      </c>
      <c r="H128" s="20" t="s">
        <v>1618</v>
      </c>
      <c r="I128" s="20"/>
      <c r="J128" s="20">
        <v>71</v>
      </c>
      <c r="K128" s="20">
        <v>1</v>
      </c>
      <c r="L128" s="20" t="s">
        <v>13</v>
      </c>
      <c r="M128" s="20"/>
      <c r="N128" s="20"/>
      <c r="O128" s="20">
        <v>16</v>
      </c>
      <c r="P128" s="20" t="s">
        <v>1212</v>
      </c>
      <c r="Q128" s="20" t="s">
        <v>677</v>
      </c>
      <c r="R128" s="20" t="str">
        <f t="shared" si="6"/>
        <v>TAPER 1100ML PASTEL-LILA BEBE</v>
      </c>
      <c r="S128" s="19">
        <v>2</v>
      </c>
      <c r="T128" s="19">
        <v>68</v>
      </c>
      <c r="U128" s="19">
        <v>120</v>
      </c>
      <c r="V128" s="19"/>
      <c r="W128" s="19"/>
      <c r="X128" s="19"/>
      <c r="Y128" s="19"/>
    </row>
    <row r="129" spans="1:25" ht="12" hidden="1" customHeight="1" thickBot="1" x14ac:dyDescent="0.35">
      <c r="A129" s="20">
        <v>1</v>
      </c>
      <c r="B129" s="20" t="s">
        <v>1556</v>
      </c>
      <c r="C129" s="20" t="s">
        <v>1616</v>
      </c>
      <c r="D129" s="18" t="s">
        <v>1040</v>
      </c>
      <c r="E129" s="20">
        <v>227</v>
      </c>
      <c r="F129" s="20" t="s">
        <v>201</v>
      </c>
      <c r="G129" s="20" t="s">
        <v>1617</v>
      </c>
      <c r="H129" s="20" t="s">
        <v>1618</v>
      </c>
      <c r="I129" s="20"/>
      <c r="J129" s="20">
        <v>71</v>
      </c>
      <c r="K129" s="20">
        <v>1</v>
      </c>
      <c r="L129" s="20" t="s">
        <v>13</v>
      </c>
      <c r="M129" s="20"/>
      <c r="N129" s="20"/>
      <c r="O129" s="20">
        <v>17</v>
      </c>
      <c r="P129" s="20" t="s">
        <v>1214</v>
      </c>
      <c r="Q129" s="20" t="s">
        <v>678</v>
      </c>
      <c r="R129" s="20" t="str">
        <f t="shared" si="6"/>
        <v>TAPER 1100ML PASTEL-MELON PASTEL</v>
      </c>
      <c r="S129" s="19">
        <v>2</v>
      </c>
      <c r="T129" s="19">
        <v>68</v>
      </c>
      <c r="U129" s="19">
        <v>120</v>
      </c>
      <c r="V129" s="19"/>
      <c r="W129" s="19"/>
      <c r="X129" s="19"/>
      <c r="Y129" s="19"/>
    </row>
    <row r="130" spans="1:25" ht="12" hidden="1" customHeight="1" thickBot="1" x14ac:dyDescent="0.35">
      <c r="A130" s="20">
        <v>1</v>
      </c>
      <c r="B130" s="20" t="s">
        <v>1556</v>
      </c>
      <c r="C130" s="20" t="s">
        <v>1616</v>
      </c>
      <c r="D130" s="18" t="s">
        <v>1040</v>
      </c>
      <c r="E130" s="20">
        <v>228</v>
      </c>
      <c r="F130" s="20" t="s">
        <v>202</v>
      </c>
      <c r="G130" s="20" t="s">
        <v>1617</v>
      </c>
      <c r="H130" s="20" t="s">
        <v>1618</v>
      </c>
      <c r="I130" s="20"/>
      <c r="J130" s="20">
        <v>71</v>
      </c>
      <c r="K130" s="20">
        <v>1</v>
      </c>
      <c r="L130" s="20" t="s">
        <v>13</v>
      </c>
      <c r="M130" s="20"/>
      <c r="N130" s="20"/>
      <c r="O130" s="20">
        <v>20</v>
      </c>
      <c r="P130" s="20" t="s">
        <v>1217</v>
      </c>
      <c r="Q130" s="20" t="s">
        <v>679</v>
      </c>
      <c r="R130" s="20" t="str">
        <f t="shared" si="6"/>
        <v>TAPER 1100ML PASTEL-ROSADO BEBE</v>
      </c>
      <c r="S130" s="19">
        <v>2</v>
      </c>
      <c r="T130" s="19">
        <v>68</v>
      </c>
      <c r="U130" s="19">
        <v>120</v>
      </c>
      <c r="V130" s="19"/>
      <c r="W130" s="19"/>
      <c r="X130" s="19"/>
      <c r="Y130" s="19"/>
    </row>
    <row r="131" spans="1:25" ht="12" hidden="1" customHeight="1" thickBot="1" x14ac:dyDescent="0.35">
      <c r="A131" s="20">
        <v>1</v>
      </c>
      <c r="B131" s="20" t="s">
        <v>1556</v>
      </c>
      <c r="C131" s="20" t="s">
        <v>1616</v>
      </c>
      <c r="D131" s="18" t="s">
        <v>1040</v>
      </c>
      <c r="E131" s="20">
        <v>229</v>
      </c>
      <c r="F131" s="20" t="s">
        <v>2223</v>
      </c>
      <c r="G131" s="20" t="s">
        <v>1617</v>
      </c>
      <c r="H131" s="20" t="s">
        <v>1618</v>
      </c>
      <c r="I131" s="20"/>
      <c r="J131" s="20">
        <v>71</v>
      </c>
      <c r="K131" s="20">
        <v>1</v>
      </c>
      <c r="L131" s="20" t="s">
        <v>13</v>
      </c>
      <c r="M131" s="20"/>
      <c r="N131" s="20"/>
      <c r="O131" s="20">
        <v>22</v>
      </c>
      <c r="P131" s="20" t="s">
        <v>1614</v>
      </c>
      <c r="Q131" s="20" t="s">
        <v>680</v>
      </c>
      <c r="R131" s="20" t="str">
        <f t="shared" ref="R131:R194" si="9">F131</f>
        <v>TAPER 1100ML PASTEL-TURQUESA PASTEL</v>
      </c>
      <c r="S131" s="19">
        <v>2</v>
      </c>
      <c r="T131" s="19">
        <v>68</v>
      </c>
      <c r="U131" s="19">
        <v>120</v>
      </c>
      <c r="V131" s="19"/>
      <c r="W131" s="19"/>
      <c r="X131" s="19"/>
      <c r="Y131" s="19"/>
    </row>
    <row r="132" spans="1:25" ht="12" hidden="1" customHeight="1" thickBot="1" x14ac:dyDescent="0.35">
      <c r="A132" s="20">
        <v>1</v>
      </c>
      <c r="B132" s="20" t="s">
        <v>1556</v>
      </c>
      <c r="C132" s="20" t="s">
        <v>1616</v>
      </c>
      <c r="D132" s="20" t="s">
        <v>1619</v>
      </c>
      <c r="E132" s="20">
        <v>230</v>
      </c>
      <c r="F132" s="20" t="s">
        <v>203</v>
      </c>
      <c r="G132" s="20" t="s">
        <v>1287</v>
      </c>
      <c r="H132" s="20" t="s">
        <v>1288</v>
      </c>
      <c r="I132" s="20"/>
      <c r="J132" s="20">
        <v>71</v>
      </c>
      <c r="K132" s="20">
        <v>1</v>
      </c>
      <c r="L132" s="20" t="s">
        <v>13</v>
      </c>
      <c r="M132" s="20"/>
      <c r="N132" s="20"/>
      <c r="O132" s="20">
        <v>10</v>
      </c>
      <c r="P132" s="20" t="s">
        <v>26</v>
      </c>
      <c r="Q132" s="20" t="s">
        <v>681</v>
      </c>
      <c r="R132" s="20" t="str">
        <f t="shared" si="9"/>
        <v>TAPER 1100ML SOLIDO-AMARILLO PATO</v>
      </c>
      <c r="S132" s="19">
        <v>2</v>
      </c>
      <c r="T132" s="19">
        <v>68</v>
      </c>
      <c r="U132" s="19">
        <v>120</v>
      </c>
      <c r="V132" s="19"/>
      <c r="W132" s="19"/>
      <c r="X132" s="19"/>
      <c r="Y132" s="19"/>
    </row>
    <row r="133" spans="1:25" ht="12" hidden="1" customHeight="1" thickBot="1" x14ac:dyDescent="0.35">
      <c r="A133" s="20">
        <v>1</v>
      </c>
      <c r="B133" s="20" t="s">
        <v>1556</v>
      </c>
      <c r="C133" s="20" t="s">
        <v>1616</v>
      </c>
      <c r="D133" s="20" t="s">
        <v>1619</v>
      </c>
      <c r="E133" s="20">
        <v>231</v>
      </c>
      <c r="F133" s="20" t="s">
        <v>204</v>
      </c>
      <c r="G133" s="20" t="s">
        <v>1287</v>
      </c>
      <c r="H133" s="20" t="s">
        <v>1288</v>
      </c>
      <c r="I133" s="20"/>
      <c r="J133" s="20">
        <v>71</v>
      </c>
      <c r="K133" s="20">
        <v>1</v>
      </c>
      <c r="L133" s="20" t="s">
        <v>13</v>
      </c>
      <c r="M133" s="20"/>
      <c r="N133" s="20"/>
      <c r="O133" s="20">
        <v>11</v>
      </c>
      <c r="P133" s="20" t="s">
        <v>1207</v>
      </c>
      <c r="Q133" s="20" t="s">
        <v>682</v>
      </c>
      <c r="R133" s="20" t="str">
        <f t="shared" si="9"/>
        <v>TAPER 1100ML SOLIDO-ANARANJADO</v>
      </c>
      <c r="S133" s="19">
        <v>2</v>
      </c>
      <c r="T133" s="19">
        <v>68</v>
      </c>
      <c r="U133" s="19">
        <v>120</v>
      </c>
      <c r="V133" s="19"/>
      <c r="W133" s="19"/>
      <c r="X133" s="19"/>
      <c r="Y133" s="19"/>
    </row>
    <row r="134" spans="1:25" ht="12" hidden="1" customHeight="1" thickBot="1" x14ac:dyDescent="0.35">
      <c r="A134" s="20">
        <v>1</v>
      </c>
      <c r="B134" s="20" t="s">
        <v>1556</v>
      </c>
      <c r="C134" s="20" t="s">
        <v>1616</v>
      </c>
      <c r="D134" s="20" t="s">
        <v>1619</v>
      </c>
      <c r="E134" s="20">
        <v>232</v>
      </c>
      <c r="F134" s="20" t="s">
        <v>205</v>
      </c>
      <c r="G134" s="20" t="s">
        <v>1287</v>
      </c>
      <c r="H134" s="20" t="s">
        <v>1288</v>
      </c>
      <c r="I134" s="20"/>
      <c r="J134" s="20">
        <v>71</v>
      </c>
      <c r="K134" s="20">
        <v>1</v>
      </c>
      <c r="L134" s="20" t="s">
        <v>13</v>
      </c>
      <c r="M134" s="20"/>
      <c r="N134" s="20"/>
      <c r="O134" s="20">
        <v>12</v>
      </c>
      <c r="P134" s="20" t="s">
        <v>24</v>
      </c>
      <c r="Q134" s="20" t="s">
        <v>683</v>
      </c>
      <c r="R134" s="20" t="str">
        <f t="shared" si="9"/>
        <v>TAPER 1100ML SOLIDO-AZUL</v>
      </c>
      <c r="S134" s="19">
        <v>2</v>
      </c>
      <c r="T134" s="19">
        <v>68</v>
      </c>
      <c r="U134" s="19">
        <v>120</v>
      </c>
      <c r="V134" s="19"/>
      <c r="W134" s="19"/>
      <c r="X134" s="19"/>
      <c r="Y134" s="19"/>
    </row>
    <row r="135" spans="1:25" ht="12" hidden="1" customHeight="1" thickBot="1" x14ac:dyDescent="0.35">
      <c r="A135" s="20">
        <v>1</v>
      </c>
      <c r="B135" s="20" t="s">
        <v>1556</v>
      </c>
      <c r="C135" s="20" t="s">
        <v>1616</v>
      </c>
      <c r="D135" s="20" t="s">
        <v>1619</v>
      </c>
      <c r="E135" s="20">
        <v>233</v>
      </c>
      <c r="F135" s="20" t="s">
        <v>206</v>
      </c>
      <c r="G135" s="20" t="s">
        <v>1287</v>
      </c>
      <c r="H135" s="20" t="s">
        <v>1288</v>
      </c>
      <c r="I135" s="20"/>
      <c r="J135" s="20">
        <v>71</v>
      </c>
      <c r="K135" s="20">
        <v>1</v>
      </c>
      <c r="L135" s="20" t="s">
        <v>13</v>
      </c>
      <c r="M135" s="20"/>
      <c r="N135" s="20"/>
      <c r="O135" s="20">
        <v>19</v>
      </c>
      <c r="P135" s="20" t="s">
        <v>27</v>
      </c>
      <c r="Q135" s="20" t="s">
        <v>684</v>
      </c>
      <c r="R135" s="20" t="str">
        <f t="shared" si="9"/>
        <v>TAPER 1100ML SOLIDO-ROJO</v>
      </c>
      <c r="S135" s="19">
        <v>2</v>
      </c>
      <c r="T135" s="19">
        <v>68</v>
      </c>
      <c r="U135" s="19">
        <v>120</v>
      </c>
      <c r="V135" s="19"/>
      <c r="W135" s="19"/>
      <c r="X135" s="19"/>
      <c r="Y135" s="19"/>
    </row>
    <row r="136" spans="1:25" ht="12" hidden="1" customHeight="1" thickBot="1" x14ac:dyDescent="0.35">
      <c r="A136" s="20">
        <v>1</v>
      </c>
      <c r="B136" s="20" t="s">
        <v>1556</v>
      </c>
      <c r="C136" s="20" t="s">
        <v>1616</v>
      </c>
      <c r="D136" s="20" t="s">
        <v>1619</v>
      </c>
      <c r="E136" s="20">
        <v>234</v>
      </c>
      <c r="F136" s="20" t="s">
        <v>2224</v>
      </c>
      <c r="G136" s="20" t="s">
        <v>1287</v>
      </c>
      <c r="H136" s="20" t="s">
        <v>1288</v>
      </c>
      <c r="I136" s="20"/>
      <c r="J136" s="20">
        <v>71</v>
      </c>
      <c r="K136" s="20">
        <v>1</v>
      </c>
      <c r="L136" s="20" t="s">
        <v>13</v>
      </c>
      <c r="M136" s="20"/>
      <c r="N136" s="20"/>
      <c r="O136" s="20">
        <v>22</v>
      </c>
      <c r="P136" s="20" t="s">
        <v>1614</v>
      </c>
      <c r="Q136" s="20" t="s">
        <v>685</v>
      </c>
      <c r="R136" s="20" t="str">
        <f t="shared" si="9"/>
        <v>TAPER 1100ML SOLIDO-TURQUESA</v>
      </c>
      <c r="S136" s="19">
        <v>2</v>
      </c>
      <c r="T136" s="19">
        <v>68</v>
      </c>
      <c r="U136" s="19">
        <v>120</v>
      </c>
      <c r="V136" s="19"/>
      <c r="W136" s="19"/>
      <c r="X136" s="19"/>
      <c r="Y136" s="19"/>
    </row>
    <row r="137" spans="1:25" ht="12" hidden="1" customHeight="1" thickBot="1" x14ac:dyDescent="0.35">
      <c r="A137" s="20">
        <v>1</v>
      </c>
      <c r="B137" s="20" t="s">
        <v>1556</v>
      </c>
      <c r="C137" s="20" t="s">
        <v>1616</v>
      </c>
      <c r="D137" s="20" t="s">
        <v>1619</v>
      </c>
      <c r="E137" s="20">
        <v>235</v>
      </c>
      <c r="F137" s="20" t="s">
        <v>207</v>
      </c>
      <c r="G137" s="20" t="s">
        <v>1287</v>
      </c>
      <c r="H137" s="20" t="s">
        <v>1288</v>
      </c>
      <c r="I137" s="20"/>
      <c r="J137" s="20">
        <v>71</v>
      </c>
      <c r="K137" s="20">
        <v>1</v>
      </c>
      <c r="L137" s="20" t="s">
        <v>13</v>
      </c>
      <c r="M137" s="20"/>
      <c r="N137" s="20"/>
      <c r="O137" s="20">
        <v>23</v>
      </c>
      <c r="P137" s="20" t="s">
        <v>1221</v>
      </c>
      <c r="Q137" s="20" t="s">
        <v>686</v>
      </c>
      <c r="R137" s="20" t="str">
        <f t="shared" si="9"/>
        <v>TAPER 1100ML SOLIDO-VERDE TELEFONICO</v>
      </c>
      <c r="S137" s="19">
        <v>2</v>
      </c>
      <c r="T137" s="19">
        <v>68</v>
      </c>
      <c r="U137" s="19">
        <v>120</v>
      </c>
      <c r="V137" s="19"/>
      <c r="W137" s="19"/>
      <c r="X137" s="19"/>
      <c r="Y137" s="19"/>
    </row>
    <row r="138" spans="1:25" ht="12" hidden="1" customHeight="1" thickBot="1" x14ac:dyDescent="0.35">
      <c r="A138" s="20">
        <v>1</v>
      </c>
      <c r="B138" s="20" t="s">
        <v>1556</v>
      </c>
      <c r="C138" s="20" t="s">
        <v>1616</v>
      </c>
      <c r="D138" s="20" t="s">
        <v>1620</v>
      </c>
      <c r="E138" s="20">
        <v>236</v>
      </c>
      <c r="F138" s="20" t="s">
        <v>208</v>
      </c>
      <c r="G138" s="20" t="s">
        <v>1561</v>
      </c>
      <c r="H138" s="20" t="s">
        <v>1218</v>
      </c>
      <c r="I138" s="20"/>
      <c r="J138" s="20">
        <v>71</v>
      </c>
      <c r="K138" s="20">
        <v>1</v>
      </c>
      <c r="L138" s="20" t="s">
        <v>13</v>
      </c>
      <c r="M138" s="20"/>
      <c r="N138" s="20"/>
      <c r="O138" s="20">
        <v>21</v>
      </c>
      <c r="P138" s="20" t="s">
        <v>1218</v>
      </c>
      <c r="Q138" s="20" t="s">
        <v>687</v>
      </c>
      <c r="R138" s="20" t="str">
        <f t="shared" si="9"/>
        <v>TAPER 1100ML TRANSP.-TRANSPARENTE</v>
      </c>
      <c r="S138" s="19">
        <f t="shared" ref="S138:S194" si="10">+I138</f>
        <v>0</v>
      </c>
      <c r="T138" s="19">
        <f t="shared" ref="T138:T194" si="11">+J138</f>
        <v>71</v>
      </c>
      <c r="U138" s="19"/>
      <c r="V138" s="19"/>
      <c r="W138" s="19"/>
      <c r="X138" s="19"/>
      <c r="Y138" s="19"/>
    </row>
    <row r="139" spans="1:25" ht="12" hidden="1" customHeight="1" thickBot="1" x14ac:dyDescent="0.35">
      <c r="A139" s="20">
        <v>1</v>
      </c>
      <c r="B139" s="20" t="s">
        <v>1556</v>
      </c>
      <c r="C139" s="20" t="s">
        <v>1616</v>
      </c>
      <c r="D139" s="20" t="s">
        <v>1979</v>
      </c>
      <c r="E139" s="20">
        <v>237</v>
      </c>
      <c r="F139" s="20" t="s">
        <v>209</v>
      </c>
      <c r="G139" s="20" t="s">
        <v>1603</v>
      </c>
      <c r="H139" s="20" t="s">
        <v>1604</v>
      </c>
      <c r="I139" s="20">
        <v>2</v>
      </c>
      <c r="J139" s="20">
        <v>38</v>
      </c>
      <c r="K139" s="20">
        <v>1</v>
      </c>
      <c r="L139" s="20" t="s">
        <v>13</v>
      </c>
      <c r="M139" s="20"/>
      <c r="N139" s="20"/>
      <c r="O139" s="20">
        <v>10</v>
      </c>
      <c r="P139" s="20" t="s">
        <v>26</v>
      </c>
      <c r="Q139" s="20" t="s">
        <v>688</v>
      </c>
      <c r="R139" s="20" t="str">
        <f t="shared" si="9"/>
        <v>TAPER 550ML CARAMELO-AMARILLO</v>
      </c>
      <c r="S139" s="19">
        <v>2</v>
      </c>
      <c r="T139" s="19">
        <v>38</v>
      </c>
      <c r="U139" s="19">
        <v>160</v>
      </c>
      <c r="V139" s="19"/>
      <c r="W139" s="19"/>
      <c r="X139" s="19"/>
      <c r="Y139" s="19"/>
    </row>
    <row r="140" spans="1:25" ht="12" hidden="1" customHeight="1" thickBot="1" x14ac:dyDescent="0.35">
      <c r="A140" s="20">
        <v>1</v>
      </c>
      <c r="B140" s="20" t="s">
        <v>1556</v>
      </c>
      <c r="C140" s="20" t="s">
        <v>1616</v>
      </c>
      <c r="D140" s="20" t="s">
        <v>1979</v>
      </c>
      <c r="E140" s="20">
        <v>238</v>
      </c>
      <c r="F140" s="20" t="s">
        <v>1253</v>
      </c>
      <c r="G140" s="20" t="s">
        <v>1603</v>
      </c>
      <c r="H140" s="20" t="s">
        <v>1604</v>
      </c>
      <c r="I140" s="20">
        <v>2</v>
      </c>
      <c r="J140" s="20">
        <v>38</v>
      </c>
      <c r="K140" s="20">
        <v>1</v>
      </c>
      <c r="L140" s="20" t="s">
        <v>13</v>
      </c>
      <c r="M140" s="20"/>
      <c r="N140" s="20"/>
      <c r="O140" s="20">
        <v>11</v>
      </c>
      <c r="P140" s="20" t="s">
        <v>27</v>
      </c>
      <c r="Q140" s="20" t="s">
        <v>689</v>
      </c>
      <c r="R140" s="20" t="str">
        <f t="shared" si="9"/>
        <v>TAPER 550ML CARAMELO-ROJO</v>
      </c>
      <c r="S140" s="19">
        <v>2</v>
      </c>
      <c r="T140" s="19">
        <v>38</v>
      </c>
      <c r="U140" s="19">
        <v>160</v>
      </c>
      <c r="V140" s="19"/>
      <c r="W140" s="19"/>
      <c r="X140" s="19"/>
      <c r="Y140" s="19"/>
    </row>
    <row r="141" spans="1:25" ht="12" hidden="1" customHeight="1" thickBot="1" x14ac:dyDescent="0.35">
      <c r="A141" s="20">
        <v>1</v>
      </c>
      <c r="B141" s="20" t="s">
        <v>1556</v>
      </c>
      <c r="C141" s="20" t="s">
        <v>1616</v>
      </c>
      <c r="D141" s="20" t="s">
        <v>1979</v>
      </c>
      <c r="E141" s="20">
        <v>239</v>
      </c>
      <c r="F141" s="20" t="s">
        <v>210</v>
      </c>
      <c r="G141" s="20" t="s">
        <v>1603</v>
      </c>
      <c r="H141" s="20" t="s">
        <v>1604</v>
      </c>
      <c r="I141" s="20">
        <v>2</v>
      </c>
      <c r="J141" s="20">
        <v>38</v>
      </c>
      <c r="K141" s="20">
        <v>1</v>
      </c>
      <c r="L141" s="20" t="s">
        <v>13</v>
      </c>
      <c r="M141" s="20"/>
      <c r="N141" s="20"/>
      <c r="O141" s="20">
        <v>12</v>
      </c>
      <c r="P141" s="20" t="s">
        <v>24</v>
      </c>
      <c r="Q141" s="20" t="s">
        <v>690</v>
      </c>
      <c r="R141" s="20" t="str">
        <f t="shared" si="9"/>
        <v>TAPER 550ML CARAMELO-AZUL</v>
      </c>
      <c r="S141" s="19">
        <v>2</v>
      </c>
      <c r="T141" s="19">
        <v>38</v>
      </c>
      <c r="U141" s="19">
        <v>160</v>
      </c>
      <c r="V141" s="19"/>
      <c r="W141" s="19"/>
      <c r="X141" s="19"/>
      <c r="Y141" s="19"/>
    </row>
    <row r="142" spans="1:25" ht="12" hidden="1" customHeight="1" thickBot="1" x14ac:dyDescent="0.35">
      <c r="A142" s="20">
        <v>1</v>
      </c>
      <c r="B142" s="20" t="s">
        <v>1556</v>
      </c>
      <c r="C142" s="20" t="s">
        <v>1616</v>
      </c>
      <c r="D142" s="20" t="s">
        <v>1979</v>
      </c>
      <c r="E142" s="20">
        <v>240</v>
      </c>
      <c r="F142" s="20" t="s">
        <v>211</v>
      </c>
      <c r="G142" s="20" t="s">
        <v>1603</v>
      </c>
      <c r="H142" s="20" t="s">
        <v>1604</v>
      </c>
      <c r="I142" s="20">
        <v>2</v>
      </c>
      <c r="J142" s="20">
        <v>38</v>
      </c>
      <c r="K142" s="20">
        <v>1</v>
      </c>
      <c r="L142" s="20" t="s">
        <v>13</v>
      </c>
      <c r="M142" s="20"/>
      <c r="N142" s="20"/>
      <c r="O142" s="20">
        <v>15</v>
      </c>
      <c r="P142" s="20" t="s">
        <v>1211</v>
      </c>
      <c r="Q142" s="20" t="s">
        <v>691</v>
      </c>
      <c r="R142" s="20" t="str">
        <f t="shared" si="9"/>
        <v>TAPER 550ML CARAMELO-FUCSIA</v>
      </c>
      <c r="S142" s="19">
        <v>2</v>
      </c>
      <c r="T142" s="19">
        <v>38</v>
      </c>
      <c r="U142" s="19">
        <v>160</v>
      </c>
      <c r="V142" s="19"/>
      <c r="W142" s="19"/>
      <c r="X142" s="19"/>
      <c r="Y142" s="19"/>
    </row>
    <row r="143" spans="1:25" ht="12" hidden="1" customHeight="1" thickBot="1" x14ac:dyDescent="0.35">
      <c r="A143" s="20">
        <v>1</v>
      </c>
      <c r="B143" s="20" t="s">
        <v>1556</v>
      </c>
      <c r="C143" s="20" t="s">
        <v>1616</v>
      </c>
      <c r="D143" s="20" t="s">
        <v>1979</v>
      </c>
      <c r="E143" s="20">
        <v>241</v>
      </c>
      <c r="F143" s="20" t="s">
        <v>212</v>
      </c>
      <c r="G143" s="20" t="s">
        <v>1603</v>
      </c>
      <c r="H143" s="20" t="s">
        <v>1604</v>
      </c>
      <c r="I143" s="20">
        <v>2</v>
      </c>
      <c r="J143" s="20">
        <v>38</v>
      </c>
      <c r="K143" s="20">
        <v>1</v>
      </c>
      <c r="L143" s="20" t="s">
        <v>13</v>
      </c>
      <c r="M143" s="20"/>
      <c r="N143" s="20"/>
      <c r="O143" s="20">
        <v>16</v>
      </c>
      <c r="P143" s="20" t="s">
        <v>1212</v>
      </c>
      <c r="Q143" s="20" t="s">
        <v>692</v>
      </c>
      <c r="R143" s="20" t="str">
        <f t="shared" si="9"/>
        <v>TAPER 550ML CARAMELO-LILA</v>
      </c>
      <c r="S143" s="19">
        <v>2</v>
      </c>
      <c r="T143" s="19">
        <v>38</v>
      </c>
      <c r="U143" s="19">
        <v>160</v>
      </c>
      <c r="V143" s="19"/>
      <c r="W143" s="19"/>
      <c r="X143" s="19"/>
      <c r="Y143" s="19"/>
    </row>
    <row r="144" spans="1:25" ht="12" hidden="1" customHeight="1" thickBot="1" x14ac:dyDescent="0.35">
      <c r="A144" s="20">
        <v>1</v>
      </c>
      <c r="B144" s="20" t="s">
        <v>1556</v>
      </c>
      <c r="C144" s="20" t="s">
        <v>1616</v>
      </c>
      <c r="D144" s="20" t="s">
        <v>1979</v>
      </c>
      <c r="E144" s="20">
        <v>242</v>
      </c>
      <c r="F144" s="20" t="s">
        <v>213</v>
      </c>
      <c r="G144" s="20" t="s">
        <v>1603</v>
      </c>
      <c r="H144" s="20" t="s">
        <v>1604</v>
      </c>
      <c r="I144" s="20">
        <v>2</v>
      </c>
      <c r="J144" s="20">
        <v>38</v>
      </c>
      <c r="K144" s="20">
        <v>1</v>
      </c>
      <c r="L144" s="20" t="s">
        <v>13</v>
      </c>
      <c r="M144" s="20"/>
      <c r="N144" s="20"/>
      <c r="O144" s="20">
        <v>23</v>
      </c>
      <c r="P144" s="20" t="s">
        <v>1221</v>
      </c>
      <c r="Q144" s="20" t="s">
        <v>693</v>
      </c>
      <c r="R144" s="20" t="str">
        <f t="shared" si="9"/>
        <v>TAPER 550ML CARAMELO-VERDE</v>
      </c>
      <c r="S144" s="19">
        <v>2</v>
      </c>
      <c r="T144" s="19">
        <v>38</v>
      </c>
      <c r="U144" s="19">
        <v>160</v>
      </c>
      <c r="V144" s="19"/>
      <c r="W144" s="19"/>
      <c r="X144" s="19"/>
      <c r="Y144" s="19"/>
    </row>
    <row r="145" spans="1:25" ht="12" hidden="1" customHeight="1" thickBot="1" x14ac:dyDescent="0.35">
      <c r="A145" s="20">
        <v>1</v>
      </c>
      <c r="B145" s="20" t="s">
        <v>1556</v>
      </c>
      <c r="C145" s="20" t="s">
        <v>1616</v>
      </c>
      <c r="D145" s="20" t="s">
        <v>1992</v>
      </c>
      <c r="E145" s="20">
        <v>243</v>
      </c>
      <c r="F145" s="20" t="s">
        <v>1988</v>
      </c>
      <c r="G145" s="20" t="s">
        <v>1617</v>
      </c>
      <c r="H145" s="20" t="s">
        <v>1618</v>
      </c>
      <c r="I145" s="20">
        <v>2</v>
      </c>
      <c r="J145" s="20">
        <v>38</v>
      </c>
      <c r="K145" s="20">
        <v>1</v>
      </c>
      <c r="L145" s="20" t="s">
        <v>13</v>
      </c>
      <c r="M145" s="20"/>
      <c r="N145" s="20"/>
      <c r="O145" s="20">
        <v>10</v>
      </c>
      <c r="P145" s="20" t="s">
        <v>26</v>
      </c>
      <c r="Q145" s="20" t="s">
        <v>694</v>
      </c>
      <c r="R145" s="20" t="str">
        <f t="shared" si="9"/>
        <v>TAPER 550ML PASTEL-CREMA</v>
      </c>
      <c r="S145" s="19">
        <v>2</v>
      </c>
      <c r="T145" s="19">
        <v>38</v>
      </c>
      <c r="U145" s="19">
        <v>160</v>
      </c>
      <c r="V145" s="19"/>
      <c r="W145" s="19"/>
      <c r="X145" s="19"/>
      <c r="Y145" s="19"/>
    </row>
    <row r="146" spans="1:25" ht="12" hidden="1" customHeight="1" thickBot="1" x14ac:dyDescent="0.35">
      <c r="A146" s="20">
        <v>1</v>
      </c>
      <c r="B146" s="20" t="s">
        <v>1556</v>
      </c>
      <c r="C146" s="20" t="s">
        <v>1616</v>
      </c>
      <c r="D146" s="20" t="s">
        <v>1992</v>
      </c>
      <c r="E146" s="20">
        <v>244</v>
      </c>
      <c r="F146" s="20" t="s">
        <v>1993</v>
      </c>
      <c r="G146" s="20" t="s">
        <v>1617</v>
      </c>
      <c r="H146" s="20" t="s">
        <v>1618</v>
      </c>
      <c r="I146" s="20">
        <v>2</v>
      </c>
      <c r="J146" s="20">
        <v>38</v>
      </c>
      <c r="K146" s="20">
        <v>1</v>
      </c>
      <c r="L146" s="20" t="s">
        <v>13</v>
      </c>
      <c r="M146" s="20"/>
      <c r="N146" s="20"/>
      <c r="O146" s="20">
        <v>12</v>
      </c>
      <c r="P146" s="20" t="s">
        <v>24</v>
      </c>
      <c r="Q146" s="20" t="s">
        <v>695</v>
      </c>
      <c r="R146" s="20" t="str">
        <f t="shared" si="9"/>
        <v>TAPER 550ML PASTEL-CELESTE</v>
      </c>
      <c r="S146" s="19">
        <v>2</v>
      </c>
      <c r="T146" s="19">
        <v>38</v>
      </c>
      <c r="U146" s="19">
        <v>160</v>
      </c>
      <c r="V146" s="19"/>
      <c r="W146" s="19"/>
      <c r="X146" s="19"/>
      <c r="Y146" s="19"/>
    </row>
    <row r="147" spans="1:25" ht="12" hidden="1" customHeight="1" thickBot="1" x14ac:dyDescent="0.35">
      <c r="A147" s="20">
        <v>1</v>
      </c>
      <c r="B147" s="20" t="s">
        <v>1556</v>
      </c>
      <c r="C147" s="20" t="s">
        <v>1616</v>
      </c>
      <c r="D147" s="20" t="s">
        <v>1992</v>
      </c>
      <c r="E147" s="20">
        <v>245</v>
      </c>
      <c r="F147" s="20" t="s">
        <v>1989</v>
      </c>
      <c r="G147" s="20" t="s">
        <v>1617</v>
      </c>
      <c r="H147" s="20" t="s">
        <v>1618</v>
      </c>
      <c r="I147" s="20">
        <v>2</v>
      </c>
      <c r="J147" s="20">
        <v>38</v>
      </c>
      <c r="K147" s="20">
        <v>1</v>
      </c>
      <c r="L147" s="20" t="s">
        <v>13</v>
      </c>
      <c r="M147" s="20"/>
      <c r="N147" s="20"/>
      <c r="O147" s="20">
        <v>16</v>
      </c>
      <c r="P147" s="20" t="s">
        <v>1212</v>
      </c>
      <c r="Q147" s="20" t="s">
        <v>696</v>
      </c>
      <c r="R147" s="20" t="str">
        <f t="shared" si="9"/>
        <v>TAPER 550ML PASTEL-LILA</v>
      </c>
      <c r="S147" s="19">
        <v>2</v>
      </c>
      <c r="T147" s="19">
        <v>38</v>
      </c>
      <c r="U147" s="19">
        <v>160</v>
      </c>
      <c r="V147" s="19"/>
      <c r="W147" s="19"/>
      <c r="X147" s="19"/>
      <c r="Y147" s="19"/>
    </row>
    <row r="148" spans="1:25" ht="12" hidden="1" customHeight="1" thickBot="1" x14ac:dyDescent="0.35">
      <c r="A148" s="20">
        <v>1</v>
      </c>
      <c r="B148" s="20" t="s">
        <v>1556</v>
      </c>
      <c r="C148" s="20" t="s">
        <v>1616</v>
      </c>
      <c r="D148" s="20" t="s">
        <v>1992</v>
      </c>
      <c r="E148" s="20">
        <v>246</v>
      </c>
      <c r="F148" s="20" t="s">
        <v>1990</v>
      </c>
      <c r="G148" s="20" t="s">
        <v>1617</v>
      </c>
      <c r="H148" s="20" t="s">
        <v>1618</v>
      </c>
      <c r="I148" s="20">
        <v>2</v>
      </c>
      <c r="J148" s="20">
        <v>38</v>
      </c>
      <c r="K148" s="20">
        <v>1</v>
      </c>
      <c r="L148" s="20" t="s">
        <v>13</v>
      </c>
      <c r="M148" s="20"/>
      <c r="N148" s="20"/>
      <c r="O148" s="20">
        <v>17</v>
      </c>
      <c r="P148" s="20" t="s">
        <v>1214</v>
      </c>
      <c r="Q148" s="20" t="s">
        <v>697</v>
      </c>
      <c r="R148" s="20" t="str">
        <f t="shared" si="9"/>
        <v>TAPER 550ML PASTEL-MELON</v>
      </c>
      <c r="S148" s="19">
        <v>2</v>
      </c>
      <c r="T148" s="19">
        <v>38</v>
      </c>
      <c r="U148" s="19">
        <v>160</v>
      </c>
      <c r="V148" s="19"/>
      <c r="W148" s="19"/>
      <c r="X148" s="19"/>
      <c r="Y148" s="19"/>
    </row>
    <row r="149" spans="1:25" ht="12" hidden="1" customHeight="1" thickBot="1" x14ac:dyDescent="0.35">
      <c r="A149" s="20">
        <v>1</v>
      </c>
      <c r="B149" s="20" t="s">
        <v>1556</v>
      </c>
      <c r="C149" s="20" t="s">
        <v>1616</v>
      </c>
      <c r="D149" s="20" t="s">
        <v>1992</v>
      </c>
      <c r="E149" s="20">
        <v>247</v>
      </c>
      <c r="F149" s="20" t="s">
        <v>2105</v>
      </c>
      <c r="G149" s="20" t="s">
        <v>1617</v>
      </c>
      <c r="H149" s="20" t="s">
        <v>1618</v>
      </c>
      <c r="I149" s="20">
        <v>2</v>
      </c>
      <c r="J149" s="20">
        <v>38</v>
      </c>
      <c r="K149" s="20">
        <v>1</v>
      </c>
      <c r="L149" s="20" t="s">
        <v>13</v>
      </c>
      <c r="M149" s="20"/>
      <c r="N149" s="20"/>
      <c r="O149" s="20">
        <v>20</v>
      </c>
      <c r="P149" s="20" t="s">
        <v>1217</v>
      </c>
      <c r="Q149" s="20" t="s">
        <v>698</v>
      </c>
      <c r="R149" s="20" t="str">
        <f t="shared" si="9"/>
        <v>TAPER 550ML PASTEL-ROSADO</v>
      </c>
      <c r="S149" s="19">
        <v>2</v>
      </c>
      <c r="T149" s="19">
        <v>38</v>
      </c>
      <c r="U149" s="19">
        <v>160</v>
      </c>
      <c r="V149" s="19"/>
      <c r="W149" s="19"/>
      <c r="X149" s="19"/>
      <c r="Y149" s="19"/>
    </row>
    <row r="150" spans="1:25" ht="12" hidden="1" customHeight="1" thickBot="1" x14ac:dyDescent="0.35">
      <c r="A150" s="20">
        <v>1</v>
      </c>
      <c r="B150" s="20" t="s">
        <v>1556</v>
      </c>
      <c r="C150" s="20" t="s">
        <v>1616</v>
      </c>
      <c r="D150" s="20" t="s">
        <v>1992</v>
      </c>
      <c r="E150" s="20">
        <v>248</v>
      </c>
      <c r="F150" s="20" t="s">
        <v>1991</v>
      </c>
      <c r="G150" s="20" t="s">
        <v>1617</v>
      </c>
      <c r="H150" s="20" t="s">
        <v>1618</v>
      </c>
      <c r="I150" s="20">
        <v>2</v>
      </c>
      <c r="J150" s="20">
        <v>38</v>
      </c>
      <c r="K150" s="20">
        <v>1</v>
      </c>
      <c r="L150" s="20" t="s">
        <v>13</v>
      </c>
      <c r="M150" s="20"/>
      <c r="N150" s="20"/>
      <c r="O150" s="20">
        <v>22</v>
      </c>
      <c r="P150" s="20" t="s">
        <v>1614</v>
      </c>
      <c r="Q150" s="20" t="s">
        <v>699</v>
      </c>
      <c r="R150" s="20" t="str">
        <f t="shared" si="9"/>
        <v>TAPER 550ML PASTEL-TURQUESA</v>
      </c>
      <c r="S150" s="19">
        <v>2</v>
      </c>
      <c r="T150" s="19">
        <v>38</v>
      </c>
      <c r="U150" s="19">
        <v>160</v>
      </c>
      <c r="V150" s="19"/>
      <c r="W150" s="19"/>
      <c r="X150" s="19"/>
      <c r="Y150" s="19"/>
    </row>
    <row r="151" spans="1:25" ht="12" hidden="1" customHeight="1" thickBot="1" x14ac:dyDescent="0.35">
      <c r="A151" s="20">
        <v>1</v>
      </c>
      <c r="B151" s="20" t="s">
        <v>1556</v>
      </c>
      <c r="C151" s="20" t="s">
        <v>1616</v>
      </c>
      <c r="D151" s="20" t="s">
        <v>1998</v>
      </c>
      <c r="E151" s="20">
        <v>249</v>
      </c>
      <c r="F151" s="20" t="s">
        <v>1994</v>
      </c>
      <c r="G151" s="20" t="s">
        <v>1287</v>
      </c>
      <c r="H151" s="20" t="s">
        <v>1288</v>
      </c>
      <c r="I151" s="20"/>
      <c r="J151" s="20">
        <v>34</v>
      </c>
      <c r="K151" s="20">
        <v>1</v>
      </c>
      <c r="L151" s="20" t="s">
        <v>13</v>
      </c>
      <c r="M151" s="20"/>
      <c r="N151" s="20"/>
      <c r="O151" s="20">
        <v>10</v>
      </c>
      <c r="P151" s="20" t="s">
        <v>26</v>
      </c>
      <c r="Q151" s="20" t="s">
        <v>700</v>
      </c>
      <c r="R151" s="20" t="str">
        <f t="shared" si="9"/>
        <v>TAPER 550ML SOLIDO-AMARILLO</v>
      </c>
      <c r="S151" s="19">
        <v>2</v>
      </c>
      <c r="T151" s="19">
        <v>38</v>
      </c>
      <c r="U151" s="19">
        <v>160</v>
      </c>
      <c r="V151" s="19"/>
      <c r="W151" s="19"/>
      <c r="X151" s="19"/>
      <c r="Y151" s="19"/>
    </row>
    <row r="152" spans="1:25" ht="12" hidden="1" customHeight="1" thickBot="1" x14ac:dyDescent="0.35">
      <c r="A152" s="20">
        <v>1</v>
      </c>
      <c r="B152" s="20" t="s">
        <v>1556</v>
      </c>
      <c r="C152" s="20" t="s">
        <v>1616</v>
      </c>
      <c r="D152" s="20" t="s">
        <v>1998</v>
      </c>
      <c r="E152" s="20">
        <v>250</v>
      </c>
      <c r="F152" s="20" t="s">
        <v>1995</v>
      </c>
      <c r="G152" s="20" t="s">
        <v>1287</v>
      </c>
      <c r="H152" s="20" t="s">
        <v>1288</v>
      </c>
      <c r="I152" s="20"/>
      <c r="J152" s="20">
        <v>34</v>
      </c>
      <c r="K152" s="20">
        <v>1</v>
      </c>
      <c r="L152" s="20" t="s">
        <v>13</v>
      </c>
      <c r="M152" s="20"/>
      <c r="N152" s="20"/>
      <c r="O152" s="20">
        <v>11</v>
      </c>
      <c r="P152" s="20" t="s">
        <v>1207</v>
      </c>
      <c r="Q152" s="20" t="s">
        <v>701</v>
      </c>
      <c r="R152" s="20" t="str">
        <f t="shared" si="9"/>
        <v>TAPER 550ML SOLIDO-FUCSIA</v>
      </c>
      <c r="S152" s="19">
        <v>2</v>
      </c>
      <c r="T152" s="19">
        <v>38</v>
      </c>
      <c r="U152" s="19">
        <v>160</v>
      </c>
      <c r="V152" s="19"/>
      <c r="W152" s="19"/>
      <c r="X152" s="19"/>
      <c r="Y152" s="19"/>
    </row>
    <row r="153" spans="1:25" ht="12" hidden="1" customHeight="1" thickBot="1" x14ac:dyDescent="0.35">
      <c r="A153" s="20">
        <v>1</v>
      </c>
      <c r="B153" s="20" t="s">
        <v>1556</v>
      </c>
      <c r="C153" s="20" t="s">
        <v>1616</v>
      </c>
      <c r="D153" s="20" t="s">
        <v>1998</v>
      </c>
      <c r="E153" s="20">
        <v>251</v>
      </c>
      <c r="F153" s="20" t="s">
        <v>214</v>
      </c>
      <c r="G153" s="20" t="s">
        <v>1287</v>
      </c>
      <c r="H153" s="20" t="s">
        <v>1288</v>
      </c>
      <c r="I153" s="20"/>
      <c r="J153" s="20">
        <v>34</v>
      </c>
      <c r="K153" s="20">
        <v>1</v>
      </c>
      <c r="L153" s="20" t="s">
        <v>13</v>
      </c>
      <c r="M153" s="20"/>
      <c r="N153" s="20"/>
      <c r="O153" s="20">
        <v>12</v>
      </c>
      <c r="P153" s="20" t="s">
        <v>24</v>
      </c>
      <c r="Q153" s="20" t="s">
        <v>702</v>
      </c>
      <c r="R153" s="20" t="str">
        <f t="shared" si="9"/>
        <v>TAPER 550ML SOLIDO-AZUL</v>
      </c>
      <c r="S153" s="19">
        <v>2</v>
      </c>
      <c r="T153" s="19">
        <v>38</v>
      </c>
      <c r="U153" s="19">
        <v>160</v>
      </c>
      <c r="V153" s="19"/>
      <c r="W153" s="19"/>
      <c r="X153" s="19"/>
      <c r="Y153" s="19"/>
    </row>
    <row r="154" spans="1:25" ht="12" hidden="1" customHeight="1" thickBot="1" x14ac:dyDescent="0.35">
      <c r="A154" s="20">
        <v>1</v>
      </c>
      <c r="B154" s="20" t="s">
        <v>1556</v>
      </c>
      <c r="C154" s="20" t="s">
        <v>1616</v>
      </c>
      <c r="D154" s="20" t="s">
        <v>1998</v>
      </c>
      <c r="E154" s="20">
        <v>252</v>
      </c>
      <c r="F154" s="20" t="s">
        <v>215</v>
      </c>
      <c r="G154" s="20" t="s">
        <v>1287</v>
      </c>
      <c r="H154" s="20" t="s">
        <v>1288</v>
      </c>
      <c r="I154" s="20"/>
      <c r="J154" s="20">
        <v>34</v>
      </c>
      <c r="K154" s="20">
        <v>1</v>
      </c>
      <c r="L154" s="20" t="s">
        <v>13</v>
      </c>
      <c r="M154" s="20"/>
      <c r="N154" s="20"/>
      <c r="O154" s="20">
        <v>19</v>
      </c>
      <c r="P154" s="20" t="s">
        <v>27</v>
      </c>
      <c r="Q154" s="20" t="s">
        <v>703</v>
      </c>
      <c r="R154" s="20" t="str">
        <f t="shared" si="9"/>
        <v>TAPER 550ML SOLIDO-ROJO</v>
      </c>
      <c r="S154" s="19">
        <v>2</v>
      </c>
      <c r="T154" s="19">
        <v>38</v>
      </c>
      <c r="U154" s="19">
        <v>160</v>
      </c>
      <c r="V154" s="19"/>
      <c r="W154" s="19"/>
      <c r="X154" s="19"/>
      <c r="Y154" s="19"/>
    </row>
    <row r="155" spans="1:25" ht="12" hidden="1" customHeight="1" thickBot="1" x14ac:dyDescent="0.35">
      <c r="A155" s="20">
        <v>1</v>
      </c>
      <c r="B155" s="20" t="s">
        <v>1556</v>
      </c>
      <c r="C155" s="20" t="s">
        <v>1616</v>
      </c>
      <c r="D155" s="20" t="s">
        <v>1998</v>
      </c>
      <c r="E155" s="20">
        <v>253</v>
      </c>
      <c r="F155" s="20" t="s">
        <v>1996</v>
      </c>
      <c r="G155" s="20" t="s">
        <v>1287</v>
      </c>
      <c r="H155" s="20" t="s">
        <v>1288</v>
      </c>
      <c r="I155" s="20"/>
      <c r="J155" s="20">
        <v>34</v>
      </c>
      <c r="K155" s="20">
        <v>1</v>
      </c>
      <c r="L155" s="20" t="s">
        <v>13</v>
      </c>
      <c r="M155" s="20"/>
      <c r="N155" s="20"/>
      <c r="O155" s="20">
        <v>22</v>
      </c>
      <c r="P155" s="20" t="s">
        <v>1614</v>
      </c>
      <c r="Q155" s="20" t="s">
        <v>704</v>
      </c>
      <c r="R155" s="20" t="str">
        <f t="shared" si="9"/>
        <v>TAPER 550ML SOLIDO-TURQUESA</v>
      </c>
      <c r="S155" s="19">
        <v>2</v>
      </c>
      <c r="T155" s="19">
        <v>38</v>
      </c>
      <c r="U155" s="19">
        <v>160</v>
      </c>
      <c r="V155" s="19"/>
      <c r="W155" s="19"/>
      <c r="X155" s="19"/>
      <c r="Y155" s="19"/>
    </row>
    <row r="156" spans="1:25" ht="12" hidden="1" customHeight="1" thickBot="1" x14ac:dyDescent="0.35">
      <c r="A156" s="20">
        <v>1</v>
      </c>
      <c r="B156" s="20" t="s">
        <v>1556</v>
      </c>
      <c r="C156" s="20" t="s">
        <v>1616</v>
      </c>
      <c r="D156" s="20" t="s">
        <v>1998</v>
      </c>
      <c r="E156" s="20">
        <v>254</v>
      </c>
      <c r="F156" s="20" t="s">
        <v>1997</v>
      </c>
      <c r="G156" s="20" t="s">
        <v>1287</v>
      </c>
      <c r="H156" s="20" t="s">
        <v>1288</v>
      </c>
      <c r="I156" s="20"/>
      <c r="J156" s="20">
        <v>34</v>
      </c>
      <c r="K156" s="20">
        <v>1</v>
      </c>
      <c r="L156" s="20" t="s">
        <v>13</v>
      </c>
      <c r="M156" s="20"/>
      <c r="N156" s="20"/>
      <c r="O156" s="20">
        <v>23</v>
      </c>
      <c r="P156" s="20" t="s">
        <v>1221</v>
      </c>
      <c r="Q156" s="20" t="s">
        <v>705</v>
      </c>
      <c r="R156" s="20" t="str">
        <f>F156</f>
        <v>TAPER 550ML SOLIDO-VERDE</v>
      </c>
      <c r="S156" s="19">
        <v>2</v>
      </c>
      <c r="T156" s="19">
        <v>38</v>
      </c>
      <c r="U156" s="19">
        <v>160</v>
      </c>
      <c r="V156" s="19"/>
      <c r="W156" s="19"/>
      <c r="X156" s="19"/>
      <c r="Y156" s="19"/>
    </row>
    <row r="157" spans="1:25" ht="12" hidden="1" customHeight="1" thickBot="1" x14ac:dyDescent="0.35">
      <c r="A157" s="20">
        <v>1</v>
      </c>
      <c r="B157" s="20" t="s">
        <v>1556</v>
      </c>
      <c r="C157" s="20" t="s">
        <v>1616</v>
      </c>
      <c r="D157" s="20" t="s">
        <v>1621</v>
      </c>
      <c r="E157" s="20">
        <v>255</v>
      </c>
      <c r="F157" s="20" t="s">
        <v>216</v>
      </c>
      <c r="G157" s="20" t="s">
        <v>1561</v>
      </c>
      <c r="H157" s="20" t="s">
        <v>1218</v>
      </c>
      <c r="I157" s="20"/>
      <c r="J157" s="20">
        <v>34</v>
      </c>
      <c r="K157" s="20">
        <v>1</v>
      </c>
      <c r="L157" s="20" t="s">
        <v>13</v>
      </c>
      <c r="M157" s="20"/>
      <c r="N157" s="20"/>
      <c r="O157" s="20">
        <v>21</v>
      </c>
      <c r="P157" s="20" t="s">
        <v>1218</v>
      </c>
      <c r="Q157" s="20" t="s">
        <v>706</v>
      </c>
      <c r="R157" s="20" t="str">
        <f t="shared" si="9"/>
        <v>TAPER 550ML TRANSP.-TRANSPARENTE</v>
      </c>
      <c r="S157" s="19">
        <f t="shared" si="10"/>
        <v>0</v>
      </c>
      <c r="T157" s="19">
        <f t="shared" si="11"/>
        <v>34</v>
      </c>
      <c r="U157" s="19"/>
      <c r="V157" s="19"/>
      <c r="W157" s="19"/>
      <c r="X157" s="19"/>
      <c r="Y157" s="19"/>
    </row>
    <row r="158" spans="1:25" ht="12" hidden="1" customHeight="1" thickBot="1" x14ac:dyDescent="0.35">
      <c r="A158" s="20">
        <v>1</v>
      </c>
      <c r="B158" s="20" t="s">
        <v>1556</v>
      </c>
      <c r="C158" s="20" t="s">
        <v>1616</v>
      </c>
      <c r="D158" s="18" t="s">
        <v>1039</v>
      </c>
      <c r="E158" s="20">
        <v>256</v>
      </c>
      <c r="F158" s="20" t="s">
        <v>217</v>
      </c>
      <c r="G158" s="20" t="s">
        <v>1603</v>
      </c>
      <c r="H158" s="20" t="s">
        <v>1604</v>
      </c>
      <c r="I158" s="20"/>
      <c r="J158" s="20">
        <v>138</v>
      </c>
      <c r="K158" s="20">
        <v>1</v>
      </c>
      <c r="L158" s="20" t="s">
        <v>13</v>
      </c>
      <c r="M158" s="20"/>
      <c r="N158" s="20"/>
      <c r="O158" s="20">
        <v>10</v>
      </c>
      <c r="P158" s="20" t="s">
        <v>26</v>
      </c>
      <c r="Q158" s="20" t="s">
        <v>707</v>
      </c>
      <c r="R158" s="20" t="str">
        <f t="shared" si="9"/>
        <v>TAPER 2800ML CARAMELO-AMARILLO</v>
      </c>
      <c r="S158" s="19">
        <v>1</v>
      </c>
      <c r="T158" s="19">
        <f t="shared" si="11"/>
        <v>138</v>
      </c>
      <c r="U158" s="19">
        <v>120</v>
      </c>
      <c r="V158" s="19"/>
      <c r="W158" s="19"/>
      <c r="X158" s="19"/>
      <c r="Y158" s="19"/>
    </row>
    <row r="159" spans="1:25" ht="12" hidden="1" customHeight="1" thickBot="1" x14ac:dyDescent="0.35">
      <c r="A159" s="20">
        <v>1</v>
      </c>
      <c r="B159" s="20" t="s">
        <v>1556</v>
      </c>
      <c r="C159" s="20" t="s">
        <v>1616</v>
      </c>
      <c r="D159" s="18" t="s">
        <v>1039</v>
      </c>
      <c r="E159" s="20">
        <v>257</v>
      </c>
      <c r="F159" s="20" t="s">
        <v>218</v>
      </c>
      <c r="G159" s="20" t="s">
        <v>1603</v>
      </c>
      <c r="H159" s="20" t="s">
        <v>1604</v>
      </c>
      <c r="I159" s="20"/>
      <c r="J159" s="20">
        <v>138</v>
      </c>
      <c r="K159" s="20">
        <v>1</v>
      </c>
      <c r="L159" s="20" t="s">
        <v>13</v>
      </c>
      <c r="M159" s="20"/>
      <c r="N159" s="20"/>
      <c r="O159" s="20">
        <v>11</v>
      </c>
      <c r="P159" s="20" t="s">
        <v>1207</v>
      </c>
      <c r="Q159" s="20" t="s">
        <v>708</v>
      </c>
      <c r="R159" s="20" t="str">
        <f t="shared" si="9"/>
        <v>TAPER 2800ML CARAMELO-ANARANJADO</v>
      </c>
      <c r="S159" s="19">
        <v>1</v>
      </c>
      <c r="T159" s="19">
        <f t="shared" si="11"/>
        <v>138</v>
      </c>
      <c r="U159" s="19">
        <v>120</v>
      </c>
      <c r="V159" s="19"/>
      <c r="W159" s="19"/>
      <c r="X159" s="19"/>
      <c r="Y159" s="19"/>
    </row>
    <row r="160" spans="1:25" ht="12" hidden="1" customHeight="1" thickBot="1" x14ac:dyDescent="0.35">
      <c r="A160" s="20">
        <v>1</v>
      </c>
      <c r="B160" s="20" t="s">
        <v>1556</v>
      </c>
      <c r="C160" s="20" t="s">
        <v>1616</v>
      </c>
      <c r="D160" s="18" t="s">
        <v>1039</v>
      </c>
      <c r="E160" s="20">
        <v>258</v>
      </c>
      <c r="F160" s="20" t="s">
        <v>219</v>
      </c>
      <c r="G160" s="20" t="s">
        <v>1603</v>
      </c>
      <c r="H160" s="20" t="s">
        <v>1604</v>
      </c>
      <c r="I160" s="20"/>
      <c r="J160" s="20">
        <v>138</v>
      </c>
      <c r="K160" s="20">
        <v>1</v>
      </c>
      <c r="L160" s="20" t="s">
        <v>13</v>
      </c>
      <c r="M160" s="20"/>
      <c r="N160" s="20"/>
      <c r="O160" s="20">
        <v>12</v>
      </c>
      <c r="P160" s="20" t="s">
        <v>24</v>
      </c>
      <c r="Q160" s="20" t="s">
        <v>709</v>
      </c>
      <c r="R160" s="20" t="str">
        <f t="shared" si="9"/>
        <v>TAPER 2800ML CARAMELO-AZUL</v>
      </c>
      <c r="S160" s="19">
        <v>1</v>
      </c>
      <c r="T160" s="19">
        <f t="shared" si="11"/>
        <v>138</v>
      </c>
      <c r="U160" s="19">
        <v>120</v>
      </c>
      <c r="V160" s="19"/>
      <c r="W160" s="19"/>
      <c r="X160" s="19"/>
      <c r="Y160" s="19"/>
    </row>
    <row r="161" spans="1:25" ht="12" hidden="1" customHeight="1" thickBot="1" x14ac:dyDescent="0.35">
      <c r="A161" s="20">
        <v>1</v>
      </c>
      <c r="B161" s="20" t="s">
        <v>1556</v>
      </c>
      <c r="C161" s="20" t="s">
        <v>1616</v>
      </c>
      <c r="D161" s="18" t="s">
        <v>1039</v>
      </c>
      <c r="E161" s="20">
        <v>259</v>
      </c>
      <c r="F161" s="20" t="s">
        <v>220</v>
      </c>
      <c r="G161" s="20" t="s">
        <v>1603</v>
      </c>
      <c r="H161" s="20" t="s">
        <v>1604</v>
      </c>
      <c r="I161" s="20"/>
      <c r="J161" s="20">
        <v>138</v>
      </c>
      <c r="K161" s="20">
        <v>1</v>
      </c>
      <c r="L161" s="20" t="s">
        <v>13</v>
      </c>
      <c r="M161" s="20"/>
      <c r="N161" s="20"/>
      <c r="O161" s="20">
        <v>15</v>
      </c>
      <c r="P161" s="20" t="s">
        <v>1211</v>
      </c>
      <c r="Q161" s="20" t="s">
        <v>710</v>
      </c>
      <c r="R161" s="20" t="str">
        <f t="shared" si="9"/>
        <v>TAPER 2800ML CARAMELO-FUCSIA</v>
      </c>
      <c r="S161" s="19">
        <v>1</v>
      </c>
      <c r="T161" s="19">
        <f>+J161</f>
        <v>138</v>
      </c>
      <c r="U161" s="19">
        <v>120</v>
      </c>
      <c r="V161" s="19"/>
      <c r="W161" s="19"/>
      <c r="X161" s="19"/>
      <c r="Y161" s="19"/>
    </row>
    <row r="162" spans="1:25" ht="12" hidden="1" customHeight="1" thickBot="1" x14ac:dyDescent="0.35">
      <c r="A162" s="20">
        <v>1</v>
      </c>
      <c r="B162" s="20" t="s">
        <v>1556</v>
      </c>
      <c r="C162" s="20" t="s">
        <v>1616</v>
      </c>
      <c r="D162" s="18" t="s">
        <v>1039</v>
      </c>
      <c r="E162" s="20">
        <v>260</v>
      </c>
      <c r="F162" s="20" t="s">
        <v>221</v>
      </c>
      <c r="G162" s="20" t="s">
        <v>1603</v>
      </c>
      <c r="H162" s="20" t="s">
        <v>1604</v>
      </c>
      <c r="I162" s="20"/>
      <c r="J162" s="20">
        <v>138</v>
      </c>
      <c r="K162" s="20">
        <v>1</v>
      </c>
      <c r="L162" s="20" t="s">
        <v>13</v>
      </c>
      <c r="M162" s="20"/>
      <c r="N162" s="20"/>
      <c r="O162" s="20">
        <v>16</v>
      </c>
      <c r="P162" s="20" t="s">
        <v>1212</v>
      </c>
      <c r="Q162" s="20" t="s">
        <v>711</v>
      </c>
      <c r="R162" s="20" t="str">
        <f t="shared" si="9"/>
        <v>TAPER 2800ML CARAMELO-LILA</v>
      </c>
      <c r="S162" s="19">
        <v>1</v>
      </c>
      <c r="T162" s="19">
        <f t="shared" si="11"/>
        <v>138</v>
      </c>
      <c r="U162" s="19">
        <v>120</v>
      </c>
      <c r="V162" s="19"/>
      <c r="W162" s="19"/>
      <c r="X162" s="19"/>
      <c r="Y162" s="19"/>
    </row>
    <row r="163" spans="1:25" ht="12" hidden="1" customHeight="1" thickBot="1" x14ac:dyDescent="0.35">
      <c r="A163" s="20">
        <v>1</v>
      </c>
      <c r="B163" s="20" t="s">
        <v>1556</v>
      </c>
      <c r="C163" s="20" t="s">
        <v>1616</v>
      </c>
      <c r="D163" s="18" t="s">
        <v>1039</v>
      </c>
      <c r="E163" s="20">
        <v>261</v>
      </c>
      <c r="F163" s="20" t="s">
        <v>222</v>
      </c>
      <c r="G163" s="20" t="s">
        <v>1603</v>
      </c>
      <c r="H163" s="20" t="s">
        <v>1604</v>
      </c>
      <c r="I163" s="20"/>
      <c r="J163" s="20">
        <v>138</v>
      </c>
      <c r="K163" s="20">
        <v>1</v>
      </c>
      <c r="L163" s="20" t="s">
        <v>13</v>
      </c>
      <c r="M163" s="20"/>
      <c r="N163" s="20"/>
      <c r="O163" s="20">
        <v>23</v>
      </c>
      <c r="P163" s="20" t="s">
        <v>1221</v>
      </c>
      <c r="Q163" s="20" t="s">
        <v>712</v>
      </c>
      <c r="R163" s="20" t="str">
        <f t="shared" si="9"/>
        <v>TAPER 2800ML CARAMELO-VERDE</v>
      </c>
      <c r="S163" s="19">
        <v>1</v>
      </c>
      <c r="T163" s="19">
        <f t="shared" si="11"/>
        <v>138</v>
      </c>
      <c r="U163" s="19">
        <v>120</v>
      </c>
      <c r="V163" s="19"/>
      <c r="W163" s="19"/>
      <c r="X163" s="19"/>
      <c r="Y163" s="19"/>
    </row>
    <row r="164" spans="1:25" ht="12" hidden="1" customHeight="1" thickBot="1" x14ac:dyDescent="0.35">
      <c r="A164" s="20">
        <v>1</v>
      </c>
      <c r="B164" s="20" t="s">
        <v>1556</v>
      </c>
      <c r="C164" s="20" t="s">
        <v>1616</v>
      </c>
      <c r="D164" s="20" t="s">
        <v>1622</v>
      </c>
      <c r="E164" s="20">
        <v>262</v>
      </c>
      <c r="F164" s="20" t="s">
        <v>223</v>
      </c>
      <c r="G164" s="20" t="s">
        <v>1617</v>
      </c>
      <c r="H164" s="20" t="s">
        <v>1618</v>
      </c>
      <c r="I164" s="20"/>
      <c r="J164" s="20">
        <v>138</v>
      </c>
      <c r="K164" s="20">
        <v>1</v>
      </c>
      <c r="L164" s="20" t="s">
        <v>13</v>
      </c>
      <c r="M164" s="20"/>
      <c r="N164" s="20"/>
      <c r="O164" s="20">
        <v>10</v>
      </c>
      <c r="P164" s="20" t="s">
        <v>26</v>
      </c>
      <c r="Q164" s="20" t="s">
        <v>713</v>
      </c>
      <c r="R164" s="20" t="str">
        <f t="shared" si="9"/>
        <v>TAPER 2800ML PASTEL-AMARILLO PASTEL</v>
      </c>
      <c r="S164" s="19">
        <f t="shared" si="10"/>
        <v>0</v>
      </c>
      <c r="T164" s="19">
        <f t="shared" si="11"/>
        <v>138</v>
      </c>
      <c r="U164" s="19"/>
      <c r="V164" s="19"/>
      <c r="W164" s="19"/>
      <c r="X164" s="19"/>
      <c r="Y164" s="19"/>
    </row>
    <row r="165" spans="1:25" ht="12" hidden="1" customHeight="1" thickBot="1" x14ac:dyDescent="0.35">
      <c r="A165" s="20">
        <v>1</v>
      </c>
      <c r="B165" s="20" t="s">
        <v>1556</v>
      </c>
      <c r="C165" s="20" t="s">
        <v>1616</v>
      </c>
      <c r="D165" s="20" t="s">
        <v>1622</v>
      </c>
      <c r="E165" s="20">
        <v>263</v>
      </c>
      <c r="F165" s="20" t="s">
        <v>224</v>
      </c>
      <c r="G165" s="20" t="s">
        <v>1617</v>
      </c>
      <c r="H165" s="20" t="s">
        <v>1618</v>
      </c>
      <c r="I165" s="20"/>
      <c r="J165" s="20">
        <v>138</v>
      </c>
      <c r="K165" s="20">
        <v>1</v>
      </c>
      <c r="L165" s="20" t="s">
        <v>13</v>
      </c>
      <c r="M165" s="20"/>
      <c r="N165" s="20"/>
      <c r="O165" s="20">
        <v>12</v>
      </c>
      <c r="P165" s="20" t="s">
        <v>24</v>
      </c>
      <c r="Q165" s="20" t="s">
        <v>714</v>
      </c>
      <c r="R165" s="20" t="str">
        <f t="shared" si="9"/>
        <v>TAPER 2800ML PASTEL-AZUL PASTEL</v>
      </c>
      <c r="S165" s="19">
        <f t="shared" si="10"/>
        <v>0</v>
      </c>
      <c r="T165" s="19">
        <f t="shared" si="11"/>
        <v>138</v>
      </c>
      <c r="U165" s="19"/>
      <c r="V165" s="19"/>
      <c r="W165" s="19"/>
      <c r="X165" s="19"/>
      <c r="Y165" s="19"/>
    </row>
    <row r="166" spans="1:25" ht="12" hidden="1" customHeight="1" thickBot="1" x14ac:dyDescent="0.35">
      <c r="A166" s="20">
        <v>1</v>
      </c>
      <c r="B166" s="20" t="s">
        <v>1556</v>
      </c>
      <c r="C166" s="20" t="s">
        <v>1616</v>
      </c>
      <c r="D166" s="20" t="s">
        <v>1622</v>
      </c>
      <c r="E166" s="20">
        <v>264</v>
      </c>
      <c r="F166" s="20" t="s">
        <v>225</v>
      </c>
      <c r="G166" s="20" t="s">
        <v>1617</v>
      </c>
      <c r="H166" s="20" t="s">
        <v>1618</v>
      </c>
      <c r="I166" s="20"/>
      <c r="J166" s="20">
        <v>138</v>
      </c>
      <c r="K166" s="20">
        <v>1</v>
      </c>
      <c r="L166" s="20" t="s">
        <v>13</v>
      </c>
      <c r="M166" s="20"/>
      <c r="N166" s="20"/>
      <c r="O166" s="20">
        <v>16</v>
      </c>
      <c r="P166" s="20" t="s">
        <v>1212</v>
      </c>
      <c r="Q166" s="20" t="s">
        <v>715</v>
      </c>
      <c r="R166" s="20" t="str">
        <f t="shared" si="9"/>
        <v>TAPER 2800ML PASTEL-LILA BEBE</v>
      </c>
      <c r="S166" s="19">
        <f t="shared" si="10"/>
        <v>0</v>
      </c>
      <c r="T166" s="19">
        <f t="shared" si="11"/>
        <v>138</v>
      </c>
      <c r="U166" s="19"/>
      <c r="V166" s="19"/>
      <c r="W166" s="19"/>
      <c r="X166" s="19"/>
      <c r="Y166" s="19"/>
    </row>
    <row r="167" spans="1:25" ht="12" hidden="1" customHeight="1" thickBot="1" x14ac:dyDescent="0.35">
      <c r="A167" s="20">
        <v>1</v>
      </c>
      <c r="B167" s="20" t="s">
        <v>1556</v>
      </c>
      <c r="C167" s="20" t="s">
        <v>1616</v>
      </c>
      <c r="D167" s="20" t="s">
        <v>1622</v>
      </c>
      <c r="E167" s="20">
        <v>265</v>
      </c>
      <c r="F167" s="20" t="s">
        <v>226</v>
      </c>
      <c r="G167" s="20" t="s">
        <v>1617</v>
      </c>
      <c r="H167" s="20" t="s">
        <v>1618</v>
      </c>
      <c r="I167" s="20"/>
      <c r="J167" s="20">
        <v>138</v>
      </c>
      <c r="K167" s="20">
        <v>1</v>
      </c>
      <c r="L167" s="20" t="s">
        <v>13</v>
      </c>
      <c r="M167" s="20"/>
      <c r="N167" s="20"/>
      <c r="O167" s="20">
        <v>17</v>
      </c>
      <c r="P167" s="20" t="s">
        <v>1214</v>
      </c>
      <c r="Q167" s="20" t="s">
        <v>716</v>
      </c>
      <c r="R167" s="20" t="str">
        <f t="shared" si="9"/>
        <v>TAPER 2800ML PASTEL-MELON PASTEL</v>
      </c>
      <c r="S167" s="19">
        <f t="shared" si="10"/>
        <v>0</v>
      </c>
      <c r="T167" s="19">
        <f t="shared" si="11"/>
        <v>138</v>
      </c>
      <c r="U167" s="19"/>
      <c r="V167" s="19"/>
      <c r="W167" s="19"/>
      <c r="X167" s="19"/>
      <c r="Y167" s="19"/>
    </row>
    <row r="168" spans="1:25" ht="12" hidden="1" customHeight="1" thickBot="1" x14ac:dyDescent="0.35">
      <c r="A168" s="20">
        <v>1</v>
      </c>
      <c r="B168" s="20" t="s">
        <v>1556</v>
      </c>
      <c r="C168" s="20" t="s">
        <v>1616</v>
      </c>
      <c r="D168" s="20" t="s">
        <v>1622</v>
      </c>
      <c r="E168" s="20">
        <v>266</v>
      </c>
      <c r="F168" s="20" t="s">
        <v>227</v>
      </c>
      <c r="G168" s="20" t="s">
        <v>1617</v>
      </c>
      <c r="H168" s="20" t="s">
        <v>1618</v>
      </c>
      <c r="I168" s="20"/>
      <c r="J168" s="20">
        <v>138</v>
      </c>
      <c r="K168" s="20">
        <v>1</v>
      </c>
      <c r="L168" s="20" t="s">
        <v>13</v>
      </c>
      <c r="M168" s="20"/>
      <c r="N168" s="20"/>
      <c r="O168" s="20">
        <v>20</v>
      </c>
      <c r="P168" s="20" t="s">
        <v>1217</v>
      </c>
      <c r="Q168" s="20" t="s">
        <v>717</v>
      </c>
      <c r="R168" s="20" t="str">
        <f t="shared" si="9"/>
        <v>TAPER 2800ML PASTEL-ROSADO BEBE</v>
      </c>
      <c r="S168" s="19">
        <f t="shared" si="10"/>
        <v>0</v>
      </c>
      <c r="T168" s="19">
        <f t="shared" si="11"/>
        <v>138</v>
      </c>
      <c r="U168" s="19"/>
      <c r="V168" s="19"/>
      <c r="W168" s="19"/>
      <c r="X168" s="19"/>
      <c r="Y168" s="19"/>
    </row>
    <row r="169" spans="1:25" ht="12" hidden="1" customHeight="1" thickBot="1" x14ac:dyDescent="0.35">
      <c r="A169" s="20">
        <v>1</v>
      </c>
      <c r="B169" s="20" t="s">
        <v>1556</v>
      </c>
      <c r="C169" s="20" t="s">
        <v>1616</v>
      </c>
      <c r="D169" s="20" t="s">
        <v>1622</v>
      </c>
      <c r="E169" s="20">
        <v>267</v>
      </c>
      <c r="F169" s="20" t="s">
        <v>228</v>
      </c>
      <c r="G169" s="20" t="s">
        <v>1617</v>
      </c>
      <c r="H169" s="20" t="s">
        <v>1618</v>
      </c>
      <c r="I169" s="20"/>
      <c r="J169" s="20">
        <v>138</v>
      </c>
      <c r="K169" s="20">
        <v>1</v>
      </c>
      <c r="L169" s="20" t="s">
        <v>13</v>
      </c>
      <c r="M169" s="20"/>
      <c r="N169" s="20"/>
      <c r="O169" s="20">
        <v>22</v>
      </c>
      <c r="P169" s="20" t="s">
        <v>1614</v>
      </c>
      <c r="Q169" s="20" t="s">
        <v>718</v>
      </c>
      <c r="R169" s="20" t="str">
        <f t="shared" si="9"/>
        <v>TAPER 2800ML PASTEL-TURQUEZA PASTEL</v>
      </c>
      <c r="S169" s="19">
        <f t="shared" si="10"/>
        <v>0</v>
      </c>
      <c r="T169" s="19">
        <f t="shared" si="11"/>
        <v>138</v>
      </c>
      <c r="U169" s="19"/>
      <c r="V169" s="19"/>
      <c r="W169" s="19"/>
      <c r="X169" s="19"/>
      <c r="Y169" s="19"/>
    </row>
    <row r="170" spans="1:25" ht="12" hidden="1" customHeight="1" thickBot="1" x14ac:dyDescent="0.35">
      <c r="A170" s="20">
        <v>1</v>
      </c>
      <c r="B170" s="20" t="s">
        <v>1556</v>
      </c>
      <c r="C170" s="20" t="s">
        <v>1616</v>
      </c>
      <c r="D170" s="20" t="s">
        <v>1623</v>
      </c>
      <c r="E170" s="20">
        <v>268</v>
      </c>
      <c r="F170" s="20" t="s">
        <v>229</v>
      </c>
      <c r="G170" s="20" t="s">
        <v>1287</v>
      </c>
      <c r="H170" s="20" t="s">
        <v>1288</v>
      </c>
      <c r="I170" s="20"/>
      <c r="J170" s="20">
        <v>138</v>
      </c>
      <c r="K170" s="20">
        <v>1</v>
      </c>
      <c r="L170" s="20" t="s">
        <v>13</v>
      </c>
      <c r="M170" s="20"/>
      <c r="N170" s="20"/>
      <c r="O170" s="20">
        <v>10</v>
      </c>
      <c r="P170" s="20" t="s">
        <v>26</v>
      </c>
      <c r="Q170" s="20" t="s">
        <v>719</v>
      </c>
      <c r="R170" s="20" t="str">
        <f t="shared" si="9"/>
        <v>TAPER 2800ML SOLIDO-AMARILLO PATO</v>
      </c>
      <c r="S170" s="19">
        <f t="shared" si="10"/>
        <v>0</v>
      </c>
      <c r="T170" s="19">
        <f t="shared" si="11"/>
        <v>138</v>
      </c>
      <c r="U170" s="19"/>
      <c r="V170" s="19"/>
      <c r="W170" s="19"/>
      <c r="X170" s="19"/>
      <c r="Y170" s="19"/>
    </row>
    <row r="171" spans="1:25" ht="12" hidden="1" customHeight="1" thickBot="1" x14ac:dyDescent="0.35">
      <c r="A171" s="20">
        <v>1</v>
      </c>
      <c r="B171" s="20" t="s">
        <v>1556</v>
      </c>
      <c r="C171" s="20" t="s">
        <v>1616</v>
      </c>
      <c r="D171" s="20" t="s">
        <v>1623</v>
      </c>
      <c r="E171" s="20">
        <v>269</v>
      </c>
      <c r="F171" s="20" t="s">
        <v>230</v>
      </c>
      <c r="G171" s="20" t="s">
        <v>1287</v>
      </c>
      <c r="H171" s="20" t="s">
        <v>1288</v>
      </c>
      <c r="I171" s="20"/>
      <c r="J171" s="20">
        <v>138</v>
      </c>
      <c r="K171" s="20">
        <v>1</v>
      </c>
      <c r="L171" s="20" t="s">
        <v>13</v>
      </c>
      <c r="M171" s="20"/>
      <c r="N171" s="20"/>
      <c r="O171" s="20">
        <v>11</v>
      </c>
      <c r="P171" s="20" t="s">
        <v>1207</v>
      </c>
      <c r="Q171" s="20" t="s">
        <v>720</v>
      </c>
      <c r="R171" s="20" t="str">
        <f t="shared" si="9"/>
        <v>TAPER 2800ML SOLIDO-ANARANJADO</v>
      </c>
      <c r="S171" s="19">
        <f t="shared" si="10"/>
        <v>0</v>
      </c>
      <c r="T171" s="19">
        <f t="shared" si="11"/>
        <v>138</v>
      </c>
      <c r="U171" s="19"/>
      <c r="V171" s="19"/>
      <c r="W171" s="19"/>
      <c r="X171" s="19"/>
      <c r="Y171" s="19"/>
    </row>
    <row r="172" spans="1:25" ht="12" hidden="1" customHeight="1" thickBot="1" x14ac:dyDescent="0.35">
      <c r="A172" s="20">
        <v>1</v>
      </c>
      <c r="B172" s="20" t="s">
        <v>1556</v>
      </c>
      <c r="C172" s="20" t="s">
        <v>1616</v>
      </c>
      <c r="D172" s="20" t="s">
        <v>1623</v>
      </c>
      <c r="E172" s="20">
        <v>270</v>
      </c>
      <c r="F172" s="20" t="s">
        <v>231</v>
      </c>
      <c r="G172" s="20" t="s">
        <v>1287</v>
      </c>
      <c r="H172" s="20" t="s">
        <v>1288</v>
      </c>
      <c r="I172" s="20"/>
      <c r="J172" s="20">
        <v>138</v>
      </c>
      <c r="K172" s="20">
        <v>1</v>
      </c>
      <c r="L172" s="20" t="s">
        <v>13</v>
      </c>
      <c r="M172" s="20"/>
      <c r="N172" s="20"/>
      <c r="O172" s="20">
        <v>12</v>
      </c>
      <c r="P172" s="20" t="s">
        <v>24</v>
      </c>
      <c r="Q172" s="20" t="s">
        <v>721</v>
      </c>
      <c r="R172" s="20" t="str">
        <f t="shared" si="9"/>
        <v>TAPER 2800ML SOLIDO-AZUL</v>
      </c>
      <c r="S172" s="19">
        <f t="shared" si="10"/>
        <v>0</v>
      </c>
      <c r="T172" s="19">
        <f t="shared" si="11"/>
        <v>138</v>
      </c>
      <c r="U172" s="19"/>
      <c r="V172" s="19"/>
      <c r="W172" s="19"/>
      <c r="X172" s="19"/>
      <c r="Y172" s="19"/>
    </row>
    <row r="173" spans="1:25" ht="12" hidden="1" customHeight="1" thickBot="1" x14ac:dyDescent="0.35">
      <c r="A173" s="20">
        <v>1</v>
      </c>
      <c r="B173" s="20" t="s">
        <v>1556</v>
      </c>
      <c r="C173" s="20" t="s">
        <v>1616</v>
      </c>
      <c r="D173" s="20" t="s">
        <v>1623</v>
      </c>
      <c r="E173" s="20">
        <v>271</v>
      </c>
      <c r="F173" s="20" t="s">
        <v>232</v>
      </c>
      <c r="G173" s="20" t="s">
        <v>1287</v>
      </c>
      <c r="H173" s="20" t="s">
        <v>1288</v>
      </c>
      <c r="I173" s="20"/>
      <c r="J173" s="20">
        <v>138</v>
      </c>
      <c r="K173" s="20">
        <v>1</v>
      </c>
      <c r="L173" s="20" t="s">
        <v>13</v>
      </c>
      <c r="M173" s="20"/>
      <c r="N173" s="20"/>
      <c r="O173" s="20">
        <v>19</v>
      </c>
      <c r="P173" s="20" t="s">
        <v>27</v>
      </c>
      <c r="Q173" s="20" t="s">
        <v>722</v>
      </c>
      <c r="R173" s="20" t="str">
        <f t="shared" si="9"/>
        <v>TAPER 2800ML SOLIDO-ROJO</v>
      </c>
      <c r="S173" s="19">
        <f t="shared" si="10"/>
        <v>0</v>
      </c>
      <c r="T173" s="19">
        <f t="shared" si="11"/>
        <v>138</v>
      </c>
      <c r="U173" s="19"/>
      <c r="V173" s="19"/>
      <c r="W173" s="19"/>
      <c r="X173" s="19"/>
      <c r="Y173" s="19"/>
    </row>
    <row r="174" spans="1:25" ht="12" hidden="1" customHeight="1" thickBot="1" x14ac:dyDescent="0.35">
      <c r="A174" s="20">
        <v>1</v>
      </c>
      <c r="B174" s="20" t="s">
        <v>1556</v>
      </c>
      <c r="C174" s="20" t="s">
        <v>1616</v>
      </c>
      <c r="D174" s="20" t="s">
        <v>1623</v>
      </c>
      <c r="E174" s="20">
        <v>272</v>
      </c>
      <c r="F174" s="20" t="s">
        <v>233</v>
      </c>
      <c r="G174" s="20" t="s">
        <v>1287</v>
      </c>
      <c r="H174" s="20" t="s">
        <v>1288</v>
      </c>
      <c r="I174" s="20"/>
      <c r="J174" s="20">
        <v>138</v>
      </c>
      <c r="K174" s="20">
        <v>1</v>
      </c>
      <c r="L174" s="20" t="s">
        <v>13</v>
      </c>
      <c r="M174" s="20"/>
      <c r="N174" s="20"/>
      <c r="O174" s="20">
        <v>22</v>
      </c>
      <c r="P174" s="20" t="s">
        <v>1614</v>
      </c>
      <c r="Q174" s="20" t="s">
        <v>723</v>
      </c>
      <c r="R174" s="20" t="str">
        <f t="shared" si="9"/>
        <v>TAPER 2800ML SOLIDO-TURQUEZA</v>
      </c>
      <c r="S174" s="19">
        <f t="shared" si="10"/>
        <v>0</v>
      </c>
      <c r="T174" s="19">
        <f t="shared" si="11"/>
        <v>138</v>
      </c>
      <c r="U174" s="19"/>
      <c r="V174" s="19"/>
      <c r="W174" s="19"/>
      <c r="X174" s="19"/>
      <c r="Y174" s="19"/>
    </row>
    <row r="175" spans="1:25" ht="12" hidden="1" customHeight="1" thickBot="1" x14ac:dyDescent="0.35">
      <c r="A175" s="20">
        <v>1</v>
      </c>
      <c r="B175" s="20" t="s">
        <v>1556</v>
      </c>
      <c r="C175" s="20" t="s">
        <v>1616</v>
      </c>
      <c r="D175" s="20" t="s">
        <v>1623</v>
      </c>
      <c r="E175" s="20">
        <v>273</v>
      </c>
      <c r="F175" s="20" t="s">
        <v>234</v>
      </c>
      <c r="G175" s="20" t="s">
        <v>1287</v>
      </c>
      <c r="H175" s="20" t="s">
        <v>1288</v>
      </c>
      <c r="I175" s="20"/>
      <c r="J175" s="20">
        <v>138</v>
      </c>
      <c r="K175" s="20">
        <v>1</v>
      </c>
      <c r="L175" s="20" t="s">
        <v>13</v>
      </c>
      <c r="M175" s="20"/>
      <c r="N175" s="20"/>
      <c r="O175" s="20">
        <v>23</v>
      </c>
      <c r="P175" s="20" t="s">
        <v>1221</v>
      </c>
      <c r="Q175" s="20" t="s">
        <v>724</v>
      </c>
      <c r="R175" s="20" t="str">
        <f t="shared" si="9"/>
        <v>TAPER 2800ML SOLIDO-VERDE TELEFONICO</v>
      </c>
      <c r="S175" s="19">
        <f t="shared" si="10"/>
        <v>0</v>
      </c>
      <c r="T175" s="19">
        <f t="shared" si="11"/>
        <v>138</v>
      </c>
      <c r="U175" s="19"/>
      <c r="V175" s="19"/>
      <c r="W175" s="19"/>
      <c r="X175" s="19"/>
      <c r="Y175" s="19"/>
    </row>
    <row r="176" spans="1:25" ht="12" hidden="1" customHeight="1" thickBot="1" x14ac:dyDescent="0.35">
      <c r="A176" s="20">
        <v>1</v>
      </c>
      <c r="B176" s="20" t="s">
        <v>1556</v>
      </c>
      <c r="C176" s="20" t="s">
        <v>1616</v>
      </c>
      <c r="D176" s="20" t="s">
        <v>1624</v>
      </c>
      <c r="E176" s="20">
        <v>274</v>
      </c>
      <c r="F176" s="20" t="s">
        <v>235</v>
      </c>
      <c r="G176" s="20" t="s">
        <v>1561</v>
      </c>
      <c r="H176" s="20" t="s">
        <v>1218</v>
      </c>
      <c r="I176" s="20"/>
      <c r="J176" s="20">
        <v>138</v>
      </c>
      <c r="K176" s="20">
        <v>1</v>
      </c>
      <c r="L176" s="20" t="s">
        <v>13</v>
      </c>
      <c r="M176" s="20"/>
      <c r="N176" s="20"/>
      <c r="O176" s="20">
        <v>21</v>
      </c>
      <c r="P176" s="20" t="s">
        <v>1218</v>
      </c>
      <c r="Q176" s="20" t="s">
        <v>725</v>
      </c>
      <c r="R176" s="20" t="str">
        <f t="shared" si="9"/>
        <v>TAPER 2800ML TRANSP.-TRANSPARENTE</v>
      </c>
      <c r="S176" s="19">
        <f t="shared" si="10"/>
        <v>0</v>
      </c>
      <c r="T176" s="19">
        <f t="shared" si="11"/>
        <v>138</v>
      </c>
      <c r="U176" s="19"/>
      <c r="V176" s="19"/>
      <c r="W176" s="19"/>
      <c r="X176" s="19"/>
      <c r="Y176" s="19"/>
    </row>
    <row r="177" spans="1:25" ht="12" hidden="1" customHeight="1" thickBot="1" x14ac:dyDescent="0.35">
      <c r="A177" s="20">
        <v>1</v>
      </c>
      <c r="B177" s="20" t="s">
        <v>1556</v>
      </c>
      <c r="C177" s="20" t="s">
        <v>1625</v>
      </c>
      <c r="D177" s="20" t="s">
        <v>1626</v>
      </c>
      <c r="E177" s="20">
        <v>275</v>
      </c>
      <c r="F177" s="20" t="s">
        <v>236</v>
      </c>
      <c r="G177" s="20" t="s">
        <v>1603</v>
      </c>
      <c r="H177" s="20" t="s">
        <v>1604</v>
      </c>
      <c r="I177" s="20"/>
      <c r="J177" s="20">
        <v>99</v>
      </c>
      <c r="K177" s="20">
        <v>1</v>
      </c>
      <c r="L177" s="20" t="s">
        <v>13</v>
      </c>
      <c r="M177" s="20"/>
      <c r="N177" s="20"/>
      <c r="O177" s="20">
        <v>10</v>
      </c>
      <c r="P177" s="20" t="s">
        <v>26</v>
      </c>
      <c r="Q177" s="20" t="s">
        <v>726</v>
      </c>
      <c r="R177" s="20" t="str">
        <f t="shared" si="9"/>
        <v>TAPA TAZON 3.5KG. CARAMELO-AMARILLO</v>
      </c>
      <c r="S177" s="19">
        <f t="shared" si="10"/>
        <v>0</v>
      </c>
      <c r="T177" s="19">
        <f t="shared" si="11"/>
        <v>99</v>
      </c>
      <c r="U177" s="19"/>
      <c r="V177" s="19"/>
      <c r="W177" s="19"/>
      <c r="X177" s="19"/>
      <c r="Y177" s="19"/>
    </row>
    <row r="178" spans="1:25" ht="12" hidden="1" customHeight="1" thickBot="1" x14ac:dyDescent="0.35">
      <c r="A178" s="20">
        <v>1</v>
      </c>
      <c r="B178" s="20" t="s">
        <v>1556</v>
      </c>
      <c r="C178" s="20" t="s">
        <v>1625</v>
      </c>
      <c r="D178" s="20" t="s">
        <v>1626</v>
      </c>
      <c r="E178" s="20">
        <v>276</v>
      </c>
      <c r="F178" s="20" t="s">
        <v>237</v>
      </c>
      <c r="G178" s="20" t="s">
        <v>1603</v>
      </c>
      <c r="H178" s="20" t="s">
        <v>1604</v>
      </c>
      <c r="I178" s="20"/>
      <c r="J178" s="20">
        <v>99</v>
      </c>
      <c r="K178" s="20">
        <v>1</v>
      </c>
      <c r="L178" s="20" t="s">
        <v>13</v>
      </c>
      <c r="M178" s="20"/>
      <c r="N178" s="20"/>
      <c r="O178" s="20">
        <v>11</v>
      </c>
      <c r="P178" s="20" t="s">
        <v>1207</v>
      </c>
      <c r="Q178" s="20" t="s">
        <v>727</v>
      </c>
      <c r="R178" s="20" t="str">
        <f t="shared" si="9"/>
        <v>TAPA TAZON 3.5KG. CARAMELO-ANARANJADO</v>
      </c>
      <c r="S178" s="19">
        <f t="shared" si="10"/>
        <v>0</v>
      </c>
      <c r="T178" s="19">
        <f t="shared" si="11"/>
        <v>99</v>
      </c>
      <c r="U178" s="19"/>
      <c r="V178" s="19"/>
      <c r="W178" s="19"/>
      <c r="X178" s="19"/>
      <c r="Y178" s="19"/>
    </row>
    <row r="179" spans="1:25" ht="12" hidden="1" customHeight="1" thickBot="1" x14ac:dyDescent="0.35">
      <c r="A179" s="20">
        <v>1</v>
      </c>
      <c r="B179" s="20" t="s">
        <v>1556</v>
      </c>
      <c r="C179" s="20" t="s">
        <v>1625</v>
      </c>
      <c r="D179" s="20" t="s">
        <v>1626</v>
      </c>
      <c r="E179" s="20">
        <v>277</v>
      </c>
      <c r="F179" s="20" t="s">
        <v>238</v>
      </c>
      <c r="G179" s="20" t="s">
        <v>1603</v>
      </c>
      <c r="H179" s="20" t="s">
        <v>1604</v>
      </c>
      <c r="I179" s="20"/>
      <c r="J179" s="20">
        <v>99</v>
      </c>
      <c r="K179" s="20">
        <v>1</v>
      </c>
      <c r="L179" s="20" t="s">
        <v>13</v>
      </c>
      <c r="M179" s="20"/>
      <c r="N179" s="20"/>
      <c r="O179" s="20">
        <v>12</v>
      </c>
      <c r="P179" s="20" t="s">
        <v>24</v>
      </c>
      <c r="Q179" s="20" t="s">
        <v>728</v>
      </c>
      <c r="R179" s="20" t="str">
        <f t="shared" si="9"/>
        <v>TAPA TAZON 3.5KG. CARAMELO-AZUL</v>
      </c>
      <c r="S179" s="19">
        <f t="shared" si="10"/>
        <v>0</v>
      </c>
      <c r="T179" s="19">
        <f t="shared" si="11"/>
        <v>99</v>
      </c>
      <c r="U179" s="19"/>
      <c r="V179" s="19"/>
      <c r="W179" s="19"/>
      <c r="X179" s="19"/>
      <c r="Y179" s="19"/>
    </row>
    <row r="180" spans="1:25" ht="12" hidden="1" customHeight="1" thickBot="1" x14ac:dyDescent="0.35">
      <c r="A180" s="20">
        <v>1</v>
      </c>
      <c r="B180" s="20" t="s">
        <v>1556</v>
      </c>
      <c r="C180" s="20" t="s">
        <v>1625</v>
      </c>
      <c r="D180" s="20" t="s">
        <v>1626</v>
      </c>
      <c r="E180" s="20">
        <v>278</v>
      </c>
      <c r="F180" s="20" t="s">
        <v>239</v>
      </c>
      <c r="G180" s="20" t="s">
        <v>1603</v>
      </c>
      <c r="H180" s="20" t="s">
        <v>1604</v>
      </c>
      <c r="I180" s="20"/>
      <c r="J180" s="20">
        <v>99</v>
      </c>
      <c r="K180" s="20">
        <v>1</v>
      </c>
      <c r="L180" s="20" t="s">
        <v>13</v>
      </c>
      <c r="M180" s="20"/>
      <c r="N180" s="20"/>
      <c r="O180" s="20">
        <v>15</v>
      </c>
      <c r="P180" s="20" t="s">
        <v>1211</v>
      </c>
      <c r="Q180" s="20" t="s">
        <v>729</v>
      </c>
      <c r="R180" s="20" t="str">
        <f t="shared" si="9"/>
        <v>TAPA TAZON 3.5KG. CARAMELO-FUCSIA</v>
      </c>
      <c r="S180" s="19">
        <f t="shared" si="10"/>
        <v>0</v>
      </c>
      <c r="T180" s="19">
        <f t="shared" si="11"/>
        <v>99</v>
      </c>
      <c r="U180" s="19"/>
      <c r="V180" s="19"/>
      <c r="W180" s="19"/>
      <c r="X180" s="19"/>
      <c r="Y180" s="19"/>
    </row>
    <row r="181" spans="1:25" ht="12" hidden="1" customHeight="1" thickBot="1" x14ac:dyDescent="0.35">
      <c r="A181" s="20">
        <v>1</v>
      </c>
      <c r="B181" s="20" t="s">
        <v>1556</v>
      </c>
      <c r="C181" s="20" t="s">
        <v>1625</v>
      </c>
      <c r="D181" s="20" t="s">
        <v>1626</v>
      </c>
      <c r="E181" s="20">
        <v>279</v>
      </c>
      <c r="F181" s="20" t="s">
        <v>240</v>
      </c>
      <c r="G181" s="20" t="s">
        <v>1603</v>
      </c>
      <c r="H181" s="20" t="s">
        <v>1604</v>
      </c>
      <c r="I181" s="20"/>
      <c r="J181" s="20">
        <v>99</v>
      </c>
      <c r="K181" s="20">
        <v>1</v>
      </c>
      <c r="L181" s="20" t="s">
        <v>13</v>
      </c>
      <c r="M181" s="20"/>
      <c r="N181" s="20"/>
      <c r="O181" s="20">
        <v>16</v>
      </c>
      <c r="P181" s="20" t="s">
        <v>1212</v>
      </c>
      <c r="Q181" s="20" t="s">
        <v>730</v>
      </c>
      <c r="R181" s="20" t="str">
        <f t="shared" si="9"/>
        <v>TAPA TAZON 3.5KG. CARAMELO-LILA</v>
      </c>
      <c r="S181" s="19">
        <f t="shared" si="10"/>
        <v>0</v>
      </c>
      <c r="T181" s="19">
        <f t="shared" si="11"/>
        <v>99</v>
      </c>
      <c r="U181" s="19"/>
      <c r="V181" s="19"/>
      <c r="W181" s="19"/>
      <c r="X181" s="19"/>
      <c r="Y181" s="19"/>
    </row>
    <row r="182" spans="1:25" ht="12" hidden="1" customHeight="1" thickBot="1" x14ac:dyDescent="0.35">
      <c r="A182" s="20">
        <v>1</v>
      </c>
      <c r="B182" s="20" t="s">
        <v>1556</v>
      </c>
      <c r="C182" s="20" t="s">
        <v>1625</v>
      </c>
      <c r="D182" s="20" t="s">
        <v>1626</v>
      </c>
      <c r="E182" s="20">
        <v>280</v>
      </c>
      <c r="F182" s="20" t="s">
        <v>241</v>
      </c>
      <c r="G182" s="20" t="s">
        <v>1603</v>
      </c>
      <c r="H182" s="20" t="s">
        <v>1604</v>
      </c>
      <c r="I182" s="20"/>
      <c r="J182" s="20">
        <v>99</v>
      </c>
      <c r="K182" s="20">
        <v>1</v>
      </c>
      <c r="L182" s="20" t="s">
        <v>13</v>
      </c>
      <c r="M182" s="20"/>
      <c r="N182" s="20"/>
      <c r="O182" s="20">
        <v>23</v>
      </c>
      <c r="P182" s="20" t="s">
        <v>1221</v>
      </c>
      <c r="Q182" s="20" t="s">
        <v>731</v>
      </c>
      <c r="R182" s="20" t="str">
        <f t="shared" si="9"/>
        <v>TAPA TAZON 3.5KG. CARAMELO-VERDE</v>
      </c>
      <c r="S182" s="19">
        <f t="shared" si="10"/>
        <v>0</v>
      </c>
      <c r="T182" s="19">
        <f t="shared" si="11"/>
        <v>99</v>
      </c>
      <c r="U182" s="19"/>
      <c r="V182" s="19"/>
      <c r="W182" s="19"/>
      <c r="X182" s="19"/>
      <c r="Y182" s="19"/>
    </row>
    <row r="183" spans="1:25" ht="12" hidden="1" customHeight="1" thickBot="1" x14ac:dyDescent="0.35">
      <c r="A183" s="20">
        <v>1</v>
      </c>
      <c r="B183" s="20" t="s">
        <v>1556</v>
      </c>
      <c r="C183" s="20" t="s">
        <v>1625</v>
      </c>
      <c r="D183" s="20" t="s">
        <v>1626</v>
      </c>
      <c r="E183" s="20">
        <v>281</v>
      </c>
      <c r="F183" s="20" t="s">
        <v>242</v>
      </c>
      <c r="G183" s="20" t="s">
        <v>1603</v>
      </c>
      <c r="H183" s="20" t="s">
        <v>1604</v>
      </c>
      <c r="I183" s="20"/>
      <c r="J183" s="20">
        <v>150</v>
      </c>
      <c r="K183" s="20">
        <v>1</v>
      </c>
      <c r="L183" s="20" t="s">
        <v>13</v>
      </c>
      <c r="M183" s="20"/>
      <c r="N183" s="20"/>
      <c r="O183" s="20">
        <v>10</v>
      </c>
      <c r="P183" s="20" t="s">
        <v>26</v>
      </c>
      <c r="Q183" s="20" t="s">
        <v>732</v>
      </c>
      <c r="R183" s="20" t="str">
        <f t="shared" si="9"/>
        <v>TAZON 3.5KG. CARAMELO-AMARILLO</v>
      </c>
      <c r="S183" s="19">
        <f t="shared" si="10"/>
        <v>0</v>
      </c>
      <c r="T183" s="19">
        <f t="shared" si="11"/>
        <v>150</v>
      </c>
      <c r="U183" s="19"/>
      <c r="V183" s="19"/>
      <c r="W183" s="19"/>
      <c r="X183" s="19"/>
      <c r="Y183" s="19"/>
    </row>
    <row r="184" spans="1:25" ht="12" hidden="1" customHeight="1" thickBot="1" x14ac:dyDescent="0.35">
      <c r="A184" s="20">
        <v>1</v>
      </c>
      <c r="B184" s="20" t="s">
        <v>1556</v>
      </c>
      <c r="C184" s="20" t="s">
        <v>1625</v>
      </c>
      <c r="D184" s="20" t="s">
        <v>1626</v>
      </c>
      <c r="E184" s="20">
        <v>282</v>
      </c>
      <c r="F184" s="20" t="s">
        <v>243</v>
      </c>
      <c r="G184" s="20" t="s">
        <v>1603</v>
      </c>
      <c r="H184" s="20" t="s">
        <v>1604</v>
      </c>
      <c r="I184" s="20"/>
      <c r="J184" s="20">
        <v>150</v>
      </c>
      <c r="K184" s="20">
        <v>1</v>
      </c>
      <c r="L184" s="20" t="s">
        <v>13</v>
      </c>
      <c r="M184" s="20"/>
      <c r="N184" s="20"/>
      <c r="O184" s="20">
        <v>11</v>
      </c>
      <c r="P184" s="20" t="s">
        <v>1207</v>
      </c>
      <c r="Q184" s="20" t="s">
        <v>733</v>
      </c>
      <c r="R184" s="20" t="str">
        <f t="shared" si="9"/>
        <v>TAZON 3.5KG. CARAMELO-ANARANJADO</v>
      </c>
      <c r="S184" s="19">
        <f t="shared" si="10"/>
        <v>0</v>
      </c>
      <c r="T184" s="19">
        <f t="shared" si="11"/>
        <v>150</v>
      </c>
      <c r="U184" s="19"/>
      <c r="V184" s="19"/>
      <c r="W184" s="19"/>
      <c r="X184" s="19"/>
      <c r="Y184" s="19"/>
    </row>
    <row r="185" spans="1:25" ht="12" hidden="1" customHeight="1" thickBot="1" x14ac:dyDescent="0.35">
      <c r="A185" s="20">
        <v>1</v>
      </c>
      <c r="B185" s="20" t="s">
        <v>1556</v>
      </c>
      <c r="C185" s="20" t="s">
        <v>1625</v>
      </c>
      <c r="D185" s="20" t="s">
        <v>1626</v>
      </c>
      <c r="E185" s="20">
        <v>283</v>
      </c>
      <c r="F185" s="20" t="s">
        <v>244</v>
      </c>
      <c r="G185" s="20" t="s">
        <v>1603</v>
      </c>
      <c r="H185" s="20" t="s">
        <v>1604</v>
      </c>
      <c r="I185" s="20"/>
      <c r="J185" s="20">
        <v>150</v>
      </c>
      <c r="K185" s="20">
        <v>1</v>
      </c>
      <c r="L185" s="20" t="s">
        <v>13</v>
      </c>
      <c r="M185" s="20"/>
      <c r="N185" s="20"/>
      <c r="O185" s="20">
        <v>12</v>
      </c>
      <c r="P185" s="20" t="s">
        <v>24</v>
      </c>
      <c r="Q185" s="20" t="s">
        <v>734</v>
      </c>
      <c r="R185" s="20" t="str">
        <f t="shared" si="9"/>
        <v>TAZON 3.5KG. CARAMELO-AZUL</v>
      </c>
      <c r="S185" s="19">
        <f t="shared" si="10"/>
        <v>0</v>
      </c>
      <c r="T185" s="19">
        <f t="shared" si="11"/>
        <v>150</v>
      </c>
      <c r="U185" s="19"/>
      <c r="V185" s="19"/>
      <c r="W185" s="19"/>
      <c r="X185" s="19"/>
      <c r="Y185" s="19"/>
    </row>
    <row r="186" spans="1:25" ht="12" hidden="1" customHeight="1" thickBot="1" x14ac:dyDescent="0.35">
      <c r="A186" s="20">
        <v>1</v>
      </c>
      <c r="B186" s="20" t="s">
        <v>1556</v>
      </c>
      <c r="C186" s="20" t="s">
        <v>1625</v>
      </c>
      <c r="D186" s="20" t="s">
        <v>1626</v>
      </c>
      <c r="E186" s="20">
        <v>284</v>
      </c>
      <c r="F186" s="20" t="s">
        <v>245</v>
      </c>
      <c r="G186" s="20" t="s">
        <v>1603</v>
      </c>
      <c r="H186" s="20" t="s">
        <v>1604</v>
      </c>
      <c r="I186" s="20"/>
      <c r="J186" s="20">
        <v>150</v>
      </c>
      <c r="K186" s="20">
        <v>1</v>
      </c>
      <c r="L186" s="20" t="s">
        <v>13</v>
      </c>
      <c r="M186" s="20"/>
      <c r="N186" s="20"/>
      <c r="O186" s="20">
        <v>15</v>
      </c>
      <c r="P186" s="20" t="s">
        <v>1211</v>
      </c>
      <c r="Q186" s="20" t="s">
        <v>735</v>
      </c>
      <c r="R186" s="20" t="str">
        <f t="shared" si="9"/>
        <v>TAZON 3.5KG. CARAMELO-FUCSIA</v>
      </c>
      <c r="S186" s="19">
        <f t="shared" si="10"/>
        <v>0</v>
      </c>
      <c r="T186" s="19">
        <f t="shared" si="11"/>
        <v>150</v>
      </c>
      <c r="U186" s="19"/>
      <c r="V186" s="19"/>
      <c r="W186" s="19"/>
      <c r="X186" s="19"/>
      <c r="Y186" s="19"/>
    </row>
    <row r="187" spans="1:25" ht="12" hidden="1" customHeight="1" thickBot="1" x14ac:dyDescent="0.35">
      <c r="A187" s="20">
        <v>1</v>
      </c>
      <c r="B187" s="20" t="s">
        <v>1556</v>
      </c>
      <c r="C187" s="20" t="s">
        <v>1625</v>
      </c>
      <c r="D187" s="20" t="s">
        <v>1626</v>
      </c>
      <c r="E187" s="20">
        <v>285</v>
      </c>
      <c r="F187" s="20" t="s">
        <v>246</v>
      </c>
      <c r="G187" s="20" t="s">
        <v>1603</v>
      </c>
      <c r="H187" s="20" t="s">
        <v>1604</v>
      </c>
      <c r="I187" s="20"/>
      <c r="J187" s="20">
        <v>150</v>
      </c>
      <c r="K187" s="20">
        <v>1</v>
      </c>
      <c r="L187" s="20" t="s">
        <v>13</v>
      </c>
      <c r="M187" s="20"/>
      <c r="N187" s="20"/>
      <c r="O187" s="20">
        <v>16</v>
      </c>
      <c r="P187" s="20" t="s">
        <v>1212</v>
      </c>
      <c r="Q187" s="20" t="s">
        <v>736</v>
      </c>
      <c r="R187" s="20" t="str">
        <f t="shared" si="9"/>
        <v>TAZON 3.5KG. CARAMELO-LILA</v>
      </c>
      <c r="S187" s="19">
        <f t="shared" si="10"/>
        <v>0</v>
      </c>
      <c r="T187" s="19">
        <f t="shared" si="11"/>
        <v>150</v>
      </c>
      <c r="U187" s="19"/>
      <c r="V187" s="19"/>
      <c r="W187" s="19"/>
      <c r="X187" s="19"/>
      <c r="Y187" s="19"/>
    </row>
    <row r="188" spans="1:25" ht="12" hidden="1" customHeight="1" thickBot="1" x14ac:dyDescent="0.35">
      <c r="A188" s="20">
        <v>1</v>
      </c>
      <c r="B188" s="20" t="s">
        <v>1556</v>
      </c>
      <c r="C188" s="20" t="s">
        <v>1625</v>
      </c>
      <c r="D188" s="20" t="s">
        <v>1626</v>
      </c>
      <c r="E188" s="20">
        <v>286</v>
      </c>
      <c r="F188" s="20" t="s">
        <v>247</v>
      </c>
      <c r="G188" s="20" t="s">
        <v>1603</v>
      </c>
      <c r="H188" s="20" t="s">
        <v>1604</v>
      </c>
      <c r="I188" s="20"/>
      <c r="J188" s="20">
        <v>150</v>
      </c>
      <c r="K188" s="20">
        <v>1</v>
      </c>
      <c r="L188" s="20" t="s">
        <v>13</v>
      </c>
      <c r="M188" s="20"/>
      <c r="N188" s="20"/>
      <c r="O188" s="20">
        <v>23</v>
      </c>
      <c r="P188" s="20" t="s">
        <v>1221</v>
      </c>
      <c r="Q188" s="20" t="s">
        <v>737</v>
      </c>
      <c r="R188" s="20" t="str">
        <f t="shared" si="9"/>
        <v>TAZON 3.5KG. CARAMELO-VERDE</v>
      </c>
      <c r="S188" s="19">
        <f t="shared" si="10"/>
        <v>0</v>
      </c>
      <c r="T188" s="19">
        <f t="shared" si="11"/>
        <v>150</v>
      </c>
      <c r="U188" s="19"/>
      <c r="V188" s="19"/>
      <c r="W188" s="19"/>
      <c r="X188" s="19"/>
      <c r="Y188" s="19"/>
    </row>
    <row r="189" spans="1:25" ht="12" hidden="1" customHeight="1" thickBot="1" x14ac:dyDescent="0.35">
      <c r="A189" s="20">
        <v>1</v>
      </c>
      <c r="B189" s="20" t="s">
        <v>1556</v>
      </c>
      <c r="C189" s="20" t="s">
        <v>1625</v>
      </c>
      <c r="D189" s="20" t="s">
        <v>1628</v>
      </c>
      <c r="E189" s="20">
        <v>287</v>
      </c>
      <c r="F189" s="20" t="s">
        <v>1629</v>
      </c>
      <c r="G189" s="20" t="s">
        <v>1287</v>
      </c>
      <c r="H189" s="20" t="s">
        <v>1288</v>
      </c>
      <c r="I189" s="20"/>
      <c r="J189" s="20">
        <v>150</v>
      </c>
      <c r="K189" s="20">
        <v>1</v>
      </c>
      <c r="L189" s="20" t="s">
        <v>13</v>
      </c>
      <c r="M189" s="20"/>
      <c r="N189" s="20"/>
      <c r="O189" s="20">
        <v>10</v>
      </c>
      <c r="P189" s="20" t="s">
        <v>26</v>
      </c>
      <c r="Q189" s="20" t="s">
        <v>1627</v>
      </c>
      <c r="R189" s="20" t="str">
        <f t="shared" si="9"/>
        <v>TAZON 3.5KG. SOLIDO-AMARILLO</v>
      </c>
      <c r="S189" s="19">
        <f t="shared" si="10"/>
        <v>0</v>
      </c>
      <c r="T189" s="19">
        <f t="shared" si="11"/>
        <v>150</v>
      </c>
      <c r="U189" s="19"/>
      <c r="V189" s="19"/>
      <c r="W189" s="19"/>
      <c r="X189" s="19"/>
      <c r="Y189" s="19"/>
    </row>
    <row r="190" spans="1:25" ht="12" hidden="1" customHeight="1" thickBot="1" x14ac:dyDescent="0.35">
      <c r="A190" s="20">
        <v>1</v>
      </c>
      <c r="B190" s="20" t="s">
        <v>1556</v>
      </c>
      <c r="C190" s="20" t="s">
        <v>1625</v>
      </c>
      <c r="D190" s="20" t="s">
        <v>1628</v>
      </c>
      <c r="E190" s="20">
        <v>288</v>
      </c>
      <c r="F190" s="20" t="s">
        <v>1631</v>
      </c>
      <c r="G190" s="20" t="s">
        <v>1287</v>
      </c>
      <c r="H190" s="20" t="s">
        <v>1288</v>
      </c>
      <c r="I190" s="20"/>
      <c r="J190" s="20">
        <v>150</v>
      </c>
      <c r="K190" s="20">
        <v>1</v>
      </c>
      <c r="L190" s="20" t="s">
        <v>13</v>
      </c>
      <c r="M190" s="20"/>
      <c r="N190" s="20"/>
      <c r="O190" s="20">
        <v>11</v>
      </c>
      <c r="P190" s="20" t="s">
        <v>1207</v>
      </c>
      <c r="Q190" s="20" t="s">
        <v>1630</v>
      </c>
      <c r="R190" s="20" t="str">
        <f t="shared" si="9"/>
        <v>TAZON 3.5KG. SOLIDO-ANARANJADO</v>
      </c>
      <c r="S190" s="19">
        <f t="shared" si="10"/>
        <v>0</v>
      </c>
      <c r="T190" s="19">
        <f t="shared" si="11"/>
        <v>150</v>
      </c>
      <c r="U190" s="19"/>
      <c r="V190" s="19"/>
      <c r="W190" s="19"/>
      <c r="X190" s="19"/>
      <c r="Y190" s="19"/>
    </row>
    <row r="191" spans="1:25" ht="12" hidden="1" customHeight="1" thickBot="1" x14ac:dyDescent="0.35">
      <c r="A191" s="20">
        <v>1</v>
      </c>
      <c r="B191" s="20" t="s">
        <v>1556</v>
      </c>
      <c r="C191" s="20" t="s">
        <v>1625</v>
      </c>
      <c r="D191" s="20" t="s">
        <v>1628</v>
      </c>
      <c r="E191" s="20">
        <v>289</v>
      </c>
      <c r="F191" s="20" t="s">
        <v>1633</v>
      </c>
      <c r="G191" s="20" t="s">
        <v>1287</v>
      </c>
      <c r="H191" s="20" t="s">
        <v>1288</v>
      </c>
      <c r="I191" s="20"/>
      <c r="J191" s="20">
        <v>150</v>
      </c>
      <c r="K191" s="20">
        <v>1</v>
      </c>
      <c r="L191" s="20" t="s">
        <v>13</v>
      </c>
      <c r="M191" s="20"/>
      <c r="N191" s="20"/>
      <c r="O191" s="20">
        <v>12</v>
      </c>
      <c r="P191" s="20" t="s">
        <v>24</v>
      </c>
      <c r="Q191" s="20" t="s">
        <v>1632</v>
      </c>
      <c r="R191" s="20" t="str">
        <f t="shared" si="9"/>
        <v>TAZON 3.5KG. SOLIDO-AZUL</v>
      </c>
      <c r="S191" s="19">
        <f t="shared" si="10"/>
        <v>0</v>
      </c>
      <c r="T191" s="19">
        <f t="shared" si="11"/>
        <v>150</v>
      </c>
      <c r="U191" s="19"/>
      <c r="V191" s="19"/>
      <c r="W191" s="19"/>
      <c r="X191" s="19"/>
      <c r="Y191" s="19"/>
    </row>
    <row r="192" spans="1:25" ht="12" hidden="1" customHeight="1" thickBot="1" x14ac:dyDescent="0.35">
      <c r="A192" s="20">
        <v>1</v>
      </c>
      <c r="B192" s="20" t="s">
        <v>1556</v>
      </c>
      <c r="C192" s="20" t="s">
        <v>1625</v>
      </c>
      <c r="D192" s="20" t="s">
        <v>1628</v>
      </c>
      <c r="E192" s="20">
        <v>290</v>
      </c>
      <c r="F192" s="20" t="s">
        <v>1635</v>
      </c>
      <c r="G192" s="20" t="s">
        <v>1287</v>
      </c>
      <c r="H192" s="20" t="s">
        <v>1288</v>
      </c>
      <c r="I192" s="20"/>
      <c r="J192" s="20">
        <v>150</v>
      </c>
      <c r="K192" s="20">
        <v>1</v>
      </c>
      <c r="L192" s="20" t="s">
        <v>13</v>
      </c>
      <c r="M192" s="20"/>
      <c r="N192" s="20"/>
      <c r="O192" s="20">
        <v>15</v>
      </c>
      <c r="P192" s="20" t="s">
        <v>1211</v>
      </c>
      <c r="Q192" s="20" t="s">
        <v>1634</v>
      </c>
      <c r="R192" s="20" t="str">
        <f t="shared" si="9"/>
        <v>TAZON 3.5KG. SOLIDO-FUCSIA</v>
      </c>
      <c r="S192" s="19">
        <f t="shared" si="10"/>
        <v>0</v>
      </c>
      <c r="T192" s="19">
        <f t="shared" si="11"/>
        <v>150</v>
      </c>
      <c r="U192" s="19"/>
      <c r="V192" s="19"/>
      <c r="W192" s="19"/>
      <c r="X192" s="19"/>
      <c r="Y192" s="19"/>
    </row>
    <row r="193" spans="1:25" ht="12" hidden="1" customHeight="1" thickBot="1" x14ac:dyDescent="0.35">
      <c r="A193" s="20">
        <v>1</v>
      </c>
      <c r="B193" s="20" t="s">
        <v>1556</v>
      </c>
      <c r="C193" s="20" t="s">
        <v>1625</v>
      </c>
      <c r="D193" s="20" t="s">
        <v>1628</v>
      </c>
      <c r="E193" s="20">
        <v>291</v>
      </c>
      <c r="F193" s="20" t="s">
        <v>1637</v>
      </c>
      <c r="G193" s="20" t="s">
        <v>1287</v>
      </c>
      <c r="H193" s="20" t="s">
        <v>1288</v>
      </c>
      <c r="I193" s="20"/>
      <c r="J193" s="20">
        <v>150</v>
      </c>
      <c r="K193" s="20">
        <v>1</v>
      </c>
      <c r="L193" s="20" t="s">
        <v>13</v>
      </c>
      <c r="M193" s="20"/>
      <c r="N193" s="20"/>
      <c r="O193" s="20">
        <v>16</v>
      </c>
      <c r="P193" s="20" t="s">
        <v>1212</v>
      </c>
      <c r="Q193" s="20" t="s">
        <v>1636</v>
      </c>
      <c r="R193" s="20" t="str">
        <f t="shared" si="9"/>
        <v>TAZON 3.5KG. SOLIDO-LILA</v>
      </c>
      <c r="S193" s="19">
        <f t="shared" si="10"/>
        <v>0</v>
      </c>
      <c r="T193" s="19">
        <f t="shared" si="11"/>
        <v>150</v>
      </c>
      <c r="U193" s="19"/>
      <c r="V193" s="19"/>
      <c r="W193" s="19"/>
      <c r="X193" s="19"/>
      <c r="Y193" s="19"/>
    </row>
    <row r="194" spans="1:25" ht="12" hidden="1" customHeight="1" thickBot="1" x14ac:dyDescent="0.35">
      <c r="A194" s="20">
        <v>1</v>
      </c>
      <c r="B194" s="20" t="s">
        <v>1556</v>
      </c>
      <c r="C194" s="20" t="s">
        <v>1625</v>
      </c>
      <c r="D194" s="20" t="s">
        <v>1628</v>
      </c>
      <c r="E194" s="20">
        <v>292</v>
      </c>
      <c r="F194" s="20" t="s">
        <v>1639</v>
      </c>
      <c r="G194" s="20" t="s">
        <v>1287</v>
      </c>
      <c r="H194" s="20" t="s">
        <v>1288</v>
      </c>
      <c r="I194" s="20"/>
      <c r="J194" s="20">
        <v>150</v>
      </c>
      <c r="K194" s="20">
        <v>1</v>
      </c>
      <c r="L194" s="20" t="s">
        <v>13</v>
      </c>
      <c r="M194" s="20"/>
      <c r="N194" s="20"/>
      <c r="O194" s="20">
        <v>23</v>
      </c>
      <c r="P194" s="20" t="s">
        <v>1221</v>
      </c>
      <c r="Q194" s="20" t="s">
        <v>1638</v>
      </c>
      <c r="R194" s="20" t="str">
        <f t="shared" si="9"/>
        <v>TAZON 3.5KG. SOLIDO-VERDE</v>
      </c>
      <c r="S194" s="19">
        <f t="shared" si="10"/>
        <v>0</v>
      </c>
      <c r="T194" s="19">
        <f t="shared" si="11"/>
        <v>150</v>
      </c>
      <c r="U194" s="19"/>
      <c r="V194" s="19"/>
      <c r="W194" s="19"/>
      <c r="X194" s="19"/>
      <c r="Y194" s="19"/>
    </row>
    <row r="195" spans="1:25" ht="12" hidden="1" customHeight="1" thickBot="1" x14ac:dyDescent="0.35">
      <c r="A195" s="20">
        <v>1</v>
      </c>
      <c r="B195" s="20" t="s">
        <v>1556</v>
      </c>
      <c r="C195" s="20" t="s">
        <v>1625</v>
      </c>
      <c r="D195" s="20" t="s">
        <v>1640</v>
      </c>
      <c r="E195" s="20">
        <v>293</v>
      </c>
      <c r="F195" s="20" t="s">
        <v>248</v>
      </c>
      <c r="G195" s="20" t="s">
        <v>1603</v>
      </c>
      <c r="H195" s="20" t="s">
        <v>1604</v>
      </c>
      <c r="I195" s="20"/>
      <c r="J195" s="20">
        <v>120</v>
      </c>
      <c r="K195" s="20">
        <v>1</v>
      </c>
      <c r="L195" s="20" t="s">
        <v>13</v>
      </c>
      <c r="M195" s="20"/>
      <c r="N195" s="20"/>
      <c r="O195" s="20">
        <v>10</v>
      </c>
      <c r="P195" s="20" t="s">
        <v>26</v>
      </c>
      <c r="Q195" s="20" t="s">
        <v>738</v>
      </c>
      <c r="R195" s="20" t="str">
        <f t="shared" ref="R195:R258" si="12">F195</f>
        <v>TAPA TAZON 7KG. CARAMELO-AMARILLO</v>
      </c>
      <c r="S195" s="19">
        <f t="shared" ref="S195:S258" si="13">+I195</f>
        <v>0</v>
      </c>
      <c r="T195" s="19">
        <f t="shared" ref="T195:T258" si="14">+J195</f>
        <v>120</v>
      </c>
      <c r="U195" s="19"/>
      <c r="V195" s="19"/>
      <c r="W195" s="19"/>
      <c r="X195" s="19"/>
      <c r="Y195" s="19"/>
    </row>
    <row r="196" spans="1:25" ht="12" hidden="1" customHeight="1" thickBot="1" x14ac:dyDescent="0.35">
      <c r="A196" s="20">
        <v>1</v>
      </c>
      <c r="B196" s="20" t="s">
        <v>1556</v>
      </c>
      <c r="C196" s="20" t="s">
        <v>1625</v>
      </c>
      <c r="D196" s="20" t="s">
        <v>1640</v>
      </c>
      <c r="E196" s="20">
        <v>294</v>
      </c>
      <c r="F196" s="20" t="s">
        <v>249</v>
      </c>
      <c r="G196" s="20" t="s">
        <v>1603</v>
      </c>
      <c r="H196" s="20" t="s">
        <v>1604</v>
      </c>
      <c r="I196" s="20"/>
      <c r="J196" s="20">
        <v>120</v>
      </c>
      <c r="K196" s="20">
        <v>1</v>
      </c>
      <c r="L196" s="20" t="s">
        <v>13</v>
      </c>
      <c r="M196" s="20"/>
      <c r="N196" s="20"/>
      <c r="O196" s="20">
        <v>11</v>
      </c>
      <c r="P196" s="20" t="s">
        <v>1207</v>
      </c>
      <c r="Q196" s="20" t="s">
        <v>739</v>
      </c>
      <c r="R196" s="20" t="str">
        <f t="shared" si="12"/>
        <v>TAPA TAZON 7KG. CARAMELO-ANARANJADO</v>
      </c>
      <c r="S196" s="19">
        <f t="shared" si="13"/>
        <v>0</v>
      </c>
      <c r="T196" s="19">
        <f t="shared" si="14"/>
        <v>120</v>
      </c>
      <c r="U196" s="19"/>
      <c r="V196" s="19"/>
      <c r="W196" s="19"/>
      <c r="X196" s="19"/>
      <c r="Y196" s="19"/>
    </row>
    <row r="197" spans="1:25" ht="12" hidden="1" customHeight="1" thickBot="1" x14ac:dyDescent="0.35">
      <c r="A197" s="20">
        <v>1</v>
      </c>
      <c r="B197" s="20" t="s">
        <v>1556</v>
      </c>
      <c r="C197" s="20" t="s">
        <v>1625</v>
      </c>
      <c r="D197" s="20" t="s">
        <v>1640</v>
      </c>
      <c r="E197" s="20">
        <v>295</v>
      </c>
      <c r="F197" s="20" t="s">
        <v>250</v>
      </c>
      <c r="G197" s="20" t="s">
        <v>1603</v>
      </c>
      <c r="H197" s="20" t="s">
        <v>1604</v>
      </c>
      <c r="I197" s="20"/>
      <c r="J197" s="20">
        <v>120</v>
      </c>
      <c r="K197" s="20">
        <v>1</v>
      </c>
      <c r="L197" s="20" t="s">
        <v>13</v>
      </c>
      <c r="M197" s="20"/>
      <c r="N197" s="20"/>
      <c r="O197" s="20">
        <v>12</v>
      </c>
      <c r="P197" s="20" t="s">
        <v>24</v>
      </c>
      <c r="Q197" s="20" t="s">
        <v>740</v>
      </c>
      <c r="R197" s="20" t="str">
        <f t="shared" si="12"/>
        <v>TAPA TAZON 7KG. CARAMELO-AZUL</v>
      </c>
      <c r="S197" s="19">
        <f t="shared" si="13"/>
        <v>0</v>
      </c>
      <c r="T197" s="19">
        <f t="shared" si="14"/>
        <v>120</v>
      </c>
      <c r="U197" s="19"/>
      <c r="V197" s="19"/>
      <c r="W197" s="19"/>
      <c r="X197" s="19"/>
      <c r="Y197" s="19"/>
    </row>
    <row r="198" spans="1:25" ht="12" hidden="1" customHeight="1" thickBot="1" x14ac:dyDescent="0.35">
      <c r="A198" s="20">
        <v>1</v>
      </c>
      <c r="B198" s="20" t="s">
        <v>1556</v>
      </c>
      <c r="C198" s="20" t="s">
        <v>1625</v>
      </c>
      <c r="D198" s="20" t="s">
        <v>1640</v>
      </c>
      <c r="E198" s="20">
        <v>296</v>
      </c>
      <c r="F198" s="20" t="s">
        <v>251</v>
      </c>
      <c r="G198" s="20" t="s">
        <v>1603</v>
      </c>
      <c r="H198" s="20" t="s">
        <v>1604</v>
      </c>
      <c r="I198" s="20"/>
      <c r="J198" s="20">
        <v>120</v>
      </c>
      <c r="K198" s="20">
        <v>1</v>
      </c>
      <c r="L198" s="20" t="s">
        <v>13</v>
      </c>
      <c r="M198" s="20"/>
      <c r="N198" s="20"/>
      <c r="O198" s="20">
        <v>15</v>
      </c>
      <c r="P198" s="20" t="s">
        <v>1211</v>
      </c>
      <c r="Q198" s="20" t="s">
        <v>741</v>
      </c>
      <c r="R198" s="20" t="str">
        <f t="shared" si="12"/>
        <v>TAPA TAZON 7KG. CARAMELO-FUCSIA</v>
      </c>
      <c r="S198" s="19">
        <f t="shared" si="13"/>
        <v>0</v>
      </c>
      <c r="T198" s="19">
        <f t="shared" si="14"/>
        <v>120</v>
      </c>
      <c r="U198" s="19"/>
      <c r="V198" s="19"/>
      <c r="W198" s="19"/>
      <c r="X198" s="19"/>
      <c r="Y198" s="19"/>
    </row>
    <row r="199" spans="1:25" ht="12" hidden="1" customHeight="1" thickBot="1" x14ac:dyDescent="0.35">
      <c r="A199" s="20">
        <v>1</v>
      </c>
      <c r="B199" s="20" t="s">
        <v>1556</v>
      </c>
      <c r="C199" s="20" t="s">
        <v>1625</v>
      </c>
      <c r="D199" s="20" t="s">
        <v>1640</v>
      </c>
      <c r="E199" s="20">
        <v>297</v>
      </c>
      <c r="F199" s="20" t="s">
        <v>252</v>
      </c>
      <c r="G199" s="20" t="s">
        <v>1603</v>
      </c>
      <c r="H199" s="20" t="s">
        <v>1604</v>
      </c>
      <c r="I199" s="20"/>
      <c r="J199" s="20">
        <v>120</v>
      </c>
      <c r="K199" s="20">
        <v>1</v>
      </c>
      <c r="L199" s="20" t="s">
        <v>13</v>
      </c>
      <c r="M199" s="20"/>
      <c r="N199" s="20"/>
      <c r="O199" s="20">
        <v>16</v>
      </c>
      <c r="P199" s="20" t="s">
        <v>1212</v>
      </c>
      <c r="Q199" s="20" t="s">
        <v>742</v>
      </c>
      <c r="R199" s="20" t="str">
        <f t="shared" si="12"/>
        <v>TAPA TAZON 7KG. CARAMELO-LILA</v>
      </c>
      <c r="S199" s="19">
        <f t="shared" si="13"/>
        <v>0</v>
      </c>
      <c r="T199" s="19">
        <f t="shared" si="14"/>
        <v>120</v>
      </c>
      <c r="U199" s="19"/>
      <c r="V199" s="19"/>
      <c r="W199" s="19"/>
      <c r="X199" s="19"/>
      <c r="Y199" s="19"/>
    </row>
    <row r="200" spans="1:25" ht="12" hidden="1" customHeight="1" thickBot="1" x14ac:dyDescent="0.35">
      <c r="A200" s="20">
        <v>1</v>
      </c>
      <c r="B200" s="20" t="s">
        <v>1556</v>
      </c>
      <c r="C200" s="20" t="s">
        <v>1625</v>
      </c>
      <c r="D200" s="20" t="s">
        <v>1640</v>
      </c>
      <c r="E200" s="20">
        <v>298</v>
      </c>
      <c r="F200" s="20" t="s">
        <v>253</v>
      </c>
      <c r="G200" s="20" t="s">
        <v>1603</v>
      </c>
      <c r="H200" s="20" t="s">
        <v>1604</v>
      </c>
      <c r="I200" s="20"/>
      <c r="J200" s="20">
        <v>120</v>
      </c>
      <c r="K200" s="20">
        <v>1</v>
      </c>
      <c r="L200" s="20" t="s">
        <v>13</v>
      </c>
      <c r="M200" s="20"/>
      <c r="N200" s="20"/>
      <c r="O200" s="20">
        <v>23</v>
      </c>
      <c r="P200" s="20" t="s">
        <v>1221</v>
      </c>
      <c r="Q200" s="20" t="s">
        <v>743</v>
      </c>
      <c r="R200" s="20" t="str">
        <f t="shared" si="12"/>
        <v>TAPA TAZON 7KG. CARAMELO-VERDE</v>
      </c>
      <c r="S200" s="19">
        <f t="shared" si="13"/>
        <v>0</v>
      </c>
      <c r="T200" s="19">
        <f t="shared" si="14"/>
        <v>120</v>
      </c>
      <c r="U200" s="19"/>
      <c r="V200" s="19"/>
      <c r="W200" s="19"/>
      <c r="X200" s="19"/>
      <c r="Y200" s="19"/>
    </row>
    <row r="201" spans="1:25" ht="12" hidden="1" customHeight="1" thickBot="1" x14ac:dyDescent="0.35">
      <c r="A201" s="20">
        <v>1</v>
      </c>
      <c r="B201" s="20" t="s">
        <v>1556</v>
      </c>
      <c r="C201" s="20" t="s">
        <v>1625</v>
      </c>
      <c r="D201" s="20" t="s">
        <v>1640</v>
      </c>
      <c r="E201" s="20">
        <v>299</v>
      </c>
      <c r="F201" s="20" t="s">
        <v>254</v>
      </c>
      <c r="G201" s="20" t="s">
        <v>1603</v>
      </c>
      <c r="H201" s="20" t="s">
        <v>1604</v>
      </c>
      <c r="I201" s="20"/>
      <c r="J201" s="20">
        <v>200</v>
      </c>
      <c r="K201" s="20">
        <v>1</v>
      </c>
      <c r="L201" s="20" t="s">
        <v>13</v>
      </c>
      <c r="M201" s="20"/>
      <c r="N201" s="20"/>
      <c r="O201" s="20">
        <v>10</v>
      </c>
      <c r="P201" s="20" t="s">
        <v>26</v>
      </c>
      <c r="Q201" s="20" t="s">
        <v>744</v>
      </c>
      <c r="R201" s="20" t="str">
        <f t="shared" si="12"/>
        <v>TAZON 7KG. CARAMELO-AMARILLO</v>
      </c>
      <c r="S201" s="19">
        <f t="shared" si="13"/>
        <v>0</v>
      </c>
      <c r="T201" s="19">
        <f t="shared" si="14"/>
        <v>200</v>
      </c>
      <c r="U201" s="19"/>
      <c r="V201" s="19"/>
      <c r="W201" s="19"/>
      <c r="X201" s="19"/>
      <c r="Y201" s="19"/>
    </row>
    <row r="202" spans="1:25" ht="12" hidden="1" customHeight="1" thickBot="1" x14ac:dyDescent="0.35">
      <c r="A202" s="20">
        <v>1</v>
      </c>
      <c r="B202" s="20" t="s">
        <v>1556</v>
      </c>
      <c r="C202" s="20" t="s">
        <v>1625</v>
      </c>
      <c r="D202" s="20" t="s">
        <v>1640</v>
      </c>
      <c r="E202" s="20">
        <v>300</v>
      </c>
      <c r="F202" s="20" t="s">
        <v>255</v>
      </c>
      <c r="G202" s="20" t="s">
        <v>1603</v>
      </c>
      <c r="H202" s="20" t="s">
        <v>1604</v>
      </c>
      <c r="I202" s="20"/>
      <c r="J202" s="20">
        <v>200</v>
      </c>
      <c r="K202" s="20">
        <v>1</v>
      </c>
      <c r="L202" s="20" t="s">
        <v>13</v>
      </c>
      <c r="M202" s="20"/>
      <c r="N202" s="20"/>
      <c r="O202" s="20">
        <v>11</v>
      </c>
      <c r="P202" s="20" t="s">
        <v>1207</v>
      </c>
      <c r="Q202" s="20" t="s">
        <v>745</v>
      </c>
      <c r="R202" s="20" t="str">
        <f t="shared" si="12"/>
        <v>TAZON 7KG. CARAMELO-ANARANJADO</v>
      </c>
      <c r="S202" s="19">
        <f t="shared" si="13"/>
        <v>0</v>
      </c>
      <c r="T202" s="19">
        <f t="shared" si="14"/>
        <v>200</v>
      </c>
      <c r="U202" s="19"/>
      <c r="V202" s="19"/>
      <c r="W202" s="19"/>
      <c r="X202" s="19"/>
      <c r="Y202" s="19"/>
    </row>
    <row r="203" spans="1:25" ht="12" hidden="1" customHeight="1" thickBot="1" x14ac:dyDescent="0.35">
      <c r="A203" s="20">
        <v>1</v>
      </c>
      <c r="B203" s="20" t="s">
        <v>1556</v>
      </c>
      <c r="C203" s="20" t="s">
        <v>1625</v>
      </c>
      <c r="D203" s="20" t="s">
        <v>1640</v>
      </c>
      <c r="E203" s="20">
        <v>301</v>
      </c>
      <c r="F203" s="20" t="s">
        <v>256</v>
      </c>
      <c r="G203" s="20" t="s">
        <v>1603</v>
      </c>
      <c r="H203" s="20" t="s">
        <v>1604</v>
      </c>
      <c r="I203" s="20"/>
      <c r="J203" s="20">
        <v>200</v>
      </c>
      <c r="K203" s="20">
        <v>1</v>
      </c>
      <c r="L203" s="20" t="s">
        <v>13</v>
      </c>
      <c r="M203" s="20"/>
      <c r="N203" s="20"/>
      <c r="O203" s="20">
        <v>12</v>
      </c>
      <c r="P203" s="20" t="s">
        <v>24</v>
      </c>
      <c r="Q203" s="20" t="s">
        <v>746</v>
      </c>
      <c r="R203" s="20" t="str">
        <f t="shared" si="12"/>
        <v>TAZON 7KG. CARAMELO-AZUL</v>
      </c>
      <c r="S203" s="19">
        <f t="shared" si="13"/>
        <v>0</v>
      </c>
      <c r="T203" s="19">
        <f t="shared" si="14"/>
        <v>200</v>
      </c>
      <c r="U203" s="19"/>
      <c r="V203" s="19"/>
      <c r="W203" s="19"/>
      <c r="X203" s="19"/>
      <c r="Y203" s="19"/>
    </row>
    <row r="204" spans="1:25" ht="12" hidden="1" customHeight="1" thickBot="1" x14ac:dyDescent="0.35">
      <c r="A204" s="20">
        <v>1</v>
      </c>
      <c r="B204" s="20" t="s">
        <v>1556</v>
      </c>
      <c r="C204" s="20" t="s">
        <v>1625</v>
      </c>
      <c r="D204" s="20" t="s">
        <v>1640</v>
      </c>
      <c r="E204" s="20">
        <v>302</v>
      </c>
      <c r="F204" s="20" t="s">
        <v>257</v>
      </c>
      <c r="G204" s="20" t="s">
        <v>1603</v>
      </c>
      <c r="H204" s="20" t="s">
        <v>1604</v>
      </c>
      <c r="I204" s="20"/>
      <c r="J204" s="20">
        <v>200</v>
      </c>
      <c r="K204" s="20">
        <v>1</v>
      </c>
      <c r="L204" s="20" t="s">
        <v>13</v>
      </c>
      <c r="M204" s="20"/>
      <c r="N204" s="20"/>
      <c r="O204" s="20">
        <v>15</v>
      </c>
      <c r="P204" s="20" t="s">
        <v>1211</v>
      </c>
      <c r="Q204" s="20" t="s">
        <v>747</v>
      </c>
      <c r="R204" s="20" t="str">
        <f t="shared" si="12"/>
        <v>TAZON 7KG. CARAMELO-FUCSIA</v>
      </c>
      <c r="S204" s="19">
        <f t="shared" si="13"/>
        <v>0</v>
      </c>
      <c r="T204" s="19">
        <f t="shared" si="14"/>
        <v>200</v>
      </c>
      <c r="U204" s="19"/>
      <c r="V204" s="19"/>
      <c r="W204" s="19"/>
      <c r="X204" s="19"/>
      <c r="Y204" s="19"/>
    </row>
    <row r="205" spans="1:25" ht="12" hidden="1" customHeight="1" thickBot="1" x14ac:dyDescent="0.35">
      <c r="A205" s="20">
        <v>1</v>
      </c>
      <c r="B205" s="20" t="s">
        <v>1556</v>
      </c>
      <c r="C205" s="20" t="s">
        <v>1625</v>
      </c>
      <c r="D205" s="20" t="s">
        <v>1640</v>
      </c>
      <c r="E205" s="20">
        <v>303</v>
      </c>
      <c r="F205" s="20" t="s">
        <v>258</v>
      </c>
      <c r="G205" s="20" t="s">
        <v>1603</v>
      </c>
      <c r="H205" s="20" t="s">
        <v>1604</v>
      </c>
      <c r="I205" s="20"/>
      <c r="J205" s="20">
        <v>200</v>
      </c>
      <c r="K205" s="20">
        <v>1</v>
      </c>
      <c r="L205" s="20" t="s">
        <v>13</v>
      </c>
      <c r="M205" s="20"/>
      <c r="N205" s="20"/>
      <c r="O205" s="20">
        <v>16</v>
      </c>
      <c r="P205" s="20" t="s">
        <v>1212</v>
      </c>
      <c r="Q205" s="20" t="s">
        <v>748</v>
      </c>
      <c r="R205" s="20" t="str">
        <f t="shared" si="12"/>
        <v>TAZON 7KG. CARAMELO-LILA</v>
      </c>
      <c r="S205" s="19">
        <f t="shared" si="13"/>
        <v>0</v>
      </c>
      <c r="T205" s="19">
        <f t="shared" si="14"/>
        <v>200</v>
      </c>
      <c r="U205" s="19"/>
      <c r="V205" s="19"/>
      <c r="W205" s="19"/>
      <c r="X205" s="19"/>
      <c r="Y205" s="19"/>
    </row>
    <row r="206" spans="1:25" ht="12" hidden="1" customHeight="1" thickBot="1" x14ac:dyDescent="0.35">
      <c r="A206" s="20">
        <v>1</v>
      </c>
      <c r="B206" s="20" t="s">
        <v>1556</v>
      </c>
      <c r="C206" s="20" t="s">
        <v>1625</v>
      </c>
      <c r="D206" s="20" t="s">
        <v>1640</v>
      </c>
      <c r="E206" s="20">
        <v>304</v>
      </c>
      <c r="F206" s="20" t="s">
        <v>1642</v>
      </c>
      <c r="G206" s="20" t="s">
        <v>1603</v>
      </c>
      <c r="H206" s="20" t="s">
        <v>1604</v>
      </c>
      <c r="I206" s="20"/>
      <c r="J206" s="20">
        <v>200</v>
      </c>
      <c r="K206" s="20">
        <v>1</v>
      </c>
      <c r="L206" s="20" t="s">
        <v>13</v>
      </c>
      <c r="M206" s="20"/>
      <c r="N206" s="20"/>
      <c r="O206" s="20">
        <v>23</v>
      </c>
      <c r="P206" s="20" t="s">
        <v>1221</v>
      </c>
      <c r="Q206" s="20" t="s">
        <v>1641</v>
      </c>
      <c r="R206" s="20" t="str">
        <f t="shared" si="12"/>
        <v>TAZON 7KG. CARAMELO-VERDE</v>
      </c>
      <c r="S206" s="19">
        <f t="shared" si="13"/>
        <v>0</v>
      </c>
      <c r="T206" s="19">
        <f t="shared" si="14"/>
        <v>200</v>
      </c>
      <c r="U206" s="19"/>
      <c r="V206" s="19"/>
      <c r="W206" s="19"/>
      <c r="X206" s="19"/>
      <c r="Y206" s="19"/>
    </row>
    <row r="207" spans="1:25" ht="12" hidden="1" customHeight="1" thickBot="1" x14ac:dyDescent="0.35">
      <c r="A207" s="20">
        <v>1</v>
      </c>
      <c r="B207" s="20" t="s">
        <v>1556</v>
      </c>
      <c r="C207" s="20" t="s">
        <v>1643</v>
      </c>
      <c r="D207" s="20" t="s">
        <v>1036</v>
      </c>
      <c r="E207" s="20">
        <v>305</v>
      </c>
      <c r="F207" s="20" t="s">
        <v>259</v>
      </c>
      <c r="G207" s="20" t="s">
        <v>1603</v>
      </c>
      <c r="H207" s="20" t="s">
        <v>1604</v>
      </c>
      <c r="I207" s="20"/>
      <c r="J207" s="20">
        <v>24</v>
      </c>
      <c r="K207" s="20">
        <v>1</v>
      </c>
      <c r="L207" s="20" t="s">
        <v>13</v>
      </c>
      <c r="M207" s="20"/>
      <c r="N207" s="20"/>
      <c r="O207" s="20">
        <v>10</v>
      </c>
      <c r="P207" s="20" t="s">
        <v>26</v>
      </c>
      <c r="Q207" s="20" t="s">
        <v>749</v>
      </c>
      <c r="R207" s="20" t="str">
        <f t="shared" si="12"/>
        <v>VASO SORBETE CARAMELO-AMARILLO</v>
      </c>
      <c r="S207" s="19">
        <f t="shared" si="13"/>
        <v>0</v>
      </c>
      <c r="T207" s="19">
        <f t="shared" si="14"/>
        <v>24</v>
      </c>
      <c r="U207" s="19"/>
      <c r="V207" s="19"/>
      <c r="W207" s="19"/>
      <c r="X207" s="19"/>
      <c r="Y207" s="19"/>
    </row>
    <row r="208" spans="1:25" ht="12" hidden="1" customHeight="1" thickBot="1" x14ac:dyDescent="0.35">
      <c r="A208" s="20">
        <v>1</v>
      </c>
      <c r="B208" s="20" t="s">
        <v>1556</v>
      </c>
      <c r="C208" s="20" t="s">
        <v>1643</v>
      </c>
      <c r="D208" s="20" t="s">
        <v>1036</v>
      </c>
      <c r="E208" s="20">
        <v>306</v>
      </c>
      <c r="F208" s="20" t="s">
        <v>260</v>
      </c>
      <c r="G208" s="20" t="s">
        <v>1603</v>
      </c>
      <c r="H208" s="20" t="s">
        <v>1604</v>
      </c>
      <c r="I208" s="20"/>
      <c r="J208" s="20">
        <v>24</v>
      </c>
      <c r="K208" s="20">
        <v>1</v>
      </c>
      <c r="L208" s="20" t="s">
        <v>13</v>
      </c>
      <c r="M208" s="20"/>
      <c r="N208" s="20"/>
      <c r="O208" s="20">
        <v>11</v>
      </c>
      <c r="P208" s="20" t="s">
        <v>1207</v>
      </c>
      <c r="Q208" s="20" t="s">
        <v>750</v>
      </c>
      <c r="R208" s="20" t="str">
        <f t="shared" si="12"/>
        <v>VASO SORBETE CARAMELO-ANARANJADO</v>
      </c>
      <c r="S208" s="19">
        <f t="shared" si="13"/>
        <v>0</v>
      </c>
      <c r="T208" s="19">
        <f t="shared" si="14"/>
        <v>24</v>
      </c>
      <c r="U208" s="19"/>
      <c r="V208" s="19"/>
      <c r="W208" s="19"/>
      <c r="X208" s="19"/>
      <c r="Y208" s="19"/>
    </row>
    <row r="209" spans="1:25" ht="12" hidden="1" customHeight="1" thickBot="1" x14ac:dyDescent="0.35">
      <c r="A209" s="20">
        <v>1</v>
      </c>
      <c r="B209" s="20" t="s">
        <v>1556</v>
      </c>
      <c r="C209" s="20" t="s">
        <v>1643</v>
      </c>
      <c r="D209" s="20" t="s">
        <v>1036</v>
      </c>
      <c r="E209" s="20">
        <v>307</v>
      </c>
      <c r="F209" s="20" t="s">
        <v>261</v>
      </c>
      <c r="G209" s="20" t="s">
        <v>1603</v>
      </c>
      <c r="H209" s="20" t="s">
        <v>1604</v>
      </c>
      <c r="I209" s="20"/>
      <c r="J209" s="20">
        <v>24</v>
      </c>
      <c r="K209" s="20">
        <v>1</v>
      </c>
      <c r="L209" s="20" t="s">
        <v>13</v>
      </c>
      <c r="M209" s="20"/>
      <c r="N209" s="20"/>
      <c r="O209" s="20">
        <v>12</v>
      </c>
      <c r="P209" s="20" t="s">
        <v>24</v>
      </c>
      <c r="Q209" s="20" t="s">
        <v>751</v>
      </c>
      <c r="R209" s="20" t="str">
        <f t="shared" si="12"/>
        <v>VASO SORBETE CARAMELO-AZUL</v>
      </c>
      <c r="S209" s="19">
        <f t="shared" si="13"/>
        <v>0</v>
      </c>
      <c r="T209" s="19">
        <f t="shared" si="14"/>
        <v>24</v>
      </c>
      <c r="U209" s="19"/>
      <c r="V209" s="19"/>
      <c r="W209" s="19"/>
      <c r="X209" s="19"/>
      <c r="Y209" s="19"/>
    </row>
    <row r="210" spans="1:25" ht="12" hidden="1" customHeight="1" thickBot="1" x14ac:dyDescent="0.35">
      <c r="A210" s="20">
        <v>1</v>
      </c>
      <c r="B210" s="20" t="s">
        <v>1556</v>
      </c>
      <c r="C210" s="20" t="s">
        <v>1643</v>
      </c>
      <c r="D210" s="20" t="s">
        <v>1036</v>
      </c>
      <c r="E210" s="20">
        <v>308</v>
      </c>
      <c r="F210" s="20" t="s">
        <v>262</v>
      </c>
      <c r="G210" s="20" t="s">
        <v>1603</v>
      </c>
      <c r="H210" s="20" t="s">
        <v>1604</v>
      </c>
      <c r="I210" s="20"/>
      <c r="J210" s="20">
        <v>24</v>
      </c>
      <c r="K210" s="20">
        <v>1</v>
      </c>
      <c r="L210" s="20" t="s">
        <v>13</v>
      </c>
      <c r="M210" s="20"/>
      <c r="N210" s="20"/>
      <c r="O210" s="20">
        <v>15</v>
      </c>
      <c r="P210" s="20" t="s">
        <v>1211</v>
      </c>
      <c r="Q210" s="20" t="s">
        <v>752</v>
      </c>
      <c r="R210" s="20" t="str">
        <f t="shared" si="12"/>
        <v>VASO SORBETE CARAMELO-FUCSIA</v>
      </c>
      <c r="S210" s="19">
        <f t="shared" si="13"/>
        <v>0</v>
      </c>
      <c r="T210" s="19">
        <f t="shared" si="14"/>
        <v>24</v>
      </c>
      <c r="U210" s="19"/>
      <c r="V210" s="19"/>
      <c r="W210" s="19"/>
      <c r="X210" s="19"/>
      <c r="Y210" s="19"/>
    </row>
    <row r="211" spans="1:25" ht="12" hidden="1" customHeight="1" thickBot="1" x14ac:dyDescent="0.35">
      <c r="A211" s="20">
        <v>1</v>
      </c>
      <c r="B211" s="20" t="s">
        <v>1556</v>
      </c>
      <c r="C211" s="20" t="s">
        <v>1643</v>
      </c>
      <c r="D211" s="20" t="s">
        <v>1036</v>
      </c>
      <c r="E211" s="20">
        <v>309</v>
      </c>
      <c r="F211" s="20" t="s">
        <v>263</v>
      </c>
      <c r="G211" s="20" t="s">
        <v>1603</v>
      </c>
      <c r="H211" s="20" t="s">
        <v>1604</v>
      </c>
      <c r="I211" s="20"/>
      <c r="J211" s="20">
        <v>24</v>
      </c>
      <c r="K211" s="20">
        <v>1</v>
      </c>
      <c r="L211" s="20" t="s">
        <v>13</v>
      </c>
      <c r="M211" s="20"/>
      <c r="N211" s="20"/>
      <c r="O211" s="20">
        <v>16</v>
      </c>
      <c r="P211" s="20" t="s">
        <v>1212</v>
      </c>
      <c r="Q211" s="20" t="s">
        <v>753</v>
      </c>
      <c r="R211" s="20" t="str">
        <f t="shared" si="12"/>
        <v>VASO SORBETE CARAMELO-LILA</v>
      </c>
      <c r="S211" s="19">
        <f t="shared" si="13"/>
        <v>0</v>
      </c>
      <c r="T211" s="19">
        <f t="shared" si="14"/>
        <v>24</v>
      </c>
      <c r="U211" s="19"/>
      <c r="V211" s="19"/>
      <c r="W211" s="19"/>
      <c r="X211" s="19"/>
      <c r="Y211" s="19"/>
    </row>
    <row r="212" spans="1:25" ht="12" hidden="1" customHeight="1" thickBot="1" x14ac:dyDescent="0.35">
      <c r="A212" s="20">
        <v>1</v>
      </c>
      <c r="B212" s="20" t="s">
        <v>1556</v>
      </c>
      <c r="C212" s="20" t="s">
        <v>1643</v>
      </c>
      <c r="D212" s="20" t="s">
        <v>1036</v>
      </c>
      <c r="E212" s="20">
        <v>310</v>
      </c>
      <c r="F212" s="20" t="s">
        <v>264</v>
      </c>
      <c r="G212" s="20" t="s">
        <v>1603</v>
      </c>
      <c r="H212" s="20" t="s">
        <v>1604</v>
      </c>
      <c r="I212" s="20"/>
      <c r="J212" s="20">
        <v>24</v>
      </c>
      <c r="K212" s="20">
        <v>1</v>
      </c>
      <c r="L212" s="20" t="s">
        <v>13</v>
      </c>
      <c r="M212" s="20"/>
      <c r="N212" s="20"/>
      <c r="O212" s="20">
        <v>23</v>
      </c>
      <c r="P212" s="20" t="s">
        <v>1221</v>
      </c>
      <c r="Q212" s="20" t="s">
        <v>754</v>
      </c>
      <c r="R212" s="20" t="str">
        <f t="shared" si="12"/>
        <v>VASO SORBETE CARAMELO-VERDE</v>
      </c>
      <c r="S212" s="19">
        <f t="shared" si="13"/>
        <v>0</v>
      </c>
      <c r="T212" s="19">
        <f t="shared" si="14"/>
        <v>24</v>
      </c>
      <c r="U212" s="19"/>
      <c r="V212" s="19"/>
      <c r="W212" s="19"/>
      <c r="X212" s="19"/>
      <c r="Y212" s="19"/>
    </row>
    <row r="213" spans="1:25" ht="12" hidden="1" customHeight="1" thickBot="1" x14ac:dyDescent="0.35">
      <c r="A213" s="20">
        <v>1</v>
      </c>
      <c r="B213" s="20" t="s">
        <v>1556</v>
      </c>
      <c r="C213" s="20" t="s">
        <v>1643</v>
      </c>
      <c r="D213" s="20" t="s">
        <v>1017</v>
      </c>
      <c r="E213" s="20">
        <v>311</v>
      </c>
      <c r="F213" s="20" t="s">
        <v>265</v>
      </c>
      <c r="G213" s="20" t="s">
        <v>1287</v>
      </c>
      <c r="H213" s="20" t="s">
        <v>1288</v>
      </c>
      <c r="I213" s="20"/>
      <c r="J213" s="20">
        <v>24</v>
      </c>
      <c r="K213" s="20">
        <v>1</v>
      </c>
      <c r="L213" s="20" t="s">
        <v>13</v>
      </c>
      <c r="M213" s="20"/>
      <c r="N213" s="20"/>
      <c r="O213" s="20">
        <v>10</v>
      </c>
      <c r="P213" s="20" t="s">
        <v>26</v>
      </c>
      <c r="Q213" s="20" t="s">
        <v>755</v>
      </c>
      <c r="R213" s="20" t="str">
        <f t="shared" si="12"/>
        <v>VASO SORBETE SOLIDO-AMARILLO PATO</v>
      </c>
      <c r="S213" s="19">
        <f t="shared" si="13"/>
        <v>0</v>
      </c>
      <c r="T213" s="19">
        <f t="shared" si="14"/>
        <v>24</v>
      </c>
      <c r="U213" s="19"/>
      <c r="V213" s="19"/>
      <c r="W213" s="19"/>
      <c r="X213" s="19"/>
      <c r="Y213" s="19"/>
    </row>
    <row r="214" spans="1:25" ht="12" hidden="1" customHeight="1" thickBot="1" x14ac:dyDescent="0.35">
      <c r="A214" s="20">
        <v>1</v>
      </c>
      <c r="B214" s="20" t="s">
        <v>1556</v>
      </c>
      <c r="C214" s="20" t="s">
        <v>1643</v>
      </c>
      <c r="D214" s="20" t="s">
        <v>1017</v>
      </c>
      <c r="E214" s="20">
        <v>312</v>
      </c>
      <c r="F214" s="20" t="s">
        <v>266</v>
      </c>
      <c r="G214" s="20" t="s">
        <v>1287</v>
      </c>
      <c r="H214" s="20" t="s">
        <v>1288</v>
      </c>
      <c r="I214" s="20"/>
      <c r="J214" s="20">
        <v>24</v>
      </c>
      <c r="K214" s="20">
        <v>1</v>
      </c>
      <c r="L214" s="20" t="s">
        <v>13</v>
      </c>
      <c r="M214" s="20"/>
      <c r="N214" s="20"/>
      <c r="O214" s="20">
        <v>11</v>
      </c>
      <c r="P214" s="20" t="s">
        <v>1207</v>
      </c>
      <c r="Q214" s="20" t="s">
        <v>756</v>
      </c>
      <c r="R214" s="20" t="str">
        <f t="shared" si="12"/>
        <v>VASO SORBETE SOLIDO-ANARANJADO</v>
      </c>
      <c r="S214" s="19">
        <f t="shared" si="13"/>
        <v>0</v>
      </c>
      <c r="T214" s="19">
        <f t="shared" si="14"/>
        <v>24</v>
      </c>
      <c r="U214" s="19"/>
      <c r="V214" s="19"/>
      <c r="W214" s="19"/>
      <c r="X214" s="19"/>
      <c r="Y214" s="19"/>
    </row>
    <row r="215" spans="1:25" ht="12" hidden="1" customHeight="1" thickBot="1" x14ac:dyDescent="0.35">
      <c r="A215" s="20">
        <v>1</v>
      </c>
      <c r="B215" s="20" t="s">
        <v>1556</v>
      </c>
      <c r="C215" s="20" t="s">
        <v>1643</v>
      </c>
      <c r="D215" s="20" t="s">
        <v>1017</v>
      </c>
      <c r="E215" s="20">
        <v>313</v>
      </c>
      <c r="F215" s="20" t="s">
        <v>267</v>
      </c>
      <c r="G215" s="20" t="s">
        <v>1287</v>
      </c>
      <c r="H215" s="20" t="s">
        <v>1288</v>
      </c>
      <c r="I215" s="20"/>
      <c r="J215" s="20">
        <v>24</v>
      </c>
      <c r="K215" s="20">
        <v>1</v>
      </c>
      <c r="L215" s="20" t="s">
        <v>13</v>
      </c>
      <c r="M215" s="20"/>
      <c r="N215" s="20"/>
      <c r="O215" s="20">
        <v>12</v>
      </c>
      <c r="P215" s="20" t="s">
        <v>24</v>
      </c>
      <c r="Q215" s="20" t="s">
        <v>757</v>
      </c>
      <c r="R215" s="20" t="str">
        <f t="shared" si="12"/>
        <v>VASO SORBETE SOLIDO-AZUL</v>
      </c>
      <c r="S215" s="19">
        <f t="shared" si="13"/>
        <v>0</v>
      </c>
      <c r="T215" s="19">
        <f t="shared" si="14"/>
        <v>24</v>
      </c>
      <c r="U215" s="19"/>
      <c r="V215" s="19"/>
      <c r="W215" s="19"/>
      <c r="X215" s="19"/>
      <c r="Y215" s="19"/>
    </row>
    <row r="216" spans="1:25" ht="12" hidden="1" customHeight="1" thickBot="1" x14ac:dyDescent="0.35">
      <c r="A216" s="20">
        <v>1</v>
      </c>
      <c r="B216" s="20" t="s">
        <v>1556</v>
      </c>
      <c r="C216" s="20" t="s">
        <v>1643</v>
      </c>
      <c r="D216" s="20" t="s">
        <v>1017</v>
      </c>
      <c r="E216" s="20">
        <v>314</v>
      </c>
      <c r="F216" s="20" t="s">
        <v>268</v>
      </c>
      <c r="G216" s="20" t="s">
        <v>1287</v>
      </c>
      <c r="H216" s="20" t="s">
        <v>1288</v>
      </c>
      <c r="I216" s="20"/>
      <c r="J216" s="20">
        <v>24</v>
      </c>
      <c r="K216" s="20">
        <v>1</v>
      </c>
      <c r="L216" s="20" t="s">
        <v>13</v>
      </c>
      <c r="M216" s="20"/>
      <c r="N216" s="20"/>
      <c r="O216" s="20">
        <v>15</v>
      </c>
      <c r="P216" s="20" t="s">
        <v>1211</v>
      </c>
      <c r="Q216" s="20" t="s">
        <v>758</v>
      </c>
      <c r="R216" s="20" t="str">
        <f t="shared" si="12"/>
        <v>VASO SORBETE SOLIDO-FUCSIA</v>
      </c>
      <c r="S216" s="19">
        <f t="shared" si="13"/>
        <v>0</v>
      </c>
      <c r="T216" s="19">
        <f t="shared" si="14"/>
        <v>24</v>
      </c>
      <c r="U216" s="19"/>
      <c r="V216" s="19"/>
      <c r="W216" s="19"/>
      <c r="X216" s="19"/>
      <c r="Y216" s="19"/>
    </row>
    <row r="217" spans="1:25" ht="12" hidden="1" customHeight="1" thickBot="1" x14ac:dyDescent="0.35">
      <c r="A217" s="20">
        <v>1</v>
      </c>
      <c r="B217" s="20" t="s">
        <v>1556</v>
      </c>
      <c r="C217" s="20" t="s">
        <v>1643</v>
      </c>
      <c r="D217" s="20" t="s">
        <v>1017</v>
      </c>
      <c r="E217" s="20">
        <v>315</v>
      </c>
      <c r="F217" s="20" t="s">
        <v>269</v>
      </c>
      <c r="G217" s="20" t="s">
        <v>1287</v>
      </c>
      <c r="H217" s="20" t="s">
        <v>1288</v>
      </c>
      <c r="I217" s="20"/>
      <c r="J217" s="20">
        <v>24</v>
      </c>
      <c r="K217" s="20">
        <v>1</v>
      </c>
      <c r="L217" s="20" t="s">
        <v>13</v>
      </c>
      <c r="M217" s="20"/>
      <c r="N217" s="20"/>
      <c r="O217" s="20">
        <v>16</v>
      </c>
      <c r="P217" s="20" t="s">
        <v>1212</v>
      </c>
      <c r="Q217" s="20" t="s">
        <v>759</v>
      </c>
      <c r="R217" s="20" t="str">
        <f t="shared" si="12"/>
        <v>VASO SORBETE SOLIDO-LILA</v>
      </c>
      <c r="S217" s="19">
        <f t="shared" si="13"/>
        <v>0</v>
      </c>
      <c r="T217" s="19">
        <f t="shared" si="14"/>
        <v>24</v>
      </c>
      <c r="U217" s="19"/>
      <c r="V217" s="19"/>
      <c r="W217" s="19"/>
      <c r="X217" s="19"/>
      <c r="Y217" s="19"/>
    </row>
    <row r="218" spans="1:25" ht="12" hidden="1" customHeight="1" thickBot="1" x14ac:dyDescent="0.35">
      <c r="A218" s="20">
        <v>1</v>
      </c>
      <c r="B218" s="20" t="s">
        <v>1556</v>
      </c>
      <c r="C218" s="20" t="s">
        <v>1643</v>
      </c>
      <c r="D218" s="20" t="s">
        <v>1017</v>
      </c>
      <c r="E218" s="20">
        <v>316</v>
      </c>
      <c r="F218" s="20" t="s">
        <v>270</v>
      </c>
      <c r="G218" s="20" t="s">
        <v>1287</v>
      </c>
      <c r="H218" s="20" t="s">
        <v>1288</v>
      </c>
      <c r="I218" s="20"/>
      <c r="J218" s="20">
        <v>24</v>
      </c>
      <c r="K218" s="20">
        <v>1</v>
      </c>
      <c r="L218" s="20" t="s">
        <v>13</v>
      </c>
      <c r="M218" s="20"/>
      <c r="N218" s="20"/>
      <c r="O218" s="20">
        <v>23</v>
      </c>
      <c r="P218" s="20" t="s">
        <v>1221</v>
      </c>
      <c r="Q218" s="20" t="s">
        <v>760</v>
      </c>
      <c r="R218" s="20" t="str">
        <f t="shared" si="12"/>
        <v>VASO SORBETE SOLIDO-VERDE TELEFONICO</v>
      </c>
      <c r="S218" s="19">
        <f t="shared" si="13"/>
        <v>0</v>
      </c>
      <c r="T218" s="19">
        <f t="shared" si="14"/>
        <v>24</v>
      </c>
      <c r="U218" s="19"/>
      <c r="V218" s="19"/>
      <c r="W218" s="19"/>
      <c r="X218" s="19"/>
      <c r="Y218" s="19"/>
    </row>
    <row r="219" spans="1:25" ht="12" hidden="1" customHeight="1" thickBot="1" x14ac:dyDescent="0.35">
      <c r="A219" s="20">
        <v>1</v>
      </c>
      <c r="B219" s="20" t="s">
        <v>1556</v>
      </c>
      <c r="C219" s="20" t="s">
        <v>1606</v>
      </c>
      <c r="D219" s="20" t="s">
        <v>2081</v>
      </c>
      <c r="E219" s="20">
        <v>317</v>
      </c>
      <c r="F219" s="20" t="s">
        <v>2041</v>
      </c>
      <c r="G219" s="20" t="s">
        <v>1287</v>
      </c>
      <c r="H219" s="20" t="s">
        <v>1288</v>
      </c>
      <c r="I219" s="20">
        <v>8</v>
      </c>
      <c r="J219" s="20">
        <v>8</v>
      </c>
      <c r="K219" s="20">
        <v>1</v>
      </c>
      <c r="L219" s="20" t="s">
        <v>13</v>
      </c>
      <c r="M219" s="20"/>
      <c r="N219" s="20"/>
      <c r="O219" s="20">
        <v>19</v>
      </c>
      <c r="P219" s="20" t="s">
        <v>27</v>
      </c>
      <c r="Q219" s="20" t="s">
        <v>1062</v>
      </c>
      <c r="R219" s="20" t="str">
        <f t="shared" si="12"/>
        <v>GANCHITO CLICK SALSERO-ROJO</v>
      </c>
      <c r="S219" s="19">
        <f t="shared" si="13"/>
        <v>8</v>
      </c>
      <c r="T219" s="19">
        <v>1</v>
      </c>
      <c r="U219" s="19">
        <v>197</v>
      </c>
      <c r="V219" s="19"/>
      <c r="W219" s="19"/>
      <c r="X219" s="19"/>
      <c r="Y219" s="19"/>
    </row>
    <row r="220" spans="1:25" ht="12" hidden="1" customHeight="1" thickBot="1" x14ac:dyDescent="0.35">
      <c r="A220" s="20">
        <v>1</v>
      </c>
      <c r="B220" s="20" t="s">
        <v>1556</v>
      </c>
      <c r="C220" s="20" t="s">
        <v>1606</v>
      </c>
      <c r="D220" s="20" t="s">
        <v>2081</v>
      </c>
      <c r="E220" s="20">
        <v>318</v>
      </c>
      <c r="F220" s="20" t="s">
        <v>2042</v>
      </c>
      <c r="G220" s="20" t="s">
        <v>1287</v>
      </c>
      <c r="H220" s="20" t="s">
        <v>1288</v>
      </c>
      <c r="I220" s="20">
        <v>8</v>
      </c>
      <c r="J220" s="20">
        <v>8</v>
      </c>
      <c r="K220" s="20">
        <v>1</v>
      </c>
      <c r="L220" s="20" t="s">
        <v>13</v>
      </c>
      <c r="M220" s="20"/>
      <c r="N220" s="20"/>
      <c r="O220" s="20">
        <v>10</v>
      </c>
      <c r="P220" s="20" t="s">
        <v>26</v>
      </c>
      <c r="Q220" s="20" t="s">
        <v>1063</v>
      </c>
      <c r="R220" s="20" t="str">
        <f t="shared" si="12"/>
        <v>GANCHITO CLICK SALSERO-AMARILLO</v>
      </c>
      <c r="S220" s="19">
        <f t="shared" si="13"/>
        <v>8</v>
      </c>
      <c r="T220" s="19">
        <v>1</v>
      </c>
      <c r="U220" s="19">
        <v>197</v>
      </c>
      <c r="V220" s="19"/>
      <c r="W220" s="19"/>
      <c r="X220" s="19"/>
      <c r="Y220" s="19"/>
    </row>
    <row r="221" spans="1:25" ht="12" hidden="1" customHeight="1" thickBot="1" x14ac:dyDescent="0.35">
      <c r="A221" s="20">
        <v>1</v>
      </c>
      <c r="B221" s="20" t="s">
        <v>1556</v>
      </c>
      <c r="C221" s="20" t="s">
        <v>1606</v>
      </c>
      <c r="D221" s="20" t="s">
        <v>2081</v>
      </c>
      <c r="E221" s="20">
        <v>319</v>
      </c>
      <c r="F221" s="20" t="s">
        <v>2043</v>
      </c>
      <c r="G221" s="20" t="s">
        <v>1287</v>
      </c>
      <c r="H221" s="20" t="s">
        <v>1288</v>
      </c>
      <c r="I221" s="20">
        <v>8</v>
      </c>
      <c r="J221" s="20">
        <v>8</v>
      </c>
      <c r="K221" s="20">
        <v>1</v>
      </c>
      <c r="L221" s="20" t="s">
        <v>13</v>
      </c>
      <c r="M221" s="20"/>
      <c r="N221" s="20"/>
      <c r="O221" s="20">
        <v>13</v>
      </c>
      <c r="P221" s="20" t="s">
        <v>25</v>
      </c>
      <c r="Q221" s="20" t="s">
        <v>1064</v>
      </c>
      <c r="R221" s="20" t="str">
        <f t="shared" si="12"/>
        <v>GANCHITO CLICK SALSERO-BLANCO</v>
      </c>
      <c r="S221" s="19">
        <f t="shared" si="13"/>
        <v>8</v>
      </c>
      <c r="T221" s="19">
        <v>1</v>
      </c>
      <c r="U221" s="19">
        <v>197</v>
      </c>
      <c r="V221" s="19"/>
      <c r="W221" s="19"/>
      <c r="X221" s="19"/>
      <c r="Y221" s="19"/>
    </row>
    <row r="222" spans="1:25" ht="12" hidden="1" customHeight="1" thickBot="1" x14ac:dyDescent="0.35">
      <c r="A222" s="20">
        <v>1</v>
      </c>
      <c r="B222" s="20" t="s">
        <v>1556</v>
      </c>
      <c r="C222" s="20" t="s">
        <v>1606</v>
      </c>
      <c r="D222" s="20" t="s">
        <v>2081</v>
      </c>
      <c r="E222" s="20">
        <v>320</v>
      </c>
      <c r="F222" s="20" t="s">
        <v>2040</v>
      </c>
      <c r="G222" s="20" t="s">
        <v>1287</v>
      </c>
      <c r="H222" s="20" t="s">
        <v>1288</v>
      </c>
      <c r="I222" s="20">
        <v>8</v>
      </c>
      <c r="J222" s="20">
        <v>8</v>
      </c>
      <c r="K222" s="20">
        <v>1</v>
      </c>
      <c r="L222" s="20" t="s">
        <v>13</v>
      </c>
      <c r="M222" s="20"/>
      <c r="N222" s="20"/>
      <c r="O222" s="20">
        <v>23</v>
      </c>
      <c r="P222" s="20" t="s">
        <v>1221</v>
      </c>
      <c r="Q222" s="20" t="s">
        <v>1065</v>
      </c>
      <c r="R222" s="20" t="str">
        <f t="shared" si="12"/>
        <v>GANCHITO CLICK SALSERO-VERDE</v>
      </c>
      <c r="S222" s="19">
        <f t="shared" si="13"/>
        <v>8</v>
      </c>
      <c r="T222" s="19">
        <v>1</v>
      </c>
      <c r="U222" s="19">
        <v>197</v>
      </c>
      <c r="V222" s="19"/>
      <c r="W222" s="19"/>
      <c r="X222" s="19"/>
      <c r="Y222" s="19"/>
    </row>
    <row r="223" spans="1:25" ht="12" hidden="1" customHeight="1" thickBot="1" x14ac:dyDescent="0.35">
      <c r="A223" s="20">
        <v>1</v>
      </c>
      <c r="B223" s="20" t="s">
        <v>1556</v>
      </c>
      <c r="C223" s="20" t="s">
        <v>1606</v>
      </c>
      <c r="D223" s="20" t="s">
        <v>2056</v>
      </c>
      <c r="E223" s="20">
        <v>321</v>
      </c>
      <c r="F223" s="20" t="s">
        <v>1074</v>
      </c>
      <c r="G223" s="20" t="s">
        <v>1287</v>
      </c>
      <c r="H223" s="20" t="s">
        <v>1288</v>
      </c>
      <c r="I223" s="20">
        <v>8</v>
      </c>
      <c r="J223" s="20">
        <v>63</v>
      </c>
      <c r="K223" s="20">
        <v>1</v>
      </c>
      <c r="L223" s="20" t="s">
        <v>13</v>
      </c>
      <c r="M223" s="20"/>
      <c r="N223" s="20"/>
      <c r="O223" s="20">
        <v>19</v>
      </c>
      <c r="P223" s="20" t="s">
        <v>27</v>
      </c>
      <c r="Q223" s="20" t="s">
        <v>1066</v>
      </c>
      <c r="R223" s="20" t="str">
        <f t="shared" si="12"/>
        <v>TAPA SALSERO CLICK-ROJO</v>
      </c>
      <c r="S223" s="19">
        <f t="shared" si="13"/>
        <v>8</v>
      </c>
      <c r="T223" s="19">
        <v>7.5</v>
      </c>
      <c r="U223" s="19">
        <v>107</v>
      </c>
      <c r="V223" s="19"/>
      <c r="W223" s="19"/>
      <c r="X223" s="19"/>
      <c r="Y223" s="19"/>
    </row>
    <row r="224" spans="1:25" ht="12" hidden="1" customHeight="1" thickBot="1" x14ac:dyDescent="0.35">
      <c r="A224" s="20">
        <v>1</v>
      </c>
      <c r="B224" s="20" t="s">
        <v>1556</v>
      </c>
      <c r="C224" s="20" t="s">
        <v>1606</v>
      </c>
      <c r="D224" s="20" t="s">
        <v>2056</v>
      </c>
      <c r="E224" s="20">
        <v>322</v>
      </c>
      <c r="F224" s="20" t="s">
        <v>1075</v>
      </c>
      <c r="G224" s="20" t="s">
        <v>1287</v>
      </c>
      <c r="H224" s="20" t="s">
        <v>1288</v>
      </c>
      <c r="I224" s="20">
        <v>8</v>
      </c>
      <c r="J224" s="20">
        <v>63</v>
      </c>
      <c r="K224" s="20">
        <v>1</v>
      </c>
      <c r="L224" s="20" t="s">
        <v>13</v>
      </c>
      <c r="M224" s="20"/>
      <c r="N224" s="20"/>
      <c r="O224" s="20">
        <v>10</v>
      </c>
      <c r="P224" s="20" t="s">
        <v>26</v>
      </c>
      <c r="Q224" s="20" t="s">
        <v>1067</v>
      </c>
      <c r="R224" s="20" t="str">
        <f t="shared" si="12"/>
        <v>TAPA SALSERO CLICK -AMARILLO</v>
      </c>
      <c r="S224" s="19">
        <f t="shared" si="13"/>
        <v>8</v>
      </c>
      <c r="T224" s="19">
        <v>7.5</v>
      </c>
      <c r="U224" s="19">
        <v>107</v>
      </c>
      <c r="V224" s="19"/>
      <c r="W224" s="19"/>
      <c r="X224" s="19"/>
      <c r="Y224" s="19"/>
    </row>
    <row r="225" spans="1:25" ht="12" hidden="1" customHeight="1" thickBot="1" x14ac:dyDescent="0.35">
      <c r="A225" s="20">
        <v>1</v>
      </c>
      <c r="B225" s="20" t="s">
        <v>1556</v>
      </c>
      <c r="C225" s="20" t="s">
        <v>1606</v>
      </c>
      <c r="D225" s="20" t="s">
        <v>2056</v>
      </c>
      <c r="E225" s="20">
        <v>323</v>
      </c>
      <c r="F225" s="20" t="s">
        <v>1076</v>
      </c>
      <c r="G225" s="20" t="s">
        <v>1287</v>
      </c>
      <c r="H225" s="20" t="s">
        <v>1288</v>
      </c>
      <c r="I225" s="20">
        <v>8</v>
      </c>
      <c r="J225" s="20">
        <v>63</v>
      </c>
      <c r="K225" s="20">
        <v>1</v>
      </c>
      <c r="L225" s="20" t="s">
        <v>13</v>
      </c>
      <c r="M225" s="20"/>
      <c r="N225" s="20"/>
      <c r="O225" s="20">
        <v>13</v>
      </c>
      <c r="P225" s="20" t="s">
        <v>25</v>
      </c>
      <c r="Q225" s="20" t="s">
        <v>1068</v>
      </c>
      <c r="R225" s="20" t="str">
        <f t="shared" si="12"/>
        <v>TAPA SALSERO CLICK -BLANCO</v>
      </c>
      <c r="S225" s="19">
        <f t="shared" si="13"/>
        <v>8</v>
      </c>
      <c r="T225" s="19">
        <v>7.5</v>
      </c>
      <c r="U225" s="19">
        <v>107</v>
      </c>
      <c r="V225" s="19"/>
      <c r="W225" s="19"/>
      <c r="X225" s="19"/>
      <c r="Y225" s="19"/>
    </row>
    <row r="226" spans="1:25" ht="12" hidden="1" customHeight="1" thickBot="1" x14ac:dyDescent="0.35">
      <c r="A226" s="20">
        <v>1</v>
      </c>
      <c r="B226" s="20" t="s">
        <v>1556</v>
      </c>
      <c r="C226" s="20" t="s">
        <v>1606</v>
      </c>
      <c r="D226" s="20" t="s">
        <v>2056</v>
      </c>
      <c r="E226" s="20">
        <v>324</v>
      </c>
      <c r="F226" s="20" t="s">
        <v>1077</v>
      </c>
      <c r="G226" s="20" t="s">
        <v>1287</v>
      </c>
      <c r="H226" s="20" t="s">
        <v>1288</v>
      </c>
      <c r="I226" s="20">
        <v>8</v>
      </c>
      <c r="J226" s="20">
        <v>63</v>
      </c>
      <c r="K226" s="20">
        <v>1</v>
      </c>
      <c r="L226" s="20" t="s">
        <v>13</v>
      </c>
      <c r="M226" s="20"/>
      <c r="N226" s="20"/>
      <c r="O226" s="20">
        <v>23</v>
      </c>
      <c r="P226" s="20" t="s">
        <v>1221</v>
      </c>
      <c r="Q226" s="20" t="s">
        <v>1069</v>
      </c>
      <c r="R226" s="20" t="str">
        <f t="shared" si="12"/>
        <v>TAPA SALSERO CLICK -VERDE</v>
      </c>
      <c r="S226" s="19">
        <f t="shared" si="13"/>
        <v>8</v>
      </c>
      <c r="T226" s="19">
        <v>7.5</v>
      </c>
      <c r="U226" s="19">
        <v>107</v>
      </c>
      <c r="V226" s="19"/>
      <c r="W226" s="19"/>
      <c r="X226" s="19"/>
      <c r="Y226" s="19"/>
    </row>
    <row r="227" spans="1:25" ht="12" hidden="1" customHeight="1" thickBot="1" x14ac:dyDescent="0.35">
      <c r="A227" s="20">
        <v>1</v>
      </c>
      <c r="B227" s="20" t="s">
        <v>1556</v>
      </c>
      <c r="C227" s="20" t="s">
        <v>1802</v>
      </c>
      <c r="D227" s="20" t="s">
        <v>1966</v>
      </c>
      <c r="E227" s="20">
        <v>325</v>
      </c>
      <c r="F227" s="20" t="s">
        <v>1967</v>
      </c>
      <c r="G227" s="20" t="s">
        <v>1603</v>
      </c>
      <c r="H227" s="20" t="s">
        <v>1604</v>
      </c>
      <c r="I227" s="20">
        <v>1</v>
      </c>
      <c r="J227" s="20">
        <v>30</v>
      </c>
      <c r="K227" s="20">
        <v>2</v>
      </c>
      <c r="L227" s="20" t="s">
        <v>12</v>
      </c>
      <c r="M227" s="20"/>
      <c r="N227" s="20"/>
      <c r="O227" s="20">
        <v>15</v>
      </c>
      <c r="P227" s="20" t="s">
        <v>1211</v>
      </c>
      <c r="Q227" s="20" t="s">
        <v>1644</v>
      </c>
      <c r="R227" s="20" t="str">
        <f t="shared" si="12"/>
        <v>TOMATODO 350ML-FUCSIA</v>
      </c>
      <c r="S227" s="19">
        <v>2</v>
      </c>
      <c r="T227" s="19">
        <v>31</v>
      </c>
      <c r="U227" s="19">
        <v>150</v>
      </c>
      <c r="V227" s="19"/>
      <c r="W227" s="19"/>
      <c r="X227" s="19"/>
      <c r="Y227" s="19"/>
    </row>
    <row r="228" spans="1:25" ht="12" hidden="1" customHeight="1" thickBot="1" x14ac:dyDescent="0.35">
      <c r="A228" s="20">
        <v>1</v>
      </c>
      <c r="B228" s="20" t="s">
        <v>1556</v>
      </c>
      <c r="C228" s="20" t="s">
        <v>1802</v>
      </c>
      <c r="D228" s="20" t="s">
        <v>1966</v>
      </c>
      <c r="E228" s="20">
        <v>326</v>
      </c>
      <c r="F228" s="20" t="s">
        <v>1968</v>
      </c>
      <c r="G228" s="20" t="s">
        <v>1603</v>
      </c>
      <c r="H228" s="20" t="s">
        <v>1604</v>
      </c>
      <c r="I228" s="20">
        <v>1</v>
      </c>
      <c r="J228" s="20">
        <v>30</v>
      </c>
      <c r="K228" s="20">
        <v>2</v>
      </c>
      <c r="L228" s="20" t="s">
        <v>12</v>
      </c>
      <c r="M228" s="20"/>
      <c r="N228" s="20"/>
      <c r="O228" s="20">
        <v>16</v>
      </c>
      <c r="P228" s="20" t="s">
        <v>1212</v>
      </c>
      <c r="Q228" s="20" t="s">
        <v>1646</v>
      </c>
      <c r="R228" s="20" t="str">
        <f t="shared" si="12"/>
        <v>TOMATODO 350ML-LILA</v>
      </c>
      <c r="S228" s="19">
        <v>2</v>
      </c>
      <c r="T228" s="19">
        <v>31</v>
      </c>
      <c r="U228" s="19">
        <v>150</v>
      </c>
      <c r="V228" s="19"/>
      <c r="W228" s="19"/>
      <c r="X228" s="19"/>
      <c r="Y228" s="19"/>
    </row>
    <row r="229" spans="1:25" ht="12" hidden="1" customHeight="1" thickBot="1" x14ac:dyDescent="0.35">
      <c r="A229" s="20">
        <v>1</v>
      </c>
      <c r="B229" s="20" t="s">
        <v>1556</v>
      </c>
      <c r="C229" s="20" t="s">
        <v>1802</v>
      </c>
      <c r="D229" s="20" t="s">
        <v>1966</v>
      </c>
      <c r="E229" s="20">
        <v>327</v>
      </c>
      <c r="F229" s="20" t="s">
        <v>1969</v>
      </c>
      <c r="G229" s="20" t="s">
        <v>1603</v>
      </c>
      <c r="H229" s="20" t="s">
        <v>1604</v>
      </c>
      <c r="I229" s="20">
        <v>1</v>
      </c>
      <c r="J229" s="20">
        <v>30</v>
      </c>
      <c r="K229" s="20">
        <v>2</v>
      </c>
      <c r="L229" s="20" t="s">
        <v>12</v>
      </c>
      <c r="M229" s="20"/>
      <c r="N229" s="20"/>
      <c r="O229" s="20">
        <v>23</v>
      </c>
      <c r="P229" s="20" t="s">
        <v>1221</v>
      </c>
      <c r="Q229" s="20" t="s">
        <v>1647</v>
      </c>
      <c r="R229" s="20" t="str">
        <f t="shared" si="12"/>
        <v>TOMATODO 350ML-VERDE</v>
      </c>
      <c r="S229" s="19">
        <v>2</v>
      </c>
      <c r="T229" s="19">
        <v>31</v>
      </c>
      <c r="U229" s="19">
        <v>150</v>
      </c>
      <c r="V229" s="19"/>
      <c r="W229" s="19"/>
      <c r="X229" s="19"/>
      <c r="Y229" s="19"/>
    </row>
    <row r="230" spans="1:25" ht="12" hidden="1" customHeight="1" thickBot="1" x14ac:dyDescent="0.35">
      <c r="A230" s="20">
        <v>1</v>
      </c>
      <c r="B230" s="20" t="s">
        <v>1556</v>
      </c>
      <c r="C230" s="20" t="s">
        <v>1802</v>
      </c>
      <c r="D230" s="20" t="s">
        <v>1966</v>
      </c>
      <c r="E230" s="20">
        <v>328</v>
      </c>
      <c r="F230" s="20" t="s">
        <v>1970</v>
      </c>
      <c r="G230" s="20" t="s">
        <v>1603</v>
      </c>
      <c r="H230" s="20" t="s">
        <v>1604</v>
      </c>
      <c r="I230" s="20">
        <v>1</v>
      </c>
      <c r="J230" s="20">
        <v>30</v>
      </c>
      <c r="K230" s="20">
        <v>2</v>
      </c>
      <c r="L230" s="20" t="s">
        <v>12</v>
      </c>
      <c r="M230" s="20"/>
      <c r="N230" s="20"/>
      <c r="O230" s="20">
        <v>10</v>
      </c>
      <c r="P230" s="20" t="s">
        <v>26</v>
      </c>
      <c r="Q230" s="20" t="s">
        <v>1648</v>
      </c>
      <c r="R230" s="20" t="str">
        <f t="shared" si="12"/>
        <v>TOMATODO 350ML-AMARILLO</v>
      </c>
      <c r="S230" s="19">
        <v>2</v>
      </c>
      <c r="T230" s="19">
        <v>31</v>
      </c>
      <c r="U230" s="19">
        <v>150</v>
      </c>
      <c r="V230" s="19"/>
      <c r="W230" s="19"/>
      <c r="X230" s="19"/>
      <c r="Y230" s="19"/>
    </row>
    <row r="231" spans="1:25" ht="12" hidden="1" customHeight="1" thickBot="1" x14ac:dyDescent="0.35">
      <c r="A231" s="20">
        <v>1</v>
      </c>
      <c r="B231" s="20" t="s">
        <v>1556</v>
      </c>
      <c r="C231" s="20" t="s">
        <v>1802</v>
      </c>
      <c r="D231" s="20" t="s">
        <v>1966</v>
      </c>
      <c r="E231" s="20">
        <v>329</v>
      </c>
      <c r="F231" s="20" t="s">
        <v>1971</v>
      </c>
      <c r="G231" s="20" t="s">
        <v>1603</v>
      </c>
      <c r="H231" s="20" t="s">
        <v>1604</v>
      </c>
      <c r="I231" s="20">
        <v>1</v>
      </c>
      <c r="J231" s="20">
        <v>30</v>
      </c>
      <c r="K231" s="20">
        <v>2</v>
      </c>
      <c r="L231" s="20" t="s">
        <v>12</v>
      </c>
      <c r="M231" s="20"/>
      <c r="N231" s="20"/>
      <c r="O231" s="20">
        <v>11</v>
      </c>
      <c r="P231" s="20" t="s">
        <v>1207</v>
      </c>
      <c r="Q231" s="20" t="s">
        <v>1649</v>
      </c>
      <c r="R231" s="20" t="str">
        <f t="shared" si="12"/>
        <v>TOMATODO 350ML-ANARANJADO</v>
      </c>
      <c r="S231" s="19">
        <v>2</v>
      </c>
      <c r="T231" s="19">
        <v>31</v>
      </c>
      <c r="U231" s="19">
        <v>150</v>
      </c>
      <c r="V231" s="19"/>
      <c r="W231" s="19"/>
      <c r="X231" s="19"/>
      <c r="Y231" s="19"/>
    </row>
    <row r="232" spans="1:25" ht="12" hidden="1" customHeight="1" thickBot="1" x14ac:dyDescent="0.35">
      <c r="A232" s="20">
        <v>1</v>
      </c>
      <c r="B232" s="20" t="s">
        <v>1556</v>
      </c>
      <c r="C232" s="20" t="s">
        <v>1802</v>
      </c>
      <c r="D232" s="20" t="s">
        <v>1966</v>
      </c>
      <c r="E232" s="20">
        <v>330</v>
      </c>
      <c r="F232" s="20" t="s">
        <v>1972</v>
      </c>
      <c r="G232" s="20" t="s">
        <v>1603</v>
      </c>
      <c r="H232" s="20" t="s">
        <v>1604</v>
      </c>
      <c r="I232" s="20">
        <v>1</v>
      </c>
      <c r="J232" s="20">
        <v>30</v>
      </c>
      <c r="K232" s="20">
        <v>2</v>
      </c>
      <c r="L232" s="20" t="s">
        <v>12</v>
      </c>
      <c r="M232" s="20"/>
      <c r="N232" s="20"/>
      <c r="O232" s="20">
        <v>12</v>
      </c>
      <c r="P232" s="20" t="s">
        <v>24</v>
      </c>
      <c r="Q232" s="20" t="s">
        <v>1650</v>
      </c>
      <c r="R232" s="20" t="str">
        <f t="shared" si="12"/>
        <v>TOMATODO 350ML-AZUL</v>
      </c>
      <c r="S232" s="19">
        <v>2</v>
      </c>
      <c r="T232" s="19">
        <v>31</v>
      </c>
      <c r="U232" s="19">
        <v>150</v>
      </c>
      <c r="V232" s="19"/>
      <c r="W232" s="19"/>
      <c r="X232" s="19"/>
      <c r="Y232" s="19"/>
    </row>
    <row r="233" spans="1:25" ht="12" hidden="1" customHeight="1" thickBot="1" x14ac:dyDescent="0.35">
      <c r="A233" s="20">
        <v>1</v>
      </c>
      <c r="B233" s="20" t="s">
        <v>1556</v>
      </c>
      <c r="C233" s="20" t="s">
        <v>1606</v>
      </c>
      <c r="D233" s="20" t="s">
        <v>1652</v>
      </c>
      <c r="E233" s="20">
        <v>331</v>
      </c>
      <c r="F233" s="20" t="s">
        <v>1070</v>
      </c>
      <c r="G233" s="20" t="s">
        <v>1287</v>
      </c>
      <c r="H233" s="20" t="s">
        <v>1288</v>
      </c>
      <c r="I233" s="20">
        <v>12</v>
      </c>
      <c r="J233" s="20">
        <v>12</v>
      </c>
      <c r="K233" s="20">
        <v>1</v>
      </c>
      <c r="L233" s="20" t="s">
        <v>13</v>
      </c>
      <c r="M233" s="20"/>
      <c r="N233" s="20"/>
      <c r="O233" s="20">
        <v>19</v>
      </c>
      <c r="P233" s="20" t="s">
        <v>27</v>
      </c>
      <c r="Q233" s="20" t="s">
        <v>1651</v>
      </c>
      <c r="R233" s="20" t="str">
        <f t="shared" si="12"/>
        <v>PUNTA SALSERO CLICK-ROJO</v>
      </c>
      <c r="S233" s="19">
        <f t="shared" si="13"/>
        <v>12</v>
      </c>
      <c r="T233" s="19">
        <f t="shared" si="14"/>
        <v>12</v>
      </c>
      <c r="U233" s="19"/>
      <c r="V233" s="19"/>
      <c r="W233" s="19"/>
      <c r="X233" s="19"/>
      <c r="Y233" s="19"/>
    </row>
    <row r="234" spans="1:25" ht="12" hidden="1" customHeight="1" thickBot="1" x14ac:dyDescent="0.35">
      <c r="A234" s="20">
        <v>1</v>
      </c>
      <c r="B234" s="20" t="s">
        <v>1556</v>
      </c>
      <c r="C234" s="20" t="s">
        <v>1606</v>
      </c>
      <c r="D234" s="20" t="s">
        <v>1652</v>
      </c>
      <c r="E234" s="20">
        <v>332</v>
      </c>
      <c r="F234" s="20" t="s">
        <v>1071</v>
      </c>
      <c r="G234" s="20" t="s">
        <v>1287</v>
      </c>
      <c r="H234" s="20" t="s">
        <v>1288</v>
      </c>
      <c r="I234" s="20">
        <v>12</v>
      </c>
      <c r="J234" s="20">
        <v>12</v>
      </c>
      <c r="K234" s="20">
        <v>1</v>
      </c>
      <c r="L234" s="20" t="s">
        <v>13</v>
      </c>
      <c r="M234" s="20"/>
      <c r="N234" s="20"/>
      <c r="O234" s="20">
        <v>10</v>
      </c>
      <c r="P234" s="20" t="s">
        <v>26</v>
      </c>
      <c r="Q234" s="20" t="s">
        <v>1653</v>
      </c>
      <c r="R234" s="20" t="str">
        <f t="shared" si="12"/>
        <v>PUNTA SALSERO CLICK -AMARILLO</v>
      </c>
      <c r="S234" s="19">
        <f t="shared" si="13"/>
        <v>12</v>
      </c>
      <c r="T234" s="19">
        <f t="shared" si="14"/>
        <v>12</v>
      </c>
      <c r="U234" s="19"/>
      <c r="V234" s="19"/>
      <c r="W234" s="19"/>
      <c r="X234" s="19"/>
      <c r="Y234" s="19"/>
    </row>
    <row r="235" spans="1:25" ht="12" hidden="1" customHeight="1" thickBot="1" x14ac:dyDescent="0.35">
      <c r="A235" s="20">
        <v>1</v>
      </c>
      <c r="B235" s="20" t="s">
        <v>1556</v>
      </c>
      <c r="C235" s="20" t="s">
        <v>1606</v>
      </c>
      <c r="D235" s="20" t="s">
        <v>1652</v>
      </c>
      <c r="E235" s="20">
        <v>333</v>
      </c>
      <c r="F235" s="20" t="s">
        <v>1072</v>
      </c>
      <c r="G235" s="20" t="s">
        <v>1287</v>
      </c>
      <c r="H235" s="20" t="s">
        <v>1288</v>
      </c>
      <c r="I235" s="20">
        <v>12</v>
      </c>
      <c r="J235" s="20">
        <v>12</v>
      </c>
      <c r="K235" s="20">
        <v>1</v>
      </c>
      <c r="L235" s="20" t="s">
        <v>13</v>
      </c>
      <c r="M235" s="20"/>
      <c r="N235" s="20"/>
      <c r="O235" s="20">
        <v>13</v>
      </c>
      <c r="P235" s="20" t="s">
        <v>25</v>
      </c>
      <c r="Q235" s="20" t="s">
        <v>1654</v>
      </c>
      <c r="R235" s="20" t="str">
        <f t="shared" si="12"/>
        <v>PUNTA SALSERO CLICK -BLANCO</v>
      </c>
      <c r="S235" s="19">
        <f t="shared" si="13"/>
        <v>12</v>
      </c>
      <c r="T235" s="19">
        <f t="shared" si="14"/>
        <v>12</v>
      </c>
      <c r="U235" s="19"/>
      <c r="V235" s="19"/>
      <c r="W235" s="19"/>
      <c r="X235" s="19"/>
      <c r="Y235" s="19"/>
    </row>
    <row r="236" spans="1:25" ht="12" hidden="1" customHeight="1" thickBot="1" x14ac:dyDescent="0.35">
      <c r="A236" s="20">
        <v>1</v>
      </c>
      <c r="B236" s="20" t="s">
        <v>1556</v>
      </c>
      <c r="C236" s="20" t="s">
        <v>1606</v>
      </c>
      <c r="D236" s="20" t="s">
        <v>1652</v>
      </c>
      <c r="E236" s="20">
        <v>334</v>
      </c>
      <c r="F236" s="20" t="s">
        <v>1073</v>
      </c>
      <c r="G236" s="20" t="s">
        <v>1287</v>
      </c>
      <c r="H236" s="20" t="s">
        <v>1288</v>
      </c>
      <c r="I236" s="20">
        <v>12</v>
      </c>
      <c r="J236" s="20">
        <v>12</v>
      </c>
      <c r="K236" s="20">
        <v>1</v>
      </c>
      <c r="L236" s="20" t="s">
        <v>13</v>
      </c>
      <c r="M236" s="20"/>
      <c r="N236" s="20"/>
      <c r="O236" s="20">
        <v>23</v>
      </c>
      <c r="P236" s="20" t="s">
        <v>1221</v>
      </c>
      <c r="Q236" s="20" t="s">
        <v>1655</v>
      </c>
      <c r="R236" s="20" t="str">
        <f t="shared" si="12"/>
        <v>PUNTA SALSERO CLICK -VERDE</v>
      </c>
      <c r="S236" s="19">
        <f t="shared" si="13"/>
        <v>12</v>
      </c>
      <c r="T236" s="19">
        <f t="shared" si="14"/>
        <v>12</v>
      </c>
      <c r="U236" s="19"/>
      <c r="V236" s="19"/>
      <c r="W236" s="19"/>
      <c r="X236" s="19"/>
      <c r="Y236" s="19"/>
    </row>
    <row r="237" spans="1:25" ht="12" hidden="1" customHeight="1" thickBot="1" x14ac:dyDescent="0.35">
      <c r="A237" s="20">
        <v>1</v>
      </c>
      <c r="B237" s="20" t="s">
        <v>1556</v>
      </c>
      <c r="C237" s="20" t="s">
        <v>1606</v>
      </c>
      <c r="D237" s="20" t="s">
        <v>1652</v>
      </c>
      <c r="E237" s="20">
        <v>335</v>
      </c>
      <c r="F237" s="20" t="s">
        <v>1074</v>
      </c>
      <c r="G237" s="20" t="s">
        <v>1287</v>
      </c>
      <c r="H237" s="20" t="s">
        <v>1288</v>
      </c>
      <c r="I237" s="20">
        <v>8</v>
      </c>
      <c r="J237" s="20">
        <v>61</v>
      </c>
      <c r="K237" s="20">
        <v>1</v>
      </c>
      <c r="L237" s="20" t="s">
        <v>13</v>
      </c>
      <c r="M237" s="20"/>
      <c r="N237" s="20"/>
      <c r="O237" s="20">
        <v>19</v>
      </c>
      <c r="P237" s="20" t="s">
        <v>27</v>
      </c>
      <c r="Q237" s="20" t="s">
        <v>1656</v>
      </c>
      <c r="R237" s="20" t="str">
        <f t="shared" si="12"/>
        <v>TAPA SALSERO CLICK-ROJO</v>
      </c>
      <c r="S237" s="19">
        <f t="shared" si="13"/>
        <v>8</v>
      </c>
      <c r="T237" s="19">
        <f t="shared" si="14"/>
        <v>61</v>
      </c>
      <c r="U237" s="19"/>
      <c r="V237" s="19"/>
      <c r="W237" s="19"/>
      <c r="X237" s="19"/>
      <c r="Y237" s="19"/>
    </row>
    <row r="238" spans="1:25" ht="12" hidden="1" customHeight="1" thickBot="1" x14ac:dyDescent="0.35">
      <c r="A238" s="20">
        <v>1</v>
      </c>
      <c r="B238" s="20" t="s">
        <v>1556</v>
      </c>
      <c r="C238" s="20" t="s">
        <v>1606</v>
      </c>
      <c r="D238" s="20" t="s">
        <v>1652</v>
      </c>
      <c r="E238" s="20">
        <v>336</v>
      </c>
      <c r="F238" s="20" t="s">
        <v>1075</v>
      </c>
      <c r="G238" s="20" t="s">
        <v>1287</v>
      </c>
      <c r="H238" s="20" t="s">
        <v>1288</v>
      </c>
      <c r="I238" s="20">
        <v>8</v>
      </c>
      <c r="J238" s="20">
        <v>61</v>
      </c>
      <c r="K238" s="20">
        <v>1</v>
      </c>
      <c r="L238" s="20" t="s">
        <v>13</v>
      </c>
      <c r="M238" s="20"/>
      <c r="N238" s="20"/>
      <c r="O238" s="20">
        <v>10</v>
      </c>
      <c r="P238" s="20" t="s">
        <v>26</v>
      </c>
      <c r="Q238" s="20" t="s">
        <v>1657</v>
      </c>
      <c r="R238" s="20" t="str">
        <f t="shared" si="12"/>
        <v>TAPA SALSERO CLICK -AMARILLO</v>
      </c>
      <c r="S238" s="19">
        <f t="shared" si="13"/>
        <v>8</v>
      </c>
      <c r="T238" s="19">
        <f t="shared" si="14"/>
        <v>61</v>
      </c>
      <c r="U238" s="19"/>
      <c r="V238" s="19"/>
      <c r="W238" s="19"/>
      <c r="X238" s="19"/>
      <c r="Y238" s="19"/>
    </row>
    <row r="239" spans="1:25" ht="12" hidden="1" customHeight="1" thickBot="1" x14ac:dyDescent="0.35">
      <c r="A239" s="20">
        <v>1</v>
      </c>
      <c r="B239" s="20" t="s">
        <v>1556</v>
      </c>
      <c r="C239" s="20" t="s">
        <v>1606</v>
      </c>
      <c r="D239" s="20" t="s">
        <v>1652</v>
      </c>
      <c r="E239" s="20">
        <v>337</v>
      </c>
      <c r="F239" s="20" t="s">
        <v>1076</v>
      </c>
      <c r="G239" s="20" t="s">
        <v>1287</v>
      </c>
      <c r="H239" s="20" t="s">
        <v>1288</v>
      </c>
      <c r="I239" s="20">
        <v>8</v>
      </c>
      <c r="J239" s="20">
        <v>61</v>
      </c>
      <c r="K239" s="20">
        <v>1</v>
      </c>
      <c r="L239" s="20" t="s">
        <v>13</v>
      </c>
      <c r="M239" s="20"/>
      <c r="N239" s="20"/>
      <c r="O239" s="20">
        <v>13</v>
      </c>
      <c r="P239" s="20" t="s">
        <v>25</v>
      </c>
      <c r="Q239" s="20" t="s">
        <v>1658</v>
      </c>
      <c r="R239" s="20" t="str">
        <f t="shared" si="12"/>
        <v>TAPA SALSERO CLICK -BLANCO</v>
      </c>
      <c r="S239" s="19">
        <f t="shared" si="13"/>
        <v>8</v>
      </c>
      <c r="T239" s="19">
        <f t="shared" si="14"/>
        <v>61</v>
      </c>
      <c r="U239" s="19"/>
      <c r="V239" s="19"/>
      <c r="W239" s="19"/>
      <c r="X239" s="19"/>
      <c r="Y239" s="19"/>
    </row>
    <row r="240" spans="1:25" ht="12" hidden="1" customHeight="1" thickBot="1" x14ac:dyDescent="0.35">
      <c r="A240" s="20">
        <v>1</v>
      </c>
      <c r="B240" s="20" t="s">
        <v>1556</v>
      </c>
      <c r="C240" s="20" t="s">
        <v>1606</v>
      </c>
      <c r="D240" s="20" t="s">
        <v>1652</v>
      </c>
      <c r="E240" s="20">
        <v>338</v>
      </c>
      <c r="F240" s="20" t="s">
        <v>1077</v>
      </c>
      <c r="G240" s="20" t="s">
        <v>1287</v>
      </c>
      <c r="H240" s="20" t="s">
        <v>1288</v>
      </c>
      <c r="I240" s="20">
        <v>8</v>
      </c>
      <c r="J240" s="20">
        <v>61</v>
      </c>
      <c r="K240" s="20">
        <v>1</v>
      </c>
      <c r="L240" s="20" t="s">
        <v>13</v>
      </c>
      <c r="M240" s="20"/>
      <c r="N240" s="20"/>
      <c r="O240" s="20">
        <v>23</v>
      </c>
      <c r="P240" s="20" t="s">
        <v>1221</v>
      </c>
      <c r="Q240" s="20" t="s">
        <v>1659</v>
      </c>
      <c r="R240" s="20" t="str">
        <f t="shared" si="12"/>
        <v>TAPA SALSERO CLICK -VERDE</v>
      </c>
      <c r="S240" s="19">
        <f t="shared" si="13"/>
        <v>8</v>
      </c>
      <c r="T240" s="19">
        <f t="shared" si="14"/>
        <v>61</v>
      </c>
      <c r="U240" s="19"/>
      <c r="V240" s="19"/>
      <c r="W240" s="19"/>
      <c r="X240" s="19"/>
      <c r="Y240" s="19"/>
    </row>
    <row r="241" spans="1:25" ht="12" hidden="1" customHeight="1" thickBot="1" x14ac:dyDescent="0.35">
      <c r="A241" s="20">
        <v>1</v>
      </c>
      <c r="B241" s="20" t="s">
        <v>1556</v>
      </c>
      <c r="C241" s="20" t="s">
        <v>1606</v>
      </c>
      <c r="D241" s="20" t="s">
        <v>1652</v>
      </c>
      <c r="E241" s="20">
        <v>339</v>
      </c>
      <c r="F241" s="20" t="s">
        <v>1661</v>
      </c>
      <c r="G241" s="20" t="s">
        <v>1561</v>
      </c>
      <c r="H241" s="20" t="s">
        <v>1218</v>
      </c>
      <c r="I241" s="20">
        <v>1</v>
      </c>
      <c r="J241" s="20">
        <v>22</v>
      </c>
      <c r="K241" s="20">
        <v>2</v>
      </c>
      <c r="L241" s="20" t="s">
        <v>12</v>
      </c>
      <c r="M241" s="20"/>
      <c r="N241" s="20"/>
      <c r="O241" s="20">
        <v>21</v>
      </c>
      <c r="P241" s="20" t="s">
        <v>1218</v>
      </c>
      <c r="Q241" s="20" t="s">
        <v>1660</v>
      </c>
      <c r="R241" s="20" t="str">
        <f t="shared" si="12"/>
        <v>SALSERO CLICK 400ML</v>
      </c>
      <c r="S241" s="19">
        <f t="shared" si="13"/>
        <v>1</v>
      </c>
      <c r="T241" s="19">
        <f t="shared" si="14"/>
        <v>22</v>
      </c>
      <c r="U241" s="19"/>
      <c r="V241" s="19"/>
      <c r="W241" s="19"/>
      <c r="X241" s="19"/>
      <c r="Y241" s="19"/>
    </row>
    <row r="242" spans="1:25" ht="12" hidden="1" customHeight="1" thickBot="1" x14ac:dyDescent="0.35">
      <c r="A242" s="20">
        <v>1</v>
      </c>
      <c r="B242" s="20" t="s">
        <v>1556</v>
      </c>
      <c r="C242" s="20" t="s">
        <v>1663</v>
      </c>
      <c r="D242" s="20" t="s">
        <v>1664</v>
      </c>
      <c r="E242" s="20">
        <v>340</v>
      </c>
      <c r="F242" s="20" t="s">
        <v>1665</v>
      </c>
      <c r="G242" s="20" t="s">
        <v>1617</v>
      </c>
      <c r="H242" s="20" t="s">
        <v>1618</v>
      </c>
      <c r="I242" s="20">
        <v>1</v>
      </c>
      <c r="J242" s="20">
        <v>18</v>
      </c>
      <c r="K242" s="20">
        <v>1</v>
      </c>
      <c r="L242" s="20" t="s">
        <v>13</v>
      </c>
      <c r="M242" s="20"/>
      <c r="N242" s="20"/>
      <c r="O242" s="20">
        <v>17</v>
      </c>
      <c r="P242" s="20" t="s">
        <v>1214</v>
      </c>
      <c r="Q242" s="20" t="s">
        <v>1662</v>
      </c>
      <c r="R242" s="20" t="str">
        <f t="shared" si="12"/>
        <v>PANERITA CORAZON</v>
      </c>
      <c r="S242" s="19">
        <f t="shared" si="13"/>
        <v>1</v>
      </c>
      <c r="T242" s="19">
        <f t="shared" si="14"/>
        <v>18</v>
      </c>
      <c r="U242" s="19"/>
      <c r="V242" s="19"/>
      <c r="W242" s="19"/>
      <c r="X242" s="19"/>
      <c r="Y242" s="19"/>
    </row>
    <row r="243" spans="1:25" ht="12" hidden="1" customHeight="1" thickBot="1" x14ac:dyDescent="0.35">
      <c r="A243" s="20">
        <v>1</v>
      </c>
      <c r="B243" s="20" t="s">
        <v>1556</v>
      </c>
      <c r="C243" s="20" t="s">
        <v>1663</v>
      </c>
      <c r="D243" s="20" t="s">
        <v>1664</v>
      </c>
      <c r="E243" s="20">
        <v>341</v>
      </c>
      <c r="F243" s="20" t="s">
        <v>1665</v>
      </c>
      <c r="G243" s="20" t="s">
        <v>1617</v>
      </c>
      <c r="H243" s="20" t="s">
        <v>1618</v>
      </c>
      <c r="I243" s="20">
        <v>1</v>
      </c>
      <c r="J243" s="20">
        <v>18</v>
      </c>
      <c r="K243" s="20">
        <v>1</v>
      </c>
      <c r="L243" s="20" t="s">
        <v>13</v>
      </c>
      <c r="M243" s="20"/>
      <c r="N243" s="20"/>
      <c r="O243" s="20">
        <v>16</v>
      </c>
      <c r="P243" s="20" t="s">
        <v>1212</v>
      </c>
      <c r="Q243" s="20" t="s">
        <v>1666</v>
      </c>
      <c r="R243" s="20" t="str">
        <f t="shared" si="12"/>
        <v>PANERITA CORAZON</v>
      </c>
      <c r="S243" s="19">
        <f t="shared" si="13"/>
        <v>1</v>
      </c>
      <c r="T243" s="19">
        <f t="shared" si="14"/>
        <v>18</v>
      </c>
      <c r="U243" s="19"/>
      <c r="V243" s="19"/>
      <c r="W243" s="19"/>
      <c r="X243" s="19"/>
      <c r="Y243" s="19"/>
    </row>
    <row r="244" spans="1:25" ht="12" hidden="1" customHeight="1" thickBot="1" x14ac:dyDescent="0.35">
      <c r="A244" s="20">
        <v>1</v>
      </c>
      <c r="B244" s="20" t="s">
        <v>1556</v>
      </c>
      <c r="C244" s="20" t="s">
        <v>1663</v>
      </c>
      <c r="D244" s="20" t="s">
        <v>1664</v>
      </c>
      <c r="E244" s="20">
        <v>342</v>
      </c>
      <c r="F244" s="20" t="s">
        <v>1665</v>
      </c>
      <c r="G244" s="20" t="s">
        <v>1617</v>
      </c>
      <c r="H244" s="20" t="s">
        <v>1618</v>
      </c>
      <c r="I244" s="20">
        <v>1</v>
      </c>
      <c r="J244" s="20">
        <v>18</v>
      </c>
      <c r="K244" s="20">
        <v>1</v>
      </c>
      <c r="L244" s="20" t="s">
        <v>13</v>
      </c>
      <c r="M244" s="20"/>
      <c r="N244" s="20"/>
      <c r="O244" s="20">
        <v>22</v>
      </c>
      <c r="P244" s="20" t="s">
        <v>1614</v>
      </c>
      <c r="Q244" s="20" t="s">
        <v>1667</v>
      </c>
      <c r="R244" s="20" t="str">
        <f t="shared" si="12"/>
        <v>PANERITA CORAZON</v>
      </c>
      <c r="S244" s="19">
        <f t="shared" si="13"/>
        <v>1</v>
      </c>
      <c r="T244" s="19">
        <f t="shared" si="14"/>
        <v>18</v>
      </c>
      <c r="U244" s="19"/>
      <c r="V244" s="19"/>
      <c r="W244" s="19"/>
      <c r="X244" s="19"/>
      <c r="Y244" s="19"/>
    </row>
    <row r="245" spans="1:25" ht="12" hidden="1" customHeight="1" thickBot="1" x14ac:dyDescent="0.35">
      <c r="A245" s="20">
        <v>1</v>
      </c>
      <c r="B245" s="20" t="s">
        <v>1556</v>
      </c>
      <c r="C245" s="20" t="s">
        <v>1663</v>
      </c>
      <c r="D245" s="20" t="s">
        <v>1664</v>
      </c>
      <c r="E245" s="20">
        <v>343</v>
      </c>
      <c r="F245" s="20" t="s">
        <v>1665</v>
      </c>
      <c r="G245" s="20" t="s">
        <v>1617</v>
      </c>
      <c r="H245" s="20" t="s">
        <v>1618</v>
      </c>
      <c r="I245" s="20">
        <v>1</v>
      </c>
      <c r="J245" s="20">
        <v>18</v>
      </c>
      <c r="K245" s="20">
        <v>1</v>
      </c>
      <c r="L245" s="20" t="s">
        <v>13</v>
      </c>
      <c r="M245" s="20"/>
      <c r="N245" s="20"/>
      <c r="O245" s="20">
        <v>20</v>
      </c>
      <c r="P245" s="20" t="s">
        <v>1217</v>
      </c>
      <c r="Q245" s="20" t="s">
        <v>1668</v>
      </c>
      <c r="R245" s="20" t="str">
        <f t="shared" si="12"/>
        <v>PANERITA CORAZON</v>
      </c>
      <c r="S245" s="19">
        <f t="shared" si="13"/>
        <v>1</v>
      </c>
      <c r="T245" s="19">
        <f t="shared" si="14"/>
        <v>18</v>
      </c>
      <c r="U245" s="19"/>
      <c r="V245" s="19"/>
      <c r="W245" s="19"/>
      <c r="X245" s="19"/>
      <c r="Y245" s="19"/>
    </row>
    <row r="246" spans="1:25" ht="12.75" hidden="1" customHeight="1" thickBot="1" x14ac:dyDescent="0.35">
      <c r="A246" s="20">
        <v>1</v>
      </c>
      <c r="B246" s="20" t="s">
        <v>1556</v>
      </c>
      <c r="C246" s="20" t="s">
        <v>1802</v>
      </c>
      <c r="D246" s="20" t="s">
        <v>1965</v>
      </c>
      <c r="E246" s="20">
        <v>344</v>
      </c>
      <c r="F246" s="20" t="s">
        <v>1964</v>
      </c>
      <c r="G246" s="20" t="s">
        <v>1561</v>
      </c>
      <c r="H246" s="20" t="s">
        <v>1218</v>
      </c>
      <c r="I246" s="20">
        <v>16</v>
      </c>
      <c r="J246" s="20">
        <v>17</v>
      </c>
      <c r="K246" s="20">
        <v>1</v>
      </c>
      <c r="L246" s="20" t="s">
        <v>13</v>
      </c>
      <c r="M246" s="20"/>
      <c r="N246" s="20"/>
      <c r="O246" s="20">
        <v>21</v>
      </c>
      <c r="P246" s="20" t="s">
        <v>1218</v>
      </c>
      <c r="Q246" s="20" t="s">
        <v>1669</v>
      </c>
      <c r="R246" s="20" t="str">
        <f t="shared" si="12"/>
        <v>ORRING ARGOLLA-TRANSPARENTE</v>
      </c>
      <c r="S246" s="19">
        <f t="shared" si="13"/>
        <v>16</v>
      </c>
      <c r="T246" s="19">
        <f t="shared" si="14"/>
        <v>17</v>
      </c>
      <c r="U246" s="19">
        <v>70</v>
      </c>
      <c r="V246" s="19"/>
      <c r="W246" s="19"/>
      <c r="X246" s="19"/>
      <c r="Y246" s="19"/>
    </row>
    <row r="247" spans="1:25" ht="12" hidden="1" customHeight="1" thickBot="1" x14ac:dyDescent="0.35">
      <c r="A247" s="20">
        <v>1</v>
      </c>
      <c r="B247" s="20" t="s">
        <v>1556</v>
      </c>
      <c r="C247" s="20" t="s">
        <v>1671</v>
      </c>
      <c r="D247" s="20" t="s">
        <v>1672</v>
      </c>
      <c r="E247" s="20">
        <v>345</v>
      </c>
      <c r="F247" s="20" t="s">
        <v>2074</v>
      </c>
      <c r="G247" s="20" t="s">
        <v>1617</v>
      </c>
      <c r="H247" s="20" t="s">
        <v>1618</v>
      </c>
      <c r="I247" s="20">
        <v>1</v>
      </c>
      <c r="J247" s="20">
        <v>168</v>
      </c>
      <c r="K247" s="20">
        <v>1</v>
      </c>
      <c r="L247" s="20" t="s">
        <v>13</v>
      </c>
      <c r="M247" s="20"/>
      <c r="N247" s="20"/>
      <c r="O247" s="20">
        <v>24</v>
      </c>
      <c r="P247" s="20" t="s">
        <v>1210</v>
      </c>
      <c r="Q247" s="20" t="s">
        <v>1670</v>
      </c>
      <c r="R247" s="20" t="str">
        <f t="shared" si="12"/>
        <v>CESTO MULTIUSO-CREMA</v>
      </c>
      <c r="S247" s="19">
        <f t="shared" si="13"/>
        <v>1</v>
      </c>
      <c r="T247" s="19">
        <v>170</v>
      </c>
      <c r="U247" s="19">
        <v>120</v>
      </c>
      <c r="V247" s="19"/>
      <c r="W247" s="19"/>
      <c r="X247" s="19"/>
      <c r="Y247" s="19"/>
    </row>
    <row r="248" spans="1:25" ht="12" hidden="1" customHeight="1" thickBot="1" x14ac:dyDescent="0.35">
      <c r="A248" s="20">
        <v>1</v>
      </c>
      <c r="B248" s="20" t="s">
        <v>1556</v>
      </c>
      <c r="C248" s="20" t="s">
        <v>1671</v>
      </c>
      <c r="D248" s="20" t="s">
        <v>1672</v>
      </c>
      <c r="E248" s="20" t="s">
        <v>1674</v>
      </c>
      <c r="F248" s="20" t="s">
        <v>2103</v>
      </c>
      <c r="G248" s="20" t="s">
        <v>1617</v>
      </c>
      <c r="H248" s="20" t="s">
        <v>1618</v>
      </c>
      <c r="I248" s="20">
        <v>1</v>
      </c>
      <c r="J248" s="20">
        <v>168</v>
      </c>
      <c r="K248" s="20">
        <v>1</v>
      </c>
      <c r="L248" s="20" t="s">
        <v>13</v>
      </c>
      <c r="M248" s="20"/>
      <c r="N248" s="20"/>
      <c r="O248" s="20">
        <v>22</v>
      </c>
      <c r="P248" s="20" t="s">
        <v>1614</v>
      </c>
      <c r="Q248" s="20" t="s">
        <v>1673</v>
      </c>
      <c r="R248" s="20" t="str">
        <f t="shared" si="12"/>
        <v>CESTO MULTIUSO-TURQUESA</v>
      </c>
      <c r="S248" s="19">
        <f t="shared" si="13"/>
        <v>1</v>
      </c>
      <c r="T248" s="19">
        <v>170</v>
      </c>
      <c r="U248" s="19">
        <v>120</v>
      </c>
      <c r="V248" s="19"/>
      <c r="W248" s="19"/>
      <c r="X248" s="19"/>
      <c r="Y248" s="19"/>
    </row>
    <row r="249" spans="1:25" ht="12" hidden="1" customHeight="1" thickBot="1" x14ac:dyDescent="0.35">
      <c r="A249" s="20">
        <v>1</v>
      </c>
      <c r="B249" s="20" t="s">
        <v>1556</v>
      </c>
      <c r="C249" s="20" t="s">
        <v>1671</v>
      </c>
      <c r="D249" s="20" t="s">
        <v>1672</v>
      </c>
      <c r="E249" s="20">
        <v>347</v>
      </c>
      <c r="F249" s="20" t="s">
        <v>2100</v>
      </c>
      <c r="G249" s="20" t="s">
        <v>1617</v>
      </c>
      <c r="H249" s="20" t="s">
        <v>1618</v>
      </c>
      <c r="I249" s="20">
        <v>1</v>
      </c>
      <c r="J249" s="20">
        <v>168</v>
      </c>
      <c r="K249" s="20">
        <v>1</v>
      </c>
      <c r="L249" s="20" t="s">
        <v>13</v>
      </c>
      <c r="M249" s="20"/>
      <c r="N249" s="20"/>
      <c r="O249" s="20">
        <v>16</v>
      </c>
      <c r="P249" s="20" t="s">
        <v>1212</v>
      </c>
      <c r="Q249" s="20" t="s">
        <v>1675</v>
      </c>
      <c r="R249" s="20" t="str">
        <f t="shared" si="12"/>
        <v>CESTO MULTIUSO-LILA</v>
      </c>
      <c r="S249" s="19">
        <f t="shared" si="13"/>
        <v>1</v>
      </c>
      <c r="T249" s="19">
        <v>170</v>
      </c>
      <c r="U249" s="19">
        <v>120</v>
      </c>
      <c r="V249" s="19"/>
      <c r="W249" s="19"/>
      <c r="X249" s="19"/>
      <c r="Y249" s="19"/>
    </row>
    <row r="250" spans="1:25" ht="12" hidden="1" customHeight="1" thickBot="1" x14ac:dyDescent="0.35">
      <c r="A250" s="20">
        <v>1</v>
      </c>
      <c r="B250" s="20" t="s">
        <v>1556</v>
      </c>
      <c r="C250" s="20" t="s">
        <v>1671</v>
      </c>
      <c r="D250" s="20" t="s">
        <v>1672</v>
      </c>
      <c r="E250" s="20">
        <v>348</v>
      </c>
      <c r="F250" s="20" t="s">
        <v>2101</v>
      </c>
      <c r="G250" s="20" t="s">
        <v>1617</v>
      </c>
      <c r="H250" s="20" t="s">
        <v>1618</v>
      </c>
      <c r="I250" s="20">
        <v>1</v>
      </c>
      <c r="J250" s="20">
        <v>168</v>
      </c>
      <c r="K250" s="20">
        <v>1</v>
      </c>
      <c r="L250" s="20" t="s">
        <v>13</v>
      </c>
      <c r="M250" s="20"/>
      <c r="N250" s="20"/>
      <c r="O250" s="20">
        <v>17</v>
      </c>
      <c r="P250" s="20" t="s">
        <v>1214</v>
      </c>
      <c r="Q250" s="20" t="s">
        <v>1676</v>
      </c>
      <c r="R250" s="20" t="str">
        <f t="shared" si="12"/>
        <v>CESTO MULTIUSO-MELON</v>
      </c>
      <c r="S250" s="19">
        <f t="shared" si="13"/>
        <v>1</v>
      </c>
      <c r="T250" s="19">
        <v>170</v>
      </c>
      <c r="U250" s="19">
        <v>120</v>
      </c>
      <c r="V250" s="19"/>
      <c r="W250" s="19"/>
      <c r="X250" s="19"/>
      <c r="Y250" s="19"/>
    </row>
    <row r="251" spans="1:25" ht="12" hidden="1" customHeight="1" thickBot="1" x14ac:dyDescent="0.35">
      <c r="A251" s="20">
        <v>1</v>
      </c>
      <c r="B251" s="20" t="s">
        <v>1556</v>
      </c>
      <c r="C251" s="20" t="s">
        <v>1671</v>
      </c>
      <c r="D251" s="20" t="s">
        <v>1672</v>
      </c>
      <c r="E251" s="20">
        <v>349</v>
      </c>
      <c r="F251" s="20" t="s">
        <v>2102</v>
      </c>
      <c r="G251" s="20" t="s">
        <v>1617</v>
      </c>
      <c r="H251" s="20" t="s">
        <v>1618</v>
      </c>
      <c r="I251" s="20">
        <v>1</v>
      </c>
      <c r="J251" s="20">
        <v>168</v>
      </c>
      <c r="K251" s="20">
        <v>1</v>
      </c>
      <c r="L251" s="20" t="s">
        <v>13</v>
      </c>
      <c r="M251" s="20"/>
      <c r="N251" s="20"/>
      <c r="O251" s="20">
        <v>20</v>
      </c>
      <c r="P251" s="20" t="s">
        <v>1217</v>
      </c>
      <c r="Q251" s="20" t="s">
        <v>1677</v>
      </c>
      <c r="R251" s="20" t="str">
        <f t="shared" si="12"/>
        <v>CESTO MULTIUSO-ROSADO</v>
      </c>
      <c r="S251" s="19">
        <f t="shared" si="13"/>
        <v>1</v>
      </c>
      <c r="T251" s="19">
        <v>170</v>
      </c>
      <c r="U251" s="19">
        <v>120</v>
      </c>
      <c r="V251" s="19"/>
      <c r="W251" s="19"/>
      <c r="X251" s="19"/>
      <c r="Y251" s="19"/>
    </row>
    <row r="252" spans="1:25" ht="12" hidden="1" customHeight="1" thickBot="1" x14ac:dyDescent="0.35">
      <c r="A252" s="20">
        <v>1</v>
      </c>
      <c r="B252" s="20" t="s">
        <v>1556</v>
      </c>
      <c r="C252" s="20" t="s">
        <v>1671</v>
      </c>
      <c r="D252" s="20" t="s">
        <v>1672</v>
      </c>
      <c r="E252" s="20">
        <v>350</v>
      </c>
      <c r="F252" s="20" t="s">
        <v>2104</v>
      </c>
      <c r="G252" s="20" t="s">
        <v>1617</v>
      </c>
      <c r="H252" s="20" t="s">
        <v>1618</v>
      </c>
      <c r="I252" s="20">
        <v>1</v>
      </c>
      <c r="J252" s="20">
        <v>168</v>
      </c>
      <c r="K252" s="20">
        <v>1</v>
      </c>
      <c r="L252" s="20" t="s">
        <v>13</v>
      </c>
      <c r="M252" s="20"/>
      <c r="N252" s="20"/>
      <c r="O252" s="20">
        <v>23</v>
      </c>
      <c r="P252" s="20" t="s">
        <v>1221</v>
      </c>
      <c r="Q252" s="20" t="s">
        <v>1678</v>
      </c>
      <c r="R252" s="20" t="str">
        <f t="shared" si="12"/>
        <v>CESTO MULTIUSO-VERDE</v>
      </c>
      <c r="S252" s="19">
        <f t="shared" si="13"/>
        <v>1</v>
      </c>
      <c r="T252" s="19">
        <v>170</v>
      </c>
      <c r="U252" s="19">
        <v>120</v>
      </c>
      <c r="V252" s="19"/>
      <c r="W252" s="19"/>
      <c r="X252" s="19"/>
      <c r="Y252" s="19"/>
    </row>
    <row r="253" spans="1:25" ht="12" hidden="1" customHeight="1" thickBot="1" x14ac:dyDescent="0.35">
      <c r="A253" s="20">
        <v>1</v>
      </c>
      <c r="B253" s="20" t="s">
        <v>1556</v>
      </c>
      <c r="C253" s="20" t="s">
        <v>1200</v>
      </c>
      <c r="D253" s="20" t="s">
        <v>1200</v>
      </c>
      <c r="E253" s="20">
        <v>351</v>
      </c>
      <c r="F253" s="20" t="s">
        <v>1200</v>
      </c>
      <c r="G253" s="20" t="s">
        <v>1617</v>
      </c>
      <c r="H253" s="20" t="s">
        <v>1618</v>
      </c>
      <c r="I253" s="20">
        <v>1</v>
      </c>
      <c r="J253" s="20">
        <v>60</v>
      </c>
      <c r="K253" s="20">
        <v>1</v>
      </c>
      <c r="L253" s="20" t="s">
        <v>13</v>
      </c>
      <c r="M253" s="20"/>
      <c r="N253" s="20"/>
      <c r="O253" s="20">
        <v>24</v>
      </c>
      <c r="P253" s="20" t="s">
        <v>1210</v>
      </c>
      <c r="Q253" s="20" t="s">
        <v>1679</v>
      </c>
      <c r="R253" s="20" t="str">
        <f t="shared" si="12"/>
        <v>PORTA ACCESORIO</v>
      </c>
      <c r="S253" s="19">
        <f t="shared" si="13"/>
        <v>1</v>
      </c>
      <c r="T253" s="19">
        <f t="shared" si="14"/>
        <v>60</v>
      </c>
      <c r="U253" s="19"/>
      <c r="V253" s="19"/>
      <c r="W253" s="19"/>
      <c r="X253" s="19"/>
      <c r="Y253" s="19"/>
    </row>
    <row r="254" spans="1:25" ht="12" hidden="1" customHeight="1" thickBot="1" x14ac:dyDescent="0.35">
      <c r="A254" s="20">
        <v>1</v>
      </c>
      <c r="B254" s="20" t="s">
        <v>1556</v>
      </c>
      <c r="C254" s="20" t="s">
        <v>1200</v>
      </c>
      <c r="D254" s="20" t="s">
        <v>1200</v>
      </c>
      <c r="E254" s="20">
        <v>352</v>
      </c>
      <c r="F254" s="20" t="s">
        <v>1200</v>
      </c>
      <c r="G254" s="20" t="s">
        <v>1617</v>
      </c>
      <c r="H254" s="20" t="s">
        <v>1618</v>
      </c>
      <c r="I254" s="20">
        <v>1</v>
      </c>
      <c r="J254" s="20">
        <v>60</v>
      </c>
      <c r="K254" s="20">
        <v>1</v>
      </c>
      <c r="L254" s="20" t="s">
        <v>13</v>
      </c>
      <c r="M254" s="20"/>
      <c r="N254" s="20"/>
      <c r="O254" s="20">
        <v>22</v>
      </c>
      <c r="P254" s="20" t="s">
        <v>1614</v>
      </c>
      <c r="Q254" s="20" t="s">
        <v>1680</v>
      </c>
      <c r="R254" s="20" t="str">
        <f t="shared" si="12"/>
        <v>PORTA ACCESORIO</v>
      </c>
      <c r="S254" s="19">
        <f t="shared" si="13"/>
        <v>1</v>
      </c>
      <c r="T254" s="19">
        <f t="shared" si="14"/>
        <v>60</v>
      </c>
      <c r="U254" s="19"/>
      <c r="V254" s="19"/>
      <c r="W254" s="19"/>
      <c r="X254" s="19"/>
      <c r="Y254" s="19"/>
    </row>
    <row r="255" spans="1:25" ht="12" hidden="1" customHeight="1" thickBot="1" x14ac:dyDescent="0.35">
      <c r="A255" s="20">
        <v>1</v>
      </c>
      <c r="B255" s="20" t="s">
        <v>1556</v>
      </c>
      <c r="C255" s="20" t="s">
        <v>1200</v>
      </c>
      <c r="D255" s="20" t="s">
        <v>1200</v>
      </c>
      <c r="E255" s="20">
        <v>353</v>
      </c>
      <c r="F255" s="20" t="s">
        <v>1200</v>
      </c>
      <c r="G255" s="20" t="s">
        <v>1617</v>
      </c>
      <c r="H255" s="20" t="s">
        <v>1618</v>
      </c>
      <c r="I255" s="20">
        <v>1</v>
      </c>
      <c r="J255" s="20">
        <v>60</v>
      </c>
      <c r="K255" s="20">
        <v>1</v>
      </c>
      <c r="L255" s="20" t="s">
        <v>13</v>
      </c>
      <c r="M255" s="20"/>
      <c r="N255" s="20"/>
      <c r="O255" s="20">
        <v>16</v>
      </c>
      <c r="P255" s="20" t="s">
        <v>1212</v>
      </c>
      <c r="Q255" s="20" t="s">
        <v>1681</v>
      </c>
      <c r="R255" s="20" t="str">
        <f t="shared" si="12"/>
        <v>PORTA ACCESORIO</v>
      </c>
      <c r="S255" s="19">
        <f t="shared" si="13"/>
        <v>1</v>
      </c>
      <c r="T255" s="19">
        <f t="shared" si="14"/>
        <v>60</v>
      </c>
      <c r="U255" s="19"/>
      <c r="V255" s="19"/>
      <c r="W255" s="19"/>
      <c r="X255" s="19"/>
      <c r="Y255" s="19"/>
    </row>
    <row r="256" spans="1:25" ht="12" hidden="1" customHeight="1" thickBot="1" x14ac:dyDescent="0.35">
      <c r="A256" s="20">
        <v>1</v>
      </c>
      <c r="B256" s="20" t="s">
        <v>1556</v>
      </c>
      <c r="C256" s="20" t="s">
        <v>1200</v>
      </c>
      <c r="D256" s="20" t="s">
        <v>1200</v>
      </c>
      <c r="E256" s="20">
        <v>354</v>
      </c>
      <c r="F256" s="20" t="s">
        <v>1200</v>
      </c>
      <c r="G256" s="20" t="s">
        <v>1617</v>
      </c>
      <c r="H256" s="20" t="s">
        <v>1618</v>
      </c>
      <c r="I256" s="20">
        <v>1</v>
      </c>
      <c r="J256" s="20">
        <v>60</v>
      </c>
      <c r="K256" s="20">
        <v>1</v>
      </c>
      <c r="L256" s="20" t="s">
        <v>13</v>
      </c>
      <c r="M256" s="20"/>
      <c r="N256" s="20"/>
      <c r="O256" s="20">
        <v>17</v>
      </c>
      <c r="P256" s="20" t="s">
        <v>1214</v>
      </c>
      <c r="Q256" s="20" t="s">
        <v>1682</v>
      </c>
      <c r="R256" s="20" t="str">
        <f t="shared" si="12"/>
        <v>PORTA ACCESORIO</v>
      </c>
      <c r="S256" s="19">
        <f t="shared" si="13"/>
        <v>1</v>
      </c>
      <c r="T256" s="19">
        <f t="shared" si="14"/>
        <v>60</v>
      </c>
      <c r="U256" s="19"/>
      <c r="V256" s="19"/>
      <c r="W256" s="19"/>
      <c r="X256" s="19"/>
      <c r="Y256" s="19"/>
    </row>
    <row r="257" spans="1:25" ht="12" hidden="1" customHeight="1" thickBot="1" x14ac:dyDescent="0.35">
      <c r="A257" s="20">
        <v>1</v>
      </c>
      <c r="B257" s="20" t="s">
        <v>1556</v>
      </c>
      <c r="C257" s="20" t="s">
        <v>1200</v>
      </c>
      <c r="D257" s="20" t="s">
        <v>1200</v>
      </c>
      <c r="E257" s="20">
        <v>355</v>
      </c>
      <c r="F257" s="20" t="s">
        <v>1200</v>
      </c>
      <c r="G257" s="20" t="s">
        <v>1617</v>
      </c>
      <c r="H257" s="20" t="s">
        <v>1618</v>
      </c>
      <c r="I257" s="20">
        <v>1</v>
      </c>
      <c r="J257" s="20">
        <v>60</v>
      </c>
      <c r="K257" s="20">
        <v>1</v>
      </c>
      <c r="L257" s="20" t="s">
        <v>13</v>
      </c>
      <c r="M257" s="20"/>
      <c r="N257" s="20"/>
      <c r="O257" s="20">
        <v>20</v>
      </c>
      <c r="P257" s="20" t="s">
        <v>1217</v>
      </c>
      <c r="Q257" s="20" t="s">
        <v>1683</v>
      </c>
      <c r="R257" s="20" t="str">
        <f t="shared" si="12"/>
        <v>PORTA ACCESORIO</v>
      </c>
      <c r="S257" s="19">
        <f t="shared" si="13"/>
        <v>1</v>
      </c>
      <c r="T257" s="19">
        <f t="shared" si="14"/>
        <v>60</v>
      </c>
      <c r="U257" s="19"/>
      <c r="V257" s="19"/>
      <c r="W257" s="19"/>
      <c r="X257" s="19"/>
      <c r="Y257" s="19"/>
    </row>
    <row r="258" spans="1:25" ht="12" hidden="1" customHeight="1" thickBot="1" x14ac:dyDescent="0.35">
      <c r="A258" s="20">
        <v>1</v>
      </c>
      <c r="B258" s="20" t="s">
        <v>1556</v>
      </c>
      <c r="C258" s="20" t="s">
        <v>1200</v>
      </c>
      <c r="D258" s="20" t="s">
        <v>1200</v>
      </c>
      <c r="E258" s="20">
        <v>356</v>
      </c>
      <c r="F258" s="20" t="s">
        <v>1200</v>
      </c>
      <c r="G258" s="20" t="s">
        <v>1617</v>
      </c>
      <c r="H258" s="20" t="s">
        <v>1618</v>
      </c>
      <c r="I258" s="20">
        <v>1</v>
      </c>
      <c r="J258" s="20">
        <v>60</v>
      </c>
      <c r="K258" s="20">
        <v>1</v>
      </c>
      <c r="L258" s="20" t="s">
        <v>13</v>
      </c>
      <c r="M258" s="20"/>
      <c r="N258" s="20"/>
      <c r="O258" s="20">
        <v>23</v>
      </c>
      <c r="P258" s="20" t="s">
        <v>1221</v>
      </c>
      <c r="Q258" s="20" t="s">
        <v>1684</v>
      </c>
      <c r="R258" s="20" t="str">
        <f t="shared" si="12"/>
        <v>PORTA ACCESORIO</v>
      </c>
      <c r="S258" s="19">
        <f t="shared" si="13"/>
        <v>1</v>
      </c>
      <c r="T258" s="19">
        <f t="shared" si="14"/>
        <v>60</v>
      </c>
      <c r="U258" s="19"/>
      <c r="V258" s="19"/>
      <c r="W258" s="19"/>
      <c r="X258" s="19"/>
      <c r="Y258" s="19"/>
    </row>
    <row r="259" spans="1:25" ht="12" hidden="1" customHeight="1" thickBot="1" x14ac:dyDescent="0.35">
      <c r="A259" s="20">
        <v>1</v>
      </c>
      <c r="B259" s="20" t="s">
        <v>1556</v>
      </c>
      <c r="C259" s="20" t="s">
        <v>1643</v>
      </c>
      <c r="D259" s="20" t="s">
        <v>1227</v>
      </c>
      <c r="E259" s="20">
        <v>357</v>
      </c>
      <c r="F259" s="20" t="s">
        <v>1228</v>
      </c>
      <c r="G259" s="20" t="s">
        <v>1603</v>
      </c>
      <c r="H259" s="20" t="s">
        <v>1604</v>
      </c>
      <c r="I259" s="20">
        <v>6</v>
      </c>
      <c r="J259" s="20">
        <v>22</v>
      </c>
      <c r="K259" s="20">
        <v>1</v>
      </c>
      <c r="L259" s="20" t="s">
        <v>13</v>
      </c>
      <c r="M259" s="20"/>
      <c r="N259" s="20"/>
      <c r="O259" s="20">
        <v>10</v>
      </c>
      <c r="P259" s="20" t="s">
        <v>26</v>
      </c>
      <c r="Q259" s="20" t="s">
        <v>1685</v>
      </c>
      <c r="R259" s="20" t="str">
        <f t="shared" ref="R259:R322" si="15">F259</f>
        <v>VASO MUNDO MANZANITA CARAMELO-AMARILLO</v>
      </c>
      <c r="S259" s="19">
        <f t="shared" ref="S259:S322" si="16">+I259</f>
        <v>6</v>
      </c>
      <c r="T259" s="19">
        <f t="shared" ref="T259:T322" si="17">+J259</f>
        <v>22</v>
      </c>
      <c r="U259" s="19">
        <v>110</v>
      </c>
      <c r="V259" s="19"/>
      <c r="W259" s="19"/>
      <c r="X259" s="19"/>
      <c r="Y259" s="19"/>
    </row>
    <row r="260" spans="1:25" ht="12" hidden="1" customHeight="1" thickBot="1" x14ac:dyDescent="0.35">
      <c r="A260" s="20">
        <v>1</v>
      </c>
      <c r="B260" s="20" t="s">
        <v>1556</v>
      </c>
      <c r="C260" s="20" t="s">
        <v>1643</v>
      </c>
      <c r="D260" s="20" t="s">
        <v>1227</v>
      </c>
      <c r="E260" s="20">
        <v>358</v>
      </c>
      <c r="F260" s="20" t="s">
        <v>2099</v>
      </c>
      <c r="G260" s="20" t="s">
        <v>1603</v>
      </c>
      <c r="H260" s="20" t="s">
        <v>1604</v>
      </c>
      <c r="I260" s="20">
        <v>6</v>
      </c>
      <c r="J260" s="20">
        <v>22</v>
      </c>
      <c r="K260" s="20">
        <v>1</v>
      </c>
      <c r="L260" s="20" t="s">
        <v>13</v>
      </c>
      <c r="M260" s="20"/>
      <c r="N260" s="20"/>
      <c r="O260" s="20">
        <v>11</v>
      </c>
      <c r="P260" s="20" t="s">
        <v>1207</v>
      </c>
      <c r="Q260" s="20" t="s">
        <v>1686</v>
      </c>
      <c r="R260" s="20" t="str">
        <f t="shared" si="15"/>
        <v>VASO MUNDO MANZANITA CARAMELO-ANARANJADO</v>
      </c>
      <c r="S260" s="19">
        <f t="shared" si="16"/>
        <v>6</v>
      </c>
      <c r="T260" s="19">
        <f t="shared" si="17"/>
        <v>22</v>
      </c>
      <c r="U260" s="19">
        <v>110</v>
      </c>
      <c r="V260" s="19"/>
      <c r="W260" s="19"/>
      <c r="X260" s="19"/>
      <c r="Y260" s="19"/>
    </row>
    <row r="261" spans="1:25" ht="12" hidden="1" customHeight="1" thickBot="1" x14ac:dyDescent="0.35">
      <c r="A261" s="20">
        <v>1</v>
      </c>
      <c r="B261" s="20" t="s">
        <v>1556</v>
      </c>
      <c r="C261" s="20" t="s">
        <v>1643</v>
      </c>
      <c r="D261" s="20" t="s">
        <v>1227</v>
      </c>
      <c r="E261" s="20">
        <v>359</v>
      </c>
      <c r="F261" s="20" t="s">
        <v>1230</v>
      </c>
      <c r="G261" s="20" t="s">
        <v>1603</v>
      </c>
      <c r="H261" s="20" t="s">
        <v>1604</v>
      </c>
      <c r="I261" s="20">
        <v>6</v>
      </c>
      <c r="J261" s="20">
        <v>22</v>
      </c>
      <c r="K261" s="20">
        <v>1</v>
      </c>
      <c r="L261" s="20" t="s">
        <v>13</v>
      </c>
      <c r="M261" s="20"/>
      <c r="N261" s="20"/>
      <c r="O261" s="20">
        <v>12</v>
      </c>
      <c r="P261" s="20" t="s">
        <v>24</v>
      </c>
      <c r="Q261" s="20" t="s">
        <v>1687</v>
      </c>
      <c r="R261" s="20" t="str">
        <f t="shared" si="15"/>
        <v>VASO MUNDO MANZANITA CARAMELO-AZUL</v>
      </c>
      <c r="S261" s="19">
        <f t="shared" si="16"/>
        <v>6</v>
      </c>
      <c r="T261" s="19">
        <f t="shared" si="17"/>
        <v>22</v>
      </c>
      <c r="U261" s="19">
        <v>110</v>
      </c>
      <c r="V261" s="19"/>
      <c r="W261" s="19"/>
      <c r="X261" s="19"/>
      <c r="Y261" s="19"/>
    </row>
    <row r="262" spans="1:25" ht="12" hidden="1" customHeight="1" thickBot="1" x14ac:dyDescent="0.35">
      <c r="A262" s="20">
        <v>1</v>
      </c>
      <c r="B262" s="20" t="s">
        <v>1556</v>
      </c>
      <c r="C262" s="20" t="s">
        <v>1643</v>
      </c>
      <c r="D262" s="20" t="s">
        <v>1227</v>
      </c>
      <c r="E262" s="20">
        <v>400</v>
      </c>
      <c r="F262" s="20" t="s">
        <v>1924</v>
      </c>
      <c r="G262" s="20" t="s">
        <v>1603</v>
      </c>
      <c r="H262" s="20" t="s">
        <v>1604</v>
      </c>
      <c r="I262" s="20">
        <v>6</v>
      </c>
      <c r="J262" s="20">
        <v>22</v>
      </c>
      <c r="K262" s="20">
        <v>1</v>
      </c>
      <c r="L262" s="20" t="s">
        <v>13</v>
      </c>
      <c r="M262" s="20"/>
      <c r="N262" s="20"/>
      <c r="O262" s="20">
        <v>15</v>
      </c>
      <c r="P262" s="20" t="s">
        <v>1211</v>
      </c>
      <c r="Q262" s="20" t="s">
        <v>1688</v>
      </c>
      <c r="R262" s="20" t="str">
        <f t="shared" si="15"/>
        <v>VASO MUNDO MANZANITA CARAMELO-FUCSIA</v>
      </c>
      <c r="S262" s="19">
        <f t="shared" si="16"/>
        <v>6</v>
      </c>
      <c r="T262" s="19">
        <f t="shared" si="17"/>
        <v>22</v>
      </c>
      <c r="U262" s="19">
        <v>110</v>
      </c>
      <c r="V262" s="19"/>
      <c r="W262" s="19"/>
      <c r="X262" s="19"/>
      <c r="Y262" s="19"/>
    </row>
    <row r="263" spans="1:25" ht="12" hidden="1" customHeight="1" thickBot="1" x14ac:dyDescent="0.35">
      <c r="A263" s="20">
        <v>1</v>
      </c>
      <c r="B263" s="20" t="s">
        <v>1556</v>
      </c>
      <c r="C263" s="20" t="s">
        <v>1643</v>
      </c>
      <c r="D263" s="20" t="s">
        <v>1227</v>
      </c>
      <c r="E263" s="20">
        <v>401</v>
      </c>
      <c r="F263" s="20" t="s">
        <v>1231</v>
      </c>
      <c r="G263" s="20" t="s">
        <v>1603</v>
      </c>
      <c r="H263" s="20" t="s">
        <v>1604</v>
      </c>
      <c r="I263" s="20">
        <v>6</v>
      </c>
      <c r="J263" s="20">
        <v>22</v>
      </c>
      <c r="K263" s="20">
        <v>1</v>
      </c>
      <c r="L263" s="20" t="s">
        <v>13</v>
      </c>
      <c r="M263" s="20"/>
      <c r="N263" s="20"/>
      <c r="O263" s="20">
        <v>16</v>
      </c>
      <c r="P263" s="20" t="s">
        <v>1212</v>
      </c>
      <c r="Q263" s="20" t="s">
        <v>1689</v>
      </c>
      <c r="R263" s="20" t="str">
        <f t="shared" si="15"/>
        <v>VASO MUNDO MANZANITA CARAMELO-LILA</v>
      </c>
      <c r="S263" s="19">
        <f t="shared" si="16"/>
        <v>6</v>
      </c>
      <c r="T263" s="19">
        <f t="shared" si="17"/>
        <v>22</v>
      </c>
      <c r="U263" s="19">
        <v>110</v>
      </c>
      <c r="V263" s="19"/>
      <c r="W263" s="19"/>
      <c r="X263" s="19"/>
      <c r="Y263" s="19"/>
    </row>
    <row r="264" spans="1:25" ht="12" hidden="1" customHeight="1" thickBot="1" x14ac:dyDescent="0.35">
      <c r="A264" s="20">
        <v>1</v>
      </c>
      <c r="B264" s="20" t="s">
        <v>1556</v>
      </c>
      <c r="C264" s="20" t="s">
        <v>1643</v>
      </c>
      <c r="D264" s="20" t="s">
        <v>1227</v>
      </c>
      <c r="E264" s="20">
        <v>402</v>
      </c>
      <c r="F264" s="20" t="s">
        <v>1229</v>
      </c>
      <c r="G264" s="20" t="s">
        <v>1603</v>
      </c>
      <c r="H264" s="20" t="s">
        <v>1604</v>
      </c>
      <c r="I264" s="20">
        <v>6</v>
      </c>
      <c r="J264" s="20">
        <v>22</v>
      </c>
      <c r="K264" s="20">
        <v>1</v>
      </c>
      <c r="L264" s="20" t="s">
        <v>13</v>
      </c>
      <c r="M264" s="20"/>
      <c r="N264" s="20"/>
      <c r="O264" s="20">
        <v>23</v>
      </c>
      <c r="P264" s="20" t="s">
        <v>1221</v>
      </c>
      <c r="Q264" s="20" t="s">
        <v>1690</v>
      </c>
      <c r="R264" s="20" t="str">
        <f t="shared" si="15"/>
        <v>VASO MUNDO MANZANITA CARAMELO-VERDE</v>
      </c>
      <c r="S264" s="19">
        <f t="shared" si="16"/>
        <v>6</v>
      </c>
      <c r="T264" s="19">
        <f t="shared" si="17"/>
        <v>22</v>
      </c>
      <c r="U264" s="19">
        <v>110</v>
      </c>
      <c r="V264" s="19"/>
      <c r="W264" s="19"/>
      <c r="X264" s="19"/>
      <c r="Y264" s="19"/>
    </row>
    <row r="265" spans="1:25" ht="12" hidden="1" customHeight="1" thickBot="1" x14ac:dyDescent="0.35">
      <c r="A265" s="20">
        <v>1</v>
      </c>
      <c r="B265" s="20" t="s">
        <v>1556</v>
      </c>
      <c r="C265" s="20" t="s">
        <v>1692</v>
      </c>
      <c r="D265" s="20" t="s">
        <v>1693</v>
      </c>
      <c r="E265" s="20">
        <v>403</v>
      </c>
      <c r="F265" s="20" t="s">
        <v>1694</v>
      </c>
      <c r="G265" s="20" t="s">
        <v>1617</v>
      </c>
      <c r="H265" s="20" t="s">
        <v>1618</v>
      </c>
      <c r="I265" s="20">
        <v>1</v>
      </c>
      <c r="J265" s="20">
        <v>177</v>
      </c>
      <c r="K265" s="20">
        <v>1</v>
      </c>
      <c r="L265" s="20" t="s">
        <v>13</v>
      </c>
      <c r="M265" s="20"/>
      <c r="N265" s="20"/>
      <c r="O265" s="20">
        <v>22</v>
      </c>
      <c r="P265" s="20" t="s">
        <v>1614</v>
      </c>
      <c r="Q265" s="20" t="s">
        <v>1691</v>
      </c>
      <c r="R265" s="20" t="str">
        <f t="shared" si="15"/>
        <v>CANASTA PICNI PASTEL</v>
      </c>
      <c r="S265" s="19">
        <f t="shared" si="16"/>
        <v>1</v>
      </c>
      <c r="T265" s="19">
        <f t="shared" si="17"/>
        <v>177</v>
      </c>
      <c r="U265" s="19"/>
      <c r="V265" s="19"/>
      <c r="W265" s="19"/>
      <c r="X265" s="19"/>
      <c r="Y265" s="19"/>
    </row>
    <row r="266" spans="1:25" ht="12" hidden="1" customHeight="1" thickBot="1" x14ac:dyDescent="0.35">
      <c r="A266" s="20">
        <v>1</v>
      </c>
      <c r="B266" s="20" t="s">
        <v>1556</v>
      </c>
      <c r="C266" s="20" t="s">
        <v>1692</v>
      </c>
      <c r="D266" s="20" t="s">
        <v>1693</v>
      </c>
      <c r="E266" s="20">
        <v>404</v>
      </c>
      <c r="F266" s="20" t="s">
        <v>1694</v>
      </c>
      <c r="G266" s="20" t="s">
        <v>1617</v>
      </c>
      <c r="H266" s="20" t="s">
        <v>1618</v>
      </c>
      <c r="I266" s="20">
        <v>1</v>
      </c>
      <c r="J266" s="20">
        <v>177</v>
      </c>
      <c r="K266" s="20">
        <v>1</v>
      </c>
      <c r="L266" s="20" t="s">
        <v>13</v>
      </c>
      <c r="M266" s="20"/>
      <c r="N266" s="20"/>
      <c r="O266" s="20">
        <v>16</v>
      </c>
      <c r="P266" s="20" t="s">
        <v>1212</v>
      </c>
      <c r="Q266" s="20" t="s">
        <v>1695</v>
      </c>
      <c r="R266" s="20" t="str">
        <f t="shared" si="15"/>
        <v>CANASTA PICNI PASTEL</v>
      </c>
      <c r="S266" s="19">
        <f t="shared" si="16"/>
        <v>1</v>
      </c>
      <c r="T266" s="19">
        <f t="shared" si="17"/>
        <v>177</v>
      </c>
      <c r="U266" s="19"/>
      <c r="V266" s="19"/>
      <c r="W266" s="19"/>
      <c r="X266" s="19"/>
      <c r="Y266" s="19"/>
    </row>
    <row r="267" spans="1:25" ht="12" hidden="1" customHeight="1" thickBot="1" x14ac:dyDescent="0.35">
      <c r="A267" s="20">
        <v>1</v>
      </c>
      <c r="B267" s="20" t="s">
        <v>1556</v>
      </c>
      <c r="C267" s="20" t="s">
        <v>1692</v>
      </c>
      <c r="D267" s="20" t="s">
        <v>1693</v>
      </c>
      <c r="E267" s="20">
        <v>405</v>
      </c>
      <c r="F267" s="20" t="s">
        <v>1694</v>
      </c>
      <c r="G267" s="20" t="s">
        <v>1617</v>
      </c>
      <c r="H267" s="20" t="s">
        <v>1618</v>
      </c>
      <c r="I267" s="20">
        <v>1</v>
      </c>
      <c r="J267" s="20">
        <v>177</v>
      </c>
      <c r="K267" s="20">
        <v>1</v>
      </c>
      <c r="L267" s="20" t="s">
        <v>13</v>
      </c>
      <c r="M267" s="20"/>
      <c r="N267" s="20"/>
      <c r="O267" s="20">
        <v>17</v>
      </c>
      <c r="P267" s="20" t="s">
        <v>1214</v>
      </c>
      <c r="Q267" s="20" t="s">
        <v>1696</v>
      </c>
      <c r="R267" s="20" t="str">
        <f t="shared" si="15"/>
        <v>CANASTA PICNI PASTEL</v>
      </c>
      <c r="S267" s="19">
        <f t="shared" si="16"/>
        <v>1</v>
      </c>
      <c r="T267" s="19">
        <f t="shared" si="17"/>
        <v>177</v>
      </c>
      <c r="U267" s="19"/>
      <c r="V267" s="19"/>
      <c r="W267" s="19"/>
      <c r="X267" s="19"/>
      <c r="Y267" s="19"/>
    </row>
    <row r="268" spans="1:25" ht="12" hidden="1" customHeight="1" thickBot="1" x14ac:dyDescent="0.35">
      <c r="A268" s="20">
        <v>1</v>
      </c>
      <c r="B268" s="20" t="s">
        <v>1556</v>
      </c>
      <c r="C268" s="20" t="s">
        <v>1692</v>
      </c>
      <c r="D268" s="20" t="s">
        <v>1693</v>
      </c>
      <c r="E268" s="20">
        <v>406</v>
      </c>
      <c r="F268" s="20" t="s">
        <v>1694</v>
      </c>
      <c r="G268" s="20" t="s">
        <v>1617</v>
      </c>
      <c r="H268" s="20" t="s">
        <v>1618</v>
      </c>
      <c r="I268" s="20">
        <v>1</v>
      </c>
      <c r="J268" s="20">
        <v>177</v>
      </c>
      <c r="K268" s="20">
        <v>1</v>
      </c>
      <c r="L268" s="20" t="s">
        <v>13</v>
      </c>
      <c r="M268" s="20"/>
      <c r="N268" s="20"/>
      <c r="O268" s="20">
        <v>20</v>
      </c>
      <c r="P268" s="20" t="s">
        <v>1217</v>
      </c>
      <c r="Q268" s="20" t="s">
        <v>1697</v>
      </c>
      <c r="R268" s="20" t="str">
        <f t="shared" si="15"/>
        <v>CANASTA PICNI PASTEL</v>
      </c>
      <c r="S268" s="19">
        <f t="shared" si="16"/>
        <v>1</v>
      </c>
      <c r="T268" s="19">
        <f t="shared" si="17"/>
        <v>177</v>
      </c>
      <c r="U268" s="19"/>
      <c r="V268" s="19"/>
      <c r="W268" s="19"/>
      <c r="X268" s="19"/>
      <c r="Y268" s="19"/>
    </row>
    <row r="269" spans="1:25" ht="12" hidden="1" customHeight="1" thickBot="1" x14ac:dyDescent="0.35">
      <c r="A269" s="20">
        <v>1</v>
      </c>
      <c r="B269" s="20" t="s">
        <v>1556</v>
      </c>
      <c r="C269" s="20" t="s">
        <v>1699</v>
      </c>
      <c r="D269" s="20" t="s">
        <v>1693</v>
      </c>
      <c r="E269" s="20">
        <v>407</v>
      </c>
      <c r="F269" s="20" t="s">
        <v>1700</v>
      </c>
      <c r="G269" s="20" t="s">
        <v>1287</v>
      </c>
      <c r="H269" s="20" t="s">
        <v>1288</v>
      </c>
      <c r="I269" s="20">
        <v>4</v>
      </c>
      <c r="J269" s="20">
        <v>45</v>
      </c>
      <c r="K269" s="20">
        <v>1</v>
      </c>
      <c r="L269" s="20" t="s">
        <v>13</v>
      </c>
      <c r="M269" s="20"/>
      <c r="N269" s="20"/>
      <c r="O269" s="20">
        <v>13</v>
      </c>
      <c r="P269" s="20" t="s">
        <v>25</v>
      </c>
      <c r="Q269" s="20" t="s">
        <v>1698</v>
      </c>
      <c r="R269" s="20" t="str">
        <f t="shared" si="15"/>
        <v>ASAS DE CANASTA PICNIC</v>
      </c>
      <c r="S269" s="19">
        <f t="shared" si="16"/>
        <v>4</v>
      </c>
      <c r="T269" s="19">
        <f t="shared" si="17"/>
        <v>45</v>
      </c>
      <c r="U269" s="19"/>
      <c r="V269" s="19"/>
      <c r="W269" s="19"/>
      <c r="X269" s="19"/>
      <c r="Y269" s="19"/>
    </row>
    <row r="270" spans="1:25" ht="12.75" hidden="1" customHeight="1" thickBot="1" x14ac:dyDescent="0.35">
      <c r="A270" s="20">
        <v>1</v>
      </c>
      <c r="B270" s="20" t="s">
        <v>1556</v>
      </c>
      <c r="C270" s="20" t="s">
        <v>1563</v>
      </c>
      <c r="D270" s="20" t="s">
        <v>956</v>
      </c>
      <c r="E270" s="20">
        <v>409</v>
      </c>
      <c r="F270" s="20" t="s">
        <v>1201</v>
      </c>
      <c r="G270" s="20" t="s">
        <v>1603</v>
      </c>
      <c r="H270" s="20" t="s">
        <v>1604</v>
      </c>
      <c r="I270" s="20">
        <v>1</v>
      </c>
      <c r="J270" s="20">
        <v>60</v>
      </c>
      <c r="K270" s="20">
        <v>2</v>
      </c>
      <c r="L270" s="20" t="s">
        <v>12</v>
      </c>
      <c r="M270" s="20"/>
      <c r="N270" s="20"/>
      <c r="O270" s="20">
        <v>10</v>
      </c>
      <c r="P270" s="20" t="s">
        <v>26</v>
      </c>
      <c r="Q270" s="20" t="s">
        <v>1701</v>
      </c>
      <c r="R270" s="20" t="str">
        <f t="shared" si="15"/>
        <v>FLORERO ITALIANO CARAMELO-AMARILLO</v>
      </c>
      <c r="S270" s="19">
        <f t="shared" si="16"/>
        <v>1</v>
      </c>
      <c r="T270" s="19">
        <f t="shared" si="17"/>
        <v>60</v>
      </c>
      <c r="U270" s="19">
        <v>100</v>
      </c>
      <c r="V270" s="19"/>
      <c r="W270" s="19"/>
      <c r="X270" s="19"/>
      <c r="Y270" s="19"/>
    </row>
    <row r="271" spans="1:25" ht="12.75" hidden="1" customHeight="1" thickBot="1" x14ac:dyDescent="0.35">
      <c r="A271" s="20">
        <v>1</v>
      </c>
      <c r="B271" s="20" t="s">
        <v>1556</v>
      </c>
      <c r="C271" s="20" t="s">
        <v>1563</v>
      </c>
      <c r="D271" s="20" t="s">
        <v>956</v>
      </c>
      <c r="E271" s="20">
        <v>410</v>
      </c>
      <c r="F271" s="20" t="s">
        <v>1761</v>
      </c>
      <c r="G271" s="20" t="s">
        <v>1603</v>
      </c>
      <c r="H271" s="20" t="s">
        <v>1604</v>
      </c>
      <c r="I271" s="20">
        <v>1</v>
      </c>
      <c r="J271" s="20">
        <v>60</v>
      </c>
      <c r="K271" s="20">
        <v>2</v>
      </c>
      <c r="L271" s="20" t="s">
        <v>12</v>
      </c>
      <c r="M271" s="20"/>
      <c r="N271" s="20"/>
      <c r="O271" s="20">
        <v>11</v>
      </c>
      <c r="P271" s="20" t="s">
        <v>1207</v>
      </c>
      <c r="Q271" s="20" t="s">
        <v>1702</v>
      </c>
      <c r="R271" s="20" t="str">
        <f t="shared" si="15"/>
        <v>FLORERO ITALIANO CARAMELO-ANARANJADO</v>
      </c>
      <c r="S271" s="19">
        <f t="shared" si="16"/>
        <v>1</v>
      </c>
      <c r="T271" s="19">
        <f t="shared" si="17"/>
        <v>60</v>
      </c>
      <c r="U271" s="19">
        <v>100</v>
      </c>
      <c r="V271" s="19"/>
      <c r="W271" s="19"/>
      <c r="X271" s="19"/>
      <c r="Y271" s="19"/>
    </row>
    <row r="272" spans="1:25" ht="12.75" hidden="1" customHeight="1" thickBot="1" x14ac:dyDescent="0.35">
      <c r="A272" s="20">
        <v>1</v>
      </c>
      <c r="B272" s="20" t="s">
        <v>1556</v>
      </c>
      <c r="C272" s="20" t="s">
        <v>1563</v>
      </c>
      <c r="D272" s="20" t="s">
        <v>956</v>
      </c>
      <c r="E272" s="20">
        <v>411</v>
      </c>
      <c r="F272" s="20" t="s">
        <v>1203</v>
      </c>
      <c r="G272" s="20" t="s">
        <v>1603</v>
      </c>
      <c r="H272" s="20" t="s">
        <v>1604</v>
      </c>
      <c r="I272" s="20">
        <v>1</v>
      </c>
      <c r="J272" s="20">
        <v>60</v>
      </c>
      <c r="K272" s="20">
        <v>2</v>
      </c>
      <c r="L272" s="20" t="s">
        <v>12</v>
      </c>
      <c r="M272" s="20"/>
      <c r="N272" s="20"/>
      <c r="O272" s="20">
        <v>12</v>
      </c>
      <c r="P272" s="20" t="s">
        <v>24</v>
      </c>
      <c r="Q272" s="20" t="s">
        <v>1703</v>
      </c>
      <c r="R272" s="20" t="str">
        <f t="shared" si="15"/>
        <v>FLORERO ITALIANO CARAMELO-AZUL</v>
      </c>
      <c r="S272" s="19">
        <f t="shared" si="16"/>
        <v>1</v>
      </c>
      <c r="T272" s="19">
        <f t="shared" si="17"/>
        <v>60</v>
      </c>
      <c r="U272" s="19">
        <v>100</v>
      </c>
      <c r="V272" s="19"/>
      <c r="W272" s="19"/>
      <c r="X272" s="19"/>
      <c r="Y272" s="19"/>
    </row>
    <row r="273" spans="1:25" ht="12.75" hidden="1" customHeight="1" thickBot="1" x14ac:dyDescent="0.35">
      <c r="A273" s="20">
        <v>1</v>
      </c>
      <c r="B273" s="20" t="s">
        <v>1556</v>
      </c>
      <c r="C273" s="20" t="s">
        <v>1563</v>
      </c>
      <c r="D273" s="20" t="s">
        <v>956</v>
      </c>
      <c r="E273" s="20">
        <v>412</v>
      </c>
      <c r="F273" s="20" t="s">
        <v>1762</v>
      </c>
      <c r="G273" s="20" t="s">
        <v>1603</v>
      </c>
      <c r="H273" s="20" t="s">
        <v>1604</v>
      </c>
      <c r="I273" s="20">
        <v>1</v>
      </c>
      <c r="J273" s="20">
        <v>60</v>
      </c>
      <c r="K273" s="20">
        <v>2</v>
      </c>
      <c r="L273" s="20" t="s">
        <v>12</v>
      </c>
      <c r="M273" s="20"/>
      <c r="N273" s="20"/>
      <c r="O273" s="20">
        <v>15</v>
      </c>
      <c r="P273" s="20" t="s">
        <v>1211</v>
      </c>
      <c r="Q273" s="20" t="s">
        <v>1704</v>
      </c>
      <c r="R273" s="20" t="str">
        <f t="shared" si="15"/>
        <v>FLORERO ITALIANO CARAMELO-FUCSIA</v>
      </c>
      <c r="S273" s="19">
        <f t="shared" si="16"/>
        <v>1</v>
      </c>
      <c r="T273" s="19">
        <f t="shared" si="17"/>
        <v>60</v>
      </c>
      <c r="U273" s="19">
        <v>100</v>
      </c>
      <c r="V273" s="19"/>
      <c r="W273" s="19"/>
      <c r="X273" s="19"/>
      <c r="Y273" s="19"/>
    </row>
    <row r="274" spans="1:25" ht="12.75" hidden="1" customHeight="1" thickBot="1" x14ac:dyDescent="0.35">
      <c r="A274" s="20">
        <v>1</v>
      </c>
      <c r="B274" s="20" t="s">
        <v>1556</v>
      </c>
      <c r="C274" s="20" t="s">
        <v>1563</v>
      </c>
      <c r="D274" s="20" t="s">
        <v>956</v>
      </c>
      <c r="E274" s="20">
        <v>413</v>
      </c>
      <c r="F274" s="20" t="s">
        <v>1204</v>
      </c>
      <c r="G274" s="20" t="s">
        <v>1603</v>
      </c>
      <c r="H274" s="20" t="s">
        <v>1604</v>
      </c>
      <c r="I274" s="20">
        <v>1</v>
      </c>
      <c r="J274" s="20">
        <v>60</v>
      </c>
      <c r="K274" s="20">
        <v>2</v>
      </c>
      <c r="L274" s="20" t="s">
        <v>12</v>
      </c>
      <c r="M274" s="20"/>
      <c r="N274" s="20"/>
      <c r="O274" s="20">
        <v>16</v>
      </c>
      <c r="P274" s="20" t="s">
        <v>1212</v>
      </c>
      <c r="Q274" s="20" t="s">
        <v>1705</v>
      </c>
      <c r="R274" s="20" t="str">
        <f t="shared" si="15"/>
        <v>FLORERO ITALIANO CARAMELO-LILA</v>
      </c>
      <c r="S274" s="19">
        <f t="shared" si="16"/>
        <v>1</v>
      </c>
      <c r="T274" s="19">
        <f t="shared" si="17"/>
        <v>60</v>
      </c>
      <c r="U274" s="19">
        <v>100</v>
      </c>
      <c r="V274" s="19"/>
      <c r="W274" s="19"/>
      <c r="X274" s="19"/>
      <c r="Y274" s="19"/>
    </row>
    <row r="275" spans="1:25" ht="12.75" hidden="1" customHeight="1" thickBot="1" x14ac:dyDescent="0.35">
      <c r="A275" s="20">
        <v>1</v>
      </c>
      <c r="B275" s="20" t="s">
        <v>1556</v>
      </c>
      <c r="C275" s="20" t="s">
        <v>1563</v>
      </c>
      <c r="D275" s="20" t="s">
        <v>956</v>
      </c>
      <c r="E275" s="20">
        <v>414</v>
      </c>
      <c r="F275" s="20" t="s">
        <v>1202</v>
      </c>
      <c r="G275" s="20" t="s">
        <v>1603</v>
      </c>
      <c r="H275" s="20" t="s">
        <v>1604</v>
      </c>
      <c r="I275" s="20">
        <v>1</v>
      </c>
      <c r="J275" s="20">
        <v>60</v>
      </c>
      <c r="K275" s="20">
        <v>2</v>
      </c>
      <c r="L275" s="20" t="s">
        <v>12</v>
      </c>
      <c r="M275" s="20"/>
      <c r="N275" s="20"/>
      <c r="O275" s="20">
        <v>23</v>
      </c>
      <c r="P275" s="20" t="s">
        <v>1221</v>
      </c>
      <c r="Q275" s="20" t="s">
        <v>1706</v>
      </c>
      <c r="R275" s="20" t="str">
        <f t="shared" si="15"/>
        <v>FLORERO ITALIANO CARAMELO-VERDE</v>
      </c>
      <c r="S275" s="19">
        <f t="shared" si="16"/>
        <v>1</v>
      </c>
      <c r="T275" s="19">
        <f t="shared" si="17"/>
        <v>60</v>
      </c>
      <c r="U275" s="19">
        <v>100</v>
      </c>
      <c r="V275" s="19"/>
      <c r="W275" s="19"/>
      <c r="X275" s="19"/>
      <c r="Y275" s="19"/>
    </row>
    <row r="276" spans="1:25" ht="12.75" customHeight="1" thickBot="1" x14ac:dyDescent="0.35">
      <c r="A276" s="20">
        <v>1</v>
      </c>
      <c r="B276" s="20" t="s">
        <v>1556</v>
      </c>
      <c r="C276" s="20" t="s">
        <v>1563</v>
      </c>
      <c r="D276" s="20" t="s">
        <v>1152</v>
      </c>
      <c r="E276" s="20">
        <v>415</v>
      </c>
      <c r="F276" s="20" t="s">
        <v>1763</v>
      </c>
      <c r="G276" s="20" t="s">
        <v>1603</v>
      </c>
      <c r="H276" s="20" t="s">
        <v>1604</v>
      </c>
      <c r="I276" s="20">
        <v>1</v>
      </c>
      <c r="J276" s="20">
        <v>90</v>
      </c>
      <c r="K276" s="20">
        <v>2</v>
      </c>
      <c r="L276" s="20" t="s">
        <v>12</v>
      </c>
      <c r="M276" s="20"/>
      <c r="N276" s="20"/>
      <c r="O276" s="20">
        <v>10</v>
      </c>
      <c r="P276" s="20" t="s">
        <v>26</v>
      </c>
      <c r="Q276" s="20" t="s">
        <v>1707</v>
      </c>
      <c r="R276" s="20" t="str">
        <f t="shared" si="15"/>
        <v>FLORERO ITALIANO GRANDE CARAMELO-AMARILLO</v>
      </c>
      <c r="S276" s="19">
        <f t="shared" si="16"/>
        <v>1</v>
      </c>
      <c r="T276" s="19">
        <f t="shared" si="17"/>
        <v>90</v>
      </c>
      <c r="U276" s="19"/>
      <c r="V276" s="19"/>
      <c r="W276" s="19"/>
      <c r="X276" s="19"/>
      <c r="Y276" s="19"/>
    </row>
    <row r="277" spans="1:25" ht="12.75" customHeight="1" thickBot="1" x14ac:dyDescent="0.35">
      <c r="A277" s="20">
        <v>1</v>
      </c>
      <c r="B277" s="20" t="s">
        <v>1556</v>
      </c>
      <c r="C277" s="20" t="s">
        <v>1563</v>
      </c>
      <c r="D277" s="20" t="s">
        <v>1152</v>
      </c>
      <c r="E277" s="20">
        <v>416</v>
      </c>
      <c r="F277" s="20" t="s">
        <v>1764</v>
      </c>
      <c r="G277" s="20" t="s">
        <v>1603</v>
      </c>
      <c r="H277" s="20" t="s">
        <v>1604</v>
      </c>
      <c r="I277" s="20">
        <v>1</v>
      </c>
      <c r="J277" s="20">
        <v>90</v>
      </c>
      <c r="K277" s="20">
        <v>2</v>
      </c>
      <c r="L277" s="20" t="s">
        <v>12</v>
      </c>
      <c r="M277" s="20"/>
      <c r="N277" s="20"/>
      <c r="O277" s="20">
        <v>11</v>
      </c>
      <c r="P277" s="20" t="s">
        <v>1207</v>
      </c>
      <c r="Q277" s="20" t="s">
        <v>1708</v>
      </c>
      <c r="R277" s="20" t="str">
        <f t="shared" si="15"/>
        <v>FLORERO ITALIANO GRANDE CARAMELO-ANARANJADO</v>
      </c>
      <c r="S277" s="19">
        <f t="shared" si="16"/>
        <v>1</v>
      </c>
      <c r="T277" s="19">
        <f t="shared" si="17"/>
        <v>90</v>
      </c>
      <c r="U277" s="19"/>
      <c r="V277" s="19"/>
      <c r="W277" s="19"/>
      <c r="X277" s="19"/>
      <c r="Y277" s="19"/>
    </row>
    <row r="278" spans="1:25" ht="12.75" customHeight="1" thickBot="1" x14ac:dyDescent="0.35">
      <c r="A278" s="20">
        <v>1</v>
      </c>
      <c r="B278" s="20" t="s">
        <v>1556</v>
      </c>
      <c r="C278" s="20" t="s">
        <v>1563</v>
      </c>
      <c r="D278" s="20" t="s">
        <v>1152</v>
      </c>
      <c r="E278" s="20">
        <v>417</v>
      </c>
      <c r="F278" s="20" t="s">
        <v>1765</v>
      </c>
      <c r="G278" s="20" t="s">
        <v>1603</v>
      </c>
      <c r="H278" s="20" t="s">
        <v>1604</v>
      </c>
      <c r="I278" s="20">
        <v>1</v>
      </c>
      <c r="J278" s="20">
        <v>90</v>
      </c>
      <c r="K278" s="20">
        <v>2</v>
      </c>
      <c r="L278" s="20" t="s">
        <v>12</v>
      </c>
      <c r="M278" s="20"/>
      <c r="N278" s="20"/>
      <c r="O278" s="20">
        <v>12</v>
      </c>
      <c r="P278" s="20" t="s">
        <v>24</v>
      </c>
      <c r="Q278" s="20" t="s">
        <v>1709</v>
      </c>
      <c r="R278" s="20" t="str">
        <f t="shared" si="15"/>
        <v>FLORERO ITALIANO GRANDE CARAMELO-AZUL</v>
      </c>
      <c r="S278" s="19">
        <f t="shared" si="16"/>
        <v>1</v>
      </c>
      <c r="T278" s="19">
        <f t="shared" si="17"/>
        <v>90</v>
      </c>
      <c r="U278" s="19"/>
      <c r="V278" s="19"/>
      <c r="W278" s="19"/>
      <c r="X278" s="19"/>
      <c r="Y278" s="19"/>
    </row>
    <row r="279" spans="1:25" ht="12.75" customHeight="1" thickBot="1" x14ac:dyDescent="0.35">
      <c r="A279" s="20">
        <v>1</v>
      </c>
      <c r="B279" s="20" t="s">
        <v>1556</v>
      </c>
      <c r="C279" s="20" t="s">
        <v>1563</v>
      </c>
      <c r="D279" s="20" t="s">
        <v>1152</v>
      </c>
      <c r="E279" s="20">
        <v>418</v>
      </c>
      <c r="F279" s="20" t="s">
        <v>1766</v>
      </c>
      <c r="G279" s="20" t="s">
        <v>1603</v>
      </c>
      <c r="H279" s="20" t="s">
        <v>1604</v>
      </c>
      <c r="I279" s="20">
        <v>1</v>
      </c>
      <c r="J279" s="20">
        <v>90</v>
      </c>
      <c r="K279" s="20">
        <v>2</v>
      </c>
      <c r="L279" s="20" t="s">
        <v>12</v>
      </c>
      <c r="M279" s="20"/>
      <c r="N279" s="20"/>
      <c r="O279" s="20">
        <v>15</v>
      </c>
      <c r="P279" s="20" t="s">
        <v>1211</v>
      </c>
      <c r="Q279" s="20" t="s">
        <v>1710</v>
      </c>
      <c r="R279" s="20" t="str">
        <f t="shared" si="15"/>
        <v>FLORERO ITALIANO GRANDE CARAMELO-FUCSIA</v>
      </c>
      <c r="S279" s="19">
        <f t="shared" si="16"/>
        <v>1</v>
      </c>
      <c r="T279" s="19">
        <f t="shared" si="17"/>
        <v>90</v>
      </c>
      <c r="U279" s="19"/>
      <c r="V279" s="19"/>
      <c r="W279" s="19"/>
      <c r="X279" s="19"/>
      <c r="Y279" s="19"/>
    </row>
    <row r="280" spans="1:25" ht="12.75" customHeight="1" thickBot="1" x14ac:dyDescent="0.35">
      <c r="A280" s="20">
        <v>1</v>
      </c>
      <c r="B280" s="20" t="s">
        <v>1556</v>
      </c>
      <c r="C280" s="20" t="s">
        <v>1563</v>
      </c>
      <c r="D280" s="20" t="s">
        <v>1152</v>
      </c>
      <c r="E280" s="20">
        <v>419</v>
      </c>
      <c r="F280" s="20" t="s">
        <v>1767</v>
      </c>
      <c r="G280" s="20" t="s">
        <v>1603</v>
      </c>
      <c r="H280" s="20" t="s">
        <v>1604</v>
      </c>
      <c r="I280" s="20">
        <v>1</v>
      </c>
      <c r="J280" s="20">
        <v>90</v>
      </c>
      <c r="K280" s="20">
        <v>2</v>
      </c>
      <c r="L280" s="20" t="s">
        <v>12</v>
      </c>
      <c r="M280" s="20"/>
      <c r="N280" s="20"/>
      <c r="O280" s="20">
        <v>16</v>
      </c>
      <c r="P280" s="20" t="s">
        <v>1212</v>
      </c>
      <c r="Q280" s="20" t="s">
        <v>1711</v>
      </c>
      <c r="R280" s="20" t="str">
        <f t="shared" si="15"/>
        <v>FLORERO ITALIANO GRANDE CARAMELO-LILA</v>
      </c>
      <c r="S280" s="19">
        <f t="shared" si="16"/>
        <v>1</v>
      </c>
      <c r="T280" s="19">
        <f t="shared" si="17"/>
        <v>90</v>
      </c>
      <c r="U280" s="19"/>
      <c r="V280" s="19"/>
      <c r="W280" s="19"/>
      <c r="X280" s="19"/>
      <c r="Y280" s="19"/>
    </row>
    <row r="281" spans="1:25" ht="12.75" customHeight="1" thickBot="1" x14ac:dyDescent="0.35">
      <c r="A281" s="20">
        <v>1</v>
      </c>
      <c r="B281" s="20" t="s">
        <v>1556</v>
      </c>
      <c r="C281" s="20" t="s">
        <v>1563</v>
      </c>
      <c r="D281" s="20" t="s">
        <v>1152</v>
      </c>
      <c r="E281" s="20">
        <v>420</v>
      </c>
      <c r="F281" s="20" t="s">
        <v>1768</v>
      </c>
      <c r="G281" s="20" t="s">
        <v>1603</v>
      </c>
      <c r="H281" s="20" t="s">
        <v>1604</v>
      </c>
      <c r="I281" s="20">
        <v>1</v>
      </c>
      <c r="J281" s="20">
        <v>90</v>
      </c>
      <c r="K281" s="20">
        <v>2</v>
      </c>
      <c r="L281" s="20" t="s">
        <v>12</v>
      </c>
      <c r="M281" s="20"/>
      <c r="N281" s="20"/>
      <c r="O281" s="20">
        <v>23</v>
      </c>
      <c r="P281" s="20" t="s">
        <v>1221</v>
      </c>
      <c r="Q281" s="20" t="s">
        <v>1712</v>
      </c>
      <c r="R281" s="20" t="str">
        <f t="shared" si="15"/>
        <v>FLORERO ITALIANO GRANDE CARAMELO-VERDE</v>
      </c>
      <c r="S281" s="19">
        <f t="shared" si="16"/>
        <v>1</v>
      </c>
      <c r="T281" s="19">
        <f t="shared" si="17"/>
        <v>90</v>
      </c>
      <c r="U281" s="19"/>
      <c r="V281" s="19"/>
      <c r="W281" s="19"/>
      <c r="X281" s="19"/>
      <c r="Y281" s="19"/>
    </row>
    <row r="282" spans="1:25" ht="12" hidden="1" customHeight="1" thickBot="1" x14ac:dyDescent="0.35">
      <c r="A282" s="20">
        <v>1</v>
      </c>
      <c r="B282" s="20" t="s">
        <v>1556</v>
      </c>
      <c r="C282" s="20" t="s">
        <v>1714</v>
      </c>
      <c r="D282" s="20" t="s">
        <v>2002</v>
      </c>
      <c r="E282" s="20">
        <v>421</v>
      </c>
      <c r="F282" s="20" t="s">
        <v>1262</v>
      </c>
      <c r="G282" s="20" t="s">
        <v>1617</v>
      </c>
      <c r="H282" s="20" t="s">
        <v>1618</v>
      </c>
      <c r="I282" s="20">
        <v>1</v>
      </c>
      <c r="J282" s="20">
        <v>245</v>
      </c>
      <c r="K282" s="20">
        <v>1</v>
      </c>
      <c r="L282" s="20" t="s">
        <v>13</v>
      </c>
      <c r="M282" s="20"/>
      <c r="N282" s="20"/>
      <c r="O282" s="20">
        <v>24</v>
      </c>
      <c r="P282" s="20" t="s">
        <v>1210</v>
      </c>
      <c r="Q282" s="20" t="s">
        <v>1713</v>
      </c>
      <c r="R282" s="20" t="str">
        <f t="shared" si="15"/>
        <v>ESCURRIDOR PORTAVAJILLA-CREMA</v>
      </c>
      <c r="S282" s="19">
        <f t="shared" si="16"/>
        <v>1</v>
      </c>
      <c r="T282" s="19">
        <f t="shared" si="17"/>
        <v>245</v>
      </c>
      <c r="U282" s="19">
        <v>120</v>
      </c>
      <c r="V282" s="19"/>
      <c r="W282" s="19"/>
      <c r="X282" s="19"/>
      <c r="Y282" s="19"/>
    </row>
    <row r="283" spans="1:25" ht="12" hidden="1" customHeight="1" thickBot="1" x14ac:dyDescent="0.35">
      <c r="A283" s="20">
        <v>1</v>
      </c>
      <c r="B283" s="20" t="s">
        <v>1556</v>
      </c>
      <c r="C283" s="20" t="s">
        <v>1714</v>
      </c>
      <c r="D283" s="20" t="s">
        <v>2002</v>
      </c>
      <c r="E283" s="20">
        <v>422</v>
      </c>
      <c r="F283" s="20" t="s">
        <v>2003</v>
      </c>
      <c r="G283" s="20" t="s">
        <v>1617</v>
      </c>
      <c r="H283" s="20" t="s">
        <v>1618</v>
      </c>
      <c r="I283" s="20">
        <v>1</v>
      </c>
      <c r="J283" s="20">
        <v>245</v>
      </c>
      <c r="K283" s="20">
        <v>1</v>
      </c>
      <c r="L283" s="20" t="s">
        <v>13</v>
      </c>
      <c r="M283" s="20"/>
      <c r="N283" s="20"/>
      <c r="O283" s="20">
        <v>22</v>
      </c>
      <c r="P283" s="20" t="s">
        <v>1614</v>
      </c>
      <c r="Q283" s="20" t="s">
        <v>1716</v>
      </c>
      <c r="R283" s="20" t="str">
        <f t="shared" si="15"/>
        <v>ESCURRIDOR PORTAVAJILLA-TURQUESA</v>
      </c>
      <c r="S283" s="19">
        <f t="shared" si="16"/>
        <v>1</v>
      </c>
      <c r="T283" s="19">
        <f t="shared" si="17"/>
        <v>245</v>
      </c>
      <c r="U283" s="19">
        <v>120</v>
      </c>
      <c r="V283" s="19"/>
      <c r="W283" s="19"/>
      <c r="X283" s="19"/>
      <c r="Y283" s="19"/>
    </row>
    <row r="284" spans="1:25" ht="12" hidden="1" customHeight="1" thickBot="1" x14ac:dyDescent="0.35">
      <c r="A284" s="20">
        <v>1</v>
      </c>
      <c r="B284" s="20" t="s">
        <v>1556</v>
      </c>
      <c r="C284" s="20" t="s">
        <v>1714</v>
      </c>
      <c r="D284" s="20" t="s">
        <v>2002</v>
      </c>
      <c r="E284" s="20">
        <v>423</v>
      </c>
      <c r="F284" s="20" t="s">
        <v>1240</v>
      </c>
      <c r="G284" s="20" t="s">
        <v>1617</v>
      </c>
      <c r="H284" s="20" t="s">
        <v>1618</v>
      </c>
      <c r="I284" s="20">
        <v>1</v>
      </c>
      <c r="J284" s="20">
        <v>245</v>
      </c>
      <c r="K284" s="20">
        <v>1</v>
      </c>
      <c r="L284" s="20" t="s">
        <v>13</v>
      </c>
      <c r="M284" s="20"/>
      <c r="N284" s="20"/>
      <c r="O284" s="20">
        <v>16</v>
      </c>
      <c r="P284" s="20" t="s">
        <v>1212</v>
      </c>
      <c r="Q284" s="20" t="s">
        <v>1717</v>
      </c>
      <c r="R284" s="20" t="str">
        <f t="shared" si="15"/>
        <v>ESCURRIDOR PORTAVAJILLA-LILA</v>
      </c>
      <c r="S284" s="19">
        <f t="shared" si="16"/>
        <v>1</v>
      </c>
      <c r="T284" s="19">
        <f t="shared" si="17"/>
        <v>245</v>
      </c>
      <c r="U284" s="19">
        <v>120</v>
      </c>
      <c r="V284" s="19"/>
      <c r="W284" s="19"/>
      <c r="X284" s="19"/>
      <c r="Y284" s="19"/>
    </row>
    <row r="285" spans="1:25" ht="12" hidden="1" customHeight="1" thickBot="1" x14ac:dyDescent="0.35">
      <c r="A285" s="20">
        <v>1</v>
      </c>
      <c r="B285" s="20" t="s">
        <v>1556</v>
      </c>
      <c r="C285" s="20" t="s">
        <v>1714</v>
      </c>
      <c r="D285" s="20" t="s">
        <v>2002</v>
      </c>
      <c r="E285" s="20">
        <v>424</v>
      </c>
      <c r="F285" s="20" t="s">
        <v>1238</v>
      </c>
      <c r="G285" s="20" t="s">
        <v>1617</v>
      </c>
      <c r="H285" s="20" t="s">
        <v>1618</v>
      </c>
      <c r="I285" s="20">
        <v>1</v>
      </c>
      <c r="J285" s="20">
        <v>245</v>
      </c>
      <c r="K285" s="20">
        <v>1</v>
      </c>
      <c r="L285" s="20" t="s">
        <v>13</v>
      </c>
      <c r="M285" s="20"/>
      <c r="N285" s="20"/>
      <c r="O285" s="20">
        <v>17</v>
      </c>
      <c r="P285" s="20" t="s">
        <v>1214</v>
      </c>
      <c r="Q285" s="20" t="s">
        <v>1718</v>
      </c>
      <c r="R285" s="20" t="str">
        <f t="shared" si="15"/>
        <v>ESCURRIDOR PORTAVAJILLA-MELON</v>
      </c>
      <c r="S285" s="19">
        <f t="shared" si="16"/>
        <v>1</v>
      </c>
      <c r="T285" s="19">
        <f t="shared" si="17"/>
        <v>245</v>
      </c>
      <c r="U285" s="19">
        <v>120</v>
      </c>
      <c r="V285" s="19"/>
      <c r="W285" s="19"/>
      <c r="X285" s="19"/>
      <c r="Y285" s="19"/>
    </row>
    <row r="286" spans="1:25" ht="12" hidden="1" customHeight="1" thickBot="1" x14ac:dyDescent="0.35">
      <c r="A286" s="20">
        <v>1</v>
      </c>
      <c r="B286" s="20" t="s">
        <v>1556</v>
      </c>
      <c r="C286" s="20" t="s">
        <v>1714</v>
      </c>
      <c r="D286" s="20" t="s">
        <v>2002</v>
      </c>
      <c r="E286" s="20">
        <v>425</v>
      </c>
      <c r="F286" s="20" t="s">
        <v>1239</v>
      </c>
      <c r="G286" s="20" t="s">
        <v>1617</v>
      </c>
      <c r="H286" s="20" t="s">
        <v>1618</v>
      </c>
      <c r="I286" s="20">
        <v>1</v>
      </c>
      <c r="J286" s="20">
        <v>245</v>
      </c>
      <c r="K286" s="20">
        <v>1</v>
      </c>
      <c r="L286" s="20" t="s">
        <v>13</v>
      </c>
      <c r="M286" s="20"/>
      <c r="N286" s="20"/>
      <c r="O286" s="20">
        <v>20</v>
      </c>
      <c r="P286" s="20" t="s">
        <v>1217</v>
      </c>
      <c r="Q286" s="20" t="s">
        <v>1719</v>
      </c>
      <c r="R286" s="20" t="str">
        <f t="shared" si="15"/>
        <v>ESCURRIDOR PORTAVAJILLA-ROSADO</v>
      </c>
      <c r="S286" s="19">
        <f t="shared" si="16"/>
        <v>1</v>
      </c>
      <c r="T286" s="19">
        <f t="shared" si="17"/>
        <v>245</v>
      </c>
      <c r="U286" s="19">
        <v>120</v>
      </c>
      <c r="V286" s="19"/>
      <c r="W286" s="19"/>
      <c r="X286" s="19"/>
      <c r="Y286" s="19"/>
    </row>
    <row r="287" spans="1:25" ht="12" hidden="1" customHeight="1" thickBot="1" x14ac:dyDescent="0.35">
      <c r="A287" s="20">
        <v>1</v>
      </c>
      <c r="B287" s="20" t="s">
        <v>1556</v>
      </c>
      <c r="C287" s="20" t="s">
        <v>1714</v>
      </c>
      <c r="D287" s="20" t="s">
        <v>2002</v>
      </c>
      <c r="E287" s="20">
        <v>426</v>
      </c>
      <c r="F287" s="20" t="s">
        <v>2001</v>
      </c>
      <c r="G287" s="20" t="s">
        <v>1617</v>
      </c>
      <c r="H287" s="20" t="s">
        <v>1618</v>
      </c>
      <c r="I287" s="20">
        <v>1</v>
      </c>
      <c r="J287" s="20">
        <v>245</v>
      </c>
      <c r="K287" s="20">
        <v>1</v>
      </c>
      <c r="L287" s="20" t="s">
        <v>13</v>
      </c>
      <c r="M287" s="20"/>
      <c r="N287" s="20"/>
      <c r="O287" s="20">
        <v>23</v>
      </c>
      <c r="P287" s="20" t="s">
        <v>1221</v>
      </c>
      <c r="Q287" s="20" t="s">
        <v>1720</v>
      </c>
      <c r="R287" s="20" t="str">
        <f t="shared" si="15"/>
        <v>ESCURRIDOR PORTAVAJILLA-VERDE</v>
      </c>
      <c r="S287" s="19">
        <f t="shared" si="16"/>
        <v>1</v>
      </c>
      <c r="T287" s="19">
        <f t="shared" si="17"/>
        <v>245</v>
      </c>
      <c r="U287" s="19">
        <v>120</v>
      </c>
      <c r="V287" s="19"/>
      <c r="W287" s="19"/>
      <c r="X287" s="19"/>
      <c r="Y287" s="19"/>
    </row>
    <row r="288" spans="1:25" ht="12" hidden="1" customHeight="1" thickBot="1" x14ac:dyDescent="0.35">
      <c r="A288" s="20">
        <v>1</v>
      </c>
      <c r="B288" s="20" t="s">
        <v>1556</v>
      </c>
      <c r="C288" s="20" t="s">
        <v>1722</v>
      </c>
      <c r="D288" s="20" t="s">
        <v>1752</v>
      </c>
      <c r="E288" s="20">
        <v>427</v>
      </c>
      <c r="F288" s="20" t="s">
        <v>1748</v>
      </c>
      <c r="G288" s="20" t="s">
        <v>1617</v>
      </c>
      <c r="H288" s="20" t="s">
        <v>1618</v>
      </c>
      <c r="I288" s="20">
        <v>1</v>
      </c>
      <c r="J288" s="20">
        <v>68</v>
      </c>
      <c r="K288" s="20">
        <v>1</v>
      </c>
      <c r="L288" s="20" t="s">
        <v>13</v>
      </c>
      <c r="M288" s="20"/>
      <c r="N288" s="20"/>
      <c r="O288" s="20">
        <v>22</v>
      </c>
      <c r="P288" s="20" t="s">
        <v>1614</v>
      </c>
      <c r="Q288" s="20" t="s">
        <v>1721</v>
      </c>
      <c r="R288" s="20" t="str">
        <f>F288</f>
        <v>FRUTERO CORONITA-TURQUESA</v>
      </c>
      <c r="S288" s="19">
        <f t="shared" si="16"/>
        <v>1</v>
      </c>
      <c r="T288" s="19">
        <f t="shared" si="17"/>
        <v>68</v>
      </c>
      <c r="U288" s="19"/>
      <c r="V288" s="19"/>
      <c r="W288" s="19"/>
      <c r="X288" s="19"/>
      <c r="Y288" s="19"/>
    </row>
    <row r="289" spans="1:25" ht="12" hidden="1" customHeight="1" thickBot="1" x14ac:dyDescent="0.35">
      <c r="A289" s="20">
        <v>1</v>
      </c>
      <c r="B289" s="20" t="s">
        <v>1556</v>
      </c>
      <c r="C289" s="20" t="s">
        <v>1722</v>
      </c>
      <c r="D289" s="20" t="s">
        <v>1752</v>
      </c>
      <c r="E289" s="20">
        <v>428</v>
      </c>
      <c r="F289" s="20" t="s">
        <v>1749</v>
      </c>
      <c r="G289" s="20" t="s">
        <v>1617</v>
      </c>
      <c r="H289" s="20" t="s">
        <v>1618</v>
      </c>
      <c r="I289" s="20">
        <v>1</v>
      </c>
      <c r="J289" s="20">
        <v>68</v>
      </c>
      <c r="K289" s="20">
        <v>1</v>
      </c>
      <c r="L289" s="20" t="s">
        <v>13</v>
      </c>
      <c r="M289" s="20"/>
      <c r="N289" s="20"/>
      <c r="O289" s="20">
        <v>16</v>
      </c>
      <c r="P289" s="20" t="s">
        <v>1212</v>
      </c>
      <c r="Q289" s="20" t="s">
        <v>1723</v>
      </c>
      <c r="R289" s="20" t="str">
        <f t="shared" si="15"/>
        <v>FRUTERO CORONITA-LILA</v>
      </c>
      <c r="S289" s="19">
        <f t="shared" si="16"/>
        <v>1</v>
      </c>
      <c r="T289" s="19">
        <f t="shared" si="17"/>
        <v>68</v>
      </c>
      <c r="U289" s="19"/>
      <c r="V289" s="19"/>
      <c r="W289" s="19"/>
      <c r="X289" s="19"/>
      <c r="Y289" s="19"/>
    </row>
    <row r="290" spans="1:25" ht="12" hidden="1" customHeight="1" thickBot="1" x14ac:dyDescent="0.35">
      <c r="A290" s="20">
        <v>1</v>
      </c>
      <c r="B290" s="20" t="s">
        <v>1556</v>
      </c>
      <c r="C290" s="20" t="s">
        <v>1722</v>
      </c>
      <c r="D290" s="20" t="s">
        <v>1752</v>
      </c>
      <c r="E290" s="20">
        <v>429</v>
      </c>
      <c r="F290" s="20" t="s">
        <v>1750</v>
      </c>
      <c r="G290" s="20" t="s">
        <v>1617</v>
      </c>
      <c r="H290" s="20" t="s">
        <v>1618</v>
      </c>
      <c r="I290" s="20">
        <v>1</v>
      </c>
      <c r="J290" s="20">
        <v>68</v>
      </c>
      <c r="K290" s="20">
        <v>1</v>
      </c>
      <c r="L290" s="20" t="s">
        <v>13</v>
      </c>
      <c r="M290" s="20"/>
      <c r="N290" s="20"/>
      <c r="O290" s="20">
        <v>17</v>
      </c>
      <c r="P290" s="20" t="s">
        <v>1214</v>
      </c>
      <c r="Q290" s="20" t="s">
        <v>1724</v>
      </c>
      <c r="R290" s="20" t="str">
        <f t="shared" si="15"/>
        <v>FRUTERO CORONITA-MELON</v>
      </c>
      <c r="S290" s="19">
        <f t="shared" si="16"/>
        <v>1</v>
      </c>
      <c r="T290" s="19">
        <f t="shared" si="17"/>
        <v>68</v>
      </c>
      <c r="U290" s="19"/>
      <c r="V290" s="19"/>
      <c r="W290" s="19"/>
      <c r="X290" s="19"/>
      <c r="Y290" s="19"/>
    </row>
    <row r="291" spans="1:25" ht="12" hidden="1" customHeight="1" thickBot="1" x14ac:dyDescent="0.35">
      <c r="A291" s="20">
        <v>1</v>
      </c>
      <c r="B291" s="20" t="s">
        <v>1556</v>
      </c>
      <c r="C291" s="20" t="s">
        <v>1722</v>
      </c>
      <c r="D291" s="20" t="s">
        <v>1752</v>
      </c>
      <c r="E291" s="20">
        <v>430</v>
      </c>
      <c r="F291" s="20" t="s">
        <v>1751</v>
      </c>
      <c r="G291" s="20" t="s">
        <v>1617</v>
      </c>
      <c r="H291" s="20" t="s">
        <v>1618</v>
      </c>
      <c r="I291" s="20">
        <v>1</v>
      </c>
      <c r="J291" s="20">
        <v>68</v>
      </c>
      <c r="K291" s="20">
        <v>1</v>
      </c>
      <c r="L291" s="20" t="s">
        <v>13</v>
      </c>
      <c r="M291" s="20"/>
      <c r="N291" s="20"/>
      <c r="O291" s="20">
        <v>20</v>
      </c>
      <c r="P291" s="20" t="s">
        <v>1217</v>
      </c>
      <c r="Q291" s="20" t="s">
        <v>1725</v>
      </c>
      <c r="R291" s="20" t="str">
        <f t="shared" si="15"/>
        <v>FRUTERO CORONITA-ROSADO</v>
      </c>
      <c r="S291" s="19">
        <f t="shared" si="16"/>
        <v>1</v>
      </c>
      <c r="T291" s="19">
        <f t="shared" si="17"/>
        <v>68</v>
      </c>
      <c r="U291" s="19"/>
      <c r="V291" s="19"/>
      <c r="W291" s="19"/>
      <c r="X291" s="19"/>
      <c r="Y291" s="19"/>
    </row>
    <row r="292" spans="1:25" ht="12" hidden="1" customHeight="1" thickBot="1" x14ac:dyDescent="0.35">
      <c r="A292" s="20">
        <v>1</v>
      </c>
      <c r="B292" s="20" t="s">
        <v>1556</v>
      </c>
      <c r="C292" s="20" t="s">
        <v>1714</v>
      </c>
      <c r="D292" s="18" t="s">
        <v>1236</v>
      </c>
      <c r="E292" s="20">
        <v>431</v>
      </c>
      <c r="F292" s="47" t="s">
        <v>1237</v>
      </c>
      <c r="G292" s="20" t="s">
        <v>1561</v>
      </c>
      <c r="H292" s="20" t="s">
        <v>1218</v>
      </c>
      <c r="I292" s="20">
        <v>1</v>
      </c>
      <c r="J292" s="20">
        <v>376</v>
      </c>
      <c r="K292" s="20">
        <v>1</v>
      </c>
      <c r="L292" s="20" t="s">
        <v>13</v>
      </c>
      <c r="M292" s="20"/>
      <c r="N292" s="20"/>
      <c r="O292" s="20">
        <v>21</v>
      </c>
      <c r="P292" s="20" t="s">
        <v>1218</v>
      </c>
      <c r="Q292" s="20" t="s">
        <v>1726</v>
      </c>
      <c r="R292" s="20" t="str">
        <f t="shared" si="15"/>
        <v>BASE PORTA VAJILLA-TRANSPARENTE</v>
      </c>
      <c r="S292" s="19">
        <f t="shared" si="16"/>
        <v>1</v>
      </c>
      <c r="T292" s="19">
        <f t="shared" si="17"/>
        <v>376</v>
      </c>
      <c r="U292" s="19">
        <v>100</v>
      </c>
      <c r="V292" s="19"/>
      <c r="W292" s="19"/>
      <c r="X292" s="19"/>
      <c r="Y292" s="19"/>
    </row>
    <row r="293" spans="1:25" ht="12" hidden="1" customHeight="1" thickBot="1" x14ac:dyDescent="0.35">
      <c r="A293" s="20">
        <v>1</v>
      </c>
      <c r="B293" s="20" t="s">
        <v>1556</v>
      </c>
      <c r="C293" s="20" t="s">
        <v>1692</v>
      </c>
      <c r="D293" s="20" t="s">
        <v>1693</v>
      </c>
      <c r="E293" s="20">
        <v>432</v>
      </c>
      <c r="F293" s="20" t="s">
        <v>1728</v>
      </c>
      <c r="G293" s="20" t="s">
        <v>1617</v>
      </c>
      <c r="H293" s="20" t="s">
        <v>1618</v>
      </c>
      <c r="I293" s="20">
        <v>1</v>
      </c>
      <c r="J293" s="20">
        <v>40</v>
      </c>
      <c r="K293" s="20">
        <v>1</v>
      </c>
      <c r="L293" s="20" t="s">
        <v>13</v>
      </c>
      <c r="M293" s="20"/>
      <c r="N293" s="20"/>
      <c r="O293" s="20">
        <v>22</v>
      </c>
      <c r="P293" s="20" t="s">
        <v>1614</v>
      </c>
      <c r="Q293" s="20" t="s">
        <v>1727</v>
      </c>
      <c r="R293" s="20" t="str">
        <f t="shared" si="15"/>
        <v>TAPA DE CANASTA PICNIC</v>
      </c>
      <c r="S293" s="19">
        <f t="shared" si="16"/>
        <v>1</v>
      </c>
      <c r="T293" s="19">
        <f t="shared" si="17"/>
        <v>40</v>
      </c>
      <c r="U293" s="19"/>
      <c r="V293" s="19"/>
      <c r="W293" s="19"/>
      <c r="X293" s="19"/>
      <c r="Y293" s="19"/>
    </row>
    <row r="294" spans="1:25" ht="12" hidden="1" customHeight="1" thickBot="1" x14ac:dyDescent="0.35">
      <c r="A294" s="20">
        <v>1</v>
      </c>
      <c r="B294" s="20" t="s">
        <v>1556</v>
      </c>
      <c r="C294" s="20" t="s">
        <v>1692</v>
      </c>
      <c r="D294" s="20" t="s">
        <v>1693</v>
      </c>
      <c r="E294" s="20">
        <v>433</v>
      </c>
      <c r="F294" s="20" t="s">
        <v>1728</v>
      </c>
      <c r="G294" s="20" t="s">
        <v>1617</v>
      </c>
      <c r="H294" s="20" t="s">
        <v>1618</v>
      </c>
      <c r="I294" s="20">
        <v>1</v>
      </c>
      <c r="J294" s="20">
        <v>40</v>
      </c>
      <c r="K294" s="20">
        <v>1</v>
      </c>
      <c r="L294" s="20" t="s">
        <v>13</v>
      </c>
      <c r="M294" s="20"/>
      <c r="N294" s="20"/>
      <c r="O294" s="20">
        <v>16</v>
      </c>
      <c r="P294" s="20" t="s">
        <v>1212</v>
      </c>
      <c r="Q294" s="20" t="s">
        <v>1729</v>
      </c>
      <c r="R294" s="20" t="str">
        <f t="shared" si="15"/>
        <v>TAPA DE CANASTA PICNIC</v>
      </c>
      <c r="S294" s="19">
        <f t="shared" si="16"/>
        <v>1</v>
      </c>
      <c r="T294" s="19">
        <f t="shared" si="17"/>
        <v>40</v>
      </c>
      <c r="U294" s="19"/>
      <c r="V294" s="19"/>
      <c r="W294" s="19"/>
      <c r="X294" s="19"/>
      <c r="Y294" s="19"/>
    </row>
    <row r="295" spans="1:25" ht="12" hidden="1" customHeight="1" thickBot="1" x14ac:dyDescent="0.35">
      <c r="A295" s="20">
        <v>1</v>
      </c>
      <c r="B295" s="20" t="s">
        <v>1556</v>
      </c>
      <c r="C295" s="20" t="s">
        <v>1692</v>
      </c>
      <c r="D295" s="20" t="s">
        <v>1693</v>
      </c>
      <c r="E295" s="20">
        <v>434</v>
      </c>
      <c r="F295" s="20" t="s">
        <v>1728</v>
      </c>
      <c r="G295" s="20" t="s">
        <v>1617</v>
      </c>
      <c r="H295" s="20" t="s">
        <v>1618</v>
      </c>
      <c r="I295" s="20">
        <v>1</v>
      </c>
      <c r="J295" s="20">
        <v>40</v>
      </c>
      <c r="K295" s="20">
        <v>1</v>
      </c>
      <c r="L295" s="20" t="s">
        <v>13</v>
      </c>
      <c r="M295" s="20"/>
      <c r="N295" s="20"/>
      <c r="O295" s="20">
        <v>17</v>
      </c>
      <c r="P295" s="20" t="s">
        <v>1214</v>
      </c>
      <c r="Q295" s="20" t="s">
        <v>1730</v>
      </c>
      <c r="R295" s="20" t="str">
        <f t="shared" si="15"/>
        <v>TAPA DE CANASTA PICNIC</v>
      </c>
      <c r="S295" s="19">
        <f t="shared" si="16"/>
        <v>1</v>
      </c>
      <c r="T295" s="19">
        <f t="shared" si="17"/>
        <v>40</v>
      </c>
      <c r="U295" s="19"/>
      <c r="V295" s="19"/>
      <c r="W295" s="19"/>
      <c r="X295" s="19"/>
      <c r="Y295" s="19"/>
    </row>
    <row r="296" spans="1:25" ht="12" hidden="1" customHeight="1" thickBot="1" x14ac:dyDescent="0.35">
      <c r="A296" s="20">
        <v>1</v>
      </c>
      <c r="B296" s="20" t="s">
        <v>1556</v>
      </c>
      <c r="C296" s="20" t="s">
        <v>1692</v>
      </c>
      <c r="D296" s="20" t="s">
        <v>1693</v>
      </c>
      <c r="E296" s="20">
        <v>435</v>
      </c>
      <c r="F296" s="20" t="s">
        <v>1728</v>
      </c>
      <c r="G296" s="20" t="s">
        <v>1617</v>
      </c>
      <c r="H296" s="20" t="s">
        <v>1618</v>
      </c>
      <c r="I296" s="20">
        <v>1</v>
      </c>
      <c r="J296" s="20">
        <v>40</v>
      </c>
      <c r="K296" s="20">
        <v>1</v>
      </c>
      <c r="L296" s="20" t="s">
        <v>13</v>
      </c>
      <c r="M296" s="20"/>
      <c r="N296" s="20"/>
      <c r="O296" s="20">
        <v>20</v>
      </c>
      <c r="P296" s="20" t="s">
        <v>1217</v>
      </c>
      <c r="Q296" s="20" t="s">
        <v>1731</v>
      </c>
      <c r="R296" s="20" t="str">
        <f t="shared" si="15"/>
        <v>TAPA DE CANASTA PICNIC</v>
      </c>
      <c r="S296" s="19">
        <f t="shared" si="16"/>
        <v>1</v>
      </c>
      <c r="T296" s="19">
        <f t="shared" si="17"/>
        <v>40</v>
      </c>
      <c r="U296" s="19"/>
      <c r="V296" s="19"/>
      <c r="W296" s="19"/>
      <c r="X296" s="19"/>
      <c r="Y296" s="19"/>
    </row>
    <row r="297" spans="1:25" ht="12.75" hidden="1" customHeight="1" thickBot="1" x14ac:dyDescent="0.35">
      <c r="A297" s="49">
        <v>1</v>
      </c>
      <c r="B297" s="50" t="s">
        <v>1556</v>
      </c>
      <c r="C297" s="50" t="s">
        <v>1625</v>
      </c>
      <c r="D297" s="17" t="s">
        <v>1241</v>
      </c>
      <c r="E297" s="49">
        <v>395</v>
      </c>
      <c r="F297" s="18" t="s">
        <v>1242</v>
      </c>
      <c r="G297" s="49" t="s">
        <v>1617</v>
      </c>
      <c r="H297" s="50" t="s">
        <v>1618</v>
      </c>
      <c r="I297" s="49">
        <v>1</v>
      </c>
      <c r="J297" s="51">
        <v>92</v>
      </c>
      <c r="K297" s="49">
        <v>1</v>
      </c>
      <c r="L297" s="50" t="s">
        <v>13</v>
      </c>
      <c r="M297" s="50"/>
      <c r="N297" s="50"/>
      <c r="O297" s="49">
        <v>24</v>
      </c>
      <c r="P297" s="50" t="s">
        <v>1210</v>
      </c>
      <c r="Q297" s="50" t="s">
        <v>2083</v>
      </c>
      <c r="R297" s="20" t="str">
        <f t="shared" si="15"/>
        <v>LAVACUELA REDONDO-CREMA</v>
      </c>
      <c r="S297" s="19">
        <f t="shared" si="16"/>
        <v>1</v>
      </c>
      <c r="T297" s="19">
        <v>92</v>
      </c>
      <c r="U297" s="19">
        <v>120</v>
      </c>
    </row>
    <row r="298" spans="1:25" ht="12.75" hidden="1" customHeight="1" thickBot="1" x14ac:dyDescent="0.35">
      <c r="A298" s="20">
        <v>1</v>
      </c>
      <c r="B298" s="26" t="s">
        <v>1556</v>
      </c>
      <c r="C298" s="26" t="s">
        <v>1625</v>
      </c>
      <c r="D298" s="17" t="s">
        <v>1241</v>
      </c>
      <c r="E298" s="20">
        <v>396</v>
      </c>
      <c r="F298" s="26" t="s">
        <v>2072</v>
      </c>
      <c r="G298" s="20" t="s">
        <v>1617</v>
      </c>
      <c r="H298" s="26" t="s">
        <v>1618</v>
      </c>
      <c r="I298" s="20">
        <v>1</v>
      </c>
      <c r="J298" s="28">
        <v>92</v>
      </c>
      <c r="K298" s="20">
        <v>1</v>
      </c>
      <c r="L298" s="26" t="s">
        <v>13</v>
      </c>
      <c r="M298" s="26"/>
      <c r="N298" s="26"/>
      <c r="O298" s="20">
        <v>22</v>
      </c>
      <c r="P298" s="26" t="s">
        <v>1614</v>
      </c>
      <c r="Q298" s="26" t="s">
        <v>2084</v>
      </c>
      <c r="R298" s="20" t="str">
        <f t="shared" si="15"/>
        <v>LAVACUELA REDONDO-TURQUESA</v>
      </c>
      <c r="S298" s="19">
        <f t="shared" si="16"/>
        <v>1</v>
      </c>
      <c r="T298" s="19">
        <v>92</v>
      </c>
      <c r="U298" s="19">
        <v>120</v>
      </c>
    </row>
    <row r="299" spans="1:25" ht="12.75" hidden="1" customHeight="1" thickBot="1" x14ac:dyDescent="0.35">
      <c r="A299" s="20">
        <v>1</v>
      </c>
      <c r="B299" s="26" t="s">
        <v>1556</v>
      </c>
      <c r="C299" s="26" t="s">
        <v>1625</v>
      </c>
      <c r="D299" s="17" t="s">
        <v>1241</v>
      </c>
      <c r="E299" s="20">
        <v>397</v>
      </c>
      <c r="F299" s="26" t="s">
        <v>1244</v>
      </c>
      <c r="G299" s="20" t="s">
        <v>1617</v>
      </c>
      <c r="H299" s="26" t="s">
        <v>1618</v>
      </c>
      <c r="I299" s="20">
        <v>1</v>
      </c>
      <c r="J299" s="28">
        <v>92</v>
      </c>
      <c r="K299" s="20">
        <v>1</v>
      </c>
      <c r="L299" s="26" t="s">
        <v>13</v>
      </c>
      <c r="M299" s="26"/>
      <c r="N299" s="26"/>
      <c r="O299" s="20">
        <v>16</v>
      </c>
      <c r="P299" s="26" t="s">
        <v>1212</v>
      </c>
      <c r="Q299" s="26" t="s">
        <v>2085</v>
      </c>
      <c r="R299" s="20" t="str">
        <f t="shared" si="15"/>
        <v>LAVACUELA REDONDO-LILA</v>
      </c>
      <c r="S299" s="19">
        <f t="shared" si="16"/>
        <v>1</v>
      </c>
      <c r="T299" s="19">
        <v>92</v>
      </c>
      <c r="U299" s="19">
        <v>120</v>
      </c>
    </row>
    <row r="300" spans="1:25" ht="12.75" hidden="1" customHeight="1" thickBot="1" x14ac:dyDescent="0.35">
      <c r="A300" s="20">
        <v>1</v>
      </c>
      <c r="B300" s="26" t="s">
        <v>1556</v>
      </c>
      <c r="C300" s="26" t="s">
        <v>1625</v>
      </c>
      <c r="D300" s="17" t="s">
        <v>1241</v>
      </c>
      <c r="E300" s="20">
        <v>398</v>
      </c>
      <c r="F300" s="26" t="s">
        <v>2073</v>
      </c>
      <c r="G300" s="20" t="s">
        <v>1617</v>
      </c>
      <c r="H300" s="26" t="s">
        <v>1618</v>
      </c>
      <c r="I300" s="20">
        <v>1</v>
      </c>
      <c r="J300" s="28">
        <v>92</v>
      </c>
      <c r="K300" s="20">
        <v>1</v>
      </c>
      <c r="L300" s="26" t="s">
        <v>13</v>
      </c>
      <c r="M300" s="26"/>
      <c r="N300" s="26"/>
      <c r="O300" s="20">
        <v>17</v>
      </c>
      <c r="P300" s="26" t="s">
        <v>1214</v>
      </c>
      <c r="Q300" s="26" t="s">
        <v>2086</v>
      </c>
      <c r="R300" s="20" t="str">
        <f t="shared" si="15"/>
        <v>LAVACUELA REDONDO-MELON</v>
      </c>
      <c r="S300" s="19">
        <f t="shared" si="16"/>
        <v>1</v>
      </c>
      <c r="T300" s="19">
        <v>92</v>
      </c>
      <c r="U300" s="19">
        <v>120</v>
      </c>
    </row>
    <row r="301" spans="1:25" ht="12.75" hidden="1" customHeight="1" thickBot="1" x14ac:dyDescent="0.35">
      <c r="A301" s="20">
        <v>1</v>
      </c>
      <c r="B301" s="26" t="s">
        <v>1556</v>
      </c>
      <c r="C301" s="26" t="s">
        <v>1625</v>
      </c>
      <c r="D301" s="17" t="s">
        <v>1241</v>
      </c>
      <c r="E301" s="20">
        <v>399</v>
      </c>
      <c r="F301" s="26" t="s">
        <v>1243</v>
      </c>
      <c r="G301" s="20" t="s">
        <v>1617</v>
      </c>
      <c r="H301" s="26" t="s">
        <v>1618</v>
      </c>
      <c r="I301" s="20">
        <v>1</v>
      </c>
      <c r="J301" s="28">
        <v>92</v>
      </c>
      <c r="K301" s="20">
        <v>1</v>
      </c>
      <c r="L301" s="26" t="s">
        <v>13</v>
      </c>
      <c r="M301" s="26"/>
      <c r="N301" s="26"/>
      <c r="O301" s="20">
        <v>20</v>
      </c>
      <c r="P301" s="26" t="s">
        <v>1217</v>
      </c>
      <c r="Q301" s="26" t="s">
        <v>2087</v>
      </c>
      <c r="R301" s="20" t="str">
        <f t="shared" si="15"/>
        <v>LAVACUELA REDONDO-ROSADO</v>
      </c>
      <c r="S301" s="19">
        <f t="shared" si="16"/>
        <v>1</v>
      </c>
      <c r="T301" s="19">
        <v>92</v>
      </c>
      <c r="U301" s="19">
        <v>120</v>
      </c>
    </row>
    <row r="302" spans="1:25" ht="12.75" hidden="1" customHeight="1" thickBot="1" x14ac:dyDescent="0.35">
      <c r="A302" s="20">
        <v>1</v>
      </c>
      <c r="B302" s="26" t="s">
        <v>1556</v>
      </c>
      <c r="C302" s="26" t="s">
        <v>1625</v>
      </c>
      <c r="D302" s="17" t="s">
        <v>1241</v>
      </c>
      <c r="E302" s="20">
        <v>400</v>
      </c>
      <c r="F302" s="26" t="s">
        <v>2071</v>
      </c>
      <c r="G302" s="20" t="s">
        <v>1617</v>
      </c>
      <c r="H302" s="26" t="s">
        <v>1618</v>
      </c>
      <c r="I302" s="20">
        <v>1</v>
      </c>
      <c r="J302" s="28">
        <v>92</v>
      </c>
      <c r="K302" s="20">
        <v>1</v>
      </c>
      <c r="L302" s="26" t="s">
        <v>13</v>
      </c>
      <c r="M302" s="26"/>
      <c r="N302" s="26"/>
      <c r="O302" s="20">
        <v>23</v>
      </c>
      <c r="P302" s="26" t="s">
        <v>1221</v>
      </c>
      <c r="Q302" s="26" t="s">
        <v>2088</v>
      </c>
      <c r="R302" s="20" t="str">
        <f t="shared" si="15"/>
        <v>LAVACUELA REDONDO-VERDE</v>
      </c>
      <c r="S302" s="19">
        <f t="shared" si="16"/>
        <v>1</v>
      </c>
      <c r="T302" s="19">
        <v>92</v>
      </c>
      <c r="U302" s="19">
        <v>120</v>
      </c>
    </row>
    <row r="303" spans="1:25" ht="12" hidden="1" customHeight="1" thickBot="1" x14ac:dyDescent="0.35">
      <c r="A303" s="20">
        <v>2</v>
      </c>
      <c r="B303" s="20" t="s">
        <v>1285</v>
      </c>
      <c r="C303" s="20" t="s">
        <v>1286</v>
      </c>
      <c r="D303" s="20" t="s">
        <v>1042</v>
      </c>
      <c r="E303" s="20">
        <v>100</v>
      </c>
      <c r="F303" s="52" t="s">
        <v>376</v>
      </c>
      <c r="G303" s="20" t="s">
        <v>1287</v>
      </c>
      <c r="H303" s="20" t="s">
        <v>1288</v>
      </c>
      <c r="I303" s="20">
        <v>1</v>
      </c>
      <c r="J303" s="20">
        <v>124</v>
      </c>
      <c r="K303" s="20">
        <v>2</v>
      </c>
      <c r="L303" s="20" t="s">
        <v>12</v>
      </c>
      <c r="M303" s="20"/>
      <c r="N303" s="20"/>
      <c r="O303" s="20">
        <v>10</v>
      </c>
      <c r="P303" s="20" t="s">
        <v>26</v>
      </c>
      <c r="Q303" s="20" t="s">
        <v>271</v>
      </c>
      <c r="R303" s="20" t="str">
        <f t="shared" si="15"/>
        <v>ALCANCIA ALBERTO GRANDE-AMARILLO</v>
      </c>
      <c r="S303" s="19">
        <f t="shared" si="16"/>
        <v>1</v>
      </c>
      <c r="T303" s="19">
        <f t="shared" si="17"/>
        <v>124</v>
      </c>
      <c r="U303" s="19">
        <v>100</v>
      </c>
      <c r="V303" s="19"/>
      <c r="W303" s="19"/>
      <c r="X303" s="19"/>
      <c r="Y303" s="19"/>
    </row>
    <row r="304" spans="1:25" ht="12" hidden="1" customHeight="1" thickBot="1" x14ac:dyDescent="0.35">
      <c r="A304" s="20">
        <v>2</v>
      </c>
      <c r="B304" s="20" t="s">
        <v>1285</v>
      </c>
      <c r="C304" s="20" t="s">
        <v>1286</v>
      </c>
      <c r="D304" s="20" t="s">
        <v>1042</v>
      </c>
      <c r="E304" s="20">
        <v>101</v>
      </c>
      <c r="F304" s="52" t="s">
        <v>1290</v>
      </c>
      <c r="G304" s="20" t="s">
        <v>1287</v>
      </c>
      <c r="H304" s="20" t="s">
        <v>1288</v>
      </c>
      <c r="I304" s="20">
        <v>1</v>
      </c>
      <c r="J304" s="20">
        <v>124</v>
      </c>
      <c r="K304" s="20">
        <v>2</v>
      </c>
      <c r="L304" s="20" t="s">
        <v>12</v>
      </c>
      <c r="M304" s="20"/>
      <c r="N304" s="20"/>
      <c r="O304" s="20">
        <v>10</v>
      </c>
      <c r="P304" s="20" t="s">
        <v>26</v>
      </c>
      <c r="Q304" s="20" t="s">
        <v>1289</v>
      </c>
      <c r="R304" s="20" t="str">
        <f t="shared" si="15"/>
        <v>ALCANCIA ALBERTO GRANDE-AMARILLO PINTADO</v>
      </c>
      <c r="S304" s="19">
        <f t="shared" si="16"/>
        <v>1</v>
      </c>
      <c r="T304" s="19">
        <f t="shared" si="17"/>
        <v>124</v>
      </c>
      <c r="U304" s="19">
        <v>100</v>
      </c>
      <c r="V304" s="19"/>
      <c r="W304" s="19"/>
      <c r="X304" s="19"/>
      <c r="Y304" s="19"/>
    </row>
    <row r="305" spans="1:25" ht="12" hidden="1" customHeight="1" thickBot="1" x14ac:dyDescent="0.35">
      <c r="A305" s="20">
        <v>2</v>
      </c>
      <c r="B305" s="20" t="s">
        <v>1285</v>
      </c>
      <c r="C305" s="20" t="s">
        <v>1286</v>
      </c>
      <c r="D305" s="20" t="s">
        <v>1042</v>
      </c>
      <c r="E305" s="20">
        <v>102</v>
      </c>
      <c r="F305" s="52" t="s">
        <v>377</v>
      </c>
      <c r="G305" s="20" t="s">
        <v>1287</v>
      </c>
      <c r="H305" s="20" t="s">
        <v>1288</v>
      </c>
      <c r="I305" s="20">
        <v>1</v>
      </c>
      <c r="J305" s="20">
        <v>124</v>
      </c>
      <c r="K305" s="20">
        <v>2</v>
      </c>
      <c r="L305" s="20" t="s">
        <v>12</v>
      </c>
      <c r="M305" s="20"/>
      <c r="N305" s="20"/>
      <c r="O305" s="20">
        <v>11</v>
      </c>
      <c r="P305" s="20" t="s">
        <v>1207</v>
      </c>
      <c r="Q305" s="20" t="s">
        <v>272</v>
      </c>
      <c r="R305" s="20" t="str">
        <f t="shared" si="15"/>
        <v>ALCANCIA ALBERTO GRANDE-ANARANJADO</v>
      </c>
      <c r="S305" s="19">
        <f t="shared" si="16"/>
        <v>1</v>
      </c>
      <c r="T305" s="19">
        <f t="shared" si="17"/>
        <v>124</v>
      </c>
      <c r="U305" s="19">
        <v>100</v>
      </c>
      <c r="V305" s="19"/>
      <c r="W305" s="19"/>
      <c r="X305" s="19"/>
      <c r="Y305" s="19"/>
    </row>
    <row r="306" spans="1:25" ht="12" hidden="1" customHeight="1" thickBot="1" x14ac:dyDescent="0.35">
      <c r="A306" s="20">
        <v>2</v>
      </c>
      <c r="B306" s="20" t="s">
        <v>1285</v>
      </c>
      <c r="C306" s="20" t="s">
        <v>1286</v>
      </c>
      <c r="D306" s="20" t="s">
        <v>1042</v>
      </c>
      <c r="E306" s="20">
        <v>103</v>
      </c>
      <c r="F306" s="52" t="s">
        <v>1292</v>
      </c>
      <c r="G306" s="20" t="s">
        <v>1287</v>
      </c>
      <c r="H306" s="20" t="s">
        <v>1288</v>
      </c>
      <c r="I306" s="20">
        <v>1</v>
      </c>
      <c r="J306" s="20">
        <v>124</v>
      </c>
      <c r="K306" s="20">
        <v>2</v>
      </c>
      <c r="L306" s="20" t="s">
        <v>12</v>
      </c>
      <c r="M306" s="20"/>
      <c r="N306" s="20"/>
      <c r="O306" s="20">
        <v>11</v>
      </c>
      <c r="P306" s="20" t="s">
        <v>1207</v>
      </c>
      <c r="Q306" s="20" t="s">
        <v>1291</v>
      </c>
      <c r="R306" s="20" t="str">
        <f t="shared" si="15"/>
        <v>ALCANCIA ALBERTO GRANDE-ANARANJADO PINTADO</v>
      </c>
      <c r="S306" s="19">
        <f t="shared" si="16"/>
        <v>1</v>
      </c>
      <c r="T306" s="19">
        <f t="shared" si="17"/>
        <v>124</v>
      </c>
      <c r="U306" s="19">
        <v>100</v>
      </c>
      <c r="V306" s="19"/>
      <c r="W306" s="19"/>
      <c r="X306" s="19"/>
      <c r="Y306" s="19"/>
    </row>
    <row r="307" spans="1:25" ht="12" hidden="1" customHeight="1" thickBot="1" x14ac:dyDescent="0.35">
      <c r="A307" s="20">
        <v>2</v>
      </c>
      <c r="B307" s="20" t="s">
        <v>1285</v>
      </c>
      <c r="C307" s="20" t="s">
        <v>1286</v>
      </c>
      <c r="D307" s="20" t="s">
        <v>1042</v>
      </c>
      <c r="E307" s="20">
        <v>104</v>
      </c>
      <c r="F307" s="52" t="s">
        <v>378</v>
      </c>
      <c r="G307" s="20" t="s">
        <v>1287</v>
      </c>
      <c r="H307" s="20" t="s">
        <v>1288</v>
      </c>
      <c r="I307" s="20">
        <v>4</v>
      </c>
      <c r="J307" s="20">
        <v>124</v>
      </c>
      <c r="K307" s="20">
        <v>2</v>
      </c>
      <c r="L307" s="20" t="s">
        <v>12</v>
      </c>
      <c r="M307" s="20"/>
      <c r="N307" s="20"/>
      <c r="O307" s="20">
        <v>14</v>
      </c>
      <c r="P307" s="20" t="s">
        <v>1209</v>
      </c>
      <c r="Q307" s="20" t="s">
        <v>273</v>
      </c>
      <c r="R307" s="20" t="str">
        <f t="shared" si="15"/>
        <v>ALCANCIA ALBERTO GRANDE-CELESTE</v>
      </c>
      <c r="S307" s="19">
        <f t="shared" si="16"/>
        <v>4</v>
      </c>
      <c r="T307" s="19">
        <f t="shared" si="17"/>
        <v>124</v>
      </c>
      <c r="U307" s="19">
        <v>100</v>
      </c>
      <c r="V307" s="19"/>
      <c r="W307" s="19"/>
      <c r="X307" s="19"/>
      <c r="Y307" s="19"/>
    </row>
    <row r="308" spans="1:25" ht="12" hidden="1" customHeight="1" thickBot="1" x14ac:dyDescent="0.35">
      <c r="A308" s="20">
        <v>2</v>
      </c>
      <c r="B308" s="20" t="s">
        <v>1285</v>
      </c>
      <c r="C308" s="20" t="s">
        <v>1286</v>
      </c>
      <c r="D308" s="20" t="s">
        <v>1042</v>
      </c>
      <c r="E308" s="20">
        <v>105</v>
      </c>
      <c r="F308" s="52" t="s">
        <v>1294</v>
      </c>
      <c r="G308" s="20" t="s">
        <v>1287</v>
      </c>
      <c r="H308" s="20" t="s">
        <v>1288</v>
      </c>
      <c r="I308" s="20">
        <v>4</v>
      </c>
      <c r="J308" s="20">
        <v>124</v>
      </c>
      <c r="K308" s="20">
        <v>2</v>
      </c>
      <c r="L308" s="20" t="s">
        <v>12</v>
      </c>
      <c r="M308" s="20"/>
      <c r="N308" s="20"/>
      <c r="O308" s="20">
        <v>14</v>
      </c>
      <c r="P308" s="20" t="s">
        <v>1209</v>
      </c>
      <c r="Q308" s="20" t="s">
        <v>1293</v>
      </c>
      <c r="R308" s="20" t="str">
        <f t="shared" si="15"/>
        <v>ALCANCIA ALBERTO GRANDE-CELESTE PINTADO</v>
      </c>
      <c r="S308" s="19">
        <f t="shared" si="16"/>
        <v>4</v>
      </c>
      <c r="T308" s="19">
        <f t="shared" si="17"/>
        <v>124</v>
      </c>
      <c r="U308" s="19">
        <v>100</v>
      </c>
      <c r="V308" s="19"/>
      <c r="W308" s="19"/>
      <c r="X308" s="19"/>
      <c r="Y308" s="19"/>
    </row>
    <row r="309" spans="1:25" ht="12" hidden="1" customHeight="1" thickBot="1" x14ac:dyDescent="0.35">
      <c r="A309" s="20">
        <v>2</v>
      </c>
      <c r="B309" s="20" t="s">
        <v>1285</v>
      </c>
      <c r="C309" s="20" t="s">
        <v>1286</v>
      </c>
      <c r="D309" s="20" t="s">
        <v>1042</v>
      </c>
      <c r="E309" s="20">
        <v>106</v>
      </c>
      <c r="F309" s="52" t="s">
        <v>379</v>
      </c>
      <c r="G309" s="20" t="s">
        <v>1287</v>
      </c>
      <c r="H309" s="20" t="s">
        <v>1288</v>
      </c>
      <c r="I309" s="20">
        <v>4</v>
      </c>
      <c r="J309" s="20">
        <v>124</v>
      </c>
      <c r="K309" s="20">
        <v>2</v>
      </c>
      <c r="L309" s="20" t="s">
        <v>12</v>
      </c>
      <c r="M309" s="20"/>
      <c r="N309" s="20"/>
      <c r="O309" s="20">
        <v>16</v>
      </c>
      <c r="P309" s="20" t="s">
        <v>1212</v>
      </c>
      <c r="Q309" s="20" t="s">
        <v>274</v>
      </c>
      <c r="R309" s="20" t="str">
        <f t="shared" si="15"/>
        <v>ALCANCIA ALBERTO GRANDE-LILA</v>
      </c>
      <c r="S309" s="19">
        <f t="shared" si="16"/>
        <v>4</v>
      </c>
      <c r="T309" s="19">
        <f t="shared" si="17"/>
        <v>124</v>
      </c>
      <c r="U309" s="19">
        <v>100</v>
      </c>
      <c r="V309" s="19"/>
      <c r="W309" s="19"/>
      <c r="X309" s="19"/>
      <c r="Y309" s="19"/>
    </row>
    <row r="310" spans="1:25" ht="12" hidden="1" customHeight="1" thickBot="1" x14ac:dyDescent="0.35">
      <c r="A310" s="20">
        <v>2</v>
      </c>
      <c r="B310" s="20" t="s">
        <v>1285</v>
      </c>
      <c r="C310" s="20" t="s">
        <v>1286</v>
      </c>
      <c r="D310" s="20" t="s">
        <v>1042</v>
      </c>
      <c r="E310" s="20">
        <v>107</v>
      </c>
      <c r="F310" s="52" t="s">
        <v>1296</v>
      </c>
      <c r="G310" s="20" t="s">
        <v>1287</v>
      </c>
      <c r="H310" s="20" t="s">
        <v>1288</v>
      </c>
      <c r="I310" s="20">
        <v>4</v>
      </c>
      <c r="J310" s="20">
        <v>124</v>
      </c>
      <c r="K310" s="20">
        <v>2</v>
      </c>
      <c r="L310" s="20" t="s">
        <v>12</v>
      </c>
      <c r="M310" s="20"/>
      <c r="N310" s="20"/>
      <c r="O310" s="20">
        <v>16</v>
      </c>
      <c r="P310" s="20" t="s">
        <v>1212</v>
      </c>
      <c r="Q310" s="20" t="s">
        <v>1295</v>
      </c>
      <c r="R310" s="20" t="str">
        <f t="shared" si="15"/>
        <v>ALCANCIA ALBERTO GRANDE-LILA PINTADO</v>
      </c>
      <c r="S310" s="19">
        <f t="shared" si="16"/>
        <v>4</v>
      </c>
      <c r="T310" s="19">
        <f t="shared" si="17"/>
        <v>124</v>
      </c>
      <c r="U310" s="19">
        <v>100</v>
      </c>
      <c r="V310" s="19"/>
      <c r="W310" s="19"/>
      <c r="X310" s="19"/>
      <c r="Y310" s="19"/>
    </row>
    <row r="311" spans="1:25" ht="12" hidden="1" customHeight="1" thickBot="1" x14ac:dyDescent="0.35">
      <c r="A311" s="20">
        <v>2</v>
      </c>
      <c r="B311" s="20" t="s">
        <v>1285</v>
      </c>
      <c r="C311" s="20" t="s">
        <v>1286</v>
      </c>
      <c r="D311" s="20" t="s">
        <v>1042</v>
      </c>
      <c r="E311" s="20">
        <v>108</v>
      </c>
      <c r="F311" s="52" t="s">
        <v>380</v>
      </c>
      <c r="G311" s="20" t="s">
        <v>1287</v>
      </c>
      <c r="H311" s="20" t="s">
        <v>1288</v>
      </c>
      <c r="I311" s="20">
        <v>4</v>
      </c>
      <c r="J311" s="20">
        <v>124</v>
      </c>
      <c r="K311" s="20">
        <v>2</v>
      </c>
      <c r="L311" s="20" t="s">
        <v>12</v>
      </c>
      <c r="M311" s="20"/>
      <c r="N311" s="20"/>
      <c r="O311" s="20">
        <v>19</v>
      </c>
      <c r="P311" s="20" t="s">
        <v>27</v>
      </c>
      <c r="Q311" s="20" t="s">
        <v>275</v>
      </c>
      <c r="R311" s="20" t="str">
        <f t="shared" si="15"/>
        <v>ALCANCIA ALBERTO GRANDE-ROJO</v>
      </c>
      <c r="S311" s="19">
        <f t="shared" si="16"/>
        <v>4</v>
      </c>
      <c r="T311" s="19">
        <f t="shared" si="17"/>
        <v>124</v>
      </c>
      <c r="U311" s="19">
        <v>100</v>
      </c>
      <c r="V311" s="19"/>
      <c r="W311" s="19"/>
      <c r="X311" s="19"/>
      <c r="Y311" s="19"/>
    </row>
    <row r="312" spans="1:25" ht="12" hidden="1" customHeight="1" thickBot="1" x14ac:dyDescent="0.35">
      <c r="A312" s="20">
        <v>2</v>
      </c>
      <c r="B312" s="20" t="s">
        <v>1285</v>
      </c>
      <c r="C312" s="20" t="s">
        <v>1286</v>
      </c>
      <c r="D312" s="20" t="s">
        <v>1042</v>
      </c>
      <c r="E312" s="20">
        <v>109</v>
      </c>
      <c r="F312" s="52" t="s">
        <v>1298</v>
      </c>
      <c r="G312" s="20" t="s">
        <v>1287</v>
      </c>
      <c r="H312" s="20" t="s">
        <v>1288</v>
      </c>
      <c r="I312" s="20">
        <v>4</v>
      </c>
      <c r="J312" s="20">
        <v>124</v>
      </c>
      <c r="K312" s="20">
        <v>2</v>
      </c>
      <c r="L312" s="20" t="s">
        <v>12</v>
      </c>
      <c r="M312" s="20"/>
      <c r="N312" s="20"/>
      <c r="O312" s="20">
        <v>19</v>
      </c>
      <c r="P312" s="20" t="s">
        <v>27</v>
      </c>
      <c r="Q312" s="20" t="s">
        <v>1297</v>
      </c>
      <c r="R312" s="20" t="str">
        <f t="shared" si="15"/>
        <v>ALCANCIA ALBERTO GRANDE-ROJO PINTADO</v>
      </c>
      <c r="S312" s="19">
        <f t="shared" si="16"/>
        <v>4</v>
      </c>
      <c r="T312" s="19">
        <f t="shared" si="17"/>
        <v>124</v>
      </c>
      <c r="U312" s="19">
        <v>100</v>
      </c>
      <c r="V312" s="19"/>
      <c r="W312" s="19"/>
      <c r="X312" s="19"/>
      <c r="Y312" s="19"/>
    </row>
    <row r="313" spans="1:25" ht="12" hidden="1" customHeight="1" thickBot="1" x14ac:dyDescent="0.35">
      <c r="A313" s="20">
        <v>2</v>
      </c>
      <c r="B313" s="20" t="s">
        <v>1285</v>
      </c>
      <c r="C313" s="20" t="s">
        <v>1286</v>
      </c>
      <c r="D313" s="20" t="s">
        <v>1042</v>
      </c>
      <c r="E313" s="20">
        <v>110</v>
      </c>
      <c r="F313" s="52" t="s">
        <v>1957</v>
      </c>
      <c r="G313" s="20" t="s">
        <v>1287</v>
      </c>
      <c r="H313" s="20" t="s">
        <v>1288</v>
      </c>
      <c r="I313" s="20">
        <v>4</v>
      </c>
      <c r="J313" s="20">
        <v>124</v>
      </c>
      <c r="K313" s="20">
        <v>2</v>
      </c>
      <c r="L313" s="20" t="s">
        <v>12</v>
      </c>
      <c r="M313" s="20"/>
      <c r="N313" s="20"/>
      <c r="O313" s="20">
        <v>23</v>
      </c>
      <c r="P313" s="20" t="s">
        <v>1221</v>
      </c>
      <c r="Q313" s="20" t="s">
        <v>276</v>
      </c>
      <c r="R313" s="20" t="str">
        <f>F313</f>
        <v>ALCANCIA ALBERTO GRANDE-VERDE</v>
      </c>
      <c r="S313" s="19">
        <f t="shared" si="16"/>
        <v>4</v>
      </c>
      <c r="T313" s="19">
        <f t="shared" si="17"/>
        <v>124</v>
      </c>
      <c r="U313" s="19">
        <v>100</v>
      </c>
      <c r="V313" s="19"/>
      <c r="W313" s="19"/>
      <c r="X313" s="19"/>
      <c r="Y313" s="19"/>
    </row>
    <row r="314" spans="1:25" ht="12" hidden="1" customHeight="1" thickBot="1" x14ac:dyDescent="0.35">
      <c r="A314" s="20">
        <v>2</v>
      </c>
      <c r="B314" s="20" t="s">
        <v>1285</v>
      </c>
      <c r="C314" s="20" t="s">
        <v>1286</v>
      </c>
      <c r="D314" s="20" t="s">
        <v>1042</v>
      </c>
      <c r="E314" s="20">
        <v>111</v>
      </c>
      <c r="F314" s="52" t="s">
        <v>1300</v>
      </c>
      <c r="G314" s="20" t="s">
        <v>1287</v>
      </c>
      <c r="H314" s="20" t="s">
        <v>1288</v>
      </c>
      <c r="I314" s="20">
        <v>4</v>
      </c>
      <c r="J314" s="20">
        <v>124</v>
      </c>
      <c r="K314" s="20">
        <v>2</v>
      </c>
      <c r="L314" s="20" t="s">
        <v>12</v>
      </c>
      <c r="M314" s="20"/>
      <c r="N314" s="20"/>
      <c r="O314" s="20">
        <v>23</v>
      </c>
      <c r="P314" s="20" t="s">
        <v>1221</v>
      </c>
      <c r="Q314" s="20" t="s">
        <v>1299</v>
      </c>
      <c r="R314" s="20" t="str">
        <f t="shared" si="15"/>
        <v>ALCANCIA ALBERTO GRANDE-VERDE TELEFONICO PINTADO</v>
      </c>
      <c r="S314" s="19">
        <f t="shared" si="16"/>
        <v>4</v>
      </c>
      <c r="T314" s="19">
        <f t="shared" si="17"/>
        <v>124</v>
      </c>
      <c r="U314" s="19">
        <v>100</v>
      </c>
      <c r="V314" s="19"/>
      <c r="W314" s="19"/>
      <c r="X314" s="19"/>
      <c r="Y314" s="19"/>
    </row>
    <row r="315" spans="1:25" ht="12" hidden="1" customHeight="1" thickBot="1" x14ac:dyDescent="0.35">
      <c r="A315" s="20">
        <v>2</v>
      </c>
      <c r="B315" s="20" t="s">
        <v>1285</v>
      </c>
      <c r="C315" s="20" t="s">
        <v>1286</v>
      </c>
      <c r="D315" s="20" t="s">
        <v>1301</v>
      </c>
      <c r="E315" s="20">
        <v>112</v>
      </c>
      <c r="F315" s="52" t="s">
        <v>382</v>
      </c>
      <c r="G315" s="20" t="s">
        <v>1287</v>
      </c>
      <c r="H315" s="20" t="s">
        <v>1288</v>
      </c>
      <c r="I315" s="20">
        <v>4</v>
      </c>
      <c r="J315" s="20">
        <v>44</v>
      </c>
      <c r="K315" s="20">
        <v>2</v>
      </c>
      <c r="L315" s="20" t="s">
        <v>12</v>
      </c>
      <c r="M315" s="20"/>
      <c r="N315" s="20"/>
      <c r="O315" s="20">
        <v>10</v>
      </c>
      <c r="P315" s="20" t="s">
        <v>26</v>
      </c>
      <c r="Q315" s="20" t="s">
        <v>277</v>
      </c>
      <c r="R315" s="20" t="str">
        <f t="shared" si="15"/>
        <v>ALCANCIA ALBERTO MEDIANO-AMARILLO</v>
      </c>
      <c r="S315" s="19">
        <f t="shared" si="16"/>
        <v>4</v>
      </c>
      <c r="T315" s="19">
        <f t="shared" si="17"/>
        <v>44</v>
      </c>
      <c r="U315" s="19"/>
      <c r="V315" s="19"/>
      <c r="W315" s="19"/>
      <c r="X315" s="19"/>
      <c r="Y315" s="19"/>
    </row>
    <row r="316" spans="1:25" ht="12" hidden="1" customHeight="1" thickBot="1" x14ac:dyDescent="0.35">
      <c r="A316" s="20">
        <v>2</v>
      </c>
      <c r="B316" s="20" t="s">
        <v>1285</v>
      </c>
      <c r="C316" s="20" t="s">
        <v>1286</v>
      </c>
      <c r="D316" s="20" t="s">
        <v>1301</v>
      </c>
      <c r="E316" s="20">
        <v>113</v>
      </c>
      <c r="F316" s="52" t="s">
        <v>1303</v>
      </c>
      <c r="G316" s="20" t="s">
        <v>1287</v>
      </c>
      <c r="H316" s="20" t="s">
        <v>1288</v>
      </c>
      <c r="I316" s="20">
        <v>4</v>
      </c>
      <c r="J316" s="20">
        <v>44</v>
      </c>
      <c r="K316" s="20">
        <v>2</v>
      </c>
      <c r="L316" s="20" t="s">
        <v>12</v>
      </c>
      <c r="M316" s="20"/>
      <c r="N316" s="20"/>
      <c r="O316" s="20">
        <v>10</v>
      </c>
      <c r="P316" s="20" t="s">
        <v>26</v>
      </c>
      <c r="Q316" s="20" t="s">
        <v>1302</v>
      </c>
      <c r="R316" s="20" t="str">
        <f t="shared" si="15"/>
        <v>ALCANCIA ALBERTO MEDIANO-AMARILLO PINTADO</v>
      </c>
      <c r="S316" s="19">
        <f t="shared" si="16"/>
        <v>4</v>
      </c>
      <c r="T316" s="19">
        <f t="shared" si="17"/>
        <v>44</v>
      </c>
      <c r="U316" s="19"/>
      <c r="V316" s="19"/>
      <c r="W316" s="19"/>
      <c r="X316" s="19"/>
      <c r="Y316" s="19"/>
    </row>
    <row r="317" spans="1:25" ht="12" hidden="1" customHeight="1" thickBot="1" x14ac:dyDescent="0.35">
      <c r="A317" s="20">
        <v>2</v>
      </c>
      <c r="B317" s="20" t="s">
        <v>1285</v>
      </c>
      <c r="C317" s="20" t="s">
        <v>1286</v>
      </c>
      <c r="D317" s="20" t="s">
        <v>1301</v>
      </c>
      <c r="E317" s="20">
        <v>114</v>
      </c>
      <c r="F317" s="52" t="s">
        <v>383</v>
      </c>
      <c r="G317" s="20" t="s">
        <v>1287</v>
      </c>
      <c r="H317" s="20" t="s">
        <v>1288</v>
      </c>
      <c r="I317" s="20">
        <v>4</v>
      </c>
      <c r="J317" s="20">
        <v>44</v>
      </c>
      <c r="K317" s="20">
        <v>2</v>
      </c>
      <c r="L317" s="20" t="s">
        <v>12</v>
      </c>
      <c r="M317" s="20"/>
      <c r="N317" s="20"/>
      <c r="O317" s="20">
        <v>11</v>
      </c>
      <c r="P317" s="20" t="s">
        <v>1207</v>
      </c>
      <c r="Q317" s="20" t="s">
        <v>278</v>
      </c>
      <c r="R317" s="20" t="str">
        <f t="shared" si="15"/>
        <v>ALCANCIA ALBERTO MEDIANO-ANARANJADO</v>
      </c>
      <c r="S317" s="19">
        <f t="shared" si="16"/>
        <v>4</v>
      </c>
      <c r="T317" s="19">
        <f t="shared" si="17"/>
        <v>44</v>
      </c>
      <c r="U317" s="19"/>
      <c r="V317" s="19"/>
      <c r="W317" s="19"/>
      <c r="X317" s="19"/>
      <c r="Y317" s="19"/>
    </row>
    <row r="318" spans="1:25" ht="12" hidden="1" customHeight="1" thickBot="1" x14ac:dyDescent="0.35">
      <c r="A318" s="20">
        <v>2</v>
      </c>
      <c r="B318" s="20" t="s">
        <v>1285</v>
      </c>
      <c r="C318" s="20" t="s">
        <v>1286</v>
      </c>
      <c r="D318" s="20" t="s">
        <v>1301</v>
      </c>
      <c r="E318" s="20">
        <v>115</v>
      </c>
      <c r="F318" s="52" t="s">
        <v>1305</v>
      </c>
      <c r="G318" s="20" t="s">
        <v>1287</v>
      </c>
      <c r="H318" s="20" t="s">
        <v>1288</v>
      </c>
      <c r="I318" s="20">
        <v>4</v>
      </c>
      <c r="J318" s="20">
        <v>44</v>
      </c>
      <c r="K318" s="20">
        <v>2</v>
      </c>
      <c r="L318" s="20" t="s">
        <v>12</v>
      </c>
      <c r="M318" s="20"/>
      <c r="N318" s="20"/>
      <c r="O318" s="20">
        <v>11</v>
      </c>
      <c r="P318" s="20" t="s">
        <v>1207</v>
      </c>
      <c r="Q318" s="20" t="s">
        <v>1304</v>
      </c>
      <c r="R318" s="20" t="str">
        <f t="shared" si="15"/>
        <v>ALCANCIA ALBERTO MEDIANO-ANARANJADO PINTADO</v>
      </c>
      <c r="S318" s="19">
        <f t="shared" si="16"/>
        <v>4</v>
      </c>
      <c r="T318" s="19">
        <f t="shared" si="17"/>
        <v>44</v>
      </c>
      <c r="U318" s="19"/>
      <c r="V318" s="19"/>
      <c r="W318" s="19"/>
      <c r="X318" s="19"/>
      <c r="Y318" s="19"/>
    </row>
    <row r="319" spans="1:25" ht="12" hidden="1" customHeight="1" thickBot="1" x14ac:dyDescent="0.35">
      <c r="A319" s="20">
        <v>2</v>
      </c>
      <c r="B319" s="20" t="s">
        <v>1285</v>
      </c>
      <c r="C319" s="20" t="s">
        <v>1286</v>
      </c>
      <c r="D319" s="20" t="s">
        <v>1301</v>
      </c>
      <c r="E319" s="20">
        <v>116</v>
      </c>
      <c r="F319" s="52" t="s">
        <v>384</v>
      </c>
      <c r="G319" s="20" t="s">
        <v>1287</v>
      </c>
      <c r="H319" s="20" t="s">
        <v>1288</v>
      </c>
      <c r="I319" s="20">
        <v>2</v>
      </c>
      <c r="J319" s="20">
        <v>44</v>
      </c>
      <c r="K319" s="20">
        <v>2</v>
      </c>
      <c r="L319" s="20" t="s">
        <v>12</v>
      </c>
      <c r="M319" s="20"/>
      <c r="N319" s="20"/>
      <c r="O319" s="20">
        <v>14</v>
      </c>
      <c r="P319" s="20" t="s">
        <v>1209</v>
      </c>
      <c r="Q319" s="20" t="s">
        <v>279</v>
      </c>
      <c r="R319" s="20" t="str">
        <f t="shared" si="15"/>
        <v>ALCANCIA ALBERTO MEDIANO-CELESTE</v>
      </c>
      <c r="S319" s="19">
        <f t="shared" si="16"/>
        <v>2</v>
      </c>
      <c r="T319" s="19">
        <f t="shared" si="17"/>
        <v>44</v>
      </c>
      <c r="U319" s="19"/>
      <c r="V319" s="19"/>
      <c r="W319" s="19"/>
      <c r="X319" s="19"/>
      <c r="Y319" s="19"/>
    </row>
    <row r="320" spans="1:25" ht="12" hidden="1" customHeight="1" thickBot="1" x14ac:dyDescent="0.35">
      <c r="A320" s="20">
        <v>2</v>
      </c>
      <c r="B320" s="20" t="s">
        <v>1285</v>
      </c>
      <c r="C320" s="20" t="s">
        <v>1286</v>
      </c>
      <c r="D320" s="20" t="s">
        <v>1301</v>
      </c>
      <c r="E320" s="20">
        <v>117</v>
      </c>
      <c r="F320" s="52" t="s">
        <v>1307</v>
      </c>
      <c r="G320" s="20" t="s">
        <v>1287</v>
      </c>
      <c r="H320" s="20" t="s">
        <v>1288</v>
      </c>
      <c r="I320" s="20">
        <v>2</v>
      </c>
      <c r="J320" s="20">
        <v>44</v>
      </c>
      <c r="K320" s="20">
        <v>2</v>
      </c>
      <c r="L320" s="20" t="s">
        <v>12</v>
      </c>
      <c r="M320" s="20"/>
      <c r="N320" s="20"/>
      <c r="O320" s="20">
        <v>14</v>
      </c>
      <c r="P320" s="20" t="s">
        <v>1209</v>
      </c>
      <c r="Q320" s="20" t="s">
        <v>1306</v>
      </c>
      <c r="R320" s="20" t="str">
        <f t="shared" si="15"/>
        <v>ALCANCIA ALBERTO MEDIANO-CELESTE PINTADO</v>
      </c>
      <c r="S320" s="19">
        <f t="shared" si="16"/>
        <v>2</v>
      </c>
      <c r="T320" s="19">
        <f t="shared" si="17"/>
        <v>44</v>
      </c>
      <c r="U320" s="19"/>
      <c r="V320" s="19"/>
      <c r="W320" s="19"/>
      <c r="X320" s="19"/>
      <c r="Y320" s="19"/>
    </row>
    <row r="321" spans="1:25" ht="12" hidden="1" customHeight="1" thickBot="1" x14ac:dyDescent="0.35">
      <c r="A321" s="20">
        <v>2</v>
      </c>
      <c r="B321" s="20" t="s">
        <v>1285</v>
      </c>
      <c r="C321" s="20" t="s">
        <v>1286</v>
      </c>
      <c r="D321" s="20" t="s">
        <v>1301</v>
      </c>
      <c r="E321" s="20">
        <v>118</v>
      </c>
      <c r="F321" s="52" t="s">
        <v>385</v>
      </c>
      <c r="G321" s="20" t="s">
        <v>1287</v>
      </c>
      <c r="H321" s="20" t="s">
        <v>1288</v>
      </c>
      <c r="I321" s="20">
        <v>2</v>
      </c>
      <c r="J321" s="20">
        <v>44</v>
      </c>
      <c r="K321" s="20">
        <v>2</v>
      </c>
      <c r="L321" s="20" t="s">
        <v>12</v>
      </c>
      <c r="M321" s="20"/>
      <c r="N321" s="20"/>
      <c r="O321" s="20">
        <v>16</v>
      </c>
      <c r="P321" s="20" t="s">
        <v>1212</v>
      </c>
      <c r="Q321" s="20" t="s">
        <v>280</v>
      </c>
      <c r="R321" s="20" t="str">
        <f t="shared" si="15"/>
        <v>ALCANCIA ALBERTO MEDIANO-LILA</v>
      </c>
      <c r="S321" s="19">
        <f t="shared" si="16"/>
        <v>2</v>
      </c>
      <c r="T321" s="19">
        <f t="shared" si="17"/>
        <v>44</v>
      </c>
      <c r="U321" s="19"/>
      <c r="V321" s="19"/>
      <c r="W321" s="19"/>
      <c r="X321" s="19"/>
      <c r="Y321" s="19"/>
    </row>
    <row r="322" spans="1:25" ht="12" hidden="1" customHeight="1" thickBot="1" x14ac:dyDescent="0.35">
      <c r="A322" s="20">
        <v>2</v>
      </c>
      <c r="B322" s="20" t="s">
        <v>1285</v>
      </c>
      <c r="C322" s="20" t="s">
        <v>1286</v>
      </c>
      <c r="D322" s="20" t="s">
        <v>1301</v>
      </c>
      <c r="E322" s="20">
        <v>119</v>
      </c>
      <c r="F322" s="52" t="s">
        <v>1309</v>
      </c>
      <c r="G322" s="20" t="s">
        <v>1287</v>
      </c>
      <c r="H322" s="20" t="s">
        <v>1288</v>
      </c>
      <c r="I322" s="20">
        <v>2</v>
      </c>
      <c r="J322" s="20">
        <v>44</v>
      </c>
      <c r="K322" s="20">
        <v>2</v>
      </c>
      <c r="L322" s="20" t="s">
        <v>12</v>
      </c>
      <c r="M322" s="20"/>
      <c r="N322" s="20"/>
      <c r="O322" s="20">
        <v>16</v>
      </c>
      <c r="P322" s="20" t="s">
        <v>1212</v>
      </c>
      <c r="Q322" s="20" t="s">
        <v>1308</v>
      </c>
      <c r="R322" s="20" t="str">
        <f t="shared" si="15"/>
        <v>ALCANCIA ALBERTO MEDIANO-LILA PINTADO</v>
      </c>
      <c r="S322" s="19">
        <f t="shared" si="16"/>
        <v>2</v>
      </c>
      <c r="T322" s="19">
        <f t="shared" si="17"/>
        <v>44</v>
      </c>
      <c r="U322" s="19"/>
      <c r="V322" s="19"/>
      <c r="W322" s="19"/>
      <c r="X322" s="19"/>
      <c r="Y322" s="19"/>
    </row>
    <row r="323" spans="1:25" ht="12" hidden="1" customHeight="1" thickBot="1" x14ac:dyDescent="0.35">
      <c r="A323" s="20">
        <v>2</v>
      </c>
      <c r="B323" s="20" t="s">
        <v>1285</v>
      </c>
      <c r="C323" s="20" t="s">
        <v>1286</v>
      </c>
      <c r="D323" s="20" t="s">
        <v>1301</v>
      </c>
      <c r="E323" s="20">
        <v>120</v>
      </c>
      <c r="F323" s="52" t="s">
        <v>386</v>
      </c>
      <c r="G323" s="20" t="s">
        <v>1287</v>
      </c>
      <c r="H323" s="20" t="s">
        <v>1288</v>
      </c>
      <c r="I323" s="20">
        <v>1</v>
      </c>
      <c r="J323" s="20">
        <v>44</v>
      </c>
      <c r="K323" s="20">
        <v>2</v>
      </c>
      <c r="L323" s="20" t="s">
        <v>12</v>
      </c>
      <c r="M323" s="20"/>
      <c r="N323" s="20"/>
      <c r="O323" s="20">
        <v>19</v>
      </c>
      <c r="P323" s="20" t="s">
        <v>27</v>
      </c>
      <c r="Q323" s="20" t="s">
        <v>281</v>
      </c>
      <c r="R323" s="20" t="str">
        <f t="shared" ref="R323:R386" si="18">F323</f>
        <v>ALCANCIA ALBERTO MEDIANO-ROJO</v>
      </c>
      <c r="S323" s="19">
        <f t="shared" ref="S323:S386" si="19">+I323</f>
        <v>1</v>
      </c>
      <c r="T323" s="19">
        <f t="shared" ref="T323:T386" si="20">+J323</f>
        <v>44</v>
      </c>
      <c r="U323" s="19"/>
      <c r="V323" s="19"/>
      <c r="W323" s="19"/>
      <c r="X323" s="19"/>
      <c r="Y323" s="19"/>
    </row>
    <row r="324" spans="1:25" ht="12" hidden="1" customHeight="1" thickBot="1" x14ac:dyDescent="0.35">
      <c r="A324" s="20">
        <v>2</v>
      </c>
      <c r="B324" s="20" t="s">
        <v>1285</v>
      </c>
      <c r="C324" s="20" t="s">
        <v>1286</v>
      </c>
      <c r="D324" s="20" t="s">
        <v>1301</v>
      </c>
      <c r="E324" s="20">
        <v>121</v>
      </c>
      <c r="F324" s="52" t="s">
        <v>1311</v>
      </c>
      <c r="G324" s="20" t="s">
        <v>1287</v>
      </c>
      <c r="H324" s="20" t="s">
        <v>1288</v>
      </c>
      <c r="I324" s="20">
        <v>1</v>
      </c>
      <c r="J324" s="20">
        <v>44</v>
      </c>
      <c r="K324" s="20">
        <v>2</v>
      </c>
      <c r="L324" s="20" t="s">
        <v>12</v>
      </c>
      <c r="M324" s="20"/>
      <c r="N324" s="20"/>
      <c r="O324" s="20">
        <v>19</v>
      </c>
      <c r="P324" s="20" t="s">
        <v>27</v>
      </c>
      <c r="Q324" s="20" t="s">
        <v>1310</v>
      </c>
      <c r="R324" s="20" t="str">
        <f t="shared" si="18"/>
        <v>ALCANCIA ALBERTO MEDIANO-ROJO PINTADO</v>
      </c>
      <c r="S324" s="19">
        <f t="shared" si="19"/>
        <v>1</v>
      </c>
      <c r="T324" s="19">
        <f t="shared" si="20"/>
        <v>44</v>
      </c>
      <c r="U324" s="19"/>
      <c r="V324" s="19"/>
      <c r="W324" s="19"/>
      <c r="X324" s="19"/>
      <c r="Y324" s="19"/>
    </row>
    <row r="325" spans="1:25" ht="12" hidden="1" customHeight="1" thickBot="1" x14ac:dyDescent="0.35">
      <c r="A325" s="20">
        <v>2</v>
      </c>
      <c r="B325" s="20" t="s">
        <v>1285</v>
      </c>
      <c r="C325" s="20" t="s">
        <v>1286</v>
      </c>
      <c r="D325" s="20" t="s">
        <v>1301</v>
      </c>
      <c r="E325" s="20">
        <v>122</v>
      </c>
      <c r="F325" s="52" t="s">
        <v>387</v>
      </c>
      <c r="G325" s="20" t="s">
        <v>1287</v>
      </c>
      <c r="H325" s="20" t="s">
        <v>1288</v>
      </c>
      <c r="I325" s="20">
        <v>1</v>
      </c>
      <c r="J325" s="20">
        <v>44</v>
      </c>
      <c r="K325" s="20">
        <v>2</v>
      </c>
      <c r="L325" s="20" t="s">
        <v>12</v>
      </c>
      <c r="M325" s="20"/>
      <c r="N325" s="20"/>
      <c r="O325" s="20">
        <v>23</v>
      </c>
      <c r="P325" s="20" t="s">
        <v>1221</v>
      </c>
      <c r="Q325" s="20" t="s">
        <v>282</v>
      </c>
      <c r="R325" s="20" t="str">
        <f t="shared" si="18"/>
        <v>ALCANCIA ALBERTO MEDIANO-VERDE TELEFONICO</v>
      </c>
      <c r="S325" s="19">
        <f t="shared" si="19"/>
        <v>1</v>
      </c>
      <c r="T325" s="19">
        <f t="shared" si="20"/>
        <v>44</v>
      </c>
      <c r="U325" s="19"/>
      <c r="V325" s="19"/>
      <c r="W325" s="19"/>
      <c r="X325" s="19"/>
      <c r="Y325" s="19"/>
    </row>
    <row r="326" spans="1:25" ht="12" hidden="1" customHeight="1" thickBot="1" x14ac:dyDescent="0.35">
      <c r="A326" s="20">
        <v>2</v>
      </c>
      <c r="B326" s="20" t="s">
        <v>1285</v>
      </c>
      <c r="C326" s="20" t="s">
        <v>1286</v>
      </c>
      <c r="D326" s="20" t="s">
        <v>1301</v>
      </c>
      <c r="E326" s="20">
        <v>123</v>
      </c>
      <c r="F326" s="20" t="s">
        <v>1313</v>
      </c>
      <c r="G326" s="20" t="s">
        <v>1287</v>
      </c>
      <c r="H326" s="20" t="s">
        <v>1288</v>
      </c>
      <c r="I326" s="20">
        <v>1</v>
      </c>
      <c r="J326" s="20">
        <v>44</v>
      </c>
      <c r="K326" s="20">
        <v>2</v>
      </c>
      <c r="L326" s="20" t="s">
        <v>12</v>
      </c>
      <c r="M326" s="20"/>
      <c r="N326" s="20"/>
      <c r="O326" s="20">
        <v>23</v>
      </c>
      <c r="P326" s="20" t="s">
        <v>1221</v>
      </c>
      <c r="Q326" s="20" t="s">
        <v>1312</v>
      </c>
      <c r="R326" s="20" t="str">
        <f t="shared" si="18"/>
        <v>ALCANCIA ALBERTO MEDIANO-VERDE TELEFONICO PINTADO</v>
      </c>
      <c r="S326" s="19">
        <f t="shared" si="19"/>
        <v>1</v>
      </c>
      <c r="T326" s="19">
        <f t="shared" si="20"/>
        <v>44</v>
      </c>
      <c r="U326" s="19"/>
      <c r="V326" s="19"/>
      <c r="W326" s="19"/>
      <c r="X326" s="19"/>
      <c r="Y326" s="19"/>
    </row>
    <row r="327" spans="1:25" ht="12" hidden="1" customHeight="1" thickBot="1" x14ac:dyDescent="0.35">
      <c r="A327" s="20">
        <v>2</v>
      </c>
      <c r="B327" s="20" t="s">
        <v>1285</v>
      </c>
      <c r="C327" s="20" t="s">
        <v>1286</v>
      </c>
      <c r="D327" s="20" t="s">
        <v>1043</v>
      </c>
      <c r="E327" s="20">
        <v>124</v>
      </c>
      <c r="F327" s="52" t="s">
        <v>388</v>
      </c>
      <c r="G327" s="20" t="s">
        <v>1287</v>
      </c>
      <c r="H327" s="20" t="s">
        <v>1288</v>
      </c>
      <c r="I327" s="20">
        <v>1</v>
      </c>
      <c r="J327" s="20">
        <v>44</v>
      </c>
      <c r="K327" s="20">
        <v>2</v>
      </c>
      <c r="L327" s="20" t="s">
        <v>12</v>
      </c>
      <c r="M327" s="20"/>
      <c r="N327" s="20"/>
      <c r="O327" s="20">
        <v>10</v>
      </c>
      <c r="P327" s="20" t="s">
        <v>26</v>
      </c>
      <c r="Q327" s="20" t="s">
        <v>283</v>
      </c>
      <c r="R327" s="20" t="str">
        <f t="shared" si="18"/>
        <v>ALCANCIA BABY-AMARILLO</v>
      </c>
      <c r="S327" s="19">
        <f t="shared" si="19"/>
        <v>1</v>
      </c>
      <c r="T327" s="19">
        <f t="shared" si="20"/>
        <v>44</v>
      </c>
      <c r="U327" s="19"/>
      <c r="V327" s="19"/>
      <c r="W327" s="19"/>
      <c r="X327" s="19"/>
      <c r="Y327" s="19"/>
    </row>
    <row r="328" spans="1:25" ht="12" hidden="1" customHeight="1" thickBot="1" x14ac:dyDescent="0.35">
      <c r="A328" s="20">
        <v>2</v>
      </c>
      <c r="B328" s="20" t="s">
        <v>1285</v>
      </c>
      <c r="C328" s="20" t="s">
        <v>1286</v>
      </c>
      <c r="D328" s="20" t="s">
        <v>1043</v>
      </c>
      <c r="E328" s="20">
        <v>125</v>
      </c>
      <c r="F328" s="52" t="s">
        <v>1315</v>
      </c>
      <c r="G328" s="20" t="s">
        <v>1287</v>
      </c>
      <c r="H328" s="20" t="s">
        <v>1288</v>
      </c>
      <c r="I328" s="20">
        <v>1</v>
      </c>
      <c r="J328" s="20">
        <v>44</v>
      </c>
      <c r="K328" s="20">
        <v>2</v>
      </c>
      <c r="L328" s="20" t="s">
        <v>12</v>
      </c>
      <c r="M328" s="20"/>
      <c r="N328" s="20"/>
      <c r="O328" s="20">
        <v>10</v>
      </c>
      <c r="P328" s="20" t="s">
        <v>26</v>
      </c>
      <c r="Q328" s="20" t="s">
        <v>1314</v>
      </c>
      <c r="R328" s="20" t="str">
        <f t="shared" si="18"/>
        <v>ALCANCIA BABY-AMARILLO PINTADO</v>
      </c>
      <c r="S328" s="19">
        <f t="shared" si="19"/>
        <v>1</v>
      </c>
      <c r="T328" s="19">
        <f t="shared" si="20"/>
        <v>44</v>
      </c>
      <c r="U328" s="19"/>
      <c r="V328" s="19"/>
      <c r="W328" s="19"/>
      <c r="X328" s="19"/>
      <c r="Y328" s="19"/>
    </row>
    <row r="329" spans="1:25" ht="12" hidden="1" customHeight="1" thickBot="1" x14ac:dyDescent="0.35">
      <c r="A329" s="20">
        <v>2</v>
      </c>
      <c r="B329" s="20" t="s">
        <v>1285</v>
      </c>
      <c r="C329" s="20" t="s">
        <v>1286</v>
      </c>
      <c r="D329" s="20" t="s">
        <v>1043</v>
      </c>
      <c r="E329" s="20">
        <v>126</v>
      </c>
      <c r="F329" s="20" t="s">
        <v>389</v>
      </c>
      <c r="G329" s="20" t="s">
        <v>1287</v>
      </c>
      <c r="H329" s="20" t="s">
        <v>1288</v>
      </c>
      <c r="I329" s="20">
        <v>4</v>
      </c>
      <c r="J329" s="20">
        <v>44</v>
      </c>
      <c r="K329" s="20">
        <v>2</v>
      </c>
      <c r="L329" s="20" t="s">
        <v>12</v>
      </c>
      <c r="M329" s="20"/>
      <c r="N329" s="20"/>
      <c r="O329" s="20">
        <v>11</v>
      </c>
      <c r="P329" s="20" t="s">
        <v>1207</v>
      </c>
      <c r="Q329" s="20" t="s">
        <v>284</v>
      </c>
      <c r="R329" s="20" t="str">
        <f t="shared" si="18"/>
        <v>ALCANCIA BABY-ANARANJADO</v>
      </c>
      <c r="S329" s="19">
        <f t="shared" si="19"/>
        <v>4</v>
      </c>
      <c r="T329" s="19">
        <f t="shared" si="20"/>
        <v>44</v>
      </c>
      <c r="U329" s="19"/>
      <c r="V329" s="19"/>
      <c r="W329" s="19"/>
      <c r="X329" s="19"/>
      <c r="Y329" s="19"/>
    </row>
    <row r="330" spans="1:25" ht="12" hidden="1" customHeight="1" thickBot="1" x14ac:dyDescent="0.35">
      <c r="A330" s="20">
        <v>2</v>
      </c>
      <c r="B330" s="20" t="s">
        <v>1285</v>
      </c>
      <c r="C330" s="20" t="s">
        <v>1286</v>
      </c>
      <c r="D330" s="20" t="s">
        <v>1043</v>
      </c>
      <c r="E330" s="20">
        <v>127</v>
      </c>
      <c r="F330" s="20" t="s">
        <v>1317</v>
      </c>
      <c r="G330" s="20" t="s">
        <v>1287</v>
      </c>
      <c r="H330" s="20" t="s">
        <v>1288</v>
      </c>
      <c r="I330" s="20">
        <v>4</v>
      </c>
      <c r="J330" s="20">
        <v>44</v>
      </c>
      <c r="K330" s="20">
        <v>2</v>
      </c>
      <c r="L330" s="20" t="s">
        <v>12</v>
      </c>
      <c r="M330" s="20"/>
      <c r="N330" s="20"/>
      <c r="O330" s="20">
        <v>11</v>
      </c>
      <c r="P330" s="20" t="s">
        <v>1207</v>
      </c>
      <c r="Q330" s="20" t="s">
        <v>1316</v>
      </c>
      <c r="R330" s="20" t="str">
        <f t="shared" si="18"/>
        <v>ALCANCIA BABY-ANARANJADO PINTADO</v>
      </c>
      <c r="S330" s="19">
        <f t="shared" si="19"/>
        <v>4</v>
      </c>
      <c r="T330" s="19">
        <f t="shared" si="20"/>
        <v>44</v>
      </c>
      <c r="U330" s="19"/>
      <c r="V330" s="19"/>
      <c r="W330" s="19"/>
      <c r="X330" s="19"/>
      <c r="Y330" s="19"/>
    </row>
    <row r="331" spans="1:25" ht="12" hidden="1" customHeight="1" thickBot="1" x14ac:dyDescent="0.35">
      <c r="A331" s="20">
        <v>2</v>
      </c>
      <c r="B331" s="20" t="s">
        <v>1285</v>
      </c>
      <c r="C331" s="20" t="s">
        <v>1286</v>
      </c>
      <c r="D331" s="20" t="s">
        <v>1043</v>
      </c>
      <c r="E331" s="20">
        <v>128</v>
      </c>
      <c r="F331" s="20" t="s">
        <v>390</v>
      </c>
      <c r="G331" s="20" t="s">
        <v>1287</v>
      </c>
      <c r="H331" s="20" t="s">
        <v>1288</v>
      </c>
      <c r="I331" s="20">
        <v>4</v>
      </c>
      <c r="J331" s="20">
        <v>44</v>
      </c>
      <c r="K331" s="20">
        <v>2</v>
      </c>
      <c r="L331" s="20" t="s">
        <v>12</v>
      </c>
      <c r="M331" s="20"/>
      <c r="N331" s="20"/>
      <c r="O331" s="20">
        <v>14</v>
      </c>
      <c r="P331" s="20" t="s">
        <v>1209</v>
      </c>
      <c r="Q331" s="20" t="s">
        <v>285</v>
      </c>
      <c r="R331" s="20" t="str">
        <f t="shared" si="18"/>
        <v>ALCANCIA BABY-CELESTE</v>
      </c>
      <c r="S331" s="19">
        <f t="shared" si="19"/>
        <v>4</v>
      </c>
      <c r="T331" s="19">
        <f t="shared" si="20"/>
        <v>44</v>
      </c>
      <c r="U331" s="19"/>
      <c r="V331" s="19"/>
      <c r="W331" s="19"/>
      <c r="X331" s="19"/>
      <c r="Y331" s="19"/>
    </row>
    <row r="332" spans="1:25" ht="12" hidden="1" customHeight="1" thickBot="1" x14ac:dyDescent="0.35">
      <c r="A332" s="20">
        <v>2</v>
      </c>
      <c r="B332" s="20" t="s">
        <v>1285</v>
      </c>
      <c r="C332" s="20" t="s">
        <v>1286</v>
      </c>
      <c r="D332" s="20" t="s">
        <v>1043</v>
      </c>
      <c r="E332" s="20">
        <v>129</v>
      </c>
      <c r="F332" s="20" t="s">
        <v>1319</v>
      </c>
      <c r="G332" s="20" t="s">
        <v>1287</v>
      </c>
      <c r="H332" s="20" t="s">
        <v>1288</v>
      </c>
      <c r="I332" s="20">
        <v>4</v>
      </c>
      <c r="J332" s="20">
        <v>44</v>
      </c>
      <c r="K332" s="20">
        <v>2</v>
      </c>
      <c r="L332" s="20" t="s">
        <v>12</v>
      </c>
      <c r="M332" s="20"/>
      <c r="N332" s="20"/>
      <c r="O332" s="20">
        <v>14</v>
      </c>
      <c r="P332" s="20" t="s">
        <v>1209</v>
      </c>
      <c r="Q332" s="20" t="s">
        <v>1318</v>
      </c>
      <c r="R332" s="20" t="str">
        <f t="shared" si="18"/>
        <v>ALCANCIA BABY-CELESTE PINTADO</v>
      </c>
      <c r="S332" s="19">
        <f t="shared" si="19"/>
        <v>4</v>
      </c>
      <c r="T332" s="19">
        <f t="shared" si="20"/>
        <v>44</v>
      </c>
      <c r="U332" s="19"/>
      <c r="V332" s="19"/>
      <c r="W332" s="19"/>
      <c r="X332" s="19"/>
      <c r="Y332" s="19"/>
    </row>
    <row r="333" spans="1:25" ht="12" hidden="1" customHeight="1" thickBot="1" x14ac:dyDescent="0.35">
      <c r="A333" s="20">
        <v>2</v>
      </c>
      <c r="B333" s="20" t="s">
        <v>1285</v>
      </c>
      <c r="C333" s="20" t="s">
        <v>1286</v>
      </c>
      <c r="D333" s="20" t="s">
        <v>1043</v>
      </c>
      <c r="E333" s="20">
        <v>130</v>
      </c>
      <c r="F333" s="20" t="s">
        <v>391</v>
      </c>
      <c r="G333" s="20" t="s">
        <v>1287</v>
      </c>
      <c r="H333" s="20" t="s">
        <v>1288</v>
      </c>
      <c r="I333" s="20">
        <v>4</v>
      </c>
      <c r="J333" s="20">
        <v>44</v>
      </c>
      <c r="K333" s="20">
        <v>2</v>
      </c>
      <c r="L333" s="20" t="s">
        <v>12</v>
      </c>
      <c r="M333" s="20"/>
      <c r="N333" s="20"/>
      <c r="O333" s="20">
        <v>16</v>
      </c>
      <c r="P333" s="20" t="s">
        <v>1212</v>
      </c>
      <c r="Q333" s="20" t="s">
        <v>286</v>
      </c>
      <c r="R333" s="20" t="str">
        <f t="shared" si="18"/>
        <v>ALCANCIA BABY-LILA</v>
      </c>
      <c r="S333" s="19">
        <f t="shared" si="19"/>
        <v>4</v>
      </c>
      <c r="T333" s="19">
        <f t="shared" si="20"/>
        <v>44</v>
      </c>
      <c r="U333" s="19"/>
      <c r="V333" s="19"/>
      <c r="W333" s="19"/>
      <c r="X333" s="19"/>
      <c r="Y333" s="19"/>
    </row>
    <row r="334" spans="1:25" ht="12" hidden="1" customHeight="1" thickBot="1" x14ac:dyDescent="0.35">
      <c r="A334" s="20">
        <v>2</v>
      </c>
      <c r="B334" s="20" t="s">
        <v>1285</v>
      </c>
      <c r="C334" s="20" t="s">
        <v>1286</v>
      </c>
      <c r="D334" s="20" t="s">
        <v>1043</v>
      </c>
      <c r="E334" s="20">
        <v>131</v>
      </c>
      <c r="F334" s="20" t="s">
        <v>1321</v>
      </c>
      <c r="G334" s="20" t="s">
        <v>1287</v>
      </c>
      <c r="H334" s="20" t="s">
        <v>1288</v>
      </c>
      <c r="I334" s="20">
        <v>4</v>
      </c>
      <c r="J334" s="20">
        <v>44</v>
      </c>
      <c r="K334" s="20">
        <v>2</v>
      </c>
      <c r="L334" s="20" t="s">
        <v>12</v>
      </c>
      <c r="M334" s="20"/>
      <c r="N334" s="20"/>
      <c r="O334" s="20">
        <v>16</v>
      </c>
      <c r="P334" s="20" t="s">
        <v>1212</v>
      </c>
      <c r="Q334" s="20" t="s">
        <v>1320</v>
      </c>
      <c r="R334" s="20" t="str">
        <f t="shared" si="18"/>
        <v>ALCANCIA BABY-LILA PINTADO</v>
      </c>
      <c r="S334" s="19">
        <f t="shared" si="19"/>
        <v>4</v>
      </c>
      <c r="T334" s="19">
        <f t="shared" si="20"/>
        <v>44</v>
      </c>
      <c r="U334" s="19"/>
      <c r="V334" s="19"/>
      <c r="W334" s="19"/>
      <c r="X334" s="19"/>
      <c r="Y334" s="19"/>
    </row>
    <row r="335" spans="1:25" ht="12" hidden="1" customHeight="1" thickBot="1" x14ac:dyDescent="0.35">
      <c r="A335" s="20">
        <v>2</v>
      </c>
      <c r="B335" s="20" t="s">
        <v>1285</v>
      </c>
      <c r="C335" s="20" t="s">
        <v>1286</v>
      </c>
      <c r="D335" s="20" t="s">
        <v>1043</v>
      </c>
      <c r="E335" s="20">
        <v>132</v>
      </c>
      <c r="F335" s="20" t="s">
        <v>392</v>
      </c>
      <c r="G335" s="20" t="s">
        <v>1287</v>
      </c>
      <c r="H335" s="20" t="s">
        <v>1288</v>
      </c>
      <c r="I335" s="20">
        <v>4</v>
      </c>
      <c r="J335" s="20">
        <v>44</v>
      </c>
      <c r="K335" s="20">
        <v>2</v>
      </c>
      <c r="L335" s="20" t="s">
        <v>12</v>
      </c>
      <c r="M335" s="20"/>
      <c r="N335" s="20"/>
      <c r="O335" s="20">
        <v>19</v>
      </c>
      <c r="P335" s="20" t="s">
        <v>27</v>
      </c>
      <c r="Q335" s="20" t="s">
        <v>287</v>
      </c>
      <c r="R335" s="20" t="str">
        <f t="shared" si="18"/>
        <v>ALCANCIA BABY-ROJO</v>
      </c>
      <c r="S335" s="19">
        <f t="shared" si="19"/>
        <v>4</v>
      </c>
      <c r="T335" s="19">
        <f t="shared" si="20"/>
        <v>44</v>
      </c>
      <c r="U335" s="19"/>
      <c r="V335" s="19"/>
      <c r="W335" s="19"/>
      <c r="X335" s="19"/>
      <c r="Y335" s="19"/>
    </row>
    <row r="336" spans="1:25" ht="12" hidden="1" customHeight="1" thickBot="1" x14ac:dyDescent="0.35">
      <c r="A336" s="20">
        <v>2</v>
      </c>
      <c r="B336" s="20" t="s">
        <v>1285</v>
      </c>
      <c r="C336" s="20" t="s">
        <v>1286</v>
      </c>
      <c r="D336" s="20" t="s">
        <v>1043</v>
      </c>
      <c r="E336" s="20">
        <v>133</v>
      </c>
      <c r="F336" s="20" t="s">
        <v>1323</v>
      </c>
      <c r="G336" s="20" t="s">
        <v>1287</v>
      </c>
      <c r="H336" s="20" t="s">
        <v>1288</v>
      </c>
      <c r="I336" s="20">
        <v>1</v>
      </c>
      <c r="J336" s="20">
        <v>44</v>
      </c>
      <c r="K336" s="20">
        <v>2</v>
      </c>
      <c r="L336" s="20" t="s">
        <v>12</v>
      </c>
      <c r="M336" s="20"/>
      <c r="N336" s="20"/>
      <c r="O336" s="20">
        <v>19</v>
      </c>
      <c r="P336" s="20" t="s">
        <v>27</v>
      </c>
      <c r="Q336" s="20" t="s">
        <v>1322</v>
      </c>
      <c r="R336" s="20" t="str">
        <f t="shared" si="18"/>
        <v>ALCANCIA BABY-ROJO PINTADO</v>
      </c>
      <c r="S336" s="19">
        <f t="shared" si="19"/>
        <v>1</v>
      </c>
      <c r="T336" s="19">
        <f t="shared" si="20"/>
        <v>44</v>
      </c>
      <c r="U336" s="19"/>
      <c r="V336" s="19"/>
      <c r="W336" s="19"/>
      <c r="X336" s="19"/>
      <c r="Y336" s="19"/>
    </row>
    <row r="337" spans="1:25" ht="12" hidden="1" customHeight="1" thickBot="1" x14ac:dyDescent="0.35">
      <c r="A337" s="20">
        <v>2</v>
      </c>
      <c r="B337" s="20" t="s">
        <v>1285</v>
      </c>
      <c r="C337" s="20" t="s">
        <v>1286</v>
      </c>
      <c r="D337" s="20" t="s">
        <v>1043</v>
      </c>
      <c r="E337" s="20">
        <v>134</v>
      </c>
      <c r="F337" s="52" t="s">
        <v>393</v>
      </c>
      <c r="G337" s="20" t="s">
        <v>1287</v>
      </c>
      <c r="H337" s="20" t="s">
        <v>1288</v>
      </c>
      <c r="I337" s="20">
        <v>2</v>
      </c>
      <c r="J337" s="20">
        <v>44</v>
      </c>
      <c r="K337" s="20">
        <v>2</v>
      </c>
      <c r="L337" s="20" t="s">
        <v>12</v>
      </c>
      <c r="M337" s="20"/>
      <c r="N337" s="20"/>
      <c r="O337" s="20">
        <v>23</v>
      </c>
      <c r="P337" s="20" t="s">
        <v>1221</v>
      </c>
      <c r="Q337" s="20" t="s">
        <v>288</v>
      </c>
      <c r="R337" s="20" t="str">
        <f t="shared" si="18"/>
        <v>ALCANCIA BABY-VERDE TELEFONICO</v>
      </c>
      <c r="S337" s="19">
        <f t="shared" si="19"/>
        <v>2</v>
      </c>
      <c r="T337" s="19">
        <f t="shared" si="20"/>
        <v>44</v>
      </c>
      <c r="U337" s="19"/>
      <c r="V337" s="19"/>
      <c r="W337" s="19"/>
      <c r="X337" s="19"/>
      <c r="Y337" s="19"/>
    </row>
    <row r="338" spans="1:25" ht="12" hidden="1" customHeight="1" thickBot="1" x14ac:dyDescent="0.35">
      <c r="A338" s="20">
        <v>2</v>
      </c>
      <c r="B338" s="20" t="s">
        <v>1285</v>
      </c>
      <c r="C338" s="20" t="s">
        <v>1286</v>
      </c>
      <c r="D338" s="20" t="s">
        <v>1043</v>
      </c>
      <c r="E338" s="20">
        <v>135</v>
      </c>
      <c r="F338" s="52" t="s">
        <v>1325</v>
      </c>
      <c r="G338" s="20" t="s">
        <v>1287</v>
      </c>
      <c r="H338" s="20" t="s">
        <v>1288</v>
      </c>
      <c r="I338" s="20">
        <v>1</v>
      </c>
      <c r="J338" s="20">
        <v>44</v>
      </c>
      <c r="K338" s="20">
        <v>2</v>
      </c>
      <c r="L338" s="20" t="s">
        <v>12</v>
      </c>
      <c r="M338" s="20"/>
      <c r="N338" s="20"/>
      <c r="O338" s="20">
        <v>23</v>
      </c>
      <c r="P338" s="20" t="s">
        <v>1221</v>
      </c>
      <c r="Q338" s="20" t="s">
        <v>1324</v>
      </c>
      <c r="R338" s="20" t="str">
        <f t="shared" si="18"/>
        <v>ALCANCIA BABY-VERDE TELEFONICO PINTADO</v>
      </c>
      <c r="S338" s="19">
        <f t="shared" si="19"/>
        <v>1</v>
      </c>
      <c r="T338" s="19">
        <f t="shared" si="20"/>
        <v>44</v>
      </c>
      <c r="U338" s="19"/>
      <c r="V338" s="19"/>
      <c r="W338" s="19"/>
      <c r="X338" s="19"/>
      <c r="Y338" s="19"/>
    </row>
    <row r="339" spans="1:25" ht="12" hidden="1" customHeight="1" thickBot="1" x14ac:dyDescent="0.35">
      <c r="A339" s="20">
        <v>2</v>
      </c>
      <c r="B339" s="20" t="s">
        <v>1285</v>
      </c>
      <c r="C339" s="20" t="s">
        <v>1286</v>
      </c>
      <c r="D339" s="20" t="s">
        <v>1047</v>
      </c>
      <c r="E339" s="20">
        <v>136</v>
      </c>
      <c r="F339" s="20" t="s">
        <v>394</v>
      </c>
      <c r="G339" s="20" t="s">
        <v>1287</v>
      </c>
      <c r="H339" s="20" t="s">
        <v>1288</v>
      </c>
      <c r="I339" s="20">
        <v>16</v>
      </c>
      <c r="J339" s="20">
        <v>44</v>
      </c>
      <c r="K339" s="20">
        <v>2</v>
      </c>
      <c r="L339" s="20" t="s">
        <v>12</v>
      </c>
      <c r="M339" s="20"/>
      <c r="N339" s="20"/>
      <c r="O339" s="20">
        <v>10</v>
      </c>
      <c r="P339" s="20" t="s">
        <v>26</v>
      </c>
      <c r="Q339" s="20" t="s">
        <v>289</v>
      </c>
      <c r="R339" s="20" t="str">
        <f t="shared" si="18"/>
        <v>ALCANCIA CHAVEZ-AMARILLO</v>
      </c>
      <c r="S339" s="19">
        <f t="shared" si="19"/>
        <v>16</v>
      </c>
      <c r="T339" s="19">
        <f t="shared" si="20"/>
        <v>44</v>
      </c>
      <c r="U339" s="19"/>
      <c r="V339" s="19"/>
      <c r="W339" s="19"/>
      <c r="X339" s="19"/>
      <c r="Y339" s="19"/>
    </row>
    <row r="340" spans="1:25" ht="12" hidden="1" customHeight="1" thickBot="1" x14ac:dyDescent="0.35">
      <c r="A340" s="20">
        <v>2</v>
      </c>
      <c r="B340" s="20" t="s">
        <v>1285</v>
      </c>
      <c r="C340" s="20" t="s">
        <v>1286</v>
      </c>
      <c r="D340" s="20" t="s">
        <v>1047</v>
      </c>
      <c r="E340" s="20">
        <v>137</v>
      </c>
      <c r="F340" s="20" t="s">
        <v>1327</v>
      </c>
      <c r="G340" s="20" t="s">
        <v>1287</v>
      </c>
      <c r="H340" s="20" t="s">
        <v>1288</v>
      </c>
      <c r="I340" s="20">
        <v>16</v>
      </c>
      <c r="J340" s="20">
        <v>44</v>
      </c>
      <c r="K340" s="20">
        <v>2</v>
      </c>
      <c r="L340" s="20" t="s">
        <v>12</v>
      </c>
      <c r="M340" s="20"/>
      <c r="N340" s="20"/>
      <c r="O340" s="20">
        <v>10</v>
      </c>
      <c r="P340" s="20" t="s">
        <v>26</v>
      </c>
      <c r="Q340" s="20" t="s">
        <v>1326</v>
      </c>
      <c r="R340" s="20" t="str">
        <f t="shared" si="18"/>
        <v>ALCANCIA CHAVEZ-AMARILLO PINTADO</v>
      </c>
      <c r="S340" s="19">
        <f t="shared" si="19"/>
        <v>16</v>
      </c>
      <c r="T340" s="19">
        <f t="shared" si="20"/>
        <v>44</v>
      </c>
      <c r="U340" s="19"/>
      <c r="V340" s="19"/>
      <c r="W340" s="19"/>
      <c r="X340" s="19"/>
      <c r="Y340" s="19"/>
    </row>
    <row r="341" spans="1:25" ht="12" hidden="1" customHeight="1" thickBot="1" x14ac:dyDescent="0.35">
      <c r="A341" s="20">
        <v>2</v>
      </c>
      <c r="B341" s="20" t="s">
        <v>1285</v>
      </c>
      <c r="C341" s="20" t="s">
        <v>1286</v>
      </c>
      <c r="D341" s="20" t="s">
        <v>1047</v>
      </c>
      <c r="E341" s="20">
        <v>138</v>
      </c>
      <c r="F341" s="20" t="s">
        <v>395</v>
      </c>
      <c r="G341" s="20" t="s">
        <v>1287</v>
      </c>
      <c r="H341" s="20" t="s">
        <v>1288</v>
      </c>
      <c r="I341" s="20">
        <v>24</v>
      </c>
      <c r="J341" s="20">
        <v>44</v>
      </c>
      <c r="K341" s="20">
        <v>2</v>
      </c>
      <c r="L341" s="20" t="s">
        <v>12</v>
      </c>
      <c r="M341" s="20"/>
      <c r="N341" s="20"/>
      <c r="O341" s="20">
        <v>11</v>
      </c>
      <c r="P341" s="20" t="s">
        <v>1207</v>
      </c>
      <c r="Q341" s="20" t="s">
        <v>290</v>
      </c>
      <c r="R341" s="20" t="str">
        <f t="shared" si="18"/>
        <v>ALCANCIA CHAVEZ-ANARANJADO</v>
      </c>
      <c r="S341" s="19">
        <f t="shared" si="19"/>
        <v>24</v>
      </c>
      <c r="T341" s="19">
        <f t="shared" si="20"/>
        <v>44</v>
      </c>
      <c r="U341" s="19"/>
      <c r="V341" s="19"/>
      <c r="W341" s="19"/>
      <c r="X341" s="19"/>
      <c r="Y341" s="19"/>
    </row>
    <row r="342" spans="1:25" ht="12" hidden="1" customHeight="1" thickBot="1" x14ac:dyDescent="0.35">
      <c r="A342" s="20">
        <v>2</v>
      </c>
      <c r="B342" s="20" t="s">
        <v>1285</v>
      </c>
      <c r="C342" s="20" t="s">
        <v>1286</v>
      </c>
      <c r="D342" s="20" t="s">
        <v>1047</v>
      </c>
      <c r="E342" s="20">
        <v>139</v>
      </c>
      <c r="F342" s="20" t="s">
        <v>1329</v>
      </c>
      <c r="G342" s="20" t="s">
        <v>1287</v>
      </c>
      <c r="H342" s="20" t="s">
        <v>1288</v>
      </c>
      <c r="I342" s="20">
        <v>1</v>
      </c>
      <c r="J342" s="20">
        <v>44</v>
      </c>
      <c r="K342" s="20">
        <v>2</v>
      </c>
      <c r="L342" s="20" t="s">
        <v>12</v>
      </c>
      <c r="M342" s="20"/>
      <c r="N342" s="20"/>
      <c r="O342" s="20">
        <v>11</v>
      </c>
      <c r="P342" s="20" t="s">
        <v>1207</v>
      </c>
      <c r="Q342" s="20" t="s">
        <v>1328</v>
      </c>
      <c r="R342" s="20" t="str">
        <f t="shared" si="18"/>
        <v>ALCANCIA CHAVEZ-ANARANJADO PINTADO</v>
      </c>
      <c r="S342" s="19">
        <f t="shared" si="19"/>
        <v>1</v>
      </c>
      <c r="T342" s="19">
        <f t="shared" si="20"/>
        <v>44</v>
      </c>
      <c r="U342" s="19"/>
      <c r="V342" s="19"/>
      <c r="W342" s="19"/>
      <c r="X342" s="19"/>
      <c r="Y342" s="19"/>
    </row>
    <row r="343" spans="1:25" ht="12" hidden="1" customHeight="1" thickBot="1" x14ac:dyDescent="0.35">
      <c r="A343" s="20">
        <v>2</v>
      </c>
      <c r="B343" s="20" t="s">
        <v>1285</v>
      </c>
      <c r="C343" s="20" t="s">
        <v>1286</v>
      </c>
      <c r="D343" s="20" t="s">
        <v>1047</v>
      </c>
      <c r="E343" s="20">
        <v>140</v>
      </c>
      <c r="F343" s="20" t="s">
        <v>396</v>
      </c>
      <c r="G343" s="20" t="s">
        <v>1287</v>
      </c>
      <c r="H343" s="20" t="s">
        <v>1288</v>
      </c>
      <c r="I343" s="20">
        <v>1</v>
      </c>
      <c r="J343" s="20">
        <v>44</v>
      </c>
      <c r="K343" s="20">
        <v>2</v>
      </c>
      <c r="L343" s="20" t="s">
        <v>12</v>
      </c>
      <c r="M343" s="20"/>
      <c r="N343" s="20"/>
      <c r="O343" s="20">
        <v>14</v>
      </c>
      <c r="P343" s="20" t="s">
        <v>1209</v>
      </c>
      <c r="Q343" s="20" t="s">
        <v>291</v>
      </c>
      <c r="R343" s="20" t="str">
        <f t="shared" si="18"/>
        <v>ALCANCIA CHAVEZ-CELESTE</v>
      </c>
      <c r="S343" s="19">
        <f t="shared" si="19"/>
        <v>1</v>
      </c>
      <c r="T343" s="19">
        <f t="shared" si="20"/>
        <v>44</v>
      </c>
      <c r="U343" s="19"/>
      <c r="V343" s="19"/>
      <c r="W343" s="19"/>
      <c r="X343" s="19"/>
      <c r="Y343" s="19"/>
    </row>
    <row r="344" spans="1:25" ht="12" hidden="1" customHeight="1" thickBot="1" x14ac:dyDescent="0.35">
      <c r="A344" s="20">
        <v>2</v>
      </c>
      <c r="B344" s="20" t="s">
        <v>1285</v>
      </c>
      <c r="C344" s="20" t="s">
        <v>1286</v>
      </c>
      <c r="D344" s="20" t="s">
        <v>1047</v>
      </c>
      <c r="E344" s="20">
        <v>141</v>
      </c>
      <c r="F344" s="20" t="s">
        <v>1331</v>
      </c>
      <c r="G344" s="20" t="s">
        <v>1287</v>
      </c>
      <c r="H344" s="20" t="s">
        <v>1288</v>
      </c>
      <c r="I344" s="20">
        <v>1</v>
      </c>
      <c r="J344" s="20">
        <v>44</v>
      </c>
      <c r="K344" s="20">
        <v>2</v>
      </c>
      <c r="L344" s="20" t="s">
        <v>12</v>
      </c>
      <c r="M344" s="20"/>
      <c r="N344" s="20"/>
      <c r="O344" s="20">
        <v>14</v>
      </c>
      <c r="P344" s="20" t="s">
        <v>1209</v>
      </c>
      <c r="Q344" s="20" t="s">
        <v>1330</v>
      </c>
      <c r="R344" s="20" t="str">
        <f t="shared" si="18"/>
        <v>ALCANCIA CHAVEZ-CELESTE PINTADO</v>
      </c>
      <c r="S344" s="19">
        <f t="shared" si="19"/>
        <v>1</v>
      </c>
      <c r="T344" s="19">
        <f t="shared" si="20"/>
        <v>44</v>
      </c>
      <c r="U344" s="19"/>
      <c r="V344" s="19"/>
      <c r="W344" s="19"/>
      <c r="X344" s="19"/>
      <c r="Y344" s="19"/>
    </row>
    <row r="345" spans="1:25" ht="12" hidden="1" customHeight="1" thickBot="1" x14ac:dyDescent="0.35">
      <c r="A345" s="20">
        <v>2</v>
      </c>
      <c r="B345" s="20" t="s">
        <v>1285</v>
      </c>
      <c r="C345" s="20" t="s">
        <v>1286</v>
      </c>
      <c r="D345" s="20" t="s">
        <v>1047</v>
      </c>
      <c r="E345" s="20">
        <v>142</v>
      </c>
      <c r="F345" s="20" t="s">
        <v>397</v>
      </c>
      <c r="G345" s="20" t="s">
        <v>1287</v>
      </c>
      <c r="H345" s="20" t="s">
        <v>1288</v>
      </c>
      <c r="I345" s="20">
        <v>1</v>
      </c>
      <c r="J345" s="20">
        <v>44</v>
      </c>
      <c r="K345" s="20">
        <v>2</v>
      </c>
      <c r="L345" s="20" t="s">
        <v>12</v>
      </c>
      <c r="M345" s="20"/>
      <c r="N345" s="20"/>
      <c r="O345" s="20">
        <v>16</v>
      </c>
      <c r="P345" s="20" t="s">
        <v>1212</v>
      </c>
      <c r="Q345" s="20" t="s">
        <v>292</v>
      </c>
      <c r="R345" s="20" t="str">
        <f t="shared" si="18"/>
        <v>ALCANCIA CHAVEZ-LILA</v>
      </c>
      <c r="S345" s="19">
        <f t="shared" si="19"/>
        <v>1</v>
      </c>
      <c r="T345" s="19">
        <f t="shared" si="20"/>
        <v>44</v>
      </c>
      <c r="U345" s="19"/>
      <c r="V345" s="19"/>
      <c r="W345" s="19"/>
      <c r="X345" s="19"/>
      <c r="Y345" s="19"/>
    </row>
    <row r="346" spans="1:25" ht="12" hidden="1" customHeight="1" thickBot="1" x14ac:dyDescent="0.35">
      <c r="A346" s="20">
        <v>2</v>
      </c>
      <c r="B346" s="20" t="s">
        <v>1285</v>
      </c>
      <c r="C346" s="20" t="s">
        <v>1286</v>
      </c>
      <c r="D346" s="20" t="s">
        <v>1047</v>
      </c>
      <c r="E346" s="20">
        <v>143</v>
      </c>
      <c r="F346" s="20" t="s">
        <v>1333</v>
      </c>
      <c r="G346" s="20" t="s">
        <v>1287</v>
      </c>
      <c r="H346" s="20" t="s">
        <v>1288</v>
      </c>
      <c r="I346" s="20">
        <v>1</v>
      </c>
      <c r="J346" s="20">
        <v>44</v>
      </c>
      <c r="K346" s="20">
        <v>2</v>
      </c>
      <c r="L346" s="20" t="s">
        <v>12</v>
      </c>
      <c r="M346" s="20"/>
      <c r="N346" s="20"/>
      <c r="O346" s="20">
        <v>16</v>
      </c>
      <c r="P346" s="20" t="s">
        <v>1212</v>
      </c>
      <c r="Q346" s="20" t="s">
        <v>1332</v>
      </c>
      <c r="R346" s="20" t="str">
        <f t="shared" si="18"/>
        <v>ALCANCIA CHAVEZ-LILA PINTADO</v>
      </c>
      <c r="S346" s="19">
        <f t="shared" si="19"/>
        <v>1</v>
      </c>
      <c r="T346" s="19">
        <f t="shared" si="20"/>
        <v>44</v>
      </c>
      <c r="U346" s="19"/>
      <c r="V346" s="19"/>
      <c r="W346" s="19"/>
      <c r="X346" s="19"/>
      <c r="Y346" s="19"/>
    </row>
    <row r="347" spans="1:25" ht="12" hidden="1" customHeight="1" thickBot="1" x14ac:dyDescent="0.35">
      <c r="A347" s="20">
        <v>2</v>
      </c>
      <c r="B347" s="20" t="s">
        <v>1285</v>
      </c>
      <c r="C347" s="20" t="s">
        <v>1286</v>
      </c>
      <c r="D347" s="20" t="s">
        <v>1047</v>
      </c>
      <c r="E347" s="20">
        <v>144</v>
      </c>
      <c r="F347" s="20" t="s">
        <v>398</v>
      </c>
      <c r="G347" s="20" t="s">
        <v>1287</v>
      </c>
      <c r="H347" s="20" t="s">
        <v>1288</v>
      </c>
      <c r="I347" s="20">
        <v>1</v>
      </c>
      <c r="J347" s="20">
        <v>44</v>
      </c>
      <c r="K347" s="20">
        <v>2</v>
      </c>
      <c r="L347" s="20" t="s">
        <v>12</v>
      </c>
      <c r="M347" s="20"/>
      <c r="N347" s="20"/>
      <c r="O347" s="20">
        <v>19</v>
      </c>
      <c r="P347" s="20" t="s">
        <v>27</v>
      </c>
      <c r="Q347" s="20" t="s">
        <v>293</v>
      </c>
      <c r="R347" s="20" t="str">
        <f t="shared" si="18"/>
        <v>ALCANCIA CHAVEZ-ROJO</v>
      </c>
      <c r="S347" s="19">
        <f t="shared" si="19"/>
        <v>1</v>
      </c>
      <c r="T347" s="19">
        <f t="shared" si="20"/>
        <v>44</v>
      </c>
      <c r="U347" s="19"/>
      <c r="V347" s="19"/>
      <c r="W347" s="19"/>
      <c r="X347" s="19"/>
      <c r="Y347" s="19"/>
    </row>
    <row r="348" spans="1:25" ht="12" hidden="1" customHeight="1" thickBot="1" x14ac:dyDescent="0.35">
      <c r="A348" s="20">
        <v>2</v>
      </c>
      <c r="B348" s="20" t="s">
        <v>1285</v>
      </c>
      <c r="C348" s="20" t="s">
        <v>1286</v>
      </c>
      <c r="D348" s="20" t="s">
        <v>1047</v>
      </c>
      <c r="E348" s="20">
        <v>145</v>
      </c>
      <c r="F348" s="20" t="s">
        <v>1335</v>
      </c>
      <c r="G348" s="20" t="s">
        <v>1287</v>
      </c>
      <c r="H348" s="20" t="s">
        <v>1288</v>
      </c>
      <c r="I348" s="20">
        <v>1</v>
      </c>
      <c r="J348" s="20">
        <v>44</v>
      </c>
      <c r="K348" s="20">
        <v>2</v>
      </c>
      <c r="L348" s="20" t="s">
        <v>12</v>
      </c>
      <c r="M348" s="20"/>
      <c r="N348" s="20"/>
      <c r="O348" s="20">
        <v>19</v>
      </c>
      <c r="P348" s="20" t="s">
        <v>27</v>
      </c>
      <c r="Q348" s="20" t="s">
        <v>1334</v>
      </c>
      <c r="R348" s="20" t="str">
        <f t="shared" si="18"/>
        <v>ALCANCIA CHAVEZ-ROJO PINTADO</v>
      </c>
      <c r="S348" s="19">
        <f t="shared" si="19"/>
        <v>1</v>
      </c>
      <c r="T348" s="19">
        <f t="shared" si="20"/>
        <v>44</v>
      </c>
      <c r="U348" s="19"/>
      <c r="V348" s="19"/>
      <c r="W348" s="19"/>
      <c r="X348" s="19"/>
      <c r="Y348" s="19"/>
    </row>
    <row r="349" spans="1:25" ht="12" hidden="1" customHeight="1" thickBot="1" x14ac:dyDescent="0.35">
      <c r="A349" s="20">
        <v>2</v>
      </c>
      <c r="B349" s="20" t="s">
        <v>1285</v>
      </c>
      <c r="C349" s="20" t="s">
        <v>1286</v>
      </c>
      <c r="D349" s="20" t="s">
        <v>1047</v>
      </c>
      <c r="E349" s="20">
        <v>146</v>
      </c>
      <c r="F349" s="20" t="s">
        <v>399</v>
      </c>
      <c r="G349" s="20" t="s">
        <v>1287</v>
      </c>
      <c r="H349" s="20" t="s">
        <v>1288</v>
      </c>
      <c r="I349" s="20">
        <v>1</v>
      </c>
      <c r="J349" s="20">
        <v>44</v>
      </c>
      <c r="K349" s="20">
        <v>2</v>
      </c>
      <c r="L349" s="20" t="s">
        <v>12</v>
      </c>
      <c r="M349" s="20"/>
      <c r="N349" s="20"/>
      <c r="O349" s="20">
        <v>23</v>
      </c>
      <c r="P349" s="20" t="s">
        <v>1221</v>
      </c>
      <c r="Q349" s="20" t="s">
        <v>294</v>
      </c>
      <c r="R349" s="20" t="str">
        <f t="shared" si="18"/>
        <v>ALCANCIA CHAVEZ-VERDE TELEFONICO</v>
      </c>
      <c r="S349" s="19">
        <f t="shared" si="19"/>
        <v>1</v>
      </c>
      <c r="T349" s="19">
        <f t="shared" si="20"/>
        <v>44</v>
      </c>
      <c r="U349" s="19"/>
      <c r="V349" s="19"/>
      <c r="W349" s="19"/>
      <c r="X349" s="19"/>
      <c r="Y349" s="19"/>
    </row>
    <row r="350" spans="1:25" ht="12" hidden="1" customHeight="1" thickBot="1" x14ac:dyDescent="0.35">
      <c r="A350" s="20">
        <v>2</v>
      </c>
      <c r="B350" s="20" t="s">
        <v>1285</v>
      </c>
      <c r="C350" s="20" t="s">
        <v>1286</v>
      </c>
      <c r="D350" s="20" t="s">
        <v>1047</v>
      </c>
      <c r="E350" s="20">
        <v>147</v>
      </c>
      <c r="F350" s="20" t="s">
        <v>1337</v>
      </c>
      <c r="G350" s="20" t="s">
        <v>1287</v>
      </c>
      <c r="H350" s="20" t="s">
        <v>1288</v>
      </c>
      <c r="I350" s="20">
        <v>8</v>
      </c>
      <c r="J350" s="20">
        <v>44</v>
      </c>
      <c r="K350" s="20">
        <v>2</v>
      </c>
      <c r="L350" s="20" t="s">
        <v>12</v>
      </c>
      <c r="M350" s="20"/>
      <c r="N350" s="20"/>
      <c r="O350" s="20">
        <v>23</v>
      </c>
      <c r="P350" s="20" t="s">
        <v>1221</v>
      </c>
      <c r="Q350" s="20" t="s">
        <v>1336</v>
      </c>
      <c r="R350" s="20" t="str">
        <f t="shared" si="18"/>
        <v>ALCANCIA CHAVEZ-VERDE TELEFONICO PINTADO</v>
      </c>
      <c r="S350" s="19">
        <f t="shared" si="19"/>
        <v>8</v>
      </c>
      <c r="T350" s="19">
        <f t="shared" si="20"/>
        <v>44</v>
      </c>
      <c r="U350" s="19"/>
      <c r="V350" s="19"/>
      <c r="W350" s="19"/>
      <c r="X350" s="19"/>
      <c r="Y350" s="19"/>
    </row>
    <row r="351" spans="1:25" ht="12" hidden="1" customHeight="1" thickBot="1" x14ac:dyDescent="0.35">
      <c r="A351" s="20">
        <v>2</v>
      </c>
      <c r="B351" s="20" t="s">
        <v>1285</v>
      </c>
      <c r="C351" s="20" t="s">
        <v>1286</v>
      </c>
      <c r="D351" s="20" t="s">
        <v>1044</v>
      </c>
      <c r="E351" s="20">
        <v>148</v>
      </c>
      <c r="F351" s="20" t="s">
        <v>400</v>
      </c>
      <c r="G351" s="20" t="s">
        <v>1287</v>
      </c>
      <c r="H351" s="20" t="s">
        <v>1288</v>
      </c>
      <c r="I351" s="20">
        <v>8</v>
      </c>
      <c r="J351" s="20">
        <v>30</v>
      </c>
      <c r="K351" s="20">
        <v>2</v>
      </c>
      <c r="L351" s="20" t="s">
        <v>12</v>
      </c>
      <c r="M351" s="20"/>
      <c r="N351" s="20"/>
      <c r="O351" s="20">
        <v>10</v>
      </c>
      <c r="P351" s="20" t="s">
        <v>26</v>
      </c>
      <c r="Q351" s="20" t="s">
        <v>295</v>
      </c>
      <c r="R351" s="20" t="str">
        <f t="shared" si="18"/>
        <v>ALCANCIA CHICO-AMARILLO</v>
      </c>
      <c r="S351" s="19">
        <v>2</v>
      </c>
      <c r="T351" s="19">
        <f t="shared" si="20"/>
        <v>30</v>
      </c>
      <c r="U351" s="19">
        <v>120</v>
      </c>
      <c r="V351" s="19"/>
      <c r="W351" s="19"/>
      <c r="X351" s="19"/>
      <c r="Y351" s="19"/>
    </row>
    <row r="352" spans="1:25" ht="12" hidden="1" customHeight="1" thickBot="1" x14ac:dyDescent="0.35">
      <c r="A352" s="20">
        <v>2</v>
      </c>
      <c r="B352" s="20" t="s">
        <v>1285</v>
      </c>
      <c r="C352" s="20" t="s">
        <v>1286</v>
      </c>
      <c r="D352" s="20" t="s">
        <v>1044</v>
      </c>
      <c r="E352" s="20">
        <v>149</v>
      </c>
      <c r="F352" s="20" t="s">
        <v>1339</v>
      </c>
      <c r="G352" s="20" t="s">
        <v>1287</v>
      </c>
      <c r="H352" s="20" t="s">
        <v>1288</v>
      </c>
      <c r="I352" s="20">
        <v>8</v>
      </c>
      <c r="J352" s="20">
        <v>30</v>
      </c>
      <c r="K352" s="20">
        <v>2</v>
      </c>
      <c r="L352" s="20" t="s">
        <v>12</v>
      </c>
      <c r="M352" s="20"/>
      <c r="N352" s="20"/>
      <c r="O352" s="20">
        <v>10</v>
      </c>
      <c r="P352" s="20" t="s">
        <v>26</v>
      </c>
      <c r="Q352" s="20" t="s">
        <v>1338</v>
      </c>
      <c r="R352" s="20" t="str">
        <f t="shared" si="18"/>
        <v>ALCANCIA CHICO-AMARILLO PINTADO</v>
      </c>
      <c r="S352" s="19">
        <v>2</v>
      </c>
      <c r="T352" s="19">
        <f t="shared" si="20"/>
        <v>30</v>
      </c>
      <c r="U352" s="19">
        <v>120</v>
      </c>
      <c r="V352" s="19"/>
      <c r="W352" s="19"/>
      <c r="X352" s="19"/>
      <c r="Y352" s="19"/>
    </row>
    <row r="353" spans="1:25" ht="12" hidden="1" customHeight="1" thickBot="1" x14ac:dyDescent="0.35">
      <c r="A353" s="20">
        <v>2</v>
      </c>
      <c r="B353" s="20" t="s">
        <v>1285</v>
      </c>
      <c r="C353" s="20" t="s">
        <v>1286</v>
      </c>
      <c r="D353" s="20" t="s">
        <v>1044</v>
      </c>
      <c r="E353" s="20">
        <v>150</v>
      </c>
      <c r="F353" s="20" t="s">
        <v>401</v>
      </c>
      <c r="G353" s="20" t="s">
        <v>1287</v>
      </c>
      <c r="H353" s="20" t="s">
        <v>1288</v>
      </c>
      <c r="I353" s="20">
        <v>8</v>
      </c>
      <c r="J353" s="20">
        <v>30</v>
      </c>
      <c r="K353" s="20">
        <v>2</v>
      </c>
      <c r="L353" s="20" t="s">
        <v>12</v>
      </c>
      <c r="M353" s="20"/>
      <c r="N353" s="20"/>
      <c r="O353" s="20">
        <v>11</v>
      </c>
      <c r="P353" s="20" t="s">
        <v>1207</v>
      </c>
      <c r="Q353" s="20" t="s">
        <v>296</v>
      </c>
      <c r="R353" s="20" t="str">
        <f t="shared" si="18"/>
        <v>ALCANCIA CHICO-ANARANJADO</v>
      </c>
      <c r="S353" s="19">
        <v>2</v>
      </c>
      <c r="T353" s="19">
        <f t="shared" si="20"/>
        <v>30</v>
      </c>
      <c r="U353" s="19">
        <v>120</v>
      </c>
      <c r="V353" s="19"/>
      <c r="W353" s="19"/>
      <c r="X353" s="19"/>
      <c r="Y353" s="19"/>
    </row>
    <row r="354" spans="1:25" ht="12" hidden="1" customHeight="1" thickBot="1" x14ac:dyDescent="0.35">
      <c r="A354" s="20">
        <v>2</v>
      </c>
      <c r="B354" s="20" t="s">
        <v>1285</v>
      </c>
      <c r="C354" s="20" t="s">
        <v>1286</v>
      </c>
      <c r="D354" s="20" t="s">
        <v>1044</v>
      </c>
      <c r="E354" s="20">
        <v>151</v>
      </c>
      <c r="F354" s="20" t="s">
        <v>1341</v>
      </c>
      <c r="G354" s="20" t="s">
        <v>1287</v>
      </c>
      <c r="H354" s="20" t="s">
        <v>1288</v>
      </c>
      <c r="I354" s="20">
        <v>8</v>
      </c>
      <c r="J354" s="20">
        <v>30</v>
      </c>
      <c r="K354" s="20">
        <v>2</v>
      </c>
      <c r="L354" s="20" t="s">
        <v>12</v>
      </c>
      <c r="M354" s="20"/>
      <c r="N354" s="20"/>
      <c r="O354" s="20">
        <v>11</v>
      </c>
      <c r="P354" s="20" t="s">
        <v>1207</v>
      </c>
      <c r="Q354" s="20" t="s">
        <v>1340</v>
      </c>
      <c r="R354" s="20" t="str">
        <f t="shared" si="18"/>
        <v>ALCANCIA CHICO-ANARANJADO PINTADO</v>
      </c>
      <c r="S354" s="19">
        <v>2</v>
      </c>
      <c r="T354" s="19">
        <f t="shared" si="20"/>
        <v>30</v>
      </c>
      <c r="U354" s="19">
        <v>120</v>
      </c>
      <c r="V354" s="19"/>
      <c r="W354" s="19"/>
      <c r="X354" s="19"/>
      <c r="Y354" s="19"/>
    </row>
    <row r="355" spans="1:25" ht="12" hidden="1" customHeight="1" thickBot="1" x14ac:dyDescent="0.35">
      <c r="A355" s="20">
        <v>2</v>
      </c>
      <c r="B355" s="20" t="s">
        <v>1285</v>
      </c>
      <c r="C355" s="20" t="s">
        <v>1286</v>
      </c>
      <c r="D355" s="20" t="s">
        <v>1044</v>
      </c>
      <c r="E355" s="20">
        <v>152</v>
      </c>
      <c r="F355" s="20" t="s">
        <v>402</v>
      </c>
      <c r="G355" s="20" t="s">
        <v>1287</v>
      </c>
      <c r="H355" s="20" t="s">
        <v>1288</v>
      </c>
      <c r="I355" s="20">
        <v>8</v>
      </c>
      <c r="J355" s="20">
        <v>30</v>
      </c>
      <c r="K355" s="20">
        <v>2</v>
      </c>
      <c r="L355" s="20" t="s">
        <v>12</v>
      </c>
      <c r="M355" s="20"/>
      <c r="N355" s="20"/>
      <c r="O355" s="20">
        <v>14</v>
      </c>
      <c r="P355" s="20" t="s">
        <v>1209</v>
      </c>
      <c r="Q355" s="20" t="s">
        <v>297</v>
      </c>
      <c r="R355" s="20" t="str">
        <f t="shared" si="18"/>
        <v>ALCANCIA CHICO-CELESTE</v>
      </c>
      <c r="S355" s="19">
        <v>2</v>
      </c>
      <c r="T355" s="19">
        <f t="shared" si="20"/>
        <v>30</v>
      </c>
      <c r="U355" s="19">
        <v>120</v>
      </c>
      <c r="V355" s="19"/>
      <c r="W355" s="19"/>
      <c r="X355" s="19"/>
      <c r="Y355" s="19"/>
    </row>
    <row r="356" spans="1:25" ht="12" hidden="1" customHeight="1" thickBot="1" x14ac:dyDescent="0.35">
      <c r="A356" s="20">
        <v>2</v>
      </c>
      <c r="B356" s="20" t="s">
        <v>1285</v>
      </c>
      <c r="C356" s="20" t="s">
        <v>1286</v>
      </c>
      <c r="D356" s="20" t="s">
        <v>1044</v>
      </c>
      <c r="E356" s="20">
        <v>153</v>
      </c>
      <c r="F356" s="20" t="s">
        <v>1343</v>
      </c>
      <c r="G356" s="20" t="s">
        <v>1287</v>
      </c>
      <c r="H356" s="20" t="s">
        <v>1288</v>
      </c>
      <c r="I356" s="20">
        <v>8</v>
      </c>
      <c r="J356" s="20">
        <v>30</v>
      </c>
      <c r="K356" s="20">
        <v>2</v>
      </c>
      <c r="L356" s="20" t="s">
        <v>12</v>
      </c>
      <c r="M356" s="20"/>
      <c r="N356" s="20"/>
      <c r="O356" s="20">
        <v>14</v>
      </c>
      <c r="P356" s="20" t="s">
        <v>1209</v>
      </c>
      <c r="Q356" s="20" t="s">
        <v>1342</v>
      </c>
      <c r="R356" s="20" t="str">
        <f t="shared" si="18"/>
        <v>ALCANCIA CHICO-CELESTE PINTADO</v>
      </c>
      <c r="S356" s="19">
        <v>2</v>
      </c>
      <c r="T356" s="19">
        <f t="shared" si="20"/>
        <v>30</v>
      </c>
      <c r="U356" s="19">
        <v>120</v>
      </c>
      <c r="V356" s="19"/>
      <c r="W356" s="19"/>
      <c r="X356" s="19"/>
      <c r="Y356" s="19"/>
    </row>
    <row r="357" spans="1:25" ht="12" hidden="1" customHeight="1" thickBot="1" x14ac:dyDescent="0.35">
      <c r="A357" s="20">
        <v>2</v>
      </c>
      <c r="B357" s="20" t="s">
        <v>1285</v>
      </c>
      <c r="C357" s="20" t="s">
        <v>1286</v>
      </c>
      <c r="D357" s="20" t="s">
        <v>1044</v>
      </c>
      <c r="E357" s="20">
        <v>154</v>
      </c>
      <c r="F357" s="20" t="s">
        <v>403</v>
      </c>
      <c r="G357" s="20" t="s">
        <v>1287</v>
      </c>
      <c r="H357" s="20" t="s">
        <v>1288</v>
      </c>
      <c r="I357" s="20">
        <v>8</v>
      </c>
      <c r="J357" s="20">
        <v>30</v>
      </c>
      <c r="K357" s="20">
        <v>2</v>
      </c>
      <c r="L357" s="20" t="s">
        <v>12</v>
      </c>
      <c r="M357" s="20"/>
      <c r="N357" s="20"/>
      <c r="O357" s="20">
        <v>16</v>
      </c>
      <c r="P357" s="20" t="s">
        <v>1212</v>
      </c>
      <c r="Q357" s="20" t="s">
        <v>298</v>
      </c>
      <c r="R357" s="20" t="str">
        <f t="shared" si="18"/>
        <v>ALCANCIA CHICO-LILA</v>
      </c>
      <c r="S357" s="19">
        <v>2</v>
      </c>
      <c r="T357" s="19">
        <f t="shared" si="20"/>
        <v>30</v>
      </c>
      <c r="U357" s="19">
        <v>120</v>
      </c>
      <c r="V357" s="19"/>
      <c r="W357" s="19"/>
      <c r="X357" s="19"/>
      <c r="Y357" s="19"/>
    </row>
    <row r="358" spans="1:25" ht="12" hidden="1" customHeight="1" thickBot="1" x14ac:dyDescent="0.35">
      <c r="A358" s="20">
        <v>2</v>
      </c>
      <c r="B358" s="20" t="s">
        <v>1285</v>
      </c>
      <c r="C358" s="20" t="s">
        <v>1286</v>
      </c>
      <c r="D358" s="20" t="s">
        <v>1044</v>
      </c>
      <c r="E358" s="20">
        <v>155</v>
      </c>
      <c r="F358" s="52" t="s">
        <v>1345</v>
      </c>
      <c r="G358" s="20" t="s">
        <v>1287</v>
      </c>
      <c r="H358" s="20" t="s">
        <v>1288</v>
      </c>
      <c r="I358" s="20">
        <v>1</v>
      </c>
      <c r="J358" s="20">
        <v>30</v>
      </c>
      <c r="K358" s="20">
        <v>2</v>
      </c>
      <c r="L358" s="20" t="s">
        <v>12</v>
      </c>
      <c r="M358" s="20"/>
      <c r="N358" s="20"/>
      <c r="O358" s="20">
        <v>16</v>
      </c>
      <c r="P358" s="20" t="s">
        <v>1212</v>
      </c>
      <c r="Q358" s="20" t="s">
        <v>1344</v>
      </c>
      <c r="R358" s="20" t="str">
        <f t="shared" si="18"/>
        <v>ALCANCIA CHICO-LILA PINTADO</v>
      </c>
      <c r="S358" s="19">
        <f t="shared" si="19"/>
        <v>1</v>
      </c>
      <c r="T358" s="19">
        <f t="shared" si="20"/>
        <v>30</v>
      </c>
      <c r="U358" s="19">
        <v>120</v>
      </c>
      <c r="V358" s="19"/>
      <c r="W358" s="19"/>
      <c r="X358" s="19"/>
      <c r="Y358" s="19"/>
    </row>
    <row r="359" spans="1:25" ht="12" hidden="1" customHeight="1" thickBot="1" x14ac:dyDescent="0.35">
      <c r="A359" s="20">
        <v>2</v>
      </c>
      <c r="B359" s="20" t="s">
        <v>1285</v>
      </c>
      <c r="C359" s="20" t="s">
        <v>1286</v>
      </c>
      <c r="D359" s="20" t="s">
        <v>1044</v>
      </c>
      <c r="E359" s="20">
        <v>156</v>
      </c>
      <c r="F359" s="52" t="s">
        <v>404</v>
      </c>
      <c r="G359" s="20" t="s">
        <v>1287</v>
      </c>
      <c r="H359" s="20" t="s">
        <v>1288</v>
      </c>
      <c r="I359" s="20">
        <v>1</v>
      </c>
      <c r="J359" s="20">
        <v>30</v>
      </c>
      <c r="K359" s="20">
        <v>2</v>
      </c>
      <c r="L359" s="20" t="s">
        <v>12</v>
      </c>
      <c r="M359" s="20"/>
      <c r="N359" s="20"/>
      <c r="O359" s="20">
        <v>19</v>
      </c>
      <c r="P359" s="20" t="s">
        <v>27</v>
      </c>
      <c r="Q359" s="20" t="s">
        <v>299</v>
      </c>
      <c r="R359" s="20" t="str">
        <f t="shared" si="18"/>
        <v>ALCANCIA CHICO-ROJO</v>
      </c>
      <c r="S359" s="19">
        <f t="shared" si="19"/>
        <v>1</v>
      </c>
      <c r="T359" s="19">
        <f t="shared" si="20"/>
        <v>30</v>
      </c>
      <c r="U359" s="19">
        <v>120</v>
      </c>
      <c r="V359" s="19"/>
      <c r="W359" s="19"/>
      <c r="X359" s="19"/>
      <c r="Y359" s="19"/>
    </row>
    <row r="360" spans="1:25" ht="12" hidden="1" customHeight="1" thickBot="1" x14ac:dyDescent="0.35">
      <c r="A360" s="20">
        <v>2</v>
      </c>
      <c r="B360" s="20" t="s">
        <v>1285</v>
      </c>
      <c r="C360" s="20" t="s">
        <v>1286</v>
      </c>
      <c r="D360" s="20" t="s">
        <v>1044</v>
      </c>
      <c r="E360" s="20">
        <v>157</v>
      </c>
      <c r="F360" s="52" t="s">
        <v>1347</v>
      </c>
      <c r="G360" s="20" t="s">
        <v>1287</v>
      </c>
      <c r="H360" s="20" t="s">
        <v>1288</v>
      </c>
      <c r="I360" s="20">
        <v>1</v>
      </c>
      <c r="J360" s="20">
        <v>30</v>
      </c>
      <c r="K360" s="20">
        <v>2</v>
      </c>
      <c r="L360" s="20" t="s">
        <v>12</v>
      </c>
      <c r="M360" s="20"/>
      <c r="N360" s="20"/>
      <c r="O360" s="20">
        <v>19</v>
      </c>
      <c r="P360" s="20" t="s">
        <v>27</v>
      </c>
      <c r="Q360" s="20" t="s">
        <v>1346</v>
      </c>
      <c r="R360" s="20" t="str">
        <f t="shared" si="18"/>
        <v>ALCANCIA CHICO-ROJO PINTADO</v>
      </c>
      <c r="S360" s="19">
        <f t="shared" si="19"/>
        <v>1</v>
      </c>
      <c r="T360" s="19">
        <f t="shared" si="20"/>
        <v>30</v>
      </c>
      <c r="U360" s="19">
        <v>120</v>
      </c>
      <c r="V360" s="19"/>
      <c r="W360" s="19"/>
      <c r="X360" s="19"/>
      <c r="Y360" s="19"/>
    </row>
    <row r="361" spans="1:25" ht="12" hidden="1" customHeight="1" thickBot="1" x14ac:dyDescent="0.35">
      <c r="A361" s="20">
        <v>2</v>
      </c>
      <c r="B361" s="20" t="s">
        <v>1285</v>
      </c>
      <c r="C361" s="20" t="s">
        <v>1286</v>
      </c>
      <c r="D361" s="20" t="s">
        <v>1044</v>
      </c>
      <c r="E361" s="20">
        <v>158</v>
      </c>
      <c r="F361" s="52" t="s">
        <v>405</v>
      </c>
      <c r="G361" s="20" t="s">
        <v>1287</v>
      </c>
      <c r="H361" s="20" t="s">
        <v>1288</v>
      </c>
      <c r="I361" s="20">
        <v>1</v>
      </c>
      <c r="J361" s="20">
        <v>30</v>
      </c>
      <c r="K361" s="20">
        <v>2</v>
      </c>
      <c r="L361" s="20" t="s">
        <v>12</v>
      </c>
      <c r="M361" s="20"/>
      <c r="N361" s="20"/>
      <c r="O361" s="20">
        <v>23</v>
      </c>
      <c r="P361" s="20" t="s">
        <v>1221</v>
      </c>
      <c r="Q361" s="20" t="s">
        <v>300</v>
      </c>
      <c r="R361" s="20" t="str">
        <f t="shared" si="18"/>
        <v>ALCANCIA CHICO-VERDE TELEFONICO</v>
      </c>
      <c r="S361" s="19">
        <f t="shared" si="19"/>
        <v>1</v>
      </c>
      <c r="T361" s="19">
        <f t="shared" si="20"/>
        <v>30</v>
      </c>
      <c r="U361" s="19">
        <v>120</v>
      </c>
      <c r="V361" s="19"/>
      <c r="W361" s="19"/>
      <c r="X361" s="19"/>
      <c r="Y361" s="19"/>
    </row>
    <row r="362" spans="1:25" ht="12" hidden="1" customHeight="1" thickBot="1" x14ac:dyDescent="0.35">
      <c r="A362" s="20">
        <v>2</v>
      </c>
      <c r="B362" s="20" t="s">
        <v>1285</v>
      </c>
      <c r="C362" s="20" t="s">
        <v>1286</v>
      </c>
      <c r="D362" s="20" t="s">
        <v>1044</v>
      </c>
      <c r="E362" s="20">
        <v>159</v>
      </c>
      <c r="F362" s="52" t="s">
        <v>1349</v>
      </c>
      <c r="G362" s="20" t="s">
        <v>1287</v>
      </c>
      <c r="H362" s="20" t="s">
        <v>1288</v>
      </c>
      <c r="I362" s="20">
        <v>1</v>
      </c>
      <c r="J362" s="20">
        <v>30</v>
      </c>
      <c r="K362" s="20">
        <v>2</v>
      </c>
      <c r="L362" s="20" t="s">
        <v>12</v>
      </c>
      <c r="M362" s="20"/>
      <c r="N362" s="20"/>
      <c r="O362" s="20">
        <v>23</v>
      </c>
      <c r="P362" s="20" t="s">
        <v>1221</v>
      </c>
      <c r="Q362" s="20" t="s">
        <v>1348</v>
      </c>
      <c r="R362" s="20" t="str">
        <f t="shared" si="18"/>
        <v>ALCANCIA CHICO-VERDE TELEFONICO PINTADO</v>
      </c>
      <c r="S362" s="19">
        <f t="shared" si="19"/>
        <v>1</v>
      </c>
      <c r="T362" s="19">
        <f t="shared" si="20"/>
        <v>30</v>
      </c>
      <c r="U362" s="19">
        <v>120</v>
      </c>
      <c r="V362" s="19"/>
      <c r="W362" s="19"/>
      <c r="X362" s="19"/>
      <c r="Y362" s="19"/>
    </row>
    <row r="363" spans="1:25" ht="12" hidden="1" customHeight="1" thickBot="1" x14ac:dyDescent="0.35">
      <c r="A363" s="20">
        <v>2</v>
      </c>
      <c r="B363" s="20" t="s">
        <v>1285</v>
      </c>
      <c r="C363" s="20" t="s">
        <v>1286</v>
      </c>
      <c r="D363" s="20" t="s">
        <v>1350</v>
      </c>
      <c r="E363" s="20">
        <v>160</v>
      </c>
      <c r="F363" s="52" t="s">
        <v>406</v>
      </c>
      <c r="G363" s="20" t="s">
        <v>1287</v>
      </c>
      <c r="H363" s="20" t="s">
        <v>1288</v>
      </c>
      <c r="I363" s="20">
        <v>1</v>
      </c>
      <c r="J363" s="20">
        <v>44</v>
      </c>
      <c r="K363" s="20">
        <v>2</v>
      </c>
      <c r="L363" s="20" t="s">
        <v>12</v>
      </c>
      <c r="M363" s="20"/>
      <c r="N363" s="20"/>
      <c r="O363" s="20">
        <v>10</v>
      </c>
      <c r="P363" s="20" t="s">
        <v>26</v>
      </c>
      <c r="Q363" s="20" t="s">
        <v>301</v>
      </c>
      <c r="R363" s="20" t="str">
        <f t="shared" si="18"/>
        <v>ALCANCIA C/CRIA-AMARILLO</v>
      </c>
      <c r="S363" s="19">
        <f t="shared" si="19"/>
        <v>1</v>
      </c>
      <c r="T363" s="19">
        <f t="shared" si="20"/>
        <v>44</v>
      </c>
      <c r="U363" s="19"/>
      <c r="V363" s="19"/>
      <c r="W363" s="19"/>
      <c r="X363" s="19"/>
      <c r="Y363" s="19"/>
    </row>
    <row r="364" spans="1:25" ht="12" hidden="1" customHeight="1" thickBot="1" x14ac:dyDescent="0.35">
      <c r="A364" s="20">
        <v>2</v>
      </c>
      <c r="B364" s="20" t="s">
        <v>1285</v>
      </c>
      <c r="C364" s="20" t="s">
        <v>1286</v>
      </c>
      <c r="D364" s="20" t="s">
        <v>1350</v>
      </c>
      <c r="E364" s="20">
        <v>161</v>
      </c>
      <c r="F364" s="20" t="s">
        <v>1352</v>
      </c>
      <c r="G364" s="20" t="s">
        <v>1287</v>
      </c>
      <c r="H364" s="20" t="s">
        <v>1288</v>
      </c>
      <c r="I364" s="20">
        <v>1</v>
      </c>
      <c r="J364" s="20">
        <v>44</v>
      </c>
      <c r="K364" s="20">
        <v>2</v>
      </c>
      <c r="L364" s="20" t="s">
        <v>12</v>
      </c>
      <c r="M364" s="20"/>
      <c r="N364" s="20"/>
      <c r="O364" s="20">
        <v>10</v>
      </c>
      <c r="P364" s="20" t="s">
        <v>26</v>
      </c>
      <c r="Q364" s="20" t="s">
        <v>1351</v>
      </c>
      <c r="R364" s="20" t="str">
        <f t="shared" si="18"/>
        <v>ALCANCIA C/CRIA-AMARILLO PINTADO</v>
      </c>
      <c r="S364" s="19">
        <f t="shared" si="19"/>
        <v>1</v>
      </c>
      <c r="T364" s="19">
        <f t="shared" si="20"/>
        <v>44</v>
      </c>
      <c r="U364" s="19"/>
      <c r="V364" s="19"/>
      <c r="W364" s="19"/>
      <c r="X364" s="19"/>
      <c r="Y364" s="19"/>
    </row>
    <row r="365" spans="1:25" ht="12" hidden="1" customHeight="1" thickBot="1" x14ac:dyDescent="0.35">
      <c r="A365" s="20">
        <v>2</v>
      </c>
      <c r="B365" s="20" t="s">
        <v>1285</v>
      </c>
      <c r="C365" s="20" t="s">
        <v>1286</v>
      </c>
      <c r="D365" s="20" t="s">
        <v>1350</v>
      </c>
      <c r="E365" s="20">
        <v>162</v>
      </c>
      <c r="F365" s="20" t="s">
        <v>407</v>
      </c>
      <c r="G365" s="20" t="s">
        <v>1287</v>
      </c>
      <c r="H365" s="20" t="s">
        <v>1288</v>
      </c>
      <c r="I365" s="20">
        <v>1</v>
      </c>
      <c r="J365" s="20">
        <v>44</v>
      </c>
      <c r="K365" s="20">
        <v>2</v>
      </c>
      <c r="L365" s="20" t="s">
        <v>12</v>
      </c>
      <c r="M365" s="20"/>
      <c r="N365" s="20"/>
      <c r="O365" s="20">
        <v>11</v>
      </c>
      <c r="P365" s="20" t="s">
        <v>1207</v>
      </c>
      <c r="Q365" s="20" t="s">
        <v>302</v>
      </c>
      <c r="R365" s="20" t="str">
        <f t="shared" si="18"/>
        <v>ALCANCIA C/CRIA-ANARANJADO</v>
      </c>
      <c r="S365" s="19">
        <f t="shared" si="19"/>
        <v>1</v>
      </c>
      <c r="T365" s="19">
        <f t="shared" si="20"/>
        <v>44</v>
      </c>
      <c r="U365" s="19"/>
      <c r="V365" s="19"/>
      <c r="W365" s="19"/>
      <c r="X365" s="19"/>
      <c r="Y365" s="19"/>
    </row>
    <row r="366" spans="1:25" ht="12" hidden="1" customHeight="1" thickBot="1" x14ac:dyDescent="0.35">
      <c r="A366" s="20">
        <v>2</v>
      </c>
      <c r="B366" s="20" t="s">
        <v>1285</v>
      </c>
      <c r="C366" s="20" t="s">
        <v>1286</v>
      </c>
      <c r="D366" s="20" t="s">
        <v>1350</v>
      </c>
      <c r="E366" s="20">
        <v>163</v>
      </c>
      <c r="F366" s="20" t="s">
        <v>1354</v>
      </c>
      <c r="G366" s="20" t="s">
        <v>1287</v>
      </c>
      <c r="H366" s="20" t="s">
        <v>1288</v>
      </c>
      <c r="I366" s="20">
        <v>1</v>
      </c>
      <c r="J366" s="20">
        <v>44</v>
      </c>
      <c r="K366" s="20">
        <v>2</v>
      </c>
      <c r="L366" s="20" t="s">
        <v>12</v>
      </c>
      <c r="M366" s="20"/>
      <c r="N366" s="20"/>
      <c r="O366" s="20">
        <v>11</v>
      </c>
      <c r="P366" s="20" t="s">
        <v>1207</v>
      </c>
      <c r="Q366" s="20" t="s">
        <v>1353</v>
      </c>
      <c r="R366" s="20" t="str">
        <f t="shared" si="18"/>
        <v>ALCANCIA C/CRIA-ANARANJADO PINTADO</v>
      </c>
      <c r="S366" s="19">
        <f t="shared" si="19"/>
        <v>1</v>
      </c>
      <c r="T366" s="19">
        <f t="shared" si="20"/>
        <v>44</v>
      </c>
      <c r="U366" s="19"/>
      <c r="V366" s="19"/>
      <c r="W366" s="19"/>
      <c r="X366" s="19"/>
      <c r="Y366" s="19"/>
    </row>
    <row r="367" spans="1:25" ht="12" hidden="1" customHeight="1" thickBot="1" x14ac:dyDescent="0.35">
      <c r="A367" s="20">
        <v>2</v>
      </c>
      <c r="B367" s="20" t="s">
        <v>1285</v>
      </c>
      <c r="C367" s="20" t="s">
        <v>1286</v>
      </c>
      <c r="D367" s="20" t="s">
        <v>1350</v>
      </c>
      <c r="E367" s="20">
        <v>164</v>
      </c>
      <c r="F367" s="20" t="s">
        <v>408</v>
      </c>
      <c r="G367" s="20" t="s">
        <v>1287</v>
      </c>
      <c r="H367" s="20" t="s">
        <v>1288</v>
      </c>
      <c r="I367" s="20">
        <v>1</v>
      </c>
      <c r="J367" s="20">
        <v>44</v>
      </c>
      <c r="K367" s="20">
        <v>2</v>
      </c>
      <c r="L367" s="20" t="s">
        <v>12</v>
      </c>
      <c r="M367" s="20"/>
      <c r="N367" s="20"/>
      <c r="O367" s="20">
        <v>14</v>
      </c>
      <c r="P367" s="20" t="s">
        <v>1209</v>
      </c>
      <c r="Q367" s="20" t="s">
        <v>303</v>
      </c>
      <c r="R367" s="20" t="str">
        <f t="shared" si="18"/>
        <v>ALCANCIA C/CRIA-CELESTE</v>
      </c>
      <c r="S367" s="19">
        <f t="shared" si="19"/>
        <v>1</v>
      </c>
      <c r="T367" s="19">
        <f t="shared" si="20"/>
        <v>44</v>
      </c>
      <c r="U367" s="19"/>
      <c r="V367" s="19"/>
      <c r="W367" s="19"/>
      <c r="X367" s="19"/>
      <c r="Y367" s="19"/>
    </row>
    <row r="368" spans="1:25" ht="12" hidden="1" customHeight="1" thickBot="1" x14ac:dyDescent="0.35">
      <c r="A368" s="20">
        <v>2</v>
      </c>
      <c r="B368" s="20" t="s">
        <v>1285</v>
      </c>
      <c r="C368" s="20" t="s">
        <v>1286</v>
      </c>
      <c r="D368" s="20" t="s">
        <v>1350</v>
      </c>
      <c r="E368" s="20">
        <v>165</v>
      </c>
      <c r="F368" s="20" t="s">
        <v>1356</v>
      </c>
      <c r="G368" s="20" t="s">
        <v>1287</v>
      </c>
      <c r="H368" s="20" t="s">
        <v>1288</v>
      </c>
      <c r="I368" s="20">
        <v>1</v>
      </c>
      <c r="J368" s="20">
        <v>44</v>
      </c>
      <c r="K368" s="20">
        <v>2</v>
      </c>
      <c r="L368" s="20" t="s">
        <v>12</v>
      </c>
      <c r="M368" s="20"/>
      <c r="N368" s="20"/>
      <c r="O368" s="20">
        <v>14</v>
      </c>
      <c r="P368" s="20" t="s">
        <v>1209</v>
      </c>
      <c r="Q368" s="20" t="s">
        <v>1355</v>
      </c>
      <c r="R368" s="20" t="str">
        <f t="shared" si="18"/>
        <v>ALCANCIA C/CRIA-CELESTE PINTADO</v>
      </c>
      <c r="S368" s="19">
        <f t="shared" si="19"/>
        <v>1</v>
      </c>
      <c r="T368" s="19">
        <f t="shared" si="20"/>
        <v>44</v>
      </c>
      <c r="U368" s="19"/>
      <c r="V368" s="19"/>
      <c r="W368" s="19"/>
      <c r="X368" s="19"/>
      <c r="Y368" s="19"/>
    </row>
    <row r="369" spans="1:25" ht="12" hidden="1" customHeight="1" thickBot="1" x14ac:dyDescent="0.35">
      <c r="A369" s="20">
        <v>2</v>
      </c>
      <c r="B369" s="20" t="s">
        <v>1285</v>
      </c>
      <c r="C369" s="20" t="s">
        <v>1286</v>
      </c>
      <c r="D369" s="20" t="s">
        <v>1350</v>
      </c>
      <c r="E369" s="20">
        <v>166</v>
      </c>
      <c r="F369" s="20" t="s">
        <v>409</v>
      </c>
      <c r="G369" s="20" t="s">
        <v>1287</v>
      </c>
      <c r="H369" s="20" t="s">
        <v>1288</v>
      </c>
      <c r="I369" s="20">
        <v>1</v>
      </c>
      <c r="J369" s="20">
        <v>44</v>
      </c>
      <c r="K369" s="20">
        <v>2</v>
      </c>
      <c r="L369" s="20" t="s">
        <v>12</v>
      </c>
      <c r="M369" s="20"/>
      <c r="N369" s="20"/>
      <c r="O369" s="20">
        <v>16</v>
      </c>
      <c r="P369" s="20" t="s">
        <v>1212</v>
      </c>
      <c r="Q369" s="20" t="s">
        <v>304</v>
      </c>
      <c r="R369" s="20" t="str">
        <f t="shared" si="18"/>
        <v>ALCANCIA C/CRIA-LILA</v>
      </c>
      <c r="S369" s="19">
        <f t="shared" si="19"/>
        <v>1</v>
      </c>
      <c r="T369" s="19">
        <f t="shared" si="20"/>
        <v>44</v>
      </c>
      <c r="U369" s="19"/>
      <c r="V369" s="19"/>
      <c r="W369" s="19"/>
      <c r="X369" s="19"/>
      <c r="Y369" s="19"/>
    </row>
    <row r="370" spans="1:25" ht="12" hidden="1" customHeight="1" thickBot="1" x14ac:dyDescent="0.35">
      <c r="A370" s="20">
        <v>2</v>
      </c>
      <c r="B370" s="20" t="s">
        <v>1285</v>
      </c>
      <c r="C370" s="20" t="s">
        <v>1286</v>
      </c>
      <c r="D370" s="20" t="s">
        <v>1350</v>
      </c>
      <c r="E370" s="20">
        <v>167</v>
      </c>
      <c r="F370" s="20" t="s">
        <v>1358</v>
      </c>
      <c r="G370" s="20" t="s">
        <v>1287</v>
      </c>
      <c r="H370" s="20" t="s">
        <v>1288</v>
      </c>
      <c r="I370" s="20">
        <v>4</v>
      </c>
      <c r="J370" s="20">
        <v>44</v>
      </c>
      <c r="K370" s="20">
        <v>2</v>
      </c>
      <c r="L370" s="20" t="s">
        <v>12</v>
      </c>
      <c r="M370" s="20"/>
      <c r="N370" s="20"/>
      <c r="O370" s="20">
        <v>16</v>
      </c>
      <c r="P370" s="20" t="s">
        <v>1212</v>
      </c>
      <c r="Q370" s="20" t="s">
        <v>1357</v>
      </c>
      <c r="R370" s="20" t="str">
        <f t="shared" si="18"/>
        <v>ALCANCIA C/CRIA-LILA PINTADO</v>
      </c>
      <c r="S370" s="19">
        <f t="shared" si="19"/>
        <v>4</v>
      </c>
      <c r="T370" s="19">
        <f t="shared" si="20"/>
        <v>44</v>
      </c>
      <c r="U370" s="19"/>
      <c r="V370" s="19"/>
      <c r="W370" s="19"/>
      <c r="X370" s="19"/>
      <c r="Y370" s="19"/>
    </row>
    <row r="371" spans="1:25" ht="12" hidden="1" customHeight="1" thickBot="1" x14ac:dyDescent="0.35">
      <c r="A371" s="20">
        <v>2</v>
      </c>
      <c r="B371" s="20" t="s">
        <v>1285</v>
      </c>
      <c r="C371" s="20" t="s">
        <v>1286</v>
      </c>
      <c r="D371" s="20" t="s">
        <v>1350</v>
      </c>
      <c r="E371" s="20">
        <v>168</v>
      </c>
      <c r="F371" s="20" t="s">
        <v>410</v>
      </c>
      <c r="G371" s="20" t="s">
        <v>1287</v>
      </c>
      <c r="H371" s="20" t="s">
        <v>1288</v>
      </c>
      <c r="I371" s="20">
        <v>4</v>
      </c>
      <c r="J371" s="20">
        <v>44</v>
      </c>
      <c r="K371" s="20">
        <v>2</v>
      </c>
      <c r="L371" s="20" t="s">
        <v>12</v>
      </c>
      <c r="M371" s="20"/>
      <c r="N371" s="20"/>
      <c r="O371" s="20">
        <v>19</v>
      </c>
      <c r="P371" s="20" t="s">
        <v>27</v>
      </c>
      <c r="Q371" s="20" t="s">
        <v>305</v>
      </c>
      <c r="R371" s="20" t="str">
        <f t="shared" si="18"/>
        <v>ALCANCIA C/CRIA-ROJO</v>
      </c>
      <c r="S371" s="19">
        <f t="shared" si="19"/>
        <v>4</v>
      </c>
      <c r="T371" s="19">
        <f t="shared" si="20"/>
        <v>44</v>
      </c>
      <c r="U371" s="19"/>
      <c r="V371" s="19"/>
      <c r="W371" s="19"/>
      <c r="X371" s="19"/>
      <c r="Y371" s="19"/>
    </row>
    <row r="372" spans="1:25" ht="12" hidden="1" customHeight="1" thickBot="1" x14ac:dyDescent="0.35">
      <c r="A372" s="20">
        <v>2</v>
      </c>
      <c r="B372" s="20" t="s">
        <v>1285</v>
      </c>
      <c r="C372" s="20" t="s">
        <v>1286</v>
      </c>
      <c r="D372" s="20" t="s">
        <v>1350</v>
      </c>
      <c r="E372" s="20">
        <v>169</v>
      </c>
      <c r="F372" s="20" t="s">
        <v>1360</v>
      </c>
      <c r="G372" s="20" t="s">
        <v>1287</v>
      </c>
      <c r="H372" s="20" t="s">
        <v>1288</v>
      </c>
      <c r="I372" s="20">
        <v>4</v>
      </c>
      <c r="J372" s="20">
        <v>44</v>
      </c>
      <c r="K372" s="20">
        <v>2</v>
      </c>
      <c r="L372" s="20" t="s">
        <v>12</v>
      </c>
      <c r="M372" s="20"/>
      <c r="N372" s="20"/>
      <c r="O372" s="20">
        <v>19</v>
      </c>
      <c r="P372" s="20" t="s">
        <v>27</v>
      </c>
      <c r="Q372" s="20" t="s">
        <v>1359</v>
      </c>
      <c r="R372" s="20" t="str">
        <f t="shared" si="18"/>
        <v>ALCANCIA C/CRIA-ROJO PINTADO</v>
      </c>
      <c r="S372" s="19">
        <f t="shared" si="19"/>
        <v>4</v>
      </c>
      <c r="T372" s="19">
        <f t="shared" si="20"/>
        <v>44</v>
      </c>
      <c r="U372" s="19"/>
      <c r="V372" s="19"/>
      <c r="W372" s="19"/>
      <c r="X372" s="19"/>
      <c r="Y372" s="19"/>
    </row>
    <row r="373" spans="1:25" ht="12" hidden="1" customHeight="1" thickBot="1" x14ac:dyDescent="0.35">
      <c r="A373" s="20">
        <v>2</v>
      </c>
      <c r="B373" s="20" t="s">
        <v>1285</v>
      </c>
      <c r="C373" s="20" t="s">
        <v>1286</v>
      </c>
      <c r="D373" s="20" t="s">
        <v>1350</v>
      </c>
      <c r="E373" s="20">
        <v>170</v>
      </c>
      <c r="F373" s="20" t="s">
        <v>411</v>
      </c>
      <c r="G373" s="20" t="s">
        <v>1287</v>
      </c>
      <c r="H373" s="20" t="s">
        <v>1288</v>
      </c>
      <c r="I373" s="20">
        <v>4</v>
      </c>
      <c r="J373" s="20">
        <v>44</v>
      </c>
      <c r="K373" s="20">
        <v>2</v>
      </c>
      <c r="L373" s="20" t="s">
        <v>12</v>
      </c>
      <c r="M373" s="20"/>
      <c r="N373" s="20"/>
      <c r="O373" s="20">
        <v>23</v>
      </c>
      <c r="P373" s="20" t="s">
        <v>1221</v>
      </c>
      <c r="Q373" s="20" t="s">
        <v>306</v>
      </c>
      <c r="R373" s="20" t="str">
        <f t="shared" si="18"/>
        <v>ALCANCIA C/CRIA-VERDE TELEFONICO</v>
      </c>
      <c r="S373" s="19">
        <f t="shared" si="19"/>
        <v>4</v>
      </c>
      <c r="T373" s="19">
        <f t="shared" si="20"/>
        <v>44</v>
      </c>
      <c r="U373" s="19"/>
      <c r="V373" s="19"/>
      <c r="W373" s="19"/>
      <c r="X373" s="19"/>
      <c r="Y373" s="19"/>
    </row>
    <row r="374" spans="1:25" ht="12" hidden="1" customHeight="1" thickBot="1" x14ac:dyDescent="0.35">
      <c r="A374" s="20">
        <v>2</v>
      </c>
      <c r="B374" s="20" t="s">
        <v>1285</v>
      </c>
      <c r="C374" s="20" t="s">
        <v>1286</v>
      </c>
      <c r="D374" s="20" t="s">
        <v>1350</v>
      </c>
      <c r="E374" s="20">
        <v>171</v>
      </c>
      <c r="F374" s="20" t="s">
        <v>1362</v>
      </c>
      <c r="G374" s="20" t="s">
        <v>1287</v>
      </c>
      <c r="H374" s="20" t="s">
        <v>1288</v>
      </c>
      <c r="I374" s="20">
        <v>4</v>
      </c>
      <c r="J374" s="20">
        <v>44</v>
      </c>
      <c r="K374" s="20">
        <v>2</v>
      </c>
      <c r="L374" s="20" t="s">
        <v>12</v>
      </c>
      <c r="M374" s="20"/>
      <c r="N374" s="20"/>
      <c r="O374" s="20">
        <v>23</v>
      </c>
      <c r="P374" s="20" t="s">
        <v>1221</v>
      </c>
      <c r="Q374" s="20" t="s">
        <v>1361</v>
      </c>
      <c r="R374" s="20" t="str">
        <f t="shared" si="18"/>
        <v>ALCANCIA C/CRIA-VERDE TELEFONICO PINTADO</v>
      </c>
      <c r="S374" s="19">
        <f t="shared" si="19"/>
        <v>4</v>
      </c>
      <c r="T374" s="19">
        <f t="shared" si="20"/>
        <v>44</v>
      </c>
      <c r="U374" s="19"/>
      <c r="V374" s="19"/>
      <c r="W374" s="19"/>
      <c r="X374" s="19"/>
      <c r="Y374" s="19"/>
    </row>
    <row r="375" spans="1:25" ht="12" hidden="1" customHeight="1" thickBot="1" x14ac:dyDescent="0.35">
      <c r="A375" s="20">
        <v>2</v>
      </c>
      <c r="B375" s="20" t="s">
        <v>1285</v>
      </c>
      <c r="C375" s="20" t="s">
        <v>1286</v>
      </c>
      <c r="D375" s="20" t="s">
        <v>1045</v>
      </c>
      <c r="E375" s="20">
        <v>172</v>
      </c>
      <c r="F375" s="20" t="s">
        <v>412</v>
      </c>
      <c r="G375" s="20" t="s">
        <v>1287</v>
      </c>
      <c r="H375" s="20" t="s">
        <v>1288</v>
      </c>
      <c r="I375" s="20">
        <v>4</v>
      </c>
      <c r="J375" s="20">
        <v>30</v>
      </c>
      <c r="K375" s="20">
        <v>2</v>
      </c>
      <c r="L375" s="20" t="s">
        <v>12</v>
      </c>
      <c r="M375" s="20"/>
      <c r="N375" s="20"/>
      <c r="O375" s="20">
        <v>10</v>
      </c>
      <c r="P375" s="20" t="s">
        <v>26</v>
      </c>
      <c r="Q375" s="20" t="s">
        <v>307</v>
      </c>
      <c r="R375" s="20" t="str">
        <f t="shared" si="18"/>
        <v>ALCANCIA CONEJO CHICO-AMARILLO</v>
      </c>
      <c r="S375" s="19">
        <f t="shared" si="19"/>
        <v>4</v>
      </c>
      <c r="T375" s="19">
        <f t="shared" si="20"/>
        <v>30</v>
      </c>
      <c r="U375" s="19"/>
      <c r="V375" s="19"/>
      <c r="W375" s="19"/>
      <c r="X375" s="19"/>
      <c r="Y375" s="19"/>
    </row>
    <row r="376" spans="1:25" ht="12" hidden="1" customHeight="1" thickBot="1" x14ac:dyDescent="0.35">
      <c r="A376" s="20">
        <v>2</v>
      </c>
      <c r="B376" s="20" t="s">
        <v>1285</v>
      </c>
      <c r="C376" s="20" t="s">
        <v>1286</v>
      </c>
      <c r="D376" s="20" t="s">
        <v>1045</v>
      </c>
      <c r="E376" s="20">
        <v>173</v>
      </c>
      <c r="F376" s="20" t="s">
        <v>1364</v>
      </c>
      <c r="G376" s="20" t="s">
        <v>1287</v>
      </c>
      <c r="H376" s="20" t="s">
        <v>1288</v>
      </c>
      <c r="I376" s="20">
        <v>4</v>
      </c>
      <c r="J376" s="20">
        <v>30</v>
      </c>
      <c r="K376" s="20">
        <v>2</v>
      </c>
      <c r="L376" s="20" t="s">
        <v>12</v>
      </c>
      <c r="M376" s="20"/>
      <c r="N376" s="20"/>
      <c r="O376" s="20">
        <v>10</v>
      </c>
      <c r="P376" s="20" t="s">
        <v>26</v>
      </c>
      <c r="Q376" s="20" t="s">
        <v>1363</v>
      </c>
      <c r="R376" s="20" t="str">
        <f t="shared" si="18"/>
        <v>ALCANCIA CONEJO CHICO-AMARILLO PINTADO</v>
      </c>
      <c r="S376" s="19">
        <f t="shared" si="19"/>
        <v>4</v>
      </c>
      <c r="T376" s="19">
        <f t="shared" si="20"/>
        <v>30</v>
      </c>
      <c r="U376" s="19"/>
      <c r="V376" s="19"/>
      <c r="W376" s="19"/>
      <c r="X376" s="19"/>
      <c r="Y376" s="19"/>
    </row>
    <row r="377" spans="1:25" ht="12" hidden="1" customHeight="1" thickBot="1" x14ac:dyDescent="0.35">
      <c r="A377" s="20">
        <v>2</v>
      </c>
      <c r="B377" s="20" t="s">
        <v>1285</v>
      </c>
      <c r="C377" s="20" t="s">
        <v>1286</v>
      </c>
      <c r="D377" s="20" t="s">
        <v>1045</v>
      </c>
      <c r="E377" s="20">
        <v>174</v>
      </c>
      <c r="F377" s="20" t="s">
        <v>413</v>
      </c>
      <c r="G377" s="20" t="s">
        <v>1287</v>
      </c>
      <c r="H377" s="20" t="s">
        <v>1288</v>
      </c>
      <c r="I377" s="20">
        <v>4</v>
      </c>
      <c r="J377" s="20">
        <v>30</v>
      </c>
      <c r="K377" s="20">
        <v>2</v>
      </c>
      <c r="L377" s="20" t="s">
        <v>12</v>
      </c>
      <c r="M377" s="20"/>
      <c r="N377" s="20"/>
      <c r="O377" s="20">
        <v>11</v>
      </c>
      <c r="P377" s="20" t="s">
        <v>1207</v>
      </c>
      <c r="Q377" s="20" t="s">
        <v>308</v>
      </c>
      <c r="R377" s="20" t="str">
        <f t="shared" si="18"/>
        <v>ALCANCIA CONEJO CHICO-ANARANJADO</v>
      </c>
      <c r="S377" s="19">
        <f t="shared" si="19"/>
        <v>4</v>
      </c>
      <c r="T377" s="19">
        <f t="shared" si="20"/>
        <v>30</v>
      </c>
      <c r="U377" s="19"/>
      <c r="V377" s="19"/>
      <c r="W377" s="19"/>
      <c r="X377" s="19"/>
      <c r="Y377" s="19"/>
    </row>
    <row r="378" spans="1:25" ht="12" hidden="1" customHeight="1" thickBot="1" x14ac:dyDescent="0.35">
      <c r="A378" s="20">
        <v>2</v>
      </c>
      <c r="B378" s="20" t="s">
        <v>1285</v>
      </c>
      <c r="C378" s="20" t="s">
        <v>1286</v>
      </c>
      <c r="D378" s="20" t="s">
        <v>1045</v>
      </c>
      <c r="E378" s="20">
        <v>175</v>
      </c>
      <c r="F378" s="20" t="s">
        <v>1366</v>
      </c>
      <c r="G378" s="20" t="s">
        <v>1287</v>
      </c>
      <c r="H378" s="20" t="s">
        <v>1288</v>
      </c>
      <c r="I378" s="20">
        <v>4</v>
      </c>
      <c r="J378" s="20">
        <v>30</v>
      </c>
      <c r="K378" s="20">
        <v>2</v>
      </c>
      <c r="L378" s="20" t="s">
        <v>12</v>
      </c>
      <c r="M378" s="20"/>
      <c r="N378" s="20"/>
      <c r="O378" s="20">
        <v>11</v>
      </c>
      <c r="P378" s="20" t="s">
        <v>1207</v>
      </c>
      <c r="Q378" s="20" t="s">
        <v>1365</v>
      </c>
      <c r="R378" s="20" t="str">
        <f t="shared" si="18"/>
        <v>ALCANCIA CONEJO CHICO-ANARANJADO PINTADO</v>
      </c>
      <c r="S378" s="19">
        <f t="shared" si="19"/>
        <v>4</v>
      </c>
      <c r="T378" s="19">
        <f t="shared" si="20"/>
        <v>30</v>
      </c>
      <c r="U378" s="19"/>
      <c r="V378" s="19"/>
      <c r="W378" s="19"/>
      <c r="X378" s="19"/>
      <c r="Y378" s="19"/>
    </row>
    <row r="379" spans="1:25" ht="12" hidden="1" customHeight="1" thickBot="1" x14ac:dyDescent="0.35">
      <c r="A379" s="20">
        <v>2</v>
      </c>
      <c r="B379" s="20" t="s">
        <v>1285</v>
      </c>
      <c r="C379" s="20" t="s">
        <v>1286</v>
      </c>
      <c r="D379" s="20" t="s">
        <v>1045</v>
      </c>
      <c r="E379" s="20">
        <v>176</v>
      </c>
      <c r="F379" s="20" t="s">
        <v>414</v>
      </c>
      <c r="G379" s="20" t="s">
        <v>1287</v>
      </c>
      <c r="H379" s="20" t="s">
        <v>1288</v>
      </c>
      <c r="I379" s="20">
        <v>4</v>
      </c>
      <c r="J379" s="20">
        <v>30</v>
      </c>
      <c r="K379" s="20">
        <v>2</v>
      </c>
      <c r="L379" s="20" t="s">
        <v>12</v>
      </c>
      <c r="M379" s="20"/>
      <c r="N379" s="20"/>
      <c r="O379" s="20">
        <v>14</v>
      </c>
      <c r="P379" s="20" t="s">
        <v>1209</v>
      </c>
      <c r="Q379" s="20" t="s">
        <v>309</v>
      </c>
      <c r="R379" s="20" t="str">
        <f t="shared" si="18"/>
        <v>ALCANCIA CONEJO CHICO-CELESTE</v>
      </c>
      <c r="S379" s="19">
        <f t="shared" si="19"/>
        <v>4</v>
      </c>
      <c r="T379" s="19">
        <f t="shared" si="20"/>
        <v>30</v>
      </c>
      <c r="U379" s="19"/>
      <c r="V379" s="19"/>
      <c r="W379" s="19"/>
      <c r="X379" s="19"/>
      <c r="Y379" s="19"/>
    </row>
    <row r="380" spans="1:25" ht="12" hidden="1" customHeight="1" thickBot="1" x14ac:dyDescent="0.35">
      <c r="A380" s="20">
        <v>2</v>
      </c>
      <c r="B380" s="20" t="s">
        <v>1285</v>
      </c>
      <c r="C380" s="20" t="s">
        <v>1286</v>
      </c>
      <c r="D380" s="20" t="s">
        <v>1045</v>
      </c>
      <c r="E380" s="20">
        <v>177</v>
      </c>
      <c r="F380" s="20" t="s">
        <v>1368</v>
      </c>
      <c r="G380" s="20" t="s">
        <v>1287</v>
      </c>
      <c r="H380" s="20" t="s">
        <v>1288</v>
      </c>
      <c r="I380" s="20">
        <v>1</v>
      </c>
      <c r="J380" s="20">
        <v>30</v>
      </c>
      <c r="K380" s="20">
        <v>2</v>
      </c>
      <c r="L380" s="20" t="s">
        <v>12</v>
      </c>
      <c r="M380" s="20"/>
      <c r="N380" s="20"/>
      <c r="O380" s="20">
        <v>14</v>
      </c>
      <c r="P380" s="20" t="s">
        <v>1209</v>
      </c>
      <c r="Q380" s="20" t="s">
        <v>1367</v>
      </c>
      <c r="R380" s="20" t="str">
        <f t="shared" si="18"/>
        <v>ALCANCIA CONEJO CHICO-CELESTE PINTADO</v>
      </c>
      <c r="S380" s="19">
        <f t="shared" si="19"/>
        <v>1</v>
      </c>
      <c r="T380" s="19">
        <f t="shared" si="20"/>
        <v>30</v>
      </c>
      <c r="U380" s="19"/>
      <c r="V380" s="19"/>
      <c r="W380" s="19"/>
      <c r="X380" s="19"/>
      <c r="Y380" s="19"/>
    </row>
    <row r="381" spans="1:25" ht="12" hidden="1" customHeight="1" thickBot="1" x14ac:dyDescent="0.35">
      <c r="A381" s="20">
        <v>2</v>
      </c>
      <c r="B381" s="20" t="s">
        <v>1285</v>
      </c>
      <c r="C381" s="20" t="s">
        <v>1286</v>
      </c>
      <c r="D381" s="20" t="s">
        <v>1045</v>
      </c>
      <c r="E381" s="20">
        <v>178</v>
      </c>
      <c r="F381" s="20" t="s">
        <v>415</v>
      </c>
      <c r="G381" s="20" t="s">
        <v>1287</v>
      </c>
      <c r="H381" s="20" t="s">
        <v>1288</v>
      </c>
      <c r="I381" s="20">
        <v>1</v>
      </c>
      <c r="J381" s="20">
        <v>30</v>
      </c>
      <c r="K381" s="20">
        <v>2</v>
      </c>
      <c r="L381" s="20" t="s">
        <v>12</v>
      </c>
      <c r="M381" s="20"/>
      <c r="N381" s="20"/>
      <c r="O381" s="20">
        <v>16</v>
      </c>
      <c r="P381" s="20" t="s">
        <v>1212</v>
      </c>
      <c r="Q381" s="20" t="s">
        <v>310</v>
      </c>
      <c r="R381" s="20" t="str">
        <f t="shared" si="18"/>
        <v>ALCANCIA CONEJO CHICO-LILA</v>
      </c>
      <c r="S381" s="19">
        <f t="shared" si="19"/>
        <v>1</v>
      </c>
      <c r="T381" s="19">
        <f t="shared" si="20"/>
        <v>30</v>
      </c>
      <c r="U381" s="19"/>
      <c r="V381" s="19"/>
      <c r="W381" s="19"/>
      <c r="X381" s="19"/>
      <c r="Y381" s="19"/>
    </row>
    <row r="382" spans="1:25" ht="12" hidden="1" customHeight="1" thickBot="1" x14ac:dyDescent="0.35">
      <c r="A382" s="20">
        <v>2</v>
      </c>
      <c r="B382" s="20" t="s">
        <v>1285</v>
      </c>
      <c r="C382" s="20" t="s">
        <v>1286</v>
      </c>
      <c r="D382" s="20" t="s">
        <v>1045</v>
      </c>
      <c r="E382" s="20">
        <v>179</v>
      </c>
      <c r="F382" s="20" t="s">
        <v>1370</v>
      </c>
      <c r="G382" s="20" t="s">
        <v>1287</v>
      </c>
      <c r="H382" s="20" t="s">
        <v>1288</v>
      </c>
      <c r="I382" s="20">
        <v>1</v>
      </c>
      <c r="J382" s="20">
        <v>30</v>
      </c>
      <c r="K382" s="20">
        <v>2</v>
      </c>
      <c r="L382" s="20" t="s">
        <v>12</v>
      </c>
      <c r="M382" s="20"/>
      <c r="N382" s="20"/>
      <c r="O382" s="20">
        <v>16</v>
      </c>
      <c r="P382" s="20" t="s">
        <v>1212</v>
      </c>
      <c r="Q382" s="20" t="s">
        <v>1369</v>
      </c>
      <c r="R382" s="20" t="str">
        <f t="shared" si="18"/>
        <v>ALCANCIA CONEJO CHICO-LILA PINTADO</v>
      </c>
      <c r="S382" s="19">
        <f t="shared" si="19"/>
        <v>1</v>
      </c>
      <c r="T382" s="19">
        <f t="shared" si="20"/>
        <v>30</v>
      </c>
      <c r="U382" s="19"/>
      <c r="V382" s="19"/>
      <c r="W382" s="19"/>
      <c r="X382" s="19"/>
      <c r="Y382" s="19"/>
    </row>
    <row r="383" spans="1:25" ht="12" hidden="1" customHeight="1" thickBot="1" x14ac:dyDescent="0.35">
      <c r="A383" s="20">
        <v>2</v>
      </c>
      <c r="B383" s="20" t="s">
        <v>1285</v>
      </c>
      <c r="C383" s="20" t="s">
        <v>1286</v>
      </c>
      <c r="D383" s="20" t="s">
        <v>1045</v>
      </c>
      <c r="E383" s="20">
        <v>180</v>
      </c>
      <c r="F383" s="20" t="s">
        <v>416</v>
      </c>
      <c r="G383" s="20" t="s">
        <v>1287</v>
      </c>
      <c r="H383" s="20" t="s">
        <v>1288</v>
      </c>
      <c r="I383" s="20">
        <v>1</v>
      </c>
      <c r="J383" s="20">
        <v>30</v>
      </c>
      <c r="K383" s="20">
        <v>2</v>
      </c>
      <c r="L383" s="20" t="s">
        <v>12</v>
      </c>
      <c r="M383" s="20"/>
      <c r="N383" s="20"/>
      <c r="O383" s="20">
        <v>19</v>
      </c>
      <c r="P383" s="20" t="s">
        <v>27</v>
      </c>
      <c r="Q383" s="20" t="s">
        <v>311</v>
      </c>
      <c r="R383" s="20" t="str">
        <f t="shared" si="18"/>
        <v>ALCANCIA CONEJO CHICO-ROJO</v>
      </c>
      <c r="S383" s="19">
        <f t="shared" si="19"/>
        <v>1</v>
      </c>
      <c r="T383" s="19">
        <f t="shared" si="20"/>
        <v>30</v>
      </c>
      <c r="U383" s="19"/>
      <c r="V383" s="19"/>
      <c r="W383" s="19"/>
      <c r="X383" s="19"/>
      <c r="Y383" s="19"/>
    </row>
    <row r="384" spans="1:25" ht="12" hidden="1" customHeight="1" thickBot="1" x14ac:dyDescent="0.35">
      <c r="A384" s="20">
        <v>2</v>
      </c>
      <c r="B384" s="20" t="s">
        <v>1285</v>
      </c>
      <c r="C384" s="20" t="s">
        <v>1286</v>
      </c>
      <c r="D384" s="20" t="s">
        <v>1045</v>
      </c>
      <c r="E384" s="20">
        <v>181</v>
      </c>
      <c r="F384" s="20" t="s">
        <v>1372</v>
      </c>
      <c r="G384" s="20" t="s">
        <v>1287</v>
      </c>
      <c r="H384" s="20" t="s">
        <v>1288</v>
      </c>
      <c r="I384" s="20">
        <v>8</v>
      </c>
      <c r="J384" s="20">
        <v>30</v>
      </c>
      <c r="K384" s="20">
        <v>2</v>
      </c>
      <c r="L384" s="20" t="s">
        <v>12</v>
      </c>
      <c r="M384" s="20"/>
      <c r="N384" s="20"/>
      <c r="O384" s="20">
        <v>19</v>
      </c>
      <c r="P384" s="20" t="s">
        <v>27</v>
      </c>
      <c r="Q384" s="20" t="s">
        <v>1371</v>
      </c>
      <c r="R384" s="20" t="str">
        <f t="shared" si="18"/>
        <v>ALCANCIA CONEJO CHICO-ROJO PINTADO</v>
      </c>
      <c r="S384" s="19">
        <f t="shared" si="19"/>
        <v>8</v>
      </c>
      <c r="T384" s="19">
        <f t="shared" si="20"/>
        <v>30</v>
      </c>
      <c r="U384" s="19"/>
      <c r="V384" s="19"/>
      <c r="W384" s="19"/>
      <c r="X384" s="19"/>
      <c r="Y384" s="19"/>
    </row>
    <row r="385" spans="1:25" ht="12" hidden="1" customHeight="1" thickBot="1" x14ac:dyDescent="0.35">
      <c r="A385" s="20">
        <v>2</v>
      </c>
      <c r="B385" s="20" t="s">
        <v>1285</v>
      </c>
      <c r="C385" s="20" t="s">
        <v>1286</v>
      </c>
      <c r="D385" s="20" t="s">
        <v>1045</v>
      </c>
      <c r="E385" s="20">
        <v>182</v>
      </c>
      <c r="F385" s="20" t="s">
        <v>417</v>
      </c>
      <c r="G385" s="20" t="s">
        <v>1287</v>
      </c>
      <c r="H385" s="20" t="s">
        <v>1288</v>
      </c>
      <c r="I385" s="20">
        <v>8</v>
      </c>
      <c r="J385" s="20">
        <v>30</v>
      </c>
      <c r="K385" s="20">
        <v>2</v>
      </c>
      <c r="L385" s="20" t="s">
        <v>12</v>
      </c>
      <c r="M385" s="20"/>
      <c r="N385" s="20"/>
      <c r="O385" s="20">
        <v>23</v>
      </c>
      <c r="P385" s="20" t="s">
        <v>1221</v>
      </c>
      <c r="Q385" s="20" t="s">
        <v>312</v>
      </c>
      <c r="R385" s="20" t="str">
        <f t="shared" si="18"/>
        <v>ALCANCIA CONEJO CHICO-VERDE TELEFONICO</v>
      </c>
      <c r="S385" s="19">
        <f t="shared" si="19"/>
        <v>8</v>
      </c>
      <c r="T385" s="19">
        <f t="shared" si="20"/>
        <v>30</v>
      </c>
      <c r="U385" s="19"/>
      <c r="V385" s="19"/>
      <c r="W385" s="19"/>
      <c r="X385" s="19"/>
      <c r="Y385" s="19"/>
    </row>
    <row r="386" spans="1:25" ht="12" hidden="1" customHeight="1" thickBot="1" x14ac:dyDescent="0.35">
      <c r="A386" s="20">
        <v>2</v>
      </c>
      <c r="B386" s="20" t="s">
        <v>1285</v>
      </c>
      <c r="C386" s="20" t="s">
        <v>1286</v>
      </c>
      <c r="D386" s="20" t="s">
        <v>1045</v>
      </c>
      <c r="E386" s="20">
        <v>183</v>
      </c>
      <c r="F386" s="20" t="s">
        <v>1374</v>
      </c>
      <c r="G386" s="20" t="s">
        <v>1287</v>
      </c>
      <c r="H386" s="20" t="s">
        <v>1288</v>
      </c>
      <c r="I386" s="20">
        <v>8</v>
      </c>
      <c r="J386" s="20">
        <v>30</v>
      </c>
      <c r="K386" s="20">
        <v>2</v>
      </c>
      <c r="L386" s="20" t="s">
        <v>12</v>
      </c>
      <c r="M386" s="20"/>
      <c r="N386" s="20"/>
      <c r="O386" s="20">
        <v>23</v>
      </c>
      <c r="P386" s="20" t="s">
        <v>1221</v>
      </c>
      <c r="Q386" s="20" t="s">
        <v>1373</v>
      </c>
      <c r="R386" s="20" t="str">
        <f t="shared" si="18"/>
        <v>ALCANCIA CONEJO CHICO-VERDE TELEFONICO PINTADO</v>
      </c>
      <c r="S386" s="19">
        <f t="shared" si="19"/>
        <v>8</v>
      </c>
      <c r="T386" s="19">
        <f t="shared" si="20"/>
        <v>30</v>
      </c>
      <c r="U386" s="19"/>
      <c r="V386" s="19"/>
      <c r="W386" s="19"/>
      <c r="X386" s="19"/>
      <c r="Y386" s="19"/>
    </row>
    <row r="387" spans="1:25" ht="12" hidden="1" customHeight="1" thickBot="1" x14ac:dyDescent="0.35">
      <c r="A387" s="20">
        <v>2</v>
      </c>
      <c r="B387" s="20" t="s">
        <v>1285</v>
      </c>
      <c r="C387" s="20" t="s">
        <v>1286</v>
      </c>
      <c r="D387" s="20" t="s">
        <v>1046</v>
      </c>
      <c r="E387" s="20">
        <v>184</v>
      </c>
      <c r="F387" s="52" t="s">
        <v>418</v>
      </c>
      <c r="G387" s="20" t="s">
        <v>1287</v>
      </c>
      <c r="H387" s="20" t="s">
        <v>1288</v>
      </c>
      <c r="I387" s="20">
        <v>1</v>
      </c>
      <c r="J387" s="20">
        <v>45</v>
      </c>
      <c r="K387" s="20">
        <v>2</v>
      </c>
      <c r="L387" s="20" t="s">
        <v>12</v>
      </c>
      <c r="M387" s="20"/>
      <c r="N387" s="20"/>
      <c r="O387" s="20">
        <v>10</v>
      </c>
      <c r="P387" s="20" t="s">
        <v>26</v>
      </c>
      <c r="Q387" s="20" t="s">
        <v>313</v>
      </c>
      <c r="R387" s="20" t="str">
        <f t="shared" ref="R387:R450" si="21">F387</f>
        <v>ALCANCIA CONEJO MEDIANO-AMARILLO</v>
      </c>
      <c r="S387" s="19">
        <f t="shared" ref="S387:S450" si="22">+I387</f>
        <v>1</v>
      </c>
      <c r="T387" s="19">
        <f t="shared" ref="T387:T450" si="23">+J387</f>
        <v>45</v>
      </c>
      <c r="U387" s="19"/>
      <c r="V387" s="19"/>
      <c r="W387" s="19"/>
      <c r="X387" s="19"/>
      <c r="Y387" s="19"/>
    </row>
    <row r="388" spans="1:25" ht="12" hidden="1" customHeight="1" thickBot="1" x14ac:dyDescent="0.35">
      <c r="A388" s="20">
        <v>2</v>
      </c>
      <c r="B388" s="20" t="s">
        <v>1285</v>
      </c>
      <c r="C388" s="20" t="s">
        <v>1286</v>
      </c>
      <c r="D388" s="20" t="s">
        <v>1046</v>
      </c>
      <c r="E388" s="20">
        <v>185</v>
      </c>
      <c r="F388" s="52" t="s">
        <v>1376</v>
      </c>
      <c r="G388" s="20" t="s">
        <v>1287</v>
      </c>
      <c r="H388" s="20" t="s">
        <v>1288</v>
      </c>
      <c r="I388" s="20">
        <v>1</v>
      </c>
      <c r="J388" s="20">
        <v>45</v>
      </c>
      <c r="K388" s="20">
        <v>2</v>
      </c>
      <c r="L388" s="20" t="s">
        <v>12</v>
      </c>
      <c r="M388" s="20"/>
      <c r="N388" s="20"/>
      <c r="O388" s="20">
        <v>10</v>
      </c>
      <c r="P388" s="20" t="s">
        <v>26</v>
      </c>
      <c r="Q388" s="20" t="s">
        <v>1375</v>
      </c>
      <c r="R388" s="20" t="str">
        <f t="shared" si="21"/>
        <v>ALCANCIA CONEJO MEDIANO-AMARILLO PINTADO</v>
      </c>
      <c r="S388" s="19">
        <f t="shared" si="22"/>
        <v>1</v>
      </c>
      <c r="T388" s="19">
        <f t="shared" si="23"/>
        <v>45</v>
      </c>
      <c r="U388" s="19"/>
      <c r="V388" s="19"/>
      <c r="W388" s="19"/>
      <c r="X388" s="19"/>
      <c r="Y388" s="19"/>
    </row>
    <row r="389" spans="1:25" ht="12" hidden="1" customHeight="1" thickBot="1" x14ac:dyDescent="0.35">
      <c r="A389" s="20">
        <v>2</v>
      </c>
      <c r="B389" s="20" t="s">
        <v>1285</v>
      </c>
      <c r="C389" s="20" t="s">
        <v>1286</v>
      </c>
      <c r="D389" s="20" t="s">
        <v>1046</v>
      </c>
      <c r="E389" s="20">
        <v>186</v>
      </c>
      <c r="F389" s="52" t="s">
        <v>419</v>
      </c>
      <c r="G389" s="20" t="s">
        <v>1287</v>
      </c>
      <c r="H389" s="20" t="s">
        <v>1288</v>
      </c>
      <c r="I389" s="20">
        <v>1</v>
      </c>
      <c r="J389" s="20">
        <v>45</v>
      </c>
      <c r="K389" s="20">
        <v>2</v>
      </c>
      <c r="L389" s="20" t="s">
        <v>12</v>
      </c>
      <c r="M389" s="20"/>
      <c r="N389" s="20"/>
      <c r="O389" s="20">
        <v>11</v>
      </c>
      <c r="P389" s="20" t="s">
        <v>1207</v>
      </c>
      <c r="Q389" s="20" t="s">
        <v>314</v>
      </c>
      <c r="R389" s="20" t="str">
        <f t="shared" si="21"/>
        <v>ALCANCIA CONEJO MEDIANO-ANARANJADO</v>
      </c>
      <c r="S389" s="19">
        <f t="shared" si="22"/>
        <v>1</v>
      </c>
      <c r="T389" s="19">
        <f t="shared" si="23"/>
        <v>45</v>
      </c>
      <c r="U389" s="19"/>
      <c r="V389" s="19"/>
      <c r="W389" s="19"/>
      <c r="X389" s="19"/>
      <c r="Y389" s="19"/>
    </row>
    <row r="390" spans="1:25" ht="12" hidden="1" customHeight="1" thickBot="1" x14ac:dyDescent="0.35">
      <c r="A390" s="20">
        <v>2</v>
      </c>
      <c r="B390" s="20" t="s">
        <v>1285</v>
      </c>
      <c r="C390" s="20" t="s">
        <v>1286</v>
      </c>
      <c r="D390" s="20" t="s">
        <v>1046</v>
      </c>
      <c r="E390" s="20">
        <v>187</v>
      </c>
      <c r="F390" s="52" t="s">
        <v>1378</v>
      </c>
      <c r="G390" s="20" t="s">
        <v>1287</v>
      </c>
      <c r="H390" s="20" t="s">
        <v>1288</v>
      </c>
      <c r="I390" s="20">
        <v>1</v>
      </c>
      <c r="J390" s="20">
        <v>45</v>
      </c>
      <c r="K390" s="20">
        <v>2</v>
      </c>
      <c r="L390" s="20" t="s">
        <v>12</v>
      </c>
      <c r="M390" s="20"/>
      <c r="N390" s="20"/>
      <c r="O390" s="20">
        <v>11</v>
      </c>
      <c r="P390" s="20" t="s">
        <v>1207</v>
      </c>
      <c r="Q390" s="20" t="s">
        <v>1377</v>
      </c>
      <c r="R390" s="20" t="str">
        <f t="shared" si="21"/>
        <v>ALCANCIA CONEJO MEDIANO-ANARANJADO PINTADO</v>
      </c>
      <c r="S390" s="19">
        <f t="shared" si="22"/>
        <v>1</v>
      </c>
      <c r="T390" s="19">
        <f t="shared" si="23"/>
        <v>45</v>
      </c>
      <c r="U390" s="19"/>
      <c r="V390" s="19"/>
      <c r="W390" s="19"/>
      <c r="X390" s="19"/>
      <c r="Y390" s="19"/>
    </row>
    <row r="391" spans="1:25" ht="12" hidden="1" customHeight="1" thickBot="1" x14ac:dyDescent="0.35">
      <c r="A391" s="20">
        <v>2</v>
      </c>
      <c r="B391" s="20" t="s">
        <v>1285</v>
      </c>
      <c r="C391" s="20" t="s">
        <v>1286</v>
      </c>
      <c r="D391" s="20" t="s">
        <v>1046</v>
      </c>
      <c r="E391" s="20">
        <v>188</v>
      </c>
      <c r="F391" s="52" t="s">
        <v>420</v>
      </c>
      <c r="G391" s="20" t="s">
        <v>1287</v>
      </c>
      <c r="H391" s="20" t="s">
        <v>1288</v>
      </c>
      <c r="I391" s="20">
        <v>1</v>
      </c>
      <c r="J391" s="20">
        <v>45</v>
      </c>
      <c r="K391" s="20">
        <v>2</v>
      </c>
      <c r="L391" s="20" t="s">
        <v>12</v>
      </c>
      <c r="M391" s="20"/>
      <c r="N391" s="20"/>
      <c r="O391" s="20">
        <v>14</v>
      </c>
      <c r="P391" s="20" t="s">
        <v>1209</v>
      </c>
      <c r="Q391" s="20" t="s">
        <v>315</v>
      </c>
      <c r="R391" s="20" t="str">
        <f t="shared" si="21"/>
        <v>ALCANCIA CONEJO MEDIANO-CELESTE</v>
      </c>
      <c r="S391" s="19">
        <f t="shared" si="22"/>
        <v>1</v>
      </c>
      <c r="T391" s="19">
        <f t="shared" si="23"/>
        <v>45</v>
      </c>
      <c r="U391" s="19"/>
      <c r="V391" s="19"/>
      <c r="W391" s="19"/>
      <c r="X391" s="19"/>
      <c r="Y391" s="19"/>
    </row>
    <row r="392" spans="1:25" ht="12" hidden="1" customHeight="1" thickBot="1" x14ac:dyDescent="0.35">
      <c r="A392" s="20">
        <v>2</v>
      </c>
      <c r="B392" s="20" t="s">
        <v>1285</v>
      </c>
      <c r="C392" s="20" t="s">
        <v>1286</v>
      </c>
      <c r="D392" s="20" t="s">
        <v>1046</v>
      </c>
      <c r="E392" s="20">
        <v>189</v>
      </c>
      <c r="F392" s="52" t="s">
        <v>1380</v>
      </c>
      <c r="G392" s="20" t="s">
        <v>1287</v>
      </c>
      <c r="H392" s="20" t="s">
        <v>1288</v>
      </c>
      <c r="I392" s="20">
        <v>1</v>
      </c>
      <c r="J392" s="20">
        <v>45</v>
      </c>
      <c r="K392" s="20">
        <v>2</v>
      </c>
      <c r="L392" s="20" t="s">
        <v>12</v>
      </c>
      <c r="M392" s="20"/>
      <c r="N392" s="20"/>
      <c r="O392" s="20">
        <v>14</v>
      </c>
      <c r="P392" s="20" t="s">
        <v>1209</v>
      </c>
      <c r="Q392" s="20" t="s">
        <v>1379</v>
      </c>
      <c r="R392" s="20" t="str">
        <f t="shared" si="21"/>
        <v>ALCANCIA CONEJO MEDIANO-CELESTE PINTADO</v>
      </c>
      <c r="S392" s="19">
        <f t="shared" si="22"/>
        <v>1</v>
      </c>
      <c r="T392" s="19">
        <f t="shared" si="23"/>
        <v>45</v>
      </c>
      <c r="U392" s="19"/>
      <c r="V392" s="19"/>
      <c r="W392" s="19"/>
      <c r="X392" s="19"/>
      <c r="Y392" s="19"/>
    </row>
    <row r="393" spans="1:25" ht="12" hidden="1" customHeight="1" thickBot="1" x14ac:dyDescent="0.35">
      <c r="A393" s="20">
        <v>2</v>
      </c>
      <c r="B393" s="20" t="s">
        <v>1285</v>
      </c>
      <c r="C393" s="20" t="s">
        <v>1286</v>
      </c>
      <c r="D393" s="20" t="s">
        <v>1046</v>
      </c>
      <c r="E393" s="20">
        <v>190</v>
      </c>
      <c r="F393" s="52" t="s">
        <v>421</v>
      </c>
      <c r="G393" s="20" t="s">
        <v>1287</v>
      </c>
      <c r="H393" s="20" t="s">
        <v>1288</v>
      </c>
      <c r="I393" s="20">
        <v>1</v>
      </c>
      <c r="J393" s="20">
        <v>45</v>
      </c>
      <c r="K393" s="20">
        <v>2</v>
      </c>
      <c r="L393" s="20" t="s">
        <v>12</v>
      </c>
      <c r="M393" s="20"/>
      <c r="N393" s="20"/>
      <c r="O393" s="20">
        <v>16</v>
      </c>
      <c r="P393" s="20" t="s">
        <v>1212</v>
      </c>
      <c r="Q393" s="20" t="s">
        <v>316</v>
      </c>
      <c r="R393" s="20" t="str">
        <f t="shared" si="21"/>
        <v>ALCANCIA CONEJO MEDIANO-LILA</v>
      </c>
      <c r="S393" s="19">
        <f t="shared" si="22"/>
        <v>1</v>
      </c>
      <c r="T393" s="19">
        <f t="shared" si="23"/>
        <v>45</v>
      </c>
      <c r="U393" s="19"/>
      <c r="V393" s="19"/>
      <c r="W393" s="19"/>
      <c r="X393" s="19"/>
      <c r="Y393" s="19"/>
    </row>
    <row r="394" spans="1:25" ht="12" hidden="1" customHeight="1" thickBot="1" x14ac:dyDescent="0.35">
      <c r="A394" s="20">
        <v>2</v>
      </c>
      <c r="B394" s="20" t="s">
        <v>1285</v>
      </c>
      <c r="C394" s="20" t="s">
        <v>1286</v>
      </c>
      <c r="D394" s="20" t="s">
        <v>1046</v>
      </c>
      <c r="E394" s="20">
        <v>191</v>
      </c>
      <c r="F394" s="52" t="s">
        <v>1382</v>
      </c>
      <c r="G394" s="20" t="s">
        <v>1287</v>
      </c>
      <c r="H394" s="20" t="s">
        <v>1288</v>
      </c>
      <c r="I394" s="20">
        <v>1</v>
      </c>
      <c r="J394" s="20">
        <v>45</v>
      </c>
      <c r="K394" s="20">
        <v>2</v>
      </c>
      <c r="L394" s="20" t="s">
        <v>12</v>
      </c>
      <c r="M394" s="20"/>
      <c r="N394" s="20"/>
      <c r="O394" s="20">
        <v>16</v>
      </c>
      <c r="P394" s="20" t="s">
        <v>1212</v>
      </c>
      <c r="Q394" s="20" t="s">
        <v>1381</v>
      </c>
      <c r="R394" s="20" t="str">
        <f t="shared" si="21"/>
        <v>ALCANCIA CONEJO MEDIANO-LILA PINTADO</v>
      </c>
      <c r="S394" s="19">
        <f t="shared" si="22"/>
        <v>1</v>
      </c>
      <c r="T394" s="19">
        <f t="shared" si="23"/>
        <v>45</v>
      </c>
      <c r="U394" s="19"/>
      <c r="V394" s="19"/>
      <c r="W394" s="19"/>
      <c r="X394" s="19"/>
      <c r="Y394" s="19"/>
    </row>
    <row r="395" spans="1:25" ht="12" hidden="1" customHeight="1" thickBot="1" x14ac:dyDescent="0.35">
      <c r="A395" s="20">
        <v>2</v>
      </c>
      <c r="B395" s="20" t="s">
        <v>1285</v>
      </c>
      <c r="C395" s="20" t="s">
        <v>1286</v>
      </c>
      <c r="D395" s="20" t="s">
        <v>1046</v>
      </c>
      <c r="E395" s="20">
        <v>192</v>
      </c>
      <c r="F395" s="52" t="s">
        <v>422</v>
      </c>
      <c r="G395" s="20" t="s">
        <v>1287</v>
      </c>
      <c r="H395" s="20" t="s">
        <v>1288</v>
      </c>
      <c r="I395" s="20">
        <v>1</v>
      </c>
      <c r="J395" s="20">
        <v>45</v>
      </c>
      <c r="K395" s="20">
        <v>2</v>
      </c>
      <c r="L395" s="20" t="s">
        <v>12</v>
      </c>
      <c r="M395" s="20"/>
      <c r="N395" s="20"/>
      <c r="O395" s="20">
        <v>19</v>
      </c>
      <c r="P395" s="20" t="s">
        <v>27</v>
      </c>
      <c r="Q395" s="20" t="s">
        <v>317</v>
      </c>
      <c r="R395" s="20" t="str">
        <f t="shared" si="21"/>
        <v>ALCANCIA CONEJO MEDIANO-ROJO</v>
      </c>
      <c r="S395" s="19">
        <f t="shared" si="22"/>
        <v>1</v>
      </c>
      <c r="T395" s="19">
        <f t="shared" si="23"/>
        <v>45</v>
      </c>
      <c r="U395" s="19"/>
      <c r="V395" s="19"/>
      <c r="W395" s="19"/>
      <c r="X395" s="19"/>
      <c r="Y395" s="19"/>
    </row>
    <row r="396" spans="1:25" ht="12" hidden="1" customHeight="1" thickBot="1" x14ac:dyDescent="0.35">
      <c r="A396" s="20">
        <v>2</v>
      </c>
      <c r="B396" s="20" t="s">
        <v>1285</v>
      </c>
      <c r="C396" s="20" t="s">
        <v>1286</v>
      </c>
      <c r="D396" s="20" t="s">
        <v>1046</v>
      </c>
      <c r="E396" s="20">
        <v>193</v>
      </c>
      <c r="F396" s="52" t="s">
        <v>1384</v>
      </c>
      <c r="G396" s="20" t="s">
        <v>1287</v>
      </c>
      <c r="H396" s="20" t="s">
        <v>1288</v>
      </c>
      <c r="I396" s="20">
        <v>1</v>
      </c>
      <c r="J396" s="20">
        <v>45</v>
      </c>
      <c r="K396" s="20">
        <v>2</v>
      </c>
      <c r="L396" s="20" t="s">
        <v>12</v>
      </c>
      <c r="M396" s="20"/>
      <c r="N396" s="20"/>
      <c r="O396" s="20">
        <v>19</v>
      </c>
      <c r="P396" s="20" t="s">
        <v>27</v>
      </c>
      <c r="Q396" s="20" t="s">
        <v>1383</v>
      </c>
      <c r="R396" s="20" t="str">
        <f t="shared" si="21"/>
        <v>ALCANCIA CONEJO MEDIANO-ROJO PINTADO</v>
      </c>
      <c r="S396" s="19">
        <f t="shared" si="22"/>
        <v>1</v>
      </c>
      <c r="T396" s="19">
        <f t="shared" si="23"/>
        <v>45</v>
      </c>
      <c r="U396" s="19"/>
      <c r="V396" s="19"/>
      <c r="W396" s="19"/>
      <c r="X396" s="19"/>
      <c r="Y396" s="19"/>
    </row>
    <row r="397" spans="1:25" ht="12" hidden="1" customHeight="1" thickBot="1" x14ac:dyDescent="0.35">
      <c r="A397" s="20">
        <v>2</v>
      </c>
      <c r="B397" s="20" t="s">
        <v>1285</v>
      </c>
      <c r="C397" s="20" t="s">
        <v>1286</v>
      </c>
      <c r="D397" s="20" t="s">
        <v>1046</v>
      </c>
      <c r="E397" s="20">
        <v>194</v>
      </c>
      <c r="F397" s="52" t="s">
        <v>423</v>
      </c>
      <c r="G397" s="20" t="s">
        <v>1287</v>
      </c>
      <c r="H397" s="20" t="s">
        <v>1288</v>
      </c>
      <c r="I397" s="20">
        <v>1</v>
      </c>
      <c r="J397" s="20">
        <v>45</v>
      </c>
      <c r="K397" s="20">
        <v>2</v>
      </c>
      <c r="L397" s="20" t="s">
        <v>12</v>
      </c>
      <c r="M397" s="20"/>
      <c r="N397" s="20"/>
      <c r="O397" s="20">
        <v>23</v>
      </c>
      <c r="P397" s="20" t="s">
        <v>1221</v>
      </c>
      <c r="Q397" s="20" t="s">
        <v>318</v>
      </c>
      <c r="R397" s="20" t="str">
        <f t="shared" si="21"/>
        <v>ALCANCIA CONEJO MEDIANO-VERDE TELEFONICO</v>
      </c>
      <c r="S397" s="19">
        <f t="shared" si="22"/>
        <v>1</v>
      </c>
      <c r="T397" s="19">
        <f t="shared" si="23"/>
        <v>45</v>
      </c>
      <c r="U397" s="19"/>
      <c r="V397" s="19"/>
      <c r="W397" s="19"/>
      <c r="X397" s="19"/>
      <c r="Y397" s="19"/>
    </row>
    <row r="398" spans="1:25" ht="12" hidden="1" customHeight="1" thickBot="1" x14ac:dyDescent="0.35">
      <c r="A398" s="20">
        <v>2</v>
      </c>
      <c r="B398" s="20" t="s">
        <v>1285</v>
      </c>
      <c r="C398" s="20" t="s">
        <v>1286</v>
      </c>
      <c r="D398" s="20" t="s">
        <v>1046</v>
      </c>
      <c r="E398" s="20">
        <v>195</v>
      </c>
      <c r="F398" s="52" t="s">
        <v>1386</v>
      </c>
      <c r="G398" s="20" t="s">
        <v>1287</v>
      </c>
      <c r="H398" s="20" t="s">
        <v>1288</v>
      </c>
      <c r="I398" s="20">
        <v>1</v>
      </c>
      <c r="J398" s="20">
        <v>45</v>
      </c>
      <c r="K398" s="20">
        <v>2</v>
      </c>
      <c r="L398" s="20" t="s">
        <v>12</v>
      </c>
      <c r="M398" s="20"/>
      <c r="N398" s="20"/>
      <c r="O398" s="20">
        <v>23</v>
      </c>
      <c r="P398" s="20" t="s">
        <v>1221</v>
      </c>
      <c r="Q398" s="20" t="s">
        <v>1385</v>
      </c>
      <c r="R398" s="20" t="str">
        <f t="shared" si="21"/>
        <v>ALCANCIA CONEJO MEDIANO-VERDE TELEFONICO PINTADO</v>
      </c>
      <c r="S398" s="19">
        <f t="shared" si="22"/>
        <v>1</v>
      </c>
      <c r="T398" s="19">
        <f t="shared" si="23"/>
        <v>45</v>
      </c>
      <c r="U398" s="19"/>
      <c r="V398" s="19"/>
      <c r="W398" s="19"/>
      <c r="X398" s="19"/>
      <c r="Y398" s="19"/>
    </row>
    <row r="399" spans="1:25" ht="12" hidden="1" customHeight="1" thickBot="1" x14ac:dyDescent="0.35">
      <c r="A399" s="20">
        <v>2</v>
      </c>
      <c r="B399" s="20" t="s">
        <v>1285</v>
      </c>
      <c r="C399" s="20" t="s">
        <v>1286</v>
      </c>
      <c r="D399" s="20" t="s">
        <v>1387</v>
      </c>
      <c r="E399" s="20">
        <v>196</v>
      </c>
      <c r="F399" s="20" t="s">
        <v>424</v>
      </c>
      <c r="G399" s="20" t="s">
        <v>1287</v>
      </c>
      <c r="H399" s="20" t="s">
        <v>1288</v>
      </c>
      <c r="I399" s="20">
        <v>8</v>
      </c>
      <c r="J399" s="20">
        <v>40</v>
      </c>
      <c r="K399" s="20">
        <v>2</v>
      </c>
      <c r="L399" s="20" t="s">
        <v>12</v>
      </c>
      <c r="M399" s="20"/>
      <c r="N399" s="20"/>
      <c r="O399" s="20">
        <v>10</v>
      </c>
      <c r="P399" s="20" t="s">
        <v>26</v>
      </c>
      <c r="Q399" s="20" t="s">
        <v>319</v>
      </c>
      <c r="R399" s="20" t="str">
        <f t="shared" si="21"/>
        <v>ALCANCIA MEDIANA-AMARILLO</v>
      </c>
      <c r="S399" s="19">
        <f t="shared" si="22"/>
        <v>8</v>
      </c>
      <c r="T399" s="19">
        <f t="shared" si="23"/>
        <v>40</v>
      </c>
      <c r="U399" s="19"/>
      <c r="V399" s="19"/>
      <c r="W399" s="19"/>
      <c r="X399" s="19"/>
      <c r="Y399" s="19"/>
    </row>
    <row r="400" spans="1:25" ht="12" hidden="1" customHeight="1" thickBot="1" x14ac:dyDescent="0.35">
      <c r="A400" s="20">
        <v>2</v>
      </c>
      <c r="B400" s="20" t="s">
        <v>1285</v>
      </c>
      <c r="C400" s="20" t="s">
        <v>1286</v>
      </c>
      <c r="D400" s="20" t="s">
        <v>1387</v>
      </c>
      <c r="E400" s="20">
        <v>197</v>
      </c>
      <c r="F400" s="20" t="s">
        <v>1389</v>
      </c>
      <c r="G400" s="20" t="s">
        <v>1287</v>
      </c>
      <c r="H400" s="20" t="s">
        <v>1288</v>
      </c>
      <c r="I400" s="20">
        <v>8</v>
      </c>
      <c r="J400" s="20">
        <v>40</v>
      </c>
      <c r="K400" s="20">
        <v>2</v>
      </c>
      <c r="L400" s="20" t="s">
        <v>12</v>
      </c>
      <c r="M400" s="20"/>
      <c r="N400" s="20"/>
      <c r="O400" s="20">
        <v>10</v>
      </c>
      <c r="P400" s="20" t="s">
        <v>26</v>
      </c>
      <c r="Q400" s="20" t="s">
        <v>1388</v>
      </c>
      <c r="R400" s="20" t="str">
        <f t="shared" si="21"/>
        <v>ALCANCIA MEDIANA-AMARILLO PINTADO</v>
      </c>
      <c r="S400" s="19">
        <f t="shared" si="22"/>
        <v>8</v>
      </c>
      <c r="T400" s="19">
        <f t="shared" si="23"/>
        <v>40</v>
      </c>
      <c r="U400" s="19"/>
      <c r="V400" s="19"/>
      <c r="W400" s="19"/>
      <c r="X400" s="19"/>
      <c r="Y400" s="19"/>
    </row>
    <row r="401" spans="1:25" ht="12" hidden="1" customHeight="1" thickBot="1" x14ac:dyDescent="0.35">
      <c r="A401" s="20">
        <v>2</v>
      </c>
      <c r="B401" s="20" t="s">
        <v>1285</v>
      </c>
      <c r="C401" s="20" t="s">
        <v>1286</v>
      </c>
      <c r="D401" s="20" t="s">
        <v>1387</v>
      </c>
      <c r="E401" s="20">
        <v>198</v>
      </c>
      <c r="F401" s="20" t="s">
        <v>425</v>
      </c>
      <c r="G401" s="20" t="s">
        <v>1287</v>
      </c>
      <c r="H401" s="20" t="s">
        <v>1288</v>
      </c>
      <c r="I401" s="20">
        <v>8</v>
      </c>
      <c r="J401" s="20">
        <v>40</v>
      </c>
      <c r="K401" s="20">
        <v>2</v>
      </c>
      <c r="L401" s="20" t="s">
        <v>12</v>
      </c>
      <c r="M401" s="20"/>
      <c r="N401" s="20"/>
      <c r="O401" s="20">
        <v>11</v>
      </c>
      <c r="P401" s="20" t="s">
        <v>1207</v>
      </c>
      <c r="Q401" s="20" t="s">
        <v>320</v>
      </c>
      <c r="R401" s="20" t="str">
        <f t="shared" si="21"/>
        <v>ALCANCIA MEDIANA-ANARANJADO</v>
      </c>
      <c r="S401" s="19">
        <f t="shared" si="22"/>
        <v>8</v>
      </c>
      <c r="T401" s="19">
        <f t="shared" si="23"/>
        <v>40</v>
      </c>
      <c r="U401" s="19"/>
      <c r="V401" s="19"/>
      <c r="W401" s="19"/>
      <c r="X401" s="19"/>
      <c r="Y401" s="19"/>
    </row>
    <row r="402" spans="1:25" ht="12" hidden="1" customHeight="1" thickBot="1" x14ac:dyDescent="0.35">
      <c r="A402" s="20">
        <v>2</v>
      </c>
      <c r="B402" s="20" t="s">
        <v>1285</v>
      </c>
      <c r="C402" s="20" t="s">
        <v>1286</v>
      </c>
      <c r="D402" s="20" t="s">
        <v>1387</v>
      </c>
      <c r="E402" s="20">
        <v>199</v>
      </c>
      <c r="F402" s="20" t="s">
        <v>1391</v>
      </c>
      <c r="G402" s="20" t="s">
        <v>1287</v>
      </c>
      <c r="H402" s="20" t="s">
        <v>1288</v>
      </c>
      <c r="I402" s="20">
        <v>8</v>
      </c>
      <c r="J402" s="20">
        <v>40</v>
      </c>
      <c r="K402" s="20">
        <v>2</v>
      </c>
      <c r="L402" s="20" t="s">
        <v>12</v>
      </c>
      <c r="M402" s="20"/>
      <c r="N402" s="20"/>
      <c r="O402" s="20">
        <v>11</v>
      </c>
      <c r="P402" s="20" t="s">
        <v>1207</v>
      </c>
      <c r="Q402" s="20" t="s">
        <v>1390</v>
      </c>
      <c r="R402" s="20" t="str">
        <f t="shared" si="21"/>
        <v>ALCANCIA MEDIANA-ANARANJADO PINTADO</v>
      </c>
      <c r="S402" s="19">
        <f t="shared" si="22"/>
        <v>8</v>
      </c>
      <c r="T402" s="19">
        <f t="shared" si="23"/>
        <v>40</v>
      </c>
      <c r="U402" s="19"/>
      <c r="V402" s="19"/>
      <c r="W402" s="19"/>
      <c r="X402" s="19"/>
      <c r="Y402" s="19"/>
    </row>
    <row r="403" spans="1:25" ht="12" hidden="1" customHeight="1" thickBot="1" x14ac:dyDescent="0.35">
      <c r="A403" s="20">
        <v>2</v>
      </c>
      <c r="B403" s="20" t="s">
        <v>1285</v>
      </c>
      <c r="C403" s="20" t="s">
        <v>1286</v>
      </c>
      <c r="D403" s="20" t="s">
        <v>1387</v>
      </c>
      <c r="E403" s="20">
        <v>200</v>
      </c>
      <c r="F403" s="20" t="s">
        <v>426</v>
      </c>
      <c r="G403" s="20" t="s">
        <v>1287</v>
      </c>
      <c r="H403" s="20" t="s">
        <v>1288</v>
      </c>
      <c r="I403" s="20">
        <v>2</v>
      </c>
      <c r="J403" s="20">
        <v>40</v>
      </c>
      <c r="K403" s="20">
        <v>2</v>
      </c>
      <c r="L403" s="20" t="s">
        <v>12</v>
      </c>
      <c r="M403" s="20"/>
      <c r="N403" s="20"/>
      <c r="O403" s="20">
        <v>14</v>
      </c>
      <c r="P403" s="20" t="s">
        <v>1209</v>
      </c>
      <c r="Q403" s="20" t="s">
        <v>321</v>
      </c>
      <c r="R403" s="20" t="str">
        <f t="shared" si="21"/>
        <v>ALCANCIA MEDIANA-CELESTE</v>
      </c>
      <c r="S403" s="19">
        <f t="shared" si="22"/>
        <v>2</v>
      </c>
      <c r="T403" s="19">
        <f t="shared" si="23"/>
        <v>40</v>
      </c>
      <c r="U403" s="19"/>
      <c r="V403" s="19"/>
      <c r="W403" s="19"/>
      <c r="X403" s="19"/>
      <c r="Y403" s="19"/>
    </row>
    <row r="404" spans="1:25" ht="12" hidden="1" customHeight="1" thickBot="1" x14ac:dyDescent="0.35">
      <c r="A404" s="20">
        <v>2</v>
      </c>
      <c r="B404" s="20" t="s">
        <v>1285</v>
      </c>
      <c r="C404" s="20" t="s">
        <v>1286</v>
      </c>
      <c r="D404" s="20" t="s">
        <v>1387</v>
      </c>
      <c r="E404" s="20">
        <v>201</v>
      </c>
      <c r="F404" s="20" t="s">
        <v>1393</v>
      </c>
      <c r="G404" s="20" t="s">
        <v>1287</v>
      </c>
      <c r="H404" s="20" t="s">
        <v>1288</v>
      </c>
      <c r="I404" s="20">
        <v>2</v>
      </c>
      <c r="J404" s="20">
        <v>40</v>
      </c>
      <c r="K404" s="20">
        <v>2</v>
      </c>
      <c r="L404" s="20" t="s">
        <v>12</v>
      </c>
      <c r="M404" s="20"/>
      <c r="N404" s="20"/>
      <c r="O404" s="20">
        <v>14</v>
      </c>
      <c r="P404" s="20" t="s">
        <v>1209</v>
      </c>
      <c r="Q404" s="20" t="s">
        <v>1392</v>
      </c>
      <c r="R404" s="20" t="str">
        <f t="shared" si="21"/>
        <v>ALCANCIA MEDIANA-CELESTE PINTADO</v>
      </c>
      <c r="S404" s="19">
        <f t="shared" si="22"/>
        <v>2</v>
      </c>
      <c r="T404" s="19">
        <f t="shared" si="23"/>
        <v>40</v>
      </c>
      <c r="U404" s="19"/>
      <c r="V404" s="19"/>
      <c r="W404" s="19"/>
      <c r="X404" s="19"/>
      <c r="Y404" s="19"/>
    </row>
    <row r="405" spans="1:25" ht="12" hidden="1" customHeight="1" thickBot="1" x14ac:dyDescent="0.35">
      <c r="A405" s="20">
        <v>2</v>
      </c>
      <c r="B405" s="20" t="s">
        <v>1285</v>
      </c>
      <c r="C405" s="20" t="s">
        <v>1286</v>
      </c>
      <c r="D405" s="20" t="s">
        <v>1387</v>
      </c>
      <c r="E405" s="20">
        <v>202</v>
      </c>
      <c r="F405" s="20" t="s">
        <v>427</v>
      </c>
      <c r="G405" s="20" t="s">
        <v>1287</v>
      </c>
      <c r="H405" s="20" t="s">
        <v>1288</v>
      </c>
      <c r="I405" s="20">
        <v>2</v>
      </c>
      <c r="J405" s="20">
        <v>40</v>
      </c>
      <c r="K405" s="20">
        <v>2</v>
      </c>
      <c r="L405" s="20" t="s">
        <v>12</v>
      </c>
      <c r="M405" s="20"/>
      <c r="N405" s="20"/>
      <c r="O405" s="20">
        <v>16</v>
      </c>
      <c r="P405" s="20" t="s">
        <v>1212</v>
      </c>
      <c r="Q405" s="20" t="s">
        <v>322</v>
      </c>
      <c r="R405" s="20" t="str">
        <f t="shared" si="21"/>
        <v>ALCANCIA MEDIANA-LILA</v>
      </c>
      <c r="S405" s="19">
        <f t="shared" si="22"/>
        <v>2</v>
      </c>
      <c r="T405" s="19">
        <f t="shared" si="23"/>
        <v>40</v>
      </c>
      <c r="U405" s="19"/>
      <c r="V405" s="19"/>
      <c r="W405" s="19"/>
      <c r="X405" s="19"/>
      <c r="Y405" s="19"/>
    </row>
    <row r="406" spans="1:25" ht="12" hidden="1" customHeight="1" thickBot="1" x14ac:dyDescent="0.35">
      <c r="A406" s="20">
        <v>2</v>
      </c>
      <c r="B406" s="20" t="s">
        <v>1285</v>
      </c>
      <c r="C406" s="20" t="s">
        <v>1286</v>
      </c>
      <c r="D406" s="20" t="s">
        <v>1387</v>
      </c>
      <c r="E406" s="20">
        <v>203</v>
      </c>
      <c r="F406" s="20" t="s">
        <v>1395</v>
      </c>
      <c r="G406" s="20" t="s">
        <v>1287</v>
      </c>
      <c r="H406" s="20" t="s">
        <v>1288</v>
      </c>
      <c r="I406" s="20">
        <v>2</v>
      </c>
      <c r="J406" s="20">
        <v>40</v>
      </c>
      <c r="K406" s="20">
        <v>2</v>
      </c>
      <c r="L406" s="20" t="s">
        <v>12</v>
      </c>
      <c r="M406" s="20"/>
      <c r="N406" s="20"/>
      <c r="O406" s="20">
        <v>16</v>
      </c>
      <c r="P406" s="20" t="s">
        <v>1212</v>
      </c>
      <c r="Q406" s="20" t="s">
        <v>1394</v>
      </c>
      <c r="R406" s="20" t="str">
        <f t="shared" si="21"/>
        <v>ALCANCIA MEDIANA-LILA PINTADO</v>
      </c>
      <c r="S406" s="19">
        <f t="shared" si="22"/>
        <v>2</v>
      </c>
      <c r="T406" s="19">
        <f t="shared" si="23"/>
        <v>40</v>
      </c>
      <c r="U406" s="19"/>
      <c r="V406" s="19"/>
      <c r="W406" s="19"/>
      <c r="X406" s="19"/>
      <c r="Y406" s="19"/>
    </row>
    <row r="407" spans="1:25" ht="12" hidden="1" customHeight="1" thickBot="1" x14ac:dyDescent="0.35">
      <c r="A407" s="20">
        <v>2</v>
      </c>
      <c r="B407" s="20" t="s">
        <v>1285</v>
      </c>
      <c r="C407" s="20" t="s">
        <v>1286</v>
      </c>
      <c r="D407" s="20" t="s">
        <v>1387</v>
      </c>
      <c r="E407" s="20">
        <v>204</v>
      </c>
      <c r="F407" s="20" t="s">
        <v>428</v>
      </c>
      <c r="G407" s="20" t="s">
        <v>1287</v>
      </c>
      <c r="H407" s="20" t="s">
        <v>1288</v>
      </c>
      <c r="I407" s="20">
        <v>4</v>
      </c>
      <c r="J407" s="20">
        <v>40</v>
      </c>
      <c r="K407" s="20">
        <v>2</v>
      </c>
      <c r="L407" s="20" t="s">
        <v>12</v>
      </c>
      <c r="M407" s="20"/>
      <c r="N407" s="20"/>
      <c r="O407" s="20">
        <v>19</v>
      </c>
      <c r="P407" s="20" t="s">
        <v>27</v>
      </c>
      <c r="Q407" s="20" t="s">
        <v>323</v>
      </c>
      <c r="R407" s="20" t="str">
        <f t="shared" si="21"/>
        <v>ALCANCIA MEDIANA-ROJO</v>
      </c>
      <c r="S407" s="19">
        <f t="shared" si="22"/>
        <v>4</v>
      </c>
      <c r="T407" s="19">
        <f t="shared" si="23"/>
        <v>40</v>
      </c>
      <c r="U407" s="19"/>
      <c r="V407" s="19"/>
      <c r="W407" s="19"/>
      <c r="X407" s="19"/>
      <c r="Y407" s="19"/>
    </row>
    <row r="408" spans="1:25" ht="12" hidden="1" customHeight="1" thickBot="1" x14ac:dyDescent="0.35">
      <c r="A408" s="20">
        <v>2</v>
      </c>
      <c r="B408" s="20" t="s">
        <v>1285</v>
      </c>
      <c r="C408" s="20" t="s">
        <v>1286</v>
      </c>
      <c r="D408" s="20" t="s">
        <v>1387</v>
      </c>
      <c r="E408" s="20">
        <v>205</v>
      </c>
      <c r="F408" s="20" t="s">
        <v>1397</v>
      </c>
      <c r="G408" s="20" t="s">
        <v>1287</v>
      </c>
      <c r="H408" s="20" t="s">
        <v>1288</v>
      </c>
      <c r="I408" s="20">
        <v>4</v>
      </c>
      <c r="J408" s="20">
        <v>40</v>
      </c>
      <c r="K408" s="20">
        <v>2</v>
      </c>
      <c r="L408" s="20" t="s">
        <v>12</v>
      </c>
      <c r="M408" s="20"/>
      <c r="N408" s="20"/>
      <c r="O408" s="20">
        <v>19</v>
      </c>
      <c r="P408" s="20" t="s">
        <v>27</v>
      </c>
      <c r="Q408" s="20" t="s">
        <v>1396</v>
      </c>
      <c r="R408" s="20" t="str">
        <f t="shared" si="21"/>
        <v>ALCANCIA MEDIANA-ROJO PINTADO</v>
      </c>
      <c r="S408" s="19">
        <f t="shared" si="22"/>
        <v>4</v>
      </c>
      <c r="T408" s="19">
        <f t="shared" si="23"/>
        <v>40</v>
      </c>
      <c r="U408" s="19"/>
      <c r="V408" s="19"/>
      <c r="W408" s="19"/>
      <c r="X408" s="19"/>
      <c r="Y408" s="19"/>
    </row>
    <row r="409" spans="1:25" ht="12" hidden="1" customHeight="1" thickBot="1" x14ac:dyDescent="0.35">
      <c r="A409" s="20">
        <v>2</v>
      </c>
      <c r="B409" s="20" t="s">
        <v>1285</v>
      </c>
      <c r="C409" s="20" t="s">
        <v>1286</v>
      </c>
      <c r="D409" s="20" t="s">
        <v>1387</v>
      </c>
      <c r="E409" s="20">
        <v>206</v>
      </c>
      <c r="F409" s="20" t="s">
        <v>429</v>
      </c>
      <c r="G409" s="20" t="s">
        <v>1287</v>
      </c>
      <c r="H409" s="20" t="s">
        <v>1288</v>
      </c>
      <c r="I409" s="20">
        <v>4</v>
      </c>
      <c r="J409" s="20">
        <v>40</v>
      </c>
      <c r="K409" s="20">
        <v>2</v>
      </c>
      <c r="L409" s="20" t="s">
        <v>12</v>
      </c>
      <c r="M409" s="20"/>
      <c r="N409" s="20"/>
      <c r="O409" s="20">
        <v>23</v>
      </c>
      <c r="P409" s="20" t="s">
        <v>1221</v>
      </c>
      <c r="Q409" s="20" t="s">
        <v>324</v>
      </c>
      <c r="R409" s="20" t="str">
        <f t="shared" si="21"/>
        <v>ALCANCIA MEDIANA-VERDE TELEFONICO</v>
      </c>
      <c r="S409" s="19">
        <f t="shared" si="22"/>
        <v>4</v>
      </c>
      <c r="T409" s="19">
        <f t="shared" si="23"/>
        <v>40</v>
      </c>
      <c r="U409" s="19"/>
      <c r="V409" s="19"/>
      <c r="W409" s="19"/>
      <c r="X409" s="19"/>
      <c r="Y409" s="19"/>
    </row>
    <row r="410" spans="1:25" ht="12" hidden="1" customHeight="1" thickBot="1" x14ac:dyDescent="0.35">
      <c r="A410" s="20">
        <v>2</v>
      </c>
      <c r="B410" s="20" t="s">
        <v>1285</v>
      </c>
      <c r="C410" s="20" t="s">
        <v>1286</v>
      </c>
      <c r="D410" s="20" t="s">
        <v>1387</v>
      </c>
      <c r="E410" s="20">
        <v>207</v>
      </c>
      <c r="F410" s="20" t="s">
        <v>1399</v>
      </c>
      <c r="G410" s="20" t="s">
        <v>1287</v>
      </c>
      <c r="H410" s="20" t="s">
        <v>1288</v>
      </c>
      <c r="I410" s="20">
        <v>4</v>
      </c>
      <c r="J410" s="20">
        <v>40</v>
      </c>
      <c r="K410" s="20">
        <v>2</v>
      </c>
      <c r="L410" s="20" t="s">
        <v>12</v>
      </c>
      <c r="M410" s="20"/>
      <c r="N410" s="20"/>
      <c r="O410" s="20">
        <v>23</v>
      </c>
      <c r="P410" s="20" t="s">
        <v>1221</v>
      </c>
      <c r="Q410" s="20" t="s">
        <v>1398</v>
      </c>
      <c r="R410" s="20" t="str">
        <f t="shared" si="21"/>
        <v>ALCANCIA MEDIANA-VERDE TELEFONICO PINTADO</v>
      </c>
      <c r="S410" s="19">
        <f t="shared" si="22"/>
        <v>4</v>
      </c>
      <c r="T410" s="19">
        <f t="shared" si="23"/>
        <v>40</v>
      </c>
      <c r="U410" s="19"/>
      <c r="V410" s="19"/>
      <c r="W410" s="19"/>
      <c r="X410" s="19"/>
      <c r="Y410" s="19"/>
    </row>
    <row r="411" spans="1:25" ht="12" hidden="1" customHeight="1" thickBot="1" x14ac:dyDescent="0.35">
      <c r="A411" s="49">
        <v>2</v>
      </c>
      <c r="B411" s="49" t="s">
        <v>1285</v>
      </c>
      <c r="C411" s="49" t="s">
        <v>1286</v>
      </c>
      <c r="D411" s="49" t="s">
        <v>10</v>
      </c>
      <c r="E411" s="49">
        <v>208</v>
      </c>
      <c r="F411" s="49" t="s">
        <v>430</v>
      </c>
      <c r="G411" s="49" t="s">
        <v>1287</v>
      </c>
      <c r="H411" s="49" t="s">
        <v>1288</v>
      </c>
      <c r="I411" s="49">
        <v>4</v>
      </c>
      <c r="J411" s="49">
        <v>120</v>
      </c>
      <c r="K411" s="49">
        <v>2</v>
      </c>
      <c r="L411" s="49" t="s">
        <v>12</v>
      </c>
      <c r="M411" s="49"/>
      <c r="N411" s="49"/>
      <c r="O411" s="49">
        <v>24</v>
      </c>
      <c r="P411" s="49" t="s">
        <v>1208</v>
      </c>
      <c r="Q411" s="49" t="s">
        <v>325</v>
      </c>
      <c r="R411" s="20" t="str">
        <f t="shared" si="21"/>
        <v>ALCANCIA PABLO GRANDE-CARNE</v>
      </c>
      <c r="S411" s="19">
        <f t="shared" si="22"/>
        <v>4</v>
      </c>
      <c r="T411" s="19">
        <f t="shared" si="23"/>
        <v>120</v>
      </c>
      <c r="U411" s="19">
        <v>100</v>
      </c>
      <c r="V411" s="19"/>
      <c r="W411" s="19"/>
      <c r="X411" s="19"/>
      <c r="Y411" s="19"/>
    </row>
    <row r="412" spans="1:25" ht="12" hidden="1" customHeight="1" thickBot="1" x14ac:dyDescent="0.35">
      <c r="A412" s="20">
        <v>2</v>
      </c>
      <c r="B412" s="20" t="s">
        <v>1285</v>
      </c>
      <c r="C412" s="20" t="s">
        <v>1286</v>
      </c>
      <c r="D412" s="20" t="s">
        <v>10</v>
      </c>
      <c r="E412" s="20">
        <v>209</v>
      </c>
      <c r="F412" s="20" t="s">
        <v>1401</v>
      </c>
      <c r="G412" s="20" t="s">
        <v>1287</v>
      </c>
      <c r="H412" s="20" t="s">
        <v>1288</v>
      </c>
      <c r="I412" s="20">
        <v>4</v>
      </c>
      <c r="J412" s="20">
        <v>120</v>
      </c>
      <c r="K412" s="20">
        <v>2</v>
      </c>
      <c r="L412" s="20" t="s">
        <v>12</v>
      </c>
      <c r="M412" s="20"/>
      <c r="N412" s="20"/>
      <c r="O412" s="20">
        <v>10</v>
      </c>
      <c r="P412" s="20" t="s">
        <v>26</v>
      </c>
      <c r="Q412" s="20" t="s">
        <v>1400</v>
      </c>
      <c r="R412" s="20" t="str">
        <f t="shared" si="21"/>
        <v>ALCANCIA PABLO GRANDE-CARNE PINTADO AMARILLO</v>
      </c>
      <c r="S412" s="19">
        <f t="shared" si="22"/>
        <v>4</v>
      </c>
      <c r="T412" s="19">
        <f t="shared" si="23"/>
        <v>120</v>
      </c>
      <c r="U412" s="19"/>
      <c r="V412" s="19"/>
      <c r="W412" s="19"/>
      <c r="X412" s="19"/>
      <c r="Y412" s="19"/>
    </row>
    <row r="413" spans="1:25" ht="12" hidden="1" customHeight="1" thickBot="1" x14ac:dyDescent="0.35">
      <c r="A413" s="20">
        <v>2</v>
      </c>
      <c r="B413" s="20" t="s">
        <v>1285</v>
      </c>
      <c r="C413" s="20" t="s">
        <v>1286</v>
      </c>
      <c r="D413" s="20" t="s">
        <v>10</v>
      </c>
      <c r="E413" s="20">
        <v>210</v>
      </c>
      <c r="F413" s="20" t="s">
        <v>1403</v>
      </c>
      <c r="G413" s="20" t="s">
        <v>1287</v>
      </c>
      <c r="H413" s="20" t="s">
        <v>1288</v>
      </c>
      <c r="I413" s="20">
        <v>1</v>
      </c>
      <c r="J413" s="20">
        <v>120</v>
      </c>
      <c r="K413" s="20">
        <v>2</v>
      </c>
      <c r="L413" s="20" t="s">
        <v>12</v>
      </c>
      <c r="M413" s="20"/>
      <c r="N413" s="20"/>
      <c r="O413" s="20">
        <v>11</v>
      </c>
      <c r="P413" s="20" t="s">
        <v>1207</v>
      </c>
      <c r="Q413" s="20" t="s">
        <v>1402</v>
      </c>
      <c r="R413" s="20" t="str">
        <f t="shared" si="21"/>
        <v>ALCANCIA PABLO GRANDE-CARNE PINTADO ANARANJADO</v>
      </c>
      <c r="S413" s="19">
        <f t="shared" si="22"/>
        <v>1</v>
      </c>
      <c r="T413" s="19">
        <f t="shared" si="23"/>
        <v>120</v>
      </c>
      <c r="U413" s="19"/>
      <c r="V413" s="19"/>
      <c r="W413" s="19"/>
      <c r="X413" s="19"/>
      <c r="Y413" s="19"/>
    </row>
    <row r="414" spans="1:25" ht="12" hidden="1" customHeight="1" thickBot="1" x14ac:dyDescent="0.35">
      <c r="A414" s="20">
        <v>2</v>
      </c>
      <c r="B414" s="20" t="s">
        <v>1285</v>
      </c>
      <c r="C414" s="20" t="s">
        <v>1286</v>
      </c>
      <c r="D414" s="20" t="s">
        <v>10</v>
      </c>
      <c r="E414" s="20">
        <v>211</v>
      </c>
      <c r="F414" s="20" t="s">
        <v>1405</v>
      </c>
      <c r="G414" s="20" t="s">
        <v>1287</v>
      </c>
      <c r="H414" s="20" t="s">
        <v>1288</v>
      </c>
      <c r="I414" s="20">
        <v>1</v>
      </c>
      <c r="J414" s="20">
        <v>120</v>
      </c>
      <c r="K414" s="20">
        <v>2</v>
      </c>
      <c r="L414" s="20" t="s">
        <v>12</v>
      </c>
      <c r="M414" s="20"/>
      <c r="N414" s="20"/>
      <c r="O414" s="20">
        <v>15</v>
      </c>
      <c r="P414" s="20" t="s">
        <v>1211</v>
      </c>
      <c r="Q414" s="20" t="s">
        <v>1404</v>
      </c>
      <c r="R414" s="20" t="str">
        <f t="shared" si="21"/>
        <v>ALCANCIA PABLO GRANDE-CARNE PINTADO FUCSIA</v>
      </c>
      <c r="S414" s="19">
        <f t="shared" si="22"/>
        <v>1</v>
      </c>
      <c r="T414" s="19">
        <f t="shared" si="23"/>
        <v>120</v>
      </c>
      <c r="U414" s="19"/>
      <c r="V414" s="19"/>
      <c r="W414" s="19"/>
      <c r="X414" s="19"/>
      <c r="Y414" s="19"/>
    </row>
    <row r="415" spans="1:25" ht="12" hidden="1" customHeight="1" thickBot="1" x14ac:dyDescent="0.35">
      <c r="A415" s="20">
        <v>2</v>
      </c>
      <c r="B415" s="20" t="s">
        <v>1285</v>
      </c>
      <c r="C415" s="20" t="s">
        <v>1286</v>
      </c>
      <c r="D415" s="20" t="s">
        <v>1406</v>
      </c>
      <c r="E415" s="20">
        <v>212</v>
      </c>
      <c r="F415" s="20" t="s">
        <v>431</v>
      </c>
      <c r="G415" s="20" t="s">
        <v>1287</v>
      </c>
      <c r="H415" s="20" t="s">
        <v>1288</v>
      </c>
      <c r="I415" s="20">
        <v>1</v>
      </c>
      <c r="J415" s="20">
        <v>40</v>
      </c>
      <c r="K415" s="20">
        <v>2</v>
      </c>
      <c r="L415" s="20" t="s">
        <v>12</v>
      </c>
      <c r="M415" s="20"/>
      <c r="N415" s="20"/>
      <c r="O415" s="20">
        <v>24</v>
      </c>
      <c r="P415" s="20" t="s">
        <v>1208</v>
      </c>
      <c r="Q415" s="20" t="s">
        <v>326</v>
      </c>
      <c r="R415" s="20" t="str">
        <f t="shared" si="21"/>
        <v>ALCANCIA PABLO MEDIANO -CARNE</v>
      </c>
      <c r="S415" s="19">
        <f t="shared" si="22"/>
        <v>1</v>
      </c>
      <c r="T415" s="19">
        <f t="shared" si="23"/>
        <v>40</v>
      </c>
      <c r="U415" s="19"/>
      <c r="V415" s="19"/>
      <c r="W415" s="19"/>
      <c r="X415" s="19"/>
      <c r="Y415" s="19"/>
    </row>
    <row r="416" spans="1:25" ht="12" hidden="1" customHeight="1" thickBot="1" x14ac:dyDescent="0.35">
      <c r="A416" s="20">
        <v>2</v>
      </c>
      <c r="B416" s="20" t="s">
        <v>1285</v>
      </c>
      <c r="C416" s="20" t="s">
        <v>1286</v>
      </c>
      <c r="D416" s="20" t="s">
        <v>1406</v>
      </c>
      <c r="E416" s="20">
        <v>213</v>
      </c>
      <c r="F416" s="20" t="s">
        <v>1408</v>
      </c>
      <c r="G416" s="20" t="s">
        <v>1287</v>
      </c>
      <c r="H416" s="20" t="s">
        <v>1288</v>
      </c>
      <c r="I416" s="20">
        <v>1</v>
      </c>
      <c r="J416" s="20">
        <v>40</v>
      </c>
      <c r="K416" s="20">
        <v>2</v>
      </c>
      <c r="L416" s="20" t="s">
        <v>12</v>
      </c>
      <c r="M416" s="20"/>
      <c r="N416" s="20"/>
      <c r="O416" s="20">
        <v>10</v>
      </c>
      <c r="P416" s="20" t="s">
        <v>26</v>
      </c>
      <c r="Q416" s="20" t="s">
        <v>1407</v>
      </c>
      <c r="R416" s="20" t="str">
        <f t="shared" si="21"/>
        <v>ALCANCIA PABLO MEDIANO-CARNE PINTADO AMARILLO</v>
      </c>
      <c r="S416" s="19">
        <f t="shared" si="22"/>
        <v>1</v>
      </c>
      <c r="T416" s="19">
        <f t="shared" si="23"/>
        <v>40</v>
      </c>
      <c r="U416" s="19"/>
      <c r="V416" s="19"/>
      <c r="W416" s="19"/>
      <c r="X416" s="19"/>
      <c r="Y416" s="19"/>
    </row>
    <row r="417" spans="1:25" ht="12" hidden="1" customHeight="1" thickBot="1" x14ac:dyDescent="0.35">
      <c r="A417" s="20">
        <v>2</v>
      </c>
      <c r="B417" s="20" t="s">
        <v>1285</v>
      </c>
      <c r="C417" s="20" t="s">
        <v>1286</v>
      </c>
      <c r="D417" s="20" t="s">
        <v>1406</v>
      </c>
      <c r="E417" s="20">
        <v>214</v>
      </c>
      <c r="F417" s="20" t="s">
        <v>1410</v>
      </c>
      <c r="G417" s="20" t="s">
        <v>1287</v>
      </c>
      <c r="H417" s="20" t="s">
        <v>1288</v>
      </c>
      <c r="I417" s="20">
        <v>1</v>
      </c>
      <c r="J417" s="20">
        <v>40</v>
      </c>
      <c r="K417" s="20">
        <v>2</v>
      </c>
      <c r="L417" s="20" t="s">
        <v>12</v>
      </c>
      <c r="M417" s="20"/>
      <c r="N417" s="20"/>
      <c r="O417" s="20">
        <v>11</v>
      </c>
      <c r="P417" s="20" t="s">
        <v>1207</v>
      </c>
      <c r="Q417" s="20" t="s">
        <v>1409</v>
      </c>
      <c r="R417" s="20" t="str">
        <f t="shared" si="21"/>
        <v>ALCANCIA PABLO MEDIANO-CARNE PINTADO ANARANJADO</v>
      </c>
      <c r="S417" s="19">
        <f t="shared" si="22"/>
        <v>1</v>
      </c>
      <c r="T417" s="19">
        <f t="shared" si="23"/>
        <v>40</v>
      </c>
      <c r="U417" s="19"/>
      <c r="V417" s="19"/>
      <c r="W417" s="19"/>
      <c r="X417" s="19"/>
      <c r="Y417" s="19"/>
    </row>
    <row r="418" spans="1:25" ht="12" hidden="1" customHeight="1" thickBot="1" x14ac:dyDescent="0.35">
      <c r="A418" s="20">
        <v>2</v>
      </c>
      <c r="B418" s="20" t="s">
        <v>1285</v>
      </c>
      <c r="C418" s="20" t="s">
        <v>1286</v>
      </c>
      <c r="D418" s="20" t="s">
        <v>1406</v>
      </c>
      <c r="E418" s="20">
        <v>215</v>
      </c>
      <c r="F418" s="20" t="s">
        <v>1412</v>
      </c>
      <c r="G418" s="20" t="s">
        <v>1287</v>
      </c>
      <c r="H418" s="20" t="s">
        <v>1288</v>
      </c>
      <c r="I418" s="20">
        <v>1</v>
      </c>
      <c r="J418" s="20">
        <v>40</v>
      </c>
      <c r="K418" s="20">
        <v>2</v>
      </c>
      <c r="L418" s="20" t="s">
        <v>12</v>
      </c>
      <c r="M418" s="20"/>
      <c r="N418" s="20"/>
      <c r="O418" s="20">
        <v>15</v>
      </c>
      <c r="P418" s="20" t="s">
        <v>1211</v>
      </c>
      <c r="Q418" s="20" t="s">
        <v>1411</v>
      </c>
      <c r="R418" s="20" t="str">
        <f t="shared" si="21"/>
        <v>ALCANCIA PABLO MEDIANO-CARNE PINTADO FUCSIA</v>
      </c>
      <c r="S418" s="19">
        <f t="shared" si="22"/>
        <v>1</v>
      </c>
      <c r="T418" s="19">
        <f t="shared" si="23"/>
        <v>40</v>
      </c>
      <c r="U418" s="19"/>
      <c r="V418" s="19"/>
      <c r="W418" s="19"/>
      <c r="X418" s="19"/>
      <c r="Y418" s="19"/>
    </row>
    <row r="419" spans="1:25" ht="12" hidden="1" customHeight="1" thickBot="1" x14ac:dyDescent="0.35">
      <c r="A419" s="20">
        <v>2</v>
      </c>
      <c r="B419" s="20" t="s">
        <v>1285</v>
      </c>
      <c r="C419" s="20" t="s">
        <v>1413</v>
      </c>
      <c r="D419" s="20" t="s">
        <v>2006</v>
      </c>
      <c r="E419" s="20">
        <v>216</v>
      </c>
      <c r="F419" s="20" t="s">
        <v>432</v>
      </c>
      <c r="G419" s="20" t="s">
        <v>1287</v>
      </c>
      <c r="H419" s="20" t="s">
        <v>1288</v>
      </c>
      <c r="I419" s="20">
        <v>8</v>
      </c>
      <c r="J419" s="20">
        <v>15</v>
      </c>
      <c r="K419" s="20">
        <v>1</v>
      </c>
      <c r="L419" s="20" t="s">
        <v>13</v>
      </c>
      <c r="M419" s="20"/>
      <c r="N419" s="20"/>
      <c r="O419" s="20">
        <v>10</v>
      </c>
      <c r="P419" s="20" t="s">
        <v>26</v>
      </c>
      <c r="Q419" s="20" t="s">
        <v>327</v>
      </c>
      <c r="R419" s="20" t="str">
        <f t="shared" si="21"/>
        <v>ACCESORIOS PLAYEROS-AMARILLO</v>
      </c>
      <c r="S419" s="19">
        <f t="shared" si="22"/>
        <v>8</v>
      </c>
      <c r="T419" s="19">
        <f t="shared" si="23"/>
        <v>15</v>
      </c>
      <c r="U419" s="19">
        <v>110</v>
      </c>
      <c r="V419" s="19"/>
      <c r="W419" s="19"/>
      <c r="X419" s="19"/>
      <c r="Y419" s="19"/>
    </row>
    <row r="420" spans="1:25" ht="12" hidden="1" customHeight="1" thickBot="1" x14ac:dyDescent="0.35">
      <c r="A420" s="20">
        <v>2</v>
      </c>
      <c r="B420" s="20" t="s">
        <v>1285</v>
      </c>
      <c r="C420" s="20" t="s">
        <v>1413</v>
      </c>
      <c r="D420" s="20" t="s">
        <v>2006</v>
      </c>
      <c r="E420" s="20">
        <v>217</v>
      </c>
      <c r="F420" s="20" t="s">
        <v>433</v>
      </c>
      <c r="G420" s="20" t="s">
        <v>1287</v>
      </c>
      <c r="H420" s="20" t="s">
        <v>1288</v>
      </c>
      <c r="I420" s="20">
        <v>8</v>
      </c>
      <c r="J420" s="20">
        <v>15</v>
      </c>
      <c r="K420" s="20">
        <v>1</v>
      </c>
      <c r="L420" s="20" t="s">
        <v>13</v>
      </c>
      <c r="M420" s="20"/>
      <c r="N420" s="20"/>
      <c r="O420" s="20">
        <v>11</v>
      </c>
      <c r="P420" s="20" t="s">
        <v>1207</v>
      </c>
      <c r="Q420" s="20" t="s">
        <v>328</v>
      </c>
      <c r="R420" s="20" t="str">
        <f t="shared" si="21"/>
        <v>ACCESORIOS PLAYEROS-ANARANJADO</v>
      </c>
      <c r="S420" s="19">
        <f t="shared" si="22"/>
        <v>8</v>
      </c>
      <c r="T420" s="19">
        <f t="shared" si="23"/>
        <v>15</v>
      </c>
      <c r="U420" s="19">
        <v>110</v>
      </c>
      <c r="V420" s="19"/>
      <c r="W420" s="19"/>
      <c r="X420" s="19"/>
      <c r="Y420" s="19"/>
    </row>
    <row r="421" spans="1:25" ht="12" hidden="1" customHeight="1" thickBot="1" x14ac:dyDescent="0.35">
      <c r="A421" s="20">
        <v>2</v>
      </c>
      <c r="B421" s="20" t="s">
        <v>1285</v>
      </c>
      <c r="C421" s="20" t="s">
        <v>1413</v>
      </c>
      <c r="D421" s="20" t="s">
        <v>2006</v>
      </c>
      <c r="E421" s="20">
        <v>218</v>
      </c>
      <c r="F421" s="20" t="s">
        <v>434</v>
      </c>
      <c r="G421" s="20" t="s">
        <v>1287</v>
      </c>
      <c r="H421" s="20" t="s">
        <v>1288</v>
      </c>
      <c r="I421" s="20">
        <v>8</v>
      </c>
      <c r="J421" s="20">
        <v>15</v>
      </c>
      <c r="K421" s="20">
        <v>1</v>
      </c>
      <c r="L421" s="20" t="s">
        <v>13</v>
      </c>
      <c r="M421" s="20"/>
      <c r="N421" s="20"/>
      <c r="O421" s="20">
        <v>15</v>
      </c>
      <c r="P421" s="20" t="s">
        <v>1211</v>
      </c>
      <c r="Q421" s="20" t="s">
        <v>329</v>
      </c>
      <c r="R421" s="20" t="str">
        <f t="shared" si="21"/>
        <v>ACCESORIOS PLAYEROS-FUCSIA</v>
      </c>
      <c r="S421" s="19">
        <f t="shared" si="22"/>
        <v>8</v>
      </c>
      <c r="T421" s="19">
        <f t="shared" si="23"/>
        <v>15</v>
      </c>
      <c r="U421" s="19">
        <v>110</v>
      </c>
      <c r="V421" s="19"/>
      <c r="W421" s="19"/>
      <c r="X421" s="19"/>
      <c r="Y421" s="19"/>
    </row>
    <row r="422" spans="1:25" ht="12" hidden="1" customHeight="1" thickBot="1" x14ac:dyDescent="0.35">
      <c r="A422" s="20">
        <v>2</v>
      </c>
      <c r="B422" s="20" t="s">
        <v>1285</v>
      </c>
      <c r="C422" s="20" t="s">
        <v>1413</v>
      </c>
      <c r="D422" s="20" t="s">
        <v>2006</v>
      </c>
      <c r="E422" s="20">
        <v>219</v>
      </c>
      <c r="F422" s="20" t="s">
        <v>2007</v>
      </c>
      <c r="G422" s="20" t="s">
        <v>1287</v>
      </c>
      <c r="H422" s="20" t="s">
        <v>1288</v>
      </c>
      <c r="I422" s="20">
        <v>8</v>
      </c>
      <c r="J422" s="20">
        <v>15</v>
      </c>
      <c r="K422" s="20">
        <v>1</v>
      </c>
      <c r="L422" s="20" t="s">
        <v>13</v>
      </c>
      <c r="M422" s="20"/>
      <c r="N422" s="20"/>
      <c r="O422" s="20">
        <v>23</v>
      </c>
      <c r="P422" s="20" t="s">
        <v>1221</v>
      </c>
      <c r="Q422" s="20" t="s">
        <v>330</v>
      </c>
      <c r="R422" s="20" t="str">
        <f t="shared" si="21"/>
        <v>ACCESORIOS PLAYEROS-VERDE</v>
      </c>
      <c r="S422" s="19">
        <f t="shared" si="22"/>
        <v>8</v>
      </c>
      <c r="T422" s="19">
        <f t="shared" si="23"/>
        <v>15</v>
      </c>
      <c r="U422" s="19">
        <v>110</v>
      </c>
      <c r="V422" s="19"/>
      <c r="W422" s="19"/>
      <c r="X422" s="19"/>
      <c r="Y422" s="19"/>
    </row>
    <row r="423" spans="1:25" ht="12" hidden="1" customHeight="1" thickBot="1" x14ac:dyDescent="0.35">
      <c r="A423" s="20">
        <v>2</v>
      </c>
      <c r="B423" s="20" t="s">
        <v>1285</v>
      </c>
      <c r="C423" s="20" t="s">
        <v>1413</v>
      </c>
      <c r="D423" s="20" t="s">
        <v>2091</v>
      </c>
      <c r="E423" s="20">
        <v>220</v>
      </c>
      <c r="F423" s="20" t="s">
        <v>2092</v>
      </c>
      <c r="G423" s="20" t="s">
        <v>1287</v>
      </c>
      <c r="H423" s="20" t="s">
        <v>1288</v>
      </c>
      <c r="I423" s="20">
        <v>1</v>
      </c>
      <c r="J423" s="20">
        <v>10</v>
      </c>
      <c r="K423" s="20">
        <v>1</v>
      </c>
      <c r="L423" s="20" t="s">
        <v>13</v>
      </c>
      <c r="M423" s="20"/>
      <c r="N423" s="20"/>
      <c r="O423" s="20">
        <v>10</v>
      </c>
      <c r="P423" s="20" t="s">
        <v>26</v>
      </c>
      <c r="Q423" s="20" t="s">
        <v>331</v>
      </c>
      <c r="R423" s="20" t="str">
        <f t="shared" si="21"/>
        <v>ASA DE BALDE PLAYERO-AMARILLO</v>
      </c>
      <c r="S423" s="19">
        <f t="shared" si="22"/>
        <v>1</v>
      </c>
      <c r="T423" s="19">
        <f t="shared" si="23"/>
        <v>10</v>
      </c>
      <c r="U423" s="19">
        <v>160</v>
      </c>
      <c r="V423" s="19"/>
      <c r="W423" s="19"/>
      <c r="X423" s="19"/>
      <c r="Y423" s="19"/>
    </row>
    <row r="424" spans="1:25" ht="12" hidden="1" customHeight="1" thickBot="1" x14ac:dyDescent="0.35">
      <c r="A424" s="20">
        <v>2</v>
      </c>
      <c r="B424" s="20" t="s">
        <v>1285</v>
      </c>
      <c r="C424" s="20" t="s">
        <v>1413</v>
      </c>
      <c r="D424" s="20" t="s">
        <v>2091</v>
      </c>
      <c r="E424" s="20">
        <v>221</v>
      </c>
      <c r="F424" s="20" t="s">
        <v>2098</v>
      </c>
      <c r="G424" s="20" t="s">
        <v>1287</v>
      </c>
      <c r="H424" s="20" t="s">
        <v>1288</v>
      </c>
      <c r="I424" s="20">
        <v>1</v>
      </c>
      <c r="J424" s="20">
        <v>10</v>
      </c>
      <c r="K424" s="20">
        <v>1</v>
      </c>
      <c r="L424" s="20" t="s">
        <v>13</v>
      </c>
      <c r="M424" s="20"/>
      <c r="N424" s="20"/>
      <c r="O424" s="20">
        <v>11</v>
      </c>
      <c r="P424" s="20" t="s">
        <v>1207</v>
      </c>
      <c r="Q424" s="20" t="s">
        <v>332</v>
      </c>
      <c r="R424" s="20" t="str">
        <f t="shared" si="21"/>
        <v>ASA DE BALDE PLAYERO-ANARANJADO</v>
      </c>
      <c r="S424" s="19">
        <f t="shared" si="22"/>
        <v>1</v>
      </c>
      <c r="T424" s="19">
        <f t="shared" si="23"/>
        <v>10</v>
      </c>
      <c r="U424" s="19">
        <v>160</v>
      </c>
      <c r="V424" s="19"/>
      <c r="W424" s="19"/>
      <c r="X424" s="19"/>
      <c r="Y424" s="19"/>
    </row>
    <row r="425" spans="1:25" ht="12" hidden="1" customHeight="1" thickBot="1" x14ac:dyDescent="0.35">
      <c r="A425" s="20">
        <v>2</v>
      </c>
      <c r="B425" s="20" t="s">
        <v>1285</v>
      </c>
      <c r="C425" s="20" t="s">
        <v>1413</v>
      </c>
      <c r="D425" s="20" t="s">
        <v>2091</v>
      </c>
      <c r="E425" s="20">
        <v>222</v>
      </c>
      <c r="F425" s="20" t="s">
        <v>2094</v>
      </c>
      <c r="G425" s="20" t="s">
        <v>1287</v>
      </c>
      <c r="H425" s="20" t="s">
        <v>1288</v>
      </c>
      <c r="I425" s="20">
        <v>1</v>
      </c>
      <c r="J425" s="20">
        <v>10</v>
      </c>
      <c r="K425" s="20">
        <v>1</v>
      </c>
      <c r="L425" s="20" t="s">
        <v>13</v>
      </c>
      <c r="M425" s="20"/>
      <c r="N425" s="20"/>
      <c r="O425" s="20">
        <v>12</v>
      </c>
      <c r="P425" s="20" t="s">
        <v>24</v>
      </c>
      <c r="Q425" s="20" t="s">
        <v>333</v>
      </c>
      <c r="R425" s="20" t="str">
        <f t="shared" si="21"/>
        <v>ASA DE BALDE PLAYERO-AZUL</v>
      </c>
      <c r="S425" s="19">
        <f t="shared" si="22"/>
        <v>1</v>
      </c>
      <c r="T425" s="19">
        <f t="shared" si="23"/>
        <v>10</v>
      </c>
      <c r="U425" s="19">
        <v>160</v>
      </c>
      <c r="V425" s="19"/>
      <c r="W425" s="19"/>
      <c r="X425" s="19"/>
      <c r="Y425" s="19"/>
    </row>
    <row r="426" spans="1:25" ht="12" hidden="1" customHeight="1" thickBot="1" x14ac:dyDescent="0.35">
      <c r="A426" s="20">
        <v>2</v>
      </c>
      <c r="B426" s="20" t="s">
        <v>1285</v>
      </c>
      <c r="C426" s="20" t="s">
        <v>1413</v>
      </c>
      <c r="D426" s="20" t="s">
        <v>2091</v>
      </c>
      <c r="E426" s="20">
        <v>223</v>
      </c>
      <c r="F426" s="20" t="s">
        <v>2095</v>
      </c>
      <c r="G426" s="20" t="s">
        <v>1287</v>
      </c>
      <c r="H426" s="20" t="s">
        <v>1288</v>
      </c>
      <c r="I426" s="20">
        <v>1</v>
      </c>
      <c r="J426" s="20">
        <v>10</v>
      </c>
      <c r="K426" s="20">
        <v>1</v>
      </c>
      <c r="L426" s="20" t="s">
        <v>13</v>
      </c>
      <c r="M426" s="20"/>
      <c r="N426" s="20"/>
      <c r="O426" s="20">
        <v>15</v>
      </c>
      <c r="P426" s="20" t="s">
        <v>1211</v>
      </c>
      <c r="Q426" s="20" t="s">
        <v>334</v>
      </c>
      <c r="R426" s="20" t="str">
        <f t="shared" si="21"/>
        <v>ASA DE BALDE PLAYERO-FUCSIA</v>
      </c>
      <c r="S426" s="19">
        <f t="shared" si="22"/>
        <v>1</v>
      </c>
      <c r="T426" s="19">
        <f t="shared" si="23"/>
        <v>10</v>
      </c>
      <c r="U426" s="19">
        <v>160</v>
      </c>
      <c r="V426" s="19"/>
      <c r="W426" s="19"/>
      <c r="X426" s="19"/>
      <c r="Y426" s="19"/>
    </row>
    <row r="427" spans="1:25" ht="12" hidden="1" customHeight="1" thickBot="1" x14ac:dyDescent="0.35">
      <c r="A427" s="20">
        <v>2</v>
      </c>
      <c r="B427" s="20" t="s">
        <v>1285</v>
      </c>
      <c r="C427" s="20" t="s">
        <v>1413</v>
      </c>
      <c r="D427" s="20" t="s">
        <v>2091</v>
      </c>
      <c r="E427" s="20">
        <v>224</v>
      </c>
      <c r="F427" s="20" t="s">
        <v>2096</v>
      </c>
      <c r="G427" s="20" t="s">
        <v>1287</v>
      </c>
      <c r="H427" s="20" t="s">
        <v>1288</v>
      </c>
      <c r="I427" s="20">
        <v>1</v>
      </c>
      <c r="J427" s="20">
        <v>10</v>
      </c>
      <c r="K427" s="20">
        <v>1</v>
      </c>
      <c r="L427" s="20" t="s">
        <v>13</v>
      </c>
      <c r="M427" s="20"/>
      <c r="N427" s="20"/>
      <c r="O427" s="20">
        <v>16</v>
      </c>
      <c r="P427" s="20" t="s">
        <v>1212</v>
      </c>
      <c r="Q427" s="20" t="s">
        <v>335</v>
      </c>
      <c r="R427" s="20" t="str">
        <f t="shared" si="21"/>
        <v>ASA DE BALDE PLAYERO-LILA</v>
      </c>
      <c r="S427" s="19">
        <f t="shared" si="22"/>
        <v>1</v>
      </c>
      <c r="T427" s="19">
        <f t="shared" si="23"/>
        <v>10</v>
      </c>
      <c r="U427" s="19">
        <v>160</v>
      </c>
      <c r="V427" s="19"/>
      <c r="W427" s="19"/>
      <c r="X427" s="19"/>
      <c r="Y427" s="19"/>
    </row>
    <row r="428" spans="1:25" ht="12" hidden="1" customHeight="1" thickBot="1" x14ac:dyDescent="0.35">
      <c r="A428" s="20">
        <v>2</v>
      </c>
      <c r="B428" s="20" t="s">
        <v>1285</v>
      </c>
      <c r="C428" s="20" t="s">
        <v>1413</v>
      </c>
      <c r="D428" s="20" t="s">
        <v>2091</v>
      </c>
      <c r="E428" s="20">
        <v>225</v>
      </c>
      <c r="F428" s="20" t="s">
        <v>2097</v>
      </c>
      <c r="G428" s="20" t="s">
        <v>1287</v>
      </c>
      <c r="H428" s="20" t="s">
        <v>1288</v>
      </c>
      <c r="I428" s="20">
        <v>1</v>
      </c>
      <c r="J428" s="20">
        <v>10</v>
      </c>
      <c r="K428" s="20">
        <v>1</v>
      </c>
      <c r="L428" s="20" t="s">
        <v>13</v>
      </c>
      <c r="M428" s="20"/>
      <c r="N428" s="20"/>
      <c r="O428" s="20">
        <v>23</v>
      </c>
      <c r="P428" s="20" t="s">
        <v>1221</v>
      </c>
      <c r="Q428" s="20" t="s">
        <v>336</v>
      </c>
      <c r="R428" s="20" t="str">
        <f t="shared" si="21"/>
        <v>ASA DE BALDE PLAYERO-VERDE</v>
      </c>
      <c r="S428" s="19">
        <f t="shared" si="22"/>
        <v>1</v>
      </c>
      <c r="T428" s="19">
        <f t="shared" si="23"/>
        <v>10</v>
      </c>
      <c r="U428" s="19">
        <v>160</v>
      </c>
      <c r="V428" s="19"/>
      <c r="W428" s="19"/>
      <c r="X428" s="19"/>
      <c r="Y428" s="19"/>
    </row>
    <row r="429" spans="1:25" ht="12" hidden="1" customHeight="1" thickBot="1" x14ac:dyDescent="0.35">
      <c r="A429" s="20">
        <v>2</v>
      </c>
      <c r="B429" s="20" t="s">
        <v>1285</v>
      </c>
      <c r="C429" s="20" t="s">
        <v>1413</v>
      </c>
      <c r="D429" s="20" t="s">
        <v>1757</v>
      </c>
      <c r="E429" s="20">
        <v>226</v>
      </c>
      <c r="F429" s="20" t="s">
        <v>1415</v>
      </c>
      <c r="G429" s="20" t="s">
        <v>1287</v>
      </c>
      <c r="H429" s="20" t="s">
        <v>1288</v>
      </c>
      <c r="I429" s="20">
        <v>1</v>
      </c>
      <c r="J429" s="20">
        <v>156</v>
      </c>
      <c r="K429" s="20">
        <v>1</v>
      </c>
      <c r="L429" s="20" t="s">
        <v>13</v>
      </c>
      <c r="M429" s="20"/>
      <c r="N429" s="20"/>
      <c r="O429" s="20">
        <v>10</v>
      </c>
      <c r="P429" s="20" t="s">
        <v>26</v>
      </c>
      <c r="Q429" s="20" t="s">
        <v>1414</v>
      </c>
      <c r="R429" s="20" t="str">
        <f t="shared" si="21"/>
        <v>BALDE CASTILLO AMARILLO CON ASA</v>
      </c>
      <c r="S429" s="19">
        <f t="shared" si="22"/>
        <v>1</v>
      </c>
      <c r="T429" s="19">
        <f t="shared" si="23"/>
        <v>156</v>
      </c>
      <c r="U429" s="19"/>
      <c r="V429" s="19"/>
      <c r="W429" s="19"/>
      <c r="X429" s="19"/>
      <c r="Y429" s="19"/>
    </row>
    <row r="430" spans="1:25" ht="12" hidden="1" customHeight="1" thickBot="1" x14ac:dyDescent="0.35">
      <c r="A430" s="20">
        <v>2</v>
      </c>
      <c r="B430" s="20" t="s">
        <v>1285</v>
      </c>
      <c r="C430" s="20" t="s">
        <v>1413</v>
      </c>
      <c r="D430" s="20" t="s">
        <v>1757</v>
      </c>
      <c r="E430" s="20">
        <v>227</v>
      </c>
      <c r="F430" s="20" t="s">
        <v>1417</v>
      </c>
      <c r="G430" s="20" t="s">
        <v>1287</v>
      </c>
      <c r="H430" s="20" t="s">
        <v>1288</v>
      </c>
      <c r="I430" s="20">
        <v>1</v>
      </c>
      <c r="J430" s="20">
        <v>156</v>
      </c>
      <c r="K430" s="20">
        <v>1</v>
      </c>
      <c r="L430" s="20" t="s">
        <v>13</v>
      </c>
      <c r="M430" s="20"/>
      <c r="N430" s="20"/>
      <c r="O430" s="20">
        <v>11</v>
      </c>
      <c r="P430" s="20" t="s">
        <v>1207</v>
      </c>
      <c r="Q430" s="20" t="s">
        <v>1416</v>
      </c>
      <c r="R430" s="20" t="str">
        <f t="shared" si="21"/>
        <v>BALDE CASTILLO ANARANJADO CON ASA</v>
      </c>
      <c r="S430" s="19">
        <f t="shared" si="22"/>
        <v>1</v>
      </c>
      <c r="T430" s="19">
        <f t="shared" si="23"/>
        <v>156</v>
      </c>
      <c r="U430" s="19"/>
      <c r="V430" s="19"/>
      <c r="W430" s="19"/>
      <c r="X430" s="19"/>
      <c r="Y430" s="19"/>
    </row>
    <row r="431" spans="1:25" ht="12" hidden="1" customHeight="1" thickBot="1" x14ac:dyDescent="0.35">
      <c r="A431" s="20">
        <v>2</v>
      </c>
      <c r="B431" s="20" t="s">
        <v>1285</v>
      </c>
      <c r="C431" s="20" t="s">
        <v>1413</v>
      </c>
      <c r="D431" s="20" t="s">
        <v>1757</v>
      </c>
      <c r="E431" s="20">
        <v>228</v>
      </c>
      <c r="F431" s="20" t="s">
        <v>1419</v>
      </c>
      <c r="G431" s="20" t="s">
        <v>1287</v>
      </c>
      <c r="H431" s="20" t="s">
        <v>1288</v>
      </c>
      <c r="I431" s="20">
        <v>1</v>
      </c>
      <c r="J431" s="20">
        <v>156</v>
      </c>
      <c r="K431" s="20">
        <v>1</v>
      </c>
      <c r="L431" s="20" t="s">
        <v>13</v>
      </c>
      <c r="M431" s="20"/>
      <c r="N431" s="20"/>
      <c r="O431" s="20">
        <v>12</v>
      </c>
      <c r="P431" s="20" t="s">
        <v>24</v>
      </c>
      <c r="Q431" s="20" t="s">
        <v>1418</v>
      </c>
      <c r="R431" s="20" t="str">
        <f t="shared" si="21"/>
        <v>BALDE CASTILLO AZUL CON ASA</v>
      </c>
      <c r="S431" s="19">
        <f t="shared" si="22"/>
        <v>1</v>
      </c>
      <c r="T431" s="19">
        <f t="shared" si="23"/>
        <v>156</v>
      </c>
      <c r="U431" s="19"/>
      <c r="V431" s="19"/>
      <c r="W431" s="19"/>
      <c r="X431" s="19"/>
      <c r="Y431" s="19"/>
    </row>
    <row r="432" spans="1:25" ht="12" hidden="1" customHeight="1" thickBot="1" x14ac:dyDescent="0.35">
      <c r="A432" s="20">
        <v>2</v>
      </c>
      <c r="B432" s="20" t="s">
        <v>1285</v>
      </c>
      <c r="C432" s="20" t="s">
        <v>1413</v>
      </c>
      <c r="D432" s="20" t="s">
        <v>1757</v>
      </c>
      <c r="E432" s="20">
        <v>229</v>
      </c>
      <c r="F432" s="20" t="s">
        <v>1421</v>
      </c>
      <c r="G432" s="20" t="s">
        <v>1287</v>
      </c>
      <c r="H432" s="20" t="s">
        <v>1288</v>
      </c>
      <c r="I432" s="20">
        <v>1</v>
      </c>
      <c r="J432" s="20">
        <v>156</v>
      </c>
      <c r="K432" s="20">
        <v>1</v>
      </c>
      <c r="L432" s="20" t="s">
        <v>13</v>
      </c>
      <c r="M432" s="20"/>
      <c r="N432" s="20"/>
      <c r="O432" s="20">
        <v>15</v>
      </c>
      <c r="P432" s="20" t="s">
        <v>1211</v>
      </c>
      <c r="Q432" s="20" t="s">
        <v>1420</v>
      </c>
      <c r="R432" s="20" t="str">
        <f t="shared" si="21"/>
        <v>BALDE CASTILLO FUCSIA CON ASA</v>
      </c>
      <c r="S432" s="19">
        <f t="shared" si="22"/>
        <v>1</v>
      </c>
      <c r="T432" s="19">
        <f t="shared" si="23"/>
        <v>156</v>
      </c>
      <c r="U432" s="19"/>
      <c r="V432" s="19"/>
      <c r="W432" s="19"/>
      <c r="X432" s="19"/>
      <c r="Y432" s="19"/>
    </row>
    <row r="433" spans="1:25" ht="12" hidden="1" customHeight="1" thickBot="1" x14ac:dyDescent="0.35">
      <c r="A433" s="20">
        <v>2</v>
      </c>
      <c r="B433" s="20" t="s">
        <v>1285</v>
      </c>
      <c r="C433" s="20" t="s">
        <v>1413</v>
      </c>
      <c r="D433" s="20" t="s">
        <v>1757</v>
      </c>
      <c r="E433" s="20">
        <v>230</v>
      </c>
      <c r="F433" s="20" t="s">
        <v>1423</v>
      </c>
      <c r="G433" s="20" t="s">
        <v>1287</v>
      </c>
      <c r="H433" s="20" t="s">
        <v>1288</v>
      </c>
      <c r="I433" s="20">
        <v>1</v>
      </c>
      <c r="J433" s="20">
        <v>156</v>
      </c>
      <c r="K433" s="20">
        <v>1</v>
      </c>
      <c r="L433" s="20" t="s">
        <v>13</v>
      </c>
      <c r="M433" s="20"/>
      <c r="N433" s="20"/>
      <c r="O433" s="20">
        <v>16</v>
      </c>
      <c r="P433" s="20" t="s">
        <v>1212</v>
      </c>
      <c r="Q433" s="20" t="s">
        <v>1422</v>
      </c>
      <c r="R433" s="20" t="str">
        <f t="shared" si="21"/>
        <v>BALDE CASTILLO LILA CON ASA</v>
      </c>
      <c r="S433" s="19">
        <f t="shared" si="22"/>
        <v>1</v>
      </c>
      <c r="T433" s="19">
        <f t="shared" si="23"/>
        <v>156</v>
      </c>
      <c r="U433" s="19"/>
      <c r="V433" s="19"/>
      <c r="W433" s="19"/>
      <c r="X433" s="19"/>
      <c r="Y433" s="19"/>
    </row>
    <row r="434" spans="1:25" ht="12" hidden="1" customHeight="1" thickBot="1" x14ac:dyDescent="0.35">
      <c r="A434" s="20">
        <v>2</v>
      </c>
      <c r="B434" s="20" t="s">
        <v>1285</v>
      </c>
      <c r="C434" s="20" t="s">
        <v>1413</v>
      </c>
      <c r="D434" s="20" t="s">
        <v>1757</v>
      </c>
      <c r="E434" s="20">
        <v>231</v>
      </c>
      <c r="F434" s="20" t="s">
        <v>1425</v>
      </c>
      <c r="G434" s="20" t="s">
        <v>1287</v>
      </c>
      <c r="H434" s="20" t="s">
        <v>1288</v>
      </c>
      <c r="I434" s="20">
        <v>1</v>
      </c>
      <c r="J434" s="20">
        <v>156</v>
      </c>
      <c r="K434" s="20">
        <v>1</v>
      </c>
      <c r="L434" s="20" t="s">
        <v>13</v>
      </c>
      <c r="M434" s="20"/>
      <c r="N434" s="20"/>
      <c r="O434" s="20">
        <v>23</v>
      </c>
      <c r="P434" s="20" t="s">
        <v>1221</v>
      </c>
      <c r="Q434" s="20" t="s">
        <v>1424</v>
      </c>
      <c r="R434" s="20" t="str">
        <f t="shared" si="21"/>
        <v>BALDE CASTILLO VERDE TELEFONICO CON ASA</v>
      </c>
      <c r="S434" s="19">
        <f t="shared" si="22"/>
        <v>1</v>
      </c>
      <c r="T434" s="19">
        <f t="shared" si="23"/>
        <v>156</v>
      </c>
      <c r="U434" s="19"/>
      <c r="V434" s="19"/>
      <c r="W434" s="19"/>
      <c r="X434" s="19"/>
      <c r="Y434" s="19"/>
    </row>
    <row r="435" spans="1:25" ht="12" hidden="1" customHeight="1" thickBot="1" x14ac:dyDescent="0.35">
      <c r="A435" s="20">
        <v>2</v>
      </c>
      <c r="B435" s="20" t="s">
        <v>1285</v>
      </c>
      <c r="C435" s="20" t="s">
        <v>1413</v>
      </c>
      <c r="D435" s="20" t="s">
        <v>1977</v>
      </c>
      <c r="E435" s="20">
        <v>232</v>
      </c>
      <c r="F435" s="20" t="s">
        <v>436</v>
      </c>
      <c r="G435" s="20" t="s">
        <v>1287</v>
      </c>
      <c r="H435" s="20" t="s">
        <v>1288</v>
      </c>
      <c r="I435" s="20">
        <v>1</v>
      </c>
      <c r="J435" s="20">
        <v>146</v>
      </c>
      <c r="K435" s="20">
        <v>1</v>
      </c>
      <c r="L435" s="20" t="s">
        <v>13</v>
      </c>
      <c r="M435" s="20"/>
      <c r="N435" s="20"/>
      <c r="O435" s="20">
        <v>10</v>
      </c>
      <c r="P435" s="20" t="s">
        <v>26</v>
      </c>
      <c r="Q435" s="20" t="s">
        <v>337</v>
      </c>
      <c r="R435" s="20" t="str">
        <f t="shared" si="21"/>
        <v>BALDE CASTILLO-AMARILLO</v>
      </c>
      <c r="S435" s="19">
        <f t="shared" si="22"/>
        <v>1</v>
      </c>
      <c r="T435" s="19">
        <v>134</v>
      </c>
      <c r="U435" s="19">
        <v>120</v>
      </c>
      <c r="V435" s="19"/>
      <c r="W435" s="19"/>
      <c r="X435" s="19"/>
      <c r="Y435" s="19"/>
    </row>
    <row r="436" spans="1:25" ht="12" hidden="1" customHeight="1" thickBot="1" x14ac:dyDescent="0.35">
      <c r="A436" s="20">
        <v>2</v>
      </c>
      <c r="B436" s="20" t="s">
        <v>1285</v>
      </c>
      <c r="C436" s="20" t="s">
        <v>1413</v>
      </c>
      <c r="D436" s="20" t="s">
        <v>1977</v>
      </c>
      <c r="E436" s="20">
        <v>233</v>
      </c>
      <c r="F436" s="20" t="s">
        <v>437</v>
      </c>
      <c r="G436" s="20" t="s">
        <v>1287</v>
      </c>
      <c r="H436" s="20" t="s">
        <v>1288</v>
      </c>
      <c r="I436" s="20">
        <v>1</v>
      </c>
      <c r="J436" s="20">
        <v>146</v>
      </c>
      <c r="K436" s="20">
        <v>1</v>
      </c>
      <c r="L436" s="20" t="s">
        <v>13</v>
      </c>
      <c r="M436" s="20"/>
      <c r="N436" s="20"/>
      <c r="O436" s="20">
        <v>11</v>
      </c>
      <c r="P436" s="20" t="s">
        <v>1207</v>
      </c>
      <c r="Q436" s="20" t="s">
        <v>338</v>
      </c>
      <c r="R436" s="20" t="str">
        <f t="shared" si="21"/>
        <v>BALDE CASTILLO-ANARANJADO</v>
      </c>
      <c r="S436" s="19">
        <f t="shared" si="22"/>
        <v>1</v>
      </c>
      <c r="T436" s="19">
        <v>134</v>
      </c>
      <c r="U436" s="19">
        <v>120</v>
      </c>
      <c r="V436" s="19"/>
      <c r="W436" s="19"/>
      <c r="X436" s="19"/>
      <c r="Y436" s="19"/>
    </row>
    <row r="437" spans="1:25" ht="12" hidden="1" customHeight="1" thickBot="1" x14ac:dyDescent="0.35">
      <c r="A437" s="20">
        <v>2</v>
      </c>
      <c r="B437" s="20" t="s">
        <v>1285</v>
      </c>
      <c r="C437" s="20" t="s">
        <v>1413</v>
      </c>
      <c r="D437" s="20" t="s">
        <v>1977</v>
      </c>
      <c r="E437" s="20">
        <v>234</v>
      </c>
      <c r="F437" s="20" t="s">
        <v>438</v>
      </c>
      <c r="G437" s="20" t="s">
        <v>1287</v>
      </c>
      <c r="H437" s="20" t="s">
        <v>1288</v>
      </c>
      <c r="I437" s="20">
        <v>1</v>
      </c>
      <c r="J437" s="20">
        <v>146</v>
      </c>
      <c r="K437" s="20">
        <v>1</v>
      </c>
      <c r="L437" s="20" t="s">
        <v>13</v>
      </c>
      <c r="M437" s="20"/>
      <c r="N437" s="20"/>
      <c r="O437" s="20">
        <v>12</v>
      </c>
      <c r="P437" s="20" t="s">
        <v>24</v>
      </c>
      <c r="Q437" s="20" t="s">
        <v>339</v>
      </c>
      <c r="R437" s="20" t="str">
        <f t="shared" si="21"/>
        <v>BALDE CASTILLO-AZUL</v>
      </c>
      <c r="S437" s="19">
        <f t="shared" si="22"/>
        <v>1</v>
      </c>
      <c r="T437" s="19">
        <v>134</v>
      </c>
      <c r="U437" s="19">
        <v>120</v>
      </c>
      <c r="V437" s="19"/>
      <c r="W437" s="19"/>
      <c r="X437" s="19"/>
      <c r="Y437" s="19"/>
    </row>
    <row r="438" spans="1:25" ht="12" hidden="1" customHeight="1" thickBot="1" x14ac:dyDescent="0.35">
      <c r="A438" s="20">
        <v>2</v>
      </c>
      <c r="B438" s="20" t="s">
        <v>1285</v>
      </c>
      <c r="C438" s="20" t="s">
        <v>1413</v>
      </c>
      <c r="D438" s="20" t="s">
        <v>1977</v>
      </c>
      <c r="E438" s="20">
        <v>235</v>
      </c>
      <c r="F438" s="20" t="s">
        <v>439</v>
      </c>
      <c r="G438" s="20" t="s">
        <v>1287</v>
      </c>
      <c r="H438" s="20" t="s">
        <v>1288</v>
      </c>
      <c r="I438" s="20">
        <v>1</v>
      </c>
      <c r="J438" s="20">
        <v>146</v>
      </c>
      <c r="K438" s="20">
        <v>1</v>
      </c>
      <c r="L438" s="20" t="s">
        <v>13</v>
      </c>
      <c r="M438" s="20"/>
      <c r="N438" s="20"/>
      <c r="O438" s="20">
        <v>15</v>
      </c>
      <c r="P438" s="20" t="s">
        <v>1211</v>
      </c>
      <c r="Q438" s="20" t="s">
        <v>340</v>
      </c>
      <c r="R438" s="20" t="str">
        <f t="shared" si="21"/>
        <v>BALDE CASTILLO-FUCSIA</v>
      </c>
      <c r="S438" s="19">
        <f t="shared" si="22"/>
        <v>1</v>
      </c>
      <c r="T438" s="19">
        <v>134</v>
      </c>
      <c r="U438" s="19">
        <v>120</v>
      </c>
      <c r="V438" s="19"/>
      <c r="W438" s="19"/>
      <c r="X438" s="19"/>
      <c r="Y438" s="19"/>
    </row>
    <row r="439" spans="1:25" ht="12" hidden="1" customHeight="1" thickBot="1" x14ac:dyDescent="0.35">
      <c r="A439" s="20">
        <v>2</v>
      </c>
      <c r="B439" s="20" t="s">
        <v>1285</v>
      </c>
      <c r="C439" s="20" t="s">
        <v>1413</v>
      </c>
      <c r="D439" s="20" t="s">
        <v>1977</v>
      </c>
      <c r="E439" s="20">
        <v>236</v>
      </c>
      <c r="F439" s="20" t="s">
        <v>440</v>
      </c>
      <c r="G439" s="20" t="s">
        <v>1287</v>
      </c>
      <c r="H439" s="20" t="s">
        <v>1288</v>
      </c>
      <c r="I439" s="20">
        <v>1</v>
      </c>
      <c r="J439" s="20">
        <v>146</v>
      </c>
      <c r="K439" s="20">
        <v>1</v>
      </c>
      <c r="L439" s="20" t="s">
        <v>13</v>
      </c>
      <c r="M439" s="20"/>
      <c r="N439" s="20"/>
      <c r="O439" s="20">
        <v>16</v>
      </c>
      <c r="P439" s="20" t="s">
        <v>1212</v>
      </c>
      <c r="Q439" s="20" t="s">
        <v>341</v>
      </c>
      <c r="R439" s="20" t="str">
        <f t="shared" si="21"/>
        <v>BALDE CASTILLO-LILA</v>
      </c>
      <c r="S439" s="19">
        <f t="shared" si="22"/>
        <v>1</v>
      </c>
      <c r="T439" s="19">
        <v>134</v>
      </c>
      <c r="U439" s="19">
        <v>120</v>
      </c>
      <c r="V439" s="19"/>
      <c r="W439" s="19"/>
      <c r="X439" s="19"/>
      <c r="Y439" s="19"/>
    </row>
    <row r="440" spans="1:25" ht="12" hidden="1" customHeight="1" thickBot="1" x14ac:dyDescent="0.35">
      <c r="A440" s="20">
        <v>2</v>
      </c>
      <c r="B440" s="20" t="s">
        <v>1285</v>
      </c>
      <c r="C440" s="20" t="s">
        <v>1413</v>
      </c>
      <c r="D440" s="20" t="s">
        <v>1977</v>
      </c>
      <c r="E440" s="20">
        <v>237</v>
      </c>
      <c r="F440" s="20" t="s">
        <v>441</v>
      </c>
      <c r="G440" s="20" t="s">
        <v>1287</v>
      </c>
      <c r="H440" s="20" t="s">
        <v>1288</v>
      </c>
      <c r="I440" s="20">
        <v>1</v>
      </c>
      <c r="J440" s="20">
        <v>146</v>
      </c>
      <c r="K440" s="20">
        <v>1</v>
      </c>
      <c r="L440" s="20" t="s">
        <v>13</v>
      </c>
      <c r="M440" s="20"/>
      <c r="N440" s="20"/>
      <c r="O440" s="20">
        <v>23</v>
      </c>
      <c r="P440" s="20" t="s">
        <v>1221</v>
      </c>
      <c r="Q440" s="20" t="s">
        <v>342</v>
      </c>
      <c r="R440" s="20" t="str">
        <f t="shared" si="21"/>
        <v>BALDE CASTILLO-VERDE TELEFONICO</v>
      </c>
      <c r="S440" s="19">
        <f t="shared" si="22"/>
        <v>1</v>
      </c>
      <c r="T440" s="19">
        <v>134</v>
      </c>
      <c r="U440" s="19">
        <v>120</v>
      </c>
      <c r="V440" s="19"/>
      <c r="W440" s="19"/>
      <c r="X440" s="19"/>
      <c r="Y440" s="19"/>
    </row>
    <row r="441" spans="1:25" ht="12" hidden="1" customHeight="1" thickBot="1" x14ac:dyDescent="0.35">
      <c r="A441" s="20">
        <v>2</v>
      </c>
      <c r="B441" s="20" t="s">
        <v>1285</v>
      </c>
      <c r="C441" s="20" t="s">
        <v>1413</v>
      </c>
      <c r="D441" s="20" t="s">
        <v>1193</v>
      </c>
      <c r="E441" s="20">
        <v>238</v>
      </c>
      <c r="F441" s="20" t="s">
        <v>442</v>
      </c>
      <c r="G441" s="20" t="s">
        <v>1287</v>
      </c>
      <c r="H441" s="20" t="s">
        <v>1288</v>
      </c>
      <c r="I441" s="20">
        <v>1</v>
      </c>
      <c r="J441" s="20">
        <v>3</v>
      </c>
      <c r="K441" s="20">
        <v>1</v>
      </c>
      <c r="L441" s="20" t="s">
        <v>13</v>
      </c>
      <c r="M441" s="20"/>
      <c r="N441" s="20"/>
      <c r="O441" s="20">
        <v>13</v>
      </c>
      <c r="P441" s="20" t="s">
        <v>25</v>
      </c>
      <c r="Q441" s="20" t="s">
        <v>343</v>
      </c>
      <c r="R441" s="20" t="str">
        <f t="shared" si="21"/>
        <v>BROCHE BALDE PLAYERO-BLANCO</v>
      </c>
      <c r="S441" s="19">
        <f t="shared" si="22"/>
        <v>1</v>
      </c>
      <c r="T441" s="19">
        <f t="shared" si="23"/>
        <v>3</v>
      </c>
      <c r="U441" s="19"/>
      <c r="V441" s="19"/>
      <c r="W441" s="19"/>
      <c r="X441" s="19"/>
      <c r="Y441" s="19"/>
    </row>
    <row r="442" spans="1:25" ht="12" hidden="1" customHeight="1" thickBot="1" x14ac:dyDescent="0.35">
      <c r="A442" s="20">
        <v>2</v>
      </c>
      <c r="B442" s="20" t="s">
        <v>1285</v>
      </c>
      <c r="C442" s="20" t="s">
        <v>1413</v>
      </c>
      <c r="D442" s="20" t="s">
        <v>963</v>
      </c>
      <c r="E442" s="20">
        <v>239</v>
      </c>
      <c r="F442" s="20" t="s">
        <v>443</v>
      </c>
      <c r="G442" s="20" t="s">
        <v>1287</v>
      </c>
      <c r="H442" s="20" t="s">
        <v>1288</v>
      </c>
      <c r="I442" s="20">
        <v>1</v>
      </c>
      <c r="J442" s="20">
        <v>75</v>
      </c>
      <c r="K442" s="20">
        <v>1</v>
      </c>
      <c r="L442" s="20" t="s">
        <v>13</v>
      </c>
      <c r="M442" s="20"/>
      <c r="N442" s="20"/>
      <c r="O442" s="20">
        <v>10</v>
      </c>
      <c r="P442" s="20" t="s">
        <v>26</v>
      </c>
      <c r="Q442" s="20" t="s">
        <v>344</v>
      </c>
      <c r="R442" s="20" t="str">
        <f t="shared" si="21"/>
        <v>CERNIDOR CASTILLO-AMARILLO</v>
      </c>
      <c r="S442" s="19">
        <f t="shared" si="22"/>
        <v>1</v>
      </c>
      <c r="T442" s="19">
        <f t="shared" si="23"/>
        <v>75</v>
      </c>
      <c r="U442" s="19"/>
      <c r="V442" s="19"/>
      <c r="W442" s="19"/>
      <c r="X442" s="19"/>
      <c r="Y442" s="19"/>
    </row>
    <row r="443" spans="1:25" ht="12" hidden="1" customHeight="1" thickBot="1" x14ac:dyDescent="0.35">
      <c r="A443" s="20">
        <v>2</v>
      </c>
      <c r="B443" s="20" t="s">
        <v>1285</v>
      </c>
      <c r="C443" s="20" t="s">
        <v>1413</v>
      </c>
      <c r="D443" s="20" t="s">
        <v>963</v>
      </c>
      <c r="E443" s="20">
        <v>240</v>
      </c>
      <c r="F443" s="20" t="s">
        <v>444</v>
      </c>
      <c r="G443" s="20" t="s">
        <v>1287</v>
      </c>
      <c r="H443" s="20" t="s">
        <v>1288</v>
      </c>
      <c r="I443" s="20">
        <v>1</v>
      </c>
      <c r="J443" s="20">
        <v>75</v>
      </c>
      <c r="K443" s="20">
        <v>1</v>
      </c>
      <c r="L443" s="20" t="s">
        <v>13</v>
      </c>
      <c r="M443" s="20"/>
      <c r="N443" s="20"/>
      <c r="O443" s="20">
        <v>11</v>
      </c>
      <c r="P443" s="20" t="s">
        <v>1207</v>
      </c>
      <c r="Q443" s="20" t="s">
        <v>345</v>
      </c>
      <c r="R443" s="20" t="str">
        <f t="shared" si="21"/>
        <v>CERNIDOR CASTILLO-ANARANJADO</v>
      </c>
      <c r="S443" s="19">
        <f t="shared" si="22"/>
        <v>1</v>
      </c>
      <c r="T443" s="19">
        <f t="shared" si="23"/>
        <v>75</v>
      </c>
      <c r="U443" s="19"/>
      <c r="V443" s="19"/>
      <c r="W443" s="19"/>
      <c r="X443" s="19"/>
      <c r="Y443" s="19"/>
    </row>
    <row r="444" spans="1:25" ht="12" hidden="1" customHeight="1" thickBot="1" x14ac:dyDescent="0.35">
      <c r="A444" s="20">
        <v>2</v>
      </c>
      <c r="B444" s="20" t="s">
        <v>1285</v>
      </c>
      <c r="C444" s="20" t="s">
        <v>1413</v>
      </c>
      <c r="D444" s="20" t="s">
        <v>963</v>
      </c>
      <c r="E444" s="20">
        <v>241</v>
      </c>
      <c r="F444" s="20" t="s">
        <v>445</v>
      </c>
      <c r="G444" s="20" t="s">
        <v>1287</v>
      </c>
      <c r="H444" s="20" t="s">
        <v>1288</v>
      </c>
      <c r="I444" s="20">
        <v>1</v>
      </c>
      <c r="J444" s="20">
        <v>75</v>
      </c>
      <c r="K444" s="20">
        <v>1</v>
      </c>
      <c r="L444" s="20" t="s">
        <v>13</v>
      </c>
      <c r="M444" s="20"/>
      <c r="N444" s="20"/>
      <c r="O444" s="20">
        <v>12</v>
      </c>
      <c r="P444" s="20" t="s">
        <v>24</v>
      </c>
      <c r="Q444" s="20" t="s">
        <v>346</v>
      </c>
      <c r="R444" s="20" t="str">
        <f t="shared" si="21"/>
        <v>CERNIDOR CASTILLO-AZUL</v>
      </c>
      <c r="S444" s="19">
        <f t="shared" si="22"/>
        <v>1</v>
      </c>
      <c r="T444" s="19">
        <f t="shared" si="23"/>
        <v>75</v>
      </c>
      <c r="U444" s="19"/>
      <c r="V444" s="19"/>
      <c r="W444" s="19"/>
      <c r="X444" s="19"/>
      <c r="Y444" s="19"/>
    </row>
    <row r="445" spans="1:25" ht="12" hidden="1" customHeight="1" thickBot="1" x14ac:dyDescent="0.35">
      <c r="A445" s="20">
        <v>2</v>
      </c>
      <c r="B445" s="20" t="s">
        <v>1285</v>
      </c>
      <c r="C445" s="20" t="s">
        <v>1413</v>
      </c>
      <c r="D445" s="20" t="s">
        <v>963</v>
      </c>
      <c r="E445" s="20">
        <v>242</v>
      </c>
      <c r="F445" s="20" t="s">
        <v>1426</v>
      </c>
      <c r="G445" s="20" t="s">
        <v>1287</v>
      </c>
      <c r="H445" s="20" t="s">
        <v>1288</v>
      </c>
      <c r="I445" s="20">
        <v>1</v>
      </c>
      <c r="J445" s="20">
        <v>75</v>
      </c>
      <c r="K445" s="20">
        <v>1</v>
      </c>
      <c r="L445" s="20" t="s">
        <v>13</v>
      </c>
      <c r="M445" s="20"/>
      <c r="N445" s="20"/>
      <c r="O445" s="20">
        <v>15</v>
      </c>
      <c r="P445" s="20" t="s">
        <v>1211</v>
      </c>
      <c r="Q445" s="20" t="s">
        <v>347</v>
      </c>
      <c r="R445" s="20" t="str">
        <f t="shared" si="21"/>
        <v>CERNIDOR CASTILLO-FUCSIA</v>
      </c>
      <c r="S445" s="19">
        <f t="shared" si="22"/>
        <v>1</v>
      </c>
      <c r="T445" s="19">
        <f t="shared" si="23"/>
        <v>75</v>
      </c>
      <c r="U445" s="19"/>
      <c r="V445" s="19"/>
      <c r="W445" s="19"/>
      <c r="X445" s="19"/>
      <c r="Y445" s="19"/>
    </row>
    <row r="446" spans="1:25" ht="12" hidden="1" customHeight="1" thickBot="1" x14ac:dyDescent="0.35">
      <c r="A446" s="20">
        <v>2</v>
      </c>
      <c r="B446" s="20" t="s">
        <v>1285</v>
      </c>
      <c r="C446" s="20" t="s">
        <v>1413</v>
      </c>
      <c r="D446" s="20" t="s">
        <v>963</v>
      </c>
      <c r="E446" s="20">
        <v>243</v>
      </c>
      <c r="F446" s="20" t="s">
        <v>446</v>
      </c>
      <c r="G446" s="20" t="s">
        <v>1287</v>
      </c>
      <c r="H446" s="20" t="s">
        <v>1288</v>
      </c>
      <c r="I446" s="20">
        <v>1</v>
      </c>
      <c r="J446" s="20">
        <v>75</v>
      </c>
      <c r="K446" s="20">
        <v>1</v>
      </c>
      <c r="L446" s="20" t="s">
        <v>13</v>
      </c>
      <c r="M446" s="20"/>
      <c r="N446" s="20"/>
      <c r="O446" s="20">
        <v>16</v>
      </c>
      <c r="P446" s="20" t="s">
        <v>1212</v>
      </c>
      <c r="Q446" s="20" t="s">
        <v>348</v>
      </c>
      <c r="R446" s="20" t="str">
        <f t="shared" si="21"/>
        <v>CERNIDOR CASTILLO-LILA</v>
      </c>
      <c r="S446" s="19">
        <f t="shared" si="22"/>
        <v>1</v>
      </c>
      <c r="T446" s="19">
        <f t="shared" si="23"/>
        <v>75</v>
      </c>
      <c r="U446" s="19"/>
      <c r="V446" s="19"/>
      <c r="W446" s="19"/>
      <c r="X446" s="19"/>
      <c r="Y446" s="19"/>
    </row>
    <row r="447" spans="1:25" ht="12" hidden="1" customHeight="1" thickBot="1" x14ac:dyDescent="0.35">
      <c r="A447" s="20">
        <v>2</v>
      </c>
      <c r="B447" s="20" t="s">
        <v>1285</v>
      </c>
      <c r="C447" s="20" t="s">
        <v>1413</v>
      </c>
      <c r="D447" s="20" t="s">
        <v>963</v>
      </c>
      <c r="E447" s="20">
        <v>244</v>
      </c>
      <c r="F447" s="20" t="s">
        <v>447</v>
      </c>
      <c r="G447" s="20" t="s">
        <v>1287</v>
      </c>
      <c r="H447" s="20" t="s">
        <v>1288</v>
      </c>
      <c r="I447" s="20">
        <v>1</v>
      </c>
      <c r="J447" s="20">
        <v>75</v>
      </c>
      <c r="K447" s="20">
        <v>1</v>
      </c>
      <c r="L447" s="20" t="s">
        <v>13</v>
      </c>
      <c r="M447" s="20"/>
      <c r="N447" s="20"/>
      <c r="O447" s="20">
        <v>23</v>
      </c>
      <c r="P447" s="20" t="s">
        <v>1221</v>
      </c>
      <c r="Q447" s="20" t="s">
        <v>349</v>
      </c>
      <c r="R447" s="20" t="str">
        <f t="shared" si="21"/>
        <v>CERNIDOR CASTILLO-VERDE TELEFONICO</v>
      </c>
      <c r="S447" s="19">
        <f t="shared" si="22"/>
        <v>1</v>
      </c>
      <c r="T447" s="19">
        <f t="shared" si="23"/>
        <v>75</v>
      </c>
      <c r="U447" s="19"/>
      <c r="V447" s="19"/>
      <c r="W447" s="19"/>
      <c r="X447" s="19"/>
      <c r="Y447" s="19"/>
    </row>
    <row r="448" spans="1:25" ht="12" hidden="1" customHeight="1" thickBot="1" x14ac:dyDescent="0.35">
      <c r="A448" s="20">
        <v>2</v>
      </c>
      <c r="B448" s="20" t="s">
        <v>1285</v>
      </c>
      <c r="C448" s="20" t="s">
        <v>1413</v>
      </c>
      <c r="D448" s="20" t="s">
        <v>1758</v>
      </c>
      <c r="E448" s="20">
        <v>245</v>
      </c>
      <c r="F448" s="20" t="s">
        <v>448</v>
      </c>
      <c r="G448" s="20" t="s">
        <v>1287</v>
      </c>
      <c r="H448" s="20" t="s">
        <v>1288</v>
      </c>
      <c r="I448" s="20">
        <v>1</v>
      </c>
      <c r="J448" s="20">
        <v>48</v>
      </c>
      <c r="K448" s="20">
        <v>1</v>
      </c>
      <c r="L448" s="20" t="s">
        <v>13</v>
      </c>
      <c r="M448" s="20"/>
      <c r="N448" s="20"/>
      <c r="O448" s="20">
        <v>10</v>
      </c>
      <c r="P448" s="20" t="s">
        <v>26</v>
      </c>
      <c r="Q448" s="20" t="s">
        <v>350</v>
      </c>
      <c r="R448" s="20" t="str">
        <f t="shared" si="21"/>
        <v>PALA RASTRILLO CASTILLO-AMARILLO</v>
      </c>
      <c r="S448" s="19">
        <f t="shared" si="22"/>
        <v>1</v>
      </c>
      <c r="T448" s="19">
        <f t="shared" si="23"/>
        <v>48</v>
      </c>
      <c r="U448" s="19"/>
      <c r="V448" s="19"/>
      <c r="W448" s="19"/>
      <c r="X448" s="19"/>
      <c r="Y448" s="19"/>
    </row>
    <row r="449" spans="1:25" ht="12" hidden="1" customHeight="1" thickBot="1" x14ac:dyDescent="0.35">
      <c r="A449" s="20">
        <v>2</v>
      </c>
      <c r="B449" s="20" t="s">
        <v>1285</v>
      </c>
      <c r="C449" s="20" t="s">
        <v>1413</v>
      </c>
      <c r="D449" s="20" t="s">
        <v>1758</v>
      </c>
      <c r="E449" s="20">
        <v>246</v>
      </c>
      <c r="F449" s="20" t="s">
        <v>449</v>
      </c>
      <c r="G449" s="20" t="s">
        <v>1287</v>
      </c>
      <c r="H449" s="20" t="s">
        <v>1288</v>
      </c>
      <c r="I449" s="20">
        <v>1</v>
      </c>
      <c r="J449" s="20">
        <v>48</v>
      </c>
      <c r="K449" s="20">
        <v>1</v>
      </c>
      <c r="L449" s="20" t="s">
        <v>13</v>
      </c>
      <c r="M449" s="20"/>
      <c r="N449" s="20"/>
      <c r="O449" s="20">
        <v>11</v>
      </c>
      <c r="P449" s="20" t="s">
        <v>1207</v>
      </c>
      <c r="Q449" s="20" t="s">
        <v>351</v>
      </c>
      <c r="R449" s="20" t="str">
        <f t="shared" si="21"/>
        <v>PALA RASTRILLO CASTILLO-ANARANJADO</v>
      </c>
      <c r="S449" s="19">
        <f t="shared" si="22"/>
        <v>1</v>
      </c>
      <c r="T449" s="19">
        <f t="shared" si="23"/>
        <v>48</v>
      </c>
      <c r="U449" s="19"/>
      <c r="V449" s="19"/>
      <c r="W449" s="19"/>
      <c r="X449" s="19"/>
      <c r="Y449" s="19"/>
    </row>
    <row r="450" spans="1:25" ht="12" hidden="1" customHeight="1" thickBot="1" x14ac:dyDescent="0.35">
      <c r="A450" s="20">
        <v>2</v>
      </c>
      <c r="B450" s="20" t="s">
        <v>1285</v>
      </c>
      <c r="C450" s="20" t="s">
        <v>1413</v>
      </c>
      <c r="D450" s="20" t="s">
        <v>1758</v>
      </c>
      <c r="E450" s="20">
        <v>247</v>
      </c>
      <c r="F450" s="20" t="s">
        <v>450</v>
      </c>
      <c r="G450" s="20" t="s">
        <v>1287</v>
      </c>
      <c r="H450" s="20" t="s">
        <v>1288</v>
      </c>
      <c r="I450" s="20">
        <v>1</v>
      </c>
      <c r="J450" s="20">
        <v>48</v>
      </c>
      <c r="K450" s="20">
        <v>1</v>
      </c>
      <c r="L450" s="20" t="s">
        <v>13</v>
      </c>
      <c r="M450" s="20"/>
      <c r="N450" s="20"/>
      <c r="O450" s="20">
        <v>12</v>
      </c>
      <c r="P450" s="20" t="s">
        <v>24</v>
      </c>
      <c r="Q450" s="20" t="s">
        <v>352</v>
      </c>
      <c r="R450" s="20" t="str">
        <f t="shared" si="21"/>
        <v>PALA RASTRILLO CASTILLO-AZUL</v>
      </c>
      <c r="S450" s="19">
        <f t="shared" si="22"/>
        <v>1</v>
      </c>
      <c r="T450" s="19">
        <f t="shared" si="23"/>
        <v>48</v>
      </c>
      <c r="U450" s="19"/>
      <c r="V450" s="19"/>
      <c r="W450" s="19"/>
      <c r="X450" s="19"/>
      <c r="Y450" s="19"/>
    </row>
    <row r="451" spans="1:25" ht="12" hidden="1" customHeight="1" thickBot="1" x14ac:dyDescent="0.35">
      <c r="A451" s="20">
        <v>2</v>
      </c>
      <c r="B451" s="20" t="s">
        <v>1285</v>
      </c>
      <c r="C451" s="20" t="s">
        <v>1413</v>
      </c>
      <c r="D451" s="20" t="s">
        <v>1758</v>
      </c>
      <c r="E451" s="20">
        <v>248</v>
      </c>
      <c r="F451" s="20" t="s">
        <v>452</v>
      </c>
      <c r="G451" s="20" t="s">
        <v>1287</v>
      </c>
      <c r="H451" s="20" t="s">
        <v>1288</v>
      </c>
      <c r="I451" s="20">
        <v>1</v>
      </c>
      <c r="J451" s="20">
        <v>48</v>
      </c>
      <c r="K451" s="20">
        <v>1</v>
      </c>
      <c r="L451" s="20" t="s">
        <v>13</v>
      </c>
      <c r="M451" s="20"/>
      <c r="N451" s="20"/>
      <c r="O451" s="20">
        <v>15</v>
      </c>
      <c r="P451" s="20" t="s">
        <v>1211</v>
      </c>
      <c r="Q451" s="20" t="s">
        <v>353</v>
      </c>
      <c r="R451" s="20" t="str">
        <f t="shared" ref="R451:R513" si="24">F451</f>
        <v>PALA RASTRILLO CASTILLO-FUCCIA</v>
      </c>
      <c r="S451" s="19">
        <f t="shared" ref="S451:S513" si="25">+I451</f>
        <v>1</v>
      </c>
      <c r="T451" s="19">
        <f t="shared" ref="T451:T513" si="26">+J451</f>
        <v>48</v>
      </c>
      <c r="U451" s="19"/>
      <c r="V451" s="19"/>
      <c r="W451" s="19"/>
      <c r="X451" s="19"/>
      <c r="Y451" s="19"/>
    </row>
    <row r="452" spans="1:25" ht="12" hidden="1" customHeight="1" thickBot="1" x14ac:dyDescent="0.35">
      <c r="A452" s="20">
        <v>2</v>
      </c>
      <c r="B452" s="20" t="s">
        <v>1285</v>
      </c>
      <c r="C452" s="20" t="s">
        <v>1413</v>
      </c>
      <c r="D452" s="20" t="s">
        <v>1758</v>
      </c>
      <c r="E452" s="20">
        <v>249</v>
      </c>
      <c r="F452" s="52" t="s">
        <v>1177</v>
      </c>
      <c r="G452" s="20" t="s">
        <v>1287</v>
      </c>
      <c r="H452" s="20" t="s">
        <v>1288</v>
      </c>
      <c r="I452" s="20">
        <v>4</v>
      </c>
      <c r="J452" s="20">
        <v>48</v>
      </c>
      <c r="K452" s="20">
        <v>1</v>
      </c>
      <c r="L452" s="20" t="s">
        <v>13</v>
      </c>
      <c r="M452" s="20"/>
      <c r="N452" s="20"/>
      <c r="O452" s="20">
        <v>16</v>
      </c>
      <c r="P452" s="20" t="s">
        <v>1212</v>
      </c>
      <c r="Q452" s="20" t="s">
        <v>354</v>
      </c>
      <c r="R452" s="20" t="str">
        <f t="shared" si="24"/>
        <v>PALA RASTRILLO CASTILLO-LILA</v>
      </c>
      <c r="S452" s="19">
        <f t="shared" si="25"/>
        <v>4</v>
      </c>
      <c r="T452" s="19">
        <f t="shared" si="26"/>
        <v>48</v>
      </c>
      <c r="U452" s="19"/>
      <c r="V452" s="19"/>
      <c r="W452" s="19"/>
      <c r="X452" s="19"/>
      <c r="Y452" s="19"/>
    </row>
    <row r="453" spans="1:25" ht="12" hidden="1" customHeight="1" thickBot="1" x14ac:dyDescent="0.35">
      <c r="A453" s="20">
        <v>2</v>
      </c>
      <c r="B453" s="20" t="s">
        <v>1285</v>
      </c>
      <c r="C453" s="20" t="s">
        <v>1413</v>
      </c>
      <c r="D453" s="20" t="s">
        <v>1758</v>
      </c>
      <c r="E453" s="20">
        <v>250</v>
      </c>
      <c r="F453" s="52" t="s">
        <v>451</v>
      </c>
      <c r="G453" s="20" t="s">
        <v>1287</v>
      </c>
      <c r="H453" s="20" t="s">
        <v>1288</v>
      </c>
      <c r="I453" s="20">
        <v>4</v>
      </c>
      <c r="J453" s="20">
        <v>48</v>
      </c>
      <c r="K453" s="20">
        <v>1</v>
      </c>
      <c r="L453" s="20" t="s">
        <v>13</v>
      </c>
      <c r="M453" s="20"/>
      <c r="N453" s="20"/>
      <c r="O453" s="20">
        <v>23</v>
      </c>
      <c r="P453" s="20" t="s">
        <v>1221</v>
      </c>
      <c r="Q453" s="20" t="s">
        <v>355</v>
      </c>
      <c r="R453" s="20" t="str">
        <f t="shared" si="24"/>
        <v>PALA RASTRILLO CASTILLO-VERDE TELEFONICO</v>
      </c>
      <c r="S453" s="19">
        <f t="shared" si="25"/>
        <v>4</v>
      </c>
      <c r="T453" s="19">
        <f t="shared" si="26"/>
        <v>48</v>
      </c>
      <c r="U453" s="19"/>
      <c r="V453" s="19"/>
      <c r="W453" s="19"/>
      <c r="X453" s="19"/>
      <c r="Y453" s="19"/>
    </row>
    <row r="454" spans="1:25" ht="12" hidden="1" customHeight="1" thickBot="1" x14ac:dyDescent="0.35">
      <c r="A454" s="20">
        <v>2</v>
      </c>
      <c r="B454" s="20" t="s">
        <v>1285</v>
      </c>
      <c r="C454" s="20" t="s">
        <v>1413</v>
      </c>
      <c r="D454" s="20" t="s">
        <v>1759</v>
      </c>
      <c r="E454" s="20">
        <v>251</v>
      </c>
      <c r="F454" s="52" t="s">
        <v>1428</v>
      </c>
      <c r="G454" s="20" t="s">
        <v>1287</v>
      </c>
      <c r="H454" s="20" t="s">
        <v>1288</v>
      </c>
      <c r="I454" s="20">
        <v>1</v>
      </c>
      <c r="J454" s="20">
        <v>105</v>
      </c>
      <c r="K454" s="20">
        <v>1</v>
      </c>
      <c r="L454" s="20" t="s">
        <v>13</v>
      </c>
      <c r="M454" s="20"/>
      <c r="N454" s="20"/>
      <c r="O454" s="20">
        <v>10</v>
      </c>
      <c r="P454" s="20" t="s">
        <v>26</v>
      </c>
      <c r="Q454" s="20" t="s">
        <v>1427</v>
      </c>
      <c r="R454" s="20" t="str">
        <f t="shared" si="24"/>
        <v>BALDE ROMANO AMARILLO CON ASA</v>
      </c>
      <c r="S454" s="19">
        <f t="shared" si="25"/>
        <v>1</v>
      </c>
      <c r="T454" s="19">
        <f t="shared" si="26"/>
        <v>105</v>
      </c>
      <c r="U454" s="19"/>
      <c r="V454" s="19"/>
      <c r="W454" s="19"/>
      <c r="X454" s="19"/>
      <c r="Y454" s="19"/>
    </row>
    <row r="455" spans="1:25" ht="12" hidden="1" customHeight="1" thickBot="1" x14ac:dyDescent="0.35">
      <c r="A455" s="20">
        <v>2</v>
      </c>
      <c r="B455" s="20" t="s">
        <v>1285</v>
      </c>
      <c r="C455" s="20" t="s">
        <v>1413</v>
      </c>
      <c r="D455" s="20" t="s">
        <v>1759</v>
      </c>
      <c r="E455" s="20">
        <v>252</v>
      </c>
      <c r="F455" s="52" t="s">
        <v>1430</v>
      </c>
      <c r="G455" s="20" t="s">
        <v>1287</v>
      </c>
      <c r="H455" s="20" t="s">
        <v>1288</v>
      </c>
      <c r="I455" s="20">
        <v>1</v>
      </c>
      <c r="J455" s="20">
        <v>105</v>
      </c>
      <c r="K455" s="20">
        <v>1</v>
      </c>
      <c r="L455" s="20" t="s">
        <v>13</v>
      </c>
      <c r="M455" s="20"/>
      <c r="N455" s="20"/>
      <c r="O455" s="20">
        <v>11</v>
      </c>
      <c r="P455" s="20" t="s">
        <v>1207</v>
      </c>
      <c r="Q455" s="20" t="s">
        <v>1429</v>
      </c>
      <c r="R455" s="20" t="str">
        <f t="shared" si="24"/>
        <v>BALDE ROMANO ANARANJADO CON ASA</v>
      </c>
      <c r="S455" s="19">
        <f t="shared" si="25"/>
        <v>1</v>
      </c>
      <c r="T455" s="19">
        <f t="shared" si="26"/>
        <v>105</v>
      </c>
      <c r="U455" s="19"/>
      <c r="V455" s="19"/>
      <c r="W455" s="19"/>
      <c r="X455" s="19"/>
      <c r="Y455" s="19"/>
    </row>
    <row r="456" spans="1:25" ht="12" hidden="1" customHeight="1" thickBot="1" x14ac:dyDescent="0.35">
      <c r="A456" s="20">
        <v>2</v>
      </c>
      <c r="B456" s="20" t="s">
        <v>1285</v>
      </c>
      <c r="C456" s="20" t="s">
        <v>1413</v>
      </c>
      <c r="D456" s="20" t="s">
        <v>1759</v>
      </c>
      <c r="E456" s="20">
        <v>253</v>
      </c>
      <c r="F456" s="52" t="s">
        <v>1432</v>
      </c>
      <c r="G456" s="20" t="s">
        <v>1287</v>
      </c>
      <c r="H456" s="20" t="s">
        <v>1288</v>
      </c>
      <c r="I456" s="20">
        <v>1</v>
      </c>
      <c r="J456" s="20">
        <v>105</v>
      </c>
      <c r="K456" s="20">
        <v>1</v>
      </c>
      <c r="L456" s="20" t="s">
        <v>13</v>
      </c>
      <c r="M456" s="20"/>
      <c r="N456" s="20"/>
      <c r="O456" s="20">
        <v>12</v>
      </c>
      <c r="P456" s="20" t="s">
        <v>24</v>
      </c>
      <c r="Q456" s="20" t="s">
        <v>1431</v>
      </c>
      <c r="R456" s="20" t="str">
        <f t="shared" si="24"/>
        <v>BALDE ROMANO AZUL CON ASA</v>
      </c>
      <c r="S456" s="19">
        <f t="shared" si="25"/>
        <v>1</v>
      </c>
      <c r="T456" s="19">
        <f t="shared" si="26"/>
        <v>105</v>
      </c>
      <c r="U456" s="19"/>
      <c r="V456" s="19"/>
      <c r="W456" s="19"/>
      <c r="X456" s="19"/>
      <c r="Y456" s="19"/>
    </row>
    <row r="457" spans="1:25" ht="12" hidden="1" customHeight="1" thickBot="1" x14ac:dyDescent="0.35">
      <c r="A457" s="20">
        <v>2</v>
      </c>
      <c r="B457" s="20" t="s">
        <v>1285</v>
      </c>
      <c r="C457" s="20" t="s">
        <v>1413</v>
      </c>
      <c r="D457" s="20" t="s">
        <v>1759</v>
      </c>
      <c r="E457" s="20">
        <v>254</v>
      </c>
      <c r="F457" s="52" t="s">
        <v>1434</v>
      </c>
      <c r="G457" s="20" t="s">
        <v>1287</v>
      </c>
      <c r="H457" s="20" t="s">
        <v>1288</v>
      </c>
      <c r="I457" s="20">
        <v>1</v>
      </c>
      <c r="J457" s="20">
        <v>105</v>
      </c>
      <c r="K457" s="20">
        <v>1</v>
      </c>
      <c r="L457" s="20" t="s">
        <v>13</v>
      </c>
      <c r="M457" s="20"/>
      <c r="N457" s="20"/>
      <c r="O457" s="20">
        <v>15</v>
      </c>
      <c r="P457" s="20" t="s">
        <v>1211</v>
      </c>
      <c r="Q457" s="20" t="s">
        <v>1433</v>
      </c>
      <c r="R457" s="20" t="str">
        <f t="shared" si="24"/>
        <v>BALDE ROMANO FUCSIA CON ASA</v>
      </c>
      <c r="S457" s="19">
        <f t="shared" si="25"/>
        <v>1</v>
      </c>
      <c r="T457" s="19">
        <f t="shared" si="26"/>
        <v>105</v>
      </c>
      <c r="U457" s="19"/>
      <c r="V457" s="19"/>
      <c r="W457" s="19"/>
      <c r="X457" s="19"/>
      <c r="Y457" s="19"/>
    </row>
    <row r="458" spans="1:25" ht="12" hidden="1" customHeight="1" thickBot="1" x14ac:dyDescent="0.35">
      <c r="A458" s="20">
        <v>2</v>
      </c>
      <c r="B458" s="20" t="s">
        <v>1285</v>
      </c>
      <c r="C458" s="20" t="s">
        <v>1413</v>
      </c>
      <c r="D458" s="20" t="s">
        <v>1759</v>
      </c>
      <c r="E458" s="20">
        <v>255</v>
      </c>
      <c r="F458" s="52" t="s">
        <v>1436</v>
      </c>
      <c r="G458" s="20" t="s">
        <v>1287</v>
      </c>
      <c r="H458" s="20" t="s">
        <v>1288</v>
      </c>
      <c r="I458" s="20">
        <v>1</v>
      </c>
      <c r="J458" s="20">
        <v>105</v>
      </c>
      <c r="K458" s="20">
        <v>1</v>
      </c>
      <c r="L458" s="20" t="s">
        <v>13</v>
      </c>
      <c r="M458" s="20"/>
      <c r="N458" s="20"/>
      <c r="O458" s="20">
        <v>16</v>
      </c>
      <c r="P458" s="20" t="s">
        <v>1212</v>
      </c>
      <c r="Q458" s="20" t="s">
        <v>1435</v>
      </c>
      <c r="R458" s="20" t="str">
        <f t="shared" si="24"/>
        <v>BALDE ROMANO LILA CON ASA</v>
      </c>
      <c r="S458" s="19">
        <f t="shared" si="25"/>
        <v>1</v>
      </c>
      <c r="T458" s="19">
        <f t="shared" si="26"/>
        <v>105</v>
      </c>
      <c r="U458" s="19"/>
      <c r="V458" s="19"/>
      <c r="W458" s="19"/>
      <c r="X458" s="19"/>
      <c r="Y458" s="19"/>
    </row>
    <row r="459" spans="1:25" ht="12" hidden="1" customHeight="1" thickBot="1" x14ac:dyDescent="0.35">
      <c r="A459" s="20">
        <v>2</v>
      </c>
      <c r="B459" s="20" t="s">
        <v>1285</v>
      </c>
      <c r="C459" s="20" t="s">
        <v>1413</v>
      </c>
      <c r="D459" s="20" t="s">
        <v>1759</v>
      </c>
      <c r="E459" s="20">
        <v>256</v>
      </c>
      <c r="F459" s="52" t="s">
        <v>1438</v>
      </c>
      <c r="G459" s="20" t="s">
        <v>1287</v>
      </c>
      <c r="H459" s="20" t="s">
        <v>1288</v>
      </c>
      <c r="I459" s="20">
        <v>1</v>
      </c>
      <c r="J459" s="20">
        <v>105</v>
      </c>
      <c r="K459" s="20">
        <v>1</v>
      </c>
      <c r="L459" s="20" t="s">
        <v>13</v>
      </c>
      <c r="M459" s="20"/>
      <c r="N459" s="20"/>
      <c r="O459" s="20">
        <v>23</v>
      </c>
      <c r="P459" s="20" t="s">
        <v>1221</v>
      </c>
      <c r="Q459" s="20" t="s">
        <v>1437</v>
      </c>
      <c r="R459" s="20" t="str">
        <f t="shared" si="24"/>
        <v>BALDE ROMANO VERDE TELEFONICO CON ASA</v>
      </c>
      <c r="S459" s="19">
        <f t="shared" si="25"/>
        <v>1</v>
      </c>
      <c r="T459" s="19">
        <f t="shared" si="26"/>
        <v>105</v>
      </c>
      <c r="U459" s="19"/>
      <c r="V459" s="19"/>
      <c r="W459" s="19"/>
      <c r="X459" s="19"/>
      <c r="Y459" s="19"/>
    </row>
    <row r="460" spans="1:25" ht="12" hidden="1" customHeight="1" thickBot="1" x14ac:dyDescent="0.35">
      <c r="A460" s="20">
        <v>2</v>
      </c>
      <c r="B460" s="20" t="s">
        <v>1285</v>
      </c>
      <c r="C460" s="20" t="s">
        <v>1413</v>
      </c>
      <c r="D460" s="20" t="s">
        <v>1999</v>
      </c>
      <c r="E460" s="20">
        <v>257</v>
      </c>
      <c r="F460" s="52" t="s">
        <v>453</v>
      </c>
      <c r="G460" s="20" t="s">
        <v>1287</v>
      </c>
      <c r="H460" s="20" t="s">
        <v>1288</v>
      </c>
      <c r="I460" s="20">
        <v>2</v>
      </c>
      <c r="J460" s="20">
        <v>160</v>
      </c>
      <c r="K460" s="20">
        <v>1</v>
      </c>
      <c r="L460" s="20" t="s">
        <v>13</v>
      </c>
      <c r="M460" s="20"/>
      <c r="N460" s="20"/>
      <c r="O460" s="20">
        <v>10</v>
      </c>
      <c r="P460" s="20" t="s">
        <v>26</v>
      </c>
      <c r="Q460" s="20" t="s">
        <v>356</v>
      </c>
      <c r="R460" s="20" t="str">
        <f t="shared" si="24"/>
        <v>BALDE ROMANO-AMARILLO</v>
      </c>
      <c r="S460" s="19">
        <f t="shared" si="25"/>
        <v>2</v>
      </c>
      <c r="T460" s="19">
        <f t="shared" si="26"/>
        <v>160</v>
      </c>
      <c r="U460" s="19">
        <v>120</v>
      </c>
      <c r="V460" s="19"/>
      <c r="W460" s="19"/>
      <c r="X460" s="19"/>
      <c r="Y460" s="19"/>
    </row>
    <row r="461" spans="1:25" ht="12" hidden="1" customHeight="1" thickBot="1" x14ac:dyDescent="0.35">
      <c r="A461" s="20">
        <v>2</v>
      </c>
      <c r="B461" s="20" t="s">
        <v>1285</v>
      </c>
      <c r="C461" s="20" t="s">
        <v>1413</v>
      </c>
      <c r="D461" s="20" t="s">
        <v>1999</v>
      </c>
      <c r="E461" s="20">
        <v>258</v>
      </c>
      <c r="F461" s="52" t="s">
        <v>454</v>
      </c>
      <c r="G461" s="20" t="s">
        <v>1287</v>
      </c>
      <c r="H461" s="20" t="s">
        <v>1288</v>
      </c>
      <c r="I461" s="20">
        <v>2</v>
      </c>
      <c r="J461" s="20">
        <v>160</v>
      </c>
      <c r="K461" s="20">
        <v>1</v>
      </c>
      <c r="L461" s="20" t="s">
        <v>13</v>
      </c>
      <c r="M461" s="20"/>
      <c r="N461" s="20"/>
      <c r="O461" s="20">
        <v>11</v>
      </c>
      <c r="P461" s="20" t="s">
        <v>1207</v>
      </c>
      <c r="Q461" s="20" t="s">
        <v>357</v>
      </c>
      <c r="R461" s="20" t="str">
        <f t="shared" si="24"/>
        <v>BALDE ROMANO-ANARANJADO</v>
      </c>
      <c r="S461" s="19">
        <f t="shared" si="25"/>
        <v>2</v>
      </c>
      <c r="T461" s="19">
        <f t="shared" si="26"/>
        <v>160</v>
      </c>
      <c r="U461" s="19">
        <v>120</v>
      </c>
      <c r="V461" s="19"/>
      <c r="W461" s="19"/>
      <c r="X461" s="19"/>
      <c r="Y461" s="19"/>
    </row>
    <row r="462" spans="1:25" ht="12" hidden="1" customHeight="1" thickBot="1" x14ac:dyDescent="0.35">
      <c r="A462" s="20">
        <v>2</v>
      </c>
      <c r="B462" s="20" t="s">
        <v>1285</v>
      </c>
      <c r="C462" s="20" t="s">
        <v>1413</v>
      </c>
      <c r="D462" s="20" t="s">
        <v>1999</v>
      </c>
      <c r="E462" s="20">
        <v>259</v>
      </c>
      <c r="F462" s="52" t="s">
        <v>455</v>
      </c>
      <c r="G462" s="20" t="s">
        <v>1287</v>
      </c>
      <c r="H462" s="20" t="s">
        <v>1288</v>
      </c>
      <c r="I462" s="20">
        <v>2</v>
      </c>
      <c r="J462" s="20">
        <v>160</v>
      </c>
      <c r="K462" s="20">
        <v>1</v>
      </c>
      <c r="L462" s="20" t="s">
        <v>13</v>
      </c>
      <c r="M462" s="20"/>
      <c r="N462" s="20"/>
      <c r="O462" s="20">
        <v>12</v>
      </c>
      <c r="P462" s="20" t="s">
        <v>24</v>
      </c>
      <c r="Q462" s="20" t="s">
        <v>358</v>
      </c>
      <c r="R462" s="20" t="str">
        <f t="shared" si="24"/>
        <v>BALDE ROMANO-AZUL</v>
      </c>
      <c r="S462" s="19">
        <f t="shared" si="25"/>
        <v>2</v>
      </c>
      <c r="T462" s="19">
        <f t="shared" si="26"/>
        <v>160</v>
      </c>
      <c r="U462" s="19">
        <v>120</v>
      </c>
      <c r="V462" s="19"/>
      <c r="W462" s="19"/>
      <c r="X462" s="19"/>
      <c r="Y462" s="19"/>
    </row>
    <row r="463" spans="1:25" ht="12" hidden="1" customHeight="1" thickBot="1" x14ac:dyDescent="0.35">
      <c r="A463" s="20">
        <v>2</v>
      </c>
      <c r="B463" s="20" t="s">
        <v>1285</v>
      </c>
      <c r="C463" s="20" t="s">
        <v>1413</v>
      </c>
      <c r="D463" s="20" t="s">
        <v>1999</v>
      </c>
      <c r="E463" s="20">
        <v>260</v>
      </c>
      <c r="F463" s="52" t="s">
        <v>1922</v>
      </c>
      <c r="G463" s="20" t="s">
        <v>1287</v>
      </c>
      <c r="H463" s="20" t="s">
        <v>1288</v>
      </c>
      <c r="I463" s="20">
        <v>2</v>
      </c>
      <c r="J463" s="20">
        <v>160</v>
      </c>
      <c r="K463" s="20">
        <v>1</v>
      </c>
      <c r="L463" s="20" t="s">
        <v>13</v>
      </c>
      <c r="M463" s="20"/>
      <c r="N463" s="20"/>
      <c r="O463" s="20">
        <v>15</v>
      </c>
      <c r="P463" s="20" t="s">
        <v>1211</v>
      </c>
      <c r="Q463" s="20" t="s">
        <v>359</v>
      </c>
      <c r="R463" s="20" t="str">
        <f t="shared" si="24"/>
        <v>BALDE ROMANO-FUCSIA</v>
      </c>
      <c r="S463" s="19">
        <f t="shared" si="25"/>
        <v>2</v>
      </c>
      <c r="T463" s="19">
        <f t="shared" si="26"/>
        <v>160</v>
      </c>
      <c r="U463" s="19">
        <v>120</v>
      </c>
      <c r="V463" s="19"/>
      <c r="W463" s="19"/>
      <c r="X463" s="19"/>
      <c r="Y463" s="19"/>
    </row>
    <row r="464" spans="1:25" ht="12" hidden="1" customHeight="1" thickBot="1" x14ac:dyDescent="0.35">
      <c r="A464" s="20">
        <v>2</v>
      </c>
      <c r="B464" s="20" t="s">
        <v>1285</v>
      </c>
      <c r="C464" s="20" t="s">
        <v>1413</v>
      </c>
      <c r="D464" s="20" t="s">
        <v>1999</v>
      </c>
      <c r="E464" s="20">
        <v>261</v>
      </c>
      <c r="F464" s="52" t="s">
        <v>456</v>
      </c>
      <c r="G464" s="20" t="s">
        <v>1287</v>
      </c>
      <c r="H464" s="20" t="s">
        <v>1288</v>
      </c>
      <c r="I464" s="20">
        <v>2</v>
      </c>
      <c r="J464" s="20">
        <v>160</v>
      </c>
      <c r="K464" s="20">
        <v>1</v>
      </c>
      <c r="L464" s="20" t="s">
        <v>13</v>
      </c>
      <c r="M464" s="20"/>
      <c r="N464" s="20"/>
      <c r="O464" s="20">
        <v>16</v>
      </c>
      <c r="P464" s="20" t="s">
        <v>1212</v>
      </c>
      <c r="Q464" s="20" t="s">
        <v>360</v>
      </c>
      <c r="R464" s="20" t="str">
        <f t="shared" si="24"/>
        <v>BALDE ROMANO-LILA</v>
      </c>
      <c r="S464" s="19">
        <f t="shared" si="25"/>
        <v>2</v>
      </c>
      <c r="T464" s="19">
        <f t="shared" si="26"/>
        <v>160</v>
      </c>
      <c r="U464" s="19">
        <v>120</v>
      </c>
      <c r="V464" s="19"/>
      <c r="W464" s="19"/>
      <c r="X464" s="19"/>
      <c r="Y464" s="19"/>
    </row>
    <row r="465" spans="1:25" ht="12" hidden="1" customHeight="1" thickBot="1" x14ac:dyDescent="0.35">
      <c r="A465" s="20">
        <v>2</v>
      </c>
      <c r="B465" s="20" t="s">
        <v>1285</v>
      </c>
      <c r="C465" s="20" t="s">
        <v>1413</v>
      </c>
      <c r="D465" s="20" t="s">
        <v>1999</v>
      </c>
      <c r="E465" s="20">
        <v>262</v>
      </c>
      <c r="F465" s="52" t="s">
        <v>2000</v>
      </c>
      <c r="G465" s="20" t="s">
        <v>1287</v>
      </c>
      <c r="H465" s="20" t="s">
        <v>1288</v>
      </c>
      <c r="I465" s="20">
        <v>2</v>
      </c>
      <c r="J465" s="20">
        <v>160</v>
      </c>
      <c r="K465" s="20">
        <v>1</v>
      </c>
      <c r="L465" s="20" t="s">
        <v>13</v>
      </c>
      <c r="M465" s="20"/>
      <c r="N465" s="20"/>
      <c r="O465" s="20">
        <v>23</v>
      </c>
      <c r="P465" s="20" t="s">
        <v>1221</v>
      </c>
      <c r="Q465" s="20" t="s">
        <v>361</v>
      </c>
      <c r="R465" s="20" t="str">
        <f>F465</f>
        <v>BALDE ROMANO-VERDE</v>
      </c>
      <c r="S465" s="19">
        <f t="shared" si="25"/>
        <v>2</v>
      </c>
      <c r="T465" s="19">
        <f t="shared" si="26"/>
        <v>160</v>
      </c>
      <c r="U465" s="19">
        <v>120</v>
      </c>
      <c r="V465" s="19"/>
      <c r="W465" s="19"/>
      <c r="X465" s="19"/>
      <c r="Y465" s="19"/>
    </row>
    <row r="466" spans="1:25" ht="12" hidden="1" customHeight="1" thickBot="1" x14ac:dyDescent="0.35">
      <c r="A466" s="20">
        <v>2</v>
      </c>
      <c r="B466" s="20" t="s">
        <v>1285</v>
      </c>
      <c r="C466" s="20" t="s">
        <v>1413</v>
      </c>
      <c r="D466" s="20" t="s">
        <v>1760</v>
      </c>
      <c r="E466" s="20">
        <v>263</v>
      </c>
      <c r="F466" s="52" t="s">
        <v>457</v>
      </c>
      <c r="G466" s="20" t="s">
        <v>1287</v>
      </c>
      <c r="H466" s="20" t="s">
        <v>1288</v>
      </c>
      <c r="I466" s="20">
        <v>1</v>
      </c>
      <c r="J466" s="20">
        <v>38</v>
      </c>
      <c r="K466" s="20">
        <v>1</v>
      </c>
      <c r="L466" s="20" t="s">
        <v>13</v>
      </c>
      <c r="M466" s="20"/>
      <c r="N466" s="20"/>
      <c r="O466" s="20">
        <v>10</v>
      </c>
      <c r="P466" s="20" t="s">
        <v>26</v>
      </c>
      <c r="Q466" s="20" t="s">
        <v>362</v>
      </c>
      <c r="R466" s="20" t="str">
        <f t="shared" si="24"/>
        <v>PALA RASTRILLO ROMANO-AMARILLO</v>
      </c>
      <c r="S466" s="19">
        <v>2</v>
      </c>
      <c r="T466" s="19">
        <f t="shared" si="26"/>
        <v>38</v>
      </c>
      <c r="U466" s="19">
        <v>110</v>
      </c>
      <c r="V466" s="19"/>
      <c r="W466" s="19"/>
      <c r="X466" s="19"/>
      <c r="Y466" s="19"/>
    </row>
    <row r="467" spans="1:25" ht="12" hidden="1" customHeight="1" thickBot="1" x14ac:dyDescent="0.35">
      <c r="A467" s="20">
        <v>2</v>
      </c>
      <c r="B467" s="20" t="s">
        <v>1285</v>
      </c>
      <c r="C467" s="20" t="s">
        <v>1413</v>
      </c>
      <c r="D467" s="20" t="s">
        <v>1760</v>
      </c>
      <c r="E467" s="20">
        <v>264</v>
      </c>
      <c r="F467" s="52" t="s">
        <v>458</v>
      </c>
      <c r="G467" s="20" t="s">
        <v>1287</v>
      </c>
      <c r="H467" s="20" t="s">
        <v>1288</v>
      </c>
      <c r="I467" s="20">
        <v>1</v>
      </c>
      <c r="J467" s="20">
        <v>38</v>
      </c>
      <c r="K467" s="20">
        <v>1</v>
      </c>
      <c r="L467" s="20" t="s">
        <v>13</v>
      </c>
      <c r="M467" s="20"/>
      <c r="N467" s="20"/>
      <c r="O467" s="20">
        <v>11</v>
      </c>
      <c r="P467" s="20" t="s">
        <v>1207</v>
      </c>
      <c r="Q467" s="20" t="s">
        <v>363</v>
      </c>
      <c r="R467" s="20" t="str">
        <f t="shared" si="24"/>
        <v>PALA RASTRILLO ROMANO-ANARANJADO</v>
      </c>
      <c r="S467" s="19">
        <v>2</v>
      </c>
      <c r="T467" s="19">
        <f t="shared" si="26"/>
        <v>38</v>
      </c>
      <c r="U467" s="19">
        <v>110</v>
      </c>
      <c r="V467" s="19"/>
      <c r="W467" s="19"/>
      <c r="X467" s="19"/>
      <c r="Y467" s="19"/>
    </row>
    <row r="468" spans="1:25" ht="12" hidden="1" customHeight="1" thickBot="1" x14ac:dyDescent="0.35">
      <c r="A468" s="20">
        <v>2</v>
      </c>
      <c r="B468" s="20" t="s">
        <v>1285</v>
      </c>
      <c r="C468" s="20" t="s">
        <v>1413</v>
      </c>
      <c r="D468" s="20" t="s">
        <v>1760</v>
      </c>
      <c r="E468" s="20">
        <v>265</v>
      </c>
      <c r="F468" s="52" t="s">
        <v>459</v>
      </c>
      <c r="G468" s="20" t="s">
        <v>1287</v>
      </c>
      <c r="H468" s="20" t="s">
        <v>1288</v>
      </c>
      <c r="I468" s="20">
        <v>1</v>
      </c>
      <c r="J468" s="20">
        <v>38</v>
      </c>
      <c r="K468" s="20">
        <v>1</v>
      </c>
      <c r="L468" s="20" t="s">
        <v>13</v>
      </c>
      <c r="M468" s="20"/>
      <c r="N468" s="20"/>
      <c r="O468" s="20">
        <v>12</v>
      </c>
      <c r="P468" s="20" t="s">
        <v>24</v>
      </c>
      <c r="Q468" s="20" t="s">
        <v>364</v>
      </c>
      <c r="R468" s="20" t="str">
        <f t="shared" si="24"/>
        <v>PALA RASTRILLO ROMANO-AZUL</v>
      </c>
      <c r="S468" s="19">
        <v>2</v>
      </c>
      <c r="T468" s="19">
        <f t="shared" si="26"/>
        <v>38</v>
      </c>
      <c r="U468" s="19">
        <v>110</v>
      </c>
      <c r="V468" s="19"/>
      <c r="W468" s="19"/>
      <c r="X468" s="19"/>
      <c r="Y468" s="19"/>
    </row>
    <row r="469" spans="1:25" ht="12" hidden="1" customHeight="1" thickBot="1" x14ac:dyDescent="0.35">
      <c r="A469" s="20">
        <v>2</v>
      </c>
      <c r="B469" s="20" t="s">
        <v>1285</v>
      </c>
      <c r="C469" s="20" t="s">
        <v>1413</v>
      </c>
      <c r="D469" s="20" t="s">
        <v>1760</v>
      </c>
      <c r="E469" s="20">
        <v>266</v>
      </c>
      <c r="F469" s="52" t="s">
        <v>1900</v>
      </c>
      <c r="G469" s="20" t="s">
        <v>1287</v>
      </c>
      <c r="H469" s="20" t="s">
        <v>1288</v>
      </c>
      <c r="I469" s="20">
        <v>1</v>
      </c>
      <c r="J469" s="20">
        <v>38</v>
      </c>
      <c r="K469" s="20">
        <v>1</v>
      </c>
      <c r="L469" s="20" t="s">
        <v>13</v>
      </c>
      <c r="M469" s="20"/>
      <c r="N469" s="20"/>
      <c r="O469" s="20">
        <v>15</v>
      </c>
      <c r="P469" s="20" t="s">
        <v>1211</v>
      </c>
      <c r="Q469" s="20" t="s">
        <v>365</v>
      </c>
      <c r="R469" s="20" t="str">
        <f t="shared" si="24"/>
        <v>PALA RASTRILLO ROMANO-FUCSIA</v>
      </c>
      <c r="S469" s="19">
        <v>2</v>
      </c>
      <c r="T469" s="19">
        <f t="shared" si="26"/>
        <v>38</v>
      </c>
      <c r="U469" s="19">
        <v>110</v>
      </c>
      <c r="V469" s="19"/>
      <c r="W469" s="19"/>
      <c r="X469" s="19"/>
      <c r="Y469" s="19"/>
    </row>
    <row r="470" spans="1:25" ht="12" hidden="1" customHeight="1" thickBot="1" x14ac:dyDescent="0.35">
      <c r="A470" s="20">
        <v>2</v>
      </c>
      <c r="B470" s="20" t="s">
        <v>1285</v>
      </c>
      <c r="C470" s="20" t="s">
        <v>1413</v>
      </c>
      <c r="D470" s="20" t="s">
        <v>1760</v>
      </c>
      <c r="E470" s="20">
        <v>267</v>
      </c>
      <c r="F470" s="52" t="s">
        <v>461</v>
      </c>
      <c r="G470" s="20" t="s">
        <v>1287</v>
      </c>
      <c r="H470" s="20" t="s">
        <v>1288</v>
      </c>
      <c r="I470" s="20">
        <v>1</v>
      </c>
      <c r="J470" s="20">
        <v>38</v>
      </c>
      <c r="K470" s="20">
        <v>1</v>
      </c>
      <c r="L470" s="20" t="s">
        <v>13</v>
      </c>
      <c r="M470" s="20"/>
      <c r="N470" s="20"/>
      <c r="O470" s="20">
        <v>16</v>
      </c>
      <c r="P470" s="20" t="s">
        <v>1212</v>
      </c>
      <c r="Q470" s="20" t="s">
        <v>366</v>
      </c>
      <c r="R470" s="20" t="str">
        <f t="shared" si="24"/>
        <v>PALA RASTRILLO ROMANO-LILA</v>
      </c>
      <c r="S470" s="19">
        <v>2</v>
      </c>
      <c r="T470" s="19">
        <f t="shared" si="26"/>
        <v>38</v>
      </c>
      <c r="U470" s="19">
        <v>110</v>
      </c>
      <c r="V470" s="19"/>
      <c r="W470" s="19"/>
      <c r="X470" s="19"/>
      <c r="Y470" s="19"/>
    </row>
    <row r="471" spans="1:25" ht="12" hidden="1" customHeight="1" thickBot="1" x14ac:dyDescent="0.35">
      <c r="A471" s="20">
        <v>2</v>
      </c>
      <c r="B471" s="20" t="s">
        <v>1285</v>
      </c>
      <c r="C471" s="20" t="s">
        <v>1413</v>
      </c>
      <c r="D471" s="20" t="s">
        <v>1760</v>
      </c>
      <c r="E471" s="20">
        <v>268</v>
      </c>
      <c r="F471" s="20" t="s">
        <v>1978</v>
      </c>
      <c r="G471" s="20" t="s">
        <v>1287</v>
      </c>
      <c r="H471" s="20" t="s">
        <v>1288</v>
      </c>
      <c r="I471" s="20"/>
      <c r="J471" s="20">
        <v>38</v>
      </c>
      <c r="K471" s="20">
        <v>1</v>
      </c>
      <c r="L471" s="20" t="s">
        <v>13</v>
      </c>
      <c r="M471" s="20"/>
      <c r="N471" s="20"/>
      <c r="O471" s="20">
        <v>23</v>
      </c>
      <c r="P471" s="20" t="s">
        <v>1221</v>
      </c>
      <c r="Q471" s="20" t="s">
        <v>367</v>
      </c>
      <c r="R471" s="20" t="str">
        <f>F471</f>
        <v>PALA RASTRILLO ROMANO-VERDE</v>
      </c>
      <c r="S471" s="19">
        <v>2</v>
      </c>
      <c r="T471" s="19">
        <f t="shared" si="26"/>
        <v>38</v>
      </c>
      <c r="U471" s="19">
        <v>110</v>
      </c>
      <c r="V471" s="19"/>
      <c r="W471" s="19"/>
      <c r="X471" s="19"/>
      <c r="Y471" s="19"/>
    </row>
    <row r="472" spans="1:25" ht="12" hidden="1" customHeight="1" thickBot="1" x14ac:dyDescent="0.35">
      <c r="A472" s="20">
        <v>2</v>
      </c>
      <c r="B472" s="20" t="s">
        <v>1285</v>
      </c>
      <c r="C472" s="20" t="s">
        <v>1413</v>
      </c>
      <c r="D472" s="20" t="s">
        <v>964</v>
      </c>
      <c r="E472" s="20">
        <v>270</v>
      </c>
      <c r="F472" s="20" t="s">
        <v>462</v>
      </c>
      <c r="G472" s="20" t="s">
        <v>1287</v>
      </c>
      <c r="H472" s="20" t="s">
        <v>1288</v>
      </c>
      <c r="I472" s="20">
        <v>2</v>
      </c>
      <c r="J472" s="20">
        <v>40</v>
      </c>
      <c r="K472" s="20">
        <v>1</v>
      </c>
      <c r="L472" s="20" t="s">
        <v>13</v>
      </c>
      <c r="M472" s="20"/>
      <c r="N472" s="20"/>
      <c r="O472" s="20">
        <v>10</v>
      </c>
      <c r="P472" s="20" t="s">
        <v>26</v>
      </c>
      <c r="Q472" s="20" t="s">
        <v>798</v>
      </c>
      <c r="R472" s="20" t="str">
        <f t="shared" si="24"/>
        <v>CERNIDOR ROMANO-AMARILLO</v>
      </c>
      <c r="S472" s="19">
        <f t="shared" si="25"/>
        <v>2</v>
      </c>
      <c r="T472" s="19">
        <f t="shared" si="26"/>
        <v>40</v>
      </c>
      <c r="U472" s="19">
        <v>120</v>
      </c>
      <c r="V472" s="19"/>
      <c r="W472" s="19"/>
      <c r="X472" s="19"/>
      <c r="Y472" s="19"/>
    </row>
    <row r="473" spans="1:25" ht="12" hidden="1" customHeight="1" thickBot="1" x14ac:dyDescent="0.35">
      <c r="A473" s="20">
        <v>2</v>
      </c>
      <c r="B473" s="20" t="s">
        <v>1285</v>
      </c>
      <c r="C473" s="20" t="s">
        <v>1413</v>
      </c>
      <c r="D473" s="20" t="s">
        <v>964</v>
      </c>
      <c r="E473" s="20">
        <v>271</v>
      </c>
      <c r="F473" s="20" t="s">
        <v>463</v>
      </c>
      <c r="G473" s="20" t="s">
        <v>1287</v>
      </c>
      <c r="H473" s="20" t="s">
        <v>1288</v>
      </c>
      <c r="I473" s="20">
        <v>2</v>
      </c>
      <c r="J473" s="20">
        <v>40</v>
      </c>
      <c r="K473" s="20">
        <v>1</v>
      </c>
      <c r="L473" s="20" t="s">
        <v>13</v>
      </c>
      <c r="M473" s="20"/>
      <c r="N473" s="20"/>
      <c r="O473" s="20">
        <v>11</v>
      </c>
      <c r="P473" s="20" t="s">
        <v>1207</v>
      </c>
      <c r="Q473" s="20" t="s">
        <v>799</v>
      </c>
      <c r="R473" s="20" t="str">
        <f t="shared" si="24"/>
        <v>CERNIDOR ROMANO-ANARANJADO</v>
      </c>
      <c r="S473" s="19">
        <f t="shared" si="25"/>
        <v>2</v>
      </c>
      <c r="T473" s="19">
        <f t="shared" si="26"/>
        <v>40</v>
      </c>
      <c r="U473" s="19">
        <v>120</v>
      </c>
      <c r="V473" s="19"/>
      <c r="W473" s="19"/>
      <c r="X473" s="19"/>
      <c r="Y473" s="19"/>
    </row>
    <row r="474" spans="1:25" ht="12" hidden="1" customHeight="1" thickBot="1" x14ac:dyDescent="0.35">
      <c r="A474" s="20">
        <v>2</v>
      </c>
      <c r="B474" s="20" t="s">
        <v>1285</v>
      </c>
      <c r="C474" s="20" t="s">
        <v>1413</v>
      </c>
      <c r="D474" s="20" t="s">
        <v>964</v>
      </c>
      <c r="E474" s="20">
        <v>272</v>
      </c>
      <c r="F474" s="20" t="s">
        <v>464</v>
      </c>
      <c r="G474" s="20" t="s">
        <v>1287</v>
      </c>
      <c r="H474" s="20" t="s">
        <v>1288</v>
      </c>
      <c r="I474" s="20">
        <v>2</v>
      </c>
      <c r="J474" s="20">
        <v>40</v>
      </c>
      <c r="K474" s="20">
        <v>1</v>
      </c>
      <c r="L474" s="20" t="s">
        <v>13</v>
      </c>
      <c r="M474" s="20"/>
      <c r="N474" s="20"/>
      <c r="O474" s="20">
        <v>12</v>
      </c>
      <c r="P474" s="20" t="s">
        <v>24</v>
      </c>
      <c r="Q474" s="20" t="s">
        <v>800</v>
      </c>
      <c r="R474" s="20" t="str">
        <f t="shared" si="24"/>
        <v>CERNIDOR ROMANO-AZUL</v>
      </c>
      <c r="S474" s="19">
        <f t="shared" si="25"/>
        <v>2</v>
      </c>
      <c r="T474" s="19">
        <f t="shared" si="26"/>
        <v>40</v>
      </c>
      <c r="U474" s="19">
        <v>120</v>
      </c>
      <c r="V474" s="19"/>
      <c r="W474" s="19"/>
      <c r="X474" s="19"/>
      <c r="Y474" s="19"/>
    </row>
    <row r="475" spans="1:25" ht="12" hidden="1" customHeight="1" thickBot="1" x14ac:dyDescent="0.35">
      <c r="A475" s="20">
        <v>2</v>
      </c>
      <c r="B475" s="20" t="s">
        <v>1285</v>
      </c>
      <c r="C475" s="20" t="s">
        <v>1413</v>
      </c>
      <c r="D475" s="20" t="s">
        <v>964</v>
      </c>
      <c r="E475" s="20">
        <v>273</v>
      </c>
      <c r="F475" s="20" t="s">
        <v>1910</v>
      </c>
      <c r="G475" s="20" t="s">
        <v>1287</v>
      </c>
      <c r="H475" s="20" t="s">
        <v>1288</v>
      </c>
      <c r="I475" s="20">
        <v>2</v>
      </c>
      <c r="J475" s="20">
        <v>40</v>
      </c>
      <c r="K475" s="20">
        <v>1</v>
      </c>
      <c r="L475" s="20" t="s">
        <v>13</v>
      </c>
      <c r="M475" s="20"/>
      <c r="N475" s="20"/>
      <c r="O475" s="20">
        <v>15</v>
      </c>
      <c r="P475" s="20" t="s">
        <v>1211</v>
      </c>
      <c r="Q475" s="20" t="s">
        <v>801</v>
      </c>
      <c r="R475" s="20" t="str">
        <f t="shared" si="24"/>
        <v>CERNIDOR ROMANO-FUCSIA</v>
      </c>
      <c r="S475" s="19">
        <f t="shared" si="25"/>
        <v>2</v>
      </c>
      <c r="T475" s="19">
        <f t="shared" si="26"/>
        <v>40</v>
      </c>
      <c r="U475" s="19">
        <v>120</v>
      </c>
      <c r="V475" s="19"/>
      <c r="W475" s="19"/>
      <c r="X475" s="19"/>
      <c r="Y475" s="19"/>
    </row>
    <row r="476" spans="1:25" ht="12" hidden="1" customHeight="1" thickBot="1" x14ac:dyDescent="0.35">
      <c r="A476" s="20">
        <v>2</v>
      </c>
      <c r="B476" s="20" t="s">
        <v>1285</v>
      </c>
      <c r="C476" s="20" t="s">
        <v>1413</v>
      </c>
      <c r="D476" s="20" t="s">
        <v>964</v>
      </c>
      <c r="E476" s="20">
        <v>274</v>
      </c>
      <c r="F476" s="20" t="s">
        <v>465</v>
      </c>
      <c r="G476" s="20" t="s">
        <v>1287</v>
      </c>
      <c r="H476" s="20" t="s">
        <v>1288</v>
      </c>
      <c r="I476" s="20">
        <v>2</v>
      </c>
      <c r="J476" s="20">
        <v>40</v>
      </c>
      <c r="K476" s="20">
        <v>1</v>
      </c>
      <c r="L476" s="20" t="s">
        <v>13</v>
      </c>
      <c r="M476" s="20"/>
      <c r="N476" s="20"/>
      <c r="O476" s="20">
        <v>16</v>
      </c>
      <c r="P476" s="20" t="s">
        <v>1212</v>
      </c>
      <c r="Q476" s="20" t="s">
        <v>802</v>
      </c>
      <c r="R476" s="20" t="str">
        <f t="shared" si="24"/>
        <v>CERNIDOR ROMANO-LILA</v>
      </c>
      <c r="S476" s="19">
        <f t="shared" si="25"/>
        <v>2</v>
      </c>
      <c r="T476" s="19">
        <f t="shared" si="26"/>
        <v>40</v>
      </c>
      <c r="U476" s="19">
        <v>120</v>
      </c>
      <c r="V476" s="19"/>
      <c r="W476" s="19"/>
      <c r="X476" s="19"/>
      <c r="Y476" s="19"/>
    </row>
    <row r="477" spans="1:25" ht="12" hidden="1" customHeight="1" thickBot="1" x14ac:dyDescent="0.35">
      <c r="A477" s="20">
        <v>2</v>
      </c>
      <c r="B477" s="20" t="s">
        <v>1285</v>
      </c>
      <c r="C477" s="20" t="s">
        <v>1413</v>
      </c>
      <c r="D477" s="20" t="s">
        <v>964</v>
      </c>
      <c r="E477" s="20">
        <v>275</v>
      </c>
      <c r="F477" s="20" t="s">
        <v>466</v>
      </c>
      <c r="G477" s="20" t="s">
        <v>1287</v>
      </c>
      <c r="H477" s="20" t="s">
        <v>1288</v>
      </c>
      <c r="I477" s="20">
        <v>2</v>
      </c>
      <c r="J477" s="20">
        <v>40</v>
      </c>
      <c r="K477" s="20">
        <v>1</v>
      </c>
      <c r="L477" s="20" t="s">
        <v>13</v>
      </c>
      <c r="M477" s="20"/>
      <c r="N477" s="20"/>
      <c r="O477" s="20">
        <v>23</v>
      </c>
      <c r="P477" s="20" t="s">
        <v>1221</v>
      </c>
      <c r="Q477" s="20" t="s">
        <v>803</v>
      </c>
      <c r="R477" s="20" t="str">
        <f t="shared" si="24"/>
        <v>CERNIDOR ROMANO-VERDE TELEFONICO</v>
      </c>
      <c r="S477" s="19">
        <f t="shared" si="25"/>
        <v>2</v>
      </c>
      <c r="T477" s="19">
        <f t="shared" si="26"/>
        <v>40</v>
      </c>
      <c r="U477" s="19">
        <v>120</v>
      </c>
      <c r="V477" s="19"/>
      <c r="W477" s="19"/>
      <c r="X477" s="19"/>
      <c r="Y477" s="19"/>
    </row>
    <row r="478" spans="1:25" ht="12" hidden="1" customHeight="1" thickBot="1" x14ac:dyDescent="0.35">
      <c r="A478" s="20">
        <v>2</v>
      </c>
      <c r="B478" s="20" t="s">
        <v>1285</v>
      </c>
      <c r="C478" s="20" t="s">
        <v>1439</v>
      </c>
      <c r="D478" s="20" t="s">
        <v>1440</v>
      </c>
      <c r="E478" s="20">
        <v>276</v>
      </c>
      <c r="F478" s="20" t="s">
        <v>467</v>
      </c>
      <c r="G478" s="20" t="s">
        <v>1287</v>
      </c>
      <c r="H478" s="20" t="s">
        <v>1288</v>
      </c>
      <c r="I478" s="20"/>
      <c r="J478" s="20">
        <v>70</v>
      </c>
      <c r="K478" s="20">
        <v>2</v>
      </c>
      <c r="L478" s="20" t="s">
        <v>12</v>
      </c>
      <c r="M478" s="20"/>
      <c r="N478" s="20"/>
      <c r="O478" s="20">
        <v>10</v>
      </c>
      <c r="P478" s="20" t="s">
        <v>26</v>
      </c>
      <c r="Q478" s="20" t="s">
        <v>804</v>
      </c>
      <c r="R478" s="20" t="str">
        <f t="shared" si="24"/>
        <v>CABEZA CABALLO-AMARILLO PATO</v>
      </c>
      <c r="S478" s="19">
        <f t="shared" si="25"/>
        <v>0</v>
      </c>
      <c r="T478" s="19">
        <f t="shared" si="26"/>
        <v>70</v>
      </c>
      <c r="U478" s="19"/>
      <c r="V478" s="19"/>
      <c r="W478" s="19"/>
      <c r="X478" s="19"/>
      <c r="Y478" s="19"/>
    </row>
    <row r="479" spans="1:25" ht="12" hidden="1" customHeight="1" thickBot="1" x14ac:dyDescent="0.35">
      <c r="A479" s="20">
        <v>2</v>
      </c>
      <c r="B479" s="20" t="s">
        <v>1285</v>
      </c>
      <c r="C479" s="20" t="s">
        <v>1439</v>
      </c>
      <c r="D479" s="20" t="s">
        <v>1440</v>
      </c>
      <c r="E479" s="20">
        <v>277</v>
      </c>
      <c r="F479" s="20" t="s">
        <v>1442</v>
      </c>
      <c r="G479" s="20" t="s">
        <v>1287</v>
      </c>
      <c r="H479" s="20" t="s">
        <v>1288</v>
      </c>
      <c r="I479" s="20"/>
      <c r="J479" s="20">
        <v>70</v>
      </c>
      <c r="K479" s="20">
        <v>2</v>
      </c>
      <c r="L479" s="20" t="s">
        <v>12</v>
      </c>
      <c r="M479" s="20"/>
      <c r="N479" s="20"/>
      <c r="O479" s="20">
        <v>10</v>
      </c>
      <c r="P479" s="20" t="s">
        <v>26</v>
      </c>
      <c r="Q479" s="20" t="s">
        <v>1441</v>
      </c>
      <c r="R479" s="20" t="str">
        <f t="shared" si="24"/>
        <v>CABEZA CABALLO-AMARILLO PATO PINTADO</v>
      </c>
      <c r="S479" s="19">
        <f t="shared" si="25"/>
        <v>0</v>
      </c>
      <c r="T479" s="19">
        <f t="shared" si="26"/>
        <v>70</v>
      </c>
      <c r="U479" s="19"/>
      <c r="V479" s="19"/>
      <c r="W479" s="19"/>
      <c r="X479" s="19"/>
      <c r="Y479" s="19"/>
    </row>
    <row r="480" spans="1:25" ht="12" hidden="1" customHeight="1" thickBot="1" x14ac:dyDescent="0.35">
      <c r="A480" s="20">
        <v>2</v>
      </c>
      <c r="B480" s="20" t="s">
        <v>1285</v>
      </c>
      <c r="C480" s="20" t="s">
        <v>1439</v>
      </c>
      <c r="D480" s="20" t="s">
        <v>1440</v>
      </c>
      <c r="E480" s="20">
        <v>278</v>
      </c>
      <c r="F480" s="20" t="s">
        <v>468</v>
      </c>
      <c r="G480" s="20" t="s">
        <v>1287</v>
      </c>
      <c r="H480" s="20" t="s">
        <v>1288</v>
      </c>
      <c r="I480" s="20"/>
      <c r="J480" s="20">
        <v>70</v>
      </c>
      <c r="K480" s="20">
        <v>2</v>
      </c>
      <c r="L480" s="20" t="s">
        <v>12</v>
      </c>
      <c r="M480" s="20"/>
      <c r="N480" s="20"/>
      <c r="O480" s="20">
        <v>13</v>
      </c>
      <c r="P480" s="20" t="s">
        <v>25</v>
      </c>
      <c r="Q480" s="20" t="s">
        <v>805</v>
      </c>
      <c r="R480" s="20" t="str">
        <f t="shared" si="24"/>
        <v>CABEZA CABALLO-BLANCO</v>
      </c>
      <c r="S480" s="19">
        <f t="shared" si="25"/>
        <v>0</v>
      </c>
      <c r="T480" s="19">
        <f t="shared" si="26"/>
        <v>70</v>
      </c>
      <c r="U480" s="19"/>
      <c r="V480" s="19"/>
      <c r="W480" s="19"/>
      <c r="X480" s="19"/>
      <c r="Y480" s="19"/>
    </row>
    <row r="481" spans="1:25" ht="12" hidden="1" customHeight="1" thickBot="1" x14ac:dyDescent="0.35">
      <c r="A481" s="20">
        <v>2</v>
      </c>
      <c r="B481" s="20" t="s">
        <v>1285</v>
      </c>
      <c r="C481" s="20" t="s">
        <v>1439</v>
      </c>
      <c r="D481" s="20" t="s">
        <v>1440</v>
      </c>
      <c r="E481" s="20">
        <v>279</v>
      </c>
      <c r="F481" s="20" t="s">
        <v>1444</v>
      </c>
      <c r="G481" s="20" t="s">
        <v>1287</v>
      </c>
      <c r="H481" s="20" t="s">
        <v>1288</v>
      </c>
      <c r="I481" s="20"/>
      <c r="J481" s="20">
        <v>70</v>
      </c>
      <c r="K481" s="20">
        <v>2</v>
      </c>
      <c r="L481" s="20" t="s">
        <v>12</v>
      </c>
      <c r="M481" s="20"/>
      <c r="N481" s="20"/>
      <c r="O481" s="20">
        <v>13</v>
      </c>
      <c r="P481" s="20" t="s">
        <v>25</v>
      </c>
      <c r="Q481" s="20" t="s">
        <v>1443</v>
      </c>
      <c r="R481" s="20" t="str">
        <f t="shared" si="24"/>
        <v>CABEZA CABALLO-BLANCO PINTADO</v>
      </c>
      <c r="S481" s="19">
        <f t="shared" si="25"/>
        <v>0</v>
      </c>
      <c r="T481" s="19">
        <f t="shared" si="26"/>
        <v>70</v>
      </c>
      <c r="U481" s="19"/>
      <c r="V481" s="19"/>
      <c r="W481" s="19"/>
      <c r="X481" s="19"/>
      <c r="Y481" s="19"/>
    </row>
    <row r="482" spans="1:25" ht="12" hidden="1" customHeight="1" thickBot="1" x14ac:dyDescent="0.35">
      <c r="A482" s="20">
        <v>2</v>
      </c>
      <c r="B482" s="20" t="s">
        <v>1285</v>
      </c>
      <c r="C482" s="20" t="s">
        <v>1439</v>
      </c>
      <c r="D482" s="20" t="s">
        <v>1440</v>
      </c>
      <c r="E482" s="20">
        <v>280</v>
      </c>
      <c r="F482" s="20" t="s">
        <v>469</v>
      </c>
      <c r="G482" s="20" t="s">
        <v>1287</v>
      </c>
      <c r="H482" s="20" t="s">
        <v>1288</v>
      </c>
      <c r="I482" s="20"/>
      <c r="J482" s="20">
        <v>70</v>
      </c>
      <c r="K482" s="20">
        <v>2</v>
      </c>
      <c r="L482" s="20" t="s">
        <v>12</v>
      </c>
      <c r="M482" s="20"/>
      <c r="N482" s="20"/>
      <c r="O482" s="20">
        <v>25</v>
      </c>
      <c r="P482" s="20" t="s">
        <v>1210</v>
      </c>
      <c r="Q482" s="20" t="s">
        <v>806</v>
      </c>
      <c r="R482" s="20" t="str">
        <f t="shared" si="24"/>
        <v>CABEZA CABALLO-CREMA</v>
      </c>
      <c r="S482" s="19">
        <f t="shared" si="25"/>
        <v>0</v>
      </c>
      <c r="T482" s="19">
        <f t="shared" si="26"/>
        <v>70</v>
      </c>
      <c r="U482" s="19"/>
      <c r="V482" s="19"/>
      <c r="W482" s="19"/>
      <c r="X482" s="19"/>
      <c r="Y482" s="19"/>
    </row>
    <row r="483" spans="1:25" ht="12" hidden="1" customHeight="1" thickBot="1" x14ac:dyDescent="0.35">
      <c r="A483" s="20">
        <v>2</v>
      </c>
      <c r="B483" s="20" t="s">
        <v>1285</v>
      </c>
      <c r="C483" s="20" t="s">
        <v>1439</v>
      </c>
      <c r="D483" s="20" t="s">
        <v>1440</v>
      </c>
      <c r="E483" s="20">
        <v>281</v>
      </c>
      <c r="F483" s="20" t="s">
        <v>1446</v>
      </c>
      <c r="G483" s="20" t="s">
        <v>1287</v>
      </c>
      <c r="H483" s="20" t="s">
        <v>1288</v>
      </c>
      <c r="I483" s="20"/>
      <c r="J483" s="20">
        <v>70</v>
      </c>
      <c r="K483" s="20">
        <v>2</v>
      </c>
      <c r="L483" s="20" t="s">
        <v>12</v>
      </c>
      <c r="M483" s="20"/>
      <c r="N483" s="20"/>
      <c r="O483" s="20">
        <v>25</v>
      </c>
      <c r="P483" s="20" t="s">
        <v>1210</v>
      </c>
      <c r="Q483" s="20" t="s">
        <v>1445</v>
      </c>
      <c r="R483" s="20" t="str">
        <f t="shared" si="24"/>
        <v>CABEZA CABALLO-CREMA PINTADO</v>
      </c>
      <c r="S483" s="19">
        <f t="shared" si="25"/>
        <v>0</v>
      </c>
      <c r="T483" s="19">
        <f t="shared" si="26"/>
        <v>70</v>
      </c>
      <c r="U483" s="19"/>
      <c r="V483" s="19"/>
      <c r="W483" s="19"/>
      <c r="X483" s="19"/>
      <c r="Y483" s="19"/>
    </row>
    <row r="484" spans="1:25" ht="12" hidden="1" customHeight="1" thickBot="1" x14ac:dyDescent="0.35">
      <c r="A484" s="20">
        <v>2</v>
      </c>
      <c r="B484" s="20" t="s">
        <v>1285</v>
      </c>
      <c r="C484" s="20" t="s">
        <v>1439</v>
      </c>
      <c r="D484" s="20" t="s">
        <v>1440</v>
      </c>
      <c r="E484" s="20">
        <v>282</v>
      </c>
      <c r="F484" s="20" t="s">
        <v>470</v>
      </c>
      <c r="G484" s="20" t="s">
        <v>1287</v>
      </c>
      <c r="H484" s="20" t="s">
        <v>1288</v>
      </c>
      <c r="I484" s="20"/>
      <c r="J484" s="20">
        <v>70</v>
      </c>
      <c r="K484" s="20">
        <v>2</v>
      </c>
      <c r="L484" s="20" t="s">
        <v>12</v>
      </c>
      <c r="M484" s="20"/>
      <c r="N484" s="20"/>
      <c r="O484" s="20">
        <v>18</v>
      </c>
      <c r="P484" s="20" t="s">
        <v>1215</v>
      </c>
      <c r="Q484" s="20" t="s">
        <v>807</v>
      </c>
      <c r="R484" s="20" t="str">
        <f t="shared" si="24"/>
        <v>CABEZA CABALLO-NEGRO</v>
      </c>
      <c r="S484" s="19">
        <f t="shared" si="25"/>
        <v>0</v>
      </c>
      <c r="T484" s="19">
        <f t="shared" si="26"/>
        <v>70</v>
      </c>
      <c r="U484" s="19"/>
      <c r="V484" s="19"/>
      <c r="W484" s="19"/>
      <c r="X484" s="19"/>
      <c r="Y484" s="19"/>
    </row>
    <row r="485" spans="1:25" ht="12" hidden="1" customHeight="1" thickBot="1" x14ac:dyDescent="0.35">
      <c r="A485" s="20">
        <v>2</v>
      </c>
      <c r="B485" s="20" t="s">
        <v>1285</v>
      </c>
      <c r="C485" s="20" t="s">
        <v>1439</v>
      </c>
      <c r="D485" s="20" t="s">
        <v>1440</v>
      </c>
      <c r="E485" s="20">
        <v>283</v>
      </c>
      <c r="F485" s="20" t="s">
        <v>1448</v>
      </c>
      <c r="G485" s="20" t="s">
        <v>1287</v>
      </c>
      <c r="H485" s="20" t="s">
        <v>1288</v>
      </c>
      <c r="I485" s="20"/>
      <c r="J485" s="20">
        <v>70</v>
      </c>
      <c r="K485" s="20">
        <v>2</v>
      </c>
      <c r="L485" s="20" t="s">
        <v>12</v>
      </c>
      <c r="M485" s="20"/>
      <c r="N485" s="20"/>
      <c r="O485" s="20">
        <v>18</v>
      </c>
      <c r="P485" s="20" t="s">
        <v>1215</v>
      </c>
      <c r="Q485" s="20" t="s">
        <v>1447</v>
      </c>
      <c r="R485" s="20" t="str">
        <f t="shared" si="24"/>
        <v>CABEZA CABALLO-NEGRO PINTADO</v>
      </c>
      <c r="S485" s="19">
        <f t="shared" si="25"/>
        <v>0</v>
      </c>
      <c r="T485" s="19">
        <f t="shared" si="26"/>
        <v>70</v>
      </c>
      <c r="U485" s="19"/>
      <c r="V485" s="19"/>
      <c r="W485" s="19"/>
      <c r="X485" s="19"/>
      <c r="Y485" s="19"/>
    </row>
    <row r="486" spans="1:25" ht="12" hidden="1" customHeight="1" thickBot="1" x14ac:dyDescent="0.35">
      <c r="A486" s="20">
        <v>2</v>
      </c>
      <c r="B486" s="20" t="s">
        <v>1285</v>
      </c>
      <c r="C486" s="20" t="s">
        <v>1439</v>
      </c>
      <c r="D486" s="20" t="s">
        <v>1440</v>
      </c>
      <c r="E486" s="20">
        <v>284</v>
      </c>
      <c r="F486" s="20" t="s">
        <v>471</v>
      </c>
      <c r="G486" s="20" t="s">
        <v>1287</v>
      </c>
      <c r="H486" s="20" t="s">
        <v>1288</v>
      </c>
      <c r="I486" s="20"/>
      <c r="J486" s="20">
        <v>70</v>
      </c>
      <c r="K486" s="20">
        <v>2</v>
      </c>
      <c r="L486" s="20" t="s">
        <v>12</v>
      </c>
      <c r="M486" s="20"/>
      <c r="N486" s="20"/>
      <c r="O486" s="20">
        <v>26</v>
      </c>
      <c r="P486" s="20" t="s">
        <v>1216</v>
      </c>
      <c r="Q486" s="20" t="s">
        <v>808</v>
      </c>
      <c r="R486" s="20" t="str">
        <f t="shared" si="24"/>
        <v>CABEZA CABALLO-PLOMO</v>
      </c>
      <c r="S486" s="19">
        <f t="shared" si="25"/>
        <v>0</v>
      </c>
      <c r="T486" s="19">
        <f t="shared" si="26"/>
        <v>70</v>
      </c>
      <c r="U486" s="19"/>
      <c r="V486" s="19"/>
      <c r="W486" s="19"/>
      <c r="X486" s="19"/>
      <c r="Y486" s="19"/>
    </row>
    <row r="487" spans="1:25" ht="12" hidden="1" customHeight="1" thickBot="1" x14ac:dyDescent="0.35">
      <c r="A487" s="20">
        <v>2</v>
      </c>
      <c r="B487" s="20" t="s">
        <v>1285</v>
      </c>
      <c r="C487" s="20" t="s">
        <v>1439</v>
      </c>
      <c r="D487" s="20" t="s">
        <v>1440</v>
      </c>
      <c r="E487" s="20">
        <v>285</v>
      </c>
      <c r="F487" s="20" t="s">
        <v>1450</v>
      </c>
      <c r="G487" s="20" t="s">
        <v>1287</v>
      </c>
      <c r="H487" s="20" t="s">
        <v>1288</v>
      </c>
      <c r="I487" s="20"/>
      <c r="J487" s="20">
        <v>70</v>
      </c>
      <c r="K487" s="20">
        <v>2</v>
      </c>
      <c r="L487" s="20" t="s">
        <v>12</v>
      </c>
      <c r="M487" s="20"/>
      <c r="N487" s="20"/>
      <c r="O487" s="20">
        <v>26</v>
      </c>
      <c r="P487" s="20" t="s">
        <v>1216</v>
      </c>
      <c r="Q487" s="20" t="s">
        <v>1449</v>
      </c>
      <c r="R487" s="20" t="str">
        <f t="shared" si="24"/>
        <v>CABEZA CABALLO-PLOMO PINTADO</v>
      </c>
      <c r="S487" s="19">
        <f t="shared" si="25"/>
        <v>0</v>
      </c>
      <c r="T487" s="19">
        <f t="shared" si="26"/>
        <v>70</v>
      </c>
      <c r="U487" s="19"/>
      <c r="V487" s="19"/>
      <c r="W487" s="19"/>
      <c r="X487" s="19"/>
      <c r="Y487" s="19"/>
    </row>
    <row r="488" spans="1:25" ht="12" hidden="1" customHeight="1" thickBot="1" x14ac:dyDescent="0.35">
      <c r="A488" s="20">
        <v>2</v>
      </c>
      <c r="B488" s="20" t="s">
        <v>1285</v>
      </c>
      <c r="C488" s="20" t="s">
        <v>1439</v>
      </c>
      <c r="D488" s="20" t="s">
        <v>1440</v>
      </c>
      <c r="E488" s="20">
        <v>286</v>
      </c>
      <c r="F488" s="20" t="s">
        <v>472</v>
      </c>
      <c r="G488" s="20" t="s">
        <v>1287</v>
      </c>
      <c r="H488" s="20" t="s">
        <v>1288</v>
      </c>
      <c r="I488" s="20"/>
      <c r="J488" s="20">
        <v>70</v>
      </c>
      <c r="K488" s="20">
        <v>2</v>
      </c>
      <c r="L488" s="20" t="s">
        <v>12</v>
      </c>
      <c r="M488" s="20"/>
      <c r="N488" s="20"/>
      <c r="O488" s="20">
        <v>19</v>
      </c>
      <c r="P488" s="20" t="s">
        <v>27</v>
      </c>
      <c r="Q488" s="20" t="s">
        <v>809</v>
      </c>
      <c r="R488" s="20" t="str">
        <f t="shared" si="24"/>
        <v>CABEZA CABALLO-ROJO</v>
      </c>
      <c r="S488" s="19">
        <f t="shared" si="25"/>
        <v>0</v>
      </c>
      <c r="T488" s="19">
        <f t="shared" si="26"/>
        <v>70</v>
      </c>
      <c r="U488" s="19"/>
      <c r="V488" s="19"/>
      <c r="W488" s="19"/>
      <c r="X488" s="19"/>
      <c r="Y488" s="19"/>
    </row>
    <row r="489" spans="1:25" ht="12" hidden="1" customHeight="1" thickBot="1" x14ac:dyDescent="0.35">
      <c r="A489" s="20">
        <v>2</v>
      </c>
      <c r="B489" s="20" t="s">
        <v>1285</v>
      </c>
      <c r="C489" s="20" t="s">
        <v>1439</v>
      </c>
      <c r="D489" s="20" t="s">
        <v>1440</v>
      </c>
      <c r="E489" s="20">
        <v>287</v>
      </c>
      <c r="F489" s="20" t="s">
        <v>1452</v>
      </c>
      <c r="G489" s="20" t="s">
        <v>1287</v>
      </c>
      <c r="H489" s="20" t="s">
        <v>1288</v>
      </c>
      <c r="I489" s="20"/>
      <c r="J489" s="20">
        <v>70</v>
      </c>
      <c r="K489" s="20">
        <v>2</v>
      </c>
      <c r="L489" s="20" t="s">
        <v>12</v>
      </c>
      <c r="M489" s="20"/>
      <c r="N489" s="20"/>
      <c r="O489" s="20">
        <v>19</v>
      </c>
      <c r="P489" s="20" t="s">
        <v>27</v>
      </c>
      <c r="Q489" s="20" t="s">
        <v>1451</v>
      </c>
      <c r="R489" s="20" t="str">
        <f t="shared" si="24"/>
        <v>CABEZA CABALLO-ROJO PINTADO</v>
      </c>
      <c r="S489" s="19">
        <f t="shared" si="25"/>
        <v>0</v>
      </c>
      <c r="T489" s="19">
        <f t="shared" si="26"/>
        <v>70</v>
      </c>
      <c r="U489" s="19"/>
      <c r="V489" s="19"/>
      <c r="W489" s="19"/>
      <c r="X489" s="19"/>
      <c r="Y489" s="19"/>
    </row>
    <row r="490" spans="1:25" ht="12" hidden="1" customHeight="1" thickBot="1" x14ac:dyDescent="0.35">
      <c r="A490" s="20">
        <v>2</v>
      </c>
      <c r="B490" s="20" t="s">
        <v>1285</v>
      </c>
      <c r="C490" s="20" t="s">
        <v>1439</v>
      </c>
      <c r="D490" s="20" t="s">
        <v>1440</v>
      </c>
      <c r="E490" s="20">
        <v>288</v>
      </c>
      <c r="F490" s="20" t="s">
        <v>473</v>
      </c>
      <c r="G490" s="20" t="s">
        <v>1287</v>
      </c>
      <c r="H490" s="20" t="s">
        <v>1288</v>
      </c>
      <c r="I490" s="20"/>
      <c r="J490" s="20">
        <v>8</v>
      </c>
      <c r="K490" s="20">
        <v>1</v>
      </c>
      <c r="L490" s="20" t="s">
        <v>13</v>
      </c>
      <c r="M490" s="20"/>
      <c r="N490" s="20"/>
      <c r="O490" s="20">
        <v>13</v>
      </c>
      <c r="P490" s="20" t="s">
        <v>25</v>
      </c>
      <c r="Q490" s="20" t="s">
        <v>810</v>
      </c>
      <c r="R490" s="20" t="str">
        <f t="shared" si="24"/>
        <v>EJE CABALLO-BLANCO</v>
      </c>
      <c r="S490" s="19">
        <f t="shared" si="25"/>
        <v>0</v>
      </c>
      <c r="T490" s="19">
        <f t="shared" si="26"/>
        <v>8</v>
      </c>
      <c r="U490" s="19"/>
      <c r="V490" s="19"/>
      <c r="W490" s="19"/>
      <c r="X490" s="19"/>
      <c r="Y490" s="19"/>
    </row>
    <row r="491" spans="1:25" ht="12" hidden="1" customHeight="1" thickBot="1" x14ac:dyDescent="0.35">
      <c r="A491" s="20">
        <v>2</v>
      </c>
      <c r="B491" s="20" t="s">
        <v>1285</v>
      </c>
      <c r="C491" s="20" t="s">
        <v>1439</v>
      </c>
      <c r="D491" s="20" t="s">
        <v>1440</v>
      </c>
      <c r="E491" s="20">
        <v>289</v>
      </c>
      <c r="F491" s="20" t="s">
        <v>474</v>
      </c>
      <c r="G491" s="20" t="s">
        <v>1287</v>
      </c>
      <c r="H491" s="20" t="s">
        <v>1288</v>
      </c>
      <c r="I491" s="20"/>
      <c r="J491" s="20">
        <v>24</v>
      </c>
      <c r="K491" s="20">
        <v>1</v>
      </c>
      <c r="L491" s="20" t="s">
        <v>13</v>
      </c>
      <c r="M491" s="20"/>
      <c r="N491" s="20"/>
      <c r="O491" s="20">
        <v>13</v>
      </c>
      <c r="P491" s="20" t="s">
        <v>25</v>
      </c>
      <c r="Q491" s="20" t="s">
        <v>811</v>
      </c>
      <c r="R491" s="20" t="str">
        <f t="shared" si="24"/>
        <v>LLANTAS CABALLO-BLANCO</v>
      </c>
      <c r="S491" s="19">
        <f t="shared" si="25"/>
        <v>0</v>
      </c>
      <c r="T491" s="19">
        <f t="shared" si="26"/>
        <v>24</v>
      </c>
      <c r="U491" s="19"/>
      <c r="V491" s="19"/>
      <c r="W491" s="19"/>
      <c r="X491" s="19"/>
      <c r="Y491" s="19"/>
    </row>
    <row r="492" spans="1:25" ht="12" hidden="1" customHeight="1" thickBot="1" x14ac:dyDescent="0.35">
      <c r="A492" s="20">
        <v>2</v>
      </c>
      <c r="B492" s="20" t="s">
        <v>1285</v>
      </c>
      <c r="C492" s="20" t="s">
        <v>1439</v>
      </c>
      <c r="D492" s="20" t="s">
        <v>1454</v>
      </c>
      <c r="E492" s="20">
        <v>290</v>
      </c>
      <c r="F492" s="20" t="s">
        <v>1455</v>
      </c>
      <c r="G492" s="20" t="s">
        <v>1287</v>
      </c>
      <c r="H492" s="20" t="s">
        <v>1288</v>
      </c>
      <c r="I492" s="20"/>
      <c r="J492" s="20">
        <v>12</v>
      </c>
      <c r="K492" s="20">
        <v>1</v>
      </c>
      <c r="L492" s="20" t="s">
        <v>13</v>
      </c>
      <c r="M492" s="20"/>
      <c r="N492" s="20"/>
      <c r="O492" s="20">
        <v>10</v>
      </c>
      <c r="P492" s="20" t="s">
        <v>26</v>
      </c>
      <c r="Q492" s="20" t="s">
        <v>1453</v>
      </c>
      <c r="R492" s="20" t="str">
        <f t="shared" si="24"/>
        <v>ASAS CANDY-AMARILLO</v>
      </c>
      <c r="S492" s="19">
        <f t="shared" si="25"/>
        <v>0</v>
      </c>
      <c r="T492" s="19">
        <f t="shared" si="26"/>
        <v>12</v>
      </c>
      <c r="U492" s="19"/>
      <c r="V492" s="19"/>
      <c r="W492" s="19"/>
      <c r="X492" s="19"/>
      <c r="Y492" s="19"/>
    </row>
    <row r="493" spans="1:25" ht="12" hidden="1" customHeight="1" thickBot="1" x14ac:dyDescent="0.35">
      <c r="A493" s="20">
        <v>2</v>
      </c>
      <c r="B493" s="20" t="s">
        <v>1285</v>
      </c>
      <c r="C493" s="20" t="s">
        <v>1457</v>
      </c>
      <c r="D493" s="20" t="s">
        <v>1454</v>
      </c>
      <c r="E493" s="20">
        <v>291</v>
      </c>
      <c r="F493" s="20" t="s">
        <v>1458</v>
      </c>
      <c r="G493" s="20" t="s">
        <v>1287</v>
      </c>
      <c r="H493" s="20" t="s">
        <v>1288</v>
      </c>
      <c r="I493" s="20"/>
      <c r="J493" s="20">
        <v>12</v>
      </c>
      <c r="K493" s="20">
        <v>1</v>
      </c>
      <c r="L493" s="20" t="s">
        <v>13</v>
      </c>
      <c r="M493" s="20"/>
      <c r="N493" s="20"/>
      <c r="O493" s="20">
        <v>11</v>
      </c>
      <c r="P493" s="20" t="s">
        <v>1207</v>
      </c>
      <c r="Q493" s="20" t="s">
        <v>1456</v>
      </c>
      <c r="R493" s="20" t="str">
        <f t="shared" si="24"/>
        <v>ASAS CANDY-ANARANJADO</v>
      </c>
      <c r="S493" s="19">
        <f t="shared" si="25"/>
        <v>0</v>
      </c>
      <c r="T493" s="19">
        <f t="shared" si="26"/>
        <v>12</v>
      </c>
      <c r="U493" s="19"/>
      <c r="V493" s="19"/>
      <c r="W493" s="19"/>
      <c r="X493" s="19"/>
      <c r="Y493" s="19"/>
    </row>
    <row r="494" spans="1:25" ht="12" hidden="1" customHeight="1" thickBot="1" x14ac:dyDescent="0.35">
      <c r="A494" s="20">
        <v>2</v>
      </c>
      <c r="B494" s="20" t="s">
        <v>1285</v>
      </c>
      <c r="C494" s="20" t="s">
        <v>1457</v>
      </c>
      <c r="D494" s="20" t="s">
        <v>1454</v>
      </c>
      <c r="E494" s="20">
        <v>292</v>
      </c>
      <c r="F494" s="20" t="s">
        <v>1460</v>
      </c>
      <c r="G494" s="20" t="s">
        <v>1287</v>
      </c>
      <c r="H494" s="20" t="s">
        <v>1288</v>
      </c>
      <c r="I494" s="20"/>
      <c r="J494" s="20">
        <v>12</v>
      </c>
      <c r="K494" s="20">
        <v>1</v>
      </c>
      <c r="L494" s="20" t="s">
        <v>13</v>
      </c>
      <c r="M494" s="20"/>
      <c r="N494" s="20"/>
      <c r="O494" s="20">
        <v>12</v>
      </c>
      <c r="P494" s="20" t="s">
        <v>24</v>
      </c>
      <c r="Q494" s="20" t="s">
        <v>1459</v>
      </c>
      <c r="R494" s="20" t="str">
        <f t="shared" si="24"/>
        <v>ASAS CANDY-AZUL</v>
      </c>
      <c r="S494" s="19">
        <f t="shared" si="25"/>
        <v>0</v>
      </c>
      <c r="T494" s="19">
        <f t="shared" si="26"/>
        <v>12</v>
      </c>
      <c r="U494" s="19"/>
      <c r="V494" s="19"/>
      <c r="W494" s="19"/>
      <c r="X494" s="19"/>
      <c r="Y494" s="19"/>
    </row>
    <row r="495" spans="1:25" ht="12" hidden="1" customHeight="1" thickBot="1" x14ac:dyDescent="0.35">
      <c r="A495" s="20">
        <v>2</v>
      </c>
      <c r="B495" s="20" t="s">
        <v>1285</v>
      </c>
      <c r="C495" s="20" t="s">
        <v>1457</v>
      </c>
      <c r="D495" s="20" t="s">
        <v>1454</v>
      </c>
      <c r="E495" s="20">
        <v>293</v>
      </c>
      <c r="F495" s="20" t="s">
        <v>1462</v>
      </c>
      <c r="G495" s="20" t="s">
        <v>1287</v>
      </c>
      <c r="H495" s="20" t="s">
        <v>1288</v>
      </c>
      <c r="I495" s="20"/>
      <c r="J495" s="20">
        <v>12</v>
      </c>
      <c r="K495" s="20">
        <v>1</v>
      </c>
      <c r="L495" s="20" t="s">
        <v>13</v>
      </c>
      <c r="M495" s="20"/>
      <c r="N495" s="20"/>
      <c r="O495" s="20">
        <v>15</v>
      </c>
      <c r="P495" s="20" t="s">
        <v>1211</v>
      </c>
      <c r="Q495" s="20" t="s">
        <v>1461</v>
      </c>
      <c r="R495" s="20" t="str">
        <f t="shared" si="24"/>
        <v>ASAS CANDY-FUCCIA</v>
      </c>
      <c r="S495" s="19">
        <f t="shared" si="25"/>
        <v>0</v>
      </c>
      <c r="T495" s="19">
        <f t="shared" si="26"/>
        <v>12</v>
      </c>
      <c r="U495" s="19"/>
      <c r="V495" s="19"/>
      <c r="W495" s="19"/>
      <c r="X495" s="19"/>
      <c r="Y495" s="19"/>
    </row>
    <row r="496" spans="1:25" ht="12" hidden="1" customHeight="1" thickBot="1" x14ac:dyDescent="0.35">
      <c r="A496" s="20">
        <v>2</v>
      </c>
      <c r="B496" s="20" t="s">
        <v>1285</v>
      </c>
      <c r="C496" s="20" t="s">
        <v>1457</v>
      </c>
      <c r="D496" s="20" t="s">
        <v>1454</v>
      </c>
      <c r="E496" s="20">
        <v>294</v>
      </c>
      <c r="F496" s="20" t="s">
        <v>1464</v>
      </c>
      <c r="G496" s="20" t="s">
        <v>1287</v>
      </c>
      <c r="H496" s="20" t="s">
        <v>1288</v>
      </c>
      <c r="I496" s="20"/>
      <c r="J496" s="20">
        <v>12</v>
      </c>
      <c r="K496" s="20">
        <v>1</v>
      </c>
      <c r="L496" s="20" t="s">
        <v>13</v>
      </c>
      <c r="M496" s="20"/>
      <c r="N496" s="20"/>
      <c r="O496" s="20">
        <v>16</v>
      </c>
      <c r="P496" s="20" t="s">
        <v>1212</v>
      </c>
      <c r="Q496" s="20" t="s">
        <v>1463</v>
      </c>
      <c r="R496" s="20" t="str">
        <f t="shared" si="24"/>
        <v>ASAS CANDY-LILA</v>
      </c>
      <c r="S496" s="19">
        <f t="shared" si="25"/>
        <v>0</v>
      </c>
      <c r="T496" s="19">
        <f t="shared" si="26"/>
        <v>12</v>
      </c>
      <c r="U496" s="19"/>
      <c r="V496" s="19"/>
      <c r="W496" s="19"/>
      <c r="X496" s="19"/>
      <c r="Y496" s="19"/>
    </row>
    <row r="497" spans="1:25" ht="12" hidden="1" customHeight="1" thickBot="1" x14ac:dyDescent="0.35">
      <c r="A497" s="20">
        <v>2</v>
      </c>
      <c r="B497" s="20" t="s">
        <v>1285</v>
      </c>
      <c r="C497" s="20" t="s">
        <v>1457</v>
      </c>
      <c r="D497" s="20" t="s">
        <v>1454</v>
      </c>
      <c r="E497" s="20">
        <v>295</v>
      </c>
      <c r="F497" s="20" t="s">
        <v>1466</v>
      </c>
      <c r="G497" s="20" t="s">
        <v>1287</v>
      </c>
      <c r="H497" s="20" t="s">
        <v>1288</v>
      </c>
      <c r="I497" s="20"/>
      <c r="J497" s="20">
        <v>12</v>
      </c>
      <c r="K497" s="20">
        <v>1</v>
      </c>
      <c r="L497" s="20" t="s">
        <v>13</v>
      </c>
      <c r="M497" s="20"/>
      <c r="N497" s="20"/>
      <c r="O497" s="20">
        <v>23</v>
      </c>
      <c r="P497" s="20" t="s">
        <v>1221</v>
      </c>
      <c r="Q497" s="20" t="s">
        <v>1465</v>
      </c>
      <c r="R497" s="20" t="str">
        <f t="shared" si="24"/>
        <v>ASAS CANDY-VERDE TELEFONICO</v>
      </c>
      <c r="S497" s="19">
        <f t="shared" si="25"/>
        <v>0</v>
      </c>
      <c r="T497" s="19">
        <f t="shared" si="26"/>
        <v>12</v>
      </c>
      <c r="U497" s="19"/>
      <c r="V497" s="19"/>
      <c r="W497" s="19"/>
      <c r="X497" s="19"/>
      <c r="Y497" s="19"/>
    </row>
    <row r="498" spans="1:25" ht="12" hidden="1" customHeight="1" thickBot="1" x14ac:dyDescent="0.35">
      <c r="A498" s="20">
        <v>2</v>
      </c>
      <c r="B498" s="20" t="s">
        <v>1285</v>
      </c>
      <c r="C498" s="20" t="s">
        <v>1457</v>
      </c>
      <c r="D498" s="20" t="s">
        <v>1454</v>
      </c>
      <c r="E498" s="20">
        <v>296</v>
      </c>
      <c r="F498" s="20" t="s">
        <v>475</v>
      </c>
      <c r="G498" s="20" t="s">
        <v>1287</v>
      </c>
      <c r="H498" s="20" t="s">
        <v>1288</v>
      </c>
      <c r="I498" s="20"/>
      <c r="J498" s="20">
        <v>84</v>
      </c>
      <c r="K498" s="20">
        <v>1</v>
      </c>
      <c r="L498" s="20" t="s">
        <v>13</v>
      </c>
      <c r="M498" s="20"/>
      <c r="N498" s="20"/>
      <c r="O498" s="20">
        <v>25</v>
      </c>
      <c r="P498" s="20" t="s">
        <v>1210</v>
      </c>
      <c r="Q498" s="20" t="s">
        <v>812</v>
      </c>
      <c r="R498" s="20" t="str">
        <f t="shared" si="24"/>
        <v>CANASTA CANDY-CREMA</v>
      </c>
      <c r="S498" s="19">
        <f t="shared" si="25"/>
        <v>0</v>
      </c>
      <c r="T498" s="19">
        <f t="shared" si="26"/>
        <v>84</v>
      </c>
      <c r="U498" s="19"/>
      <c r="V498" s="19"/>
      <c r="W498" s="19"/>
      <c r="X498" s="19"/>
      <c r="Y498" s="19"/>
    </row>
    <row r="499" spans="1:25" ht="12" hidden="1" customHeight="1" thickBot="1" x14ac:dyDescent="0.35">
      <c r="A499" s="20">
        <v>2</v>
      </c>
      <c r="B499" s="20" t="s">
        <v>1285</v>
      </c>
      <c r="C499" s="20" t="s">
        <v>1457</v>
      </c>
      <c r="D499" s="20" t="s">
        <v>1454</v>
      </c>
      <c r="E499" s="20">
        <v>297</v>
      </c>
      <c r="F499" s="20" t="s">
        <v>1468</v>
      </c>
      <c r="G499" s="20" t="s">
        <v>1287</v>
      </c>
      <c r="H499" s="20" t="s">
        <v>1288</v>
      </c>
      <c r="I499" s="20"/>
      <c r="J499" s="20">
        <v>84</v>
      </c>
      <c r="K499" s="20">
        <v>1</v>
      </c>
      <c r="L499" s="20" t="s">
        <v>13</v>
      </c>
      <c r="M499" s="20"/>
      <c r="N499" s="20"/>
      <c r="O499" s="20">
        <v>25</v>
      </c>
      <c r="P499" s="20" t="s">
        <v>1210</v>
      </c>
      <c r="Q499" s="20" t="s">
        <v>1467</v>
      </c>
      <c r="R499" s="20" t="str">
        <f t="shared" si="24"/>
        <v>CANASTA CANDY-CREMA PINTADO</v>
      </c>
      <c r="S499" s="19">
        <f t="shared" si="25"/>
        <v>0</v>
      </c>
      <c r="T499" s="19">
        <f t="shared" si="26"/>
        <v>84</v>
      </c>
      <c r="U499" s="19"/>
      <c r="V499" s="19"/>
      <c r="W499" s="19"/>
      <c r="X499" s="19"/>
      <c r="Y499" s="19"/>
    </row>
    <row r="500" spans="1:25" ht="12" hidden="1" customHeight="1" thickBot="1" x14ac:dyDescent="0.35">
      <c r="A500" s="20">
        <v>2</v>
      </c>
      <c r="B500" s="20" t="s">
        <v>1285</v>
      </c>
      <c r="C500" s="20" t="s">
        <v>1469</v>
      </c>
      <c r="D500" s="20" t="s">
        <v>1470</v>
      </c>
      <c r="E500" s="20">
        <v>298</v>
      </c>
      <c r="F500" s="20" t="s">
        <v>476</v>
      </c>
      <c r="G500" s="20" t="s">
        <v>1287</v>
      </c>
      <c r="H500" s="20" t="s">
        <v>1288</v>
      </c>
      <c r="I500" s="20"/>
      <c r="J500" s="20">
        <v>17</v>
      </c>
      <c r="K500" s="20">
        <v>2</v>
      </c>
      <c r="L500" s="20" t="s">
        <v>12</v>
      </c>
      <c r="M500" s="20"/>
      <c r="N500" s="20"/>
      <c r="O500" s="20">
        <v>13</v>
      </c>
      <c r="P500" s="20" t="s">
        <v>25</v>
      </c>
      <c r="Q500" s="20" t="s">
        <v>813</v>
      </c>
      <c r="R500" s="20" t="str">
        <f t="shared" si="24"/>
        <v>ANIMALES GANADERO-BLANCO</v>
      </c>
      <c r="S500" s="19">
        <f t="shared" si="25"/>
        <v>0</v>
      </c>
      <c r="T500" s="19">
        <f t="shared" si="26"/>
        <v>17</v>
      </c>
      <c r="U500" s="19"/>
      <c r="V500" s="19"/>
      <c r="W500" s="19"/>
      <c r="X500" s="19"/>
      <c r="Y500" s="19"/>
    </row>
    <row r="501" spans="1:25" ht="12" hidden="1" customHeight="1" thickBot="1" x14ac:dyDescent="0.35">
      <c r="A501" s="20">
        <v>2</v>
      </c>
      <c r="B501" s="20" t="s">
        <v>1285</v>
      </c>
      <c r="C501" s="20" t="s">
        <v>1469</v>
      </c>
      <c r="D501" s="20" t="s">
        <v>1470</v>
      </c>
      <c r="E501" s="20">
        <v>299</v>
      </c>
      <c r="F501" s="20" t="s">
        <v>477</v>
      </c>
      <c r="G501" s="20" t="s">
        <v>1287</v>
      </c>
      <c r="H501" s="20" t="s">
        <v>1288</v>
      </c>
      <c r="I501" s="20"/>
      <c r="J501" s="20">
        <v>17</v>
      </c>
      <c r="K501" s="20">
        <v>2</v>
      </c>
      <c r="L501" s="20" t="s">
        <v>12</v>
      </c>
      <c r="M501" s="20"/>
      <c r="N501" s="20"/>
      <c r="O501" s="20">
        <v>18</v>
      </c>
      <c r="P501" s="20" t="s">
        <v>1215</v>
      </c>
      <c r="Q501" s="20" t="s">
        <v>814</v>
      </c>
      <c r="R501" s="20" t="str">
        <f t="shared" si="24"/>
        <v>ANIMALES GANADERO-NEGRO</v>
      </c>
      <c r="S501" s="19">
        <f t="shared" si="25"/>
        <v>0</v>
      </c>
      <c r="T501" s="19">
        <f t="shared" si="26"/>
        <v>17</v>
      </c>
      <c r="U501" s="19"/>
      <c r="V501" s="19"/>
      <c r="W501" s="19"/>
      <c r="X501" s="19"/>
      <c r="Y501" s="19"/>
    </row>
    <row r="502" spans="1:25" ht="12" hidden="1" customHeight="1" thickBot="1" x14ac:dyDescent="0.35">
      <c r="A502" s="20">
        <v>2</v>
      </c>
      <c r="B502" s="20" t="s">
        <v>1285</v>
      </c>
      <c r="C502" s="20" t="s">
        <v>1469</v>
      </c>
      <c r="D502" s="20" t="s">
        <v>1470</v>
      </c>
      <c r="E502" s="20">
        <v>300</v>
      </c>
      <c r="F502" s="20" t="s">
        <v>478</v>
      </c>
      <c r="G502" s="20" t="s">
        <v>1287</v>
      </c>
      <c r="H502" s="20" t="s">
        <v>1288</v>
      </c>
      <c r="I502" s="20"/>
      <c r="J502" s="20">
        <v>58</v>
      </c>
      <c r="K502" s="20">
        <v>1</v>
      </c>
      <c r="L502" s="20" t="s">
        <v>13</v>
      </c>
      <c r="M502" s="20"/>
      <c r="N502" s="20"/>
      <c r="O502" s="20">
        <v>10</v>
      </c>
      <c r="P502" s="20" t="s">
        <v>26</v>
      </c>
      <c r="Q502" s="20" t="s">
        <v>761</v>
      </c>
      <c r="R502" s="20" t="str">
        <f t="shared" si="24"/>
        <v>CHASIS ANDINO-AMARILLO</v>
      </c>
      <c r="S502" s="19">
        <f t="shared" si="25"/>
        <v>0</v>
      </c>
      <c r="T502" s="19">
        <f t="shared" si="26"/>
        <v>58</v>
      </c>
      <c r="U502" s="19"/>
      <c r="V502" s="19"/>
      <c r="W502" s="19"/>
      <c r="X502" s="19"/>
      <c r="Y502" s="19"/>
    </row>
    <row r="503" spans="1:25" ht="12" hidden="1" customHeight="1" thickBot="1" x14ac:dyDescent="0.35">
      <c r="A503" s="20">
        <v>2</v>
      </c>
      <c r="B503" s="20" t="s">
        <v>1285</v>
      </c>
      <c r="C503" s="20" t="s">
        <v>1469</v>
      </c>
      <c r="D503" s="20" t="s">
        <v>1470</v>
      </c>
      <c r="E503" s="20">
        <v>301</v>
      </c>
      <c r="F503" s="20" t="s">
        <v>479</v>
      </c>
      <c r="G503" s="20" t="s">
        <v>1287</v>
      </c>
      <c r="H503" s="20" t="s">
        <v>1288</v>
      </c>
      <c r="I503" s="20"/>
      <c r="J503" s="20">
        <v>58</v>
      </c>
      <c r="K503" s="20">
        <v>1</v>
      </c>
      <c r="L503" s="20" t="s">
        <v>13</v>
      </c>
      <c r="M503" s="20"/>
      <c r="N503" s="20"/>
      <c r="O503" s="20">
        <v>11</v>
      </c>
      <c r="P503" s="20" t="s">
        <v>1207</v>
      </c>
      <c r="Q503" s="20" t="s">
        <v>762</v>
      </c>
      <c r="R503" s="20" t="str">
        <f t="shared" si="24"/>
        <v>CHASIS ANDINO-ANARANJADO</v>
      </c>
      <c r="S503" s="19">
        <f t="shared" si="25"/>
        <v>0</v>
      </c>
      <c r="T503" s="19">
        <f t="shared" si="26"/>
        <v>58</v>
      </c>
      <c r="U503" s="19"/>
      <c r="V503" s="19"/>
      <c r="W503" s="19"/>
      <c r="X503" s="19"/>
      <c r="Y503" s="19"/>
    </row>
    <row r="504" spans="1:25" ht="12" hidden="1" customHeight="1" thickBot="1" x14ac:dyDescent="0.35">
      <c r="A504" s="20">
        <v>2</v>
      </c>
      <c r="B504" s="20" t="s">
        <v>1285</v>
      </c>
      <c r="C504" s="20" t="s">
        <v>1469</v>
      </c>
      <c r="D504" s="20" t="s">
        <v>1470</v>
      </c>
      <c r="E504" s="20">
        <v>302</v>
      </c>
      <c r="F504" s="20" t="s">
        <v>480</v>
      </c>
      <c r="G504" s="20" t="s">
        <v>1287</v>
      </c>
      <c r="H504" s="20" t="s">
        <v>1288</v>
      </c>
      <c r="I504" s="20"/>
      <c r="J504" s="20">
        <v>58</v>
      </c>
      <c r="K504" s="20">
        <v>1</v>
      </c>
      <c r="L504" s="20" t="s">
        <v>13</v>
      </c>
      <c r="M504" s="20"/>
      <c r="N504" s="20"/>
      <c r="O504" s="20">
        <v>12</v>
      </c>
      <c r="P504" s="20" t="s">
        <v>24</v>
      </c>
      <c r="Q504" s="20" t="s">
        <v>763</v>
      </c>
      <c r="R504" s="20" t="str">
        <f t="shared" si="24"/>
        <v>CHASIS ANDINO-AZUL</v>
      </c>
      <c r="S504" s="19">
        <f t="shared" si="25"/>
        <v>0</v>
      </c>
      <c r="T504" s="19">
        <f t="shared" si="26"/>
        <v>58</v>
      </c>
      <c r="U504" s="19"/>
      <c r="V504" s="19"/>
      <c r="W504" s="19"/>
      <c r="X504" s="19"/>
      <c r="Y504" s="19"/>
    </row>
    <row r="505" spans="1:25" ht="12" hidden="1" customHeight="1" thickBot="1" x14ac:dyDescent="0.35">
      <c r="A505" s="20">
        <v>2</v>
      </c>
      <c r="B505" s="20" t="s">
        <v>1285</v>
      </c>
      <c r="C505" s="20" t="s">
        <v>1469</v>
      </c>
      <c r="D505" s="20" t="s">
        <v>1470</v>
      </c>
      <c r="E505" s="20">
        <v>303</v>
      </c>
      <c r="F505" s="20" t="s">
        <v>481</v>
      </c>
      <c r="G505" s="20" t="s">
        <v>1287</v>
      </c>
      <c r="H505" s="20" t="s">
        <v>1288</v>
      </c>
      <c r="I505" s="20"/>
      <c r="J505" s="20">
        <v>58</v>
      </c>
      <c r="K505" s="20">
        <v>1</v>
      </c>
      <c r="L505" s="20" t="s">
        <v>13</v>
      </c>
      <c r="M505" s="20"/>
      <c r="N505" s="20"/>
      <c r="O505" s="20">
        <v>14</v>
      </c>
      <c r="P505" s="20" t="s">
        <v>1209</v>
      </c>
      <c r="Q505" s="20" t="s">
        <v>815</v>
      </c>
      <c r="R505" s="20" t="str">
        <f t="shared" si="24"/>
        <v>CHASIS ANDINO-CELESTE</v>
      </c>
      <c r="S505" s="19">
        <f t="shared" si="25"/>
        <v>0</v>
      </c>
      <c r="T505" s="19">
        <f t="shared" si="26"/>
        <v>58</v>
      </c>
      <c r="U505" s="19"/>
      <c r="V505" s="19"/>
      <c r="W505" s="19"/>
      <c r="X505" s="19"/>
      <c r="Y505" s="19"/>
    </row>
    <row r="506" spans="1:25" ht="12" hidden="1" customHeight="1" thickBot="1" x14ac:dyDescent="0.35">
      <c r="A506" s="20">
        <v>2</v>
      </c>
      <c r="B506" s="20" t="s">
        <v>1285</v>
      </c>
      <c r="C506" s="20" t="s">
        <v>1469</v>
      </c>
      <c r="D506" s="20" t="s">
        <v>1470</v>
      </c>
      <c r="E506" s="20">
        <v>304</v>
      </c>
      <c r="F506" s="20" t="s">
        <v>482</v>
      </c>
      <c r="G506" s="20" t="s">
        <v>1287</v>
      </c>
      <c r="H506" s="20" t="s">
        <v>1288</v>
      </c>
      <c r="I506" s="20"/>
      <c r="J506" s="20">
        <v>58</v>
      </c>
      <c r="K506" s="20">
        <v>1</v>
      </c>
      <c r="L506" s="20" t="s">
        <v>13</v>
      </c>
      <c r="M506" s="20"/>
      <c r="N506" s="20"/>
      <c r="O506" s="20">
        <v>19</v>
      </c>
      <c r="P506" s="20" t="s">
        <v>27</v>
      </c>
      <c r="Q506" s="20" t="s">
        <v>816</v>
      </c>
      <c r="R506" s="20" t="str">
        <f t="shared" si="24"/>
        <v>CHASIS ANDINO-ROJO</v>
      </c>
      <c r="S506" s="19">
        <f t="shared" si="25"/>
        <v>0</v>
      </c>
      <c r="T506" s="19">
        <f t="shared" si="26"/>
        <v>58</v>
      </c>
      <c r="U506" s="19"/>
      <c r="V506" s="19"/>
      <c r="W506" s="19"/>
      <c r="X506" s="19"/>
      <c r="Y506" s="19"/>
    </row>
    <row r="507" spans="1:25" ht="12" hidden="1" customHeight="1" thickBot="1" x14ac:dyDescent="0.35">
      <c r="A507" s="20">
        <v>2</v>
      </c>
      <c r="B507" s="20" t="s">
        <v>1285</v>
      </c>
      <c r="C507" s="20" t="s">
        <v>1469</v>
      </c>
      <c r="D507" s="20" t="s">
        <v>1470</v>
      </c>
      <c r="E507" s="20">
        <v>305</v>
      </c>
      <c r="F507" s="20" t="s">
        <v>483</v>
      </c>
      <c r="G507" s="20" t="s">
        <v>1287</v>
      </c>
      <c r="H507" s="20" t="s">
        <v>1288</v>
      </c>
      <c r="I507" s="20"/>
      <c r="J507" s="20">
        <v>58</v>
      </c>
      <c r="K507" s="20">
        <v>1</v>
      </c>
      <c r="L507" s="20" t="s">
        <v>13</v>
      </c>
      <c r="M507" s="20"/>
      <c r="N507" s="20"/>
      <c r="O507" s="20">
        <v>23</v>
      </c>
      <c r="P507" s="20" t="s">
        <v>1221</v>
      </c>
      <c r="Q507" s="20" t="s">
        <v>764</v>
      </c>
      <c r="R507" s="20" t="str">
        <f t="shared" si="24"/>
        <v>CHASIS ANIDNO-VERDE</v>
      </c>
      <c r="S507" s="19">
        <f t="shared" si="25"/>
        <v>0</v>
      </c>
      <c r="T507" s="19">
        <f t="shared" si="26"/>
        <v>58</v>
      </c>
      <c r="U507" s="19"/>
      <c r="V507" s="19"/>
      <c r="W507" s="19"/>
      <c r="X507" s="19"/>
      <c r="Y507" s="19"/>
    </row>
    <row r="508" spans="1:25" ht="12" hidden="1" customHeight="1" thickBot="1" x14ac:dyDescent="0.35">
      <c r="A508" s="20">
        <v>2</v>
      </c>
      <c r="B508" s="20" t="s">
        <v>1285</v>
      </c>
      <c r="C508" s="20" t="s">
        <v>1469</v>
      </c>
      <c r="D508" s="20" t="s">
        <v>1470</v>
      </c>
      <c r="E508" s="20">
        <v>306</v>
      </c>
      <c r="F508" s="20" t="s">
        <v>484</v>
      </c>
      <c r="G508" s="20" t="s">
        <v>1287</v>
      </c>
      <c r="H508" s="20" t="s">
        <v>1288</v>
      </c>
      <c r="I508" s="20"/>
      <c r="J508" s="20">
        <v>12</v>
      </c>
      <c r="K508" s="20">
        <v>1</v>
      </c>
      <c r="L508" s="20" t="s">
        <v>13</v>
      </c>
      <c r="M508" s="20"/>
      <c r="N508" s="20"/>
      <c r="O508" s="20">
        <v>18</v>
      </c>
      <c r="P508" s="20" t="s">
        <v>1215</v>
      </c>
      <c r="Q508" s="20" t="s">
        <v>817</v>
      </c>
      <c r="R508" s="20" t="str">
        <f t="shared" si="24"/>
        <v>LLANTAS CAMION-NEGRO</v>
      </c>
      <c r="S508" s="19">
        <f t="shared" si="25"/>
        <v>0</v>
      </c>
      <c r="T508" s="19">
        <f t="shared" si="26"/>
        <v>12</v>
      </c>
      <c r="U508" s="19"/>
      <c r="V508" s="19"/>
      <c r="W508" s="19"/>
      <c r="X508" s="19"/>
      <c r="Y508" s="19"/>
    </row>
    <row r="509" spans="1:25" ht="12" hidden="1" customHeight="1" thickBot="1" x14ac:dyDescent="0.35">
      <c r="A509" s="20">
        <v>2</v>
      </c>
      <c r="B509" s="20" t="s">
        <v>1285</v>
      </c>
      <c r="C509" s="20" t="s">
        <v>1469</v>
      </c>
      <c r="D509" s="20" t="s">
        <v>1470</v>
      </c>
      <c r="E509" s="20">
        <v>307</v>
      </c>
      <c r="F509" s="20" t="s">
        <v>485</v>
      </c>
      <c r="G509" s="20" t="s">
        <v>1287</v>
      </c>
      <c r="H509" s="20" t="s">
        <v>1288</v>
      </c>
      <c r="I509" s="20"/>
      <c r="J509" s="20">
        <v>89</v>
      </c>
      <c r="K509" s="20">
        <v>1</v>
      </c>
      <c r="L509" s="20" t="s">
        <v>13</v>
      </c>
      <c r="M509" s="20"/>
      <c r="N509" s="20"/>
      <c r="O509" s="20">
        <v>10</v>
      </c>
      <c r="P509" s="20" t="s">
        <v>26</v>
      </c>
      <c r="Q509" s="20" t="s">
        <v>818</v>
      </c>
      <c r="R509" s="20" t="str">
        <f t="shared" si="24"/>
        <v>TOLVA CAMION-AMARILLO</v>
      </c>
      <c r="S509" s="19">
        <f t="shared" si="25"/>
        <v>0</v>
      </c>
      <c r="T509" s="19">
        <f t="shared" si="26"/>
        <v>89</v>
      </c>
      <c r="U509" s="19"/>
      <c r="V509" s="19"/>
      <c r="W509" s="19"/>
      <c r="X509" s="19"/>
      <c r="Y509" s="19"/>
    </row>
    <row r="510" spans="1:25" ht="12" hidden="1" customHeight="1" thickBot="1" x14ac:dyDescent="0.35">
      <c r="A510" s="20">
        <v>2</v>
      </c>
      <c r="B510" s="20" t="s">
        <v>1285</v>
      </c>
      <c r="C510" s="20" t="s">
        <v>1469</v>
      </c>
      <c r="D510" s="20" t="s">
        <v>1470</v>
      </c>
      <c r="E510" s="20">
        <v>308</v>
      </c>
      <c r="F510" s="20" t="s">
        <v>486</v>
      </c>
      <c r="G510" s="20" t="s">
        <v>1287</v>
      </c>
      <c r="H510" s="20" t="s">
        <v>1288</v>
      </c>
      <c r="I510" s="20"/>
      <c r="J510" s="20">
        <v>89</v>
      </c>
      <c r="K510" s="20">
        <v>1</v>
      </c>
      <c r="L510" s="20" t="s">
        <v>13</v>
      </c>
      <c r="M510" s="20"/>
      <c r="N510" s="20"/>
      <c r="O510" s="20">
        <v>11</v>
      </c>
      <c r="P510" s="20" t="s">
        <v>1207</v>
      </c>
      <c r="Q510" s="20" t="s">
        <v>819</v>
      </c>
      <c r="R510" s="20" t="str">
        <f t="shared" si="24"/>
        <v>TOLVA CAMION-ANARANJADO</v>
      </c>
      <c r="S510" s="19">
        <f t="shared" si="25"/>
        <v>0</v>
      </c>
      <c r="T510" s="19">
        <f t="shared" si="26"/>
        <v>89</v>
      </c>
      <c r="U510" s="19"/>
      <c r="V510" s="19"/>
      <c r="W510" s="19"/>
      <c r="X510" s="19"/>
      <c r="Y510" s="19"/>
    </row>
    <row r="511" spans="1:25" ht="12" hidden="1" customHeight="1" thickBot="1" x14ac:dyDescent="0.35">
      <c r="A511" s="20">
        <v>2</v>
      </c>
      <c r="B511" s="20" t="s">
        <v>1285</v>
      </c>
      <c r="C511" s="20" t="s">
        <v>1469</v>
      </c>
      <c r="D511" s="20" t="s">
        <v>1470</v>
      </c>
      <c r="E511" s="20">
        <v>309</v>
      </c>
      <c r="F511" s="20" t="s">
        <v>487</v>
      </c>
      <c r="G511" s="20" t="s">
        <v>1287</v>
      </c>
      <c r="H511" s="20" t="s">
        <v>1288</v>
      </c>
      <c r="I511" s="20"/>
      <c r="J511" s="20">
        <v>89</v>
      </c>
      <c r="K511" s="20">
        <v>1</v>
      </c>
      <c r="L511" s="20" t="s">
        <v>13</v>
      </c>
      <c r="M511" s="20"/>
      <c r="N511" s="20"/>
      <c r="O511" s="20">
        <v>12</v>
      </c>
      <c r="P511" s="20" t="s">
        <v>24</v>
      </c>
      <c r="Q511" s="20" t="s">
        <v>820</v>
      </c>
      <c r="R511" s="20" t="str">
        <f t="shared" si="24"/>
        <v>TOLVA CAMION-AZUL</v>
      </c>
      <c r="S511" s="19">
        <f t="shared" si="25"/>
        <v>0</v>
      </c>
      <c r="T511" s="19">
        <f t="shared" si="26"/>
        <v>89</v>
      </c>
      <c r="U511" s="19"/>
      <c r="V511" s="19"/>
      <c r="W511" s="19"/>
      <c r="X511" s="19"/>
      <c r="Y511" s="19"/>
    </row>
    <row r="512" spans="1:25" ht="12" hidden="1" customHeight="1" thickBot="1" x14ac:dyDescent="0.35">
      <c r="A512" s="20">
        <v>2</v>
      </c>
      <c r="B512" s="20" t="s">
        <v>1285</v>
      </c>
      <c r="C512" s="20" t="s">
        <v>1469</v>
      </c>
      <c r="D512" s="20" t="s">
        <v>1470</v>
      </c>
      <c r="E512" s="20">
        <v>310</v>
      </c>
      <c r="F512" s="20" t="s">
        <v>488</v>
      </c>
      <c r="G512" s="20" t="s">
        <v>1287</v>
      </c>
      <c r="H512" s="20" t="s">
        <v>1288</v>
      </c>
      <c r="I512" s="20"/>
      <c r="J512" s="20">
        <v>89</v>
      </c>
      <c r="K512" s="20">
        <v>1</v>
      </c>
      <c r="L512" s="20" t="s">
        <v>13</v>
      </c>
      <c r="M512" s="20"/>
      <c r="N512" s="20"/>
      <c r="O512" s="20">
        <v>14</v>
      </c>
      <c r="P512" s="20" t="s">
        <v>1209</v>
      </c>
      <c r="Q512" s="20" t="s">
        <v>821</v>
      </c>
      <c r="R512" s="20" t="str">
        <f t="shared" si="24"/>
        <v>TOLVA CAMION-CELESTE</v>
      </c>
      <c r="S512" s="19">
        <f t="shared" si="25"/>
        <v>0</v>
      </c>
      <c r="T512" s="19">
        <f t="shared" si="26"/>
        <v>89</v>
      </c>
      <c r="U512" s="19"/>
      <c r="V512" s="19"/>
      <c r="W512" s="19"/>
      <c r="X512" s="19"/>
      <c r="Y512" s="19"/>
    </row>
    <row r="513" spans="1:25" ht="12" hidden="1" customHeight="1" thickBot="1" x14ac:dyDescent="0.35">
      <c r="A513" s="20">
        <v>2</v>
      </c>
      <c r="B513" s="20" t="s">
        <v>1285</v>
      </c>
      <c r="C513" s="20" t="s">
        <v>1469</v>
      </c>
      <c r="D513" s="20" t="s">
        <v>1470</v>
      </c>
      <c r="E513" s="20">
        <v>311</v>
      </c>
      <c r="F513" s="20" t="s">
        <v>489</v>
      </c>
      <c r="G513" s="20" t="s">
        <v>1287</v>
      </c>
      <c r="H513" s="20" t="s">
        <v>1288</v>
      </c>
      <c r="I513" s="20"/>
      <c r="J513" s="20">
        <v>89</v>
      </c>
      <c r="K513" s="20">
        <v>1</v>
      </c>
      <c r="L513" s="20" t="s">
        <v>13</v>
      </c>
      <c r="M513" s="20"/>
      <c r="N513" s="20"/>
      <c r="O513" s="20">
        <v>19</v>
      </c>
      <c r="P513" s="20" t="s">
        <v>27</v>
      </c>
      <c r="Q513" s="20" t="s">
        <v>822</v>
      </c>
      <c r="R513" s="20" t="str">
        <f t="shared" si="24"/>
        <v>TOLVA CAMION-ROJO</v>
      </c>
      <c r="S513" s="19">
        <f t="shared" si="25"/>
        <v>0</v>
      </c>
      <c r="T513" s="19">
        <f t="shared" si="26"/>
        <v>89</v>
      </c>
      <c r="U513" s="19"/>
      <c r="V513" s="19"/>
      <c r="W513" s="19"/>
      <c r="X513" s="19"/>
      <c r="Y513" s="19"/>
    </row>
    <row r="514" spans="1:25" ht="12" hidden="1" customHeight="1" thickBot="1" x14ac:dyDescent="0.35">
      <c r="A514" s="20">
        <v>2</v>
      </c>
      <c r="B514" s="20" t="s">
        <v>1285</v>
      </c>
      <c r="C514" s="20" t="s">
        <v>1469</v>
      </c>
      <c r="D514" s="20" t="s">
        <v>1470</v>
      </c>
      <c r="E514" s="20">
        <v>312</v>
      </c>
      <c r="F514" s="20" t="s">
        <v>490</v>
      </c>
      <c r="G514" s="20" t="s">
        <v>1287</v>
      </c>
      <c r="H514" s="20" t="s">
        <v>1288</v>
      </c>
      <c r="I514" s="20"/>
      <c r="J514" s="20">
        <v>89</v>
      </c>
      <c r="K514" s="20">
        <v>1</v>
      </c>
      <c r="L514" s="20" t="s">
        <v>13</v>
      </c>
      <c r="M514" s="20"/>
      <c r="N514" s="20"/>
      <c r="O514" s="20">
        <v>23</v>
      </c>
      <c r="P514" s="20" t="s">
        <v>1221</v>
      </c>
      <c r="Q514" s="20" t="s">
        <v>823</v>
      </c>
      <c r="R514" s="20" t="str">
        <f t="shared" ref="R514:R577" si="27">F514</f>
        <v>TOLVA CAMION-VERDE</v>
      </c>
      <c r="S514" s="19">
        <f t="shared" ref="S514:S577" si="28">+I514</f>
        <v>0</v>
      </c>
      <c r="T514" s="19">
        <f t="shared" ref="T514:T577" si="29">+J514</f>
        <v>89</v>
      </c>
      <c r="U514" s="19"/>
      <c r="V514" s="19"/>
      <c r="W514" s="19"/>
      <c r="X514" s="19"/>
      <c r="Y514" s="19"/>
    </row>
    <row r="515" spans="1:25" ht="12" hidden="1" customHeight="1" thickBot="1" x14ac:dyDescent="0.35">
      <c r="A515" s="20">
        <v>2</v>
      </c>
      <c r="B515" s="20" t="s">
        <v>1285</v>
      </c>
      <c r="C515" s="20" t="s">
        <v>1469</v>
      </c>
      <c r="D515" s="20" t="s">
        <v>1471</v>
      </c>
      <c r="E515" s="20">
        <v>313</v>
      </c>
      <c r="F515" s="20" t="s">
        <v>491</v>
      </c>
      <c r="G515" s="20" t="s">
        <v>1287</v>
      </c>
      <c r="H515" s="20" t="s">
        <v>1288</v>
      </c>
      <c r="I515" s="20"/>
      <c r="J515" s="20">
        <v>27</v>
      </c>
      <c r="K515" s="20">
        <v>2</v>
      </c>
      <c r="L515" s="20" t="s">
        <v>12</v>
      </c>
      <c r="M515" s="20"/>
      <c r="N515" s="20"/>
      <c r="O515" s="20">
        <v>13</v>
      </c>
      <c r="P515" s="20" t="s">
        <v>25</v>
      </c>
      <c r="Q515" s="20" t="s">
        <v>824</v>
      </c>
      <c r="R515" s="20" t="str">
        <f t="shared" si="27"/>
        <v>CISTERNA AGUILA-BLANCO</v>
      </c>
      <c r="S515" s="19">
        <f t="shared" si="28"/>
        <v>0</v>
      </c>
      <c r="T515" s="19">
        <f t="shared" si="29"/>
        <v>27</v>
      </c>
      <c r="U515" s="19"/>
      <c r="V515" s="19"/>
      <c r="W515" s="19"/>
      <c r="X515" s="19"/>
      <c r="Y515" s="19"/>
    </row>
    <row r="516" spans="1:25" ht="12" hidden="1" customHeight="1" thickBot="1" x14ac:dyDescent="0.35">
      <c r="A516" s="20">
        <v>2</v>
      </c>
      <c r="B516" s="20" t="s">
        <v>1285</v>
      </c>
      <c r="C516" s="20" t="s">
        <v>1469</v>
      </c>
      <c r="D516" s="20" t="s">
        <v>1471</v>
      </c>
      <c r="E516" s="20">
        <v>314</v>
      </c>
      <c r="F516" s="20" t="s">
        <v>1473</v>
      </c>
      <c r="G516" s="20" t="s">
        <v>1287</v>
      </c>
      <c r="H516" s="20" t="s">
        <v>1288</v>
      </c>
      <c r="I516" s="20"/>
      <c r="J516" s="20">
        <v>27</v>
      </c>
      <c r="K516" s="20">
        <v>2</v>
      </c>
      <c r="L516" s="20" t="s">
        <v>12</v>
      </c>
      <c r="M516" s="20"/>
      <c r="N516" s="20"/>
      <c r="O516" s="20">
        <v>10</v>
      </c>
      <c r="P516" s="20" t="s">
        <v>26</v>
      </c>
      <c r="Q516" s="20" t="s">
        <v>1472</v>
      </c>
      <c r="R516" s="20" t="str">
        <f t="shared" si="27"/>
        <v>CISTERNA AGUILA-BLANCO PINTADO AMARILLO</v>
      </c>
      <c r="S516" s="19">
        <f t="shared" si="28"/>
        <v>0</v>
      </c>
      <c r="T516" s="19">
        <f t="shared" si="29"/>
        <v>27</v>
      </c>
      <c r="U516" s="19"/>
      <c r="V516" s="19"/>
      <c r="W516" s="19"/>
      <c r="X516" s="19"/>
      <c r="Y516" s="19"/>
    </row>
    <row r="517" spans="1:25" ht="12" hidden="1" customHeight="1" thickBot="1" x14ac:dyDescent="0.35">
      <c r="A517" s="20">
        <v>2</v>
      </c>
      <c r="B517" s="20" t="s">
        <v>1285</v>
      </c>
      <c r="C517" s="20" t="s">
        <v>1469</v>
      </c>
      <c r="D517" s="20" t="s">
        <v>1471</v>
      </c>
      <c r="E517" s="20">
        <v>315</v>
      </c>
      <c r="F517" s="20" t="s">
        <v>1475</v>
      </c>
      <c r="G517" s="20" t="s">
        <v>1287</v>
      </c>
      <c r="H517" s="20" t="s">
        <v>1288</v>
      </c>
      <c r="I517" s="20"/>
      <c r="J517" s="20">
        <v>27</v>
      </c>
      <c r="K517" s="20">
        <v>2</v>
      </c>
      <c r="L517" s="20" t="s">
        <v>12</v>
      </c>
      <c r="M517" s="20"/>
      <c r="N517" s="20"/>
      <c r="O517" s="20">
        <v>12</v>
      </c>
      <c r="P517" s="20" t="s">
        <v>24</v>
      </c>
      <c r="Q517" s="20" t="s">
        <v>1474</v>
      </c>
      <c r="R517" s="20" t="str">
        <f t="shared" si="27"/>
        <v>CISTERNA AGUILA-BLANCO PINTADO AZUL</v>
      </c>
      <c r="S517" s="19">
        <f t="shared" si="28"/>
        <v>0</v>
      </c>
      <c r="T517" s="19">
        <f t="shared" si="29"/>
        <v>27</v>
      </c>
      <c r="U517" s="19"/>
      <c r="V517" s="19"/>
      <c r="W517" s="19"/>
      <c r="X517" s="19"/>
      <c r="Y517" s="19"/>
    </row>
    <row r="518" spans="1:25" ht="12" hidden="1" customHeight="1" thickBot="1" x14ac:dyDescent="0.35">
      <c r="A518" s="20">
        <v>2</v>
      </c>
      <c r="B518" s="20" t="s">
        <v>1285</v>
      </c>
      <c r="C518" s="20" t="s">
        <v>1469</v>
      </c>
      <c r="D518" s="20" t="s">
        <v>1471</v>
      </c>
      <c r="E518" s="20">
        <v>316</v>
      </c>
      <c r="F518" s="20" t="s">
        <v>1477</v>
      </c>
      <c r="G518" s="20" t="s">
        <v>1287</v>
      </c>
      <c r="H518" s="20" t="s">
        <v>1288</v>
      </c>
      <c r="I518" s="20"/>
      <c r="J518" s="20">
        <v>27</v>
      </c>
      <c r="K518" s="20">
        <v>2</v>
      </c>
      <c r="L518" s="20" t="s">
        <v>12</v>
      </c>
      <c r="M518" s="20"/>
      <c r="N518" s="20"/>
      <c r="O518" s="20">
        <v>19</v>
      </c>
      <c r="P518" s="20" t="s">
        <v>27</v>
      </c>
      <c r="Q518" s="20" t="s">
        <v>1476</v>
      </c>
      <c r="R518" s="20" t="str">
        <f t="shared" si="27"/>
        <v>CISTERNA AGUILA-BLANCO PINTADO ROJO</v>
      </c>
      <c r="S518" s="19">
        <f t="shared" si="28"/>
        <v>0</v>
      </c>
      <c r="T518" s="19">
        <f t="shared" si="29"/>
        <v>27</v>
      </c>
      <c r="U518" s="19"/>
      <c r="V518" s="19"/>
      <c r="W518" s="19"/>
      <c r="X518" s="19"/>
      <c r="Y518" s="19"/>
    </row>
    <row r="519" spans="1:25" ht="12" hidden="1" customHeight="1" thickBot="1" x14ac:dyDescent="0.35">
      <c r="A519" s="20">
        <v>2</v>
      </c>
      <c r="B519" s="20" t="s">
        <v>1285</v>
      </c>
      <c r="C519" s="20" t="s">
        <v>1469</v>
      </c>
      <c r="D519" s="20" t="s">
        <v>1478</v>
      </c>
      <c r="E519" s="20">
        <v>317</v>
      </c>
      <c r="F519" s="20" t="s">
        <v>492</v>
      </c>
      <c r="G519" s="20" t="s">
        <v>1287</v>
      </c>
      <c r="H519" s="20" t="s">
        <v>1288</v>
      </c>
      <c r="I519" s="20"/>
      <c r="J519" s="20">
        <v>55</v>
      </c>
      <c r="K519" s="20">
        <v>2</v>
      </c>
      <c r="L519" s="20" t="s">
        <v>12</v>
      </c>
      <c r="M519" s="20"/>
      <c r="N519" s="20"/>
      <c r="O519" s="20">
        <v>13</v>
      </c>
      <c r="P519" s="20" t="s">
        <v>25</v>
      </c>
      <c r="Q519" s="20" t="s">
        <v>825</v>
      </c>
      <c r="R519" s="20" t="str">
        <f t="shared" si="27"/>
        <v>CISTERNA ANDINO-BLANCO</v>
      </c>
      <c r="S519" s="19">
        <f t="shared" si="28"/>
        <v>0</v>
      </c>
      <c r="T519" s="19">
        <f t="shared" si="29"/>
        <v>55</v>
      </c>
      <c r="U519" s="19"/>
      <c r="V519" s="19"/>
      <c r="W519" s="19"/>
      <c r="X519" s="19"/>
      <c r="Y519" s="19"/>
    </row>
    <row r="520" spans="1:25" ht="12" hidden="1" customHeight="1" thickBot="1" x14ac:dyDescent="0.35">
      <c r="A520" s="20">
        <v>2</v>
      </c>
      <c r="B520" s="20" t="s">
        <v>1285</v>
      </c>
      <c r="C520" s="20" t="s">
        <v>1469</v>
      </c>
      <c r="D520" s="20" t="s">
        <v>1478</v>
      </c>
      <c r="E520" s="20">
        <v>318</v>
      </c>
      <c r="F520" s="20" t="s">
        <v>1480</v>
      </c>
      <c r="G520" s="20" t="s">
        <v>1287</v>
      </c>
      <c r="H520" s="20" t="s">
        <v>1288</v>
      </c>
      <c r="I520" s="20"/>
      <c r="J520" s="20">
        <v>55</v>
      </c>
      <c r="K520" s="20">
        <v>2</v>
      </c>
      <c r="L520" s="20" t="s">
        <v>12</v>
      </c>
      <c r="M520" s="20"/>
      <c r="N520" s="20"/>
      <c r="O520" s="20">
        <v>10</v>
      </c>
      <c r="P520" s="20" t="s">
        <v>26</v>
      </c>
      <c r="Q520" s="20" t="s">
        <v>1479</v>
      </c>
      <c r="R520" s="20" t="str">
        <f t="shared" si="27"/>
        <v>CISTERNA ANDINO-BLANCO PINTADO AMARILLO</v>
      </c>
      <c r="S520" s="19">
        <f t="shared" si="28"/>
        <v>0</v>
      </c>
      <c r="T520" s="19">
        <f t="shared" si="29"/>
        <v>55</v>
      </c>
      <c r="U520" s="19"/>
      <c r="V520" s="19"/>
      <c r="W520" s="19"/>
      <c r="X520" s="19"/>
      <c r="Y520" s="19"/>
    </row>
    <row r="521" spans="1:25" ht="12" hidden="1" customHeight="1" thickBot="1" x14ac:dyDescent="0.35">
      <c r="A521" s="20">
        <v>2</v>
      </c>
      <c r="B521" s="20" t="s">
        <v>1285</v>
      </c>
      <c r="C521" s="20" t="s">
        <v>1469</v>
      </c>
      <c r="D521" s="20" t="s">
        <v>1478</v>
      </c>
      <c r="E521" s="20">
        <v>319</v>
      </c>
      <c r="F521" s="20" t="s">
        <v>1482</v>
      </c>
      <c r="G521" s="20" t="s">
        <v>1287</v>
      </c>
      <c r="H521" s="20" t="s">
        <v>1288</v>
      </c>
      <c r="I521" s="20"/>
      <c r="J521" s="20">
        <v>55</v>
      </c>
      <c r="K521" s="20">
        <v>2</v>
      </c>
      <c r="L521" s="20" t="s">
        <v>12</v>
      </c>
      <c r="M521" s="20"/>
      <c r="N521" s="20"/>
      <c r="O521" s="20">
        <v>12</v>
      </c>
      <c r="P521" s="20" t="s">
        <v>24</v>
      </c>
      <c r="Q521" s="20" t="s">
        <v>1481</v>
      </c>
      <c r="R521" s="20" t="str">
        <f t="shared" si="27"/>
        <v>CISTERNA ANDINO-BLANCO PINTADO AZUL</v>
      </c>
      <c r="S521" s="19">
        <f t="shared" si="28"/>
        <v>0</v>
      </c>
      <c r="T521" s="19">
        <f t="shared" si="29"/>
        <v>55</v>
      </c>
      <c r="U521" s="19"/>
      <c r="V521" s="19"/>
      <c r="W521" s="19"/>
      <c r="X521" s="19"/>
      <c r="Y521" s="19"/>
    </row>
    <row r="522" spans="1:25" ht="12" hidden="1" customHeight="1" thickBot="1" x14ac:dyDescent="0.35">
      <c r="A522" s="20">
        <v>2</v>
      </c>
      <c r="B522" s="20" t="s">
        <v>1285</v>
      </c>
      <c r="C522" s="20" t="s">
        <v>1469</v>
      </c>
      <c r="D522" s="20" t="s">
        <v>1478</v>
      </c>
      <c r="E522" s="20">
        <v>320</v>
      </c>
      <c r="F522" s="20" t="s">
        <v>1484</v>
      </c>
      <c r="G522" s="20" t="s">
        <v>1287</v>
      </c>
      <c r="H522" s="20" t="s">
        <v>1288</v>
      </c>
      <c r="I522" s="20"/>
      <c r="J522" s="20">
        <v>55</v>
      </c>
      <c r="K522" s="20">
        <v>2</v>
      </c>
      <c r="L522" s="20" t="s">
        <v>12</v>
      </c>
      <c r="M522" s="20"/>
      <c r="N522" s="20"/>
      <c r="O522" s="20">
        <v>19</v>
      </c>
      <c r="P522" s="20" t="s">
        <v>27</v>
      </c>
      <c r="Q522" s="20" t="s">
        <v>1483</v>
      </c>
      <c r="R522" s="20" t="str">
        <f t="shared" si="27"/>
        <v>CISTERNA ANDINO-BLANCO PINTADO ROJO</v>
      </c>
      <c r="S522" s="19">
        <f t="shared" si="28"/>
        <v>0</v>
      </c>
      <c r="T522" s="19">
        <f t="shared" si="29"/>
        <v>55</v>
      </c>
      <c r="U522" s="19"/>
      <c r="V522" s="19"/>
      <c r="W522" s="19"/>
      <c r="X522" s="19"/>
      <c r="Y522" s="19"/>
    </row>
    <row r="523" spans="1:25" ht="12" hidden="1" customHeight="1" thickBot="1" x14ac:dyDescent="0.35">
      <c r="A523" s="20">
        <v>2</v>
      </c>
      <c r="B523" s="20" t="s">
        <v>1285</v>
      </c>
      <c r="C523" s="20" t="s">
        <v>1469</v>
      </c>
      <c r="D523" s="20" t="s">
        <v>1485</v>
      </c>
      <c r="E523" s="20">
        <v>321</v>
      </c>
      <c r="F523" s="20" t="s">
        <v>493</v>
      </c>
      <c r="G523" s="20" t="s">
        <v>1287</v>
      </c>
      <c r="H523" s="20" t="s">
        <v>1288</v>
      </c>
      <c r="I523" s="20"/>
      <c r="J523" s="20">
        <v>39</v>
      </c>
      <c r="K523" s="20">
        <v>1</v>
      </c>
      <c r="L523" s="20" t="s">
        <v>13</v>
      </c>
      <c r="M523" s="20"/>
      <c r="N523" s="20"/>
      <c r="O523" s="20">
        <v>10</v>
      </c>
      <c r="P523" s="20" t="s">
        <v>26</v>
      </c>
      <c r="Q523" s="20" t="s">
        <v>826</v>
      </c>
      <c r="R523" s="20" t="str">
        <f t="shared" si="27"/>
        <v>CHASIS TOLVA TAXI-AMARILLO</v>
      </c>
      <c r="S523" s="19">
        <f t="shared" si="28"/>
        <v>0</v>
      </c>
      <c r="T523" s="19">
        <f t="shared" si="29"/>
        <v>39</v>
      </c>
      <c r="U523" s="19"/>
      <c r="V523" s="19"/>
      <c r="W523" s="19"/>
      <c r="X523" s="19"/>
      <c r="Y523" s="19"/>
    </row>
    <row r="524" spans="1:25" ht="12" hidden="1" customHeight="1" thickBot="1" x14ac:dyDescent="0.35">
      <c r="A524" s="20">
        <v>2</v>
      </c>
      <c r="B524" s="20" t="s">
        <v>1285</v>
      </c>
      <c r="C524" s="20" t="s">
        <v>1469</v>
      </c>
      <c r="D524" s="20" t="s">
        <v>1485</v>
      </c>
      <c r="E524" s="20">
        <v>322</v>
      </c>
      <c r="F524" s="20" t="s">
        <v>494</v>
      </c>
      <c r="G524" s="20" t="s">
        <v>1287</v>
      </c>
      <c r="H524" s="20" t="s">
        <v>1288</v>
      </c>
      <c r="I524" s="20"/>
      <c r="J524" s="20">
        <v>39</v>
      </c>
      <c r="K524" s="20">
        <v>1</v>
      </c>
      <c r="L524" s="20" t="s">
        <v>13</v>
      </c>
      <c r="M524" s="20"/>
      <c r="N524" s="20"/>
      <c r="O524" s="20">
        <v>11</v>
      </c>
      <c r="P524" s="20" t="s">
        <v>1207</v>
      </c>
      <c r="Q524" s="20" t="s">
        <v>827</v>
      </c>
      <c r="R524" s="20" t="str">
        <f t="shared" si="27"/>
        <v>CHASIS TOLVA TAXI-ANARANJADO</v>
      </c>
      <c r="S524" s="19">
        <f t="shared" si="28"/>
        <v>0</v>
      </c>
      <c r="T524" s="19">
        <f t="shared" si="29"/>
        <v>39</v>
      </c>
      <c r="U524" s="19"/>
      <c r="V524" s="19"/>
      <c r="W524" s="19"/>
      <c r="X524" s="19"/>
      <c r="Y524" s="19"/>
    </row>
    <row r="525" spans="1:25" ht="12" hidden="1" customHeight="1" thickBot="1" x14ac:dyDescent="0.35">
      <c r="A525" s="20">
        <v>2</v>
      </c>
      <c r="B525" s="20" t="s">
        <v>1285</v>
      </c>
      <c r="C525" s="20" t="s">
        <v>1469</v>
      </c>
      <c r="D525" s="20" t="s">
        <v>1485</v>
      </c>
      <c r="E525" s="20">
        <v>323</v>
      </c>
      <c r="F525" s="20" t="s">
        <v>495</v>
      </c>
      <c r="G525" s="20" t="s">
        <v>1287</v>
      </c>
      <c r="H525" s="20" t="s">
        <v>1288</v>
      </c>
      <c r="I525" s="20"/>
      <c r="J525" s="20">
        <v>39</v>
      </c>
      <c r="K525" s="20">
        <v>1</v>
      </c>
      <c r="L525" s="20" t="s">
        <v>13</v>
      </c>
      <c r="M525" s="20"/>
      <c r="N525" s="20"/>
      <c r="O525" s="20">
        <v>12</v>
      </c>
      <c r="P525" s="20" t="s">
        <v>24</v>
      </c>
      <c r="Q525" s="20" t="s">
        <v>828</v>
      </c>
      <c r="R525" s="20" t="str">
        <f t="shared" si="27"/>
        <v>CHASIS TOLVA TAXI-AZUL</v>
      </c>
      <c r="S525" s="19">
        <f t="shared" si="28"/>
        <v>0</v>
      </c>
      <c r="T525" s="19">
        <f t="shared" si="29"/>
        <v>39</v>
      </c>
      <c r="U525" s="19"/>
      <c r="V525" s="19"/>
      <c r="W525" s="19"/>
      <c r="X525" s="19"/>
      <c r="Y525" s="19"/>
    </row>
    <row r="526" spans="1:25" ht="12" hidden="1" customHeight="1" thickBot="1" x14ac:dyDescent="0.35">
      <c r="A526" s="20">
        <v>2</v>
      </c>
      <c r="B526" s="20" t="s">
        <v>1285</v>
      </c>
      <c r="C526" s="20" t="s">
        <v>1469</v>
      </c>
      <c r="D526" s="20" t="s">
        <v>1485</v>
      </c>
      <c r="E526" s="20">
        <v>324</v>
      </c>
      <c r="F526" s="20" t="s">
        <v>496</v>
      </c>
      <c r="G526" s="20" t="s">
        <v>1287</v>
      </c>
      <c r="H526" s="20" t="s">
        <v>1288</v>
      </c>
      <c r="I526" s="20"/>
      <c r="J526" s="20">
        <v>39</v>
      </c>
      <c r="K526" s="20">
        <v>1</v>
      </c>
      <c r="L526" s="20" t="s">
        <v>13</v>
      </c>
      <c r="M526" s="20"/>
      <c r="N526" s="20"/>
      <c r="O526" s="20">
        <v>14</v>
      </c>
      <c r="P526" s="20" t="s">
        <v>1209</v>
      </c>
      <c r="Q526" s="20" t="s">
        <v>829</v>
      </c>
      <c r="R526" s="20" t="str">
        <f t="shared" si="27"/>
        <v>CHASIS TOLVA TAXI-CELESTE</v>
      </c>
      <c r="S526" s="19">
        <f t="shared" si="28"/>
        <v>0</v>
      </c>
      <c r="T526" s="19">
        <f t="shared" si="29"/>
        <v>39</v>
      </c>
      <c r="U526" s="19"/>
      <c r="V526" s="19"/>
      <c r="W526" s="19"/>
      <c r="X526" s="19"/>
      <c r="Y526" s="19"/>
    </row>
    <row r="527" spans="1:25" ht="12" hidden="1" customHeight="1" thickBot="1" x14ac:dyDescent="0.35">
      <c r="A527" s="20">
        <v>2</v>
      </c>
      <c r="B527" s="20" t="s">
        <v>1285</v>
      </c>
      <c r="C527" s="20" t="s">
        <v>1469</v>
      </c>
      <c r="D527" s="20" t="s">
        <v>1485</v>
      </c>
      <c r="E527" s="20">
        <v>325</v>
      </c>
      <c r="F527" s="20" t="s">
        <v>497</v>
      </c>
      <c r="G527" s="20" t="s">
        <v>1287</v>
      </c>
      <c r="H527" s="20" t="s">
        <v>1288</v>
      </c>
      <c r="I527" s="20"/>
      <c r="J527" s="20">
        <v>39</v>
      </c>
      <c r="K527" s="20">
        <v>1</v>
      </c>
      <c r="L527" s="20" t="s">
        <v>13</v>
      </c>
      <c r="M527" s="20"/>
      <c r="N527" s="20"/>
      <c r="O527" s="20">
        <v>19</v>
      </c>
      <c r="P527" s="20" t="s">
        <v>27</v>
      </c>
      <c r="Q527" s="20" t="s">
        <v>830</v>
      </c>
      <c r="R527" s="20" t="str">
        <f t="shared" si="27"/>
        <v>CHASIS TOLVA TAXI-ROJO</v>
      </c>
      <c r="S527" s="19">
        <f t="shared" si="28"/>
        <v>0</v>
      </c>
      <c r="T527" s="19">
        <f t="shared" si="29"/>
        <v>39</v>
      </c>
      <c r="U527" s="19"/>
      <c r="V527" s="19"/>
      <c r="W527" s="19"/>
      <c r="X527" s="19"/>
      <c r="Y527" s="19"/>
    </row>
    <row r="528" spans="1:25" ht="12" hidden="1" customHeight="1" thickBot="1" x14ac:dyDescent="0.35">
      <c r="A528" s="20">
        <v>2</v>
      </c>
      <c r="B528" s="20" t="s">
        <v>1285</v>
      </c>
      <c r="C528" s="20" t="s">
        <v>1469</v>
      </c>
      <c r="D528" s="20" t="s">
        <v>1485</v>
      </c>
      <c r="E528" s="20">
        <v>326</v>
      </c>
      <c r="F528" s="20" t="s">
        <v>498</v>
      </c>
      <c r="G528" s="20" t="s">
        <v>1287</v>
      </c>
      <c r="H528" s="20" t="s">
        <v>1288</v>
      </c>
      <c r="I528" s="20"/>
      <c r="J528" s="20">
        <v>39</v>
      </c>
      <c r="K528" s="20">
        <v>1</v>
      </c>
      <c r="L528" s="20" t="s">
        <v>13</v>
      </c>
      <c r="M528" s="20"/>
      <c r="N528" s="20"/>
      <c r="O528" s="20">
        <v>23</v>
      </c>
      <c r="P528" s="20" t="s">
        <v>1221</v>
      </c>
      <c r="Q528" s="20" t="s">
        <v>831</v>
      </c>
      <c r="R528" s="20" t="str">
        <f t="shared" si="27"/>
        <v>CHASIS TOLVA TAXI-VERDE</v>
      </c>
      <c r="S528" s="19">
        <f t="shared" si="28"/>
        <v>0</v>
      </c>
      <c r="T528" s="19">
        <f t="shared" si="29"/>
        <v>39</v>
      </c>
      <c r="U528" s="19"/>
      <c r="V528" s="19"/>
      <c r="W528" s="19"/>
      <c r="X528" s="19"/>
      <c r="Y528" s="19"/>
    </row>
    <row r="529" spans="1:25" ht="12" hidden="1" customHeight="1" thickBot="1" x14ac:dyDescent="0.35">
      <c r="A529" s="20">
        <v>2</v>
      </c>
      <c r="B529" s="20" t="s">
        <v>1285</v>
      </c>
      <c r="C529" s="20" t="s">
        <v>1469</v>
      </c>
      <c r="D529" s="20" t="s">
        <v>1485</v>
      </c>
      <c r="E529" s="20">
        <v>327</v>
      </c>
      <c r="F529" s="20" t="s">
        <v>499</v>
      </c>
      <c r="G529" s="20" t="s">
        <v>1287</v>
      </c>
      <c r="H529" s="20" t="s">
        <v>1288</v>
      </c>
      <c r="I529" s="20"/>
      <c r="J529" s="20">
        <v>1</v>
      </c>
      <c r="K529" s="20">
        <v>1</v>
      </c>
      <c r="L529" s="20" t="s">
        <v>13</v>
      </c>
      <c r="M529" s="20"/>
      <c r="N529" s="20"/>
      <c r="O529" s="20">
        <v>13</v>
      </c>
      <c r="P529" s="20" t="s">
        <v>25</v>
      </c>
      <c r="Q529" s="20" t="s">
        <v>832</v>
      </c>
      <c r="R529" s="20" t="str">
        <f t="shared" si="27"/>
        <v>LETRERO TAXI-BLANCO</v>
      </c>
      <c r="S529" s="19">
        <f t="shared" si="28"/>
        <v>0</v>
      </c>
      <c r="T529" s="19">
        <f t="shared" si="29"/>
        <v>1</v>
      </c>
      <c r="U529" s="19"/>
      <c r="V529" s="19"/>
      <c r="W529" s="19"/>
      <c r="X529" s="19"/>
      <c r="Y529" s="19"/>
    </row>
    <row r="530" spans="1:25" ht="12" hidden="1" customHeight="1" thickBot="1" x14ac:dyDescent="0.35">
      <c r="A530" s="20">
        <v>2</v>
      </c>
      <c r="B530" s="20" t="s">
        <v>1285</v>
      </c>
      <c r="C530" s="20" t="s">
        <v>1469</v>
      </c>
      <c r="D530" s="20" t="s">
        <v>1485</v>
      </c>
      <c r="E530" s="20">
        <v>328</v>
      </c>
      <c r="F530" s="20" t="s">
        <v>500</v>
      </c>
      <c r="G530" s="20" t="s">
        <v>1287</v>
      </c>
      <c r="H530" s="20" t="s">
        <v>1288</v>
      </c>
      <c r="I530" s="20"/>
      <c r="J530" s="20">
        <v>2</v>
      </c>
      <c r="K530" s="20">
        <v>1</v>
      </c>
      <c r="L530" s="20" t="s">
        <v>13</v>
      </c>
      <c r="M530" s="20"/>
      <c r="N530" s="20"/>
      <c r="O530" s="20">
        <v>18</v>
      </c>
      <c r="P530" s="20" t="s">
        <v>1215</v>
      </c>
      <c r="Q530" s="20" t="s">
        <v>833</v>
      </c>
      <c r="R530" s="20" t="str">
        <f t="shared" si="27"/>
        <v>LLANTAS TAXI-NEGRO</v>
      </c>
      <c r="S530" s="19">
        <f t="shared" si="28"/>
        <v>0</v>
      </c>
      <c r="T530" s="19">
        <f t="shared" si="29"/>
        <v>2</v>
      </c>
      <c r="U530" s="19"/>
      <c r="V530" s="19"/>
      <c r="W530" s="19"/>
      <c r="X530" s="19"/>
      <c r="Y530" s="19"/>
    </row>
    <row r="531" spans="1:25" ht="12" hidden="1" customHeight="1" thickBot="1" x14ac:dyDescent="0.35">
      <c r="A531" s="20">
        <v>2</v>
      </c>
      <c r="B531" s="20" t="s">
        <v>1285</v>
      </c>
      <c r="C531" s="20" t="s">
        <v>1469</v>
      </c>
      <c r="D531" s="20" t="s">
        <v>961</v>
      </c>
      <c r="E531" s="20">
        <v>329</v>
      </c>
      <c r="F531" s="20" t="s">
        <v>501</v>
      </c>
      <c r="G531" s="20" t="s">
        <v>1287</v>
      </c>
      <c r="H531" s="20" t="s">
        <v>1288</v>
      </c>
      <c r="I531" s="20"/>
      <c r="J531" s="20">
        <v>3.5</v>
      </c>
      <c r="K531" s="20">
        <v>1</v>
      </c>
      <c r="L531" s="20" t="s">
        <v>13</v>
      </c>
      <c r="M531" s="20"/>
      <c r="N531" s="20"/>
      <c r="O531" s="20">
        <v>13</v>
      </c>
      <c r="P531" s="20" t="s">
        <v>25</v>
      </c>
      <c r="Q531" s="20" t="s">
        <v>834</v>
      </c>
      <c r="R531" s="20" t="str">
        <f t="shared" si="27"/>
        <v>ANIMALES AGUILA-BLANCO</v>
      </c>
      <c r="S531" s="19">
        <f t="shared" si="28"/>
        <v>0</v>
      </c>
      <c r="T531" s="19">
        <f t="shared" si="29"/>
        <v>3.5</v>
      </c>
      <c r="U531" s="19"/>
      <c r="V531" s="19"/>
      <c r="W531" s="19"/>
      <c r="X531" s="19"/>
      <c r="Y531" s="19"/>
    </row>
    <row r="532" spans="1:25" ht="12" hidden="1" customHeight="1" thickBot="1" x14ac:dyDescent="0.35">
      <c r="A532" s="20">
        <v>2</v>
      </c>
      <c r="B532" s="20" t="s">
        <v>1285</v>
      </c>
      <c r="C532" s="20" t="s">
        <v>1469</v>
      </c>
      <c r="D532" s="20" t="s">
        <v>961</v>
      </c>
      <c r="E532" s="20">
        <v>330</v>
      </c>
      <c r="F532" s="20" t="s">
        <v>502</v>
      </c>
      <c r="G532" s="20" t="s">
        <v>1287</v>
      </c>
      <c r="H532" s="20" t="s">
        <v>1288</v>
      </c>
      <c r="I532" s="20"/>
      <c r="J532" s="20">
        <v>3.5</v>
      </c>
      <c r="K532" s="20">
        <v>1</v>
      </c>
      <c r="L532" s="20" t="s">
        <v>13</v>
      </c>
      <c r="M532" s="20"/>
      <c r="N532" s="20"/>
      <c r="O532" s="20">
        <v>18</v>
      </c>
      <c r="P532" s="20" t="s">
        <v>1215</v>
      </c>
      <c r="Q532" s="20" t="s">
        <v>835</v>
      </c>
      <c r="R532" s="20" t="str">
        <f t="shared" si="27"/>
        <v>ANIMALES AGUILA-NEGRO</v>
      </c>
      <c r="S532" s="19">
        <f t="shared" si="28"/>
        <v>0</v>
      </c>
      <c r="T532" s="19">
        <f t="shared" si="29"/>
        <v>3.5</v>
      </c>
      <c r="U532" s="19"/>
      <c r="V532" s="19"/>
      <c r="W532" s="19"/>
      <c r="X532" s="19"/>
      <c r="Y532" s="19"/>
    </row>
    <row r="533" spans="1:25" ht="12" hidden="1" customHeight="1" thickBot="1" x14ac:dyDescent="0.35">
      <c r="A533" s="20">
        <v>2</v>
      </c>
      <c r="B533" s="20" t="s">
        <v>1285</v>
      </c>
      <c r="C533" s="20" t="s">
        <v>1469</v>
      </c>
      <c r="D533" s="20" t="s">
        <v>965</v>
      </c>
      <c r="E533" s="20">
        <v>331</v>
      </c>
      <c r="F533" s="20" t="s">
        <v>503</v>
      </c>
      <c r="G533" s="20" t="s">
        <v>1287</v>
      </c>
      <c r="H533" s="20" t="s">
        <v>1288</v>
      </c>
      <c r="I533" s="20"/>
      <c r="J533" s="20">
        <v>32</v>
      </c>
      <c r="K533" s="20">
        <v>1</v>
      </c>
      <c r="L533" s="20" t="s">
        <v>13</v>
      </c>
      <c r="M533" s="20"/>
      <c r="N533" s="20"/>
      <c r="O533" s="20">
        <v>10</v>
      </c>
      <c r="P533" s="20" t="s">
        <v>26</v>
      </c>
      <c r="Q533" s="20" t="s">
        <v>836</v>
      </c>
      <c r="R533" s="20" t="str">
        <f t="shared" si="27"/>
        <v>CHASIS AGUILA-AMARILLO</v>
      </c>
      <c r="S533" s="19">
        <f t="shared" si="28"/>
        <v>0</v>
      </c>
      <c r="T533" s="19">
        <f t="shared" si="29"/>
        <v>32</v>
      </c>
      <c r="U533" s="19"/>
      <c r="V533" s="19"/>
      <c r="W533" s="19"/>
      <c r="X533" s="19"/>
      <c r="Y533" s="19"/>
    </row>
    <row r="534" spans="1:25" ht="12" hidden="1" customHeight="1" thickBot="1" x14ac:dyDescent="0.35">
      <c r="A534" s="20">
        <v>2</v>
      </c>
      <c r="B534" s="20" t="s">
        <v>1285</v>
      </c>
      <c r="C534" s="20" t="s">
        <v>1469</v>
      </c>
      <c r="D534" s="20" t="s">
        <v>965</v>
      </c>
      <c r="E534" s="20">
        <v>332</v>
      </c>
      <c r="F534" s="20" t="s">
        <v>504</v>
      </c>
      <c r="G534" s="20" t="s">
        <v>1287</v>
      </c>
      <c r="H534" s="20" t="s">
        <v>1288</v>
      </c>
      <c r="I534" s="20"/>
      <c r="J534" s="20">
        <v>32</v>
      </c>
      <c r="K534" s="20">
        <v>1</v>
      </c>
      <c r="L534" s="20" t="s">
        <v>13</v>
      </c>
      <c r="M534" s="20"/>
      <c r="N534" s="20"/>
      <c r="O534" s="20">
        <v>11</v>
      </c>
      <c r="P534" s="20" t="s">
        <v>1207</v>
      </c>
      <c r="Q534" s="20" t="s">
        <v>837</v>
      </c>
      <c r="R534" s="20" t="str">
        <f t="shared" si="27"/>
        <v>CHASIS AGUILA-ANARANJADO</v>
      </c>
      <c r="S534" s="19">
        <f t="shared" si="28"/>
        <v>0</v>
      </c>
      <c r="T534" s="19">
        <f t="shared" si="29"/>
        <v>32</v>
      </c>
      <c r="U534" s="19"/>
      <c r="V534" s="19"/>
      <c r="W534" s="19"/>
      <c r="X534" s="19"/>
      <c r="Y534" s="19"/>
    </row>
    <row r="535" spans="1:25" ht="12" hidden="1" customHeight="1" thickBot="1" x14ac:dyDescent="0.35">
      <c r="A535" s="20">
        <v>2</v>
      </c>
      <c r="B535" s="20" t="s">
        <v>1285</v>
      </c>
      <c r="C535" s="20" t="s">
        <v>1469</v>
      </c>
      <c r="D535" s="20" t="s">
        <v>965</v>
      </c>
      <c r="E535" s="20">
        <v>333</v>
      </c>
      <c r="F535" s="20" t="s">
        <v>505</v>
      </c>
      <c r="G535" s="20" t="s">
        <v>1287</v>
      </c>
      <c r="H535" s="20" t="s">
        <v>1288</v>
      </c>
      <c r="I535" s="20"/>
      <c r="J535" s="20">
        <v>32</v>
      </c>
      <c r="K535" s="20">
        <v>1</v>
      </c>
      <c r="L535" s="20" t="s">
        <v>13</v>
      </c>
      <c r="M535" s="20"/>
      <c r="N535" s="20"/>
      <c r="O535" s="20">
        <v>12</v>
      </c>
      <c r="P535" s="20" t="s">
        <v>24</v>
      </c>
      <c r="Q535" s="20" t="s">
        <v>838</v>
      </c>
      <c r="R535" s="20" t="str">
        <f t="shared" si="27"/>
        <v>CHASIS AGUILA-AZUL</v>
      </c>
      <c r="S535" s="19">
        <f t="shared" si="28"/>
        <v>0</v>
      </c>
      <c r="T535" s="19">
        <f t="shared" si="29"/>
        <v>32</v>
      </c>
      <c r="U535" s="19"/>
      <c r="V535" s="19"/>
      <c r="W535" s="19"/>
      <c r="X535" s="19"/>
      <c r="Y535" s="19"/>
    </row>
    <row r="536" spans="1:25" ht="12" hidden="1" customHeight="1" thickBot="1" x14ac:dyDescent="0.35">
      <c r="A536" s="20">
        <v>2</v>
      </c>
      <c r="B536" s="20" t="s">
        <v>1285</v>
      </c>
      <c r="C536" s="20" t="s">
        <v>1469</v>
      </c>
      <c r="D536" s="20" t="s">
        <v>965</v>
      </c>
      <c r="E536" s="20">
        <v>334</v>
      </c>
      <c r="F536" s="20" t="s">
        <v>506</v>
      </c>
      <c r="G536" s="20" t="s">
        <v>1287</v>
      </c>
      <c r="H536" s="20" t="s">
        <v>1288</v>
      </c>
      <c r="I536" s="20"/>
      <c r="J536" s="20">
        <v>32</v>
      </c>
      <c r="K536" s="20">
        <v>1</v>
      </c>
      <c r="L536" s="20" t="s">
        <v>13</v>
      </c>
      <c r="M536" s="20"/>
      <c r="N536" s="20"/>
      <c r="O536" s="20">
        <v>14</v>
      </c>
      <c r="P536" s="20" t="s">
        <v>1209</v>
      </c>
      <c r="Q536" s="20" t="s">
        <v>839</v>
      </c>
      <c r="R536" s="20" t="str">
        <f t="shared" si="27"/>
        <v>CHASIS AGUILA-CELESTE</v>
      </c>
      <c r="S536" s="19">
        <f t="shared" si="28"/>
        <v>0</v>
      </c>
      <c r="T536" s="19">
        <f t="shared" si="29"/>
        <v>32</v>
      </c>
      <c r="U536" s="19"/>
      <c r="V536" s="19"/>
      <c r="W536" s="19"/>
      <c r="X536" s="19"/>
      <c r="Y536" s="19"/>
    </row>
    <row r="537" spans="1:25" ht="12" hidden="1" customHeight="1" thickBot="1" x14ac:dyDescent="0.35">
      <c r="A537" s="20">
        <v>2</v>
      </c>
      <c r="B537" s="20" t="s">
        <v>1285</v>
      </c>
      <c r="C537" s="20" t="s">
        <v>1469</v>
      </c>
      <c r="D537" s="20" t="s">
        <v>965</v>
      </c>
      <c r="E537" s="20">
        <v>335</v>
      </c>
      <c r="F537" s="20" t="s">
        <v>507</v>
      </c>
      <c r="G537" s="20" t="s">
        <v>1287</v>
      </c>
      <c r="H537" s="20" t="s">
        <v>1288</v>
      </c>
      <c r="I537" s="20"/>
      <c r="J537" s="20">
        <v>32</v>
      </c>
      <c r="K537" s="20">
        <v>1</v>
      </c>
      <c r="L537" s="20" t="s">
        <v>13</v>
      </c>
      <c r="M537" s="20"/>
      <c r="N537" s="20"/>
      <c r="O537" s="20">
        <v>19</v>
      </c>
      <c r="P537" s="20" t="s">
        <v>27</v>
      </c>
      <c r="Q537" s="20" t="s">
        <v>840</v>
      </c>
      <c r="R537" s="20" t="str">
        <f t="shared" si="27"/>
        <v>CHASIS AGUILA-ROJO</v>
      </c>
      <c r="S537" s="19">
        <f t="shared" si="28"/>
        <v>0</v>
      </c>
      <c r="T537" s="19">
        <f t="shared" si="29"/>
        <v>32</v>
      </c>
      <c r="U537" s="19"/>
      <c r="V537" s="19"/>
      <c r="W537" s="19"/>
      <c r="X537" s="19"/>
      <c r="Y537" s="19"/>
    </row>
    <row r="538" spans="1:25" ht="12" hidden="1" customHeight="1" thickBot="1" x14ac:dyDescent="0.35">
      <c r="A538" s="20">
        <v>2</v>
      </c>
      <c r="B538" s="20" t="s">
        <v>1285</v>
      </c>
      <c r="C538" s="20" t="s">
        <v>1469</v>
      </c>
      <c r="D538" s="20" t="s">
        <v>965</v>
      </c>
      <c r="E538" s="20">
        <v>336</v>
      </c>
      <c r="F538" s="20" t="s">
        <v>508</v>
      </c>
      <c r="G538" s="20" t="s">
        <v>1287</v>
      </c>
      <c r="H538" s="20" t="s">
        <v>1288</v>
      </c>
      <c r="I538" s="20"/>
      <c r="J538" s="20">
        <v>32</v>
      </c>
      <c r="K538" s="20">
        <v>1</v>
      </c>
      <c r="L538" s="20" t="s">
        <v>13</v>
      </c>
      <c r="M538" s="20"/>
      <c r="N538" s="20"/>
      <c r="O538" s="20">
        <v>23</v>
      </c>
      <c r="P538" s="20" t="s">
        <v>1221</v>
      </c>
      <c r="Q538" s="20" t="s">
        <v>841</v>
      </c>
      <c r="R538" s="20" t="str">
        <f t="shared" si="27"/>
        <v>CHASIS AGUILA-VERDE</v>
      </c>
      <c r="S538" s="19">
        <f t="shared" si="28"/>
        <v>0</v>
      </c>
      <c r="T538" s="19">
        <f t="shared" si="29"/>
        <v>32</v>
      </c>
      <c r="U538" s="19"/>
      <c r="V538" s="19"/>
      <c r="W538" s="19"/>
      <c r="X538" s="19"/>
      <c r="Y538" s="19"/>
    </row>
    <row r="539" spans="1:25" ht="12" hidden="1" customHeight="1" thickBot="1" x14ac:dyDescent="0.35">
      <c r="A539" s="20">
        <v>2</v>
      </c>
      <c r="B539" s="20" t="s">
        <v>1285</v>
      </c>
      <c r="C539" s="20" t="s">
        <v>1469</v>
      </c>
      <c r="D539" s="20" t="s">
        <v>973</v>
      </c>
      <c r="E539" s="20">
        <v>337</v>
      </c>
      <c r="F539" s="20" t="s">
        <v>509</v>
      </c>
      <c r="G539" s="20" t="s">
        <v>1287</v>
      </c>
      <c r="H539" s="20" t="s">
        <v>1288</v>
      </c>
      <c r="I539" s="20">
        <v>6</v>
      </c>
      <c r="J539" s="20">
        <v>4.33</v>
      </c>
      <c r="K539" s="20">
        <v>1</v>
      </c>
      <c r="L539" s="20" t="s">
        <v>13</v>
      </c>
      <c r="M539" s="20"/>
      <c r="N539" s="20"/>
      <c r="O539" s="20">
        <v>18</v>
      </c>
      <c r="P539" s="20" t="s">
        <v>1215</v>
      </c>
      <c r="Q539" s="20" t="s">
        <v>842</v>
      </c>
      <c r="R539" s="20" t="str">
        <f t="shared" si="27"/>
        <v>LLANTAS AGUILA-NEGRO</v>
      </c>
      <c r="S539" s="19">
        <v>6</v>
      </c>
      <c r="T539" s="19">
        <f t="shared" si="29"/>
        <v>4.33</v>
      </c>
      <c r="U539" s="19"/>
      <c r="V539" s="19"/>
      <c r="W539" s="19"/>
      <c r="X539" s="19"/>
      <c r="Y539" s="19"/>
    </row>
    <row r="540" spans="1:25" ht="12" hidden="1" customHeight="1" thickBot="1" x14ac:dyDescent="0.35">
      <c r="A540" s="20">
        <v>2</v>
      </c>
      <c r="B540" s="20" t="s">
        <v>1285</v>
      </c>
      <c r="C540" s="20" t="s">
        <v>1469</v>
      </c>
      <c r="D540" s="20" t="s">
        <v>1769</v>
      </c>
      <c r="E540" s="20">
        <v>338</v>
      </c>
      <c r="F540" s="20" t="s">
        <v>510</v>
      </c>
      <c r="G540" s="20" t="s">
        <v>1287</v>
      </c>
      <c r="H540" s="20" t="s">
        <v>1288</v>
      </c>
      <c r="I540" s="20"/>
      <c r="J540" s="20">
        <v>42</v>
      </c>
      <c r="K540" s="20">
        <v>1</v>
      </c>
      <c r="L540" s="20" t="s">
        <v>13</v>
      </c>
      <c r="M540" s="20"/>
      <c r="N540" s="20"/>
      <c r="O540" s="20">
        <v>10</v>
      </c>
      <c r="P540" s="20" t="s">
        <v>26</v>
      </c>
      <c r="Q540" s="20" t="s">
        <v>368</v>
      </c>
      <c r="R540" s="20" t="str">
        <f t="shared" si="27"/>
        <v>TOLVA AGUILA-AMARILLO</v>
      </c>
      <c r="S540" s="19">
        <f t="shared" si="28"/>
        <v>0</v>
      </c>
      <c r="T540" s="19">
        <f t="shared" si="29"/>
        <v>42</v>
      </c>
      <c r="U540" s="19"/>
      <c r="V540" s="19"/>
      <c r="W540" s="19"/>
      <c r="X540" s="19"/>
      <c r="Y540" s="19"/>
    </row>
    <row r="541" spans="1:25" ht="12" hidden="1" customHeight="1" thickBot="1" x14ac:dyDescent="0.35">
      <c r="A541" s="20">
        <v>2</v>
      </c>
      <c r="B541" s="20" t="s">
        <v>1285</v>
      </c>
      <c r="C541" s="20" t="s">
        <v>1469</v>
      </c>
      <c r="D541" s="20" t="s">
        <v>1769</v>
      </c>
      <c r="E541" s="20">
        <v>339</v>
      </c>
      <c r="F541" s="20" t="s">
        <v>511</v>
      </c>
      <c r="G541" s="20" t="s">
        <v>1287</v>
      </c>
      <c r="H541" s="20" t="s">
        <v>1288</v>
      </c>
      <c r="I541" s="20"/>
      <c r="J541" s="20">
        <v>42</v>
      </c>
      <c r="K541" s="20">
        <v>1</v>
      </c>
      <c r="L541" s="20" t="s">
        <v>13</v>
      </c>
      <c r="M541" s="20"/>
      <c r="N541" s="20"/>
      <c r="O541" s="20">
        <v>11</v>
      </c>
      <c r="P541" s="20" t="s">
        <v>1207</v>
      </c>
      <c r="Q541" s="20" t="s">
        <v>369</v>
      </c>
      <c r="R541" s="20" t="str">
        <f t="shared" si="27"/>
        <v>TOLVA AGUILA-ANARANJADO</v>
      </c>
      <c r="S541" s="19">
        <f t="shared" si="28"/>
        <v>0</v>
      </c>
      <c r="T541" s="19">
        <f t="shared" si="29"/>
        <v>42</v>
      </c>
      <c r="U541" s="19"/>
      <c r="V541" s="19"/>
      <c r="W541" s="19"/>
      <c r="X541" s="19"/>
      <c r="Y541" s="19"/>
    </row>
    <row r="542" spans="1:25" ht="12" hidden="1" customHeight="1" thickBot="1" x14ac:dyDescent="0.35">
      <c r="A542" s="20">
        <v>2</v>
      </c>
      <c r="B542" s="20" t="s">
        <v>1285</v>
      </c>
      <c r="C542" s="20" t="s">
        <v>1469</v>
      </c>
      <c r="D542" s="20" t="s">
        <v>1769</v>
      </c>
      <c r="E542" s="20">
        <v>340</v>
      </c>
      <c r="F542" s="20" t="s">
        <v>512</v>
      </c>
      <c r="G542" s="20" t="s">
        <v>1287</v>
      </c>
      <c r="H542" s="20" t="s">
        <v>1288</v>
      </c>
      <c r="I542" s="20"/>
      <c r="J542" s="20">
        <v>42</v>
      </c>
      <c r="K542" s="20">
        <v>1</v>
      </c>
      <c r="L542" s="20" t="s">
        <v>13</v>
      </c>
      <c r="M542" s="20"/>
      <c r="N542" s="20"/>
      <c r="O542" s="20">
        <v>12</v>
      </c>
      <c r="P542" s="20" t="s">
        <v>24</v>
      </c>
      <c r="Q542" s="20" t="s">
        <v>370</v>
      </c>
      <c r="R542" s="20" t="str">
        <f t="shared" si="27"/>
        <v>TOLVA AGUILA-AZUL</v>
      </c>
      <c r="S542" s="19">
        <f t="shared" si="28"/>
        <v>0</v>
      </c>
      <c r="T542" s="19">
        <f t="shared" si="29"/>
        <v>42</v>
      </c>
      <c r="U542" s="19"/>
      <c r="V542" s="19"/>
      <c r="W542" s="19"/>
      <c r="X542" s="19"/>
      <c r="Y542" s="19"/>
    </row>
    <row r="543" spans="1:25" ht="12" hidden="1" customHeight="1" thickBot="1" x14ac:dyDescent="0.35">
      <c r="A543" s="20">
        <v>2</v>
      </c>
      <c r="B543" s="20" t="s">
        <v>1285</v>
      </c>
      <c r="C543" s="20" t="s">
        <v>1469</v>
      </c>
      <c r="D543" s="20" t="s">
        <v>1769</v>
      </c>
      <c r="E543" s="20">
        <v>341</v>
      </c>
      <c r="F543" s="20" t="s">
        <v>513</v>
      </c>
      <c r="G543" s="20" t="s">
        <v>1287</v>
      </c>
      <c r="H543" s="20" t="s">
        <v>1288</v>
      </c>
      <c r="I543" s="20"/>
      <c r="J543" s="20">
        <v>42</v>
      </c>
      <c r="K543" s="20">
        <v>1</v>
      </c>
      <c r="L543" s="20" t="s">
        <v>13</v>
      </c>
      <c r="M543" s="20"/>
      <c r="N543" s="20"/>
      <c r="O543" s="20">
        <v>14</v>
      </c>
      <c r="P543" s="20" t="s">
        <v>1209</v>
      </c>
      <c r="Q543" s="20" t="s">
        <v>843</v>
      </c>
      <c r="R543" s="20" t="str">
        <f t="shared" si="27"/>
        <v>TOLVA AGUILA-CELESTE</v>
      </c>
      <c r="S543" s="19">
        <f t="shared" si="28"/>
        <v>0</v>
      </c>
      <c r="T543" s="19">
        <f t="shared" si="29"/>
        <v>42</v>
      </c>
      <c r="U543" s="19"/>
      <c r="V543" s="19"/>
      <c r="W543" s="19"/>
      <c r="X543" s="19"/>
      <c r="Y543" s="19"/>
    </row>
    <row r="544" spans="1:25" ht="12" hidden="1" customHeight="1" thickBot="1" x14ac:dyDescent="0.35">
      <c r="A544" s="20">
        <v>2</v>
      </c>
      <c r="B544" s="20" t="s">
        <v>1285</v>
      </c>
      <c r="C544" s="20" t="s">
        <v>1469</v>
      </c>
      <c r="D544" s="20" t="s">
        <v>1769</v>
      </c>
      <c r="E544" s="20">
        <v>342</v>
      </c>
      <c r="F544" s="20" t="s">
        <v>514</v>
      </c>
      <c r="G544" s="20" t="s">
        <v>1287</v>
      </c>
      <c r="H544" s="20" t="s">
        <v>1288</v>
      </c>
      <c r="I544" s="20"/>
      <c r="J544" s="20">
        <v>42</v>
      </c>
      <c r="K544" s="20">
        <v>1</v>
      </c>
      <c r="L544" s="20" t="s">
        <v>13</v>
      </c>
      <c r="M544" s="20"/>
      <c r="N544" s="20"/>
      <c r="O544" s="20">
        <v>19</v>
      </c>
      <c r="P544" s="20" t="s">
        <v>27</v>
      </c>
      <c r="Q544" s="20" t="s">
        <v>844</v>
      </c>
      <c r="R544" s="20" t="str">
        <f t="shared" si="27"/>
        <v>TOLVA AGUILA-ROJO</v>
      </c>
      <c r="S544" s="19">
        <f t="shared" si="28"/>
        <v>0</v>
      </c>
      <c r="T544" s="19">
        <f t="shared" si="29"/>
        <v>42</v>
      </c>
      <c r="U544" s="19"/>
      <c r="V544" s="19"/>
      <c r="W544" s="19"/>
      <c r="X544" s="19"/>
      <c r="Y544" s="19"/>
    </row>
    <row r="545" spans="1:25" ht="12" hidden="1" customHeight="1" thickBot="1" x14ac:dyDescent="0.35">
      <c r="A545" s="20">
        <v>2</v>
      </c>
      <c r="B545" s="20" t="s">
        <v>1285</v>
      </c>
      <c r="C545" s="20" t="s">
        <v>1469</v>
      </c>
      <c r="D545" s="20" t="s">
        <v>1769</v>
      </c>
      <c r="E545" s="20">
        <v>343</v>
      </c>
      <c r="F545" s="20" t="s">
        <v>515</v>
      </c>
      <c r="G545" s="20" t="s">
        <v>1287</v>
      </c>
      <c r="H545" s="20" t="s">
        <v>1288</v>
      </c>
      <c r="I545" s="20"/>
      <c r="J545" s="20">
        <v>42</v>
      </c>
      <c r="K545" s="20">
        <v>1</v>
      </c>
      <c r="L545" s="20" t="s">
        <v>13</v>
      </c>
      <c r="M545" s="20"/>
      <c r="N545" s="20"/>
      <c r="O545" s="20">
        <v>23</v>
      </c>
      <c r="P545" s="20" t="s">
        <v>1221</v>
      </c>
      <c r="Q545" s="20" t="s">
        <v>371</v>
      </c>
      <c r="R545" s="20" t="str">
        <f t="shared" si="27"/>
        <v>TOLVA AGUILA-VERDE</v>
      </c>
      <c r="S545" s="19">
        <f t="shared" si="28"/>
        <v>0</v>
      </c>
      <c r="T545" s="19">
        <f t="shared" si="29"/>
        <v>42</v>
      </c>
      <c r="U545" s="19"/>
      <c r="V545" s="19"/>
      <c r="W545" s="19"/>
      <c r="X545" s="19"/>
      <c r="Y545" s="19"/>
    </row>
    <row r="546" spans="1:25" ht="12" hidden="1" customHeight="1" thickBot="1" x14ac:dyDescent="0.35">
      <c r="A546" s="20">
        <v>2</v>
      </c>
      <c r="B546" s="20" t="s">
        <v>1285</v>
      </c>
      <c r="C546" s="20" t="s">
        <v>1469</v>
      </c>
      <c r="D546" s="20" t="s">
        <v>1486</v>
      </c>
      <c r="E546" s="20">
        <v>344</v>
      </c>
      <c r="F546" s="20" t="s">
        <v>516</v>
      </c>
      <c r="G546" s="20" t="s">
        <v>1287</v>
      </c>
      <c r="H546" s="20" t="s">
        <v>1288</v>
      </c>
      <c r="I546" s="20"/>
      <c r="J546" s="20">
        <v>43</v>
      </c>
      <c r="K546" s="20">
        <v>1</v>
      </c>
      <c r="L546" s="20" t="s">
        <v>13</v>
      </c>
      <c r="M546" s="20"/>
      <c r="N546" s="20"/>
      <c r="O546" s="20">
        <v>10</v>
      </c>
      <c r="P546" s="20" t="s">
        <v>26</v>
      </c>
      <c r="Q546" s="20" t="s">
        <v>845</v>
      </c>
      <c r="R546" s="20" t="str">
        <f t="shared" si="27"/>
        <v>CHASIS TOLVA JEEP-AMARILLO</v>
      </c>
      <c r="S546" s="19">
        <f t="shared" si="28"/>
        <v>0</v>
      </c>
      <c r="T546" s="19">
        <f t="shared" si="29"/>
        <v>43</v>
      </c>
      <c r="U546" s="19"/>
      <c r="V546" s="19"/>
      <c r="W546" s="19"/>
      <c r="X546" s="19"/>
      <c r="Y546" s="19"/>
    </row>
    <row r="547" spans="1:25" ht="12" hidden="1" customHeight="1" thickBot="1" x14ac:dyDescent="0.35">
      <c r="A547" s="20">
        <v>2</v>
      </c>
      <c r="B547" s="20" t="s">
        <v>1285</v>
      </c>
      <c r="C547" s="20" t="s">
        <v>1469</v>
      </c>
      <c r="D547" s="20" t="s">
        <v>1486</v>
      </c>
      <c r="E547" s="20">
        <v>345</v>
      </c>
      <c r="F547" s="20" t="s">
        <v>517</v>
      </c>
      <c r="G547" s="20" t="s">
        <v>1287</v>
      </c>
      <c r="H547" s="20" t="s">
        <v>1288</v>
      </c>
      <c r="I547" s="20"/>
      <c r="J547" s="20">
        <v>43</v>
      </c>
      <c r="K547" s="20">
        <v>1</v>
      </c>
      <c r="L547" s="20" t="s">
        <v>13</v>
      </c>
      <c r="M547" s="20"/>
      <c r="N547" s="20"/>
      <c r="O547" s="20">
        <v>11</v>
      </c>
      <c r="P547" s="20" t="s">
        <v>1207</v>
      </c>
      <c r="Q547" s="20" t="s">
        <v>846</v>
      </c>
      <c r="R547" s="20" t="str">
        <f t="shared" si="27"/>
        <v>CHASIS TOLVA JEEP-ANARANJADO</v>
      </c>
      <c r="S547" s="19">
        <f t="shared" si="28"/>
        <v>0</v>
      </c>
      <c r="T547" s="19">
        <f t="shared" si="29"/>
        <v>43</v>
      </c>
      <c r="U547" s="19"/>
      <c r="V547" s="19"/>
      <c r="W547" s="19"/>
      <c r="X547" s="19"/>
      <c r="Y547" s="19"/>
    </row>
    <row r="548" spans="1:25" ht="12" hidden="1" customHeight="1" thickBot="1" x14ac:dyDescent="0.35">
      <c r="A548" s="20">
        <v>2</v>
      </c>
      <c r="B548" s="20" t="s">
        <v>1285</v>
      </c>
      <c r="C548" s="20" t="s">
        <v>1469</v>
      </c>
      <c r="D548" s="20" t="s">
        <v>1486</v>
      </c>
      <c r="E548" s="20">
        <v>346</v>
      </c>
      <c r="F548" s="20" t="s">
        <v>518</v>
      </c>
      <c r="G548" s="20" t="s">
        <v>1287</v>
      </c>
      <c r="H548" s="20" t="s">
        <v>1288</v>
      </c>
      <c r="I548" s="20"/>
      <c r="J548" s="20">
        <v>43</v>
      </c>
      <c r="K548" s="20">
        <v>1</v>
      </c>
      <c r="L548" s="20" t="s">
        <v>13</v>
      </c>
      <c r="M548" s="20"/>
      <c r="N548" s="20"/>
      <c r="O548" s="20">
        <v>12</v>
      </c>
      <c r="P548" s="20" t="s">
        <v>24</v>
      </c>
      <c r="Q548" s="20" t="s">
        <v>847</v>
      </c>
      <c r="R548" s="20" t="str">
        <f t="shared" si="27"/>
        <v>CHASIS TOLVA JEEP-AZUL</v>
      </c>
      <c r="S548" s="19">
        <f t="shared" si="28"/>
        <v>0</v>
      </c>
      <c r="T548" s="19">
        <f t="shared" si="29"/>
        <v>43</v>
      </c>
      <c r="U548" s="19"/>
      <c r="V548" s="19"/>
      <c r="W548" s="19"/>
      <c r="X548" s="19"/>
      <c r="Y548" s="19"/>
    </row>
    <row r="549" spans="1:25" ht="12" hidden="1" customHeight="1" thickBot="1" x14ac:dyDescent="0.35">
      <c r="A549" s="20">
        <v>2</v>
      </c>
      <c r="B549" s="20" t="s">
        <v>1285</v>
      </c>
      <c r="C549" s="20" t="s">
        <v>1469</v>
      </c>
      <c r="D549" s="20" t="s">
        <v>1486</v>
      </c>
      <c r="E549" s="20">
        <v>347</v>
      </c>
      <c r="F549" s="20" t="s">
        <v>519</v>
      </c>
      <c r="G549" s="20" t="s">
        <v>1287</v>
      </c>
      <c r="H549" s="20" t="s">
        <v>1288</v>
      </c>
      <c r="I549" s="20"/>
      <c r="J549" s="20">
        <v>43</v>
      </c>
      <c r="K549" s="20">
        <v>1</v>
      </c>
      <c r="L549" s="20" t="s">
        <v>13</v>
      </c>
      <c r="M549" s="20"/>
      <c r="N549" s="20"/>
      <c r="O549" s="20">
        <v>14</v>
      </c>
      <c r="P549" s="20" t="s">
        <v>1209</v>
      </c>
      <c r="Q549" s="20" t="s">
        <v>848</v>
      </c>
      <c r="R549" s="20" t="str">
        <f t="shared" si="27"/>
        <v>CHASIS TOLVA JEEP-CELESTE</v>
      </c>
      <c r="S549" s="19">
        <f t="shared" si="28"/>
        <v>0</v>
      </c>
      <c r="T549" s="19">
        <f t="shared" si="29"/>
        <v>43</v>
      </c>
      <c r="U549" s="19"/>
      <c r="V549" s="19"/>
      <c r="W549" s="19"/>
      <c r="X549" s="19"/>
      <c r="Y549" s="19"/>
    </row>
    <row r="550" spans="1:25" ht="12" hidden="1" customHeight="1" thickBot="1" x14ac:dyDescent="0.35">
      <c r="A550" s="20">
        <v>2</v>
      </c>
      <c r="B550" s="20" t="s">
        <v>1285</v>
      </c>
      <c r="C550" s="20" t="s">
        <v>1469</v>
      </c>
      <c r="D550" s="20" t="s">
        <v>1486</v>
      </c>
      <c r="E550" s="20">
        <v>348</v>
      </c>
      <c r="F550" s="20" t="s">
        <v>520</v>
      </c>
      <c r="G550" s="20" t="s">
        <v>1287</v>
      </c>
      <c r="H550" s="20" t="s">
        <v>1288</v>
      </c>
      <c r="I550" s="20"/>
      <c r="J550" s="20">
        <v>43</v>
      </c>
      <c r="K550" s="20">
        <v>1</v>
      </c>
      <c r="L550" s="20" t="s">
        <v>13</v>
      </c>
      <c r="M550" s="20"/>
      <c r="N550" s="20"/>
      <c r="O550" s="20">
        <v>19</v>
      </c>
      <c r="P550" s="20" t="s">
        <v>27</v>
      </c>
      <c r="Q550" s="20" t="s">
        <v>849</v>
      </c>
      <c r="R550" s="20" t="str">
        <f t="shared" si="27"/>
        <v>CHASIS TOLVA JEEP-ROJO</v>
      </c>
      <c r="S550" s="19">
        <f t="shared" si="28"/>
        <v>0</v>
      </c>
      <c r="T550" s="19">
        <f t="shared" si="29"/>
        <v>43</v>
      </c>
      <c r="U550" s="19"/>
      <c r="V550" s="19"/>
      <c r="W550" s="19"/>
      <c r="X550" s="19"/>
      <c r="Y550" s="19"/>
    </row>
    <row r="551" spans="1:25" ht="12" hidden="1" customHeight="1" thickBot="1" x14ac:dyDescent="0.35">
      <c r="A551" s="20">
        <v>2</v>
      </c>
      <c r="B551" s="20" t="s">
        <v>1285</v>
      </c>
      <c r="C551" s="20" t="s">
        <v>1469</v>
      </c>
      <c r="D551" s="20" t="s">
        <v>1486</v>
      </c>
      <c r="E551" s="20">
        <v>349</v>
      </c>
      <c r="F551" s="20" t="s">
        <v>521</v>
      </c>
      <c r="G551" s="20" t="s">
        <v>1287</v>
      </c>
      <c r="H551" s="20" t="s">
        <v>1288</v>
      </c>
      <c r="I551" s="20"/>
      <c r="J551" s="20">
        <v>43</v>
      </c>
      <c r="K551" s="20">
        <v>1</v>
      </c>
      <c r="L551" s="20" t="s">
        <v>13</v>
      </c>
      <c r="M551" s="20"/>
      <c r="N551" s="20"/>
      <c r="O551" s="20">
        <v>23</v>
      </c>
      <c r="P551" s="20" t="s">
        <v>1221</v>
      </c>
      <c r="Q551" s="20" t="s">
        <v>850</v>
      </c>
      <c r="R551" s="20" t="str">
        <f t="shared" si="27"/>
        <v>CHASIS TOLVA JEEP-VERDE</v>
      </c>
      <c r="S551" s="19">
        <f t="shared" si="28"/>
        <v>0</v>
      </c>
      <c r="T551" s="19">
        <f t="shared" si="29"/>
        <v>43</v>
      </c>
      <c r="U551" s="19"/>
      <c r="V551" s="19"/>
      <c r="W551" s="19"/>
      <c r="X551" s="19"/>
      <c r="Y551" s="19"/>
    </row>
    <row r="552" spans="1:25" ht="12" hidden="1" customHeight="1" thickBot="1" x14ac:dyDescent="0.35">
      <c r="A552" s="20">
        <v>2</v>
      </c>
      <c r="B552" s="20" t="s">
        <v>1285</v>
      </c>
      <c r="C552" s="20" t="s">
        <v>1469</v>
      </c>
      <c r="D552" s="20" t="s">
        <v>1487</v>
      </c>
      <c r="E552" s="20">
        <v>350</v>
      </c>
      <c r="F552" s="20" t="s">
        <v>522</v>
      </c>
      <c r="G552" s="20" t="s">
        <v>1287</v>
      </c>
      <c r="H552" s="20" t="s">
        <v>1288</v>
      </c>
      <c r="I552" s="20"/>
      <c r="J552" s="20">
        <v>32</v>
      </c>
      <c r="K552" s="20">
        <v>1</v>
      </c>
      <c r="L552" s="20" t="s">
        <v>13</v>
      </c>
      <c r="M552" s="20"/>
      <c r="N552" s="20"/>
      <c r="O552" s="20">
        <v>18</v>
      </c>
      <c r="P552" s="20" t="s">
        <v>1215</v>
      </c>
      <c r="Q552" s="20" t="s">
        <v>856</v>
      </c>
      <c r="R552" s="20" t="str">
        <f t="shared" si="27"/>
        <v>ACCESORIOS PATRULLERO-NEGRO</v>
      </c>
      <c r="S552" s="19">
        <f t="shared" si="28"/>
        <v>0</v>
      </c>
      <c r="T552" s="19">
        <f t="shared" si="29"/>
        <v>32</v>
      </c>
      <c r="U552" s="19"/>
      <c r="V552" s="19"/>
      <c r="W552" s="19"/>
      <c r="X552" s="19"/>
      <c r="Y552" s="19"/>
    </row>
    <row r="553" spans="1:25" ht="12" hidden="1" customHeight="1" thickBot="1" x14ac:dyDescent="0.35">
      <c r="A553" s="20">
        <v>2</v>
      </c>
      <c r="B553" s="20" t="s">
        <v>1285</v>
      </c>
      <c r="C553" s="20" t="s">
        <v>1469</v>
      </c>
      <c r="D553" s="20" t="s">
        <v>1487</v>
      </c>
      <c r="E553" s="20">
        <v>351</v>
      </c>
      <c r="F553" s="20" t="s">
        <v>523</v>
      </c>
      <c r="G553" s="20" t="s">
        <v>1287</v>
      </c>
      <c r="H553" s="20" t="s">
        <v>1288</v>
      </c>
      <c r="I553" s="20"/>
      <c r="J553" s="20">
        <v>3</v>
      </c>
      <c r="K553" s="20">
        <v>1</v>
      </c>
      <c r="L553" s="20" t="s">
        <v>13</v>
      </c>
      <c r="M553" s="20"/>
      <c r="N553" s="20"/>
      <c r="O553" s="20">
        <v>18</v>
      </c>
      <c r="P553" s="20" t="s">
        <v>1215</v>
      </c>
      <c r="Q553" s="20" t="s">
        <v>851</v>
      </c>
      <c r="R553" s="20" t="str">
        <f t="shared" si="27"/>
        <v>ARMAS PATRULLERO-NEGRO</v>
      </c>
      <c r="S553" s="19">
        <f t="shared" si="28"/>
        <v>0</v>
      </c>
      <c r="T553" s="19">
        <f t="shared" si="29"/>
        <v>3</v>
      </c>
      <c r="U553" s="19"/>
      <c r="V553" s="19"/>
      <c r="W553" s="19"/>
      <c r="X553" s="19"/>
      <c r="Y553" s="19"/>
    </row>
    <row r="554" spans="1:25" ht="12" hidden="1" customHeight="1" thickBot="1" x14ac:dyDescent="0.35">
      <c r="A554" s="20">
        <v>2</v>
      </c>
      <c r="B554" s="20" t="s">
        <v>1285</v>
      </c>
      <c r="C554" s="20" t="s">
        <v>1469</v>
      </c>
      <c r="D554" s="20" t="s">
        <v>1487</v>
      </c>
      <c r="E554" s="20">
        <v>352</v>
      </c>
      <c r="F554" s="20" t="s">
        <v>524</v>
      </c>
      <c r="G554" s="20" t="s">
        <v>1287</v>
      </c>
      <c r="H554" s="20" t="s">
        <v>1288</v>
      </c>
      <c r="I554" s="20"/>
      <c r="J554" s="20">
        <v>24</v>
      </c>
      <c r="K554" s="20">
        <v>1</v>
      </c>
      <c r="L554" s="20" t="s">
        <v>13</v>
      </c>
      <c r="M554" s="20"/>
      <c r="N554" s="20"/>
      <c r="O554" s="20">
        <v>18</v>
      </c>
      <c r="P554" s="20" t="s">
        <v>1215</v>
      </c>
      <c r="Q554" s="20" t="s">
        <v>852</v>
      </c>
      <c r="R554" s="20" t="str">
        <f t="shared" si="27"/>
        <v>LLANTAS PATRULLERO-NEGRO</v>
      </c>
      <c r="S554" s="19">
        <f t="shared" si="28"/>
        <v>0</v>
      </c>
      <c r="T554" s="19">
        <f t="shared" si="29"/>
        <v>24</v>
      </c>
      <c r="U554" s="19"/>
      <c r="V554" s="19"/>
      <c r="W554" s="19"/>
      <c r="X554" s="19"/>
      <c r="Y554" s="19"/>
    </row>
    <row r="555" spans="1:25" ht="12" hidden="1" customHeight="1" thickBot="1" x14ac:dyDescent="0.35">
      <c r="A555" s="20">
        <v>2</v>
      </c>
      <c r="B555" s="20" t="s">
        <v>1285</v>
      </c>
      <c r="C555" s="20" t="s">
        <v>1469</v>
      </c>
      <c r="D555" s="20" t="s">
        <v>1487</v>
      </c>
      <c r="E555" s="20">
        <v>353</v>
      </c>
      <c r="F555" s="20" t="s">
        <v>525</v>
      </c>
      <c r="G555" s="20" t="s">
        <v>1287</v>
      </c>
      <c r="H555" s="20" t="s">
        <v>1288</v>
      </c>
      <c r="I555" s="20"/>
      <c r="J555" s="20">
        <v>60</v>
      </c>
      <c r="K555" s="20">
        <v>1</v>
      </c>
      <c r="L555" s="20" t="s">
        <v>13</v>
      </c>
      <c r="M555" s="20"/>
      <c r="N555" s="20"/>
      <c r="O555" s="20">
        <v>23</v>
      </c>
      <c r="P555" s="20" t="s">
        <v>1221</v>
      </c>
      <c r="Q555" s="20" t="s">
        <v>372</v>
      </c>
      <c r="R555" s="20" t="str">
        <f t="shared" si="27"/>
        <v>PATRULLERO MILITAR-VERDE MILITAR</v>
      </c>
      <c r="S555" s="19">
        <f t="shared" si="28"/>
        <v>0</v>
      </c>
      <c r="T555" s="19">
        <f t="shared" si="29"/>
        <v>60</v>
      </c>
      <c r="U555" s="19"/>
      <c r="V555" s="19"/>
      <c r="W555" s="19"/>
      <c r="X555" s="19"/>
      <c r="Y555" s="19"/>
    </row>
    <row r="556" spans="1:25" ht="12" hidden="1" customHeight="1" thickBot="1" x14ac:dyDescent="0.35">
      <c r="A556" s="20">
        <v>2</v>
      </c>
      <c r="B556" s="20" t="s">
        <v>1285</v>
      </c>
      <c r="C556" s="20" t="s">
        <v>1469</v>
      </c>
      <c r="D556" s="20" t="s">
        <v>1487</v>
      </c>
      <c r="E556" s="20">
        <v>354</v>
      </c>
      <c r="F556" s="20" t="s">
        <v>1489</v>
      </c>
      <c r="G556" s="20" t="s">
        <v>1287</v>
      </c>
      <c r="H556" s="20" t="s">
        <v>1288</v>
      </c>
      <c r="I556" s="20"/>
      <c r="J556" s="20">
        <v>60</v>
      </c>
      <c r="K556" s="20">
        <v>1</v>
      </c>
      <c r="L556" s="20" t="s">
        <v>13</v>
      </c>
      <c r="M556" s="20"/>
      <c r="N556" s="20"/>
      <c r="O556" s="20">
        <v>23</v>
      </c>
      <c r="P556" s="20" t="s">
        <v>1221</v>
      </c>
      <c r="Q556" s="20" t="s">
        <v>1488</v>
      </c>
      <c r="R556" s="20" t="str">
        <f t="shared" si="27"/>
        <v>PATRULLERO MILITAR-VERDE MILITAR PINTADO</v>
      </c>
      <c r="S556" s="19">
        <f t="shared" si="28"/>
        <v>0</v>
      </c>
      <c r="T556" s="19">
        <f t="shared" si="29"/>
        <v>60</v>
      </c>
      <c r="U556" s="19"/>
      <c r="V556" s="19"/>
      <c r="W556" s="19"/>
      <c r="X556" s="19"/>
      <c r="Y556" s="19"/>
    </row>
    <row r="557" spans="1:25" ht="12" hidden="1" customHeight="1" thickBot="1" x14ac:dyDescent="0.35">
      <c r="A557" s="20">
        <v>2</v>
      </c>
      <c r="B557" s="20" t="s">
        <v>1285</v>
      </c>
      <c r="C557" s="20" t="s">
        <v>1469</v>
      </c>
      <c r="D557" s="20" t="s">
        <v>1487</v>
      </c>
      <c r="E557" s="20">
        <v>355</v>
      </c>
      <c r="F557" s="20" t="s">
        <v>526</v>
      </c>
      <c r="G557" s="20" t="s">
        <v>1287</v>
      </c>
      <c r="H557" s="20" t="s">
        <v>1288</v>
      </c>
      <c r="I557" s="20"/>
      <c r="J557" s="20">
        <v>3</v>
      </c>
      <c r="K557" s="20">
        <v>1</v>
      </c>
      <c r="L557" s="20" t="s">
        <v>13</v>
      </c>
      <c r="M557" s="20"/>
      <c r="N557" s="20"/>
      <c r="O557" s="20">
        <v>13</v>
      </c>
      <c r="P557" s="20" t="s">
        <v>25</v>
      </c>
      <c r="Q557" s="20" t="s">
        <v>857</v>
      </c>
      <c r="R557" s="20" t="str">
        <f t="shared" si="27"/>
        <v>PIN LLANTA PATRULLERO-BLANCO</v>
      </c>
      <c r="S557" s="19">
        <f t="shared" si="28"/>
        <v>0</v>
      </c>
      <c r="T557" s="19">
        <f t="shared" si="29"/>
        <v>3</v>
      </c>
      <c r="U557" s="19"/>
      <c r="V557" s="19"/>
      <c r="W557" s="19"/>
      <c r="X557" s="19"/>
      <c r="Y557" s="19"/>
    </row>
    <row r="558" spans="1:25" ht="12" hidden="1" customHeight="1" thickBot="1" x14ac:dyDescent="0.35">
      <c r="A558" s="20">
        <v>2</v>
      </c>
      <c r="B558" s="20" t="s">
        <v>1285</v>
      </c>
      <c r="C558" s="20" t="s">
        <v>1469</v>
      </c>
      <c r="D558" s="20" t="s">
        <v>1487</v>
      </c>
      <c r="E558" s="20">
        <v>356</v>
      </c>
      <c r="F558" s="20" t="s">
        <v>527</v>
      </c>
      <c r="G558" s="20" t="s">
        <v>1287</v>
      </c>
      <c r="H558" s="20" t="s">
        <v>1288</v>
      </c>
      <c r="I558" s="20"/>
      <c r="J558" s="20">
        <v>2</v>
      </c>
      <c r="K558" s="20">
        <v>1</v>
      </c>
      <c r="L558" s="20" t="s">
        <v>13</v>
      </c>
      <c r="M558" s="20"/>
      <c r="N558" s="20"/>
      <c r="O558" s="20">
        <v>23</v>
      </c>
      <c r="P558" s="20" t="s">
        <v>1221</v>
      </c>
      <c r="Q558" s="20" t="s">
        <v>765</v>
      </c>
      <c r="R558" s="20" t="str">
        <f t="shared" si="27"/>
        <v>PLATAFORMA ARMA PATRULLERO-VERDE MILITAR</v>
      </c>
      <c r="S558" s="19">
        <f t="shared" si="28"/>
        <v>0</v>
      </c>
      <c r="T558" s="19">
        <f t="shared" si="29"/>
        <v>2</v>
      </c>
      <c r="U558" s="19"/>
      <c r="V558" s="19"/>
      <c r="W558" s="19"/>
      <c r="X558" s="19"/>
      <c r="Y558" s="19"/>
    </row>
    <row r="559" spans="1:25" ht="12" hidden="1" customHeight="1" thickBot="1" x14ac:dyDescent="0.35">
      <c r="A559" s="20">
        <v>2</v>
      </c>
      <c r="B559" s="20" t="s">
        <v>1285</v>
      </c>
      <c r="C559" s="20" t="s">
        <v>1469</v>
      </c>
      <c r="D559" s="20" t="s">
        <v>1487</v>
      </c>
      <c r="E559" s="20">
        <v>357</v>
      </c>
      <c r="F559" s="20" t="s">
        <v>528</v>
      </c>
      <c r="G559" s="20" t="s">
        <v>1287</v>
      </c>
      <c r="H559" s="20" t="s">
        <v>1288</v>
      </c>
      <c r="I559" s="20"/>
      <c r="J559" s="20">
        <v>7</v>
      </c>
      <c r="K559" s="20">
        <v>1</v>
      </c>
      <c r="L559" s="20" t="s">
        <v>13</v>
      </c>
      <c r="M559" s="20"/>
      <c r="N559" s="20"/>
      <c r="O559" s="20">
        <v>23</v>
      </c>
      <c r="P559" s="20" t="s">
        <v>1221</v>
      </c>
      <c r="Q559" s="20" t="s">
        <v>853</v>
      </c>
      <c r="R559" s="20" t="str">
        <f t="shared" si="27"/>
        <v>SOLDADO PATRULLERO-VERDE MILITAR</v>
      </c>
      <c r="S559" s="19">
        <f t="shared" si="28"/>
        <v>0</v>
      </c>
      <c r="T559" s="19">
        <f t="shared" si="29"/>
        <v>7</v>
      </c>
      <c r="U559" s="19"/>
      <c r="V559" s="19"/>
      <c r="W559" s="19"/>
      <c r="X559" s="19"/>
      <c r="Y559" s="19"/>
    </row>
    <row r="560" spans="1:25" ht="12" hidden="1" customHeight="1" thickBot="1" x14ac:dyDescent="0.35">
      <c r="A560" s="20">
        <v>2</v>
      </c>
      <c r="B560" s="20" t="s">
        <v>1285</v>
      </c>
      <c r="C560" s="20" t="s">
        <v>1469</v>
      </c>
      <c r="D560" s="20" t="s">
        <v>1487</v>
      </c>
      <c r="E560" s="20">
        <v>358</v>
      </c>
      <c r="F560" s="20" t="s">
        <v>1491</v>
      </c>
      <c r="G560" s="20" t="s">
        <v>1287</v>
      </c>
      <c r="H560" s="20" t="s">
        <v>1288</v>
      </c>
      <c r="I560" s="20"/>
      <c r="J560" s="20">
        <v>7</v>
      </c>
      <c r="K560" s="20">
        <v>1</v>
      </c>
      <c r="L560" s="20" t="s">
        <v>13</v>
      </c>
      <c r="M560" s="20"/>
      <c r="N560" s="20"/>
      <c r="O560" s="20">
        <v>23</v>
      </c>
      <c r="P560" s="20" t="s">
        <v>1221</v>
      </c>
      <c r="Q560" s="20" t="s">
        <v>1490</v>
      </c>
      <c r="R560" s="20" t="str">
        <f t="shared" si="27"/>
        <v>SOLDADO PATRULLERO-VERDE MILITAR PINTADO</v>
      </c>
      <c r="S560" s="19">
        <f t="shared" si="28"/>
        <v>0</v>
      </c>
      <c r="T560" s="19">
        <f t="shared" si="29"/>
        <v>7</v>
      </c>
      <c r="U560" s="19"/>
      <c r="V560" s="19"/>
      <c r="W560" s="19"/>
      <c r="X560" s="19"/>
      <c r="Y560" s="19"/>
    </row>
    <row r="561" spans="1:25" ht="12" hidden="1" customHeight="1" thickBot="1" x14ac:dyDescent="0.35">
      <c r="A561" s="20">
        <v>2</v>
      </c>
      <c r="B561" s="20" t="s">
        <v>1285</v>
      </c>
      <c r="C561" s="20" t="s">
        <v>1469</v>
      </c>
      <c r="D561" s="20" t="s">
        <v>1487</v>
      </c>
      <c r="E561" s="20">
        <v>359</v>
      </c>
      <c r="F561" s="20" t="s">
        <v>529</v>
      </c>
      <c r="G561" s="20" t="s">
        <v>1287</v>
      </c>
      <c r="H561" s="20" t="s">
        <v>1288</v>
      </c>
      <c r="I561" s="20"/>
      <c r="J561" s="20">
        <v>3</v>
      </c>
      <c r="K561" s="20">
        <v>1</v>
      </c>
      <c r="L561" s="20" t="s">
        <v>13</v>
      </c>
      <c r="M561" s="20"/>
      <c r="N561" s="20"/>
      <c r="O561" s="20">
        <v>18</v>
      </c>
      <c r="P561" s="20" t="s">
        <v>1215</v>
      </c>
      <c r="Q561" s="20" t="s">
        <v>858</v>
      </c>
      <c r="R561" s="20" t="str">
        <f t="shared" si="27"/>
        <v>TANQUE PATRULLERO-NEGRO</v>
      </c>
      <c r="S561" s="19">
        <f t="shared" si="28"/>
        <v>0</v>
      </c>
      <c r="T561" s="19">
        <f t="shared" si="29"/>
        <v>3</v>
      </c>
      <c r="U561" s="19"/>
      <c r="V561" s="19"/>
      <c r="W561" s="19"/>
      <c r="X561" s="19"/>
      <c r="Y561" s="19"/>
    </row>
    <row r="562" spans="1:25" ht="12" hidden="1" customHeight="1" thickBot="1" x14ac:dyDescent="0.35">
      <c r="A562" s="20">
        <v>2</v>
      </c>
      <c r="B562" s="20" t="s">
        <v>1285</v>
      </c>
      <c r="C562" s="20" t="s">
        <v>1469</v>
      </c>
      <c r="D562" s="20" t="s">
        <v>1493</v>
      </c>
      <c r="E562" s="20">
        <v>360</v>
      </c>
      <c r="F562" s="20" t="s">
        <v>1494</v>
      </c>
      <c r="G562" s="20" t="s">
        <v>1287</v>
      </c>
      <c r="H562" s="20" t="s">
        <v>1288</v>
      </c>
      <c r="I562" s="20"/>
      <c r="J562" s="20">
        <v>6</v>
      </c>
      <c r="K562" s="20">
        <v>1</v>
      </c>
      <c r="L562" s="20" t="s">
        <v>13</v>
      </c>
      <c r="M562" s="20"/>
      <c r="N562" s="20"/>
      <c r="O562" s="20">
        <v>10</v>
      </c>
      <c r="P562" s="20" t="s">
        <v>26</v>
      </c>
      <c r="Q562" s="20" t="s">
        <v>1492</v>
      </c>
      <c r="R562" s="20" t="str">
        <f t="shared" si="27"/>
        <v>REJAS VOLVO-AMARILLO</v>
      </c>
      <c r="S562" s="19">
        <f t="shared" si="28"/>
        <v>0</v>
      </c>
      <c r="T562" s="19">
        <f t="shared" si="29"/>
        <v>6</v>
      </c>
      <c r="U562" s="19"/>
      <c r="V562" s="19"/>
      <c r="W562" s="19"/>
      <c r="X562" s="19"/>
      <c r="Y562" s="19"/>
    </row>
    <row r="563" spans="1:25" ht="12" hidden="1" customHeight="1" thickBot="1" x14ac:dyDescent="0.35">
      <c r="A563" s="20">
        <v>2</v>
      </c>
      <c r="B563" s="20" t="s">
        <v>1285</v>
      </c>
      <c r="C563" s="20" t="s">
        <v>1469</v>
      </c>
      <c r="D563" s="20" t="s">
        <v>1493</v>
      </c>
      <c r="E563" s="20">
        <v>361</v>
      </c>
      <c r="F563" s="20" t="s">
        <v>1496</v>
      </c>
      <c r="G563" s="20" t="s">
        <v>1287</v>
      </c>
      <c r="H563" s="20" t="s">
        <v>1288</v>
      </c>
      <c r="I563" s="20"/>
      <c r="J563" s="20">
        <v>6</v>
      </c>
      <c r="K563" s="20">
        <v>1</v>
      </c>
      <c r="L563" s="20" t="s">
        <v>13</v>
      </c>
      <c r="M563" s="20"/>
      <c r="N563" s="20"/>
      <c r="O563" s="20">
        <v>11</v>
      </c>
      <c r="P563" s="20" t="s">
        <v>1207</v>
      </c>
      <c r="Q563" s="20" t="s">
        <v>1495</v>
      </c>
      <c r="R563" s="20" t="str">
        <f t="shared" si="27"/>
        <v>REJAS VOLVO-ANARANJADO</v>
      </c>
      <c r="S563" s="19">
        <f t="shared" si="28"/>
        <v>0</v>
      </c>
      <c r="T563" s="19">
        <f t="shared" si="29"/>
        <v>6</v>
      </c>
      <c r="U563" s="19"/>
      <c r="V563" s="19"/>
      <c r="W563" s="19"/>
      <c r="X563" s="19"/>
      <c r="Y563" s="19"/>
    </row>
    <row r="564" spans="1:25" ht="12" hidden="1" customHeight="1" thickBot="1" x14ac:dyDescent="0.35">
      <c r="A564" s="20">
        <v>2</v>
      </c>
      <c r="B564" s="20" t="s">
        <v>1285</v>
      </c>
      <c r="C564" s="20" t="s">
        <v>1469</v>
      </c>
      <c r="D564" s="20" t="s">
        <v>1493</v>
      </c>
      <c r="E564" s="20">
        <v>362</v>
      </c>
      <c r="F564" s="20" t="s">
        <v>1498</v>
      </c>
      <c r="G564" s="20" t="s">
        <v>1287</v>
      </c>
      <c r="H564" s="20" t="s">
        <v>1288</v>
      </c>
      <c r="I564" s="20"/>
      <c r="J564" s="20">
        <v>6</v>
      </c>
      <c r="K564" s="20">
        <v>1</v>
      </c>
      <c r="L564" s="20" t="s">
        <v>13</v>
      </c>
      <c r="M564" s="20"/>
      <c r="N564" s="20"/>
      <c r="O564" s="20">
        <v>12</v>
      </c>
      <c r="P564" s="20" t="s">
        <v>24</v>
      </c>
      <c r="Q564" s="20" t="s">
        <v>1497</v>
      </c>
      <c r="R564" s="20" t="str">
        <f t="shared" si="27"/>
        <v>REJAS VOLVO-AZUL</v>
      </c>
      <c r="S564" s="19">
        <f t="shared" si="28"/>
        <v>0</v>
      </c>
      <c r="T564" s="19">
        <f t="shared" si="29"/>
        <v>6</v>
      </c>
      <c r="U564" s="19"/>
      <c r="V564" s="19"/>
      <c r="W564" s="19"/>
      <c r="X564" s="19"/>
      <c r="Y564" s="19"/>
    </row>
    <row r="565" spans="1:25" ht="12" hidden="1" customHeight="1" thickBot="1" x14ac:dyDescent="0.35">
      <c r="A565" s="20">
        <v>2</v>
      </c>
      <c r="B565" s="20" t="s">
        <v>1285</v>
      </c>
      <c r="C565" s="20" t="s">
        <v>1469</v>
      </c>
      <c r="D565" s="20" t="s">
        <v>1493</v>
      </c>
      <c r="E565" s="20">
        <v>363</v>
      </c>
      <c r="F565" s="20" t="s">
        <v>1500</v>
      </c>
      <c r="G565" s="20" t="s">
        <v>1287</v>
      </c>
      <c r="H565" s="20" t="s">
        <v>1288</v>
      </c>
      <c r="I565" s="20"/>
      <c r="J565" s="20">
        <v>6</v>
      </c>
      <c r="K565" s="20">
        <v>1</v>
      </c>
      <c r="L565" s="20" t="s">
        <v>13</v>
      </c>
      <c r="M565" s="20"/>
      <c r="N565" s="20"/>
      <c r="O565" s="20">
        <v>14</v>
      </c>
      <c r="P565" s="20" t="s">
        <v>1209</v>
      </c>
      <c r="Q565" s="20" t="s">
        <v>1499</v>
      </c>
      <c r="R565" s="20" t="str">
        <f t="shared" si="27"/>
        <v>REJAS VOLVO-CELESTE</v>
      </c>
      <c r="S565" s="19">
        <f t="shared" si="28"/>
        <v>0</v>
      </c>
      <c r="T565" s="19">
        <f t="shared" si="29"/>
        <v>6</v>
      </c>
      <c r="U565" s="19"/>
      <c r="V565" s="19"/>
      <c r="W565" s="19"/>
      <c r="X565" s="19"/>
      <c r="Y565" s="19"/>
    </row>
    <row r="566" spans="1:25" ht="12" hidden="1" customHeight="1" thickBot="1" x14ac:dyDescent="0.35">
      <c r="A566" s="20">
        <v>2</v>
      </c>
      <c r="B566" s="20" t="s">
        <v>1285</v>
      </c>
      <c r="C566" s="20" t="s">
        <v>1469</v>
      </c>
      <c r="D566" s="20" t="s">
        <v>1493</v>
      </c>
      <c r="E566" s="20">
        <v>364</v>
      </c>
      <c r="F566" s="20" t="s">
        <v>1502</v>
      </c>
      <c r="G566" s="20" t="s">
        <v>1287</v>
      </c>
      <c r="H566" s="20" t="s">
        <v>1288</v>
      </c>
      <c r="I566" s="20"/>
      <c r="J566" s="20">
        <v>6</v>
      </c>
      <c r="K566" s="20">
        <v>1</v>
      </c>
      <c r="L566" s="20" t="s">
        <v>13</v>
      </c>
      <c r="M566" s="20"/>
      <c r="N566" s="20"/>
      <c r="O566" s="20">
        <v>19</v>
      </c>
      <c r="P566" s="20" t="s">
        <v>27</v>
      </c>
      <c r="Q566" s="20" t="s">
        <v>1501</v>
      </c>
      <c r="R566" s="20" t="str">
        <f t="shared" si="27"/>
        <v>REJAS VOLVO-ROJO</v>
      </c>
      <c r="S566" s="19">
        <f t="shared" si="28"/>
        <v>0</v>
      </c>
      <c r="T566" s="19">
        <f t="shared" si="29"/>
        <v>6</v>
      </c>
      <c r="U566" s="19"/>
      <c r="V566" s="19"/>
      <c r="W566" s="19"/>
      <c r="X566" s="19"/>
      <c r="Y566" s="19"/>
    </row>
    <row r="567" spans="1:25" ht="12" hidden="1" customHeight="1" thickBot="1" x14ac:dyDescent="0.35">
      <c r="A567" s="20">
        <v>2</v>
      </c>
      <c r="B567" s="20" t="s">
        <v>1285</v>
      </c>
      <c r="C567" s="20" t="s">
        <v>1469</v>
      </c>
      <c r="D567" s="20" t="s">
        <v>1493</v>
      </c>
      <c r="E567" s="20">
        <v>365</v>
      </c>
      <c r="F567" s="20" t="s">
        <v>1504</v>
      </c>
      <c r="G567" s="20" t="s">
        <v>1287</v>
      </c>
      <c r="H567" s="20" t="s">
        <v>1288</v>
      </c>
      <c r="I567" s="20"/>
      <c r="J567" s="20">
        <v>6</v>
      </c>
      <c r="K567" s="20">
        <v>1</v>
      </c>
      <c r="L567" s="20" t="s">
        <v>13</v>
      </c>
      <c r="M567" s="20"/>
      <c r="N567" s="20"/>
      <c r="O567" s="20">
        <v>23</v>
      </c>
      <c r="P567" s="20" t="s">
        <v>1221</v>
      </c>
      <c r="Q567" s="20" t="s">
        <v>1503</v>
      </c>
      <c r="R567" s="20" t="str">
        <f t="shared" si="27"/>
        <v>REJAS VOLVO-VERDE</v>
      </c>
      <c r="S567" s="19">
        <f t="shared" si="28"/>
        <v>0</v>
      </c>
      <c r="T567" s="19">
        <f t="shared" si="29"/>
        <v>6</v>
      </c>
      <c r="U567" s="19"/>
      <c r="V567" s="19"/>
      <c r="W567" s="19"/>
      <c r="X567" s="19"/>
      <c r="Y567" s="19"/>
    </row>
    <row r="568" spans="1:25" ht="12" hidden="1" customHeight="1" thickBot="1" x14ac:dyDescent="0.35">
      <c r="A568" s="20">
        <v>2</v>
      </c>
      <c r="B568" s="20" t="s">
        <v>1285</v>
      </c>
      <c r="C568" s="20" t="s">
        <v>1469</v>
      </c>
      <c r="D568" s="20" t="s">
        <v>1505</v>
      </c>
      <c r="E568" s="20">
        <v>366</v>
      </c>
      <c r="F568" s="20" t="s">
        <v>530</v>
      </c>
      <c r="G568" s="20" t="s">
        <v>1287</v>
      </c>
      <c r="H568" s="20" t="s">
        <v>1288</v>
      </c>
      <c r="I568" s="20"/>
      <c r="J568" s="20">
        <v>52</v>
      </c>
      <c r="K568" s="20">
        <v>1</v>
      </c>
      <c r="L568" s="20" t="s">
        <v>13</v>
      </c>
      <c r="M568" s="20"/>
      <c r="N568" s="20"/>
      <c r="O568" s="20">
        <v>10</v>
      </c>
      <c r="P568" s="20" t="s">
        <v>26</v>
      </c>
      <c r="Q568" s="20" t="s">
        <v>859</v>
      </c>
      <c r="R568" s="20" t="str">
        <f t="shared" si="27"/>
        <v>CHASIS VOLVO-AMARILLO</v>
      </c>
      <c r="S568" s="19">
        <f t="shared" si="28"/>
        <v>0</v>
      </c>
      <c r="T568" s="19">
        <f t="shared" si="29"/>
        <v>52</v>
      </c>
      <c r="U568" s="19"/>
      <c r="V568" s="19"/>
      <c r="W568" s="19"/>
      <c r="X568" s="19"/>
      <c r="Y568" s="19"/>
    </row>
    <row r="569" spans="1:25" ht="12" hidden="1" customHeight="1" thickBot="1" x14ac:dyDescent="0.35">
      <c r="A569" s="20">
        <v>2</v>
      </c>
      <c r="B569" s="20" t="s">
        <v>1285</v>
      </c>
      <c r="C569" s="20" t="s">
        <v>1469</v>
      </c>
      <c r="D569" s="20" t="s">
        <v>1505</v>
      </c>
      <c r="E569" s="20">
        <v>367</v>
      </c>
      <c r="F569" s="20" t="s">
        <v>531</v>
      </c>
      <c r="G569" s="20" t="s">
        <v>1287</v>
      </c>
      <c r="H569" s="20" t="s">
        <v>1288</v>
      </c>
      <c r="I569" s="20"/>
      <c r="J569" s="20">
        <v>52</v>
      </c>
      <c r="K569" s="20">
        <v>1</v>
      </c>
      <c r="L569" s="20" t="s">
        <v>13</v>
      </c>
      <c r="M569" s="20"/>
      <c r="N569" s="20"/>
      <c r="O569" s="20">
        <v>11</v>
      </c>
      <c r="P569" s="20" t="s">
        <v>1207</v>
      </c>
      <c r="Q569" s="20" t="s">
        <v>860</v>
      </c>
      <c r="R569" s="20" t="str">
        <f t="shared" si="27"/>
        <v>CHASIS VOLVO-ANARANJADO</v>
      </c>
      <c r="S569" s="19">
        <f t="shared" si="28"/>
        <v>0</v>
      </c>
      <c r="T569" s="19">
        <f t="shared" si="29"/>
        <v>52</v>
      </c>
      <c r="U569" s="19"/>
      <c r="V569" s="19"/>
      <c r="W569" s="19"/>
      <c r="X569" s="19"/>
      <c r="Y569" s="19"/>
    </row>
    <row r="570" spans="1:25" ht="12" hidden="1" customHeight="1" thickBot="1" x14ac:dyDescent="0.35">
      <c r="A570" s="20">
        <v>2</v>
      </c>
      <c r="B570" s="20" t="s">
        <v>1285</v>
      </c>
      <c r="C570" s="20" t="s">
        <v>1469</v>
      </c>
      <c r="D570" s="20" t="s">
        <v>1505</v>
      </c>
      <c r="E570" s="20">
        <v>368</v>
      </c>
      <c r="F570" s="20" t="s">
        <v>532</v>
      </c>
      <c r="G570" s="20" t="s">
        <v>1287</v>
      </c>
      <c r="H570" s="20" t="s">
        <v>1288</v>
      </c>
      <c r="I570" s="20"/>
      <c r="J570" s="20">
        <v>52</v>
      </c>
      <c r="K570" s="20">
        <v>1</v>
      </c>
      <c r="L570" s="20" t="s">
        <v>13</v>
      </c>
      <c r="M570" s="20"/>
      <c r="N570" s="20"/>
      <c r="O570" s="20">
        <v>12</v>
      </c>
      <c r="P570" s="20" t="s">
        <v>24</v>
      </c>
      <c r="Q570" s="20" t="s">
        <v>861</v>
      </c>
      <c r="R570" s="20" t="str">
        <f t="shared" si="27"/>
        <v>CHASIS VOLVO-AZUL</v>
      </c>
      <c r="S570" s="19">
        <f t="shared" si="28"/>
        <v>0</v>
      </c>
      <c r="T570" s="19">
        <f t="shared" si="29"/>
        <v>52</v>
      </c>
      <c r="U570" s="19"/>
      <c r="V570" s="19"/>
      <c r="W570" s="19"/>
      <c r="X570" s="19"/>
      <c r="Y570" s="19"/>
    </row>
    <row r="571" spans="1:25" ht="12" hidden="1" customHeight="1" thickBot="1" x14ac:dyDescent="0.35">
      <c r="A571" s="20">
        <v>2</v>
      </c>
      <c r="B571" s="20" t="s">
        <v>1285</v>
      </c>
      <c r="C571" s="20" t="s">
        <v>1469</v>
      </c>
      <c r="D571" s="20" t="s">
        <v>1505</v>
      </c>
      <c r="E571" s="20">
        <v>369</v>
      </c>
      <c r="F571" s="20" t="s">
        <v>533</v>
      </c>
      <c r="G571" s="20" t="s">
        <v>1287</v>
      </c>
      <c r="H571" s="20" t="s">
        <v>1288</v>
      </c>
      <c r="I571" s="20"/>
      <c r="J571" s="20">
        <v>52</v>
      </c>
      <c r="K571" s="20">
        <v>1</v>
      </c>
      <c r="L571" s="20" t="s">
        <v>13</v>
      </c>
      <c r="M571" s="20"/>
      <c r="N571" s="20"/>
      <c r="O571" s="20">
        <v>14</v>
      </c>
      <c r="P571" s="20" t="s">
        <v>1209</v>
      </c>
      <c r="Q571" s="20" t="s">
        <v>862</v>
      </c>
      <c r="R571" s="20" t="str">
        <f t="shared" si="27"/>
        <v>CHASIS VOLVO-CELESTE</v>
      </c>
      <c r="S571" s="19">
        <f t="shared" si="28"/>
        <v>0</v>
      </c>
      <c r="T571" s="19">
        <f t="shared" si="29"/>
        <v>52</v>
      </c>
      <c r="U571" s="19"/>
      <c r="V571" s="19"/>
      <c r="W571" s="19"/>
      <c r="X571" s="19"/>
      <c r="Y571" s="19"/>
    </row>
    <row r="572" spans="1:25" ht="12" hidden="1" customHeight="1" thickBot="1" x14ac:dyDescent="0.35">
      <c r="A572" s="20">
        <v>2</v>
      </c>
      <c r="B572" s="20" t="s">
        <v>1285</v>
      </c>
      <c r="C572" s="20" t="s">
        <v>1469</v>
      </c>
      <c r="D572" s="20" t="s">
        <v>1505</v>
      </c>
      <c r="E572" s="20">
        <v>370</v>
      </c>
      <c r="F572" s="20" t="s">
        <v>534</v>
      </c>
      <c r="G572" s="20" t="s">
        <v>1287</v>
      </c>
      <c r="H572" s="20" t="s">
        <v>1288</v>
      </c>
      <c r="I572" s="20"/>
      <c r="J572" s="20">
        <v>52</v>
      </c>
      <c r="K572" s="20">
        <v>1</v>
      </c>
      <c r="L572" s="20" t="s">
        <v>13</v>
      </c>
      <c r="M572" s="20"/>
      <c r="N572" s="20"/>
      <c r="O572" s="20">
        <v>19</v>
      </c>
      <c r="P572" s="20" t="s">
        <v>27</v>
      </c>
      <c r="Q572" s="20" t="s">
        <v>863</v>
      </c>
      <c r="R572" s="20" t="str">
        <f t="shared" si="27"/>
        <v>CHASIS VOLVO-ROJO</v>
      </c>
      <c r="S572" s="19">
        <f t="shared" si="28"/>
        <v>0</v>
      </c>
      <c r="T572" s="19">
        <f t="shared" si="29"/>
        <v>52</v>
      </c>
      <c r="U572" s="19"/>
      <c r="V572" s="19"/>
      <c r="W572" s="19"/>
      <c r="X572" s="19"/>
      <c r="Y572" s="19"/>
    </row>
    <row r="573" spans="1:25" ht="12" hidden="1" customHeight="1" thickBot="1" x14ac:dyDescent="0.35">
      <c r="A573" s="20">
        <v>2</v>
      </c>
      <c r="B573" s="20" t="s">
        <v>1285</v>
      </c>
      <c r="C573" s="20" t="s">
        <v>1469</v>
      </c>
      <c r="D573" s="20" t="s">
        <v>1505</v>
      </c>
      <c r="E573" s="20">
        <v>371</v>
      </c>
      <c r="F573" s="20" t="s">
        <v>535</v>
      </c>
      <c r="G573" s="20" t="s">
        <v>1287</v>
      </c>
      <c r="H573" s="20" t="s">
        <v>1288</v>
      </c>
      <c r="I573" s="20"/>
      <c r="J573" s="20">
        <v>52</v>
      </c>
      <c r="K573" s="20">
        <v>1</v>
      </c>
      <c r="L573" s="20" t="s">
        <v>13</v>
      </c>
      <c r="M573" s="20"/>
      <c r="N573" s="20"/>
      <c r="O573" s="20">
        <v>23</v>
      </c>
      <c r="P573" s="20" t="s">
        <v>1221</v>
      </c>
      <c r="Q573" s="20" t="s">
        <v>780</v>
      </c>
      <c r="R573" s="20" t="str">
        <f t="shared" si="27"/>
        <v>CHASIS VOLVO-VERDE</v>
      </c>
      <c r="S573" s="19">
        <f t="shared" si="28"/>
        <v>0</v>
      </c>
      <c r="T573" s="19">
        <f t="shared" si="29"/>
        <v>52</v>
      </c>
      <c r="U573" s="19"/>
      <c r="V573" s="19"/>
      <c r="W573" s="19"/>
      <c r="X573" s="19"/>
      <c r="Y573" s="19"/>
    </row>
    <row r="574" spans="1:25" ht="12" hidden="1" customHeight="1" thickBot="1" x14ac:dyDescent="0.35">
      <c r="A574" s="20">
        <v>2</v>
      </c>
      <c r="B574" s="20" t="s">
        <v>1285</v>
      </c>
      <c r="C574" s="20" t="s">
        <v>1469</v>
      </c>
      <c r="D574" s="20" t="s">
        <v>1505</v>
      </c>
      <c r="E574" s="20">
        <v>372</v>
      </c>
      <c r="F574" s="20" t="s">
        <v>536</v>
      </c>
      <c r="G574" s="20" t="s">
        <v>1287</v>
      </c>
      <c r="H574" s="20" t="s">
        <v>1288</v>
      </c>
      <c r="I574" s="20"/>
      <c r="J574" s="20">
        <v>120</v>
      </c>
      <c r="K574" s="20">
        <v>2</v>
      </c>
      <c r="L574" s="20" t="s">
        <v>12</v>
      </c>
      <c r="M574" s="20"/>
      <c r="N574" s="20"/>
      <c r="O574" s="20">
        <v>13</v>
      </c>
      <c r="P574" s="20" t="s">
        <v>25</v>
      </c>
      <c r="Q574" s="20" t="s">
        <v>864</v>
      </c>
      <c r="R574" s="20" t="str">
        <f t="shared" si="27"/>
        <v>CISTERNA VOLVO-BLANCO</v>
      </c>
      <c r="S574" s="19">
        <f t="shared" si="28"/>
        <v>0</v>
      </c>
      <c r="T574" s="19">
        <f t="shared" si="29"/>
        <v>120</v>
      </c>
      <c r="U574" s="19"/>
      <c r="V574" s="19"/>
      <c r="W574" s="19"/>
      <c r="X574" s="19"/>
      <c r="Y574" s="19"/>
    </row>
    <row r="575" spans="1:25" ht="12" hidden="1" customHeight="1" thickBot="1" x14ac:dyDescent="0.35">
      <c r="A575" s="20">
        <v>2</v>
      </c>
      <c r="B575" s="20" t="s">
        <v>1285</v>
      </c>
      <c r="C575" s="20" t="s">
        <v>1469</v>
      </c>
      <c r="D575" s="20" t="s">
        <v>1505</v>
      </c>
      <c r="E575" s="20">
        <v>373</v>
      </c>
      <c r="F575" s="20" t="s">
        <v>1507</v>
      </c>
      <c r="G575" s="20" t="s">
        <v>1287</v>
      </c>
      <c r="H575" s="20" t="s">
        <v>1288</v>
      </c>
      <c r="I575" s="20"/>
      <c r="J575" s="20">
        <v>120</v>
      </c>
      <c r="K575" s="20">
        <v>2</v>
      </c>
      <c r="L575" s="20" t="s">
        <v>12</v>
      </c>
      <c r="M575" s="20"/>
      <c r="N575" s="20"/>
      <c r="O575" s="20">
        <v>10</v>
      </c>
      <c r="P575" s="20" t="s">
        <v>26</v>
      </c>
      <c r="Q575" s="20" t="s">
        <v>1506</v>
      </c>
      <c r="R575" s="20" t="str">
        <f t="shared" si="27"/>
        <v>CISTERNA VOLVO-BLANCO PINTADO AMARILLO</v>
      </c>
      <c r="S575" s="19">
        <f t="shared" si="28"/>
        <v>0</v>
      </c>
      <c r="T575" s="19">
        <f t="shared" si="29"/>
        <v>120</v>
      </c>
      <c r="U575" s="19"/>
      <c r="V575" s="19"/>
      <c r="W575" s="19"/>
      <c r="X575" s="19"/>
      <c r="Y575" s="19"/>
    </row>
    <row r="576" spans="1:25" ht="12" hidden="1" customHeight="1" thickBot="1" x14ac:dyDescent="0.35">
      <c r="A576" s="20">
        <v>2</v>
      </c>
      <c r="B576" s="20" t="s">
        <v>1285</v>
      </c>
      <c r="C576" s="20" t="s">
        <v>1469</v>
      </c>
      <c r="D576" s="20" t="s">
        <v>1505</v>
      </c>
      <c r="E576" s="20">
        <v>374</v>
      </c>
      <c r="F576" s="20" t="s">
        <v>1509</v>
      </c>
      <c r="G576" s="20" t="s">
        <v>1287</v>
      </c>
      <c r="H576" s="20" t="s">
        <v>1288</v>
      </c>
      <c r="I576" s="20"/>
      <c r="J576" s="20">
        <v>120</v>
      </c>
      <c r="K576" s="20">
        <v>2</v>
      </c>
      <c r="L576" s="20" t="s">
        <v>12</v>
      </c>
      <c r="M576" s="20"/>
      <c r="N576" s="20"/>
      <c r="O576" s="20">
        <v>12</v>
      </c>
      <c r="P576" s="20" t="s">
        <v>24</v>
      </c>
      <c r="Q576" s="20" t="s">
        <v>1508</v>
      </c>
      <c r="R576" s="20" t="str">
        <f t="shared" si="27"/>
        <v>CISTERNA VOLVO-BLANCO PINTADO AZUL</v>
      </c>
      <c r="S576" s="19">
        <f t="shared" si="28"/>
        <v>0</v>
      </c>
      <c r="T576" s="19">
        <f t="shared" si="29"/>
        <v>120</v>
      </c>
      <c r="U576" s="19"/>
      <c r="V576" s="19"/>
      <c r="W576" s="19"/>
      <c r="X576" s="19"/>
      <c r="Y576" s="19"/>
    </row>
    <row r="577" spans="1:25" ht="12" hidden="1" customHeight="1" thickBot="1" x14ac:dyDescent="0.35">
      <c r="A577" s="20">
        <v>2</v>
      </c>
      <c r="B577" s="20" t="s">
        <v>1285</v>
      </c>
      <c r="C577" s="20" t="s">
        <v>1469</v>
      </c>
      <c r="D577" s="20" t="s">
        <v>1505</v>
      </c>
      <c r="E577" s="20">
        <v>375</v>
      </c>
      <c r="F577" s="20" t="s">
        <v>1511</v>
      </c>
      <c r="G577" s="20" t="s">
        <v>1287</v>
      </c>
      <c r="H577" s="20" t="s">
        <v>1288</v>
      </c>
      <c r="I577" s="20"/>
      <c r="J577" s="20">
        <v>120</v>
      </c>
      <c r="K577" s="20">
        <v>2</v>
      </c>
      <c r="L577" s="20" t="s">
        <v>12</v>
      </c>
      <c r="M577" s="20"/>
      <c r="N577" s="20"/>
      <c r="O577" s="20">
        <v>19</v>
      </c>
      <c r="P577" s="20" t="s">
        <v>27</v>
      </c>
      <c r="Q577" s="20" t="s">
        <v>1510</v>
      </c>
      <c r="R577" s="20" t="str">
        <f t="shared" si="27"/>
        <v>CISTERNA VOLVO-BLANCO PINTADO ROJO</v>
      </c>
      <c r="S577" s="19">
        <f t="shared" si="28"/>
        <v>0</v>
      </c>
      <c r="T577" s="19">
        <f t="shared" si="29"/>
        <v>120</v>
      </c>
      <c r="U577" s="19"/>
      <c r="V577" s="19"/>
      <c r="W577" s="19"/>
      <c r="X577" s="19"/>
      <c r="Y577" s="19"/>
    </row>
    <row r="578" spans="1:25" ht="12" hidden="1" customHeight="1" thickBot="1" x14ac:dyDescent="0.35">
      <c r="A578" s="20">
        <v>2</v>
      </c>
      <c r="B578" s="20" t="s">
        <v>1285</v>
      </c>
      <c r="C578" s="20" t="s">
        <v>1469</v>
      </c>
      <c r="D578" s="20" t="s">
        <v>1505</v>
      </c>
      <c r="E578" s="20">
        <v>376</v>
      </c>
      <c r="F578" s="20" t="s">
        <v>537</v>
      </c>
      <c r="G578" s="20" t="s">
        <v>1287</v>
      </c>
      <c r="H578" s="20" t="s">
        <v>1288</v>
      </c>
      <c r="I578" s="20"/>
      <c r="J578" s="20">
        <v>11</v>
      </c>
      <c r="K578" s="20">
        <v>1</v>
      </c>
      <c r="L578" s="20" t="s">
        <v>13</v>
      </c>
      <c r="M578" s="20"/>
      <c r="N578" s="20"/>
      <c r="O578" s="20">
        <v>10</v>
      </c>
      <c r="P578" s="20" t="s">
        <v>26</v>
      </c>
      <c r="Q578" s="20" t="s">
        <v>865</v>
      </c>
      <c r="R578" s="20" t="str">
        <f t="shared" ref="R578:R641" si="30">F578</f>
        <v>DELANTERO VOLVO-AMARILLO</v>
      </c>
      <c r="S578" s="19">
        <f t="shared" ref="S578:S641" si="31">+I578</f>
        <v>0</v>
      </c>
      <c r="T578" s="19">
        <f t="shared" ref="T578:T641" si="32">+J578</f>
        <v>11</v>
      </c>
      <c r="U578" s="19"/>
      <c r="V578" s="19"/>
      <c r="W578" s="19"/>
      <c r="X578" s="19"/>
      <c r="Y578" s="19"/>
    </row>
    <row r="579" spans="1:25" ht="12" hidden="1" customHeight="1" thickBot="1" x14ac:dyDescent="0.35">
      <c r="A579" s="20">
        <v>2</v>
      </c>
      <c r="B579" s="20" t="s">
        <v>1285</v>
      </c>
      <c r="C579" s="20" t="s">
        <v>1469</v>
      </c>
      <c r="D579" s="20" t="s">
        <v>1505</v>
      </c>
      <c r="E579" s="20">
        <v>377</v>
      </c>
      <c r="F579" s="20" t="s">
        <v>538</v>
      </c>
      <c r="G579" s="20" t="s">
        <v>1287</v>
      </c>
      <c r="H579" s="20" t="s">
        <v>1288</v>
      </c>
      <c r="I579" s="20"/>
      <c r="J579" s="20">
        <v>11</v>
      </c>
      <c r="K579" s="20">
        <v>1</v>
      </c>
      <c r="L579" s="20" t="s">
        <v>13</v>
      </c>
      <c r="M579" s="20"/>
      <c r="N579" s="20"/>
      <c r="O579" s="20">
        <v>11</v>
      </c>
      <c r="P579" s="20" t="s">
        <v>1207</v>
      </c>
      <c r="Q579" s="20" t="s">
        <v>866</v>
      </c>
      <c r="R579" s="20" t="str">
        <f t="shared" si="30"/>
        <v>DELANTERO VOLVO-ANARANJADO</v>
      </c>
      <c r="S579" s="19">
        <f t="shared" si="31"/>
        <v>0</v>
      </c>
      <c r="T579" s="19">
        <f t="shared" si="32"/>
        <v>11</v>
      </c>
      <c r="U579" s="19"/>
      <c r="V579" s="19"/>
      <c r="W579" s="19"/>
      <c r="X579" s="19"/>
      <c r="Y579" s="19"/>
    </row>
    <row r="580" spans="1:25" ht="12" hidden="1" customHeight="1" thickBot="1" x14ac:dyDescent="0.35">
      <c r="A580" s="20">
        <v>2</v>
      </c>
      <c r="B580" s="20" t="s">
        <v>1285</v>
      </c>
      <c r="C580" s="20" t="s">
        <v>1469</v>
      </c>
      <c r="D580" s="20" t="s">
        <v>1505</v>
      </c>
      <c r="E580" s="20">
        <v>378</v>
      </c>
      <c r="F580" s="20" t="s">
        <v>539</v>
      </c>
      <c r="G580" s="20" t="s">
        <v>1287</v>
      </c>
      <c r="H580" s="20" t="s">
        <v>1288</v>
      </c>
      <c r="I580" s="20"/>
      <c r="J580" s="20">
        <v>11</v>
      </c>
      <c r="K580" s="20">
        <v>1</v>
      </c>
      <c r="L580" s="20" t="s">
        <v>13</v>
      </c>
      <c r="M580" s="20"/>
      <c r="N580" s="20"/>
      <c r="O580" s="20">
        <v>12</v>
      </c>
      <c r="P580" s="20" t="s">
        <v>24</v>
      </c>
      <c r="Q580" s="20" t="s">
        <v>867</v>
      </c>
      <c r="R580" s="20" t="str">
        <f t="shared" si="30"/>
        <v>DELANTERO VOLVO-AZUL</v>
      </c>
      <c r="S580" s="19">
        <f t="shared" si="31"/>
        <v>0</v>
      </c>
      <c r="T580" s="19">
        <f t="shared" si="32"/>
        <v>11</v>
      </c>
      <c r="U580" s="19"/>
      <c r="V580" s="19"/>
      <c r="W580" s="19"/>
      <c r="X580" s="19"/>
      <c r="Y580" s="19"/>
    </row>
    <row r="581" spans="1:25" ht="12" hidden="1" customHeight="1" thickBot="1" x14ac:dyDescent="0.35">
      <c r="A581" s="20">
        <v>2</v>
      </c>
      <c r="B581" s="20" t="s">
        <v>1285</v>
      </c>
      <c r="C581" s="20" t="s">
        <v>1469</v>
      </c>
      <c r="D581" s="20" t="s">
        <v>1505</v>
      </c>
      <c r="E581" s="20">
        <v>379</v>
      </c>
      <c r="F581" s="20" t="s">
        <v>540</v>
      </c>
      <c r="G581" s="20" t="s">
        <v>1287</v>
      </c>
      <c r="H581" s="20" t="s">
        <v>1288</v>
      </c>
      <c r="I581" s="20"/>
      <c r="J581" s="20">
        <v>11</v>
      </c>
      <c r="K581" s="20">
        <v>1</v>
      </c>
      <c r="L581" s="20" t="s">
        <v>13</v>
      </c>
      <c r="M581" s="20"/>
      <c r="N581" s="20"/>
      <c r="O581" s="20">
        <v>14</v>
      </c>
      <c r="P581" s="20" t="s">
        <v>1209</v>
      </c>
      <c r="Q581" s="20" t="s">
        <v>868</v>
      </c>
      <c r="R581" s="20" t="str">
        <f t="shared" si="30"/>
        <v>DELANTERO VOLVO-CELESTE</v>
      </c>
      <c r="S581" s="19">
        <f t="shared" si="31"/>
        <v>0</v>
      </c>
      <c r="T581" s="19">
        <f t="shared" si="32"/>
        <v>11</v>
      </c>
      <c r="U581" s="19"/>
      <c r="V581" s="19"/>
      <c r="W581" s="19"/>
      <c r="X581" s="19"/>
      <c r="Y581" s="19"/>
    </row>
    <row r="582" spans="1:25" ht="12" hidden="1" customHeight="1" thickBot="1" x14ac:dyDescent="0.35">
      <c r="A582" s="20">
        <v>2</v>
      </c>
      <c r="B582" s="20" t="s">
        <v>1285</v>
      </c>
      <c r="C582" s="20" t="s">
        <v>1469</v>
      </c>
      <c r="D582" s="20" t="s">
        <v>1505</v>
      </c>
      <c r="E582" s="20">
        <v>380</v>
      </c>
      <c r="F582" s="20" t="s">
        <v>541</v>
      </c>
      <c r="G582" s="20" t="s">
        <v>1287</v>
      </c>
      <c r="H582" s="20" t="s">
        <v>1288</v>
      </c>
      <c r="I582" s="20"/>
      <c r="J582" s="20">
        <v>11</v>
      </c>
      <c r="K582" s="20">
        <v>1</v>
      </c>
      <c r="L582" s="20" t="s">
        <v>13</v>
      </c>
      <c r="M582" s="20"/>
      <c r="N582" s="20"/>
      <c r="O582" s="20">
        <v>19</v>
      </c>
      <c r="P582" s="20" t="s">
        <v>27</v>
      </c>
      <c r="Q582" s="20" t="s">
        <v>869</v>
      </c>
      <c r="R582" s="20" t="str">
        <f t="shared" si="30"/>
        <v>DELANTERO VOLVO-ROJO</v>
      </c>
      <c r="S582" s="19">
        <f t="shared" si="31"/>
        <v>0</v>
      </c>
      <c r="T582" s="19">
        <f t="shared" si="32"/>
        <v>11</v>
      </c>
      <c r="U582" s="19"/>
      <c r="V582" s="19"/>
      <c r="W582" s="19"/>
      <c r="X582" s="19"/>
      <c r="Y582" s="19"/>
    </row>
    <row r="583" spans="1:25" ht="12" hidden="1" customHeight="1" thickBot="1" x14ac:dyDescent="0.35">
      <c r="A583" s="20">
        <v>2</v>
      </c>
      <c r="B583" s="20" t="s">
        <v>1285</v>
      </c>
      <c r="C583" s="20" t="s">
        <v>1469</v>
      </c>
      <c r="D583" s="20" t="s">
        <v>1505</v>
      </c>
      <c r="E583" s="20">
        <v>381</v>
      </c>
      <c r="F583" s="20" t="s">
        <v>542</v>
      </c>
      <c r="G583" s="20" t="s">
        <v>1287</v>
      </c>
      <c r="H583" s="20" t="s">
        <v>1288</v>
      </c>
      <c r="I583" s="20"/>
      <c r="J583" s="20">
        <v>11</v>
      </c>
      <c r="K583" s="20">
        <v>1</v>
      </c>
      <c r="L583" s="20" t="s">
        <v>13</v>
      </c>
      <c r="M583" s="20"/>
      <c r="N583" s="20"/>
      <c r="O583" s="20">
        <v>23</v>
      </c>
      <c r="P583" s="20" t="s">
        <v>1221</v>
      </c>
      <c r="Q583" s="20" t="s">
        <v>870</v>
      </c>
      <c r="R583" s="20" t="str">
        <f t="shared" si="30"/>
        <v>DELANTERO VOLVO-VERDE</v>
      </c>
      <c r="S583" s="19">
        <f t="shared" si="31"/>
        <v>0</v>
      </c>
      <c r="T583" s="19">
        <f t="shared" si="32"/>
        <v>11</v>
      </c>
      <c r="U583" s="19"/>
      <c r="V583" s="19"/>
      <c r="W583" s="19"/>
      <c r="X583" s="19"/>
      <c r="Y583" s="19"/>
    </row>
    <row r="584" spans="1:25" ht="12" hidden="1" customHeight="1" thickBot="1" x14ac:dyDescent="0.35">
      <c r="A584" s="20">
        <v>2</v>
      </c>
      <c r="B584" s="20" t="s">
        <v>1285</v>
      </c>
      <c r="C584" s="20" t="s">
        <v>1469</v>
      </c>
      <c r="D584" s="20" t="s">
        <v>1505</v>
      </c>
      <c r="E584" s="20">
        <v>382</v>
      </c>
      <c r="F584" s="20" t="s">
        <v>543</v>
      </c>
      <c r="G584" s="20" t="s">
        <v>1287</v>
      </c>
      <c r="H584" s="20" t="s">
        <v>1288</v>
      </c>
      <c r="I584" s="20"/>
      <c r="J584" s="20">
        <v>7</v>
      </c>
      <c r="K584" s="20">
        <v>1</v>
      </c>
      <c r="L584" s="20" t="s">
        <v>13</v>
      </c>
      <c r="M584" s="20"/>
      <c r="N584" s="20"/>
      <c r="O584" s="20">
        <v>18</v>
      </c>
      <c r="P584" s="20" t="s">
        <v>1215</v>
      </c>
      <c r="Q584" s="20" t="s">
        <v>766</v>
      </c>
      <c r="R584" s="20" t="str">
        <f t="shared" si="30"/>
        <v>LLANTAS VOLVO-NEGRO</v>
      </c>
      <c r="S584" s="19">
        <f t="shared" si="31"/>
        <v>0</v>
      </c>
      <c r="T584" s="19">
        <f t="shared" si="32"/>
        <v>7</v>
      </c>
      <c r="U584" s="19"/>
      <c r="V584" s="19"/>
      <c r="W584" s="19"/>
      <c r="X584" s="19"/>
      <c r="Y584" s="19"/>
    </row>
    <row r="585" spans="1:25" ht="12" hidden="1" customHeight="1" thickBot="1" x14ac:dyDescent="0.35">
      <c r="A585" s="20">
        <v>2</v>
      </c>
      <c r="B585" s="20" t="s">
        <v>1285</v>
      </c>
      <c r="C585" s="20" t="s">
        <v>1469</v>
      </c>
      <c r="D585" s="20" t="s">
        <v>1505</v>
      </c>
      <c r="E585" s="20">
        <v>383</v>
      </c>
      <c r="F585" s="20" t="s">
        <v>544</v>
      </c>
      <c r="G585" s="20" t="s">
        <v>1287</v>
      </c>
      <c r="H585" s="20" t="s">
        <v>1288</v>
      </c>
      <c r="I585" s="20"/>
      <c r="J585" s="20">
        <v>2</v>
      </c>
      <c r="K585" s="20">
        <v>1</v>
      </c>
      <c r="L585" s="20" t="s">
        <v>13</v>
      </c>
      <c r="M585" s="20"/>
      <c r="N585" s="20"/>
      <c r="O585" s="20">
        <v>13</v>
      </c>
      <c r="P585" s="20" t="s">
        <v>25</v>
      </c>
      <c r="Q585" s="20" t="s">
        <v>871</v>
      </c>
      <c r="R585" s="20" t="str">
        <f t="shared" si="30"/>
        <v>PIN LLANTA VOLVO-BLANCO</v>
      </c>
      <c r="S585" s="19">
        <f t="shared" si="31"/>
        <v>0</v>
      </c>
      <c r="T585" s="19">
        <f t="shared" si="32"/>
        <v>2</v>
      </c>
      <c r="U585" s="19"/>
      <c r="V585" s="19"/>
      <c r="W585" s="19"/>
      <c r="X585" s="19"/>
      <c r="Y585" s="19"/>
    </row>
    <row r="586" spans="1:25" ht="12" hidden="1" customHeight="1" thickBot="1" x14ac:dyDescent="0.35">
      <c r="A586" s="20">
        <v>2</v>
      </c>
      <c r="B586" s="20" t="s">
        <v>1285</v>
      </c>
      <c r="C586" s="20" t="s">
        <v>1469</v>
      </c>
      <c r="D586" s="20" t="s">
        <v>1505</v>
      </c>
      <c r="E586" s="20">
        <v>384</v>
      </c>
      <c r="F586" s="20" t="s">
        <v>545</v>
      </c>
      <c r="G586" s="20" t="s">
        <v>1287</v>
      </c>
      <c r="H586" s="20" t="s">
        <v>1288</v>
      </c>
      <c r="I586" s="20"/>
      <c r="J586" s="20">
        <v>98</v>
      </c>
      <c r="K586" s="20">
        <v>1</v>
      </c>
      <c r="L586" s="20" t="s">
        <v>13</v>
      </c>
      <c r="M586" s="20"/>
      <c r="N586" s="20"/>
      <c r="O586" s="20">
        <v>10</v>
      </c>
      <c r="P586" s="20" t="s">
        <v>26</v>
      </c>
      <c r="Q586" s="20" t="s">
        <v>872</v>
      </c>
      <c r="R586" s="20" t="str">
        <f t="shared" si="30"/>
        <v>PLATAFORMA VOLVO-AMARILLO</v>
      </c>
      <c r="S586" s="19">
        <f t="shared" si="31"/>
        <v>0</v>
      </c>
      <c r="T586" s="19">
        <f t="shared" si="32"/>
        <v>98</v>
      </c>
      <c r="U586" s="19"/>
      <c r="V586" s="19"/>
      <c r="W586" s="19"/>
      <c r="X586" s="19"/>
      <c r="Y586" s="19"/>
    </row>
    <row r="587" spans="1:25" ht="12" hidden="1" customHeight="1" thickBot="1" x14ac:dyDescent="0.35">
      <c r="A587" s="20">
        <v>2</v>
      </c>
      <c r="B587" s="20" t="s">
        <v>1285</v>
      </c>
      <c r="C587" s="20" t="s">
        <v>1469</v>
      </c>
      <c r="D587" s="20" t="s">
        <v>1505</v>
      </c>
      <c r="E587" s="20">
        <v>385</v>
      </c>
      <c r="F587" s="20" t="s">
        <v>546</v>
      </c>
      <c r="G587" s="20" t="s">
        <v>1287</v>
      </c>
      <c r="H587" s="20" t="s">
        <v>1288</v>
      </c>
      <c r="I587" s="20"/>
      <c r="J587" s="20">
        <v>98</v>
      </c>
      <c r="K587" s="20">
        <v>1</v>
      </c>
      <c r="L587" s="20" t="s">
        <v>13</v>
      </c>
      <c r="M587" s="20"/>
      <c r="N587" s="20"/>
      <c r="O587" s="20">
        <v>11</v>
      </c>
      <c r="P587" s="20" t="s">
        <v>1207</v>
      </c>
      <c r="Q587" s="20" t="s">
        <v>873</v>
      </c>
      <c r="R587" s="20" t="str">
        <f t="shared" si="30"/>
        <v>PLATAFORMA VOLVO-ANARANJADO</v>
      </c>
      <c r="S587" s="19">
        <f t="shared" si="31"/>
        <v>0</v>
      </c>
      <c r="T587" s="19">
        <f t="shared" si="32"/>
        <v>98</v>
      </c>
      <c r="U587" s="19"/>
      <c r="V587" s="19"/>
      <c r="W587" s="19"/>
      <c r="X587" s="19"/>
      <c r="Y587" s="19"/>
    </row>
    <row r="588" spans="1:25" ht="12" hidden="1" customHeight="1" thickBot="1" x14ac:dyDescent="0.35">
      <c r="A588" s="20">
        <v>2</v>
      </c>
      <c r="B588" s="20" t="s">
        <v>1285</v>
      </c>
      <c r="C588" s="20" t="s">
        <v>1469</v>
      </c>
      <c r="D588" s="20" t="s">
        <v>1505</v>
      </c>
      <c r="E588" s="20">
        <v>386</v>
      </c>
      <c r="F588" s="20" t="s">
        <v>547</v>
      </c>
      <c r="G588" s="20" t="s">
        <v>1287</v>
      </c>
      <c r="H588" s="20" t="s">
        <v>1288</v>
      </c>
      <c r="I588" s="20"/>
      <c r="J588" s="20">
        <v>98</v>
      </c>
      <c r="K588" s="20">
        <v>1</v>
      </c>
      <c r="L588" s="20" t="s">
        <v>13</v>
      </c>
      <c r="M588" s="20"/>
      <c r="N588" s="20"/>
      <c r="O588" s="20">
        <v>12</v>
      </c>
      <c r="P588" s="20" t="s">
        <v>24</v>
      </c>
      <c r="Q588" s="20" t="s">
        <v>874</v>
      </c>
      <c r="R588" s="20" t="str">
        <f t="shared" si="30"/>
        <v>PLATAFORMA VOLVO-AZUL</v>
      </c>
      <c r="S588" s="19">
        <f t="shared" si="31"/>
        <v>0</v>
      </c>
      <c r="T588" s="19">
        <f t="shared" si="32"/>
        <v>98</v>
      </c>
      <c r="U588" s="19"/>
      <c r="V588" s="19"/>
      <c r="W588" s="19"/>
      <c r="X588" s="19"/>
      <c r="Y588" s="19"/>
    </row>
    <row r="589" spans="1:25" ht="12" hidden="1" customHeight="1" thickBot="1" x14ac:dyDescent="0.35">
      <c r="A589" s="20">
        <v>2</v>
      </c>
      <c r="B589" s="20" t="s">
        <v>1285</v>
      </c>
      <c r="C589" s="20" t="s">
        <v>1469</v>
      </c>
      <c r="D589" s="20" t="s">
        <v>1505</v>
      </c>
      <c r="E589" s="20">
        <v>387</v>
      </c>
      <c r="F589" s="20" t="s">
        <v>548</v>
      </c>
      <c r="G589" s="20" t="s">
        <v>1287</v>
      </c>
      <c r="H589" s="20" t="s">
        <v>1288</v>
      </c>
      <c r="I589" s="20"/>
      <c r="J589" s="20">
        <v>98</v>
      </c>
      <c r="K589" s="20">
        <v>1</v>
      </c>
      <c r="L589" s="20" t="s">
        <v>13</v>
      </c>
      <c r="M589" s="20"/>
      <c r="N589" s="20"/>
      <c r="O589" s="20">
        <v>14</v>
      </c>
      <c r="P589" s="20" t="s">
        <v>1209</v>
      </c>
      <c r="Q589" s="20" t="s">
        <v>875</v>
      </c>
      <c r="R589" s="20" t="str">
        <f t="shared" si="30"/>
        <v>PLATAFORMA VOLVO-CELESTE</v>
      </c>
      <c r="S589" s="19">
        <f t="shared" si="31"/>
        <v>0</v>
      </c>
      <c r="T589" s="19">
        <f t="shared" si="32"/>
        <v>98</v>
      </c>
      <c r="U589" s="19"/>
      <c r="V589" s="19"/>
      <c r="W589" s="19"/>
      <c r="X589" s="19"/>
      <c r="Y589" s="19"/>
    </row>
    <row r="590" spans="1:25" ht="12" hidden="1" customHeight="1" thickBot="1" x14ac:dyDescent="0.35">
      <c r="A590" s="20">
        <v>2</v>
      </c>
      <c r="B590" s="20" t="s">
        <v>1285</v>
      </c>
      <c r="C590" s="20" t="s">
        <v>1469</v>
      </c>
      <c r="D590" s="20" t="s">
        <v>1505</v>
      </c>
      <c r="E590" s="20">
        <v>388</v>
      </c>
      <c r="F590" s="20" t="s">
        <v>549</v>
      </c>
      <c r="G590" s="20" t="s">
        <v>1287</v>
      </c>
      <c r="H590" s="20" t="s">
        <v>1288</v>
      </c>
      <c r="I590" s="20"/>
      <c r="J590" s="20">
        <v>98</v>
      </c>
      <c r="K590" s="20">
        <v>1</v>
      </c>
      <c r="L590" s="20" t="s">
        <v>13</v>
      </c>
      <c r="M590" s="20"/>
      <c r="N590" s="20"/>
      <c r="O590" s="20">
        <v>19</v>
      </c>
      <c r="P590" s="20" t="s">
        <v>27</v>
      </c>
      <c r="Q590" s="20" t="s">
        <v>876</v>
      </c>
      <c r="R590" s="20" t="str">
        <f t="shared" si="30"/>
        <v>PLATAFORMA VOLVO-ROJO</v>
      </c>
      <c r="S590" s="19">
        <f t="shared" si="31"/>
        <v>0</v>
      </c>
      <c r="T590" s="19">
        <f t="shared" si="32"/>
        <v>98</v>
      </c>
      <c r="U590" s="19"/>
      <c r="V590" s="19"/>
      <c r="W590" s="19"/>
      <c r="X590" s="19"/>
      <c r="Y590" s="19"/>
    </row>
    <row r="591" spans="1:25" ht="12" hidden="1" customHeight="1" thickBot="1" x14ac:dyDescent="0.35">
      <c r="A591" s="20">
        <v>2</v>
      </c>
      <c r="B591" s="20" t="s">
        <v>1285</v>
      </c>
      <c r="C591" s="20" t="s">
        <v>1469</v>
      </c>
      <c r="D591" s="20" t="s">
        <v>1505</v>
      </c>
      <c r="E591" s="20">
        <v>389</v>
      </c>
      <c r="F591" s="20" t="s">
        <v>550</v>
      </c>
      <c r="G591" s="20" t="s">
        <v>1287</v>
      </c>
      <c r="H591" s="20" t="s">
        <v>1288</v>
      </c>
      <c r="I591" s="20"/>
      <c r="J591" s="20">
        <v>98</v>
      </c>
      <c r="K591" s="20">
        <v>1</v>
      </c>
      <c r="L591" s="20" t="s">
        <v>13</v>
      </c>
      <c r="M591" s="20"/>
      <c r="N591" s="20"/>
      <c r="O591" s="20">
        <v>23</v>
      </c>
      <c r="P591" s="20" t="s">
        <v>1221</v>
      </c>
      <c r="Q591" s="20" t="s">
        <v>767</v>
      </c>
      <c r="R591" s="20" t="str">
        <f t="shared" si="30"/>
        <v>PLATAFORMA VOLVO-VERDE</v>
      </c>
      <c r="S591" s="19">
        <f t="shared" si="31"/>
        <v>0</v>
      </c>
      <c r="T591" s="19">
        <f t="shared" si="32"/>
        <v>98</v>
      </c>
      <c r="U591" s="19"/>
      <c r="V591" s="19"/>
      <c r="W591" s="19"/>
      <c r="X591" s="19"/>
      <c r="Y591" s="19"/>
    </row>
    <row r="592" spans="1:25" ht="12" hidden="1" customHeight="1" thickBot="1" x14ac:dyDescent="0.35">
      <c r="A592" s="20">
        <v>2</v>
      </c>
      <c r="B592" s="20" t="s">
        <v>1285</v>
      </c>
      <c r="C592" s="20" t="s">
        <v>1469</v>
      </c>
      <c r="D592" s="20" t="s">
        <v>1013</v>
      </c>
      <c r="E592" s="20">
        <v>390</v>
      </c>
      <c r="F592" s="20" t="s">
        <v>551</v>
      </c>
      <c r="G592" s="20" t="s">
        <v>1287</v>
      </c>
      <c r="H592" s="20" t="s">
        <v>1288</v>
      </c>
      <c r="I592" s="20"/>
      <c r="J592" s="20">
        <v>32</v>
      </c>
      <c r="K592" s="20">
        <v>1</v>
      </c>
      <c r="L592" s="20" t="s">
        <v>13</v>
      </c>
      <c r="M592" s="20"/>
      <c r="N592" s="20"/>
      <c r="O592" s="20">
        <v>10</v>
      </c>
      <c r="P592" s="20" t="s">
        <v>26</v>
      </c>
      <c r="Q592" s="20" t="s">
        <v>877</v>
      </c>
      <c r="R592" s="20" t="str">
        <f t="shared" si="30"/>
        <v>TOLVA VOLQUETE AGUILA-AMARILLO</v>
      </c>
      <c r="S592" s="19">
        <f t="shared" si="31"/>
        <v>0</v>
      </c>
      <c r="T592" s="19">
        <f t="shared" si="32"/>
        <v>32</v>
      </c>
      <c r="U592" s="19"/>
      <c r="V592" s="19"/>
      <c r="W592" s="19"/>
      <c r="X592" s="19"/>
      <c r="Y592" s="19"/>
    </row>
    <row r="593" spans="1:25" ht="12" hidden="1" customHeight="1" thickBot="1" x14ac:dyDescent="0.35">
      <c r="A593" s="20">
        <v>2</v>
      </c>
      <c r="B593" s="20" t="s">
        <v>1285</v>
      </c>
      <c r="C593" s="20" t="s">
        <v>1469</v>
      </c>
      <c r="D593" s="20" t="s">
        <v>1013</v>
      </c>
      <c r="E593" s="20">
        <v>391</v>
      </c>
      <c r="F593" s="20" t="s">
        <v>552</v>
      </c>
      <c r="G593" s="20" t="s">
        <v>1287</v>
      </c>
      <c r="H593" s="20" t="s">
        <v>1288</v>
      </c>
      <c r="I593" s="20"/>
      <c r="J593" s="20">
        <v>32</v>
      </c>
      <c r="K593" s="20">
        <v>1</v>
      </c>
      <c r="L593" s="20" t="s">
        <v>13</v>
      </c>
      <c r="M593" s="20"/>
      <c r="N593" s="20"/>
      <c r="O593" s="20">
        <v>11</v>
      </c>
      <c r="P593" s="20" t="s">
        <v>1207</v>
      </c>
      <c r="Q593" s="20" t="s">
        <v>878</v>
      </c>
      <c r="R593" s="20" t="str">
        <f t="shared" si="30"/>
        <v>TOLVA VOLQUETE AGUILA-ANARANJADO</v>
      </c>
      <c r="S593" s="19">
        <f t="shared" si="31"/>
        <v>0</v>
      </c>
      <c r="T593" s="19">
        <f t="shared" si="32"/>
        <v>32</v>
      </c>
      <c r="U593" s="19"/>
      <c r="V593" s="19"/>
      <c r="W593" s="19"/>
      <c r="X593" s="19"/>
      <c r="Y593" s="19"/>
    </row>
    <row r="594" spans="1:25" ht="12" hidden="1" customHeight="1" thickBot="1" x14ac:dyDescent="0.35">
      <c r="A594" s="20">
        <v>2</v>
      </c>
      <c r="B594" s="20" t="s">
        <v>1285</v>
      </c>
      <c r="C594" s="20" t="s">
        <v>1469</v>
      </c>
      <c r="D594" s="20" t="s">
        <v>1013</v>
      </c>
      <c r="E594" s="20">
        <v>392</v>
      </c>
      <c r="F594" s="20" t="s">
        <v>553</v>
      </c>
      <c r="G594" s="20" t="s">
        <v>1287</v>
      </c>
      <c r="H594" s="20" t="s">
        <v>1288</v>
      </c>
      <c r="I594" s="20"/>
      <c r="J594" s="20">
        <v>32</v>
      </c>
      <c r="K594" s="20">
        <v>1</v>
      </c>
      <c r="L594" s="20" t="s">
        <v>13</v>
      </c>
      <c r="M594" s="20"/>
      <c r="N594" s="20"/>
      <c r="O594" s="20">
        <v>12</v>
      </c>
      <c r="P594" s="20" t="s">
        <v>24</v>
      </c>
      <c r="Q594" s="20" t="s">
        <v>879</v>
      </c>
      <c r="R594" s="20" t="str">
        <f t="shared" si="30"/>
        <v>TOLVA VOLQUETE AGUILA-AZUL</v>
      </c>
      <c r="S594" s="19">
        <f t="shared" si="31"/>
        <v>0</v>
      </c>
      <c r="T594" s="19">
        <f t="shared" si="32"/>
        <v>32</v>
      </c>
      <c r="U594" s="19"/>
      <c r="V594" s="19"/>
      <c r="W594" s="19"/>
      <c r="X594" s="19"/>
      <c r="Y594" s="19"/>
    </row>
    <row r="595" spans="1:25" ht="12" hidden="1" customHeight="1" thickBot="1" x14ac:dyDescent="0.35">
      <c r="A595" s="20">
        <v>2</v>
      </c>
      <c r="B595" s="20" t="s">
        <v>1285</v>
      </c>
      <c r="C595" s="20" t="s">
        <v>1469</v>
      </c>
      <c r="D595" s="20" t="s">
        <v>1013</v>
      </c>
      <c r="E595" s="20">
        <v>393</v>
      </c>
      <c r="F595" s="20" t="s">
        <v>554</v>
      </c>
      <c r="G595" s="20" t="s">
        <v>1287</v>
      </c>
      <c r="H595" s="20" t="s">
        <v>1288</v>
      </c>
      <c r="I595" s="20"/>
      <c r="J595" s="20">
        <v>32</v>
      </c>
      <c r="K595" s="20">
        <v>1</v>
      </c>
      <c r="L595" s="20" t="s">
        <v>13</v>
      </c>
      <c r="M595" s="20"/>
      <c r="N595" s="20"/>
      <c r="O595" s="20">
        <v>14</v>
      </c>
      <c r="P595" s="20" t="s">
        <v>1209</v>
      </c>
      <c r="Q595" s="20" t="s">
        <v>880</v>
      </c>
      <c r="R595" s="20" t="str">
        <f t="shared" si="30"/>
        <v>TOLVA VOLQUETE AGUILA-CELESTE</v>
      </c>
      <c r="S595" s="19">
        <f t="shared" si="31"/>
        <v>0</v>
      </c>
      <c r="T595" s="19">
        <f t="shared" si="32"/>
        <v>32</v>
      </c>
      <c r="U595" s="19"/>
      <c r="V595" s="19"/>
      <c r="W595" s="19"/>
      <c r="X595" s="19"/>
      <c r="Y595" s="19"/>
    </row>
    <row r="596" spans="1:25" ht="12" hidden="1" customHeight="1" thickBot="1" x14ac:dyDescent="0.35">
      <c r="A596" s="20">
        <v>2</v>
      </c>
      <c r="B596" s="20" t="s">
        <v>1285</v>
      </c>
      <c r="C596" s="20" t="s">
        <v>1469</v>
      </c>
      <c r="D596" s="20" t="s">
        <v>1013</v>
      </c>
      <c r="E596" s="20">
        <v>394</v>
      </c>
      <c r="F596" s="20" t="s">
        <v>555</v>
      </c>
      <c r="G596" s="20" t="s">
        <v>1287</v>
      </c>
      <c r="H596" s="20" t="s">
        <v>1288</v>
      </c>
      <c r="I596" s="20"/>
      <c r="J596" s="20">
        <v>32</v>
      </c>
      <c r="K596" s="20">
        <v>1</v>
      </c>
      <c r="L596" s="20" t="s">
        <v>13</v>
      </c>
      <c r="M596" s="20"/>
      <c r="N596" s="20"/>
      <c r="O596" s="20">
        <v>19</v>
      </c>
      <c r="P596" s="20" t="s">
        <v>27</v>
      </c>
      <c r="Q596" s="20" t="s">
        <v>881</v>
      </c>
      <c r="R596" s="20" t="str">
        <f t="shared" si="30"/>
        <v>TOLVA VOLQUETE AGUILA-ROJO</v>
      </c>
      <c r="S596" s="19">
        <f t="shared" si="31"/>
        <v>0</v>
      </c>
      <c r="T596" s="19">
        <f t="shared" si="32"/>
        <v>32</v>
      </c>
      <c r="U596" s="19"/>
      <c r="V596" s="19"/>
      <c r="W596" s="19"/>
      <c r="X596" s="19"/>
      <c r="Y596" s="19"/>
    </row>
    <row r="597" spans="1:25" ht="12" hidden="1" customHeight="1" thickBot="1" x14ac:dyDescent="0.35">
      <c r="A597" s="20">
        <v>2</v>
      </c>
      <c r="B597" s="20" t="s">
        <v>1285</v>
      </c>
      <c r="C597" s="20" t="s">
        <v>1469</v>
      </c>
      <c r="D597" s="20" t="s">
        <v>1013</v>
      </c>
      <c r="E597" s="20">
        <v>395</v>
      </c>
      <c r="F597" s="20" t="s">
        <v>556</v>
      </c>
      <c r="G597" s="20" t="s">
        <v>1287</v>
      </c>
      <c r="H597" s="20" t="s">
        <v>1288</v>
      </c>
      <c r="I597" s="20"/>
      <c r="J597" s="20">
        <v>32</v>
      </c>
      <c r="K597" s="20">
        <v>1</v>
      </c>
      <c r="L597" s="20" t="s">
        <v>13</v>
      </c>
      <c r="M597" s="20"/>
      <c r="N597" s="20"/>
      <c r="O597" s="20">
        <v>23</v>
      </c>
      <c r="P597" s="20" t="s">
        <v>1221</v>
      </c>
      <c r="Q597" s="20" t="s">
        <v>882</v>
      </c>
      <c r="R597" s="20" t="str">
        <f t="shared" si="30"/>
        <v>TOLVA VOLQUETE AGUILA-VERDE</v>
      </c>
      <c r="S597" s="19">
        <f t="shared" si="31"/>
        <v>0</v>
      </c>
      <c r="T597" s="19">
        <f t="shared" si="32"/>
        <v>32</v>
      </c>
      <c r="U597" s="19"/>
      <c r="V597" s="19"/>
      <c r="W597" s="19"/>
      <c r="X597" s="19"/>
      <c r="Y597" s="19"/>
    </row>
    <row r="598" spans="1:25" ht="12" hidden="1" customHeight="1" thickBot="1" x14ac:dyDescent="0.35">
      <c r="A598" s="20">
        <v>2</v>
      </c>
      <c r="B598" s="20" t="s">
        <v>1285</v>
      </c>
      <c r="C598" s="20" t="s">
        <v>1469</v>
      </c>
      <c r="D598" s="20" t="s">
        <v>1512</v>
      </c>
      <c r="E598" s="20">
        <v>396</v>
      </c>
      <c r="F598" s="20" t="s">
        <v>557</v>
      </c>
      <c r="G598" s="20" t="s">
        <v>1287</v>
      </c>
      <c r="H598" s="20" t="s">
        <v>1288</v>
      </c>
      <c r="I598" s="20"/>
      <c r="J598" s="20">
        <v>18</v>
      </c>
      <c r="K598" s="20">
        <v>1</v>
      </c>
      <c r="L598" s="20" t="s">
        <v>13</v>
      </c>
      <c r="M598" s="20"/>
      <c r="N598" s="20"/>
      <c r="O598" s="20">
        <v>26</v>
      </c>
      <c r="P598" s="20" t="s">
        <v>1216</v>
      </c>
      <c r="Q598" s="20" t="s">
        <v>883</v>
      </c>
      <c r="R598" s="20" t="str">
        <f t="shared" si="30"/>
        <v>PIEDRAS MINERAS-PLOMO</v>
      </c>
      <c r="S598" s="19">
        <f t="shared" si="31"/>
        <v>0</v>
      </c>
      <c r="T598" s="19">
        <f t="shared" si="32"/>
        <v>18</v>
      </c>
      <c r="U598" s="19"/>
      <c r="V598" s="19"/>
      <c r="W598" s="19"/>
      <c r="X598" s="19"/>
      <c r="Y598" s="19"/>
    </row>
    <row r="599" spans="1:25" ht="12" hidden="1" customHeight="1" thickBot="1" x14ac:dyDescent="0.35">
      <c r="A599" s="20">
        <v>2</v>
      </c>
      <c r="B599" s="20" t="s">
        <v>1285</v>
      </c>
      <c r="C599" s="20" t="s">
        <v>1469</v>
      </c>
      <c r="D599" s="20" t="s">
        <v>1512</v>
      </c>
      <c r="E599" s="20">
        <v>397</v>
      </c>
      <c r="F599" s="20" t="s">
        <v>558</v>
      </c>
      <c r="G599" s="20" t="s">
        <v>1287</v>
      </c>
      <c r="H599" s="20" t="s">
        <v>1288</v>
      </c>
      <c r="I599" s="20"/>
      <c r="J599" s="20">
        <v>62</v>
      </c>
      <c r="K599" s="20">
        <v>1</v>
      </c>
      <c r="L599" s="20" t="s">
        <v>13</v>
      </c>
      <c r="M599" s="20"/>
      <c r="N599" s="20"/>
      <c r="O599" s="20">
        <v>10</v>
      </c>
      <c r="P599" s="20" t="s">
        <v>26</v>
      </c>
      <c r="Q599" s="20" t="s">
        <v>768</v>
      </c>
      <c r="R599" s="20" t="str">
        <f t="shared" si="30"/>
        <v>TOLVA VOLQUETE ANDINO-AMARILLO</v>
      </c>
      <c r="S599" s="19">
        <f t="shared" si="31"/>
        <v>0</v>
      </c>
      <c r="T599" s="19">
        <f t="shared" si="32"/>
        <v>62</v>
      </c>
      <c r="U599" s="19"/>
      <c r="V599" s="19"/>
      <c r="W599" s="19"/>
      <c r="X599" s="19"/>
      <c r="Y599" s="19"/>
    </row>
    <row r="600" spans="1:25" ht="12" hidden="1" customHeight="1" thickBot="1" x14ac:dyDescent="0.35">
      <c r="A600" s="20">
        <v>2</v>
      </c>
      <c r="B600" s="20" t="s">
        <v>1285</v>
      </c>
      <c r="C600" s="20" t="s">
        <v>1469</v>
      </c>
      <c r="D600" s="20" t="s">
        <v>1512</v>
      </c>
      <c r="E600" s="20">
        <v>398</v>
      </c>
      <c r="F600" s="20" t="s">
        <v>559</v>
      </c>
      <c r="G600" s="20" t="s">
        <v>1287</v>
      </c>
      <c r="H600" s="20" t="s">
        <v>1288</v>
      </c>
      <c r="I600" s="20"/>
      <c r="J600" s="20">
        <v>62</v>
      </c>
      <c r="K600" s="20">
        <v>1</v>
      </c>
      <c r="L600" s="20" t="s">
        <v>13</v>
      </c>
      <c r="M600" s="20"/>
      <c r="N600" s="20"/>
      <c r="O600" s="20">
        <v>11</v>
      </c>
      <c r="P600" s="20" t="s">
        <v>1207</v>
      </c>
      <c r="Q600" s="20" t="s">
        <v>769</v>
      </c>
      <c r="R600" s="20" t="str">
        <f t="shared" si="30"/>
        <v>TOLVA VOLQUETE ANDINO-ANARANJADO</v>
      </c>
      <c r="S600" s="19">
        <f t="shared" si="31"/>
        <v>0</v>
      </c>
      <c r="T600" s="19">
        <f t="shared" si="32"/>
        <v>62</v>
      </c>
      <c r="U600" s="19"/>
      <c r="V600" s="19"/>
      <c r="W600" s="19"/>
      <c r="X600" s="19"/>
      <c r="Y600" s="19"/>
    </row>
    <row r="601" spans="1:25" ht="12" hidden="1" customHeight="1" thickBot="1" x14ac:dyDescent="0.35">
      <c r="A601" s="20">
        <v>2</v>
      </c>
      <c r="B601" s="20" t="s">
        <v>1285</v>
      </c>
      <c r="C601" s="20" t="s">
        <v>1469</v>
      </c>
      <c r="D601" s="20" t="s">
        <v>1512</v>
      </c>
      <c r="E601" s="20">
        <v>399</v>
      </c>
      <c r="F601" s="20" t="s">
        <v>560</v>
      </c>
      <c r="G601" s="20" t="s">
        <v>1287</v>
      </c>
      <c r="H601" s="20" t="s">
        <v>1288</v>
      </c>
      <c r="I601" s="20"/>
      <c r="J601" s="20">
        <v>62</v>
      </c>
      <c r="K601" s="20">
        <v>1</v>
      </c>
      <c r="L601" s="20" t="s">
        <v>13</v>
      </c>
      <c r="M601" s="20"/>
      <c r="N601" s="20"/>
      <c r="O601" s="20">
        <v>12</v>
      </c>
      <c r="P601" s="20" t="s">
        <v>24</v>
      </c>
      <c r="Q601" s="20" t="s">
        <v>770</v>
      </c>
      <c r="R601" s="20" t="str">
        <f t="shared" si="30"/>
        <v>TOLVA VOLQUETE ANDINO-AZUL</v>
      </c>
      <c r="S601" s="19">
        <f t="shared" si="31"/>
        <v>0</v>
      </c>
      <c r="T601" s="19">
        <f t="shared" si="32"/>
        <v>62</v>
      </c>
      <c r="U601" s="19"/>
      <c r="V601" s="19"/>
      <c r="W601" s="19"/>
      <c r="X601" s="19"/>
      <c r="Y601" s="19"/>
    </row>
    <row r="602" spans="1:25" ht="12" hidden="1" customHeight="1" thickBot="1" x14ac:dyDescent="0.35">
      <c r="A602" s="20">
        <v>2</v>
      </c>
      <c r="B602" s="20" t="s">
        <v>1285</v>
      </c>
      <c r="C602" s="20" t="s">
        <v>1469</v>
      </c>
      <c r="D602" s="20" t="s">
        <v>1512</v>
      </c>
      <c r="E602" s="20">
        <v>400</v>
      </c>
      <c r="F602" s="20" t="s">
        <v>561</v>
      </c>
      <c r="G602" s="20" t="s">
        <v>1287</v>
      </c>
      <c r="H602" s="20" t="s">
        <v>1288</v>
      </c>
      <c r="I602" s="20"/>
      <c r="J602" s="20">
        <v>62</v>
      </c>
      <c r="K602" s="20">
        <v>1</v>
      </c>
      <c r="L602" s="20" t="s">
        <v>13</v>
      </c>
      <c r="M602" s="20"/>
      <c r="N602" s="20"/>
      <c r="O602" s="20">
        <v>14</v>
      </c>
      <c r="P602" s="20" t="s">
        <v>1209</v>
      </c>
      <c r="Q602" s="20" t="s">
        <v>771</v>
      </c>
      <c r="R602" s="20" t="str">
        <f t="shared" si="30"/>
        <v>TOLVA VOLQUETE ANDINO-CELESTE</v>
      </c>
      <c r="S602" s="19">
        <f t="shared" si="31"/>
        <v>0</v>
      </c>
      <c r="T602" s="19">
        <f t="shared" si="32"/>
        <v>62</v>
      </c>
      <c r="U602" s="19"/>
      <c r="V602" s="19"/>
      <c r="W602" s="19"/>
      <c r="X602" s="19"/>
      <c r="Y602" s="19"/>
    </row>
    <row r="603" spans="1:25" ht="12" hidden="1" customHeight="1" thickBot="1" x14ac:dyDescent="0.35">
      <c r="A603" s="20">
        <v>2</v>
      </c>
      <c r="B603" s="20" t="s">
        <v>1285</v>
      </c>
      <c r="C603" s="20" t="s">
        <v>1469</v>
      </c>
      <c r="D603" s="20" t="s">
        <v>1512</v>
      </c>
      <c r="E603" s="20">
        <v>401</v>
      </c>
      <c r="F603" s="20" t="s">
        <v>562</v>
      </c>
      <c r="G603" s="20" t="s">
        <v>1287</v>
      </c>
      <c r="H603" s="20" t="s">
        <v>1288</v>
      </c>
      <c r="I603" s="20"/>
      <c r="J603" s="20">
        <v>62</v>
      </c>
      <c r="K603" s="20">
        <v>1</v>
      </c>
      <c r="L603" s="20" t="s">
        <v>13</v>
      </c>
      <c r="M603" s="20"/>
      <c r="N603" s="20"/>
      <c r="O603" s="20">
        <v>19</v>
      </c>
      <c r="P603" s="20" t="s">
        <v>27</v>
      </c>
      <c r="Q603" s="20" t="s">
        <v>772</v>
      </c>
      <c r="R603" s="20" t="str">
        <f t="shared" si="30"/>
        <v>TOLVA VOLQUETE ANDINO-ROJO</v>
      </c>
      <c r="S603" s="19">
        <f t="shared" si="31"/>
        <v>0</v>
      </c>
      <c r="T603" s="19">
        <f t="shared" si="32"/>
        <v>62</v>
      </c>
      <c r="U603" s="19"/>
      <c r="V603" s="19"/>
      <c r="W603" s="19"/>
      <c r="X603" s="19"/>
      <c r="Y603" s="19"/>
    </row>
    <row r="604" spans="1:25" ht="12" hidden="1" customHeight="1" thickBot="1" x14ac:dyDescent="0.35">
      <c r="A604" s="20">
        <v>2</v>
      </c>
      <c r="B604" s="20" t="s">
        <v>1285</v>
      </c>
      <c r="C604" s="20" t="s">
        <v>1469</v>
      </c>
      <c r="D604" s="20" t="s">
        <v>1512</v>
      </c>
      <c r="E604" s="20">
        <v>402</v>
      </c>
      <c r="F604" s="20" t="s">
        <v>563</v>
      </c>
      <c r="G604" s="20" t="s">
        <v>1287</v>
      </c>
      <c r="H604" s="20" t="s">
        <v>1288</v>
      </c>
      <c r="I604" s="20"/>
      <c r="J604" s="20">
        <v>62</v>
      </c>
      <c r="K604" s="20">
        <v>1</v>
      </c>
      <c r="L604" s="20" t="s">
        <v>13</v>
      </c>
      <c r="M604" s="20"/>
      <c r="N604" s="20"/>
      <c r="O604" s="20">
        <v>23</v>
      </c>
      <c r="P604" s="20" t="s">
        <v>1221</v>
      </c>
      <c r="Q604" s="20" t="s">
        <v>773</v>
      </c>
      <c r="R604" s="20" t="str">
        <f t="shared" si="30"/>
        <v>TOLVA VOLQUETE ANDINO-VERDE</v>
      </c>
      <c r="S604" s="19">
        <f t="shared" si="31"/>
        <v>0</v>
      </c>
      <c r="T604" s="19">
        <f t="shared" si="32"/>
        <v>62</v>
      </c>
      <c r="U604" s="19"/>
      <c r="V604" s="19"/>
      <c r="W604" s="19"/>
      <c r="X604" s="19"/>
      <c r="Y604" s="19"/>
    </row>
    <row r="605" spans="1:25" ht="12" hidden="1" customHeight="1" thickBot="1" x14ac:dyDescent="0.35">
      <c r="A605" s="20">
        <v>2</v>
      </c>
      <c r="B605" s="20" t="s">
        <v>1285</v>
      </c>
      <c r="C605" s="20" t="s">
        <v>1469</v>
      </c>
      <c r="D605" s="20" t="s">
        <v>1513</v>
      </c>
      <c r="E605" s="20">
        <v>403</v>
      </c>
      <c r="F605" s="20" t="s">
        <v>564</v>
      </c>
      <c r="G605" s="20" t="s">
        <v>1287</v>
      </c>
      <c r="H605" s="20" t="s">
        <v>1288</v>
      </c>
      <c r="I605" s="20"/>
      <c r="J605" s="20">
        <v>10</v>
      </c>
      <c r="K605" s="20">
        <v>1</v>
      </c>
      <c r="L605" s="20" t="s">
        <v>13</v>
      </c>
      <c r="M605" s="20"/>
      <c r="N605" s="20"/>
      <c r="O605" s="20">
        <v>27</v>
      </c>
      <c r="P605" s="20" t="s">
        <v>1213</v>
      </c>
      <c r="Q605" s="20" t="s">
        <v>884</v>
      </c>
      <c r="R605" s="20" t="str">
        <f t="shared" si="30"/>
        <v>TRONCO MADERA-MARRON</v>
      </c>
      <c r="S605" s="19">
        <f t="shared" si="31"/>
        <v>0</v>
      </c>
      <c r="T605" s="19">
        <f t="shared" si="32"/>
        <v>10</v>
      </c>
      <c r="U605" s="19"/>
      <c r="V605" s="19"/>
      <c r="W605" s="19"/>
      <c r="X605" s="19"/>
      <c r="Y605" s="19"/>
    </row>
    <row r="606" spans="1:25" ht="12" hidden="1" customHeight="1" thickBot="1" x14ac:dyDescent="0.35">
      <c r="A606" s="20">
        <v>2</v>
      </c>
      <c r="B606" s="20" t="s">
        <v>1285</v>
      </c>
      <c r="C606" s="20" t="s">
        <v>1439</v>
      </c>
      <c r="D606" s="20" t="s">
        <v>1514</v>
      </c>
      <c r="E606" s="20">
        <v>404</v>
      </c>
      <c r="F606" s="20" t="s">
        <v>565</v>
      </c>
      <c r="G606" s="20" t="s">
        <v>1287</v>
      </c>
      <c r="H606" s="20" t="s">
        <v>1288</v>
      </c>
      <c r="I606" s="20"/>
      <c r="J606" s="20">
        <v>103</v>
      </c>
      <c r="K606" s="20">
        <v>1</v>
      </c>
      <c r="L606" s="20" t="s">
        <v>13</v>
      </c>
      <c r="M606" s="20"/>
      <c r="N606" s="20"/>
      <c r="O606" s="20">
        <v>23</v>
      </c>
      <c r="P606" s="20" t="s">
        <v>1221</v>
      </c>
      <c r="Q606" s="20" t="s">
        <v>885</v>
      </c>
      <c r="R606" s="20" t="str">
        <f t="shared" si="30"/>
        <v>CASCO-VERDE MILITAR</v>
      </c>
      <c r="S606" s="19">
        <f t="shared" si="31"/>
        <v>0</v>
      </c>
      <c r="T606" s="19">
        <f t="shared" si="32"/>
        <v>103</v>
      </c>
      <c r="U606" s="19"/>
      <c r="V606" s="19"/>
      <c r="W606" s="19"/>
      <c r="X606" s="19"/>
      <c r="Y606" s="19"/>
    </row>
    <row r="607" spans="1:25" ht="12" hidden="1" customHeight="1" thickBot="1" x14ac:dyDescent="0.35">
      <c r="A607" s="20">
        <v>2</v>
      </c>
      <c r="B607" s="20" t="s">
        <v>1285</v>
      </c>
      <c r="C607" s="20" t="s">
        <v>1439</v>
      </c>
      <c r="D607" s="20" t="s">
        <v>1514</v>
      </c>
      <c r="E607" s="20">
        <v>405</v>
      </c>
      <c r="F607" s="20" t="s">
        <v>1516</v>
      </c>
      <c r="G607" s="20" t="s">
        <v>1287</v>
      </c>
      <c r="H607" s="20" t="s">
        <v>1288</v>
      </c>
      <c r="I607" s="20"/>
      <c r="J607" s="20">
        <v>103</v>
      </c>
      <c r="K607" s="20">
        <v>1</v>
      </c>
      <c r="L607" s="20" t="s">
        <v>13</v>
      </c>
      <c r="M607" s="20"/>
      <c r="N607" s="20"/>
      <c r="O607" s="20">
        <v>23</v>
      </c>
      <c r="P607" s="20" t="s">
        <v>1221</v>
      </c>
      <c r="Q607" s="20" t="s">
        <v>1515</v>
      </c>
      <c r="R607" s="20" t="str">
        <f t="shared" si="30"/>
        <v>CASCO-VERDE MILITAR PINTADO</v>
      </c>
      <c r="S607" s="19">
        <f t="shared" si="31"/>
        <v>0</v>
      </c>
      <c r="T607" s="19">
        <f t="shared" si="32"/>
        <v>103</v>
      </c>
      <c r="U607" s="19"/>
      <c r="V607" s="19"/>
      <c r="W607" s="19"/>
      <c r="X607" s="19"/>
      <c r="Y607" s="19"/>
    </row>
    <row r="608" spans="1:25" ht="12" hidden="1" customHeight="1" thickBot="1" x14ac:dyDescent="0.35">
      <c r="A608" s="20">
        <v>2</v>
      </c>
      <c r="B608" s="20" t="s">
        <v>1285</v>
      </c>
      <c r="C608" s="20" t="s">
        <v>1439</v>
      </c>
      <c r="D608" s="20" t="s">
        <v>1514</v>
      </c>
      <c r="E608" s="20">
        <v>406</v>
      </c>
      <c r="F608" s="20" t="s">
        <v>566</v>
      </c>
      <c r="G608" s="20" t="s">
        <v>1287</v>
      </c>
      <c r="H608" s="20" t="s">
        <v>1288</v>
      </c>
      <c r="I608" s="20"/>
      <c r="J608" s="20">
        <v>6</v>
      </c>
      <c r="K608" s="20">
        <v>1</v>
      </c>
      <c r="L608" s="20" t="s">
        <v>13</v>
      </c>
      <c r="M608" s="20"/>
      <c r="N608" s="20"/>
      <c r="O608" s="20">
        <v>18</v>
      </c>
      <c r="P608" s="20" t="s">
        <v>1215</v>
      </c>
      <c r="Q608" s="20" t="s">
        <v>886</v>
      </c>
      <c r="R608" s="20" t="str">
        <f t="shared" si="30"/>
        <v>CORREA CASCO-NEGRO</v>
      </c>
      <c r="S608" s="19">
        <f t="shared" si="31"/>
        <v>0</v>
      </c>
      <c r="T608" s="19">
        <f t="shared" si="32"/>
        <v>6</v>
      </c>
      <c r="U608" s="19"/>
      <c r="V608" s="19"/>
      <c r="W608" s="19"/>
      <c r="X608" s="19"/>
      <c r="Y608" s="19"/>
    </row>
    <row r="609" spans="1:25" ht="12" hidden="1" customHeight="1" thickBot="1" x14ac:dyDescent="0.35">
      <c r="A609" s="20">
        <v>2</v>
      </c>
      <c r="B609" s="20" t="s">
        <v>1285</v>
      </c>
      <c r="C609" s="20" t="s">
        <v>1439</v>
      </c>
      <c r="D609" s="20" t="s">
        <v>1517</v>
      </c>
      <c r="E609" s="20">
        <v>407</v>
      </c>
      <c r="F609" s="20" t="s">
        <v>567</v>
      </c>
      <c r="G609" s="20" t="s">
        <v>1287</v>
      </c>
      <c r="H609" s="20" t="s">
        <v>1288</v>
      </c>
      <c r="I609" s="20"/>
      <c r="J609" s="20">
        <v>29</v>
      </c>
      <c r="K609" s="20">
        <v>1</v>
      </c>
      <c r="L609" s="20" t="s">
        <v>13</v>
      </c>
      <c r="M609" s="20"/>
      <c r="N609" s="20"/>
      <c r="O609" s="20">
        <v>23</v>
      </c>
      <c r="P609" s="20" t="s">
        <v>1221</v>
      </c>
      <c r="Q609" s="20" t="s">
        <v>373</v>
      </c>
      <c r="R609" s="20" t="str">
        <f t="shared" si="30"/>
        <v>CAMUFLAJE CASCO-VERDE MILITAR</v>
      </c>
      <c r="S609" s="19">
        <f t="shared" si="31"/>
        <v>0</v>
      </c>
      <c r="T609" s="19">
        <f t="shared" si="32"/>
        <v>29</v>
      </c>
      <c r="U609" s="19"/>
      <c r="V609" s="19"/>
      <c r="W609" s="19"/>
      <c r="X609" s="19"/>
      <c r="Y609" s="19"/>
    </row>
    <row r="610" spans="1:25" ht="12" hidden="1" customHeight="1" thickBot="1" x14ac:dyDescent="0.35">
      <c r="A610" s="20">
        <v>2</v>
      </c>
      <c r="B610" s="20" t="s">
        <v>1285</v>
      </c>
      <c r="C610" s="20" t="s">
        <v>1439</v>
      </c>
      <c r="D610" s="20" t="s">
        <v>1517</v>
      </c>
      <c r="E610" s="20">
        <v>408</v>
      </c>
      <c r="F610" s="20" t="s">
        <v>1519</v>
      </c>
      <c r="G610" s="20" t="s">
        <v>1287</v>
      </c>
      <c r="H610" s="20" t="s">
        <v>1288</v>
      </c>
      <c r="I610" s="20"/>
      <c r="J610" s="20">
        <v>29</v>
      </c>
      <c r="K610" s="20">
        <v>1</v>
      </c>
      <c r="L610" s="20" t="s">
        <v>13</v>
      </c>
      <c r="M610" s="20"/>
      <c r="N610" s="20"/>
      <c r="O610" s="20">
        <v>23</v>
      </c>
      <c r="P610" s="20" t="s">
        <v>1221</v>
      </c>
      <c r="Q610" s="20" t="s">
        <v>1518</v>
      </c>
      <c r="R610" s="20" t="str">
        <f t="shared" si="30"/>
        <v>CAMUFLAJE CASCO-VERDE MILITAR PINTADO</v>
      </c>
      <c r="S610" s="19">
        <f t="shared" si="31"/>
        <v>0</v>
      </c>
      <c r="T610" s="19">
        <f t="shared" si="32"/>
        <v>29</v>
      </c>
      <c r="U610" s="19"/>
      <c r="V610" s="19"/>
      <c r="W610" s="19"/>
      <c r="X610" s="19"/>
      <c r="Y610" s="19"/>
    </row>
    <row r="611" spans="1:25" ht="12" hidden="1" customHeight="1" thickBot="1" x14ac:dyDescent="0.35">
      <c r="A611" s="20">
        <v>2</v>
      </c>
      <c r="B611" s="20" t="s">
        <v>1285</v>
      </c>
      <c r="C611" s="20" t="s">
        <v>1457</v>
      </c>
      <c r="D611" s="20" t="s">
        <v>1520</v>
      </c>
      <c r="E611" s="20">
        <v>409</v>
      </c>
      <c r="F611" s="20" t="s">
        <v>568</v>
      </c>
      <c r="G611" s="20" t="s">
        <v>1287</v>
      </c>
      <c r="H611" s="20" t="s">
        <v>1288</v>
      </c>
      <c r="I611" s="20"/>
      <c r="J611" s="20">
        <v>2</v>
      </c>
      <c r="K611" s="20">
        <v>1</v>
      </c>
      <c r="L611" s="20" t="s">
        <v>13</v>
      </c>
      <c r="M611" s="20"/>
      <c r="N611" s="20"/>
      <c r="O611" s="20">
        <v>13</v>
      </c>
      <c r="P611" s="20" t="s">
        <v>25</v>
      </c>
      <c r="Q611" s="20" t="s">
        <v>887</v>
      </c>
      <c r="R611" s="20" t="str">
        <f t="shared" si="30"/>
        <v>HORNILLA SET ANITA-BLANCO</v>
      </c>
      <c r="S611" s="19">
        <f t="shared" si="31"/>
        <v>0</v>
      </c>
      <c r="T611" s="19">
        <f t="shared" si="32"/>
        <v>2</v>
      </c>
      <c r="U611" s="19"/>
      <c r="V611" s="19"/>
      <c r="W611" s="19"/>
      <c r="X611" s="19"/>
      <c r="Y611" s="19"/>
    </row>
    <row r="612" spans="1:25" ht="12" hidden="1" customHeight="1" thickBot="1" x14ac:dyDescent="0.35">
      <c r="A612" s="20">
        <v>2</v>
      </c>
      <c r="B612" s="20" t="s">
        <v>1285</v>
      </c>
      <c r="C612" s="20" t="s">
        <v>1457</v>
      </c>
      <c r="D612" s="20" t="s">
        <v>1849</v>
      </c>
      <c r="E612" s="20">
        <v>410</v>
      </c>
      <c r="F612" s="20" t="s">
        <v>569</v>
      </c>
      <c r="G612" s="20" t="s">
        <v>1287</v>
      </c>
      <c r="H612" s="20" t="s">
        <v>1288</v>
      </c>
      <c r="I612" s="20"/>
      <c r="J612" s="20">
        <v>4</v>
      </c>
      <c r="K612" s="20">
        <v>2</v>
      </c>
      <c r="L612" s="20" t="s">
        <v>12</v>
      </c>
      <c r="M612" s="20"/>
      <c r="N612" s="20"/>
      <c r="O612" s="20">
        <v>13</v>
      </c>
      <c r="P612" s="20" t="s">
        <v>25</v>
      </c>
      <c r="Q612" s="20" t="s">
        <v>888</v>
      </c>
      <c r="R612" s="20" t="str">
        <f t="shared" si="30"/>
        <v>HUEVO Y CHOCLO ANITA-BLANCO</v>
      </c>
      <c r="S612" s="19">
        <f t="shared" si="31"/>
        <v>0</v>
      </c>
      <c r="T612" s="19">
        <f t="shared" si="32"/>
        <v>4</v>
      </c>
      <c r="U612" s="19"/>
      <c r="V612" s="19"/>
      <c r="W612" s="19"/>
      <c r="X612" s="19"/>
      <c r="Y612" s="19"/>
    </row>
    <row r="613" spans="1:25" ht="12" hidden="1" customHeight="1" thickBot="1" x14ac:dyDescent="0.35">
      <c r="A613" s="20">
        <v>2</v>
      </c>
      <c r="B613" s="20" t="s">
        <v>1285</v>
      </c>
      <c r="C613" s="20" t="s">
        <v>1457</v>
      </c>
      <c r="D613" s="20" t="s">
        <v>1520</v>
      </c>
      <c r="E613" s="20">
        <v>411</v>
      </c>
      <c r="F613" s="20" t="s">
        <v>570</v>
      </c>
      <c r="G613" s="20" t="s">
        <v>1287</v>
      </c>
      <c r="H613" s="20" t="s">
        <v>1288</v>
      </c>
      <c r="I613" s="20"/>
      <c r="J613" s="20">
        <v>1</v>
      </c>
      <c r="K613" s="20">
        <v>1</v>
      </c>
      <c r="L613" s="20" t="s">
        <v>13</v>
      </c>
      <c r="M613" s="20"/>
      <c r="N613" s="20"/>
      <c r="O613" s="20">
        <v>13</v>
      </c>
      <c r="P613" s="20" t="s">
        <v>25</v>
      </c>
      <c r="Q613" s="20" t="s">
        <v>889</v>
      </c>
      <c r="R613" s="20" t="str">
        <f t="shared" si="30"/>
        <v>PERILLAS ANITA-BLANCO</v>
      </c>
      <c r="S613" s="19">
        <f t="shared" si="31"/>
        <v>0</v>
      </c>
      <c r="T613" s="19">
        <f t="shared" si="32"/>
        <v>1</v>
      </c>
      <c r="U613" s="19"/>
      <c r="V613" s="19"/>
      <c r="W613" s="19"/>
      <c r="X613" s="19"/>
      <c r="Y613" s="19"/>
    </row>
    <row r="614" spans="1:25" ht="12" hidden="1" customHeight="1" thickBot="1" x14ac:dyDescent="0.35">
      <c r="A614" s="20">
        <v>2</v>
      </c>
      <c r="B614" s="20" t="s">
        <v>1285</v>
      </c>
      <c r="C614" s="20" t="s">
        <v>1457</v>
      </c>
      <c r="D614" s="20" t="s">
        <v>1520</v>
      </c>
      <c r="E614" s="20">
        <v>412</v>
      </c>
      <c r="F614" s="20" t="s">
        <v>1521</v>
      </c>
      <c r="G614" s="20" t="s">
        <v>1287</v>
      </c>
      <c r="H614" s="20" t="s">
        <v>1288</v>
      </c>
      <c r="I614" s="20"/>
      <c r="J614" s="20">
        <v>88</v>
      </c>
      <c r="K614" s="20">
        <v>1</v>
      </c>
      <c r="L614" s="20" t="s">
        <v>13</v>
      </c>
      <c r="M614" s="20"/>
      <c r="N614" s="20"/>
      <c r="O614" s="20">
        <v>11</v>
      </c>
      <c r="P614" s="20" t="s">
        <v>1207</v>
      </c>
      <c r="Q614" s="20" t="s">
        <v>890</v>
      </c>
      <c r="R614" s="20" t="str">
        <f t="shared" si="30"/>
        <v>SET DE COCINA ANITA-ANARANJADO</v>
      </c>
      <c r="S614" s="19">
        <f t="shared" si="31"/>
        <v>0</v>
      </c>
      <c r="T614" s="19">
        <f t="shared" si="32"/>
        <v>88</v>
      </c>
      <c r="U614" s="19"/>
      <c r="V614" s="19"/>
      <c r="W614" s="19"/>
      <c r="X614" s="19"/>
      <c r="Y614" s="19"/>
    </row>
    <row r="615" spans="1:25" ht="12" hidden="1" customHeight="1" thickBot="1" x14ac:dyDescent="0.35">
      <c r="A615" s="20">
        <v>2</v>
      </c>
      <c r="B615" s="20" t="s">
        <v>1285</v>
      </c>
      <c r="C615" s="20" t="s">
        <v>1457</v>
      </c>
      <c r="D615" s="20" t="s">
        <v>1520</v>
      </c>
      <c r="E615" s="20">
        <v>413</v>
      </c>
      <c r="F615" s="20" t="s">
        <v>571</v>
      </c>
      <c r="G615" s="20" t="s">
        <v>1287</v>
      </c>
      <c r="H615" s="20" t="s">
        <v>1288</v>
      </c>
      <c r="I615" s="20"/>
      <c r="J615" s="20">
        <v>88</v>
      </c>
      <c r="K615" s="20">
        <v>1</v>
      </c>
      <c r="L615" s="20" t="s">
        <v>13</v>
      </c>
      <c r="M615" s="20"/>
      <c r="N615" s="20"/>
      <c r="O615" s="20">
        <v>16</v>
      </c>
      <c r="P615" s="20" t="s">
        <v>1212</v>
      </c>
      <c r="Q615" s="20" t="s">
        <v>891</v>
      </c>
      <c r="R615" s="20" t="str">
        <f t="shared" si="30"/>
        <v>SET DE COCINA ANITA-LILA BEBE</v>
      </c>
      <c r="S615" s="19">
        <f t="shared" si="31"/>
        <v>0</v>
      </c>
      <c r="T615" s="19">
        <f t="shared" si="32"/>
        <v>88</v>
      </c>
      <c r="U615" s="19"/>
      <c r="V615" s="19"/>
      <c r="W615" s="19"/>
      <c r="X615" s="19"/>
      <c r="Y615" s="19"/>
    </row>
    <row r="616" spans="1:25" ht="12" hidden="1" customHeight="1" thickBot="1" x14ac:dyDescent="0.35">
      <c r="A616" s="20">
        <v>2</v>
      </c>
      <c r="B616" s="20" t="s">
        <v>1285</v>
      </c>
      <c r="C616" s="20" t="s">
        <v>1457</v>
      </c>
      <c r="D616" s="20" t="s">
        <v>1520</v>
      </c>
      <c r="E616" s="20">
        <v>414</v>
      </c>
      <c r="F616" s="20" t="s">
        <v>572</v>
      </c>
      <c r="G616" s="20" t="s">
        <v>1287</v>
      </c>
      <c r="H616" s="20" t="s">
        <v>1288</v>
      </c>
      <c r="I616" s="20"/>
      <c r="J616" s="20">
        <v>88</v>
      </c>
      <c r="K616" s="20">
        <v>1</v>
      </c>
      <c r="L616" s="20" t="s">
        <v>13</v>
      </c>
      <c r="M616" s="20"/>
      <c r="N616" s="20"/>
      <c r="O616" s="20">
        <v>20</v>
      </c>
      <c r="P616" s="20" t="s">
        <v>1217</v>
      </c>
      <c r="Q616" s="20" t="s">
        <v>892</v>
      </c>
      <c r="R616" s="20" t="str">
        <f t="shared" si="30"/>
        <v>SET DE COCINA ANITA-ROSADO</v>
      </c>
      <c r="S616" s="19">
        <f t="shared" si="31"/>
        <v>0</v>
      </c>
      <c r="T616" s="19">
        <f t="shared" si="32"/>
        <v>88</v>
      </c>
      <c r="U616" s="19"/>
      <c r="V616" s="19"/>
      <c r="W616" s="19"/>
      <c r="X616" s="19"/>
      <c r="Y616" s="19"/>
    </row>
    <row r="617" spans="1:25" ht="12" hidden="1" customHeight="1" thickBot="1" x14ac:dyDescent="0.35">
      <c r="A617" s="20">
        <v>2</v>
      </c>
      <c r="B617" s="20" t="s">
        <v>1285</v>
      </c>
      <c r="C617" s="20" t="s">
        <v>1457</v>
      </c>
      <c r="D617" s="20" t="s">
        <v>1520</v>
      </c>
      <c r="E617" s="20">
        <v>415</v>
      </c>
      <c r="F617" s="20" t="s">
        <v>573</v>
      </c>
      <c r="G617" s="20" t="s">
        <v>1287</v>
      </c>
      <c r="H617" s="20" t="s">
        <v>1288</v>
      </c>
      <c r="I617" s="20"/>
      <c r="J617" s="20">
        <v>88</v>
      </c>
      <c r="K617" s="20">
        <v>1</v>
      </c>
      <c r="L617" s="20" t="s">
        <v>13</v>
      </c>
      <c r="M617" s="20"/>
      <c r="N617" s="20"/>
      <c r="O617" s="20">
        <v>23</v>
      </c>
      <c r="P617" s="20" t="s">
        <v>1221</v>
      </c>
      <c r="Q617" s="20" t="s">
        <v>374</v>
      </c>
      <c r="R617" s="20" t="str">
        <f t="shared" si="30"/>
        <v>SET DE COCINA ANITA-VERDE</v>
      </c>
      <c r="S617" s="19">
        <f t="shared" si="31"/>
        <v>0</v>
      </c>
      <c r="T617" s="19">
        <f t="shared" si="32"/>
        <v>88</v>
      </c>
      <c r="U617" s="19"/>
      <c r="V617" s="19"/>
      <c r="W617" s="19"/>
      <c r="X617" s="19"/>
      <c r="Y617" s="19"/>
    </row>
    <row r="618" spans="1:25" ht="12" hidden="1" customHeight="1" thickBot="1" x14ac:dyDescent="0.35">
      <c r="A618" s="20">
        <v>2</v>
      </c>
      <c r="B618" s="20" t="s">
        <v>1285</v>
      </c>
      <c r="C618" s="20" t="s">
        <v>1457</v>
      </c>
      <c r="D618" s="20" t="s">
        <v>981</v>
      </c>
      <c r="E618" s="20">
        <v>416</v>
      </c>
      <c r="F618" s="20" t="s">
        <v>574</v>
      </c>
      <c r="G618" s="20" t="s">
        <v>1287</v>
      </c>
      <c r="H618" s="20" t="s">
        <v>1288</v>
      </c>
      <c r="I618" s="20"/>
      <c r="J618" s="20">
        <v>25</v>
      </c>
      <c r="K618" s="20">
        <v>2</v>
      </c>
      <c r="L618" s="20" t="s">
        <v>12</v>
      </c>
      <c r="M618" s="20"/>
      <c r="N618" s="20"/>
      <c r="O618" s="20">
        <v>10</v>
      </c>
      <c r="P618" s="20" t="s">
        <v>26</v>
      </c>
      <c r="Q618" s="20" t="s">
        <v>893</v>
      </c>
      <c r="R618" s="20" t="str">
        <f t="shared" si="30"/>
        <v>OLLA Y TETERA DANIELA-AMARILLO</v>
      </c>
      <c r="S618" s="19">
        <f t="shared" si="31"/>
        <v>0</v>
      </c>
      <c r="T618" s="19">
        <f t="shared" si="32"/>
        <v>25</v>
      </c>
      <c r="U618" s="19"/>
      <c r="V618" s="19"/>
      <c r="W618" s="19"/>
      <c r="X618" s="19"/>
      <c r="Y618" s="19"/>
    </row>
    <row r="619" spans="1:25" ht="12" hidden="1" customHeight="1" thickBot="1" x14ac:dyDescent="0.35">
      <c r="A619" s="20">
        <v>2</v>
      </c>
      <c r="B619" s="20" t="s">
        <v>1285</v>
      </c>
      <c r="C619" s="20" t="s">
        <v>1457</v>
      </c>
      <c r="D619" s="20" t="s">
        <v>981</v>
      </c>
      <c r="E619" s="20">
        <v>417</v>
      </c>
      <c r="F619" s="20" t="s">
        <v>2235</v>
      </c>
      <c r="G619" s="20" t="s">
        <v>1287</v>
      </c>
      <c r="H619" s="20" t="s">
        <v>1288</v>
      </c>
      <c r="I619" s="20"/>
      <c r="J619" s="20">
        <v>25</v>
      </c>
      <c r="K619" s="20">
        <v>2</v>
      </c>
      <c r="L619" s="20" t="s">
        <v>12</v>
      </c>
      <c r="M619" s="20"/>
      <c r="N619" s="20"/>
      <c r="O619" s="20">
        <v>11</v>
      </c>
      <c r="P619" s="20" t="s">
        <v>1207</v>
      </c>
      <c r="Q619" s="20" t="s">
        <v>894</v>
      </c>
      <c r="R619" s="20" t="str">
        <f t="shared" si="30"/>
        <v>OLLA Y TETERA DANIELA-MELON</v>
      </c>
      <c r="S619" s="19">
        <f t="shared" si="31"/>
        <v>0</v>
      </c>
      <c r="T619" s="19">
        <f t="shared" si="32"/>
        <v>25</v>
      </c>
      <c r="U619" s="19"/>
      <c r="V619" s="19"/>
      <c r="W619" s="19"/>
      <c r="X619" s="19"/>
      <c r="Y619" s="19"/>
    </row>
    <row r="620" spans="1:25" ht="12" hidden="1" customHeight="1" thickBot="1" x14ac:dyDescent="0.35">
      <c r="A620" s="20">
        <v>2</v>
      </c>
      <c r="B620" s="20" t="s">
        <v>1285</v>
      </c>
      <c r="C620" s="20" t="s">
        <v>1457</v>
      </c>
      <c r="D620" s="20" t="s">
        <v>981</v>
      </c>
      <c r="E620" s="20">
        <v>418</v>
      </c>
      <c r="F620" s="20" t="s">
        <v>575</v>
      </c>
      <c r="G620" s="20" t="s">
        <v>1287</v>
      </c>
      <c r="H620" s="20" t="s">
        <v>1288</v>
      </c>
      <c r="I620" s="20"/>
      <c r="J620" s="20">
        <v>25</v>
      </c>
      <c r="K620" s="20">
        <v>2</v>
      </c>
      <c r="L620" s="20" t="s">
        <v>12</v>
      </c>
      <c r="M620" s="20"/>
      <c r="N620" s="20"/>
      <c r="O620" s="20">
        <v>16</v>
      </c>
      <c r="P620" s="20" t="s">
        <v>1212</v>
      </c>
      <c r="Q620" s="20" t="s">
        <v>895</v>
      </c>
      <c r="R620" s="20" t="str">
        <f t="shared" si="30"/>
        <v>OLLA Y TETERA DANIELA-LILA BEBE</v>
      </c>
      <c r="S620" s="19">
        <f t="shared" si="31"/>
        <v>0</v>
      </c>
      <c r="T620" s="19">
        <f t="shared" si="32"/>
        <v>25</v>
      </c>
      <c r="U620" s="19"/>
      <c r="V620" s="19"/>
      <c r="W620" s="19"/>
      <c r="X620" s="19"/>
      <c r="Y620" s="19"/>
    </row>
    <row r="621" spans="1:25" ht="12" hidden="1" customHeight="1" thickBot="1" x14ac:dyDescent="0.35">
      <c r="A621" s="20">
        <v>2</v>
      </c>
      <c r="B621" s="20" t="s">
        <v>1285</v>
      </c>
      <c r="C621" s="20" t="s">
        <v>1457</v>
      </c>
      <c r="D621" s="20" t="s">
        <v>981</v>
      </c>
      <c r="E621" s="20">
        <v>419</v>
      </c>
      <c r="F621" s="20" t="s">
        <v>576</v>
      </c>
      <c r="G621" s="20" t="s">
        <v>1287</v>
      </c>
      <c r="H621" s="20" t="s">
        <v>1288</v>
      </c>
      <c r="I621" s="20"/>
      <c r="J621" s="20">
        <v>25</v>
      </c>
      <c r="K621" s="20">
        <v>2</v>
      </c>
      <c r="L621" s="20" t="s">
        <v>12</v>
      </c>
      <c r="M621" s="20"/>
      <c r="N621" s="20"/>
      <c r="O621" s="20">
        <v>19</v>
      </c>
      <c r="P621" s="20" t="s">
        <v>27</v>
      </c>
      <c r="Q621" s="20" t="s">
        <v>896</v>
      </c>
      <c r="R621" s="20" t="str">
        <f t="shared" si="30"/>
        <v>OLLA Y TETERA DANIELA-ROJO</v>
      </c>
      <c r="S621" s="19">
        <f t="shared" si="31"/>
        <v>0</v>
      </c>
      <c r="T621" s="19">
        <f t="shared" si="32"/>
        <v>25</v>
      </c>
      <c r="U621" s="19"/>
      <c r="V621" s="19"/>
      <c r="W621" s="19"/>
      <c r="X621" s="19"/>
      <c r="Y621" s="19"/>
    </row>
    <row r="622" spans="1:25" ht="12" hidden="1" customHeight="1" thickBot="1" x14ac:dyDescent="0.35">
      <c r="A622" s="20">
        <v>2</v>
      </c>
      <c r="B622" s="20" t="s">
        <v>1285</v>
      </c>
      <c r="C622" s="20" t="s">
        <v>1457</v>
      </c>
      <c r="D622" s="20" t="s">
        <v>981</v>
      </c>
      <c r="E622" s="20">
        <v>420</v>
      </c>
      <c r="F622" s="20" t="s">
        <v>577</v>
      </c>
      <c r="G622" s="20" t="s">
        <v>1287</v>
      </c>
      <c r="H622" s="20" t="s">
        <v>1288</v>
      </c>
      <c r="I622" s="20"/>
      <c r="J622" s="20">
        <v>25</v>
      </c>
      <c r="K622" s="20">
        <v>2</v>
      </c>
      <c r="L622" s="20" t="s">
        <v>12</v>
      </c>
      <c r="M622" s="20"/>
      <c r="N622" s="20"/>
      <c r="O622" s="20">
        <v>20</v>
      </c>
      <c r="P622" s="20" t="s">
        <v>1217</v>
      </c>
      <c r="Q622" s="20" t="s">
        <v>897</v>
      </c>
      <c r="R622" s="20" t="str">
        <f t="shared" si="30"/>
        <v>OLLA Y TETERA DANIELA-ROSADO</v>
      </c>
      <c r="S622" s="19">
        <f t="shared" si="31"/>
        <v>0</v>
      </c>
      <c r="T622" s="19">
        <f t="shared" si="32"/>
        <v>25</v>
      </c>
      <c r="U622" s="19"/>
      <c r="V622" s="19"/>
      <c r="W622" s="19"/>
      <c r="X622" s="19"/>
      <c r="Y622" s="19"/>
    </row>
    <row r="623" spans="1:25" ht="12" hidden="1" customHeight="1" thickBot="1" x14ac:dyDescent="0.35">
      <c r="A623" s="20">
        <v>2</v>
      </c>
      <c r="B623" s="20" t="s">
        <v>1285</v>
      </c>
      <c r="C623" s="20" t="s">
        <v>1457</v>
      </c>
      <c r="D623" s="20" t="s">
        <v>981</v>
      </c>
      <c r="E623" s="20">
        <v>421</v>
      </c>
      <c r="F623" s="20" t="s">
        <v>2234</v>
      </c>
      <c r="G623" s="20" t="s">
        <v>1287</v>
      </c>
      <c r="H623" s="20" t="s">
        <v>1288</v>
      </c>
      <c r="I623" s="20"/>
      <c r="J623" s="20">
        <v>25</v>
      </c>
      <c r="K623" s="20">
        <v>2</v>
      </c>
      <c r="L623" s="20" t="s">
        <v>12</v>
      </c>
      <c r="M623" s="20"/>
      <c r="N623" s="20"/>
      <c r="O623" s="20">
        <v>23</v>
      </c>
      <c r="P623" s="20" t="s">
        <v>1221</v>
      </c>
      <c r="Q623" s="20" t="s">
        <v>898</v>
      </c>
      <c r="R623" s="20" t="str">
        <f t="shared" si="30"/>
        <v>OLLA Y TETERA DANIELA-TURQUESA</v>
      </c>
      <c r="S623" s="19">
        <f t="shared" si="31"/>
        <v>0</v>
      </c>
      <c r="T623" s="19">
        <f t="shared" si="32"/>
        <v>25</v>
      </c>
      <c r="U623" s="19"/>
      <c r="V623" s="19"/>
      <c r="W623" s="19"/>
      <c r="X623" s="19"/>
      <c r="Y623" s="19"/>
    </row>
    <row r="624" spans="1:25" ht="12" hidden="1" customHeight="1" thickBot="1" x14ac:dyDescent="0.35">
      <c r="A624" s="20">
        <v>2</v>
      </c>
      <c r="B624" s="20" t="s">
        <v>1285</v>
      </c>
      <c r="C624" s="20" t="s">
        <v>1457</v>
      </c>
      <c r="D624" s="20" t="s">
        <v>1522</v>
      </c>
      <c r="E624" s="20">
        <v>422</v>
      </c>
      <c r="F624" s="20" t="s">
        <v>578</v>
      </c>
      <c r="G624" s="20" t="s">
        <v>1287</v>
      </c>
      <c r="H624" s="20" t="s">
        <v>1288</v>
      </c>
      <c r="I624" s="20"/>
      <c r="J624" s="20">
        <v>9</v>
      </c>
      <c r="K624" s="20">
        <v>1</v>
      </c>
      <c r="L624" s="20" t="s">
        <v>13</v>
      </c>
      <c r="M624" s="20"/>
      <c r="N624" s="20"/>
      <c r="O624" s="20">
        <v>10</v>
      </c>
      <c r="P624" s="20" t="s">
        <v>26</v>
      </c>
      <c r="Q624" s="20" t="s">
        <v>781</v>
      </c>
      <c r="R624" s="20" t="str">
        <f t="shared" si="30"/>
        <v>PLATOS DANIELA-AMARILLO</v>
      </c>
      <c r="S624" s="19">
        <f t="shared" si="31"/>
        <v>0</v>
      </c>
      <c r="T624" s="19">
        <f t="shared" si="32"/>
        <v>9</v>
      </c>
      <c r="U624" s="19"/>
      <c r="V624" s="19"/>
      <c r="W624" s="19"/>
      <c r="X624" s="19"/>
      <c r="Y624" s="19"/>
    </row>
    <row r="625" spans="1:25" ht="12" hidden="1" customHeight="1" thickBot="1" x14ac:dyDescent="0.35">
      <c r="A625" s="20">
        <v>2</v>
      </c>
      <c r="B625" s="20" t="s">
        <v>1285</v>
      </c>
      <c r="C625" s="20" t="s">
        <v>1457</v>
      </c>
      <c r="D625" s="20" t="s">
        <v>1522</v>
      </c>
      <c r="E625" s="20">
        <v>423</v>
      </c>
      <c r="F625" s="20" t="s">
        <v>579</v>
      </c>
      <c r="G625" s="20" t="s">
        <v>1287</v>
      </c>
      <c r="H625" s="20" t="s">
        <v>1288</v>
      </c>
      <c r="I625" s="20"/>
      <c r="J625" s="20">
        <v>9</v>
      </c>
      <c r="K625" s="20">
        <v>1</v>
      </c>
      <c r="L625" s="20" t="s">
        <v>13</v>
      </c>
      <c r="M625" s="20"/>
      <c r="N625" s="20"/>
      <c r="O625" s="20">
        <v>11</v>
      </c>
      <c r="P625" s="20" t="s">
        <v>1207</v>
      </c>
      <c r="Q625" s="20" t="s">
        <v>782</v>
      </c>
      <c r="R625" s="20" t="str">
        <f t="shared" si="30"/>
        <v>PLATOS DANIELA-ANARANJADO</v>
      </c>
      <c r="S625" s="19">
        <f t="shared" si="31"/>
        <v>0</v>
      </c>
      <c r="T625" s="19">
        <f t="shared" si="32"/>
        <v>9</v>
      </c>
      <c r="U625" s="19"/>
      <c r="V625" s="19"/>
      <c r="W625" s="19"/>
      <c r="X625" s="19"/>
      <c r="Y625" s="19"/>
    </row>
    <row r="626" spans="1:25" ht="12" hidden="1" customHeight="1" thickBot="1" x14ac:dyDescent="0.35">
      <c r="A626" s="20">
        <v>2</v>
      </c>
      <c r="B626" s="20" t="s">
        <v>1285</v>
      </c>
      <c r="C626" s="20" t="s">
        <v>1457</v>
      </c>
      <c r="D626" s="20" t="s">
        <v>1522</v>
      </c>
      <c r="E626" s="20">
        <v>424</v>
      </c>
      <c r="F626" s="20" t="s">
        <v>580</v>
      </c>
      <c r="G626" s="20" t="s">
        <v>1287</v>
      </c>
      <c r="H626" s="20" t="s">
        <v>1288</v>
      </c>
      <c r="I626" s="20"/>
      <c r="J626" s="20">
        <v>9</v>
      </c>
      <c r="K626" s="20">
        <v>1</v>
      </c>
      <c r="L626" s="20" t="s">
        <v>13</v>
      </c>
      <c r="M626" s="20"/>
      <c r="N626" s="20"/>
      <c r="O626" s="20">
        <v>16</v>
      </c>
      <c r="P626" s="20" t="s">
        <v>1212</v>
      </c>
      <c r="Q626" s="20" t="s">
        <v>899</v>
      </c>
      <c r="R626" s="20" t="str">
        <f t="shared" si="30"/>
        <v>PLATOS DANIELA-LILA BEBE</v>
      </c>
      <c r="S626" s="19">
        <f t="shared" si="31"/>
        <v>0</v>
      </c>
      <c r="T626" s="19">
        <f t="shared" si="32"/>
        <v>9</v>
      </c>
      <c r="U626" s="19"/>
      <c r="V626" s="19"/>
      <c r="W626" s="19"/>
      <c r="X626" s="19"/>
      <c r="Y626" s="19"/>
    </row>
    <row r="627" spans="1:25" ht="12" hidden="1" customHeight="1" thickBot="1" x14ac:dyDescent="0.35">
      <c r="A627" s="20">
        <v>2</v>
      </c>
      <c r="B627" s="20" t="s">
        <v>1285</v>
      </c>
      <c r="C627" s="20" t="s">
        <v>1457</v>
      </c>
      <c r="D627" s="20" t="s">
        <v>1522</v>
      </c>
      <c r="E627" s="20">
        <v>425</v>
      </c>
      <c r="F627" s="20" t="s">
        <v>581</v>
      </c>
      <c r="G627" s="20" t="s">
        <v>1287</v>
      </c>
      <c r="H627" s="20" t="s">
        <v>1288</v>
      </c>
      <c r="I627" s="20"/>
      <c r="J627" s="20">
        <v>9</v>
      </c>
      <c r="K627" s="20">
        <v>1</v>
      </c>
      <c r="L627" s="20" t="s">
        <v>13</v>
      </c>
      <c r="M627" s="20"/>
      <c r="N627" s="20"/>
      <c r="O627" s="20">
        <v>19</v>
      </c>
      <c r="P627" s="20" t="s">
        <v>27</v>
      </c>
      <c r="Q627" s="20" t="s">
        <v>774</v>
      </c>
      <c r="R627" s="20" t="str">
        <f t="shared" si="30"/>
        <v>PLATOS DANIELA-ROJO</v>
      </c>
      <c r="S627" s="19">
        <f t="shared" si="31"/>
        <v>0</v>
      </c>
      <c r="T627" s="19">
        <f t="shared" si="32"/>
        <v>9</v>
      </c>
      <c r="U627" s="19"/>
      <c r="V627" s="19"/>
      <c r="W627" s="19"/>
      <c r="X627" s="19"/>
      <c r="Y627" s="19"/>
    </row>
    <row r="628" spans="1:25" ht="12" hidden="1" customHeight="1" thickBot="1" x14ac:dyDescent="0.35">
      <c r="A628" s="20">
        <v>2</v>
      </c>
      <c r="B628" s="20" t="s">
        <v>1285</v>
      </c>
      <c r="C628" s="20" t="s">
        <v>1457</v>
      </c>
      <c r="D628" s="20" t="s">
        <v>1522</v>
      </c>
      <c r="E628" s="20">
        <v>426</v>
      </c>
      <c r="F628" s="20" t="s">
        <v>582</v>
      </c>
      <c r="G628" s="20" t="s">
        <v>1287</v>
      </c>
      <c r="H628" s="20" t="s">
        <v>1288</v>
      </c>
      <c r="I628" s="20"/>
      <c r="J628" s="20">
        <v>9</v>
      </c>
      <c r="K628" s="20">
        <v>1</v>
      </c>
      <c r="L628" s="20" t="s">
        <v>13</v>
      </c>
      <c r="M628" s="20"/>
      <c r="N628" s="20"/>
      <c r="O628" s="20">
        <v>20</v>
      </c>
      <c r="P628" s="20" t="s">
        <v>1217</v>
      </c>
      <c r="Q628" s="20" t="s">
        <v>900</v>
      </c>
      <c r="R628" s="20" t="str">
        <f t="shared" si="30"/>
        <v>PLATOS DANIELA-ROSADO</v>
      </c>
      <c r="S628" s="19">
        <f t="shared" si="31"/>
        <v>0</v>
      </c>
      <c r="T628" s="19">
        <f t="shared" si="32"/>
        <v>9</v>
      </c>
      <c r="U628" s="19"/>
      <c r="V628" s="19"/>
      <c r="W628" s="19"/>
      <c r="X628" s="19"/>
      <c r="Y628" s="19"/>
    </row>
    <row r="629" spans="1:25" ht="12" hidden="1" customHeight="1" thickBot="1" x14ac:dyDescent="0.35">
      <c r="A629" s="20">
        <v>2</v>
      </c>
      <c r="B629" s="20" t="s">
        <v>1285</v>
      </c>
      <c r="C629" s="20" t="s">
        <v>1457</v>
      </c>
      <c r="D629" s="20" t="s">
        <v>1522</v>
      </c>
      <c r="E629" s="20">
        <v>427</v>
      </c>
      <c r="F629" s="20" t="s">
        <v>583</v>
      </c>
      <c r="G629" s="20" t="s">
        <v>1287</v>
      </c>
      <c r="H629" s="20" t="s">
        <v>1288</v>
      </c>
      <c r="I629" s="20"/>
      <c r="J629" s="20">
        <v>9</v>
      </c>
      <c r="K629" s="20">
        <v>1</v>
      </c>
      <c r="L629" s="20" t="s">
        <v>13</v>
      </c>
      <c r="M629" s="20"/>
      <c r="N629" s="20"/>
      <c r="O629" s="20">
        <v>23</v>
      </c>
      <c r="P629" s="20" t="s">
        <v>1221</v>
      </c>
      <c r="Q629" s="20" t="s">
        <v>783</v>
      </c>
      <c r="R629" s="20" t="str">
        <f t="shared" si="30"/>
        <v>PLATOS DANIELA-VERDE</v>
      </c>
      <c r="S629" s="19">
        <f t="shared" si="31"/>
        <v>0</v>
      </c>
      <c r="T629" s="19">
        <f t="shared" si="32"/>
        <v>9</v>
      </c>
      <c r="U629" s="19"/>
      <c r="V629" s="19"/>
      <c r="W629" s="19"/>
      <c r="X629" s="19"/>
      <c r="Y629" s="19"/>
    </row>
    <row r="630" spans="1:25" ht="12" hidden="1" customHeight="1" thickBot="1" x14ac:dyDescent="0.35">
      <c r="A630" s="20">
        <v>2</v>
      </c>
      <c r="B630" s="20" t="s">
        <v>1285</v>
      </c>
      <c r="C630" s="20" t="s">
        <v>1457</v>
      </c>
      <c r="D630" s="20" t="s">
        <v>1522</v>
      </c>
      <c r="E630" s="20">
        <v>428</v>
      </c>
      <c r="F630" s="20" t="s">
        <v>584</v>
      </c>
      <c r="G630" s="20" t="s">
        <v>1287</v>
      </c>
      <c r="H630" s="20" t="s">
        <v>1288</v>
      </c>
      <c r="I630" s="20"/>
      <c r="J630" s="20">
        <v>5</v>
      </c>
      <c r="K630" s="20">
        <v>1</v>
      </c>
      <c r="L630" s="20" t="s">
        <v>13</v>
      </c>
      <c r="M630" s="20"/>
      <c r="N630" s="20"/>
      <c r="O630" s="20">
        <v>10</v>
      </c>
      <c r="P630" s="20" t="s">
        <v>26</v>
      </c>
      <c r="Q630" s="20" t="s">
        <v>775</v>
      </c>
      <c r="R630" s="20" t="str">
        <f t="shared" si="30"/>
        <v>TAZAS DANIELA-AMARILLO</v>
      </c>
      <c r="S630" s="19">
        <f t="shared" si="31"/>
        <v>0</v>
      </c>
      <c r="T630" s="19">
        <f t="shared" si="32"/>
        <v>5</v>
      </c>
      <c r="U630" s="19"/>
      <c r="V630" s="19"/>
      <c r="W630" s="19"/>
      <c r="X630" s="19"/>
      <c r="Y630" s="19"/>
    </row>
    <row r="631" spans="1:25" ht="12" hidden="1" customHeight="1" thickBot="1" x14ac:dyDescent="0.35">
      <c r="A631" s="20">
        <v>2</v>
      </c>
      <c r="B631" s="20" t="s">
        <v>1285</v>
      </c>
      <c r="C631" s="20" t="s">
        <v>1457</v>
      </c>
      <c r="D631" s="20" t="s">
        <v>1522</v>
      </c>
      <c r="E631" s="20">
        <v>429</v>
      </c>
      <c r="F631" s="20" t="s">
        <v>1173</v>
      </c>
      <c r="G631" s="20" t="s">
        <v>1287</v>
      </c>
      <c r="H631" s="20" t="s">
        <v>1288</v>
      </c>
      <c r="I631" s="20"/>
      <c r="J631" s="20">
        <v>5</v>
      </c>
      <c r="K631" s="20">
        <v>1</v>
      </c>
      <c r="L631" s="20" t="s">
        <v>13</v>
      </c>
      <c r="M631" s="20"/>
      <c r="N631" s="20"/>
      <c r="O631" s="20">
        <v>11</v>
      </c>
      <c r="P631" s="20" t="s">
        <v>1207</v>
      </c>
      <c r="Q631" s="20" t="s">
        <v>776</v>
      </c>
      <c r="R631" s="20" t="str">
        <f t="shared" si="30"/>
        <v>TAZAS DANIELA-MELON</v>
      </c>
      <c r="S631" s="19">
        <f t="shared" si="31"/>
        <v>0</v>
      </c>
      <c r="T631" s="19">
        <f t="shared" si="32"/>
        <v>5</v>
      </c>
      <c r="U631" s="19"/>
      <c r="V631" s="19"/>
      <c r="W631" s="19"/>
      <c r="X631" s="19"/>
      <c r="Y631" s="19"/>
    </row>
    <row r="632" spans="1:25" ht="12" hidden="1" customHeight="1" thickBot="1" x14ac:dyDescent="0.35">
      <c r="A632" s="20">
        <v>2</v>
      </c>
      <c r="B632" s="20" t="s">
        <v>1285</v>
      </c>
      <c r="C632" s="20" t="s">
        <v>1457</v>
      </c>
      <c r="D632" s="20" t="s">
        <v>1522</v>
      </c>
      <c r="E632" s="20">
        <v>430</v>
      </c>
      <c r="F632" s="20" t="s">
        <v>585</v>
      </c>
      <c r="G632" s="20" t="s">
        <v>1287</v>
      </c>
      <c r="H632" s="20" t="s">
        <v>1288</v>
      </c>
      <c r="I632" s="20"/>
      <c r="J632" s="20">
        <v>5</v>
      </c>
      <c r="K632" s="20">
        <v>1</v>
      </c>
      <c r="L632" s="20" t="s">
        <v>13</v>
      </c>
      <c r="M632" s="20"/>
      <c r="N632" s="20"/>
      <c r="O632" s="20">
        <v>16</v>
      </c>
      <c r="P632" s="20" t="s">
        <v>1212</v>
      </c>
      <c r="Q632" s="20" t="s">
        <v>901</v>
      </c>
      <c r="R632" s="20" t="str">
        <f t="shared" si="30"/>
        <v>TAZAS DANIELA-LILA BEBE</v>
      </c>
      <c r="S632" s="19">
        <f t="shared" si="31"/>
        <v>0</v>
      </c>
      <c r="T632" s="19">
        <f t="shared" si="32"/>
        <v>5</v>
      </c>
      <c r="U632" s="19"/>
      <c r="V632" s="19"/>
      <c r="W632" s="19"/>
      <c r="X632" s="19"/>
      <c r="Y632" s="19"/>
    </row>
    <row r="633" spans="1:25" ht="12" hidden="1" customHeight="1" thickBot="1" x14ac:dyDescent="0.35">
      <c r="A633" s="20">
        <v>2</v>
      </c>
      <c r="B633" s="20" t="s">
        <v>1285</v>
      </c>
      <c r="C633" s="20" t="s">
        <v>1457</v>
      </c>
      <c r="D633" s="20" t="s">
        <v>1522</v>
      </c>
      <c r="E633" s="20">
        <v>431</v>
      </c>
      <c r="F633" s="20" t="s">
        <v>586</v>
      </c>
      <c r="G633" s="20" t="s">
        <v>1287</v>
      </c>
      <c r="H633" s="20" t="s">
        <v>1288</v>
      </c>
      <c r="I633" s="20"/>
      <c r="J633" s="20">
        <v>5</v>
      </c>
      <c r="K633" s="20">
        <v>1</v>
      </c>
      <c r="L633" s="20" t="s">
        <v>13</v>
      </c>
      <c r="M633" s="20"/>
      <c r="N633" s="20"/>
      <c r="O633" s="20">
        <v>19</v>
      </c>
      <c r="P633" s="20" t="s">
        <v>27</v>
      </c>
      <c r="Q633" s="20" t="s">
        <v>902</v>
      </c>
      <c r="R633" s="20" t="str">
        <f t="shared" si="30"/>
        <v>TAZAS DANIELA-ROJO</v>
      </c>
      <c r="S633" s="19">
        <f t="shared" si="31"/>
        <v>0</v>
      </c>
      <c r="T633" s="19">
        <f t="shared" si="32"/>
        <v>5</v>
      </c>
      <c r="U633" s="19"/>
      <c r="V633" s="19"/>
      <c r="W633" s="19"/>
      <c r="X633" s="19"/>
      <c r="Y633" s="19"/>
    </row>
    <row r="634" spans="1:25" ht="12" hidden="1" customHeight="1" thickBot="1" x14ac:dyDescent="0.35">
      <c r="A634" s="20">
        <v>2</v>
      </c>
      <c r="B634" s="20" t="s">
        <v>1285</v>
      </c>
      <c r="C634" s="20" t="s">
        <v>1457</v>
      </c>
      <c r="D634" s="20" t="s">
        <v>1522</v>
      </c>
      <c r="E634" s="20">
        <v>432</v>
      </c>
      <c r="F634" s="20" t="s">
        <v>587</v>
      </c>
      <c r="G634" s="20" t="s">
        <v>1287</v>
      </c>
      <c r="H634" s="20" t="s">
        <v>1288</v>
      </c>
      <c r="I634" s="20"/>
      <c r="J634" s="20">
        <v>5</v>
      </c>
      <c r="K634" s="20">
        <v>1</v>
      </c>
      <c r="L634" s="20" t="s">
        <v>13</v>
      </c>
      <c r="M634" s="20"/>
      <c r="N634" s="20"/>
      <c r="O634" s="20">
        <v>20</v>
      </c>
      <c r="P634" s="20" t="s">
        <v>1217</v>
      </c>
      <c r="Q634" s="20" t="s">
        <v>903</v>
      </c>
      <c r="R634" s="20" t="str">
        <f t="shared" si="30"/>
        <v>TAZAS DANIELA-ROSADO</v>
      </c>
      <c r="S634" s="19">
        <f t="shared" si="31"/>
        <v>0</v>
      </c>
      <c r="T634" s="19">
        <f t="shared" si="32"/>
        <v>5</v>
      </c>
      <c r="U634" s="19"/>
      <c r="V634" s="19"/>
      <c r="W634" s="19"/>
      <c r="X634" s="19"/>
      <c r="Y634" s="19"/>
    </row>
    <row r="635" spans="1:25" ht="12" hidden="1" customHeight="1" thickBot="1" x14ac:dyDescent="0.35">
      <c r="A635" s="20">
        <v>2</v>
      </c>
      <c r="B635" s="20" t="s">
        <v>1285</v>
      </c>
      <c r="C635" s="20" t="s">
        <v>1457</v>
      </c>
      <c r="D635" s="20" t="s">
        <v>1522</v>
      </c>
      <c r="E635" s="20">
        <v>433</v>
      </c>
      <c r="F635" s="20" t="s">
        <v>1850</v>
      </c>
      <c r="G635" s="20" t="s">
        <v>1287</v>
      </c>
      <c r="H635" s="20" t="s">
        <v>1288</v>
      </c>
      <c r="I635" s="20"/>
      <c r="J635" s="20">
        <v>5</v>
      </c>
      <c r="K635" s="20">
        <v>1</v>
      </c>
      <c r="L635" s="20" t="s">
        <v>13</v>
      </c>
      <c r="M635" s="20"/>
      <c r="N635" s="20"/>
      <c r="O635" s="20">
        <v>23</v>
      </c>
      <c r="P635" s="20" t="s">
        <v>1221</v>
      </c>
      <c r="Q635" s="20" t="s">
        <v>777</v>
      </c>
      <c r="R635" s="20" t="str">
        <f t="shared" si="30"/>
        <v>TAZAS DANIELA-TURQUESA</v>
      </c>
      <c r="S635" s="19">
        <f t="shared" si="31"/>
        <v>0</v>
      </c>
      <c r="T635" s="19">
        <f t="shared" si="32"/>
        <v>5</v>
      </c>
      <c r="U635" s="19"/>
      <c r="V635" s="19"/>
      <c r="W635" s="19"/>
      <c r="X635" s="19"/>
      <c r="Y635" s="19"/>
    </row>
    <row r="636" spans="1:25" ht="12" hidden="1" customHeight="1" thickBot="1" x14ac:dyDescent="0.35">
      <c r="A636" s="20">
        <v>2</v>
      </c>
      <c r="B636" s="20" t="s">
        <v>1285</v>
      </c>
      <c r="C636" s="20" t="s">
        <v>1457</v>
      </c>
      <c r="D636" s="20" t="s">
        <v>1523</v>
      </c>
      <c r="E636" s="20">
        <v>434</v>
      </c>
      <c r="F636" s="20" t="s">
        <v>588</v>
      </c>
      <c r="G636" s="20" t="s">
        <v>1287</v>
      </c>
      <c r="H636" s="20" t="s">
        <v>1288</v>
      </c>
      <c r="I636" s="20"/>
      <c r="J636" s="20">
        <v>28</v>
      </c>
      <c r="K636" s="20">
        <v>1</v>
      </c>
      <c r="L636" s="20" t="s">
        <v>13</v>
      </c>
      <c r="M636" s="20"/>
      <c r="N636" s="20"/>
      <c r="O636" s="20">
        <v>13</v>
      </c>
      <c r="P636" s="20" t="s">
        <v>25</v>
      </c>
      <c r="Q636" s="20" t="s">
        <v>784</v>
      </c>
      <c r="R636" s="20" t="str">
        <f t="shared" si="30"/>
        <v>JARRA PATTY-BLANCO</v>
      </c>
      <c r="S636" s="19">
        <f t="shared" si="31"/>
        <v>0</v>
      </c>
      <c r="T636" s="19">
        <f t="shared" si="32"/>
        <v>28</v>
      </c>
      <c r="U636" s="19"/>
      <c r="V636" s="19"/>
      <c r="W636" s="19"/>
      <c r="X636" s="19"/>
      <c r="Y636" s="19"/>
    </row>
    <row r="637" spans="1:25" ht="12" hidden="1" customHeight="1" thickBot="1" x14ac:dyDescent="0.35">
      <c r="A637" s="20">
        <v>2</v>
      </c>
      <c r="B637" s="20" t="s">
        <v>1285</v>
      </c>
      <c r="C637" s="20" t="s">
        <v>1457</v>
      </c>
      <c r="D637" s="20" t="s">
        <v>1794</v>
      </c>
      <c r="E637" s="20">
        <v>435</v>
      </c>
      <c r="F637" s="20" t="s">
        <v>589</v>
      </c>
      <c r="G637" s="20" t="s">
        <v>1287</v>
      </c>
      <c r="H637" s="20" t="s">
        <v>1288</v>
      </c>
      <c r="I637" s="20"/>
      <c r="J637" s="20">
        <v>5</v>
      </c>
      <c r="K637" s="20">
        <v>1</v>
      </c>
      <c r="L637" s="20" t="s">
        <v>13</v>
      </c>
      <c r="M637" s="20"/>
      <c r="N637" s="20"/>
      <c r="O637" s="20">
        <v>13</v>
      </c>
      <c r="P637" s="20" t="s">
        <v>25</v>
      </c>
      <c r="Q637" s="20" t="s">
        <v>904</v>
      </c>
      <c r="R637" s="20" t="str">
        <f t="shared" si="30"/>
        <v>MANTEQUILLERO PATTY-BLANCO</v>
      </c>
      <c r="S637" s="19">
        <f t="shared" si="31"/>
        <v>0</v>
      </c>
      <c r="T637" s="19">
        <f t="shared" si="32"/>
        <v>5</v>
      </c>
      <c r="U637" s="19"/>
      <c r="V637" s="19"/>
      <c r="W637" s="19"/>
      <c r="X637" s="19"/>
      <c r="Y637" s="19"/>
    </row>
    <row r="638" spans="1:25" ht="12" hidden="1" customHeight="1" thickBot="1" x14ac:dyDescent="0.35">
      <c r="A638" s="20">
        <v>2</v>
      </c>
      <c r="B638" s="20" t="s">
        <v>1285</v>
      </c>
      <c r="C638" s="20" t="s">
        <v>1457</v>
      </c>
      <c r="D638" s="20" t="s">
        <v>1523</v>
      </c>
      <c r="E638" s="20">
        <v>436</v>
      </c>
      <c r="F638" s="20" t="s">
        <v>590</v>
      </c>
      <c r="G638" s="20" t="s">
        <v>1287</v>
      </c>
      <c r="H638" s="20" t="s">
        <v>1288</v>
      </c>
      <c r="I638" s="20"/>
      <c r="J638" s="20">
        <v>15</v>
      </c>
      <c r="K638" s="20">
        <v>1</v>
      </c>
      <c r="L638" s="20" t="s">
        <v>13</v>
      </c>
      <c r="M638" s="20"/>
      <c r="N638" s="20"/>
      <c r="O638" s="20">
        <v>10</v>
      </c>
      <c r="P638" s="20" t="s">
        <v>26</v>
      </c>
      <c r="Q638" s="20" t="s">
        <v>905</v>
      </c>
      <c r="R638" s="20" t="str">
        <f t="shared" si="30"/>
        <v>PLATOS PATTY-AMARILLO</v>
      </c>
      <c r="S638" s="19">
        <f t="shared" si="31"/>
        <v>0</v>
      </c>
      <c r="T638" s="19">
        <f t="shared" si="32"/>
        <v>15</v>
      </c>
      <c r="U638" s="19"/>
      <c r="V638" s="19"/>
      <c r="W638" s="19"/>
      <c r="X638" s="19"/>
      <c r="Y638" s="19"/>
    </row>
    <row r="639" spans="1:25" ht="12" hidden="1" customHeight="1" thickBot="1" x14ac:dyDescent="0.35">
      <c r="A639" s="20">
        <v>2</v>
      </c>
      <c r="B639" s="20" t="s">
        <v>1285</v>
      </c>
      <c r="C639" s="20" t="s">
        <v>1457</v>
      </c>
      <c r="D639" s="20" t="s">
        <v>1523</v>
      </c>
      <c r="E639" s="20">
        <v>437</v>
      </c>
      <c r="F639" s="20" t="s">
        <v>591</v>
      </c>
      <c r="G639" s="20" t="s">
        <v>1287</v>
      </c>
      <c r="H639" s="20" t="s">
        <v>1288</v>
      </c>
      <c r="I639" s="20"/>
      <c r="J639" s="20">
        <v>15</v>
      </c>
      <c r="K639" s="20">
        <v>1</v>
      </c>
      <c r="L639" s="20" t="s">
        <v>13</v>
      </c>
      <c r="M639" s="20"/>
      <c r="N639" s="20"/>
      <c r="O639" s="20">
        <v>11</v>
      </c>
      <c r="P639" s="20" t="s">
        <v>1207</v>
      </c>
      <c r="Q639" s="20" t="s">
        <v>785</v>
      </c>
      <c r="R639" s="20" t="str">
        <f t="shared" si="30"/>
        <v>PLATOS PATTY-ANARANJADO</v>
      </c>
      <c r="S639" s="19">
        <f t="shared" si="31"/>
        <v>0</v>
      </c>
      <c r="T639" s="19">
        <f t="shared" si="32"/>
        <v>15</v>
      </c>
      <c r="U639" s="19"/>
      <c r="V639" s="19"/>
      <c r="W639" s="19"/>
      <c r="X639" s="19"/>
      <c r="Y639" s="19"/>
    </row>
    <row r="640" spans="1:25" ht="12" hidden="1" customHeight="1" thickBot="1" x14ac:dyDescent="0.35">
      <c r="A640" s="20">
        <v>2</v>
      </c>
      <c r="B640" s="20" t="s">
        <v>1285</v>
      </c>
      <c r="C640" s="20" t="s">
        <v>1457</v>
      </c>
      <c r="D640" s="20" t="s">
        <v>1523</v>
      </c>
      <c r="E640" s="20">
        <v>438</v>
      </c>
      <c r="F640" s="20" t="s">
        <v>592</v>
      </c>
      <c r="G640" s="20" t="s">
        <v>1287</v>
      </c>
      <c r="H640" s="20" t="s">
        <v>1288</v>
      </c>
      <c r="I640" s="20"/>
      <c r="J640" s="20">
        <v>15</v>
      </c>
      <c r="K640" s="20">
        <v>1</v>
      </c>
      <c r="L640" s="20" t="s">
        <v>13</v>
      </c>
      <c r="M640" s="20"/>
      <c r="N640" s="20"/>
      <c r="O640" s="20">
        <v>16</v>
      </c>
      <c r="P640" s="20" t="s">
        <v>1212</v>
      </c>
      <c r="Q640" s="20" t="s">
        <v>786</v>
      </c>
      <c r="R640" s="20" t="str">
        <f t="shared" si="30"/>
        <v>PLATOS PATTY-LILA BEBE</v>
      </c>
      <c r="S640" s="19">
        <f t="shared" si="31"/>
        <v>0</v>
      </c>
      <c r="T640" s="19">
        <f t="shared" si="32"/>
        <v>15</v>
      </c>
      <c r="U640" s="19"/>
      <c r="V640" s="19"/>
      <c r="W640" s="19"/>
      <c r="X640" s="19"/>
      <c r="Y640" s="19"/>
    </row>
    <row r="641" spans="1:25" ht="12" hidden="1" customHeight="1" thickBot="1" x14ac:dyDescent="0.35">
      <c r="A641" s="20">
        <v>2</v>
      </c>
      <c r="B641" s="20" t="s">
        <v>1285</v>
      </c>
      <c r="C641" s="20" t="s">
        <v>1457</v>
      </c>
      <c r="D641" s="20" t="s">
        <v>1523</v>
      </c>
      <c r="E641" s="20">
        <v>439</v>
      </c>
      <c r="F641" s="20" t="s">
        <v>593</v>
      </c>
      <c r="G641" s="20" t="s">
        <v>1287</v>
      </c>
      <c r="H641" s="20" t="s">
        <v>1288</v>
      </c>
      <c r="I641" s="20"/>
      <c r="J641" s="20">
        <v>15</v>
      </c>
      <c r="K641" s="20">
        <v>1</v>
      </c>
      <c r="L641" s="20" t="s">
        <v>13</v>
      </c>
      <c r="M641" s="20"/>
      <c r="N641" s="20"/>
      <c r="O641" s="20">
        <v>20</v>
      </c>
      <c r="P641" s="20" t="s">
        <v>1217</v>
      </c>
      <c r="Q641" s="20" t="s">
        <v>787</v>
      </c>
      <c r="R641" s="20" t="str">
        <f t="shared" si="30"/>
        <v>PLATOS PATTY-ROSADO</v>
      </c>
      <c r="S641" s="19">
        <f t="shared" si="31"/>
        <v>0</v>
      </c>
      <c r="T641" s="19">
        <f t="shared" si="32"/>
        <v>15</v>
      </c>
      <c r="U641" s="19"/>
      <c r="V641" s="19"/>
      <c r="W641" s="19"/>
      <c r="X641" s="19"/>
      <c r="Y641" s="19"/>
    </row>
    <row r="642" spans="1:25" ht="12" hidden="1" customHeight="1" thickBot="1" x14ac:dyDescent="0.35">
      <c r="A642" s="20">
        <v>2</v>
      </c>
      <c r="B642" s="20" t="s">
        <v>1285</v>
      </c>
      <c r="C642" s="20" t="s">
        <v>1457</v>
      </c>
      <c r="D642" s="20" t="s">
        <v>1523</v>
      </c>
      <c r="E642" s="20">
        <v>440</v>
      </c>
      <c r="F642" s="20" t="s">
        <v>594</v>
      </c>
      <c r="G642" s="20" t="s">
        <v>1287</v>
      </c>
      <c r="H642" s="20" t="s">
        <v>1288</v>
      </c>
      <c r="I642" s="20"/>
      <c r="J642" s="20">
        <v>15</v>
      </c>
      <c r="K642" s="20">
        <v>1</v>
      </c>
      <c r="L642" s="20" t="s">
        <v>13</v>
      </c>
      <c r="M642" s="20"/>
      <c r="N642" s="20"/>
      <c r="O642" s="20">
        <v>27</v>
      </c>
      <c r="P642" s="20" t="s">
        <v>1219</v>
      </c>
      <c r="Q642" s="20" t="s">
        <v>906</v>
      </c>
      <c r="R642" s="20" t="str">
        <f t="shared" ref="R642:R693" si="33">F642</f>
        <v>PLATOS PATTY-TURQUEZA</v>
      </c>
      <c r="S642" s="19">
        <f t="shared" ref="S642:S693" si="34">+I642</f>
        <v>0</v>
      </c>
      <c r="T642" s="19">
        <f t="shared" ref="T642:T693" si="35">+J642</f>
        <v>15</v>
      </c>
      <c r="U642" s="19"/>
      <c r="V642" s="19"/>
      <c r="W642" s="19"/>
      <c r="X642" s="19"/>
      <c r="Y642" s="19"/>
    </row>
    <row r="643" spans="1:25" ht="12" hidden="1" customHeight="1" thickBot="1" x14ac:dyDescent="0.35">
      <c r="A643" s="20">
        <v>2</v>
      </c>
      <c r="B643" s="20" t="s">
        <v>1285</v>
      </c>
      <c r="C643" s="20" t="s">
        <v>1457</v>
      </c>
      <c r="D643" s="20" t="s">
        <v>1523</v>
      </c>
      <c r="E643" s="20">
        <v>441</v>
      </c>
      <c r="F643" s="20" t="s">
        <v>595</v>
      </c>
      <c r="G643" s="20" t="s">
        <v>1287</v>
      </c>
      <c r="H643" s="20" t="s">
        <v>1288</v>
      </c>
      <c r="I643" s="20"/>
      <c r="J643" s="20">
        <v>15</v>
      </c>
      <c r="K643" s="20">
        <v>1</v>
      </c>
      <c r="L643" s="20" t="s">
        <v>13</v>
      </c>
      <c r="M643" s="20"/>
      <c r="N643" s="20"/>
      <c r="O643" s="20">
        <v>23</v>
      </c>
      <c r="P643" s="20" t="s">
        <v>1221</v>
      </c>
      <c r="Q643" s="20" t="s">
        <v>907</v>
      </c>
      <c r="R643" s="20" t="str">
        <f t="shared" si="33"/>
        <v>PLATOS PATTY-VERDE</v>
      </c>
      <c r="S643" s="19">
        <f t="shared" si="34"/>
        <v>0</v>
      </c>
      <c r="T643" s="19">
        <f t="shared" si="35"/>
        <v>15</v>
      </c>
      <c r="U643" s="19"/>
      <c r="V643" s="19"/>
      <c r="W643" s="19"/>
      <c r="X643" s="19"/>
      <c r="Y643" s="19"/>
    </row>
    <row r="644" spans="1:25" ht="12" hidden="1" customHeight="1" thickBot="1" x14ac:dyDescent="0.35">
      <c r="A644" s="20">
        <v>2</v>
      </c>
      <c r="B644" s="20" t="s">
        <v>1285</v>
      </c>
      <c r="C644" s="20" t="s">
        <v>1457</v>
      </c>
      <c r="D644" s="20" t="s">
        <v>1523</v>
      </c>
      <c r="E644" s="20">
        <v>442</v>
      </c>
      <c r="F644" s="20" t="s">
        <v>596</v>
      </c>
      <c r="G644" s="20" t="s">
        <v>1287</v>
      </c>
      <c r="H644" s="20" t="s">
        <v>1288</v>
      </c>
      <c r="I644" s="20"/>
      <c r="J644" s="20">
        <v>12</v>
      </c>
      <c r="K644" s="20">
        <v>1</v>
      </c>
      <c r="L644" s="20" t="s">
        <v>13</v>
      </c>
      <c r="M644" s="20"/>
      <c r="N644" s="20"/>
      <c r="O644" s="20">
        <v>10</v>
      </c>
      <c r="P644" s="20" t="s">
        <v>26</v>
      </c>
      <c r="Q644" s="20" t="s">
        <v>908</v>
      </c>
      <c r="R644" s="20" t="str">
        <f t="shared" si="33"/>
        <v>TAZAS PATTY-AMARILLO</v>
      </c>
      <c r="S644" s="19">
        <f t="shared" si="34"/>
        <v>0</v>
      </c>
      <c r="T644" s="19">
        <f t="shared" si="35"/>
        <v>12</v>
      </c>
      <c r="U644" s="19"/>
      <c r="V644" s="19"/>
      <c r="W644" s="19"/>
      <c r="X644" s="19"/>
      <c r="Y644" s="19"/>
    </row>
    <row r="645" spans="1:25" ht="12" hidden="1" customHeight="1" thickBot="1" x14ac:dyDescent="0.35">
      <c r="A645" s="20">
        <v>2</v>
      </c>
      <c r="B645" s="20" t="s">
        <v>1285</v>
      </c>
      <c r="C645" s="20" t="s">
        <v>1457</v>
      </c>
      <c r="D645" s="20" t="s">
        <v>1523</v>
      </c>
      <c r="E645" s="20">
        <v>443</v>
      </c>
      <c r="F645" s="20" t="s">
        <v>597</v>
      </c>
      <c r="G645" s="20" t="s">
        <v>1287</v>
      </c>
      <c r="H645" s="20" t="s">
        <v>1288</v>
      </c>
      <c r="I645" s="20"/>
      <c r="J645" s="20">
        <v>12</v>
      </c>
      <c r="K645" s="20">
        <v>1</v>
      </c>
      <c r="L645" s="20" t="s">
        <v>13</v>
      </c>
      <c r="M645" s="20"/>
      <c r="N645" s="20"/>
      <c r="O645" s="20">
        <v>11</v>
      </c>
      <c r="P645" s="20" t="s">
        <v>1207</v>
      </c>
      <c r="Q645" s="20" t="s">
        <v>909</v>
      </c>
      <c r="R645" s="20" t="str">
        <f t="shared" si="33"/>
        <v>TAZAS PATTY-ANARANJADO</v>
      </c>
      <c r="S645" s="19">
        <f t="shared" si="34"/>
        <v>0</v>
      </c>
      <c r="T645" s="19">
        <f t="shared" si="35"/>
        <v>12</v>
      </c>
      <c r="U645" s="19"/>
      <c r="V645" s="19"/>
      <c r="W645" s="19"/>
      <c r="X645" s="19"/>
      <c r="Y645" s="19"/>
    </row>
    <row r="646" spans="1:25" ht="12" hidden="1" customHeight="1" thickBot="1" x14ac:dyDescent="0.35">
      <c r="A646" s="20">
        <v>2</v>
      </c>
      <c r="B646" s="20" t="s">
        <v>1285</v>
      </c>
      <c r="C646" s="20" t="s">
        <v>1457</v>
      </c>
      <c r="D646" s="20" t="s">
        <v>1523</v>
      </c>
      <c r="E646" s="20">
        <v>444</v>
      </c>
      <c r="F646" s="20" t="s">
        <v>598</v>
      </c>
      <c r="G646" s="20" t="s">
        <v>1287</v>
      </c>
      <c r="H646" s="20" t="s">
        <v>1288</v>
      </c>
      <c r="I646" s="20"/>
      <c r="J646" s="20">
        <v>12</v>
      </c>
      <c r="K646" s="20">
        <v>1</v>
      </c>
      <c r="L646" s="20" t="s">
        <v>13</v>
      </c>
      <c r="M646" s="20"/>
      <c r="N646" s="20"/>
      <c r="O646" s="20">
        <v>16</v>
      </c>
      <c r="P646" s="20" t="s">
        <v>1212</v>
      </c>
      <c r="Q646" s="20" t="s">
        <v>910</v>
      </c>
      <c r="R646" s="20" t="str">
        <f t="shared" si="33"/>
        <v>TAZAS PATTY-LILA BEBE</v>
      </c>
      <c r="S646" s="19">
        <f t="shared" si="34"/>
        <v>0</v>
      </c>
      <c r="T646" s="19">
        <f t="shared" si="35"/>
        <v>12</v>
      </c>
      <c r="U646" s="19"/>
      <c r="V646" s="19"/>
      <c r="W646" s="19"/>
      <c r="X646" s="19"/>
      <c r="Y646" s="19"/>
    </row>
    <row r="647" spans="1:25" ht="12" hidden="1" customHeight="1" thickBot="1" x14ac:dyDescent="0.35">
      <c r="A647" s="20">
        <v>2</v>
      </c>
      <c r="B647" s="20" t="s">
        <v>1285</v>
      </c>
      <c r="C647" s="20" t="s">
        <v>1457</v>
      </c>
      <c r="D647" s="20" t="s">
        <v>1523</v>
      </c>
      <c r="E647" s="20">
        <v>445</v>
      </c>
      <c r="F647" s="20" t="s">
        <v>599</v>
      </c>
      <c r="G647" s="20" t="s">
        <v>1287</v>
      </c>
      <c r="H647" s="20" t="s">
        <v>1288</v>
      </c>
      <c r="I647" s="20"/>
      <c r="J647" s="20">
        <v>12</v>
      </c>
      <c r="K647" s="20">
        <v>1</v>
      </c>
      <c r="L647" s="20" t="s">
        <v>13</v>
      </c>
      <c r="M647" s="20"/>
      <c r="N647" s="20"/>
      <c r="O647" s="20">
        <v>20</v>
      </c>
      <c r="P647" s="20" t="s">
        <v>1217</v>
      </c>
      <c r="Q647" s="20" t="s">
        <v>854</v>
      </c>
      <c r="R647" s="20" t="str">
        <f t="shared" si="33"/>
        <v>TAZAS PATTY-ROSADO</v>
      </c>
      <c r="S647" s="19">
        <f t="shared" si="34"/>
        <v>0</v>
      </c>
      <c r="T647" s="19">
        <f t="shared" si="35"/>
        <v>12</v>
      </c>
      <c r="U647" s="19"/>
      <c r="V647" s="19"/>
      <c r="W647" s="19"/>
      <c r="X647" s="19"/>
      <c r="Y647" s="19"/>
    </row>
    <row r="648" spans="1:25" ht="12" hidden="1" customHeight="1" thickBot="1" x14ac:dyDescent="0.35">
      <c r="A648" s="20">
        <v>2</v>
      </c>
      <c r="B648" s="20" t="s">
        <v>1285</v>
      </c>
      <c r="C648" s="20" t="s">
        <v>1457</v>
      </c>
      <c r="D648" s="20" t="s">
        <v>1523</v>
      </c>
      <c r="E648" s="20">
        <v>446</v>
      </c>
      <c r="F648" s="20" t="s">
        <v>600</v>
      </c>
      <c r="G648" s="20" t="s">
        <v>1287</v>
      </c>
      <c r="H648" s="20" t="s">
        <v>1288</v>
      </c>
      <c r="I648" s="20"/>
      <c r="J648" s="20">
        <v>12</v>
      </c>
      <c r="K648" s="20">
        <v>1</v>
      </c>
      <c r="L648" s="20" t="s">
        <v>13</v>
      </c>
      <c r="M648" s="20"/>
      <c r="N648" s="20"/>
      <c r="O648" s="20">
        <v>27</v>
      </c>
      <c r="P648" s="20" t="s">
        <v>1219</v>
      </c>
      <c r="Q648" s="20" t="s">
        <v>778</v>
      </c>
      <c r="R648" s="20" t="str">
        <f t="shared" si="33"/>
        <v>TAZAS PATTY-TURQUEZA</v>
      </c>
      <c r="S648" s="19">
        <f t="shared" si="34"/>
        <v>0</v>
      </c>
      <c r="T648" s="19">
        <f t="shared" si="35"/>
        <v>12</v>
      </c>
      <c r="U648" s="19"/>
      <c r="V648" s="19"/>
      <c r="W648" s="19"/>
      <c r="X648" s="19"/>
      <c r="Y648" s="19"/>
    </row>
    <row r="649" spans="1:25" ht="12" hidden="1" customHeight="1" thickBot="1" x14ac:dyDescent="0.35">
      <c r="A649" s="20">
        <v>2</v>
      </c>
      <c r="B649" s="20" t="s">
        <v>1285</v>
      </c>
      <c r="C649" s="20" t="s">
        <v>1457</v>
      </c>
      <c r="D649" s="20" t="s">
        <v>1523</v>
      </c>
      <c r="E649" s="20">
        <v>447</v>
      </c>
      <c r="F649" s="20" t="s">
        <v>601</v>
      </c>
      <c r="G649" s="20" t="s">
        <v>1287</v>
      </c>
      <c r="H649" s="20" t="s">
        <v>1288</v>
      </c>
      <c r="I649" s="20"/>
      <c r="J649" s="20">
        <v>12</v>
      </c>
      <c r="K649" s="20">
        <v>1</v>
      </c>
      <c r="L649" s="20" t="s">
        <v>13</v>
      </c>
      <c r="M649" s="20"/>
      <c r="N649" s="20"/>
      <c r="O649" s="20">
        <v>23</v>
      </c>
      <c r="P649" s="20" t="s">
        <v>1221</v>
      </c>
      <c r="Q649" s="20" t="s">
        <v>779</v>
      </c>
      <c r="R649" s="20" t="str">
        <f t="shared" si="33"/>
        <v>TAZAS PATTY-VERDE</v>
      </c>
      <c r="S649" s="19">
        <f t="shared" si="34"/>
        <v>0</v>
      </c>
      <c r="T649" s="19">
        <f t="shared" si="35"/>
        <v>12</v>
      </c>
      <c r="U649" s="19"/>
      <c r="V649" s="19"/>
      <c r="W649" s="19"/>
      <c r="X649" s="19"/>
      <c r="Y649" s="19"/>
    </row>
    <row r="650" spans="1:25" ht="12" hidden="1" customHeight="1" thickBot="1" x14ac:dyDescent="0.35">
      <c r="A650" s="20">
        <v>2</v>
      </c>
      <c r="B650" s="20" t="s">
        <v>1285</v>
      </c>
      <c r="C650" s="20" t="s">
        <v>1524</v>
      </c>
      <c r="D650" s="20" t="s">
        <v>1525</v>
      </c>
      <c r="E650" s="20">
        <v>448</v>
      </c>
      <c r="F650" s="20" t="s">
        <v>602</v>
      </c>
      <c r="G650" s="20" t="s">
        <v>1287</v>
      </c>
      <c r="H650" s="20" t="s">
        <v>1288</v>
      </c>
      <c r="I650" s="20"/>
      <c r="J650" s="20">
        <v>28</v>
      </c>
      <c r="K650" s="20">
        <v>2</v>
      </c>
      <c r="L650" s="20" t="s">
        <v>12</v>
      </c>
      <c r="M650" s="20"/>
      <c r="N650" s="20"/>
      <c r="O650" s="20">
        <v>24</v>
      </c>
      <c r="P650" s="20" t="s">
        <v>1208</v>
      </c>
      <c r="Q650" s="20" t="s">
        <v>911</v>
      </c>
      <c r="R650" s="20" t="str">
        <f t="shared" si="33"/>
        <v>CABEZA FABIOLA-CARNE</v>
      </c>
      <c r="S650" s="19">
        <f t="shared" si="34"/>
        <v>0</v>
      </c>
      <c r="T650" s="19">
        <f t="shared" si="35"/>
        <v>28</v>
      </c>
      <c r="U650" s="19"/>
      <c r="V650" s="19"/>
      <c r="W650" s="19"/>
      <c r="X650" s="19"/>
      <c r="Y650" s="19"/>
    </row>
    <row r="651" spans="1:25" ht="12" hidden="1" customHeight="1" thickBot="1" x14ac:dyDescent="0.35">
      <c r="A651" s="20">
        <v>2</v>
      </c>
      <c r="B651" s="20" t="s">
        <v>1285</v>
      </c>
      <c r="C651" s="20" t="s">
        <v>1524</v>
      </c>
      <c r="D651" s="20" t="s">
        <v>1525</v>
      </c>
      <c r="E651" s="20">
        <v>449</v>
      </c>
      <c r="F651" s="20" t="s">
        <v>1527</v>
      </c>
      <c r="G651" s="20" t="s">
        <v>1287</v>
      </c>
      <c r="H651" s="20" t="s">
        <v>1288</v>
      </c>
      <c r="I651" s="20"/>
      <c r="J651" s="20">
        <v>28</v>
      </c>
      <c r="K651" s="20">
        <v>2</v>
      </c>
      <c r="L651" s="20" t="s">
        <v>12</v>
      </c>
      <c r="M651" s="20"/>
      <c r="N651" s="20"/>
      <c r="O651" s="20">
        <v>10</v>
      </c>
      <c r="P651" s="20" t="s">
        <v>26</v>
      </c>
      <c r="Q651" s="20" t="s">
        <v>1526</v>
      </c>
      <c r="R651" s="20" t="str">
        <f t="shared" si="33"/>
        <v>CABEZA FABIOLA-CARNE PINTADO AMARILLO</v>
      </c>
      <c r="S651" s="19">
        <f t="shared" si="34"/>
        <v>0</v>
      </c>
      <c r="T651" s="19">
        <f t="shared" si="35"/>
        <v>28</v>
      </c>
      <c r="U651" s="19"/>
      <c r="V651" s="19"/>
      <c r="W651" s="19"/>
      <c r="X651" s="19"/>
      <c r="Y651" s="19"/>
    </row>
    <row r="652" spans="1:25" ht="12" hidden="1" customHeight="1" thickBot="1" x14ac:dyDescent="0.35">
      <c r="A652" s="20">
        <v>2</v>
      </c>
      <c r="B652" s="20" t="s">
        <v>1285</v>
      </c>
      <c r="C652" s="20" t="s">
        <v>1524</v>
      </c>
      <c r="D652" s="20" t="s">
        <v>1525</v>
      </c>
      <c r="E652" s="20">
        <v>450</v>
      </c>
      <c r="F652" s="20" t="s">
        <v>1529</v>
      </c>
      <c r="G652" s="20" t="s">
        <v>1287</v>
      </c>
      <c r="H652" s="20" t="s">
        <v>1288</v>
      </c>
      <c r="I652" s="20"/>
      <c r="J652" s="20">
        <v>28</v>
      </c>
      <c r="K652" s="20">
        <v>2</v>
      </c>
      <c r="L652" s="20" t="s">
        <v>12</v>
      </c>
      <c r="M652" s="20"/>
      <c r="N652" s="20"/>
      <c r="O652" s="20">
        <v>11</v>
      </c>
      <c r="P652" s="20" t="s">
        <v>1207</v>
      </c>
      <c r="Q652" s="20" t="s">
        <v>1528</v>
      </c>
      <c r="R652" s="20" t="str">
        <f t="shared" si="33"/>
        <v>CABEZA FABIOLA-CARNE PINTADO ANARANJADO</v>
      </c>
      <c r="S652" s="19">
        <f t="shared" si="34"/>
        <v>0</v>
      </c>
      <c r="T652" s="19">
        <f t="shared" si="35"/>
        <v>28</v>
      </c>
      <c r="U652" s="19"/>
      <c r="V652" s="19"/>
      <c r="W652" s="19"/>
      <c r="X652" s="19"/>
      <c r="Y652" s="19"/>
    </row>
    <row r="653" spans="1:25" ht="12" hidden="1" customHeight="1" thickBot="1" x14ac:dyDescent="0.35">
      <c r="A653" s="20">
        <v>2</v>
      </c>
      <c r="B653" s="20" t="s">
        <v>1285</v>
      </c>
      <c r="C653" s="20" t="s">
        <v>1524</v>
      </c>
      <c r="D653" s="20" t="s">
        <v>1525</v>
      </c>
      <c r="E653" s="20">
        <v>451</v>
      </c>
      <c r="F653" s="20" t="s">
        <v>1531</v>
      </c>
      <c r="G653" s="20" t="s">
        <v>1287</v>
      </c>
      <c r="H653" s="20" t="s">
        <v>1288</v>
      </c>
      <c r="I653" s="20"/>
      <c r="J653" s="20">
        <v>28</v>
      </c>
      <c r="K653" s="20">
        <v>2</v>
      </c>
      <c r="L653" s="20" t="s">
        <v>12</v>
      </c>
      <c r="M653" s="20"/>
      <c r="N653" s="20"/>
      <c r="O653" s="20">
        <v>24</v>
      </c>
      <c r="P653" s="20" t="s">
        <v>1208</v>
      </c>
      <c r="Q653" s="20" t="s">
        <v>1530</v>
      </c>
      <c r="R653" s="20" t="str">
        <f t="shared" si="33"/>
        <v>CABEZA FABIOLA-CARNE PINTADO MARRON</v>
      </c>
      <c r="S653" s="19">
        <f t="shared" si="34"/>
        <v>0</v>
      </c>
      <c r="T653" s="19">
        <f t="shared" si="35"/>
        <v>28</v>
      </c>
      <c r="U653" s="19"/>
      <c r="V653" s="19"/>
      <c r="W653" s="19"/>
      <c r="X653" s="19"/>
      <c r="Y653" s="19"/>
    </row>
    <row r="654" spans="1:25" ht="12" hidden="1" customHeight="1" thickBot="1" x14ac:dyDescent="0.35">
      <c r="A654" s="20">
        <v>2</v>
      </c>
      <c r="B654" s="20" t="s">
        <v>1285</v>
      </c>
      <c r="C654" s="20" t="s">
        <v>1524</v>
      </c>
      <c r="D654" s="20" t="s">
        <v>1525</v>
      </c>
      <c r="E654" s="20">
        <v>452</v>
      </c>
      <c r="F654" s="20" t="s">
        <v>603</v>
      </c>
      <c r="G654" s="20" t="s">
        <v>1287</v>
      </c>
      <c r="H654" s="20" t="s">
        <v>1288</v>
      </c>
      <c r="I654" s="20"/>
      <c r="J654" s="20">
        <v>21</v>
      </c>
      <c r="K654" s="20">
        <v>2</v>
      </c>
      <c r="L654" s="20" t="s">
        <v>12</v>
      </c>
      <c r="M654" s="20"/>
      <c r="N654" s="20"/>
      <c r="O654" s="20">
        <v>24</v>
      </c>
      <c r="P654" s="20" t="s">
        <v>1208</v>
      </c>
      <c r="Q654" s="20" t="s">
        <v>912</v>
      </c>
      <c r="R654" s="20" t="str">
        <f t="shared" si="33"/>
        <v>CUERPO FABIOLA-CARNE</v>
      </c>
      <c r="S654" s="19">
        <f t="shared" si="34"/>
        <v>0</v>
      </c>
      <c r="T654" s="19">
        <f t="shared" si="35"/>
        <v>21</v>
      </c>
      <c r="U654" s="19"/>
      <c r="V654" s="19"/>
      <c r="W654" s="19"/>
      <c r="X654" s="19"/>
      <c r="Y654" s="19"/>
    </row>
    <row r="655" spans="1:25" ht="12" hidden="1" customHeight="1" thickBot="1" x14ac:dyDescent="0.35">
      <c r="A655" s="20">
        <v>2</v>
      </c>
      <c r="B655" s="20" t="s">
        <v>1285</v>
      </c>
      <c r="C655" s="20" t="s">
        <v>1524</v>
      </c>
      <c r="D655" s="20" t="s">
        <v>1525</v>
      </c>
      <c r="E655" s="20">
        <v>453</v>
      </c>
      <c r="F655" s="20" t="s">
        <v>604</v>
      </c>
      <c r="G655" s="20" t="s">
        <v>1287</v>
      </c>
      <c r="H655" s="20" t="s">
        <v>1288</v>
      </c>
      <c r="I655" s="20"/>
      <c r="J655" s="20">
        <v>21</v>
      </c>
      <c r="K655" s="20">
        <v>2</v>
      </c>
      <c r="L655" s="20" t="s">
        <v>12</v>
      </c>
      <c r="M655" s="20"/>
      <c r="N655" s="20"/>
      <c r="O655" s="20">
        <v>24</v>
      </c>
      <c r="P655" s="20" t="s">
        <v>1208</v>
      </c>
      <c r="Q655" s="20" t="s">
        <v>913</v>
      </c>
      <c r="R655" s="20" t="str">
        <f t="shared" si="33"/>
        <v>CUERPO FABIOLA-CARNE PERFORADO</v>
      </c>
      <c r="S655" s="19">
        <f t="shared" si="34"/>
        <v>0</v>
      </c>
      <c r="T655" s="19">
        <f t="shared" si="35"/>
        <v>21</v>
      </c>
      <c r="U655" s="19"/>
      <c r="V655" s="19"/>
      <c r="W655" s="19"/>
      <c r="X655" s="19"/>
      <c r="Y655" s="19"/>
    </row>
    <row r="656" spans="1:25" ht="12" hidden="1" customHeight="1" thickBot="1" x14ac:dyDescent="0.35">
      <c r="A656" s="20">
        <v>2</v>
      </c>
      <c r="B656" s="20" t="s">
        <v>1285</v>
      </c>
      <c r="C656" s="20" t="s">
        <v>1524</v>
      </c>
      <c r="D656" s="20" t="s">
        <v>1525</v>
      </c>
      <c r="E656" s="20">
        <v>454</v>
      </c>
      <c r="F656" s="20" t="s">
        <v>605</v>
      </c>
      <c r="G656" s="20" t="s">
        <v>1287</v>
      </c>
      <c r="H656" s="20" t="s">
        <v>1288</v>
      </c>
      <c r="I656" s="20"/>
      <c r="J656" s="20">
        <v>38</v>
      </c>
      <c r="K656" s="20">
        <v>2</v>
      </c>
      <c r="L656" s="20" t="s">
        <v>12</v>
      </c>
      <c r="M656" s="20"/>
      <c r="N656" s="20"/>
      <c r="O656" s="20">
        <v>24</v>
      </c>
      <c r="P656" s="20" t="s">
        <v>1208</v>
      </c>
      <c r="Q656" s="20" t="s">
        <v>914</v>
      </c>
      <c r="R656" s="20" t="str">
        <f t="shared" si="33"/>
        <v>EXTREMIDADES FABIOLA-CARNE</v>
      </c>
      <c r="S656" s="19">
        <f t="shared" si="34"/>
        <v>0</v>
      </c>
      <c r="T656" s="19">
        <f t="shared" si="35"/>
        <v>38</v>
      </c>
      <c r="U656" s="19"/>
      <c r="V656" s="19"/>
      <c r="W656" s="19"/>
      <c r="X656" s="19"/>
      <c r="Y656" s="19"/>
    </row>
    <row r="657" spans="1:25" ht="12" hidden="1" customHeight="1" thickBot="1" x14ac:dyDescent="0.35">
      <c r="A657" s="20">
        <v>2</v>
      </c>
      <c r="B657" s="20" t="s">
        <v>1285</v>
      </c>
      <c r="C657" s="20" t="s">
        <v>1413</v>
      </c>
      <c r="D657" s="20" t="s">
        <v>2006</v>
      </c>
      <c r="E657" s="20">
        <v>455</v>
      </c>
      <c r="F657" s="20" t="s">
        <v>1154</v>
      </c>
      <c r="G657" s="20" t="s">
        <v>1287</v>
      </c>
      <c r="H657" s="20" t="s">
        <v>1288</v>
      </c>
      <c r="I657" s="20">
        <v>8</v>
      </c>
      <c r="J657" s="20">
        <v>15</v>
      </c>
      <c r="K657" s="20">
        <v>1</v>
      </c>
      <c r="L657" s="20" t="s">
        <v>13</v>
      </c>
      <c r="M657" s="20"/>
      <c r="N657" s="20"/>
      <c r="O657" s="20">
        <v>10</v>
      </c>
      <c r="P657" s="20" t="s">
        <v>24</v>
      </c>
      <c r="Q657" s="20" t="s">
        <v>1532</v>
      </c>
      <c r="R657" s="20" t="str">
        <f t="shared" si="33"/>
        <v>ACCESORIOS PLAYEROS-AZUL</v>
      </c>
      <c r="S657" s="19">
        <f t="shared" si="34"/>
        <v>8</v>
      </c>
      <c r="T657" s="19">
        <f t="shared" si="35"/>
        <v>15</v>
      </c>
      <c r="U657" s="19">
        <v>110</v>
      </c>
      <c r="V657" s="19"/>
      <c r="W657" s="19"/>
      <c r="X657" s="19"/>
      <c r="Y657" s="19"/>
    </row>
    <row r="658" spans="1:25" ht="12" hidden="1" customHeight="1" thickBot="1" x14ac:dyDescent="0.35">
      <c r="A658" s="20">
        <v>2</v>
      </c>
      <c r="B658" s="20" t="s">
        <v>1285</v>
      </c>
      <c r="C658" s="20" t="s">
        <v>1457</v>
      </c>
      <c r="D658" s="20" t="s">
        <v>1533</v>
      </c>
      <c r="E658" s="20">
        <v>459</v>
      </c>
      <c r="F658" s="20" t="s">
        <v>606</v>
      </c>
      <c r="G658" s="20" t="s">
        <v>1287</v>
      </c>
      <c r="H658" s="20" t="s">
        <v>1288</v>
      </c>
      <c r="I658" s="20"/>
      <c r="J658" s="20">
        <v>2</v>
      </c>
      <c r="K658" s="20">
        <v>1</v>
      </c>
      <c r="L658" s="20" t="s">
        <v>13</v>
      </c>
      <c r="M658" s="20"/>
      <c r="N658" s="20"/>
      <c r="O658" s="20">
        <v>13</v>
      </c>
      <c r="P658" s="20" t="s">
        <v>25</v>
      </c>
      <c r="Q658" s="20" t="s">
        <v>788</v>
      </c>
      <c r="R658" s="20" t="str">
        <f t="shared" si="33"/>
        <v>ASA TETERA JANETH-BLANCO</v>
      </c>
      <c r="S658" s="19">
        <f t="shared" si="34"/>
        <v>0</v>
      </c>
      <c r="T658" s="19">
        <f t="shared" si="35"/>
        <v>2</v>
      </c>
      <c r="U658" s="19"/>
      <c r="V658" s="19"/>
      <c r="W658" s="19"/>
      <c r="X658" s="19"/>
      <c r="Y658" s="19"/>
    </row>
    <row r="659" spans="1:25" ht="12" hidden="1" customHeight="1" thickBot="1" x14ac:dyDescent="0.35">
      <c r="A659" s="20">
        <v>2</v>
      </c>
      <c r="B659" s="20" t="s">
        <v>1285</v>
      </c>
      <c r="C659" s="20" t="s">
        <v>1457</v>
      </c>
      <c r="D659" s="20" t="s">
        <v>1533</v>
      </c>
      <c r="E659" s="20">
        <v>460</v>
      </c>
      <c r="F659" s="20" t="s">
        <v>607</v>
      </c>
      <c r="G659" s="20" t="s">
        <v>1287</v>
      </c>
      <c r="H659" s="20" t="s">
        <v>1288</v>
      </c>
      <c r="I659" s="20"/>
      <c r="J659" s="20">
        <v>8</v>
      </c>
      <c r="K659" s="20">
        <v>1</v>
      </c>
      <c r="L659" s="20" t="s">
        <v>13</v>
      </c>
      <c r="M659" s="20"/>
      <c r="N659" s="20"/>
      <c r="O659" s="20">
        <v>13</v>
      </c>
      <c r="P659" s="20" t="s">
        <v>25</v>
      </c>
      <c r="Q659" s="20" t="s">
        <v>789</v>
      </c>
      <c r="R659" s="20" t="str">
        <f t="shared" si="33"/>
        <v>BASE TETERA JANETH-BLANCO</v>
      </c>
      <c r="S659" s="19">
        <f t="shared" si="34"/>
        <v>0</v>
      </c>
      <c r="T659" s="19">
        <f t="shared" si="35"/>
        <v>8</v>
      </c>
      <c r="U659" s="19"/>
      <c r="V659" s="19"/>
      <c r="W659" s="19"/>
      <c r="X659" s="19"/>
      <c r="Y659" s="19"/>
    </row>
    <row r="660" spans="1:25" ht="12" hidden="1" customHeight="1" thickBot="1" x14ac:dyDescent="0.35">
      <c r="A660" s="20">
        <v>2</v>
      </c>
      <c r="B660" s="20" t="s">
        <v>1285</v>
      </c>
      <c r="C660" s="20" t="s">
        <v>1457</v>
      </c>
      <c r="D660" s="20" t="s">
        <v>1533</v>
      </c>
      <c r="E660" s="20">
        <v>461</v>
      </c>
      <c r="F660" s="20" t="s">
        <v>608</v>
      </c>
      <c r="G660" s="20" t="s">
        <v>1287</v>
      </c>
      <c r="H660" s="20" t="s">
        <v>1288</v>
      </c>
      <c r="I660" s="20"/>
      <c r="J660" s="20">
        <v>17</v>
      </c>
      <c r="K660" s="20">
        <v>1</v>
      </c>
      <c r="L660" s="20" t="s">
        <v>13</v>
      </c>
      <c r="M660" s="20"/>
      <c r="N660" s="20"/>
      <c r="O660" s="20">
        <v>10</v>
      </c>
      <c r="P660" s="20" t="s">
        <v>26</v>
      </c>
      <c r="Q660" s="20" t="s">
        <v>790</v>
      </c>
      <c r="R660" s="20" t="str">
        <f t="shared" si="33"/>
        <v>CACEROLA JANETH-AMARILLO</v>
      </c>
      <c r="S660" s="19">
        <f t="shared" si="34"/>
        <v>0</v>
      </c>
      <c r="T660" s="19">
        <f t="shared" si="35"/>
        <v>17</v>
      </c>
      <c r="U660" s="19"/>
      <c r="V660" s="19"/>
      <c r="W660" s="19"/>
      <c r="X660" s="19"/>
      <c r="Y660" s="19"/>
    </row>
    <row r="661" spans="1:25" ht="12" hidden="1" customHeight="1" thickBot="1" x14ac:dyDescent="0.35">
      <c r="A661" s="20">
        <v>2</v>
      </c>
      <c r="B661" s="20" t="s">
        <v>1285</v>
      </c>
      <c r="C661" s="20" t="s">
        <v>1457</v>
      </c>
      <c r="D661" s="20" t="s">
        <v>1533</v>
      </c>
      <c r="E661" s="20">
        <v>462</v>
      </c>
      <c r="F661" s="20" t="s">
        <v>609</v>
      </c>
      <c r="G661" s="20" t="s">
        <v>1287</v>
      </c>
      <c r="H661" s="20" t="s">
        <v>1288</v>
      </c>
      <c r="I661" s="20"/>
      <c r="J661" s="20">
        <v>17</v>
      </c>
      <c r="K661" s="20">
        <v>1</v>
      </c>
      <c r="L661" s="20" t="s">
        <v>13</v>
      </c>
      <c r="M661" s="20"/>
      <c r="N661" s="20"/>
      <c r="O661" s="20">
        <v>11</v>
      </c>
      <c r="P661" s="20" t="s">
        <v>1207</v>
      </c>
      <c r="Q661" s="20" t="s">
        <v>791</v>
      </c>
      <c r="R661" s="20" t="str">
        <f t="shared" si="33"/>
        <v>CACEROLA JANETH-ANARANJADO</v>
      </c>
      <c r="S661" s="19">
        <f t="shared" si="34"/>
        <v>0</v>
      </c>
      <c r="T661" s="19">
        <f t="shared" si="35"/>
        <v>17</v>
      </c>
      <c r="U661" s="19"/>
      <c r="V661" s="19"/>
      <c r="W661" s="19"/>
      <c r="X661" s="19"/>
      <c r="Y661" s="19"/>
    </row>
    <row r="662" spans="1:25" ht="12" hidden="1" customHeight="1" thickBot="1" x14ac:dyDescent="0.35">
      <c r="A662" s="20">
        <v>2</v>
      </c>
      <c r="B662" s="20" t="s">
        <v>1285</v>
      </c>
      <c r="C662" s="20" t="s">
        <v>1457</v>
      </c>
      <c r="D662" s="20" t="s">
        <v>1533</v>
      </c>
      <c r="E662" s="20">
        <v>463</v>
      </c>
      <c r="F662" s="20" t="s">
        <v>610</v>
      </c>
      <c r="G662" s="20" t="s">
        <v>1287</v>
      </c>
      <c r="H662" s="20" t="s">
        <v>1288</v>
      </c>
      <c r="I662" s="20"/>
      <c r="J662" s="20">
        <v>17</v>
      </c>
      <c r="K662" s="20">
        <v>1</v>
      </c>
      <c r="L662" s="20" t="s">
        <v>13</v>
      </c>
      <c r="M662" s="20"/>
      <c r="N662" s="20"/>
      <c r="O662" s="20">
        <v>16</v>
      </c>
      <c r="P662" s="20" t="s">
        <v>1212</v>
      </c>
      <c r="Q662" s="20" t="s">
        <v>792</v>
      </c>
      <c r="R662" s="20" t="str">
        <f t="shared" si="33"/>
        <v>CACEROLA JANETH-LILA BEBE</v>
      </c>
      <c r="S662" s="19">
        <f t="shared" si="34"/>
        <v>0</v>
      </c>
      <c r="T662" s="19">
        <f t="shared" si="35"/>
        <v>17</v>
      </c>
      <c r="U662" s="19"/>
      <c r="V662" s="19"/>
      <c r="W662" s="19"/>
      <c r="X662" s="19"/>
      <c r="Y662" s="19"/>
    </row>
    <row r="663" spans="1:25" ht="12" hidden="1" customHeight="1" thickBot="1" x14ac:dyDescent="0.35">
      <c r="A663" s="20">
        <v>2</v>
      </c>
      <c r="B663" s="20" t="s">
        <v>1285</v>
      </c>
      <c r="C663" s="20" t="s">
        <v>1457</v>
      </c>
      <c r="D663" s="20" t="s">
        <v>1533</v>
      </c>
      <c r="E663" s="20">
        <v>464</v>
      </c>
      <c r="F663" s="20" t="s">
        <v>611</v>
      </c>
      <c r="G663" s="20" t="s">
        <v>1287</v>
      </c>
      <c r="H663" s="20" t="s">
        <v>1288</v>
      </c>
      <c r="I663" s="20"/>
      <c r="J663" s="20">
        <v>17</v>
      </c>
      <c r="K663" s="20">
        <v>1</v>
      </c>
      <c r="L663" s="20" t="s">
        <v>13</v>
      </c>
      <c r="M663" s="20"/>
      <c r="N663" s="20"/>
      <c r="O663" s="20">
        <v>20</v>
      </c>
      <c r="P663" s="20" t="s">
        <v>1217</v>
      </c>
      <c r="Q663" s="20" t="s">
        <v>793</v>
      </c>
      <c r="R663" s="20" t="str">
        <f t="shared" si="33"/>
        <v>CACEROLA JANETH-ROSADO</v>
      </c>
      <c r="S663" s="19">
        <f t="shared" si="34"/>
        <v>0</v>
      </c>
      <c r="T663" s="19">
        <f t="shared" si="35"/>
        <v>17</v>
      </c>
      <c r="U663" s="19"/>
      <c r="V663" s="19"/>
      <c r="W663" s="19"/>
      <c r="X663" s="19"/>
      <c r="Y663" s="19"/>
    </row>
    <row r="664" spans="1:25" ht="12" hidden="1" customHeight="1" thickBot="1" x14ac:dyDescent="0.35">
      <c r="A664" s="20">
        <v>2</v>
      </c>
      <c r="B664" s="20" t="s">
        <v>1285</v>
      </c>
      <c r="C664" s="20" t="s">
        <v>1457</v>
      </c>
      <c r="D664" s="20" t="s">
        <v>1533</v>
      </c>
      <c r="E664" s="20">
        <v>465</v>
      </c>
      <c r="F664" s="20" t="s">
        <v>612</v>
      </c>
      <c r="G664" s="20" t="s">
        <v>1287</v>
      </c>
      <c r="H664" s="20" t="s">
        <v>1288</v>
      </c>
      <c r="I664" s="20"/>
      <c r="J664" s="20">
        <v>17</v>
      </c>
      <c r="K664" s="20">
        <v>1</v>
      </c>
      <c r="L664" s="20" t="s">
        <v>13</v>
      </c>
      <c r="M664" s="20"/>
      <c r="N664" s="20"/>
      <c r="O664" s="20">
        <v>27</v>
      </c>
      <c r="P664" s="20" t="s">
        <v>1219</v>
      </c>
      <c r="Q664" s="20" t="s">
        <v>794</v>
      </c>
      <c r="R664" s="20" t="str">
        <f t="shared" si="33"/>
        <v>CACEROLA JANETH-TURQUEZA</v>
      </c>
      <c r="S664" s="19">
        <f t="shared" si="34"/>
        <v>0</v>
      </c>
      <c r="T664" s="19">
        <f t="shared" si="35"/>
        <v>17</v>
      </c>
      <c r="U664" s="19"/>
      <c r="V664" s="19"/>
      <c r="W664" s="19"/>
      <c r="X664" s="19"/>
      <c r="Y664" s="19"/>
    </row>
    <row r="665" spans="1:25" ht="12" hidden="1" customHeight="1" thickBot="1" x14ac:dyDescent="0.35">
      <c r="A665" s="20">
        <v>2</v>
      </c>
      <c r="B665" s="20" t="s">
        <v>1285</v>
      </c>
      <c r="C665" s="20" t="s">
        <v>1457</v>
      </c>
      <c r="D665" s="20" t="s">
        <v>1533</v>
      </c>
      <c r="E665" s="20">
        <v>466</v>
      </c>
      <c r="F665" s="20" t="s">
        <v>613</v>
      </c>
      <c r="G665" s="20" t="s">
        <v>1287</v>
      </c>
      <c r="H665" s="20" t="s">
        <v>1288</v>
      </c>
      <c r="I665" s="20"/>
      <c r="J665" s="20">
        <v>17</v>
      </c>
      <c r="K665" s="20">
        <v>1</v>
      </c>
      <c r="L665" s="20" t="s">
        <v>13</v>
      </c>
      <c r="M665" s="20"/>
      <c r="N665" s="20"/>
      <c r="O665" s="20">
        <v>23</v>
      </c>
      <c r="P665" s="20" t="s">
        <v>1221</v>
      </c>
      <c r="Q665" s="20" t="s">
        <v>795</v>
      </c>
      <c r="R665" s="20" t="str">
        <f t="shared" si="33"/>
        <v>CACEROLA JANETH-VERDE</v>
      </c>
      <c r="S665" s="19">
        <f t="shared" si="34"/>
        <v>0</v>
      </c>
      <c r="T665" s="19">
        <f t="shared" si="35"/>
        <v>17</v>
      </c>
      <c r="U665" s="19"/>
      <c r="V665" s="19"/>
      <c r="W665" s="19"/>
      <c r="X665" s="19"/>
      <c r="Y665" s="19"/>
    </row>
    <row r="666" spans="1:25" ht="12" hidden="1" customHeight="1" thickBot="1" x14ac:dyDescent="0.35">
      <c r="A666" s="20">
        <v>2</v>
      </c>
      <c r="B666" s="20" t="s">
        <v>1285</v>
      </c>
      <c r="C666" s="20" t="s">
        <v>1457</v>
      </c>
      <c r="D666" s="20" t="s">
        <v>1533</v>
      </c>
      <c r="E666" s="20">
        <v>467</v>
      </c>
      <c r="F666" s="20" t="s">
        <v>614</v>
      </c>
      <c r="G666" s="20" t="s">
        <v>1287</v>
      </c>
      <c r="H666" s="20" t="s">
        <v>1288</v>
      </c>
      <c r="I666" s="20"/>
      <c r="J666" s="20">
        <v>19</v>
      </c>
      <c r="K666" s="20">
        <v>2</v>
      </c>
      <c r="L666" s="20" t="s">
        <v>12</v>
      </c>
      <c r="M666" s="20"/>
      <c r="N666" s="20"/>
      <c r="O666" s="20">
        <v>10</v>
      </c>
      <c r="P666" s="20" t="s">
        <v>26</v>
      </c>
      <c r="Q666" s="20" t="s">
        <v>915</v>
      </c>
      <c r="R666" s="20" t="str">
        <f t="shared" si="33"/>
        <v>COCINA JANETH-AMARILLO</v>
      </c>
      <c r="S666" s="19">
        <f t="shared" si="34"/>
        <v>0</v>
      </c>
      <c r="T666" s="19">
        <f t="shared" si="35"/>
        <v>19</v>
      </c>
      <c r="U666" s="19"/>
      <c r="V666" s="19"/>
      <c r="W666" s="19"/>
      <c r="X666" s="19"/>
      <c r="Y666" s="19"/>
    </row>
    <row r="667" spans="1:25" ht="12" hidden="1" customHeight="1" thickBot="1" x14ac:dyDescent="0.35">
      <c r="A667" s="20">
        <v>2</v>
      </c>
      <c r="B667" s="20" t="s">
        <v>1285</v>
      </c>
      <c r="C667" s="20" t="s">
        <v>1457</v>
      </c>
      <c r="D667" s="20" t="s">
        <v>1533</v>
      </c>
      <c r="E667" s="20">
        <v>468</v>
      </c>
      <c r="F667" s="20" t="s">
        <v>615</v>
      </c>
      <c r="G667" s="20" t="s">
        <v>1287</v>
      </c>
      <c r="H667" s="20" t="s">
        <v>1288</v>
      </c>
      <c r="I667" s="20"/>
      <c r="J667" s="20">
        <v>19</v>
      </c>
      <c r="K667" s="20">
        <v>2</v>
      </c>
      <c r="L667" s="20" t="s">
        <v>12</v>
      </c>
      <c r="M667" s="20"/>
      <c r="N667" s="20"/>
      <c r="O667" s="20">
        <v>11</v>
      </c>
      <c r="P667" s="20" t="s">
        <v>1207</v>
      </c>
      <c r="Q667" s="20" t="s">
        <v>916</v>
      </c>
      <c r="R667" s="20" t="str">
        <f t="shared" si="33"/>
        <v>COCINA JANETH-ANARANJADO</v>
      </c>
      <c r="S667" s="19">
        <f t="shared" si="34"/>
        <v>0</v>
      </c>
      <c r="T667" s="19">
        <f t="shared" si="35"/>
        <v>19</v>
      </c>
      <c r="U667" s="19"/>
      <c r="V667" s="19"/>
      <c r="W667" s="19"/>
      <c r="X667" s="19"/>
      <c r="Y667" s="19"/>
    </row>
    <row r="668" spans="1:25" ht="12" hidden="1" customHeight="1" thickBot="1" x14ac:dyDescent="0.35">
      <c r="A668" s="20">
        <v>2</v>
      </c>
      <c r="B668" s="20" t="s">
        <v>1285</v>
      </c>
      <c r="C668" s="20" t="s">
        <v>1457</v>
      </c>
      <c r="D668" s="20" t="s">
        <v>1533</v>
      </c>
      <c r="E668" s="20">
        <v>469</v>
      </c>
      <c r="F668" s="20" t="s">
        <v>616</v>
      </c>
      <c r="G668" s="20" t="s">
        <v>1287</v>
      </c>
      <c r="H668" s="20" t="s">
        <v>1288</v>
      </c>
      <c r="I668" s="20"/>
      <c r="J668" s="20">
        <v>19</v>
      </c>
      <c r="K668" s="20">
        <v>2</v>
      </c>
      <c r="L668" s="20" t="s">
        <v>12</v>
      </c>
      <c r="M668" s="20"/>
      <c r="N668" s="20"/>
      <c r="O668" s="20">
        <v>16</v>
      </c>
      <c r="P668" s="20" t="s">
        <v>1212</v>
      </c>
      <c r="Q668" s="20" t="s">
        <v>917</v>
      </c>
      <c r="R668" s="20" t="str">
        <f t="shared" si="33"/>
        <v>COCINA JANETH-LILA BEBE</v>
      </c>
      <c r="S668" s="19">
        <f t="shared" si="34"/>
        <v>0</v>
      </c>
      <c r="T668" s="19">
        <f t="shared" si="35"/>
        <v>19</v>
      </c>
      <c r="U668" s="19"/>
      <c r="V668" s="19"/>
      <c r="W668" s="19"/>
      <c r="X668" s="19"/>
      <c r="Y668" s="19"/>
    </row>
    <row r="669" spans="1:25" ht="12" hidden="1" customHeight="1" thickBot="1" x14ac:dyDescent="0.35">
      <c r="A669" s="20">
        <v>2</v>
      </c>
      <c r="B669" s="20" t="s">
        <v>1285</v>
      </c>
      <c r="C669" s="20" t="s">
        <v>1457</v>
      </c>
      <c r="D669" s="20" t="s">
        <v>1533</v>
      </c>
      <c r="E669" s="20">
        <v>470</v>
      </c>
      <c r="F669" s="20" t="s">
        <v>617</v>
      </c>
      <c r="G669" s="20" t="s">
        <v>1287</v>
      </c>
      <c r="H669" s="20" t="s">
        <v>1288</v>
      </c>
      <c r="I669" s="20"/>
      <c r="J669" s="20">
        <v>19</v>
      </c>
      <c r="K669" s="20">
        <v>2</v>
      </c>
      <c r="L669" s="20" t="s">
        <v>12</v>
      </c>
      <c r="M669" s="20"/>
      <c r="N669" s="20"/>
      <c r="O669" s="20">
        <v>20</v>
      </c>
      <c r="P669" s="20" t="s">
        <v>1217</v>
      </c>
      <c r="Q669" s="20" t="s">
        <v>918</v>
      </c>
      <c r="R669" s="20" t="str">
        <f t="shared" si="33"/>
        <v>COCINA JANETH-ROSADO</v>
      </c>
      <c r="S669" s="19">
        <f t="shared" si="34"/>
        <v>0</v>
      </c>
      <c r="T669" s="19">
        <f t="shared" si="35"/>
        <v>19</v>
      </c>
      <c r="U669" s="19"/>
      <c r="V669" s="19"/>
      <c r="W669" s="19"/>
      <c r="X669" s="19"/>
      <c r="Y669" s="19"/>
    </row>
    <row r="670" spans="1:25" ht="12" hidden="1" customHeight="1" thickBot="1" x14ac:dyDescent="0.35">
      <c r="A670" s="20">
        <v>2</v>
      </c>
      <c r="B670" s="20" t="s">
        <v>1285</v>
      </c>
      <c r="C670" s="20" t="s">
        <v>1457</v>
      </c>
      <c r="D670" s="20" t="s">
        <v>1533</v>
      </c>
      <c r="E670" s="20">
        <v>471</v>
      </c>
      <c r="F670" s="20" t="s">
        <v>618</v>
      </c>
      <c r="G670" s="20" t="s">
        <v>1287</v>
      </c>
      <c r="H670" s="20" t="s">
        <v>1288</v>
      </c>
      <c r="I670" s="20"/>
      <c r="J670" s="20">
        <v>19</v>
      </c>
      <c r="K670" s="20">
        <v>2</v>
      </c>
      <c r="L670" s="20" t="s">
        <v>12</v>
      </c>
      <c r="M670" s="20"/>
      <c r="N670" s="20"/>
      <c r="O670" s="20">
        <v>27</v>
      </c>
      <c r="P670" s="20" t="s">
        <v>1219</v>
      </c>
      <c r="Q670" s="20" t="s">
        <v>919</v>
      </c>
      <c r="R670" s="20" t="str">
        <f t="shared" si="33"/>
        <v>COCINA JANETH-TURQUEZA</v>
      </c>
      <c r="S670" s="19">
        <f t="shared" si="34"/>
        <v>0</v>
      </c>
      <c r="T670" s="19">
        <f t="shared" si="35"/>
        <v>19</v>
      </c>
      <c r="U670" s="19"/>
      <c r="V670" s="19"/>
      <c r="W670" s="19"/>
      <c r="X670" s="19"/>
      <c r="Y670" s="19"/>
    </row>
    <row r="671" spans="1:25" ht="12" hidden="1" customHeight="1" thickBot="1" x14ac:dyDescent="0.35">
      <c r="A671" s="20">
        <v>2</v>
      </c>
      <c r="B671" s="20" t="s">
        <v>1285</v>
      </c>
      <c r="C671" s="20" t="s">
        <v>1457</v>
      </c>
      <c r="D671" s="20" t="s">
        <v>1533</v>
      </c>
      <c r="E671" s="20">
        <v>472</v>
      </c>
      <c r="F671" s="20" t="s">
        <v>619</v>
      </c>
      <c r="G671" s="20" t="s">
        <v>1287</v>
      </c>
      <c r="H671" s="20" t="s">
        <v>1288</v>
      </c>
      <c r="I671" s="20"/>
      <c r="J671" s="20">
        <v>19</v>
      </c>
      <c r="K671" s="20">
        <v>2</v>
      </c>
      <c r="L671" s="20" t="s">
        <v>12</v>
      </c>
      <c r="M671" s="20"/>
      <c r="N671" s="20"/>
      <c r="O671" s="20">
        <v>23</v>
      </c>
      <c r="P671" s="20" t="s">
        <v>1221</v>
      </c>
      <c r="Q671" s="20" t="s">
        <v>920</v>
      </c>
      <c r="R671" s="20" t="str">
        <f t="shared" si="33"/>
        <v>COCINA JANETH-VERDE</v>
      </c>
      <c r="S671" s="19">
        <f t="shared" si="34"/>
        <v>0</v>
      </c>
      <c r="T671" s="19">
        <f t="shared" si="35"/>
        <v>19</v>
      </c>
      <c r="U671" s="19"/>
      <c r="V671" s="19"/>
      <c r="W671" s="19"/>
      <c r="X671" s="19"/>
      <c r="Y671" s="19"/>
    </row>
    <row r="672" spans="1:25" ht="12" hidden="1" customHeight="1" thickBot="1" x14ac:dyDescent="0.35">
      <c r="A672" s="20">
        <v>2</v>
      </c>
      <c r="B672" s="20" t="s">
        <v>1285</v>
      </c>
      <c r="C672" s="20" t="s">
        <v>1457</v>
      </c>
      <c r="D672" s="20" t="s">
        <v>1533</v>
      </c>
      <c r="E672" s="20">
        <v>473</v>
      </c>
      <c r="F672" s="20" t="s">
        <v>620</v>
      </c>
      <c r="G672" s="20" t="s">
        <v>1287</v>
      </c>
      <c r="H672" s="20" t="s">
        <v>1288</v>
      </c>
      <c r="I672" s="20"/>
      <c r="J672" s="20">
        <v>3</v>
      </c>
      <c r="K672" s="20">
        <v>1</v>
      </c>
      <c r="L672" s="20" t="s">
        <v>13</v>
      </c>
      <c r="M672" s="20"/>
      <c r="N672" s="20"/>
      <c r="O672" s="20">
        <v>13</v>
      </c>
      <c r="P672" s="20" t="s">
        <v>25</v>
      </c>
      <c r="Q672" s="20" t="s">
        <v>855</v>
      </c>
      <c r="R672" s="20" t="str">
        <f t="shared" si="33"/>
        <v>HORNILLA JANETH-BLANCO</v>
      </c>
      <c r="S672" s="19">
        <f t="shared" si="34"/>
        <v>0</v>
      </c>
      <c r="T672" s="19">
        <f t="shared" si="35"/>
        <v>3</v>
      </c>
      <c r="U672" s="19"/>
      <c r="V672" s="19"/>
      <c r="W672" s="19"/>
      <c r="X672" s="19"/>
      <c r="Y672" s="19"/>
    </row>
    <row r="673" spans="1:25" ht="12" hidden="1" customHeight="1" thickBot="1" x14ac:dyDescent="0.35">
      <c r="A673" s="20">
        <v>2</v>
      </c>
      <c r="B673" s="20" t="s">
        <v>1285</v>
      </c>
      <c r="C673" s="20" t="s">
        <v>1457</v>
      </c>
      <c r="D673" s="20" t="s">
        <v>1533</v>
      </c>
      <c r="E673" s="20">
        <v>474</v>
      </c>
      <c r="F673" s="20" t="s">
        <v>621</v>
      </c>
      <c r="G673" s="20" t="s">
        <v>1287</v>
      </c>
      <c r="H673" s="20" t="s">
        <v>1288</v>
      </c>
      <c r="I673" s="20"/>
      <c r="J673" s="20">
        <v>2</v>
      </c>
      <c r="K673" s="20">
        <v>1</v>
      </c>
      <c r="L673" s="20" t="s">
        <v>13</v>
      </c>
      <c r="M673" s="20"/>
      <c r="N673" s="20"/>
      <c r="O673" s="20">
        <v>18</v>
      </c>
      <c r="P673" s="20" t="s">
        <v>1215</v>
      </c>
      <c r="Q673" s="20" t="s">
        <v>921</v>
      </c>
      <c r="R673" s="20" t="str">
        <f t="shared" si="33"/>
        <v>MANGOS SARTEN Y CACEROLA JANETH-NEGRO</v>
      </c>
      <c r="S673" s="19">
        <f t="shared" si="34"/>
        <v>0</v>
      </c>
      <c r="T673" s="19">
        <f t="shared" si="35"/>
        <v>2</v>
      </c>
      <c r="U673" s="19"/>
      <c r="V673" s="19"/>
      <c r="W673" s="19"/>
      <c r="X673" s="19"/>
      <c r="Y673" s="19"/>
    </row>
    <row r="674" spans="1:25" ht="12" hidden="1" customHeight="1" thickBot="1" x14ac:dyDescent="0.35">
      <c r="A674" s="20">
        <v>2</v>
      </c>
      <c r="B674" s="20" t="s">
        <v>1285</v>
      </c>
      <c r="C674" s="20" t="s">
        <v>1457</v>
      </c>
      <c r="D674" s="20" t="s">
        <v>1533</v>
      </c>
      <c r="E674" s="20">
        <v>475</v>
      </c>
      <c r="F674" s="20" t="s">
        <v>622</v>
      </c>
      <c r="G674" s="20" t="s">
        <v>1287</v>
      </c>
      <c r="H674" s="20" t="s">
        <v>1288</v>
      </c>
      <c r="I674" s="20"/>
      <c r="J674" s="20">
        <v>13</v>
      </c>
      <c r="K674" s="20">
        <v>1</v>
      </c>
      <c r="L674" s="20" t="s">
        <v>13</v>
      </c>
      <c r="M674" s="20"/>
      <c r="N674" s="20"/>
      <c r="O674" s="20">
        <v>18</v>
      </c>
      <c r="P674" s="20" t="s">
        <v>1215</v>
      </c>
      <c r="Q674" s="20" t="s">
        <v>922</v>
      </c>
      <c r="R674" s="20" t="str">
        <f t="shared" si="33"/>
        <v>SARTEN JANETH-NEGRO</v>
      </c>
      <c r="S674" s="19">
        <f t="shared" si="34"/>
        <v>0</v>
      </c>
      <c r="T674" s="19">
        <f t="shared" si="35"/>
        <v>13</v>
      </c>
      <c r="U674" s="19"/>
      <c r="V674" s="19"/>
      <c r="W674" s="19"/>
      <c r="X674" s="19"/>
      <c r="Y674" s="19"/>
    </row>
    <row r="675" spans="1:25" ht="12" hidden="1" customHeight="1" thickBot="1" x14ac:dyDescent="0.35">
      <c r="A675" s="20">
        <v>2</v>
      </c>
      <c r="B675" s="20" t="s">
        <v>1285</v>
      </c>
      <c r="C675" s="20" t="s">
        <v>1457</v>
      </c>
      <c r="D675" s="20" t="s">
        <v>1533</v>
      </c>
      <c r="E675" s="20">
        <v>476</v>
      </c>
      <c r="F675" s="20" t="s">
        <v>623</v>
      </c>
      <c r="G675" s="20" t="s">
        <v>1287</v>
      </c>
      <c r="H675" s="20" t="s">
        <v>1288</v>
      </c>
      <c r="I675" s="20"/>
      <c r="J675" s="20">
        <v>13</v>
      </c>
      <c r="K675" s="20">
        <v>1</v>
      </c>
      <c r="L675" s="20" t="s">
        <v>13</v>
      </c>
      <c r="M675" s="20"/>
      <c r="N675" s="20"/>
      <c r="O675" s="20">
        <v>10</v>
      </c>
      <c r="P675" s="20" t="s">
        <v>26</v>
      </c>
      <c r="Q675" s="20" t="s">
        <v>923</v>
      </c>
      <c r="R675" s="20" t="str">
        <f t="shared" si="33"/>
        <v>TAPAS CACEROLA JANETH-AMARILLO</v>
      </c>
      <c r="S675" s="19">
        <f t="shared" si="34"/>
        <v>0</v>
      </c>
      <c r="T675" s="19">
        <f t="shared" si="35"/>
        <v>13</v>
      </c>
      <c r="U675" s="19"/>
      <c r="V675" s="19"/>
      <c r="W675" s="19"/>
      <c r="X675" s="19"/>
      <c r="Y675" s="19"/>
    </row>
    <row r="676" spans="1:25" ht="12" hidden="1" customHeight="1" thickBot="1" x14ac:dyDescent="0.35">
      <c r="A676" s="20">
        <v>2</v>
      </c>
      <c r="B676" s="20" t="s">
        <v>1285</v>
      </c>
      <c r="C676" s="20" t="s">
        <v>1457</v>
      </c>
      <c r="D676" s="20" t="s">
        <v>1533</v>
      </c>
      <c r="E676" s="20">
        <v>477</v>
      </c>
      <c r="F676" s="20" t="s">
        <v>624</v>
      </c>
      <c r="G676" s="20" t="s">
        <v>1287</v>
      </c>
      <c r="H676" s="20" t="s">
        <v>1288</v>
      </c>
      <c r="I676" s="20"/>
      <c r="J676" s="20">
        <v>13</v>
      </c>
      <c r="K676" s="20">
        <v>1</v>
      </c>
      <c r="L676" s="20" t="s">
        <v>13</v>
      </c>
      <c r="M676" s="20"/>
      <c r="N676" s="20"/>
      <c r="O676" s="20">
        <v>11</v>
      </c>
      <c r="P676" s="20" t="s">
        <v>1207</v>
      </c>
      <c r="Q676" s="20" t="s">
        <v>924</v>
      </c>
      <c r="R676" s="20" t="str">
        <f t="shared" si="33"/>
        <v>TAPAS CACEROLA JANETH-ANARANJADO</v>
      </c>
      <c r="S676" s="19">
        <f t="shared" si="34"/>
        <v>0</v>
      </c>
      <c r="T676" s="19">
        <f t="shared" si="35"/>
        <v>13</v>
      </c>
      <c r="U676" s="19"/>
      <c r="V676" s="19"/>
      <c r="W676" s="19"/>
      <c r="X676" s="19"/>
      <c r="Y676" s="19"/>
    </row>
    <row r="677" spans="1:25" ht="12" hidden="1" customHeight="1" thickBot="1" x14ac:dyDescent="0.35">
      <c r="A677" s="20">
        <v>2</v>
      </c>
      <c r="B677" s="20" t="s">
        <v>1285</v>
      </c>
      <c r="C677" s="20" t="s">
        <v>1457</v>
      </c>
      <c r="D677" s="20" t="s">
        <v>1533</v>
      </c>
      <c r="E677" s="20">
        <v>478</v>
      </c>
      <c r="F677" s="20" t="s">
        <v>625</v>
      </c>
      <c r="G677" s="20" t="s">
        <v>1287</v>
      </c>
      <c r="H677" s="20" t="s">
        <v>1288</v>
      </c>
      <c r="I677" s="20"/>
      <c r="J677" s="20">
        <v>13</v>
      </c>
      <c r="K677" s="20">
        <v>1</v>
      </c>
      <c r="L677" s="20" t="s">
        <v>13</v>
      </c>
      <c r="M677" s="20"/>
      <c r="N677" s="20"/>
      <c r="O677" s="20">
        <v>16</v>
      </c>
      <c r="P677" s="20" t="s">
        <v>1212</v>
      </c>
      <c r="Q677" s="20" t="s">
        <v>925</v>
      </c>
      <c r="R677" s="20" t="str">
        <f t="shared" si="33"/>
        <v>TAPAS CACEROLA JANETH-LILA BEBE</v>
      </c>
      <c r="S677" s="19">
        <f t="shared" si="34"/>
        <v>0</v>
      </c>
      <c r="T677" s="19">
        <f t="shared" si="35"/>
        <v>13</v>
      </c>
      <c r="U677" s="19"/>
      <c r="V677" s="19"/>
      <c r="W677" s="19"/>
      <c r="X677" s="19"/>
      <c r="Y677" s="19"/>
    </row>
    <row r="678" spans="1:25" ht="12" hidden="1" customHeight="1" thickBot="1" x14ac:dyDescent="0.35">
      <c r="A678" s="20">
        <v>2</v>
      </c>
      <c r="B678" s="20" t="s">
        <v>1285</v>
      </c>
      <c r="C678" s="20" t="s">
        <v>1457</v>
      </c>
      <c r="D678" s="20" t="s">
        <v>1533</v>
      </c>
      <c r="E678" s="20">
        <v>479</v>
      </c>
      <c r="F678" s="20" t="s">
        <v>626</v>
      </c>
      <c r="G678" s="20" t="s">
        <v>1287</v>
      </c>
      <c r="H678" s="20" t="s">
        <v>1288</v>
      </c>
      <c r="I678" s="20"/>
      <c r="J678" s="20">
        <v>13</v>
      </c>
      <c r="K678" s="20">
        <v>1</v>
      </c>
      <c r="L678" s="20" t="s">
        <v>13</v>
      </c>
      <c r="M678" s="20"/>
      <c r="N678" s="20"/>
      <c r="O678" s="20">
        <v>20</v>
      </c>
      <c r="P678" s="20" t="s">
        <v>1217</v>
      </c>
      <c r="Q678" s="20" t="s">
        <v>926</v>
      </c>
      <c r="R678" s="20" t="str">
        <f t="shared" si="33"/>
        <v>TAPAS CACEROLA JANETH-ROSADO</v>
      </c>
      <c r="S678" s="19">
        <f t="shared" si="34"/>
        <v>0</v>
      </c>
      <c r="T678" s="19">
        <f t="shared" si="35"/>
        <v>13</v>
      </c>
      <c r="U678" s="19"/>
      <c r="V678" s="19"/>
      <c r="W678" s="19"/>
      <c r="X678" s="19"/>
      <c r="Y678" s="19"/>
    </row>
    <row r="679" spans="1:25" ht="12" hidden="1" customHeight="1" thickBot="1" x14ac:dyDescent="0.35">
      <c r="A679" s="20">
        <v>2</v>
      </c>
      <c r="B679" s="20" t="s">
        <v>1285</v>
      </c>
      <c r="C679" s="20" t="s">
        <v>1457</v>
      </c>
      <c r="D679" s="20" t="s">
        <v>1533</v>
      </c>
      <c r="E679" s="20">
        <v>480</v>
      </c>
      <c r="F679" s="20" t="s">
        <v>627</v>
      </c>
      <c r="G679" s="20" t="s">
        <v>1287</v>
      </c>
      <c r="H679" s="20" t="s">
        <v>1288</v>
      </c>
      <c r="I679" s="20"/>
      <c r="J679" s="20">
        <v>13</v>
      </c>
      <c r="K679" s="20">
        <v>1</v>
      </c>
      <c r="L679" s="20" t="s">
        <v>13</v>
      </c>
      <c r="M679" s="20"/>
      <c r="N679" s="20"/>
      <c r="O679" s="20">
        <v>27</v>
      </c>
      <c r="P679" s="20" t="s">
        <v>1219</v>
      </c>
      <c r="Q679" s="20" t="s">
        <v>927</v>
      </c>
      <c r="R679" s="20" t="str">
        <f t="shared" si="33"/>
        <v>TAPAS CACEROLA JANETH-TURQUEZA</v>
      </c>
      <c r="S679" s="19">
        <f t="shared" si="34"/>
        <v>0</v>
      </c>
      <c r="T679" s="19">
        <f t="shared" si="35"/>
        <v>13</v>
      </c>
      <c r="U679" s="19"/>
      <c r="V679" s="19"/>
      <c r="W679" s="19"/>
      <c r="X679" s="19"/>
      <c r="Y679" s="19"/>
    </row>
    <row r="680" spans="1:25" ht="12" hidden="1" customHeight="1" thickBot="1" x14ac:dyDescent="0.35">
      <c r="A680" s="20">
        <v>2</v>
      </c>
      <c r="B680" s="20" t="s">
        <v>1285</v>
      </c>
      <c r="C680" s="20" t="s">
        <v>1457</v>
      </c>
      <c r="D680" s="20" t="s">
        <v>1533</v>
      </c>
      <c r="E680" s="20">
        <v>481</v>
      </c>
      <c r="F680" s="20" t="s">
        <v>628</v>
      </c>
      <c r="G680" s="20" t="s">
        <v>1287</v>
      </c>
      <c r="H680" s="20" t="s">
        <v>1288</v>
      </c>
      <c r="I680" s="20"/>
      <c r="J680" s="20">
        <v>13</v>
      </c>
      <c r="K680" s="20">
        <v>1</v>
      </c>
      <c r="L680" s="20" t="s">
        <v>13</v>
      </c>
      <c r="M680" s="20"/>
      <c r="N680" s="20"/>
      <c r="O680" s="20">
        <v>23</v>
      </c>
      <c r="P680" s="20" t="s">
        <v>1221</v>
      </c>
      <c r="Q680" s="20" t="s">
        <v>928</v>
      </c>
      <c r="R680" s="20" t="str">
        <f t="shared" si="33"/>
        <v>TAPAS CACEROLA JANETH-VERDE</v>
      </c>
      <c r="S680" s="19">
        <f t="shared" si="34"/>
        <v>0</v>
      </c>
      <c r="T680" s="19">
        <f t="shared" si="35"/>
        <v>13</v>
      </c>
      <c r="U680" s="19"/>
      <c r="V680" s="19"/>
      <c r="W680" s="19"/>
      <c r="X680" s="19"/>
      <c r="Y680" s="19"/>
    </row>
    <row r="681" spans="1:25" ht="12" hidden="1" customHeight="1" thickBot="1" x14ac:dyDescent="0.35">
      <c r="A681" s="20">
        <v>2</v>
      </c>
      <c r="B681" s="20" t="s">
        <v>1285</v>
      </c>
      <c r="C681" s="20" t="s">
        <v>1457</v>
      </c>
      <c r="D681" s="20" t="s">
        <v>1533</v>
      </c>
      <c r="E681" s="20">
        <v>482</v>
      </c>
      <c r="F681" s="20" t="s">
        <v>629</v>
      </c>
      <c r="G681" s="20" t="s">
        <v>1287</v>
      </c>
      <c r="H681" s="20" t="s">
        <v>1288</v>
      </c>
      <c r="I681" s="20"/>
      <c r="J681" s="20">
        <v>21</v>
      </c>
      <c r="K681" s="20">
        <v>1</v>
      </c>
      <c r="L681" s="20" t="s">
        <v>13</v>
      </c>
      <c r="M681" s="20"/>
      <c r="N681" s="20"/>
      <c r="O681" s="20">
        <v>10</v>
      </c>
      <c r="P681" s="20" t="s">
        <v>26</v>
      </c>
      <c r="Q681" s="20" t="s">
        <v>929</v>
      </c>
      <c r="R681" s="20" t="str">
        <f t="shared" si="33"/>
        <v>TETERA JANETH-AMARILLO</v>
      </c>
      <c r="S681" s="19">
        <f t="shared" si="34"/>
        <v>0</v>
      </c>
      <c r="T681" s="19">
        <f t="shared" si="35"/>
        <v>21</v>
      </c>
      <c r="U681" s="19"/>
      <c r="V681" s="19"/>
      <c r="W681" s="19"/>
      <c r="X681" s="19"/>
      <c r="Y681" s="19"/>
    </row>
    <row r="682" spans="1:25" ht="12" hidden="1" customHeight="1" thickBot="1" x14ac:dyDescent="0.35">
      <c r="A682" s="20">
        <v>2</v>
      </c>
      <c r="B682" s="20" t="s">
        <v>1285</v>
      </c>
      <c r="C682" s="20" t="s">
        <v>1457</v>
      </c>
      <c r="D682" s="20" t="s">
        <v>1533</v>
      </c>
      <c r="E682" s="20">
        <v>483</v>
      </c>
      <c r="F682" s="20" t="s">
        <v>630</v>
      </c>
      <c r="G682" s="20" t="s">
        <v>1287</v>
      </c>
      <c r="H682" s="20" t="s">
        <v>1288</v>
      </c>
      <c r="I682" s="20"/>
      <c r="J682" s="20">
        <v>21</v>
      </c>
      <c r="K682" s="20">
        <v>1</v>
      </c>
      <c r="L682" s="20" t="s">
        <v>13</v>
      </c>
      <c r="M682" s="20"/>
      <c r="N682" s="20"/>
      <c r="O682" s="20">
        <v>11</v>
      </c>
      <c r="P682" s="20" t="s">
        <v>1207</v>
      </c>
      <c r="Q682" s="20" t="s">
        <v>930</v>
      </c>
      <c r="R682" s="20" t="str">
        <f t="shared" si="33"/>
        <v>TETERA JANETH-ANARANJADO</v>
      </c>
      <c r="S682" s="19">
        <f t="shared" si="34"/>
        <v>0</v>
      </c>
      <c r="T682" s="19">
        <f t="shared" si="35"/>
        <v>21</v>
      </c>
      <c r="U682" s="19"/>
      <c r="V682" s="19"/>
      <c r="W682" s="19"/>
      <c r="X682" s="19"/>
      <c r="Y682" s="19"/>
    </row>
    <row r="683" spans="1:25" ht="12" hidden="1" customHeight="1" thickBot="1" x14ac:dyDescent="0.35">
      <c r="A683" s="20">
        <v>2</v>
      </c>
      <c r="B683" s="20" t="s">
        <v>1285</v>
      </c>
      <c r="C683" s="20" t="s">
        <v>1457</v>
      </c>
      <c r="D683" s="20" t="s">
        <v>1533</v>
      </c>
      <c r="E683" s="20">
        <v>484</v>
      </c>
      <c r="F683" s="20" t="s">
        <v>631</v>
      </c>
      <c r="G683" s="20" t="s">
        <v>1287</v>
      </c>
      <c r="H683" s="20" t="s">
        <v>1288</v>
      </c>
      <c r="I683" s="20"/>
      <c r="J683" s="20">
        <v>21</v>
      </c>
      <c r="K683" s="20">
        <v>1</v>
      </c>
      <c r="L683" s="20" t="s">
        <v>13</v>
      </c>
      <c r="M683" s="20"/>
      <c r="N683" s="20"/>
      <c r="O683" s="20">
        <v>16</v>
      </c>
      <c r="P683" s="20" t="s">
        <v>1212</v>
      </c>
      <c r="Q683" s="20" t="s">
        <v>931</v>
      </c>
      <c r="R683" s="20" t="str">
        <f t="shared" si="33"/>
        <v>TETERA JANETH-LILA BEBE</v>
      </c>
      <c r="S683" s="19">
        <f t="shared" si="34"/>
        <v>0</v>
      </c>
      <c r="T683" s="19">
        <f t="shared" si="35"/>
        <v>21</v>
      </c>
      <c r="U683" s="19"/>
      <c r="V683" s="19"/>
      <c r="W683" s="19"/>
      <c r="X683" s="19"/>
      <c r="Y683" s="19"/>
    </row>
    <row r="684" spans="1:25" ht="12" hidden="1" customHeight="1" thickBot="1" x14ac:dyDescent="0.35">
      <c r="A684" s="20">
        <v>2</v>
      </c>
      <c r="B684" s="20" t="s">
        <v>1285</v>
      </c>
      <c r="C684" s="20" t="s">
        <v>1457</v>
      </c>
      <c r="D684" s="20" t="s">
        <v>1533</v>
      </c>
      <c r="E684" s="20">
        <v>485</v>
      </c>
      <c r="F684" s="20" t="s">
        <v>632</v>
      </c>
      <c r="G684" s="20" t="s">
        <v>1287</v>
      </c>
      <c r="H684" s="20" t="s">
        <v>1288</v>
      </c>
      <c r="I684" s="20"/>
      <c r="J684" s="20">
        <v>21</v>
      </c>
      <c r="K684" s="20">
        <v>1</v>
      </c>
      <c r="L684" s="20" t="s">
        <v>13</v>
      </c>
      <c r="M684" s="20"/>
      <c r="N684" s="20"/>
      <c r="O684" s="20">
        <v>20</v>
      </c>
      <c r="P684" s="20" t="s">
        <v>1217</v>
      </c>
      <c r="Q684" s="20" t="s">
        <v>932</v>
      </c>
      <c r="R684" s="20" t="str">
        <f t="shared" si="33"/>
        <v>TETERA JANETH-ROSADO</v>
      </c>
      <c r="S684" s="19">
        <f t="shared" si="34"/>
        <v>0</v>
      </c>
      <c r="T684" s="19">
        <f t="shared" si="35"/>
        <v>21</v>
      </c>
      <c r="U684" s="19"/>
      <c r="V684" s="19"/>
      <c r="W684" s="19"/>
      <c r="X684" s="19"/>
      <c r="Y684" s="19"/>
    </row>
    <row r="685" spans="1:25" ht="12" hidden="1" customHeight="1" thickBot="1" x14ac:dyDescent="0.35">
      <c r="A685" s="20">
        <v>2</v>
      </c>
      <c r="B685" s="20" t="s">
        <v>1285</v>
      </c>
      <c r="C685" s="20" t="s">
        <v>1457</v>
      </c>
      <c r="D685" s="20" t="s">
        <v>1533</v>
      </c>
      <c r="E685" s="20">
        <v>486</v>
      </c>
      <c r="F685" s="20" t="s">
        <v>633</v>
      </c>
      <c r="G685" s="20" t="s">
        <v>1287</v>
      </c>
      <c r="H685" s="20" t="s">
        <v>1288</v>
      </c>
      <c r="I685" s="20"/>
      <c r="J685" s="20">
        <v>21</v>
      </c>
      <c r="K685" s="20">
        <v>1</v>
      </c>
      <c r="L685" s="20" t="s">
        <v>13</v>
      </c>
      <c r="M685" s="20"/>
      <c r="N685" s="20"/>
      <c r="O685" s="20">
        <v>27</v>
      </c>
      <c r="P685" s="20" t="s">
        <v>1219</v>
      </c>
      <c r="Q685" s="20" t="s">
        <v>933</v>
      </c>
      <c r="R685" s="20" t="str">
        <f t="shared" si="33"/>
        <v>TETERA JANETH-TURQUEZA</v>
      </c>
      <c r="S685" s="19">
        <f t="shared" si="34"/>
        <v>0</v>
      </c>
      <c r="T685" s="19">
        <f t="shared" si="35"/>
        <v>21</v>
      </c>
      <c r="U685" s="19"/>
      <c r="V685" s="19"/>
      <c r="W685" s="19"/>
      <c r="X685" s="19"/>
      <c r="Y685" s="19"/>
    </row>
    <row r="686" spans="1:25" ht="12" hidden="1" customHeight="1" thickBot="1" x14ac:dyDescent="0.35">
      <c r="A686" s="20">
        <v>2</v>
      </c>
      <c r="B686" s="20" t="s">
        <v>1285</v>
      </c>
      <c r="C686" s="20" t="s">
        <v>1457</v>
      </c>
      <c r="D686" s="20" t="s">
        <v>1533</v>
      </c>
      <c r="E686" s="20">
        <v>487</v>
      </c>
      <c r="F686" s="20" t="s">
        <v>634</v>
      </c>
      <c r="G686" s="20" t="s">
        <v>1287</v>
      </c>
      <c r="H686" s="20" t="s">
        <v>1288</v>
      </c>
      <c r="I686" s="20"/>
      <c r="J686" s="20">
        <v>21</v>
      </c>
      <c r="K686" s="20">
        <v>1</v>
      </c>
      <c r="L686" s="20" t="s">
        <v>13</v>
      </c>
      <c r="M686" s="20"/>
      <c r="N686" s="20"/>
      <c r="O686" s="20">
        <v>23</v>
      </c>
      <c r="P686" s="20" t="s">
        <v>1221</v>
      </c>
      <c r="Q686" s="20" t="s">
        <v>375</v>
      </c>
      <c r="R686" s="20" t="str">
        <f t="shared" si="33"/>
        <v>TETERA JANETH-VERDE</v>
      </c>
      <c r="S686" s="19">
        <f t="shared" si="34"/>
        <v>0</v>
      </c>
      <c r="T686" s="19">
        <f t="shared" si="35"/>
        <v>21</v>
      </c>
      <c r="U686" s="19"/>
      <c r="V686" s="19"/>
      <c r="W686" s="19"/>
      <c r="X686" s="19"/>
      <c r="Y686" s="19"/>
    </row>
    <row r="687" spans="1:25" ht="12" hidden="1" customHeight="1" thickBot="1" x14ac:dyDescent="0.35">
      <c r="A687" s="20">
        <v>2</v>
      </c>
      <c r="B687" s="20" t="s">
        <v>1285</v>
      </c>
      <c r="C687" s="20" t="s">
        <v>1439</v>
      </c>
      <c r="D687" s="20" t="s">
        <v>1534</v>
      </c>
      <c r="E687" s="20">
        <v>488</v>
      </c>
      <c r="F687" s="20" t="s">
        <v>635</v>
      </c>
      <c r="G687" s="20" t="s">
        <v>1287</v>
      </c>
      <c r="H687" s="20" t="s">
        <v>1288</v>
      </c>
      <c r="I687" s="20"/>
      <c r="J687" s="20">
        <v>10</v>
      </c>
      <c r="K687" s="20">
        <v>1</v>
      </c>
      <c r="L687" s="20" t="s">
        <v>13</v>
      </c>
      <c r="M687" s="20"/>
      <c r="N687" s="20"/>
      <c r="O687" s="20">
        <v>10</v>
      </c>
      <c r="P687" s="20" t="s">
        <v>26</v>
      </c>
      <c r="Q687" s="20" t="s">
        <v>934</v>
      </c>
      <c r="R687" s="20" t="str">
        <f t="shared" si="33"/>
        <v>SOLDADO ATAQUE COLORES-AMARILLO</v>
      </c>
      <c r="S687" s="19">
        <f t="shared" si="34"/>
        <v>0</v>
      </c>
      <c r="T687" s="19">
        <f t="shared" si="35"/>
        <v>10</v>
      </c>
      <c r="U687" s="19"/>
      <c r="V687" s="19"/>
      <c r="W687" s="19"/>
      <c r="X687" s="19"/>
      <c r="Y687" s="19"/>
    </row>
    <row r="688" spans="1:25" ht="12" hidden="1" customHeight="1" thickBot="1" x14ac:dyDescent="0.35">
      <c r="A688" s="20">
        <v>2</v>
      </c>
      <c r="B688" s="20" t="s">
        <v>1285</v>
      </c>
      <c r="C688" s="20" t="s">
        <v>1439</v>
      </c>
      <c r="D688" s="20" t="s">
        <v>1534</v>
      </c>
      <c r="E688" s="20">
        <v>489</v>
      </c>
      <c r="F688" s="20" t="s">
        <v>636</v>
      </c>
      <c r="G688" s="20" t="s">
        <v>1287</v>
      </c>
      <c r="H688" s="20" t="s">
        <v>1288</v>
      </c>
      <c r="I688" s="20"/>
      <c r="J688" s="20">
        <v>10</v>
      </c>
      <c r="K688" s="20">
        <v>1</v>
      </c>
      <c r="L688" s="20" t="s">
        <v>13</v>
      </c>
      <c r="M688" s="20"/>
      <c r="N688" s="20"/>
      <c r="O688" s="20">
        <v>12</v>
      </c>
      <c r="P688" s="20" t="s">
        <v>24</v>
      </c>
      <c r="Q688" s="20" t="s">
        <v>935</v>
      </c>
      <c r="R688" s="20" t="str">
        <f t="shared" si="33"/>
        <v>SOLDADO ATAQUE COLORES-AZUL</v>
      </c>
      <c r="S688" s="19">
        <f t="shared" si="34"/>
        <v>0</v>
      </c>
      <c r="T688" s="19">
        <f t="shared" si="35"/>
        <v>10</v>
      </c>
      <c r="U688" s="19"/>
      <c r="V688" s="19"/>
      <c r="W688" s="19"/>
      <c r="X688" s="19"/>
      <c r="Y688" s="19"/>
    </row>
    <row r="689" spans="1:25" ht="12" hidden="1" customHeight="1" thickBot="1" x14ac:dyDescent="0.35">
      <c r="A689" s="20">
        <v>2</v>
      </c>
      <c r="B689" s="20" t="s">
        <v>1285</v>
      </c>
      <c r="C689" s="20" t="s">
        <v>1439</v>
      </c>
      <c r="D689" s="20" t="s">
        <v>1534</v>
      </c>
      <c r="E689" s="20">
        <v>490</v>
      </c>
      <c r="F689" s="20" t="s">
        <v>637</v>
      </c>
      <c r="G689" s="20" t="s">
        <v>1287</v>
      </c>
      <c r="H689" s="20" t="s">
        <v>1288</v>
      </c>
      <c r="I689" s="20"/>
      <c r="J689" s="20">
        <v>10</v>
      </c>
      <c r="K689" s="20">
        <v>1</v>
      </c>
      <c r="L689" s="20" t="s">
        <v>13</v>
      </c>
      <c r="M689" s="20"/>
      <c r="N689" s="20"/>
      <c r="O689" s="20">
        <v>19</v>
      </c>
      <c r="P689" s="20" t="s">
        <v>27</v>
      </c>
      <c r="Q689" s="20" t="s">
        <v>936</v>
      </c>
      <c r="R689" s="20" t="str">
        <f t="shared" si="33"/>
        <v>SOLDADO ATAQUE COLORES-ROJO</v>
      </c>
      <c r="S689" s="19">
        <f t="shared" si="34"/>
        <v>0</v>
      </c>
      <c r="T689" s="19">
        <f t="shared" si="35"/>
        <v>10</v>
      </c>
      <c r="U689" s="19"/>
      <c r="V689" s="19"/>
      <c r="W689" s="19"/>
      <c r="X689" s="19"/>
      <c r="Y689" s="19"/>
    </row>
    <row r="690" spans="1:25" ht="12" hidden="1" customHeight="1" thickBot="1" x14ac:dyDescent="0.35">
      <c r="A690" s="20">
        <v>2</v>
      </c>
      <c r="B690" s="20" t="s">
        <v>1285</v>
      </c>
      <c r="C690" s="20" t="s">
        <v>1439</v>
      </c>
      <c r="D690" s="20" t="s">
        <v>1534</v>
      </c>
      <c r="E690" s="20">
        <v>491</v>
      </c>
      <c r="F690" s="20" t="s">
        <v>638</v>
      </c>
      <c r="G690" s="20" t="s">
        <v>1287</v>
      </c>
      <c r="H690" s="20" t="s">
        <v>1288</v>
      </c>
      <c r="I690" s="20"/>
      <c r="J690" s="20">
        <v>10</v>
      </c>
      <c r="K690" s="20">
        <v>1</v>
      </c>
      <c r="L690" s="20" t="s">
        <v>13</v>
      </c>
      <c r="M690" s="20"/>
      <c r="N690" s="20"/>
      <c r="O690" s="20">
        <v>23</v>
      </c>
      <c r="P690" s="20" t="s">
        <v>1221</v>
      </c>
      <c r="Q690" s="20" t="s">
        <v>796</v>
      </c>
      <c r="R690" s="20" t="str">
        <f t="shared" si="33"/>
        <v>SOLDADO ATAQUE COLORES-VERDE</v>
      </c>
      <c r="S690" s="19">
        <f t="shared" si="34"/>
        <v>0</v>
      </c>
      <c r="T690" s="19">
        <f t="shared" si="35"/>
        <v>10</v>
      </c>
      <c r="U690" s="19"/>
      <c r="V690" s="19"/>
      <c r="W690" s="19"/>
      <c r="X690" s="19"/>
      <c r="Y690" s="19"/>
    </row>
    <row r="691" spans="1:25" ht="12" hidden="1" customHeight="1" thickBot="1" x14ac:dyDescent="0.35">
      <c r="A691" s="20">
        <v>2</v>
      </c>
      <c r="B691" s="20" t="s">
        <v>1285</v>
      </c>
      <c r="C691" s="20" t="s">
        <v>1439</v>
      </c>
      <c r="D691" s="20" t="s">
        <v>1535</v>
      </c>
      <c r="E691" s="20">
        <v>492</v>
      </c>
      <c r="F691" s="20" t="s">
        <v>639</v>
      </c>
      <c r="G691" s="20" t="s">
        <v>1287</v>
      </c>
      <c r="H691" s="20" t="s">
        <v>1288</v>
      </c>
      <c r="I691" s="20"/>
      <c r="J691" s="20">
        <v>10</v>
      </c>
      <c r="K691" s="20">
        <v>1</v>
      </c>
      <c r="L691" s="20" t="s">
        <v>13</v>
      </c>
      <c r="M691" s="20"/>
      <c r="N691" s="20"/>
      <c r="O691" s="20">
        <v>23</v>
      </c>
      <c r="P691" s="20" t="s">
        <v>1221</v>
      </c>
      <c r="Q691" s="20" t="s">
        <v>937</v>
      </c>
      <c r="R691" s="20" t="str">
        <f t="shared" si="33"/>
        <v>SOLDADO ATAQUE MILITAR-VERDE MILITAR</v>
      </c>
      <c r="S691" s="19">
        <f t="shared" si="34"/>
        <v>0</v>
      </c>
      <c r="T691" s="19">
        <f t="shared" si="35"/>
        <v>10</v>
      </c>
      <c r="U691" s="19"/>
      <c r="V691" s="19"/>
      <c r="W691" s="19"/>
      <c r="X691" s="19"/>
      <c r="Y691" s="19"/>
    </row>
    <row r="692" spans="1:25" ht="12" hidden="1" customHeight="1" thickBot="1" x14ac:dyDescent="0.35">
      <c r="A692" s="20">
        <v>2</v>
      </c>
      <c r="B692" s="20" t="s">
        <v>1285</v>
      </c>
      <c r="C692" s="20" t="s">
        <v>1439</v>
      </c>
      <c r="D692" s="20" t="s">
        <v>1536</v>
      </c>
      <c r="E692" s="20">
        <v>493</v>
      </c>
      <c r="F692" s="20" t="s">
        <v>640</v>
      </c>
      <c r="G692" s="20" t="s">
        <v>1287</v>
      </c>
      <c r="H692" s="20" t="s">
        <v>1288</v>
      </c>
      <c r="I692" s="20"/>
      <c r="J692" s="20">
        <v>6</v>
      </c>
      <c r="K692" s="20">
        <v>1</v>
      </c>
      <c r="L692" s="20" t="s">
        <v>13</v>
      </c>
      <c r="M692" s="20"/>
      <c r="N692" s="20"/>
      <c r="O692" s="20">
        <v>13</v>
      </c>
      <c r="P692" s="20" t="s">
        <v>25</v>
      </c>
      <c r="Q692" s="20" t="s">
        <v>938</v>
      </c>
      <c r="R692" s="20" t="str">
        <f t="shared" si="33"/>
        <v>BAQUETAS TAMBOR PERU-BLANCO</v>
      </c>
      <c r="S692" s="19">
        <f t="shared" si="34"/>
        <v>0</v>
      </c>
      <c r="T692" s="19">
        <f t="shared" si="35"/>
        <v>6</v>
      </c>
      <c r="U692" s="19"/>
      <c r="V692" s="19"/>
      <c r="W692" s="19"/>
      <c r="X692" s="19"/>
      <c r="Y692" s="19"/>
    </row>
    <row r="693" spans="1:25" ht="12" hidden="1" customHeight="1" thickBot="1" x14ac:dyDescent="0.35">
      <c r="A693" s="20">
        <v>2</v>
      </c>
      <c r="B693" s="20" t="s">
        <v>1285</v>
      </c>
      <c r="C693" s="20" t="s">
        <v>1439</v>
      </c>
      <c r="D693" s="20" t="s">
        <v>1536</v>
      </c>
      <c r="E693" s="20">
        <v>494</v>
      </c>
      <c r="F693" s="20" t="s">
        <v>641</v>
      </c>
      <c r="G693" s="20" t="s">
        <v>1287</v>
      </c>
      <c r="H693" s="20" t="s">
        <v>1288</v>
      </c>
      <c r="I693" s="20"/>
      <c r="J693" s="20">
        <v>39</v>
      </c>
      <c r="K693" s="20">
        <v>1</v>
      </c>
      <c r="L693" s="20" t="s">
        <v>13</v>
      </c>
      <c r="M693" s="20"/>
      <c r="N693" s="20"/>
      <c r="O693" s="20">
        <v>13</v>
      </c>
      <c r="P693" s="20" t="s">
        <v>25</v>
      </c>
      <c r="Q693" s="20" t="s">
        <v>939</v>
      </c>
      <c r="R693" s="20" t="str">
        <f t="shared" si="33"/>
        <v>TAPAS TAMBOR-BLANCO</v>
      </c>
      <c r="S693" s="19">
        <f t="shared" si="34"/>
        <v>0</v>
      </c>
      <c r="T693" s="19">
        <f t="shared" si="35"/>
        <v>39</v>
      </c>
      <c r="U693" s="19"/>
      <c r="V693" s="19"/>
      <c r="W693" s="19"/>
      <c r="X693" s="19"/>
      <c r="Y693" s="19"/>
    </row>
    <row r="694" spans="1:25" ht="12" hidden="1" customHeight="1" thickBot="1" x14ac:dyDescent="0.35">
      <c r="A694" s="20">
        <v>2</v>
      </c>
      <c r="B694" s="20" t="s">
        <v>1285</v>
      </c>
      <c r="C694" s="20" t="s">
        <v>1469</v>
      </c>
      <c r="D694" s="20" t="s">
        <v>1538</v>
      </c>
      <c r="E694" s="20">
        <v>495</v>
      </c>
      <c r="F694" s="20" t="s">
        <v>1539</v>
      </c>
      <c r="G694" s="20" t="s">
        <v>1287</v>
      </c>
      <c r="H694" s="20" t="s">
        <v>1288</v>
      </c>
      <c r="I694" s="20"/>
      <c r="J694" s="20">
        <v>97</v>
      </c>
      <c r="K694" s="20">
        <v>1</v>
      </c>
      <c r="L694" s="20" t="s">
        <v>13</v>
      </c>
      <c r="M694" s="20"/>
      <c r="N694" s="20"/>
      <c r="O694" s="20">
        <v>10</v>
      </c>
      <c r="P694" s="20" t="s">
        <v>26</v>
      </c>
      <c r="Q694" s="20" t="s">
        <v>1537</v>
      </c>
      <c r="R694" s="20" t="str">
        <f t="shared" ref="R694:R714" si="36">F694</f>
        <v>CHASIS GANADERO GRANDE</v>
      </c>
      <c r="S694" s="19">
        <f t="shared" ref="S694:S714" si="37">+I694</f>
        <v>0</v>
      </c>
      <c r="T694" s="19">
        <f t="shared" ref="T694:T714" si="38">+J694</f>
        <v>97</v>
      </c>
      <c r="U694" s="19"/>
      <c r="V694" s="19"/>
      <c r="W694" s="19"/>
      <c r="X694" s="19"/>
      <c r="Y694" s="19"/>
    </row>
    <row r="695" spans="1:25" ht="12" hidden="1" customHeight="1" thickBot="1" x14ac:dyDescent="0.35">
      <c r="A695" s="20">
        <v>2</v>
      </c>
      <c r="B695" s="20" t="s">
        <v>1285</v>
      </c>
      <c r="C695" s="20" t="s">
        <v>1469</v>
      </c>
      <c r="D695" s="20" t="s">
        <v>1538</v>
      </c>
      <c r="E695" s="20">
        <v>496</v>
      </c>
      <c r="F695" s="20" t="s">
        <v>1541</v>
      </c>
      <c r="G695" s="20" t="s">
        <v>1287</v>
      </c>
      <c r="H695" s="20" t="s">
        <v>1288</v>
      </c>
      <c r="I695" s="20">
        <v>2</v>
      </c>
      <c r="J695" s="20">
        <v>47</v>
      </c>
      <c r="K695" s="20">
        <v>2</v>
      </c>
      <c r="L695" s="20" t="s">
        <v>12</v>
      </c>
      <c r="M695" s="20"/>
      <c r="N695" s="20"/>
      <c r="O695" s="20">
        <v>18</v>
      </c>
      <c r="P695" s="20" t="s">
        <v>1215</v>
      </c>
      <c r="Q695" s="20" t="s">
        <v>1540</v>
      </c>
      <c r="R695" s="20" t="str">
        <f t="shared" si="36"/>
        <v>ANIMALES GANADERO GRANDE</v>
      </c>
      <c r="S695" s="19">
        <f t="shared" si="37"/>
        <v>2</v>
      </c>
      <c r="T695" s="19">
        <f t="shared" si="38"/>
        <v>47</v>
      </c>
      <c r="U695" s="19"/>
      <c r="V695" s="19"/>
      <c r="W695" s="19"/>
      <c r="X695" s="19"/>
      <c r="Y695" s="19"/>
    </row>
    <row r="696" spans="1:25" ht="12" hidden="1" customHeight="1" thickBot="1" x14ac:dyDescent="0.35">
      <c r="A696" s="20">
        <v>2</v>
      </c>
      <c r="B696" s="20" t="s">
        <v>1285</v>
      </c>
      <c r="C696" s="20" t="s">
        <v>1469</v>
      </c>
      <c r="D696" s="20" t="s">
        <v>1538</v>
      </c>
      <c r="E696" s="20">
        <v>497</v>
      </c>
      <c r="F696" s="20" t="s">
        <v>1543</v>
      </c>
      <c r="G696" s="20" t="s">
        <v>1287</v>
      </c>
      <c r="H696" s="20" t="s">
        <v>1288</v>
      </c>
      <c r="I696" s="20">
        <v>1</v>
      </c>
      <c r="J696" s="20">
        <v>161</v>
      </c>
      <c r="K696" s="20">
        <v>1</v>
      </c>
      <c r="L696" s="20" t="s">
        <v>13</v>
      </c>
      <c r="M696" s="20"/>
      <c r="N696" s="20"/>
      <c r="O696" s="20">
        <v>10</v>
      </c>
      <c r="P696" s="20" t="s">
        <v>26</v>
      </c>
      <c r="Q696" s="20" t="s">
        <v>1542</v>
      </c>
      <c r="R696" s="20" t="str">
        <f t="shared" si="36"/>
        <v>TOLVA DE GANADERO GRANDE</v>
      </c>
      <c r="S696" s="19">
        <f t="shared" si="37"/>
        <v>1</v>
      </c>
      <c r="T696" s="19">
        <f t="shared" si="38"/>
        <v>161</v>
      </c>
      <c r="U696" s="19"/>
      <c r="V696" s="19"/>
      <c r="W696" s="19"/>
      <c r="X696" s="19"/>
      <c r="Y696" s="19"/>
    </row>
    <row r="697" spans="1:25" ht="12" hidden="1" customHeight="1" thickBot="1" x14ac:dyDescent="0.35">
      <c r="A697" s="20">
        <v>2</v>
      </c>
      <c r="B697" s="20" t="s">
        <v>1285</v>
      </c>
      <c r="C697" s="20" t="s">
        <v>1469</v>
      </c>
      <c r="D697" s="20" t="s">
        <v>1538</v>
      </c>
      <c r="E697" s="20">
        <v>497</v>
      </c>
      <c r="F697" s="20" t="s">
        <v>1543</v>
      </c>
      <c r="G697" s="20" t="s">
        <v>1287</v>
      </c>
      <c r="H697" s="20" t="s">
        <v>1288</v>
      </c>
      <c r="I697" s="20">
        <v>1</v>
      </c>
      <c r="J697" s="20">
        <v>161</v>
      </c>
      <c r="K697" s="20">
        <v>1</v>
      </c>
      <c r="L697" s="20" t="s">
        <v>13</v>
      </c>
      <c r="M697" s="20"/>
      <c r="N697" s="20"/>
      <c r="O697" s="20">
        <v>11</v>
      </c>
      <c r="P697" s="20" t="s">
        <v>1207</v>
      </c>
      <c r="Q697" s="20" t="s">
        <v>1544</v>
      </c>
      <c r="R697" s="20" t="str">
        <f t="shared" si="36"/>
        <v>TOLVA DE GANADERO GRANDE</v>
      </c>
      <c r="S697" s="19">
        <f t="shared" si="37"/>
        <v>1</v>
      </c>
      <c r="T697" s="19">
        <f t="shared" si="38"/>
        <v>161</v>
      </c>
      <c r="U697" s="19"/>
      <c r="V697" s="19"/>
      <c r="W697" s="19"/>
      <c r="X697" s="19"/>
      <c r="Y697" s="19"/>
    </row>
    <row r="698" spans="1:25" ht="12" hidden="1" customHeight="1" thickBot="1" x14ac:dyDescent="0.35">
      <c r="A698" s="20">
        <v>2</v>
      </c>
      <c r="B698" s="20" t="s">
        <v>1285</v>
      </c>
      <c r="C698" s="20" t="s">
        <v>1469</v>
      </c>
      <c r="D698" s="20" t="s">
        <v>1538</v>
      </c>
      <c r="E698" s="20">
        <v>497</v>
      </c>
      <c r="F698" s="20" t="s">
        <v>1543</v>
      </c>
      <c r="G698" s="20" t="s">
        <v>1287</v>
      </c>
      <c r="H698" s="20" t="s">
        <v>1288</v>
      </c>
      <c r="I698" s="20">
        <v>1</v>
      </c>
      <c r="J698" s="20">
        <v>161</v>
      </c>
      <c r="K698" s="20">
        <v>1</v>
      </c>
      <c r="L698" s="20" t="s">
        <v>13</v>
      </c>
      <c r="M698" s="20"/>
      <c r="N698" s="20"/>
      <c r="O698" s="20">
        <v>23</v>
      </c>
      <c r="P698" s="20" t="s">
        <v>1221</v>
      </c>
      <c r="Q698" s="20" t="s">
        <v>1545</v>
      </c>
      <c r="R698" s="20" t="str">
        <f t="shared" si="36"/>
        <v>TOLVA DE GANADERO GRANDE</v>
      </c>
      <c r="S698" s="19">
        <f t="shared" si="37"/>
        <v>1</v>
      </c>
      <c r="T698" s="19">
        <f t="shared" si="38"/>
        <v>161</v>
      </c>
      <c r="U698" s="19"/>
      <c r="V698" s="19"/>
      <c r="W698" s="19"/>
      <c r="X698" s="19"/>
      <c r="Y698" s="19"/>
    </row>
    <row r="699" spans="1:25" ht="12" hidden="1" customHeight="1" thickBot="1" x14ac:dyDescent="0.35">
      <c r="A699" s="20">
        <v>2</v>
      </c>
      <c r="B699" s="20" t="s">
        <v>1285</v>
      </c>
      <c r="C699" s="20" t="s">
        <v>1469</v>
      </c>
      <c r="D699" s="20" t="s">
        <v>1538</v>
      </c>
      <c r="E699" s="20">
        <v>497</v>
      </c>
      <c r="F699" s="20" t="s">
        <v>1543</v>
      </c>
      <c r="G699" s="20" t="s">
        <v>1287</v>
      </c>
      <c r="H699" s="20" t="s">
        <v>1288</v>
      </c>
      <c r="I699" s="20">
        <v>1</v>
      </c>
      <c r="J699" s="20">
        <v>161</v>
      </c>
      <c r="K699" s="20">
        <v>1</v>
      </c>
      <c r="L699" s="20" t="s">
        <v>13</v>
      </c>
      <c r="M699" s="20"/>
      <c r="N699" s="20"/>
      <c r="O699" s="20">
        <v>12</v>
      </c>
      <c r="P699" s="20" t="s">
        <v>24</v>
      </c>
      <c r="Q699" s="20" t="s">
        <v>1546</v>
      </c>
      <c r="R699" s="20" t="str">
        <f t="shared" si="36"/>
        <v>TOLVA DE GANADERO GRANDE</v>
      </c>
      <c r="S699" s="19">
        <f t="shared" si="37"/>
        <v>1</v>
      </c>
      <c r="T699" s="19">
        <f t="shared" si="38"/>
        <v>161</v>
      </c>
      <c r="U699" s="19"/>
      <c r="V699" s="19"/>
      <c r="W699" s="19"/>
      <c r="X699" s="19"/>
      <c r="Y699" s="19"/>
    </row>
    <row r="700" spans="1:25" ht="12" hidden="1" customHeight="1" thickBot="1" x14ac:dyDescent="0.35">
      <c r="A700" s="20">
        <v>2</v>
      </c>
      <c r="B700" s="20" t="s">
        <v>1285</v>
      </c>
      <c r="C700" s="20" t="s">
        <v>1469</v>
      </c>
      <c r="D700" s="20" t="s">
        <v>1538</v>
      </c>
      <c r="E700" s="20">
        <v>497</v>
      </c>
      <c r="F700" s="20" t="s">
        <v>1543</v>
      </c>
      <c r="G700" s="20" t="s">
        <v>1287</v>
      </c>
      <c r="H700" s="20" t="s">
        <v>1288</v>
      </c>
      <c r="I700" s="20">
        <v>1</v>
      </c>
      <c r="J700" s="20">
        <v>161</v>
      </c>
      <c r="K700" s="20">
        <v>1</v>
      </c>
      <c r="L700" s="20" t="s">
        <v>13</v>
      </c>
      <c r="M700" s="20"/>
      <c r="N700" s="20"/>
      <c r="O700" s="20">
        <v>19</v>
      </c>
      <c r="P700" s="20" t="s">
        <v>27</v>
      </c>
      <c r="Q700" s="20" t="s">
        <v>1547</v>
      </c>
      <c r="R700" s="20" t="str">
        <f t="shared" si="36"/>
        <v>TOLVA DE GANADERO GRANDE</v>
      </c>
      <c r="S700" s="19">
        <f t="shared" si="37"/>
        <v>1</v>
      </c>
      <c r="T700" s="19">
        <f t="shared" si="38"/>
        <v>161</v>
      </c>
      <c r="U700" s="19"/>
      <c r="V700" s="19"/>
      <c r="W700" s="19"/>
      <c r="X700" s="19"/>
      <c r="Y700" s="19"/>
    </row>
    <row r="701" spans="1:25" ht="12" hidden="1" customHeight="1" thickBot="1" x14ac:dyDescent="0.35">
      <c r="A701" s="20">
        <v>2</v>
      </c>
      <c r="B701" s="20" t="s">
        <v>1285</v>
      </c>
      <c r="C701" s="20" t="s">
        <v>1469</v>
      </c>
      <c r="D701" s="20" t="s">
        <v>1538</v>
      </c>
      <c r="E701" s="20">
        <v>497</v>
      </c>
      <c r="F701" s="20" t="s">
        <v>1543</v>
      </c>
      <c r="G701" s="20" t="s">
        <v>1287</v>
      </c>
      <c r="H701" s="20" t="s">
        <v>1288</v>
      </c>
      <c r="I701" s="20">
        <v>1</v>
      </c>
      <c r="J701" s="20">
        <v>161</v>
      </c>
      <c r="K701" s="20">
        <v>1</v>
      </c>
      <c r="L701" s="20" t="s">
        <v>13</v>
      </c>
      <c r="M701" s="20"/>
      <c r="N701" s="20"/>
      <c r="O701" s="20">
        <v>14</v>
      </c>
      <c r="P701" s="20" t="s">
        <v>1209</v>
      </c>
      <c r="Q701" s="20" t="s">
        <v>1548</v>
      </c>
      <c r="R701" s="20" t="str">
        <f t="shared" si="36"/>
        <v>TOLVA DE GANADERO GRANDE</v>
      </c>
      <c r="S701" s="19">
        <f t="shared" si="37"/>
        <v>1</v>
      </c>
      <c r="T701" s="19">
        <f t="shared" si="38"/>
        <v>161</v>
      </c>
      <c r="U701" s="19"/>
      <c r="V701" s="19"/>
      <c r="W701" s="19"/>
      <c r="X701" s="19"/>
      <c r="Y701" s="19"/>
    </row>
    <row r="702" spans="1:25" ht="12" hidden="1" customHeight="1" thickBot="1" x14ac:dyDescent="0.35">
      <c r="A702" s="20">
        <v>2</v>
      </c>
      <c r="B702" s="20" t="s">
        <v>1285</v>
      </c>
      <c r="C702" s="20" t="s">
        <v>1413</v>
      </c>
      <c r="D702" s="20" t="s">
        <v>1550</v>
      </c>
      <c r="E702" s="20">
        <v>498</v>
      </c>
      <c r="F702" s="20" t="s">
        <v>1911</v>
      </c>
      <c r="G702" s="20" t="s">
        <v>1287</v>
      </c>
      <c r="H702" s="20" t="s">
        <v>1288</v>
      </c>
      <c r="I702" s="20">
        <v>2</v>
      </c>
      <c r="J702" s="20">
        <v>48</v>
      </c>
      <c r="K702" s="20">
        <v>1</v>
      </c>
      <c r="L702" s="20" t="s">
        <v>13</v>
      </c>
      <c r="M702" s="20"/>
      <c r="N702" s="20"/>
      <c r="O702" s="20">
        <v>12</v>
      </c>
      <c r="P702" s="20" t="s">
        <v>24</v>
      </c>
      <c r="Q702" s="20" t="s">
        <v>1549</v>
      </c>
      <c r="R702" s="20" t="str">
        <f t="shared" si="36"/>
        <v>BARQUITOS PLAYEROS-AZUL</v>
      </c>
      <c r="S702" s="19">
        <f t="shared" si="37"/>
        <v>2</v>
      </c>
      <c r="T702" s="19">
        <f t="shared" si="38"/>
        <v>48</v>
      </c>
      <c r="U702" s="19"/>
      <c r="V702" s="19"/>
      <c r="W702" s="19"/>
      <c r="X702" s="19"/>
      <c r="Y702" s="19"/>
    </row>
    <row r="703" spans="1:25" ht="12" hidden="1" customHeight="1" thickBot="1" x14ac:dyDescent="0.35">
      <c r="A703" s="20">
        <v>2</v>
      </c>
      <c r="B703" s="20" t="s">
        <v>1285</v>
      </c>
      <c r="C703" s="20" t="s">
        <v>1413</v>
      </c>
      <c r="D703" s="20" t="s">
        <v>1550</v>
      </c>
      <c r="E703" s="20">
        <v>498</v>
      </c>
      <c r="F703" s="20" t="s">
        <v>1914</v>
      </c>
      <c r="G703" s="20" t="s">
        <v>1287</v>
      </c>
      <c r="H703" s="20" t="s">
        <v>1288</v>
      </c>
      <c r="I703" s="20">
        <v>2</v>
      </c>
      <c r="J703" s="20">
        <v>48</v>
      </c>
      <c r="K703" s="20">
        <v>1</v>
      </c>
      <c r="L703" s="20" t="s">
        <v>13</v>
      </c>
      <c r="M703" s="20"/>
      <c r="N703" s="20"/>
      <c r="O703" s="20">
        <v>23</v>
      </c>
      <c r="P703" s="20" t="s">
        <v>1221</v>
      </c>
      <c r="Q703" s="20" t="s">
        <v>1551</v>
      </c>
      <c r="R703" s="20" t="str">
        <f t="shared" si="36"/>
        <v>BARQUITOS PLAYEROS-VERDE</v>
      </c>
      <c r="S703" s="19">
        <f t="shared" si="37"/>
        <v>2</v>
      </c>
      <c r="T703" s="19">
        <f t="shared" si="38"/>
        <v>48</v>
      </c>
      <c r="U703" s="19"/>
      <c r="V703" s="19"/>
      <c r="W703" s="19"/>
      <c r="X703" s="19"/>
      <c r="Y703" s="19"/>
    </row>
    <row r="704" spans="1:25" ht="12" hidden="1" customHeight="1" thickBot="1" x14ac:dyDescent="0.35">
      <c r="A704" s="20">
        <v>2</v>
      </c>
      <c r="B704" s="20" t="s">
        <v>1285</v>
      </c>
      <c r="C704" s="20" t="s">
        <v>1413</v>
      </c>
      <c r="D704" s="20" t="s">
        <v>1550</v>
      </c>
      <c r="E704" s="20">
        <v>498</v>
      </c>
      <c r="F704" s="20" t="s">
        <v>1912</v>
      </c>
      <c r="G704" s="20" t="s">
        <v>1287</v>
      </c>
      <c r="H704" s="20" t="s">
        <v>1288</v>
      </c>
      <c r="I704" s="20">
        <v>2</v>
      </c>
      <c r="J704" s="20">
        <v>48</v>
      </c>
      <c r="K704" s="20">
        <v>1</v>
      </c>
      <c r="L704" s="20" t="s">
        <v>13</v>
      </c>
      <c r="M704" s="20"/>
      <c r="N704" s="20"/>
      <c r="O704" s="20">
        <v>11</v>
      </c>
      <c r="P704" s="20" t="s">
        <v>1207</v>
      </c>
      <c r="Q704" s="20" t="s">
        <v>1552</v>
      </c>
      <c r="R704" s="20" t="str">
        <f t="shared" si="36"/>
        <v>BARQUITOS PLAYEROS-ANARANJADO</v>
      </c>
      <c r="S704" s="19">
        <f t="shared" si="37"/>
        <v>2</v>
      </c>
      <c r="T704" s="19">
        <f t="shared" si="38"/>
        <v>48</v>
      </c>
      <c r="U704" s="19"/>
      <c r="V704" s="19"/>
      <c r="W704" s="19"/>
      <c r="X704" s="19"/>
      <c r="Y704" s="19"/>
    </row>
    <row r="705" spans="1:25" ht="12" hidden="1" customHeight="1" thickBot="1" x14ac:dyDescent="0.35">
      <c r="A705" s="20">
        <v>2</v>
      </c>
      <c r="B705" s="20" t="s">
        <v>1285</v>
      </c>
      <c r="C705" s="20" t="s">
        <v>1413</v>
      </c>
      <c r="D705" s="20" t="s">
        <v>1550</v>
      </c>
      <c r="E705" s="20">
        <v>498</v>
      </c>
      <c r="F705" s="20" t="s">
        <v>1915</v>
      </c>
      <c r="G705" s="20" t="s">
        <v>1287</v>
      </c>
      <c r="H705" s="20" t="s">
        <v>1288</v>
      </c>
      <c r="I705" s="20">
        <v>2</v>
      </c>
      <c r="J705" s="20">
        <v>48</v>
      </c>
      <c r="K705" s="20">
        <v>1</v>
      </c>
      <c r="L705" s="20" t="s">
        <v>13</v>
      </c>
      <c r="M705" s="20"/>
      <c r="N705" s="20"/>
      <c r="O705" s="20">
        <v>19</v>
      </c>
      <c r="P705" s="20" t="s">
        <v>27</v>
      </c>
      <c r="Q705" s="20" t="s">
        <v>1553</v>
      </c>
      <c r="R705" s="20" t="str">
        <f t="shared" si="36"/>
        <v>BARQUITOS PLAYEROS-ROJO</v>
      </c>
      <c r="S705" s="19">
        <f t="shared" si="37"/>
        <v>2</v>
      </c>
      <c r="T705" s="19">
        <f t="shared" si="38"/>
        <v>48</v>
      </c>
      <c r="U705" s="19"/>
      <c r="V705" s="19"/>
      <c r="W705" s="19"/>
      <c r="X705" s="19"/>
      <c r="Y705" s="19"/>
    </row>
    <row r="706" spans="1:25" ht="12" hidden="1" customHeight="1" thickBot="1" x14ac:dyDescent="0.35">
      <c r="A706" s="20">
        <v>2</v>
      </c>
      <c r="B706" s="20" t="s">
        <v>1285</v>
      </c>
      <c r="C706" s="20" t="s">
        <v>1413</v>
      </c>
      <c r="D706" s="20" t="s">
        <v>1550</v>
      </c>
      <c r="E706" s="20">
        <v>498</v>
      </c>
      <c r="F706" s="20" t="s">
        <v>1913</v>
      </c>
      <c r="G706" s="20" t="s">
        <v>1287</v>
      </c>
      <c r="H706" s="20" t="s">
        <v>1288</v>
      </c>
      <c r="I706" s="20">
        <v>2</v>
      </c>
      <c r="J706" s="20">
        <v>48</v>
      </c>
      <c r="K706" s="20">
        <v>1</v>
      </c>
      <c r="L706" s="20" t="s">
        <v>13</v>
      </c>
      <c r="M706" s="20"/>
      <c r="N706" s="20"/>
      <c r="O706" s="20">
        <v>10</v>
      </c>
      <c r="P706" s="20" t="s">
        <v>26</v>
      </c>
      <c r="Q706" s="20" t="s">
        <v>1554</v>
      </c>
      <c r="R706" s="20" t="str">
        <f t="shared" si="36"/>
        <v>BARQUITOS PLAYEROS-AMARILLO</v>
      </c>
      <c r="S706" s="19">
        <f t="shared" si="37"/>
        <v>2</v>
      </c>
      <c r="T706" s="19">
        <f t="shared" si="38"/>
        <v>48</v>
      </c>
      <c r="U706" s="19"/>
      <c r="V706" s="19"/>
      <c r="W706" s="19"/>
      <c r="X706" s="19"/>
      <c r="Y706" s="19"/>
    </row>
    <row r="707" spans="1:25" ht="12" hidden="1" customHeight="1" thickBot="1" x14ac:dyDescent="0.35">
      <c r="A707" s="20">
        <v>2</v>
      </c>
      <c r="B707" s="20" t="s">
        <v>1285</v>
      </c>
      <c r="C707" s="20" t="s">
        <v>1413</v>
      </c>
      <c r="D707" s="20" t="s">
        <v>1550</v>
      </c>
      <c r="E707" s="20">
        <v>498</v>
      </c>
      <c r="F707" s="20" t="s">
        <v>1916</v>
      </c>
      <c r="G707" s="20" t="s">
        <v>1287</v>
      </c>
      <c r="H707" s="20" t="s">
        <v>1288</v>
      </c>
      <c r="I707" s="20">
        <v>2</v>
      </c>
      <c r="J707" s="20">
        <v>48</v>
      </c>
      <c r="K707" s="20">
        <v>1</v>
      </c>
      <c r="L707" s="20" t="s">
        <v>13</v>
      </c>
      <c r="M707" s="20"/>
      <c r="N707" s="20"/>
      <c r="O707" s="20">
        <v>16</v>
      </c>
      <c r="P707" s="20" t="s">
        <v>1212</v>
      </c>
      <c r="Q707" s="20" t="s">
        <v>1555</v>
      </c>
      <c r="R707" s="20" t="str">
        <f t="shared" si="36"/>
        <v>BARQUITOS PLAYEROS-LILA</v>
      </c>
      <c r="S707" s="19">
        <f t="shared" si="37"/>
        <v>2</v>
      </c>
      <c r="T707" s="19">
        <f t="shared" si="38"/>
        <v>48</v>
      </c>
      <c r="U707" s="19"/>
      <c r="V707" s="19"/>
      <c r="W707" s="19"/>
      <c r="X707" s="19"/>
      <c r="Y707" s="19"/>
    </row>
    <row r="708" spans="1:25" ht="12" hidden="1" customHeight="1" thickBot="1" x14ac:dyDescent="0.35">
      <c r="A708" s="20">
        <v>2</v>
      </c>
      <c r="B708" s="20" t="s">
        <v>1285</v>
      </c>
      <c r="C708" s="20" t="s">
        <v>1469</v>
      </c>
      <c r="D708" s="20" t="s">
        <v>961</v>
      </c>
      <c r="E708" s="20">
        <v>329</v>
      </c>
      <c r="F708" s="20" t="s">
        <v>1261</v>
      </c>
      <c r="G708" s="20" t="s">
        <v>1287</v>
      </c>
      <c r="H708" s="20" t="s">
        <v>1288</v>
      </c>
      <c r="I708" s="20">
        <v>1</v>
      </c>
      <c r="J708" s="20">
        <v>14</v>
      </c>
      <c r="K708" s="20">
        <v>1</v>
      </c>
      <c r="L708" s="20" t="s">
        <v>13</v>
      </c>
      <c r="M708" s="19"/>
      <c r="N708" s="19"/>
      <c r="O708" s="20">
        <v>26</v>
      </c>
      <c r="P708" s="20" t="s">
        <v>1216</v>
      </c>
      <c r="Q708" s="53" t="s">
        <v>1737</v>
      </c>
      <c r="R708" s="20" t="str">
        <f t="shared" si="36"/>
        <v>ANIMALES AGUILA-PLOMO</v>
      </c>
      <c r="S708" s="19">
        <f t="shared" si="37"/>
        <v>1</v>
      </c>
      <c r="T708" s="19">
        <f t="shared" si="38"/>
        <v>14</v>
      </c>
      <c r="U708" s="19"/>
      <c r="V708" s="19"/>
      <c r="W708" s="19"/>
      <c r="X708" s="19"/>
      <c r="Y708" s="19"/>
    </row>
    <row r="709" spans="1:25" ht="12" hidden="1" customHeight="1" thickBot="1" x14ac:dyDescent="0.35">
      <c r="A709" s="20">
        <v>2</v>
      </c>
      <c r="B709" s="20" t="s">
        <v>1285</v>
      </c>
      <c r="C709" s="20" t="s">
        <v>1738</v>
      </c>
      <c r="D709" s="20" t="s">
        <v>1739</v>
      </c>
      <c r="E709" s="20">
        <v>510</v>
      </c>
      <c r="F709" s="20" t="s">
        <v>1740</v>
      </c>
      <c r="G709" s="20" t="s">
        <v>1617</v>
      </c>
      <c r="H709" s="20" t="s">
        <v>1618</v>
      </c>
      <c r="I709" s="20">
        <v>1</v>
      </c>
      <c r="J709" s="20">
        <v>28</v>
      </c>
      <c r="K709" s="20">
        <v>1</v>
      </c>
      <c r="L709" s="20" t="s">
        <v>13</v>
      </c>
      <c r="M709" s="20"/>
      <c r="N709" s="20"/>
      <c r="O709" s="20">
        <v>20</v>
      </c>
      <c r="P709" s="20" t="s">
        <v>1217</v>
      </c>
      <c r="Q709" s="20" t="s">
        <v>1744</v>
      </c>
      <c r="R709" s="20" t="str">
        <f t="shared" si="36"/>
        <v>MINI CANASTA MERCADO-ROSADO</v>
      </c>
      <c r="S709" s="19">
        <f t="shared" si="37"/>
        <v>1</v>
      </c>
      <c r="T709" s="19">
        <f t="shared" si="38"/>
        <v>28</v>
      </c>
      <c r="U709" s="19"/>
      <c r="V709" s="19"/>
      <c r="W709" s="19"/>
      <c r="X709" s="19"/>
      <c r="Y709" s="19"/>
    </row>
    <row r="710" spans="1:25" ht="12" hidden="1" customHeight="1" thickBot="1" x14ac:dyDescent="0.35">
      <c r="A710" s="20">
        <v>2</v>
      </c>
      <c r="B710" s="20" t="s">
        <v>1285</v>
      </c>
      <c r="C710" s="20" t="s">
        <v>1738</v>
      </c>
      <c r="D710" s="20" t="s">
        <v>1739</v>
      </c>
      <c r="E710" s="20">
        <v>511</v>
      </c>
      <c r="F710" s="20" t="s">
        <v>1741</v>
      </c>
      <c r="G710" s="20" t="s">
        <v>1617</v>
      </c>
      <c r="H710" s="20" t="s">
        <v>1618</v>
      </c>
      <c r="I710" s="20">
        <v>1</v>
      </c>
      <c r="J710" s="20">
        <v>28</v>
      </c>
      <c r="K710" s="20">
        <v>1</v>
      </c>
      <c r="L710" s="20" t="s">
        <v>13</v>
      </c>
      <c r="M710" s="20"/>
      <c r="N710" s="20"/>
      <c r="O710" s="20">
        <v>16</v>
      </c>
      <c r="P710" s="20" t="s">
        <v>1212</v>
      </c>
      <c r="Q710" s="20" t="s">
        <v>1745</v>
      </c>
      <c r="R710" s="20" t="str">
        <f t="shared" si="36"/>
        <v>MINI CANASTA MERCADO-LILA</v>
      </c>
      <c r="S710" s="19">
        <f t="shared" si="37"/>
        <v>1</v>
      </c>
      <c r="T710" s="19">
        <f t="shared" si="38"/>
        <v>28</v>
      </c>
      <c r="U710" s="19"/>
      <c r="V710" s="19"/>
      <c r="W710" s="19"/>
      <c r="X710" s="19"/>
      <c r="Y710" s="19"/>
    </row>
    <row r="711" spans="1:25" ht="12" hidden="1" customHeight="1" thickBot="1" x14ac:dyDescent="0.35">
      <c r="A711" s="20">
        <v>2</v>
      </c>
      <c r="B711" s="20" t="s">
        <v>1285</v>
      </c>
      <c r="C711" s="20" t="s">
        <v>1738</v>
      </c>
      <c r="D711" s="20" t="s">
        <v>1739</v>
      </c>
      <c r="E711" s="20">
        <v>512</v>
      </c>
      <c r="F711" s="20" t="s">
        <v>1742</v>
      </c>
      <c r="G711" s="20" t="s">
        <v>1617</v>
      </c>
      <c r="H711" s="20" t="s">
        <v>1618</v>
      </c>
      <c r="I711" s="20">
        <v>1</v>
      </c>
      <c r="J711" s="20">
        <v>28</v>
      </c>
      <c r="K711" s="20">
        <v>1</v>
      </c>
      <c r="L711" s="20" t="s">
        <v>13</v>
      </c>
      <c r="M711" s="20"/>
      <c r="N711" s="20"/>
      <c r="O711" s="20">
        <v>17</v>
      </c>
      <c r="P711" s="20" t="s">
        <v>1214</v>
      </c>
      <c r="Q711" s="20" t="s">
        <v>1746</v>
      </c>
      <c r="R711" s="20" t="str">
        <f t="shared" si="36"/>
        <v>MINI CANASTA MERCADO-MELON</v>
      </c>
      <c r="S711" s="19">
        <f t="shared" si="37"/>
        <v>1</v>
      </c>
      <c r="T711" s="19">
        <f t="shared" si="38"/>
        <v>28</v>
      </c>
      <c r="U711" s="19"/>
      <c r="V711" s="19"/>
      <c r="W711" s="19"/>
      <c r="X711" s="19"/>
      <c r="Y711" s="19"/>
    </row>
    <row r="712" spans="1:25" ht="12" hidden="1" customHeight="1" thickBot="1" x14ac:dyDescent="0.35">
      <c r="A712" s="20">
        <v>2</v>
      </c>
      <c r="B712" s="20" t="s">
        <v>1285</v>
      </c>
      <c r="C712" s="20" t="s">
        <v>1738</v>
      </c>
      <c r="D712" s="20" t="s">
        <v>1739</v>
      </c>
      <c r="E712" s="20">
        <v>513</v>
      </c>
      <c r="F712" s="20" t="s">
        <v>1743</v>
      </c>
      <c r="G712" s="20" t="s">
        <v>1617</v>
      </c>
      <c r="H712" s="20" t="s">
        <v>1618</v>
      </c>
      <c r="I712" s="20">
        <v>1</v>
      </c>
      <c r="J712" s="20">
        <v>28</v>
      </c>
      <c r="K712" s="20">
        <v>1</v>
      </c>
      <c r="L712" s="20" t="s">
        <v>13</v>
      </c>
      <c r="M712" s="20"/>
      <c r="N712" s="20"/>
      <c r="O712" s="20">
        <v>22</v>
      </c>
      <c r="P712" s="20" t="s">
        <v>1614</v>
      </c>
      <c r="Q712" s="20" t="s">
        <v>1747</v>
      </c>
      <c r="R712" s="20" t="str">
        <f t="shared" si="36"/>
        <v>MINI CANASTA MERCADO-TURQUESA</v>
      </c>
      <c r="S712" s="19">
        <f t="shared" si="37"/>
        <v>1</v>
      </c>
      <c r="T712" s="19">
        <f t="shared" si="38"/>
        <v>28</v>
      </c>
      <c r="U712" s="19"/>
      <c r="V712" s="19"/>
      <c r="W712" s="19"/>
      <c r="X712" s="19"/>
      <c r="Y712" s="19"/>
    </row>
    <row r="713" spans="1:25" ht="12" hidden="1" customHeight="1" thickBot="1" x14ac:dyDescent="0.35">
      <c r="A713" s="20">
        <v>1</v>
      </c>
      <c r="B713" s="20" t="s">
        <v>1556</v>
      </c>
      <c r="C713" s="20" t="s">
        <v>1722</v>
      </c>
      <c r="D713" s="20" t="s">
        <v>1752</v>
      </c>
      <c r="E713" s="20">
        <v>401</v>
      </c>
      <c r="F713" s="20" t="s">
        <v>1753</v>
      </c>
      <c r="G713" s="20" t="s">
        <v>1617</v>
      </c>
      <c r="H713" s="20" t="s">
        <v>1618</v>
      </c>
      <c r="I713" s="20">
        <v>1</v>
      </c>
      <c r="J713" s="20">
        <v>92</v>
      </c>
      <c r="K713" s="20">
        <v>1</v>
      </c>
      <c r="L713" s="20" t="s">
        <v>13</v>
      </c>
      <c r="M713" s="20"/>
      <c r="N713" s="20"/>
      <c r="O713" s="20">
        <v>24</v>
      </c>
      <c r="P713" s="20" t="s">
        <v>1210</v>
      </c>
      <c r="Q713" s="20" t="s">
        <v>1755</v>
      </c>
      <c r="R713" s="20" t="str">
        <f t="shared" si="36"/>
        <v>FRUTERO CORONITA-CREMA</v>
      </c>
      <c r="S713" s="19">
        <f t="shared" si="37"/>
        <v>1</v>
      </c>
      <c r="T713" s="19">
        <f t="shared" si="38"/>
        <v>92</v>
      </c>
      <c r="U713" s="19"/>
      <c r="V713" s="19"/>
      <c r="W713" s="19"/>
      <c r="X713" s="19"/>
      <c r="Y713" s="19"/>
    </row>
    <row r="714" spans="1:25" ht="12" hidden="1" customHeight="1" thickBot="1" x14ac:dyDescent="0.35">
      <c r="A714" s="20">
        <v>1</v>
      </c>
      <c r="B714" s="20" t="s">
        <v>1556</v>
      </c>
      <c r="C714" s="20" t="s">
        <v>1722</v>
      </c>
      <c r="D714" s="20" t="s">
        <v>1752</v>
      </c>
      <c r="E714" s="20">
        <v>402</v>
      </c>
      <c r="F714" s="20" t="s">
        <v>1754</v>
      </c>
      <c r="G714" s="20" t="s">
        <v>1617</v>
      </c>
      <c r="H714" s="20" t="s">
        <v>1618</v>
      </c>
      <c r="I714" s="20">
        <v>1</v>
      </c>
      <c r="J714" s="20">
        <v>92</v>
      </c>
      <c r="K714" s="20">
        <v>1</v>
      </c>
      <c r="L714" s="20" t="s">
        <v>13</v>
      </c>
      <c r="M714" s="20"/>
      <c r="N714" s="20"/>
      <c r="O714" s="20">
        <v>23</v>
      </c>
      <c r="P714" s="20" t="s">
        <v>1221</v>
      </c>
      <c r="Q714" s="20" t="s">
        <v>1756</v>
      </c>
      <c r="R714" s="20" t="str">
        <f t="shared" si="36"/>
        <v>FRUTERO CORONITA-VERDE</v>
      </c>
      <c r="S714" s="19">
        <f t="shared" si="37"/>
        <v>1</v>
      </c>
      <c r="T714" s="19">
        <f t="shared" si="38"/>
        <v>92</v>
      </c>
      <c r="U714" s="19"/>
      <c r="V714" s="19"/>
      <c r="W714" s="19"/>
      <c r="X714" s="19"/>
      <c r="Y714" s="19"/>
    </row>
    <row r="715" spans="1:25" ht="12" hidden="1" customHeight="1" thickBot="1" x14ac:dyDescent="0.35">
      <c r="A715" s="20">
        <v>2</v>
      </c>
      <c r="B715" s="20" t="s">
        <v>1285</v>
      </c>
      <c r="C715" s="20" t="s">
        <v>1738</v>
      </c>
      <c r="D715" s="20" t="s">
        <v>1104</v>
      </c>
      <c r="E715" s="20">
        <v>514</v>
      </c>
      <c r="F715" s="20" t="s">
        <v>1771</v>
      </c>
      <c r="G715" s="20" t="s">
        <v>1287</v>
      </c>
      <c r="H715" s="20" t="s">
        <v>1288</v>
      </c>
      <c r="I715" s="20">
        <v>4</v>
      </c>
      <c r="J715" s="20">
        <v>4.5</v>
      </c>
      <c r="K715" s="20">
        <v>1</v>
      </c>
      <c r="L715" s="20" t="s">
        <v>13</v>
      </c>
      <c r="M715" s="20"/>
      <c r="N715" s="20"/>
      <c r="O715" s="20">
        <v>13</v>
      </c>
      <c r="P715" s="20" t="s">
        <v>25</v>
      </c>
      <c r="Q715" s="53" t="s">
        <v>1770</v>
      </c>
      <c r="R715" s="20" t="str">
        <f>F715</f>
        <v>ASA DE MINICANASTA MERCADO-BLANCO</v>
      </c>
      <c r="S715" s="19">
        <f>+I715</f>
        <v>4</v>
      </c>
      <c r="T715" s="19">
        <f>+J715</f>
        <v>4.5</v>
      </c>
      <c r="U715" s="19"/>
      <c r="V715" s="19"/>
      <c r="W715" s="19"/>
      <c r="X715" s="19"/>
      <c r="Y715" s="19"/>
    </row>
    <row r="716" spans="1:25" ht="12" hidden="1" customHeight="1" thickBot="1" x14ac:dyDescent="0.35">
      <c r="A716" s="20">
        <v>2</v>
      </c>
      <c r="B716" s="20" t="s">
        <v>1285</v>
      </c>
      <c r="C716" s="20" t="s">
        <v>1413</v>
      </c>
      <c r="D716" s="20" t="s">
        <v>1999</v>
      </c>
      <c r="E716" s="20">
        <v>260</v>
      </c>
      <c r="F716" s="52" t="s">
        <v>947</v>
      </c>
      <c r="G716" s="20" t="s">
        <v>1287</v>
      </c>
      <c r="H716" s="20" t="s">
        <v>1288</v>
      </c>
      <c r="I716" s="20">
        <v>2</v>
      </c>
      <c r="J716" s="20">
        <v>160</v>
      </c>
      <c r="K716" s="20">
        <v>1</v>
      </c>
      <c r="L716" s="20" t="s">
        <v>13</v>
      </c>
      <c r="M716" s="20"/>
      <c r="N716" s="20"/>
      <c r="O716" s="20">
        <v>19</v>
      </c>
      <c r="P716" s="20" t="s">
        <v>27</v>
      </c>
      <c r="Q716" s="53" t="s">
        <v>1772</v>
      </c>
      <c r="R716" s="20" t="str">
        <f>F716</f>
        <v>BALDE ROMANO-ROJO</v>
      </c>
      <c r="S716" s="19">
        <f>+I716</f>
        <v>2</v>
      </c>
      <c r="T716" s="19">
        <f>+J716</f>
        <v>160</v>
      </c>
      <c r="U716" s="19">
        <v>120</v>
      </c>
      <c r="V716" s="19"/>
      <c r="W716" s="19"/>
      <c r="X716" s="19"/>
      <c r="Y716" s="19"/>
    </row>
    <row r="717" spans="1:25" ht="12" hidden="1" customHeight="1" thickBot="1" x14ac:dyDescent="0.35">
      <c r="A717" s="20">
        <v>1</v>
      </c>
      <c r="B717" s="20" t="s">
        <v>1556</v>
      </c>
      <c r="C717" s="20" t="s">
        <v>1563</v>
      </c>
      <c r="D717" s="20" t="s">
        <v>1773</v>
      </c>
      <c r="E717" s="20">
        <v>403</v>
      </c>
      <c r="F717" s="20" t="s">
        <v>1774</v>
      </c>
      <c r="G717" s="20" t="s">
        <v>1603</v>
      </c>
      <c r="H717" s="20" t="s">
        <v>1604</v>
      </c>
      <c r="I717" s="20">
        <v>1</v>
      </c>
      <c r="J717" s="20">
        <v>60</v>
      </c>
      <c r="K717" s="20">
        <v>2</v>
      </c>
      <c r="L717" s="20" t="s">
        <v>12</v>
      </c>
      <c r="M717" s="19"/>
      <c r="N717" s="19"/>
      <c r="O717" s="20">
        <v>10</v>
      </c>
      <c r="P717" s="20" t="s">
        <v>26</v>
      </c>
      <c r="Q717" s="20" t="s">
        <v>1780</v>
      </c>
      <c r="R717" s="20" t="str">
        <f t="shared" ref="R717:R722" si="39">F717</f>
        <v>FLORERO DIAMANTE CARAMELO-AMARILLO</v>
      </c>
      <c r="S717" s="19">
        <f t="shared" ref="S717:S722" si="40">+I717</f>
        <v>1</v>
      </c>
      <c r="T717" s="19">
        <f t="shared" ref="T717:T722" si="41">+J717</f>
        <v>60</v>
      </c>
      <c r="U717" s="19">
        <v>130</v>
      </c>
      <c r="V717" s="19"/>
      <c r="W717" s="19"/>
      <c r="X717" s="19"/>
      <c r="Y717" s="19"/>
    </row>
    <row r="718" spans="1:25" ht="12" hidden="1" customHeight="1" thickBot="1" x14ac:dyDescent="0.35">
      <c r="A718" s="20">
        <v>1</v>
      </c>
      <c r="B718" s="20" t="s">
        <v>1556</v>
      </c>
      <c r="C718" s="20" t="s">
        <v>1563</v>
      </c>
      <c r="D718" s="20" t="s">
        <v>1773</v>
      </c>
      <c r="E718" s="20">
        <v>404</v>
      </c>
      <c r="F718" s="20" t="s">
        <v>1775</v>
      </c>
      <c r="G718" s="20" t="s">
        <v>1603</v>
      </c>
      <c r="H718" s="20" t="s">
        <v>1604</v>
      </c>
      <c r="I718" s="20">
        <v>1</v>
      </c>
      <c r="J718" s="20">
        <v>60</v>
      </c>
      <c r="K718" s="20">
        <v>2</v>
      </c>
      <c r="L718" s="20" t="s">
        <v>12</v>
      </c>
      <c r="M718" s="19"/>
      <c r="N718" s="19"/>
      <c r="O718" s="20">
        <v>11</v>
      </c>
      <c r="P718" s="20" t="s">
        <v>1207</v>
      </c>
      <c r="Q718" s="20" t="s">
        <v>1781</v>
      </c>
      <c r="R718" s="20" t="str">
        <f t="shared" si="39"/>
        <v>FLORERO DIAMANTE CARAMELO-ANARANJADO</v>
      </c>
      <c r="S718" s="19">
        <f t="shared" si="40"/>
        <v>1</v>
      </c>
      <c r="T718" s="19">
        <f t="shared" si="41"/>
        <v>60</v>
      </c>
      <c r="U718" s="19">
        <v>130</v>
      </c>
      <c r="V718" s="19"/>
      <c r="W718" s="19"/>
      <c r="X718" s="19"/>
      <c r="Y718" s="19"/>
    </row>
    <row r="719" spans="1:25" ht="12" hidden="1" customHeight="1" thickBot="1" x14ac:dyDescent="0.35">
      <c r="A719" s="20">
        <v>1</v>
      </c>
      <c r="B719" s="20" t="s">
        <v>1556</v>
      </c>
      <c r="C719" s="20" t="s">
        <v>1563</v>
      </c>
      <c r="D719" s="20" t="s">
        <v>1773</v>
      </c>
      <c r="E719" s="20">
        <v>405</v>
      </c>
      <c r="F719" s="20" t="s">
        <v>1776</v>
      </c>
      <c r="G719" s="20" t="s">
        <v>1603</v>
      </c>
      <c r="H719" s="20" t="s">
        <v>1604</v>
      </c>
      <c r="I719" s="20">
        <v>1</v>
      </c>
      <c r="J719" s="20">
        <v>60</v>
      </c>
      <c r="K719" s="20">
        <v>2</v>
      </c>
      <c r="L719" s="20" t="s">
        <v>12</v>
      </c>
      <c r="M719" s="19"/>
      <c r="N719" s="19"/>
      <c r="O719" s="20">
        <v>12</v>
      </c>
      <c r="P719" s="20" t="s">
        <v>24</v>
      </c>
      <c r="Q719" s="20" t="s">
        <v>1782</v>
      </c>
      <c r="R719" s="20" t="str">
        <f t="shared" si="39"/>
        <v>FLORERO DIAMANTE CARAMELO-AZUL</v>
      </c>
      <c r="S719" s="19">
        <f t="shared" si="40"/>
        <v>1</v>
      </c>
      <c r="T719" s="19">
        <f t="shared" si="41"/>
        <v>60</v>
      </c>
      <c r="U719" s="19">
        <v>130</v>
      </c>
      <c r="V719" s="19"/>
      <c r="W719" s="19"/>
      <c r="X719" s="19"/>
      <c r="Y719" s="19"/>
    </row>
    <row r="720" spans="1:25" ht="12" hidden="1" customHeight="1" thickBot="1" x14ac:dyDescent="0.35">
      <c r="A720" s="20">
        <v>1</v>
      </c>
      <c r="B720" s="20" t="s">
        <v>1556</v>
      </c>
      <c r="C720" s="20" t="s">
        <v>1563</v>
      </c>
      <c r="D720" s="20" t="s">
        <v>1773</v>
      </c>
      <c r="E720" s="20">
        <v>406</v>
      </c>
      <c r="F720" s="20" t="s">
        <v>1777</v>
      </c>
      <c r="G720" s="20" t="s">
        <v>1603</v>
      </c>
      <c r="H720" s="20" t="s">
        <v>1604</v>
      </c>
      <c r="I720" s="20">
        <v>1</v>
      </c>
      <c r="J720" s="20">
        <v>60</v>
      </c>
      <c r="K720" s="20">
        <v>2</v>
      </c>
      <c r="L720" s="20" t="s">
        <v>12</v>
      </c>
      <c r="M720" s="19"/>
      <c r="N720" s="19"/>
      <c r="O720" s="20">
        <v>15</v>
      </c>
      <c r="P720" s="20" t="s">
        <v>1211</v>
      </c>
      <c r="Q720" s="20" t="s">
        <v>1783</v>
      </c>
      <c r="R720" s="20" t="str">
        <f t="shared" si="39"/>
        <v>FLORERO DIAMANTE CARAMELO-FUCSIA</v>
      </c>
      <c r="S720" s="19">
        <f t="shared" si="40"/>
        <v>1</v>
      </c>
      <c r="T720" s="19">
        <f t="shared" si="41"/>
        <v>60</v>
      </c>
      <c r="U720" s="19">
        <v>130</v>
      </c>
      <c r="V720" s="19"/>
      <c r="W720" s="19"/>
      <c r="X720" s="19"/>
      <c r="Y720" s="19"/>
    </row>
    <row r="721" spans="1:25" ht="12" hidden="1" customHeight="1" thickBot="1" x14ac:dyDescent="0.35">
      <c r="A721" s="20">
        <v>1</v>
      </c>
      <c r="B721" s="20" t="s">
        <v>1556</v>
      </c>
      <c r="C721" s="20" t="s">
        <v>1563</v>
      </c>
      <c r="D721" s="20" t="s">
        <v>1773</v>
      </c>
      <c r="E721" s="20">
        <v>407</v>
      </c>
      <c r="F721" s="20" t="s">
        <v>1778</v>
      </c>
      <c r="G721" s="20" t="s">
        <v>1603</v>
      </c>
      <c r="H721" s="20" t="s">
        <v>1604</v>
      </c>
      <c r="I721" s="20">
        <v>1</v>
      </c>
      <c r="J721" s="20">
        <v>60</v>
      </c>
      <c r="K721" s="20">
        <v>2</v>
      </c>
      <c r="L721" s="20" t="s">
        <v>12</v>
      </c>
      <c r="M721" s="19"/>
      <c r="N721" s="19"/>
      <c r="O721" s="20">
        <v>16</v>
      </c>
      <c r="P721" s="20" t="s">
        <v>1212</v>
      </c>
      <c r="Q721" s="20" t="s">
        <v>1784</v>
      </c>
      <c r="R721" s="20" t="str">
        <f t="shared" si="39"/>
        <v>FLORERO DIAMANTE CARAMELO-LILA</v>
      </c>
      <c r="S721" s="19">
        <f t="shared" si="40"/>
        <v>1</v>
      </c>
      <c r="T721" s="19">
        <f t="shared" si="41"/>
        <v>60</v>
      </c>
      <c r="U721" s="19">
        <v>130</v>
      </c>
      <c r="V721" s="19"/>
      <c r="W721" s="19"/>
      <c r="X721" s="19"/>
      <c r="Y721" s="19"/>
    </row>
    <row r="722" spans="1:25" ht="12" hidden="1" customHeight="1" thickBot="1" x14ac:dyDescent="0.35">
      <c r="A722" s="20">
        <v>1</v>
      </c>
      <c r="B722" s="20" t="s">
        <v>1556</v>
      </c>
      <c r="C722" s="20" t="s">
        <v>1563</v>
      </c>
      <c r="D722" s="20" t="s">
        <v>1773</v>
      </c>
      <c r="E722" s="20">
        <v>408</v>
      </c>
      <c r="F722" s="20" t="s">
        <v>1779</v>
      </c>
      <c r="G722" s="20" t="s">
        <v>1603</v>
      </c>
      <c r="H722" s="20" t="s">
        <v>1604</v>
      </c>
      <c r="I722" s="20">
        <v>1</v>
      </c>
      <c r="J722" s="20">
        <v>60</v>
      </c>
      <c r="K722" s="20">
        <v>2</v>
      </c>
      <c r="L722" s="20" t="s">
        <v>12</v>
      </c>
      <c r="M722" s="19"/>
      <c r="N722" s="19"/>
      <c r="O722" s="20">
        <v>23</v>
      </c>
      <c r="P722" s="20" t="s">
        <v>1221</v>
      </c>
      <c r="Q722" s="20" t="s">
        <v>1785</v>
      </c>
      <c r="R722" s="20" t="str">
        <f t="shared" si="39"/>
        <v>FLORERO DIAMANTE CARAMELO-VERDE</v>
      </c>
      <c r="S722" s="19">
        <f t="shared" si="40"/>
        <v>1</v>
      </c>
      <c r="T722" s="19">
        <f t="shared" si="41"/>
        <v>60</v>
      </c>
      <c r="U722" s="19">
        <v>130</v>
      </c>
      <c r="V722" s="19"/>
      <c r="W722" s="19"/>
      <c r="X722" s="19"/>
      <c r="Y722" s="19"/>
    </row>
    <row r="723" spans="1:25" ht="12" hidden="1" customHeight="1" thickBot="1" x14ac:dyDescent="0.35">
      <c r="A723" s="20">
        <v>1</v>
      </c>
      <c r="B723" s="20" t="s">
        <v>1556</v>
      </c>
      <c r="C723" s="20" t="s">
        <v>1663</v>
      </c>
      <c r="D723" s="20" t="s">
        <v>1786</v>
      </c>
      <c r="E723" s="20">
        <v>409</v>
      </c>
      <c r="F723" s="20" t="s">
        <v>1791</v>
      </c>
      <c r="G723" s="20" t="s">
        <v>1617</v>
      </c>
      <c r="H723" s="20" t="s">
        <v>1618</v>
      </c>
      <c r="I723" s="20">
        <v>1</v>
      </c>
      <c r="J723" s="20">
        <v>20</v>
      </c>
      <c r="K723" s="20">
        <v>1</v>
      </c>
      <c r="L723" s="20" t="s">
        <v>13</v>
      </c>
      <c r="M723" s="20"/>
      <c r="N723" s="20"/>
      <c r="O723" s="20">
        <v>17</v>
      </c>
      <c r="P723" s="20" t="s">
        <v>1214</v>
      </c>
      <c r="Q723" s="20" t="s">
        <v>1787</v>
      </c>
      <c r="R723" s="20" t="str">
        <f>F723</f>
        <v>PANERITA MANZANA-MELON</v>
      </c>
      <c r="S723" s="19">
        <f t="shared" ref="S723:T728" si="42">+I723</f>
        <v>1</v>
      </c>
      <c r="T723" s="19">
        <f t="shared" si="42"/>
        <v>20</v>
      </c>
      <c r="U723" s="19"/>
      <c r="V723" s="19"/>
      <c r="W723" s="19"/>
      <c r="X723" s="19"/>
      <c r="Y723" s="19"/>
    </row>
    <row r="724" spans="1:25" ht="12" hidden="1" customHeight="1" thickBot="1" x14ac:dyDescent="0.35">
      <c r="A724" s="20">
        <v>1</v>
      </c>
      <c r="B724" s="20" t="s">
        <v>1556</v>
      </c>
      <c r="C724" s="20" t="s">
        <v>1663</v>
      </c>
      <c r="D724" s="20" t="s">
        <v>1786</v>
      </c>
      <c r="E724" s="20">
        <v>410</v>
      </c>
      <c r="F724" s="20" t="s">
        <v>1792</v>
      </c>
      <c r="G724" s="20" t="s">
        <v>1617</v>
      </c>
      <c r="H724" s="20" t="s">
        <v>1618</v>
      </c>
      <c r="I724" s="20">
        <v>1</v>
      </c>
      <c r="J724" s="20">
        <v>20</v>
      </c>
      <c r="K724" s="20">
        <v>1</v>
      </c>
      <c r="L724" s="20" t="s">
        <v>13</v>
      </c>
      <c r="M724" s="20"/>
      <c r="N724" s="20"/>
      <c r="O724" s="20">
        <v>16</v>
      </c>
      <c r="P724" s="20" t="s">
        <v>1212</v>
      </c>
      <c r="Q724" s="20" t="s">
        <v>1788</v>
      </c>
      <c r="R724" s="20" t="str">
        <f>F724</f>
        <v>PANERITA MANZANA-LILA</v>
      </c>
      <c r="S724" s="19">
        <f t="shared" si="42"/>
        <v>1</v>
      </c>
      <c r="T724" s="19">
        <f t="shared" si="42"/>
        <v>20</v>
      </c>
      <c r="U724" s="19"/>
      <c r="V724" s="19"/>
      <c r="W724" s="19"/>
      <c r="X724" s="19"/>
      <c r="Y724" s="19"/>
    </row>
    <row r="725" spans="1:25" ht="12" hidden="1" customHeight="1" thickBot="1" x14ac:dyDescent="0.35">
      <c r="A725" s="20">
        <v>1</v>
      </c>
      <c r="B725" s="20" t="s">
        <v>1556</v>
      </c>
      <c r="C725" s="20" t="s">
        <v>1663</v>
      </c>
      <c r="D725" s="20" t="s">
        <v>1786</v>
      </c>
      <c r="E725" s="20">
        <v>411</v>
      </c>
      <c r="F725" s="20" t="s">
        <v>1793</v>
      </c>
      <c r="G725" s="20" t="s">
        <v>1617</v>
      </c>
      <c r="H725" s="20" t="s">
        <v>1618</v>
      </c>
      <c r="I725" s="20">
        <v>1</v>
      </c>
      <c r="J725" s="20">
        <v>20</v>
      </c>
      <c r="K725" s="20">
        <v>1</v>
      </c>
      <c r="L725" s="20" t="s">
        <v>13</v>
      </c>
      <c r="M725" s="20"/>
      <c r="N725" s="20"/>
      <c r="O725" s="20">
        <v>22</v>
      </c>
      <c r="P725" s="20" t="s">
        <v>1614</v>
      </c>
      <c r="Q725" s="20" t="s">
        <v>1789</v>
      </c>
      <c r="R725" s="20" t="str">
        <f>F725</f>
        <v>PANERITA MANZANA-TURQUESA</v>
      </c>
      <c r="S725" s="19">
        <f t="shared" si="42"/>
        <v>1</v>
      </c>
      <c r="T725" s="19">
        <f t="shared" si="42"/>
        <v>20</v>
      </c>
      <c r="U725" s="19"/>
      <c r="V725" s="19"/>
      <c r="W725" s="19"/>
      <c r="X725" s="19"/>
      <c r="Y725" s="19"/>
    </row>
    <row r="726" spans="1:25" ht="12" hidden="1" customHeight="1" thickBot="1" x14ac:dyDescent="0.35">
      <c r="A726" s="20">
        <v>1</v>
      </c>
      <c r="B726" s="20" t="s">
        <v>1556</v>
      </c>
      <c r="C726" s="20" t="s">
        <v>1663</v>
      </c>
      <c r="D726" s="20" t="s">
        <v>1786</v>
      </c>
      <c r="E726" s="20">
        <v>412</v>
      </c>
      <c r="F726" s="20" t="s">
        <v>1107</v>
      </c>
      <c r="G726" s="20" t="s">
        <v>1617</v>
      </c>
      <c r="H726" s="20" t="s">
        <v>1618</v>
      </c>
      <c r="I726" s="20">
        <v>1</v>
      </c>
      <c r="J726" s="20">
        <v>20</v>
      </c>
      <c r="K726" s="20">
        <v>1</v>
      </c>
      <c r="L726" s="20" t="s">
        <v>13</v>
      </c>
      <c r="M726" s="20"/>
      <c r="N726" s="20"/>
      <c r="O726" s="20">
        <v>20</v>
      </c>
      <c r="P726" s="20" t="s">
        <v>1217</v>
      </c>
      <c r="Q726" s="20" t="s">
        <v>1790</v>
      </c>
      <c r="R726" s="20" t="str">
        <f>F726</f>
        <v>PANERITA MANZANA-ROSADO</v>
      </c>
      <c r="S726" s="19">
        <f t="shared" si="42"/>
        <v>1</v>
      </c>
      <c r="T726" s="19">
        <f t="shared" si="42"/>
        <v>20</v>
      </c>
      <c r="U726" s="19"/>
      <c r="V726" s="19"/>
      <c r="W726" s="19"/>
      <c r="X726" s="19"/>
      <c r="Y726" s="19"/>
    </row>
    <row r="727" spans="1:25" ht="12" hidden="1" customHeight="1" thickBot="1" x14ac:dyDescent="0.35">
      <c r="A727" s="20">
        <v>1</v>
      </c>
      <c r="B727" s="20" t="s">
        <v>1556</v>
      </c>
      <c r="C727" s="20" t="s">
        <v>1714</v>
      </c>
      <c r="D727" s="20" t="s">
        <v>1715</v>
      </c>
      <c r="E727" s="20">
        <v>419</v>
      </c>
      <c r="F727" s="20" t="s">
        <v>2004</v>
      </c>
      <c r="G727" s="20" t="s">
        <v>1561</v>
      </c>
      <c r="H727" s="20" t="s">
        <v>1218</v>
      </c>
      <c r="I727" s="20">
        <v>1</v>
      </c>
      <c r="J727" s="20">
        <v>303</v>
      </c>
      <c r="K727" s="20">
        <v>1</v>
      </c>
      <c r="L727" s="20" t="s">
        <v>13</v>
      </c>
      <c r="M727" s="20"/>
      <c r="N727" s="20"/>
      <c r="O727" s="20">
        <v>21</v>
      </c>
      <c r="P727" s="20" t="s">
        <v>1218</v>
      </c>
      <c r="Q727" s="20" t="s">
        <v>1795</v>
      </c>
      <c r="R727" s="20" t="str">
        <f t="shared" ref="R727:R733" si="43">F727</f>
        <v>TAPA PORTAVAJILLA</v>
      </c>
      <c r="S727" s="19">
        <f t="shared" si="42"/>
        <v>1</v>
      </c>
      <c r="T727" s="19">
        <f t="shared" si="42"/>
        <v>303</v>
      </c>
      <c r="U727" s="19">
        <v>120</v>
      </c>
      <c r="V727" s="19"/>
      <c r="W727" s="19"/>
      <c r="X727" s="19"/>
      <c r="Y727" s="19"/>
    </row>
    <row r="728" spans="1:25" ht="12" hidden="1" customHeight="1" thickBot="1" x14ac:dyDescent="0.35">
      <c r="A728" s="20">
        <v>1</v>
      </c>
      <c r="B728" s="20" t="s">
        <v>1556</v>
      </c>
      <c r="C728" s="20" t="s">
        <v>1714</v>
      </c>
      <c r="D728" s="18" t="s">
        <v>1249</v>
      </c>
      <c r="E728" s="20">
        <v>420</v>
      </c>
      <c r="F728" s="47" t="s">
        <v>1246</v>
      </c>
      <c r="G728" s="20" t="s">
        <v>1603</v>
      </c>
      <c r="H728" s="20" t="s">
        <v>1604</v>
      </c>
      <c r="I728" s="20">
        <v>1</v>
      </c>
      <c r="J728" s="20">
        <v>375</v>
      </c>
      <c r="K728" s="20">
        <v>1</v>
      </c>
      <c r="L728" s="20" t="s">
        <v>13</v>
      </c>
      <c r="M728" s="20"/>
      <c r="N728" s="20"/>
      <c r="O728" s="20">
        <v>24</v>
      </c>
      <c r="P728" s="20" t="s">
        <v>1210</v>
      </c>
      <c r="Q728" s="20" t="s">
        <v>1796</v>
      </c>
      <c r="R728" s="20" t="str">
        <f t="shared" si="43"/>
        <v>BASE PORTA VAJILLA CARAMELO-CREMA</v>
      </c>
      <c r="S728" s="19">
        <f t="shared" si="42"/>
        <v>1</v>
      </c>
      <c r="T728" s="19">
        <f t="shared" si="42"/>
        <v>375</v>
      </c>
      <c r="U728" s="19">
        <v>100</v>
      </c>
      <c r="V728" s="19"/>
      <c r="W728" s="19"/>
      <c r="X728" s="19"/>
      <c r="Y728" s="19"/>
    </row>
    <row r="729" spans="1:25" ht="12" hidden="1" customHeight="1" thickBot="1" x14ac:dyDescent="0.35">
      <c r="A729" s="20">
        <v>1</v>
      </c>
      <c r="B729" s="20" t="s">
        <v>1556</v>
      </c>
      <c r="C729" s="20" t="s">
        <v>1714</v>
      </c>
      <c r="D729" s="18" t="s">
        <v>1249</v>
      </c>
      <c r="E729" s="20">
        <v>421</v>
      </c>
      <c r="F729" s="47" t="s">
        <v>1247</v>
      </c>
      <c r="G729" s="20" t="s">
        <v>1603</v>
      </c>
      <c r="H729" s="20" t="s">
        <v>1604</v>
      </c>
      <c r="I729" s="20">
        <v>1</v>
      </c>
      <c r="J729" s="20">
        <v>375</v>
      </c>
      <c r="K729" s="20">
        <v>1</v>
      </c>
      <c r="L729" s="20" t="s">
        <v>13</v>
      </c>
      <c r="M729" s="20"/>
      <c r="N729" s="20"/>
      <c r="O729" s="20">
        <v>17</v>
      </c>
      <c r="P729" s="20" t="s">
        <v>1214</v>
      </c>
      <c r="Q729" s="20" t="s">
        <v>1797</v>
      </c>
      <c r="R729" s="20" t="str">
        <f t="shared" si="43"/>
        <v>BASE PORTA VAJILLA CARAMELO-MELON</v>
      </c>
      <c r="S729" s="19">
        <f t="shared" ref="S729:S790" si="44">+I729</f>
        <v>1</v>
      </c>
      <c r="T729" s="19">
        <f t="shared" ref="T729:T790" si="45">+J729</f>
        <v>375</v>
      </c>
      <c r="U729" s="19">
        <v>100</v>
      </c>
      <c r="V729" s="19"/>
      <c r="W729" s="19"/>
      <c r="X729" s="19"/>
      <c r="Y729" s="19"/>
    </row>
    <row r="730" spans="1:25" ht="12" hidden="1" customHeight="1" thickBot="1" x14ac:dyDescent="0.35">
      <c r="A730" s="20">
        <v>1</v>
      </c>
      <c r="B730" s="20" t="s">
        <v>1556</v>
      </c>
      <c r="C730" s="20" t="s">
        <v>1714</v>
      </c>
      <c r="D730" s="18" t="s">
        <v>1249</v>
      </c>
      <c r="E730" s="20">
        <v>422</v>
      </c>
      <c r="F730" s="6" t="s">
        <v>2225</v>
      </c>
      <c r="G730" s="20" t="s">
        <v>1603</v>
      </c>
      <c r="H730" s="20" t="s">
        <v>1604</v>
      </c>
      <c r="I730" s="20">
        <v>1</v>
      </c>
      <c r="J730" s="20">
        <v>375</v>
      </c>
      <c r="K730" s="20">
        <v>1</v>
      </c>
      <c r="L730" s="20" t="s">
        <v>13</v>
      </c>
      <c r="M730" s="20"/>
      <c r="N730" s="20"/>
      <c r="O730" s="20">
        <v>22</v>
      </c>
      <c r="P730" s="20" t="s">
        <v>1614</v>
      </c>
      <c r="Q730" s="20" t="s">
        <v>1798</v>
      </c>
      <c r="R730" s="20" t="str">
        <f t="shared" si="43"/>
        <v>BASE PORTA VAJILLA CARAMELO-TURQUESA</v>
      </c>
      <c r="S730" s="19">
        <f t="shared" si="44"/>
        <v>1</v>
      </c>
      <c r="T730" s="19">
        <f t="shared" si="45"/>
        <v>375</v>
      </c>
      <c r="U730" s="19">
        <v>100</v>
      </c>
      <c r="V730" s="19"/>
      <c r="W730" s="19"/>
      <c r="X730" s="19"/>
      <c r="Y730" s="19"/>
    </row>
    <row r="731" spans="1:25" ht="12" hidden="1" customHeight="1" thickBot="1" x14ac:dyDescent="0.35">
      <c r="A731" s="20">
        <v>1</v>
      </c>
      <c r="B731" s="20" t="s">
        <v>1556</v>
      </c>
      <c r="C731" s="20" t="s">
        <v>1714</v>
      </c>
      <c r="D731" s="18" t="s">
        <v>1249</v>
      </c>
      <c r="E731" s="20">
        <v>423</v>
      </c>
      <c r="F731" s="47" t="s">
        <v>1926</v>
      </c>
      <c r="G731" s="20" t="s">
        <v>1603</v>
      </c>
      <c r="H731" s="20" t="s">
        <v>1604</v>
      </c>
      <c r="I731" s="20">
        <v>1</v>
      </c>
      <c r="J731" s="20">
        <v>375</v>
      </c>
      <c r="K731" s="20">
        <v>1</v>
      </c>
      <c r="L731" s="20" t="s">
        <v>13</v>
      </c>
      <c r="M731" s="20"/>
      <c r="N731" s="20"/>
      <c r="O731" s="20">
        <v>15</v>
      </c>
      <c r="P731" s="20" t="s">
        <v>1211</v>
      </c>
      <c r="Q731" s="20" t="s">
        <v>1799</v>
      </c>
      <c r="R731" s="20" t="str">
        <f t="shared" si="43"/>
        <v>BASE PORTA VAJILLA CARAMELO-FUCSIA</v>
      </c>
      <c r="S731" s="19">
        <f t="shared" si="44"/>
        <v>1</v>
      </c>
      <c r="T731" s="19">
        <f t="shared" si="45"/>
        <v>375</v>
      </c>
      <c r="U731" s="19">
        <v>100</v>
      </c>
      <c r="V731" s="19"/>
      <c r="W731" s="19"/>
      <c r="X731" s="19"/>
      <c r="Y731" s="19"/>
    </row>
    <row r="732" spans="1:25" ht="12" hidden="1" customHeight="1" thickBot="1" x14ac:dyDescent="0.35">
      <c r="A732" s="20">
        <v>1</v>
      </c>
      <c r="B732" s="20" t="s">
        <v>1556</v>
      </c>
      <c r="C732" s="20" t="s">
        <v>1714</v>
      </c>
      <c r="D732" s="18" t="s">
        <v>1249</v>
      </c>
      <c r="E732" s="20">
        <v>424</v>
      </c>
      <c r="F732" s="31" t="s">
        <v>1245</v>
      </c>
      <c r="G732" s="20" t="s">
        <v>1603</v>
      </c>
      <c r="H732" s="20" t="s">
        <v>1604</v>
      </c>
      <c r="I732" s="20">
        <v>1</v>
      </c>
      <c r="J732" s="20">
        <v>375</v>
      </c>
      <c r="K732" s="20">
        <v>1</v>
      </c>
      <c r="L732" s="20" t="s">
        <v>13</v>
      </c>
      <c r="M732" s="20"/>
      <c r="N732" s="20"/>
      <c r="O732" s="20">
        <v>16</v>
      </c>
      <c r="P732" s="20" t="s">
        <v>1212</v>
      </c>
      <c r="Q732" s="20" t="s">
        <v>1800</v>
      </c>
      <c r="R732" s="20" t="str">
        <f t="shared" si="43"/>
        <v>BASE PORTA VAJILLA CARAMELO-LILA</v>
      </c>
      <c r="S732" s="19">
        <f t="shared" si="44"/>
        <v>1</v>
      </c>
      <c r="T732" s="19">
        <f t="shared" si="45"/>
        <v>375</v>
      </c>
      <c r="U732" s="19">
        <v>100</v>
      </c>
      <c r="V732" s="19"/>
      <c r="W732" s="19"/>
      <c r="X732" s="19"/>
      <c r="Y732" s="19"/>
    </row>
    <row r="733" spans="1:25" ht="12" hidden="1" customHeight="1" thickBot="1" x14ac:dyDescent="0.35">
      <c r="A733" s="20">
        <v>1</v>
      </c>
      <c r="B733" s="20" t="s">
        <v>1556</v>
      </c>
      <c r="C733" s="20" t="s">
        <v>1714</v>
      </c>
      <c r="D733" s="18" t="s">
        <v>1249</v>
      </c>
      <c r="E733" s="20">
        <v>425</v>
      </c>
      <c r="F733" s="47" t="s">
        <v>1248</v>
      </c>
      <c r="G733" s="20" t="s">
        <v>1603</v>
      </c>
      <c r="H733" s="20" t="s">
        <v>1604</v>
      </c>
      <c r="I733" s="20">
        <v>1</v>
      </c>
      <c r="J733" s="20">
        <v>375</v>
      </c>
      <c r="K733" s="20">
        <v>1</v>
      </c>
      <c r="L733" s="20" t="s">
        <v>13</v>
      </c>
      <c r="M733" s="20"/>
      <c r="N733" s="20"/>
      <c r="O733" s="20">
        <v>23</v>
      </c>
      <c r="P733" s="20" t="s">
        <v>1221</v>
      </c>
      <c r="Q733" s="20" t="s">
        <v>1801</v>
      </c>
      <c r="R733" s="20" t="str">
        <f t="shared" si="43"/>
        <v>BASE PORTA VAJILLA CARAMELO-VERDE</v>
      </c>
      <c r="S733" s="19">
        <f t="shared" si="44"/>
        <v>1</v>
      </c>
      <c r="T733" s="19">
        <f t="shared" si="45"/>
        <v>375</v>
      </c>
      <c r="U733" s="19">
        <v>100</v>
      </c>
      <c r="V733" s="19"/>
      <c r="W733" s="19"/>
      <c r="X733" s="19"/>
      <c r="Y733" s="19"/>
    </row>
    <row r="734" spans="1:25" ht="12" hidden="1" customHeight="1" thickBot="1" x14ac:dyDescent="0.35">
      <c r="A734" s="20">
        <v>1</v>
      </c>
      <c r="B734" s="20" t="s">
        <v>1556</v>
      </c>
      <c r="C734" s="20" t="s">
        <v>1802</v>
      </c>
      <c r="D734" s="20" t="s">
        <v>1803</v>
      </c>
      <c r="E734" s="20">
        <v>426</v>
      </c>
      <c r="F734" s="20" t="s">
        <v>1804</v>
      </c>
      <c r="G734" s="20" t="s">
        <v>1287</v>
      </c>
      <c r="H734" s="20" t="s">
        <v>1288</v>
      </c>
      <c r="I734" s="20">
        <v>8</v>
      </c>
      <c r="J734" s="20">
        <v>22</v>
      </c>
      <c r="K734" s="20">
        <v>1</v>
      </c>
      <c r="L734" s="20" t="s">
        <v>13</v>
      </c>
      <c r="M734" s="20"/>
      <c r="N734" s="20"/>
      <c r="O734" s="20">
        <v>10</v>
      </c>
      <c r="P734" s="20" t="s">
        <v>26</v>
      </c>
      <c r="Q734" s="26" t="s">
        <v>1809</v>
      </c>
      <c r="R734" s="20" t="str">
        <f t="shared" ref="R734:R739" si="46">F734</f>
        <v>TAPA TOMATODO DOBLE CLICK-AMARILLO</v>
      </c>
      <c r="S734" s="19">
        <f t="shared" si="44"/>
        <v>8</v>
      </c>
      <c r="T734" s="19">
        <f t="shared" si="45"/>
        <v>22</v>
      </c>
      <c r="U734" s="19">
        <v>80</v>
      </c>
      <c r="V734" s="19"/>
      <c r="W734" s="19"/>
      <c r="X734" s="19"/>
      <c r="Y734" s="19"/>
    </row>
    <row r="735" spans="1:25" ht="12" hidden="1" customHeight="1" thickBot="1" x14ac:dyDescent="0.35">
      <c r="A735" s="20">
        <v>1</v>
      </c>
      <c r="B735" s="20" t="s">
        <v>1556</v>
      </c>
      <c r="C735" s="20" t="s">
        <v>1802</v>
      </c>
      <c r="D735" s="20" t="s">
        <v>1803</v>
      </c>
      <c r="E735" s="20">
        <v>427</v>
      </c>
      <c r="F735" s="20" t="s">
        <v>1962</v>
      </c>
      <c r="G735" s="20" t="s">
        <v>1287</v>
      </c>
      <c r="H735" s="20" t="s">
        <v>1288</v>
      </c>
      <c r="I735" s="20">
        <v>8</v>
      </c>
      <c r="J735" s="20">
        <v>22</v>
      </c>
      <c r="K735" s="20">
        <v>1</v>
      </c>
      <c r="L735" s="20" t="s">
        <v>13</v>
      </c>
      <c r="M735" s="20"/>
      <c r="N735" s="20"/>
      <c r="O735" s="20">
        <v>11</v>
      </c>
      <c r="P735" s="20" t="s">
        <v>1207</v>
      </c>
      <c r="Q735" s="26" t="s">
        <v>1810</v>
      </c>
      <c r="R735" s="20" t="str">
        <f t="shared" si="46"/>
        <v>TAPA TOMATODO DOBLE CLICK-ANARANJADO</v>
      </c>
      <c r="S735" s="19">
        <f t="shared" si="44"/>
        <v>8</v>
      </c>
      <c r="T735" s="19">
        <f t="shared" si="45"/>
        <v>22</v>
      </c>
      <c r="U735" s="19">
        <v>80</v>
      </c>
      <c r="V735" s="19"/>
      <c r="W735" s="19"/>
      <c r="X735" s="19"/>
      <c r="Y735" s="19"/>
    </row>
    <row r="736" spans="1:25" ht="12" hidden="1" customHeight="1" thickBot="1" x14ac:dyDescent="0.35">
      <c r="A736" s="20">
        <v>1</v>
      </c>
      <c r="B736" s="20" t="s">
        <v>1556</v>
      </c>
      <c r="C736" s="20" t="s">
        <v>1802</v>
      </c>
      <c r="D736" s="20" t="s">
        <v>1803</v>
      </c>
      <c r="E736" s="20">
        <v>428</v>
      </c>
      <c r="F736" s="20" t="s">
        <v>1805</v>
      </c>
      <c r="G736" s="20" t="s">
        <v>1287</v>
      </c>
      <c r="H736" s="20" t="s">
        <v>1288</v>
      </c>
      <c r="I736" s="20">
        <v>8</v>
      </c>
      <c r="J736" s="20">
        <v>22</v>
      </c>
      <c r="K736" s="20">
        <v>1</v>
      </c>
      <c r="L736" s="20" t="s">
        <v>13</v>
      </c>
      <c r="M736" s="20"/>
      <c r="N736" s="20"/>
      <c r="O736" s="20">
        <v>22</v>
      </c>
      <c r="P736" s="20" t="s">
        <v>1614</v>
      </c>
      <c r="Q736" s="26" t="s">
        <v>1811</v>
      </c>
      <c r="R736" s="20" t="str">
        <f t="shared" si="46"/>
        <v>TAPA TOMATODO DOBLE CLICK-TURQUESA</v>
      </c>
      <c r="S736" s="19">
        <f t="shared" si="44"/>
        <v>8</v>
      </c>
      <c r="T736" s="19">
        <f t="shared" si="45"/>
        <v>22</v>
      </c>
      <c r="U736" s="19">
        <v>80</v>
      </c>
      <c r="V736" s="19"/>
      <c r="W736" s="19"/>
      <c r="X736" s="19"/>
      <c r="Y736" s="19"/>
    </row>
    <row r="737" spans="1:25" ht="12" hidden="1" customHeight="1" thickBot="1" x14ac:dyDescent="0.35">
      <c r="A737" s="20">
        <v>1</v>
      </c>
      <c r="B737" s="20" t="s">
        <v>1556</v>
      </c>
      <c r="C737" s="20" t="s">
        <v>1802</v>
      </c>
      <c r="D737" s="20" t="s">
        <v>1803</v>
      </c>
      <c r="E737" s="20">
        <v>429</v>
      </c>
      <c r="F737" s="20" t="s">
        <v>1806</v>
      </c>
      <c r="G737" s="20" t="s">
        <v>1287</v>
      </c>
      <c r="H737" s="20" t="s">
        <v>1288</v>
      </c>
      <c r="I737" s="20">
        <v>8</v>
      </c>
      <c r="J737" s="20">
        <v>22</v>
      </c>
      <c r="K737" s="20">
        <v>1</v>
      </c>
      <c r="L737" s="20" t="s">
        <v>13</v>
      </c>
      <c r="M737" s="20"/>
      <c r="N737" s="20"/>
      <c r="O737" s="20">
        <v>15</v>
      </c>
      <c r="P737" s="20" t="s">
        <v>1211</v>
      </c>
      <c r="Q737" s="26" t="s">
        <v>1812</v>
      </c>
      <c r="R737" s="20" t="str">
        <f t="shared" si="46"/>
        <v>TAPA TOMATODO DOBLE CLICK-FUCSIA</v>
      </c>
      <c r="S737" s="19">
        <f t="shared" si="44"/>
        <v>8</v>
      </c>
      <c r="T737" s="19">
        <f t="shared" si="45"/>
        <v>22</v>
      </c>
      <c r="U737" s="19">
        <v>80</v>
      </c>
      <c r="V737" s="19"/>
      <c r="W737" s="19"/>
      <c r="X737" s="19"/>
      <c r="Y737" s="19"/>
    </row>
    <row r="738" spans="1:25" ht="12" hidden="1" customHeight="1" thickBot="1" x14ac:dyDescent="0.35">
      <c r="A738" s="20">
        <v>1</v>
      </c>
      <c r="B738" s="20" t="s">
        <v>1556</v>
      </c>
      <c r="C738" s="20" t="s">
        <v>1802</v>
      </c>
      <c r="D738" s="20" t="s">
        <v>1803</v>
      </c>
      <c r="E738" s="20">
        <v>430</v>
      </c>
      <c r="F738" s="20" t="s">
        <v>1807</v>
      </c>
      <c r="G738" s="20" t="s">
        <v>1287</v>
      </c>
      <c r="H738" s="20" t="s">
        <v>1288</v>
      </c>
      <c r="I738" s="20">
        <v>8</v>
      </c>
      <c r="J738" s="20">
        <v>22</v>
      </c>
      <c r="K738" s="20">
        <v>1</v>
      </c>
      <c r="L738" s="20" t="s">
        <v>13</v>
      </c>
      <c r="M738" s="20"/>
      <c r="N738" s="20"/>
      <c r="O738" s="20">
        <v>16</v>
      </c>
      <c r="P738" s="20" t="s">
        <v>1212</v>
      </c>
      <c r="Q738" s="26" t="s">
        <v>1813</v>
      </c>
      <c r="R738" s="20" t="str">
        <f t="shared" si="46"/>
        <v>TAPA TOMATODO DOBLE CLICK-LILA</v>
      </c>
      <c r="S738" s="19">
        <f t="shared" si="44"/>
        <v>8</v>
      </c>
      <c r="T738" s="19">
        <f t="shared" si="45"/>
        <v>22</v>
      </c>
      <c r="U738" s="19">
        <v>80</v>
      </c>
      <c r="V738" s="19"/>
      <c r="W738" s="19"/>
      <c r="X738" s="19"/>
      <c r="Y738" s="19"/>
    </row>
    <row r="739" spans="1:25" ht="12" hidden="1" customHeight="1" thickBot="1" x14ac:dyDescent="0.35">
      <c r="A739" s="20">
        <v>1</v>
      </c>
      <c r="B739" s="20" t="s">
        <v>1556</v>
      </c>
      <c r="C739" s="20" t="s">
        <v>1802</v>
      </c>
      <c r="D739" s="20" t="s">
        <v>1803</v>
      </c>
      <c r="E739" s="20">
        <v>431</v>
      </c>
      <c r="F739" s="20" t="s">
        <v>1808</v>
      </c>
      <c r="G739" s="20" t="s">
        <v>1287</v>
      </c>
      <c r="H739" s="20" t="s">
        <v>1288</v>
      </c>
      <c r="I739" s="20">
        <v>8</v>
      </c>
      <c r="J739" s="20">
        <v>22</v>
      </c>
      <c r="K739" s="20">
        <v>1</v>
      </c>
      <c r="L739" s="20" t="s">
        <v>13</v>
      </c>
      <c r="M739" s="20"/>
      <c r="N739" s="20"/>
      <c r="O739" s="20">
        <v>23</v>
      </c>
      <c r="P739" s="20" t="s">
        <v>1221</v>
      </c>
      <c r="Q739" s="26" t="s">
        <v>1814</v>
      </c>
      <c r="R739" s="20" t="str">
        <f t="shared" si="46"/>
        <v>TAPA TOMATODO DOBLE CLICK-VERDE</v>
      </c>
      <c r="S739" s="19">
        <f t="shared" si="44"/>
        <v>8</v>
      </c>
      <c r="T739" s="19">
        <f t="shared" si="45"/>
        <v>22</v>
      </c>
      <c r="U739" s="19">
        <v>80</v>
      </c>
      <c r="V739" s="19"/>
      <c r="W739" s="19"/>
      <c r="X739" s="19"/>
      <c r="Y739" s="19"/>
    </row>
    <row r="740" spans="1:25" ht="12" hidden="1" customHeight="1" thickBot="1" x14ac:dyDescent="0.35">
      <c r="A740" s="20">
        <v>2</v>
      </c>
      <c r="B740" s="20" t="s">
        <v>1285</v>
      </c>
      <c r="C740" s="20" t="s">
        <v>1469</v>
      </c>
      <c r="D740" s="20" t="s">
        <v>1815</v>
      </c>
      <c r="E740" s="20">
        <v>516</v>
      </c>
      <c r="F740" s="20" t="s">
        <v>1816</v>
      </c>
      <c r="G740" s="20" t="s">
        <v>1287</v>
      </c>
      <c r="H740" s="20" t="s">
        <v>1288</v>
      </c>
      <c r="I740" s="20">
        <v>2</v>
      </c>
      <c r="J740" s="20">
        <v>8</v>
      </c>
      <c r="K740" s="20">
        <v>1</v>
      </c>
      <c r="L740" s="20" t="s">
        <v>13</v>
      </c>
      <c r="M740" s="20"/>
      <c r="N740" s="20"/>
      <c r="O740" s="20">
        <v>10</v>
      </c>
      <c r="P740" s="20" t="s">
        <v>26</v>
      </c>
      <c r="Q740" s="20" t="s">
        <v>1820</v>
      </c>
      <c r="R740" s="20" t="str">
        <f>F740</f>
        <v>LLANTA PANDA-AMARILLO</v>
      </c>
      <c r="S740" s="19">
        <f t="shared" si="44"/>
        <v>2</v>
      </c>
      <c r="T740" s="19">
        <f t="shared" si="45"/>
        <v>8</v>
      </c>
      <c r="U740" s="19"/>
      <c r="V740" s="19"/>
      <c r="W740" s="19"/>
      <c r="X740" s="19"/>
      <c r="Y740" s="19"/>
    </row>
    <row r="741" spans="1:25" ht="12" hidden="1" customHeight="1" thickBot="1" x14ac:dyDescent="0.35">
      <c r="A741" s="20">
        <v>2</v>
      </c>
      <c r="B741" s="20" t="s">
        <v>1285</v>
      </c>
      <c r="C741" s="20" t="s">
        <v>1469</v>
      </c>
      <c r="D741" s="20" t="s">
        <v>1815</v>
      </c>
      <c r="E741" s="20">
        <v>517</v>
      </c>
      <c r="F741" s="20" t="s">
        <v>1817</v>
      </c>
      <c r="G741" s="20" t="s">
        <v>1287</v>
      </c>
      <c r="H741" s="20" t="s">
        <v>1288</v>
      </c>
      <c r="I741" s="20">
        <v>1</v>
      </c>
      <c r="J741" s="20">
        <v>8</v>
      </c>
      <c r="K741" s="20">
        <v>1</v>
      </c>
      <c r="L741" s="20" t="s">
        <v>13</v>
      </c>
      <c r="M741" s="20"/>
      <c r="N741" s="20"/>
      <c r="O741" s="20">
        <v>19</v>
      </c>
      <c r="P741" s="20" t="s">
        <v>27</v>
      </c>
      <c r="Q741" s="20" t="s">
        <v>1821</v>
      </c>
      <c r="R741" s="20" t="str">
        <f>F741</f>
        <v>LLANTA PANDA-VERDE</v>
      </c>
      <c r="S741" s="19">
        <f t="shared" si="44"/>
        <v>1</v>
      </c>
      <c r="T741" s="19">
        <f t="shared" si="45"/>
        <v>8</v>
      </c>
      <c r="U741" s="19"/>
      <c r="V741" s="19"/>
      <c r="W741" s="19"/>
      <c r="X741" s="19"/>
      <c r="Y741" s="19"/>
    </row>
    <row r="742" spans="1:25" ht="12" hidden="1" customHeight="1" thickBot="1" x14ac:dyDescent="0.35">
      <c r="A742" s="20">
        <v>2</v>
      </c>
      <c r="B742" s="20" t="s">
        <v>1285</v>
      </c>
      <c r="C742" s="20" t="s">
        <v>1469</v>
      </c>
      <c r="D742" s="20" t="s">
        <v>1815</v>
      </c>
      <c r="E742" s="20">
        <v>518</v>
      </c>
      <c r="F742" s="20" t="s">
        <v>1818</v>
      </c>
      <c r="G742" s="20" t="s">
        <v>1287</v>
      </c>
      <c r="H742" s="20" t="s">
        <v>1288</v>
      </c>
      <c r="I742" s="20">
        <v>1</v>
      </c>
      <c r="J742" s="20">
        <v>8</v>
      </c>
      <c r="K742" s="20">
        <v>1</v>
      </c>
      <c r="L742" s="20" t="s">
        <v>13</v>
      </c>
      <c r="M742" s="20"/>
      <c r="N742" s="20"/>
      <c r="O742" s="20">
        <v>23</v>
      </c>
      <c r="P742" s="20" t="s">
        <v>1221</v>
      </c>
      <c r="Q742" s="20" t="s">
        <v>1822</v>
      </c>
      <c r="R742" s="20" t="str">
        <f>F742</f>
        <v>LLANTA PANDA-CELESTE</v>
      </c>
      <c r="S742" s="19">
        <f t="shared" si="44"/>
        <v>1</v>
      </c>
      <c r="T742" s="19">
        <f t="shared" si="45"/>
        <v>8</v>
      </c>
      <c r="U742" s="19"/>
      <c r="V742" s="19"/>
      <c r="W742" s="19"/>
      <c r="X742" s="19"/>
      <c r="Y742" s="19"/>
    </row>
    <row r="743" spans="1:25" ht="12" hidden="1" customHeight="1" thickBot="1" x14ac:dyDescent="0.35">
      <c r="A743" s="20">
        <v>2</v>
      </c>
      <c r="B743" s="20" t="s">
        <v>1285</v>
      </c>
      <c r="C743" s="20" t="s">
        <v>1469</v>
      </c>
      <c r="D743" s="20" t="s">
        <v>1815</v>
      </c>
      <c r="E743" s="20">
        <v>519</v>
      </c>
      <c r="F743" s="20" t="s">
        <v>1819</v>
      </c>
      <c r="G743" s="20" t="s">
        <v>1287</v>
      </c>
      <c r="H743" s="20" t="s">
        <v>1288</v>
      </c>
      <c r="I743" s="20">
        <v>1</v>
      </c>
      <c r="J743" s="20">
        <v>8</v>
      </c>
      <c r="K743" s="20">
        <v>1</v>
      </c>
      <c r="L743" s="20" t="s">
        <v>13</v>
      </c>
      <c r="M743" s="20"/>
      <c r="N743" s="20"/>
      <c r="O743" s="20">
        <v>14</v>
      </c>
      <c r="P743" s="20" t="s">
        <v>1209</v>
      </c>
      <c r="Q743" s="20" t="s">
        <v>1823</v>
      </c>
      <c r="R743" s="20" t="str">
        <f>F743</f>
        <v>LLANTA PANDA-ROJO</v>
      </c>
      <c r="S743" s="19">
        <f t="shared" si="44"/>
        <v>1</v>
      </c>
      <c r="T743" s="19">
        <f t="shared" si="45"/>
        <v>8</v>
      </c>
      <c r="U743" s="19"/>
      <c r="V743" s="19"/>
      <c r="W743" s="19"/>
      <c r="X743" s="19"/>
      <c r="Y743" s="19"/>
    </row>
    <row r="744" spans="1:25" ht="12" hidden="1" customHeight="1" thickBot="1" x14ac:dyDescent="0.35">
      <c r="A744" s="20">
        <v>2</v>
      </c>
      <c r="B744" s="20" t="s">
        <v>1285</v>
      </c>
      <c r="C744" s="20" t="s">
        <v>1469</v>
      </c>
      <c r="D744" s="20" t="s">
        <v>1830</v>
      </c>
      <c r="E744" s="20">
        <v>520</v>
      </c>
      <c r="F744" s="20" t="s">
        <v>1824</v>
      </c>
      <c r="G744" s="20" t="s">
        <v>1287</v>
      </c>
      <c r="H744" s="20" t="s">
        <v>1288</v>
      </c>
      <c r="I744" s="20">
        <v>2</v>
      </c>
      <c r="J744" s="20">
        <v>30</v>
      </c>
      <c r="K744" s="20">
        <v>1</v>
      </c>
      <c r="L744" s="20" t="s">
        <v>13</v>
      </c>
      <c r="M744" s="20"/>
      <c r="N744" s="20"/>
      <c r="O744" s="20">
        <v>12</v>
      </c>
      <c r="P744" s="20" t="s">
        <v>24</v>
      </c>
      <c r="Q744" s="20" t="s">
        <v>1831</v>
      </c>
      <c r="R744" s="20" t="str">
        <f t="shared" ref="R744:R749" si="47">F744</f>
        <v>CISTERNA AGUILA-AZUL</v>
      </c>
      <c r="S744" s="19">
        <f t="shared" si="44"/>
        <v>2</v>
      </c>
      <c r="T744" s="19">
        <f t="shared" si="45"/>
        <v>30</v>
      </c>
      <c r="U744" s="19"/>
      <c r="V744" s="19"/>
      <c r="W744" s="19"/>
      <c r="X744" s="19"/>
      <c r="Y744" s="19"/>
    </row>
    <row r="745" spans="1:25" ht="12" hidden="1" customHeight="1" thickBot="1" x14ac:dyDescent="0.35">
      <c r="A745" s="20">
        <v>2</v>
      </c>
      <c r="B745" s="20" t="s">
        <v>1285</v>
      </c>
      <c r="C745" s="20" t="s">
        <v>1469</v>
      </c>
      <c r="D745" s="20" t="s">
        <v>1830</v>
      </c>
      <c r="E745" s="20">
        <v>521</v>
      </c>
      <c r="F745" s="20" t="s">
        <v>1825</v>
      </c>
      <c r="G745" s="20" t="s">
        <v>1287</v>
      </c>
      <c r="H745" s="20" t="s">
        <v>1288</v>
      </c>
      <c r="I745" s="20">
        <v>2</v>
      </c>
      <c r="J745" s="20">
        <v>30</v>
      </c>
      <c r="K745" s="20">
        <v>1</v>
      </c>
      <c r="L745" s="20" t="s">
        <v>13</v>
      </c>
      <c r="M745" s="20"/>
      <c r="N745" s="20"/>
      <c r="O745" s="20">
        <v>23</v>
      </c>
      <c r="P745" s="20" t="s">
        <v>1221</v>
      </c>
      <c r="Q745" s="20" t="s">
        <v>1832</v>
      </c>
      <c r="R745" s="20" t="str">
        <f t="shared" si="47"/>
        <v>CISTERNA AGUILA-VERDE</v>
      </c>
      <c r="S745" s="19">
        <f t="shared" si="44"/>
        <v>2</v>
      </c>
      <c r="T745" s="19">
        <f t="shared" si="45"/>
        <v>30</v>
      </c>
      <c r="U745" s="19"/>
      <c r="V745" s="19"/>
      <c r="W745" s="19"/>
      <c r="X745" s="19"/>
      <c r="Y745" s="19"/>
    </row>
    <row r="746" spans="1:25" ht="12" hidden="1" customHeight="1" thickBot="1" x14ac:dyDescent="0.35">
      <c r="A746" s="20">
        <v>2</v>
      </c>
      <c r="B746" s="20" t="s">
        <v>1285</v>
      </c>
      <c r="C746" s="20" t="s">
        <v>1469</v>
      </c>
      <c r="D746" s="20" t="s">
        <v>1830</v>
      </c>
      <c r="E746" s="20">
        <v>522</v>
      </c>
      <c r="F746" s="20" t="s">
        <v>1826</v>
      </c>
      <c r="G746" s="20" t="s">
        <v>1287</v>
      </c>
      <c r="H746" s="20" t="s">
        <v>1288</v>
      </c>
      <c r="I746" s="20">
        <v>2</v>
      </c>
      <c r="J746" s="20">
        <v>30</v>
      </c>
      <c r="K746" s="20">
        <v>1</v>
      </c>
      <c r="L746" s="20" t="s">
        <v>13</v>
      </c>
      <c r="M746" s="20"/>
      <c r="N746" s="20"/>
      <c r="O746" s="20">
        <v>11</v>
      </c>
      <c r="P746" s="20" t="s">
        <v>1207</v>
      </c>
      <c r="Q746" s="20" t="s">
        <v>1833</v>
      </c>
      <c r="R746" s="20" t="str">
        <f t="shared" si="47"/>
        <v>CISTERNA AGUILA-ANARANJADO</v>
      </c>
      <c r="S746" s="19">
        <f t="shared" si="44"/>
        <v>2</v>
      </c>
      <c r="T746" s="19">
        <f t="shared" si="45"/>
        <v>30</v>
      </c>
      <c r="U746" s="19"/>
      <c r="V746" s="19"/>
      <c r="W746" s="19"/>
      <c r="X746" s="19"/>
      <c r="Y746" s="19"/>
    </row>
    <row r="747" spans="1:25" ht="12" hidden="1" customHeight="1" thickBot="1" x14ac:dyDescent="0.35">
      <c r="A747" s="20">
        <v>2</v>
      </c>
      <c r="B747" s="20" t="s">
        <v>1285</v>
      </c>
      <c r="C747" s="20" t="s">
        <v>1469</v>
      </c>
      <c r="D747" s="20" t="s">
        <v>1830</v>
      </c>
      <c r="E747" s="20">
        <v>523</v>
      </c>
      <c r="F747" s="20" t="s">
        <v>1827</v>
      </c>
      <c r="G747" s="20" t="s">
        <v>1287</v>
      </c>
      <c r="H747" s="20" t="s">
        <v>1288</v>
      </c>
      <c r="I747" s="20">
        <v>2</v>
      </c>
      <c r="J747" s="20">
        <v>30</v>
      </c>
      <c r="K747" s="20">
        <v>1</v>
      </c>
      <c r="L747" s="20" t="s">
        <v>13</v>
      </c>
      <c r="M747" s="20"/>
      <c r="N747" s="20"/>
      <c r="O747" s="20">
        <v>19</v>
      </c>
      <c r="P747" s="20" t="s">
        <v>27</v>
      </c>
      <c r="Q747" s="20" t="s">
        <v>1834</v>
      </c>
      <c r="R747" s="20" t="str">
        <f t="shared" si="47"/>
        <v>CISTERNA AGUILA-ROJO</v>
      </c>
      <c r="S747" s="19">
        <f t="shared" si="44"/>
        <v>2</v>
      </c>
      <c r="T747" s="19">
        <f t="shared" si="45"/>
        <v>30</v>
      </c>
      <c r="U747" s="19"/>
      <c r="V747" s="19"/>
      <c r="W747" s="19"/>
      <c r="X747" s="19"/>
      <c r="Y747" s="19"/>
    </row>
    <row r="748" spans="1:25" ht="12" hidden="1" customHeight="1" thickBot="1" x14ac:dyDescent="0.35">
      <c r="A748" s="20">
        <v>2</v>
      </c>
      <c r="B748" s="20" t="s">
        <v>1285</v>
      </c>
      <c r="C748" s="20" t="s">
        <v>1469</v>
      </c>
      <c r="D748" s="20" t="s">
        <v>1830</v>
      </c>
      <c r="E748" s="20">
        <v>524</v>
      </c>
      <c r="F748" s="20" t="s">
        <v>1828</v>
      </c>
      <c r="G748" s="20" t="s">
        <v>1287</v>
      </c>
      <c r="H748" s="20" t="s">
        <v>1288</v>
      </c>
      <c r="I748" s="20">
        <v>2</v>
      </c>
      <c r="J748" s="20">
        <v>30</v>
      </c>
      <c r="K748" s="20">
        <v>1</v>
      </c>
      <c r="L748" s="20" t="s">
        <v>13</v>
      </c>
      <c r="M748" s="20"/>
      <c r="N748" s="20"/>
      <c r="O748" s="20">
        <v>10</v>
      </c>
      <c r="P748" s="20" t="s">
        <v>26</v>
      </c>
      <c r="Q748" s="20" t="s">
        <v>1835</v>
      </c>
      <c r="R748" s="20" t="str">
        <f t="shared" si="47"/>
        <v>CISTERNA AGUILA-AMARILLO</v>
      </c>
      <c r="S748" s="19">
        <f t="shared" si="44"/>
        <v>2</v>
      </c>
      <c r="T748" s="19">
        <f t="shared" si="45"/>
        <v>30</v>
      </c>
      <c r="U748" s="19"/>
      <c r="V748" s="19"/>
      <c r="W748" s="19"/>
      <c r="X748" s="19"/>
      <c r="Y748" s="19"/>
    </row>
    <row r="749" spans="1:25" ht="12" hidden="1" customHeight="1" thickBot="1" x14ac:dyDescent="0.35">
      <c r="A749" s="20">
        <v>2</v>
      </c>
      <c r="B749" s="20" t="s">
        <v>1285</v>
      </c>
      <c r="C749" s="20" t="s">
        <v>1469</v>
      </c>
      <c r="D749" s="20" t="s">
        <v>1830</v>
      </c>
      <c r="E749" s="20">
        <v>525</v>
      </c>
      <c r="F749" s="20" t="s">
        <v>1829</v>
      </c>
      <c r="G749" s="20" t="s">
        <v>1287</v>
      </c>
      <c r="H749" s="20" t="s">
        <v>1288</v>
      </c>
      <c r="I749" s="20">
        <v>2</v>
      </c>
      <c r="J749" s="20">
        <v>30</v>
      </c>
      <c r="K749" s="20">
        <v>1</v>
      </c>
      <c r="L749" s="20" t="s">
        <v>13</v>
      </c>
      <c r="M749" s="20"/>
      <c r="N749" s="20"/>
      <c r="O749" s="20">
        <v>14</v>
      </c>
      <c r="P749" s="20" t="s">
        <v>1209</v>
      </c>
      <c r="Q749" s="20" t="s">
        <v>1836</v>
      </c>
      <c r="R749" s="20" t="str">
        <f t="shared" si="47"/>
        <v>CISTERNA AGUILA-CELESTE</v>
      </c>
      <c r="S749" s="19">
        <f t="shared" si="44"/>
        <v>2</v>
      </c>
      <c r="T749" s="19">
        <f t="shared" si="45"/>
        <v>30</v>
      </c>
      <c r="U749" s="19"/>
      <c r="V749" s="19"/>
      <c r="W749" s="19"/>
      <c r="X749" s="19"/>
      <c r="Y749" s="19"/>
    </row>
    <row r="750" spans="1:25" ht="12" hidden="1" customHeight="1" thickBot="1" x14ac:dyDescent="0.35">
      <c r="A750" s="20">
        <v>2</v>
      </c>
      <c r="B750" s="20" t="s">
        <v>1285</v>
      </c>
      <c r="C750" s="20" t="s">
        <v>1469</v>
      </c>
      <c r="D750" s="20" t="s">
        <v>44</v>
      </c>
      <c r="E750" s="20">
        <v>526</v>
      </c>
      <c r="F750" s="20" t="s">
        <v>1837</v>
      </c>
      <c r="G750" s="20" t="s">
        <v>1287</v>
      </c>
      <c r="H750" s="20" t="s">
        <v>1288</v>
      </c>
      <c r="I750" s="20">
        <v>1</v>
      </c>
      <c r="J750" s="20">
        <v>60</v>
      </c>
      <c r="K750" s="20">
        <v>1</v>
      </c>
      <c r="L750" s="20" t="s">
        <v>13</v>
      </c>
      <c r="M750" s="27"/>
      <c r="N750" s="27"/>
      <c r="O750" s="20">
        <v>12</v>
      </c>
      <c r="P750" s="20" t="s">
        <v>24</v>
      </c>
      <c r="Q750" s="20" t="s">
        <v>1843</v>
      </c>
      <c r="R750" s="20" t="str">
        <f t="shared" ref="R750:R755" si="48">F750</f>
        <v>CISTERNA ANDINO-AZUL</v>
      </c>
      <c r="S750" s="19">
        <f t="shared" si="44"/>
        <v>1</v>
      </c>
      <c r="T750" s="19">
        <f t="shared" si="45"/>
        <v>60</v>
      </c>
      <c r="U750" s="19"/>
      <c r="V750" s="19"/>
      <c r="W750" s="19"/>
      <c r="X750" s="19"/>
      <c r="Y750" s="19"/>
    </row>
    <row r="751" spans="1:25" ht="12" hidden="1" customHeight="1" thickBot="1" x14ac:dyDescent="0.35">
      <c r="A751" s="20">
        <v>2</v>
      </c>
      <c r="B751" s="20" t="s">
        <v>1285</v>
      </c>
      <c r="C751" s="20" t="s">
        <v>1469</v>
      </c>
      <c r="D751" s="20" t="s">
        <v>44</v>
      </c>
      <c r="E751" s="20">
        <v>527</v>
      </c>
      <c r="F751" s="20" t="s">
        <v>1838</v>
      </c>
      <c r="G751" s="20" t="s">
        <v>1287</v>
      </c>
      <c r="H751" s="20" t="s">
        <v>1288</v>
      </c>
      <c r="I751" s="20">
        <v>1</v>
      </c>
      <c r="J751" s="20">
        <v>60</v>
      </c>
      <c r="K751" s="20">
        <v>1</v>
      </c>
      <c r="L751" s="20" t="s">
        <v>13</v>
      </c>
      <c r="M751" s="27"/>
      <c r="N751" s="27"/>
      <c r="O751" s="20">
        <v>23</v>
      </c>
      <c r="P751" s="20" t="s">
        <v>1221</v>
      </c>
      <c r="Q751" s="20" t="s">
        <v>1844</v>
      </c>
      <c r="R751" s="20" t="str">
        <f t="shared" si="48"/>
        <v>CISTERNA ANDINO-VERDE</v>
      </c>
      <c r="S751" s="19">
        <f t="shared" si="44"/>
        <v>1</v>
      </c>
      <c r="T751" s="19">
        <f t="shared" si="45"/>
        <v>60</v>
      </c>
      <c r="U751" s="19"/>
      <c r="V751" s="19"/>
      <c r="W751" s="19"/>
      <c r="X751" s="19"/>
      <c r="Y751" s="19"/>
    </row>
    <row r="752" spans="1:25" ht="12" hidden="1" customHeight="1" thickBot="1" x14ac:dyDescent="0.35">
      <c r="A752" s="20">
        <v>2</v>
      </c>
      <c r="B752" s="20" t="s">
        <v>1285</v>
      </c>
      <c r="C752" s="20" t="s">
        <v>1469</v>
      </c>
      <c r="D752" s="20" t="s">
        <v>44</v>
      </c>
      <c r="E752" s="20">
        <v>528</v>
      </c>
      <c r="F752" s="20" t="s">
        <v>1839</v>
      </c>
      <c r="G752" s="20" t="s">
        <v>1287</v>
      </c>
      <c r="H752" s="20" t="s">
        <v>1288</v>
      </c>
      <c r="I752" s="20">
        <v>1</v>
      </c>
      <c r="J752" s="20">
        <v>60</v>
      </c>
      <c r="K752" s="20">
        <v>1</v>
      </c>
      <c r="L752" s="20" t="s">
        <v>13</v>
      </c>
      <c r="M752" s="27"/>
      <c r="N752" s="27"/>
      <c r="O752" s="20">
        <v>11</v>
      </c>
      <c r="P752" s="20" t="s">
        <v>1207</v>
      </c>
      <c r="Q752" s="20" t="s">
        <v>1845</v>
      </c>
      <c r="R752" s="20" t="str">
        <f t="shared" si="48"/>
        <v>CISTERNA ANDINO-ANARANJADO</v>
      </c>
      <c r="S752" s="19">
        <f t="shared" si="44"/>
        <v>1</v>
      </c>
      <c r="T752" s="19">
        <f t="shared" si="45"/>
        <v>60</v>
      </c>
      <c r="U752" s="19"/>
      <c r="V752" s="19"/>
      <c r="W752" s="19"/>
      <c r="X752" s="19"/>
      <c r="Y752" s="19"/>
    </row>
    <row r="753" spans="1:25" ht="12" hidden="1" customHeight="1" thickBot="1" x14ac:dyDescent="0.35">
      <c r="A753" s="20">
        <v>2</v>
      </c>
      <c r="B753" s="20" t="s">
        <v>1285</v>
      </c>
      <c r="C753" s="20" t="s">
        <v>1469</v>
      </c>
      <c r="D753" s="20" t="s">
        <v>44</v>
      </c>
      <c r="E753" s="20">
        <v>529</v>
      </c>
      <c r="F753" s="20" t="s">
        <v>1840</v>
      </c>
      <c r="G753" s="20" t="s">
        <v>1287</v>
      </c>
      <c r="H753" s="20" t="s">
        <v>1288</v>
      </c>
      <c r="I753" s="20">
        <v>1</v>
      </c>
      <c r="J753" s="20">
        <v>60</v>
      </c>
      <c r="K753" s="20">
        <v>1</v>
      </c>
      <c r="L753" s="20" t="s">
        <v>13</v>
      </c>
      <c r="M753" s="27"/>
      <c r="N753" s="27"/>
      <c r="O753" s="20">
        <v>19</v>
      </c>
      <c r="P753" s="20" t="s">
        <v>27</v>
      </c>
      <c r="Q753" s="20" t="s">
        <v>1846</v>
      </c>
      <c r="R753" s="20" t="str">
        <f t="shared" si="48"/>
        <v>CISTERNA ANDINO-ROJO</v>
      </c>
      <c r="S753" s="19">
        <f t="shared" si="44"/>
        <v>1</v>
      </c>
      <c r="T753" s="19">
        <f t="shared" si="45"/>
        <v>60</v>
      </c>
      <c r="U753" s="19"/>
      <c r="V753" s="19"/>
      <c r="W753" s="19"/>
      <c r="X753" s="19"/>
      <c r="Y753" s="19"/>
    </row>
    <row r="754" spans="1:25" ht="12" hidden="1" customHeight="1" thickBot="1" x14ac:dyDescent="0.35">
      <c r="A754" s="20">
        <v>2</v>
      </c>
      <c r="B754" s="20" t="s">
        <v>1285</v>
      </c>
      <c r="C754" s="20" t="s">
        <v>1469</v>
      </c>
      <c r="D754" s="20" t="s">
        <v>44</v>
      </c>
      <c r="E754" s="20">
        <v>530</v>
      </c>
      <c r="F754" s="20" t="s">
        <v>1841</v>
      </c>
      <c r="G754" s="20" t="s">
        <v>1287</v>
      </c>
      <c r="H754" s="20" t="s">
        <v>1288</v>
      </c>
      <c r="I754" s="20">
        <v>1</v>
      </c>
      <c r="J754" s="20">
        <v>60</v>
      </c>
      <c r="K754" s="20">
        <v>1</v>
      </c>
      <c r="L754" s="20" t="s">
        <v>13</v>
      </c>
      <c r="M754" s="27"/>
      <c r="N754" s="27"/>
      <c r="O754" s="20">
        <v>10</v>
      </c>
      <c r="P754" s="20" t="s">
        <v>26</v>
      </c>
      <c r="Q754" s="20" t="s">
        <v>1847</v>
      </c>
      <c r="R754" s="20" t="str">
        <f t="shared" si="48"/>
        <v>CISTERNA ANDINO-AMARILLO</v>
      </c>
      <c r="S754" s="19">
        <f t="shared" si="44"/>
        <v>1</v>
      </c>
      <c r="T754" s="19">
        <f t="shared" si="45"/>
        <v>60</v>
      </c>
      <c r="U754" s="19"/>
      <c r="V754" s="19"/>
      <c r="W754" s="19"/>
      <c r="X754" s="19"/>
      <c r="Y754" s="19"/>
    </row>
    <row r="755" spans="1:25" ht="12" hidden="1" customHeight="1" thickBot="1" x14ac:dyDescent="0.35">
      <c r="A755" s="20">
        <v>2</v>
      </c>
      <c r="B755" s="20" t="s">
        <v>1285</v>
      </c>
      <c r="C755" s="20" t="s">
        <v>1469</v>
      </c>
      <c r="D755" s="20" t="s">
        <v>44</v>
      </c>
      <c r="E755" s="20">
        <v>531</v>
      </c>
      <c r="F755" s="20" t="s">
        <v>1842</v>
      </c>
      <c r="G755" s="20" t="s">
        <v>1287</v>
      </c>
      <c r="H755" s="27" t="s">
        <v>1288</v>
      </c>
      <c r="I755" s="20">
        <v>1</v>
      </c>
      <c r="J755" s="20">
        <v>60</v>
      </c>
      <c r="K755" s="20">
        <v>1</v>
      </c>
      <c r="L755" s="20" t="s">
        <v>13</v>
      </c>
      <c r="M755" s="27"/>
      <c r="N755" s="27"/>
      <c r="O755" s="20">
        <v>14</v>
      </c>
      <c r="P755" s="20" t="s">
        <v>1209</v>
      </c>
      <c r="Q755" s="20" t="s">
        <v>1848</v>
      </c>
      <c r="R755" s="20" t="str">
        <f t="shared" si="48"/>
        <v>CISTERNA ANDINO-CELESTE</v>
      </c>
      <c r="S755" s="19">
        <f t="shared" si="44"/>
        <v>1</v>
      </c>
      <c r="T755" s="19">
        <f t="shared" si="45"/>
        <v>60</v>
      </c>
      <c r="U755" s="19"/>
      <c r="V755" s="19"/>
      <c r="W755" s="19"/>
      <c r="X755" s="19"/>
      <c r="Y755" s="19"/>
    </row>
    <row r="756" spans="1:25" ht="12" hidden="1" customHeight="1" thickBot="1" x14ac:dyDescent="0.35">
      <c r="A756" s="20">
        <v>2</v>
      </c>
      <c r="B756" s="20" t="s">
        <v>1285</v>
      </c>
      <c r="C756" s="20" t="s">
        <v>1469</v>
      </c>
      <c r="D756" s="20" t="s">
        <v>1851</v>
      </c>
      <c r="E756" s="20">
        <v>532</v>
      </c>
      <c r="F756" s="20" t="s">
        <v>1188</v>
      </c>
      <c r="G756" s="20" t="s">
        <v>1287</v>
      </c>
      <c r="H756" s="20" t="s">
        <v>1288</v>
      </c>
      <c r="I756" s="20">
        <v>16</v>
      </c>
      <c r="J756" s="20">
        <v>27</v>
      </c>
      <c r="K756" s="20">
        <v>1</v>
      </c>
      <c r="L756" s="20" t="s">
        <v>13</v>
      </c>
      <c r="M756" s="20"/>
      <c r="N756" s="20"/>
      <c r="O756" s="20">
        <v>13</v>
      </c>
      <c r="P756" s="20" t="s">
        <v>25</v>
      </c>
      <c r="Q756" s="20" t="s">
        <v>1852</v>
      </c>
      <c r="R756" s="20" t="str">
        <f t="shared" ref="R756:R761" si="49">F756</f>
        <v>CUERNOS DE TORO-BLANCO</v>
      </c>
      <c r="S756" s="19">
        <f t="shared" si="44"/>
        <v>16</v>
      </c>
      <c r="T756" s="19">
        <f t="shared" si="45"/>
        <v>27</v>
      </c>
      <c r="U756" s="19"/>
      <c r="V756" s="19"/>
      <c r="W756" s="19"/>
      <c r="X756" s="19"/>
      <c r="Y756" s="19"/>
    </row>
    <row r="757" spans="1:25" ht="12" hidden="1" customHeight="1" thickBot="1" x14ac:dyDescent="0.35">
      <c r="A757" s="20">
        <v>2</v>
      </c>
      <c r="B757" s="20" t="s">
        <v>1285</v>
      </c>
      <c r="C757" s="20" t="s">
        <v>1738</v>
      </c>
      <c r="D757" s="20" t="s">
        <v>1853</v>
      </c>
      <c r="E757" s="20">
        <v>530</v>
      </c>
      <c r="F757" s="20" t="s">
        <v>1854</v>
      </c>
      <c r="G757" s="20" t="s">
        <v>1287</v>
      </c>
      <c r="H757" s="20" t="s">
        <v>1288</v>
      </c>
      <c r="I757" s="20">
        <v>4</v>
      </c>
      <c r="J757" s="20">
        <v>35</v>
      </c>
      <c r="K757" s="20">
        <v>1</v>
      </c>
      <c r="L757" s="20" t="s">
        <v>13</v>
      </c>
      <c r="M757" s="20"/>
      <c r="N757" s="20"/>
      <c r="O757" s="20">
        <v>13</v>
      </c>
      <c r="P757" s="20" t="s">
        <v>25</v>
      </c>
      <c r="Q757" s="20" t="s">
        <v>1859</v>
      </c>
      <c r="R757" s="20" t="str">
        <f t="shared" si="49"/>
        <v>ASA DE CANASTA FANNY</v>
      </c>
      <c r="S757" s="19">
        <f t="shared" si="44"/>
        <v>4</v>
      </c>
      <c r="T757" s="19">
        <f t="shared" si="45"/>
        <v>35</v>
      </c>
      <c r="U757" s="19"/>
      <c r="V757" s="19"/>
      <c r="W757" s="19"/>
      <c r="X757" s="19"/>
      <c r="Y757" s="19"/>
    </row>
    <row r="758" spans="1:25" ht="12" hidden="1" customHeight="1" thickBot="1" x14ac:dyDescent="0.35">
      <c r="A758" s="20">
        <v>2</v>
      </c>
      <c r="B758" s="20" t="s">
        <v>1285</v>
      </c>
      <c r="C758" s="20" t="s">
        <v>1469</v>
      </c>
      <c r="D758" s="20" t="s">
        <v>1864</v>
      </c>
      <c r="E758" s="20">
        <v>534</v>
      </c>
      <c r="F758" s="20" t="s">
        <v>1860</v>
      </c>
      <c r="G758" s="20" t="s">
        <v>1287</v>
      </c>
      <c r="H758" s="20" t="s">
        <v>1288</v>
      </c>
      <c r="I758" s="20">
        <v>2</v>
      </c>
      <c r="J758" s="20">
        <v>32</v>
      </c>
      <c r="K758" s="20">
        <v>1</v>
      </c>
      <c r="L758" s="20" t="s">
        <v>13</v>
      </c>
      <c r="M758" s="20"/>
      <c r="N758" s="20"/>
      <c r="O758" s="20">
        <v>10</v>
      </c>
      <c r="P758" s="20" t="s">
        <v>26</v>
      </c>
      <c r="Q758" s="20" t="s">
        <v>1855</v>
      </c>
      <c r="R758" s="20" t="str">
        <f t="shared" si="49"/>
        <v>TOLVA PANDA-AMARILLO</v>
      </c>
      <c r="S758" s="19">
        <f t="shared" si="44"/>
        <v>2</v>
      </c>
      <c r="T758" s="19">
        <f t="shared" si="45"/>
        <v>32</v>
      </c>
      <c r="U758" s="19"/>
      <c r="V758" s="19"/>
      <c r="W758" s="19"/>
      <c r="X758" s="19"/>
      <c r="Y758" s="19"/>
    </row>
    <row r="759" spans="1:25" ht="12" hidden="1" customHeight="1" thickBot="1" x14ac:dyDescent="0.35">
      <c r="A759" s="20">
        <v>2</v>
      </c>
      <c r="B759" s="20" t="s">
        <v>1285</v>
      </c>
      <c r="C759" s="20" t="s">
        <v>1469</v>
      </c>
      <c r="D759" s="20" t="s">
        <v>1864</v>
      </c>
      <c r="E759" s="20">
        <v>535</v>
      </c>
      <c r="F759" s="20" t="s">
        <v>1861</v>
      </c>
      <c r="G759" s="20" t="s">
        <v>1287</v>
      </c>
      <c r="H759" s="20" t="s">
        <v>1288</v>
      </c>
      <c r="I759" s="20">
        <v>2</v>
      </c>
      <c r="J759" s="20">
        <v>32</v>
      </c>
      <c r="K759" s="20">
        <v>1</v>
      </c>
      <c r="L759" s="20" t="s">
        <v>13</v>
      </c>
      <c r="M759" s="20"/>
      <c r="N759" s="20"/>
      <c r="O759" s="20">
        <v>19</v>
      </c>
      <c r="P759" s="20" t="s">
        <v>27</v>
      </c>
      <c r="Q759" s="20" t="s">
        <v>1856</v>
      </c>
      <c r="R759" s="20" t="str">
        <f t="shared" si="49"/>
        <v>TOLVA PANDA-ROJO</v>
      </c>
      <c r="S759" s="19">
        <f t="shared" si="44"/>
        <v>2</v>
      </c>
      <c r="T759" s="19">
        <f t="shared" si="45"/>
        <v>32</v>
      </c>
      <c r="U759" s="19"/>
      <c r="V759" s="19"/>
      <c r="W759" s="19"/>
      <c r="X759" s="19"/>
      <c r="Y759" s="19"/>
    </row>
    <row r="760" spans="1:25" ht="12" hidden="1" customHeight="1" thickBot="1" x14ac:dyDescent="0.35">
      <c r="A760" s="20">
        <v>2</v>
      </c>
      <c r="B760" s="20" t="s">
        <v>1285</v>
      </c>
      <c r="C760" s="20" t="s">
        <v>1469</v>
      </c>
      <c r="D760" s="20" t="s">
        <v>1864</v>
      </c>
      <c r="E760" s="20">
        <v>536</v>
      </c>
      <c r="F760" s="20" t="s">
        <v>1862</v>
      </c>
      <c r="G760" s="20" t="s">
        <v>1287</v>
      </c>
      <c r="H760" s="20" t="s">
        <v>1288</v>
      </c>
      <c r="I760" s="20">
        <v>2</v>
      </c>
      <c r="J760" s="20">
        <v>32</v>
      </c>
      <c r="K760" s="20">
        <v>1</v>
      </c>
      <c r="L760" s="20" t="s">
        <v>13</v>
      </c>
      <c r="M760" s="20"/>
      <c r="N760" s="20"/>
      <c r="O760" s="20">
        <v>23</v>
      </c>
      <c r="P760" s="20" t="s">
        <v>1221</v>
      </c>
      <c r="Q760" s="20" t="s">
        <v>1857</v>
      </c>
      <c r="R760" s="20" t="str">
        <f t="shared" si="49"/>
        <v>TOLVA PANDA-VERDE</v>
      </c>
      <c r="S760" s="19">
        <f t="shared" si="44"/>
        <v>2</v>
      </c>
      <c r="T760" s="19">
        <f t="shared" si="45"/>
        <v>32</v>
      </c>
      <c r="U760" s="19"/>
      <c r="V760" s="19"/>
      <c r="W760" s="19"/>
      <c r="X760" s="19"/>
      <c r="Y760" s="19"/>
    </row>
    <row r="761" spans="1:25" ht="12" hidden="1" customHeight="1" thickBot="1" x14ac:dyDescent="0.35">
      <c r="A761" s="20">
        <v>2</v>
      </c>
      <c r="B761" s="20" t="s">
        <v>1285</v>
      </c>
      <c r="C761" s="20" t="s">
        <v>1469</v>
      </c>
      <c r="D761" s="20" t="s">
        <v>1864</v>
      </c>
      <c r="E761" s="20">
        <v>537</v>
      </c>
      <c r="F761" s="20" t="s">
        <v>1863</v>
      </c>
      <c r="G761" s="20" t="s">
        <v>1287</v>
      </c>
      <c r="H761" s="20" t="s">
        <v>1288</v>
      </c>
      <c r="I761" s="20">
        <v>2</v>
      </c>
      <c r="J761" s="20">
        <v>32</v>
      </c>
      <c r="K761" s="20">
        <v>1</v>
      </c>
      <c r="L761" s="20" t="s">
        <v>13</v>
      </c>
      <c r="M761" s="20"/>
      <c r="N761" s="20"/>
      <c r="O761" s="20">
        <v>14</v>
      </c>
      <c r="P761" s="20" t="s">
        <v>1209</v>
      </c>
      <c r="Q761" s="20" t="s">
        <v>1858</v>
      </c>
      <c r="R761" s="20" t="str">
        <f t="shared" si="49"/>
        <v>TOLVA PANDA-CELESTE</v>
      </c>
      <c r="S761" s="19">
        <f t="shared" si="44"/>
        <v>2</v>
      </c>
      <c r="T761" s="19">
        <f t="shared" si="45"/>
        <v>32</v>
      </c>
      <c r="U761" s="19"/>
      <c r="V761" s="19"/>
      <c r="W761" s="19"/>
      <c r="X761" s="19"/>
      <c r="Y761" s="19"/>
    </row>
    <row r="762" spans="1:25" ht="12" hidden="1" customHeight="1" thickBot="1" x14ac:dyDescent="0.35">
      <c r="A762" s="20">
        <v>2</v>
      </c>
      <c r="B762" s="20" t="s">
        <v>1285</v>
      </c>
      <c r="C762" s="20" t="s">
        <v>1413</v>
      </c>
      <c r="D762" s="20" t="s">
        <v>1865</v>
      </c>
      <c r="E762" s="20">
        <v>538</v>
      </c>
      <c r="F762" s="20" t="s">
        <v>1146</v>
      </c>
      <c r="G762" s="20" t="s">
        <v>1287</v>
      </c>
      <c r="H762" s="20" t="s">
        <v>1288</v>
      </c>
      <c r="I762" s="20">
        <v>2</v>
      </c>
      <c r="J762" s="20">
        <v>85</v>
      </c>
      <c r="K762" s="20">
        <v>1</v>
      </c>
      <c r="L762" s="20" t="s">
        <v>13</v>
      </c>
      <c r="M762" s="20"/>
      <c r="N762" s="20"/>
      <c r="O762" s="20">
        <v>10</v>
      </c>
      <c r="P762" s="20" t="s">
        <v>26</v>
      </c>
      <c r="Q762" s="20" t="s">
        <v>1868</v>
      </c>
      <c r="R762" s="20" t="str">
        <f t="shared" ref="R762:R767" si="50">F762</f>
        <v>BALDE REAL-AMARILLO</v>
      </c>
      <c r="S762" s="19">
        <f t="shared" si="44"/>
        <v>2</v>
      </c>
      <c r="T762" s="19">
        <f t="shared" si="45"/>
        <v>85</v>
      </c>
      <c r="U762" s="19"/>
      <c r="V762" s="19"/>
      <c r="W762" s="19"/>
      <c r="X762" s="19"/>
      <c r="Y762" s="19"/>
    </row>
    <row r="763" spans="1:25" ht="12" hidden="1" customHeight="1" thickBot="1" x14ac:dyDescent="0.35">
      <c r="A763" s="20">
        <v>2</v>
      </c>
      <c r="B763" s="20" t="s">
        <v>1285</v>
      </c>
      <c r="C763" s="20" t="s">
        <v>1413</v>
      </c>
      <c r="D763" s="20" t="s">
        <v>1865</v>
      </c>
      <c r="E763" s="20">
        <v>539</v>
      </c>
      <c r="F763" s="20" t="s">
        <v>1150</v>
      </c>
      <c r="G763" s="20" t="s">
        <v>1287</v>
      </c>
      <c r="H763" s="20" t="s">
        <v>1288</v>
      </c>
      <c r="I763" s="20">
        <v>2</v>
      </c>
      <c r="J763" s="20">
        <v>85</v>
      </c>
      <c r="K763" s="20">
        <v>1</v>
      </c>
      <c r="L763" s="20" t="s">
        <v>13</v>
      </c>
      <c r="M763" s="20"/>
      <c r="N763" s="20"/>
      <c r="O763" s="20">
        <v>11</v>
      </c>
      <c r="P763" s="20" t="s">
        <v>1207</v>
      </c>
      <c r="Q763" s="20" t="s">
        <v>1869</v>
      </c>
      <c r="R763" s="20" t="str">
        <f t="shared" si="50"/>
        <v>BALDE REAL-ANARANJADO</v>
      </c>
      <c r="S763" s="19">
        <f t="shared" si="44"/>
        <v>2</v>
      </c>
      <c r="T763" s="19">
        <f t="shared" si="45"/>
        <v>85</v>
      </c>
      <c r="U763" s="19"/>
      <c r="V763" s="19"/>
      <c r="W763" s="19"/>
      <c r="X763" s="19"/>
      <c r="Y763" s="19"/>
    </row>
    <row r="764" spans="1:25" ht="12" hidden="1" customHeight="1" thickBot="1" x14ac:dyDescent="0.35">
      <c r="A764" s="20">
        <v>2</v>
      </c>
      <c r="B764" s="20" t="s">
        <v>1285</v>
      </c>
      <c r="C764" s="20" t="s">
        <v>1413</v>
      </c>
      <c r="D764" s="20" t="s">
        <v>1865</v>
      </c>
      <c r="E764" s="20">
        <v>540</v>
      </c>
      <c r="F764" s="20" t="s">
        <v>1147</v>
      </c>
      <c r="G764" s="20" t="s">
        <v>1287</v>
      </c>
      <c r="H764" s="20" t="s">
        <v>1288</v>
      </c>
      <c r="I764" s="20">
        <v>2</v>
      </c>
      <c r="J764" s="20">
        <v>85</v>
      </c>
      <c r="K764" s="20">
        <v>1</v>
      </c>
      <c r="L764" s="20" t="s">
        <v>13</v>
      </c>
      <c r="M764" s="20"/>
      <c r="N764" s="20"/>
      <c r="O764" s="20">
        <v>12</v>
      </c>
      <c r="P764" s="20" t="s">
        <v>24</v>
      </c>
      <c r="Q764" s="20" t="s">
        <v>1870</v>
      </c>
      <c r="R764" s="20" t="str">
        <f t="shared" si="50"/>
        <v>BALDE REAL-AZUL</v>
      </c>
      <c r="S764" s="19">
        <f t="shared" si="44"/>
        <v>2</v>
      </c>
      <c r="T764" s="19">
        <f t="shared" si="45"/>
        <v>85</v>
      </c>
      <c r="U764" s="19"/>
      <c r="V764" s="19"/>
      <c r="W764" s="19"/>
      <c r="X764" s="19"/>
      <c r="Y764" s="19"/>
    </row>
    <row r="765" spans="1:25" ht="12" hidden="1" customHeight="1" thickBot="1" x14ac:dyDescent="0.35">
      <c r="A765" s="20">
        <v>2</v>
      </c>
      <c r="B765" s="20" t="s">
        <v>1285</v>
      </c>
      <c r="C765" s="20" t="s">
        <v>1413</v>
      </c>
      <c r="D765" s="20" t="s">
        <v>1865</v>
      </c>
      <c r="E765" s="20">
        <v>541</v>
      </c>
      <c r="F765" s="20" t="s">
        <v>1866</v>
      </c>
      <c r="G765" s="20" t="s">
        <v>1287</v>
      </c>
      <c r="H765" s="20" t="s">
        <v>1288</v>
      </c>
      <c r="I765" s="20">
        <v>2</v>
      </c>
      <c r="J765" s="20">
        <v>85</v>
      </c>
      <c r="K765" s="20">
        <v>1</v>
      </c>
      <c r="L765" s="20" t="s">
        <v>13</v>
      </c>
      <c r="M765" s="20"/>
      <c r="N765" s="20"/>
      <c r="O765" s="20">
        <v>15</v>
      </c>
      <c r="P765" s="20" t="s">
        <v>1211</v>
      </c>
      <c r="Q765" s="20" t="s">
        <v>1871</v>
      </c>
      <c r="R765" s="20" t="str">
        <f t="shared" si="50"/>
        <v>BALDE REAL-FUCSIA</v>
      </c>
      <c r="S765" s="19">
        <f t="shared" si="44"/>
        <v>2</v>
      </c>
      <c r="T765" s="19">
        <f t="shared" si="45"/>
        <v>85</v>
      </c>
      <c r="U765" s="19"/>
      <c r="V765" s="19"/>
      <c r="W765" s="19"/>
      <c r="X765" s="19"/>
      <c r="Y765" s="19"/>
    </row>
    <row r="766" spans="1:25" ht="12" hidden="1" customHeight="1" thickBot="1" x14ac:dyDescent="0.35">
      <c r="A766" s="20">
        <v>2</v>
      </c>
      <c r="B766" s="20" t="s">
        <v>1285</v>
      </c>
      <c r="C766" s="20" t="s">
        <v>1413</v>
      </c>
      <c r="D766" s="20" t="s">
        <v>1865</v>
      </c>
      <c r="E766" s="20">
        <v>542</v>
      </c>
      <c r="F766" s="20" t="s">
        <v>1867</v>
      </c>
      <c r="G766" s="20" t="s">
        <v>1287</v>
      </c>
      <c r="H766" s="20" t="s">
        <v>1288</v>
      </c>
      <c r="I766" s="20">
        <v>2</v>
      </c>
      <c r="J766" s="20">
        <v>85</v>
      </c>
      <c r="K766" s="20">
        <v>1</v>
      </c>
      <c r="L766" s="20" t="s">
        <v>13</v>
      </c>
      <c r="M766" s="20"/>
      <c r="N766" s="20"/>
      <c r="O766" s="20">
        <v>16</v>
      </c>
      <c r="P766" s="20" t="s">
        <v>1212</v>
      </c>
      <c r="Q766" s="20" t="s">
        <v>1872</v>
      </c>
      <c r="R766" s="20" t="str">
        <f t="shared" si="50"/>
        <v>BALDE REAL-LILA</v>
      </c>
      <c r="S766" s="19">
        <f t="shared" si="44"/>
        <v>2</v>
      </c>
      <c r="T766" s="19">
        <f t="shared" si="45"/>
        <v>85</v>
      </c>
      <c r="U766" s="19"/>
      <c r="V766" s="19"/>
      <c r="W766" s="19"/>
      <c r="X766" s="19"/>
      <c r="Y766" s="19"/>
    </row>
    <row r="767" spans="1:25" ht="12" hidden="1" customHeight="1" thickBot="1" x14ac:dyDescent="0.35">
      <c r="A767" s="20">
        <v>2</v>
      </c>
      <c r="B767" s="20" t="s">
        <v>1285</v>
      </c>
      <c r="C767" s="20" t="s">
        <v>1413</v>
      </c>
      <c r="D767" s="20" t="s">
        <v>1865</v>
      </c>
      <c r="E767" s="20">
        <v>543</v>
      </c>
      <c r="F767" s="20" t="s">
        <v>1148</v>
      </c>
      <c r="G767" s="20" t="s">
        <v>1287</v>
      </c>
      <c r="H767" s="20" t="s">
        <v>1288</v>
      </c>
      <c r="I767" s="20">
        <v>2</v>
      </c>
      <c r="J767" s="20">
        <v>85</v>
      </c>
      <c r="K767" s="20">
        <v>1</v>
      </c>
      <c r="L767" s="20" t="s">
        <v>13</v>
      </c>
      <c r="M767" s="20"/>
      <c r="N767" s="20"/>
      <c r="O767" s="20">
        <v>23</v>
      </c>
      <c r="P767" s="20" t="s">
        <v>1221</v>
      </c>
      <c r="Q767" s="20" t="s">
        <v>1873</v>
      </c>
      <c r="R767" s="20" t="str">
        <f t="shared" si="50"/>
        <v>BALDE REAL-VERDE</v>
      </c>
      <c r="S767" s="19">
        <f t="shared" si="44"/>
        <v>2</v>
      </c>
      <c r="T767" s="19">
        <f t="shared" si="45"/>
        <v>85</v>
      </c>
      <c r="U767" s="19"/>
      <c r="V767" s="19"/>
      <c r="W767" s="19"/>
      <c r="X767" s="19"/>
      <c r="Y767" s="19"/>
    </row>
    <row r="768" spans="1:25" ht="12" hidden="1" customHeight="1" thickBot="1" x14ac:dyDescent="0.35">
      <c r="A768" s="20">
        <v>2</v>
      </c>
      <c r="B768" s="20" t="s">
        <v>1285</v>
      </c>
      <c r="C768" s="20" t="s">
        <v>1469</v>
      </c>
      <c r="D768" s="20" t="s">
        <v>1470</v>
      </c>
      <c r="E768" s="20">
        <v>545</v>
      </c>
      <c r="F768" s="20" t="s">
        <v>1874</v>
      </c>
      <c r="G768" s="20" t="s">
        <v>1287</v>
      </c>
      <c r="H768" s="20" t="s">
        <v>1288</v>
      </c>
      <c r="I768" s="20">
        <v>6</v>
      </c>
      <c r="J768" s="20">
        <v>12</v>
      </c>
      <c r="K768" s="20">
        <v>1</v>
      </c>
      <c r="L768" s="20" t="s">
        <v>13</v>
      </c>
      <c r="M768" s="20"/>
      <c r="N768" s="20"/>
      <c r="O768" s="20">
        <v>10</v>
      </c>
      <c r="P768" s="20" t="s">
        <v>26</v>
      </c>
      <c r="Q768" s="20" t="s">
        <v>1878</v>
      </c>
      <c r="R768" s="20" t="str">
        <f>F768</f>
        <v>LLANTAS CAMION-AMARILLO</v>
      </c>
      <c r="S768" s="19">
        <f t="shared" si="44"/>
        <v>6</v>
      </c>
      <c r="T768" s="19">
        <f t="shared" si="45"/>
        <v>12</v>
      </c>
      <c r="U768" s="19"/>
      <c r="V768" s="19"/>
      <c r="W768" s="19"/>
      <c r="X768" s="19"/>
      <c r="Y768" s="19"/>
    </row>
    <row r="769" spans="1:25" ht="12" hidden="1" customHeight="1" thickBot="1" x14ac:dyDescent="0.35">
      <c r="A769" s="20">
        <v>2</v>
      </c>
      <c r="B769" s="20" t="s">
        <v>1285</v>
      </c>
      <c r="C769" s="20" t="s">
        <v>1469</v>
      </c>
      <c r="D769" s="20" t="s">
        <v>1470</v>
      </c>
      <c r="E769" s="20">
        <v>546</v>
      </c>
      <c r="F769" s="20" t="s">
        <v>1875</v>
      </c>
      <c r="G769" s="20" t="s">
        <v>1287</v>
      </c>
      <c r="H769" s="20" t="s">
        <v>1288</v>
      </c>
      <c r="I769" s="20">
        <v>6</v>
      </c>
      <c r="J769" s="20">
        <v>12</v>
      </c>
      <c r="K769" s="20">
        <v>1</v>
      </c>
      <c r="L769" s="20" t="s">
        <v>13</v>
      </c>
      <c r="M769" s="20"/>
      <c r="N769" s="20"/>
      <c r="O769" s="20">
        <v>23</v>
      </c>
      <c r="P769" s="20" t="s">
        <v>1221</v>
      </c>
      <c r="Q769" s="20" t="s">
        <v>1879</v>
      </c>
      <c r="R769" s="20" t="str">
        <f>F769</f>
        <v>LLANTAS CAMION-VERDE</v>
      </c>
      <c r="S769" s="19">
        <f t="shared" si="44"/>
        <v>6</v>
      </c>
      <c r="T769" s="19">
        <f t="shared" si="45"/>
        <v>12</v>
      </c>
      <c r="U769" s="19"/>
      <c r="V769" s="19"/>
      <c r="W769" s="19"/>
      <c r="X769" s="19"/>
      <c r="Y769" s="19"/>
    </row>
    <row r="770" spans="1:25" ht="12" hidden="1" customHeight="1" thickBot="1" x14ac:dyDescent="0.35">
      <c r="A770" s="20">
        <v>2</v>
      </c>
      <c r="B770" s="20" t="s">
        <v>1285</v>
      </c>
      <c r="C770" s="20" t="s">
        <v>1469</v>
      </c>
      <c r="D770" s="20" t="s">
        <v>1470</v>
      </c>
      <c r="E770" s="20">
        <v>547</v>
      </c>
      <c r="F770" s="20" t="s">
        <v>1876</v>
      </c>
      <c r="G770" s="20" t="s">
        <v>1287</v>
      </c>
      <c r="H770" s="20" t="s">
        <v>1288</v>
      </c>
      <c r="I770" s="20">
        <v>6</v>
      </c>
      <c r="J770" s="20">
        <v>12</v>
      </c>
      <c r="K770" s="20">
        <v>1</v>
      </c>
      <c r="L770" s="20" t="s">
        <v>13</v>
      </c>
      <c r="M770" s="20"/>
      <c r="N770" s="20"/>
      <c r="O770" s="20">
        <v>14</v>
      </c>
      <c r="P770" s="20" t="s">
        <v>1209</v>
      </c>
      <c r="Q770" s="20" t="s">
        <v>1880</v>
      </c>
      <c r="R770" s="20" t="str">
        <f>F770</f>
        <v>LLANTAS CAMION-CELESTE</v>
      </c>
      <c r="S770" s="19">
        <f t="shared" si="44"/>
        <v>6</v>
      </c>
      <c r="T770" s="19">
        <f t="shared" si="45"/>
        <v>12</v>
      </c>
      <c r="U770" s="19"/>
      <c r="V770" s="19"/>
      <c r="W770" s="19"/>
      <c r="X770" s="19"/>
      <c r="Y770" s="19"/>
    </row>
    <row r="771" spans="1:25" ht="12" hidden="1" customHeight="1" thickBot="1" x14ac:dyDescent="0.35">
      <c r="A771" s="20">
        <v>2</v>
      </c>
      <c r="B771" s="20" t="s">
        <v>1285</v>
      </c>
      <c r="C771" s="20" t="s">
        <v>1469</v>
      </c>
      <c r="D771" s="20" t="s">
        <v>1470</v>
      </c>
      <c r="E771" s="20">
        <v>548</v>
      </c>
      <c r="F771" s="20" t="s">
        <v>1877</v>
      </c>
      <c r="G771" s="20" t="s">
        <v>1287</v>
      </c>
      <c r="H771" s="20" t="s">
        <v>1288</v>
      </c>
      <c r="I771" s="20">
        <v>6</v>
      </c>
      <c r="J771" s="20">
        <v>12</v>
      </c>
      <c r="K771" s="20">
        <v>1</v>
      </c>
      <c r="L771" s="20" t="s">
        <v>13</v>
      </c>
      <c r="M771" s="20"/>
      <c r="N771" s="20"/>
      <c r="O771" s="20">
        <v>19</v>
      </c>
      <c r="P771" s="20" t="s">
        <v>27</v>
      </c>
      <c r="Q771" s="20" t="s">
        <v>1881</v>
      </c>
      <c r="R771" s="20" t="str">
        <f>F771</f>
        <v>LLANTAS CAMION-ROJO</v>
      </c>
      <c r="S771" s="19">
        <f t="shared" si="44"/>
        <v>6</v>
      </c>
      <c r="T771" s="19">
        <f t="shared" si="45"/>
        <v>12</v>
      </c>
      <c r="U771" s="19"/>
      <c r="V771" s="19"/>
      <c r="W771" s="19"/>
      <c r="X771" s="19"/>
      <c r="Y771" s="19"/>
    </row>
    <row r="772" spans="1:25" ht="12" hidden="1" customHeight="1" thickBot="1" x14ac:dyDescent="0.35">
      <c r="A772" s="20">
        <v>1</v>
      </c>
      <c r="B772" s="20" t="s">
        <v>1556</v>
      </c>
      <c r="C772" s="20" t="s">
        <v>1612</v>
      </c>
      <c r="D772" s="54" t="s">
        <v>1923</v>
      </c>
      <c r="E772" s="20">
        <v>432</v>
      </c>
      <c r="F772" s="54" t="s">
        <v>1945</v>
      </c>
      <c r="G772" s="20" t="s">
        <v>1561</v>
      </c>
      <c r="H772" s="20" t="s">
        <v>1218</v>
      </c>
      <c r="I772" s="20">
        <v>1</v>
      </c>
      <c r="J772" s="20">
        <v>60</v>
      </c>
      <c r="K772" s="20">
        <v>2</v>
      </c>
      <c r="L772" s="20" t="s">
        <v>12</v>
      </c>
      <c r="M772" s="20"/>
      <c r="N772" s="20"/>
      <c r="O772" s="20">
        <v>21</v>
      </c>
      <c r="P772" s="20" t="s">
        <v>1218</v>
      </c>
      <c r="Q772" s="53" t="s">
        <v>1898</v>
      </c>
      <c r="R772" s="20" t="str">
        <f t="shared" ref="R772:R778" si="51">F772</f>
        <v>TOMATODO ULTRA 900ML-TRANSPARENTE</v>
      </c>
      <c r="S772" s="19">
        <f t="shared" si="44"/>
        <v>1</v>
      </c>
      <c r="T772" s="19">
        <f t="shared" si="45"/>
        <v>60</v>
      </c>
      <c r="U772" s="19">
        <v>125</v>
      </c>
      <c r="V772" s="19"/>
      <c r="W772" s="19"/>
      <c r="X772" s="19"/>
      <c r="Y772" s="19"/>
    </row>
    <row r="773" spans="1:25" ht="12" hidden="1" customHeight="1" thickBot="1" x14ac:dyDescent="0.35">
      <c r="A773" s="20">
        <v>1</v>
      </c>
      <c r="B773" s="20" t="s">
        <v>1556</v>
      </c>
      <c r="C773" s="20" t="s">
        <v>1612</v>
      </c>
      <c r="D773" s="20" t="s">
        <v>1938</v>
      </c>
      <c r="E773" s="20">
        <v>433</v>
      </c>
      <c r="F773" s="20" t="s">
        <v>1939</v>
      </c>
      <c r="G773" s="20" t="s">
        <v>1617</v>
      </c>
      <c r="H773" s="20" t="s">
        <v>1618</v>
      </c>
      <c r="I773" s="20">
        <v>4</v>
      </c>
      <c r="J773" s="20">
        <v>17</v>
      </c>
      <c r="K773" s="20">
        <v>1</v>
      </c>
      <c r="L773" s="20" t="s">
        <v>13</v>
      </c>
      <c r="M773" s="20"/>
      <c r="N773" s="20"/>
      <c r="O773" s="20">
        <v>16</v>
      </c>
      <c r="P773" s="20" t="s">
        <v>1212</v>
      </c>
      <c r="Q773" s="20" t="s">
        <v>1729</v>
      </c>
      <c r="R773" s="20" t="str">
        <f t="shared" si="51"/>
        <v>TAPA DE TOMATODO ULTRA-LILA</v>
      </c>
      <c r="S773" s="19">
        <f t="shared" si="44"/>
        <v>4</v>
      </c>
      <c r="T773" s="19">
        <v>17.25</v>
      </c>
      <c r="U773" s="19">
        <v>100</v>
      </c>
      <c r="V773" s="19"/>
      <c r="W773" s="19"/>
      <c r="X773" s="19"/>
      <c r="Y773" s="19"/>
    </row>
    <row r="774" spans="1:25" ht="12" hidden="1" customHeight="1" thickBot="1" x14ac:dyDescent="0.35">
      <c r="A774" s="20">
        <v>1</v>
      </c>
      <c r="B774" s="20" t="s">
        <v>1556</v>
      </c>
      <c r="C774" s="20" t="s">
        <v>1612</v>
      </c>
      <c r="D774" s="20" t="s">
        <v>1938</v>
      </c>
      <c r="E774" s="20">
        <v>434</v>
      </c>
      <c r="F774" s="20" t="s">
        <v>1940</v>
      </c>
      <c r="G774" s="20" t="s">
        <v>1617</v>
      </c>
      <c r="H774" s="20" t="s">
        <v>1618</v>
      </c>
      <c r="I774" s="20">
        <v>4</v>
      </c>
      <c r="J774" s="20">
        <v>17</v>
      </c>
      <c r="K774" s="20">
        <v>1</v>
      </c>
      <c r="L774" s="20" t="s">
        <v>13</v>
      </c>
      <c r="M774" s="20"/>
      <c r="N774" s="20"/>
      <c r="O774" s="20">
        <v>20</v>
      </c>
      <c r="P774" s="20" t="s">
        <v>1217</v>
      </c>
      <c r="Q774" s="20" t="s">
        <v>1894</v>
      </c>
      <c r="R774" s="20" t="str">
        <f t="shared" si="51"/>
        <v>TAPA DE TOMATODO ULTRA-ROSADO</v>
      </c>
      <c r="S774" s="19">
        <f t="shared" si="44"/>
        <v>4</v>
      </c>
      <c r="T774" s="19">
        <v>17.25</v>
      </c>
      <c r="U774" s="19">
        <v>100</v>
      </c>
      <c r="V774" s="19"/>
      <c r="W774" s="19"/>
      <c r="X774" s="19"/>
      <c r="Y774" s="19"/>
    </row>
    <row r="775" spans="1:25" ht="12" hidden="1" customHeight="1" thickBot="1" x14ac:dyDescent="0.35">
      <c r="A775" s="20">
        <v>1</v>
      </c>
      <c r="B775" s="20" t="s">
        <v>1556</v>
      </c>
      <c r="C775" s="20" t="s">
        <v>1612</v>
      </c>
      <c r="D775" s="20" t="s">
        <v>1938</v>
      </c>
      <c r="E775" s="20">
        <v>435</v>
      </c>
      <c r="F775" s="20" t="s">
        <v>1944</v>
      </c>
      <c r="G775" s="20" t="s">
        <v>1617</v>
      </c>
      <c r="H775" s="20" t="s">
        <v>1618</v>
      </c>
      <c r="I775" s="20">
        <v>4</v>
      </c>
      <c r="J775" s="20">
        <v>17</v>
      </c>
      <c r="K775" s="20">
        <v>1</v>
      </c>
      <c r="L775" s="20" t="s">
        <v>13</v>
      </c>
      <c r="M775" s="20"/>
      <c r="N775" s="20"/>
      <c r="O775" s="20">
        <v>22</v>
      </c>
      <c r="P775" s="20" t="s">
        <v>1614</v>
      </c>
      <c r="Q775" s="20" t="s">
        <v>1895</v>
      </c>
      <c r="R775" s="20" t="str">
        <f t="shared" si="51"/>
        <v>TAPA DE TOMATODO ULTRA-TURQUESA</v>
      </c>
      <c r="S775" s="19">
        <f t="shared" si="44"/>
        <v>4</v>
      </c>
      <c r="T775" s="19">
        <v>17.25</v>
      </c>
      <c r="U775" s="19">
        <v>100</v>
      </c>
      <c r="V775" s="19"/>
      <c r="W775" s="19"/>
      <c r="X775" s="19"/>
      <c r="Y775" s="19"/>
    </row>
    <row r="776" spans="1:25" ht="12" hidden="1" customHeight="1" thickBot="1" x14ac:dyDescent="0.35">
      <c r="A776" s="20">
        <v>1</v>
      </c>
      <c r="B776" s="20" t="s">
        <v>1556</v>
      </c>
      <c r="C776" s="20" t="s">
        <v>1612</v>
      </c>
      <c r="D776" s="20" t="s">
        <v>1938</v>
      </c>
      <c r="E776" s="20">
        <v>436</v>
      </c>
      <c r="F776" s="20" t="s">
        <v>1941</v>
      </c>
      <c r="G776" s="20" t="s">
        <v>1617</v>
      </c>
      <c r="H776" s="20" t="s">
        <v>1618</v>
      </c>
      <c r="I776" s="20">
        <v>4</v>
      </c>
      <c r="J776" s="20">
        <v>17</v>
      </c>
      <c r="K776" s="20">
        <v>1</v>
      </c>
      <c r="L776" s="20" t="s">
        <v>13</v>
      </c>
      <c r="M776" s="20"/>
      <c r="N776" s="20"/>
      <c r="O776" s="20">
        <v>23</v>
      </c>
      <c r="P776" s="20" t="s">
        <v>1221</v>
      </c>
      <c r="Q776" s="20" t="s">
        <v>1732</v>
      </c>
      <c r="R776" s="20" t="str">
        <f t="shared" si="51"/>
        <v>TAPA DE TOMATODO ULTRA-VERDE</v>
      </c>
      <c r="S776" s="19">
        <f t="shared" si="44"/>
        <v>4</v>
      </c>
      <c r="T776" s="19">
        <v>17.25</v>
      </c>
      <c r="U776" s="19">
        <v>100</v>
      </c>
      <c r="V776" s="19"/>
      <c r="W776" s="19"/>
      <c r="X776" s="19"/>
      <c r="Y776" s="19"/>
    </row>
    <row r="777" spans="1:25" ht="12" hidden="1" customHeight="1" thickBot="1" x14ac:dyDescent="0.35">
      <c r="A777" s="20">
        <v>1</v>
      </c>
      <c r="B777" s="20" t="s">
        <v>1556</v>
      </c>
      <c r="C777" s="20" t="s">
        <v>1612</v>
      </c>
      <c r="D777" s="20" t="s">
        <v>1938</v>
      </c>
      <c r="E777" s="20">
        <v>437</v>
      </c>
      <c r="F777" s="20" t="s">
        <v>1942</v>
      </c>
      <c r="G777" s="20" t="s">
        <v>1617</v>
      </c>
      <c r="H777" s="20" t="s">
        <v>1618</v>
      </c>
      <c r="I777" s="20">
        <v>4</v>
      </c>
      <c r="J777" s="20">
        <v>17</v>
      </c>
      <c r="K777" s="20">
        <v>1</v>
      </c>
      <c r="L777" s="20" t="s">
        <v>13</v>
      </c>
      <c r="M777" s="20"/>
      <c r="N777" s="20"/>
      <c r="O777" s="20">
        <v>14</v>
      </c>
      <c r="P777" s="20" t="s">
        <v>1209</v>
      </c>
      <c r="Q777" s="20" t="s">
        <v>1896</v>
      </c>
      <c r="R777" s="20" t="str">
        <f t="shared" si="51"/>
        <v>TAPA DE TOMATODO ULTRA-CELESTE</v>
      </c>
      <c r="S777" s="19">
        <f t="shared" si="44"/>
        <v>4</v>
      </c>
      <c r="T777" s="19">
        <v>17.25</v>
      </c>
      <c r="U777" s="19">
        <v>100</v>
      </c>
      <c r="V777" s="19"/>
      <c r="W777" s="19"/>
      <c r="X777" s="19"/>
      <c r="Y777" s="19"/>
    </row>
    <row r="778" spans="1:25" ht="12" hidden="1" customHeight="1" thickBot="1" x14ac:dyDescent="0.35">
      <c r="A778" s="20">
        <v>1</v>
      </c>
      <c r="B778" s="20" t="s">
        <v>1556</v>
      </c>
      <c r="C778" s="20" t="s">
        <v>1612</v>
      </c>
      <c r="D778" s="20" t="s">
        <v>1938</v>
      </c>
      <c r="E778" s="20">
        <v>438</v>
      </c>
      <c r="F778" s="20" t="s">
        <v>1943</v>
      </c>
      <c r="G778" s="20" t="s">
        <v>1617</v>
      </c>
      <c r="H778" s="20" t="s">
        <v>1618</v>
      </c>
      <c r="I778" s="20">
        <v>4</v>
      </c>
      <c r="J778" s="20">
        <v>17</v>
      </c>
      <c r="K778" s="20">
        <v>1</v>
      </c>
      <c r="L778" s="20" t="s">
        <v>13</v>
      </c>
      <c r="M778" s="20"/>
      <c r="N778" s="20"/>
      <c r="O778" s="20">
        <v>12</v>
      </c>
      <c r="P778" s="20" t="s">
        <v>24</v>
      </c>
      <c r="Q778" s="20" t="s">
        <v>1897</v>
      </c>
      <c r="R778" s="20" t="str">
        <f t="shared" si="51"/>
        <v>TAPA DE TOMATODO ULTRA-AZUL</v>
      </c>
      <c r="S778" s="19">
        <f t="shared" si="44"/>
        <v>4</v>
      </c>
      <c r="T778" s="19">
        <v>17.25</v>
      </c>
      <c r="U778" s="19">
        <v>100</v>
      </c>
      <c r="V778" s="19"/>
      <c r="W778" s="19"/>
      <c r="X778" s="19"/>
      <c r="Y778" s="19"/>
    </row>
    <row r="779" spans="1:25" ht="12" hidden="1" customHeight="1" thickBot="1" x14ac:dyDescent="0.35">
      <c r="A779" s="20">
        <v>2</v>
      </c>
      <c r="B779" s="20" t="s">
        <v>1285</v>
      </c>
      <c r="C779" s="20" t="s">
        <v>1413</v>
      </c>
      <c r="D779" s="20" t="s">
        <v>1899</v>
      </c>
      <c r="E779" s="20">
        <v>553</v>
      </c>
      <c r="F779" s="20" t="s">
        <v>1882</v>
      </c>
      <c r="G779" s="20" t="s">
        <v>1287</v>
      </c>
      <c r="H779" s="20" t="s">
        <v>1288</v>
      </c>
      <c r="I779" s="20">
        <v>3</v>
      </c>
      <c r="J779" s="20">
        <v>33</v>
      </c>
      <c r="K779" s="20">
        <v>1</v>
      </c>
      <c r="L779" s="20" t="s">
        <v>13</v>
      </c>
      <c r="M779" s="20"/>
      <c r="N779" s="20"/>
      <c r="O779" s="20">
        <v>10</v>
      </c>
      <c r="P779" s="20" t="s">
        <v>26</v>
      </c>
      <c r="Q779" s="20" t="s">
        <v>1888</v>
      </c>
      <c r="R779" s="20" t="str">
        <f t="shared" ref="R779:R784" si="52">F779</f>
        <v>REGADERA PLAYERA-AMARILLO</v>
      </c>
      <c r="S779" s="19">
        <f t="shared" si="44"/>
        <v>3</v>
      </c>
      <c r="T779" s="19">
        <f t="shared" si="45"/>
        <v>33</v>
      </c>
      <c r="U779" s="19"/>
      <c r="V779" s="19"/>
      <c r="W779" s="19"/>
      <c r="X779" s="19"/>
      <c r="Y779" s="19"/>
    </row>
    <row r="780" spans="1:25" ht="12" hidden="1" customHeight="1" thickBot="1" x14ac:dyDescent="0.35">
      <c r="A780" s="20">
        <v>2</v>
      </c>
      <c r="B780" s="20" t="s">
        <v>1285</v>
      </c>
      <c r="C780" s="20" t="s">
        <v>1413</v>
      </c>
      <c r="D780" s="20" t="s">
        <v>1899</v>
      </c>
      <c r="E780" s="20">
        <v>554</v>
      </c>
      <c r="F780" s="20" t="s">
        <v>1883</v>
      </c>
      <c r="G780" s="20" t="s">
        <v>1287</v>
      </c>
      <c r="H780" s="20" t="s">
        <v>1288</v>
      </c>
      <c r="I780" s="20">
        <v>3</v>
      </c>
      <c r="J780" s="20">
        <v>33</v>
      </c>
      <c r="K780" s="20">
        <v>1</v>
      </c>
      <c r="L780" s="20" t="s">
        <v>13</v>
      </c>
      <c r="M780" s="20"/>
      <c r="N780" s="20"/>
      <c r="O780" s="20">
        <v>19</v>
      </c>
      <c r="P780" s="20" t="s">
        <v>27</v>
      </c>
      <c r="Q780" s="20" t="s">
        <v>1889</v>
      </c>
      <c r="R780" s="20" t="str">
        <f t="shared" si="52"/>
        <v>REGADERA PLAYERA-ROJO</v>
      </c>
      <c r="S780" s="19">
        <f t="shared" si="44"/>
        <v>3</v>
      </c>
      <c r="T780" s="19">
        <f t="shared" si="45"/>
        <v>33</v>
      </c>
      <c r="U780" s="19"/>
      <c r="V780" s="19"/>
      <c r="W780" s="19"/>
      <c r="X780" s="19"/>
      <c r="Y780" s="19"/>
    </row>
    <row r="781" spans="1:25" ht="12" hidden="1" customHeight="1" thickBot="1" x14ac:dyDescent="0.35">
      <c r="A781" s="20">
        <v>2</v>
      </c>
      <c r="B781" s="20" t="s">
        <v>1285</v>
      </c>
      <c r="C781" s="20" t="s">
        <v>1413</v>
      </c>
      <c r="D781" s="20" t="s">
        <v>1899</v>
      </c>
      <c r="E781" s="20">
        <v>555</v>
      </c>
      <c r="F781" s="20" t="s">
        <v>1884</v>
      </c>
      <c r="G781" s="20" t="s">
        <v>1287</v>
      </c>
      <c r="H781" s="20" t="s">
        <v>1288</v>
      </c>
      <c r="I781" s="20">
        <v>3</v>
      </c>
      <c r="J781" s="20">
        <v>33</v>
      </c>
      <c r="K781" s="20">
        <v>1</v>
      </c>
      <c r="L781" s="20" t="s">
        <v>13</v>
      </c>
      <c r="M781" s="20"/>
      <c r="N781" s="20"/>
      <c r="O781" s="20">
        <v>12</v>
      </c>
      <c r="P781" s="20" t="s">
        <v>24</v>
      </c>
      <c r="Q781" s="20" t="s">
        <v>1890</v>
      </c>
      <c r="R781" s="20" t="str">
        <f t="shared" si="52"/>
        <v>REGADERA PLAYERA-AZUL</v>
      </c>
      <c r="S781" s="19">
        <f t="shared" si="44"/>
        <v>3</v>
      </c>
      <c r="T781" s="19">
        <f t="shared" si="45"/>
        <v>33</v>
      </c>
      <c r="U781" s="19"/>
      <c r="V781" s="19"/>
      <c r="W781" s="19"/>
      <c r="X781" s="19"/>
      <c r="Y781" s="19"/>
    </row>
    <row r="782" spans="1:25" ht="12" hidden="1" customHeight="1" thickBot="1" x14ac:dyDescent="0.35">
      <c r="A782" s="20">
        <v>2</v>
      </c>
      <c r="B782" s="20" t="s">
        <v>1285</v>
      </c>
      <c r="C782" s="20" t="s">
        <v>1413</v>
      </c>
      <c r="D782" s="20" t="s">
        <v>1899</v>
      </c>
      <c r="E782" s="20">
        <v>556</v>
      </c>
      <c r="F782" s="20" t="s">
        <v>1885</v>
      </c>
      <c r="G782" s="20" t="s">
        <v>1287</v>
      </c>
      <c r="H782" s="20" t="s">
        <v>1288</v>
      </c>
      <c r="I782" s="20">
        <v>3</v>
      </c>
      <c r="J782" s="20">
        <v>33</v>
      </c>
      <c r="K782" s="20">
        <v>1</v>
      </c>
      <c r="L782" s="20" t="s">
        <v>13</v>
      </c>
      <c r="M782" s="20"/>
      <c r="N782" s="20"/>
      <c r="O782" s="20">
        <v>15</v>
      </c>
      <c r="P782" s="20" t="s">
        <v>1211</v>
      </c>
      <c r="Q782" s="20" t="s">
        <v>1891</v>
      </c>
      <c r="R782" s="20" t="str">
        <f t="shared" si="52"/>
        <v>REGADERA PLAYERA-FUCSIA</v>
      </c>
      <c r="S782" s="19">
        <f t="shared" si="44"/>
        <v>3</v>
      </c>
      <c r="T782" s="19">
        <f t="shared" si="45"/>
        <v>33</v>
      </c>
      <c r="U782" s="19"/>
      <c r="V782" s="19"/>
      <c r="W782" s="19"/>
      <c r="X782" s="19"/>
      <c r="Y782" s="19"/>
    </row>
    <row r="783" spans="1:25" ht="12" hidden="1" customHeight="1" thickBot="1" x14ac:dyDescent="0.35">
      <c r="A783" s="20">
        <v>2</v>
      </c>
      <c r="B783" s="20" t="s">
        <v>1285</v>
      </c>
      <c r="C783" s="20" t="s">
        <v>1413</v>
      </c>
      <c r="D783" s="20" t="s">
        <v>1899</v>
      </c>
      <c r="E783" s="20">
        <v>557</v>
      </c>
      <c r="F783" s="20" t="s">
        <v>1886</v>
      </c>
      <c r="G783" s="20" t="s">
        <v>1287</v>
      </c>
      <c r="H783" s="20" t="s">
        <v>1288</v>
      </c>
      <c r="I783" s="20">
        <v>3</v>
      </c>
      <c r="J783" s="20">
        <v>33</v>
      </c>
      <c r="K783" s="20">
        <v>1</v>
      </c>
      <c r="L783" s="20" t="s">
        <v>13</v>
      </c>
      <c r="M783" s="20"/>
      <c r="N783" s="20"/>
      <c r="O783" s="20">
        <v>16</v>
      </c>
      <c r="P783" s="20" t="s">
        <v>1212</v>
      </c>
      <c r="Q783" s="20" t="s">
        <v>1892</v>
      </c>
      <c r="R783" s="20" t="str">
        <f t="shared" si="52"/>
        <v>REGADERA PLAYERA-LILA</v>
      </c>
      <c r="S783" s="19">
        <f t="shared" si="44"/>
        <v>3</v>
      </c>
      <c r="T783" s="19">
        <f t="shared" si="45"/>
        <v>33</v>
      </c>
      <c r="U783" s="19"/>
      <c r="V783" s="19"/>
      <c r="W783" s="19"/>
      <c r="X783" s="19"/>
      <c r="Y783" s="19"/>
    </row>
    <row r="784" spans="1:25" ht="12" hidden="1" customHeight="1" thickBot="1" x14ac:dyDescent="0.35">
      <c r="A784" s="20">
        <v>2</v>
      </c>
      <c r="B784" s="20" t="s">
        <v>1285</v>
      </c>
      <c r="C784" s="20" t="s">
        <v>1413</v>
      </c>
      <c r="D784" s="20" t="s">
        <v>1899</v>
      </c>
      <c r="E784" s="20">
        <v>558</v>
      </c>
      <c r="F784" s="20" t="s">
        <v>1887</v>
      </c>
      <c r="G784" s="20" t="s">
        <v>1287</v>
      </c>
      <c r="H784" s="20" t="s">
        <v>1288</v>
      </c>
      <c r="I784" s="20">
        <v>3</v>
      </c>
      <c r="J784" s="20">
        <v>33</v>
      </c>
      <c r="K784" s="20">
        <v>1</v>
      </c>
      <c r="L784" s="20" t="s">
        <v>13</v>
      </c>
      <c r="M784" s="20"/>
      <c r="N784" s="20"/>
      <c r="O784" s="20">
        <v>23</v>
      </c>
      <c r="P784" s="20" t="s">
        <v>1221</v>
      </c>
      <c r="Q784" s="20" t="s">
        <v>1893</v>
      </c>
      <c r="R784" s="20" t="str">
        <f t="shared" si="52"/>
        <v>REGADERA PLAYERA-VERDE</v>
      </c>
      <c r="S784" s="19">
        <f t="shared" si="44"/>
        <v>3</v>
      </c>
      <c r="T784" s="19">
        <f t="shared" si="45"/>
        <v>33</v>
      </c>
      <c r="U784" s="19"/>
      <c r="V784" s="19"/>
      <c r="W784" s="19"/>
      <c r="X784" s="19"/>
      <c r="Y784" s="19"/>
    </row>
    <row r="785" spans="1:25" ht="12" hidden="1" customHeight="1" thickBot="1" x14ac:dyDescent="0.35">
      <c r="A785" s="20">
        <v>2</v>
      </c>
      <c r="B785" s="20" t="s">
        <v>1285</v>
      </c>
      <c r="C785" s="20" t="s">
        <v>1413</v>
      </c>
      <c r="D785" s="20" t="s">
        <v>1901</v>
      </c>
      <c r="E785" s="20">
        <v>559</v>
      </c>
      <c r="F785" s="20" t="s">
        <v>1902</v>
      </c>
      <c r="G785" s="20" t="s">
        <v>1287</v>
      </c>
      <c r="H785" s="20" t="s">
        <v>1288</v>
      </c>
      <c r="I785" s="20">
        <v>4</v>
      </c>
      <c r="J785" s="20">
        <v>22</v>
      </c>
      <c r="K785" s="20">
        <v>1</v>
      </c>
      <c r="L785" s="20" t="s">
        <v>13</v>
      </c>
      <c r="M785" s="20"/>
      <c r="N785" s="20"/>
      <c r="O785" s="20">
        <v>10</v>
      </c>
      <c r="P785" s="20" t="s">
        <v>26</v>
      </c>
      <c r="Q785" s="20" t="s">
        <v>1906</v>
      </c>
      <c r="R785" s="20" t="str">
        <f t="shared" ref="R785:R790" si="53">F785</f>
        <v>PALA RASTRILLO MEDIEVAL-AMARILLO</v>
      </c>
      <c r="S785" s="19">
        <f t="shared" si="44"/>
        <v>4</v>
      </c>
      <c r="T785" s="19">
        <f t="shared" si="45"/>
        <v>22</v>
      </c>
      <c r="U785" s="19"/>
      <c r="V785" s="19"/>
      <c r="W785" s="19"/>
      <c r="X785" s="19"/>
      <c r="Y785" s="19"/>
    </row>
    <row r="786" spans="1:25" ht="12" hidden="1" customHeight="1" thickBot="1" x14ac:dyDescent="0.35">
      <c r="A786" s="20">
        <v>2</v>
      </c>
      <c r="B786" s="20" t="s">
        <v>1285</v>
      </c>
      <c r="C786" s="20" t="s">
        <v>1413</v>
      </c>
      <c r="D786" s="20" t="s">
        <v>1901</v>
      </c>
      <c r="E786" s="20">
        <v>560</v>
      </c>
      <c r="F786" s="20" t="s">
        <v>1903</v>
      </c>
      <c r="G786" s="20" t="s">
        <v>1287</v>
      </c>
      <c r="H786" s="20" t="s">
        <v>1288</v>
      </c>
      <c r="I786" s="20">
        <v>4</v>
      </c>
      <c r="J786" s="20">
        <v>22</v>
      </c>
      <c r="K786" s="20">
        <v>1</v>
      </c>
      <c r="L786" s="20" t="s">
        <v>13</v>
      </c>
      <c r="M786" s="20"/>
      <c r="N786" s="20"/>
      <c r="O786" s="20">
        <v>12</v>
      </c>
      <c r="P786" s="20" t="s">
        <v>24</v>
      </c>
      <c r="Q786" s="20" t="s">
        <v>1907</v>
      </c>
      <c r="R786" s="20" t="str">
        <f t="shared" si="53"/>
        <v>PALA RASTRILLO MEDIEVAL-AZUL</v>
      </c>
      <c r="S786" s="19">
        <f t="shared" si="44"/>
        <v>4</v>
      </c>
      <c r="T786" s="19">
        <f t="shared" si="45"/>
        <v>22</v>
      </c>
      <c r="U786" s="19"/>
      <c r="V786" s="19"/>
      <c r="W786" s="19"/>
      <c r="X786" s="19"/>
      <c r="Y786" s="19"/>
    </row>
    <row r="787" spans="1:25" ht="12" hidden="1" customHeight="1" thickBot="1" x14ac:dyDescent="0.35">
      <c r="A787" s="20">
        <v>2</v>
      </c>
      <c r="B787" s="20" t="s">
        <v>1285</v>
      </c>
      <c r="C787" s="20" t="s">
        <v>1413</v>
      </c>
      <c r="D787" s="20" t="s">
        <v>1901</v>
      </c>
      <c r="E787" s="20">
        <v>561</v>
      </c>
      <c r="F787" s="20" t="s">
        <v>1904</v>
      </c>
      <c r="G787" s="20" t="s">
        <v>1287</v>
      </c>
      <c r="H787" s="20" t="s">
        <v>1288</v>
      </c>
      <c r="I787" s="20">
        <v>4</v>
      </c>
      <c r="J787" s="20">
        <v>22</v>
      </c>
      <c r="K787" s="20">
        <v>1</v>
      </c>
      <c r="L787" s="20" t="s">
        <v>13</v>
      </c>
      <c r="M787" s="20"/>
      <c r="N787" s="20"/>
      <c r="O787" s="20">
        <v>23</v>
      </c>
      <c r="P787" s="20" t="s">
        <v>1221</v>
      </c>
      <c r="Q787" s="20" t="s">
        <v>1908</v>
      </c>
      <c r="R787" s="20" t="str">
        <f t="shared" si="53"/>
        <v>PALA RASTRILLO MEDIEVAL-VERDE</v>
      </c>
      <c r="S787" s="19">
        <f t="shared" si="44"/>
        <v>4</v>
      </c>
      <c r="T787" s="19">
        <f t="shared" si="45"/>
        <v>22</v>
      </c>
      <c r="U787" s="19"/>
      <c r="V787" s="19"/>
      <c r="W787" s="19"/>
      <c r="X787" s="19"/>
      <c r="Y787" s="19"/>
    </row>
    <row r="788" spans="1:25" ht="12" hidden="1" customHeight="1" thickBot="1" x14ac:dyDescent="0.35">
      <c r="A788" s="20">
        <v>2</v>
      </c>
      <c r="B788" s="20" t="s">
        <v>1285</v>
      </c>
      <c r="C788" s="20" t="s">
        <v>1413</v>
      </c>
      <c r="D788" s="20" t="s">
        <v>1901</v>
      </c>
      <c r="E788" s="20">
        <v>562</v>
      </c>
      <c r="F788" s="20" t="s">
        <v>1905</v>
      </c>
      <c r="G788" s="20" t="s">
        <v>1287</v>
      </c>
      <c r="H788" s="20" t="s">
        <v>1288</v>
      </c>
      <c r="I788" s="20">
        <v>4</v>
      </c>
      <c r="J788" s="20">
        <v>22</v>
      </c>
      <c r="K788" s="20">
        <v>1</v>
      </c>
      <c r="L788" s="20" t="s">
        <v>13</v>
      </c>
      <c r="M788" s="20"/>
      <c r="N788" s="20"/>
      <c r="O788" s="20">
        <v>19</v>
      </c>
      <c r="P788" s="20" t="s">
        <v>27</v>
      </c>
      <c r="Q788" s="20" t="s">
        <v>1909</v>
      </c>
      <c r="R788" s="20" t="str">
        <f t="shared" si="53"/>
        <v>PALA RASTRILLO MEDIEVAL-ROJO</v>
      </c>
      <c r="S788" s="19">
        <f t="shared" si="44"/>
        <v>4</v>
      </c>
      <c r="T788" s="19">
        <f t="shared" si="45"/>
        <v>22</v>
      </c>
      <c r="U788" s="19"/>
      <c r="V788" s="19"/>
      <c r="W788" s="19"/>
      <c r="X788" s="19"/>
      <c r="Y788" s="19"/>
    </row>
    <row r="789" spans="1:25" ht="12" hidden="1" customHeight="1" thickBot="1" x14ac:dyDescent="0.35">
      <c r="A789" s="20">
        <v>1</v>
      </c>
      <c r="B789" s="20" t="s">
        <v>1556</v>
      </c>
      <c r="C789" s="20" t="s">
        <v>1802</v>
      </c>
      <c r="D789" s="20" t="s">
        <v>1930</v>
      </c>
      <c r="E789" s="20">
        <v>446</v>
      </c>
      <c r="F789" s="20" t="s">
        <v>1936</v>
      </c>
      <c r="G789" s="20" t="s">
        <v>1287</v>
      </c>
      <c r="H789" s="20" t="s">
        <v>1288</v>
      </c>
      <c r="I789" s="20">
        <v>4</v>
      </c>
      <c r="J789" s="20">
        <v>3</v>
      </c>
      <c r="K789" s="20">
        <v>1</v>
      </c>
      <c r="L789" s="20" t="s">
        <v>13</v>
      </c>
      <c r="M789" s="20"/>
      <c r="N789" s="20"/>
      <c r="O789" s="20">
        <v>26</v>
      </c>
      <c r="P789" s="20" t="s">
        <v>1216</v>
      </c>
      <c r="Q789" s="20" t="s">
        <v>1961</v>
      </c>
      <c r="R789" s="20" t="str">
        <f t="shared" si="53"/>
        <v>ASA DE TOMATODO ULTRA-PLOMO</v>
      </c>
      <c r="S789" s="19">
        <f t="shared" si="44"/>
        <v>4</v>
      </c>
      <c r="T789" s="19">
        <f t="shared" si="45"/>
        <v>3</v>
      </c>
      <c r="U789" s="19">
        <v>150</v>
      </c>
      <c r="V789" s="19"/>
      <c r="W789" s="19"/>
      <c r="X789" s="19"/>
      <c r="Y789" s="19"/>
    </row>
    <row r="790" spans="1:25" ht="12" hidden="1" customHeight="1" thickBot="1" x14ac:dyDescent="0.35">
      <c r="A790" s="20">
        <v>1</v>
      </c>
      <c r="B790" s="20" t="s">
        <v>1556</v>
      </c>
      <c r="C790" s="20" t="s">
        <v>1802</v>
      </c>
      <c r="D790" s="20" t="s">
        <v>1645</v>
      </c>
      <c r="E790" s="20">
        <v>330</v>
      </c>
      <c r="F790" s="20" t="s">
        <v>1960</v>
      </c>
      <c r="G790" s="20" t="s">
        <v>1603</v>
      </c>
      <c r="H790" s="20" t="s">
        <v>1604</v>
      </c>
      <c r="I790" s="20">
        <v>2</v>
      </c>
      <c r="J790" s="20">
        <v>30</v>
      </c>
      <c r="K790" s="20">
        <v>2</v>
      </c>
      <c r="L790" s="20" t="s">
        <v>12</v>
      </c>
      <c r="M790" s="20"/>
      <c r="N790" s="20"/>
      <c r="O790" s="20">
        <v>12</v>
      </c>
      <c r="P790" s="20" t="s">
        <v>1218</v>
      </c>
      <c r="Q790" s="20" t="s">
        <v>1650</v>
      </c>
      <c r="R790" s="20" t="str">
        <f t="shared" si="53"/>
        <v>TOMATODO 350ML-TRANSPARENTE</v>
      </c>
      <c r="S790" s="19">
        <f t="shared" si="44"/>
        <v>2</v>
      </c>
      <c r="T790" s="19">
        <f t="shared" si="45"/>
        <v>30</v>
      </c>
      <c r="U790" s="19">
        <v>150</v>
      </c>
      <c r="V790" s="19"/>
      <c r="W790" s="19"/>
      <c r="X790" s="19"/>
      <c r="Y790" s="19"/>
    </row>
    <row r="791" spans="1:25" ht="12" hidden="1" customHeight="1" thickBot="1" x14ac:dyDescent="0.35">
      <c r="A791" s="20">
        <v>1</v>
      </c>
      <c r="B791" s="26" t="s">
        <v>1556</v>
      </c>
      <c r="C791" s="26" t="s">
        <v>1802</v>
      </c>
      <c r="D791" s="26" t="s">
        <v>2075</v>
      </c>
      <c r="E791" s="20">
        <v>448</v>
      </c>
      <c r="F791" s="26" t="s">
        <v>1931</v>
      </c>
      <c r="G791" s="20" t="s">
        <v>1617</v>
      </c>
      <c r="H791" s="26" t="s">
        <v>1618</v>
      </c>
      <c r="I791" s="20">
        <v>8</v>
      </c>
      <c r="J791" s="28">
        <v>29</v>
      </c>
      <c r="K791" s="20">
        <v>1</v>
      </c>
      <c r="L791" s="26" t="s">
        <v>13</v>
      </c>
      <c r="M791" s="26"/>
      <c r="N791" s="26"/>
      <c r="O791" s="20">
        <v>16</v>
      </c>
      <c r="P791" s="26" t="s">
        <v>1212</v>
      </c>
      <c r="Q791" s="26" t="s">
        <v>1973</v>
      </c>
      <c r="R791" s="20" t="str">
        <f t="shared" ref="R791:R799" si="54">F791</f>
        <v>PUNTA DE TOMATODO ULTRA-LILA</v>
      </c>
      <c r="S791" s="19">
        <v>6</v>
      </c>
      <c r="T791" s="19">
        <v>4.9000000000000004</v>
      </c>
      <c r="U791" s="19">
        <v>100</v>
      </c>
      <c r="V791" s="19"/>
      <c r="W791" s="19"/>
      <c r="X791" s="19"/>
      <c r="Y791" s="19"/>
    </row>
    <row r="792" spans="1:25" ht="12" hidden="1" customHeight="1" thickBot="1" x14ac:dyDescent="0.35">
      <c r="A792" s="20">
        <v>1</v>
      </c>
      <c r="B792" s="26" t="s">
        <v>1556</v>
      </c>
      <c r="C792" s="26" t="s">
        <v>1802</v>
      </c>
      <c r="D792" s="26" t="s">
        <v>2075</v>
      </c>
      <c r="E792" s="20">
        <v>449</v>
      </c>
      <c r="F792" s="26" t="s">
        <v>1933</v>
      </c>
      <c r="G792" s="20" t="s">
        <v>1617</v>
      </c>
      <c r="H792" s="26" t="s">
        <v>1618</v>
      </c>
      <c r="I792" s="20">
        <v>8</v>
      </c>
      <c r="J792" s="28">
        <v>29</v>
      </c>
      <c r="K792" s="20">
        <v>1</v>
      </c>
      <c r="L792" s="26" t="s">
        <v>13</v>
      </c>
      <c r="M792" s="26"/>
      <c r="N792" s="26"/>
      <c r="O792" s="20">
        <v>15</v>
      </c>
      <c r="P792" s="26" t="s">
        <v>1211</v>
      </c>
      <c r="Q792" s="26" t="s">
        <v>1974</v>
      </c>
      <c r="R792" s="20" t="str">
        <f t="shared" si="54"/>
        <v>PUNTA DE TOMATODO ULTRA-ROSADO</v>
      </c>
      <c r="S792" s="19">
        <v>6</v>
      </c>
      <c r="T792" s="19">
        <v>4.9000000000000004</v>
      </c>
      <c r="U792" s="19">
        <v>100</v>
      </c>
      <c r="V792" s="19"/>
      <c r="W792" s="19"/>
      <c r="X792" s="19"/>
      <c r="Y792" s="19"/>
    </row>
    <row r="793" spans="1:25" ht="12" hidden="1" customHeight="1" thickBot="1" x14ac:dyDescent="0.35">
      <c r="A793" s="20">
        <v>1</v>
      </c>
      <c r="B793" s="26" t="s">
        <v>1556</v>
      </c>
      <c r="C793" s="26" t="s">
        <v>1802</v>
      </c>
      <c r="D793" s="26" t="s">
        <v>2075</v>
      </c>
      <c r="E793" s="20">
        <v>450</v>
      </c>
      <c r="F793" s="26" t="s">
        <v>1932</v>
      </c>
      <c r="G793" s="20" t="s">
        <v>1617</v>
      </c>
      <c r="H793" s="26" t="s">
        <v>1618</v>
      </c>
      <c r="I793" s="20">
        <v>8</v>
      </c>
      <c r="J793" s="28">
        <v>29</v>
      </c>
      <c r="K793" s="20">
        <v>1</v>
      </c>
      <c r="L793" s="26" t="s">
        <v>13</v>
      </c>
      <c r="M793" s="26"/>
      <c r="N793" s="26"/>
      <c r="O793" s="20">
        <v>23</v>
      </c>
      <c r="P793" s="26" t="s">
        <v>1221</v>
      </c>
      <c r="Q793" s="26" t="s">
        <v>1975</v>
      </c>
      <c r="R793" s="20" t="str">
        <f t="shared" si="54"/>
        <v>PUNTA DE TOMATODO ULTRA-VERDE</v>
      </c>
      <c r="S793" s="19">
        <v>6</v>
      </c>
      <c r="T793" s="19">
        <v>4.9000000000000004</v>
      </c>
      <c r="U793" s="19">
        <v>100</v>
      </c>
      <c r="V793" s="19"/>
      <c r="W793" s="19"/>
      <c r="X793" s="19"/>
      <c r="Y793" s="19"/>
    </row>
    <row r="794" spans="1:25" ht="12" hidden="1" customHeight="1" thickBot="1" x14ac:dyDescent="0.35">
      <c r="A794" s="20">
        <v>1</v>
      </c>
      <c r="B794" s="26" t="s">
        <v>1556</v>
      </c>
      <c r="C794" s="26" t="s">
        <v>1802</v>
      </c>
      <c r="D794" s="26" t="s">
        <v>2075</v>
      </c>
      <c r="E794" s="20">
        <v>451</v>
      </c>
      <c r="F794" s="26" t="s">
        <v>1937</v>
      </c>
      <c r="G794" s="20" t="s">
        <v>1617</v>
      </c>
      <c r="H794" s="26" t="s">
        <v>1618</v>
      </c>
      <c r="I794" s="20">
        <v>8</v>
      </c>
      <c r="J794" s="28">
        <v>29</v>
      </c>
      <c r="K794" s="20">
        <v>1</v>
      </c>
      <c r="L794" s="26" t="s">
        <v>13</v>
      </c>
      <c r="M794" s="26"/>
      <c r="N794" s="26"/>
      <c r="O794" s="20">
        <v>22</v>
      </c>
      <c r="P794" s="26" t="s">
        <v>1614</v>
      </c>
      <c r="Q794" s="26" t="s">
        <v>1976</v>
      </c>
      <c r="R794" s="20" t="str">
        <f t="shared" si="54"/>
        <v>PUNTA DE TOMATODO ULTRA-TURQUESA</v>
      </c>
      <c r="S794" s="19">
        <v>6</v>
      </c>
      <c r="T794" s="19">
        <v>4.9000000000000004</v>
      </c>
      <c r="U794" s="19">
        <v>100</v>
      </c>
      <c r="V794" s="19"/>
      <c r="W794" s="19"/>
      <c r="X794" s="19"/>
      <c r="Y794" s="19"/>
    </row>
    <row r="795" spans="1:25" ht="12" hidden="1" customHeight="1" thickBot="1" x14ac:dyDescent="0.35">
      <c r="A795" s="20">
        <v>1</v>
      </c>
      <c r="B795" s="26" t="s">
        <v>1556</v>
      </c>
      <c r="C795" s="26" t="s">
        <v>1802</v>
      </c>
      <c r="D795" s="26" t="s">
        <v>2075</v>
      </c>
      <c r="E795" s="20">
        <v>452</v>
      </c>
      <c r="F795" s="26" t="s">
        <v>1935</v>
      </c>
      <c r="G795" s="20" t="s">
        <v>1617</v>
      </c>
      <c r="H795" s="26" t="s">
        <v>1618</v>
      </c>
      <c r="I795" s="20">
        <v>8</v>
      </c>
      <c r="J795" s="28">
        <v>29</v>
      </c>
      <c r="K795" s="20">
        <v>1</v>
      </c>
      <c r="L795" s="26" t="s">
        <v>13</v>
      </c>
      <c r="M795" s="26"/>
      <c r="N795" s="26"/>
      <c r="O795" s="20">
        <v>12</v>
      </c>
      <c r="P795" s="26" t="s">
        <v>24</v>
      </c>
      <c r="Q795" s="26" t="s">
        <v>1973</v>
      </c>
      <c r="R795" s="20" t="str">
        <f t="shared" si="54"/>
        <v>PUNTA DE TOMATODO ULTRA-AZUL</v>
      </c>
      <c r="S795" s="19">
        <v>6</v>
      </c>
      <c r="T795" s="19">
        <v>4.9000000000000004</v>
      </c>
      <c r="U795" s="19">
        <v>100</v>
      </c>
      <c r="V795" s="19"/>
      <c r="W795" s="19"/>
      <c r="X795" s="19"/>
      <c r="Y795" s="19"/>
    </row>
    <row r="796" spans="1:25" ht="12" hidden="1" customHeight="1" thickBot="1" x14ac:dyDescent="0.35">
      <c r="A796" s="20">
        <v>1</v>
      </c>
      <c r="B796" s="26" t="s">
        <v>1556</v>
      </c>
      <c r="C796" s="26" t="s">
        <v>1802</v>
      </c>
      <c r="D796" s="26" t="s">
        <v>2075</v>
      </c>
      <c r="E796" s="20">
        <v>453</v>
      </c>
      <c r="F796" s="26" t="s">
        <v>1934</v>
      </c>
      <c r="G796" s="20" t="s">
        <v>1617</v>
      </c>
      <c r="H796" s="26" t="s">
        <v>1618</v>
      </c>
      <c r="I796" s="20">
        <v>8</v>
      </c>
      <c r="J796" s="28">
        <v>29</v>
      </c>
      <c r="K796" s="20">
        <v>1</v>
      </c>
      <c r="L796" s="26" t="s">
        <v>13</v>
      </c>
      <c r="M796" s="26"/>
      <c r="N796" s="26"/>
      <c r="O796" s="20">
        <v>14</v>
      </c>
      <c r="P796" s="26" t="s">
        <v>1209</v>
      </c>
      <c r="Q796" s="26" t="s">
        <v>1974</v>
      </c>
      <c r="R796" s="20" t="str">
        <f t="shared" si="54"/>
        <v>PUNTA DE TOMATODO ULTRA-CELESTE</v>
      </c>
      <c r="S796" s="19">
        <v>6</v>
      </c>
      <c r="T796" s="19">
        <v>4.9000000000000004</v>
      </c>
      <c r="U796" s="19">
        <v>100</v>
      </c>
      <c r="V796" s="19"/>
      <c r="W796" s="19"/>
      <c r="X796" s="19"/>
      <c r="Y796" s="19"/>
    </row>
    <row r="797" spans="1:25" ht="12" hidden="1" customHeight="1" thickBot="1" x14ac:dyDescent="0.35">
      <c r="A797" s="20">
        <v>1</v>
      </c>
      <c r="B797" s="20" t="s">
        <v>1556</v>
      </c>
      <c r="C797" s="20" t="s">
        <v>1559</v>
      </c>
      <c r="D797" s="20" t="s">
        <v>955</v>
      </c>
      <c r="E797" s="20">
        <v>454</v>
      </c>
      <c r="F797" s="20" t="s">
        <v>1952</v>
      </c>
      <c r="G797" s="20" t="s">
        <v>1287</v>
      </c>
      <c r="H797" s="20" t="s">
        <v>1288</v>
      </c>
      <c r="I797" s="20">
        <v>2</v>
      </c>
      <c r="J797" s="20">
        <v>56</v>
      </c>
      <c r="K797" s="20">
        <v>1</v>
      </c>
      <c r="L797" s="20" t="s">
        <v>13</v>
      </c>
      <c r="M797" s="19"/>
      <c r="N797" s="19"/>
      <c r="O797" s="19"/>
      <c r="P797" s="19"/>
      <c r="R797" s="20" t="str">
        <f t="shared" si="54"/>
        <v>TAPA REPOSTEROS-TURQUESA</v>
      </c>
      <c r="S797" s="19">
        <f t="shared" ref="S797:S808" si="55">+I797</f>
        <v>2</v>
      </c>
      <c r="T797" s="19">
        <f t="shared" ref="T797:T808" si="56">+J797</f>
        <v>56</v>
      </c>
      <c r="U797" s="19">
        <v>130</v>
      </c>
    </row>
    <row r="798" spans="1:25" ht="12" hidden="1" customHeight="1" thickBot="1" x14ac:dyDescent="0.35">
      <c r="A798" s="20">
        <v>1</v>
      </c>
      <c r="B798" s="20" t="s">
        <v>1556</v>
      </c>
      <c r="C798" s="20" t="s">
        <v>1559</v>
      </c>
      <c r="D798" s="20" t="s">
        <v>955</v>
      </c>
      <c r="E798" s="20">
        <v>454</v>
      </c>
      <c r="F798" s="20" t="s">
        <v>949</v>
      </c>
      <c r="G798" s="20" t="s">
        <v>1287</v>
      </c>
      <c r="H798" s="20" t="s">
        <v>1288</v>
      </c>
      <c r="I798" s="20">
        <v>2</v>
      </c>
      <c r="J798" s="20">
        <v>56</v>
      </c>
      <c r="K798" s="20">
        <v>1</v>
      </c>
      <c r="L798" s="20" t="s">
        <v>13</v>
      </c>
      <c r="M798" s="19"/>
      <c r="N798" s="19"/>
      <c r="O798" s="19"/>
      <c r="P798" s="19"/>
      <c r="R798" s="20" t="str">
        <f t="shared" si="54"/>
        <v>TAPA REPOSTEROS-ANARANJADO</v>
      </c>
      <c r="S798" s="19">
        <f t="shared" si="55"/>
        <v>2</v>
      </c>
      <c r="T798" s="19">
        <f t="shared" si="56"/>
        <v>56</v>
      </c>
      <c r="U798" s="19">
        <v>130</v>
      </c>
    </row>
    <row r="799" spans="1:25" ht="12" hidden="1" customHeight="1" thickBot="1" x14ac:dyDescent="0.35">
      <c r="A799" s="20">
        <v>1</v>
      </c>
      <c r="B799" s="26" t="s">
        <v>1556</v>
      </c>
      <c r="C799" s="26" t="s">
        <v>1714</v>
      </c>
      <c r="D799" s="26" t="s">
        <v>2004</v>
      </c>
      <c r="E799" s="20">
        <v>419</v>
      </c>
      <c r="F799" s="26" t="s">
        <v>2005</v>
      </c>
      <c r="G799" s="20" t="s">
        <v>1561</v>
      </c>
      <c r="H799" s="26" t="s">
        <v>1218</v>
      </c>
      <c r="I799" s="20">
        <v>1</v>
      </c>
      <c r="J799" s="28">
        <v>303</v>
      </c>
      <c r="K799" s="20">
        <v>1</v>
      </c>
      <c r="L799" s="26" t="s">
        <v>13</v>
      </c>
      <c r="M799" s="26"/>
      <c r="N799" s="26"/>
      <c r="O799" s="20">
        <v>21</v>
      </c>
      <c r="P799" s="26" t="s">
        <v>1218</v>
      </c>
      <c r="Q799" s="55" t="s">
        <v>1795</v>
      </c>
      <c r="R799" s="20" t="str">
        <f t="shared" si="54"/>
        <v>TAPA PORTAVAJILLA-TRANSPARENTE</v>
      </c>
      <c r="S799" s="19">
        <f t="shared" si="55"/>
        <v>1</v>
      </c>
      <c r="T799" s="19">
        <f t="shared" si="56"/>
        <v>303</v>
      </c>
      <c r="U799" s="19">
        <v>120</v>
      </c>
      <c r="V799" s="19"/>
      <c r="W799" s="19"/>
      <c r="X799" s="19"/>
      <c r="Y799" s="19"/>
    </row>
    <row r="800" spans="1:25" ht="12" hidden="1" customHeight="1" thickBot="1" x14ac:dyDescent="0.35">
      <c r="A800" s="20">
        <v>1</v>
      </c>
      <c r="B800" s="26" t="s">
        <v>1556</v>
      </c>
      <c r="C800" s="26" t="s">
        <v>1616</v>
      </c>
      <c r="D800" s="26" t="s">
        <v>2008</v>
      </c>
      <c r="E800" s="20">
        <v>444</v>
      </c>
      <c r="F800" s="29" t="s">
        <v>2023</v>
      </c>
      <c r="G800" s="20" t="s">
        <v>1561</v>
      </c>
      <c r="H800" s="26" t="s">
        <v>1218</v>
      </c>
      <c r="I800" s="20">
        <v>1</v>
      </c>
      <c r="J800" s="28">
        <v>69</v>
      </c>
      <c r="K800" s="20">
        <v>1</v>
      </c>
      <c r="L800" s="26" t="s">
        <v>13</v>
      </c>
      <c r="M800" s="27"/>
      <c r="N800" s="27"/>
      <c r="O800" s="20">
        <v>21</v>
      </c>
      <c r="P800" s="26" t="s">
        <v>1218</v>
      </c>
      <c r="Q800" s="26" t="s">
        <v>1975</v>
      </c>
      <c r="R800" s="30" t="str">
        <f>F800</f>
        <v>TAPER REDONDO 2500ML-TRANSPARENTE</v>
      </c>
      <c r="S800" s="19">
        <f t="shared" si="55"/>
        <v>1</v>
      </c>
      <c r="T800" s="19">
        <f t="shared" si="56"/>
        <v>69</v>
      </c>
      <c r="U800" s="19">
        <v>125</v>
      </c>
      <c r="V800" s="19"/>
      <c r="W800" s="19"/>
      <c r="X800" s="19"/>
      <c r="Y800" s="19"/>
    </row>
    <row r="801" spans="1:25" ht="12" hidden="1" customHeight="1" thickBot="1" x14ac:dyDescent="0.35">
      <c r="A801" s="20">
        <v>1</v>
      </c>
      <c r="B801" s="26" t="s">
        <v>1556</v>
      </c>
      <c r="C801" s="26" t="s">
        <v>1616</v>
      </c>
      <c r="D801" s="26" t="s">
        <v>1955</v>
      </c>
      <c r="E801" s="20">
        <v>445</v>
      </c>
      <c r="F801" s="26" t="s">
        <v>1956</v>
      </c>
      <c r="G801" s="20" t="s">
        <v>1287</v>
      </c>
      <c r="H801" s="26" t="s">
        <v>1288</v>
      </c>
      <c r="I801" s="20">
        <v>12</v>
      </c>
      <c r="J801" s="28">
        <v>2.5</v>
      </c>
      <c r="K801" s="20">
        <v>1</v>
      </c>
      <c r="L801" s="26" t="s">
        <v>13</v>
      </c>
      <c r="M801" s="27"/>
      <c r="N801" s="27"/>
      <c r="O801" s="20">
        <v>26</v>
      </c>
      <c r="P801" s="26" t="s">
        <v>1216</v>
      </c>
      <c r="Q801" s="26" t="s">
        <v>2015</v>
      </c>
      <c r="R801" s="20" t="str">
        <f t="shared" ref="R801:R808" si="57">F801</f>
        <v>VALVULA VAPOR-PLOMO</v>
      </c>
      <c r="S801" s="19">
        <f t="shared" si="55"/>
        <v>12</v>
      </c>
      <c r="T801" s="19">
        <f t="shared" si="56"/>
        <v>2.5</v>
      </c>
      <c r="U801" s="19">
        <v>140</v>
      </c>
      <c r="V801" s="19"/>
      <c r="W801" s="19"/>
      <c r="X801" s="19"/>
      <c r="Y801" s="19"/>
    </row>
    <row r="802" spans="1:25" ht="12" hidden="1" customHeight="1" thickBot="1" x14ac:dyDescent="0.35">
      <c r="A802" s="20">
        <v>1</v>
      </c>
      <c r="B802" s="26" t="s">
        <v>1556</v>
      </c>
      <c r="C802" s="26" t="s">
        <v>1616</v>
      </c>
      <c r="D802" s="26" t="s">
        <v>2008</v>
      </c>
      <c r="E802" s="20">
        <v>448</v>
      </c>
      <c r="F802" s="26" t="s">
        <v>2009</v>
      </c>
      <c r="G802" s="20" t="s">
        <v>1287</v>
      </c>
      <c r="H802" s="26" t="s">
        <v>1288</v>
      </c>
      <c r="I802" s="20">
        <v>4</v>
      </c>
      <c r="J802" s="28">
        <v>33</v>
      </c>
      <c r="K802" s="20">
        <v>1</v>
      </c>
      <c r="L802" s="26" t="s">
        <v>13</v>
      </c>
      <c r="M802" s="27"/>
      <c r="N802" s="27"/>
      <c r="O802" s="20">
        <v>15</v>
      </c>
      <c r="P802" s="26" t="s">
        <v>1211</v>
      </c>
      <c r="Q802" s="26" t="s">
        <v>2016</v>
      </c>
      <c r="R802" s="20" t="str">
        <f t="shared" si="57"/>
        <v>TAPA TAPER REDONDO 2500ML-FUCSIA</v>
      </c>
      <c r="S802" s="19">
        <f t="shared" si="55"/>
        <v>4</v>
      </c>
      <c r="T802" s="19">
        <f t="shared" si="56"/>
        <v>33</v>
      </c>
      <c r="U802" s="19">
        <v>140</v>
      </c>
      <c r="V802" s="19"/>
      <c r="W802" s="19"/>
      <c r="X802" s="19"/>
      <c r="Y802" s="19"/>
    </row>
    <row r="803" spans="1:25" ht="12" hidden="1" customHeight="1" thickBot="1" x14ac:dyDescent="0.35">
      <c r="A803" s="20">
        <v>1</v>
      </c>
      <c r="B803" s="26" t="s">
        <v>1556</v>
      </c>
      <c r="C803" s="26" t="s">
        <v>1616</v>
      </c>
      <c r="D803" s="26" t="s">
        <v>2008</v>
      </c>
      <c r="E803" s="20">
        <v>449</v>
      </c>
      <c r="F803" s="26" t="s">
        <v>2010</v>
      </c>
      <c r="G803" s="20" t="s">
        <v>1287</v>
      </c>
      <c r="H803" s="26" t="s">
        <v>1288</v>
      </c>
      <c r="I803" s="20">
        <v>4</v>
      </c>
      <c r="J803" s="28">
        <v>33</v>
      </c>
      <c r="K803" s="20">
        <v>1</v>
      </c>
      <c r="L803" s="26" t="s">
        <v>13</v>
      </c>
      <c r="M803" s="27"/>
      <c r="N803" s="27"/>
      <c r="O803" s="20">
        <v>10</v>
      </c>
      <c r="P803" s="26" t="s">
        <v>26</v>
      </c>
      <c r="Q803" s="26" t="s">
        <v>2017</v>
      </c>
      <c r="R803" s="20" t="str">
        <f t="shared" si="57"/>
        <v>TAPA TAPER REDONDO 2500ML-AMARILLO</v>
      </c>
      <c r="S803" s="19">
        <f t="shared" si="55"/>
        <v>4</v>
      </c>
      <c r="T803" s="19">
        <f t="shared" si="56"/>
        <v>33</v>
      </c>
      <c r="U803" s="19">
        <v>140</v>
      </c>
      <c r="V803" s="19"/>
      <c r="W803" s="19"/>
      <c r="X803" s="19"/>
      <c r="Y803" s="19"/>
    </row>
    <row r="804" spans="1:25" ht="12" hidden="1" customHeight="1" thickBot="1" x14ac:dyDescent="0.35">
      <c r="A804" s="20">
        <v>1</v>
      </c>
      <c r="B804" s="26" t="s">
        <v>1556</v>
      </c>
      <c r="C804" s="26" t="s">
        <v>1616</v>
      </c>
      <c r="D804" s="26" t="s">
        <v>2008</v>
      </c>
      <c r="E804" s="20">
        <v>450</v>
      </c>
      <c r="F804" s="26" t="s">
        <v>2011</v>
      </c>
      <c r="G804" s="20" t="s">
        <v>1287</v>
      </c>
      <c r="H804" s="26" t="s">
        <v>1288</v>
      </c>
      <c r="I804" s="20">
        <v>4</v>
      </c>
      <c r="J804" s="28">
        <v>33</v>
      </c>
      <c r="K804" s="20">
        <v>1</v>
      </c>
      <c r="L804" s="26" t="s">
        <v>13</v>
      </c>
      <c r="M804" s="27"/>
      <c r="N804" s="27"/>
      <c r="O804" s="20">
        <v>23</v>
      </c>
      <c r="P804" s="26" t="s">
        <v>1221</v>
      </c>
      <c r="Q804" s="26" t="s">
        <v>2018</v>
      </c>
      <c r="R804" s="20" t="str">
        <f t="shared" si="57"/>
        <v>TAPA TAPER REDONDO 2500ML-VERDE</v>
      </c>
      <c r="S804" s="19">
        <f t="shared" si="55"/>
        <v>4</v>
      </c>
      <c r="T804" s="19">
        <f t="shared" si="56"/>
        <v>33</v>
      </c>
      <c r="U804" s="19">
        <v>140</v>
      </c>
      <c r="V804" s="19"/>
      <c r="W804" s="19"/>
      <c r="X804" s="19"/>
      <c r="Y804" s="19"/>
    </row>
    <row r="805" spans="1:25" ht="12" hidden="1" customHeight="1" thickBot="1" x14ac:dyDescent="0.35">
      <c r="A805" s="20">
        <v>1</v>
      </c>
      <c r="B805" s="26" t="s">
        <v>1556</v>
      </c>
      <c r="C805" s="26" t="s">
        <v>1616</v>
      </c>
      <c r="D805" s="26" t="s">
        <v>2008</v>
      </c>
      <c r="E805" s="20">
        <v>451</v>
      </c>
      <c r="F805" s="26" t="s">
        <v>2012</v>
      </c>
      <c r="G805" s="20" t="s">
        <v>1287</v>
      </c>
      <c r="H805" s="26" t="s">
        <v>1288</v>
      </c>
      <c r="I805" s="20">
        <v>4</v>
      </c>
      <c r="J805" s="28">
        <v>33</v>
      </c>
      <c r="K805" s="20">
        <v>1</v>
      </c>
      <c r="L805" s="26" t="s">
        <v>13</v>
      </c>
      <c r="M805" s="27"/>
      <c r="N805" s="27"/>
      <c r="O805" s="20">
        <v>22</v>
      </c>
      <c r="P805" s="26" t="s">
        <v>1614</v>
      </c>
      <c r="Q805" s="26" t="s">
        <v>2019</v>
      </c>
      <c r="R805" s="20" t="str">
        <f t="shared" si="57"/>
        <v>TAPA TAPER REDONDO 2500ML-TURQUESA</v>
      </c>
      <c r="S805" s="19">
        <f t="shared" si="55"/>
        <v>4</v>
      </c>
      <c r="T805" s="19">
        <f t="shared" si="56"/>
        <v>33</v>
      </c>
      <c r="U805" s="19">
        <v>140</v>
      </c>
      <c r="V805" s="19"/>
      <c r="W805" s="19"/>
      <c r="X805" s="19"/>
      <c r="Y805" s="19"/>
    </row>
    <row r="806" spans="1:25" ht="12" hidden="1" customHeight="1" thickBot="1" x14ac:dyDescent="0.35">
      <c r="A806" s="20">
        <v>1</v>
      </c>
      <c r="B806" s="26" t="s">
        <v>1556</v>
      </c>
      <c r="C806" s="26" t="s">
        <v>1616</v>
      </c>
      <c r="D806" s="26" t="s">
        <v>2008</v>
      </c>
      <c r="E806" s="20">
        <v>452</v>
      </c>
      <c r="F806" s="26" t="s">
        <v>2013</v>
      </c>
      <c r="G806" s="20" t="s">
        <v>1287</v>
      </c>
      <c r="H806" s="26" t="s">
        <v>1288</v>
      </c>
      <c r="I806" s="20">
        <v>4</v>
      </c>
      <c r="J806" s="28">
        <v>33</v>
      </c>
      <c r="K806" s="20">
        <v>1</v>
      </c>
      <c r="L806" s="26" t="s">
        <v>13</v>
      </c>
      <c r="M806" s="27"/>
      <c r="N806" s="27"/>
      <c r="O806" s="20">
        <v>19</v>
      </c>
      <c r="P806" s="26" t="s">
        <v>27</v>
      </c>
      <c r="Q806" s="26" t="s">
        <v>2020</v>
      </c>
      <c r="R806" s="20" t="str">
        <f t="shared" si="57"/>
        <v>TAPA TAPER REDONDO 2500ML-ROJO</v>
      </c>
      <c r="S806" s="19">
        <f t="shared" si="55"/>
        <v>4</v>
      </c>
      <c r="T806" s="19">
        <f t="shared" si="56"/>
        <v>33</v>
      </c>
      <c r="U806" s="19">
        <v>140</v>
      </c>
      <c r="V806" s="19"/>
      <c r="W806" s="19"/>
      <c r="X806" s="19"/>
      <c r="Y806" s="19"/>
    </row>
    <row r="807" spans="1:25" ht="12" hidden="1" customHeight="1" thickBot="1" x14ac:dyDescent="0.35">
      <c r="A807" s="20">
        <v>1</v>
      </c>
      <c r="B807" s="26" t="s">
        <v>1556</v>
      </c>
      <c r="C807" s="26" t="s">
        <v>1616</v>
      </c>
      <c r="D807" s="26" t="s">
        <v>2008</v>
      </c>
      <c r="E807" s="20">
        <v>453</v>
      </c>
      <c r="F807" s="26" t="s">
        <v>2014</v>
      </c>
      <c r="G807" s="20" t="s">
        <v>1287</v>
      </c>
      <c r="H807" s="26" t="s">
        <v>1288</v>
      </c>
      <c r="I807" s="20">
        <v>4</v>
      </c>
      <c r="J807" s="28">
        <v>33</v>
      </c>
      <c r="K807" s="20">
        <v>1</v>
      </c>
      <c r="L807" s="26" t="s">
        <v>13</v>
      </c>
      <c r="M807" s="27"/>
      <c r="N807" s="27"/>
      <c r="O807" s="20">
        <v>12</v>
      </c>
      <c r="P807" s="26" t="s">
        <v>24</v>
      </c>
      <c r="Q807" s="26" t="s">
        <v>2021</v>
      </c>
      <c r="R807" s="20" t="str">
        <f t="shared" si="57"/>
        <v>TAPA TAPER REDONDO 2500ML-AZUL</v>
      </c>
      <c r="S807" s="19">
        <f t="shared" si="55"/>
        <v>4</v>
      </c>
      <c r="T807" s="19">
        <f t="shared" si="56"/>
        <v>33</v>
      </c>
      <c r="U807" s="19">
        <v>140</v>
      </c>
      <c r="V807" s="19" t="s">
        <v>2025</v>
      </c>
      <c r="W807" s="19"/>
      <c r="X807" s="19"/>
      <c r="Y807" s="19"/>
    </row>
    <row r="808" spans="1:25" ht="12" hidden="1" customHeight="1" thickBot="1" x14ac:dyDescent="0.35">
      <c r="A808" s="20">
        <v>1</v>
      </c>
      <c r="B808" s="26" t="s">
        <v>1556</v>
      </c>
      <c r="C808" s="26" t="s">
        <v>1802</v>
      </c>
      <c r="D808" s="26" t="s">
        <v>2054</v>
      </c>
      <c r="E808" s="20">
        <v>454</v>
      </c>
      <c r="F808" s="26" t="s">
        <v>2054</v>
      </c>
      <c r="G808" s="20" t="s">
        <v>1561</v>
      </c>
      <c r="H808" s="26" t="s">
        <v>1218</v>
      </c>
      <c r="I808" s="20">
        <v>1</v>
      </c>
      <c r="J808" s="28">
        <v>52</v>
      </c>
      <c r="K808" s="20">
        <v>2</v>
      </c>
      <c r="L808" s="26" t="s">
        <v>12</v>
      </c>
      <c r="M808" s="27"/>
      <c r="N808" s="27"/>
      <c r="O808" s="20">
        <v>21</v>
      </c>
      <c r="P808" s="26" t="s">
        <v>1218</v>
      </c>
      <c r="Q808" s="26" t="s">
        <v>2022</v>
      </c>
      <c r="R808" s="20" t="str">
        <f t="shared" si="57"/>
        <v>TOMATODO ULTRA 650ML</v>
      </c>
      <c r="S808" s="19">
        <f t="shared" si="55"/>
        <v>1</v>
      </c>
      <c r="T808" s="19">
        <f t="shared" si="56"/>
        <v>52</v>
      </c>
      <c r="U808" s="19">
        <v>130</v>
      </c>
      <c r="V808" s="19"/>
      <c r="W808" s="19"/>
      <c r="X808" s="19"/>
      <c r="Y808" s="19"/>
    </row>
    <row r="809" spans="1:25" ht="12" hidden="1" customHeight="1" thickBot="1" x14ac:dyDescent="0.35">
      <c r="A809" s="20">
        <v>1</v>
      </c>
      <c r="B809" s="26" t="s">
        <v>1556</v>
      </c>
      <c r="C809" s="26" t="s">
        <v>1802</v>
      </c>
      <c r="D809" s="26" t="s">
        <v>1958</v>
      </c>
      <c r="E809" s="20">
        <v>454</v>
      </c>
      <c r="F809" s="26" t="s">
        <v>1959</v>
      </c>
      <c r="G809" s="20" t="s">
        <v>1561</v>
      </c>
      <c r="H809" s="26" t="s">
        <v>1218</v>
      </c>
      <c r="I809" s="20">
        <v>1</v>
      </c>
      <c r="J809" s="28">
        <v>46</v>
      </c>
      <c r="K809" s="20">
        <v>2</v>
      </c>
      <c r="L809" s="26" t="s">
        <v>12</v>
      </c>
      <c r="M809" s="27"/>
      <c r="N809" s="27"/>
      <c r="O809" s="20">
        <v>21</v>
      </c>
      <c r="P809" s="26" t="s">
        <v>1218</v>
      </c>
      <c r="Q809" s="26" t="s">
        <v>2022</v>
      </c>
      <c r="R809" s="20" t="str">
        <f t="shared" ref="R809:R816" si="58">F809</f>
        <v>TOMATODO AVENTURA 600ML-TRANSPARENTE</v>
      </c>
      <c r="S809" s="19">
        <f>+I809</f>
        <v>1</v>
      </c>
      <c r="T809" s="19">
        <f>+J809</f>
        <v>46</v>
      </c>
      <c r="U809" s="19">
        <v>110</v>
      </c>
      <c r="V809" s="19"/>
      <c r="W809" s="19"/>
      <c r="X809" s="19"/>
      <c r="Y809" s="19"/>
    </row>
    <row r="810" spans="1:25" ht="12" hidden="1" customHeight="1" thickBot="1" x14ac:dyDescent="0.35">
      <c r="A810" s="20">
        <v>1</v>
      </c>
      <c r="B810" s="26" t="s">
        <v>1556</v>
      </c>
      <c r="C810" s="26" t="s">
        <v>1557</v>
      </c>
      <c r="D810" s="26" t="s">
        <v>2027</v>
      </c>
      <c r="E810" s="20">
        <v>455</v>
      </c>
      <c r="F810" s="26" t="s">
        <v>2028</v>
      </c>
      <c r="G810" s="20" t="s">
        <v>1287</v>
      </c>
      <c r="H810" s="26" t="s">
        <v>1288</v>
      </c>
      <c r="I810" s="20">
        <v>4</v>
      </c>
      <c r="J810" s="28">
        <v>54</v>
      </c>
      <c r="K810" s="20">
        <v>1</v>
      </c>
      <c r="L810" s="26" t="s">
        <v>13</v>
      </c>
      <c r="M810" s="26"/>
      <c r="N810" s="26"/>
      <c r="O810" s="20">
        <v>10</v>
      </c>
      <c r="P810" s="26" t="s">
        <v>26</v>
      </c>
      <c r="Q810" s="26" t="s">
        <v>2033</v>
      </c>
      <c r="R810" s="20" t="str">
        <f t="shared" si="58"/>
        <v>EMBUDO #3-AMARILLO</v>
      </c>
      <c r="S810" s="19">
        <f t="shared" ref="S810:S815" si="59">+I810</f>
        <v>4</v>
      </c>
      <c r="T810" s="19">
        <f t="shared" ref="T810:T815" si="60">+J810</f>
        <v>54</v>
      </c>
      <c r="U810" s="19">
        <v>90</v>
      </c>
      <c r="V810" s="19"/>
      <c r="W810" s="19"/>
      <c r="X810" s="19"/>
      <c r="Y810" s="19"/>
    </row>
    <row r="811" spans="1:25" ht="12" hidden="1" customHeight="1" thickBot="1" x14ac:dyDescent="0.35">
      <c r="A811" s="20">
        <v>1</v>
      </c>
      <c r="B811" s="26" t="s">
        <v>1556</v>
      </c>
      <c r="C811" s="26" t="s">
        <v>1557</v>
      </c>
      <c r="D811" s="26" t="s">
        <v>2027</v>
      </c>
      <c r="E811" s="20">
        <v>456</v>
      </c>
      <c r="F811" s="26" t="s">
        <v>2029</v>
      </c>
      <c r="G811" s="20" t="s">
        <v>1287</v>
      </c>
      <c r="H811" s="26" t="s">
        <v>1288</v>
      </c>
      <c r="I811" s="20">
        <v>4</v>
      </c>
      <c r="J811" s="28">
        <v>54</v>
      </c>
      <c r="K811" s="20">
        <v>1</v>
      </c>
      <c r="L811" s="26" t="s">
        <v>13</v>
      </c>
      <c r="M811" s="26"/>
      <c r="N811" s="26"/>
      <c r="O811" s="20">
        <v>23</v>
      </c>
      <c r="P811" s="26" t="s">
        <v>1221</v>
      </c>
      <c r="Q811" s="26" t="s">
        <v>2034</v>
      </c>
      <c r="R811" s="20" t="str">
        <f t="shared" si="58"/>
        <v>EMBUDO #3-VERDE</v>
      </c>
      <c r="S811" s="19">
        <f t="shared" si="59"/>
        <v>4</v>
      </c>
      <c r="T811" s="19">
        <f t="shared" si="60"/>
        <v>54</v>
      </c>
      <c r="U811" s="19">
        <v>90</v>
      </c>
      <c r="V811" s="19"/>
      <c r="W811" s="19"/>
      <c r="X811" s="19"/>
      <c r="Y811" s="19"/>
    </row>
    <row r="812" spans="1:25" ht="12" hidden="1" customHeight="1" thickBot="1" x14ac:dyDescent="0.35">
      <c r="A812" s="20">
        <v>1</v>
      </c>
      <c r="B812" s="26" t="s">
        <v>1556</v>
      </c>
      <c r="C812" s="26" t="s">
        <v>1557</v>
      </c>
      <c r="D812" s="26" t="s">
        <v>2027</v>
      </c>
      <c r="E812" s="20">
        <v>457</v>
      </c>
      <c r="F812" s="26" t="s">
        <v>2030</v>
      </c>
      <c r="G812" s="20" t="s">
        <v>1287</v>
      </c>
      <c r="H812" s="26" t="s">
        <v>1288</v>
      </c>
      <c r="I812" s="20">
        <v>4</v>
      </c>
      <c r="J812" s="28">
        <v>54</v>
      </c>
      <c r="K812" s="20">
        <v>1</v>
      </c>
      <c r="L812" s="26" t="s">
        <v>13</v>
      </c>
      <c r="M812" s="26"/>
      <c r="N812" s="26"/>
      <c r="O812" s="20">
        <v>19</v>
      </c>
      <c r="P812" s="26" t="s">
        <v>27</v>
      </c>
      <c r="Q812" s="26" t="s">
        <v>2035</v>
      </c>
      <c r="R812" s="20" t="str">
        <f t="shared" si="58"/>
        <v>EMBUDO #3-ROJO</v>
      </c>
      <c r="S812" s="19">
        <f t="shared" si="59"/>
        <v>4</v>
      </c>
      <c r="T812" s="19">
        <f t="shared" si="60"/>
        <v>54</v>
      </c>
      <c r="U812" s="19">
        <v>90</v>
      </c>
      <c r="V812" s="19"/>
      <c r="W812" s="19"/>
      <c r="X812" s="19"/>
      <c r="Y812" s="19"/>
    </row>
    <row r="813" spans="1:25" ht="12" hidden="1" customHeight="1" thickBot="1" x14ac:dyDescent="0.35">
      <c r="A813" s="20">
        <v>1</v>
      </c>
      <c r="B813" s="26" t="s">
        <v>1556</v>
      </c>
      <c r="C813" s="26" t="s">
        <v>1557</v>
      </c>
      <c r="D813" s="26" t="s">
        <v>2027</v>
      </c>
      <c r="E813" s="20">
        <v>458</v>
      </c>
      <c r="F813" s="26" t="s">
        <v>2031</v>
      </c>
      <c r="G813" s="20" t="s">
        <v>1287</v>
      </c>
      <c r="H813" s="26" t="s">
        <v>1288</v>
      </c>
      <c r="I813" s="20">
        <v>4</v>
      </c>
      <c r="J813" s="28">
        <v>54</v>
      </c>
      <c r="K813" s="20">
        <v>1</v>
      </c>
      <c r="L813" s="26" t="s">
        <v>13</v>
      </c>
      <c r="M813" s="26"/>
      <c r="N813" s="26"/>
      <c r="O813" s="20">
        <v>11</v>
      </c>
      <c r="P813" s="26" t="s">
        <v>1207</v>
      </c>
      <c r="Q813" s="26" t="s">
        <v>2036</v>
      </c>
      <c r="R813" s="20" t="str">
        <f t="shared" si="58"/>
        <v>EMBUDO #3-ANARANJADO</v>
      </c>
      <c r="S813" s="19">
        <f t="shared" si="59"/>
        <v>4</v>
      </c>
      <c r="T813" s="19">
        <f t="shared" si="60"/>
        <v>54</v>
      </c>
      <c r="U813" s="19">
        <v>90</v>
      </c>
      <c r="V813" s="19"/>
      <c r="W813" s="19"/>
      <c r="X813" s="19"/>
      <c r="Y813" s="19"/>
    </row>
    <row r="814" spans="1:25" ht="12" hidden="1" customHeight="1" thickBot="1" x14ac:dyDescent="0.35">
      <c r="A814" s="20">
        <v>1</v>
      </c>
      <c r="B814" s="26" t="s">
        <v>1556</v>
      </c>
      <c r="C814" s="26" t="s">
        <v>1557</v>
      </c>
      <c r="D814" s="26" t="s">
        <v>2027</v>
      </c>
      <c r="E814" s="20">
        <v>459</v>
      </c>
      <c r="F814" s="26" t="s">
        <v>2032</v>
      </c>
      <c r="G814" s="20" t="s">
        <v>1287</v>
      </c>
      <c r="H814" s="26" t="s">
        <v>1288</v>
      </c>
      <c r="I814" s="20">
        <v>4</v>
      </c>
      <c r="J814" s="28">
        <v>54</v>
      </c>
      <c r="K814" s="20">
        <v>1</v>
      </c>
      <c r="L814" s="26" t="s">
        <v>13</v>
      </c>
      <c r="M814" s="26"/>
      <c r="N814" s="26"/>
      <c r="O814" s="20">
        <v>14</v>
      </c>
      <c r="P814" s="20" t="s">
        <v>1209</v>
      </c>
      <c r="Q814" s="26" t="s">
        <v>2037</v>
      </c>
      <c r="R814" s="20" t="str">
        <f t="shared" si="58"/>
        <v>EMBUDO #3-CELESTE</v>
      </c>
      <c r="S814" s="19">
        <f t="shared" si="59"/>
        <v>4</v>
      </c>
      <c r="T814" s="19">
        <f t="shared" si="60"/>
        <v>54</v>
      </c>
      <c r="U814" s="19">
        <v>90</v>
      </c>
      <c r="V814" s="19"/>
      <c r="W814" s="19"/>
      <c r="X814" s="19"/>
      <c r="Y814" s="19"/>
    </row>
    <row r="815" spans="1:25" ht="12" hidden="1" customHeight="1" thickBot="1" x14ac:dyDescent="0.35">
      <c r="A815" s="20">
        <v>1</v>
      </c>
      <c r="B815" s="26" t="s">
        <v>1556</v>
      </c>
      <c r="C815" s="26" t="s">
        <v>1557</v>
      </c>
      <c r="D815" s="26" t="s">
        <v>2027</v>
      </c>
      <c r="E815" s="20">
        <v>460</v>
      </c>
      <c r="F815" s="26" t="s">
        <v>2106</v>
      </c>
      <c r="G815" s="20" t="s">
        <v>1287</v>
      </c>
      <c r="H815" s="26" t="s">
        <v>1288</v>
      </c>
      <c r="I815" s="20">
        <v>4</v>
      </c>
      <c r="J815" s="28">
        <v>54</v>
      </c>
      <c r="K815" s="20">
        <v>1</v>
      </c>
      <c r="L815" s="26" t="s">
        <v>13</v>
      </c>
      <c r="M815" s="26"/>
      <c r="N815" s="26"/>
      <c r="O815" s="20">
        <v>12</v>
      </c>
      <c r="P815" s="26" t="s">
        <v>24</v>
      </c>
      <c r="Q815" s="26" t="s">
        <v>2038</v>
      </c>
      <c r="R815" s="20" t="str">
        <f t="shared" si="58"/>
        <v>EMBUDO #3-AZUL</v>
      </c>
      <c r="S815" s="19">
        <f t="shared" si="59"/>
        <v>4</v>
      </c>
      <c r="T815" s="19">
        <f t="shared" si="60"/>
        <v>54</v>
      </c>
      <c r="U815" s="19">
        <v>90</v>
      </c>
      <c r="V815" s="19"/>
      <c r="W815" s="19"/>
      <c r="X815" s="19"/>
      <c r="Y815" s="19"/>
    </row>
    <row r="816" spans="1:25" ht="12" hidden="1" customHeight="1" thickBot="1" x14ac:dyDescent="0.35">
      <c r="A816" s="20">
        <v>1</v>
      </c>
      <c r="B816" s="26" t="s">
        <v>1556</v>
      </c>
      <c r="C816" s="26" t="s">
        <v>1606</v>
      </c>
      <c r="D816" s="26" t="s">
        <v>2077</v>
      </c>
      <c r="E816" s="20">
        <v>461</v>
      </c>
      <c r="F816" s="26" t="s">
        <v>2046</v>
      </c>
      <c r="G816" s="20" t="s">
        <v>1561</v>
      </c>
      <c r="H816" s="26" t="s">
        <v>1218</v>
      </c>
      <c r="I816" s="20">
        <v>2</v>
      </c>
      <c r="J816" s="28">
        <v>16</v>
      </c>
      <c r="K816" s="20">
        <v>2</v>
      </c>
      <c r="L816" s="26" t="s">
        <v>12</v>
      </c>
      <c r="M816" s="26"/>
      <c r="N816" s="26"/>
      <c r="O816" s="20">
        <v>21</v>
      </c>
      <c r="P816" s="26" t="s">
        <v>1218</v>
      </c>
      <c r="Q816" s="26" t="s">
        <v>2079</v>
      </c>
      <c r="R816" s="20" t="str">
        <f t="shared" si="58"/>
        <v>SALSERO PERITA 225ML-TRANSPARENTE</v>
      </c>
      <c r="S816" s="19">
        <f>+I816</f>
        <v>2</v>
      </c>
      <c r="T816" s="19">
        <f>+J816</f>
        <v>16</v>
      </c>
      <c r="U816" s="19">
        <v>150</v>
      </c>
      <c r="V816" s="19"/>
      <c r="W816" s="19"/>
      <c r="X816" s="19"/>
      <c r="Y816" s="19"/>
    </row>
    <row r="817" spans="1:25" ht="12" hidden="1" customHeight="1" thickBot="1" x14ac:dyDescent="0.35">
      <c r="A817" s="20">
        <v>1</v>
      </c>
      <c r="B817" s="26" t="s">
        <v>1556</v>
      </c>
      <c r="C817" s="26" t="s">
        <v>1606</v>
      </c>
      <c r="D817" s="18" t="s">
        <v>2219</v>
      </c>
      <c r="E817" s="20">
        <v>462</v>
      </c>
      <c r="F817" s="26" t="s">
        <v>2078</v>
      </c>
      <c r="G817" s="20" t="s">
        <v>1561</v>
      </c>
      <c r="H817" s="26" t="s">
        <v>1218</v>
      </c>
      <c r="I817" s="20">
        <v>1</v>
      </c>
      <c r="J817" s="28">
        <v>22</v>
      </c>
      <c r="K817" s="20">
        <v>2</v>
      </c>
      <c r="L817" s="26" t="s">
        <v>12</v>
      </c>
      <c r="M817" s="26"/>
      <c r="N817" s="26"/>
      <c r="O817" s="20">
        <v>21</v>
      </c>
      <c r="P817" s="26" t="s">
        <v>1218</v>
      </c>
      <c r="Q817" s="26" t="s">
        <v>2080</v>
      </c>
      <c r="R817" s="31" t="s">
        <v>2220</v>
      </c>
      <c r="S817" s="19">
        <f>+I817</f>
        <v>1</v>
      </c>
      <c r="T817" s="19">
        <v>28</v>
      </c>
      <c r="U817" s="19">
        <v>160</v>
      </c>
      <c r="V817" s="19"/>
      <c r="W817" s="19"/>
      <c r="X817" s="19"/>
      <c r="Y817" s="19"/>
    </row>
    <row r="818" spans="1:25" ht="12" hidden="1" customHeight="1" thickBot="1" x14ac:dyDescent="0.35">
      <c r="A818" s="20">
        <v>1</v>
      </c>
      <c r="B818" s="20" t="s">
        <v>1556</v>
      </c>
      <c r="C818" s="20" t="s">
        <v>1557</v>
      </c>
      <c r="D818" s="20" t="s">
        <v>1558</v>
      </c>
      <c r="E818" s="20">
        <v>463</v>
      </c>
      <c r="F818" s="20" t="s">
        <v>2069</v>
      </c>
      <c r="G818" s="20" t="s">
        <v>1287</v>
      </c>
      <c r="H818" s="20" t="s">
        <v>1288</v>
      </c>
      <c r="I818" s="20">
        <v>2</v>
      </c>
      <c r="J818" s="20">
        <v>126</v>
      </c>
      <c r="K818" s="20">
        <v>1</v>
      </c>
      <c r="L818" s="20" t="s">
        <v>13</v>
      </c>
      <c r="M818" s="20"/>
      <c r="N818" s="20"/>
      <c r="O818" s="20">
        <v>11</v>
      </c>
      <c r="P818" s="20" t="s">
        <v>1207</v>
      </c>
      <c r="Q818" s="20" t="s">
        <v>65</v>
      </c>
      <c r="R818" s="20" t="str">
        <f>F818</f>
        <v>EMBUDO #4-ANARANJADO</v>
      </c>
      <c r="S818" s="19">
        <f>+I818</f>
        <v>2</v>
      </c>
      <c r="T818" s="19">
        <v>126</v>
      </c>
      <c r="U818" s="19">
        <v>90</v>
      </c>
      <c r="V818" s="19"/>
      <c r="W818" s="19"/>
      <c r="X818" s="19"/>
      <c r="Y818" s="19"/>
    </row>
    <row r="819" spans="1:25" ht="12" hidden="1" customHeight="1" thickBot="1" x14ac:dyDescent="0.35">
      <c r="A819" s="20">
        <v>1</v>
      </c>
      <c r="B819" s="20" t="s">
        <v>1556</v>
      </c>
      <c r="C819" s="20" t="s">
        <v>1557</v>
      </c>
      <c r="D819" s="20" t="s">
        <v>1558</v>
      </c>
      <c r="E819" s="20">
        <v>464</v>
      </c>
      <c r="F819" s="20" t="s">
        <v>2067</v>
      </c>
      <c r="G819" s="20" t="s">
        <v>1287</v>
      </c>
      <c r="H819" s="20" t="s">
        <v>1288</v>
      </c>
      <c r="I819" s="20">
        <v>2</v>
      </c>
      <c r="J819" s="20">
        <v>126</v>
      </c>
      <c r="K819" s="20">
        <v>1</v>
      </c>
      <c r="L819" s="20" t="s">
        <v>13</v>
      </c>
      <c r="M819" s="20"/>
      <c r="N819" s="20"/>
      <c r="O819" s="20">
        <v>14</v>
      </c>
      <c r="P819" s="20" t="s">
        <v>1209</v>
      </c>
      <c r="Q819" s="20" t="s">
        <v>65</v>
      </c>
      <c r="R819" s="20" t="str">
        <f>F819</f>
        <v>EMBUDO #4-CELESTE</v>
      </c>
      <c r="S819" s="19">
        <f>+I819</f>
        <v>2</v>
      </c>
      <c r="T819" s="19">
        <v>126</v>
      </c>
      <c r="U819" s="19">
        <v>90</v>
      </c>
      <c r="V819" s="19"/>
      <c r="W819" s="19"/>
      <c r="X819" s="19"/>
      <c r="Y819" s="19"/>
    </row>
    <row r="820" spans="1:25" ht="12" hidden="1" customHeight="1" thickBot="1" x14ac:dyDescent="0.35">
      <c r="A820" s="20">
        <v>1</v>
      </c>
      <c r="B820" s="26" t="s">
        <v>1556</v>
      </c>
      <c r="C820" s="26" t="s">
        <v>1616</v>
      </c>
      <c r="D820" s="26" t="s">
        <v>2063</v>
      </c>
      <c r="E820" s="20">
        <v>465</v>
      </c>
      <c r="F820" s="29" t="s">
        <v>2062</v>
      </c>
      <c r="G820" s="20" t="s">
        <v>1561</v>
      </c>
      <c r="H820" s="26" t="s">
        <v>1218</v>
      </c>
      <c r="I820" s="20">
        <v>2</v>
      </c>
      <c r="J820" s="28">
        <v>52</v>
      </c>
      <c r="K820" s="20">
        <v>1</v>
      </c>
      <c r="L820" s="26" t="s">
        <v>13</v>
      </c>
      <c r="M820" s="27"/>
      <c r="N820" s="27"/>
      <c r="O820" s="20">
        <v>21</v>
      </c>
      <c r="P820" s="26" t="s">
        <v>1218</v>
      </c>
      <c r="Q820" s="26" t="s">
        <v>1975</v>
      </c>
      <c r="R820" s="30" t="str">
        <f>F820</f>
        <v>TAPER REDONDO 1500ML-TRANSPARENTE</v>
      </c>
      <c r="S820" s="19">
        <f>+I820</f>
        <v>2</v>
      </c>
      <c r="T820" s="19">
        <f>+J820</f>
        <v>52</v>
      </c>
      <c r="U820" s="19">
        <v>140</v>
      </c>
      <c r="V820" s="19"/>
      <c r="W820" s="19"/>
      <c r="X820" s="19"/>
      <c r="Y820" s="19"/>
    </row>
    <row r="821" spans="1:25" ht="12" hidden="1" customHeight="1" thickBot="1" x14ac:dyDescent="0.35">
      <c r="A821" s="20">
        <v>1</v>
      </c>
      <c r="B821" s="26" t="s">
        <v>1556</v>
      </c>
      <c r="C821" s="26" t="s">
        <v>1616</v>
      </c>
      <c r="D821" s="26" t="s">
        <v>2082</v>
      </c>
      <c r="E821" s="20">
        <v>448</v>
      </c>
      <c r="F821" s="26" t="s">
        <v>2048</v>
      </c>
      <c r="G821" s="20" t="s">
        <v>1287</v>
      </c>
      <c r="H821" s="26" t="s">
        <v>1288</v>
      </c>
      <c r="I821" s="20">
        <v>4</v>
      </c>
      <c r="J821" s="28">
        <v>33</v>
      </c>
      <c r="K821" s="20">
        <v>1</v>
      </c>
      <c r="L821" s="26" t="s">
        <v>13</v>
      </c>
      <c r="M821" s="26"/>
      <c r="N821" s="26"/>
      <c r="O821" s="20">
        <v>15</v>
      </c>
      <c r="P821" s="26" t="s">
        <v>1211</v>
      </c>
      <c r="Q821" s="26" t="s">
        <v>2016</v>
      </c>
      <c r="R821" s="30" t="str">
        <f t="shared" ref="R821:R827" si="61">F821</f>
        <v>TAPA TAPER REDONDO-FUCSIA</v>
      </c>
      <c r="S821" s="19">
        <f t="shared" ref="S821:S827" si="62">+I821</f>
        <v>4</v>
      </c>
      <c r="T821" s="19">
        <f t="shared" ref="T821:T826" si="63">+J821</f>
        <v>33</v>
      </c>
      <c r="U821" s="19">
        <v>147</v>
      </c>
      <c r="V821" s="19"/>
      <c r="W821" s="19"/>
      <c r="X821" s="19"/>
      <c r="Y821" s="19"/>
    </row>
    <row r="822" spans="1:25" ht="12" hidden="1" customHeight="1" thickBot="1" x14ac:dyDescent="0.35">
      <c r="A822" s="20">
        <v>1</v>
      </c>
      <c r="B822" s="26" t="s">
        <v>1556</v>
      </c>
      <c r="C822" s="26" t="s">
        <v>1616</v>
      </c>
      <c r="D822" s="26" t="s">
        <v>2082</v>
      </c>
      <c r="E822" s="20">
        <v>449</v>
      </c>
      <c r="F822" s="26" t="s">
        <v>2050</v>
      </c>
      <c r="G822" s="20" t="s">
        <v>1287</v>
      </c>
      <c r="H822" s="26" t="s">
        <v>1288</v>
      </c>
      <c r="I822" s="20">
        <v>4</v>
      </c>
      <c r="J822" s="28">
        <v>33</v>
      </c>
      <c r="K822" s="20">
        <v>1</v>
      </c>
      <c r="L822" s="26" t="s">
        <v>13</v>
      </c>
      <c r="M822" s="27"/>
      <c r="N822" s="27"/>
      <c r="O822" s="20">
        <v>10</v>
      </c>
      <c r="P822" s="26" t="s">
        <v>26</v>
      </c>
      <c r="Q822" s="26" t="s">
        <v>2017</v>
      </c>
      <c r="R822" s="30" t="str">
        <f t="shared" si="61"/>
        <v>TAPA TAPER REDONDO-AMARILLO</v>
      </c>
      <c r="S822" s="19">
        <f t="shared" si="62"/>
        <v>4</v>
      </c>
      <c r="T822" s="19">
        <f t="shared" si="63"/>
        <v>33</v>
      </c>
      <c r="U822" s="19">
        <v>147</v>
      </c>
      <c r="V822" s="19"/>
      <c r="W822" s="19"/>
      <c r="X822" s="19"/>
      <c r="Y822" s="19"/>
    </row>
    <row r="823" spans="1:25" ht="12" hidden="1" customHeight="1" thickBot="1" x14ac:dyDescent="0.35">
      <c r="A823" s="20">
        <v>1</v>
      </c>
      <c r="B823" s="26" t="s">
        <v>1556</v>
      </c>
      <c r="C823" s="26" t="s">
        <v>1616</v>
      </c>
      <c r="D823" s="26" t="s">
        <v>2082</v>
      </c>
      <c r="E823" s="20">
        <v>450</v>
      </c>
      <c r="F823" s="26" t="s">
        <v>2049</v>
      </c>
      <c r="G823" s="20" t="s">
        <v>1287</v>
      </c>
      <c r="H823" s="26" t="s">
        <v>1288</v>
      </c>
      <c r="I823" s="20">
        <v>4</v>
      </c>
      <c r="J823" s="28">
        <v>33</v>
      </c>
      <c r="K823" s="20">
        <v>1</v>
      </c>
      <c r="L823" s="26" t="s">
        <v>13</v>
      </c>
      <c r="M823" s="27"/>
      <c r="N823" s="27"/>
      <c r="O823" s="20">
        <v>23</v>
      </c>
      <c r="P823" s="26" t="s">
        <v>1221</v>
      </c>
      <c r="Q823" s="26" t="s">
        <v>2018</v>
      </c>
      <c r="R823" s="30" t="str">
        <f t="shared" si="61"/>
        <v>TAPA TAPER REDONDO-VERDE</v>
      </c>
      <c r="S823" s="19">
        <f t="shared" si="62"/>
        <v>4</v>
      </c>
      <c r="T823" s="19">
        <f t="shared" si="63"/>
        <v>33</v>
      </c>
      <c r="U823" s="19">
        <v>147</v>
      </c>
      <c r="V823" s="19"/>
      <c r="W823" s="19"/>
      <c r="X823" s="19"/>
      <c r="Y823" s="19"/>
    </row>
    <row r="824" spans="1:25" ht="12" hidden="1" customHeight="1" thickBot="1" x14ac:dyDescent="0.35">
      <c r="A824" s="20">
        <v>1</v>
      </c>
      <c r="B824" s="26" t="s">
        <v>1556</v>
      </c>
      <c r="C824" s="26" t="s">
        <v>1616</v>
      </c>
      <c r="D824" s="26" t="s">
        <v>2082</v>
      </c>
      <c r="E824" s="20">
        <v>451</v>
      </c>
      <c r="F824" s="26" t="s">
        <v>2053</v>
      </c>
      <c r="G824" s="20" t="s">
        <v>1287</v>
      </c>
      <c r="H824" s="26" t="s">
        <v>1288</v>
      </c>
      <c r="I824" s="20">
        <v>4</v>
      </c>
      <c r="J824" s="28">
        <v>33</v>
      </c>
      <c r="K824" s="20">
        <v>1</v>
      </c>
      <c r="L824" s="26" t="s">
        <v>13</v>
      </c>
      <c r="M824" s="27"/>
      <c r="N824" s="27"/>
      <c r="O824" s="20">
        <v>22</v>
      </c>
      <c r="P824" s="26" t="s">
        <v>1614</v>
      </c>
      <c r="Q824" s="26" t="s">
        <v>2019</v>
      </c>
      <c r="R824" s="30" t="str">
        <f t="shared" si="61"/>
        <v>TAPA TAPER REDONDO-TURQUESA</v>
      </c>
      <c r="S824" s="19">
        <f t="shared" si="62"/>
        <v>4</v>
      </c>
      <c r="T824" s="19">
        <f t="shared" si="63"/>
        <v>33</v>
      </c>
      <c r="U824" s="19">
        <v>147</v>
      </c>
      <c r="V824" s="19"/>
      <c r="W824" s="19"/>
      <c r="X824" s="19"/>
      <c r="Y824" s="19"/>
    </row>
    <row r="825" spans="1:25" ht="12" hidden="1" customHeight="1" thickBot="1" x14ac:dyDescent="0.35">
      <c r="A825" s="20">
        <v>1</v>
      </c>
      <c r="B825" s="26" t="s">
        <v>1556</v>
      </c>
      <c r="C825" s="26" t="s">
        <v>1616</v>
      </c>
      <c r="D825" s="26" t="s">
        <v>2082</v>
      </c>
      <c r="E825" s="20">
        <v>452</v>
      </c>
      <c r="F825" s="26" t="s">
        <v>2051</v>
      </c>
      <c r="G825" s="20" t="s">
        <v>1287</v>
      </c>
      <c r="H825" s="26" t="s">
        <v>1288</v>
      </c>
      <c r="I825" s="20">
        <v>4</v>
      </c>
      <c r="J825" s="28">
        <v>33</v>
      </c>
      <c r="K825" s="20">
        <v>1</v>
      </c>
      <c r="L825" s="26" t="s">
        <v>13</v>
      </c>
      <c r="M825" s="27"/>
      <c r="N825" s="27"/>
      <c r="O825" s="20">
        <v>19</v>
      </c>
      <c r="P825" s="26" t="s">
        <v>27</v>
      </c>
      <c r="Q825" s="26" t="s">
        <v>2020</v>
      </c>
      <c r="R825" s="30" t="str">
        <f t="shared" si="61"/>
        <v>TAPA TAPER REDONDO-ROJO</v>
      </c>
      <c r="S825" s="19">
        <f t="shared" si="62"/>
        <v>4</v>
      </c>
      <c r="T825" s="19">
        <f t="shared" si="63"/>
        <v>33</v>
      </c>
      <c r="U825" s="19">
        <v>147</v>
      </c>
      <c r="V825" s="19"/>
      <c r="W825" s="19"/>
      <c r="X825" s="19"/>
      <c r="Y825" s="19"/>
    </row>
    <row r="826" spans="1:25" ht="12" hidden="1" customHeight="1" thickBot="1" x14ac:dyDescent="0.35">
      <c r="A826" s="20">
        <v>1</v>
      </c>
      <c r="B826" s="26" t="s">
        <v>1556</v>
      </c>
      <c r="C826" s="26" t="s">
        <v>1616</v>
      </c>
      <c r="D826" s="26" t="s">
        <v>2082</v>
      </c>
      <c r="E826" s="20">
        <v>453</v>
      </c>
      <c r="F826" s="26" t="s">
        <v>2052</v>
      </c>
      <c r="G826" s="20" t="s">
        <v>1287</v>
      </c>
      <c r="H826" s="26" t="s">
        <v>1288</v>
      </c>
      <c r="I826" s="20">
        <v>4</v>
      </c>
      <c r="J826" s="28">
        <v>33</v>
      </c>
      <c r="K826" s="20">
        <v>1</v>
      </c>
      <c r="L826" s="26" t="s">
        <v>13</v>
      </c>
      <c r="M826" s="26"/>
      <c r="N826" s="26"/>
      <c r="O826" s="20">
        <v>12</v>
      </c>
      <c r="P826" s="26" t="s">
        <v>24</v>
      </c>
      <c r="Q826" s="26" t="s">
        <v>2021</v>
      </c>
      <c r="R826" s="30" t="str">
        <f t="shared" si="61"/>
        <v>TAPA TAPER REDONDO-AZUL</v>
      </c>
      <c r="S826" s="19">
        <f t="shared" si="62"/>
        <v>4</v>
      </c>
      <c r="T826" s="19">
        <f t="shared" si="63"/>
        <v>33</v>
      </c>
      <c r="U826" s="19">
        <v>147</v>
      </c>
      <c r="V826" s="19"/>
      <c r="W826" s="19"/>
      <c r="X826" s="19"/>
      <c r="Y826" s="19"/>
    </row>
    <row r="827" spans="1:25" ht="12" hidden="1" customHeight="1" thickBot="1" x14ac:dyDescent="0.35">
      <c r="A827" s="20">
        <v>1</v>
      </c>
      <c r="B827" s="20" t="s">
        <v>1556</v>
      </c>
      <c r="C827" s="20" t="s">
        <v>1557</v>
      </c>
      <c r="D827" s="20" t="s">
        <v>32</v>
      </c>
      <c r="E827" s="20">
        <v>116</v>
      </c>
      <c r="F827" s="20" t="s">
        <v>1115</v>
      </c>
      <c r="G827" s="20" t="s">
        <v>1287</v>
      </c>
      <c r="H827" s="20" t="s">
        <v>1288</v>
      </c>
      <c r="I827" s="20">
        <v>1</v>
      </c>
      <c r="J827" s="20">
        <v>177</v>
      </c>
      <c r="K827" s="20">
        <v>1</v>
      </c>
      <c r="L827" s="20" t="s">
        <v>13</v>
      </c>
      <c r="M827" s="20"/>
      <c r="N827" s="20"/>
      <c r="O827" s="20">
        <v>10</v>
      </c>
      <c r="P827" s="20" t="s">
        <v>1207</v>
      </c>
      <c r="Q827" s="20" t="s">
        <v>66</v>
      </c>
      <c r="R827" s="20" t="str">
        <f t="shared" si="61"/>
        <v>EMBUDO GIGANTE-ANARANJADO</v>
      </c>
      <c r="S827" s="19">
        <f t="shared" si="62"/>
        <v>1</v>
      </c>
      <c r="T827" s="19">
        <v>199</v>
      </c>
      <c r="U827" s="19">
        <v>120</v>
      </c>
      <c r="V827" s="19"/>
      <c r="W827" s="19"/>
      <c r="X827" s="19"/>
      <c r="Y827" s="19"/>
    </row>
    <row r="828" spans="1:25" ht="12" hidden="1" customHeight="1" thickBot="1" x14ac:dyDescent="0.35">
      <c r="A828" s="20">
        <v>1</v>
      </c>
      <c r="B828" s="20" t="s">
        <v>1556</v>
      </c>
      <c r="C828" s="20" t="s">
        <v>1557</v>
      </c>
      <c r="D828" s="20" t="s">
        <v>32</v>
      </c>
      <c r="E828" s="20">
        <v>116</v>
      </c>
      <c r="F828" s="20" t="s">
        <v>2061</v>
      </c>
      <c r="G828" s="20" t="s">
        <v>1287</v>
      </c>
      <c r="H828" s="20" t="s">
        <v>1288</v>
      </c>
      <c r="I828" s="20">
        <v>1</v>
      </c>
      <c r="J828" s="20">
        <v>177</v>
      </c>
      <c r="K828" s="20">
        <v>1</v>
      </c>
      <c r="L828" s="20" t="s">
        <v>13</v>
      </c>
      <c r="M828" s="20"/>
      <c r="N828" s="20"/>
      <c r="O828" s="20">
        <v>10</v>
      </c>
      <c r="P828" s="20" t="s">
        <v>1209</v>
      </c>
      <c r="Q828" s="20" t="s">
        <v>66</v>
      </c>
      <c r="R828" s="20" t="str">
        <f t="shared" ref="R828:R833" si="64">F828</f>
        <v>EMBUDO GIGANTE-CELESTE</v>
      </c>
      <c r="S828" s="19">
        <f t="shared" ref="S828:S833" si="65">+I828</f>
        <v>1</v>
      </c>
      <c r="T828" s="19">
        <v>199</v>
      </c>
      <c r="U828" s="19">
        <v>120</v>
      </c>
      <c r="V828" s="19"/>
      <c r="W828" s="19"/>
      <c r="X828" s="19"/>
      <c r="Y828" s="19"/>
    </row>
    <row r="829" spans="1:25" ht="12" hidden="1" customHeight="1" thickBot="1" x14ac:dyDescent="0.35">
      <c r="A829" s="20">
        <v>1</v>
      </c>
      <c r="B829" s="26" t="s">
        <v>1556</v>
      </c>
      <c r="C829" s="26" t="s">
        <v>2109</v>
      </c>
      <c r="D829" s="26" t="s">
        <v>2110</v>
      </c>
      <c r="E829" s="20">
        <v>468</v>
      </c>
      <c r="F829" s="26" t="s">
        <v>2111</v>
      </c>
      <c r="G829" s="20" t="s">
        <v>1561</v>
      </c>
      <c r="H829" s="26" t="s">
        <v>1218</v>
      </c>
      <c r="I829" s="20">
        <v>1</v>
      </c>
      <c r="J829" s="28">
        <v>190</v>
      </c>
      <c r="K829" s="20">
        <v>1</v>
      </c>
      <c r="L829" s="26" t="s">
        <v>13</v>
      </c>
      <c r="M829" s="26"/>
      <c r="N829" s="26"/>
      <c r="O829" s="20">
        <v>21</v>
      </c>
      <c r="P829" s="26" t="s">
        <v>1218</v>
      </c>
      <c r="Q829" s="26" t="s">
        <v>2116</v>
      </c>
      <c r="R829" s="20" t="str">
        <f t="shared" si="64"/>
        <v>ORGANIZADOR DE 5KG-TRANSPARENTE</v>
      </c>
      <c r="S829" s="19">
        <f t="shared" si="65"/>
        <v>1</v>
      </c>
      <c r="T829" s="19">
        <v>190</v>
      </c>
      <c r="U829" s="19">
        <v>120</v>
      </c>
      <c r="V829" s="19"/>
      <c r="W829" s="19"/>
      <c r="X829" s="19"/>
      <c r="Y829" s="19"/>
    </row>
    <row r="830" spans="1:25" ht="12" hidden="1" customHeight="1" thickBot="1" x14ac:dyDescent="0.35">
      <c r="A830" s="20">
        <v>1</v>
      </c>
      <c r="B830" s="26" t="s">
        <v>1556</v>
      </c>
      <c r="C830" s="26" t="s">
        <v>2109</v>
      </c>
      <c r="D830" s="26" t="s">
        <v>2112</v>
      </c>
      <c r="E830" s="20">
        <v>469</v>
      </c>
      <c r="F830" s="26" t="s">
        <v>2113</v>
      </c>
      <c r="G830" s="20" t="s">
        <v>1561</v>
      </c>
      <c r="H830" s="26" t="s">
        <v>1218</v>
      </c>
      <c r="I830" s="20">
        <v>1</v>
      </c>
      <c r="J830" s="28">
        <v>470</v>
      </c>
      <c r="K830" s="20">
        <v>1</v>
      </c>
      <c r="L830" s="26" t="s">
        <v>13</v>
      </c>
      <c r="M830" s="26"/>
      <c r="N830" s="26"/>
      <c r="O830" s="20">
        <v>21</v>
      </c>
      <c r="P830" s="26" t="s">
        <v>1218</v>
      </c>
      <c r="Q830" s="26" t="s">
        <v>2117</v>
      </c>
      <c r="R830" s="20" t="str">
        <f t="shared" si="64"/>
        <v>ORGANIZADOR DE 10KG-TRANSPARENTE</v>
      </c>
      <c r="S830" s="19">
        <f t="shared" si="65"/>
        <v>1</v>
      </c>
      <c r="T830" s="19">
        <v>370</v>
      </c>
      <c r="U830" s="19">
        <v>90</v>
      </c>
      <c r="V830" s="19"/>
      <c r="W830" s="19"/>
      <c r="X830" s="19"/>
      <c r="Y830" s="19"/>
    </row>
    <row r="831" spans="1:25" ht="12" hidden="1" customHeight="1" thickBot="1" x14ac:dyDescent="0.35">
      <c r="A831" s="20">
        <v>1</v>
      </c>
      <c r="B831" s="26" t="s">
        <v>1556</v>
      </c>
      <c r="C831" s="26" t="s">
        <v>2109</v>
      </c>
      <c r="D831" s="26" t="s">
        <v>2114</v>
      </c>
      <c r="E831" s="20">
        <v>470</v>
      </c>
      <c r="F831" s="26" t="s">
        <v>2115</v>
      </c>
      <c r="G831" s="20" t="s">
        <v>1561</v>
      </c>
      <c r="H831" s="26" t="s">
        <v>1218</v>
      </c>
      <c r="I831" s="20">
        <v>1</v>
      </c>
      <c r="J831" s="28">
        <v>520</v>
      </c>
      <c r="K831" s="20">
        <v>1</v>
      </c>
      <c r="L831" s="26" t="s">
        <v>13</v>
      </c>
      <c r="M831" s="26"/>
      <c r="N831" s="26"/>
      <c r="O831" s="20">
        <v>21</v>
      </c>
      <c r="P831" s="26" t="s">
        <v>1218</v>
      </c>
      <c r="Q831" s="26" t="s">
        <v>2118</v>
      </c>
      <c r="R831" s="20" t="str">
        <f t="shared" si="64"/>
        <v>ORGANIZADOR DE 15KG-TRANSPARENTE</v>
      </c>
      <c r="S831" s="19">
        <f t="shared" si="65"/>
        <v>1</v>
      </c>
      <c r="T831" s="19">
        <v>532</v>
      </c>
      <c r="U831" s="19">
        <v>90</v>
      </c>
      <c r="V831" s="19"/>
      <c r="W831" s="19"/>
      <c r="X831" s="19"/>
      <c r="Y831" s="19"/>
    </row>
    <row r="832" spans="1:25" ht="12" hidden="1" customHeight="1" thickBot="1" x14ac:dyDescent="0.35">
      <c r="A832" s="20">
        <v>1</v>
      </c>
      <c r="B832" s="26" t="s">
        <v>1556</v>
      </c>
      <c r="C832" s="26" t="s">
        <v>2109</v>
      </c>
      <c r="D832" s="26" t="s">
        <v>2120</v>
      </c>
      <c r="E832" s="20">
        <v>471</v>
      </c>
      <c r="F832" s="26" t="s">
        <v>2119</v>
      </c>
      <c r="G832" s="20" t="s">
        <v>1287</v>
      </c>
      <c r="H832" s="26" t="s">
        <v>1288</v>
      </c>
      <c r="I832" s="20">
        <v>4</v>
      </c>
      <c r="J832" s="28">
        <v>10</v>
      </c>
      <c r="K832" s="20">
        <v>1</v>
      </c>
      <c r="L832" s="26" t="s">
        <v>13</v>
      </c>
      <c r="M832" s="26"/>
      <c r="N832" s="26"/>
      <c r="O832" s="20">
        <v>26</v>
      </c>
      <c r="P832" s="26" t="s">
        <v>1216</v>
      </c>
      <c r="Q832" s="26" t="s">
        <v>2121</v>
      </c>
      <c r="R832" s="20" t="str">
        <f t="shared" si="64"/>
        <v>ASA DE CARGA ORGANIZADOR-PLOMO</v>
      </c>
      <c r="S832" s="19">
        <f t="shared" si="65"/>
        <v>4</v>
      </c>
      <c r="T832" s="19">
        <v>10</v>
      </c>
      <c r="U832" s="19">
        <v>120</v>
      </c>
      <c r="V832" s="19"/>
      <c r="W832" s="19"/>
      <c r="X832" s="19"/>
      <c r="Y832" s="19"/>
    </row>
    <row r="833" spans="1:25" ht="12" hidden="1" customHeight="1" thickBot="1" x14ac:dyDescent="0.35">
      <c r="A833" s="20">
        <v>1</v>
      </c>
      <c r="B833" s="26" t="s">
        <v>1556</v>
      </c>
      <c r="C833" s="26" t="s">
        <v>2109</v>
      </c>
      <c r="D833" s="26" t="s">
        <v>2108</v>
      </c>
      <c r="E833" s="20">
        <v>472</v>
      </c>
      <c r="F833" s="26" t="s">
        <v>2107</v>
      </c>
      <c r="G833" s="20" t="s">
        <v>1287</v>
      </c>
      <c r="H833" s="26" t="s">
        <v>1288</v>
      </c>
      <c r="I833" s="20">
        <v>4</v>
      </c>
      <c r="J833" s="28">
        <v>10</v>
      </c>
      <c r="K833" s="20">
        <v>1</v>
      </c>
      <c r="L833" s="26" t="s">
        <v>13</v>
      </c>
      <c r="M833" s="26"/>
      <c r="N833" s="26"/>
      <c r="O833" s="20">
        <v>26</v>
      </c>
      <c r="P833" s="26" t="s">
        <v>1216</v>
      </c>
      <c r="Q833" s="26" t="s">
        <v>2122</v>
      </c>
      <c r="R833" s="20" t="str">
        <f t="shared" si="64"/>
        <v>ASA LATERAL DE ORGANIZADOR-PLOMO</v>
      </c>
      <c r="S833" s="19">
        <f t="shared" si="65"/>
        <v>4</v>
      </c>
      <c r="T833" s="19">
        <v>10</v>
      </c>
      <c r="U833" s="19">
        <v>110</v>
      </c>
      <c r="V833" s="19"/>
      <c r="W833" s="19"/>
      <c r="X833" s="19"/>
      <c r="Y833" s="19"/>
    </row>
    <row r="834" spans="1:25" ht="12" hidden="1" customHeight="1" thickBot="1" x14ac:dyDescent="0.35">
      <c r="A834" s="20">
        <v>1</v>
      </c>
      <c r="B834" s="26" t="s">
        <v>1556</v>
      </c>
      <c r="C834" s="26" t="s">
        <v>2109</v>
      </c>
      <c r="D834" s="26" t="s">
        <v>2123</v>
      </c>
      <c r="E834" s="20">
        <v>473</v>
      </c>
      <c r="F834" s="26" t="s">
        <v>2124</v>
      </c>
      <c r="G834" s="20" t="s">
        <v>1287</v>
      </c>
      <c r="H834" s="26" t="s">
        <v>1288</v>
      </c>
      <c r="I834" s="20">
        <v>1</v>
      </c>
      <c r="J834" s="28">
        <v>95</v>
      </c>
      <c r="K834" s="20">
        <v>1</v>
      </c>
      <c r="L834" s="26" t="s">
        <v>13</v>
      </c>
      <c r="M834" s="26"/>
      <c r="N834" s="26"/>
      <c r="O834" s="20">
        <v>10</v>
      </c>
      <c r="P834" s="26" t="s">
        <v>26</v>
      </c>
      <c r="Q834" s="26" t="s">
        <v>2144</v>
      </c>
      <c r="R834" s="20" t="str">
        <f t="shared" ref="R834:R864" si="66">F834</f>
        <v>TAPA ORGANIZADOR DE 5KG-AMARILLO</v>
      </c>
      <c r="S834" s="19">
        <f t="shared" ref="S834:S851" si="67">+I834</f>
        <v>1</v>
      </c>
      <c r="T834" s="56">
        <v>95</v>
      </c>
      <c r="U834" s="19">
        <v>120</v>
      </c>
      <c r="V834" s="19"/>
      <c r="W834" s="19"/>
      <c r="X834" s="19"/>
      <c r="Y834" s="19"/>
    </row>
    <row r="835" spans="1:25" ht="12" hidden="1" customHeight="1" thickBot="1" x14ac:dyDescent="0.35">
      <c r="A835" s="20">
        <v>1</v>
      </c>
      <c r="B835" s="26" t="s">
        <v>1556</v>
      </c>
      <c r="C835" s="26" t="s">
        <v>2109</v>
      </c>
      <c r="D835" s="26" t="s">
        <v>2123</v>
      </c>
      <c r="E835" s="20">
        <v>474</v>
      </c>
      <c r="F835" s="26" t="s">
        <v>2125</v>
      </c>
      <c r="G835" s="20" t="s">
        <v>1287</v>
      </c>
      <c r="H835" s="26" t="s">
        <v>1288</v>
      </c>
      <c r="I835" s="20">
        <v>1</v>
      </c>
      <c r="J835" s="28">
        <v>95</v>
      </c>
      <c r="K835" s="20">
        <v>1</v>
      </c>
      <c r="L835" s="26" t="s">
        <v>13</v>
      </c>
      <c r="M835" s="26"/>
      <c r="N835" s="26"/>
      <c r="O835" s="20">
        <v>23</v>
      </c>
      <c r="P835" s="26" t="s">
        <v>1221</v>
      </c>
      <c r="Q835" s="26" t="s">
        <v>2145</v>
      </c>
      <c r="R835" s="20" t="str">
        <f t="shared" si="66"/>
        <v>TAPA ORGANIZADOR DE 5KG-VERDE</v>
      </c>
      <c r="S835" s="19">
        <f t="shared" si="67"/>
        <v>1</v>
      </c>
      <c r="T835" s="56">
        <v>95</v>
      </c>
      <c r="U835" s="19">
        <v>120</v>
      </c>
      <c r="V835" s="19"/>
      <c r="W835" s="19"/>
      <c r="X835" s="19"/>
      <c r="Y835" s="19"/>
    </row>
    <row r="836" spans="1:25" ht="12" hidden="1" customHeight="1" thickBot="1" x14ac:dyDescent="0.35">
      <c r="A836" s="20">
        <v>1</v>
      </c>
      <c r="B836" s="26" t="s">
        <v>1556</v>
      </c>
      <c r="C836" s="26" t="s">
        <v>2109</v>
      </c>
      <c r="D836" s="26" t="s">
        <v>2123</v>
      </c>
      <c r="E836" s="20">
        <v>475</v>
      </c>
      <c r="F836" s="26" t="s">
        <v>2126</v>
      </c>
      <c r="G836" s="20" t="s">
        <v>1287</v>
      </c>
      <c r="H836" s="26" t="s">
        <v>1288</v>
      </c>
      <c r="I836" s="20">
        <v>1</v>
      </c>
      <c r="J836" s="28">
        <v>95</v>
      </c>
      <c r="K836" s="20">
        <v>1</v>
      </c>
      <c r="L836" s="26" t="s">
        <v>13</v>
      </c>
      <c r="M836" s="26"/>
      <c r="N836" s="26"/>
      <c r="O836" s="20">
        <v>22</v>
      </c>
      <c r="P836" s="26" t="s">
        <v>1614</v>
      </c>
      <c r="Q836" s="26" t="s">
        <v>2146</v>
      </c>
      <c r="R836" s="20" t="str">
        <f t="shared" si="66"/>
        <v>TAPA ORGANIZADOR DE 5KG-TURQUESA</v>
      </c>
      <c r="S836" s="19">
        <f t="shared" si="67"/>
        <v>1</v>
      </c>
      <c r="T836" s="56">
        <v>95</v>
      </c>
      <c r="U836" s="19">
        <v>120</v>
      </c>
      <c r="V836" s="19"/>
      <c r="W836" s="19"/>
      <c r="X836" s="19"/>
      <c r="Y836" s="19"/>
    </row>
    <row r="837" spans="1:25" ht="12" hidden="1" customHeight="1" thickBot="1" x14ac:dyDescent="0.35">
      <c r="A837" s="20">
        <v>1</v>
      </c>
      <c r="B837" s="26" t="s">
        <v>1556</v>
      </c>
      <c r="C837" s="26" t="s">
        <v>2109</v>
      </c>
      <c r="D837" s="26" t="s">
        <v>2123</v>
      </c>
      <c r="E837" s="20">
        <v>476</v>
      </c>
      <c r="F837" s="26" t="s">
        <v>2127</v>
      </c>
      <c r="G837" s="20" t="s">
        <v>1287</v>
      </c>
      <c r="H837" s="26" t="s">
        <v>1288</v>
      </c>
      <c r="I837" s="20">
        <v>1</v>
      </c>
      <c r="J837" s="28">
        <v>95</v>
      </c>
      <c r="K837" s="20">
        <v>1</v>
      </c>
      <c r="L837" s="26" t="s">
        <v>13</v>
      </c>
      <c r="M837" s="26"/>
      <c r="N837" s="26"/>
      <c r="O837" s="20">
        <v>12</v>
      </c>
      <c r="P837" s="26" t="s">
        <v>24</v>
      </c>
      <c r="Q837" s="26" t="s">
        <v>2147</v>
      </c>
      <c r="R837" s="20" t="str">
        <f t="shared" si="66"/>
        <v>TAPA ORGANIZADOR DE 5KG-AZUL</v>
      </c>
      <c r="S837" s="19">
        <f t="shared" si="67"/>
        <v>1</v>
      </c>
      <c r="T837" s="56">
        <v>95</v>
      </c>
      <c r="U837" s="19">
        <v>120</v>
      </c>
      <c r="V837" s="19"/>
      <c r="W837" s="19"/>
      <c r="X837" s="19"/>
      <c r="Y837" s="19"/>
    </row>
    <row r="838" spans="1:25" ht="12" hidden="1" customHeight="1" thickBot="1" x14ac:dyDescent="0.35">
      <c r="A838" s="20">
        <v>1</v>
      </c>
      <c r="B838" s="26" t="s">
        <v>1556</v>
      </c>
      <c r="C838" s="26" t="s">
        <v>2109</v>
      </c>
      <c r="D838" s="26" t="s">
        <v>2123</v>
      </c>
      <c r="E838" s="20">
        <v>477</v>
      </c>
      <c r="F838" s="26" t="s">
        <v>2128</v>
      </c>
      <c r="G838" s="20" t="s">
        <v>1287</v>
      </c>
      <c r="H838" s="26" t="s">
        <v>1288</v>
      </c>
      <c r="I838" s="20">
        <v>1</v>
      </c>
      <c r="J838" s="28">
        <v>95</v>
      </c>
      <c r="K838" s="20">
        <v>1</v>
      </c>
      <c r="L838" s="26" t="s">
        <v>13</v>
      </c>
      <c r="M838" s="26"/>
      <c r="N838" s="26"/>
      <c r="O838" s="20">
        <v>15</v>
      </c>
      <c r="P838" s="26" t="s">
        <v>1211</v>
      </c>
      <c r="Q838" s="26" t="s">
        <v>2148</v>
      </c>
      <c r="R838" s="20" t="str">
        <f t="shared" si="66"/>
        <v>TAPA ORGANIZADOR DE 5KG-FUCSIA</v>
      </c>
      <c r="S838" s="19">
        <f t="shared" si="67"/>
        <v>1</v>
      </c>
      <c r="T838" s="56">
        <v>95</v>
      </c>
      <c r="U838" s="19">
        <v>120</v>
      </c>
      <c r="V838" s="19"/>
      <c r="W838" s="19"/>
      <c r="X838" s="19"/>
      <c r="Y838" s="19"/>
    </row>
    <row r="839" spans="1:25" ht="12" hidden="1" customHeight="1" thickBot="1" x14ac:dyDescent="0.35">
      <c r="A839" s="20">
        <v>1</v>
      </c>
      <c r="B839" s="26" t="s">
        <v>1556</v>
      </c>
      <c r="C839" s="26" t="s">
        <v>2109</v>
      </c>
      <c r="D839" s="26" t="s">
        <v>2123</v>
      </c>
      <c r="E839" s="20">
        <v>478</v>
      </c>
      <c r="F839" s="26" t="s">
        <v>2129</v>
      </c>
      <c r="G839" s="20" t="s">
        <v>1287</v>
      </c>
      <c r="H839" s="26" t="s">
        <v>1288</v>
      </c>
      <c r="I839" s="20">
        <v>1</v>
      </c>
      <c r="J839" s="28">
        <v>95</v>
      </c>
      <c r="K839" s="20">
        <v>1</v>
      </c>
      <c r="L839" s="26" t="s">
        <v>13</v>
      </c>
      <c r="M839" s="26"/>
      <c r="N839" s="26"/>
      <c r="O839" s="20">
        <v>19</v>
      </c>
      <c r="P839" s="26" t="s">
        <v>27</v>
      </c>
      <c r="Q839" s="26" t="s">
        <v>2149</v>
      </c>
      <c r="R839" s="20" t="str">
        <f t="shared" si="66"/>
        <v>TAPA ORGANIZADOR DE 5KG-ROJO</v>
      </c>
      <c r="S839" s="19">
        <f t="shared" si="67"/>
        <v>1</v>
      </c>
      <c r="T839" s="56">
        <v>95</v>
      </c>
      <c r="U839" s="19">
        <v>130</v>
      </c>
      <c r="V839" s="19"/>
      <c r="W839" s="19"/>
      <c r="X839" s="19"/>
      <c r="Y839" s="19"/>
    </row>
    <row r="840" spans="1:25" ht="12" hidden="1" customHeight="1" thickBot="1" x14ac:dyDescent="0.35">
      <c r="A840" s="20">
        <v>1</v>
      </c>
      <c r="B840" s="26" t="s">
        <v>1556</v>
      </c>
      <c r="C840" s="26" t="s">
        <v>2109</v>
      </c>
      <c r="D840" s="26" t="s">
        <v>2130</v>
      </c>
      <c r="E840" s="20">
        <v>479</v>
      </c>
      <c r="F840" s="26" t="s">
        <v>2131</v>
      </c>
      <c r="G840" s="20" t="s">
        <v>1287</v>
      </c>
      <c r="H840" s="26" t="s">
        <v>1288</v>
      </c>
      <c r="I840" s="20">
        <v>1</v>
      </c>
      <c r="J840" s="28">
        <v>138</v>
      </c>
      <c r="K840" s="20">
        <v>1</v>
      </c>
      <c r="L840" s="26" t="s">
        <v>13</v>
      </c>
      <c r="M840" s="26"/>
      <c r="N840" s="26"/>
      <c r="O840" s="20">
        <v>10</v>
      </c>
      <c r="P840" s="26" t="s">
        <v>26</v>
      </c>
      <c r="Q840" s="26" t="s">
        <v>2150</v>
      </c>
      <c r="R840" s="20" t="str">
        <f t="shared" si="66"/>
        <v>TAPA ORGANIZADOR DE 10KG-AMARILLO</v>
      </c>
      <c r="S840" s="19">
        <f t="shared" si="67"/>
        <v>1</v>
      </c>
      <c r="T840" s="56">
        <v>138</v>
      </c>
      <c r="U840" s="19">
        <v>130</v>
      </c>
      <c r="V840" s="19"/>
      <c r="W840" s="19"/>
      <c r="X840" s="19"/>
      <c r="Y840" s="19"/>
    </row>
    <row r="841" spans="1:25" ht="12" hidden="1" customHeight="1" thickBot="1" x14ac:dyDescent="0.35">
      <c r="A841" s="20">
        <v>1</v>
      </c>
      <c r="B841" s="26" t="s">
        <v>1556</v>
      </c>
      <c r="C841" s="26" t="s">
        <v>2109</v>
      </c>
      <c r="D841" s="26" t="s">
        <v>2130</v>
      </c>
      <c r="E841" s="20">
        <v>480</v>
      </c>
      <c r="F841" s="26" t="s">
        <v>2132</v>
      </c>
      <c r="G841" s="20" t="s">
        <v>1287</v>
      </c>
      <c r="H841" s="26" t="s">
        <v>1288</v>
      </c>
      <c r="I841" s="20">
        <v>1</v>
      </c>
      <c r="J841" s="28">
        <v>138</v>
      </c>
      <c r="K841" s="20">
        <v>1</v>
      </c>
      <c r="L841" s="26" t="s">
        <v>13</v>
      </c>
      <c r="M841" s="26"/>
      <c r="N841" s="26"/>
      <c r="O841" s="20">
        <v>23</v>
      </c>
      <c r="P841" s="26" t="s">
        <v>1221</v>
      </c>
      <c r="Q841" s="26" t="s">
        <v>2151</v>
      </c>
      <c r="R841" s="20" t="str">
        <f t="shared" si="66"/>
        <v>TAPA ORGANIZADOR DE 10KG-VERDE</v>
      </c>
      <c r="S841" s="19">
        <f t="shared" si="67"/>
        <v>1</v>
      </c>
      <c r="T841" s="56">
        <v>138</v>
      </c>
      <c r="U841" s="19">
        <v>130</v>
      </c>
      <c r="V841" s="19"/>
      <c r="W841" s="19"/>
      <c r="X841" s="19"/>
      <c r="Y841" s="19"/>
    </row>
    <row r="842" spans="1:25" ht="12" hidden="1" customHeight="1" thickBot="1" x14ac:dyDescent="0.35">
      <c r="A842" s="20">
        <v>1</v>
      </c>
      <c r="B842" s="26" t="s">
        <v>1556</v>
      </c>
      <c r="C842" s="26" t="s">
        <v>2109</v>
      </c>
      <c r="D842" s="26" t="s">
        <v>2130</v>
      </c>
      <c r="E842" s="20">
        <v>481</v>
      </c>
      <c r="F842" s="26" t="s">
        <v>2133</v>
      </c>
      <c r="G842" s="20" t="s">
        <v>1287</v>
      </c>
      <c r="H842" s="26" t="s">
        <v>1288</v>
      </c>
      <c r="I842" s="20">
        <v>1</v>
      </c>
      <c r="J842" s="28">
        <v>138</v>
      </c>
      <c r="K842" s="20">
        <v>1</v>
      </c>
      <c r="L842" s="26" t="s">
        <v>13</v>
      </c>
      <c r="M842" s="26"/>
      <c r="N842" s="26"/>
      <c r="O842" s="20">
        <v>22</v>
      </c>
      <c r="P842" s="26" t="s">
        <v>1614</v>
      </c>
      <c r="Q842" s="26" t="s">
        <v>2152</v>
      </c>
      <c r="R842" s="20" t="str">
        <f t="shared" si="66"/>
        <v>TAPA ORGANIZADOR DE 10KG-TURQUESA</v>
      </c>
      <c r="S842" s="19">
        <f t="shared" si="67"/>
        <v>1</v>
      </c>
      <c r="T842" s="56">
        <v>138</v>
      </c>
      <c r="U842" s="19">
        <v>130</v>
      </c>
      <c r="V842" s="19"/>
      <c r="W842" s="19"/>
      <c r="X842" s="19"/>
      <c r="Y842" s="19"/>
    </row>
    <row r="843" spans="1:25" ht="12" hidden="1" customHeight="1" thickBot="1" x14ac:dyDescent="0.35">
      <c r="A843" s="20">
        <v>1</v>
      </c>
      <c r="B843" s="26" t="s">
        <v>1556</v>
      </c>
      <c r="C843" s="26" t="s">
        <v>2109</v>
      </c>
      <c r="D843" s="26" t="s">
        <v>2130</v>
      </c>
      <c r="E843" s="20">
        <v>482</v>
      </c>
      <c r="F843" s="26" t="s">
        <v>2134</v>
      </c>
      <c r="G843" s="20" t="s">
        <v>1287</v>
      </c>
      <c r="H843" s="26" t="s">
        <v>1288</v>
      </c>
      <c r="I843" s="20">
        <v>1</v>
      </c>
      <c r="J843" s="28">
        <v>138</v>
      </c>
      <c r="K843" s="20">
        <v>1</v>
      </c>
      <c r="L843" s="26" t="s">
        <v>13</v>
      </c>
      <c r="M843" s="26"/>
      <c r="N843" s="26"/>
      <c r="O843" s="20">
        <v>12</v>
      </c>
      <c r="P843" s="26" t="s">
        <v>24</v>
      </c>
      <c r="Q843" s="26" t="s">
        <v>2153</v>
      </c>
      <c r="R843" s="20" t="str">
        <f t="shared" si="66"/>
        <v>TAPA ORGANIZADOR DE 10KG-AZUL</v>
      </c>
      <c r="S843" s="19">
        <f t="shared" si="67"/>
        <v>1</v>
      </c>
      <c r="T843" s="56">
        <v>138</v>
      </c>
      <c r="U843" s="19">
        <v>130</v>
      </c>
      <c r="V843" s="19"/>
      <c r="W843" s="19"/>
      <c r="X843" s="19"/>
      <c r="Y843" s="19"/>
    </row>
    <row r="844" spans="1:25" ht="12" hidden="1" customHeight="1" thickBot="1" x14ac:dyDescent="0.35">
      <c r="A844" s="20">
        <v>1</v>
      </c>
      <c r="B844" s="26" t="s">
        <v>1556</v>
      </c>
      <c r="C844" s="26" t="s">
        <v>2109</v>
      </c>
      <c r="D844" s="26" t="s">
        <v>2130</v>
      </c>
      <c r="E844" s="20">
        <v>483</v>
      </c>
      <c r="F844" s="26" t="s">
        <v>2135</v>
      </c>
      <c r="G844" s="20" t="s">
        <v>1287</v>
      </c>
      <c r="H844" s="26" t="s">
        <v>1288</v>
      </c>
      <c r="I844" s="20">
        <v>1</v>
      </c>
      <c r="J844" s="28">
        <v>138</v>
      </c>
      <c r="K844" s="20">
        <v>1</v>
      </c>
      <c r="L844" s="26" t="s">
        <v>13</v>
      </c>
      <c r="M844" s="26"/>
      <c r="N844" s="26"/>
      <c r="O844" s="20">
        <v>15</v>
      </c>
      <c r="P844" s="26" t="s">
        <v>1211</v>
      </c>
      <c r="Q844" s="26" t="s">
        <v>2154</v>
      </c>
      <c r="R844" s="20" t="str">
        <f t="shared" si="66"/>
        <v>TAPA ORGANIZADOR DE 10KG-FUCSIA</v>
      </c>
      <c r="S844" s="19">
        <f t="shared" si="67"/>
        <v>1</v>
      </c>
      <c r="T844" s="56">
        <v>138</v>
      </c>
      <c r="U844" s="19">
        <v>130</v>
      </c>
      <c r="V844" s="19"/>
      <c r="W844" s="19"/>
      <c r="X844" s="19"/>
      <c r="Y844" s="19"/>
    </row>
    <row r="845" spans="1:25" ht="12" hidden="1" customHeight="1" thickBot="1" x14ac:dyDescent="0.35">
      <c r="A845" s="20">
        <v>1</v>
      </c>
      <c r="B845" s="26" t="s">
        <v>1556</v>
      </c>
      <c r="C845" s="26" t="s">
        <v>2109</v>
      </c>
      <c r="D845" s="26" t="s">
        <v>2130</v>
      </c>
      <c r="E845" s="20">
        <v>484</v>
      </c>
      <c r="F845" s="26" t="s">
        <v>2136</v>
      </c>
      <c r="G845" s="20" t="s">
        <v>1287</v>
      </c>
      <c r="H845" s="26" t="s">
        <v>1288</v>
      </c>
      <c r="I845" s="20">
        <v>1</v>
      </c>
      <c r="J845" s="28">
        <v>138</v>
      </c>
      <c r="K845" s="20">
        <v>1</v>
      </c>
      <c r="L845" s="26" t="s">
        <v>13</v>
      </c>
      <c r="M845" s="26"/>
      <c r="N845" s="26"/>
      <c r="O845" s="20">
        <v>19</v>
      </c>
      <c r="P845" s="26" t="s">
        <v>27</v>
      </c>
      <c r="Q845" s="26" t="s">
        <v>2155</v>
      </c>
      <c r="R845" s="20" t="str">
        <f t="shared" si="66"/>
        <v>TAPA ORGANIZADOR DE 10KG-ROJO</v>
      </c>
      <c r="S845" s="19">
        <f t="shared" si="67"/>
        <v>1</v>
      </c>
      <c r="T845" s="56">
        <v>138</v>
      </c>
      <c r="U845" s="19">
        <v>130</v>
      </c>
      <c r="V845" s="19"/>
      <c r="W845" s="19"/>
      <c r="X845" s="19"/>
      <c r="Y845" s="19"/>
    </row>
    <row r="846" spans="1:25" ht="12" hidden="1" customHeight="1" thickBot="1" x14ac:dyDescent="0.35">
      <c r="A846" s="20">
        <v>1</v>
      </c>
      <c r="B846" s="26" t="s">
        <v>1556</v>
      </c>
      <c r="C846" s="26" t="s">
        <v>2109</v>
      </c>
      <c r="D846" s="26" t="s">
        <v>2137</v>
      </c>
      <c r="E846" s="20">
        <v>485</v>
      </c>
      <c r="F846" s="26" t="s">
        <v>2138</v>
      </c>
      <c r="G846" s="20" t="s">
        <v>1287</v>
      </c>
      <c r="H846" s="26" t="s">
        <v>1288</v>
      </c>
      <c r="I846" s="20">
        <v>1</v>
      </c>
      <c r="J846" s="28">
        <v>190</v>
      </c>
      <c r="K846" s="20">
        <v>1</v>
      </c>
      <c r="L846" s="26" t="s">
        <v>13</v>
      </c>
      <c r="M846" s="26"/>
      <c r="N846" s="26"/>
      <c r="O846" s="20">
        <v>10</v>
      </c>
      <c r="P846" s="26" t="s">
        <v>26</v>
      </c>
      <c r="Q846" s="26" t="s">
        <v>2156</v>
      </c>
      <c r="R846" s="20" t="str">
        <f t="shared" si="66"/>
        <v>TAPA ORGANIZADOR DE 15KG-AMARILLO</v>
      </c>
      <c r="S846" s="19">
        <f t="shared" si="67"/>
        <v>1</v>
      </c>
      <c r="T846" s="56">
        <v>190</v>
      </c>
      <c r="U846" s="19">
        <v>130</v>
      </c>
      <c r="V846" s="19"/>
      <c r="W846" s="19"/>
      <c r="X846" s="19"/>
      <c r="Y846" s="19"/>
    </row>
    <row r="847" spans="1:25" ht="12" hidden="1" customHeight="1" thickBot="1" x14ac:dyDescent="0.35">
      <c r="A847" s="20">
        <v>1</v>
      </c>
      <c r="B847" s="26" t="s">
        <v>1556</v>
      </c>
      <c r="C847" s="26" t="s">
        <v>2109</v>
      </c>
      <c r="D847" s="26" t="s">
        <v>2137</v>
      </c>
      <c r="E847" s="20">
        <v>486</v>
      </c>
      <c r="F847" s="26" t="s">
        <v>2139</v>
      </c>
      <c r="G847" s="20" t="s">
        <v>1287</v>
      </c>
      <c r="H847" s="26" t="s">
        <v>1288</v>
      </c>
      <c r="I847" s="20">
        <v>1</v>
      </c>
      <c r="J847" s="28">
        <v>190</v>
      </c>
      <c r="K847" s="20">
        <v>1</v>
      </c>
      <c r="L847" s="26" t="s">
        <v>13</v>
      </c>
      <c r="M847" s="26"/>
      <c r="N847" s="26"/>
      <c r="O847" s="20">
        <v>23</v>
      </c>
      <c r="P847" s="26" t="s">
        <v>1221</v>
      </c>
      <c r="Q847" s="26" t="s">
        <v>2157</v>
      </c>
      <c r="R847" s="20" t="str">
        <f t="shared" si="66"/>
        <v>TAPA ORGANIZADOR DE 15KG-VERDE</v>
      </c>
      <c r="S847" s="19">
        <f t="shared" si="67"/>
        <v>1</v>
      </c>
      <c r="T847" s="56">
        <v>190</v>
      </c>
      <c r="U847" s="19">
        <v>130</v>
      </c>
      <c r="V847" s="19"/>
      <c r="W847" s="19"/>
      <c r="X847" s="19"/>
      <c r="Y847" s="19"/>
    </row>
    <row r="848" spans="1:25" ht="12" hidden="1" customHeight="1" thickBot="1" x14ac:dyDescent="0.35">
      <c r="A848" s="20">
        <v>1</v>
      </c>
      <c r="B848" s="26" t="s">
        <v>1556</v>
      </c>
      <c r="C848" s="26" t="s">
        <v>2109</v>
      </c>
      <c r="D848" s="26" t="s">
        <v>2137</v>
      </c>
      <c r="E848" s="20">
        <v>487</v>
      </c>
      <c r="F848" s="26" t="s">
        <v>2140</v>
      </c>
      <c r="G848" s="20" t="s">
        <v>1287</v>
      </c>
      <c r="H848" s="26" t="s">
        <v>1288</v>
      </c>
      <c r="I848" s="20">
        <v>1</v>
      </c>
      <c r="J848" s="28">
        <v>190</v>
      </c>
      <c r="K848" s="20">
        <v>1</v>
      </c>
      <c r="L848" s="26" t="s">
        <v>13</v>
      </c>
      <c r="M848" s="26"/>
      <c r="N848" s="26"/>
      <c r="O848" s="20">
        <v>22</v>
      </c>
      <c r="P848" s="26" t="s">
        <v>1614</v>
      </c>
      <c r="Q848" s="26" t="s">
        <v>2158</v>
      </c>
      <c r="R848" s="20" t="str">
        <f t="shared" si="66"/>
        <v>TAPA ORGANIZADOR DE 15KG-TURQUESA</v>
      </c>
      <c r="S848" s="19">
        <f t="shared" si="67"/>
        <v>1</v>
      </c>
      <c r="T848" s="56">
        <v>190</v>
      </c>
      <c r="U848" s="19">
        <v>130</v>
      </c>
      <c r="V848" s="19"/>
      <c r="W848" s="19"/>
      <c r="X848" s="19"/>
      <c r="Y848" s="19"/>
    </row>
    <row r="849" spans="1:25" ht="12" hidden="1" customHeight="1" thickBot="1" x14ac:dyDescent="0.35">
      <c r="A849" s="20">
        <v>1</v>
      </c>
      <c r="B849" s="26" t="s">
        <v>1556</v>
      </c>
      <c r="C849" s="26" t="s">
        <v>2109</v>
      </c>
      <c r="D849" s="26" t="s">
        <v>2137</v>
      </c>
      <c r="E849" s="20">
        <v>488</v>
      </c>
      <c r="F849" s="26" t="s">
        <v>2141</v>
      </c>
      <c r="G849" s="20" t="s">
        <v>1287</v>
      </c>
      <c r="H849" s="26" t="s">
        <v>1288</v>
      </c>
      <c r="I849" s="20">
        <v>1</v>
      </c>
      <c r="J849" s="28">
        <v>190</v>
      </c>
      <c r="K849" s="20">
        <v>1</v>
      </c>
      <c r="L849" s="26" t="s">
        <v>13</v>
      </c>
      <c r="M849" s="26"/>
      <c r="N849" s="26"/>
      <c r="O849" s="20">
        <v>12</v>
      </c>
      <c r="P849" s="26" t="s">
        <v>24</v>
      </c>
      <c r="Q849" s="26" t="s">
        <v>2159</v>
      </c>
      <c r="R849" s="20" t="str">
        <f t="shared" si="66"/>
        <v>TAPA ORGANIZADOR DE 15KG-AZUL</v>
      </c>
      <c r="S849" s="19">
        <f t="shared" si="67"/>
        <v>1</v>
      </c>
      <c r="T849" s="56">
        <v>190</v>
      </c>
      <c r="U849" s="19">
        <v>130</v>
      </c>
      <c r="V849" s="19"/>
      <c r="W849" s="19"/>
      <c r="X849" s="19"/>
      <c r="Y849" s="19"/>
    </row>
    <row r="850" spans="1:25" ht="12" hidden="1" customHeight="1" thickBot="1" x14ac:dyDescent="0.35">
      <c r="A850" s="20">
        <v>1</v>
      </c>
      <c r="B850" s="26" t="s">
        <v>1556</v>
      </c>
      <c r="C850" s="26" t="s">
        <v>2109</v>
      </c>
      <c r="D850" s="26" t="s">
        <v>2137</v>
      </c>
      <c r="E850" s="20">
        <v>489</v>
      </c>
      <c r="F850" s="26" t="s">
        <v>2142</v>
      </c>
      <c r="G850" s="20" t="s">
        <v>1287</v>
      </c>
      <c r="H850" s="26" t="s">
        <v>1288</v>
      </c>
      <c r="I850" s="20">
        <v>1</v>
      </c>
      <c r="J850" s="28">
        <v>190</v>
      </c>
      <c r="K850" s="20">
        <v>1</v>
      </c>
      <c r="L850" s="26" t="s">
        <v>13</v>
      </c>
      <c r="M850" s="26"/>
      <c r="N850" s="26"/>
      <c r="O850" s="20">
        <v>15</v>
      </c>
      <c r="P850" s="26" t="s">
        <v>1211</v>
      </c>
      <c r="Q850" s="26" t="s">
        <v>2160</v>
      </c>
      <c r="R850" s="20" t="str">
        <f t="shared" si="66"/>
        <v>TAPA ORGANIZADOR DE 15KG-FUCSIA</v>
      </c>
      <c r="S850" s="19">
        <f t="shared" si="67"/>
        <v>1</v>
      </c>
      <c r="T850" s="56">
        <v>190</v>
      </c>
      <c r="U850" s="19">
        <v>130</v>
      </c>
      <c r="V850" s="19"/>
      <c r="W850" s="19"/>
      <c r="X850" s="19"/>
      <c r="Y850" s="19"/>
    </row>
    <row r="851" spans="1:25" ht="12" hidden="1" customHeight="1" thickBot="1" x14ac:dyDescent="0.35">
      <c r="A851" s="20">
        <v>1</v>
      </c>
      <c r="B851" s="26" t="s">
        <v>1556</v>
      </c>
      <c r="C851" s="26" t="s">
        <v>2109</v>
      </c>
      <c r="D851" s="26" t="s">
        <v>2137</v>
      </c>
      <c r="E851" s="20">
        <v>490</v>
      </c>
      <c r="F851" s="26" t="s">
        <v>2143</v>
      </c>
      <c r="G851" s="20" t="s">
        <v>1287</v>
      </c>
      <c r="H851" s="26" t="s">
        <v>1288</v>
      </c>
      <c r="I851" s="20">
        <v>1</v>
      </c>
      <c r="J851" s="28">
        <v>190</v>
      </c>
      <c r="K851" s="20">
        <v>1</v>
      </c>
      <c r="L851" s="26" t="s">
        <v>13</v>
      </c>
      <c r="M851" s="26"/>
      <c r="N851" s="26"/>
      <c r="O851" s="20">
        <v>19</v>
      </c>
      <c r="P851" s="26" t="s">
        <v>27</v>
      </c>
      <c r="Q851" s="26" t="s">
        <v>2161</v>
      </c>
      <c r="R851" s="20" t="str">
        <f t="shared" si="66"/>
        <v>TAPA ORGANIZADOR DE 15KG-ROJO</v>
      </c>
      <c r="S851" s="19">
        <f t="shared" si="67"/>
        <v>1</v>
      </c>
      <c r="T851" s="19">
        <v>190</v>
      </c>
      <c r="U851" s="19">
        <v>130</v>
      </c>
      <c r="V851" s="19"/>
      <c r="W851" s="19"/>
      <c r="X851" s="19"/>
      <c r="Y851" s="19"/>
    </row>
    <row r="852" spans="1:25" ht="12" hidden="1" customHeight="1" thickBot="1" x14ac:dyDescent="0.35">
      <c r="A852" s="20">
        <v>1</v>
      </c>
      <c r="B852" s="26" t="s">
        <v>1556</v>
      </c>
      <c r="C852" s="26" t="s">
        <v>1616</v>
      </c>
      <c r="D852" s="26" t="s">
        <v>1955</v>
      </c>
      <c r="E852" s="20">
        <v>491</v>
      </c>
      <c r="F852" s="26" t="s">
        <v>2169</v>
      </c>
      <c r="G852" s="20" t="s">
        <v>1287</v>
      </c>
      <c r="H852" s="26" t="s">
        <v>1288</v>
      </c>
      <c r="I852" s="20">
        <v>12</v>
      </c>
      <c r="J852" s="28">
        <v>2.5</v>
      </c>
      <c r="K852" s="20">
        <v>1</v>
      </c>
      <c r="L852" s="26" t="s">
        <v>13</v>
      </c>
      <c r="M852" s="27"/>
      <c r="N852" s="27"/>
      <c r="O852" s="20">
        <v>13</v>
      </c>
      <c r="P852" s="26" t="s">
        <v>25</v>
      </c>
      <c r="Q852" s="26" t="s">
        <v>2015</v>
      </c>
      <c r="R852" s="20" t="str">
        <f t="shared" si="66"/>
        <v>VALVULA VAPOR-BLANCO</v>
      </c>
      <c r="S852" s="19">
        <f>+I852</f>
        <v>12</v>
      </c>
      <c r="T852" s="19">
        <v>2.5</v>
      </c>
      <c r="U852" s="19">
        <v>140</v>
      </c>
      <c r="V852" s="19"/>
      <c r="W852" s="19"/>
      <c r="X852" s="19"/>
      <c r="Y852" s="19"/>
    </row>
    <row r="853" spans="1:25" ht="12" hidden="1" customHeight="1" thickBot="1" x14ac:dyDescent="0.35">
      <c r="A853" s="20">
        <v>1</v>
      </c>
      <c r="B853" s="26" t="s">
        <v>1556</v>
      </c>
      <c r="C853" s="26" t="s">
        <v>1616</v>
      </c>
      <c r="D853" s="57" t="s">
        <v>2191</v>
      </c>
      <c r="E853" s="20">
        <v>492</v>
      </c>
      <c r="F853" s="29" t="s">
        <v>2172</v>
      </c>
      <c r="G853" s="20" t="s">
        <v>1603</v>
      </c>
      <c r="H853" s="20" t="s">
        <v>1604</v>
      </c>
      <c r="I853" s="20">
        <v>1</v>
      </c>
      <c r="J853" s="20">
        <v>69</v>
      </c>
      <c r="K853" s="20">
        <v>1</v>
      </c>
      <c r="L853" s="20" t="s">
        <v>13</v>
      </c>
      <c r="M853" s="20"/>
      <c r="N853" s="20"/>
      <c r="O853" s="20">
        <v>10</v>
      </c>
      <c r="P853" s="20" t="s">
        <v>26</v>
      </c>
      <c r="Q853" s="26" t="s">
        <v>2183</v>
      </c>
      <c r="R853" s="20" t="str">
        <f t="shared" si="66"/>
        <v>TAPER REDONDO 2500ML CARAMELO-AMARILLO</v>
      </c>
      <c r="S853" s="19">
        <f t="shared" ref="S853:S858" si="68">+I853</f>
        <v>1</v>
      </c>
      <c r="T853" s="19">
        <v>69</v>
      </c>
      <c r="U853" s="19">
        <v>100</v>
      </c>
      <c r="V853" s="19"/>
      <c r="W853" s="19"/>
      <c r="X853" s="19"/>
      <c r="Y853" s="19"/>
    </row>
    <row r="854" spans="1:25" ht="12" hidden="1" customHeight="1" thickBot="1" x14ac:dyDescent="0.35">
      <c r="A854" s="20">
        <v>1</v>
      </c>
      <c r="B854" s="26" t="s">
        <v>1556</v>
      </c>
      <c r="C854" s="26" t="s">
        <v>1616</v>
      </c>
      <c r="D854" s="57" t="s">
        <v>2191</v>
      </c>
      <c r="E854" s="20">
        <v>493</v>
      </c>
      <c r="F854" s="29" t="s">
        <v>2175</v>
      </c>
      <c r="G854" s="20" t="s">
        <v>1603</v>
      </c>
      <c r="H854" s="20" t="s">
        <v>1604</v>
      </c>
      <c r="I854" s="20">
        <v>1</v>
      </c>
      <c r="J854" s="20">
        <v>69</v>
      </c>
      <c r="K854" s="20">
        <v>1</v>
      </c>
      <c r="L854" s="20" t="s">
        <v>13</v>
      </c>
      <c r="M854" s="20"/>
      <c r="N854" s="20"/>
      <c r="O854" s="20">
        <v>11</v>
      </c>
      <c r="P854" s="20" t="s">
        <v>27</v>
      </c>
      <c r="Q854" s="26" t="s">
        <v>2184</v>
      </c>
      <c r="R854" s="20" t="str">
        <f t="shared" si="66"/>
        <v>TAPER REDONDO 2500ML CARAMELO-ROJO</v>
      </c>
      <c r="S854" s="19">
        <f t="shared" si="68"/>
        <v>1</v>
      </c>
      <c r="T854" s="19">
        <v>69</v>
      </c>
      <c r="U854" s="19">
        <v>100</v>
      </c>
      <c r="V854" s="19"/>
      <c r="W854" s="19"/>
      <c r="X854" s="19"/>
      <c r="Y854" s="19"/>
    </row>
    <row r="855" spans="1:25" ht="12" hidden="1" customHeight="1" thickBot="1" x14ac:dyDescent="0.35">
      <c r="A855" s="20">
        <v>1</v>
      </c>
      <c r="B855" s="26" t="s">
        <v>1556</v>
      </c>
      <c r="C855" s="26" t="s">
        <v>1616</v>
      </c>
      <c r="D855" s="57" t="s">
        <v>2191</v>
      </c>
      <c r="E855" s="20">
        <v>494</v>
      </c>
      <c r="F855" s="29" t="s">
        <v>2173</v>
      </c>
      <c r="G855" s="20" t="s">
        <v>1603</v>
      </c>
      <c r="H855" s="20" t="s">
        <v>1604</v>
      </c>
      <c r="I855" s="20">
        <v>1</v>
      </c>
      <c r="J855" s="20">
        <v>69</v>
      </c>
      <c r="K855" s="20">
        <v>1</v>
      </c>
      <c r="L855" s="20" t="s">
        <v>13</v>
      </c>
      <c r="M855" s="20"/>
      <c r="N855" s="20"/>
      <c r="O855" s="20">
        <v>12</v>
      </c>
      <c r="P855" s="20" t="s">
        <v>24</v>
      </c>
      <c r="Q855" s="26" t="s">
        <v>2185</v>
      </c>
      <c r="R855" s="20" t="str">
        <f t="shared" si="66"/>
        <v>TAPER REDONDO 2500ML CARAMELO-AZUL</v>
      </c>
      <c r="S855" s="19">
        <f t="shared" si="68"/>
        <v>1</v>
      </c>
      <c r="T855" s="19">
        <v>69</v>
      </c>
      <c r="U855" s="19">
        <v>100</v>
      </c>
      <c r="V855" s="19"/>
      <c r="W855" s="19"/>
      <c r="X855" s="19"/>
      <c r="Y855" s="19"/>
    </row>
    <row r="856" spans="1:25" ht="12" hidden="1" customHeight="1" thickBot="1" x14ac:dyDescent="0.35">
      <c r="A856" s="20">
        <v>1</v>
      </c>
      <c r="B856" s="26" t="s">
        <v>1556</v>
      </c>
      <c r="C856" s="26" t="s">
        <v>1616</v>
      </c>
      <c r="D856" s="57" t="s">
        <v>2191</v>
      </c>
      <c r="E856" s="20">
        <v>495</v>
      </c>
      <c r="F856" s="29" t="s">
        <v>2189</v>
      </c>
      <c r="G856" s="20" t="s">
        <v>1603</v>
      </c>
      <c r="H856" s="20" t="s">
        <v>1604</v>
      </c>
      <c r="I856" s="20">
        <v>1</v>
      </c>
      <c r="J856" s="20">
        <v>69</v>
      </c>
      <c r="K856" s="20">
        <v>1</v>
      </c>
      <c r="L856" s="20" t="s">
        <v>13</v>
      </c>
      <c r="M856" s="20"/>
      <c r="N856" s="20"/>
      <c r="O856" s="20">
        <v>15</v>
      </c>
      <c r="P856" s="20" t="s">
        <v>1211</v>
      </c>
      <c r="Q856" s="26" t="s">
        <v>2186</v>
      </c>
      <c r="R856" s="20" t="str">
        <f t="shared" si="66"/>
        <v>TAPER REDONDO 2500ML CARAMELO-FUCSIA</v>
      </c>
      <c r="S856" s="19">
        <f t="shared" si="68"/>
        <v>1</v>
      </c>
      <c r="T856" s="19">
        <v>69</v>
      </c>
      <c r="U856" s="19">
        <v>100</v>
      </c>
      <c r="V856" s="19"/>
      <c r="W856" s="19"/>
      <c r="X856" s="19"/>
      <c r="Y856" s="19"/>
    </row>
    <row r="857" spans="1:25" ht="12" hidden="1" customHeight="1" thickBot="1" x14ac:dyDescent="0.35">
      <c r="A857" s="20">
        <v>1</v>
      </c>
      <c r="B857" s="26" t="s">
        <v>1556</v>
      </c>
      <c r="C857" s="26" t="s">
        <v>1616</v>
      </c>
      <c r="D857" s="57" t="s">
        <v>2191</v>
      </c>
      <c r="E857" s="20">
        <v>496</v>
      </c>
      <c r="F857" s="29" t="s">
        <v>2190</v>
      </c>
      <c r="G857" s="20" t="s">
        <v>1603</v>
      </c>
      <c r="H857" s="20" t="s">
        <v>1604</v>
      </c>
      <c r="I857" s="20">
        <v>1</v>
      </c>
      <c r="J857" s="20">
        <v>69</v>
      </c>
      <c r="K857" s="20">
        <v>1</v>
      </c>
      <c r="L857" s="20" t="s">
        <v>13</v>
      </c>
      <c r="M857" s="20"/>
      <c r="N857" s="20"/>
      <c r="O857" s="20">
        <v>16</v>
      </c>
      <c r="P857" s="20" t="s">
        <v>1212</v>
      </c>
      <c r="Q857" s="26" t="s">
        <v>2187</v>
      </c>
      <c r="R857" s="20" t="str">
        <f t="shared" si="66"/>
        <v>TAPER REDONDO 2500ML CARAMELO-LILA</v>
      </c>
      <c r="S857" s="19">
        <f t="shared" si="68"/>
        <v>1</v>
      </c>
      <c r="T857" s="19">
        <v>69</v>
      </c>
      <c r="U857" s="19">
        <v>100</v>
      </c>
      <c r="V857" s="19"/>
      <c r="W857" s="19"/>
      <c r="X857" s="19"/>
      <c r="Y857" s="19"/>
    </row>
    <row r="858" spans="1:25" ht="12" hidden="1" customHeight="1" thickBot="1" x14ac:dyDescent="0.35">
      <c r="A858" s="20">
        <v>1</v>
      </c>
      <c r="B858" s="26" t="s">
        <v>1556</v>
      </c>
      <c r="C858" s="26" t="s">
        <v>1616</v>
      </c>
      <c r="D858" s="57" t="s">
        <v>2191</v>
      </c>
      <c r="E858" s="20">
        <v>497</v>
      </c>
      <c r="F858" s="29" t="s">
        <v>2174</v>
      </c>
      <c r="G858" s="20" t="s">
        <v>1603</v>
      </c>
      <c r="H858" s="20" t="s">
        <v>1604</v>
      </c>
      <c r="I858" s="20">
        <v>1</v>
      </c>
      <c r="J858" s="20">
        <v>69</v>
      </c>
      <c r="K858" s="20">
        <v>1</v>
      </c>
      <c r="L858" s="20" t="s">
        <v>13</v>
      </c>
      <c r="M858" s="20"/>
      <c r="N858" s="20"/>
      <c r="O858" s="20">
        <v>23</v>
      </c>
      <c r="P858" s="20" t="s">
        <v>1221</v>
      </c>
      <c r="Q858" s="26" t="s">
        <v>2188</v>
      </c>
      <c r="R858" s="20" t="str">
        <f t="shared" si="66"/>
        <v>TAPER REDONDO 2500ML CARAMELO-VERDE</v>
      </c>
      <c r="S858" s="19">
        <f t="shared" si="68"/>
        <v>1</v>
      </c>
      <c r="T858" s="19">
        <v>69</v>
      </c>
      <c r="U858" s="19">
        <v>100</v>
      </c>
      <c r="V858" s="19"/>
      <c r="W858" s="19"/>
      <c r="X858" s="19"/>
      <c r="Y858" s="19"/>
    </row>
    <row r="859" spans="1:25" ht="12" hidden="1" customHeight="1" thickBot="1" x14ac:dyDescent="0.35">
      <c r="A859" s="20">
        <v>1</v>
      </c>
      <c r="B859" s="26" t="s">
        <v>1556</v>
      </c>
      <c r="C859" s="26" t="s">
        <v>1616</v>
      </c>
      <c r="D859" s="31" t="s">
        <v>2192</v>
      </c>
      <c r="E859" s="20">
        <v>498</v>
      </c>
      <c r="F859" s="29" t="s">
        <v>2178</v>
      </c>
      <c r="G859" s="20" t="s">
        <v>1603</v>
      </c>
      <c r="H859" s="20" t="s">
        <v>1604</v>
      </c>
      <c r="I859" s="20">
        <v>2</v>
      </c>
      <c r="J859" s="20">
        <v>69</v>
      </c>
      <c r="K859" s="20">
        <v>1</v>
      </c>
      <c r="L859" s="20" t="s">
        <v>13</v>
      </c>
      <c r="M859" s="20"/>
      <c r="N859" s="20"/>
      <c r="O859" s="20">
        <v>10</v>
      </c>
      <c r="P859" s="20" t="s">
        <v>26</v>
      </c>
      <c r="Q859" s="26" t="s">
        <v>2187</v>
      </c>
      <c r="R859" s="20" t="str">
        <f t="shared" si="66"/>
        <v>TAPER REDONDO 1500ML CARAMELO-AMARILLO</v>
      </c>
      <c r="S859" s="19">
        <v>2</v>
      </c>
      <c r="T859" s="19">
        <v>54</v>
      </c>
      <c r="U859" s="19">
        <v>120</v>
      </c>
      <c r="V859" s="19"/>
      <c r="W859" s="19"/>
      <c r="X859" s="19"/>
      <c r="Y859" s="19"/>
    </row>
    <row r="860" spans="1:25" ht="12" hidden="1" customHeight="1" thickBot="1" x14ac:dyDescent="0.35">
      <c r="A860" s="20">
        <v>1</v>
      </c>
      <c r="B860" s="26" t="s">
        <v>1556</v>
      </c>
      <c r="C860" s="26" t="s">
        <v>1616</v>
      </c>
      <c r="D860" s="31" t="s">
        <v>2192</v>
      </c>
      <c r="E860" s="20">
        <v>499</v>
      </c>
      <c r="F860" s="29" t="s">
        <v>2193</v>
      </c>
      <c r="G860" s="20" t="s">
        <v>1603</v>
      </c>
      <c r="H860" s="20" t="s">
        <v>1604</v>
      </c>
      <c r="I860" s="20">
        <v>2</v>
      </c>
      <c r="J860" s="20">
        <v>69</v>
      </c>
      <c r="K860" s="20">
        <v>1</v>
      </c>
      <c r="L860" s="20" t="s">
        <v>13</v>
      </c>
      <c r="M860" s="20"/>
      <c r="N860" s="20"/>
      <c r="O860" s="20">
        <v>11</v>
      </c>
      <c r="P860" s="20" t="s">
        <v>27</v>
      </c>
      <c r="Q860" s="26" t="s">
        <v>2188</v>
      </c>
      <c r="R860" s="20" t="str">
        <f t="shared" si="66"/>
        <v>TAPER REDONDO 1500ML CARAMELO-ROJO</v>
      </c>
      <c r="S860" s="19">
        <v>2</v>
      </c>
      <c r="T860" s="19">
        <v>54</v>
      </c>
      <c r="U860" s="19">
        <v>120</v>
      </c>
      <c r="V860" s="19"/>
      <c r="W860" s="19"/>
      <c r="X860" s="19"/>
      <c r="Y860" s="19"/>
    </row>
    <row r="861" spans="1:25" ht="12" hidden="1" customHeight="1" thickBot="1" x14ac:dyDescent="0.35">
      <c r="A861" s="20">
        <v>1</v>
      </c>
      <c r="B861" s="26" t="s">
        <v>1556</v>
      </c>
      <c r="C861" s="26" t="s">
        <v>1616</v>
      </c>
      <c r="D861" s="31" t="s">
        <v>2192</v>
      </c>
      <c r="E861" s="20">
        <v>500</v>
      </c>
      <c r="F861" s="29" t="s">
        <v>2194</v>
      </c>
      <c r="G861" s="20" t="s">
        <v>1603</v>
      </c>
      <c r="H861" s="20" t="s">
        <v>1604</v>
      </c>
      <c r="I861" s="20">
        <v>2</v>
      </c>
      <c r="J861" s="20">
        <v>69</v>
      </c>
      <c r="K861" s="20">
        <v>1</v>
      </c>
      <c r="L861" s="20" t="s">
        <v>13</v>
      </c>
      <c r="M861" s="20"/>
      <c r="N861" s="20"/>
      <c r="O861" s="20">
        <v>12</v>
      </c>
      <c r="P861" s="20" t="s">
        <v>24</v>
      </c>
      <c r="Q861" s="26" t="s">
        <v>2198</v>
      </c>
      <c r="R861" s="20" t="str">
        <f t="shared" si="66"/>
        <v>TAPER REDONDO 1500ML CARAMELO-AZUL</v>
      </c>
      <c r="S861" s="19">
        <v>2</v>
      </c>
      <c r="T861" s="19">
        <v>54</v>
      </c>
      <c r="U861" s="19">
        <v>120</v>
      </c>
      <c r="V861" s="19"/>
      <c r="W861" s="19"/>
      <c r="X861" s="19"/>
      <c r="Y861" s="19"/>
    </row>
    <row r="862" spans="1:25" ht="12" hidden="1" customHeight="1" thickBot="1" x14ac:dyDescent="0.35">
      <c r="A862" s="20">
        <v>1</v>
      </c>
      <c r="B862" s="26" t="s">
        <v>1556</v>
      </c>
      <c r="C862" s="26" t="s">
        <v>1616</v>
      </c>
      <c r="D862" s="31" t="s">
        <v>2192</v>
      </c>
      <c r="E862" s="20">
        <v>501</v>
      </c>
      <c r="F862" s="29" t="s">
        <v>2195</v>
      </c>
      <c r="G862" s="20" t="s">
        <v>1603</v>
      </c>
      <c r="H862" s="20" t="s">
        <v>1604</v>
      </c>
      <c r="I862" s="20">
        <v>2</v>
      </c>
      <c r="J862" s="20">
        <v>69</v>
      </c>
      <c r="K862" s="20">
        <v>1</v>
      </c>
      <c r="L862" s="20" t="s">
        <v>13</v>
      </c>
      <c r="M862" s="20"/>
      <c r="N862" s="20"/>
      <c r="O862" s="20">
        <v>15</v>
      </c>
      <c r="P862" s="20" t="s">
        <v>1211</v>
      </c>
      <c r="Q862" s="26" t="s">
        <v>2199</v>
      </c>
      <c r="R862" s="20" t="str">
        <f t="shared" si="66"/>
        <v>TAPER REDONDO 1500ML CARAMELO-FUCSIA</v>
      </c>
      <c r="S862" s="19">
        <v>2</v>
      </c>
      <c r="T862" s="19">
        <v>54</v>
      </c>
      <c r="U862" s="19">
        <v>120</v>
      </c>
      <c r="V862" s="19"/>
      <c r="W862" s="19"/>
      <c r="X862" s="19"/>
      <c r="Y862" s="19"/>
    </row>
    <row r="863" spans="1:25" ht="12" hidden="1" customHeight="1" thickBot="1" x14ac:dyDescent="0.35">
      <c r="A863" s="20">
        <v>1</v>
      </c>
      <c r="B863" s="26" t="s">
        <v>1556</v>
      </c>
      <c r="C863" s="26" t="s">
        <v>1616</v>
      </c>
      <c r="D863" s="31" t="s">
        <v>2192</v>
      </c>
      <c r="E863" s="20">
        <v>502</v>
      </c>
      <c r="F863" s="29" t="s">
        <v>2196</v>
      </c>
      <c r="G863" s="20" t="s">
        <v>1603</v>
      </c>
      <c r="H863" s="20" t="s">
        <v>1604</v>
      </c>
      <c r="I863" s="20">
        <v>2</v>
      </c>
      <c r="J863" s="20">
        <v>69</v>
      </c>
      <c r="K863" s="20">
        <v>1</v>
      </c>
      <c r="L863" s="20" t="s">
        <v>13</v>
      </c>
      <c r="M863" s="20"/>
      <c r="N863" s="20"/>
      <c r="O863" s="20">
        <v>16</v>
      </c>
      <c r="P863" s="20" t="s">
        <v>1212</v>
      </c>
      <c r="Q863" s="26" t="s">
        <v>2200</v>
      </c>
      <c r="R863" s="20" t="str">
        <f t="shared" si="66"/>
        <v>TAPER REDONDO 1500ML CARAMELO-LILA</v>
      </c>
      <c r="S863" s="19">
        <v>2</v>
      </c>
      <c r="T863" s="19">
        <v>54</v>
      </c>
      <c r="U863" s="19">
        <v>120</v>
      </c>
      <c r="V863" s="19"/>
      <c r="W863" s="19"/>
      <c r="X863" s="19"/>
      <c r="Y863" s="19"/>
    </row>
    <row r="864" spans="1:25" ht="12" hidden="1" customHeight="1" thickBot="1" x14ac:dyDescent="0.35">
      <c r="A864" s="20">
        <v>1</v>
      </c>
      <c r="B864" s="26" t="s">
        <v>1556</v>
      </c>
      <c r="C864" s="26" t="s">
        <v>1616</v>
      </c>
      <c r="D864" s="31" t="s">
        <v>2192</v>
      </c>
      <c r="E864" s="20">
        <v>503</v>
      </c>
      <c r="F864" s="29" t="s">
        <v>2197</v>
      </c>
      <c r="G864" s="20" t="s">
        <v>1603</v>
      </c>
      <c r="H864" s="20" t="s">
        <v>1604</v>
      </c>
      <c r="I864" s="20">
        <v>2</v>
      </c>
      <c r="J864" s="20">
        <v>69</v>
      </c>
      <c r="K864" s="20">
        <v>1</v>
      </c>
      <c r="L864" s="20" t="s">
        <v>13</v>
      </c>
      <c r="M864" s="20"/>
      <c r="N864" s="20"/>
      <c r="O864" s="20">
        <v>23</v>
      </c>
      <c r="P864" s="20" t="s">
        <v>1221</v>
      </c>
      <c r="Q864" s="26" t="s">
        <v>2199</v>
      </c>
      <c r="R864" s="20" t="str">
        <f t="shared" si="66"/>
        <v>TAPER REDONDO 1500ML CARAMELO-VERDE</v>
      </c>
      <c r="S864" s="19">
        <v>2</v>
      </c>
      <c r="T864" s="19">
        <v>54</v>
      </c>
      <c r="U864" s="19">
        <v>120</v>
      </c>
      <c r="V864" s="19"/>
      <c r="W864" s="19"/>
      <c r="X864" s="19"/>
      <c r="Y864" s="19"/>
    </row>
    <row r="865" spans="1:25" ht="12" hidden="1" customHeight="1" thickBot="1" x14ac:dyDescent="0.35">
      <c r="A865" s="20">
        <v>1</v>
      </c>
      <c r="B865" s="26" t="s">
        <v>1556</v>
      </c>
      <c r="C865" s="26" t="s">
        <v>1616</v>
      </c>
      <c r="D865" s="26" t="s">
        <v>2170</v>
      </c>
      <c r="E865" s="20">
        <v>491</v>
      </c>
      <c r="F865" s="26" t="s">
        <v>2171</v>
      </c>
      <c r="G865" s="20" t="s">
        <v>1287</v>
      </c>
      <c r="H865" s="26" t="s">
        <v>1288</v>
      </c>
      <c r="I865" s="20">
        <v>1</v>
      </c>
      <c r="J865" s="28">
        <v>115</v>
      </c>
      <c r="K865" s="20">
        <v>1</v>
      </c>
      <c r="L865" s="26" t="s">
        <v>13</v>
      </c>
      <c r="M865" s="26"/>
      <c r="N865" s="26"/>
      <c r="O865" s="20">
        <v>21</v>
      </c>
      <c r="P865" s="26" t="s">
        <v>1218</v>
      </c>
      <c r="Q865" s="55" t="s">
        <v>2159</v>
      </c>
      <c r="R865" s="20" t="str">
        <f>F865</f>
        <v>TAPER CON COMPARTIMIENTO-TRANSPARENTE</v>
      </c>
      <c r="S865" s="19">
        <v>1</v>
      </c>
      <c r="T865" s="19">
        <v>115</v>
      </c>
      <c r="U865" s="19">
        <v>100</v>
      </c>
      <c r="V865" s="19"/>
      <c r="W865" s="19"/>
      <c r="X865" s="19"/>
      <c r="Y865" s="19"/>
    </row>
    <row r="866" spans="1:25" ht="12" hidden="1" customHeight="1" thickBot="1" x14ac:dyDescent="0.35">
      <c r="A866" s="20">
        <v>1</v>
      </c>
      <c r="B866" s="26" t="s">
        <v>1556</v>
      </c>
      <c r="C866" s="26" t="s">
        <v>1563</v>
      </c>
      <c r="D866" s="26" t="s">
        <v>2176</v>
      </c>
      <c r="E866" s="20">
        <v>492</v>
      </c>
      <c r="F866" s="26" t="s">
        <v>2201</v>
      </c>
      <c r="G866" s="20" t="s">
        <v>1603</v>
      </c>
      <c r="H866" s="26" t="s">
        <v>1604</v>
      </c>
      <c r="I866" s="20">
        <v>1</v>
      </c>
      <c r="J866" s="28">
        <v>85</v>
      </c>
      <c r="K866" s="20">
        <v>2</v>
      </c>
      <c r="L866" s="26" t="s">
        <v>12</v>
      </c>
      <c r="M866" s="27"/>
      <c r="N866" s="27"/>
      <c r="O866" s="20">
        <v>10</v>
      </c>
      <c r="P866" s="26" t="s">
        <v>26</v>
      </c>
      <c r="Q866" s="26" t="s">
        <v>2207</v>
      </c>
      <c r="R866" s="20" t="str">
        <f t="shared" ref="R866:R871" si="69">F866</f>
        <v>FLORERO ROMANO CARAMELO-AMARILLO</v>
      </c>
      <c r="S866" s="19">
        <v>1</v>
      </c>
      <c r="T866" s="19">
        <v>85</v>
      </c>
      <c r="U866" s="19">
        <v>130</v>
      </c>
      <c r="V866" s="19"/>
      <c r="W866" s="19"/>
      <c r="X866" s="19"/>
      <c r="Y866" s="19"/>
    </row>
    <row r="867" spans="1:25" ht="12" hidden="1" customHeight="1" thickBot="1" x14ac:dyDescent="0.35">
      <c r="A867" s="20">
        <v>1</v>
      </c>
      <c r="B867" s="26" t="s">
        <v>1556</v>
      </c>
      <c r="C867" s="26" t="s">
        <v>1563</v>
      </c>
      <c r="D867" s="26" t="s">
        <v>2176</v>
      </c>
      <c r="E867" s="20">
        <v>493</v>
      </c>
      <c r="F867" s="26" t="s">
        <v>2202</v>
      </c>
      <c r="G867" s="20" t="s">
        <v>1603</v>
      </c>
      <c r="H867" s="26" t="s">
        <v>1604</v>
      </c>
      <c r="I867" s="20">
        <v>1</v>
      </c>
      <c r="J867" s="28">
        <v>85</v>
      </c>
      <c r="K867" s="20">
        <v>2</v>
      </c>
      <c r="L867" s="26" t="s">
        <v>12</v>
      </c>
      <c r="M867" s="27"/>
      <c r="N867" s="27"/>
      <c r="O867" s="20">
        <v>11</v>
      </c>
      <c r="P867" s="26" t="s">
        <v>1207</v>
      </c>
      <c r="Q867" s="26" t="s">
        <v>2208</v>
      </c>
      <c r="R867" s="20" t="str">
        <f t="shared" si="69"/>
        <v>FLORERO ROMANO CARAMELO-ANARANJADO</v>
      </c>
      <c r="S867" s="19">
        <v>1</v>
      </c>
      <c r="T867" s="19">
        <v>85</v>
      </c>
      <c r="U867" s="19">
        <v>130</v>
      </c>
      <c r="V867" s="19"/>
      <c r="W867" s="19"/>
      <c r="X867" s="19"/>
      <c r="Y867" s="19"/>
    </row>
    <row r="868" spans="1:25" ht="12" hidden="1" customHeight="1" thickBot="1" x14ac:dyDescent="0.35">
      <c r="A868" s="20">
        <v>1</v>
      </c>
      <c r="B868" s="26" t="s">
        <v>1556</v>
      </c>
      <c r="C868" s="26" t="s">
        <v>1563</v>
      </c>
      <c r="D868" s="26" t="s">
        <v>2176</v>
      </c>
      <c r="E868" s="20">
        <v>494</v>
      </c>
      <c r="F868" s="26" t="s">
        <v>2203</v>
      </c>
      <c r="G868" s="20" t="s">
        <v>1603</v>
      </c>
      <c r="H868" s="26" t="s">
        <v>1604</v>
      </c>
      <c r="I868" s="20">
        <v>1</v>
      </c>
      <c r="J868" s="28">
        <v>85</v>
      </c>
      <c r="K868" s="20">
        <v>2</v>
      </c>
      <c r="L868" s="26" t="s">
        <v>12</v>
      </c>
      <c r="M868" s="27"/>
      <c r="N868" s="27"/>
      <c r="O868" s="20">
        <v>12</v>
      </c>
      <c r="P868" s="26" t="s">
        <v>24</v>
      </c>
      <c r="Q868" s="26" t="s">
        <v>2209</v>
      </c>
      <c r="R868" s="20" t="str">
        <f t="shared" si="69"/>
        <v>FLORERO ROMANO CARAMELO-AZUL</v>
      </c>
      <c r="S868" s="19">
        <v>1</v>
      </c>
      <c r="T868" s="19">
        <v>85</v>
      </c>
      <c r="U868" s="19">
        <v>130</v>
      </c>
      <c r="V868" s="19"/>
      <c r="W868" s="19"/>
      <c r="X868" s="19"/>
      <c r="Y868" s="19"/>
    </row>
    <row r="869" spans="1:25" ht="12" hidden="1" customHeight="1" thickBot="1" x14ac:dyDescent="0.35">
      <c r="A869" s="20">
        <v>1</v>
      </c>
      <c r="B869" s="26" t="s">
        <v>1556</v>
      </c>
      <c r="C869" s="26" t="s">
        <v>1563</v>
      </c>
      <c r="D869" s="26" t="s">
        <v>2176</v>
      </c>
      <c r="E869" s="20">
        <v>495</v>
      </c>
      <c r="F869" s="26" t="s">
        <v>2204</v>
      </c>
      <c r="G869" s="20" t="s">
        <v>1603</v>
      </c>
      <c r="H869" s="26" t="s">
        <v>1604</v>
      </c>
      <c r="I869" s="20">
        <v>1</v>
      </c>
      <c r="J869" s="28">
        <v>85</v>
      </c>
      <c r="K869" s="20">
        <v>2</v>
      </c>
      <c r="L869" s="26" t="s">
        <v>12</v>
      </c>
      <c r="M869" s="27"/>
      <c r="N869" s="27"/>
      <c r="O869" s="20">
        <v>15</v>
      </c>
      <c r="P869" s="26" t="s">
        <v>1211</v>
      </c>
      <c r="Q869" s="26" t="s">
        <v>2210</v>
      </c>
      <c r="R869" s="20" t="str">
        <f t="shared" si="69"/>
        <v>FLORERO ROMANO CARAMELO-FUCSIA</v>
      </c>
      <c r="S869" s="19">
        <v>1</v>
      </c>
      <c r="T869" s="19">
        <v>85</v>
      </c>
      <c r="U869" s="19">
        <v>130</v>
      </c>
      <c r="V869" s="19"/>
      <c r="W869" s="19"/>
      <c r="X869" s="19"/>
      <c r="Y869" s="19"/>
    </row>
    <row r="870" spans="1:25" ht="12" hidden="1" customHeight="1" thickBot="1" x14ac:dyDescent="0.35">
      <c r="A870" s="20">
        <v>1</v>
      </c>
      <c r="B870" s="26" t="s">
        <v>1556</v>
      </c>
      <c r="C870" s="26" t="s">
        <v>1563</v>
      </c>
      <c r="D870" s="26" t="s">
        <v>2176</v>
      </c>
      <c r="E870" s="20">
        <v>496</v>
      </c>
      <c r="F870" s="26" t="s">
        <v>2205</v>
      </c>
      <c r="G870" s="20" t="s">
        <v>1603</v>
      </c>
      <c r="H870" s="26" t="s">
        <v>1604</v>
      </c>
      <c r="I870" s="20">
        <v>1</v>
      </c>
      <c r="J870" s="28">
        <v>85</v>
      </c>
      <c r="K870" s="20">
        <v>2</v>
      </c>
      <c r="L870" s="26" t="s">
        <v>12</v>
      </c>
      <c r="M870" s="27"/>
      <c r="N870" s="27"/>
      <c r="O870" s="20">
        <v>16</v>
      </c>
      <c r="P870" s="26" t="s">
        <v>1212</v>
      </c>
      <c r="Q870" s="26" t="s">
        <v>2211</v>
      </c>
      <c r="R870" s="20" t="str">
        <f t="shared" si="69"/>
        <v>FLORERO ROMANO CARAMELO-LILA</v>
      </c>
      <c r="S870" s="19">
        <v>1</v>
      </c>
      <c r="T870" s="19">
        <v>85</v>
      </c>
      <c r="U870" s="19">
        <v>130</v>
      </c>
      <c r="V870" s="19"/>
      <c r="W870" s="19"/>
      <c r="X870" s="19"/>
      <c r="Y870" s="19"/>
    </row>
    <row r="871" spans="1:25" ht="12" hidden="1" customHeight="1" thickBot="1" x14ac:dyDescent="0.35">
      <c r="A871" s="20">
        <v>1</v>
      </c>
      <c r="B871" s="26" t="s">
        <v>1556</v>
      </c>
      <c r="C871" s="26" t="s">
        <v>1563</v>
      </c>
      <c r="D871" s="26" t="s">
        <v>2176</v>
      </c>
      <c r="E871" s="20">
        <v>497</v>
      </c>
      <c r="F871" s="26" t="s">
        <v>2206</v>
      </c>
      <c r="G871" s="20" t="s">
        <v>1603</v>
      </c>
      <c r="H871" s="26" t="s">
        <v>1604</v>
      </c>
      <c r="I871" s="20">
        <v>1</v>
      </c>
      <c r="J871" s="28">
        <v>85</v>
      </c>
      <c r="K871" s="20">
        <v>2</v>
      </c>
      <c r="L871" s="26" t="s">
        <v>12</v>
      </c>
      <c r="M871" s="27"/>
      <c r="N871" s="27"/>
      <c r="O871" s="20">
        <v>23</v>
      </c>
      <c r="P871" s="26" t="s">
        <v>1221</v>
      </c>
      <c r="Q871" s="26" t="s">
        <v>2212</v>
      </c>
      <c r="R871" s="20" t="str">
        <f t="shared" si="69"/>
        <v>FLORERO ROMANO CARAMELO-VERDE</v>
      </c>
      <c r="S871" s="19">
        <v>1</v>
      </c>
      <c r="T871" s="19">
        <v>85</v>
      </c>
      <c r="U871" s="19">
        <v>130</v>
      </c>
      <c r="V871" s="19"/>
      <c r="W871" s="19"/>
      <c r="X871" s="19"/>
      <c r="Y871" s="19"/>
    </row>
    <row r="872" spans="1:25" s="33" customFormat="1" ht="12" hidden="1" customHeight="1" thickBot="1" x14ac:dyDescent="0.35">
      <c r="A872" s="20">
        <v>1</v>
      </c>
      <c r="B872" s="20" t="s">
        <v>1556</v>
      </c>
      <c r="C872" s="20" t="s">
        <v>1616</v>
      </c>
      <c r="D872" s="5" t="s">
        <v>1037</v>
      </c>
      <c r="E872" s="20">
        <v>498</v>
      </c>
      <c r="F872" s="47" t="s">
        <v>1252</v>
      </c>
      <c r="G872" s="20" t="s">
        <v>1603</v>
      </c>
      <c r="H872" s="20" t="s">
        <v>1604</v>
      </c>
      <c r="I872" s="20">
        <v>2</v>
      </c>
      <c r="J872" s="28">
        <v>85</v>
      </c>
      <c r="K872" s="20">
        <v>2</v>
      </c>
      <c r="L872" s="26" t="s">
        <v>12</v>
      </c>
      <c r="M872" s="27"/>
      <c r="N872" s="27"/>
      <c r="O872" s="20">
        <v>24</v>
      </c>
      <c r="P872" s="26" t="s">
        <v>27</v>
      </c>
      <c r="Q872" s="26" t="s">
        <v>2216</v>
      </c>
      <c r="R872" s="20" t="str">
        <f>F872</f>
        <v>TAPER 1100ML CARAMELO-ROJO</v>
      </c>
      <c r="S872" s="20">
        <v>2</v>
      </c>
      <c r="T872" s="20">
        <v>68</v>
      </c>
      <c r="U872" s="20">
        <v>140</v>
      </c>
    </row>
    <row r="873" spans="1:25" ht="12" hidden="1" customHeight="1" thickBot="1" x14ac:dyDescent="0.35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19"/>
      <c r="R873" s="19"/>
      <c r="S873" s="19"/>
      <c r="T873" s="19"/>
      <c r="U873" s="19"/>
      <c r="V873" s="19"/>
      <c r="W873" s="19"/>
      <c r="X873" s="19"/>
      <c r="Y873" s="19"/>
    </row>
    <row r="874" spans="1:25" ht="12" hidden="1" customHeight="1" thickBot="1" x14ac:dyDescent="0.35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19"/>
      <c r="R874" s="19"/>
      <c r="S874" s="19"/>
      <c r="T874" s="19"/>
      <c r="U874" s="19"/>
      <c r="V874" s="19"/>
      <c r="W874" s="19"/>
      <c r="X874" s="19"/>
      <c r="Y874" s="19"/>
    </row>
    <row r="875" spans="1:25" ht="12" hidden="1" customHeight="1" thickBot="1" x14ac:dyDescent="0.35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19"/>
      <c r="R875" s="19"/>
      <c r="S875" s="19"/>
      <c r="T875" s="19"/>
      <c r="U875" s="19"/>
      <c r="V875" s="19"/>
      <c r="W875" s="19"/>
      <c r="X875" s="19"/>
      <c r="Y875" s="19"/>
    </row>
    <row r="876" spans="1:25" ht="12" hidden="1" customHeight="1" thickBot="1" x14ac:dyDescent="0.35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19"/>
      <c r="R876" s="19"/>
      <c r="S876" s="19"/>
      <c r="T876" s="19"/>
      <c r="U876" s="19"/>
      <c r="V876" s="19"/>
      <c r="W876" s="19"/>
      <c r="X876" s="19"/>
      <c r="Y876" s="19"/>
    </row>
    <row r="877" spans="1:25" ht="12" hidden="1" customHeight="1" thickBot="1" x14ac:dyDescent="0.35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19"/>
      <c r="R877" s="19"/>
      <c r="S877" s="19"/>
      <c r="T877" s="19"/>
      <c r="U877" s="19"/>
      <c r="V877" s="19"/>
      <c r="W877" s="19"/>
      <c r="X877" s="19"/>
      <c r="Y877" s="19"/>
    </row>
    <row r="878" spans="1:25" ht="12" hidden="1" customHeight="1" thickBot="1" x14ac:dyDescent="0.35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19"/>
      <c r="R878" s="19"/>
      <c r="S878" s="19"/>
      <c r="T878" s="19"/>
      <c r="U878" s="19"/>
      <c r="V878" s="19"/>
      <c r="W878" s="19"/>
      <c r="X878" s="19"/>
      <c r="Y878" s="19"/>
    </row>
    <row r="879" spans="1:25" ht="12" hidden="1" customHeight="1" thickBot="1" x14ac:dyDescent="0.35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19"/>
      <c r="R879" s="19"/>
      <c r="S879" s="19"/>
      <c r="T879" s="19"/>
      <c r="U879" s="19"/>
      <c r="V879" s="19"/>
      <c r="W879" s="19"/>
      <c r="X879" s="19"/>
      <c r="Y879" s="19"/>
    </row>
    <row r="880" spans="1:25" ht="12" hidden="1" customHeight="1" thickBot="1" x14ac:dyDescent="0.35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19"/>
      <c r="R880" s="19"/>
      <c r="S880" s="19"/>
      <c r="T880" s="19"/>
      <c r="U880" s="19"/>
      <c r="V880" s="19"/>
      <c r="W880" s="19"/>
      <c r="X880" s="19"/>
      <c r="Y880" s="19"/>
    </row>
    <row r="881" spans="1:25" ht="12" hidden="1" customHeight="1" thickBot="1" x14ac:dyDescent="0.35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19"/>
      <c r="R881" s="19"/>
      <c r="S881" s="19"/>
      <c r="T881" s="19"/>
      <c r="U881" s="19"/>
      <c r="V881" s="19"/>
      <c r="W881" s="19"/>
      <c r="X881" s="19"/>
      <c r="Y881" s="19"/>
    </row>
    <row r="882" spans="1:25" ht="12" hidden="1" customHeight="1" thickBot="1" x14ac:dyDescent="0.35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19"/>
      <c r="R882" s="19"/>
      <c r="S882" s="19"/>
      <c r="T882" s="19"/>
      <c r="U882" s="19"/>
      <c r="V882" s="19"/>
      <c r="W882" s="19"/>
      <c r="X882" s="19"/>
      <c r="Y882" s="19"/>
    </row>
    <row r="883" spans="1:25" ht="12" hidden="1" customHeight="1" thickBot="1" x14ac:dyDescent="0.35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19"/>
      <c r="R883" s="19"/>
      <c r="S883" s="19"/>
      <c r="T883" s="19"/>
      <c r="U883" s="19"/>
      <c r="V883" s="19"/>
      <c r="W883" s="19"/>
      <c r="X883" s="19"/>
      <c r="Y883" s="19"/>
    </row>
    <row r="884" spans="1:25" ht="12" hidden="1" customHeight="1" thickBot="1" x14ac:dyDescent="0.35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19"/>
      <c r="R884" s="19"/>
      <c r="S884" s="19"/>
      <c r="T884" s="19"/>
      <c r="U884" s="19"/>
      <c r="V884" s="19"/>
      <c r="W884" s="19"/>
      <c r="X884" s="19"/>
      <c r="Y884" s="19"/>
    </row>
    <row r="885" spans="1:25" ht="12" hidden="1" customHeight="1" thickBot="1" x14ac:dyDescent="0.35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19"/>
      <c r="R885" s="19"/>
      <c r="S885" s="19"/>
      <c r="T885" s="19"/>
      <c r="U885" s="19"/>
      <c r="V885" s="19"/>
      <c r="W885" s="19"/>
      <c r="X885" s="19"/>
      <c r="Y885" s="19"/>
    </row>
    <row r="886" spans="1:25" ht="12" hidden="1" customHeight="1" thickBot="1" x14ac:dyDescent="0.35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19"/>
      <c r="R886" s="19"/>
      <c r="S886" s="19"/>
      <c r="T886" s="19"/>
      <c r="U886" s="19"/>
      <c r="V886" s="19"/>
      <c r="W886" s="19"/>
      <c r="X886" s="19"/>
      <c r="Y886" s="19"/>
    </row>
    <row r="887" spans="1:25" ht="12" hidden="1" customHeight="1" thickBot="1" x14ac:dyDescent="0.35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19"/>
      <c r="R887" s="19"/>
      <c r="S887" s="19"/>
      <c r="T887" s="19"/>
      <c r="U887" s="19"/>
      <c r="V887" s="19"/>
      <c r="W887" s="19"/>
      <c r="X887" s="19"/>
      <c r="Y887" s="19"/>
    </row>
    <row r="888" spans="1:25" ht="12" hidden="1" customHeight="1" thickBot="1" x14ac:dyDescent="0.35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19"/>
      <c r="R888" s="19"/>
      <c r="S888" s="19"/>
      <c r="T888" s="19"/>
      <c r="U888" s="19"/>
      <c r="V888" s="19"/>
      <c r="W888" s="19"/>
      <c r="X888" s="19"/>
      <c r="Y888" s="19"/>
    </row>
    <row r="889" spans="1:25" ht="12" hidden="1" customHeight="1" thickBot="1" x14ac:dyDescent="0.35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19"/>
      <c r="R889" s="19"/>
      <c r="S889" s="19"/>
      <c r="T889" s="19"/>
      <c r="U889" s="19"/>
      <c r="V889" s="19"/>
      <c r="W889" s="19"/>
      <c r="X889" s="19"/>
      <c r="Y889" s="19"/>
    </row>
    <row r="890" spans="1:25" ht="12" hidden="1" customHeight="1" thickBot="1" x14ac:dyDescent="0.35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19"/>
      <c r="R890" s="19"/>
      <c r="S890" s="19"/>
      <c r="T890" s="19"/>
      <c r="U890" s="19"/>
      <c r="V890" s="19"/>
      <c r="W890" s="19"/>
      <c r="X890" s="19"/>
      <c r="Y890" s="19"/>
    </row>
    <row r="891" spans="1:25" ht="12" hidden="1" customHeight="1" thickBot="1" x14ac:dyDescent="0.35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19"/>
      <c r="R891" s="19"/>
      <c r="S891" s="19"/>
      <c r="T891" s="19"/>
      <c r="U891" s="19"/>
      <c r="V891" s="19"/>
      <c r="W891" s="19"/>
      <c r="X891" s="19"/>
      <c r="Y891" s="19"/>
    </row>
    <row r="892" spans="1:25" ht="12" hidden="1" customHeight="1" thickBot="1" x14ac:dyDescent="0.35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19"/>
      <c r="R892" s="19"/>
      <c r="S892" s="19"/>
      <c r="T892" s="19"/>
      <c r="U892" s="19"/>
      <c r="V892" s="19"/>
      <c r="W892" s="19"/>
      <c r="X892" s="19"/>
      <c r="Y892" s="19"/>
    </row>
    <row r="893" spans="1:25" ht="12" hidden="1" customHeight="1" thickBot="1" x14ac:dyDescent="0.35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19"/>
      <c r="R893" s="19"/>
      <c r="S893" s="19"/>
      <c r="T893" s="19"/>
      <c r="U893" s="19"/>
      <c r="V893" s="19"/>
      <c r="W893" s="19"/>
      <c r="X893" s="19"/>
      <c r="Y893" s="19"/>
    </row>
    <row r="894" spans="1:25" ht="12" hidden="1" customHeight="1" thickBot="1" x14ac:dyDescent="0.35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19"/>
      <c r="R894" s="19"/>
      <c r="S894" s="19"/>
      <c r="T894" s="19"/>
      <c r="U894" s="19"/>
      <c r="V894" s="19"/>
      <c r="W894" s="19"/>
      <c r="X894" s="19"/>
      <c r="Y894" s="19"/>
    </row>
    <row r="895" spans="1:25" ht="12" hidden="1" customHeight="1" thickBot="1" x14ac:dyDescent="0.35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19"/>
      <c r="R895" s="19"/>
      <c r="S895" s="19"/>
      <c r="T895" s="19"/>
      <c r="U895" s="19"/>
      <c r="V895" s="19"/>
      <c r="W895" s="19"/>
      <c r="X895" s="19"/>
      <c r="Y895" s="19"/>
    </row>
    <row r="896" spans="1:25" ht="12" hidden="1" customHeight="1" thickBot="1" x14ac:dyDescent="0.35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19"/>
      <c r="R896" s="19"/>
      <c r="S896" s="19"/>
      <c r="T896" s="19"/>
      <c r="U896" s="19"/>
      <c r="V896" s="19"/>
      <c r="W896" s="19"/>
      <c r="X896" s="19"/>
      <c r="Y896" s="19"/>
    </row>
    <row r="897" spans="1:25" ht="12" hidden="1" customHeight="1" thickBot="1" x14ac:dyDescent="0.35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19"/>
      <c r="R897" s="19"/>
      <c r="S897" s="19"/>
      <c r="T897" s="19"/>
      <c r="U897" s="19"/>
      <c r="V897" s="19"/>
      <c r="W897" s="19"/>
      <c r="X897" s="19"/>
      <c r="Y897" s="19"/>
    </row>
    <row r="898" spans="1:25" ht="12" hidden="1" customHeight="1" thickBot="1" x14ac:dyDescent="0.35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19"/>
      <c r="R898" s="19"/>
      <c r="S898" s="19"/>
      <c r="T898" s="19"/>
      <c r="U898" s="19"/>
      <c r="V898" s="19"/>
      <c r="W898" s="19"/>
      <c r="X898" s="19"/>
      <c r="Y898" s="19"/>
    </row>
    <row r="899" spans="1:25" ht="12" hidden="1" customHeight="1" thickBot="1" x14ac:dyDescent="0.35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19"/>
      <c r="R899" s="19"/>
      <c r="S899" s="19"/>
      <c r="T899" s="19"/>
      <c r="U899" s="19"/>
      <c r="V899" s="19"/>
      <c r="W899" s="19"/>
      <c r="X899" s="19"/>
      <c r="Y899" s="19"/>
    </row>
    <row r="900" spans="1:25" ht="12" hidden="1" customHeight="1" thickBot="1" x14ac:dyDescent="0.35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19"/>
      <c r="R900" s="19"/>
      <c r="S900" s="19"/>
      <c r="T900" s="19"/>
      <c r="U900" s="19"/>
      <c r="V900" s="19"/>
      <c r="W900" s="19"/>
      <c r="X900" s="19"/>
      <c r="Y900" s="19"/>
    </row>
    <row r="901" spans="1:25" ht="12" hidden="1" customHeight="1" thickBot="1" x14ac:dyDescent="0.35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19"/>
      <c r="R901" s="19"/>
      <c r="S901" s="19"/>
      <c r="T901" s="19"/>
      <c r="U901" s="19"/>
      <c r="V901" s="19"/>
      <c r="W901" s="19"/>
      <c r="X901" s="19"/>
      <c r="Y901" s="19"/>
    </row>
    <row r="902" spans="1:25" ht="12" hidden="1" customHeight="1" thickBot="1" x14ac:dyDescent="0.35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19"/>
      <c r="R902" s="19"/>
      <c r="S902" s="19"/>
      <c r="T902" s="19"/>
      <c r="U902" s="19"/>
      <c r="V902" s="19"/>
      <c r="W902" s="19"/>
      <c r="X902" s="19"/>
      <c r="Y902" s="19"/>
    </row>
    <row r="903" spans="1:25" ht="12" hidden="1" customHeight="1" thickBot="1" x14ac:dyDescent="0.35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19"/>
      <c r="R903" s="19"/>
      <c r="S903" s="19"/>
      <c r="T903" s="19"/>
      <c r="U903" s="19"/>
      <c r="V903" s="19"/>
      <c r="W903" s="19"/>
      <c r="X903" s="19"/>
      <c r="Y903" s="19"/>
    </row>
    <row r="904" spans="1:25" ht="12" hidden="1" customHeight="1" thickBot="1" x14ac:dyDescent="0.35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19"/>
      <c r="R904" s="19"/>
      <c r="S904" s="19"/>
      <c r="T904" s="19"/>
      <c r="U904" s="19"/>
      <c r="V904" s="19"/>
      <c r="W904" s="19"/>
      <c r="X904" s="19"/>
      <c r="Y904" s="19"/>
    </row>
    <row r="905" spans="1:25" ht="12" hidden="1" customHeight="1" thickBot="1" x14ac:dyDescent="0.35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19"/>
      <c r="R905" s="19"/>
      <c r="S905" s="19"/>
      <c r="T905" s="19"/>
      <c r="U905" s="19"/>
      <c r="V905" s="19"/>
      <c r="W905" s="19"/>
      <c r="X905" s="19"/>
      <c r="Y905" s="19"/>
    </row>
    <row r="906" spans="1:25" ht="12" hidden="1" customHeight="1" thickBot="1" x14ac:dyDescent="0.35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19"/>
      <c r="R906" s="19"/>
      <c r="S906" s="19"/>
      <c r="T906" s="19"/>
      <c r="U906" s="19"/>
      <c r="V906" s="19"/>
      <c r="W906" s="19"/>
      <c r="X906" s="19"/>
      <c r="Y906" s="19"/>
    </row>
    <row r="907" spans="1:25" ht="12" hidden="1" customHeight="1" thickBot="1" x14ac:dyDescent="0.35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19"/>
      <c r="R907" s="19"/>
      <c r="S907" s="19"/>
      <c r="T907" s="19"/>
      <c r="U907" s="19"/>
      <c r="V907" s="19"/>
      <c r="W907" s="19"/>
      <c r="X907" s="19"/>
      <c r="Y907" s="19"/>
    </row>
    <row r="908" spans="1:25" ht="12" hidden="1" customHeight="1" thickBot="1" x14ac:dyDescent="0.35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19"/>
      <c r="R908" s="19"/>
      <c r="S908" s="19"/>
      <c r="T908" s="19"/>
      <c r="U908" s="19"/>
      <c r="V908" s="19"/>
      <c r="W908" s="19"/>
      <c r="X908" s="19"/>
      <c r="Y908" s="19"/>
    </row>
    <row r="909" spans="1:25" ht="12" hidden="1" customHeight="1" thickBot="1" x14ac:dyDescent="0.35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19"/>
      <c r="R909" s="19"/>
      <c r="S909" s="19"/>
      <c r="T909" s="19"/>
      <c r="U909" s="19"/>
      <c r="V909" s="19"/>
      <c r="W909" s="19"/>
      <c r="X909" s="19"/>
      <c r="Y909" s="19"/>
    </row>
    <row r="910" spans="1:25" ht="12" hidden="1" customHeight="1" thickBot="1" x14ac:dyDescent="0.35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19"/>
      <c r="R910" s="19"/>
      <c r="S910" s="19"/>
      <c r="T910" s="19"/>
      <c r="U910" s="19"/>
      <c r="V910" s="19"/>
      <c r="W910" s="19"/>
      <c r="X910" s="19"/>
      <c r="Y910" s="19"/>
    </row>
    <row r="911" spans="1:25" ht="12" hidden="1" customHeight="1" thickBot="1" x14ac:dyDescent="0.35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19"/>
      <c r="R911" s="19"/>
      <c r="S911" s="19"/>
      <c r="T911" s="19"/>
      <c r="U911" s="19"/>
      <c r="V911" s="19"/>
      <c r="W911" s="19"/>
      <c r="X911" s="19"/>
      <c r="Y911" s="19"/>
    </row>
    <row r="912" spans="1:25" ht="12" hidden="1" customHeight="1" thickBot="1" x14ac:dyDescent="0.35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19"/>
      <c r="R912" s="19"/>
      <c r="S912" s="19"/>
      <c r="T912" s="19"/>
      <c r="U912" s="19"/>
      <c r="V912" s="19"/>
      <c r="W912" s="19"/>
      <c r="X912" s="19"/>
      <c r="Y912" s="19"/>
    </row>
    <row r="913" spans="1:25" ht="12" hidden="1" customHeight="1" thickBot="1" x14ac:dyDescent="0.35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19"/>
      <c r="R913" s="19"/>
      <c r="S913" s="19"/>
      <c r="T913" s="19"/>
      <c r="U913" s="19"/>
      <c r="V913" s="19"/>
      <c r="W913" s="19"/>
      <c r="X913" s="19"/>
      <c r="Y913" s="19"/>
    </row>
    <row r="914" spans="1:25" ht="12" hidden="1" customHeight="1" thickBot="1" x14ac:dyDescent="0.35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19"/>
      <c r="R914" s="19"/>
      <c r="S914" s="19"/>
      <c r="T914" s="19"/>
      <c r="U914" s="19"/>
      <c r="V914" s="19"/>
      <c r="W914" s="19"/>
      <c r="X914" s="19"/>
      <c r="Y914" s="19"/>
    </row>
    <row r="915" spans="1:25" ht="12" hidden="1" customHeight="1" thickBot="1" x14ac:dyDescent="0.35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19"/>
      <c r="R915" s="19"/>
      <c r="S915" s="19"/>
      <c r="T915" s="19"/>
      <c r="U915" s="19"/>
      <c r="V915" s="19"/>
      <c r="W915" s="19"/>
      <c r="X915" s="19"/>
      <c r="Y915" s="19"/>
    </row>
    <row r="916" spans="1:25" ht="12" hidden="1" customHeight="1" thickBot="1" x14ac:dyDescent="0.35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19"/>
      <c r="R916" s="19"/>
      <c r="S916" s="19"/>
      <c r="T916" s="19"/>
      <c r="U916" s="19"/>
      <c r="V916" s="19"/>
      <c r="W916" s="19"/>
      <c r="X916" s="19"/>
      <c r="Y916" s="19"/>
    </row>
    <row r="917" spans="1:25" ht="12" hidden="1" customHeight="1" thickBot="1" x14ac:dyDescent="0.35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19"/>
      <c r="R917" s="19"/>
      <c r="S917" s="19"/>
      <c r="T917" s="19"/>
      <c r="U917" s="19"/>
      <c r="V917" s="19"/>
      <c r="W917" s="19"/>
      <c r="X917" s="19"/>
      <c r="Y917" s="19"/>
    </row>
    <row r="918" spans="1:25" ht="12" hidden="1" customHeight="1" thickBot="1" x14ac:dyDescent="0.35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19"/>
      <c r="R918" s="19"/>
      <c r="S918" s="19"/>
      <c r="T918" s="19"/>
      <c r="U918" s="19"/>
      <c r="V918" s="19"/>
      <c r="W918" s="19"/>
      <c r="X918" s="19"/>
      <c r="Y918" s="19"/>
    </row>
    <row r="919" spans="1:25" ht="12" hidden="1" customHeight="1" thickBot="1" x14ac:dyDescent="0.35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19"/>
      <c r="R919" s="19"/>
      <c r="S919" s="19"/>
      <c r="T919" s="19"/>
      <c r="U919" s="19"/>
      <c r="V919" s="19"/>
      <c r="W919" s="19"/>
      <c r="X919" s="19"/>
      <c r="Y919" s="19"/>
    </row>
    <row r="920" spans="1:25" ht="12" hidden="1" customHeight="1" thickBot="1" x14ac:dyDescent="0.35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19"/>
      <c r="R920" s="19"/>
      <c r="S920" s="19"/>
      <c r="T920" s="19"/>
      <c r="U920" s="19"/>
      <c r="V920" s="19"/>
      <c r="W920" s="19"/>
      <c r="X920" s="19"/>
      <c r="Y920" s="19"/>
    </row>
    <row r="921" spans="1:25" ht="12" hidden="1" customHeight="1" thickBot="1" x14ac:dyDescent="0.35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19"/>
      <c r="R921" s="19"/>
      <c r="S921" s="19"/>
      <c r="T921" s="19"/>
      <c r="U921" s="19"/>
      <c r="V921" s="19"/>
      <c r="W921" s="19"/>
      <c r="X921" s="19"/>
      <c r="Y921" s="19"/>
    </row>
    <row r="922" spans="1:25" ht="12" hidden="1" customHeight="1" thickBot="1" x14ac:dyDescent="0.35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19"/>
      <c r="R922" s="19"/>
      <c r="S922" s="19"/>
      <c r="T922" s="19"/>
      <c r="U922" s="19"/>
      <c r="V922" s="19"/>
      <c r="W922" s="19"/>
      <c r="X922" s="19"/>
      <c r="Y922" s="19"/>
    </row>
    <row r="923" spans="1:25" ht="12" hidden="1" customHeight="1" thickBot="1" x14ac:dyDescent="0.35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19"/>
      <c r="R923" s="19"/>
      <c r="S923" s="19"/>
      <c r="T923" s="19"/>
      <c r="U923" s="19"/>
      <c r="V923" s="19"/>
      <c r="W923" s="19"/>
      <c r="X923" s="19"/>
      <c r="Y923" s="19"/>
    </row>
    <row r="924" spans="1:25" ht="12" hidden="1" customHeight="1" thickBot="1" x14ac:dyDescent="0.35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19"/>
      <c r="R924" s="19"/>
      <c r="S924" s="19"/>
      <c r="T924" s="19"/>
      <c r="U924" s="19"/>
      <c r="V924" s="19"/>
      <c r="W924" s="19"/>
      <c r="X924" s="19"/>
      <c r="Y924" s="19"/>
    </row>
    <row r="925" spans="1:25" ht="12" hidden="1" customHeight="1" thickBot="1" x14ac:dyDescent="0.35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19"/>
      <c r="R925" s="19"/>
      <c r="S925" s="19"/>
      <c r="T925" s="19"/>
      <c r="U925" s="19"/>
      <c r="V925" s="19"/>
      <c r="W925" s="19"/>
      <c r="X925" s="19"/>
      <c r="Y925" s="19"/>
    </row>
    <row r="926" spans="1:25" ht="12" hidden="1" customHeight="1" thickBot="1" x14ac:dyDescent="0.35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19"/>
      <c r="R926" s="19"/>
      <c r="S926" s="19"/>
      <c r="T926" s="19"/>
      <c r="U926" s="19"/>
      <c r="V926" s="19"/>
      <c r="W926" s="19"/>
      <c r="X926" s="19"/>
      <c r="Y926" s="19"/>
    </row>
    <row r="927" spans="1:25" ht="12" hidden="1" customHeight="1" thickBot="1" x14ac:dyDescent="0.35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19"/>
      <c r="R927" s="19"/>
      <c r="S927" s="19"/>
      <c r="T927" s="19"/>
      <c r="U927" s="19"/>
      <c r="V927" s="19"/>
      <c r="W927" s="19"/>
      <c r="X927" s="19"/>
      <c r="Y927" s="19"/>
    </row>
    <row r="928" spans="1:25" ht="12" hidden="1" customHeight="1" thickBot="1" x14ac:dyDescent="0.35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19"/>
      <c r="R928" s="19"/>
      <c r="S928" s="19"/>
      <c r="T928" s="19"/>
      <c r="U928" s="19"/>
      <c r="V928" s="19"/>
      <c r="W928" s="19"/>
      <c r="X928" s="19"/>
      <c r="Y928" s="19"/>
    </row>
    <row r="929" spans="1:25" ht="12" hidden="1" customHeight="1" thickBot="1" x14ac:dyDescent="0.35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19"/>
      <c r="R929" s="19"/>
      <c r="S929" s="19"/>
      <c r="T929" s="19"/>
      <c r="U929" s="19"/>
      <c r="V929" s="19"/>
      <c r="W929" s="19"/>
      <c r="X929" s="19"/>
      <c r="Y929" s="19"/>
    </row>
    <row r="930" spans="1:25" ht="12" hidden="1" customHeight="1" thickBot="1" x14ac:dyDescent="0.35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19"/>
      <c r="R930" s="19"/>
      <c r="S930" s="19"/>
      <c r="T930" s="19"/>
      <c r="U930" s="19"/>
      <c r="V930" s="19"/>
      <c r="W930" s="19"/>
      <c r="X930" s="19"/>
      <c r="Y930" s="19"/>
    </row>
    <row r="931" spans="1:25" ht="12" hidden="1" customHeight="1" thickBot="1" x14ac:dyDescent="0.35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19"/>
      <c r="R931" s="19"/>
      <c r="S931" s="19"/>
      <c r="T931" s="19"/>
      <c r="U931" s="19"/>
      <c r="V931" s="19"/>
      <c r="W931" s="19"/>
      <c r="X931" s="19"/>
      <c r="Y931" s="19"/>
    </row>
    <row r="932" spans="1:25" ht="12" hidden="1" customHeight="1" thickBot="1" x14ac:dyDescent="0.35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19"/>
      <c r="R932" s="19"/>
      <c r="S932" s="19"/>
      <c r="T932" s="19"/>
      <c r="U932" s="19"/>
      <c r="V932" s="19"/>
      <c r="W932" s="19"/>
      <c r="X932" s="19"/>
      <c r="Y932" s="19"/>
    </row>
    <row r="933" spans="1:25" ht="12" hidden="1" customHeight="1" thickBot="1" x14ac:dyDescent="0.35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19"/>
      <c r="R933" s="19"/>
      <c r="S933" s="19"/>
      <c r="T933" s="19"/>
      <c r="U933" s="19"/>
      <c r="V933" s="19"/>
      <c r="W933" s="19"/>
      <c r="X933" s="19"/>
      <c r="Y933" s="19"/>
    </row>
    <row r="934" spans="1:25" ht="12" hidden="1" customHeight="1" thickBot="1" x14ac:dyDescent="0.35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19"/>
      <c r="R934" s="19"/>
      <c r="S934" s="19"/>
      <c r="T934" s="19"/>
      <c r="U934" s="19"/>
      <c r="V934" s="19"/>
      <c r="W934" s="19"/>
      <c r="X934" s="19"/>
      <c r="Y934" s="19"/>
    </row>
    <row r="935" spans="1:25" ht="12" hidden="1" customHeight="1" thickBot="1" x14ac:dyDescent="0.35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19"/>
      <c r="R935" s="19"/>
      <c r="S935" s="19"/>
      <c r="T935" s="19"/>
      <c r="U935" s="19"/>
      <c r="V935" s="19"/>
      <c r="W935" s="19"/>
      <c r="X935" s="19"/>
      <c r="Y935" s="19"/>
    </row>
    <row r="936" spans="1:25" ht="12" hidden="1" customHeight="1" thickBot="1" x14ac:dyDescent="0.35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19"/>
      <c r="R936" s="19"/>
      <c r="S936" s="19"/>
      <c r="T936" s="19"/>
      <c r="U936" s="19"/>
      <c r="V936" s="19"/>
      <c r="W936" s="19"/>
      <c r="X936" s="19"/>
      <c r="Y936" s="19"/>
    </row>
    <row r="937" spans="1:25" ht="12" hidden="1" customHeight="1" thickBot="1" x14ac:dyDescent="0.35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19"/>
      <c r="R937" s="19"/>
      <c r="S937" s="19"/>
      <c r="T937" s="19"/>
      <c r="U937" s="19"/>
      <c r="V937" s="19"/>
      <c r="W937" s="19"/>
      <c r="X937" s="19"/>
      <c r="Y937" s="19"/>
    </row>
    <row r="938" spans="1:25" ht="12" hidden="1" customHeight="1" thickBot="1" x14ac:dyDescent="0.35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19"/>
      <c r="R938" s="19"/>
      <c r="S938" s="19"/>
      <c r="T938" s="19"/>
      <c r="U938" s="19"/>
      <c r="V938" s="19"/>
      <c r="W938" s="19"/>
      <c r="X938" s="19"/>
      <c r="Y938" s="19"/>
    </row>
    <row r="939" spans="1:25" ht="12" hidden="1" customHeight="1" thickBot="1" x14ac:dyDescent="0.35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19"/>
      <c r="R939" s="19"/>
      <c r="S939" s="19"/>
      <c r="T939" s="19"/>
      <c r="U939" s="19"/>
      <c r="V939" s="19"/>
      <c r="W939" s="19"/>
      <c r="X939" s="19"/>
      <c r="Y939" s="19"/>
    </row>
    <row r="940" spans="1:25" ht="12" hidden="1" customHeight="1" thickBot="1" x14ac:dyDescent="0.35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19"/>
      <c r="R940" s="19"/>
      <c r="S940" s="19"/>
      <c r="T940" s="19"/>
      <c r="U940" s="19"/>
      <c r="V940" s="19"/>
      <c r="W940" s="19"/>
      <c r="X940" s="19"/>
      <c r="Y940" s="19"/>
    </row>
    <row r="941" spans="1:25" ht="12" hidden="1" customHeight="1" thickBot="1" x14ac:dyDescent="0.35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19"/>
      <c r="R941" s="19"/>
      <c r="S941" s="19"/>
      <c r="T941" s="19"/>
      <c r="U941" s="19"/>
      <c r="V941" s="19"/>
      <c r="W941" s="19"/>
      <c r="X941" s="19"/>
      <c r="Y941" s="19"/>
    </row>
    <row r="942" spans="1:25" ht="12" hidden="1" customHeight="1" thickBot="1" x14ac:dyDescent="0.35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19"/>
      <c r="R942" s="19"/>
      <c r="S942" s="19"/>
      <c r="T942" s="19"/>
      <c r="U942" s="19"/>
      <c r="V942" s="19"/>
      <c r="W942" s="19"/>
      <c r="X942" s="19"/>
      <c r="Y942" s="19"/>
    </row>
    <row r="943" spans="1:25" ht="12" hidden="1" customHeight="1" thickBot="1" x14ac:dyDescent="0.35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19"/>
      <c r="R943" s="19"/>
      <c r="S943" s="19"/>
      <c r="T943" s="19"/>
      <c r="U943" s="19"/>
      <c r="V943" s="19"/>
      <c r="W943" s="19"/>
      <c r="X943" s="19"/>
      <c r="Y943" s="19"/>
    </row>
    <row r="944" spans="1:25" ht="12" hidden="1" customHeight="1" thickBot="1" x14ac:dyDescent="0.35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19"/>
      <c r="R944" s="19"/>
      <c r="S944" s="19"/>
      <c r="T944" s="19"/>
      <c r="U944" s="19"/>
      <c r="V944" s="19"/>
      <c r="W944" s="19"/>
      <c r="X944" s="19"/>
      <c r="Y944" s="19"/>
    </row>
    <row r="945" spans="1:25" ht="12" hidden="1" customHeight="1" thickBot="1" x14ac:dyDescent="0.35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19"/>
      <c r="R945" s="19"/>
      <c r="S945" s="19"/>
      <c r="T945" s="19"/>
      <c r="U945" s="19"/>
      <c r="V945" s="19"/>
      <c r="W945" s="19"/>
      <c r="X945" s="19"/>
      <c r="Y945" s="19"/>
    </row>
    <row r="946" spans="1:25" ht="12" hidden="1" customHeight="1" thickBot="1" x14ac:dyDescent="0.35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19"/>
      <c r="R946" s="19"/>
      <c r="S946" s="19"/>
      <c r="T946" s="19"/>
      <c r="U946" s="19"/>
      <c r="V946" s="19"/>
      <c r="W946" s="19"/>
      <c r="X946" s="19"/>
      <c r="Y946" s="19"/>
    </row>
    <row r="947" spans="1:25" ht="12" hidden="1" customHeight="1" thickBot="1" x14ac:dyDescent="0.35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19"/>
      <c r="R947" s="19"/>
      <c r="S947" s="19"/>
      <c r="T947" s="19"/>
      <c r="U947" s="19"/>
      <c r="V947" s="19"/>
      <c r="W947" s="19"/>
      <c r="X947" s="19"/>
      <c r="Y947" s="19"/>
    </row>
    <row r="948" spans="1:25" ht="12" hidden="1" customHeight="1" thickBot="1" x14ac:dyDescent="0.35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19"/>
      <c r="R948" s="19"/>
      <c r="S948" s="19"/>
      <c r="T948" s="19"/>
      <c r="U948" s="19"/>
      <c r="V948" s="19"/>
      <c r="W948" s="19"/>
      <c r="X948" s="19"/>
      <c r="Y948" s="19"/>
    </row>
    <row r="949" spans="1:25" ht="12" hidden="1" customHeight="1" thickBot="1" x14ac:dyDescent="0.35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19"/>
      <c r="R949" s="19"/>
      <c r="S949" s="19"/>
      <c r="T949" s="19"/>
      <c r="U949" s="19"/>
      <c r="V949" s="19"/>
      <c r="W949" s="19"/>
      <c r="X949" s="19"/>
      <c r="Y949" s="19"/>
    </row>
    <row r="950" spans="1:25" ht="12" hidden="1" customHeight="1" thickBot="1" x14ac:dyDescent="0.35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19"/>
      <c r="R950" s="19"/>
      <c r="S950" s="19"/>
      <c r="T950" s="19"/>
      <c r="U950" s="19"/>
      <c r="V950" s="19"/>
      <c r="W950" s="19"/>
      <c r="X950" s="19"/>
      <c r="Y950" s="19"/>
    </row>
    <row r="951" spans="1:25" ht="12" hidden="1" customHeight="1" thickBot="1" x14ac:dyDescent="0.35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19"/>
      <c r="R951" s="19"/>
      <c r="S951" s="19"/>
      <c r="T951" s="19"/>
      <c r="U951" s="19"/>
      <c r="V951" s="19"/>
      <c r="W951" s="19"/>
      <c r="X951" s="19"/>
      <c r="Y951" s="19"/>
    </row>
    <row r="952" spans="1:25" ht="12" hidden="1" customHeight="1" thickBot="1" x14ac:dyDescent="0.35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19"/>
      <c r="R952" s="19"/>
      <c r="S952" s="19"/>
      <c r="T952" s="19"/>
      <c r="U952" s="19"/>
      <c r="V952" s="19"/>
      <c r="W952" s="19"/>
      <c r="X952" s="19"/>
      <c r="Y952" s="19"/>
    </row>
    <row r="953" spans="1:25" ht="12" hidden="1" customHeight="1" thickBot="1" x14ac:dyDescent="0.35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19"/>
      <c r="R953" s="19"/>
      <c r="S953" s="19"/>
      <c r="T953" s="19"/>
      <c r="U953" s="19"/>
      <c r="V953" s="19"/>
      <c r="W953" s="19"/>
      <c r="X953" s="19"/>
      <c r="Y953" s="19"/>
    </row>
    <row r="954" spans="1:25" ht="12" hidden="1" customHeight="1" thickBot="1" x14ac:dyDescent="0.35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19"/>
      <c r="R954" s="19"/>
      <c r="S954" s="19"/>
      <c r="T954" s="19"/>
      <c r="U954" s="19"/>
      <c r="V954" s="19"/>
      <c r="W954" s="19"/>
      <c r="X954" s="19"/>
      <c r="Y954" s="19"/>
    </row>
    <row r="955" spans="1:25" ht="12" hidden="1" customHeight="1" thickBot="1" x14ac:dyDescent="0.35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19"/>
      <c r="R955" s="19"/>
      <c r="S955" s="19"/>
      <c r="T955" s="19"/>
      <c r="U955" s="19"/>
      <c r="V955" s="19"/>
      <c r="W955" s="19"/>
      <c r="X955" s="19"/>
      <c r="Y955" s="19"/>
    </row>
    <row r="956" spans="1:25" ht="12" hidden="1" customHeight="1" thickBot="1" x14ac:dyDescent="0.35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19"/>
      <c r="R956" s="19"/>
      <c r="S956" s="19"/>
      <c r="T956" s="19"/>
      <c r="U956" s="19"/>
      <c r="V956" s="19"/>
      <c r="W956" s="19"/>
      <c r="X956" s="19"/>
      <c r="Y956" s="19"/>
    </row>
    <row r="957" spans="1:25" ht="12" hidden="1" customHeight="1" thickBot="1" x14ac:dyDescent="0.35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19"/>
      <c r="R957" s="19"/>
      <c r="S957" s="19"/>
      <c r="T957" s="19"/>
      <c r="U957" s="19"/>
      <c r="V957" s="19"/>
      <c r="W957" s="19"/>
      <c r="X957" s="19"/>
      <c r="Y957" s="19"/>
    </row>
    <row r="958" spans="1:25" ht="12" hidden="1" customHeight="1" thickBot="1" x14ac:dyDescent="0.35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19"/>
      <c r="R958" s="19"/>
      <c r="S958" s="19"/>
      <c r="T958" s="19"/>
      <c r="U958" s="19"/>
      <c r="V958" s="19"/>
      <c r="W958" s="19"/>
      <c r="X958" s="19"/>
      <c r="Y958" s="19"/>
    </row>
    <row r="959" spans="1:25" ht="12" hidden="1" customHeight="1" thickBot="1" x14ac:dyDescent="0.35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19"/>
      <c r="R959" s="19"/>
      <c r="S959" s="19"/>
      <c r="T959" s="19"/>
      <c r="U959" s="19"/>
      <c r="V959" s="19"/>
      <c r="W959" s="19"/>
      <c r="X959" s="19"/>
      <c r="Y959" s="19"/>
    </row>
    <row r="960" spans="1:25" ht="12" hidden="1" customHeight="1" thickBot="1" x14ac:dyDescent="0.35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19"/>
      <c r="R960" s="19"/>
      <c r="S960" s="19"/>
      <c r="T960" s="19"/>
      <c r="U960" s="19"/>
      <c r="V960" s="19"/>
      <c r="W960" s="19"/>
      <c r="X960" s="19"/>
      <c r="Y960" s="19"/>
    </row>
    <row r="961" spans="1:25" ht="12" hidden="1" customHeight="1" thickBot="1" x14ac:dyDescent="0.35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19"/>
      <c r="R961" s="19"/>
      <c r="S961" s="19"/>
      <c r="T961" s="19"/>
      <c r="U961" s="19"/>
      <c r="V961" s="19"/>
      <c r="W961" s="19"/>
      <c r="X961" s="19"/>
      <c r="Y961" s="19"/>
    </row>
    <row r="962" spans="1:25" ht="12" hidden="1" customHeight="1" thickBot="1" x14ac:dyDescent="0.35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19"/>
      <c r="R962" s="19"/>
      <c r="S962" s="19"/>
      <c r="T962" s="19"/>
      <c r="U962" s="19"/>
      <c r="V962" s="19"/>
      <c r="W962" s="19"/>
      <c r="X962" s="19"/>
      <c r="Y962" s="19"/>
    </row>
    <row r="963" spans="1:25" ht="12" hidden="1" customHeight="1" thickBot="1" x14ac:dyDescent="0.35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19"/>
      <c r="R963" s="19"/>
      <c r="S963" s="19"/>
      <c r="T963" s="19"/>
      <c r="U963" s="19"/>
      <c r="V963" s="19"/>
      <c r="W963" s="19"/>
      <c r="X963" s="19"/>
      <c r="Y963" s="19"/>
    </row>
    <row r="964" spans="1:25" ht="12" hidden="1" customHeight="1" thickBot="1" x14ac:dyDescent="0.35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19"/>
      <c r="R964" s="19"/>
      <c r="S964" s="19"/>
      <c r="T964" s="19"/>
      <c r="U964" s="19"/>
      <c r="V964" s="19"/>
      <c r="W964" s="19"/>
      <c r="X964" s="19"/>
      <c r="Y964" s="19"/>
    </row>
    <row r="965" spans="1:25" ht="12" hidden="1" customHeight="1" thickBot="1" x14ac:dyDescent="0.35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19"/>
      <c r="R965" s="19"/>
      <c r="S965" s="19"/>
      <c r="T965" s="19"/>
      <c r="U965" s="19"/>
      <c r="V965" s="19"/>
      <c r="W965" s="19"/>
      <c r="X965" s="19"/>
      <c r="Y965" s="19"/>
    </row>
    <row r="966" spans="1:25" ht="12" hidden="1" customHeight="1" thickBot="1" x14ac:dyDescent="0.35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19"/>
      <c r="R966" s="19"/>
      <c r="S966" s="19"/>
      <c r="T966" s="19"/>
      <c r="U966" s="19"/>
      <c r="V966" s="19"/>
      <c r="W966" s="19"/>
      <c r="X966" s="19"/>
      <c r="Y966" s="19"/>
    </row>
    <row r="967" spans="1:25" ht="12" hidden="1" customHeight="1" thickBot="1" x14ac:dyDescent="0.35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19"/>
      <c r="R967" s="19"/>
      <c r="S967" s="19"/>
      <c r="T967" s="19"/>
      <c r="U967" s="19"/>
      <c r="V967" s="19"/>
      <c r="W967" s="19"/>
      <c r="X967" s="19"/>
      <c r="Y967" s="19"/>
    </row>
    <row r="968" spans="1:25" ht="12" hidden="1" customHeight="1" thickBot="1" x14ac:dyDescent="0.35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19"/>
      <c r="R968" s="19"/>
      <c r="S968" s="19"/>
      <c r="T968" s="19"/>
      <c r="U968" s="19"/>
      <c r="V968" s="19"/>
      <c r="W968" s="19"/>
      <c r="X968" s="19"/>
      <c r="Y968" s="19"/>
    </row>
    <row r="969" spans="1:25" ht="12" hidden="1" customHeight="1" thickBot="1" x14ac:dyDescent="0.35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19"/>
      <c r="R969" s="19"/>
      <c r="S969" s="19"/>
      <c r="T969" s="19"/>
      <c r="U969" s="19"/>
      <c r="V969" s="19"/>
      <c r="W969" s="19"/>
      <c r="X969" s="19"/>
      <c r="Y969" s="19"/>
    </row>
    <row r="970" spans="1:25" ht="12" hidden="1" customHeight="1" thickBot="1" x14ac:dyDescent="0.35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19"/>
      <c r="R970" s="19"/>
      <c r="S970" s="19"/>
      <c r="T970" s="19"/>
      <c r="U970" s="19"/>
      <c r="V970" s="19"/>
      <c r="W970" s="19"/>
      <c r="X970" s="19"/>
      <c r="Y970" s="19"/>
    </row>
    <row r="971" spans="1:25" ht="12" hidden="1" customHeight="1" thickBot="1" x14ac:dyDescent="0.35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19"/>
      <c r="R971" s="19"/>
      <c r="S971" s="19"/>
      <c r="T971" s="19"/>
      <c r="U971" s="19"/>
      <c r="V971" s="19"/>
      <c r="W971" s="19"/>
      <c r="X971" s="19"/>
      <c r="Y971" s="19"/>
    </row>
    <row r="972" spans="1:25" ht="12" hidden="1" customHeight="1" thickBot="1" x14ac:dyDescent="0.35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19"/>
      <c r="R972" s="19"/>
      <c r="S972" s="19"/>
      <c r="T972" s="19"/>
      <c r="U972" s="19"/>
      <c r="V972" s="19"/>
      <c r="W972" s="19"/>
      <c r="X972" s="19"/>
      <c r="Y972" s="19"/>
    </row>
    <row r="973" spans="1:25" ht="12" hidden="1" customHeight="1" thickBot="1" x14ac:dyDescent="0.35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19"/>
      <c r="R973" s="19"/>
      <c r="S973" s="19"/>
      <c r="T973" s="19"/>
      <c r="U973" s="19"/>
      <c r="V973" s="19"/>
      <c r="W973" s="19"/>
      <c r="X973" s="19"/>
      <c r="Y973" s="19"/>
    </row>
    <row r="974" spans="1:25" ht="12" hidden="1" customHeight="1" thickBot="1" x14ac:dyDescent="0.35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19"/>
      <c r="R974" s="19"/>
      <c r="S974" s="19"/>
      <c r="T974" s="19"/>
      <c r="U974" s="19"/>
      <c r="V974" s="19"/>
      <c r="W974" s="19"/>
      <c r="X974" s="19"/>
      <c r="Y974" s="19"/>
    </row>
    <row r="975" spans="1:25" ht="12" hidden="1" customHeight="1" thickBot="1" x14ac:dyDescent="0.35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19"/>
      <c r="R975" s="19"/>
      <c r="S975" s="19"/>
      <c r="T975" s="19"/>
      <c r="U975" s="19"/>
      <c r="V975" s="19"/>
      <c r="W975" s="19"/>
      <c r="X975" s="19"/>
      <c r="Y975" s="19"/>
    </row>
    <row r="976" spans="1:25" ht="12" hidden="1" customHeight="1" thickBot="1" x14ac:dyDescent="0.35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19"/>
      <c r="R976" s="19"/>
      <c r="S976" s="19"/>
      <c r="T976" s="19"/>
      <c r="U976" s="19"/>
      <c r="V976" s="19"/>
      <c r="W976" s="19"/>
      <c r="X976" s="19"/>
      <c r="Y976" s="19"/>
    </row>
    <row r="977" spans="1:25" ht="12" hidden="1" customHeight="1" thickBot="1" x14ac:dyDescent="0.35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19"/>
      <c r="R977" s="19"/>
      <c r="S977" s="19"/>
      <c r="T977" s="19"/>
      <c r="U977" s="19"/>
      <c r="V977" s="19"/>
      <c r="W977" s="19"/>
      <c r="X977" s="19"/>
      <c r="Y977" s="19"/>
    </row>
    <row r="978" spans="1:25" ht="12" hidden="1" customHeight="1" thickBot="1" x14ac:dyDescent="0.35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19"/>
      <c r="R978" s="19"/>
      <c r="S978" s="19"/>
      <c r="T978" s="19"/>
      <c r="U978" s="19"/>
      <c r="V978" s="19"/>
      <c r="W978" s="19"/>
      <c r="X978" s="19"/>
      <c r="Y978" s="19"/>
    </row>
    <row r="979" spans="1:25" ht="12" hidden="1" customHeight="1" thickBot="1" x14ac:dyDescent="0.35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19"/>
      <c r="R979" s="19"/>
      <c r="S979" s="19"/>
      <c r="T979" s="19"/>
      <c r="U979" s="19"/>
      <c r="V979" s="19"/>
      <c r="W979" s="19"/>
      <c r="X979" s="19"/>
      <c r="Y979" s="19"/>
    </row>
    <row r="980" spans="1:25" ht="12" hidden="1" customHeight="1" thickBot="1" x14ac:dyDescent="0.35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19"/>
      <c r="R980" s="19"/>
      <c r="S980" s="19"/>
      <c r="T980" s="19"/>
      <c r="U980" s="19"/>
      <c r="V980" s="19"/>
      <c r="W980" s="19"/>
      <c r="X980" s="19"/>
      <c r="Y980" s="19"/>
    </row>
    <row r="981" spans="1:25" ht="12" hidden="1" customHeight="1" thickBot="1" x14ac:dyDescent="0.35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19"/>
      <c r="R981" s="19"/>
      <c r="S981" s="19"/>
      <c r="T981" s="19"/>
      <c r="U981" s="19"/>
      <c r="V981" s="19"/>
      <c r="W981" s="19"/>
      <c r="X981" s="19"/>
      <c r="Y981" s="19"/>
    </row>
    <row r="982" spans="1:25" ht="12" hidden="1" customHeight="1" thickBot="1" x14ac:dyDescent="0.35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19"/>
      <c r="R982" s="19"/>
      <c r="S982" s="19"/>
      <c r="T982" s="19"/>
      <c r="U982" s="19"/>
      <c r="V982" s="19"/>
      <c r="W982" s="19"/>
      <c r="X982" s="19"/>
      <c r="Y982" s="19"/>
    </row>
    <row r="983" spans="1:25" ht="12" hidden="1" customHeight="1" thickBot="1" x14ac:dyDescent="0.35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19"/>
      <c r="R983" s="19"/>
      <c r="S983" s="19"/>
      <c r="T983" s="19"/>
      <c r="U983" s="19"/>
      <c r="V983" s="19"/>
      <c r="W983" s="19"/>
      <c r="X983" s="19"/>
      <c r="Y983" s="19"/>
    </row>
    <row r="984" spans="1:25" ht="12" hidden="1" customHeight="1" thickBot="1" x14ac:dyDescent="0.35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19"/>
      <c r="R984" s="19"/>
      <c r="S984" s="19"/>
      <c r="T984" s="19"/>
      <c r="U984" s="19"/>
      <c r="V984" s="19"/>
      <c r="W984" s="19"/>
      <c r="X984" s="19"/>
      <c r="Y984" s="19"/>
    </row>
    <row r="985" spans="1:25" ht="12" hidden="1" customHeight="1" thickBot="1" x14ac:dyDescent="0.35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19"/>
      <c r="R985" s="19"/>
      <c r="S985" s="19"/>
      <c r="T985" s="19"/>
      <c r="U985" s="19"/>
      <c r="V985" s="19"/>
      <c r="W985" s="19"/>
      <c r="X985" s="19"/>
      <c r="Y985" s="19"/>
    </row>
    <row r="986" spans="1:25" ht="12" hidden="1" customHeight="1" thickBot="1" x14ac:dyDescent="0.35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19"/>
      <c r="R986" s="19"/>
      <c r="S986" s="19"/>
      <c r="T986" s="19"/>
      <c r="U986" s="19"/>
      <c r="V986" s="19"/>
      <c r="W986" s="19"/>
      <c r="X986" s="19"/>
      <c r="Y986" s="19"/>
    </row>
    <row r="987" spans="1:25" ht="12" hidden="1" customHeight="1" thickBot="1" x14ac:dyDescent="0.35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19"/>
      <c r="R987" s="19"/>
      <c r="S987" s="19"/>
      <c r="T987" s="19"/>
      <c r="U987" s="19"/>
      <c r="V987" s="19"/>
      <c r="W987" s="19"/>
      <c r="X987" s="19"/>
      <c r="Y987" s="19"/>
    </row>
    <row r="988" spans="1:25" ht="12" hidden="1" customHeight="1" thickBot="1" x14ac:dyDescent="0.35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19"/>
      <c r="R988" s="19"/>
      <c r="S988" s="19"/>
      <c r="T988" s="19"/>
      <c r="U988" s="19"/>
      <c r="V988" s="19"/>
      <c r="W988" s="19"/>
      <c r="X988" s="19"/>
      <c r="Y988" s="19"/>
    </row>
    <row r="989" spans="1:25" ht="12" hidden="1" customHeight="1" thickBot="1" x14ac:dyDescent="0.35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19"/>
      <c r="R989" s="19"/>
      <c r="S989" s="19"/>
      <c r="T989" s="19"/>
      <c r="U989" s="19"/>
      <c r="V989" s="19"/>
      <c r="W989" s="19"/>
      <c r="X989" s="19"/>
      <c r="Y989" s="19"/>
    </row>
    <row r="990" spans="1:25" ht="12" hidden="1" customHeight="1" thickBot="1" x14ac:dyDescent="0.35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19"/>
      <c r="R990" s="19"/>
      <c r="S990" s="19"/>
      <c r="T990" s="19"/>
      <c r="U990" s="19"/>
      <c r="V990" s="19"/>
      <c r="W990" s="19"/>
      <c r="X990" s="19"/>
      <c r="Y990" s="19"/>
    </row>
    <row r="991" spans="1:25" ht="12" hidden="1" customHeight="1" thickBot="1" x14ac:dyDescent="0.35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19"/>
      <c r="R991" s="19"/>
      <c r="S991" s="19"/>
      <c r="T991" s="19"/>
      <c r="U991" s="19"/>
      <c r="V991" s="19"/>
      <c r="W991" s="19"/>
      <c r="X991" s="19"/>
      <c r="Y991" s="19"/>
    </row>
    <row r="992" spans="1:25" ht="12" hidden="1" customHeight="1" thickBot="1" x14ac:dyDescent="0.35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19"/>
      <c r="R992" s="19"/>
      <c r="S992" s="19"/>
      <c r="T992" s="19"/>
      <c r="U992" s="19"/>
      <c r="V992" s="19"/>
      <c r="W992" s="19"/>
      <c r="X992" s="19"/>
      <c r="Y992" s="19"/>
    </row>
    <row r="993" spans="1:25" ht="12" hidden="1" customHeight="1" thickBot="1" x14ac:dyDescent="0.35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19"/>
      <c r="R993" s="19"/>
      <c r="S993" s="19"/>
      <c r="T993" s="19"/>
      <c r="U993" s="19"/>
      <c r="V993" s="19"/>
      <c r="W993" s="19"/>
      <c r="X993" s="19"/>
      <c r="Y993" s="19"/>
    </row>
    <row r="994" spans="1:25" ht="12" hidden="1" customHeight="1" thickBot="1" x14ac:dyDescent="0.35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19"/>
      <c r="R994" s="19"/>
      <c r="S994" s="19"/>
      <c r="T994" s="19"/>
      <c r="U994" s="19"/>
      <c r="V994" s="19"/>
      <c r="W994" s="19"/>
      <c r="X994" s="19"/>
      <c r="Y994" s="19"/>
    </row>
    <row r="995" spans="1:25" ht="12" hidden="1" customHeight="1" thickBot="1" x14ac:dyDescent="0.35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19"/>
      <c r="R995" s="19"/>
      <c r="S995" s="19"/>
      <c r="T995" s="19"/>
      <c r="U995" s="19"/>
      <c r="V995" s="19"/>
      <c r="W995" s="19"/>
      <c r="X995" s="19"/>
      <c r="Y995" s="19"/>
    </row>
    <row r="996" spans="1:25" ht="12" hidden="1" customHeight="1" thickBot="1" x14ac:dyDescent="0.35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19"/>
      <c r="R996" s="19"/>
      <c r="S996" s="19"/>
      <c r="T996" s="19"/>
      <c r="U996" s="19"/>
      <c r="V996" s="19"/>
      <c r="W996" s="19"/>
      <c r="X996" s="19"/>
      <c r="Y996" s="19"/>
    </row>
    <row r="997" spans="1:25" ht="12.75" hidden="1" customHeight="1" thickBot="1" x14ac:dyDescent="0.35"/>
    <row r="998" spans="1:25" s="33" customFormat="1" ht="12.75" hidden="1" customHeight="1" thickBot="1" x14ac:dyDescent="0.35">
      <c r="A998" s="20">
        <v>1</v>
      </c>
      <c r="B998" s="20" t="s">
        <v>1556</v>
      </c>
      <c r="C998" s="20" t="s">
        <v>1616</v>
      </c>
      <c r="D998" s="18" t="s">
        <v>1041</v>
      </c>
      <c r="E998" s="20">
        <v>499</v>
      </c>
      <c r="F998" s="29" t="s">
        <v>208</v>
      </c>
      <c r="G998" s="20" t="s">
        <v>1603</v>
      </c>
      <c r="H998" s="20" t="s">
        <v>1604</v>
      </c>
      <c r="I998" s="20">
        <v>2</v>
      </c>
      <c r="J998" s="26" t="s">
        <v>27</v>
      </c>
      <c r="K998" s="26" t="s">
        <v>2216</v>
      </c>
      <c r="L998" s="20" t="s">
        <v>1252</v>
      </c>
      <c r="M998" s="19">
        <v>2</v>
      </c>
      <c r="N998" s="19">
        <v>68</v>
      </c>
      <c r="O998" s="19">
        <v>140</v>
      </c>
      <c r="P998" s="26" t="s">
        <v>1218</v>
      </c>
      <c r="Q998" s="26" t="s">
        <v>2216</v>
      </c>
      <c r="R998" s="20" t="str">
        <f>F998</f>
        <v>TAPER 1100ML TRANSP.-TRANSPARENTE</v>
      </c>
      <c r="S998" s="20">
        <v>2</v>
      </c>
      <c r="T998" s="20">
        <v>68</v>
      </c>
      <c r="U998" s="20">
        <v>140</v>
      </c>
    </row>
    <row r="999" spans="1:25" ht="12.75" hidden="1" customHeight="1" thickBot="1" x14ac:dyDescent="0.35">
      <c r="A999" s="20">
        <v>1</v>
      </c>
      <c r="B999" s="20" t="s">
        <v>1556</v>
      </c>
      <c r="C999" s="20" t="s">
        <v>1616</v>
      </c>
      <c r="D999" s="18" t="s">
        <v>1039</v>
      </c>
      <c r="E999" s="20">
        <v>261</v>
      </c>
      <c r="F999" s="20" t="s">
        <v>2222</v>
      </c>
      <c r="G999" s="20" t="s">
        <v>1603</v>
      </c>
      <c r="H999" s="20" t="s">
        <v>1604</v>
      </c>
      <c r="I999" s="20"/>
      <c r="J999" s="20">
        <v>138</v>
      </c>
      <c r="K999" s="20">
        <v>1</v>
      </c>
      <c r="L999" s="20" t="s">
        <v>13</v>
      </c>
      <c r="M999" s="20"/>
      <c r="N999" s="20"/>
      <c r="O999" s="20">
        <v>23</v>
      </c>
      <c r="P999" s="19" t="s">
        <v>27</v>
      </c>
      <c r="Q999" s="20" t="s">
        <v>712</v>
      </c>
      <c r="R999" s="20" t="str">
        <f>F999</f>
        <v>TAPER 2800ML CARAMELO-ROJO</v>
      </c>
      <c r="S999" s="19">
        <v>1</v>
      </c>
      <c r="T999" s="19">
        <f>+J999</f>
        <v>138</v>
      </c>
      <c r="U999" s="19">
        <v>120</v>
      </c>
    </row>
    <row r="1000" spans="1:25" ht="12" hidden="1" customHeight="1" thickBot="1" x14ac:dyDescent="0.35">
      <c r="A1000" s="20">
        <v>1</v>
      </c>
      <c r="B1000" s="26" t="s">
        <v>1556</v>
      </c>
      <c r="C1000" s="26" t="s">
        <v>1557</v>
      </c>
      <c r="D1000" s="26" t="s">
        <v>2027</v>
      </c>
      <c r="E1000" s="20">
        <v>460</v>
      </c>
      <c r="F1000" s="26" t="s">
        <v>2215</v>
      </c>
      <c r="G1000" s="20" t="s">
        <v>1287</v>
      </c>
      <c r="H1000" s="26" t="s">
        <v>1288</v>
      </c>
      <c r="I1000" s="20">
        <v>4</v>
      </c>
      <c r="J1000" s="28">
        <v>54</v>
      </c>
      <c r="K1000" s="20">
        <v>1</v>
      </c>
      <c r="L1000" s="26" t="s">
        <v>13</v>
      </c>
      <c r="M1000" s="26"/>
      <c r="N1000" s="26"/>
      <c r="O1000" s="20">
        <v>12</v>
      </c>
      <c r="P1000" s="26" t="s">
        <v>1211</v>
      </c>
      <c r="Q1000" s="26" t="s">
        <v>2038</v>
      </c>
      <c r="R1000" s="20" t="str">
        <f>F1000</f>
        <v>EMBUDO #3-FUCSIA</v>
      </c>
      <c r="S1000" s="19">
        <f>+I1000</f>
        <v>4</v>
      </c>
      <c r="T1000" s="19">
        <f>+J1000</f>
        <v>54</v>
      </c>
      <c r="U1000" s="19">
        <v>90</v>
      </c>
      <c r="V1000" s="19"/>
      <c r="W1000" s="19"/>
      <c r="X1000" s="19"/>
      <c r="Y1000" s="19"/>
    </row>
    <row r="1001" spans="1:25" ht="12" hidden="1" customHeight="1" thickBot="1" x14ac:dyDescent="0.35">
      <c r="A1001" s="20">
        <v>1</v>
      </c>
      <c r="B1001" s="26" t="s">
        <v>1556</v>
      </c>
      <c r="C1001" s="26" t="s">
        <v>1557</v>
      </c>
      <c r="D1001" s="26" t="s">
        <v>2027</v>
      </c>
      <c r="E1001" s="20">
        <v>460</v>
      </c>
      <c r="F1001" s="26" t="s">
        <v>2214</v>
      </c>
      <c r="G1001" s="20" t="s">
        <v>1287</v>
      </c>
      <c r="H1001" s="26" t="s">
        <v>1288</v>
      </c>
      <c r="I1001" s="20">
        <v>4</v>
      </c>
      <c r="J1001" s="28">
        <v>54</v>
      </c>
      <c r="K1001" s="20">
        <v>1</v>
      </c>
      <c r="L1001" s="26" t="s">
        <v>13</v>
      </c>
      <c r="M1001" s="26"/>
      <c r="N1001" s="26"/>
      <c r="O1001" s="20">
        <v>12</v>
      </c>
      <c r="P1001" s="26" t="s">
        <v>1212</v>
      </c>
      <c r="Q1001" s="26" t="s">
        <v>2038</v>
      </c>
      <c r="R1001" s="20" t="str">
        <f>F1001</f>
        <v>EMBUDO #3-LILA</v>
      </c>
      <c r="S1001" s="19">
        <f>+I1001</f>
        <v>4</v>
      </c>
      <c r="T1001" s="19">
        <f>+J1001</f>
        <v>54</v>
      </c>
      <c r="U1001" s="19">
        <v>90</v>
      </c>
      <c r="V1001" s="19"/>
      <c r="W1001" s="19"/>
      <c r="X1001" s="19"/>
      <c r="Y1001" s="19"/>
    </row>
    <row r="1002" spans="1:25" ht="12" hidden="1" customHeight="1" thickBot="1" x14ac:dyDescent="0.35">
      <c r="A1002" s="20">
        <v>2</v>
      </c>
      <c r="B1002" s="20" t="s">
        <v>1285</v>
      </c>
      <c r="C1002" s="20" t="s">
        <v>1738</v>
      </c>
      <c r="D1002" s="20" t="s">
        <v>1739</v>
      </c>
      <c r="E1002" s="20">
        <v>510</v>
      </c>
      <c r="F1002" s="20" t="s">
        <v>1093</v>
      </c>
      <c r="G1002" s="20" t="s">
        <v>1617</v>
      </c>
      <c r="H1002" s="20" t="s">
        <v>1618</v>
      </c>
      <c r="I1002" s="20">
        <v>1</v>
      </c>
      <c r="J1002" s="20">
        <v>28</v>
      </c>
      <c r="K1002" s="20">
        <v>1</v>
      </c>
      <c r="L1002" s="20" t="s">
        <v>13</v>
      </c>
      <c r="M1002" s="20"/>
      <c r="N1002" s="20"/>
      <c r="O1002" s="20">
        <v>20</v>
      </c>
      <c r="P1002" s="20" t="s">
        <v>1217</v>
      </c>
      <c r="Q1002" s="20" t="s">
        <v>1744</v>
      </c>
      <c r="R1002" s="20" t="str">
        <f t="shared" ref="R1002:R1011" si="70">F1002</f>
        <v>CANASTA CAROLINA-ROSADO</v>
      </c>
      <c r="S1002" s="19">
        <f>+I1002</f>
        <v>1</v>
      </c>
      <c r="T1002" s="19">
        <v>114</v>
      </c>
      <c r="U1002" s="19">
        <v>120</v>
      </c>
      <c r="V1002" s="19"/>
      <c r="W1002" s="19"/>
      <c r="X1002" s="19"/>
      <c r="Y1002" s="19"/>
    </row>
    <row r="1003" spans="1:25" ht="12" hidden="1" customHeight="1" thickBot="1" x14ac:dyDescent="0.35">
      <c r="A1003" s="20">
        <v>2</v>
      </c>
      <c r="B1003" s="20" t="s">
        <v>1285</v>
      </c>
      <c r="C1003" s="20" t="s">
        <v>1738</v>
      </c>
      <c r="D1003" s="20" t="s">
        <v>1739</v>
      </c>
      <c r="E1003" s="20">
        <v>511</v>
      </c>
      <c r="F1003" s="20" t="s">
        <v>1094</v>
      </c>
      <c r="G1003" s="20" t="s">
        <v>1617</v>
      </c>
      <c r="H1003" s="20" t="s">
        <v>1618</v>
      </c>
      <c r="I1003" s="20">
        <v>1</v>
      </c>
      <c r="J1003" s="20">
        <v>28</v>
      </c>
      <c r="K1003" s="20">
        <v>1</v>
      </c>
      <c r="L1003" s="20" t="s">
        <v>13</v>
      </c>
      <c r="M1003" s="20"/>
      <c r="N1003" s="20"/>
      <c r="O1003" s="20">
        <v>16</v>
      </c>
      <c r="P1003" s="20" t="s">
        <v>1212</v>
      </c>
      <c r="Q1003" s="20" t="s">
        <v>1745</v>
      </c>
      <c r="R1003" s="20" t="str">
        <f t="shared" si="70"/>
        <v>CANASTA CAROLINA-LILA</v>
      </c>
      <c r="S1003" s="19">
        <f t="shared" ref="S1003:S1011" si="71">+I1003</f>
        <v>1</v>
      </c>
      <c r="T1003" s="19">
        <v>114</v>
      </c>
      <c r="U1003" s="19">
        <v>120</v>
      </c>
      <c r="V1003" s="19"/>
      <c r="W1003" s="19"/>
      <c r="X1003" s="19"/>
      <c r="Y1003" s="19"/>
    </row>
    <row r="1004" spans="1:25" ht="12" hidden="1" customHeight="1" thickBot="1" x14ac:dyDescent="0.35">
      <c r="A1004" s="20">
        <v>2</v>
      </c>
      <c r="B1004" s="20" t="s">
        <v>1285</v>
      </c>
      <c r="C1004" s="20" t="s">
        <v>1738</v>
      </c>
      <c r="D1004" s="20" t="s">
        <v>1739</v>
      </c>
      <c r="E1004" s="20">
        <v>512</v>
      </c>
      <c r="F1004" s="20" t="s">
        <v>1095</v>
      </c>
      <c r="G1004" s="20" t="s">
        <v>1617</v>
      </c>
      <c r="H1004" s="20" t="s">
        <v>1618</v>
      </c>
      <c r="I1004" s="20">
        <v>1</v>
      </c>
      <c r="J1004" s="20">
        <v>28</v>
      </c>
      <c r="K1004" s="20">
        <v>1</v>
      </c>
      <c r="L1004" s="20" t="s">
        <v>13</v>
      </c>
      <c r="M1004" s="20"/>
      <c r="N1004" s="20"/>
      <c r="O1004" s="20">
        <v>17</v>
      </c>
      <c r="P1004" s="20" t="s">
        <v>1214</v>
      </c>
      <c r="Q1004" s="20" t="s">
        <v>1746</v>
      </c>
      <c r="R1004" s="20" t="str">
        <f t="shared" si="70"/>
        <v>CANASTA CAROLINA-MELON</v>
      </c>
      <c r="S1004" s="19">
        <f t="shared" si="71"/>
        <v>1</v>
      </c>
      <c r="T1004" s="19">
        <v>114</v>
      </c>
      <c r="U1004" s="19">
        <v>120</v>
      </c>
      <c r="V1004" s="19"/>
      <c r="W1004" s="19"/>
      <c r="X1004" s="19"/>
      <c r="Y1004" s="19"/>
    </row>
    <row r="1005" spans="1:25" ht="12" hidden="1" customHeight="1" thickBot="1" x14ac:dyDescent="0.35">
      <c r="A1005" s="20">
        <v>2</v>
      </c>
      <c r="B1005" s="20" t="s">
        <v>1285</v>
      </c>
      <c r="C1005" s="20" t="s">
        <v>1738</v>
      </c>
      <c r="D1005" s="20" t="s">
        <v>1739</v>
      </c>
      <c r="E1005" s="20">
        <v>513</v>
      </c>
      <c r="F1005" s="20" t="s">
        <v>2213</v>
      </c>
      <c r="G1005" s="20" t="s">
        <v>1617</v>
      </c>
      <c r="H1005" s="20" t="s">
        <v>1618</v>
      </c>
      <c r="I1005" s="20">
        <v>1</v>
      </c>
      <c r="J1005" s="20">
        <v>28</v>
      </c>
      <c r="K1005" s="20">
        <v>1</v>
      </c>
      <c r="L1005" s="20" t="s">
        <v>13</v>
      </c>
      <c r="M1005" s="20"/>
      <c r="N1005" s="20"/>
      <c r="O1005" s="20">
        <v>22</v>
      </c>
      <c r="P1005" s="20" t="s">
        <v>1614</v>
      </c>
      <c r="Q1005" s="20" t="s">
        <v>1747</v>
      </c>
      <c r="R1005" s="20" t="str">
        <f t="shared" si="70"/>
        <v>CANASTA CAROLINA-TURQUESA</v>
      </c>
      <c r="S1005" s="19">
        <f t="shared" si="71"/>
        <v>1</v>
      </c>
      <c r="T1005" s="19">
        <v>114</v>
      </c>
      <c r="U1005" s="19">
        <v>120</v>
      </c>
      <c r="V1005" s="19"/>
      <c r="W1005" s="19"/>
      <c r="X1005" s="19"/>
      <c r="Y1005" s="19"/>
    </row>
    <row r="1006" spans="1:25" ht="12" hidden="1" customHeight="1" thickBot="1" x14ac:dyDescent="0.35">
      <c r="A1006" s="20">
        <v>1</v>
      </c>
      <c r="B1006" s="26" t="s">
        <v>1556</v>
      </c>
      <c r="C1006" s="26" t="s">
        <v>1616</v>
      </c>
      <c r="D1006" s="26" t="s">
        <v>2082</v>
      </c>
      <c r="E1006" s="20">
        <v>448</v>
      </c>
      <c r="F1006" s="31" t="s">
        <v>2231</v>
      </c>
      <c r="G1006" s="20" t="s">
        <v>1603</v>
      </c>
      <c r="H1006" s="26" t="s">
        <v>1604</v>
      </c>
      <c r="I1006" s="20">
        <v>4</v>
      </c>
      <c r="J1006" s="28">
        <v>33</v>
      </c>
      <c r="K1006" s="20">
        <v>1</v>
      </c>
      <c r="L1006" s="26" t="s">
        <v>13</v>
      </c>
      <c r="M1006" s="26"/>
      <c r="N1006" s="26"/>
      <c r="O1006" s="20">
        <v>15</v>
      </c>
      <c r="P1006" s="26" t="s">
        <v>1211</v>
      </c>
      <c r="Q1006" s="26" t="s">
        <v>2016</v>
      </c>
      <c r="R1006" s="30" t="str">
        <f t="shared" si="70"/>
        <v>TAPA TAPERS REDONDOS CARAMELO-FUCSIA</v>
      </c>
      <c r="S1006" s="19">
        <f t="shared" si="71"/>
        <v>4</v>
      </c>
      <c r="T1006" s="19">
        <f t="shared" ref="T1006:T1011" si="72">+J1006</f>
        <v>33</v>
      </c>
      <c r="U1006" s="19">
        <v>147</v>
      </c>
      <c r="V1006" s="19"/>
      <c r="W1006" s="19"/>
      <c r="X1006" s="19"/>
      <c r="Y1006" s="19"/>
    </row>
    <row r="1007" spans="1:25" ht="12" hidden="1" customHeight="1" thickBot="1" x14ac:dyDescent="0.35">
      <c r="A1007" s="20">
        <v>1</v>
      </c>
      <c r="B1007" s="26" t="s">
        <v>1556</v>
      </c>
      <c r="C1007" s="26" t="s">
        <v>1616</v>
      </c>
      <c r="D1007" s="26" t="s">
        <v>2082</v>
      </c>
      <c r="E1007" s="20">
        <v>449</v>
      </c>
      <c r="F1007" s="31" t="s">
        <v>2227</v>
      </c>
      <c r="G1007" s="20" t="s">
        <v>1603</v>
      </c>
      <c r="H1007" s="26" t="s">
        <v>1604</v>
      </c>
      <c r="I1007" s="20">
        <v>4</v>
      </c>
      <c r="J1007" s="28">
        <v>33</v>
      </c>
      <c r="K1007" s="20">
        <v>1</v>
      </c>
      <c r="L1007" s="26" t="s">
        <v>13</v>
      </c>
      <c r="M1007" s="27"/>
      <c r="N1007" s="27"/>
      <c r="O1007" s="20">
        <v>10</v>
      </c>
      <c r="P1007" s="26" t="s">
        <v>26</v>
      </c>
      <c r="Q1007" s="26" t="s">
        <v>2017</v>
      </c>
      <c r="R1007" s="30" t="str">
        <f t="shared" si="70"/>
        <v>TAPA TAPERS REDONDOS CARAMELO-AMARILLO</v>
      </c>
      <c r="S1007" s="19">
        <f t="shared" si="71"/>
        <v>4</v>
      </c>
      <c r="T1007" s="19">
        <f t="shared" si="72"/>
        <v>33</v>
      </c>
      <c r="U1007" s="19">
        <v>147</v>
      </c>
      <c r="V1007" s="19"/>
      <c r="W1007" s="19"/>
      <c r="X1007" s="19"/>
      <c r="Y1007" s="19"/>
    </row>
    <row r="1008" spans="1:25" ht="12" hidden="1" customHeight="1" thickBot="1" x14ac:dyDescent="0.35">
      <c r="A1008" s="20">
        <v>1</v>
      </c>
      <c r="B1008" s="26" t="s">
        <v>1556</v>
      </c>
      <c r="C1008" s="26" t="s">
        <v>1616</v>
      </c>
      <c r="D1008" s="26" t="s">
        <v>2082</v>
      </c>
      <c r="E1008" s="20">
        <v>450</v>
      </c>
      <c r="F1008" s="31" t="s">
        <v>2228</v>
      </c>
      <c r="G1008" s="20" t="s">
        <v>1603</v>
      </c>
      <c r="H1008" s="26" t="s">
        <v>1604</v>
      </c>
      <c r="I1008" s="20">
        <v>4</v>
      </c>
      <c r="J1008" s="28">
        <v>33</v>
      </c>
      <c r="K1008" s="20">
        <v>1</v>
      </c>
      <c r="L1008" s="26" t="s">
        <v>13</v>
      </c>
      <c r="M1008" s="27"/>
      <c r="N1008" s="27"/>
      <c r="O1008" s="20">
        <v>23</v>
      </c>
      <c r="P1008" s="26" t="s">
        <v>1221</v>
      </c>
      <c r="Q1008" s="26" t="s">
        <v>2018</v>
      </c>
      <c r="R1008" s="30" t="str">
        <f t="shared" si="70"/>
        <v>TAPA TAPERS REDONDOS CARAMELO-VERDE</v>
      </c>
      <c r="S1008" s="19">
        <f t="shared" si="71"/>
        <v>4</v>
      </c>
      <c r="T1008" s="19">
        <f t="shared" si="72"/>
        <v>33</v>
      </c>
      <c r="U1008" s="19">
        <v>147</v>
      </c>
      <c r="V1008" s="19"/>
      <c r="W1008" s="19"/>
      <c r="X1008" s="19"/>
      <c r="Y1008" s="19"/>
    </row>
    <row r="1009" spans="1:25" ht="12" hidden="1" customHeight="1" thickBot="1" x14ac:dyDescent="0.35">
      <c r="A1009" s="20">
        <v>1</v>
      </c>
      <c r="B1009" s="26" t="s">
        <v>1556</v>
      </c>
      <c r="C1009" s="26" t="s">
        <v>1616</v>
      </c>
      <c r="D1009" s="26" t="s">
        <v>2082</v>
      </c>
      <c r="E1009" s="20">
        <v>451</v>
      </c>
      <c r="F1009" s="31" t="s">
        <v>2232</v>
      </c>
      <c r="G1009" s="20" t="s">
        <v>1603</v>
      </c>
      <c r="H1009" s="26" t="s">
        <v>1604</v>
      </c>
      <c r="I1009" s="20">
        <v>4</v>
      </c>
      <c r="J1009" s="28">
        <v>33</v>
      </c>
      <c r="K1009" s="20">
        <v>1</v>
      </c>
      <c r="L1009" s="26" t="s">
        <v>13</v>
      </c>
      <c r="M1009" s="27"/>
      <c r="N1009" s="27"/>
      <c r="O1009" s="20">
        <v>22</v>
      </c>
      <c r="P1009" s="26" t="s">
        <v>1212</v>
      </c>
      <c r="Q1009" s="26" t="s">
        <v>2019</v>
      </c>
      <c r="R1009" s="30" t="str">
        <f t="shared" si="70"/>
        <v>TAPA TAPERS REDONDOS CARAMELO-LILA</v>
      </c>
      <c r="S1009" s="19">
        <f t="shared" si="71"/>
        <v>4</v>
      </c>
      <c r="T1009" s="19">
        <f t="shared" si="72"/>
        <v>33</v>
      </c>
      <c r="U1009" s="19">
        <v>147</v>
      </c>
      <c r="V1009" s="19"/>
      <c r="W1009" s="19"/>
      <c r="X1009" s="19"/>
      <c r="Y1009" s="19"/>
    </row>
    <row r="1010" spans="1:25" ht="12" hidden="1" customHeight="1" thickBot="1" x14ac:dyDescent="0.35">
      <c r="A1010" s="20">
        <v>1</v>
      </c>
      <c r="B1010" s="26" t="s">
        <v>1556</v>
      </c>
      <c r="C1010" s="26" t="s">
        <v>1616</v>
      </c>
      <c r="D1010" s="26" t="s">
        <v>2082</v>
      </c>
      <c r="E1010" s="20">
        <v>452</v>
      </c>
      <c r="F1010" s="31" t="s">
        <v>2230</v>
      </c>
      <c r="G1010" s="20" t="s">
        <v>1603</v>
      </c>
      <c r="H1010" s="26" t="s">
        <v>1604</v>
      </c>
      <c r="I1010" s="20">
        <v>4</v>
      </c>
      <c r="J1010" s="28">
        <v>33</v>
      </c>
      <c r="K1010" s="20">
        <v>1</v>
      </c>
      <c r="L1010" s="26" t="s">
        <v>13</v>
      </c>
      <c r="M1010" s="27"/>
      <c r="N1010" s="27"/>
      <c r="O1010" s="20">
        <v>19</v>
      </c>
      <c r="P1010" s="26" t="s">
        <v>27</v>
      </c>
      <c r="Q1010" s="26" t="s">
        <v>2020</v>
      </c>
      <c r="R1010" s="30" t="str">
        <f t="shared" si="70"/>
        <v>TAPA TAPERS REDONDOS CARAMELO-ROJO</v>
      </c>
      <c r="S1010" s="19">
        <f t="shared" si="71"/>
        <v>4</v>
      </c>
      <c r="T1010" s="19">
        <f t="shared" si="72"/>
        <v>33</v>
      </c>
      <c r="U1010" s="19">
        <v>147</v>
      </c>
      <c r="V1010" s="19"/>
      <c r="W1010" s="19"/>
      <c r="X1010" s="19"/>
      <c r="Y1010" s="19"/>
    </row>
    <row r="1011" spans="1:25" ht="12" hidden="1" customHeight="1" thickBot="1" x14ac:dyDescent="0.35">
      <c r="A1011" s="20">
        <v>1</v>
      </c>
      <c r="B1011" s="26" t="s">
        <v>1556</v>
      </c>
      <c r="C1011" s="26" t="s">
        <v>1616</v>
      </c>
      <c r="D1011" s="26" t="s">
        <v>2082</v>
      </c>
      <c r="E1011" s="20">
        <v>453</v>
      </c>
      <c r="F1011" s="31" t="s">
        <v>2229</v>
      </c>
      <c r="G1011" s="20" t="s">
        <v>1603</v>
      </c>
      <c r="H1011" s="26" t="s">
        <v>1604</v>
      </c>
      <c r="I1011" s="20">
        <v>4</v>
      </c>
      <c r="J1011" s="28">
        <v>33</v>
      </c>
      <c r="K1011" s="20">
        <v>1</v>
      </c>
      <c r="L1011" s="26" t="s">
        <v>13</v>
      </c>
      <c r="M1011" s="26"/>
      <c r="N1011" s="26"/>
      <c r="O1011" s="20">
        <v>12</v>
      </c>
      <c r="P1011" s="26" t="s">
        <v>24</v>
      </c>
      <c r="Q1011" s="26" t="s">
        <v>2021</v>
      </c>
      <c r="R1011" s="30" t="str">
        <f t="shared" si="70"/>
        <v>TAPA TAPERS REDONDOS CARAMELO-AZUL</v>
      </c>
      <c r="S1011" s="19">
        <f t="shared" si="71"/>
        <v>4</v>
      </c>
      <c r="T1011" s="19">
        <f t="shared" si="72"/>
        <v>33</v>
      </c>
      <c r="U1011" s="19">
        <v>147</v>
      </c>
      <c r="V1011" s="19"/>
      <c r="W1011" s="19"/>
      <c r="X1011" s="19"/>
      <c r="Y1011" s="19"/>
    </row>
    <row r="1230" spans="10:10" ht="12.75" customHeight="1" x14ac:dyDescent="0.3">
      <c r="J1230" s="59"/>
    </row>
    <row r="1231" spans="10:10" ht="12.75" customHeight="1" x14ac:dyDescent="0.3">
      <c r="J1231" s="58"/>
    </row>
  </sheetData>
  <autoFilter ref="A1:AA1011" xr:uid="{00000000-0009-0000-0000-000000000000}">
    <filterColumn colId="3">
      <filters>
        <filter val="FLORERO ITALIANO GRANDE"/>
      </filters>
    </filterColumn>
  </autoFilter>
  <phoneticPr fontId="3" type="noConversion"/>
  <pageMargins left="0.7" right="0.7" top="0.75" bottom="0.75" header="0.3" footer="0.3"/>
  <pageSetup paperSize="9" orientation="portrait" horizontalDpi="4294967292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FF0000"/>
  </sheetPr>
  <dimension ref="B1:O246"/>
  <sheetViews>
    <sheetView zoomScale="91" zoomScaleNormal="200" workbookViewId="0">
      <selection activeCell="R171" sqref="R171"/>
    </sheetView>
  </sheetViews>
  <sheetFormatPr defaultColWidth="11.44140625" defaultRowHeight="15.75" customHeight="1" x14ac:dyDescent="0.3"/>
  <cols>
    <col min="1" max="1" width="6" style="6" customWidth="1"/>
    <col min="2" max="2" width="10.109375" style="6" customWidth="1"/>
    <col min="3" max="3" width="44.88671875" style="6" customWidth="1"/>
    <col min="4" max="4" width="8.5546875" style="14" customWidth="1"/>
    <col min="5" max="5" width="6.109375" style="14" customWidth="1"/>
    <col min="6" max="6" width="1.44140625" style="6" customWidth="1"/>
    <col min="7" max="7" width="7.109375" style="6" hidden="1" customWidth="1"/>
    <col min="8" max="8" width="16.44140625" style="6" hidden="1" customWidth="1"/>
    <col min="9" max="9" width="1.44140625" style="6" hidden="1" customWidth="1"/>
    <col min="10" max="10" width="9.5546875" style="6" hidden="1" customWidth="1"/>
    <col min="11" max="11" width="17" style="6" hidden="1" customWidth="1"/>
    <col min="12" max="12" width="1.6640625" style="6" customWidth="1"/>
    <col min="13" max="13" width="36" style="6" customWidth="1"/>
    <col min="14" max="14" width="0" style="6" hidden="1" customWidth="1"/>
    <col min="15" max="15" width="24.44140625" style="6" hidden="1" customWidth="1"/>
    <col min="16" max="16384" width="11.44140625" style="6"/>
  </cols>
  <sheetData>
    <row r="1" spans="2:15" s="8" customFormat="1" ht="27.6" x14ac:dyDescent="0.3">
      <c r="B1" s="7" t="s">
        <v>49</v>
      </c>
      <c r="C1" s="7" t="s">
        <v>2280</v>
      </c>
      <c r="D1" s="7" t="s">
        <v>1021</v>
      </c>
      <c r="E1" s="7" t="s">
        <v>36</v>
      </c>
      <c r="G1" s="7" t="s">
        <v>37</v>
      </c>
      <c r="H1" s="7" t="s">
        <v>34</v>
      </c>
      <c r="J1" s="7" t="s">
        <v>37</v>
      </c>
      <c r="K1" s="7" t="s">
        <v>34</v>
      </c>
      <c r="M1" s="7" t="s">
        <v>2281</v>
      </c>
      <c r="O1" s="7" t="s">
        <v>1206</v>
      </c>
    </row>
    <row r="2" spans="2:15" ht="11.25" customHeight="1" x14ac:dyDescent="0.3">
      <c r="B2" s="34" t="s">
        <v>797</v>
      </c>
      <c r="C2" s="35" t="s">
        <v>442</v>
      </c>
      <c r="D2" s="36">
        <v>12</v>
      </c>
      <c r="E2" s="37">
        <v>3</v>
      </c>
      <c r="F2" s="10"/>
      <c r="G2" s="5"/>
      <c r="H2" s="5"/>
      <c r="J2" s="5"/>
      <c r="K2" s="5"/>
      <c r="M2" s="32" t="s">
        <v>1017</v>
      </c>
      <c r="O2" s="5"/>
    </row>
    <row r="3" spans="2:15" ht="11.25" customHeight="1" x14ac:dyDescent="0.3">
      <c r="B3" s="34" t="s">
        <v>789</v>
      </c>
      <c r="C3" s="35" t="s">
        <v>607</v>
      </c>
      <c r="D3" s="36">
        <v>12</v>
      </c>
      <c r="E3" s="37">
        <v>8</v>
      </c>
      <c r="F3" s="10"/>
      <c r="G3" s="5"/>
      <c r="H3" s="5"/>
      <c r="J3" s="5"/>
      <c r="K3" s="5"/>
      <c r="M3" s="32" t="s">
        <v>1129</v>
      </c>
      <c r="O3" s="5"/>
    </row>
    <row r="4" spans="2:15" ht="11.25" customHeight="1" x14ac:dyDescent="0.3">
      <c r="B4" s="34" t="s">
        <v>344</v>
      </c>
      <c r="C4" s="35" t="s">
        <v>443</v>
      </c>
      <c r="D4" s="36">
        <v>2</v>
      </c>
      <c r="E4" s="37">
        <v>75</v>
      </c>
      <c r="G4" s="5"/>
      <c r="H4" s="5"/>
      <c r="J4" s="5"/>
      <c r="K4" s="5"/>
      <c r="M4" s="32" t="s">
        <v>1234</v>
      </c>
      <c r="O4" s="5"/>
    </row>
    <row r="5" spans="2:15" ht="11.25" customHeight="1" x14ac:dyDescent="0.3">
      <c r="B5" s="34"/>
      <c r="C5" s="34" t="s">
        <v>2104</v>
      </c>
      <c r="D5" s="36">
        <v>1</v>
      </c>
      <c r="E5" s="36">
        <v>170</v>
      </c>
      <c r="G5" s="5"/>
      <c r="H5" s="5"/>
      <c r="J5" s="5"/>
      <c r="K5" s="5"/>
      <c r="M5" s="32" t="s">
        <v>1955</v>
      </c>
      <c r="O5" s="5"/>
    </row>
    <row r="6" spans="2:15" ht="11.25" customHeight="1" x14ac:dyDescent="0.3">
      <c r="B6" s="34"/>
      <c r="C6" s="34" t="s">
        <v>1237</v>
      </c>
      <c r="D6" s="36">
        <v>1</v>
      </c>
      <c r="E6" s="36">
        <v>376</v>
      </c>
      <c r="F6" s="10"/>
      <c r="G6" s="5"/>
      <c r="H6" s="5"/>
      <c r="J6" s="5"/>
      <c r="K6" s="5"/>
      <c r="M6" s="32" t="s">
        <v>1016</v>
      </c>
      <c r="O6" s="5"/>
    </row>
    <row r="7" spans="2:15" ht="11.25" customHeight="1" x14ac:dyDescent="0.3">
      <c r="B7" s="34" t="s">
        <v>839</v>
      </c>
      <c r="C7" s="35" t="s">
        <v>506</v>
      </c>
      <c r="D7" s="36">
        <v>4</v>
      </c>
      <c r="E7" s="37">
        <v>32</v>
      </c>
      <c r="G7" s="5"/>
      <c r="H7" s="5"/>
      <c r="J7" s="5"/>
      <c r="K7" s="5"/>
      <c r="M7" s="32" t="s">
        <v>1923</v>
      </c>
      <c r="O7" s="5"/>
    </row>
    <row r="8" spans="2:15" ht="11.25" customHeight="1" x14ac:dyDescent="0.3">
      <c r="B8" s="34" t="s">
        <v>799</v>
      </c>
      <c r="C8" s="35" t="s">
        <v>463</v>
      </c>
      <c r="D8" s="36">
        <v>2</v>
      </c>
      <c r="E8" s="37">
        <v>40</v>
      </c>
      <c r="G8" s="5"/>
      <c r="H8" s="5"/>
      <c r="J8" s="5"/>
      <c r="K8" s="5"/>
      <c r="M8" s="32" t="s">
        <v>1958</v>
      </c>
      <c r="O8" s="5"/>
    </row>
    <row r="9" spans="2:15" ht="11.25" customHeight="1" x14ac:dyDescent="0.3">
      <c r="B9" s="34" t="s">
        <v>800</v>
      </c>
      <c r="C9" s="35" t="s">
        <v>464</v>
      </c>
      <c r="D9" s="36">
        <v>2</v>
      </c>
      <c r="E9" s="37">
        <v>40</v>
      </c>
      <c r="G9" s="5"/>
      <c r="H9" s="5"/>
      <c r="J9" s="5"/>
      <c r="K9" s="5"/>
      <c r="M9" s="32" t="s">
        <v>2275</v>
      </c>
      <c r="O9" s="5"/>
    </row>
    <row r="10" spans="2:15" ht="11.25" customHeight="1" x14ac:dyDescent="0.3">
      <c r="B10" s="34" t="s">
        <v>863</v>
      </c>
      <c r="C10" s="35" t="s">
        <v>534</v>
      </c>
      <c r="D10" s="36">
        <v>1</v>
      </c>
      <c r="E10" s="37">
        <v>65</v>
      </c>
      <c r="G10" s="5"/>
      <c r="H10" s="5"/>
      <c r="J10" s="5"/>
      <c r="K10" s="5"/>
      <c r="M10" s="32" t="s">
        <v>2276</v>
      </c>
      <c r="O10" s="5"/>
    </row>
    <row r="11" spans="2:15" ht="11.25" customHeight="1" x14ac:dyDescent="0.3">
      <c r="B11" s="34"/>
      <c r="C11" s="34" t="s">
        <v>2225</v>
      </c>
      <c r="D11" s="36">
        <v>1</v>
      </c>
      <c r="E11" s="36">
        <v>376</v>
      </c>
      <c r="F11" s="10"/>
      <c r="G11" s="5"/>
      <c r="H11" s="5"/>
      <c r="J11" s="5"/>
      <c r="K11" s="5"/>
      <c r="M11" s="32" t="s">
        <v>1645</v>
      </c>
      <c r="O11" s="5"/>
    </row>
    <row r="12" spans="2:15" ht="11.25" customHeight="1" x14ac:dyDescent="0.3">
      <c r="B12" s="34"/>
      <c r="C12" s="34" t="s">
        <v>1248</v>
      </c>
      <c r="D12" s="36">
        <v>1</v>
      </c>
      <c r="E12" s="36">
        <v>376</v>
      </c>
      <c r="F12" s="10"/>
      <c r="G12" s="5"/>
      <c r="H12" s="5"/>
      <c r="J12" s="5"/>
      <c r="K12" s="5"/>
      <c r="M12" s="32" t="s">
        <v>1140</v>
      </c>
      <c r="O12" s="5"/>
    </row>
    <row r="13" spans="2:15" ht="11.25" customHeight="1" x14ac:dyDescent="0.3">
      <c r="B13" s="34"/>
      <c r="C13" s="34" t="s">
        <v>1247</v>
      </c>
      <c r="D13" s="36">
        <v>1</v>
      </c>
      <c r="E13" s="36">
        <v>376</v>
      </c>
      <c r="F13" s="10"/>
      <c r="J13" s="5"/>
      <c r="K13" s="5"/>
      <c r="M13" s="32" t="s">
        <v>1198</v>
      </c>
      <c r="O13" s="5"/>
    </row>
    <row r="14" spans="2:15" ht="11.25" customHeight="1" x14ac:dyDescent="0.3">
      <c r="B14" s="34"/>
      <c r="C14" s="34" t="s">
        <v>2213</v>
      </c>
      <c r="D14" s="36">
        <v>1</v>
      </c>
      <c r="E14" s="36">
        <v>115</v>
      </c>
      <c r="J14" s="5"/>
      <c r="K14" s="5"/>
      <c r="M14" s="32" t="s">
        <v>2244</v>
      </c>
      <c r="O14" s="5"/>
    </row>
    <row r="15" spans="2:15" ht="11.25" customHeight="1" x14ac:dyDescent="0.3">
      <c r="B15" s="34"/>
      <c r="C15" s="34" t="s">
        <v>1245</v>
      </c>
      <c r="D15" s="36">
        <v>1</v>
      </c>
      <c r="E15" s="36">
        <v>376</v>
      </c>
      <c r="F15" s="10"/>
      <c r="J15" s="5"/>
      <c r="K15" s="5"/>
      <c r="M15" s="32" t="s">
        <v>1015</v>
      </c>
      <c r="O15" s="5"/>
    </row>
    <row r="16" spans="2:15" ht="11.25" customHeight="1" x14ac:dyDescent="0.3">
      <c r="B16" s="5"/>
      <c r="C16" s="5" t="s">
        <v>2242</v>
      </c>
      <c r="D16" s="42">
        <v>2</v>
      </c>
      <c r="E16" s="42">
        <v>49</v>
      </c>
      <c r="J16" s="5"/>
      <c r="K16" s="5"/>
      <c r="M16" s="44" t="s">
        <v>2238</v>
      </c>
      <c r="O16" s="5"/>
    </row>
    <row r="17" spans="2:15" ht="11.25" customHeight="1" x14ac:dyDescent="0.3">
      <c r="B17" s="34"/>
      <c r="C17" s="34" t="s">
        <v>1926</v>
      </c>
      <c r="D17" s="36">
        <v>1</v>
      </c>
      <c r="E17" s="36">
        <v>376</v>
      </c>
      <c r="F17" s="10"/>
      <c r="J17" s="5"/>
      <c r="K17" s="5"/>
      <c r="M17" s="32" t="s">
        <v>1014</v>
      </c>
      <c r="O17" s="5"/>
    </row>
    <row r="18" spans="2:15" ht="11.25" customHeight="1" x14ac:dyDescent="0.3">
      <c r="B18" s="34"/>
      <c r="C18" s="34" t="s">
        <v>1246</v>
      </c>
      <c r="D18" s="36">
        <v>1</v>
      </c>
      <c r="E18" s="36">
        <v>376</v>
      </c>
      <c r="F18" s="10"/>
      <c r="M18" s="32" t="s">
        <v>1013</v>
      </c>
      <c r="O18" s="5"/>
    </row>
    <row r="19" spans="2:15" ht="11.25" customHeight="1" x14ac:dyDescent="0.3">
      <c r="B19" s="34"/>
      <c r="C19" s="34" t="s">
        <v>1157</v>
      </c>
      <c r="D19" s="36">
        <v>2</v>
      </c>
      <c r="E19" s="36">
        <v>24</v>
      </c>
      <c r="F19" s="10"/>
      <c r="M19" s="32" t="s">
        <v>2237</v>
      </c>
      <c r="O19" s="5"/>
    </row>
    <row r="20" spans="2:15" ht="11.25" customHeight="1" x14ac:dyDescent="0.3">
      <c r="B20" s="34"/>
      <c r="C20" s="34" t="s">
        <v>1159</v>
      </c>
      <c r="D20" s="36">
        <v>2</v>
      </c>
      <c r="E20" s="36">
        <v>24</v>
      </c>
      <c r="F20" s="10"/>
      <c r="M20" s="32" t="s">
        <v>1012</v>
      </c>
      <c r="O20" s="5"/>
    </row>
    <row r="21" spans="2:15" ht="11.25" customHeight="1" x14ac:dyDescent="0.3">
      <c r="B21" s="34"/>
      <c r="C21" s="34" t="s">
        <v>1191</v>
      </c>
      <c r="D21" s="36">
        <v>2</v>
      </c>
      <c r="E21" s="36">
        <v>24</v>
      </c>
      <c r="F21" s="10"/>
      <c r="M21" s="32" t="s">
        <v>1011</v>
      </c>
      <c r="O21" s="5"/>
    </row>
    <row r="22" spans="2:15" ht="11.25" customHeight="1" x14ac:dyDescent="0.3">
      <c r="B22" s="34"/>
      <c r="C22" s="34" t="s">
        <v>1928</v>
      </c>
      <c r="D22" s="36">
        <v>2</v>
      </c>
      <c r="E22" s="36">
        <v>24</v>
      </c>
      <c r="M22" s="32" t="s">
        <v>1010</v>
      </c>
      <c r="O22" s="5"/>
    </row>
    <row r="23" spans="2:15" ht="11.25" customHeight="1" x14ac:dyDescent="0.3">
      <c r="B23" s="34"/>
      <c r="C23" s="34" t="s">
        <v>1156</v>
      </c>
      <c r="D23" s="36">
        <v>2</v>
      </c>
      <c r="E23" s="36">
        <v>24</v>
      </c>
      <c r="F23" s="10"/>
      <c r="M23" s="32" t="s">
        <v>1025</v>
      </c>
      <c r="O23" s="5"/>
    </row>
    <row r="24" spans="2:15" ht="11.25" customHeight="1" x14ac:dyDescent="0.3">
      <c r="B24" s="34"/>
      <c r="C24" s="34" t="s">
        <v>1158</v>
      </c>
      <c r="D24" s="36">
        <v>2</v>
      </c>
      <c r="E24" s="36">
        <v>24</v>
      </c>
      <c r="F24" s="10"/>
      <c r="M24" s="32" t="s">
        <v>1009</v>
      </c>
      <c r="O24" s="5"/>
    </row>
    <row r="25" spans="2:15" ht="11.25" customHeight="1" x14ac:dyDescent="0.3">
      <c r="B25" s="34"/>
      <c r="C25" s="34" t="s">
        <v>1155</v>
      </c>
      <c r="D25" s="36">
        <v>2</v>
      </c>
      <c r="E25" s="36">
        <v>24</v>
      </c>
      <c r="F25" s="10"/>
      <c r="M25" s="32" t="s">
        <v>1008</v>
      </c>
      <c r="O25" s="5"/>
    </row>
    <row r="26" spans="2:15" ht="11.25" customHeight="1" x14ac:dyDescent="0.3">
      <c r="B26" s="34"/>
      <c r="C26" s="35" t="s">
        <v>2252</v>
      </c>
      <c r="D26" s="36">
        <v>1</v>
      </c>
      <c r="E26" s="37">
        <v>97</v>
      </c>
      <c r="M26" s="32" t="s">
        <v>2191</v>
      </c>
      <c r="O26" s="5"/>
    </row>
    <row r="27" spans="2:15" ht="11.25" customHeight="1" x14ac:dyDescent="0.3">
      <c r="B27" s="34" t="s">
        <v>836</v>
      </c>
      <c r="C27" s="35" t="s">
        <v>503</v>
      </c>
      <c r="D27" s="36">
        <v>4</v>
      </c>
      <c r="E27" s="37">
        <v>32</v>
      </c>
      <c r="M27" s="32" t="s">
        <v>2008</v>
      </c>
      <c r="O27" s="5"/>
    </row>
    <row r="28" spans="2:15" ht="11.25" customHeight="1" x14ac:dyDescent="0.3">
      <c r="B28" s="34" t="s">
        <v>354</v>
      </c>
      <c r="C28" s="35" t="s">
        <v>2247</v>
      </c>
      <c r="D28" s="36">
        <v>1</v>
      </c>
      <c r="E28" s="37">
        <v>97</v>
      </c>
      <c r="M28" s="32" t="s">
        <v>2192</v>
      </c>
      <c r="O28" s="5"/>
    </row>
    <row r="29" spans="2:15" ht="11.25" customHeight="1" x14ac:dyDescent="0.3">
      <c r="B29" s="34" t="s">
        <v>838</v>
      </c>
      <c r="C29" s="35" t="s">
        <v>505</v>
      </c>
      <c r="D29" s="36">
        <v>4</v>
      </c>
      <c r="E29" s="37">
        <v>32</v>
      </c>
      <c r="M29" s="32" t="s">
        <v>2063</v>
      </c>
      <c r="O29" s="5"/>
    </row>
    <row r="30" spans="2:15" ht="11.25" customHeight="1" x14ac:dyDescent="0.3">
      <c r="B30" s="34"/>
      <c r="C30" s="35" t="s">
        <v>2249</v>
      </c>
      <c r="D30" s="36">
        <v>1</v>
      </c>
      <c r="E30" s="37">
        <v>97</v>
      </c>
      <c r="M30" s="45" t="s">
        <v>2170</v>
      </c>
      <c r="O30" s="5"/>
    </row>
    <row r="31" spans="2:15" ht="11.25" customHeight="1" x14ac:dyDescent="0.3">
      <c r="B31" s="34" t="s">
        <v>359</v>
      </c>
      <c r="C31" s="35" t="s">
        <v>1922</v>
      </c>
      <c r="D31" s="36">
        <v>2</v>
      </c>
      <c r="E31" s="37">
        <v>83</v>
      </c>
      <c r="F31" s="10"/>
      <c r="M31" s="32" t="s">
        <v>2302</v>
      </c>
      <c r="O31" s="5"/>
    </row>
    <row r="32" spans="2:15" ht="11.25" customHeight="1" x14ac:dyDescent="0.3">
      <c r="B32" s="34" t="s">
        <v>358</v>
      </c>
      <c r="C32" s="35" t="s">
        <v>455</v>
      </c>
      <c r="D32" s="36">
        <v>2</v>
      </c>
      <c r="E32" s="37">
        <v>83</v>
      </c>
      <c r="F32" s="10"/>
      <c r="M32" s="32" t="s">
        <v>1998</v>
      </c>
      <c r="O32" s="5"/>
    </row>
    <row r="33" spans="2:15" ht="11.25" customHeight="1" x14ac:dyDescent="0.3">
      <c r="B33" s="34" t="s">
        <v>361</v>
      </c>
      <c r="C33" s="35" t="s">
        <v>454</v>
      </c>
      <c r="D33" s="36">
        <v>2</v>
      </c>
      <c r="E33" s="37">
        <v>83</v>
      </c>
      <c r="M33" s="32" t="s">
        <v>1992</v>
      </c>
      <c r="O33" s="5"/>
    </row>
    <row r="34" spans="2:15" ht="11.25" customHeight="1" x14ac:dyDescent="0.3">
      <c r="B34" s="34" t="s">
        <v>356</v>
      </c>
      <c r="C34" s="35" t="s">
        <v>453</v>
      </c>
      <c r="D34" s="36">
        <v>2</v>
      </c>
      <c r="E34" s="37">
        <v>83</v>
      </c>
      <c r="F34" s="10"/>
      <c r="M34" s="32" t="s">
        <v>1979</v>
      </c>
      <c r="O34" s="5"/>
    </row>
    <row r="35" spans="2:15" ht="11.25" customHeight="1" x14ac:dyDescent="0.3">
      <c r="B35" s="34" t="s">
        <v>938</v>
      </c>
      <c r="C35" s="35" t="s">
        <v>640</v>
      </c>
      <c r="D35" s="36">
        <v>2</v>
      </c>
      <c r="E35" s="37">
        <v>6</v>
      </c>
      <c r="F35" s="10"/>
      <c r="M35" s="32" t="s">
        <v>2317</v>
      </c>
      <c r="O35" s="5"/>
    </row>
    <row r="36" spans="2:15" ht="11.25" customHeight="1" x14ac:dyDescent="0.3">
      <c r="B36" s="34" t="s">
        <v>361</v>
      </c>
      <c r="C36" s="35" t="s">
        <v>2000</v>
      </c>
      <c r="D36" s="36">
        <v>2</v>
      </c>
      <c r="E36" s="37">
        <v>83</v>
      </c>
      <c r="F36" s="10"/>
      <c r="M36" s="32" t="s">
        <v>2316</v>
      </c>
      <c r="O36" s="5"/>
    </row>
    <row r="37" spans="2:15" ht="11.25" customHeight="1" x14ac:dyDescent="0.3">
      <c r="B37" s="34" t="s">
        <v>357</v>
      </c>
      <c r="C37" s="35" t="s">
        <v>947</v>
      </c>
      <c r="D37" s="36">
        <v>2</v>
      </c>
      <c r="E37" s="37">
        <v>83</v>
      </c>
      <c r="F37" s="10"/>
      <c r="M37" s="32" t="s">
        <v>2315</v>
      </c>
      <c r="O37" s="5"/>
    </row>
    <row r="38" spans="2:15" ht="11.25" customHeight="1" x14ac:dyDescent="0.3">
      <c r="B38" s="34" t="s">
        <v>360</v>
      </c>
      <c r="C38" s="35" t="s">
        <v>456</v>
      </c>
      <c r="D38" s="36">
        <v>2</v>
      </c>
      <c r="E38" s="37">
        <v>83</v>
      </c>
      <c r="F38" s="10"/>
      <c r="M38" s="43" t="s">
        <v>2314</v>
      </c>
      <c r="O38" s="5"/>
    </row>
    <row r="39" spans="2:15" ht="11.25" customHeight="1" x14ac:dyDescent="0.3">
      <c r="B39" s="34"/>
      <c r="C39" s="35" t="s">
        <v>1168</v>
      </c>
      <c r="D39" s="36">
        <v>2</v>
      </c>
      <c r="E39" s="37">
        <v>86</v>
      </c>
      <c r="F39" s="10"/>
      <c r="M39" s="32" t="s">
        <v>2322</v>
      </c>
      <c r="O39" s="5"/>
    </row>
    <row r="40" spans="2:15" ht="11.25" customHeight="1" x14ac:dyDescent="0.3">
      <c r="B40" s="34"/>
      <c r="C40" s="35" t="s">
        <v>1167</v>
      </c>
      <c r="D40" s="36">
        <v>2</v>
      </c>
      <c r="E40" s="37">
        <v>86</v>
      </c>
      <c r="F40" s="10"/>
      <c r="M40" s="32" t="s">
        <v>2319</v>
      </c>
      <c r="O40" s="5"/>
    </row>
    <row r="41" spans="2:15" ht="11.25" customHeight="1" x14ac:dyDescent="0.3">
      <c r="B41" s="34"/>
      <c r="C41" s="35" t="s">
        <v>1927</v>
      </c>
      <c r="D41" s="36">
        <v>2</v>
      </c>
      <c r="E41" s="37">
        <v>86</v>
      </c>
      <c r="F41" s="10"/>
      <c r="M41" s="32" t="s">
        <v>2320</v>
      </c>
      <c r="O41" s="5"/>
    </row>
    <row r="42" spans="2:15" ht="11.25" customHeight="1" x14ac:dyDescent="0.3">
      <c r="B42" s="34"/>
      <c r="C42" s="35" t="s">
        <v>1169</v>
      </c>
      <c r="D42" s="36">
        <v>2</v>
      </c>
      <c r="E42" s="37">
        <v>86</v>
      </c>
      <c r="F42" s="10"/>
      <c r="M42" s="32" t="s">
        <v>2321</v>
      </c>
      <c r="O42" s="5"/>
    </row>
    <row r="43" spans="2:15" ht="11.25" customHeight="1" x14ac:dyDescent="0.3">
      <c r="B43" s="34"/>
      <c r="C43" s="35" t="s">
        <v>1165</v>
      </c>
      <c r="D43" s="36">
        <v>2</v>
      </c>
      <c r="E43" s="37">
        <v>86</v>
      </c>
      <c r="F43" s="10"/>
      <c r="M43" s="32" t="s">
        <v>1007</v>
      </c>
    </row>
    <row r="44" spans="2:15" ht="11.25" customHeight="1" x14ac:dyDescent="0.3">
      <c r="B44" s="34"/>
      <c r="C44" s="35" t="s">
        <v>1166</v>
      </c>
      <c r="D44" s="36">
        <v>2</v>
      </c>
      <c r="E44" s="37">
        <v>86</v>
      </c>
      <c r="F44" s="10"/>
      <c r="M44" s="32" t="s">
        <v>1057</v>
      </c>
    </row>
    <row r="45" spans="2:15" ht="11.25" customHeight="1" x14ac:dyDescent="0.3">
      <c r="B45" s="34" t="s">
        <v>281</v>
      </c>
      <c r="C45" s="35" t="s">
        <v>386</v>
      </c>
      <c r="D45" s="36">
        <v>2</v>
      </c>
      <c r="E45" s="37">
        <v>44</v>
      </c>
      <c r="F45" s="10"/>
      <c r="G45" s="11"/>
      <c r="H45" s="11"/>
      <c r="J45" s="11"/>
      <c r="K45" s="11"/>
      <c r="M45" s="32" t="s">
        <v>1113</v>
      </c>
      <c r="O45" t="s">
        <v>1220</v>
      </c>
    </row>
    <row r="46" spans="2:15" ht="11.25" customHeight="1" x14ac:dyDescent="0.3">
      <c r="B46" s="34" t="s">
        <v>342</v>
      </c>
      <c r="C46" s="35" t="s">
        <v>2269</v>
      </c>
      <c r="D46" s="36">
        <v>1</v>
      </c>
      <c r="E46" s="37">
        <v>134</v>
      </c>
      <c r="F46" s="10"/>
      <c r="M46" s="32" t="s">
        <v>2282</v>
      </c>
    </row>
    <row r="47" spans="2:15" ht="11.25" customHeight="1" x14ac:dyDescent="0.3">
      <c r="B47" s="34"/>
      <c r="C47" s="34" t="s">
        <v>1148</v>
      </c>
      <c r="D47" s="36">
        <v>2</v>
      </c>
      <c r="E47" s="36">
        <v>86</v>
      </c>
      <c r="F47" s="10"/>
      <c r="M47" s="32" t="s">
        <v>1006</v>
      </c>
    </row>
    <row r="48" spans="2:15" ht="11.25" customHeight="1" x14ac:dyDescent="0.3">
      <c r="B48" s="34"/>
      <c r="C48" s="34" t="s">
        <v>1151</v>
      </c>
      <c r="D48" s="36">
        <v>2</v>
      </c>
      <c r="E48" s="36">
        <v>86</v>
      </c>
      <c r="F48" s="10"/>
      <c r="M48" s="32" t="s">
        <v>2298</v>
      </c>
    </row>
    <row r="49" spans="2:13" ht="11.25" customHeight="1" x14ac:dyDescent="0.3">
      <c r="B49" s="34" t="s">
        <v>916</v>
      </c>
      <c r="C49" s="35" t="s">
        <v>615</v>
      </c>
      <c r="D49" s="36">
        <v>2</v>
      </c>
      <c r="E49" s="37">
        <v>19</v>
      </c>
      <c r="M49" s="32" t="s">
        <v>2297</v>
      </c>
    </row>
    <row r="50" spans="2:13" ht="11.25" customHeight="1" x14ac:dyDescent="0.3">
      <c r="B50" s="34"/>
      <c r="C50" s="34" t="s">
        <v>1866</v>
      </c>
      <c r="D50" s="36">
        <v>2</v>
      </c>
      <c r="E50" s="36">
        <v>86</v>
      </c>
      <c r="F50" s="10"/>
      <c r="M50" s="32" t="s">
        <v>962</v>
      </c>
    </row>
    <row r="51" spans="2:13" ht="11.25" customHeight="1" x14ac:dyDescent="0.3">
      <c r="B51" s="34"/>
      <c r="C51" s="34" t="s">
        <v>1147</v>
      </c>
      <c r="D51" s="36">
        <v>2</v>
      </c>
      <c r="E51" s="36">
        <v>86</v>
      </c>
      <c r="F51" s="10"/>
      <c r="M51" s="32" t="s">
        <v>1056</v>
      </c>
    </row>
    <row r="52" spans="2:13" ht="11.25" customHeight="1" x14ac:dyDescent="0.3">
      <c r="B52" s="5"/>
      <c r="C52" s="5" t="s">
        <v>2240</v>
      </c>
      <c r="D52" s="42">
        <v>2</v>
      </c>
      <c r="E52" s="42">
        <v>49</v>
      </c>
      <c r="M52" s="32" t="s">
        <v>2226</v>
      </c>
    </row>
    <row r="53" spans="2:13" ht="11.25" customHeight="1" x14ac:dyDescent="0.3">
      <c r="B53" s="34" t="s">
        <v>837</v>
      </c>
      <c r="C53" s="35" t="s">
        <v>504</v>
      </c>
      <c r="D53" s="36">
        <v>4</v>
      </c>
      <c r="E53" s="37">
        <v>32</v>
      </c>
      <c r="M53" s="32" t="s">
        <v>2024</v>
      </c>
    </row>
    <row r="54" spans="2:13" ht="11.25" customHeight="1" x14ac:dyDescent="0.3">
      <c r="B54" s="34"/>
      <c r="C54" s="34" t="s">
        <v>1867</v>
      </c>
      <c r="D54" s="36">
        <v>2</v>
      </c>
      <c r="E54" s="36">
        <v>86</v>
      </c>
      <c r="F54" s="10"/>
      <c r="M54" s="32" t="s">
        <v>1004</v>
      </c>
    </row>
    <row r="55" spans="2:13" ht="11.25" customHeight="1" x14ac:dyDescent="0.3">
      <c r="B55" s="34" t="s">
        <v>343</v>
      </c>
      <c r="C55" s="35" t="s">
        <v>1192</v>
      </c>
      <c r="D55" s="36">
        <v>11</v>
      </c>
      <c r="E55" s="37">
        <v>0.64</v>
      </c>
      <c r="F55" s="10"/>
      <c r="M55" s="32" t="s">
        <v>1061</v>
      </c>
    </row>
    <row r="56" spans="2:13" ht="11.25" customHeight="1" x14ac:dyDescent="0.3">
      <c r="B56" s="34"/>
      <c r="C56" s="34" t="s">
        <v>1146</v>
      </c>
      <c r="D56" s="36">
        <v>2</v>
      </c>
      <c r="E56" s="36">
        <v>86</v>
      </c>
      <c r="F56" s="10"/>
      <c r="M56" s="32" t="s">
        <v>955</v>
      </c>
    </row>
    <row r="57" spans="2:13" ht="11.25" customHeight="1" x14ac:dyDescent="0.3">
      <c r="B57" s="34"/>
      <c r="C57" s="34" t="s">
        <v>1098</v>
      </c>
      <c r="D57" s="36">
        <v>8</v>
      </c>
      <c r="E57" s="36">
        <v>11.87</v>
      </c>
      <c r="M57" s="32" t="s">
        <v>2004</v>
      </c>
    </row>
    <row r="58" spans="2:13" ht="11.25" customHeight="1" x14ac:dyDescent="0.3">
      <c r="B58" s="34" t="s">
        <v>806</v>
      </c>
      <c r="C58" s="35" t="s">
        <v>469</v>
      </c>
      <c r="D58" s="36">
        <v>1</v>
      </c>
      <c r="E58" s="37">
        <v>70</v>
      </c>
      <c r="F58" s="10"/>
      <c r="M58" s="32" t="s">
        <v>1085</v>
      </c>
    </row>
    <row r="59" spans="2:13" ht="11.25" customHeight="1" x14ac:dyDescent="0.3">
      <c r="B59" s="34" t="s">
        <v>815</v>
      </c>
      <c r="C59" s="35" t="s">
        <v>481</v>
      </c>
      <c r="D59" s="36">
        <v>2</v>
      </c>
      <c r="E59" s="37">
        <v>58</v>
      </c>
      <c r="M59" s="45" t="s">
        <v>2123</v>
      </c>
    </row>
    <row r="60" spans="2:13" ht="11.25" customHeight="1" x14ac:dyDescent="0.3">
      <c r="B60" s="34" t="s">
        <v>764</v>
      </c>
      <c r="C60" s="35" t="s">
        <v>483</v>
      </c>
      <c r="D60" s="36">
        <v>2</v>
      </c>
      <c r="E60" s="37">
        <v>58</v>
      </c>
      <c r="M60" s="45" t="s">
        <v>2137</v>
      </c>
    </row>
    <row r="61" spans="2:13" ht="11.25" customHeight="1" x14ac:dyDescent="0.3">
      <c r="B61" s="34" t="s">
        <v>780</v>
      </c>
      <c r="C61" s="35" t="s">
        <v>535</v>
      </c>
      <c r="D61" s="36">
        <v>1</v>
      </c>
      <c r="E61" s="37">
        <v>65</v>
      </c>
      <c r="M61" s="45" t="s">
        <v>2278</v>
      </c>
    </row>
    <row r="62" spans="2:13" ht="11.25" customHeight="1" x14ac:dyDescent="0.3">
      <c r="B62" s="34" t="s">
        <v>816</v>
      </c>
      <c r="C62" s="35" t="s">
        <v>482</v>
      </c>
      <c r="D62" s="36">
        <v>2</v>
      </c>
      <c r="E62" s="37">
        <v>58</v>
      </c>
      <c r="M62" s="45" t="s">
        <v>2130</v>
      </c>
    </row>
    <row r="63" spans="2:13" ht="11.25" customHeight="1" x14ac:dyDescent="0.3">
      <c r="B63" s="34" t="s">
        <v>324</v>
      </c>
      <c r="C63" s="35" t="s">
        <v>2279</v>
      </c>
      <c r="D63" s="36">
        <v>2</v>
      </c>
      <c r="E63" s="37">
        <v>40</v>
      </c>
      <c r="F63" s="10"/>
      <c r="M63" s="32" t="s">
        <v>1111</v>
      </c>
    </row>
    <row r="64" spans="2:13" ht="11.25" customHeight="1" x14ac:dyDescent="0.3">
      <c r="B64" s="34" t="s">
        <v>803</v>
      </c>
      <c r="C64" s="35" t="s">
        <v>466</v>
      </c>
      <c r="D64" s="36">
        <v>2</v>
      </c>
      <c r="E64" s="37">
        <v>40</v>
      </c>
      <c r="M64" s="32" t="s">
        <v>1258</v>
      </c>
    </row>
    <row r="65" spans="2:13" ht="11.25" customHeight="1" x14ac:dyDescent="0.3">
      <c r="B65" s="34"/>
      <c r="C65" s="34" t="s">
        <v>2102</v>
      </c>
      <c r="D65" s="36">
        <v>1</v>
      </c>
      <c r="E65" s="36">
        <v>170</v>
      </c>
      <c r="M65" s="32" t="s">
        <v>1938</v>
      </c>
    </row>
    <row r="66" spans="2:13" ht="11.25" customHeight="1" x14ac:dyDescent="0.3">
      <c r="B66" s="34"/>
      <c r="C66" s="34" t="s">
        <v>2103</v>
      </c>
      <c r="D66" s="36">
        <v>1</v>
      </c>
      <c r="E66" s="36">
        <v>170</v>
      </c>
      <c r="M66" s="32" t="s">
        <v>2304</v>
      </c>
    </row>
    <row r="67" spans="2:13" ht="11.25" customHeight="1" x14ac:dyDescent="0.3">
      <c r="B67" s="34" t="s">
        <v>830</v>
      </c>
      <c r="C67" s="35" t="s">
        <v>497</v>
      </c>
      <c r="D67" s="36">
        <v>4</v>
      </c>
      <c r="E67" s="37">
        <v>39</v>
      </c>
      <c r="M67" s="5" t="s">
        <v>2270</v>
      </c>
    </row>
    <row r="68" spans="2:13" ht="11.25" customHeight="1" x14ac:dyDescent="0.3">
      <c r="B68" s="34" t="s">
        <v>848</v>
      </c>
      <c r="C68" s="35" t="s">
        <v>519</v>
      </c>
      <c r="D68" s="36">
        <v>4</v>
      </c>
      <c r="E68" s="37">
        <v>43</v>
      </c>
      <c r="M68" s="32" t="s">
        <v>2264</v>
      </c>
    </row>
    <row r="69" spans="2:13" ht="11.25" customHeight="1" x14ac:dyDescent="0.3">
      <c r="B69" s="34" t="s">
        <v>920</v>
      </c>
      <c r="C69" s="35" t="s">
        <v>619</v>
      </c>
      <c r="D69" s="36">
        <v>2</v>
      </c>
      <c r="E69" s="37">
        <v>19</v>
      </c>
      <c r="M69" s="5" t="s">
        <v>2277</v>
      </c>
    </row>
    <row r="70" spans="2:13" ht="11.25" customHeight="1" x14ac:dyDescent="0.3">
      <c r="B70" s="34" t="s">
        <v>831</v>
      </c>
      <c r="C70" s="35" t="s">
        <v>498</v>
      </c>
      <c r="D70" s="36">
        <v>4</v>
      </c>
      <c r="E70" s="37">
        <v>39</v>
      </c>
      <c r="M70" s="5" t="s">
        <v>2271</v>
      </c>
    </row>
    <row r="71" spans="2:13" ht="11.25" customHeight="1" x14ac:dyDescent="0.3">
      <c r="B71" s="34" t="s">
        <v>849</v>
      </c>
      <c r="C71" s="35" t="s">
        <v>520</v>
      </c>
      <c r="D71" s="36">
        <v>4</v>
      </c>
      <c r="E71" s="37">
        <v>43</v>
      </c>
      <c r="M71" s="5" t="s">
        <v>2265</v>
      </c>
    </row>
    <row r="72" spans="2:13" ht="11.25" customHeight="1" x14ac:dyDescent="0.3">
      <c r="B72" s="34"/>
      <c r="C72" s="35" t="s">
        <v>1184</v>
      </c>
      <c r="D72" s="36">
        <v>1</v>
      </c>
      <c r="E72" s="37">
        <v>134</v>
      </c>
      <c r="F72" s="10"/>
      <c r="M72" s="32" t="s">
        <v>1022</v>
      </c>
    </row>
    <row r="73" spans="2:13" ht="11.25" customHeight="1" x14ac:dyDescent="0.3">
      <c r="B73" s="34" t="s">
        <v>341</v>
      </c>
      <c r="C73" s="35" t="s">
        <v>440</v>
      </c>
      <c r="D73" s="36">
        <v>1</v>
      </c>
      <c r="E73" s="37">
        <v>134</v>
      </c>
      <c r="F73" s="10"/>
      <c r="M73" s="32" t="s">
        <v>1005</v>
      </c>
    </row>
    <row r="74" spans="2:13" ht="11.25" customHeight="1" x14ac:dyDescent="0.3">
      <c r="B74" s="34" t="s">
        <v>340</v>
      </c>
      <c r="C74" s="35" t="s">
        <v>439</v>
      </c>
      <c r="D74" s="36">
        <v>1</v>
      </c>
      <c r="E74" s="37">
        <v>134</v>
      </c>
      <c r="F74" s="10"/>
      <c r="M74" s="32" t="s">
        <v>1003</v>
      </c>
    </row>
    <row r="75" spans="2:13" ht="11.25" customHeight="1" x14ac:dyDescent="0.3">
      <c r="B75" s="34" t="s">
        <v>339</v>
      </c>
      <c r="C75" s="35" t="s">
        <v>438</v>
      </c>
      <c r="D75" s="36">
        <v>1</v>
      </c>
      <c r="E75" s="37">
        <v>134</v>
      </c>
      <c r="F75" s="12"/>
      <c r="M75" s="32" t="s">
        <v>1018</v>
      </c>
    </row>
    <row r="76" spans="2:13" ht="11.25" customHeight="1" x14ac:dyDescent="0.3">
      <c r="B76" s="34" t="s">
        <v>338</v>
      </c>
      <c r="C76" s="35" t="s">
        <v>437</v>
      </c>
      <c r="D76" s="36">
        <v>1</v>
      </c>
      <c r="E76" s="37">
        <v>134</v>
      </c>
      <c r="F76" s="12"/>
      <c r="M76" s="32" t="s">
        <v>1002</v>
      </c>
    </row>
    <row r="77" spans="2:13" ht="11.25" customHeight="1" x14ac:dyDescent="0.3">
      <c r="B77" s="34" t="s">
        <v>337</v>
      </c>
      <c r="C77" s="35" t="s">
        <v>436</v>
      </c>
      <c r="D77" s="36">
        <v>1</v>
      </c>
      <c r="E77" s="37">
        <v>139</v>
      </c>
      <c r="F77" s="14"/>
      <c r="M77" s="32" t="s">
        <v>1001</v>
      </c>
    </row>
    <row r="78" spans="2:13" ht="11.25" customHeight="1" x14ac:dyDescent="0.3">
      <c r="B78" s="34"/>
      <c r="C78" s="34" t="s">
        <v>2266</v>
      </c>
      <c r="D78" s="36">
        <v>2</v>
      </c>
      <c r="E78" s="36">
        <v>135</v>
      </c>
      <c r="M78" s="32" t="s">
        <v>1000</v>
      </c>
    </row>
    <row r="79" spans="2:13" ht="11.25" customHeight="1" x14ac:dyDescent="0.3">
      <c r="B79" s="34" t="s">
        <v>791</v>
      </c>
      <c r="C79" s="35" t="s">
        <v>609</v>
      </c>
      <c r="D79" s="36">
        <v>9</v>
      </c>
      <c r="E79" s="37">
        <v>18</v>
      </c>
      <c r="M79" s="32" t="s">
        <v>1110</v>
      </c>
    </row>
    <row r="80" spans="2:13" ht="11.25" customHeight="1" x14ac:dyDescent="0.3">
      <c r="B80" s="34"/>
      <c r="C80" s="35" t="s">
        <v>2251</v>
      </c>
      <c r="D80" s="36">
        <v>1</v>
      </c>
      <c r="E80" s="37">
        <v>97</v>
      </c>
      <c r="M80" s="43" t="s">
        <v>2219</v>
      </c>
    </row>
    <row r="81" spans="2:13" ht="11.25" customHeight="1" x14ac:dyDescent="0.3">
      <c r="B81" s="34" t="s">
        <v>790</v>
      </c>
      <c r="C81" s="35" t="s">
        <v>608</v>
      </c>
      <c r="D81" s="36">
        <v>9</v>
      </c>
      <c r="E81" s="37">
        <v>18</v>
      </c>
      <c r="M81" s="32" t="s">
        <v>2077</v>
      </c>
    </row>
    <row r="82" spans="2:13" ht="11.25" customHeight="1" x14ac:dyDescent="0.3">
      <c r="B82" s="34"/>
      <c r="C82" s="34" t="s">
        <v>1920</v>
      </c>
      <c r="D82" s="36">
        <v>2</v>
      </c>
      <c r="E82" s="36">
        <v>135</v>
      </c>
      <c r="M82" s="43" t="s">
        <v>2301</v>
      </c>
    </row>
    <row r="83" spans="2:13" ht="11.25" customHeight="1" x14ac:dyDescent="0.3">
      <c r="B83" s="34"/>
      <c r="C83" s="34" t="s">
        <v>1918</v>
      </c>
      <c r="D83" s="36">
        <v>2</v>
      </c>
      <c r="E83" s="36">
        <v>135</v>
      </c>
      <c r="M83" s="32" t="s">
        <v>2217</v>
      </c>
    </row>
    <row r="84" spans="2:13" ht="11.25" customHeight="1" x14ac:dyDescent="0.3">
      <c r="B84" s="34"/>
      <c r="C84" s="34" t="s">
        <v>1917</v>
      </c>
      <c r="D84" s="36">
        <v>2</v>
      </c>
      <c r="E84" s="36">
        <v>135</v>
      </c>
      <c r="M84" s="32" t="s">
        <v>2076</v>
      </c>
    </row>
    <row r="85" spans="2:13" ht="11.25" customHeight="1" x14ac:dyDescent="0.3">
      <c r="B85" s="34"/>
      <c r="C85" s="34" t="s">
        <v>1921</v>
      </c>
      <c r="D85" s="36">
        <v>2</v>
      </c>
      <c r="E85" s="36">
        <v>135</v>
      </c>
      <c r="M85" s="43" t="s">
        <v>2312</v>
      </c>
    </row>
    <row r="86" spans="2:13" ht="11.25" customHeight="1" x14ac:dyDescent="0.3">
      <c r="B86" s="34" t="s">
        <v>805</v>
      </c>
      <c r="C86" s="35" t="s">
        <v>468</v>
      </c>
      <c r="D86" s="36">
        <v>1</v>
      </c>
      <c r="E86" s="37">
        <v>70</v>
      </c>
      <c r="F86" s="10"/>
      <c r="M86" s="32" t="s">
        <v>1079</v>
      </c>
    </row>
    <row r="87" spans="2:13" ht="11.25" customHeight="1" x14ac:dyDescent="0.3">
      <c r="B87" s="34"/>
      <c r="C87" s="34" t="s">
        <v>1163</v>
      </c>
      <c r="D87" s="36">
        <v>6</v>
      </c>
      <c r="E87" s="36">
        <v>13.4</v>
      </c>
      <c r="M87" s="5" t="s">
        <v>2328</v>
      </c>
    </row>
    <row r="88" spans="2:13" ht="11.25" customHeight="1" x14ac:dyDescent="0.3">
      <c r="B88" s="34"/>
      <c r="C88" s="34" t="s">
        <v>1919</v>
      </c>
      <c r="D88" s="36">
        <v>2</v>
      </c>
      <c r="E88" s="36">
        <v>135</v>
      </c>
      <c r="M88" s="32" t="s">
        <v>1084</v>
      </c>
    </row>
    <row r="89" spans="2:13" ht="11.25" customHeight="1" x14ac:dyDescent="0.3">
      <c r="B89" s="5"/>
      <c r="C89" s="39" t="s">
        <v>2254</v>
      </c>
      <c r="D89" s="42">
        <v>3</v>
      </c>
      <c r="E89" s="42">
        <v>11</v>
      </c>
      <c r="M89" s="32" t="s">
        <v>2308</v>
      </c>
    </row>
    <row r="90" spans="2:13" ht="11.25" customHeight="1" x14ac:dyDescent="0.3">
      <c r="B90" s="34" t="s">
        <v>808</v>
      </c>
      <c r="C90" s="35" t="s">
        <v>471</v>
      </c>
      <c r="D90" s="36">
        <v>1</v>
      </c>
      <c r="E90" s="37">
        <v>70</v>
      </c>
      <c r="F90" s="10"/>
      <c r="M90" s="32" t="s">
        <v>1089</v>
      </c>
    </row>
    <row r="91" spans="2:13" ht="11.25" customHeight="1" x14ac:dyDescent="0.3">
      <c r="B91" s="34" t="s">
        <v>807</v>
      </c>
      <c r="C91" s="35" t="s">
        <v>470</v>
      </c>
      <c r="D91" s="36">
        <v>1</v>
      </c>
      <c r="E91" s="37">
        <v>70</v>
      </c>
      <c r="F91" s="10"/>
      <c r="M91" s="32" t="s">
        <v>1088</v>
      </c>
    </row>
    <row r="92" spans="2:13" ht="11.25" customHeight="1" x14ac:dyDescent="0.3">
      <c r="B92" s="5"/>
      <c r="C92" s="39" t="s">
        <v>2259</v>
      </c>
      <c r="D92" s="42">
        <v>3</v>
      </c>
      <c r="E92" s="42">
        <v>11</v>
      </c>
      <c r="M92" s="32" t="s">
        <v>999</v>
      </c>
    </row>
    <row r="93" spans="2:13" ht="11.25" customHeight="1" x14ac:dyDescent="0.3">
      <c r="B93" s="5"/>
      <c r="C93" s="39" t="s">
        <v>2260</v>
      </c>
      <c r="D93" s="42">
        <v>3</v>
      </c>
      <c r="E93" s="42">
        <v>11</v>
      </c>
      <c r="M93" s="32" t="s">
        <v>998</v>
      </c>
    </row>
    <row r="94" spans="2:13" ht="11.25" customHeight="1" x14ac:dyDescent="0.3">
      <c r="B94" s="5"/>
      <c r="C94" s="39" t="s">
        <v>2256</v>
      </c>
      <c r="D94" s="42">
        <v>3</v>
      </c>
      <c r="E94" s="42">
        <v>11</v>
      </c>
      <c r="M94" s="32" t="s">
        <v>997</v>
      </c>
    </row>
    <row r="95" spans="2:13" ht="11.25" customHeight="1" x14ac:dyDescent="0.3">
      <c r="B95" s="34"/>
      <c r="C95" s="34" t="s">
        <v>2074</v>
      </c>
      <c r="D95" s="36">
        <v>1</v>
      </c>
      <c r="E95" s="36">
        <v>170</v>
      </c>
      <c r="M95" s="32" t="s">
        <v>1929</v>
      </c>
    </row>
    <row r="96" spans="2:13" ht="11.25" customHeight="1" x14ac:dyDescent="0.3">
      <c r="B96" s="5"/>
      <c r="C96" s="39" t="s">
        <v>2261</v>
      </c>
      <c r="D96" s="42">
        <v>3</v>
      </c>
      <c r="E96" s="42">
        <v>11</v>
      </c>
      <c r="M96" s="32" t="s">
        <v>1020</v>
      </c>
    </row>
    <row r="97" spans="2:13" ht="11.25" customHeight="1" x14ac:dyDescent="0.3">
      <c r="B97" s="5"/>
      <c r="C97" s="39" t="s">
        <v>2257</v>
      </c>
      <c r="D97" s="42">
        <v>3</v>
      </c>
      <c r="E97" s="42">
        <v>11</v>
      </c>
      <c r="M97" s="32" t="s">
        <v>1055</v>
      </c>
    </row>
    <row r="98" spans="2:13" ht="11.25" customHeight="1" x14ac:dyDescent="0.3">
      <c r="B98" s="5"/>
      <c r="C98" s="39" t="s">
        <v>2258</v>
      </c>
      <c r="D98" s="42">
        <v>3</v>
      </c>
      <c r="E98" s="42">
        <v>11</v>
      </c>
      <c r="M98" s="32" t="s">
        <v>996</v>
      </c>
    </row>
    <row r="99" spans="2:13" ht="11.25" customHeight="1" x14ac:dyDescent="0.3">
      <c r="B99" s="5"/>
      <c r="C99" s="39" t="s">
        <v>2262</v>
      </c>
      <c r="D99" s="42">
        <v>3</v>
      </c>
      <c r="E99" s="42">
        <v>11</v>
      </c>
      <c r="M99" s="32" t="s">
        <v>1126</v>
      </c>
    </row>
    <row r="100" spans="2:13" ht="11.25" customHeight="1" x14ac:dyDescent="0.3">
      <c r="B100" s="34"/>
      <c r="C100" s="34" t="s">
        <v>2101</v>
      </c>
      <c r="D100" s="36">
        <v>1</v>
      </c>
      <c r="E100" s="36">
        <v>170</v>
      </c>
      <c r="M100" s="32" t="s">
        <v>2075</v>
      </c>
    </row>
    <row r="101" spans="2:13" ht="11.25" customHeight="1" x14ac:dyDescent="0.3">
      <c r="B101" s="5"/>
      <c r="C101" s="39" t="s">
        <v>2255</v>
      </c>
      <c r="D101" s="42">
        <v>3</v>
      </c>
      <c r="E101" s="42">
        <v>11</v>
      </c>
      <c r="M101" s="32" t="s">
        <v>995</v>
      </c>
    </row>
    <row r="102" spans="2:13" ht="11.25" customHeight="1" x14ac:dyDescent="0.3">
      <c r="B102" s="34"/>
      <c r="C102" s="34" t="s">
        <v>1162</v>
      </c>
      <c r="D102" s="36">
        <v>6</v>
      </c>
      <c r="E102" s="36">
        <v>13.4</v>
      </c>
      <c r="M102" s="5" t="s">
        <v>2325</v>
      </c>
    </row>
    <row r="103" spans="2:13" ht="11.25" customHeight="1" x14ac:dyDescent="0.3">
      <c r="B103" s="34"/>
      <c r="C103" s="34" t="s">
        <v>1925</v>
      </c>
      <c r="D103" s="36">
        <v>6</v>
      </c>
      <c r="E103" s="36">
        <v>13.4</v>
      </c>
      <c r="M103" s="45" t="s">
        <v>2313</v>
      </c>
    </row>
    <row r="104" spans="2:13" ht="11.25" customHeight="1" x14ac:dyDescent="0.3">
      <c r="B104" s="34"/>
      <c r="C104" s="34" t="s">
        <v>1225</v>
      </c>
      <c r="D104" s="36">
        <v>1</v>
      </c>
      <c r="E104" s="36">
        <v>179</v>
      </c>
      <c r="M104" s="32" t="s">
        <v>1200</v>
      </c>
    </row>
    <row r="105" spans="2:13" ht="11.25" customHeight="1" x14ac:dyDescent="0.3">
      <c r="B105" s="34"/>
      <c r="C105" s="34" t="s">
        <v>1175</v>
      </c>
      <c r="D105" s="36">
        <v>2</v>
      </c>
      <c r="E105" s="36">
        <v>42</v>
      </c>
      <c r="M105" s="44" t="s">
        <v>1260</v>
      </c>
    </row>
    <row r="106" spans="2:13" ht="11.25" customHeight="1" x14ac:dyDescent="0.3">
      <c r="B106" s="5"/>
      <c r="C106" s="39" t="s">
        <v>2253</v>
      </c>
      <c r="D106" s="42">
        <v>3</v>
      </c>
      <c r="E106" s="42">
        <v>11</v>
      </c>
      <c r="M106" s="32" t="s">
        <v>994</v>
      </c>
    </row>
    <row r="107" spans="2:13" ht="11.25" customHeight="1" x14ac:dyDescent="0.3">
      <c r="B107" s="34" t="s">
        <v>801</v>
      </c>
      <c r="C107" s="35" t="s">
        <v>1910</v>
      </c>
      <c r="D107" s="36">
        <v>2</v>
      </c>
      <c r="E107" s="37">
        <v>40</v>
      </c>
      <c r="M107" s="44" t="s">
        <v>1256</v>
      </c>
    </row>
    <row r="108" spans="2:13" ht="11.25" customHeight="1" x14ac:dyDescent="0.3">
      <c r="B108" s="34" t="s">
        <v>802</v>
      </c>
      <c r="C108" s="35" t="s">
        <v>465</v>
      </c>
      <c r="D108" s="36">
        <v>2</v>
      </c>
      <c r="E108" s="37">
        <v>40</v>
      </c>
      <c r="M108" s="44" t="s">
        <v>1257</v>
      </c>
    </row>
    <row r="109" spans="2:13" ht="11.25" customHeight="1" x14ac:dyDescent="0.3">
      <c r="B109" s="34" t="s">
        <v>788</v>
      </c>
      <c r="C109" s="35" t="s">
        <v>606</v>
      </c>
      <c r="D109" s="36">
        <v>8</v>
      </c>
      <c r="E109" s="37">
        <v>2</v>
      </c>
      <c r="F109" s="12"/>
      <c r="M109" s="32" t="s">
        <v>993</v>
      </c>
    </row>
    <row r="110" spans="2:13" ht="11.25" customHeight="1" x14ac:dyDescent="0.3">
      <c r="B110" s="34"/>
      <c r="C110" s="34" t="s">
        <v>1097</v>
      </c>
      <c r="D110" s="36">
        <v>4</v>
      </c>
      <c r="E110" s="36">
        <v>4.5</v>
      </c>
      <c r="F110" s="12"/>
      <c r="M110" s="32" t="s">
        <v>992</v>
      </c>
    </row>
    <row r="111" spans="2:13" ht="11.25" customHeight="1" x14ac:dyDescent="0.3">
      <c r="B111" s="41" t="s">
        <v>2122</v>
      </c>
      <c r="C111" s="35" t="s">
        <v>2107</v>
      </c>
      <c r="D111" s="36">
        <v>4</v>
      </c>
      <c r="E111" s="37">
        <v>40</v>
      </c>
      <c r="M111" s="32" t="s">
        <v>991</v>
      </c>
    </row>
    <row r="112" spans="2:13" ht="11.25" customHeight="1" x14ac:dyDescent="0.3">
      <c r="B112" s="34"/>
      <c r="C112" s="38" t="s">
        <v>1936</v>
      </c>
      <c r="D112" s="36">
        <v>4</v>
      </c>
      <c r="E112" s="36">
        <v>3</v>
      </c>
      <c r="M112" s="32" t="s">
        <v>990</v>
      </c>
    </row>
    <row r="113" spans="2:13" ht="11.25" customHeight="1" x14ac:dyDescent="0.3">
      <c r="B113" s="41" t="s">
        <v>2121</v>
      </c>
      <c r="C113" s="41" t="s">
        <v>2268</v>
      </c>
      <c r="D113" s="42">
        <v>4</v>
      </c>
      <c r="E113" s="42">
        <v>9.5</v>
      </c>
      <c r="M113" s="32" t="s">
        <v>989</v>
      </c>
    </row>
    <row r="114" spans="2:13" ht="11.25" customHeight="1" x14ac:dyDescent="0.3">
      <c r="B114" s="34"/>
      <c r="C114" s="34" t="s">
        <v>1093</v>
      </c>
      <c r="D114" s="36">
        <v>1</v>
      </c>
      <c r="E114" s="36">
        <v>115</v>
      </c>
      <c r="M114" s="32" t="s">
        <v>2233</v>
      </c>
    </row>
    <row r="115" spans="2:13" ht="11.25" customHeight="1" x14ac:dyDescent="0.3">
      <c r="B115" s="34"/>
      <c r="C115" s="34" t="s">
        <v>1226</v>
      </c>
      <c r="D115" s="36">
        <v>2</v>
      </c>
      <c r="E115" s="36">
        <v>23</v>
      </c>
      <c r="F115" s="12"/>
      <c r="M115" s="32" t="s">
        <v>1019</v>
      </c>
    </row>
    <row r="116" spans="2:13" ht="11.25" customHeight="1" x14ac:dyDescent="0.3">
      <c r="B116" s="34"/>
      <c r="C116" s="34" t="s">
        <v>1096</v>
      </c>
      <c r="D116" s="36">
        <v>4</v>
      </c>
      <c r="E116" s="36">
        <v>14.5</v>
      </c>
      <c r="F116" s="14"/>
      <c r="M116" s="32" t="s">
        <v>988</v>
      </c>
    </row>
    <row r="117" spans="2:13" ht="11.25" customHeight="1" x14ac:dyDescent="0.3">
      <c r="B117" s="34" t="s">
        <v>336</v>
      </c>
      <c r="C117" s="35" t="s">
        <v>2097</v>
      </c>
      <c r="D117" s="36">
        <v>4</v>
      </c>
      <c r="E117" s="37">
        <v>10</v>
      </c>
      <c r="F117" s="12"/>
      <c r="M117" s="32" t="s">
        <v>987</v>
      </c>
    </row>
    <row r="118" spans="2:13" ht="11.25" customHeight="1" x14ac:dyDescent="0.3">
      <c r="B118" s="34" t="s">
        <v>325</v>
      </c>
      <c r="C118" s="35" t="s">
        <v>430</v>
      </c>
      <c r="D118" s="36">
        <v>1</v>
      </c>
      <c r="E118" s="37">
        <v>125</v>
      </c>
      <c r="F118" s="12"/>
      <c r="M118" s="32" t="s">
        <v>1112</v>
      </c>
    </row>
    <row r="119" spans="2:13" ht="11.25" customHeight="1" x14ac:dyDescent="0.3">
      <c r="B119" s="34"/>
      <c r="C119" s="35" t="s">
        <v>2093</v>
      </c>
      <c r="D119" s="36">
        <v>4</v>
      </c>
      <c r="E119" s="37">
        <v>10</v>
      </c>
      <c r="F119" s="12"/>
      <c r="M119" s="32" t="s">
        <v>986</v>
      </c>
    </row>
    <row r="120" spans="2:13" ht="11.25" customHeight="1" x14ac:dyDescent="0.3">
      <c r="B120" s="34" t="s">
        <v>335</v>
      </c>
      <c r="C120" s="35" t="s">
        <v>2096</v>
      </c>
      <c r="D120" s="36">
        <v>4</v>
      </c>
      <c r="E120" s="37">
        <v>10</v>
      </c>
      <c r="F120" s="12"/>
      <c r="M120" s="32" t="s">
        <v>43</v>
      </c>
    </row>
    <row r="121" spans="2:13" ht="11.25" customHeight="1" x14ac:dyDescent="0.3">
      <c r="B121" s="5"/>
      <c r="C121" s="5" t="s">
        <v>2243</v>
      </c>
      <c r="D121" s="42">
        <v>4</v>
      </c>
      <c r="E121" s="42">
        <v>19</v>
      </c>
      <c r="M121" s="32" t="s">
        <v>1109</v>
      </c>
    </row>
    <row r="122" spans="2:13" ht="11.25" customHeight="1" x14ac:dyDescent="0.3">
      <c r="B122" s="34" t="s">
        <v>794</v>
      </c>
      <c r="C122" s="35" t="s">
        <v>612</v>
      </c>
      <c r="D122" s="36">
        <v>9</v>
      </c>
      <c r="E122" s="37">
        <v>18</v>
      </c>
      <c r="M122" s="32" t="s">
        <v>1108</v>
      </c>
    </row>
    <row r="123" spans="2:13" ht="11.25" customHeight="1" x14ac:dyDescent="0.3">
      <c r="B123" s="34" t="s">
        <v>334</v>
      </c>
      <c r="C123" s="35" t="s">
        <v>2095</v>
      </c>
      <c r="D123" s="36">
        <v>4</v>
      </c>
      <c r="E123" s="37">
        <v>10</v>
      </c>
      <c r="F123" s="12"/>
      <c r="M123" s="32" t="s">
        <v>985</v>
      </c>
    </row>
    <row r="124" spans="2:13" ht="11.25" customHeight="1" x14ac:dyDescent="0.3">
      <c r="B124" s="34" t="s">
        <v>333</v>
      </c>
      <c r="C124" s="35" t="s">
        <v>2094</v>
      </c>
      <c r="D124" s="36">
        <v>4</v>
      </c>
      <c r="E124" s="37">
        <v>10</v>
      </c>
      <c r="F124" s="12"/>
      <c r="M124" s="32" t="s">
        <v>984</v>
      </c>
    </row>
    <row r="125" spans="2:13" ht="11.25" customHeight="1" x14ac:dyDescent="0.3">
      <c r="B125" s="34"/>
      <c r="C125" s="34" t="s">
        <v>2236</v>
      </c>
      <c r="D125" s="36">
        <v>2</v>
      </c>
      <c r="E125" s="36">
        <v>24</v>
      </c>
      <c r="F125" s="12"/>
      <c r="M125" s="32" t="s">
        <v>1965</v>
      </c>
    </row>
    <row r="126" spans="2:13" ht="11.25" customHeight="1" x14ac:dyDescent="0.3">
      <c r="B126" s="34" t="s">
        <v>332</v>
      </c>
      <c r="C126" s="35" t="s">
        <v>2098</v>
      </c>
      <c r="D126" s="36">
        <v>4</v>
      </c>
      <c r="E126" s="37">
        <v>10</v>
      </c>
      <c r="F126" s="13"/>
      <c r="M126" s="32" t="s">
        <v>982</v>
      </c>
    </row>
    <row r="127" spans="2:13" ht="11.25" customHeight="1" x14ac:dyDescent="0.3">
      <c r="B127" s="34" t="s">
        <v>834</v>
      </c>
      <c r="C127" s="35" t="s">
        <v>1261</v>
      </c>
      <c r="D127" s="36">
        <v>4</v>
      </c>
      <c r="E127" s="37">
        <v>3.5</v>
      </c>
      <c r="F127" s="12"/>
      <c r="M127" s="32" t="s">
        <v>983</v>
      </c>
    </row>
    <row r="128" spans="2:13" ht="11.25" customHeight="1" x14ac:dyDescent="0.3">
      <c r="B128" s="34" t="s">
        <v>346</v>
      </c>
      <c r="C128" s="35" t="s">
        <v>445</v>
      </c>
      <c r="D128" s="36">
        <v>2</v>
      </c>
      <c r="E128" s="37">
        <v>75</v>
      </c>
      <c r="M128" s="32" t="s">
        <v>2267</v>
      </c>
    </row>
    <row r="129" spans="2:13" ht="11.25" customHeight="1" x14ac:dyDescent="0.3">
      <c r="B129" s="34" t="s">
        <v>761</v>
      </c>
      <c r="C129" s="35" t="s">
        <v>478</v>
      </c>
      <c r="D129" s="36">
        <v>2</v>
      </c>
      <c r="E129" s="37">
        <v>58</v>
      </c>
      <c r="M129" s="45" t="s">
        <v>2110</v>
      </c>
    </row>
    <row r="130" spans="2:13" ht="11.25" customHeight="1" x14ac:dyDescent="0.3">
      <c r="B130" s="34" t="s">
        <v>763</v>
      </c>
      <c r="C130" s="35" t="s">
        <v>480</v>
      </c>
      <c r="D130" s="36">
        <v>2</v>
      </c>
      <c r="E130" s="37">
        <v>58</v>
      </c>
      <c r="M130" s="45" t="s">
        <v>2114</v>
      </c>
    </row>
    <row r="131" spans="2:13" ht="11.25" customHeight="1" x14ac:dyDescent="0.3">
      <c r="B131" s="34" t="s">
        <v>762</v>
      </c>
      <c r="C131" s="35" t="s">
        <v>479</v>
      </c>
      <c r="D131" s="36">
        <v>2</v>
      </c>
      <c r="E131" s="37">
        <v>58</v>
      </c>
      <c r="M131" s="45" t="s">
        <v>2112</v>
      </c>
    </row>
    <row r="132" spans="2:13" ht="11.25" customHeight="1" x14ac:dyDescent="0.3">
      <c r="B132" s="34" t="s">
        <v>860</v>
      </c>
      <c r="C132" s="35" t="s">
        <v>531</v>
      </c>
      <c r="D132" s="36">
        <v>1</v>
      </c>
      <c r="E132" s="37">
        <v>65</v>
      </c>
      <c r="M132" s="5" t="s">
        <v>2272</v>
      </c>
    </row>
    <row r="133" spans="2:13" ht="11.25" customHeight="1" x14ac:dyDescent="0.3">
      <c r="B133" s="34" t="s">
        <v>859</v>
      </c>
      <c r="C133" s="35" t="s">
        <v>530</v>
      </c>
      <c r="D133" s="36">
        <v>1</v>
      </c>
      <c r="E133" s="37">
        <v>65</v>
      </c>
      <c r="M133" s="5" t="s">
        <v>2273</v>
      </c>
    </row>
    <row r="134" spans="2:13" ht="11.25" customHeight="1" x14ac:dyDescent="0.3">
      <c r="B134" s="34"/>
      <c r="C134" s="34" t="s">
        <v>1171</v>
      </c>
      <c r="D134" s="36">
        <v>6</v>
      </c>
      <c r="E134" s="36">
        <v>13.4</v>
      </c>
      <c r="M134" s="5" t="s">
        <v>2274</v>
      </c>
    </row>
    <row r="135" spans="2:13" ht="11.25" customHeight="1" x14ac:dyDescent="0.3">
      <c r="B135" s="34"/>
      <c r="C135" s="34" t="s">
        <v>1164</v>
      </c>
      <c r="D135" s="36">
        <v>6</v>
      </c>
      <c r="E135" s="36">
        <v>13.4</v>
      </c>
      <c r="M135" s="5" t="s">
        <v>2327</v>
      </c>
    </row>
    <row r="136" spans="2:13" ht="11.25" customHeight="1" x14ac:dyDescent="0.3">
      <c r="B136" s="34" t="s">
        <v>835</v>
      </c>
      <c r="C136" s="35" t="s">
        <v>502</v>
      </c>
      <c r="D136" s="36">
        <v>4</v>
      </c>
      <c r="E136" s="37">
        <v>3.5</v>
      </c>
      <c r="F136" s="12"/>
      <c r="M136" s="32" t="s">
        <v>981</v>
      </c>
    </row>
    <row r="137" spans="2:13" ht="11.25" customHeight="1" x14ac:dyDescent="0.3">
      <c r="B137" s="34" t="s">
        <v>834</v>
      </c>
      <c r="C137" s="35" t="s">
        <v>501</v>
      </c>
      <c r="D137" s="36">
        <v>4</v>
      </c>
      <c r="E137" s="37">
        <v>3.5</v>
      </c>
      <c r="F137" s="13"/>
      <c r="M137" s="32" t="s">
        <v>980</v>
      </c>
    </row>
    <row r="138" spans="2:13" ht="11.25" customHeight="1" x14ac:dyDescent="0.3">
      <c r="B138" s="34" t="s">
        <v>326</v>
      </c>
      <c r="C138" s="35" t="s">
        <v>431</v>
      </c>
      <c r="D138" s="36">
        <v>2</v>
      </c>
      <c r="E138" s="37">
        <v>40</v>
      </c>
      <c r="F138" s="13"/>
      <c r="M138" s="32" t="s">
        <v>1024</v>
      </c>
    </row>
    <row r="139" spans="2:13" ht="11.25" customHeight="1" x14ac:dyDescent="0.3">
      <c r="B139" s="34" t="s">
        <v>911</v>
      </c>
      <c r="C139" s="35" t="s">
        <v>602</v>
      </c>
      <c r="D139" s="36">
        <v>2</v>
      </c>
      <c r="E139" s="37">
        <v>28</v>
      </c>
      <c r="M139" s="32" t="s">
        <v>2309</v>
      </c>
    </row>
    <row r="140" spans="2:13" ht="11.25" customHeight="1" x14ac:dyDescent="0.3">
      <c r="B140" s="34" t="s">
        <v>331</v>
      </c>
      <c r="C140" s="35" t="s">
        <v>2092</v>
      </c>
      <c r="D140" s="36">
        <v>4</v>
      </c>
      <c r="E140" s="37">
        <v>10</v>
      </c>
      <c r="F140" s="13"/>
      <c r="M140" s="32" t="s">
        <v>979</v>
      </c>
    </row>
    <row r="141" spans="2:13" ht="11.25" customHeight="1" x14ac:dyDescent="0.3">
      <c r="B141" s="34" t="s">
        <v>851</v>
      </c>
      <c r="C141" s="35" t="s">
        <v>523</v>
      </c>
      <c r="D141" s="36">
        <v>4</v>
      </c>
      <c r="E141" s="37">
        <v>3</v>
      </c>
      <c r="F141" s="12"/>
      <c r="M141" s="32" t="s">
        <v>978</v>
      </c>
    </row>
    <row r="142" spans="2:13" ht="11.25" customHeight="1" x14ac:dyDescent="0.3">
      <c r="B142" s="34" t="s">
        <v>814</v>
      </c>
      <c r="C142" s="35" t="s">
        <v>477</v>
      </c>
      <c r="D142" s="36">
        <v>2</v>
      </c>
      <c r="E142" s="37">
        <v>17</v>
      </c>
      <c r="F142" s="10"/>
      <c r="M142" s="32" t="s">
        <v>977</v>
      </c>
    </row>
    <row r="143" spans="2:13" ht="11.25" customHeight="1" x14ac:dyDescent="0.3">
      <c r="B143" s="34" t="s">
        <v>813</v>
      </c>
      <c r="C143" s="35" t="s">
        <v>476</v>
      </c>
      <c r="D143" s="36">
        <v>2</v>
      </c>
      <c r="E143" s="37">
        <v>17</v>
      </c>
      <c r="F143" s="12"/>
      <c r="M143" s="32" t="s">
        <v>976</v>
      </c>
    </row>
    <row r="144" spans="2:13" ht="11.25" customHeight="1" x14ac:dyDescent="0.3">
      <c r="B144" s="34" t="s">
        <v>828</v>
      </c>
      <c r="C144" s="35" t="s">
        <v>495</v>
      </c>
      <c r="D144" s="36">
        <v>4</v>
      </c>
      <c r="E144" s="37">
        <v>39</v>
      </c>
      <c r="M144" s="32" t="s">
        <v>975</v>
      </c>
    </row>
    <row r="145" spans="2:13" ht="11.25" customHeight="1" x14ac:dyDescent="0.3">
      <c r="B145" s="5"/>
      <c r="C145" s="5" t="s">
        <v>2241</v>
      </c>
      <c r="D145" s="42">
        <v>2</v>
      </c>
      <c r="E145" s="42">
        <v>49</v>
      </c>
      <c r="M145" s="32" t="s">
        <v>2239</v>
      </c>
    </row>
    <row r="146" spans="2:13" ht="11.25" customHeight="1" x14ac:dyDescent="0.3">
      <c r="B146" s="34"/>
      <c r="C146" s="34" t="s">
        <v>1095</v>
      </c>
      <c r="D146" s="36">
        <v>1</v>
      </c>
      <c r="E146" s="36">
        <v>115</v>
      </c>
      <c r="M146" s="32" t="s">
        <v>2246</v>
      </c>
    </row>
    <row r="147" spans="2:13" ht="11.25" customHeight="1" x14ac:dyDescent="0.3">
      <c r="B147" s="34" t="s">
        <v>323</v>
      </c>
      <c r="C147" s="35" t="s">
        <v>428</v>
      </c>
      <c r="D147" s="36">
        <v>2</v>
      </c>
      <c r="E147" s="37">
        <v>40</v>
      </c>
      <c r="F147" s="10"/>
      <c r="M147" s="32" t="s">
        <v>1054</v>
      </c>
    </row>
    <row r="148" spans="2:13" ht="11.25" customHeight="1" x14ac:dyDescent="0.3">
      <c r="B148" s="34" t="s">
        <v>320</v>
      </c>
      <c r="C148" s="35" t="s">
        <v>425</v>
      </c>
      <c r="D148" s="36">
        <v>2</v>
      </c>
      <c r="E148" s="37">
        <v>40</v>
      </c>
      <c r="F148" s="10"/>
      <c r="M148" s="32" t="s">
        <v>974</v>
      </c>
    </row>
    <row r="149" spans="2:13" ht="11.25" customHeight="1" x14ac:dyDescent="0.3">
      <c r="B149" s="34" t="s">
        <v>322</v>
      </c>
      <c r="C149" s="35" t="s">
        <v>427</v>
      </c>
      <c r="D149" s="36">
        <v>2</v>
      </c>
      <c r="E149" s="37">
        <v>40</v>
      </c>
      <c r="F149" s="10"/>
      <c r="M149" s="32" t="s">
        <v>973</v>
      </c>
    </row>
    <row r="150" spans="2:13" ht="11.25" customHeight="1" x14ac:dyDescent="0.3">
      <c r="B150" s="34" t="s">
        <v>321</v>
      </c>
      <c r="C150" s="35" t="s">
        <v>426</v>
      </c>
      <c r="D150" s="36">
        <v>2</v>
      </c>
      <c r="E150" s="37">
        <v>40</v>
      </c>
      <c r="F150" s="10"/>
      <c r="M150" s="32" t="s">
        <v>972</v>
      </c>
    </row>
    <row r="151" spans="2:13" ht="11.25" customHeight="1" x14ac:dyDescent="0.3">
      <c r="B151" s="34" t="s">
        <v>798</v>
      </c>
      <c r="C151" s="35" t="s">
        <v>462</v>
      </c>
      <c r="D151" s="36">
        <v>2</v>
      </c>
      <c r="E151" s="37">
        <v>40</v>
      </c>
      <c r="M151" s="32" t="s">
        <v>1241</v>
      </c>
    </row>
    <row r="152" spans="2:13" ht="11.25" customHeight="1" x14ac:dyDescent="0.3">
      <c r="B152" s="34" t="s">
        <v>319</v>
      </c>
      <c r="C152" s="35" t="s">
        <v>424</v>
      </c>
      <c r="D152" s="36">
        <v>2</v>
      </c>
      <c r="E152" s="37">
        <v>40</v>
      </c>
      <c r="F152" s="10"/>
      <c r="M152" s="32" t="s">
        <v>2177</v>
      </c>
    </row>
    <row r="153" spans="2:13" ht="11.25" customHeight="1" x14ac:dyDescent="0.3">
      <c r="B153" s="34" t="s">
        <v>318</v>
      </c>
      <c r="C153" s="35" t="s">
        <v>423</v>
      </c>
      <c r="D153" s="36">
        <v>2</v>
      </c>
      <c r="E153" s="37">
        <v>45</v>
      </c>
      <c r="F153" s="10"/>
      <c r="M153" s="32" t="s">
        <v>2181</v>
      </c>
    </row>
    <row r="154" spans="2:13" ht="11.25" customHeight="1" x14ac:dyDescent="0.3">
      <c r="B154" s="34" t="s">
        <v>317</v>
      </c>
      <c r="C154" s="35" t="s">
        <v>422</v>
      </c>
      <c r="D154" s="36">
        <v>2</v>
      </c>
      <c r="E154" s="37">
        <v>45</v>
      </c>
      <c r="F154" s="10"/>
      <c r="M154" s="32" t="s">
        <v>971</v>
      </c>
    </row>
    <row r="155" spans="2:13" ht="11.25" customHeight="1" x14ac:dyDescent="0.3">
      <c r="B155" s="34" t="s">
        <v>316</v>
      </c>
      <c r="C155" s="35" t="s">
        <v>421</v>
      </c>
      <c r="D155" s="36">
        <v>2</v>
      </c>
      <c r="E155" s="37">
        <v>45</v>
      </c>
      <c r="F155" s="10"/>
      <c r="M155" s="32" t="s">
        <v>2318</v>
      </c>
    </row>
    <row r="156" spans="2:13" ht="11.25" customHeight="1" x14ac:dyDescent="0.3">
      <c r="B156" s="34" t="s">
        <v>314</v>
      </c>
      <c r="C156" s="35" t="s">
        <v>419</v>
      </c>
      <c r="D156" s="36">
        <v>2</v>
      </c>
      <c r="E156" s="37">
        <v>45</v>
      </c>
      <c r="F156" s="10"/>
      <c r="M156" s="32" t="s">
        <v>1052</v>
      </c>
    </row>
    <row r="157" spans="2:13" ht="11.25" customHeight="1" x14ac:dyDescent="0.3">
      <c r="B157" s="34" t="s">
        <v>315</v>
      </c>
      <c r="C157" s="35" t="s">
        <v>420</v>
      </c>
      <c r="D157" s="36">
        <v>2</v>
      </c>
      <c r="E157" s="37">
        <v>45</v>
      </c>
      <c r="F157" s="10"/>
      <c r="M157" s="32" t="s">
        <v>1051</v>
      </c>
    </row>
    <row r="158" spans="2:13" ht="11.25" customHeight="1" x14ac:dyDescent="0.3">
      <c r="B158" s="34" t="s">
        <v>919</v>
      </c>
      <c r="C158" s="35" t="s">
        <v>618</v>
      </c>
      <c r="D158" s="36">
        <v>2</v>
      </c>
      <c r="E158" s="37">
        <v>19</v>
      </c>
      <c r="M158" s="5" t="s">
        <v>2311</v>
      </c>
    </row>
    <row r="159" spans="2:13" ht="11.25" customHeight="1" x14ac:dyDescent="0.3">
      <c r="B159" s="34" t="s">
        <v>918</v>
      </c>
      <c r="C159" s="35" t="s">
        <v>617</v>
      </c>
      <c r="D159" s="36">
        <v>2</v>
      </c>
      <c r="E159" s="37">
        <v>19</v>
      </c>
      <c r="M159" s="5" t="s">
        <v>2310</v>
      </c>
    </row>
    <row r="160" spans="2:13" ht="11.25" customHeight="1" x14ac:dyDescent="0.3">
      <c r="B160" s="34" t="s">
        <v>313</v>
      </c>
      <c r="C160" s="35" t="s">
        <v>418</v>
      </c>
      <c r="D160" s="36">
        <v>2</v>
      </c>
      <c r="E160" s="37">
        <v>45</v>
      </c>
      <c r="F160" s="13"/>
      <c r="M160" s="32" t="s">
        <v>2245</v>
      </c>
    </row>
    <row r="161" spans="2:13" ht="11.25" customHeight="1" x14ac:dyDescent="0.3">
      <c r="B161" s="34" t="s">
        <v>312</v>
      </c>
      <c r="C161" s="35" t="s">
        <v>417</v>
      </c>
      <c r="D161" s="36">
        <v>2</v>
      </c>
      <c r="E161" s="37">
        <v>30</v>
      </c>
      <c r="F161" s="13"/>
      <c r="M161" s="32" t="s">
        <v>969</v>
      </c>
    </row>
    <row r="162" spans="2:13" ht="11.25" customHeight="1" x14ac:dyDescent="0.3">
      <c r="B162" s="34" t="s">
        <v>311</v>
      </c>
      <c r="C162" s="35" t="s">
        <v>416</v>
      </c>
      <c r="D162" s="36">
        <v>2</v>
      </c>
      <c r="E162" s="37">
        <v>30</v>
      </c>
      <c r="F162" s="12"/>
      <c r="M162" s="32" t="s">
        <v>968</v>
      </c>
    </row>
    <row r="163" spans="2:13" ht="11.25" customHeight="1" x14ac:dyDescent="0.3">
      <c r="B163" s="34" t="s">
        <v>804</v>
      </c>
      <c r="C163" s="35" t="s">
        <v>467</v>
      </c>
      <c r="D163" s="36">
        <v>1</v>
      </c>
      <c r="E163" s="37">
        <v>70</v>
      </c>
      <c r="F163" s="10"/>
      <c r="M163" s="32" t="s">
        <v>2081</v>
      </c>
    </row>
    <row r="164" spans="2:13" ht="11.25" customHeight="1" x14ac:dyDescent="0.3">
      <c r="B164" s="34" t="s">
        <v>345</v>
      </c>
      <c r="C164" s="35" t="s">
        <v>444</v>
      </c>
      <c r="D164" s="36">
        <v>2</v>
      </c>
      <c r="E164" s="37">
        <v>75</v>
      </c>
      <c r="M164" s="32" t="s">
        <v>1235</v>
      </c>
    </row>
    <row r="165" spans="2:13" ht="11.25" customHeight="1" x14ac:dyDescent="0.3">
      <c r="B165" s="34" t="s">
        <v>915</v>
      </c>
      <c r="C165" s="35" t="s">
        <v>614</v>
      </c>
      <c r="D165" s="36">
        <v>2</v>
      </c>
      <c r="E165" s="37">
        <v>19</v>
      </c>
      <c r="M165" s="32" t="s">
        <v>2286</v>
      </c>
    </row>
    <row r="166" spans="2:13" ht="11.25" customHeight="1" x14ac:dyDescent="0.3">
      <c r="B166" s="34"/>
      <c r="C166" s="35" t="s">
        <v>2250</v>
      </c>
      <c r="D166" s="36">
        <v>1</v>
      </c>
      <c r="E166" s="37">
        <v>97</v>
      </c>
      <c r="M166" s="32" t="s">
        <v>2285</v>
      </c>
    </row>
    <row r="167" spans="2:13" ht="11.25" customHeight="1" x14ac:dyDescent="0.3">
      <c r="B167" s="34" t="s">
        <v>310</v>
      </c>
      <c r="C167" s="35" t="s">
        <v>415</v>
      </c>
      <c r="D167" s="36">
        <v>2</v>
      </c>
      <c r="E167" s="37">
        <v>30</v>
      </c>
      <c r="F167" s="12"/>
      <c r="M167" s="32" t="s">
        <v>959</v>
      </c>
    </row>
    <row r="168" spans="2:13" ht="11.25" customHeight="1" x14ac:dyDescent="0.3">
      <c r="B168" s="34" t="s">
        <v>309</v>
      </c>
      <c r="C168" s="35" t="s">
        <v>414</v>
      </c>
      <c r="D168" s="36">
        <v>2</v>
      </c>
      <c r="E168" s="37">
        <v>30</v>
      </c>
      <c r="F168" s="12"/>
      <c r="M168" s="32" t="s">
        <v>958</v>
      </c>
    </row>
    <row r="169" spans="2:13" ht="11.25" customHeight="1" x14ac:dyDescent="0.3">
      <c r="B169" s="34" t="s">
        <v>308</v>
      </c>
      <c r="C169" s="35" t="s">
        <v>413</v>
      </c>
      <c r="D169" s="36">
        <v>2</v>
      </c>
      <c r="E169" s="37">
        <v>30</v>
      </c>
      <c r="F169" s="12"/>
      <c r="M169" s="32" t="s">
        <v>1152</v>
      </c>
    </row>
    <row r="170" spans="2:13" ht="11.25" customHeight="1" x14ac:dyDescent="0.3">
      <c r="B170" s="34" t="s">
        <v>885</v>
      </c>
      <c r="C170" s="35" t="s">
        <v>565</v>
      </c>
      <c r="D170" s="36">
        <v>1</v>
      </c>
      <c r="E170" s="37">
        <v>103</v>
      </c>
      <c r="M170" s="32" t="s">
        <v>1205</v>
      </c>
    </row>
    <row r="171" spans="2:13" ht="11.25" customHeight="1" x14ac:dyDescent="0.3">
      <c r="B171" s="34" t="s">
        <v>307</v>
      </c>
      <c r="C171" s="35" t="s">
        <v>412</v>
      </c>
      <c r="D171" s="36">
        <v>2</v>
      </c>
      <c r="E171" s="37">
        <v>30</v>
      </c>
      <c r="F171" s="12"/>
      <c r="M171" s="32" t="s">
        <v>956</v>
      </c>
    </row>
    <row r="172" spans="2:13" ht="11.25" customHeight="1" x14ac:dyDescent="0.3">
      <c r="B172" s="34" t="s">
        <v>886</v>
      </c>
      <c r="C172" s="35" t="s">
        <v>566</v>
      </c>
      <c r="D172" s="36">
        <v>3</v>
      </c>
      <c r="E172" s="37">
        <v>6</v>
      </c>
      <c r="M172" s="5" t="s">
        <v>2329</v>
      </c>
    </row>
    <row r="173" spans="2:13" ht="11.25" customHeight="1" x14ac:dyDescent="0.3">
      <c r="B173" s="34"/>
      <c r="C173" s="35" t="s">
        <v>2248</v>
      </c>
      <c r="D173" s="36">
        <v>1</v>
      </c>
      <c r="E173" s="37">
        <v>97</v>
      </c>
      <c r="M173" s="32" t="s">
        <v>1773</v>
      </c>
    </row>
    <row r="174" spans="2:13" ht="11.25" customHeight="1" x14ac:dyDescent="0.3">
      <c r="B174" s="34" t="s">
        <v>300</v>
      </c>
      <c r="C174" s="35" t="s">
        <v>2284</v>
      </c>
      <c r="D174" s="36">
        <v>2</v>
      </c>
      <c r="E174" s="37">
        <v>30</v>
      </c>
      <c r="F174" s="13"/>
      <c r="M174" s="32" t="s">
        <v>957</v>
      </c>
    </row>
    <row r="175" spans="2:13" ht="11.25" customHeight="1" x14ac:dyDescent="0.3">
      <c r="B175" s="34" t="s">
        <v>299</v>
      </c>
      <c r="C175" s="35" t="s">
        <v>404</v>
      </c>
      <c r="D175" s="36">
        <v>2</v>
      </c>
      <c r="E175" s="37">
        <v>30</v>
      </c>
      <c r="F175" s="12"/>
      <c r="M175" s="32" t="s">
        <v>11</v>
      </c>
    </row>
    <row r="176" spans="2:13" ht="11.25" customHeight="1" x14ac:dyDescent="0.3"/>
    <row r="177" ht="11.25" customHeight="1" x14ac:dyDescent="0.3"/>
    <row r="178" ht="11.25" customHeight="1" x14ac:dyDescent="0.3"/>
    <row r="179" ht="11.25" customHeight="1" x14ac:dyDescent="0.3"/>
    <row r="180" ht="11.25" customHeight="1" x14ac:dyDescent="0.3"/>
    <row r="181" ht="11.25" customHeight="1" x14ac:dyDescent="0.3"/>
    <row r="182" ht="11.25" customHeight="1" x14ac:dyDescent="0.3"/>
    <row r="183" ht="11.25" customHeight="1" x14ac:dyDescent="0.3"/>
    <row r="184" ht="11.25" customHeight="1" x14ac:dyDescent="0.3"/>
    <row r="185" ht="11.25" customHeight="1" x14ac:dyDescent="0.3"/>
    <row r="186" ht="11.25" customHeight="1" x14ac:dyDescent="0.3"/>
    <row r="187" ht="11.25" customHeight="1" x14ac:dyDescent="0.3"/>
    <row r="188" ht="11.25" customHeight="1" x14ac:dyDescent="0.3"/>
    <row r="189" ht="11.25" customHeight="1" x14ac:dyDescent="0.3"/>
    <row r="190" ht="11.25" customHeight="1" x14ac:dyDescent="0.3"/>
    <row r="191" ht="11.25" customHeight="1" x14ac:dyDescent="0.3"/>
    <row r="192" ht="11.25" customHeight="1" x14ac:dyDescent="0.3"/>
    <row r="193" ht="11.25" customHeight="1" x14ac:dyDescent="0.3"/>
    <row r="194" ht="11.25" customHeight="1" x14ac:dyDescent="0.3"/>
    <row r="195" ht="11.25" customHeight="1" x14ac:dyDescent="0.3"/>
    <row r="196" ht="11.25" customHeight="1" x14ac:dyDescent="0.3"/>
    <row r="197" ht="11.25" customHeight="1" x14ac:dyDescent="0.3"/>
    <row r="198" ht="11.25" customHeight="1" x14ac:dyDescent="0.3"/>
    <row r="199" ht="11.25" customHeight="1" x14ac:dyDescent="0.3"/>
    <row r="200" ht="11.25" customHeight="1" x14ac:dyDescent="0.3"/>
    <row r="201" ht="11.25" customHeight="1" x14ac:dyDescent="0.3"/>
    <row r="202" ht="11.25" customHeight="1" x14ac:dyDescent="0.3"/>
    <row r="203" ht="11.25" customHeight="1" x14ac:dyDescent="0.3"/>
    <row r="204" ht="11.25" customHeight="1" x14ac:dyDescent="0.3"/>
    <row r="205" ht="11.25" customHeight="1" x14ac:dyDescent="0.3"/>
    <row r="206" ht="11.25" customHeight="1" x14ac:dyDescent="0.3"/>
    <row r="207" ht="11.25" customHeight="1" x14ac:dyDescent="0.3"/>
    <row r="208" ht="11.25" customHeight="1" x14ac:dyDescent="0.3"/>
    <row r="209" ht="11.25" customHeight="1" x14ac:dyDescent="0.3"/>
    <row r="210" ht="11.25" customHeight="1" x14ac:dyDescent="0.3"/>
    <row r="211" ht="11.25" customHeight="1" x14ac:dyDescent="0.3"/>
    <row r="212" ht="11.25" customHeight="1" x14ac:dyDescent="0.3"/>
    <row r="213" ht="11.25" customHeight="1" x14ac:dyDescent="0.3"/>
    <row r="214" ht="11.25" customHeight="1" x14ac:dyDescent="0.3"/>
    <row r="215" ht="11.25" customHeight="1" x14ac:dyDescent="0.3"/>
    <row r="216" ht="11.25" customHeight="1" x14ac:dyDescent="0.3"/>
    <row r="217" ht="11.25" customHeight="1" x14ac:dyDescent="0.3"/>
    <row r="218" ht="11.25" customHeight="1" x14ac:dyDescent="0.3"/>
    <row r="219" ht="11.25" customHeight="1" x14ac:dyDescent="0.3"/>
    <row r="220" ht="11.25" customHeight="1" x14ac:dyDescent="0.3"/>
    <row r="221" ht="11.25" customHeight="1" x14ac:dyDescent="0.3"/>
    <row r="222" ht="11.25" customHeight="1" x14ac:dyDescent="0.3"/>
    <row r="223" ht="11.25" customHeight="1" x14ac:dyDescent="0.3"/>
    <row r="224" ht="11.25" customHeight="1" x14ac:dyDescent="0.3"/>
    <row r="225" ht="11.25" customHeight="1" x14ac:dyDescent="0.3"/>
    <row r="226" ht="11.25" customHeight="1" x14ac:dyDescent="0.3"/>
    <row r="227" ht="11.25" customHeight="1" x14ac:dyDescent="0.3"/>
    <row r="228" ht="11.25" customHeight="1" x14ac:dyDescent="0.3"/>
    <row r="229" ht="11.25" customHeight="1" x14ac:dyDescent="0.3"/>
    <row r="230" ht="11.25" customHeight="1" x14ac:dyDescent="0.3"/>
    <row r="231" ht="11.25" customHeight="1" x14ac:dyDescent="0.3"/>
    <row r="232" ht="11.25" customHeight="1" x14ac:dyDescent="0.3"/>
    <row r="233" ht="11.25" customHeight="1" x14ac:dyDescent="0.3"/>
    <row r="234" ht="11.25" customHeight="1" x14ac:dyDescent="0.3"/>
    <row r="235" ht="11.25" customHeight="1" x14ac:dyDescent="0.3"/>
    <row r="236" ht="11.25" customHeight="1" x14ac:dyDescent="0.3"/>
    <row r="237" ht="11.25" customHeight="1" x14ac:dyDescent="0.3"/>
    <row r="238" ht="11.25" customHeight="1" x14ac:dyDescent="0.3"/>
    <row r="239" ht="11.25" customHeight="1" x14ac:dyDescent="0.3"/>
    <row r="240" ht="11.25" customHeight="1" x14ac:dyDescent="0.3"/>
    <row r="241" spans="10:10" ht="11.25" customHeight="1" x14ac:dyDescent="0.3"/>
    <row r="242" spans="10:10" ht="11.25" customHeight="1" x14ac:dyDescent="0.3"/>
    <row r="243" spans="10:10" ht="11.25" customHeight="1" x14ac:dyDescent="0.3"/>
    <row r="244" spans="10:10" ht="11.25" customHeight="1" x14ac:dyDescent="0.3"/>
    <row r="245" spans="10:10" ht="15.75" customHeight="1" x14ac:dyDescent="0.3">
      <c r="J245" s="40"/>
    </row>
    <row r="246" spans="10:10" ht="15.75" customHeight="1" x14ac:dyDescent="0.3">
      <c r="J246" s="46"/>
    </row>
  </sheetData>
  <autoFilter ref="B1:O175" xr:uid="{00000000-0009-0000-0000-000001000000}">
    <sortState xmlns:xlrd2="http://schemas.microsoft.com/office/spreadsheetml/2017/richdata2" ref="B2:O175">
      <sortCondition descending="1" ref="M1:M175"/>
    </sortState>
  </autoFilter>
  <phoneticPr fontId="3" type="noConversion"/>
  <conditionalFormatting sqref="D2:E2 D31:E102 D109:E112 D114:E175">
    <cfRule type="cellIs" dxfId="4365" priority="5570" operator="equal">
      <formula>0</formula>
    </cfRule>
  </conditionalFormatting>
  <conditionalFormatting sqref="D3:E28">
    <cfRule type="cellIs" dxfId="4364" priority="5569" operator="equal">
      <formula>0</formula>
    </cfRule>
  </conditionalFormatting>
  <conditionalFormatting sqref="D103:E108">
    <cfRule type="cellIs" dxfId="413" priority="422" operator="equal">
      <formula>0</formula>
    </cfRule>
  </conditionalFormatting>
  <conditionalFormatting sqref="C96:C98">
    <cfRule type="duplicateValues" dxfId="2" priority="4"/>
  </conditionalFormatting>
  <conditionalFormatting sqref="D113:E113">
    <cfRule type="cellIs" dxfId="1" priority="2" operator="equal">
      <formula>0</formula>
    </cfRule>
  </conditionalFormatting>
  <conditionalFormatting sqref="D113:E113">
    <cfRule type="cellIs" dxfId="0" priority="1" operator="equal">
      <formula>0</formula>
    </cfRule>
  </conditionalFormatting>
  <pageMargins left="0.7" right="0.7" top="0.75" bottom="0.75" header="0.3" footer="0.3"/>
  <pageSetup paperSize="256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FFC000"/>
  </sheetPr>
  <dimension ref="A1:AK1016426"/>
  <sheetViews>
    <sheetView tabSelected="1" showWhiteSpace="0" topLeftCell="R1" zoomScaleNormal="100" workbookViewId="0">
      <pane ySplit="1" topLeftCell="A2" activePane="bottomLeft" state="frozen"/>
      <selection activeCell="M235" sqref="M235"/>
      <selection pane="bottomLeft" activeCell="AH17" sqref="AH17"/>
    </sheetView>
  </sheetViews>
  <sheetFormatPr defaultColWidth="11.44140625" defaultRowHeight="12.75" customHeight="1" x14ac:dyDescent="0.3"/>
  <cols>
    <col min="1" max="1" width="16.109375" style="10" customWidth="1"/>
    <col min="2" max="2" width="10.109375" style="10" customWidth="1"/>
    <col min="3" max="3" width="13.6640625" style="10" customWidth="1"/>
    <col min="4" max="4" width="11.33203125" style="10" customWidth="1"/>
    <col min="5" max="5" width="17.6640625" style="10" customWidth="1"/>
    <col min="6" max="6" width="12.44140625" style="10" hidden="1" customWidth="1"/>
    <col min="7" max="8" width="15.33203125" style="10" hidden="1" customWidth="1"/>
    <col min="9" max="9" width="30.6640625" style="10" customWidth="1"/>
    <col min="10" max="10" width="41.5546875" style="10" customWidth="1"/>
    <col min="11" max="11" width="5.5546875" style="10" customWidth="1"/>
    <col min="12" max="12" width="4.88671875" style="10" customWidth="1"/>
    <col min="13" max="13" width="6.33203125" style="10" customWidth="1"/>
    <col min="14" max="14" width="10.33203125" style="10" customWidth="1"/>
    <col min="15" max="15" width="7" style="10" customWidth="1"/>
    <col min="16" max="17" width="5.5546875" style="10" customWidth="1"/>
    <col min="18" max="18" width="7.109375" style="10" customWidth="1"/>
    <col min="19" max="19" width="10.33203125" style="10" customWidth="1"/>
    <col min="20" max="20" width="8" style="10" customWidth="1"/>
    <col min="21" max="21" width="7.5546875" style="10" customWidth="1"/>
    <col min="22" max="22" width="9.109375" style="10" customWidth="1"/>
    <col min="23" max="23" width="9.88671875" style="10" customWidth="1"/>
    <col min="24" max="24" width="13.33203125" style="10" customWidth="1"/>
    <col min="25" max="25" width="11.6640625" style="10" customWidth="1"/>
    <col min="26" max="26" width="10.88671875" style="10" customWidth="1"/>
    <col min="27" max="28" width="10.5546875" style="10" customWidth="1"/>
    <col min="29" max="29" width="7.88671875" style="10" customWidth="1"/>
    <col min="30" max="30" width="8" style="10" customWidth="1"/>
    <col min="31" max="33" width="11.44140625" style="10" customWidth="1"/>
    <col min="34" max="34" width="11.44140625" style="81" customWidth="1"/>
    <col min="35" max="36" width="11.44140625" style="82"/>
    <col min="37" max="37" width="11.33203125" style="10" customWidth="1"/>
    <col min="38" max="16384" width="11.44140625" style="10"/>
  </cols>
  <sheetData>
    <row r="1" spans="1:37" s="70" customFormat="1" ht="12.75" customHeight="1" x14ac:dyDescent="0.3">
      <c r="A1" s="64" t="s">
        <v>2331</v>
      </c>
      <c r="B1" s="64" t="s">
        <v>2047</v>
      </c>
      <c r="C1" s="64" t="s">
        <v>0</v>
      </c>
      <c r="D1" s="60" t="s">
        <v>1196</v>
      </c>
      <c r="E1" s="60" t="s">
        <v>2</v>
      </c>
      <c r="F1" s="60" t="s">
        <v>33</v>
      </c>
      <c r="G1" s="60" t="s">
        <v>38</v>
      </c>
      <c r="H1" s="60" t="s">
        <v>39</v>
      </c>
      <c r="I1" s="65" t="s">
        <v>3</v>
      </c>
      <c r="J1" s="66" t="s">
        <v>1026</v>
      </c>
      <c r="K1" s="67" t="s">
        <v>1059</v>
      </c>
      <c r="L1" s="64" t="s">
        <v>1058</v>
      </c>
      <c r="M1" s="62" t="s">
        <v>6</v>
      </c>
      <c r="N1" s="62" t="s">
        <v>19</v>
      </c>
      <c r="O1" s="62" t="s">
        <v>30</v>
      </c>
      <c r="P1" s="62" t="s">
        <v>29</v>
      </c>
      <c r="Q1" s="64" t="s">
        <v>42</v>
      </c>
      <c r="R1" s="64" t="s">
        <v>31</v>
      </c>
      <c r="S1" s="62" t="s">
        <v>1222</v>
      </c>
      <c r="T1" s="64" t="s">
        <v>1223</v>
      </c>
      <c r="U1" s="64" t="s">
        <v>1224</v>
      </c>
      <c r="V1" s="64" t="s">
        <v>1734</v>
      </c>
      <c r="W1" s="62" t="s">
        <v>5</v>
      </c>
      <c r="X1" s="62" t="s">
        <v>7</v>
      </c>
      <c r="Y1" s="62" t="s">
        <v>8</v>
      </c>
      <c r="Z1" s="62" t="s">
        <v>9</v>
      </c>
      <c r="AA1" s="60" t="s">
        <v>14</v>
      </c>
      <c r="AB1" s="60" t="s">
        <v>1086</v>
      </c>
      <c r="AC1" s="64" t="s">
        <v>16</v>
      </c>
      <c r="AD1" s="64" t="s">
        <v>15</v>
      </c>
      <c r="AE1" s="64" t="s">
        <v>17</v>
      </c>
      <c r="AF1" s="64" t="s">
        <v>1735</v>
      </c>
      <c r="AG1" s="64" t="s">
        <v>1736</v>
      </c>
      <c r="AH1" s="68" t="s">
        <v>1947</v>
      </c>
      <c r="AI1" s="69" t="s">
        <v>1948</v>
      </c>
      <c r="AJ1" s="69" t="s">
        <v>1949</v>
      </c>
      <c r="AK1" s="64" t="s">
        <v>1950</v>
      </c>
    </row>
    <row r="2" spans="1:37" ht="12.75" customHeight="1" x14ac:dyDescent="0.3">
      <c r="A2" s="71">
        <v>45663.651388888888</v>
      </c>
      <c r="B2" s="10" t="s">
        <v>13</v>
      </c>
      <c r="C2" s="10" t="s">
        <v>2263</v>
      </c>
      <c r="D2" s="61">
        <v>45659</v>
      </c>
      <c r="E2" s="10" t="s">
        <v>2039</v>
      </c>
      <c r="F2" s="61" t="s">
        <v>40</v>
      </c>
      <c r="G2" s="61" t="s">
        <v>48</v>
      </c>
      <c r="H2" s="61" t="s">
        <v>954</v>
      </c>
      <c r="I2" s="10" t="s">
        <v>2090</v>
      </c>
      <c r="J2" s="72" t="s">
        <v>2095</v>
      </c>
      <c r="K2" s="10">
        <v>468</v>
      </c>
      <c r="L2" s="10">
        <v>4</v>
      </c>
      <c r="M2" s="10">
        <v>20.7</v>
      </c>
      <c r="N2" s="63" t="s">
        <v>2289</v>
      </c>
      <c r="O2" s="10">
        <v>0</v>
      </c>
      <c r="P2" s="10">
        <v>1</v>
      </c>
      <c r="Q2" s="10">
        <v>956</v>
      </c>
      <c r="R2" s="10">
        <v>20709</v>
      </c>
      <c r="S2" s="10" t="s">
        <v>1211</v>
      </c>
      <c r="T2" s="10">
        <v>9.3000000000000007</v>
      </c>
      <c r="U2" s="10">
        <v>0</v>
      </c>
      <c r="V2" s="10">
        <v>0</v>
      </c>
      <c r="W2" s="73">
        <f t="shared" ref="W2" si="0">K2*Y2/1000</f>
        <v>4.68</v>
      </c>
      <c r="X2" s="73">
        <f t="shared" ref="X2" si="1">+IF(M2=0,AA2,M2)</f>
        <v>20.7</v>
      </c>
      <c r="Y2" s="74">
        <f>VLOOKUP(J2,DATOS!$C$2:$E$910,3,FALSE)</f>
        <v>10</v>
      </c>
      <c r="Z2" s="73">
        <f t="shared" ref="Z2" si="2">IFERROR(M2*1000/Y2,0)</f>
        <v>2070</v>
      </c>
      <c r="AA2" s="75" t="str">
        <f t="shared" ref="AA2" si="3">IF(D2="","",TEXT(D2,"MMMM"))</f>
        <v>enero</v>
      </c>
      <c r="AB2" s="75" t="str">
        <f t="shared" ref="AB2" si="4">IF(D2="","",TEXT(D2,"YYYY"))</f>
        <v>YYYY</v>
      </c>
      <c r="AC2" s="76">
        <f t="shared" ref="AC2" si="5">WEEKNUM(D2,2)</f>
        <v>1</v>
      </c>
      <c r="AD2" s="77">
        <f>VLOOKUP(J2,DATOS!$C$2:$E$6970,2,FALSE)</f>
        <v>4</v>
      </c>
      <c r="AE2" s="73">
        <f t="shared" ref="AE2" si="6">(K2*AD2)/12</f>
        <v>156</v>
      </c>
      <c r="AF2" s="73"/>
      <c r="AG2" s="73"/>
      <c r="AH2" s="78">
        <f>VLOOKUP(J2,'SKU PIEZAS'!$R$1:$U$847,2,FALSE)</f>
        <v>1</v>
      </c>
      <c r="AI2" s="79">
        <f>VLOOKUP(J2,'SKU PIEZAS'!$R$1:$U$847,4,FALSE)</f>
        <v>160</v>
      </c>
      <c r="AJ2" s="79">
        <f>VLOOKUP(J2,'SKU PIEZAS'!$R$1:$U$847,3,FALSE)</f>
        <v>10</v>
      </c>
      <c r="AK2" s="10">
        <f>+L2*AI2*AJ2/1000</f>
        <v>6.4</v>
      </c>
    </row>
    <row r="3" spans="1:37" ht="12.75" customHeight="1" x14ac:dyDescent="0.3">
      <c r="A3" s="71">
        <v>45663.651388888888</v>
      </c>
      <c r="B3" s="10" t="s">
        <v>13</v>
      </c>
      <c r="C3" s="10" t="s">
        <v>2263</v>
      </c>
      <c r="D3" s="61">
        <v>45659</v>
      </c>
      <c r="E3" s="10" t="s">
        <v>2039</v>
      </c>
      <c r="F3" s="61" t="s">
        <v>40</v>
      </c>
      <c r="G3" s="61" t="s">
        <v>48</v>
      </c>
      <c r="H3" s="61" t="s">
        <v>954</v>
      </c>
      <c r="I3" s="10" t="s">
        <v>2090</v>
      </c>
      <c r="J3" s="80" t="s">
        <v>2093</v>
      </c>
      <c r="K3" s="10">
        <v>520</v>
      </c>
      <c r="L3" s="10">
        <v>4</v>
      </c>
      <c r="M3" s="10">
        <v>21.6</v>
      </c>
      <c r="N3" s="63" t="s">
        <v>2289</v>
      </c>
      <c r="O3" s="10">
        <v>0</v>
      </c>
      <c r="P3" s="10">
        <v>1</v>
      </c>
      <c r="Q3" s="10">
        <v>956</v>
      </c>
      <c r="R3" s="10">
        <v>20709</v>
      </c>
      <c r="S3" s="10" t="s">
        <v>27</v>
      </c>
      <c r="T3" s="10">
        <v>5</v>
      </c>
      <c r="U3" s="10">
        <v>0</v>
      </c>
      <c r="V3" s="10">
        <v>0</v>
      </c>
      <c r="W3" s="73">
        <f t="shared" ref="W3:W35" si="7">K3*Y3/1000</f>
        <v>5.2</v>
      </c>
      <c r="X3" s="73">
        <f t="shared" ref="X3:X35" si="8">+IF(M3=0,AA3,M3)</f>
        <v>21.6</v>
      </c>
      <c r="Y3" s="74">
        <f>VLOOKUP(J3,DATOS!$C$2:$E$910,3,FALSE)</f>
        <v>10</v>
      </c>
      <c r="Z3" s="73">
        <f t="shared" ref="Z3:Z35" si="9">IFERROR(M3*1000/Y3,0)</f>
        <v>2160</v>
      </c>
      <c r="AA3" s="75" t="str">
        <f t="shared" ref="AA3:AA35" si="10">IF(D3="","",TEXT(D3,"MMMM"))</f>
        <v>enero</v>
      </c>
      <c r="AB3" s="75" t="str">
        <f t="shared" ref="AB3:AB35" si="11">IF(D3="","",TEXT(D3,"YYYY"))</f>
        <v>YYYY</v>
      </c>
      <c r="AC3" s="76">
        <f t="shared" ref="AC3:AC35" si="12">WEEKNUM(D3,2)</f>
        <v>1</v>
      </c>
      <c r="AD3" s="77">
        <f>VLOOKUP(J3,DATOS!$C$2:$E$6970,2,FALSE)</f>
        <v>4</v>
      </c>
      <c r="AE3" s="73">
        <f t="shared" ref="AE3:AE35" si="13">(K3*AD3)/12</f>
        <v>173.33333333333334</v>
      </c>
      <c r="AF3" s="73"/>
      <c r="AG3" s="73"/>
      <c r="AH3" s="78" t="e">
        <f>VLOOKUP(J3,'SKU PIEZAS'!$R$1:$U$847,2,FALSE)</f>
        <v>#N/A</v>
      </c>
      <c r="AI3" s="79" t="e">
        <f>VLOOKUP(J3,'SKU PIEZAS'!$R$1:$U$847,4,FALSE)</f>
        <v>#N/A</v>
      </c>
      <c r="AJ3" s="79" t="e">
        <f>VLOOKUP(J3,'SKU PIEZAS'!$R$1:$U$847,3,FALSE)</f>
        <v>#N/A</v>
      </c>
      <c r="AK3" s="10" t="e">
        <f t="shared" ref="AK3:AK35" si="14">+L3*AI3*AJ3/1000</f>
        <v>#N/A</v>
      </c>
    </row>
    <row r="4" spans="1:37" ht="12.75" customHeight="1" x14ac:dyDescent="0.3">
      <c r="A4" s="71">
        <v>45663.651388888888</v>
      </c>
      <c r="B4" s="10" t="s">
        <v>13</v>
      </c>
      <c r="C4" s="10" t="s">
        <v>2263</v>
      </c>
      <c r="D4" s="61">
        <v>45659</v>
      </c>
      <c r="E4" s="10" t="s">
        <v>2039</v>
      </c>
      <c r="F4" s="61" t="s">
        <v>40</v>
      </c>
      <c r="G4" s="61" t="s">
        <v>48</v>
      </c>
      <c r="H4" s="61" t="s">
        <v>954</v>
      </c>
      <c r="I4" s="10" t="s">
        <v>2090</v>
      </c>
      <c r="J4" s="10" t="s">
        <v>2096</v>
      </c>
      <c r="K4" s="10">
        <v>359</v>
      </c>
      <c r="L4" s="10">
        <v>3</v>
      </c>
      <c r="M4" s="10">
        <v>14.9</v>
      </c>
      <c r="N4" s="63" t="s">
        <v>2289</v>
      </c>
      <c r="O4" s="10">
        <v>0</v>
      </c>
      <c r="P4" s="10">
        <v>1</v>
      </c>
      <c r="Q4" s="10">
        <v>956</v>
      </c>
      <c r="R4" s="10">
        <v>20709</v>
      </c>
      <c r="S4" s="10" t="s">
        <v>1212</v>
      </c>
      <c r="T4" s="10">
        <v>3</v>
      </c>
      <c r="U4" s="10">
        <v>0</v>
      </c>
      <c r="V4" s="10">
        <v>0</v>
      </c>
      <c r="W4" s="73">
        <f t="shared" si="7"/>
        <v>3.59</v>
      </c>
      <c r="X4" s="73">
        <f t="shared" si="8"/>
        <v>14.9</v>
      </c>
      <c r="Y4" s="74">
        <f>VLOOKUP(J4,DATOS!$C$2:$E$910,3,FALSE)</f>
        <v>10</v>
      </c>
      <c r="Z4" s="73">
        <f t="shared" si="9"/>
        <v>1490</v>
      </c>
      <c r="AA4" s="75" t="str">
        <f t="shared" si="10"/>
        <v>enero</v>
      </c>
      <c r="AB4" s="75" t="str">
        <f t="shared" si="11"/>
        <v>YYYY</v>
      </c>
      <c r="AC4" s="76">
        <f t="shared" si="12"/>
        <v>1</v>
      </c>
      <c r="AD4" s="77">
        <f>VLOOKUP(J4,DATOS!$C$2:$E$6970,2,FALSE)</f>
        <v>4</v>
      </c>
      <c r="AE4" s="73">
        <f t="shared" si="13"/>
        <v>119.66666666666667</v>
      </c>
      <c r="AF4" s="73"/>
      <c r="AG4" s="73"/>
      <c r="AH4" s="78">
        <f>VLOOKUP(J4,'SKU PIEZAS'!$R$1:$U$847,2,FALSE)</f>
        <v>1</v>
      </c>
      <c r="AI4" s="79">
        <f>VLOOKUP(J4,'SKU PIEZAS'!$R$1:$U$847,4,FALSE)</f>
        <v>160</v>
      </c>
      <c r="AJ4" s="79">
        <f>VLOOKUP(J4,'SKU PIEZAS'!$R$1:$U$847,3,FALSE)</f>
        <v>10</v>
      </c>
      <c r="AK4" s="10">
        <f t="shared" si="14"/>
        <v>4.8</v>
      </c>
    </row>
    <row r="5" spans="1:37" ht="12.75" customHeight="1" x14ac:dyDescent="0.3">
      <c r="A5" s="71">
        <v>45663.651388888888</v>
      </c>
      <c r="B5" s="10" t="s">
        <v>13</v>
      </c>
      <c r="C5" s="10" t="s">
        <v>2263</v>
      </c>
      <c r="D5" s="61">
        <v>45660</v>
      </c>
      <c r="E5" s="10" t="s">
        <v>2287</v>
      </c>
      <c r="F5" s="61" t="s">
        <v>41</v>
      </c>
      <c r="G5" s="61" t="s">
        <v>943</v>
      </c>
      <c r="H5" s="61" t="s">
        <v>48</v>
      </c>
      <c r="I5" s="10" t="s">
        <v>2090</v>
      </c>
      <c r="J5" s="10" t="s">
        <v>2092</v>
      </c>
      <c r="K5" s="10">
        <v>549</v>
      </c>
      <c r="L5" s="10">
        <v>4</v>
      </c>
      <c r="M5" s="10">
        <v>22.8</v>
      </c>
      <c r="N5" s="63" t="s">
        <v>2289</v>
      </c>
      <c r="O5" s="10">
        <v>0</v>
      </c>
      <c r="P5" s="10">
        <v>2</v>
      </c>
      <c r="Q5" s="10">
        <v>956</v>
      </c>
      <c r="R5" s="10">
        <v>20710</v>
      </c>
      <c r="S5" s="10" t="s">
        <v>26</v>
      </c>
      <c r="T5" s="10">
        <v>11.7</v>
      </c>
      <c r="U5" s="10">
        <v>0</v>
      </c>
      <c r="V5" s="10">
        <v>0</v>
      </c>
      <c r="W5" s="73">
        <f t="shared" si="7"/>
        <v>5.49</v>
      </c>
      <c r="X5" s="73">
        <f t="shared" si="8"/>
        <v>22.8</v>
      </c>
      <c r="Y5" s="74">
        <f>VLOOKUP(J5,DATOS!$C$2:$E$910,3,FALSE)</f>
        <v>10</v>
      </c>
      <c r="Z5" s="73">
        <f t="shared" si="9"/>
        <v>2280</v>
      </c>
      <c r="AA5" s="75" t="str">
        <f t="shared" si="10"/>
        <v>enero</v>
      </c>
      <c r="AB5" s="75" t="str">
        <f t="shared" si="11"/>
        <v>YYYY</v>
      </c>
      <c r="AC5" s="76">
        <f t="shared" si="12"/>
        <v>1</v>
      </c>
      <c r="AD5" s="77">
        <f>VLOOKUP(J5,DATOS!$C$2:$E$6970,2,FALSE)</f>
        <v>4</v>
      </c>
      <c r="AE5" s="73">
        <f t="shared" si="13"/>
        <v>183</v>
      </c>
      <c r="AF5" s="73"/>
      <c r="AG5" s="73"/>
      <c r="AH5" s="78">
        <f>VLOOKUP(J5,'SKU PIEZAS'!$R$1:$U$847,2,FALSE)</f>
        <v>1</v>
      </c>
      <c r="AI5" s="79">
        <f>VLOOKUP(J5,'SKU PIEZAS'!$R$1:$U$847,4,FALSE)</f>
        <v>160</v>
      </c>
      <c r="AJ5" s="79">
        <f>VLOOKUP(J5,'SKU PIEZAS'!$R$1:$U$847,3,FALSE)</f>
        <v>10</v>
      </c>
      <c r="AK5" s="10">
        <f t="shared" si="14"/>
        <v>6.4</v>
      </c>
    </row>
    <row r="6" spans="1:37" ht="12.75" customHeight="1" x14ac:dyDescent="0.3">
      <c r="A6" s="71">
        <v>45663.651388888888</v>
      </c>
      <c r="B6" s="10" t="s">
        <v>13</v>
      </c>
      <c r="C6" s="10" t="s">
        <v>2263</v>
      </c>
      <c r="D6" s="61">
        <v>45660</v>
      </c>
      <c r="E6" s="10" t="s">
        <v>2287</v>
      </c>
      <c r="F6" s="61" t="s">
        <v>40</v>
      </c>
      <c r="G6" s="61" t="s">
        <v>48</v>
      </c>
      <c r="H6" s="61" t="s">
        <v>954</v>
      </c>
      <c r="I6" s="10" t="s">
        <v>2090</v>
      </c>
      <c r="J6" s="10" t="s">
        <v>2094</v>
      </c>
      <c r="K6" s="10">
        <v>450</v>
      </c>
      <c r="L6" s="10">
        <v>4</v>
      </c>
      <c r="M6" s="10">
        <v>18.7</v>
      </c>
      <c r="N6" s="63" t="s">
        <v>2289</v>
      </c>
      <c r="O6" s="10">
        <v>0</v>
      </c>
      <c r="P6" s="10">
        <v>1</v>
      </c>
      <c r="Q6" s="10">
        <v>956</v>
      </c>
      <c r="R6" s="10">
        <v>20710</v>
      </c>
      <c r="S6" s="10" t="s">
        <v>24</v>
      </c>
      <c r="T6" s="10">
        <v>6.7</v>
      </c>
      <c r="U6" s="10">
        <v>0</v>
      </c>
      <c r="V6" s="10">
        <v>0</v>
      </c>
      <c r="W6" s="73">
        <f t="shared" si="7"/>
        <v>4.5</v>
      </c>
      <c r="X6" s="73">
        <f t="shared" si="8"/>
        <v>18.7</v>
      </c>
      <c r="Y6" s="74">
        <f>VLOOKUP(J6,DATOS!$C$2:$E$910,3,FALSE)</f>
        <v>10</v>
      </c>
      <c r="Z6" s="73">
        <f t="shared" si="9"/>
        <v>1870</v>
      </c>
      <c r="AA6" s="75" t="str">
        <f t="shared" si="10"/>
        <v>enero</v>
      </c>
      <c r="AB6" s="75" t="str">
        <f t="shared" si="11"/>
        <v>YYYY</v>
      </c>
      <c r="AC6" s="76">
        <f t="shared" si="12"/>
        <v>1</v>
      </c>
      <c r="AD6" s="77">
        <f>VLOOKUP(J6,DATOS!$C$2:$E$6970,2,FALSE)</f>
        <v>4</v>
      </c>
      <c r="AE6" s="73">
        <f t="shared" si="13"/>
        <v>150</v>
      </c>
      <c r="AF6" s="73"/>
      <c r="AG6" s="73"/>
      <c r="AH6" s="78">
        <f>VLOOKUP(J6,'SKU PIEZAS'!$R$1:$U$847,2,FALSE)</f>
        <v>1</v>
      </c>
      <c r="AI6" s="79">
        <f>VLOOKUP(J6,'SKU PIEZAS'!$R$1:$U$847,4,FALSE)</f>
        <v>160</v>
      </c>
      <c r="AJ6" s="79">
        <f>VLOOKUP(J6,'SKU PIEZAS'!$R$1:$U$847,3,FALSE)</f>
        <v>10</v>
      </c>
      <c r="AK6" s="10">
        <f t="shared" si="14"/>
        <v>6.4</v>
      </c>
    </row>
    <row r="7" spans="1:37" ht="12.75" customHeight="1" x14ac:dyDescent="0.3">
      <c r="A7" s="71">
        <v>45663.651388888888</v>
      </c>
      <c r="B7" s="10" t="s">
        <v>13</v>
      </c>
      <c r="C7" s="10" t="s">
        <v>2263</v>
      </c>
      <c r="D7" s="61">
        <v>45660</v>
      </c>
      <c r="E7" s="10" t="s">
        <v>2287</v>
      </c>
      <c r="F7" s="61" t="s">
        <v>40</v>
      </c>
      <c r="G7" s="61" t="s">
        <v>48</v>
      </c>
      <c r="H7" s="61" t="s">
        <v>954</v>
      </c>
      <c r="I7" s="10" t="s">
        <v>2090</v>
      </c>
      <c r="J7" s="10" t="s">
        <v>2097</v>
      </c>
      <c r="K7" s="10">
        <v>183</v>
      </c>
      <c r="L7" s="10">
        <v>2</v>
      </c>
      <c r="M7" s="10">
        <v>7.6</v>
      </c>
      <c r="N7" s="63" t="s">
        <v>2289</v>
      </c>
      <c r="O7" s="10">
        <v>0</v>
      </c>
      <c r="P7" s="10">
        <v>1</v>
      </c>
      <c r="Q7" s="10">
        <v>956</v>
      </c>
      <c r="R7" s="10">
        <v>20710</v>
      </c>
      <c r="S7" s="10" t="s">
        <v>1221</v>
      </c>
      <c r="T7" s="10">
        <v>3</v>
      </c>
      <c r="U7" s="10">
        <v>0</v>
      </c>
      <c r="V7" s="10">
        <v>0</v>
      </c>
      <c r="W7" s="73">
        <f t="shared" si="7"/>
        <v>1.83</v>
      </c>
      <c r="X7" s="73">
        <f t="shared" si="8"/>
        <v>7.6</v>
      </c>
      <c r="Y7" s="74">
        <f>VLOOKUP(J7,DATOS!$C$2:$E$910,3,FALSE)</f>
        <v>10</v>
      </c>
      <c r="Z7" s="73">
        <f t="shared" si="9"/>
        <v>760</v>
      </c>
      <c r="AA7" s="75" t="str">
        <f t="shared" si="10"/>
        <v>enero</v>
      </c>
      <c r="AB7" s="75" t="str">
        <f t="shared" si="11"/>
        <v>YYYY</v>
      </c>
      <c r="AC7" s="76">
        <f t="shared" si="12"/>
        <v>1</v>
      </c>
      <c r="AD7" s="77">
        <f>VLOOKUP(J7,DATOS!$C$2:$E$6970,2,FALSE)</f>
        <v>4</v>
      </c>
      <c r="AE7" s="73">
        <f t="shared" si="13"/>
        <v>61</v>
      </c>
      <c r="AF7" s="73"/>
      <c r="AG7" s="73"/>
      <c r="AH7" s="78">
        <f>VLOOKUP(J7,'SKU PIEZAS'!$R$1:$U$847,2,FALSE)</f>
        <v>1</v>
      </c>
      <c r="AI7" s="79">
        <f>VLOOKUP(J7,'SKU PIEZAS'!$R$1:$U$847,4,FALSE)</f>
        <v>160</v>
      </c>
      <c r="AJ7" s="79">
        <f>VLOOKUP(J7,'SKU PIEZAS'!$R$1:$U$847,3,FALSE)</f>
        <v>10</v>
      </c>
      <c r="AK7" s="10">
        <f t="shared" si="14"/>
        <v>3.2</v>
      </c>
    </row>
    <row r="8" spans="1:37" ht="12.75" customHeight="1" x14ac:dyDescent="0.3">
      <c r="A8" s="71">
        <v>45663.651388888888</v>
      </c>
      <c r="B8" s="10" t="s">
        <v>13</v>
      </c>
      <c r="C8" s="10" t="s">
        <v>2263</v>
      </c>
      <c r="D8" s="61">
        <v>45661</v>
      </c>
      <c r="E8" s="10" t="s">
        <v>2039</v>
      </c>
      <c r="F8" s="61" t="s">
        <v>40</v>
      </c>
      <c r="G8" s="61" t="s">
        <v>48</v>
      </c>
      <c r="H8" s="61" t="s">
        <v>954</v>
      </c>
      <c r="I8" s="10" t="s">
        <v>2090</v>
      </c>
      <c r="J8" s="10" t="s">
        <v>2097</v>
      </c>
      <c r="K8" s="10">
        <v>262</v>
      </c>
      <c r="L8" s="10">
        <v>3</v>
      </c>
      <c r="M8" s="10">
        <v>10.9</v>
      </c>
      <c r="N8" s="63" t="s">
        <v>2289</v>
      </c>
      <c r="O8" s="10">
        <v>0</v>
      </c>
      <c r="P8" s="10">
        <v>1</v>
      </c>
      <c r="Q8" s="10">
        <v>956</v>
      </c>
      <c r="R8" s="10">
        <v>20711</v>
      </c>
      <c r="S8" s="10" t="s">
        <v>1221</v>
      </c>
      <c r="T8" s="10">
        <v>4.5</v>
      </c>
      <c r="U8" s="10">
        <v>0</v>
      </c>
      <c r="V8" s="10">
        <v>0</v>
      </c>
      <c r="W8" s="73">
        <f t="shared" si="7"/>
        <v>2.62</v>
      </c>
      <c r="X8" s="73">
        <f t="shared" si="8"/>
        <v>10.9</v>
      </c>
      <c r="Y8" s="74">
        <f>VLOOKUP(J8,DATOS!$C$2:$E$910,3,FALSE)</f>
        <v>10</v>
      </c>
      <c r="Z8" s="73">
        <f t="shared" si="9"/>
        <v>1090</v>
      </c>
      <c r="AA8" s="75" t="str">
        <f t="shared" si="10"/>
        <v>enero</v>
      </c>
      <c r="AB8" s="75" t="str">
        <f t="shared" si="11"/>
        <v>YYYY</v>
      </c>
      <c r="AC8" s="76">
        <f t="shared" si="12"/>
        <v>1</v>
      </c>
      <c r="AD8" s="77">
        <f>VLOOKUP(J8,DATOS!$C$2:$E$6970,2,FALSE)</f>
        <v>4</v>
      </c>
      <c r="AE8" s="73">
        <f t="shared" si="13"/>
        <v>87.333333333333329</v>
      </c>
      <c r="AF8" s="73"/>
      <c r="AG8" s="73"/>
      <c r="AH8" s="78">
        <f>VLOOKUP(J8,'SKU PIEZAS'!$R$1:$U$847,2,FALSE)</f>
        <v>1</v>
      </c>
      <c r="AI8" s="79">
        <f>VLOOKUP(J8,'SKU PIEZAS'!$R$1:$U$847,4,FALSE)</f>
        <v>160</v>
      </c>
      <c r="AJ8" s="79">
        <f>VLOOKUP(J8,'SKU PIEZAS'!$R$1:$U$847,3,FALSE)</f>
        <v>10</v>
      </c>
      <c r="AK8" s="10">
        <f t="shared" si="14"/>
        <v>4.8</v>
      </c>
    </row>
    <row r="9" spans="1:37" ht="12.75" customHeight="1" x14ac:dyDescent="0.3">
      <c r="A9" s="71">
        <v>45663.651388888888</v>
      </c>
      <c r="B9" s="10" t="s">
        <v>13</v>
      </c>
      <c r="C9" s="10" t="s">
        <v>2263</v>
      </c>
      <c r="D9" s="61">
        <v>45661</v>
      </c>
      <c r="E9" s="10" t="s">
        <v>2039</v>
      </c>
      <c r="F9" s="61" t="s">
        <v>41</v>
      </c>
      <c r="G9" s="61" t="s">
        <v>943</v>
      </c>
      <c r="H9" s="61" t="s">
        <v>48</v>
      </c>
      <c r="I9" s="10" t="s">
        <v>2090</v>
      </c>
      <c r="J9" s="10" t="s">
        <v>2092</v>
      </c>
      <c r="K9" s="10">
        <v>506</v>
      </c>
      <c r="L9" s="10">
        <v>4</v>
      </c>
      <c r="M9" s="10">
        <v>20.5</v>
      </c>
      <c r="N9" s="63" t="s">
        <v>2289</v>
      </c>
      <c r="O9" s="10">
        <v>0</v>
      </c>
      <c r="P9" s="10">
        <v>1</v>
      </c>
      <c r="Q9" s="10">
        <v>956</v>
      </c>
      <c r="R9" s="10">
        <v>20711</v>
      </c>
      <c r="S9" s="10" t="s">
        <v>26</v>
      </c>
      <c r="T9" s="10">
        <v>9.6</v>
      </c>
      <c r="U9" s="10">
        <v>0</v>
      </c>
      <c r="V9" s="10">
        <v>0</v>
      </c>
      <c r="W9" s="73">
        <f t="shared" si="7"/>
        <v>5.0599999999999996</v>
      </c>
      <c r="X9" s="73">
        <f t="shared" si="8"/>
        <v>20.5</v>
      </c>
      <c r="Y9" s="74">
        <f>VLOOKUP(J9,DATOS!$C$2:$E$910,3,FALSE)</f>
        <v>10</v>
      </c>
      <c r="Z9" s="73">
        <f t="shared" si="9"/>
        <v>2050</v>
      </c>
      <c r="AA9" s="75" t="str">
        <f t="shared" si="10"/>
        <v>enero</v>
      </c>
      <c r="AB9" s="75" t="str">
        <f t="shared" si="11"/>
        <v>YYYY</v>
      </c>
      <c r="AC9" s="76">
        <f t="shared" si="12"/>
        <v>1</v>
      </c>
      <c r="AD9" s="77">
        <f>VLOOKUP(J9,DATOS!$C$2:$E$6970,2,FALSE)</f>
        <v>4</v>
      </c>
      <c r="AE9" s="73">
        <f t="shared" si="13"/>
        <v>168.66666666666666</v>
      </c>
      <c r="AF9" s="73"/>
      <c r="AG9" s="73"/>
      <c r="AH9" s="78">
        <f>VLOOKUP(J9,'SKU PIEZAS'!$R$1:$U$847,2,FALSE)</f>
        <v>1</v>
      </c>
      <c r="AI9" s="79">
        <f>VLOOKUP(J9,'SKU PIEZAS'!$R$1:$U$847,4,FALSE)</f>
        <v>160</v>
      </c>
      <c r="AJ9" s="79">
        <f>VLOOKUP(J9,'SKU PIEZAS'!$R$1:$U$847,3,FALSE)</f>
        <v>10</v>
      </c>
      <c r="AK9" s="10">
        <f t="shared" si="14"/>
        <v>6.4</v>
      </c>
    </row>
    <row r="10" spans="1:37" ht="12.75" customHeight="1" x14ac:dyDescent="0.3">
      <c r="A10" s="71">
        <v>45663.651388888888</v>
      </c>
      <c r="B10" s="10" t="s">
        <v>13</v>
      </c>
      <c r="C10" s="10" t="s">
        <v>2263</v>
      </c>
      <c r="D10" s="61">
        <v>45661</v>
      </c>
      <c r="E10" s="10" t="s">
        <v>2039</v>
      </c>
      <c r="F10" s="61" t="s">
        <v>40</v>
      </c>
      <c r="G10" s="61" t="s">
        <v>48</v>
      </c>
      <c r="H10" s="61" t="s">
        <v>954</v>
      </c>
      <c r="I10" s="10" t="s">
        <v>2090</v>
      </c>
      <c r="J10" s="10" t="s">
        <v>2095</v>
      </c>
      <c r="K10" s="10">
        <v>255</v>
      </c>
      <c r="L10" s="10">
        <v>3</v>
      </c>
      <c r="M10" s="10">
        <v>10.6</v>
      </c>
      <c r="N10" s="63" t="s">
        <v>2289</v>
      </c>
      <c r="O10" s="10">
        <v>0</v>
      </c>
      <c r="P10" s="10">
        <v>1</v>
      </c>
      <c r="Q10" s="10">
        <v>956</v>
      </c>
      <c r="R10" s="10">
        <v>20711</v>
      </c>
      <c r="S10" s="10" t="s">
        <v>1211</v>
      </c>
      <c r="T10" s="10">
        <v>3.5</v>
      </c>
      <c r="U10" s="10">
        <v>0</v>
      </c>
      <c r="V10" s="10">
        <v>0</v>
      </c>
      <c r="W10" s="73">
        <f t="shared" si="7"/>
        <v>2.5499999999999998</v>
      </c>
      <c r="X10" s="73">
        <f t="shared" si="8"/>
        <v>10.6</v>
      </c>
      <c r="Y10" s="74">
        <f>VLOOKUP(J10,DATOS!$C$2:$E$910,3,FALSE)</f>
        <v>10</v>
      </c>
      <c r="Z10" s="73">
        <f t="shared" si="9"/>
        <v>1060</v>
      </c>
      <c r="AA10" s="75" t="str">
        <f t="shared" si="10"/>
        <v>enero</v>
      </c>
      <c r="AB10" s="75" t="str">
        <f t="shared" si="11"/>
        <v>YYYY</v>
      </c>
      <c r="AC10" s="76">
        <f t="shared" si="12"/>
        <v>1</v>
      </c>
      <c r="AD10" s="77">
        <f>VLOOKUP(J10,DATOS!$C$2:$E$6970,2,FALSE)</f>
        <v>4</v>
      </c>
      <c r="AE10" s="73">
        <f t="shared" si="13"/>
        <v>85</v>
      </c>
      <c r="AF10" s="73"/>
      <c r="AG10" s="73"/>
      <c r="AH10" s="78">
        <f>VLOOKUP(J10,'SKU PIEZAS'!$R$1:$U$847,2,FALSE)</f>
        <v>1</v>
      </c>
      <c r="AI10" s="79">
        <f>VLOOKUP(J10,'SKU PIEZAS'!$R$1:$U$847,4,FALSE)</f>
        <v>160</v>
      </c>
      <c r="AJ10" s="79">
        <f>VLOOKUP(J10,'SKU PIEZAS'!$R$1:$U$847,3,FALSE)</f>
        <v>10</v>
      </c>
      <c r="AK10" s="10">
        <f t="shared" si="14"/>
        <v>4.8</v>
      </c>
    </row>
    <row r="11" spans="1:37" ht="12.75" customHeight="1" x14ac:dyDescent="0.3">
      <c r="A11" s="71">
        <v>45663.651388888888</v>
      </c>
      <c r="B11" s="10" t="s">
        <v>13</v>
      </c>
      <c r="C11" s="10" t="s">
        <v>1267</v>
      </c>
      <c r="D11" s="61">
        <v>45659</v>
      </c>
      <c r="E11" s="10" t="s">
        <v>2287</v>
      </c>
      <c r="F11" s="61" t="s">
        <v>41</v>
      </c>
      <c r="G11" s="61" t="s">
        <v>943</v>
      </c>
      <c r="H11" s="61" t="s">
        <v>48</v>
      </c>
      <c r="I11" s="10" t="s">
        <v>985</v>
      </c>
      <c r="J11" s="10" t="s">
        <v>457</v>
      </c>
      <c r="K11" s="10">
        <v>438</v>
      </c>
      <c r="L11" s="10">
        <v>4</v>
      </c>
      <c r="M11" s="10">
        <v>32</v>
      </c>
      <c r="N11" s="63" t="s">
        <v>2289</v>
      </c>
      <c r="O11" s="10">
        <v>0</v>
      </c>
      <c r="P11" s="10">
        <v>5</v>
      </c>
      <c r="Q11" s="10">
        <v>953</v>
      </c>
      <c r="R11" s="10">
        <v>20633</v>
      </c>
      <c r="S11" s="10" t="s">
        <v>26</v>
      </c>
      <c r="T11" s="10">
        <v>8.1</v>
      </c>
      <c r="U11" s="10">
        <v>0</v>
      </c>
      <c r="V11" s="10">
        <v>0</v>
      </c>
      <c r="W11" s="73" t="e">
        <f t="shared" si="7"/>
        <v>#N/A</v>
      </c>
      <c r="X11" s="73">
        <f t="shared" si="8"/>
        <v>32</v>
      </c>
      <c r="Y11" s="74" t="e">
        <f>VLOOKUP(J11,DATOS!$C$2:$E$910,3,FALSE)</f>
        <v>#N/A</v>
      </c>
      <c r="Z11" s="73">
        <f t="shared" si="9"/>
        <v>0</v>
      </c>
      <c r="AA11" s="75" t="str">
        <f t="shared" si="10"/>
        <v>enero</v>
      </c>
      <c r="AB11" s="75" t="str">
        <f t="shared" si="11"/>
        <v>YYYY</v>
      </c>
      <c r="AC11" s="76">
        <f t="shared" si="12"/>
        <v>1</v>
      </c>
      <c r="AD11" s="77" t="e">
        <f>VLOOKUP(J11,DATOS!$C$2:$E$6970,2,FALSE)</f>
        <v>#N/A</v>
      </c>
      <c r="AE11" s="73" t="e">
        <f t="shared" si="13"/>
        <v>#N/A</v>
      </c>
      <c r="AF11" s="73"/>
      <c r="AG11" s="73"/>
      <c r="AH11" s="78">
        <f>VLOOKUP(J11,'SKU PIEZAS'!$R$1:$U$847,2,FALSE)</f>
        <v>2</v>
      </c>
      <c r="AI11" s="79">
        <f>VLOOKUP(J11,'SKU PIEZAS'!$R$1:$U$847,4,FALSE)</f>
        <v>110</v>
      </c>
      <c r="AJ11" s="79">
        <f>VLOOKUP(J11,'SKU PIEZAS'!$R$1:$U$847,3,FALSE)</f>
        <v>38</v>
      </c>
      <c r="AK11" s="10">
        <f t="shared" si="14"/>
        <v>16.72</v>
      </c>
    </row>
    <row r="12" spans="1:37" ht="12.75" customHeight="1" x14ac:dyDescent="0.3">
      <c r="A12" s="71">
        <v>45663.651388888888</v>
      </c>
      <c r="B12" s="10" t="s">
        <v>13</v>
      </c>
      <c r="C12" s="10" t="s">
        <v>1267</v>
      </c>
      <c r="D12" s="61">
        <v>45659</v>
      </c>
      <c r="E12" s="10" t="s">
        <v>2287</v>
      </c>
      <c r="F12" s="61" t="s">
        <v>40</v>
      </c>
      <c r="G12" s="61" t="s">
        <v>48</v>
      </c>
      <c r="H12" s="61" t="s">
        <v>1172</v>
      </c>
      <c r="I12" s="10" t="s">
        <v>985</v>
      </c>
      <c r="J12" s="10" t="s">
        <v>1978</v>
      </c>
      <c r="K12" s="10">
        <v>643</v>
      </c>
      <c r="L12" s="10">
        <v>6</v>
      </c>
      <c r="M12" s="10">
        <v>47</v>
      </c>
      <c r="N12" s="63" t="s">
        <v>2289</v>
      </c>
      <c r="O12" s="10">
        <v>0</v>
      </c>
      <c r="P12" s="10">
        <v>7</v>
      </c>
      <c r="Q12" s="10">
        <v>953</v>
      </c>
      <c r="R12" s="10">
        <v>20633</v>
      </c>
      <c r="S12" s="10" t="s">
        <v>1221</v>
      </c>
      <c r="T12" s="10">
        <v>5.5</v>
      </c>
      <c r="U12" s="10">
        <v>0</v>
      </c>
      <c r="V12" s="10">
        <v>0</v>
      </c>
      <c r="W12" s="73" t="e">
        <f t="shared" si="7"/>
        <v>#N/A</v>
      </c>
      <c r="X12" s="73">
        <f t="shared" si="8"/>
        <v>47</v>
      </c>
      <c r="Y12" s="74" t="e">
        <f>VLOOKUP(J12,DATOS!$C$2:$E$910,3,FALSE)</f>
        <v>#N/A</v>
      </c>
      <c r="Z12" s="73">
        <f t="shared" si="9"/>
        <v>0</v>
      </c>
      <c r="AA12" s="75" t="str">
        <f t="shared" si="10"/>
        <v>enero</v>
      </c>
      <c r="AB12" s="75" t="str">
        <f t="shared" si="11"/>
        <v>YYYY</v>
      </c>
      <c r="AC12" s="76">
        <f t="shared" si="12"/>
        <v>1</v>
      </c>
      <c r="AD12" s="77" t="e">
        <f>VLOOKUP(J12,DATOS!$C$2:$E$6970,2,FALSE)</f>
        <v>#N/A</v>
      </c>
      <c r="AE12" s="73" t="e">
        <f t="shared" si="13"/>
        <v>#N/A</v>
      </c>
      <c r="AF12" s="73"/>
      <c r="AG12" s="73"/>
      <c r="AH12" s="78">
        <f>VLOOKUP(J12,'SKU PIEZAS'!$R$1:$U$847,2,FALSE)</f>
        <v>2</v>
      </c>
      <c r="AI12" s="79">
        <f>VLOOKUP(J12,'SKU PIEZAS'!$R$1:$U$847,4,FALSE)</f>
        <v>110</v>
      </c>
      <c r="AJ12" s="79">
        <f>VLOOKUP(J12,'SKU PIEZAS'!$R$1:$U$847,3,FALSE)</f>
        <v>38</v>
      </c>
      <c r="AK12" s="10">
        <f t="shared" si="14"/>
        <v>25.08</v>
      </c>
    </row>
    <row r="13" spans="1:37" ht="12.75" customHeight="1" x14ac:dyDescent="0.3">
      <c r="A13" s="71">
        <v>45663.651388888888</v>
      </c>
      <c r="B13" s="10" t="s">
        <v>13</v>
      </c>
      <c r="C13" s="10" t="s">
        <v>1267</v>
      </c>
      <c r="D13" s="61">
        <v>45660</v>
      </c>
      <c r="E13" s="10" t="s">
        <v>2039</v>
      </c>
      <c r="F13" s="61" t="s">
        <v>40</v>
      </c>
      <c r="G13" s="61" t="s">
        <v>48</v>
      </c>
      <c r="H13" s="61" t="s">
        <v>1172</v>
      </c>
      <c r="I13" s="10" t="s">
        <v>985</v>
      </c>
      <c r="J13" s="10" t="s">
        <v>1900</v>
      </c>
      <c r="K13" s="10">
        <v>314</v>
      </c>
      <c r="L13" s="10">
        <v>2</v>
      </c>
      <c r="M13" s="10">
        <v>23.1</v>
      </c>
      <c r="N13" s="63" t="s">
        <v>2289</v>
      </c>
      <c r="O13" s="10">
        <v>0</v>
      </c>
      <c r="P13" s="10">
        <v>4</v>
      </c>
      <c r="Q13" s="10">
        <v>953</v>
      </c>
      <c r="R13" s="10">
        <v>20634</v>
      </c>
      <c r="S13" s="10" t="s">
        <v>1211</v>
      </c>
      <c r="T13" s="10">
        <v>4.0999999999999996</v>
      </c>
      <c r="U13" s="10">
        <v>0</v>
      </c>
      <c r="V13" s="10">
        <v>0</v>
      </c>
      <c r="W13" s="73" t="e">
        <f t="shared" si="7"/>
        <v>#N/A</v>
      </c>
      <c r="X13" s="73">
        <f t="shared" si="8"/>
        <v>23.1</v>
      </c>
      <c r="Y13" s="74" t="e">
        <f>VLOOKUP(J13,DATOS!$C$2:$E$910,3,FALSE)</f>
        <v>#N/A</v>
      </c>
      <c r="Z13" s="73">
        <f t="shared" si="9"/>
        <v>0</v>
      </c>
      <c r="AA13" s="75" t="str">
        <f t="shared" si="10"/>
        <v>enero</v>
      </c>
      <c r="AB13" s="75" t="str">
        <f t="shared" si="11"/>
        <v>YYYY</v>
      </c>
      <c r="AC13" s="76">
        <f t="shared" si="12"/>
        <v>1</v>
      </c>
      <c r="AD13" s="77" t="e">
        <f>VLOOKUP(J13,DATOS!$C$2:$E$6970,2,FALSE)</f>
        <v>#N/A</v>
      </c>
      <c r="AE13" s="73" t="e">
        <f t="shared" si="13"/>
        <v>#N/A</v>
      </c>
      <c r="AF13" s="73"/>
      <c r="AG13" s="73"/>
      <c r="AH13" s="78">
        <f>VLOOKUP(J13,'SKU PIEZAS'!$R$1:$U$847,2,FALSE)</f>
        <v>2</v>
      </c>
      <c r="AI13" s="79">
        <f>VLOOKUP(J13,'SKU PIEZAS'!$R$1:$U$847,4,FALSE)</f>
        <v>110</v>
      </c>
      <c r="AJ13" s="79">
        <f>VLOOKUP(J13,'SKU PIEZAS'!$R$1:$U$847,3,FALSE)</f>
        <v>38</v>
      </c>
      <c r="AK13" s="10">
        <f t="shared" si="14"/>
        <v>8.36</v>
      </c>
    </row>
    <row r="14" spans="1:37" ht="12.75" customHeight="1" x14ac:dyDescent="0.3">
      <c r="A14" s="71">
        <v>45663.651388888888</v>
      </c>
      <c r="B14" s="10" t="s">
        <v>13</v>
      </c>
      <c r="C14" s="10" t="s">
        <v>1267</v>
      </c>
      <c r="D14" s="61">
        <v>45660</v>
      </c>
      <c r="E14" s="10" t="s">
        <v>2039</v>
      </c>
      <c r="F14" s="61" t="s">
        <v>40</v>
      </c>
      <c r="G14" s="61" t="s">
        <v>48</v>
      </c>
      <c r="H14" s="61" t="s">
        <v>1172</v>
      </c>
      <c r="I14" s="10" t="s">
        <v>985</v>
      </c>
      <c r="J14" s="10" t="s">
        <v>461</v>
      </c>
      <c r="K14" s="10">
        <v>291</v>
      </c>
      <c r="L14" s="10">
        <v>3</v>
      </c>
      <c r="M14" s="10">
        <v>21.4</v>
      </c>
      <c r="N14" s="63" t="s">
        <v>2289</v>
      </c>
      <c r="O14" s="10">
        <v>0</v>
      </c>
      <c r="P14" s="10">
        <v>4</v>
      </c>
      <c r="Q14" s="10">
        <v>953</v>
      </c>
      <c r="R14" s="10">
        <v>20634</v>
      </c>
      <c r="S14" s="10" t="s">
        <v>1212</v>
      </c>
      <c r="T14" s="10">
        <v>14.8</v>
      </c>
      <c r="U14" s="10">
        <v>0</v>
      </c>
      <c r="V14" s="10">
        <v>0</v>
      </c>
      <c r="W14" s="73" t="e">
        <f t="shared" si="7"/>
        <v>#N/A</v>
      </c>
      <c r="X14" s="73">
        <f t="shared" si="8"/>
        <v>21.4</v>
      </c>
      <c r="Y14" s="74" t="e">
        <f>VLOOKUP(J14,DATOS!$C$2:$E$910,3,FALSE)</f>
        <v>#N/A</v>
      </c>
      <c r="Z14" s="73">
        <f t="shared" si="9"/>
        <v>0</v>
      </c>
      <c r="AA14" s="75" t="str">
        <f t="shared" si="10"/>
        <v>enero</v>
      </c>
      <c r="AB14" s="75" t="str">
        <f t="shared" si="11"/>
        <v>YYYY</v>
      </c>
      <c r="AC14" s="76">
        <f t="shared" si="12"/>
        <v>1</v>
      </c>
      <c r="AD14" s="77" t="e">
        <f>VLOOKUP(J14,DATOS!$C$2:$E$6970,2,FALSE)</f>
        <v>#N/A</v>
      </c>
      <c r="AE14" s="73" t="e">
        <f t="shared" si="13"/>
        <v>#N/A</v>
      </c>
      <c r="AF14" s="73"/>
      <c r="AG14" s="73"/>
      <c r="AH14" s="78">
        <f>VLOOKUP(J14,'SKU PIEZAS'!$R$1:$U$847,2,FALSE)</f>
        <v>2</v>
      </c>
      <c r="AI14" s="79">
        <f>VLOOKUP(J14,'SKU PIEZAS'!$R$1:$U$847,4,FALSE)</f>
        <v>110</v>
      </c>
      <c r="AJ14" s="79">
        <f>VLOOKUP(J14,'SKU PIEZAS'!$R$1:$U$847,3,FALSE)</f>
        <v>38</v>
      </c>
      <c r="AK14" s="10">
        <f t="shared" si="14"/>
        <v>12.54</v>
      </c>
    </row>
    <row r="15" spans="1:37" ht="12.75" customHeight="1" x14ac:dyDescent="0.3">
      <c r="A15" s="71">
        <v>45663.651388888888</v>
      </c>
      <c r="B15" s="10" t="s">
        <v>13</v>
      </c>
      <c r="C15" s="10" t="s">
        <v>1267</v>
      </c>
      <c r="D15" s="61">
        <v>45660</v>
      </c>
      <c r="E15" s="10" t="s">
        <v>2039</v>
      </c>
      <c r="F15" s="61" t="s">
        <v>40</v>
      </c>
      <c r="G15" s="61" t="s">
        <v>48</v>
      </c>
      <c r="H15" s="61" t="s">
        <v>1172</v>
      </c>
      <c r="I15" s="10" t="s">
        <v>985</v>
      </c>
      <c r="J15" s="10" t="s">
        <v>459</v>
      </c>
      <c r="K15" s="10">
        <v>304</v>
      </c>
      <c r="L15" s="10">
        <v>4</v>
      </c>
      <c r="M15" s="10">
        <v>22.4</v>
      </c>
      <c r="N15" s="63" t="s">
        <v>2289</v>
      </c>
      <c r="O15" s="10">
        <v>0</v>
      </c>
      <c r="P15" s="10">
        <v>4</v>
      </c>
      <c r="Q15" s="10">
        <v>953</v>
      </c>
      <c r="R15" s="10">
        <v>20634</v>
      </c>
      <c r="S15" s="10" t="s">
        <v>24</v>
      </c>
      <c r="T15" s="10">
        <v>1.5</v>
      </c>
      <c r="U15" s="10">
        <v>0</v>
      </c>
      <c r="V15" s="10">
        <v>0</v>
      </c>
      <c r="W15" s="73" t="e">
        <f t="shared" si="7"/>
        <v>#N/A</v>
      </c>
      <c r="X15" s="73">
        <f t="shared" si="8"/>
        <v>22.4</v>
      </c>
      <c r="Y15" s="74" t="e">
        <f>VLOOKUP(J15,DATOS!$C$2:$E$910,3,FALSE)</f>
        <v>#N/A</v>
      </c>
      <c r="Z15" s="73">
        <f t="shared" si="9"/>
        <v>0</v>
      </c>
      <c r="AA15" s="75" t="str">
        <f t="shared" si="10"/>
        <v>enero</v>
      </c>
      <c r="AB15" s="75" t="str">
        <f t="shared" si="11"/>
        <v>YYYY</v>
      </c>
      <c r="AC15" s="76">
        <f t="shared" si="12"/>
        <v>1</v>
      </c>
      <c r="AD15" s="77" t="e">
        <f>VLOOKUP(J15,DATOS!$C$2:$E$6970,2,FALSE)</f>
        <v>#N/A</v>
      </c>
      <c r="AE15" s="73" t="e">
        <f t="shared" si="13"/>
        <v>#N/A</v>
      </c>
      <c r="AF15" s="73"/>
      <c r="AG15" s="73"/>
      <c r="AH15" s="78">
        <f>VLOOKUP(J15,'SKU PIEZAS'!$R$1:$U$847,2,FALSE)</f>
        <v>2</v>
      </c>
      <c r="AI15" s="79">
        <f>VLOOKUP(J15,'SKU PIEZAS'!$R$1:$U$847,4,FALSE)</f>
        <v>110</v>
      </c>
      <c r="AJ15" s="79">
        <f>VLOOKUP(J15,'SKU PIEZAS'!$R$1:$U$847,3,FALSE)</f>
        <v>38</v>
      </c>
      <c r="AK15" s="10">
        <f t="shared" si="14"/>
        <v>16.72</v>
      </c>
    </row>
    <row r="16" spans="1:37" ht="12.75" customHeight="1" x14ac:dyDescent="0.3">
      <c r="A16" s="71">
        <v>45663.651388888888</v>
      </c>
      <c r="B16" s="10" t="s">
        <v>13</v>
      </c>
      <c r="C16" s="10" t="s">
        <v>1267</v>
      </c>
      <c r="D16" s="61">
        <v>45660</v>
      </c>
      <c r="E16" s="10" t="s">
        <v>2288</v>
      </c>
      <c r="F16" s="61" t="s">
        <v>40</v>
      </c>
      <c r="G16" s="61" t="s">
        <v>48</v>
      </c>
      <c r="H16" s="61" t="s">
        <v>1172</v>
      </c>
      <c r="I16" s="10" t="s">
        <v>985</v>
      </c>
      <c r="J16" s="10" t="s">
        <v>459</v>
      </c>
      <c r="K16" s="10">
        <v>223</v>
      </c>
      <c r="L16" s="10">
        <v>2</v>
      </c>
      <c r="M16" s="10">
        <v>16.399999999999999</v>
      </c>
      <c r="N16" s="63" t="s">
        <v>2290</v>
      </c>
      <c r="O16" s="10">
        <v>0</v>
      </c>
      <c r="P16" s="10">
        <v>2</v>
      </c>
      <c r="Q16" s="10">
        <v>953</v>
      </c>
      <c r="R16" s="10">
        <v>20635</v>
      </c>
      <c r="S16" s="10" t="s">
        <v>24</v>
      </c>
      <c r="T16" s="10">
        <v>3.2</v>
      </c>
      <c r="U16" s="10">
        <v>0</v>
      </c>
      <c r="V16" s="10">
        <v>0</v>
      </c>
      <c r="W16" s="73" t="e">
        <f t="shared" si="7"/>
        <v>#N/A</v>
      </c>
      <c r="X16" s="73">
        <f t="shared" si="8"/>
        <v>16.399999999999999</v>
      </c>
      <c r="Y16" s="74" t="e">
        <f>VLOOKUP(J16,DATOS!$C$2:$E$910,3,FALSE)</f>
        <v>#N/A</v>
      </c>
      <c r="Z16" s="73">
        <f t="shared" si="9"/>
        <v>0</v>
      </c>
      <c r="AA16" s="75" t="str">
        <f t="shared" si="10"/>
        <v>enero</v>
      </c>
      <c r="AB16" s="75" t="str">
        <f t="shared" si="11"/>
        <v>YYYY</v>
      </c>
      <c r="AC16" s="76">
        <f t="shared" si="12"/>
        <v>1</v>
      </c>
      <c r="AD16" s="77" t="e">
        <f>VLOOKUP(J16,DATOS!$C$2:$E$6970,2,FALSE)</f>
        <v>#N/A</v>
      </c>
      <c r="AE16" s="73" t="e">
        <f t="shared" si="13"/>
        <v>#N/A</v>
      </c>
      <c r="AF16" s="73"/>
      <c r="AG16" s="73"/>
      <c r="AH16" s="78">
        <f>VLOOKUP(J16,'SKU PIEZAS'!$R$1:$U$847,2,FALSE)</f>
        <v>2</v>
      </c>
      <c r="AI16" s="79">
        <f>VLOOKUP(J16,'SKU PIEZAS'!$R$1:$U$847,4,FALSE)</f>
        <v>110</v>
      </c>
      <c r="AJ16" s="79">
        <f>VLOOKUP(J16,'SKU PIEZAS'!$R$1:$U$847,3,FALSE)</f>
        <v>38</v>
      </c>
      <c r="AK16" s="10">
        <f t="shared" si="14"/>
        <v>8.36</v>
      </c>
    </row>
    <row r="17" spans="1:37" ht="12.75" customHeight="1" x14ac:dyDescent="0.3">
      <c r="A17" s="71">
        <v>45663.651388888888</v>
      </c>
      <c r="B17" s="10" t="s">
        <v>13</v>
      </c>
      <c r="C17" s="10" t="s">
        <v>1267</v>
      </c>
      <c r="D17" s="61">
        <v>45660</v>
      </c>
      <c r="E17" s="10" t="s">
        <v>2288</v>
      </c>
      <c r="F17" s="61" t="s">
        <v>40</v>
      </c>
      <c r="G17" s="61" t="s">
        <v>48</v>
      </c>
      <c r="H17" s="61" t="s">
        <v>1172</v>
      </c>
      <c r="I17" s="10" t="s">
        <v>985</v>
      </c>
      <c r="J17" s="10" t="s">
        <v>948</v>
      </c>
      <c r="K17" s="10">
        <v>421</v>
      </c>
      <c r="L17" s="10">
        <v>4</v>
      </c>
      <c r="M17" s="10">
        <v>31</v>
      </c>
      <c r="N17" s="63" t="s">
        <v>2290</v>
      </c>
      <c r="O17" s="10">
        <v>0</v>
      </c>
      <c r="P17" s="10">
        <v>4</v>
      </c>
      <c r="Q17" s="10">
        <v>953</v>
      </c>
      <c r="R17" s="10">
        <v>20635</v>
      </c>
      <c r="S17" s="10" t="s">
        <v>27</v>
      </c>
      <c r="T17" s="10">
        <v>5.2</v>
      </c>
      <c r="U17" s="10">
        <v>0</v>
      </c>
      <c r="V17" s="10">
        <v>0</v>
      </c>
      <c r="W17" s="73" t="e">
        <f t="shared" si="7"/>
        <v>#N/A</v>
      </c>
      <c r="X17" s="73">
        <f t="shared" si="8"/>
        <v>31</v>
      </c>
      <c r="Y17" s="74" t="e">
        <f>VLOOKUP(J17,DATOS!$C$2:$E$910,3,FALSE)</f>
        <v>#N/A</v>
      </c>
      <c r="Z17" s="73">
        <f t="shared" si="9"/>
        <v>0</v>
      </c>
      <c r="AA17" s="75" t="str">
        <f t="shared" si="10"/>
        <v>enero</v>
      </c>
      <c r="AB17" s="75" t="str">
        <f t="shared" si="11"/>
        <v>YYYY</v>
      </c>
      <c r="AC17" s="76">
        <f t="shared" si="12"/>
        <v>1</v>
      </c>
      <c r="AD17" s="77" t="e">
        <f>VLOOKUP(J17,DATOS!$C$2:$E$6970,2,FALSE)</f>
        <v>#N/A</v>
      </c>
      <c r="AE17" s="73" t="e">
        <f t="shared" si="13"/>
        <v>#N/A</v>
      </c>
      <c r="AF17" s="73"/>
      <c r="AG17" s="73"/>
      <c r="AH17" s="78" t="e">
        <f>VLOOKUP(J17,'SKU PIEZAS'!$R$1:$U$847,2,FALSE)</f>
        <v>#N/A</v>
      </c>
      <c r="AI17" s="79" t="e">
        <f>VLOOKUP(J17,'SKU PIEZAS'!$R$1:$U$847,4,FALSE)</f>
        <v>#N/A</v>
      </c>
      <c r="AJ17" s="79" t="e">
        <f>VLOOKUP(J17,'SKU PIEZAS'!$R$1:$U$847,3,FALSE)</f>
        <v>#N/A</v>
      </c>
      <c r="AK17" s="10" t="e">
        <f t="shared" si="14"/>
        <v>#N/A</v>
      </c>
    </row>
    <row r="18" spans="1:37" ht="12.75" customHeight="1" x14ac:dyDescent="0.3">
      <c r="A18" s="71">
        <v>45663.651388888888</v>
      </c>
      <c r="B18" s="10" t="s">
        <v>13</v>
      </c>
      <c r="C18" s="10" t="s">
        <v>1267</v>
      </c>
      <c r="D18" s="61">
        <v>45660</v>
      </c>
      <c r="E18" s="10" t="s">
        <v>2288</v>
      </c>
      <c r="F18" s="61" t="s">
        <v>41</v>
      </c>
      <c r="G18" s="61" t="s">
        <v>943</v>
      </c>
      <c r="H18" s="61" t="s">
        <v>48</v>
      </c>
      <c r="I18" s="10" t="s">
        <v>985</v>
      </c>
      <c r="J18" s="10" t="s">
        <v>457</v>
      </c>
      <c r="K18" s="10">
        <v>397</v>
      </c>
      <c r="L18" s="10">
        <v>4</v>
      </c>
      <c r="M18" s="10">
        <v>29.2</v>
      </c>
      <c r="N18" s="63" t="s">
        <v>2290</v>
      </c>
      <c r="O18" s="10">
        <v>0</v>
      </c>
      <c r="P18" s="10">
        <v>4</v>
      </c>
      <c r="Q18" s="10">
        <v>953</v>
      </c>
      <c r="R18" s="10">
        <v>20635</v>
      </c>
      <c r="S18" s="10" t="s">
        <v>26</v>
      </c>
      <c r="T18" s="10">
        <v>3.3</v>
      </c>
      <c r="U18" s="10">
        <v>0</v>
      </c>
      <c r="V18" s="10">
        <v>0</v>
      </c>
      <c r="W18" s="73" t="e">
        <f t="shared" si="7"/>
        <v>#N/A</v>
      </c>
      <c r="X18" s="73">
        <f t="shared" si="8"/>
        <v>29.2</v>
      </c>
      <c r="Y18" s="74" t="e">
        <f>VLOOKUP(J18,DATOS!$C$2:$E$910,3,FALSE)</f>
        <v>#N/A</v>
      </c>
      <c r="Z18" s="73">
        <f t="shared" si="9"/>
        <v>0</v>
      </c>
      <c r="AA18" s="75" t="str">
        <f t="shared" si="10"/>
        <v>enero</v>
      </c>
      <c r="AB18" s="75" t="str">
        <f t="shared" si="11"/>
        <v>YYYY</v>
      </c>
      <c r="AC18" s="76">
        <f t="shared" si="12"/>
        <v>1</v>
      </c>
      <c r="AD18" s="77" t="e">
        <f>VLOOKUP(J18,DATOS!$C$2:$E$6970,2,FALSE)</f>
        <v>#N/A</v>
      </c>
      <c r="AE18" s="73" t="e">
        <f t="shared" si="13"/>
        <v>#N/A</v>
      </c>
      <c r="AF18" s="73"/>
      <c r="AG18" s="73"/>
      <c r="AH18" s="78">
        <f>VLOOKUP(J18,'SKU PIEZAS'!$R$1:$U$847,2,FALSE)</f>
        <v>2</v>
      </c>
      <c r="AI18" s="79">
        <f>VLOOKUP(J18,'SKU PIEZAS'!$R$1:$U$847,4,FALSE)</f>
        <v>110</v>
      </c>
      <c r="AJ18" s="79">
        <f>VLOOKUP(J18,'SKU PIEZAS'!$R$1:$U$847,3,FALSE)</f>
        <v>38</v>
      </c>
      <c r="AK18" s="10">
        <f t="shared" si="14"/>
        <v>16.72</v>
      </c>
    </row>
    <row r="19" spans="1:37" ht="12.75" customHeight="1" x14ac:dyDescent="0.3">
      <c r="A19" s="71">
        <v>45663.651388888888</v>
      </c>
      <c r="B19" s="10" t="s">
        <v>13</v>
      </c>
      <c r="C19" s="10" t="s">
        <v>1267</v>
      </c>
      <c r="D19" s="61">
        <v>45660</v>
      </c>
      <c r="E19" s="10" t="s">
        <v>2288</v>
      </c>
      <c r="F19" s="61" t="s">
        <v>40</v>
      </c>
      <c r="G19" s="61" t="s">
        <v>48</v>
      </c>
      <c r="H19" s="61" t="s">
        <v>1172</v>
      </c>
      <c r="I19" s="10" t="s">
        <v>985</v>
      </c>
      <c r="J19" s="10" t="s">
        <v>1978</v>
      </c>
      <c r="K19" s="10">
        <v>210</v>
      </c>
      <c r="L19" s="10">
        <v>2</v>
      </c>
      <c r="M19" s="10">
        <v>15.5</v>
      </c>
      <c r="N19" s="63" t="s">
        <v>2290</v>
      </c>
      <c r="O19" s="10">
        <v>0</v>
      </c>
      <c r="P19" s="10">
        <v>2</v>
      </c>
      <c r="Q19" s="10">
        <v>953</v>
      </c>
      <c r="R19" s="10">
        <v>20635</v>
      </c>
      <c r="S19" s="10" t="s">
        <v>1221</v>
      </c>
      <c r="T19" s="10">
        <v>0</v>
      </c>
      <c r="U19" s="10">
        <v>0</v>
      </c>
      <c r="V19" s="10">
        <v>0</v>
      </c>
      <c r="W19" s="73" t="e">
        <f t="shared" si="7"/>
        <v>#N/A</v>
      </c>
      <c r="X19" s="73">
        <f t="shared" si="8"/>
        <v>15.5</v>
      </c>
      <c r="Y19" s="74" t="e">
        <f>VLOOKUP(J19,DATOS!$C$2:$E$910,3,FALSE)</f>
        <v>#N/A</v>
      </c>
      <c r="Z19" s="73">
        <f t="shared" si="9"/>
        <v>0</v>
      </c>
      <c r="AA19" s="75" t="str">
        <f t="shared" si="10"/>
        <v>enero</v>
      </c>
      <c r="AB19" s="75" t="str">
        <f t="shared" si="11"/>
        <v>YYYY</v>
      </c>
      <c r="AC19" s="76">
        <f t="shared" si="12"/>
        <v>1</v>
      </c>
      <c r="AD19" s="77" t="e">
        <f>VLOOKUP(J19,DATOS!$C$2:$E$6970,2,FALSE)</f>
        <v>#N/A</v>
      </c>
      <c r="AE19" s="73" t="e">
        <f t="shared" si="13"/>
        <v>#N/A</v>
      </c>
      <c r="AF19" s="73"/>
      <c r="AG19" s="73"/>
      <c r="AH19" s="78">
        <f>VLOOKUP(J19,'SKU PIEZAS'!$R$1:$U$847,2,FALSE)</f>
        <v>2</v>
      </c>
      <c r="AI19" s="79">
        <f>VLOOKUP(J19,'SKU PIEZAS'!$R$1:$U$847,4,FALSE)</f>
        <v>110</v>
      </c>
      <c r="AJ19" s="79">
        <f>VLOOKUP(J19,'SKU PIEZAS'!$R$1:$U$847,3,FALSE)</f>
        <v>38</v>
      </c>
      <c r="AK19" s="10">
        <f t="shared" si="14"/>
        <v>8.36</v>
      </c>
    </row>
    <row r="20" spans="1:37" ht="12.75" customHeight="1" x14ac:dyDescent="0.3">
      <c r="A20" s="71">
        <v>45663.651388888888</v>
      </c>
      <c r="B20" s="10" t="s">
        <v>13</v>
      </c>
      <c r="C20" s="10" t="s">
        <v>1267</v>
      </c>
      <c r="D20" s="61">
        <v>45661</v>
      </c>
      <c r="E20" s="10" t="s">
        <v>2291</v>
      </c>
      <c r="F20" s="61" t="s">
        <v>40</v>
      </c>
      <c r="G20" s="61" t="s">
        <v>48</v>
      </c>
      <c r="H20" s="61" t="s">
        <v>1172</v>
      </c>
      <c r="I20" s="10" t="s">
        <v>985</v>
      </c>
      <c r="J20" s="10" t="s">
        <v>461</v>
      </c>
      <c r="K20" s="10">
        <v>393</v>
      </c>
      <c r="L20" s="10">
        <v>6</v>
      </c>
      <c r="M20" s="10">
        <v>28.7</v>
      </c>
      <c r="N20" s="63" t="s">
        <v>2289</v>
      </c>
      <c r="O20" s="10">
        <v>0</v>
      </c>
      <c r="P20" s="10">
        <v>5</v>
      </c>
      <c r="Q20" s="10">
        <v>953</v>
      </c>
      <c r="R20" s="10">
        <v>20636</v>
      </c>
      <c r="S20" s="10" t="s">
        <v>1212</v>
      </c>
      <c r="T20" s="10">
        <v>7.8</v>
      </c>
      <c r="U20" s="10">
        <v>0</v>
      </c>
      <c r="V20" s="10">
        <v>0</v>
      </c>
      <c r="W20" s="73" t="e">
        <f t="shared" si="7"/>
        <v>#N/A</v>
      </c>
      <c r="X20" s="73">
        <f t="shared" si="8"/>
        <v>28.7</v>
      </c>
      <c r="Y20" s="74" t="e">
        <f>VLOOKUP(J20,DATOS!$C$2:$E$910,3,FALSE)</f>
        <v>#N/A</v>
      </c>
      <c r="Z20" s="73">
        <f t="shared" si="9"/>
        <v>0</v>
      </c>
      <c r="AA20" s="75" t="str">
        <f t="shared" si="10"/>
        <v>enero</v>
      </c>
      <c r="AB20" s="75" t="str">
        <f t="shared" si="11"/>
        <v>YYYY</v>
      </c>
      <c r="AC20" s="76">
        <f t="shared" si="12"/>
        <v>1</v>
      </c>
      <c r="AD20" s="77" t="e">
        <f>VLOOKUP(J20,DATOS!$C$2:$E$6970,2,FALSE)</f>
        <v>#N/A</v>
      </c>
      <c r="AE20" s="73" t="e">
        <f t="shared" si="13"/>
        <v>#N/A</v>
      </c>
      <c r="AF20" s="73"/>
      <c r="AG20" s="73"/>
      <c r="AH20" s="78">
        <f>VLOOKUP(J20,'SKU PIEZAS'!$R$1:$U$847,2,FALSE)</f>
        <v>2</v>
      </c>
      <c r="AI20" s="79">
        <f>VLOOKUP(J20,'SKU PIEZAS'!$R$1:$U$847,4,FALSE)</f>
        <v>110</v>
      </c>
      <c r="AJ20" s="79">
        <f>VLOOKUP(J20,'SKU PIEZAS'!$R$1:$U$847,3,FALSE)</f>
        <v>38</v>
      </c>
      <c r="AK20" s="10">
        <f t="shared" si="14"/>
        <v>25.08</v>
      </c>
    </row>
    <row r="21" spans="1:37" ht="12.75" customHeight="1" x14ac:dyDescent="0.3">
      <c r="A21" s="71">
        <v>45663.651388888888</v>
      </c>
      <c r="B21" s="10" t="s">
        <v>13</v>
      </c>
      <c r="C21" s="10" t="s">
        <v>1267</v>
      </c>
      <c r="D21" s="61">
        <v>45661</v>
      </c>
      <c r="E21" s="10" t="s">
        <v>2291</v>
      </c>
      <c r="F21" s="61" t="s">
        <v>40</v>
      </c>
      <c r="G21" s="61" t="s">
        <v>48</v>
      </c>
      <c r="H21" s="61" t="s">
        <v>1172</v>
      </c>
      <c r="I21" s="10" t="s">
        <v>985</v>
      </c>
      <c r="J21" s="10" t="s">
        <v>948</v>
      </c>
      <c r="K21" s="10">
        <v>454</v>
      </c>
      <c r="L21" s="10">
        <v>4</v>
      </c>
      <c r="M21" s="10">
        <v>33.200000000000003</v>
      </c>
      <c r="N21" s="63" t="s">
        <v>2289</v>
      </c>
      <c r="O21" s="10">
        <v>0</v>
      </c>
      <c r="P21" s="10">
        <v>6</v>
      </c>
      <c r="Q21" s="10">
        <v>953</v>
      </c>
      <c r="R21" s="10">
        <v>20636</v>
      </c>
      <c r="S21" s="10" t="s">
        <v>27</v>
      </c>
      <c r="T21" s="10">
        <v>5.4</v>
      </c>
      <c r="U21" s="10">
        <v>0</v>
      </c>
      <c r="V21" s="10">
        <v>0</v>
      </c>
      <c r="W21" s="73" t="e">
        <f t="shared" si="7"/>
        <v>#N/A</v>
      </c>
      <c r="X21" s="73">
        <f t="shared" si="8"/>
        <v>33.200000000000003</v>
      </c>
      <c r="Y21" s="74" t="e">
        <f>VLOOKUP(J21,DATOS!$C$2:$E$910,3,FALSE)</f>
        <v>#N/A</v>
      </c>
      <c r="Z21" s="73">
        <f t="shared" si="9"/>
        <v>0</v>
      </c>
      <c r="AA21" s="75" t="str">
        <f t="shared" si="10"/>
        <v>enero</v>
      </c>
      <c r="AB21" s="75" t="str">
        <f t="shared" si="11"/>
        <v>YYYY</v>
      </c>
      <c r="AC21" s="76">
        <f t="shared" si="12"/>
        <v>1</v>
      </c>
      <c r="AD21" s="77" t="e">
        <f>VLOOKUP(J21,DATOS!$C$2:$E$6970,2,FALSE)</f>
        <v>#N/A</v>
      </c>
      <c r="AE21" s="73" t="e">
        <f t="shared" si="13"/>
        <v>#N/A</v>
      </c>
      <c r="AF21" s="73"/>
      <c r="AG21" s="73"/>
      <c r="AH21" s="78" t="e">
        <f>VLOOKUP(J21,'SKU PIEZAS'!$R$1:$U$847,2,FALSE)</f>
        <v>#N/A</v>
      </c>
      <c r="AI21" s="79" t="e">
        <f>VLOOKUP(J21,'SKU PIEZAS'!$R$1:$U$847,4,FALSE)</f>
        <v>#N/A</v>
      </c>
      <c r="AJ21" s="79" t="e">
        <f>VLOOKUP(J21,'SKU PIEZAS'!$R$1:$U$847,3,FALSE)</f>
        <v>#N/A</v>
      </c>
      <c r="AK21" s="10" t="e">
        <f t="shared" si="14"/>
        <v>#N/A</v>
      </c>
    </row>
    <row r="22" spans="1:37" ht="12.75" customHeight="1" x14ac:dyDescent="0.3">
      <c r="A22" s="71">
        <v>45663.651388888888</v>
      </c>
      <c r="B22" s="10" t="s">
        <v>13</v>
      </c>
      <c r="C22" s="10" t="s">
        <v>1267</v>
      </c>
      <c r="D22" s="61">
        <v>45661</v>
      </c>
      <c r="E22" s="10" t="s">
        <v>2292</v>
      </c>
      <c r="F22" s="61" t="s">
        <v>40</v>
      </c>
      <c r="G22" s="61" t="s">
        <v>48</v>
      </c>
      <c r="H22" s="61" t="s">
        <v>1172</v>
      </c>
      <c r="I22" s="10" t="s">
        <v>985</v>
      </c>
      <c r="J22" s="10" t="s">
        <v>948</v>
      </c>
      <c r="K22" s="10">
        <v>338</v>
      </c>
      <c r="L22" s="10">
        <v>4</v>
      </c>
      <c r="M22" s="10">
        <v>24.9</v>
      </c>
      <c r="N22" s="63" t="s">
        <v>2290</v>
      </c>
      <c r="O22" s="10">
        <v>0</v>
      </c>
      <c r="P22" s="10">
        <v>4</v>
      </c>
      <c r="Q22" s="10">
        <v>953</v>
      </c>
      <c r="R22" s="10">
        <v>20637</v>
      </c>
      <c r="S22" s="10" t="s">
        <v>27</v>
      </c>
      <c r="T22" s="10">
        <v>3.9</v>
      </c>
      <c r="U22" s="10">
        <v>0</v>
      </c>
      <c r="V22" s="10">
        <v>0</v>
      </c>
      <c r="W22" s="73" t="e">
        <f t="shared" si="7"/>
        <v>#N/A</v>
      </c>
      <c r="X22" s="73">
        <f t="shared" si="8"/>
        <v>24.9</v>
      </c>
      <c r="Y22" s="74" t="e">
        <f>VLOOKUP(J22,DATOS!$C$2:$E$910,3,FALSE)</f>
        <v>#N/A</v>
      </c>
      <c r="Z22" s="73">
        <f t="shared" si="9"/>
        <v>0</v>
      </c>
      <c r="AA22" s="75" t="str">
        <f t="shared" si="10"/>
        <v>enero</v>
      </c>
      <c r="AB22" s="75" t="str">
        <f t="shared" si="11"/>
        <v>YYYY</v>
      </c>
      <c r="AC22" s="76">
        <f t="shared" si="12"/>
        <v>1</v>
      </c>
      <c r="AD22" s="77" t="e">
        <f>VLOOKUP(J22,DATOS!$C$2:$E$6970,2,FALSE)</f>
        <v>#N/A</v>
      </c>
      <c r="AE22" s="73" t="e">
        <f t="shared" si="13"/>
        <v>#N/A</v>
      </c>
      <c r="AF22" s="73"/>
      <c r="AG22" s="73"/>
      <c r="AH22" s="78" t="e">
        <f>VLOOKUP(J22,'SKU PIEZAS'!$R$1:$U$847,2,FALSE)</f>
        <v>#N/A</v>
      </c>
      <c r="AI22" s="79" t="e">
        <f>VLOOKUP(J22,'SKU PIEZAS'!$R$1:$U$847,4,FALSE)</f>
        <v>#N/A</v>
      </c>
      <c r="AJ22" s="79" t="e">
        <f>VLOOKUP(J22,'SKU PIEZAS'!$R$1:$U$847,3,FALSE)</f>
        <v>#N/A</v>
      </c>
      <c r="AK22" s="10" t="e">
        <f t="shared" si="14"/>
        <v>#N/A</v>
      </c>
    </row>
    <row r="23" spans="1:37" ht="12.75" customHeight="1" x14ac:dyDescent="0.3">
      <c r="A23" s="71">
        <v>45663.651388888888</v>
      </c>
      <c r="B23" s="10" t="s">
        <v>13</v>
      </c>
      <c r="C23" s="10" t="s">
        <v>1267</v>
      </c>
      <c r="D23" s="61">
        <v>45661</v>
      </c>
      <c r="E23" s="10" t="s">
        <v>2292</v>
      </c>
      <c r="F23" s="61" t="s">
        <v>40</v>
      </c>
      <c r="G23" s="61" t="s">
        <v>48</v>
      </c>
      <c r="H23" s="61" t="s">
        <v>1172</v>
      </c>
      <c r="I23" s="10" t="s">
        <v>985</v>
      </c>
      <c r="J23" s="10" t="s">
        <v>1900</v>
      </c>
      <c r="K23" s="10">
        <v>680</v>
      </c>
      <c r="L23" s="10">
        <v>6</v>
      </c>
      <c r="M23" s="10">
        <v>50</v>
      </c>
      <c r="N23" s="63" t="s">
        <v>2290</v>
      </c>
      <c r="O23" s="10">
        <v>0</v>
      </c>
      <c r="P23" s="10">
        <v>6</v>
      </c>
      <c r="Q23" s="10">
        <v>953</v>
      </c>
      <c r="R23" s="10">
        <v>20637</v>
      </c>
      <c r="S23" s="10" t="s">
        <v>1211</v>
      </c>
      <c r="T23" s="10">
        <v>9.6</v>
      </c>
      <c r="U23" s="10">
        <v>0</v>
      </c>
      <c r="V23" s="10">
        <v>0</v>
      </c>
      <c r="W23" s="73" t="e">
        <f t="shared" si="7"/>
        <v>#N/A</v>
      </c>
      <c r="X23" s="73">
        <f t="shared" si="8"/>
        <v>50</v>
      </c>
      <c r="Y23" s="74" t="e">
        <f>VLOOKUP(J23,DATOS!$C$2:$E$910,3,FALSE)</f>
        <v>#N/A</v>
      </c>
      <c r="Z23" s="73">
        <f t="shared" si="9"/>
        <v>0</v>
      </c>
      <c r="AA23" s="75" t="str">
        <f t="shared" si="10"/>
        <v>enero</v>
      </c>
      <c r="AB23" s="75" t="str">
        <f t="shared" si="11"/>
        <v>YYYY</v>
      </c>
      <c r="AC23" s="76">
        <f t="shared" si="12"/>
        <v>1</v>
      </c>
      <c r="AD23" s="77" t="e">
        <f>VLOOKUP(J23,DATOS!$C$2:$E$6970,2,FALSE)</f>
        <v>#N/A</v>
      </c>
      <c r="AE23" s="73" t="e">
        <f t="shared" si="13"/>
        <v>#N/A</v>
      </c>
      <c r="AF23" s="73"/>
      <c r="AG23" s="73"/>
      <c r="AH23" s="78">
        <f>VLOOKUP(J23,'SKU PIEZAS'!$R$1:$U$847,2,FALSE)</f>
        <v>2</v>
      </c>
      <c r="AI23" s="79">
        <f>VLOOKUP(J23,'SKU PIEZAS'!$R$1:$U$847,4,FALSE)</f>
        <v>110</v>
      </c>
      <c r="AJ23" s="79">
        <f>VLOOKUP(J23,'SKU PIEZAS'!$R$1:$U$847,3,FALSE)</f>
        <v>38</v>
      </c>
      <c r="AK23" s="10">
        <f t="shared" si="14"/>
        <v>25.08</v>
      </c>
    </row>
    <row r="24" spans="1:37" ht="12.75" customHeight="1" x14ac:dyDescent="0.3">
      <c r="A24" s="71">
        <v>45663.651388888888</v>
      </c>
      <c r="B24" s="10" t="s">
        <v>13</v>
      </c>
      <c r="C24" s="10" t="s">
        <v>1267</v>
      </c>
      <c r="D24" s="61">
        <v>45661</v>
      </c>
      <c r="E24" s="10" t="s">
        <v>2292</v>
      </c>
      <c r="F24" s="61" t="s">
        <v>40</v>
      </c>
      <c r="G24" s="61" t="s">
        <v>48</v>
      </c>
      <c r="H24" s="61" t="s">
        <v>1172</v>
      </c>
      <c r="I24" s="10" t="s">
        <v>985</v>
      </c>
      <c r="J24" s="10" t="s">
        <v>1978</v>
      </c>
      <c r="K24" s="10">
        <v>204</v>
      </c>
      <c r="L24" s="10">
        <v>2</v>
      </c>
      <c r="M24" s="10">
        <v>15</v>
      </c>
      <c r="N24" s="63" t="s">
        <v>2290</v>
      </c>
      <c r="O24" s="10">
        <v>0</v>
      </c>
      <c r="P24" s="10">
        <v>2</v>
      </c>
      <c r="Q24" s="10">
        <v>953</v>
      </c>
      <c r="R24" s="10">
        <v>20637</v>
      </c>
      <c r="S24" s="10" t="s">
        <v>1221</v>
      </c>
      <c r="T24" s="10">
        <v>0</v>
      </c>
      <c r="U24" s="10">
        <v>0</v>
      </c>
      <c r="V24" s="10">
        <v>0</v>
      </c>
      <c r="W24" s="73" t="e">
        <f t="shared" si="7"/>
        <v>#N/A</v>
      </c>
      <c r="X24" s="73">
        <f t="shared" si="8"/>
        <v>15</v>
      </c>
      <c r="Y24" s="74" t="e">
        <f>VLOOKUP(J24,DATOS!$C$2:$E$910,3,FALSE)</f>
        <v>#N/A</v>
      </c>
      <c r="Z24" s="73">
        <f t="shared" si="9"/>
        <v>0</v>
      </c>
      <c r="AA24" s="75" t="str">
        <f t="shared" si="10"/>
        <v>enero</v>
      </c>
      <c r="AB24" s="75" t="str">
        <f t="shared" si="11"/>
        <v>YYYY</v>
      </c>
      <c r="AC24" s="76">
        <f t="shared" si="12"/>
        <v>1</v>
      </c>
      <c r="AD24" s="77" t="e">
        <f>VLOOKUP(J24,DATOS!$C$2:$E$6970,2,FALSE)</f>
        <v>#N/A</v>
      </c>
      <c r="AE24" s="73" t="e">
        <f t="shared" si="13"/>
        <v>#N/A</v>
      </c>
      <c r="AF24" s="73"/>
      <c r="AG24" s="73"/>
      <c r="AH24" s="78">
        <f>VLOOKUP(J24,'SKU PIEZAS'!$R$1:$U$847,2,FALSE)</f>
        <v>2</v>
      </c>
      <c r="AI24" s="79">
        <f>VLOOKUP(J24,'SKU PIEZAS'!$R$1:$U$847,4,FALSE)</f>
        <v>110</v>
      </c>
      <c r="AJ24" s="79">
        <f>VLOOKUP(J24,'SKU PIEZAS'!$R$1:$U$847,3,FALSE)</f>
        <v>38</v>
      </c>
      <c r="AK24" s="10">
        <f t="shared" si="14"/>
        <v>8.36</v>
      </c>
    </row>
    <row r="25" spans="1:37" ht="12.75" customHeight="1" x14ac:dyDescent="0.3">
      <c r="A25" s="71">
        <v>45663.651388888888</v>
      </c>
      <c r="B25" s="10" t="s">
        <v>13</v>
      </c>
      <c r="C25" s="10" t="s">
        <v>1267</v>
      </c>
      <c r="D25" s="61">
        <v>45662</v>
      </c>
      <c r="E25" s="10" t="s">
        <v>2293</v>
      </c>
      <c r="F25" s="61" t="s">
        <v>40</v>
      </c>
      <c r="G25" s="61" t="s">
        <v>48</v>
      </c>
      <c r="H25" s="61" t="s">
        <v>1172</v>
      </c>
      <c r="I25" s="10" t="s">
        <v>985</v>
      </c>
      <c r="J25" s="10" t="s">
        <v>1978</v>
      </c>
      <c r="K25" s="10">
        <v>289</v>
      </c>
      <c r="L25" s="10">
        <v>3</v>
      </c>
      <c r="M25" s="10">
        <v>21.3</v>
      </c>
      <c r="N25" s="63" t="s">
        <v>2289</v>
      </c>
      <c r="O25" s="10">
        <v>0</v>
      </c>
      <c r="P25" s="10">
        <v>4</v>
      </c>
      <c r="Q25" s="10">
        <v>953</v>
      </c>
      <c r="R25" s="10">
        <v>20638</v>
      </c>
      <c r="S25" s="10" t="s">
        <v>1221</v>
      </c>
      <c r="T25" s="10">
        <v>1.3</v>
      </c>
      <c r="U25" s="10">
        <v>0</v>
      </c>
      <c r="V25" s="10">
        <v>0</v>
      </c>
      <c r="W25" s="73" t="e">
        <f t="shared" si="7"/>
        <v>#N/A</v>
      </c>
      <c r="X25" s="73">
        <f t="shared" si="8"/>
        <v>21.3</v>
      </c>
      <c r="Y25" s="74" t="e">
        <f>VLOOKUP(J25,DATOS!$C$2:$E$910,3,FALSE)</f>
        <v>#N/A</v>
      </c>
      <c r="Z25" s="73">
        <f t="shared" si="9"/>
        <v>0</v>
      </c>
      <c r="AA25" s="75" t="str">
        <f t="shared" si="10"/>
        <v>enero</v>
      </c>
      <c r="AB25" s="75" t="str">
        <f t="shared" si="11"/>
        <v>YYYY</v>
      </c>
      <c r="AC25" s="76">
        <f t="shared" si="12"/>
        <v>1</v>
      </c>
      <c r="AD25" s="77" t="e">
        <f>VLOOKUP(J25,DATOS!$C$2:$E$6970,2,FALSE)</f>
        <v>#N/A</v>
      </c>
      <c r="AE25" s="73" t="e">
        <f t="shared" si="13"/>
        <v>#N/A</v>
      </c>
      <c r="AF25" s="73"/>
      <c r="AG25" s="73"/>
      <c r="AH25" s="78">
        <f>VLOOKUP(J25,'SKU PIEZAS'!$R$1:$U$847,2,FALSE)</f>
        <v>2</v>
      </c>
      <c r="AI25" s="79">
        <f>VLOOKUP(J25,'SKU PIEZAS'!$R$1:$U$847,4,FALSE)</f>
        <v>110</v>
      </c>
      <c r="AJ25" s="79">
        <f>VLOOKUP(J25,'SKU PIEZAS'!$R$1:$U$847,3,FALSE)</f>
        <v>38</v>
      </c>
      <c r="AK25" s="10">
        <f t="shared" si="14"/>
        <v>12.54</v>
      </c>
    </row>
    <row r="26" spans="1:37" ht="12.75" customHeight="1" x14ac:dyDescent="0.3">
      <c r="A26" s="71">
        <v>45663.651388888888</v>
      </c>
      <c r="B26" s="10" t="s">
        <v>13</v>
      </c>
      <c r="C26" s="10" t="s">
        <v>1267</v>
      </c>
      <c r="D26" s="61">
        <v>45662</v>
      </c>
      <c r="E26" s="10" t="s">
        <v>2293</v>
      </c>
      <c r="F26" s="61" t="s">
        <v>40</v>
      </c>
      <c r="G26" s="61" t="s">
        <v>48</v>
      </c>
      <c r="H26" s="61" t="s">
        <v>1172</v>
      </c>
      <c r="I26" s="10" t="s">
        <v>985</v>
      </c>
      <c r="J26" s="10" t="s">
        <v>459</v>
      </c>
      <c r="K26" s="10">
        <v>404</v>
      </c>
      <c r="L26" s="10">
        <v>4</v>
      </c>
      <c r="M26" s="10">
        <v>29.7</v>
      </c>
      <c r="N26" s="63" t="s">
        <v>2289</v>
      </c>
      <c r="O26" s="10">
        <v>0</v>
      </c>
      <c r="P26" s="10">
        <v>4</v>
      </c>
      <c r="Q26" s="10">
        <v>953</v>
      </c>
      <c r="R26" s="10">
        <v>20638</v>
      </c>
      <c r="S26" s="10" t="s">
        <v>24</v>
      </c>
      <c r="T26" s="10">
        <v>8.4</v>
      </c>
      <c r="U26" s="10">
        <v>0</v>
      </c>
      <c r="V26" s="10">
        <v>0</v>
      </c>
      <c r="W26" s="73" t="e">
        <f t="shared" si="7"/>
        <v>#N/A</v>
      </c>
      <c r="X26" s="73">
        <f t="shared" si="8"/>
        <v>29.7</v>
      </c>
      <c r="Y26" s="74" t="e">
        <f>VLOOKUP(J26,DATOS!$C$2:$E$910,3,FALSE)</f>
        <v>#N/A</v>
      </c>
      <c r="Z26" s="73">
        <f t="shared" si="9"/>
        <v>0</v>
      </c>
      <c r="AA26" s="75" t="str">
        <f t="shared" si="10"/>
        <v>enero</v>
      </c>
      <c r="AB26" s="75" t="str">
        <f t="shared" si="11"/>
        <v>YYYY</v>
      </c>
      <c r="AC26" s="76">
        <f t="shared" si="12"/>
        <v>1</v>
      </c>
      <c r="AD26" s="77" t="e">
        <f>VLOOKUP(J26,DATOS!$C$2:$E$6970,2,FALSE)</f>
        <v>#N/A</v>
      </c>
      <c r="AE26" s="73" t="e">
        <f t="shared" si="13"/>
        <v>#N/A</v>
      </c>
      <c r="AF26" s="73"/>
      <c r="AG26" s="73"/>
      <c r="AH26" s="78">
        <f>VLOOKUP(J26,'SKU PIEZAS'!$R$1:$U$847,2,FALSE)</f>
        <v>2</v>
      </c>
      <c r="AI26" s="79">
        <f>VLOOKUP(J26,'SKU PIEZAS'!$R$1:$U$847,4,FALSE)</f>
        <v>110</v>
      </c>
      <c r="AJ26" s="79">
        <f>VLOOKUP(J26,'SKU PIEZAS'!$R$1:$U$847,3,FALSE)</f>
        <v>38</v>
      </c>
      <c r="AK26" s="10">
        <f t="shared" si="14"/>
        <v>16.72</v>
      </c>
    </row>
    <row r="27" spans="1:37" ht="12.75" customHeight="1" x14ac:dyDescent="0.3">
      <c r="A27" s="71">
        <v>45663.651388888888</v>
      </c>
      <c r="B27" s="10" t="s">
        <v>13</v>
      </c>
      <c r="C27" s="10" t="s">
        <v>1267</v>
      </c>
      <c r="D27" s="61">
        <v>45662</v>
      </c>
      <c r="E27" s="10" t="s">
        <v>2293</v>
      </c>
      <c r="F27" s="61" t="s">
        <v>41</v>
      </c>
      <c r="G27" s="61" t="s">
        <v>943</v>
      </c>
      <c r="H27" s="61" t="s">
        <v>48</v>
      </c>
      <c r="I27" s="10" t="s">
        <v>985</v>
      </c>
      <c r="J27" s="10" t="s">
        <v>457</v>
      </c>
      <c r="K27" s="10">
        <v>107</v>
      </c>
      <c r="L27" s="10">
        <v>1</v>
      </c>
      <c r="M27" s="10">
        <v>7.9</v>
      </c>
      <c r="N27" s="63" t="s">
        <v>2289</v>
      </c>
      <c r="O27" s="10">
        <v>0</v>
      </c>
      <c r="P27" s="10">
        <v>2</v>
      </c>
      <c r="Q27" s="10">
        <v>953</v>
      </c>
      <c r="R27" s="10">
        <v>20638</v>
      </c>
      <c r="S27" s="10" t="s">
        <v>26</v>
      </c>
      <c r="T27" s="10">
        <v>2.9</v>
      </c>
      <c r="U27" s="10">
        <v>0</v>
      </c>
      <c r="V27" s="10">
        <v>0</v>
      </c>
      <c r="W27" s="73" t="e">
        <f t="shared" si="7"/>
        <v>#N/A</v>
      </c>
      <c r="X27" s="73">
        <f t="shared" si="8"/>
        <v>7.9</v>
      </c>
      <c r="Y27" s="74" t="e">
        <f>VLOOKUP(J27,DATOS!$C$2:$E$910,3,FALSE)</f>
        <v>#N/A</v>
      </c>
      <c r="Z27" s="73">
        <f t="shared" si="9"/>
        <v>0</v>
      </c>
      <c r="AA27" s="75" t="str">
        <f t="shared" si="10"/>
        <v>enero</v>
      </c>
      <c r="AB27" s="75" t="str">
        <f t="shared" si="11"/>
        <v>YYYY</v>
      </c>
      <c r="AC27" s="76">
        <f t="shared" si="12"/>
        <v>1</v>
      </c>
      <c r="AD27" s="77" t="e">
        <f>VLOOKUP(J27,DATOS!$C$2:$E$6970,2,FALSE)</f>
        <v>#N/A</v>
      </c>
      <c r="AE27" s="73" t="e">
        <f t="shared" si="13"/>
        <v>#N/A</v>
      </c>
      <c r="AF27" s="73"/>
      <c r="AG27" s="73"/>
      <c r="AH27" s="78">
        <f>VLOOKUP(J27,'SKU PIEZAS'!$R$1:$U$847,2,FALSE)</f>
        <v>2</v>
      </c>
      <c r="AI27" s="79">
        <f>VLOOKUP(J27,'SKU PIEZAS'!$R$1:$U$847,4,FALSE)</f>
        <v>110</v>
      </c>
      <c r="AJ27" s="79">
        <f>VLOOKUP(J27,'SKU PIEZAS'!$R$1:$U$847,3,FALSE)</f>
        <v>38</v>
      </c>
      <c r="AK27" s="10">
        <f t="shared" si="14"/>
        <v>4.18</v>
      </c>
    </row>
    <row r="28" spans="1:37" ht="12.75" customHeight="1" x14ac:dyDescent="0.3">
      <c r="A28" s="71">
        <v>45663.651388888888</v>
      </c>
      <c r="B28" s="10" t="s">
        <v>13</v>
      </c>
      <c r="C28" s="10" t="s">
        <v>1267</v>
      </c>
      <c r="D28" s="61">
        <v>45662</v>
      </c>
      <c r="E28" s="10" t="s">
        <v>2288</v>
      </c>
      <c r="F28" s="61" t="s">
        <v>40</v>
      </c>
      <c r="G28" s="61" t="s">
        <v>48</v>
      </c>
      <c r="H28" s="61" t="s">
        <v>1172</v>
      </c>
      <c r="I28" s="10" t="s">
        <v>985</v>
      </c>
      <c r="J28" s="10" t="s">
        <v>459</v>
      </c>
      <c r="K28" s="10">
        <v>293</v>
      </c>
      <c r="L28" s="10">
        <v>3</v>
      </c>
      <c r="M28" s="10">
        <v>21.6</v>
      </c>
      <c r="N28" s="63" t="s">
        <v>2290</v>
      </c>
      <c r="O28" s="10">
        <v>0</v>
      </c>
      <c r="P28" s="10">
        <v>2</v>
      </c>
      <c r="Q28" s="10">
        <v>953</v>
      </c>
      <c r="R28" s="10">
        <v>20639</v>
      </c>
      <c r="S28" s="10" t="s">
        <v>24</v>
      </c>
      <c r="T28" s="10">
        <v>2.2000000000000002</v>
      </c>
      <c r="U28" s="10">
        <v>0</v>
      </c>
      <c r="V28" s="10">
        <v>0</v>
      </c>
      <c r="W28" s="73" t="e">
        <f t="shared" si="7"/>
        <v>#N/A</v>
      </c>
      <c r="X28" s="73">
        <f t="shared" si="8"/>
        <v>21.6</v>
      </c>
      <c r="Y28" s="74" t="e">
        <f>VLOOKUP(J28,DATOS!$C$2:$E$910,3,FALSE)</f>
        <v>#N/A</v>
      </c>
      <c r="Z28" s="73">
        <f t="shared" si="9"/>
        <v>0</v>
      </c>
      <c r="AA28" s="75" t="str">
        <f t="shared" si="10"/>
        <v>enero</v>
      </c>
      <c r="AB28" s="75" t="str">
        <f t="shared" si="11"/>
        <v>YYYY</v>
      </c>
      <c r="AC28" s="76">
        <f t="shared" si="12"/>
        <v>1</v>
      </c>
      <c r="AD28" s="77" t="e">
        <f>VLOOKUP(J28,DATOS!$C$2:$E$6970,2,FALSE)</f>
        <v>#N/A</v>
      </c>
      <c r="AE28" s="73" t="e">
        <f t="shared" si="13"/>
        <v>#N/A</v>
      </c>
      <c r="AF28" s="73"/>
      <c r="AG28" s="73"/>
      <c r="AH28" s="78">
        <f>VLOOKUP(J28,'SKU PIEZAS'!$R$1:$U$847,2,FALSE)</f>
        <v>2</v>
      </c>
      <c r="AI28" s="79">
        <f>VLOOKUP(J28,'SKU PIEZAS'!$R$1:$U$847,4,FALSE)</f>
        <v>110</v>
      </c>
      <c r="AJ28" s="79">
        <f>VLOOKUP(J28,'SKU PIEZAS'!$R$1:$U$847,3,FALSE)</f>
        <v>38</v>
      </c>
      <c r="AK28" s="10">
        <f t="shared" si="14"/>
        <v>12.54</v>
      </c>
    </row>
    <row r="29" spans="1:37" ht="12.75" customHeight="1" x14ac:dyDescent="0.3">
      <c r="A29" s="71">
        <v>45663.651388888888</v>
      </c>
      <c r="B29" s="10" t="s">
        <v>13</v>
      </c>
      <c r="C29" s="10" t="s">
        <v>1267</v>
      </c>
      <c r="D29" s="61">
        <v>45662</v>
      </c>
      <c r="E29" s="10" t="s">
        <v>2288</v>
      </c>
      <c r="F29" s="61" t="s">
        <v>41</v>
      </c>
      <c r="G29" s="61" t="s">
        <v>943</v>
      </c>
      <c r="H29" s="61" t="s">
        <v>48</v>
      </c>
      <c r="I29" s="10" t="s">
        <v>985</v>
      </c>
      <c r="J29" s="10" t="s">
        <v>457</v>
      </c>
      <c r="K29" s="10">
        <v>544</v>
      </c>
      <c r="L29" s="10">
        <v>5</v>
      </c>
      <c r="M29" s="10">
        <v>40</v>
      </c>
      <c r="N29" s="63" t="s">
        <v>2290</v>
      </c>
      <c r="O29" s="10">
        <v>0</v>
      </c>
      <c r="P29" s="10">
        <v>6</v>
      </c>
      <c r="Q29" s="10">
        <v>953</v>
      </c>
      <c r="R29" s="10">
        <v>20639</v>
      </c>
      <c r="S29" s="10" t="s">
        <v>26</v>
      </c>
      <c r="T29" s="10">
        <v>3.2</v>
      </c>
      <c r="U29" s="10">
        <v>0</v>
      </c>
      <c r="V29" s="10">
        <v>0</v>
      </c>
      <c r="W29" s="73" t="e">
        <f t="shared" si="7"/>
        <v>#N/A</v>
      </c>
      <c r="X29" s="73">
        <f t="shared" si="8"/>
        <v>40</v>
      </c>
      <c r="Y29" s="74" t="e">
        <f>VLOOKUP(J29,DATOS!$C$2:$E$910,3,FALSE)</f>
        <v>#N/A</v>
      </c>
      <c r="Z29" s="73">
        <f t="shared" si="9"/>
        <v>0</v>
      </c>
      <c r="AA29" s="75" t="str">
        <f t="shared" si="10"/>
        <v>enero</v>
      </c>
      <c r="AB29" s="75" t="str">
        <f t="shared" si="11"/>
        <v>YYYY</v>
      </c>
      <c r="AC29" s="76">
        <f t="shared" si="12"/>
        <v>1</v>
      </c>
      <c r="AD29" s="77" t="e">
        <f>VLOOKUP(J29,DATOS!$C$2:$E$6970,2,FALSE)</f>
        <v>#N/A</v>
      </c>
      <c r="AE29" s="73" t="e">
        <f t="shared" si="13"/>
        <v>#N/A</v>
      </c>
      <c r="AF29" s="73"/>
      <c r="AG29" s="73"/>
      <c r="AH29" s="78">
        <f>VLOOKUP(J29,'SKU PIEZAS'!$R$1:$U$847,2,FALSE)</f>
        <v>2</v>
      </c>
      <c r="AI29" s="79">
        <f>VLOOKUP(J29,'SKU PIEZAS'!$R$1:$U$847,4,FALSE)</f>
        <v>110</v>
      </c>
      <c r="AJ29" s="79">
        <f>VLOOKUP(J29,'SKU PIEZAS'!$R$1:$U$847,3,FALSE)</f>
        <v>38</v>
      </c>
      <c r="AK29" s="10">
        <f t="shared" si="14"/>
        <v>20.9</v>
      </c>
    </row>
    <row r="30" spans="1:37" ht="12.75" customHeight="1" x14ac:dyDescent="0.3">
      <c r="A30" s="71">
        <v>45663.651388888888</v>
      </c>
      <c r="B30" s="10" t="s">
        <v>13</v>
      </c>
      <c r="C30" s="10" t="s">
        <v>952</v>
      </c>
      <c r="D30" s="61">
        <v>45659</v>
      </c>
      <c r="E30" s="10" t="s">
        <v>2295</v>
      </c>
      <c r="F30" s="61" t="s">
        <v>40</v>
      </c>
      <c r="G30" s="61" t="s">
        <v>48</v>
      </c>
      <c r="H30" s="61" t="s">
        <v>954</v>
      </c>
      <c r="I30" s="10" t="s">
        <v>1981</v>
      </c>
      <c r="J30" s="10" t="s">
        <v>1987</v>
      </c>
      <c r="K30" s="10">
        <v>165</v>
      </c>
      <c r="L30" s="10">
        <v>3</v>
      </c>
      <c r="M30" s="10">
        <v>21.9</v>
      </c>
      <c r="N30" s="63" t="s">
        <v>2289</v>
      </c>
      <c r="O30" s="10">
        <v>0</v>
      </c>
      <c r="P30" s="10">
        <v>2</v>
      </c>
      <c r="Q30" s="10">
        <v>949</v>
      </c>
      <c r="R30" s="10">
        <v>19692</v>
      </c>
      <c r="S30" s="10" t="s">
        <v>27</v>
      </c>
      <c r="T30" s="10">
        <v>9.6999999999999993</v>
      </c>
      <c r="U30" s="10">
        <v>0</v>
      </c>
      <c r="V30" s="10">
        <v>0</v>
      </c>
      <c r="W30" s="73" t="e">
        <f t="shared" si="7"/>
        <v>#N/A</v>
      </c>
      <c r="X30" s="73">
        <f t="shared" si="8"/>
        <v>21.9</v>
      </c>
      <c r="Y30" s="74" t="e">
        <f>VLOOKUP(J30,DATOS!$C$2:$E$910,3,FALSE)</f>
        <v>#N/A</v>
      </c>
      <c r="Z30" s="73">
        <f t="shared" si="9"/>
        <v>0</v>
      </c>
      <c r="AA30" s="75" t="str">
        <f t="shared" si="10"/>
        <v>enero</v>
      </c>
      <c r="AB30" s="75" t="str">
        <f t="shared" si="11"/>
        <v>YYYY</v>
      </c>
      <c r="AC30" s="76">
        <f t="shared" si="12"/>
        <v>1</v>
      </c>
      <c r="AD30" s="77" t="e">
        <f>VLOOKUP(J30,DATOS!$C$2:$E$6970,2,FALSE)</f>
        <v>#N/A</v>
      </c>
      <c r="AE30" s="73" t="e">
        <f t="shared" si="13"/>
        <v>#N/A</v>
      </c>
      <c r="AF30" s="73"/>
      <c r="AG30" s="73"/>
      <c r="AH30" s="78">
        <f>VLOOKUP(J30,'SKU PIEZAS'!$R$1:$U$847,2,FALSE)</f>
        <v>4</v>
      </c>
      <c r="AI30" s="79">
        <f>VLOOKUP(J30,'SKU PIEZAS'!$R$1:$U$847,4,FALSE)</f>
        <v>105</v>
      </c>
      <c r="AJ30" s="79">
        <f>VLOOKUP(J30,'SKU PIEZAS'!$R$1:$U$847,3,FALSE)</f>
        <v>35</v>
      </c>
      <c r="AK30" s="10">
        <f t="shared" si="14"/>
        <v>11.025</v>
      </c>
    </row>
    <row r="31" spans="1:37" ht="12.75" customHeight="1" x14ac:dyDescent="0.3">
      <c r="A31" s="71">
        <v>45663.651388888888</v>
      </c>
      <c r="B31" s="10" t="s">
        <v>13</v>
      </c>
      <c r="C31" s="10" t="s">
        <v>952</v>
      </c>
      <c r="D31" s="61">
        <v>45659</v>
      </c>
      <c r="E31" s="10" t="s">
        <v>2295</v>
      </c>
      <c r="F31" s="61" t="s">
        <v>40</v>
      </c>
      <c r="G31" s="61" t="s">
        <v>48</v>
      </c>
      <c r="H31" s="61" t="s">
        <v>954</v>
      </c>
      <c r="I31" s="10" t="s">
        <v>1981</v>
      </c>
      <c r="J31" s="10" t="s">
        <v>1982</v>
      </c>
      <c r="K31" s="10">
        <v>561</v>
      </c>
      <c r="L31" s="10">
        <v>6</v>
      </c>
      <c r="M31" s="10">
        <v>74.400000000000006</v>
      </c>
      <c r="N31" s="63" t="s">
        <v>2289</v>
      </c>
      <c r="O31" s="10">
        <v>0</v>
      </c>
      <c r="P31" s="10">
        <v>9</v>
      </c>
      <c r="Q31" s="10">
        <v>949</v>
      </c>
      <c r="R31" s="10">
        <v>19692</v>
      </c>
      <c r="S31" s="10" t="s">
        <v>26</v>
      </c>
      <c r="T31" s="10">
        <v>10.1</v>
      </c>
      <c r="U31" s="10">
        <v>0</v>
      </c>
      <c r="V31" s="10">
        <v>0</v>
      </c>
      <c r="W31" s="73" t="e">
        <f t="shared" si="7"/>
        <v>#N/A</v>
      </c>
      <c r="X31" s="73">
        <f t="shared" si="8"/>
        <v>74.400000000000006</v>
      </c>
      <c r="Y31" s="74" t="e">
        <f>VLOOKUP(J31,DATOS!$C$2:$E$910,3,FALSE)</f>
        <v>#N/A</v>
      </c>
      <c r="Z31" s="73">
        <f t="shared" si="9"/>
        <v>0</v>
      </c>
      <c r="AA31" s="75" t="str">
        <f t="shared" si="10"/>
        <v>enero</v>
      </c>
      <c r="AB31" s="75" t="str">
        <f t="shared" si="11"/>
        <v>YYYY</v>
      </c>
      <c r="AC31" s="76">
        <f t="shared" si="12"/>
        <v>1</v>
      </c>
      <c r="AD31" s="77" t="e">
        <f>VLOOKUP(J31,DATOS!$C$2:$E$6970,2,FALSE)</f>
        <v>#N/A</v>
      </c>
      <c r="AE31" s="73" t="e">
        <f t="shared" si="13"/>
        <v>#N/A</v>
      </c>
      <c r="AF31" s="73"/>
      <c r="AG31" s="73"/>
      <c r="AH31" s="78">
        <f>VLOOKUP(J31,'SKU PIEZAS'!$R$1:$U$847,2,FALSE)</f>
        <v>4</v>
      </c>
      <c r="AI31" s="79">
        <f>VLOOKUP(J31,'SKU PIEZAS'!$R$1:$U$847,4,FALSE)</f>
        <v>105</v>
      </c>
      <c r="AJ31" s="79">
        <f>VLOOKUP(J31,'SKU PIEZAS'!$R$1:$U$847,3,FALSE)</f>
        <v>35</v>
      </c>
      <c r="AK31" s="10">
        <f t="shared" si="14"/>
        <v>22.05</v>
      </c>
    </row>
    <row r="32" spans="1:37" ht="12.75" customHeight="1" x14ac:dyDescent="0.3">
      <c r="A32" s="71">
        <v>45663.651388888888</v>
      </c>
      <c r="B32" s="10" t="s">
        <v>13</v>
      </c>
      <c r="C32" s="10" t="s">
        <v>952</v>
      </c>
      <c r="D32" s="61">
        <v>45660</v>
      </c>
      <c r="E32" s="10" t="s">
        <v>2295</v>
      </c>
      <c r="F32" s="61" t="s">
        <v>40</v>
      </c>
      <c r="G32" s="61" t="s">
        <v>48</v>
      </c>
      <c r="H32" s="61" t="s">
        <v>954</v>
      </c>
      <c r="I32" s="10" t="s">
        <v>1981</v>
      </c>
      <c r="J32" s="10" t="s">
        <v>1982</v>
      </c>
      <c r="K32" s="10">
        <v>34</v>
      </c>
      <c r="L32" s="10">
        <v>1</v>
      </c>
      <c r="M32" s="10">
        <v>4.5999999999999996</v>
      </c>
      <c r="N32" s="63" t="s">
        <v>2289</v>
      </c>
      <c r="O32" s="10">
        <v>0</v>
      </c>
      <c r="P32" s="10">
        <v>1</v>
      </c>
      <c r="Q32" s="10">
        <v>949</v>
      </c>
      <c r="R32" s="10">
        <v>19693</v>
      </c>
      <c r="S32" s="10" t="s">
        <v>26</v>
      </c>
      <c r="T32" s="10">
        <v>4.3</v>
      </c>
      <c r="U32" s="10">
        <v>0</v>
      </c>
      <c r="V32" s="10">
        <v>0</v>
      </c>
      <c r="W32" s="73" t="e">
        <f t="shared" si="7"/>
        <v>#N/A</v>
      </c>
      <c r="X32" s="73">
        <f t="shared" si="8"/>
        <v>4.5999999999999996</v>
      </c>
      <c r="Y32" s="74" t="e">
        <f>VLOOKUP(J32,DATOS!$C$2:$E$910,3,FALSE)</f>
        <v>#N/A</v>
      </c>
      <c r="Z32" s="73">
        <f t="shared" si="9"/>
        <v>0</v>
      </c>
      <c r="AA32" s="75" t="str">
        <f t="shared" si="10"/>
        <v>enero</v>
      </c>
      <c r="AB32" s="75" t="str">
        <f t="shared" si="11"/>
        <v>YYYY</v>
      </c>
      <c r="AC32" s="76">
        <f t="shared" si="12"/>
        <v>1</v>
      </c>
      <c r="AD32" s="77" t="e">
        <f>VLOOKUP(J32,DATOS!$C$2:$E$6970,2,FALSE)</f>
        <v>#N/A</v>
      </c>
      <c r="AE32" s="73" t="e">
        <f t="shared" si="13"/>
        <v>#N/A</v>
      </c>
      <c r="AF32" s="73"/>
      <c r="AG32" s="73"/>
      <c r="AH32" s="78">
        <f>VLOOKUP(J32,'SKU PIEZAS'!$R$1:$U$847,2,FALSE)</f>
        <v>4</v>
      </c>
      <c r="AI32" s="79">
        <f>VLOOKUP(J32,'SKU PIEZAS'!$R$1:$U$847,4,FALSE)</f>
        <v>105</v>
      </c>
      <c r="AJ32" s="79">
        <f>VLOOKUP(J32,'SKU PIEZAS'!$R$1:$U$847,3,FALSE)</f>
        <v>35</v>
      </c>
      <c r="AK32" s="10">
        <f t="shared" si="14"/>
        <v>3.6749999999999998</v>
      </c>
    </row>
    <row r="33" spans="1:37" ht="12.75" customHeight="1" x14ac:dyDescent="0.3">
      <c r="A33" s="71">
        <v>45663.651388888888</v>
      </c>
      <c r="B33" s="10" t="s">
        <v>13</v>
      </c>
      <c r="C33" s="10" t="s">
        <v>952</v>
      </c>
      <c r="D33" s="61">
        <v>45660</v>
      </c>
      <c r="E33" s="10" t="s">
        <v>2295</v>
      </c>
      <c r="F33" s="61" t="s">
        <v>40</v>
      </c>
      <c r="G33" s="61" t="s">
        <v>48</v>
      </c>
      <c r="H33" s="61" t="s">
        <v>954</v>
      </c>
      <c r="I33" s="10" t="s">
        <v>1981</v>
      </c>
      <c r="J33" s="10" t="s">
        <v>1983</v>
      </c>
      <c r="K33" s="10">
        <v>641</v>
      </c>
      <c r="L33" s="10">
        <v>6</v>
      </c>
      <c r="M33" s="10">
        <v>85</v>
      </c>
      <c r="N33" s="63" t="s">
        <v>2289</v>
      </c>
      <c r="O33" s="10">
        <v>0</v>
      </c>
      <c r="P33" s="10">
        <v>8</v>
      </c>
      <c r="Q33" s="10">
        <v>949</v>
      </c>
      <c r="R33" s="10">
        <v>19693</v>
      </c>
      <c r="S33" s="10" t="s">
        <v>2296</v>
      </c>
      <c r="T33" s="10">
        <v>19.8</v>
      </c>
      <c r="U33" s="10">
        <v>0</v>
      </c>
      <c r="V33" s="10">
        <v>0</v>
      </c>
      <c r="W33" s="73" t="e">
        <f t="shared" si="7"/>
        <v>#N/A</v>
      </c>
      <c r="X33" s="73">
        <f t="shared" si="8"/>
        <v>85</v>
      </c>
      <c r="Y33" s="74" t="e">
        <f>VLOOKUP(J33,DATOS!$C$2:$E$910,3,FALSE)</f>
        <v>#N/A</v>
      </c>
      <c r="Z33" s="73">
        <f t="shared" si="9"/>
        <v>0</v>
      </c>
      <c r="AA33" s="75" t="str">
        <f t="shared" si="10"/>
        <v>enero</v>
      </c>
      <c r="AB33" s="75" t="str">
        <f t="shared" si="11"/>
        <v>YYYY</v>
      </c>
      <c r="AC33" s="76">
        <f t="shared" si="12"/>
        <v>1</v>
      </c>
      <c r="AD33" s="77" t="e">
        <f>VLOOKUP(J33,DATOS!$C$2:$E$6970,2,FALSE)</f>
        <v>#N/A</v>
      </c>
      <c r="AE33" s="73" t="e">
        <f t="shared" si="13"/>
        <v>#N/A</v>
      </c>
      <c r="AF33" s="73"/>
      <c r="AG33" s="73"/>
      <c r="AH33" s="78">
        <f>VLOOKUP(J33,'SKU PIEZAS'!$R$1:$U$847,2,FALSE)</f>
        <v>4</v>
      </c>
      <c r="AI33" s="79">
        <f>VLOOKUP(J33,'SKU PIEZAS'!$R$1:$U$847,4,FALSE)</f>
        <v>105</v>
      </c>
      <c r="AJ33" s="79">
        <f>VLOOKUP(J33,'SKU PIEZAS'!$R$1:$U$847,3,FALSE)</f>
        <v>35</v>
      </c>
      <c r="AK33" s="10">
        <f t="shared" si="14"/>
        <v>22.05</v>
      </c>
    </row>
    <row r="34" spans="1:37" ht="12.75" customHeight="1" x14ac:dyDescent="0.3">
      <c r="A34" s="71">
        <v>45663.651388888888</v>
      </c>
      <c r="B34" s="10" t="s">
        <v>13</v>
      </c>
      <c r="C34" s="10" t="s">
        <v>952</v>
      </c>
      <c r="D34" s="61">
        <v>45660</v>
      </c>
      <c r="E34" s="10" t="s">
        <v>2295</v>
      </c>
      <c r="F34" s="61" t="s">
        <v>40</v>
      </c>
      <c r="G34" s="61" t="s">
        <v>48</v>
      </c>
      <c r="H34" s="61" t="s">
        <v>954</v>
      </c>
      <c r="I34" s="10" t="s">
        <v>1981</v>
      </c>
      <c r="J34" s="10" t="s">
        <v>1987</v>
      </c>
      <c r="K34" s="10">
        <v>155</v>
      </c>
      <c r="L34" s="10">
        <v>2</v>
      </c>
      <c r="M34" s="10">
        <v>20.6</v>
      </c>
      <c r="N34" s="63" t="s">
        <v>2289</v>
      </c>
      <c r="O34" s="10">
        <v>0</v>
      </c>
      <c r="P34" s="10">
        <v>2</v>
      </c>
      <c r="Q34" s="10">
        <v>949</v>
      </c>
      <c r="R34" s="10">
        <v>19693</v>
      </c>
      <c r="S34" s="10" t="s">
        <v>27</v>
      </c>
      <c r="T34" s="10">
        <v>5</v>
      </c>
      <c r="U34" s="10">
        <v>0</v>
      </c>
      <c r="V34" s="10">
        <v>0</v>
      </c>
      <c r="W34" s="73" t="e">
        <f t="shared" si="7"/>
        <v>#N/A</v>
      </c>
      <c r="X34" s="73">
        <f t="shared" si="8"/>
        <v>20.6</v>
      </c>
      <c r="Y34" s="74" t="e">
        <f>VLOOKUP(J34,DATOS!$C$2:$E$910,3,FALSE)</f>
        <v>#N/A</v>
      </c>
      <c r="Z34" s="73">
        <f t="shared" si="9"/>
        <v>0</v>
      </c>
      <c r="AA34" s="75" t="str">
        <f t="shared" si="10"/>
        <v>enero</v>
      </c>
      <c r="AB34" s="75" t="str">
        <f t="shared" si="11"/>
        <v>YYYY</v>
      </c>
      <c r="AC34" s="76">
        <f t="shared" si="12"/>
        <v>1</v>
      </c>
      <c r="AD34" s="77" t="e">
        <f>VLOOKUP(J34,DATOS!$C$2:$E$6970,2,FALSE)</f>
        <v>#N/A</v>
      </c>
      <c r="AE34" s="73" t="e">
        <f t="shared" si="13"/>
        <v>#N/A</v>
      </c>
      <c r="AF34" s="73"/>
      <c r="AG34" s="73"/>
      <c r="AH34" s="78">
        <f>VLOOKUP(J34,'SKU PIEZAS'!$R$1:$U$847,2,FALSE)</f>
        <v>4</v>
      </c>
      <c r="AI34" s="79">
        <f>VLOOKUP(J34,'SKU PIEZAS'!$R$1:$U$847,4,FALSE)</f>
        <v>105</v>
      </c>
      <c r="AJ34" s="79">
        <f>VLOOKUP(J34,'SKU PIEZAS'!$R$1:$U$847,3,FALSE)</f>
        <v>35</v>
      </c>
      <c r="AK34" s="10">
        <f t="shared" si="14"/>
        <v>7.35</v>
      </c>
    </row>
    <row r="35" spans="1:37" ht="12.75" customHeight="1" x14ac:dyDescent="0.3">
      <c r="A35" s="71">
        <v>45663.651388888888</v>
      </c>
      <c r="B35" s="10" t="s">
        <v>13</v>
      </c>
      <c r="C35" s="10" t="s">
        <v>952</v>
      </c>
      <c r="D35" s="61">
        <v>45660</v>
      </c>
      <c r="E35" s="10" t="s">
        <v>2295</v>
      </c>
      <c r="F35" s="61" t="s">
        <v>40</v>
      </c>
      <c r="G35" s="61" t="s">
        <v>48</v>
      </c>
      <c r="H35" s="61" t="s">
        <v>954</v>
      </c>
      <c r="I35" s="10" t="s">
        <v>1981</v>
      </c>
      <c r="J35" s="10" t="s">
        <v>1986</v>
      </c>
      <c r="K35" s="10">
        <v>93</v>
      </c>
      <c r="L35" s="10">
        <v>1</v>
      </c>
      <c r="M35" s="10">
        <v>12.4</v>
      </c>
      <c r="N35" s="63" t="s">
        <v>2289</v>
      </c>
      <c r="O35" s="10">
        <v>0</v>
      </c>
      <c r="P35" s="10">
        <v>1</v>
      </c>
      <c r="Q35" s="10">
        <v>949</v>
      </c>
      <c r="R35" s="10">
        <v>19693</v>
      </c>
      <c r="S35" s="10" t="s">
        <v>24</v>
      </c>
      <c r="T35" s="10">
        <v>0</v>
      </c>
      <c r="U35" s="10">
        <v>0</v>
      </c>
      <c r="V35" s="10">
        <v>0</v>
      </c>
      <c r="W35" s="73" t="e">
        <f t="shared" si="7"/>
        <v>#N/A</v>
      </c>
      <c r="X35" s="73">
        <f t="shared" si="8"/>
        <v>12.4</v>
      </c>
      <c r="Y35" s="74" t="e">
        <f>VLOOKUP(J35,DATOS!$C$2:$E$910,3,FALSE)</f>
        <v>#N/A</v>
      </c>
      <c r="Z35" s="73">
        <f t="shared" si="9"/>
        <v>0</v>
      </c>
      <c r="AA35" s="75" t="str">
        <f t="shared" si="10"/>
        <v>enero</v>
      </c>
      <c r="AB35" s="75" t="str">
        <f t="shared" si="11"/>
        <v>YYYY</v>
      </c>
      <c r="AC35" s="76">
        <f t="shared" si="12"/>
        <v>1</v>
      </c>
      <c r="AD35" s="77" t="e">
        <f>VLOOKUP(J35,DATOS!$C$2:$E$6970,2,FALSE)</f>
        <v>#N/A</v>
      </c>
      <c r="AE35" s="73" t="e">
        <f t="shared" si="13"/>
        <v>#N/A</v>
      </c>
      <c r="AF35" s="73"/>
      <c r="AG35" s="73"/>
      <c r="AH35" s="78">
        <f>VLOOKUP(J35,'SKU PIEZAS'!$R$1:$U$847,2,FALSE)</f>
        <v>4</v>
      </c>
      <c r="AI35" s="79">
        <f>VLOOKUP(J35,'SKU PIEZAS'!$R$1:$U$847,4,FALSE)</f>
        <v>105</v>
      </c>
      <c r="AJ35" s="79">
        <f>VLOOKUP(J35,'SKU PIEZAS'!$R$1:$U$847,3,FALSE)</f>
        <v>35</v>
      </c>
      <c r="AK35" s="10">
        <f t="shared" si="14"/>
        <v>3.6749999999999998</v>
      </c>
    </row>
    <row r="1016426" spans="12:12" ht="12.75" customHeight="1" x14ac:dyDescent="0.3">
      <c r="L1016426" s="83"/>
    </row>
  </sheetData>
  <autoFilter ref="A1:AK35" xr:uid="{00000000-0009-0000-0000-000002000000}"/>
  <phoneticPr fontId="3" type="noConversion"/>
  <pageMargins left="0.7" right="0.7" top="0.75" bottom="0.75" header="0.3" footer="0.3"/>
  <pageSetup paperSize="12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66FF99"/>
  </sheetPr>
  <dimension ref="A1:JR227"/>
  <sheetViews>
    <sheetView topLeftCell="A157" zoomScale="95" zoomScaleNormal="95" workbookViewId="0">
      <pane xSplit="2" topLeftCell="C1" activePane="topRight" state="frozen"/>
      <selection activeCell="E1235" sqref="E1235"/>
      <selection pane="topRight" activeCell="C1" sqref="C1"/>
    </sheetView>
  </sheetViews>
  <sheetFormatPr defaultColWidth="11.44140625" defaultRowHeight="14.4" x14ac:dyDescent="0.3"/>
  <cols>
    <col min="1" max="1" width="20.33203125" bestFit="1" customWidth="1"/>
    <col min="2" max="2" width="13.33203125" bestFit="1" customWidth="1"/>
    <col min="3" max="17" width="11.33203125" bestFit="1" customWidth="1"/>
    <col min="18" max="18" width="11.33203125" style="1" bestFit="1" customWidth="1"/>
    <col min="19" max="30" width="11.33203125" bestFit="1" customWidth="1"/>
    <col min="31" max="34" width="12.5546875" bestFit="1" customWidth="1"/>
    <col min="35" max="38" width="20.44140625" bestFit="1" customWidth="1"/>
    <col min="39" max="39" width="9.109375" customWidth="1"/>
    <col min="40" max="167" width="10.6640625" bestFit="1" customWidth="1"/>
    <col min="168" max="168" width="12.5546875" bestFit="1" customWidth="1"/>
    <col min="169" max="277" width="11" bestFit="1" customWidth="1"/>
    <col min="278" max="278" width="12.5546875" bestFit="1" customWidth="1"/>
    <col min="279" max="385" width="10.6640625" customWidth="1"/>
    <col min="386" max="386" width="11" customWidth="1"/>
    <col min="387" max="387" width="12.5546875" bestFit="1" customWidth="1"/>
  </cols>
  <sheetData>
    <row r="1" spans="1:278" x14ac:dyDescent="0.3">
      <c r="A1" s="84" t="s">
        <v>1086</v>
      </c>
      <c r="B1" t="s">
        <v>2294</v>
      </c>
    </row>
    <row r="2" spans="1:278" x14ac:dyDescent="0.3">
      <c r="A2" s="84" t="s">
        <v>14</v>
      </c>
      <c r="B2" t="s">
        <v>1182</v>
      </c>
    </row>
    <row r="4" spans="1:278" x14ac:dyDescent="0.3">
      <c r="A4" s="84" t="s">
        <v>18</v>
      </c>
      <c r="C4" s="84" t="s">
        <v>1196</v>
      </c>
      <c r="Q4" s="87"/>
      <c r="R4"/>
    </row>
    <row r="5" spans="1:278" x14ac:dyDescent="0.3">
      <c r="A5" s="84" t="s">
        <v>0</v>
      </c>
      <c r="B5" s="84" t="s">
        <v>19</v>
      </c>
      <c r="C5" s="2">
        <v>45962</v>
      </c>
      <c r="D5" s="2">
        <v>45963</v>
      </c>
      <c r="E5" s="2">
        <v>45964</v>
      </c>
      <c r="F5" s="2">
        <v>45965</v>
      </c>
      <c r="G5" s="2">
        <v>45966</v>
      </c>
      <c r="H5" s="2">
        <v>45967</v>
      </c>
      <c r="I5" s="2">
        <v>45968</v>
      </c>
      <c r="J5" s="2">
        <v>45969</v>
      </c>
      <c r="K5" s="2">
        <v>45970</v>
      </c>
      <c r="L5" s="2">
        <v>45971</v>
      </c>
      <c r="M5" s="2">
        <v>45972</v>
      </c>
      <c r="N5" s="2">
        <v>45973</v>
      </c>
      <c r="O5" s="2">
        <v>45974</v>
      </c>
      <c r="P5" s="2">
        <v>45975</v>
      </c>
      <c r="Q5" s="2">
        <v>45976</v>
      </c>
      <c r="R5" s="2">
        <v>45977</v>
      </c>
      <c r="S5" s="2">
        <v>45978</v>
      </c>
      <c r="T5" s="2">
        <v>45979</v>
      </c>
      <c r="U5" s="2">
        <v>45980</v>
      </c>
      <c r="V5" s="2">
        <v>45981</v>
      </c>
      <c r="W5" s="2">
        <v>45982</v>
      </c>
      <c r="X5" s="2">
        <v>45983</v>
      </c>
      <c r="Y5" s="2">
        <v>45985</v>
      </c>
      <c r="Z5" s="2">
        <v>45986</v>
      </c>
      <c r="AA5" s="2">
        <v>45987</v>
      </c>
      <c r="AB5" s="2">
        <v>45988</v>
      </c>
      <c r="AC5" s="2">
        <v>45989</v>
      </c>
      <c r="AD5" s="2">
        <v>45990</v>
      </c>
      <c r="AE5" t="s">
        <v>4</v>
      </c>
    </row>
    <row r="6" spans="1:278" x14ac:dyDescent="0.3">
      <c r="A6" t="s">
        <v>1951</v>
      </c>
      <c r="B6" t="s">
        <v>2289</v>
      </c>
      <c r="C6" s="1"/>
      <c r="D6" s="1"/>
      <c r="E6" s="1"/>
      <c r="F6" s="1"/>
      <c r="G6" s="1"/>
      <c r="H6" s="1"/>
      <c r="I6" s="1"/>
      <c r="J6" s="1"/>
      <c r="K6" s="1"/>
      <c r="L6" s="1">
        <v>43.9</v>
      </c>
      <c r="M6" s="1">
        <v>47.6</v>
      </c>
      <c r="N6" s="1"/>
      <c r="O6" s="1">
        <v>41.9</v>
      </c>
      <c r="P6" s="1">
        <v>38.5</v>
      </c>
      <c r="Q6" s="1"/>
      <c r="S6" s="1">
        <v>42.6</v>
      </c>
      <c r="T6" s="1">
        <v>42.4</v>
      </c>
      <c r="U6" s="1"/>
      <c r="V6" s="1"/>
      <c r="W6" s="1"/>
      <c r="X6" s="1"/>
      <c r="Y6" s="1"/>
      <c r="Z6" s="1">
        <v>33.6</v>
      </c>
      <c r="AA6" s="1">
        <v>5.0999999999999996</v>
      </c>
      <c r="AB6" s="1">
        <v>10.3</v>
      </c>
      <c r="AC6" s="1"/>
      <c r="AD6" s="1">
        <v>33.200000000000003</v>
      </c>
      <c r="AE6" s="1">
        <v>339.1</v>
      </c>
    </row>
    <row r="7" spans="1:278" s="86" customFormat="1" x14ac:dyDescent="0.3">
      <c r="A7"/>
      <c r="B7" t="s">
        <v>2290</v>
      </c>
      <c r="C7" s="1"/>
      <c r="D7" s="1"/>
      <c r="E7" s="1"/>
      <c r="F7" s="1"/>
      <c r="G7" s="1"/>
      <c r="H7" s="1"/>
      <c r="I7" s="1"/>
      <c r="J7" s="1">
        <v>54.2</v>
      </c>
      <c r="K7" s="1"/>
      <c r="L7" s="1"/>
      <c r="M7" s="1"/>
      <c r="N7" s="1">
        <v>105.8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>
        <v>9.3999999999999986</v>
      </c>
      <c r="AB7" s="1"/>
      <c r="AC7" s="1"/>
      <c r="AD7" s="1">
        <v>37.200000000000003</v>
      </c>
      <c r="AE7" s="1">
        <v>206.60000000000002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 s="85"/>
      <c r="FN7" s="85"/>
      <c r="FO7" s="85"/>
      <c r="FP7" s="85"/>
      <c r="FQ7" s="85"/>
      <c r="FR7" s="85"/>
      <c r="FS7" s="85"/>
      <c r="FT7" s="85"/>
      <c r="FU7" s="85"/>
      <c r="FV7" s="85"/>
      <c r="FW7" s="85"/>
      <c r="FX7" s="85"/>
      <c r="FY7" s="85"/>
      <c r="FZ7" s="85"/>
      <c r="GA7" s="85"/>
      <c r="GB7" s="85"/>
      <c r="GC7" s="85"/>
      <c r="GD7" s="85"/>
      <c r="GE7" s="85"/>
      <c r="GF7" s="85"/>
      <c r="GG7" s="85"/>
      <c r="GH7" s="85"/>
      <c r="GI7" s="85"/>
      <c r="GJ7" s="85"/>
      <c r="GK7" s="85"/>
      <c r="GL7" s="85"/>
      <c r="GM7" s="85"/>
      <c r="GN7" s="85"/>
      <c r="GO7" s="85"/>
      <c r="GP7" s="85"/>
      <c r="GQ7" s="85"/>
      <c r="GR7" s="85"/>
      <c r="GS7" s="85"/>
      <c r="GT7" s="85"/>
      <c r="GU7" s="85"/>
      <c r="GV7" s="85"/>
      <c r="GW7" s="85"/>
      <c r="GX7" s="85"/>
      <c r="GY7" s="85"/>
      <c r="GZ7" s="85"/>
      <c r="HA7" s="85"/>
      <c r="HB7" s="85"/>
      <c r="HC7" s="85"/>
      <c r="HD7" s="85"/>
      <c r="HE7" s="85"/>
      <c r="HF7" s="85"/>
      <c r="HG7" s="85"/>
      <c r="HH7" s="85"/>
      <c r="HI7" s="85"/>
      <c r="HJ7" s="85"/>
      <c r="HK7" s="85"/>
      <c r="HL7" s="85"/>
      <c r="HM7" s="85"/>
      <c r="HN7" s="85"/>
      <c r="HO7" s="85"/>
      <c r="HP7" s="85"/>
      <c r="HQ7" s="85"/>
      <c r="HR7" s="85"/>
      <c r="HS7" s="85"/>
      <c r="HT7" s="85"/>
      <c r="HU7" s="85"/>
      <c r="HV7" s="85"/>
      <c r="HW7" s="85"/>
      <c r="HX7" s="85"/>
      <c r="HY7" s="85"/>
      <c r="HZ7" s="85"/>
      <c r="IA7" s="85"/>
      <c r="IB7" s="85"/>
      <c r="IC7" s="85"/>
      <c r="ID7" s="85"/>
      <c r="IE7" s="85"/>
      <c r="IF7" s="85"/>
      <c r="IG7" s="85"/>
      <c r="IH7" s="85"/>
      <c r="II7" s="85"/>
      <c r="IJ7" s="85"/>
      <c r="IK7" s="85"/>
      <c r="IL7" s="85"/>
      <c r="IM7" s="85"/>
      <c r="IN7" s="85"/>
      <c r="IO7" s="85"/>
      <c r="IP7" s="85"/>
      <c r="IQ7" s="85"/>
      <c r="IR7" s="85"/>
      <c r="IS7" s="85"/>
      <c r="IT7" s="85"/>
      <c r="IU7" s="85"/>
      <c r="IV7" s="85"/>
      <c r="IW7" s="85"/>
      <c r="IX7" s="85"/>
      <c r="IY7" s="85"/>
      <c r="IZ7" s="85"/>
      <c r="JA7" s="85"/>
      <c r="JB7" s="85"/>
      <c r="JC7" s="85"/>
      <c r="JD7" s="85"/>
      <c r="JE7" s="85"/>
      <c r="JF7" s="85"/>
      <c r="JG7" s="85"/>
      <c r="JH7" s="85"/>
      <c r="JI7" s="85"/>
      <c r="JJ7" s="85"/>
      <c r="JK7" s="85"/>
      <c r="JL7" s="85"/>
      <c r="JM7" s="85"/>
      <c r="JN7" s="85"/>
      <c r="JO7" s="85"/>
      <c r="JP7" s="85"/>
      <c r="JQ7" s="85"/>
      <c r="JR7" s="85"/>
    </row>
    <row r="8" spans="1:278" x14ac:dyDescent="0.3">
      <c r="A8" t="s">
        <v>2070</v>
      </c>
      <c r="B8" t="s">
        <v>2289</v>
      </c>
      <c r="C8" s="1">
        <v>31.200000000000003</v>
      </c>
      <c r="D8" s="1"/>
      <c r="E8" s="1">
        <v>3.6</v>
      </c>
      <c r="F8" s="1"/>
      <c r="G8" s="1"/>
      <c r="H8" s="1"/>
      <c r="I8" s="1"/>
      <c r="J8" s="1"/>
      <c r="K8" s="1"/>
      <c r="L8" s="1"/>
      <c r="M8" s="1"/>
      <c r="N8" s="1"/>
      <c r="O8" s="1"/>
      <c r="P8" s="1">
        <v>50.1</v>
      </c>
      <c r="Q8" s="1"/>
      <c r="S8" s="1">
        <v>41.3</v>
      </c>
      <c r="T8" s="1"/>
      <c r="U8" s="1">
        <v>50.3</v>
      </c>
      <c r="V8" s="1"/>
      <c r="W8" s="1">
        <v>39.4</v>
      </c>
      <c r="X8" s="1"/>
      <c r="Y8" s="1"/>
      <c r="Z8" s="1"/>
      <c r="AA8" s="1"/>
      <c r="AB8" s="1"/>
      <c r="AC8" s="1"/>
      <c r="AD8" s="1"/>
      <c r="AE8" s="1">
        <v>215.9</v>
      </c>
    </row>
    <row r="9" spans="1:278" s="4" customFormat="1" x14ac:dyDescent="0.3">
      <c r="A9"/>
      <c r="B9" t="s">
        <v>2290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>
        <v>51.3</v>
      </c>
      <c r="P9" s="1"/>
      <c r="Q9" s="1"/>
      <c r="R9" s="1"/>
      <c r="S9" s="1"/>
      <c r="T9" s="1">
        <v>55.599999999999994</v>
      </c>
      <c r="U9" s="1">
        <v>46.2</v>
      </c>
      <c r="V9" s="1">
        <v>55</v>
      </c>
      <c r="W9" s="1">
        <v>45.199999999999996</v>
      </c>
      <c r="X9" s="1">
        <v>34</v>
      </c>
      <c r="Y9" s="1"/>
      <c r="Z9" s="1"/>
      <c r="AA9" s="1"/>
      <c r="AB9" s="1"/>
      <c r="AC9" s="1"/>
      <c r="AD9" s="1">
        <v>47.6</v>
      </c>
      <c r="AE9" s="1">
        <v>334.9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</row>
    <row r="10" spans="1:278" x14ac:dyDescent="0.3">
      <c r="A10" t="s">
        <v>2263</v>
      </c>
      <c r="B10" t="s">
        <v>2289</v>
      </c>
      <c r="C10" s="1">
        <v>67.900000000000006</v>
      </c>
      <c r="D10" s="1">
        <v>66.099999999999994</v>
      </c>
      <c r="E10" s="1">
        <v>100.1</v>
      </c>
      <c r="F10" s="1">
        <v>96</v>
      </c>
      <c r="G10" s="1">
        <v>99.3</v>
      </c>
      <c r="H10" s="1">
        <v>101.4</v>
      </c>
      <c r="I10" s="1"/>
      <c r="J10" s="1"/>
      <c r="K10" s="1"/>
      <c r="L10" s="1"/>
      <c r="M10" s="1"/>
      <c r="N10" s="1"/>
      <c r="O10" s="1"/>
      <c r="P10" s="1"/>
      <c r="Q10" s="1"/>
      <c r="S10" s="1"/>
      <c r="T10" s="1"/>
      <c r="U10" s="1"/>
      <c r="V10" s="1">
        <v>16</v>
      </c>
      <c r="W10" s="1">
        <v>36.299999999999997</v>
      </c>
      <c r="X10" s="1">
        <v>43.6</v>
      </c>
      <c r="Y10" s="1"/>
      <c r="Z10" s="1"/>
      <c r="AA10" s="1"/>
      <c r="AB10" s="1"/>
      <c r="AC10" s="1"/>
      <c r="AD10" s="1">
        <v>70.8</v>
      </c>
      <c r="AE10" s="1">
        <v>697.5</v>
      </c>
    </row>
    <row r="11" spans="1:278" s="85" customFormat="1" x14ac:dyDescent="0.3">
      <c r="A11"/>
      <c r="B11" t="s">
        <v>2290</v>
      </c>
      <c r="C11" s="1">
        <v>65.7</v>
      </c>
      <c r="D11" s="1"/>
      <c r="E11" s="1">
        <v>7</v>
      </c>
      <c r="F11" s="1">
        <v>105.1</v>
      </c>
      <c r="G11" s="1">
        <v>112.6</v>
      </c>
      <c r="H11" s="1">
        <v>90.1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>
        <v>37.799999999999997</v>
      </c>
      <c r="W11" s="1">
        <v>57.8</v>
      </c>
      <c r="X11" s="1"/>
      <c r="Y11" s="1"/>
      <c r="Z11" s="1"/>
      <c r="AA11" s="1"/>
      <c r="AB11" s="1"/>
      <c r="AC11" s="1">
        <v>53.2</v>
      </c>
      <c r="AD11" s="1">
        <v>79.2</v>
      </c>
      <c r="AE11" s="1">
        <v>608.50000000000011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</row>
    <row r="12" spans="1:278" s="85" customFormat="1" x14ac:dyDescent="0.3">
      <c r="A12" t="s">
        <v>1267</v>
      </c>
      <c r="B12" t="s">
        <v>2289</v>
      </c>
      <c r="C12" s="1"/>
      <c r="D12" s="1"/>
      <c r="E12" s="1">
        <v>79.099999999999994</v>
      </c>
      <c r="F12" s="1">
        <v>22.4</v>
      </c>
      <c r="G12" s="1">
        <v>125.19999999999999</v>
      </c>
      <c r="H12" s="1"/>
      <c r="I12" s="1"/>
      <c r="J12" s="1">
        <v>38.299999999999997</v>
      </c>
      <c r="K12" s="1"/>
      <c r="L12" s="1"/>
      <c r="M12" s="1">
        <v>67.8</v>
      </c>
      <c r="N12" s="1">
        <v>28.6</v>
      </c>
      <c r="O12" s="1">
        <v>65.5</v>
      </c>
      <c r="P12" s="1"/>
      <c r="Q12" s="1"/>
      <c r="R12" s="1"/>
      <c r="S12" s="1"/>
      <c r="T12" s="1"/>
      <c r="U12" s="1"/>
      <c r="V12" s="1">
        <v>60.9</v>
      </c>
      <c r="W12" s="1">
        <v>47.2</v>
      </c>
      <c r="X12" s="1"/>
      <c r="Y12" s="1"/>
      <c r="Z12" s="1"/>
      <c r="AA12" s="1"/>
      <c r="AB12" s="1"/>
      <c r="AC12" s="1"/>
      <c r="AD12" s="1"/>
      <c r="AE12" s="1">
        <v>535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</row>
    <row r="13" spans="1:278" x14ac:dyDescent="0.3">
      <c r="B13" t="s">
        <v>2290</v>
      </c>
      <c r="C13" s="1"/>
      <c r="D13" s="1"/>
      <c r="E13" s="1">
        <v>123</v>
      </c>
      <c r="F13" s="1">
        <v>127.4</v>
      </c>
      <c r="G13" s="1">
        <v>120.30000000000001</v>
      </c>
      <c r="H13" s="1"/>
      <c r="I13" s="1"/>
      <c r="J13" s="1"/>
      <c r="K13" s="1"/>
      <c r="L13" s="1">
        <v>70.2</v>
      </c>
      <c r="M13" s="1"/>
      <c r="N13" s="1">
        <v>18.899999999999999</v>
      </c>
      <c r="O13" s="1"/>
      <c r="P13" s="1"/>
      <c r="Q13" s="1"/>
      <c r="S13" s="1"/>
      <c r="T13" s="1"/>
      <c r="U13" s="1">
        <v>71.2</v>
      </c>
      <c r="V13" s="1"/>
      <c r="W13" s="1">
        <v>72.2</v>
      </c>
      <c r="X13" s="1">
        <v>28.9</v>
      </c>
      <c r="Y13" s="1"/>
      <c r="Z13" s="1"/>
      <c r="AA13" s="1"/>
      <c r="AB13" s="1"/>
      <c r="AC13" s="1"/>
      <c r="AD13" s="1"/>
      <c r="AE13" s="1">
        <v>632.1</v>
      </c>
    </row>
    <row r="14" spans="1:278" s="85" customFormat="1" x14ac:dyDescent="0.3">
      <c r="A14"/>
      <c r="B14" t="s">
        <v>2323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>
        <v>13.9</v>
      </c>
      <c r="AC14" s="1"/>
      <c r="AD14" s="1"/>
      <c r="AE14" s="1">
        <v>13.9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</row>
    <row r="15" spans="1:278" x14ac:dyDescent="0.3">
      <c r="A15" t="s">
        <v>1029</v>
      </c>
      <c r="B15" t="s">
        <v>2289</v>
      </c>
      <c r="C15" s="1">
        <v>87.5</v>
      </c>
      <c r="D15" s="1">
        <v>72.599999999999994</v>
      </c>
      <c r="E15" s="1">
        <v>103.5</v>
      </c>
      <c r="F15" s="1">
        <v>123.8</v>
      </c>
      <c r="G15" s="1">
        <v>108.3</v>
      </c>
      <c r="H15" s="1">
        <v>96</v>
      </c>
      <c r="I15" s="1">
        <v>113.8</v>
      </c>
      <c r="J15" s="1">
        <v>91.1</v>
      </c>
      <c r="K15" s="1"/>
      <c r="L15" s="1"/>
      <c r="M15" s="1"/>
      <c r="N15" s="1"/>
      <c r="O15" s="1">
        <v>119.5</v>
      </c>
      <c r="P15" s="1">
        <v>55.7</v>
      </c>
      <c r="Q15" s="1">
        <v>62.3</v>
      </c>
      <c r="S15" s="1"/>
      <c r="T15" s="1">
        <v>88.9</v>
      </c>
      <c r="U15" s="1"/>
      <c r="V15" s="1"/>
      <c r="W15" s="1"/>
      <c r="X15" s="1"/>
      <c r="Y15" s="1">
        <v>100.3</v>
      </c>
      <c r="Z15" s="1"/>
      <c r="AA15" s="1"/>
      <c r="AB15" s="1">
        <v>183.2</v>
      </c>
      <c r="AC15" s="1">
        <v>178.9</v>
      </c>
      <c r="AD15" s="1"/>
      <c r="AE15" s="1">
        <v>1585.4000000000003</v>
      </c>
    </row>
    <row r="16" spans="1:278" x14ac:dyDescent="0.3">
      <c r="B16" t="s">
        <v>2290</v>
      </c>
      <c r="C16" s="1">
        <v>59.400000000000006</v>
      </c>
      <c r="D16" s="1"/>
      <c r="E16" s="1">
        <v>119.3</v>
      </c>
      <c r="F16" s="1"/>
      <c r="G16" s="1"/>
      <c r="H16" s="1">
        <v>111.8</v>
      </c>
      <c r="I16" s="1">
        <v>25.7</v>
      </c>
      <c r="J16" s="1"/>
      <c r="K16" s="1"/>
      <c r="L16" s="1"/>
      <c r="M16" s="1"/>
      <c r="N16" s="1">
        <v>105.6</v>
      </c>
      <c r="O16" s="1">
        <v>109</v>
      </c>
      <c r="P16" s="1">
        <v>145.30000000000001</v>
      </c>
      <c r="Q16" s="1"/>
      <c r="S16" s="1"/>
      <c r="T16" s="1"/>
      <c r="U16" s="1"/>
      <c r="V16" s="1"/>
      <c r="W16" s="1"/>
      <c r="X16" s="1">
        <v>94.6</v>
      </c>
      <c r="Y16" s="1"/>
      <c r="Z16" s="1"/>
      <c r="AA16" s="1"/>
      <c r="AB16" s="1">
        <v>176.8</v>
      </c>
      <c r="AC16" s="1"/>
      <c r="AD16" s="1">
        <v>192.5</v>
      </c>
      <c r="AE16" s="1">
        <v>1140</v>
      </c>
    </row>
    <row r="17" spans="1:31" x14ac:dyDescent="0.3">
      <c r="A17" t="s">
        <v>952</v>
      </c>
      <c r="B17" t="s">
        <v>2289</v>
      </c>
      <c r="C17" s="1"/>
      <c r="D17" s="1"/>
      <c r="E17" s="1">
        <v>108.8</v>
      </c>
      <c r="F17" s="1">
        <v>116.8</v>
      </c>
      <c r="G17" s="1"/>
      <c r="H17" s="1">
        <v>119.8</v>
      </c>
      <c r="I17" s="1">
        <v>163.1</v>
      </c>
      <c r="J17" s="1"/>
      <c r="K17" s="1"/>
      <c r="L17" s="1">
        <v>21.2</v>
      </c>
      <c r="M17" s="1">
        <v>213.9</v>
      </c>
      <c r="N17" s="1">
        <v>199.5</v>
      </c>
      <c r="O17" s="1"/>
      <c r="P17" s="1">
        <v>201</v>
      </c>
      <c r="Q17" s="1">
        <v>6.9</v>
      </c>
      <c r="S17" s="1"/>
      <c r="T17" s="1"/>
      <c r="U17" s="1"/>
      <c r="V17" s="1"/>
      <c r="W17" s="1"/>
      <c r="X17" s="1">
        <v>142.9</v>
      </c>
      <c r="Y17" s="1"/>
      <c r="Z17" s="1">
        <v>205.7</v>
      </c>
      <c r="AA17" s="1"/>
      <c r="AB17" s="1"/>
      <c r="AC17" s="1"/>
      <c r="AD17" s="1">
        <v>243.1</v>
      </c>
      <c r="AE17" s="1">
        <v>1742.7</v>
      </c>
    </row>
    <row r="18" spans="1:31" x14ac:dyDescent="0.3">
      <c r="B18" t="s">
        <v>2290</v>
      </c>
      <c r="C18" s="1"/>
      <c r="D18" s="1"/>
      <c r="E18" s="1">
        <v>186.2</v>
      </c>
      <c r="F18" s="1"/>
      <c r="G18" s="1"/>
      <c r="H18" s="1">
        <v>17.8</v>
      </c>
      <c r="I18" s="1"/>
      <c r="J18" s="1"/>
      <c r="K18" s="1"/>
      <c r="L18" s="1">
        <v>191</v>
      </c>
      <c r="M18" s="1">
        <v>225.8</v>
      </c>
      <c r="N18" s="1"/>
      <c r="O18" s="1">
        <v>176.8</v>
      </c>
      <c r="P18" s="1"/>
      <c r="Q18" s="1"/>
      <c r="S18" s="1"/>
      <c r="T18" s="1">
        <v>18.7</v>
      </c>
      <c r="U18" s="1"/>
      <c r="V18" s="1"/>
      <c r="W18" s="1"/>
      <c r="X18" s="1"/>
      <c r="Y18" s="1"/>
      <c r="Z18" s="1">
        <v>103.9</v>
      </c>
      <c r="AA18" s="1"/>
      <c r="AB18" s="1"/>
      <c r="AC18" s="1">
        <v>207.4</v>
      </c>
      <c r="AD18" s="1">
        <v>274.5</v>
      </c>
      <c r="AE18" s="1">
        <v>1402.1</v>
      </c>
    </row>
    <row r="19" spans="1:31" x14ac:dyDescent="0.3">
      <c r="A19" t="s">
        <v>1128</v>
      </c>
      <c r="B19" t="s">
        <v>2289</v>
      </c>
      <c r="C19" s="1"/>
      <c r="D19" s="1"/>
      <c r="E19" s="1"/>
      <c r="F19" s="1">
        <v>38.6</v>
      </c>
      <c r="G19" s="1">
        <v>43</v>
      </c>
      <c r="H19" s="1">
        <v>44.9</v>
      </c>
      <c r="I19" s="1">
        <v>48</v>
      </c>
      <c r="J19" s="1">
        <v>48.4</v>
      </c>
      <c r="K19" s="1"/>
      <c r="L19" s="1">
        <v>38.4</v>
      </c>
      <c r="M19" s="1">
        <v>41.7</v>
      </c>
      <c r="N19" s="1">
        <v>37.1</v>
      </c>
      <c r="O19" s="1">
        <v>45.2</v>
      </c>
      <c r="P19" s="1">
        <v>48.9</v>
      </c>
      <c r="Q19" s="1">
        <v>40.5</v>
      </c>
      <c r="S19" s="1"/>
      <c r="T19" s="1"/>
      <c r="U19" s="1"/>
      <c r="V19" s="1"/>
      <c r="W19" s="1"/>
      <c r="X19" s="1">
        <v>12.7</v>
      </c>
      <c r="Y19" s="1">
        <v>140.9</v>
      </c>
      <c r="Z19" s="1">
        <v>165.2</v>
      </c>
      <c r="AA19" s="1">
        <v>105.2</v>
      </c>
      <c r="AB19" s="1"/>
      <c r="AC19" s="1">
        <v>154.5</v>
      </c>
      <c r="AD19" s="1"/>
      <c r="AE19" s="1">
        <v>1053.2</v>
      </c>
    </row>
    <row r="20" spans="1:31" x14ac:dyDescent="0.3">
      <c r="B20" t="s">
        <v>2290</v>
      </c>
      <c r="C20" s="1"/>
      <c r="D20" s="1"/>
      <c r="E20" s="1"/>
      <c r="F20" s="1">
        <v>48</v>
      </c>
      <c r="G20" s="1">
        <v>48.6</v>
      </c>
      <c r="H20" s="1">
        <v>49.8</v>
      </c>
      <c r="I20" s="1">
        <v>49.5</v>
      </c>
      <c r="J20" s="1">
        <v>46.300000000000004</v>
      </c>
      <c r="K20" s="1"/>
      <c r="L20" s="1"/>
      <c r="M20" s="1"/>
      <c r="N20" s="1">
        <v>58.7</v>
      </c>
      <c r="O20" s="1">
        <v>51.9</v>
      </c>
      <c r="P20" s="1"/>
      <c r="Q20" s="1"/>
      <c r="S20" s="1"/>
      <c r="T20" s="1"/>
      <c r="U20" s="1"/>
      <c r="V20" s="1"/>
      <c r="W20" s="1"/>
      <c r="X20" s="1">
        <v>121.9</v>
      </c>
      <c r="Y20" s="1">
        <v>168.8</v>
      </c>
      <c r="Z20" s="1">
        <v>42.2</v>
      </c>
      <c r="AA20" s="1"/>
      <c r="AB20" s="1">
        <v>20</v>
      </c>
      <c r="AC20" s="1"/>
      <c r="AD20" s="1"/>
      <c r="AE20" s="1">
        <v>705.7</v>
      </c>
    </row>
    <row r="21" spans="1:31" x14ac:dyDescent="0.3">
      <c r="A21" t="s">
        <v>2299</v>
      </c>
      <c r="B21" t="s">
        <v>2289</v>
      </c>
      <c r="C21" s="1">
        <v>40.200000000000003</v>
      </c>
      <c r="D21" s="1"/>
      <c r="E21" s="1">
        <v>46.4</v>
      </c>
      <c r="F21" s="1">
        <v>56.1</v>
      </c>
      <c r="G21" s="1">
        <v>47.8</v>
      </c>
      <c r="H21" s="1">
        <v>25.3</v>
      </c>
      <c r="I21" s="1"/>
      <c r="J21" s="1">
        <v>148.4</v>
      </c>
      <c r="K21" s="1">
        <v>134.69999999999999</v>
      </c>
      <c r="L21" s="1">
        <v>142.1</v>
      </c>
      <c r="M21" s="1">
        <v>128.5</v>
      </c>
      <c r="N21" s="1">
        <v>316.2</v>
      </c>
      <c r="O21" s="1">
        <v>155.19999999999999</v>
      </c>
      <c r="P21" s="1"/>
      <c r="Q21" s="1">
        <v>57.6</v>
      </c>
      <c r="S21" s="1">
        <v>171.4</v>
      </c>
      <c r="T21" s="1">
        <v>66.7</v>
      </c>
      <c r="U21" s="1">
        <v>137</v>
      </c>
      <c r="V21" s="1"/>
      <c r="W21" s="1">
        <v>131.1</v>
      </c>
      <c r="X21" s="1">
        <v>141.5</v>
      </c>
      <c r="Y21" s="1">
        <v>141.69999999999999</v>
      </c>
      <c r="Z21" s="1">
        <v>204.89999999999998</v>
      </c>
      <c r="AA21" s="1">
        <v>159.70000000000002</v>
      </c>
      <c r="AB21" s="1">
        <v>203.9</v>
      </c>
      <c r="AC21" s="1">
        <v>130.80000000000001</v>
      </c>
      <c r="AD21" s="1"/>
      <c r="AE21" s="1">
        <v>2787.2000000000003</v>
      </c>
    </row>
    <row r="22" spans="1:31" x14ac:dyDescent="0.3">
      <c r="B22" t="s">
        <v>2290</v>
      </c>
      <c r="C22" s="1">
        <v>10.7</v>
      </c>
      <c r="D22" s="1"/>
      <c r="E22" s="1">
        <v>7.9</v>
      </c>
      <c r="F22" s="1">
        <v>57.900000000000006</v>
      </c>
      <c r="G22" s="1">
        <v>54.3</v>
      </c>
      <c r="H22" s="1"/>
      <c r="I22" s="1">
        <v>188.9</v>
      </c>
      <c r="J22" s="1">
        <v>154.30000000000001</v>
      </c>
      <c r="K22" s="1"/>
      <c r="L22" s="1">
        <v>162</v>
      </c>
      <c r="M22" s="1">
        <v>276.60000000000002</v>
      </c>
      <c r="N22" s="1"/>
      <c r="O22" s="1"/>
      <c r="P22" s="1"/>
      <c r="Q22" s="1">
        <v>193.9</v>
      </c>
      <c r="S22" s="1">
        <v>187.4</v>
      </c>
      <c r="T22" s="1">
        <v>162.5</v>
      </c>
      <c r="U22" s="1">
        <v>136.30000000000001</v>
      </c>
      <c r="V22" s="1">
        <v>129.80000000000001</v>
      </c>
      <c r="W22" s="1">
        <v>156.20000000000002</v>
      </c>
      <c r="X22" s="1">
        <v>148.69999999999999</v>
      </c>
      <c r="Y22" s="1">
        <v>170.9</v>
      </c>
      <c r="Z22" s="1">
        <v>228</v>
      </c>
      <c r="AA22" s="1"/>
      <c r="AB22" s="1">
        <v>159.1</v>
      </c>
      <c r="AC22" s="1">
        <v>188.3</v>
      </c>
      <c r="AD22" s="1"/>
      <c r="AE22" s="1">
        <v>2773.7000000000003</v>
      </c>
    </row>
    <row r="23" spans="1:31" x14ac:dyDescent="0.3">
      <c r="A23" t="s">
        <v>2300</v>
      </c>
      <c r="B23" t="s">
        <v>2289</v>
      </c>
      <c r="C23" s="1">
        <v>108.2</v>
      </c>
      <c r="D23" s="1"/>
      <c r="E23" s="1"/>
      <c r="F23" s="1">
        <v>37</v>
      </c>
      <c r="G23" s="1">
        <v>114</v>
      </c>
      <c r="H23" s="1">
        <v>156.6</v>
      </c>
      <c r="I23" s="1">
        <v>138.6</v>
      </c>
      <c r="J23" s="1">
        <v>105.1</v>
      </c>
      <c r="K23" s="1"/>
      <c r="L23" s="1"/>
      <c r="M23" s="1"/>
      <c r="N23" s="1">
        <v>195.8</v>
      </c>
      <c r="O23" s="1"/>
      <c r="P23" s="1"/>
      <c r="Q23" s="1">
        <v>174.60000000000002</v>
      </c>
      <c r="R23" s="1">
        <v>47.5</v>
      </c>
      <c r="S23" s="1">
        <v>146.30000000000001</v>
      </c>
      <c r="T23" s="1">
        <v>171.6</v>
      </c>
      <c r="U23" s="1">
        <v>182.8</v>
      </c>
      <c r="V23" s="1">
        <v>165.79999999999998</v>
      </c>
      <c r="W23" s="1">
        <v>140.6</v>
      </c>
      <c r="X23" s="1">
        <v>135.30000000000001</v>
      </c>
      <c r="Y23" s="1">
        <v>148.30000000000001</v>
      </c>
      <c r="Z23" s="1">
        <v>146.69999999999999</v>
      </c>
      <c r="AA23" s="1">
        <v>149.29999999999998</v>
      </c>
      <c r="AB23" s="1">
        <v>154.1</v>
      </c>
      <c r="AC23" s="1">
        <v>95.199999999999989</v>
      </c>
      <c r="AD23" s="1"/>
      <c r="AE23" s="1">
        <v>2713.3999999999996</v>
      </c>
    </row>
    <row r="24" spans="1:31" x14ac:dyDescent="0.3">
      <c r="B24" t="s">
        <v>2290</v>
      </c>
      <c r="C24" s="1">
        <v>83</v>
      </c>
      <c r="D24" s="1"/>
      <c r="E24" s="1"/>
      <c r="F24" s="1">
        <v>157.30000000000001</v>
      </c>
      <c r="G24" s="1">
        <v>170.89999999999998</v>
      </c>
      <c r="H24" s="1">
        <v>159.4</v>
      </c>
      <c r="I24" s="1">
        <v>157.5</v>
      </c>
      <c r="J24" s="1"/>
      <c r="K24" s="1"/>
      <c r="L24" s="1"/>
      <c r="M24" s="1">
        <v>217.60000000000002</v>
      </c>
      <c r="N24" s="1"/>
      <c r="O24" s="1"/>
      <c r="P24" s="1">
        <v>189.5</v>
      </c>
      <c r="Q24" s="1">
        <v>193.8</v>
      </c>
      <c r="S24" s="1">
        <v>214.8</v>
      </c>
      <c r="T24" s="1">
        <v>221.9</v>
      </c>
      <c r="U24" s="1">
        <v>205</v>
      </c>
      <c r="V24" s="1">
        <v>171.7</v>
      </c>
      <c r="W24" s="1">
        <v>110.8</v>
      </c>
      <c r="X24" s="1">
        <v>188.6</v>
      </c>
      <c r="Y24" s="1">
        <v>181.2</v>
      </c>
      <c r="Z24" s="1"/>
      <c r="AA24" s="1"/>
      <c r="AB24" s="1"/>
      <c r="AC24" s="1"/>
      <c r="AD24" s="1"/>
      <c r="AE24" s="1">
        <v>2623</v>
      </c>
    </row>
    <row r="25" spans="1:31" x14ac:dyDescent="0.3">
      <c r="A25" t="s">
        <v>1132</v>
      </c>
      <c r="B25" t="s">
        <v>2289</v>
      </c>
      <c r="C25" s="1">
        <v>196.1</v>
      </c>
      <c r="D25" s="1"/>
      <c r="E25" s="1">
        <v>325.39999999999998</v>
      </c>
      <c r="F25" s="1"/>
      <c r="G25" s="1">
        <v>348</v>
      </c>
      <c r="H25" s="1">
        <v>25.9</v>
      </c>
      <c r="I25" s="1">
        <v>140.6</v>
      </c>
      <c r="J25" s="1">
        <v>135.5</v>
      </c>
      <c r="K25" s="1"/>
      <c r="L25" s="1">
        <v>121.20000000000002</v>
      </c>
      <c r="M25" s="1">
        <v>187.2</v>
      </c>
      <c r="N25" s="1">
        <v>292</v>
      </c>
      <c r="O25" s="1"/>
      <c r="P25" s="1"/>
      <c r="Q25" s="1">
        <v>88.4</v>
      </c>
      <c r="S25" s="1">
        <v>47.800000000000004</v>
      </c>
      <c r="T25" s="1">
        <v>72.599999999999994</v>
      </c>
      <c r="U25" s="1">
        <v>75.900000000000006</v>
      </c>
      <c r="V25" s="1">
        <v>77</v>
      </c>
      <c r="W25" s="1">
        <v>61.199999999999996</v>
      </c>
      <c r="X25" s="1">
        <v>65.599999999999994</v>
      </c>
      <c r="Y25" s="1">
        <v>57.8</v>
      </c>
      <c r="Z25" s="1">
        <v>81.599999999999994</v>
      </c>
      <c r="AA25" s="1">
        <v>87.3</v>
      </c>
      <c r="AB25" s="1">
        <v>172.4</v>
      </c>
      <c r="AC25" s="1">
        <v>149.6</v>
      </c>
      <c r="AD25" s="1">
        <v>180.4</v>
      </c>
      <c r="AE25" s="1">
        <v>2989.5</v>
      </c>
    </row>
    <row r="26" spans="1:31" x14ac:dyDescent="0.3">
      <c r="B26" t="s">
        <v>2290</v>
      </c>
      <c r="C26" s="1">
        <v>220.5</v>
      </c>
      <c r="D26" s="1"/>
      <c r="E26" s="1"/>
      <c r="F26" s="1"/>
      <c r="G26" s="1"/>
      <c r="H26" s="1">
        <v>131.30000000000001</v>
      </c>
      <c r="I26" s="1">
        <v>171.7</v>
      </c>
      <c r="J26" s="1">
        <v>119</v>
      </c>
      <c r="K26" s="1"/>
      <c r="L26" s="1">
        <v>21.700000000000003</v>
      </c>
      <c r="M26" s="1">
        <v>587.4</v>
      </c>
      <c r="N26" s="1"/>
      <c r="O26" s="1"/>
      <c r="P26" s="1">
        <v>94.6</v>
      </c>
      <c r="Q26" s="1">
        <v>90.5</v>
      </c>
      <c r="S26" s="1">
        <v>82.6</v>
      </c>
      <c r="T26" s="1">
        <v>84.2</v>
      </c>
      <c r="U26" s="1">
        <v>72.100000000000009</v>
      </c>
      <c r="V26" s="1">
        <v>87.5</v>
      </c>
      <c r="W26" s="1">
        <v>20.399999999999999</v>
      </c>
      <c r="X26" s="1">
        <v>19.399999999999999</v>
      </c>
      <c r="Y26" s="1">
        <v>37.4</v>
      </c>
      <c r="Z26" s="1">
        <v>66.3</v>
      </c>
      <c r="AA26" s="1">
        <v>189.6</v>
      </c>
      <c r="AB26" s="1"/>
      <c r="AC26" s="1">
        <v>198</v>
      </c>
      <c r="AD26" s="1"/>
      <c r="AE26" s="1">
        <v>2294.1999999999998</v>
      </c>
    </row>
    <row r="27" spans="1:31" x14ac:dyDescent="0.3">
      <c r="A27" t="s">
        <v>2330</v>
      </c>
      <c r="B27" t="s">
        <v>2289</v>
      </c>
      <c r="C27" s="1">
        <v>19.2</v>
      </c>
      <c r="D27" s="1">
        <v>39.1</v>
      </c>
      <c r="E27" s="1"/>
      <c r="F27" s="1">
        <v>46.5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S27" s="1"/>
      <c r="T27" s="1"/>
      <c r="U27" s="1"/>
      <c r="V27" s="1"/>
      <c r="W27" s="1"/>
      <c r="X27" s="1"/>
      <c r="Y27" s="1"/>
      <c r="Z27" s="1">
        <v>11</v>
      </c>
      <c r="AA27" s="1"/>
      <c r="AB27" s="1">
        <v>23.2</v>
      </c>
      <c r="AC27" s="1">
        <v>36.5</v>
      </c>
      <c r="AD27" s="1"/>
      <c r="AE27" s="1">
        <v>175.5</v>
      </c>
    </row>
    <row r="28" spans="1:31" x14ac:dyDescent="0.3">
      <c r="B28" t="s">
        <v>2290</v>
      </c>
      <c r="C28" s="1">
        <v>51.6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>
        <v>39.1</v>
      </c>
      <c r="AD28" s="1"/>
      <c r="AE28" s="1">
        <v>90.7</v>
      </c>
    </row>
    <row r="29" spans="1:31" x14ac:dyDescent="0.3">
      <c r="A29" t="s">
        <v>2326</v>
      </c>
      <c r="B29" t="s">
        <v>2289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>
        <v>29.4</v>
      </c>
      <c r="S29" s="1"/>
      <c r="T29" s="1">
        <v>32.6</v>
      </c>
      <c r="U29" s="1"/>
      <c r="V29" s="1"/>
      <c r="W29" s="1"/>
      <c r="X29" s="1"/>
      <c r="Y29" s="1">
        <v>68.7</v>
      </c>
      <c r="Z29" s="1">
        <v>93.7</v>
      </c>
      <c r="AA29" s="1">
        <v>137.6</v>
      </c>
      <c r="AB29" s="1">
        <v>6.3</v>
      </c>
      <c r="AC29" s="1">
        <v>45.1</v>
      </c>
      <c r="AD29" s="1">
        <v>44.2</v>
      </c>
      <c r="AE29" s="1">
        <v>457.6</v>
      </c>
    </row>
    <row r="30" spans="1:31" x14ac:dyDescent="0.3">
      <c r="B30" t="s">
        <v>2290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>
        <v>36.6</v>
      </c>
      <c r="Q30" s="1">
        <v>27.2</v>
      </c>
      <c r="S30" s="1"/>
      <c r="T30" s="1"/>
      <c r="U30" s="1"/>
      <c r="V30" s="1"/>
      <c r="W30" s="1"/>
      <c r="X30" s="1"/>
      <c r="Y30" s="1">
        <v>84.1</v>
      </c>
      <c r="Z30" s="1">
        <v>116</v>
      </c>
      <c r="AA30" s="1">
        <v>95.1</v>
      </c>
      <c r="AB30" s="1"/>
      <c r="AC30" s="1"/>
      <c r="AD30" s="1"/>
      <c r="AE30" s="1">
        <v>359</v>
      </c>
    </row>
    <row r="31" spans="1:31" x14ac:dyDescent="0.3">
      <c r="A31" s="1" t="s">
        <v>4</v>
      </c>
      <c r="B31" s="1"/>
      <c r="C31" s="89">
        <v>1041.2</v>
      </c>
      <c r="D31" s="89">
        <v>177.79999999999998</v>
      </c>
      <c r="E31" s="89">
        <v>1210.2999999999997</v>
      </c>
      <c r="F31" s="89">
        <v>1032.9000000000001</v>
      </c>
      <c r="G31" s="89">
        <v>1392.2999999999997</v>
      </c>
      <c r="H31" s="89">
        <v>1130.0999999999999</v>
      </c>
      <c r="I31" s="89">
        <v>1197.4000000000001</v>
      </c>
      <c r="J31" s="89">
        <v>940.6</v>
      </c>
      <c r="K31" s="89">
        <v>134.69999999999999</v>
      </c>
      <c r="L31" s="89">
        <v>811.7</v>
      </c>
      <c r="M31" s="89">
        <v>1994.1</v>
      </c>
      <c r="N31" s="89">
        <v>1358.2</v>
      </c>
      <c r="O31" s="88">
        <v>816.3</v>
      </c>
      <c r="P31" s="88">
        <v>860.2</v>
      </c>
      <c r="Q31" s="88">
        <v>965.10000000000014</v>
      </c>
      <c r="R31" s="88">
        <v>47.5</v>
      </c>
      <c r="S31" s="88">
        <v>934.19999999999993</v>
      </c>
      <c r="T31" s="88">
        <v>1017.7</v>
      </c>
      <c r="U31" s="88">
        <v>976.8</v>
      </c>
      <c r="V31" s="88">
        <v>801.5</v>
      </c>
      <c r="W31" s="88">
        <v>918.4</v>
      </c>
      <c r="X31" s="88">
        <v>1177.6999999999998</v>
      </c>
      <c r="Y31" s="88">
        <v>1300.1000000000001</v>
      </c>
      <c r="Z31" s="88">
        <v>1498.8</v>
      </c>
      <c r="AA31" s="88">
        <v>938.30000000000007</v>
      </c>
      <c r="AB31" s="88">
        <v>1123.2</v>
      </c>
      <c r="AC31" s="88">
        <v>1476.5999999999997</v>
      </c>
      <c r="AD31" s="88">
        <v>1202.7</v>
      </c>
      <c r="AE31" s="88">
        <v>28476.400000000001</v>
      </c>
    </row>
    <row r="32" spans="1:31" x14ac:dyDescent="0.3">
      <c r="R32"/>
    </row>
    <row r="33" spans="1:32" x14ac:dyDescent="0.3">
      <c r="R33"/>
    </row>
    <row r="34" spans="1:32" x14ac:dyDescent="0.3">
      <c r="R34"/>
    </row>
    <row r="35" spans="1:32" x14ac:dyDescent="0.3">
      <c r="R35"/>
    </row>
    <row r="36" spans="1:32" x14ac:dyDescent="0.3">
      <c r="R36"/>
    </row>
    <row r="37" spans="1:32" x14ac:dyDescent="0.3">
      <c r="R37"/>
    </row>
    <row r="38" spans="1:32" x14ac:dyDescent="0.3">
      <c r="R38"/>
    </row>
    <row r="39" spans="1:32" x14ac:dyDescent="0.3">
      <c r="R39"/>
    </row>
    <row r="40" spans="1:32" x14ac:dyDescent="0.3">
      <c r="R40"/>
    </row>
    <row r="41" spans="1:32" x14ac:dyDescent="0.3">
      <c r="R41"/>
    </row>
    <row r="42" spans="1:32" x14ac:dyDescent="0.3">
      <c r="R42"/>
    </row>
    <row r="43" spans="1:32" x14ac:dyDescent="0.3">
      <c r="R43"/>
    </row>
    <row r="44" spans="1:32" x14ac:dyDescent="0.3">
      <c r="R44"/>
    </row>
    <row r="45" spans="1:32" x14ac:dyDescent="0.3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x14ac:dyDescent="0.3"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x14ac:dyDescent="0.3">
      <c r="A47" s="84" t="s">
        <v>1086</v>
      </c>
      <c r="B47" t="s">
        <v>2294</v>
      </c>
    </row>
    <row r="48" spans="1:32" x14ac:dyDescent="0.3">
      <c r="A48" s="84" t="s">
        <v>14</v>
      </c>
      <c r="B48" t="s">
        <v>1263</v>
      </c>
    </row>
    <row r="50" spans="1:32" x14ac:dyDescent="0.3">
      <c r="A50" s="84" t="s">
        <v>1250</v>
      </c>
      <c r="B50" s="84" t="s">
        <v>1196</v>
      </c>
      <c r="R50"/>
    </row>
    <row r="51" spans="1:32" x14ac:dyDescent="0.3">
      <c r="A51" s="84" t="s">
        <v>0</v>
      </c>
      <c r="B51" s="2">
        <v>45839</v>
      </c>
      <c r="C51" s="2">
        <v>45840</v>
      </c>
      <c r="D51" s="2">
        <v>45841</v>
      </c>
      <c r="E51" s="2">
        <v>45842</v>
      </c>
      <c r="F51" s="2">
        <v>45843</v>
      </c>
      <c r="G51" s="2">
        <v>45845</v>
      </c>
      <c r="H51" s="2">
        <v>45846</v>
      </c>
      <c r="I51" s="2">
        <v>45847</v>
      </c>
      <c r="J51" s="2">
        <v>45848</v>
      </c>
      <c r="K51" s="2">
        <v>45849</v>
      </c>
      <c r="L51" s="2">
        <v>45850</v>
      </c>
      <c r="M51" s="2">
        <v>45851</v>
      </c>
      <c r="N51" s="2">
        <v>45852</v>
      </c>
      <c r="O51" s="2">
        <v>45853</v>
      </c>
      <c r="P51" s="2">
        <v>45854</v>
      </c>
      <c r="Q51" s="2">
        <v>45855</v>
      </c>
      <c r="R51" s="2">
        <v>45856</v>
      </c>
      <c r="S51" s="2">
        <v>45857</v>
      </c>
      <c r="T51" s="2">
        <v>45858</v>
      </c>
      <c r="U51" s="2">
        <v>45859</v>
      </c>
      <c r="V51" s="2">
        <v>45860</v>
      </c>
      <c r="W51" s="2">
        <v>45861</v>
      </c>
      <c r="X51" s="2">
        <v>45862</v>
      </c>
      <c r="Y51" s="2">
        <v>45863</v>
      </c>
      <c r="Z51" s="2">
        <v>45864</v>
      </c>
      <c r="AA51" s="2">
        <v>45865</v>
      </c>
      <c r="AB51" s="2">
        <v>45866</v>
      </c>
      <c r="AC51" s="2">
        <v>45867</v>
      </c>
      <c r="AD51" s="2">
        <v>45868</v>
      </c>
      <c r="AE51" s="2">
        <v>45869</v>
      </c>
      <c r="AF51" t="s">
        <v>4</v>
      </c>
    </row>
    <row r="52" spans="1:32" x14ac:dyDescent="0.3">
      <c r="A52" t="s">
        <v>2307</v>
      </c>
      <c r="B52" s="1">
        <v>12</v>
      </c>
      <c r="C52" s="1">
        <v>61.6</v>
      </c>
      <c r="D52" s="1"/>
      <c r="E52" s="1"/>
      <c r="F52" s="1"/>
      <c r="G52" s="1"/>
      <c r="H52" s="1">
        <v>0</v>
      </c>
      <c r="I52" s="1">
        <v>135.19999999999999</v>
      </c>
      <c r="J52" s="1">
        <v>255.29999999999998</v>
      </c>
      <c r="K52" s="1">
        <v>105.80000000000001</v>
      </c>
      <c r="L52" s="1">
        <v>163</v>
      </c>
      <c r="M52" s="1"/>
      <c r="N52" s="1"/>
      <c r="O52" s="1"/>
      <c r="P52" s="1"/>
      <c r="Q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>
        <v>732.9</v>
      </c>
    </row>
    <row r="53" spans="1:32" x14ac:dyDescent="0.3">
      <c r="A53" t="s">
        <v>1132</v>
      </c>
      <c r="B53" s="1">
        <v>45.2</v>
      </c>
      <c r="C53" s="1">
        <v>27.4</v>
      </c>
      <c r="D53" s="1">
        <v>39.4</v>
      </c>
      <c r="E53" s="1">
        <v>82.5</v>
      </c>
      <c r="F53" s="1">
        <v>21.5</v>
      </c>
      <c r="G53" s="1">
        <v>16.7</v>
      </c>
      <c r="H53" s="1">
        <v>0</v>
      </c>
      <c r="I53" s="1"/>
      <c r="J53" s="1"/>
      <c r="K53" s="1"/>
      <c r="L53" s="1"/>
      <c r="M53" s="1"/>
      <c r="N53" s="1">
        <v>78.7</v>
      </c>
      <c r="O53" s="1">
        <v>17</v>
      </c>
      <c r="P53" s="1">
        <v>36.200000000000003</v>
      </c>
      <c r="Q53" s="1">
        <v>8.5</v>
      </c>
      <c r="R53" s="1">
        <v>26.1</v>
      </c>
      <c r="S53" s="1">
        <v>15.5</v>
      </c>
      <c r="T53" s="1"/>
      <c r="U53" s="1">
        <v>26.6</v>
      </c>
      <c r="V53" s="1">
        <v>50.4</v>
      </c>
      <c r="W53" s="1">
        <v>34.099999999999994</v>
      </c>
      <c r="X53" s="1">
        <v>7.8000000000000007</v>
      </c>
      <c r="Y53" s="1">
        <v>30.4</v>
      </c>
      <c r="Z53" s="1">
        <v>16.899999999999999</v>
      </c>
      <c r="AA53" s="1">
        <v>6.9</v>
      </c>
      <c r="AB53" s="1">
        <v>9.6999999999999993</v>
      </c>
      <c r="AC53" s="1">
        <v>13.9</v>
      </c>
      <c r="AD53" s="1">
        <v>17.2</v>
      </c>
      <c r="AE53" s="1">
        <v>13</v>
      </c>
      <c r="AF53" s="1">
        <v>641.59999999999991</v>
      </c>
    </row>
    <row r="54" spans="1:32" x14ac:dyDescent="0.3">
      <c r="A54" t="s">
        <v>2300</v>
      </c>
      <c r="B54" s="1"/>
      <c r="C54" s="1"/>
      <c r="D54" s="1"/>
      <c r="E54" s="1"/>
      <c r="F54" s="1"/>
      <c r="G54" s="1"/>
      <c r="H54" s="1"/>
      <c r="I54" s="1">
        <v>20.5</v>
      </c>
      <c r="J54" s="1">
        <v>19.7</v>
      </c>
      <c r="K54" s="1"/>
      <c r="L54" s="1"/>
      <c r="M54" s="1"/>
      <c r="N54" s="1"/>
      <c r="O54" s="1">
        <v>9</v>
      </c>
      <c r="P54" s="1">
        <v>54.699999999999996</v>
      </c>
      <c r="Q54" s="1">
        <v>42.4</v>
      </c>
      <c r="R54" s="1">
        <v>38.6</v>
      </c>
      <c r="S54" s="1">
        <v>30.4</v>
      </c>
      <c r="T54" s="1"/>
      <c r="U54" s="1">
        <v>25.999999999999996</v>
      </c>
      <c r="V54" s="1">
        <v>16.3</v>
      </c>
      <c r="W54" s="1">
        <v>9.8000000000000007</v>
      </c>
      <c r="X54" s="1">
        <v>40.200000000000003</v>
      </c>
      <c r="Y54" s="1">
        <v>34.200000000000003</v>
      </c>
      <c r="Z54" s="1">
        <v>30.6</v>
      </c>
      <c r="AA54" s="1">
        <v>11.1</v>
      </c>
      <c r="AB54" s="1">
        <v>3.9</v>
      </c>
      <c r="AC54" s="1">
        <v>9.1999999999999993</v>
      </c>
      <c r="AD54" s="1">
        <v>13.700000000000001</v>
      </c>
      <c r="AE54" s="1"/>
      <c r="AF54" s="1">
        <v>410.3</v>
      </c>
    </row>
    <row r="55" spans="1:32" x14ac:dyDescent="0.3">
      <c r="A55" t="s">
        <v>2299</v>
      </c>
      <c r="B55" s="1">
        <v>1.8</v>
      </c>
      <c r="C55" s="1">
        <v>14.2</v>
      </c>
      <c r="D55" s="1">
        <v>0.9</v>
      </c>
      <c r="E55" s="1">
        <v>10</v>
      </c>
      <c r="F55" s="1">
        <v>0.5</v>
      </c>
      <c r="G55" s="1">
        <v>0.5</v>
      </c>
      <c r="H55" s="1">
        <v>11.4</v>
      </c>
      <c r="I55" s="1">
        <v>14.8</v>
      </c>
      <c r="J55" s="1">
        <v>18.299999999999997</v>
      </c>
      <c r="K55" s="1">
        <v>1.6</v>
      </c>
      <c r="L55" s="1"/>
      <c r="M55" s="1"/>
      <c r="N55" s="1">
        <v>0</v>
      </c>
      <c r="O55" s="1">
        <v>0</v>
      </c>
      <c r="P55" s="1">
        <v>17</v>
      </c>
      <c r="Q55" s="1">
        <v>24.9</v>
      </c>
      <c r="R55" s="1">
        <v>52.5</v>
      </c>
      <c r="S55" s="1">
        <v>34</v>
      </c>
      <c r="T55" s="1">
        <v>14</v>
      </c>
      <c r="U55" s="1">
        <v>52.2</v>
      </c>
      <c r="V55" s="1">
        <v>32.9</v>
      </c>
      <c r="W55" s="1">
        <v>10.6</v>
      </c>
      <c r="X55" s="1">
        <v>16.5</v>
      </c>
      <c r="Y55" s="1">
        <v>6.9999999999999991</v>
      </c>
      <c r="Z55" s="1">
        <v>6.1999999999999993</v>
      </c>
      <c r="AA55" s="1"/>
      <c r="AB55" s="1">
        <v>9.6999999999999993</v>
      </c>
      <c r="AC55" s="1"/>
      <c r="AD55" s="1">
        <v>14.599999999999998</v>
      </c>
      <c r="AE55" s="1">
        <v>12.7</v>
      </c>
      <c r="AF55" s="1">
        <v>378.79999999999995</v>
      </c>
    </row>
    <row r="56" spans="1:32" x14ac:dyDescent="0.3">
      <c r="A56" t="s">
        <v>1029</v>
      </c>
      <c r="B56" s="1">
        <v>25.1</v>
      </c>
      <c r="C56" s="1">
        <v>7.7</v>
      </c>
      <c r="D56" s="1">
        <v>10.9</v>
      </c>
      <c r="E56" s="1">
        <v>0</v>
      </c>
      <c r="F56" s="1">
        <v>14.4</v>
      </c>
      <c r="G56" s="1">
        <v>3.5</v>
      </c>
      <c r="H56" s="1">
        <v>6.4</v>
      </c>
      <c r="I56" s="1"/>
      <c r="J56" s="1"/>
      <c r="K56" s="1"/>
      <c r="L56" s="1"/>
      <c r="M56" s="1"/>
      <c r="N56" s="1"/>
      <c r="O56" s="1">
        <v>6.1</v>
      </c>
      <c r="P56" s="1">
        <v>20.5</v>
      </c>
      <c r="Q56" s="1">
        <v>145</v>
      </c>
      <c r="R56" s="1">
        <v>19.899999999999999</v>
      </c>
      <c r="S56" s="1">
        <v>16.600000000000001</v>
      </c>
      <c r="T56" s="1"/>
      <c r="U56" s="1">
        <v>39.5</v>
      </c>
      <c r="V56" s="1">
        <v>11.3</v>
      </c>
      <c r="W56" s="1"/>
      <c r="X56" s="1"/>
      <c r="Y56" s="1"/>
      <c r="Z56" s="1"/>
      <c r="AA56" s="1"/>
      <c r="AB56" s="1"/>
      <c r="AC56" s="1"/>
      <c r="AD56" s="1"/>
      <c r="AE56" s="1"/>
      <c r="AF56" s="1">
        <v>326.90000000000003</v>
      </c>
    </row>
    <row r="57" spans="1:32" x14ac:dyDescent="0.3">
      <c r="A57" t="s">
        <v>2303</v>
      </c>
      <c r="B57" s="1"/>
      <c r="C57" s="1"/>
      <c r="D57" s="1"/>
      <c r="E57" s="1">
        <v>13.2</v>
      </c>
      <c r="F57" s="1">
        <v>12.5</v>
      </c>
      <c r="G57" s="1">
        <v>39.4</v>
      </c>
      <c r="H57" s="1">
        <v>74.5</v>
      </c>
      <c r="I57" s="1">
        <v>97</v>
      </c>
      <c r="J57" s="1">
        <v>64.099999999999994</v>
      </c>
      <c r="K57" s="1"/>
      <c r="L57" s="1"/>
      <c r="M57" s="1"/>
      <c r="N57" s="1"/>
      <c r="O57" s="1"/>
      <c r="P57" s="1"/>
      <c r="Q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v>300.7</v>
      </c>
    </row>
    <row r="58" spans="1:32" x14ac:dyDescent="0.3">
      <c r="A58" t="s">
        <v>2263</v>
      </c>
      <c r="B58" s="1">
        <v>2.2999999999999998</v>
      </c>
      <c r="C58" s="1">
        <v>26.7</v>
      </c>
      <c r="D58" s="1">
        <v>19.400000000000002</v>
      </c>
      <c r="E58" s="1">
        <v>13</v>
      </c>
      <c r="F58" s="1">
        <v>8.6000000000000014</v>
      </c>
      <c r="G58" s="1">
        <v>15</v>
      </c>
      <c r="H58" s="1">
        <v>7.4</v>
      </c>
      <c r="I58" s="1"/>
      <c r="J58" s="1"/>
      <c r="K58" s="1">
        <v>16.7</v>
      </c>
      <c r="L58" s="1">
        <v>30.200000000000003</v>
      </c>
      <c r="M58" s="1"/>
      <c r="N58" s="1"/>
      <c r="O58" s="1">
        <v>42.199999999999996</v>
      </c>
      <c r="P58" s="1">
        <v>25.8</v>
      </c>
      <c r="Q58" s="1">
        <v>8</v>
      </c>
      <c r="R58" s="1">
        <v>4.8</v>
      </c>
      <c r="S58" s="1">
        <v>10.5</v>
      </c>
      <c r="T58" s="1">
        <v>6.9</v>
      </c>
      <c r="U58" s="1">
        <v>13</v>
      </c>
      <c r="V58" s="1">
        <v>10.8</v>
      </c>
      <c r="W58" s="1"/>
      <c r="X58" s="1">
        <v>0.6</v>
      </c>
      <c r="Y58" s="1"/>
      <c r="Z58" s="1"/>
      <c r="AA58" s="1"/>
      <c r="AB58" s="1"/>
      <c r="AC58" s="1"/>
      <c r="AD58" s="1"/>
      <c r="AE58" s="1"/>
      <c r="AF58" s="1">
        <v>261.90000000000003</v>
      </c>
    </row>
    <row r="59" spans="1:32" x14ac:dyDescent="0.3">
      <c r="A59" t="s">
        <v>1128</v>
      </c>
      <c r="B59" s="1">
        <v>1.9</v>
      </c>
      <c r="C59" s="1">
        <v>6.3000000000000007</v>
      </c>
      <c r="D59" s="1">
        <v>3.75</v>
      </c>
      <c r="E59" s="1">
        <v>5.6</v>
      </c>
      <c r="F59" s="1">
        <v>27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>
        <v>27</v>
      </c>
      <c r="R59" s="1">
        <v>23.5</v>
      </c>
      <c r="S59" s="1"/>
      <c r="T59" s="1"/>
      <c r="U59" s="1"/>
      <c r="V59" s="1">
        <v>0</v>
      </c>
      <c r="W59" s="1">
        <v>24</v>
      </c>
      <c r="X59" s="1">
        <v>0</v>
      </c>
      <c r="Y59" s="1"/>
      <c r="Z59" s="1">
        <v>28.499999999999996</v>
      </c>
      <c r="AA59" s="1"/>
      <c r="AB59" s="1">
        <v>9.6999999999999993</v>
      </c>
      <c r="AC59" s="1"/>
      <c r="AD59" s="1">
        <v>34.1</v>
      </c>
      <c r="AE59" s="1">
        <v>39.200000000000003</v>
      </c>
      <c r="AF59" s="1">
        <v>230.54999999999995</v>
      </c>
    </row>
    <row r="60" spans="1:32" x14ac:dyDescent="0.3">
      <c r="A60" t="s">
        <v>952</v>
      </c>
      <c r="B60" s="1">
        <v>4.4000000000000004</v>
      </c>
      <c r="C60" s="1">
        <v>11.9</v>
      </c>
      <c r="D60" s="1">
        <v>26.1</v>
      </c>
      <c r="E60" s="1">
        <v>51.300000000000004</v>
      </c>
      <c r="F60" s="1"/>
      <c r="G60" s="1">
        <v>29.200000000000003</v>
      </c>
      <c r="H60" s="1">
        <v>48.599999999999994</v>
      </c>
      <c r="I60" s="1">
        <v>24.200000000000003</v>
      </c>
      <c r="J60" s="1">
        <v>0</v>
      </c>
      <c r="K60" s="1">
        <v>4.5999999999999996</v>
      </c>
      <c r="L60" s="1">
        <v>0</v>
      </c>
      <c r="M60" s="1"/>
      <c r="N60" s="1">
        <v>0</v>
      </c>
      <c r="O60" s="1">
        <v>0</v>
      </c>
      <c r="P60" s="1">
        <v>0</v>
      </c>
      <c r="Q60" s="1"/>
      <c r="S60" s="1"/>
      <c r="T60" s="1"/>
      <c r="U60" s="1"/>
      <c r="V60" s="1"/>
      <c r="W60" s="1"/>
      <c r="X60" s="1"/>
      <c r="Y60" s="1"/>
      <c r="Z60" s="1">
        <v>4.7</v>
      </c>
      <c r="AA60" s="1">
        <v>1.4</v>
      </c>
      <c r="AB60" s="1">
        <v>1.4</v>
      </c>
      <c r="AC60" s="1">
        <v>1.3</v>
      </c>
      <c r="AD60" s="1">
        <v>2.2999999999999998</v>
      </c>
      <c r="AE60" s="1">
        <v>8.7999999999999989</v>
      </c>
      <c r="AF60" s="1">
        <v>220.20000000000002</v>
      </c>
    </row>
    <row r="61" spans="1:32" x14ac:dyDescent="0.3">
      <c r="A61" t="s">
        <v>2070</v>
      </c>
      <c r="B61" s="1"/>
      <c r="C61" s="1"/>
      <c r="D61" s="1"/>
      <c r="E61" s="1"/>
      <c r="F61" s="1"/>
      <c r="G61" s="1">
        <v>28.200000000000003</v>
      </c>
      <c r="H61" s="1">
        <v>30</v>
      </c>
      <c r="I61" s="1">
        <v>10.199999999999999</v>
      </c>
      <c r="J61" s="1"/>
      <c r="K61" s="1"/>
      <c r="L61" s="1"/>
      <c r="M61" s="1"/>
      <c r="N61" s="1">
        <v>17.399999999999999</v>
      </c>
      <c r="O61" s="1"/>
      <c r="P61" s="1"/>
      <c r="Q61" s="1"/>
      <c r="S61" s="1"/>
      <c r="T61" s="1"/>
      <c r="U61" s="1">
        <v>22.299999999999997</v>
      </c>
      <c r="V61" s="1">
        <v>36</v>
      </c>
      <c r="W61" s="1">
        <v>20.7</v>
      </c>
      <c r="X61" s="1"/>
      <c r="Y61" s="1">
        <v>28.7</v>
      </c>
      <c r="Z61" s="1">
        <v>18.7</v>
      </c>
      <c r="AA61" s="1"/>
      <c r="AB61" s="1"/>
      <c r="AC61" s="1"/>
      <c r="AD61" s="1"/>
      <c r="AE61" s="1"/>
      <c r="AF61" s="1">
        <v>212.2</v>
      </c>
    </row>
    <row r="62" spans="1:32" x14ac:dyDescent="0.3">
      <c r="A62" t="s">
        <v>1951</v>
      </c>
      <c r="B62" s="1"/>
      <c r="C62" s="1"/>
      <c r="D62" s="1"/>
      <c r="E62" s="1"/>
      <c r="F62" s="1"/>
      <c r="G62" s="1">
        <v>4.9000000000000004</v>
      </c>
      <c r="H62" s="1">
        <v>8.8000000000000007</v>
      </c>
      <c r="I62" s="1">
        <v>23.4</v>
      </c>
      <c r="J62" s="1">
        <v>7.1</v>
      </c>
      <c r="K62" s="1">
        <v>35.900000000000006</v>
      </c>
      <c r="L62" s="1">
        <v>43.4</v>
      </c>
      <c r="M62" s="1"/>
      <c r="N62" s="1"/>
      <c r="O62" s="1"/>
      <c r="P62" s="1"/>
      <c r="Q62" s="1"/>
      <c r="S62" s="1"/>
      <c r="T62" s="1"/>
      <c r="U62" s="1"/>
      <c r="V62" s="1"/>
      <c r="W62" s="1"/>
      <c r="X62" s="1">
        <v>52.2</v>
      </c>
      <c r="Y62" s="1">
        <v>24.1</v>
      </c>
      <c r="Z62" s="1">
        <v>0</v>
      </c>
      <c r="AA62" s="1">
        <v>6.4</v>
      </c>
      <c r="AB62" s="1"/>
      <c r="AC62" s="1"/>
      <c r="AD62" s="1"/>
      <c r="AE62" s="1"/>
      <c r="AF62" s="1">
        <v>206.2</v>
      </c>
    </row>
    <row r="63" spans="1:32" x14ac:dyDescent="0.3">
      <c r="A63" t="s">
        <v>2306</v>
      </c>
      <c r="B63" s="1"/>
      <c r="C63" s="1"/>
      <c r="D63" s="1"/>
      <c r="E63" s="1"/>
      <c r="F63" s="1"/>
      <c r="G63" s="1"/>
      <c r="H63" s="1"/>
      <c r="I63" s="1"/>
      <c r="J63" s="1"/>
      <c r="K63" s="1">
        <v>25.799999999999997</v>
      </c>
      <c r="L63" s="1">
        <v>25</v>
      </c>
      <c r="M63" s="1"/>
      <c r="N63" s="1">
        <v>40.099999999999994</v>
      </c>
      <c r="O63" s="1">
        <v>14.2</v>
      </c>
      <c r="P63" s="1"/>
      <c r="Q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>
        <v>105.1</v>
      </c>
    </row>
    <row r="64" spans="1:32" x14ac:dyDescent="0.3">
      <c r="A64" t="s">
        <v>1267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S64" s="1">
        <v>6</v>
      </c>
      <c r="T64" s="1"/>
      <c r="U64" s="1">
        <v>11.2</v>
      </c>
      <c r="V64" s="1">
        <v>0</v>
      </c>
      <c r="W64" s="1">
        <v>3.4</v>
      </c>
      <c r="X64" s="1">
        <v>0</v>
      </c>
      <c r="Y64" s="1">
        <v>5</v>
      </c>
      <c r="Z64" s="1"/>
      <c r="AA64" s="1"/>
      <c r="AB64" s="1"/>
      <c r="AC64" s="1"/>
      <c r="AD64" s="1"/>
      <c r="AE64" s="1"/>
      <c r="AF64" s="1">
        <v>25.599999999999998</v>
      </c>
    </row>
    <row r="65" spans="1:32" x14ac:dyDescent="0.3">
      <c r="A65" t="s">
        <v>2324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>
        <v>0</v>
      </c>
      <c r="N65" s="1">
        <v>0</v>
      </c>
      <c r="O65" s="1"/>
      <c r="P65" s="1"/>
      <c r="Q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>
        <v>0</v>
      </c>
    </row>
    <row r="66" spans="1:32" x14ac:dyDescent="0.3">
      <c r="A66" s="1" t="s">
        <v>4</v>
      </c>
      <c r="B66" s="1">
        <v>92.699999999999989</v>
      </c>
      <c r="C66" s="1">
        <v>155.80000000000001</v>
      </c>
      <c r="D66" s="1">
        <v>100.45000000000002</v>
      </c>
      <c r="E66" s="1">
        <v>175.6</v>
      </c>
      <c r="F66" s="1">
        <v>84.5</v>
      </c>
      <c r="G66" s="1">
        <v>137.40000000000003</v>
      </c>
      <c r="H66" s="1">
        <v>187.10000000000002</v>
      </c>
      <c r="I66" s="1">
        <v>325.29999999999995</v>
      </c>
      <c r="J66" s="1">
        <v>364.5</v>
      </c>
      <c r="K66" s="1">
        <v>190.40000000000003</v>
      </c>
      <c r="L66" s="1">
        <v>261.60000000000002</v>
      </c>
      <c r="M66" s="1">
        <v>0</v>
      </c>
      <c r="N66" s="1">
        <v>136.19999999999999</v>
      </c>
      <c r="O66" s="1">
        <v>88.5</v>
      </c>
      <c r="P66" s="1">
        <v>154.19999999999999</v>
      </c>
      <c r="Q66" s="1">
        <v>255.8</v>
      </c>
      <c r="R66" s="1">
        <v>165.4</v>
      </c>
      <c r="S66" s="1">
        <v>113</v>
      </c>
      <c r="T66" s="1">
        <v>20.9</v>
      </c>
      <c r="U66" s="1">
        <v>190.8</v>
      </c>
      <c r="V66" s="1">
        <v>157.70000000000002</v>
      </c>
      <c r="W66" s="1">
        <v>102.6</v>
      </c>
      <c r="X66" s="1">
        <v>117.3</v>
      </c>
      <c r="Y66" s="1">
        <v>129.39999999999998</v>
      </c>
      <c r="Z66" s="1">
        <v>105.6</v>
      </c>
      <c r="AA66" s="1">
        <v>25.799999999999997</v>
      </c>
      <c r="AB66" s="1">
        <v>34.4</v>
      </c>
      <c r="AC66" s="1">
        <v>24.4</v>
      </c>
      <c r="AD66" s="1">
        <v>81.899999999999991</v>
      </c>
      <c r="AE66" s="1">
        <v>73.7</v>
      </c>
      <c r="AF66" s="1">
        <v>4052.95</v>
      </c>
    </row>
    <row r="67" spans="1:32" x14ac:dyDescent="0.3">
      <c r="R67"/>
    </row>
    <row r="68" spans="1:32" x14ac:dyDescent="0.3">
      <c r="R68"/>
    </row>
    <row r="69" spans="1:32" x14ac:dyDescent="0.3">
      <c r="R69"/>
    </row>
    <row r="70" spans="1:32" x14ac:dyDescent="0.3">
      <c r="R70"/>
    </row>
    <row r="71" spans="1:32" x14ac:dyDescent="0.3">
      <c r="R71"/>
    </row>
    <row r="74" spans="1:32" x14ac:dyDescent="0.3">
      <c r="A74" s="84" t="s">
        <v>1086</v>
      </c>
      <c r="B74" t="s">
        <v>2283</v>
      </c>
    </row>
    <row r="75" spans="1:32" x14ac:dyDescent="0.3">
      <c r="A75" s="84" t="s">
        <v>14</v>
      </c>
      <c r="B75" t="s">
        <v>2305</v>
      </c>
    </row>
    <row r="77" spans="1:32" x14ac:dyDescent="0.3">
      <c r="A77" s="84" t="s">
        <v>3</v>
      </c>
      <c r="B77" t="s">
        <v>1250</v>
      </c>
      <c r="R77"/>
    </row>
    <row r="78" spans="1:32" x14ac:dyDescent="0.3">
      <c r="A78" s="1" t="s">
        <v>4</v>
      </c>
      <c r="B78" s="1"/>
      <c r="R78"/>
    </row>
    <row r="79" spans="1:32" x14ac:dyDescent="0.3">
      <c r="R79"/>
    </row>
    <row r="80" spans="1:32" x14ac:dyDescent="0.3">
      <c r="R80"/>
    </row>
    <row r="81" spans="18:18" x14ac:dyDescent="0.3">
      <c r="R81"/>
    </row>
    <row r="82" spans="18:18" x14ac:dyDescent="0.3">
      <c r="R82"/>
    </row>
    <row r="83" spans="18:18" x14ac:dyDescent="0.3">
      <c r="R83"/>
    </row>
    <row r="84" spans="18:18" x14ac:dyDescent="0.3">
      <c r="R84"/>
    </row>
    <row r="85" spans="18:18" x14ac:dyDescent="0.3">
      <c r="R85"/>
    </row>
    <row r="86" spans="18:18" x14ac:dyDescent="0.3">
      <c r="R86"/>
    </row>
    <row r="87" spans="18:18" x14ac:dyDescent="0.3">
      <c r="R87"/>
    </row>
    <row r="88" spans="18:18" x14ac:dyDescent="0.3">
      <c r="R88"/>
    </row>
    <row r="89" spans="18:18" x14ac:dyDescent="0.3">
      <c r="R89"/>
    </row>
    <row r="90" spans="18:18" x14ac:dyDescent="0.3">
      <c r="R90"/>
    </row>
    <row r="91" spans="18:18" x14ac:dyDescent="0.3">
      <c r="R91"/>
    </row>
    <row r="92" spans="18:18" x14ac:dyDescent="0.3">
      <c r="R92"/>
    </row>
    <row r="93" spans="18:18" x14ac:dyDescent="0.3">
      <c r="R93"/>
    </row>
    <row r="94" spans="18:18" x14ac:dyDescent="0.3">
      <c r="R94"/>
    </row>
    <row r="95" spans="18:18" x14ac:dyDescent="0.3">
      <c r="R95"/>
    </row>
    <row r="96" spans="18:18" x14ac:dyDescent="0.3">
      <c r="R96"/>
    </row>
    <row r="97" spans="18:18" x14ac:dyDescent="0.3">
      <c r="R97"/>
    </row>
    <row r="98" spans="18:18" x14ac:dyDescent="0.3">
      <c r="R98"/>
    </row>
    <row r="99" spans="18:18" x14ac:dyDescent="0.3">
      <c r="R99"/>
    </row>
    <row r="100" spans="18:18" x14ac:dyDescent="0.3">
      <c r="R100"/>
    </row>
    <row r="101" spans="18:18" x14ac:dyDescent="0.3">
      <c r="R101"/>
    </row>
    <row r="102" spans="18:18" x14ac:dyDescent="0.3">
      <c r="R102"/>
    </row>
    <row r="103" spans="18:18" x14ac:dyDescent="0.3">
      <c r="R103"/>
    </row>
    <row r="104" spans="18:18" x14ac:dyDescent="0.3">
      <c r="R104"/>
    </row>
    <row r="105" spans="18:18" x14ac:dyDescent="0.3">
      <c r="R105"/>
    </row>
    <row r="106" spans="18:18" x14ac:dyDescent="0.3">
      <c r="R106"/>
    </row>
    <row r="107" spans="18:18" x14ac:dyDescent="0.3">
      <c r="R107"/>
    </row>
    <row r="108" spans="18:18" x14ac:dyDescent="0.3">
      <c r="R108"/>
    </row>
    <row r="109" spans="18:18" x14ac:dyDescent="0.3">
      <c r="R109"/>
    </row>
    <row r="110" spans="18:18" x14ac:dyDescent="0.3">
      <c r="R110"/>
    </row>
    <row r="111" spans="18:18" x14ac:dyDescent="0.3">
      <c r="R111"/>
    </row>
    <row r="112" spans="18:18" x14ac:dyDescent="0.3">
      <c r="R112"/>
    </row>
    <row r="113" spans="18:18" x14ac:dyDescent="0.3">
      <c r="R113"/>
    </row>
    <row r="114" spans="18:18" x14ac:dyDescent="0.3">
      <c r="R114"/>
    </row>
    <row r="115" spans="18:18" x14ac:dyDescent="0.3">
      <c r="R115"/>
    </row>
    <row r="116" spans="18:18" x14ac:dyDescent="0.3">
      <c r="R116"/>
    </row>
    <row r="117" spans="18:18" x14ac:dyDescent="0.3">
      <c r="R117"/>
    </row>
    <row r="118" spans="18:18" x14ac:dyDescent="0.3">
      <c r="R118"/>
    </row>
    <row r="119" spans="18:18" x14ac:dyDescent="0.3">
      <c r="R119"/>
    </row>
    <row r="120" spans="18:18" x14ac:dyDescent="0.3">
      <c r="R120"/>
    </row>
    <row r="121" spans="18:18" x14ac:dyDescent="0.3">
      <c r="R121"/>
    </row>
    <row r="122" spans="18:18" x14ac:dyDescent="0.3">
      <c r="R122"/>
    </row>
    <row r="123" spans="18:18" x14ac:dyDescent="0.3">
      <c r="R123"/>
    </row>
    <row r="124" spans="18:18" x14ac:dyDescent="0.3">
      <c r="R124"/>
    </row>
    <row r="125" spans="18:18" x14ac:dyDescent="0.3">
      <c r="R125"/>
    </row>
    <row r="126" spans="18:18" x14ac:dyDescent="0.3">
      <c r="R126"/>
    </row>
    <row r="127" spans="18:18" x14ac:dyDescent="0.3">
      <c r="R127"/>
    </row>
    <row r="128" spans="18:18" x14ac:dyDescent="0.3">
      <c r="R128"/>
    </row>
    <row r="129" spans="18:18" x14ac:dyDescent="0.3">
      <c r="R129"/>
    </row>
    <row r="130" spans="18:18" x14ac:dyDescent="0.3">
      <c r="R130"/>
    </row>
    <row r="131" spans="18:18" x14ac:dyDescent="0.3">
      <c r="R131"/>
    </row>
    <row r="132" spans="18:18" x14ac:dyDescent="0.3">
      <c r="R132"/>
    </row>
    <row r="133" spans="18:18" x14ac:dyDescent="0.3">
      <c r="R133"/>
    </row>
    <row r="134" spans="18:18" x14ac:dyDescent="0.3">
      <c r="R134"/>
    </row>
    <row r="135" spans="18:18" x14ac:dyDescent="0.3">
      <c r="R135"/>
    </row>
    <row r="136" spans="18:18" x14ac:dyDescent="0.3">
      <c r="R136"/>
    </row>
    <row r="137" spans="18:18" x14ac:dyDescent="0.3">
      <c r="R137"/>
    </row>
    <row r="138" spans="18:18" x14ac:dyDescent="0.3">
      <c r="R138"/>
    </row>
    <row r="139" spans="18:18" x14ac:dyDescent="0.3">
      <c r="R139"/>
    </row>
    <row r="140" spans="18:18" x14ac:dyDescent="0.3">
      <c r="R140"/>
    </row>
    <row r="141" spans="18:18" x14ac:dyDescent="0.3">
      <c r="R141"/>
    </row>
    <row r="142" spans="18:18" x14ac:dyDescent="0.3">
      <c r="R142"/>
    </row>
    <row r="143" spans="18:18" x14ac:dyDescent="0.3">
      <c r="R143"/>
    </row>
    <row r="144" spans="18:18" x14ac:dyDescent="0.3">
      <c r="R144"/>
    </row>
    <row r="145" spans="18:18" x14ac:dyDescent="0.3">
      <c r="R145"/>
    </row>
    <row r="146" spans="18:18" x14ac:dyDescent="0.3">
      <c r="R146"/>
    </row>
    <row r="147" spans="18:18" x14ac:dyDescent="0.3">
      <c r="R147"/>
    </row>
    <row r="148" spans="18:18" x14ac:dyDescent="0.3">
      <c r="R148"/>
    </row>
    <row r="149" spans="18:18" x14ac:dyDescent="0.3">
      <c r="R149"/>
    </row>
    <row r="150" spans="18:18" x14ac:dyDescent="0.3">
      <c r="R150"/>
    </row>
    <row r="151" spans="18:18" x14ac:dyDescent="0.3">
      <c r="R151"/>
    </row>
    <row r="152" spans="18:18" x14ac:dyDescent="0.3">
      <c r="R152"/>
    </row>
    <row r="153" spans="18:18" x14ac:dyDescent="0.3">
      <c r="R153"/>
    </row>
    <row r="154" spans="18:18" x14ac:dyDescent="0.3">
      <c r="R154"/>
    </row>
    <row r="155" spans="18:18" x14ac:dyDescent="0.3">
      <c r="R155"/>
    </row>
    <row r="156" spans="18:18" x14ac:dyDescent="0.3">
      <c r="R156"/>
    </row>
    <row r="157" spans="18:18" x14ac:dyDescent="0.3">
      <c r="R157"/>
    </row>
    <row r="158" spans="18:18" x14ac:dyDescent="0.3">
      <c r="R158"/>
    </row>
    <row r="159" spans="18:18" x14ac:dyDescent="0.3">
      <c r="R159"/>
    </row>
    <row r="160" spans="18:18" x14ac:dyDescent="0.3">
      <c r="R160"/>
    </row>
    <row r="161" spans="18:18" x14ac:dyDescent="0.3">
      <c r="R161"/>
    </row>
    <row r="162" spans="18:18" x14ac:dyDescent="0.3">
      <c r="R162"/>
    </row>
    <row r="163" spans="18:18" x14ac:dyDescent="0.3">
      <c r="R163"/>
    </row>
    <row r="164" spans="18:18" x14ac:dyDescent="0.3">
      <c r="R164"/>
    </row>
    <row r="165" spans="18:18" x14ac:dyDescent="0.3">
      <c r="R165"/>
    </row>
    <row r="166" spans="18:18" x14ac:dyDescent="0.3">
      <c r="R166"/>
    </row>
    <row r="167" spans="18:18" x14ac:dyDescent="0.3">
      <c r="R167"/>
    </row>
    <row r="168" spans="18:18" x14ac:dyDescent="0.3">
      <c r="R168"/>
    </row>
    <row r="169" spans="18:18" x14ac:dyDescent="0.3">
      <c r="R169"/>
    </row>
    <row r="170" spans="18:18" x14ac:dyDescent="0.3">
      <c r="R170"/>
    </row>
    <row r="171" spans="18:18" x14ac:dyDescent="0.3">
      <c r="R171"/>
    </row>
    <row r="172" spans="18:18" x14ac:dyDescent="0.3">
      <c r="R172"/>
    </row>
    <row r="173" spans="18:18" x14ac:dyDescent="0.3">
      <c r="R173"/>
    </row>
    <row r="174" spans="18:18" x14ac:dyDescent="0.3">
      <c r="R174"/>
    </row>
    <row r="175" spans="18:18" x14ac:dyDescent="0.3">
      <c r="R175"/>
    </row>
    <row r="176" spans="18:18" x14ac:dyDescent="0.3">
      <c r="R176"/>
    </row>
    <row r="177" spans="18:18" x14ac:dyDescent="0.3">
      <c r="R177"/>
    </row>
    <row r="178" spans="18:18" x14ac:dyDescent="0.3">
      <c r="R178"/>
    </row>
    <row r="179" spans="18:18" x14ac:dyDescent="0.3">
      <c r="R179"/>
    </row>
    <row r="180" spans="18:18" x14ac:dyDescent="0.3">
      <c r="R180"/>
    </row>
    <row r="181" spans="18:18" x14ac:dyDescent="0.3">
      <c r="R181"/>
    </row>
    <row r="182" spans="18:18" x14ac:dyDescent="0.3">
      <c r="R182"/>
    </row>
    <row r="183" spans="18:18" x14ac:dyDescent="0.3">
      <c r="R183"/>
    </row>
    <row r="184" spans="18:18" x14ac:dyDescent="0.3">
      <c r="R184"/>
    </row>
    <row r="185" spans="18:18" x14ac:dyDescent="0.3">
      <c r="R185"/>
    </row>
    <row r="186" spans="18:18" x14ac:dyDescent="0.3">
      <c r="R186"/>
    </row>
    <row r="187" spans="18:18" x14ac:dyDescent="0.3">
      <c r="R187"/>
    </row>
    <row r="188" spans="18:18" x14ac:dyDescent="0.3">
      <c r="R188"/>
    </row>
    <row r="189" spans="18:18" x14ac:dyDescent="0.3">
      <c r="R189"/>
    </row>
    <row r="190" spans="18:18" x14ac:dyDescent="0.3">
      <c r="R190"/>
    </row>
    <row r="191" spans="18:18" x14ac:dyDescent="0.3">
      <c r="R191"/>
    </row>
    <row r="192" spans="18:18" x14ac:dyDescent="0.3">
      <c r="R192"/>
    </row>
    <row r="193" spans="18:18" x14ac:dyDescent="0.3">
      <c r="R193"/>
    </row>
    <row r="194" spans="18:18" x14ac:dyDescent="0.3">
      <c r="R194"/>
    </row>
    <row r="195" spans="18:18" x14ac:dyDescent="0.3">
      <c r="R195"/>
    </row>
    <row r="196" spans="18:18" x14ac:dyDescent="0.3">
      <c r="R196"/>
    </row>
    <row r="197" spans="18:18" x14ac:dyDescent="0.3">
      <c r="R197"/>
    </row>
    <row r="198" spans="18:18" x14ac:dyDescent="0.3">
      <c r="R198"/>
    </row>
    <row r="199" spans="18:18" x14ac:dyDescent="0.3">
      <c r="R199"/>
    </row>
    <row r="200" spans="18:18" x14ac:dyDescent="0.3">
      <c r="R200"/>
    </row>
    <row r="201" spans="18:18" x14ac:dyDescent="0.3">
      <c r="R201"/>
    </row>
    <row r="202" spans="18:18" x14ac:dyDescent="0.3">
      <c r="R202"/>
    </row>
    <row r="203" spans="18:18" x14ac:dyDescent="0.3">
      <c r="R203"/>
    </row>
    <row r="204" spans="18:18" x14ac:dyDescent="0.3">
      <c r="R204"/>
    </row>
    <row r="205" spans="18:18" x14ac:dyDescent="0.3">
      <c r="R205"/>
    </row>
    <row r="206" spans="18:18" x14ac:dyDescent="0.3">
      <c r="R206"/>
    </row>
    <row r="207" spans="18:18" x14ac:dyDescent="0.3">
      <c r="R207"/>
    </row>
    <row r="208" spans="18:18" x14ac:dyDescent="0.3">
      <c r="R208"/>
    </row>
    <row r="209" spans="18:18" x14ac:dyDescent="0.3">
      <c r="R209"/>
    </row>
    <row r="210" spans="18:18" x14ac:dyDescent="0.3">
      <c r="R210"/>
    </row>
    <row r="211" spans="18:18" x14ac:dyDescent="0.3">
      <c r="R211"/>
    </row>
    <row r="212" spans="18:18" x14ac:dyDescent="0.3">
      <c r="R212"/>
    </row>
    <row r="213" spans="18:18" x14ac:dyDescent="0.3">
      <c r="R213"/>
    </row>
    <row r="214" spans="18:18" x14ac:dyDescent="0.3">
      <c r="R214"/>
    </row>
    <row r="215" spans="18:18" x14ac:dyDescent="0.3">
      <c r="R215"/>
    </row>
    <row r="216" spans="18:18" x14ac:dyDescent="0.3">
      <c r="R216"/>
    </row>
    <row r="217" spans="18:18" x14ac:dyDescent="0.3">
      <c r="R217"/>
    </row>
    <row r="218" spans="18:18" x14ac:dyDescent="0.3">
      <c r="R218"/>
    </row>
    <row r="219" spans="18:18" x14ac:dyDescent="0.3">
      <c r="R219"/>
    </row>
    <row r="220" spans="18:18" x14ac:dyDescent="0.3">
      <c r="R220"/>
    </row>
    <row r="221" spans="18:18" x14ac:dyDescent="0.3">
      <c r="R221"/>
    </row>
    <row r="222" spans="18:18" x14ac:dyDescent="0.3">
      <c r="R222"/>
    </row>
    <row r="223" spans="18:18" x14ac:dyDescent="0.3">
      <c r="R223"/>
    </row>
    <row r="224" spans="18:18" x14ac:dyDescent="0.3">
      <c r="R224"/>
    </row>
    <row r="225" spans="18:18" x14ac:dyDescent="0.3">
      <c r="R225"/>
    </row>
    <row r="226" spans="18:18" x14ac:dyDescent="0.3">
      <c r="R226"/>
    </row>
    <row r="227" spans="18:18" x14ac:dyDescent="0.3">
      <c r="R227"/>
    </row>
  </sheetData>
  <pageMargins left="0" right="0" top="0" bottom="0" header="0" footer="0"/>
  <pageSetup paperSize="9" orientation="landscape" horizontalDpi="360" verticalDpi="36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1"/>
  <dimension ref="A1:AA269"/>
  <sheetViews>
    <sheetView topLeftCell="A259" workbookViewId="0">
      <selection activeCell="H16" sqref="H16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44483.69054398148</v>
      </c>
      <c r="B2" t="s">
        <v>13</v>
      </c>
      <c r="C2" t="s">
        <v>1060</v>
      </c>
      <c r="D2" s="2">
        <v>44440</v>
      </c>
      <c r="E2" t="s">
        <v>1105</v>
      </c>
      <c r="F2" t="s">
        <v>41</v>
      </c>
      <c r="G2" t="s">
        <v>940</v>
      </c>
      <c r="H2" t="s">
        <v>48</v>
      </c>
      <c r="I2" t="s">
        <v>966</v>
      </c>
      <c r="J2" t="s">
        <v>481</v>
      </c>
      <c r="K2">
        <v>365</v>
      </c>
      <c r="L2">
        <v>3</v>
      </c>
      <c r="M2">
        <v>42.4</v>
      </c>
      <c r="N2" t="s">
        <v>21</v>
      </c>
      <c r="O2">
        <v>0</v>
      </c>
      <c r="P2">
        <v>4</v>
      </c>
      <c r="Q2">
        <v>448</v>
      </c>
      <c r="R2">
        <v>6634</v>
      </c>
      <c r="S2">
        <v>21.17</v>
      </c>
      <c r="T2">
        <v>42.4</v>
      </c>
      <c r="U2">
        <v>58</v>
      </c>
      <c r="V2">
        <v>731.0344827586207</v>
      </c>
      <c r="W2" t="s">
        <v>1153</v>
      </c>
      <c r="X2" t="s">
        <v>1087</v>
      </c>
      <c r="Y2">
        <v>36</v>
      </c>
      <c r="Z2">
        <v>2</v>
      </c>
      <c r="AA2">
        <v>60.833333333333336</v>
      </c>
    </row>
    <row r="3" spans="1:27" x14ac:dyDescent="0.3">
      <c r="A3" s="15">
        <v>44483.698888888888</v>
      </c>
      <c r="B3" t="s">
        <v>13</v>
      </c>
      <c r="C3" t="s">
        <v>1060</v>
      </c>
      <c r="D3" s="2">
        <v>44441</v>
      </c>
      <c r="E3" t="s">
        <v>1105</v>
      </c>
      <c r="F3" t="s">
        <v>41</v>
      </c>
      <c r="G3" t="s">
        <v>940</v>
      </c>
      <c r="H3" t="s">
        <v>48</v>
      </c>
      <c r="I3" t="s">
        <v>966</v>
      </c>
      <c r="J3" t="s">
        <v>485</v>
      </c>
      <c r="K3">
        <v>503</v>
      </c>
      <c r="L3">
        <v>5</v>
      </c>
      <c r="M3">
        <v>57.1</v>
      </c>
      <c r="N3" t="s">
        <v>21</v>
      </c>
      <c r="O3">
        <v>0</v>
      </c>
      <c r="P3">
        <v>6</v>
      </c>
      <c r="Q3">
        <v>448</v>
      </c>
      <c r="R3">
        <v>6635</v>
      </c>
      <c r="S3">
        <v>44.767000000000003</v>
      </c>
      <c r="T3">
        <v>57.1</v>
      </c>
      <c r="U3">
        <v>89</v>
      </c>
      <c r="V3">
        <v>641.57303370786519</v>
      </c>
      <c r="W3" t="s">
        <v>1153</v>
      </c>
      <c r="X3" t="s">
        <v>1087</v>
      </c>
      <c r="Y3">
        <v>36</v>
      </c>
      <c r="Z3">
        <v>1</v>
      </c>
      <c r="AA3">
        <v>41.916666666666664</v>
      </c>
    </row>
    <row r="4" spans="1:27" x14ac:dyDescent="0.3">
      <c r="A4" s="15">
        <v>44483.700150462966</v>
      </c>
      <c r="B4" t="s">
        <v>13</v>
      </c>
      <c r="C4" t="s">
        <v>1060</v>
      </c>
      <c r="D4" s="2">
        <v>44442</v>
      </c>
      <c r="E4" t="s">
        <v>1082</v>
      </c>
      <c r="F4" t="s">
        <v>41</v>
      </c>
      <c r="G4" t="s">
        <v>940</v>
      </c>
      <c r="H4" t="s">
        <v>48</v>
      </c>
      <c r="I4" t="s">
        <v>966</v>
      </c>
      <c r="J4" t="s">
        <v>479</v>
      </c>
      <c r="K4">
        <v>360</v>
      </c>
      <c r="L4">
        <v>4</v>
      </c>
      <c r="M4">
        <v>39.5</v>
      </c>
      <c r="N4" t="s">
        <v>21</v>
      </c>
      <c r="O4">
        <v>0</v>
      </c>
      <c r="P4">
        <v>3</v>
      </c>
      <c r="Q4">
        <v>448</v>
      </c>
      <c r="R4">
        <v>6636</v>
      </c>
      <c r="S4">
        <v>20.88</v>
      </c>
      <c r="T4">
        <v>39.5</v>
      </c>
      <c r="U4">
        <v>58</v>
      </c>
      <c r="V4">
        <v>681.0344827586207</v>
      </c>
      <c r="W4" t="s">
        <v>1153</v>
      </c>
      <c r="X4" t="s">
        <v>1087</v>
      </c>
      <c r="Y4">
        <v>36</v>
      </c>
      <c r="Z4">
        <v>2</v>
      </c>
      <c r="AA4">
        <v>60</v>
      </c>
    </row>
    <row r="5" spans="1:27" x14ac:dyDescent="0.3">
      <c r="A5" s="15">
        <v>44483.699780092589</v>
      </c>
      <c r="B5" t="s">
        <v>13</v>
      </c>
      <c r="C5" t="s">
        <v>1060</v>
      </c>
      <c r="D5" s="2">
        <v>44442</v>
      </c>
      <c r="E5" t="s">
        <v>1082</v>
      </c>
      <c r="F5" t="s">
        <v>41</v>
      </c>
      <c r="G5" t="s">
        <v>940</v>
      </c>
      <c r="H5" t="s">
        <v>48</v>
      </c>
      <c r="I5" t="s">
        <v>966</v>
      </c>
      <c r="J5" t="s">
        <v>478</v>
      </c>
      <c r="K5">
        <v>835</v>
      </c>
      <c r="L5">
        <v>7</v>
      </c>
      <c r="M5">
        <v>96</v>
      </c>
      <c r="N5" t="s">
        <v>21</v>
      </c>
      <c r="O5">
        <v>0</v>
      </c>
      <c r="P5">
        <v>6</v>
      </c>
      <c r="Q5">
        <v>448</v>
      </c>
      <c r="R5">
        <v>6636</v>
      </c>
      <c r="S5">
        <v>48.43</v>
      </c>
      <c r="T5">
        <v>96</v>
      </c>
      <c r="U5">
        <v>58</v>
      </c>
      <c r="V5">
        <v>1655.1724137931035</v>
      </c>
      <c r="W5" t="s">
        <v>1153</v>
      </c>
      <c r="X5" t="s">
        <v>1087</v>
      </c>
      <c r="Y5">
        <v>36</v>
      </c>
      <c r="Z5">
        <v>2</v>
      </c>
      <c r="AA5">
        <v>139.16666666666666</v>
      </c>
    </row>
    <row r="6" spans="1:27" x14ac:dyDescent="0.3">
      <c r="A6" s="15">
        <v>44483.700555555559</v>
      </c>
      <c r="B6" t="s">
        <v>13</v>
      </c>
      <c r="C6" t="s">
        <v>1060</v>
      </c>
      <c r="D6" s="2">
        <v>44443</v>
      </c>
      <c r="E6" t="s">
        <v>1114</v>
      </c>
      <c r="F6" t="s">
        <v>41</v>
      </c>
      <c r="G6" t="s">
        <v>940</v>
      </c>
      <c r="H6" t="s">
        <v>48</v>
      </c>
      <c r="I6" t="s">
        <v>966</v>
      </c>
      <c r="J6" t="s">
        <v>479</v>
      </c>
      <c r="K6">
        <v>626</v>
      </c>
      <c r="L6">
        <v>7</v>
      </c>
      <c r="M6">
        <v>68.8</v>
      </c>
      <c r="N6" t="s">
        <v>21</v>
      </c>
      <c r="O6">
        <v>0</v>
      </c>
      <c r="P6">
        <v>3</v>
      </c>
      <c r="Q6">
        <v>448</v>
      </c>
      <c r="R6">
        <v>6637</v>
      </c>
      <c r="S6">
        <v>36.308</v>
      </c>
      <c r="T6">
        <v>68.8</v>
      </c>
      <c r="U6">
        <v>58</v>
      </c>
      <c r="V6">
        <v>1186.2068965517242</v>
      </c>
      <c r="W6" t="s">
        <v>1153</v>
      </c>
      <c r="X6" t="s">
        <v>1087</v>
      </c>
      <c r="Y6">
        <v>36</v>
      </c>
      <c r="Z6">
        <v>2</v>
      </c>
      <c r="AA6">
        <v>104.33333333333333</v>
      </c>
    </row>
    <row r="7" spans="1:27" x14ac:dyDescent="0.3">
      <c r="A7" s="15">
        <v>44483.727407407408</v>
      </c>
      <c r="B7" t="s">
        <v>13</v>
      </c>
      <c r="C7" t="s">
        <v>1060</v>
      </c>
      <c r="D7" s="2">
        <v>44451</v>
      </c>
      <c r="E7" t="s">
        <v>1033</v>
      </c>
      <c r="F7" t="s">
        <v>41</v>
      </c>
      <c r="G7" t="s">
        <v>940</v>
      </c>
      <c r="H7" t="s">
        <v>48</v>
      </c>
      <c r="I7" t="s">
        <v>1023</v>
      </c>
      <c r="J7" t="s">
        <v>150</v>
      </c>
      <c r="K7">
        <v>706</v>
      </c>
      <c r="L7">
        <v>8</v>
      </c>
      <c r="M7">
        <v>121.08</v>
      </c>
      <c r="N7" t="s">
        <v>21</v>
      </c>
      <c r="O7">
        <v>0</v>
      </c>
      <c r="P7">
        <v>23</v>
      </c>
      <c r="Q7">
        <v>448</v>
      </c>
      <c r="R7">
        <v>6640</v>
      </c>
      <c r="S7">
        <v>60.716000000000001</v>
      </c>
      <c r="T7">
        <v>121.08</v>
      </c>
      <c r="U7">
        <v>86</v>
      </c>
      <c r="V7">
        <v>1407.9069767441861</v>
      </c>
      <c r="W7" t="s">
        <v>1153</v>
      </c>
      <c r="X7" t="s">
        <v>1087</v>
      </c>
      <c r="Y7">
        <v>37</v>
      </c>
      <c r="Z7">
        <v>2</v>
      </c>
      <c r="AA7">
        <v>117.66666666666667</v>
      </c>
    </row>
    <row r="8" spans="1:27" x14ac:dyDescent="0.3">
      <c r="A8" s="15">
        <v>44483.728993055556</v>
      </c>
      <c r="B8" t="s">
        <v>13</v>
      </c>
      <c r="C8" t="s">
        <v>1060</v>
      </c>
      <c r="D8" s="2">
        <v>44452</v>
      </c>
      <c r="E8" t="s">
        <v>1082</v>
      </c>
      <c r="F8" t="s">
        <v>41</v>
      </c>
      <c r="G8" t="s">
        <v>940</v>
      </c>
      <c r="H8" t="s">
        <v>48</v>
      </c>
      <c r="I8" t="s">
        <v>1023</v>
      </c>
      <c r="J8" t="s">
        <v>151</v>
      </c>
      <c r="K8">
        <v>65</v>
      </c>
      <c r="L8">
        <v>1</v>
      </c>
      <c r="M8">
        <v>11.8</v>
      </c>
      <c r="N8" t="s">
        <v>21</v>
      </c>
      <c r="O8">
        <v>0</v>
      </c>
      <c r="P8">
        <v>0</v>
      </c>
      <c r="Q8">
        <v>443</v>
      </c>
      <c r="R8">
        <v>6641</v>
      </c>
      <c r="S8">
        <v>5.59</v>
      </c>
      <c r="T8">
        <v>11.8</v>
      </c>
      <c r="U8">
        <v>86</v>
      </c>
      <c r="V8">
        <v>137.2093023255814</v>
      </c>
      <c r="W8" t="s">
        <v>1153</v>
      </c>
      <c r="X8" t="s">
        <v>1087</v>
      </c>
      <c r="Y8">
        <v>38</v>
      </c>
      <c r="Z8">
        <v>2</v>
      </c>
      <c r="AA8">
        <v>10.833333333333334</v>
      </c>
    </row>
    <row r="9" spans="1:27" x14ac:dyDescent="0.3">
      <c r="A9" s="15">
        <v>44483.728530092594</v>
      </c>
      <c r="B9" t="s">
        <v>13</v>
      </c>
      <c r="C9" t="s">
        <v>1060</v>
      </c>
      <c r="D9" s="2">
        <v>44452</v>
      </c>
      <c r="E9" t="s">
        <v>1082</v>
      </c>
      <c r="F9" t="s">
        <v>41</v>
      </c>
      <c r="G9" t="s">
        <v>940</v>
      </c>
      <c r="H9" t="s">
        <v>48</v>
      </c>
      <c r="I9" t="s">
        <v>1023</v>
      </c>
      <c r="J9" t="s">
        <v>151</v>
      </c>
      <c r="K9">
        <v>674</v>
      </c>
      <c r="L9">
        <v>8</v>
      </c>
      <c r="M9">
        <v>115.93</v>
      </c>
      <c r="N9" t="s">
        <v>21</v>
      </c>
      <c r="O9">
        <v>0</v>
      </c>
      <c r="P9">
        <v>18</v>
      </c>
      <c r="Q9">
        <v>443</v>
      </c>
      <c r="R9">
        <v>6641</v>
      </c>
      <c r="S9">
        <v>57.963999999999999</v>
      </c>
      <c r="T9">
        <v>115.93</v>
      </c>
      <c r="U9">
        <v>86</v>
      </c>
      <c r="V9">
        <v>1348.0232558139535</v>
      </c>
      <c r="W9" t="s">
        <v>1153</v>
      </c>
      <c r="X9" t="s">
        <v>1087</v>
      </c>
      <c r="Y9">
        <v>38</v>
      </c>
      <c r="Z9">
        <v>2</v>
      </c>
      <c r="AA9">
        <v>112.33333333333333</v>
      </c>
    </row>
    <row r="10" spans="1:27" x14ac:dyDescent="0.3">
      <c r="A10" s="15">
        <v>44483.737511574072</v>
      </c>
      <c r="B10" t="s">
        <v>13</v>
      </c>
      <c r="C10" t="s">
        <v>1060</v>
      </c>
      <c r="D10" s="2">
        <v>44453</v>
      </c>
      <c r="E10" t="s">
        <v>1082</v>
      </c>
      <c r="F10" t="s">
        <v>41</v>
      </c>
      <c r="G10" t="s">
        <v>940</v>
      </c>
      <c r="H10" t="s">
        <v>48</v>
      </c>
      <c r="I10" t="s">
        <v>1023</v>
      </c>
      <c r="J10" t="s">
        <v>149</v>
      </c>
      <c r="K10">
        <v>655</v>
      </c>
      <c r="L10">
        <v>8</v>
      </c>
      <c r="M10">
        <v>112.6</v>
      </c>
      <c r="N10" t="s">
        <v>21</v>
      </c>
      <c r="O10">
        <v>0</v>
      </c>
      <c r="P10">
        <v>21</v>
      </c>
      <c r="Q10">
        <v>443</v>
      </c>
      <c r="R10">
        <v>6643</v>
      </c>
      <c r="S10">
        <v>56.33</v>
      </c>
      <c r="T10">
        <v>112.6</v>
      </c>
      <c r="U10">
        <v>86</v>
      </c>
      <c r="V10">
        <v>1309.3023255813953</v>
      </c>
      <c r="W10" t="s">
        <v>1153</v>
      </c>
      <c r="X10" t="s">
        <v>1087</v>
      </c>
      <c r="Y10">
        <v>38</v>
      </c>
      <c r="Z10">
        <v>2</v>
      </c>
      <c r="AA10">
        <v>109.16666666666667</v>
      </c>
    </row>
    <row r="11" spans="1:27" x14ac:dyDescent="0.3">
      <c r="A11" s="15">
        <v>44483.738159722219</v>
      </c>
      <c r="B11" t="s">
        <v>13</v>
      </c>
      <c r="C11" t="s">
        <v>1060</v>
      </c>
      <c r="D11" s="2">
        <v>44454</v>
      </c>
      <c r="E11" t="s">
        <v>1114</v>
      </c>
      <c r="F11" t="s">
        <v>41</v>
      </c>
      <c r="G11" t="s">
        <v>940</v>
      </c>
      <c r="H11" t="s">
        <v>48</v>
      </c>
      <c r="I11" t="s">
        <v>1023</v>
      </c>
      <c r="J11" t="s">
        <v>150</v>
      </c>
      <c r="K11">
        <v>246</v>
      </c>
      <c r="L11">
        <v>4</v>
      </c>
      <c r="M11">
        <v>44.38</v>
      </c>
      <c r="N11" t="s">
        <v>21</v>
      </c>
      <c r="O11">
        <v>0</v>
      </c>
      <c r="P11">
        <v>8</v>
      </c>
      <c r="Q11">
        <v>443</v>
      </c>
      <c r="R11">
        <v>6644</v>
      </c>
      <c r="S11">
        <v>21.155999999999999</v>
      </c>
      <c r="T11">
        <v>44.38</v>
      </c>
      <c r="U11">
        <v>86</v>
      </c>
      <c r="V11">
        <v>516.04651162790697</v>
      </c>
      <c r="W11" t="s">
        <v>1153</v>
      </c>
      <c r="X11" t="s">
        <v>1087</v>
      </c>
      <c r="Y11">
        <v>38</v>
      </c>
      <c r="Z11">
        <v>2</v>
      </c>
      <c r="AA11">
        <v>41</v>
      </c>
    </row>
    <row r="12" spans="1:27" x14ac:dyDescent="0.3">
      <c r="A12" s="15">
        <v>44483.739224537036</v>
      </c>
      <c r="B12" t="s">
        <v>13</v>
      </c>
      <c r="C12" t="s">
        <v>1060</v>
      </c>
      <c r="D12" s="2">
        <v>44456</v>
      </c>
      <c r="E12" t="s">
        <v>1082</v>
      </c>
      <c r="F12" t="s">
        <v>41</v>
      </c>
      <c r="G12" t="s">
        <v>940</v>
      </c>
      <c r="H12" t="s">
        <v>48</v>
      </c>
      <c r="I12" t="s">
        <v>1023</v>
      </c>
      <c r="J12" t="s">
        <v>148</v>
      </c>
      <c r="K12">
        <v>49</v>
      </c>
      <c r="L12">
        <v>1</v>
      </c>
      <c r="M12">
        <v>8.43</v>
      </c>
      <c r="N12" t="s">
        <v>21</v>
      </c>
      <c r="O12">
        <v>0</v>
      </c>
      <c r="P12">
        <v>2</v>
      </c>
      <c r="Q12">
        <v>443</v>
      </c>
      <c r="R12">
        <v>6645</v>
      </c>
      <c r="S12">
        <v>4.2140000000000004</v>
      </c>
      <c r="T12">
        <v>8.43</v>
      </c>
      <c r="U12">
        <v>86</v>
      </c>
      <c r="V12">
        <v>98.023255813953483</v>
      </c>
      <c r="W12" t="s">
        <v>1153</v>
      </c>
      <c r="X12" t="s">
        <v>1087</v>
      </c>
      <c r="Y12">
        <v>38</v>
      </c>
      <c r="Z12">
        <v>2</v>
      </c>
      <c r="AA12">
        <v>8.1666666666666661</v>
      </c>
    </row>
    <row r="13" spans="1:27" x14ac:dyDescent="0.3">
      <c r="A13" s="15">
        <v>44483.738969907405</v>
      </c>
      <c r="B13" t="s">
        <v>13</v>
      </c>
      <c r="C13" t="s">
        <v>1060</v>
      </c>
      <c r="D13" s="2">
        <v>44456</v>
      </c>
      <c r="E13" t="s">
        <v>1082</v>
      </c>
      <c r="F13" t="s">
        <v>41</v>
      </c>
      <c r="G13" t="s">
        <v>940</v>
      </c>
      <c r="H13" t="s">
        <v>48</v>
      </c>
      <c r="I13" t="s">
        <v>1023</v>
      </c>
      <c r="J13" t="s">
        <v>150</v>
      </c>
      <c r="K13">
        <v>642</v>
      </c>
      <c r="L13">
        <v>7</v>
      </c>
      <c r="M13">
        <v>110.42</v>
      </c>
      <c r="N13" t="s">
        <v>21</v>
      </c>
      <c r="O13">
        <v>0</v>
      </c>
      <c r="P13">
        <v>19</v>
      </c>
      <c r="Q13">
        <v>443</v>
      </c>
      <c r="R13">
        <v>6645</v>
      </c>
      <c r="S13">
        <v>55.212000000000003</v>
      </c>
      <c r="T13">
        <v>110.42</v>
      </c>
      <c r="U13">
        <v>86</v>
      </c>
      <c r="V13">
        <v>1283.953488372093</v>
      </c>
      <c r="W13" t="s">
        <v>1153</v>
      </c>
      <c r="X13" t="s">
        <v>1087</v>
      </c>
      <c r="Y13">
        <v>38</v>
      </c>
      <c r="Z13">
        <v>2</v>
      </c>
      <c r="AA13">
        <v>107</v>
      </c>
    </row>
    <row r="14" spans="1:27" x14ac:dyDescent="0.3">
      <c r="A14" s="15">
        <v>44483.741261574076</v>
      </c>
      <c r="B14" t="s">
        <v>13</v>
      </c>
      <c r="C14" t="s">
        <v>1060</v>
      </c>
      <c r="D14" s="2">
        <v>44457</v>
      </c>
      <c r="E14" t="s">
        <v>1105</v>
      </c>
      <c r="F14" t="s">
        <v>41</v>
      </c>
      <c r="G14" t="s">
        <v>940</v>
      </c>
      <c r="H14" t="s">
        <v>48</v>
      </c>
      <c r="I14" t="s">
        <v>1023</v>
      </c>
      <c r="J14" t="s">
        <v>148</v>
      </c>
      <c r="K14">
        <v>590</v>
      </c>
      <c r="L14">
        <v>8</v>
      </c>
      <c r="M14">
        <v>101.48</v>
      </c>
      <c r="N14" t="s">
        <v>21</v>
      </c>
      <c r="O14">
        <v>0</v>
      </c>
      <c r="P14">
        <v>18</v>
      </c>
      <c r="Q14">
        <v>443</v>
      </c>
      <c r="R14">
        <v>6646</v>
      </c>
      <c r="S14">
        <v>50.74</v>
      </c>
      <c r="T14">
        <v>101.48</v>
      </c>
      <c r="U14">
        <v>86</v>
      </c>
      <c r="V14">
        <v>1180</v>
      </c>
      <c r="W14" t="s">
        <v>1153</v>
      </c>
      <c r="X14" t="s">
        <v>1087</v>
      </c>
      <c r="Y14">
        <v>38</v>
      </c>
      <c r="Z14">
        <v>2</v>
      </c>
      <c r="AA14">
        <v>98.333333333333329</v>
      </c>
    </row>
    <row r="15" spans="1:27" x14ac:dyDescent="0.3">
      <c r="A15" s="15">
        <v>44483.740740740737</v>
      </c>
      <c r="B15" t="s">
        <v>13</v>
      </c>
      <c r="C15" t="s">
        <v>1060</v>
      </c>
      <c r="D15" s="2">
        <v>44457</v>
      </c>
      <c r="E15" t="s">
        <v>1105</v>
      </c>
      <c r="F15" t="s">
        <v>41</v>
      </c>
      <c r="G15" t="s">
        <v>940</v>
      </c>
      <c r="H15" t="s">
        <v>48</v>
      </c>
      <c r="I15" t="s">
        <v>1023</v>
      </c>
      <c r="J15" t="s">
        <v>151</v>
      </c>
      <c r="K15">
        <v>172</v>
      </c>
      <c r="L15">
        <v>2</v>
      </c>
      <c r="M15">
        <v>29.58</v>
      </c>
      <c r="N15" t="s">
        <v>21</v>
      </c>
      <c r="O15">
        <v>0</v>
      </c>
      <c r="P15">
        <v>5</v>
      </c>
      <c r="Q15">
        <v>443</v>
      </c>
      <c r="R15">
        <v>6646</v>
      </c>
      <c r="S15">
        <v>14.792</v>
      </c>
      <c r="T15">
        <v>29.58</v>
      </c>
      <c r="U15">
        <v>86</v>
      </c>
      <c r="V15">
        <v>343.95348837209303</v>
      </c>
      <c r="W15" t="s">
        <v>1153</v>
      </c>
      <c r="X15" t="s">
        <v>1087</v>
      </c>
      <c r="Y15">
        <v>38</v>
      </c>
      <c r="Z15">
        <v>2</v>
      </c>
      <c r="AA15">
        <v>28.666666666666668</v>
      </c>
    </row>
    <row r="16" spans="1:27" x14ac:dyDescent="0.3">
      <c r="A16" s="15">
        <v>44483.7425</v>
      </c>
      <c r="B16" t="s">
        <v>13</v>
      </c>
      <c r="C16" t="s">
        <v>1060</v>
      </c>
      <c r="D16" s="2">
        <v>44459</v>
      </c>
      <c r="E16" t="s">
        <v>1082</v>
      </c>
      <c r="F16" t="s">
        <v>41</v>
      </c>
      <c r="G16" t="s">
        <v>940</v>
      </c>
      <c r="H16" t="s">
        <v>48</v>
      </c>
      <c r="I16" t="s">
        <v>1023</v>
      </c>
      <c r="J16" t="s">
        <v>149</v>
      </c>
      <c r="K16">
        <v>238</v>
      </c>
      <c r="L16">
        <v>3</v>
      </c>
      <c r="M16">
        <v>40.94</v>
      </c>
      <c r="N16" t="s">
        <v>21</v>
      </c>
      <c r="O16">
        <v>0</v>
      </c>
      <c r="P16">
        <v>1</v>
      </c>
      <c r="Q16">
        <v>443</v>
      </c>
      <c r="R16">
        <v>6647</v>
      </c>
      <c r="S16">
        <v>20.468</v>
      </c>
      <c r="T16">
        <v>40.94</v>
      </c>
      <c r="U16">
        <v>86</v>
      </c>
      <c r="V16">
        <v>476.04651162790697</v>
      </c>
      <c r="W16" t="s">
        <v>1153</v>
      </c>
      <c r="X16" t="s">
        <v>1087</v>
      </c>
      <c r="Y16">
        <v>39</v>
      </c>
      <c r="Z16">
        <v>2</v>
      </c>
      <c r="AA16">
        <v>39.666666666666664</v>
      </c>
    </row>
    <row r="17" spans="1:27" x14ac:dyDescent="0.3">
      <c r="A17" s="15">
        <v>44483.743773148148</v>
      </c>
      <c r="B17" t="s">
        <v>13</v>
      </c>
      <c r="C17" t="s">
        <v>1060</v>
      </c>
      <c r="D17" s="2">
        <v>44460</v>
      </c>
      <c r="E17" t="s">
        <v>1090</v>
      </c>
      <c r="F17" t="s">
        <v>41</v>
      </c>
      <c r="G17" t="s">
        <v>940</v>
      </c>
      <c r="H17" t="s">
        <v>48</v>
      </c>
      <c r="I17" t="s">
        <v>1009</v>
      </c>
      <c r="J17" t="s">
        <v>596</v>
      </c>
      <c r="K17">
        <v>760</v>
      </c>
      <c r="L17">
        <v>10</v>
      </c>
      <c r="M17">
        <v>36.5</v>
      </c>
      <c r="N17" t="s">
        <v>21</v>
      </c>
      <c r="O17">
        <v>0</v>
      </c>
      <c r="P17">
        <v>2</v>
      </c>
      <c r="Q17">
        <v>443</v>
      </c>
      <c r="R17">
        <v>6648</v>
      </c>
      <c r="S17">
        <v>9.3480000000000008</v>
      </c>
      <c r="T17">
        <v>36.5</v>
      </c>
      <c r="U17">
        <v>12.3</v>
      </c>
      <c r="V17">
        <v>2967.479674796748</v>
      </c>
      <c r="W17" t="s">
        <v>1153</v>
      </c>
      <c r="X17" t="s">
        <v>1087</v>
      </c>
      <c r="Y17">
        <v>39</v>
      </c>
      <c r="Z17">
        <v>3</v>
      </c>
      <c r="AA17">
        <v>190</v>
      </c>
    </row>
    <row r="18" spans="1:27" x14ac:dyDescent="0.3">
      <c r="A18" s="15">
        <v>44483.745034722226</v>
      </c>
      <c r="B18" t="s">
        <v>13</v>
      </c>
      <c r="C18" t="s">
        <v>1060</v>
      </c>
      <c r="D18" s="2">
        <v>44461</v>
      </c>
      <c r="E18" t="s">
        <v>1090</v>
      </c>
      <c r="F18" t="s">
        <v>41</v>
      </c>
      <c r="G18" t="s">
        <v>940</v>
      </c>
      <c r="H18" t="s">
        <v>48</v>
      </c>
      <c r="I18" t="s">
        <v>1009</v>
      </c>
      <c r="J18" t="s">
        <v>599</v>
      </c>
      <c r="K18">
        <v>170</v>
      </c>
      <c r="L18">
        <v>2</v>
      </c>
      <c r="M18">
        <v>8.1999999999999993</v>
      </c>
      <c r="N18" t="s">
        <v>21</v>
      </c>
      <c r="O18">
        <v>0</v>
      </c>
      <c r="P18">
        <v>1</v>
      </c>
      <c r="Q18">
        <v>443</v>
      </c>
      <c r="R18">
        <v>6649</v>
      </c>
      <c r="S18">
        <v>2.0910000000000002</v>
      </c>
      <c r="T18">
        <v>8.1999999999999993</v>
      </c>
      <c r="U18">
        <v>12.3</v>
      </c>
      <c r="V18">
        <v>666.66666666666663</v>
      </c>
      <c r="W18" t="s">
        <v>1153</v>
      </c>
      <c r="X18" t="s">
        <v>1087</v>
      </c>
      <c r="Y18">
        <v>39</v>
      </c>
      <c r="Z18">
        <v>3</v>
      </c>
      <c r="AA18">
        <v>42.5</v>
      </c>
    </row>
    <row r="19" spans="1:27" x14ac:dyDescent="0.3">
      <c r="A19" s="15">
        <v>44483.744328703702</v>
      </c>
      <c r="B19" t="s">
        <v>13</v>
      </c>
      <c r="C19" t="s">
        <v>1060</v>
      </c>
      <c r="D19" s="2">
        <v>44461</v>
      </c>
      <c r="E19" t="s">
        <v>1090</v>
      </c>
      <c r="F19" t="s">
        <v>41</v>
      </c>
      <c r="G19" t="s">
        <v>940</v>
      </c>
      <c r="H19" t="s">
        <v>48</v>
      </c>
      <c r="I19" t="s">
        <v>1009</v>
      </c>
      <c r="J19" t="s">
        <v>596</v>
      </c>
      <c r="K19">
        <v>393</v>
      </c>
      <c r="L19">
        <v>4</v>
      </c>
      <c r="M19">
        <v>19.600000000000001</v>
      </c>
      <c r="N19" t="s">
        <v>21</v>
      </c>
      <c r="O19">
        <v>0</v>
      </c>
      <c r="P19">
        <v>2</v>
      </c>
      <c r="Q19">
        <v>443</v>
      </c>
      <c r="R19">
        <v>6649</v>
      </c>
      <c r="S19">
        <v>4.8339000000000008</v>
      </c>
      <c r="T19">
        <v>19.600000000000001</v>
      </c>
      <c r="U19">
        <v>12.3</v>
      </c>
      <c r="V19">
        <v>1593.4959349593496</v>
      </c>
      <c r="W19" t="s">
        <v>1153</v>
      </c>
      <c r="X19" t="s">
        <v>1087</v>
      </c>
      <c r="Y19">
        <v>39</v>
      </c>
      <c r="Z19">
        <v>3</v>
      </c>
      <c r="AA19">
        <v>98.25</v>
      </c>
    </row>
    <row r="20" spans="1:27" x14ac:dyDescent="0.3">
      <c r="A20" s="15">
        <v>44483.751805555556</v>
      </c>
      <c r="B20" t="s">
        <v>13</v>
      </c>
      <c r="C20" t="s">
        <v>1060</v>
      </c>
      <c r="D20" s="2">
        <v>44462</v>
      </c>
      <c r="E20" t="s">
        <v>1082</v>
      </c>
      <c r="F20" t="s">
        <v>41</v>
      </c>
      <c r="G20" t="s">
        <v>940</v>
      </c>
      <c r="H20" t="s">
        <v>48</v>
      </c>
      <c r="I20" t="s">
        <v>1009</v>
      </c>
      <c r="J20" t="s">
        <v>598</v>
      </c>
      <c r="K20">
        <v>52</v>
      </c>
      <c r="L20">
        <v>1</v>
      </c>
      <c r="M20">
        <v>2.5</v>
      </c>
      <c r="N20" t="s">
        <v>21</v>
      </c>
      <c r="O20">
        <v>0</v>
      </c>
      <c r="P20">
        <v>1</v>
      </c>
      <c r="Q20">
        <v>443</v>
      </c>
      <c r="R20">
        <v>6650</v>
      </c>
      <c r="S20">
        <v>0.63960000000000006</v>
      </c>
      <c r="T20">
        <v>2.5</v>
      </c>
      <c r="U20">
        <v>12.3</v>
      </c>
      <c r="V20">
        <v>203.2520325203252</v>
      </c>
      <c r="W20" t="s">
        <v>1153</v>
      </c>
      <c r="X20" t="s">
        <v>1087</v>
      </c>
      <c r="Y20">
        <v>39</v>
      </c>
      <c r="Z20">
        <v>3</v>
      </c>
      <c r="AA20">
        <v>13</v>
      </c>
    </row>
    <row r="21" spans="1:27" x14ac:dyDescent="0.3">
      <c r="A21" s="15">
        <v>44483.751331018517</v>
      </c>
      <c r="B21" t="s">
        <v>13</v>
      </c>
      <c r="C21" t="s">
        <v>1060</v>
      </c>
      <c r="D21" s="2">
        <v>44462</v>
      </c>
      <c r="E21" t="s">
        <v>1082</v>
      </c>
      <c r="F21" t="s">
        <v>41</v>
      </c>
      <c r="G21" t="s">
        <v>940</v>
      </c>
      <c r="H21" t="s">
        <v>48</v>
      </c>
      <c r="I21" t="s">
        <v>1009</v>
      </c>
      <c r="J21" t="s">
        <v>599</v>
      </c>
      <c r="K21">
        <v>920</v>
      </c>
      <c r="L21">
        <v>10</v>
      </c>
      <c r="M21">
        <v>44.2</v>
      </c>
      <c r="N21" t="s">
        <v>21</v>
      </c>
      <c r="O21">
        <v>0</v>
      </c>
      <c r="P21">
        <v>3</v>
      </c>
      <c r="Q21">
        <v>443</v>
      </c>
      <c r="R21">
        <v>6650</v>
      </c>
      <c r="S21">
        <v>11.316000000000001</v>
      </c>
      <c r="T21">
        <v>44.2</v>
      </c>
      <c r="U21">
        <v>12.3</v>
      </c>
      <c r="V21">
        <v>3593.4959349593496</v>
      </c>
      <c r="W21" t="s">
        <v>1153</v>
      </c>
      <c r="X21" t="s">
        <v>1087</v>
      </c>
      <c r="Y21">
        <v>39</v>
      </c>
      <c r="Z21">
        <v>3</v>
      </c>
      <c r="AA21">
        <v>230</v>
      </c>
    </row>
    <row r="22" spans="1:27" x14ac:dyDescent="0.3">
      <c r="A22" s="15">
        <v>44484.685358796298</v>
      </c>
      <c r="B22" t="s">
        <v>13</v>
      </c>
      <c r="C22" t="s">
        <v>1060</v>
      </c>
      <c r="D22" s="2">
        <v>44463</v>
      </c>
      <c r="E22" t="s">
        <v>1090</v>
      </c>
      <c r="F22" t="s">
        <v>41</v>
      </c>
      <c r="G22" t="s">
        <v>940</v>
      </c>
      <c r="H22" t="s">
        <v>48</v>
      </c>
      <c r="I22" t="s">
        <v>1009</v>
      </c>
      <c r="J22" t="s">
        <v>600</v>
      </c>
      <c r="K22">
        <v>743</v>
      </c>
      <c r="L22">
        <v>6</v>
      </c>
      <c r="M22">
        <v>27.5</v>
      </c>
      <c r="N22" t="s">
        <v>21</v>
      </c>
      <c r="O22">
        <v>0</v>
      </c>
      <c r="P22">
        <v>2</v>
      </c>
      <c r="Q22">
        <v>443</v>
      </c>
      <c r="R22">
        <v>6651</v>
      </c>
      <c r="S22">
        <v>9.1388999999999996</v>
      </c>
      <c r="T22">
        <v>27.5</v>
      </c>
      <c r="U22">
        <v>12.3</v>
      </c>
      <c r="V22">
        <v>2235.772357723577</v>
      </c>
      <c r="W22" t="s">
        <v>1153</v>
      </c>
      <c r="X22" t="s">
        <v>1087</v>
      </c>
      <c r="Y22">
        <v>39</v>
      </c>
      <c r="Z22">
        <v>3</v>
      </c>
      <c r="AA22">
        <v>185.75</v>
      </c>
    </row>
    <row r="23" spans="1:27" x14ac:dyDescent="0.3">
      <c r="A23" s="15">
        <v>44484.684791666667</v>
      </c>
      <c r="B23" t="s">
        <v>13</v>
      </c>
      <c r="C23" t="s">
        <v>1060</v>
      </c>
      <c r="D23" s="2">
        <v>44463</v>
      </c>
      <c r="E23" t="s">
        <v>1090</v>
      </c>
      <c r="F23" t="s">
        <v>41</v>
      </c>
      <c r="G23" t="s">
        <v>940</v>
      </c>
      <c r="H23" t="s">
        <v>48</v>
      </c>
      <c r="I23" t="s">
        <v>1009</v>
      </c>
      <c r="J23" t="s">
        <v>598</v>
      </c>
      <c r="K23">
        <v>400</v>
      </c>
      <c r="L23">
        <v>5</v>
      </c>
      <c r="M23">
        <v>14.8</v>
      </c>
      <c r="N23" t="s">
        <v>21</v>
      </c>
      <c r="O23">
        <v>0</v>
      </c>
      <c r="P23">
        <v>2</v>
      </c>
      <c r="Q23">
        <v>443</v>
      </c>
      <c r="R23">
        <v>6651</v>
      </c>
      <c r="S23">
        <v>4.92</v>
      </c>
      <c r="T23">
        <v>14.8</v>
      </c>
      <c r="U23">
        <v>12.3</v>
      </c>
      <c r="V23">
        <v>1203.2520325203252</v>
      </c>
      <c r="W23" t="s">
        <v>1153</v>
      </c>
      <c r="X23" t="s">
        <v>1087</v>
      </c>
      <c r="Y23">
        <v>39</v>
      </c>
      <c r="Z23">
        <v>3</v>
      </c>
      <c r="AA23">
        <v>100</v>
      </c>
    </row>
    <row r="24" spans="1:27" x14ac:dyDescent="0.3">
      <c r="A24" s="15">
        <v>44484.686620370368</v>
      </c>
      <c r="B24" t="s">
        <v>13</v>
      </c>
      <c r="C24" t="s">
        <v>1060</v>
      </c>
      <c r="D24" s="2">
        <v>44464</v>
      </c>
      <c r="E24" t="s">
        <v>1090</v>
      </c>
      <c r="F24" t="s">
        <v>41</v>
      </c>
      <c r="G24" t="s">
        <v>940</v>
      </c>
      <c r="H24" t="s">
        <v>48</v>
      </c>
      <c r="I24" t="s">
        <v>1009</v>
      </c>
      <c r="J24" t="s">
        <v>600</v>
      </c>
      <c r="K24">
        <v>727</v>
      </c>
      <c r="L24">
        <v>8</v>
      </c>
      <c r="M24">
        <v>26.9</v>
      </c>
      <c r="N24" t="s">
        <v>21</v>
      </c>
      <c r="O24">
        <v>0</v>
      </c>
      <c r="P24">
        <v>2</v>
      </c>
      <c r="Q24">
        <v>443</v>
      </c>
      <c r="R24">
        <v>6652</v>
      </c>
      <c r="S24">
        <v>8.9420999999999999</v>
      </c>
      <c r="T24">
        <v>26.9</v>
      </c>
      <c r="U24">
        <v>12.3</v>
      </c>
      <c r="V24">
        <v>2186.9918699186992</v>
      </c>
      <c r="W24" t="s">
        <v>1153</v>
      </c>
      <c r="X24" t="s">
        <v>1087</v>
      </c>
      <c r="Y24">
        <v>39</v>
      </c>
      <c r="Z24">
        <v>3</v>
      </c>
      <c r="AA24">
        <v>181.75</v>
      </c>
    </row>
    <row r="25" spans="1:27" x14ac:dyDescent="0.3">
      <c r="A25" s="15">
        <v>44484.771909722222</v>
      </c>
      <c r="B25" t="s">
        <v>13</v>
      </c>
      <c r="C25" t="s">
        <v>952</v>
      </c>
      <c r="D25" s="2">
        <v>44443</v>
      </c>
      <c r="E25" t="s">
        <v>1082</v>
      </c>
      <c r="F25" t="s">
        <v>41</v>
      </c>
      <c r="G25" t="s">
        <v>943</v>
      </c>
      <c r="H25" t="s">
        <v>48</v>
      </c>
      <c r="I25" t="s">
        <v>960</v>
      </c>
      <c r="J25" t="s">
        <v>1154</v>
      </c>
      <c r="K25">
        <v>392</v>
      </c>
      <c r="L25">
        <v>5</v>
      </c>
      <c r="M25">
        <v>51.3</v>
      </c>
      <c r="N25" t="s">
        <v>21</v>
      </c>
      <c r="O25">
        <v>0</v>
      </c>
      <c r="P25">
        <v>0</v>
      </c>
      <c r="Q25">
        <v>456</v>
      </c>
      <c r="R25">
        <v>6845</v>
      </c>
      <c r="S25">
        <v>5.88</v>
      </c>
      <c r="T25">
        <v>51.3</v>
      </c>
      <c r="U25">
        <v>15</v>
      </c>
      <c r="V25">
        <v>3420</v>
      </c>
      <c r="W25" t="s">
        <v>1153</v>
      </c>
      <c r="X25" t="s">
        <v>1087</v>
      </c>
      <c r="Y25">
        <v>36</v>
      </c>
      <c r="Z25">
        <v>8</v>
      </c>
      <c r="AA25">
        <v>261.33333333333331</v>
      </c>
    </row>
    <row r="26" spans="1:27" x14ac:dyDescent="0.3">
      <c r="A26" s="15">
        <v>44484.773240740738</v>
      </c>
      <c r="B26" t="s">
        <v>13</v>
      </c>
      <c r="C26" t="s">
        <v>952</v>
      </c>
      <c r="D26" s="2">
        <v>44445</v>
      </c>
      <c r="E26" t="s">
        <v>1114</v>
      </c>
      <c r="F26" t="s">
        <v>41</v>
      </c>
      <c r="G26" t="s">
        <v>943</v>
      </c>
      <c r="H26" t="s">
        <v>48</v>
      </c>
      <c r="I26" t="s">
        <v>960</v>
      </c>
      <c r="J26" t="s">
        <v>432</v>
      </c>
      <c r="K26">
        <v>156</v>
      </c>
      <c r="L26">
        <v>2</v>
      </c>
      <c r="M26">
        <v>18.5</v>
      </c>
      <c r="N26" t="s">
        <v>21</v>
      </c>
      <c r="O26">
        <v>0</v>
      </c>
      <c r="P26">
        <v>0</v>
      </c>
      <c r="Q26">
        <v>456</v>
      </c>
      <c r="R26">
        <v>6846</v>
      </c>
      <c r="S26">
        <v>2.34</v>
      </c>
      <c r="T26">
        <v>18.5</v>
      </c>
      <c r="U26">
        <v>15</v>
      </c>
      <c r="V26">
        <v>1233.3333333333333</v>
      </c>
      <c r="W26" t="s">
        <v>1153</v>
      </c>
      <c r="X26" t="s">
        <v>1087</v>
      </c>
      <c r="Y26">
        <v>37</v>
      </c>
      <c r="Z26">
        <v>8</v>
      </c>
      <c r="AA26">
        <v>104</v>
      </c>
    </row>
    <row r="27" spans="1:27" x14ac:dyDescent="0.3">
      <c r="A27" s="15">
        <v>44484.772858796299</v>
      </c>
      <c r="B27" t="s">
        <v>13</v>
      </c>
      <c r="C27" t="s">
        <v>952</v>
      </c>
      <c r="D27" s="2">
        <v>44445</v>
      </c>
      <c r="E27" t="s">
        <v>1114</v>
      </c>
      <c r="F27" t="s">
        <v>41</v>
      </c>
      <c r="G27" t="s">
        <v>943</v>
      </c>
      <c r="H27" t="s">
        <v>48</v>
      </c>
      <c r="I27" t="s">
        <v>960</v>
      </c>
      <c r="J27" t="s">
        <v>434</v>
      </c>
      <c r="K27">
        <v>561</v>
      </c>
      <c r="L27">
        <v>7</v>
      </c>
      <c r="M27">
        <v>70.2</v>
      </c>
      <c r="N27" t="s">
        <v>21</v>
      </c>
      <c r="O27">
        <v>0</v>
      </c>
      <c r="P27">
        <v>0</v>
      </c>
      <c r="Q27">
        <v>456</v>
      </c>
      <c r="R27">
        <v>6846</v>
      </c>
      <c r="S27">
        <v>8.4149999999999991</v>
      </c>
      <c r="T27">
        <v>70.2</v>
      </c>
      <c r="U27">
        <v>15</v>
      </c>
      <c r="V27">
        <v>4680</v>
      </c>
      <c r="W27" t="s">
        <v>1153</v>
      </c>
      <c r="X27" t="s">
        <v>1087</v>
      </c>
      <c r="Y27">
        <v>37</v>
      </c>
      <c r="Z27">
        <v>8</v>
      </c>
      <c r="AA27">
        <v>374</v>
      </c>
    </row>
    <row r="28" spans="1:27" x14ac:dyDescent="0.3">
      <c r="A28" s="15">
        <v>44484.772418981483</v>
      </c>
      <c r="B28" t="s">
        <v>13</v>
      </c>
      <c r="C28" t="s">
        <v>952</v>
      </c>
      <c r="D28" s="2">
        <v>44445</v>
      </c>
      <c r="E28" t="s">
        <v>1114</v>
      </c>
      <c r="F28" t="s">
        <v>41</v>
      </c>
      <c r="G28" t="s">
        <v>943</v>
      </c>
      <c r="H28" t="s">
        <v>48</v>
      </c>
      <c r="I28" t="s">
        <v>960</v>
      </c>
      <c r="J28" t="s">
        <v>1154</v>
      </c>
      <c r="K28">
        <v>155</v>
      </c>
      <c r="L28">
        <v>3</v>
      </c>
      <c r="M28">
        <v>19.2</v>
      </c>
      <c r="N28" t="s">
        <v>21</v>
      </c>
      <c r="O28">
        <v>0</v>
      </c>
      <c r="P28">
        <v>0</v>
      </c>
      <c r="Q28">
        <v>456</v>
      </c>
      <c r="R28">
        <v>6846</v>
      </c>
      <c r="S28">
        <v>2.3250000000000002</v>
      </c>
      <c r="T28">
        <v>19.2</v>
      </c>
      <c r="U28">
        <v>15</v>
      </c>
      <c r="V28">
        <v>1280</v>
      </c>
      <c r="W28" t="s">
        <v>1153</v>
      </c>
      <c r="X28" t="s">
        <v>1087</v>
      </c>
      <c r="Y28">
        <v>37</v>
      </c>
      <c r="Z28">
        <v>8</v>
      </c>
      <c r="AA28">
        <v>103.33333333333333</v>
      </c>
    </row>
    <row r="29" spans="1:27" x14ac:dyDescent="0.3">
      <c r="A29" s="15">
        <v>44484.776006944441</v>
      </c>
      <c r="B29" t="s">
        <v>13</v>
      </c>
      <c r="C29" t="s">
        <v>952</v>
      </c>
      <c r="D29" s="2">
        <v>44446</v>
      </c>
      <c r="E29" t="s">
        <v>1114</v>
      </c>
      <c r="F29" t="s">
        <v>41</v>
      </c>
      <c r="G29" t="s">
        <v>943</v>
      </c>
      <c r="H29" t="s">
        <v>48</v>
      </c>
      <c r="I29" t="s">
        <v>960</v>
      </c>
      <c r="J29" t="s">
        <v>433</v>
      </c>
      <c r="K29">
        <v>794</v>
      </c>
      <c r="L29">
        <v>12</v>
      </c>
      <c r="M29">
        <v>100.6</v>
      </c>
      <c r="N29" t="s">
        <v>21</v>
      </c>
      <c r="O29">
        <v>0</v>
      </c>
      <c r="P29">
        <v>0</v>
      </c>
      <c r="Q29">
        <v>456</v>
      </c>
      <c r="R29">
        <v>6848</v>
      </c>
      <c r="S29">
        <v>11.91</v>
      </c>
      <c r="T29">
        <v>100.6</v>
      </c>
      <c r="U29">
        <v>15</v>
      </c>
      <c r="V29">
        <v>6706.666666666667</v>
      </c>
      <c r="W29" t="s">
        <v>1153</v>
      </c>
      <c r="X29" t="s">
        <v>1087</v>
      </c>
      <c r="Y29">
        <v>37</v>
      </c>
      <c r="Z29">
        <v>8</v>
      </c>
      <c r="AA29">
        <v>529.33333333333337</v>
      </c>
    </row>
    <row r="30" spans="1:27" x14ac:dyDescent="0.3">
      <c r="A30" s="15">
        <v>44484.77753472222</v>
      </c>
      <c r="B30" t="s">
        <v>13</v>
      </c>
      <c r="C30" t="s">
        <v>952</v>
      </c>
      <c r="D30" s="2">
        <v>44447</v>
      </c>
      <c r="E30" t="s">
        <v>1082</v>
      </c>
      <c r="F30" t="s">
        <v>41</v>
      </c>
      <c r="G30" t="s">
        <v>943</v>
      </c>
      <c r="H30" t="s">
        <v>48</v>
      </c>
      <c r="I30" t="s">
        <v>960</v>
      </c>
      <c r="J30" t="s">
        <v>435</v>
      </c>
      <c r="K30">
        <v>711</v>
      </c>
      <c r="L30">
        <v>8</v>
      </c>
      <c r="M30">
        <v>88.9</v>
      </c>
      <c r="N30" t="s">
        <v>21</v>
      </c>
      <c r="O30">
        <v>0</v>
      </c>
      <c r="P30">
        <v>0</v>
      </c>
      <c r="Q30">
        <v>456</v>
      </c>
      <c r="R30">
        <v>6850</v>
      </c>
      <c r="S30">
        <v>10.664999999999999</v>
      </c>
      <c r="T30">
        <v>88.9</v>
      </c>
      <c r="U30">
        <v>15</v>
      </c>
      <c r="V30">
        <v>5926.666666666667</v>
      </c>
      <c r="W30" t="s">
        <v>1153</v>
      </c>
      <c r="X30" t="s">
        <v>1087</v>
      </c>
      <c r="Y30">
        <v>37</v>
      </c>
      <c r="Z30">
        <v>8</v>
      </c>
      <c r="AA30">
        <v>474</v>
      </c>
    </row>
    <row r="31" spans="1:27" x14ac:dyDescent="0.3">
      <c r="A31" s="15">
        <v>44484.777175925927</v>
      </c>
      <c r="B31" t="s">
        <v>13</v>
      </c>
      <c r="C31" t="s">
        <v>952</v>
      </c>
      <c r="D31" s="2">
        <v>44447</v>
      </c>
      <c r="E31" t="s">
        <v>1082</v>
      </c>
      <c r="F31" t="s">
        <v>41</v>
      </c>
      <c r="G31" t="s">
        <v>943</v>
      </c>
      <c r="H31" t="s">
        <v>48</v>
      </c>
      <c r="I31" t="s">
        <v>960</v>
      </c>
      <c r="J31" t="s">
        <v>432</v>
      </c>
      <c r="K31">
        <v>320</v>
      </c>
      <c r="L31">
        <v>4</v>
      </c>
      <c r="M31">
        <v>40</v>
      </c>
      <c r="N31" t="s">
        <v>21</v>
      </c>
      <c r="O31">
        <v>0</v>
      </c>
      <c r="P31">
        <v>0</v>
      </c>
      <c r="Q31">
        <v>456</v>
      </c>
      <c r="R31">
        <v>6850</v>
      </c>
      <c r="S31">
        <v>4.8</v>
      </c>
      <c r="T31">
        <v>40</v>
      </c>
      <c r="U31">
        <v>15</v>
      </c>
      <c r="V31">
        <v>2666.6666666666665</v>
      </c>
      <c r="W31" t="s">
        <v>1153</v>
      </c>
      <c r="X31" t="s">
        <v>1087</v>
      </c>
      <c r="Y31">
        <v>37</v>
      </c>
      <c r="Z31">
        <v>8</v>
      </c>
      <c r="AA31">
        <v>213.33333333333334</v>
      </c>
    </row>
    <row r="32" spans="1:27" x14ac:dyDescent="0.3">
      <c r="A32" s="15">
        <v>44484.779166666667</v>
      </c>
      <c r="B32" t="s">
        <v>13</v>
      </c>
      <c r="C32" t="s">
        <v>952</v>
      </c>
      <c r="D32" s="2">
        <v>44448</v>
      </c>
      <c r="E32" t="s">
        <v>1105</v>
      </c>
      <c r="F32" t="s">
        <v>41</v>
      </c>
      <c r="G32" t="s">
        <v>943</v>
      </c>
      <c r="H32" t="s">
        <v>48</v>
      </c>
      <c r="I32" t="s">
        <v>960</v>
      </c>
      <c r="J32" t="s">
        <v>434</v>
      </c>
      <c r="K32">
        <v>659</v>
      </c>
      <c r="L32">
        <v>6</v>
      </c>
      <c r="M32">
        <v>82.4</v>
      </c>
      <c r="N32" t="s">
        <v>21</v>
      </c>
      <c r="O32">
        <v>0</v>
      </c>
      <c r="P32">
        <v>0</v>
      </c>
      <c r="Q32">
        <v>456</v>
      </c>
      <c r="R32">
        <v>6853</v>
      </c>
      <c r="S32">
        <v>9.8849999999999998</v>
      </c>
      <c r="T32">
        <v>82.4</v>
      </c>
      <c r="U32">
        <v>15</v>
      </c>
      <c r="V32">
        <v>5493.333333333333</v>
      </c>
      <c r="W32" t="s">
        <v>1153</v>
      </c>
      <c r="X32" t="s">
        <v>1087</v>
      </c>
      <c r="Y32">
        <v>37</v>
      </c>
      <c r="Z32">
        <v>8</v>
      </c>
      <c r="AA32">
        <v>439.33333333333331</v>
      </c>
    </row>
    <row r="33" spans="1:27" x14ac:dyDescent="0.3">
      <c r="A33" s="15">
        <v>44484.77888888889</v>
      </c>
      <c r="B33" t="s">
        <v>13</v>
      </c>
      <c r="C33" t="s">
        <v>952</v>
      </c>
      <c r="D33" s="2">
        <v>44448</v>
      </c>
      <c r="E33" t="s">
        <v>1105</v>
      </c>
      <c r="F33" t="s">
        <v>41</v>
      </c>
      <c r="G33" t="s">
        <v>943</v>
      </c>
      <c r="H33" t="s">
        <v>48</v>
      </c>
      <c r="I33" t="s">
        <v>960</v>
      </c>
      <c r="J33" t="s">
        <v>1154</v>
      </c>
      <c r="K33">
        <v>144</v>
      </c>
      <c r="L33">
        <v>2</v>
      </c>
      <c r="M33">
        <v>17.7</v>
      </c>
      <c r="N33" t="s">
        <v>21</v>
      </c>
      <c r="O33">
        <v>0</v>
      </c>
      <c r="P33">
        <v>0</v>
      </c>
      <c r="Q33">
        <v>456</v>
      </c>
      <c r="R33">
        <v>6853</v>
      </c>
      <c r="S33">
        <v>2.16</v>
      </c>
      <c r="T33">
        <v>17.7</v>
      </c>
      <c r="U33">
        <v>15</v>
      </c>
      <c r="V33">
        <v>1180</v>
      </c>
      <c r="W33" t="s">
        <v>1153</v>
      </c>
      <c r="X33" t="s">
        <v>1087</v>
      </c>
      <c r="Y33">
        <v>37</v>
      </c>
      <c r="Z33">
        <v>8</v>
      </c>
      <c r="AA33">
        <v>96</v>
      </c>
    </row>
    <row r="34" spans="1:27" x14ac:dyDescent="0.3">
      <c r="A34" s="15">
        <v>44484.781134259261</v>
      </c>
      <c r="B34" t="s">
        <v>13</v>
      </c>
      <c r="C34" t="s">
        <v>952</v>
      </c>
      <c r="D34" s="2">
        <v>44449</v>
      </c>
      <c r="E34" t="s">
        <v>1082</v>
      </c>
      <c r="F34" t="s">
        <v>41</v>
      </c>
      <c r="G34" t="s">
        <v>943</v>
      </c>
      <c r="H34" t="s">
        <v>48</v>
      </c>
      <c r="I34" t="s">
        <v>960</v>
      </c>
      <c r="J34" t="s">
        <v>432</v>
      </c>
      <c r="K34">
        <v>76</v>
      </c>
      <c r="L34">
        <v>3</v>
      </c>
      <c r="M34">
        <v>9.5</v>
      </c>
      <c r="N34" t="s">
        <v>21</v>
      </c>
      <c r="O34">
        <v>0</v>
      </c>
      <c r="P34">
        <v>0</v>
      </c>
      <c r="Q34">
        <v>456</v>
      </c>
      <c r="R34">
        <v>6854</v>
      </c>
      <c r="S34">
        <v>1.1399999999999999</v>
      </c>
      <c r="T34">
        <v>9.5</v>
      </c>
      <c r="U34">
        <v>15</v>
      </c>
      <c r="V34">
        <v>633.33333333333337</v>
      </c>
      <c r="W34" t="s">
        <v>1153</v>
      </c>
      <c r="X34" t="s">
        <v>1087</v>
      </c>
      <c r="Y34">
        <v>37</v>
      </c>
      <c r="Z34">
        <v>8</v>
      </c>
      <c r="AA34">
        <v>50.666666666666664</v>
      </c>
    </row>
    <row r="35" spans="1:27" x14ac:dyDescent="0.3">
      <c r="A35" s="15">
        <v>44484.780069444445</v>
      </c>
      <c r="B35" t="s">
        <v>13</v>
      </c>
      <c r="C35" t="s">
        <v>952</v>
      </c>
      <c r="D35" s="2">
        <v>44449</v>
      </c>
      <c r="E35" t="s">
        <v>1082</v>
      </c>
      <c r="F35" t="s">
        <v>41</v>
      </c>
      <c r="G35" t="s">
        <v>943</v>
      </c>
      <c r="H35" t="s">
        <v>48</v>
      </c>
      <c r="I35" t="s">
        <v>960</v>
      </c>
      <c r="J35" t="s">
        <v>435</v>
      </c>
      <c r="K35">
        <v>407</v>
      </c>
      <c r="L35">
        <v>4</v>
      </c>
      <c r="M35">
        <v>50.9</v>
      </c>
      <c r="N35" t="s">
        <v>21</v>
      </c>
      <c r="O35">
        <v>0</v>
      </c>
      <c r="P35">
        <v>0</v>
      </c>
      <c r="Q35">
        <v>456</v>
      </c>
      <c r="R35">
        <v>6854</v>
      </c>
      <c r="S35">
        <v>6.1050000000000004</v>
      </c>
      <c r="T35">
        <v>50.9</v>
      </c>
      <c r="U35">
        <v>15</v>
      </c>
      <c r="V35">
        <v>3393.3333333333335</v>
      </c>
      <c r="W35" t="s">
        <v>1153</v>
      </c>
      <c r="X35" t="s">
        <v>1087</v>
      </c>
      <c r="Y35">
        <v>37</v>
      </c>
      <c r="Z35">
        <v>8</v>
      </c>
      <c r="AA35">
        <v>271.33333333333331</v>
      </c>
    </row>
    <row r="36" spans="1:27" x14ac:dyDescent="0.3">
      <c r="A36" s="15">
        <v>44484.779768518521</v>
      </c>
      <c r="B36" t="s">
        <v>13</v>
      </c>
      <c r="C36" t="s">
        <v>952</v>
      </c>
      <c r="D36" s="2">
        <v>44449</v>
      </c>
      <c r="E36" t="s">
        <v>1082</v>
      </c>
      <c r="F36" t="s">
        <v>41</v>
      </c>
      <c r="G36" t="s">
        <v>943</v>
      </c>
      <c r="H36" t="s">
        <v>48</v>
      </c>
      <c r="I36" t="s">
        <v>960</v>
      </c>
      <c r="J36" t="s">
        <v>434</v>
      </c>
      <c r="K36">
        <v>215</v>
      </c>
      <c r="L36">
        <v>4</v>
      </c>
      <c r="M36">
        <v>25.7</v>
      </c>
      <c r="N36" t="s">
        <v>21</v>
      </c>
      <c r="O36">
        <v>0</v>
      </c>
      <c r="P36">
        <v>0</v>
      </c>
      <c r="Q36">
        <v>456</v>
      </c>
      <c r="R36">
        <v>6854</v>
      </c>
      <c r="S36">
        <v>3.2250000000000001</v>
      </c>
      <c r="T36">
        <v>25.7</v>
      </c>
      <c r="U36">
        <v>15</v>
      </c>
      <c r="V36">
        <v>1713.3333333333333</v>
      </c>
      <c r="W36" t="s">
        <v>1153</v>
      </c>
      <c r="X36" t="s">
        <v>1087</v>
      </c>
      <c r="Y36">
        <v>37</v>
      </c>
      <c r="Z36">
        <v>8</v>
      </c>
      <c r="AA36">
        <v>143.33333333333334</v>
      </c>
    </row>
    <row r="37" spans="1:27" x14ac:dyDescent="0.3">
      <c r="A37" s="15">
        <v>44484.783495370371</v>
      </c>
      <c r="B37" t="s">
        <v>13</v>
      </c>
      <c r="C37" t="s">
        <v>952</v>
      </c>
      <c r="D37" s="2">
        <v>44450</v>
      </c>
      <c r="E37" t="s">
        <v>1114</v>
      </c>
      <c r="F37" t="s">
        <v>41</v>
      </c>
      <c r="G37" t="s">
        <v>943</v>
      </c>
      <c r="H37" t="s">
        <v>48</v>
      </c>
      <c r="I37" t="s">
        <v>960</v>
      </c>
      <c r="J37" t="s">
        <v>434</v>
      </c>
      <c r="K37">
        <v>122</v>
      </c>
      <c r="L37">
        <v>2</v>
      </c>
      <c r="M37">
        <v>15.3</v>
      </c>
      <c r="N37" t="s">
        <v>21</v>
      </c>
      <c r="O37">
        <v>0</v>
      </c>
      <c r="P37">
        <v>0</v>
      </c>
      <c r="Q37">
        <v>456</v>
      </c>
      <c r="R37">
        <v>6855</v>
      </c>
      <c r="S37">
        <v>1.83</v>
      </c>
      <c r="T37">
        <v>15.3</v>
      </c>
      <c r="U37">
        <v>15</v>
      </c>
      <c r="V37">
        <v>1020</v>
      </c>
      <c r="W37" t="s">
        <v>1153</v>
      </c>
      <c r="X37" t="s">
        <v>1087</v>
      </c>
      <c r="Y37">
        <v>37</v>
      </c>
      <c r="Z37">
        <v>8</v>
      </c>
      <c r="AA37">
        <v>81.333333333333329</v>
      </c>
    </row>
    <row r="38" spans="1:27" x14ac:dyDescent="0.3">
      <c r="A38" s="15">
        <v>44484.782604166663</v>
      </c>
      <c r="B38" t="s">
        <v>13</v>
      </c>
      <c r="C38" t="s">
        <v>952</v>
      </c>
      <c r="D38" s="2">
        <v>44450</v>
      </c>
      <c r="E38" t="s">
        <v>1114</v>
      </c>
      <c r="F38" t="s">
        <v>41</v>
      </c>
      <c r="G38" t="s">
        <v>943</v>
      </c>
      <c r="H38" t="s">
        <v>48</v>
      </c>
      <c r="I38" t="s">
        <v>960</v>
      </c>
      <c r="J38" t="s">
        <v>433</v>
      </c>
      <c r="K38">
        <v>115</v>
      </c>
      <c r="L38">
        <v>2</v>
      </c>
      <c r="M38">
        <v>13.2</v>
      </c>
      <c r="N38" t="s">
        <v>21</v>
      </c>
      <c r="O38">
        <v>0</v>
      </c>
      <c r="P38">
        <v>0</v>
      </c>
      <c r="Q38">
        <v>456</v>
      </c>
      <c r="R38">
        <v>6855</v>
      </c>
      <c r="S38">
        <v>1.7250000000000001</v>
      </c>
      <c r="T38">
        <v>13.2</v>
      </c>
      <c r="U38">
        <v>15</v>
      </c>
      <c r="V38">
        <v>880</v>
      </c>
      <c r="W38" t="s">
        <v>1153</v>
      </c>
      <c r="X38" t="s">
        <v>1087</v>
      </c>
      <c r="Y38">
        <v>37</v>
      </c>
      <c r="Z38">
        <v>8</v>
      </c>
      <c r="AA38">
        <v>76.666666666666671</v>
      </c>
    </row>
    <row r="39" spans="1:27" x14ac:dyDescent="0.3">
      <c r="A39" s="15">
        <v>44484.782083333332</v>
      </c>
      <c r="B39" t="s">
        <v>13</v>
      </c>
      <c r="C39" t="s">
        <v>952</v>
      </c>
      <c r="D39" s="2">
        <v>44450</v>
      </c>
      <c r="E39" t="s">
        <v>1114</v>
      </c>
      <c r="F39" t="s">
        <v>41</v>
      </c>
      <c r="G39" t="s">
        <v>943</v>
      </c>
      <c r="H39" t="s">
        <v>48</v>
      </c>
      <c r="I39" t="s">
        <v>960</v>
      </c>
      <c r="J39" t="s">
        <v>1154</v>
      </c>
      <c r="K39">
        <v>178</v>
      </c>
      <c r="L39">
        <v>2</v>
      </c>
      <c r="M39">
        <v>22.2</v>
      </c>
      <c r="N39" t="s">
        <v>21</v>
      </c>
      <c r="O39">
        <v>0</v>
      </c>
      <c r="P39">
        <v>0</v>
      </c>
      <c r="Q39">
        <v>456</v>
      </c>
      <c r="R39">
        <v>6855</v>
      </c>
      <c r="S39">
        <v>2.67</v>
      </c>
      <c r="T39">
        <v>22.2</v>
      </c>
      <c r="U39">
        <v>15</v>
      </c>
      <c r="V39">
        <v>1480</v>
      </c>
      <c r="W39" t="s">
        <v>1153</v>
      </c>
      <c r="X39" t="s">
        <v>1087</v>
      </c>
      <c r="Y39">
        <v>37</v>
      </c>
      <c r="Z39">
        <v>8</v>
      </c>
      <c r="AA39">
        <v>118.66666666666667</v>
      </c>
    </row>
    <row r="40" spans="1:27" x14ac:dyDescent="0.3">
      <c r="A40" s="15">
        <v>44484.781747685185</v>
      </c>
      <c r="B40" t="s">
        <v>13</v>
      </c>
      <c r="C40" t="s">
        <v>952</v>
      </c>
      <c r="D40" s="2">
        <v>44450</v>
      </c>
      <c r="E40" t="s">
        <v>1114</v>
      </c>
      <c r="F40" t="s">
        <v>41</v>
      </c>
      <c r="G40" t="s">
        <v>943</v>
      </c>
      <c r="H40" t="s">
        <v>48</v>
      </c>
      <c r="I40" t="s">
        <v>960</v>
      </c>
      <c r="J40" t="s">
        <v>432</v>
      </c>
      <c r="K40">
        <v>147</v>
      </c>
      <c r="L40">
        <v>2</v>
      </c>
      <c r="M40">
        <v>18.399999999999999</v>
      </c>
      <c r="N40" t="s">
        <v>21</v>
      </c>
      <c r="O40">
        <v>0</v>
      </c>
      <c r="P40">
        <v>0</v>
      </c>
      <c r="Q40">
        <v>456</v>
      </c>
      <c r="R40">
        <v>6855</v>
      </c>
      <c r="S40">
        <v>2.2050000000000001</v>
      </c>
      <c r="T40">
        <v>18.399999999999999</v>
      </c>
      <c r="U40">
        <v>15</v>
      </c>
      <c r="V40">
        <v>1226.6666666666667</v>
      </c>
      <c r="W40" t="s">
        <v>1153</v>
      </c>
      <c r="X40" t="s">
        <v>1087</v>
      </c>
      <c r="Y40">
        <v>37</v>
      </c>
      <c r="Z40">
        <v>8</v>
      </c>
      <c r="AA40">
        <v>98</v>
      </c>
    </row>
    <row r="41" spans="1:27" x14ac:dyDescent="0.3">
      <c r="A41" s="15">
        <v>44484.785497685189</v>
      </c>
      <c r="B41" t="s">
        <v>13</v>
      </c>
      <c r="C41" t="s">
        <v>952</v>
      </c>
      <c r="D41" s="2">
        <v>44455</v>
      </c>
      <c r="E41" t="s">
        <v>1032</v>
      </c>
      <c r="F41" t="s">
        <v>41</v>
      </c>
      <c r="G41" t="s">
        <v>950</v>
      </c>
      <c r="H41" t="s">
        <v>943</v>
      </c>
      <c r="I41" t="s">
        <v>1161</v>
      </c>
      <c r="J41" t="s">
        <v>1155</v>
      </c>
      <c r="K41">
        <v>138</v>
      </c>
      <c r="L41">
        <v>2</v>
      </c>
      <c r="M41">
        <v>6.6</v>
      </c>
      <c r="N41" t="s">
        <v>21</v>
      </c>
      <c r="O41">
        <v>0</v>
      </c>
      <c r="P41">
        <v>0</v>
      </c>
      <c r="Q41">
        <v>464</v>
      </c>
      <c r="R41">
        <v>6856</v>
      </c>
      <c r="S41">
        <v>3.3119999999999998</v>
      </c>
      <c r="T41">
        <v>6.6</v>
      </c>
      <c r="U41">
        <v>24</v>
      </c>
      <c r="V41">
        <v>275</v>
      </c>
      <c r="W41" t="s">
        <v>1153</v>
      </c>
      <c r="X41" t="s">
        <v>1087</v>
      </c>
      <c r="Y41">
        <v>38</v>
      </c>
      <c r="Z41">
        <v>2</v>
      </c>
      <c r="AA41">
        <v>23</v>
      </c>
    </row>
    <row r="42" spans="1:27" x14ac:dyDescent="0.3">
      <c r="A42" s="15">
        <v>44484.78633101852</v>
      </c>
      <c r="B42" t="s">
        <v>13</v>
      </c>
      <c r="C42" t="s">
        <v>952</v>
      </c>
      <c r="D42" s="2">
        <v>44456</v>
      </c>
      <c r="E42" t="s">
        <v>1114</v>
      </c>
      <c r="F42" t="s">
        <v>41</v>
      </c>
      <c r="G42" t="s">
        <v>950</v>
      </c>
      <c r="H42" t="s">
        <v>943</v>
      </c>
      <c r="I42" t="s">
        <v>1161</v>
      </c>
      <c r="J42" t="s">
        <v>1157</v>
      </c>
      <c r="K42">
        <v>531</v>
      </c>
      <c r="L42">
        <v>5</v>
      </c>
      <c r="M42">
        <v>25.5</v>
      </c>
      <c r="N42" t="s">
        <v>21</v>
      </c>
      <c r="O42">
        <v>0</v>
      </c>
      <c r="P42">
        <v>0</v>
      </c>
      <c r="Q42">
        <v>464</v>
      </c>
      <c r="R42">
        <v>6857</v>
      </c>
      <c r="S42">
        <v>12.744</v>
      </c>
      <c r="T42">
        <v>25.5</v>
      </c>
      <c r="U42">
        <v>24</v>
      </c>
      <c r="V42">
        <v>1062.5</v>
      </c>
      <c r="W42" t="s">
        <v>1153</v>
      </c>
      <c r="X42" t="s">
        <v>1087</v>
      </c>
      <c r="Y42">
        <v>38</v>
      </c>
      <c r="Z42">
        <v>2</v>
      </c>
      <c r="AA42">
        <v>88.5</v>
      </c>
    </row>
    <row r="43" spans="1:27" x14ac:dyDescent="0.3">
      <c r="A43" s="15">
        <v>44484.786041666666</v>
      </c>
      <c r="B43" t="s">
        <v>13</v>
      </c>
      <c r="C43" t="s">
        <v>952</v>
      </c>
      <c r="D43" s="2">
        <v>44456</v>
      </c>
      <c r="E43" t="s">
        <v>1114</v>
      </c>
      <c r="F43" t="s">
        <v>41</v>
      </c>
      <c r="G43" t="s">
        <v>950</v>
      </c>
      <c r="H43" t="s">
        <v>943</v>
      </c>
      <c r="I43" t="s">
        <v>1161</v>
      </c>
      <c r="J43" t="s">
        <v>1155</v>
      </c>
      <c r="K43">
        <v>583</v>
      </c>
      <c r="L43">
        <v>5</v>
      </c>
      <c r="M43">
        <v>28</v>
      </c>
      <c r="N43" t="s">
        <v>21</v>
      </c>
      <c r="O43">
        <v>0</v>
      </c>
      <c r="P43">
        <v>0</v>
      </c>
      <c r="Q43">
        <v>464</v>
      </c>
      <c r="R43">
        <v>6856</v>
      </c>
      <c r="S43">
        <v>13.992000000000001</v>
      </c>
      <c r="T43">
        <v>28</v>
      </c>
      <c r="U43">
        <v>24</v>
      </c>
      <c r="V43">
        <v>1166.6666666666667</v>
      </c>
      <c r="W43" t="s">
        <v>1153</v>
      </c>
      <c r="X43" t="s">
        <v>1087</v>
      </c>
      <c r="Y43">
        <v>38</v>
      </c>
      <c r="Z43">
        <v>2</v>
      </c>
      <c r="AA43">
        <v>97.166666666666671</v>
      </c>
    </row>
    <row r="44" spans="1:27" x14ac:dyDescent="0.3">
      <c r="A44" s="15">
        <v>44484.78875</v>
      </c>
      <c r="B44" t="s">
        <v>13</v>
      </c>
      <c r="C44" t="s">
        <v>952</v>
      </c>
      <c r="D44" s="2">
        <v>44457</v>
      </c>
      <c r="E44" t="s">
        <v>1114</v>
      </c>
      <c r="F44" t="s">
        <v>41</v>
      </c>
      <c r="G44" t="s">
        <v>950</v>
      </c>
      <c r="H44" t="s">
        <v>943</v>
      </c>
      <c r="I44" t="s">
        <v>1161</v>
      </c>
      <c r="J44" t="s">
        <v>1156</v>
      </c>
      <c r="K44">
        <v>295</v>
      </c>
      <c r="L44">
        <v>5</v>
      </c>
      <c r="M44">
        <v>14.2</v>
      </c>
      <c r="N44" t="s">
        <v>21</v>
      </c>
      <c r="O44">
        <v>0</v>
      </c>
      <c r="P44">
        <v>0</v>
      </c>
      <c r="Q44">
        <v>464</v>
      </c>
      <c r="R44">
        <v>6859</v>
      </c>
      <c r="S44">
        <v>7.08</v>
      </c>
      <c r="T44">
        <v>14.2</v>
      </c>
      <c r="U44">
        <v>24</v>
      </c>
      <c r="V44">
        <v>591.66666666666663</v>
      </c>
      <c r="W44" t="s">
        <v>1153</v>
      </c>
      <c r="X44" t="s">
        <v>1087</v>
      </c>
      <c r="Y44">
        <v>38</v>
      </c>
      <c r="Z44">
        <v>2</v>
      </c>
      <c r="AA44">
        <v>49.166666666666664</v>
      </c>
    </row>
    <row r="45" spans="1:27" x14ac:dyDescent="0.3">
      <c r="A45" s="15">
        <v>44484.789409722223</v>
      </c>
      <c r="B45" t="s">
        <v>13</v>
      </c>
      <c r="C45" t="s">
        <v>952</v>
      </c>
      <c r="D45" s="2">
        <v>44459</v>
      </c>
      <c r="E45" t="s">
        <v>1092</v>
      </c>
      <c r="F45" t="s">
        <v>41</v>
      </c>
      <c r="G45" t="s">
        <v>950</v>
      </c>
      <c r="H45" t="s">
        <v>943</v>
      </c>
      <c r="I45" t="s">
        <v>1161</v>
      </c>
      <c r="J45" t="s">
        <v>1156</v>
      </c>
      <c r="K45">
        <v>1382</v>
      </c>
      <c r="L45">
        <v>12</v>
      </c>
      <c r="M45">
        <v>66.7</v>
      </c>
      <c r="N45" t="s">
        <v>21</v>
      </c>
      <c r="O45">
        <v>0</v>
      </c>
      <c r="P45">
        <v>0</v>
      </c>
      <c r="Q45">
        <v>464</v>
      </c>
      <c r="R45">
        <v>6860</v>
      </c>
      <c r="S45">
        <v>33.167999999999999</v>
      </c>
      <c r="T45">
        <v>66.7</v>
      </c>
      <c r="U45">
        <v>24</v>
      </c>
      <c r="V45">
        <v>2779.1666666666665</v>
      </c>
      <c r="W45" t="s">
        <v>1153</v>
      </c>
      <c r="X45" t="s">
        <v>1087</v>
      </c>
      <c r="Y45">
        <v>39</v>
      </c>
      <c r="Z45">
        <v>2</v>
      </c>
      <c r="AA45">
        <v>230.33333333333334</v>
      </c>
    </row>
    <row r="46" spans="1:27" x14ac:dyDescent="0.3">
      <c r="A46" s="15">
        <v>44484.790613425925</v>
      </c>
      <c r="B46" t="s">
        <v>13</v>
      </c>
      <c r="C46" t="s">
        <v>952</v>
      </c>
      <c r="D46" s="2">
        <v>44460</v>
      </c>
      <c r="E46" t="s">
        <v>1092</v>
      </c>
      <c r="F46" t="s">
        <v>41</v>
      </c>
      <c r="G46" t="s">
        <v>950</v>
      </c>
      <c r="H46" t="s">
        <v>943</v>
      </c>
      <c r="I46" t="s">
        <v>1161</v>
      </c>
      <c r="J46" t="s">
        <v>1159</v>
      </c>
      <c r="K46">
        <v>804</v>
      </c>
      <c r="L46">
        <v>7</v>
      </c>
      <c r="M46">
        <v>38.700000000000003</v>
      </c>
      <c r="N46" t="s">
        <v>21</v>
      </c>
      <c r="O46">
        <v>0</v>
      </c>
      <c r="P46">
        <v>0</v>
      </c>
      <c r="Q46">
        <v>464</v>
      </c>
      <c r="R46">
        <v>6862</v>
      </c>
      <c r="S46">
        <v>19.295999999999999</v>
      </c>
      <c r="T46">
        <v>38.700000000000003</v>
      </c>
      <c r="U46">
        <v>24</v>
      </c>
      <c r="V46">
        <v>1612.5</v>
      </c>
      <c r="W46" t="s">
        <v>1153</v>
      </c>
      <c r="X46" t="s">
        <v>1087</v>
      </c>
      <c r="Y46">
        <v>39</v>
      </c>
      <c r="Z46">
        <v>2</v>
      </c>
      <c r="AA46">
        <v>134</v>
      </c>
    </row>
    <row r="47" spans="1:27" x14ac:dyDescent="0.3">
      <c r="A47" s="15">
        <v>44484.790231481478</v>
      </c>
      <c r="B47" t="s">
        <v>13</v>
      </c>
      <c r="C47" t="s">
        <v>952</v>
      </c>
      <c r="D47" s="2">
        <v>44460</v>
      </c>
      <c r="E47" t="s">
        <v>1092</v>
      </c>
      <c r="F47" t="s">
        <v>41</v>
      </c>
      <c r="G47" t="s">
        <v>950</v>
      </c>
      <c r="H47" t="s">
        <v>943</v>
      </c>
      <c r="I47" t="s">
        <v>1161</v>
      </c>
      <c r="J47" t="s">
        <v>1160</v>
      </c>
      <c r="K47">
        <v>347</v>
      </c>
      <c r="L47">
        <v>3</v>
      </c>
      <c r="M47">
        <v>16.2</v>
      </c>
      <c r="N47" t="s">
        <v>21</v>
      </c>
      <c r="O47">
        <v>0</v>
      </c>
      <c r="P47">
        <v>0</v>
      </c>
      <c r="Q47">
        <v>464</v>
      </c>
      <c r="R47">
        <v>6862</v>
      </c>
      <c r="S47">
        <v>8.3279999999999994</v>
      </c>
      <c r="T47">
        <v>16.2</v>
      </c>
      <c r="U47">
        <v>24</v>
      </c>
      <c r="V47">
        <v>675</v>
      </c>
      <c r="W47" t="s">
        <v>1153</v>
      </c>
      <c r="X47" t="s">
        <v>1087</v>
      </c>
      <c r="Y47">
        <v>39</v>
      </c>
      <c r="Z47">
        <v>2</v>
      </c>
      <c r="AA47">
        <v>57.833333333333336</v>
      </c>
    </row>
    <row r="48" spans="1:27" x14ac:dyDescent="0.3">
      <c r="A48" s="15">
        <v>44484.792638888888</v>
      </c>
      <c r="B48" t="s">
        <v>13</v>
      </c>
      <c r="C48" t="s">
        <v>952</v>
      </c>
      <c r="D48" s="2">
        <v>44461</v>
      </c>
      <c r="E48" t="s">
        <v>1114</v>
      </c>
      <c r="F48" t="s">
        <v>41</v>
      </c>
      <c r="G48" t="s">
        <v>950</v>
      </c>
      <c r="H48" t="s">
        <v>943</v>
      </c>
      <c r="I48" t="s">
        <v>1161</v>
      </c>
      <c r="J48" t="s">
        <v>1157</v>
      </c>
      <c r="K48">
        <v>88</v>
      </c>
      <c r="L48">
        <v>1</v>
      </c>
      <c r="M48">
        <v>4.2</v>
      </c>
      <c r="N48" t="s">
        <v>21</v>
      </c>
      <c r="O48">
        <v>0</v>
      </c>
      <c r="P48">
        <v>0</v>
      </c>
      <c r="Q48">
        <v>464</v>
      </c>
      <c r="R48">
        <v>6865</v>
      </c>
      <c r="S48">
        <v>2.1120000000000001</v>
      </c>
      <c r="T48">
        <v>4.2</v>
      </c>
      <c r="U48">
        <v>24</v>
      </c>
      <c r="V48">
        <v>175</v>
      </c>
      <c r="W48" t="s">
        <v>1153</v>
      </c>
      <c r="X48" t="s">
        <v>1087</v>
      </c>
      <c r="Y48">
        <v>39</v>
      </c>
      <c r="Z48">
        <v>2</v>
      </c>
      <c r="AA48">
        <v>14.666666666666666</v>
      </c>
    </row>
    <row r="49" spans="1:27" x14ac:dyDescent="0.3">
      <c r="A49" s="15">
        <v>44484.792175925926</v>
      </c>
      <c r="B49" t="s">
        <v>13</v>
      </c>
      <c r="C49" t="s">
        <v>952</v>
      </c>
      <c r="D49" s="2">
        <v>44461</v>
      </c>
      <c r="E49" t="s">
        <v>1114</v>
      </c>
      <c r="F49" t="s">
        <v>41</v>
      </c>
      <c r="G49" t="s">
        <v>950</v>
      </c>
      <c r="H49" t="s">
        <v>943</v>
      </c>
      <c r="I49" t="s">
        <v>1161</v>
      </c>
      <c r="J49" t="s">
        <v>1157</v>
      </c>
      <c r="K49">
        <v>677</v>
      </c>
      <c r="L49">
        <v>7</v>
      </c>
      <c r="M49">
        <v>32.5</v>
      </c>
      <c r="N49" t="s">
        <v>21</v>
      </c>
      <c r="O49">
        <v>0</v>
      </c>
      <c r="P49">
        <v>0</v>
      </c>
      <c r="Q49">
        <v>464</v>
      </c>
      <c r="R49">
        <v>6864</v>
      </c>
      <c r="S49">
        <v>16.248000000000001</v>
      </c>
      <c r="T49">
        <v>32.5</v>
      </c>
      <c r="U49">
        <v>24</v>
      </c>
      <c r="V49">
        <v>1354.1666666666667</v>
      </c>
      <c r="W49" t="s">
        <v>1153</v>
      </c>
      <c r="X49" t="s">
        <v>1087</v>
      </c>
      <c r="Y49">
        <v>39</v>
      </c>
      <c r="Z49">
        <v>2</v>
      </c>
      <c r="AA49">
        <v>112.83333333333333</v>
      </c>
    </row>
    <row r="50" spans="1:27" x14ac:dyDescent="0.3">
      <c r="A50" s="15">
        <v>44484.791851851849</v>
      </c>
      <c r="B50" t="s">
        <v>13</v>
      </c>
      <c r="C50" t="s">
        <v>952</v>
      </c>
      <c r="D50" s="2">
        <v>44461</v>
      </c>
      <c r="E50" t="s">
        <v>1114</v>
      </c>
      <c r="F50" t="s">
        <v>41</v>
      </c>
      <c r="G50" t="s">
        <v>950</v>
      </c>
      <c r="H50" t="s">
        <v>943</v>
      </c>
      <c r="I50" t="s">
        <v>1161</v>
      </c>
      <c r="J50" t="s">
        <v>1155</v>
      </c>
      <c r="K50">
        <v>635</v>
      </c>
      <c r="L50">
        <v>4</v>
      </c>
      <c r="M50">
        <v>30.5</v>
      </c>
      <c r="N50" t="s">
        <v>21</v>
      </c>
      <c r="O50">
        <v>0</v>
      </c>
      <c r="P50">
        <v>0</v>
      </c>
      <c r="Q50">
        <v>464</v>
      </c>
      <c r="R50">
        <v>6864</v>
      </c>
      <c r="S50">
        <v>15.24</v>
      </c>
      <c r="T50">
        <v>30.5</v>
      </c>
      <c r="U50">
        <v>24</v>
      </c>
      <c r="V50">
        <v>1270.8333333333333</v>
      </c>
      <c r="W50" t="s">
        <v>1153</v>
      </c>
      <c r="X50" t="s">
        <v>1087</v>
      </c>
      <c r="Y50">
        <v>39</v>
      </c>
      <c r="Z50">
        <v>2</v>
      </c>
      <c r="AA50">
        <v>105.83333333333333</v>
      </c>
    </row>
    <row r="51" spans="1:27" x14ac:dyDescent="0.3">
      <c r="A51" s="15">
        <v>44484.794444444444</v>
      </c>
      <c r="B51" t="s">
        <v>13</v>
      </c>
      <c r="C51" t="s">
        <v>952</v>
      </c>
      <c r="D51" s="2">
        <v>44468</v>
      </c>
      <c r="E51" t="s">
        <v>1082</v>
      </c>
      <c r="F51" t="s">
        <v>41</v>
      </c>
      <c r="G51" t="s">
        <v>943</v>
      </c>
      <c r="H51" t="s">
        <v>48</v>
      </c>
      <c r="I51" t="s">
        <v>1037</v>
      </c>
      <c r="J51" t="s">
        <v>196</v>
      </c>
      <c r="K51">
        <v>1420</v>
      </c>
      <c r="L51">
        <v>12</v>
      </c>
      <c r="M51">
        <v>102.5</v>
      </c>
      <c r="N51" t="s">
        <v>21</v>
      </c>
      <c r="O51">
        <v>120</v>
      </c>
      <c r="P51">
        <v>13</v>
      </c>
      <c r="Q51">
        <v>474</v>
      </c>
      <c r="R51">
        <v>6870</v>
      </c>
      <c r="S51">
        <v>100.82</v>
      </c>
      <c r="T51">
        <v>102.5</v>
      </c>
      <c r="U51">
        <v>71</v>
      </c>
      <c r="V51">
        <v>1443.661971830986</v>
      </c>
      <c r="W51" t="s">
        <v>1153</v>
      </c>
      <c r="X51" t="s">
        <v>1087</v>
      </c>
      <c r="Y51">
        <v>40</v>
      </c>
      <c r="Z51">
        <v>1</v>
      </c>
      <c r="AA51">
        <v>118.33333333333333</v>
      </c>
    </row>
    <row r="52" spans="1:27" x14ac:dyDescent="0.3">
      <c r="A52" s="15">
        <v>44484.795300925929</v>
      </c>
      <c r="B52" t="s">
        <v>13</v>
      </c>
      <c r="C52" t="s">
        <v>952</v>
      </c>
      <c r="D52" s="2">
        <v>44469</v>
      </c>
      <c r="E52" t="s">
        <v>1082</v>
      </c>
      <c r="F52" t="s">
        <v>41</v>
      </c>
      <c r="G52" t="s">
        <v>943</v>
      </c>
      <c r="H52" t="s">
        <v>48</v>
      </c>
      <c r="I52" t="s">
        <v>1037</v>
      </c>
      <c r="J52" t="s">
        <v>196</v>
      </c>
      <c r="K52">
        <v>1570</v>
      </c>
      <c r="L52">
        <v>12</v>
      </c>
      <c r="M52">
        <v>108.8</v>
      </c>
      <c r="N52" t="s">
        <v>21</v>
      </c>
      <c r="O52">
        <v>120</v>
      </c>
      <c r="P52">
        <v>13</v>
      </c>
      <c r="Q52">
        <v>474</v>
      </c>
      <c r="R52">
        <v>6872</v>
      </c>
      <c r="S52">
        <v>111.47</v>
      </c>
      <c r="T52">
        <v>108.8</v>
      </c>
      <c r="U52">
        <v>71</v>
      </c>
      <c r="V52">
        <v>1532.394366197183</v>
      </c>
      <c r="W52" t="s">
        <v>1153</v>
      </c>
      <c r="X52" t="s">
        <v>1087</v>
      </c>
      <c r="Y52">
        <v>40</v>
      </c>
      <c r="Z52">
        <v>1</v>
      </c>
      <c r="AA52">
        <v>130.83333333333334</v>
      </c>
    </row>
    <row r="53" spans="1:27" x14ac:dyDescent="0.3">
      <c r="A53" s="15">
        <v>44452.710694444446</v>
      </c>
      <c r="B53" t="s">
        <v>13</v>
      </c>
      <c r="C53" t="s">
        <v>1128</v>
      </c>
      <c r="D53" s="2">
        <v>44440</v>
      </c>
      <c r="E53" t="s">
        <v>1082</v>
      </c>
      <c r="F53" t="s">
        <v>41</v>
      </c>
      <c r="G53" t="s">
        <v>940</v>
      </c>
      <c r="H53" t="s">
        <v>48</v>
      </c>
      <c r="I53" t="s">
        <v>1012</v>
      </c>
      <c r="J53" t="s">
        <v>512</v>
      </c>
      <c r="K53">
        <v>71</v>
      </c>
      <c r="L53">
        <v>1</v>
      </c>
      <c r="M53">
        <v>5.8</v>
      </c>
      <c r="N53" t="s">
        <v>21</v>
      </c>
      <c r="O53">
        <v>0</v>
      </c>
      <c r="P53">
        <v>1</v>
      </c>
      <c r="Q53">
        <v>450</v>
      </c>
      <c r="R53">
        <v>6479</v>
      </c>
      <c r="S53">
        <v>2.9820000000000002</v>
      </c>
      <c r="T53">
        <v>5.8</v>
      </c>
      <c r="U53">
        <v>42</v>
      </c>
      <c r="V53">
        <v>138.0952380952381</v>
      </c>
      <c r="W53" t="s">
        <v>1153</v>
      </c>
      <c r="X53" t="s">
        <v>1087</v>
      </c>
      <c r="Y53">
        <v>36</v>
      </c>
      <c r="Z53">
        <v>2</v>
      </c>
      <c r="AA53">
        <v>11.833333333333334</v>
      </c>
    </row>
    <row r="54" spans="1:27" x14ac:dyDescent="0.3">
      <c r="A54" s="15">
        <v>44452.710358796299</v>
      </c>
      <c r="B54" t="s">
        <v>13</v>
      </c>
      <c r="C54" t="s">
        <v>1128</v>
      </c>
      <c r="D54" s="2">
        <v>44440</v>
      </c>
      <c r="E54" t="s">
        <v>1082</v>
      </c>
      <c r="F54" t="s">
        <v>41</v>
      </c>
      <c r="G54" t="s">
        <v>940</v>
      </c>
      <c r="H54" t="s">
        <v>48</v>
      </c>
      <c r="I54" t="s">
        <v>1012</v>
      </c>
      <c r="J54" t="s">
        <v>513</v>
      </c>
      <c r="K54">
        <v>500</v>
      </c>
      <c r="L54">
        <v>5</v>
      </c>
      <c r="M54">
        <v>40.799999999999997</v>
      </c>
      <c r="N54" t="s">
        <v>21</v>
      </c>
      <c r="O54">
        <v>0</v>
      </c>
      <c r="P54">
        <v>3</v>
      </c>
      <c r="Q54">
        <v>450</v>
      </c>
      <c r="R54">
        <v>6479</v>
      </c>
      <c r="S54">
        <v>21</v>
      </c>
      <c r="T54">
        <v>40.799999999999997</v>
      </c>
      <c r="U54">
        <v>42</v>
      </c>
      <c r="V54">
        <v>971.42857142857144</v>
      </c>
      <c r="W54" t="s">
        <v>1153</v>
      </c>
      <c r="X54" t="s">
        <v>1087</v>
      </c>
      <c r="Y54">
        <v>36</v>
      </c>
      <c r="Z54">
        <v>2</v>
      </c>
      <c r="AA54">
        <v>83.333333333333329</v>
      </c>
    </row>
    <row r="55" spans="1:27" x14ac:dyDescent="0.3">
      <c r="A55" s="15">
        <v>44452.711655092593</v>
      </c>
      <c r="B55" t="s">
        <v>13</v>
      </c>
      <c r="C55" t="s">
        <v>1128</v>
      </c>
      <c r="D55" s="2">
        <v>44441</v>
      </c>
      <c r="E55" t="s">
        <v>1130</v>
      </c>
      <c r="F55" t="s">
        <v>41</v>
      </c>
      <c r="G55" t="s">
        <v>940</v>
      </c>
      <c r="H55" t="s">
        <v>48</v>
      </c>
      <c r="I55" t="s">
        <v>1012</v>
      </c>
      <c r="J55" t="s">
        <v>514</v>
      </c>
      <c r="K55">
        <v>585</v>
      </c>
      <c r="L55">
        <v>6</v>
      </c>
      <c r="M55">
        <v>47.4</v>
      </c>
      <c r="N55" t="s">
        <v>21</v>
      </c>
      <c r="O55">
        <v>0</v>
      </c>
      <c r="P55">
        <v>4</v>
      </c>
      <c r="Q55">
        <v>450</v>
      </c>
      <c r="R55">
        <v>6480</v>
      </c>
      <c r="S55">
        <v>24.57</v>
      </c>
      <c r="T55">
        <v>47.4</v>
      </c>
      <c r="U55">
        <v>42</v>
      </c>
      <c r="V55">
        <v>1128.5714285714287</v>
      </c>
      <c r="W55" t="s">
        <v>1153</v>
      </c>
      <c r="X55" t="s">
        <v>1087</v>
      </c>
      <c r="Y55">
        <v>36</v>
      </c>
      <c r="Z55">
        <v>2</v>
      </c>
      <c r="AA55">
        <v>97.5</v>
      </c>
    </row>
    <row r="56" spans="1:27" x14ac:dyDescent="0.3">
      <c r="A56" s="15">
        <v>44452.711273148147</v>
      </c>
      <c r="B56" t="s">
        <v>13</v>
      </c>
      <c r="C56" t="s">
        <v>1128</v>
      </c>
      <c r="D56" s="2">
        <v>44441</v>
      </c>
      <c r="E56" t="s">
        <v>1130</v>
      </c>
      <c r="F56" t="s">
        <v>41</v>
      </c>
      <c r="G56" t="s">
        <v>940</v>
      </c>
      <c r="H56" t="s">
        <v>48</v>
      </c>
      <c r="I56" t="s">
        <v>1012</v>
      </c>
      <c r="J56" t="s">
        <v>512</v>
      </c>
      <c r="K56">
        <v>495</v>
      </c>
      <c r="L56">
        <v>5</v>
      </c>
      <c r="M56">
        <v>40.1</v>
      </c>
      <c r="N56" t="s">
        <v>21</v>
      </c>
      <c r="O56">
        <v>0</v>
      </c>
      <c r="P56">
        <v>3</v>
      </c>
      <c r="Q56">
        <v>450</v>
      </c>
      <c r="R56">
        <v>6480</v>
      </c>
      <c r="S56">
        <v>20.79</v>
      </c>
      <c r="T56">
        <v>40.1</v>
      </c>
      <c r="U56">
        <v>42</v>
      </c>
      <c r="V56">
        <v>954.76190476190482</v>
      </c>
      <c r="W56" t="s">
        <v>1153</v>
      </c>
      <c r="X56" t="s">
        <v>1087</v>
      </c>
      <c r="Y56">
        <v>36</v>
      </c>
      <c r="Z56">
        <v>2</v>
      </c>
      <c r="AA56">
        <v>82.5</v>
      </c>
    </row>
    <row r="57" spans="1:27" x14ac:dyDescent="0.3">
      <c r="A57" s="15">
        <v>44452.712407407409</v>
      </c>
      <c r="B57" t="s">
        <v>13</v>
      </c>
      <c r="C57" t="s">
        <v>1128</v>
      </c>
      <c r="D57" s="2">
        <v>44442</v>
      </c>
      <c r="E57" t="s">
        <v>1130</v>
      </c>
      <c r="F57" t="s">
        <v>41</v>
      </c>
      <c r="G57" t="s">
        <v>940</v>
      </c>
      <c r="H57" t="s">
        <v>48</v>
      </c>
      <c r="I57" t="s">
        <v>1012</v>
      </c>
      <c r="J57" t="s">
        <v>511</v>
      </c>
      <c r="K57">
        <v>1035</v>
      </c>
      <c r="L57">
        <v>11</v>
      </c>
      <c r="M57">
        <v>83.9</v>
      </c>
      <c r="N57" t="s">
        <v>21</v>
      </c>
      <c r="O57">
        <v>0</v>
      </c>
      <c r="P57">
        <v>7</v>
      </c>
      <c r="Q57">
        <v>450</v>
      </c>
      <c r="R57">
        <v>6481</v>
      </c>
      <c r="S57">
        <v>43.47</v>
      </c>
      <c r="T57">
        <v>83.9</v>
      </c>
      <c r="U57">
        <v>42</v>
      </c>
      <c r="V57">
        <v>1997.6190476190477</v>
      </c>
      <c r="W57" t="s">
        <v>1153</v>
      </c>
      <c r="X57" t="s">
        <v>1087</v>
      </c>
      <c r="Y57">
        <v>36</v>
      </c>
      <c r="Z57">
        <v>2</v>
      </c>
      <c r="AA57">
        <v>172.5</v>
      </c>
    </row>
    <row r="58" spans="1:27" x14ac:dyDescent="0.3">
      <c r="A58" s="15">
        <v>44452.714421296296</v>
      </c>
      <c r="B58" t="s">
        <v>13</v>
      </c>
      <c r="C58" t="s">
        <v>1128</v>
      </c>
      <c r="D58" s="2">
        <v>44443</v>
      </c>
      <c r="E58" t="s">
        <v>1130</v>
      </c>
      <c r="F58" t="s">
        <v>41</v>
      </c>
      <c r="G58" t="s">
        <v>940</v>
      </c>
      <c r="H58" t="s">
        <v>48</v>
      </c>
      <c r="I58" t="s">
        <v>1012</v>
      </c>
      <c r="J58" t="s">
        <v>514</v>
      </c>
      <c r="K58">
        <v>482</v>
      </c>
      <c r="L58">
        <v>3</v>
      </c>
      <c r="M58">
        <v>39.1</v>
      </c>
      <c r="N58" t="s">
        <v>21</v>
      </c>
      <c r="O58">
        <v>0</v>
      </c>
      <c r="P58">
        <v>2</v>
      </c>
      <c r="Q58">
        <v>450</v>
      </c>
      <c r="R58">
        <v>6482</v>
      </c>
      <c r="S58">
        <v>20.244</v>
      </c>
      <c r="T58">
        <v>39.1</v>
      </c>
      <c r="U58">
        <v>42</v>
      </c>
      <c r="V58">
        <v>930.95238095238096</v>
      </c>
      <c r="W58" t="s">
        <v>1153</v>
      </c>
      <c r="X58" t="s">
        <v>1087</v>
      </c>
      <c r="Y58">
        <v>36</v>
      </c>
      <c r="Z58">
        <v>2</v>
      </c>
      <c r="AA58">
        <v>80.333333333333329</v>
      </c>
    </row>
    <row r="59" spans="1:27" x14ac:dyDescent="0.3">
      <c r="A59" s="15">
        <v>44452.714004629626</v>
      </c>
      <c r="B59" t="s">
        <v>13</v>
      </c>
      <c r="C59" t="s">
        <v>1128</v>
      </c>
      <c r="D59" s="2">
        <v>44443</v>
      </c>
      <c r="E59" t="s">
        <v>1130</v>
      </c>
      <c r="F59" t="s">
        <v>41</v>
      </c>
      <c r="G59" t="s">
        <v>940</v>
      </c>
      <c r="H59" t="s">
        <v>48</v>
      </c>
      <c r="I59" t="s">
        <v>1012</v>
      </c>
      <c r="J59" t="s">
        <v>511</v>
      </c>
      <c r="K59">
        <v>501</v>
      </c>
      <c r="L59">
        <v>7</v>
      </c>
      <c r="M59">
        <v>40.6</v>
      </c>
      <c r="N59" t="s">
        <v>21</v>
      </c>
      <c r="O59">
        <v>0</v>
      </c>
      <c r="P59">
        <v>3</v>
      </c>
      <c r="Q59">
        <v>450</v>
      </c>
      <c r="R59">
        <v>6482</v>
      </c>
      <c r="S59">
        <v>21.042000000000002</v>
      </c>
      <c r="T59">
        <v>40.6</v>
      </c>
      <c r="U59">
        <v>42</v>
      </c>
      <c r="V59">
        <v>966.66666666666663</v>
      </c>
      <c r="W59" t="s">
        <v>1153</v>
      </c>
      <c r="X59" t="s">
        <v>1087</v>
      </c>
      <c r="Y59">
        <v>36</v>
      </c>
      <c r="Z59">
        <v>2</v>
      </c>
      <c r="AA59">
        <v>83.5</v>
      </c>
    </row>
    <row r="60" spans="1:27" x14ac:dyDescent="0.3">
      <c r="A60" s="15">
        <v>44452.71497685185</v>
      </c>
      <c r="B60" t="s">
        <v>13</v>
      </c>
      <c r="C60" t="s">
        <v>1128</v>
      </c>
      <c r="D60" s="2">
        <v>44445</v>
      </c>
      <c r="E60" t="s">
        <v>1130</v>
      </c>
      <c r="F60" t="s">
        <v>41</v>
      </c>
      <c r="G60" t="s">
        <v>940</v>
      </c>
      <c r="H60" t="s">
        <v>48</v>
      </c>
      <c r="I60" t="s">
        <v>1012</v>
      </c>
      <c r="J60" t="s">
        <v>514</v>
      </c>
      <c r="K60">
        <v>1065</v>
      </c>
      <c r="L60">
        <v>6</v>
      </c>
      <c r="M60">
        <v>86.3</v>
      </c>
      <c r="N60" t="s">
        <v>21</v>
      </c>
      <c r="O60">
        <v>0</v>
      </c>
      <c r="P60">
        <v>2</v>
      </c>
      <c r="Q60">
        <v>450</v>
      </c>
      <c r="R60">
        <v>6483</v>
      </c>
      <c r="S60">
        <v>44.73</v>
      </c>
      <c r="T60">
        <v>86.3</v>
      </c>
      <c r="U60">
        <v>42</v>
      </c>
      <c r="V60">
        <v>2054.7619047619046</v>
      </c>
      <c r="W60" t="s">
        <v>1153</v>
      </c>
      <c r="X60" t="s">
        <v>1087</v>
      </c>
      <c r="Y60">
        <v>37</v>
      </c>
      <c r="Z60">
        <v>2</v>
      </c>
      <c r="AA60">
        <v>177.5</v>
      </c>
    </row>
    <row r="61" spans="1:27" x14ac:dyDescent="0.3">
      <c r="A61" s="15">
        <v>44452.716261574074</v>
      </c>
      <c r="B61" t="s">
        <v>13</v>
      </c>
      <c r="C61" t="s">
        <v>1128</v>
      </c>
      <c r="D61" s="2">
        <v>44446</v>
      </c>
      <c r="E61" t="s">
        <v>1130</v>
      </c>
      <c r="F61" t="s">
        <v>41</v>
      </c>
      <c r="G61" t="s">
        <v>940</v>
      </c>
      <c r="H61" t="s">
        <v>48</v>
      </c>
      <c r="I61" t="s">
        <v>1012</v>
      </c>
      <c r="J61" t="s">
        <v>510</v>
      </c>
      <c r="K61">
        <v>1014</v>
      </c>
      <c r="L61">
        <v>10</v>
      </c>
      <c r="M61">
        <v>82.7</v>
      </c>
      <c r="N61" t="s">
        <v>21</v>
      </c>
      <c r="O61">
        <v>0</v>
      </c>
      <c r="P61">
        <v>6</v>
      </c>
      <c r="Q61">
        <v>450</v>
      </c>
      <c r="R61">
        <v>6484</v>
      </c>
      <c r="S61">
        <v>42.588000000000001</v>
      </c>
      <c r="T61">
        <v>82.7</v>
      </c>
      <c r="U61">
        <v>42</v>
      </c>
      <c r="V61">
        <v>1969.047619047619</v>
      </c>
      <c r="W61" t="s">
        <v>1153</v>
      </c>
      <c r="X61" t="s">
        <v>1087</v>
      </c>
      <c r="Y61">
        <v>37</v>
      </c>
      <c r="Z61">
        <v>2</v>
      </c>
      <c r="AA61">
        <v>169</v>
      </c>
    </row>
    <row r="62" spans="1:27" x14ac:dyDescent="0.3">
      <c r="A62" s="15">
        <v>44452.719629629632</v>
      </c>
      <c r="B62" t="s">
        <v>13</v>
      </c>
      <c r="C62" t="s">
        <v>1128</v>
      </c>
      <c r="D62" s="2">
        <v>44447</v>
      </c>
      <c r="E62" t="s">
        <v>1114</v>
      </c>
      <c r="F62" t="s">
        <v>41</v>
      </c>
      <c r="G62" t="s">
        <v>940</v>
      </c>
      <c r="H62" t="s">
        <v>48</v>
      </c>
      <c r="I62" t="s">
        <v>1012</v>
      </c>
      <c r="J62" t="s">
        <v>513</v>
      </c>
      <c r="K62">
        <v>326</v>
      </c>
      <c r="L62">
        <v>3</v>
      </c>
      <c r="M62">
        <v>25.7</v>
      </c>
      <c r="N62" t="s">
        <v>21</v>
      </c>
      <c r="O62">
        <v>0</v>
      </c>
      <c r="P62">
        <v>2</v>
      </c>
      <c r="Q62">
        <v>450</v>
      </c>
      <c r="R62">
        <v>6486</v>
      </c>
      <c r="S62">
        <v>13.692</v>
      </c>
      <c r="T62">
        <v>25.7</v>
      </c>
      <c r="U62">
        <v>42</v>
      </c>
      <c r="V62">
        <v>611.90476190476193</v>
      </c>
      <c r="W62" t="s">
        <v>1153</v>
      </c>
      <c r="X62" t="s">
        <v>1087</v>
      </c>
      <c r="Y62">
        <v>37</v>
      </c>
      <c r="Z62">
        <v>2</v>
      </c>
      <c r="AA62">
        <v>54.333333333333336</v>
      </c>
    </row>
    <row r="63" spans="1:27" x14ac:dyDescent="0.3">
      <c r="A63" s="15">
        <v>44452.719178240739</v>
      </c>
      <c r="B63" t="s">
        <v>13</v>
      </c>
      <c r="C63" t="s">
        <v>1128</v>
      </c>
      <c r="D63" s="2">
        <v>44447</v>
      </c>
      <c r="E63" t="s">
        <v>1114</v>
      </c>
      <c r="F63" t="s">
        <v>41</v>
      </c>
      <c r="G63" t="s">
        <v>940</v>
      </c>
      <c r="H63" t="s">
        <v>48</v>
      </c>
      <c r="I63" t="s">
        <v>1012</v>
      </c>
      <c r="J63" t="s">
        <v>515</v>
      </c>
      <c r="K63">
        <v>753</v>
      </c>
      <c r="L63">
        <v>7</v>
      </c>
      <c r="M63">
        <v>64.2</v>
      </c>
      <c r="N63" t="s">
        <v>21</v>
      </c>
      <c r="O63">
        <v>0</v>
      </c>
      <c r="P63">
        <v>6</v>
      </c>
      <c r="Q63">
        <v>450</v>
      </c>
      <c r="R63">
        <v>6486</v>
      </c>
      <c r="S63">
        <v>31.626000000000001</v>
      </c>
      <c r="T63">
        <v>64.2</v>
      </c>
      <c r="U63">
        <v>42</v>
      </c>
      <c r="V63">
        <v>1528.5714285714287</v>
      </c>
      <c r="W63" t="s">
        <v>1153</v>
      </c>
      <c r="X63" t="s">
        <v>1087</v>
      </c>
      <c r="Y63">
        <v>37</v>
      </c>
      <c r="Z63">
        <v>2</v>
      </c>
      <c r="AA63">
        <v>125.5</v>
      </c>
    </row>
    <row r="64" spans="1:27" x14ac:dyDescent="0.3">
      <c r="A64" s="15">
        <v>44452.718136574076</v>
      </c>
      <c r="B64" t="s">
        <v>13</v>
      </c>
      <c r="C64" t="s">
        <v>1128</v>
      </c>
      <c r="D64" s="2">
        <v>44447</v>
      </c>
      <c r="E64" t="s">
        <v>1105</v>
      </c>
      <c r="F64" t="s">
        <v>41</v>
      </c>
      <c r="G64" t="s">
        <v>940</v>
      </c>
      <c r="H64" t="s">
        <v>48</v>
      </c>
      <c r="I64" t="s">
        <v>1012</v>
      </c>
      <c r="J64" t="s">
        <v>515</v>
      </c>
      <c r="K64">
        <v>625</v>
      </c>
      <c r="L64">
        <v>6</v>
      </c>
      <c r="M64">
        <v>51</v>
      </c>
      <c r="N64" t="s">
        <v>21</v>
      </c>
      <c r="O64">
        <v>0</v>
      </c>
      <c r="P64">
        <v>5</v>
      </c>
      <c r="Q64">
        <v>450</v>
      </c>
      <c r="R64">
        <v>6485</v>
      </c>
      <c r="S64">
        <v>26.25</v>
      </c>
      <c r="T64">
        <v>51</v>
      </c>
      <c r="U64">
        <v>42</v>
      </c>
      <c r="V64">
        <v>1214.2857142857142</v>
      </c>
      <c r="W64" t="s">
        <v>1153</v>
      </c>
      <c r="X64" t="s">
        <v>1087</v>
      </c>
      <c r="Y64">
        <v>37</v>
      </c>
      <c r="Z64">
        <v>2</v>
      </c>
      <c r="AA64">
        <v>104.16666666666667</v>
      </c>
    </row>
    <row r="65" spans="1:27" x14ac:dyDescent="0.3">
      <c r="A65" s="15">
        <v>44452.717488425929</v>
      </c>
      <c r="B65" t="s">
        <v>13</v>
      </c>
      <c r="C65" t="s">
        <v>1128</v>
      </c>
      <c r="D65" s="2">
        <v>44447</v>
      </c>
      <c r="E65" t="s">
        <v>1105</v>
      </c>
      <c r="F65" t="s">
        <v>41</v>
      </c>
      <c r="G65" t="s">
        <v>940</v>
      </c>
      <c r="H65" t="s">
        <v>48</v>
      </c>
      <c r="I65" t="s">
        <v>1012</v>
      </c>
      <c r="J65" t="s">
        <v>510</v>
      </c>
      <c r="K65">
        <v>587</v>
      </c>
      <c r="L65">
        <v>6</v>
      </c>
      <c r="M65">
        <v>47.9</v>
      </c>
      <c r="N65" t="s">
        <v>21</v>
      </c>
      <c r="O65">
        <v>0</v>
      </c>
      <c r="P65">
        <v>4</v>
      </c>
      <c r="Q65">
        <v>450</v>
      </c>
      <c r="R65">
        <v>6485</v>
      </c>
      <c r="S65">
        <v>24.654</v>
      </c>
      <c r="T65">
        <v>47.9</v>
      </c>
      <c r="U65">
        <v>42</v>
      </c>
      <c r="V65">
        <v>1140.4761904761904</v>
      </c>
      <c r="W65" t="s">
        <v>1153</v>
      </c>
      <c r="X65" t="s">
        <v>1087</v>
      </c>
      <c r="Y65">
        <v>37</v>
      </c>
      <c r="Z65">
        <v>2</v>
      </c>
      <c r="AA65">
        <v>97.833333333333329</v>
      </c>
    </row>
    <row r="66" spans="1:27" x14ac:dyDescent="0.3">
      <c r="A66" s="15">
        <v>44452.720995370371</v>
      </c>
      <c r="B66" t="s">
        <v>13</v>
      </c>
      <c r="C66" t="s">
        <v>1128</v>
      </c>
      <c r="D66" s="2">
        <v>44449</v>
      </c>
      <c r="E66" t="s">
        <v>1114</v>
      </c>
      <c r="F66" t="s">
        <v>41</v>
      </c>
      <c r="G66" t="s">
        <v>940</v>
      </c>
      <c r="H66" t="s">
        <v>48</v>
      </c>
      <c r="I66" t="s">
        <v>1012</v>
      </c>
      <c r="J66" t="s">
        <v>512</v>
      </c>
      <c r="K66">
        <v>38</v>
      </c>
      <c r="L66">
        <v>1</v>
      </c>
      <c r="M66">
        <v>3.1</v>
      </c>
      <c r="N66" t="s">
        <v>21</v>
      </c>
      <c r="O66">
        <v>0</v>
      </c>
      <c r="P66">
        <v>1</v>
      </c>
      <c r="Q66">
        <v>450</v>
      </c>
      <c r="R66">
        <v>6487</v>
      </c>
      <c r="S66">
        <v>1.5960000000000001</v>
      </c>
      <c r="T66">
        <v>3.1</v>
      </c>
      <c r="U66">
        <v>42</v>
      </c>
      <c r="V66">
        <v>73.80952380952381</v>
      </c>
      <c r="W66" t="s">
        <v>1153</v>
      </c>
      <c r="X66" t="s">
        <v>1087</v>
      </c>
      <c r="Y66">
        <v>37</v>
      </c>
      <c r="Z66">
        <v>2</v>
      </c>
      <c r="AA66">
        <v>6.333333333333333</v>
      </c>
    </row>
    <row r="67" spans="1:27" x14ac:dyDescent="0.3">
      <c r="A67" s="15">
        <v>44452.720486111109</v>
      </c>
      <c r="B67" t="s">
        <v>13</v>
      </c>
      <c r="C67" t="s">
        <v>1128</v>
      </c>
      <c r="D67" s="2">
        <v>44449</v>
      </c>
      <c r="E67" t="s">
        <v>1114</v>
      </c>
      <c r="F67" t="s">
        <v>41</v>
      </c>
      <c r="G67" t="s">
        <v>940</v>
      </c>
      <c r="H67" t="s">
        <v>48</v>
      </c>
      <c r="I67" t="s">
        <v>1012</v>
      </c>
      <c r="J67" t="s">
        <v>513</v>
      </c>
      <c r="K67">
        <v>1067</v>
      </c>
      <c r="L67">
        <v>11</v>
      </c>
      <c r="M67">
        <v>87</v>
      </c>
      <c r="N67" t="s">
        <v>21</v>
      </c>
      <c r="O67">
        <v>0</v>
      </c>
      <c r="P67">
        <v>7</v>
      </c>
      <c r="Q67">
        <v>450</v>
      </c>
      <c r="R67">
        <v>6487</v>
      </c>
      <c r="S67">
        <v>44.814</v>
      </c>
      <c r="T67">
        <v>87</v>
      </c>
      <c r="U67">
        <v>42</v>
      </c>
      <c r="V67">
        <v>2071.4285714285716</v>
      </c>
      <c r="W67" t="s">
        <v>1153</v>
      </c>
      <c r="X67" t="s">
        <v>1087</v>
      </c>
      <c r="Y67">
        <v>37</v>
      </c>
      <c r="Z67">
        <v>2</v>
      </c>
      <c r="AA67">
        <v>177.83333333333334</v>
      </c>
    </row>
    <row r="68" spans="1:27" x14ac:dyDescent="0.3">
      <c r="A68" s="15">
        <v>44452.721909722219</v>
      </c>
      <c r="B68" t="s">
        <v>13</v>
      </c>
      <c r="C68" t="s">
        <v>1128</v>
      </c>
      <c r="D68" s="2">
        <v>44450</v>
      </c>
      <c r="E68" t="s">
        <v>1114</v>
      </c>
      <c r="F68" t="s">
        <v>41</v>
      </c>
      <c r="G68" t="s">
        <v>940</v>
      </c>
      <c r="H68" t="s">
        <v>48</v>
      </c>
      <c r="I68" t="s">
        <v>1012</v>
      </c>
      <c r="J68" t="s">
        <v>512</v>
      </c>
      <c r="K68">
        <v>905</v>
      </c>
      <c r="L68">
        <v>11</v>
      </c>
      <c r="M68">
        <v>73.8</v>
      </c>
      <c r="N68" t="s">
        <v>21</v>
      </c>
      <c r="O68">
        <v>0</v>
      </c>
      <c r="P68">
        <v>6</v>
      </c>
      <c r="Q68">
        <v>450</v>
      </c>
      <c r="R68">
        <v>6488</v>
      </c>
      <c r="S68">
        <v>38.01</v>
      </c>
      <c r="T68">
        <v>73.8</v>
      </c>
      <c r="U68">
        <v>42</v>
      </c>
      <c r="V68">
        <v>1757.1428571428571</v>
      </c>
      <c r="W68" t="s">
        <v>1153</v>
      </c>
      <c r="X68" t="s">
        <v>1087</v>
      </c>
      <c r="Y68">
        <v>37</v>
      </c>
      <c r="Z68">
        <v>2</v>
      </c>
      <c r="AA68">
        <v>150.83333333333334</v>
      </c>
    </row>
    <row r="69" spans="1:27" x14ac:dyDescent="0.3">
      <c r="A69" s="15">
        <v>44482.663703703707</v>
      </c>
      <c r="B69" t="s">
        <v>13</v>
      </c>
      <c r="C69" t="s">
        <v>1128</v>
      </c>
      <c r="D69" s="2">
        <v>44452</v>
      </c>
      <c r="E69" t="s">
        <v>1133</v>
      </c>
      <c r="F69" t="s">
        <v>41</v>
      </c>
      <c r="G69" t="s">
        <v>940</v>
      </c>
      <c r="H69" t="s">
        <v>48</v>
      </c>
      <c r="I69" t="s">
        <v>1012</v>
      </c>
      <c r="J69" t="s">
        <v>513</v>
      </c>
      <c r="K69">
        <v>268</v>
      </c>
      <c r="L69">
        <v>3</v>
      </c>
      <c r="M69">
        <v>22</v>
      </c>
      <c r="N69" t="s">
        <v>21</v>
      </c>
      <c r="O69">
        <v>0</v>
      </c>
      <c r="P69">
        <v>3</v>
      </c>
      <c r="Q69">
        <v>450</v>
      </c>
      <c r="R69">
        <v>6489</v>
      </c>
      <c r="S69">
        <v>11.256</v>
      </c>
      <c r="T69">
        <v>22</v>
      </c>
      <c r="U69">
        <v>42</v>
      </c>
      <c r="V69">
        <v>523.80952380952385</v>
      </c>
      <c r="W69" t="s">
        <v>1153</v>
      </c>
      <c r="X69" t="s">
        <v>1087</v>
      </c>
      <c r="Y69">
        <v>38</v>
      </c>
      <c r="Z69">
        <v>2</v>
      </c>
      <c r="AA69">
        <v>44.666666666666664</v>
      </c>
    </row>
    <row r="70" spans="1:27" x14ac:dyDescent="0.3">
      <c r="A70" s="15">
        <v>44482.663460648146</v>
      </c>
      <c r="B70" t="s">
        <v>13</v>
      </c>
      <c r="C70" t="s">
        <v>1128</v>
      </c>
      <c r="D70" s="2">
        <v>44452</v>
      </c>
      <c r="E70" t="s">
        <v>1133</v>
      </c>
      <c r="F70" t="s">
        <v>41</v>
      </c>
      <c r="G70" t="s">
        <v>940</v>
      </c>
      <c r="H70" t="s">
        <v>48</v>
      </c>
      <c r="I70" t="s">
        <v>1012</v>
      </c>
      <c r="J70" t="s">
        <v>512</v>
      </c>
      <c r="K70">
        <v>692</v>
      </c>
      <c r="L70">
        <v>7</v>
      </c>
      <c r="M70">
        <v>56.8</v>
      </c>
      <c r="N70" t="s">
        <v>21</v>
      </c>
      <c r="O70">
        <v>0</v>
      </c>
      <c r="P70">
        <v>3</v>
      </c>
      <c r="Q70">
        <v>450</v>
      </c>
      <c r="R70">
        <v>6489</v>
      </c>
      <c r="S70">
        <v>29.064</v>
      </c>
      <c r="T70">
        <v>56.8</v>
      </c>
      <c r="U70">
        <v>42</v>
      </c>
      <c r="V70">
        <v>1352.3809523809523</v>
      </c>
      <c r="W70" t="s">
        <v>1153</v>
      </c>
      <c r="X70" t="s">
        <v>1087</v>
      </c>
      <c r="Y70">
        <v>38</v>
      </c>
      <c r="Z70">
        <v>2</v>
      </c>
      <c r="AA70">
        <v>115.33333333333333</v>
      </c>
    </row>
    <row r="71" spans="1:27" x14ac:dyDescent="0.3">
      <c r="A71" s="15">
        <v>44482.665578703702</v>
      </c>
      <c r="B71" t="s">
        <v>13</v>
      </c>
      <c r="C71" t="s">
        <v>1128</v>
      </c>
      <c r="D71" s="2">
        <v>44453</v>
      </c>
      <c r="E71" t="s">
        <v>1133</v>
      </c>
      <c r="F71" t="s">
        <v>41</v>
      </c>
      <c r="G71" t="s">
        <v>940</v>
      </c>
      <c r="H71" t="s">
        <v>48</v>
      </c>
      <c r="I71" t="s">
        <v>1012</v>
      </c>
      <c r="J71" t="s">
        <v>511</v>
      </c>
      <c r="K71">
        <v>400</v>
      </c>
      <c r="L71">
        <v>5</v>
      </c>
      <c r="M71">
        <v>32.799999999999997</v>
      </c>
      <c r="N71" t="s">
        <v>21</v>
      </c>
      <c r="O71">
        <v>0</v>
      </c>
      <c r="P71">
        <v>3</v>
      </c>
      <c r="Q71">
        <v>450</v>
      </c>
      <c r="R71">
        <v>6490</v>
      </c>
      <c r="S71">
        <v>16.8</v>
      </c>
      <c r="T71">
        <v>32.799999999999997</v>
      </c>
      <c r="U71">
        <v>42</v>
      </c>
      <c r="V71">
        <v>780.95238095238096</v>
      </c>
      <c r="W71" t="s">
        <v>1153</v>
      </c>
      <c r="X71" t="s">
        <v>1087</v>
      </c>
      <c r="Y71">
        <v>38</v>
      </c>
      <c r="Z71">
        <v>2</v>
      </c>
      <c r="AA71">
        <v>66.666666666666671</v>
      </c>
    </row>
    <row r="72" spans="1:27" x14ac:dyDescent="0.3">
      <c r="A72" s="15">
        <v>44482.664537037039</v>
      </c>
      <c r="B72" t="s">
        <v>13</v>
      </c>
      <c r="C72" t="s">
        <v>1128</v>
      </c>
      <c r="D72" s="2">
        <v>44453</v>
      </c>
      <c r="E72" t="s">
        <v>1133</v>
      </c>
      <c r="F72" t="s">
        <v>41</v>
      </c>
      <c r="G72" t="s">
        <v>940</v>
      </c>
      <c r="H72" t="s">
        <v>48</v>
      </c>
      <c r="I72" t="s">
        <v>1012</v>
      </c>
      <c r="J72" t="s">
        <v>515</v>
      </c>
      <c r="K72">
        <v>123</v>
      </c>
      <c r="L72">
        <v>1</v>
      </c>
      <c r="M72">
        <v>10.1</v>
      </c>
      <c r="N72" t="s">
        <v>21</v>
      </c>
      <c r="O72">
        <v>0</v>
      </c>
      <c r="P72">
        <v>1</v>
      </c>
      <c r="Q72">
        <v>450</v>
      </c>
      <c r="R72">
        <v>6490</v>
      </c>
      <c r="S72">
        <v>5.1660000000000004</v>
      </c>
      <c r="T72">
        <v>10.1</v>
      </c>
      <c r="U72">
        <v>42</v>
      </c>
      <c r="V72">
        <v>240.47619047619048</v>
      </c>
      <c r="W72" t="s">
        <v>1153</v>
      </c>
      <c r="X72" t="s">
        <v>1087</v>
      </c>
      <c r="Y72">
        <v>38</v>
      </c>
      <c r="Z72">
        <v>2</v>
      </c>
      <c r="AA72">
        <v>20.5</v>
      </c>
    </row>
    <row r="73" spans="1:27" x14ac:dyDescent="0.3">
      <c r="A73" s="15">
        <v>44482.676041666666</v>
      </c>
      <c r="B73" t="s">
        <v>13</v>
      </c>
      <c r="C73" t="s">
        <v>1128</v>
      </c>
      <c r="D73" s="2">
        <v>44455</v>
      </c>
      <c r="E73" t="s">
        <v>1105</v>
      </c>
      <c r="F73" t="s">
        <v>41</v>
      </c>
      <c r="G73" t="s">
        <v>940</v>
      </c>
      <c r="H73" t="s">
        <v>48</v>
      </c>
      <c r="I73" t="s">
        <v>1001</v>
      </c>
      <c r="J73" t="s">
        <v>1134</v>
      </c>
      <c r="K73">
        <v>716</v>
      </c>
      <c r="L73">
        <v>3</v>
      </c>
      <c r="M73">
        <v>89.5</v>
      </c>
      <c r="N73" t="s">
        <v>21</v>
      </c>
      <c r="O73">
        <v>0</v>
      </c>
      <c r="P73">
        <v>6</v>
      </c>
      <c r="Q73">
        <v>461</v>
      </c>
      <c r="R73">
        <v>6492</v>
      </c>
      <c r="S73">
        <v>89.5</v>
      </c>
      <c r="T73">
        <v>89.5</v>
      </c>
      <c r="U73">
        <v>125</v>
      </c>
      <c r="V73">
        <v>716</v>
      </c>
      <c r="W73" t="s">
        <v>1153</v>
      </c>
      <c r="X73" t="s">
        <v>1087</v>
      </c>
      <c r="Y73">
        <v>38</v>
      </c>
      <c r="Z73">
        <v>1</v>
      </c>
      <c r="AA73">
        <v>59.666666666666664</v>
      </c>
    </row>
    <row r="74" spans="1:27" x14ac:dyDescent="0.3">
      <c r="A74" s="15">
        <v>44482.670011574075</v>
      </c>
      <c r="B74" t="s">
        <v>13</v>
      </c>
      <c r="C74" t="s">
        <v>1128</v>
      </c>
      <c r="D74" s="2">
        <v>44455</v>
      </c>
      <c r="E74" t="s">
        <v>1114</v>
      </c>
      <c r="F74" t="s">
        <v>41</v>
      </c>
      <c r="G74" t="s">
        <v>940</v>
      </c>
      <c r="H74" t="s">
        <v>48</v>
      </c>
      <c r="I74" t="s">
        <v>1001</v>
      </c>
      <c r="J74" t="s">
        <v>572</v>
      </c>
      <c r="K74">
        <v>392</v>
      </c>
      <c r="L74">
        <v>4</v>
      </c>
      <c r="M74">
        <v>49</v>
      </c>
      <c r="N74" t="s">
        <v>21</v>
      </c>
      <c r="O74">
        <v>0</v>
      </c>
      <c r="P74">
        <v>5</v>
      </c>
      <c r="Q74">
        <v>461</v>
      </c>
      <c r="R74">
        <v>6491</v>
      </c>
      <c r="S74">
        <v>49</v>
      </c>
      <c r="T74">
        <v>49</v>
      </c>
      <c r="U74">
        <v>125</v>
      </c>
      <c r="V74">
        <v>392</v>
      </c>
      <c r="W74" t="s">
        <v>1153</v>
      </c>
      <c r="X74" t="s">
        <v>1087</v>
      </c>
      <c r="Y74">
        <v>38</v>
      </c>
      <c r="Z74">
        <v>1</v>
      </c>
      <c r="AA74">
        <v>32.666666666666664</v>
      </c>
    </row>
    <row r="75" spans="1:27" x14ac:dyDescent="0.3">
      <c r="A75" s="15">
        <v>44482.678888888891</v>
      </c>
      <c r="B75" t="s">
        <v>13</v>
      </c>
      <c r="C75" t="s">
        <v>1128</v>
      </c>
      <c r="D75" s="2">
        <v>44457</v>
      </c>
      <c r="E75" t="s">
        <v>1082</v>
      </c>
      <c r="F75" t="s">
        <v>41</v>
      </c>
      <c r="G75" t="s">
        <v>940</v>
      </c>
      <c r="H75" t="s">
        <v>48</v>
      </c>
      <c r="I75" t="s">
        <v>1001</v>
      </c>
      <c r="J75" t="s">
        <v>1083</v>
      </c>
      <c r="K75">
        <v>640</v>
      </c>
      <c r="L75">
        <v>6</v>
      </c>
      <c r="M75">
        <v>80</v>
      </c>
      <c r="N75" t="s">
        <v>21</v>
      </c>
      <c r="O75">
        <v>0</v>
      </c>
      <c r="P75">
        <v>6</v>
      </c>
      <c r="Q75">
        <v>461</v>
      </c>
      <c r="R75">
        <v>6493</v>
      </c>
      <c r="S75">
        <v>80</v>
      </c>
      <c r="T75">
        <v>80</v>
      </c>
      <c r="U75">
        <v>125</v>
      </c>
      <c r="V75">
        <v>640</v>
      </c>
      <c r="W75" t="s">
        <v>1153</v>
      </c>
      <c r="X75" t="s">
        <v>1087</v>
      </c>
      <c r="Y75">
        <v>38</v>
      </c>
      <c r="Z75">
        <v>1</v>
      </c>
      <c r="AA75">
        <v>53.333333333333336</v>
      </c>
    </row>
    <row r="76" spans="1:27" x14ac:dyDescent="0.3">
      <c r="A76" s="15">
        <v>44482.676770833335</v>
      </c>
      <c r="B76" t="s">
        <v>13</v>
      </c>
      <c r="C76" t="s">
        <v>1128</v>
      </c>
      <c r="D76" s="2">
        <v>44457</v>
      </c>
      <c r="E76" t="s">
        <v>1082</v>
      </c>
      <c r="F76" t="s">
        <v>41</v>
      </c>
      <c r="G76" t="s">
        <v>940</v>
      </c>
      <c r="H76" t="s">
        <v>48</v>
      </c>
      <c r="I76" t="s">
        <v>1001</v>
      </c>
      <c r="J76" t="s">
        <v>1134</v>
      </c>
      <c r="K76">
        <v>64</v>
      </c>
      <c r="L76">
        <v>2</v>
      </c>
      <c r="M76">
        <v>8.32</v>
      </c>
      <c r="N76" t="s">
        <v>21</v>
      </c>
      <c r="O76">
        <v>0</v>
      </c>
      <c r="P76">
        <v>1</v>
      </c>
      <c r="Q76">
        <v>461</v>
      </c>
      <c r="R76">
        <v>6493</v>
      </c>
      <c r="S76">
        <v>8</v>
      </c>
      <c r="T76">
        <v>8.32</v>
      </c>
      <c r="U76">
        <v>125</v>
      </c>
      <c r="V76">
        <v>66.56</v>
      </c>
      <c r="W76" t="s">
        <v>1153</v>
      </c>
      <c r="X76" t="s">
        <v>1087</v>
      </c>
      <c r="Y76">
        <v>38</v>
      </c>
      <c r="Z76">
        <v>1</v>
      </c>
      <c r="AA76">
        <v>5.333333333333333</v>
      </c>
    </row>
    <row r="77" spans="1:27" x14ac:dyDescent="0.3">
      <c r="A77" s="15">
        <v>44482.680393518516</v>
      </c>
      <c r="B77" t="s">
        <v>13</v>
      </c>
      <c r="C77" t="s">
        <v>1128</v>
      </c>
      <c r="D77" s="2">
        <v>44459</v>
      </c>
      <c r="E77" t="s">
        <v>1114</v>
      </c>
      <c r="F77" t="s">
        <v>41</v>
      </c>
      <c r="G77" t="s">
        <v>940</v>
      </c>
      <c r="H77" t="s">
        <v>48</v>
      </c>
      <c r="I77" t="s">
        <v>1001</v>
      </c>
      <c r="J77" t="s">
        <v>1083</v>
      </c>
      <c r="K77">
        <v>890</v>
      </c>
      <c r="L77">
        <v>11</v>
      </c>
      <c r="M77">
        <v>111.3</v>
      </c>
      <c r="N77" t="s">
        <v>21</v>
      </c>
      <c r="O77">
        <v>0</v>
      </c>
      <c r="P77">
        <v>7</v>
      </c>
      <c r="Q77">
        <v>461</v>
      </c>
      <c r="R77">
        <v>6494</v>
      </c>
      <c r="S77">
        <v>111.25</v>
      </c>
      <c r="T77">
        <v>111.3</v>
      </c>
      <c r="U77">
        <v>125</v>
      </c>
      <c r="V77">
        <v>890.4</v>
      </c>
      <c r="W77" t="s">
        <v>1153</v>
      </c>
      <c r="X77" t="s">
        <v>1087</v>
      </c>
      <c r="Y77">
        <v>39</v>
      </c>
      <c r="Z77">
        <v>1</v>
      </c>
      <c r="AA77">
        <v>74.166666666666671</v>
      </c>
    </row>
    <row r="78" spans="1:27" x14ac:dyDescent="0.3">
      <c r="A78" s="15">
        <v>44482.684606481482</v>
      </c>
      <c r="B78" t="s">
        <v>13</v>
      </c>
      <c r="C78" t="s">
        <v>1128</v>
      </c>
      <c r="D78" s="2">
        <v>44460</v>
      </c>
      <c r="E78" t="s">
        <v>1114</v>
      </c>
      <c r="F78" t="s">
        <v>41</v>
      </c>
      <c r="G78" t="s">
        <v>940</v>
      </c>
      <c r="H78" t="s">
        <v>48</v>
      </c>
      <c r="I78" t="s">
        <v>1001</v>
      </c>
      <c r="J78" t="s">
        <v>571</v>
      </c>
      <c r="K78">
        <v>514</v>
      </c>
      <c r="L78">
        <v>6</v>
      </c>
      <c r="M78">
        <v>64.3</v>
      </c>
      <c r="N78" t="s">
        <v>21</v>
      </c>
      <c r="O78">
        <v>0</v>
      </c>
      <c r="P78">
        <v>5</v>
      </c>
      <c r="Q78">
        <v>461</v>
      </c>
      <c r="R78">
        <v>6495</v>
      </c>
      <c r="S78">
        <v>64.25</v>
      </c>
      <c r="T78">
        <v>64.3</v>
      </c>
      <c r="U78">
        <v>125</v>
      </c>
      <c r="V78">
        <v>514.4</v>
      </c>
      <c r="W78" t="s">
        <v>1153</v>
      </c>
      <c r="X78" t="s">
        <v>1087</v>
      </c>
      <c r="Y78">
        <v>39</v>
      </c>
      <c r="Z78">
        <v>1</v>
      </c>
      <c r="AA78">
        <v>42.833333333333336</v>
      </c>
    </row>
    <row r="79" spans="1:27" x14ac:dyDescent="0.3">
      <c r="A79" s="15">
        <v>44482.683981481481</v>
      </c>
      <c r="B79" t="s">
        <v>13</v>
      </c>
      <c r="C79" t="s">
        <v>1128</v>
      </c>
      <c r="D79" s="2">
        <v>44460</v>
      </c>
      <c r="E79" t="s">
        <v>1114</v>
      </c>
      <c r="F79" t="s">
        <v>41</v>
      </c>
      <c r="G79" t="s">
        <v>940</v>
      </c>
      <c r="H79" t="s">
        <v>48</v>
      </c>
      <c r="I79" t="s">
        <v>1001</v>
      </c>
      <c r="J79" t="s">
        <v>1083</v>
      </c>
      <c r="K79">
        <v>56</v>
      </c>
      <c r="L79">
        <v>2</v>
      </c>
      <c r="M79">
        <v>7</v>
      </c>
      <c r="N79" t="s">
        <v>21</v>
      </c>
      <c r="O79">
        <v>0</v>
      </c>
      <c r="P79">
        <v>1</v>
      </c>
      <c r="Q79">
        <v>461</v>
      </c>
      <c r="R79">
        <v>6495</v>
      </c>
      <c r="S79">
        <v>7</v>
      </c>
      <c r="T79">
        <v>7</v>
      </c>
      <c r="U79">
        <v>125</v>
      </c>
      <c r="V79">
        <v>56</v>
      </c>
      <c r="W79" t="s">
        <v>1153</v>
      </c>
      <c r="X79" t="s">
        <v>1087</v>
      </c>
      <c r="Y79">
        <v>39</v>
      </c>
      <c r="Z79">
        <v>1</v>
      </c>
      <c r="AA79">
        <v>4.666666666666667</v>
      </c>
    </row>
    <row r="80" spans="1:27" x14ac:dyDescent="0.3">
      <c r="A80" s="15">
        <v>44482.685601851852</v>
      </c>
      <c r="B80" t="s">
        <v>13</v>
      </c>
      <c r="C80" t="s">
        <v>1128</v>
      </c>
      <c r="D80" s="2">
        <v>44461</v>
      </c>
      <c r="E80" t="s">
        <v>1114</v>
      </c>
      <c r="F80" t="s">
        <v>41</v>
      </c>
      <c r="G80" t="s">
        <v>940</v>
      </c>
      <c r="H80" t="s">
        <v>48</v>
      </c>
      <c r="I80" t="s">
        <v>1001</v>
      </c>
      <c r="J80" t="s">
        <v>1134</v>
      </c>
      <c r="K80">
        <v>111</v>
      </c>
      <c r="L80">
        <v>2</v>
      </c>
      <c r="M80">
        <v>13.4</v>
      </c>
      <c r="N80" t="s">
        <v>21</v>
      </c>
      <c r="O80">
        <v>0</v>
      </c>
      <c r="P80">
        <v>1</v>
      </c>
      <c r="Q80">
        <v>461</v>
      </c>
      <c r="R80">
        <v>6496</v>
      </c>
      <c r="S80">
        <v>13.875</v>
      </c>
      <c r="T80">
        <v>13.4</v>
      </c>
      <c r="U80">
        <v>125</v>
      </c>
      <c r="V80">
        <v>107.2</v>
      </c>
      <c r="W80" t="s">
        <v>1153</v>
      </c>
      <c r="X80" t="s">
        <v>1087</v>
      </c>
      <c r="Y80">
        <v>39</v>
      </c>
      <c r="Z80">
        <v>1</v>
      </c>
      <c r="AA80">
        <v>9.25</v>
      </c>
    </row>
    <row r="81" spans="1:27" x14ac:dyDescent="0.3">
      <c r="A81" s="15">
        <v>44482.685219907406</v>
      </c>
      <c r="B81" t="s">
        <v>13</v>
      </c>
      <c r="C81" t="s">
        <v>1128</v>
      </c>
      <c r="D81" s="2">
        <v>44461</v>
      </c>
      <c r="E81" t="s">
        <v>1114</v>
      </c>
      <c r="F81" t="s">
        <v>41</v>
      </c>
      <c r="G81" t="s">
        <v>940</v>
      </c>
      <c r="H81" t="s">
        <v>48</v>
      </c>
      <c r="I81" t="s">
        <v>1001</v>
      </c>
      <c r="J81" t="s">
        <v>571</v>
      </c>
      <c r="K81">
        <v>494</v>
      </c>
      <c r="L81">
        <v>6</v>
      </c>
      <c r="M81">
        <v>61.8</v>
      </c>
      <c r="N81" t="s">
        <v>21</v>
      </c>
      <c r="O81">
        <v>0</v>
      </c>
      <c r="P81">
        <v>5</v>
      </c>
      <c r="Q81">
        <v>461</v>
      </c>
      <c r="R81">
        <v>6496</v>
      </c>
      <c r="S81">
        <v>61.75</v>
      </c>
      <c r="T81">
        <v>61.8</v>
      </c>
      <c r="U81">
        <v>125</v>
      </c>
      <c r="V81">
        <v>494.4</v>
      </c>
      <c r="W81" t="s">
        <v>1153</v>
      </c>
      <c r="X81" t="s">
        <v>1087</v>
      </c>
      <c r="Y81">
        <v>39</v>
      </c>
      <c r="Z81">
        <v>1</v>
      </c>
      <c r="AA81">
        <v>41.166666666666664</v>
      </c>
    </row>
    <row r="82" spans="1:27" x14ac:dyDescent="0.3">
      <c r="A82" s="15">
        <v>44482.688171296293</v>
      </c>
      <c r="B82" t="s">
        <v>13</v>
      </c>
      <c r="C82" t="s">
        <v>1128</v>
      </c>
      <c r="D82" s="2">
        <v>44463</v>
      </c>
      <c r="E82" t="s">
        <v>1105</v>
      </c>
      <c r="F82" t="s">
        <v>41</v>
      </c>
      <c r="G82" t="s">
        <v>940</v>
      </c>
      <c r="H82" t="s">
        <v>48</v>
      </c>
      <c r="I82" t="s">
        <v>1001</v>
      </c>
      <c r="J82" t="s">
        <v>1134</v>
      </c>
      <c r="K82">
        <v>599</v>
      </c>
      <c r="L82">
        <v>10</v>
      </c>
      <c r="M82">
        <v>74.900000000000006</v>
      </c>
      <c r="N82" t="s">
        <v>21</v>
      </c>
      <c r="O82">
        <v>0</v>
      </c>
      <c r="P82">
        <v>6</v>
      </c>
      <c r="Q82">
        <v>461</v>
      </c>
      <c r="R82">
        <v>497</v>
      </c>
      <c r="S82">
        <v>74.875</v>
      </c>
      <c r="T82">
        <v>74.900000000000006</v>
      </c>
      <c r="U82">
        <v>125</v>
      </c>
      <c r="V82">
        <v>599.20000000000005</v>
      </c>
      <c r="W82" t="s">
        <v>1153</v>
      </c>
      <c r="X82" t="s">
        <v>1087</v>
      </c>
      <c r="Y82">
        <v>39</v>
      </c>
      <c r="Z82">
        <v>1</v>
      </c>
      <c r="AA82">
        <v>49.916666666666664</v>
      </c>
    </row>
    <row r="83" spans="1:27" x14ac:dyDescent="0.3">
      <c r="A83" s="15">
        <v>44482.690138888887</v>
      </c>
      <c r="B83" t="s">
        <v>13</v>
      </c>
      <c r="C83" t="s">
        <v>1128</v>
      </c>
      <c r="D83" s="2">
        <v>44464</v>
      </c>
      <c r="E83" t="s">
        <v>1114</v>
      </c>
      <c r="F83" t="s">
        <v>41</v>
      </c>
      <c r="G83" t="s">
        <v>940</v>
      </c>
      <c r="H83" t="s">
        <v>48</v>
      </c>
      <c r="I83" t="s">
        <v>1001</v>
      </c>
      <c r="J83" t="s">
        <v>572</v>
      </c>
      <c r="K83">
        <v>68</v>
      </c>
      <c r="L83">
        <v>3</v>
      </c>
      <c r="M83">
        <v>9.8000000000000007</v>
      </c>
      <c r="N83" t="s">
        <v>21</v>
      </c>
      <c r="O83">
        <v>0</v>
      </c>
      <c r="P83">
        <v>1</v>
      </c>
      <c r="Q83">
        <v>461</v>
      </c>
      <c r="R83">
        <v>6498</v>
      </c>
      <c r="S83">
        <v>8.5</v>
      </c>
      <c r="T83">
        <v>9.8000000000000007</v>
      </c>
      <c r="U83">
        <v>125</v>
      </c>
      <c r="V83">
        <v>78.400000000000006</v>
      </c>
      <c r="W83" t="s">
        <v>1153</v>
      </c>
      <c r="X83" t="s">
        <v>1087</v>
      </c>
      <c r="Y83">
        <v>39</v>
      </c>
      <c r="Z83">
        <v>1</v>
      </c>
      <c r="AA83">
        <v>5.666666666666667</v>
      </c>
    </row>
    <row r="84" spans="1:27" x14ac:dyDescent="0.3">
      <c r="A84" s="15">
        <v>44482.689849537041</v>
      </c>
      <c r="B84" t="s">
        <v>13</v>
      </c>
      <c r="C84" t="s">
        <v>1128</v>
      </c>
      <c r="D84" s="2">
        <v>44464</v>
      </c>
      <c r="E84" t="s">
        <v>1114</v>
      </c>
      <c r="F84" t="s">
        <v>41</v>
      </c>
      <c r="G84" t="s">
        <v>940</v>
      </c>
      <c r="H84" t="s">
        <v>48</v>
      </c>
      <c r="I84" t="s">
        <v>1001</v>
      </c>
      <c r="J84" t="s">
        <v>1083</v>
      </c>
      <c r="K84">
        <v>158</v>
      </c>
      <c r="L84">
        <v>3</v>
      </c>
      <c r="M84">
        <v>19.8</v>
      </c>
      <c r="N84" t="s">
        <v>21</v>
      </c>
      <c r="O84">
        <v>0</v>
      </c>
      <c r="P84">
        <v>3</v>
      </c>
      <c r="Q84">
        <v>461</v>
      </c>
      <c r="R84">
        <v>6498</v>
      </c>
      <c r="S84">
        <v>19.75</v>
      </c>
      <c r="T84">
        <v>19.8</v>
      </c>
      <c r="U84">
        <v>125</v>
      </c>
      <c r="V84">
        <v>158.4</v>
      </c>
      <c r="W84" t="s">
        <v>1153</v>
      </c>
      <c r="X84" t="s">
        <v>1087</v>
      </c>
      <c r="Y84">
        <v>39</v>
      </c>
      <c r="Z84">
        <v>1</v>
      </c>
      <c r="AA84">
        <v>13.166666666666666</v>
      </c>
    </row>
    <row r="85" spans="1:27" x14ac:dyDescent="0.3">
      <c r="A85" s="15">
        <v>44482.687025462961</v>
      </c>
      <c r="B85" t="s">
        <v>13</v>
      </c>
      <c r="C85" t="s">
        <v>1128</v>
      </c>
      <c r="D85" s="2">
        <v>44464</v>
      </c>
      <c r="E85" t="s">
        <v>1114</v>
      </c>
      <c r="F85" t="s">
        <v>41</v>
      </c>
      <c r="G85" t="s">
        <v>940</v>
      </c>
      <c r="H85" t="s">
        <v>48</v>
      </c>
      <c r="I85" t="s">
        <v>1001</v>
      </c>
      <c r="J85" t="s">
        <v>1134</v>
      </c>
      <c r="K85">
        <v>376</v>
      </c>
      <c r="L85">
        <v>4</v>
      </c>
      <c r="M85">
        <v>47</v>
      </c>
      <c r="N85" t="s">
        <v>21</v>
      </c>
      <c r="O85">
        <v>0</v>
      </c>
      <c r="P85">
        <v>3</v>
      </c>
      <c r="Q85">
        <v>461</v>
      </c>
      <c r="R85">
        <v>6498</v>
      </c>
      <c r="S85">
        <v>47</v>
      </c>
      <c r="T85">
        <v>47</v>
      </c>
      <c r="U85">
        <v>125</v>
      </c>
      <c r="V85">
        <v>376</v>
      </c>
      <c r="W85" t="s">
        <v>1153</v>
      </c>
      <c r="X85" t="s">
        <v>1087</v>
      </c>
      <c r="Y85">
        <v>39</v>
      </c>
      <c r="Z85">
        <v>1</v>
      </c>
      <c r="AA85">
        <v>31.333333333333332</v>
      </c>
    </row>
    <row r="86" spans="1:27" x14ac:dyDescent="0.3">
      <c r="A86" s="15">
        <v>44482.690833333334</v>
      </c>
      <c r="B86" t="s">
        <v>13</v>
      </c>
      <c r="C86" t="s">
        <v>1128</v>
      </c>
      <c r="D86" s="2">
        <v>44466</v>
      </c>
      <c r="E86" t="s">
        <v>1114</v>
      </c>
      <c r="F86" t="s">
        <v>41</v>
      </c>
      <c r="G86" t="s">
        <v>940</v>
      </c>
      <c r="H86" t="s">
        <v>48</v>
      </c>
      <c r="I86" t="s">
        <v>1001</v>
      </c>
      <c r="J86" t="s">
        <v>572</v>
      </c>
      <c r="K86">
        <v>860</v>
      </c>
      <c r="L86">
        <v>10</v>
      </c>
      <c r="M86">
        <v>107.5</v>
      </c>
      <c r="N86" t="s">
        <v>21</v>
      </c>
      <c r="O86">
        <v>0</v>
      </c>
      <c r="P86">
        <v>7</v>
      </c>
      <c r="Q86">
        <v>461</v>
      </c>
      <c r="R86">
        <v>6499</v>
      </c>
      <c r="S86">
        <v>107.5</v>
      </c>
      <c r="T86">
        <v>107.5</v>
      </c>
      <c r="U86">
        <v>125</v>
      </c>
      <c r="V86">
        <v>860</v>
      </c>
      <c r="W86" t="s">
        <v>1153</v>
      </c>
      <c r="X86" t="s">
        <v>1087</v>
      </c>
      <c r="Y86">
        <v>40</v>
      </c>
      <c r="Z86">
        <v>1</v>
      </c>
      <c r="AA86">
        <v>71.666666666666671</v>
      </c>
    </row>
    <row r="87" spans="1:27" x14ac:dyDescent="0.3">
      <c r="A87" s="15">
        <v>44482.691782407404</v>
      </c>
      <c r="B87" t="s">
        <v>13</v>
      </c>
      <c r="C87" t="s">
        <v>1128</v>
      </c>
      <c r="D87" s="2">
        <v>44467</v>
      </c>
      <c r="E87" t="s">
        <v>1114</v>
      </c>
      <c r="F87" t="s">
        <v>41</v>
      </c>
      <c r="G87" t="s">
        <v>940</v>
      </c>
      <c r="H87" t="s">
        <v>48</v>
      </c>
      <c r="I87" t="s">
        <v>1001</v>
      </c>
      <c r="J87" t="s">
        <v>572</v>
      </c>
      <c r="K87">
        <v>200</v>
      </c>
      <c r="L87">
        <v>3</v>
      </c>
      <c r="M87">
        <v>25</v>
      </c>
      <c r="N87" t="s">
        <v>21</v>
      </c>
      <c r="O87">
        <v>0</v>
      </c>
      <c r="P87">
        <v>1</v>
      </c>
      <c r="Q87">
        <v>461</v>
      </c>
      <c r="R87">
        <v>6500</v>
      </c>
      <c r="S87">
        <v>25</v>
      </c>
      <c r="T87">
        <v>25</v>
      </c>
      <c r="U87">
        <v>125</v>
      </c>
      <c r="V87">
        <v>200</v>
      </c>
      <c r="W87" t="s">
        <v>1153</v>
      </c>
      <c r="X87" t="s">
        <v>1087</v>
      </c>
      <c r="Y87">
        <v>40</v>
      </c>
      <c r="Z87">
        <v>1</v>
      </c>
      <c r="AA87">
        <v>16.666666666666668</v>
      </c>
    </row>
    <row r="88" spans="1:27" x14ac:dyDescent="0.3">
      <c r="A88" s="15">
        <v>44482.691400462965</v>
      </c>
      <c r="B88" t="s">
        <v>13</v>
      </c>
      <c r="C88" t="s">
        <v>1128</v>
      </c>
      <c r="D88" s="2">
        <v>44467</v>
      </c>
      <c r="E88" t="s">
        <v>1114</v>
      </c>
      <c r="F88" t="s">
        <v>41</v>
      </c>
      <c r="G88" t="s">
        <v>940</v>
      </c>
      <c r="H88" t="s">
        <v>48</v>
      </c>
      <c r="I88" t="s">
        <v>1001</v>
      </c>
      <c r="J88" t="s">
        <v>572</v>
      </c>
      <c r="K88">
        <v>638</v>
      </c>
      <c r="L88">
        <v>8</v>
      </c>
      <c r="M88">
        <v>79.8</v>
      </c>
      <c r="N88" t="s">
        <v>21</v>
      </c>
      <c r="O88">
        <v>0</v>
      </c>
      <c r="P88">
        <v>2</v>
      </c>
      <c r="Q88">
        <v>461</v>
      </c>
      <c r="R88">
        <v>6500</v>
      </c>
      <c r="S88">
        <v>79.75</v>
      </c>
      <c r="T88">
        <v>79.8</v>
      </c>
      <c r="U88">
        <v>125</v>
      </c>
      <c r="V88">
        <v>638.4</v>
      </c>
      <c r="W88" t="s">
        <v>1153</v>
      </c>
      <c r="X88" t="s">
        <v>1087</v>
      </c>
      <c r="Y88">
        <v>40</v>
      </c>
      <c r="Z88">
        <v>1</v>
      </c>
      <c r="AA88">
        <v>53.166666666666664</v>
      </c>
    </row>
    <row r="89" spans="1:27" x14ac:dyDescent="0.3">
      <c r="A89" s="15">
        <v>44453.734849537039</v>
      </c>
      <c r="B89" t="s">
        <v>13</v>
      </c>
      <c r="C89" t="s">
        <v>1132</v>
      </c>
      <c r="D89" s="2">
        <v>44440</v>
      </c>
      <c r="E89" t="s">
        <v>1082</v>
      </c>
      <c r="F89" t="s">
        <v>41</v>
      </c>
      <c r="G89" t="s">
        <v>943</v>
      </c>
      <c r="H89" t="s">
        <v>48</v>
      </c>
      <c r="I89" t="s">
        <v>1039</v>
      </c>
      <c r="J89" t="s">
        <v>221</v>
      </c>
      <c r="K89">
        <v>1134</v>
      </c>
      <c r="L89">
        <v>11</v>
      </c>
      <c r="M89">
        <v>153.5</v>
      </c>
      <c r="N89" t="s">
        <v>21</v>
      </c>
      <c r="O89">
        <v>0</v>
      </c>
      <c r="P89">
        <v>19</v>
      </c>
      <c r="Q89">
        <v>449</v>
      </c>
      <c r="R89">
        <v>7109</v>
      </c>
      <c r="S89">
        <v>156.49199999999999</v>
      </c>
      <c r="T89">
        <v>153.5</v>
      </c>
      <c r="U89">
        <v>138</v>
      </c>
      <c r="V89">
        <v>1112.3188405797102</v>
      </c>
      <c r="W89" t="s">
        <v>1153</v>
      </c>
      <c r="X89" t="s">
        <v>1087</v>
      </c>
      <c r="Y89">
        <v>36</v>
      </c>
      <c r="Z89">
        <v>1</v>
      </c>
      <c r="AA89">
        <v>94.5</v>
      </c>
    </row>
    <row r="90" spans="1:27" x14ac:dyDescent="0.3">
      <c r="A90" s="15">
        <v>44453.736238425925</v>
      </c>
      <c r="B90" t="s">
        <v>13</v>
      </c>
      <c r="C90" t="s">
        <v>1132</v>
      </c>
      <c r="D90" s="2">
        <v>44441</v>
      </c>
      <c r="E90" t="s">
        <v>1082</v>
      </c>
      <c r="F90" t="s">
        <v>41</v>
      </c>
      <c r="G90" t="s">
        <v>943</v>
      </c>
      <c r="H90" t="s">
        <v>48</v>
      </c>
      <c r="I90" t="s">
        <v>1039</v>
      </c>
      <c r="J90" t="s">
        <v>221</v>
      </c>
      <c r="K90">
        <v>1211</v>
      </c>
      <c r="L90">
        <v>12</v>
      </c>
      <c r="M90">
        <v>171</v>
      </c>
      <c r="N90" t="s">
        <v>21</v>
      </c>
      <c r="O90">
        <v>60</v>
      </c>
      <c r="P90">
        <v>20</v>
      </c>
      <c r="Q90">
        <v>449</v>
      </c>
      <c r="R90">
        <v>7111</v>
      </c>
      <c r="S90">
        <v>167.11799999999999</v>
      </c>
      <c r="T90">
        <v>171</v>
      </c>
      <c r="U90">
        <v>138</v>
      </c>
      <c r="V90">
        <v>1239.1304347826087</v>
      </c>
      <c r="W90" t="s">
        <v>1153</v>
      </c>
      <c r="X90" t="s">
        <v>1087</v>
      </c>
      <c r="Y90">
        <v>36</v>
      </c>
      <c r="Z90">
        <v>1</v>
      </c>
      <c r="AA90">
        <v>100.91666666666667</v>
      </c>
    </row>
    <row r="91" spans="1:27" x14ac:dyDescent="0.3">
      <c r="A91" s="15">
        <v>44453.739050925928</v>
      </c>
      <c r="B91" t="s">
        <v>13</v>
      </c>
      <c r="C91" t="s">
        <v>1132</v>
      </c>
      <c r="D91" s="2">
        <v>44442</v>
      </c>
      <c r="E91" t="s">
        <v>1105</v>
      </c>
      <c r="F91" t="s">
        <v>41</v>
      </c>
      <c r="G91" t="s">
        <v>943</v>
      </c>
      <c r="H91" t="s">
        <v>48</v>
      </c>
      <c r="I91" t="s">
        <v>1039</v>
      </c>
      <c r="J91" t="s">
        <v>221</v>
      </c>
      <c r="K91">
        <v>1386</v>
      </c>
      <c r="L91">
        <v>12</v>
      </c>
      <c r="M91">
        <v>192.4</v>
      </c>
      <c r="N91" t="s">
        <v>21</v>
      </c>
      <c r="O91">
        <v>60</v>
      </c>
      <c r="P91">
        <v>23</v>
      </c>
      <c r="Q91">
        <v>449</v>
      </c>
      <c r="R91">
        <v>7113</v>
      </c>
      <c r="S91">
        <v>191.268</v>
      </c>
      <c r="T91">
        <v>192.4</v>
      </c>
      <c r="U91">
        <v>138</v>
      </c>
      <c r="V91">
        <v>1394.2028985507247</v>
      </c>
      <c r="W91" t="s">
        <v>1153</v>
      </c>
      <c r="X91" t="s">
        <v>1087</v>
      </c>
      <c r="Y91">
        <v>36</v>
      </c>
      <c r="Z91">
        <v>1</v>
      </c>
      <c r="AA91">
        <v>115.5</v>
      </c>
    </row>
    <row r="92" spans="1:27" x14ac:dyDescent="0.3">
      <c r="A92" s="15">
        <v>44453.740648148145</v>
      </c>
      <c r="B92" t="s">
        <v>13</v>
      </c>
      <c r="C92" t="s">
        <v>1132</v>
      </c>
      <c r="D92" s="2">
        <v>44443</v>
      </c>
      <c r="E92" t="s">
        <v>1082</v>
      </c>
      <c r="F92" t="s">
        <v>41</v>
      </c>
      <c r="G92" t="s">
        <v>943</v>
      </c>
      <c r="H92" t="s">
        <v>48</v>
      </c>
      <c r="I92" t="s">
        <v>1039</v>
      </c>
      <c r="J92" t="s">
        <v>221</v>
      </c>
      <c r="K92">
        <v>660</v>
      </c>
      <c r="L92">
        <v>5</v>
      </c>
      <c r="M92">
        <v>92.5</v>
      </c>
      <c r="N92" t="s">
        <v>21</v>
      </c>
      <c r="O92">
        <v>60</v>
      </c>
      <c r="P92">
        <v>11</v>
      </c>
      <c r="Q92">
        <v>449</v>
      </c>
      <c r="R92">
        <v>7115</v>
      </c>
      <c r="S92">
        <v>91.08</v>
      </c>
      <c r="T92">
        <v>92.5</v>
      </c>
      <c r="U92">
        <v>138</v>
      </c>
      <c r="V92">
        <v>670.28985507246375</v>
      </c>
      <c r="W92" t="s">
        <v>1153</v>
      </c>
      <c r="X92" t="s">
        <v>1087</v>
      </c>
      <c r="Y92">
        <v>36</v>
      </c>
      <c r="Z92">
        <v>1</v>
      </c>
      <c r="AA92">
        <v>55</v>
      </c>
    </row>
    <row r="93" spans="1:27" x14ac:dyDescent="0.3">
      <c r="A93" s="15">
        <v>44482.721493055556</v>
      </c>
      <c r="B93" t="s">
        <v>13</v>
      </c>
      <c r="C93" t="s">
        <v>1132</v>
      </c>
      <c r="D93" s="2">
        <v>44445</v>
      </c>
      <c r="E93" t="s">
        <v>1105</v>
      </c>
      <c r="F93" t="s">
        <v>41</v>
      </c>
      <c r="G93" t="s">
        <v>943</v>
      </c>
      <c r="H93" t="s">
        <v>48</v>
      </c>
      <c r="I93" t="s">
        <v>1053</v>
      </c>
      <c r="J93" t="s">
        <v>152</v>
      </c>
      <c r="K93">
        <v>116</v>
      </c>
      <c r="L93">
        <v>2</v>
      </c>
      <c r="M93">
        <v>28.5</v>
      </c>
      <c r="N93" t="s">
        <v>21</v>
      </c>
      <c r="O93">
        <v>0</v>
      </c>
      <c r="P93">
        <v>3</v>
      </c>
      <c r="Q93">
        <v>457</v>
      </c>
      <c r="R93">
        <v>7116</v>
      </c>
      <c r="S93">
        <v>27.84</v>
      </c>
      <c r="T93">
        <v>28.5</v>
      </c>
      <c r="U93">
        <v>240</v>
      </c>
      <c r="V93">
        <v>118.75</v>
      </c>
      <c r="W93" t="s">
        <v>1153</v>
      </c>
      <c r="X93" t="s">
        <v>1087</v>
      </c>
      <c r="Y93">
        <v>37</v>
      </c>
      <c r="Z93">
        <v>1</v>
      </c>
      <c r="AA93">
        <v>9.6666666666666661</v>
      </c>
    </row>
    <row r="94" spans="1:27" x14ac:dyDescent="0.3">
      <c r="A94" s="15">
        <v>44482.723020833335</v>
      </c>
      <c r="B94" t="s">
        <v>13</v>
      </c>
      <c r="C94" t="s">
        <v>1132</v>
      </c>
      <c r="D94" s="2">
        <v>44446</v>
      </c>
      <c r="E94" t="s">
        <v>1081</v>
      </c>
      <c r="F94" t="s">
        <v>41</v>
      </c>
      <c r="G94" t="s">
        <v>943</v>
      </c>
      <c r="H94" t="s">
        <v>48</v>
      </c>
      <c r="I94" t="s">
        <v>1053</v>
      </c>
      <c r="J94" t="s">
        <v>152</v>
      </c>
      <c r="K94">
        <v>1008</v>
      </c>
      <c r="L94">
        <v>11</v>
      </c>
      <c r="M94">
        <v>246.96</v>
      </c>
      <c r="N94" t="s">
        <v>21</v>
      </c>
      <c r="O94">
        <v>24</v>
      </c>
      <c r="P94">
        <v>38</v>
      </c>
      <c r="Q94">
        <v>457</v>
      </c>
      <c r="R94">
        <v>7118</v>
      </c>
      <c r="S94">
        <v>241.92</v>
      </c>
      <c r="T94">
        <v>246.96</v>
      </c>
      <c r="U94">
        <v>240</v>
      </c>
      <c r="V94">
        <v>1029</v>
      </c>
      <c r="W94" t="s">
        <v>1153</v>
      </c>
      <c r="X94" t="s">
        <v>1087</v>
      </c>
      <c r="Y94">
        <v>37</v>
      </c>
      <c r="Z94">
        <v>1</v>
      </c>
      <c r="AA94">
        <v>84</v>
      </c>
    </row>
    <row r="95" spans="1:27" x14ac:dyDescent="0.3">
      <c r="A95" s="15">
        <v>44482.727465277778</v>
      </c>
      <c r="B95" t="s">
        <v>13</v>
      </c>
      <c r="C95" t="s">
        <v>1132</v>
      </c>
      <c r="D95" s="2">
        <v>44447</v>
      </c>
      <c r="E95" t="s">
        <v>1105</v>
      </c>
      <c r="F95" t="s">
        <v>41</v>
      </c>
      <c r="G95" t="s">
        <v>943</v>
      </c>
      <c r="H95" t="s">
        <v>48</v>
      </c>
      <c r="I95" t="s">
        <v>1053</v>
      </c>
      <c r="J95" t="s">
        <v>152</v>
      </c>
      <c r="K95">
        <v>721</v>
      </c>
      <c r="L95">
        <v>9</v>
      </c>
      <c r="M95">
        <v>174.48</v>
      </c>
      <c r="N95" t="s">
        <v>21</v>
      </c>
      <c r="O95">
        <v>24</v>
      </c>
      <c r="P95">
        <v>28</v>
      </c>
      <c r="Q95">
        <v>457</v>
      </c>
      <c r="R95">
        <v>7122</v>
      </c>
      <c r="S95">
        <v>173.04</v>
      </c>
      <c r="T95">
        <v>174.48</v>
      </c>
      <c r="U95">
        <v>240</v>
      </c>
      <c r="V95">
        <v>727</v>
      </c>
      <c r="W95" t="s">
        <v>1153</v>
      </c>
      <c r="X95" t="s">
        <v>1087</v>
      </c>
      <c r="Y95">
        <v>37</v>
      </c>
      <c r="Z95">
        <v>1</v>
      </c>
      <c r="AA95">
        <v>60.083333333333336</v>
      </c>
    </row>
    <row r="96" spans="1:27" x14ac:dyDescent="0.3">
      <c r="A96" s="15">
        <v>44482.728136574071</v>
      </c>
      <c r="B96" t="s">
        <v>13</v>
      </c>
      <c r="C96" t="s">
        <v>1132</v>
      </c>
      <c r="D96" s="2">
        <v>44448</v>
      </c>
      <c r="E96" t="s">
        <v>1082</v>
      </c>
      <c r="F96" t="s">
        <v>41</v>
      </c>
      <c r="G96" t="s">
        <v>943</v>
      </c>
      <c r="H96" t="s">
        <v>48</v>
      </c>
      <c r="I96" t="s">
        <v>1053</v>
      </c>
      <c r="J96" t="s">
        <v>152</v>
      </c>
      <c r="K96">
        <v>972</v>
      </c>
      <c r="L96">
        <v>10</v>
      </c>
      <c r="M96">
        <v>235.22</v>
      </c>
      <c r="N96" t="s">
        <v>21</v>
      </c>
      <c r="O96">
        <v>24</v>
      </c>
      <c r="P96">
        <v>33</v>
      </c>
      <c r="Q96">
        <v>457</v>
      </c>
      <c r="R96">
        <v>7122</v>
      </c>
      <c r="S96">
        <v>233.28</v>
      </c>
      <c r="T96">
        <v>235.22</v>
      </c>
      <c r="U96">
        <v>240</v>
      </c>
      <c r="V96">
        <v>980.08333333333337</v>
      </c>
      <c r="W96" t="s">
        <v>1153</v>
      </c>
      <c r="X96" t="s">
        <v>1087</v>
      </c>
      <c r="Y96">
        <v>37</v>
      </c>
      <c r="Z96">
        <v>1</v>
      </c>
      <c r="AA96">
        <v>81</v>
      </c>
    </row>
    <row r="97" spans="1:27" x14ac:dyDescent="0.3">
      <c r="A97" s="15">
        <v>44482.744641203702</v>
      </c>
      <c r="B97" t="s">
        <v>13</v>
      </c>
      <c r="C97" t="s">
        <v>1132</v>
      </c>
      <c r="D97" s="2">
        <v>44450</v>
      </c>
      <c r="E97" t="s">
        <v>1081</v>
      </c>
      <c r="F97" t="s">
        <v>40</v>
      </c>
      <c r="G97" t="s">
        <v>48</v>
      </c>
      <c r="H97" t="s">
        <v>946</v>
      </c>
      <c r="I97" t="s">
        <v>967</v>
      </c>
      <c r="J97" t="s">
        <v>124</v>
      </c>
      <c r="K97">
        <v>54</v>
      </c>
      <c r="L97">
        <v>1</v>
      </c>
      <c r="M97">
        <v>13.7</v>
      </c>
      <c r="N97" t="s">
        <v>21</v>
      </c>
      <c r="O97">
        <v>0</v>
      </c>
      <c r="P97">
        <v>1</v>
      </c>
      <c r="Q97">
        <v>459</v>
      </c>
      <c r="R97">
        <v>7126</v>
      </c>
      <c r="S97">
        <v>7.02</v>
      </c>
      <c r="T97">
        <v>13.7</v>
      </c>
      <c r="U97">
        <v>130</v>
      </c>
      <c r="V97">
        <v>105.38461538461539</v>
      </c>
      <c r="W97" t="s">
        <v>1153</v>
      </c>
      <c r="X97" t="s">
        <v>1087</v>
      </c>
      <c r="Y97">
        <v>37</v>
      </c>
      <c r="Z97">
        <v>2</v>
      </c>
      <c r="AA97">
        <v>9</v>
      </c>
    </row>
    <row r="98" spans="1:27" x14ac:dyDescent="0.3">
      <c r="A98" s="15">
        <v>44482.743460648147</v>
      </c>
      <c r="B98" t="s">
        <v>13</v>
      </c>
      <c r="C98" t="s">
        <v>1132</v>
      </c>
      <c r="D98" s="2">
        <v>44450</v>
      </c>
      <c r="E98" t="s">
        <v>1081</v>
      </c>
      <c r="F98" t="s">
        <v>40</v>
      </c>
      <c r="G98" t="s">
        <v>48</v>
      </c>
      <c r="H98" t="s">
        <v>946</v>
      </c>
      <c r="I98" t="s">
        <v>967</v>
      </c>
      <c r="J98" t="s">
        <v>1141</v>
      </c>
      <c r="K98">
        <v>425</v>
      </c>
      <c r="L98">
        <v>3</v>
      </c>
      <c r="M98">
        <v>103.7</v>
      </c>
      <c r="N98" t="s">
        <v>21</v>
      </c>
      <c r="O98">
        <v>0</v>
      </c>
      <c r="P98">
        <v>0</v>
      </c>
      <c r="Q98">
        <v>457</v>
      </c>
      <c r="R98">
        <v>7125</v>
      </c>
      <c r="S98">
        <v>55.25</v>
      </c>
      <c r="T98">
        <v>103.7</v>
      </c>
      <c r="U98">
        <v>130</v>
      </c>
      <c r="V98">
        <v>797.69230769230774</v>
      </c>
      <c r="W98" t="s">
        <v>1153</v>
      </c>
      <c r="X98" t="s">
        <v>1087</v>
      </c>
      <c r="Y98">
        <v>37</v>
      </c>
      <c r="Z98">
        <v>2</v>
      </c>
      <c r="AA98">
        <v>70.833333333333329</v>
      </c>
    </row>
    <row r="99" spans="1:27" x14ac:dyDescent="0.3">
      <c r="A99" s="15">
        <v>44482.735960648148</v>
      </c>
      <c r="B99" t="s">
        <v>13</v>
      </c>
      <c r="C99" t="s">
        <v>1132</v>
      </c>
      <c r="D99" s="2">
        <v>44450</v>
      </c>
      <c r="E99" t="s">
        <v>1082</v>
      </c>
      <c r="F99" t="s">
        <v>40</v>
      </c>
      <c r="G99" t="s">
        <v>48</v>
      </c>
      <c r="H99" t="s">
        <v>946</v>
      </c>
      <c r="I99" t="s">
        <v>967</v>
      </c>
      <c r="J99" t="s">
        <v>1144</v>
      </c>
      <c r="K99">
        <v>411</v>
      </c>
      <c r="L99">
        <v>4</v>
      </c>
      <c r="M99">
        <v>104.1</v>
      </c>
      <c r="N99" t="s">
        <v>21</v>
      </c>
      <c r="O99">
        <v>0</v>
      </c>
      <c r="P99">
        <v>14</v>
      </c>
      <c r="Q99">
        <v>457</v>
      </c>
      <c r="R99">
        <v>7125</v>
      </c>
      <c r="S99">
        <v>53.43</v>
      </c>
      <c r="T99">
        <v>104.1</v>
      </c>
      <c r="U99">
        <v>130</v>
      </c>
      <c r="V99">
        <v>800.76923076923072</v>
      </c>
      <c r="W99" t="s">
        <v>1153</v>
      </c>
      <c r="X99" t="s">
        <v>1087</v>
      </c>
      <c r="Y99">
        <v>37</v>
      </c>
      <c r="Z99">
        <v>2</v>
      </c>
      <c r="AA99">
        <v>68.5</v>
      </c>
    </row>
    <row r="100" spans="1:27" x14ac:dyDescent="0.3">
      <c r="A100" s="15">
        <v>44482.730393518519</v>
      </c>
      <c r="B100" t="s">
        <v>13</v>
      </c>
      <c r="C100" t="s">
        <v>1132</v>
      </c>
      <c r="D100" s="2">
        <v>44450</v>
      </c>
      <c r="E100" t="s">
        <v>1082</v>
      </c>
      <c r="F100" t="s">
        <v>41</v>
      </c>
      <c r="G100" t="s">
        <v>943</v>
      </c>
      <c r="H100" t="s">
        <v>48</v>
      </c>
      <c r="I100" t="s">
        <v>967</v>
      </c>
      <c r="J100" t="s">
        <v>123</v>
      </c>
      <c r="K100">
        <v>411</v>
      </c>
      <c r="L100">
        <v>5</v>
      </c>
      <c r="M100">
        <v>404.1</v>
      </c>
      <c r="N100" t="s">
        <v>21</v>
      </c>
      <c r="O100">
        <v>80</v>
      </c>
      <c r="P100">
        <v>14</v>
      </c>
      <c r="Q100">
        <v>457</v>
      </c>
      <c r="R100">
        <v>7125</v>
      </c>
      <c r="S100">
        <v>53.43</v>
      </c>
      <c r="T100">
        <v>404.1</v>
      </c>
      <c r="U100">
        <v>130</v>
      </c>
      <c r="V100">
        <v>3108.4615384615386</v>
      </c>
      <c r="W100" t="s">
        <v>1153</v>
      </c>
      <c r="X100" t="s">
        <v>1087</v>
      </c>
      <c r="Y100">
        <v>37</v>
      </c>
      <c r="Z100">
        <v>2</v>
      </c>
      <c r="AA100">
        <v>68.5</v>
      </c>
    </row>
    <row r="101" spans="1:27" x14ac:dyDescent="0.3">
      <c r="A101" s="15">
        <v>44482.745891203704</v>
      </c>
      <c r="B101" t="s">
        <v>13</v>
      </c>
      <c r="C101" t="s">
        <v>1132</v>
      </c>
      <c r="D101" s="2">
        <v>44452</v>
      </c>
      <c r="E101" t="s">
        <v>1114</v>
      </c>
      <c r="F101" t="s">
        <v>40</v>
      </c>
      <c r="G101" t="s">
        <v>48</v>
      </c>
      <c r="H101" t="s">
        <v>946</v>
      </c>
      <c r="I101" t="s">
        <v>967</v>
      </c>
      <c r="J101" t="s">
        <v>1142</v>
      </c>
      <c r="K101">
        <v>90</v>
      </c>
      <c r="L101">
        <v>1</v>
      </c>
      <c r="M101">
        <v>23.2</v>
      </c>
      <c r="N101" t="s">
        <v>21</v>
      </c>
      <c r="O101">
        <v>0</v>
      </c>
      <c r="P101">
        <v>1</v>
      </c>
      <c r="Q101">
        <v>459</v>
      </c>
      <c r="R101">
        <v>7127</v>
      </c>
      <c r="S101">
        <v>11.7</v>
      </c>
      <c r="T101">
        <v>23.2</v>
      </c>
      <c r="U101">
        <v>130</v>
      </c>
      <c r="V101">
        <v>178.46153846153845</v>
      </c>
      <c r="W101" t="s">
        <v>1153</v>
      </c>
      <c r="X101" t="s">
        <v>1087</v>
      </c>
      <c r="Y101">
        <v>38</v>
      </c>
      <c r="Z101">
        <v>2</v>
      </c>
      <c r="AA101">
        <v>15</v>
      </c>
    </row>
    <row r="102" spans="1:27" x14ac:dyDescent="0.3">
      <c r="A102" s="15">
        <v>44482.745381944442</v>
      </c>
      <c r="B102" t="s">
        <v>13</v>
      </c>
      <c r="C102" t="s">
        <v>1132</v>
      </c>
      <c r="D102" s="2">
        <v>44452</v>
      </c>
      <c r="E102" t="s">
        <v>1114</v>
      </c>
      <c r="F102" t="s">
        <v>40</v>
      </c>
      <c r="G102" t="s">
        <v>48</v>
      </c>
      <c r="H102" t="s">
        <v>946</v>
      </c>
      <c r="I102" t="s">
        <v>967</v>
      </c>
      <c r="J102" t="s">
        <v>124</v>
      </c>
      <c r="K102">
        <v>419</v>
      </c>
      <c r="L102">
        <v>3</v>
      </c>
      <c r="M102">
        <v>107.8</v>
      </c>
      <c r="N102" t="s">
        <v>21</v>
      </c>
      <c r="O102">
        <v>0</v>
      </c>
      <c r="P102">
        <v>13</v>
      </c>
      <c r="Q102">
        <v>459</v>
      </c>
      <c r="R102">
        <v>7127</v>
      </c>
      <c r="S102">
        <v>54.47</v>
      </c>
      <c r="T102">
        <v>107.8</v>
      </c>
      <c r="U102">
        <v>130</v>
      </c>
      <c r="V102">
        <v>829.23076923076928</v>
      </c>
      <c r="W102" t="s">
        <v>1153</v>
      </c>
      <c r="X102" t="s">
        <v>1087</v>
      </c>
      <c r="Y102">
        <v>38</v>
      </c>
      <c r="Z102">
        <v>2</v>
      </c>
      <c r="AA102">
        <v>69.833333333333329</v>
      </c>
    </row>
    <row r="103" spans="1:27" x14ac:dyDescent="0.3">
      <c r="A103" s="15">
        <v>44482.750127314815</v>
      </c>
      <c r="B103" t="s">
        <v>13</v>
      </c>
      <c r="C103" t="s">
        <v>1132</v>
      </c>
      <c r="D103" s="2">
        <v>44453</v>
      </c>
      <c r="E103" t="s">
        <v>1082</v>
      </c>
      <c r="F103" t="s">
        <v>40</v>
      </c>
      <c r="G103" t="s">
        <v>48</v>
      </c>
      <c r="H103" t="s">
        <v>946</v>
      </c>
      <c r="I103" t="s">
        <v>967</v>
      </c>
      <c r="J103" t="s">
        <v>124</v>
      </c>
      <c r="K103">
        <v>192</v>
      </c>
      <c r="L103">
        <v>3</v>
      </c>
      <c r="M103">
        <v>49.5</v>
      </c>
      <c r="N103" t="s">
        <v>21</v>
      </c>
      <c r="O103">
        <v>0</v>
      </c>
      <c r="P103">
        <v>0</v>
      </c>
      <c r="Q103">
        <v>459</v>
      </c>
      <c r="R103">
        <v>7129</v>
      </c>
      <c r="S103">
        <v>24.96</v>
      </c>
      <c r="T103">
        <v>49.5</v>
      </c>
      <c r="U103">
        <v>130</v>
      </c>
      <c r="V103">
        <v>380.76923076923077</v>
      </c>
      <c r="W103" t="s">
        <v>1153</v>
      </c>
      <c r="X103" t="s">
        <v>1087</v>
      </c>
      <c r="Y103">
        <v>38</v>
      </c>
      <c r="Z103">
        <v>2</v>
      </c>
      <c r="AA103">
        <v>32</v>
      </c>
    </row>
    <row r="104" spans="1:27" x14ac:dyDescent="0.3">
      <c r="A104" s="15">
        <v>44482.749328703707</v>
      </c>
      <c r="B104" t="s">
        <v>13</v>
      </c>
      <c r="C104" t="s">
        <v>1132</v>
      </c>
      <c r="D104" s="2">
        <v>44453</v>
      </c>
      <c r="E104" t="s">
        <v>1082</v>
      </c>
      <c r="F104" t="s">
        <v>40</v>
      </c>
      <c r="G104" t="s">
        <v>48</v>
      </c>
      <c r="H104" t="s">
        <v>946</v>
      </c>
      <c r="I104" t="s">
        <v>967</v>
      </c>
      <c r="J104" t="s">
        <v>1142</v>
      </c>
      <c r="K104">
        <v>303</v>
      </c>
      <c r="L104">
        <v>8</v>
      </c>
      <c r="M104">
        <v>78.099999999999994</v>
      </c>
      <c r="N104" t="s">
        <v>21</v>
      </c>
      <c r="O104">
        <v>0</v>
      </c>
      <c r="P104">
        <v>4</v>
      </c>
      <c r="Q104">
        <v>459</v>
      </c>
      <c r="R104">
        <v>7129</v>
      </c>
      <c r="S104">
        <v>39.39</v>
      </c>
      <c r="T104">
        <v>78.099999999999994</v>
      </c>
      <c r="U104">
        <v>130</v>
      </c>
      <c r="V104">
        <v>600.76923076923072</v>
      </c>
      <c r="W104" t="s">
        <v>1153</v>
      </c>
      <c r="X104" t="s">
        <v>1087</v>
      </c>
      <c r="Y104">
        <v>38</v>
      </c>
      <c r="Z104">
        <v>2</v>
      </c>
      <c r="AA104">
        <v>50.5</v>
      </c>
    </row>
    <row r="105" spans="1:27" x14ac:dyDescent="0.3">
      <c r="A105" s="15">
        <v>44482.756458333337</v>
      </c>
      <c r="B105" t="s">
        <v>13</v>
      </c>
      <c r="C105" t="s">
        <v>1132</v>
      </c>
      <c r="D105" s="2">
        <v>44454</v>
      </c>
      <c r="E105" t="s">
        <v>1082</v>
      </c>
      <c r="F105" t="s">
        <v>40</v>
      </c>
      <c r="G105" t="s">
        <v>48</v>
      </c>
      <c r="H105" t="s">
        <v>946</v>
      </c>
      <c r="I105" t="s">
        <v>967</v>
      </c>
      <c r="J105" t="s">
        <v>1143</v>
      </c>
      <c r="K105">
        <v>60</v>
      </c>
      <c r="L105">
        <v>1</v>
      </c>
      <c r="M105">
        <v>13.6</v>
      </c>
      <c r="N105" t="s">
        <v>21</v>
      </c>
      <c r="O105">
        <v>0</v>
      </c>
      <c r="P105">
        <v>7</v>
      </c>
      <c r="Q105">
        <v>459</v>
      </c>
      <c r="R105">
        <v>7131</v>
      </c>
      <c r="S105">
        <v>7.8</v>
      </c>
      <c r="T105">
        <v>13.6</v>
      </c>
      <c r="U105">
        <v>130</v>
      </c>
      <c r="V105">
        <v>104.61538461538461</v>
      </c>
      <c r="W105" t="s">
        <v>1153</v>
      </c>
      <c r="X105" t="s">
        <v>1087</v>
      </c>
      <c r="Y105">
        <v>38</v>
      </c>
      <c r="Z105">
        <v>2</v>
      </c>
      <c r="AA105">
        <v>10</v>
      </c>
    </row>
    <row r="106" spans="1:27" x14ac:dyDescent="0.3">
      <c r="A106" s="15">
        <v>44482.755902777775</v>
      </c>
      <c r="B106" t="s">
        <v>13</v>
      </c>
      <c r="C106" t="s">
        <v>1132</v>
      </c>
      <c r="D106" s="2">
        <v>44454</v>
      </c>
      <c r="E106" t="s">
        <v>1082</v>
      </c>
      <c r="F106" t="s">
        <v>40</v>
      </c>
      <c r="G106" t="s">
        <v>48</v>
      </c>
      <c r="H106" t="s">
        <v>946</v>
      </c>
      <c r="I106" t="s">
        <v>967</v>
      </c>
      <c r="J106" t="s">
        <v>1144</v>
      </c>
      <c r="K106">
        <v>210</v>
      </c>
      <c r="L106">
        <v>4</v>
      </c>
      <c r="M106">
        <v>52.8</v>
      </c>
      <c r="N106" t="s">
        <v>21</v>
      </c>
      <c r="O106">
        <v>0</v>
      </c>
      <c r="P106">
        <v>7</v>
      </c>
      <c r="Q106">
        <v>459</v>
      </c>
      <c r="R106">
        <v>7131</v>
      </c>
      <c r="S106">
        <v>27.3</v>
      </c>
      <c r="T106">
        <v>52.8</v>
      </c>
      <c r="U106">
        <v>130</v>
      </c>
      <c r="V106">
        <v>406.15384615384613</v>
      </c>
      <c r="W106" t="s">
        <v>1153</v>
      </c>
      <c r="X106" t="s">
        <v>1087</v>
      </c>
      <c r="Y106">
        <v>38</v>
      </c>
      <c r="Z106">
        <v>2</v>
      </c>
      <c r="AA106">
        <v>35</v>
      </c>
    </row>
    <row r="107" spans="1:27" x14ac:dyDescent="0.3">
      <c r="A107" s="15">
        <v>44482.755381944444</v>
      </c>
      <c r="B107" t="s">
        <v>13</v>
      </c>
      <c r="C107" t="s">
        <v>1132</v>
      </c>
      <c r="D107" s="2">
        <v>44454</v>
      </c>
      <c r="E107" t="s">
        <v>1082</v>
      </c>
      <c r="F107" t="s">
        <v>40</v>
      </c>
      <c r="G107" t="s">
        <v>48</v>
      </c>
      <c r="H107" t="s">
        <v>946</v>
      </c>
      <c r="I107" t="s">
        <v>967</v>
      </c>
      <c r="J107" t="s">
        <v>1144</v>
      </c>
      <c r="K107">
        <v>131</v>
      </c>
      <c r="L107">
        <v>5</v>
      </c>
      <c r="M107">
        <v>33.299999999999997</v>
      </c>
      <c r="N107" t="s">
        <v>21</v>
      </c>
      <c r="O107">
        <v>0</v>
      </c>
      <c r="P107">
        <v>5</v>
      </c>
      <c r="Q107">
        <v>459</v>
      </c>
      <c r="R107">
        <v>7131</v>
      </c>
      <c r="S107">
        <v>17.03</v>
      </c>
      <c r="T107">
        <v>33.299999999999997</v>
      </c>
      <c r="U107">
        <v>130</v>
      </c>
      <c r="V107">
        <v>256.15384615384613</v>
      </c>
      <c r="W107" t="s">
        <v>1153</v>
      </c>
      <c r="X107" t="s">
        <v>1087</v>
      </c>
      <c r="Y107">
        <v>38</v>
      </c>
      <c r="Z107">
        <v>2</v>
      </c>
      <c r="AA107">
        <v>21.833333333333332</v>
      </c>
    </row>
    <row r="108" spans="1:27" x14ac:dyDescent="0.3">
      <c r="A108" s="15">
        <v>44482.754826388889</v>
      </c>
      <c r="B108" t="s">
        <v>13</v>
      </c>
      <c r="C108" t="s">
        <v>1132</v>
      </c>
      <c r="D108" s="2">
        <v>44454</v>
      </c>
      <c r="E108" t="s">
        <v>1082</v>
      </c>
      <c r="F108" t="s">
        <v>40</v>
      </c>
      <c r="G108" t="s">
        <v>48</v>
      </c>
      <c r="H108" t="s">
        <v>946</v>
      </c>
      <c r="I108" t="s">
        <v>967</v>
      </c>
      <c r="J108" t="s">
        <v>123</v>
      </c>
      <c r="K108">
        <v>130</v>
      </c>
      <c r="L108">
        <v>2</v>
      </c>
      <c r="M108">
        <v>38.200000000000003</v>
      </c>
      <c r="N108" t="s">
        <v>21</v>
      </c>
      <c r="O108">
        <v>0</v>
      </c>
      <c r="P108">
        <v>5</v>
      </c>
      <c r="Q108">
        <v>459</v>
      </c>
      <c r="R108">
        <v>7131</v>
      </c>
      <c r="S108">
        <v>16.899999999999999</v>
      </c>
      <c r="T108">
        <v>38.200000000000003</v>
      </c>
      <c r="U108">
        <v>130</v>
      </c>
      <c r="V108">
        <v>293.84615384615387</v>
      </c>
      <c r="W108" t="s">
        <v>1153</v>
      </c>
      <c r="X108" t="s">
        <v>1087</v>
      </c>
      <c r="Y108">
        <v>38</v>
      </c>
      <c r="Z108">
        <v>2</v>
      </c>
      <c r="AA108">
        <v>21.666666666666668</v>
      </c>
    </row>
    <row r="109" spans="1:27" x14ac:dyDescent="0.3">
      <c r="A109" s="15">
        <v>44482.760243055556</v>
      </c>
      <c r="B109" t="s">
        <v>13</v>
      </c>
      <c r="C109" t="s">
        <v>1132</v>
      </c>
      <c r="D109" s="2">
        <v>44455</v>
      </c>
      <c r="E109" t="s">
        <v>1082</v>
      </c>
      <c r="F109" t="s">
        <v>40</v>
      </c>
      <c r="G109" t="s">
        <v>48</v>
      </c>
      <c r="H109" t="s">
        <v>946</v>
      </c>
      <c r="I109" t="s">
        <v>967</v>
      </c>
      <c r="J109" t="s">
        <v>1142</v>
      </c>
      <c r="K109">
        <v>120</v>
      </c>
      <c r="L109">
        <v>2</v>
      </c>
      <c r="M109">
        <v>30.4</v>
      </c>
      <c r="N109" t="s">
        <v>21</v>
      </c>
      <c r="O109">
        <v>0</v>
      </c>
      <c r="P109">
        <v>4</v>
      </c>
      <c r="Q109">
        <v>459</v>
      </c>
      <c r="R109">
        <v>7132</v>
      </c>
      <c r="S109">
        <v>15.6</v>
      </c>
      <c r="T109">
        <v>30.4</v>
      </c>
      <c r="U109">
        <v>130</v>
      </c>
      <c r="V109">
        <v>233.84615384615384</v>
      </c>
      <c r="W109" t="s">
        <v>1153</v>
      </c>
      <c r="X109" t="s">
        <v>1087</v>
      </c>
      <c r="Y109">
        <v>38</v>
      </c>
      <c r="Z109">
        <v>2</v>
      </c>
      <c r="AA109">
        <v>20</v>
      </c>
    </row>
    <row r="110" spans="1:27" x14ac:dyDescent="0.3">
      <c r="A110" s="15">
        <v>44482.758055555554</v>
      </c>
      <c r="B110" t="s">
        <v>13</v>
      </c>
      <c r="C110" t="s">
        <v>1132</v>
      </c>
      <c r="D110" s="2">
        <v>44455</v>
      </c>
      <c r="E110" t="s">
        <v>1082</v>
      </c>
      <c r="F110" t="s">
        <v>40</v>
      </c>
      <c r="G110" t="s">
        <v>48</v>
      </c>
      <c r="H110" t="s">
        <v>946</v>
      </c>
      <c r="I110" t="s">
        <v>967</v>
      </c>
      <c r="J110" t="s">
        <v>123</v>
      </c>
      <c r="K110">
        <v>77</v>
      </c>
      <c r="L110">
        <v>2</v>
      </c>
      <c r="M110">
        <v>22.1</v>
      </c>
      <c r="N110" t="s">
        <v>21</v>
      </c>
      <c r="O110">
        <v>0</v>
      </c>
      <c r="P110">
        <v>4</v>
      </c>
      <c r="Q110">
        <v>459</v>
      </c>
      <c r="R110">
        <v>7132</v>
      </c>
      <c r="S110">
        <v>10.01</v>
      </c>
      <c r="T110">
        <v>22.1</v>
      </c>
      <c r="U110">
        <v>130</v>
      </c>
      <c r="V110">
        <v>170</v>
      </c>
      <c r="W110" t="s">
        <v>1153</v>
      </c>
      <c r="X110" t="s">
        <v>1087</v>
      </c>
      <c r="Y110">
        <v>38</v>
      </c>
      <c r="Z110">
        <v>2</v>
      </c>
      <c r="AA110">
        <v>12.833333333333334</v>
      </c>
    </row>
    <row r="111" spans="1:27" x14ac:dyDescent="0.3">
      <c r="A111" s="15">
        <v>44482.757743055554</v>
      </c>
      <c r="B111" t="s">
        <v>13</v>
      </c>
      <c r="C111" t="s">
        <v>1132</v>
      </c>
      <c r="D111" s="2">
        <v>44455</v>
      </c>
      <c r="E111" t="s">
        <v>1082</v>
      </c>
      <c r="F111" t="s">
        <v>40</v>
      </c>
      <c r="G111" t="s">
        <v>48</v>
      </c>
      <c r="H111" t="s">
        <v>946</v>
      </c>
      <c r="I111" t="s">
        <v>967</v>
      </c>
      <c r="J111" t="s">
        <v>1141</v>
      </c>
      <c r="K111">
        <v>120</v>
      </c>
      <c r="L111">
        <v>2</v>
      </c>
      <c r="M111">
        <v>30.4</v>
      </c>
      <c r="N111" t="s">
        <v>21</v>
      </c>
      <c r="O111">
        <v>0</v>
      </c>
      <c r="P111">
        <v>4</v>
      </c>
      <c r="Q111">
        <v>459</v>
      </c>
      <c r="R111">
        <v>7132</v>
      </c>
      <c r="S111">
        <v>15.6</v>
      </c>
      <c r="T111">
        <v>30.4</v>
      </c>
      <c r="U111">
        <v>130</v>
      </c>
      <c r="V111">
        <v>233.84615384615384</v>
      </c>
      <c r="W111" t="s">
        <v>1153</v>
      </c>
      <c r="X111" t="s">
        <v>1087</v>
      </c>
      <c r="Y111">
        <v>38</v>
      </c>
      <c r="Z111">
        <v>2</v>
      </c>
      <c r="AA111">
        <v>20</v>
      </c>
    </row>
    <row r="112" spans="1:27" x14ac:dyDescent="0.3">
      <c r="A112" s="15">
        <v>44482.757349537038</v>
      </c>
      <c r="B112" t="s">
        <v>13</v>
      </c>
      <c r="C112" t="s">
        <v>1132</v>
      </c>
      <c r="D112" s="2">
        <v>44455</v>
      </c>
      <c r="E112" t="s">
        <v>1082</v>
      </c>
      <c r="F112" t="s">
        <v>40</v>
      </c>
      <c r="G112" t="s">
        <v>48</v>
      </c>
      <c r="H112" t="s">
        <v>946</v>
      </c>
      <c r="I112" t="s">
        <v>967</v>
      </c>
      <c r="J112" t="s">
        <v>1144</v>
      </c>
      <c r="K112">
        <v>90</v>
      </c>
      <c r="L112">
        <v>2</v>
      </c>
      <c r="M112">
        <v>22.3</v>
      </c>
      <c r="N112" t="s">
        <v>21</v>
      </c>
      <c r="O112">
        <v>0</v>
      </c>
      <c r="P112">
        <v>3</v>
      </c>
      <c r="Q112">
        <v>459</v>
      </c>
      <c r="R112">
        <v>7132</v>
      </c>
      <c r="S112">
        <v>11.7</v>
      </c>
      <c r="T112">
        <v>22.3</v>
      </c>
      <c r="U112">
        <v>130</v>
      </c>
      <c r="V112">
        <v>171.53846153846155</v>
      </c>
      <c r="W112" t="s">
        <v>1153</v>
      </c>
      <c r="X112" t="s">
        <v>1087</v>
      </c>
      <c r="Y112">
        <v>38</v>
      </c>
      <c r="Z112">
        <v>2</v>
      </c>
      <c r="AA112">
        <v>15</v>
      </c>
    </row>
    <row r="113" spans="1:27" x14ac:dyDescent="0.3">
      <c r="A113" s="15">
        <v>44482.756921296299</v>
      </c>
      <c r="B113" t="s">
        <v>13</v>
      </c>
      <c r="C113" t="s">
        <v>1132</v>
      </c>
      <c r="D113" s="2">
        <v>44455</v>
      </c>
      <c r="E113" t="s">
        <v>1082</v>
      </c>
      <c r="F113" t="s">
        <v>40</v>
      </c>
      <c r="G113" t="s">
        <v>48</v>
      </c>
      <c r="H113" t="s">
        <v>946</v>
      </c>
      <c r="I113" t="s">
        <v>967</v>
      </c>
      <c r="J113" t="s">
        <v>1143</v>
      </c>
      <c r="K113">
        <v>54</v>
      </c>
      <c r="L113">
        <v>1</v>
      </c>
      <c r="M113">
        <v>14.8</v>
      </c>
      <c r="N113" t="s">
        <v>21</v>
      </c>
      <c r="O113">
        <v>0</v>
      </c>
      <c r="P113">
        <v>2</v>
      </c>
      <c r="Q113">
        <v>459</v>
      </c>
      <c r="R113">
        <v>7132</v>
      </c>
      <c r="S113">
        <v>7.02</v>
      </c>
      <c r="T113">
        <v>14.8</v>
      </c>
      <c r="U113">
        <v>130</v>
      </c>
      <c r="V113">
        <v>113.84615384615384</v>
      </c>
      <c r="W113" t="s">
        <v>1153</v>
      </c>
      <c r="X113" t="s">
        <v>1087</v>
      </c>
      <c r="Y113">
        <v>38</v>
      </c>
      <c r="Z113">
        <v>2</v>
      </c>
      <c r="AA113">
        <v>9</v>
      </c>
    </row>
    <row r="114" spans="1:27" x14ac:dyDescent="0.3">
      <c r="A114" s="15">
        <v>44482.766782407409</v>
      </c>
      <c r="B114" t="s">
        <v>13</v>
      </c>
      <c r="C114" t="s">
        <v>1132</v>
      </c>
      <c r="D114" s="2">
        <v>44461</v>
      </c>
      <c r="E114" t="s">
        <v>1082</v>
      </c>
      <c r="F114" t="s">
        <v>41</v>
      </c>
      <c r="G114" t="s">
        <v>943</v>
      </c>
      <c r="H114" t="s">
        <v>48</v>
      </c>
      <c r="I114" t="s">
        <v>1145</v>
      </c>
      <c r="J114" t="s">
        <v>1151</v>
      </c>
      <c r="K114">
        <v>428</v>
      </c>
      <c r="L114">
        <v>8</v>
      </c>
      <c r="M114">
        <v>73.599999999999994</v>
      </c>
      <c r="N114" t="s">
        <v>21</v>
      </c>
      <c r="O114">
        <v>0</v>
      </c>
      <c r="P114">
        <v>11</v>
      </c>
      <c r="Q114">
        <v>465</v>
      </c>
      <c r="R114">
        <v>7133</v>
      </c>
      <c r="S114">
        <v>36.808</v>
      </c>
      <c r="T114">
        <v>73.599999999999994</v>
      </c>
      <c r="U114">
        <v>86</v>
      </c>
      <c r="V114">
        <v>855.81395348837214</v>
      </c>
      <c r="W114" t="s">
        <v>1153</v>
      </c>
      <c r="X114" t="s">
        <v>1087</v>
      </c>
      <c r="Y114">
        <v>39</v>
      </c>
      <c r="Z114">
        <v>2</v>
      </c>
      <c r="AA114">
        <v>71.333333333333329</v>
      </c>
    </row>
    <row r="115" spans="1:27" x14ac:dyDescent="0.3">
      <c r="A115" s="15">
        <v>44482.764456018522</v>
      </c>
      <c r="B115" t="s">
        <v>13</v>
      </c>
      <c r="C115" t="s">
        <v>1132</v>
      </c>
      <c r="D115" s="2">
        <v>44461</v>
      </c>
      <c r="E115" t="s">
        <v>1082</v>
      </c>
      <c r="F115" t="s">
        <v>41</v>
      </c>
      <c r="G115" t="s">
        <v>943</v>
      </c>
      <c r="H115" t="s">
        <v>48</v>
      </c>
      <c r="I115" t="s">
        <v>1145</v>
      </c>
      <c r="J115" t="s">
        <v>1150</v>
      </c>
      <c r="K115">
        <v>320</v>
      </c>
      <c r="L115">
        <v>5</v>
      </c>
      <c r="M115">
        <v>55.4</v>
      </c>
      <c r="N115" t="s">
        <v>21</v>
      </c>
      <c r="O115">
        <v>0</v>
      </c>
      <c r="P115">
        <v>8</v>
      </c>
      <c r="Q115">
        <v>465</v>
      </c>
      <c r="R115">
        <v>7133</v>
      </c>
      <c r="S115">
        <v>27.52</v>
      </c>
      <c r="T115">
        <v>55.4</v>
      </c>
      <c r="U115">
        <v>86</v>
      </c>
      <c r="V115">
        <v>644.18604651162786</v>
      </c>
      <c r="W115" t="s">
        <v>1153</v>
      </c>
      <c r="X115" t="s">
        <v>1087</v>
      </c>
      <c r="Y115">
        <v>39</v>
      </c>
      <c r="Z115">
        <v>2</v>
      </c>
      <c r="AA115">
        <v>53.333333333333336</v>
      </c>
    </row>
    <row r="116" spans="1:27" x14ac:dyDescent="0.3">
      <c r="A116" s="15">
        <v>44482.772951388892</v>
      </c>
      <c r="B116" t="s">
        <v>13</v>
      </c>
      <c r="C116" t="s">
        <v>1132</v>
      </c>
      <c r="D116" s="2">
        <v>44462</v>
      </c>
      <c r="E116" t="s">
        <v>1114</v>
      </c>
      <c r="F116" t="s">
        <v>41</v>
      </c>
      <c r="G116" t="s">
        <v>943</v>
      </c>
      <c r="H116" t="s">
        <v>48</v>
      </c>
      <c r="I116" t="s">
        <v>1145</v>
      </c>
      <c r="J116" t="s">
        <v>1148</v>
      </c>
      <c r="K116">
        <v>869</v>
      </c>
      <c r="L116">
        <v>12</v>
      </c>
      <c r="M116">
        <v>149.47</v>
      </c>
      <c r="N116" t="s">
        <v>21</v>
      </c>
      <c r="O116">
        <v>0</v>
      </c>
      <c r="P116">
        <v>10</v>
      </c>
      <c r="Q116">
        <v>465</v>
      </c>
      <c r="R116">
        <v>7137</v>
      </c>
      <c r="S116">
        <v>74.733999999999995</v>
      </c>
      <c r="T116">
        <v>149.47</v>
      </c>
      <c r="U116">
        <v>86</v>
      </c>
      <c r="V116">
        <v>1738.0232558139535</v>
      </c>
      <c r="W116" t="s">
        <v>1153</v>
      </c>
      <c r="X116" t="s">
        <v>1087</v>
      </c>
      <c r="Y116">
        <v>39</v>
      </c>
      <c r="Z116">
        <v>2</v>
      </c>
      <c r="AA116">
        <v>144.83333333333334</v>
      </c>
    </row>
    <row r="117" spans="1:27" x14ac:dyDescent="0.3">
      <c r="A117" s="15">
        <v>44482.770949074074</v>
      </c>
      <c r="B117" t="s">
        <v>13</v>
      </c>
      <c r="C117" t="s">
        <v>1132</v>
      </c>
      <c r="D117" s="2">
        <v>44462</v>
      </c>
      <c r="E117" t="s">
        <v>1105</v>
      </c>
      <c r="F117" t="s">
        <v>41</v>
      </c>
      <c r="G117" t="s">
        <v>943</v>
      </c>
      <c r="H117" t="s">
        <v>48</v>
      </c>
      <c r="I117" t="s">
        <v>1145</v>
      </c>
      <c r="J117" t="s">
        <v>1147</v>
      </c>
      <c r="K117">
        <v>159</v>
      </c>
      <c r="L117">
        <v>2</v>
      </c>
      <c r="M117">
        <v>27.35</v>
      </c>
      <c r="N117" t="s">
        <v>21</v>
      </c>
      <c r="O117">
        <v>0</v>
      </c>
      <c r="P117">
        <v>2</v>
      </c>
      <c r="Q117">
        <v>465</v>
      </c>
      <c r="R117">
        <v>7135</v>
      </c>
      <c r="S117">
        <v>13.673999999999999</v>
      </c>
      <c r="T117">
        <v>27.35</v>
      </c>
      <c r="U117">
        <v>86</v>
      </c>
      <c r="V117">
        <v>318.02325581395348</v>
      </c>
      <c r="W117" t="s">
        <v>1153</v>
      </c>
      <c r="X117" t="s">
        <v>1087</v>
      </c>
      <c r="Y117">
        <v>39</v>
      </c>
      <c r="Z117">
        <v>2</v>
      </c>
      <c r="AA117">
        <v>26.5</v>
      </c>
    </row>
    <row r="118" spans="1:27" x14ac:dyDescent="0.3">
      <c r="A118" s="15">
        <v>44482.770567129628</v>
      </c>
      <c r="B118" t="s">
        <v>13</v>
      </c>
      <c r="C118" t="s">
        <v>1132</v>
      </c>
      <c r="D118" s="2">
        <v>44462</v>
      </c>
      <c r="E118" t="s">
        <v>1105</v>
      </c>
      <c r="F118" t="s">
        <v>41</v>
      </c>
      <c r="G118" t="s">
        <v>943</v>
      </c>
      <c r="H118" t="s">
        <v>48</v>
      </c>
      <c r="I118" t="s">
        <v>1145</v>
      </c>
      <c r="J118" t="s">
        <v>1149</v>
      </c>
      <c r="K118">
        <v>602</v>
      </c>
      <c r="L118">
        <v>9</v>
      </c>
      <c r="M118">
        <v>103.64</v>
      </c>
      <c r="N118" t="s">
        <v>21</v>
      </c>
      <c r="O118">
        <v>0</v>
      </c>
      <c r="P118">
        <v>13</v>
      </c>
      <c r="Q118">
        <v>465</v>
      </c>
      <c r="R118">
        <v>7135</v>
      </c>
      <c r="S118">
        <v>51.771999999999998</v>
      </c>
      <c r="T118">
        <v>103.64</v>
      </c>
      <c r="U118">
        <v>86</v>
      </c>
      <c r="V118">
        <v>1205.1162790697674</v>
      </c>
      <c r="W118" t="s">
        <v>1153</v>
      </c>
      <c r="X118" t="s">
        <v>1087</v>
      </c>
      <c r="Y118">
        <v>39</v>
      </c>
      <c r="Z118">
        <v>2</v>
      </c>
      <c r="AA118">
        <v>100.33333333333333</v>
      </c>
    </row>
    <row r="119" spans="1:27" x14ac:dyDescent="0.3">
      <c r="A119" s="15">
        <v>44482.774791666663</v>
      </c>
      <c r="B119" t="s">
        <v>13</v>
      </c>
      <c r="C119" t="s">
        <v>1132</v>
      </c>
      <c r="D119" s="2">
        <v>44464</v>
      </c>
      <c r="E119" t="s">
        <v>1105</v>
      </c>
      <c r="F119" t="s">
        <v>41</v>
      </c>
      <c r="G119" t="s">
        <v>943</v>
      </c>
      <c r="H119" t="s">
        <v>48</v>
      </c>
      <c r="I119" t="s">
        <v>1145</v>
      </c>
      <c r="J119" t="s">
        <v>1146</v>
      </c>
      <c r="K119">
        <v>1021</v>
      </c>
      <c r="L119">
        <v>12</v>
      </c>
      <c r="M119">
        <v>175.61</v>
      </c>
      <c r="N119" t="s">
        <v>21</v>
      </c>
      <c r="O119">
        <v>0</v>
      </c>
      <c r="P119">
        <v>20</v>
      </c>
      <c r="Q119">
        <v>465</v>
      </c>
      <c r="R119">
        <v>7139</v>
      </c>
      <c r="S119">
        <v>87.805999999999997</v>
      </c>
      <c r="T119">
        <v>175.61</v>
      </c>
      <c r="U119">
        <v>86</v>
      </c>
      <c r="V119">
        <v>2041.9767441860465</v>
      </c>
      <c r="W119" t="s">
        <v>1153</v>
      </c>
      <c r="X119" t="s">
        <v>1087</v>
      </c>
      <c r="Y119">
        <v>39</v>
      </c>
      <c r="Z119">
        <v>2</v>
      </c>
      <c r="AA119">
        <v>170.16666666666666</v>
      </c>
    </row>
    <row r="120" spans="1:27" x14ac:dyDescent="0.3">
      <c r="A120" s="15">
        <v>44482.77679398148</v>
      </c>
      <c r="B120" t="s">
        <v>13</v>
      </c>
      <c r="C120" t="s">
        <v>1132</v>
      </c>
      <c r="D120" s="2">
        <v>44465</v>
      </c>
      <c r="E120" t="s">
        <v>1027</v>
      </c>
      <c r="F120" t="s">
        <v>41</v>
      </c>
      <c r="G120" t="s">
        <v>950</v>
      </c>
      <c r="H120" t="s">
        <v>943</v>
      </c>
      <c r="I120" t="s">
        <v>1145</v>
      </c>
      <c r="J120" t="s">
        <v>1151</v>
      </c>
      <c r="K120">
        <v>738</v>
      </c>
      <c r="L120">
        <v>8</v>
      </c>
      <c r="M120">
        <v>127</v>
      </c>
      <c r="N120" t="s">
        <v>21</v>
      </c>
      <c r="O120">
        <v>0</v>
      </c>
      <c r="P120">
        <v>13</v>
      </c>
      <c r="Q120">
        <v>465</v>
      </c>
      <c r="R120">
        <v>7143</v>
      </c>
      <c r="S120">
        <v>63.468000000000004</v>
      </c>
      <c r="T120">
        <v>127</v>
      </c>
      <c r="U120">
        <v>86</v>
      </c>
      <c r="V120">
        <v>1476.7441860465117</v>
      </c>
      <c r="W120" t="s">
        <v>1153</v>
      </c>
      <c r="X120" t="s">
        <v>1087</v>
      </c>
      <c r="Y120">
        <v>39</v>
      </c>
      <c r="Z120">
        <v>2</v>
      </c>
      <c r="AA120">
        <v>123</v>
      </c>
    </row>
    <row r="121" spans="1:27" x14ac:dyDescent="0.3">
      <c r="A121" s="15">
        <v>44482.777361111112</v>
      </c>
      <c r="B121" t="s">
        <v>13</v>
      </c>
      <c r="C121" t="s">
        <v>1132</v>
      </c>
      <c r="D121" s="2">
        <v>44466</v>
      </c>
      <c r="E121" t="s">
        <v>1082</v>
      </c>
      <c r="F121" t="s">
        <v>41</v>
      </c>
      <c r="G121" t="s">
        <v>950</v>
      </c>
      <c r="H121" t="s">
        <v>943</v>
      </c>
      <c r="I121" t="s">
        <v>1145</v>
      </c>
      <c r="J121" t="s">
        <v>1149</v>
      </c>
      <c r="K121">
        <v>897</v>
      </c>
      <c r="L121">
        <v>11</v>
      </c>
      <c r="M121">
        <v>154.35</v>
      </c>
      <c r="N121" t="s">
        <v>21</v>
      </c>
      <c r="O121">
        <v>0</v>
      </c>
      <c r="P121">
        <v>13</v>
      </c>
      <c r="Q121">
        <v>465</v>
      </c>
      <c r="R121">
        <v>7144</v>
      </c>
      <c r="S121">
        <v>77.141999999999996</v>
      </c>
      <c r="T121">
        <v>154.35</v>
      </c>
      <c r="U121">
        <v>86</v>
      </c>
      <c r="V121">
        <v>1794.7674418604652</v>
      </c>
      <c r="W121" t="s">
        <v>1153</v>
      </c>
      <c r="X121" t="s">
        <v>1087</v>
      </c>
      <c r="Y121">
        <v>40</v>
      </c>
      <c r="Z121">
        <v>2</v>
      </c>
      <c r="AA121">
        <v>149.5</v>
      </c>
    </row>
    <row r="122" spans="1:27" x14ac:dyDescent="0.3">
      <c r="A122" s="15">
        <v>44482.780138888891</v>
      </c>
      <c r="B122" t="s">
        <v>13</v>
      </c>
      <c r="C122" t="s">
        <v>1132</v>
      </c>
      <c r="D122" s="2">
        <v>44467</v>
      </c>
      <c r="E122" t="s">
        <v>1105</v>
      </c>
      <c r="F122" t="s">
        <v>41</v>
      </c>
      <c r="G122" t="s">
        <v>950</v>
      </c>
      <c r="H122" t="s">
        <v>943</v>
      </c>
      <c r="I122" t="s">
        <v>1145</v>
      </c>
      <c r="J122" t="s">
        <v>1146</v>
      </c>
      <c r="K122">
        <v>538</v>
      </c>
      <c r="L122">
        <v>6</v>
      </c>
      <c r="M122">
        <v>92.54</v>
      </c>
      <c r="N122" t="s">
        <v>21</v>
      </c>
      <c r="O122">
        <v>0</v>
      </c>
      <c r="P122">
        <v>11</v>
      </c>
      <c r="Q122">
        <v>465</v>
      </c>
      <c r="R122">
        <v>7146</v>
      </c>
      <c r="S122">
        <v>46.268000000000001</v>
      </c>
      <c r="T122">
        <v>92.54</v>
      </c>
      <c r="U122">
        <v>86</v>
      </c>
      <c r="V122">
        <v>1076.046511627907</v>
      </c>
      <c r="W122" t="s">
        <v>1153</v>
      </c>
      <c r="X122" t="s">
        <v>1087</v>
      </c>
      <c r="Y122">
        <v>40</v>
      </c>
      <c r="Z122">
        <v>2</v>
      </c>
      <c r="AA122">
        <v>89.666666666666671</v>
      </c>
    </row>
    <row r="123" spans="1:27" x14ac:dyDescent="0.3">
      <c r="A123" s="15">
        <v>44482.779606481483</v>
      </c>
      <c r="B123" t="s">
        <v>13</v>
      </c>
      <c r="C123" t="s">
        <v>1132</v>
      </c>
      <c r="D123" s="2">
        <v>44467</v>
      </c>
      <c r="E123" t="s">
        <v>1105</v>
      </c>
      <c r="F123" t="s">
        <v>41</v>
      </c>
      <c r="G123" t="s">
        <v>950</v>
      </c>
      <c r="H123" t="s">
        <v>943</v>
      </c>
      <c r="I123" t="s">
        <v>1145</v>
      </c>
      <c r="J123" t="s">
        <v>1147</v>
      </c>
      <c r="K123">
        <v>131</v>
      </c>
      <c r="L123">
        <v>2</v>
      </c>
      <c r="M123">
        <v>22.53</v>
      </c>
      <c r="N123" t="s">
        <v>21</v>
      </c>
      <c r="O123">
        <v>0</v>
      </c>
      <c r="P123">
        <v>3</v>
      </c>
      <c r="Q123">
        <v>465</v>
      </c>
      <c r="R123">
        <v>7146</v>
      </c>
      <c r="S123">
        <v>11.266</v>
      </c>
      <c r="T123">
        <v>22.53</v>
      </c>
      <c r="U123">
        <v>86</v>
      </c>
      <c r="V123">
        <v>261.97674418604652</v>
      </c>
      <c r="W123" t="s">
        <v>1153</v>
      </c>
      <c r="X123" t="s">
        <v>1087</v>
      </c>
      <c r="Y123">
        <v>40</v>
      </c>
      <c r="Z123">
        <v>2</v>
      </c>
      <c r="AA123">
        <v>21.833333333333332</v>
      </c>
    </row>
    <row r="124" spans="1:27" x14ac:dyDescent="0.3">
      <c r="A124" s="15">
        <v>44482.784050925926</v>
      </c>
      <c r="B124" t="s">
        <v>13</v>
      </c>
      <c r="C124" t="s">
        <v>1132</v>
      </c>
      <c r="D124" s="2">
        <v>44469</v>
      </c>
      <c r="E124" t="s">
        <v>1031</v>
      </c>
      <c r="F124" t="s">
        <v>41</v>
      </c>
      <c r="G124" t="s">
        <v>943</v>
      </c>
      <c r="I124" t="s">
        <v>1050</v>
      </c>
      <c r="J124" t="s">
        <v>153</v>
      </c>
      <c r="K124">
        <v>151</v>
      </c>
      <c r="L124">
        <v>2</v>
      </c>
      <c r="M124">
        <v>26.3</v>
      </c>
      <c r="N124" t="s">
        <v>21</v>
      </c>
      <c r="O124">
        <v>0</v>
      </c>
      <c r="P124">
        <v>4</v>
      </c>
      <c r="Q124">
        <v>473</v>
      </c>
      <c r="R124">
        <v>7148</v>
      </c>
      <c r="S124">
        <v>10.268000000000001</v>
      </c>
      <c r="T124">
        <v>26.3</v>
      </c>
      <c r="U124">
        <v>68</v>
      </c>
      <c r="V124">
        <v>386.76470588235293</v>
      </c>
      <c r="W124" t="s">
        <v>1153</v>
      </c>
      <c r="X124" t="s">
        <v>1087</v>
      </c>
      <c r="Y124">
        <v>40</v>
      </c>
      <c r="Z124">
        <v>2</v>
      </c>
      <c r="AA124">
        <v>25.166666666666668</v>
      </c>
    </row>
    <row r="125" spans="1:27" x14ac:dyDescent="0.3">
      <c r="A125" s="15">
        <v>44482.789097222223</v>
      </c>
      <c r="B125" t="s">
        <v>13</v>
      </c>
      <c r="C125" t="s">
        <v>1080</v>
      </c>
      <c r="D125" s="2">
        <v>44440</v>
      </c>
      <c r="E125" t="s">
        <v>1133</v>
      </c>
      <c r="F125" t="s">
        <v>41</v>
      </c>
      <c r="G125" t="s">
        <v>940</v>
      </c>
      <c r="H125" t="s">
        <v>48</v>
      </c>
      <c r="I125" t="s">
        <v>1126</v>
      </c>
      <c r="J125" t="s">
        <v>1119</v>
      </c>
      <c r="K125">
        <v>262</v>
      </c>
      <c r="L125">
        <v>4</v>
      </c>
      <c r="M125">
        <v>12.6</v>
      </c>
      <c r="N125" t="s">
        <v>21</v>
      </c>
      <c r="O125">
        <v>0</v>
      </c>
      <c r="P125">
        <v>0</v>
      </c>
      <c r="Q125">
        <v>451</v>
      </c>
      <c r="R125">
        <v>6937</v>
      </c>
      <c r="S125">
        <v>1.048</v>
      </c>
      <c r="T125">
        <v>12.6</v>
      </c>
      <c r="U125">
        <v>4</v>
      </c>
      <c r="V125">
        <v>3150</v>
      </c>
      <c r="W125" t="s">
        <v>1153</v>
      </c>
      <c r="X125" t="s">
        <v>1087</v>
      </c>
      <c r="Y125">
        <v>36</v>
      </c>
      <c r="Z125">
        <v>12</v>
      </c>
      <c r="AA125">
        <v>262</v>
      </c>
    </row>
    <row r="126" spans="1:27" x14ac:dyDescent="0.3">
      <c r="A126" s="15">
        <v>44482.788912037038</v>
      </c>
      <c r="B126" t="s">
        <v>13</v>
      </c>
      <c r="C126" t="s">
        <v>1080</v>
      </c>
      <c r="D126" s="2">
        <v>44440</v>
      </c>
      <c r="E126" t="s">
        <v>1133</v>
      </c>
      <c r="F126" t="s">
        <v>41</v>
      </c>
      <c r="G126" t="s">
        <v>940</v>
      </c>
      <c r="H126" t="s">
        <v>48</v>
      </c>
      <c r="I126" t="s">
        <v>1126</v>
      </c>
      <c r="J126" t="s">
        <v>1118</v>
      </c>
      <c r="K126">
        <v>269</v>
      </c>
      <c r="L126">
        <v>8</v>
      </c>
      <c r="M126">
        <v>12.9</v>
      </c>
      <c r="N126" t="s">
        <v>21</v>
      </c>
      <c r="O126">
        <v>0</v>
      </c>
      <c r="P126">
        <v>0</v>
      </c>
      <c r="Q126">
        <v>451</v>
      </c>
      <c r="R126">
        <v>6937</v>
      </c>
      <c r="S126">
        <v>1.0760000000000001</v>
      </c>
      <c r="T126">
        <v>12.9</v>
      </c>
      <c r="U126">
        <v>4</v>
      </c>
      <c r="V126">
        <v>3225</v>
      </c>
      <c r="W126" t="s">
        <v>1153</v>
      </c>
      <c r="X126" t="s">
        <v>1087</v>
      </c>
      <c r="Y126">
        <v>36</v>
      </c>
      <c r="Z126">
        <v>12</v>
      </c>
      <c r="AA126">
        <v>269</v>
      </c>
    </row>
    <row r="127" spans="1:27" x14ac:dyDescent="0.3">
      <c r="A127" s="15">
        <v>44482.786354166667</v>
      </c>
      <c r="B127" t="s">
        <v>13</v>
      </c>
      <c r="C127" t="s">
        <v>1080</v>
      </c>
      <c r="D127" s="2">
        <v>44440</v>
      </c>
      <c r="E127" t="s">
        <v>1114</v>
      </c>
      <c r="F127" t="s">
        <v>40</v>
      </c>
      <c r="G127" t="s">
        <v>48</v>
      </c>
      <c r="H127" t="s">
        <v>944</v>
      </c>
      <c r="I127" t="s">
        <v>1054</v>
      </c>
      <c r="J127" t="s">
        <v>484</v>
      </c>
      <c r="K127">
        <v>232</v>
      </c>
      <c r="L127">
        <v>4</v>
      </c>
      <c r="M127">
        <v>18.600000000000001</v>
      </c>
      <c r="N127" t="s">
        <v>21</v>
      </c>
      <c r="O127">
        <v>0</v>
      </c>
      <c r="P127">
        <v>2</v>
      </c>
      <c r="Q127">
        <v>468</v>
      </c>
      <c r="R127">
        <v>6934</v>
      </c>
      <c r="S127">
        <v>2.7839999999999998</v>
      </c>
      <c r="T127">
        <v>18.600000000000001</v>
      </c>
      <c r="U127">
        <v>12</v>
      </c>
      <c r="V127">
        <v>1550</v>
      </c>
      <c r="W127" t="s">
        <v>1153</v>
      </c>
      <c r="X127" t="s">
        <v>1087</v>
      </c>
      <c r="Y127">
        <v>36</v>
      </c>
      <c r="Z127">
        <v>6</v>
      </c>
      <c r="AA127">
        <v>116</v>
      </c>
    </row>
    <row r="128" spans="1:27" x14ac:dyDescent="0.3">
      <c r="A128" s="15">
        <v>44482.792187500003</v>
      </c>
      <c r="B128" t="s">
        <v>13</v>
      </c>
      <c r="C128" t="s">
        <v>1080</v>
      </c>
      <c r="D128" s="2">
        <v>44444</v>
      </c>
      <c r="E128" t="s">
        <v>1105</v>
      </c>
      <c r="F128" t="s">
        <v>41</v>
      </c>
      <c r="G128" t="s">
        <v>940</v>
      </c>
      <c r="H128" t="s">
        <v>48</v>
      </c>
      <c r="I128" t="s">
        <v>1126</v>
      </c>
      <c r="J128" t="s">
        <v>1117</v>
      </c>
      <c r="K128">
        <v>329</v>
      </c>
      <c r="L128">
        <v>4</v>
      </c>
      <c r="M128">
        <v>15.8</v>
      </c>
      <c r="N128" t="s">
        <v>21</v>
      </c>
      <c r="O128">
        <v>0</v>
      </c>
      <c r="P128">
        <v>0</v>
      </c>
      <c r="Q128">
        <v>451</v>
      </c>
      <c r="R128">
        <v>6939</v>
      </c>
      <c r="S128">
        <v>1.3160000000000001</v>
      </c>
      <c r="T128">
        <v>15.8</v>
      </c>
      <c r="U128">
        <v>4</v>
      </c>
      <c r="V128">
        <v>3950</v>
      </c>
      <c r="W128" t="s">
        <v>1153</v>
      </c>
      <c r="X128" t="s">
        <v>1087</v>
      </c>
      <c r="Y128">
        <v>36</v>
      </c>
      <c r="Z128">
        <v>12</v>
      </c>
      <c r="AA128">
        <v>329</v>
      </c>
    </row>
    <row r="129" spans="1:27" x14ac:dyDescent="0.3">
      <c r="A129" s="15">
        <v>44482.791516203702</v>
      </c>
      <c r="B129" t="s">
        <v>13</v>
      </c>
      <c r="C129" t="s">
        <v>1080</v>
      </c>
      <c r="D129" s="2">
        <v>44444</v>
      </c>
      <c r="E129" t="s">
        <v>1105</v>
      </c>
      <c r="F129" t="s">
        <v>41</v>
      </c>
      <c r="G129" t="s">
        <v>940</v>
      </c>
      <c r="H129" t="s">
        <v>48</v>
      </c>
      <c r="I129" t="s">
        <v>1126</v>
      </c>
      <c r="J129" t="s">
        <v>1121</v>
      </c>
      <c r="K129">
        <v>566</v>
      </c>
      <c r="L129">
        <v>5</v>
      </c>
      <c r="M129">
        <v>27.2</v>
      </c>
      <c r="N129" t="s">
        <v>21</v>
      </c>
      <c r="O129">
        <v>0</v>
      </c>
      <c r="P129">
        <v>0</v>
      </c>
      <c r="Q129">
        <v>451</v>
      </c>
      <c r="R129">
        <v>6939</v>
      </c>
      <c r="S129">
        <v>2.2639999999999998</v>
      </c>
      <c r="T129">
        <v>27.2</v>
      </c>
      <c r="U129">
        <v>4</v>
      </c>
      <c r="V129">
        <v>6800</v>
      </c>
      <c r="W129" t="s">
        <v>1153</v>
      </c>
      <c r="X129" t="s">
        <v>1087</v>
      </c>
      <c r="Y129">
        <v>36</v>
      </c>
      <c r="Z129">
        <v>12</v>
      </c>
      <c r="AA129">
        <v>566</v>
      </c>
    </row>
    <row r="130" spans="1:27" x14ac:dyDescent="0.3">
      <c r="A130" s="15">
        <v>44482.791307870371</v>
      </c>
      <c r="B130" t="s">
        <v>13</v>
      </c>
      <c r="C130" t="s">
        <v>1080</v>
      </c>
      <c r="D130" s="2">
        <v>44444</v>
      </c>
      <c r="E130" t="s">
        <v>1105</v>
      </c>
      <c r="F130" t="s">
        <v>41</v>
      </c>
      <c r="G130" t="s">
        <v>940</v>
      </c>
      <c r="H130" t="s">
        <v>48</v>
      </c>
      <c r="I130" t="s">
        <v>1126</v>
      </c>
      <c r="J130" t="s">
        <v>1120</v>
      </c>
      <c r="K130">
        <v>318</v>
      </c>
      <c r="L130">
        <v>2</v>
      </c>
      <c r="M130">
        <v>13.5</v>
      </c>
      <c r="N130" t="s">
        <v>21</v>
      </c>
      <c r="O130">
        <v>0</v>
      </c>
      <c r="P130">
        <v>0</v>
      </c>
      <c r="Q130">
        <v>451</v>
      </c>
      <c r="R130">
        <v>6939</v>
      </c>
      <c r="S130">
        <v>1.272</v>
      </c>
      <c r="T130">
        <v>13.5</v>
      </c>
      <c r="U130">
        <v>4</v>
      </c>
      <c r="V130">
        <v>3375</v>
      </c>
      <c r="W130" t="s">
        <v>1153</v>
      </c>
      <c r="X130" t="s">
        <v>1087</v>
      </c>
      <c r="Y130">
        <v>36</v>
      </c>
      <c r="Z130">
        <v>12</v>
      </c>
      <c r="AA130">
        <v>318</v>
      </c>
    </row>
    <row r="131" spans="1:27" x14ac:dyDescent="0.3">
      <c r="A131" s="15">
        <v>44482.793194444443</v>
      </c>
      <c r="B131" t="s">
        <v>13</v>
      </c>
      <c r="C131" t="s">
        <v>1080</v>
      </c>
      <c r="D131" s="2">
        <v>44446</v>
      </c>
      <c r="E131" t="s">
        <v>1133</v>
      </c>
      <c r="F131" t="s">
        <v>40</v>
      </c>
      <c r="G131" t="s">
        <v>48</v>
      </c>
      <c r="H131" t="s">
        <v>944</v>
      </c>
      <c r="I131" t="s">
        <v>973</v>
      </c>
      <c r="J131" t="s">
        <v>509</v>
      </c>
      <c r="K131">
        <v>1215</v>
      </c>
      <c r="L131">
        <v>10</v>
      </c>
      <c r="M131">
        <v>32.299999999999997</v>
      </c>
      <c r="N131" t="s">
        <v>21</v>
      </c>
      <c r="O131">
        <v>0</v>
      </c>
      <c r="P131">
        <v>0</v>
      </c>
      <c r="Q131">
        <v>457</v>
      </c>
      <c r="R131">
        <v>6941</v>
      </c>
      <c r="S131">
        <v>4.8600000000000003</v>
      </c>
      <c r="T131">
        <v>32.299999999999997</v>
      </c>
      <c r="U131">
        <v>4</v>
      </c>
      <c r="V131">
        <v>8074.9999999999991</v>
      </c>
      <c r="W131" t="s">
        <v>1153</v>
      </c>
      <c r="X131" t="s">
        <v>1087</v>
      </c>
      <c r="Y131">
        <v>37</v>
      </c>
      <c r="Z131">
        <v>6</v>
      </c>
      <c r="AA131">
        <v>607.5</v>
      </c>
    </row>
    <row r="132" spans="1:27" x14ac:dyDescent="0.3">
      <c r="A132" s="15">
        <v>44482.793425925927</v>
      </c>
      <c r="B132" t="s">
        <v>13</v>
      </c>
      <c r="C132" t="s">
        <v>1080</v>
      </c>
      <c r="D132" s="2">
        <v>44447</v>
      </c>
      <c r="E132" t="s">
        <v>1114</v>
      </c>
      <c r="F132" t="s">
        <v>40</v>
      </c>
      <c r="G132" t="s">
        <v>48</v>
      </c>
      <c r="H132" t="s">
        <v>944</v>
      </c>
      <c r="I132" t="s">
        <v>973</v>
      </c>
      <c r="J132" t="s">
        <v>509</v>
      </c>
      <c r="K132">
        <v>1462</v>
      </c>
      <c r="L132">
        <v>11</v>
      </c>
      <c r="M132">
        <v>34.4</v>
      </c>
      <c r="N132" t="s">
        <v>21</v>
      </c>
      <c r="O132">
        <v>0</v>
      </c>
      <c r="P132">
        <v>0</v>
      </c>
      <c r="Q132">
        <v>457</v>
      </c>
      <c r="R132">
        <v>6942</v>
      </c>
      <c r="S132">
        <v>5.8479999999999999</v>
      </c>
      <c r="T132">
        <v>34.4</v>
      </c>
      <c r="U132">
        <v>4</v>
      </c>
      <c r="V132">
        <v>8600</v>
      </c>
      <c r="W132" t="s">
        <v>1153</v>
      </c>
      <c r="X132" t="s">
        <v>1087</v>
      </c>
      <c r="Y132">
        <v>37</v>
      </c>
      <c r="Z132">
        <v>6</v>
      </c>
      <c r="AA132">
        <v>731</v>
      </c>
    </row>
    <row r="133" spans="1:27" x14ac:dyDescent="0.3">
      <c r="A133" s="15">
        <v>44482.79383101852</v>
      </c>
      <c r="B133" t="s">
        <v>13</v>
      </c>
      <c r="C133" t="s">
        <v>1080</v>
      </c>
      <c r="D133" s="2">
        <v>44448</v>
      </c>
      <c r="E133" t="s">
        <v>1130</v>
      </c>
      <c r="F133" t="s">
        <v>40</v>
      </c>
      <c r="G133" t="s">
        <v>48</v>
      </c>
      <c r="H133" t="s">
        <v>944</v>
      </c>
      <c r="I133" t="s">
        <v>973</v>
      </c>
      <c r="J133" t="s">
        <v>509</v>
      </c>
      <c r="K133">
        <v>1479</v>
      </c>
      <c r="L133">
        <v>12</v>
      </c>
      <c r="M133">
        <v>35.5</v>
      </c>
      <c r="N133" t="s">
        <v>21</v>
      </c>
      <c r="O133">
        <v>0</v>
      </c>
      <c r="P133">
        <v>0</v>
      </c>
      <c r="Q133">
        <v>457</v>
      </c>
      <c r="R133">
        <v>6943</v>
      </c>
      <c r="S133">
        <v>5.9160000000000004</v>
      </c>
      <c r="T133">
        <v>35.5</v>
      </c>
      <c r="U133">
        <v>4</v>
      </c>
      <c r="V133">
        <v>8875</v>
      </c>
      <c r="W133" t="s">
        <v>1153</v>
      </c>
      <c r="X133" t="s">
        <v>1087</v>
      </c>
      <c r="Y133">
        <v>37</v>
      </c>
      <c r="Z133">
        <v>6</v>
      </c>
      <c r="AA133">
        <v>739.5</v>
      </c>
    </row>
    <row r="134" spans="1:27" x14ac:dyDescent="0.3">
      <c r="A134" s="15">
        <v>44482.794421296298</v>
      </c>
      <c r="B134" t="s">
        <v>13</v>
      </c>
      <c r="C134" t="s">
        <v>1080</v>
      </c>
      <c r="D134" s="2">
        <v>44449</v>
      </c>
      <c r="E134" t="s">
        <v>1114</v>
      </c>
      <c r="F134" t="s">
        <v>40</v>
      </c>
      <c r="G134" t="s">
        <v>48</v>
      </c>
      <c r="H134" t="s">
        <v>944</v>
      </c>
      <c r="I134" t="s">
        <v>973</v>
      </c>
      <c r="J134" t="s">
        <v>509</v>
      </c>
      <c r="K134">
        <v>1388</v>
      </c>
      <c r="L134">
        <v>12</v>
      </c>
      <c r="M134">
        <v>36.1</v>
      </c>
      <c r="N134" t="s">
        <v>21</v>
      </c>
      <c r="O134">
        <v>0</v>
      </c>
      <c r="P134">
        <v>0</v>
      </c>
      <c r="Q134">
        <v>457</v>
      </c>
      <c r="R134">
        <v>6944</v>
      </c>
      <c r="S134">
        <v>5.5519999999999996</v>
      </c>
      <c r="T134">
        <v>36.1</v>
      </c>
      <c r="U134">
        <v>4</v>
      </c>
      <c r="V134">
        <v>9025</v>
      </c>
      <c r="W134" t="s">
        <v>1153</v>
      </c>
      <c r="X134" t="s">
        <v>1087</v>
      </c>
      <c r="Y134">
        <v>37</v>
      </c>
      <c r="Z134">
        <v>6</v>
      </c>
      <c r="AA134">
        <v>694</v>
      </c>
    </row>
    <row r="135" spans="1:27" x14ac:dyDescent="0.3">
      <c r="A135" s="15">
        <v>44482.79519675926</v>
      </c>
      <c r="B135" t="s">
        <v>13</v>
      </c>
      <c r="C135" t="s">
        <v>1080</v>
      </c>
      <c r="D135" s="2">
        <v>44450</v>
      </c>
      <c r="E135" t="s">
        <v>1130</v>
      </c>
      <c r="F135" t="s">
        <v>40</v>
      </c>
      <c r="G135" t="s">
        <v>48</v>
      </c>
      <c r="H135" t="s">
        <v>944</v>
      </c>
      <c r="I135" t="s">
        <v>973</v>
      </c>
      <c r="J135" t="s">
        <v>509</v>
      </c>
      <c r="K135">
        <v>1269</v>
      </c>
      <c r="L135">
        <v>11</v>
      </c>
      <c r="M135">
        <v>33</v>
      </c>
      <c r="N135" t="s">
        <v>21</v>
      </c>
      <c r="O135">
        <v>0</v>
      </c>
      <c r="P135">
        <v>0</v>
      </c>
      <c r="Q135">
        <v>457</v>
      </c>
      <c r="R135">
        <v>6947</v>
      </c>
      <c r="S135">
        <v>5.0759999999999996</v>
      </c>
      <c r="T135">
        <v>33</v>
      </c>
      <c r="U135">
        <v>4</v>
      </c>
      <c r="V135">
        <v>8250</v>
      </c>
      <c r="W135" t="s">
        <v>1153</v>
      </c>
      <c r="X135" t="s">
        <v>1087</v>
      </c>
      <c r="Y135">
        <v>37</v>
      </c>
      <c r="Z135">
        <v>6</v>
      </c>
      <c r="AA135">
        <v>634.5</v>
      </c>
    </row>
    <row r="136" spans="1:27" x14ac:dyDescent="0.3">
      <c r="A136" s="15">
        <v>44482.796006944445</v>
      </c>
      <c r="B136" t="s">
        <v>13</v>
      </c>
      <c r="C136" t="s">
        <v>1080</v>
      </c>
      <c r="D136" s="2">
        <v>44452</v>
      </c>
      <c r="E136" t="s">
        <v>1130</v>
      </c>
      <c r="F136" t="s">
        <v>40</v>
      </c>
      <c r="G136" t="s">
        <v>48</v>
      </c>
      <c r="H136" t="s">
        <v>944</v>
      </c>
      <c r="I136" t="s">
        <v>973</v>
      </c>
      <c r="J136" t="s">
        <v>509</v>
      </c>
      <c r="K136">
        <v>1284</v>
      </c>
      <c r="L136">
        <v>11</v>
      </c>
      <c r="M136">
        <v>33.4</v>
      </c>
      <c r="N136" t="s">
        <v>21</v>
      </c>
      <c r="O136">
        <v>0</v>
      </c>
      <c r="P136">
        <v>0</v>
      </c>
      <c r="Q136">
        <v>457</v>
      </c>
      <c r="R136">
        <v>6948</v>
      </c>
      <c r="S136">
        <v>5.1360000000000001</v>
      </c>
      <c r="T136">
        <v>33.4</v>
      </c>
      <c r="U136">
        <v>4</v>
      </c>
      <c r="V136">
        <v>8350</v>
      </c>
      <c r="W136" t="s">
        <v>1153</v>
      </c>
      <c r="X136" t="s">
        <v>1087</v>
      </c>
      <c r="Y136">
        <v>38</v>
      </c>
      <c r="Z136">
        <v>6</v>
      </c>
      <c r="AA136">
        <v>642</v>
      </c>
    </row>
    <row r="137" spans="1:27" x14ac:dyDescent="0.3">
      <c r="A137" s="15">
        <v>44482.796412037038</v>
      </c>
      <c r="B137" t="s">
        <v>13</v>
      </c>
      <c r="C137" t="s">
        <v>1080</v>
      </c>
      <c r="D137" s="2">
        <v>44453</v>
      </c>
      <c r="E137" t="s">
        <v>1130</v>
      </c>
      <c r="F137" t="s">
        <v>40</v>
      </c>
      <c r="G137" t="s">
        <v>48</v>
      </c>
      <c r="H137" t="s">
        <v>944</v>
      </c>
      <c r="I137" t="s">
        <v>973</v>
      </c>
      <c r="J137" t="s">
        <v>509</v>
      </c>
      <c r="K137">
        <v>1396</v>
      </c>
      <c r="L137">
        <v>12</v>
      </c>
      <c r="M137">
        <v>35.6</v>
      </c>
      <c r="N137" t="s">
        <v>21</v>
      </c>
      <c r="O137">
        <v>0</v>
      </c>
      <c r="P137">
        <v>0</v>
      </c>
      <c r="Q137">
        <v>457</v>
      </c>
      <c r="R137">
        <v>6949</v>
      </c>
      <c r="S137">
        <v>5.5839999999999996</v>
      </c>
      <c r="T137">
        <v>35.6</v>
      </c>
      <c r="U137">
        <v>4</v>
      </c>
      <c r="V137">
        <v>8900</v>
      </c>
      <c r="W137" t="s">
        <v>1153</v>
      </c>
      <c r="X137" t="s">
        <v>1087</v>
      </c>
      <c r="Y137">
        <v>38</v>
      </c>
      <c r="Z137">
        <v>6</v>
      </c>
      <c r="AA137">
        <v>698</v>
      </c>
    </row>
    <row r="138" spans="1:27" x14ac:dyDescent="0.3">
      <c r="A138" s="15">
        <v>44482.797060185185</v>
      </c>
      <c r="B138" t="s">
        <v>13</v>
      </c>
      <c r="C138" t="s">
        <v>1080</v>
      </c>
      <c r="D138" s="2">
        <v>44454</v>
      </c>
      <c r="E138" t="s">
        <v>1114</v>
      </c>
      <c r="F138" t="s">
        <v>40</v>
      </c>
      <c r="G138" t="s">
        <v>48</v>
      </c>
      <c r="H138" t="s">
        <v>944</v>
      </c>
      <c r="I138" t="s">
        <v>973</v>
      </c>
      <c r="J138" t="s">
        <v>509</v>
      </c>
      <c r="K138">
        <v>1286</v>
      </c>
      <c r="L138">
        <v>12</v>
      </c>
      <c r="M138">
        <v>32.85</v>
      </c>
      <c r="N138" t="s">
        <v>21</v>
      </c>
      <c r="O138">
        <v>0</v>
      </c>
      <c r="P138">
        <v>0</v>
      </c>
      <c r="Q138">
        <v>457</v>
      </c>
      <c r="R138">
        <v>6951</v>
      </c>
      <c r="S138">
        <v>5.1440000000000001</v>
      </c>
      <c r="T138">
        <v>32.85</v>
      </c>
      <c r="U138">
        <v>4</v>
      </c>
      <c r="V138">
        <v>8212.5</v>
      </c>
      <c r="W138" t="s">
        <v>1153</v>
      </c>
      <c r="X138" t="s">
        <v>1087</v>
      </c>
      <c r="Y138">
        <v>38</v>
      </c>
      <c r="Z138">
        <v>6</v>
      </c>
      <c r="AA138">
        <v>643</v>
      </c>
    </row>
    <row r="139" spans="1:27" x14ac:dyDescent="0.3">
      <c r="A139" s="15">
        <v>44477.582766203705</v>
      </c>
      <c r="B139" t="s">
        <v>13</v>
      </c>
      <c r="C139" t="s">
        <v>1080</v>
      </c>
      <c r="D139" s="2">
        <v>44454</v>
      </c>
      <c r="E139" t="s">
        <v>1105</v>
      </c>
      <c r="F139" t="s">
        <v>41</v>
      </c>
      <c r="G139" t="s">
        <v>940</v>
      </c>
      <c r="H139" t="s">
        <v>48</v>
      </c>
      <c r="I139" t="s">
        <v>961</v>
      </c>
      <c r="J139" t="s">
        <v>501</v>
      </c>
      <c r="K139">
        <v>1800</v>
      </c>
      <c r="L139">
        <v>12</v>
      </c>
      <c r="M139">
        <v>21</v>
      </c>
      <c r="N139" t="s">
        <v>21</v>
      </c>
      <c r="O139">
        <v>0</v>
      </c>
      <c r="P139">
        <v>2</v>
      </c>
      <c r="Q139">
        <v>455</v>
      </c>
      <c r="R139">
        <v>6746</v>
      </c>
      <c r="S139">
        <v>6.3</v>
      </c>
      <c r="T139">
        <v>21</v>
      </c>
      <c r="U139">
        <v>3.5</v>
      </c>
      <c r="V139">
        <v>6000</v>
      </c>
      <c r="W139" t="s">
        <v>1153</v>
      </c>
      <c r="X139" t="s">
        <v>1087</v>
      </c>
      <c r="Y139">
        <v>38</v>
      </c>
      <c r="Z139">
        <v>4</v>
      </c>
      <c r="AA139">
        <v>600</v>
      </c>
    </row>
    <row r="140" spans="1:27" x14ac:dyDescent="0.3">
      <c r="A140" s="15">
        <v>44482.797951388886</v>
      </c>
      <c r="B140" t="s">
        <v>13</v>
      </c>
      <c r="C140" t="s">
        <v>1080</v>
      </c>
      <c r="D140" s="2">
        <v>44455</v>
      </c>
      <c r="E140" t="s">
        <v>1130</v>
      </c>
      <c r="F140" t="s">
        <v>40</v>
      </c>
      <c r="G140" t="s">
        <v>48</v>
      </c>
      <c r="H140" t="s">
        <v>944</v>
      </c>
      <c r="I140" t="s">
        <v>973</v>
      </c>
      <c r="J140" t="s">
        <v>509</v>
      </c>
      <c r="K140">
        <v>1458</v>
      </c>
      <c r="L140">
        <v>12</v>
      </c>
      <c r="M140">
        <v>37.9</v>
      </c>
      <c r="N140" t="s">
        <v>21</v>
      </c>
      <c r="O140">
        <v>0</v>
      </c>
      <c r="P140">
        <v>0</v>
      </c>
      <c r="Q140">
        <v>457</v>
      </c>
      <c r="R140">
        <v>6955</v>
      </c>
      <c r="S140">
        <v>5.8319999999999999</v>
      </c>
      <c r="T140">
        <v>37.9</v>
      </c>
      <c r="U140">
        <v>4</v>
      </c>
      <c r="V140">
        <v>9475</v>
      </c>
      <c r="W140" t="s">
        <v>1153</v>
      </c>
      <c r="X140" t="s">
        <v>1087</v>
      </c>
      <c r="Y140">
        <v>38</v>
      </c>
      <c r="Z140">
        <v>6</v>
      </c>
      <c r="AA140">
        <v>729</v>
      </c>
    </row>
    <row r="141" spans="1:27" x14ac:dyDescent="0.3">
      <c r="A141" s="15">
        <v>44477.588622685187</v>
      </c>
      <c r="B141" t="s">
        <v>13</v>
      </c>
      <c r="C141" t="s">
        <v>1080</v>
      </c>
      <c r="D141" s="2">
        <v>44455</v>
      </c>
      <c r="E141" t="s">
        <v>1133</v>
      </c>
      <c r="F141" t="s">
        <v>41</v>
      </c>
      <c r="G141" t="s">
        <v>940</v>
      </c>
      <c r="H141" t="s">
        <v>48</v>
      </c>
      <c r="I141" t="s">
        <v>961</v>
      </c>
      <c r="J141" t="s">
        <v>501</v>
      </c>
      <c r="K141">
        <v>1859</v>
      </c>
      <c r="L141">
        <v>11</v>
      </c>
      <c r="M141">
        <v>31.5</v>
      </c>
      <c r="N141" t="s">
        <v>21</v>
      </c>
      <c r="O141">
        <v>0</v>
      </c>
      <c r="P141">
        <v>3</v>
      </c>
      <c r="Q141">
        <v>438</v>
      </c>
      <c r="R141">
        <v>6748</v>
      </c>
      <c r="S141">
        <v>6.5065</v>
      </c>
      <c r="T141">
        <v>31.5</v>
      </c>
      <c r="U141">
        <v>3.5</v>
      </c>
      <c r="V141">
        <v>9000</v>
      </c>
      <c r="W141" t="s">
        <v>1153</v>
      </c>
      <c r="X141" t="s">
        <v>1087</v>
      </c>
      <c r="Y141">
        <v>38</v>
      </c>
      <c r="Z141">
        <v>4</v>
      </c>
      <c r="AA141">
        <v>619.66666666666663</v>
      </c>
    </row>
    <row r="142" spans="1:27" x14ac:dyDescent="0.3">
      <c r="A142" s="15">
        <v>44482.798645833333</v>
      </c>
      <c r="B142" t="s">
        <v>13</v>
      </c>
      <c r="C142" t="s">
        <v>1080</v>
      </c>
      <c r="D142" s="2">
        <v>44456</v>
      </c>
      <c r="E142" t="s">
        <v>1133</v>
      </c>
      <c r="F142" t="s">
        <v>40</v>
      </c>
      <c r="G142" t="s">
        <v>48</v>
      </c>
      <c r="H142" t="s">
        <v>944</v>
      </c>
      <c r="I142" t="s">
        <v>973</v>
      </c>
      <c r="J142" t="s">
        <v>509</v>
      </c>
      <c r="K142">
        <v>429</v>
      </c>
      <c r="L142">
        <v>3</v>
      </c>
      <c r="M142">
        <v>10.8</v>
      </c>
      <c r="N142" t="s">
        <v>21</v>
      </c>
      <c r="O142">
        <v>0</v>
      </c>
      <c r="P142">
        <v>0</v>
      </c>
      <c r="Q142">
        <v>457</v>
      </c>
      <c r="R142">
        <v>6957</v>
      </c>
      <c r="S142">
        <v>1.716</v>
      </c>
      <c r="T142">
        <v>10.8</v>
      </c>
      <c r="U142">
        <v>4</v>
      </c>
      <c r="V142">
        <v>2700</v>
      </c>
      <c r="W142" t="s">
        <v>1153</v>
      </c>
      <c r="X142" t="s">
        <v>1087</v>
      </c>
      <c r="Y142">
        <v>38</v>
      </c>
      <c r="Z142">
        <v>6</v>
      </c>
      <c r="AA142">
        <v>214.5</v>
      </c>
    </row>
    <row r="143" spans="1:27" x14ac:dyDescent="0.3">
      <c r="A143" s="15">
        <v>44482.799444444441</v>
      </c>
      <c r="B143" t="s">
        <v>13</v>
      </c>
      <c r="C143" t="s">
        <v>1080</v>
      </c>
      <c r="D143" s="2">
        <v>44457</v>
      </c>
      <c r="E143" t="s">
        <v>1114</v>
      </c>
      <c r="F143" t="s">
        <v>40</v>
      </c>
      <c r="G143" t="s">
        <v>48</v>
      </c>
      <c r="H143" t="s">
        <v>944</v>
      </c>
      <c r="I143" t="s">
        <v>973</v>
      </c>
      <c r="J143" t="s">
        <v>509</v>
      </c>
      <c r="K143">
        <v>1430</v>
      </c>
      <c r="L143">
        <v>12</v>
      </c>
      <c r="M143">
        <v>37.200000000000003</v>
      </c>
      <c r="N143" t="s">
        <v>21</v>
      </c>
      <c r="O143">
        <v>0</v>
      </c>
      <c r="P143">
        <v>0</v>
      </c>
      <c r="Q143">
        <v>457</v>
      </c>
      <c r="R143">
        <v>6959</v>
      </c>
      <c r="S143">
        <v>5.72</v>
      </c>
      <c r="T143">
        <v>37.200000000000003</v>
      </c>
      <c r="U143">
        <v>4</v>
      </c>
      <c r="V143">
        <v>9300</v>
      </c>
      <c r="W143" t="s">
        <v>1153</v>
      </c>
      <c r="X143" t="s">
        <v>1087</v>
      </c>
      <c r="Y143">
        <v>38</v>
      </c>
      <c r="Z143">
        <v>6</v>
      </c>
      <c r="AA143">
        <v>715</v>
      </c>
    </row>
    <row r="144" spans="1:27" x14ac:dyDescent="0.3">
      <c r="A144" s="15">
        <v>44482.799803240741</v>
      </c>
      <c r="B144" t="s">
        <v>13</v>
      </c>
      <c r="C144" t="s">
        <v>1080</v>
      </c>
      <c r="D144" s="2">
        <v>44459</v>
      </c>
      <c r="E144" t="s">
        <v>1133</v>
      </c>
      <c r="F144" t="s">
        <v>40</v>
      </c>
      <c r="G144" t="s">
        <v>48</v>
      </c>
      <c r="H144" t="s">
        <v>944</v>
      </c>
      <c r="I144" t="s">
        <v>973</v>
      </c>
      <c r="J144" t="s">
        <v>509</v>
      </c>
      <c r="K144">
        <v>1319</v>
      </c>
      <c r="L144">
        <v>11</v>
      </c>
      <c r="M144">
        <v>34.200000000000003</v>
      </c>
      <c r="N144" t="s">
        <v>21</v>
      </c>
      <c r="O144">
        <v>0</v>
      </c>
      <c r="P144">
        <v>0</v>
      </c>
      <c r="Q144">
        <v>457</v>
      </c>
      <c r="R144">
        <v>6960</v>
      </c>
      <c r="S144">
        <v>5.2759999999999998</v>
      </c>
      <c r="T144">
        <v>34.200000000000003</v>
      </c>
      <c r="U144">
        <v>4</v>
      </c>
      <c r="V144">
        <v>8550</v>
      </c>
      <c r="W144" t="s">
        <v>1153</v>
      </c>
      <c r="X144" t="s">
        <v>1087</v>
      </c>
      <c r="Y144">
        <v>39</v>
      </c>
      <c r="Z144">
        <v>6</v>
      </c>
      <c r="AA144">
        <v>659.5</v>
      </c>
    </row>
    <row r="145" spans="1:27" x14ac:dyDescent="0.3">
      <c r="A145" s="15">
        <v>44482.801168981481</v>
      </c>
      <c r="B145" t="s">
        <v>13</v>
      </c>
      <c r="C145" t="s">
        <v>1080</v>
      </c>
      <c r="D145" s="2">
        <v>44463</v>
      </c>
      <c r="E145" t="s">
        <v>1133</v>
      </c>
      <c r="F145" t="s">
        <v>40</v>
      </c>
      <c r="G145" t="s">
        <v>48</v>
      </c>
      <c r="H145" t="s">
        <v>944</v>
      </c>
      <c r="I145" t="s">
        <v>1054</v>
      </c>
      <c r="J145" t="s">
        <v>484</v>
      </c>
      <c r="K145">
        <v>1180</v>
      </c>
      <c r="L145">
        <v>11</v>
      </c>
      <c r="M145">
        <v>91.5</v>
      </c>
      <c r="N145" t="s">
        <v>21</v>
      </c>
      <c r="O145">
        <v>0</v>
      </c>
      <c r="P145">
        <v>0</v>
      </c>
      <c r="Q145">
        <v>457</v>
      </c>
      <c r="R145">
        <v>6963</v>
      </c>
      <c r="S145">
        <v>14.16</v>
      </c>
      <c r="T145">
        <v>91.5</v>
      </c>
      <c r="U145">
        <v>12</v>
      </c>
      <c r="V145">
        <v>7625</v>
      </c>
      <c r="W145" t="s">
        <v>1153</v>
      </c>
      <c r="X145" t="s">
        <v>1087</v>
      </c>
      <c r="Y145">
        <v>39</v>
      </c>
      <c r="Z145">
        <v>6</v>
      </c>
      <c r="AA145">
        <v>590</v>
      </c>
    </row>
    <row r="146" spans="1:27" x14ac:dyDescent="0.3">
      <c r="A146" s="15">
        <v>44482.800706018519</v>
      </c>
      <c r="B146" t="s">
        <v>13</v>
      </c>
      <c r="C146" t="s">
        <v>1080</v>
      </c>
      <c r="D146" s="2">
        <v>44463</v>
      </c>
      <c r="E146" t="s">
        <v>1082</v>
      </c>
      <c r="F146" t="s">
        <v>40</v>
      </c>
      <c r="G146" t="s">
        <v>48</v>
      </c>
      <c r="H146" t="s">
        <v>944</v>
      </c>
      <c r="I146" t="s">
        <v>1054</v>
      </c>
      <c r="J146" t="s">
        <v>484</v>
      </c>
      <c r="K146">
        <v>1203</v>
      </c>
      <c r="L146">
        <v>12</v>
      </c>
      <c r="M146">
        <v>92.8</v>
      </c>
      <c r="N146" t="s">
        <v>21</v>
      </c>
      <c r="O146">
        <v>0</v>
      </c>
      <c r="P146">
        <v>0</v>
      </c>
      <c r="Q146">
        <v>457</v>
      </c>
      <c r="R146">
        <v>6962</v>
      </c>
      <c r="S146">
        <v>14.436</v>
      </c>
      <c r="T146">
        <v>92.8</v>
      </c>
      <c r="U146">
        <v>12</v>
      </c>
      <c r="V146">
        <v>7733.333333333333</v>
      </c>
      <c r="W146" t="s">
        <v>1153</v>
      </c>
      <c r="X146" t="s">
        <v>1087</v>
      </c>
      <c r="Y146">
        <v>39</v>
      </c>
      <c r="Z146">
        <v>6</v>
      </c>
      <c r="AA146">
        <v>601.5</v>
      </c>
    </row>
    <row r="147" spans="1:27" x14ac:dyDescent="0.3">
      <c r="A147" s="15">
        <v>44482.80159722222</v>
      </c>
      <c r="B147" t="s">
        <v>13</v>
      </c>
      <c r="C147" t="s">
        <v>1080</v>
      </c>
      <c r="D147" s="2">
        <v>44466</v>
      </c>
      <c r="E147" t="s">
        <v>1133</v>
      </c>
      <c r="F147" t="s">
        <v>40</v>
      </c>
      <c r="G147" t="s">
        <v>48</v>
      </c>
      <c r="H147" t="s">
        <v>944</v>
      </c>
      <c r="I147" t="s">
        <v>1054</v>
      </c>
      <c r="J147" t="s">
        <v>484</v>
      </c>
      <c r="K147">
        <v>1093</v>
      </c>
      <c r="L147">
        <v>11</v>
      </c>
      <c r="M147">
        <v>85.3</v>
      </c>
      <c r="N147" t="s">
        <v>21</v>
      </c>
      <c r="O147">
        <v>0</v>
      </c>
      <c r="P147">
        <v>0</v>
      </c>
      <c r="Q147">
        <v>457</v>
      </c>
      <c r="R147">
        <v>6965</v>
      </c>
      <c r="S147">
        <v>13.116</v>
      </c>
      <c r="T147">
        <v>85.3</v>
      </c>
      <c r="U147">
        <v>12</v>
      </c>
      <c r="V147">
        <v>7108.333333333333</v>
      </c>
      <c r="W147" t="s">
        <v>1153</v>
      </c>
      <c r="X147" t="s">
        <v>1087</v>
      </c>
      <c r="Y147">
        <v>40</v>
      </c>
      <c r="Z147">
        <v>6</v>
      </c>
      <c r="AA147">
        <v>546.5</v>
      </c>
    </row>
    <row r="148" spans="1:27" x14ac:dyDescent="0.3">
      <c r="A148" s="15">
        <v>44482.801817129628</v>
      </c>
      <c r="B148" t="s">
        <v>13</v>
      </c>
      <c r="C148" t="s">
        <v>1080</v>
      </c>
      <c r="D148" s="2">
        <v>44467</v>
      </c>
      <c r="E148" t="s">
        <v>1133</v>
      </c>
      <c r="F148" t="s">
        <v>40</v>
      </c>
      <c r="G148" t="s">
        <v>48</v>
      </c>
      <c r="H148" t="s">
        <v>944</v>
      </c>
      <c r="I148" t="s">
        <v>1054</v>
      </c>
      <c r="J148" t="s">
        <v>484</v>
      </c>
      <c r="K148">
        <v>1036</v>
      </c>
      <c r="L148">
        <v>10</v>
      </c>
      <c r="M148">
        <v>80.099999999999994</v>
      </c>
      <c r="N148" t="s">
        <v>21</v>
      </c>
      <c r="O148">
        <v>0</v>
      </c>
      <c r="P148">
        <v>0</v>
      </c>
      <c r="Q148">
        <v>457</v>
      </c>
      <c r="R148">
        <v>6965</v>
      </c>
      <c r="S148">
        <v>12.432</v>
      </c>
      <c r="T148">
        <v>80.099999999999994</v>
      </c>
      <c r="U148">
        <v>12</v>
      </c>
      <c r="V148">
        <v>6675</v>
      </c>
      <c r="W148" t="s">
        <v>1153</v>
      </c>
      <c r="X148" t="s">
        <v>1087</v>
      </c>
      <c r="Y148">
        <v>40</v>
      </c>
      <c r="Z148">
        <v>6</v>
      </c>
      <c r="AA148">
        <v>518</v>
      </c>
    </row>
    <row r="149" spans="1:27" x14ac:dyDescent="0.3">
      <c r="A149" s="15">
        <v>44482.802314814813</v>
      </c>
      <c r="B149" t="s">
        <v>13</v>
      </c>
      <c r="C149" t="s">
        <v>1080</v>
      </c>
      <c r="D149" s="2">
        <v>44468</v>
      </c>
      <c r="E149" t="s">
        <v>1133</v>
      </c>
      <c r="F149" t="s">
        <v>40</v>
      </c>
      <c r="G149" t="s">
        <v>48</v>
      </c>
      <c r="H149" t="s">
        <v>944</v>
      </c>
      <c r="I149" t="s">
        <v>1054</v>
      </c>
      <c r="J149" t="s">
        <v>484</v>
      </c>
      <c r="K149">
        <v>1052</v>
      </c>
      <c r="L149">
        <v>11</v>
      </c>
      <c r="M149">
        <v>82.1</v>
      </c>
      <c r="N149" t="s">
        <v>21</v>
      </c>
      <c r="O149">
        <v>0</v>
      </c>
      <c r="P149">
        <v>0</v>
      </c>
      <c r="Q149">
        <v>457</v>
      </c>
      <c r="R149">
        <v>6968</v>
      </c>
      <c r="S149">
        <v>12.624000000000001</v>
      </c>
      <c r="T149">
        <v>82.1</v>
      </c>
      <c r="U149">
        <v>12</v>
      </c>
      <c r="V149">
        <v>6841.666666666667</v>
      </c>
      <c r="W149" t="s">
        <v>1153</v>
      </c>
      <c r="X149" t="s">
        <v>1087</v>
      </c>
      <c r="Y149">
        <v>40</v>
      </c>
      <c r="Z149">
        <v>6</v>
      </c>
      <c r="AA149">
        <v>526</v>
      </c>
    </row>
    <row r="150" spans="1:27" x14ac:dyDescent="0.3">
      <c r="A150" s="15">
        <v>44482.802048611113</v>
      </c>
      <c r="B150" t="s">
        <v>13</v>
      </c>
      <c r="C150" t="s">
        <v>1080</v>
      </c>
      <c r="D150" s="2">
        <v>44468</v>
      </c>
      <c r="E150" t="s">
        <v>1133</v>
      </c>
      <c r="F150" t="s">
        <v>40</v>
      </c>
      <c r="G150" t="s">
        <v>48</v>
      </c>
      <c r="H150" t="s">
        <v>944</v>
      </c>
      <c r="I150" t="s">
        <v>1054</v>
      </c>
      <c r="J150" t="s">
        <v>484</v>
      </c>
      <c r="K150">
        <v>1137</v>
      </c>
      <c r="L150">
        <v>10</v>
      </c>
      <c r="M150">
        <v>87.6</v>
      </c>
      <c r="N150" t="s">
        <v>21</v>
      </c>
      <c r="O150">
        <v>0</v>
      </c>
      <c r="P150">
        <v>0</v>
      </c>
      <c r="Q150">
        <v>457</v>
      </c>
      <c r="R150">
        <v>6967</v>
      </c>
      <c r="S150">
        <v>13.644</v>
      </c>
      <c r="T150">
        <v>87.6</v>
      </c>
      <c r="U150">
        <v>12</v>
      </c>
      <c r="V150">
        <v>7300</v>
      </c>
      <c r="W150" t="s">
        <v>1153</v>
      </c>
      <c r="X150" t="s">
        <v>1087</v>
      </c>
      <c r="Y150">
        <v>40</v>
      </c>
      <c r="Z150">
        <v>6</v>
      </c>
      <c r="AA150">
        <v>568.5</v>
      </c>
    </row>
    <row r="151" spans="1:27" x14ac:dyDescent="0.3">
      <c r="A151" s="15">
        <v>44477.58185185185</v>
      </c>
      <c r="B151" t="s">
        <v>13</v>
      </c>
      <c r="C151" t="s">
        <v>1028</v>
      </c>
      <c r="D151" s="2">
        <v>44448</v>
      </c>
      <c r="E151" t="s">
        <v>1131</v>
      </c>
      <c r="F151" t="s">
        <v>41</v>
      </c>
      <c r="G151" t="s">
        <v>943</v>
      </c>
      <c r="H151" t="s">
        <v>48</v>
      </c>
      <c r="I151" t="s">
        <v>1127</v>
      </c>
      <c r="J151" t="s">
        <v>1125</v>
      </c>
      <c r="K151">
        <v>519</v>
      </c>
      <c r="L151">
        <v>8</v>
      </c>
      <c r="M151">
        <v>45.67</v>
      </c>
      <c r="N151" t="s">
        <v>21</v>
      </c>
      <c r="O151">
        <v>0</v>
      </c>
      <c r="P151">
        <v>4</v>
      </c>
      <c r="Q151">
        <v>455</v>
      </c>
      <c r="R151">
        <v>6742</v>
      </c>
      <c r="S151">
        <v>11.417999999999999</v>
      </c>
      <c r="T151">
        <v>45.67</v>
      </c>
      <c r="U151">
        <v>22</v>
      </c>
      <c r="V151">
        <v>2075.909090909091</v>
      </c>
      <c r="W151" t="s">
        <v>1153</v>
      </c>
      <c r="X151" t="s">
        <v>1087</v>
      </c>
      <c r="Y151">
        <v>37</v>
      </c>
      <c r="Z151">
        <v>4</v>
      </c>
      <c r="AA151">
        <v>173</v>
      </c>
    </row>
    <row r="152" spans="1:27" x14ac:dyDescent="0.3">
      <c r="A152" s="15">
        <v>44477.590543981481</v>
      </c>
      <c r="B152" t="s">
        <v>13</v>
      </c>
      <c r="C152" t="s">
        <v>1028</v>
      </c>
      <c r="D152" s="2">
        <v>44456</v>
      </c>
      <c r="E152" t="s">
        <v>1133</v>
      </c>
      <c r="F152" t="s">
        <v>41</v>
      </c>
      <c r="G152" t="s">
        <v>950</v>
      </c>
      <c r="H152" t="s">
        <v>951</v>
      </c>
      <c r="I152" t="s">
        <v>1103</v>
      </c>
      <c r="J152" t="s">
        <v>1101</v>
      </c>
      <c r="K152">
        <v>1180</v>
      </c>
      <c r="L152">
        <v>9</v>
      </c>
      <c r="M152">
        <v>33.04</v>
      </c>
      <c r="N152" t="s">
        <v>21</v>
      </c>
      <c r="O152">
        <v>0</v>
      </c>
      <c r="P152">
        <v>5</v>
      </c>
      <c r="Q152">
        <v>463</v>
      </c>
      <c r="R152">
        <v>6749</v>
      </c>
      <c r="S152">
        <v>33.04</v>
      </c>
      <c r="T152">
        <v>33.04</v>
      </c>
      <c r="U152">
        <v>28</v>
      </c>
      <c r="V152">
        <v>1180</v>
      </c>
      <c r="W152" t="s">
        <v>1153</v>
      </c>
      <c r="X152" t="s">
        <v>1087</v>
      </c>
      <c r="Y152">
        <v>38</v>
      </c>
      <c r="Z152">
        <v>1</v>
      </c>
      <c r="AA152">
        <v>98.333333333333329</v>
      </c>
    </row>
    <row r="153" spans="1:27" x14ac:dyDescent="0.3">
      <c r="A153" s="15">
        <v>44477.590983796297</v>
      </c>
      <c r="B153" t="s">
        <v>13</v>
      </c>
      <c r="C153" t="s">
        <v>1028</v>
      </c>
      <c r="D153" s="2">
        <v>44457</v>
      </c>
      <c r="E153" t="s">
        <v>1133</v>
      </c>
      <c r="F153" t="s">
        <v>41</v>
      </c>
      <c r="G153" t="s">
        <v>950</v>
      </c>
      <c r="H153" t="s">
        <v>951</v>
      </c>
      <c r="I153" t="s">
        <v>1103</v>
      </c>
      <c r="J153" t="s">
        <v>1101</v>
      </c>
      <c r="K153">
        <v>1546</v>
      </c>
      <c r="L153">
        <v>10</v>
      </c>
      <c r="M153">
        <v>43.29</v>
      </c>
      <c r="N153" t="s">
        <v>21</v>
      </c>
      <c r="O153">
        <v>0</v>
      </c>
      <c r="P153">
        <v>5</v>
      </c>
      <c r="Q153">
        <v>463</v>
      </c>
      <c r="R153">
        <v>6750</v>
      </c>
      <c r="S153">
        <v>43.287999999999997</v>
      </c>
      <c r="T153">
        <v>43.29</v>
      </c>
      <c r="U153">
        <v>28</v>
      </c>
      <c r="V153">
        <v>1546.0714285714287</v>
      </c>
      <c r="W153" t="s">
        <v>1153</v>
      </c>
      <c r="X153" t="s">
        <v>1087</v>
      </c>
      <c r="Y153">
        <v>38</v>
      </c>
      <c r="Z153">
        <v>1</v>
      </c>
      <c r="AA153">
        <v>128.83333333333334</v>
      </c>
    </row>
    <row r="154" spans="1:27" x14ac:dyDescent="0.3">
      <c r="A154" s="15">
        <v>44477.599502314813</v>
      </c>
      <c r="B154" t="s">
        <v>13</v>
      </c>
      <c r="C154" t="s">
        <v>1028</v>
      </c>
      <c r="D154" s="2">
        <v>44459</v>
      </c>
      <c r="E154" t="s">
        <v>1105</v>
      </c>
      <c r="F154" t="s">
        <v>41</v>
      </c>
      <c r="G154" t="s">
        <v>950</v>
      </c>
      <c r="H154" t="s">
        <v>951</v>
      </c>
      <c r="I154" t="s">
        <v>1103</v>
      </c>
      <c r="J154" t="s">
        <v>1102</v>
      </c>
      <c r="K154">
        <v>1875</v>
      </c>
      <c r="L154">
        <v>12</v>
      </c>
      <c r="M154">
        <v>52.5</v>
      </c>
      <c r="N154" t="s">
        <v>21</v>
      </c>
      <c r="O154">
        <v>0</v>
      </c>
      <c r="P154">
        <v>8</v>
      </c>
      <c r="Q154">
        <v>463</v>
      </c>
      <c r="R154">
        <v>6752</v>
      </c>
      <c r="S154">
        <v>52.5</v>
      </c>
      <c r="T154">
        <v>52.5</v>
      </c>
      <c r="U154">
        <v>28</v>
      </c>
      <c r="V154">
        <v>1875</v>
      </c>
      <c r="W154" t="s">
        <v>1153</v>
      </c>
      <c r="X154" t="s">
        <v>1087</v>
      </c>
      <c r="Y154">
        <v>39</v>
      </c>
      <c r="Z154">
        <v>1</v>
      </c>
      <c r="AA154">
        <v>156.25</v>
      </c>
    </row>
    <row r="155" spans="1:27" x14ac:dyDescent="0.3">
      <c r="A155" s="15">
        <v>44477.603819444441</v>
      </c>
      <c r="B155" t="s">
        <v>13</v>
      </c>
      <c r="C155" t="s">
        <v>1028</v>
      </c>
      <c r="D155" s="2">
        <v>44460</v>
      </c>
      <c r="E155" t="s">
        <v>1133</v>
      </c>
      <c r="F155" t="s">
        <v>41</v>
      </c>
      <c r="G155" t="s">
        <v>950</v>
      </c>
      <c r="H155" t="s">
        <v>951</v>
      </c>
      <c r="I155" t="s">
        <v>1103</v>
      </c>
      <c r="J155" t="s">
        <v>1099</v>
      </c>
      <c r="K155">
        <v>893</v>
      </c>
      <c r="L155">
        <v>9</v>
      </c>
      <c r="M155">
        <v>25</v>
      </c>
      <c r="N155" t="s">
        <v>21</v>
      </c>
      <c r="O155">
        <v>0</v>
      </c>
      <c r="P155">
        <v>3</v>
      </c>
      <c r="Q155">
        <v>463</v>
      </c>
      <c r="R155">
        <v>6754</v>
      </c>
      <c r="S155">
        <v>25.004000000000001</v>
      </c>
      <c r="T155">
        <v>25</v>
      </c>
      <c r="U155">
        <v>28</v>
      </c>
      <c r="V155">
        <v>892.85714285714289</v>
      </c>
      <c r="W155" t="s">
        <v>1153</v>
      </c>
      <c r="X155" t="s">
        <v>1087</v>
      </c>
      <c r="Y155">
        <v>39</v>
      </c>
      <c r="Z155">
        <v>1</v>
      </c>
      <c r="AA155">
        <v>74.416666666666671</v>
      </c>
    </row>
    <row r="156" spans="1:27" x14ac:dyDescent="0.3">
      <c r="A156" s="15">
        <v>44477.605810185189</v>
      </c>
      <c r="B156" t="s">
        <v>13</v>
      </c>
      <c r="C156" t="s">
        <v>1028</v>
      </c>
      <c r="D156" s="2">
        <v>44461</v>
      </c>
      <c r="E156" t="s">
        <v>1133</v>
      </c>
      <c r="F156" t="s">
        <v>41</v>
      </c>
      <c r="G156" t="s">
        <v>950</v>
      </c>
      <c r="H156" t="s">
        <v>951</v>
      </c>
      <c r="I156" t="s">
        <v>1103</v>
      </c>
      <c r="J156" t="s">
        <v>1099</v>
      </c>
      <c r="K156">
        <v>1703</v>
      </c>
      <c r="L156">
        <v>12</v>
      </c>
      <c r="M156">
        <v>47.68</v>
      </c>
      <c r="N156" t="s">
        <v>21</v>
      </c>
      <c r="O156">
        <v>0</v>
      </c>
      <c r="P156">
        <v>6</v>
      </c>
      <c r="Q156">
        <v>463</v>
      </c>
      <c r="R156">
        <v>6756</v>
      </c>
      <c r="S156">
        <v>47.683999999999997</v>
      </c>
      <c r="T156">
        <v>47.68</v>
      </c>
      <c r="U156">
        <v>28</v>
      </c>
      <c r="V156">
        <v>1702.8571428571429</v>
      </c>
      <c r="W156" t="s">
        <v>1153</v>
      </c>
      <c r="X156" t="s">
        <v>1087</v>
      </c>
      <c r="Y156">
        <v>39</v>
      </c>
      <c r="Z156">
        <v>1</v>
      </c>
      <c r="AA156">
        <v>141.91666666666666</v>
      </c>
    </row>
    <row r="157" spans="1:27" x14ac:dyDescent="0.3">
      <c r="A157" s="15">
        <v>44477.612685185188</v>
      </c>
      <c r="B157" t="s">
        <v>13</v>
      </c>
      <c r="C157" t="s">
        <v>1028</v>
      </c>
      <c r="D157" s="2">
        <v>44462</v>
      </c>
      <c r="E157" t="s">
        <v>1133</v>
      </c>
      <c r="F157" t="s">
        <v>41</v>
      </c>
      <c r="G157" t="s">
        <v>950</v>
      </c>
      <c r="H157" t="s">
        <v>951</v>
      </c>
      <c r="I157" t="s">
        <v>1103</v>
      </c>
      <c r="J157" t="s">
        <v>1100</v>
      </c>
      <c r="K157">
        <v>1729</v>
      </c>
      <c r="L157">
        <v>12</v>
      </c>
      <c r="M157">
        <v>48.41</v>
      </c>
      <c r="N157" t="s">
        <v>21</v>
      </c>
      <c r="O157">
        <v>0</v>
      </c>
      <c r="P157">
        <v>6</v>
      </c>
      <c r="Q157">
        <v>463</v>
      </c>
      <c r="R157">
        <v>6759</v>
      </c>
      <c r="S157">
        <v>48.411999999999999</v>
      </c>
      <c r="T157">
        <v>48.41</v>
      </c>
      <c r="U157">
        <v>28</v>
      </c>
      <c r="V157">
        <v>1728.9285714285713</v>
      </c>
      <c r="W157" t="s">
        <v>1153</v>
      </c>
      <c r="X157" t="s">
        <v>1087</v>
      </c>
      <c r="Y157">
        <v>39</v>
      </c>
      <c r="Z157">
        <v>1</v>
      </c>
      <c r="AA157">
        <v>144.08333333333334</v>
      </c>
    </row>
    <row r="158" spans="1:27" x14ac:dyDescent="0.3">
      <c r="A158" s="15">
        <v>44477.613576388889</v>
      </c>
      <c r="B158" t="s">
        <v>13</v>
      </c>
      <c r="C158" t="s">
        <v>1028</v>
      </c>
      <c r="D158" s="2">
        <v>44463</v>
      </c>
      <c r="E158" t="s">
        <v>1105</v>
      </c>
      <c r="F158" t="s">
        <v>41</v>
      </c>
      <c r="G158" t="s">
        <v>950</v>
      </c>
      <c r="H158" t="s">
        <v>951</v>
      </c>
      <c r="I158" t="s">
        <v>1103</v>
      </c>
      <c r="J158" t="s">
        <v>1101</v>
      </c>
      <c r="K158">
        <v>500</v>
      </c>
      <c r="L158">
        <v>4</v>
      </c>
      <c r="M158">
        <v>14</v>
      </c>
      <c r="N158" t="s">
        <v>21</v>
      </c>
      <c r="O158">
        <v>0</v>
      </c>
      <c r="P158">
        <v>3</v>
      </c>
      <c r="Q158">
        <v>463</v>
      </c>
      <c r="R158">
        <v>6760</v>
      </c>
      <c r="S158">
        <v>14</v>
      </c>
      <c r="T158">
        <v>14</v>
      </c>
      <c r="U158">
        <v>28</v>
      </c>
      <c r="V158">
        <v>500</v>
      </c>
      <c r="W158" t="s">
        <v>1153</v>
      </c>
      <c r="X158" t="s">
        <v>1087</v>
      </c>
      <c r="Y158">
        <v>39</v>
      </c>
      <c r="Z158">
        <v>1</v>
      </c>
      <c r="AA158">
        <v>41.666666666666664</v>
      </c>
    </row>
    <row r="159" spans="1:27" x14ac:dyDescent="0.3">
      <c r="A159" s="15">
        <v>44477.613206018519</v>
      </c>
      <c r="B159" t="s">
        <v>13</v>
      </c>
      <c r="C159" t="s">
        <v>1028</v>
      </c>
      <c r="D159" s="2">
        <v>44463</v>
      </c>
      <c r="E159" t="s">
        <v>1105</v>
      </c>
      <c r="F159" t="s">
        <v>41</v>
      </c>
      <c r="G159" t="s">
        <v>950</v>
      </c>
      <c r="H159" t="s">
        <v>951</v>
      </c>
      <c r="I159" t="s">
        <v>1103</v>
      </c>
      <c r="J159" t="s">
        <v>1100</v>
      </c>
      <c r="K159">
        <v>589</v>
      </c>
      <c r="L159">
        <v>4</v>
      </c>
      <c r="M159">
        <v>16.489999999999998</v>
      </c>
      <c r="N159" t="s">
        <v>21</v>
      </c>
      <c r="O159">
        <v>0</v>
      </c>
      <c r="P159">
        <v>3</v>
      </c>
      <c r="Q159">
        <v>463</v>
      </c>
      <c r="R159">
        <v>6760</v>
      </c>
      <c r="S159">
        <v>16.492000000000001</v>
      </c>
      <c r="T159">
        <v>16.489999999999998</v>
      </c>
      <c r="U159">
        <v>28</v>
      </c>
      <c r="V159">
        <v>588.92857142857144</v>
      </c>
      <c r="W159" t="s">
        <v>1153</v>
      </c>
      <c r="X159" t="s">
        <v>1087</v>
      </c>
      <c r="Y159">
        <v>39</v>
      </c>
      <c r="Z159">
        <v>1</v>
      </c>
      <c r="AA159">
        <v>49.083333333333336</v>
      </c>
    </row>
    <row r="160" spans="1:27" x14ac:dyDescent="0.3">
      <c r="A160" s="15">
        <v>44477.614988425928</v>
      </c>
      <c r="B160" t="s">
        <v>13</v>
      </c>
      <c r="C160" t="s">
        <v>1028</v>
      </c>
      <c r="D160" s="2">
        <v>44464</v>
      </c>
      <c r="E160" t="s">
        <v>1133</v>
      </c>
      <c r="F160" t="s">
        <v>41</v>
      </c>
      <c r="G160" t="s">
        <v>950</v>
      </c>
      <c r="H160" t="s">
        <v>951</v>
      </c>
      <c r="I160" t="s">
        <v>1103</v>
      </c>
      <c r="J160" t="s">
        <v>1102</v>
      </c>
      <c r="K160">
        <v>186</v>
      </c>
      <c r="L160">
        <v>3</v>
      </c>
      <c r="M160">
        <v>4.9000000000000004</v>
      </c>
      <c r="N160" t="s">
        <v>21</v>
      </c>
      <c r="O160">
        <v>0</v>
      </c>
      <c r="P160">
        <v>1</v>
      </c>
      <c r="Q160">
        <v>463</v>
      </c>
      <c r="R160">
        <v>6761</v>
      </c>
      <c r="S160">
        <v>5.2080000000000002</v>
      </c>
      <c r="T160">
        <v>4.9000000000000004</v>
      </c>
      <c r="U160">
        <v>28</v>
      </c>
      <c r="V160">
        <v>175</v>
      </c>
      <c r="W160" t="s">
        <v>1153</v>
      </c>
      <c r="X160" t="s">
        <v>1087</v>
      </c>
      <c r="Y160">
        <v>39</v>
      </c>
      <c r="Z160">
        <v>1</v>
      </c>
      <c r="AA160">
        <v>15.5</v>
      </c>
    </row>
    <row r="161" spans="1:27" x14ac:dyDescent="0.3">
      <c r="A161" s="15">
        <v>44477.614016203705</v>
      </c>
      <c r="B161" t="s">
        <v>13</v>
      </c>
      <c r="C161" t="s">
        <v>1028</v>
      </c>
      <c r="D161" s="2">
        <v>44464</v>
      </c>
      <c r="E161" t="s">
        <v>1133</v>
      </c>
      <c r="F161" t="s">
        <v>41</v>
      </c>
      <c r="G161" t="s">
        <v>950</v>
      </c>
      <c r="H161" t="s">
        <v>951</v>
      </c>
      <c r="I161" t="s">
        <v>1103</v>
      </c>
      <c r="J161" t="s">
        <v>1101</v>
      </c>
      <c r="K161">
        <v>897</v>
      </c>
      <c r="L161">
        <v>7</v>
      </c>
      <c r="M161">
        <v>23.63</v>
      </c>
      <c r="N161" t="s">
        <v>21</v>
      </c>
      <c r="O161">
        <v>0</v>
      </c>
      <c r="P161">
        <v>4</v>
      </c>
      <c r="Q161">
        <v>463</v>
      </c>
      <c r="R161">
        <v>6761</v>
      </c>
      <c r="S161">
        <v>25.116</v>
      </c>
      <c r="T161">
        <v>23.63</v>
      </c>
      <c r="U161">
        <v>28</v>
      </c>
      <c r="V161">
        <v>843.92857142857144</v>
      </c>
      <c r="W161" t="s">
        <v>1153</v>
      </c>
      <c r="X161" t="s">
        <v>1087</v>
      </c>
      <c r="Y161">
        <v>39</v>
      </c>
      <c r="Z161">
        <v>1</v>
      </c>
      <c r="AA161">
        <v>74.75</v>
      </c>
    </row>
    <row r="162" spans="1:27" x14ac:dyDescent="0.3">
      <c r="A162" s="15">
        <v>44477.615694444445</v>
      </c>
      <c r="B162" t="s">
        <v>13</v>
      </c>
      <c r="C162" t="s">
        <v>1028</v>
      </c>
      <c r="D162" s="2">
        <v>44466</v>
      </c>
      <c r="E162" t="s">
        <v>1105</v>
      </c>
      <c r="F162" t="s">
        <v>41</v>
      </c>
      <c r="G162" t="s">
        <v>950</v>
      </c>
      <c r="H162" t="s">
        <v>951</v>
      </c>
      <c r="I162" t="s">
        <v>1103</v>
      </c>
      <c r="J162" t="s">
        <v>1102</v>
      </c>
      <c r="K162">
        <v>1540</v>
      </c>
      <c r="L162">
        <v>11</v>
      </c>
      <c r="M162">
        <v>43.12</v>
      </c>
      <c r="N162" t="s">
        <v>21</v>
      </c>
      <c r="O162">
        <v>0</v>
      </c>
      <c r="P162">
        <v>7</v>
      </c>
      <c r="Q162">
        <v>463</v>
      </c>
      <c r="R162">
        <v>6762</v>
      </c>
      <c r="S162">
        <v>43.12</v>
      </c>
      <c r="T162">
        <v>43.12</v>
      </c>
      <c r="U162">
        <v>28</v>
      </c>
      <c r="V162">
        <v>1540</v>
      </c>
      <c r="W162" t="s">
        <v>1153</v>
      </c>
      <c r="X162" t="s">
        <v>1087</v>
      </c>
      <c r="Y162">
        <v>40</v>
      </c>
      <c r="Z162">
        <v>1</v>
      </c>
      <c r="AA162">
        <v>128.33333333333334</v>
      </c>
    </row>
    <row r="163" spans="1:27" x14ac:dyDescent="0.3">
      <c r="A163" s="15">
        <v>44477.620671296296</v>
      </c>
      <c r="B163" t="s">
        <v>13</v>
      </c>
      <c r="C163" t="s">
        <v>1028</v>
      </c>
      <c r="D163" s="2">
        <v>44467</v>
      </c>
      <c r="E163" t="s">
        <v>1092</v>
      </c>
      <c r="F163" t="s">
        <v>41</v>
      </c>
      <c r="G163" t="s">
        <v>950</v>
      </c>
      <c r="H163" t="s">
        <v>951</v>
      </c>
      <c r="I163" t="s">
        <v>1103</v>
      </c>
      <c r="J163" t="s">
        <v>1099</v>
      </c>
      <c r="K163">
        <v>1438</v>
      </c>
      <c r="L163">
        <v>9</v>
      </c>
      <c r="M163">
        <v>40.26</v>
      </c>
      <c r="N163" t="s">
        <v>21</v>
      </c>
      <c r="O163">
        <v>0</v>
      </c>
      <c r="P163">
        <v>7</v>
      </c>
      <c r="Q163">
        <v>463</v>
      </c>
      <c r="R163">
        <v>6763</v>
      </c>
      <c r="S163">
        <v>40.264000000000003</v>
      </c>
      <c r="T163">
        <v>40.26</v>
      </c>
      <c r="U163">
        <v>28</v>
      </c>
      <c r="V163">
        <v>1437.8571428571429</v>
      </c>
      <c r="W163" t="s">
        <v>1153</v>
      </c>
      <c r="X163" t="s">
        <v>1087</v>
      </c>
      <c r="Y163">
        <v>40</v>
      </c>
      <c r="Z163">
        <v>1</v>
      </c>
      <c r="AA163">
        <v>119.83333333333333</v>
      </c>
    </row>
    <row r="164" spans="1:27" x14ac:dyDescent="0.3">
      <c r="A164" s="15">
        <v>44477.621724537035</v>
      </c>
      <c r="B164" t="s">
        <v>13</v>
      </c>
      <c r="C164" t="s">
        <v>1028</v>
      </c>
      <c r="D164" s="2">
        <v>44468</v>
      </c>
      <c r="E164" t="s">
        <v>1133</v>
      </c>
      <c r="F164" t="s">
        <v>41</v>
      </c>
      <c r="G164" t="s">
        <v>950</v>
      </c>
      <c r="H164" t="s">
        <v>951</v>
      </c>
      <c r="I164" t="s">
        <v>1103</v>
      </c>
      <c r="J164" t="s">
        <v>1100</v>
      </c>
      <c r="K164">
        <v>1389</v>
      </c>
      <c r="L164">
        <v>8</v>
      </c>
      <c r="M164">
        <v>43.8</v>
      </c>
      <c r="N164" t="s">
        <v>21</v>
      </c>
      <c r="O164">
        <v>0</v>
      </c>
      <c r="P164">
        <v>5</v>
      </c>
      <c r="Q164">
        <v>463</v>
      </c>
      <c r="R164">
        <v>6764</v>
      </c>
      <c r="S164">
        <v>38.892000000000003</v>
      </c>
      <c r="T164">
        <v>43.8</v>
      </c>
      <c r="U164">
        <v>28</v>
      </c>
      <c r="V164">
        <v>1564.2857142857142</v>
      </c>
      <c r="W164" t="s">
        <v>1153</v>
      </c>
      <c r="X164" t="s">
        <v>1087</v>
      </c>
      <c r="Y164">
        <v>40</v>
      </c>
      <c r="Z164">
        <v>1</v>
      </c>
      <c r="AA164">
        <v>115.75</v>
      </c>
    </row>
    <row r="165" spans="1:27" x14ac:dyDescent="0.3">
      <c r="A165" s="15">
        <v>44477.621377314812</v>
      </c>
      <c r="B165" t="s">
        <v>13</v>
      </c>
      <c r="C165" t="s">
        <v>1028</v>
      </c>
      <c r="D165" s="2">
        <v>44468</v>
      </c>
      <c r="E165" t="s">
        <v>1133</v>
      </c>
      <c r="F165" t="s">
        <v>41</v>
      </c>
      <c r="G165" t="s">
        <v>950</v>
      </c>
      <c r="H165" t="s">
        <v>951</v>
      </c>
      <c r="I165" t="s">
        <v>1103</v>
      </c>
      <c r="J165" t="s">
        <v>1099</v>
      </c>
      <c r="K165">
        <v>192</v>
      </c>
      <c r="L165">
        <v>3</v>
      </c>
      <c r="M165">
        <v>5.38</v>
      </c>
      <c r="N165" t="s">
        <v>21</v>
      </c>
      <c r="O165">
        <v>0</v>
      </c>
      <c r="P165">
        <v>1</v>
      </c>
      <c r="Q165">
        <v>463</v>
      </c>
      <c r="R165">
        <v>6764</v>
      </c>
      <c r="S165">
        <v>5.3760000000000003</v>
      </c>
      <c r="T165">
        <v>5.38</v>
      </c>
      <c r="U165">
        <v>28</v>
      </c>
      <c r="V165">
        <v>192.14285714285714</v>
      </c>
      <c r="W165" t="s">
        <v>1153</v>
      </c>
      <c r="X165" t="s">
        <v>1087</v>
      </c>
      <c r="Y165">
        <v>40</v>
      </c>
      <c r="Z165">
        <v>1</v>
      </c>
      <c r="AA165">
        <v>16</v>
      </c>
    </row>
    <row r="166" spans="1:27" x14ac:dyDescent="0.3">
      <c r="A166" s="15">
        <v>44482.656006944446</v>
      </c>
      <c r="B166" t="s">
        <v>13</v>
      </c>
      <c r="C166" t="s">
        <v>1028</v>
      </c>
      <c r="D166" s="2">
        <v>44469</v>
      </c>
      <c r="E166" t="s">
        <v>1092</v>
      </c>
      <c r="F166" t="s">
        <v>41</v>
      </c>
      <c r="G166" t="s">
        <v>950</v>
      </c>
      <c r="H166" t="s">
        <v>951</v>
      </c>
      <c r="I166" t="s">
        <v>1103</v>
      </c>
      <c r="J166" t="s">
        <v>1099</v>
      </c>
      <c r="K166">
        <v>170</v>
      </c>
      <c r="L166">
        <v>1</v>
      </c>
      <c r="M166">
        <v>5.18</v>
      </c>
      <c r="N166" t="s">
        <v>21</v>
      </c>
      <c r="O166">
        <v>0</v>
      </c>
      <c r="P166">
        <v>1</v>
      </c>
      <c r="Q166">
        <v>463</v>
      </c>
      <c r="R166">
        <v>6765</v>
      </c>
      <c r="S166">
        <v>4.76</v>
      </c>
      <c r="T166">
        <v>5.18</v>
      </c>
      <c r="U166">
        <v>28</v>
      </c>
      <c r="V166">
        <v>185</v>
      </c>
      <c r="W166" t="s">
        <v>1153</v>
      </c>
      <c r="X166" t="s">
        <v>1087</v>
      </c>
      <c r="Y166">
        <v>40</v>
      </c>
      <c r="Z166">
        <v>1</v>
      </c>
      <c r="AA166">
        <v>14.166666666666666</v>
      </c>
    </row>
    <row r="167" spans="1:27" x14ac:dyDescent="0.3">
      <c r="A167" s="15">
        <v>44477.622210648151</v>
      </c>
      <c r="B167" t="s">
        <v>13</v>
      </c>
      <c r="C167" t="s">
        <v>1028</v>
      </c>
      <c r="D167" s="2">
        <v>44469</v>
      </c>
      <c r="E167" t="s">
        <v>1092</v>
      </c>
      <c r="F167" t="s">
        <v>41</v>
      </c>
      <c r="G167" t="s">
        <v>950</v>
      </c>
      <c r="H167" t="s">
        <v>951</v>
      </c>
      <c r="I167" t="s">
        <v>1103</v>
      </c>
      <c r="J167" t="s">
        <v>1100</v>
      </c>
      <c r="K167">
        <v>1193</v>
      </c>
      <c r="L167">
        <v>9</v>
      </c>
      <c r="M167">
        <v>32.76</v>
      </c>
      <c r="N167" t="s">
        <v>21</v>
      </c>
      <c r="O167">
        <v>0</v>
      </c>
      <c r="P167">
        <v>5</v>
      </c>
      <c r="Q167">
        <v>463</v>
      </c>
      <c r="R167">
        <v>6765</v>
      </c>
      <c r="S167">
        <v>33.404000000000003</v>
      </c>
      <c r="T167">
        <v>32.76</v>
      </c>
      <c r="U167">
        <v>28</v>
      </c>
      <c r="V167">
        <v>1169.9999999999998</v>
      </c>
      <c r="W167" t="s">
        <v>1153</v>
      </c>
      <c r="X167" t="s">
        <v>1087</v>
      </c>
      <c r="Y167">
        <v>40</v>
      </c>
      <c r="Z167">
        <v>1</v>
      </c>
      <c r="AA167">
        <v>99.416666666666671</v>
      </c>
    </row>
    <row r="168" spans="1:27" x14ac:dyDescent="0.3">
      <c r="A168" s="15">
        <v>44482.707638888889</v>
      </c>
      <c r="B168" t="s">
        <v>12</v>
      </c>
      <c r="C168" t="s">
        <v>1078</v>
      </c>
      <c r="D168" s="2">
        <v>44449</v>
      </c>
      <c r="E168" t="s">
        <v>1105</v>
      </c>
      <c r="F168" t="s">
        <v>41</v>
      </c>
      <c r="G168" t="s">
        <v>942</v>
      </c>
      <c r="H168" t="s">
        <v>48</v>
      </c>
      <c r="I168" t="s">
        <v>1140</v>
      </c>
      <c r="J168" t="s">
        <v>1138</v>
      </c>
      <c r="K168">
        <v>238</v>
      </c>
      <c r="L168">
        <v>2</v>
      </c>
      <c r="M168">
        <v>11.9</v>
      </c>
      <c r="N168" t="s">
        <v>21</v>
      </c>
      <c r="O168">
        <v>0</v>
      </c>
      <c r="P168">
        <v>2</v>
      </c>
      <c r="R168">
        <v>7021</v>
      </c>
      <c r="S168">
        <v>11.9</v>
      </c>
      <c r="T168">
        <v>11.9</v>
      </c>
      <c r="U168">
        <v>50</v>
      </c>
      <c r="V168">
        <v>238</v>
      </c>
      <c r="W168" t="s">
        <v>1153</v>
      </c>
      <c r="X168" t="s">
        <v>1087</v>
      </c>
      <c r="Y168">
        <v>37</v>
      </c>
      <c r="Z168">
        <v>1</v>
      </c>
      <c r="AA168">
        <v>19.833333333333332</v>
      </c>
    </row>
    <row r="169" spans="1:27" x14ac:dyDescent="0.3">
      <c r="A169" s="15">
        <v>44482.71020833333</v>
      </c>
      <c r="B169" t="s">
        <v>12</v>
      </c>
      <c r="C169" t="s">
        <v>1078</v>
      </c>
      <c r="D169" s="2">
        <v>44450</v>
      </c>
      <c r="E169" t="s">
        <v>1105</v>
      </c>
      <c r="F169" t="s">
        <v>41</v>
      </c>
      <c r="G169" t="s">
        <v>942</v>
      </c>
      <c r="H169" t="s">
        <v>48</v>
      </c>
      <c r="I169" t="s">
        <v>1140</v>
      </c>
      <c r="J169" t="s">
        <v>1136</v>
      </c>
      <c r="K169">
        <v>793</v>
      </c>
      <c r="L169">
        <v>7</v>
      </c>
      <c r="M169">
        <v>41.2</v>
      </c>
      <c r="N169" t="s">
        <v>21</v>
      </c>
      <c r="O169">
        <v>0</v>
      </c>
      <c r="P169">
        <v>7</v>
      </c>
      <c r="R169">
        <v>7023</v>
      </c>
      <c r="S169">
        <v>39.65</v>
      </c>
      <c r="T169">
        <v>41.2</v>
      </c>
      <c r="U169">
        <v>50</v>
      </c>
      <c r="V169">
        <v>824</v>
      </c>
      <c r="W169" t="s">
        <v>1153</v>
      </c>
      <c r="X169" t="s">
        <v>1087</v>
      </c>
      <c r="Y169">
        <v>37</v>
      </c>
      <c r="Z169">
        <v>1</v>
      </c>
      <c r="AA169">
        <v>66.083333333333329</v>
      </c>
    </row>
    <row r="170" spans="1:27" x14ac:dyDescent="0.3">
      <c r="A170" s="15">
        <v>44482.709837962961</v>
      </c>
      <c r="B170" t="s">
        <v>12</v>
      </c>
      <c r="C170" t="s">
        <v>1078</v>
      </c>
      <c r="D170" s="2">
        <v>44450</v>
      </c>
      <c r="E170" t="s">
        <v>1105</v>
      </c>
      <c r="F170" t="s">
        <v>41</v>
      </c>
      <c r="G170" t="s">
        <v>942</v>
      </c>
      <c r="H170" t="s">
        <v>48</v>
      </c>
      <c r="I170" t="s">
        <v>1140</v>
      </c>
      <c r="J170" t="s">
        <v>1137</v>
      </c>
      <c r="K170">
        <v>488</v>
      </c>
      <c r="L170">
        <v>4</v>
      </c>
      <c r="M170">
        <v>17.399999999999999</v>
      </c>
      <c r="N170" t="s">
        <v>21</v>
      </c>
      <c r="O170">
        <v>0</v>
      </c>
      <c r="P170">
        <v>4</v>
      </c>
      <c r="R170">
        <v>7023</v>
      </c>
      <c r="S170">
        <v>24.4</v>
      </c>
      <c r="T170">
        <v>17.399999999999999</v>
      </c>
      <c r="U170">
        <v>50</v>
      </c>
      <c r="V170">
        <v>348</v>
      </c>
      <c r="W170" t="s">
        <v>1153</v>
      </c>
      <c r="X170" t="s">
        <v>1087</v>
      </c>
      <c r="Y170">
        <v>37</v>
      </c>
      <c r="Z170">
        <v>1</v>
      </c>
      <c r="AA170">
        <v>40.666666666666664</v>
      </c>
    </row>
    <row r="171" spans="1:27" x14ac:dyDescent="0.3">
      <c r="A171" s="15">
        <v>44482.711597222224</v>
      </c>
      <c r="B171" t="s">
        <v>12</v>
      </c>
      <c r="C171" t="s">
        <v>1078</v>
      </c>
      <c r="D171" s="2">
        <v>44451</v>
      </c>
      <c r="E171" t="s">
        <v>1105</v>
      </c>
      <c r="F171" t="s">
        <v>41</v>
      </c>
      <c r="G171" t="s">
        <v>942</v>
      </c>
      <c r="H171" t="s">
        <v>48</v>
      </c>
      <c r="I171" t="s">
        <v>1140</v>
      </c>
      <c r="J171" t="s">
        <v>1135</v>
      </c>
      <c r="K171">
        <v>1016</v>
      </c>
      <c r="L171">
        <v>7</v>
      </c>
      <c r="M171">
        <v>50.5</v>
      </c>
      <c r="N171" t="s">
        <v>21</v>
      </c>
      <c r="O171">
        <v>0</v>
      </c>
      <c r="P171">
        <v>8</v>
      </c>
      <c r="R171">
        <v>7025</v>
      </c>
      <c r="S171">
        <v>50.8</v>
      </c>
      <c r="T171">
        <v>50.5</v>
      </c>
      <c r="U171">
        <v>50</v>
      </c>
      <c r="V171">
        <v>1010</v>
      </c>
      <c r="W171" t="s">
        <v>1153</v>
      </c>
      <c r="X171" t="s">
        <v>1087</v>
      </c>
      <c r="Y171">
        <v>37</v>
      </c>
      <c r="Z171">
        <v>1</v>
      </c>
      <c r="AA171">
        <v>84.666666666666671</v>
      </c>
    </row>
    <row r="172" spans="1:27" x14ac:dyDescent="0.3">
      <c r="A172" s="15">
        <v>44482.712164351855</v>
      </c>
      <c r="B172" t="s">
        <v>12</v>
      </c>
      <c r="C172" t="s">
        <v>1078</v>
      </c>
      <c r="D172" s="2">
        <v>44452</v>
      </c>
      <c r="E172" t="s">
        <v>1105</v>
      </c>
      <c r="F172" t="s">
        <v>41</v>
      </c>
      <c r="G172" t="s">
        <v>942</v>
      </c>
      <c r="H172" t="s">
        <v>48</v>
      </c>
      <c r="I172" t="s">
        <v>1140</v>
      </c>
      <c r="J172" t="s">
        <v>1139</v>
      </c>
      <c r="K172">
        <v>1046</v>
      </c>
      <c r="L172">
        <v>8</v>
      </c>
      <c r="M172">
        <v>52.4</v>
      </c>
      <c r="N172" t="s">
        <v>21</v>
      </c>
      <c r="O172">
        <v>0</v>
      </c>
      <c r="P172">
        <v>9</v>
      </c>
      <c r="R172">
        <v>7026</v>
      </c>
      <c r="S172">
        <v>52.3</v>
      </c>
      <c r="T172">
        <v>52.4</v>
      </c>
      <c r="U172">
        <v>50</v>
      </c>
      <c r="V172">
        <v>1048</v>
      </c>
      <c r="W172" t="s">
        <v>1153</v>
      </c>
      <c r="X172" t="s">
        <v>1087</v>
      </c>
      <c r="Y172">
        <v>38</v>
      </c>
      <c r="Z172">
        <v>1</v>
      </c>
      <c r="AA172">
        <v>87.166666666666671</v>
      </c>
    </row>
    <row r="173" spans="1:27" x14ac:dyDescent="0.3">
      <c r="A173" s="15">
        <v>44482.712916666664</v>
      </c>
      <c r="B173" t="s">
        <v>12</v>
      </c>
      <c r="C173" t="s">
        <v>1078</v>
      </c>
      <c r="D173" s="2">
        <v>44453</v>
      </c>
      <c r="E173" t="s">
        <v>1105</v>
      </c>
      <c r="F173" t="s">
        <v>41</v>
      </c>
      <c r="G173" t="s">
        <v>942</v>
      </c>
      <c r="H173" t="s">
        <v>48</v>
      </c>
      <c r="I173" t="s">
        <v>1140</v>
      </c>
      <c r="J173" t="s">
        <v>1136</v>
      </c>
      <c r="K173">
        <v>237</v>
      </c>
      <c r="L173">
        <v>3</v>
      </c>
      <c r="M173">
        <v>11.85</v>
      </c>
      <c r="N173" t="s">
        <v>21</v>
      </c>
      <c r="O173">
        <v>0</v>
      </c>
      <c r="P173">
        <v>2</v>
      </c>
      <c r="R173">
        <v>7027</v>
      </c>
      <c r="S173">
        <v>11.85</v>
      </c>
      <c r="T173">
        <v>11.85</v>
      </c>
      <c r="U173">
        <v>50</v>
      </c>
      <c r="V173">
        <v>237</v>
      </c>
      <c r="W173" t="s">
        <v>1153</v>
      </c>
      <c r="X173" t="s">
        <v>1087</v>
      </c>
      <c r="Y173">
        <v>38</v>
      </c>
      <c r="Z173">
        <v>1</v>
      </c>
      <c r="AA173">
        <v>19.75</v>
      </c>
    </row>
    <row r="174" spans="1:27" x14ac:dyDescent="0.3">
      <c r="A174" s="15">
        <v>44483.393148148149</v>
      </c>
      <c r="B174" t="s">
        <v>12</v>
      </c>
      <c r="C174" t="s">
        <v>1030</v>
      </c>
      <c r="D174" s="2">
        <v>44440</v>
      </c>
      <c r="E174" t="s">
        <v>1081</v>
      </c>
      <c r="F174" t="s">
        <v>41</v>
      </c>
      <c r="G174" t="s">
        <v>941</v>
      </c>
      <c r="H174" t="s">
        <v>48</v>
      </c>
      <c r="I174" t="s">
        <v>10</v>
      </c>
      <c r="J174" t="s">
        <v>430</v>
      </c>
      <c r="K174">
        <v>499</v>
      </c>
      <c r="L174">
        <v>9</v>
      </c>
      <c r="M174">
        <v>44.7</v>
      </c>
      <c r="N174" t="s">
        <v>21</v>
      </c>
      <c r="O174">
        <v>0</v>
      </c>
      <c r="P174">
        <v>0</v>
      </c>
      <c r="R174">
        <v>6569</v>
      </c>
      <c r="S174">
        <v>59.88</v>
      </c>
      <c r="T174">
        <v>44.7</v>
      </c>
      <c r="U174">
        <v>120</v>
      </c>
      <c r="V174">
        <v>372.5</v>
      </c>
      <c r="W174" t="s">
        <v>1153</v>
      </c>
      <c r="X174" t="s">
        <v>1087</v>
      </c>
      <c r="Y174">
        <v>36</v>
      </c>
      <c r="Z174">
        <v>1</v>
      </c>
      <c r="AA174">
        <v>41.583333333333336</v>
      </c>
    </row>
    <row r="175" spans="1:27" x14ac:dyDescent="0.3">
      <c r="A175" s="15">
        <v>44483.394108796296</v>
      </c>
      <c r="B175" t="s">
        <v>12</v>
      </c>
      <c r="C175" t="s">
        <v>1030</v>
      </c>
      <c r="D175" s="2">
        <v>44443</v>
      </c>
      <c r="E175" t="s">
        <v>1081</v>
      </c>
      <c r="F175" t="s">
        <v>41</v>
      </c>
      <c r="G175" t="s">
        <v>941</v>
      </c>
      <c r="H175" t="s">
        <v>48</v>
      </c>
      <c r="I175" t="s">
        <v>1042</v>
      </c>
      <c r="J175" t="s">
        <v>380</v>
      </c>
      <c r="K175">
        <v>208</v>
      </c>
      <c r="L175">
        <v>3</v>
      </c>
      <c r="M175">
        <v>26</v>
      </c>
      <c r="N175" t="s">
        <v>21</v>
      </c>
      <c r="O175">
        <v>0</v>
      </c>
      <c r="P175">
        <v>0</v>
      </c>
      <c r="R175">
        <v>6570</v>
      </c>
      <c r="S175">
        <v>25.792000000000002</v>
      </c>
      <c r="T175">
        <v>26</v>
      </c>
      <c r="U175">
        <v>124</v>
      </c>
      <c r="V175">
        <v>209.67741935483872</v>
      </c>
      <c r="W175" t="s">
        <v>1153</v>
      </c>
      <c r="X175" t="s">
        <v>1087</v>
      </c>
      <c r="Y175">
        <v>36</v>
      </c>
      <c r="Z175">
        <v>1</v>
      </c>
      <c r="AA175">
        <v>17.333333333333332</v>
      </c>
    </row>
    <row r="176" spans="1:27" x14ac:dyDescent="0.3">
      <c r="A176" s="15">
        <v>44483.394803240742</v>
      </c>
      <c r="B176" t="s">
        <v>12</v>
      </c>
      <c r="C176" t="s">
        <v>1030</v>
      </c>
      <c r="D176" s="2">
        <v>44445</v>
      </c>
      <c r="E176" t="s">
        <v>1081</v>
      </c>
      <c r="F176" t="s">
        <v>41</v>
      </c>
      <c r="G176" t="s">
        <v>941</v>
      </c>
      <c r="H176" t="s">
        <v>48</v>
      </c>
      <c r="I176" t="s">
        <v>1042</v>
      </c>
      <c r="J176" t="s">
        <v>381</v>
      </c>
      <c r="K176">
        <v>102</v>
      </c>
      <c r="L176">
        <v>2</v>
      </c>
      <c r="M176">
        <v>12.8</v>
      </c>
      <c r="N176" t="s">
        <v>21</v>
      </c>
      <c r="O176">
        <v>0</v>
      </c>
      <c r="P176">
        <v>1</v>
      </c>
      <c r="R176">
        <v>6570</v>
      </c>
      <c r="S176">
        <v>12.648</v>
      </c>
      <c r="T176">
        <v>12.8</v>
      </c>
      <c r="U176">
        <v>124</v>
      </c>
      <c r="V176">
        <v>103.2258064516129</v>
      </c>
      <c r="W176" t="s">
        <v>1153</v>
      </c>
      <c r="X176" t="s">
        <v>1087</v>
      </c>
      <c r="Y176">
        <v>37</v>
      </c>
      <c r="Z176">
        <v>1</v>
      </c>
      <c r="AA176">
        <v>8.5</v>
      </c>
    </row>
    <row r="177" spans="1:27" x14ac:dyDescent="0.3">
      <c r="A177" s="15">
        <v>44483.396215277775</v>
      </c>
      <c r="B177" t="s">
        <v>12</v>
      </c>
      <c r="C177" t="s">
        <v>1030</v>
      </c>
      <c r="D177" s="2">
        <v>44446</v>
      </c>
      <c r="E177" t="s">
        <v>1034</v>
      </c>
      <c r="F177" t="s">
        <v>41</v>
      </c>
      <c r="G177" t="s">
        <v>941</v>
      </c>
      <c r="H177" t="s">
        <v>48</v>
      </c>
      <c r="I177" t="s">
        <v>1042</v>
      </c>
      <c r="J177" t="s">
        <v>379</v>
      </c>
      <c r="K177">
        <v>170</v>
      </c>
      <c r="L177">
        <v>2</v>
      </c>
      <c r="M177">
        <v>20.2</v>
      </c>
      <c r="N177" t="s">
        <v>21</v>
      </c>
      <c r="O177">
        <v>0</v>
      </c>
      <c r="P177">
        <v>2</v>
      </c>
      <c r="R177">
        <v>6571</v>
      </c>
      <c r="S177">
        <v>21.08</v>
      </c>
      <c r="T177">
        <v>20.2</v>
      </c>
      <c r="U177">
        <v>124</v>
      </c>
      <c r="V177">
        <v>162.90322580645162</v>
      </c>
      <c r="W177" t="s">
        <v>1153</v>
      </c>
      <c r="X177" t="s">
        <v>1087</v>
      </c>
      <c r="Y177">
        <v>37</v>
      </c>
      <c r="Z177">
        <v>1</v>
      </c>
      <c r="AA177">
        <v>14.166666666666666</v>
      </c>
    </row>
    <row r="178" spans="1:27" x14ac:dyDescent="0.3">
      <c r="A178" s="15">
        <v>44483.395787037036</v>
      </c>
      <c r="B178" t="s">
        <v>12</v>
      </c>
      <c r="C178" t="s">
        <v>1030</v>
      </c>
      <c r="D178" s="2">
        <v>44446</v>
      </c>
      <c r="E178" t="s">
        <v>1034</v>
      </c>
      <c r="F178" t="s">
        <v>41</v>
      </c>
      <c r="G178" t="s">
        <v>941</v>
      </c>
      <c r="H178" t="s">
        <v>48</v>
      </c>
      <c r="I178" t="s">
        <v>1042</v>
      </c>
      <c r="J178" t="s">
        <v>376</v>
      </c>
      <c r="K178">
        <v>200</v>
      </c>
      <c r="L178">
        <v>2</v>
      </c>
      <c r="M178">
        <v>28.3</v>
      </c>
      <c r="N178" t="s">
        <v>21</v>
      </c>
      <c r="O178">
        <v>0</v>
      </c>
      <c r="P178">
        <v>1</v>
      </c>
      <c r="R178">
        <v>6571</v>
      </c>
      <c r="S178">
        <v>24.8</v>
      </c>
      <c r="T178">
        <v>28.3</v>
      </c>
      <c r="U178">
        <v>124</v>
      </c>
      <c r="V178">
        <v>228.2258064516129</v>
      </c>
      <c r="W178" t="s">
        <v>1153</v>
      </c>
      <c r="X178" t="s">
        <v>1087</v>
      </c>
      <c r="Y178">
        <v>37</v>
      </c>
      <c r="Z178">
        <v>1</v>
      </c>
      <c r="AA178">
        <v>16.666666666666668</v>
      </c>
    </row>
    <row r="179" spans="1:27" x14ac:dyDescent="0.3">
      <c r="A179" s="15">
        <v>44483.395243055558</v>
      </c>
      <c r="B179" t="s">
        <v>12</v>
      </c>
      <c r="C179" t="s">
        <v>1030</v>
      </c>
      <c r="D179" s="2">
        <v>44446</v>
      </c>
      <c r="E179" t="s">
        <v>1034</v>
      </c>
      <c r="F179" t="s">
        <v>41</v>
      </c>
      <c r="G179" t="s">
        <v>941</v>
      </c>
      <c r="H179" t="s">
        <v>48</v>
      </c>
      <c r="I179" t="s">
        <v>1042</v>
      </c>
      <c r="J179" t="s">
        <v>381</v>
      </c>
      <c r="K179">
        <v>100</v>
      </c>
      <c r="L179">
        <v>1</v>
      </c>
      <c r="M179">
        <v>14.9</v>
      </c>
      <c r="N179" t="s">
        <v>21</v>
      </c>
      <c r="O179">
        <v>0</v>
      </c>
      <c r="P179">
        <v>1</v>
      </c>
      <c r="R179">
        <v>6571</v>
      </c>
      <c r="S179">
        <v>12.4</v>
      </c>
      <c r="T179">
        <v>14.9</v>
      </c>
      <c r="U179">
        <v>124</v>
      </c>
      <c r="V179">
        <v>120.16129032258064</v>
      </c>
      <c r="W179" t="s">
        <v>1153</v>
      </c>
      <c r="X179" t="s">
        <v>1087</v>
      </c>
      <c r="Y179">
        <v>37</v>
      </c>
      <c r="Z179">
        <v>1</v>
      </c>
      <c r="AA179">
        <v>8.3333333333333339</v>
      </c>
    </row>
    <row r="180" spans="1:27" x14ac:dyDescent="0.3">
      <c r="A180" s="15">
        <v>44483.399247685185</v>
      </c>
      <c r="B180" t="s">
        <v>12</v>
      </c>
      <c r="C180" t="s">
        <v>1030</v>
      </c>
      <c r="D180" s="2">
        <v>44447</v>
      </c>
      <c r="E180" t="s">
        <v>1081</v>
      </c>
      <c r="F180" t="s">
        <v>41</v>
      </c>
      <c r="G180" t="s">
        <v>941</v>
      </c>
      <c r="H180" t="s">
        <v>48</v>
      </c>
      <c r="I180" t="s">
        <v>1042</v>
      </c>
      <c r="J180" t="s">
        <v>378</v>
      </c>
      <c r="K180">
        <v>250</v>
      </c>
      <c r="L180">
        <v>4</v>
      </c>
      <c r="M180">
        <v>36.700000000000003</v>
      </c>
      <c r="N180" t="s">
        <v>21</v>
      </c>
      <c r="O180">
        <v>0</v>
      </c>
      <c r="P180">
        <v>4</v>
      </c>
      <c r="R180">
        <v>6572</v>
      </c>
      <c r="S180">
        <v>31</v>
      </c>
      <c r="T180">
        <v>36.700000000000003</v>
      </c>
      <c r="U180">
        <v>124</v>
      </c>
      <c r="V180">
        <v>295.96774193548384</v>
      </c>
      <c r="W180" t="s">
        <v>1153</v>
      </c>
      <c r="X180" t="s">
        <v>1087</v>
      </c>
      <c r="Y180">
        <v>37</v>
      </c>
      <c r="Z180">
        <v>1</v>
      </c>
      <c r="AA180">
        <v>20.833333333333332</v>
      </c>
    </row>
    <row r="181" spans="1:27" x14ac:dyDescent="0.3">
      <c r="A181" s="15">
        <v>44483.397928240738</v>
      </c>
      <c r="B181" t="s">
        <v>12</v>
      </c>
      <c r="C181" t="s">
        <v>1030</v>
      </c>
      <c r="D181" s="2">
        <v>44447</v>
      </c>
      <c r="E181" t="s">
        <v>1034</v>
      </c>
      <c r="F181" t="s">
        <v>41</v>
      </c>
      <c r="G181" t="s">
        <v>941</v>
      </c>
      <c r="H181" t="s">
        <v>48</v>
      </c>
      <c r="I181" t="s">
        <v>1042</v>
      </c>
      <c r="J181" t="s">
        <v>379</v>
      </c>
      <c r="K181">
        <v>80</v>
      </c>
      <c r="L181">
        <v>1</v>
      </c>
      <c r="M181">
        <v>14.1</v>
      </c>
      <c r="N181" t="s">
        <v>21</v>
      </c>
      <c r="O181">
        <v>0</v>
      </c>
      <c r="P181">
        <v>2</v>
      </c>
      <c r="R181">
        <v>6572</v>
      </c>
      <c r="S181">
        <v>9.92</v>
      </c>
      <c r="T181">
        <v>14.1</v>
      </c>
      <c r="U181">
        <v>124</v>
      </c>
      <c r="V181">
        <v>113.70967741935483</v>
      </c>
      <c r="W181" t="s">
        <v>1153</v>
      </c>
      <c r="X181" t="s">
        <v>1087</v>
      </c>
      <c r="Y181">
        <v>37</v>
      </c>
      <c r="Z181">
        <v>1</v>
      </c>
      <c r="AA181">
        <v>6.666666666666667</v>
      </c>
    </row>
    <row r="182" spans="1:27" x14ac:dyDescent="0.3">
      <c r="A182" s="15">
        <v>44483.539537037039</v>
      </c>
      <c r="B182" t="s">
        <v>12</v>
      </c>
      <c r="C182" t="s">
        <v>1030</v>
      </c>
      <c r="D182" s="2">
        <v>44448</v>
      </c>
      <c r="E182" t="s">
        <v>1034</v>
      </c>
      <c r="F182" t="s">
        <v>40</v>
      </c>
      <c r="G182" t="s">
        <v>48</v>
      </c>
      <c r="H182" t="s">
        <v>945</v>
      </c>
      <c r="I182" t="s">
        <v>1042</v>
      </c>
      <c r="J182" t="s">
        <v>377</v>
      </c>
      <c r="K182">
        <v>250</v>
      </c>
      <c r="L182">
        <v>3</v>
      </c>
      <c r="M182">
        <v>48.9</v>
      </c>
      <c r="N182" t="s">
        <v>21</v>
      </c>
      <c r="O182">
        <v>0</v>
      </c>
      <c r="P182">
        <v>6</v>
      </c>
      <c r="R182">
        <v>6573</v>
      </c>
      <c r="S182">
        <v>31</v>
      </c>
      <c r="T182">
        <v>48.9</v>
      </c>
      <c r="U182">
        <v>124</v>
      </c>
      <c r="V182">
        <v>394.35483870967744</v>
      </c>
      <c r="W182" t="s">
        <v>1153</v>
      </c>
      <c r="X182" t="s">
        <v>1087</v>
      </c>
      <c r="Y182">
        <v>37</v>
      </c>
      <c r="Z182">
        <v>1</v>
      </c>
      <c r="AA182">
        <v>20.833333333333332</v>
      </c>
    </row>
    <row r="183" spans="1:27" x14ac:dyDescent="0.3">
      <c r="A183" s="15">
        <v>44483.400011574071</v>
      </c>
      <c r="B183" t="s">
        <v>12</v>
      </c>
      <c r="C183" t="s">
        <v>1030</v>
      </c>
      <c r="D183" s="2">
        <v>44448</v>
      </c>
      <c r="E183" t="s">
        <v>1034</v>
      </c>
      <c r="F183" t="s">
        <v>41</v>
      </c>
      <c r="G183" t="s">
        <v>941</v>
      </c>
      <c r="H183" t="s">
        <v>48</v>
      </c>
      <c r="I183" t="s">
        <v>1042</v>
      </c>
      <c r="J183" t="s">
        <v>376</v>
      </c>
      <c r="K183">
        <v>50</v>
      </c>
      <c r="L183">
        <v>1</v>
      </c>
      <c r="M183">
        <v>6.8</v>
      </c>
      <c r="N183" t="s">
        <v>21</v>
      </c>
      <c r="O183">
        <v>0</v>
      </c>
      <c r="P183">
        <v>1</v>
      </c>
      <c r="R183">
        <v>6573</v>
      </c>
      <c r="S183">
        <v>6.2</v>
      </c>
      <c r="T183">
        <v>6.8</v>
      </c>
      <c r="U183">
        <v>124</v>
      </c>
      <c r="V183">
        <v>54.838709677419352</v>
      </c>
      <c r="W183" t="s">
        <v>1153</v>
      </c>
      <c r="X183" t="s">
        <v>1087</v>
      </c>
      <c r="Y183">
        <v>37</v>
      </c>
      <c r="Z183">
        <v>1</v>
      </c>
      <c r="AA183">
        <v>4.166666666666667</v>
      </c>
    </row>
    <row r="184" spans="1:27" x14ac:dyDescent="0.3">
      <c r="A184" s="15">
        <v>44483.593668981484</v>
      </c>
      <c r="B184" t="s">
        <v>12</v>
      </c>
      <c r="C184" t="s">
        <v>1030</v>
      </c>
      <c r="D184" s="2">
        <v>44450</v>
      </c>
      <c r="E184" t="s">
        <v>1032</v>
      </c>
      <c r="F184" t="s">
        <v>41</v>
      </c>
      <c r="G184" t="s">
        <v>941</v>
      </c>
      <c r="H184" t="s">
        <v>48</v>
      </c>
      <c r="I184" t="s">
        <v>11</v>
      </c>
      <c r="J184" t="s">
        <v>130</v>
      </c>
      <c r="K184">
        <v>658</v>
      </c>
      <c r="L184">
        <v>10</v>
      </c>
      <c r="M184">
        <v>51.2</v>
      </c>
      <c r="N184" t="s">
        <v>21</v>
      </c>
      <c r="O184">
        <v>0</v>
      </c>
      <c r="P184">
        <v>4</v>
      </c>
      <c r="Q184">
        <v>470</v>
      </c>
      <c r="R184">
        <v>6574</v>
      </c>
      <c r="S184">
        <v>48.692</v>
      </c>
      <c r="T184">
        <v>51.2</v>
      </c>
      <c r="U184">
        <v>74</v>
      </c>
      <c r="V184">
        <v>691.89189189189187</v>
      </c>
      <c r="W184" t="s">
        <v>1153</v>
      </c>
      <c r="X184" t="s">
        <v>1087</v>
      </c>
      <c r="Y184">
        <v>37</v>
      </c>
      <c r="Z184">
        <v>1</v>
      </c>
      <c r="AA184">
        <v>54.833333333333336</v>
      </c>
    </row>
    <row r="185" spans="1:27" x14ac:dyDescent="0.3">
      <c r="A185" s="15">
        <v>44483.594259259262</v>
      </c>
      <c r="B185" t="s">
        <v>12</v>
      </c>
      <c r="C185" t="s">
        <v>1030</v>
      </c>
      <c r="D185" s="2">
        <v>44452</v>
      </c>
      <c r="E185" t="s">
        <v>1027</v>
      </c>
      <c r="F185" t="s">
        <v>41</v>
      </c>
      <c r="G185" t="s">
        <v>941</v>
      </c>
      <c r="H185" t="s">
        <v>48</v>
      </c>
      <c r="I185" t="s">
        <v>11</v>
      </c>
      <c r="J185" t="s">
        <v>130</v>
      </c>
      <c r="K185">
        <v>1304</v>
      </c>
      <c r="L185">
        <v>10</v>
      </c>
      <c r="M185">
        <v>95.8</v>
      </c>
      <c r="N185" t="s">
        <v>21</v>
      </c>
      <c r="O185">
        <v>0</v>
      </c>
      <c r="P185">
        <v>4</v>
      </c>
      <c r="Q185">
        <v>460</v>
      </c>
      <c r="R185">
        <v>6575</v>
      </c>
      <c r="S185">
        <v>96.495999999999995</v>
      </c>
      <c r="T185">
        <v>95.8</v>
      </c>
      <c r="U185">
        <v>74</v>
      </c>
      <c r="V185">
        <v>1294.5945945945946</v>
      </c>
      <c r="W185" t="s">
        <v>1153</v>
      </c>
      <c r="X185" t="s">
        <v>1087</v>
      </c>
      <c r="Y185">
        <v>38</v>
      </c>
      <c r="Z185">
        <v>1</v>
      </c>
      <c r="AA185">
        <v>108.66666666666667</v>
      </c>
    </row>
    <row r="186" spans="1:27" x14ac:dyDescent="0.3">
      <c r="A186" s="15">
        <v>44483.596886574072</v>
      </c>
      <c r="B186" t="s">
        <v>12</v>
      </c>
      <c r="C186" t="s">
        <v>1030</v>
      </c>
      <c r="D186" s="2">
        <v>44455</v>
      </c>
      <c r="E186" t="s">
        <v>1032</v>
      </c>
      <c r="F186" t="s">
        <v>41</v>
      </c>
      <c r="G186" t="s">
        <v>941</v>
      </c>
      <c r="H186" t="s">
        <v>48</v>
      </c>
      <c r="I186" t="s">
        <v>957</v>
      </c>
      <c r="J186" t="s">
        <v>131</v>
      </c>
      <c r="K186">
        <v>500</v>
      </c>
      <c r="L186">
        <v>5</v>
      </c>
      <c r="M186">
        <v>32.5</v>
      </c>
      <c r="N186" t="s">
        <v>21</v>
      </c>
      <c r="O186">
        <v>0</v>
      </c>
      <c r="P186">
        <v>3</v>
      </c>
      <c r="R186">
        <v>6579</v>
      </c>
      <c r="S186">
        <v>30</v>
      </c>
      <c r="T186">
        <v>32.5</v>
      </c>
      <c r="U186">
        <v>60</v>
      </c>
      <c r="V186">
        <v>541.66666666666663</v>
      </c>
      <c r="W186" t="s">
        <v>1153</v>
      </c>
      <c r="X186" t="s">
        <v>1087</v>
      </c>
      <c r="Y186">
        <v>38</v>
      </c>
      <c r="Z186">
        <v>1</v>
      </c>
      <c r="AA186">
        <v>41.666666666666664</v>
      </c>
    </row>
    <row r="187" spans="1:27" x14ac:dyDescent="0.3">
      <c r="A187" s="15">
        <v>44483.601215277777</v>
      </c>
      <c r="B187" t="s">
        <v>12</v>
      </c>
      <c r="C187" t="s">
        <v>1030</v>
      </c>
      <c r="D187" s="2">
        <v>44456</v>
      </c>
      <c r="E187" t="s">
        <v>1032</v>
      </c>
      <c r="F187" t="s">
        <v>41</v>
      </c>
      <c r="G187" t="s">
        <v>941</v>
      </c>
      <c r="H187" t="s">
        <v>48</v>
      </c>
      <c r="I187" t="s">
        <v>1152</v>
      </c>
      <c r="J187" t="s">
        <v>133</v>
      </c>
      <c r="K187">
        <v>850</v>
      </c>
      <c r="L187">
        <v>8</v>
      </c>
      <c r="M187">
        <v>77.5</v>
      </c>
      <c r="N187" t="s">
        <v>21</v>
      </c>
      <c r="O187">
        <v>0</v>
      </c>
      <c r="P187">
        <v>0</v>
      </c>
      <c r="R187">
        <v>6581</v>
      </c>
      <c r="S187">
        <v>74.8</v>
      </c>
      <c r="T187">
        <v>77.5</v>
      </c>
      <c r="U187">
        <v>88</v>
      </c>
      <c r="V187">
        <v>880.68181818181813</v>
      </c>
      <c r="W187" t="s">
        <v>1153</v>
      </c>
      <c r="X187" t="s">
        <v>1087</v>
      </c>
      <c r="Y187">
        <v>38</v>
      </c>
      <c r="Z187">
        <v>1</v>
      </c>
      <c r="AA187">
        <v>70.833333333333329</v>
      </c>
    </row>
    <row r="188" spans="1:27" x14ac:dyDescent="0.3">
      <c r="A188" s="15">
        <v>44483.600787037038</v>
      </c>
      <c r="B188" t="s">
        <v>12</v>
      </c>
      <c r="C188" t="s">
        <v>1030</v>
      </c>
      <c r="D188" s="2">
        <v>44456</v>
      </c>
      <c r="E188" t="s">
        <v>1027</v>
      </c>
      <c r="F188" t="s">
        <v>41</v>
      </c>
      <c r="G188" t="s">
        <v>941</v>
      </c>
      <c r="H188" t="s">
        <v>48</v>
      </c>
      <c r="I188" t="s">
        <v>1152</v>
      </c>
      <c r="J188" t="s">
        <v>133</v>
      </c>
      <c r="K188">
        <v>1302</v>
      </c>
      <c r="L188">
        <v>9</v>
      </c>
      <c r="M188">
        <v>125.9</v>
      </c>
      <c r="N188" t="s">
        <v>21</v>
      </c>
      <c r="O188">
        <v>0</v>
      </c>
      <c r="P188">
        <v>0</v>
      </c>
      <c r="R188">
        <v>6589</v>
      </c>
      <c r="S188">
        <v>114.57599999999999</v>
      </c>
      <c r="T188">
        <v>125.9</v>
      </c>
      <c r="U188">
        <v>88</v>
      </c>
      <c r="V188">
        <v>1430.6818181818182</v>
      </c>
      <c r="W188" t="s">
        <v>1153</v>
      </c>
      <c r="X188" t="s">
        <v>1087</v>
      </c>
      <c r="Y188">
        <v>38</v>
      </c>
      <c r="Z188">
        <v>1</v>
      </c>
      <c r="AA188">
        <v>108.5</v>
      </c>
    </row>
    <row r="189" spans="1:27" x14ac:dyDescent="0.3">
      <c r="A189" s="15">
        <v>44483.602060185185</v>
      </c>
      <c r="B189" t="s">
        <v>12</v>
      </c>
      <c r="C189" t="s">
        <v>1030</v>
      </c>
      <c r="D189" s="2">
        <v>44459</v>
      </c>
      <c r="E189" t="s">
        <v>1027</v>
      </c>
      <c r="F189" t="s">
        <v>41</v>
      </c>
      <c r="G189" t="s">
        <v>941</v>
      </c>
      <c r="H189" t="s">
        <v>48</v>
      </c>
      <c r="I189" t="s">
        <v>956</v>
      </c>
      <c r="J189" t="s">
        <v>132</v>
      </c>
      <c r="K189">
        <v>573</v>
      </c>
      <c r="L189">
        <v>6</v>
      </c>
      <c r="M189">
        <v>40.6</v>
      </c>
      <c r="N189" t="s">
        <v>21</v>
      </c>
      <c r="O189">
        <v>0</v>
      </c>
      <c r="P189">
        <v>5</v>
      </c>
      <c r="R189">
        <v>6582</v>
      </c>
      <c r="S189">
        <v>34.953000000000003</v>
      </c>
      <c r="T189">
        <v>40.6</v>
      </c>
      <c r="U189">
        <v>61</v>
      </c>
      <c r="V189">
        <v>665.57377049180332</v>
      </c>
      <c r="W189" t="s">
        <v>1153</v>
      </c>
      <c r="X189" t="s">
        <v>1087</v>
      </c>
      <c r="Y189">
        <v>39</v>
      </c>
      <c r="Z189">
        <v>1</v>
      </c>
      <c r="AA189">
        <v>47.75</v>
      </c>
    </row>
    <row r="190" spans="1:27" x14ac:dyDescent="0.3">
      <c r="A190" s="15">
        <v>44483.603171296294</v>
      </c>
      <c r="B190" t="s">
        <v>12</v>
      </c>
      <c r="C190" t="s">
        <v>1030</v>
      </c>
      <c r="D190" s="2">
        <v>44460</v>
      </c>
      <c r="E190" t="s">
        <v>1027</v>
      </c>
      <c r="F190" t="s">
        <v>41</v>
      </c>
      <c r="G190" t="s">
        <v>941</v>
      </c>
      <c r="H190" t="s">
        <v>48</v>
      </c>
      <c r="I190" t="s">
        <v>956</v>
      </c>
      <c r="J190" t="s">
        <v>132</v>
      </c>
      <c r="K190">
        <v>645</v>
      </c>
      <c r="L190">
        <v>8</v>
      </c>
      <c r="M190">
        <v>37.200000000000003</v>
      </c>
      <c r="N190" t="s">
        <v>21</v>
      </c>
      <c r="O190">
        <v>0</v>
      </c>
      <c r="P190">
        <v>5</v>
      </c>
      <c r="R190">
        <v>6583</v>
      </c>
      <c r="S190">
        <v>39.344999999999999</v>
      </c>
      <c r="T190">
        <v>37.200000000000003</v>
      </c>
      <c r="U190">
        <v>61</v>
      </c>
      <c r="V190">
        <v>609.8360655737705</v>
      </c>
      <c r="W190" t="s">
        <v>1153</v>
      </c>
      <c r="X190" t="s">
        <v>1087</v>
      </c>
      <c r="Y190">
        <v>39</v>
      </c>
      <c r="Z190">
        <v>1</v>
      </c>
      <c r="AA190">
        <v>53.75</v>
      </c>
    </row>
    <row r="191" spans="1:27" x14ac:dyDescent="0.3">
      <c r="A191" s="15">
        <v>44483.611307870371</v>
      </c>
      <c r="B191" t="s">
        <v>12</v>
      </c>
      <c r="C191" t="s">
        <v>1030</v>
      </c>
      <c r="D191" s="2">
        <v>44461</v>
      </c>
      <c r="E191" t="s">
        <v>1027</v>
      </c>
      <c r="F191" t="s">
        <v>41</v>
      </c>
      <c r="G191" t="s">
        <v>941</v>
      </c>
      <c r="H191" t="s">
        <v>48</v>
      </c>
      <c r="I191" t="s">
        <v>958</v>
      </c>
      <c r="J191" t="s">
        <v>134</v>
      </c>
      <c r="K191">
        <v>885</v>
      </c>
      <c r="L191">
        <v>8</v>
      </c>
      <c r="M191">
        <v>52.4</v>
      </c>
      <c r="N191" t="s">
        <v>21</v>
      </c>
      <c r="O191">
        <v>0</v>
      </c>
      <c r="P191">
        <v>5</v>
      </c>
      <c r="R191">
        <v>6584</v>
      </c>
      <c r="S191">
        <v>62.835000000000001</v>
      </c>
      <c r="T191">
        <v>52.4</v>
      </c>
      <c r="U191">
        <v>71</v>
      </c>
      <c r="V191">
        <v>738.02816901408448</v>
      </c>
      <c r="W191" t="s">
        <v>1153</v>
      </c>
      <c r="X191" t="s">
        <v>1087</v>
      </c>
      <c r="Y191">
        <v>39</v>
      </c>
      <c r="Z191">
        <v>1</v>
      </c>
      <c r="AA191">
        <v>73.75</v>
      </c>
    </row>
    <row r="192" spans="1:27" x14ac:dyDescent="0.3">
      <c r="A192" s="15">
        <v>44483.635694444441</v>
      </c>
      <c r="B192" t="s">
        <v>12</v>
      </c>
      <c r="C192" t="s">
        <v>1030</v>
      </c>
      <c r="D192" s="2">
        <v>44462</v>
      </c>
      <c r="E192" t="s">
        <v>1034</v>
      </c>
      <c r="F192" t="s">
        <v>41</v>
      </c>
      <c r="G192" t="s">
        <v>941</v>
      </c>
      <c r="H192" t="s">
        <v>48</v>
      </c>
      <c r="I192" t="s">
        <v>959</v>
      </c>
      <c r="J192" t="s">
        <v>135</v>
      </c>
      <c r="K192">
        <v>776</v>
      </c>
      <c r="L192">
        <v>7</v>
      </c>
      <c r="M192">
        <v>47.5</v>
      </c>
      <c r="N192" t="s">
        <v>21</v>
      </c>
      <c r="O192">
        <v>0</v>
      </c>
      <c r="P192">
        <v>4</v>
      </c>
      <c r="R192">
        <v>6585</v>
      </c>
      <c r="S192">
        <v>46.56</v>
      </c>
      <c r="T192">
        <v>47.5</v>
      </c>
      <c r="U192">
        <v>60</v>
      </c>
      <c r="V192">
        <v>791.66666666666663</v>
      </c>
      <c r="W192" t="s">
        <v>1153</v>
      </c>
      <c r="X192" t="s">
        <v>1087</v>
      </c>
      <c r="Y192">
        <v>39</v>
      </c>
      <c r="Z192">
        <v>1</v>
      </c>
      <c r="AA192">
        <v>64.666666666666671</v>
      </c>
    </row>
    <row r="193" spans="1:27" x14ac:dyDescent="0.3">
      <c r="A193" s="15">
        <v>44483.635185185187</v>
      </c>
      <c r="B193" t="s">
        <v>12</v>
      </c>
      <c r="C193" t="s">
        <v>1030</v>
      </c>
      <c r="D193" s="2">
        <v>44462</v>
      </c>
      <c r="E193" t="s">
        <v>1034</v>
      </c>
      <c r="F193" t="s">
        <v>41</v>
      </c>
      <c r="G193" t="s">
        <v>941</v>
      </c>
      <c r="H193" t="s">
        <v>48</v>
      </c>
      <c r="I193" t="s">
        <v>958</v>
      </c>
      <c r="J193" t="s">
        <v>134</v>
      </c>
      <c r="K193">
        <v>150</v>
      </c>
      <c r="L193">
        <v>2</v>
      </c>
      <c r="M193">
        <v>11.8</v>
      </c>
      <c r="N193" t="s">
        <v>21</v>
      </c>
      <c r="O193">
        <v>0</v>
      </c>
      <c r="P193">
        <v>5</v>
      </c>
      <c r="R193">
        <v>6585</v>
      </c>
      <c r="S193">
        <v>10.65</v>
      </c>
      <c r="T193">
        <v>11.8</v>
      </c>
      <c r="U193">
        <v>71</v>
      </c>
      <c r="V193">
        <v>166.19718309859155</v>
      </c>
      <c r="W193" t="s">
        <v>1153</v>
      </c>
      <c r="X193" t="s">
        <v>1087</v>
      </c>
      <c r="Y193">
        <v>39</v>
      </c>
      <c r="Z193">
        <v>1</v>
      </c>
      <c r="AA193">
        <v>12.5</v>
      </c>
    </row>
    <row r="194" spans="1:27" x14ac:dyDescent="0.3">
      <c r="A194" s="15">
        <v>44483.636805555558</v>
      </c>
      <c r="B194" t="s">
        <v>12</v>
      </c>
      <c r="C194" t="s">
        <v>1030</v>
      </c>
      <c r="D194" s="2">
        <v>44463</v>
      </c>
      <c r="E194" t="s">
        <v>1027</v>
      </c>
      <c r="F194" t="s">
        <v>41</v>
      </c>
      <c r="G194" t="s">
        <v>941</v>
      </c>
      <c r="H194" t="s">
        <v>48</v>
      </c>
      <c r="I194" t="s">
        <v>956</v>
      </c>
      <c r="J194" t="s">
        <v>132</v>
      </c>
      <c r="K194">
        <v>882</v>
      </c>
      <c r="L194">
        <v>7</v>
      </c>
      <c r="M194">
        <v>63.1</v>
      </c>
      <c r="N194" t="s">
        <v>21</v>
      </c>
      <c r="O194">
        <v>0</v>
      </c>
      <c r="P194">
        <v>5</v>
      </c>
      <c r="R194">
        <v>6587</v>
      </c>
      <c r="S194">
        <v>53.802</v>
      </c>
      <c r="T194">
        <v>63.1</v>
      </c>
      <c r="U194">
        <v>61</v>
      </c>
      <c r="V194">
        <v>1034.4262295081967</v>
      </c>
      <c r="W194" t="s">
        <v>1153</v>
      </c>
      <c r="X194" t="s">
        <v>1087</v>
      </c>
      <c r="Y194">
        <v>39</v>
      </c>
      <c r="Z194">
        <v>1</v>
      </c>
      <c r="AA194">
        <v>73.5</v>
      </c>
    </row>
    <row r="195" spans="1:27" x14ac:dyDescent="0.3">
      <c r="A195" s="15">
        <v>44483.636134259257</v>
      </c>
      <c r="B195" t="s">
        <v>12</v>
      </c>
      <c r="C195" t="s">
        <v>1030</v>
      </c>
      <c r="D195" s="2">
        <v>44463</v>
      </c>
      <c r="E195" t="s">
        <v>1034</v>
      </c>
      <c r="F195" t="s">
        <v>41</v>
      </c>
      <c r="G195" t="s">
        <v>941</v>
      </c>
      <c r="H195" t="s">
        <v>48</v>
      </c>
      <c r="I195" t="s">
        <v>959</v>
      </c>
      <c r="J195" t="s">
        <v>135</v>
      </c>
      <c r="K195">
        <v>1040</v>
      </c>
      <c r="L195">
        <v>10</v>
      </c>
      <c r="M195">
        <v>63</v>
      </c>
      <c r="N195" t="s">
        <v>21</v>
      </c>
      <c r="O195">
        <v>0</v>
      </c>
      <c r="P195">
        <v>5</v>
      </c>
      <c r="R195">
        <v>6586</v>
      </c>
      <c r="S195">
        <v>62.4</v>
      </c>
      <c r="T195">
        <v>63</v>
      </c>
      <c r="U195">
        <v>60</v>
      </c>
      <c r="V195">
        <v>1050</v>
      </c>
      <c r="W195" t="s">
        <v>1153</v>
      </c>
      <c r="X195" t="s">
        <v>1087</v>
      </c>
      <c r="Y195">
        <v>39</v>
      </c>
      <c r="Z195">
        <v>1</v>
      </c>
      <c r="AA195">
        <v>86.666666666666671</v>
      </c>
    </row>
    <row r="196" spans="1:27" x14ac:dyDescent="0.3">
      <c r="A196" s="15">
        <v>44483.637418981481</v>
      </c>
      <c r="B196" t="s">
        <v>12</v>
      </c>
      <c r="C196" t="s">
        <v>1030</v>
      </c>
      <c r="D196" s="2">
        <v>44464</v>
      </c>
      <c r="E196" t="s">
        <v>1034</v>
      </c>
      <c r="F196" t="s">
        <v>41</v>
      </c>
      <c r="G196" t="s">
        <v>941</v>
      </c>
      <c r="H196" t="s">
        <v>48</v>
      </c>
      <c r="I196" t="s">
        <v>956</v>
      </c>
      <c r="J196" t="s">
        <v>132</v>
      </c>
      <c r="K196">
        <v>1154</v>
      </c>
      <c r="L196">
        <v>8</v>
      </c>
      <c r="M196">
        <v>76</v>
      </c>
      <c r="N196" t="s">
        <v>21</v>
      </c>
      <c r="O196">
        <v>0</v>
      </c>
      <c r="P196">
        <v>9</v>
      </c>
      <c r="R196">
        <v>6588</v>
      </c>
      <c r="S196">
        <v>70.394000000000005</v>
      </c>
      <c r="T196">
        <v>76</v>
      </c>
      <c r="U196">
        <v>61</v>
      </c>
      <c r="V196">
        <v>1245.9016393442623</v>
      </c>
      <c r="W196" t="s">
        <v>1153</v>
      </c>
      <c r="X196" t="s">
        <v>1087</v>
      </c>
      <c r="Y196">
        <v>39</v>
      </c>
      <c r="Z196">
        <v>1</v>
      </c>
      <c r="AA196">
        <v>96.166666666666671</v>
      </c>
    </row>
    <row r="197" spans="1:27" x14ac:dyDescent="0.3">
      <c r="A197" s="15">
        <v>44483.637592592589</v>
      </c>
      <c r="B197" t="s">
        <v>12</v>
      </c>
      <c r="C197" t="s">
        <v>1030</v>
      </c>
      <c r="D197" s="2">
        <v>44465</v>
      </c>
      <c r="E197" t="s">
        <v>1034</v>
      </c>
      <c r="F197" t="s">
        <v>41</v>
      </c>
      <c r="G197" t="s">
        <v>941</v>
      </c>
      <c r="H197" t="s">
        <v>48</v>
      </c>
      <c r="I197" t="s">
        <v>1152</v>
      </c>
      <c r="J197" t="s">
        <v>133</v>
      </c>
      <c r="K197">
        <v>100</v>
      </c>
      <c r="L197">
        <v>8</v>
      </c>
      <c r="M197">
        <v>9.9</v>
      </c>
      <c r="N197" t="s">
        <v>21</v>
      </c>
      <c r="O197">
        <v>0</v>
      </c>
      <c r="P197">
        <v>1</v>
      </c>
      <c r="R197">
        <v>6588</v>
      </c>
      <c r="S197">
        <v>8.8000000000000007</v>
      </c>
      <c r="T197">
        <v>9.9</v>
      </c>
      <c r="U197">
        <v>88</v>
      </c>
      <c r="V197">
        <v>112.5</v>
      </c>
      <c r="W197" t="s">
        <v>1153</v>
      </c>
      <c r="X197" t="s">
        <v>1087</v>
      </c>
      <c r="Y197">
        <v>39</v>
      </c>
      <c r="Z197">
        <v>1</v>
      </c>
      <c r="AA197">
        <v>8.3333333333333339</v>
      </c>
    </row>
    <row r="198" spans="1:27" x14ac:dyDescent="0.3">
      <c r="A198" s="15">
        <v>44483.638958333337</v>
      </c>
      <c r="B198" t="s">
        <v>12</v>
      </c>
      <c r="C198" t="s">
        <v>1030</v>
      </c>
      <c r="D198" s="2">
        <v>44466</v>
      </c>
      <c r="E198" t="s">
        <v>1034</v>
      </c>
      <c r="F198" t="s">
        <v>41</v>
      </c>
      <c r="G198" t="s">
        <v>941</v>
      </c>
      <c r="H198" t="s">
        <v>48</v>
      </c>
      <c r="I198" t="s">
        <v>1152</v>
      </c>
      <c r="J198" t="s">
        <v>133</v>
      </c>
      <c r="K198">
        <v>1135</v>
      </c>
      <c r="L198">
        <v>8</v>
      </c>
      <c r="M198">
        <v>87.2</v>
      </c>
      <c r="N198" t="s">
        <v>21</v>
      </c>
      <c r="O198">
        <v>0</v>
      </c>
      <c r="P198">
        <v>11</v>
      </c>
      <c r="R198">
        <v>6589</v>
      </c>
      <c r="S198">
        <v>99.88</v>
      </c>
      <c r="T198">
        <v>87.2</v>
      </c>
      <c r="U198">
        <v>88</v>
      </c>
      <c r="V198">
        <v>990.90909090909088</v>
      </c>
      <c r="W198" t="s">
        <v>1153</v>
      </c>
      <c r="X198" t="s">
        <v>1087</v>
      </c>
      <c r="Y198">
        <v>40</v>
      </c>
      <c r="Z198">
        <v>1</v>
      </c>
      <c r="AA198">
        <v>94.583333333333329</v>
      </c>
    </row>
    <row r="199" spans="1:27" x14ac:dyDescent="0.3">
      <c r="A199" s="15">
        <v>44483.63962962963</v>
      </c>
      <c r="B199" t="s">
        <v>12</v>
      </c>
      <c r="C199" t="s">
        <v>1030</v>
      </c>
      <c r="D199" s="2">
        <v>44468</v>
      </c>
      <c r="E199" t="s">
        <v>1032</v>
      </c>
      <c r="F199" t="s">
        <v>41</v>
      </c>
      <c r="G199" t="s">
        <v>941</v>
      </c>
      <c r="H199" t="s">
        <v>48</v>
      </c>
      <c r="I199" t="s">
        <v>1152</v>
      </c>
      <c r="J199" t="s">
        <v>133</v>
      </c>
      <c r="K199">
        <v>1280</v>
      </c>
      <c r="L199">
        <v>10</v>
      </c>
      <c r="M199">
        <v>97.9</v>
      </c>
      <c r="N199" t="s">
        <v>21</v>
      </c>
      <c r="O199">
        <v>0</v>
      </c>
      <c r="P199">
        <v>13</v>
      </c>
      <c r="R199">
        <v>6590</v>
      </c>
      <c r="S199">
        <v>112.64</v>
      </c>
      <c r="T199">
        <v>97.9</v>
      </c>
      <c r="U199">
        <v>88</v>
      </c>
      <c r="V199">
        <v>1112.5</v>
      </c>
      <c r="W199" t="s">
        <v>1153</v>
      </c>
      <c r="X199" t="s">
        <v>1087</v>
      </c>
      <c r="Y199">
        <v>40</v>
      </c>
      <c r="Z199">
        <v>1</v>
      </c>
      <c r="AA199">
        <v>106.66666666666667</v>
      </c>
    </row>
    <row r="200" spans="1:27" x14ac:dyDescent="0.3">
      <c r="A200" s="15">
        <v>44483.640717592592</v>
      </c>
      <c r="B200" t="s">
        <v>12</v>
      </c>
      <c r="C200" t="s">
        <v>1030</v>
      </c>
      <c r="D200" s="2">
        <v>44469</v>
      </c>
      <c r="E200" t="s">
        <v>1034</v>
      </c>
      <c r="F200" t="s">
        <v>41</v>
      </c>
      <c r="G200" t="s">
        <v>941</v>
      </c>
      <c r="H200" t="s">
        <v>48</v>
      </c>
      <c r="I200" t="s">
        <v>11</v>
      </c>
      <c r="J200" t="s">
        <v>130</v>
      </c>
      <c r="K200">
        <v>635</v>
      </c>
      <c r="L200">
        <v>6</v>
      </c>
      <c r="M200">
        <v>50.8</v>
      </c>
      <c r="N200" t="s">
        <v>21</v>
      </c>
      <c r="O200">
        <v>0</v>
      </c>
      <c r="P200">
        <v>15</v>
      </c>
      <c r="Q200">
        <v>470</v>
      </c>
      <c r="R200">
        <v>6592</v>
      </c>
      <c r="S200">
        <v>46.99</v>
      </c>
      <c r="T200">
        <v>50.8</v>
      </c>
      <c r="U200">
        <v>74</v>
      </c>
      <c r="V200">
        <v>686.48648648648646</v>
      </c>
      <c r="W200" t="s">
        <v>1153</v>
      </c>
      <c r="X200" t="s">
        <v>1087</v>
      </c>
      <c r="Y200">
        <v>40</v>
      </c>
      <c r="Z200">
        <v>1</v>
      </c>
      <c r="AA200">
        <v>52.916666666666664</v>
      </c>
    </row>
    <row r="201" spans="1:27" x14ac:dyDescent="0.3">
      <c r="A201" s="15">
        <v>44483.729907407411</v>
      </c>
      <c r="B201" t="s">
        <v>13</v>
      </c>
      <c r="C201" t="s">
        <v>1060</v>
      </c>
      <c r="D201" s="2">
        <v>44452</v>
      </c>
      <c r="E201" t="s">
        <v>953</v>
      </c>
      <c r="F201" t="s">
        <v>41</v>
      </c>
      <c r="G201" t="s">
        <v>940</v>
      </c>
      <c r="H201" t="s">
        <v>48</v>
      </c>
      <c r="I201" t="s">
        <v>1023</v>
      </c>
      <c r="J201" t="s">
        <v>149</v>
      </c>
      <c r="K201">
        <v>178</v>
      </c>
      <c r="L201">
        <v>3</v>
      </c>
      <c r="M201">
        <v>30.62</v>
      </c>
      <c r="N201" t="s">
        <v>23</v>
      </c>
      <c r="O201">
        <v>0</v>
      </c>
      <c r="P201">
        <v>6</v>
      </c>
      <c r="Q201">
        <v>443</v>
      </c>
      <c r="R201">
        <v>6642</v>
      </c>
      <c r="S201">
        <v>15.308</v>
      </c>
      <c r="T201">
        <v>30.62</v>
      </c>
      <c r="U201">
        <v>86</v>
      </c>
      <c r="V201">
        <v>356.04651162790697</v>
      </c>
      <c r="W201" t="s">
        <v>1153</v>
      </c>
      <c r="X201" t="s">
        <v>1087</v>
      </c>
      <c r="Y201">
        <v>38</v>
      </c>
      <c r="Z201">
        <v>2</v>
      </c>
      <c r="AA201">
        <v>29.666666666666668</v>
      </c>
    </row>
    <row r="202" spans="1:27" x14ac:dyDescent="0.3">
      <c r="A202" s="15">
        <v>44483.729432870372</v>
      </c>
      <c r="B202" t="s">
        <v>13</v>
      </c>
      <c r="C202" t="s">
        <v>1060</v>
      </c>
      <c r="D202" s="2">
        <v>44452</v>
      </c>
      <c r="E202" t="s">
        <v>953</v>
      </c>
      <c r="F202" t="s">
        <v>41</v>
      </c>
      <c r="G202" t="s">
        <v>940</v>
      </c>
      <c r="H202" t="s">
        <v>48</v>
      </c>
      <c r="I202" t="s">
        <v>1023</v>
      </c>
      <c r="J202" t="s">
        <v>151</v>
      </c>
      <c r="K202">
        <v>900</v>
      </c>
      <c r="L202">
        <v>9</v>
      </c>
      <c r="M202">
        <v>154.80000000000001</v>
      </c>
      <c r="N202" t="s">
        <v>23</v>
      </c>
      <c r="O202">
        <v>0</v>
      </c>
      <c r="P202">
        <v>21</v>
      </c>
      <c r="Q202">
        <v>443</v>
      </c>
      <c r="R202">
        <v>6642</v>
      </c>
      <c r="S202">
        <v>77.400000000000006</v>
      </c>
      <c r="T202">
        <v>154.80000000000001</v>
      </c>
      <c r="U202">
        <v>86</v>
      </c>
      <c r="V202">
        <v>1800</v>
      </c>
      <c r="W202" t="s">
        <v>1153</v>
      </c>
      <c r="X202" t="s">
        <v>1087</v>
      </c>
      <c r="Y202">
        <v>38</v>
      </c>
      <c r="Z202">
        <v>2</v>
      </c>
      <c r="AA202">
        <v>150</v>
      </c>
    </row>
    <row r="203" spans="1:27" x14ac:dyDescent="0.3">
      <c r="A203" s="15">
        <v>44484.77548611111</v>
      </c>
      <c r="B203" t="s">
        <v>13</v>
      </c>
      <c r="C203" t="s">
        <v>952</v>
      </c>
      <c r="D203" s="2">
        <v>44445</v>
      </c>
      <c r="E203" t="s">
        <v>1027</v>
      </c>
      <c r="F203" t="s">
        <v>41</v>
      </c>
      <c r="G203" t="s">
        <v>943</v>
      </c>
      <c r="H203" t="s">
        <v>48</v>
      </c>
      <c r="I203" t="s">
        <v>960</v>
      </c>
      <c r="J203" t="s">
        <v>433</v>
      </c>
      <c r="K203">
        <v>92</v>
      </c>
      <c r="L203">
        <v>2</v>
      </c>
      <c r="M203">
        <v>11.4</v>
      </c>
      <c r="N203" t="s">
        <v>23</v>
      </c>
      <c r="O203">
        <v>0</v>
      </c>
      <c r="P203">
        <v>0</v>
      </c>
      <c r="Q203">
        <v>456</v>
      </c>
      <c r="R203">
        <v>6847</v>
      </c>
      <c r="S203">
        <v>1.38</v>
      </c>
      <c r="T203">
        <v>11.4</v>
      </c>
      <c r="U203">
        <v>15</v>
      </c>
      <c r="V203">
        <v>760</v>
      </c>
      <c r="W203" t="s">
        <v>1153</v>
      </c>
      <c r="X203" t="s">
        <v>1087</v>
      </c>
      <c r="Y203">
        <v>37</v>
      </c>
      <c r="Z203">
        <v>8</v>
      </c>
      <c r="AA203">
        <v>61.333333333333336</v>
      </c>
    </row>
    <row r="204" spans="1:27" x14ac:dyDescent="0.3">
      <c r="A204" s="15">
        <v>44484.774456018517</v>
      </c>
      <c r="B204" t="s">
        <v>13</v>
      </c>
      <c r="C204" t="s">
        <v>952</v>
      </c>
      <c r="D204" s="2">
        <v>44445</v>
      </c>
      <c r="E204" t="s">
        <v>1027</v>
      </c>
      <c r="F204" t="s">
        <v>41</v>
      </c>
      <c r="G204" t="s">
        <v>943</v>
      </c>
      <c r="H204" t="s">
        <v>48</v>
      </c>
      <c r="I204" t="s">
        <v>960</v>
      </c>
      <c r="J204" t="s">
        <v>435</v>
      </c>
      <c r="K204">
        <v>471</v>
      </c>
      <c r="L204">
        <v>6</v>
      </c>
      <c r="M204">
        <v>58.2</v>
      </c>
      <c r="N204" t="s">
        <v>23</v>
      </c>
      <c r="O204">
        <v>0</v>
      </c>
      <c r="P204">
        <v>0</v>
      </c>
      <c r="Q204">
        <v>456</v>
      </c>
      <c r="R204">
        <v>6847</v>
      </c>
      <c r="S204">
        <v>7.0650000000000004</v>
      </c>
      <c r="T204">
        <v>58.2</v>
      </c>
      <c r="U204">
        <v>15</v>
      </c>
      <c r="V204">
        <v>3880</v>
      </c>
      <c r="W204" t="s">
        <v>1153</v>
      </c>
      <c r="X204" t="s">
        <v>1087</v>
      </c>
      <c r="Y204">
        <v>37</v>
      </c>
      <c r="Z204">
        <v>8</v>
      </c>
      <c r="AA204">
        <v>314</v>
      </c>
    </row>
    <row r="205" spans="1:27" x14ac:dyDescent="0.3">
      <c r="A205" s="15">
        <v>44484.77380787037</v>
      </c>
      <c r="B205" t="s">
        <v>13</v>
      </c>
      <c r="C205" t="s">
        <v>952</v>
      </c>
      <c r="D205" s="2">
        <v>44445</v>
      </c>
      <c r="E205" t="s">
        <v>1027</v>
      </c>
      <c r="F205" t="s">
        <v>41</v>
      </c>
      <c r="G205" t="s">
        <v>943</v>
      </c>
      <c r="H205" t="s">
        <v>48</v>
      </c>
      <c r="I205" t="s">
        <v>960</v>
      </c>
      <c r="J205" t="s">
        <v>432</v>
      </c>
      <c r="K205">
        <v>322</v>
      </c>
      <c r="L205">
        <v>4</v>
      </c>
      <c r="M205">
        <v>40.4</v>
      </c>
      <c r="N205" t="s">
        <v>23</v>
      </c>
      <c r="O205">
        <v>0</v>
      </c>
      <c r="P205">
        <v>0</v>
      </c>
      <c r="Q205">
        <v>456</v>
      </c>
      <c r="R205">
        <v>6847</v>
      </c>
      <c r="S205">
        <v>4.83</v>
      </c>
      <c r="T205">
        <v>40.4</v>
      </c>
      <c r="U205">
        <v>15</v>
      </c>
      <c r="V205">
        <v>2693.3333333333335</v>
      </c>
      <c r="W205" t="s">
        <v>1153</v>
      </c>
      <c r="X205" t="s">
        <v>1087</v>
      </c>
      <c r="Y205">
        <v>37</v>
      </c>
      <c r="Z205">
        <v>8</v>
      </c>
      <c r="AA205">
        <v>214.66666666666666</v>
      </c>
    </row>
    <row r="206" spans="1:27" x14ac:dyDescent="0.3">
      <c r="A206" s="15">
        <v>44484.776712962965</v>
      </c>
      <c r="B206" t="s">
        <v>13</v>
      </c>
      <c r="C206" t="s">
        <v>952</v>
      </c>
      <c r="D206" s="2">
        <v>44446</v>
      </c>
      <c r="E206" t="s">
        <v>953</v>
      </c>
      <c r="F206" t="s">
        <v>41</v>
      </c>
      <c r="G206" t="s">
        <v>943</v>
      </c>
      <c r="H206" t="s">
        <v>48</v>
      </c>
      <c r="I206" t="s">
        <v>960</v>
      </c>
      <c r="J206" t="s">
        <v>432</v>
      </c>
      <c r="K206">
        <v>348</v>
      </c>
      <c r="L206">
        <v>5</v>
      </c>
      <c r="M206">
        <v>44.4</v>
      </c>
      <c r="N206" t="s">
        <v>23</v>
      </c>
      <c r="O206">
        <v>0</v>
      </c>
      <c r="P206">
        <v>0</v>
      </c>
      <c r="Q206">
        <v>456</v>
      </c>
      <c r="R206">
        <v>6849</v>
      </c>
      <c r="S206">
        <v>5.22</v>
      </c>
      <c r="T206">
        <v>44.4</v>
      </c>
      <c r="U206">
        <v>15</v>
      </c>
      <c r="V206">
        <v>2960</v>
      </c>
      <c r="W206" t="s">
        <v>1153</v>
      </c>
      <c r="X206" t="s">
        <v>1087</v>
      </c>
      <c r="Y206">
        <v>37</v>
      </c>
      <c r="Z206">
        <v>8</v>
      </c>
      <c r="AA206">
        <v>232</v>
      </c>
    </row>
    <row r="207" spans="1:27" x14ac:dyDescent="0.3">
      <c r="A207" s="15">
        <v>44484.776412037034</v>
      </c>
      <c r="B207" t="s">
        <v>13</v>
      </c>
      <c r="C207" t="s">
        <v>952</v>
      </c>
      <c r="D207" s="2">
        <v>44446</v>
      </c>
      <c r="E207" t="s">
        <v>1034</v>
      </c>
      <c r="F207" t="s">
        <v>41</v>
      </c>
      <c r="G207" t="s">
        <v>943</v>
      </c>
      <c r="H207" t="s">
        <v>48</v>
      </c>
      <c r="I207" t="s">
        <v>960</v>
      </c>
      <c r="J207" t="s">
        <v>433</v>
      </c>
      <c r="K207">
        <v>535</v>
      </c>
      <c r="L207">
        <v>6</v>
      </c>
      <c r="M207">
        <v>66.5</v>
      </c>
      <c r="N207" t="s">
        <v>23</v>
      </c>
      <c r="O207">
        <v>0</v>
      </c>
      <c r="P207">
        <v>0</v>
      </c>
      <c r="Q207">
        <v>456</v>
      </c>
      <c r="R207">
        <v>6849</v>
      </c>
      <c r="S207">
        <v>8.0250000000000004</v>
      </c>
      <c r="T207">
        <v>66.5</v>
      </c>
      <c r="U207">
        <v>15</v>
      </c>
      <c r="V207">
        <v>4433.333333333333</v>
      </c>
      <c r="W207" t="s">
        <v>1153</v>
      </c>
      <c r="X207" t="s">
        <v>1087</v>
      </c>
      <c r="Y207">
        <v>37</v>
      </c>
      <c r="Z207">
        <v>8</v>
      </c>
      <c r="AA207">
        <v>356.66666666666669</v>
      </c>
    </row>
    <row r="208" spans="1:27" x14ac:dyDescent="0.3">
      <c r="A208" s="15">
        <v>44484.778344907405</v>
      </c>
      <c r="B208" t="s">
        <v>13</v>
      </c>
      <c r="C208" t="s">
        <v>952</v>
      </c>
      <c r="D208" s="2">
        <v>44447</v>
      </c>
      <c r="E208" t="s">
        <v>1027</v>
      </c>
      <c r="F208" t="s">
        <v>41</v>
      </c>
      <c r="G208" t="s">
        <v>943</v>
      </c>
      <c r="H208" t="s">
        <v>48</v>
      </c>
      <c r="I208" t="s">
        <v>960</v>
      </c>
      <c r="J208" t="s">
        <v>1154</v>
      </c>
      <c r="K208">
        <v>750</v>
      </c>
      <c r="L208">
        <v>10</v>
      </c>
      <c r="M208">
        <v>93.7</v>
      </c>
      <c r="N208" t="s">
        <v>23</v>
      </c>
      <c r="O208">
        <v>0</v>
      </c>
      <c r="P208">
        <v>0</v>
      </c>
      <c r="Q208">
        <v>456</v>
      </c>
      <c r="R208">
        <v>6850</v>
      </c>
      <c r="S208">
        <v>11.25</v>
      </c>
      <c r="T208">
        <v>93.7</v>
      </c>
      <c r="U208">
        <v>15</v>
      </c>
      <c r="V208">
        <v>6246.666666666667</v>
      </c>
      <c r="W208" t="s">
        <v>1153</v>
      </c>
      <c r="X208" t="s">
        <v>1087</v>
      </c>
      <c r="Y208">
        <v>37</v>
      </c>
      <c r="Z208">
        <v>8</v>
      </c>
      <c r="AA208">
        <v>500</v>
      </c>
    </row>
    <row r="209" spans="1:27" x14ac:dyDescent="0.3">
      <c r="A209" s="15">
        <v>44484.777974537035</v>
      </c>
      <c r="B209" t="s">
        <v>13</v>
      </c>
      <c r="C209" t="s">
        <v>952</v>
      </c>
      <c r="D209" s="2">
        <v>44447</v>
      </c>
      <c r="E209" t="s">
        <v>1027</v>
      </c>
      <c r="F209" t="s">
        <v>41</v>
      </c>
      <c r="G209" t="s">
        <v>943</v>
      </c>
      <c r="H209" t="s">
        <v>48</v>
      </c>
      <c r="I209" t="s">
        <v>960</v>
      </c>
      <c r="J209" t="s">
        <v>432</v>
      </c>
      <c r="K209">
        <v>245</v>
      </c>
      <c r="L209">
        <v>2</v>
      </c>
      <c r="M209">
        <v>30.6</v>
      </c>
      <c r="N209" t="s">
        <v>23</v>
      </c>
      <c r="O209">
        <v>0</v>
      </c>
      <c r="P209">
        <v>0</v>
      </c>
      <c r="Q209">
        <v>456</v>
      </c>
      <c r="R209">
        <v>6850</v>
      </c>
      <c r="S209">
        <v>3.6749999999999998</v>
      </c>
      <c r="T209">
        <v>30.6</v>
      </c>
      <c r="U209">
        <v>15</v>
      </c>
      <c r="V209">
        <v>2040</v>
      </c>
      <c r="W209" t="s">
        <v>1153</v>
      </c>
      <c r="X209" t="s">
        <v>1087</v>
      </c>
      <c r="Y209">
        <v>37</v>
      </c>
      <c r="Z209">
        <v>8</v>
      </c>
      <c r="AA209">
        <v>163.33333333333334</v>
      </c>
    </row>
    <row r="210" spans="1:27" x14ac:dyDescent="0.3">
      <c r="A210" s="15">
        <v>44484.787199074075</v>
      </c>
      <c r="B210" t="s">
        <v>13</v>
      </c>
      <c r="C210" t="s">
        <v>952</v>
      </c>
      <c r="D210" s="2">
        <v>44456</v>
      </c>
      <c r="E210" t="s">
        <v>953</v>
      </c>
      <c r="F210" t="s">
        <v>41</v>
      </c>
      <c r="G210" t="s">
        <v>950</v>
      </c>
      <c r="H210" t="s">
        <v>943</v>
      </c>
      <c r="I210" t="s">
        <v>1161</v>
      </c>
      <c r="J210" t="s">
        <v>1159</v>
      </c>
      <c r="K210">
        <v>379</v>
      </c>
      <c r="L210">
        <v>4</v>
      </c>
      <c r="M210">
        <v>18.2</v>
      </c>
      <c r="N210" t="s">
        <v>23</v>
      </c>
      <c r="O210">
        <v>0</v>
      </c>
      <c r="P210">
        <v>0</v>
      </c>
      <c r="Q210">
        <v>464</v>
      </c>
      <c r="R210">
        <v>6858</v>
      </c>
      <c r="S210">
        <v>9.0960000000000001</v>
      </c>
      <c r="T210">
        <v>18.2</v>
      </c>
      <c r="U210">
        <v>24</v>
      </c>
      <c r="V210">
        <v>758.33333333333337</v>
      </c>
      <c r="W210" t="s">
        <v>1153</v>
      </c>
      <c r="X210" t="s">
        <v>1087</v>
      </c>
      <c r="Y210">
        <v>38</v>
      </c>
      <c r="Z210">
        <v>2</v>
      </c>
      <c r="AA210">
        <v>63.166666666666664</v>
      </c>
    </row>
    <row r="211" spans="1:27" x14ac:dyDescent="0.3">
      <c r="A211" s="15">
        <v>44484.787002314813</v>
      </c>
      <c r="B211" t="s">
        <v>13</v>
      </c>
      <c r="C211" t="s">
        <v>952</v>
      </c>
      <c r="D211" s="2">
        <v>44456</v>
      </c>
      <c r="E211" t="s">
        <v>953</v>
      </c>
      <c r="F211" t="s">
        <v>41</v>
      </c>
      <c r="G211" t="s">
        <v>950</v>
      </c>
      <c r="H211" t="s">
        <v>943</v>
      </c>
      <c r="I211" t="s">
        <v>1161</v>
      </c>
      <c r="J211" t="s">
        <v>1158</v>
      </c>
      <c r="K211">
        <v>691</v>
      </c>
      <c r="L211">
        <v>7</v>
      </c>
      <c r="M211">
        <v>33.200000000000003</v>
      </c>
      <c r="N211" t="s">
        <v>23</v>
      </c>
      <c r="O211">
        <v>0</v>
      </c>
      <c r="P211">
        <v>0</v>
      </c>
      <c r="Q211">
        <v>464</v>
      </c>
      <c r="R211">
        <v>6858</v>
      </c>
      <c r="S211">
        <v>16.584</v>
      </c>
      <c r="T211">
        <v>33.200000000000003</v>
      </c>
      <c r="U211">
        <v>24</v>
      </c>
      <c r="V211">
        <v>1383.3333333333333</v>
      </c>
      <c r="W211" t="s">
        <v>1153</v>
      </c>
      <c r="X211" t="s">
        <v>1087</v>
      </c>
      <c r="Y211">
        <v>38</v>
      </c>
      <c r="Z211">
        <v>2</v>
      </c>
      <c r="AA211">
        <v>115.16666666666667</v>
      </c>
    </row>
    <row r="212" spans="1:27" x14ac:dyDescent="0.3">
      <c r="A212" s="15">
        <v>44484.78670138889</v>
      </c>
      <c r="B212" t="s">
        <v>13</v>
      </c>
      <c r="C212" t="s">
        <v>952</v>
      </c>
      <c r="D212" s="2">
        <v>44456</v>
      </c>
      <c r="E212" t="s">
        <v>953</v>
      </c>
      <c r="F212" t="s">
        <v>41</v>
      </c>
      <c r="G212" t="s">
        <v>950</v>
      </c>
      <c r="H212" t="s">
        <v>943</v>
      </c>
      <c r="I212" t="s">
        <v>1161</v>
      </c>
      <c r="J212" t="s">
        <v>1157</v>
      </c>
      <c r="K212">
        <v>231</v>
      </c>
      <c r="L212">
        <v>2</v>
      </c>
      <c r="M212">
        <v>11.1</v>
      </c>
      <c r="N212" t="s">
        <v>23</v>
      </c>
      <c r="O212">
        <v>0</v>
      </c>
      <c r="P212">
        <v>0</v>
      </c>
      <c r="Q212">
        <v>464</v>
      </c>
      <c r="R212">
        <v>6858</v>
      </c>
      <c r="S212">
        <v>5.5439999999999996</v>
      </c>
      <c r="T212">
        <v>11.1</v>
      </c>
      <c r="U212">
        <v>24</v>
      </c>
      <c r="V212">
        <v>462.5</v>
      </c>
      <c r="W212" t="s">
        <v>1153</v>
      </c>
      <c r="X212" t="s">
        <v>1087</v>
      </c>
      <c r="Y212">
        <v>38</v>
      </c>
      <c r="Z212">
        <v>2</v>
      </c>
      <c r="AA212">
        <v>38.5</v>
      </c>
    </row>
    <row r="213" spans="1:27" x14ac:dyDescent="0.3">
      <c r="A213" s="15">
        <v>44484.789849537039</v>
      </c>
      <c r="B213" t="s">
        <v>13</v>
      </c>
      <c r="C213" t="s">
        <v>952</v>
      </c>
      <c r="D213" s="2">
        <v>44459</v>
      </c>
      <c r="E213" t="s">
        <v>953</v>
      </c>
      <c r="F213" t="s">
        <v>41</v>
      </c>
      <c r="G213" t="s">
        <v>950</v>
      </c>
      <c r="H213" t="s">
        <v>943</v>
      </c>
      <c r="I213" t="s">
        <v>1161</v>
      </c>
      <c r="J213" t="s">
        <v>1160</v>
      </c>
      <c r="K213">
        <v>1320</v>
      </c>
      <c r="L213">
        <v>12</v>
      </c>
      <c r="M213">
        <v>63.4</v>
      </c>
      <c r="N213" t="s">
        <v>23</v>
      </c>
      <c r="O213">
        <v>0</v>
      </c>
      <c r="P213">
        <v>0</v>
      </c>
      <c r="Q213">
        <v>464</v>
      </c>
      <c r="R213">
        <v>6861</v>
      </c>
      <c r="S213">
        <v>31.68</v>
      </c>
      <c r="T213">
        <v>63.4</v>
      </c>
      <c r="U213">
        <v>24</v>
      </c>
      <c r="V213">
        <v>2641.6666666666665</v>
      </c>
      <c r="W213" t="s">
        <v>1153</v>
      </c>
      <c r="X213" t="s">
        <v>1087</v>
      </c>
      <c r="Y213">
        <v>39</v>
      </c>
      <c r="Z213">
        <v>2</v>
      </c>
      <c r="AA213">
        <v>220</v>
      </c>
    </row>
    <row r="214" spans="1:27" x14ac:dyDescent="0.3">
      <c r="A214" s="15">
        <v>44484.791400462964</v>
      </c>
      <c r="B214" t="s">
        <v>13</v>
      </c>
      <c r="C214" t="s">
        <v>952</v>
      </c>
      <c r="D214" s="2">
        <v>44460</v>
      </c>
      <c r="E214" t="s">
        <v>953</v>
      </c>
      <c r="F214" t="s">
        <v>41</v>
      </c>
      <c r="G214" t="s">
        <v>950</v>
      </c>
      <c r="H214" t="s">
        <v>943</v>
      </c>
      <c r="I214" t="s">
        <v>1161</v>
      </c>
      <c r="J214" t="s">
        <v>1155</v>
      </c>
      <c r="K214">
        <v>454</v>
      </c>
      <c r="L214">
        <v>4</v>
      </c>
      <c r="M214">
        <v>21.8</v>
      </c>
      <c r="N214" t="s">
        <v>23</v>
      </c>
      <c r="O214">
        <v>0</v>
      </c>
      <c r="P214">
        <v>0</v>
      </c>
      <c r="Q214">
        <v>464</v>
      </c>
      <c r="R214">
        <v>6863</v>
      </c>
      <c r="S214">
        <v>10.896000000000001</v>
      </c>
      <c r="T214">
        <v>21.8</v>
      </c>
      <c r="U214">
        <v>24</v>
      </c>
      <c r="V214">
        <v>908.33333333333337</v>
      </c>
      <c r="W214" t="s">
        <v>1153</v>
      </c>
      <c r="X214" t="s">
        <v>1087</v>
      </c>
      <c r="Y214">
        <v>39</v>
      </c>
      <c r="Z214">
        <v>2</v>
      </c>
      <c r="AA214">
        <v>75.666666666666671</v>
      </c>
    </row>
    <row r="215" spans="1:27" x14ac:dyDescent="0.3">
      <c r="A215" s="15">
        <v>44484.791041666664</v>
      </c>
      <c r="B215" t="s">
        <v>13</v>
      </c>
      <c r="C215" t="s">
        <v>952</v>
      </c>
      <c r="D215" s="2">
        <v>44460</v>
      </c>
      <c r="E215" t="s">
        <v>953</v>
      </c>
      <c r="F215" t="s">
        <v>41</v>
      </c>
      <c r="G215" t="s">
        <v>950</v>
      </c>
      <c r="H215" t="s">
        <v>943</v>
      </c>
      <c r="I215" t="s">
        <v>1161</v>
      </c>
      <c r="J215" t="s">
        <v>1158</v>
      </c>
      <c r="K215">
        <v>914</v>
      </c>
      <c r="L215">
        <v>8</v>
      </c>
      <c r="M215">
        <v>43.9</v>
      </c>
      <c r="N215" t="s">
        <v>23</v>
      </c>
      <c r="O215">
        <v>0</v>
      </c>
      <c r="P215">
        <v>0</v>
      </c>
      <c r="Q215">
        <v>464</v>
      </c>
      <c r="R215">
        <v>6863</v>
      </c>
      <c r="S215">
        <v>21.936</v>
      </c>
      <c r="T215">
        <v>43.9</v>
      </c>
      <c r="U215">
        <v>24</v>
      </c>
      <c r="V215">
        <v>1829.1666666666667</v>
      </c>
      <c r="W215" t="s">
        <v>1153</v>
      </c>
      <c r="X215" t="s">
        <v>1087</v>
      </c>
      <c r="Y215">
        <v>39</v>
      </c>
      <c r="Z215">
        <v>2</v>
      </c>
      <c r="AA215">
        <v>152.33333333333334</v>
      </c>
    </row>
    <row r="216" spans="1:27" x14ac:dyDescent="0.3">
      <c r="A216" s="15">
        <v>44484.794074074074</v>
      </c>
      <c r="B216" t="s">
        <v>13</v>
      </c>
      <c r="C216" t="s">
        <v>952</v>
      </c>
      <c r="D216" s="2">
        <v>44467</v>
      </c>
      <c r="E216" t="s">
        <v>1081</v>
      </c>
      <c r="F216" t="s">
        <v>41</v>
      </c>
      <c r="G216" t="s">
        <v>943</v>
      </c>
      <c r="H216" t="s">
        <v>48</v>
      </c>
      <c r="I216" t="s">
        <v>1037</v>
      </c>
      <c r="J216" t="s">
        <v>196</v>
      </c>
      <c r="K216">
        <v>1800</v>
      </c>
      <c r="L216">
        <v>12</v>
      </c>
      <c r="M216">
        <v>126</v>
      </c>
      <c r="N216" t="s">
        <v>23</v>
      </c>
      <c r="O216">
        <v>120</v>
      </c>
      <c r="P216">
        <v>15</v>
      </c>
      <c r="Q216">
        <v>474</v>
      </c>
      <c r="R216">
        <v>6869</v>
      </c>
      <c r="S216">
        <v>127.8</v>
      </c>
      <c r="T216">
        <v>126</v>
      </c>
      <c r="U216">
        <v>71</v>
      </c>
      <c r="V216">
        <v>1774.6478873239437</v>
      </c>
      <c r="W216" t="s">
        <v>1153</v>
      </c>
      <c r="X216" t="s">
        <v>1087</v>
      </c>
      <c r="Y216">
        <v>40</v>
      </c>
      <c r="Z216">
        <v>1</v>
      </c>
      <c r="AA216">
        <v>150</v>
      </c>
    </row>
    <row r="217" spans="1:27" x14ac:dyDescent="0.3">
      <c r="A217" s="15">
        <v>44484.794999999998</v>
      </c>
      <c r="B217" t="s">
        <v>13</v>
      </c>
      <c r="C217" t="s">
        <v>952</v>
      </c>
      <c r="D217" s="2">
        <v>44468</v>
      </c>
      <c r="E217" t="s">
        <v>1081</v>
      </c>
      <c r="F217" t="s">
        <v>41</v>
      </c>
      <c r="G217" t="s">
        <v>943</v>
      </c>
      <c r="H217" t="s">
        <v>48</v>
      </c>
      <c r="I217" t="s">
        <v>1037</v>
      </c>
      <c r="J217" t="s">
        <v>196</v>
      </c>
      <c r="K217">
        <v>1680</v>
      </c>
      <c r="L217">
        <v>12</v>
      </c>
      <c r="M217">
        <v>119</v>
      </c>
      <c r="N217" t="s">
        <v>23</v>
      </c>
      <c r="O217">
        <v>120</v>
      </c>
      <c r="P217">
        <v>14</v>
      </c>
      <c r="Q217">
        <v>474</v>
      </c>
      <c r="R217">
        <v>6871</v>
      </c>
      <c r="S217">
        <v>119.28</v>
      </c>
      <c r="T217">
        <v>119</v>
      </c>
      <c r="U217">
        <v>71</v>
      </c>
      <c r="V217">
        <v>1676.056338028169</v>
      </c>
      <c r="W217" t="s">
        <v>1153</v>
      </c>
      <c r="X217" t="s">
        <v>1087</v>
      </c>
      <c r="Y217">
        <v>40</v>
      </c>
      <c r="Z217">
        <v>1</v>
      </c>
      <c r="AA217">
        <v>140</v>
      </c>
    </row>
    <row r="218" spans="1:27" x14ac:dyDescent="0.3">
      <c r="A218" s="15">
        <v>44484.795949074076</v>
      </c>
      <c r="B218" t="s">
        <v>13</v>
      </c>
      <c r="C218" t="s">
        <v>952</v>
      </c>
      <c r="D218" s="2">
        <v>44469</v>
      </c>
      <c r="E218" t="s">
        <v>1027</v>
      </c>
      <c r="F218" t="s">
        <v>41</v>
      </c>
      <c r="G218" t="s">
        <v>943</v>
      </c>
      <c r="H218" t="s">
        <v>48</v>
      </c>
      <c r="I218" t="s">
        <v>1037</v>
      </c>
      <c r="J218" t="s">
        <v>196</v>
      </c>
      <c r="K218">
        <v>1620</v>
      </c>
      <c r="L218">
        <v>12</v>
      </c>
      <c r="M218">
        <v>114.2</v>
      </c>
      <c r="N218" t="s">
        <v>23</v>
      </c>
      <c r="O218">
        <v>120</v>
      </c>
      <c r="P218">
        <v>14</v>
      </c>
      <c r="Q218">
        <v>474</v>
      </c>
      <c r="R218">
        <v>6873</v>
      </c>
      <c r="S218">
        <v>115.02</v>
      </c>
      <c r="T218">
        <v>114.2</v>
      </c>
      <c r="U218">
        <v>71</v>
      </c>
      <c r="V218">
        <v>1608.4507042253522</v>
      </c>
      <c r="W218" t="s">
        <v>1153</v>
      </c>
      <c r="X218" t="s">
        <v>1087</v>
      </c>
      <c r="Y218">
        <v>40</v>
      </c>
      <c r="Z218">
        <v>1</v>
      </c>
      <c r="AA218">
        <v>135</v>
      </c>
    </row>
    <row r="219" spans="1:27" x14ac:dyDescent="0.3">
      <c r="A219" s="15">
        <v>44453.735590277778</v>
      </c>
      <c r="B219" t="s">
        <v>13</v>
      </c>
      <c r="C219" t="s">
        <v>1132</v>
      </c>
      <c r="D219" s="2">
        <v>44440</v>
      </c>
      <c r="E219" t="s">
        <v>1027</v>
      </c>
      <c r="F219" t="s">
        <v>41</v>
      </c>
      <c r="G219" t="s">
        <v>943</v>
      </c>
      <c r="H219" t="s">
        <v>48</v>
      </c>
      <c r="I219" t="s">
        <v>1039</v>
      </c>
      <c r="J219" t="s">
        <v>221</v>
      </c>
      <c r="K219">
        <v>1444</v>
      </c>
      <c r="L219">
        <v>12</v>
      </c>
      <c r="M219">
        <v>195</v>
      </c>
      <c r="N219" t="s">
        <v>23</v>
      </c>
      <c r="O219">
        <v>60</v>
      </c>
      <c r="P219">
        <v>24</v>
      </c>
      <c r="Q219">
        <v>449</v>
      </c>
      <c r="R219">
        <v>7110</v>
      </c>
      <c r="S219">
        <v>199.27199999999999</v>
      </c>
      <c r="T219">
        <v>195</v>
      </c>
      <c r="U219">
        <v>138</v>
      </c>
      <c r="V219">
        <v>1413.0434782608695</v>
      </c>
      <c r="W219" t="s">
        <v>1153</v>
      </c>
      <c r="X219" t="s">
        <v>1087</v>
      </c>
      <c r="Y219">
        <v>36</v>
      </c>
      <c r="Z219">
        <v>1</v>
      </c>
      <c r="AA219">
        <v>120.33333333333333</v>
      </c>
    </row>
    <row r="220" spans="1:27" x14ac:dyDescent="0.3">
      <c r="A220" s="15">
        <v>44453.736759259256</v>
      </c>
      <c r="B220" t="s">
        <v>13</v>
      </c>
      <c r="C220" t="s">
        <v>1132</v>
      </c>
      <c r="D220" s="2">
        <v>44441</v>
      </c>
      <c r="E220" t="s">
        <v>953</v>
      </c>
      <c r="F220" t="s">
        <v>41</v>
      </c>
      <c r="G220" t="s">
        <v>943</v>
      </c>
      <c r="H220" t="s">
        <v>48</v>
      </c>
      <c r="I220" t="s">
        <v>1039</v>
      </c>
      <c r="J220" t="s">
        <v>221</v>
      </c>
      <c r="K220">
        <v>1260</v>
      </c>
      <c r="L220">
        <v>12</v>
      </c>
      <c r="M220">
        <v>176.6</v>
      </c>
      <c r="N220" t="s">
        <v>23</v>
      </c>
      <c r="O220">
        <v>60</v>
      </c>
      <c r="P220">
        <v>21</v>
      </c>
      <c r="Q220">
        <v>449</v>
      </c>
      <c r="R220">
        <v>7112</v>
      </c>
      <c r="S220">
        <v>173.88</v>
      </c>
      <c r="T220">
        <v>176.6</v>
      </c>
      <c r="U220">
        <v>138</v>
      </c>
      <c r="V220">
        <v>1279.7101449275362</v>
      </c>
      <c r="W220" t="s">
        <v>1153</v>
      </c>
      <c r="X220" t="s">
        <v>1087</v>
      </c>
      <c r="Y220">
        <v>36</v>
      </c>
      <c r="Z220">
        <v>1</v>
      </c>
      <c r="AA220">
        <v>105</v>
      </c>
    </row>
    <row r="221" spans="1:27" x14ac:dyDescent="0.3">
      <c r="A221" s="15">
        <v>44453.739965277775</v>
      </c>
      <c r="B221" t="s">
        <v>13</v>
      </c>
      <c r="C221" t="s">
        <v>1132</v>
      </c>
      <c r="D221" s="2">
        <v>44442</v>
      </c>
      <c r="E221" t="s">
        <v>953</v>
      </c>
      <c r="F221" t="s">
        <v>41</v>
      </c>
      <c r="G221" t="s">
        <v>943</v>
      </c>
      <c r="H221" t="s">
        <v>48</v>
      </c>
      <c r="I221" t="s">
        <v>1039</v>
      </c>
      <c r="J221" t="s">
        <v>221</v>
      </c>
      <c r="K221">
        <v>1340</v>
      </c>
      <c r="L221">
        <v>12</v>
      </c>
      <c r="M221">
        <v>183.8</v>
      </c>
      <c r="N221" t="s">
        <v>23</v>
      </c>
      <c r="O221">
        <v>60</v>
      </c>
      <c r="P221">
        <v>22</v>
      </c>
      <c r="Q221">
        <v>449</v>
      </c>
      <c r="R221">
        <v>7114</v>
      </c>
      <c r="S221">
        <v>184.92</v>
      </c>
      <c r="T221">
        <v>183.8</v>
      </c>
      <c r="U221">
        <v>138</v>
      </c>
      <c r="V221">
        <v>1331.8840579710145</v>
      </c>
      <c r="W221" t="s">
        <v>1153</v>
      </c>
      <c r="X221" t="s">
        <v>1087</v>
      </c>
      <c r="Y221">
        <v>36</v>
      </c>
      <c r="Z221">
        <v>1</v>
      </c>
      <c r="AA221">
        <v>111.66666666666667</v>
      </c>
    </row>
    <row r="222" spans="1:27" x14ac:dyDescent="0.3">
      <c r="A222" s="15">
        <v>44482.722175925926</v>
      </c>
      <c r="B222" t="s">
        <v>13</v>
      </c>
      <c r="C222" t="s">
        <v>1132</v>
      </c>
      <c r="D222" s="2">
        <v>44445</v>
      </c>
      <c r="E222" t="s">
        <v>953</v>
      </c>
      <c r="F222" t="s">
        <v>41</v>
      </c>
      <c r="G222" t="s">
        <v>943</v>
      </c>
      <c r="H222" t="s">
        <v>48</v>
      </c>
      <c r="I222" t="s">
        <v>1053</v>
      </c>
      <c r="J222" t="s">
        <v>152</v>
      </c>
      <c r="K222">
        <v>1142</v>
      </c>
      <c r="L222">
        <v>12</v>
      </c>
      <c r="M222">
        <v>279.7</v>
      </c>
      <c r="N222" t="s">
        <v>23</v>
      </c>
      <c r="O222">
        <v>0</v>
      </c>
      <c r="P222">
        <v>21</v>
      </c>
      <c r="Q222">
        <v>457</v>
      </c>
      <c r="R222">
        <v>7117</v>
      </c>
      <c r="S222">
        <v>274.08</v>
      </c>
      <c r="T222">
        <v>279.7</v>
      </c>
      <c r="U222">
        <v>240</v>
      </c>
      <c r="V222">
        <v>1165.4166666666667</v>
      </c>
      <c r="W222" t="s">
        <v>1153</v>
      </c>
      <c r="X222" t="s">
        <v>1087</v>
      </c>
      <c r="Y222">
        <v>37</v>
      </c>
      <c r="Z222">
        <v>1</v>
      </c>
      <c r="AA222">
        <v>95.166666666666671</v>
      </c>
    </row>
    <row r="223" spans="1:27" x14ac:dyDescent="0.3">
      <c r="A223" s="15">
        <v>44482.724826388891</v>
      </c>
      <c r="B223" t="s">
        <v>13</v>
      </c>
      <c r="C223" t="s">
        <v>1132</v>
      </c>
      <c r="D223" s="2">
        <v>44446</v>
      </c>
      <c r="E223" t="s">
        <v>1027</v>
      </c>
      <c r="F223" t="s">
        <v>41</v>
      </c>
      <c r="G223" t="s">
        <v>943</v>
      </c>
      <c r="H223" t="s">
        <v>48</v>
      </c>
      <c r="I223" t="s">
        <v>1053</v>
      </c>
      <c r="J223" t="s">
        <v>152</v>
      </c>
      <c r="K223">
        <v>1111</v>
      </c>
      <c r="L223">
        <v>12</v>
      </c>
      <c r="M223">
        <v>263.60000000000002</v>
      </c>
      <c r="N223" t="s">
        <v>23</v>
      </c>
      <c r="O223">
        <v>0</v>
      </c>
      <c r="P223">
        <v>21</v>
      </c>
      <c r="Q223">
        <v>457</v>
      </c>
      <c r="R223">
        <v>7120</v>
      </c>
      <c r="S223">
        <v>266.64</v>
      </c>
      <c r="T223">
        <v>263.60000000000002</v>
      </c>
      <c r="U223">
        <v>240</v>
      </c>
      <c r="V223">
        <v>1098.3333333333333</v>
      </c>
      <c r="W223" t="s">
        <v>1153</v>
      </c>
      <c r="X223" t="s">
        <v>1087</v>
      </c>
      <c r="Y223">
        <v>37</v>
      </c>
      <c r="Z223">
        <v>1</v>
      </c>
      <c r="AA223">
        <v>92.583333333333329</v>
      </c>
    </row>
    <row r="224" spans="1:27" x14ac:dyDescent="0.3">
      <c r="A224" s="15">
        <v>44482.729259259257</v>
      </c>
      <c r="B224" t="s">
        <v>13</v>
      </c>
      <c r="C224" t="s">
        <v>1132</v>
      </c>
      <c r="D224" s="2">
        <v>44448</v>
      </c>
      <c r="E224" t="s">
        <v>1027</v>
      </c>
      <c r="F224" t="s">
        <v>41</v>
      </c>
      <c r="G224" t="s">
        <v>943</v>
      </c>
      <c r="H224" t="s">
        <v>48</v>
      </c>
      <c r="I224" t="s">
        <v>1053</v>
      </c>
      <c r="J224" t="s">
        <v>152</v>
      </c>
      <c r="K224">
        <v>1137</v>
      </c>
      <c r="L224">
        <v>12</v>
      </c>
      <c r="M224">
        <v>277.5</v>
      </c>
      <c r="N224" t="s">
        <v>23</v>
      </c>
      <c r="O224">
        <v>0</v>
      </c>
      <c r="P224">
        <v>21</v>
      </c>
      <c r="Q224">
        <v>457</v>
      </c>
      <c r="R224">
        <v>7123</v>
      </c>
      <c r="S224">
        <v>272.88</v>
      </c>
      <c r="T224">
        <v>277.5</v>
      </c>
      <c r="U224">
        <v>240</v>
      </c>
      <c r="V224">
        <v>1156.25</v>
      </c>
      <c r="W224" t="s">
        <v>1153</v>
      </c>
      <c r="X224" t="s">
        <v>1087</v>
      </c>
      <c r="Y224">
        <v>37</v>
      </c>
      <c r="Z224">
        <v>1</v>
      </c>
      <c r="AA224">
        <v>94.75</v>
      </c>
    </row>
    <row r="225" spans="1:27" x14ac:dyDescent="0.3">
      <c r="A225" s="15">
        <v>44482.747604166667</v>
      </c>
      <c r="B225" t="s">
        <v>13</v>
      </c>
      <c r="C225" t="s">
        <v>1132</v>
      </c>
      <c r="D225" s="2">
        <v>44452</v>
      </c>
      <c r="E225" t="s">
        <v>1081</v>
      </c>
      <c r="F225" t="s">
        <v>40</v>
      </c>
      <c r="G225" t="s">
        <v>48</v>
      </c>
      <c r="H225" t="s">
        <v>946</v>
      </c>
      <c r="I225" t="s">
        <v>967</v>
      </c>
      <c r="J225" t="s">
        <v>1143</v>
      </c>
      <c r="K225">
        <v>660</v>
      </c>
      <c r="L225">
        <v>10</v>
      </c>
      <c r="M225">
        <v>167.3</v>
      </c>
      <c r="N225" t="s">
        <v>23</v>
      </c>
      <c r="O225">
        <v>0</v>
      </c>
      <c r="P225">
        <v>22</v>
      </c>
      <c r="Q225">
        <v>459</v>
      </c>
      <c r="R225">
        <v>7128</v>
      </c>
      <c r="S225">
        <v>85.8</v>
      </c>
      <c r="T225">
        <v>167.3</v>
      </c>
      <c r="U225">
        <v>130</v>
      </c>
      <c r="V225">
        <v>1286.9230769230769</v>
      </c>
      <c r="W225" t="s">
        <v>1153</v>
      </c>
      <c r="X225" t="s">
        <v>1087</v>
      </c>
      <c r="Y225">
        <v>38</v>
      </c>
      <c r="Z225">
        <v>2</v>
      </c>
      <c r="AA225">
        <v>110</v>
      </c>
    </row>
    <row r="226" spans="1:27" x14ac:dyDescent="0.3">
      <c r="A226" s="15">
        <v>44482.746400462966</v>
      </c>
      <c r="B226" t="s">
        <v>13</v>
      </c>
      <c r="C226" t="s">
        <v>1132</v>
      </c>
      <c r="D226" s="2">
        <v>44452</v>
      </c>
      <c r="E226" t="s">
        <v>1081</v>
      </c>
      <c r="F226" t="s">
        <v>40</v>
      </c>
      <c r="G226" t="s">
        <v>48</v>
      </c>
      <c r="H226" t="s">
        <v>946</v>
      </c>
      <c r="I226" t="s">
        <v>967</v>
      </c>
      <c r="J226" t="s">
        <v>1142</v>
      </c>
      <c r="K226">
        <v>69</v>
      </c>
      <c r="L226">
        <v>1</v>
      </c>
      <c r="M226">
        <v>17.7</v>
      </c>
      <c r="N226" t="s">
        <v>23</v>
      </c>
      <c r="O226">
        <v>0</v>
      </c>
      <c r="P226">
        <v>2</v>
      </c>
      <c r="Q226">
        <v>459</v>
      </c>
      <c r="R226">
        <v>7128</v>
      </c>
      <c r="S226">
        <v>8.9700000000000006</v>
      </c>
      <c r="T226">
        <v>17.7</v>
      </c>
      <c r="U226">
        <v>130</v>
      </c>
      <c r="V226">
        <v>136.15384615384616</v>
      </c>
      <c r="W226" t="s">
        <v>1153</v>
      </c>
      <c r="X226" t="s">
        <v>1087</v>
      </c>
      <c r="Y226">
        <v>38</v>
      </c>
      <c r="Z226">
        <v>2</v>
      </c>
      <c r="AA226">
        <v>11.5</v>
      </c>
    </row>
    <row r="227" spans="1:27" x14ac:dyDescent="0.3">
      <c r="A227" s="15">
        <v>44482.754212962966</v>
      </c>
      <c r="B227" t="s">
        <v>13</v>
      </c>
      <c r="C227" t="s">
        <v>1132</v>
      </c>
      <c r="D227" s="2">
        <v>44453</v>
      </c>
      <c r="E227" t="s">
        <v>953</v>
      </c>
      <c r="F227" t="s">
        <v>40</v>
      </c>
      <c r="G227" t="s">
        <v>48</v>
      </c>
      <c r="H227" t="s">
        <v>946</v>
      </c>
      <c r="I227" t="s">
        <v>967</v>
      </c>
      <c r="J227" t="s">
        <v>123</v>
      </c>
      <c r="K227">
        <v>190</v>
      </c>
      <c r="L227">
        <v>3</v>
      </c>
      <c r="M227">
        <v>50.8</v>
      </c>
      <c r="N227" t="s">
        <v>23</v>
      </c>
      <c r="O227">
        <v>0</v>
      </c>
      <c r="P227">
        <v>7</v>
      </c>
      <c r="Q227">
        <v>459</v>
      </c>
      <c r="R227">
        <v>7130</v>
      </c>
      <c r="S227">
        <v>24.7</v>
      </c>
      <c r="T227">
        <v>50.8</v>
      </c>
      <c r="U227">
        <v>130</v>
      </c>
      <c r="V227">
        <v>390.76923076923077</v>
      </c>
      <c r="W227" t="s">
        <v>1153</v>
      </c>
      <c r="X227" t="s">
        <v>1087</v>
      </c>
      <c r="Y227">
        <v>38</v>
      </c>
      <c r="Z227">
        <v>2</v>
      </c>
      <c r="AA227">
        <v>31.666666666666668</v>
      </c>
    </row>
    <row r="228" spans="1:27" x14ac:dyDescent="0.3">
      <c r="A228" s="15">
        <v>44482.753379629627</v>
      </c>
      <c r="B228" t="s">
        <v>13</v>
      </c>
      <c r="C228" t="s">
        <v>1132</v>
      </c>
      <c r="D228" s="2">
        <v>44453</v>
      </c>
      <c r="E228" t="s">
        <v>953</v>
      </c>
      <c r="F228" t="s">
        <v>40</v>
      </c>
      <c r="G228" t="s">
        <v>48</v>
      </c>
      <c r="H228" t="s">
        <v>946</v>
      </c>
      <c r="I228" t="s">
        <v>967</v>
      </c>
      <c r="J228" t="s">
        <v>125</v>
      </c>
      <c r="K228">
        <v>335</v>
      </c>
      <c r="L228">
        <v>5</v>
      </c>
      <c r="M228">
        <v>93.6</v>
      </c>
      <c r="N228" t="s">
        <v>23</v>
      </c>
      <c r="O228">
        <v>0</v>
      </c>
      <c r="P228">
        <v>13</v>
      </c>
      <c r="Q228">
        <v>459</v>
      </c>
      <c r="R228">
        <v>7130</v>
      </c>
      <c r="S228">
        <v>43.55</v>
      </c>
      <c r="T228">
        <v>93.6</v>
      </c>
      <c r="U228">
        <v>130</v>
      </c>
      <c r="V228">
        <v>720</v>
      </c>
      <c r="W228" t="s">
        <v>1153</v>
      </c>
      <c r="X228" t="s">
        <v>1087</v>
      </c>
      <c r="Y228">
        <v>38</v>
      </c>
      <c r="Z228">
        <v>2</v>
      </c>
      <c r="AA228">
        <v>55.833333333333336</v>
      </c>
    </row>
    <row r="229" spans="1:27" x14ac:dyDescent="0.3">
      <c r="A229" s="15">
        <v>44482.752939814818</v>
      </c>
      <c r="B229" t="s">
        <v>13</v>
      </c>
      <c r="C229" t="s">
        <v>1132</v>
      </c>
      <c r="D229" s="2">
        <v>44453</v>
      </c>
      <c r="E229" t="s">
        <v>953</v>
      </c>
      <c r="F229" t="s">
        <v>40</v>
      </c>
      <c r="G229" t="s">
        <v>48</v>
      </c>
      <c r="H229" t="s">
        <v>946</v>
      </c>
      <c r="I229" t="s">
        <v>967</v>
      </c>
      <c r="J229" t="s">
        <v>124</v>
      </c>
      <c r="K229">
        <v>197</v>
      </c>
      <c r="L229">
        <v>3</v>
      </c>
      <c r="M229">
        <v>52.6</v>
      </c>
      <c r="N229" t="s">
        <v>23</v>
      </c>
      <c r="O229">
        <v>0</v>
      </c>
      <c r="P229">
        <v>0</v>
      </c>
      <c r="Q229">
        <v>459</v>
      </c>
      <c r="R229">
        <v>7130</v>
      </c>
      <c r="S229">
        <v>25.61</v>
      </c>
      <c r="T229">
        <v>52.6</v>
      </c>
      <c r="U229">
        <v>130</v>
      </c>
      <c r="V229">
        <v>404.61538461538464</v>
      </c>
      <c r="W229" t="s">
        <v>1153</v>
      </c>
      <c r="X229" t="s">
        <v>1087</v>
      </c>
      <c r="Y229">
        <v>38</v>
      </c>
      <c r="Z229">
        <v>2</v>
      </c>
      <c r="AA229">
        <v>32.833333333333336</v>
      </c>
    </row>
    <row r="230" spans="1:27" x14ac:dyDescent="0.3">
      <c r="A230" s="15">
        <v>44482.769560185188</v>
      </c>
      <c r="B230" t="s">
        <v>13</v>
      </c>
      <c r="C230" t="s">
        <v>1132</v>
      </c>
      <c r="D230" s="2">
        <v>44461</v>
      </c>
      <c r="E230" t="s">
        <v>953</v>
      </c>
      <c r="F230" t="s">
        <v>41</v>
      </c>
      <c r="G230" t="s">
        <v>943</v>
      </c>
      <c r="H230" t="s">
        <v>48</v>
      </c>
      <c r="I230" t="s">
        <v>1145</v>
      </c>
      <c r="J230" t="s">
        <v>1149</v>
      </c>
      <c r="K230">
        <v>285</v>
      </c>
      <c r="L230">
        <v>5</v>
      </c>
      <c r="M230">
        <v>49.19</v>
      </c>
      <c r="N230" t="s">
        <v>23</v>
      </c>
      <c r="O230">
        <v>0</v>
      </c>
      <c r="P230">
        <v>4</v>
      </c>
      <c r="Q230">
        <v>465</v>
      </c>
      <c r="R230">
        <v>7134</v>
      </c>
      <c r="S230">
        <v>24.51</v>
      </c>
      <c r="T230">
        <v>49.19</v>
      </c>
      <c r="U230">
        <v>86</v>
      </c>
      <c r="V230">
        <v>571.97674418604652</v>
      </c>
      <c r="W230" t="s">
        <v>1153</v>
      </c>
      <c r="X230" t="s">
        <v>1087</v>
      </c>
      <c r="Y230">
        <v>39</v>
      </c>
      <c r="Z230">
        <v>2</v>
      </c>
      <c r="AA230">
        <v>47.5</v>
      </c>
    </row>
    <row r="231" spans="1:27" x14ac:dyDescent="0.3">
      <c r="A231" s="15">
        <v>44482.76761574074</v>
      </c>
      <c r="B231" t="s">
        <v>13</v>
      </c>
      <c r="C231" t="s">
        <v>1132</v>
      </c>
      <c r="D231" s="2">
        <v>44461</v>
      </c>
      <c r="E231" t="s">
        <v>953</v>
      </c>
      <c r="F231" t="s">
        <v>41</v>
      </c>
      <c r="G231" t="s">
        <v>943</v>
      </c>
      <c r="H231" t="s">
        <v>48</v>
      </c>
      <c r="I231" t="s">
        <v>1145</v>
      </c>
      <c r="J231" t="s">
        <v>1151</v>
      </c>
      <c r="K231">
        <v>515</v>
      </c>
      <c r="L231">
        <v>7</v>
      </c>
      <c r="M231">
        <v>88.58</v>
      </c>
      <c r="N231" t="s">
        <v>23</v>
      </c>
      <c r="O231">
        <v>0</v>
      </c>
      <c r="P231">
        <v>8</v>
      </c>
      <c r="Q231">
        <v>465</v>
      </c>
      <c r="R231">
        <v>7134</v>
      </c>
      <c r="S231">
        <v>44.29</v>
      </c>
      <c r="T231">
        <v>88.58</v>
      </c>
      <c r="U231">
        <v>86</v>
      </c>
      <c r="V231">
        <v>1030</v>
      </c>
      <c r="W231" t="s">
        <v>1153</v>
      </c>
      <c r="X231" t="s">
        <v>1087</v>
      </c>
      <c r="Y231">
        <v>39</v>
      </c>
      <c r="Z231">
        <v>2</v>
      </c>
      <c r="AA231">
        <v>85.833333333333329</v>
      </c>
    </row>
    <row r="232" spans="1:27" x14ac:dyDescent="0.3">
      <c r="A232" s="15">
        <v>44482.772002314814</v>
      </c>
      <c r="B232" t="s">
        <v>13</v>
      </c>
      <c r="C232" t="s">
        <v>1132</v>
      </c>
      <c r="D232" s="2">
        <v>44462</v>
      </c>
      <c r="E232" t="s">
        <v>1081</v>
      </c>
      <c r="F232" t="s">
        <v>41</v>
      </c>
      <c r="G232" t="s">
        <v>943</v>
      </c>
      <c r="H232" t="s">
        <v>48</v>
      </c>
      <c r="I232" t="s">
        <v>1145</v>
      </c>
      <c r="J232" t="s">
        <v>1148</v>
      </c>
      <c r="K232">
        <v>106</v>
      </c>
      <c r="L232">
        <v>2</v>
      </c>
      <c r="M232">
        <v>18.23</v>
      </c>
      <c r="N232" t="s">
        <v>23</v>
      </c>
      <c r="O232">
        <v>0</v>
      </c>
      <c r="P232">
        <v>2</v>
      </c>
      <c r="Q232">
        <v>465</v>
      </c>
      <c r="R232">
        <v>7136</v>
      </c>
      <c r="S232">
        <v>9.1159999999999997</v>
      </c>
      <c r="T232">
        <v>18.23</v>
      </c>
      <c r="U232">
        <v>86</v>
      </c>
      <c r="V232">
        <v>211.97674418604652</v>
      </c>
      <c r="W232" t="s">
        <v>1153</v>
      </c>
      <c r="X232" t="s">
        <v>1087</v>
      </c>
      <c r="Y232">
        <v>39</v>
      </c>
      <c r="Z232">
        <v>2</v>
      </c>
      <c r="AA232">
        <v>17.666666666666668</v>
      </c>
    </row>
    <row r="233" spans="1:27" x14ac:dyDescent="0.3">
      <c r="A233" s="15">
        <v>44482.77171296296</v>
      </c>
      <c r="B233" t="s">
        <v>13</v>
      </c>
      <c r="C233" t="s">
        <v>1132</v>
      </c>
      <c r="D233" s="2">
        <v>44462</v>
      </c>
      <c r="E233" t="s">
        <v>1081</v>
      </c>
      <c r="F233" t="s">
        <v>41</v>
      </c>
      <c r="G233" t="s">
        <v>943</v>
      </c>
      <c r="H233" t="s">
        <v>48</v>
      </c>
      <c r="I233" t="s">
        <v>1145</v>
      </c>
      <c r="J233" t="s">
        <v>1147</v>
      </c>
      <c r="K233">
        <v>834</v>
      </c>
      <c r="L233">
        <v>10</v>
      </c>
      <c r="M233">
        <v>143.51</v>
      </c>
      <c r="N233" t="s">
        <v>23</v>
      </c>
      <c r="O233">
        <v>0</v>
      </c>
      <c r="P233">
        <v>12</v>
      </c>
      <c r="Q233">
        <v>465</v>
      </c>
      <c r="R233">
        <v>7136</v>
      </c>
      <c r="S233">
        <v>71.724000000000004</v>
      </c>
      <c r="T233">
        <v>143.51</v>
      </c>
      <c r="U233">
        <v>86</v>
      </c>
      <c r="V233">
        <v>1668.7209302325582</v>
      </c>
      <c r="W233" t="s">
        <v>1153</v>
      </c>
      <c r="X233" t="s">
        <v>1087</v>
      </c>
      <c r="Y233">
        <v>39</v>
      </c>
      <c r="Z233">
        <v>2</v>
      </c>
      <c r="AA233">
        <v>139</v>
      </c>
    </row>
    <row r="234" spans="1:27" x14ac:dyDescent="0.3">
      <c r="A234" s="15">
        <v>44482.774247685185</v>
      </c>
      <c r="B234" t="s">
        <v>13</v>
      </c>
      <c r="C234" t="s">
        <v>1132</v>
      </c>
      <c r="D234" s="2">
        <v>44463</v>
      </c>
      <c r="E234" t="s">
        <v>1081</v>
      </c>
      <c r="F234" t="s">
        <v>41</v>
      </c>
      <c r="G234" t="s">
        <v>943</v>
      </c>
      <c r="H234" t="s">
        <v>48</v>
      </c>
      <c r="I234" t="s">
        <v>1145</v>
      </c>
      <c r="J234" t="s">
        <v>1146</v>
      </c>
      <c r="K234">
        <v>1022</v>
      </c>
      <c r="L234">
        <v>12</v>
      </c>
      <c r="M234">
        <v>172.17</v>
      </c>
      <c r="N234" t="s">
        <v>23</v>
      </c>
      <c r="O234">
        <v>0</v>
      </c>
      <c r="P234">
        <v>14</v>
      </c>
      <c r="Q234">
        <v>465</v>
      </c>
      <c r="R234">
        <v>7138</v>
      </c>
      <c r="S234">
        <v>87.891999999999996</v>
      </c>
      <c r="T234">
        <v>172.17</v>
      </c>
      <c r="U234">
        <v>86</v>
      </c>
      <c r="V234">
        <v>2001.9767441860465</v>
      </c>
      <c r="W234" t="s">
        <v>1153</v>
      </c>
      <c r="X234" t="s">
        <v>1087</v>
      </c>
      <c r="Y234">
        <v>39</v>
      </c>
      <c r="Z234">
        <v>2</v>
      </c>
      <c r="AA234">
        <v>170.33333333333334</v>
      </c>
    </row>
    <row r="235" spans="1:27" x14ac:dyDescent="0.3">
      <c r="A235" s="15">
        <v>44482.775879629633</v>
      </c>
      <c r="B235" t="s">
        <v>13</v>
      </c>
      <c r="C235" t="s">
        <v>1132</v>
      </c>
      <c r="D235" s="2">
        <v>44464</v>
      </c>
      <c r="E235" t="s">
        <v>1081</v>
      </c>
      <c r="F235" t="s">
        <v>41</v>
      </c>
      <c r="G235" t="s">
        <v>950</v>
      </c>
      <c r="H235" t="s">
        <v>943</v>
      </c>
      <c r="I235" t="s">
        <v>1145</v>
      </c>
      <c r="J235" t="s">
        <v>1151</v>
      </c>
      <c r="K235">
        <v>360</v>
      </c>
      <c r="L235">
        <v>4</v>
      </c>
      <c r="M235">
        <v>61.3</v>
      </c>
      <c r="N235" t="s">
        <v>23</v>
      </c>
      <c r="O235">
        <v>0</v>
      </c>
      <c r="P235">
        <v>7</v>
      </c>
      <c r="Q235">
        <v>465</v>
      </c>
      <c r="R235">
        <v>7140</v>
      </c>
      <c r="S235">
        <v>30.96</v>
      </c>
      <c r="T235">
        <v>61.3</v>
      </c>
      <c r="U235">
        <v>86</v>
      </c>
      <c r="V235">
        <v>712.79069767441865</v>
      </c>
      <c r="W235" t="s">
        <v>1153</v>
      </c>
      <c r="X235" t="s">
        <v>1087</v>
      </c>
      <c r="Y235">
        <v>39</v>
      </c>
      <c r="Z235">
        <v>2</v>
      </c>
      <c r="AA235">
        <v>60</v>
      </c>
    </row>
    <row r="236" spans="1:27" x14ac:dyDescent="0.3">
      <c r="A236" s="15">
        <v>44482.775405092594</v>
      </c>
      <c r="B236" t="s">
        <v>13</v>
      </c>
      <c r="C236" t="s">
        <v>1132</v>
      </c>
      <c r="D236" s="2">
        <v>44464</v>
      </c>
      <c r="E236" t="s">
        <v>1081</v>
      </c>
      <c r="F236" t="s">
        <v>41</v>
      </c>
      <c r="G236" t="s">
        <v>950</v>
      </c>
      <c r="H236" t="s">
        <v>943</v>
      </c>
      <c r="I236" t="s">
        <v>1145</v>
      </c>
      <c r="J236" t="s">
        <v>1150</v>
      </c>
      <c r="K236">
        <v>735</v>
      </c>
      <c r="L236">
        <v>8</v>
      </c>
      <c r="M236">
        <v>124</v>
      </c>
      <c r="N236" t="s">
        <v>23</v>
      </c>
      <c r="O236">
        <v>0</v>
      </c>
      <c r="P236">
        <v>14</v>
      </c>
      <c r="Q236">
        <v>465</v>
      </c>
      <c r="R236">
        <v>7140</v>
      </c>
      <c r="S236">
        <v>63.21</v>
      </c>
      <c r="T236">
        <v>124</v>
      </c>
      <c r="U236">
        <v>86</v>
      </c>
      <c r="V236">
        <v>1441.8604651162791</v>
      </c>
      <c r="W236" t="s">
        <v>1153</v>
      </c>
      <c r="X236" t="s">
        <v>1087</v>
      </c>
      <c r="Y236">
        <v>39</v>
      </c>
      <c r="Z236">
        <v>2</v>
      </c>
      <c r="AA236">
        <v>122.5</v>
      </c>
    </row>
    <row r="237" spans="1:27" x14ac:dyDescent="0.3">
      <c r="A237" s="15">
        <v>44482.779062499998</v>
      </c>
      <c r="B237" t="s">
        <v>13</v>
      </c>
      <c r="C237" t="s">
        <v>1132</v>
      </c>
      <c r="D237" s="2">
        <v>44466</v>
      </c>
      <c r="E237" t="s">
        <v>1081</v>
      </c>
      <c r="F237" t="s">
        <v>41</v>
      </c>
      <c r="G237" t="s">
        <v>950</v>
      </c>
      <c r="H237" t="s">
        <v>943</v>
      </c>
      <c r="I237" t="s">
        <v>1145</v>
      </c>
      <c r="J237" t="s">
        <v>1147</v>
      </c>
      <c r="K237">
        <v>920</v>
      </c>
      <c r="L237">
        <v>10</v>
      </c>
      <c r="M237">
        <v>158.24</v>
      </c>
      <c r="N237" t="s">
        <v>23</v>
      </c>
      <c r="O237">
        <v>0</v>
      </c>
      <c r="P237">
        <v>17</v>
      </c>
      <c r="Q237">
        <v>465</v>
      </c>
      <c r="R237">
        <v>7145</v>
      </c>
      <c r="S237">
        <v>79.12</v>
      </c>
      <c r="T237">
        <v>158.24</v>
      </c>
      <c r="U237">
        <v>86</v>
      </c>
      <c r="V237">
        <v>1840</v>
      </c>
      <c r="W237" t="s">
        <v>1153</v>
      </c>
      <c r="X237" t="s">
        <v>1087</v>
      </c>
      <c r="Y237">
        <v>40</v>
      </c>
      <c r="Z237">
        <v>2</v>
      </c>
      <c r="AA237">
        <v>153.33333333333334</v>
      </c>
    </row>
    <row r="238" spans="1:27" x14ac:dyDescent="0.3">
      <c r="A238" s="15">
        <v>44482.778611111113</v>
      </c>
      <c r="B238" t="s">
        <v>13</v>
      </c>
      <c r="C238" t="s">
        <v>1132</v>
      </c>
      <c r="D238" s="2">
        <v>44466</v>
      </c>
      <c r="E238" t="s">
        <v>1081</v>
      </c>
      <c r="F238" t="s">
        <v>41</v>
      </c>
      <c r="G238" t="s">
        <v>950</v>
      </c>
      <c r="H238" t="s">
        <v>943</v>
      </c>
      <c r="I238" t="s">
        <v>1145</v>
      </c>
      <c r="J238" t="s">
        <v>1149</v>
      </c>
      <c r="K238">
        <v>146</v>
      </c>
      <c r="L238">
        <v>2</v>
      </c>
      <c r="M238">
        <v>22.21</v>
      </c>
      <c r="N238" t="s">
        <v>23</v>
      </c>
      <c r="O238">
        <v>0</v>
      </c>
      <c r="P238">
        <v>4</v>
      </c>
      <c r="Q238">
        <v>465</v>
      </c>
      <c r="R238">
        <v>7145</v>
      </c>
      <c r="S238">
        <v>12.555999999999999</v>
      </c>
      <c r="T238">
        <v>22.21</v>
      </c>
      <c r="U238">
        <v>86</v>
      </c>
      <c r="V238">
        <v>258.25581395348837</v>
      </c>
      <c r="W238" t="s">
        <v>1153</v>
      </c>
      <c r="X238" t="s">
        <v>1087</v>
      </c>
      <c r="Y238">
        <v>40</v>
      </c>
      <c r="Z238">
        <v>2</v>
      </c>
      <c r="AA238">
        <v>24.333333333333332</v>
      </c>
    </row>
    <row r="239" spans="1:27" x14ac:dyDescent="0.3">
      <c r="A239" s="15">
        <v>44482.782719907409</v>
      </c>
      <c r="B239" t="s">
        <v>13</v>
      </c>
      <c r="C239" t="s">
        <v>1132</v>
      </c>
      <c r="D239" s="2">
        <v>44467</v>
      </c>
      <c r="E239" t="s">
        <v>1027</v>
      </c>
      <c r="F239" t="s">
        <v>41</v>
      </c>
      <c r="G239" t="s">
        <v>950</v>
      </c>
      <c r="H239" t="s">
        <v>943</v>
      </c>
      <c r="I239" t="s">
        <v>1145</v>
      </c>
      <c r="J239" t="s">
        <v>1148</v>
      </c>
      <c r="K239">
        <v>519</v>
      </c>
      <c r="L239">
        <v>4</v>
      </c>
      <c r="M239">
        <v>89.26</v>
      </c>
      <c r="N239" t="s">
        <v>23</v>
      </c>
      <c r="O239">
        <v>0</v>
      </c>
      <c r="P239">
        <v>10</v>
      </c>
      <c r="Q239">
        <v>465</v>
      </c>
      <c r="R239">
        <v>7147</v>
      </c>
      <c r="S239">
        <v>44.634</v>
      </c>
      <c r="T239">
        <v>89.26</v>
      </c>
      <c r="U239">
        <v>86</v>
      </c>
      <c r="V239">
        <v>1037.9069767441861</v>
      </c>
      <c r="W239" t="s">
        <v>1153</v>
      </c>
      <c r="X239" t="s">
        <v>1087</v>
      </c>
      <c r="Y239">
        <v>40</v>
      </c>
      <c r="Z239">
        <v>2</v>
      </c>
      <c r="AA239">
        <v>86.5</v>
      </c>
    </row>
    <row r="240" spans="1:27" x14ac:dyDescent="0.3">
      <c r="A240" s="15">
        <v>44482.782152777778</v>
      </c>
      <c r="B240" t="s">
        <v>13</v>
      </c>
      <c r="C240" t="s">
        <v>1132</v>
      </c>
      <c r="D240" s="2">
        <v>44467</v>
      </c>
      <c r="E240" t="s">
        <v>1105</v>
      </c>
      <c r="F240" t="s">
        <v>41</v>
      </c>
      <c r="G240" t="s">
        <v>950</v>
      </c>
      <c r="H240" t="s">
        <v>943</v>
      </c>
      <c r="I240" t="s">
        <v>1145</v>
      </c>
      <c r="J240" t="s">
        <v>1146</v>
      </c>
      <c r="K240">
        <v>610</v>
      </c>
      <c r="L240">
        <v>4</v>
      </c>
      <c r="M240">
        <v>105.3</v>
      </c>
      <c r="N240" t="s">
        <v>23</v>
      </c>
      <c r="O240">
        <v>0</v>
      </c>
      <c r="P240">
        <v>8</v>
      </c>
      <c r="Q240">
        <v>465</v>
      </c>
      <c r="R240">
        <v>7147</v>
      </c>
      <c r="S240">
        <v>52.46</v>
      </c>
      <c r="T240">
        <v>105.3</v>
      </c>
      <c r="U240">
        <v>86</v>
      </c>
      <c r="V240">
        <v>1224.4186046511627</v>
      </c>
      <c r="W240" t="s">
        <v>1153</v>
      </c>
      <c r="X240" t="s">
        <v>1087</v>
      </c>
      <c r="Y240">
        <v>40</v>
      </c>
      <c r="Z240">
        <v>2</v>
      </c>
      <c r="AA240">
        <v>101.66666666666667</v>
      </c>
    </row>
    <row r="241" spans="1:27" x14ac:dyDescent="0.3">
      <c r="A241" s="15">
        <v>44482.787060185183</v>
      </c>
      <c r="B241" t="s">
        <v>13</v>
      </c>
      <c r="C241" t="s">
        <v>1080</v>
      </c>
      <c r="D241" s="2">
        <v>44440</v>
      </c>
      <c r="E241" t="s">
        <v>953</v>
      </c>
      <c r="F241" t="s">
        <v>40</v>
      </c>
      <c r="G241" t="s">
        <v>48</v>
      </c>
      <c r="H241" t="s">
        <v>944</v>
      </c>
      <c r="I241" t="s">
        <v>1054</v>
      </c>
      <c r="J241" t="s">
        <v>484</v>
      </c>
      <c r="K241">
        <v>1155</v>
      </c>
      <c r="L241">
        <v>12</v>
      </c>
      <c r="M241">
        <v>81.400000000000006</v>
      </c>
      <c r="N241" t="s">
        <v>23</v>
      </c>
      <c r="O241">
        <v>0</v>
      </c>
      <c r="P241">
        <v>7</v>
      </c>
      <c r="Q241">
        <v>468</v>
      </c>
      <c r="R241">
        <v>6935</v>
      </c>
      <c r="S241">
        <v>13.86</v>
      </c>
      <c r="T241">
        <v>81.400000000000006</v>
      </c>
      <c r="U241">
        <v>12</v>
      </c>
      <c r="V241">
        <v>6783.333333333333</v>
      </c>
      <c r="W241" t="s">
        <v>1153</v>
      </c>
      <c r="X241" t="s">
        <v>1087</v>
      </c>
      <c r="Y241">
        <v>36</v>
      </c>
      <c r="Z241">
        <v>6</v>
      </c>
      <c r="AA241">
        <v>577.5</v>
      </c>
    </row>
    <row r="242" spans="1:27" x14ac:dyDescent="0.3">
      <c r="A242" s="15">
        <v>44482.790636574071</v>
      </c>
      <c r="B242" t="s">
        <v>13</v>
      </c>
      <c r="C242" t="s">
        <v>1080</v>
      </c>
      <c r="D242" s="2">
        <v>44443</v>
      </c>
      <c r="E242" t="s">
        <v>953</v>
      </c>
      <c r="F242" t="s">
        <v>41</v>
      </c>
      <c r="G242" t="s">
        <v>940</v>
      </c>
      <c r="H242" t="s">
        <v>48</v>
      </c>
      <c r="I242" t="s">
        <v>1126</v>
      </c>
      <c r="J242" t="s">
        <v>1121</v>
      </c>
      <c r="K242">
        <v>566</v>
      </c>
      <c r="L242">
        <v>6</v>
      </c>
      <c r="M242">
        <v>27.2</v>
      </c>
      <c r="N242" t="s">
        <v>23</v>
      </c>
      <c r="O242">
        <v>0</v>
      </c>
      <c r="P242">
        <v>0</v>
      </c>
      <c r="Q242">
        <v>451</v>
      </c>
      <c r="R242">
        <v>6937</v>
      </c>
      <c r="S242">
        <v>2.2639999999999998</v>
      </c>
      <c r="T242">
        <v>27.2</v>
      </c>
      <c r="U242">
        <v>4</v>
      </c>
      <c r="V242">
        <v>6800</v>
      </c>
      <c r="W242" t="s">
        <v>1153</v>
      </c>
      <c r="X242" t="s">
        <v>1087</v>
      </c>
      <c r="Y242">
        <v>36</v>
      </c>
      <c r="Z242">
        <v>12</v>
      </c>
      <c r="AA242">
        <v>566</v>
      </c>
    </row>
    <row r="243" spans="1:27" x14ac:dyDescent="0.3">
      <c r="A243" s="15">
        <v>44482.790381944447</v>
      </c>
      <c r="B243" t="s">
        <v>13</v>
      </c>
      <c r="C243" t="s">
        <v>1080</v>
      </c>
      <c r="D243" s="2">
        <v>44443</v>
      </c>
      <c r="E243" t="s">
        <v>953</v>
      </c>
      <c r="F243" t="s">
        <v>41</v>
      </c>
      <c r="G243" t="s">
        <v>940</v>
      </c>
      <c r="H243" t="s">
        <v>48</v>
      </c>
      <c r="I243" t="s">
        <v>1126</v>
      </c>
      <c r="J243" t="s">
        <v>1120</v>
      </c>
      <c r="K243">
        <v>318</v>
      </c>
      <c r="L243">
        <v>2</v>
      </c>
      <c r="M243">
        <v>13.5</v>
      </c>
      <c r="N243" t="s">
        <v>23</v>
      </c>
      <c r="O243">
        <v>0</v>
      </c>
      <c r="P243">
        <v>0</v>
      </c>
      <c r="Q243">
        <v>451</v>
      </c>
      <c r="R243">
        <v>6937</v>
      </c>
      <c r="S243">
        <v>1.272</v>
      </c>
      <c r="T243">
        <v>13.5</v>
      </c>
      <c r="U243">
        <v>4</v>
      </c>
      <c r="V243">
        <v>3375</v>
      </c>
      <c r="W243" t="s">
        <v>1153</v>
      </c>
      <c r="X243" t="s">
        <v>1087</v>
      </c>
      <c r="Y243">
        <v>36</v>
      </c>
      <c r="Z243">
        <v>12</v>
      </c>
      <c r="AA243">
        <v>318</v>
      </c>
    </row>
    <row r="244" spans="1:27" x14ac:dyDescent="0.3">
      <c r="A244" s="15">
        <v>44482.790092592593</v>
      </c>
      <c r="B244" t="s">
        <v>13</v>
      </c>
      <c r="C244" t="s">
        <v>1080</v>
      </c>
      <c r="D244" s="2">
        <v>44443</v>
      </c>
      <c r="E244" t="s">
        <v>953</v>
      </c>
      <c r="F244" t="s">
        <v>41</v>
      </c>
      <c r="G244" t="s">
        <v>940</v>
      </c>
      <c r="H244" t="s">
        <v>48</v>
      </c>
      <c r="I244" t="s">
        <v>1126</v>
      </c>
      <c r="J244" t="s">
        <v>1120</v>
      </c>
      <c r="K244">
        <v>340</v>
      </c>
      <c r="L244">
        <v>3</v>
      </c>
      <c r="M244">
        <v>14.6</v>
      </c>
      <c r="N244" t="s">
        <v>23</v>
      </c>
      <c r="O244">
        <v>0</v>
      </c>
      <c r="P244">
        <v>0</v>
      </c>
      <c r="Q244">
        <v>451</v>
      </c>
      <c r="R244">
        <v>6937</v>
      </c>
      <c r="S244">
        <v>1.36</v>
      </c>
      <c r="T244">
        <v>14.6</v>
      </c>
      <c r="U244">
        <v>4</v>
      </c>
      <c r="V244">
        <v>3650</v>
      </c>
      <c r="W244" t="s">
        <v>1153</v>
      </c>
      <c r="X244" t="s">
        <v>1087</v>
      </c>
      <c r="Y244">
        <v>36</v>
      </c>
      <c r="Z244">
        <v>12</v>
      </c>
      <c r="AA244">
        <v>340</v>
      </c>
    </row>
    <row r="245" spans="1:27" x14ac:dyDescent="0.3">
      <c r="A245" s="15">
        <v>44482.78974537037</v>
      </c>
      <c r="B245" t="s">
        <v>13</v>
      </c>
      <c r="C245" t="s">
        <v>1080</v>
      </c>
      <c r="D245" s="2">
        <v>44443</v>
      </c>
      <c r="E245" t="s">
        <v>953</v>
      </c>
      <c r="F245" t="s">
        <v>41</v>
      </c>
      <c r="G245" t="s">
        <v>940</v>
      </c>
      <c r="H245" t="s">
        <v>48</v>
      </c>
      <c r="I245" t="s">
        <v>1126</v>
      </c>
      <c r="J245" t="s">
        <v>1116</v>
      </c>
      <c r="K245">
        <v>655</v>
      </c>
      <c r="L245">
        <v>6</v>
      </c>
      <c r="M245">
        <v>28</v>
      </c>
      <c r="N245" t="s">
        <v>23</v>
      </c>
      <c r="O245">
        <v>0</v>
      </c>
      <c r="P245">
        <v>0</v>
      </c>
      <c r="Q245">
        <v>451</v>
      </c>
      <c r="R245">
        <v>6937</v>
      </c>
      <c r="S245">
        <v>2.62</v>
      </c>
      <c r="T245">
        <v>28</v>
      </c>
      <c r="U245">
        <v>4</v>
      </c>
      <c r="V245">
        <v>7000</v>
      </c>
      <c r="W245" t="s">
        <v>1153</v>
      </c>
      <c r="X245" t="s">
        <v>1087</v>
      </c>
      <c r="Y245">
        <v>36</v>
      </c>
      <c r="Z245">
        <v>12</v>
      </c>
      <c r="AA245">
        <v>655</v>
      </c>
    </row>
    <row r="246" spans="1:27" x14ac:dyDescent="0.3">
      <c r="A246" s="15">
        <v>44482.789525462962</v>
      </c>
      <c r="B246" t="s">
        <v>13</v>
      </c>
      <c r="C246" t="s">
        <v>1080</v>
      </c>
      <c r="D246" s="2">
        <v>44443</v>
      </c>
      <c r="E246" t="s">
        <v>953</v>
      </c>
      <c r="F246" t="s">
        <v>41</v>
      </c>
      <c r="G246" t="s">
        <v>940</v>
      </c>
      <c r="H246" t="s">
        <v>48</v>
      </c>
      <c r="I246" t="s">
        <v>1126</v>
      </c>
      <c r="J246" t="s">
        <v>1119</v>
      </c>
      <c r="K246">
        <v>340</v>
      </c>
      <c r="L246">
        <v>3</v>
      </c>
      <c r="M246">
        <v>14.7</v>
      </c>
      <c r="N246" t="s">
        <v>23</v>
      </c>
      <c r="O246">
        <v>0</v>
      </c>
      <c r="P246">
        <v>0</v>
      </c>
      <c r="Q246">
        <v>451</v>
      </c>
      <c r="R246">
        <v>6937</v>
      </c>
      <c r="S246">
        <v>1.36</v>
      </c>
      <c r="T246">
        <v>14.7</v>
      </c>
      <c r="U246">
        <v>4</v>
      </c>
      <c r="V246">
        <v>3675</v>
      </c>
      <c r="W246" t="s">
        <v>1153</v>
      </c>
      <c r="X246" t="s">
        <v>1087</v>
      </c>
      <c r="Y246">
        <v>36</v>
      </c>
      <c r="Z246">
        <v>12</v>
      </c>
      <c r="AA246">
        <v>340</v>
      </c>
    </row>
    <row r="247" spans="1:27" x14ac:dyDescent="0.3">
      <c r="A247" s="15">
        <v>44482.794861111113</v>
      </c>
      <c r="B247" t="s">
        <v>13</v>
      </c>
      <c r="C247" t="s">
        <v>1080</v>
      </c>
      <c r="D247" s="2">
        <v>44449</v>
      </c>
      <c r="E247" t="s">
        <v>1027</v>
      </c>
      <c r="F247" t="s">
        <v>40</v>
      </c>
      <c r="G247" t="s">
        <v>48</v>
      </c>
      <c r="H247" t="s">
        <v>944</v>
      </c>
      <c r="I247" t="s">
        <v>973</v>
      </c>
      <c r="J247" t="s">
        <v>509</v>
      </c>
      <c r="K247">
        <v>1501</v>
      </c>
      <c r="L247">
        <v>12</v>
      </c>
      <c r="M247">
        <v>38.700000000000003</v>
      </c>
      <c r="N247" t="s">
        <v>23</v>
      </c>
      <c r="O247">
        <v>0</v>
      </c>
      <c r="P247">
        <v>0</v>
      </c>
      <c r="Q247">
        <v>457</v>
      </c>
      <c r="R247">
        <v>6946</v>
      </c>
      <c r="S247">
        <v>6.0039999999999996</v>
      </c>
      <c r="T247">
        <v>38.700000000000003</v>
      </c>
      <c r="U247">
        <v>4</v>
      </c>
      <c r="V247">
        <v>9675</v>
      </c>
      <c r="W247" t="s">
        <v>1153</v>
      </c>
      <c r="X247" t="s">
        <v>1087</v>
      </c>
      <c r="Y247">
        <v>37</v>
      </c>
      <c r="Z247">
        <v>6</v>
      </c>
      <c r="AA247">
        <v>750.5</v>
      </c>
    </row>
    <row r="248" spans="1:27" x14ac:dyDescent="0.3">
      <c r="A248" s="15">
        <v>44482.796689814815</v>
      </c>
      <c r="B248" t="s">
        <v>13</v>
      </c>
      <c r="C248" t="s">
        <v>1080</v>
      </c>
      <c r="D248" s="2">
        <v>44453</v>
      </c>
      <c r="E248" t="s">
        <v>1081</v>
      </c>
      <c r="F248" t="s">
        <v>40</v>
      </c>
      <c r="G248" t="s">
        <v>48</v>
      </c>
      <c r="H248" t="s">
        <v>944</v>
      </c>
      <c r="I248" t="s">
        <v>973</v>
      </c>
      <c r="J248" t="s">
        <v>509</v>
      </c>
      <c r="K248">
        <v>1620</v>
      </c>
      <c r="L248">
        <v>12</v>
      </c>
      <c r="M248">
        <v>40.6</v>
      </c>
      <c r="N248" t="s">
        <v>23</v>
      </c>
      <c r="O248">
        <v>0</v>
      </c>
      <c r="P248">
        <v>0</v>
      </c>
      <c r="Q248">
        <v>457</v>
      </c>
      <c r="R248">
        <v>6950</v>
      </c>
      <c r="S248">
        <v>6.48</v>
      </c>
      <c r="T248">
        <v>40.6</v>
      </c>
      <c r="U248">
        <v>4</v>
      </c>
      <c r="V248">
        <v>10150</v>
      </c>
      <c r="W248" t="s">
        <v>1153</v>
      </c>
      <c r="X248" t="s">
        <v>1087</v>
      </c>
      <c r="Y248">
        <v>38</v>
      </c>
      <c r="Z248">
        <v>6</v>
      </c>
      <c r="AA248">
        <v>810</v>
      </c>
    </row>
    <row r="249" spans="1:27" x14ac:dyDescent="0.3">
      <c r="A249" s="15">
        <v>44482.797615740739</v>
      </c>
      <c r="B249" t="s">
        <v>13</v>
      </c>
      <c r="C249" t="s">
        <v>1080</v>
      </c>
      <c r="D249" s="2">
        <v>44454</v>
      </c>
      <c r="E249" t="s">
        <v>953</v>
      </c>
      <c r="F249" t="s">
        <v>40</v>
      </c>
      <c r="G249" t="s">
        <v>48</v>
      </c>
      <c r="H249" t="s">
        <v>944</v>
      </c>
      <c r="I249" t="s">
        <v>973</v>
      </c>
      <c r="J249" t="s">
        <v>509</v>
      </c>
      <c r="K249">
        <v>1533</v>
      </c>
      <c r="L249">
        <v>12</v>
      </c>
      <c r="M249">
        <v>39.1</v>
      </c>
      <c r="N249" t="s">
        <v>23</v>
      </c>
      <c r="O249">
        <v>0</v>
      </c>
      <c r="P249">
        <v>0</v>
      </c>
      <c r="Q249">
        <v>457</v>
      </c>
      <c r="R249">
        <v>6954</v>
      </c>
      <c r="S249">
        <v>6.1319999999999997</v>
      </c>
      <c r="T249">
        <v>39.1</v>
      </c>
      <c r="U249">
        <v>4</v>
      </c>
      <c r="V249">
        <v>9775</v>
      </c>
      <c r="W249" t="s">
        <v>1153</v>
      </c>
      <c r="X249" t="s">
        <v>1087</v>
      </c>
      <c r="Y249">
        <v>38</v>
      </c>
      <c r="Z249">
        <v>6</v>
      </c>
      <c r="AA249">
        <v>766.5</v>
      </c>
    </row>
    <row r="250" spans="1:27" x14ac:dyDescent="0.3">
      <c r="A250" s="15">
        <v>44477.585069444445</v>
      </c>
      <c r="B250" t="s">
        <v>13</v>
      </c>
      <c r="C250" t="s">
        <v>1080</v>
      </c>
      <c r="D250" s="2">
        <v>44454</v>
      </c>
      <c r="E250" t="s">
        <v>1081</v>
      </c>
      <c r="F250" t="s">
        <v>41</v>
      </c>
      <c r="G250" t="s">
        <v>940</v>
      </c>
      <c r="H250" t="s">
        <v>48</v>
      </c>
      <c r="I250" t="s">
        <v>961</v>
      </c>
      <c r="J250" t="s">
        <v>501</v>
      </c>
      <c r="K250">
        <v>2160</v>
      </c>
      <c r="L250">
        <v>12</v>
      </c>
      <c r="M250">
        <v>38.200000000000003</v>
      </c>
      <c r="N250" t="s">
        <v>23</v>
      </c>
      <c r="O250">
        <v>0</v>
      </c>
      <c r="P250">
        <v>3</v>
      </c>
      <c r="Q250">
        <v>438</v>
      </c>
      <c r="R250">
        <v>6747</v>
      </c>
      <c r="S250">
        <v>7.56</v>
      </c>
      <c r="T250">
        <v>38.200000000000003</v>
      </c>
      <c r="U250">
        <v>3.5</v>
      </c>
      <c r="V250">
        <v>10914.285714285714</v>
      </c>
      <c r="W250" t="s">
        <v>1153</v>
      </c>
      <c r="X250" t="s">
        <v>1087</v>
      </c>
      <c r="Y250">
        <v>38</v>
      </c>
      <c r="Z250">
        <v>4</v>
      </c>
      <c r="AA250">
        <v>720</v>
      </c>
    </row>
    <row r="251" spans="1:27" x14ac:dyDescent="0.3">
      <c r="A251" s="15">
        <v>44482.798182870371</v>
      </c>
      <c r="B251" t="s">
        <v>13</v>
      </c>
      <c r="C251" t="s">
        <v>1080</v>
      </c>
      <c r="D251" s="2">
        <v>44455</v>
      </c>
      <c r="E251" t="s">
        <v>1081</v>
      </c>
      <c r="F251" t="s">
        <v>40</v>
      </c>
      <c r="G251" t="s">
        <v>48</v>
      </c>
      <c r="H251" t="s">
        <v>944</v>
      </c>
      <c r="I251" t="s">
        <v>973</v>
      </c>
      <c r="J251" t="s">
        <v>509</v>
      </c>
      <c r="K251">
        <v>1558</v>
      </c>
      <c r="L251">
        <v>12</v>
      </c>
      <c r="M251">
        <v>40.5</v>
      </c>
      <c r="N251" t="s">
        <v>23</v>
      </c>
      <c r="O251">
        <v>0</v>
      </c>
      <c r="P251">
        <v>0</v>
      </c>
      <c r="Q251">
        <v>457</v>
      </c>
      <c r="R251">
        <v>6956</v>
      </c>
      <c r="S251">
        <v>6.2320000000000002</v>
      </c>
      <c r="T251">
        <v>40.5</v>
      </c>
      <c r="U251">
        <v>4</v>
      </c>
      <c r="V251">
        <v>10125</v>
      </c>
      <c r="W251" t="s">
        <v>1153</v>
      </c>
      <c r="X251" t="s">
        <v>1087</v>
      </c>
      <c r="Y251">
        <v>38</v>
      </c>
      <c r="Z251">
        <v>6</v>
      </c>
      <c r="AA251">
        <v>779</v>
      </c>
    </row>
    <row r="252" spans="1:27" x14ac:dyDescent="0.3">
      <c r="A252" s="15">
        <v>44482.79892361111</v>
      </c>
      <c r="B252" t="s">
        <v>13</v>
      </c>
      <c r="C252" t="s">
        <v>1080</v>
      </c>
      <c r="D252" s="2">
        <v>44456</v>
      </c>
      <c r="E252" t="s">
        <v>1081</v>
      </c>
      <c r="F252" t="s">
        <v>40</v>
      </c>
      <c r="G252" t="s">
        <v>48</v>
      </c>
      <c r="H252" t="s">
        <v>944</v>
      </c>
      <c r="I252" t="s">
        <v>973</v>
      </c>
      <c r="J252" t="s">
        <v>509</v>
      </c>
      <c r="K252">
        <v>1558</v>
      </c>
      <c r="L252">
        <v>12</v>
      </c>
      <c r="M252">
        <v>40.5</v>
      </c>
      <c r="N252" t="s">
        <v>23</v>
      </c>
      <c r="O252">
        <v>0</v>
      </c>
      <c r="P252">
        <v>0</v>
      </c>
      <c r="Q252">
        <v>457</v>
      </c>
      <c r="R252">
        <v>6958</v>
      </c>
      <c r="S252">
        <v>6.2320000000000002</v>
      </c>
      <c r="T252">
        <v>40.5</v>
      </c>
      <c r="U252">
        <v>4</v>
      </c>
      <c r="V252">
        <v>10125</v>
      </c>
      <c r="W252" t="s">
        <v>1153</v>
      </c>
      <c r="X252" t="s">
        <v>1087</v>
      </c>
      <c r="Y252">
        <v>38</v>
      </c>
      <c r="Z252">
        <v>6</v>
      </c>
      <c r="AA252">
        <v>779</v>
      </c>
    </row>
    <row r="253" spans="1:27" x14ac:dyDescent="0.3">
      <c r="A253" s="15">
        <v>44482.800416666665</v>
      </c>
      <c r="B253" t="s">
        <v>13</v>
      </c>
      <c r="C253" t="s">
        <v>1080</v>
      </c>
      <c r="D253" s="2">
        <v>44462</v>
      </c>
      <c r="E253" t="s">
        <v>953</v>
      </c>
      <c r="F253" t="s">
        <v>40</v>
      </c>
      <c r="G253" t="s">
        <v>48</v>
      </c>
      <c r="H253" t="s">
        <v>944</v>
      </c>
      <c r="I253" t="s">
        <v>1054</v>
      </c>
      <c r="J253" t="s">
        <v>484</v>
      </c>
      <c r="K253">
        <v>1045</v>
      </c>
      <c r="L253">
        <v>12</v>
      </c>
      <c r="M253">
        <v>81.599999999999994</v>
      </c>
      <c r="N253" t="s">
        <v>23</v>
      </c>
      <c r="O253">
        <v>0</v>
      </c>
      <c r="P253">
        <v>0</v>
      </c>
      <c r="Q253">
        <v>457</v>
      </c>
      <c r="R253">
        <v>6961</v>
      </c>
      <c r="S253">
        <v>12.54</v>
      </c>
      <c r="T253">
        <v>81.599999999999994</v>
      </c>
      <c r="U253">
        <v>12</v>
      </c>
      <c r="V253">
        <v>6800</v>
      </c>
      <c r="W253" t="s">
        <v>1153</v>
      </c>
      <c r="X253" t="s">
        <v>1087</v>
      </c>
      <c r="Y253">
        <v>39</v>
      </c>
      <c r="Z253">
        <v>6</v>
      </c>
      <c r="AA253">
        <v>522.5</v>
      </c>
    </row>
    <row r="254" spans="1:27" x14ac:dyDescent="0.3">
      <c r="A254" s="15">
        <v>44482.80097222222</v>
      </c>
      <c r="B254" t="s">
        <v>13</v>
      </c>
      <c r="C254" t="s">
        <v>1080</v>
      </c>
      <c r="D254" s="2">
        <v>44463</v>
      </c>
      <c r="E254" t="s">
        <v>953</v>
      </c>
      <c r="F254" t="s">
        <v>40</v>
      </c>
      <c r="G254" t="s">
        <v>48</v>
      </c>
      <c r="H254" t="s">
        <v>944</v>
      </c>
      <c r="I254" t="s">
        <v>1054</v>
      </c>
      <c r="J254" t="s">
        <v>484</v>
      </c>
      <c r="K254">
        <v>1290</v>
      </c>
      <c r="L254">
        <v>12</v>
      </c>
      <c r="M254">
        <v>99.8</v>
      </c>
      <c r="N254" t="s">
        <v>23</v>
      </c>
      <c r="O254">
        <v>0</v>
      </c>
      <c r="P254">
        <v>0</v>
      </c>
      <c r="Q254">
        <v>457</v>
      </c>
      <c r="R254">
        <v>6963</v>
      </c>
      <c r="S254">
        <v>15.48</v>
      </c>
      <c r="T254">
        <v>99.8</v>
      </c>
      <c r="U254">
        <v>12</v>
      </c>
      <c r="V254">
        <v>8316.6666666666661</v>
      </c>
      <c r="W254" t="s">
        <v>1153</v>
      </c>
      <c r="X254" t="s">
        <v>1087</v>
      </c>
      <c r="Y254">
        <v>39</v>
      </c>
      <c r="Z254">
        <v>6</v>
      </c>
      <c r="AA254">
        <v>645</v>
      </c>
    </row>
    <row r="255" spans="1:27" x14ac:dyDescent="0.3">
      <c r="A255" s="15">
        <v>44477.581053240741</v>
      </c>
      <c r="B255" t="s">
        <v>13</v>
      </c>
      <c r="C255" t="s">
        <v>1028</v>
      </c>
      <c r="D255" s="2">
        <v>44447</v>
      </c>
      <c r="E255" t="s">
        <v>953</v>
      </c>
      <c r="F255" t="s">
        <v>41</v>
      </c>
      <c r="G255" t="s">
        <v>943</v>
      </c>
      <c r="H255" t="s">
        <v>48</v>
      </c>
      <c r="I255" t="s">
        <v>1127</v>
      </c>
      <c r="J255" t="s">
        <v>1124</v>
      </c>
      <c r="K255">
        <v>388</v>
      </c>
      <c r="L255">
        <v>5</v>
      </c>
      <c r="M255">
        <v>34.14</v>
      </c>
      <c r="N255" t="s">
        <v>23</v>
      </c>
      <c r="O255">
        <v>0</v>
      </c>
      <c r="P255">
        <v>4</v>
      </c>
      <c r="Q255">
        <v>455</v>
      </c>
      <c r="R255">
        <v>6741</v>
      </c>
      <c r="S255">
        <v>8.5359999999999996</v>
      </c>
      <c r="T255">
        <v>34.14</v>
      </c>
      <c r="U255">
        <v>22</v>
      </c>
      <c r="V255">
        <v>1551.8181818181818</v>
      </c>
      <c r="W255" t="s">
        <v>1153</v>
      </c>
      <c r="X255" t="s">
        <v>1087</v>
      </c>
      <c r="Y255">
        <v>37</v>
      </c>
      <c r="Z255">
        <v>4</v>
      </c>
      <c r="AA255">
        <v>129.33333333333334</v>
      </c>
    </row>
    <row r="256" spans="1:27" x14ac:dyDescent="0.3">
      <c r="A256" s="15">
        <v>44477.580497685187</v>
      </c>
      <c r="B256" t="s">
        <v>13</v>
      </c>
      <c r="C256" t="s">
        <v>1028</v>
      </c>
      <c r="D256" s="2">
        <v>44447</v>
      </c>
      <c r="E256" t="s">
        <v>953</v>
      </c>
      <c r="F256" t="s">
        <v>41</v>
      </c>
      <c r="G256" t="s">
        <v>943</v>
      </c>
      <c r="H256" t="s">
        <v>48</v>
      </c>
      <c r="I256" t="s">
        <v>1127</v>
      </c>
      <c r="J256" t="s">
        <v>1122</v>
      </c>
      <c r="K256">
        <v>80</v>
      </c>
      <c r="L256">
        <v>1</v>
      </c>
      <c r="M256">
        <v>7.04</v>
      </c>
      <c r="N256" t="s">
        <v>23</v>
      </c>
      <c r="O256">
        <v>0</v>
      </c>
      <c r="P256">
        <v>1</v>
      </c>
      <c r="Q256">
        <v>455</v>
      </c>
      <c r="R256">
        <v>6741</v>
      </c>
      <c r="S256">
        <v>1.76</v>
      </c>
      <c r="T256">
        <v>7.04</v>
      </c>
      <c r="U256">
        <v>22</v>
      </c>
      <c r="V256">
        <v>320</v>
      </c>
      <c r="W256" t="s">
        <v>1153</v>
      </c>
      <c r="X256" t="s">
        <v>1087</v>
      </c>
      <c r="Y256">
        <v>37</v>
      </c>
      <c r="Z256">
        <v>4</v>
      </c>
      <c r="AA256">
        <v>26.666666666666668</v>
      </c>
    </row>
    <row r="257" spans="1:27" x14ac:dyDescent="0.3">
      <c r="A257" s="15">
        <v>44477.597349537034</v>
      </c>
      <c r="B257" t="s">
        <v>13</v>
      </c>
      <c r="C257" t="s">
        <v>1028</v>
      </c>
      <c r="D257" s="2">
        <v>44457</v>
      </c>
      <c r="E257" t="s">
        <v>953</v>
      </c>
      <c r="F257" t="s">
        <v>41</v>
      </c>
      <c r="G257" t="s">
        <v>950</v>
      </c>
      <c r="H257" t="s">
        <v>951</v>
      </c>
      <c r="I257" t="s">
        <v>1103</v>
      </c>
      <c r="J257" t="s">
        <v>1102</v>
      </c>
      <c r="K257">
        <v>559</v>
      </c>
      <c r="L257">
        <v>7</v>
      </c>
      <c r="M257">
        <v>15.65</v>
      </c>
      <c r="N257" t="s">
        <v>23</v>
      </c>
      <c r="O257">
        <v>0</v>
      </c>
      <c r="P257">
        <v>2</v>
      </c>
      <c r="Q257">
        <v>463</v>
      </c>
      <c r="R257">
        <v>6751</v>
      </c>
      <c r="S257">
        <v>15.651999999999999</v>
      </c>
      <c r="T257">
        <v>15.65</v>
      </c>
      <c r="U257">
        <v>28</v>
      </c>
      <c r="V257">
        <v>558.92857142857144</v>
      </c>
      <c r="W257" t="s">
        <v>1153</v>
      </c>
      <c r="X257" t="s">
        <v>1087</v>
      </c>
      <c r="Y257">
        <v>38</v>
      </c>
      <c r="Z257">
        <v>1</v>
      </c>
      <c r="AA257">
        <v>46.583333333333336</v>
      </c>
    </row>
    <row r="258" spans="1:27" x14ac:dyDescent="0.3">
      <c r="A258" s="15">
        <v>44477.596863425926</v>
      </c>
      <c r="B258" t="s">
        <v>13</v>
      </c>
      <c r="C258" t="s">
        <v>1028</v>
      </c>
      <c r="D258" s="2">
        <v>44457</v>
      </c>
      <c r="E258" t="s">
        <v>953</v>
      </c>
      <c r="F258" t="s">
        <v>41</v>
      </c>
      <c r="G258" t="s">
        <v>950</v>
      </c>
      <c r="H258" t="s">
        <v>951</v>
      </c>
      <c r="I258" t="s">
        <v>1103</v>
      </c>
      <c r="J258" t="s">
        <v>1101</v>
      </c>
      <c r="K258">
        <v>1000</v>
      </c>
      <c r="L258">
        <v>7</v>
      </c>
      <c r="M258">
        <v>28.3</v>
      </c>
      <c r="N258" t="s">
        <v>23</v>
      </c>
      <c r="O258">
        <v>0</v>
      </c>
      <c r="P258">
        <v>3</v>
      </c>
      <c r="Q258">
        <v>463</v>
      </c>
      <c r="R258">
        <v>6751</v>
      </c>
      <c r="S258">
        <v>28</v>
      </c>
      <c r="T258">
        <v>28.3</v>
      </c>
      <c r="U258">
        <v>28</v>
      </c>
      <c r="V258">
        <v>1010.7142857142857</v>
      </c>
      <c r="W258" t="s">
        <v>1153</v>
      </c>
      <c r="X258" t="s">
        <v>1087</v>
      </c>
      <c r="Y258">
        <v>38</v>
      </c>
      <c r="Z258">
        <v>1</v>
      </c>
      <c r="AA258">
        <v>83.333333333333329</v>
      </c>
    </row>
    <row r="259" spans="1:27" x14ac:dyDescent="0.3">
      <c r="A259" s="15">
        <v>44477.599942129629</v>
      </c>
      <c r="B259" t="s">
        <v>13</v>
      </c>
      <c r="C259" t="s">
        <v>1028</v>
      </c>
      <c r="D259" s="2">
        <v>44459</v>
      </c>
      <c r="E259" t="s">
        <v>1081</v>
      </c>
      <c r="F259" t="s">
        <v>41</v>
      </c>
      <c r="G259" t="s">
        <v>950</v>
      </c>
      <c r="H259" t="s">
        <v>951</v>
      </c>
      <c r="I259" t="s">
        <v>1103</v>
      </c>
      <c r="J259" t="s">
        <v>1102</v>
      </c>
      <c r="K259">
        <v>1945</v>
      </c>
      <c r="L259">
        <v>12</v>
      </c>
      <c r="M259">
        <v>54.46</v>
      </c>
      <c r="N259" t="s">
        <v>23</v>
      </c>
      <c r="O259">
        <v>0</v>
      </c>
      <c r="P259">
        <v>8</v>
      </c>
      <c r="Q259">
        <v>463</v>
      </c>
      <c r="R259">
        <v>6753</v>
      </c>
      <c r="S259">
        <v>54.46</v>
      </c>
      <c r="T259">
        <v>54.46</v>
      </c>
      <c r="U259">
        <v>28</v>
      </c>
      <c r="V259">
        <v>1945</v>
      </c>
      <c r="W259" t="s">
        <v>1153</v>
      </c>
      <c r="X259" t="s">
        <v>1087</v>
      </c>
      <c r="Y259">
        <v>39</v>
      </c>
      <c r="Z259">
        <v>1</v>
      </c>
      <c r="AA259">
        <v>162.08333333333334</v>
      </c>
    </row>
    <row r="260" spans="1:27" x14ac:dyDescent="0.3">
      <c r="A260" s="15">
        <v>44477.60491898148</v>
      </c>
      <c r="B260" t="s">
        <v>13</v>
      </c>
      <c r="C260" t="s">
        <v>1028</v>
      </c>
      <c r="D260" s="2">
        <v>44460</v>
      </c>
      <c r="E260" t="s">
        <v>1133</v>
      </c>
      <c r="F260" t="s">
        <v>41</v>
      </c>
      <c r="G260" t="s">
        <v>950</v>
      </c>
      <c r="H260" t="s">
        <v>951</v>
      </c>
      <c r="I260" t="s">
        <v>1103</v>
      </c>
      <c r="J260" t="s">
        <v>1099</v>
      </c>
      <c r="K260">
        <v>1820</v>
      </c>
      <c r="L260">
        <v>12</v>
      </c>
      <c r="M260">
        <v>50.96</v>
      </c>
      <c r="N260" t="s">
        <v>23</v>
      </c>
      <c r="O260">
        <v>0</v>
      </c>
      <c r="P260">
        <v>3</v>
      </c>
      <c r="Q260">
        <v>463</v>
      </c>
      <c r="R260">
        <v>6755</v>
      </c>
      <c r="S260">
        <v>50.96</v>
      </c>
      <c r="T260">
        <v>50.96</v>
      </c>
      <c r="U260">
        <v>28</v>
      </c>
      <c r="V260">
        <v>1820</v>
      </c>
      <c r="W260" t="s">
        <v>1153</v>
      </c>
      <c r="X260" t="s">
        <v>1087</v>
      </c>
      <c r="Y260">
        <v>39</v>
      </c>
      <c r="Z260">
        <v>1</v>
      </c>
      <c r="AA260">
        <v>151.66666666666666</v>
      </c>
    </row>
    <row r="261" spans="1:27" x14ac:dyDescent="0.3">
      <c r="A261" s="15">
        <v>44477.601458333331</v>
      </c>
      <c r="B261" t="s">
        <v>13</v>
      </c>
      <c r="C261" t="s">
        <v>1028</v>
      </c>
      <c r="D261" s="2">
        <v>44460</v>
      </c>
      <c r="E261" t="s">
        <v>1133</v>
      </c>
      <c r="F261" t="s">
        <v>41</v>
      </c>
      <c r="G261" t="s">
        <v>950</v>
      </c>
      <c r="H261" t="s">
        <v>951</v>
      </c>
      <c r="I261" t="s">
        <v>1103</v>
      </c>
      <c r="J261" t="s">
        <v>1102</v>
      </c>
      <c r="K261">
        <v>160</v>
      </c>
      <c r="L261">
        <v>3</v>
      </c>
      <c r="M261">
        <v>4.4800000000000004</v>
      </c>
      <c r="N261" t="s">
        <v>23</v>
      </c>
      <c r="O261">
        <v>0</v>
      </c>
      <c r="P261">
        <v>1</v>
      </c>
      <c r="Q261">
        <v>463</v>
      </c>
      <c r="R261">
        <v>6754</v>
      </c>
      <c r="S261">
        <v>4.4800000000000004</v>
      </c>
      <c r="T261">
        <v>4.4800000000000004</v>
      </c>
      <c r="U261">
        <v>28</v>
      </c>
      <c r="V261">
        <v>160</v>
      </c>
      <c r="W261" t="s">
        <v>1153</v>
      </c>
      <c r="X261" t="s">
        <v>1087</v>
      </c>
      <c r="Y261">
        <v>39</v>
      </c>
      <c r="Z261">
        <v>1</v>
      </c>
      <c r="AA261">
        <v>13.333333333333334</v>
      </c>
    </row>
    <row r="262" spans="1:27" x14ac:dyDescent="0.3">
      <c r="A262" s="15">
        <v>44477.606805555559</v>
      </c>
      <c r="B262" t="s">
        <v>13</v>
      </c>
      <c r="C262" t="s">
        <v>1028</v>
      </c>
      <c r="D262" s="2">
        <v>44461</v>
      </c>
      <c r="E262" t="s">
        <v>1081</v>
      </c>
      <c r="F262" t="s">
        <v>41</v>
      </c>
      <c r="G262" t="s">
        <v>950</v>
      </c>
      <c r="H262" t="s">
        <v>951</v>
      </c>
      <c r="I262" t="s">
        <v>1103</v>
      </c>
      <c r="J262" t="s">
        <v>1100</v>
      </c>
      <c r="K262">
        <v>1920</v>
      </c>
      <c r="L262">
        <v>12</v>
      </c>
      <c r="M262">
        <v>53.76</v>
      </c>
      <c r="N262" t="s">
        <v>23</v>
      </c>
      <c r="O262">
        <v>0</v>
      </c>
      <c r="P262">
        <v>8</v>
      </c>
      <c r="Q262">
        <v>463</v>
      </c>
      <c r="R262">
        <v>6758</v>
      </c>
      <c r="S262">
        <v>53.76</v>
      </c>
      <c r="T262">
        <v>53.76</v>
      </c>
      <c r="U262">
        <v>28</v>
      </c>
      <c r="V262">
        <v>1920</v>
      </c>
      <c r="W262" t="s">
        <v>1153</v>
      </c>
      <c r="X262" t="s">
        <v>1087</v>
      </c>
      <c r="Y262">
        <v>39</v>
      </c>
      <c r="Z262">
        <v>1</v>
      </c>
      <c r="AA262">
        <v>160</v>
      </c>
    </row>
    <row r="263" spans="1:27" x14ac:dyDescent="0.3">
      <c r="A263" s="15">
        <v>44482.657025462962</v>
      </c>
      <c r="B263" t="s">
        <v>13</v>
      </c>
      <c r="C263" t="s">
        <v>1028</v>
      </c>
      <c r="D263" s="2">
        <v>44469</v>
      </c>
      <c r="E263" t="s">
        <v>1081</v>
      </c>
      <c r="F263" t="s">
        <v>41</v>
      </c>
      <c r="G263" t="s">
        <v>950</v>
      </c>
      <c r="H263" t="s">
        <v>951</v>
      </c>
      <c r="I263" t="s">
        <v>1103</v>
      </c>
      <c r="J263" t="s">
        <v>1102</v>
      </c>
      <c r="K263">
        <v>902</v>
      </c>
      <c r="L263">
        <v>6</v>
      </c>
      <c r="M263">
        <v>25.26</v>
      </c>
      <c r="N263" t="s">
        <v>23</v>
      </c>
      <c r="O263">
        <v>0</v>
      </c>
      <c r="P263">
        <v>4</v>
      </c>
      <c r="Q263">
        <v>463</v>
      </c>
      <c r="R263">
        <v>6766</v>
      </c>
      <c r="S263">
        <v>25.256</v>
      </c>
      <c r="T263">
        <v>25.26</v>
      </c>
      <c r="U263">
        <v>28</v>
      </c>
      <c r="V263">
        <v>902.14285714285711</v>
      </c>
      <c r="W263" t="s">
        <v>1153</v>
      </c>
      <c r="X263" t="s">
        <v>1087</v>
      </c>
      <c r="Y263">
        <v>40</v>
      </c>
      <c r="Z263">
        <v>1</v>
      </c>
      <c r="AA263">
        <v>75.166666666666671</v>
      </c>
    </row>
    <row r="264" spans="1:27" x14ac:dyDescent="0.3">
      <c r="A264" s="15">
        <v>44482.656597222223</v>
      </c>
      <c r="B264" t="s">
        <v>13</v>
      </c>
      <c r="C264" t="s">
        <v>1028</v>
      </c>
      <c r="D264" s="2">
        <v>44469</v>
      </c>
      <c r="E264" t="s">
        <v>1081</v>
      </c>
      <c r="F264" t="s">
        <v>41</v>
      </c>
      <c r="G264" t="s">
        <v>950</v>
      </c>
      <c r="H264" t="s">
        <v>951</v>
      </c>
      <c r="I264" t="s">
        <v>1103</v>
      </c>
      <c r="J264" t="s">
        <v>1099</v>
      </c>
      <c r="K264">
        <v>732</v>
      </c>
      <c r="L264">
        <v>5</v>
      </c>
      <c r="M264">
        <v>20.49</v>
      </c>
      <c r="N264" t="s">
        <v>23</v>
      </c>
      <c r="O264">
        <v>0</v>
      </c>
      <c r="P264">
        <v>3</v>
      </c>
      <c r="Q264">
        <v>463</v>
      </c>
      <c r="R264">
        <v>6766</v>
      </c>
      <c r="S264">
        <v>20.495999999999999</v>
      </c>
      <c r="T264">
        <v>20.49</v>
      </c>
      <c r="U264">
        <v>28</v>
      </c>
      <c r="V264">
        <v>731.78571428571433</v>
      </c>
      <c r="W264" t="s">
        <v>1153</v>
      </c>
      <c r="X264" t="s">
        <v>1087</v>
      </c>
      <c r="Y264">
        <v>40</v>
      </c>
      <c r="Z264">
        <v>1</v>
      </c>
      <c r="AA264">
        <v>61</v>
      </c>
    </row>
    <row r="265" spans="1:27" x14ac:dyDescent="0.3">
      <c r="A265" s="15">
        <v>44482.708611111113</v>
      </c>
      <c r="B265" t="s">
        <v>12</v>
      </c>
      <c r="C265" t="s">
        <v>1078</v>
      </c>
      <c r="D265" s="2">
        <v>44449</v>
      </c>
      <c r="E265" t="s">
        <v>953</v>
      </c>
      <c r="F265" t="s">
        <v>41</v>
      </c>
      <c r="G265" t="s">
        <v>942</v>
      </c>
      <c r="H265" t="s">
        <v>48</v>
      </c>
      <c r="I265" t="s">
        <v>1140</v>
      </c>
      <c r="J265" t="s">
        <v>1137</v>
      </c>
      <c r="K265">
        <v>540</v>
      </c>
      <c r="L265">
        <v>5</v>
      </c>
      <c r="M265">
        <v>26.7</v>
      </c>
      <c r="N265" t="s">
        <v>23</v>
      </c>
      <c r="O265">
        <v>0</v>
      </c>
      <c r="P265">
        <v>4</v>
      </c>
      <c r="R265">
        <v>7022</v>
      </c>
      <c r="S265">
        <v>27</v>
      </c>
      <c r="T265">
        <v>26.7</v>
      </c>
      <c r="U265">
        <v>50</v>
      </c>
      <c r="V265">
        <v>534</v>
      </c>
      <c r="W265" t="s">
        <v>1153</v>
      </c>
      <c r="X265" t="s">
        <v>1087</v>
      </c>
      <c r="Y265">
        <v>37</v>
      </c>
      <c r="Z265">
        <v>1</v>
      </c>
      <c r="AA265">
        <v>45</v>
      </c>
    </row>
    <row r="266" spans="1:27" x14ac:dyDescent="0.3">
      <c r="A266" s="15">
        <v>44482.708310185182</v>
      </c>
      <c r="B266" t="s">
        <v>12</v>
      </c>
      <c r="C266" t="s">
        <v>1078</v>
      </c>
      <c r="D266" s="2">
        <v>44449</v>
      </c>
      <c r="E266" t="s">
        <v>953</v>
      </c>
      <c r="F266" t="s">
        <v>41</v>
      </c>
      <c r="G266" t="s">
        <v>942</v>
      </c>
      <c r="H266" t="s">
        <v>48</v>
      </c>
      <c r="I266" t="s">
        <v>1140</v>
      </c>
      <c r="J266" t="s">
        <v>1138</v>
      </c>
      <c r="K266">
        <v>782</v>
      </c>
      <c r="L266">
        <v>5</v>
      </c>
      <c r="M266">
        <v>39.200000000000003</v>
      </c>
      <c r="N266" t="s">
        <v>23</v>
      </c>
      <c r="O266">
        <v>0</v>
      </c>
      <c r="P266">
        <v>6</v>
      </c>
      <c r="R266">
        <v>7022</v>
      </c>
      <c r="S266">
        <v>39.1</v>
      </c>
      <c r="T266">
        <v>39.200000000000003</v>
      </c>
      <c r="U266">
        <v>50</v>
      </c>
      <c r="V266">
        <v>784</v>
      </c>
      <c r="W266" t="s">
        <v>1153</v>
      </c>
      <c r="X266" t="s">
        <v>1087</v>
      </c>
      <c r="Y266">
        <v>37</v>
      </c>
      <c r="Z266">
        <v>1</v>
      </c>
      <c r="AA266">
        <v>65.166666666666671</v>
      </c>
    </row>
    <row r="267" spans="1:27" x14ac:dyDescent="0.3">
      <c r="A267" s="15">
        <v>44482.711064814815</v>
      </c>
      <c r="B267" t="s">
        <v>12</v>
      </c>
      <c r="C267" t="s">
        <v>1078</v>
      </c>
      <c r="D267" s="2">
        <v>44450</v>
      </c>
      <c r="E267" t="s">
        <v>1027</v>
      </c>
      <c r="F267" t="s">
        <v>41</v>
      </c>
      <c r="G267" t="s">
        <v>942</v>
      </c>
      <c r="H267" t="s">
        <v>48</v>
      </c>
      <c r="I267" t="s">
        <v>1140</v>
      </c>
      <c r="J267" t="s">
        <v>1135</v>
      </c>
      <c r="K267">
        <v>80</v>
      </c>
      <c r="L267">
        <v>2</v>
      </c>
      <c r="M267">
        <v>4</v>
      </c>
      <c r="N267" t="s">
        <v>23</v>
      </c>
      <c r="O267">
        <v>0</v>
      </c>
      <c r="P267">
        <v>1</v>
      </c>
      <c r="R267">
        <v>7024</v>
      </c>
      <c r="S267">
        <v>4</v>
      </c>
      <c r="T267">
        <v>4</v>
      </c>
      <c r="U267">
        <v>50</v>
      </c>
      <c r="V267">
        <v>80</v>
      </c>
      <c r="W267" t="s">
        <v>1153</v>
      </c>
      <c r="X267" t="s">
        <v>1087</v>
      </c>
      <c r="Y267">
        <v>37</v>
      </c>
      <c r="Z267">
        <v>1</v>
      </c>
      <c r="AA267">
        <v>6.666666666666667</v>
      </c>
    </row>
    <row r="268" spans="1:27" x14ac:dyDescent="0.3">
      <c r="A268" s="15">
        <v>44482.710682870369</v>
      </c>
      <c r="B268" t="s">
        <v>12</v>
      </c>
      <c r="C268" t="s">
        <v>1078</v>
      </c>
      <c r="D268" s="2">
        <v>44450</v>
      </c>
      <c r="E268" t="s">
        <v>1027</v>
      </c>
      <c r="F268" t="s">
        <v>41</v>
      </c>
      <c r="G268" t="s">
        <v>942</v>
      </c>
      <c r="H268" t="s">
        <v>48</v>
      </c>
      <c r="I268" t="s">
        <v>1140</v>
      </c>
      <c r="J268" t="s">
        <v>1136</v>
      </c>
      <c r="K268">
        <v>1200</v>
      </c>
      <c r="L268">
        <v>10</v>
      </c>
      <c r="M268">
        <v>54.4</v>
      </c>
      <c r="N268" t="s">
        <v>23</v>
      </c>
      <c r="O268">
        <v>0</v>
      </c>
      <c r="P268">
        <v>8</v>
      </c>
      <c r="R268">
        <v>7024</v>
      </c>
      <c r="S268">
        <v>60</v>
      </c>
      <c r="T268">
        <v>54.4</v>
      </c>
      <c r="U268">
        <v>50</v>
      </c>
      <c r="V268">
        <v>1088</v>
      </c>
      <c r="W268" t="s">
        <v>1153</v>
      </c>
      <c r="X268" t="s">
        <v>1087</v>
      </c>
      <c r="Y268">
        <v>37</v>
      </c>
      <c r="Z268">
        <v>1</v>
      </c>
      <c r="AA268">
        <v>100</v>
      </c>
    </row>
    <row r="269" spans="1:27" x14ac:dyDescent="0.3">
      <c r="A269" s="15">
        <v>44483.640162037038</v>
      </c>
      <c r="B269" t="s">
        <v>12</v>
      </c>
      <c r="C269" t="s">
        <v>1030</v>
      </c>
      <c r="D269" s="2">
        <v>44468</v>
      </c>
      <c r="E269" t="s">
        <v>1027</v>
      </c>
      <c r="F269" t="s">
        <v>41</v>
      </c>
      <c r="G269" t="s">
        <v>941</v>
      </c>
      <c r="H269" t="s">
        <v>48</v>
      </c>
      <c r="I269" t="s">
        <v>1152</v>
      </c>
      <c r="J269" t="s">
        <v>133</v>
      </c>
      <c r="K269">
        <v>1351</v>
      </c>
      <c r="L269">
        <v>12</v>
      </c>
      <c r="M269">
        <v>116.2</v>
      </c>
      <c r="N269" t="s">
        <v>23</v>
      </c>
      <c r="O269">
        <v>0</v>
      </c>
      <c r="P269">
        <v>15</v>
      </c>
      <c r="Q269">
        <v>470</v>
      </c>
      <c r="R269">
        <v>6591</v>
      </c>
      <c r="S269">
        <v>118.88800000000001</v>
      </c>
      <c r="T269">
        <v>116.2</v>
      </c>
      <c r="U269">
        <v>88</v>
      </c>
      <c r="V269">
        <v>1320.4545454545455</v>
      </c>
      <c r="W269" t="s">
        <v>1153</v>
      </c>
      <c r="X269" t="s">
        <v>1087</v>
      </c>
      <c r="Y269">
        <v>40</v>
      </c>
      <c r="Z269">
        <v>1</v>
      </c>
      <c r="AA269">
        <v>112.58333333333333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2"/>
  <dimension ref="A1:AA269"/>
  <sheetViews>
    <sheetView topLeftCell="A245" workbookViewId="0">
      <selection activeCell="H16" sqref="H16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44483.69054398148</v>
      </c>
      <c r="B2" t="s">
        <v>13</v>
      </c>
      <c r="C2" t="s">
        <v>1060</v>
      </c>
      <c r="D2" s="2">
        <v>44440</v>
      </c>
      <c r="E2" t="s">
        <v>1105</v>
      </c>
      <c r="F2" t="s">
        <v>41</v>
      </c>
      <c r="G2" t="s">
        <v>940</v>
      </c>
      <c r="H2" t="s">
        <v>48</v>
      </c>
      <c r="I2" t="s">
        <v>966</v>
      </c>
      <c r="J2" t="s">
        <v>481</v>
      </c>
      <c r="K2">
        <v>365</v>
      </c>
      <c r="L2">
        <v>3</v>
      </c>
      <c r="M2">
        <v>42.4</v>
      </c>
      <c r="N2" t="s">
        <v>21</v>
      </c>
      <c r="O2">
        <v>0</v>
      </c>
      <c r="P2">
        <v>4</v>
      </c>
      <c r="Q2">
        <v>448</v>
      </c>
      <c r="R2">
        <v>6634</v>
      </c>
      <c r="S2">
        <v>21.17</v>
      </c>
      <c r="T2">
        <v>42.4</v>
      </c>
      <c r="U2">
        <v>58</v>
      </c>
      <c r="V2">
        <v>731.0344827586207</v>
      </c>
      <c r="W2" t="s">
        <v>1153</v>
      </c>
      <c r="X2" t="s">
        <v>1087</v>
      </c>
      <c r="Y2">
        <v>36</v>
      </c>
      <c r="Z2">
        <v>2</v>
      </c>
      <c r="AA2">
        <v>60.833333333333336</v>
      </c>
    </row>
    <row r="3" spans="1:27" x14ac:dyDescent="0.3">
      <c r="A3" s="15">
        <v>44483.698888888888</v>
      </c>
      <c r="B3" t="s">
        <v>13</v>
      </c>
      <c r="C3" t="s">
        <v>1060</v>
      </c>
      <c r="D3" s="2">
        <v>44441</v>
      </c>
      <c r="E3" t="s">
        <v>1105</v>
      </c>
      <c r="F3" t="s">
        <v>41</v>
      </c>
      <c r="G3" t="s">
        <v>940</v>
      </c>
      <c r="H3" t="s">
        <v>48</v>
      </c>
      <c r="I3" t="s">
        <v>966</v>
      </c>
      <c r="J3" t="s">
        <v>485</v>
      </c>
      <c r="K3">
        <v>503</v>
      </c>
      <c r="L3">
        <v>5</v>
      </c>
      <c r="M3">
        <v>57.1</v>
      </c>
      <c r="N3" t="s">
        <v>21</v>
      </c>
      <c r="O3">
        <v>0</v>
      </c>
      <c r="P3">
        <v>6</v>
      </c>
      <c r="Q3">
        <v>448</v>
      </c>
      <c r="R3">
        <v>6635</v>
      </c>
      <c r="S3">
        <v>44.767000000000003</v>
      </c>
      <c r="T3">
        <v>57.1</v>
      </c>
      <c r="U3">
        <v>89</v>
      </c>
      <c r="V3">
        <v>641.57303370786519</v>
      </c>
      <c r="W3" t="s">
        <v>1153</v>
      </c>
      <c r="X3" t="s">
        <v>1087</v>
      </c>
      <c r="Y3">
        <v>36</v>
      </c>
      <c r="Z3">
        <v>1</v>
      </c>
      <c r="AA3">
        <v>41.916666666666664</v>
      </c>
    </row>
    <row r="4" spans="1:27" x14ac:dyDescent="0.3">
      <c r="A4" s="15">
        <v>44483.700150462966</v>
      </c>
      <c r="B4" t="s">
        <v>13</v>
      </c>
      <c r="C4" t="s">
        <v>1060</v>
      </c>
      <c r="D4" s="2">
        <v>44442</v>
      </c>
      <c r="E4" t="s">
        <v>1082</v>
      </c>
      <c r="F4" t="s">
        <v>41</v>
      </c>
      <c r="G4" t="s">
        <v>940</v>
      </c>
      <c r="H4" t="s">
        <v>48</v>
      </c>
      <c r="I4" t="s">
        <v>966</v>
      </c>
      <c r="J4" t="s">
        <v>479</v>
      </c>
      <c r="K4">
        <v>360</v>
      </c>
      <c r="L4">
        <v>4</v>
      </c>
      <c r="M4">
        <v>39.5</v>
      </c>
      <c r="N4" t="s">
        <v>21</v>
      </c>
      <c r="O4">
        <v>0</v>
      </c>
      <c r="P4">
        <v>3</v>
      </c>
      <c r="Q4">
        <v>448</v>
      </c>
      <c r="R4">
        <v>6636</v>
      </c>
      <c r="S4">
        <v>20.88</v>
      </c>
      <c r="T4">
        <v>39.5</v>
      </c>
      <c r="U4">
        <v>58</v>
      </c>
      <c r="V4">
        <v>681.0344827586207</v>
      </c>
      <c r="W4" t="s">
        <v>1153</v>
      </c>
      <c r="X4" t="s">
        <v>1087</v>
      </c>
      <c r="Y4">
        <v>36</v>
      </c>
      <c r="Z4">
        <v>2</v>
      </c>
      <c r="AA4">
        <v>60</v>
      </c>
    </row>
    <row r="5" spans="1:27" x14ac:dyDescent="0.3">
      <c r="A5" s="15">
        <v>44483.699780092589</v>
      </c>
      <c r="B5" t="s">
        <v>13</v>
      </c>
      <c r="C5" t="s">
        <v>1060</v>
      </c>
      <c r="D5" s="2">
        <v>44442</v>
      </c>
      <c r="E5" t="s">
        <v>1082</v>
      </c>
      <c r="F5" t="s">
        <v>41</v>
      </c>
      <c r="G5" t="s">
        <v>940</v>
      </c>
      <c r="H5" t="s">
        <v>48</v>
      </c>
      <c r="I5" t="s">
        <v>966</v>
      </c>
      <c r="J5" t="s">
        <v>478</v>
      </c>
      <c r="K5">
        <v>835</v>
      </c>
      <c r="L5">
        <v>7</v>
      </c>
      <c r="M5">
        <v>96</v>
      </c>
      <c r="N5" t="s">
        <v>21</v>
      </c>
      <c r="O5">
        <v>0</v>
      </c>
      <c r="P5">
        <v>6</v>
      </c>
      <c r="Q5">
        <v>448</v>
      </c>
      <c r="R5">
        <v>6636</v>
      </c>
      <c r="S5">
        <v>48.43</v>
      </c>
      <c r="T5">
        <v>96</v>
      </c>
      <c r="U5">
        <v>58</v>
      </c>
      <c r="V5">
        <v>1655.1724137931035</v>
      </c>
      <c r="W5" t="s">
        <v>1153</v>
      </c>
      <c r="X5" t="s">
        <v>1087</v>
      </c>
      <c r="Y5">
        <v>36</v>
      </c>
      <c r="Z5">
        <v>2</v>
      </c>
      <c r="AA5">
        <v>139.16666666666666</v>
      </c>
    </row>
    <row r="6" spans="1:27" x14ac:dyDescent="0.3">
      <c r="A6" s="15">
        <v>44483.700555555559</v>
      </c>
      <c r="B6" t="s">
        <v>13</v>
      </c>
      <c r="C6" t="s">
        <v>1060</v>
      </c>
      <c r="D6" s="2">
        <v>44443</v>
      </c>
      <c r="E6" t="s">
        <v>1114</v>
      </c>
      <c r="F6" t="s">
        <v>41</v>
      </c>
      <c r="G6" t="s">
        <v>940</v>
      </c>
      <c r="H6" t="s">
        <v>48</v>
      </c>
      <c r="I6" t="s">
        <v>966</v>
      </c>
      <c r="J6" t="s">
        <v>479</v>
      </c>
      <c r="K6">
        <v>626</v>
      </c>
      <c r="L6">
        <v>7</v>
      </c>
      <c r="M6">
        <v>68.8</v>
      </c>
      <c r="N6" t="s">
        <v>21</v>
      </c>
      <c r="O6">
        <v>0</v>
      </c>
      <c r="P6">
        <v>3</v>
      </c>
      <c r="Q6">
        <v>448</v>
      </c>
      <c r="R6">
        <v>6637</v>
      </c>
      <c r="S6">
        <v>36.308</v>
      </c>
      <c r="T6">
        <v>68.8</v>
      </c>
      <c r="U6">
        <v>58</v>
      </c>
      <c r="V6">
        <v>1186.2068965517242</v>
      </c>
      <c r="W6" t="s">
        <v>1153</v>
      </c>
      <c r="X6" t="s">
        <v>1087</v>
      </c>
      <c r="Y6">
        <v>36</v>
      </c>
      <c r="Z6">
        <v>2</v>
      </c>
      <c r="AA6">
        <v>104.33333333333333</v>
      </c>
    </row>
    <row r="7" spans="1:27" x14ac:dyDescent="0.3">
      <c r="A7" s="15">
        <v>44483.727407407408</v>
      </c>
      <c r="B7" t="s">
        <v>13</v>
      </c>
      <c r="C7" t="s">
        <v>1060</v>
      </c>
      <c r="D7" s="2">
        <v>44451</v>
      </c>
      <c r="E7" t="s">
        <v>1033</v>
      </c>
      <c r="F7" t="s">
        <v>41</v>
      </c>
      <c r="G7" t="s">
        <v>940</v>
      </c>
      <c r="H7" t="s">
        <v>48</v>
      </c>
      <c r="I7" t="s">
        <v>1023</v>
      </c>
      <c r="J7" t="s">
        <v>150</v>
      </c>
      <c r="K7">
        <v>706</v>
      </c>
      <c r="L7">
        <v>8</v>
      </c>
      <c r="M7">
        <v>121.08</v>
      </c>
      <c r="N7" t="s">
        <v>21</v>
      </c>
      <c r="O7">
        <v>0</v>
      </c>
      <c r="P7">
        <v>23</v>
      </c>
      <c r="Q7">
        <v>448</v>
      </c>
      <c r="R7">
        <v>6640</v>
      </c>
      <c r="S7">
        <v>60.716000000000001</v>
      </c>
      <c r="T7">
        <v>121.08</v>
      </c>
      <c r="U7">
        <v>86</v>
      </c>
      <c r="V7">
        <v>1407.9069767441861</v>
      </c>
      <c r="W7" t="s">
        <v>1153</v>
      </c>
      <c r="X7" t="s">
        <v>1087</v>
      </c>
      <c r="Y7">
        <v>37</v>
      </c>
      <c r="Z7">
        <v>2</v>
      </c>
      <c r="AA7">
        <v>117.66666666666667</v>
      </c>
    </row>
    <row r="8" spans="1:27" x14ac:dyDescent="0.3">
      <c r="A8" s="15">
        <v>44483.728993055556</v>
      </c>
      <c r="B8" t="s">
        <v>13</v>
      </c>
      <c r="C8" t="s">
        <v>1060</v>
      </c>
      <c r="D8" s="2">
        <v>44452</v>
      </c>
      <c r="E8" t="s">
        <v>1082</v>
      </c>
      <c r="F8" t="s">
        <v>41</v>
      </c>
      <c r="G8" t="s">
        <v>940</v>
      </c>
      <c r="H8" t="s">
        <v>48</v>
      </c>
      <c r="I8" t="s">
        <v>1023</v>
      </c>
      <c r="J8" t="s">
        <v>151</v>
      </c>
      <c r="K8">
        <v>65</v>
      </c>
      <c r="L8">
        <v>1</v>
      </c>
      <c r="M8">
        <v>11.8</v>
      </c>
      <c r="N8" t="s">
        <v>21</v>
      </c>
      <c r="O8">
        <v>0</v>
      </c>
      <c r="P8">
        <v>0</v>
      </c>
      <c r="Q8">
        <v>443</v>
      </c>
      <c r="R8">
        <v>6641</v>
      </c>
      <c r="S8">
        <v>5.59</v>
      </c>
      <c r="T8">
        <v>11.8</v>
      </c>
      <c r="U8">
        <v>86</v>
      </c>
      <c r="V8">
        <v>137.2093023255814</v>
      </c>
      <c r="W8" t="s">
        <v>1153</v>
      </c>
      <c r="X8" t="s">
        <v>1087</v>
      </c>
      <c r="Y8">
        <v>38</v>
      </c>
      <c r="Z8">
        <v>2</v>
      </c>
      <c r="AA8">
        <v>10.833333333333334</v>
      </c>
    </row>
    <row r="9" spans="1:27" x14ac:dyDescent="0.3">
      <c r="A9" s="15">
        <v>44483.728530092594</v>
      </c>
      <c r="B9" t="s">
        <v>13</v>
      </c>
      <c r="C9" t="s">
        <v>1060</v>
      </c>
      <c r="D9" s="2">
        <v>44452</v>
      </c>
      <c r="E9" t="s">
        <v>1082</v>
      </c>
      <c r="F9" t="s">
        <v>41</v>
      </c>
      <c r="G9" t="s">
        <v>940</v>
      </c>
      <c r="H9" t="s">
        <v>48</v>
      </c>
      <c r="I9" t="s">
        <v>1023</v>
      </c>
      <c r="J9" t="s">
        <v>151</v>
      </c>
      <c r="K9">
        <v>674</v>
      </c>
      <c r="L9">
        <v>8</v>
      </c>
      <c r="M9">
        <v>115.93</v>
      </c>
      <c r="N9" t="s">
        <v>21</v>
      </c>
      <c r="O9">
        <v>0</v>
      </c>
      <c r="P9">
        <v>18</v>
      </c>
      <c r="Q9">
        <v>443</v>
      </c>
      <c r="R9">
        <v>6641</v>
      </c>
      <c r="S9">
        <v>57.963999999999999</v>
      </c>
      <c r="T9">
        <v>115.93</v>
      </c>
      <c r="U9">
        <v>86</v>
      </c>
      <c r="V9">
        <v>1348.0232558139535</v>
      </c>
      <c r="W9" t="s">
        <v>1153</v>
      </c>
      <c r="X9" t="s">
        <v>1087</v>
      </c>
      <c r="Y9">
        <v>38</v>
      </c>
      <c r="Z9">
        <v>2</v>
      </c>
      <c r="AA9">
        <v>112.33333333333333</v>
      </c>
    </row>
    <row r="10" spans="1:27" x14ac:dyDescent="0.3">
      <c r="A10" s="15">
        <v>44483.737511574072</v>
      </c>
      <c r="B10" t="s">
        <v>13</v>
      </c>
      <c r="C10" t="s">
        <v>1060</v>
      </c>
      <c r="D10" s="2">
        <v>44453</v>
      </c>
      <c r="E10" t="s">
        <v>1082</v>
      </c>
      <c r="F10" t="s">
        <v>41</v>
      </c>
      <c r="G10" t="s">
        <v>940</v>
      </c>
      <c r="H10" t="s">
        <v>48</v>
      </c>
      <c r="I10" t="s">
        <v>1023</v>
      </c>
      <c r="J10" t="s">
        <v>149</v>
      </c>
      <c r="K10">
        <v>655</v>
      </c>
      <c r="L10">
        <v>8</v>
      </c>
      <c r="M10">
        <v>112.6</v>
      </c>
      <c r="N10" t="s">
        <v>21</v>
      </c>
      <c r="O10">
        <v>0</v>
      </c>
      <c r="P10">
        <v>21</v>
      </c>
      <c r="Q10">
        <v>443</v>
      </c>
      <c r="R10">
        <v>6643</v>
      </c>
      <c r="S10">
        <v>56.33</v>
      </c>
      <c r="T10">
        <v>112.6</v>
      </c>
      <c r="U10">
        <v>86</v>
      </c>
      <c r="V10">
        <v>1309.3023255813953</v>
      </c>
      <c r="W10" t="s">
        <v>1153</v>
      </c>
      <c r="X10" t="s">
        <v>1087</v>
      </c>
      <c r="Y10">
        <v>38</v>
      </c>
      <c r="Z10">
        <v>2</v>
      </c>
      <c r="AA10">
        <v>109.16666666666667</v>
      </c>
    </row>
    <row r="11" spans="1:27" x14ac:dyDescent="0.3">
      <c r="A11" s="15">
        <v>44483.738159722219</v>
      </c>
      <c r="B11" t="s">
        <v>13</v>
      </c>
      <c r="C11" t="s">
        <v>1060</v>
      </c>
      <c r="D11" s="2">
        <v>44454</v>
      </c>
      <c r="E11" t="s">
        <v>1114</v>
      </c>
      <c r="F11" t="s">
        <v>41</v>
      </c>
      <c r="G11" t="s">
        <v>940</v>
      </c>
      <c r="H11" t="s">
        <v>48</v>
      </c>
      <c r="I11" t="s">
        <v>1023</v>
      </c>
      <c r="J11" t="s">
        <v>150</v>
      </c>
      <c r="K11">
        <v>246</v>
      </c>
      <c r="L11">
        <v>4</v>
      </c>
      <c r="M11">
        <v>44.38</v>
      </c>
      <c r="N11" t="s">
        <v>21</v>
      </c>
      <c r="O11">
        <v>0</v>
      </c>
      <c r="P11">
        <v>8</v>
      </c>
      <c r="Q11">
        <v>443</v>
      </c>
      <c r="R11">
        <v>6644</v>
      </c>
      <c r="S11">
        <v>21.155999999999999</v>
      </c>
      <c r="T11">
        <v>44.38</v>
      </c>
      <c r="U11">
        <v>86</v>
      </c>
      <c r="V11">
        <v>516.04651162790697</v>
      </c>
      <c r="W11" t="s">
        <v>1153</v>
      </c>
      <c r="X11" t="s">
        <v>1087</v>
      </c>
      <c r="Y11">
        <v>38</v>
      </c>
      <c r="Z11">
        <v>2</v>
      </c>
      <c r="AA11">
        <v>41</v>
      </c>
    </row>
    <row r="12" spans="1:27" x14ac:dyDescent="0.3">
      <c r="A12" s="15">
        <v>44483.739224537036</v>
      </c>
      <c r="B12" t="s">
        <v>13</v>
      </c>
      <c r="C12" t="s">
        <v>1060</v>
      </c>
      <c r="D12" s="2">
        <v>44456</v>
      </c>
      <c r="E12" t="s">
        <v>1082</v>
      </c>
      <c r="F12" t="s">
        <v>41</v>
      </c>
      <c r="G12" t="s">
        <v>940</v>
      </c>
      <c r="H12" t="s">
        <v>48</v>
      </c>
      <c r="I12" t="s">
        <v>1023</v>
      </c>
      <c r="J12" t="s">
        <v>148</v>
      </c>
      <c r="K12">
        <v>49</v>
      </c>
      <c r="L12">
        <v>1</v>
      </c>
      <c r="M12">
        <v>8.43</v>
      </c>
      <c r="N12" t="s">
        <v>21</v>
      </c>
      <c r="O12">
        <v>0</v>
      </c>
      <c r="P12">
        <v>2</v>
      </c>
      <c r="Q12">
        <v>443</v>
      </c>
      <c r="R12">
        <v>6645</v>
      </c>
      <c r="S12">
        <v>4.2140000000000004</v>
      </c>
      <c r="T12">
        <v>8.43</v>
      </c>
      <c r="U12">
        <v>86</v>
      </c>
      <c r="V12">
        <v>98.023255813953483</v>
      </c>
      <c r="W12" t="s">
        <v>1153</v>
      </c>
      <c r="X12" t="s">
        <v>1087</v>
      </c>
      <c r="Y12">
        <v>38</v>
      </c>
      <c r="Z12">
        <v>2</v>
      </c>
      <c r="AA12">
        <v>8.1666666666666661</v>
      </c>
    </row>
    <row r="13" spans="1:27" x14ac:dyDescent="0.3">
      <c r="A13" s="15">
        <v>44483.738969907405</v>
      </c>
      <c r="B13" t="s">
        <v>13</v>
      </c>
      <c r="C13" t="s">
        <v>1060</v>
      </c>
      <c r="D13" s="2">
        <v>44456</v>
      </c>
      <c r="E13" t="s">
        <v>1082</v>
      </c>
      <c r="F13" t="s">
        <v>41</v>
      </c>
      <c r="G13" t="s">
        <v>940</v>
      </c>
      <c r="H13" t="s">
        <v>48</v>
      </c>
      <c r="I13" t="s">
        <v>1023</v>
      </c>
      <c r="J13" t="s">
        <v>150</v>
      </c>
      <c r="K13">
        <v>642</v>
      </c>
      <c r="L13">
        <v>7</v>
      </c>
      <c r="M13">
        <v>110.42</v>
      </c>
      <c r="N13" t="s">
        <v>21</v>
      </c>
      <c r="O13">
        <v>0</v>
      </c>
      <c r="P13">
        <v>19</v>
      </c>
      <c r="Q13">
        <v>443</v>
      </c>
      <c r="R13">
        <v>6645</v>
      </c>
      <c r="S13">
        <v>55.212000000000003</v>
      </c>
      <c r="T13">
        <v>110.42</v>
      </c>
      <c r="U13">
        <v>86</v>
      </c>
      <c r="V13">
        <v>1283.953488372093</v>
      </c>
      <c r="W13" t="s">
        <v>1153</v>
      </c>
      <c r="X13" t="s">
        <v>1087</v>
      </c>
      <c r="Y13">
        <v>38</v>
      </c>
      <c r="Z13">
        <v>2</v>
      </c>
      <c r="AA13">
        <v>107</v>
      </c>
    </row>
    <row r="14" spans="1:27" x14ac:dyDescent="0.3">
      <c r="A14" s="15">
        <v>44483.741261574076</v>
      </c>
      <c r="B14" t="s">
        <v>13</v>
      </c>
      <c r="C14" t="s">
        <v>1060</v>
      </c>
      <c r="D14" s="2">
        <v>44457</v>
      </c>
      <c r="E14" t="s">
        <v>1105</v>
      </c>
      <c r="F14" t="s">
        <v>41</v>
      </c>
      <c r="G14" t="s">
        <v>940</v>
      </c>
      <c r="H14" t="s">
        <v>48</v>
      </c>
      <c r="I14" t="s">
        <v>1023</v>
      </c>
      <c r="J14" t="s">
        <v>148</v>
      </c>
      <c r="K14">
        <v>590</v>
      </c>
      <c r="L14">
        <v>8</v>
      </c>
      <c r="M14">
        <v>101.48</v>
      </c>
      <c r="N14" t="s">
        <v>21</v>
      </c>
      <c r="O14">
        <v>0</v>
      </c>
      <c r="P14">
        <v>18</v>
      </c>
      <c r="Q14">
        <v>443</v>
      </c>
      <c r="R14">
        <v>6646</v>
      </c>
      <c r="S14">
        <v>50.74</v>
      </c>
      <c r="T14">
        <v>101.48</v>
      </c>
      <c r="U14">
        <v>86</v>
      </c>
      <c r="V14">
        <v>1180</v>
      </c>
      <c r="W14" t="s">
        <v>1153</v>
      </c>
      <c r="X14" t="s">
        <v>1087</v>
      </c>
      <c r="Y14">
        <v>38</v>
      </c>
      <c r="Z14">
        <v>2</v>
      </c>
      <c r="AA14">
        <v>98.333333333333329</v>
      </c>
    </row>
    <row r="15" spans="1:27" x14ac:dyDescent="0.3">
      <c r="A15" s="15">
        <v>44483.740740740737</v>
      </c>
      <c r="B15" t="s">
        <v>13</v>
      </c>
      <c r="C15" t="s">
        <v>1060</v>
      </c>
      <c r="D15" s="2">
        <v>44457</v>
      </c>
      <c r="E15" t="s">
        <v>1105</v>
      </c>
      <c r="F15" t="s">
        <v>41</v>
      </c>
      <c r="G15" t="s">
        <v>940</v>
      </c>
      <c r="H15" t="s">
        <v>48</v>
      </c>
      <c r="I15" t="s">
        <v>1023</v>
      </c>
      <c r="J15" t="s">
        <v>151</v>
      </c>
      <c r="K15">
        <v>172</v>
      </c>
      <c r="L15">
        <v>2</v>
      </c>
      <c r="M15">
        <v>29.58</v>
      </c>
      <c r="N15" t="s">
        <v>21</v>
      </c>
      <c r="O15">
        <v>0</v>
      </c>
      <c r="P15">
        <v>5</v>
      </c>
      <c r="Q15">
        <v>443</v>
      </c>
      <c r="R15">
        <v>6646</v>
      </c>
      <c r="S15">
        <v>14.792</v>
      </c>
      <c r="T15">
        <v>29.58</v>
      </c>
      <c r="U15">
        <v>86</v>
      </c>
      <c r="V15">
        <v>343.95348837209303</v>
      </c>
      <c r="W15" t="s">
        <v>1153</v>
      </c>
      <c r="X15" t="s">
        <v>1087</v>
      </c>
      <c r="Y15">
        <v>38</v>
      </c>
      <c r="Z15">
        <v>2</v>
      </c>
      <c r="AA15">
        <v>28.666666666666668</v>
      </c>
    </row>
    <row r="16" spans="1:27" x14ac:dyDescent="0.3">
      <c r="A16" s="15">
        <v>44483.7425</v>
      </c>
      <c r="B16" t="s">
        <v>13</v>
      </c>
      <c r="C16" t="s">
        <v>1060</v>
      </c>
      <c r="D16" s="2">
        <v>44459</v>
      </c>
      <c r="E16" t="s">
        <v>1082</v>
      </c>
      <c r="F16" t="s">
        <v>41</v>
      </c>
      <c r="G16" t="s">
        <v>940</v>
      </c>
      <c r="H16" t="s">
        <v>48</v>
      </c>
      <c r="I16" t="s">
        <v>1023</v>
      </c>
      <c r="J16" t="s">
        <v>149</v>
      </c>
      <c r="K16">
        <v>238</v>
      </c>
      <c r="L16">
        <v>3</v>
      </c>
      <c r="M16">
        <v>40.94</v>
      </c>
      <c r="N16" t="s">
        <v>21</v>
      </c>
      <c r="O16">
        <v>0</v>
      </c>
      <c r="P16">
        <v>1</v>
      </c>
      <c r="Q16">
        <v>443</v>
      </c>
      <c r="R16">
        <v>6647</v>
      </c>
      <c r="S16">
        <v>20.468</v>
      </c>
      <c r="T16">
        <v>40.94</v>
      </c>
      <c r="U16">
        <v>86</v>
      </c>
      <c r="V16">
        <v>476.04651162790697</v>
      </c>
      <c r="W16" t="s">
        <v>1153</v>
      </c>
      <c r="X16" t="s">
        <v>1087</v>
      </c>
      <c r="Y16">
        <v>39</v>
      </c>
      <c r="Z16">
        <v>2</v>
      </c>
      <c r="AA16">
        <v>39.666666666666664</v>
      </c>
    </row>
    <row r="17" spans="1:27" x14ac:dyDescent="0.3">
      <c r="A17" s="15">
        <v>44483.743773148148</v>
      </c>
      <c r="B17" t="s">
        <v>13</v>
      </c>
      <c r="C17" t="s">
        <v>1060</v>
      </c>
      <c r="D17" s="2">
        <v>44460</v>
      </c>
      <c r="E17" t="s">
        <v>1090</v>
      </c>
      <c r="F17" t="s">
        <v>41</v>
      </c>
      <c r="G17" t="s">
        <v>940</v>
      </c>
      <c r="H17" t="s">
        <v>48</v>
      </c>
      <c r="I17" t="s">
        <v>1009</v>
      </c>
      <c r="J17" t="s">
        <v>596</v>
      </c>
      <c r="K17">
        <v>760</v>
      </c>
      <c r="L17">
        <v>10</v>
      </c>
      <c r="M17">
        <v>36.5</v>
      </c>
      <c r="N17" t="s">
        <v>21</v>
      </c>
      <c r="O17">
        <v>0</v>
      </c>
      <c r="P17">
        <v>2</v>
      </c>
      <c r="Q17">
        <v>443</v>
      </c>
      <c r="R17">
        <v>6648</v>
      </c>
      <c r="S17">
        <v>9.3480000000000008</v>
      </c>
      <c r="T17">
        <v>36.5</v>
      </c>
      <c r="U17">
        <v>12.3</v>
      </c>
      <c r="V17">
        <v>2967.479674796748</v>
      </c>
      <c r="W17" t="s">
        <v>1153</v>
      </c>
      <c r="X17" t="s">
        <v>1087</v>
      </c>
      <c r="Y17">
        <v>39</v>
      </c>
      <c r="Z17">
        <v>3</v>
      </c>
      <c r="AA17">
        <v>190</v>
      </c>
    </row>
    <row r="18" spans="1:27" x14ac:dyDescent="0.3">
      <c r="A18" s="15">
        <v>44483.745034722226</v>
      </c>
      <c r="B18" t="s">
        <v>13</v>
      </c>
      <c r="C18" t="s">
        <v>1060</v>
      </c>
      <c r="D18" s="2">
        <v>44461</v>
      </c>
      <c r="E18" t="s">
        <v>1090</v>
      </c>
      <c r="F18" t="s">
        <v>41</v>
      </c>
      <c r="G18" t="s">
        <v>940</v>
      </c>
      <c r="H18" t="s">
        <v>48</v>
      </c>
      <c r="I18" t="s">
        <v>1009</v>
      </c>
      <c r="J18" t="s">
        <v>599</v>
      </c>
      <c r="K18">
        <v>170</v>
      </c>
      <c r="L18">
        <v>2</v>
      </c>
      <c r="M18">
        <v>8.1999999999999993</v>
      </c>
      <c r="N18" t="s">
        <v>21</v>
      </c>
      <c r="O18">
        <v>0</v>
      </c>
      <c r="P18">
        <v>1</v>
      </c>
      <c r="Q18">
        <v>443</v>
      </c>
      <c r="R18">
        <v>6649</v>
      </c>
      <c r="S18">
        <v>2.0910000000000002</v>
      </c>
      <c r="T18">
        <v>8.1999999999999993</v>
      </c>
      <c r="U18">
        <v>12.3</v>
      </c>
      <c r="V18">
        <v>666.66666666666663</v>
      </c>
      <c r="W18" t="s">
        <v>1153</v>
      </c>
      <c r="X18" t="s">
        <v>1087</v>
      </c>
      <c r="Y18">
        <v>39</v>
      </c>
      <c r="Z18">
        <v>3</v>
      </c>
      <c r="AA18">
        <v>42.5</v>
      </c>
    </row>
    <row r="19" spans="1:27" x14ac:dyDescent="0.3">
      <c r="A19" s="15">
        <v>44483.744328703702</v>
      </c>
      <c r="B19" t="s">
        <v>13</v>
      </c>
      <c r="C19" t="s">
        <v>1060</v>
      </c>
      <c r="D19" s="2">
        <v>44461</v>
      </c>
      <c r="E19" t="s">
        <v>1090</v>
      </c>
      <c r="F19" t="s">
        <v>41</v>
      </c>
      <c r="G19" t="s">
        <v>940</v>
      </c>
      <c r="H19" t="s">
        <v>48</v>
      </c>
      <c r="I19" t="s">
        <v>1009</v>
      </c>
      <c r="J19" t="s">
        <v>596</v>
      </c>
      <c r="K19">
        <v>393</v>
      </c>
      <c r="L19">
        <v>4</v>
      </c>
      <c r="M19">
        <v>19.600000000000001</v>
      </c>
      <c r="N19" t="s">
        <v>21</v>
      </c>
      <c r="O19">
        <v>0</v>
      </c>
      <c r="P19">
        <v>2</v>
      </c>
      <c r="Q19">
        <v>443</v>
      </c>
      <c r="R19">
        <v>6649</v>
      </c>
      <c r="S19">
        <v>4.8339000000000008</v>
      </c>
      <c r="T19">
        <v>19.600000000000001</v>
      </c>
      <c r="U19">
        <v>12.3</v>
      </c>
      <c r="V19">
        <v>1593.4959349593496</v>
      </c>
      <c r="W19" t="s">
        <v>1153</v>
      </c>
      <c r="X19" t="s">
        <v>1087</v>
      </c>
      <c r="Y19">
        <v>39</v>
      </c>
      <c r="Z19">
        <v>3</v>
      </c>
      <c r="AA19">
        <v>98.25</v>
      </c>
    </row>
    <row r="20" spans="1:27" x14ac:dyDescent="0.3">
      <c r="A20" s="15">
        <v>44483.751805555556</v>
      </c>
      <c r="B20" t="s">
        <v>13</v>
      </c>
      <c r="C20" t="s">
        <v>1060</v>
      </c>
      <c r="D20" s="2">
        <v>44462</v>
      </c>
      <c r="E20" t="s">
        <v>1082</v>
      </c>
      <c r="F20" t="s">
        <v>41</v>
      </c>
      <c r="G20" t="s">
        <v>940</v>
      </c>
      <c r="H20" t="s">
        <v>48</v>
      </c>
      <c r="I20" t="s">
        <v>1009</v>
      </c>
      <c r="J20" t="s">
        <v>598</v>
      </c>
      <c r="K20">
        <v>52</v>
      </c>
      <c r="L20">
        <v>1</v>
      </c>
      <c r="M20">
        <v>2.5</v>
      </c>
      <c r="N20" t="s">
        <v>21</v>
      </c>
      <c r="O20">
        <v>0</v>
      </c>
      <c r="P20">
        <v>1</v>
      </c>
      <c r="Q20">
        <v>443</v>
      </c>
      <c r="R20">
        <v>6650</v>
      </c>
      <c r="S20">
        <v>0.63960000000000006</v>
      </c>
      <c r="T20">
        <v>2.5</v>
      </c>
      <c r="U20">
        <v>12.3</v>
      </c>
      <c r="V20">
        <v>203.2520325203252</v>
      </c>
      <c r="W20" t="s">
        <v>1153</v>
      </c>
      <c r="X20" t="s">
        <v>1087</v>
      </c>
      <c r="Y20">
        <v>39</v>
      </c>
      <c r="Z20">
        <v>3</v>
      </c>
      <c r="AA20">
        <v>13</v>
      </c>
    </row>
    <row r="21" spans="1:27" x14ac:dyDescent="0.3">
      <c r="A21" s="15">
        <v>44483.751331018517</v>
      </c>
      <c r="B21" t="s">
        <v>13</v>
      </c>
      <c r="C21" t="s">
        <v>1060</v>
      </c>
      <c r="D21" s="2">
        <v>44462</v>
      </c>
      <c r="E21" t="s">
        <v>1082</v>
      </c>
      <c r="F21" t="s">
        <v>41</v>
      </c>
      <c r="G21" t="s">
        <v>940</v>
      </c>
      <c r="H21" t="s">
        <v>48</v>
      </c>
      <c r="I21" t="s">
        <v>1009</v>
      </c>
      <c r="J21" t="s">
        <v>599</v>
      </c>
      <c r="K21">
        <v>920</v>
      </c>
      <c r="L21">
        <v>10</v>
      </c>
      <c r="M21">
        <v>44.2</v>
      </c>
      <c r="N21" t="s">
        <v>21</v>
      </c>
      <c r="O21">
        <v>0</v>
      </c>
      <c r="P21">
        <v>3</v>
      </c>
      <c r="Q21">
        <v>443</v>
      </c>
      <c r="R21">
        <v>6650</v>
      </c>
      <c r="S21">
        <v>11.316000000000001</v>
      </c>
      <c r="T21">
        <v>44.2</v>
      </c>
      <c r="U21">
        <v>12.3</v>
      </c>
      <c r="V21">
        <v>3593.4959349593496</v>
      </c>
      <c r="W21" t="s">
        <v>1153</v>
      </c>
      <c r="X21" t="s">
        <v>1087</v>
      </c>
      <c r="Y21">
        <v>39</v>
      </c>
      <c r="Z21">
        <v>3</v>
      </c>
      <c r="AA21">
        <v>230</v>
      </c>
    </row>
    <row r="22" spans="1:27" x14ac:dyDescent="0.3">
      <c r="A22" s="15">
        <v>44484.685358796298</v>
      </c>
      <c r="B22" t="s">
        <v>13</v>
      </c>
      <c r="C22" t="s">
        <v>1060</v>
      </c>
      <c r="D22" s="2">
        <v>44463</v>
      </c>
      <c r="E22" t="s">
        <v>1090</v>
      </c>
      <c r="F22" t="s">
        <v>41</v>
      </c>
      <c r="G22" t="s">
        <v>940</v>
      </c>
      <c r="H22" t="s">
        <v>48</v>
      </c>
      <c r="I22" t="s">
        <v>1009</v>
      </c>
      <c r="J22" t="s">
        <v>600</v>
      </c>
      <c r="K22">
        <v>743</v>
      </c>
      <c r="L22">
        <v>6</v>
      </c>
      <c r="M22">
        <v>27.5</v>
      </c>
      <c r="N22" t="s">
        <v>21</v>
      </c>
      <c r="O22">
        <v>0</v>
      </c>
      <c r="P22">
        <v>2</v>
      </c>
      <c r="Q22">
        <v>443</v>
      </c>
      <c r="R22">
        <v>6651</v>
      </c>
      <c r="S22">
        <v>9.1388999999999996</v>
      </c>
      <c r="T22">
        <v>27.5</v>
      </c>
      <c r="U22">
        <v>12.3</v>
      </c>
      <c r="V22">
        <v>2235.772357723577</v>
      </c>
      <c r="W22" t="s">
        <v>1153</v>
      </c>
      <c r="X22" t="s">
        <v>1087</v>
      </c>
      <c r="Y22">
        <v>39</v>
      </c>
      <c r="Z22">
        <v>3</v>
      </c>
      <c r="AA22">
        <v>185.75</v>
      </c>
    </row>
    <row r="23" spans="1:27" x14ac:dyDescent="0.3">
      <c r="A23" s="15">
        <v>44484.684791666667</v>
      </c>
      <c r="B23" t="s">
        <v>13</v>
      </c>
      <c r="C23" t="s">
        <v>1060</v>
      </c>
      <c r="D23" s="2">
        <v>44463</v>
      </c>
      <c r="E23" t="s">
        <v>1090</v>
      </c>
      <c r="F23" t="s">
        <v>41</v>
      </c>
      <c r="G23" t="s">
        <v>940</v>
      </c>
      <c r="H23" t="s">
        <v>48</v>
      </c>
      <c r="I23" t="s">
        <v>1009</v>
      </c>
      <c r="J23" t="s">
        <v>598</v>
      </c>
      <c r="K23">
        <v>400</v>
      </c>
      <c r="L23">
        <v>5</v>
      </c>
      <c r="M23">
        <v>14.8</v>
      </c>
      <c r="N23" t="s">
        <v>21</v>
      </c>
      <c r="O23">
        <v>0</v>
      </c>
      <c r="P23">
        <v>2</v>
      </c>
      <c r="Q23">
        <v>443</v>
      </c>
      <c r="R23">
        <v>6651</v>
      </c>
      <c r="S23">
        <v>4.92</v>
      </c>
      <c r="T23">
        <v>14.8</v>
      </c>
      <c r="U23">
        <v>12.3</v>
      </c>
      <c r="V23">
        <v>1203.2520325203252</v>
      </c>
      <c r="W23" t="s">
        <v>1153</v>
      </c>
      <c r="X23" t="s">
        <v>1087</v>
      </c>
      <c r="Y23">
        <v>39</v>
      </c>
      <c r="Z23">
        <v>3</v>
      </c>
      <c r="AA23">
        <v>100</v>
      </c>
    </row>
    <row r="24" spans="1:27" x14ac:dyDescent="0.3">
      <c r="A24" s="15">
        <v>44484.686620370368</v>
      </c>
      <c r="B24" t="s">
        <v>13</v>
      </c>
      <c r="C24" t="s">
        <v>1060</v>
      </c>
      <c r="D24" s="2">
        <v>44464</v>
      </c>
      <c r="E24" t="s">
        <v>1090</v>
      </c>
      <c r="F24" t="s">
        <v>41</v>
      </c>
      <c r="G24" t="s">
        <v>940</v>
      </c>
      <c r="H24" t="s">
        <v>48</v>
      </c>
      <c r="I24" t="s">
        <v>1009</v>
      </c>
      <c r="J24" t="s">
        <v>600</v>
      </c>
      <c r="K24">
        <v>727</v>
      </c>
      <c r="L24">
        <v>8</v>
      </c>
      <c r="M24">
        <v>26.9</v>
      </c>
      <c r="N24" t="s">
        <v>21</v>
      </c>
      <c r="O24">
        <v>0</v>
      </c>
      <c r="P24">
        <v>2</v>
      </c>
      <c r="Q24">
        <v>443</v>
      </c>
      <c r="R24">
        <v>6652</v>
      </c>
      <c r="S24">
        <v>8.9420999999999999</v>
      </c>
      <c r="T24">
        <v>26.9</v>
      </c>
      <c r="U24">
        <v>12.3</v>
      </c>
      <c r="V24">
        <v>2186.9918699186992</v>
      </c>
      <c r="W24" t="s">
        <v>1153</v>
      </c>
      <c r="X24" t="s">
        <v>1087</v>
      </c>
      <c r="Y24">
        <v>39</v>
      </c>
      <c r="Z24">
        <v>3</v>
      </c>
      <c r="AA24">
        <v>181.75</v>
      </c>
    </row>
    <row r="25" spans="1:27" x14ac:dyDescent="0.3">
      <c r="A25" s="15">
        <v>44484.771909722222</v>
      </c>
      <c r="B25" t="s">
        <v>13</v>
      </c>
      <c r="C25" t="s">
        <v>952</v>
      </c>
      <c r="D25" s="2">
        <v>44443</v>
      </c>
      <c r="E25" t="s">
        <v>1082</v>
      </c>
      <c r="F25" t="s">
        <v>41</v>
      </c>
      <c r="G25" t="s">
        <v>943</v>
      </c>
      <c r="H25" t="s">
        <v>48</v>
      </c>
      <c r="I25" t="s">
        <v>960</v>
      </c>
      <c r="J25" t="s">
        <v>1154</v>
      </c>
      <c r="K25">
        <v>392</v>
      </c>
      <c r="L25">
        <v>5</v>
      </c>
      <c r="M25">
        <v>51.3</v>
      </c>
      <c r="N25" t="s">
        <v>21</v>
      </c>
      <c r="O25">
        <v>0</v>
      </c>
      <c r="P25">
        <v>0</v>
      </c>
      <c r="Q25">
        <v>456</v>
      </c>
      <c r="R25">
        <v>6845</v>
      </c>
      <c r="S25">
        <v>5.88</v>
      </c>
      <c r="T25">
        <v>51.3</v>
      </c>
      <c r="U25">
        <v>15</v>
      </c>
      <c r="V25">
        <v>3420</v>
      </c>
      <c r="W25" t="s">
        <v>1153</v>
      </c>
      <c r="X25" t="s">
        <v>1087</v>
      </c>
      <c r="Y25">
        <v>36</v>
      </c>
      <c r="Z25">
        <v>8</v>
      </c>
      <c r="AA25">
        <v>261.33333333333331</v>
      </c>
    </row>
    <row r="26" spans="1:27" x14ac:dyDescent="0.3">
      <c r="A26" s="15">
        <v>44484.773240740738</v>
      </c>
      <c r="B26" t="s">
        <v>13</v>
      </c>
      <c r="C26" t="s">
        <v>952</v>
      </c>
      <c r="D26" s="2">
        <v>44445</v>
      </c>
      <c r="E26" t="s">
        <v>1114</v>
      </c>
      <c r="F26" t="s">
        <v>41</v>
      </c>
      <c r="G26" t="s">
        <v>943</v>
      </c>
      <c r="H26" t="s">
        <v>48</v>
      </c>
      <c r="I26" t="s">
        <v>960</v>
      </c>
      <c r="J26" t="s">
        <v>432</v>
      </c>
      <c r="K26">
        <v>156</v>
      </c>
      <c r="L26">
        <v>2</v>
      </c>
      <c r="M26">
        <v>18.5</v>
      </c>
      <c r="N26" t="s">
        <v>21</v>
      </c>
      <c r="O26">
        <v>0</v>
      </c>
      <c r="P26">
        <v>0</v>
      </c>
      <c r="Q26">
        <v>456</v>
      </c>
      <c r="R26">
        <v>6846</v>
      </c>
      <c r="S26">
        <v>2.34</v>
      </c>
      <c r="T26">
        <v>18.5</v>
      </c>
      <c r="U26">
        <v>15</v>
      </c>
      <c r="V26">
        <v>1233.3333333333333</v>
      </c>
      <c r="W26" t="s">
        <v>1153</v>
      </c>
      <c r="X26" t="s">
        <v>1087</v>
      </c>
      <c r="Y26">
        <v>37</v>
      </c>
      <c r="Z26">
        <v>8</v>
      </c>
      <c r="AA26">
        <v>104</v>
      </c>
    </row>
    <row r="27" spans="1:27" x14ac:dyDescent="0.3">
      <c r="A27" s="15">
        <v>44484.772858796299</v>
      </c>
      <c r="B27" t="s">
        <v>13</v>
      </c>
      <c r="C27" t="s">
        <v>952</v>
      </c>
      <c r="D27" s="2">
        <v>44445</v>
      </c>
      <c r="E27" t="s">
        <v>1114</v>
      </c>
      <c r="F27" t="s">
        <v>41</v>
      </c>
      <c r="G27" t="s">
        <v>943</v>
      </c>
      <c r="H27" t="s">
        <v>48</v>
      </c>
      <c r="I27" t="s">
        <v>960</v>
      </c>
      <c r="J27" t="s">
        <v>434</v>
      </c>
      <c r="K27">
        <v>561</v>
      </c>
      <c r="L27">
        <v>7</v>
      </c>
      <c r="M27">
        <v>70.2</v>
      </c>
      <c r="N27" t="s">
        <v>21</v>
      </c>
      <c r="O27">
        <v>0</v>
      </c>
      <c r="P27">
        <v>0</v>
      </c>
      <c r="Q27">
        <v>456</v>
      </c>
      <c r="R27">
        <v>6846</v>
      </c>
      <c r="S27">
        <v>8.4149999999999991</v>
      </c>
      <c r="T27">
        <v>70.2</v>
      </c>
      <c r="U27">
        <v>15</v>
      </c>
      <c r="V27">
        <v>4680</v>
      </c>
      <c r="W27" t="s">
        <v>1153</v>
      </c>
      <c r="X27" t="s">
        <v>1087</v>
      </c>
      <c r="Y27">
        <v>37</v>
      </c>
      <c r="Z27">
        <v>8</v>
      </c>
      <c r="AA27">
        <v>374</v>
      </c>
    </row>
    <row r="28" spans="1:27" x14ac:dyDescent="0.3">
      <c r="A28" s="15">
        <v>44484.772418981483</v>
      </c>
      <c r="B28" t="s">
        <v>13</v>
      </c>
      <c r="C28" t="s">
        <v>952</v>
      </c>
      <c r="D28" s="2">
        <v>44445</v>
      </c>
      <c r="E28" t="s">
        <v>1114</v>
      </c>
      <c r="F28" t="s">
        <v>41</v>
      </c>
      <c r="G28" t="s">
        <v>943</v>
      </c>
      <c r="H28" t="s">
        <v>48</v>
      </c>
      <c r="I28" t="s">
        <v>960</v>
      </c>
      <c r="J28" t="s">
        <v>1154</v>
      </c>
      <c r="K28">
        <v>155</v>
      </c>
      <c r="L28">
        <v>3</v>
      </c>
      <c r="M28">
        <v>19.2</v>
      </c>
      <c r="N28" t="s">
        <v>21</v>
      </c>
      <c r="O28">
        <v>0</v>
      </c>
      <c r="P28">
        <v>0</v>
      </c>
      <c r="Q28">
        <v>456</v>
      </c>
      <c r="R28">
        <v>6846</v>
      </c>
      <c r="S28">
        <v>2.3250000000000002</v>
      </c>
      <c r="T28">
        <v>19.2</v>
      </c>
      <c r="U28">
        <v>15</v>
      </c>
      <c r="V28">
        <v>1280</v>
      </c>
      <c r="W28" t="s">
        <v>1153</v>
      </c>
      <c r="X28" t="s">
        <v>1087</v>
      </c>
      <c r="Y28">
        <v>37</v>
      </c>
      <c r="Z28">
        <v>8</v>
      </c>
      <c r="AA28">
        <v>103.33333333333333</v>
      </c>
    </row>
    <row r="29" spans="1:27" x14ac:dyDescent="0.3">
      <c r="A29" s="15">
        <v>44484.776006944441</v>
      </c>
      <c r="B29" t="s">
        <v>13</v>
      </c>
      <c r="C29" t="s">
        <v>952</v>
      </c>
      <c r="D29" s="2">
        <v>44446</v>
      </c>
      <c r="E29" t="s">
        <v>1114</v>
      </c>
      <c r="F29" t="s">
        <v>41</v>
      </c>
      <c r="G29" t="s">
        <v>943</v>
      </c>
      <c r="H29" t="s">
        <v>48</v>
      </c>
      <c r="I29" t="s">
        <v>960</v>
      </c>
      <c r="J29" t="s">
        <v>433</v>
      </c>
      <c r="K29">
        <v>794</v>
      </c>
      <c r="L29">
        <v>12</v>
      </c>
      <c r="M29">
        <v>100.6</v>
      </c>
      <c r="N29" t="s">
        <v>21</v>
      </c>
      <c r="O29">
        <v>0</v>
      </c>
      <c r="P29">
        <v>0</v>
      </c>
      <c r="Q29">
        <v>456</v>
      </c>
      <c r="R29">
        <v>6848</v>
      </c>
      <c r="S29">
        <v>11.91</v>
      </c>
      <c r="T29">
        <v>100.6</v>
      </c>
      <c r="U29">
        <v>15</v>
      </c>
      <c r="V29">
        <v>6706.666666666667</v>
      </c>
      <c r="W29" t="s">
        <v>1153</v>
      </c>
      <c r="X29" t="s">
        <v>1087</v>
      </c>
      <c r="Y29">
        <v>37</v>
      </c>
      <c r="Z29">
        <v>8</v>
      </c>
      <c r="AA29">
        <v>529.33333333333337</v>
      </c>
    </row>
    <row r="30" spans="1:27" x14ac:dyDescent="0.3">
      <c r="A30" s="15">
        <v>44484.77753472222</v>
      </c>
      <c r="B30" t="s">
        <v>13</v>
      </c>
      <c r="C30" t="s">
        <v>952</v>
      </c>
      <c r="D30" s="2">
        <v>44447</v>
      </c>
      <c r="E30" t="s">
        <v>1082</v>
      </c>
      <c r="F30" t="s">
        <v>41</v>
      </c>
      <c r="G30" t="s">
        <v>943</v>
      </c>
      <c r="H30" t="s">
        <v>48</v>
      </c>
      <c r="I30" t="s">
        <v>960</v>
      </c>
      <c r="J30" t="s">
        <v>435</v>
      </c>
      <c r="K30">
        <v>711</v>
      </c>
      <c r="L30">
        <v>8</v>
      </c>
      <c r="M30">
        <v>88.9</v>
      </c>
      <c r="N30" t="s">
        <v>21</v>
      </c>
      <c r="O30">
        <v>0</v>
      </c>
      <c r="P30">
        <v>0</v>
      </c>
      <c r="Q30">
        <v>456</v>
      </c>
      <c r="R30">
        <v>6850</v>
      </c>
      <c r="S30">
        <v>10.664999999999999</v>
      </c>
      <c r="T30">
        <v>88.9</v>
      </c>
      <c r="U30">
        <v>15</v>
      </c>
      <c r="V30">
        <v>5926.666666666667</v>
      </c>
      <c r="W30" t="s">
        <v>1153</v>
      </c>
      <c r="X30" t="s">
        <v>1087</v>
      </c>
      <c r="Y30">
        <v>37</v>
      </c>
      <c r="Z30">
        <v>8</v>
      </c>
      <c r="AA30">
        <v>474</v>
      </c>
    </row>
    <row r="31" spans="1:27" x14ac:dyDescent="0.3">
      <c r="A31" s="15">
        <v>44484.777175925927</v>
      </c>
      <c r="B31" t="s">
        <v>13</v>
      </c>
      <c r="C31" t="s">
        <v>952</v>
      </c>
      <c r="D31" s="2">
        <v>44447</v>
      </c>
      <c r="E31" t="s">
        <v>1082</v>
      </c>
      <c r="F31" t="s">
        <v>41</v>
      </c>
      <c r="G31" t="s">
        <v>943</v>
      </c>
      <c r="H31" t="s">
        <v>48</v>
      </c>
      <c r="I31" t="s">
        <v>960</v>
      </c>
      <c r="J31" t="s">
        <v>432</v>
      </c>
      <c r="K31">
        <v>320</v>
      </c>
      <c r="L31">
        <v>4</v>
      </c>
      <c r="M31">
        <v>40</v>
      </c>
      <c r="N31" t="s">
        <v>21</v>
      </c>
      <c r="O31">
        <v>0</v>
      </c>
      <c r="P31">
        <v>0</v>
      </c>
      <c r="Q31">
        <v>456</v>
      </c>
      <c r="R31">
        <v>6850</v>
      </c>
      <c r="S31">
        <v>4.8</v>
      </c>
      <c r="T31">
        <v>40</v>
      </c>
      <c r="U31">
        <v>15</v>
      </c>
      <c r="V31">
        <v>2666.6666666666665</v>
      </c>
      <c r="W31" t="s">
        <v>1153</v>
      </c>
      <c r="X31" t="s">
        <v>1087</v>
      </c>
      <c r="Y31">
        <v>37</v>
      </c>
      <c r="Z31">
        <v>8</v>
      </c>
      <c r="AA31">
        <v>213.33333333333334</v>
      </c>
    </row>
    <row r="32" spans="1:27" x14ac:dyDescent="0.3">
      <c r="A32" s="15">
        <v>44484.779166666667</v>
      </c>
      <c r="B32" t="s">
        <v>13</v>
      </c>
      <c r="C32" t="s">
        <v>952</v>
      </c>
      <c r="D32" s="2">
        <v>44448</v>
      </c>
      <c r="E32" t="s">
        <v>1105</v>
      </c>
      <c r="F32" t="s">
        <v>41</v>
      </c>
      <c r="G32" t="s">
        <v>943</v>
      </c>
      <c r="H32" t="s">
        <v>48</v>
      </c>
      <c r="I32" t="s">
        <v>960</v>
      </c>
      <c r="J32" t="s">
        <v>434</v>
      </c>
      <c r="K32">
        <v>659</v>
      </c>
      <c r="L32">
        <v>6</v>
      </c>
      <c r="M32">
        <v>82.4</v>
      </c>
      <c r="N32" t="s">
        <v>21</v>
      </c>
      <c r="O32">
        <v>0</v>
      </c>
      <c r="P32">
        <v>0</v>
      </c>
      <c r="Q32">
        <v>456</v>
      </c>
      <c r="R32">
        <v>6853</v>
      </c>
      <c r="S32">
        <v>9.8849999999999998</v>
      </c>
      <c r="T32">
        <v>82.4</v>
      </c>
      <c r="U32">
        <v>15</v>
      </c>
      <c r="V32">
        <v>5493.333333333333</v>
      </c>
      <c r="W32" t="s">
        <v>1153</v>
      </c>
      <c r="X32" t="s">
        <v>1087</v>
      </c>
      <c r="Y32">
        <v>37</v>
      </c>
      <c r="Z32">
        <v>8</v>
      </c>
      <c r="AA32">
        <v>439.33333333333331</v>
      </c>
    </row>
    <row r="33" spans="1:27" x14ac:dyDescent="0.3">
      <c r="A33" s="15">
        <v>44484.77888888889</v>
      </c>
      <c r="B33" t="s">
        <v>13</v>
      </c>
      <c r="C33" t="s">
        <v>952</v>
      </c>
      <c r="D33" s="2">
        <v>44448</v>
      </c>
      <c r="E33" t="s">
        <v>1105</v>
      </c>
      <c r="F33" t="s">
        <v>41</v>
      </c>
      <c r="G33" t="s">
        <v>943</v>
      </c>
      <c r="H33" t="s">
        <v>48</v>
      </c>
      <c r="I33" t="s">
        <v>960</v>
      </c>
      <c r="J33" t="s">
        <v>1154</v>
      </c>
      <c r="K33">
        <v>144</v>
      </c>
      <c r="L33">
        <v>2</v>
      </c>
      <c r="M33">
        <v>17.7</v>
      </c>
      <c r="N33" t="s">
        <v>21</v>
      </c>
      <c r="O33">
        <v>0</v>
      </c>
      <c r="P33">
        <v>0</v>
      </c>
      <c r="Q33">
        <v>456</v>
      </c>
      <c r="R33">
        <v>6853</v>
      </c>
      <c r="S33">
        <v>2.16</v>
      </c>
      <c r="T33">
        <v>17.7</v>
      </c>
      <c r="U33">
        <v>15</v>
      </c>
      <c r="V33">
        <v>1180</v>
      </c>
      <c r="W33" t="s">
        <v>1153</v>
      </c>
      <c r="X33" t="s">
        <v>1087</v>
      </c>
      <c r="Y33">
        <v>37</v>
      </c>
      <c r="Z33">
        <v>8</v>
      </c>
      <c r="AA33">
        <v>96</v>
      </c>
    </row>
    <row r="34" spans="1:27" x14ac:dyDescent="0.3">
      <c r="A34" s="15">
        <v>44484.781134259261</v>
      </c>
      <c r="B34" t="s">
        <v>13</v>
      </c>
      <c r="C34" t="s">
        <v>952</v>
      </c>
      <c r="D34" s="2">
        <v>44449</v>
      </c>
      <c r="E34" t="s">
        <v>1082</v>
      </c>
      <c r="F34" t="s">
        <v>41</v>
      </c>
      <c r="G34" t="s">
        <v>943</v>
      </c>
      <c r="H34" t="s">
        <v>48</v>
      </c>
      <c r="I34" t="s">
        <v>960</v>
      </c>
      <c r="J34" t="s">
        <v>432</v>
      </c>
      <c r="K34">
        <v>76</v>
      </c>
      <c r="L34">
        <v>3</v>
      </c>
      <c r="M34">
        <v>9.5</v>
      </c>
      <c r="N34" t="s">
        <v>21</v>
      </c>
      <c r="O34">
        <v>0</v>
      </c>
      <c r="P34">
        <v>0</v>
      </c>
      <c r="Q34">
        <v>456</v>
      </c>
      <c r="R34">
        <v>6854</v>
      </c>
      <c r="S34">
        <v>1.1399999999999999</v>
      </c>
      <c r="T34">
        <v>9.5</v>
      </c>
      <c r="U34">
        <v>15</v>
      </c>
      <c r="V34">
        <v>633.33333333333337</v>
      </c>
      <c r="W34" t="s">
        <v>1153</v>
      </c>
      <c r="X34" t="s">
        <v>1087</v>
      </c>
      <c r="Y34">
        <v>37</v>
      </c>
      <c r="Z34">
        <v>8</v>
      </c>
      <c r="AA34">
        <v>50.666666666666664</v>
      </c>
    </row>
    <row r="35" spans="1:27" x14ac:dyDescent="0.3">
      <c r="A35" s="15">
        <v>44484.780069444445</v>
      </c>
      <c r="B35" t="s">
        <v>13</v>
      </c>
      <c r="C35" t="s">
        <v>952</v>
      </c>
      <c r="D35" s="2">
        <v>44449</v>
      </c>
      <c r="E35" t="s">
        <v>1082</v>
      </c>
      <c r="F35" t="s">
        <v>41</v>
      </c>
      <c r="G35" t="s">
        <v>943</v>
      </c>
      <c r="H35" t="s">
        <v>48</v>
      </c>
      <c r="I35" t="s">
        <v>960</v>
      </c>
      <c r="J35" t="s">
        <v>435</v>
      </c>
      <c r="K35">
        <v>407</v>
      </c>
      <c r="L35">
        <v>4</v>
      </c>
      <c r="M35">
        <v>50.9</v>
      </c>
      <c r="N35" t="s">
        <v>21</v>
      </c>
      <c r="O35">
        <v>0</v>
      </c>
      <c r="P35">
        <v>0</v>
      </c>
      <c r="Q35">
        <v>456</v>
      </c>
      <c r="R35">
        <v>6854</v>
      </c>
      <c r="S35">
        <v>6.1050000000000004</v>
      </c>
      <c r="T35">
        <v>50.9</v>
      </c>
      <c r="U35">
        <v>15</v>
      </c>
      <c r="V35">
        <v>3393.3333333333335</v>
      </c>
      <c r="W35" t="s">
        <v>1153</v>
      </c>
      <c r="X35" t="s">
        <v>1087</v>
      </c>
      <c r="Y35">
        <v>37</v>
      </c>
      <c r="Z35">
        <v>8</v>
      </c>
      <c r="AA35">
        <v>271.33333333333331</v>
      </c>
    </row>
    <row r="36" spans="1:27" x14ac:dyDescent="0.3">
      <c r="A36" s="15">
        <v>44484.779768518521</v>
      </c>
      <c r="B36" t="s">
        <v>13</v>
      </c>
      <c r="C36" t="s">
        <v>952</v>
      </c>
      <c r="D36" s="2">
        <v>44449</v>
      </c>
      <c r="E36" t="s">
        <v>1082</v>
      </c>
      <c r="F36" t="s">
        <v>41</v>
      </c>
      <c r="G36" t="s">
        <v>943</v>
      </c>
      <c r="H36" t="s">
        <v>48</v>
      </c>
      <c r="I36" t="s">
        <v>960</v>
      </c>
      <c r="J36" t="s">
        <v>434</v>
      </c>
      <c r="K36">
        <v>215</v>
      </c>
      <c r="L36">
        <v>4</v>
      </c>
      <c r="M36">
        <v>25.7</v>
      </c>
      <c r="N36" t="s">
        <v>21</v>
      </c>
      <c r="O36">
        <v>0</v>
      </c>
      <c r="P36">
        <v>0</v>
      </c>
      <c r="Q36">
        <v>456</v>
      </c>
      <c r="R36">
        <v>6854</v>
      </c>
      <c r="S36">
        <v>3.2250000000000001</v>
      </c>
      <c r="T36">
        <v>25.7</v>
      </c>
      <c r="U36">
        <v>15</v>
      </c>
      <c r="V36">
        <v>1713.3333333333333</v>
      </c>
      <c r="W36" t="s">
        <v>1153</v>
      </c>
      <c r="X36" t="s">
        <v>1087</v>
      </c>
      <c r="Y36">
        <v>37</v>
      </c>
      <c r="Z36">
        <v>8</v>
      </c>
      <c r="AA36">
        <v>143.33333333333334</v>
      </c>
    </row>
    <row r="37" spans="1:27" x14ac:dyDescent="0.3">
      <c r="A37" s="15">
        <v>44484.783495370371</v>
      </c>
      <c r="B37" t="s">
        <v>13</v>
      </c>
      <c r="C37" t="s">
        <v>952</v>
      </c>
      <c r="D37" s="2">
        <v>44450</v>
      </c>
      <c r="E37" t="s">
        <v>1114</v>
      </c>
      <c r="F37" t="s">
        <v>41</v>
      </c>
      <c r="G37" t="s">
        <v>943</v>
      </c>
      <c r="H37" t="s">
        <v>48</v>
      </c>
      <c r="I37" t="s">
        <v>960</v>
      </c>
      <c r="J37" t="s">
        <v>434</v>
      </c>
      <c r="K37">
        <v>122</v>
      </c>
      <c r="L37">
        <v>2</v>
      </c>
      <c r="M37">
        <v>15.3</v>
      </c>
      <c r="N37" t="s">
        <v>21</v>
      </c>
      <c r="O37">
        <v>0</v>
      </c>
      <c r="P37">
        <v>0</v>
      </c>
      <c r="Q37">
        <v>456</v>
      </c>
      <c r="R37">
        <v>6855</v>
      </c>
      <c r="S37">
        <v>1.83</v>
      </c>
      <c r="T37">
        <v>15.3</v>
      </c>
      <c r="U37">
        <v>15</v>
      </c>
      <c r="V37">
        <v>1020</v>
      </c>
      <c r="W37" t="s">
        <v>1153</v>
      </c>
      <c r="X37" t="s">
        <v>1087</v>
      </c>
      <c r="Y37">
        <v>37</v>
      </c>
      <c r="Z37">
        <v>8</v>
      </c>
      <c r="AA37">
        <v>81.333333333333329</v>
      </c>
    </row>
    <row r="38" spans="1:27" x14ac:dyDescent="0.3">
      <c r="A38" s="15">
        <v>44484.782604166663</v>
      </c>
      <c r="B38" t="s">
        <v>13</v>
      </c>
      <c r="C38" t="s">
        <v>952</v>
      </c>
      <c r="D38" s="2">
        <v>44450</v>
      </c>
      <c r="E38" t="s">
        <v>1114</v>
      </c>
      <c r="F38" t="s">
        <v>41</v>
      </c>
      <c r="G38" t="s">
        <v>943</v>
      </c>
      <c r="H38" t="s">
        <v>48</v>
      </c>
      <c r="I38" t="s">
        <v>960</v>
      </c>
      <c r="J38" t="s">
        <v>433</v>
      </c>
      <c r="K38">
        <v>115</v>
      </c>
      <c r="L38">
        <v>2</v>
      </c>
      <c r="M38">
        <v>13.2</v>
      </c>
      <c r="N38" t="s">
        <v>21</v>
      </c>
      <c r="O38">
        <v>0</v>
      </c>
      <c r="P38">
        <v>0</v>
      </c>
      <c r="Q38">
        <v>456</v>
      </c>
      <c r="R38">
        <v>6855</v>
      </c>
      <c r="S38">
        <v>1.7250000000000001</v>
      </c>
      <c r="T38">
        <v>13.2</v>
      </c>
      <c r="U38">
        <v>15</v>
      </c>
      <c r="V38">
        <v>880</v>
      </c>
      <c r="W38" t="s">
        <v>1153</v>
      </c>
      <c r="X38" t="s">
        <v>1087</v>
      </c>
      <c r="Y38">
        <v>37</v>
      </c>
      <c r="Z38">
        <v>8</v>
      </c>
      <c r="AA38">
        <v>76.666666666666671</v>
      </c>
    </row>
    <row r="39" spans="1:27" x14ac:dyDescent="0.3">
      <c r="A39" s="15">
        <v>44484.782083333332</v>
      </c>
      <c r="B39" t="s">
        <v>13</v>
      </c>
      <c r="C39" t="s">
        <v>952</v>
      </c>
      <c r="D39" s="2">
        <v>44450</v>
      </c>
      <c r="E39" t="s">
        <v>1114</v>
      </c>
      <c r="F39" t="s">
        <v>41</v>
      </c>
      <c r="G39" t="s">
        <v>943</v>
      </c>
      <c r="H39" t="s">
        <v>48</v>
      </c>
      <c r="I39" t="s">
        <v>960</v>
      </c>
      <c r="J39" t="s">
        <v>1154</v>
      </c>
      <c r="K39">
        <v>178</v>
      </c>
      <c r="L39">
        <v>2</v>
      </c>
      <c r="M39">
        <v>22.2</v>
      </c>
      <c r="N39" t="s">
        <v>21</v>
      </c>
      <c r="O39">
        <v>0</v>
      </c>
      <c r="P39">
        <v>0</v>
      </c>
      <c r="Q39">
        <v>456</v>
      </c>
      <c r="R39">
        <v>6855</v>
      </c>
      <c r="S39">
        <v>2.67</v>
      </c>
      <c r="T39">
        <v>22.2</v>
      </c>
      <c r="U39">
        <v>15</v>
      </c>
      <c r="V39">
        <v>1480</v>
      </c>
      <c r="W39" t="s">
        <v>1153</v>
      </c>
      <c r="X39" t="s">
        <v>1087</v>
      </c>
      <c r="Y39">
        <v>37</v>
      </c>
      <c r="Z39">
        <v>8</v>
      </c>
      <c r="AA39">
        <v>118.66666666666667</v>
      </c>
    </row>
    <row r="40" spans="1:27" x14ac:dyDescent="0.3">
      <c r="A40" s="15">
        <v>44484.781747685185</v>
      </c>
      <c r="B40" t="s">
        <v>13</v>
      </c>
      <c r="C40" t="s">
        <v>952</v>
      </c>
      <c r="D40" s="2">
        <v>44450</v>
      </c>
      <c r="E40" t="s">
        <v>1114</v>
      </c>
      <c r="F40" t="s">
        <v>41</v>
      </c>
      <c r="G40" t="s">
        <v>943</v>
      </c>
      <c r="H40" t="s">
        <v>48</v>
      </c>
      <c r="I40" t="s">
        <v>960</v>
      </c>
      <c r="J40" t="s">
        <v>432</v>
      </c>
      <c r="K40">
        <v>147</v>
      </c>
      <c r="L40">
        <v>2</v>
      </c>
      <c r="M40">
        <v>18.399999999999999</v>
      </c>
      <c r="N40" t="s">
        <v>21</v>
      </c>
      <c r="O40">
        <v>0</v>
      </c>
      <c r="P40">
        <v>0</v>
      </c>
      <c r="Q40">
        <v>456</v>
      </c>
      <c r="R40">
        <v>6855</v>
      </c>
      <c r="S40">
        <v>2.2050000000000001</v>
      </c>
      <c r="T40">
        <v>18.399999999999999</v>
      </c>
      <c r="U40">
        <v>15</v>
      </c>
      <c r="V40">
        <v>1226.6666666666667</v>
      </c>
      <c r="W40" t="s">
        <v>1153</v>
      </c>
      <c r="X40" t="s">
        <v>1087</v>
      </c>
      <c r="Y40">
        <v>37</v>
      </c>
      <c r="Z40">
        <v>8</v>
      </c>
      <c r="AA40">
        <v>98</v>
      </c>
    </row>
    <row r="41" spans="1:27" x14ac:dyDescent="0.3">
      <c r="A41" s="15">
        <v>44484.785497685189</v>
      </c>
      <c r="B41" t="s">
        <v>13</v>
      </c>
      <c r="C41" t="s">
        <v>952</v>
      </c>
      <c r="D41" s="2">
        <v>44455</v>
      </c>
      <c r="E41" t="s">
        <v>1032</v>
      </c>
      <c r="F41" t="s">
        <v>41</v>
      </c>
      <c r="G41" t="s">
        <v>950</v>
      </c>
      <c r="H41" t="s">
        <v>943</v>
      </c>
      <c r="I41" t="s">
        <v>1161</v>
      </c>
      <c r="J41" t="s">
        <v>1155</v>
      </c>
      <c r="K41">
        <v>138</v>
      </c>
      <c r="L41">
        <v>2</v>
      </c>
      <c r="M41">
        <v>6.6</v>
      </c>
      <c r="N41" t="s">
        <v>21</v>
      </c>
      <c r="O41">
        <v>0</v>
      </c>
      <c r="P41">
        <v>0</v>
      </c>
      <c r="Q41">
        <v>464</v>
      </c>
      <c r="R41">
        <v>6856</v>
      </c>
      <c r="S41">
        <v>3.3119999999999998</v>
      </c>
      <c r="T41">
        <v>6.6</v>
      </c>
      <c r="U41">
        <v>24</v>
      </c>
      <c r="V41">
        <v>275</v>
      </c>
      <c r="W41" t="s">
        <v>1153</v>
      </c>
      <c r="X41" t="s">
        <v>1087</v>
      </c>
      <c r="Y41">
        <v>38</v>
      </c>
      <c r="Z41">
        <v>2</v>
      </c>
      <c r="AA41">
        <v>23</v>
      </c>
    </row>
    <row r="42" spans="1:27" x14ac:dyDescent="0.3">
      <c r="A42" s="15">
        <v>44484.78633101852</v>
      </c>
      <c r="B42" t="s">
        <v>13</v>
      </c>
      <c r="C42" t="s">
        <v>952</v>
      </c>
      <c r="D42" s="2">
        <v>44456</v>
      </c>
      <c r="E42" t="s">
        <v>1114</v>
      </c>
      <c r="F42" t="s">
        <v>41</v>
      </c>
      <c r="G42" t="s">
        <v>950</v>
      </c>
      <c r="H42" t="s">
        <v>943</v>
      </c>
      <c r="I42" t="s">
        <v>1161</v>
      </c>
      <c r="J42" t="s">
        <v>1157</v>
      </c>
      <c r="K42">
        <v>531</v>
      </c>
      <c r="L42">
        <v>5</v>
      </c>
      <c r="M42">
        <v>25.5</v>
      </c>
      <c r="N42" t="s">
        <v>21</v>
      </c>
      <c r="O42">
        <v>0</v>
      </c>
      <c r="P42">
        <v>0</v>
      </c>
      <c r="Q42">
        <v>464</v>
      </c>
      <c r="R42">
        <v>6857</v>
      </c>
      <c r="S42">
        <v>12.744</v>
      </c>
      <c r="T42">
        <v>25.5</v>
      </c>
      <c r="U42">
        <v>24</v>
      </c>
      <c r="V42">
        <v>1062.5</v>
      </c>
      <c r="W42" t="s">
        <v>1153</v>
      </c>
      <c r="X42" t="s">
        <v>1087</v>
      </c>
      <c r="Y42">
        <v>38</v>
      </c>
      <c r="Z42">
        <v>2</v>
      </c>
      <c r="AA42">
        <v>88.5</v>
      </c>
    </row>
    <row r="43" spans="1:27" x14ac:dyDescent="0.3">
      <c r="A43" s="15">
        <v>44484.786041666666</v>
      </c>
      <c r="B43" t="s">
        <v>13</v>
      </c>
      <c r="C43" t="s">
        <v>952</v>
      </c>
      <c r="D43" s="2">
        <v>44456</v>
      </c>
      <c r="E43" t="s">
        <v>1114</v>
      </c>
      <c r="F43" t="s">
        <v>41</v>
      </c>
      <c r="G43" t="s">
        <v>950</v>
      </c>
      <c r="H43" t="s">
        <v>943</v>
      </c>
      <c r="I43" t="s">
        <v>1161</v>
      </c>
      <c r="J43" t="s">
        <v>1155</v>
      </c>
      <c r="K43">
        <v>583</v>
      </c>
      <c r="L43">
        <v>5</v>
      </c>
      <c r="M43">
        <v>28</v>
      </c>
      <c r="N43" t="s">
        <v>21</v>
      </c>
      <c r="O43">
        <v>0</v>
      </c>
      <c r="P43">
        <v>0</v>
      </c>
      <c r="Q43">
        <v>464</v>
      </c>
      <c r="R43">
        <v>6856</v>
      </c>
      <c r="S43">
        <v>13.992000000000001</v>
      </c>
      <c r="T43">
        <v>28</v>
      </c>
      <c r="U43">
        <v>24</v>
      </c>
      <c r="V43">
        <v>1166.6666666666667</v>
      </c>
      <c r="W43" t="s">
        <v>1153</v>
      </c>
      <c r="X43" t="s">
        <v>1087</v>
      </c>
      <c r="Y43">
        <v>38</v>
      </c>
      <c r="Z43">
        <v>2</v>
      </c>
      <c r="AA43">
        <v>97.166666666666671</v>
      </c>
    </row>
    <row r="44" spans="1:27" x14ac:dyDescent="0.3">
      <c r="A44" s="15">
        <v>44484.78875</v>
      </c>
      <c r="B44" t="s">
        <v>13</v>
      </c>
      <c r="C44" t="s">
        <v>952</v>
      </c>
      <c r="D44" s="2">
        <v>44457</v>
      </c>
      <c r="E44" t="s">
        <v>1114</v>
      </c>
      <c r="F44" t="s">
        <v>41</v>
      </c>
      <c r="G44" t="s">
        <v>950</v>
      </c>
      <c r="H44" t="s">
        <v>943</v>
      </c>
      <c r="I44" t="s">
        <v>1161</v>
      </c>
      <c r="J44" t="s">
        <v>1156</v>
      </c>
      <c r="K44">
        <v>295</v>
      </c>
      <c r="L44">
        <v>5</v>
      </c>
      <c r="M44">
        <v>14.2</v>
      </c>
      <c r="N44" t="s">
        <v>21</v>
      </c>
      <c r="O44">
        <v>0</v>
      </c>
      <c r="P44">
        <v>0</v>
      </c>
      <c r="Q44">
        <v>464</v>
      </c>
      <c r="R44">
        <v>6859</v>
      </c>
      <c r="S44">
        <v>7.08</v>
      </c>
      <c r="T44">
        <v>14.2</v>
      </c>
      <c r="U44">
        <v>24</v>
      </c>
      <c r="V44">
        <v>591.66666666666663</v>
      </c>
      <c r="W44" t="s">
        <v>1153</v>
      </c>
      <c r="X44" t="s">
        <v>1087</v>
      </c>
      <c r="Y44">
        <v>38</v>
      </c>
      <c r="Z44">
        <v>2</v>
      </c>
      <c r="AA44">
        <v>49.166666666666664</v>
      </c>
    </row>
    <row r="45" spans="1:27" x14ac:dyDescent="0.3">
      <c r="A45" s="15">
        <v>44484.789409722223</v>
      </c>
      <c r="B45" t="s">
        <v>13</v>
      </c>
      <c r="C45" t="s">
        <v>952</v>
      </c>
      <c r="D45" s="2">
        <v>44459</v>
      </c>
      <c r="E45" t="s">
        <v>1092</v>
      </c>
      <c r="F45" t="s">
        <v>41</v>
      </c>
      <c r="G45" t="s">
        <v>950</v>
      </c>
      <c r="H45" t="s">
        <v>943</v>
      </c>
      <c r="I45" t="s">
        <v>1161</v>
      </c>
      <c r="J45" t="s">
        <v>1156</v>
      </c>
      <c r="K45">
        <v>1382</v>
      </c>
      <c r="L45">
        <v>12</v>
      </c>
      <c r="M45">
        <v>66.7</v>
      </c>
      <c r="N45" t="s">
        <v>21</v>
      </c>
      <c r="O45">
        <v>0</v>
      </c>
      <c r="P45">
        <v>0</v>
      </c>
      <c r="Q45">
        <v>464</v>
      </c>
      <c r="R45">
        <v>6860</v>
      </c>
      <c r="S45">
        <v>33.167999999999999</v>
      </c>
      <c r="T45">
        <v>66.7</v>
      </c>
      <c r="U45">
        <v>24</v>
      </c>
      <c r="V45">
        <v>2779.1666666666665</v>
      </c>
      <c r="W45" t="s">
        <v>1153</v>
      </c>
      <c r="X45" t="s">
        <v>1087</v>
      </c>
      <c r="Y45">
        <v>39</v>
      </c>
      <c r="Z45">
        <v>2</v>
      </c>
      <c r="AA45">
        <v>230.33333333333334</v>
      </c>
    </row>
    <row r="46" spans="1:27" x14ac:dyDescent="0.3">
      <c r="A46" s="15">
        <v>44484.790613425925</v>
      </c>
      <c r="B46" t="s">
        <v>13</v>
      </c>
      <c r="C46" t="s">
        <v>952</v>
      </c>
      <c r="D46" s="2">
        <v>44460</v>
      </c>
      <c r="E46" t="s">
        <v>1092</v>
      </c>
      <c r="F46" t="s">
        <v>41</v>
      </c>
      <c r="G46" t="s">
        <v>950</v>
      </c>
      <c r="H46" t="s">
        <v>943</v>
      </c>
      <c r="I46" t="s">
        <v>1161</v>
      </c>
      <c r="J46" t="s">
        <v>1159</v>
      </c>
      <c r="K46">
        <v>804</v>
      </c>
      <c r="L46">
        <v>7</v>
      </c>
      <c r="M46">
        <v>38.700000000000003</v>
      </c>
      <c r="N46" t="s">
        <v>21</v>
      </c>
      <c r="O46">
        <v>0</v>
      </c>
      <c r="P46">
        <v>0</v>
      </c>
      <c r="Q46">
        <v>464</v>
      </c>
      <c r="R46">
        <v>6862</v>
      </c>
      <c r="S46">
        <v>19.295999999999999</v>
      </c>
      <c r="T46">
        <v>38.700000000000003</v>
      </c>
      <c r="U46">
        <v>24</v>
      </c>
      <c r="V46">
        <v>1612.5</v>
      </c>
      <c r="W46" t="s">
        <v>1153</v>
      </c>
      <c r="X46" t="s">
        <v>1087</v>
      </c>
      <c r="Y46">
        <v>39</v>
      </c>
      <c r="Z46">
        <v>2</v>
      </c>
      <c r="AA46">
        <v>134</v>
      </c>
    </row>
    <row r="47" spans="1:27" x14ac:dyDescent="0.3">
      <c r="A47" s="15">
        <v>44484.790231481478</v>
      </c>
      <c r="B47" t="s">
        <v>13</v>
      </c>
      <c r="C47" t="s">
        <v>952</v>
      </c>
      <c r="D47" s="2">
        <v>44460</v>
      </c>
      <c r="E47" t="s">
        <v>1092</v>
      </c>
      <c r="F47" t="s">
        <v>41</v>
      </c>
      <c r="G47" t="s">
        <v>950</v>
      </c>
      <c r="H47" t="s">
        <v>943</v>
      </c>
      <c r="I47" t="s">
        <v>1161</v>
      </c>
      <c r="J47" t="s">
        <v>1160</v>
      </c>
      <c r="K47">
        <v>347</v>
      </c>
      <c r="L47">
        <v>3</v>
      </c>
      <c r="M47">
        <v>16.2</v>
      </c>
      <c r="N47" t="s">
        <v>21</v>
      </c>
      <c r="O47">
        <v>0</v>
      </c>
      <c r="P47">
        <v>0</v>
      </c>
      <c r="Q47">
        <v>464</v>
      </c>
      <c r="R47">
        <v>6862</v>
      </c>
      <c r="S47">
        <v>8.3279999999999994</v>
      </c>
      <c r="T47">
        <v>16.2</v>
      </c>
      <c r="U47">
        <v>24</v>
      </c>
      <c r="V47">
        <v>675</v>
      </c>
      <c r="W47" t="s">
        <v>1153</v>
      </c>
      <c r="X47" t="s">
        <v>1087</v>
      </c>
      <c r="Y47">
        <v>39</v>
      </c>
      <c r="Z47">
        <v>2</v>
      </c>
      <c r="AA47">
        <v>57.833333333333336</v>
      </c>
    </row>
    <row r="48" spans="1:27" x14ac:dyDescent="0.3">
      <c r="A48" s="15">
        <v>44484.792638888888</v>
      </c>
      <c r="B48" t="s">
        <v>13</v>
      </c>
      <c r="C48" t="s">
        <v>952</v>
      </c>
      <c r="D48" s="2">
        <v>44461</v>
      </c>
      <c r="E48" t="s">
        <v>1114</v>
      </c>
      <c r="F48" t="s">
        <v>41</v>
      </c>
      <c r="G48" t="s">
        <v>950</v>
      </c>
      <c r="H48" t="s">
        <v>943</v>
      </c>
      <c r="I48" t="s">
        <v>1161</v>
      </c>
      <c r="J48" t="s">
        <v>1157</v>
      </c>
      <c r="K48">
        <v>88</v>
      </c>
      <c r="L48">
        <v>1</v>
      </c>
      <c r="M48">
        <v>4.2</v>
      </c>
      <c r="N48" t="s">
        <v>21</v>
      </c>
      <c r="O48">
        <v>0</v>
      </c>
      <c r="P48">
        <v>0</v>
      </c>
      <c r="Q48">
        <v>464</v>
      </c>
      <c r="R48">
        <v>6865</v>
      </c>
      <c r="S48">
        <v>2.1120000000000001</v>
      </c>
      <c r="T48">
        <v>4.2</v>
      </c>
      <c r="U48">
        <v>24</v>
      </c>
      <c r="V48">
        <v>175</v>
      </c>
      <c r="W48" t="s">
        <v>1153</v>
      </c>
      <c r="X48" t="s">
        <v>1087</v>
      </c>
      <c r="Y48">
        <v>39</v>
      </c>
      <c r="Z48">
        <v>2</v>
      </c>
      <c r="AA48">
        <v>14.666666666666666</v>
      </c>
    </row>
    <row r="49" spans="1:27" x14ac:dyDescent="0.3">
      <c r="A49" s="15">
        <v>44484.792175925926</v>
      </c>
      <c r="B49" t="s">
        <v>13</v>
      </c>
      <c r="C49" t="s">
        <v>952</v>
      </c>
      <c r="D49" s="2">
        <v>44461</v>
      </c>
      <c r="E49" t="s">
        <v>1114</v>
      </c>
      <c r="F49" t="s">
        <v>41</v>
      </c>
      <c r="G49" t="s">
        <v>950</v>
      </c>
      <c r="H49" t="s">
        <v>943</v>
      </c>
      <c r="I49" t="s">
        <v>1161</v>
      </c>
      <c r="J49" t="s">
        <v>1157</v>
      </c>
      <c r="K49">
        <v>677</v>
      </c>
      <c r="L49">
        <v>7</v>
      </c>
      <c r="M49">
        <v>32.5</v>
      </c>
      <c r="N49" t="s">
        <v>21</v>
      </c>
      <c r="O49">
        <v>0</v>
      </c>
      <c r="P49">
        <v>0</v>
      </c>
      <c r="Q49">
        <v>464</v>
      </c>
      <c r="R49">
        <v>6864</v>
      </c>
      <c r="S49">
        <v>16.248000000000001</v>
      </c>
      <c r="T49">
        <v>32.5</v>
      </c>
      <c r="U49">
        <v>24</v>
      </c>
      <c r="V49">
        <v>1354.1666666666667</v>
      </c>
      <c r="W49" t="s">
        <v>1153</v>
      </c>
      <c r="X49" t="s">
        <v>1087</v>
      </c>
      <c r="Y49">
        <v>39</v>
      </c>
      <c r="Z49">
        <v>2</v>
      </c>
      <c r="AA49">
        <v>112.83333333333333</v>
      </c>
    </row>
    <row r="50" spans="1:27" x14ac:dyDescent="0.3">
      <c r="A50" s="15">
        <v>44484.791851851849</v>
      </c>
      <c r="B50" t="s">
        <v>13</v>
      </c>
      <c r="C50" t="s">
        <v>952</v>
      </c>
      <c r="D50" s="2">
        <v>44461</v>
      </c>
      <c r="E50" t="s">
        <v>1114</v>
      </c>
      <c r="F50" t="s">
        <v>41</v>
      </c>
      <c r="G50" t="s">
        <v>950</v>
      </c>
      <c r="H50" t="s">
        <v>943</v>
      </c>
      <c r="I50" t="s">
        <v>1161</v>
      </c>
      <c r="J50" t="s">
        <v>1155</v>
      </c>
      <c r="K50">
        <v>635</v>
      </c>
      <c r="L50">
        <v>4</v>
      </c>
      <c r="M50">
        <v>30.5</v>
      </c>
      <c r="N50" t="s">
        <v>21</v>
      </c>
      <c r="O50">
        <v>0</v>
      </c>
      <c r="P50">
        <v>0</v>
      </c>
      <c r="Q50">
        <v>464</v>
      </c>
      <c r="R50">
        <v>6864</v>
      </c>
      <c r="S50">
        <v>15.24</v>
      </c>
      <c r="T50">
        <v>30.5</v>
      </c>
      <c r="U50">
        <v>24</v>
      </c>
      <c r="V50">
        <v>1270.8333333333333</v>
      </c>
      <c r="W50" t="s">
        <v>1153</v>
      </c>
      <c r="X50" t="s">
        <v>1087</v>
      </c>
      <c r="Y50">
        <v>39</v>
      </c>
      <c r="Z50">
        <v>2</v>
      </c>
      <c r="AA50">
        <v>105.83333333333333</v>
      </c>
    </row>
    <row r="51" spans="1:27" x14ac:dyDescent="0.3">
      <c r="A51" s="15">
        <v>44484.794444444444</v>
      </c>
      <c r="B51" t="s">
        <v>13</v>
      </c>
      <c r="C51" t="s">
        <v>952</v>
      </c>
      <c r="D51" s="2">
        <v>44468</v>
      </c>
      <c r="E51" t="s">
        <v>1082</v>
      </c>
      <c r="F51" t="s">
        <v>41</v>
      </c>
      <c r="G51" t="s">
        <v>943</v>
      </c>
      <c r="H51" t="s">
        <v>48</v>
      </c>
      <c r="I51" t="s">
        <v>1037</v>
      </c>
      <c r="J51" t="s">
        <v>196</v>
      </c>
      <c r="K51">
        <v>1420</v>
      </c>
      <c r="L51">
        <v>12</v>
      </c>
      <c r="M51">
        <v>102.5</v>
      </c>
      <c r="N51" t="s">
        <v>21</v>
      </c>
      <c r="O51">
        <v>120</v>
      </c>
      <c r="P51">
        <v>13</v>
      </c>
      <c r="Q51">
        <v>474</v>
      </c>
      <c r="R51">
        <v>6870</v>
      </c>
      <c r="S51">
        <v>100.82</v>
      </c>
      <c r="T51">
        <v>102.5</v>
      </c>
      <c r="U51">
        <v>71</v>
      </c>
      <c r="V51">
        <v>1443.661971830986</v>
      </c>
      <c r="W51" t="s">
        <v>1153</v>
      </c>
      <c r="X51" t="s">
        <v>1087</v>
      </c>
      <c r="Y51">
        <v>40</v>
      </c>
      <c r="Z51">
        <v>1</v>
      </c>
      <c r="AA51">
        <v>118.33333333333333</v>
      </c>
    </row>
    <row r="52" spans="1:27" x14ac:dyDescent="0.3">
      <c r="A52" s="15">
        <v>44484.795300925929</v>
      </c>
      <c r="B52" t="s">
        <v>13</v>
      </c>
      <c r="C52" t="s">
        <v>952</v>
      </c>
      <c r="D52" s="2">
        <v>44469</v>
      </c>
      <c r="E52" t="s">
        <v>1082</v>
      </c>
      <c r="F52" t="s">
        <v>41</v>
      </c>
      <c r="G52" t="s">
        <v>943</v>
      </c>
      <c r="H52" t="s">
        <v>48</v>
      </c>
      <c r="I52" t="s">
        <v>1037</v>
      </c>
      <c r="J52" t="s">
        <v>196</v>
      </c>
      <c r="K52">
        <v>1570</v>
      </c>
      <c r="L52">
        <v>12</v>
      </c>
      <c r="M52">
        <v>108.8</v>
      </c>
      <c r="N52" t="s">
        <v>21</v>
      </c>
      <c r="O52">
        <v>120</v>
      </c>
      <c r="P52">
        <v>13</v>
      </c>
      <c r="Q52">
        <v>474</v>
      </c>
      <c r="R52">
        <v>6872</v>
      </c>
      <c r="S52">
        <v>111.47</v>
      </c>
      <c r="T52">
        <v>108.8</v>
      </c>
      <c r="U52">
        <v>71</v>
      </c>
      <c r="V52">
        <v>1532.394366197183</v>
      </c>
      <c r="W52" t="s">
        <v>1153</v>
      </c>
      <c r="X52" t="s">
        <v>1087</v>
      </c>
      <c r="Y52">
        <v>40</v>
      </c>
      <c r="Z52">
        <v>1</v>
      </c>
      <c r="AA52">
        <v>130.83333333333334</v>
      </c>
    </row>
    <row r="53" spans="1:27" x14ac:dyDescent="0.3">
      <c r="A53" s="15">
        <v>44452.710694444446</v>
      </c>
      <c r="B53" t="s">
        <v>13</v>
      </c>
      <c r="C53" t="s">
        <v>1128</v>
      </c>
      <c r="D53" s="2">
        <v>44440</v>
      </c>
      <c r="E53" t="s">
        <v>1082</v>
      </c>
      <c r="F53" t="s">
        <v>41</v>
      </c>
      <c r="G53" t="s">
        <v>940</v>
      </c>
      <c r="H53" t="s">
        <v>48</v>
      </c>
      <c r="I53" t="s">
        <v>1012</v>
      </c>
      <c r="J53" t="s">
        <v>512</v>
      </c>
      <c r="K53">
        <v>71</v>
      </c>
      <c r="L53">
        <v>1</v>
      </c>
      <c r="M53">
        <v>5.8</v>
      </c>
      <c r="N53" t="s">
        <v>21</v>
      </c>
      <c r="O53">
        <v>0</v>
      </c>
      <c r="P53">
        <v>1</v>
      </c>
      <c r="Q53">
        <v>450</v>
      </c>
      <c r="R53">
        <v>6479</v>
      </c>
      <c r="S53">
        <v>2.9820000000000002</v>
      </c>
      <c r="T53">
        <v>5.8</v>
      </c>
      <c r="U53">
        <v>42</v>
      </c>
      <c r="V53">
        <v>138.0952380952381</v>
      </c>
      <c r="W53" t="s">
        <v>1153</v>
      </c>
      <c r="X53" t="s">
        <v>1087</v>
      </c>
      <c r="Y53">
        <v>36</v>
      </c>
      <c r="Z53">
        <v>2</v>
      </c>
      <c r="AA53">
        <v>11.833333333333334</v>
      </c>
    </row>
    <row r="54" spans="1:27" x14ac:dyDescent="0.3">
      <c r="A54" s="15">
        <v>44452.710358796299</v>
      </c>
      <c r="B54" t="s">
        <v>13</v>
      </c>
      <c r="C54" t="s">
        <v>1128</v>
      </c>
      <c r="D54" s="2">
        <v>44440</v>
      </c>
      <c r="E54" t="s">
        <v>1082</v>
      </c>
      <c r="F54" t="s">
        <v>41</v>
      </c>
      <c r="G54" t="s">
        <v>940</v>
      </c>
      <c r="H54" t="s">
        <v>48</v>
      </c>
      <c r="I54" t="s">
        <v>1012</v>
      </c>
      <c r="J54" t="s">
        <v>513</v>
      </c>
      <c r="K54">
        <v>500</v>
      </c>
      <c r="L54">
        <v>5</v>
      </c>
      <c r="M54">
        <v>40.799999999999997</v>
      </c>
      <c r="N54" t="s">
        <v>21</v>
      </c>
      <c r="O54">
        <v>0</v>
      </c>
      <c r="P54">
        <v>3</v>
      </c>
      <c r="Q54">
        <v>450</v>
      </c>
      <c r="R54">
        <v>6479</v>
      </c>
      <c r="S54">
        <v>21</v>
      </c>
      <c r="T54">
        <v>40.799999999999997</v>
      </c>
      <c r="U54">
        <v>42</v>
      </c>
      <c r="V54">
        <v>971.42857142857144</v>
      </c>
      <c r="W54" t="s">
        <v>1153</v>
      </c>
      <c r="X54" t="s">
        <v>1087</v>
      </c>
      <c r="Y54">
        <v>36</v>
      </c>
      <c r="Z54">
        <v>2</v>
      </c>
      <c r="AA54">
        <v>83.333333333333329</v>
      </c>
    </row>
    <row r="55" spans="1:27" x14ac:dyDescent="0.3">
      <c r="A55" s="15">
        <v>44452.711655092593</v>
      </c>
      <c r="B55" t="s">
        <v>13</v>
      </c>
      <c r="C55" t="s">
        <v>1128</v>
      </c>
      <c r="D55" s="2">
        <v>44441</v>
      </c>
      <c r="E55" t="s">
        <v>1130</v>
      </c>
      <c r="F55" t="s">
        <v>41</v>
      </c>
      <c r="G55" t="s">
        <v>940</v>
      </c>
      <c r="H55" t="s">
        <v>48</v>
      </c>
      <c r="I55" t="s">
        <v>1012</v>
      </c>
      <c r="J55" t="s">
        <v>514</v>
      </c>
      <c r="K55">
        <v>585</v>
      </c>
      <c r="L55">
        <v>6</v>
      </c>
      <c r="M55">
        <v>47.4</v>
      </c>
      <c r="N55" t="s">
        <v>21</v>
      </c>
      <c r="O55">
        <v>0</v>
      </c>
      <c r="P55">
        <v>4</v>
      </c>
      <c r="Q55">
        <v>450</v>
      </c>
      <c r="R55">
        <v>6480</v>
      </c>
      <c r="S55">
        <v>24.57</v>
      </c>
      <c r="T55">
        <v>47.4</v>
      </c>
      <c r="U55">
        <v>42</v>
      </c>
      <c r="V55">
        <v>1128.5714285714287</v>
      </c>
      <c r="W55" t="s">
        <v>1153</v>
      </c>
      <c r="X55" t="s">
        <v>1087</v>
      </c>
      <c r="Y55">
        <v>36</v>
      </c>
      <c r="Z55">
        <v>2</v>
      </c>
      <c r="AA55">
        <v>97.5</v>
      </c>
    </row>
    <row r="56" spans="1:27" x14ac:dyDescent="0.3">
      <c r="A56" s="15">
        <v>44452.711273148147</v>
      </c>
      <c r="B56" t="s">
        <v>13</v>
      </c>
      <c r="C56" t="s">
        <v>1128</v>
      </c>
      <c r="D56" s="2">
        <v>44441</v>
      </c>
      <c r="E56" t="s">
        <v>1130</v>
      </c>
      <c r="F56" t="s">
        <v>41</v>
      </c>
      <c r="G56" t="s">
        <v>940</v>
      </c>
      <c r="H56" t="s">
        <v>48</v>
      </c>
      <c r="I56" t="s">
        <v>1012</v>
      </c>
      <c r="J56" t="s">
        <v>512</v>
      </c>
      <c r="K56">
        <v>495</v>
      </c>
      <c r="L56">
        <v>5</v>
      </c>
      <c r="M56">
        <v>40.1</v>
      </c>
      <c r="N56" t="s">
        <v>21</v>
      </c>
      <c r="O56">
        <v>0</v>
      </c>
      <c r="P56">
        <v>3</v>
      </c>
      <c r="Q56">
        <v>450</v>
      </c>
      <c r="R56">
        <v>6480</v>
      </c>
      <c r="S56">
        <v>20.79</v>
      </c>
      <c r="T56">
        <v>40.1</v>
      </c>
      <c r="U56">
        <v>42</v>
      </c>
      <c r="V56">
        <v>954.76190476190482</v>
      </c>
      <c r="W56" t="s">
        <v>1153</v>
      </c>
      <c r="X56" t="s">
        <v>1087</v>
      </c>
      <c r="Y56">
        <v>36</v>
      </c>
      <c r="Z56">
        <v>2</v>
      </c>
      <c r="AA56">
        <v>82.5</v>
      </c>
    </row>
    <row r="57" spans="1:27" x14ac:dyDescent="0.3">
      <c r="A57" s="15">
        <v>44452.712407407409</v>
      </c>
      <c r="B57" t="s">
        <v>13</v>
      </c>
      <c r="C57" t="s">
        <v>1128</v>
      </c>
      <c r="D57" s="2">
        <v>44442</v>
      </c>
      <c r="E57" t="s">
        <v>1130</v>
      </c>
      <c r="F57" t="s">
        <v>41</v>
      </c>
      <c r="G57" t="s">
        <v>940</v>
      </c>
      <c r="H57" t="s">
        <v>48</v>
      </c>
      <c r="I57" t="s">
        <v>1012</v>
      </c>
      <c r="J57" t="s">
        <v>511</v>
      </c>
      <c r="K57">
        <v>1035</v>
      </c>
      <c r="L57">
        <v>11</v>
      </c>
      <c r="M57">
        <v>83.9</v>
      </c>
      <c r="N57" t="s">
        <v>21</v>
      </c>
      <c r="O57">
        <v>0</v>
      </c>
      <c r="P57">
        <v>7</v>
      </c>
      <c r="Q57">
        <v>450</v>
      </c>
      <c r="R57">
        <v>6481</v>
      </c>
      <c r="S57">
        <v>43.47</v>
      </c>
      <c r="T57">
        <v>83.9</v>
      </c>
      <c r="U57">
        <v>42</v>
      </c>
      <c r="V57">
        <v>1997.6190476190477</v>
      </c>
      <c r="W57" t="s">
        <v>1153</v>
      </c>
      <c r="X57" t="s">
        <v>1087</v>
      </c>
      <c r="Y57">
        <v>36</v>
      </c>
      <c r="Z57">
        <v>2</v>
      </c>
      <c r="AA57">
        <v>172.5</v>
      </c>
    </row>
    <row r="58" spans="1:27" x14ac:dyDescent="0.3">
      <c r="A58" s="15">
        <v>44452.714421296296</v>
      </c>
      <c r="B58" t="s">
        <v>13</v>
      </c>
      <c r="C58" t="s">
        <v>1128</v>
      </c>
      <c r="D58" s="2">
        <v>44443</v>
      </c>
      <c r="E58" t="s">
        <v>1130</v>
      </c>
      <c r="F58" t="s">
        <v>41</v>
      </c>
      <c r="G58" t="s">
        <v>940</v>
      </c>
      <c r="H58" t="s">
        <v>48</v>
      </c>
      <c r="I58" t="s">
        <v>1012</v>
      </c>
      <c r="J58" t="s">
        <v>514</v>
      </c>
      <c r="K58">
        <v>482</v>
      </c>
      <c r="L58">
        <v>3</v>
      </c>
      <c r="M58">
        <v>39.1</v>
      </c>
      <c r="N58" t="s">
        <v>21</v>
      </c>
      <c r="O58">
        <v>0</v>
      </c>
      <c r="P58">
        <v>2</v>
      </c>
      <c r="Q58">
        <v>450</v>
      </c>
      <c r="R58">
        <v>6482</v>
      </c>
      <c r="S58">
        <v>20.244</v>
      </c>
      <c r="T58">
        <v>39.1</v>
      </c>
      <c r="U58">
        <v>42</v>
      </c>
      <c r="V58">
        <v>930.95238095238096</v>
      </c>
      <c r="W58" t="s">
        <v>1153</v>
      </c>
      <c r="X58" t="s">
        <v>1087</v>
      </c>
      <c r="Y58">
        <v>36</v>
      </c>
      <c r="Z58">
        <v>2</v>
      </c>
      <c r="AA58">
        <v>80.333333333333329</v>
      </c>
    </row>
    <row r="59" spans="1:27" x14ac:dyDescent="0.3">
      <c r="A59" s="15">
        <v>44452.714004629626</v>
      </c>
      <c r="B59" t="s">
        <v>13</v>
      </c>
      <c r="C59" t="s">
        <v>1128</v>
      </c>
      <c r="D59" s="2">
        <v>44443</v>
      </c>
      <c r="E59" t="s">
        <v>1130</v>
      </c>
      <c r="F59" t="s">
        <v>41</v>
      </c>
      <c r="G59" t="s">
        <v>940</v>
      </c>
      <c r="H59" t="s">
        <v>48</v>
      </c>
      <c r="I59" t="s">
        <v>1012</v>
      </c>
      <c r="J59" t="s">
        <v>511</v>
      </c>
      <c r="K59">
        <v>501</v>
      </c>
      <c r="L59">
        <v>7</v>
      </c>
      <c r="M59">
        <v>40.6</v>
      </c>
      <c r="N59" t="s">
        <v>21</v>
      </c>
      <c r="O59">
        <v>0</v>
      </c>
      <c r="P59">
        <v>3</v>
      </c>
      <c r="Q59">
        <v>450</v>
      </c>
      <c r="R59">
        <v>6482</v>
      </c>
      <c r="S59">
        <v>21.042000000000002</v>
      </c>
      <c r="T59">
        <v>40.6</v>
      </c>
      <c r="U59">
        <v>42</v>
      </c>
      <c r="V59">
        <v>966.66666666666663</v>
      </c>
      <c r="W59" t="s">
        <v>1153</v>
      </c>
      <c r="X59" t="s">
        <v>1087</v>
      </c>
      <c r="Y59">
        <v>36</v>
      </c>
      <c r="Z59">
        <v>2</v>
      </c>
      <c r="AA59">
        <v>83.5</v>
      </c>
    </row>
    <row r="60" spans="1:27" x14ac:dyDescent="0.3">
      <c r="A60" s="15">
        <v>44452.71497685185</v>
      </c>
      <c r="B60" t="s">
        <v>13</v>
      </c>
      <c r="C60" t="s">
        <v>1128</v>
      </c>
      <c r="D60" s="2">
        <v>44445</v>
      </c>
      <c r="E60" t="s">
        <v>1130</v>
      </c>
      <c r="F60" t="s">
        <v>41</v>
      </c>
      <c r="G60" t="s">
        <v>940</v>
      </c>
      <c r="H60" t="s">
        <v>48</v>
      </c>
      <c r="I60" t="s">
        <v>1012</v>
      </c>
      <c r="J60" t="s">
        <v>514</v>
      </c>
      <c r="K60">
        <v>1065</v>
      </c>
      <c r="L60">
        <v>6</v>
      </c>
      <c r="M60">
        <v>86.3</v>
      </c>
      <c r="N60" t="s">
        <v>21</v>
      </c>
      <c r="O60">
        <v>0</v>
      </c>
      <c r="P60">
        <v>2</v>
      </c>
      <c r="Q60">
        <v>450</v>
      </c>
      <c r="R60">
        <v>6483</v>
      </c>
      <c r="S60">
        <v>44.73</v>
      </c>
      <c r="T60">
        <v>86.3</v>
      </c>
      <c r="U60">
        <v>42</v>
      </c>
      <c r="V60">
        <v>2054.7619047619046</v>
      </c>
      <c r="W60" t="s">
        <v>1153</v>
      </c>
      <c r="X60" t="s">
        <v>1087</v>
      </c>
      <c r="Y60">
        <v>37</v>
      </c>
      <c r="Z60">
        <v>2</v>
      </c>
      <c r="AA60">
        <v>177.5</v>
      </c>
    </row>
    <row r="61" spans="1:27" x14ac:dyDescent="0.3">
      <c r="A61" s="15">
        <v>44452.716261574074</v>
      </c>
      <c r="B61" t="s">
        <v>13</v>
      </c>
      <c r="C61" t="s">
        <v>1128</v>
      </c>
      <c r="D61" s="2">
        <v>44446</v>
      </c>
      <c r="E61" t="s">
        <v>1130</v>
      </c>
      <c r="F61" t="s">
        <v>41</v>
      </c>
      <c r="G61" t="s">
        <v>940</v>
      </c>
      <c r="H61" t="s">
        <v>48</v>
      </c>
      <c r="I61" t="s">
        <v>1012</v>
      </c>
      <c r="J61" t="s">
        <v>510</v>
      </c>
      <c r="K61">
        <v>1014</v>
      </c>
      <c r="L61">
        <v>10</v>
      </c>
      <c r="M61">
        <v>82.7</v>
      </c>
      <c r="N61" t="s">
        <v>21</v>
      </c>
      <c r="O61">
        <v>0</v>
      </c>
      <c r="P61">
        <v>6</v>
      </c>
      <c r="Q61">
        <v>450</v>
      </c>
      <c r="R61">
        <v>6484</v>
      </c>
      <c r="S61">
        <v>42.588000000000001</v>
      </c>
      <c r="T61">
        <v>82.7</v>
      </c>
      <c r="U61">
        <v>42</v>
      </c>
      <c r="V61">
        <v>1969.047619047619</v>
      </c>
      <c r="W61" t="s">
        <v>1153</v>
      </c>
      <c r="X61" t="s">
        <v>1087</v>
      </c>
      <c r="Y61">
        <v>37</v>
      </c>
      <c r="Z61">
        <v>2</v>
      </c>
      <c r="AA61">
        <v>169</v>
      </c>
    </row>
    <row r="62" spans="1:27" x14ac:dyDescent="0.3">
      <c r="A62" s="15">
        <v>44452.719629629632</v>
      </c>
      <c r="B62" t="s">
        <v>13</v>
      </c>
      <c r="C62" t="s">
        <v>1128</v>
      </c>
      <c r="D62" s="2">
        <v>44447</v>
      </c>
      <c r="E62" t="s">
        <v>1114</v>
      </c>
      <c r="F62" t="s">
        <v>41</v>
      </c>
      <c r="G62" t="s">
        <v>940</v>
      </c>
      <c r="H62" t="s">
        <v>48</v>
      </c>
      <c r="I62" t="s">
        <v>1012</v>
      </c>
      <c r="J62" t="s">
        <v>513</v>
      </c>
      <c r="K62">
        <v>326</v>
      </c>
      <c r="L62">
        <v>3</v>
      </c>
      <c r="M62">
        <v>25.7</v>
      </c>
      <c r="N62" t="s">
        <v>21</v>
      </c>
      <c r="O62">
        <v>0</v>
      </c>
      <c r="P62">
        <v>2</v>
      </c>
      <c r="Q62">
        <v>450</v>
      </c>
      <c r="R62">
        <v>6486</v>
      </c>
      <c r="S62">
        <v>13.692</v>
      </c>
      <c r="T62">
        <v>25.7</v>
      </c>
      <c r="U62">
        <v>42</v>
      </c>
      <c r="V62">
        <v>611.90476190476193</v>
      </c>
      <c r="W62" t="s">
        <v>1153</v>
      </c>
      <c r="X62" t="s">
        <v>1087</v>
      </c>
      <c r="Y62">
        <v>37</v>
      </c>
      <c r="Z62">
        <v>2</v>
      </c>
      <c r="AA62">
        <v>54.333333333333336</v>
      </c>
    </row>
    <row r="63" spans="1:27" x14ac:dyDescent="0.3">
      <c r="A63" s="15">
        <v>44452.719178240739</v>
      </c>
      <c r="B63" t="s">
        <v>13</v>
      </c>
      <c r="C63" t="s">
        <v>1128</v>
      </c>
      <c r="D63" s="2">
        <v>44447</v>
      </c>
      <c r="E63" t="s">
        <v>1114</v>
      </c>
      <c r="F63" t="s">
        <v>41</v>
      </c>
      <c r="G63" t="s">
        <v>940</v>
      </c>
      <c r="H63" t="s">
        <v>48</v>
      </c>
      <c r="I63" t="s">
        <v>1012</v>
      </c>
      <c r="J63" t="s">
        <v>515</v>
      </c>
      <c r="K63">
        <v>753</v>
      </c>
      <c r="L63">
        <v>7</v>
      </c>
      <c r="M63">
        <v>64.2</v>
      </c>
      <c r="N63" t="s">
        <v>21</v>
      </c>
      <c r="O63">
        <v>0</v>
      </c>
      <c r="P63">
        <v>6</v>
      </c>
      <c r="Q63">
        <v>450</v>
      </c>
      <c r="R63">
        <v>6486</v>
      </c>
      <c r="S63">
        <v>31.626000000000001</v>
      </c>
      <c r="T63">
        <v>64.2</v>
      </c>
      <c r="U63">
        <v>42</v>
      </c>
      <c r="V63">
        <v>1528.5714285714287</v>
      </c>
      <c r="W63" t="s">
        <v>1153</v>
      </c>
      <c r="X63" t="s">
        <v>1087</v>
      </c>
      <c r="Y63">
        <v>37</v>
      </c>
      <c r="Z63">
        <v>2</v>
      </c>
      <c r="AA63">
        <v>125.5</v>
      </c>
    </row>
    <row r="64" spans="1:27" x14ac:dyDescent="0.3">
      <c r="A64" s="15">
        <v>44452.718136574076</v>
      </c>
      <c r="B64" t="s">
        <v>13</v>
      </c>
      <c r="C64" t="s">
        <v>1128</v>
      </c>
      <c r="D64" s="2">
        <v>44447</v>
      </c>
      <c r="E64" t="s">
        <v>1105</v>
      </c>
      <c r="F64" t="s">
        <v>41</v>
      </c>
      <c r="G64" t="s">
        <v>940</v>
      </c>
      <c r="H64" t="s">
        <v>48</v>
      </c>
      <c r="I64" t="s">
        <v>1012</v>
      </c>
      <c r="J64" t="s">
        <v>515</v>
      </c>
      <c r="K64">
        <v>625</v>
      </c>
      <c r="L64">
        <v>6</v>
      </c>
      <c r="M64">
        <v>51</v>
      </c>
      <c r="N64" t="s">
        <v>21</v>
      </c>
      <c r="O64">
        <v>0</v>
      </c>
      <c r="P64">
        <v>5</v>
      </c>
      <c r="Q64">
        <v>450</v>
      </c>
      <c r="R64">
        <v>6485</v>
      </c>
      <c r="S64">
        <v>26.25</v>
      </c>
      <c r="T64">
        <v>51</v>
      </c>
      <c r="U64">
        <v>42</v>
      </c>
      <c r="V64">
        <v>1214.2857142857142</v>
      </c>
      <c r="W64" t="s">
        <v>1153</v>
      </c>
      <c r="X64" t="s">
        <v>1087</v>
      </c>
      <c r="Y64">
        <v>37</v>
      </c>
      <c r="Z64">
        <v>2</v>
      </c>
      <c r="AA64">
        <v>104.16666666666667</v>
      </c>
    </row>
    <row r="65" spans="1:27" x14ac:dyDescent="0.3">
      <c r="A65" s="15">
        <v>44452.717488425929</v>
      </c>
      <c r="B65" t="s">
        <v>13</v>
      </c>
      <c r="C65" t="s">
        <v>1128</v>
      </c>
      <c r="D65" s="2">
        <v>44447</v>
      </c>
      <c r="E65" t="s">
        <v>1105</v>
      </c>
      <c r="F65" t="s">
        <v>41</v>
      </c>
      <c r="G65" t="s">
        <v>940</v>
      </c>
      <c r="H65" t="s">
        <v>48</v>
      </c>
      <c r="I65" t="s">
        <v>1012</v>
      </c>
      <c r="J65" t="s">
        <v>510</v>
      </c>
      <c r="K65">
        <v>587</v>
      </c>
      <c r="L65">
        <v>6</v>
      </c>
      <c r="M65">
        <v>47.9</v>
      </c>
      <c r="N65" t="s">
        <v>21</v>
      </c>
      <c r="O65">
        <v>0</v>
      </c>
      <c r="P65">
        <v>4</v>
      </c>
      <c r="Q65">
        <v>450</v>
      </c>
      <c r="R65">
        <v>6485</v>
      </c>
      <c r="S65">
        <v>24.654</v>
      </c>
      <c r="T65">
        <v>47.9</v>
      </c>
      <c r="U65">
        <v>42</v>
      </c>
      <c r="V65">
        <v>1140.4761904761904</v>
      </c>
      <c r="W65" t="s">
        <v>1153</v>
      </c>
      <c r="X65" t="s">
        <v>1087</v>
      </c>
      <c r="Y65">
        <v>37</v>
      </c>
      <c r="Z65">
        <v>2</v>
      </c>
      <c r="AA65">
        <v>97.833333333333329</v>
      </c>
    </row>
    <row r="66" spans="1:27" x14ac:dyDescent="0.3">
      <c r="A66" s="15">
        <v>44452.720995370371</v>
      </c>
      <c r="B66" t="s">
        <v>13</v>
      </c>
      <c r="C66" t="s">
        <v>1128</v>
      </c>
      <c r="D66" s="2">
        <v>44449</v>
      </c>
      <c r="E66" t="s">
        <v>1114</v>
      </c>
      <c r="F66" t="s">
        <v>41</v>
      </c>
      <c r="G66" t="s">
        <v>940</v>
      </c>
      <c r="H66" t="s">
        <v>48</v>
      </c>
      <c r="I66" t="s">
        <v>1012</v>
      </c>
      <c r="J66" t="s">
        <v>512</v>
      </c>
      <c r="K66">
        <v>38</v>
      </c>
      <c r="L66">
        <v>1</v>
      </c>
      <c r="M66">
        <v>3.1</v>
      </c>
      <c r="N66" t="s">
        <v>21</v>
      </c>
      <c r="O66">
        <v>0</v>
      </c>
      <c r="P66">
        <v>1</v>
      </c>
      <c r="Q66">
        <v>450</v>
      </c>
      <c r="R66">
        <v>6487</v>
      </c>
      <c r="S66">
        <v>1.5960000000000001</v>
      </c>
      <c r="T66">
        <v>3.1</v>
      </c>
      <c r="U66">
        <v>42</v>
      </c>
      <c r="V66">
        <v>73.80952380952381</v>
      </c>
      <c r="W66" t="s">
        <v>1153</v>
      </c>
      <c r="X66" t="s">
        <v>1087</v>
      </c>
      <c r="Y66">
        <v>37</v>
      </c>
      <c r="Z66">
        <v>2</v>
      </c>
      <c r="AA66">
        <v>6.333333333333333</v>
      </c>
    </row>
    <row r="67" spans="1:27" x14ac:dyDescent="0.3">
      <c r="A67" s="15">
        <v>44452.720486111109</v>
      </c>
      <c r="B67" t="s">
        <v>13</v>
      </c>
      <c r="C67" t="s">
        <v>1128</v>
      </c>
      <c r="D67" s="2">
        <v>44449</v>
      </c>
      <c r="E67" t="s">
        <v>1114</v>
      </c>
      <c r="F67" t="s">
        <v>41</v>
      </c>
      <c r="G67" t="s">
        <v>940</v>
      </c>
      <c r="H67" t="s">
        <v>48</v>
      </c>
      <c r="I67" t="s">
        <v>1012</v>
      </c>
      <c r="J67" t="s">
        <v>513</v>
      </c>
      <c r="K67">
        <v>1067</v>
      </c>
      <c r="L67">
        <v>11</v>
      </c>
      <c r="M67">
        <v>87</v>
      </c>
      <c r="N67" t="s">
        <v>21</v>
      </c>
      <c r="O67">
        <v>0</v>
      </c>
      <c r="P67">
        <v>7</v>
      </c>
      <c r="Q67">
        <v>450</v>
      </c>
      <c r="R67">
        <v>6487</v>
      </c>
      <c r="S67">
        <v>44.814</v>
      </c>
      <c r="T67">
        <v>87</v>
      </c>
      <c r="U67">
        <v>42</v>
      </c>
      <c r="V67">
        <v>2071.4285714285716</v>
      </c>
      <c r="W67" t="s">
        <v>1153</v>
      </c>
      <c r="X67" t="s">
        <v>1087</v>
      </c>
      <c r="Y67">
        <v>37</v>
      </c>
      <c r="Z67">
        <v>2</v>
      </c>
      <c r="AA67">
        <v>177.83333333333334</v>
      </c>
    </row>
    <row r="68" spans="1:27" x14ac:dyDescent="0.3">
      <c r="A68" s="15">
        <v>44452.721909722219</v>
      </c>
      <c r="B68" t="s">
        <v>13</v>
      </c>
      <c r="C68" t="s">
        <v>1128</v>
      </c>
      <c r="D68" s="2">
        <v>44450</v>
      </c>
      <c r="E68" t="s">
        <v>1114</v>
      </c>
      <c r="F68" t="s">
        <v>41</v>
      </c>
      <c r="G68" t="s">
        <v>940</v>
      </c>
      <c r="H68" t="s">
        <v>48</v>
      </c>
      <c r="I68" t="s">
        <v>1012</v>
      </c>
      <c r="J68" t="s">
        <v>512</v>
      </c>
      <c r="K68">
        <v>905</v>
      </c>
      <c r="L68">
        <v>11</v>
      </c>
      <c r="M68">
        <v>73.8</v>
      </c>
      <c r="N68" t="s">
        <v>21</v>
      </c>
      <c r="O68">
        <v>0</v>
      </c>
      <c r="P68">
        <v>6</v>
      </c>
      <c r="Q68">
        <v>450</v>
      </c>
      <c r="R68">
        <v>6488</v>
      </c>
      <c r="S68">
        <v>38.01</v>
      </c>
      <c r="T68">
        <v>73.8</v>
      </c>
      <c r="U68">
        <v>42</v>
      </c>
      <c r="V68">
        <v>1757.1428571428571</v>
      </c>
      <c r="W68" t="s">
        <v>1153</v>
      </c>
      <c r="X68" t="s">
        <v>1087</v>
      </c>
      <c r="Y68">
        <v>37</v>
      </c>
      <c r="Z68">
        <v>2</v>
      </c>
      <c r="AA68">
        <v>150.83333333333334</v>
      </c>
    </row>
    <row r="69" spans="1:27" x14ac:dyDescent="0.3">
      <c r="A69" s="15">
        <v>44482.663703703707</v>
      </c>
      <c r="B69" t="s">
        <v>13</v>
      </c>
      <c r="C69" t="s">
        <v>1128</v>
      </c>
      <c r="D69" s="2">
        <v>44452</v>
      </c>
      <c r="E69" t="s">
        <v>1133</v>
      </c>
      <c r="F69" t="s">
        <v>41</v>
      </c>
      <c r="G69" t="s">
        <v>940</v>
      </c>
      <c r="H69" t="s">
        <v>48</v>
      </c>
      <c r="I69" t="s">
        <v>1012</v>
      </c>
      <c r="J69" t="s">
        <v>513</v>
      </c>
      <c r="K69">
        <v>268</v>
      </c>
      <c r="L69">
        <v>3</v>
      </c>
      <c r="M69">
        <v>22</v>
      </c>
      <c r="N69" t="s">
        <v>21</v>
      </c>
      <c r="O69">
        <v>0</v>
      </c>
      <c r="P69">
        <v>3</v>
      </c>
      <c r="Q69">
        <v>450</v>
      </c>
      <c r="R69">
        <v>6489</v>
      </c>
      <c r="S69">
        <v>11.256</v>
      </c>
      <c r="T69">
        <v>22</v>
      </c>
      <c r="U69">
        <v>42</v>
      </c>
      <c r="V69">
        <v>523.80952380952385</v>
      </c>
      <c r="W69" t="s">
        <v>1153</v>
      </c>
      <c r="X69" t="s">
        <v>1087</v>
      </c>
      <c r="Y69">
        <v>38</v>
      </c>
      <c r="Z69">
        <v>2</v>
      </c>
      <c r="AA69">
        <v>44.666666666666664</v>
      </c>
    </row>
    <row r="70" spans="1:27" x14ac:dyDescent="0.3">
      <c r="A70" s="15">
        <v>44482.663460648146</v>
      </c>
      <c r="B70" t="s">
        <v>13</v>
      </c>
      <c r="C70" t="s">
        <v>1128</v>
      </c>
      <c r="D70" s="2">
        <v>44452</v>
      </c>
      <c r="E70" t="s">
        <v>1133</v>
      </c>
      <c r="F70" t="s">
        <v>41</v>
      </c>
      <c r="G70" t="s">
        <v>940</v>
      </c>
      <c r="H70" t="s">
        <v>48</v>
      </c>
      <c r="I70" t="s">
        <v>1012</v>
      </c>
      <c r="J70" t="s">
        <v>512</v>
      </c>
      <c r="K70">
        <v>692</v>
      </c>
      <c r="L70">
        <v>7</v>
      </c>
      <c r="M70">
        <v>56.8</v>
      </c>
      <c r="N70" t="s">
        <v>21</v>
      </c>
      <c r="O70">
        <v>0</v>
      </c>
      <c r="P70">
        <v>3</v>
      </c>
      <c r="Q70">
        <v>450</v>
      </c>
      <c r="R70">
        <v>6489</v>
      </c>
      <c r="S70">
        <v>29.064</v>
      </c>
      <c r="T70">
        <v>56.8</v>
      </c>
      <c r="U70">
        <v>42</v>
      </c>
      <c r="V70">
        <v>1352.3809523809523</v>
      </c>
      <c r="W70" t="s">
        <v>1153</v>
      </c>
      <c r="X70" t="s">
        <v>1087</v>
      </c>
      <c r="Y70">
        <v>38</v>
      </c>
      <c r="Z70">
        <v>2</v>
      </c>
      <c r="AA70">
        <v>115.33333333333333</v>
      </c>
    </row>
    <row r="71" spans="1:27" x14ac:dyDescent="0.3">
      <c r="A71" s="15">
        <v>44482.665578703702</v>
      </c>
      <c r="B71" t="s">
        <v>13</v>
      </c>
      <c r="C71" t="s">
        <v>1128</v>
      </c>
      <c r="D71" s="2">
        <v>44453</v>
      </c>
      <c r="E71" t="s">
        <v>1133</v>
      </c>
      <c r="F71" t="s">
        <v>41</v>
      </c>
      <c r="G71" t="s">
        <v>940</v>
      </c>
      <c r="H71" t="s">
        <v>48</v>
      </c>
      <c r="I71" t="s">
        <v>1012</v>
      </c>
      <c r="J71" t="s">
        <v>511</v>
      </c>
      <c r="K71">
        <v>400</v>
      </c>
      <c r="L71">
        <v>5</v>
      </c>
      <c r="M71">
        <v>32.799999999999997</v>
      </c>
      <c r="N71" t="s">
        <v>21</v>
      </c>
      <c r="O71">
        <v>0</v>
      </c>
      <c r="P71">
        <v>3</v>
      </c>
      <c r="Q71">
        <v>450</v>
      </c>
      <c r="R71">
        <v>6490</v>
      </c>
      <c r="S71">
        <v>16.8</v>
      </c>
      <c r="T71">
        <v>32.799999999999997</v>
      </c>
      <c r="U71">
        <v>42</v>
      </c>
      <c r="V71">
        <v>780.95238095238096</v>
      </c>
      <c r="W71" t="s">
        <v>1153</v>
      </c>
      <c r="X71" t="s">
        <v>1087</v>
      </c>
      <c r="Y71">
        <v>38</v>
      </c>
      <c r="Z71">
        <v>2</v>
      </c>
      <c r="AA71">
        <v>66.666666666666671</v>
      </c>
    </row>
    <row r="72" spans="1:27" x14ac:dyDescent="0.3">
      <c r="A72" s="15">
        <v>44482.664537037039</v>
      </c>
      <c r="B72" t="s">
        <v>13</v>
      </c>
      <c r="C72" t="s">
        <v>1128</v>
      </c>
      <c r="D72" s="2">
        <v>44453</v>
      </c>
      <c r="E72" t="s">
        <v>1133</v>
      </c>
      <c r="F72" t="s">
        <v>41</v>
      </c>
      <c r="G72" t="s">
        <v>940</v>
      </c>
      <c r="H72" t="s">
        <v>48</v>
      </c>
      <c r="I72" t="s">
        <v>1012</v>
      </c>
      <c r="J72" t="s">
        <v>515</v>
      </c>
      <c r="K72">
        <v>123</v>
      </c>
      <c r="L72">
        <v>1</v>
      </c>
      <c r="M72">
        <v>10.1</v>
      </c>
      <c r="N72" t="s">
        <v>21</v>
      </c>
      <c r="O72">
        <v>0</v>
      </c>
      <c r="P72">
        <v>1</v>
      </c>
      <c r="Q72">
        <v>450</v>
      </c>
      <c r="R72">
        <v>6490</v>
      </c>
      <c r="S72">
        <v>5.1660000000000004</v>
      </c>
      <c r="T72">
        <v>10.1</v>
      </c>
      <c r="U72">
        <v>42</v>
      </c>
      <c r="V72">
        <v>240.47619047619048</v>
      </c>
      <c r="W72" t="s">
        <v>1153</v>
      </c>
      <c r="X72" t="s">
        <v>1087</v>
      </c>
      <c r="Y72">
        <v>38</v>
      </c>
      <c r="Z72">
        <v>2</v>
      </c>
      <c r="AA72">
        <v>20.5</v>
      </c>
    </row>
    <row r="73" spans="1:27" x14ac:dyDescent="0.3">
      <c r="A73" s="15">
        <v>44482.676041666666</v>
      </c>
      <c r="B73" t="s">
        <v>13</v>
      </c>
      <c r="C73" t="s">
        <v>1128</v>
      </c>
      <c r="D73" s="2">
        <v>44455</v>
      </c>
      <c r="E73" t="s">
        <v>1105</v>
      </c>
      <c r="F73" t="s">
        <v>41</v>
      </c>
      <c r="G73" t="s">
        <v>940</v>
      </c>
      <c r="H73" t="s">
        <v>48</v>
      </c>
      <c r="I73" t="s">
        <v>1001</v>
      </c>
      <c r="J73" t="s">
        <v>1134</v>
      </c>
      <c r="K73">
        <v>716</v>
      </c>
      <c r="L73">
        <v>3</v>
      </c>
      <c r="M73">
        <v>89.5</v>
      </c>
      <c r="N73" t="s">
        <v>21</v>
      </c>
      <c r="O73">
        <v>0</v>
      </c>
      <c r="P73">
        <v>6</v>
      </c>
      <c r="Q73">
        <v>461</v>
      </c>
      <c r="R73">
        <v>6492</v>
      </c>
      <c r="S73">
        <v>89.5</v>
      </c>
      <c r="T73">
        <v>89.5</v>
      </c>
      <c r="U73">
        <v>125</v>
      </c>
      <c r="V73">
        <v>716</v>
      </c>
      <c r="W73" t="s">
        <v>1153</v>
      </c>
      <c r="X73" t="s">
        <v>1087</v>
      </c>
      <c r="Y73">
        <v>38</v>
      </c>
      <c r="Z73">
        <v>1</v>
      </c>
      <c r="AA73">
        <v>59.666666666666664</v>
      </c>
    </row>
    <row r="74" spans="1:27" x14ac:dyDescent="0.3">
      <c r="A74" s="15">
        <v>44482.670011574075</v>
      </c>
      <c r="B74" t="s">
        <v>13</v>
      </c>
      <c r="C74" t="s">
        <v>1128</v>
      </c>
      <c r="D74" s="2">
        <v>44455</v>
      </c>
      <c r="E74" t="s">
        <v>1114</v>
      </c>
      <c r="F74" t="s">
        <v>41</v>
      </c>
      <c r="G74" t="s">
        <v>940</v>
      </c>
      <c r="H74" t="s">
        <v>48</v>
      </c>
      <c r="I74" t="s">
        <v>1001</v>
      </c>
      <c r="J74" t="s">
        <v>572</v>
      </c>
      <c r="K74">
        <v>392</v>
      </c>
      <c r="L74">
        <v>4</v>
      </c>
      <c r="M74">
        <v>49</v>
      </c>
      <c r="N74" t="s">
        <v>21</v>
      </c>
      <c r="O74">
        <v>0</v>
      </c>
      <c r="P74">
        <v>5</v>
      </c>
      <c r="Q74">
        <v>461</v>
      </c>
      <c r="R74">
        <v>6491</v>
      </c>
      <c r="S74">
        <v>49</v>
      </c>
      <c r="T74">
        <v>49</v>
      </c>
      <c r="U74">
        <v>125</v>
      </c>
      <c r="V74">
        <v>392</v>
      </c>
      <c r="W74" t="s">
        <v>1153</v>
      </c>
      <c r="X74" t="s">
        <v>1087</v>
      </c>
      <c r="Y74">
        <v>38</v>
      </c>
      <c r="Z74">
        <v>1</v>
      </c>
      <c r="AA74">
        <v>32.666666666666664</v>
      </c>
    </row>
    <row r="75" spans="1:27" x14ac:dyDescent="0.3">
      <c r="A75" s="15">
        <v>44482.678888888891</v>
      </c>
      <c r="B75" t="s">
        <v>13</v>
      </c>
      <c r="C75" t="s">
        <v>1128</v>
      </c>
      <c r="D75" s="2">
        <v>44457</v>
      </c>
      <c r="E75" t="s">
        <v>1082</v>
      </c>
      <c r="F75" t="s">
        <v>41</v>
      </c>
      <c r="G75" t="s">
        <v>940</v>
      </c>
      <c r="H75" t="s">
        <v>48</v>
      </c>
      <c r="I75" t="s">
        <v>1001</v>
      </c>
      <c r="J75" t="s">
        <v>1083</v>
      </c>
      <c r="K75">
        <v>640</v>
      </c>
      <c r="L75">
        <v>6</v>
      </c>
      <c r="M75">
        <v>80</v>
      </c>
      <c r="N75" t="s">
        <v>21</v>
      </c>
      <c r="O75">
        <v>0</v>
      </c>
      <c r="P75">
        <v>6</v>
      </c>
      <c r="Q75">
        <v>461</v>
      </c>
      <c r="R75">
        <v>6493</v>
      </c>
      <c r="S75">
        <v>80</v>
      </c>
      <c r="T75">
        <v>80</v>
      </c>
      <c r="U75">
        <v>125</v>
      </c>
      <c r="V75">
        <v>640</v>
      </c>
      <c r="W75" t="s">
        <v>1153</v>
      </c>
      <c r="X75" t="s">
        <v>1087</v>
      </c>
      <c r="Y75">
        <v>38</v>
      </c>
      <c r="Z75">
        <v>1</v>
      </c>
      <c r="AA75">
        <v>53.333333333333336</v>
      </c>
    </row>
    <row r="76" spans="1:27" x14ac:dyDescent="0.3">
      <c r="A76" s="15">
        <v>44482.676770833335</v>
      </c>
      <c r="B76" t="s">
        <v>13</v>
      </c>
      <c r="C76" t="s">
        <v>1128</v>
      </c>
      <c r="D76" s="2">
        <v>44457</v>
      </c>
      <c r="E76" t="s">
        <v>1082</v>
      </c>
      <c r="F76" t="s">
        <v>41</v>
      </c>
      <c r="G76" t="s">
        <v>940</v>
      </c>
      <c r="H76" t="s">
        <v>48</v>
      </c>
      <c r="I76" t="s">
        <v>1001</v>
      </c>
      <c r="J76" t="s">
        <v>1134</v>
      </c>
      <c r="K76">
        <v>64</v>
      </c>
      <c r="L76">
        <v>2</v>
      </c>
      <c r="M76">
        <v>8.32</v>
      </c>
      <c r="N76" t="s">
        <v>21</v>
      </c>
      <c r="O76">
        <v>0</v>
      </c>
      <c r="P76">
        <v>1</v>
      </c>
      <c r="Q76">
        <v>461</v>
      </c>
      <c r="R76">
        <v>6493</v>
      </c>
      <c r="S76">
        <v>8</v>
      </c>
      <c r="T76">
        <v>8.32</v>
      </c>
      <c r="U76">
        <v>125</v>
      </c>
      <c r="V76">
        <v>66.56</v>
      </c>
      <c r="W76" t="s">
        <v>1153</v>
      </c>
      <c r="X76" t="s">
        <v>1087</v>
      </c>
      <c r="Y76">
        <v>38</v>
      </c>
      <c r="Z76">
        <v>1</v>
      </c>
      <c r="AA76">
        <v>5.333333333333333</v>
      </c>
    </row>
    <row r="77" spans="1:27" x14ac:dyDescent="0.3">
      <c r="A77" s="15">
        <v>44482.680393518516</v>
      </c>
      <c r="B77" t="s">
        <v>13</v>
      </c>
      <c r="C77" t="s">
        <v>1128</v>
      </c>
      <c r="D77" s="2">
        <v>44459</v>
      </c>
      <c r="E77" t="s">
        <v>1114</v>
      </c>
      <c r="F77" t="s">
        <v>41</v>
      </c>
      <c r="G77" t="s">
        <v>940</v>
      </c>
      <c r="H77" t="s">
        <v>48</v>
      </c>
      <c r="I77" t="s">
        <v>1001</v>
      </c>
      <c r="J77" t="s">
        <v>1083</v>
      </c>
      <c r="K77">
        <v>890</v>
      </c>
      <c r="L77">
        <v>11</v>
      </c>
      <c r="M77">
        <v>111.3</v>
      </c>
      <c r="N77" t="s">
        <v>21</v>
      </c>
      <c r="O77">
        <v>0</v>
      </c>
      <c r="P77">
        <v>7</v>
      </c>
      <c r="Q77">
        <v>461</v>
      </c>
      <c r="R77">
        <v>6494</v>
      </c>
      <c r="S77">
        <v>111.25</v>
      </c>
      <c r="T77">
        <v>111.3</v>
      </c>
      <c r="U77">
        <v>125</v>
      </c>
      <c r="V77">
        <v>890.4</v>
      </c>
      <c r="W77" t="s">
        <v>1153</v>
      </c>
      <c r="X77" t="s">
        <v>1087</v>
      </c>
      <c r="Y77">
        <v>39</v>
      </c>
      <c r="Z77">
        <v>1</v>
      </c>
      <c r="AA77">
        <v>74.166666666666671</v>
      </c>
    </row>
    <row r="78" spans="1:27" x14ac:dyDescent="0.3">
      <c r="A78" s="15">
        <v>44482.684606481482</v>
      </c>
      <c r="B78" t="s">
        <v>13</v>
      </c>
      <c r="C78" t="s">
        <v>1128</v>
      </c>
      <c r="D78" s="2">
        <v>44460</v>
      </c>
      <c r="E78" t="s">
        <v>1114</v>
      </c>
      <c r="F78" t="s">
        <v>41</v>
      </c>
      <c r="G78" t="s">
        <v>940</v>
      </c>
      <c r="H78" t="s">
        <v>48</v>
      </c>
      <c r="I78" t="s">
        <v>1001</v>
      </c>
      <c r="J78" t="s">
        <v>571</v>
      </c>
      <c r="K78">
        <v>514</v>
      </c>
      <c r="L78">
        <v>6</v>
      </c>
      <c r="M78">
        <v>64.3</v>
      </c>
      <c r="N78" t="s">
        <v>21</v>
      </c>
      <c r="O78">
        <v>0</v>
      </c>
      <c r="P78">
        <v>5</v>
      </c>
      <c r="Q78">
        <v>461</v>
      </c>
      <c r="R78">
        <v>6495</v>
      </c>
      <c r="S78">
        <v>64.25</v>
      </c>
      <c r="T78">
        <v>64.3</v>
      </c>
      <c r="U78">
        <v>125</v>
      </c>
      <c r="V78">
        <v>514.4</v>
      </c>
      <c r="W78" t="s">
        <v>1153</v>
      </c>
      <c r="X78" t="s">
        <v>1087</v>
      </c>
      <c r="Y78">
        <v>39</v>
      </c>
      <c r="Z78">
        <v>1</v>
      </c>
      <c r="AA78">
        <v>42.833333333333336</v>
      </c>
    </row>
    <row r="79" spans="1:27" x14ac:dyDescent="0.3">
      <c r="A79" s="15">
        <v>44482.683981481481</v>
      </c>
      <c r="B79" t="s">
        <v>13</v>
      </c>
      <c r="C79" t="s">
        <v>1128</v>
      </c>
      <c r="D79" s="2">
        <v>44460</v>
      </c>
      <c r="E79" t="s">
        <v>1114</v>
      </c>
      <c r="F79" t="s">
        <v>41</v>
      </c>
      <c r="G79" t="s">
        <v>940</v>
      </c>
      <c r="H79" t="s">
        <v>48</v>
      </c>
      <c r="I79" t="s">
        <v>1001</v>
      </c>
      <c r="J79" t="s">
        <v>1083</v>
      </c>
      <c r="K79">
        <v>56</v>
      </c>
      <c r="L79">
        <v>2</v>
      </c>
      <c r="M79">
        <v>7</v>
      </c>
      <c r="N79" t="s">
        <v>21</v>
      </c>
      <c r="O79">
        <v>0</v>
      </c>
      <c r="P79">
        <v>1</v>
      </c>
      <c r="Q79">
        <v>461</v>
      </c>
      <c r="R79">
        <v>6495</v>
      </c>
      <c r="S79">
        <v>7</v>
      </c>
      <c r="T79">
        <v>7</v>
      </c>
      <c r="U79">
        <v>125</v>
      </c>
      <c r="V79">
        <v>56</v>
      </c>
      <c r="W79" t="s">
        <v>1153</v>
      </c>
      <c r="X79" t="s">
        <v>1087</v>
      </c>
      <c r="Y79">
        <v>39</v>
      </c>
      <c r="Z79">
        <v>1</v>
      </c>
      <c r="AA79">
        <v>4.666666666666667</v>
      </c>
    </row>
    <row r="80" spans="1:27" x14ac:dyDescent="0.3">
      <c r="A80" s="15">
        <v>44482.685601851852</v>
      </c>
      <c r="B80" t="s">
        <v>13</v>
      </c>
      <c r="C80" t="s">
        <v>1128</v>
      </c>
      <c r="D80" s="2">
        <v>44461</v>
      </c>
      <c r="E80" t="s">
        <v>1114</v>
      </c>
      <c r="F80" t="s">
        <v>41</v>
      </c>
      <c r="G80" t="s">
        <v>940</v>
      </c>
      <c r="H80" t="s">
        <v>48</v>
      </c>
      <c r="I80" t="s">
        <v>1001</v>
      </c>
      <c r="J80" t="s">
        <v>1134</v>
      </c>
      <c r="K80">
        <v>111</v>
      </c>
      <c r="L80">
        <v>2</v>
      </c>
      <c r="M80">
        <v>13.4</v>
      </c>
      <c r="N80" t="s">
        <v>21</v>
      </c>
      <c r="O80">
        <v>0</v>
      </c>
      <c r="P80">
        <v>1</v>
      </c>
      <c r="Q80">
        <v>461</v>
      </c>
      <c r="R80">
        <v>6496</v>
      </c>
      <c r="S80">
        <v>13.875</v>
      </c>
      <c r="T80">
        <v>13.4</v>
      </c>
      <c r="U80">
        <v>125</v>
      </c>
      <c r="V80">
        <v>107.2</v>
      </c>
      <c r="W80" t="s">
        <v>1153</v>
      </c>
      <c r="X80" t="s">
        <v>1087</v>
      </c>
      <c r="Y80">
        <v>39</v>
      </c>
      <c r="Z80">
        <v>1</v>
      </c>
      <c r="AA80">
        <v>9.25</v>
      </c>
    </row>
    <row r="81" spans="1:27" x14ac:dyDescent="0.3">
      <c r="A81" s="15">
        <v>44482.685219907406</v>
      </c>
      <c r="B81" t="s">
        <v>13</v>
      </c>
      <c r="C81" t="s">
        <v>1128</v>
      </c>
      <c r="D81" s="2">
        <v>44461</v>
      </c>
      <c r="E81" t="s">
        <v>1114</v>
      </c>
      <c r="F81" t="s">
        <v>41</v>
      </c>
      <c r="G81" t="s">
        <v>940</v>
      </c>
      <c r="H81" t="s">
        <v>48</v>
      </c>
      <c r="I81" t="s">
        <v>1001</v>
      </c>
      <c r="J81" t="s">
        <v>571</v>
      </c>
      <c r="K81">
        <v>494</v>
      </c>
      <c r="L81">
        <v>6</v>
      </c>
      <c r="M81">
        <v>61.8</v>
      </c>
      <c r="N81" t="s">
        <v>21</v>
      </c>
      <c r="O81">
        <v>0</v>
      </c>
      <c r="P81">
        <v>5</v>
      </c>
      <c r="Q81">
        <v>461</v>
      </c>
      <c r="R81">
        <v>6496</v>
      </c>
      <c r="S81">
        <v>61.75</v>
      </c>
      <c r="T81">
        <v>61.8</v>
      </c>
      <c r="U81">
        <v>125</v>
      </c>
      <c r="V81">
        <v>494.4</v>
      </c>
      <c r="W81" t="s">
        <v>1153</v>
      </c>
      <c r="X81" t="s">
        <v>1087</v>
      </c>
      <c r="Y81">
        <v>39</v>
      </c>
      <c r="Z81">
        <v>1</v>
      </c>
      <c r="AA81">
        <v>41.166666666666664</v>
      </c>
    </row>
    <row r="82" spans="1:27" x14ac:dyDescent="0.3">
      <c r="A82" s="15">
        <v>44482.688171296293</v>
      </c>
      <c r="B82" t="s">
        <v>13</v>
      </c>
      <c r="C82" t="s">
        <v>1128</v>
      </c>
      <c r="D82" s="2">
        <v>44463</v>
      </c>
      <c r="E82" t="s">
        <v>1105</v>
      </c>
      <c r="F82" t="s">
        <v>41</v>
      </c>
      <c r="G82" t="s">
        <v>940</v>
      </c>
      <c r="H82" t="s">
        <v>48</v>
      </c>
      <c r="I82" t="s">
        <v>1001</v>
      </c>
      <c r="J82" t="s">
        <v>1134</v>
      </c>
      <c r="K82">
        <v>599</v>
      </c>
      <c r="L82">
        <v>10</v>
      </c>
      <c r="M82">
        <v>74.900000000000006</v>
      </c>
      <c r="N82" t="s">
        <v>21</v>
      </c>
      <c r="O82">
        <v>0</v>
      </c>
      <c r="P82">
        <v>6</v>
      </c>
      <c r="Q82">
        <v>461</v>
      </c>
      <c r="R82">
        <v>497</v>
      </c>
      <c r="S82">
        <v>74.875</v>
      </c>
      <c r="T82">
        <v>74.900000000000006</v>
      </c>
      <c r="U82">
        <v>125</v>
      </c>
      <c r="V82">
        <v>599.20000000000005</v>
      </c>
      <c r="W82" t="s">
        <v>1153</v>
      </c>
      <c r="X82" t="s">
        <v>1087</v>
      </c>
      <c r="Y82">
        <v>39</v>
      </c>
      <c r="Z82">
        <v>1</v>
      </c>
      <c r="AA82">
        <v>49.916666666666664</v>
      </c>
    </row>
    <row r="83" spans="1:27" x14ac:dyDescent="0.3">
      <c r="A83" s="15">
        <v>44482.690138888887</v>
      </c>
      <c r="B83" t="s">
        <v>13</v>
      </c>
      <c r="C83" t="s">
        <v>1128</v>
      </c>
      <c r="D83" s="2">
        <v>44464</v>
      </c>
      <c r="E83" t="s">
        <v>1114</v>
      </c>
      <c r="F83" t="s">
        <v>41</v>
      </c>
      <c r="G83" t="s">
        <v>940</v>
      </c>
      <c r="H83" t="s">
        <v>48</v>
      </c>
      <c r="I83" t="s">
        <v>1001</v>
      </c>
      <c r="J83" t="s">
        <v>572</v>
      </c>
      <c r="K83">
        <v>68</v>
      </c>
      <c r="L83">
        <v>3</v>
      </c>
      <c r="M83">
        <v>9.8000000000000007</v>
      </c>
      <c r="N83" t="s">
        <v>21</v>
      </c>
      <c r="O83">
        <v>0</v>
      </c>
      <c r="P83">
        <v>1</v>
      </c>
      <c r="Q83">
        <v>461</v>
      </c>
      <c r="R83">
        <v>6498</v>
      </c>
      <c r="S83">
        <v>8.5</v>
      </c>
      <c r="T83">
        <v>9.8000000000000007</v>
      </c>
      <c r="U83">
        <v>125</v>
      </c>
      <c r="V83">
        <v>78.400000000000006</v>
      </c>
      <c r="W83" t="s">
        <v>1153</v>
      </c>
      <c r="X83" t="s">
        <v>1087</v>
      </c>
      <c r="Y83">
        <v>39</v>
      </c>
      <c r="Z83">
        <v>1</v>
      </c>
      <c r="AA83">
        <v>5.666666666666667</v>
      </c>
    </row>
    <row r="84" spans="1:27" x14ac:dyDescent="0.3">
      <c r="A84" s="15">
        <v>44482.689849537041</v>
      </c>
      <c r="B84" t="s">
        <v>13</v>
      </c>
      <c r="C84" t="s">
        <v>1128</v>
      </c>
      <c r="D84" s="2">
        <v>44464</v>
      </c>
      <c r="E84" t="s">
        <v>1114</v>
      </c>
      <c r="F84" t="s">
        <v>41</v>
      </c>
      <c r="G84" t="s">
        <v>940</v>
      </c>
      <c r="H84" t="s">
        <v>48</v>
      </c>
      <c r="I84" t="s">
        <v>1001</v>
      </c>
      <c r="J84" t="s">
        <v>1083</v>
      </c>
      <c r="K84">
        <v>158</v>
      </c>
      <c r="L84">
        <v>3</v>
      </c>
      <c r="M84">
        <v>19.8</v>
      </c>
      <c r="N84" t="s">
        <v>21</v>
      </c>
      <c r="O84">
        <v>0</v>
      </c>
      <c r="P84">
        <v>3</v>
      </c>
      <c r="Q84">
        <v>461</v>
      </c>
      <c r="R84">
        <v>6498</v>
      </c>
      <c r="S84">
        <v>19.75</v>
      </c>
      <c r="T84">
        <v>19.8</v>
      </c>
      <c r="U84">
        <v>125</v>
      </c>
      <c r="V84">
        <v>158.4</v>
      </c>
      <c r="W84" t="s">
        <v>1153</v>
      </c>
      <c r="X84" t="s">
        <v>1087</v>
      </c>
      <c r="Y84">
        <v>39</v>
      </c>
      <c r="Z84">
        <v>1</v>
      </c>
      <c r="AA84">
        <v>13.166666666666666</v>
      </c>
    </row>
    <row r="85" spans="1:27" x14ac:dyDescent="0.3">
      <c r="A85" s="15">
        <v>44482.687025462961</v>
      </c>
      <c r="B85" t="s">
        <v>13</v>
      </c>
      <c r="C85" t="s">
        <v>1128</v>
      </c>
      <c r="D85" s="2">
        <v>44464</v>
      </c>
      <c r="E85" t="s">
        <v>1114</v>
      </c>
      <c r="F85" t="s">
        <v>41</v>
      </c>
      <c r="G85" t="s">
        <v>940</v>
      </c>
      <c r="H85" t="s">
        <v>48</v>
      </c>
      <c r="I85" t="s">
        <v>1001</v>
      </c>
      <c r="J85" t="s">
        <v>1134</v>
      </c>
      <c r="K85">
        <v>376</v>
      </c>
      <c r="L85">
        <v>4</v>
      </c>
      <c r="M85">
        <v>47</v>
      </c>
      <c r="N85" t="s">
        <v>21</v>
      </c>
      <c r="O85">
        <v>0</v>
      </c>
      <c r="P85">
        <v>3</v>
      </c>
      <c r="Q85">
        <v>461</v>
      </c>
      <c r="R85">
        <v>6498</v>
      </c>
      <c r="S85">
        <v>47</v>
      </c>
      <c r="T85">
        <v>47</v>
      </c>
      <c r="U85">
        <v>125</v>
      </c>
      <c r="V85">
        <v>376</v>
      </c>
      <c r="W85" t="s">
        <v>1153</v>
      </c>
      <c r="X85" t="s">
        <v>1087</v>
      </c>
      <c r="Y85">
        <v>39</v>
      </c>
      <c r="Z85">
        <v>1</v>
      </c>
      <c r="AA85">
        <v>31.333333333333332</v>
      </c>
    </row>
    <row r="86" spans="1:27" x14ac:dyDescent="0.3">
      <c r="A86" s="15">
        <v>44482.690833333334</v>
      </c>
      <c r="B86" t="s">
        <v>13</v>
      </c>
      <c r="C86" t="s">
        <v>1128</v>
      </c>
      <c r="D86" s="2">
        <v>44466</v>
      </c>
      <c r="E86" t="s">
        <v>1114</v>
      </c>
      <c r="F86" t="s">
        <v>41</v>
      </c>
      <c r="G86" t="s">
        <v>940</v>
      </c>
      <c r="H86" t="s">
        <v>48</v>
      </c>
      <c r="I86" t="s">
        <v>1001</v>
      </c>
      <c r="J86" t="s">
        <v>572</v>
      </c>
      <c r="K86">
        <v>860</v>
      </c>
      <c r="L86">
        <v>10</v>
      </c>
      <c r="M86">
        <v>107.5</v>
      </c>
      <c r="N86" t="s">
        <v>21</v>
      </c>
      <c r="O86">
        <v>0</v>
      </c>
      <c r="P86">
        <v>7</v>
      </c>
      <c r="Q86">
        <v>461</v>
      </c>
      <c r="R86">
        <v>6499</v>
      </c>
      <c r="S86">
        <v>107.5</v>
      </c>
      <c r="T86">
        <v>107.5</v>
      </c>
      <c r="U86">
        <v>125</v>
      </c>
      <c r="V86">
        <v>860</v>
      </c>
      <c r="W86" t="s">
        <v>1153</v>
      </c>
      <c r="X86" t="s">
        <v>1087</v>
      </c>
      <c r="Y86">
        <v>40</v>
      </c>
      <c r="Z86">
        <v>1</v>
      </c>
      <c r="AA86">
        <v>71.666666666666671</v>
      </c>
    </row>
    <row r="87" spans="1:27" x14ac:dyDescent="0.3">
      <c r="A87" s="15">
        <v>44482.691782407404</v>
      </c>
      <c r="B87" t="s">
        <v>13</v>
      </c>
      <c r="C87" t="s">
        <v>1128</v>
      </c>
      <c r="D87" s="2">
        <v>44467</v>
      </c>
      <c r="E87" t="s">
        <v>1114</v>
      </c>
      <c r="F87" t="s">
        <v>41</v>
      </c>
      <c r="G87" t="s">
        <v>940</v>
      </c>
      <c r="H87" t="s">
        <v>48</v>
      </c>
      <c r="I87" t="s">
        <v>1001</v>
      </c>
      <c r="J87" t="s">
        <v>572</v>
      </c>
      <c r="K87">
        <v>200</v>
      </c>
      <c r="L87">
        <v>3</v>
      </c>
      <c r="M87">
        <v>25</v>
      </c>
      <c r="N87" t="s">
        <v>21</v>
      </c>
      <c r="O87">
        <v>0</v>
      </c>
      <c r="P87">
        <v>1</v>
      </c>
      <c r="Q87">
        <v>461</v>
      </c>
      <c r="R87">
        <v>6500</v>
      </c>
      <c r="S87">
        <v>25</v>
      </c>
      <c r="T87">
        <v>25</v>
      </c>
      <c r="U87">
        <v>125</v>
      </c>
      <c r="V87">
        <v>200</v>
      </c>
      <c r="W87" t="s">
        <v>1153</v>
      </c>
      <c r="X87" t="s">
        <v>1087</v>
      </c>
      <c r="Y87">
        <v>40</v>
      </c>
      <c r="Z87">
        <v>1</v>
      </c>
      <c r="AA87">
        <v>16.666666666666668</v>
      </c>
    </row>
    <row r="88" spans="1:27" x14ac:dyDescent="0.3">
      <c r="A88" s="15">
        <v>44482.691400462965</v>
      </c>
      <c r="B88" t="s">
        <v>13</v>
      </c>
      <c r="C88" t="s">
        <v>1128</v>
      </c>
      <c r="D88" s="2">
        <v>44467</v>
      </c>
      <c r="E88" t="s">
        <v>1114</v>
      </c>
      <c r="F88" t="s">
        <v>41</v>
      </c>
      <c r="G88" t="s">
        <v>940</v>
      </c>
      <c r="H88" t="s">
        <v>48</v>
      </c>
      <c r="I88" t="s">
        <v>1001</v>
      </c>
      <c r="J88" t="s">
        <v>572</v>
      </c>
      <c r="K88">
        <v>638</v>
      </c>
      <c r="L88">
        <v>8</v>
      </c>
      <c r="M88">
        <v>79.8</v>
      </c>
      <c r="N88" t="s">
        <v>21</v>
      </c>
      <c r="O88">
        <v>0</v>
      </c>
      <c r="P88">
        <v>2</v>
      </c>
      <c r="Q88">
        <v>461</v>
      </c>
      <c r="R88">
        <v>6500</v>
      </c>
      <c r="S88">
        <v>79.75</v>
      </c>
      <c r="T88">
        <v>79.8</v>
      </c>
      <c r="U88">
        <v>125</v>
      </c>
      <c r="V88">
        <v>638.4</v>
      </c>
      <c r="W88" t="s">
        <v>1153</v>
      </c>
      <c r="X88" t="s">
        <v>1087</v>
      </c>
      <c r="Y88">
        <v>40</v>
      </c>
      <c r="Z88">
        <v>1</v>
      </c>
      <c r="AA88">
        <v>53.166666666666664</v>
      </c>
    </row>
    <row r="89" spans="1:27" x14ac:dyDescent="0.3">
      <c r="A89" s="15">
        <v>44453.734849537039</v>
      </c>
      <c r="B89" t="s">
        <v>13</v>
      </c>
      <c r="C89" t="s">
        <v>1132</v>
      </c>
      <c r="D89" s="2">
        <v>44440</v>
      </c>
      <c r="E89" t="s">
        <v>1082</v>
      </c>
      <c r="F89" t="s">
        <v>41</v>
      </c>
      <c r="G89" t="s">
        <v>943</v>
      </c>
      <c r="H89" t="s">
        <v>48</v>
      </c>
      <c r="I89" t="s">
        <v>1039</v>
      </c>
      <c r="J89" t="s">
        <v>221</v>
      </c>
      <c r="K89">
        <v>1134</v>
      </c>
      <c r="L89">
        <v>11</v>
      </c>
      <c r="M89">
        <v>153.5</v>
      </c>
      <c r="N89" t="s">
        <v>21</v>
      </c>
      <c r="O89">
        <v>0</v>
      </c>
      <c r="P89">
        <v>19</v>
      </c>
      <c r="Q89">
        <v>449</v>
      </c>
      <c r="R89">
        <v>7109</v>
      </c>
      <c r="S89">
        <v>156.49199999999999</v>
      </c>
      <c r="T89">
        <v>153.5</v>
      </c>
      <c r="U89">
        <v>138</v>
      </c>
      <c r="V89">
        <v>1112.3188405797102</v>
      </c>
      <c r="W89" t="s">
        <v>1153</v>
      </c>
      <c r="X89" t="s">
        <v>1087</v>
      </c>
      <c r="Y89">
        <v>36</v>
      </c>
      <c r="Z89">
        <v>1</v>
      </c>
      <c r="AA89">
        <v>94.5</v>
      </c>
    </row>
    <row r="90" spans="1:27" x14ac:dyDescent="0.3">
      <c r="A90" s="15">
        <v>44453.736238425925</v>
      </c>
      <c r="B90" t="s">
        <v>13</v>
      </c>
      <c r="C90" t="s">
        <v>1132</v>
      </c>
      <c r="D90" s="2">
        <v>44441</v>
      </c>
      <c r="E90" t="s">
        <v>1082</v>
      </c>
      <c r="F90" t="s">
        <v>41</v>
      </c>
      <c r="G90" t="s">
        <v>943</v>
      </c>
      <c r="H90" t="s">
        <v>48</v>
      </c>
      <c r="I90" t="s">
        <v>1039</v>
      </c>
      <c r="J90" t="s">
        <v>221</v>
      </c>
      <c r="K90">
        <v>1211</v>
      </c>
      <c r="L90">
        <v>12</v>
      </c>
      <c r="M90">
        <v>171</v>
      </c>
      <c r="N90" t="s">
        <v>21</v>
      </c>
      <c r="O90">
        <v>60</v>
      </c>
      <c r="P90">
        <v>20</v>
      </c>
      <c r="Q90">
        <v>449</v>
      </c>
      <c r="R90">
        <v>7111</v>
      </c>
      <c r="S90">
        <v>167.11799999999999</v>
      </c>
      <c r="T90">
        <v>171</v>
      </c>
      <c r="U90">
        <v>138</v>
      </c>
      <c r="V90">
        <v>1239.1304347826087</v>
      </c>
      <c r="W90" t="s">
        <v>1153</v>
      </c>
      <c r="X90" t="s">
        <v>1087</v>
      </c>
      <c r="Y90">
        <v>36</v>
      </c>
      <c r="Z90">
        <v>1</v>
      </c>
      <c r="AA90">
        <v>100.91666666666667</v>
      </c>
    </row>
    <row r="91" spans="1:27" x14ac:dyDescent="0.3">
      <c r="A91" s="15">
        <v>44453.739050925928</v>
      </c>
      <c r="B91" t="s">
        <v>13</v>
      </c>
      <c r="C91" t="s">
        <v>1132</v>
      </c>
      <c r="D91" s="2">
        <v>44442</v>
      </c>
      <c r="E91" t="s">
        <v>1105</v>
      </c>
      <c r="F91" t="s">
        <v>41</v>
      </c>
      <c r="G91" t="s">
        <v>943</v>
      </c>
      <c r="H91" t="s">
        <v>48</v>
      </c>
      <c r="I91" t="s">
        <v>1039</v>
      </c>
      <c r="J91" t="s">
        <v>221</v>
      </c>
      <c r="K91">
        <v>1386</v>
      </c>
      <c r="L91">
        <v>12</v>
      </c>
      <c r="M91">
        <v>192.4</v>
      </c>
      <c r="N91" t="s">
        <v>21</v>
      </c>
      <c r="O91">
        <v>60</v>
      </c>
      <c r="P91">
        <v>23</v>
      </c>
      <c r="Q91">
        <v>449</v>
      </c>
      <c r="R91">
        <v>7113</v>
      </c>
      <c r="S91">
        <v>191.268</v>
      </c>
      <c r="T91">
        <v>192.4</v>
      </c>
      <c r="U91">
        <v>138</v>
      </c>
      <c r="V91">
        <v>1394.2028985507247</v>
      </c>
      <c r="W91" t="s">
        <v>1153</v>
      </c>
      <c r="X91" t="s">
        <v>1087</v>
      </c>
      <c r="Y91">
        <v>36</v>
      </c>
      <c r="Z91">
        <v>1</v>
      </c>
      <c r="AA91">
        <v>115.5</v>
      </c>
    </row>
    <row r="92" spans="1:27" x14ac:dyDescent="0.3">
      <c r="A92" s="15">
        <v>44453.740648148145</v>
      </c>
      <c r="B92" t="s">
        <v>13</v>
      </c>
      <c r="C92" t="s">
        <v>1132</v>
      </c>
      <c r="D92" s="2">
        <v>44443</v>
      </c>
      <c r="E92" t="s">
        <v>1082</v>
      </c>
      <c r="F92" t="s">
        <v>41</v>
      </c>
      <c r="G92" t="s">
        <v>943</v>
      </c>
      <c r="H92" t="s">
        <v>48</v>
      </c>
      <c r="I92" t="s">
        <v>1039</v>
      </c>
      <c r="J92" t="s">
        <v>221</v>
      </c>
      <c r="K92">
        <v>660</v>
      </c>
      <c r="L92">
        <v>5</v>
      </c>
      <c r="M92">
        <v>92.5</v>
      </c>
      <c r="N92" t="s">
        <v>21</v>
      </c>
      <c r="O92">
        <v>60</v>
      </c>
      <c r="P92">
        <v>11</v>
      </c>
      <c r="Q92">
        <v>449</v>
      </c>
      <c r="R92">
        <v>7115</v>
      </c>
      <c r="S92">
        <v>91.08</v>
      </c>
      <c r="T92">
        <v>92.5</v>
      </c>
      <c r="U92">
        <v>138</v>
      </c>
      <c r="V92">
        <v>670.28985507246375</v>
      </c>
      <c r="W92" t="s">
        <v>1153</v>
      </c>
      <c r="X92" t="s">
        <v>1087</v>
      </c>
      <c r="Y92">
        <v>36</v>
      </c>
      <c r="Z92">
        <v>1</v>
      </c>
      <c r="AA92">
        <v>55</v>
      </c>
    </row>
    <row r="93" spans="1:27" x14ac:dyDescent="0.3">
      <c r="A93" s="15">
        <v>44482.721493055556</v>
      </c>
      <c r="B93" t="s">
        <v>13</v>
      </c>
      <c r="C93" t="s">
        <v>1132</v>
      </c>
      <c r="D93" s="2">
        <v>44445</v>
      </c>
      <c r="E93" t="s">
        <v>1105</v>
      </c>
      <c r="F93" t="s">
        <v>41</v>
      </c>
      <c r="G93" t="s">
        <v>943</v>
      </c>
      <c r="H93" t="s">
        <v>48</v>
      </c>
      <c r="I93" t="s">
        <v>1053</v>
      </c>
      <c r="J93" t="s">
        <v>152</v>
      </c>
      <c r="K93">
        <v>116</v>
      </c>
      <c r="L93">
        <v>2</v>
      </c>
      <c r="M93">
        <v>28.5</v>
      </c>
      <c r="N93" t="s">
        <v>21</v>
      </c>
      <c r="O93">
        <v>0</v>
      </c>
      <c r="P93">
        <v>3</v>
      </c>
      <c r="Q93">
        <v>457</v>
      </c>
      <c r="R93">
        <v>7116</v>
      </c>
      <c r="S93">
        <v>27.84</v>
      </c>
      <c r="T93">
        <v>28.5</v>
      </c>
      <c r="U93">
        <v>240</v>
      </c>
      <c r="V93">
        <v>118.75</v>
      </c>
      <c r="W93" t="s">
        <v>1153</v>
      </c>
      <c r="X93" t="s">
        <v>1087</v>
      </c>
      <c r="Y93">
        <v>37</v>
      </c>
      <c r="Z93">
        <v>1</v>
      </c>
      <c r="AA93">
        <v>9.6666666666666661</v>
      </c>
    </row>
    <row r="94" spans="1:27" x14ac:dyDescent="0.3">
      <c r="A94" s="15">
        <v>44482.723020833335</v>
      </c>
      <c r="B94" t="s">
        <v>13</v>
      </c>
      <c r="C94" t="s">
        <v>1132</v>
      </c>
      <c r="D94" s="2">
        <v>44446</v>
      </c>
      <c r="E94" t="s">
        <v>1081</v>
      </c>
      <c r="F94" t="s">
        <v>41</v>
      </c>
      <c r="G94" t="s">
        <v>943</v>
      </c>
      <c r="H94" t="s">
        <v>48</v>
      </c>
      <c r="I94" t="s">
        <v>1053</v>
      </c>
      <c r="J94" t="s">
        <v>152</v>
      </c>
      <c r="K94">
        <v>1008</v>
      </c>
      <c r="L94">
        <v>11</v>
      </c>
      <c r="M94">
        <v>246.96</v>
      </c>
      <c r="N94" t="s">
        <v>21</v>
      </c>
      <c r="O94">
        <v>24</v>
      </c>
      <c r="P94">
        <v>38</v>
      </c>
      <c r="Q94">
        <v>457</v>
      </c>
      <c r="R94">
        <v>7118</v>
      </c>
      <c r="S94">
        <v>241.92</v>
      </c>
      <c r="T94">
        <v>246.96</v>
      </c>
      <c r="U94">
        <v>240</v>
      </c>
      <c r="V94">
        <v>1029</v>
      </c>
      <c r="W94" t="s">
        <v>1153</v>
      </c>
      <c r="X94" t="s">
        <v>1087</v>
      </c>
      <c r="Y94">
        <v>37</v>
      </c>
      <c r="Z94">
        <v>1</v>
      </c>
      <c r="AA94">
        <v>84</v>
      </c>
    </row>
    <row r="95" spans="1:27" x14ac:dyDescent="0.3">
      <c r="A95" s="15">
        <v>44482.727465277778</v>
      </c>
      <c r="B95" t="s">
        <v>13</v>
      </c>
      <c r="C95" t="s">
        <v>1132</v>
      </c>
      <c r="D95" s="2">
        <v>44447</v>
      </c>
      <c r="E95" t="s">
        <v>1105</v>
      </c>
      <c r="F95" t="s">
        <v>41</v>
      </c>
      <c r="G95" t="s">
        <v>943</v>
      </c>
      <c r="H95" t="s">
        <v>48</v>
      </c>
      <c r="I95" t="s">
        <v>1053</v>
      </c>
      <c r="J95" t="s">
        <v>152</v>
      </c>
      <c r="K95">
        <v>721</v>
      </c>
      <c r="L95">
        <v>9</v>
      </c>
      <c r="M95">
        <v>174.48</v>
      </c>
      <c r="N95" t="s">
        <v>21</v>
      </c>
      <c r="O95">
        <v>24</v>
      </c>
      <c r="P95">
        <v>28</v>
      </c>
      <c r="Q95">
        <v>457</v>
      </c>
      <c r="R95">
        <v>7122</v>
      </c>
      <c r="S95">
        <v>173.04</v>
      </c>
      <c r="T95">
        <v>174.48</v>
      </c>
      <c r="U95">
        <v>240</v>
      </c>
      <c r="V95">
        <v>727</v>
      </c>
      <c r="W95" t="s">
        <v>1153</v>
      </c>
      <c r="X95" t="s">
        <v>1087</v>
      </c>
      <c r="Y95">
        <v>37</v>
      </c>
      <c r="Z95">
        <v>1</v>
      </c>
      <c r="AA95">
        <v>60.083333333333336</v>
      </c>
    </row>
    <row r="96" spans="1:27" x14ac:dyDescent="0.3">
      <c r="A96" s="15">
        <v>44482.728136574071</v>
      </c>
      <c r="B96" t="s">
        <v>13</v>
      </c>
      <c r="C96" t="s">
        <v>1132</v>
      </c>
      <c r="D96" s="2">
        <v>44448</v>
      </c>
      <c r="E96" t="s">
        <v>1082</v>
      </c>
      <c r="F96" t="s">
        <v>41</v>
      </c>
      <c r="G96" t="s">
        <v>943</v>
      </c>
      <c r="H96" t="s">
        <v>48</v>
      </c>
      <c r="I96" t="s">
        <v>1053</v>
      </c>
      <c r="J96" t="s">
        <v>152</v>
      </c>
      <c r="K96">
        <v>972</v>
      </c>
      <c r="L96">
        <v>10</v>
      </c>
      <c r="M96">
        <v>235.22</v>
      </c>
      <c r="N96" t="s">
        <v>21</v>
      </c>
      <c r="O96">
        <v>24</v>
      </c>
      <c r="P96">
        <v>33</v>
      </c>
      <c r="Q96">
        <v>457</v>
      </c>
      <c r="R96">
        <v>7122</v>
      </c>
      <c r="S96">
        <v>233.28</v>
      </c>
      <c r="T96">
        <v>235.22</v>
      </c>
      <c r="U96">
        <v>240</v>
      </c>
      <c r="V96">
        <v>980.08333333333337</v>
      </c>
      <c r="W96" t="s">
        <v>1153</v>
      </c>
      <c r="X96" t="s">
        <v>1087</v>
      </c>
      <c r="Y96">
        <v>37</v>
      </c>
      <c r="Z96">
        <v>1</v>
      </c>
      <c r="AA96">
        <v>81</v>
      </c>
    </row>
    <row r="97" spans="1:27" x14ac:dyDescent="0.3">
      <c r="A97" s="15">
        <v>44482.744641203702</v>
      </c>
      <c r="B97" t="s">
        <v>13</v>
      </c>
      <c r="C97" t="s">
        <v>1132</v>
      </c>
      <c r="D97" s="2">
        <v>44450</v>
      </c>
      <c r="E97" t="s">
        <v>1081</v>
      </c>
      <c r="F97" t="s">
        <v>40</v>
      </c>
      <c r="G97" t="s">
        <v>48</v>
      </c>
      <c r="H97" t="s">
        <v>946</v>
      </c>
      <c r="I97" t="s">
        <v>967</v>
      </c>
      <c r="J97" t="s">
        <v>124</v>
      </c>
      <c r="K97">
        <v>54</v>
      </c>
      <c r="L97">
        <v>1</v>
      </c>
      <c r="M97">
        <v>13.7</v>
      </c>
      <c r="N97" t="s">
        <v>21</v>
      </c>
      <c r="O97">
        <v>0</v>
      </c>
      <c r="P97">
        <v>1</v>
      </c>
      <c r="Q97">
        <v>459</v>
      </c>
      <c r="R97">
        <v>7126</v>
      </c>
      <c r="S97">
        <v>7.02</v>
      </c>
      <c r="T97">
        <v>13.7</v>
      </c>
      <c r="U97">
        <v>130</v>
      </c>
      <c r="V97">
        <v>105.38461538461539</v>
      </c>
      <c r="W97" t="s">
        <v>1153</v>
      </c>
      <c r="X97" t="s">
        <v>1087</v>
      </c>
      <c r="Y97">
        <v>37</v>
      </c>
      <c r="Z97">
        <v>2</v>
      </c>
      <c r="AA97">
        <v>9</v>
      </c>
    </row>
    <row r="98" spans="1:27" x14ac:dyDescent="0.3">
      <c r="A98" s="15">
        <v>44482.743460648147</v>
      </c>
      <c r="B98" t="s">
        <v>13</v>
      </c>
      <c r="C98" t="s">
        <v>1132</v>
      </c>
      <c r="D98" s="2">
        <v>44450</v>
      </c>
      <c r="E98" t="s">
        <v>1081</v>
      </c>
      <c r="F98" t="s">
        <v>40</v>
      </c>
      <c r="G98" t="s">
        <v>48</v>
      </c>
      <c r="H98" t="s">
        <v>946</v>
      </c>
      <c r="I98" t="s">
        <v>967</v>
      </c>
      <c r="J98" t="s">
        <v>1141</v>
      </c>
      <c r="K98">
        <v>425</v>
      </c>
      <c r="L98">
        <v>3</v>
      </c>
      <c r="M98">
        <v>103.7</v>
      </c>
      <c r="N98" t="s">
        <v>21</v>
      </c>
      <c r="O98">
        <v>0</v>
      </c>
      <c r="P98">
        <v>0</v>
      </c>
      <c r="Q98">
        <v>457</v>
      </c>
      <c r="R98">
        <v>7125</v>
      </c>
      <c r="S98">
        <v>55.25</v>
      </c>
      <c r="T98">
        <v>103.7</v>
      </c>
      <c r="U98">
        <v>130</v>
      </c>
      <c r="V98">
        <v>797.69230769230774</v>
      </c>
      <c r="W98" t="s">
        <v>1153</v>
      </c>
      <c r="X98" t="s">
        <v>1087</v>
      </c>
      <c r="Y98">
        <v>37</v>
      </c>
      <c r="Z98">
        <v>2</v>
      </c>
      <c r="AA98">
        <v>70.833333333333329</v>
      </c>
    </row>
    <row r="99" spans="1:27" x14ac:dyDescent="0.3">
      <c r="A99" s="15">
        <v>44482.735960648148</v>
      </c>
      <c r="B99" t="s">
        <v>13</v>
      </c>
      <c r="C99" t="s">
        <v>1132</v>
      </c>
      <c r="D99" s="2">
        <v>44450</v>
      </c>
      <c r="E99" t="s">
        <v>1082</v>
      </c>
      <c r="F99" t="s">
        <v>40</v>
      </c>
      <c r="G99" t="s">
        <v>48</v>
      </c>
      <c r="H99" t="s">
        <v>946</v>
      </c>
      <c r="I99" t="s">
        <v>967</v>
      </c>
      <c r="J99" t="s">
        <v>1144</v>
      </c>
      <c r="K99">
        <v>411</v>
      </c>
      <c r="L99">
        <v>4</v>
      </c>
      <c r="M99">
        <v>104.1</v>
      </c>
      <c r="N99" t="s">
        <v>21</v>
      </c>
      <c r="O99">
        <v>0</v>
      </c>
      <c r="P99">
        <v>14</v>
      </c>
      <c r="Q99">
        <v>457</v>
      </c>
      <c r="R99">
        <v>7125</v>
      </c>
      <c r="S99">
        <v>53.43</v>
      </c>
      <c r="T99">
        <v>104.1</v>
      </c>
      <c r="U99">
        <v>130</v>
      </c>
      <c r="V99">
        <v>800.76923076923072</v>
      </c>
      <c r="W99" t="s">
        <v>1153</v>
      </c>
      <c r="X99" t="s">
        <v>1087</v>
      </c>
      <c r="Y99">
        <v>37</v>
      </c>
      <c r="Z99">
        <v>2</v>
      </c>
      <c r="AA99">
        <v>68.5</v>
      </c>
    </row>
    <row r="100" spans="1:27" x14ac:dyDescent="0.3">
      <c r="A100" s="15">
        <v>44482.730393518519</v>
      </c>
      <c r="B100" t="s">
        <v>13</v>
      </c>
      <c r="C100" t="s">
        <v>1132</v>
      </c>
      <c r="D100" s="2">
        <v>44450</v>
      </c>
      <c r="E100" t="s">
        <v>1082</v>
      </c>
      <c r="F100" t="s">
        <v>41</v>
      </c>
      <c r="G100" t="s">
        <v>943</v>
      </c>
      <c r="H100" t="s">
        <v>48</v>
      </c>
      <c r="I100" t="s">
        <v>967</v>
      </c>
      <c r="J100" t="s">
        <v>123</v>
      </c>
      <c r="K100">
        <v>411</v>
      </c>
      <c r="L100">
        <v>5</v>
      </c>
      <c r="M100">
        <v>404.1</v>
      </c>
      <c r="N100" t="s">
        <v>21</v>
      </c>
      <c r="O100">
        <v>80</v>
      </c>
      <c r="P100">
        <v>14</v>
      </c>
      <c r="Q100">
        <v>457</v>
      </c>
      <c r="R100">
        <v>7125</v>
      </c>
      <c r="S100">
        <v>53.43</v>
      </c>
      <c r="T100">
        <v>404.1</v>
      </c>
      <c r="U100">
        <v>130</v>
      </c>
      <c r="V100">
        <v>3108.4615384615386</v>
      </c>
      <c r="W100" t="s">
        <v>1153</v>
      </c>
      <c r="X100" t="s">
        <v>1087</v>
      </c>
      <c r="Y100">
        <v>37</v>
      </c>
      <c r="Z100">
        <v>2</v>
      </c>
      <c r="AA100">
        <v>68.5</v>
      </c>
    </row>
    <row r="101" spans="1:27" x14ac:dyDescent="0.3">
      <c r="A101" s="15">
        <v>44482.745891203704</v>
      </c>
      <c r="B101" t="s">
        <v>13</v>
      </c>
      <c r="C101" t="s">
        <v>1132</v>
      </c>
      <c r="D101" s="2">
        <v>44452</v>
      </c>
      <c r="E101" t="s">
        <v>1114</v>
      </c>
      <c r="F101" t="s">
        <v>40</v>
      </c>
      <c r="G101" t="s">
        <v>48</v>
      </c>
      <c r="H101" t="s">
        <v>946</v>
      </c>
      <c r="I101" t="s">
        <v>967</v>
      </c>
      <c r="J101" t="s">
        <v>1142</v>
      </c>
      <c r="K101">
        <v>90</v>
      </c>
      <c r="L101">
        <v>1</v>
      </c>
      <c r="M101">
        <v>23.2</v>
      </c>
      <c r="N101" t="s">
        <v>21</v>
      </c>
      <c r="O101">
        <v>0</v>
      </c>
      <c r="P101">
        <v>1</v>
      </c>
      <c r="Q101">
        <v>459</v>
      </c>
      <c r="R101">
        <v>7127</v>
      </c>
      <c r="S101">
        <v>11.7</v>
      </c>
      <c r="T101">
        <v>23.2</v>
      </c>
      <c r="U101">
        <v>130</v>
      </c>
      <c r="V101">
        <v>178.46153846153845</v>
      </c>
      <c r="W101" t="s">
        <v>1153</v>
      </c>
      <c r="X101" t="s">
        <v>1087</v>
      </c>
      <c r="Y101">
        <v>38</v>
      </c>
      <c r="Z101">
        <v>2</v>
      </c>
      <c r="AA101">
        <v>15</v>
      </c>
    </row>
    <row r="102" spans="1:27" x14ac:dyDescent="0.3">
      <c r="A102" s="15">
        <v>44482.745381944442</v>
      </c>
      <c r="B102" t="s">
        <v>13</v>
      </c>
      <c r="C102" t="s">
        <v>1132</v>
      </c>
      <c r="D102" s="2">
        <v>44452</v>
      </c>
      <c r="E102" t="s">
        <v>1114</v>
      </c>
      <c r="F102" t="s">
        <v>40</v>
      </c>
      <c r="G102" t="s">
        <v>48</v>
      </c>
      <c r="H102" t="s">
        <v>946</v>
      </c>
      <c r="I102" t="s">
        <v>967</v>
      </c>
      <c r="J102" t="s">
        <v>124</v>
      </c>
      <c r="K102">
        <v>419</v>
      </c>
      <c r="L102">
        <v>3</v>
      </c>
      <c r="M102">
        <v>107.8</v>
      </c>
      <c r="N102" t="s">
        <v>21</v>
      </c>
      <c r="O102">
        <v>0</v>
      </c>
      <c r="P102">
        <v>13</v>
      </c>
      <c r="Q102">
        <v>459</v>
      </c>
      <c r="R102">
        <v>7127</v>
      </c>
      <c r="S102">
        <v>54.47</v>
      </c>
      <c r="T102">
        <v>107.8</v>
      </c>
      <c r="U102">
        <v>130</v>
      </c>
      <c r="V102">
        <v>829.23076923076928</v>
      </c>
      <c r="W102" t="s">
        <v>1153</v>
      </c>
      <c r="X102" t="s">
        <v>1087</v>
      </c>
      <c r="Y102">
        <v>38</v>
      </c>
      <c r="Z102">
        <v>2</v>
      </c>
      <c r="AA102">
        <v>69.833333333333329</v>
      </c>
    </row>
    <row r="103" spans="1:27" x14ac:dyDescent="0.3">
      <c r="A103" s="15">
        <v>44482.750127314815</v>
      </c>
      <c r="B103" t="s">
        <v>13</v>
      </c>
      <c r="C103" t="s">
        <v>1132</v>
      </c>
      <c r="D103" s="2">
        <v>44453</v>
      </c>
      <c r="E103" t="s">
        <v>1082</v>
      </c>
      <c r="F103" t="s">
        <v>40</v>
      </c>
      <c r="G103" t="s">
        <v>48</v>
      </c>
      <c r="H103" t="s">
        <v>946</v>
      </c>
      <c r="I103" t="s">
        <v>967</v>
      </c>
      <c r="J103" t="s">
        <v>124</v>
      </c>
      <c r="K103">
        <v>192</v>
      </c>
      <c r="L103">
        <v>3</v>
      </c>
      <c r="M103">
        <v>49.5</v>
      </c>
      <c r="N103" t="s">
        <v>21</v>
      </c>
      <c r="O103">
        <v>0</v>
      </c>
      <c r="P103">
        <v>0</v>
      </c>
      <c r="Q103">
        <v>459</v>
      </c>
      <c r="R103">
        <v>7129</v>
      </c>
      <c r="S103">
        <v>24.96</v>
      </c>
      <c r="T103">
        <v>49.5</v>
      </c>
      <c r="U103">
        <v>130</v>
      </c>
      <c r="V103">
        <v>380.76923076923077</v>
      </c>
      <c r="W103" t="s">
        <v>1153</v>
      </c>
      <c r="X103" t="s">
        <v>1087</v>
      </c>
      <c r="Y103">
        <v>38</v>
      </c>
      <c r="Z103">
        <v>2</v>
      </c>
      <c r="AA103">
        <v>32</v>
      </c>
    </row>
    <row r="104" spans="1:27" x14ac:dyDescent="0.3">
      <c r="A104" s="15">
        <v>44482.749328703707</v>
      </c>
      <c r="B104" t="s">
        <v>13</v>
      </c>
      <c r="C104" t="s">
        <v>1132</v>
      </c>
      <c r="D104" s="2">
        <v>44453</v>
      </c>
      <c r="E104" t="s">
        <v>1082</v>
      </c>
      <c r="F104" t="s">
        <v>40</v>
      </c>
      <c r="G104" t="s">
        <v>48</v>
      </c>
      <c r="H104" t="s">
        <v>946</v>
      </c>
      <c r="I104" t="s">
        <v>967</v>
      </c>
      <c r="J104" t="s">
        <v>1142</v>
      </c>
      <c r="K104">
        <v>303</v>
      </c>
      <c r="L104">
        <v>8</v>
      </c>
      <c r="M104">
        <v>78.099999999999994</v>
      </c>
      <c r="N104" t="s">
        <v>21</v>
      </c>
      <c r="O104">
        <v>0</v>
      </c>
      <c r="P104">
        <v>4</v>
      </c>
      <c r="Q104">
        <v>459</v>
      </c>
      <c r="R104">
        <v>7129</v>
      </c>
      <c r="S104">
        <v>39.39</v>
      </c>
      <c r="T104">
        <v>78.099999999999994</v>
      </c>
      <c r="U104">
        <v>130</v>
      </c>
      <c r="V104">
        <v>600.76923076923072</v>
      </c>
      <c r="W104" t="s">
        <v>1153</v>
      </c>
      <c r="X104" t="s">
        <v>1087</v>
      </c>
      <c r="Y104">
        <v>38</v>
      </c>
      <c r="Z104">
        <v>2</v>
      </c>
      <c r="AA104">
        <v>50.5</v>
      </c>
    </row>
    <row r="105" spans="1:27" x14ac:dyDescent="0.3">
      <c r="A105" s="15">
        <v>44482.756458333337</v>
      </c>
      <c r="B105" t="s">
        <v>13</v>
      </c>
      <c r="C105" t="s">
        <v>1132</v>
      </c>
      <c r="D105" s="2">
        <v>44454</v>
      </c>
      <c r="E105" t="s">
        <v>1082</v>
      </c>
      <c r="F105" t="s">
        <v>40</v>
      </c>
      <c r="G105" t="s">
        <v>48</v>
      </c>
      <c r="H105" t="s">
        <v>946</v>
      </c>
      <c r="I105" t="s">
        <v>967</v>
      </c>
      <c r="J105" t="s">
        <v>1143</v>
      </c>
      <c r="K105">
        <v>60</v>
      </c>
      <c r="L105">
        <v>1</v>
      </c>
      <c r="M105">
        <v>13.6</v>
      </c>
      <c r="N105" t="s">
        <v>21</v>
      </c>
      <c r="O105">
        <v>0</v>
      </c>
      <c r="P105">
        <v>7</v>
      </c>
      <c r="Q105">
        <v>459</v>
      </c>
      <c r="R105">
        <v>7131</v>
      </c>
      <c r="S105">
        <v>7.8</v>
      </c>
      <c r="T105">
        <v>13.6</v>
      </c>
      <c r="U105">
        <v>130</v>
      </c>
      <c r="V105">
        <v>104.61538461538461</v>
      </c>
      <c r="W105" t="s">
        <v>1153</v>
      </c>
      <c r="X105" t="s">
        <v>1087</v>
      </c>
      <c r="Y105">
        <v>38</v>
      </c>
      <c r="Z105">
        <v>2</v>
      </c>
      <c r="AA105">
        <v>10</v>
      </c>
    </row>
    <row r="106" spans="1:27" x14ac:dyDescent="0.3">
      <c r="A106" s="15">
        <v>44482.755902777775</v>
      </c>
      <c r="B106" t="s">
        <v>13</v>
      </c>
      <c r="C106" t="s">
        <v>1132</v>
      </c>
      <c r="D106" s="2">
        <v>44454</v>
      </c>
      <c r="E106" t="s">
        <v>1082</v>
      </c>
      <c r="F106" t="s">
        <v>40</v>
      </c>
      <c r="G106" t="s">
        <v>48</v>
      </c>
      <c r="H106" t="s">
        <v>946</v>
      </c>
      <c r="I106" t="s">
        <v>967</v>
      </c>
      <c r="J106" t="s">
        <v>1144</v>
      </c>
      <c r="K106">
        <v>210</v>
      </c>
      <c r="L106">
        <v>4</v>
      </c>
      <c r="M106">
        <v>52.8</v>
      </c>
      <c r="N106" t="s">
        <v>21</v>
      </c>
      <c r="O106">
        <v>0</v>
      </c>
      <c r="P106">
        <v>7</v>
      </c>
      <c r="Q106">
        <v>459</v>
      </c>
      <c r="R106">
        <v>7131</v>
      </c>
      <c r="S106">
        <v>27.3</v>
      </c>
      <c r="T106">
        <v>52.8</v>
      </c>
      <c r="U106">
        <v>130</v>
      </c>
      <c r="V106">
        <v>406.15384615384613</v>
      </c>
      <c r="W106" t="s">
        <v>1153</v>
      </c>
      <c r="X106" t="s">
        <v>1087</v>
      </c>
      <c r="Y106">
        <v>38</v>
      </c>
      <c r="Z106">
        <v>2</v>
      </c>
      <c r="AA106">
        <v>35</v>
      </c>
    </row>
    <row r="107" spans="1:27" x14ac:dyDescent="0.3">
      <c r="A107" s="15">
        <v>44482.755381944444</v>
      </c>
      <c r="B107" t="s">
        <v>13</v>
      </c>
      <c r="C107" t="s">
        <v>1132</v>
      </c>
      <c r="D107" s="2">
        <v>44454</v>
      </c>
      <c r="E107" t="s">
        <v>1082</v>
      </c>
      <c r="F107" t="s">
        <v>40</v>
      </c>
      <c r="G107" t="s">
        <v>48</v>
      </c>
      <c r="H107" t="s">
        <v>946</v>
      </c>
      <c r="I107" t="s">
        <v>967</v>
      </c>
      <c r="J107" t="s">
        <v>1144</v>
      </c>
      <c r="K107">
        <v>131</v>
      </c>
      <c r="L107">
        <v>5</v>
      </c>
      <c r="M107">
        <v>33.299999999999997</v>
      </c>
      <c r="N107" t="s">
        <v>21</v>
      </c>
      <c r="O107">
        <v>0</v>
      </c>
      <c r="P107">
        <v>5</v>
      </c>
      <c r="Q107">
        <v>459</v>
      </c>
      <c r="R107">
        <v>7131</v>
      </c>
      <c r="S107">
        <v>17.03</v>
      </c>
      <c r="T107">
        <v>33.299999999999997</v>
      </c>
      <c r="U107">
        <v>130</v>
      </c>
      <c r="V107">
        <v>256.15384615384613</v>
      </c>
      <c r="W107" t="s">
        <v>1153</v>
      </c>
      <c r="X107" t="s">
        <v>1087</v>
      </c>
      <c r="Y107">
        <v>38</v>
      </c>
      <c r="Z107">
        <v>2</v>
      </c>
      <c r="AA107">
        <v>21.833333333333332</v>
      </c>
    </row>
    <row r="108" spans="1:27" x14ac:dyDescent="0.3">
      <c r="A108" s="15">
        <v>44482.754826388889</v>
      </c>
      <c r="B108" t="s">
        <v>13</v>
      </c>
      <c r="C108" t="s">
        <v>1132</v>
      </c>
      <c r="D108" s="2">
        <v>44454</v>
      </c>
      <c r="E108" t="s">
        <v>1082</v>
      </c>
      <c r="F108" t="s">
        <v>40</v>
      </c>
      <c r="G108" t="s">
        <v>48</v>
      </c>
      <c r="H108" t="s">
        <v>946</v>
      </c>
      <c r="I108" t="s">
        <v>967</v>
      </c>
      <c r="J108" t="s">
        <v>123</v>
      </c>
      <c r="K108">
        <v>130</v>
      </c>
      <c r="L108">
        <v>2</v>
      </c>
      <c r="M108">
        <v>38.200000000000003</v>
      </c>
      <c r="N108" t="s">
        <v>21</v>
      </c>
      <c r="O108">
        <v>0</v>
      </c>
      <c r="P108">
        <v>5</v>
      </c>
      <c r="Q108">
        <v>459</v>
      </c>
      <c r="R108">
        <v>7131</v>
      </c>
      <c r="S108">
        <v>16.899999999999999</v>
      </c>
      <c r="T108">
        <v>38.200000000000003</v>
      </c>
      <c r="U108">
        <v>130</v>
      </c>
      <c r="V108">
        <v>293.84615384615387</v>
      </c>
      <c r="W108" t="s">
        <v>1153</v>
      </c>
      <c r="X108" t="s">
        <v>1087</v>
      </c>
      <c r="Y108">
        <v>38</v>
      </c>
      <c r="Z108">
        <v>2</v>
      </c>
      <c r="AA108">
        <v>21.666666666666668</v>
      </c>
    </row>
    <row r="109" spans="1:27" x14ac:dyDescent="0.3">
      <c r="A109" s="15">
        <v>44482.760243055556</v>
      </c>
      <c r="B109" t="s">
        <v>13</v>
      </c>
      <c r="C109" t="s">
        <v>1132</v>
      </c>
      <c r="D109" s="2">
        <v>44455</v>
      </c>
      <c r="E109" t="s">
        <v>1082</v>
      </c>
      <c r="F109" t="s">
        <v>40</v>
      </c>
      <c r="G109" t="s">
        <v>48</v>
      </c>
      <c r="H109" t="s">
        <v>946</v>
      </c>
      <c r="I109" t="s">
        <v>967</v>
      </c>
      <c r="J109" t="s">
        <v>1142</v>
      </c>
      <c r="K109">
        <v>120</v>
      </c>
      <c r="L109">
        <v>2</v>
      </c>
      <c r="M109">
        <v>30.4</v>
      </c>
      <c r="N109" t="s">
        <v>21</v>
      </c>
      <c r="O109">
        <v>0</v>
      </c>
      <c r="P109">
        <v>4</v>
      </c>
      <c r="Q109">
        <v>459</v>
      </c>
      <c r="R109">
        <v>7132</v>
      </c>
      <c r="S109">
        <v>15.6</v>
      </c>
      <c r="T109">
        <v>30.4</v>
      </c>
      <c r="U109">
        <v>130</v>
      </c>
      <c r="V109">
        <v>233.84615384615384</v>
      </c>
      <c r="W109" t="s">
        <v>1153</v>
      </c>
      <c r="X109" t="s">
        <v>1087</v>
      </c>
      <c r="Y109">
        <v>38</v>
      </c>
      <c r="Z109">
        <v>2</v>
      </c>
      <c r="AA109">
        <v>20</v>
      </c>
    </row>
    <row r="110" spans="1:27" x14ac:dyDescent="0.3">
      <c r="A110" s="15">
        <v>44482.758055555554</v>
      </c>
      <c r="B110" t="s">
        <v>13</v>
      </c>
      <c r="C110" t="s">
        <v>1132</v>
      </c>
      <c r="D110" s="2">
        <v>44455</v>
      </c>
      <c r="E110" t="s">
        <v>1082</v>
      </c>
      <c r="F110" t="s">
        <v>40</v>
      </c>
      <c r="G110" t="s">
        <v>48</v>
      </c>
      <c r="H110" t="s">
        <v>946</v>
      </c>
      <c r="I110" t="s">
        <v>967</v>
      </c>
      <c r="J110" t="s">
        <v>123</v>
      </c>
      <c r="K110">
        <v>77</v>
      </c>
      <c r="L110">
        <v>2</v>
      </c>
      <c r="M110">
        <v>22.1</v>
      </c>
      <c r="N110" t="s">
        <v>21</v>
      </c>
      <c r="O110">
        <v>0</v>
      </c>
      <c r="P110">
        <v>4</v>
      </c>
      <c r="Q110">
        <v>459</v>
      </c>
      <c r="R110">
        <v>7132</v>
      </c>
      <c r="S110">
        <v>10.01</v>
      </c>
      <c r="T110">
        <v>22.1</v>
      </c>
      <c r="U110">
        <v>130</v>
      </c>
      <c r="V110">
        <v>170</v>
      </c>
      <c r="W110" t="s">
        <v>1153</v>
      </c>
      <c r="X110" t="s">
        <v>1087</v>
      </c>
      <c r="Y110">
        <v>38</v>
      </c>
      <c r="Z110">
        <v>2</v>
      </c>
      <c r="AA110">
        <v>12.833333333333334</v>
      </c>
    </row>
    <row r="111" spans="1:27" x14ac:dyDescent="0.3">
      <c r="A111" s="15">
        <v>44482.757743055554</v>
      </c>
      <c r="B111" t="s">
        <v>13</v>
      </c>
      <c r="C111" t="s">
        <v>1132</v>
      </c>
      <c r="D111" s="2">
        <v>44455</v>
      </c>
      <c r="E111" t="s">
        <v>1082</v>
      </c>
      <c r="F111" t="s">
        <v>40</v>
      </c>
      <c r="G111" t="s">
        <v>48</v>
      </c>
      <c r="H111" t="s">
        <v>946</v>
      </c>
      <c r="I111" t="s">
        <v>967</v>
      </c>
      <c r="J111" t="s">
        <v>1141</v>
      </c>
      <c r="K111">
        <v>120</v>
      </c>
      <c r="L111">
        <v>2</v>
      </c>
      <c r="M111">
        <v>30.4</v>
      </c>
      <c r="N111" t="s">
        <v>21</v>
      </c>
      <c r="O111">
        <v>0</v>
      </c>
      <c r="P111">
        <v>4</v>
      </c>
      <c r="Q111">
        <v>459</v>
      </c>
      <c r="R111">
        <v>7132</v>
      </c>
      <c r="S111">
        <v>15.6</v>
      </c>
      <c r="T111">
        <v>30.4</v>
      </c>
      <c r="U111">
        <v>130</v>
      </c>
      <c r="V111">
        <v>233.84615384615384</v>
      </c>
      <c r="W111" t="s">
        <v>1153</v>
      </c>
      <c r="X111" t="s">
        <v>1087</v>
      </c>
      <c r="Y111">
        <v>38</v>
      </c>
      <c r="Z111">
        <v>2</v>
      </c>
      <c r="AA111">
        <v>20</v>
      </c>
    </row>
    <row r="112" spans="1:27" x14ac:dyDescent="0.3">
      <c r="A112" s="15">
        <v>44482.757349537038</v>
      </c>
      <c r="B112" t="s">
        <v>13</v>
      </c>
      <c r="C112" t="s">
        <v>1132</v>
      </c>
      <c r="D112" s="2">
        <v>44455</v>
      </c>
      <c r="E112" t="s">
        <v>1082</v>
      </c>
      <c r="F112" t="s">
        <v>40</v>
      </c>
      <c r="G112" t="s">
        <v>48</v>
      </c>
      <c r="H112" t="s">
        <v>946</v>
      </c>
      <c r="I112" t="s">
        <v>967</v>
      </c>
      <c r="J112" t="s">
        <v>1144</v>
      </c>
      <c r="K112">
        <v>90</v>
      </c>
      <c r="L112">
        <v>2</v>
      </c>
      <c r="M112">
        <v>22.3</v>
      </c>
      <c r="N112" t="s">
        <v>21</v>
      </c>
      <c r="O112">
        <v>0</v>
      </c>
      <c r="P112">
        <v>3</v>
      </c>
      <c r="Q112">
        <v>459</v>
      </c>
      <c r="R112">
        <v>7132</v>
      </c>
      <c r="S112">
        <v>11.7</v>
      </c>
      <c r="T112">
        <v>22.3</v>
      </c>
      <c r="U112">
        <v>130</v>
      </c>
      <c r="V112">
        <v>171.53846153846155</v>
      </c>
      <c r="W112" t="s">
        <v>1153</v>
      </c>
      <c r="X112" t="s">
        <v>1087</v>
      </c>
      <c r="Y112">
        <v>38</v>
      </c>
      <c r="Z112">
        <v>2</v>
      </c>
      <c r="AA112">
        <v>15</v>
      </c>
    </row>
    <row r="113" spans="1:27" x14ac:dyDescent="0.3">
      <c r="A113" s="15">
        <v>44482.756921296299</v>
      </c>
      <c r="B113" t="s">
        <v>13</v>
      </c>
      <c r="C113" t="s">
        <v>1132</v>
      </c>
      <c r="D113" s="2">
        <v>44455</v>
      </c>
      <c r="E113" t="s">
        <v>1082</v>
      </c>
      <c r="F113" t="s">
        <v>40</v>
      </c>
      <c r="G113" t="s">
        <v>48</v>
      </c>
      <c r="H113" t="s">
        <v>946</v>
      </c>
      <c r="I113" t="s">
        <v>967</v>
      </c>
      <c r="J113" t="s">
        <v>1143</v>
      </c>
      <c r="K113">
        <v>54</v>
      </c>
      <c r="L113">
        <v>1</v>
      </c>
      <c r="M113">
        <v>14.8</v>
      </c>
      <c r="N113" t="s">
        <v>21</v>
      </c>
      <c r="O113">
        <v>0</v>
      </c>
      <c r="P113">
        <v>2</v>
      </c>
      <c r="Q113">
        <v>459</v>
      </c>
      <c r="R113">
        <v>7132</v>
      </c>
      <c r="S113">
        <v>7.02</v>
      </c>
      <c r="T113">
        <v>14.8</v>
      </c>
      <c r="U113">
        <v>130</v>
      </c>
      <c r="V113">
        <v>113.84615384615384</v>
      </c>
      <c r="W113" t="s">
        <v>1153</v>
      </c>
      <c r="X113" t="s">
        <v>1087</v>
      </c>
      <c r="Y113">
        <v>38</v>
      </c>
      <c r="Z113">
        <v>2</v>
      </c>
      <c r="AA113">
        <v>9</v>
      </c>
    </row>
    <row r="114" spans="1:27" x14ac:dyDescent="0.3">
      <c r="A114" s="15">
        <v>44482.766782407409</v>
      </c>
      <c r="B114" t="s">
        <v>13</v>
      </c>
      <c r="C114" t="s">
        <v>1132</v>
      </c>
      <c r="D114" s="2">
        <v>44461</v>
      </c>
      <c r="E114" t="s">
        <v>1082</v>
      </c>
      <c r="F114" t="s">
        <v>41</v>
      </c>
      <c r="G114" t="s">
        <v>943</v>
      </c>
      <c r="H114" t="s">
        <v>48</v>
      </c>
      <c r="I114" t="s">
        <v>1145</v>
      </c>
      <c r="J114" t="s">
        <v>1151</v>
      </c>
      <c r="K114">
        <v>428</v>
      </c>
      <c r="L114">
        <v>8</v>
      </c>
      <c r="M114">
        <v>73.599999999999994</v>
      </c>
      <c r="N114" t="s">
        <v>21</v>
      </c>
      <c r="O114">
        <v>0</v>
      </c>
      <c r="P114">
        <v>11</v>
      </c>
      <c r="Q114">
        <v>465</v>
      </c>
      <c r="R114">
        <v>7133</v>
      </c>
      <c r="S114">
        <v>36.808</v>
      </c>
      <c r="T114">
        <v>73.599999999999994</v>
      </c>
      <c r="U114">
        <v>86</v>
      </c>
      <c r="V114">
        <v>855.81395348837214</v>
      </c>
      <c r="W114" t="s">
        <v>1153</v>
      </c>
      <c r="X114" t="s">
        <v>1087</v>
      </c>
      <c r="Y114">
        <v>39</v>
      </c>
      <c r="Z114">
        <v>2</v>
      </c>
      <c r="AA114">
        <v>71.333333333333329</v>
      </c>
    </row>
    <row r="115" spans="1:27" x14ac:dyDescent="0.3">
      <c r="A115" s="15">
        <v>44482.764456018522</v>
      </c>
      <c r="B115" t="s">
        <v>13</v>
      </c>
      <c r="C115" t="s">
        <v>1132</v>
      </c>
      <c r="D115" s="2">
        <v>44461</v>
      </c>
      <c r="E115" t="s">
        <v>1082</v>
      </c>
      <c r="F115" t="s">
        <v>41</v>
      </c>
      <c r="G115" t="s">
        <v>943</v>
      </c>
      <c r="H115" t="s">
        <v>48</v>
      </c>
      <c r="I115" t="s">
        <v>1145</v>
      </c>
      <c r="J115" t="s">
        <v>1150</v>
      </c>
      <c r="K115">
        <v>320</v>
      </c>
      <c r="L115">
        <v>5</v>
      </c>
      <c r="M115">
        <v>55.4</v>
      </c>
      <c r="N115" t="s">
        <v>21</v>
      </c>
      <c r="O115">
        <v>0</v>
      </c>
      <c r="P115">
        <v>8</v>
      </c>
      <c r="Q115">
        <v>465</v>
      </c>
      <c r="R115">
        <v>7133</v>
      </c>
      <c r="S115">
        <v>27.52</v>
      </c>
      <c r="T115">
        <v>55.4</v>
      </c>
      <c r="U115">
        <v>86</v>
      </c>
      <c r="V115">
        <v>644.18604651162786</v>
      </c>
      <c r="W115" t="s">
        <v>1153</v>
      </c>
      <c r="X115" t="s">
        <v>1087</v>
      </c>
      <c r="Y115">
        <v>39</v>
      </c>
      <c r="Z115">
        <v>2</v>
      </c>
      <c r="AA115">
        <v>53.333333333333336</v>
      </c>
    </row>
    <row r="116" spans="1:27" x14ac:dyDescent="0.3">
      <c r="A116" s="15">
        <v>44482.772951388892</v>
      </c>
      <c r="B116" t="s">
        <v>13</v>
      </c>
      <c r="C116" t="s">
        <v>1132</v>
      </c>
      <c r="D116" s="2">
        <v>44462</v>
      </c>
      <c r="E116" t="s">
        <v>1114</v>
      </c>
      <c r="F116" t="s">
        <v>41</v>
      </c>
      <c r="G116" t="s">
        <v>943</v>
      </c>
      <c r="H116" t="s">
        <v>48</v>
      </c>
      <c r="I116" t="s">
        <v>1145</v>
      </c>
      <c r="J116" t="s">
        <v>1148</v>
      </c>
      <c r="K116">
        <v>869</v>
      </c>
      <c r="L116">
        <v>12</v>
      </c>
      <c r="M116">
        <v>149.47</v>
      </c>
      <c r="N116" t="s">
        <v>21</v>
      </c>
      <c r="O116">
        <v>0</v>
      </c>
      <c r="P116">
        <v>10</v>
      </c>
      <c r="Q116">
        <v>465</v>
      </c>
      <c r="R116">
        <v>7137</v>
      </c>
      <c r="S116">
        <v>74.733999999999995</v>
      </c>
      <c r="T116">
        <v>149.47</v>
      </c>
      <c r="U116">
        <v>86</v>
      </c>
      <c r="V116">
        <v>1738.0232558139535</v>
      </c>
      <c r="W116" t="s">
        <v>1153</v>
      </c>
      <c r="X116" t="s">
        <v>1087</v>
      </c>
      <c r="Y116">
        <v>39</v>
      </c>
      <c r="Z116">
        <v>2</v>
      </c>
      <c r="AA116">
        <v>144.83333333333334</v>
      </c>
    </row>
    <row r="117" spans="1:27" x14ac:dyDescent="0.3">
      <c r="A117" s="15">
        <v>44482.770949074074</v>
      </c>
      <c r="B117" t="s">
        <v>13</v>
      </c>
      <c r="C117" t="s">
        <v>1132</v>
      </c>
      <c r="D117" s="2">
        <v>44462</v>
      </c>
      <c r="E117" t="s">
        <v>1105</v>
      </c>
      <c r="F117" t="s">
        <v>41</v>
      </c>
      <c r="G117" t="s">
        <v>943</v>
      </c>
      <c r="H117" t="s">
        <v>48</v>
      </c>
      <c r="I117" t="s">
        <v>1145</v>
      </c>
      <c r="J117" t="s">
        <v>1147</v>
      </c>
      <c r="K117">
        <v>159</v>
      </c>
      <c r="L117">
        <v>2</v>
      </c>
      <c r="M117">
        <v>27.35</v>
      </c>
      <c r="N117" t="s">
        <v>21</v>
      </c>
      <c r="O117">
        <v>0</v>
      </c>
      <c r="P117">
        <v>2</v>
      </c>
      <c r="Q117">
        <v>465</v>
      </c>
      <c r="R117">
        <v>7135</v>
      </c>
      <c r="S117">
        <v>13.673999999999999</v>
      </c>
      <c r="T117">
        <v>27.35</v>
      </c>
      <c r="U117">
        <v>86</v>
      </c>
      <c r="V117">
        <v>318.02325581395348</v>
      </c>
      <c r="W117" t="s">
        <v>1153</v>
      </c>
      <c r="X117" t="s">
        <v>1087</v>
      </c>
      <c r="Y117">
        <v>39</v>
      </c>
      <c r="Z117">
        <v>2</v>
      </c>
      <c r="AA117">
        <v>26.5</v>
      </c>
    </row>
    <row r="118" spans="1:27" x14ac:dyDescent="0.3">
      <c r="A118" s="15">
        <v>44482.770567129628</v>
      </c>
      <c r="B118" t="s">
        <v>13</v>
      </c>
      <c r="C118" t="s">
        <v>1132</v>
      </c>
      <c r="D118" s="2">
        <v>44462</v>
      </c>
      <c r="E118" t="s">
        <v>1105</v>
      </c>
      <c r="F118" t="s">
        <v>41</v>
      </c>
      <c r="G118" t="s">
        <v>943</v>
      </c>
      <c r="H118" t="s">
        <v>48</v>
      </c>
      <c r="I118" t="s">
        <v>1145</v>
      </c>
      <c r="J118" t="s">
        <v>1149</v>
      </c>
      <c r="K118">
        <v>602</v>
      </c>
      <c r="L118">
        <v>9</v>
      </c>
      <c r="M118">
        <v>103.64</v>
      </c>
      <c r="N118" t="s">
        <v>21</v>
      </c>
      <c r="O118">
        <v>0</v>
      </c>
      <c r="P118">
        <v>13</v>
      </c>
      <c r="Q118">
        <v>465</v>
      </c>
      <c r="R118">
        <v>7135</v>
      </c>
      <c r="S118">
        <v>51.771999999999998</v>
      </c>
      <c r="T118">
        <v>103.64</v>
      </c>
      <c r="U118">
        <v>86</v>
      </c>
      <c r="V118">
        <v>1205.1162790697674</v>
      </c>
      <c r="W118" t="s">
        <v>1153</v>
      </c>
      <c r="X118" t="s">
        <v>1087</v>
      </c>
      <c r="Y118">
        <v>39</v>
      </c>
      <c r="Z118">
        <v>2</v>
      </c>
      <c r="AA118">
        <v>100.33333333333333</v>
      </c>
    </row>
    <row r="119" spans="1:27" x14ac:dyDescent="0.3">
      <c r="A119" s="15">
        <v>44482.774791666663</v>
      </c>
      <c r="B119" t="s">
        <v>13</v>
      </c>
      <c r="C119" t="s">
        <v>1132</v>
      </c>
      <c r="D119" s="2">
        <v>44464</v>
      </c>
      <c r="E119" t="s">
        <v>1105</v>
      </c>
      <c r="F119" t="s">
        <v>41</v>
      </c>
      <c r="G119" t="s">
        <v>943</v>
      </c>
      <c r="H119" t="s">
        <v>48</v>
      </c>
      <c r="I119" t="s">
        <v>1145</v>
      </c>
      <c r="J119" t="s">
        <v>1146</v>
      </c>
      <c r="K119">
        <v>1021</v>
      </c>
      <c r="L119">
        <v>12</v>
      </c>
      <c r="M119">
        <v>175.61</v>
      </c>
      <c r="N119" t="s">
        <v>21</v>
      </c>
      <c r="O119">
        <v>0</v>
      </c>
      <c r="P119">
        <v>20</v>
      </c>
      <c r="Q119">
        <v>465</v>
      </c>
      <c r="R119">
        <v>7139</v>
      </c>
      <c r="S119">
        <v>87.805999999999997</v>
      </c>
      <c r="T119">
        <v>175.61</v>
      </c>
      <c r="U119">
        <v>86</v>
      </c>
      <c r="V119">
        <v>2041.9767441860465</v>
      </c>
      <c r="W119" t="s">
        <v>1153</v>
      </c>
      <c r="X119" t="s">
        <v>1087</v>
      </c>
      <c r="Y119">
        <v>39</v>
      </c>
      <c r="Z119">
        <v>2</v>
      </c>
      <c r="AA119">
        <v>170.16666666666666</v>
      </c>
    </row>
    <row r="120" spans="1:27" x14ac:dyDescent="0.3">
      <c r="A120" s="15">
        <v>44482.77679398148</v>
      </c>
      <c r="B120" t="s">
        <v>13</v>
      </c>
      <c r="C120" t="s">
        <v>1132</v>
      </c>
      <c r="D120" s="2">
        <v>44465</v>
      </c>
      <c r="E120" t="s">
        <v>1027</v>
      </c>
      <c r="F120" t="s">
        <v>41</v>
      </c>
      <c r="G120" t="s">
        <v>950</v>
      </c>
      <c r="H120" t="s">
        <v>943</v>
      </c>
      <c r="I120" t="s">
        <v>1145</v>
      </c>
      <c r="J120" t="s">
        <v>1151</v>
      </c>
      <c r="K120">
        <v>738</v>
      </c>
      <c r="L120">
        <v>8</v>
      </c>
      <c r="M120">
        <v>127</v>
      </c>
      <c r="N120" t="s">
        <v>21</v>
      </c>
      <c r="O120">
        <v>0</v>
      </c>
      <c r="P120">
        <v>13</v>
      </c>
      <c r="Q120">
        <v>465</v>
      </c>
      <c r="R120">
        <v>7143</v>
      </c>
      <c r="S120">
        <v>63.468000000000004</v>
      </c>
      <c r="T120">
        <v>127</v>
      </c>
      <c r="U120">
        <v>86</v>
      </c>
      <c r="V120">
        <v>1476.7441860465117</v>
      </c>
      <c r="W120" t="s">
        <v>1153</v>
      </c>
      <c r="X120" t="s">
        <v>1087</v>
      </c>
      <c r="Y120">
        <v>39</v>
      </c>
      <c r="Z120">
        <v>2</v>
      </c>
      <c r="AA120">
        <v>123</v>
      </c>
    </row>
    <row r="121" spans="1:27" x14ac:dyDescent="0.3">
      <c r="A121" s="15">
        <v>44482.777361111112</v>
      </c>
      <c r="B121" t="s">
        <v>13</v>
      </c>
      <c r="C121" t="s">
        <v>1132</v>
      </c>
      <c r="D121" s="2">
        <v>44466</v>
      </c>
      <c r="E121" t="s">
        <v>1082</v>
      </c>
      <c r="F121" t="s">
        <v>41</v>
      </c>
      <c r="G121" t="s">
        <v>950</v>
      </c>
      <c r="H121" t="s">
        <v>943</v>
      </c>
      <c r="I121" t="s">
        <v>1145</v>
      </c>
      <c r="J121" t="s">
        <v>1149</v>
      </c>
      <c r="K121">
        <v>897</v>
      </c>
      <c r="L121">
        <v>11</v>
      </c>
      <c r="M121">
        <v>154.35</v>
      </c>
      <c r="N121" t="s">
        <v>21</v>
      </c>
      <c r="O121">
        <v>0</v>
      </c>
      <c r="P121">
        <v>13</v>
      </c>
      <c r="Q121">
        <v>465</v>
      </c>
      <c r="R121">
        <v>7144</v>
      </c>
      <c r="S121">
        <v>77.141999999999996</v>
      </c>
      <c r="T121">
        <v>154.35</v>
      </c>
      <c r="U121">
        <v>86</v>
      </c>
      <c r="V121">
        <v>1794.7674418604652</v>
      </c>
      <c r="W121" t="s">
        <v>1153</v>
      </c>
      <c r="X121" t="s">
        <v>1087</v>
      </c>
      <c r="Y121">
        <v>40</v>
      </c>
      <c r="Z121">
        <v>2</v>
      </c>
      <c r="AA121">
        <v>149.5</v>
      </c>
    </row>
    <row r="122" spans="1:27" x14ac:dyDescent="0.3">
      <c r="A122" s="15">
        <v>44482.780138888891</v>
      </c>
      <c r="B122" t="s">
        <v>13</v>
      </c>
      <c r="C122" t="s">
        <v>1132</v>
      </c>
      <c r="D122" s="2">
        <v>44467</v>
      </c>
      <c r="E122" t="s">
        <v>1105</v>
      </c>
      <c r="F122" t="s">
        <v>41</v>
      </c>
      <c r="G122" t="s">
        <v>950</v>
      </c>
      <c r="H122" t="s">
        <v>943</v>
      </c>
      <c r="I122" t="s">
        <v>1145</v>
      </c>
      <c r="J122" t="s">
        <v>1146</v>
      </c>
      <c r="K122">
        <v>538</v>
      </c>
      <c r="L122">
        <v>6</v>
      </c>
      <c r="M122">
        <v>92.54</v>
      </c>
      <c r="N122" t="s">
        <v>21</v>
      </c>
      <c r="O122">
        <v>0</v>
      </c>
      <c r="P122">
        <v>11</v>
      </c>
      <c r="Q122">
        <v>465</v>
      </c>
      <c r="R122">
        <v>7146</v>
      </c>
      <c r="S122">
        <v>46.268000000000001</v>
      </c>
      <c r="T122">
        <v>92.54</v>
      </c>
      <c r="U122">
        <v>86</v>
      </c>
      <c r="V122">
        <v>1076.046511627907</v>
      </c>
      <c r="W122" t="s">
        <v>1153</v>
      </c>
      <c r="X122" t="s">
        <v>1087</v>
      </c>
      <c r="Y122">
        <v>40</v>
      </c>
      <c r="Z122">
        <v>2</v>
      </c>
      <c r="AA122">
        <v>89.666666666666671</v>
      </c>
    </row>
    <row r="123" spans="1:27" x14ac:dyDescent="0.3">
      <c r="A123" s="15">
        <v>44482.779606481483</v>
      </c>
      <c r="B123" t="s">
        <v>13</v>
      </c>
      <c r="C123" t="s">
        <v>1132</v>
      </c>
      <c r="D123" s="2">
        <v>44467</v>
      </c>
      <c r="E123" t="s">
        <v>1105</v>
      </c>
      <c r="F123" t="s">
        <v>41</v>
      </c>
      <c r="G123" t="s">
        <v>950</v>
      </c>
      <c r="H123" t="s">
        <v>943</v>
      </c>
      <c r="I123" t="s">
        <v>1145</v>
      </c>
      <c r="J123" t="s">
        <v>1147</v>
      </c>
      <c r="K123">
        <v>131</v>
      </c>
      <c r="L123">
        <v>2</v>
      </c>
      <c r="M123">
        <v>22.53</v>
      </c>
      <c r="N123" t="s">
        <v>21</v>
      </c>
      <c r="O123">
        <v>0</v>
      </c>
      <c r="P123">
        <v>3</v>
      </c>
      <c r="Q123">
        <v>465</v>
      </c>
      <c r="R123">
        <v>7146</v>
      </c>
      <c r="S123">
        <v>11.266</v>
      </c>
      <c r="T123">
        <v>22.53</v>
      </c>
      <c r="U123">
        <v>86</v>
      </c>
      <c r="V123">
        <v>261.97674418604652</v>
      </c>
      <c r="W123" t="s">
        <v>1153</v>
      </c>
      <c r="X123" t="s">
        <v>1087</v>
      </c>
      <c r="Y123">
        <v>40</v>
      </c>
      <c r="Z123">
        <v>2</v>
      </c>
      <c r="AA123">
        <v>21.833333333333332</v>
      </c>
    </row>
    <row r="124" spans="1:27" x14ac:dyDescent="0.3">
      <c r="A124" s="15">
        <v>44482.784050925926</v>
      </c>
      <c r="B124" t="s">
        <v>13</v>
      </c>
      <c r="C124" t="s">
        <v>1132</v>
      </c>
      <c r="D124" s="2">
        <v>44469</v>
      </c>
      <c r="E124" t="s">
        <v>1031</v>
      </c>
      <c r="F124" t="s">
        <v>41</v>
      </c>
      <c r="G124" t="s">
        <v>943</v>
      </c>
      <c r="I124" t="s">
        <v>1050</v>
      </c>
      <c r="J124" t="s">
        <v>153</v>
      </c>
      <c r="K124">
        <v>151</v>
      </c>
      <c r="L124">
        <v>2</v>
      </c>
      <c r="M124">
        <v>26.3</v>
      </c>
      <c r="N124" t="s">
        <v>21</v>
      </c>
      <c r="O124">
        <v>0</v>
      </c>
      <c r="P124">
        <v>4</v>
      </c>
      <c r="Q124">
        <v>473</v>
      </c>
      <c r="R124">
        <v>7148</v>
      </c>
      <c r="S124">
        <v>10.268000000000001</v>
      </c>
      <c r="T124">
        <v>26.3</v>
      </c>
      <c r="U124">
        <v>68</v>
      </c>
      <c r="V124">
        <v>386.76470588235293</v>
      </c>
      <c r="W124" t="s">
        <v>1153</v>
      </c>
      <c r="X124" t="s">
        <v>1087</v>
      </c>
      <c r="Y124">
        <v>40</v>
      </c>
      <c r="Z124">
        <v>2</v>
      </c>
      <c r="AA124">
        <v>25.166666666666668</v>
      </c>
    </row>
    <row r="125" spans="1:27" x14ac:dyDescent="0.3">
      <c r="A125" s="15">
        <v>44482.789097222223</v>
      </c>
      <c r="B125" t="s">
        <v>13</v>
      </c>
      <c r="C125" t="s">
        <v>1080</v>
      </c>
      <c r="D125" s="2">
        <v>44440</v>
      </c>
      <c r="E125" t="s">
        <v>1133</v>
      </c>
      <c r="F125" t="s">
        <v>41</v>
      </c>
      <c r="G125" t="s">
        <v>940</v>
      </c>
      <c r="H125" t="s">
        <v>48</v>
      </c>
      <c r="I125" t="s">
        <v>1126</v>
      </c>
      <c r="J125" t="s">
        <v>1119</v>
      </c>
      <c r="K125">
        <v>262</v>
      </c>
      <c r="L125">
        <v>4</v>
      </c>
      <c r="M125">
        <v>12.6</v>
      </c>
      <c r="N125" t="s">
        <v>21</v>
      </c>
      <c r="O125">
        <v>0</v>
      </c>
      <c r="P125">
        <v>0</v>
      </c>
      <c r="Q125">
        <v>451</v>
      </c>
      <c r="R125">
        <v>6937</v>
      </c>
      <c r="S125">
        <v>1.048</v>
      </c>
      <c r="T125">
        <v>12.6</v>
      </c>
      <c r="U125">
        <v>4</v>
      </c>
      <c r="V125">
        <v>3150</v>
      </c>
      <c r="W125" t="s">
        <v>1153</v>
      </c>
      <c r="X125" t="s">
        <v>1087</v>
      </c>
      <c r="Y125">
        <v>36</v>
      </c>
      <c r="Z125">
        <v>12</v>
      </c>
      <c r="AA125">
        <v>262</v>
      </c>
    </row>
    <row r="126" spans="1:27" x14ac:dyDescent="0.3">
      <c r="A126" s="15">
        <v>44482.788912037038</v>
      </c>
      <c r="B126" t="s">
        <v>13</v>
      </c>
      <c r="C126" t="s">
        <v>1080</v>
      </c>
      <c r="D126" s="2">
        <v>44440</v>
      </c>
      <c r="E126" t="s">
        <v>1133</v>
      </c>
      <c r="F126" t="s">
        <v>41</v>
      </c>
      <c r="G126" t="s">
        <v>940</v>
      </c>
      <c r="H126" t="s">
        <v>48</v>
      </c>
      <c r="I126" t="s">
        <v>1126</v>
      </c>
      <c r="J126" t="s">
        <v>1118</v>
      </c>
      <c r="K126">
        <v>269</v>
      </c>
      <c r="L126">
        <v>8</v>
      </c>
      <c r="M126">
        <v>12.9</v>
      </c>
      <c r="N126" t="s">
        <v>21</v>
      </c>
      <c r="O126">
        <v>0</v>
      </c>
      <c r="P126">
        <v>0</v>
      </c>
      <c r="Q126">
        <v>451</v>
      </c>
      <c r="R126">
        <v>6937</v>
      </c>
      <c r="S126">
        <v>1.0760000000000001</v>
      </c>
      <c r="T126">
        <v>12.9</v>
      </c>
      <c r="U126">
        <v>4</v>
      </c>
      <c r="V126">
        <v>3225</v>
      </c>
      <c r="W126" t="s">
        <v>1153</v>
      </c>
      <c r="X126" t="s">
        <v>1087</v>
      </c>
      <c r="Y126">
        <v>36</v>
      </c>
      <c r="Z126">
        <v>12</v>
      </c>
      <c r="AA126">
        <v>269</v>
      </c>
    </row>
    <row r="127" spans="1:27" x14ac:dyDescent="0.3">
      <c r="A127" s="15">
        <v>44482.786354166667</v>
      </c>
      <c r="B127" t="s">
        <v>13</v>
      </c>
      <c r="C127" t="s">
        <v>1080</v>
      </c>
      <c r="D127" s="2">
        <v>44440</v>
      </c>
      <c r="E127" t="s">
        <v>1114</v>
      </c>
      <c r="F127" t="s">
        <v>40</v>
      </c>
      <c r="G127" t="s">
        <v>48</v>
      </c>
      <c r="H127" t="s">
        <v>944</v>
      </c>
      <c r="I127" t="s">
        <v>1054</v>
      </c>
      <c r="J127" t="s">
        <v>484</v>
      </c>
      <c r="K127">
        <v>232</v>
      </c>
      <c r="L127">
        <v>4</v>
      </c>
      <c r="M127">
        <v>18.600000000000001</v>
      </c>
      <c r="N127" t="s">
        <v>21</v>
      </c>
      <c r="O127">
        <v>0</v>
      </c>
      <c r="P127">
        <v>2</v>
      </c>
      <c r="Q127">
        <v>468</v>
      </c>
      <c r="R127">
        <v>6934</v>
      </c>
      <c r="S127">
        <v>2.7839999999999998</v>
      </c>
      <c r="T127">
        <v>18.600000000000001</v>
      </c>
      <c r="U127">
        <v>12</v>
      </c>
      <c r="V127">
        <v>1550</v>
      </c>
      <c r="W127" t="s">
        <v>1153</v>
      </c>
      <c r="X127" t="s">
        <v>1087</v>
      </c>
      <c r="Y127">
        <v>36</v>
      </c>
      <c r="Z127">
        <v>6</v>
      </c>
      <c r="AA127">
        <v>116</v>
      </c>
    </row>
    <row r="128" spans="1:27" x14ac:dyDescent="0.3">
      <c r="A128" s="15">
        <v>44482.792187500003</v>
      </c>
      <c r="B128" t="s">
        <v>13</v>
      </c>
      <c r="C128" t="s">
        <v>1080</v>
      </c>
      <c r="D128" s="2">
        <v>44444</v>
      </c>
      <c r="E128" t="s">
        <v>1105</v>
      </c>
      <c r="F128" t="s">
        <v>41</v>
      </c>
      <c r="G128" t="s">
        <v>940</v>
      </c>
      <c r="H128" t="s">
        <v>48</v>
      </c>
      <c r="I128" t="s">
        <v>1126</v>
      </c>
      <c r="J128" t="s">
        <v>1117</v>
      </c>
      <c r="K128">
        <v>329</v>
      </c>
      <c r="L128">
        <v>4</v>
      </c>
      <c r="M128">
        <v>15.8</v>
      </c>
      <c r="N128" t="s">
        <v>21</v>
      </c>
      <c r="O128">
        <v>0</v>
      </c>
      <c r="P128">
        <v>0</v>
      </c>
      <c r="Q128">
        <v>451</v>
      </c>
      <c r="R128">
        <v>6939</v>
      </c>
      <c r="S128">
        <v>1.3160000000000001</v>
      </c>
      <c r="T128">
        <v>15.8</v>
      </c>
      <c r="U128">
        <v>4</v>
      </c>
      <c r="V128">
        <v>3950</v>
      </c>
      <c r="W128" t="s">
        <v>1153</v>
      </c>
      <c r="X128" t="s">
        <v>1087</v>
      </c>
      <c r="Y128">
        <v>36</v>
      </c>
      <c r="Z128">
        <v>12</v>
      </c>
      <c r="AA128">
        <v>329</v>
      </c>
    </row>
    <row r="129" spans="1:27" x14ac:dyDescent="0.3">
      <c r="A129" s="15">
        <v>44482.791516203702</v>
      </c>
      <c r="B129" t="s">
        <v>13</v>
      </c>
      <c r="C129" t="s">
        <v>1080</v>
      </c>
      <c r="D129" s="2">
        <v>44444</v>
      </c>
      <c r="E129" t="s">
        <v>1105</v>
      </c>
      <c r="F129" t="s">
        <v>41</v>
      </c>
      <c r="G129" t="s">
        <v>940</v>
      </c>
      <c r="H129" t="s">
        <v>48</v>
      </c>
      <c r="I129" t="s">
        <v>1126</v>
      </c>
      <c r="J129" t="s">
        <v>1121</v>
      </c>
      <c r="K129">
        <v>566</v>
      </c>
      <c r="L129">
        <v>5</v>
      </c>
      <c r="M129">
        <v>27.2</v>
      </c>
      <c r="N129" t="s">
        <v>21</v>
      </c>
      <c r="O129">
        <v>0</v>
      </c>
      <c r="P129">
        <v>0</v>
      </c>
      <c r="Q129">
        <v>451</v>
      </c>
      <c r="R129">
        <v>6939</v>
      </c>
      <c r="S129">
        <v>2.2639999999999998</v>
      </c>
      <c r="T129">
        <v>27.2</v>
      </c>
      <c r="U129">
        <v>4</v>
      </c>
      <c r="V129">
        <v>6800</v>
      </c>
      <c r="W129" t="s">
        <v>1153</v>
      </c>
      <c r="X129" t="s">
        <v>1087</v>
      </c>
      <c r="Y129">
        <v>36</v>
      </c>
      <c r="Z129">
        <v>12</v>
      </c>
      <c r="AA129">
        <v>566</v>
      </c>
    </row>
    <row r="130" spans="1:27" x14ac:dyDescent="0.3">
      <c r="A130" s="15">
        <v>44482.791307870371</v>
      </c>
      <c r="B130" t="s">
        <v>13</v>
      </c>
      <c r="C130" t="s">
        <v>1080</v>
      </c>
      <c r="D130" s="2">
        <v>44444</v>
      </c>
      <c r="E130" t="s">
        <v>1105</v>
      </c>
      <c r="F130" t="s">
        <v>41</v>
      </c>
      <c r="G130" t="s">
        <v>940</v>
      </c>
      <c r="H130" t="s">
        <v>48</v>
      </c>
      <c r="I130" t="s">
        <v>1126</v>
      </c>
      <c r="J130" t="s">
        <v>1120</v>
      </c>
      <c r="K130">
        <v>318</v>
      </c>
      <c r="L130">
        <v>2</v>
      </c>
      <c r="M130">
        <v>13.5</v>
      </c>
      <c r="N130" t="s">
        <v>21</v>
      </c>
      <c r="O130">
        <v>0</v>
      </c>
      <c r="P130">
        <v>0</v>
      </c>
      <c r="Q130">
        <v>451</v>
      </c>
      <c r="R130">
        <v>6939</v>
      </c>
      <c r="S130">
        <v>1.272</v>
      </c>
      <c r="T130">
        <v>13.5</v>
      </c>
      <c r="U130">
        <v>4</v>
      </c>
      <c r="V130">
        <v>3375</v>
      </c>
      <c r="W130" t="s">
        <v>1153</v>
      </c>
      <c r="X130" t="s">
        <v>1087</v>
      </c>
      <c r="Y130">
        <v>36</v>
      </c>
      <c r="Z130">
        <v>12</v>
      </c>
      <c r="AA130">
        <v>318</v>
      </c>
    </row>
    <row r="131" spans="1:27" x14ac:dyDescent="0.3">
      <c r="A131" s="15">
        <v>44482.793194444443</v>
      </c>
      <c r="B131" t="s">
        <v>13</v>
      </c>
      <c r="C131" t="s">
        <v>1080</v>
      </c>
      <c r="D131" s="2">
        <v>44446</v>
      </c>
      <c r="E131" t="s">
        <v>1133</v>
      </c>
      <c r="F131" t="s">
        <v>40</v>
      </c>
      <c r="G131" t="s">
        <v>48</v>
      </c>
      <c r="H131" t="s">
        <v>944</v>
      </c>
      <c r="I131" t="s">
        <v>973</v>
      </c>
      <c r="J131" t="s">
        <v>509</v>
      </c>
      <c r="K131">
        <v>1215</v>
      </c>
      <c r="L131">
        <v>10</v>
      </c>
      <c r="M131">
        <v>32.299999999999997</v>
      </c>
      <c r="N131" t="s">
        <v>21</v>
      </c>
      <c r="O131">
        <v>0</v>
      </c>
      <c r="P131">
        <v>0</v>
      </c>
      <c r="Q131">
        <v>457</v>
      </c>
      <c r="R131">
        <v>6941</v>
      </c>
      <c r="S131">
        <v>4.8600000000000003</v>
      </c>
      <c r="T131">
        <v>32.299999999999997</v>
      </c>
      <c r="U131">
        <v>4</v>
      </c>
      <c r="V131">
        <v>8074.9999999999991</v>
      </c>
      <c r="W131" t="s">
        <v>1153</v>
      </c>
      <c r="X131" t="s">
        <v>1087</v>
      </c>
      <c r="Y131">
        <v>37</v>
      </c>
      <c r="Z131">
        <v>6</v>
      </c>
      <c r="AA131">
        <v>607.5</v>
      </c>
    </row>
    <row r="132" spans="1:27" x14ac:dyDescent="0.3">
      <c r="A132" s="15">
        <v>44482.793425925927</v>
      </c>
      <c r="B132" t="s">
        <v>13</v>
      </c>
      <c r="C132" t="s">
        <v>1080</v>
      </c>
      <c r="D132" s="2">
        <v>44447</v>
      </c>
      <c r="E132" t="s">
        <v>1114</v>
      </c>
      <c r="F132" t="s">
        <v>40</v>
      </c>
      <c r="G132" t="s">
        <v>48</v>
      </c>
      <c r="H132" t="s">
        <v>944</v>
      </c>
      <c r="I132" t="s">
        <v>973</v>
      </c>
      <c r="J132" t="s">
        <v>509</v>
      </c>
      <c r="K132">
        <v>1462</v>
      </c>
      <c r="L132">
        <v>11</v>
      </c>
      <c r="M132">
        <v>34.4</v>
      </c>
      <c r="N132" t="s">
        <v>21</v>
      </c>
      <c r="O132">
        <v>0</v>
      </c>
      <c r="P132">
        <v>0</v>
      </c>
      <c r="Q132">
        <v>457</v>
      </c>
      <c r="R132">
        <v>6942</v>
      </c>
      <c r="S132">
        <v>5.8479999999999999</v>
      </c>
      <c r="T132">
        <v>34.4</v>
      </c>
      <c r="U132">
        <v>4</v>
      </c>
      <c r="V132">
        <v>8600</v>
      </c>
      <c r="W132" t="s">
        <v>1153</v>
      </c>
      <c r="X132" t="s">
        <v>1087</v>
      </c>
      <c r="Y132">
        <v>37</v>
      </c>
      <c r="Z132">
        <v>6</v>
      </c>
      <c r="AA132">
        <v>731</v>
      </c>
    </row>
    <row r="133" spans="1:27" x14ac:dyDescent="0.3">
      <c r="A133" s="15">
        <v>44482.79383101852</v>
      </c>
      <c r="B133" t="s">
        <v>13</v>
      </c>
      <c r="C133" t="s">
        <v>1080</v>
      </c>
      <c r="D133" s="2">
        <v>44448</v>
      </c>
      <c r="E133" t="s">
        <v>1130</v>
      </c>
      <c r="F133" t="s">
        <v>40</v>
      </c>
      <c r="G133" t="s">
        <v>48</v>
      </c>
      <c r="H133" t="s">
        <v>944</v>
      </c>
      <c r="I133" t="s">
        <v>973</v>
      </c>
      <c r="J133" t="s">
        <v>509</v>
      </c>
      <c r="K133">
        <v>1479</v>
      </c>
      <c r="L133">
        <v>12</v>
      </c>
      <c r="M133">
        <v>35.5</v>
      </c>
      <c r="N133" t="s">
        <v>21</v>
      </c>
      <c r="O133">
        <v>0</v>
      </c>
      <c r="P133">
        <v>0</v>
      </c>
      <c r="Q133">
        <v>457</v>
      </c>
      <c r="R133">
        <v>6943</v>
      </c>
      <c r="S133">
        <v>5.9160000000000004</v>
      </c>
      <c r="T133">
        <v>35.5</v>
      </c>
      <c r="U133">
        <v>4</v>
      </c>
      <c r="V133">
        <v>8875</v>
      </c>
      <c r="W133" t="s">
        <v>1153</v>
      </c>
      <c r="X133" t="s">
        <v>1087</v>
      </c>
      <c r="Y133">
        <v>37</v>
      </c>
      <c r="Z133">
        <v>6</v>
      </c>
      <c r="AA133">
        <v>739.5</v>
      </c>
    </row>
    <row r="134" spans="1:27" x14ac:dyDescent="0.3">
      <c r="A134" s="15">
        <v>44482.794421296298</v>
      </c>
      <c r="B134" t="s">
        <v>13</v>
      </c>
      <c r="C134" t="s">
        <v>1080</v>
      </c>
      <c r="D134" s="2">
        <v>44449</v>
      </c>
      <c r="E134" t="s">
        <v>1114</v>
      </c>
      <c r="F134" t="s">
        <v>40</v>
      </c>
      <c r="G134" t="s">
        <v>48</v>
      </c>
      <c r="H134" t="s">
        <v>944</v>
      </c>
      <c r="I134" t="s">
        <v>973</v>
      </c>
      <c r="J134" t="s">
        <v>509</v>
      </c>
      <c r="K134">
        <v>1388</v>
      </c>
      <c r="L134">
        <v>12</v>
      </c>
      <c r="M134">
        <v>36.1</v>
      </c>
      <c r="N134" t="s">
        <v>21</v>
      </c>
      <c r="O134">
        <v>0</v>
      </c>
      <c r="P134">
        <v>0</v>
      </c>
      <c r="Q134">
        <v>457</v>
      </c>
      <c r="R134">
        <v>6944</v>
      </c>
      <c r="S134">
        <v>5.5519999999999996</v>
      </c>
      <c r="T134">
        <v>36.1</v>
      </c>
      <c r="U134">
        <v>4</v>
      </c>
      <c r="V134">
        <v>9025</v>
      </c>
      <c r="W134" t="s">
        <v>1153</v>
      </c>
      <c r="X134" t="s">
        <v>1087</v>
      </c>
      <c r="Y134">
        <v>37</v>
      </c>
      <c r="Z134">
        <v>6</v>
      </c>
      <c r="AA134">
        <v>694</v>
      </c>
    </row>
    <row r="135" spans="1:27" x14ac:dyDescent="0.3">
      <c r="A135" s="15">
        <v>44482.79519675926</v>
      </c>
      <c r="B135" t="s">
        <v>13</v>
      </c>
      <c r="C135" t="s">
        <v>1080</v>
      </c>
      <c r="D135" s="2">
        <v>44450</v>
      </c>
      <c r="E135" t="s">
        <v>1130</v>
      </c>
      <c r="F135" t="s">
        <v>40</v>
      </c>
      <c r="G135" t="s">
        <v>48</v>
      </c>
      <c r="H135" t="s">
        <v>944</v>
      </c>
      <c r="I135" t="s">
        <v>973</v>
      </c>
      <c r="J135" t="s">
        <v>509</v>
      </c>
      <c r="K135">
        <v>1269</v>
      </c>
      <c r="L135">
        <v>11</v>
      </c>
      <c r="M135">
        <v>33</v>
      </c>
      <c r="N135" t="s">
        <v>21</v>
      </c>
      <c r="O135">
        <v>0</v>
      </c>
      <c r="P135">
        <v>0</v>
      </c>
      <c r="Q135">
        <v>457</v>
      </c>
      <c r="R135">
        <v>6947</v>
      </c>
      <c r="S135">
        <v>5.0759999999999996</v>
      </c>
      <c r="T135">
        <v>33</v>
      </c>
      <c r="U135">
        <v>4</v>
      </c>
      <c r="V135">
        <v>8250</v>
      </c>
      <c r="W135" t="s">
        <v>1153</v>
      </c>
      <c r="X135" t="s">
        <v>1087</v>
      </c>
      <c r="Y135">
        <v>37</v>
      </c>
      <c r="Z135">
        <v>6</v>
      </c>
      <c r="AA135">
        <v>634.5</v>
      </c>
    </row>
    <row r="136" spans="1:27" x14ac:dyDescent="0.3">
      <c r="A136" s="15">
        <v>44482.796006944445</v>
      </c>
      <c r="B136" t="s">
        <v>13</v>
      </c>
      <c r="C136" t="s">
        <v>1080</v>
      </c>
      <c r="D136" s="2">
        <v>44452</v>
      </c>
      <c r="E136" t="s">
        <v>1130</v>
      </c>
      <c r="F136" t="s">
        <v>40</v>
      </c>
      <c r="G136" t="s">
        <v>48</v>
      </c>
      <c r="H136" t="s">
        <v>944</v>
      </c>
      <c r="I136" t="s">
        <v>973</v>
      </c>
      <c r="J136" t="s">
        <v>509</v>
      </c>
      <c r="K136">
        <v>1284</v>
      </c>
      <c r="L136">
        <v>11</v>
      </c>
      <c r="M136">
        <v>33.4</v>
      </c>
      <c r="N136" t="s">
        <v>21</v>
      </c>
      <c r="O136">
        <v>0</v>
      </c>
      <c r="P136">
        <v>0</v>
      </c>
      <c r="Q136">
        <v>457</v>
      </c>
      <c r="R136">
        <v>6948</v>
      </c>
      <c r="S136">
        <v>5.1360000000000001</v>
      </c>
      <c r="T136">
        <v>33.4</v>
      </c>
      <c r="U136">
        <v>4</v>
      </c>
      <c r="V136">
        <v>8350</v>
      </c>
      <c r="W136" t="s">
        <v>1153</v>
      </c>
      <c r="X136" t="s">
        <v>1087</v>
      </c>
      <c r="Y136">
        <v>38</v>
      </c>
      <c r="Z136">
        <v>6</v>
      </c>
      <c r="AA136">
        <v>642</v>
      </c>
    </row>
    <row r="137" spans="1:27" x14ac:dyDescent="0.3">
      <c r="A137" s="15">
        <v>44482.796412037038</v>
      </c>
      <c r="B137" t="s">
        <v>13</v>
      </c>
      <c r="C137" t="s">
        <v>1080</v>
      </c>
      <c r="D137" s="2">
        <v>44453</v>
      </c>
      <c r="E137" t="s">
        <v>1130</v>
      </c>
      <c r="F137" t="s">
        <v>40</v>
      </c>
      <c r="G137" t="s">
        <v>48</v>
      </c>
      <c r="H137" t="s">
        <v>944</v>
      </c>
      <c r="I137" t="s">
        <v>973</v>
      </c>
      <c r="J137" t="s">
        <v>509</v>
      </c>
      <c r="K137">
        <v>1396</v>
      </c>
      <c r="L137">
        <v>12</v>
      </c>
      <c r="M137">
        <v>35.6</v>
      </c>
      <c r="N137" t="s">
        <v>21</v>
      </c>
      <c r="O137">
        <v>0</v>
      </c>
      <c r="P137">
        <v>0</v>
      </c>
      <c r="Q137">
        <v>457</v>
      </c>
      <c r="R137">
        <v>6949</v>
      </c>
      <c r="S137">
        <v>5.5839999999999996</v>
      </c>
      <c r="T137">
        <v>35.6</v>
      </c>
      <c r="U137">
        <v>4</v>
      </c>
      <c r="V137">
        <v>8900</v>
      </c>
      <c r="W137" t="s">
        <v>1153</v>
      </c>
      <c r="X137" t="s">
        <v>1087</v>
      </c>
      <c r="Y137">
        <v>38</v>
      </c>
      <c r="Z137">
        <v>6</v>
      </c>
      <c r="AA137">
        <v>698</v>
      </c>
    </row>
    <row r="138" spans="1:27" x14ac:dyDescent="0.3">
      <c r="A138" s="15">
        <v>44482.797060185185</v>
      </c>
      <c r="B138" t="s">
        <v>13</v>
      </c>
      <c r="C138" t="s">
        <v>1080</v>
      </c>
      <c r="D138" s="2">
        <v>44454</v>
      </c>
      <c r="E138" t="s">
        <v>1114</v>
      </c>
      <c r="F138" t="s">
        <v>40</v>
      </c>
      <c r="G138" t="s">
        <v>48</v>
      </c>
      <c r="H138" t="s">
        <v>944</v>
      </c>
      <c r="I138" t="s">
        <v>973</v>
      </c>
      <c r="J138" t="s">
        <v>509</v>
      </c>
      <c r="K138">
        <v>1286</v>
      </c>
      <c r="L138">
        <v>12</v>
      </c>
      <c r="M138">
        <v>32.85</v>
      </c>
      <c r="N138" t="s">
        <v>21</v>
      </c>
      <c r="O138">
        <v>0</v>
      </c>
      <c r="P138">
        <v>0</v>
      </c>
      <c r="Q138">
        <v>457</v>
      </c>
      <c r="R138">
        <v>6951</v>
      </c>
      <c r="S138">
        <v>5.1440000000000001</v>
      </c>
      <c r="T138">
        <v>32.85</v>
      </c>
      <c r="U138">
        <v>4</v>
      </c>
      <c r="V138">
        <v>8212.5</v>
      </c>
      <c r="W138" t="s">
        <v>1153</v>
      </c>
      <c r="X138" t="s">
        <v>1087</v>
      </c>
      <c r="Y138">
        <v>38</v>
      </c>
      <c r="Z138">
        <v>6</v>
      </c>
      <c r="AA138">
        <v>643</v>
      </c>
    </row>
    <row r="139" spans="1:27" x14ac:dyDescent="0.3">
      <c r="A139" s="15">
        <v>44477.582766203705</v>
      </c>
      <c r="B139" t="s">
        <v>13</v>
      </c>
      <c r="C139" t="s">
        <v>1080</v>
      </c>
      <c r="D139" s="2">
        <v>44454</v>
      </c>
      <c r="E139" t="s">
        <v>1105</v>
      </c>
      <c r="F139" t="s">
        <v>41</v>
      </c>
      <c r="G139" t="s">
        <v>940</v>
      </c>
      <c r="H139" t="s">
        <v>48</v>
      </c>
      <c r="I139" t="s">
        <v>961</v>
      </c>
      <c r="J139" t="s">
        <v>501</v>
      </c>
      <c r="K139">
        <v>1800</v>
      </c>
      <c r="L139">
        <v>12</v>
      </c>
      <c r="M139">
        <v>21</v>
      </c>
      <c r="N139" t="s">
        <v>21</v>
      </c>
      <c r="O139">
        <v>0</v>
      </c>
      <c r="P139">
        <v>2</v>
      </c>
      <c r="Q139">
        <v>455</v>
      </c>
      <c r="R139">
        <v>6746</v>
      </c>
      <c r="S139">
        <v>6.3</v>
      </c>
      <c r="T139">
        <v>21</v>
      </c>
      <c r="U139">
        <v>3.5</v>
      </c>
      <c r="V139">
        <v>6000</v>
      </c>
      <c r="W139" t="s">
        <v>1153</v>
      </c>
      <c r="X139" t="s">
        <v>1087</v>
      </c>
      <c r="Y139">
        <v>38</v>
      </c>
      <c r="Z139">
        <v>4</v>
      </c>
      <c r="AA139">
        <v>600</v>
      </c>
    </row>
    <row r="140" spans="1:27" x14ac:dyDescent="0.3">
      <c r="A140" s="15">
        <v>44482.797951388886</v>
      </c>
      <c r="B140" t="s">
        <v>13</v>
      </c>
      <c r="C140" t="s">
        <v>1080</v>
      </c>
      <c r="D140" s="2">
        <v>44455</v>
      </c>
      <c r="E140" t="s">
        <v>1130</v>
      </c>
      <c r="F140" t="s">
        <v>40</v>
      </c>
      <c r="G140" t="s">
        <v>48</v>
      </c>
      <c r="H140" t="s">
        <v>944</v>
      </c>
      <c r="I140" t="s">
        <v>973</v>
      </c>
      <c r="J140" t="s">
        <v>509</v>
      </c>
      <c r="K140">
        <v>1458</v>
      </c>
      <c r="L140">
        <v>12</v>
      </c>
      <c r="M140">
        <v>37.9</v>
      </c>
      <c r="N140" t="s">
        <v>21</v>
      </c>
      <c r="O140">
        <v>0</v>
      </c>
      <c r="P140">
        <v>0</v>
      </c>
      <c r="Q140">
        <v>457</v>
      </c>
      <c r="R140">
        <v>6955</v>
      </c>
      <c r="S140">
        <v>5.8319999999999999</v>
      </c>
      <c r="T140">
        <v>37.9</v>
      </c>
      <c r="U140">
        <v>4</v>
      </c>
      <c r="V140">
        <v>9475</v>
      </c>
      <c r="W140" t="s">
        <v>1153</v>
      </c>
      <c r="X140" t="s">
        <v>1087</v>
      </c>
      <c r="Y140">
        <v>38</v>
      </c>
      <c r="Z140">
        <v>6</v>
      </c>
      <c r="AA140">
        <v>729</v>
      </c>
    </row>
    <row r="141" spans="1:27" x14ac:dyDescent="0.3">
      <c r="A141" s="15">
        <v>44477.588622685187</v>
      </c>
      <c r="B141" t="s">
        <v>13</v>
      </c>
      <c r="C141" t="s">
        <v>1080</v>
      </c>
      <c r="D141" s="2">
        <v>44455</v>
      </c>
      <c r="E141" t="s">
        <v>1133</v>
      </c>
      <c r="F141" t="s">
        <v>41</v>
      </c>
      <c r="G141" t="s">
        <v>940</v>
      </c>
      <c r="H141" t="s">
        <v>48</v>
      </c>
      <c r="I141" t="s">
        <v>961</v>
      </c>
      <c r="J141" t="s">
        <v>501</v>
      </c>
      <c r="K141">
        <v>1859</v>
      </c>
      <c r="L141">
        <v>11</v>
      </c>
      <c r="M141">
        <v>31.5</v>
      </c>
      <c r="N141" t="s">
        <v>21</v>
      </c>
      <c r="O141">
        <v>0</v>
      </c>
      <c r="P141">
        <v>3</v>
      </c>
      <c r="Q141">
        <v>438</v>
      </c>
      <c r="R141">
        <v>6748</v>
      </c>
      <c r="S141">
        <v>6.5065</v>
      </c>
      <c r="T141">
        <v>31.5</v>
      </c>
      <c r="U141">
        <v>3.5</v>
      </c>
      <c r="V141">
        <v>9000</v>
      </c>
      <c r="W141" t="s">
        <v>1153</v>
      </c>
      <c r="X141" t="s">
        <v>1087</v>
      </c>
      <c r="Y141">
        <v>38</v>
      </c>
      <c r="Z141">
        <v>4</v>
      </c>
      <c r="AA141">
        <v>619.66666666666663</v>
      </c>
    </row>
    <row r="142" spans="1:27" x14ac:dyDescent="0.3">
      <c r="A142" s="15">
        <v>44482.798645833333</v>
      </c>
      <c r="B142" t="s">
        <v>13</v>
      </c>
      <c r="C142" t="s">
        <v>1080</v>
      </c>
      <c r="D142" s="2">
        <v>44456</v>
      </c>
      <c r="E142" t="s">
        <v>1133</v>
      </c>
      <c r="F142" t="s">
        <v>40</v>
      </c>
      <c r="G142" t="s">
        <v>48</v>
      </c>
      <c r="H142" t="s">
        <v>944</v>
      </c>
      <c r="I142" t="s">
        <v>973</v>
      </c>
      <c r="J142" t="s">
        <v>509</v>
      </c>
      <c r="K142">
        <v>429</v>
      </c>
      <c r="L142">
        <v>3</v>
      </c>
      <c r="M142">
        <v>10.8</v>
      </c>
      <c r="N142" t="s">
        <v>21</v>
      </c>
      <c r="O142">
        <v>0</v>
      </c>
      <c r="P142">
        <v>0</v>
      </c>
      <c r="Q142">
        <v>457</v>
      </c>
      <c r="R142">
        <v>6957</v>
      </c>
      <c r="S142">
        <v>1.716</v>
      </c>
      <c r="T142">
        <v>10.8</v>
      </c>
      <c r="U142">
        <v>4</v>
      </c>
      <c r="V142">
        <v>2700</v>
      </c>
      <c r="W142" t="s">
        <v>1153</v>
      </c>
      <c r="X142" t="s">
        <v>1087</v>
      </c>
      <c r="Y142">
        <v>38</v>
      </c>
      <c r="Z142">
        <v>6</v>
      </c>
      <c r="AA142">
        <v>214.5</v>
      </c>
    </row>
    <row r="143" spans="1:27" x14ac:dyDescent="0.3">
      <c r="A143" s="15">
        <v>44482.799444444441</v>
      </c>
      <c r="B143" t="s">
        <v>13</v>
      </c>
      <c r="C143" t="s">
        <v>1080</v>
      </c>
      <c r="D143" s="2">
        <v>44457</v>
      </c>
      <c r="E143" t="s">
        <v>1114</v>
      </c>
      <c r="F143" t="s">
        <v>40</v>
      </c>
      <c r="G143" t="s">
        <v>48</v>
      </c>
      <c r="H143" t="s">
        <v>944</v>
      </c>
      <c r="I143" t="s">
        <v>973</v>
      </c>
      <c r="J143" t="s">
        <v>509</v>
      </c>
      <c r="K143">
        <v>1430</v>
      </c>
      <c r="L143">
        <v>12</v>
      </c>
      <c r="M143">
        <v>37.200000000000003</v>
      </c>
      <c r="N143" t="s">
        <v>21</v>
      </c>
      <c r="O143">
        <v>0</v>
      </c>
      <c r="P143">
        <v>0</v>
      </c>
      <c r="Q143">
        <v>457</v>
      </c>
      <c r="R143">
        <v>6959</v>
      </c>
      <c r="S143">
        <v>5.72</v>
      </c>
      <c r="T143">
        <v>37.200000000000003</v>
      </c>
      <c r="U143">
        <v>4</v>
      </c>
      <c r="V143">
        <v>9300</v>
      </c>
      <c r="W143" t="s">
        <v>1153</v>
      </c>
      <c r="X143" t="s">
        <v>1087</v>
      </c>
      <c r="Y143">
        <v>38</v>
      </c>
      <c r="Z143">
        <v>6</v>
      </c>
      <c r="AA143">
        <v>715</v>
      </c>
    </row>
    <row r="144" spans="1:27" x14ac:dyDescent="0.3">
      <c r="A144" s="15">
        <v>44482.799803240741</v>
      </c>
      <c r="B144" t="s">
        <v>13</v>
      </c>
      <c r="C144" t="s">
        <v>1080</v>
      </c>
      <c r="D144" s="2">
        <v>44459</v>
      </c>
      <c r="E144" t="s">
        <v>1133</v>
      </c>
      <c r="F144" t="s">
        <v>40</v>
      </c>
      <c r="G144" t="s">
        <v>48</v>
      </c>
      <c r="H144" t="s">
        <v>944</v>
      </c>
      <c r="I144" t="s">
        <v>973</v>
      </c>
      <c r="J144" t="s">
        <v>509</v>
      </c>
      <c r="K144">
        <v>1319</v>
      </c>
      <c r="L144">
        <v>11</v>
      </c>
      <c r="M144">
        <v>34.200000000000003</v>
      </c>
      <c r="N144" t="s">
        <v>21</v>
      </c>
      <c r="O144">
        <v>0</v>
      </c>
      <c r="P144">
        <v>0</v>
      </c>
      <c r="Q144">
        <v>457</v>
      </c>
      <c r="R144">
        <v>6960</v>
      </c>
      <c r="S144">
        <v>5.2759999999999998</v>
      </c>
      <c r="T144">
        <v>34.200000000000003</v>
      </c>
      <c r="U144">
        <v>4</v>
      </c>
      <c r="V144">
        <v>8550</v>
      </c>
      <c r="W144" t="s">
        <v>1153</v>
      </c>
      <c r="X144" t="s">
        <v>1087</v>
      </c>
      <c r="Y144">
        <v>39</v>
      </c>
      <c r="Z144">
        <v>6</v>
      </c>
      <c r="AA144">
        <v>659.5</v>
      </c>
    </row>
    <row r="145" spans="1:27" x14ac:dyDescent="0.3">
      <c r="A145" s="15">
        <v>44482.801168981481</v>
      </c>
      <c r="B145" t="s">
        <v>13</v>
      </c>
      <c r="C145" t="s">
        <v>1080</v>
      </c>
      <c r="D145" s="2">
        <v>44463</v>
      </c>
      <c r="E145" t="s">
        <v>1133</v>
      </c>
      <c r="F145" t="s">
        <v>40</v>
      </c>
      <c r="G145" t="s">
        <v>48</v>
      </c>
      <c r="H145" t="s">
        <v>944</v>
      </c>
      <c r="I145" t="s">
        <v>1054</v>
      </c>
      <c r="J145" t="s">
        <v>484</v>
      </c>
      <c r="K145">
        <v>1180</v>
      </c>
      <c r="L145">
        <v>11</v>
      </c>
      <c r="M145">
        <v>91.5</v>
      </c>
      <c r="N145" t="s">
        <v>21</v>
      </c>
      <c r="O145">
        <v>0</v>
      </c>
      <c r="P145">
        <v>0</v>
      </c>
      <c r="Q145">
        <v>457</v>
      </c>
      <c r="R145">
        <v>6963</v>
      </c>
      <c r="S145">
        <v>14.16</v>
      </c>
      <c r="T145">
        <v>91.5</v>
      </c>
      <c r="U145">
        <v>12</v>
      </c>
      <c r="V145">
        <v>7625</v>
      </c>
      <c r="W145" t="s">
        <v>1153</v>
      </c>
      <c r="X145" t="s">
        <v>1087</v>
      </c>
      <c r="Y145">
        <v>39</v>
      </c>
      <c r="Z145">
        <v>6</v>
      </c>
      <c r="AA145">
        <v>590</v>
      </c>
    </row>
    <row r="146" spans="1:27" x14ac:dyDescent="0.3">
      <c r="A146" s="15">
        <v>44482.800706018519</v>
      </c>
      <c r="B146" t="s">
        <v>13</v>
      </c>
      <c r="C146" t="s">
        <v>1080</v>
      </c>
      <c r="D146" s="2">
        <v>44463</v>
      </c>
      <c r="E146" t="s">
        <v>1082</v>
      </c>
      <c r="F146" t="s">
        <v>40</v>
      </c>
      <c r="G146" t="s">
        <v>48</v>
      </c>
      <c r="H146" t="s">
        <v>944</v>
      </c>
      <c r="I146" t="s">
        <v>1054</v>
      </c>
      <c r="J146" t="s">
        <v>484</v>
      </c>
      <c r="K146">
        <v>1203</v>
      </c>
      <c r="L146">
        <v>12</v>
      </c>
      <c r="M146">
        <v>92.8</v>
      </c>
      <c r="N146" t="s">
        <v>21</v>
      </c>
      <c r="O146">
        <v>0</v>
      </c>
      <c r="P146">
        <v>0</v>
      </c>
      <c r="Q146">
        <v>457</v>
      </c>
      <c r="R146">
        <v>6962</v>
      </c>
      <c r="S146">
        <v>14.436</v>
      </c>
      <c r="T146">
        <v>92.8</v>
      </c>
      <c r="U146">
        <v>12</v>
      </c>
      <c r="V146">
        <v>7733.333333333333</v>
      </c>
      <c r="W146" t="s">
        <v>1153</v>
      </c>
      <c r="X146" t="s">
        <v>1087</v>
      </c>
      <c r="Y146">
        <v>39</v>
      </c>
      <c r="Z146">
        <v>6</v>
      </c>
      <c r="AA146">
        <v>601.5</v>
      </c>
    </row>
    <row r="147" spans="1:27" x14ac:dyDescent="0.3">
      <c r="A147" s="15">
        <v>44482.80159722222</v>
      </c>
      <c r="B147" t="s">
        <v>13</v>
      </c>
      <c r="C147" t="s">
        <v>1080</v>
      </c>
      <c r="D147" s="2">
        <v>44466</v>
      </c>
      <c r="E147" t="s">
        <v>1133</v>
      </c>
      <c r="F147" t="s">
        <v>40</v>
      </c>
      <c r="G147" t="s">
        <v>48</v>
      </c>
      <c r="H147" t="s">
        <v>944</v>
      </c>
      <c r="I147" t="s">
        <v>1054</v>
      </c>
      <c r="J147" t="s">
        <v>484</v>
      </c>
      <c r="K147">
        <v>1093</v>
      </c>
      <c r="L147">
        <v>11</v>
      </c>
      <c r="M147">
        <v>85.3</v>
      </c>
      <c r="N147" t="s">
        <v>21</v>
      </c>
      <c r="O147">
        <v>0</v>
      </c>
      <c r="P147">
        <v>0</v>
      </c>
      <c r="Q147">
        <v>457</v>
      </c>
      <c r="R147">
        <v>6965</v>
      </c>
      <c r="S147">
        <v>13.116</v>
      </c>
      <c r="T147">
        <v>85.3</v>
      </c>
      <c r="U147">
        <v>12</v>
      </c>
      <c r="V147">
        <v>7108.333333333333</v>
      </c>
      <c r="W147" t="s">
        <v>1153</v>
      </c>
      <c r="X147" t="s">
        <v>1087</v>
      </c>
      <c r="Y147">
        <v>40</v>
      </c>
      <c r="Z147">
        <v>6</v>
      </c>
      <c r="AA147">
        <v>546.5</v>
      </c>
    </row>
    <row r="148" spans="1:27" x14ac:dyDescent="0.3">
      <c r="A148" s="15">
        <v>44482.801817129628</v>
      </c>
      <c r="B148" t="s">
        <v>13</v>
      </c>
      <c r="C148" t="s">
        <v>1080</v>
      </c>
      <c r="D148" s="2">
        <v>44467</v>
      </c>
      <c r="E148" t="s">
        <v>1133</v>
      </c>
      <c r="F148" t="s">
        <v>40</v>
      </c>
      <c r="G148" t="s">
        <v>48</v>
      </c>
      <c r="H148" t="s">
        <v>944</v>
      </c>
      <c r="I148" t="s">
        <v>1054</v>
      </c>
      <c r="J148" t="s">
        <v>484</v>
      </c>
      <c r="K148">
        <v>1036</v>
      </c>
      <c r="L148">
        <v>10</v>
      </c>
      <c r="M148">
        <v>80.099999999999994</v>
      </c>
      <c r="N148" t="s">
        <v>21</v>
      </c>
      <c r="O148">
        <v>0</v>
      </c>
      <c r="P148">
        <v>0</v>
      </c>
      <c r="Q148">
        <v>457</v>
      </c>
      <c r="R148">
        <v>6965</v>
      </c>
      <c r="S148">
        <v>12.432</v>
      </c>
      <c r="T148">
        <v>80.099999999999994</v>
      </c>
      <c r="U148">
        <v>12</v>
      </c>
      <c r="V148">
        <v>6675</v>
      </c>
      <c r="W148" t="s">
        <v>1153</v>
      </c>
      <c r="X148" t="s">
        <v>1087</v>
      </c>
      <c r="Y148">
        <v>40</v>
      </c>
      <c r="Z148">
        <v>6</v>
      </c>
      <c r="AA148">
        <v>518</v>
      </c>
    </row>
    <row r="149" spans="1:27" x14ac:dyDescent="0.3">
      <c r="A149" s="15">
        <v>44482.802314814813</v>
      </c>
      <c r="B149" t="s">
        <v>13</v>
      </c>
      <c r="C149" t="s">
        <v>1080</v>
      </c>
      <c r="D149" s="2">
        <v>44468</v>
      </c>
      <c r="E149" t="s">
        <v>1133</v>
      </c>
      <c r="F149" t="s">
        <v>40</v>
      </c>
      <c r="G149" t="s">
        <v>48</v>
      </c>
      <c r="H149" t="s">
        <v>944</v>
      </c>
      <c r="I149" t="s">
        <v>1054</v>
      </c>
      <c r="J149" t="s">
        <v>484</v>
      </c>
      <c r="K149">
        <v>1052</v>
      </c>
      <c r="L149">
        <v>11</v>
      </c>
      <c r="M149">
        <v>82.1</v>
      </c>
      <c r="N149" t="s">
        <v>21</v>
      </c>
      <c r="O149">
        <v>0</v>
      </c>
      <c r="P149">
        <v>0</v>
      </c>
      <c r="Q149">
        <v>457</v>
      </c>
      <c r="R149">
        <v>6968</v>
      </c>
      <c r="S149">
        <v>12.624000000000001</v>
      </c>
      <c r="T149">
        <v>82.1</v>
      </c>
      <c r="U149">
        <v>12</v>
      </c>
      <c r="V149">
        <v>6841.666666666667</v>
      </c>
      <c r="W149" t="s">
        <v>1153</v>
      </c>
      <c r="X149" t="s">
        <v>1087</v>
      </c>
      <c r="Y149">
        <v>40</v>
      </c>
      <c r="Z149">
        <v>6</v>
      </c>
      <c r="AA149">
        <v>526</v>
      </c>
    </row>
    <row r="150" spans="1:27" x14ac:dyDescent="0.3">
      <c r="A150" s="15">
        <v>44482.802048611113</v>
      </c>
      <c r="B150" t="s">
        <v>13</v>
      </c>
      <c r="C150" t="s">
        <v>1080</v>
      </c>
      <c r="D150" s="2">
        <v>44468</v>
      </c>
      <c r="E150" t="s">
        <v>1133</v>
      </c>
      <c r="F150" t="s">
        <v>40</v>
      </c>
      <c r="G150" t="s">
        <v>48</v>
      </c>
      <c r="H150" t="s">
        <v>944</v>
      </c>
      <c r="I150" t="s">
        <v>1054</v>
      </c>
      <c r="J150" t="s">
        <v>484</v>
      </c>
      <c r="K150">
        <v>1137</v>
      </c>
      <c r="L150">
        <v>10</v>
      </c>
      <c r="M150">
        <v>87.6</v>
      </c>
      <c r="N150" t="s">
        <v>21</v>
      </c>
      <c r="O150">
        <v>0</v>
      </c>
      <c r="P150">
        <v>0</v>
      </c>
      <c r="Q150">
        <v>457</v>
      </c>
      <c r="R150">
        <v>6967</v>
      </c>
      <c r="S150">
        <v>13.644</v>
      </c>
      <c r="T150">
        <v>87.6</v>
      </c>
      <c r="U150">
        <v>12</v>
      </c>
      <c r="V150">
        <v>7300</v>
      </c>
      <c r="W150" t="s">
        <v>1153</v>
      </c>
      <c r="X150" t="s">
        <v>1087</v>
      </c>
      <c r="Y150">
        <v>40</v>
      </c>
      <c r="Z150">
        <v>6</v>
      </c>
      <c r="AA150">
        <v>568.5</v>
      </c>
    </row>
    <row r="151" spans="1:27" x14ac:dyDescent="0.3">
      <c r="A151" s="15">
        <v>44477.58185185185</v>
      </c>
      <c r="B151" t="s">
        <v>13</v>
      </c>
      <c r="C151" t="s">
        <v>1028</v>
      </c>
      <c r="D151" s="2">
        <v>44448</v>
      </c>
      <c r="E151" t="s">
        <v>1131</v>
      </c>
      <c r="F151" t="s">
        <v>41</v>
      </c>
      <c r="G151" t="s">
        <v>943</v>
      </c>
      <c r="H151" t="s">
        <v>48</v>
      </c>
      <c r="I151" t="s">
        <v>1127</v>
      </c>
      <c r="J151" t="s">
        <v>1125</v>
      </c>
      <c r="K151">
        <v>519</v>
      </c>
      <c r="L151">
        <v>8</v>
      </c>
      <c r="M151">
        <v>45.67</v>
      </c>
      <c r="N151" t="s">
        <v>21</v>
      </c>
      <c r="O151">
        <v>0</v>
      </c>
      <c r="P151">
        <v>4</v>
      </c>
      <c r="Q151">
        <v>455</v>
      </c>
      <c r="R151">
        <v>6742</v>
      </c>
      <c r="S151">
        <v>11.417999999999999</v>
      </c>
      <c r="T151">
        <v>45.67</v>
      </c>
      <c r="U151">
        <v>22</v>
      </c>
      <c r="V151">
        <v>2075.909090909091</v>
      </c>
      <c r="W151" t="s">
        <v>1153</v>
      </c>
      <c r="X151" t="s">
        <v>1087</v>
      </c>
      <c r="Y151">
        <v>37</v>
      </c>
      <c r="Z151">
        <v>4</v>
      </c>
      <c r="AA151">
        <v>173</v>
      </c>
    </row>
    <row r="152" spans="1:27" x14ac:dyDescent="0.3">
      <c r="A152" s="15">
        <v>44477.590543981481</v>
      </c>
      <c r="B152" t="s">
        <v>13</v>
      </c>
      <c r="C152" t="s">
        <v>1028</v>
      </c>
      <c r="D152" s="2">
        <v>44456</v>
      </c>
      <c r="E152" t="s">
        <v>1133</v>
      </c>
      <c r="F152" t="s">
        <v>41</v>
      </c>
      <c r="G152" t="s">
        <v>950</v>
      </c>
      <c r="H152" t="s">
        <v>951</v>
      </c>
      <c r="I152" t="s">
        <v>1103</v>
      </c>
      <c r="J152" t="s">
        <v>1101</v>
      </c>
      <c r="K152">
        <v>1180</v>
      </c>
      <c r="L152">
        <v>9</v>
      </c>
      <c r="M152">
        <v>33.04</v>
      </c>
      <c r="N152" t="s">
        <v>21</v>
      </c>
      <c r="O152">
        <v>0</v>
      </c>
      <c r="P152">
        <v>5</v>
      </c>
      <c r="Q152">
        <v>463</v>
      </c>
      <c r="R152">
        <v>6749</v>
      </c>
      <c r="S152">
        <v>33.04</v>
      </c>
      <c r="T152">
        <v>33.04</v>
      </c>
      <c r="U152">
        <v>28</v>
      </c>
      <c r="V152">
        <v>1180</v>
      </c>
      <c r="W152" t="s">
        <v>1153</v>
      </c>
      <c r="X152" t="s">
        <v>1087</v>
      </c>
      <c r="Y152">
        <v>38</v>
      </c>
      <c r="Z152">
        <v>1</v>
      </c>
      <c r="AA152">
        <v>98.333333333333329</v>
      </c>
    </row>
    <row r="153" spans="1:27" x14ac:dyDescent="0.3">
      <c r="A153" s="15">
        <v>44477.590983796297</v>
      </c>
      <c r="B153" t="s">
        <v>13</v>
      </c>
      <c r="C153" t="s">
        <v>1028</v>
      </c>
      <c r="D153" s="2">
        <v>44457</v>
      </c>
      <c r="E153" t="s">
        <v>1133</v>
      </c>
      <c r="F153" t="s">
        <v>41</v>
      </c>
      <c r="G153" t="s">
        <v>950</v>
      </c>
      <c r="H153" t="s">
        <v>951</v>
      </c>
      <c r="I153" t="s">
        <v>1103</v>
      </c>
      <c r="J153" t="s">
        <v>1101</v>
      </c>
      <c r="K153">
        <v>1546</v>
      </c>
      <c r="L153">
        <v>10</v>
      </c>
      <c r="M153">
        <v>43.29</v>
      </c>
      <c r="N153" t="s">
        <v>21</v>
      </c>
      <c r="O153">
        <v>0</v>
      </c>
      <c r="P153">
        <v>5</v>
      </c>
      <c r="Q153">
        <v>463</v>
      </c>
      <c r="R153">
        <v>6750</v>
      </c>
      <c r="S153">
        <v>43.287999999999997</v>
      </c>
      <c r="T153">
        <v>43.29</v>
      </c>
      <c r="U153">
        <v>28</v>
      </c>
      <c r="V153">
        <v>1546.0714285714287</v>
      </c>
      <c r="W153" t="s">
        <v>1153</v>
      </c>
      <c r="X153" t="s">
        <v>1087</v>
      </c>
      <c r="Y153">
        <v>38</v>
      </c>
      <c r="Z153">
        <v>1</v>
      </c>
      <c r="AA153">
        <v>128.83333333333334</v>
      </c>
    </row>
    <row r="154" spans="1:27" x14ac:dyDescent="0.3">
      <c r="A154" s="15">
        <v>44477.599502314813</v>
      </c>
      <c r="B154" t="s">
        <v>13</v>
      </c>
      <c r="C154" t="s">
        <v>1028</v>
      </c>
      <c r="D154" s="2">
        <v>44459</v>
      </c>
      <c r="E154" t="s">
        <v>1105</v>
      </c>
      <c r="F154" t="s">
        <v>41</v>
      </c>
      <c r="G154" t="s">
        <v>950</v>
      </c>
      <c r="H154" t="s">
        <v>951</v>
      </c>
      <c r="I154" t="s">
        <v>1103</v>
      </c>
      <c r="J154" t="s">
        <v>1102</v>
      </c>
      <c r="K154">
        <v>1875</v>
      </c>
      <c r="L154">
        <v>12</v>
      </c>
      <c r="M154">
        <v>52.5</v>
      </c>
      <c r="N154" t="s">
        <v>21</v>
      </c>
      <c r="O154">
        <v>0</v>
      </c>
      <c r="P154">
        <v>8</v>
      </c>
      <c r="Q154">
        <v>463</v>
      </c>
      <c r="R154">
        <v>6752</v>
      </c>
      <c r="S154">
        <v>52.5</v>
      </c>
      <c r="T154">
        <v>52.5</v>
      </c>
      <c r="U154">
        <v>28</v>
      </c>
      <c r="V154">
        <v>1875</v>
      </c>
      <c r="W154" t="s">
        <v>1153</v>
      </c>
      <c r="X154" t="s">
        <v>1087</v>
      </c>
      <c r="Y154">
        <v>39</v>
      </c>
      <c r="Z154">
        <v>1</v>
      </c>
      <c r="AA154">
        <v>156.25</v>
      </c>
    </row>
    <row r="155" spans="1:27" x14ac:dyDescent="0.3">
      <c r="A155" s="15">
        <v>44477.603819444441</v>
      </c>
      <c r="B155" t="s">
        <v>13</v>
      </c>
      <c r="C155" t="s">
        <v>1028</v>
      </c>
      <c r="D155" s="2">
        <v>44460</v>
      </c>
      <c r="E155" t="s">
        <v>1133</v>
      </c>
      <c r="F155" t="s">
        <v>41</v>
      </c>
      <c r="G155" t="s">
        <v>950</v>
      </c>
      <c r="H155" t="s">
        <v>951</v>
      </c>
      <c r="I155" t="s">
        <v>1103</v>
      </c>
      <c r="J155" t="s">
        <v>1099</v>
      </c>
      <c r="K155">
        <v>893</v>
      </c>
      <c r="L155">
        <v>9</v>
      </c>
      <c r="M155">
        <v>25</v>
      </c>
      <c r="N155" t="s">
        <v>21</v>
      </c>
      <c r="O155">
        <v>0</v>
      </c>
      <c r="P155">
        <v>3</v>
      </c>
      <c r="Q155">
        <v>463</v>
      </c>
      <c r="R155">
        <v>6754</v>
      </c>
      <c r="S155">
        <v>25.004000000000001</v>
      </c>
      <c r="T155">
        <v>25</v>
      </c>
      <c r="U155">
        <v>28</v>
      </c>
      <c r="V155">
        <v>892.85714285714289</v>
      </c>
      <c r="W155" t="s">
        <v>1153</v>
      </c>
      <c r="X155" t="s">
        <v>1087</v>
      </c>
      <c r="Y155">
        <v>39</v>
      </c>
      <c r="Z155">
        <v>1</v>
      </c>
      <c r="AA155">
        <v>74.416666666666671</v>
      </c>
    </row>
    <row r="156" spans="1:27" x14ac:dyDescent="0.3">
      <c r="A156" s="15">
        <v>44477.605810185189</v>
      </c>
      <c r="B156" t="s">
        <v>13</v>
      </c>
      <c r="C156" t="s">
        <v>1028</v>
      </c>
      <c r="D156" s="2">
        <v>44461</v>
      </c>
      <c r="E156" t="s">
        <v>1133</v>
      </c>
      <c r="F156" t="s">
        <v>41</v>
      </c>
      <c r="G156" t="s">
        <v>950</v>
      </c>
      <c r="H156" t="s">
        <v>951</v>
      </c>
      <c r="I156" t="s">
        <v>1103</v>
      </c>
      <c r="J156" t="s">
        <v>1099</v>
      </c>
      <c r="K156">
        <v>1703</v>
      </c>
      <c r="L156">
        <v>12</v>
      </c>
      <c r="M156">
        <v>47.68</v>
      </c>
      <c r="N156" t="s">
        <v>21</v>
      </c>
      <c r="O156">
        <v>0</v>
      </c>
      <c r="P156">
        <v>6</v>
      </c>
      <c r="Q156">
        <v>463</v>
      </c>
      <c r="R156">
        <v>6756</v>
      </c>
      <c r="S156">
        <v>47.683999999999997</v>
      </c>
      <c r="T156">
        <v>47.68</v>
      </c>
      <c r="U156">
        <v>28</v>
      </c>
      <c r="V156">
        <v>1702.8571428571429</v>
      </c>
      <c r="W156" t="s">
        <v>1153</v>
      </c>
      <c r="X156" t="s">
        <v>1087</v>
      </c>
      <c r="Y156">
        <v>39</v>
      </c>
      <c r="Z156">
        <v>1</v>
      </c>
      <c r="AA156">
        <v>141.91666666666666</v>
      </c>
    </row>
    <row r="157" spans="1:27" x14ac:dyDescent="0.3">
      <c r="A157" s="15">
        <v>44477.612685185188</v>
      </c>
      <c r="B157" t="s">
        <v>13</v>
      </c>
      <c r="C157" t="s">
        <v>1028</v>
      </c>
      <c r="D157" s="2">
        <v>44462</v>
      </c>
      <c r="E157" t="s">
        <v>1133</v>
      </c>
      <c r="F157" t="s">
        <v>41</v>
      </c>
      <c r="G157" t="s">
        <v>950</v>
      </c>
      <c r="H157" t="s">
        <v>951</v>
      </c>
      <c r="I157" t="s">
        <v>1103</v>
      </c>
      <c r="J157" t="s">
        <v>1100</v>
      </c>
      <c r="K157">
        <v>1729</v>
      </c>
      <c r="L157">
        <v>12</v>
      </c>
      <c r="M157">
        <v>48.41</v>
      </c>
      <c r="N157" t="s">
        <v>21</v>
      </c>
      <c r="O157">
        <v>0</v>
      </c>
      <c r="P157">
        <v>6</v>
      </c>
      <c r="Q157">
        <v>463</v>
      </c>
      <c r="R157">
        <v>6759</v>
      </c>
      <c r="S157">
        <v>48.411999999999999</v>
      </c>
      <c r="T157">
        <v>48.41</v>
      </c>
      <c r="U157">
        <v>28</v>
      </c>
      <c r="V157">
        <v>1728.9285714285713</v>
      </c>
      <c r="W157" t="s">
        <v>1153</v>
      </c>
      <c r="X157" t="s">
        <v>1087</v>
      </c>
      <c r="Y157">
        <v>39</v>
      </c>
      <c r="Z157">
        <v>1</v>
      </c>
      <c r="AA157">
        <v>144.08333333333334</v>
      </c>
    </row>
    <row r="158" spans="1:27" x14ac:dyDescent="0.3">
      <c r="A158" s="15">
        <v>44477.613576388889</v>
      </c>
      <c r="B158" t="s">
        <v>13</v>
      </c>
      <c r="C158" t="s">
        <v>1028</v>
      </c>
      <c r="D158" s="2">
        <v>44463</v>
      </c>
      <c r="E158" t="s">
        <v>1105</v>
      </c>
      <c r="F158" t="s">
        <v>41</v>
      </c>
      <c r="G158" t="s">
        <v>950</v>
      </c>
      <c r="H158" t="s">
        <v>951</v>
      </c>
      <c r="I158" t="s">
        <v>1103</v>
      </c>
      <c r="J158" t="s">
        <v>1101</v>
      </c>
      <c r="K158">
        <v>500</v>
      </c>
      <c r="L158">
        <v>4</v>
      </c>
      <c r="M158">
        <v>14</v>
      </c>
      <c r="N158" t="s">
        <v>21</v>
      </c>
      <c r="O158">
        <v>0</v>
      </c>
      <c r="P158">
        <v>3</v>
      </c>
      <c r="Q158">
        <v>463</v>
      </c>
      <c r="R158">
        <v>6760</v>
      </c>
      <c r="S158">
        <v>14</v>
      </c>
      <c r="T158">
        <v>14</v>
      </c>
      <c r="U158">
        <v>28</v>
      </c>
      <c r="V158">
        <v>500</v>
      </c>
      <c r="W158" t="s">
        <v>1153</v>
      </c>
      <c r="X158" t="s">
        <v>1087</v>
      </c>
      <c r="Y158">
        <v>39</v>
      </c>
      <c r="Z158">
        <v>1</v>
      </c>
      <c r="AA158">
        <v>41.666666666666664</v>
      </c>
    </row>
    <row r="159" spans="1:27" x14ac:dyDescent="0.3">
      <c r="A159" s="15">
        <v>44477.613206018519</v>
      </c>
      <c r="B159" t="s">
        <v>13</v>
      </c>
      <c r="C159" t="s">
        <v>1028</v>
      </c>
      <c r="D159" s="2">
        <v>44463</v>
      </c>
      <c r="E159" t="s">
        <v>1105</v>
      </c>
      <c r="F159" t="s">
        <v>41</v>
      </c>
      <c r="G159" t="s">
        <v>950</v>
      </c>
      <c r="H159" t="s">
        <v>951</v>
      </c>
      <c r="I159" t="s">
        <v>1103</v>
      </c>
      <c r="J159" t="s">
        <v>1100</v>
      </c>
      <c r="K159">
        <v>589</v>
      </c>
      <c r="L159">
        <v>4</v>
      </c>
      <c r="M159">
        <v>16.489999999999998</v>
      </c>
      <c r="N159" t="s">
        <v>21</v>
      </c>
      <c r="O159">
        <v>0</v>
      </c>
      <c r="P159">
        <v>3</v>
      </c>
      <c r="Q159">
        <v>463</v>
      </c>
      <c r="R159">
        <v>6760</v>
      </c>
      <c r="S159">
        <v>16.492000000000001</v>
      </c>
      <c r="T159">
        <v>16.489999999999998</v>
      </c>
      <c r="U159">
        <v>28</v>
      </c>
      <c r="V159">
        <v>588.92857142857144</v>
      </c>
      <c r="W159" t="s">
        <v>1153</v>
      </c>
      <c r="X159" t="s">
        <v>1087</v>
      </c>
      <c r="Y159">
        <v>39</v>
      </c>
      <c r="Z159">
        <v>1</v>
      </c>
      <c r="AA159">
        <v>49.083333333333336</v>
      </c>
    </row>
    <row r="160" spans="1:27" x14ac:dyDescent="0.3">
      <c r="A160" s="15">
        <v>44477.614988425928</v>
      </c>
      <c r="B160" t="s">
        <v>13</v>
      </c>
      <c r="C160" t="s">
        <v>1028</v>
      </c>
      <c r="D160" s="2">
        <v>44464</v>
      </c>
      <c r="E160" t="s">
        <v>1133</v>
      </c>
      <c r="F160" t="s">
        <v>41</v>
      </c>
      <c r="G160" t="s">
        <v>950</v>
      </c>
      <c r="H160" t="s">
        <v>951</v>
      </c>
      <c r="I160" t="s">
        <v>1103</v>
      </c>
      <c r="J160" t="s">
        <v>1102</v>
      </c>
      <c r="K160">
        <v>186</v>
      </c>
      <c r="L160">
        <v>3</v>
      </c>
      <c r="M160">
        <v>4.9000000000000004</v>
      </c>
      <c r="N160" t="s">
        <v>21</v>
      </c>
      <c r="O160">
        <v>0</v>
      </c>
      <c r="P160">
        <v>1</v>
      </c>
      <c r="Q160">
        <v>463</v>
      </c>
      <c r="R160">
        <v>6761</v>
      </c>
      <c r="S160">
        <v>5.2080000000000002</v>
      </c>
      <c r="T160">
        <v>4.9000000000000004</v>
      </c>
      <c r="U160">
        <v>28</v>
      </c>
      <c r="V160">
        <v>175</v>
      </c>
      <c r="W160" t="s">
        <v>1153</v>
      </c>
      <c r="X160" t="s">
        <v>1087</v>
      </c>
      <c r="Y160">
        <v>39</v>
      </c>
      <c r="Z160">
        <v>1</v>
      </c>
      <c r="AA160">
        <v>15.5</v>
      </c>
    </row>
    <row r="161" spans="1:27" x14ac:dyDescent="0.3">
      <c r="A161" s="15">
        <v>44477.614016203705</v>
      </c>
      <c r="B161" t="s">
        <v>13</v>
      </c>
      <c r="C161" t="s">
        <v>1028</v>
      </c>
      <c r="D161" s="2">
        <v>44464</v>
      </c>
      <c r="E161" t="s">
        <v>1133</v>
      </c>
      <c r="F161" t="s">
        <v>41</v>
      </c>
      <c r="G161" t="s">
        <v>950</v>
      </c>
      <c r="H161" t="s">
        <v>951</v>
      </c>
      <c r="I161" t="s">
        <v>1103</v>
      </c>
      <c r="J161" t="s">
        <v>1101</v>
      </c>
      <c r="K161">
        <v>897</v>
      </c>
      <c r="L161">
        <v>7</v>
      </c>
      <c r="M161">
        <v>23.63</v>
      </c>
      <c r="N161" t="s">
        <v>21</v>
      </c>
      <c r="O161">
        <v>0</v>
      </c>
      <c r="P161">
        <v>4</v>
      </c>
      <c r="Q161">
        <v>463</v>
      </c>
      <c r="R161">
        <v>6761</v>
      </c>
      <c r="S161">
        <v>25.116</v>
      </c>
      <c r="T161">
        <v>23.63</v>
      </c>
      <c r="U161">
        <v>28</v>
      </c>
      <c r="V161">
        <v>843.92857142857144</v>
      </c>
      <c r="W161" t="s">
        <v>1153</v>
      </c>
      <c r="X161" t="s">
        <v>1087</v>
      </c>
      <c r="Y161">
        <v>39</v>
      </c>
      <c r="Z161">
        <v>1</v>
      </c>
      <c r="AA161">
        <v>74.75</v>
      </c>
    </row>
    <row r="162" spans="1:27" x14ac:dyDescent="0.3">
      <c r="A162" s="15">
        <v>44477.615694444445</v>
      </c>
      <c r="B162" t="s">
        <v>13</v>
      </c>
      <c r="C162" t="s">
        <v>1028</v>
      </c>
      <c r="D162" s="2">
        <v>44466</v>
      </c>
      <c r="E162" t="s">
        <v>1105</v>
      </c>
      <c r="F162" t="s">
        <v>41</v>
      </c>
      <c r="G162" t="s">
        <v>950</v>
      </c>
      <c r="H162" t="s">
        <v>951</v>
      </c>
      <c r="I162" t="s">
        <v>1103</v>
      </c>
      <c r="J162" t="s">
        <v>1102</v>
      </c>
      <c r="K162">
        <v>1540</v>
      </c>
      <c r="L162">
        <v>11</v>
      </c>
      <c r="M162">
        <v>43.12</v>
      </c>
      <c r="N162" t="s">
        <v>21</v>
      </c>
      <c r="O162">
        <v>0</v>
      </c>
      <c r="P162">
        <v>7</v>
      </c>
      <c r="Q162">
        <v>463</v>
      </c>
      <c r="R162">
        <v>6762</v>
      </c>
      <c r="S162">
        <v>43.12</v>
      </c>
      <c r="T162">
        <v>43.12</v>
      </c>
      <c r="U162">
        <v>28</v>
      </c>
      <c r="V162">
        <v>1540</v>
      </c>
      <c r="W162" t="s">
        <v>1153</v>
      </c>
      <c r="X162" t="s">
        <v>1087</v>
      </c>
      <c r="Y162">
        <v>40</v>
      </c>
      <c r="Z162">
        <v>1</v>
      </c>
      <c r="AA162">
        <v>128.33333333333334</v>
      </c>
    </row>
    <row r="163" spans="1:27" x14ac:dyDescent="0.3">
      <c r="A163" s="15">
        <v>44477.620671296296</v>
      </c>
      <c r="B163" t="s">
        <v>13</v>
      </c>
      <c r="C163" t="s">
        <v>1028</v>
      </c>
      <c r="D163" s="2">
        <v>44467</v>
      </c>
      <c r="E163" t="s">
        <v>1092</v>
      </c>
      <c r="F163" t="s">
        <v>41</v>
      </c>
      <c r="G163" t="s">
        <v>950</v>
      </c>
      <c r="H163" t="s">
        <v>951</v>
      </c>
      <c r="I163" t="s">
        <v>1103</v>
      </c>
      <c r="J163" t="s">
        <v>1099</v>
      </c>
      <c r="K163">
        <v>1438</v>
      </c>
      <c r="L163">
        <v>9</v>
      </c>
      <c r="M163">
        <v>40.26</v>
      </c>
      <c r="N163" t="s">
        <v>21</v>
      </c>
      <c r="O163">
        <v>0</v>
      </c>
      <c r="P163">
        <v>7</v>
      </c>
      <c r="Q163">
        <v>463</v>
      </c>
      <c r="R163">
        <v>6763</v>
      </c>
      <c r="S163">
        <v>40.264000000000003</v>
      </c>
      <c r="T163">
        <v>40.26</v>
      </c>
      <c r="U163">
        <v>28</v>
      </c>
      <c r="V163">
        <v>1437.8571428571429</v>
      </c>
      <c r="W163" t="s">
        <v>1153</v>
      </c>
      <c r="X163" t="s">
        <v>1087</v>
      </c>
      <c r="Y163">
        <v>40</v>
      </c>
      <c r="Z163">
        <v>1</v>
      </c>
      <c r="AA163">
        <v>119.83333333333333</v>
      </c>
    </row>
    <row r="164" spans="1:27" x14ac:dyDescent="0.3">
      <c r="A164" s="15">
        <v>44477.621724537035</v>
      </c>
      <c r="B164" t="s">
        <v>13</v>
      </c>
      <c r="C164" t="s">
        <v>1028</v>
      </c>
      <c r="D164" s="2">
        <v>44468</v>
      </c>
      <c r="E164" t="s">
        <v>1133</v>
      </c>
      <c r="F164" t="s">
        <v>41</v>
      </c>
      <c r="G164" t="s">
        <v>950</v>
      </c>
      <c r="H164" t="s">
        <v>951</v>
      </c>
      <c r="I164" t="s">
        <v>1103</v>
      </c>
      <c r="J164" t="s">
        <v>1100</v>
      </c>
      <c r="K164">
        <v>1389</v>
      </c>
      <c r="L164">
        <v>8</v>
      </c>
      <c r="M164">
        <v>43.8</v>
      </c>
      <c r="N164" t="s">
        <v>21</v>
      </c>
      <c r="O164">
        <v>0</v>
      </c>
      <c r="P164">
        <v>5</v>
      </c>
      <c r="Q164">
        <v>463</v>
      </c>
      <c r="R164">
        <v>6764</v>
      </c>
      <c r="S164">
        <v>38.892000000000003</v>
      </c>
      <c r="T164">
        <v>43.8</v>
      </c>
      <c r="U164">
        <v>28</v>
      </c>
      <c r="V164">
        <v>1564.2857142857142</v>
      </c>
      <c r="W164" t="s">
        <v>1153</v>
      </c>
      <c r="X164" t="s">
        <v>1087</v>
      </c>
      <c r="Y164">
        <v>40</v>
      </c>
      <c r="Z164">
        <v>1</v>
      </c>
      <c r="AA164">
        <v>115.75</v>
      </c>
    </row>
    <row r="165" spans="1:27" x14ac:dyDescent="0.3">
      <c r="A165" s="15">
        <v>44477.621377314812</v>
      </c>
      <c r="B165" t="s">
        <v>13</v>
      </c>
      <c r="C165" t="s">
        <v>1028</v>
      </c>
      <c r="D165" s="2">
        <v>44468</v>
      </c>
      <c r="E165" t="s">
        <v>1133</v>
      </c>
      <c r="F165" t="s">
        <v>41</v>
      </c>
      <c r="G165" t="s">
        <v>950</v>
      </c>
      <c r="H165" t="s">
        <v>951</v>
      </c>
      <c r="I165" t="s">
        <v>1103</v>
      </c>
      <c r="J165" t="s">
        <v>1099</v>
      </c>
      <c r="K165">
        <v>192</v>
      </c>
      <c r="L165">
        <v>3</v>
      </c>
      <c r="M165">
        <v>5.38</v>
      </c>
      <c r="N165" t="s">
        <v>21</v>
      </c>
      <c r="O165">
        <v>0</v>
      </c>
      <c r="P165">
        <v>1</v>
      </c>
      <c r="Q165">
        <v>463</v>
      </c>
      <c r="R165">
        <v>6764</v>
      </c>
      <c r="S165">
        <v>5.3760000000000003</v>
      </c>
      <c r="T165">
        <v>5.38</v>
      </c>
      <c r="U165">
        <v>28</v>
      </c>
      <c r="V165">
        <v>192.14285714285714</v>
      </c>
      <c r="W165" t="s">
        <v>1153</v>
      </c>
      <c r="X165" t="s">
        <v>1087</v>
      </c>
      <c r="Y165">
        <v>40</v>
      </c>
      <c r="Z165">
        <v>1</v>
      </c>
      <c r="AA165">
        <v>16</v>
      </c>
    </row>
    <row r="166" spans="1:27" x14ac:dyDescent="0.3">
      <c r="A166" s="15">
        <v>44482.656006944446</v>
      </c>
      <c r="B166" t="s">
        <v>13</v>
      </c>
      <c r="C166" t="s">
        <v>1028</v>
      </c>
      <c r="D166" s="2">
        <v>44469</v>
      </c>
      <c r="E166" t="s">
        <v>1092</v>
      </c>
      <c r="F166" t="s">
        <v>41</v>
      </c>
      <c r="G166" t="s">
        <v>950</v>
      </c>
      <c r="H166" t="s">
        <v>951</v>
      </c>
      <c r="I166" t="s">
        <v>1103</v>
      </c>
      <c r="J166" t="s">
        <v>1099</v>
      </c>
      <c r="K166">
        <v>170</v>
      </c>
      <c r="L166">
        <v>1</v>
      </c>
      <c r="M166">
        <v>5.18</v>
      </c>
      <c r="N166" t="s">
        <v>21</v>
      </c>
      <c r="O166">
        <v>0</v>
      </c>
      <c r="P166">
        <v>1</v>
      </c>
      <c r="Q166">
        <v>463</v>
      </c>
      <c r="R166">
        <v>6765</v>
      </c>
      <c r="S166">
        <v>4.76</v>
      </c>
      <c r="T166">
        <v>5.18</v>
      </c>
      <c r="U166">
        <v>28</v>
      </c>
      <c r="V166">
        <v>185</v>
      </c>
      <c r="W166" t="s">
        <v>1153</v>
      </c>
      <c r="X166" t="s">
        <v>1087</v>
      </c>
      <c r="Y166">
        <v>40</v>
      </c>
      <c r="Z166">
        <v>1</v>
      </c>
      <c r="AA166">
        <v>14.166666666666666</v>
      </c>
    </row>
    <row r="167" spans="1:27" x14ac:dyDescent="0.3">
      <c r="A167" s="15">
        <v>44477.622210648151</v>
      </c>
      <c r="B167" t="s">
        <v>13</v>
      </c>
      <c r="C167" t="s">
        <v>1028</v>
      </c>
      <c r="D167" s="2">
        <v>44469</v>
      </c>
      <c r="E167" t="s">
        <v>1092</v>
      </c>
      <c r="F167" t="s">
        <v>41</v>
      </c>
      <c r="G167" t="s">
        <v>950</v>
      </c>
      <c r="H167" t="s">
        <v>951</v>
      </c>
      <c r="I167" t="s">
        <v>1103</v>
      </c>
      <c r="J167" t="s">
        <v>1100</v>
      </c>
      <c r="K167">
        <v>1193</v>
      </c>
      <c r="L167">
        <v>9</v>
      </c>
      <c r="M167">
        <v>32.76</v>
      </c>
      <c r="N167" t="s">
        <v>21</v>
      </c>
      <c r="O167">
        <v>0</v>
      </c>
      <c r="P167">
        <v>5</v>
      </c>
      <c r="Q167">
        <v>463</v>
      </c>
      <c r="R167">
        <v>6765</v>
      </c>
      <c r="S167">
        <v>33.404000000000003</v>
      </c>
      <c r="T167">
        <v>32.76</v>
      </c>
      <c r="U167">
        <v>28</v>
      </c>
      <c r="V167">
        <v>1169.9999999999998</v>
      </c>
      <c r="W167" t="s">
        <v>1153</v>
      </c>
      <c r="X167" t="s">
        <v>1087</v>
      </c>
      <c r="Y167">
        <v>40</v>
      </c>
      <c r="Z167">
        <v>1</v>
      </c>
      <c r="AA167">
        <v>99.416666666666671</v>
      </c>
    </row>
    <row r="168" spans="1:27" x14ac:dyDescent="0.3">
      <c r="A168" s="15">
        <v>44482.707638888889</v>
      </c>
      <c r="B168" t="s">
        <v>12</v>
      </c>
      <c r="C168" t="s">
        <v>1078</v>
      </c>
      <c r="D168" s="2">
        <v>44449</v>
      </c>
      <c r="E168" t="s">
        <v>1105</v>
      </c>
      <c r="F168" t="s">
        <v>41</v>
      </c>
      <c r="G168" t="s">
        <v>942</v>
      </c>
      <c r="H168" t="s">
        <v>48</v>
      </c>
      <c r="I168" t="s">
        <v>1140</v>
      </c>
      <c r="J168" t="s">
        <v>1138</v>
      </c>
      <c r="K168">
        <v>238</v>
      </c>
      <c r="L168">
        <v>2</v>
      </c>
      <c r="M168">
        <v>11.9</v>
      </c>
      <c r="N168" t="s">
        <v>21</v>
      </c>
      <c r="O168">
        <v>0</v>
      </c>
      <c r="P168">
        <v>2</v>
      </c>
      <c r="R168">
        <v>7021</v>
      </c>
      <c r="S168">
        <v>11.9</v>
      </c>
      <c r="T168">
        <v>11.9</v>
      </c>
      <c r="U168">
        <v>50</v>
      </c>
      <c r="V168">
        <v>238</v>
      </c>
      <c r="W168" t="s">
        <v>1153</v>
      </c>
      <c r="X168" t="s">
        <v>1087</v>
      </c>
      <c r="Y168">
        <v>37</v>
      </c>
      <c r="Z168">
        <v>1</v>
      </c>
      <c r="AA168">
        <v>19.833333333333332</v>
      </c>
    </row>
    <row r="169" spans="1:27" x14ac:dyDescent="0.3">
      <c r="A169" s="15">
        <v>44482.71020833333</v>
      </c>
      <c r="B169" t="s">
        <v>12</v>
      </c>
      <c r="C169" t="s">
        <v>1078</v>
      </c>
      <c r="D169" s="2">
        <v>44450</v>
      </c>
      <c r="E169" t="s">
        <v>1105</v>
      </c>
      <c r="F169" t="s">
        <v>41</v>
      </c>
      <c r="G169" t="s">
        <v>942</v>
      </c>
      <c r="H169" t="s">
        <v>48</v>
      </c>
      <c r="I169" t="s">
        <v>1140</v>
      </c>
      <c r="J169" t="s">
        <v>1136</v>
      </c>
      <c r="K169">
        <v>793</v>
      </c>
      <c r="L169">
        <v>7</v>
      </c>
      <c r="M169">
        <v>41.2</v>
      </c>
      <c r="N169" t="s">
        <v>21</v>
      </c>
      <c r="O169">
        <v>0</v>
      </c>
      <c r="P169">
        <v>7</v>
      </c>
      <c r="R169">
        <v>7023</v>
      </c>
      <c r="S169">
        <v>39.65</v>
      </c>
      <c r="T169">
        <v>41.2</v>
      </c>
      <c r="U169">
        <v>50</v>
      </c>
      <c r="V169">
        <v>824</v>
      </c>
      <c r="W169" t="s">
        <v>1153</v>
      </c>
      <c r="X169" t="s">
        <v>1087</v>
      </c>
      <c r="Y169">
        <v>37</v>
      </c>
      <c r="Z169">
        <v>1</v>
      </c>
      <c r="AA169">
        <v>66.083333333333329</v>
      </c>
    </row>
    <row r="170" spans="1:27" x14ac:dyDescent="0.3">
      <c r="A170" s="15">
        <v>44482.709837962961</v>
      </c>
      <c r="B170" t="s">
        <v>12</v>
      </c>
      <c r="C170" t="s">
        <v>1078</v>
      </c>
      <c r="D170" s="2">
        <v>44450</v>
      </c>
      <c r="E170" t="s">
        <v>1105</v>
      </c>
      <c r="F170" t="s">
        <v>41</v>
      </c>
      <c r="G170" t="s">
        <v>942</v>
      </c>
      <c r="H170" t="s">
        <v>48</v>
      </c>
      <c r="I170" t="s">
        <v>1140</v>
      </c>
      <c r="J170" t="s">
        <v>1137</v>
      </c>
      <c r="K170">
        <v>488</v>
      </c>
      <c r="L170">
        <v>4</v>
      </c>
      <c r="M170">
        <v>17.399999999999999</v>
      </c>
      <c r="N170" t="s">
        <v>21</v>
      </c>
      <c r="O170">
        <v>0</v>
      </c>
      <c r="P170">
        <v>4</v>
      </c>
      <c r="R170">
        <v>7023</v>
      </c>
      <c r="S170">
        <v>24.4</v>
      </c>
      <c r="T170">
        <v>17.399999999999999</v>
      </c>
      <c r="U170">
        <v>50</v>
      </c>
      <c r="V170">
        <v>348</v>
      </c>
      <c r="W170" t="s">
        <v>1153</v>
      </c>
      <c r="X170" t="s">
        <v>1087</v>
      </c>
      <c r="Y170">
        <v>37</v>
      </c>
      <c r="Z170">
        <v>1</v>
      </c>
      <c r="AA170">
        <v>40.666666666666664</v>
      </c>
    </row>
    <row r="171" spans="1:27" x14ac:dyDescent="0.3">
      <c r="A171" s="15">
        <v>44482.711597222224</v>
      </c>
      <c r="B171" t="s">
        <v>12</v>
      </c>
      <c r="C171" t="s">
        <v>1078</v>
      </c>
      <c r="D171" s="2">
        <v>44451</v>
      </c>
      <c r="E171" t="s">
        <v>1105</v>
      </c>
      <c r="F171" t="s">
        <v>41</v>
      </c>
      <c r="G171" t="s">
        <v>942</v>
      </c>
      <c r="H171" t="s">
        <v>48</v>
      </c>
      <c r="I171" t="s">
        <v>1140</v>
      </c>
      <c r="J171" t="s">
        <v>1135</v>
      </c>
      <c r="K171">
        <v>1016</v>
      </c>
      <c r="L171">
        <v>7</v>
      </c>
      <c r="M171">
        <v>50.5</v>
      </c>
      <c r="N171" t="s">
        <v>21</v>
      </c>
      <c r="O171">
        <v>0</v>
      </c>
      <c r="P171">
        <v>8</v>
      </c>
      <c r="R171">
        <v>7025</v>
      </c>
      <c r="S171">
        <v>50.8</v>
      </c>
      <c r="T171">
        <v>50.5</v>
      </c>
      <c r="U171">
        <v>50</v>
      </c>
      <c r="V171">
        <v>1010</v>
      </c>
      <c r="W171" t="s">
        <v>1153</v>
      </c>
      <c r="X171" t="s">
        <v>1087</v>
      </c>
      <c r="Y171">
        <v>37</v>
      </c>
      <c r="Z171">
        <v>1</v>
      </c>
      <c r="AA171">
        <v>84.666666666666671</v>
      </c>
    </row>
    <row r="172" spans="1:27" x14ac:dyDescent="0.3">
      <c r="A172" s="15">
        <v>44482.712164351855</v>
      </c>
      <c r="B172" t="s">
        <v>12</v>
      </c>
      <c r="C172" t="s">
        <v>1078</v>
      </c>
      <c r="D172" s="2">
        <v>44452</v>
      </c>
      <c r="E172" t="s">
        <v>1105</v>
      </c>
      <c r="F172" t="s">
        <v>41</v>
      </c>
      <c r="G172" t="s">
        <v>942</v>
      </c>
      <c r="H172" t="s">
        <v>48</v>
      </c>
      <c r="I172" t="s">
        <v>1140</v>
      </c>
      <c r="J172" t="s">
        <v>1139</v>
      </c>
      <c r="K172">
        <v>1046</v>
      </c>
      <c r="L172">
        <v>8</v>
      </c>
      <c r="M172">
        <v>52.4</v>
      </c>
      <c r="N172" t="s">
        <v>21</v>
      </c>
      <c r="O172">
        <v>0</v>
      </c>
      <c r="P172">
        <v>9</v>
      </c>
      <c r="R172">
        <v>7026</v>
      </c>
      <c r="S172">
        <v>52.3</v>
      </c>
      <c r="T172">
        <v>52.4</v>
      </c>
      <c r="U172">
        <v>50</v>
      </c>
      <c r="V172">
        <v>1048</v>
      </c>
      <c r="W172" t="s">
        <v>1153</v>
      </c>
      <c r="X172" t="s">
        <v>1087</v>
      </c>
      <c r="Y172">
        <v>38</v>
      </c>
      <c r="Z172">
        <v>1</v>
      </c>
      <c r="AA172">
        <v>87.166666666666671</v>
      </c>
    </row>
    <row r="173" spans="1:27" x14ac:dyDescent="0.3">
      <c r="A173" s="15">
        <v>44482.712916666664</v>
      </c>
      <c r="B173" t="s">
        <v>12</v>
      </c>
      <c r="C173" t="s">
        <v>1078</v>
      </c>
      <c r="D173" s="2">
        <v>44453</v>
      </c>
      <c r="E173" t="s">
        <v>1105</v>
      </c>
      <c r="F173" t="s">
        <v>41</v>
      </c>
      <c r="G173" t="s">
        <v>942</v>
      </c>
      <c r="H173" t="s">
        <v>48</v>
      </c>
      <c r="I173" t="s">
        <v>1140</v>
      </c>
      <c r="J173" t="s">
        <v>1136</v>
      </c>
      <c r="K173">
        <v>237</v>
      </c>
      <c r="L173">
        <v>3</v>
      </c>
      <c r="M173">
        <v>11.85</v>
      </c>
      <c r="N173" t="s">
        <v>21</v>
      </c>
      <c r="O173">
        <v>0</v>
      </c>
      <c r="P173">
        <v>2</v>
      </c>
      <c r="R173">
        <v>7027</v>
      </c>
      <c r="S173">
        <v>11.85</v>
      </c>
      <c r="T173">
        <v>11.85</v>
      </c>
      <c r="U173">
        <v>50</v>
      </c>
      <c r="V173">
        <v>237</v>
      </c>
      <c r="W173" t="s">
        <v>1153</v>
      </c>
      <c r="X173" t="s">
        <v>1087</v>
      </c>
      <c r="Y173">
        <v>38</v>
      </c>
      <c r="Z173">
        <v>1</v>
      </c>
      <c r="AA173">
        <v>19.75</v>
      </c>
    </row>
    <row r="174" spans="1:27" x14ac:dyDescent="0.3">
      <c r="A174" s="15">
        <v>44483.393148148149</v>
      </c>
      <c r="B174" t="s">
        <v>12</v>
      </c>
      <c r="C174" t="s">
        <v>1030</v>
      </c>
      <c r="D174" s="2">
        <v>44440</v>
      </c>
      <c r="E174" t="s">
        <v>1081</v>
      </c>
      <c r="F174" t="s">
        <v>41</v>
      </c>
      <c r="G174" t="s">
        <v>941</v>
      </c>
      <c r="H174" t="s">
        <v>48</v>
      </c>
      <c r="I174" t="s">
        <v>10</v>
      </c>
      <c r="J174" t="s">
        <v>430</v>
      </c>
      <c r="K174">
        <v>499</v>
      </c>
      <c r="L174">
        <v>9</v>
      </c>
      <c r="M174">
        <v>44.7</v>
      </c>
      <c r="N174" t="s">
        <v>21</v>
      </c>
      <c r="O174">
        <v>0</v>
      </c>
      <c r="P174">
        <v>0</v>
      </c>
      <c r="R174">
        <v>6569</v>
      </c>
      <c r="S174">
        <v>59.88</v>
      </c>
      <c r="T174">
        <v>44.7</v>
      </c>
      <c r="U174">
        <v>120</v>
      </c>
      <c r="V174">
        <v>372.5</v>
      </c>
      <c r="W174" t="s">
        <v>1153</v>
      </c>
      <c r="X174" t="s">
        <v>1087</v>
      </c>
      <c r="Y174">
        <v>36</v>
      </c>
      <c r="Z174">
        <v>1</v>
      </c>
      <c r="AA174">
        <v>41.583333333333336</v>
      </c>
    </row>
    <row r="175" spans="1:27" x14ac:dyDescent="0.3">
      <c r="A175" s="15">
        <v>44483.394108796296</v>
      </c>
      <c r="B175" t="s">
        <v>12</v>
      </c>
      <c r="C175" t="s">
        <v>1030</v>
      </c>
      <c r="D175" s="2">
        <v>44443</v>
      </c>
      <c r="E175" t="s">
        <v>1081</v>
      </c>
      <c r="F175" t="s">
        <v>41</v>
      </c>
      <c r="G175" t="s">
        <v>941</v>
      </c>
      <c r="H175" t="s">
        <v>48</v>
      </c>
      <c r="I175" t="s">
        <v>1042</v>
      </c>
      <c r="J175" t="s">
        <v>380</v>
      </c>
      <c r="K175">
        <v>208</v>
      </c>
      <c r="L175">
        <v>3</v>
      </c>
      <c r="M175">
        <v>26</v>
      </c>
      <c r="N175" t="s">
        <v>21</v>
      </c>
      <c r="O175">
        <v>0</v>
      </c>
      <c r="P175">
        <v>0</v>
      </c>
      <c r="R175">
        <v>6570</v>
      </c>
      <c r="S175">
        <v>25.792000000000002</v>
      </c>
      <c r="T175">
        <v>26</v>
      </c>
      <c r="U175">
        <v>124</v>
      </c>
      <c r="V175">
        <v>209.67741935483872</v>
      </c>
      <c r="W175" t="s">
        <v>1153</v>
      </c>
      <c r="X175" t="s">
        <v>1087</v>
      </c>
      <c r="Y175">
        <v>36</v>
      </c>
      <c r="Z175">
        <v>1</v>
      </c>
      <c r="AA175">
        <v>17.333333333333332</v>
      </c>
    </row>
    <row r="176" spans="1:27" x14ac:dyDescent="0.3">
      <c r="A176" s="15">
        <v>44483.394803240742</v>
      </c>
      <c r="B176" t="s">
        <v>12</v>
      </c>
      <c r="C176" t="s">
        <v>1030</v>
      </c>
      <c r="D176" s="2">
        <v>44445</v>
      </c>
      <c r="E176" t="s">
        <v>1081</v>
      </c>
      <c r="F176" t="s">
        <v>41</v>
      </c>
      <c r="G176" t="s">
        <v>941</v>
      </c>
      <c r="H176" t="s">
        <v>48</v>
      </c>
      <c r="I176" t="s">
        <v>1042</v>
      </c>
      <c r="J176" t="s">
        <v>381</v>
      </c>
      <c r="K176">
        <v>102</v>
      </c>
      <c r="L176">
        <v>2</v>
      </c>
      <c r="M176">
        <v>12.8</v>
      </c>
      <c r="N176" t="s">
        <v>21</v>
      </c>
      <c r="O176">
        <v>0</v>
      </c>
      <c r="P176">
        <v>1</v>
      </c>
      <c r="R176">
        <v>6570</v>
      </c>
      <c r="S176">
        <v>12.648</v>
      </c>
      <c r="T176">
        <v>12.8</v>
      </c>
      <c r="U176">
        <v>124</v>
      </c>
      <c r="V176">
        <v>103.2258064516129</v>
      </c>
      <c r="W176" t="s">
        <v>1153</v>
      </c>
      <c r="X176" t="s">
        <v>1087</v>
      </c>
      <c r="Y176">
        <v>37</v>
      </c>
      <c r="Z176">
        <v>1</v>
      </c>
      <c r="AA176">
        <v>8.5</v>
      </c>
    </row>
    <row r="177" spans="1:27" x14ac:dyDescent="0.3">
      <c r="A177" s="15">
        <v>44483.396215277775</v>
      </c>
      <c r="B177" t="s">
        <v>12</v>
      </c>
      <c r="C177" t="s">
        <v>1030</v>
      </c>
      <c r="D177" s="2">
        <v>44446</v>
      </c>
      <c r="E177" t="s">
        <v>1034</v>
      </c>
      <c r="F177" t="s">
        <v>41</v>
      </c>
      <c r="G177" t="s">
        <v>941</v>
      </c>
      <c r="H177" t="s">
        <v>48</v>
      </c>
      <c r="I177" t="s">
        <v>1042</v>
      </c>
      <c r="J177" t="s">
        <v>379</v>
      </c>
      <c r="K177">
        <v>170</v>
      </c>
      <c r="L177">
        <v>2</v>
      </c>
      <c r="M177">
        <v>20.2</v>
      </c>
      <c r="N177" t="s">
        <v>21</v>
      </c>
      <c r="O177">
        <v>0</v>
      </c>
      <c r="P177">
        <v>2</v>
      </c>
      <c r="R177">
        <v>6571</v>
      </c>
      <c r="S177">
        <v>21.08</v>
      </c>
      <c r="T177">
        <v>20.2</v>
      </c>
      <c r="U177">
        <v>124</v>
      </c>
      <c r="V177">
        <v>162.90322580645162</v>
      </c>
      <c r="W177" t="s">
        <v>1153</v>
      </c>
      <c r="X177" t="s">
        <v>1087</v>
      </c>
      <c r="Y177">
        <v>37</v>
      </c>
      <c r="Z177">
        <v>1</v>
      </c>
      <c r="AA177">
        <v>14.166666666666666</v>
      </c>
    </row>
    <row r="178" spans="1:27" x14ac:dyDescent="0.3">
      <c r="A178" s="15">
        <v>44483.395787037036</v>
      </c>
      <c r="B178" t="s">
        <v>12</v>
      </c>
      <c r="C178" t="s">
        <v>1030</v>
      </c>
      <c r="D178" s="2">
        <v>44446</v>
      </c>
      <c r="E178" t="s">
        <v>1034</v>
      </c>
      <c r="F178" t="s">
        <v>41</v>
      </c>
      <c r="G178" t="s">
        <v>941</v>
      </c>
      <c r="H178" t="s">
        <v>48</v>
      </c>
      <c r="I178" t="s">
        <v>1042</v>
      </c>
      <c r="J178" t="s">
        <v>376</v>
      </c>
      <c r="K178">
        <v>200</v>
      </c>
      <c r="L178">
        <v>2</v>
      </c>
      <c r="M178">
        <v>28.3</v>
      </c>
      <c r="N178" t="s">
        <v>21</v>
      </c>
      <c r="O178">
        <v>0</v>
      </c>
      <c r="P178">
        <v>1</v>
      </c>
      <c r="R178">
        <v>6571</v>
      </c>
      <c r="S178">
        <v>24.8</v>
      </c>
      <c r="T178">
        <v>28.3</v>
      </c>
      <c r="U178">
        <v>124</v>
      </c>
      <c r="V178">
        <v>228.2258064516129</v>
      </c>
      <c r="W178" t="s">
        <v>1153</v>
      </c>
      <c r="X178" t="s">
        <v>1087</v>
      </c>
      <c r="Y178">
        <v>37</v>
      </c>
      <c r="Z178">
        <v>1</v>
      </c>
      <c r="AA178">
        <v>16.666666666666668</v>
      </c>
    </row>
    <row r="179" spans="1:27" x14ac:dyDescent="0.3">
      <c r="A179" s="15">
        <v>44483.395243055558</v>
      </c>
      <c r="B179" t="s">
        <v>12</v>
      </c>
      <c r="C179" t="s">
        <v>1030</v>
      </c>
      <c r="D179" s="2">
        <v>44446</v>
      </c>
      <c r="E179" t="s">
        <v>1034</v>
      </c>
      <c r="F179" t="s">
        <v>41</v>
      </c>
      <c r="G179" t="s">
        <v>941</v>
      </c>
      <c r="H179" t="s">
        <v>48</v>
      </c>
      <c r="I179" t="s">
        <v>1042</v>
      </c>
      <c r="J179" t="s">
        <v>381</v>
      </c>
      <c r="K179">
        <v>100</v>
      </c>
      <c r="L179">
        <v>1</v>
      </c>
      <c r="M179">
        <v>14.9</v>
      </c>
      <c r="N179" t="s">
        <v>21</v>
      </c>
      <c r="O179">
        <v>0</v>
      </c>
      <c r="P179">
        <v>1</v>
      </c>
      <c r="R179">
        <v>6571</v>
      </c>
      <c r="S179">
        <v>12.4</v>
      </c>
      <c r="T179">
        <v>14.9</v>
      </c>
      <c r="U179">
        <v>124</v>
      </c>
      <c r="V179">
        <v>120.16129032258064</v>
      </c>
      <c r="W179" t="s">
        <v>1153</v>
      </c>
      <c r="X179" t="s">
        <v>1087</v>
      </c>
      <c r="Y179">
        <v>37</v>
      </c>
      <c r="Z179">
        <v>1</v>
      </c>
      <c r="AA179">
        <v>8.3333333333333339</v>
      </c>
    </row>
    <row r="180" spans="1:27" x14ac:dyDescent="0.3">
      <c r="A180" s="15">
        <v>44483.399247685185</v>
      </c>
      <c r="B180" t="s">
        <v>12</v>
      </c>
      <c r="C180" t="s">
        <v>1030</v>
      </c>
      <c r="D180" s="2">
        <v>44447</v>
      </c>
      <c r="E180" t="s">
        <v>1081</v>
      </c>
      <c r="F180" t="s">
        <v>41</v>
      </c>
      <c r="G180" t="s">
        <v>941</v>
      </c>
      <c r="H180" t="s">
        <v>48</v>
      </c>
      <c r="I180" t="s">
        <v>1042</v>
      </c>
      <c r="J180" t="s">
        <v>378</v>
      </c>
      <c r="K180">
        <v>250</v>
      </c>
      <c r="L180">
        <v>4</v>
      </c>
      <c r="M180">
        <v>36.700000000000003</v>
      </c>
      <c r="N180" t="s">
        <v>21</v>
      </c>
      <c r="O180">
        <v>0</v>
      </c>
      <c r="P180">
        <v>4</v>
      </c>
      <c r="R180">
        <v>6572</v>
      </c>
      <c r="S180">
        <v>31</v>
      </c>
      <c r="T180">
        <v>36.700000000000003</v>
      </c>
      <c r="U180">
        <v>124</v>
      </c>
      <c r="V180">
        <v>295.96774193548384</v>
      </c>
      <c r="W180" t="s">
        <v>1153</v>
      </c>
      <c r="X180" t="s">
        <v>1087</v>
      </c>
      <c r="Y180">
        <v>37</v>
      </c>
      <c r="Z180">
        <v>1</v>
      </c>
      <c r="AA180">
        <v>20.833333333333332</v>
      </c>
    </row>
    <row r="181" spans="1:27" x14ac:dyDescent="0.3">
      <c r="A181" s="15">
        <v>44483.397928240738</v>
      </c>
      <c r="B181" t="s">
        <v>12</v>
      </c>
      <c r="C181" t="s">
        <v>1030</v>
      </c>
      <c r="D181" s="2">
        <v>44447</v>
      </c>
      <c r="E181" t="s">
        <v>1034</v>
      </c>
      <c r="F181" t="s">
        <v>41</v>
      </c>
      <c r="G181" t="s">
        <v>941</v>
      </c>
      <c r="H181" t="s">
        <v>48</v>
      </c>
      <c r="I181" t="s">
        <v>1042</v>
      </c>
      <c r="J181" t="s">
        <v>379</v>
      </c>
      <c r="K181">
        <v>80</v>
      </c>
      <c r="L181">
        <v>1</v>
      </c>
      <c r="M181">
        <v>14.1</v>
      </c>
      <c r="N181" t="s">
        <v>21</v>
      </c>
      <c r="O181">
        <v>0</v>
      </c>
      <c r="P181">
        <v>2</v>
      </c>
      <c r="R181">
        <v>6572</v>
      </c>
      <c r="S181">
        <v>9.92</v>
      </c>
      <c r="T181">
        <v>14.1</v>
      </c>
      <c r="U181">
        <v>124</v>
      </c>
      <c r="V181">
        <v>113.70967741935483</v>
      </c>
      <c r="W181" t="s">
        <v>1153</v>
      </c>
      <c r="X181" t="s">
        <v>1087</v>
      </c>
      <c r="Y181">
        <v>37</v>
      </c>
      <c r="Z181">
        <v>1</v>
      </c>
      <c r="AA181">
        <v>6.666666666666667</v>
      </c>
    </row>
    <row r="182" spans="1:27" x14ac:dyDescent="0.3">
      <c r="A182" s="15">
        <v>44483.539537037039</v>
      </c>
      <c r="B182" t="s">
        <v>12</v>
      </c>
      <c r="C182" t="s">
        <v>1030</v>
      </c>
      <c r="D182" s="2">
        <v>44448</v>
      </c>
      <c r="E182" t="s">
        <v>1034</v>
      </c>
      <c r="F182" t="s">
        <v>40</v>
      </c>
      <c r="G182" t="s">
        <v>48</v>
      </c>
      <c r="H182" t="s">
        <v>945</v>
      </c>
      <c r="I182" t="s">
        <v>1042</v>
      </c>
      <c r="J182" t="s">
        <v>377</v>
      </c>
      <c r="K182">
        <v>250</v>
      </c>
      <c r="L182">
        <v>3</v>
      </c>
      <c r="M182">
        <v>48.9</v>
      </c>
      <c r="N182" t="s">
        <v>21</v>
      </c>
      <c r="O182">
        <v>0</v>
      </c>
      <c r="P182">
        <v>6</v>
      </c>
      <c r="R182">
        <v>6573</v>
      </c>
      <c r="S182">
        <v>31</v>
      </c>
      <c r="T182">
        <v>48.9</v>
      </c>
      <c r="U182">
        <v>124</v>
      </c>
      <c r="V182">
        <v>394.35483870967744</v>
      </c>
      <c r="W182" t="s">
        <v>1153</v>
      </c>
      <c r="X182" t="s">
        <v>1087</v>
      </c>
      <c r="Y182">
        <v>37</v>
      </c>
      <c r="Z182">
        <v>1</v>
      </c>
      <c r="AA182">
        <v>20.833333333333332</v>
      </c>
    </row>
    <row r="183" spans="1:27" x14ac:dyDescent="0.3">
      <c r="A183" s="15">
        <v>44483.400011574071</v>
      </c>
      <c r="B183" t="s">
        <v>12</v>
      </c>
      <c r="C183" t="s">
        <v>1030</v>
      </c>
      <c r="D183" s="2">
        <v>44448</v>
      </c>
      <c r="E183" t="s">
        <v>1034</v>
      </c>
      <c r="F183" t="s">
        <v>41</v>
      </c>
      <c r="G183" t="s">
        <v>941</v>
      </c>
      <c r="H183" t="s">
        <v>48</v>
      </c>
      <c r="I183" t="s">
        <v>1042</v>
      </c>
      <c r="J183" t="s">
        <v>376</v>
      </c>
      <c r="K183">
        <v>50</v>
      </c>
      <c r="L183">
        <v>1</v>
      </c>
      <c r="M183">
        <v>6.8</v>
      </c>
      <c r="N183" t="s">
        <v>21</v>
      </c>
      <c r="O183">
        <v>0</v>
      </c>
      <c r="P183">
        <v>1</v>
      </c>
      <c r="R183">
        <v>6573</v>
      </c>
      <c r="S183">
        <v>6.2</v>
      </c>
      <c r="T183">
        <v>6.8</v>
      </c>
      <c r="U183">
        <v>124</v>
      </c>
      <c r="V183">
        <v>54.838709677419352</v>
      </c>
      <c r="W183" t="s">
        <v>1153</v>
      </c>
      <c r="X183" t="s">
        <v>1087</v>
      </c>
      <c r="Y183">
        <v>37</v>
      </c>
      <c r="Z183">
        <v>1</v>
      </c>
      <c r="AA183">
        <v>4.166666666666667</v>
      </c>
    </row>
    <row r="184" spans="1:27" x14ac:dyDescent="0.3">
      <c r="A184" s="15">
        <v>44483.593668981484</v>
      </c>
      <c r="B184" t="s">
        <v>12</v>
      </c>
      <c r="C184" t="s">
        <v>1030</v>
      </c>
      <c r="D184" s="2">
        <v>44450</v>
      </c>
      <c r="E184" t="s">
        <v>1032</v>
      </c>
      <c r="F184" t="s">
        <v>41</v>
      </c>
      <c r="G184" t="s">
        <v>941</v>
      </c>
      <c r="H184" t="s">
        <v>48</v>
      </c>
      <c r="I184" t="s">
        <v>11</v>
      </c>
      <c r="J184" t="s">
        <v>130</v>
      </c>
      <c r="K184">
        <v>658</v>
      </c>
      <c r="L184">
        <v>10</v>
      </c>
      <c r="M184">
        <v>51.2</v>
      </c>
      <c r="N184" t="s">
        <v>21</v>
      </c>
      <c r="O184">
        <v>0</v>
      </c>
      <c r="P184">
        <v>4</v>
      </c>
      <c r="Q184">
        <v>470</v>
      </c>
      <c r="R184">
        <v>6574</v>
      </c>
      <c r="S184">
        <v>48.692</v>
      </c>
      <c r="T184">
        <v>51.2</v>
      </c>
      <c r="U184">
        <v>74</v>
      </c>
      <c r="V184">
        <v>691.89189189189187</v>
      </c>
      <c r="W184" t="s">
        <v>1153</v>
      </c>
      <c r="X184" t="s">
        <v>1087</v>
      </c>
      <c r="Y184">
        <v>37</v>
      </c>
      <c r="Z184">
        <v>1</v>
      </c>
      <c r="AA184">
        <v>54.833333333333336</v>
      </c>
    </row>
    <row r="185" spans="1:27" x14ac:dyDescent="0.3">
      <c r="A185" s="15">
        <v>44483.594259259262</v>
      </c>
      <c r="B185" t="s">
        <v>12</v>
      </c>
      <c r="C185" t="s">
        <v>1030</v>
      </c>
      <c r="D185" s="2">
        <v>44452</v>
      </c>
      <c r="E185" t="s">
        <v>1027</v>
      </c>
      <c r="F185" t="s">
        <v>41</v>
      </c>
      <c r="G185" t="s">
        <v>941</v>
      </c>
      <c r="H185" t="s">
        <v>48</v>
      </c>
      <c r="I185" t="s">
        <v>11</v>
      </c>
      <c r="J185" t="s">
        <v>130</v>
      </c>
      <c r="K185">
        <v>1304</v>
      </c>
      <c r="L185">
        <v>10</v>
      </c>
      <c r="M185">
        <v>95.8</v>
      </c>
      <c r="N185" t="s">
        <v>21</v>
      </c>
      <c r="O185">
        <v>0</v>
      </c>
      <c r="P185">
        <v>4</v>
      </c>
      <c r="Q185">
        <v>460</v>
      </c>
      <c r="R185">
        <v>6575</v>
      </c>
      <c r="S185">
        <v>96.495999999999995</v>
      </c>
      <c r="T185">
        <v>95.8</v>
      </c>
      <c r="U185">
        <v>74</v>
      </c>
      <c r="V185">
        <v>1294.5945945945946</v>
      </c>
      <c r="W185" t="s">
        <v>1153</v>
      </c>
      <c r="X185" t="s">
        <v>1087</v>
      </c>
      <c r="Y185">
        <v>38</v>
      </c>
      <c r="Z185">
        <v>1</v>
      </c>
      <c r="AA185">
        <v>108.66666666666667</v>
      </c>
    </row>
    <row r="186" spans="1:27" x14ac:dyDescent="0.3">
      <c r="A186" s="15">
        <v>44483.596886574072</v>
      </c>
      <c r="B186" t="s">
        <v>12</v>
      </c>
      <c r="C186" t="s">
        <v>1030</v>
      </c>
      <c r="D186" s="2">
        <v>44455</v>
      </c>
      <c r="E186" t="s">
        <v>1032</v>
      </c>
      <c r="F186" t="s">
        <v>41</v>
      </c>
      <c r="G186" t="s">
        <v>941</v>
      </c>
      <c r="H186" t="s">
        <v>48</v>
      </c>
      <c r="I186" t="s">
        <v>957</v>
      </c>
      <c r="J186" t="s">
        <v>131</v>
      </c>
      <c r="K186">
        <v>500</v>
      </c>
      <c r="L186">
        <v>5</v>
      </c>
      <c r="M186">
        <v>32.5</v>
      </c>
      <c r="N186" t="s">
        <v>21</v>
      </c>
      <c r="O186">
        <v>0</v>
      </c>
      <c r="P186">
        <v>3</v>
      </c>
      <c r="R186">
        <v>6579</v>
      </c>
      <c r="S186">
        <v>30</v>
      </c>
      <c r="T186">
        <v>32.5</v>
      </c>
      <c r="U186">
        <v>60</v>
      </c>
      <c r="V186">
        <v>541.66666666666663</v>
      </c>
      <c r="W186" t="s">
        <v>1153</v>
      </c>
      <c r="X186" t="s">
        <v>1087</v>
      </c>
      <c r="Y186">
        <v>38</v>
      </c>
      <c r="Z186">
        <v>1</v>
      </c>
      <c r="AA186">
        <v>41.666666666666664</v>
      </c>
    </row>
    <row r="187" spans="1:27" x14ac:dyDescent="0.3">
      <c r="A187" s="15">
        <v>44483.601215277777</v>
      </c>
      <c r="B187" t="s">
        <v>12</v>
      </c>
      <c r="C187" t="s">
        <v>1030</v>
      </c>
      <c r="D187" s="2">
        <v>44456</v>
      </c>
      <c r="E187" t="s">
        <v>1032</v>
      </c>
      <c r="F187" t="s">
        <v>41</v>
      </c>
      <c r="G187" t="s">
        <v>941</v>
      </c>
      <c r="H187" t="s">
        <v>48</v>
      </c>
      <c r="I187" t="s">
        <v>1152</v>
      </c>
      <c r="J187" t="s">
        <v>133</v>
      </c>
      <c r="K187">
        <v>850</v>
      </c>
      <c r="L187">
        <v>8</v>
      </c>
      <c r="M187">
        <v>77.5</v>
      </c>
      <c r="N187" t="s">
        <v>21</v>
      </c>
      <c r="O187">
        <v>0</v>
      </c>
      <c r="P187">
        <v>0</v>
      </c>
      <c r="R187">
        <v>6581</v>
      </c>
      <c r="S187">
        <v>74.8</v>
      </c>
      <c r="T187">
        <v>77.5</v>
      </c>
      <c r="U187">
        <v>88</v>
      </c>
      <c r="V187">
        <v>880.68181818181813</v>
      </c>
      <c r="W187" t="s">
        <v>1153</v>
      </c>
      <c r="X187" t="s">
        <v>1087</v>
      </c>
      <c r="Y187">
        <v>38</v>
      </c>
      <c r="Z187">
        <v>1</v>
      </c>
      <c r="AA187">
        <v>70.833333333333329</v>
      </c>
    </row>
    <row r="188" spans="1:27" x14ac:dyDescent="0.3">
      <c r="A188" s="15">
        <v>44483.600787037038</v>
      </c>
      <c r="B188" t="s">
        <v>12</v>
      </c>
      <c r="C188" t="s">
        <v>1030</v>
      </c>
      <c r="D188" s="2">
        <v>44456</v>
      </c>
      <c r="E188" t="s">
        <v>1027</v>
      </c>
      <c r="F188" t="s">
        <v>41</v>
      </c>
      <c r="G188" t="s">
        <v>941</v>
      </c>
      <c r="H188" t="s">
        <v>48</v>
      </c>
      <c r="I188" t="s">
        <v>1152</v>
      </c>
      <c r="J188" t="s">
        <v>133</v>
      </c>
      <c r="K188">
        <v>1302</v>
      </c>
      <c r="L188">
        <v>9</v>
      </c>
      <c r="M188">
        <v>125.9</v>
      </c>
      <c r="N188" t="s">
        <v>21</v>
      </c>
      <c r="O188">
        <v>0</v>
      </c>
      <c r="P188">
        <v>0</v>
      </c>
      <c r="R188">
        <v>6589</v>
      </c>
      <c r="S188">
        <v>114.57599999999999</v>
      </c>
      <c r="T188">
        <v>125.9</v>
      </c>
      <c r="U188">
        <v>88</v>
      </c>
      <c r="V188">
        <v>1430.6818181818182</v>
      </c>
      <c r="W188" t="s">
        <v>1153</v>
      </c>
      <c r="X188" t="s">
        <v>1087</v>
      </c>
      <c r="Y188">
        <v>38</v>
      </c>
      <c r="Z188">
        <v>1</v>
      </c>
      <c r="AA188">
        <v>108.5</v>
      </c>
    </row>
    <row r="189" spans="1:27" x14ac:dyDescent="0.3">
      <c r="A189" s="15">
        <v>44483.602060185185</v>
      </c>
      <c r="B189" t="s">
        <v>12</v>
      </c>
      <c r="C189" t="s">
        <v>1030</v>
      </c>
      <c r="D189" s="2">
        <v>44459</v>
      </c>
      <c r="E189" t="s">
        <v>1027</v>
      </c>
      <c r="F189" t="s">
        <v>41</v>
      </c>
      <c r="G189" t="s">
        <v>941</v>
      </c>
      <c r="H189" t="s">
        <v>48</v>
      </c>
      <c r="I189" t="s">
        <v>956</v>
      </c>
      <c r="J189" t="s">
        <v>132</v>
      </c>
      <c r="K189">
        <v>573</v>
      </c>
      <c r="L189">
        <v>6</v>
      </c>
      <c r="M189">
        <v>40.6</v>
      </c>
      <c r="N189" t="s">
        <v>21</v>
      </c>
      <c r="O189">
        <v>0</v>
      </c>
      <c r="P189">
        <v>5</v>
      </c>
      <c r="R189">
        <v>6582</v>
      </c>
      <c r="S189">
        <v>34.953000000000003</v>
      </c>
      <c r="T189">
        <v>40.6</v>
      </c>
      <c r="U189">
        <v>61</v>
      </c>
      <c r="V189">
        <v>665.57377049180332</v>
      </c>
      <c r="W189" t="s">
        <v>1153</v>
      </c>
      <c r="X189" t="s">
        <v>1087</v>
      </c>
      <c r="Y189">
        <v>39</v>
      </c>
      <c r="Z189">
        <v>1</v>
      </c>
      <c r="AA189">
        <v>47.75</v>
      </c>
    </row>
    <row r="190" spans="1:27" x14ac:dyDescent="0.3">
      <c r="A190" s="15">
        <v>44483.603171296294</v>
      </c>
      <c r="B190" t="s">
        <v>12</v>
      </c>
      <c r="C190" t="s">
        <v>1030</v>
      </c>
      <c r="D190" s="2">
        <v>44460</v>
      </c>
      <c r="E190" t="s">
        <v>1027</v>
      </c>
      <c r="F190" t="s">
        <v>41</v>
      </c>
      <c r="G190" t="s">
        <v>941</v>
      </c>
      <c r="H190" t="s">
        <v>48</v>
      </c>
      <c r="I190" t="s">
        <v>956</v>
      </c>
      <c r="J190" t="s">
        <v>132</v>
      </c>
      <c r="K190">
        <v>645</v>
      </c>
      <c r="L190">
        <v>8</v>
      </c>
      <c r="M190">
        <v>37.200000000000003</v>
      </c>
      <c r="N190" t="s">
        <v>21</v>
      </c>
      <c r="O190">
        <v>0</v>
      </c>
      <c r="P190">
        <v>5</v>
      </c>
      <c r="R190">
        <v>6583</v>
      </c>
      <c r="S190">
        <v>39.344999999999999</v>
      </c>
      <c r="T190">
        <v>37.200000000000003</v>
      </c>
      <c r="U190">
        <v>61</v>
      </c>
      <c r="V190">
        <v>609.8360655737705</v>
      </c>
      <c r="W190" t="s">
        <v>1153</v>
      </c>
      <c r="X190" t="s">
        <v>1087</v>
      </c>
      <c r="Y190">
        <v>39</v>
      </c>
      <c r="Z190">
        <v>1</v>
      </c>
      <c r="AA190">
        <v>53.75</v>
      </c>
    </row>
    <row r="191" spans="1:27" x14ac:dyDescent="0.3">
      <c r="A191" s="15">
        <v>44483.611307870371</v>
      </c>
      <c r="B191" t="s">
        <v>12</v>
      </c>
      <c r="C191" t="s">
        <v>1030</v>
      </c>
      <c r="D191" s="2">
        <v>44461</v>
      </c>
      <c r="E191" t="s">
        <v>1027</v>
      </c>
      <c r="F191" t="s">
        <v>41</v>
      </c>
      <c r="G191" t="s">
        <v>941</v>
      </c>
      <c r="H191" t="s">
        <v>48</v>
      </c>
      <c r="I191" t="s">
        <v>958</v>
      </c>
      <c r="J191" t="s">
        <v>134</v>
      </c>
      <c r="K191">
        <v>885</v>
      </c>
      <c r="L191">
        <v>8</v>
      </c>
      <c r="M191">
        <v>52.4</v>
      </c>
      <c r="N191" t="s">
        <v>21</v>
      </c>
      <c r="O191">
        <v>0</v>
      </c>
      <c r="P191">
        <v>5</v>
      </c>
      <c r="R191">
        <v>6584</v>
      </c>
      <c r="S191">
        <v>62.835000000000001</v>
      </c>
      <c r="T191">
        <v>52.4</v>
      </c>
      <c r="U191">
        <v>71</v>
      </c>
      <c r="V191">
        <v>738.02816901408448</v>
      </c>
      <c r="W191" t="s">
        <v>1153</v>
      </c>
      <c r="X191" t="s">
        <v>1087</v>
      </c>
      <c r="Y191">
        <v>39</v>
      </c>
      <c r="Z191">
        <v>1</v>
      </c>
      <c r="AA191">
        <v>73.75</v>
      </c>
    </row>
    <row r="192" spans="1:27" x14ac:dyDescent="0.3">
      <c r="A192" s="15">
        <v>44483.635694444441</v>
      </c>
      <c r="B192" t="s">
        <v>12</v>
      </c>
      <c r="C192" t="s">
        <v>1030</v>
      </c>
      <c r="D192" s="2">
        <v>44462</v>
      </c>
      <c r="E192" t="s">
        <v>1034</v>
      </c>
      <c r="F192" t="s">
        <v>41</v>
      </c>
      <c r="G192" t="s">
        <v>941</v>
      </c>
      <c r="H192" t="s">
        <v>48</v>
      </c>
      <c r="I192" t="s">
        <v>959</v>
      </c>
      <c r="J192" t="s">
        <v>135</v>
      </c>
      <c r="K192">
        <v>776</v>
      </c>
      <c r="L192">
        <v>7</v>
      </c>
      <c r="M192">
        <v>47.5</v>
      </c>
      <c r="N192" t="s">
        <v>21</v>
      </c>
      <c r="O192">
        <v>0</v>
      </c>
      <c r="P192">
        <v>4</v>
      </c>
      <c r="R192">
        <v>6585</v>
      </c>
      <c r="S192">
        <v>46.56</v>
      </c>
      <c r="T192">
        <v>47.5</v>
      </c>
      <c r="U192">
        <v>60</v>
      </c>
      <c r="V192">
        <v>791.66666666666663</v>
      </c>
      <c r="W192" t="s">
        <v>1153</v>
      </c>
      <c r="X192" t="s">
        <v>1087</v>
      </c>
      <c r="Y192">
        <v>39</v>
      </c>
      <c r="Z192">
        <v>1</v>
      </c>
      <c r="AA192">
        <v>64.666666666666671</v>
      </c>
    </row>
    <row r="193" spans="1:27" x14ac:dyDescent="0.3">
      <c r="A193" s="15">
        <v>44483.635185185187</v>
      </c>
      <c r="B193" t="s">
        <v>12</v>
      </c>
      <c r="C193" t="s">
        <v>1030</v>
      </c>
      <c r="D193" s="2">
        <v>44462</v>
      </c>
      <c r="E193" t="s">
        <v>1034</v>
      </c>
      <c r="F193" t="s">
        <v>41</v>
      </c>
      <c r="G193" t="s">
        <v>941</v>
      </c>
      <c r="H193" t="s">
        <v>48</v>
      </c>
      <c r="I193" t="s">
        <v>958</v>
      </c>
      <c r="J193" t="s">
        <v>134</v>
      </c>
      <c r="K193">
        <v>150</v>
      </c>
      <c r="L193">
        <v>2</v>
      </c>
      <c r="M193">
        <v>11.8</v>
      </c>
      <c r="N193" t="s">
        <v>21</v>
      </c>
      <c r="O193">
        <v>0</v>
      </c>
      <c r="P193">
        <v>5</v>
      </c>
      <c r="R193">
        <v>6585</v>
      </c>
      <c r="S193">
        <v>10.65</v>
      </c>
      <c r="T193">
        <v>11.8</v>
      </c>
      <c r="U193">
        <v>71</v>
      </c>
      <c r="V193">
        <v>166.19718309859155</v>
      </c>
      <c r="W193" t="s">
        <v>1153</v>
      </c>
      <c r="X193" t="s">
        <v>1087</v>
      </c>
      <c r="Y193">
        <v>39</v>
      </c>
      <c r="Z193">
        <v>1</v>
      </c>
      <c r="AA193">
        <v>12.5</v>
      </c>
    </row>
    <row r="194" spans="1:27" x14ac:dyDescent="0.3">
      <c r="A194" s="15">
        <v>44483.636805555558</v>
      </c>
      <c r="B194" t="s">
        <v>12</v>
      </c>
      <c r="C194" t="s">
        <v>1030</v>
      </c>
      <c r="D194" s="2">
        <v>44463</v>
      </c>
      <c r="E194" t="s">
        <v>1027</v>
      </c>
      <c r="F194" t="s">
        <v>41</v>
      </c>
      <c r="G194" t="s">
        <v>941</v>
      </c>
      <c r="H194" t="s">
        <v>48</v>
      </c>
      <c r="I194" t="s">
        <v>956</v>
      </c>
      <c r="J194" t="s">
        <v>132</v>
      </c>
      <c r="K194">
        <v>882</v>
      </c>
      <c r="L194">
        <v>7</v>
      </c>
      <c r="M194">
        <v>63.1</v>
      </c>
      <c r="N194" t="s">
        <v>21</v>
      </c>
      <c r="O194">
        <v>0</v>
      </c>
      <c r="P194">
        <v>5</v>
      </c>
      <c r="R194">
        <v>6587</v>
      </c>
      <c r="S194">
        <v>53.802</v>
      </c>
      <c r="T194">
        <v>63.1</v>
      </c>
      <c r="U194">
        <v>61</v>
      </c>
      <c r="V194">
        <v>1034.4262295081967</v>
      </c>
      <c r="W194" t="s">
        <v>1153</v>
      </c>
      <c r="X194" t="s">
        <v>1087</v>
      </c>
      <c r="Y194">
        <v>39</v>
      </c>
      <c r="Z194">
        <v>1</v>
      </c>
      <c r="AA194">
        <v>73.5</v>
      </c>
    </row>
    <row r="195" spans="1:27" x14ac:dyDescent="0.3">
      <c r="A195" s="15">
        <v>44483.636134259257</v>
      </c>
      <c r="B195" t="s">
        <v>12</v>
      </c>
      <c r="C195" t="s">
        <v>1030</v>
      </c>
      <c r="D195" s="2">
        <v>44463</v>
      </c>
      <c r="E195" t="s">
        <v>1034</v>
      </c>
      <c r="F195" t="s">
        <v>41</v>
      </c>
      <c r="G195" t="s">
        <v>941</v>
      </c>
      <c r="H195" t="s">
        <v>48</v>
      </c>
      <c r="I195" t="s">
        <v>959</v>
      </c>
      <c r="J195" t="s">
        <v>135</v>
      </c>
      <c r="K195">
        <v>1040</v>
      </c>
      <c r="L195">
        <v>10</v>
      </c>
      <c r="M195">
        <v>63</v>
      </c>
      <c r="N195" t="s">
        <v>21</v>
      </c>
      <c r="O195">
        <v>0</v>
      </c>
      <c r="P195">
        <v>5</v>
      </c>
      <c r="R195">
        <v>6586</v>
      </c>
      <c r="S195">
        <v>62.4</v>
      </c>
      <c r="T195">
        <v>63</v>
      </c>
      <c r="U195">
        <v>60</v>
      </c>
      <c r="V195">
        <v>1050</v>
      </c>
      <c r="W195" t="s">
        <v>1153</v>
      </c>
      <c r="X195" t="s">
        <v>1087</v>
      </c>
      <c r="Y195">
        <v>39</v>
      </c>
      <c r="Z195">
        <v>1</v>
      </c>
      <c r="AA195">
        <v>86.666666666666671</v>
      </c>
    </row>
    <row r="196" spans="1:27" x14ac:dyDescent="0.3">
      <c r="A196" s="15">
        <v>44483.637418981481</v>
      </c>
      <c r="B196" t="s">
        <v>12</v>
      </c>
      <c r="C196" t="s">
        <v>1030</v>
      </c>
      <c r="D196" s="2">
        <v>44464</v>
      </c>
      <c r="E196" t="s">
        <v>1034</v>
      </c>
      <c r="F196" t="s">
        <v>41</v>
      </c>
      <c r="G196" t="s">
        <v>941</v>
      </c>
      <c r="H196" t="s">
        <v>48</v>
      </c>
      <c r="I196" t="s">
        <v>956</v>
      </c>
      <c r="J196" t="s">
        <v>132</v>
      </c>
      <c r="K196">
        <v>1154</v>
      </c>
      <c r="L196">
        <v>8</v>
      </c>
      <c r="M196">
        <v>76</v>
      </c>
      <c r="N196" t="s">
        <v>21</v>
      </c>
      <c r="O196">
        <v>0</v>
      </c>
      <c r="P196">
        <v>9</v>
      </c>
      <c r="R196">
        <v>6588</v>
      </c>
      <c r="S196">
        <v>70.394000000000005</v>
      </c>
      <c r="T196">
        <v>76</v>
      </c>
      <c r="U196">
        <v>61</v>
      </c>
      <c r="V196">
        <v>1245.9016393442623</v>
      </c>
      <c r="W196" t="s">
        <v>1153</v>
      </c>
      <c r="X196" t="s">
        <v>1087</v>
      </c>
      <c r="Y196">
        <v>39</v>
      </c>
      <c r="Z196">
        <v>1</v>
      </c>
      <c r="AA196">
        <v>96.166666666666671</v>
      </c>
    </row>
    <row r="197" spans="1:27" x14ac:dyDescent="0.3">
      <c r="A197" s="15">
        <v>44483.637592592589</v>
      </c>
      <c r="B197" t="s">
        <v>12</v>
      </c>
      <c r="C197" t="s">
        <v>1030</v>
      </c>
      <c r="D197" s="2">
        <v>44465</v>
      </c>
      <c r="E197" t="s">
        <v>1034</v>
      </c>
      <c r="F197" t="s">
        <v>41</v>
      </c>
      <c r="G197" t="s">
        <v>941</v>
      </c>
      <c r="H197" t="s">
        <v>48</v>
      </c>
      <c r="I197" t="s">
        <v>1152</v>
      </c>
      <c r="J197" t="s">
        <v>133</v>
      </c>
      <c r="K197">
        <v>100</v>
      </c>
      <c r="L197">
        <v>8</v>
      </c>
      <c r="M197">
        <v>9.9</v>
      </c>
      <c r="N197" t="s">
        <v>21</v>
      </c>
      <c r="O197">
        <v>0</v>
      </c>
      <c r="P197">
        <v>1</v>
      </c>
      <c r="R197">
        <v>6588</v>
      </c>
      <c r="S197">
        <v>8.8000000000000007</v>
      </c>
      <c r="T197">
        <v>9.9</v>
      </c>
      <c r="U197">
        <v>88</v>
      </c>
      <c r="V197">
        <v>112.5</v>
      </c>
      <c r="W197" t="s">
        <v>1153</v>
      </c>
      <c r="X197" t="s">
        <v>1087</v>
      </c>
      <c r="Y197">
        <v>39</v>
      </c>
      <c r="Z197">
        <v>1</v>
      </c>
      <c r="AA197">
        <v>8.3333333333333339</v>
      </c>
    </row>
    <row r="198" spans="1:27" x14ac:dyDescent="0.3">
      <c r="A198" s="15">
        <v>44483.638958333337</v>
      </c>
      <c r="B198" t="s">
        <v>12</v>
      </c>
      <c r="C198" t="s">
        <v>1030</v>
      </c>
      <c r="D198" s="2">
        <v>44466</v>
      </c>
      <c r="E198" t="s">
        <v>1034</v>
      </c>
      <c r="F198" t="s">
        <v>41</v>
      </c>
      <c r="G198" t="s">
        <v>941</v>
      </c>
      <c r="H198" t="s">
        <v>48</v>
      </c>
      <c r="I198" t="s">
        <v>1152</v>
      </c>
      <c r="J198" t="s">
        <v>133</v>
      </c>
      <c r="K198">
        <v>1135</v>
      </c>
      <c r="L198">
        <v>8</v>
      </c>
      <c r="M198">
        <v>87.2</v>
      </c>
      <c r="N198" t="s">
        <v>21</v>
      </c>
      <c r="O198">
        <v>0</v>
      </c>
      <c r="P198">
        <v>11</v>
      </c>
      <c r="R198">
        <v>6589</v>
      </c>
      <c r="S198">
        <v>99.88</v>
      </c>
      <c r="T198">
        <v>87.2</v>
      </c>
      <c r="U198">
        <v>88</v>
      </c>
      <c r="V198">
        <v>990.90909090909088</v>
      </c>
      <c r="W198" t="s">
        <v>1153</v>
      </c>
      <c r="X198" t="s">
        <v>1087</v>
      </c>
      <c r="Y198">
        <v>40</v>
      </c>
      <c r="Z198">
        <v>1</v>
      </c>
      <c r="AA198">
        <v>94.583333333333329</v>
      </c>
    </row>
    <row r="199" spans="1:27" x14ac:dyDescent="0.3">
      <c r="A199" s="15">
        <v>44483.63962962963</v>
      </c>
      <c r="B199" t="s">
        <v>12</v>
      </c>
      <c r="C199" t="s">
        <v>1030</v>
      </c>
      <c r="D199" s="2">
        <v>44468</v>
      </c>
      <c r="E199" t="s">
        <v>1032</v>
      </c>
      <c r="F199" t="s">
        <v>41</v>
      </c>
      <c r="G199" t="s">
        <v>941</v>
      </c>
      <c r="H199" t="s">
        <v>48</v>
      </c>
      <c r="I199" t="s">
        <v>1152</v>
      </c>
      <c r="J199" t="s">
        <v>133</v>
      </c>
      <c r="K199">
        <v>1280</v>
      </c>
      <c r="L199">
        <v>10</v>
      </c>
      <c r="M199">
        <v>97.9</v>
      </c>
      <c r="N199" t="s">
        <v>21</v>
      </c>
      <c r="O199">
        <v>0</v>
      </c>
      <c r="P199">
        <v>13</v>
      </c>
      <c r="R199">
        <v>6590</v>
      </c>
      <c r="S199">
        <v>112.64</v>
      </c>
      <c r="T199">
        <v>97.9</v>
      </c>
      <c r="U199">
        <v>88</v>
      </c>
      <c r="V199">
        <v>1112.5</v>
      </c>
      <c r="W199" t="s">
        <v>1153</v>
      </c>
      <c r="X199" t="s">
        <v>1087</v>
      </c>
      <c r="Y199">
        <v>40</v>
      </c>
      <c r="Z199">
        <v>1</v>
      </c>
      <c r="AA199">
        <v>106.66666666666667</v>
      </c>
    </row>
    <row r="200" spans="1:27" x14ac:dyDescent="0.3">
      <c r="A200" s="15">
        <v>44483.640717592592</v>
      </c>
      <c r="B200" t="s">
        <v>12</v>
      </c>
      <c r="C200" t="s">
        <v>1030</v>
      </c>
      <c r="D200" s="2">
        <v>44469</v>
      </c>
      <c r="E200" t="s">
        <v>1034</v>
      </c>
      <c r="F200" t="s">
        <v>41</v>
      </c>
      <c r="G200" t="s">
        <v>941</v>
      </c>
      <c r="H200" t="s">
        <v>48</v>
      </c>
      <c r="I200" t="s">
        <v>11</v>
      </c>
      <c r="J200" t="s">
        <v>130</v>
      </c>
      <c r="K200">
        <v>635</v>
      </c>
      <c r="L200">
        <v>6</v>
      </c>
      <c r="M200">
        <v>50.8</v>
      </c>
      <c r="N200" t="s">
        <v>21</v>
      </c>
      <c r="O200">
        <v>0</v>
      </c>
      <c r="P200">
        <v>15</v>
      </c>
      <c r="Q200">
        <v>470</v>
      </c>
      <c r="R200">
        <v>6592</v>
      </c>
      <c r="S200">
        <v>46.99</v>
      </c>
      <c r="T200">
        <v>50.8</v>
      </c>
      <c r="U200">
        <v>74</v>
      </c>
      <c r="V200">
        <v>686.48648648648646</v>
      </c>
      <c r="W200" t="s">
        <v>1153</v>
      </c>
      <c r="X200" t="s">
        <v>1087</v>
      </c>
      <c r="Y200">
        <v>40</v>
      </c>
      <c r="Z200">
        <v>1</v>
      </c>
      <c r="AA200">
        <v>52.916666666666664</v>
      </c>
    </row>
    <row r="201" spans="1:27" x14ac:dyDescent="0.3">
      <c r="A201" s="15">
        <v>44483.729907407411</v>
      </c>
      <c r="B201" t="s">
        <v>13</v>
      </c>
      <c r="C201" t="s">
        <v>1060</v>
      </c>
      <c r="D201" s="2">
        <v>44452</v>
      </c>
      <c r="E201" t="s">
        <v>953</v>
      </c>
      <c r="F201" t="s">
        <v>41</v>
      </c>
      <c r="G201" t="s">
        <v>940</v>
      </c>
      <c r="H201" t="s">
        <v>48</v>
      </c>
      <c r="I201" t="s">
        <v>1023</v>
      </c>
      <c r="J201" t="s">
        <v>149</v>
      </c>
      <c r="K201">
        <v>178</v>
      </c>
      <c r="L201">
        <v>3</v>
      </c>
      <c r="M201">
        <v>30.62</v>
      </c>
      <c r="N201" t="s">
        <v>23</v>
      </c>
      <c r="O201">
        <v>0</v>
      </c>
      <c r="P201">
        <v>6</v>
      </c>
      <c r="Q201">
        <v>443</v>
      </c>
      <c r="R201">
        <v>6642</v>
      </c>
      <c r="S201">
        <v>15.308</v>
      </c>
      <c r="T201">
        <v>30.62</v>
      </c>
      <c r="U201">
        <v>86</v>
      </c>
      <c r="V201">
        <v>356.04651162790697</v>
      </c>
      <c r="W201" t="s">
        <v>1153</v>
      </c>
      <c r="X201" t="s">
        <v>1087</v>
      </c>
      <c r="Y201">
        <v>38</v>
      </c>
      <c r="Z201">
        <v>2</v>
      </c>
      <c r="AA201">
        <v>29.666666666666668</v>
      </c>
    </row>
    <row r="202" spans="1:27" x14ac:dyDescent="0.3">
      <c r="A202" s="15">
        <v>44483.729432870372</v>
      </c>
      <c r="B202" t="s">
        <v>13</v>
      </c>
      <c r="C202" t="s">
        <v>1060</v>
      </c>
      <c r="D202" s="2">
        <v>44452</v>
      </c>
      <c r="E202" t="s">
        <v>953</v>
      </c>
      <c r="F202" t="s">
        <v>41</v>
      </c>
      <c r="G202" t="s">
        <v>940</v>
      </c>
      <c r="H202" t="s">
        <v>48</v>
      </c>
      <c r="I202" t="s">
        <v>1023</v>
      </c>
      <c r="J202" t="s">
        <v>151</v>
      </c>
      <c r="K202">
        <v>900</v>
      </c>
      <c r="L202">
        <v>9</v>
      </c>
      <c r="M202">
        <v>154.80000000000001</v>
      </c>
      <c r="N202" t="s">
        <v>23</v>
      </c>
      <c r="O202">
        <v>0</v>
      </c>
      <c r="P202">
        <v>21</v>
      </c>
      <c r="Q202">
        <v>443</v>
      </c>
      <c r="R202">
        <v>6642</v>
      </c>
      <c r="S202">
        <v>77.400000000000006</v>
      </c>
      <c r="T202">
        <v>154.80000000000001</v>
      </c>
      <c r="U202">
        <v>86</v>
      </c>
      <c r="V202">
        <v>1800</v>
      </c>
      <c r="W202" t="s">
        <v>1153</v>
      </c>
      <c r="X202" t="s">
        <v>1087</v>
      </c>
      <c r="Y202">
        <v>38</v>
      </c>
      <c r="Z202">
        <v>2</v>
      </c>
      <c r="AA202">
        <v>150</v>
      </c>
    </row>
    <row r="203" spans="1:27" x14ac:dyDescent="0.3">
      <c r="A203" s="15">
        <v>44484.77548611111</v>
      </c>
      <c r="B203" t="s">
        <v>13</v>
      </c>
      <c r="C203" t="s">
        <v>952</v>
      </c>
      <c r="D203" s="2">
        <v>44445</v>
      </c>
      <c r="E203" t="s">
        <v>1027</v>
      </c>
      <c r="F203" t="s">
        <v>41</v>
      </c>
      <c r="G203" t="s">
        <v>943</v>
      </c>
      <c r="H203" t="s">
        <v>48</v>
      </c>
      <c r="I203" t="s">
        <v>960</v>
      </c>
      <c r="J203" t="s">
        <v>433</v>
      </c>
      <c r="K203">
        <v>92</v>
      </c>
      <c r="L203">
        <v>2</v>
      </c>
      <c r="M203">
        <v>11.4</v>
      </c>
      <c r="N203" t="s">
        <v>23</v>
      </c>
      <c r="O203">
        <v>0</v>
      </c>
      <c r="P203">
        <v>0</v>
      </c>
      <c r="Q203">
        <v>456</v>
      </c>
      <c r="R203">
        <v>6847</v>
      </c>
      <c r="S203">
        <v>1.38</v>
      </c>
      <c r="T203">
        <v>11.4</v>
      </c>
      <c r="U203">
        <v>15</v>
      </c>
      <c r="V203">
        <v>760</v>
      </c>
      <c r="W203" t="s">
        <v>1153</v>
      </c>
      <c r="X203" t="s">
        <v>1087</v>
      </c>
      <c r="Y203">
        <v>37</v>
      </c>
      <c r="Z203">
        <v>8</v>
      </c>
      <c r="AA203">
        <v>61.333333333333336</v>
      </c>
    </row>
    <row r="204" spans="1:27" x14ac:dyDescent="0.3">
      <c r="A204" s="15">
        <v>44484.774456018517</v>
      </c>
      <c r="B204" t="s">
        <v>13</v>
      </c>
      <c r="C204" t="s">
        <v>952</v>
      </c>
      <c r="D204" s="2">
        <v>44445</v>
      </c>
      <c r="E204" t="s">
        <v>1027</v>
      </c>
      <c r="F204" t="s">
        <v>41</v>
      </c>
      <c r="G204" t="s">
        <v>943</v>
      </c>
      <c r="H204" t="s">
        <v>48</v>
      </c>
      <c r="I204" t="s">
        <v>960</v>
      </c>
      <c r="J204" t="s">
        <v>435</v>
      </c>
      <c r="K204">
        <v>471</v>
      </c>
      <c r="L204">
        <v>6</v>
      </c>
      <c r="M204">
        <v>58.2</v>
      </c>
      <c r="N204" t="s">
        <v>23</v>
      </c>
      <c r="O204">
        <v>0</v>
      </c>
      <c r="P204">
        <v>0</v>
      </c>
      <c r="Q204">
        <v>456</v>
      </c>
      <c r="R204">
        <v>6847</v>
      </c>
      <c r="S204">
        <v>7.0650000000000004</v>
      </c>
      <c r="T204">
        <v>58.2</v>
      </c>
      <c r="U204">
        <v>15</v>
      </c>
      <c r="V204">
        <v>3880</v>
      </c>
      <c r="W204" t="s">
        <v>1153</v>
      </c>
      <c r="X204" t="s">
        <v>1087</v>
      </c>
      <c r="Y204">
        <v>37</v>
      </c>
      <c r="Z204">
        <v>8</v>
      </c>
      <c r="AA204">
        <v>314</v>
      </c>
    </row>
    <row r="205" spans="1:27" x14ac:dyDescent="0.3">
      <c r="A205" s="15">
        <v>44484.77380787037</v>
      </c>
      <c r="B205" t="s">
        <v>13</v>
      </c>
      <c r="C205" t="s">
        <v>952</v>
      </c>
      <c r="D205" s="2">
        <v>44445</v>
      </c>
      <c r="E205" t="s">
        <v>1027</v>
      </c>
      <c r="F205" t="s">
        <v>41</v>
      </c>
      <c r="G205" t="s">
        <v>943</v>
      </c>
      <c r="H205" t="s">
        <v>48</v>
      </c>
      <c r="I205" t="s">
        <v>960</v>
      </c>
      <c r="J205" t="s">
        <v>432</v>
      </c>
      <c r="K205">
        <v>322</v>
      </c>
      <c r="L205">
        <v>4</v>
      </c>
      <c r="M205">
        <v>40.4</v>
      </c>
      <c r="N205" t="s">
        <v>23</v>
      </c>
      <c r="O205">
        <v>0</v>
      </c>
      <c r="P205">
        <v>0</v>
      </c>
      <c r="Q205">
        <v>456</v>
      </c>
      <c r="R205">
        <v>6847</v>
      </c>
      <c r="S205">
        <v>4.83</v>
      </c>
      <c r="T205">
        <v>40.4</v>
      </c>
      <c r="U205">
        <v>15</v>
      </c>
      <c r="V205">
        <v>2693.3333333333335</v>
      </c>
      <c r="W205" t="s">
        <v>1153</v>
      </c>
      <c r="X205" t="s">
        <v>1087</v>
      </c>
      <c r="Y205">
        <v>37</v>
      </c>
      <c r="Z205">
        <v>8</v>
      </c>
      <c r="AA205">
        <v>214.66666666666666</v>
      </c>
    </row>
    <row r="206" spans="1:27" x14ac:dyDescent="0.3">
      <c r="A206" s="15">
        <v>44484.776712962965</v>
      </c>
      <c r="B206" t="s">
        <v>13</v>
      </c>
      <c r="C206" t="s">
        <v>952</v>
      </c>
      <c r="D206" s="2">
        <v>44446</v>
      </c>
      <c r="E206" t="s">
        <v>953</v>
      </c>
      <c r="F206" t="s">
        <v>41</v>
      </c>
      <c r="G206" t="s">
        <v>943</v>
      </c>
      <c r="H206" t="s">
        <v>48</v>
      </c>
      <c r="I206" t="s">
        <v>960</v>
      </c>
      <c r="J206" t="s">
        <v>432</v>
      </c>
      <c r="K206">
        <v>348</v>
      </c>
      <c r="L206">
        <v>5</v>
      </c>
      <c r="M206">
        <v>44.4</v>
      </c>
      <c r="N206" t="s">
        <v>23</v>
      </c>
      <c r="O206">
        <v>0</v>
      </c>
      <c r="P206">
        <v>0</v>
      </c>
      <c r="Q206">
        <v>456</v>
      </c>
      <c r="R206">
        <v>6849</v>
      </c>
      <c r="S206">
        <v>5.22</v>
      </c>
      <c r="T206">
        <v>44.4</v>
      </c>
      <c r="U206">
        <v>15</v>
      </c>
      <c r="V206">
        <v>2960</v>
      </c>
      <c r="W206" t="s">
        <v>1153</v>
      </c>
      <c r="X206" t="s">
        <v>1087</v>
      </c>
      <c r="Y206">
        <v>37</v>
      </c>
      <c r="Z206">
        <v>8</v>
      </c>
      <c r="AA206">
        <v>232</v>
      </c>
    </row>
    <row r="207" spans="1:27" x14ac:dyDescent="0.3">
      <c r="A207" s="15">
        <v>44484.776412037034</v>
      </c>
      <c r="B207" t="s">
        <v>13</v>
      </c>
      <c r="C207" t="s">
        <v>952</v>
      </c>
      <c r="D207" s="2">
        <v>44446</v>
      </c>
      <c r="E207" t="s">
        <v>1034</v>
      </c>
      <c r="F207" t="s">
        <v>41</v>
      </c>
      <c r="G207" t="s">
        <v>943</v>
      </c>
      <c r="H207" t="s">
        <v>48</v>
      </c>
      <c r="I207" t="s">
        <v>960</v>
      </c>
      <c r="J207" t="s">
        <v>433</v>
      </c>
      <c r="K207">
        <v>535</v>
      </c>
      <c r="L207">
        <v>6</v>
      </c>
      <c r="M207">
        <v>66.5</v>
      </c>
      <c r="N207" t="s">
        <v>23</v>
      </c>
      <c r="O207">
        <v>0</v>
      </c>
      <c r="P207">
        <v>0</v>
      </c>
      <c r="Q207">
        <v>456</v>
      </c>
      <c r="R207">
        <v>6849</v>
      </c>
      <c r="S207">
        <v>8.0250000000000004</v>
      </c>
      <c r="T207">
        <v>66.5</v>
      </c>
      <c r="U207">
        <v>15</v>
      </c>
      <c r="V207">
        <v>4433.333333333333</v>
      </c>
      <c r="W207" t="s">
        <v>1153</v>
      </c>
      <c r="X207" t="s">
        <v>1087</v>
      </c>
      <c r="Y207">
        <v>37</v>
      </c>
      <c r="Z207">
        <v>8</v>
      </c>
      <c r="AA207">
        <v>356.66666666666669</v>
      </c>
    </row>
    <row r="208" spans="1:27" x14ac:dyDescent="0.3">
      <c r="A208" s="15">
        <v>44484.778344907405</v>
      </c>
      <c r="B208" t="s">
        <v>13</v>
      </c>
      <c r="C208" t="s">
        <v>952</v>
      </c>
      <c r="D208" s="2">
        <v>44447</v>
      </c>
      <c r="E208" t="s">
        <v>1027</v>
      </c>
      <c r="F208" t="s">
        <v>41</v>
      </c>
      <c r="G208" t="s">
        <v>943</v>
      </c>
      <c r="H208" t="s">
        <v>48</v>
      </c>
      <c r="I208" t="s">
        <v>960</v>
      </c>
      <c r="J208" t="s">
        <v>1154</v>
      </c>
      <c r="K208">
        <v>750</v>
      </c>
      <c r="L208">
        <v>10</v>
      </c>
      <c r="M208">
        <v>93.7</v>
      </c>
      <c r="N208" t="s">
        <v>23</v>
      </c>
      <c r="O208">
        <v>0</v>
      </c>
      <c r="P208">
        <v>0</v>
      </c>
      <c r="Q208">
        <v>456</v>
      </c>
      <c r="R208">
        <v>6850</v>
      </c>
      <c r="S208">
        <v>11.25</v>
      </c>
      <c r="T208">
        <v>93.7</v>
      </c>
      <c r="U208">
        <v>15</v>
      </c>
      <c r="V208">
        <v>6246.666666666667</v>
      </c>
      <c r="W208" t="s">
        <v>1153</v>
      </c>
      <c r="X208" t="s">
        <v>1087</v>
      </c>
      <c r="Y208">
        <v>37</v>
      </c>
      <c r="Z208">
        <v>8</v>
      </c>
      <c r="AA208">
        <v>500</v>
      </c>
    </row>
    <row r="209" spans="1:27" x14ac:dyDescent="0.3">
      <c r="A209" s="15">
        <v>44484.777974537035</v>
      </c>
      <c r="B209" t="s">
        <v>13</v>
      </c>
      <c r="C209" t="s">
        <v>952</v>
      </c>
      <c r="D209" s="2">
        <v>44447</v>
      </c>
      <c r="E209" t="s">
        <v>1027</v>
      </c>
      <c r="F209" t="s">
        <v>41</v>
      </c>
      <c r="G209" t="s">
        <v>943</v>
      </c>
      <c r="H209" t="s">
        <v>48</v>
      </c>
      <c r="I209" t="s">
        <v>960</v>
      </c>
      <c r="J209" t="s">
        <v>432</v>
      </c>
      <c r="K209">
        <v>245</v>
      </c>
      <c r="L209">
        <v>2</v>
      </c>
      <c r="M209">
        <v>30.6</v>
      </c>
      <c r="N209" t="s">
        <v>23</v>
      </c>
      <c r="O209">
        <v>0</v>
      </c>
      <c r="P209">
        <v>0</v>
      </c>
      <c r="Q209">
        <v>456</v>
      </c>
      <c r="R209">
        <v>6850</v>
      </c>
      <c r="S209">
        <v>3.6749999999999998</v>
      </c>
      <c r="T209">
        <v>30.6</v>
      </c>
      <c r="U209">
        <v>15</v>
      </c>
      <c r="V209">
        <v>2040</v>
      </c>
      <c r="W209" t="s">
        <v>1153</v>
      </c>
      <c r="X209" t="s">
        <v>1087</v>
      </c>
      <c r="Y209">
        <v>37</v>
      </c>
      <c r="Z209">
        <v>8</v>
      </c>
      <c r="AA209">
        <v>163.33333333333334</v>
      </c>
    </row>
    <row r="210" spans="1:27" x14ac:dyDescent="0.3">
      <c r="A210" s="15">
        <v>44484.787199074075</v>
      </c>
      <c r="B210" t="s">
        <v>13</v>
      </c>
      <c r="C210" t="s">
        <v>952</v>
      </c>
      <c r="D210" s="2">
        <v>44456</v>
      </c>
      <c r="E210" t="s">
        <v>953</v>
      </c>
      <c r="F210" t="s">
        <v>41</v>
      </c>
      <c r="G210" t="s">
        <v>950</v>
      </c>
      <c r="H210" t="s">
        <v>943</v>
      </c>
      <c r="I210" t="s">
        <v>1161</v>
      </c>
      <c r="J210" t="s">
        <v>1159</v>
      </c>
      <c r="K210">
        <v>379</v>
      </c>
      <c r="L210">
        <v>4</v>
      </c>
      <c r="M210">
        <v>18.2</v>
      </c>
      <c r="N210" t="s">
        <v>23</v>
      </c>
      <c r="O210">
        <v>0</v>
      </c>
      <c r="P210">
        <v>0</v>
      </c>
      <c r="Q210">
        <v>464</v>
      </c>
      <c r="R210">
        <v>6858</v>
      </c>
      <c r="S210">
        <v>9.0960000000000001</v>
      </c>
      <c r="T210">
        <v>18.2</v>
      </c>
      <c r="U210">
        <v>24</v>
      </c>
      <c r="V210">
        <v>758.33333333333337</v>
      </c>
      <c r="W210" t="s">
        <v>1153</v>
      </c>
      <c r="X210" t="s">
        <v>1087</v>
      </c>
      <c r="Y210">
        <v>38</v>
      </c>
      <c r="Z210">
        <v>2</v>
      </c>
      <c r="AA210">
        <v>63.166666666666664</v>
      </c>
    </row>
    <row r="211" spans="1:27" x14ac:dyDescent="0.3">
      <c r="A211" s="15">
        <v>44484.787002314813</v>
      </c>
      <c r="B211" t="s">
        <v>13</v>
      </c>
      <c r="C211" t="s">
        <v>952</v>
      </c>
      <c r="D211" s="2">
        <v>44456</v>
      </c>
      <c r="E211" t="s">
        <v>953</v>
      </c>
      <c r="F211" t="s">
        <v>41</v>
      </c>
      <c r="G211" t="s">
        <v>950</v>
      </c>
      <c r="H211" t="s">
        <v>943</v>
      </c>
      <c r="I211" t="s">
        <v>1161</v>
      </c>
      <c r="J211" t="s">
        <v>1158</v>
      </c>
      <c r="K211">
        <v>691</v>
      </c>
      <c r="L211">
        <v>7</v>
      </c>
      <c r="M211">
        <v>33.200000000000003</v>
      </c>
      <c r="N211" t="s">
        <v>23</v>
      </c>
      <c r="O211">
        <v>0</v>
      </c>
      <c r="P211">
        <v>0</v>
      </c>
      <c r="Q211">
        <v>464</v>
      </c>
      <c r="R211">
        <v>6858</v>
      </c>
      <c r="S211">
        <v>16.584</v>
      </c>
      <c r="T211">
        <v>33.200000000000003</v>
      </c>
      <c r="U211">
        <v>24</v>
      </c>
      <c r="V211">
        <v>1383.3333333333333</v>
      </c>
      <c r="W211" t="s">
        <v>1153</v>
      </c>
      <c r="X211" t="s">
        <v>1087</v>
      </c>
      <c r="Y211">
        <v>38</v>
      </c>
      <c r="Z211">
        <v>2</v>
      </c>
      <c r="AA211">
        <v>115.16666666666667</v>
      </c>
    </row>
    <row r="212" spans="1:27" x14ac:dyDescent="0.3">
      <c r="A212" s="15">
        <v>44484.78670138889</v>
      </c>
      <c r="B212" t="s">
        <v>13</v>
      </c>
      <c r="C212" t="s">
        <v>952</v>
      </c>
      <c r="D212" s="2">
        <v>44456</v>
      </c>
      <c r="E212" t="s">
        <v>953</v>
      </c>
      <c r="F212" t="s">
        <v>41</v>
      </c>
      <c r="G212" t="s">
        <v>950</v>
      </c>
      <c r="H212" t="s">
        <v>943</v>
      </c>
      <c r="I212" t="s">
        <v>1161</v>
      </c>
      <c r="J212" t="s">
        <v>1157</v>
      </c>
      <c r="K212">
        <v>231</v>
      </c>
      <c r="L212">
        <v>2</v>
      </c>
      <c r="M212">
        <v>11.1</v>
      </c>
      <c r="N212" t="s">
        <v>23</v>
      </c>
      <c r="O212">
        <v>0</v>
      </c>
      <c r="P212">
        <v>0</v>
      </c>
      <c r="Q212">
        <v>464</v>
      </c>
      <c r="R212">
        <v>6858</v>
      </c>
      <c r="S212">
        <v>5.5439999999999996</v>
      </c>
      <c r="T212">
        <v>11.1</v>
      </c>
      <c r="U212">
        <v>24</v>
      </c>
      <c r="V212">
        <v>462.5</v>
      </c>
      <c r="W212" t="s">
        <v>1153</v>
      </c>
      <c r="X212" t="s">
        <v>1087</v>
      </c>
      <c r="Y212">
        <v>38</v>
      </c>
      <c r="Z212">
        <v>2</v>
      </c>
      <c r="AA212">
        <v>38.5</v>
      </c>
    </row>
    <row r="213" spans="1:27" x14ac:dyDescent="0.3">
      <c r="A213" s="15">
        <v>44484.789849537039</v>
      </c>
      <c r="B213" t="s">
        <v>13</v>
      </c>
      <c r="C213" t="s">
        <v>952</v>
      </c>
      <c r="D213" s="2">
        <v>44459</v>
      </c>
      <c r="E213" t="s">
        <v>953</v>
      </c>
      <c r="F213" t="s">
        <v>41</v>
      </c>
      <c r="G213" t="s">
        <v>950</v>
      </c>
      <c r="H213" t="s">
        <v>943</v>
      </c>
      <c r="I213" t="s">
        <v>1161</v>
      </c>
      <c r="J213" t="s">
        <v>1160</v>
      </c>
      <c r="K213">
        <v>1320</v>
      </c>
      <c r="L213">
        <v>12</v>
      </c>
      <c r="M213">
        <v>63.4</v>
      </c>
      <c r="N213" t="s">
        <v>23</v>
      </c>
      <c r="O213">
        <v>0</v>
      </c>
      <c r="P213">
        <v>0</v>
      </c>
      <c r="Q213">
        <v>464</v>
      </c>
      <c r="R213">
        <v>6861</v>
      </c>
      <c r="S213">
        <v>31.68</v>
      </c>
      <c r="T213">
        <v>63.4</v>
      </c>
      <c r="U213">
        <v>24</v>
      </c>
      <c r="V213">
        <v>2641.6666666666665</v>
      </c>
      <c r="W213" t="s">
        <v>1153</v>
      </c>
      <c r="X213" t="s">
        <v>1087</v>
      </c>
      <c r="Y213">
        <v>39</v>
      </c>
      <c r="Z213">
        <v>2</v>
      </c>
      <c r="AA213">
        <v>220</v>
      </c>
    </row>
    <row r="214" spans="1:27" x14ac:dyDescent="0.3">
      <c r="A214" s="15">
        <v>44484.791400462964</v>
      </c>
      <c r="B214" t="s">
        <v>13</v>
      </c>
      <c r="C214" t="s">
        <v>952</v>
      </c>
      <c r="D214" s="2">
        <v>44460</v>
      </c>
      <c r="E214" t="s">
        <v>953</v>
      </c>
      <c r="F214" t="s">
        <v>41</v>
      </c>
      <c r="G214" t="s">
        <v>950</v>
      </c>
      <c r="H214" t="s">
        <v>943</v>
      </c>
      <c r="I214" t="s">
        <v>1161</v>
      </c>
      <c r="J214" t="s">
        <v>1155</v>
      </c>
      <c r="K214">
        <v>454</v>
      </c>
      <c r="L214">
        <v>4</v>
      </c>
      <c r="M214">
        <v>21.8</v>
      </c>
      <c r="N214" t="s">
        <v>23</v>
      </c>
      <c r="O214">
        <v>0</v>
      </c>
      <c r="P214">
        <v>0</v>
      </c>
      <c r="Q214">
        <v>464</v>
      </c>
      <c r="R214">
        <v>6863</v>
      </c>
      <c r="S214">
        <v>10.896000000000001</v>
      </c>
      <c r="T214">
        <v>21.8</v>
      </c>
      <c r="U214">
        <v>24</v>
      </c>
      <c r="V214">
        <v>908.33333333333337</v>
      </c>
      <c r="W214" t="s">
        <v>1153</v>
      </c>
      <c r="X214" t="s">
        <v>1087</v>
      </c>
      <c r="Y214">
        <v>39</v>
      </c>
      <c r="Z214">
        <v>2</v>
      </c>
      <c r="AA214">
        <v>75.666666666666671</v>
      </c>
    </row>
    <row r="215" spans="1:27" x14ac:dyDescent="0.3">
      <c r="A215" s="15">
        <v>44484.791041666664</v>
      </c>
      <c r="B215" t="s">
        <v>13</v>
      </c>
      <c r="C215" t="s">
        <v>952</v>
      </c>
      <c r="D215" s="2">
        <v>44460</v>
      </c>
      <c r="E215" t="s">
        <v>953</v>
      </c>
      <c r="F215" t="s">
        <v>41</v>
      </c>
      <c r="G215" t="s">
        <v>950</v>
      </c>
      <c r="H215" t="s">
        <v>943</v>
      </c>
      <c r="I215" t="s">
        <v>1161</v>
      </c>
      <c r="J215" t="s">
        <v>1158</v>
      </c>
      <c r="K215">
        <v>914</v>
      </c>
      <c r="L215">
        <v>8</v>
      </c>
      <c r="M215">
        <v>43.9</v>
      </c>
      <c r="N215" t="s">
        <v>23</v>
      </c>
      <c r="O215">
        <v>0</v>
      </c>
      <c r="P215">
        <v>0</v>
      </c>
      <c r="Q215">
        <v>464</v>
      </c>
      <c r="R215">
        <v>6863</v>
      </c>
      <c r="S215">
        <v>21.936</v>
      </c>
      <c r="T215">
        <v>43.9</v>
      </c>
      <c r="U215">
        <v>24</v>
      </c>
      <c r="V215">
        <v>1829.1666666666667</v>
      </c>
      <c r="W215" t="s">
        <v>1153</v>
      </c>
      <c r="X215" t="s">
        <v>1087</v>
      </c>
      <c r="Y215">
        <v>39</v>
      </c>
      <c r="Z215">
        <v>2</v>
      </c>
      <c r="AA215">
        <v>152.33333333333334</v>
      </c>
    </row>
    <row r="216" spans="1:27" x14ac:dyDescent="0.3">
      <c r="A216" s="15">
        <v>44484.794074074074</v>
      </c>
      <c r="B216" t="s">
        <v>13</v>
      </c>
      <c r="C216" t="s">
        <v>952</v>
      </c>
      <c r="D216" s="2">
        <v>44467</v>
      </c>
      <c r="E216" t="s">
        <v>1081</v>
      </c>
      <c r="F216" t="s">
        <v>41</v>
      </c>
      <c r="G216" t="s">
        <v>943</v>
      </c>
      <c r="H216" t="s">
        <v>48</v>
      </c>
      <c r="I216" t="s">
        <v>1037</v>
      </c>
      <c r="J216" t="s">
        <v>196</v>
      </c>
      <c r="K216">
        <v>1800</v>
      </c>
      <c r="L216">
        <v>12</v>
      </c>
      <c r="M216">
        <v>126</v>
      </c>
      <c r="N216" t="s">
        <v>23</v>
      </c>
      <c r="O216">
        <v>120</v>
      </c>
      <c r="P216">
        <v>15</v>
      </c>
      <c r="Q216">
        <v>474</v>
      </c>
      <c r="R216">
        <v>6869</v>
      </c>
      <c r="S216">
        <v>127.8</v>
      </c>
      <c r="T216">
        <v>126</v>
      </c>
      <c r="U216">
        <v>71</v>
      </c>
      <c r="V216">
        <v>1774.6478873239437</v>
      </c>
      <c r="W216" t="s">
        <v>1153</v>
      </c>
      <c r="X216" t="s">
        <v>1087</v>
      </c>
      <c r="Y216">
        <v>40</v>
      </c>
      <c r="Z216">
        <v>1</v>
      </c>
      <c r="AA216">
        <v>150</v>
      </c>
    </row>
    <row r="217" spans="1:27" x14ac:dyDescent="0.3">
      <c r="A217" s="15">
        <v>44484.794999999998</v>
      </c>
      <c r="B217" t="s">
        <v>13</v>
      </c>
      <c r="C217" t="s">
        <v>952</v>
      </c>
      <c r="D217" s="2">
        <v>44468</v>
      </c>
      <c r="E217" t="s">
        <v>1081</v>
      </c>
      <c r="F217" t="s">
        <v>41</v>
      </c>
      <c r="G217" t="s">
        <v>943</v>
      </c>
      <c r="H217" t="s">
        <v>48</v>
      </c>
      <c r="I217" t="s">
        <v>1037</v>
      </c>
      <c r="J217" t="s">
        <v>196</v>
      </c>
      <c r="K217">
        <v>1680</v>
      </c>
      <c r="L217">
        <v>12</v>
      </c>
      <c r="M217">
        <v>119</v>
      </c>
      <c r="N217" t="s">
        <v>23</v>
      </c>
      <c r="O217">
        <v>120</v>
      </c>
      <c r="P217">
        <v>14</v>
      </c>
      <c r="Q217">
        <v>474</v>
      </c>
      <c r="R217">
        <v>6871</v>
      </c>
      <c r="S217">
        <v>119.28</v>
      </c>
      <c r="T217">
        <v>119</v>
      </c>
      <c r="U217">
        <v>71</v>
      </c>
      <c r="V217">
        <v>1676.056338028169</v>
      </c>
      <c r="W217" t="s">
        <v>1153</v>
      </c>
      <c r="X217" t="s">
        <v>1087</v>
      </c>
      <c r="Y217">
        <v>40</v>
      </c>
      <c r="Z217">
        <v>1</v>
      </c>
      <c r="AA217">
        <v>140</v>
      </c>
    </row>
    <row r="218" spans="1:27" x14ac:dyDescent="0.3">
      <c r="A218" s="15">
        <v>44484.795949074076</v>
      </c>
      <c r="B218" t="s">
        <v>13</v>
      </c>
      <c r="C218" t="s">
        <v>952</v>
      </c>
      <c r="D218" s="2">
        <v>44469</v>
      </c>
      <c r="E218" t="s">
        <v>1027</v>
      </c>
      <c r="F218" t="s">
        <v>41</v>
      </c>
      <c r="G218" t="s">
        <v>943</v>
      </c>
      <c r="H218" t="s">
        <v>48</v>
      </c>
      <c r="I218" t="s">
        <v>1037</v>
      </c>
      <c r="J218" t="s">
        <v>196</v>
      </c>
      <c r="K218">
        <v>1620</v>
      </c>
      <c r="L218">
        <v>12</v>
      </c>
      <c r="M218">
        <v>114.2</v>
      </c>
      <c r="N218" t="s">
        <v>23</v>
      </c>
      <c r="O218">
        <v>120</v>
      </c>
      <c r="P218">
        <v>14</v>
      </c>
      <c r="Q218">
        <v>474</v>
      </c>
      <c r="R218">
        <v>6873</v>
      </c>
      <c r="S218">
        <v>115.02</v>
      </c>
      <c r="T218">
        <v>114.2</v>
      </c>
      <c r="U218">
        <v>71</v>
      </c>
      <c r="V218">
        <v>1608.4507042253522</v>
      </c>
      <c r="W218" t="s">
        <v>1153</v>
      </c>
      <c r="X218" t="s">
        <v>1087</v>
      </c>
      <c r="Y218">
        <v>40</v>
      </c>
      <c r="Z218">
        <v>1</v>
      </c>
      <c r="AA218">
        <v>135</v>
      </c>
    </row>
    <row r="219" spans="1:27" x14ac:dyDescent="0.3">
      <c r="A219" s="15">
        <v>44453.735590277778</v>
      </c>
      <c r="B219" t="s">
        <v>13</v>
      </c>
      <c r="C219" t="s">
        <v>1132</v>
      </c>
      <c r="D219" s="2">
        <v>44440</v>
      </c>
      <c r="E219" t="s">
        <v>1027</v>
      </c>
      <c r="F219" t="s">
        <v>41</v>
      </c>
      <c r="G219" t="s">
        <v>943</v>
      </c>
      <c r="H219" t="s">
        <v>48</v>
      </c>
      <c r="I219" t="s">
        <v>1039</v>
      </c>
      <c r="J219" t="s">
        <v>221</v>
      </c>
      <c r="K219">
        <v>1444</v>
      </c>
      <c r="L219">
        <v>12</v>
      </c>
      <c r="M219">
        <v>195</v>
      </c>
      <c r="N219" t="s">
        <v>23</v>
      </c>
      <c r="O219">
        <v>60</v>
      </c>
      <c r="P219">
        <v>24</v>
      </c>
      <c r="Q219">
        <v>449</v>
      </c>
      <c r="R219">
        <v>7110</v>
      </c>
      <c r="S219">
        <v>199.27199999999999</v>
      </c>
      <c r="T219">
        <v>195</v>
      </c>
      <c r="U219">
        <v>138</v>
      </c>
      <c r="V219">
        <v>1413.0434782608695</v>
      </c>
      <c r="W219" t="s">
        <v>1153</v>
      </c>
      <c r="X219" t="s">
        <v>1087</v>
      </c>
      <c r="Y219">
        <v>36</v>
      </c>
      <c r="Z219">
        <v>1</v>
      </c>
      <c r="AA219">
        <v>120.33333333333333</v>
      </c>
    </row>
    <row r="220" spans="1:27" x14ac:dyDescent="0.3">
      <c r="A220" s="15">
        <v>44453.736759259256</v>
      </c>
      <c r="B220" t="s">
        <v>13</v>
      </c>
      <c r="C220" t="s">
        <v>1132</v>
      </c>
      <c r="D220" s="2">
        <v>44441</v>
      </c>
      <c r="E220" t="s">
        <v>953</v>
      </c>
      <c r="F220" t="s">
        <v>41</v>
      </c>
      <c r="G220" t="s">
        <v>943</v>
      </c>
      <c r="H220" t="s">
        <v>48</v>
      </c>
      <c r="I220" t="s">
        <v>1039</v>
      </c>
      <c r="J220" t="s">
        <v>221</v>
      </c>
      <c r="K220">
        <v>1260</v>
      </c>
      <c r="L220">
        <v>12</v>
      </c>
      <c r="M220">
        <v>176.6</v>
      </c>
      <c r="N220" t="s">
        <v>23</v>
      </c>
      <c r="O220">
        <v>60</v>
      </c>
      <c r="P220">
        <v>21</v>
      </c>
      <c r="Q220">
        <v>449</v>
      </c>
      <c r="R220">
        <v>7112</v>
      </c>
      <c r="S220">
        <v>173.88</v>
      </c>
      <c r="T220">
        <v>176.6</v>
      </c>
      <c r="U220">
        <v>138</v>
      </c>
      <c r="V220">
        <v>1279.7101449275362</v>
      </c>
      <c r="W220" t="s">
        <v>1153</v>
      </c>
      <c r="X220" t="s">
        <v>1087</v>
      </c>
      <c r="Y220">
        <v>36</v>
      </c>
      <c r="Z220">
        <v>1</v>
      </c>
      <c r="AA220">
        <v>105</v>
      </c>
    </row>
    <row r="221" spans="1:27" x14ac:dyDescent="0.3">
      <c r="A221" s="15">
        <v>44453.739965277775</v>
      </c>
      <c r="B221" t="s">
        <v>13</v>
      </c>
      <c r="C221" t="s">
        <v>1132</v>
      </c>
      <c r="D221" s="2">
        <v>44442</v>
      </c>
      <c r="E221" t="s">
        <v>953</v>
      </c>
      <c r="F221" t="s">
        <v>41</v>
      </c>
      <c r="G221" t="s">
        <v>943</v>
      </c>
      <c r="H221" t="s">
        <v>48</v>
      </c>
      <c r="I221" t="s">
        <v>1039</v>
      </c>
      <c r="J221" t="s">
        <v>221</v>
      </c>
      <c r="K221">
        <v>1340</v>
      </c>
      <c r="L221">
        <v>12</v>
      </c>
      <c r="M221">
        <v>183.8</v>
      </c>
      <c r="N221" t="s">
        <v>23</v>
      </c>
      <c r="O221">
        <v>60</v>
      </c>
      <c r="P221">
        <v>22</v>
      </c>
      <c r="Q221">
        <v>449</v>
      </c>
      <c r="R221">
        <v>7114</v>
      </c>
      <c r="S221">
        <v>184.92</v>
      </c>
      <c r="T221">
        <v>183.8</v>
      </c>
      <c r="U221">
        <v>138</v>
      </c>
      <c r="V221">
        <v>1331.8840579710145</v>
      </c>
      <c r="W221" t="s">
        <v>1153</v>
      </c>
      <c r="X221" t="s">
        <v>1087</v>
      </c>
      <c r="Y221">
        <v>36</v>
      </c>
      <c r="Z221">
        <v>1</v>
      </c>
      <c r="AA221">
        <v>111.66666666666667</v>
      </c>
    </row>
    <row r="222" spans="1:27" x14ac:dyDescent="0.3">
      <c r="A222" s="15">
        <v>44482.722175925926</v>
      </c>
      <c r="B222" t="s">
        <v>13</v>
      </c>
      <c r="C222" t="s">
        <v>1132</v>
      </c>
      <c r="D222" s="2">
        <v>44445</v>
      </c>
      <c r="E222" t="s">
        <v>953</v>
      </c>
      <c r="F222" t="s">
        <v>41</v>
      </c>
      <c r="G222" t="s">
        <v>943</v>
      </c>
      <c r="H222" t="s">
        <v>48</v>
      </c>
      <c r="I222" t="s">
        <v>1053</v>
      </c>
      <c r="J222" t="s">
        <v>152</v>
      </c>
      <c r="K222">
        <v>1142</v>
      </c>
      <c r="L222">
        <v>12</v>
      </c>
      <c r="M222">
        <v>279.7</v>
      </c>
      <c r="N222" t="s">
        <v>23</v>
      </c>
      <c r="O222">
        <v>0</v>
      </c>
      <c r="P222">
        <v>21</v>
      </c>
      <c r="Q222">
        <v>457</v>
      </c>
      <c r="R222">
        <v>7117</v>
      </c>
      <c r="S222">
        <v>274.08</v>
      </c>
      <c r="T222">
        <v>279.7</v>
      </c>
      <c r="U222">
        <v>240</v>
      </c>
      <c r="V222">
        <v>1165.4166666666667</v>
      </c>
      <c r="W222" t="s">
        <v>1153</v>
      </c>
      <c r="X222" t="s">
        <v>1087</v>
      </c>
      <c r="Y222">
        <v>37</v>
      </c>
      <c r="Z222">
        <v>1</v>
      </c>
      <c r="AA222">
        <v>95.166666666666671</v>
      </c>
    </row>
    <row r="223" spans="1:27" x14ac:dyDescent="0.3">
      <c r="A223" s="15">
        <v>44482.724826388891</v>
      </c>
      <c r="B223" t="s">
        <v>13</v>
      </c>
      <c r="C223" t="s">
        <v>1132</v>
      </c>
      <c r="D223" s="2">
        <v>44446</v>
      </c>
      <c r="E223" t="s">
        <v>1027</v>
      </c>
      <c r="F223" t="s">
        <v>41</v>
      </c>
      <c r="G223" t="s">
        <v>943</v>
      </c>
      <c r="H223" t="s">
        <v>48</v>
      </c>
      <c r="I223" t="s">
        <v>1053</v>
      </c>
      <c r="J223" t="s">
        <v>152</v>
      </c>
      <c r="K223">
        <v>1111</v>
      </c>
      <c r="L223">
        <v>12</v>
      </c>
      <c r="M223">
        <v>263.60000000000002</v>
      </c>
      <c r="N223" t="s">
        <v>23</v>
      </c>
      <c r="O223">
        <v>0</v>
      </c>
      <c r="P223">
        <v>21</v>
      </c>
      <c r="Q223">
        <v>457</v>
      </c>
      <c r="R223">
        <v>7120</v>
      </c>
      <c r="S223">
        <v>266.64</v>
      </c>
      <c r="T223">
        <v>263.60000000000002</v>
      </c>
      <c r="U223">
        <v>240</v>
      </c>
      <c r="V223">
        <v>1098.3333333333333</v>
      </c>
      <c r="W223" t="s">
        <v>1153</v>
      </c>
      <c r="X223" t="s">
        <v>1087</v>
      </c>
      <c r="Y223">
        <v>37</v>
      </c>
      <c r="Z223">
        <v>1</v>
      </c>
      <c r="AA223">
        <v>92.583333333333329</v>
      </c>
    </row>
    <row r="224" spans="1:27" x14ac:dyDescent="0.3">
      <c r="A224" s="15">
        <v>44482.729259259257</v>
      </c>
      <c r="B224" t="s">
        <v>13</v>
      </c>
      <c r="C224" t="s">
        <v>1132</v>
      </c>
      <c r="D224" s="2">
        <v>44448</v>
      </c>
      <c r="E224" t="s">
        <v>1027</v>
      </c>
      <c r="F224" t="s">
        <v>41</v>
      </c>
      <c r="G224" t="s">
        <v>943</v>
      </c>
      <c r="H224" t="s">
        <v>48</v>
      </c>
      <c r="I224" t="s">
        <v>1053</v>
      </c>
      <c r="J224" t="s">
        <v>152</v>
      </c>
      <c r="K224">
        <v>1137</v>
      </c>
      <c r="L224">
        <v>12</v>
      </c>
      <c r="M224">
        <v>277.5</v>
      </c>
      <c r="N224" t="s">
        <v>23</v>
      </c>
      <c r="O224">
        <v>0</v>
      </c>
      <c r="P224">
        <v>21</v>
      </c>
      <c r="Q224">
        <v>457</v>
      </c>
      <c r="R224">
        <v>7123</v>
      </c>
      <c r="S224">
        <v>272.88</v>
      </c>
      <c r="T224">
        <v>277.5</v>
      </c>
      <c r="U224">
        <v>240</v>
      </c>
      <c r="V224">
        <v>1156.25</v>
      </c>
      <c r="W224" t="s">
        <v>1153</v>
      </c>
      <c r="X224" t="s">
        <v>1087</v>
      </c>
      <c r="Y224">
        <v>37</v>
      </c>
      <c r="Z224">
        <v>1</v>
      </c>
      <c r="AA224">
        <v>94.75</v>
      </c>
    </row>
    <row r="225" spans="1:27" x14ac:dyDescent="0.3">
      <c r="A225" s="15">
        <v>44482.747604166667</v>
      </c>
      <c r="B225" t="s">
        <v>13</v>
      </c>
      <c r="C225" t="s">
        <v>1132</v>
      </c>
      <c r="D225" s="2">
        <v>44452</v>
      </c>
      <c r="E225" t="s">
        <v>1081</v>
      </c>
      <c r="F225" t="s">
        <v>40</v>
      </c>
      <c r="G225" t="s">
        <v>48</v>
      </c>
      <c r="H225" t="s">
        <v>946</v>
      </c>
      <c r="I225" t="s">
        <v>967</v>
      </c>
      <c r="J225" t="s">
        <v>1143</v>
      </c>
      <c r="K225">
        <v>660</v>
      </c>
      <c r="L225">
        <v>10</v>
      </c>
      <c r="M225">
        <v>167.3</v>
      </c>
      <c r="N225" t="s">
        <v>23</v>
      </c>
      <c r="O225">
        <v>0</v>
      </c>
      <c r="P225">
        <v>22</v>
      </c>
      <c r="Q225">
        <v>459</v>
      </c>
      <c r="R225">
        <v>7128</v>
      </c>
      <c r="S225">
        <v>85.8</v>
      </c>
      <c r="T225">
        <v>167.3</v>
      </c>
      <c r="U225">
        <v>130</v>
      </c>
      <c r="V225">
        <v>1286.9230769230769</v>
      </c>
      <c r="W225" t="s">
        <v>1153</v>
      </c>
      <c r="X225" t="s">
        <v>1087</v>
      </c>
      <c r="Y225">
        <v>38</v>
      </c>
      <c r="Z225">
        <v>2</v>
      </c>
      <c r="AA225">
        <v>110</v>
      </c>
    </row>
    <row r="226" spans="1:27" x14ac:dyDescent="0.3">
      <c r="A226" s="15">
        <v>44482.746400462966</v>
      </c>
      <c r="B226" t="s">
        <v>13</v>
      </c>
      <c r="C226" t="s">
        <v>1132</v>
      </c>
      <c r="D226" s="2">
        <v>44452</v>
      </c>
      <c r="E226" t="s">
        <v>1081</v>
      </c>
      <c r="F226" t="s">
        <v>40</v>
      </c>
      <c r="G226" t="s">
        <v>48</v>
      </c>
      <c r="H226" t="s">
        <v>946</v>
      </c>
      <c r="I226" t="s">
        <v>967</v>
      </c>
      <c r="J226" t="s">
        <v>1142</v>
      </c>
      <c r="K226">
        <v>69</v>
      </c>
      <c r="L226">
        <v>1</v>
      </c>
      <c r="M226">
        <v>17.7</v>
      </c>
      <c r="N226" t="s">
        <v>23</v>
      </c>
      <c r="O226">
        <v>0</v>
      </c>
      <c r="P226">
        <v>2</v>
      </c>
      <c r="Q226">
        <v>459</v>
      </c>
      <c r="R226">
        <v>7128</v>
      </c>
      <c r="S226">
        <v>8.9700000000000006</v>
      </c>
      <c r="T226">
        <v>17.7</v>
      </c>
      <c r="U226">
        <v>130</v>
      </c>
      <c r="V226">
        <v>136.15384615384616</v>
      </c>
      <c r="W226" t="s">
        <v>1153</v>
      </c>
      <c r="X226" t="s">
        <v>1087</v>
      </c>
      <c r="Y226">
        <v>38</v>
      </c>
      <c r="Z226">
        <v>2</v>
      </c>
      <c r="AA226">
        <v>11.5</v>
      </c>
    </row>
    <row r="227" spans="1:27" x14ac:dyDescent="0.3">
      <c r="A227" s="15">
        <v>44482.754212962966</v>
      </c>
      <c r="B227" t="s">
        <v>13</v>
      </c>
      <c r="C227" t="s">
        <v>1132</v>
      </c>
      <c r="D227" s="2">
        <v>44453</v>
      </c>
      <c r="E227" t="s">
        <v>953</v>
      </c>
      <c r="F227" t="s">
        <v>40</v>
      </c>
      <c r="G227" t="s">
        <v>48</v>
      </c>
      <c r="H227" t="s">
        <v>946</v>
      </c>
      <c r="I227" t="s">
        <v>967</v>
      </c>
      <c r="J227" t="s">
        <v>123</v>
      </c>
      <c r="K227">
        <v>190</v>
      </c>
      <c r="L227">
        <v>3</v>
      </c>
      <c r="M227">
        <v>50.8</v>
      </c>
      <c r="N227" t="s">
        <v>23</v>
      </c>
      <c r="O227">
        <v>0</v>
      </c>
      <c r="P227">
        <v>7</v>
      </c>
      <c r="Q227">
        <v>459</v>
      </c>
      <c r="R227">
        <v>7130</v>
      </c>
      <c r="S227">
        <v>24.7</v>
      </c>
      <c r="T227">
        <v>50.8</v>
      </c>
      <c r="U227">
        <v>130</v>
      </c>
      <c r="V227">
        <v>390.76923076923077</v>
      </c>
      <c r="W227" t="s">
        <v>1153</v>
      </c>
      <c r="X227" t="s">
        <v>1087</v>
      </c>
      <c r="Y227">
        <v>38</v>
      </c>
      <c r="Z227">
        <v>2</v>
      </c>
      <c r="AA227">
        <v>31.666666666666668</v>
      </c>
    </row>
    <row r="228" spans="1:27" x14ac:dyDescent="0.3">
      <c r="A228" s="15">
        <v>44482.753379629627</v>
      </c>
      <c r="B228" t="s">
        <v>13</v>
      </c>
      <c r="C228" t="s">
        <v>1132</v>
      </c>
      <c r="D228" s="2">
        <v>44453</v>
      </c>
      <c r="E228" t="s">
        <v>953</v>
      </c>
      <c r="F228" t="s">
        <v>40</v>
      </c>
      <c r="G228" t="s">
        <v>48</v>
      </c>
      <c r="H228" t="s">
        <v>946</v>
      </c>
      <c r="I228" t="s">
        <v>967</v>
      </c>
      <c r="J228" t="s">
        <v>125</v>
      </c>
      <c r="K228">
        <v>335</v>
      </c>
      <c r="L228">
        <v>5</v>
      </c>
      <c r="M228">
        <v>93.6</v>
      </c>
      <c r="N228" t="s">
        <v>23</v>
      </c>
      <c r="O228">
        <v>0</v>
      </c>
      <c r="P228">
        <v>13</v>
      </c>
      <c r="Q228">
        <v>459</v>
      </c>
      <c r="R228">
        <v>7130</v>
      </c>
      <c r="S228">
        <v>43.55</v>
      </c>
      <c r="T228">
        <v>93.6</v>
      </c>
      <c r="U228">
        <v>130</v>
      </c>
      <c r="V228">
        <v>720</v>
      </c>
      <c r="W228" t="s">
        <v>1153</v>
      </c>
      <c r="X228" t="s">
        <v>1087</v>
      </c>
      <c r="Y228">
        <v>38</v>
      </c>
      <c r="Z228">
        <v>2</v>
      </c>
      <c r="AA228">
        <v>55.833333333333336</v>
      </c>
    </row>
    <row r="229" spans="1:27" x14ac:dyDescent="0.3">
      <c r="A229" s="15">
        <v>44482.752939814818</v>
      </c>
      <c r="B229" t="s">
        <v>13</v>
      </c>
      <c r="C229" t="s">
        <v>1132</v>
      </c>
      <c r="D229" s="2">
        <v>44453</v>
      </c>
      <c r="E229" t="s">
        <v>953</v>
      </c>
      <c r="F229" t="s">
        <v>40</v>
      </c>
      <c r="G229" t="s">
        <v>48</v>
      </c>
      <c r="H229" t="s">
        <v>946</v>
      </c>
      <c r="I229" t="s">
        <v>967</v>
      </c>
      <c r="J229" t="s">
        <v>124</v>
      </c>
      <c r="K229">
        <v>197</v>
      </c>
      <c r="L229">
        <v>3</v>
      </c>
      <c r="M229">
        <v>52.6</v>
      </c>
      <c r="N229" t="s">
        <v>23</v>
      </c>
      <c r="O229">
        <v>0</v>
      </c>
      <c r="P229">
        <v>0</v>
      </c>
      <c r="Q229">
        <v>459</v>
      </c>
      <c r="R229">
        <v>7130</v>
      </c>
      <c r="S229">
        <v>25.61</v>
      </c>
      <c r="T229">
        <v>52.6</v>
      </c>
      <c r="U229">
        <v>130</v>
      </c>
      <c r="V229">
        <v>404.61538461538464</v>
      </c>
      <c r="W229" t="s">
        <v>1153</v>
      </c>
      <c r="X229" t="s">
        <v>1087</v>
      </c>
      <c r="Y229">
        <v>38</v>
      </c>
      <c r="Z229">
        <v>2</v>
      </c>
      <c r="AA229">
        <v>32.833333333333336</v>
      </c>
    </row>
    <row r="230" spans="1:27" x14ac:dyDescent="0.3">
      <c r="A230" s="15">
        <v>44482.769560185188</v>
      </c>
      <c r="B230" t="s">
        <v>13</v>
      </c>
      <c r="C230" t="s">
        <v>1132</v>
      </c>
      <c r="D230" s="2">
        <v>44461</v>
      </c>
      <c r="E230" t="s">
        <v>953</v>
      </c>
      <c r="F230" t="s">
        <v>41</v>
      </c>
      <c r="G230" t="s">
        <v>943</v>
      </c>
      <c r="H230" t="s">
        <v>48</v>
      </c>
      <c r="I230" t="s">
        <v>1145</v>
      </c>
      <c r="J230" t="s">
        <v>1149</v>
      </c>
      <c r="K230">
        <v>285</v>
      </c>
      <c r="L230">
        <v>5</v>
      </c>
      <c r="M230">
        <v>49.19</v>
      </c>
      <c r="N230" t="s">
        <v>23</v>
      </c>
      <c r="O230">
        <v>0</v>
      </c>
      <c r="P230">
        <v>4</v>
      </c>
      <c r="Q230">
        <v>465</v>
      </c>
      <c r="R230">
        <v>7134</v>
      </c>
      <c r="S230">
        <v>24.51</v>
      </c>
      <c r="T230">
        <v>49.19</v>
      </c>
      <c r="U230">
        <v>86</v>
      </c>
      <c r="V230">
        <v>571.97674418604652</v>
      </c>
      <c r="W230" t="s">
        <v>1153</v>
      </c>
      <c r="X230" t="s">
        <v>1087</v>
      </c>
      <c r="Y230">
        <v>39</v>
      </c>
      <c r="Z230">
        <v>2</v>
      </c>
      <c r="AA230">
        <v>47.5</v>
      </c>
    </row>
    <row r="231" spans="1:27" x14ac:dyDescent="0.3">
      <c r="A231" s="15">
        <v>44482.76761574074</v>
      </c>
      <c r="B231" t="s">
        <v>13</v>
      </c>
      <c r="C231" t="s">
        <v>1132</v>
      </c>
      <c r="D231" s="2">
        <v>44461</v>
      </c>
      <c r="E231" t="s">
        <v>953</v>
      </c>
      <c r="F231" t="s">
        <v>41</v>
      </c>
      <c r="G231" t="s">
        <v>943</v>
      </c>
      <c r="H231" t="s">
        <v>48</v>
      </c>
      <c r="I231" t="s">
        <v>1145</v>
      </c>
      <c r="J231" t="s">
        <v>1151</v>
      </c>
      <c r="K231">
        <v>515</v>
      </c>
      <c r="L231">
        <v>7</v>
      </c>
      <c r="M231">
        <v>88.58</v>
      </c>
      <c r="N231" t="s">
        <v>23</v>
      </c>
      <c r="O231">
        <v>0</v>
      </c>
      <c r="P231">
        <v>8</v>
      </c>
      <c r="Q231">
        <v>465</v>
      </c>
      <c r="R231">
        <v>7134</v>
      </c>
      <c r="S231">
        <v>44.29</v>
      </c>
      <c r="T231">
        <v>88.58</v>
      </c>
      <c r="U231">
        <v>86</v>
      </c>
      <c r="V231">
        <v>1030</v>
      </c>
      <c r="W231" t="s">
        <v>1153</v>
      </c>
      <c r="X231" t="s">
        <v>1087</v>
      </c>
      <c r="Y231">
        <v>39</v>
      </c>
      <c r="Z231">
        <v>2</v>
      </c>
      <c r="AA231">
        <v>85.833333333333329</v>
      </c>
    </row>
    <row r="232" spans="1:27" x14ac:dyDescent="0.3">
      <c r="A232" s="15">
        <v>44482.772002314814</v>
      </c>
      <c r="B232" t="s">
        <v>13</v>
      </c>
      <c r="C232" t="s">
        <v>1132</v>
      </c>
      <c r="D232" s="2">
        <v>44462</v>
      </c>
      <c r="E232" t="s">
        <v>1081</v>
      </c>
      <c r="F232" t="s">
        <v>41</v>
      </c>
      <c r="G232" t="s">
        <v>943</v>
      </c>
      <c r="H232" t="s">
        <v>48</v>
      </c>
      <c r="I232" t="s">
        <v>1145</v>
      </c>
      <c r="J232" t="s">
        <v>1148</v>
      </c>
      <c r="K232">
        <v>106</v>
      </c>
      <c r="L232">
        <v>2</v>
      </c>
      <c r="M232">
        <v>18.23</v>
      </c>
      <c r="N232" t="s">
        <v>23</v>
      </c>
      <c r="O232">
        <v>0</v>
      </c>
      <c r="P232">
        <v>2</v>
      </c>
      <c r="Q232">
        <v>465</v>
      </c>
      <c r="R232">
        <v>7136</v>
      </c>
      <c r="S232">
        <v>9.1159999999999997</v>
      </c>
      <c r="T232">
        <v>18.23</v>
      </c>
      <c r="U232">
        <v>86</v>
      </c>
      <c r="V232">
        <v>211.97674418604652</v>
      </c>
      <c r="W232" t="s">
        <v>1153</v>
      </c>
      <c r="X232" t="s">
        <v>1087</v>
      </c>
      <c r="Y232">
        <v>39</v>
      </c>
      <c r="Z232">
        <v>2</v>
      </c>
      <c r="AA232">
        <v>17.666666666666668</v>
      </c>
    </row>
    <row r="233" spans="1:27" x14ac:dyDescent="0.3">
      <c r="A233" s="15">
        <v>44482.77171296296</v>
      </c>
      <c r="B233" t="s">
        <v>13</v>
      </c>
      <c r="C233" t="s">
        <v>1132</v>
      </c>
      <c r="D233" s="2">
        <v>44462</v>
      </c>
      <c r="E233" t="s">
        <v>1081</v>
      </c>
      <c r="F233" t="s">
        <v>41</v>
      </c>
      <c r="G233" t="s">
        <v>943</v>
      </c>
      <c r="H233" t="s">
        <v>48</v>
      </c>
      <c r="I233" t="s">
        <v>1145</v>
      </c>
      <c r="J233" t="s">
        <v>1147</v>
      </c>
      <c r="K233">
        <v>834</v>
      </c>
      <c r="L233">
        <v>10</v>
      </c>
      <c r="M233">
        <v>143.51</v>
      </c>
      <c r="N233" t="s">
        <v>23</v>
      </c>
      <c r="O233">
        <v>0</v>
      </c>
      <c r="P233">
        <v>12</v>
      </c>
      <c r="Q233">
        <v>465</v>
      </c>
      <c r="R233">
        <v>7136</v>
      </c>
      <c r="S233">
        <v>71.724000000000004</v>
      </c>
      <c r="T233">
        <v>143.51</v>
      </c>
      <c r="U233">
        <v>86</v>
      </c>
      <c r="V233">
        <v>1668.7209302325582</v>
      </c>
      <c r="W233" t="s">
        <v>1153</v>
      </c>
      <c r="X233" t="s">
        <v>1087</v>
      </c>
      <c r="Y233">
        <v>39</v>
      </c>
      <c r="Z233">
        <v>2</v>
      </c>
      <c r="AA233">
        <v>139</v>
      </c>
    </row>
    <row r="234" spans="1:27" x14ac:dyDescent="0.3">
      <c r="A234" s="15">
        <v>44482.774247685185</v>
      </c>
      <c r="B234" t="s">
        <v>13</v>
      </c>
      <c r="C234" t="s">
        <v>1132</v>
      </c>
      <c r="D234" s="2">
        <v>44463</v>
      </c>
      <c r="E234" t="s">
        <v>1081</v>
      </c>
      <c r="F234" t="s">
        <v>41</v>
      </c>
      <c r="G234" t="s">
        <v>943</v>
      </c>
      <c r="H234" t="s">
        <v>48</v>
      </c>
      <c r="I234" t="s">
        <v>1145</v>
      </c>
      <c r="J234" t="s">
        <v>1146</v>
      </c>
      <c r="K234">
        <v>1022</v>
      </c>
      <c r="L234">
        <v>12</v>
      </c>
      <c r="M234">
        <v>172.17</v>
      </c>
      <c r="N234" t="s">
        <v>23</v>
      </c>
      <c r="O234">
        <v>0</v>
      </c>
      <c r="P234">
        <v>14</v>
      </c>
      <c r="Q234">
        <v>465</v>
      </c>
      <c r="R234">
        <v>7138</v>
      </c>
      <c r="S234">
        <v>87.891999999999996</v>
      </c>
      <c r="T234">
        <v>172.17</v>
      </c>
      <c r="U234">
        <v>86</v>
      </c>
      <c r="V234">
        <v>2001.9767441860465</v>
      </c>
      <c r="W234" t="s">
        <v>1153</v>
      </c>
      <c r="X234" t="s">
        <v>1087</v>
      </c>
      <c r="Y234">
        <v>39</v>
      </c>
      <c r="Z234">
        <v>2</v>
      </c>
      <c r="AA234">
        <v>170.33333333333334</v>
      </c>
    </row>
    <row r="235" spans="1:27" x14ac:dyDescent="0.3">
      <c r="A235" s="15">
        <v>44482.775879629633</v>
      </c>
      <c r="B235" t="s">
        <v>13</v>
      </c>
      <c r="C235" t="s">
        <v>1132</v>
      </c>
      <c r="D235" s="2">
        <v>44464</v>
      </c>
      <c r="E235" t="s">
        <v>1081</v>
      </c>
      <c r="F235" t="s">
        <v>41</v>
      </c>
      <c r="G235" t="s">
        <v>950</v>
      </c>
      <c r="H235" t="s">
        <v>943</v>
      </c>
      <c r="I235" t="s">
        <v>1145</v>
      </c>
      <c r="J235" t="s">
        <v>1151</v>
      </c>
      <c r="K235">
        <v>360</v>
      </c>
      <c r="L235">
        <v>4</v>
      </c>
      <c r="M235">
        <v>61.3</v>
      </c>
      <c r="N235" t="s">
        <v>23</v>
      </c>
      <c r="O235">
        <v>0</v>
      </c>
      <c r="P235">
        <v>7</v>
      </c>
      <c r="Q235">
        <v>465</v>
      </c>
      <c r="R235">
        <v>7140</v>
      </c>
      <c r="S235">
        <v>30.96</v>
      </c>
      <c r="T235">
        <v>61.3</v>
      </c>
      <c r="U235">
        <v>86</v>
      </c>
      <c r="V235">
        <v>712.79069767441865</v>
      </c>
      <c r="W235" t="s">
        <v>1153</v>
      </c>
      <c r="X235" t="s">
        <v>1087</v>
      </c>
      <c r="Y235">
        <v>39</v>
      </c>
      <c r="Z235">
        <v>2</v>
      </c>
      <c r="AA235">
        <v>60</v>
      </c>
    </row>
    <row r="236" spans="1:27" x14ac:dyDescent="0.3">
      <c r="A236" s="15">
        <v>44482.775405092594</v>
      </c>
      <c r="B236" t="s">
        <v>13</v>
      </c>
      <c r="C236" t="s">
        <v>1132</v>
      </c>
      <c r="D236" s="2">
        <v>44464</v>
      </c>
      <c r="E236" t="s">
        <v>1081</v>
      </c>
      <c r="F236" t="s">
        <v>41</v>
      </c>
      <c r="G236" t="s">
        <v>950</v>
      </c>
      <c r="H236" t="s">
        <v>943</v>
      </c>
      <c r="I236" t="s">
        <v>1145</v>
      </c>
      <c r="J236" t="s">
        <v>1150</v>
      </c>
      <c r="K236">
        <v>735</v>
      </c>
      <c r="L236">
        <v>8</v>
      </c>
      <c r="M236">
        <v>124</v>
      </c>
      <c r="N236" t="s">
        <v>23</v>
      </c>
      <c r="O236">
        <v>0</v>
      </c>
      <c r="P236">
        <v>14</v>
      </c>
      <c r="Q236">
        <v>465</v>
      </c>
      <c r="R236">
        <v>7140</v>
      </c>
      <c r="S236">
        <v>63.21</v>
      </c>
      <c r="T236">
        <v>124</v>
      </c>
      <c r="U236">
        <v>86</v>
      </c>
      <c r="V236">
        <v>1441.8604651162791</v>
      </c>
      <c r="W236" t="s">
        <v>1153</v>
      </c>
      <c r="X236" t="s">
        <v>1087</v>
      </c>
      <c r="Y236">
        <v>39</v>
      </c>
      <c r="Z236">
        <v>2</v>
      </c>
      <c r="AA236">
        <v>122.5</v>
      </c>
    </row>
    <row r="237" spans="1:27" x14ac:dyDescent="0.3">
      <c r="A237" s="15">
        <v>44482.779062499998</v>
      </c>
      <c r="B237" t="s">
        <v>13</v>
      </c>
      <c r="C237" t="s">
        <v>1132</v>
      </c>
      <c r="D237" s="2">
        <v>44466</v>
      </c>
      <c r="E237" t="s">
        <v>1081</v>
      </c>
      <c r="F237" t="s">
        <v>41</v>
      </c>
      <c r="G237" t="s">
        <v>950</v>
      </c>
      <c r="H237" t="s">
        <v>943</v>
      </c>
      <c r="I237" t="s">
        <v>1145</v>
      </c>
      <c r="J237" t="s">
        <v>1147</v>
      </c>
      <c r="K237">
        <v>920</v>
      </c>
      <c r="L237">
        <v>10</v>
      </c>
      <c r="M237">
        <v>158.24</v>
      </c>
      <c r="N237" t="s">
        <v>23</v>
      </c>
      <c r="O237">
        <v>0</v>
      </c>
      <c r="P237">
        <v>17</v>
      </c>
      <c r="Q237">
        <v>465</v>
      </c>
      <c r="R237">
        <v>7145</v>
      </c>
      <c r="S237">
        <v>79.12</v>
      </c>
      <c r="T237">
        <v>158.24</v>
      </c>
      <c r="U237">
        <v>86</v>
      </c>
      <c r="V237">
        <v>1840</v>
      </c>
      <c r="W237" t="s">
        <v>1153</v>
      </c>
      <c r="X237" t="s">
        <v>1087</v>
      </c>
      <c r="Y237">
        <v>40</v>
      </c>
      <c r="Z237">
        <v>2</v>
      </c>
      <c r="AA237">
        <v>153.33333333333334</v>
      </c>
    </row>
    <row r="238" spans="1:27" x14ac:dyDescent="0.3">
      <c r="A238" s="15">
        <v>44482.778611111113</v>
      </c>
      <c r="B238" t="s">
        <v>13</v>
      </c>
      <c r="C238" t="s">
        <v>1132</v>
      </c>
      <c r="D238" s="2">
        <v>44466</v>
      </c>
      <c r="E238" t="s">
        <v>1081</v>
      </c>
      <c r="F238" t="s">
        <v>41</v>
      </c>
      <c r="G238" t="s">
        <v>950</v>
      </c>
      <c r="H238" t="s">
        <v>943</v>
      </c>
      <c r="I238" t="s">
        <v>1145</v>
      </c>
      <c r="J238" t="s">
        <v>1149</v>
      </c>
      <c r="K238">
        <v>146</v>
      </c>
      <c r="L238">
        <v>2</v>
      </c>
      <c r="M238">
        <v>22.21</v>
      </c>
      <c r="N238" t="s">
        <v>23</v>
      </c>
      <c r="O238">
        <v>0</v>
      </c>
      <c r="P238">
        <v>4</v>
      </c>
      <c r="Q238">
        <v>465</v>
      </c>
      <c r="R238">
        <v>7145</v>
      </c>
      <c r="S238">
        <v>12.555999999999999</v>
      </c>
      <c r="T238">
        <v>22.21</v>
      </c>
      <c r="U238">
        <v>86</v>
      </c>
      <c r="V238">
        <v>258.25581395348837</v>
      </c>
      <c r="W238" t="s">
        <v>1153</v>
      </c>
      <c r="X238" t="s">
        <v>1087</v>
      </c>
      <c r="Y238">
        <v>40</v>
      </c>
      <c r="Z238">
        <v>2</v>
      </c>
      <c r="AA238">
        <v>24.333333333333332</v>
      </c>
    </row>
    <row r="239" spans="1:27" x14ac:dyDescent="0.3">
      <c r="A239" s="15">
        <v>44482.782719907409</v>
      </c>
      <c r="B239" t="s">
        <v>13</v>
      </c>
      <c r="C239" t="s">
        <v>1132</v>
      </c>
      <c r="D239" s="2">
        <v>44467</v>
      </c>
      <c r="E239" t="s">
        <v>1027</v>
      </c>
      <c r="F239" t="s">
        <v>41</v>
      </c>
      <c r="G239" t="s">
        <v>950</v>
      </c>
      <c r="H239" t="s">
        <v>943</v>
      </c>
      <c r="I239" t="s">
        <v>1145</v>
      </c>
      <c r="J239" t="s">
        <v>1148</v>
      </c>
      <c r="K239">
        <v>519</v>
      </c>
      <c r="L239">
        <v>4</v>
      </c>
      <c r="M239">
        <v>89.26</v>
      </c>
      <c r="N239" t="s">
        <v>23</v>
      </c>
      <c r="O239">
        <v>0</v>
      </c>
      <c r="P239">
        <v>10</v>
      </c>
      <c r="Q239">
        <v>465</v>
      </c>
      <c r="R239">
        <v>7147</v>
      </c>
      <c r="S239">
        <v>44.634</v>
      </c>
      <c r="T239">
        <v>89.26</v>
      </c>
      <c r="U239">
        <v>86</v>
      </c>
      <c r="V239">
        <v>1037.9069767441861</v>
      </c>
      <c r="W239" t="s">
        <v>1153</v>
      </c>
      <c r="X239" t="s">
        <v>1087</v>
      </c>
      <c r="Y239">
        <v>40</v>
      </c>
      <c r="Z239">
        <v>2</v>
      </c>
      <c r="AA239">
        <v>86.5</v>
      </c>
    </row>
    <row r="240" spans="1:27" x14ac:dyDescent="0.3">
      <c r="A240" s="15">
        <v>44482.782152777778</v>
      </c>
      <c r="B240" t="s">
        <v>13</v>
      </c>
      <c r="C240" t="s">
        <v>1132</v>
      </c>
      <c r="D240" s="2">
        <v>44467</v>
      </c>
      <c r="E240" t="s">
        <v>1105</v>
      </c>
      <c r="F240" t="s">
        <v>41</v>
      </c>
      <c r="G240" t="s">
        <v>950</v>
      </c>
      <c r="H240" t="s">
        <v>943</v>
      </c>
      <c r="I240" t="s">
        <v>1145</v>
      </c>
      <c r="J240" t="s">
        <v>1146</v>
      </c>
      <c r="K240">
        <v>610</v>
      </c>
      <c r="L240">
        <v>4</v>
      </c>
      <c r="M240">
        <v>105.3</v>
      </c>
      <c r="N240" t="s">
        <v>23</v>
      </c>
      <c r="O240">
        <v>0</v>
      </c>
      <c r="P240">
        <v>8</v>
      </c>
      <c r="Q240">
        <v>465</v>
      </c>
      <c r="R240">
        <v>7147</v>
      </c>
      <c r="S240">
        <v>52.46</v>
      </c>
      <c r="T240">
        <v>105.3</v>
      </c>
      <c r="U240">
        <v>86</v>
      </c>
      <c r="V240">
        <v>1224.4186046511627</v>
      </c>
      <c r="W240" t="s">
        <v>1153</v>
      </c>
      <c r="X240" t="s">
        <v>1087</v>
      </c>
      <c r="Y240">
        <v>40</v>
      </c>
      <c r="Z240">
        <v>2</v>
      </c>
      <c r="AA240">
        <v>101.66666666666667</v>
      </c>
    </row>
    <row r="241" spans="1:27" x14ac:dyDescent="0.3">
      <c r="A241" s="15">
        <v>44482.787060185183</v>
      </c>
      <c r="B241" t="s">
        <v>13</v>
      </c>
      <c r="C241" t="s">
        <v>1080</v>
      </c>
      <c r="D241" s="2">
        <v>44440</v>
      </c>
      <c r="E241" t="s">
        <v>953</v>
      </c>
      <c r="F241" t="s">
        <v>40</v>
      </c>
      <c r="G241" t="s">
        <v>48</v>
      </c>
      <c r="H241" t="s">
        <v>944</v>
      </c>
      <c r="I241" t="s">
        <v>1054</v>
      </c>
      <c r="J241" t="s">
        <v>484</v>
      </c>
      <c r="K241">
        <v>1155</v>
      </c>
      <c r="L241">
        <v>12</v>
      </c>
      <c r="M241">
        <v>81.400000000000006</v>
      </c>
      <c r="N241" t="s">
        <v>23</v>
      </c>
      <c r="O241">
        <v>0</v>
      </c>
      <c r="P241">
        <v>7</v>
      </c>
      <c r="Q241">
        <v>468</v>
      </c>
      <c r="R241">
        <v>6935</v>
      </c>
      <c r="S241">
        <v>13.86</v>
      </c>
      <c r="T241">
        <v>81.400000000000006</v>
      </c>
      <c r="U241">
        <v>12</v>
      </c>
      <c r="V241">
        <v>6783.333333333333</v>
      </c>
      <c r="W241" t="s">
        <v>1153</v>
      </c>
      <c r="X241" t="s">
        <v>1087</v>
      </c>
      <c r="Y241">
        <v>36</v>
      </c>
      <c r="Z241">
        <v>6</v>
      </c>
      <c r="AA241">
        <v>577.5</v>
      </c>
    </row>
    <row r="242" spans="1:27" x14ac:dyDescent="0.3">
      <c r="A242" s="15">
        <v>44482.790636574071</v>
      </c>
      <c r="B242" t="s">
        <v>13</v>
      </c>
      <c r="C242" t="s">
        <v>1080</v>
      </c>
      <c r="D242" s="2">
        <v>44443</v>
      </c>
      <c r="E242" t="s">
        <v>953</v>
      </c>
      <c r="F242" t="s">
        <v>41</v>
      </c>
      <c r="G242" t="s">
        <v>940</v>
      </c>
      <c r="H242" t="s">
        <v>48</v>
      </c>
      <c r="I242" t="s">
        <v>1126</v>
      </c>
      <c r="J242" t="s">
        <v>1121</v>
      </c>
      <c r="K242">
        <v>566</v>
      </c>
      <c r="L242">
        <v>6</v>
      </c>
      <c r="M242">
        <v>27.2</v>
      </c>
      <c r="N242" t="s">
        <v>23</v>
      </c>
      <c r="O242">
        <v>0</v>
      </c>
      <c r="P242">
        <v>0</v>
      </c>
      <c r="Q242">
        <v>451</v>
      </c>
      <c r="R242">
        <v>6937</v>
      </c>
      <c r="S242">
        <v>2.2639999999999998</v>
      </c>
      <c r="T242">
        <v>27.2</v>
      </c>
      <c r="U242">
        <v>4</v>
      </c>
      <c r="V242">
        <v>6800</v>
      </c>
      <c r="W242" t="s">
        <v>1153</v>
      </c>
      <c r="X242" t="s">
        <v>1087</v>
      </c>
      <c r="Y242">
        <v>36</v>
      </c>
      <c r="Z242">
        <v>12</v>
      </c>
      <c r="AA242">
        <v>566</v>
      </c>
    </row>
    <row r="243" spans="1:27" x14ac:dyDescent="0.3">
      <c r="A243" s="15">
        <v>44482.790381944447</v>
      </c>
      <c r="B243" t="s">
        <v>13</v>
      </c>
      <c r="C243" t="s">
        <v>1080</v>
      </c>
      <c r="D243" s="2">
        <v>44443</v>
      </c>
      <c r="E243" t="s">
        <v>953</v>
      </c>
      <c r="F243" t="s">
        <v>41</v>
      </c>
      <c r="G243" t="s">
        <v>940</v>
      </c>
      <c r="H243" t="s">
        <v>48</v>
      </c>
      <c r="I243" t="s">
        <v>1126</v>
      </c>
      <c r="J243" t="s">
        <v>1120</v>
      </c>
      <c r="K243">
        <v>318</v>
      </c>
      <c r="L243">
        <v>2</v>
      </c>
      <c r="M243">
        <v>13.5</v>
      </c>
      <c r="N243" t="s">
        <v>23</v>
      </c>
      <c r="O243">
        <v>0</v>
      </c>
      <c r="P243">
        <v>0</v>
      </c>
      <c r="Q243">
        <v>451</v>
      </c>
      <c r="R243">
        <v>6937</v>
      </c>
      <c r="S243">
        <v>1.272</v>
      </c>
      <c r="T243">
        <v>13.5</v>
      </c>
      <c r="U243">
        <v>4</v>
      </c>
      <c r="V243">
        <v>3375</v>
      </c>
      <c r="W243" t="s">
        <v>1153</v>
      </c>
      <c r="X243" t="s">
        <v>1087</v>
      </c>
      <c r="Y243">
        <v>36</v>
      </c>
      <c r="Z243">
        <v>12</v>
      </c>
      <c r="AA243">
        <v>318</v>
      </c>
    </row>
    <row r="244" spans="1:27" x14ac:dyDescent="0.3">
      <c r="A244" s="15">
        <v>44482.790092592593</v>
      </c>
      <c r="B244" t="s">
        <v>13</v>
      </c>
      <c r="C244" t="s">
        <v>1080</v>
      </c>
      <c r="D244" s="2">
        <v>44443</v>
      </c>
      <c r="E244" t="s">
        <v>953</v>
      </c>
      <c r="F244" t="s">
        <v>41</v>
      </c>
      <c r="G244" t="s">
        <v>940</v>
      </c>
      <c r="H244" t="s">
        <v>48</v>
      </c>
      <c r="I244" t="s">
        <v>1126</v>
      </c>
      <c r="J244" t="s">
        <v>1120</v>
      </c>
      <c r="K244">
        <v>340</v>
      </c>
      <c r="L244">
        <v>3</v>
      </c>
      <c r="M244">
        <v>14.6</v>
      </c>
      <c r="N244" t="s">
        <v>23</v>
      </c>
      <c r="O244">
        <v>0</v>
      </c>
      <c r="P244">
        <v>0</v>
      </c>
      <c r="Q244">
        <v>451</v>
      </c>
      <c r="R244">
        <v>6937</v>
      </c>
      <c r="S244">
        <v>1.36</v>
      </c>
      <c r="T244">
        <v>14.6</v>
      </c>
      <c r="U244">
        <v>4</v>
      </c>
      <c r="V244">
        <v>3650</v>
      </c>
      <c r="W244" t="s">
        <v>1153</v>
      </c>
      <c r="X244" t="s">
        <v>1087</v>
      </c>
      <c r="Y244">
        <v>36</v>
      </c>
      <c r="Z244">
        <v>12</v>
      </c>
      <c r="AA244">
        <v>340</v>
      </c>
    </row>
    <row r="245" spans="1:27" x14ac:dyDescent="0.3">
      <c r="A245" s="15">
        <v>44482.78974537037</v>
      </c>
      <c r="B245" t="s">
        <v>13</v>
      </c>
      <c r="C245" t="s">
        <v>1080</v>
      </c>
      <c r="D245" s="2">
        <v>44443</v>
      </c>
      <c r="E245" t="s">
        <v>953</v>
      </c>
      <c r="F245" t="s">
        <v>41</v>
      </c>
      <c r="G245" t="s">
        <v>940</v>
      </c>
      <c r="H245" t="s">
        <v>48</v>
      </c>
      <c r="I245" t="s">
        <v>1126</v>
      </c>
      <c r="J245" t="s">
        <v>1116</v>
      </c>
      <c r="K245">
        <v>655</v>
      </c>
      <c r="L245">
        <v>6</v>
      </c>
      <c r="M245">
        <v>28</v>
      </c>
      <c r="N245" t="s">
        <v>23</v>
      </c>
      <c r="O245">
        <v>0</v>
      </c>
      <c r="P245">
        <v>0</v>
      </c>
      <c r="Q245">
        <v>451</v>
      </c>
      <c r="R245">
        <v>6937</v>
      </c>
      <c r="S245">
        <v>2.62</v>
      </c>
      <c r="T245">
        <v>28</v>
      </c>
      <c r="U245">
        <v>4</v>
      </c>
      <c r="V245">
        <v>7000</v>
      </c>
      <c r="W245" t="s">
        <v>1153</v>
      </c>
      <c r="X245" t="s">
        <v>1087</v>
      </c>
      <c r="Y245">
        <v>36</v>
      </c>
      <c r="Z245">
        <v>12</v>
      </c>
      <c r="AA245">
        <v>655</v>
      </c>
    </row>
    <row r="246" spans="1:27" x14ac:dyDescent="0.3">
      <c r="A246" s="15">
        <v>44482.789525462962</v>
      </c>
      <c r="B246" t="s">
        <v>13</v>
      </c>
      <c r="C246" t="s">
        <v>1080</v>
      </c>
      <c r="D246" s="2">
        <v>44443</v>
      </c>
      <c r="E246" t="s">
        <v>953</v>
      </c>
      <c r="F246" t="s">
        <v>41</v>
      </c>
      <c r="G246" t="s">
        <v>940</v>
      </c>
      <c r="H246" t="s">
        <v>48</v>
      </c>
      <c r="I246" t="s">
        <v>1126</v>
      </c>
      <c r="J246" t="s">
        <v>1119</v>
      </c>
      <c r="K246">
        <v>340</v>
      </c>
      <c r="L246">
        <v>3</v>
      </c>
      <c r="M246">
        <v>14.7</v>
      </c>
      <c r="N246" t="s">
        <v>23</v>
      </c>
      <c r="O246">
        <v>0</v>
      </c>
      <c r="P246">
        <v>0</v>
      </c>
      <c r="Q246">
        <v>451</v>
      </c>
      <c r="R246">
        <v>6937</v>
      </c>
      <c r="S246">
        <v>1.36</v>
      </c>
      <c r="T246">
        <v>14.7</v>
      </c>
      <c r="U246">
        <v>4</v>
      </c>
      <c r="V246">
        <v>3675</v>
      </c>
      <c r="W246" t="s">
        <v>1153</v>
      </c>
      <c r="X246" t="s">
        <v>1087</v>
      </c>
      <c r="Y246">
        <v>36</v>
      </c>
      <c r="Z246">
        <v>12</v>
      </c>
      <c r="AA246">
        <v>340</v>
      </c>
    </row>
    <row r="247" spans="1:27" x14ac:dyDescent="0.3">
      <c r="A247" s="15">
        <v>44482.794861111113</v>
      </c>
      <c r="B247" t="s">
        <v>13</v>
      </c>
      <c r="C247" t="s">
        <v>1080</v>
      </c>
      <c r="D247" s="2">
        <v>44449</v>
      </c>
      <c r="E247" t="s">
        <v>1027</v>
      </c>
      <c r="F247" t="s">
        <v>40</v>
      </c>
      <c r="G247" t="s">
        <v>48</v>
      </c>
      <c r="H247" t="s">
        <v>944</v>
      </c>
      <c r="I247" t="s">
        <v>973</v>
      </c>
      <c r="J247" t="s">
        <v>509</v>
      </c>
      <c r="K247">
        <v>1501</v>
      </c>
      <c r="L247">
        <v>12</v>
      </c>
      <c r="M247">
        <v>38.700000000000003</v>
      </c>
      <c r="N247" t="s">
        <v>23</v>
      </c>
      <c r="O247">
        <v>0</v>
      </c>
      <c r="P247">
        <v>0</v>
      </c>
      <c r="Q247">
        <v>457</v>
      </c>
      <c r="R247">
        <v>6946</v>
      </c>
      <c r="S247">
        <v>6.0039999999999996</v>
      </c>
      <c r="T247">
        <v>38.700000000000003</v>
      </c>
      <c r="U247">
        <v>4</v>
      </c>
      <c r="V247">
        <v>9675</v>
      </c>
      <c r="W247" t="s">
        <v>1153</v>
      </c>
      <c r="X247" t="s">
        <v>1087</v>
      </c>
      <c r="Y247">
        <v>37</v>
      </c>
      <c r="Z247">
        <v>6</v>
      </c>
      <c r="AA247">
        <v>750.5</v>
      </c>
    </row>
    <row r="248" spans="1:27" x14ac:dyDescent="0.3">
      <c r="A248" s="15">
        <v>44482.796689814815</v>
      </c>
      <c r="B248" t="s">
        <v>13</v>
      </c>
      <c r="C248" t="s">
        <v>1080</v>
      </c>
      <c r="D248" s="2">
        <v>44453</v>
      </c>
      <c r="E248" t="s">
        <v>1081</v>
      </c>
      <c r="F248" t="s">
        <v>40</v>
      </c>
      <c r="G248" t="s">
        <v>48</v>
      </c>
      <c r="H248" t="s">
        <v>944</v>
      </c>
      <c r="I248" t="s">
        <v>973</v>
      </c>
      <c r="J248" t="s">
        <v>509</v>
      </c>
      <c r="K248">
        <v>1620</v>
      </c>
      <c r="L248">
        <v>12</v>
      </c>
      <c r="M248">
        <v>40.6</v>
      </c>
      <c r="N248" t="s">
        <v>23</v>
      </c>
      <c r="O248">
        <v>0</v>
      </c>
      <c r="P248">
        <v>0</v>
      </c>
      <c r="Q248">
        <v>457</v>
      </c>
      <c r="R248">
        <v>6950</v>
      </c>
      <c r="S248">
        <v>6.48</v>
      </c>
      <c r="T248">
        <v>40.6</v>
      </c>
      <c r="U248">
        <v>4</v>
      </c>
      <c r="V248">
        <v>10150</v>
      </c>
      <c r="W248" t="s">
        <v>1153</v>
      </c>
      <c r="X248" t="s">
        <v>1087</v>
      </c>
      <c r="Y248">
        <v>38</v>
      </c>
      <c r="Z248">
        <v>6</v>
      </c>
      <c r="AA248">
        <v>810</v>
      </c>
    </row>
    <row r="249" spans="1:27" x14ac:dyDescent="0.3">
      <c r="A249" s="15">
        <v>44482.797615740739</v>
      </c>
      <c r="B249" t="s">
        <v>13</v>
      </c>
      <c r="C249" t="s">
        <v>1080</v>
      </c>
      <c r="D249" s="2">
        <v>44454</v>
      </c>
      <c r="E249" t="s">
        <v>953</v>
      </c>
      <c r="F249" t="s">
        <v>40</v>
      </c>
      <c r="G249" t="s">
        <v>48</v>
      </c>
      <c r="H249" t="s">
        <v>944</v>
      </c>
      <c r="I249" t="s">
        <v>973</v>
      </c>
      <c r="J249" t="s">
        <v>509</v>
      </c>
      <c r="K249">
        <v>1533</v>
      </c>
      <c r="L249">
        <v>12</v>
      </c>
      <c r="M249">
        <v>39.1</v>
      </c>
      <c r="N249" t="s">
        <v>23</v>
      </c>
      <c r="O249">
        <v>0</v>
      </c>
      <c r="P249">
        <v>0</v>
      </c>
      <c r="Q249">
        <v>457</v>
      </c>
      <c r="R249">
        <v>6954</v>
      </c>
      <c r="S249">
        <v>6.1319999999999997</v>
      </c>
      <c r="T249">
        <v>39.1</v>
      </c>
      <c r="U249">
        <v>4</v>
      </c>
      <c r="V249">
        <v>9775</v>
      </c>
      <c r="W249" t="s">
        <v>1153</v>
      </c>
      <c r="X249" t="s">
        <v>1087</v>
      </c>
      <c r="Y249">
        <v>38</v>
      </c>
      <c r="Z249">
        <v>6</v>
      </c>
      <c r="AA249">
        <v>766.5</v>
      </c>
    </row>
    <row r="250" spans="1:27" x14ac:dyDescent="0.3">
      <c r="A250" s="15">
        <v>44477.585069444445</v>
      </c>
      <c r="B250" t="s">
        <v>13</v>
      </c>
      <c r="C250" t="s">
        <v>1080</v>
      </c>
      <c r="D250" s="2">
        <v>44454</v>
      </c>
      <c r="E250" t="s">
        <v>1081</v>
      </c>
      <c r="F250" t="s">
        <v>41</v>
      </c>
      <c r="G250" t="s">
        <v>940</v>
      </c>
      <c r="H250" t="s">
        <v>48</v>
      </c>
      <c r="I250" t="s">
        <v>961</v>
      </c>
      <c r="J250" t="s">
        <v>501</v>
      </c>
      <c r="K250">
        <v>2160</v>
      </c>
      <c r="L250">
        <v>12</v>
      </c>
      <c r="M250">
        <v>38.200000000000003</v>
      </c>
      <c r="N250" t="s">
        <v>23</v>
      </c>
      <c r="O250">
        <v>0</v>
      </c>
      <c r="P250">
        <v>3</v>
      </c>
      <c r="Q250">
        <v>438</v>
      </c>
      <c r="R250">
        <v>6747</v>
      </c>
      <c r="S250">
        <v>7.56</v>
      </c>
      <c r="T250">
        <v>38.200000000000003</v>
      </c>
      <c r="U250">
        <v>3.5</v>
      </c>
      <c r="V250">
        <v>10914.285714285714</v>
      </c>
      <c r="W250" t="s">
        <v>1153</v>
      </c>
      <c r="X250" t="s">
        <v>1087</v>
      </c>
      <c r="Y250">
        <v>38</v>
      </c>
      <c r="Z250">
        <v>4</v>
      </c>
      <c r="AA250">
        <v>720</v>
      </c>
    </row>
    <row r="251" spans="1:27" x14ac:dyDescent="0.3">
      <c r="A251" s="15">
        <v>44482.798182870371</v>
      </c>
      <c r="B251" t="s">
        <v>13</v>
      </c>
      <c r="C251" t="s">
        <v>1080</v>
      </c>
      <c r="D251" s="2">
        <v>44455</v>
      </c>
      <c r="E251" t="s">
        <v>1081</v>
      </c>
      <c r="F251" t="s">
        <v>40</v>
      </c>
      <c r="G251" t="s">
        <v>48</v>
      </c>
      <c r="H251" t="s">
        <v>944</v>
      </c>
      <c r="I251" t="s">
        <v>973</v>
      </c>
      <c r="J251" t="s">
        <v>509</v>
      </c>
      <c r="K251">
        <v>1558</v>
      </c>
      <c r="L251">
        <v>12</v>
      </c>
      <c r="M251">
        <v>40.5</v>
      </c>
      <c r="N251" t="s">
        <v>23</v>
      </c>
      <c r="O251">
        <v>0</v>
      </c>
      <c r="P251">
        <v>0</v>
      </c>
      <c r="Q251">
        <v>457</v>
      </c>
      <c r="R251">
        <v>6956</v>
      </c>
      <c r="S251">
        <v>6.2320000000000002</v>
      </c>
      <c r="T251">
        <v>40.5</v>
      </c>
      <c r="U251">
        <v>4</v>
      </c>
      <c r="V251">
        <v>10125</v>
      </c>
      <c r="W251" t="s">
        <v>1153</v>
      </c>
      <c r="X251" t="s">
        <v>1087</v>
      </c>
      <c r="Y251">
        <v>38</v>
      </c>
      <c r="Z251">
        <v>6</v>
      </c>
      <c r="AA251">
        <v>779</v>
      </c>
    </row>
    <row r="252" spans="1:27" x14ac:dyDescent="0.3">
      <c r="A252" s="15">
        <v>44482.79892361111</v>
      </c>
      <c r="B252" t="s">
        <v>13</v>
      </c>
      <c r="C252" t="s">
        <v>1080</v>
      </c>
      <c r="D252" s="2">
        <v>44456</v>
      </c>
      <c r="E252" t="s">
        <v>1081</v>
      </c>
      <c r="F252" t="s">
        <v>40</v>
      </c>
      <c r="G252" t="s">
        <v>48</v>
      </c>
      <c r="H252" t="s">
        <v>944</v>
      </c>
      <c r="I252" t="s">
        <v>973</v>
      </c>
      <c r="J252" t="s">
        <v>509</v>
      </c>
      <c r="K252">
        <v>1558</v>
      </c>
      <c r="L252">
        <v>12</v>
      </c>
      <c r="M252">
        <v>40.5</v>
      </c>
      <c r="N252" t="s">
        <v>23</v>
      </c>
      <c r="O252">
        <v>0</v>
      </c>
      <c r="P252">
        <v>0</v>
      </c>
      <c r="Q252">
        <v>457</v>
      </c>
      <c r="R252">
        <v>6958</v>
      </c>
      <c r="S252">
        <v>6.2320000000000002</v>
      </c>
      <c r="T252">
        <v>40.5</v>
      </c>
      <c r="U252">
        <v>4</v>
      </c>
      <c r="V252">
        <v>10125</v>
      </c>
      <c r="W252" t="s">
        <v>1153</v>
      </c>
      <c r="X252" t="s">
        <v>1087</v>
      </c>
      <c r="Y252">
        <v>38</v>
      </c>
      <c r="Z252">
        <v>6</v>
      </c>
      <c r="AA252">
        <v>779</v>
      </c>
    </row>
    <row r="253" spans="1:27" x14ac:dyDescent="0.3">
      <c r="A253" s="15">
        <v>44482.800416666665</v>
      </c>
      <c r="B253" t="s">
        <v>13</v>
      </c>
      <c r="C253" t="s">
        <v>1080</v>
      </c>
      <c r="D253" s="2">
        <v>44462</v>
      </c>
      <c r="E253" t="s">
        <v>953</v>
      </c>
      <c r="F253" t="s">
        <v>40</v>
      </c>
      <c r="G253" t="s">
        <v>48</v>
      </c>
      <c r="H253" t="s">
        <v>944</v>
      </c>
      <c r="I253" t="s">
        <v>1054</v>
      </c>
      <c r="J253" t="s">
        <v>484</v>
      </c>
      <c r="K253">
        <v>1045</v>
      </c>
      <c r="L253">
        <v>12</v>
      </c>
      <c r="M253">
        <v>81.599999999999994</v>
      </c>
      <c r="N253" t="s">
        <v>23</v>
      </c>
      <c r="O253">
        <v>0</v>
      </c>
      <c r="P253">
        <v>0</v>
      </c>
      <c r="Q253">
        <v>457</v>
      </c>
      <c r="R253">
        <v>6961</v>
      </c>
      <c r="S253">
        <v>12.54</v>
      </c>
      <c r="T253">
        <v>81.599999999999994</v>
      </c>
      <c r="U253">
        <v>12</v>
      </c>
      <c r="V253">
        <v>6800</v>
      </c>
      <c r="W253" t="s">
        <v>1153</v>
      </c>
      <c r="X253" t="s">
        <v>1087</v>
      </c>
      <c r="Y253">
        <v>39</v>
      </c>
      <c r="Z253">
        <v>6</v>
      </c>
      <c r="AA253">
        <v>522.5</v>
      </c>
    </row>
    <row r="254" spans="1:27" x14ac:dyDescent="0.3">
      <c r="A254" s="15">
        <v>44482.80097222222</v>
      </c>
      <c r="B254" t="s">
        <v>13</v>
      </c>
      <c r="C254" t="s">
        <v>1080</v>
      </c>
      <c r="D254" s="2">
        <v>44463</v>
      </c>
      <c r="E254" t="s">
        <v>953</v>
      </c>
      <c r="F254" t="s">
        <v>40</v>
      </c>
      <c r="G254" t="s">
        <v>48</v>
      </c>
      <c r="H254" t="s">
        <v>944</v>
      </c>
      <c r="I254" t="s">
        <v>1054</v>
      </c>
      <c r="J254" t="s">
        <v>484</v>
      </c>
      <c r="K254">
        <v>1290</v>
      </c>
      <c r="L254">
        <v>12</v>
      </c>
      <c r="M254">
        <v>99.8</v>
      </c>
      <c r="N254" t="s">
        <v>23</v>
      </c>
      <c r="O254">
        <v>0</v>
      </c>
      <c r="P254">
        <v>0</v>
      </c>
      <c r="Q254">
        <v>457</v>
      </c>
      <c r="R254">
        <v>6963</v>
      </c>
      <c r="S254">
        <v>15.48</v>
      </c>
      <c r="T254">
        <v>99.8</v>
      </c>
      <c r="U254">
        <v>12</v>
      </c>
      <c r="V254">
        <v>8316.6666666666661</v>
      </c>
      <c r="W254" t="s">
        <v>1153</v>
      </c>
      <c r="X254" t="s">
        <v>1087</v>
      </c>
      <c r="Y254">
        <v>39</v>
      </c>
      <c r="Z254">
        <v>6</v>
      </c>
      <c r="AA254">
        <v>645</v>
      </c>
    </row>
    <row r="255" spans="1:27" x14ac:dyDescent="0.3">
      <c r="A255" s="15">
        <v>44477.581053240741</v>
      </c>
      <c r="B255" t="s">
        <v>13</v>
      </c>
      <c r="C255" t="s">
        <v>1028</v>
      </c>
      <c r="D255" s="2">
        <v>44447</v>
      </c>
      <c r="E255" t="s">
        <v>953</v>
      </c>
      <c r="F255" t="s">
        <v>41</v>
      </c>
      <c r="G255" t="s">
        <v>943</v>
      </c>
      <c r="H255" t="s">
        <v>48</v>
      </c>
      <c r="I255" t="s">
        <v>1127</v>
      </c>
      <c r="J255" t="s">
        <v>1124</v>
      </c>
      <c r="K255">
        <v>388</v>
      </c>
      <c r="L255">
        <v>5</v>
      </c>
      <c r="M255">
        <v>34.14</v>
      </c>
      <c r="N255" t="s">
        <v>23</v>
      </c>
      <c r="O255">
        <v>0</v>
      </c>
      <c r="P255">
        <v>4</v>
      </c>
      <c r="Q255">
        <v>455</v>
      </c>
      <c r="R255">
        <v>6741</v>
      </c>
      <c r="S255">
        <v>8.5359999999999996</v>
      </c>
      <c r="T255">
        <v>34.14</v>
      </c>
      <c r="U255">
        <v>22</v>
      </c>
      <c r="V255">
        <v>1551.8181818181818</v>
      </c>
      <c r="W255" t="s">
        <v>1153</v>
      </c>
      <c r="X255" t="s">
        <v>1087</v>
      </c>
      <c r="Y255">
        <v>37</v>
      </c>
      <c r="Z255">
        <v>4</v>
      </c>
      <c r="AA255">
        <v>129.33333333333334</v>
      </c>
    </row>
    <row r="256" spans="1:27" x14ac:dyDescent="0.3">
      <c r="A256" s="15">
        <v>44477.580497685187</v>
      </c>
      <c r="B256" t="s">
        <v>13</v>
      </c>
      <c r="C256" t="s">
        <v>1028</v>
      </c>
      <c r="D256" s="2">
        <v>44447</v>
      </c>
      <c r="E256" t="s">
        <v>953</v>
      </c>
      <c r="F256" t="s">
        <v>41</v>
      </c>
      <c r="G256" t="s">
        <v>943</v>
      </c>
      <c r="H256" t="s">
        <v>48</v>
      </c>
      <c r="I256" t="s">
        <v>1127</v>
      </c>
      <c r="J256" t="s">
        <v>1122</v>
      </c>
      <c r="K256">
        <v>80</v>
      </c>
      <c r="L256">
        <v>1</v>
      </c>
      <c r="M256">
        <v>7.04</v>
      </c>
      <c r="N256" t="s">
        <v>23</v>
      </c>
      <c r="O256">
        <v>0</v>
      </c>
      <c r="P256">
        <v>1</v>
      </c>
      <c r="Q256">
        <v>455</v>
      </c>
      <c r="R256">
        <v>6741</v>
      </c>
      <c r="S256">
        <v>1.76</v>
      </c>
      <c r="T256">
        <v>7.04</v>
      </c>
      <c r="U256">
        <v>22</v>
      </c>
      <c r="V256">
        <v>320</v>
      </c>
      <c r="W256" t="s">
        <v>1153</v>
      </c>
      <c r="X256" t="s">
        <v>1087</v>
      </c>
      <c r="Y256">
        <v>37</v>
      </c>
      <c r="Z256">
        <v>4</v>
      </c>
      <c r="AA256">
        <v>26.666666666666668</v>
      </c>
    </row>
    <row r="257" spans="1:27" x14ac:dyDescent="0.3">
      <c r="A257" s="15">
        <v>44477.597349537034</v>
      </c>
      <c r="B257" t="s">
        <v>13</v>
      </c>
      <c r="C257" t="s">
        <v>1028</v>
      </c>
      <c r="D257" s="2">
        <v>44457</v>
      </c>
      <c r="E257" t="s">
        <v>953</v>
      </c>
      <c r="F257" t="s">
        <v>41</v>
      </c>
      <c r="G257" t="s">
        <v>950</v>
      </c>
      <c r="H257" t="s">
        <v>951</v>
      </c>
      <c r="I257" t="s">
        <v>1103</v>
      </c>
      <c r="J257" t="s">
        <v>1102</v>
      </c>
      <c r="K257">
        <v>559</v>
      </c>
      <c r="L257">
        <v>7</v>
      </c>
      <c r="M257">
        <v>15.65</v>
      </c>
      <c r="N257" t="s">
        <v>23</v>
      </c>
      <c r="O257">
        <v>0</v>
      </c>
      <c r="P257">
        <v>2</v>
      </c>
      <c r="Q257">
        <v>463</v>
      </c>
      <c r="R257">
        <v>6751</v>
      </c>
      <c r="S257">
        <v>15.651999999999999</v>
      </c>
      <c r="T257">
        <v>15.65</v>
      </c>
      <c r="U257">
        <v>28</v>
      </c>
      <c r="V257">
        <v>558.92857142857144</v>
      </c>
      <c r="W257" t="s">
        <v>1153</v>
      </c>
      <c r="X257" t="s">
        <v>1087</v>
      </c>
      <c r="Y257">
        <v>38</v>
      </c>
      <c r="Z257">
        <v>1</v>
      </c>
      <c r="AA257">
        <v>46.583333333333336</v>
      </c>
    </row>
    <row r="258" spans="1:27" x14ac:dyDescent="0.3">
      <c r="A258" s="15">
        <v>44477.596863425926</v>
      </c>
      <c r="B258" t="s">
        <v>13</v>
      </c>
      <c r="C258" t="s">
        <v>1028</v>
      </c>
      <c r="D258" s="2">
        <v>44457</v>
      </c>
      <c r="E258" t="s">
        <v>953</v>
      </c>
      <c r="F258" t="s">
        <v>41</v>
      </c>
      <c r="G258" t="s">
        <v>950</v>
      </c>
      <c r="H258" t="s">
        <v>951</v>
      </c>
      <c r="I258" t="s">
        <v>1103</v>
      </c>
      <c r="J258" t="s">
        <v>1101</v>
      </c>
      <c r="K258">
        <v>1000</v>
      </c>
      <c r="L258">
        <v>7</v>
      </c>
      <c r="M258">
        <v>28.3</v>
      </c>
      <c r="N258" t="s">
        <v>23</v>
      </c>
      <c r="O258">
        <v>0</v>
      </c>
      <c r="P258">
        <v>3</v>
      </c>
      <c r="Q258">
        <v>463</v>
      </c>
      <c r="R258">
        <v>6751</v>
      </c>
      <c r="S258">
        <v>28</v>
      </c>
      <c r="T258">
        <v>28.3</v>
      </c>
      <c r="U258">
        <v>28</v>
      </c>
      <c r="V258">
        <v>1010.7142857142857</v>
      </c>
      <c r="W258" t="s">
        <v>1153</v>
      </c>
      <c r="X258" t="s">
        <v>1087</v>
      </c>
      <c r="Y258">
        <v>38</v>
      </c>
      <c r="Z258">
        <v>1</v>
      </c>
      <c r="AA258">
        <v>83.333333333333329</v>
      </c>
    </row>
    <row r="259" spans="1:27" x14ac:dyDescent="0.3">
      <c r="A259" s="15">
        <v>44477.599942129629</v>
      </c>
      <c r="B259" t="s">
        <v>13</v>
      </c>
      <c r="C259" t="s">
        <v>1028</v>
      </c>
      <c r="D259" s="2">
        <v>44459</v>
      </c>
      <c r="E259" t="s">
        <v>1081</v>
      </c>
      <c r="F259" t="s">
        <v>41</v>
      </c>
      <c r="G259" t="s">
        <v>950</v>
      </c>
      <c r="H259" t="s">
        <v>951</v>
      </c>
      <c r="I259" t="s">
        <v>1103</v>
      </c>
      <c r="J259" t="s">
        <v>1102</v>
      </c>
      <c r="K259">
        <v>1945</v>
      </c>
      <c r="L259">
        <v>12</v>
      </c>
      <c r="M259">
        <v>54.46</v>
      </c>
      <c r="N259" t="s">
        <v>23</v>
      </c>
      <c r="O259">
        <v>0</v>
      </c>
      <c r="P259">
        <v>8</v>
      </c>
      <c r="Q259">
        <v>463</v>
      </c>
      <c r="R259">
        <v>6753</v>
      </c>
      <c r="S259">
        <v>54.46</v>
      </c>
      <c r="T259">
        <v>54.46</v>
      </c>
      <c r="U259">
        <v>28</v>
      </c>
      <c r="V259">
        <v>1945</v>
      </c>
      <c r="W259" t="s">
        <v>1153</v>
      </c>
      <c r="X259" t="s">
        <v>1087</v>
      </c>
      <c r="Y259">
        <v>39</v>
      </c>
      <c r="Z259">
        <v>1</v>
      </c>
      <c r="AA259">
        <v>162.08333333333334</v>
      </c>
    </row>
    <row r="260" spans="1:27" x14ac:dyDescent="0.3">
      <c r="A260" s="15">
        <v>44477.60491898148</v>
      </c>
      <c r="B260" t="s">
        <v>13</v>
      </c>
      <c r="C260" t="s">
        <v>1028</v>
      </c>
      <c r="D260" s="2">
        <v>44460</v>
      </c>
      <c r="E260" t="s">
        <v>1133</v>
      </c>
      <c r="F260" t="s">
        <v>41</v>
      </c>
      <c r="G260" t="s">
        <v>950</v>
      </c>
      <c r="H260" t="s">
        <v>951</v>
      </c>
      <c r="I260" t="s">
        <v>1103</v>
      </c>
      <c r="J260" t="s">
        <v>1099</v>
      </c>
      <c r="K260">
        <v>1820</v>
      </c>
      <c r="L260">
        <v>12</v>
      </c>
      <c r="M260">
        <v>50.96</v>
      </c>
      <c r="N260" t="s">
        <v>23</v>
      </c>
      <c r="O260">
        <v>0</v>
      </c>
      <c r="P260">
        <v>3</v>
      </c>
      <c r="Q260">
        <v>463</v>
      </c>
      <c r="R260">
        <v>6755</v>
      </c>
      <c r="S260">
        <v>50.96</v>
      </c>
      <c r="T260">
        <v>50.96</v>
      </c>
      <c r="U260">
        <v>28</v>
      </c>
      <c r="V260">
        <v>1820</v>
      </c>
      <c r="W260" t="s">
        <v>1153</v>
      </c>
      <c r="X260" t="s">
        <v>1087</v>
      </c>
      <c r="Y260">
        <v>39</v>
      </c>
      <c r="Z260">
        <v>1</v>
      </c>
      <c r="AA260">
        <v>151.66666666666666</v>
      </c>
    </row>
    <row r="261" spans="1:27" x14ac:dyDescent="0.3">
      <c r="A261" s="15">
        <v>44477.601458333331</v>
      </c>
      <c r="B261" t="s">
        <v>13</v>
      </c>
      <c r="C261" t="s">
        <v>1028</v>
      </c>
      <c r="D261" s="2">
        <v>44460</v>
      </c>
      <c r="E261" t="s">
        <v>1133</v>
      </c>
      <c r="F261" t="s">
        <v>41</v>
      </c>
      <c r="G261" t="s">
        <v>950</v>
      </c>
      <c r="H261" t="s">
        <v>951</v>
      </c>
      <c r="I261" t="s">
        <v>1103</v>
      </c>
      <c r="J261" t="s">
        <v>1102</v>
      </c>
      <c r="K261">
        <v>160</v>
      </c>
      <c r="L261">
        <v>3</v>
      </c>
      <c r="M261">
        <v>4.4800000000000004</v>
      </c>
      <c r="N261" t="s">
        <v>23</v>
      </c>
      <c r="O261">
        <v>0</v>
      </c>
      <c r="P261">
        <v>1</v>
      </c>
      <c r="Q261">
        <v>463</v>
      </c>
      <c r="R261">
        <v>6754</v>
      </c>
      <c r="S261">
        <v>4.4800000000000004</v>
      </c>
      <c r="T261">
        <v>4.4800000000000004</v>
      </c>
      <c r="U261">
        <v>28</v>
      </c>
      <c r="V261">
        <v>160</v>
      </c>
      <c r="W261" t="s">
        <v>1153</v>
      </c>
      <c r="X261" t="s">
        <v>1087</v>
      </c>
      <c r="Y261">
        <v>39</v>
      </c>
      <c r="Z261">
        <v>1</v>
      </c>
      <c r="AA261">
        <v>13.333333333333334</v>
      </c>
    </row>
    <row r="262" spans="1:27" x14ac:dyDescent="0.3">
      <c r="A262" s="15">
        <v>44477.606805555559</v>
      </c>
      <c r="B262" t="s">
        <v>13</v>
      </c>
      <c r="C262" t="s">
        <v>1028</v>
      </c>
      <c r="D262" s="2">
        <v>44461</v>
      </c>
      <c r="E262" t="s">
        <v>1081</v>
      </c>
      <c r="F262" t="s">
        <v>41</v>
      </c>
      <c r="G262" t="s">
        <v>950</v>
      </c>
      <c r="H262" t="s">
        <v>951</v>
      </c>
      <c r="I262" t="s">
        <v>1103</v>
      </c>
      <c r="J262" t="s">
        <v>1100</v>
      </c>
      <c r="K262">
        <v>1920</v>
      </c>
      <c r="L262">
        <v>12</v>
      </c>
      <c r="M262">
        <v>53.76</v>
      </c>
      <c r="N262" t="s">
        <v>23</v>
      </c>
      <c r="O262">
        <v>0</v>
      </c>
      <c r="P262">
        <v>8</v>
      </c>
      <c r="Q262">
        <v>463</v>
      </c>
      <c r="R262">
        <v>6758</v>
      </c>
      <c r="S262">
        <v>53.76</v>
      </c>
      <c r="T262">
        <v>53.76</v>
      </c>
      <c r="U262">
        <v>28</v>
      </c>
      <c r="V262">
        <v>1920</v>
      </c>
      <c r="W262" t="s">
        <v>1153</v>
      </c>
      <c r="X262" t="s">
        <v>1087</v>
      </c>
      <c r="Y262">
        <v>39</v>
      </c>
      <c r="Z262">
        <v>1</v>
      </c>
      <c r="AA262">
        <v>160</v>
      </c>
    </row>
    <row r="263" spans="1:27" x14ac:dyDescent="0.3">
      <c r="A263" s="15">
        <v>44482.657025462962</v>
      </c>
      <c r="B263" t="s">
        <v>13</v>
      </c>
      <c r="C263" t="s">
        <v>1028</v>
      </c>
      <c r="D263" s="2">
        <v>44469</v>
      </c>
      <c r="E263" t="s">
        <v>1081</v>
      </c>
      <c r="F263" t="s">
        <v>41</v>
      </c>
      <c r="G263" t="s">
        <v>950</v>
      </c>
      <c r="H263" t="s">
        <v>951</v>
      </c>
      <c r="I263" t="s">
        <v>1103</v>
      </c>
      <c r="J263" t="s">
        <v>1102</v>
      </c>
      <c r="K263">
        <v>902</v>
      </c>
      <c r="L263">
        <v>6</v>
      </c>
      <c r="M263">
        <v>25.26</v>
      </c>
      <c r="N263" t="s">
        <v>23</v>
      </c>
      <c r="O263">
        <v>0</v>
      </c>
      <c r="P263">
        <v>4</v>
      </c>
      <c r="Q263">
        <v>463</v>
      </c>
      <c r="R263">
        <v>6766</v>
      </c>
      <c r="S263">
        <v>25.256</v>
      </c>
      <c r="T263">
        <v>25.26</v>
      </c>
      <c r="U263">
        <v>28</v>
      </c>
      <c r="V263">
        <v>902.14285714285711</v>
      </c>
      <c r="W263" t="s">
        <v>1153</v>
      </c>
      <c r="X263" t="s">
        <v>1087</v>
      </c>
      <c r="Y263">
        <v>40</v>
      </c>
      <c r="Z263">
        <v>1</v>
      </c>
      <c r="AA263">
        <v>75.166666666666671</v>
      </c>
    </row>
    <row r="264" spans="1:27" x14ac:dyDescent="0.3">
      <c r="A264" s="15">
        <v>44482.656597222223</v>
      </c>
      <c r="B264" t="s">
        <v>13</v>
      </c>
      <c r="C264" t="s">
        <v>1028</v>
      </c>
      <c r="D264" s="2">
        <v>44469</v>
      </c>
      <c r="E264" t="s">
        <v>1081</v>
      </c>
      <c r="F264" t="s">
        <v>41</v>
      </c>
      <c r="G264" t="s">
        <v>950</v>
      </c>
      <c r="H264" t="s">
        <v>951</v>
      </c>
      <c r="I264" t="s">
        <v>1103</v>
      </c>
      <c r="J264" t="s">
        <v>1099</v>
      </c>
      <c r="K264">
        <v>732</v>
      </c>
      <c r="L264">
        <v>5</v>
      </c>
      <c r="M264">
        <v>20.49</v>
      </c>
      <c r="N264" t="s">
        <v>23</v>
      </c>
      <c r="O264">
        <v>0</v>
      </c>
      <c r="P264">
        <v>3</v>
      </c>
      <c r="Q264">
        <v>463</v>
      </c>
      <c r="R264">
        <v>6766</v>
      </c>
      <c r="S264">
        <v>20.495999999999999</v>
      </c>
      <c r="T264">
        <v>20.49</v>
      </c>
      <c r="U264">
        <v>28</v>
      </c>
      <c r="V264">
        <v>731.78571428571433</v>
      </c>
      <c r="W264" t="s">
        <v>1153</v>
      </c>
      <c r="X264" t="s">
        <v>1087</v>
      </c>
      <c r="Y264">
        <v>40</v>
      </c>
      <c r="Z264">
        <v>1</v>
      </c>
      <c r="AA264">
        <v>61</v>
      </c>
    </row>
    <row r="265" spans="1:27" x14ac:dyDescent="0.3">
      <c r="A265" s="15">
        <v>44482.708611111113</v>
      </c>
      <c r="B265" t="s">
        <v>12</v>
      </c>
      <c r="C265" t="s">
        <v>1078</v>
      </c>
      <c r="D265" s="2">
        <v>44449</v>
      </c>
      <c r="E265" t="s">
        <v>953</v>
      </c>
      <c r="F265" t="s">
        <v>41</v>
      </c>
      <c r="G265" t="s">
        <v>942</v>
      </c>
      <c r="H265" t="s">
        <v>48</v>
      </c>
      <c r="I265" t="s">
        <v>1140</v>
      </c>
      <c r="J265" t="s">
        <v>1137</v>
      </c>
      <c r="K265">
        <v>540</v>
      </c>
      <c r="L265">
        <v>5</v>
      </c>
      <c r="M265">
        <v>26.7</v>
      </c>
      <c r="N265" t="s">
        <v>23</v>
      </c>
      <c r="O265">
        <v>0</v>
      </c>
      <c r="P265">
        <v>4</v>
      </c>
      <c r="R265">
        <v>7022</v>
      </c>
      <c r="S265">
        <v>27</v>
      </c>
      <c r="T265">
        <v>26.7</v>
      </c>
      <c r="U265">
        <v>50</v>
      </c>
      <c r="V265">
        <v>534</v>
      </c>
      <c r="W265" t="s">
        <v>1153</v>
      </c>
      <c r="X265" t="s">
        <v>1087</v>
      </c>
      <c r="Y265">
        <v>37</v>
      </c>
      <c r="Z265">
        <v>1</v>
      </c>
      <c r="AA265">
        <v>45</v>
      </c>
    </row>
    <row r="266" spans="1:27" x14ac:dyDescent="0.3">
      <c r="A266" s="15">
        <v>44482.708310185182</v>
      </c>
      <c r="B266" t="s">
        <v>12</v>
      </c>
      <c r="C266" t="s">
        <v>1078</v>
      </c>
      <c r="D266" s="2">
        <v>44449</v>
      </c>
      <c r="E266" t="s">
        <v>953</v>
      </c>
      <c r="F266" t="s">
        <v>41</v>
      </c>
      <c r="G266" t="s">
        <v>942</v>
      </c>
      <c r="H266" t="s">
        <v>48</v>
      </c>
      <c r="I266" t="s">
        <v>1140</v>
      </c>
      <c r="J266" t="s">
        <v>1138</v>
      </c>
      <c r="K266">
        <v>782</v>
      </c>
      <c r="L266">
        <v>5</v>
      </c>
      <c r="M266">
        <v>39.200000000000003</v>
      </c>
      <c r="N266" t="s">
        <v>23</v>
      </c>
      <c r="O266">
        <v>0</v>
      </c>
      <c r="P266">
        <v>6</v>
      </c>
      <c r="R266">
        <v>7022</v>
      </c>
      <c r="S266">
        <v>39.1</v>
      </c>
      <c r="T266">
        <v>39.200000000000003</v>
      </c>
      <c r="U266">
        <v>50</v>
      </c>
      <c r="V266">
        <v>784</v>
      </c>
      <c r="W266" t="s">
        <v>1153</v>
      </c>
      <c r="X266" t="s">
        <v>1087</v>
      </c>
      <c r="Y266">
        <v>37</v>
      </c>
      <c r="Z266">
        <v>1</v>
      </c>
      <c r="AA266">
        <v>65.166666666666671</v>
      </c>
    </row>
    <row r="267" spans="1:27" x14ac:dyDescent="0.3">
      <c r="A267" s="15">
        <v>44482.711064814815</v>
      </c>
      <c r="B267" t="s">
        <v>12</v>
      </c>
      <c r="C267" t="s">
        <v>1078</v>
      </c>
      <c r="D267" s="2">
        <v>44450</v>
      </c>
      <c r="E267" t="s">
        <v>1027</v>
      </c>
      <c r="F267" t="s">
        <v>41</v>
      </c>
      <c r="G267" t="s">
        <v>942</v>
      </c>
      <c r="H267" t="s">
        <v>48</v>
      </c>
      <c r="I267" t="s">
        <v>1140</v>
      </c>
      <c r="J267" t="s">
        <v>1135</v>
      </c>
      <c r="K267">
        <v>80</v>
      </c>
      <c r="L267">
        <v>2</v>
      </c>
      <c r="M267">
        <v>4</v>
      </c>
      <c r="N267" t="s">
        <v>23</v>
      </c>
      <c r="O267">
        <v>0</v>
      </c>
      <c r="P267">
        <v>1</v>
      </c>
      <c r="R267">
        <v>7024</v>
      </c>
      <c r="S267">
        <v>4</v>
      </c>
      <c r="T267">
        <v>4</v>
      </c>
      <c r="U267">
        <v>50</v>
      </c>
      <c r="V267">
        <v>80</v>
      </c>
      <c r="W267" t="s">
        <v>1153</v>
      </c>
      <c r="X267" t="s">
        <v>1087</v>
      </c>
      <c r="Y267">
        <v>37</v>
      </c>
      <c r="Z267">
        <v>1</v>
      </c>
      <c r="AA267">
        <v>6.666666666666667</v>
      </c>
    </row>
    <row r="268" spans="1:27" x14ac:dyDescent="0.3">
      <c r="A268" s="15">
        <v>44482.710682870369</v>
      </c>
      <c r="B268" t="s">
        <v>12</v>
      </c>
      <c r="C268" t="s">
        <v>1078</v>
      </c>
      <c r="D268" s="2">
        <v>44450</v>
      </c>
      <c r="E268" t="s">
        <v>1027</v>
      </c>
      <c r="F268" t="s">
        <v>41</v>
      </c>
      <c r="G268" t="s">
        <v>942</v>
      </c>
      <c r="H268" t="s">
        <v>48</v>
      </c>
      <c r="I268" t="s">
        <v>1140</v>
      </c>
      <c r="J268" t="s">
        <v>1136</v>
      </c>
      <c r="K268">
        <v>1200</v>
      </c>
      <c r="L268">
        <v>10</v>
      </c>
      <c r="M268">
        <v>54.4</v>
      </c>
      <c r="N268" t="s">
        <v>23</v>
      </c>
      <c r="O268">
        <v>0</v>
      </c>
      <c r="P268">
        <v>8</v>
      </c>
      <c r="R268">
        <v>7024</v>
      </c>
      <c r="S268">
        <v>60</v>
      </c>
      <c r="T268">
        <v>54.4</v>
      </c>
      <c r="U268">
        <v>50</v>
      </c>
      <c r="V268">
        <v>1088</v>
      </c>
      <c r="W268" t="s">
        <v>1153</v>
      </c>
      <c r="X268" t="s">
        <v>1087</v>
      </c>
      <c r="Y268">
        <v>37</v>
      </c>
      <c r="Z268">
        <v>1</v>
      </c>
      <c r="AA268">
        <v>100</v>
      </c>
    </row>
    <row r="269" spans="1:27" x14ac:dyDescent="0.3">
      <c r="A269" s="15">
        <v>44483.640162037038</v>
      </c>
      <c r="B269" t="s">
        <v>12</v>
      </c>
      <c r="C269" t="s">
        <v>1030</v>
      </c>
      <c r="D269" s="2">
        <v>44468</v>
      </c>
      <c r="E269" t="s">
        <v>1027</v>
      </c>
      <c r="F269" t="s">
        <v>41</v>
      </c>
      <c r="G269" t="s">
        <v>941</v>
      </c>
      <c r="H269" t="s">
        <v>48</v>
      </c>
      <c r="I269" t="s">
        <v>1152</v>
      </c>
      <c r="J269" t="s">
        <v>133</v>
      </c>
      <c r="K269">
        <v>1351</v>
      </c>
      <c r="L269">
        <v>12</v>
      </c>
      <c r="M269">
        <v>116.2</v>
      </c>
      <c r="N269" t="s">
        <v>23</v>
      </c>
      <c r="O269">
        <v>0</v>
      </c>
      <c r="P269">
        <v>15</v>
      </c>
      <c r="Q269">
        <v>470</v>
      </c>
      <c r="R269">
        <v>6591</v>
      </c>
      <c r="S269">
        <v>118.88800000000001</v>
      </c>
      <c r="T269">
        <v>116.2</v>
      </c>
      <c r="U269">
        <v>88</v>
      </c>
      <c r="V269">
        <v>1320.4545454545455</v>
      </c>
      <c r="W269" t="s">
        <v>1153</v>
      </c>
      <c r="X269" t="s">
        <v>1087</v>
      </c>
      <c r="Y269">
        <v>40</v>
      </c>
      <c r="Z269">
        <v>1</v>
      </c>
      <c r="AA269">
        <v>112.58333333333333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3"/>
  <dimension ref="A1:AA269"/>
  <sheetViews>
    <sheetView workbookViewId="0">
      <selection activeCell="H16" sqref="H16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44483.69054398148</v>
      </c>
      <c r="B2" t="s">
        <v>13</v>
      </c>
      <c r="C2" t="s">
        <v>1060</v>
      </c>
      <c r="D2" s="2">
        <v>44440</v>
      </c>
      <c r="E2" t="s">
        <v>1105</v>
      </c>
      <c r="F2" t="s">
        <v>41</v>
      </c>
      <c r="G2" t="s">
        <v>940</v>
      </c>
      <c r="H2" t="s">
        <v>48</v>
      </c>
      <c r="I2" t="s">
        <v>966</v>
      </c>
      <c r="J2" t="s">
        <v>481</v>
      </c>
      <c r="K2">
        <v>365</v>
      </c>
      <c r="L2">
        <v>3</v>
      </c>
      <c r="M2">
        <v>42.4</v>
      </c>
      <c r="N2" t="s">
        <v>21</v>
      </c>
      <c r="O2">
        <v>0</v>
      </c>
      <c r="P2">
        <v>4</v>
      </c>
      <c r="Q2">
        <v>448</v>
      </c>
      <c r="R2">
        <v>6634</v>
      </c>
      <c r="S2">
        <v>21.17</v>
      </c>
      <c r="T2">
        <v>42.4</v>
      </c>
      <c r="U2">
        <v>58</v>
      </c>
      <c r="V2">
        <v>731.0344827586207</v>
      </c>
      <c r="W2" t="s">
        <v>1153</v>
      </c>
      <c r="X2" t="s">
        <v>1087</v>
      </c>
      <c r="Y2">
        <v>36</v>
      </c>
      <c r="Z2">
        <v>2</v>
      </c>
      <c r="AA2">
        <v>60.833333333333336</v>
      </c>
    </row>
    <row r="3" spans="1:27" x14ac:dyDescent="0.3">
      <c r="A3" s="15">
        <v>44483.698888888888</v>
      </c>
      <c r="B3" t="s">
        <v>13</v>
      </c>
      <c r="C3" t="s">
        <v>1060</v>
      </c>
      <c r="D3" s="2">
        <v>44441</v>
      </c>
      <c r="E3" t="s">
        <v>1105</v>
      </c>
      <c r="F3" t="s">
        <v>41</v>
      </c>
      <c r="G3" t="s">
        <v>940</v>
      </c>
      <c r="H3" t="s">
        <v>48</v>
      </c>
      <c r="I3" t="s">
        <v>966</v>
      </c>
      <c r="J3" t="s">
        <v>485</v>
      </c>
      <c r="K3">
        <v>503</v>
      </c>
      <c r="L3">
        <v>5</v>
      </c>
      <c r="M3">
        <v>57.1</v>
      </c>
      <c r="N3" t="s">
        <v>21</v>
      </c>
      <c r="O3">
        <v>0</v>
      </c>
      <c r="P3">
        <v>6</v>
      </c>
      <c r="Q3">
        <v>448</v>
      </c>
      <c r="R3">
        <v>6635</v>
      </c>
      <c r="S3">
        <v>44.767000000000003</v>
      </c>
      <c r="T3">
        <v>57.1</v>
      </c>
      <c r="U3">
        <v>89</v>
      </c>
      <c r="V3">
        <v>641.57303370786519</v>
      </c>
      <c r="W3" t="s">
        <v>1153</v>
      </c>
      <c r="X3" t="s">
        <v>1087</v>
      </c>
      <c r="Y3">
        <v>36</v>
      </c>
      <c r="Z3">
        <v>1</v>
      </c>
      <c r="AA3">
        <v>41.916666666666664</v>
      </c>
    </row>
    <row r="4" spans="1:27" x14ac:dyDescent="0.3">
      <c r="A4" s="15">
        <v>44483.700150462966</v>
      </c>
      <c r="B4" t="s">
        <v>13</v>
      </c>
      <c r="C4" t="s">
        <v>1060</v>
      </c>
      <c r="D4" s="2">
        <v>44442</v>
      </c>
      <c r="E4" t="s">
        <v>1082</v>
      </c>
      <c r="F4" t="s">
        <v>41</v>
      </c>
      <c r="G4" t="s">
        <v>940</v>
      </c>
      <c r="H4" t="s">
        <v>48</v>
      </c>
      <c r="I4" t="s">
        <v>966</v>
      </c>
      <c r="J4" t="s">
        <v>479</v>
      </c>
      <c r="K4">
        <v>360</v>
      </c>
      <c r="L4">
        <v>4</v>
      </c>
      <c r="M4">
        <v>39.5</v>
      </c>
      <c r="N4" t="s">
        <v>21</v>
      </c>
      <c r="O4">
        <v>0</v>
      </c>
      <c r="P4">
        <v>3</v>
      </c>
      <c r="Q4">
        <v>448</v>
      </c>
      <c r="R4">
        <v>6636</v>
      </c>
      <c r="S4">
        <v>20.88</v>
      </c>
      <c r="T4">
        <v>39.5</v>
      </c>
      <c r="U4">
        <v>58</v>
      </c>
      <c r="V4">
        <v>681.0344827586207</v>
      </c>
      <c r="W4" t="s">
        <v>1153</v>
      </c>
      <c r="X4" t="s">
        <v>1087</v>
      </c>
      <c r="Y4">
        <v>36</v>
      </c>
      <c r="Z4">
        <v>2</v>
      </c>
      <c r="AA4">
        <v>60</v>
      </c>
    </row>
    <row r="5" spans="1:27" x14ac:dyDescent="0.3">
      <c r="A5" s="15">
        <v>44483.699780092589</v>
      </c>
      <c r="B5" t="s">
        <v>13</v>
      </c>
      <c r="C5" t="s">
        <v>1060</v>
      </c>
      <c r="D5" s="2">
        <v>44442</v>
      </c>
      <c r="E5" t="s">
        <v>1082</v>
      </c>
      <c r="F5" t="s">
        <v>41</v>
      </c>
      <c r="G5" t="s">
        <v>940</v>
      </c>
      <c r="H5" t="s">
        <v>48</v>
      </c>
      <c r="I5" t="s">
        <v>966</v>
      </c>
      <c r="J5" t="s">
        <v>478</v>
      </c>
      <c r="K5">
        <v>835</v>
      </c>
      <c r="L5">
        <v>7</v>
      </c>
      <c r="M5">
        <v>96</v>
      </c>
      <c r="N5" t="s">
        <v>21</v>
      </c>
      <c r="O5">
        <v>0</v>
      </c>
      <c r="P5">
        <v>6</v>
      </c>
      <c r="Q5">
        <v>448</v>
      </c>
      <c r="R5">
        <v>6636</v>
      </c>
      <c r="S5">
        <v>48.43</v>
      </c>
      <c r="T5">
        <v>96</v>
      </c>
      <c r="U5">
        <v>58</v>
      </c>
      <c r="V5">
        <v>1655.1724137931035</v>
      </c>
      <c r="W5" t="s">
        <v>1153</v>
      </c>
      <c r="X5" t="s">
        <v>1087</v>
      </c>
      <c r="Y5">
        <v>36</v>
      </c>
      <c r="Z5">
        <v>2</v>
      </c>
      <c r="AA5">
        <v>139.16666666666666</v>
      </c>
    </row>
    <row r="6" spans="1:27" x14ac:dyDescent="0.3">
      <c r="A6" s="15">
        <v>44483.700555555559</v>
      </c>
      <c r="B6" t="s">
        <v>13</v>
      </c>
      <c r="C6" t="s">
        <v>1060</v>
      </c>
      <c r="D6" s="2">
        <v>44443</v>
      </c>
      <c r="E6" t="s">
        <v>1114</v>
      </c>
      <c r="F6" t="s">
        <v>41</v>
      </c>
      <c r="G6" t="s">
        <v>940</v>
      </c>
      <c r="H6" t="s">
        <v>48</v>
      </c>
      <c r="I6" t="s">
        <v>966</v>
      </c>
      <c r="J6" t="s">
        <v>479</v>
      </c>
      <c r="K6">
        <v>626</v>
      </c>
      <c r="L6">
        <v>7</v>
      </c>
      <c r="M6">
        <v>68.8</v>
      </c>
      <c r="N6" t="s">
        <v>21</v>
      </c>
      <c r="O6">
        <v>0</v>
      </c>
      <c r="P6">
        <v>3</v>
      </c>
      <c r="Q6">
        <v>448</v>
      </c>
      <c r="R6">
        <v>6637</v>
      </c>
      <c r="S6">
        <v>36.308</v>
      </c>
      <c r="T6">
        <v>68.8</v>
      </c>
      <c r="U6">
        <v>58</v>
      </c>
      <c r="V6">
        <v>1186.2068965517242</v>
      </c>
      <c r="W6" t="s">
        <v>1153</v>
      </c>
      <c r="X6" t="s">
        <v>1087</v>
      </c>
      <c r="Y6">
        <v>36</v>
      </c>
      <c r="Z6">
        <v>2</v>
      </c>
      <c r="AA6">
        <v>104.33333333333333</v>
      </c>
    </row>
    <row r="7" spans="1:27" x14ac:dyDescent="0.3">
      <c r="A7" s="15">
        <v>44483.727407407408</v>
      </c>
      <c r="B7" t="s">
        <v>13</v>
      </c>
      <c r="C7" t="s">
        <v>1060</v>
      </c>
      <c r="D7" s="2">
        <v>44451</v>
      </c>
      <c r="E7" t="s">
        <v>1033</v>
      </c>
      <c r="F7" t="s">
        <v>41</v>
      </c>
      <c r="G7" t="s">
        <v>940</v>
      </c>
      <c r="H7" t="s">
        <v>48</v>
      </c>
      <c r="I7" t="s">
        <v>1023</v>
      </c>
      <c r="J7" t="s">
        <v>150</v>
      </c>
      <c r="K7">
        <v>706</v>
      </c>
      <c r="L7">
        <v>8</v>
      </c>
      <c r="M7">
        <v>121.08</v>
      </c>
      <c r="N7" t="s">
        <v>21</v>
      </c>
      <c r="O7">
        <v>0</v>
      </c>
      <c r="P7">
        <v>23</v>
      </c>
      <c r="Q7">
        <v>448</v>
      </c>
      <c r="R7">
        <v>6640</v>
      </c>
      <c r="S7">
        <v>60.716000000000001</v>
      </c>
      <c r="T7">
        <v>121.08</v>
      </c>
      <c r="U7">
        <v>86</v>
      </c>
      <c r="V7">
        <v>1407.9069767441861</v>
      </c>
      <c r="W7" t="s">
        <v>1153</v>
      </c>
      <c r="X7" t="s">
        <v>1087</v>
      </c>
      <c r="Y7">
        <v>37</v>
      </c>
      <c r="Z7">
        <v>2</v>
      </c>
      <c r="AA7">
        <v>117.66666666666667</v>
      </c>
    </row>
    <row r="8" spans="1:27" x14ac:dyDescent="0.3">
      <c r="A8" s="15">
        <v>44483.728993055556</v>
      </c>
      <c r="B8" t="s">
        <v>13</v>
      </c>
      <c r="C8" t="s">
        <v>1060</v>
      </c>
      <c r="D8" s="2">
        <v>44452</v>
      </c>
      <c r="E8" t="s">
        <v>1082</v>
      </c>
      <c r="F8" t="s">
        <v>41</v>
      </c>
      <c r="G8" t="s">
        <v>940</v>
      </c>
      <c r="H8" t="s">
        <v>48</v>
      </c>
      <c r="I8" t="s">
        <v>1023</v>
      </c>
      <c r="J8" t="s">
        <v>151</v>
      </c>
      <c r="K8">
        <v>65</v>
      </c>
      <c r="L8">
        <v>1</v>
      </c>
      <c r="M8">
        <v>11.8</v>
      </c>
      <c r="N8" t="s">
        <v>21</v>
      </c>
      <c r="O8">
        <v>0</v>
      </c>
      <c r="P8">
        <v>0</v>
      </c>
      <c r="Q8">
        <v>443</v>
      </c>
      <c r="R8">
        <v>6641</v>
      </c>
      <c r="S8">
        <v>5.59</v>
      </c>
      <c r="T8">
        <v>11.8</v>
      </c>
      <c r="U8">
        <v>86</v>
      </c>
      <c r="V8">
        <v>137.2093023255814</v>
      </c>
      <c r="W8" t="s">
        <v>1153</v>
      </c>
      <c r="X8" t="s">
        <v>1087</v>
      </c>
      <c r="Y8">
        <v>38</v>
      </c>
      <c r="Z8">
        <v>2</v>
      </c>
      <c r="AA8">
        <v>10.833333333333334</v>
      </c>
    </row>
    <row r="9" spans="1:27" x14ac:dyDescent="0.3">
      <c r="A9" s="15">
        <v>44483.728530092594</v>
      </c>
      <c r="B9" t="s">
        <v>13</v>
      </c>
      <c r="C9" t="s">
        <v>1060</v>
      </c>
      <c r="D9" s="2">
        <v>44452</v>
      </c>
      <c r="E9" t="s">
        <v>1082</v>
      </c>
      <c r="F9" t="s">
        <v>41</v>
      </c>
      <c r="G9" t="s">
        <v>940</v>
      </c>
      <c r="H9" t="s">
        <v>48</v>
      </c>
      <c r="I9" t="s">
        <v>1023</v>
      </c>
      <c r="J9" t="s">
        <v>151</v>
      </c>
      <c r="K9">
        <v>674</v>
      </c>
      <c r="L9">
        <v>8</v>
      </c>
      <c r="M9">
        <v>115.93</v>
      </c>
      <c r="N9" t="s">
        <v>21</v>
      </c>
      <c r="O9">
        <v>0</v>
      </c>
      <c r="P9">
        <v>18</v>
      </c>
      <c r="Q9">
        <v>443</v>
      </c>
      <c r="R9">
        <v>6641</v>
      </c>
      <c r="S9">
        <v>57.963999999999999</v>
      </c>
      <c r="T9">
        <v>115.93</v>
      </c>
      <c r="U9">
        <v>86</v>
      </c>
      <c r="V9">
        <v>1348.0232558139535</v>
      </c>
      <c r="W9" t="s">
        <v>1153</v>
      </c>
      <c r="X9" t="s">
        <v>1087</v>
      </c>
      <c r="Y9">
        <v>38</v>
      </c>
      <c r="Z9">
        <v>2</v>
      </c>
      <c r="AA9">
        <v>112.33333333333333</v>
      </c>
    </row>
    <row r="10" spans="1:27" x14ac:dyDescent="0.3">
      <c r="A10" s="15">
        <v>44483.737511574072</v>
      </c>
      <c r="B10" t="s">
        <v>13</v>
      </c>
      <c r="C10" t="s">
        <v>1060</v>
      </c>
      <c r="D10" s="2">
        <v>44453</v>
      </c>
      <c r="E10" t="s">
        <v>1082</v>
      </c>
      <c r="F10" t="s">
        <v>41</v>
      </c>
      <c r="G10" t="s">
        <v>940</v>
      </c>
      <c r="H10" t="s">
        <v>48</v>
      </c>
      <c r="I10" t="s">
        <v>1023</v>
      </c>
      <c r="J10" t="s">
        <v>149</v>
      </c>
      <c r="K10">
        <v>655</v>
      </c>
      <c r="L10">
        <v>8</v>
      </c>
      <c r="M10">
        <v>112.6</v>
      </c>
      <c r="N10" t="s">
        <v>21</v>
      </c>
      <c r="O10">
        <v>0</v>
      </c>
      <c r="P10">
        <v>21</v>
      </c>
      <c r="Q10">
        <v>443</v>
      </c>
      <c r="R10">
        <v>6643</v>
      </c>
      <c r="S10">
        <v>56.33</v>
      </c>
      <c r="T10">
        <v>112.6</v>
      </c>
      <c r="U10">
        <v>86</v>
      </c>
      <c r="V10">
        <v>1309.3023255813953</v>
      </c>
      <c r="W10" t="s">
        <v>1153</v>
      </c>
      <c r="X10" t="s">
        <v>1087</v>
      </c>
      <c r="Y10">
        <v>38</v>
      </c>
      <c r="Z10">
        <v>2</v>
      </c>
      <c r="AA10">
        <v>109.16666666666667</v>
      </c>
    </row>
    <row r="11" spans="1:27" x14ac:dyDescent="0.3">
      <c r="A11" s="15">
        <v>44483.738159722219</v>
      </c>
      <c r="B11" t="s">
        <v>13</v>
      </c>
      <c r="C11" t="s">
        <v>1060</v>
      </c>
      <c r="D11" s="2">
        <v>44454</v>
      </c>
      <c r="E11" t="s">
        <v>1114</v>
      </c>
      <c r="F11" t="s">
        <v>41</v>
      </c>
      <c r="G11" t="s">
        <v>940</v>
      </c>
      <c r="H11" t="s">
        <v>48</v>
      </c>
      <c r="I11" t="s">
        <v>1023</v>
      </c>
      <c r="J11" t="s">
        <v>150</v>
      </c>
      <c r="K11">
        <v>246</v>
      </c>
      <c r="L11">
        <v>4</v>
      </c>
      <c r="M11">
        <v>44.38</v>
      </c>
      <c r="N11" t="s">
        <v>21</v>
      </c>
      <c r="O11">
        <v>0</v>
      </c>
      <c r="P11">
        <v>8</v>
      </c>
      <c r="Q11">
        <v>443</v>
      </c>
      <c r="R11">
        <v>6644</v>
      </c>
      <c r="S11">
        <v>21.155999999999999</v>
      </c>
      <c r="T11">
        <v>44.38</v>
      </c>
      <c r="U11">
        <v>86</v>
      </c>
      <c r="V11">
        <v>516.04651162790697</v>
      </c>
      <c r="W11" t="s">
        <v>1153</v>
      </c>
      <c r="X11" t="s">
        <v>1087</v>
      </c>
      <c r="Y11">
        <v>38</v>
      </c>
      <c r="Z11">
        <v>2</v>
      </c>
      <c r="AA11">
        <v>41</v>
      </c>
    </row>
    <row r="12" spans="1:27" x14ac:dyDescent="0.3">
      <c r="A12" s="15">
        <v>44483.739224537036</v>
      </c>
      <c r="B12" t="s">
        <v>13</v>
      </c>
      <c r="C12" t="s">
        <v>1060</v>
      </c>
      <c r="D12" s="2">
        <v>44456</v>
      </c>
      <c r="E12" t="s">
        <v>1082</v>
      </c>
      <c r="F12" t="s">
        <v>41</v>
      </c>
      <c r="G12" t="s">
        <v>940</v>
      </c>
      <c r="H12" t="s">
        <v>48</v>
      </c>
      <c r="I12" t="s">
        <v>1023</v>
      </c>
      <c r="J12" t="s">
        <v>148</v>
      </c>
      <c r="K12">
        <v>49</v>
      </c>
      <c r="L12">
        <v>1</v>
      </c>
      <c r="M12">
        <v>8.43</v>
      </c>
      <c r="N12" t="s">
        <v>21</v>
      </c>
      <c r="O12">
        <v>0</v>
      </c>
      <c r="P12">
        <v>2</v>
      </c>
      <c r="Q12">
        <v>443</v>
      </c>
      <c r="R12">
        <v>6645</v>
      </c>
      <c r="S12">
        <v>4.2140000000000004</v>
      </c>
      <c r="T12">
        <v>8.43</v>
      </c>
      <c r="U12">
        <v>86</v>
      </c>
      <c r="V12">
        <v>98.023255813953483</v>
      </c>
      <c r="W12" t="s">
        <v>1153</v>
      </c>
      <c r="X12" t="s">
        <v>1087</v>
      </c>
      <c r="Y12">
        <v>38</v>
      </c>
      <c r="Z12">
        <v>2</v>
      </c>
      <c r="AA12">
        <v>8.1666666666666661</v>
      </c>
    </row>
    <row r="13" spans="1:27" x14ac:dyDescent="0.3">
      <c r="A13" s="15">
        <v>44483.738969907405</v>
      </c>
      <c r="B13" t="s">
        <v>13</v>
      </c>
      <c r="C13" t="s">
        <v>1060</v>
      </c>
      <c r="D13" s="2">
        <v>44456</v>
      </c>
      <c r="E13" t="s">
        <v>1082</v>
      </c>
      <c r="F13" t="s">
        <v>41</v>
      </c>
      <c r="G13" t="s">
        <v>940</v>
      </c>
      <c r="H13" t="s">
        <v>48</v>
      </c>
      <c r="I13" t="s">
        <v>1023</v>
      </c>
      <c r="J13" t="s">
        <v>150</v>
      </c>
      <c r="K13">
        <v>642</v>
      </c>
      <c r="L13">
        <v>7</v>
      </c>
      <c r="M13">
        <v>110.42</v>
      </c>
      <c r="N13" t="s">
        <v>21</v>
      </c>
      <c r="O13">
        <v>0</v>
      </c>
      <c r="P13">
        <v>19</v>
      </c>
      <c r="Q13">
        <v>443</v>
      </c>
      <c r="R13">
        <v>6645</v>
      </c>
      <c r="S13">
        <v>55.212000000000003</v>
      </c>
      <c r="T13">
        <v>110.42</v>
      </c>
      <c r="U13">
        <v>86</v>
      </c>
      <c r="V13">
        <v>1283.953488372093</v>
      </c>
      <c r="W13" t="s">
        <v>1153</v>
      </c>
      <c r="X13" t="s">
        <v>1087</v>
      </c>
      <c r="Y13">
        <v>38</v>
      </c>
      <c r="Z13">
        <v>2</v>
      </c>
      <c r="AA13">
        <v>107</v>
      </c>
    </row>
    <row r="14" spans="1:27" x14ac:dyDescent="0.3">
      <c r="A14" s="15">
        <v>44483.741261574076</v>
      </c>
      <c r="B14" t="s">
        <v>13</v>
      </c>
      <c r="C14" t="s">
        <v>1060</v>
      </c>
      <c r="D14" s="2">
        <v>44457</v>
      </c>
      <c r="E14" t="s">
        <v>1105</v>
      </c>
      <c r="F14" t="s">
        <v>41</v>
      </c>
      <c r="G14" t="s">
        <v>940</v>
      </c>
      <c r="H14" t="s">
        <v>48</v>
      </c>
      <c r="I14" t="s">
        <v>1023</v>
      </c>
      <c r="J14" t="s">
        <v>148</v>
      </c>
      <c r="K14">
        <v>590</v>
      </c>
      <c r="L14">
        <v>8</v>
      </c>
      <c r="M14">
        <v>101.48</v>
      </c>
      <c r="N14" t="s">
        <v>21</v>
      </c>
      <c r="O14">
        <v>0</v>
      </c>
      <c r="P14">
        <v>18</v>
      </c>
      <c r="Q14">
        <v>443</v>
      </c>
      <c r="R14">
        <v>6646</v>
      </c>
      <c r="S14">
        <v>50.74</v>
      </c>
      <c r="T14">
        <v>101.48</v>
      </c>
      <c r="U14">
        <v>86</v>
      </c>
      <c r="V14">
        <v>1180</v>
      </c>
      <c r="W14" t="s">
        <v>1153</v>
      </c>
      <c r="X14" t="s">
        <v>1087</v>
      </c>
      <c r="Y14">
        <v>38</v>
      </c>
      <c r="Z14">
        <v>2</v>
      </c>
      <c r="AA14">
        <v>98.333333333333329</v>
      </c>
    </row>
    <row r="15" spans="1:27" x14ac:dyDescent="0.3">
      <c r="A15" s="15">
        <v>44483.740740740737</v>
      </c>
      <c r="B15" t="s">
        <v>13</v>
      </c>
      <c r="C15" t="s">
        <v>1060</v>
      </c>
      <c r="D15" s="2">
        <v>44457</v>
      </c>
      <c r="E15" t="s">
        <v>1105</v>
      </c>
      <c r="F15" t="s">
        <v>41</v>
      </c>
      <c r="G15" t="s">
        <v>940</v>
      </c>
      <c r="H15" t="s">
        <v>48</v>
      </c>
      <c r="I15" t="s">
        <v>1023</v>
      </c>
      <c r="J15" t="s">
        <v>151</v>
      </c>
      <c r="K15">
        <v>172</v>
      </c>
      <c r="L15">
        <v>2</v>
      </c>
      <c r="M15">
        <v>29.58</v>
      </c>
      <c r="N15" t="s">
        <v>21</v>
      </c>
      <c r="O15">
        <v>0</v>
      </c>
      <c r="P15">
        <v>5</v>
      </c>
      <c r="Q15">
        <v>443</v>
      </c>
      <c r="R15">
        <v>6646</v>
      </c>
      <c r="S15">
        <v>14.792</v>
      </c>
      <c r="T15">
        <v>29.58</v>
      </c>
      <c r="U15">
        <v>86</v>
      </c>
      <c r="V15">
        <v>343.95348837209303</v>
      </c>
      <c r="W15" t="s">
        <v>1153</v>
      </c>
      <c r="X15" t="s">
        <v>1087</v>
      </c>
      <c r="Y15">
        <v>38</v>
      </c>
      <c r="Z15">
        <v>2</v>
      </c>
      <c r="AA15">
        <v>28.666666666666668</v>
      </c>
    </row>
    <row r="16" spans="1:27" x14ac:dyDescent="0.3">
      <c r="A16" s="15">
        <v>44483.7425</v>
      </c>
      <c r="B16" t="s">
        <v>13</v>
      </c>
      <c r="C16" t="s">
        <v>1060</v>
      </c>
      <c r="D16" s="2">
        <v>44459</v>
      </c>
      <c r="E16" t="s">
        <v>1082</v>
      </c>
      <c r="F16" t="s">
        <v>41</v>
      </c>
      <c r="G16" t="s">
        <v>940</v>
      </c>
      <c r="H16" t="s">
        <v>48</v>
      </c>
      <c r="I16" t="s">
        <v>1023</v>
      </c>
      <c r="J16" t="s">
        <v>149</v>
      </c>
      <c r="K16">
        <v>238</v>
      </c>
      <c r="L16">
        <v>3</v>
      </c>
      <c r="M16">
        <v>40.94</v>
      </c>
      <c r="N16" t="s">
        <v>21</v>
      </c>
      <c r="O16">
        <v>0</v>
      </c>
      <c r="P16">
        <v>1</v>
      </c>
      <c r="Q16">
        <v>443</v>
      </c>
      <c r="R16">
        <v>6647</v>
      </c>
      <c r="S16">
        <v>20.468</v>
      </c>
      <c r="T16">
        <v>40.94</v>
      </c>
      <c r="U16">
        <v>86</v>
      </c>
      <c r="V16">
        <v>476.04651162790697</v>
      </c>
      <c r="W16" t="s">
        <v>1153</v>
      </c>
      <c r="X16" t="s">
        <v>1087</v>
      </c>
      <c r="Y16">
        <v>39</v>
      </c>
      <c r="Z16">
        <v>2</v>
      </c>
      <c r="AA16">
        <v>39.666666666666664</v>
      </c>
    </row>
    <row r="17" spans="1:27" x14ac:dyDescent="0.3">
      <c r="A17" s="15">
        <v>44483.743773148148</v>
      </c>
      <c r="B17" t="s">
        <v>13</v>
      </c>
      <c r="C17" t="s">
        <v>1060</v>
      </c>
      <c r="D17" s="2">
        <v>44460</v>
      </c>
      <c r="E17" t="s">
        <v>1090</v>
      </c>
      <c r="F17" t="s">
        <v>41</v>
      </c>
      <c r="G17" t="s">
        <v>940</v>
      </c>
      <c r="H17" t="s">
        <v>48</v>
      </c>
      <c r="I17" t="s">
        <v>1009</v>
      </c>
      <c r="J17" t="s">
        <v>596</v>
      </c>
      <c r="K17">
        <v>760</v>
      </c>
      <c r="L17">
        <v>10</v>
      </c>
      <c r="M17">
        <v>36.5</v>
      </c>
      <c r="N17" t="s">
        <v>21</v>
      </c>
      <c r="O17">
        <v>0</v>
      </c>
      <c r="P17">
        <v>2</v>
      </c>
      <c r="Q17">
        <v>443</v>
      </c>
      <c r="R17">
        <v>6648</v>
      </c>
      <c r="S17">
        <v>9.3480000000000008</v>
      </c>
      <c r="T17">
        <v>36.5</v>
      </c>
      <c r="U17">
        <v>12.3</v>
      </c>
      <c r="V17">
        <v>2967.479674796748</v>
      </c>
      <c r="W17" t="s">
        <v>1153</v>
      </c>
      <c r="X17" t="s">
        <v>1087</v>
      </c>
      <c r="Y17">
        <v>39</v>
      </c>
      <c r="Z17">
        <v>3</v>
      </c>
      <c r="AA17">
        <v>190</v>
      </c>
    </row>
    <row r="18" spans="1:27" x14ac:dyDescent="0.3">
      <c r="A18" s="15">
        <v>44483.745034722226</v>
      </c>
      <c r="B18" t="s">
        <v>13</v>
      </c>
      <c r="C18" t="s">
        <v>1060</v>
      </c>
      <c r="D18" s="2">
        <v>44461</v>
      </c>
      <c r="E18" t="s">
        <v>1090</v>
      </c>
      <c r="F18" t="s">
        <v>41</v>
      </c>
      <c r="G18" t="s">
        <v>940</v>
      </c>
      <c r="H18" t="s">
        <v>48</v>
      </c>
      <c r="I18" t="s">
        <v>1009</v>
      </c>
      <c r="J18" t="s">
        <v>599</v>
      </c>
      <c r="K18">
        <v>170</v>
      </c>
      <c r="L18">
        <v>2</v>
      </c>
      <c r="M18">
        <v>8.1999999999999993</v>
      </c>
      <c r="N18" t="s">
        <v>21</v>
      </c>
      <c r="O18">
        <v>0</v>
      </c>
      <c r="P18">
        <v>1</v>
      </c>
      <c r="Q18">
        <v>443</v>
      </c>
      <c r="R18">
        <v>6649</v>
      </c>
      <c r="S18">
        <v>2.0910000000000002</v>
      </c>
      <c r="T18">
        <v>8.1999999999999993</v>
      </c>
      <c r="U18">
        <v>12.3</v>
      </c>
      <c r="V18">
        <v>666.66666666666663</v>
      </c>
      <c r="W18" t="s">
        <v>1153</v>
      </c>
      <c r="X18" t="s">
        <v>1087</v>
      </c>
      <c r="Y18">
        <v>39</v>
      </c>
      <c r="Z18">
        <v>3</v>
      </c>
      <c r="AA18">
        <v>42.5</v>
      </c>
    </row>
    <row r="19" spans="1:27" x14ac:dyDescent="0.3">
      <c r="A19" s="15">
        <v>44483.744328703702</v>
      </c>
      <c r="B19" t="s">
        <v>13</v>
      </c>
      <c r="C19" t="s">
        <v>1060</v>
      </c>
      <c r="D19" s="2">
        <v>44461</v>
      </c>
      <c r="E19" t="s">
        <v>1090</v>
      </c>
      <c r="F19" t="s">
        <v>41</v>
      </c>
      <c r="G19" t="s">
        <v>940</v>
      </c>
      <c r="H19" t="s">
        <v>48</v>
      </c>
      <c r="I19" t="s">
        <v>1009</v>
      </c>
      <c r="J19" t="s">
        <v>596</v>
      </c>
      <c r="K19">
        <v>393</v>
      </c>
      <c r="L19">
        <v>4</v>
      </c>
      <c r="M19">
        <v>19.600000000000001</v>
      </c>
      <c r="N19" t="s">
        <v>21</v>
      </c>
      <c r="O19">
        <v>0</v>
      </c>
      <c r="P19">
        <v>2</v>
      </c>
      <c r="Q19">
        <v>443</v>
      </c>
      <c r="R19">
        <v>6649</v>
      </c>
      <c r="S19">
        <v>4.8339000000000008</v>
      </c>
      <c r="T19">
        <v>19.600000000000001</v>
      </c>
      <c r="U19">
        <v>12.3</v>
      </c>
      <c r="V19">
        <v>1593.4959349593496</v>
      </c>
      <c r="W19" t="s">
        <v>1153</v>
      </c>
      <c r="X19" t="s">
        <v>1087</v>
      </c>
      <c r="Y19">
        <v>39</v>
      </c>
      <c r="Z19">
        <v>3</v>
      </c>
      <c r="AA19">
        <v>98.25</v>
      </c>
    </row>
    <row r="20" spans="1:27" x14ac:dyDescent="0.3">
      <c r="A20" s="15">
        <v>44483.751805555556</v>
      </c>
      <c r="B20" t="s">
        <v>13</v>
      </c>
      <c r="C20" t="s">
        <v>1060</v>
      </c>
      <c r="D20" s="2">
        <v>44462</v>
      </c>
      <c r="E20" t="s">
        <v>1082</v>
      </c>
      <c r="F20" t="s">
        <v>41</v>
      </c>
      <c r="G20" t="s">
        <v>940</v>
      </c>
      <c r="H20" t="s">
        <v>48</v>
      </c>
      <c r="I20" t="s">
        <v>1009</v>
      </c>
      <c r="J20" t="s">
        <v>598</v>
      </c>
      <c r="K20">
        <v>52</v>
      </c>
      <c r="L20">
        <v>1</v>
      </c>
      <c r="M20">
        <v>2.5</v>
      </c>
      <c r="N20" t="s">
        <v>21</v>
      </c>
      <c r="O20">
        <v>0</v>
      </c>
      <c r="P20">
        <v>1</v>
      </c>
      <c r="Q20">
        <v>443</v>
      </c>
      <c r="R20">
        <v>6650</v>
      </c>
      <c r="S20">
        <v>0.63960000000000006</v>
      </c>
      <c r="T20">
        <v>2.5</v>
      </c>
      <c r="U20">
        <v>12.3</v>
      </c>
      <c r="V20">
        <v>203.2520325203252</v>
      </c>
      <c r="W20" t="s">
        <v>1153</v>
      </c>
      <c r="X20" t="s">
        <v>1087</v>
      </c>
      <c r="Y20">
        <v>39</v>
      </c>
      <c r="Z20">
        <v>3</v>
      </c>
      <c r="AA20">
        <v>13</v>
      </c>
    </row>
    <row r="21" spans="1:27" x14ac:dyDescent="0.3">
      <c r="A21" s="15">
        <v>44483.751331018517</v>
      </c>
      <c r="B21" t="s">
        <v>13</v>
      </c>
      <c r="C21" t="s">
        <v>1060</v>
      </c>
      <c r="D21" s="2">
        <v>44462</v>
      </c>
      <c r="E21" t="s">
        <v>1082</v>
      </c>
      <c r="F21" t="s">
        <v>41</v>
      </c>
      <c r="G21" t="s">
        <v>940</v>
      </c>
      <c r="H21" t="s">
        <v>48</v>
      </c>
      <c r="I21" t="s">
        <v>1009</v>
      </c>
      <c r="J21" t="s">
        <v>599</v>
      </c>
      <c r="K21">
        <v>920</v>
      </c>
      <c r="L21">
        <v>10</v>
      </c>
      <c r="M21">
        <v>44.2</v>
      </c>
      <c r="N21" t="s">
        <v>21</v>
      </c>
      <c r="O21">
        <v>0</v>
      </c>
      <c r="P21">
        <v>3</v>
      </c>
      <c r="Q21">
        <v>443</v>
      </c>
      <c r="R21">
        <v>6650</v>
      </c>
      <c r="S21">
        <v>11.316000000000001</v>
      </c>
      <c r="T21">
        <v>44.2</v>
      </c>
      <c r="U21">
        <v>12.3</v>
      </c>
      <c r="V21">
        <v>3593.4959349593496</v>
      </c>
      <c r="W21" t="s">
        <v>1153</v>
      </c>
      <c r="X21" t="s">
        <v>1087</v>
      </c>
      <c r="Y21">
        <v>39</v>
      </c>
      <c r="Z21">
        <v>3</v>
      </c>
      <c r="AA21">
        <v>230</v>
      </c>
    </row>
    <row r="22" spans="1:27" x14ac:dyDescent="0.3">
      <c r="A22" s="15">
        <v>44484.685358796298</v>
      </c>
      <c r="B22" t="s">
        <v>13</v>
      </c>
      <c r="C22" t="s">
        <v>1060</v>
      </c>
      <c r="D22" s="2">
        <v>44463</v>
      </c>
      <c r="E22" t="s">
        <v>1090</v>
      </c>
      <c r="F22" t="s">
        <v>41</v>
      </c>
      <c r="G22" t="s">
        <v>940</v>
      </c>
      <c r="H22" t="s">
        <v>48</v>
      </c>
      <c r="I22" t="s">
        <v>1009</v>
      </c>
      <c r="J22" t="s">
        <v>600</v>
      </c>
      <c r="K22">
        <v>743</v>
      </c>
      <c r="L22">
        <v>6</v>
      </c>
      <c r="M22">
        <v>27.5</v>
      </c>
      <c r="N22" t="s">
        <v>21</v>
      </c>
      <c r="O22">
        <v>0</v>
      </c>
      <c r="P22">
        <v>2</v>
      </c>
      <c r="Q22">
        <v>443</v>
      </c>
      <c r="R22">
        <v>6651</v>
      </c>
      <c r="S22">
        <v>9.1388999999999996</v>
      </c>
      <c r="T22">
        <v>27.5</v>
      </c>
      <c r="U22">
        <v>12.3</v>
      </c>
      <c r="V22">
        <v>2235.772357723577</v>
      </c>
      <c r="W22" t="s">
        <v>1153</v>
      </c>
      <c r="X22" t="s">
        <v>1087</v>
      </c>
      <c r="Y22">
        <v>39</v>
      </c>
      <c r="Z22">
        <v>3</v>
      </c>
      <c r="AA22">
        <v>185.75</v>
      </c>
    </row>
    <row r="23" spans="1:27" x14ac:dyDescent="0.3">
      <c r="A23" s="15">
        <v>44484.684791666667</v>
      </c>
      <c r="B23" t="s">
        <v>13</v>
      </c>
      <c r="C23" t="s">
        <v>1060</v>
      </c>
      <c r="D23" s="2">
        <v>44463</v>
      </c>
      <c r="E23" t="s">
        <v>1090</v>
      </c>
      <c r="F23" t="s">
        <v>41</v>
      </c>
      <c r="G23" t="s">
        <v>940</v>
      </c>
      <c r="H23" t="s">
        <v>48</v>
      </c>
      <c r="I23" t="s">
        <v>1009</v>
      </c>
      <c r="J23" t="s">
        <v>598</v>
      </c>
      <c r="K23">
        <v>400</v>
      </c>
      <c r="L23">
        <v>5</v>
      </c>
      <c r="M23">
        <v>14.8</v>
      </c>
      <c r="N23" t="s">
        <v>21</v>
      </c>
      <c r="O23">
        <v>0</v>
      </c>
      <c r="P23">
        <v>2</v>
      </c>
      <c r="Q23">
        <v>443</v>
      </c>
      <c r="R23">
        <v>6651</v>
      </c>
      <c r="S23">
        <v>4.92</v>
      </c>
      <c r="T23">
        <v>14.8</v>
      </c>
      <c r="U23">
        <v>12.3</v>
      </c>
      <c r="V23">
        <v>1203.2520325203252</v>
      </c>
      <c r="W23" t="s">
        <v>1153</v>
      </c>
      <c r="X23" t="s">
        <v>1087</v>
      </c>
      <c r="Y23">
        <v>39</v>
      </c>
      <c r="Z23">
        <v>3</v>
      </c>
      <c r="AA23">
        <v>100</v>
      </c>
    </row>
    <row r="24" spans="1:27" x14ac:dyDescent="0.3">
      <c r="A24" s="15">
        <v>44484.686620370368</v>
      </c>
      <c r="B24" t="s">
        <v>13</v>
      </c>
      <c r="C24" t="s">
        <v>1060</v>
      </c>
      <c r="D24" s="2">
        <v>44464</v>
      </c>
      <c r="E24" t="s">
        <v>1090</v>
      </c>
      <c r="F24" t="s">
        <v>41</v>
      </c>
      <c r="G24" t="s">
        <v>940</v>
      </c>
      <c r="H24" t="s">
        <v>48</v>
      </c>
      <c r="I24" t="s">
        <v>1009</v>
      </c>
      <c r="J24" t="s">
        <v>600</v>
      </c>
      <c r="K24">
        <v>727</v>
      </c>
      <c r="L24">
        <v>8</v>
      </c>
      <c r="M24">
        <v>26.9</v>
      </c>
      <c r="N24" t="s">
        <v>21</v>
      </c>
      <c r="O24">
        <v>0</v>
      </c>
      <c r="P24">
        <v>2</v>
      </c>
      <c r="Q24">
        <v>443</v>
      </c>
      <c r="R24">
        <v>6652</v>
      </c>
      <c r="S24">
        <v>8.9420999999999999</v>
      </c>
      <c r="T24">
        <v>26.9</v>
      </c>
      <c r="U24">
        <v>12.3</v>
      </c>
      <c r="V24">
        <v>2186.9918699186992</v>
      </c>
      <c r="W24" t="s">
        <v>1153</v>
      </c>
      <c r="X24" t="s">
        <v>1087</v>
      </c>
      <c r="Y24">
        <v>39</v>
      </c>
      <c r="Z24">
        <v>3</v>
      </c>
      <c r="AA24">
        <v>181.75</v>
      </c>
    </row>
    <row r="25" spans="1:27" x14ac:dyDescent="0.3">
      <c r="A25" s="15">
        <v>44484.771909722222</v>
      </c>
      <c r="B25" t="s">
        <v>13</v>
      </c>
      <c r="C25" t="s">
        <v>952</v>
      </c>
      <c r="D25" s="2">
        <v>44443</v>
      </c>
      <c r="E25" t="s">
        <v>1082</v>
      </c>
      <c r="F25" t="s">
        <v>41</v>
      </c>
      <c r="G25" t="s">
        <v>943</v>
      </c>
      <c r="H25" t="s">
        <v>48</v>
      </c>
      <c r="I25" t="s">
        <v>960</v>
      </c>
      <c r="J25" t="s">
        <v>1154</v>
      </c>
      <c r="K25">
        <v>392</v>
      </c>
      <c r="L25">
        <v>5</v>
      </c>
      <c r="M25">
        <v>51.3</v>
      </c>
      <c r="N25" t="s">
        <v>21</v>
      </c>
      <c r="O25">
        <v>0</v>
      </c>
      <c r="P25">
        <v>0</v>
      </c>
      <c r="Q25">
        <v>456</v>
      </c>
      <c r="R25">
        <v>6845</v>
      </c>
      <c r="S25">
        <v>5.88</v>
      </c>
      <c r="T25">
        <v>51.3</v>
      </c>
      <c r="U25">
        <v>15</v>
      </c>
      <c r="V25">
        <v>3420</v>
      </c>
      <c r="W25" t="s">
        <v>1153</v>
      </c>
      <c r="X25" t="s">
        <v>1087</v>
      </c>
      <c r="Y25">
        <v>36</v>
      </c>
      <c r="Z25">
        <v>8</v>
      </c>
      <c r="AA25">
        <v>261.33333333333331</v>
      </c>
    </row>
    <row r="26" spans="1:27" x14ac:dyDescent="0.3">
      <c r="A26" s="15">
        <v>44484.773240740738</v>
      </c>
      <c r="B26" t="s">
        <v>13</v>
      </c>
      <c r="C26" t="s">
        <v>952</v>
      </c>
      <c r="D26" s="2">
        <v>44445</v>
      </c>
      <c r="E26" t="s">
        <v>1114</v>
      </c>
      <c r="F26" t="s">
        <v>41</v>
      </c>
      <c r="G26" t="s">
        <v>943</v>
      </c>
      <c r="H26" t="s">
        <v>48</v>
      </c>
      <c r="I26" t="s">
        <v>960</v>
      </c>
      <c r="J26" t="s">
        <v>432</v>
      </c>
      <c r="K26">
        <v>156</v>
      </c>
      <c r="L26">
        <v>2</v>
      </c>
      <c r="M26">
        <v>18.5</v>
      </c>
      <c r="N26" t="s">
        <v>21</v>
      </c>
      <c r="O26">
        <v>0</v>
      </c>
      <c r="P26">
        <v>0</v>
      </c>
      <c r="Q26">
        <v>456</v>
      </c>
      <c r="R26">
        <v>6846</v>
      </c>
      <c r="S26">
        <v>2.34</v>
      </c>
      <c r="T26">
        <v>18.5</v>
      </c>
      <c r="U26">
        <v>15</v>
      </c>
      <c r="V26">
        <v>1233.3333333333333</v>
      </c>
      <c r="W26" t="s">
        <v>1153</v>
      </c>
      <c r="X26" t="s">
        <v>1087</v>
      </c>
      <c r="Y26">
        <v>37</v>
      </c>
      <c r="Z26">
        <v>8</v>
      </c>
      <c r="AA26">
        <v>104</v>
      </c>
    </row>
    <row r="27" spans="1:27" x14ac:dyDescent="0.3">
      <c r="A27" s="15">
        <v>44484.772858796299</v>
      </c>
      <c r="B27" t="s">
        <v>13</v>
      </c>
      <c r="C27" t="s">
        <v>952</v>
      </c>
      <c r="D27" s="2">
        <v>44445</v>
      </c>
      <c r="E27" t="s">
        <v>1114</v>
      </c>
      <c r="F27" t="s">
        <v>41</v>
      </c>
      <c r="G27" t="s">
        <v>943</v>
      </c>
      <c r="H27" t="s">
        <v>48</v>
      </c>
      <c r="I27" t="s">
        <v>960</v>
      </c>
      <c r="J27" t="s">
        <v>434</v>
      </c>
      <c r="K27">
        <v>561</v>
      </c>
      <c r="L27">
        <v>7</v>
      </c>
      <c r="M27">
        <v>70.2</v>
      </c>
      <c r="N27" t="s">
        <v>21</v>
      </c>
      <c r="O27">
        <v>0</v>
      </c>
      <c r="P27">
        <v>0</v>
      </c>
      <c r="Q27">
        <v>456</v>
      </c>
      <c r="R27">
        <v>6846</v>
      </c>
      <c r="S27">
        <v>8.4149999999999991</v>
      </c>
      <c r="T27">
        <v>70.2</v>
      </c>
      <c r="U27">
        <v>15</v>
      </c>
      <c r="V27">
        <v>4680</v>
      </c>
      <c r="W27" t="s">
        <v>1153</v>
      </c>
      <c r="X27" t="s">
        <v>1087</v>
      </c>
      <c r="Y27">
        <v>37</v>
      </c>
      <c r="Z27">
        <v>8</v>
      </c>
      <c r="AA27">
        <v>374</v>
      </c>
    </row>
    <row r="28" spans="1:27" x14ac:dyDescent="0.3">
      <c r="A28" s="15">
        <v>44484.772418981483</v>
      </c>
      <c r="B28" t="s">
        <v>13</v>
      </c>
      <c r="C28" t="s">
        <v>952</v>
      </c>
      <c r="D28" s="2">
        <v>44445</v>
      </c>
      <c r="E28" t="s">
        <v>1114</v>
      </c>
      <c r="F28" t="s">
        <v>41</v>
      </c>
      <c r="G28" t="s">
        <v>943</v>
      </c>
      <c r="H28" t="s">
        <v>48</v>
      </c>
      <c r="I28" t="s">
        <v>960</v>
      </c>
      <c r="J28" t="s">
        <v>1154</v>
      </c>
      <c r="K28">
        <v>155</v>
      </c>
      <c r="L28">
        <v>3</v>
      </c>
      <c r="M28">
        <v>19.2</v>
      </c>
      <c r="N28" t="s">
        <v>21</v>
      </c>
      <c r="O28">
        <v>0</v>
      </c>
      <c r="P28">
        <v>0</v>
      </c>
      <c r="Q28">
        <v>456</v>
      </c>
      <c r="R28">
        <v>6846</v>
      </c>
      <c r="S28">
        <v>2.3250000000000002</v>
      </c>
      <c r="T28">
        <v>19.2</v>
      </c>
      <c r="U28">
        <v>15</v>
      </c>
      <c r="V28">
        <v>1280</v>
      </c>
      <c r="W28" t="s">
        <v>1153</v>
      </c>
      <c r="X28" t="s">
        <v>1087</v>
      </c>
      <c r="Y28">
        <v>37</v>
      </c>
      <c r="Z28">
        <v>8</v>
      </c>
      <c r="AA28">
        <v>103.33333333333333</v>
      </c>
    </row>
    <row r="29" spans="1:27" x14ac:dyDescent="0.3">
      <c r="A29" s="15">
        <v>44484.776006944441</v>
      </c>
      <c r="B29" t="s">
        <v>13</v>
      </c>
      <c r="C29" t="s">
        <v>952</v>
      </c>
      <c r="D29" s="2">
        <v>44446</v>
      </c>
      <c r="E29" t="s">
        <v>1114</v>
      </c>
      <c r="F29" t="s">
        <v>41</v>
      </c>
      <c r="G29" t="s">
        <v>943</v>
      </c>
      <c r="H29" t="s">
        <v>48</v>
      </c>
      <c r="I29" t="s">
        <v>960</v>
      </c>
      <c r="J29" t="s">
        <v>433</v>
      </c>
      <c r="K29">
        <v>794</v>
      </c>
      <c r="L29">
        <v>12</v>
      </c>
      <c r="M29">
        <v>100.6</v>
      </c>
      <c r="N29" t="s">
        <v>21</v>
      </c>
      <c r="O29">
        <v>0</v>
      </c>
      <c r="P29">
        <v>0</v>
      </c>
      <c r="Q29">
        <v>456</v>
      </c>
      <c r="R29">
        <v>6848</v>
      </c>
      <c r="S29">
        <v>11.91</v>
      </c>
      <c r="T29">
        <v>100.6</v>
      </c>
      <c r="U29">
        <v>15</v>
      </c>
      <c r="V29">
        <v>6706.666666666667</v>
      </c>
      <c r="W29" t="s">
        <v>1153</v>
      </c>
      <c r="X29" t="s">
        <v>1087</v>
      </c>
      <c r="Y29">
        <v>37</v>
      </c>
      <c r="Z29">
        <v>8</v>
      </c>
      <c r="AA29">
        <v>529.33333333333337</v>
      </c>
    </row>
    <row r="30" spans="1:27" x14ac:dyDescent="0.3">
      <c r="A30" s="15">
        <v>44484.77753472222</v>
      </c>
      <c r="B30" t="s">
        <v>13</v>
      </c>
      <c r="C30" t="s">
        <v>952</v>
      </c>
      <c r="D30" s="2">
        <v>44447</v>
      </c>
      <c r="E30" t="s">
        <v>1082</v>
      </c>
      <c r="F30" t="s">
        <v>41</v>
      </c>
      <c r="G30" t="s">
        <v>943</v>
      </c>
      <c r="H30" t="s">
        <v>48</v>
      </c>
      <c r="I30" t="s">
        <v>960</v>
      </c>
      <c r="J30" t="s">
        <v>435</v>
      </c>
      <c r="K30">
        <v>711</v>
      </c>
      <c r="L30">
        <v>8</v>
      </c>
      <c r="M30">
        <v>88.9</v>
      </c>
      <c r="N30" t="s">
        <v>21</v>
      </c>
      <c r="O30">
        <v>0</v>
      </c>
      <c r="P30">
        <v>0</v>
      </c>
      <c r="Q30">
        <v>456</v>
      </c>
      <c r="R30">
        <v>6850</v>
      </c>
      <c r="S30">
        <v>10.664999999999999</v>
      </c>
      <c r="T30">
        <v>88.9</v>
      </c>
      <c r="U30">
        <v>15</v>
      </c>
      <c r="V30">
        <v>5926.666666666667</v>
      </c>
      <c r="W30" t="s">
        <v>1153</v>
      </c>
      <c r="X30" t="s">
        <v>1087</v>
      </c>
      <c r="Y30">
        <v>37</v>
      </c>
      <c r="Z30">
        <v>8</v>
      </c>
      <c r="AA30">
        <v>474</v>
      </c>
    </row>
    <row r="31" spans="1:27" x14ac:dyDescent="0.3">
      <c r="A31" s="15">
        <v>44484.777175925927</v>
      </c>
      <c r="B31" t="s">
        <v>13</v>
      </c>
      <c r="C31" t="s">
        <v>952</v>
      </c>
      <c r="D31" s="2">
        <v>44447</v>
      </c>
      <c r="E31" t="s">
        <v>1082</v>
      </c>
      <c r="F31" t="s">
        <v>41</v>
      </c>
      <c r="G31" t="s">
        <v>943</v>
      </c>
      <c r="H31" t="s">
        <v>48</v>
      </c>
      <c r="I31" t="s">
        <v>960</v>
      </c>
      <c r="J31" t="s">
        <v>432</v>
      </c>
      <c r="K31">
        <v>320</v>
      </c>
      <c r="L31">
        <v>4</v>
      </c>
      <c r="M31">
        <v>40</v>
      </c>
      <c r="N31" t="s">
        <v>21</v>
      </c>
      <c r="O31">
        <v>0</v>
      </c>
      <c r="P31">
        <v>0</v>
      </c>
      <c r="Q31">
        <v>456</v>
      </c>
      <c r="R31">
        <v>6850</v>
      </c>
      <c r="S31">
        <v>4.8</v>
      </c>
      <c r="T31">
        <v>40</v>
      </c>
      <c r="U31">
        <v>15</v>
      </c>
      <c r="V31">
        <v>2666.6666666666665</v>
      </c>
      <c r="W31" t="s">
        <v>1153</v>
      </c>
      <c r="X31" t="s">
        <v>1087</v>
      </c>
      <c r="Y31">
        <v>37</v>
      </c>
      <c r="Z31">
        <v>8</v>
      </c>
      <c r="AA31">
        <v>213.33333333333334</v>
      </c>
    </row>
    <row r="32" spans="1:27" x14ac:dyDescent="0.3">
      <c r="A32" s="15">
        <v>44484.779166666667</v>
      </c>
      <c r="B32" t="s">
        <v>13</v>
      </c>
      <c r="C32" t="s">
        <v>952</v>
      </c>
      <c r="D32" s="2">
        <v>44448</v>
      </c>
      <c r="E32" t="s">
        <v>1105</v>
      </c>
      <c r="F32" t="s">
        <v>41</v>
      </c>
      <c r="G32" t="s">
        <v>943</v>
      </c>
      <c r="H32" t="s">
        <v>48</v>
      </c>
      <c r="I32" t="s">
        <v>960</v>
      </c>
      <c r="J32" t="s">
        <v>434</v>
      </c>
      <c r="K32">
        <v>659</v>
      </c>
      <c r="L32">
        <v>6</v>
      </c>
      <c r="M32">
        <v>82.4</v>
      </c>
      <c r="N32" t="s">
        <v>21</v>
      </c>
      <c r="O32">
        <v>0</v>
      </c>
      <c r="P32">
        <v>0</v>
      </c>
      <c r="Q32">
        <v>456</v>
      </c>
      <c r="R32">
        <v>6853</v>
      </c>
      <c r="S32">
        <v>9.8849999999999998</v>
      </c>
      <c r="T32">
        <v>82.4</v>
      </c>
      <c r="U32">
        <v>15</v>
      </c>
      <c r="V32">
        <v>5493.333333333333</v>
      </c>
      <c r="W32" t="s">
        <v>1153</v>
      </c>
      <c r="X32" t="s">
        <v>1087</v>
      </c>
      <c r="Y32">
        <v>37</v>
      </c>
      <c r="Z32">
        <v>8</v>
      </c>
      <c r="AA32">
        <v>439.33333333333331</v>
      </c>
    </row>
    <row r="33" spans="1:27" x14ac:dyDescent="0.3">
      <c r="A33" s="15">
        <v>44484.77888888889</v>
      </c>
      <c r="B33" t="s">
        <v>13</v>
      </c>
      <c r="C33" t="s">
        <v>952</v>
      </c>
      <c r="D33" s="2">
        <v>44448</v>
      </c>
      <c r="E33" t="s">
        <v>1105</v>
      </c>
      <c r="F33" t="s">
        <v>41</v>
      </c>
      <c r="G33" t="s">
        <v>943</v>
      </c>
      <c r="H33" t="s">
        <v>48</v>
      </c>
      <c r="I33" t="s">
        <v>960</v>
      </c>
      <c r="J33" t="s">
        <v>1154</v>
      </c>
      <c r="K33">
        <v>144</v>
      </c>
      <c r="L33">
        <v>2</v>
      </c>
      <c r="M33">
        <v>17.7</v>
      </c>
      <c r="N33" t="s">
        <v>21</v>
      </c>
      <c r="O33">
        <v>0</v>
      </c>
      <c r="P33">
        <v>0</v>
      </c>
      <c r="Q33">
        <v>456</v>
      </c>
      <c r="R33">
        <v>6853</v>
      </c>
      <c r="S33">
        <v>2.16</v>
      </c>
      <c r="T33">
        <v>17.7</v>
      </c>
      <c r="U33">
        <v>15</v>
      </c>
      <c r="V33">
        <v>1180</v>
      </c>
      <c r="W33" t="s">
        <v>1153</v>
      </c>
      <c r="X33" t="s">
        <v>1087</v>
      </c>
      <c r="Y33">
        <v>37</v>
      </c>
      <c r="Z33">
        <v>8</v>
      </c>
      <c r="AA33">
        <v>96</v>
      </c>
    </row>
    <row r="34" spans="1:27" x14ac:dyDescent="0.3">
      <c r="A34" s="15">
        <v>44484.781134259261</v>
      </c>
      <c r="B34" t="s">
        <v>13</v>
      </c>
      <c r="C34" t="s">
        <v>952</v>
      </c>
      <c r="D34" s="2">
        <v>44449</v>
      </c>
      <c r="E34" t="s">
        <v>1082</v>
      </c>
      <c r="F34" t="s">
        <v>41</v>
      </c>
      <c r="G34" t="s">
        <v>943</v>
      </c>
      <c r="H34" t="s">
        <v>48</v>
      </c>
      <c r="I34" t="s">
        <v>960</v>
      </c>
      <c r="J34" t="s">
        <v>432</v>
      </c>
      <c r="K34">
        <v>76</v>
      </c>
      <c r="L34">
        <v>3</v>
      </c>
      <c r="M34">
        <v>9.5</v>
      </c>
      <c r="N34" t="s">
        <v>21</v>
      </c>
      <c r="O34">
        <v>0</v>
      </c>
      <c r="P34">
        <v>0</v>
      </c>
      <c r="Q34">
        <v>456</v>
      </c>
      <c r="R34">
        <v>6854</v>
      </c>
      <c r="S34">
        <v>1.1399999999999999</v>
      </c>
      <c r="T34">
        <v>9.5</v>
      </c>
      <c r="U34">
        <v>15</v>
      </c>
      <c r="V34">
        <v>633.33333333333337</v>
      </c>
      <c r="W34" t="s">
        <v>1153</v>
      </c>
      <c r="X34" t="s">
        <v>1087</v>
      </c>
      <c r="Y34">
        <v>37</v>
      </c>
      <c r="Z34">
        <v>8</v>
      </c>
      <c r="AA34">
        <v>50.666666666666664</v>
      </c>
    </row>
    <row r="35" spans="1:27" x14ac:dyDescent="0.3">
      <c r="A35" s="15">
        <v>44484.780069444445</v>
      </c>
      <c r="B35" t="s">
        <v>13</v>
      </c>
      <c r="C35" t="s">
        <v>952</v>
      </c>
      <c r="D35" s="2">
        <v>44449</v>
      </c>
      <c r="E35" t="s">
        <v>1082</v>
      </c>
      <c r="F35" t="s">
        <v>41</v>
      </c>
      <c r="G35" t="s">
        <v>943</v>
      </c>
      <c r="H35" t="s">
        <v>48</v>
      </c>
      <c r="I35" t="s">
        <v>960</v>
      </c>
      <c r="J35" t="s">
        <v>435</v>
      </c>
      <c r="K35">
        <v>407</v>
      </c>
      <c r="L35">
        <v>4</v>
      </c>
      <c r="M35">
        <v>50.9</v>
      </c>
      <c r="N35" t="s">
        <v>21</v>
      </c>
      <c r="O35">
        <v>0</v>
      </c>
      <c r="P35">
        <v>0</v>
      </c>
      <c r="Q35">
        <v>456</v>
      </c>
      <c r="R35">
        <v>6854</v>
      </c>
      <c r="S35">
        <v>6.1050000000000004</v>
      </c>
      <c r="T35">
        <v>50.9</v>
      </c>
      <c r="U35">
        <v>15</v>
      </c>
      <c r="V35">
        <v>3393.3333333333335</v>
      </c>
      <c r="W35" t="s">
        <v>1153</v>
      </c>
      <c r="X35" t="s">
        <v>1087</v>
      </c>
      <c r="Y35">
        <v>37</v>
      </c>
      <c r="Z35">
        <v>8</v>
      </c>
      <c r="AA35">
        <v>271.33333333333331</v>
      </c>
    </row>
    <row r="36" spans="1:27" x14ac:dyDescent="0.3">
      <c r="A36" s="15">
        <v>44484.779768518521</v>
      </c>
      <c r="B36" t="s">
        <v>13</v>
      </c>
      <c r="C36" t="s">
        <v>952</v>
      </c>
      <c r="D36" s="2">
        <v>44449</v>
      </c>
      <c r="E36" t="s">
        <v>1082</v>
      </c>
      <c r="F36" t="s">
        <v>41</v>
      </c>
      <c r="G36" t="s">
        <v>943</v>
      </c>
      <c r="H36" t="s">
        <v>48</v>
      </c>
      <c r="I36" t="s">
        <v>960</v>
      </c>
      <c r="J36" t="s">
        <v>434</v>
      </c>
      <c r="K36">
        <v>215</v>
      </c>
      <c r="L36">
        <v>4</v>
      </c>
      <c r="M36">
        <v>25.7</v>
      </c>
      <c r="N36" t="s">
        <v>21</v>
      </c>
      <c r="O36">
        <v>0</v>
      </c>
      <c r="P36">
        <v>0</v>
      </c>
      <c r="Q36">
        <v>456</v>
      </c>
      <c r="R36">
        <v>6854</v>
      </c>
      <c r="S36">
        <v>3.2250000000000001</v>
      </c>
      <c r="T36">
        <v>25.7</v>
      </c>
      <c r="U36">
        <v>15</v>
      </c>
      <c r="V36">
        <v>1713.3333333333333</v>
      </c>
      <c r="W36" t="s">
        <v>1153</v>
      </c>
      <c r="X36" t="s">
        <v>1087</v>
      </c>
      <c r="Y36">
        <v>37</v>
      </c>
      <c r="Z36">
        <v>8</v>
      </c>
      <c r="AA36">
        <v>143.33333333333334</v>
      </c>
    </row>
    <row r="37" spans="1:27" x14ac:dyDescent="0.3">
      <c r="A37" s="15">
        <v>44484.783495370371</v>
      </c>
      <c r="B37" t="s">
        <v>13</v>
      </c>
      <c r="C37" t="s">
        <v>952</v>
      </c>
      <c r="D37" s="2">
        <v>44450</v>
      </c>
      <c r="E37" t="s">
        <v>1114</v>
      </c>
      <c r="F37" t="s">
        <v>41</v>
      </c>
      <c r="G37" t="s">
        <v>943</v>
      </c>
      <c r="H37" t="s">
        <v>48</v>
      </c>
      <c r="I37" t="s">
        <v>960</v>
      </c>
      <c r="J37" t="s">
        <v>434</v>
      </c>
      <c r="K37">
        <v>122</v>
      </c>
      <c r="L37">
        <v>2</v>
      </c>
      <c r="M37">
        <v>15.3</v>
      </c>
      <c r="N37" t="s">
        <v>21</v>
      </c>
      <c r="O37">
        <v>0</v>
      </c>
      <c r="P37">
        <v>0</v>
      </c>
      <c r="Q37">
        <v>456</v>
      </c>
      <c r="R37">
        <v>6855</v>
      </c>
      <c r="S37">
        <v>1.83</v>
      </c>
      <c r="T37">
        <v>15.3</v>
      </c>
      <c r="U37">
        <v>15</v>
      </c>
      <c r="V37">
        <v>1020</v>
      </c>
      <c r="W37" t="s">
        <v>1153</v>
      </c>
      <c r="X37" t="s">
        <v>1087</v>
      </c>
      <c r="Y37">
        <v>37</v>
      </c>
      <c r="Z37">
        <v>8</v>
      </c>
      <c r="AA37">
        <v>81.333333333333329</v>
      </c>
    </row>
    <row r="38" spans="1:27" x14ac:dyDescent="0.3">
      <c r="A38" s="15">
        <v>44484.782604166663</v>
      </c>
      <c r="B38" t="s">
        <v>13</v>
      </c>
      <c r="C38" t="s">
        <v>952</v>
      </c>
      <c r="D38" s="2">
        <v>44450</v>
      </c>
      <c r="E38" t="s">
        <v>1114</v>
      </c>
      <c r="F38" t="s">
        <v>41</v>
      </c>
      <c r="G38" t="s">
        <v>943</v>
      </c>
      <c r="H38" t="s">
        <v>48</v>
      </c>
      <c r="I38" t="s">
        <v>960</v>
      </c>
      <c r="J38" t="s">
        <v>433</v>
      </c>
      <c r="K38">
        <v>115</v>
      </c>
      <c r="L38">
        <v>2</v>
      </c>
      <c r="M38">
        <v>13.2</v>
      </c>
      <c r="N38" t="s">
        <v>21</v>
      </c>
      <c r="O38">
        <v>0</v>
      </c>
      <c r="P38">
        <v>0</v>
      </c>
      <c r="Q38">
        <v>456</v>
      </c>
      <c r="R38">
        <v>6855</v>
      </c>
      <c r="S38">
        <v>1.7250000000000001</v>
      </c>
      <c r="T38">
        <v>13.2</v>
      </c>
      <c r="U38">
        <v>15</v>
      </c>
      <c r="V38">
        <v>880</v>
      </c>
      <c r="W38" t="s">
        <v>1153</v>
      </c>
      <c r="X38" t="s">
        <v>1087</v>
      </c>
      <c r="Y38">
        <v>37</v>
      </c>
      <c r="Z38">
        <v>8</v>
      </c>
      <c r="AA38">
        <v>76.666666666666671</v>
      </c>
    </row>
    <row r="39" spans="1:27" x14ac:dyDescent="0.3">
      <c r="A39" s="15">
        <v>44484.782083333332</v>
      </c>
      <c r="B39" t="s">
        <v>13</v>
      </c>
      <c r="C39" t="s">
        <v>952</v>
      </c>
      <c r="D39" s="2">
        <v>44450</v>
      </c>
      <c r="E39" t="s">
        <v>1114</v>
      </c>
      <c r="F39" t="s">
        <v>41</v>
      </c>
      <c r="G39" t="s">
        <v>943</v>
      </c>
      <c r="H39" t="s">
        <v>48</v>
      </c>
      <c r="I39" t="s">
        <v>960</v>
      </c>
      <c r="J39" t="s">
        <v>1154</v>
      </c>
      <c r="K39">
        <v>178</v>
      </c>
      <c r="L39">
        <v>2</v>
      </c>
      <c r="M39">
        <v>22.2</v>
      </c>
      <c r="N39" t="s">
        <v>21</v>
      </c>
      <c r="O39">
        <v>0</v>
      </c>
      <c r="P39">
        <v>0</v>
      </c>
      <c r="Q39">
        <v>456</v>
      </c>
      <c r="R39">
        <v>6855</v>
      </c>
      <c r="S39">
        <v>2.67</v>
      </c>
      <c r="T39">
        <v>22.2</v>
      </c>
      <c r="U39">
        <v>15</v>
      </c>
      <c r="V39">
        <v>1480</v>
      </c>
      <c r="W39" t="s">
        <v>1153</v>
      </c>
      <c r="X39" t="s">
        <v>1087</v>
      </c>
      <c r="Y39">
        <v>37</v>
      </c>
      <c r="Z39">
        <v>8</v>
      </c>
      <c r="AA39">
        <v>118.66666666666667</v>
      </c>
    </row>
    <row r="40" spans="1:27" x14ac:dyDescent="0.3">
      <c r="A40" s="15">
        <v>44484.781747685185</v>
      </c>
      <c r="B40" t="s">
        <v>13</v>
      </c>
      <c r="C40" t="s">
        <v>952</v>
      </c>
      <c r="D40" s="2">
        <v>44450</v>
      </c>
      <c r="E40" t="s">
        <v>1114</v>
      </c>
      <c r="F40" t="s">
        <v>41</v>
      </c>
      <c r="G40" t="s">
        <v>943</v>
      </c>
      <c r="H40" t="s">
        <v>48</v>
      </c>
      <c r="I40" t="s">
        <v>960</v>
      </c>
      <c r="J40" t="s">
        <v>432</v>
      </c>
      <c r="K40">
        <v>147</v>
      </c>
      <c r="L40">
        <v>2</v>
      </c>
      <c r="M40">
        <v>18.399999999999999</v>
      </c>
      <c r="N40" t="s">
        <v>21</v>
      </c>
      <c r="O40">
        <v>0</v>
      </c>
      <c r="P40">
        <v>0</v>
      </c>
      <c r="Q40">
        <v>456</v>
      </c>
      <c r="R40">
        <v>6855</v>
      </c>
      <c r="S40">
        <v>2.2050000000000001</v>
      </c>
      <c r="T40">
        <v>18.399999999999999</v>
      </c>
      <c r="U40">
        <v>15</v>
      </c>
      <c r="V40">
        <v>1226.6666666666667</v>
      </c>
      <c r="W40" t="s">
        <v>1153</v>
      </c>
      <c r="X40" t="s">
        <v>1087</v>
      </c>
      <c r="Y40">
        <v>37</v>
      </c>
      <c r="Z40">
        <v>8</v>
      </c>
      <c r="AA40">
        <v>98</v>
      </c>
    </row>
    <row r="41" spans="1:27" x14ac:dyDescent="0.3">
      <c r="A41" s="15">
        <v>44484.785497685189</v>
      </c>
      <c r="B41" t="s">
        <v>13</v>
      </c>
      <c r="C41" t="s">
        <v>952</v>
      </c>
      <c r="D41" s="2">
        <v>44455</v>
      </c>
      <c r="E41" t="s">
        <v>1032</v>
      </c>
      <c r="F41" t="s">
        <v>41</v>
      </c>
      <c r="G41" t="s">
        <v>950</v>
      </c>
      <c r="H41" t="s">
        <v>943</v>
      </c>
      <c r="I41" t="s">
        <v>1161</v>
      </c>
      <c r="J41" t="s">
        <v>1155</v>
      </c>
      <c r="K41">
        <v>138</v>
      </c>
      <c r="L41">
        <v>2</v>
      </c>
      <c r="M41">
        <v>6.6</v>
      </c>
      <c r="N41" t="s">
        <v>21</v>
      </c>
      <c r="O41">
        <v>0</v>
      </c>
      <c r="P41">
        <v>0</v>
      </c>
      <c r="Q41">
        <v>464</v>
      </c>
      <c r="R41">
        <v>6856</v>
      </c>
      <c r="S41">
        <v>3.3119999999999998</v>
      </c>
      <c r="T41">
        <v>6.6</v>
      </c>
      <c r="U41">
        <v>24</v>
      </c>
      <c r="V41">
        <v>275</v>
      </c>
      <c r="W41" t="s">
        <v>1153</v>
      </c>
      <c r="X41" t="s">
        <v>1087</v>
      </c>
      <c r="Y41">
        <v>38</v>
      </c>
      <c r="Z41">
        <v>2</v>
      </c>
      <c r="AA41">
        <v>23</v>
      </c>
    </row>
    <row r="42" spans="1:27" x14ac:dyDescent="0.3">
      <c r="A42" s="15">
        <v>44484.78633101852</v>
      </c>
      <c r="B42" t="s">
        <v>13</v>
      </c>
      <c r="C42" t="s">
        <v>952</v>
      </c>
      <c r="D42" s="2">
        <v>44456</v>
      </c>
      <c r="E42" t="s">
        <v>1114</v>
      </c>
      <c r="F42" t="s">
        <v>41</v>
      </c>
      <c r="G42" t="s">
        <v>950</v>
      </c>
      <c r="H42" t="s">
        <v>943</v>
      </c>
      <c r="I42" t="s">
        <v>1161</v>
      </c>
      <c r="J42" t="s">
        <v>1157</v>
      </c>
      <c r="K42">
        <v>531</v>
      </c>
      <c r="L42">
        <v>5</v>
      </c>
      <c r="M42">
        <v>25.5</v>
      </c>
      <c r="N42" t="s">
        <v>21</v>
      </c>
      <c r="O42">
        <v>0</v>
      </c>
      <c r="P42">
        <v>0</v>
      </c>
      <c r="Q42">
        <v>464</v>
      </c>
      <c r="R42">
        <v>6857</v>
      </c>
      <c r="S42">
        <v>12.744</v>
      </c>
      <c r="T42">
        <v>25.5</v>
      </c>
      <c r="U42">
        <v>24</v>
      </c>
      <c r="V42">
        <v>1062.5</v>
      </c>
      <c r="W42" t="s">
        <v>1153</v>
      </c>
      <c r="X42" t="s">
        <v>1087</v>
      </c>
      <c r="Y42">
        <v>38</v>
      </c>
      <c r="Z42">
        <v>2</v>
      </c>
      <c r="AA42">
        <v>88.5</v>
      </c>
    </row>
    <row r="43" spans="1:27" x14ac:dyDescent="0.3">
      <c r="A43" s="15">
        <v>44484.786041666666</v>
      </c>
      <c r="B43" t="s">
        <v>13</v>
      </c>
      <c r="C43" t="s">
        <v>952</v>
      </c>
      <c r="D43" s="2">
        <v>44456</v>
      </c>
      <c r="E43" t="s">
        <v>1114</v>
      </c>
      <c r="F43" t="s">
        <v>41</v>
      </c>
      <c r="G43" t="s">
        <v>950</v>
      </c>
      <c r="H43" t="s">
        <v>943</v>
      </c>
      <c r="I43" t="s">
        <v>1161</v>
      </c>
      <c r="J43" t="s">
        <v>1155</v>
      </c>
      <c r="K43">
        <v>583</v>
      </c>
      <c r="L43">
        <v>5</v>
      </c>
      <c r="M43">
        <v>28</v>
      </c>
      <c r="N43" t="s">
        <v>21</v>
      </c>
      <c r="O43">
        <v>0</v>
      </c>
      <c r="P43">
        <v>0</v>
      </c>
      <c r="Q43">
        <v>464</v>
      </c>
      <c r="R43">
        <v>6856</v>
      </c>
      <c r="S43">
        <v>13.992000000000001</v>
      </c>
      <c r="T43">
        <v>28</v>
      </c>
      <c r="U43">
        <v>24</v>
      </c>
      <c r="V43">
        <v>1166.6666666666667</v>
      </c>
      <c r="W43" t="s">
        <v>1153</v>
      </c>
      <c r="X43" t="s">
        <v>1087</v>
      </c>
      <c r="Y43">
        <v>38</v>
      </c>
      <c r="Z43">
        <v>2</v>
      </c>
      <c r="AA43">
        <v>97.166666666666671</v>
      </c>
    </row>
    <row r="44" spans="1:27" x14ac:dyDescent="0.3">
      <c r="A44" s="15">
        <v>44484.78875</v>
      </c>
      <c r="B44" t="s">
        <v>13</v>
      </c>
      <c r="C44" t="s">
        <v>952</v>
      </c>
      <c r="D44" s="2">
        <v>44457</v>
      </c>
      <c r="E44" t="s">
        <v>1114</v>
      </c>
      <c r="F44" t="s">
        <v>41</v>
      </c>
      <c r="G44" t="s">
        <v>950</v>
      </c>
      <c r="H44" t="s">
        <v>943</v>
      </c>
      <c r="I44" t="s">
        <v>1161</v>
      </c>
      <c r="J44" t="s">
        <v>1156</v>
      </c>
      <c r="K44">
        <v>295</v>
      </c>
      <c r="L44">
        <v>5</v>
      </c>
      <c r="M44">
        <v>14.2</v>
      </c>
      <c r="N44" t="s">
        <v>21</v>
      </c>
      <c r="O44">
        <v>0</v>
      </c>
      <c r="P44">
        <v>0</v>
      </c>
      <c r="Q44">
        <v>464</v>
      </c>
      <c r="R44">
        <v>6859</v>
      </c>
      <c r="S44">
        <v>7.08</v>
      </c>
      <c r="T44">
        <v>14.2</v>
      </c>
      <c r="U44">
        <v>24</v>
      </c>
      <c r="V44">
        <v>591.66666666666663</v>
      </c>
      <c r="W44" t="s">
        <v>1153</v>
      </c>
      <c r="X44" t="s">
        <v>1087</v>
      </c>
      <c r="Y44">
        <v>38</v>
      </c>
      <c r="Z44">
        <v>2</v>
      </c>
      <c r="AA44">
        <v>49.166666666666664</v>
      </c>
    </row>
    <row r="45" spans="1:27" x14ac:dyDescent="0.3">
      <c r="A45" s="15">
        <v>44484.789409722223</v>
      </c>
      <c r="B45" t="s">
        <v>13</v>
      </c>
      <c r="C45" t="s">
        <v>952</v>
      </c>
      <c r="D45" s="2">
        <v>44459</v>
      </c>
      <c r="E45" t="s">
        <v>1092</v>
      </c>
      <c r="F45" t="s">
        <v>41</v>
      </c>
      <c r="G45" t="s">
        <v>950</v>
      </c>
      <c r="H45" t="s">
        <v>943</v>
      </c>
      <c r="I45" t="s">
        <v>1161</v>
      </c>
      <c r="J45" t="s">
        <v>1156</v>
      </c>
      <c r="K45">
        <v>1382</v>
      </c>
      <c r="L45">
        <v>12</v>
      </c>
      <c r="M45">
        <v>66.7</v>
      </c>
      <c r="N45" t="s">
        <v>21</v>
      </c>
      <c r="O45">
        <v>0</v>
      </c>
      <c r="P45">
        <v>0</v>
      </c>
      <c r="Q45">
        <v>464</v>
      </c>
      <c r="R45">
        <v>6860</v>
      </c>
      <c r="S45">
        <v>33.167999999999999</v>
      </c>
      <c r="T45">
        <v>66.7</v>
      </c>
      <c r="U45">
        <v>24</v>
      </c>
      <c r="V45">
        <v>2779.1666666666665</v>
      </c>
      <c r="W45" t="s">
        <v>1153</v>
      </c>
      <c r="X45" t="s">
        <v>1087</v>
      </c>
      <c r="Y45">
        <v>39</v>
      </c>
      <c r="Z45">
        <v>2</v>
      </c>
      <c r="AA45">
        <v>230.33333333333334</v>
      </c>
    </row>
    <row r="46" spans="1:27" x14ac:dyDescent="0.3">
      <c r="A46" s="15">
        <v>44484.790613425925</v>
      </c>
      <c r="B46" t="s">
        <v>13</v>
      </c>
      <c r="C46" t="s">
        <v>952</v>
      </c>
      <c r="D46" s="2">
        <v>44460</v>
      </c>
      <c r="E46" t="s">
        <v>1092</v>
      </c>
      <c r="F46" t="s">
        <v>41</v>
      </c>
      <c r="G46" t="s">
        <v>950</v>
      </c>
      <c r="H46" t="s">
        <v>943</v>
      </c>
      <c r="I46" t="s">
        <v>1161</v>
      </c>
      <c r="J46" t="s">
        <v>1159</v>
      </c>
      <c r="K46">
        <v>804</v>
      </c>
      <c r="L46">
        <v>7</v>
      </c>
      <c r="M46">
        <v>38.700000000000003</v>
      </c>
      <c r="N46" t="s">
        <v>21</v>
      </c>
      <c r="O46">
        <v>0</v>
      </c>
      <c r="P46">
        <v>0</v>
      </c>
      <c r="Q46">
        <v>464</v>
      </c>
      <c r="R46">
        <v>6862</v>
      </c>
      <c r="S46">
        <v>19.295999999999999</v>
      </c>
      <c r="T46">
        <v>38.700000000000003</v>
      </c>
      <c r="U46">
        <v>24</v>
      </c>
      <c r="V46">
        <v>1612.5</v>
      </c>
      <c r="W46" t="s">
        <v>1153</v>
      </c>
      <c r="X46" t="s">
        <v>1087</v>
      </c>
      <c r="Y46">
        <v>39</v>
      </c>
      <c r="Z46">
        <v>2</v>
      </c>
      <c r="AA46">
        <v>134</v>
      </c>
    </row>
    <row r="47" spans="1:27" x14ac:dyDescent="0.3">
      <c r="A47" s="15">
        <v>44484.790231481478</v>
      </c>
      <c r="B47" t="s">
        <v>13</v>
      </c>
      <c r="C47" t="s">
        <v>952</v>
      </c>
      <c r="D47" s="2">
        <v>44460</v>
      </c>
      <c r="E47" t="s">
        <v>1092</v>
      </c>
      <c r="F47" t="s">
        <v>41</v>
      </c>
      <c r="G47" t="s">
        <v>950</v>
      </c>
      <c r="H47" t="s">
        <v>943</v>
      </c>
      <c r="I47" t="s">
        <v>1161</v>
      </c>
      <c r="J47" t="s">
        <v>1160</v>
      </c>
      <c r="K47">
        <v>347</v>
      </c>
      <c r="L47">
        <v>3</v>
      </c>
      <c r="M47">
        <v>16.2</v>
      </c>
      <c r="N47" t="s">
        <v>21</v>
      </c>
      <c r="O47">
        <v>0</v>
      </c>
      <c r="P47">
        <v>0</v>
      </c>
      <c r="Q47">
        <v>464</v>
      </c>
      <c r="R47">
        <v>6862</v>
      </c>
      <c r="S47">
        <v>8.3279999999999994</v>
      </c>
      <c r="T47">
        <v>16.2</v>
      </c>
      <c r="U47">
        <v>24</v>
      </c>
      <c r="V47">
        <v>675</v>
      </c>
      <c r="W47" t="s">
        <v>1153</v>
      </c>
      <c r="X47" t="s">
        <v>1087</v>
      </c>
      <c r="Y47">
        <v>39</v>
      </c>
      <c r="Z47">
        <v>2</v>
      </c>
      <c r="AA47">
        <v>57.833333333333336</v>
      </c>
    </row>
    <row r="48" spans="1:27" x14ac:dyDescent="0.3">
      <c r="A48" s="15">
        <v>44484.792638888888</v>
      </c>
      <c r="B48" t="s">
        <v>13</v>
      </c>
      <c r="C48" t="s">
        <v>952</v>
      </c>
      <c r="D48" s="2">
        <v>44461</v>
      </c>
      <c r="E48" t="s">
        <v>1114</v>
      </c>
      <c r="F48" t="s">
        <v>41</v>
      </c>
      <c r="G48" t="s">
        <v>950</v>
      </c>
      <c r="H48" t="s">
        <v>943</v>
      </c>
      <c r="I48" t="s">
        <v>1161</v>
      </c>
      <c r="J48" t="s">
        <v>1157</v>
      </c>
      <c r="K48">
        <v>88</v>
      </c>
      <c r="L48">
        <v>1</v>
      </c>
      <c r="M48">
        <v>4.2</v>
      </c>
      <c r="N48" t="s">
        <v>21</v>
      </c>
      <c r="O48">
        <v>0</v>
      </c>
      <c r="P48">
        <v>0</v>
      </c>
      <c r="Q48">
        <v>464</v>
      </c>
      <c r="R48">
        <v>6865</v>
      </c>
      <c r="S48">
        <v>2.1120000000000001</v>
      </c>
      <c r="T48">
        <v>4.2</v>
      </c>
      <c r="U48">
        <v>24</v>
      </c>
      <c r="V48">
        <v>175</v>
      </c>
      <c r="W48" t="s">
        <v>1153</v>
      </c>
      <c r="X48" t="s">
        <v>1087</v>
      </c>
      <c r="Y48">
        <v>39</v>
      </c>
      <c r="Z48">
        <v>2</v>
      </c>
      <c r="AA48">
        <v>14.666666666666666</v>
      </c>
    </row>
    <row r="49" spans="1:27" x14ac:dyDescent="0.3">
      <c r="A49" s="15">
        <v>44484.792175925926</v>
      </c>
      <c r="B49" t="s">
        <v>13</v>
      </c>
      <c r="C49" t="s">
        <v>952</v>
      </c>
      <c r="D49" s="2">
        <v>44461</v>
      </c>
      <c r="E49" t="s">
        <v>1114</v>
      </c>
      <c r="F49" t="s">
        <v>41</v>
      </c>
      <c r="G49" t="s">
        <v>950</v>
      </c>
      <c r="H49" t="s">
        <v>943</v>
      </c>
      <c r="I49" t="s">
        <v>1161</v>
      </c>
      <c r="J49" t="s">
        <v>1157</v>
      </c>
      <c r="K49">
        <v>677</v>
      </c>
      <c r="L49">
        <v>7</v>
      </c>
      <c r="M49">
        <v>32.5</v>
      </c>
      <c r="N49" t="s">
        <v>21</v>
      </c>
      <c r="O49">
        <v>0</v>
      </c>
      <c r="P49">
        <v>0</v>
      </c>
      <c r="Q49">
        <v>464</v>
      </c>
      <c r="R49">
        <v>6864</v>
      </c>
      <c r="S49">
        <v>16.248000000000001</v>
      </c>
      <c r="T49">
        <v>32.5</v>
      </c>
      <c r="U49">
        <v>24</v>
      </c>
      <c r="V49">
        <v>1354.1666666666667</v>
      </c>
      <c r="W49" t="s">
        <v>1153</v>
      </c>
      <c r="X49" t="s">
        <v>1087</v>
      </c>
      <c r="Y49">
        <v>39</v>
      </c>
      <c r="Z49">
        <v>2</v>
      </c>
      <c r="AA49">
        <v>112.83333333333333</v>
      </c>
    </row>
    <row r="50" spans="1:27" x14ac:dyDescent="0.3">
      <c r="A50" s="15">
        <v>44484.791851851849</v>
      </c>
      <c r="B50" t="s">
        <v>13</v>
      </c>
      <c r="C50" t="s">
        <v>952</v>
      </c>
      <c r="D50" s="2">
        <v>44461</v>
      </c>
      <c r="E50" t="s">
        <v>1114</v>
      </c>
      <c r="F50" t="s">
        <v>41</v>
      </c>
      <c r="G50" t="s">
        <v>950</v>
      </c>
      <c r="H50" t="s">
        <v>943</v>
      </c>
      <c r="I50" t="s">
        <v>1161</v>
      </c>
      <c r="J50" t="s">
        <v>1155</v>
      </c>
      <c r="K50">
        <v>635</v>
      </c>
      <c r="L50">
        <v>4</v>
      </c>
      <c r="M50">
        <v>30.5</v>
      </c>
      <c r="N50" t="s">
        <v>21</v>
      </c>
      <c r="O50">
        <v>0</v>
      </c>
      <c r="P50">
        <v>0</v>
      </c>
      <c r="Q50">
        <v>464</v>
      </c>
      <c r="R50">
        <v>6864</v>
      </c>
      <c r="S50">
        <v>15.24</v>
      </c>
      <c r="T50">
        <v>30.5</v>
      </c>
      <c r="U50">
        <v>24</v>
      </c>
      <c r="V50">
        <v>1270.8333333333333</v>
      </c>
      <c r="W50" t="s">
        <v>1153</v>
      </c>
      <c r="X50" t="s">
        <v>1087</v>
      </c>
      <c r="Y50">
        <v>39</v>
      </c>
      <c r="Z50">
        <v>2</v>
      </c>
      <c r="AA50">
        <v>105.83333333333333</v>
      </c>
    </row>
    <row r="51" spans="1:27" x14ac:dyDescent="0.3">
      <c r="A51" s="15">
        <v>44484.794444444444</v>
      </c>
      <c r="B51" t="s">
        <v>13</v>
      </c>
      <c r="C51" t="s">
        <v>952</v>
      </c>
      <c r="D51" s="2">
        <v>44468</v>
      </c>
      <c r="E51" t="s">
        <v>1082</v>
      </c>
      <c r="F51" t="s">
        <v>41</v>
      </c>
      <c r="G51" t="s">
        <v>943</v>
      </c>
      <c r="H51" t="s">
        <v>48</v>
      </c>
      <c r="I51" t="s">
        <v>1037</v>
      </c>
      <c r="J51" t="s">
        <v>196</v>
      </c>
      <c r="K51">
        <v>1420</v>
      </c>
      <c r="L51">
        <v>12</v>
      </c>
      <c r="M51">
        <v>102.5</v>
      </c>
      <c r="N51" t="s">
        <v>21</v>
      </c>
      <c r="O51">
        <v>120</v>
      </c>
      <c r="P51">
        <v>13</v>
      </c>
      <c r="Q51">
        <v>474</v>
      </c>
      <c r="R51">
        <v>6870</v>
      </c>
      <c r="S51">
        <v>100.82</v>
      </c>
      <c r="T51">
        <v>102.5</v>
      </c>
      <c r="U51">
        <v>71</v>
      </c>
      <c r="V51">
        <v>1443.661971830986</v>
      </c>
      <c r="W51" t="s">
        <v>1153</v>
      </c>
      <c r="X51" t="s">
        <v>1087</v>
      </c>
      <c r="Y51">
        <v>40</v>
      </c>
      <c r="Z51">
        <v>1</v>
      </c>
      <c r="AA51">
        <v>118.33333333333333</v>
      </c>
    </row>
    <row r="52" spans="1:27" x14ac:dyDescent="0.3">
      <c r="A52" s="15">
        <v>44484.795300925929</v>
      </c>
      <c r="B52" t="s">
        <v>13</v>
      </c>
      <c r="C52" t="s">
        <v>952</v>
      </c>
      <c r="D52" s="2">
        <v>44469</v>
      </c>
      <c r="E52" t="s">
        <v>1082</v>
      </c>
      <c r="F52" t="s">
        <v>41</v>
      </c>
      <c r="G52" t="s">
        <v>943</v>
      </c>
      <c r="H52" t="s">
        <v>48</v>
      </c>
      <c r="I52" t="s">
        <v>1037</v>
      </c>
      <c r="J52" t="s">
        <v>196</v>
      </c>
      <c r="K52">
        <v>1570</v>
      </c>
      <c r="L52">
        <v>12</v>
      </c>
      <c r="M52">
        <v>108.8</v>
      </c>
      <c r="N52" t="s">
        <v>21</v>
      </c>
      <c r="O52">
        <v>120</v>
      </c>
      <c r="P52">
        <v>13</v>
      </c>
      <c r="Q52">
        <v>474</v>
      </c>
      <c r="R52">
        <v>6872</v>
      </c>
      <c r="S52">
        <v>111.47</v>
      </c>
      <c r="T52">
        <v>108.8</v>
      </c>
      <c r="U52">
        <v>71</v>
      </c>
      <c r="V52">
        <v>1532.394366197183</v>
      </c>
      <c r="W52" t="s">
        <v>1153</v>
      </c>
      <c r="X52" t="s">
        <v>1087</v>
      </c>
      <c r="Y52">
        <v>40</v>
      </c>
      <c r="Z52">
        <v>1</v>
      </c>
      <c r="AA52">
        <v>130.83333333333334</v>
      </c>
    </row>
    <row r="53" spans="1:27" x14ac:dyDescent="0.3">
      <c r="A53" s="15">
        <v>44452.710694444446</v>
      </c>
      <c r="B53" t="s">
        <v>13</v>
      </c>
      <c r="C53" t="s">
        <v>1128</v>
      </c>
      <c r="D53" s="2">
        <v>44440</v>
      </c>
      <c r="E53" t="s">
        <v>1082</v>
      </c>
      <c r="F53" t="s">
        <v>41</v>
      </c>
      <c r="G53" t="s">
        <v>940</v>
      </c>
      <c r="H53" t="s">
        <v>48</v>
      </c>
      <c r="I53" t="s">
        <v>1012</v>
      </c>
      <c r="J53" t="s">
        <v>512</v>
      </c>
      <c r="K53">
        <v>71</v>
      </c>
      <c r="L53">
        <v>1</v>
      </c>
      <c r="M53">
        <v>5.8</v>
      </c>
      <c r="N53" t="s">
        <v>21</v>
      </c>
      <c r="O53">
        <v>0</v>
      </c>
      <c r="P53">
        <v>1</v>
      </c>
      <c r="Q53">
        <v>450</v>
      </c>
      <c r="R53">
        <v>6479</v>
      </c>
      <c r="S53">
        <v>2.9820000000000002</v>
      </c>
      <c r="T53">
        <v>5.8</v>
      </c>
      <c r="U53">
        <v>42</v>
      </c>
      <c r="V53">
        <v>138.0952380952381</v>
      </c>
      <c r="W53" t="s">
        <v>1153</v>
      </c>
      <c r="X53" t="s">
        <v>1087</v>
      </c>
      <c r="Y53">
        <v>36</v>
      </c>
      <c r="Z53">
        <v>2</v>
      </c>
      <c r="AA53">
        <v>11.833333333333334</v>
      </c>
    </row>
    <row r="54" spans="1:27" x14ac:dyDescent="0.3">
      <c r="A54" s="15">
        <v>44452.710358796299</v>
      </c>
      <c r="B54" t="s">
        <v>13</v>
      </c>
      <c r="C54" t="s">
        <v>1128</v>
      </c>
      <c r="D54" s="2">
        <v>44440</v>
      </c>
      <c r="E54" t="s">
        <v>1082</v>
      </c>
      <c r="F54" t="s">
        <v>41</v>
      </c>
      <c r="G54" t="s">
        <v>940</v>
      </c>
      <c r="H54" t="s">
        <v>48</v>
      </c>
      <c r="I54" t="s">
        <v>1012</v>
      </c>
      <c r="J54" t="s">
        <v>513</v>
      </c>
      <c r="K54">
        <v>500</v>
      </c>
      <c r="L54">
        <v>5</v>
      </c>
      <c r="M54">
        <v>40.799999999999997</v>
      </c>
      <c r="N54" t="s">
        <v>21</v>
      </c>
      <c r="O54">
        <v>0</v>
      </c>
      <c r="P54">
        <v>3</v>
      </c>
      <c r="Q54">
        <v>450</v>
      </c>
      <c r="R54">
        <v>6479</v>
      </c>
      <c r="S54">
        <v>21</v>
      </c>
      <c r="T54">
        <v>40.799999999999997</v>
      </c>
      <c r="U54">
        <v>42</v>
      </c>
      <c r="V54">
        <v>971.42857142857144</v>
      </c>
      <c r="W54" t="s">
        <v>1153</v>
      </c>
      <c r="X54" t="s">
        <v>1087</v>
      </c>
      <c r="Y54">
        <v>36</v>
      </c>
      <c r="Z54">
        <v>2</v>
      </c>
      <c r="AA54">
        <v>83.333333333333329</v>
      </c>
    </row>
    <row r="55" spans="1:27" x14ac:dyDescent="0.3">
      <c r="A55" s="15">
        <v>44452.711655092593</v>
      </c>
      <c r="B55" t="s">
        <v>13</v>
      </c>
      <c r="C55" t="s">
        <v>1128</v>
      </c>
      <c r="D55" s="2">
        <v>44441</v>
      </c>
      <c r="E55" t="s">
        <v>1130</v>
      </c>
      <c r="F55" t="s">
        <v>41</v>
      </c>
      <c r="G55" t="s">
        <v>940</v>
      </c>
      <c r="H55" t="s">
        <v>48</v>
      </c>
      <c r="I55" t="s">
        <v>1012</v>
      </c>
      <c r="J55" t="s">
        <v>514</v>
      </c>
      <c r="K55">
        <v>585</v>
      </c>
      <c r="L55">
        <v>6</v>
      </c>
      <c r="M55">
        <v>47.4</v>
      </c>
      <c r="N55" t="s">
        <v>21</v>
      </c>
      <c r="O55">
        <v>0</v>
      </c>
      <c r="P55">
        <v>4</v>
      </c>
      <c r="Q55">
        <v>450</v>
      </c>
      <c r="R55">
        <v>6480</v>
      </c>
      <c r="S55">
        <v>24.57</v>
      </c>
      <c r="T55">
        <v>47.4</v>
      </c>
      <c r="U55">
        <v>42</v>
      </c>
      <c r="V55">
        <v>1128.5714285714287</v>
      </c>
      <c r="W55" t="s">
        <v>1153</v>
      </c>
      <c r="X55" t="s">
        <v>1087</v>
      </c>
      <c r="Y55">
        <v>36</v>
      </c>
      <c r="Z55">
        <v>2</v>
      </c>
      <c r="AA55">
        <v>97.5</v>
      </c>
    </row>
    <row r="56" spans="1:27" x14ac:dyDescent="0.3">
      <c r="A56" s="15">
        <v>44452.711273148147</v>
      </c>
      <c r="B56" t="s">
        <v>13</v>
      </c>
      <c r="C56" t="s">
        <v>1128</v>
      </c>
      <c r="D56" s="2">
        <v>44441</v>
      </c>
      <c r="E56" t="s">
        <v>1130</v>
      </c>
      <c r="F56" t="s">
        <v>41</v>
      </c>
      <c r="G56" t="s">
        <v>940</v>
      </c>
      <c r="H56" t="s">
        <v>48</v>
      </c>
      <c r="I56" t="s">
        <v>1012</v>
      </c>
      <c r="J56" t="s">
        <v>512</v>
      </c>
      <c r="K56">
        <v>495</v>
      </c>
      <c r="L56">
        <v>5</v>
      </c>
      <c r="M56">
        <v>40.1</v>
      </c>
      <c r="N56" t="s">
        <v>21</v>
      </c>
      <c r="O56">
        <v>0</v>
      </c>
      <c r="P56">
        <v>3</v>
      </c>
      <c r="Q56">
        <v>450</v>
      </c>
      <c r="R56">
        <v>6480</v>
      </c>
      <c r="S56">
        <v>20.79</v>
      </c>
      <c r="T56">
        <v>40.1</v>
      </c>
      <c r="U56">
        <v>42</v>
      </c>
      <c r="V56">
        <v>954.76190476190482</v>
      </c>
      <c r="W56" t="s">
        <v>1153</v>
      </c>
      <c r="X56" t="s">
        <v>1087</v>
      </c>
      <c r="Y56">
        <v>36</v>
      </c>
      <c r="Z56">
        <v>2</v>
      </c>
      <c r="AA56">
        <v>82.5</v>
      </c>
    </row>
    <row r="57" spans="1:27" x14ac:dyDescent="0.3">
      <c r="A57" s="15">
        <v>44452.712407407409</v>
      </c>
      <c r="B57" t="s">
        <v>13</v>
      </c>
      <c r="C57" t="s">
        <v>1128</v>
      </c>
      <c r="D57" s="2">
        <v>44442</v>
      </c>
      <c r="E57" t="s">
        <v>1130</v>
      </c>
      <c r="F57" t="s">
        <v>41</v>
      </c>
      <c r="G57" t="s">
        <v>940</v>
      </c>
      <c r="H57" t="s">
        <v>48</v>
      </c>
      <c r="I57" t="s">
        <v>1012</v>
      </c>
      <c r="J57" t="s">
        <v>511</v>
      </c>
      <c r="K57">
        <v>1035</v>
      </c>
      <c r="L57">
        <v>11</v>
      </c>
      <c r="M57">
        <v>83.9</v>
      </c>
      <c r="N57" t="s">
        <v>21</v>
      </c>
      <c r="O57">
        <v>0</v>
      </c>
      <c r="P57">
        <v>7</v>
      </c>
      <c r="Q57">
        <v>450</v>
      </c>
      <c r="R57">
        <v>6481</v>
      </c>
      <c r="S57">
        <v>43.47</v>
      </c>
      <c r="T57">
        <v>83.9</v>
      </c>
      <c r="U57">
        <v>42</v>
      </c>
      <c r="V57">
        <v>1997.6190476190477</v>
      </c>
      <c r="W57" t="s">
        <v>1153</v>
      </c>
      <c r="X57" t="s">
        <v>1087</v>
      </c>
      <c r="Y57">
        <v>36</v>
      </c>
      <c r="Z57">
        <v>2</v>
      </c>
      <c r="AA57">
        <v>172.5</v>
      </c>
    </row>
    <row r="58" spans="1:27" x14ac:dyDescent="0.3">
      <c r="A58" s="15">
        <v>44452.714421296296</v>
      </c>
      <c r="B58" t="s">
        <v>13</v>
      </c>
      <c r="C58" t="s">
        <v>1128</v>
      </c>
      <c r="D58" s="2">
        <v>44443</v>
      </c>
      <c r="E58" t="s">
        <v>1130</v>
      </c>
      <c r="F58" t="s">
        <v>41</v>
      </c>
      <c r="G58" t="s">
        <v>940</v>
      </c>
      <c r="H58" t="s">
        <v>48</v>
      </c>
      <c r="I58" t="s">
        <v>1012</v>
      </c>
      <c r="J58" t="s">
        <v>514</v>
      </c>
      <c r="K58">
        <v>482</v>
      </c>
      <c r="L58">
        <v>3</v>
      </c>
      <c r="M58">
        <v>39.1</v>
      </c>
      <c r="N58" t="s">
        <v>21</v>
      </c>
      <c r="O58">
        <v>0</v>
      </c>
      <c r="P58">
        <v>2</v>
      </c>
      <c r="Q58">
        <v>450</v>
      </c>
      <c r="R58">
        <v>6482</v>
      </c>
      <c r="S58">
        <v>20.244</v>
      </c>
      <c r="T58">
        <v>39.1</v>
      </c>
      <c r="U58">
        <v>42</v>
      </c>
      <c r="V58">
        <v>930.95238095238096</v>
      </c>
      <c r="W58" t="s">
        <v>1153</v>
      </c>
      <c r="X58" t="s">
        <v>1087</v>
      </c>
      <c r="Y58">
        <v>36</v>
      </c>
      <c r="Z58">
        <v>2</v>
      </c>
      <c r="AA58">
        <v>80.333333333333329</v>
      </c>
    </row>
    <row r="59" spans="1:27" x14ac:dyDescent="0.3">
      <c r="A59" s="15">
        <v>44452.714004629626</v>
      </c>
      <c r="B59" t="s">
        <v>13</v>
      </c>
      <c r="C59" t="s">
        <v>1128</v>
      </c>
      <c r="D59" s="2">
        <v>44443</v>
      </c>
      <c r="E59" t="s">
        <v>1130</v>
      </c>
      <c r="F59" t="s">
        <v>41</v>
      </c>
      <c r="G59" t="s">
        <v>940</v>
      </c>
      <c r="H59" t="s">
        <v>48</v>
      </c>
      <c r="I59" t="s">
        <v>1012</v>
      </c>
      <c r="J59" t="s">
        <v>511</v>
      </c>
      <c r="K59">
        <v>501</v>
      </c>
      <c r="L59">
        <v>7</v>
      </c>
      <c r="M59">
        <v>40.6</v>
      </c>
      <c r="N59" t="s">
        <v>21</v>
      </c>
      <c r="O59">
        <v>0</v>
      </c>
      <c r="P59">
        <v>3</v>
      </c>
      <c r="Q59">
        <v>450</v>
      </c>
      <c r="R59">
        <v>6482</v>
      </c>
      <c r="S59">
        <v>21.042000000000002</v>
      </c>
      <c r="T59">
        <v>40.6</v>
      </c>
      <c r="U59">
        <v>42</v>
      </c>
      <c r="V59">
        <v>966.66666666666663</v>
      </c>
      <c r="W59" t="s">
        <v>1153</v>
      </c>
      <c r="X59" t="s">
        <v>1087</v>
      </c>
      <c r="Y59">
        <v>36</v>
      </c>
      <c r="Z59">
        <v>2</v>
      </c>
      <c r="AA59">
        <v>83.5</v>
      </c>
    </row>
    <row r="60" spans="1:27" x14ac:dyDescent="0.3">
      <c r="A60" s="15">
        <v>44452.71497685185</v>
      </c>
      <c r="B60" t="s">
        <v>13</v>
      </c>
      <c r="C60" t="s">
        <v>1128</v>
      </c>
      <c r="D60" s="2">
        <v>44445</v>
      </c>
      <c r="E60" t="s">
        <v>1130</v>
      </c>
      <c r="F60" t="s">
        <v>41</v>
      </c>
      <c r="G60" t="s">
        <v>940</v>
      </c>
      <c r="H60" t="s">
        <v>48</v>
      </c>
      <c r="I60" t="s">
        <v>1012</v>
      </c>
      <c r="J60" t="s">
        <v>514</v>
      </c>
      <c r="K60">
        <v>1065</v>
      </c>
      <c r="L60">
        <v>6</v>
      </c>
      <c r="M60">
        <v>86.3</v>
      </c>
      <c r="N60" t="s">
        <v>21</v>
      </c>
      <c r="O60">
        <v>0</v>
      </c>
      <c r="P60">
        <v>2</v>
      </c>
      <c r="Q60">
        <v>450</v>
      </c>
      <c r="R60">
        <v>6483</v>
      </c>
      <c r="S60">
        <v>44.73</v>
      </c>
      <c r="T60">
        <v>86.3</v>
      </c>
      <c r="U60">
        <v>42</v>
      </c>
      <c r="V60">
        <v>2054.7619047619046</v>
      </c>
      <c r="W60" t="s">
        <v>1153</v>
      </c>
      <c r="X60" t="s">
        <v>1087</v>
      </c>
      <c r="Y60">
        <v>37</v>
      </c>
      <c r="Z60">
        <v>2</v>
      </c>
      <c r="AA60">
        <v>177.5</v>
      </c>
    </row>
    <row r="61" spans="1:27" x14ac:dyDescent="0.3">
      <c r="A61" s="15">
        <v>44452.716261574074</v>
      </c>
      <c r="B61" t="s">
        <v>13</v>
      </c>
      <c r="C61" t="s">
        <v>1128</v>
      </c>
      <c r="D61" s="2">
        <v>44446</v>
      </c>
      <c r="E61" t="s">
        <v>1130</v>
      </c>
      <c r="F61" t="s">
        <v>41</v>
      </c>
      <c r="G61" t="s">
        <v>940</v>
      </c>
      <c r="H61" t="s">
        <v>48</v>
      </c>
      <c r="I61" t="s">
        <v>1012</v>
      </c>
      <c r="J61" t="s">
        <v>510</v>
      </c>
      <c r="K61">
        <v>1014</v>
      </c>
      <c r="L61">
        <v>10</v>
      </c>
      <c r="M61">
        <v>82.7</v>
      </c>
      <c r="N61" t="s">
        <v>21</v>
      </c>
      <c r="O61">
        <v>0</v>
      </c>
      <c r="P61">
        <v>6</v>
      </c>
      <c r="Q61">
        <v>450</v>
      </c>
      <c r="R61">
        <v>6484</v>
      </c>
      <c r="S61">
        <v>42.588000000000001</v>
      </c>
      <c r="T61">
        <v>82.7</v>
      </c>
      <c r="U61">
        <v>42</v>
      </c>
      <c r="V61">
        <v>1969.047619047619</v>
      </c>
      <c r="W61" t="s">
        <v>1153</v>
      </c>
      <c r="X61" t="s">
        <v>1087</v>
      </c>
      <c r="Y61">
        <v>37</v>
      </c>
      <c r="Z61">
        <v>2</v>
      </c>
      <c r="AA61">
        <v>169</v>
      </c>
    </row>
    <row r="62" spans="1:27" x14ac:dyDescent="0.3">
      <c r="A62" s="15">
        <v>44452.719629629632</v>
      </c>
      <c r="B62" t="s">
        <v>13</v>
      </c>
      <c r="C62" t="s">
        <v>1128</v>
      </c>
      <c r="D62" s="2">
        <v>44447</v>
      </c>
      <c r="E62" t="s">
        <v>1114</v>
      </c>
      <c r="F62" t="s">
        <v>41</v>
      </c>
      <c r="G62" t="s">
        <v>940</v>
      </c>
      <c r="H62" t="s">
        <v>48</v>
      </c>
      <c r="I62" t="s">
        <v>1012</v>
      </c>
      <c r="J62" t="s">
        <v>513</v>
      </c>
      <c r="K62">
        <v>326</v>
      </c>
      <c r="L62">
        <v>3</v>
      </c>
      <c r="M62">
        <v>25.7</v>
      </c>
      <c r="N62" t="s">
        <v>21</v>
      </c>
      <c r="O62">
        <v>0</v>
      </c>
      <c r="P62">
        <v>2</v>
      </c>
      <c r="Q62">
        <v>450</v>
      </c>
      <c r="R62">
        <v>6486</v>
      </c>
      <c r="S62">
        <v>13.692</v>
      </c>
      <c r="T62">
        <v>25.7</v>
      </c>
      <c r="U62">
        <v>42</v>
      </c>
      <c r="V62">
        <v>611.90476190476193</v>
      </c>
      <c r="W62" t="s">
        <v>1153</v>
      </c>
      <c r="X62" t="s">
        <v>1087</v>
      </c>
      <c r="Y62">
        <v>37</v>
      </c>
      <c r="Z62">
        <v>2</v>
      </c>
      <c r="AA62">
        <v>54.333333333333336</v>
      </c>
    </row>
    <row r="63" spans="1:27" x14ac:dyDescent="0.3">
      <c r="A63" s="15">
        <v>44452.719178240739</v>
      </c>
      <c r="B63" t="s">
        <v>13</v>
      </c>
      <c r="C63" t="s">
        <v>1128</v>
      </c>
      <c r="D63" s="2">
        <v>44447</v>
      </c>
      <c r="E63" t="s">
        <v>1114</v>
      </c>
      <c r="F63" t="s">
        <v>41</v>
      </c>
      <c r="G63" t="s">
        <v>940</v>
      </c>
      <c r="H63" t="s">
        <v>48</v>
      </c>
      <c r="I63" t="s">
        <v>1012</v>
      </c>
      <c r="J63" t="s">
        <v>515</v>
      </c>
      <c r="K63">
        <v>753</v>
      </c>
      <c r="L63">
        <v>7</v>
      </c>
      <c r="M63">
        <v>64.2</v>
      </c>
      <c r="N63" t="s">
        <v>21</v>
      </c>
      <c r="O63">
        <v>0</v>
      </c>
      <c r="P63">
        <v>6</v>
      </c>
      <c r="Q63">
        <v>450</v>
      </c>
      <c r="R63">
        <v>6486</v>
      </c>
      <c r="S63">
        <v>31.626000000000001</v>
      </c>
      <c r="T63">
        <v>64.2</v>
      </c>
      <c r="U63">
        <v>42</v>
      </c>
      <c r="V63">
        <v>1528.5714285714287</v>
      </c>
      <c r="W63" t="s">
        <v>1153</v>
      </c>
      <c r="X63" t="s">
        <v>1087</v>
      </c>
      <c r="Y63">
        <v>37</v>
      </c>
      <c r="Z63">
        <v>2</v>
      </c>
      <c r="AA63">
        <v>125.5</v>
      </c>
    </row>
    <row r="64" spans="1:27" x14ac:dyDescent="0.3">
      <c r="A64" s="15">
        <v>44452.718136574076</v>
      </c>
      <c r="B64" t="s">
        <v>13</v>
      </c>
      <c r="C64" t="s">
        <v>1128</v>
      </c>
      <c r="D64" s="2">
        <v>44447</v>
      </c>
      <c r="E64" t="s">
        <v>1105</v>
      </c>
      <c r="F64" t="s">
        <v>41</v>
      </c>
      <c r="G64" t="s">
        <v>940</v>
      </c>
      <c r="H64" t="s">
        <v>48</v>
      </c>
      <c r="I64" t="s">
        <v>1012</v>
      </c>
      <c r="J64" t="s">
        <v>515</v>
      </c>
      <c r="K64">
        <v>625</v>
      </c>
      <c r="L64">
        <v>6</v>
      </c>
      <c r="M64">
        <v>51</v>
      </c>
      <c r="N64" t="s">
        <v>21</v>
      </c>
      <c r="O64">
        <v>0</v>
      </c>
      <c r="P64">
        <v>5</v>
      </c>
      <c r="Q64">
        <v>450</v>
      </c>
      <c r="R64">
        <v>6485</v>
      </c>
      <c r="S64">
        <v>26.25</v>
      </c>
      <c r="T64">
        <v>51</v>
      </c>
      <c r="U64">
        <v>42</v>
      </c>
      <c r="V64">
        <v>1214.2857142857142</v>
      </c>
      <c r="W64" t="s">
        <v>1153</v>
      </c>
      <c r="X64" t="s">
        <v>1087</v>
      </c>
      <c r="Y64">
        <v>37</v>
      </c>
      <c r="Z64">
        <v>2</v>
      </c>
      <c r="AA64">
        <v>104.16666666666667</v>
      </c>
    </row>
    <row r="65" spans="1:27" x14ac:dyDescent="0.3">
      <c r="A65" s="15">
        <v>44452.717488425929</v>
      </c>
      <c r="B65" t="s">
        <v>13</v>
      </c>
      <c r="C65" t="s">
        <v>1128</v>
      </c>
      <c r="D65" s="2">
        <v>44447</v>
      </c>
      <c r="E65" t="s">
        <v>1105</v>
      </c>
      <c r="F65" t="s">
        <v>41</v>
      </c>
      <c r="G65" t="s">
        <v>940</v>
      </c>
      <c r="H65" t="s">
        <v>48</v>
      </c>
      <c r="I65" t="s">
        <v>1012</v>
      </c>
      <c r="J65" t="s">
        <v>510</v>
      </c>
      <c r="K65">
        <v>587</v>
      </c>
      <c r="L65">
        <v>6</v>
      </c>
      <c r="M65">
        <v>47.9</v>
      </c>
      <c r="N65" t="s">
        <v>21</v>
      </c>
      <c r="O65">
        <v>0</v>
      </c>
      <c r="P65">
        <v>4</v>
      </c>
      <c r="Q65">
        <v>450</v>
      </c>
      <c r="R65">
        <v>6485</v>
      </c>
      <c r="S65">
        <v>24.654</v>
      </c>
      <c r="T65">
        <v>47.9</v>
      </c>
      <c r="U65">
        <v>42</v>
      </c>
      <c r="V65">
        <v>1140.4761904761904</v>
      </c>
      <c r="W65" t="s">
        <v>1153</v>
      </c>
      <c r="X65" t="s">
        <v>1087</v>
      </c>
      <c r="Y65">
        <v>37</v>
      </c>
      <c r="Z65">
        <v>2</v>
      </c>
      <c r="AA65">
        <v>97.833333333333329</v>
      </c>
    </row>
    <row r="66" spans="1:27" x14ac:dyDescent="0.3">
      <c r="A66" s="15">
        <v>44452.720995370371</v>
      </c>
      <c r="B66" t="s">
        <v>13</v>
      </c>
      <c r="C66" t="s">
        <v>1128</v>
      </c>
      <c r="D66" s="2">
        <v>44449</v>
      </c>
      <c r="E66" t="s">
        <v>1114</v>
      </c>
      <c r="F66" t="s">
        <v>41</v>
      </c>
      <c r="G66" t="s">
        <v>940</v>
      </c>
      <c r="H66" t="s">
        <v>48</v>
      </c>
      <c r="I66" t="s">
        <v>1012</v>
      </c>
      <c r="J66" t="s">
        <v>512</v>
      </c>
      <c r="K66">
        <v>38</v>
      </c>
      <c r="L66">
        <v>1</v>
      </c>
      <c r="M66">
        <v>3.1</v>
      </c>
      <c r="N66" t="s">
        <v>21</v>
      </c>
      <c r="O66">
        <v>0</v>
      </c>
      <c r="P66">
        <v>1</v>
      </c>
      <c r="Q66">
        <v>450</v>
      </c>
      <c r="R66">
        <v>6487</v>
      </c>
      <c r="S66">
        <v>1.5960000000000001</v>
      </c>
      <c r="T66">
        <v>3.1</v>
      </c>
      <c r="U66">
        <v>42</v>
      </c>
      <c r="V66">
        <v>73.80952380952381</v>
      </c>
      <c r="W66" t="s">
        <v>1153</v>
      </c>
      <c r="X66" t="s">
        <v>1087</v>
      </c>
      <c r="Y66">
        <v>37</v>
      </c>
      <c r="Z66">
        <v>2</v>
      </c>
      <c r="AA66">
        <v>6.333333333333333</v>
      </c>
    </row>
    <row r="67" spans="1:27" x14ac:dyDescent="0.3">
      <c r="A67" s="15">
        <v>44452.720486111109</v>
      </c>
      <c r="B67" t="s">
        <v>13</v>
      </c>
      <c r="C67" t="s">
        <v>1128</v>
      </c>
      <c r="D67" s="2">
        <v>44449</v>
      </c>
      <c r="E67" t="s">
        <v>1114</v>
      </c>
      <c r="F67" t="s">
        <v>41</v>
      </c>
      <c r="G67" t="s">
        <v>940</v>
      </c>
      <c r="H67" t="s">
        <v>48</v>
      </c>
      <c r="I67" t="s">
        <v>1012</v>
      </c>
      <c r="J67" t="s">
        <v>513</v>
      </c>
      <c r="K67">
        <v>1067</v>
      </c>
      <c r="L67">
        <v>11</v>
      </c>
      <c r="M67">
        <v>87</v>
      </c>
      <c r="N67" t="s">
        <v>21</v>
      </c>
      <c r="O67">
        <v>0</v>
      </c>
      <c r="P67">
        <v>7</v>
      </c>
      <c r="Q67">
        <v>450</v>
      </c>
      <c r="R67">
        <v>6487</v>
      </c>
      <c r="S67">
        <v>44.814</v>
      </c>
      <c r="T67">
        <v>87</v>
      </c>
      <c r="U67">
        <v>42</v>
      </c>
      <c r="V67">
        <v>2071.4285714285716</v>
      </c>
      <c r="W67" t="s">
        <v>1153</v>
      </c>
      <c r="X67" t="s">
        <v>1087</v>
      </c>
      <c r="Y67">
        <v>37</v>
      </c>
      <c r="Z67">
        <v>2</v>
      </c>
      <c r="AA67">
        <v>177.83333333333334</v>
      </c>
    </row>
    <row r="68" spans="1:27" x14ac:dyDescent="0.3">
      <c r="A68" s="15">
        <v>44452.721909722219</v>
      </c>
      <c r="B68" t="s">
        <v>13</v>
      </c>
      <c r="C68" t="s">
        <v>1128</v>
      </c>
      <c r="D68" s="2">
        <v>44450</v>
      </c>
      <c r="E68" t="s">
        <v>1114</v>
      </c>
      <c r="F68" t="s">
        <v>41</v>
      </c>
      <c r="G68" t="s">
        <v>940</v>
      </c>
      <c r="H68" t="s">
        <v>48</v>
      </c>
      <c r="I68" t="s">
        <v>1012</v>
      </c>
      <c r="J68" t="s">
        <v>512</v>
      </c>
      <c r="K68">
        <v>905</v>
      </c>
      <c r="L68">
        <v>11</v>
      </c>
      <c r="M68">
        <v>73.8</v>
      </c>
      <c r="N68" t="s">
        <v>21</v>
      </c>
      <c r="O68">
        <v>0</v>
      </c>
      <c r="P68">
        <v>6</v>
      </c>
      <c r="Q68">
        <v>450</v>
      </c>
      <c r="R68">
        <v>6488</v>
      </c>
      <c r="S68">
        <v>38.01</v>
      </c>
      <c r="T68">
        <v>73.8</v>
      </c>
      <c r="U68">
        <v>42</v>
      </c>
      <c r="V68">
        <v>1757.1428571428571</v>
      </c>
      <c r="W68" t="s">
        <v>1153</v>
      </c>
      <c r="X68" t="s">
        <v>1087</v>
      </c>
      <c r="Y68">
        <v>37</v>
      </c>
      <c r="Z68">
        <v>2</v>
      </c>
      <c r="AA68">
        <v>150.83333333333334</v>
      </c>
    </row>
    <row r="69" spans="1:27" x14ac:dyDescent="0.3">
      <c r="A69" s="15">
        <v>44482.663703703707</v>
      </c>
      <c r="B69" t="s">
        <v>13</v>
      </c>
      <c r="C69" t="s">
        <v>1128</v>
      </c>
      <c r="D69" s="2">
        <v>44452</v>
      </c>
      <c r="E69" t="s">
        <v>1133</v>
      </c>
      <c r="F69" t="s">
        <v>41</v>
      </c>
      <c r="G69" t="s">
        <v>940</v>
      </c>
      <c r="H69" t="s">
        <v>48</v>
      </c>
      <c r="I69" t="s">
        <v>1012</v>
      </c>
      <c r="J69" t="s">
        <v>513</v>
      </c>
      <c r="K69">
        <v>268</v>
      </c>
      <c r="L69">
        <v>3</v>
      </c>
      <c r="M69">
        <v>22</v>
      </c>
      <c r="N69" t="s">
        <v>21</v>
      </c>
      <c r="O69">
        <v>0</v>
      </c>
      <c r="P69">
        <v>3</v>
      </c>
      <c r="Q69">
        <v>450</v>
      </c>
      <c r="R69">
        <v>6489</v>
      </c>
      <c r="S69">
        <v>11.256</v>
      </c>
      <c r="T69">
        <v>22</v>
      </c>
      <c r="U69">
        <v>42</v>
      </c>
      <c r="V69">
        <v>523.80952380952385</v>
      </c>
      <c r="W69" t="s">
        <v>1153</v>
      </c>
      <c r="X69" t="s">
        <v>1087</v>
      </c>
      <c r="Y69">
        <v>38</v>
      </c>
      <c r="Z69">
        <v>2</v>
      </c>
      <c r="AA69">
        <v>44.666666666666664</v>
      </c>
    </row>
    <row r="70" spans="1:27" x14ac:dyDescent="0.3">
      <c r="A70" s="15">
        <v>44482.663460648146</v>
      </c>
      <c r="B70" t="s">
        <v>13</v>
      </c>
      <c r="C70" t="s">
        <v>1128</v>
      </c>
      <c r="D70" s="2">
        <v>44452</v>
      </c>
      <c r="E70" t="s">
        <v>1133</v>
      </c>
      <c r="F70" t="s">
        <v>41</v>
      </c>
      <c r="G70" t="s">
        <v>940</v>
      </c>
      <c r="H70" t="s">
        <v>48</v>
      </c>
      <c r="I70" t="s">
        <v>1012</v>
      </c>
      <c r="J70" t="s">
        <v>512</v>
      </c>
      <c r="K70">
        <v>692</v>
      </c>
      <c r="L70">
        <v>7</v>
      </c>
      <c r="M70">
        <v>56.8</v>
      </c>
      <c r="N70" t="s">
        <v>21</v>
      </c>
      <c r="O70">
        <v>0</v>
      </c>
      <c r="P70">
        <v>3</v>
      </c>
      <c r="Q70">
        <v>450</v>
      </c>
      <c r="R70">
        <v>6489</v>
      </c>
      <c r="S70">
        <v>29.064</v>
      </c>
      <c r="T70">
        <v>56.8</v>
      </c>
      <c r="U70">
        <v>42</v>
      </c>
      <c r="V70">
        <v>1352.3809523809523</v>
      </c>
      <c r="W70" t="s">
        <v>1153</v>
      </c>
      <c r="X70" t="s">
        <v>1087</v>
      </c>
      <c r="Y70">
        <v>38</v>
      </c>
      <c r="Z70">
        <v>2</v>
      </c>
      <c r="AA70">
        <v>115.33333333333333</v>
      </c>
    </row>
    <row r="71" spans="1:27" x14ac:dyDescent="0.3">
      <c r="A71" s="15">
        <v>44482.665578703702</v>
      </c>
      <c r="B71" t="s">
        <v>13</v>
      </c>
      <c r="C71" t="s">
        <v>1128</v>
      </c>
      <c r="D71" s="2">
        <v>44453</v>
      </c>
      <c r="E71" t="s">
        <v>1133</v>
      </c>
      <c r="F71" t="s">
        <v>41</v>
      </c>
      <c r="G71" t="s">
        <v>940</v>
      </c>
      <c r="H71" t="s">
        <v>48</v>
      </c>
      <c r="I71" t="s">
        <v>1012</v>
      </c>
      <c r="J71" t="s">
        <v>511</v>
      </c>
      <c r="K71">
        <v>400</v>
      </c>
      <c r="L71">
        <v>5</v>
      </c>
      <c r="M71">
        <v>32.799999999999997</v>
      </c>
      <c r="N71" t="s">
        <v>21</v>
      </c>
      <c r="O71">
        <v>0</v>
      </c>
      <c r="P71">
        <v>3</v>
      </c>
      <c r="Q71">
        <v>450</v>
      </c>
      <c r="R71">
        <v>6490</v>
      </c>
      <c r="S71">
        <v>16.8</v>
      </c>
      <c r="T71">
        <v>32.799999999999997</v>
      </c>
      <c r="U71">
        <v>42</v>
      </c>
      <c r="V71">
        <v>780.95238095238096</v>
      </c>
      <c r="W71" t="s">
        <v>1153</v>
      </c>
      <c r="X71" t="s">
        <v>1087</v>
      </c>
      <c r="Y71">
        <v>38</v>
      </c>
      <c r="Z71">
        <v>2</v>
      </c>
      <c r="AA71">
        <v>66.666666666666671</v>
      </c>
    </row>
    <row r="72" spans="1:27" x14ac:dyDescent="0.3">
      <c r="A72" s="15">
        <v>44482.664537037039</v>
      </c>
      <c r="B72" t="s">
        <v>13</v>
      </c>
      <c r="C72" t="s">
        <v>1128</v>
      </c>
      <c r="D72" s="2">
        <v>44453</v>
      </c>
      <c r="E72" t="s">
        <v>1133</v>
      </c>
      <c r="F72" t="s">
        <v>41</v>
      </c>
      <c r="G72" t="s">
        <v>940</v>
      </c>
      <c r="H72" t="s">
        <v>48</v>
      </c>
      <c r="I72" t="s">
        <v>1012</v>
      </c>
      <c r="J72" t="s">
        <v>515</v>
      </c>
      <c r="K72">
        <v>123</v>
      </c>
      <c r="L72">
        <v>1</v>
      </c>
      <c r="M72">
        <v>10.1</v>
      </c>
      <c r="N72" t="s">
        <v>21</v>
      </c>
      <c r="O72">
        <v>0</v>
      </c>
      <c r="P72">
        <v>1</v>
      </c>
      <c r="Q72">
        <v>450</v>
      </c>
      <c r="R72">
        <v>6490</v>
      </c>
      <c r="S72">
        <v>5.1660000000000004</v>
      </c>
      <c r="T72">
        <v>10.1</v>
      </c>
      <c r="U72">
        <v>42</v>
      </c>
      <c r="V72">
        <v>240.47619047619048</v>
      </c>
      <c r="W72" t="s">
        <v>1153</v>
      </c>
      <c r="X72" t="s">
        <v>1087</v>
      </c>
      <c r="Y72">
        <v>38</v>
      </c>
      <c r="Z72">
        <v>2</v>
      </c>
      <c r="AA72">
        <v>20.5</v>
      </c>
    </row>
    <row r="73" spans="1:27" x14ac:dyDescent="0.3">
      <c r="A73" s="15">
        <v>44482.676041666666</v>
      </c>
      <c r="B73" t="s">
        <v>13</v>
      </c>
      <c r="C73" t="s">
        <v>1128</v>
      </c>
      <c r="D73" s="2">
        <v>44455</v>
      </c>
      <c r="E73" t="s">
        <v>1105</v>
      </c>
      <c r="F73" t="s">
        <v>41</v>
      </c>
      <c r="G73" t="s">
        <v>940</v>
      </c>
      <c r="H73" t="s">
        <v>48</v>
      </c>
      <c r="I73" t="s">
        <v>1001</v>
      </c>
      <c r="J73" t="s">
        <v>1134</v>
      </c>
      <c r="K73">
        <v>716</v>
      </c>
      <c r="L73">
        <v>3</v>
      </c>
      <c r="M73">
        <v>89.5</v>
      </c>
      <c r="N73" t="s">
        <v>21</v>
      </c>
      <c r="O73">
        <v>0</v>
      </c>
      <c r="P73">
        <v>6</v>
      </c>
      <c r="Q73">
        <v>461</v>
      </c>
      <c r="R73">
        <v>6492</v>
      </c>
      <c r="S73">
        <v>89.5</v>
      </c>
      <c r="T73">
        <v>89.5</v>
      </c>
      <c r="U73">
        <v>125</v>
      </c>
      <c r="V73">
        <v>716</v>
      </c>
      <c r="W73" t="s">
        <v>1153</v>
      </c>
      <c r="X73" t="s">
        <v>1087</v>
      </c>
      <c r="Y73">
        <v>38</v>
      </c>
      <c r="Z73">
        <v>1</v>
      </c>
      <c r="AA73">
        <v>59.666666666666664</v>
      </c>
    </row>
    <row r="74" spans="1:27" x14ac:dyDescent="0.3">
      <c r="A74" s="15">
        <v>44482.670011574075</v>
      </c>
      <c r="B74" t="s">
        <v>13</v>
      </c>
      <c r="C74" t="s">
        <v>1128</v>
      </c>
      <c r="D74" s="2">
        <v>44455</v>
      </c>
      <c r="E74" t="s">
        <v>1114</v>
      </c>
      <c r="F74" t="s">
        <v>41</v>
      </c>
      <c r="G74" t="s">
        <v>940</v>
      </c>
      <c r="H74" t="s">
        <v>48</v>
      </c>
      <c r="I74" t="s">
        <v>1001</v>
      </c>
      <c r="J74" t="s">
        <v>572</v>
      </c>
      <c r="K74">
        <v>392</v>
      </c>
      <c r="L74">
        <v>4</v>
      </c>
      <c r="M74">
        <v>49</v>
      </c>
      <c r="N74" t="s">
        <v>21</v>
      </c>
      <c r="O74">
        <v>0</v>
      </c>
      <c r="P74">
        <v>5</v>
      </c>
      <c r="Q74">
        <v>461</v>
      </c>
      <c r="R74">
        <v>6491</v>
      </c>
      <c r="S74">
        <v>49</v>
      </c>
      <c r="T74">
        <v>49</v>
      </c>
      <c r="U74">
        <v>125</v>
      </c>
      <c r="V74">
        <v>392</v>
      </c>
      <c r="W74" t="s">
        <v>1153</v>
      </c>
      <c r="X74" t="s">
        <v>1087</v>
      </c>
      <c r="Y74">
        <v>38</v>
      </c>
      <c r="Z74">
        <v>1</v>
      </c>
      <c r="AA74">
        <v>32.666666666666664</v>
      </c>
    </row>
    <row r="75" spans="1:27" x14ac:dyDescent="0.3">
      <c r="A75" s="15">
        <v>44482.678888888891</v>
      </c>
      <c r="B75" t="s">
        <v>13</v>
      </c>
      <c r="C75" t="s">
        <v>1128</v>
      </c>
      <c r="D75" s="2">
        <v>44457</v>
      </c>
      <c r="E75" t="s">
        <v>1082</v>
      </c>
      <c r="F75" t="s">
        <v>41</v>
      </c>
      <c r="G75" t="s">
        <v>940</v>
      </c>
      <c r="H75" t="s">
        <v>48</v>
      </c>
      <c r="I75" t="s">
        <v>1001</v>
      </c>
      <c r="J75" t="s">
        <v>1083</v>
      </c>
      <c r="K75">
        <v>640</v>
      </c>
      <c r="L75">
        <v>6</v>
      </c>
      <c r="M75">
        <v>80</v>
      </c>
      <c r="N75" t="s">
        <v>21</v>
      </c>
      <c r="O75">
        <v>0</v>
      </c>
      <c r="P75">
        <v>6</v>
      </c>
      <c r="Q75">
        <v>461</v>
      </c>
      <c r="R75">
        <v>6493</v>
      </c>
      <c r="S75">
        <v>80</v>
      </c>
      <c r="T75">
        <v>80</v>
      </c>
      <c r="U75">
        <v>125</v>
      </c>
      <c r="V75">
        <v>640</v>
      </c>
      <c r="W75" t="s">
        <v>1153</v>
      </c>
      <c r="X75" t="s">
        <v>1087</v>
      </c>
      <c r="Y75">
        <v>38</v>
      </c>
      <c r="Z75">
        <v>1</v>
      </c>
      <c r="AA75">
        <v>53.333333333333336</v>
      </c>
    </row>
    <row r="76" spans="1:27" x14ac:dyDescent="0.3">
      <c r="A76" s="15">
        <v>44482.676770833335</v>
      </c>
      <c r="B76" t="s">
        <v>13</v>
      </c>
      <c r="C76" t="s">
        <v>1128</v>
      </c>
      <c r="D76" s="2">
        <v>44457</v>
      </c>
      <c r="E76" t="s">
        <v>1082</v>
      </c>
      <c r="F76" t="s">
        <v>41</v>
      </c>
      <c r="G76" t="s">
        <v>940</v>
      </c>
      <c r="H76" t="s">
        <v>48</v>
      </c>
      <c r="I76" t="s">
        <v>1001</v>
      </c>
      <c r="J76" t="s">
        <v>1134</v>
      </c>
      <c r="K76">
        <v>64</v>
      </c>
      <c r="L76">
        <v>2</v>
      </c>
      <c r="M76">
        <v>8.32</v>
      </c>
      <c r="N76" t="s">
        <v>21</v>
      </c>
      <c r="O76">
        <v>0</v>
      </c>
      <c r="P76">
        <v>1</v>
      </c>
      <c r="Q76">
        <v>461</v>
      </c>
      <c r="R76">
        <v>6493</v>
      </c>
      <c r="S76">
        <v>8</v>
      </c>
      <c r="T76">
        <v>8.32</v>
      </c>
      <c r="U76">
        <v>125</v>
      </c>
      <c r="V76">
        <v>66.56</v>
      </c>
      <c r="W76" t="s">
        <v>1153</v>
      </c>
      <c r="X76" t="s">
        <v>1087</v>
      </c>
      <c r="Y76">
        <v>38</v>
      </c>
      <c r="Z76">
        <v>1</v>
      </c>
      <c r="AA76">
        <v>5.333333333333333</v>
      </c>
    </row>
    <row r="77" spans="1:27" x14ac:dyDescent="0.3">
      <c r="A77" s="15">
        <v>44482.680393518516</v>
      </c>
      <c r="B77" t="s">
        <v>13</v>
      </c>
      <c r="C77" t="s">
        <v>1128</v>
      </c>
      <c r="D77" s="2">
        <v>44459</v>
      </c>
      <c r="E77" t="s">
        <v>1114</v>
      </c>
      <c r="F77" t="s">
        <v>41</v>
      </c>
      <c r="G77" t="s">
        <v>940</v>
      </c>
      <c r="H77" t="s">
        <v>48</v>
      </c>
      <c r="I77" t="s">
        <v>1001</v>
      </c>
      <c r="J77" t="s">
        <v>1083</v>
      </c>
      <c r="K77">
        <v>890</v>
      </c>
      <c r="L77">
        <v>11</v>
      </c>
      <c r="M77">
        <v>111.3</v>
      </c>
      <c r="N77" t="s">
        <v>21</v>
      </c>
      <c r="O77">
        <v>0</v>
      </c>
      <c r="P77">
        <v>7</v>
      </c>
      <c r="Q77">
        <v>461</v>
      </c>
      <c r="R77">
        <v>6494</v>
      </c>
      <c r="S77">
        <v>111.25</v>
      </c>
      <c r="T77">
        <v>111.3</v>
      </c>
      <c r="U77">
        <v>125</v>
      </c>
      <c r="V77">
        <v>890.4</v>
      </c>
      <c r="W77" t="s">
        <v>1153</v>
      </c>
      <c r="X77" t="s">
        <v>1087</v>
      </c>
      <c r="Y77">
        <v>39</v>
      </c>
      <c r="Z77">
        <v>1</v>
      </c>
      <c r="AA77">
        <v>74.166666666666671</v>
      </c>
    </row>
    <row r="78" spans="1:27" x14ac:dyDescent="0.3">
      <c r="A78" s="15">
        <v>44482.684606481482</v>
      </c>
      <c r="B78" t="s">
        <v>13</v>
      </c>
      <c r="C78" t="s">
        <v>1128</v>
      </c>
      <c r="D78" s="2">
        <v>44460</v>
      </c>
      <c r="E78" t="s">
        <v>1114</v>
      </c>
      <c r="F78" t="s">
        <v>41</v>
      </c>
      <c r="G78" t="s">
        <v>940</v>
      </c>
      <c r="H78" t="s">
        <v>48</v>
      </c>
      <c r="I78" t="s">
        <v>1001</v>
      </c>
      <c r="J78" t="s">
        <v>571</v>
      </c>
      <c r="K78">
        <v>514</v>
      </c>
      <c r="L78">
        <v>6</v>
      </c>
      <c r="M78">
        <v>64.3</v>
      </c>
      <c r="N78" t="s">
        <v>21</v>
      </c>
      <c r="O78">
        <v>0</v>
      </c>
      <c r="P78">
        <v>5</v>
      </c>
      <c r="Q78">
        <v>461</v>
      </c>
      <c r="R78">
        <v>6495</v>
      </c>
      <c r="S78">
        <v>64.25</v>
      </c>
      <c r="T78">
        <v>64.3</v>
      </c>
      <c r="U78">
        <v>125</v>
      </c>
      <c r="V78">
        <v>514.4</v>
      </c>
      <c r="W78" t="s">
        <v>1153</v>
      </c>
      <c r="X78" t="s">
        <v>1087</v>
      </c>
      <c r="Y78">
        <v>39</v>
      </c>
      <c r="Z78">
        <v>1</v>
      </c>
      <c r="AA78">
        <v>42.833333333333336</v>
      </c>
    </row>
    <row r="79" spans="1:27" x14ac:dyDescent="0.3">
      <c r="A79" s="15">
        <v>44482.683981481481</v>
      </c>
      <c r="B79" t="s">
        <v>13</v>
      </c>
      <c r="C79" t="s">
        <v>1128</v>
      </c>
      <c r="D79" s="2">
        <v>44460</v>
      </c>
      <c r="E79" t="s">
        <v>1114</v>
      </c>
      <c r="F79" t="s">
        <v>41</v>
      </c>
      <c r="G79" t="s">
        <v>940</v>
      </c>
      <c r="H79" t="s">
        <v>48</v>
      </c>
      <c r="I79" t="s">
        <v>1001</v>
      </c>
      <c r="J79" t="s">
        <v>1083</v>
      </c>
      <c r="K79">
        <v>56</v>
      </c>
      <c r="L79">
        <v>2</v>
      </c>
      <c r="M79">
        <v>7</v>
      </c>
      <c r="N79" t="s">
        <v>21</v>
      </c>
      <c r="O79">
        <v>0</v>
      </c>
      <c r="P79">
        <v>1</v>
      </c>
      <c r="Q79">
        <v>461</v>
      </c>
      <c r="R79">
        <v>6495</v>
      </c>
      <c r="S79">
        <v>7</v>
      </c>
      <c r="T79">
        <v>7</v>
      </c>
      <c r="U79">
        <v>125</v>
      </c>
      <c r="V79">
        <v>56</v>
      </c>
      <c r="W79" t="s">
        <v>1153</v>
      </c>
      <c r="X79" t="s">
        <v>1087</v>
      </c>
      <c r="Y79">
        <v>39</v>
      </c>
      <c r="Z79">
        <v>1</v>
      </c>
      <c r="AA79">
        <v>4.666666666666667</v>
      </c>
    </row>
    <row r="80" spans="1:27" x14ac:dyDescent="0.3">
      <c r="A80" s="15">
        <v>44482.685601851852</v>
      </c>
      <c r="B80" t="s">
        <v>13</v>
      </c>
      <c r="C80" t="s">
        <v>1128</v>
      </c>
      <c r="D80" s="2">
        <v>44461</v>
      </c>
      <c r="E80" t="s">
        <v>1114</v>
      </c>
      <c r="F80" t="s">
        <v>41</v>
      </c>
      <c r="G80" t="s">
        <v>940</v>
      </c>
      <c r="H80" t="s">
        <v>48</v>
      </c>
      <c r="I80" t="s">
        <v>1001</v>
      </c>
      <c r="J80" t="s">
        <v>1134</v>
      </c>
      <c r="K80">
        <v>111</v>
      </c>
      <c r="L80">
        <v>2</v>
      </c>
      <c r="M80">
        <v>13.4</v>
      </c>
      <c r="N80" t="s">
        <v>21</v>
      </c>
      <c r="O80">
        <v>0</v>
      </c>
      <c r="P80">
        <v>1</v>
      </c>
      <c r="Q80">
        <v>461</v>
      </c>
      <c r="R80">
        <v>6496</v>
      </c>
      <c r="S80">
        <v>13.875</v>
      </c>
      <c r="T80">
        <v>13.4</v>
      </c>
      <c r="U80">
        <v>125</v>
      </c>
      <c r="V80">
        <v>107.2</v>
      </c>
      <c r="W80" t="s">
        <v>1153</v>
      </c>
      <c r="X80" t="s">
        <v>1087</v>
      </c>
      <c r="Y80">
        <v>39</v>
      </c>
      <c r="Z80">
        <v>1</v>
      </c>
      <c r="AA80">
        <v>9.25</v>
      </c>
    </row>
    <row r="81" spans="1:27" x14ac:dyDescent="0.3">
      <c r="A81" s="15">
        <v>44482.685219907406</v>
      </c>
      <c r="B81" t="s">
        <v>13</v>
      </c>
      <c r="C81" t="s">
        <v>1128</v>
      </c>
      <c r="D81" s="2">
        <v>44461</v>
      </c>
      <c r="E81" t="s">
        <v>1114</v>
      </c>
      <c r="F81" t="s">
        <v>41</v>
      </c>
      <c r="G81" t="s">
        <v>940</v>
      </c>
      <c r="H81" t="s">
        <v>48</v>
      </c>
      <c r="I81" t="s">
        <v>1001</v>
      </c>
      <c r="J81" t="s">
        <v>571</v>
      </c>
      <c r="K81">
        <v>494</v>
      </c>
      <c r="L81">
        <v>6</v>
      </c>
      <c r="M81">
        <v>61.8</v>
      </c>
      <c r="N81" t="s">
        <v>21</v>
      </c>
      <c r="O81">
        <v>0</v>
      </c>
      <c r="P81">
        <v>5</v>
      </c>
      <c r="Q81">
        <v>461</v>
      </c>
      <c r="R81">
        <v>6496</v>
      </c>
      <c r="S81">
        <v>61.75</v>
      </c>
      <c r="T81">
        <v>61.8</v>
      </c>
      <c r="U81">
        <v>125</v>
      </c>
      <c r="V81">
        <v>494.4</v>
      </c>
      <c r="W81" t="s">
        <v>1153</v>
      </c>
      <c r="X81" t="s">
        <v>1087</v>
      </c>
      <c r="Y81">
        <v>39</v>
      </c>
      <c r="Z81">
        <v>1</v>
      </c>
      <c r="AA81">
        <v>41.166666666666664</v>
      </c>
    </row>
    <row r="82" spans="1:27" x14ac:dyDescent="0.3">
      <c r="A82" s="15">
        <v>44482.688171296293</v>
      </c>
      <c r="B82" t="s">
        <v>13</v>
      </c>
      <c r="C82" t="s">
        <v>1128</v>
      </c>
      <c r="D82" s="2">
        <v>44463</v>
      </c>
      <c r="E82" t="s">
        <v>1105</v>
      </c>
      <c r="F82" t="s">
        <v>41</v>
      </c>
      <c r="G82" t="s">
        <v>940</v>
      </c>
      <c r="H82" t="s">
        <v>48</v>
      </c>
      <c r="I82" t="s">
        <v>1001</v>
      </c>
      <c r="J82" t="s">
        <v>1134</v>
      </c>
      <c r="K82">
        <v>599</v>
      </c>
      <c r="L82">
        <v>10</v>
      </c>
      <c r="M82">
        <v>74.900000000000006</v>
      </c>
      <c r="N82" t="s">
        <v>21</v>
      </c>
      <c r="O82">
        <v>0</v>
      </c>
      <c r="P82">
        <v>6</v>
      </c>
      <c r="Q82">
        <v>461</v>
      </c>
      <c r="R82">
        <v>497</v>
      </c>
      <c r="S82">
        <v>74.875</v>
      </c>
      <c r="T82">
        <v>74.900000000000006</v>
      </c>
      <c r="U82">
        <v>125</v>
      </c>
      <c r="V82">
        <v>599.20000000000005</v>
      </c>
      <c r="W82" t="s">
        <v>1153</v>
      </c>
      <c r="X82" t="s">
        <v>1087</v>
      </c>
      <c r="Y82">
        <v>39</v>
      </c>
      <c r="Z82">
        <v>1</v>
      </c>
      <c r="AA82">
        <v>49.916666666666664</v>
      </c>
    </row>
    <row r="83" spans="1:27" x14ac:dyDescent="0.3">
      <c r="A83" s="15">
        <v>44482.690138888887</v>
      </c>
      <c r="B83" t="s">
        <v>13</v>
      </c>
      <c r="C83" t="s">
        <v>1128</v>
      </c>
      <c r="D83" s="2">
        <v>44464</v>
      </c>
      <c r="E83" t="s">
        <v>1114</v>
      </c>
      <c r="F83" t="s">
        <v>41</v>
      </c>
      <c r="G83" t="s">
        <v>940</v>
      </c>
      <c r="H83" t="s">
        <v>48</v>
      </c>
      <c r="I83" t="s">
        <v>1001</v>
      </c>
      <c r="J83" t="s">
        <v>572</v>
      </c>
      <c r="K83">
        <v>68</v>
      </c>
      <c r="L83">
        <v>3</v>
      </c>
      <c r="M83">
        <v>9.8000000000000007</v>
      </c>
      <c r="N83" t="s">
        <v>21</v>
      </c>
      <c r="O83">
        <v>0</v>
      </c>
      <c r="P83">
        <v>1</v>
      </c>
      <c r="Q83">
        <v>461</v>
      </c>
      <c r="R83">
        <v>6498</v>
      </c>
      <c r="S83">
        <v>8.5</v>
      </c>
      <c r="T83">
        <v>9.8000000000000007</v>
      </c>
      <c r="U83">
        <v>125</v>
      </c>
      <c r="V83">
        <v>78.400000000000006</v>
      </c>
      <c r="W83" t="s">
        <v>1153</v>
      </c>
      <c r="X83" t="s">
        <v>1087</v>
      </c>
      <c r="Y83">
        <v>39</v>
      </c>
      <c r="Z83">
        <v>1</v>
      </c>
      <c r="AA83">
        <v>5.666666666666667</v>
      </c>
    </row>
    <row r="84" spans="1:27" x14ac:dyDescent="0.3">
      <c r="A84" s="15">
        <v>44482.689849537041</v>
      </c>
      <c r="B84" t="s">
        <v>13</v>
      </c>
      <c r="C84" t="s">
        <v>1128</v>
      </c>
      <c r="D84" s="2">
        <v>44464</v>
      </c>
      <c r="E84" t="s">
        <v>1114</v>
      </c>
      <c r="F84" t="s">
        <v>41</v>
      </c>
      <c r="G84" t="s">
        <v>940</v>
      </c>
      <c r="H84" t="s">
        <v>48</v>
      </c>
      <c r="I84" t="s">
        <v>1001</v>
      </c>
      <c r="J84" t="s">
        <v>1083</v>
      </c>
      <c r="K84">
        <v>158</v>
      </c>
      <c r="L84">
        <v>3</v>
      </c>
      <c r="M84">
        <v>19.8</v>
      </c>
      <c r="N84" t="s">
        <v>21</v>
      </c>
      <c r="O84">
        <v>0</v>
      </c>
      <c r="P84">
        <v>3</v>
      </c>
      <c r="Q84">
        <v>461</v>
      </c>
      <c r="R84">
        <v>6498</v>
      </c>
      <c r="S84">
        <v>19.75</v>
      </c>
      <c r="T84">
        <v>19.8</v>
      </c>
      <c r="U84">
        <v>125</v>
      </c>
      <c r="V84">
        <v>158.4</v>
      </c>
      <c r="W84" t="s">
        <v>1153</v>
      </c>
      <c r="X84" t="s">
        <v>1087</v>
      </c>
      <c r="Y84">
        <v>39</v>
      </c>
      <c r="Z84">
        <v>1</v>
      </c>
      <c r="AA84">
        <v>13.166666666666666</v>
      </c>
    </row>
    <row r="85" spans="1:27" x14ac:dyDescent="0.3">
      <c r="A85" s="15">
        <v>44482.687025462961</v>
      </c>
      <c r="B85" t="s">
        <v>13</v>
      </c>
      <c r="C85" t="s">
        <v>1128</v>
      </c>
      <c r="D85" s="2">
        <v>44464</v>
      </c>
      <c r="E85" t="s">
        <v>1114</v>
      </c>
      <c r="F85" t="s">
        <v>41</v>
      </c>
      <c r="G85" t="s">
        <v>940</v>
      </c>
      <c r="H85" t="s">
        <v>48</v>
      </c>
      <c r="I85" t="s">
        <v>1001</v>
      </c>
      <c r="J85" t="s">
        <v>1134</v>
      </c>
      <c r="K85">
        <v>376</v>
      </c>
      <c r="L85">
        <v>4</v>
      </c>
      <c r="M85">
        <v>47</v>
      </c>
      <c r="N85" t="s">
        <v>21</v>
      </c>
      <c r="O85">
        <v>0</v>
      </c>
      <c r="P85">
        <v>3</v>
      </c>
      <c r="Q85">
        <v>461</v>
      </c>
      <c r="R85">
        <v>6498</v>
      </c>
      <c r="S85">
        <v>47</v>
      </c>
      <c r="T85">
        <v>47</v>
      </c>
      <c r="U85">
        <v>125</v>
      </c>
      <c r="V85">
        <v>376</v>
      </c>
      <c r="W85" t="s">
        <v>1153</v>
      </c>
      <c r="X85" t="s">
        <v>1087</v>
      </c>
      <c r="Y85">
        <v>39</v>
      </c>
      <c r="Z85">
        <v>1</v>
      </c>
      <c r="AA85">
        <v>31.333333333333332</v>
      </c>
    </row>
    <row r="86" spans="1:27" x14ac:dyDescent="0.3">
      <c r="A86" s="15">
        <v>44482.690833333334</v>
      </c>
      <c r="B86" t="s">
        <v>13</v>
      </c>
      <c r="C86" t="s">
        <v>1128</v>
      </c>
      <c r="D86" s="2">
        <v>44466</v>
      </c>
      <c r="E86" t="s">
        <v>1114</v>
      </c>
      <c r="F86" t="s">
        <v>41</v>
      </c>
      <c r="G86" t="s">
        <v>940</v>
      </c>
      <c r="H86" t="s">
        <v>48</v>
      </c>
      <c r="I86" t="s">
        <v>1001</v>
      </c>
      <c r="J86" t="s">
        <v>572</v>
      </c>
      <c r="K86">
        <v>860</v>
      </c>
      <c r="L86">
        <v>10</v>
      </c>
      <c r="M86">
        <v>107.5</v>
      </c>
      <c r="N86" t="s">
        <v>21</v>
      </c>
      <c r="O86">
        <v>0</v>
      </c>
      <c r="P86">
        <v>7</v>
      </c>
      <c r="Q86">
        <v>461</v>
      </c>
      <c r="R86">
        <v>6499</v>
      </c>
      <c r="S86">
        <v>107.5</v>
      </c>
      <c r="T86">
        <v>107.5</v>
      </c>
      <c r="U86">
        <v>125</v>
      </c>
      <c r="V86">
        <v>860</v>
      </c>
      <c r="W86" t="s">
        <v>1153</v>
      </c>
      <c r="X86" t="s">
        <v>1087</v>
      </c>
      <c r="Y86">
        <v>40</v>
      </c>
      <c r="Z86">
        <v>1</v>
      </c>
      <c r="AA86">
        <v>71.666666666666671</v>
      </c>
    </row>
    <row r="87" spans="1:27" x14ac:dyDescent="0.3">
      <c r="A87" s="15">
        <v>44482.691782407404</v>
      </c>
      <c r="B87" t="s">
        <v>13</v>
      </c>
      <c r="C87" t="s">
        <v>1128</v>
      </c>
      <c r="D87" s="2">
        <v>44467</v>
      </c>
      <c r="E87" t="s">
        <v>1114</v>
      </c>
      <c r="F87" t="s">
        <v>41</v>
      </c>
      <c r="G87" t="s">
        <v>940</v>
      </c>
      <c r="H87" t="s">
        <v>48</v>
      </c>
      <c r="I87" t="s">
        <v>1001</v>
      </c>
      <c r="J87" t="s">
        <v>572</v>
      </c>
      <c r="K87">
        <v>200</v>
      </c>
      <c r="L87">
        <v>3</v>
      </c>
      <c r="M87">
        <v>25</v>
      </c>
      <c r="N87" t="s">
        <v>21</v>
      </c>
      <c r="O87">
        <v>0</v>
      </c>
      <c r="P87">
        <v>1</v>
      </c>
      <c r="Q87">
        <v>461</v>
      </c>
      <c r="R87">
        <v>6500</v>
      </c>
      <c r="S87">
        <v>25</v>
      </c>
      <c r="T87">
        <v>25</v>
      </c>
      <c r="U87">
        <v>125</v>
      </c>
      <c r="V87">
        <v>200</v>
      </c>
      <c r="W87" t="s">
        <v>1153</v>
      </c>
      <c r="X87" t="s">
        <v>1087</v>
      </c>
      <c r="Y87">
        <v>40</v>
      </c>
      <c r="Z87">
        <v>1</v>
      </c>
      <c r="AA87">
        <v>16.666666666666668</v>
      </c>
    </row>
    <row r="88" spans="1:27" x14ac:dyDescent="0.3">
      <c r="A88" s="15">
        <v>44482.691400462965</v>
      </c>
      <c r="B88" t="s">
        <v>13</v>
      </c>
      <c r="C88" t="s">
        <v>1128</v>
      </c>
      <c r="D88" s="2">
        <v>44467</v>
      </c>
      <c r="E88" t="s">
        <v>1114</v>
      </c>
      <c r="F88" t="s">
        <v>41</v>
      </c>
      <c r="G88" t="s">
        <v>940</v>
      </c>
      <c r="H88" t="s">
        <v>48</v>
      </c>
      <c r="I88" t="s">
        <v>1001</v>
      </c>
      <c r="J88" t="s">
        <v>572</v>
      </c>
      <c r="K88">
        <v>638</v>
      </c>
      <c r="L88">
        <v>8</v>
      </c>
      <c r="M88">
        <v>79.8</v>
      </c>
      <c r="N88" t="s">
        <v>21</v>
      </c>
      <c r="O88">
        <v>0</v>
      </c>
      <c r="P88">
        <v>2</v>
      </c>
      <c r="Q88">
        <v>461</v>
      </c>
      <c r="R88">
        <v>6500</v>
      </c>
      <c r="S88">
        <v>79.75</v>
      </c>
      <c r="T88">
        <v>79.8</v>
      </c>
      <c r="U88">
        <v>125</v>
      </c>
      <c r="V88">
        <v>638.4</v>
      </c>
      <c r="W88" t="s">
        <v>1153</v>
      </c>
      <c r="X88" t="s">
        <v>1087</v>
      </c>
      <c r="Y88">
        <v>40</v>
      </c>
      <c r="Z88">
        <v>1</v>
      </c>
      <c r="AA88">
        <v>53.166666666666664</v>
      </c>
    </row>
    <row r="89" spans="1:27" x14ac:dyDescent="0.3">
      <c r="A89" s="15">
        <v>44453.734849537039</v>
      </c>
      <c r="B89" t="s">
        <v>13</v>
      </c>
      <c r="C89" t="s">
        <v>1132</v>
      </c>
      <c r="D89" s="2">
        <v>44440</v>
      </c>
      <c r="E89" t="s">
        <v>1082</v>
      </c>
      <c r="F89" t="s">
        <v>41</v>
      </c>
      <c r="G89" t="s">
        <v>943</v>
      </c>
      <c r="H89" t="s">
        <v>48</v>
      </c>
      <c r="I89" t="s">
        <v>1039</v>
      </c>
      <c r="J89" t="s">
        <v>221</v>
      </c>
      <c r="K89">
        <v>1134</v>
      </c>
      <c r="L89">
        <v>11</v>
      </c>
      <c r="M89">
        <v>153.5</v>
      </c>
      <c r="N89" t="s">
        <v>21</v>
      </c>
      <c r="O89">
        <v>0</v>
      </c>
      <c r="P89">
        <v>19</v>
      </c>
      <c r="Q89">
        <v>449</v>
      </c>
      <c r="R89">
        <v>7109</v>
      </c>
      <c r="S89">
        <v>156.49199999999999</v>
      </c>
      <c r="T89">
        <v>153.5</v>
      </c>
      <c r="U89">
        <v>138</v>
      </c>
      <c r="V89">
        <v>1112.3188405797102</v>
      </c>
      <c r="W89" t="s">
        <v>1153</v>
      </c>
      <c r="X89" t="s">
        <v>1087</v>
      </c>
      <c r="Y89">
        <v>36</v>
      </c>
      <c r="Z89">
        <v>1</v>
      </c>
      <c r="AA89">
        <v>94.5</v>
      </c>
    </row>
    <row r="90" spans="1:27" x14ac:dyDescent="0.3">
      <c r="A90" s="15">
        <v>44453.736238425925</v>
      </c>
      <c r="B90" t="s">
        <v>13</v>
      </c>
      <c r="C90" t="s">
        <v>1132</v>
      </c>
      <c r="D90" s="2">
        <v>44441</v>
      </c>
      <c r="E90" t="s">
        <v>1082</v>
      </c>
      <c r="F90" t="s">
        <v>41</v>
      </c>
      <c r="G90" t="s">
        <v>943</v>
      </c>
      <c r="H90" t="s">
        <v>48</v>
      </c>
      <c r="I90" t="s">
        <v>1039</v>
      </c>
      <c r="J90" t="s">
        <v>221</v>
      </c>
      <c r="K90">
        <v>1211</v>
      </c>
      <c r="L90">
        <v>12</v>
      </c>
      <c r="M90">
        <v>171</v>
      </c>
      <c r="N90" t="s">
        <v>21</v>
      </c>
      <c r="O90">
        <v>60</v>
      </c>
      <c r="P90">
        <v>20</v>
      </c>
      <c r="Q90">
        <v>449</v>
      </c>
      <c r="R90">
        <v>7111</v>
      </c>
      <c r="S90">
        <v>167.11799999999999</v>
      </c>
      <c r="T90">
        <v>171</v>
      </c>
      <c r="U90">
        <v>138</v>
      </c>
      <c r="V90">
        <v>1239.1304347826087</v>
      </c>
      <c r="W90" t="s">
        <v>1153</v>
      </c>
      <c r="X90" t="s">
        <v>1087</v>
      </c>
      <c r="Y90">
        <v>36</v>
      </c>
      <c r="Z90">
        <v>1</v>
      </c>
      <c r="AA90">
        <v>100.91666666666667</v>
      </c>
    </row>
    <row r="91" spans="1:27" x14ac:dyDescent="0.3">
      <c r="A91" s="15">
        <v>44453.739050925928</v>
      </c>
      <c r="B91" t="s">
        <v>13</v>
      </c>
      <c r="C91" t="s">
        <v>1132</v>
      </c>
      <c r="D91" s="2">
        <v>44442</v>
      </c>
      <c r="E91" t="s">
        <v>1105</v>
      </c>
      <c r="F91" t="s">
        <v>41</v>
      </c>
      <c r="G91" t="s">
        <v>943</v>
      </c>
      <c r="H91" t="s">
        <v>48</v>
      </c>
      <c r="I91" t="s">
        <v>1039</v>
      </c>
      <c r="J91" t="s">
        <v>221</v>
      </c>
      <c r="K91">
        <v>1386</v>
      </c>
      <c r="L91">
        <v>12</v>
      </c>
      <c r="M91">
        <v>192.4</v>
      </c>
      <c r="N91" t="s">
        <v>21</v>
      </c>
      <c r="O91">
        <v>60</v>
      </c>
      <c r="P91">
        <v>23</v>
      </c>
      <c r="Q91">
        <v>449</v>
      </c>
      <c r="R91">
        <v>7113</v>
      </c>
      <c r="S91">
        <v>191.268</v>
      </c>
      <c r="T91">
        <v>192.4</v>
      </c>
      <c r="U91">
        <v>138</v>
      </c>
      <c r="V91">
        <v>1394.2028985507247</v>
      </c>
      <c r="W91" t="s">
        <v>1153</v>
      </c>
      <c r="X91" t="s">
        <v>1087</v>
      </c>
      <c r="Y91">
        <v>36</v>
      </c>
      <c r="Z91">
        <v>1</v>
      </c>
      <c r="AA91">
        <v>115.5</v>
      </c>
    </row>
    <row r="92" spans="1:27" x14ac:dyDescent="0.3">
      <c r="A92" s="15">
        <v>44453.740648148145</v>
      </c>
      <c r="B92" t="s">
        <v>13</v>
      </c>
      <c r="C92" t="s">
        <v>1132</v>
      </c>
      <c r="D92" s="2">
        <v>44443</v>
      </c>
      <c r="E92" t="s">
        <v>1082</v>
      </c>
      <c r="F92" t="s">
        <v>41</v>
      </c>
      <c r="G92" t="s">
        <v>943</v>
      </c>
      <c r="H92" t="s">
        <v>48</v>
      </c>
      <c r="I92" t="s">
        <v>1039</v>
      </c>
      <c r="J92" t="s">
        <v>221</v>
      </c>
      <c r="K92">
        <v>660</v>
      </c>
      <c r="L92">
        <v>5</v>
      </c>
      <c r="M92">
        <v>92.5</v>
      </c>
      <c r="N92" t="s">
        <v>21</v>
      </c>
      <c r="O92">
        <v>60</v>
      </c>
      <c r="P92">
        <v>11</v>
      </c>
      <c r="Q92">
        <v>449</v>
      </c>
      <c r="R92">
        <v>7115</v>
      </c>
      <c r="S92">
        <v>91.08</v>
      </c>
      <c r="T92">
        <v>92.5</v>
      </c>
      <c r="U92">
        <v>138</v>
      </c>
      <c r="V92">
        <v>670.28985507246375</v>
      </c>
      <c r="W92" t="s">
        <v>1153</v>
      </c>
      <c r="X92" t="s">
        <v>1087</v>
      </c>
      <c r="Y92">
        <v>36</v>
      </c>
      <c r="Z92">
        <v>1</v>
      </c>
      <c r="AA92">
        <v>55</v>
      </c>
    </row>
    <row r="93" spans="1:27" x14ac:dyDescent="0.3">
      <c r="A93" s="15">
        <v>44482.721493055556</v>
      </c>
      <c r="B93" t="s">
        <v>13</v>
      </c>
      <c r="C93" t="s">
        <v>1132</v>
      </c>
      <c r="D93" s="2">
        <v>44445</v>
      </c>
      <c r="E93" t="s">
        <v>1105</v>
      </c>
      <c r="F93" t="s">
        <v>41</v>
      </c>
      <c r="G93" t="s">
        <v>943</v>
      </c>
      <c r="H93" t="s">
        <v>48</v>
      </c>
      <c r="I93" t="s">
        <v>1053</v>
      </c>
      <c r="J93" t="s">
        <v>152</v>
      </c>
      <c r="K93">
        <v>116</v>
      </c>
      <c r="L93">
        <v>2</v>
      </c>
      <c r="M93">
        <v>28.5</v>
      </c>
      <c r="N93" t="s">
        <v>21</v>
      </c>
      <c r="O93">
        <v>0</v>
      </c>
      <c r="P93">
        <v>3</v>
      </c>
      <c r="Q93">
        <v>457</v>
      </c>
      <c r="R93">
        <v>7116</v>
      </c>
      <c r="S93">
        <v>27.84</v>
      </c>
      <c r="T93">
        <v>28.5</v>
      </c>
      <c r="U93">
        <v>240</v>
      </c>
      <c r="V93">
        <v>118.75</v>
      </c>
      <c r="W93" t="s">
        <v>1153</v>
      </c>
      <c r="X93" t="s">
        <v>1087</v>
      </c>
      <c r="Y93">
        <v>37</v>
      </c>
      <c r="Z93">
        <v>1</v>
      </c>
      <c r="AA93">
        <v>9.6666666666666661</v>
      </c>
    </row>
    <row r="94" spans="1:27" x14ac:dyDescent="0.3">
      <c r="A94" s="15">
        <v>44482.723020833335</v>
      </c>
      <c r="B94" t="s">
        <v>13</v>
      </c>
      <c r="C94" t="s">
        <v>1132</v>
      </c>
      <c r="D94" s="2">
        <v>44446</v>
      </c>
      <c r="E94" t="s">
        <v>1081</v>
      </c>
      <c r="F94" t="s">
        <v>41</v>
      </c>
      <c r="G94" t="s">
        <v>943</v>
      </c>
      <c r="H94" t="s">
        <v>48</v>
      </c>
      <c r="I94" t="s">
        <v>1053</v>
      </c>
      <c r="J94" t="s">
        <v>152</v>
      </c>
      <c r="K94">
        <v>1008</v>
      </c>
      <c r="L94">
        <v>11</v>
      </c>
      <c r="M94">
        <v>246.96</v>
      </c>
      <c r="N94" t="s">
        <v>21</v>
      </c>
      <c r="O94">
        <v>24</v>
      </c>
      <c r="P94">
        <v>38</v>
      </c>
      <c r="Q94">
        <v>457</v>
      </c>
      <c r="R94">
        <v>7118</v>
      </c>
      <c r="S94">
        <v>241.92</v>
      </c>
      <c r="T94">
        <v>246.96</v>
      </c>
      <c r="U94">
        <v>240</v>
      </c>
      <c r="V94">
        <v>1029</v>
      </c>
      <c r="W94" t="s">
        <v>1153</v>
      </c>
      <c r="X94" t="s">
        <v>1087</v>
      </c>
      <c r="Y94">
        <v>37</v>
      </c>
      <c r="Z94">
        <v>1</v>
      </c>
      <c r="AA94">
        <v>84</v>
      </c>
    </row>
    <row r="95" spans="1:27" x14ac:dyDescent="0.3">
      <c r="A95" s="15">
        <v>44482.727465277778</v>
      </c>
      <c r="B95" t="s">
        <v>13</v>
      </c>
      <c r="C95" t="s">
        <v>1132</v>
      </c>
      <c r="D95" s="2">
        <v>44447</v>
      </c>
      <c r="E95" t="s">
        <v>1105</v>
      </c>
      <c r="F95" t="s">
        <v>41</v>
      </c>
      <c r="G95" t="s">
        <v>943</v>
      </c>
      <c r="H95" t="s">
        <v>48</v>
      </c>
      <c r="I95" t="s">
        <v>1053</v>
      </c>
      <c r="J95" t="s">
        <v>152</v>
      </c>
      <c r="K95">
        <v>721</v>
      </c>
      <c r="L95">
        <v>9</v>
      </c>
      <c r="M95">
        <v>174.48</v>
      </c>
      <c r="N95" t="s">
        <v>21</v>
      </c>
      <c r="O95">
        <v>24</v>
      </c>
      <c r="P95">
        <v>28</v>
      </c>
      <c r="Q95">
        <v>457</v>
      </c>
      <c r="R95">
        <v>7122</v>
      </c>
      <c r="S95">
        <v>173.04</v>
      </c>
      <c r="T95">
        <v>174.48</v>
      </c>
      <c r="U95">
        <v>240</v>
      </c>
      <c r="V95">
        <v>727</v>
      </c>
      <c r="W95" t="s">
        <v>1153</v>
      </c>
      <c r="X95" t="s">
        <v>1087</v>
      </c>
      <c r="Y95">
        <v>37</v>
      </c>
      <c r="Z95">
        <v>1</v>
      </c>
      <c r="AA95">
        <v>60.083333333333336</v>
      </c>
    </row>
    <row r="96" spans="1:27" x14ac:dyDescent="0.3">
      <c r="A96" s="15">
        <v>44482.728136574071</v>
      </c>
      <c r="B96" t="s">
        <v>13</v>
      </c>
      <c r="C96" t="s">
        <v>1132</v>
      </c>
      <c r="D96" s="2">
        <v>44448</v>
      </c>
      <c r="E96" t="s">
        <v>1082</v>
      </c>
      <c r="F96" t="s">
        <v>41</v>
      </c>
      <c r="G96" t="s">
        <v>943</v>
      </c>
      <c r="H96" t="s">
        <v>48</v>
      </c>
      <c r="I96" t="s">
        <v>1053</v>
      </c>
      <c r="J96" t="s">
        <v>152</v>
      </c>
      <c r="K96">
        <v>972</v>
      </c>
      <c r="L96">
        <v>10</v>
      </c>
      <c r="M96">
        <v>235.22</v>
      </c>
      <c r="N96" t="s">
        <v>21</v>
      </c>
      <c r="O96">
        <v>24</v>
      </c>
      <c r="P96">
        <v>33</v>
      </c>
      <c r="Q96">
        <v>457</v>
      </c>
      <c r="R96">
        <v>7122</v>
      </c>
      <c r="S96">
        <v>233.28</v>
      </c>
      <c r="T96">
        <v>235.22</v>
      </c>
      <c r="U96">
        <v>240</v>
      </c>
      <c r="V96">
        <v>980.08333333333337</v>
      </c>
      <c r="W96" t="s">
        <v>1153</v>
      </c>
      <c r="X96" t="s">
        <v>1087</v>
      </c>
      <c r="Y96">
        <v>37</v>
      </c>
      <c r="Z96">
        <v>1</v>
      </c>
      <c r="AA96">
        <v>81</v>
      </c>
    </row>
    <row r="97" spans="1:27" x14ac:dyDescent="0.3">
      <c r="A97" s="15">
        <v>44482.744641203702</v>
      </c>
      <c r="B97" t="s">
        <v>13</v>
      </c>
      <c r="C97" t="s">
        <v>1132</v>
      </c>
      <c r="D97" s="2">
        <v>44450</v>
      </c>
      <c r="E97" t="s">
        <v>1081</v>
      </c>
      <c r="F97" t="s">
        <v>40</v>
      </c>
      <c r="G97" t="s">
        <v>48</v>
      </c>
      <c r="H97" t="s">
        <v>946</v>
      </c>
      <c r="I97" t="s">
        <v>967</v>
      </c>
      <c r="J97" t="s">
        <v>124</v>
      </c>
      <c r="K97">
        <v>54</v>
      </c>
      <c r="L97">
        <v>1</v>
      </c>
      <c r="M97">
        <v>13.7</v>
      </c>
      <c r="N97" t="s">
        <v>21</v>
      </c>
      <c r="O97">
        <v>0</v>
      </c>
      <c r="P97">
        <v>1</v>
      </c>
      <c r="Q97">
        <v>459</v>
      </c>
      <c r="R97">
        <v>7126</v>
      </c>
      <c r="S97">
        <v>7.02</v>
      </c>
      <c r="T97">
        <v>13.7</v>
      </c>
      <c r="U97">
        <v>130</v>
      </c>
      <c r="V97">
        <v>105.38461538461539</v>
      </c>
      <c r="W97" t="s">
        <v>1153</v>
      </c>
      <c r="X97" t="s">
        <v>1087</v>
      </c>
      <c r="Y97">
        <v>37</v>
      </c>
      <c r="Z97">
        <v>2</v>
      </c>
      <c r="AA97">
        <v>9</v>
      </c>
    </row>
    <row r="98" spans="1:27" x14ac:dyDescent="0.3">
      <c r="A98" s="15">
        <v>44482.743460648147</v>
      </c>
      <c r="B98" t="s">
        <v>13</v>
      </c>
      <c r="C98" t="s">
        <v>1132</v>
      </c>
      <c r="D98" s="2">
        <v>44450</v>
      </c>
      <c r="E98" t="s">
        <v>1081</v>
      </c>
      <c r="F98" t="s">
        <v>40</v>
      </c>
      <c r="G98" t="s">
        <v>48</v>
      </c>
      <c r="H98" t="s">
        <v>946</v>
      </c>
      <c r="I98" t="s">
        <v>967</v>
      </c>
      <c r="J98" t="s">
        <v>1141</v>
      </c>
      <c r="K98">
        <v>425</v>
      </c>
      <c r="L98">
        <v>3</v>
      </c>
      <c r="M98">
        <v>103.7</v>
      </c>
      <c r="N98" t="s">
        <v>21</v>
      </c>
      <c r="O98">
        <v>0</v>
      </c>
      <c r="P98">
        <v>0</v>
      </c>
      <c r="Q98">
        <v>457</v>
      </c>
      <c r="R98">
        <v>7125</v>
      </c>
      <c r="S98">
        <v>55.25</v>
      </c>
      <c r="T98">
        <v>103.7</v>
      </c>
      <c r="U98">
        <v>130</v>
      </c>
      <c r="V98">
        <v>797.69230769230774</v>
      </c>
      <c r="W98" t="s">
        <v>1153</v>
      </c>
      <c r="X98" t="s">
        <v>1087</v>
      </c>
      <c r="Y98">
        <v>37</v>
      </c>
      <c r="Z98">
        <v>2</v>
      </c>
      <c r="AA98">
        <v>70.833333333333329</v>
      </c>
    </row>
    <row r="99" spans="1:27" x14ac:dyDescent="0.3">
      <c r="A99" s="15">
        <v>44482.735960648148</v>
      </c>
      <c r="B99" t="s">
        <v>13</v>
      </c>
      <c r="C99" t="s">
        <v>1132</v>
      </c>
      <c r="D99" s="2">
        <v>44450</v>
      </c>
      <c r="E99" t="s">
        <v>1082</v>
      </c>
      <c r="F99" t="s">
        <v>40</v>
      </c>
      <c r="G99" t="s">
        <v>48</v>
      </c>
      <c r="H99" t="s">
        <v>946</v>
      </c>
      <c r="I99" t="s">
        <v>967</v>
      </c>
      <c r="J99" t="s">
        <v>1144</v>
      </c>
      <c r="K99">
        <v>411</v>
      </c>
      <c r="L99">
        <v>4</v>
      </c>
      <c r="M99">
        <v>104.1</v>
      </c>
      <c r="N99" t="s">
        <v>21</v>
      </c>
      <c r="O99">
        <v>0</v>
      </c>
      <c r="P99">
        <v>14</v>
      </c>
      <c r="Q99">
        <v>457</v>
      </c>
      <c r="R99">
        <v>7125</v>
      </c>
      <c r="S99">
        <v>53.43</v>
      </c>
      <c r="T99">
        <v>104.1</v>
      </c>
      <c r="U99">
        <v>130</v>
      </c>
      <c r="V99">
        <v>800.76923076923072</v>
      </c>
      <c r="W99" t="s">
        <v>1153</v>
      </c>
      <c r="X99" t="s">
        <v>1087</v>
      </c>
      <c r="Y99">
        <v>37</v>
      </c>
      <c r="Z99">
        <v>2</v>
      </c>
      <c r="AA99">
        <v>68.5</v>
      </c>
    </row>
    <row r="100" spans="1:27" x14ac:dyDescent="0.3">
      <c r="A100" s="15">
        <v>44482.730393518519</v>
      </c>
      <c r="B100" t="s">
        <v>13</v>
      </c>
      <c r="C100" t="s">
        <v>1132</v>
      </c>
      <c r="D100" s="2">
        <v>44450</v>
      </c>
      <c r="E100" t="s">
        <v>1082</v>
      </c>
      <c r="F100" t="s">
        <v>41</v>
      </c>
      <c r="G100" t="s">
        <v>943</v>
      </c>
      <c r="H100" t="s">
        <v>48</v>
      </c>
      <c r="I100" t="s">
        <v>967</v>
      </c>
      <c r="J100" t="s">
        <v>123</v>
      </c>
      <c r="K100">
        <v>411</v>
      </c>
      <c r="L100">
        <v>5</v>
      </c>
      <c r="M100">
        <v>404.1</v>
      </c>
      <c r="N100" t="s">
        <v>21</v>
      </c>
      <c r="O100">
        <v>80</v>
      </c>
      <c r="P100">
        <v>14</v>
      </c>
      <c r="Q100">
        <v>457</v>
      </c>
      <c r="R100">
        <v>7125</v>
      </c>
      <c r="S100">
        <v>53.43</v>
      </c>
      <c r="T100">
        <v>404.1</v>
      </c>
      <c r="U100">
        <v>130</v>
      </c>
      <c r="V100">
        <v>3108.4615384615386</v>
      </c>
      <c r="W100" t="s">
        <v>1153</v>
      </c>
      <c r="X100" t="s">
        <v>1087</v>
      </c>
      <c r="Y100">
        <v>37</v>
      </c>
      <c r="Z100">
        <v>2</v>
      </c>
      <c r="AA100">
        <v>68.5</v>
      </c>
    </row>
    <row r="101" spans="1:27" x14ac:dyDescent="0.3">
      <c r="A101" s="15">
        <v>44482.745891203704</v>
      </c>
      <c r="B101" t="s">
        <v>13</v>
      </c>
      <c r="C101" t="s">
        <v>1132</v>
      </c>
      <c r="D101" s="2">
        <v>44452</v>
      </c>
      <c r="E101" t="s">
        <v>1114</v>
      </c>
      <c r="F101" t="s">
        <v>40</v>
      </c>
      <c r="G101" t="s">
        <v>48</v>
      </c>
      <c r="H101" t="s">
        <v>946</v>
      </c>
      <c r="I101" t="s">
        <v>967</v>
      </c>
      <c r="J101" t="s">
        <v>1142</v>
      </c>
      <c r="K101">
        <v>90</v>
      </c>
      <c r="L101">
        <v>1</v>
      </c>
      <c r="M101">
        <v>23.2</v>
      </c>
      <c r="N101" t="s">
        <v>21</v>
      </c>
      <c r="O101">
        <v>0</v>
      </c>
      <c r="P101">
        <v>1</v>
      </c>
      <c r="Q101">
        <v>459</v>
      </c>
      <c r="R101">
        <v>7127</v>
      </c>
      <c r="S101">
        <v>11.7</v>
      </c>
      <c r="T101">
        <v>23.2</v>
      </c>
      <c r="U101">
        <v>130</v>
      </c>
      <c r="V101">
        <v>178.46153846153845</v>
      </c>
      <c r="W101" t="s">
        <v>1153</v>
      </c>
      <c r="X101" t="s">
        <v>1087</v>
      </c>
      <c r="Y101">
        <v>38</v>
      </c>
      <c r="Z101">
        <v>2</v>
      </c>
      <c r="AA101">
        <v>15</v>
      </c>
    </row>
    <row r="102" spans="1:27" x14ac:dyDescent="0.3">
      <c r="A102" s="15">
        <v>44482.745381944442</v>
      </c>
      <c r="B102" t="s">
        <v>13</v>
      </c>
      <c r="C102" t="s">
        <v>1132</v>
      </c>
      <c r="D102" s="2">
        <v>44452</v>
      </c>
      <c r="E102" t="s">
        <v>1114</v>
      </c>
      <c r="F102" t="s">
        <v>40</v>
      </c>
      <c r="G102" t="s">
        <v>48</v>
      </c>
      <c r="H102" t="s">
        <v>946</v>
      </c>
      <c r="I102" t="s">
        <v>967</v>
      </c>
      <c r="J102" t="s">
        <v>124</v>
      </c>
      <c r="K102">
        <v>419</v>
      </c>
      <c r="L102">
        <v>3</v>
      </c>
      <c r="M102">
        <v>107.8</v>
      </c>
      <c r="N102" t="s">
        <v>21</v>
      </c>
      <c r="O102">
        <v>0</v>
      </c>
      <c r="P102">
        <v>13</v>
      </c>
      <c r="Q102">
        <v>459</v>
      </c>
      <c r="R102">
        <v>7127</v>
      </c>
      <c r="S102">
        <v>54.47</v>
      </c>
      <c r="T102">
        <v>107.8</v>
      </c>
      <c r="U102">
        <v>130</v>
      </c>
      <c r="V102">
        <v>829.23076923076928</v>
      </c>
      <c r="W102" t="s">
        <v>1153</v>
      </c>
      <c r="X102" t="s">
        <v>1087</v>
      </c>
      <c r="Y102">
        <v>38</v>
      </c>
      <c r="Z102">
        <v>2</v>
      </c>
      <c r="AA102">
        <v>69.833333333333329</v>
      </c>
    </row>
    <row r="103" spans="1:27" x14ac:dyDescent="0.3">
      <c r="A103" s="15">
        <v>44482.750127314815</v>
      </c>
      <c r="B103" t="s">
        <v>13</v>
      </c>
      <c r="C103" t="s">
        <v>1132</v>
      </c>
      <c r="D103" s="2">
        <v>44453</v>
      </c>
      <c r="E103" t="s">
        <v>1082</v>
      </c>
      <c r="F103" t="s">
        <v>40</v>
      </c>
      <c r="G103" t="s">
        <v>48</v>
      </c>
      <c r="H103" t="s">
        <v>946</v>
      </c>
      <c r="I103" t="s">
        <v>967</v>
      </c>
      <c r="J103" t="s">
        <v>124</v>
      </c>
      <c r="K103">
        <v>192</v>
      </c>
      <c r="L103">
        <v>3</v>
      </c>
      <c r="M103">
        <v>49.5</v>
      </c>
      <c r="N103" t="s">
        <v>21</v>
      </c>
      <c r="O103">
        <v>0</v>
      </c>
      <c r="P103">
        <v>0</v>
      </c>
      <c r="Q103">
        <v>459</v>
      </c>
      <c r="R103">
        <v>7129</v>
      </c>
      <c r="S103">
        <v>24.96</v>
      </c>
      <c r="T103">
        <v>49.5</v>
      </c>
      <c r="U103">
        <v>130</v>
      </c>
      <c r="V103">
        <v>380.76923076923077</v>
      </c>
      <c r="W103" t="s">
        <v>1153</v>
      </c>
      <c r="X103" t="s">
        <v>1087</v>
      </c>
      <c r="Y103">
        <v>38</v>
      </c>
      <c r="Z103">
        <v>2</v>
      </c>
      <c r="AA103">
        <v>32</v>
      </c>
    </row>
    <row r="104" spans="1:27" x14ac:dyDescent="0.3">
      <c r="A104" s="15">
        <v>44482.749328703707</v>
      </c>
      <c r="B104" t="s">
        <v>13</v>
      </c>
      <c r="C104" t="s">
        <v>1132</v>
      </c>
      <c r="D104" s="2">
        <v>44453</v>
      </c>
      <c r="E104" t="s">
        <v>1082</v>
      </c>
      <c r="F104" t="s">
        <v>40</v>
      </c>
      <c r="G104" t="s">
        <v>48</v>
      </c>
      <c r="H104" t="s">
        <v>946</v>
      </c>
      <c r="I104" t="s">
        <v>967</v>
      </c>
      <c r="J104" t="s">
        <v>1142</v>
      </c>
      <c r="K104">
        <v>303</v>
      </c>
      <c r="L104">
        <v>8</v>
      </c>
      <c r="M104">
        <v>78.099999999999994</v>
      </c>
      <c r="N104" t="s">
        <v>21</v>
      </c>
      <c r="O104">
        <v>0</v>
      </c>
      <c r="P104">
        <v>4</v>
      </c>
      <c r="Q104">
        <v>459</v>
      </c>
      <c r="R104">
        <v>7129</v>
      </c>
      <c r="S104">
        <v>39.39</v>
      </c>
      <c r="T104">
        <v>78.099999999999994</v>
      </c>
      <c r="U104">
        <v>130</v>
      </c>
      <c r="V104">
        <v>600.76923076923072</v>
      </c>
      <c r="W104" t="s">
        <v>1153</v>
      </c>
      <c r="X104" t="s">
        <v>1087</v>
      </c>
      <c r="Y104">
        <v>38</v>
      </c>
      <c r="Z104">
        <v>2</v>
      </c>
      <c r="AA104">
        <v>50.5</v>
      </c>
    </row>
    <row r="105" spans="1:27" x14ac:dyDescent="0.3">
      <c r="A105" s="15">
        <v>44482.756458333337</v>
      </c>
      <c r="B105" t="s">
        <v>13</v>
      </c>
      <c r="C105" t="s">
        <v>1132</v>
      </c>
      <c r="D105" s="2">
        <v>44454</v>
      </c>
      <c r="E105" t="s">
        <v>1082</v>
      </c>
      <c r="F105" t="s">
        <v>40</v>
      </c>
      <c r="G105" t="s">
        <v>48</v>
      </c>
      <c r="H105" t="s">
        <v>946</v>
      </c>
      <c r="I105" t="s">
        <v>967</v>
      </c>
      <c r="J105" t="s">
        <v>1143</v>
      </c>
      <c r="K105">
        <v>60</v>
      </c>
      <c r="L105">
        <v>1</v>
      </c>
      <c r="M105">
        <v>13.6</v>
      </c>
      <c r="N105" t="s">
        <v>21</v>
      </c>
      <c r="O105">
        <v>0</v>
      </c>
      <c r="P105">
        <v>7</v>
      </c>
      <c r="Q105">
        <v>459</v>
      </c>
      <c r="R105">
        <v>7131</v>
      </c>
      <c r="S105">
        <v>7.8</v>
      </c>
      <c r="T105">
        <v>13.6</v>
      </c>
      <c r="U105">
        <v>130</v>
      </c>
      <c r="V105">
        <v>104.61538461538461</v>
      </c>
      <c r="W105" t="s">
        <v>1153</v>
      </c>
      <c r="X105" t="s">
        <v>1087</v>
      </c>
      <c r="Y105">
        <v>38</v>
      </c>
      <c r="Z105">
        <v>2</v>
      </c>
      <c r="AA105">
        <v>10</v>
      </c>
    </row>
    <row r="106" spans="1:27" x14ac:dyDescent="0.3">
      <c r="A106" s="15">
        <v>44482.755902777775</v>
      </c>
      <c r="B106" t="s">
        <v>13</v>
      </c>
      <c r="C106" t="s">
        <v>1132</v>
      </c>
      <c r="D106" s="2">
        <v>44454</v>
      </c>
      <c r="E106" t="s">
        <v>1082</v>
      </c>
      <c r="F106" t="s">
        <v>40</v>
      </c>
      <c r="G106" t="s">
        <v>48</v>
      </c>
      <c r="H106" t="s">
        <v>946</v>
      </c>
      <c r="I106" t="s">
        <v>967</v>
      </c>
      <c r="J106" t="s">
        <v>1144</v>
      </c>
      <c r="K106">
        <v>210</v>
      </c>
      <c r="L106">
        <v>4</v>
      </c>
      <c r="M106">
        <v>52.8</v>
      </c>
      <c r="N106" t="s">
        <v>21</v>
      </c>
      <c r="O106">
        <v>0</v>
      </c>
      <c r="P106">
        <v>7</v>
      </c>
      <c r="Q106">
        <v>459</v>
      </c>
      <c r="R106">
        <v>7131</v>
      </c>
      <c r="S106">
        <v>27.3</v>
      </c>
      <c r="T106">
        <v>52.8</v>
      </c>
      <c r="U106">
        <v>130</v>
      </c>
      <c r="V106">
        <v>406.15384615384613</v>
      </c>
      <c r="W106" t="s">
        <v>1153</v>
      </c>
      <c r="X106" t="s">
        <v>1087</v>
      </c>
      <c r="Y106">
        <v>38</v>
      </c>
      <c r="Z106">
        <v>2</v>
      </c>
      <c r="AA106">
        <v>35</v>
      </c>
    </row>
    <row r="107" spans="1:27" x14ac:dyDescent="0.3">
      <c r="A107" s="15">
        <v>44482.755381944444</v>
      </c>
      <c r="B107" t="s">
        <v>13</v>
      </c>
      <c r="C107" t="s">
        <v>1132</v>
      </c>
      <c r="D107" s="2">
        <v>44454</v>
      </c>
      <c r="E107" t="s">
        <v>1082</v>
      </c>
      <c r="F107" t="s">
        <v>40</v>
      </c>
      <c r="G107" t="s">
        <v>48</v>
      </c>
      <c r="H107" t="s">
        <v>946</v>
      </c>
      <c r="I107" t="s">
        <v>967</v>
      </c>
      <c r="J107" t="s">
        <v>1144</v>
      </c>
      <c r="K107">
        <v>131</v>
      </c>
      <c r="L107">
        <v>5</v>
      </c>
      <c r="M107">
        <v>33.299999999999997</v>
      </c>
      <c r="N107" t="s">
        <v>21</v>
      </c>
      <c r="O107">
        <v>0</v>
      </c>
      <c r="P107">
        <v>5</v>
      </c>
      <c r="Q107">
        <v>459</v>
      </c>
      <c r="R107">
        <v>7131</v>
      </c>
      <c r="S107">
        <v>17.03</v>
      </c>
      <c r="T107">
        <v>33.299999999999997</v>
      </c>
      <c r="U107">
        <v>130</v>
      </c>
      <c r="V107">
        <v>256.15384615384613</v>
      </c>
      <c r="W107" t="s">
        <v>1153</v>
      </c>
      <c r="X107" t="s">
        <v>1087</v>
      </c>
      <c r="Y107">
        <v>38</v>
      </c>
      <c r="Z107">
        <v>2</v>
      </c>
      <c r="AA107">
        <v>21.833333333333332</v>
      </c>
    </row>
    <row r="108" spans="1:27" x14ac:dyDescent="0.3">
      <c r="A108" s="15">
        <v>44482.754826388889</v>
      </c>
      <c r="B108" t="s">
        <v>13</v>
      </c>
      <c r="C108" t="s">
        <v>1132</v>
      </c>
      <c r="D108" s="2">
        <v>44454</v>
      </c>
      <c r="E108" t="s">
        <v>1082</v>
      </c>
      <c r="F108" t="s">
        <v>40</v>
      </c>
      <c r="G108" t="s">
        <v>48</v>
      </c>
      <c r="H108" t="s">
        <v>946</v>
      </c>
      <c r="I108" t="s">
        <v>967</v>
      </c>
      <c r="J108" t="s">
        <v>123</v>
      </c>
      <c r="K108">
        <v>130</v>
      </c>
      <c r="L108">
        <v>2</v>
      </c>
      <c r="M108">
        <v>38.200000000000003</v>
      </c>
      <c r="N108" t="s">
        <v>21</v>
      </c>
      <c r="O108">
        <v>0</v>
      </c>
      <c r="P108">
        <v>5</v>
      </c>
      <c r="Q108">
        <v>459</v>
      </c>
      <c r="R108">
        <v>7131</v>
      </c>
      <c r="S108">
        <v>16.899999999999999</v>
      </c>
      <c r="T108">
        <v>38.200000000000003</v>
      </c>
      <c r="U108">
        <v>130</v>
      </c>
      <c r="V108">
        <v>293.84615384615387</v>
      </c>
      <c r="W108" t="s">
        <v>1153</v>
      </c>
      <c r="X108" t="s">
        <v>1087</v>
      </c>
      <c r="Y108">
        <v>38</v>
      </c>
      <c r="Z108">
        <v>2</v>
      </c>
      <c r="AA108">
        <v>21.666666666666668</v>
      </c>
    </row>
    <row r="109" spans="1:27" x14ac:dyDescent="0.3">
      <c r="A109" s="15">
        <v>44482.760243055556</v>
      </c>
      <c r="B109" t="s">
        <v>13</v>
      </c>
      <c r="C109" t="s">
        <v>1132</v>
      </c>
      <c r="D109" s="2">
        <v>44455</v>
      </c>
      <c r="E109" t="s">
        <v>1082</v>
      </c>
      <c r="F109" t="s">
        <v>40</v>
      </c>
      <c r="G109" t="s">
        <v>48</v>
      </c>
      <c r="H109" t="s">
        <v>946</v>
      </c>
      <c r="I109" t="s">
        <v>967</v>
      </c>
      <c r="J109" t="s">
        <v>1142</v>
      </c>
      <c r="K109">
        <v>120</v>
      </c>
      <c r="L109">
        <v>2</v>
      </c>
      <c r="M109">
        <v>30.4</v>
      </c>
      <c r="N109" t="s">
        <v>21</v>
      </c>
      <c r="O109">
        <v>0</v>
      </c>
      <c r="P109">
        <v>4</v>
      </c>
      <c r="Q109">
        <v>459</v>
      </c>
      <c r="R109">
        <v>7132</v>
      </c>
      <c r="S109">
        <v>15.6</v>
      </c>
      <c r="T109">
        <v>30.4</v>
      </c>
      <c r="U109">
        <v>130</v>
      </c>
      <c r="V109">
        <v>233.84615384615384</v>
      </c>
      <c r="W109" t="s">
        <v>1153</v>
      </c>
      <c r="X109" t="s">
        <v>1087</v>
      </c>
      <c r="Y109">
        <v>38</v>
      </c>
      <c r="Z109">
        <v>2</v>
      </c>
      <c r="AA109">
        <v>20</v>
      </c>
    </row>
    <row r="110" spans="1:27" x14ac:dyDescent="0.3">
      <c r="A110" s="15">
        <v>44482.758055555554</v>
      </c>
      <c r="B110" t="s">
        <v>13</v>
      </c>
      <c r="C110" t="s">
        <v>1132</v>
      </c>
      <c r="D110" s="2">
        <v>44455</v>
      </c>
      <c r="E110" t="s">
        <v>1082</v>
      </c>
      <c r="F110" t="s">
        <v>40</v>
      </c>
      <c r="G110" t="s">
        <v>48</v>
      </c>
      <c r="H110" t="s">
        <v>946</v>
      </c>
      <c r="I110" t="s">
        <v>967</v>
      </c>
      <c r="J110" t="s">
        <v>123</v>
      </c>
      <c r="K110">
        <v>77</v>
      </c>
      <c r="L110">
        <v>2</v>
      </c>
      <c r="M110">
        <v>22.1</v>
      </c>
      <c r="N110" t="s">
        <v>21</v>
      </c>
      <c r="O110">
        <v>0</v>
      </c>
      <c r="P110">
        <v>4</v>
      </c>
      <c r="Q110">
        <v>459</v>
      </c>
      <c r="R110">
        <v>7132</v>
      </c>
      <c r="S110">
        <v>10.01</v>
      </c>
      <c r="T110">
        <v>22.1</v>
      </c>
      <c r="U110">
        <v>130</v>
      </c>
      <c r="V110">
        <v>170</v>
      </c>
      <c r="W110" t="s">
        <v>1153</v>
      </c>
      <c r="X110" t="s">
        <v>1087</v>
      </c>
      <c r="Y110">
        <v>38</v>
      </c>
      <c r="Z110">
        <v>2</v>
      </c>
      <c r="AA110">
        <v>12.833333333333334</v>
      </c>
    </row>
    <row r="111" spans="1:27" x14ac:dyDescent="0.3">
      <c r="A111" s="15">
        <v>44482.757743055554</v>
      </c>
      <c r="B111" t="s">
        <v>13</v>
      </c>
      <c r="C111" t="s">
        <v>1132</v>
      </c>
      <c r="D111" s="2">
        <v>44455</v>
      </c>
      <c r="E111" t="s">
        <v>1082</v>
      </c>
      <c r="F111" t="s">
        <v>40</v>
      </c>
      <c r="G111" t="s">
        <v>48</v>
      </c>
      <c r="H111" t="s">
        <v>946</v>
      </c>
      <c r="I111" t="s">
        <v>967</v>
      </c>
      <c r="J111" t="s">
        <v>1141</v>
      </c>
      <c r="K111">
        <v>120</v>
      </c>
      <c r="L111">
        <v>2</v>
      </c>
      <c r="M111">
        <v>30.4</v>
      </c>
      <c r="N111" t="s">
        <v>21</v>
      </c>
      <c r="O111">
        <v>0</v>
      </c>
      <c r="P111">
        <v>4</v>
      </c>
      <c r="Q111">
        <v>459</v>
      </c>
      <c r="R111">
        <v>7132</v>
      </c>
      <c r="S111">
        <v>15.6</v>
      </c>
      <c r="T111">
        <v>30.4</v>
      </c>
      <c r="U111">
        <v>130</v>
      </c>
      <c r="V111">
        <v>233.84615384615384</v>
      </c>
      <c r="W111" t="s">
        <v>1153</v>
      </c>
      <c r="X111" t="s">
        <v>1087</v>
      </c>
      <c r="Y111">
        <v>38</v>
      </c>
      <c r="Z111">
        <v>2</v>
      </c>
      <c r="AA111">
        <v>20</v>
      </c>
    </row>
    <row r="112" spans="1:27" x14ac:dyDescent="0.3">
      <c r="A112" s="15">
        <v>44482.757349537038</v>
      </c>
      <c r="B112" t="s">
        <v>13</v>
      </c>
      <c r="C112" t="s">
        <v>1132</v>
      </c>
      <c r="D112" s="2">
        <v>44455</v>
      </c>
      <c r="E112" t="s">
        <v>1082</v>
      </c>
      <c r="F112" t="s">
        <v>40</v>
      </c>
      <c r="G112" t="s">
        <v>48</v>
      </c>
      <c r="H112" t="s">
        <v>946</v>
      </c>
      <c r="I112" t="s">
        <v>967</v>
      </c>
      <c r="J112" t="s">
        <v>1144</v>
      </c>
      <c r="K112">
        <v>90</v>
      </c>
      <c r="L112">
        <v>2</v>
      </c>
      <c r="M112">
        <v>22.3</v>
      </c>
      <c r="N112" t="s">
        <v>21</v>
      </c>
      <c r="O112">
        <v>0</v>
      </c>
      <c r="P112">
        <v>3</v>
      </c>
      <c r="Q112">
        <v>459</v>
      </c>
      <c r="R112">
        <v>7132</v>
      </c>
      <c r="S112">
        <v>11.7</v>
      </c>
      <c r="T112">
        <v>22.3</v>
      </c>
      <c r="U112">
        <v>130</v>
      </c>
      <c r="V112">
        <v>171.53846153846155</v>
      </c>
      <c r="W112" t="s">
        <v>1153</v>
      </c>
      <c r="X112" t="s">
        <v>1087</v>
      </c>
      <c r="Y112">
        <v>38</v>
      </c>
      <c r="Z112">
        <v>2</v>
      </c>
      <c r="AA112">
        <v>15</v>
      </c>
    </row>
    <row r="113" spans="1:27" x14ac:dyDescent="0.3">
      <c r="A113" s="15">
        <v>44482.756921296299</v>
      </c>
      <c r="B113" t="s">
        <v>13</v>
      </c>
      <c r="C113" t="s">
        <v>1132</v>
      </c>
      <c r="D113" s="2">
        <v>44455</v>
      </c>
      <c r="E113" t="s">
        <v>1082</v>
      </c>
      <c r="F113" t="s">
        <v>40</v>
      </c>
      <c r="G113" t="s">
        <v>48</v>
      </c>
      <c r="H113" t="s">
        <v>946</v>
      </c>
      <c r="I113" t="s">
        <v>967</v>
      </c>
      <c r="J113" t="s">
        <v>1143</v>
      </c>
      <c r="K113">
        <v>54</v>
      </c>
      <c r="L113">
        <v>1</v>
      </c>
      <c r="M113">
        <v>14.8</v>
      </c>
      <c r="N113" t="s">
        <v>21</v>
      </c>
      <c r="O113">
        <v>0</v>
      </c>
      <c r="P113">
        <v>2</v>
      </c>
      <c r="Q113">
        <v>459</v>
      </c>
      <c r="R113">
        <v>7132</v>
      </c>
      <c r="S113">
        <v>7.02</v>
      </c>
      <c r="T113">
        <v>14.8</v>
      </c>
      <c r="U113">
        <v>130</v>
      </c>
      <c r="V113">
        <v>113.84615384615384</v>
      </c>
      <c r="W113" t="s">
        <v>1153</v>
      </c>
      <c r="X113" t="s">
        <v>1087</v>
      </c>
      <c r="Y113">
        <v>38</v>
      </c>
      <c r="Z113">
        <v>2</v>
      </c>
      <c r="AA113">
        <v>9</v>
      </c>
    </row>
    <row r="114" spans="1:27" x14ac:dyDescent="0.3">
      <c r="A114" s="15">
        <v>44482.766782407409</v>
      </c>
      <c r="B114" t="s">
        <v>13</v>
      </c>
      <c r="C114" t="s">
        <v>1132</v>
      </c>
      <c r="D114" s="2">
        <v>44461</v>
      </c>
      <c r="E114" t="s">
        <v>1082</v>
      </c>
      <c r="F114" t="s">
        <v>41</v>
      </c>
      <c r="G114" t="s">
        <v>943</v>
      </c>
      <c r="H114" t="s">
        <v>48</v>
      </c>
      <c r="I114" t="s">
        <v>1145</v>
      </c>
      <c r="J114" t="s">
        <v>1151</v>
      </c>
      <c r="K114">
        <v>428</v>
      </c>
      <c r="L114">
        <v>8</v>
      </c>
      <c r="M114">
        <v>73.599999999999994</v>
      </c>
      <c r="N114" t="s">
        <v>21</v>
      </c>
      <c r="O114">
        <v>0</v>
      </c>
      <c r="P114">
        <v>11</v>
      </c>
      <c r="Q114">
        <v>465</v>
      </c>
      <c r="R114">
        <v>7133</v>
      </c>
      <c r="S114">
        <v>36.808</v>
      </c>
      <c r="T114">
        <v>73.599999999999994</v>
      </c>
      <c r="U114">
        <v>86</v>
      </c>
      <c r="V114">
        <v>855.81395348837214</v>
      </c>
      <c r="W114" t="s">
        <v>1153</v>
      </c>
      <c r="X114" t="s">
        <v>1087</v>
      </c>
      <c r="Y114">
        <v>39</v>
      </c>
      <c r="Z114">
        <v>2</v>
      </c>
      <c r="AA114">
        <v>71.333333333333329</v>
      </c>
    </row>
    <row r="115" spans="1:27" x14ac:dyDescent="0.3">
      <c r="A115" s="15">
        <v>44482.764456018522</v>
      </c>
      <c r="B115" t="s">
        <v>13</v>
      </c>
      <c r="C115" t="s">
        <v>1132</v>
      </c>
      <c r="D115" s="2">
        <v>44461</v>
      </c>
      <c r="E115" t="s">
        <v>1082</v>
      </c>
      <c r="F115" t="s">
        <v>41</v>
      </c>
      <c r="G115" t="s">
        <v>943</v>
      </c>
      <c r="H115" t="s">
        <v>48</v>
      </c>
      <c r="I115" t="s">
        <v>1145</v>
      </c>
      <c r="J115" t="s">
        <v>1150</v>
      </c>
      <c r="K115">
        <v>320</v>
      </c>
      <c r="L115">
        <v>5</v>
      </c>
      <c r="M115">
        <v>55.4</v>
      </c>
      <c r="N115" t="s">
        <v>21</v>
      </c>
      <c r="O115">
        <v>0</v>
      </c>
      <c r="P115">
        <v>8</v>
      </c>
      <c r="Q115">
        <v>465</v>
      </c>
      <c r="R115">
        <v>7133</v>
      </c>
      <c r="S115">
        <v>27.52</v>
      </c>
      <c r="T115">
        <v>55.4</v>
      </c>
      <c r="U115">
        <v>86</v>
      </c>
      <c r="V115">
        <v>644.18604651162786</v>
      </c>
      <c r="W115" t="s">
        <v>1153</v>
      </c>
      <c r="X115" t="s">
        <v>1087</v>
      </c>
      <c r="Y115">
        <v>39</v>
      </c>
      <c r="Z115">
        <v>2</v>
      </c>
      <c r="AA115">
        <v>53.333333333333336</v>
      </c>
    </row>
    <row r="116" spans="1:27" x14ac:dyDescent="0.3">
      <c r="A116" s="15">
        <v>44482.772951388892</v>
      </c>
      <c r="B116" t="s">
        <v>13</v>
      </c>
      <c r="C116" t="s">
        <v>1132</v>
      </c>
      <c r="D116" s="2">
        <v>44462</v>
      </c>
      <c r="E116" t="s">
        <v>1114</v>
      </c>
      <c r="F116" t="s">
        <v>41</v>
      </c>
      <c r="G116" t="s">
        <v>943</v>
      </c>
      <c r="H116" t="s">
        <v>48</v>
      </c>
      <c r="I116" t="s">
        <v>1145</v>
      </c>
      <c r="J116" t="s">
        <v>1148</v>
      </c>
      <c r="K116">
        <v>869</v>
      </c>
      <c r="L116">
        <v>12</v>
      </c>
      <c r="M116">
        <v>149.47</v>
      </c>
      <c r="N116" t="s">
        <v>21</v>
      </c>
      <c r="O116">
        <v>0</v>
      </c>
      <c r="P116">
        <v>10</v>
      </c>
      <c r="Q116">
        <v>465</v>
      </c>
      <c r="R116">
        <v>7137</v>
      </c>
      <c r="S116">
        <v>74.733999999999995</v>
      </c>
      <c r="T116">
        <v>149.47</v>
      </c>
      <c r="U116">
        <v>86</v>
      </c>
      <c r="V116">
        <v>1738.0232558139535</v>
      </c>
      <c r="W116" t="s">
        <v>1153</v>
      </c>
      <c r="X116" t="s">
        <v>1087</v>
      </c>
      <c r="Y116">
        <v>39</v>
      </c>
      <c r="Z116">
        <v>2</v>
      </c>
      <c r="AA116">
        <v>144.83333333333334</v>
      </c>
    </row>
    <row r="117" spans="1:27" x14ac:dyDescent="0.3">
      <c r="A117" s="15">
        <v>44482.770949074074</v>
      </c>
      <c r="B117" t="s">
        <v>13</v>
      </c>
      <c r="C117" t="s">
        <v>1132</v>
      </c>
      <c r="D117" s="2">
        <v>44462</v>
      </c>
      <c r="E117" t="s">
        <v>1105</v>
      </c>
      <c r="F117" t="s">
        <v>41</v>
      </c>
      <c r="G117" t="s">
        <v>943</v>
      </c>
      <c r="H117" t="s">
        <v>48</v>
      </c>
      <c r="I117" t="s">
        <v>1145</v>
      </c>
      <c r="J117" t="s">
        <v>1147</v>
      </c>
      <c r="K117">
        <v>159</v>
      </c>
      <c r="L117">
        <v>2</v>
      </c>
      <c r="M117">
        <v>27.35</v>
      </c>
      <c r="N117" t="s">
        <v>21</v>
      </c>
      <c r="O117">
        <v>0</v>
      </c>
      <c r="P117">
        <v>2</v>
      </c>
      <c r="Q117">
        <v>465</v>
      </c>
      <c r="R117">
        <v>7135</v>
      </c>
      <c r="S117">
        <v>13.673999999999999</v>
      </c>
      <c r="T117">
        <v>27.35</v>
      </c>
      <c r="U117">
        <v>86</v>
      </c>
      <c r="V117">
        <v>318.02325581395348</v>
      </c>
      <c r="W117" t="s">
        <v>1153</v>
      </c>
      <c r="X117" t="s">
        <v>1087</v>
      </c>
      <c r="Y117">
        <v>39</v>
      </c>
      <c r="Z117">
        <v>2</v>
      </c>
      <c r="AA117">
        <v>26.5</v>
      </c>
    </row>
    <row r="118" spans="1:27" x14ac:dyDescent="0.3">
      <c r="A118" s="15">
        <v>44482.770567129628</v>
      </c>
      <c r="B118" t="s">
        <v>13</v>
      </c>
      <c r="C118" t="s">
        <v>1132</v>
      </c>
      <c r="D118" s="2">
        <v>44462</v>
      </c>
      <c r="E118" t="s">
        <v>1105</v>
      </c>
      <c r="F118" t="s">
        <v>41</v>
      </c>
      <c r="G118" t="s">
        <v>943</v>
      </c>
      <c r="H118" t="s">
        <v>48</v>
      </c>
      <c r="I118" t="s">
        <v>1145</v>
      </c>
      <c r="J118" t="s">
        <v>1149</v>
      </c>
      <c r="K118">
        <v>602</v>
      </c>
      <c r="L118">
        <v>9</v>
      </c>
      <c r="M118">
        <v>103.64</v>
      </c>
      <c r="N118" t="s">
        <v>21</v>
      </c>
      <c r="O118">
        <v>0</v>
      </c>
      <c r="P118">
        <v>13</v>
      </c>
      <c r="Q118">
        <v>465</v>
      </c>
      <c r="R118">
        <v>7135</v>
      </c>
      <c r="S118">
        <v>51.771999999999998</v>
      </c>
      <c r="T118">
        <v>103.64</v>
      </c>
      <c r="U118">
        <v>86</v>
      </c>
      <c r="V118">
        <v>1205.1162790697674</v>
      </c>
      <c r="W118" t="s">
        <v>1153</v>
      </c>
      <c r="X118" t="s">
        <v>1087</v>
      </c>
      <c r="Y118">
        <v>39</v>
      </c>
      <c r="Z118">
        <v>2</v>
      </c>
      <c r="AA118">
        <v>100.33333333333333</v>
      </c>
    </row>
    <row r="119" spans="1:27" x14ac:dyDescent="0.3">
      <c r="A119" s="15">
        <v>44482.774791666663</v>
      </c>
      <c r="B119" t="s">
        <v>13</v>
      </c>
      <c r="C119" t="s">
        <v>1132</v>
      </c>
      <c r="D119" s="2">
        <v>44464</v>
      </c>
      <c r="E119" t="s">
        <v>1105</v>
      </c>
      <c r="F119" t="s">
        <v>41</v>
      </c>
      <c r="G119" t="s">
        <v>943</v>
      </c>
      <c r="H119" t="s">
        <v>48</v>
      </c>
      <c r="I119" t="s">
        <v>1145</v>
      </c>
      <c r="J119" t="s">
        <v>1146</v>
      </c>
      <c r="K119">
        <v>1021</v>
      </c>
      <c r="L119">
        <v>12</v>
      </c>
      <c r="M119">
        <v>175.61</v>
      </c>
      <c r="N119" t="s">
        <v>21</v>
      </c>
      <c r="O119">
        <v>0</v>
      </c>
      <c r="P119">
        <v>20</v>
      </c>
      <c r="Q119">
        <v>465</v>
      </c>
      <c r="R119">
        <v>7139</v>
      </c>
      <c r="S119">
        <v>87.805999999999997</v>
      </c>
      <c r="T119">
        <v>175.61</v>
      </c>
      <c r="U119">
        <v>86</v>
      </c>
      <c r="V119">
        <v>2041.9767441860465</v>
      </c>
      <c r="W119" t="s">
        <v>1153</v>
      </c>
      <c r="X119" t="s">
        <v>1087</v>
      </c>
      <c r="Y119">
        <v>39</v>
      </c>
      <c r="Z119">
        <v>2</v>
      </c>
      <c r="AA119">
        <v>170.16666666666666</v>
      </c>
    </row>
    <row r="120" spans="1:27" x14ac:dyDescent="0.3">
      <c r="A120" s="15">
        <v>44482.77679398148</v>
      </c>
      <c r="B120" t="s">
        <v>13</v>
      </c>
      <c r="C120" t="s">
        <v>1132</v>
      </c>
      <c r="D120" s="2">
        <v>44465</v>
      </c>
      <c r="E120" t="s">
        <v>1027</v>
      </c>
      <c r="F120" t="s">
        <v>41</v>
      </c>
      <c r="G120" t="s">
        <v>950</v>
      </c>
      <c r="H120" t="s">
        <v>943</v>
      </c>
      <c r="I120" t="s">
        <v>1145</v>
      </c>
      <c r="J120" t="s">
        <v>1151</v>
      </c>
      <c r="K120">
        <v>738</v>
      </c>
      <c r="L120">
        <v>8</v>
      </c>
      <c r="M120">
        <v>127</v>
      </c>
      <c r="N120" t="s">
        <v>21</v>
      </c>
      <c r="O120">
        <v>0</v>
      </c>
      <c r="P120">
        <v>13</v>
      </c>
      <c r="Q120">
        <v>465</v>
      </c>
      <c r="R120">
        <v>7143</v>
      </c>
      <c r="S120">
        <v>63.468000000000004</v>
      </c>
      <c r="T120">
        <v>127</v>
      </c>
      <c r="U120">
        <v>86</v>
      </c>
      <c r="V120">
        <v>1476.7441860465117</v>
      </c>
      <c r="W120" t="s">
        <v>1153</v>
      </c>
      <c r="X120" t="s">
        <v>1087</v>
      </c>
      <c r="Y120">
        <v>39</v>
      </c>
      <c r="Z120">
        <v>2</v>
      </c>
      <c r="AA120">
        <v>123</v>
      </c>
    </row>
    <row r="121" spans="1:27" x14ac:dyDescent="0.3">
      <c r="A121" s="15">
        <v>44482.777361111112</v>
      </c>
      <c r="B121" t="s">
        <v>13</v>
      </c>
      <c r="C121" t="s">
        <v>1132</v>
      </c>
      <c r="D121" s="2">
        <v>44466</v>
      </c>
      <c r="E121" t="s">
        <v>1082</v>
      </c>
      <c r="F121" t="s">
        <v>41</v>
      </c>
      <c r="G121" t="s">
        <v>950</v>
      </c>
      <c r="H121" t="s">
        <v>943</v>
      </c>
      <c r="I121" t="s">
        <v>1145</v>
      </c>
      <c r="J121" t="s">
        <v>1149</v>
      </c>
      <c r="K121">
        <v>897</v>
      </c>
      <c r="L121">
        <v>11</v>
      </c>
      <c r="M121">
        <v>154.35</v>
      </c>
      <c r="N121" t="s">
        <v>21</v>
      </c>
      <c r="O121">
        <v>0</v>
      </c>
      <c r="P121">
        <v>13</v>
      </c>
      <c r="Q121">
        <v>465</v>
      </c>
      <c r="R121">
        <v>7144</v>
      </c>
      <c r="S121">
        <v>77.141999999999996</v>
      </c>
      <c r="T121">
        <v>154.35</v>
      </c>
      <c r="U121">
        <v>86</v>
      </c>
      <c r="V121">
        <v>1794.7674418604652</v>
      </c>
      <c r="W121" t="s">
        <v>1153</v>
      </c>
      <c r="X121" t="s">
        <v>1087</v>
      </c>
      <c r="Y121">
        <v>40</v>
      </c>
      <c r="Z121">
        <v>2</v>
      </c>
      <c r="AA121">
        <v>149.5</v>
      </c>
    </row>
    <row r="122" spans="1:27" x14ac:dyDescent="0.3">
      <c r="A122" s="15">
        <v>44482.780138888891</v>
      </c>
      <c r="B122" t="s">
        <v>13</v>
      </c>
      <c r="C122" t="s">
        <v>1132</v>
      </c>
      <c r="D122" s="2">
        <v>44467</v>
      </c>
      <c r="E122" t="s">
        <v>1105</v>
      </c>
      <c r="F122" t="s">
        <v>41</v>
      </c>
      <c r="G122" t="s">
        <v>950</v>
      </c>
      <c r="H122" t="s">
        <v>943</v>
      </c>
      <c r="I122" t="s">
        <v>1145</v>
      </c>
      <c r="J122" t="s">
        <v>1146</v>
      </c>
      <c r="K122">
        <v>538</v>
      </c>
      <c r="L122">
        <v>6</v>
      </c>
      <c r="M122">
        <v>92.54</v>
      </c>
      <c r="N122" t="s">
        <v>21</v>
      </c>
      <c r="O122">
        <v>0</v>
      </c>
      <c r="P122">
        <v>11</v>
      </c>
      <c r="Q122">
        <v>465</v>
      </c>
      <c r="R122">
        <v>7146</v>
      </c>
      <c r="S122">
        <v>46.268000000000001</v>
      </c>
      <c r="T122">
        <v>92.54</v>
      </c>
      <c r="U122">
        <v>86</v>
      </c>
      <c r="V122">
        <v>1076.046511627907</v>
      </c>
      <c r="W122" t="s">
        <v>1153</v>
      </c>
      <c r="X122" t="s">
        <v>1087</v>
      </c>
      <c r="Y122">
        <v>40</v>
      </c>
      <c r="Z122">
        <v>2</v>
      </c>
      <c r="AA122">
        <v>89.666666666666671</v>
      </c>
    </row>
    <row r="123" spans="1:27" x14ac:dyDescent="0.3">
      <c r="A123" s="15">
        <v>44482.779606481483</v>
      </c>
      <c r="B123" t="s">
        <v>13</v>
      </c>
      <c r="C123" t="s">
        <v>1132</v>
      </c>
      <c r="D123" s="2">
        <v>44467</v>
      </c>
      <c r="E123" t="s">
        <v>1105</v>
      </c>
      <c r="F123" t="s">
        <v>41</v>
      </c>
      <c r="G123" t="s">
        <v>950</v>
      </c>
      <c r="H123" t="s">
        <v>943</v>
      </c>
      <c r="I123" t="s">
        <v>1145</v>
      </c>
      <c r="J123" t="s">
        <v>1147</v>
      </c>
      <c r="K123">
        <v>131</v>
      </c>
      <c r="L123">
        <v>2</v>
      </c>
      <c r="M123">
        <v>22.53</v>
      </c>
      <c r="N123" t="s">
        <v>21</v>
      </c>
      <c r="O123">
        <v>0</v>
      </c>
      <c r="P123">
        <v>3</v>
      </c>
      <c r="Q123">
        <v>465</v>
      </c>
      <c r="R123">
        <v>7146</v>
      </c>
      <c r="S123">
        <v>11.266</v>
      </c>
      <c r="T123">
        <v>22.53</v>
      </c>
      <c r="U123">
        <v>86</v>
      </c>
      <c r="V123">
        <v>261.97674418604652</v>
      </c>
      <c r="W123" t="s">
        <v>1153</v>
      </c>
      <c r="X123" t="s">
        <v>1087</v>
      </c>
      <c r="Y123">
        <v>40</v>
      </c>
      <c r="Z123">
        <v>2</v>
      </c>
      <c r="AA123">
        <v>21.833333333333332</v>
      </c>
    </row>
    <row r="124" spans="1:27" x14ac:dyDescent="0.3">
      <c r="A124" s="15">
        <v>44482.784050925926</v>
      </c>
      <c r="B124" t="s">
        <v>13</v>
      </c>
      <c r="C124" t="s">
        <v>1132</v>
      </c>
      <c r="D124" s="2">
        <v>44469</v>
      </c>
      <c r="E124" t="s">
        <v>1031</v>
      </c>
      <c r="F124" t="s">
        <v>41</v>
      </c>
      <c r="G124" t="s">
        <v>943</v>
      </c>
      <c r="I124" t="s">
        <v>1050</v>
      </c>
      <c r="J124" t="s">
        <v>153</v>
      </c>
      <c r="K124">
        <v>151</v>
      </c>
      <c r="L124">
        <v>2</v>
      </c>
      <c r="M124">
        <v>26.3</v>
      </c>
      <c r="N124" t="s">
        <v>21</v>
      </c>
      <c r="O124">
        <v>0</v>
      </c>
      <c r="P124">
        <v>4</v>
      </c>
      <c r="Q124">
        <v>473</v>
      </c>
      <c r="R124">
        <v>7148</v>
      </c>
      <c r="S124">
        <v>10.268000000000001</v>
      </c>
      <c r="T124">
        <v>26.3</v>
      </c>
      <c r="U124">
        <v>68</v>
      </c>
      <c r="V124">
        <v>386.76470588235293</v>
      </c>
      <c r="W124" t="s">
        <v>1153</v>
      </c>
      <c r="X124" t="s">
        <v>1087</v>
      </c>
      <c r="Y124">
        <v>40</v>
      </c>
      <c r="Z124">
        <v>2</v>
      </c>
      <c r="AA124">
        <v>25.166666666666668</v>
      </c>
    </row>
    <row r="125" spans="1:27" x14ac:dyDescent="0.3">
      <c r="A125" s="15">
        <v>44482.789097222223</v>
      </c>
      <c r="B125" t="s">
        <v>13</v>
      </c>
      <c r="C125" t="s">
        <v>1080</v>
      </c>
      <c r="D125" s="2">
        <v>44440</v>
      </c>
      <c r="E125" t="s">
        <v>1133</v>
      </c>
      <c r="F125" t="s">
        <v>41</v>
      </c>
      <c r="G125" t="s">
        <v>940</v>
      </c>
      <c r="H125" t="s">
        <v>48</v>
      </c>
      <c r="I125" t="s">
        <v>1126</v>
      </c>
      <c r="J125" t="s">
        <v>1119</v>
      </c>
      <c r="K125">
        <v>262</v>
      </c>
      <c r="L125">
        <v>4</v>
      </c>
      <c r="M125">
        <v>12.6</v>
      </c>
      <c r="N125" t="s">
        <v>21</v>
      </c>
      <c r="O125">
        <v>0</v>
      </c>
      <c r="P125">
        <v>0</v>
      </c>
      <c r="Q125">
        <v>451</v>
      </c>
      <c r="R125">
        <v>6937</v>
      </c>
      <c r="S125">
        <v>1.048</v>
      </c>
      <c r="T125">
        <v>12.6</v>
      </c>
      <c r="U125">
        <v>4</v>
      </c>
      <c r="V125">
        <v>3150</v>
      </c>
      <c r="W125" t="s">
        <v>1153</v>
      </c>
      <c r="X125" t="s">
        <v>1087</v>
      </c>
      <c r="Y125">
        <v>36</v>
      </c>
      <c r="Z125">
        <v>12</v>
      </c>
      <c r="AA125">
        <v>262</v>
      </c>
    </row>
    <row r="126" spans="1:27" x14ac:dyDescent="0.3">
      <c r="A126" s="15">
        <v>44482.788912037038</v>
      </c>
      <c r="B126" t="s">
        <v>13</v>
      </c>
      <c r="C126" t="s">
        <v>1080</v>
      </c>
      <c r="D126" s="2">
        <v>44440</v>
      </c>
      <c r="E126" t="s">
        <v>1133</v>
      </c>
      <c r="F126" t="s">
        <v>41</v>
      </c>
      <c r="G126" t="s">
        <v>940</v>
      </c>
      <c r="H126" t="s">
        <v>48</v>
      </c>
      <c r="I126" t="s">
        <v>1126</v>
      </c>
      <c r="J126" t="s">
        <v>1118</v>
      </c>
      <c r="K126">
        <v>269</v>
      </c>
      <c r="L126">
        <v>8</v>
      </c>
      <c r="M126">
        <v>12.9</v>
      </c>
      <c r="N126" t="s">
        <v>21</v>
      </c>
      <c r="O126">
        <v>0</v>
      </c>
      <c r="P126">
        <v>0</v>
      </c>
      <c r="Q126">
        <v>451</v>
      </c>
      <c r="R126">
        <v>6937</v>
      </c>
      <c r="S126">
        <v>1.0760000000000001</v>
      </c>
      <c r="T126">
        <v>12.9</v>
      </c>
      <c r="U126">
        <v>4</v>
      </c>
      <c r="V126">
        <v>3225</v>
      </c>
      <c r="W126" t="s">
        <v>1153</v>
      </c>
      <c r="X126" t="s">
        <v>1087</v>
      </c>
      <c r="Y126">
        <v>36</v>
      </c>
      <c r="Z126">
        <v>12</v>
      </c>
      <c r="AA126">
        <v>269</v>
      </c>
    </row>
    <row r="127" spans="1:27" x14ac:dyDescent="0.3">
      <c r="A127" s="15">
        <v>44482.786354166667</v>
      </c>
      <c r="B127" t="s">
        <v>13</v>
      </c>
      <c r="C127" t="s">
        <v>1080</v>
      </c>
      <c r="D127" s="2">
        <v>44440</v>
      </c>
      <c r="E127" t="s">
        <v>1114</v>
      </c>
      <c r="F127" t="s">
        <v>40</v>
      </c>
      <c r="G127" t="s">
        <v>48</v>
      </c>
      <c r="H127" t="s">
        <v>944</v>
      </c>
      <c r="I127" t="s">
        <v>1054</v>
      </c>
      <c r="J127" t="s">
        <v>484</v>
      </c>
      <c r="K127">
        <v>232</v>
      </c>
      <c r="L127">
        <v>4</v>
      </c>
      <c r="M127">
        <v>18.600000000000001</v>
      </c>
      <c r="N127" t="s">
        <v>21</v>
      </c>
      <c r="O127">
        <v>0</v>
      </c>
      <c r="P127">
        <v>2</v>
      </c>
      <c r="Q127">
        <v>468</v>
      </c>
      <c r="R127">
        <v>6934</v>
      </c>
      <c r="S127">
        <v>2.7839999999999998</v>
      </c>
      <c r="T127">
        <v>18.600000000000001</v>
      </c>
      <c r="U127">
        <v>12</v>
      </c>
      <c r="V127">
        <v>1550</v>
      </c>
      <c r="W127" t="s">
        <v>1153</v>
      </c>
      <c r="X127" t="s">
        <v>1087</v>
      </c>
      <c r="Y127">
        <v>36</v>
      </c>
      <c r="Z127">
        <v>6</v>
      </c>
      <c r="AA127">
        <v>116</v>
      </c>
    </row>
    <row r="128" spans="1:27" x14ac:dyDescent="0.3">
      <c r="A128" s="15">
        <v>44482.792187500003</v>
      </c>
      <c r="B128" t="s">
        <v>13</v>
      </c>
      <c r="C128" t="s">
        <v>1080</v>
      </c>
      <c r="D128" s="2">
        <v>44444</v>
      </c>
      <c r="E128" t="s">
        <v>1105</v>
      </c>
      <c r="F128" t="s">
        <v>41</v>
      </c>
      <c r="G128" t="s">
        <v>940</v>
      </c>
      <c r="H128" t="s">
        <v>48</v>
      </c>
      <c r="I128" t="s">
        <v>1126</v>
      </c>
      <c r="J128" t="s">
        <v>1117</v>
      </c>
      <c r="K128">
        <v>329</v>
      </c>
      <c r="L128">
        <v>4</v>
      </c>
      <c r="M128">
        <v>15.8</v>
      </c>
      <c r="N128" t="s">
        <v>21</v>
      </c>
      <c r="O128">
        <v>0</v>
      </c>
      <c r="P128">
        <v>0</v>
      </c>
      <c r="Q128">
        <v>451</v>
      </c>
      <c r="R128">
        <v>6939</v>
      </c>
      <c r="S128">
        <v>1.3160000000000001</v>
      </c>
      <c r="T128">
        <v>15.8</v>
      </c>
      <c r="U128">
        <v>4</v>
      </c>
      <c r="V128">
        <v>3950</v>
      </c>
      <c r="W128" t="s">
        <v>1153</v>
      </c>
      <c r="X128" t="s">
        <v>1087</v>
      </c>
      <c r="Y128">
        <v>36</v>
      </c>
      <c r="Z128">
        <v>12</v>
      </c>
      <c r="AA128">
        <v>329</v>
      </c>
    </row>
    <row r="129" spans="1:27" x14ac:dyDescent="0.3">
      <c r="A129" s="15">
        <v>44482.791516203702</v>
      </c>
      <c r="B129" t="s">
        <v>13</v>
      </c>
      <c r="C129" t="s">
        <v>1080</v>
      </c>
      <c r="D129" s="2">
        <v>44444</v>
      </c>
      <c r="E129" t="s">
        <v>1105</v>
      </c>
      <c r="F129" t="s">
        <v>41</v>
      </c>
      <c r="G129" t="s">
        <v>940</v>
      </c>
      <c r="H129" t="s">
        <v>48</v>
      </c>
      <c r="I129" t="s">
        <v>1126</v>
      </c>
      <c r="J129" t="s">
        <v>1121</v>
      </c>
      <c r="K129">
        <v>566</v>
      </c>
      <c r="L129">
        <v>5</v>
      </c>
      <c r="M129">
        <v>27.2</v>
      </c>
      <c r="N129" t="s">
        <v>21</v>
      </c>
      <c r="O129">
        <v>0</v>
      </c>
      <c r="P129">
        <v>0</v>
      </c>
      <c r="Q129">
        <v>451</v>
      </c>
      <c r="R129">
        <v>6939</v>
      </c>
      <c r="S129">
        <v>2.2639999999999998</v>
      </c>
      <c r="T129">
        <v>27.2</v>
      </c>
      <c r="U129">
        <v>4</v>
      </c>
      <c r="V129">
        <v>6800</v>
      </c>
      <c r="W129" t="s">
        <v>1153</v>
      </c>
      <c r="X129" t="s">
        <v>1087</v>
      </c>
      <c r="Y129">
        <v>36</v>
      </c>
      <c r="Z129">
        <v>12</v>
      </c>
      <c r="AA129">
        <v>566</v>
      </c>
    </row>
    <row r="130" spans="1:27" x14ac:dyDescent="0.3">
      <c r="A130" s="15">
        <v>44482.791307870371</v>
      </c>
      <c r="B130" t="s">
        <v>13</v>
      </c>
      <c r="C130" t="s">
        <v>1080</v>
      </c>
      <c r="D130" s="2">
        <v>44444</v>
      </c>
      <c r="E130" t="s">
        <v>1105</v>
      </c>
      <c r="F130" t="s">
        <v>41</v>
      </c>
      <c r="G130" t="s">
        <v>940</v>
      </c>
      <c r="H130" t="s">
        <v>48</v>
      </c>
      <c r="I130" t="s">
        <v>1126</v>
      </c>
      <c r="J130" t="s">
        <v>1120</v>
      </c>
      <c r="K130">
        <v>318</v>
      </c>
      <c r="L130">
        <v>2</v>
      </c>
      <c r="M130">
        <v>13.5</v>
      </c>
      <c r="N130" t="s">
        <v>21</v>
      </c>
      <c r="O130">
        <v>0</v>
      </c>
      <c r="P130">
        <v>0</v>
      </c>
      <c r="Q130">
        <v>451</v>
      </c>
      <c r="R130">
        <v>6939</v>
      </c>
      <c r="S130">
        <v>1.272</v>
      </c>
      <c r="T130">
        <v>13.5</v>
      </c>
      <c r="U130">
        <v>4</v>
      </c>
      <c r="V130">
        <v>3375</v>
      </c>
      <c r="W130" t="s">
        <v>1153</v>
      </c>
      <c r="X130" t="s">
        <v>1087</v>
      </c>
      <c r="Y130">
        <v>36</v>
      </c>
      <c r="Z130">
        <v>12</v>
      </c>
      <c r="AA130">
        <v>318</v>
      </c>
    </row>
    <row r="131" spans="1:27" x14ac:dyDescent="0.3">
      <c r="A131" s="15">
        <v>44482.793194444443</v>
      </c>
      <c r="B131" t="s">
        <v>13</v>
      </c>
      <c r="C131" t="s">
        <v>1080</v>
      </c>
      <c r="D131" s="2">
        <v>44446</v>
      </c>
      <c r="E131" t="s">
        <v>1133</v>
      </c>
      <c r="F131" t="s">
        <v>40</v>
      </c>
      <c r="G131" t="s">
        <v>48</v>
      </c>
      <c r="H131" t="s">
        <v>944</v>
      </c>
      <c r="I131" t="s">
        <v>973</v>
      </c>
      <c r="J131" t="s">
        <v>509</v>
      </c>
      <c r="K131">
        <v>1215</v>
      </c>
      <c r="L131">
        <v>10</v>
      </c>
      <c r="M131">
        <v>32.299999999999997</v>
      </c>
      <c r="N131" t="s">
        <v>21</v>
      </c>
      <c r="O131">
        <v>0</v>
      </c>
      <c r="P131">
        <v>0</v>
      </c>
      <c r="Q131">
        <v>457</v>
      </c>
      <c r="R131">
        <v>6941</v>
      </c>
      <c r="S131">
        <v>4.8600000000000003</v>
      </c>
      <c r="T131">
        <v>32.299999999999997</v>
      </c>
      <c r="U131">
        <v>4</v>
      </c>
      <c r="V131">
        <v>8074.9999999999991</v>
      </c>
      <c r="W131" t="s">
        <v>1153</v>
      </c>
      <c r="X131" t="s">
        <v>1087</v>
      </c>
      <c r="Y131">
        <v>37</v>
      </c>
      <c r="Z131">
        <v>6</v>
      </c>
      <c r="AA131">
        <v>607.5</v>
      </c>
    </row>
    <row r="132" spans="1:27" x14ac:dyDescent="0.3">
      <c r="A132" s="15">
        <v>44482.793425925927</v>
      </c>
      <c r="B132" t="s">
        <v>13</v>
      </c>
      <c r="C132" t="s">
        <v>1080</v>
      </c>
      <c r="D132" s="2">
        <v>44447</v>
      </c>
      <c r="E132" t="s">
        <v>1114</v>
      </c>
      <c r="F132" t="s">
        <v>40</v>
      </c>
      <c r="G132" t="s">
        <v>48</v>
      </c>
      <c r="H132" t="s">
        <v>944</v>
      </c>
      <c r="I132" t="s">
        <v>973</v>
      </c>
      <c r="J132" t="s">
        <v>509</v>
      </c>
      <c r="K132">
        <v>1462</v>
      </c>
      <c r="L132">
        <v>11</v>
      </c>
      <c r="M132">
        <v>34.4</v>
      </c>
      <c r="N132" t="s">
        <v>21</v>
      </c>
      <c r="O132">
        <v>0</v>
      </c>
      <c r="P132">
        <v>0</v>
      </c>
      <c r="Q132">
        <v>457</v>
      </c>
      <c r="R132">
        <v>6942</v>
      </c>
      <c r="S132">
        <v>5.8479999999999999</v>
      </c>
      <c r="T132">
        <v>34.4</v>
      </c>
      <c r="U132">
        <v>4</v>
      </c>
      <c r="V132">
        <v>8600</v>
      </c>
      <c r="W132" t="s">
        <v>1153</v>
      </c>
      <c r="X132" t="s">
        <v>1087</v>
      </c>
      <c r="Y132">
        <v>37</v>
      </c>
      <c r="Z132">
        <v>6</v>
      </c>
      <c r="AA132">
        <v>731</v>
      </c>
    </row>
    <row r="133" spans="1:27" x14ac:dyDescent="0.3">
      <c r="A133" s="15">
        <v>44482.79383101852</v>
      </c>
      <c r="B133" t="s">
        <v>13</v>
      </c>
      <c r="C133" t="s">
        <v>1080</v>
      </c>
      <c r="D133" s="2">
        <v>44448</v>
      </c>
      <c r="E133" t="s">
        <v>1130</v>
      </c>
      <c r="F133" t="s">
        <v>40</v>
      </c>
      <c r="G133" t="s">
        <v>48</v>
      </c>
      <c r="H133" t="s">
        <v>944</v>
      </c>
      <c r="I133" t="s">
        <v>973</v>
      </c>
      <c r="J133" t="s">
        <v>509</v>
      </c>
      <c r="K133">
        <v>1479</v>
      </c>
      <c r="L133">
        <v>12</v>
      </c>
      <c r="M133">
        <v>35.5</v>
      </c>
      <c r="N133" t="s">
        <v>21</v>
      </c>
      <c r="O133">
        <v>0</v>
      </c>
      <c r="P133">
        <v>0</v>
      </c>
      <c r="Q133">
        <v>457</v>
      </c>
      <c r="R133">
        <v>6943</v>
      </c>
      <c r="S133">
        <v>5.9160000000000004</v>
      </c>
      <c r="T133">
        <v>35.5</v>
      </c>
      <c r="U133">
        <v>4</v>
      </c>
      <c r="V133">
        <v>8875</v>
      </c>
      <c r="W133" t="s">
        <v>1153</v>
      </c>
      <c r="X133" t="s">
        <v>1087</v>
      </c>
      <c r="Y133">
        <v>37</v>
      </c>
      <c r="Z133">
        <v>6</v>
      </c>
      <c r="AA133">
        <v>739.5</v>
      </c>
    </row>
    <row r="134" spans="1:27" x14ac:dyDescent="0.3">
      <c r="A134" s="15">
        <v>44482.794421296298</v>
      </c>
      <c r="B134" t="s">
        <v>13</v>
      </c>
      <c r="C134" t="s">
        <v>1080</v>
      </c>
      <c r="D134" s="2">
        <v>44449</v>
      </c>
      <c r="E134" t="s">
        <v>1114</v>
      </c>
      <c r="F134" t="s">
        <v>40</v>
      </c>
      <c r="G134" t="s">
        <v>48</v>
      </c>
      <c r="H134" t="s">
        <v>944</v>
      </c>
      <c r="I134" t="s">
        <v>973</v>
      </c>
      <c r="J134" t="s">
        <v>509</v>
      </c>
      <c r="K134">
        <v>1388</v>
      </c>
      <c r="L134">
        <v>12</v>
      </c>
      <c r="M134">
        <v>36.1</v>
      </c>
      <c r="N134" t="s">
        <v>21</v>
      </c>
      <c r="O134">
        <v>0</v>
      </c>
      <c r="P134">
        <v>0</v>
      </c>
      <c r="Q134">
        <v>457</v>
      </c>
      <c r="R134">
        <v>6944</v>
      </c>
      <c r="S134">
        <v>5.5519999999999996</v>
      </c>
      <c r="T134">
        <v>36.1</v>
      </c>
      <c r="U134">
        <v>4</v>
      </c>
      <c r="V134">
        <v>9025</v>
      </c>
      <c r="W134" t="s">
        <v>1153</v>
      </c>
      <c r="X134" t="s">
        <v>1087</v>
      </c>
      <c r="Y134">
        <v>37</v>
      </c>
      <c r="Z134">
        <v>6</v>
      </c>
      <c r="AA134">
        <v>694</v>
      </c>
    </row>
    <row r="135" spans="1:27" x14ac:dyDescent="0.3">
      <c r="A135" s="15">
        <v>44482.79519675926</v>
      </c>
      <c r="B135" t="s">
        <v>13</v>
      </c>
      <c r="C135" t="s">
        <v>1080</v>
      </c>
      <c r="D135" s="2">
        <v>44450</v>
      </c>
      <c r="E135" t="s">
        <v>1130</v>
      </c>
      <c r="F135" t="s">
        <v>40</v>
      </c>
      <c r="G135" t="s">
        <v>48</v>
      </c>
      <c r="H135" t="s">
        <v>944</v>
      </c>
      <c r="I135" t="s">
        <v>973</v>
      </c>
      <c r="J135" t="s">
        <v>509</v>
      </c>
      <c r="K135">
        <v>1269</v>
      </c>
      <c r="L135">
        <v>11</v>
      </c>
      <c r="M135">
        <v>33</v>
      </c>
      <c r="N135" t="s">
        <v>21</v>
      </c>
      <c r="O135">
        <v>0</v>
      </c>
      <c r="P135">
        <v>0</v>
      </c>
      <c r="Q135">
        <v>457</v>
      </c>
      <c r="R135">
        <v>6947</v>
      </c>
      <c r="S135">
        <v>5.0759999999999996</v>
      </c>
      <c r="T135">
        <v>33</v>
      </c>
      <c r="U135">
        <v>4</v>
      </c>
      <c r="V135">
        <v>8250</v>
      </c>
      <c r="W135" t="s">
        <v>1153</v>
      </c>
      <c r="X135" t="s">
        <v>1087</v>
      </c>
      <c r="Y135">
        <v>37</v>
      </c>
      <c r="Z135">
        <v>6</v>
      </c>
      <c r="AA135">
        <v>634.5</v>
      </c>
    </row>
    <row r="136" spans="1:27" x14ac:dyDescent="0.3">
      <c r="A136" s="15">
        <v>44482.796006944445</v>
      </c>
      <c r="B136" t="s">
        <v>13</v>
      </c>
      <c r="C136" t="s">
        <v>1080</v>
      </c>
      <c r="D136" s="2">
        <v>44452</v>
      </c>
      <c r="E136" t="s">
        <v>1130</v>
      </c>
      <c r="F136" t="s">
        <v>40</v>
      </c>
      <c r="G136" t="s">
        <v>48</v>
      </c>
      <c r="H136" t="s">
        <v>944</v>
      </c>
      <c r="I136" t="s">
        <v>973</v>
      </c>
      <c r="J136" t="s">
        <v>509</v>
      </c>
      <c r="K136">
        <v>1284</v>
      </c>
      <c r="L136">
        <v>11</v>
      </c>
      <c r="M136">
        <v>33.4</v>
      </c>
      <c r="N136" t="s">
        <v>21</v>
      </c>
      <c r="O136">
        <v>0</v>
      </c>
      <c r="P136">
        <v>0</v>
      </c>
      <c r="Q136">
        <v>457</v>
      </c>
      <c r="R136">
        <v>6948</v>
      </c>
      <c r="S136">
        <v>5.1360000000000001</v>
      </c>
      <c r="T136">
        <v>33.4</v>
      </c>
      <c r="U136">
        <v>4</v>
      </c>
      <c r="V136">
        <v>8350</v>
      </c>
      <c r="W136" t="s">
        <v>1153</v>
      </c>
      <c r="X136" t="s">
        <v>1087</v>
      </c>
      <c r="Y136">
        <v>38</v>
      </c>
      <c r="Z136">
        <v>6</v>
      </c>
      <c r="AA136">
        <v>642</v>
      </c>
    </row>
    <row r="137" spans="1:27" x14ac:dyDescent="0.3">
      <c r="A137" s="15">
        <v>44482.796412037038</v>
      </c>
      <c r="B137" t="s">
        <v>13</v>
      </c>
      <c r="C137" t="s">
        <v>1080</v>
      </c>
      <c r="D137" s="2">
        <v>44453</v>
      </c>
      <c r="E137" t="s">
        <v>1130</v>
      </c>
      <c r="F137" t="s">
        <v>40</v>
      </c>
      <c r="G137" t="s">
        <v>48</v>
      </c>
      <c r="H137" t="s">
        <v>944</v>
      </c>
      <c r="I137" t="s">
        <v>973</v>
      </c>
      <c r="J137" t="s">
        <v>509</v>
      </c>
      <c r="K137">
        <v>1396</v>
      </c>
      <c r="L137">
        <v>12</v>
      </c>
      <c r="M137">
        <v>35.6</v>
      </c>
      <c r="N137" t="s">
        <v>21</v>
      </c>
      <c r="O137">
        <v>0</v>
      </c>
      <c r="P137">
        <v>0</v>
      </c>
      <c r="Q137">
        <v>457</v>
      </c>
      <c r="R137">
        <v>6949</v>
      </c>
      <c r="S137">
        <v>5.5839999999999996</v>
      </c>
      <c r="T137">
        <v>35.6</v>
      </c>
      <c r="U137">
        <v>4</v>
      </c>
      <c r="V137">
        <v>8900</v>
      </c>
      <c r="W137" t="s">
        <v>1153</v>
      </c>
      <c r="X137" t="s">
        <v>1087</v>
      </c>
      <c r="Y137">
        <v>38</v>
      </c>
      <c r="Z137">
        <v>6</v>
      </c>
      <c r="AA137">
        <v>698</v>
      </c>
    </row>
    <row r="138" spans="1:27" x14ac:dyDescent="0.3">
      <c r="A138" s="15">
        <v>44482.797060185185</v>
      </c>
      <c r="B138" t="s">
        <v>13</v>
      </c>
      <c r="C138" t="s">
        <v>1080</v>
      </c>
      <c r="D138" s="2">
        <v>44454</v>
      </c>
      <c r="E138" t="s">
        <v>1114</v>
      </c>
      <c r="F138" t="s">
        <v>40</v>
      </c>
      <c r="G138" t="s">
        <v>48</v>
      </c>
      <c r="H138" t="s">
        <v>944</v>
      </c>
      <c r="I138" t="s">
        <v>973</v>
      </c>
      <c r="J138" t="s">
        <v>509</v>
      </c>
      <c r="K138">
        <v>1286</v>
      </c>
      <c r="L138">
        <v>12</v>
      </c>
      <c r="M138">
        <v>32.85</v>
      </c>
      <c r="N138" t="s">
        <v>21</v>
      </c>
      <c r="O138">
        <v>0</v>
      </c>
      <c r="P138">
        <v>0</v>
      </c>
      <c r="Q138">
        <v>457</v>
      </c>
      <c r="R138">
        <v>6951</v>
      </c>
      <c r="S138">
        <v>5.1440000000000001</v>
      </c>
      <c r="T138">
        <v>32.85</v>
      </c>
      <c r="U138">
        <v>4</v>
      </c>
      <c r="V138">
        <v>8212.5</v>
      </c>
      <c r="W138" t="s">
        <v>1153</v>
      </c>
      <c r="X138" t="s">
        <v>1087</v>
      </c>
      <c r="Y138">
        <v>38</v>
      </c>
      <c r="Z138">
        <v>6</v>
      </c>
      <c r="AA138">
        <v>643</v>
      </c>
    </row>
    <row r="139" spans="1:27" x14ac:dyDescent="0.3">
      <c r="A139" s="15">
        <v>44477.582766203705</v>
      </c>
      <c r="B139" t="s">
        <v>13</v>
      </c>
      <c r="C139" t="s">
        <v>1080</v>
      </c>
      <c r="D139" s="2">
        <v>44454</v>
      </c>
      <c r="E139" t="s">
        <v>1105</v>
      </c>
      <c r="F139" t="s">
        <v>41</v>
      </c>
      <c r="G139" t="s">
        <v>940</v>
      </c>
      <c r="H139" t="s">
        <v>48</v>
      </c>
      <c r="I139" t="s">
        <v>961</v>
      </c>
      <c r="J139" t="s">
        <v>501</v>
      </c>
      <c r="K139">
        <v>1800</v>
      </c>
      <c r="L139">
        <v>12</v>
      </c>
      <c r="M139">
        <v>21</v>
      </c>
      <c r="N139" t="s">
        <v>21</v>
      </c>
      <c r="O139">
        <v>0</v>
      </c>
      <c r="P139">
        <v>2</v>
      </c>
      <c r="Q139">
        <v>455</v>
      </c>
      <c r="R139">
        <v>6746</v>
      </c>
      <c r="S139">
        <v>6.3</v>
      </c>
      <c r="T139">
        <v>21</v>
      </c>
      <c r="U139">
        <v>3.5</v>
      </c>
      <c r="V139">
        <v>6000</v>
      </c>
      <c r="W139" t="s">
        <v>1153</v>
      </c>
      <c r="X139" t="s">
        <v>1087</v>
      </c>
      <c r="Y139">
        <v>38</v>
      </c>
      <c r="Z139">
        <v>4</v>
      </c>
      <c r="AA139">
        <v>600</v>
      </c>
    </row>
    <row r="140" spans="1:27" x14ac:dyDescent="0.3">
      <c r="A140" s="15">
        <v>44482.797951388886</v>
      </c>
      <c r="B140" t="s">
        <v>13</v>
      </c>
      <c r="C140" t="s">
        <v>1080</v>
      </c>
      <c r="D140" s="2">
        <v>44455</v>
      </c>
      <c r="E140" t="s">
        <v>1130</v>
      </c>
      <c r="F140" t="s">
        <v>40</v>
      </c>
      <c r="G140" t="s">
        <v>48</v>
      </c>
      <c r="H140" t="s">
        <v>944</v>
      </c>
      <c r="I140" t="s">
        <v>973</v>
      </c>
      <c r="J140" t="s">
        <v>509</v>
      </c>
      <c r="K140">
        <v>1458</v>
      </c>
      <c r="L140">
        <v>12</v>
      </c>
      <c r="M140">
        <v>37.9</v>
      </c>
      <c r="N140" t="s">
        <v>21</v>
      </c>
      <c r="O140">
        <v>0</v>
      </c>
      <c r="P140">
        <v>0</v>
      </c>
      <c r="Q140">
        <v>457</v>
      </c>
      <c r="R140">
        <v>6955</v>
      </c>
      <c r="S140">
        <v>5.8319999999999999</v>
      </c>
      <c r="T140">
        <v>37.9</v>
      </c>
      <c r="U140">
        <v>4</v>
      </c>
      <c r="V140">
        <v>9475</v>
      </c>
      <c r="W140" t="s">
        <v>1153</v>
      </c>
      <c r="X140" t="s">
        <v>1087</v>
      </c>
      <c r="Y140">
        <v>38</v>
      </c>
      <c r="Z140">
        <v>6</v>
      </c>
      <c r="AA140">
        <v>729</v>
      </c>
    </row>
    <row r="141" spans="1:27" x14ac:dyDescent="0.3">
      <c r="A141" s="15">
        <v>44477.588622685187</v>
      </c>
      <c r="B141" t="s">
        <v>13</v>
      </c>
      <c r="C141" t="s">
        <v>1080</v>
      </c>
      <c r="D141" s="2">
        <v>44455</v>
      </c>
      <c r="E141" t="s">
        <v>1133</v>
      </c>
      <c r="F141" t="s">
        <v>41</v>
      </c>
      <c r="G141" t="s">
        <v>940</v>
      </c>
      <c r="H141" t="s">
        <v>48</v>
      </c>
      <c r="I141" t="s">
        <v>961</v>
      </c>
      <c r="J141" t="s">
        <v>501</v>
      </c>
      <c r="K141">
        <v>1859</v>
      </c>
      <c r="L141">
        <v>11</v>
      </c>
      <c r="M141">
        <v>31.5</v>
      </c>
      <c r="N141" t="s">
        <v>21</v>
      </c>
      <c r="O141">
        <v>0</v>
      </c>
      <c r="P141">
        <v>3</v>
      </c>
      <c r="Q141">
        <v>438</v>
      </c>
      <c r="R141">
        <v>6748</v>
      </c>
      <c r="S141">
        <v>6.5065</v>
      </c>
      <c r="T141">
        <v>31.5</v>
      </c>
      <c r="U141">
        <v>3.5</v>
      </c>
      <c r="V141">
        <v>9000</v>
      </c>
      <c r="W141" t="s">
        <v>1153</v>
      </c>
      <c r="X141" t="s">
        <v>1087</v>
      </c>
      <c r="Y141">
        <v>38</v>
      </c>
      <c r="Z141">
        <v>4</v>
      </c>
      <c r="AA141">
        <v>619.66666666666663</v>
      </c>
    </row>
    <row r="142" spans="1:27" x14ac:dyDescent="0.3">
      <c r="A142" s="15">
        <v>44482.798645833333</v>
      </c>
      <c r="B142" t="s">
        <v>13</v>
      </c>
      <c r="C142" t="s">
        <v>1080</v>
      </c>
      <c r="D142" s="2">
        <v>44456</v>
      </c>
      <c r="E142" t="s">
        <v>1133</v>
      </c>
      <c r="F142" t="s">
        <v>40</v>
      </c>
      <c r="G142" t="s">
        <v>48</v>
      </c>
      <c r="H142" t="s">
        <v>944</v>
      </c>
      <c r="I142" t="s">
        <v>973</v>
      </c>
      <c r="J142" t="s">
        <v>509</v>
      </c>
      <c r="K142">
        <v>429</v>
      </c>
      <c r="L142">
        <v>3</v>
      </c>
      <c r="M142">
        <v>10.8</v>
      </c>
      <c r="N142" t="s">
        <v>21</v>
      </c>
      <c r="O142">
        <v>0</v>
      </c>
      <c r="P142">
        <v>0</v>
      </c>
      <c r="Q142">
        <v>457</v>
      </c>
      <c r="R142">
        <v>6957</v>
      </c>
      <c r="S142">
        <v>1.716</v>
      </c>
      <c r="T142">
        <v>10.8</v>
      </c>
      <c r="U142">
        <v>4</v>
      </c>
      <c r="V142">
        <v>2700</v>
      </c>
      <c r="W142" t="s">
        <v>1153</v>
      </c>
      <c r="X142" t="s">
        <v>1087</v>
      </c>
      <c r="Y142">
        <v>38</v>
      </c>
      <c r="Z142">
        <v>6</v>
      </c>
      <c r="AA142">
        <v>214.5</v>
      </c>
    </row>
    <row r="143" spans="1:27" x14ac:dyDescent="0.3">
      <c r="A143" s="15">
        <v>44482.799444444441</v>
      </c>
      <c r="B143" t="s">
        <v>13</v>
      </c>
      <c r="C143" t="s">
        <v>1080</v>
      </c>
      <c r="D143" s="2">
        <v>44457</v>
      </c>
      <c r="E143" t="s">
        <v>1114</v>
      </c>
      <c r="F143" t="s">
        <v>40</v>
      </c>
      <c r="G143" t="s">
        <v>48</v>
      </c>
      <c r="H143" t="s">
        <v>944</v>
      </c>
      <c r="I143" t="s">
        <v>973</v>
      </c>
      <c r="J143" t="s">
        <v>509</v>
      </c>
      <c r="K143">
        <v>1430</v>
      </c>
      <c r="L143">
        <v>12</v>
      </c>
      <c r="M143">
        <v>37.200000000000003</v>
      </c>
      <c r="N143" t="s">
        <v>21</v>
      </c>
      <c r="O143">
        <v>0</v>
      </c>
      <c r="P143">
        <v>0</v>
      </c>
      <c r="Q143">
        <v>457</v>
      </c>
      <c r="R143">
        <v>6959</v>
      </c>
      <c r="S143">
        <v>5.72</v>
      </c>
      <c r="T143">
        <v>37.200000000000003</v>
      </c>
      <c r="U143">
        <v>4</v>
      </c>
      <c r="V143">
        <v>9300</v>
      </c>
      <c r="W143" t="s">
        <v>1153</v>
      </c>
      <c r="X143" t="s">
        <v>1087</v>
      </c>
      <c r="Y143">
        <v>38</v>
      </c>
      <c r="Z143">
        <v>6</v>
      </c>
      <c r="AA143">
        <v>715</v>
      </c>
    </row>
    <row r="144" spans="1:27" x14ac:dyDescent="0.3">
      <c r="A144" s="15">
        <v>44482.799803240741</v>
      </c>
      <c r="B144" t="s">
        <v>13</v>
      </c>
      <c r="C144" t="s">
        <v>1080</v>
      </c>
      <c r="D144" s="2">
        <v>44459</v>
      </c>
      <c r="E144" t="s">
        <v>1133</v>
      </c>
      <c r="F144" t="s">
        <v>40</v>
      </c>
      <c r="G144" t="s">
        <v>48</v>
      </c>
      <c r="H144" t="s">
        <v>944</v>
      </c>
      <c r="I144" t="s">
        <v>973</v>
      </c>
      <c r="J144" t="s">
        <v>509</v>
      </c>
      <c r="K144">
        <v>1319</v>
      </c>
      <c r="L144">
        <v>11</v>
      </c>
      <c r="M144">
        <v>34.200000000000003</v>
      </c>
      <c r="N144" t="s">
        <v>21</v>
      </c>
      <c r="O144">
        <v>0</v>
      </c>
      <c r="P144">
        <v>0</v>
      </c>
      <c r="Q144">
        <v>457</v>
      </c>
      <c r="R144">
        <v>6960</v>
      </c>
      <c r="S144">
        <v>5.2759999999999998</v>
      </c>
      <c r="T144">
        <v>34.200000000000003</v>
      </c>
      <c r="U144">
        <v>4</v>
      </c>
      <c r="V144">
        <v>8550</v>
      </c>
      <c r="W144" t="s">
        <v>1153</v>
      </c>
      <c r="X144" t="s">
        <v>1087</v>
      </c>
      <c r="Y144">
        <v>39</v>
      </c>
      <c r="Z144">
        <v>6</v>
      </c>
      <c r="AA144">
        <v>659.5</v>
      </c>
    </row>
    <row r="145" spans="1:27" x14ac:dyDescent="0.3">
      <c r="A145" s="15">
        <v>44482.801168981481</v>
      </c>
      <c r="B145" t="s">
        <v>13</v>
      </c>
      <c r="C145" t="s">
        <v>1080</v>
      </c>
      <c r="D145" s="2">
        <v>44463</v>
      </c>
      <c r="E145" t="s">
        <v>1133</v>
      </c>
      <c r="F145" t="s">
        <v>40</v>
      </c>
      <c r="G145" t="s">
        <v>48</v>
      </c>
      <c r="H145" t="s">
        <v>944</v>
      </c>
      <c r="I145" t="s">
        <v>1054</v>
      </c>
      <c r="J145" t="s">
        <v>484</v>
      </c>
      <c r="K145">
        <v>1180</v>
      </c>
      <c r="L145">
        <v>11</v>
      </c>
      <c r="M145">
        <v>91.5</v>
      </c>
      <c r="N145" t="s">
        <v>21</v>
      </c>
      <c r="O145">
        <v>0</v>
      </c>
      <c r="P145">
        <v>0</v>
      </c>
      <c r="Q145">
        <v>457</v>
      </c>
      <c r="R145">
        <v>6963</v>
      </c>
      <c r="S145">
        <v>14.16</v>
      </c>
      <c r="T145">
        <v>91.5</v>
      </c>
      <c r="U145">
        <v>12</v>
      </c>
      <c r="V145">
        <v>7625</v>
      </c>
      <c r="W145" t="s">
        <v>1153</v>
      </c>
      <c r="X145" t="s">
        <v>1087</v>
      </c>
      <c r="Y145">
        <v>39</v>
      </c>
      <c r="Z145">
        <v>6</v>
      </c>
      <c r="AA145">
        <v>590</v>
      </c>
    </row>
    <row r="146" spans="1:27" x14ac:dyDescent="0.3">
      <c r="A146" s="15">
        <v>44482.800706018519</v>
      </c>
      <c r="B146" t="s">
        <v>13</v>
      </c>
      <c r="C146" t="s">
        <v>1080</v>
      </c>
      <c r="D146" s="2">
        <v>44463</v>
      </c>
      <c r="E146" t="s">
        <v>1082</v>
      </c>
      <c r="F146" t="s">
        <v>40</v>
      </c>
      <c r="G146" t="s">
        <v>48</v>
      </c>
      <c r="H146" t="s">
        <v>944</v>
      </c>
      <c r="I146" t="s">
        <v>1054</v>
      </c>
      <c r="J146" t="s">
        <v>484</v>
      </c>
      <c r="K146">
        <v>1203</v>
      </c>
      <c r="L146">
        <v>12</v>
      </c>
      <c r="M146">
        <v>92.8</v>
      </c>
      <c r="N146" t="s">
        <v>21</v>
      </c>
      <c r="O146">
        <v>0</v>
      </c>
      <c r="P146">
        <v>0</v>
      </c>
      <c r="Q146">
        <v>457</v>
      </c>
      <c r="R146">
        <v>6962</v>
      </c>
      <c r="S146">
        <v>14.436</v>
      </c>
      <c r="T146">
        <v>92.8</v>
      </c>
      <c r="U146">
        <v>12</v>
      </c>
      <c r="V146">
        <v>7733.333333333333</v>
      </c>
      <c r="W146" t="s">
        <v>1153</v>
      </c>
      <c r="X146" t="s">
        <v>1087</v>
      </c>
      <c r="Y146">
        <v>39</v>
      </c>
      <c r="Z146">
        <v>6</v>
      </c>
      <c r="AA146">
        <v>601.5</v>
      </c>
    </row>
    <row r="147" spans="1:27" x14ac:dyDescent="0.3">
      <c r="A147" s="15">
        <v>44482.80159722222</v>
      </c>
      <c r="B147" t="s">
        <v>13</v>
      </c>
      <c r="C147" t="s">
        <v>1080</v>
      </c>
      <c r="D147" s="2">
        <v>44466</v>
      </c>
      <c r="E147" t="s">
        <v>1133</v>
      </c>
      <c r="F147" t="s">
        <v>40</v>
      </c>
      <c r="G147" t="s">
        <v>48</v>
      </c>
      <c r="H147" t="s">
        <v>944</v>
      </c>
      <c r="I147" t="s">
        <v>1054</v>
      </c>
      <c r="J147" t="s">
        <v>484</v>
      </c>
      <c r="K147">
        <v>1093</v>
      </c>
      <c r="L147">
        <v>11</v>
      </c>
      <c r="M147">
        <v>85.3</v>
      </c>
      <c r="N147" t="s">
        <v>21</v>
      </c>
      <c r="O147">
        <v>0</v>
      </c>
      <c r="P147">
        <v>0</v>
      </c>
      <c r="Q147">
        <v>457</v>
      </c>
      <c r="R147">
        <v>6965</v>
      </c>
      <c r="S147">
        <v>13.116</v>
      </c>
      <c r="T147">
        <v>85.3</v>
      </c>
      <c r="U147">
        <v>12</v>
      </c>
      <c r="V147">
        <v>7108.333333333333</v>
      </c>
      <c r="W147" t="s">
        <v>1153</v>
      </c>
      <c r="X147" t="s">
        <v>1087</v>
      </c>
      <c r="Y147">
        <v>40</v>
      </c>
      <c r="Z147">
        <v>6</v>
      </c>
      <c r="AA147">
        <v>546.5</v>
      </c>
    </row>
    <row r="148" spans="1:27" x14ac:dyDescent="0.3">
      <c r="A148" s="15">
        <v>44482.801817129628</v>
      </c>
      <c r="B148" t="s">
        <v>13</v>
      </c>
      <c r="C148" t="s">
        <v>1080</v>
      </c>
      <c r="D148" s="2">
        <v>44467</v>
      </c>
      <c r="E148" t="s">
        <v>1133</v>
      </c>
      <c r="F148" t="s">
        <v>40</v>
      </c>
      <c r="G148" t="s">
        <v>48</v>
      </c>
      <c r="H148" t="s">
        <v>944</v>
      </c>
      <c r="I148" t="s">
        <v>1054</v>
      </c>
      <c r="J148" t="s">
        <v>484</v>
      </c>
      <c r="K148">
        <v>1036</v>
      </c>
      <c r="L148">
        <v>10</v>
      </c>
      <c r="M148">
        <v>80.099999999999994</v>
      </c>
      <c r="N148" t="s">
        <v>21</v>
      </c>
      <c r="O148">
        <v>0</v>
      </c>
      <c r="P148">
        <v>0</v>
      </c>
      <c r="Q148">
        <v>457</v>
      </c>
      <c r="R148">
        <v>6965</v>
      </c>
      <c r="S148">
        <v>12.432</v>
      </c>
      <c r="T148">
        <v>80.099999999999994</v>
      </c>
      <c r="U148">
        <v>12</v>
      </c>
      <c r="V148">
        <v>6675</v>
      </c>
      <c r="W148" t="s">
        <v>1153</v>
      </c>
      <c r="X148" t="s">
        <v>1087</v>
      </c>
      <c r="Y148">
        <v>40</v>
      </c>
      <c r="Z148">
        <v>6</v>
      </c>
      <c r="AA148">
        <v>518</v>
      </c>
    </row>
    <row r="149" spans="1:27" x14ac:dyDescent="0.3">
      <c r="A149" s="15">
        <v>44482.802314814813</v>
      </c>
      <c r="B149" t="s">
        <v>13</v>
      </c>
      <c r="C149" t="s">
        <v>1080</v>
      </c>
      <c r="D149" s="2">
        <v>44468</v>
      </c>
      <c r="E149" t="s">
        <v>1133</v>
      </c>
      <c r="F149" t="s">
        <v>40</v>
      </c>
      <c r="G149" t="s">
        <v>48</v>
      </c>
      <c r="H149" t="s">
        <v>944</v>
      </c>
      <c r="I149" t="s">
        <v>1054</v>
      </c>
      <c r="J149" t="s">
        <v>484</v>
      </c>
      <c r="K149">
        <v>1052</v>
      </c>
      <c r="L149">
        <v>11</v>
      </c>
      <c r="M149">
        <v>82.1</v>
      </c>
      <c r="N149" t="s">
        <v>21</v>
      </c>
      <c r="O149">
        <v>0</v>
      </c>
      <c r="P149">
        <v>0</v>
      </c>
      <c r="Q149">
        <v>457</v>
      </c>
      <c r="R149">
        <v>6968</v>
      </c>
      <c r="S149">
        <v>12.624000000000001</v>
      </c>
      <c r="T149">
        <v>82.1</v>
      </c>
      <c r="U149">
        <v>12</v>
      </c>
      <c r="V149">
        <v>6841.666666666667</v>
      </c>
      <c r="W149" t="s">
        <v>1153</v>
      </c>
      <c r="X149" t="s">
        <v>1087</v>
      </c>
      <c r="Y149">
        <v>40</v>
      </c>
      <c r="Z149">
        <v>6</v>
      </c>
      <c r="AA149">
        <v>526</v>
      </c>
    </row>
    <row r="150" spans="1:27" x14ac:dyDescent="0.3">
      <c r="A150" s="15">
        <v>44482.802048611113</v>
      </c>
      <c r="B150" t="s">
        <v>13</v>
      </c>
      <c r="C150" t="s">
        <v>1080</v>
      </c>
      <c r="D150" s="2">
        <v>44468</v>
      </c>
      <c r="E150" t="s">
        <v>1133</v>
      </c>
      <c r="F150" t="s">
        <v>40</v>
      </c>
      <c r="G150" t="s">
        <v>48</v>
      </c>
      <c r="H150" t="s">
        <v>944</v>
      </c>
      <c r="I150" t="s">
        <v>1054</v>
      </c>
      <c r="J150" t="s">
        <v>484</v>
      </c>
      <c r="K150">
        <v>1137</v>
      </c>
      <c r="L150">
        <v>10</v>
      </c>
      <c r="M150">
        <v>87.6</v>
      </c>
      <c r="N150" t="s">
        <v>21</v>
      </c>
      <c r="O150">
        <v>0</v>
      </c>
      <c r="P150">
        <v>0</v>
      </c>
      <c r="Q150">
        <v>457</v>
      </c>
      <c r="R150">
        <v>6967</v>
      </c>
      <c r="S150">
        <v>13.644</v>
      </c>
      <c r="T150">
        <v>87.6</v>
      </c>
      <c r="U150">
        <v>12</v>
      </c>
      <c r="V150">
        <v>7300</v>
      </c>
      <c r="W150" t="s">
        <v>1153</v>
      </c>
      <c r="X150" t="s">
        <v>1087</v>
      </c>
      <c r="Y150">
        <v>40</v>
      </c>
      <c r="Z150">
        <v>6</v>
      </c>
      <c r="AA150">
        <v>568.5</v>
      </c>
    </row>
    <row r="151" spans="1:27" x14ac:dyDescent="0.3">
      <c r="A151" s="15">
        <v>44477.58185185185</v>
      </c>
      <c r="B151" t="s">
        <v>13</v>
      </c>
      <c r="C151" t="s">
        <v>1028</v>
      </c>
      <c r="D151" s="2">
        <v>44448</v>
      </c>
      <c r="E151" t="s">
        <v>1131</v>
      </c>
      <c r="F151" t="s">
        <v>41</v>
      </c>
      <c r="G151" t="s">
        <v>943</v>
      </c>
      <c r="H151" t="s">
        <v>48</v>
      </c>
      <c r="I151" t="s">
        <v>1127</v>
      </c>
      <c r="J151" t="s">
        <v>1125</v>
      </c>
      <c r="K151">
        <v>519</v>
      </c>
      <c r="L151">
        <v>8</v>
      </c>
      <c r="M151">
        <v>45.67</v>
      </c>
      <c r="N151" t="s">
        <v>21</v>
      </c>
      <c r="O151">
        <v>0</v>
      </c>
      <c r="P151">
        <v>4</v>
      </c>
      <c r="Q151">
        <v>455</v>
      </c>
      <c r="R151">
        <v>6742</v>
      </c>
      <c r="S151">
        <v>11.417999999999999</v>
      </c>
      <c r="T151">
        <v>45.67</v>
      </c>
      <c r="U151">
        <v>22</v>
      </c>
      <c r="V151">
        <v>2075.909090909091</v>
      </c>
      <c r="W151" t="s">
        <v>1153</v>
      </c>
      <c r="X151" t="s">
        <v>1087</v>
      </c>
      <c r="Y151">
        <v>37</v>
      </c>
      <c r="Z151">
        <v>4</v>
      </c>
      <c r="AA151">
        <v>173</v>
      </c>
    </row>
    <row r="152" spans="1:27" x14ac:dyDescent="0.3">
      <c r="A152" s="15">
        <v>44477.590543981481</v>
      </c>
      <c r="B152" t="s">
        <v>13</v>
      </c>
      <c r="C152" t="s">
        <v>1028</v>
      </c>
      <c r="D152" s="2">
        <v>44456</v>
      </c>
      <c r="E152" t="s">
        <v>1133</v>
      </c>
      <c r="F152" t="s">
        <v>41</v>
      </c>
      <c r="G152" t="s">
        <v>950</v>
      </c>
      <c r="H152" t="s">
        <v>951</v>
      </c>
      <c r="I152" t="s">
        <v>1103</v>
      </c>
      <c r="J152" t="s">
        <v>1101</v>
      </c>
      <c r="K152">
        <v>1180</v>
      </c>
      <c r="L152">
        <v>9</v>
      </c>
      <c r="M152">
        <v>33.04</v>
      </c>
      <c r="N152" t="s">
        <v>21</v>
      </c>
      <c r="O152">
        <v>0</v>
      </c>
      <c r="P152">
        <v>5</v>
      </c>
      <c r="Q152">
        <v>463</v>
      </c>
      <c r="R152">
        <v>6749</v>
      </c>
      <c r="S152">
        <v>33.04</v>
      </c>
      <c r="T152">
        <v>33.04</v>
      </c>
      <c r="U152">
        <v>28</v>
      </c>
      <c r="V152">
        <v>1180</v>
      </c>
      <c r="W152" t="s">
        <v>1153</v>
      </c>
      <c r="X152" t="s">
        <v>1087</v>
      </c>
      <c r="Y152">
        <v>38</v>
      </c>
      <c r="Z152">
        <v>1</v>
      </c>
      <c r="AA152">
        <v>98.333333333333329</v>
      </c>
    </row>
    <row r="153" spans="1:27" x14ac:dyDescent="0.3">
      <c r="A153" s="15">
        <v>44477.590983796297</v>
      </c>
      <c r="B153" t="s">
        <v>13</v>
      </c>
      <c r="C153" t="s">
        <v>1028</v>
      </c>
      <c r="D153" s="2">
        <v>44457</v>
      </c>
      <c r="E153" t="s">
        <v>1133</v>
      </c>
      <c r="F153" t="s">
        <v>41</v>
      </c>
      <c r="G153" t="s">
        <v>950</v>
      </c>
      <c r="H153" t="s">
        <v>951</v>
      </c>
      <c r="I153" t="s">
        <v>1103</v>
      </c>
      <c r="J153" t="s">
        <v>1101</v>
      </c>
      <c r="K153">
        <v>1546</v>
      </c>
      <c r="L153">
        <v>10</v>
      </c>
      <c r="M153">
        <v>43.29</v>
      </c>
      <c r="N153" t="s">
        <v>21</v>
      </c>
      <c r="O153">
        <v>0</v>
      </c>
      <c r="P153">
        <v>5</v>
      </c>
      <c r="Q153">
        <v>463</v>
      </c>
      <c r="R153">
        <v>6750</v>
      </c>
      <c r="S153">
        <v>43.287999999999997</v>
      </c>
      <c r="T153">
        <v>43.29</v>
      </c>
      <c r="U153">
        <v>28</v>
      </c>
      <c r="V153">
        <v>1546.0714285714287</v>
      </c>
      <c r="W153" t="s">
        <v>1153</v>
      </c>
      <c r="X153" t="s">
        <v>1087</v>
      </c>
      <c r="Y153">
        <v>38</v>
      </c>
      <c r="Z153">
        <v>1</v>
      </c>
      <c r="AA153">
        <v>128.83333333333334</v>
      </c>
    </row>
    <row r="154" spans="1:27" x14ac:dyDescent="0.3">
      <c r="A154" s="15">
        <v>44477.599502314813</v>
      </c>
      <c r="B154" t="s">
        <v>13</v>
      </c>
      <c r="C154" t="s">
        <v>1028</v>
      </c>
      <c r="D154" s="2">
        <v>44459</v>
      </c>
      <c r="E154" t="s">
        <v>1105</v>
      </c>
      <c r="F154" t="s">
        <v>41</v>
      </c>
      <c r="G154" t="s">
        <v>950</v>
      </c>
      <c r="H154" t="s">
        <v>951</v>
      </c>
      <c r="I154" t="s">
        <v>1103</v>
      </c>
      <c r="J154" t="s">
        <v>1102</v>
      </c>
      <c r="K154">
        <v>1875</v>
      </c>
      <c r="L154">
        <v>12</v>
      </c>
      <c r="M154">
        <v>52.5</v>
      </c>
      <c r="N154" t="s">
        <v>21</v>
      </c>
      <c r="O154">
        <v>0</v>
      </c>
      <c r="P154">
        <v>8</v>
      </c>
      <c r="Q154">
        <v>463</v>
      </c>
      <c r="R154">
        <v>6752</v>
      </c>
      <c r="S154">
        <v>52.5</v>
      </c>
      <c r="T154">
        <v>52.5</v>
      </c>
      <c r="U154">
        <v>28</v>
      </c>
      <c r="V154">
        <v>1875</v>
      </c>
      <c r="W154" t="s">
        <v>1153</v>
      </c>
      <c r="X154" t="s">
        <v>1087</v>
      </c>
      <c r="Y154">
        <v>39</v>
      </c>
      <c r="Z154">
        <v>1</v>
      </c>
      <c r="AA154">
        <v>156.25</v>
      </c>
    </row>
    <row r="155" spans="1:27" x14ac:dyDescent="0.3">
      <c r="A155" s="15">
        <v>44477.603819444441</v>
      </c>
      <c r="B155" t="s">
        <v>13</v>
      </c>
      <c r="C155" t="s">
        <v>1028</v>
      </c>
      <c r="D155" s="2">
        <v>44460</v>
      </c>
      <c r="E155" t="s">
        <v>1133</v>
      </c>
      <c r="F155" t="s">
        <v>41</v>
      </c>
      <c r="G155" t="s">
        <v>950</v>
      </c>
      <c r="H155" t="s">
        <v>951</v>
      </c>
      <c r="I155" t="s">
        <v>1103</v>
      </c>
      <c r="J155" t="s">
        <v>1099</v>
      </c>
      <c r="K155">
        <v>893</v>
      </c>
      <c r="L155">
        <v>9</v>
      </c>
      <c r="M155">
        <v>25</v>
      </c>
      <c r="N155" t="s">
        <v>21</v>
      </c>
      <c r="O155">
        <v>0</v>
      </c>
      <c r="P155">
        <v>3</v>
      </c>
      <c r="Q155">
        <v>463</v>
      </c>
      <c r="R155">
        <v>6754</v>
      </c>
      <c r="S155">
        <v>25.004000000000001</v>
      </c>
      <c r="T155">
        <v>25</v>
      </c>
      <c r="U155">
        <v>28</v>
      </c>
      <c r="V155">
        <v>892.85714285714289</v>
      </c>
      <c r="W155" t="s">
        <v>1153</v>
      </c>
      <c r="X155" t="s">
        <v>1087</v>
      </c>
      <c r="Y155">
        <v>39</v>
      </c>
      <c r="Z155">
        <v>1</v>
      </c>
      <c r="AA155">
        <v>74.416666666666671</v>
      </c>
    </row>
    <row r="156" spans="1:27" x14ac:dyDescent="0.3">
      <c r="A156" s="15">
        <v>44477.605810185189</v>
      </c>
      <c r="B156" t="s">
        <v>13</v>
      </c>
      <c r="C156" t="s">
        <v>1028</v>
      </c>
      <c r="D156" s="2">
        <v>44461</v>
      </c>
      <c r="E156" t="s">
        <v>1133</v>
      </c>
      <c r="F156" t="s">
        <v>41</v>
      </c>
      <c r="G156" t="s">
        <v>950</v>
      </c>
      <c r="H156" t="s">
        <v>951</v>
      </c>
      <c r="I156" t="s">
        <v>1103</v>
      </c>
      <c r="J156" t="s">
        <v>1099</v>
      </c>
      <c r="K156">
        <v>1703</v>
      </c>
      <c r="L156">
        <v>12</v>
      </c>
      <c r="M156">
        <v>47.68</v>
      </c>
      <c r="N156" t="s">
        <v>21</v>
      </c>
      <c r="O156">
        <v>0</v>
      </c>
      <c r="P156">
        <v>6</v>
      </c>
      <c r="Q156">
        <v>463</v>
      </c>
      <c r="R156">
        <v>6756</v>
      </c>
      <c r="S156">
        <v>47.683999999999997</v>
      </c>
      <c r="T156">
        <v>47.68</v>
      </c>
      <c r="U156">
        <v>28</v>
      </c>
      <c r="V156">
        <v>1702.8571428571429</v>
      </c>
      <c r="W156" t="s">
        <v>1153</v>
      </c>
      <c r="X156" t="s">
        <v>1087</v>
      </c>
      <c r="Y156">
        <v>39</v>
      </c>
      <c r="Z156">
        <v>1</v>
      </c>
      <c r="AA156">
        <v>141.91666666666666</v>
      </c>
    </row>
    <row r="157" spans="1:27" x14ac:dyDescent="0.3">
      <c r="A157" s="15">
        <v>44477.612685185188</v>
      </c>
      <c r="B157" t="s">
        <v>13</v>
      </c>
      <c r="C157" t="s">
        <v>1028</v>
      </c>
      <c r="D157" s="2">
        <v>44462</v>
      </c>
      <c r="E157" t="s">
        <v>1133</v>
      </c>
      <c r="F157" t="s">
        <v>41</v>
      </c>
      <c r="G157" t="s">
        <v>950</v>
      </c>
      <c r="H157" t="s">
        <v>951</v>
      </c>
      <c r="I157" t="s">
        <v>1103</v>
      </c>
      <c r="J157" t="s">
        <v>1100</v>
      </c>
      <c r="K157">
        <v>1729</v>
      </c>
      <c r="L157">
        <v>12</v>
      </c>
      <c r="M157">
        <v>48.41</v>
      </c>
      <c r="N157" t="s">
        <v>21</v>
      </c>
      <c r="O157">
        <v>0</v>
      </c>
      <c r="P157">
        <v>6</v>
      </c>
      <c r="Q157">
        <v>463</v>
      </c>
      <c r="R157">
        <v>6759</v>
      </c>
      <c r="S157">
        <v>48.411999999999999</v>
      </c>
      <c r="T157">
        <v>48.41</v>
      </c>
      <c r="U157">
        <v>28</v>
      </c>
      <c r="V157">
        <v>1728.9285714285713</v>
      </c>
      <c r="W157" t="s">
        <v>1153</v>
      </c>
      <c r="X157" t="s">
        <v>1087</v>
      </c>
      <c r="Y157">
        <v>39</v>
      </c>
      <c r="Z157">
        <v>1</v>
      </c>
      <c r="AA157">
        <v>144.08333333333334</v>
      </c>
    </row>
    <row r="158" spans="1:27" x14ac:dyDescent="0.3">
      <c r="A158" s="15">
        <v>44477.613576388889</v>
      </c>
      <c r="B158" t="s">
        <v>13</v>
      </c>
      <c r="C158" t="s">
        <v>1028</v>
      </c>
      <c r="D158" s="2">
        <v>44463</v>
      </c>
      <c r="E158" t="s">
        <v>1105</v>
      </c>
      <c r="F158" t="s">
        <v>41</v>
      </c>
      <c r="G158" t="s">
        <v>950</v>
      </c>
      <c r="H158" t="s">
        <v>951</v>
      </c>
      <c r="I158" t="s">
        <v>1103</v>
      </c>
      <c r="J158" t="s">
        <v>1101</v>
      </c>
      <c r="K158">
        <v>500</v>
      </c>
      <c r="L158">
        <v>4</v>
      </c>
      <c r="M158">
        <v>14</v>
      </c>
      <c r="N158" t="s">
        <v>21</v>
      </c>
      <c r="O158">
        <v>0</v>
      </c>
      <c r="P158">
        <v>3</v>
      </c>
      <c r="Q158">
        <v>463</v>
      </c>
      <c r="R158">
        <v>6760</v>
      </c>
      <c r="S158">
        <v>14</v>
      </c>
      <c r="T158">
        <v>14</v>
      </c>
      <c r="U158">
        <v>28</v>
      </c>
      <c r="V158">
        <v>500</v>
      </c>
      <c r="W158" t="s">
        <v>1153</v>
      </c>
      <c r="X158" t="s">
        <v>1087</v>
      </c>
      <c r="Y158">
        <v>39</v>
      </c>
      <c r="Z158">
        <v>1</v>
      </c>
      <c r="AA158">
        <v>41.666666666666664</v>
      </c>
    </row>
    <row r="159" spans="1:27" x14ac:dyDescent="0.3">
      <c r="A159" s="15">
        <v>44477.613206018519</v>
      </c>
      <c r="B159" t="s">
        <v>13</v>
      </c>
      <c r="C159" t="s">
        <v>1028</v>
      </c>
      <c r="D159" s="2">
        <v>44463</v>
      </c>
      <c r="E159" t="s">
        <v>1105</v>
      </c>
      <c r="F159" t="s">
        <v>41</v>
      </c>
      <c r="G159" t="s">
        <v>950</v>
      </c>
      <c r="H159" t="s">
        <v>951</v>
      </c>
      <c r="I159" t="s">
        <v>1103</v>
      </c>
      <c r="J159" t="s">
        <v>1100</v>
      </c>
      <c r="K159">
        <v>589</v>
      </c>
      <c r="L159">
        <v>4</v>
      </c>
      <c r="M159">
        <v>16.489999999999998</v>
      </c>
      <c r="N159" t="s">
        <v>21</v>
      </c>
      <c r="O159">
        <v>0</v>
      </c>
      <c r="P159">
        <v>3</v>
      </c>
      <c r="Q159">
        <v>463</v>
      </c>
      <c r="R159">
        <v>6760</v>
      </c>
      <c r="S159">
        <v>16.492000000000001</v>
      </c>
      <c r="T159">
        <v>16.489999999999998</v>
      </c>
      <c r="U159">
        <v>28</v>
      </c>
      <c r="V159">
        <v>588.92857142857144</v>
      </c>
      <c r="W159" t="s">
        <v>1153</v>
      </c>
      <c r="X159" t="s">
        <v>1087</v>
      </c>
      <c r="Y159">
        <v>39</v>
      </c>
      <c r="Z159">
        <v>1</v>
      </c>
      <c r="AA159">
        <v>49.083333333333336</v>
      </c>
    </row>
    <row r="160" spans="1:27" x14ac:dyDescent="0.3">
      <c r="A160" s="15">
        <v>44477.614988425928</v>
      </c>
      <c r="B160" t="s">
        <v>13</v>
      </c>
      <c r="C160" t="s">
        <v>1028</v>
      </c>
      <c r="D160" s="2">
        <v>44464</v>
      </c>
      <c r="E160" t="s">
        <v>1133</v>
      </c>
      <c r="F160" t="s">
        <v>41</v>
      </c>
      <c r="G160" t="s">
        <v>950</v>
      </c>
      <c r="H160" t="s">
        <v>951</v>
      </c>
      <c r="I160" t="s">
        <v>1103</v>
      </c>
      <c r="J160" t="s">
        <v>1102</v>
      </c>
      <c r="K160">
        <v>186</v>
      </c>
      <c r="L160">
        <v>3</v>
      </c>
      <c r="M160">
        <v>4.9000000000000004</v>
      </c>
      <c r="N160" t="s">
        <v>21</v>
      </c>
      <c r="O160">
        <v>0</v>
      </c>
      <c r="P160">
        <v>1</v>
      </c>
      <c r="Q160">
        <v>463</v>
      </c>
      <c r="R160">
        <v>6761</v>
      </c>
      <c r="S160">
        <v>5.2080000000000002</v>
      </c>
      <c r="T160">
        <v>4.9000000000000004</v>
      </c>
      <c r="U160">
        <v>28</v>
      </c>
      <c r="V160">
        <v>175</v>
      </c>
      <c r="W160" t="s">
        <v>1153</v>
      </c>
      <c r="X160" t="s">
        <v>1087</v>
      </c>
      <c r="Y160">
        <v>39</v>
      </c>
      <c r="Z160">
        <v>1</v>
      </c>
      <c r="AA160">
        <v>15.5</v>
      </c>
    </row>
    <row r="161" spans="1:27" x14ac:dyDescent="0.3">
      <c r="A161" s="15">
        <v>44477.614016203705</v>
      </c>
      <c r="B161" t="s">
        <v>13</v>
      </c>
      <c r="C161" t="s">
        <v>1028</v>
      </c>
      <c r="D161" s="2">
        <v>44464</v>
      </c>
      <c r="E161" t="s">
        <v>1133</v>
      </c>
      <c r="F161" t="s">
        <v>41</v>
      </c>
      <c r="G161" t="s">
        <v>950</v>
      </c>
      <c r="H161" t="s">
        <v>951</v>
      </c>
      <c r="I161" t="s">
        <v>1103</v>
      </c>
      <c r="J161" t="s">
        <v>1101</v>
      </c>
      <c r="K161">
        <v>897</v>
      </c>
      <c r="L161">
        <v>7</v>
      </c>
      <c r="M161">
        <v>23.63</v>
      </c>
      <c r="N161" t="s">
        <v>21</v>
      </c>
      <c r="O161">
        <v>0</v>
      </c>
      <c r="P161">
        <v>4</v>
      </c>
      <c r="Q161">
        <v>463</v>
      </c>
      <c r="R161">
        <v>6761</v>
      </c>
      <c r="S161">
        <v>25.116</v>
      </c>
      <c r="T161">
        <v>23.63</v>
      </c>
      <c r="U161">
        <v>28</v>
      </c>
      <c r="V161">
        <v>843.92857142857144</v>
      </c>
      <c r="W161" t="s">
        <v>1153</v>
      </c>
      <c r="X161" t="s">
        <v>1087</v>
      </c>
      <c r="Y161">
        <v>39</v>
      </c>
      <c r="Z161">
        <v>1</v>
      </c>
      <c r="AA161">
        <v>74.75</v>
      </c>
    </row>
    <row r="162" spans="1:27" x14ac:dyDescent="0.3">
      <c r="A162" s="15">
        <v>44477.615694444445</v>
      </c>
      <c r="B162" t="s">
        <v>13</v>
      </c>
      <c r="C162" t="s">
        <v>1028</v>
      </c>
      <c r="D162" s="2">
        <v>44466</v>
      </c>
      <c r="E162" t="s">
        <v>1105</v>
      </c>
      <c r="F162" t="s">
        <v>41</v>
      </c>
      <c r="G162" t="s">
        <v>950</v>
      </c>
      <c r="H162" t="s">
        <v>951</v>
      </c>
      <c r="I162" t="s">
        <v>1103</v>
      </c>
      <c r="J162" t="s">
        <v>1102</v>
      </c>
      <c r="K162">
        <v>1540</v>
      </c>
      <c r="L162">
        <v>11</v>
      </c>
      <c r="M162">
        <v>43.12</v>
      </c>
      <c r="N162" t="s">
        <v>21</v>
      </c>
      <c r="O162">
        <v>0</v>
      </c>
      <c r="P162">
        <v>7</v>
      </c>
      <c r="Q162">
        <v>463</v>
      </c>
      <c r="R162">
        <v>6762</v>
      </c>
      <c r="S162">
        <v>43.12</v>
      </c>
      <c r="T162">
        <v>43.12</v>
      </c>
      <c r="U162">
        <v>28</v>
      </c>
      <c r="V162">
        <v>1540</v>
      </c>
      <c r="W162" t="s">
        <v>1153</v>
      </c>
      <c r="X162" t="s">
        <v>1087</v>
      </c>
      <c r="Y162">
        <v>40</v>
      </c>
      <c r="Z162">
        <v>1</v>
      </c>
      <c r="AA162">
        <v>128.33333333333334</v>
      </c>
    </row>
    <row r="163" spans="1:27" x14ac:dyDescent="0.3">
      <c r="A163" s="15">
        <v>44477.620671296296</v>
      </c>
      <c r="B163" t="s">
        <v>13</v>
      </c>
      <c r="C163" t="s">
        <v>1028</v>
      </c>
      <c r="D163" s="2">
        <v>44467</v>
      </c>
      <c r="E163" t="s">
        <v>1092</v>
      </c>
      <c r="F163" t="s">
        <v>41</v>
      </c>
      <c r="G163" t="s">
        <v>950</v>
      </c>
      <c r="H163" t="s">
        <v>951</v>
      </c>
      <c r="I163" t="s">
        <v>1103</v>
      </c>
      <c r="J163" t="s">
        <v>1099</v>
      </c>
      <c r="K163">
        <v>1438</v>
      </c>
      <c r="L163">
        <v>9</v>
      </c>
      <c r="M163">
        <v>40.26</v>
      </c>
      <c r="N163" t="s">
        <v>21</v>
      </c>
      <c r="O163">
        <v>0</v>
      </c>
      <c r="P163">
        <v>7</v>
      </c>
      <c r="Q163">
        <v>463</v>
      </c>
      <c r="R163">
        <v>6763</v>
      </c>
      <c r="S163">
        <v>40.264000000000003</v>
      </c>
      <c r="T163">
        <v>40.26</v>
      </c>
      <c r="U163">
        <v>28</v>
      </c>
      <c r="V163">
        <v>1437.8571428571429</v>
      </c>
      <c r="W163" t="s">
        <v>1153</v>
      </c>
      <c r="X163" t="s">
        <v>1087</v>
      </c>
      <c r="Y163">
        <v>40</v>
      </c>
      <c r="Z163">
        <v>1</v>
      </c>
      <c r="AA163">
        <v>119.83333333333333</v>
      </c>
    </row>
    <row r="164" spans="1:27" x14ac:dyDescent="0.3">
      <c r="A164" s="15">
        <v>44477.621724537035</v>
      </c>
      <c r="B164" t="s">
        <v>13</v>
      </c>
      <c r="C164" t="s">
        <v>1028</v>
      </c>
      <c r="D164" s="2">
        <v>44468</v>
      </c>
      <c r="E164" t="s">
        <v>1133</v>
      </c>
      <c r="F164" t="s">
        <v>41</v>
      </c>
      <c r="G164" t="s">
        <v>950</v>
      </c>
      <c r="H164" t="s">
        <v>951</v>
      </c>
      <c r="I164" t="s">
        <v>1103</v>
      </c>
      <c r="J164" t="s">
        <v>1100</v>
      </c>
      <c r="K164">
        <v>1389</v>
      </c>
      <c r="L164">
        <v>8</v>
      </c>
      <c r="M164">
        <v>43.8</v>
      </c>
      <c r="N164" t="s">
        <v>21</v>
      </c>
      <c r="O164">
        <v>0</v>
      </c>
      <c r="P164">
        <v>5</v>
      </c>
      <c r="Q164">
        <v>463</v>
      </c>
      <c r="R164">
        <v>6764</v>
      </c>
      <c r="S164">
        <v>38.892000000000003</v>
      </c>
      <c r="T164">
        <v>43.8</v>
      </c>
      <c r="U164">
        <v>28</v>
      </c>
      <c r="V164">
        <v>1564.2857142857142</v>
      </c>
      <c r="W164" t="s">
        <v>1153</v>
      </c>
      <c r="X164" t="s">
        <v>1087</v>
      </c>
      <c r="Y164">
        <v>40</v>
      </c>
      <c r="Z164">
        <v>1</v>
      </c>
      <c r="AA164">
        <v>115.75</v>
      </c>
    </row>
    <row r="165" spans="1:27" x14ac:dyDescent="0.3">
      <c r="A165" s="15">
        <v>44477.621377314812</v>
      </c>
      <c r="B165" t="s">
        <v>13</v>
      </c>
      <c r="C165" t="s">
        <v>1028</v>
      </c>
      <c r="D165" s="2">
        <v>44468</v>
      </c>
      <c r="E165" t="s">
        <v>1133</v>
      </c>
      <c r="F165" t="s">
        <v>41</v>
      </c>
      <c r="G165" t="s">
        <v>950</v>
      </c>
      <c r="H165" t="s">
        <v>951</v>
      </c>
      <c r="I165" t="s">
        <v>1103</v>
      </c>
      <c r="J165" t="s">
        <v>1099</v>
      </c>
      <c r="K165">
        <v>192</v>
      </c>
      <c r="L165">
        <v>3</v>
      </c>
      <c r="M165">
        <v>5.38</v>
      </c>
      <c r="N165" t="s">
        <v>21</v>
      </c>
      <c r="O165">
        <v>0</v>
      </c>
      <c r="P165">
        <v>1</v>
      </c>
      <c r="Q165">
        <v>463</v>
      </c>
      <c r="R165">
        <v>6764</v>
      </c>
      <c r="S165">
        <v>5.3760000000000003</v>
      </c>
      <c r="T165">
        <v>5.38</v>
      </c>
      <c r="U165">
        <v>28</v>
      </c>
      <c r="V165">
        <v>192.14285714285714</v>
      </c>
      <c r="W165" t="s">
        <v>1153</v>
      </c>
      <c r="X165" t="s">
        <v>1087</v>
      </c>
      <c r="Y165">
        <v>40</v>
      </c>
      <c r="Z165">
        <v>1</v>
      </c>
      <c r="AA165">
        <v>16</v>
      </c>
    </row>
    <row r="166" spans="1:27" x14ac:dyDescent="0.3">
      <c r="A166" s="15">
        <v>44482.656006944446</v>
      </c>
      <c r="B166" t="s">
        <v>13</v>
      </c>
      <c r="C166" t="s">
        <v>1028</v>
      </c>
      <c r="D166" s="2">
        <v>44469</v>
      </c>
      <c r="E166" t="s">
        <v>1092</v>
      </c>
      <c r="F166" t="s">
        <v>41</v>
      </c>
      <c r="G166" t="s">
        <v>950</v>
      </c>
      <c r="H166" t="s">
        <v>951</v>
      </c>
      <c r="I166" t="s">
        <v>1103</v>
      </c>
      <c r="J166" t="s">
        <v>1099</v>
      </c>
      <c r="K166">
        <v>170</v>
      </c>
      <c r="L166">
        <v>1</v>
      </c>
      <c r="M166">
        <v>5.18</v>
      </c>
      <c r="N166" t="s">
        <v>21</v>
      </c>
      <c r="O166">
        <v>0</v>
      </c>
      <c r="P166">
        <v>1</v>
      </c>
      <c r="Q166">
        <v>463</v>
      </c>
      <c r="R166">
        <v>6765</v>
      </c>
      <c r="S166">
        <v>4.76</v>
      </c>
      <c r="T166">
        <v>5.18</v>
      </c>
      <c r="U166">
        <v>28</v>
      </c>
      <c r="V166">
        <v>185</v>
      </c>
      <c r="W166" t="s">
        <v>1153</v>
      </c>
      <c r="X166" t="s">
        <v>1087</v>
      </c>
      <c r="Y166">
        <v>40</v>
      </c>
      <c r="Z166">
        <v>1</v>
      </c>
      <c r="AA166">
        <v>14.166666666666666</v>
      </c>
    </row>
    <row r="167" spans="1:27" x14ac:dyDescent="0.3">
      <c r="A167" s="15">
        <v>44477.622210648151</v>
      </c>
      <c r="B167" t="s">
        <v>13</v>
      </c>
      <c r="C167" t="s">
        <v>1028</v>
      </c>
      <c r="D167" s="2">
        <v>44469</v>
      </c>
      <c r="E167" t="s">
        <v>1092</v>
      </c>
      <c r="F167" t="s">
        <v>41</v>
      </c>
      <c r="G167" t="s">
        <v>950</v>
      </c>
      <c r="H167" t="s">
        <v>951</v>
      </c>
      <c r="I167" t="s">
        <v>1103</v>
      </c>
      <c r="J167" t="s">
        <v>1100</v>
      </c>
      <c r="K167">
        <v>1193</v>
      </c>
      <c r="L167">
        <v>9</v>
      </c>
      <c r="M167">
        <v>32.76</v>
      </c>
      <c r="N167" t="s">
        <v>21</v>
      </c>
      <c r="O167">
        <v>0</v>
      </c>
      <c r="P167">
        <v>5</v>
      </c>
      <c r="Q167">
        <v>463</v>
      </c>
      <c r="R167">
        <v>6765</v>
      </c>
      <c r="S167">
        <v>33.404000000000003</v>
      </c>
      <c r="T167">
        <v>32.76</v>
      </c>
      <c r="U167">
        <v>28</v>
      </c>
      <c r="V167">
        <v>1169.9999999999998</v>
      </c>
      <c r="W167" t="s">
        <v>1153</v>
      </c>
      <c r="X167" t="s">
        <v>1087</v>
      </c>
      <c r="Y167">
        <v>40</v>
      </c>
      <c r="Z167">
        <v>1</v>
      </c>
      <c r="AA167">
        <v>99.416666666666671</v>
      </c>
    </row>
    <row r="168" spans="1:27" x14ac:dyDescent="0.3">
      <c r="A168" s="15">
        <v>44482.707638888889</v>
      </c>
      <c r="B168" t="s">
        <v>12</v>
      </c>
      <c r="C168" t="s">
        <v>1078</v>
      </c>
      <c r="D168" s="2">
        <v>44449</v>
      </c>
      <c r="E168" t="s">
        <v>1105</v>
      </c>
      <c r="F168" t="s">
        <v>41</v>
      </c>
      <c r="G168" t="s">
        <v>942</v>
      </c>
      <c r="H168" t="s">
        <v>48</v>
      </c>
      <c r="I168" t="s">
        <v>1140</v>
      </c>
      <c r="J168" t="s">
        <v>1138</v>
      </c>
      <c r="K168">
        <v>238</v>
      </c>
      <c r="L168">
        <v>2</v>
      </c>
      <c r="M168">
        <v>11.9</v>
      </c>
      <c r="N168" t="s">
        <v>21</v>
      </c>
      <c r="O168">
        <v>0</v>
      </c>
      <c r="P168">
        <v>2</v>
      </c>
      <c r="R168">
        <v>7021</v>
      </c>
      <c r="S168">
        <v>11.9</v>
      </c>
      <c r="T168">
        <v>11.9</v>
      </c>
      <c r="U168">
        <v>50</v>
      </c>
      <c r="V168">
        <v>238</v>
      </c>
      <c r="W168" t="s">
        <v>1153</v>
      </c>
      <c r="X168" t="s">
        <v>1087</v>
      </c>
      <c r="Y168">
        <v>37</v>
      </c>
      <c r="Z168">
        <v>1</v>
      </c>
      <c r="AA168">
        <v>19.833333333333332</v>
      </c>
    </row>
    <row r="169" spans="1:27" x14ac:dyDescent="0.3">
      <c r="A169" s="15">
        <v>44482.71020833333</v>
      </c>
      <c r="B169" t="s">
        <v>12</v>
      </c>
      <c r="C169" t="s">
        <v>1078</v>
      </c>
      <c r="D169" s="2">
        <v>44450</v>
      </c>
      <c r="E169" t="s">
        <v>1105</v>
      </c>
      <c r="F169" t="s">
        <v>41</v>
      </c>
      <c r="G169" t="s">
        <v>942</v>
      </c>
      <c r="H169" t="s">
        <v>48</v>
      </c>
      <c r="I169" t="s">
        <v>1140</v>
      </c>
      <c r="J169" t="s">
        <v>1136</v>
      </c>
      <c r="K169">
        <v>793</v>
      </c>
      <c r="L169">
        <v>7</v>
      </c>
      <c r="M169">
        <v>41.2</v>
      </c>
      <c r="N169" t="s">
        <v>21</v>
      </c>
      <c r="O169">
        <v>0</v>
      </c>
      <c r="P169">
        <v>7</v>
      </c>
      <c r="R169">
        <v>7023</v>
      </c>
      <c r="S169">
        <v>39.65</v>
      </c>
      <c r="T169">
        <v>41.2</v>
      </c>
      <c r="U169">
        <v>50</v>
      </c>
      <c r="V169">
        <v>824</v>
      </c>
      <c r="W169" t="s">
        <v>1153</v>
      </c>
      <c r="X169" t="s">
        <v>1087</v>
      </c>
      <c r="Y169">
        <v>37</v>
      </c>
      <c r="Z169">
        <v>1</v>
      </c>
      <c r="AA169">
        <v>66.083333333333329</v>
      </c>
    </row>
    <row r="170" spans="1:27" x14ac:dyDescent="0.3">
      <c r="A170" s="15">
        <v>44482.709837962961</v>
      </c>
      <c r="B170" t="s">
        <v>12</v>
      </c>
      <c r="C170" t="s">
        <v>1078</v>
      </c>
      <c r="D170" s="2">
        <v>44450</v>
      </c>
      <c r="E170" t="s">
        <v>1105</v>
      </c>
      <c r="F170" t="s">
        <v>41</v>
      </c>
      <c r="G170" t="s">
        <v>942</v>
      </c>
      <c r="H170" t="s">
        <v>48</v>
      </c>
      <c r="I170" t="s">
        <v>1140</v>
      </c>
      <c r="J170" t="s">
        <v>1137</v>
      </c>
      <c r="K170">
        <v>488</v>
      </c>
      <c r="L170">
        <v>4</v>
      </c>
      <c r="M170">
        <v>17.399999999999999</v>
      </c>
      <c r="N170" t="s">
        <v>21</v>
      </c>
      <c r="O170">
        <v>0</v>
      </c>
      <c r="P170">
        <v>4</v>
      </c>
      <c r="R170">
        <v>7023</v>
      </c>
      <c r="S170">
        <v>24.4</v>
      </c>
      <c r="T170">
        <v>17.399999999999999</v>
      </c>
      <c r="U170">
        <v>50</v>
      </c>
      <c r="V170">
        <v>348</v>
      </c>
      <c r="W170" t="s">
        <v>1153</v>
      </c>
      <c r="X170" t="s">
        <v>1087</v>
      </c>
      <c r="Y170">
        <v>37</v>
      </c>
      <c r="Z170">
        <v>1</v>
      </c>
      <c r="AA170">
        <v>40.666666666666664</v>
      </c>
    </row>
    <row r="171" spans="1:27" x14ac:dyDescent="0.3">
      <c r="A171" s="15">
        <v>44482.711597222224</v>
      </c>
      <c r="B171" t="s">
        <v>12</v>
      </c>
      <c r="C171" t="s">
        <v>1078</v>
      </c>
      <c r="D171" s="2">
        <v>44451</v>
      </c>
      <c r="E171" t="s">
        <v>1105</v>
      </c>
      <c r="F171" t="s">
        <v>41</v>
      </c>
      <c r="G171" t="s">
        <v>942</v>
      </c>
      <c r="H171" t="s">
        <v>48</v>
      </c>
      <c r="I171" t="s">
        <v>1140</v>
      </c>
      <c r="J171" t="s">
        <v>1135</v>
      </c>
      <c r="K171">
        <v>1016</v>
      </c>
      <c r="L171">
        <v>7</v>
      </c>
      <c r="M171">
        <v>50.5</v>
      </c>
      <c r="N171" t="s">
        <v>21</v>
      </c>
      <c r="O171">
        <v>0</v>
      </c>
      <c r="P171">
        <v>8</v>
      </c>
      <c r="R171">
        <v>7025</v>
      </c>
      <c r="S171">
        <v>50.8</v>
      </c>
      <c r="T171">
        <v>50.5</v>
      </c>
      <c r="U171">
        <v>50</v>
      </c>
      <c r="V171">
        <v>1010</v>
      </c>
      <c r="W171" t="s">
        <v>1153</v>
      </c>
      <c r="X171" t="s">
        <v>1087</v>
      </c>
      <c r="Y171">
        <v>37</v>
      </c>
      <c r="Z171">
        <v>1</v>
      </c>
      <c r="AA171">
        <v>84.666666666666671</v>
      </c>
    </row>
    <row r="172" spans="1:27" x14ac:dyDescent="0.3">
      <c r="A172" s="15">
        <v>44482.712164351855</v>
      </c>
      <c r="B172" t="s">
        <v>12</v>
      </c>
      <c r="C172" t="s">
        <v>1078</v>
      </c>
      <c r="D172" s="2">
        <v>44452</v>
      </c>
      <c r="E172" t="s">
        <v>1105</v>
      </c>
      <c r="F172" t="s">
        <v>41</v>
      </c>
      <c r="G172" t="s">
        <v>942</v>
      </c>
      <c r="H172" t="s">
        <v>48</v>
      </c>
      <c r="I172" t="s">
        <v>1140</v>
      </c>
      <c r="J172" t="s">
        <v>1139</v>
      </c>
      <c r="K172">
        <v>1046</v>
      </c>
      <c r="L172">
        <v>8</v>
      </c>
      <c r="M172">
        <v>52.4</v>
      </c>
      <c r="N172" t="s">
        <v>21</v>
      </c>
      <c r="O172">
        <v>0</v>
      </c>
      <c r="P172">
        <v>9</v>
      </c>
      <c r="R172">
        <v>7026</v>
      </c>
      <c r="S172">
        <v>52.3</v>
      </c>
      <c r="T172">
        <v>52.4</v>
      </c>
      <c r="U172">
        <v>50</v>
      </c>
      <c r="V172">
        <v>1048</v>
      </c>
      <c r="W172" t="s">
        <v>1153</v>
      </c>
      <c r="X172" t="s">
        <v>1087</v>
      </c>
      <c r="Y172">
        <v>38</v>
      </c>
      <c r="Z172">
        <v>1</v>
      </c>
      <c r="AA172">
        <v>87.166666666666671</v>
      </c>
    </row>
    <row r="173" spans="1:27" x14ac:dyDescent="0.3">
      <c r="A173" s="15">
        <v>44482.712916666664</v>
      </c>
      <c r="B173" t="s">
        <v>12</v>
      </c>
      <c r="C173" t="s">
        <v>1078</v>
      </c>
      <c r="D173" s="2">
        <v>44453</v>
      </c>
      <c r="E173" t="s">
        <v>1105</v>
      </c>
      <c r="F173" t="s">
        <v>41</v>
      </c>
      <c r="G173" t="s">
        <v>942</v>
      </c>
      <c r="H173" t="s">
        <v>48</v>
      </c>
      <c r="I173" t="s">
        <v>1140</v>
      </c>
      <c r="J173" t="s">
        <v>1136</v>
      </c>
      <c r="K173">
        <v>237</v>
      </c>
      <c r="L173">
        <v>3</v>
      </c>
      <c r="M173">
        <v>11.85</v>
      </c>
      <c r="N173" t="s">
        <v>21</v>
      </c>
      <c r="O173">
        <v>0</v>
      </c>
      <c r="P173">
        <v>2</v>
      </c>
      <c r="R173">
        <v>7027</v>
      </c>
      <c r="S173">
        <v>11.85</v>
      </c>
      <c r="T173">
        <v>11.85</v>
      </c>
      <c r="U173">
        <v>50</v>
      </c>
      <c r="V173">
        <v>237</v>
      </c>
      <c r="W173" t="s">
        <v>1153</v>
      </c>
      <c r="X173" t="s">
        <v>1087</v>
      </c>
      <c r="Y173">
        <v>38</v>
      </c>
      <c r="Z173">
        <v>1</v>
      </c>
      <c r="AA173">
        <v>19.75</v>
      </c>
    </row>
    <row r="174" spans="1:27" x14ac:dyDescent="0.3">
      <c r="A174" s="15">
        <v>44483.393148148149</v>
      </c>
      <c r="B174" t="s">
        <v>12</v>
      </c>
      <c r="C174" t="s">
        <v>1030</v>
      </c>
      <c r="D174" s="2">
        <v>44440</v>
      </c>
      <c r="E174" t="s">
        <v>1081</v>
      </c>
      <c r="F174" t="s">
        <v>41</v>
      </c>
      <c r="G174" t="s">
        <v>941</v>
      </c>
      <c r="H174" t="s">
        <v>48</v>
      </c>
      <c r="I174" t="s">
        <v>10</v>
      </c>
      <c r="J174" t="s">
        <v>430</v>
      </c>
      <c r="K174">
        <v>499</v>
      </c>
      <c r="L174">
        <v>9</v>
      </c>
      <c r="M174">
        <v>44.7</v>
      </c>
      <c r="N174" t="s">
        <v>21</v>
      </c>
      <c r="O174">
        <v>0</v>
      </c>
      <c r="P174">
        <v>0</v>
      </c>
      <c r="R174">
        <v>6569</v>
      </c>
      <c r="S174">
        <v>59.88</v>
      </c>
      <c r="T174">
        <v>44.7</v>
      </c>
      <c r="U174">
        <v>120</v>
      </c>
      <c r="V174">
        <v>372.5</v>
      </c>
      <c r="W174" t="s">
        <v>1153</v>
      </c>
      <c r="X174" t="s">
        <v>1087</v>
      </c>
      <c r="Y174">
        <v>36</v>
      </c>
      <c r="Z174">
        <v>1</v>
      </c>
      <c r="AA174">
        <v>41.583333333333336</v>
      </c>
    </row>
    <row r="175" spans="1:27" x14ac:dyDescent="0.3">
      <c r="A175" s="15">
        <v>44483.394108796296</v>
      </c>
      <c r="B175" t="s">
        <v>12</v>
      </c>
      <c r="C175" t="s">
        <v>1030</v>
      </c>
      <c r="D175" s="2">
        <v>44443</v>
      </c>
      <c r="E175" t="s">
        <v>1081</v>
      </c>
      <c r="F175" t="s">
        <v>41</v>
      </c>
      <c r="G175" t="s">
        <v>941</v>
      </c>
      <c r="H175" t="s">
        <v>48</v>
      </c>
      <c r="I175" t="s">
        <v>1042</v>
      </c>
      <c r="J175" t="s">
        <v>380</v>
      </c>
      <c r="K175">
        <v>208</v>
      </c>
      <c r="L175">
        <v>3</v>
      </c>
      <c r="M175">
        <v>26</v>
      </c>
      <c r="N175" t="s">
        <v>21</v>
      </c>
      <c r="O175">
        <v>0</v>
      </c>
      <c r="P175">
        <v>0</v>
      </c>
      <c r="R175">
        <v>6570</v>
      </c>
      <c r="S175">
        <v>25.792000000000002</v>
      </c>
      <c r="T175">
        <v>26</v>
      </c>
      <c r="U175">
        <v>124</v>
      </c>
      <c r="V175">
        <v>209.67741935483872</v>
      </c>
      <c r="W175" t="s">
        <v>1153</v>
      </c>
      <c r="X175" t="s">
        <v>1087</v>
      </c>
      <c r="Y175">
        <v>36</v>
      </c>
      <c r="Z175">
        <v>1</v>
      </c>
      <c r="AA175">
        <v>17.333333333333332</v>
      </c>
    </row>
    <row r="176" spans="1:27" x14ac:dyDescent="0.3">
      <c r="A176" s="15">
        <v>44483.394803240742</v>
      </c>
      <c r="B176" t="s">
        <v>12</v>
      </c>
      <c r="C176" t="s">
        <v>1030</v>
      </c>
      <c r="D176" s="2">
        <v>44445</v>
      </c>
      <c r="E176" t="s">
        <v>1081</v>
      </c>
      <c r="F176" t="s">
        <v>41</v>
      </c>
      <c r="G176" t="s">
        <v>941</v>
      </c>
      <c r="H176" t="s">
        <v>48</v>
      </c>
      <c r="I176" t="s">
        <v>1042</v>
      </c>
      <c r="J176" t="s">
        <v>381</v>
      </c>
      <c r="K176">
        <v>102</v>
      </c>
      <c r="L176">
        <v>2</v>
      </c>
      <c r="M176">
        <v>12.8</v>
      </c>
      <c r="N176" t="s">
        <v>21</v>
      </c>
      <c r="O176">
        <v>0</v>
      </c>
      <c r="P176">
        <v>1</v>
      </c>
      <c r="R176">
        <v>6570</v>
      </c>
      <c r="S176">
        <v>12.648</v>
      </c>
      <c r="T176">
        <v>12.8</v>
      </c>
      <c r="U176">
        <v>124</v>
      </c>
      <c r="V176">
        <v>103.2258064516129</v>
      </c>
      <c r="W176" t="s">
        <v>1153</v>
      </c>
      <c r="X176" t="s">
        <v>1087</v>
      </c>
      <c r="Y176">
        <v>37</v>
      </c>
      <c r="Z176">
        <v>1</v>
      </c>
      <c r="AA176">
        <v>8.5</v>
      </c>
    </row>
    <row r="177" spans="1:27" x14ac:dyDescent="0.3">
      <c r="A177" s="15">
        <v>44483.396215277775</v>
      </c>
      <c r="B177" t="s">
        <v>12</v>
      </c>
      <c r="C177" t="s">
        <v>1030</v>
      </c>
      <c r="D177" s="2">
        <v>44446</v>
      </c>
      <c r="E177" t="s">
        <v>1034</v>
      </c>
      <c r="F177" t="s">
        <v>41</v>
      </c>
      <c r="G177" t="s">
        <v>941</v>
      </c>
      <c r="H177" t="s">
        <v>48</v>
      </c>
      <c r="I177" t="s">
        <v>1042</v>
      </c>
      <c r="J177" t="s">
        <v>379</v>
      </c>
      <c r="K177">
        <v>170</v>
      </c>
      <c r="L177">
        <v>2</v>
      </c>
      <c r="M177">
        <v>20.2</v>
      </c>
      <c r="N177" t="s">
        <v>21</v>
      </c>
      <c r="O177">
        <v>0</v>
      </c>
      <c r="P177">
        <v>2</v>
      </c>
      <c r="R177">
        <v>6571</v>
      </c>
      <c r="S177">
        <v>21.08</v>
      </c>
      <c r="T177">
        <v>20.2</v>
      </c>
      <c r="U177">
        <v>124</v>
      </c>
      <c r="V177">
        <v>162.90322580645162</v>
      </c>
      <c r="W177" t="s">
        <v>1153</v>
      </c>
      <c r="X177" t="s">
        <v>1087</v>
      </c>
      <c r="Y177">
        <v>37</v>
      </c>
      <c r="Z177">
        <v>1</v>
      </c>
      <c r="AA177">
        <v>14.166666666666666</v>
      </c>
    </row>
    <row r="178" spans="1:27" x14ac:dyDescent="0.3">
      <c r="A178" s="15">
        <v>44483.395787037036</v>
      </c>
      <c r="B178" t="s">
        <v>12</v>
      </c>
      <c r="C178" t="s">
        <v>1030</v>
      </c>
      <c r="D178" s="2">
        <v>44446</v>
      </c>
      <c r="E178" t="s">
        <v>1034</v>
      </c>
      <c r="F178" t="s">
        <v>41</v>
      </c>
      <c r="G178" t="s">
        <v>941</v>
      </c>
      <c r="H178" t="s">
        <v>48</v>
      </c>
      <c r="I178" t="s">
        <v>1042</v>
      </c>
      <c r="J178" t="s">
        <v>376</v>
      </c>
      <c r="K178">
        <v>200</v>
      </c>
      <c r="L178">
        <v>2</v>
      </c>
      <c r="M178">
        <v>28.3</v>
      </c>
      <c r="N178" t="s">
        <v>21</v>
      </c>
      <c r="O178">
        <v>0</v>
      </c>
      <c r="P178">
        <v>1</v>
      </c>
      <c r="R178">
        <v>6571</v>
      </c>
      <c r="S178">
        <v>24.8</v>
      </c>
      <c r="T178">
        <v>28.3</v>
      </c>
      <c r="U178">
        <v>124</v>
      </c>
      <c r="V178">
        <v>228.2258064516129</v>
      </c>
      <c r="W178" t="s">
        <v>1153</v>
      </c>
      <c r="X178" t="s">
        <v>1087</v>
      </c>
      <c r="Y178">
        <v>37</v>
      </c>
      <c r="Z178">
        <v>1</v>
      </c>
      <c r="AA178">
        <v>16.666666666666668</v>
      </c>
    </row>
    <row r="179" spans="1:27" x14ac:dyDescent="0.3">
      <c r="A179" s="15">
        <v>44483.395243055558</v>
      </c>
      <c r="B179" t="s">
        <v>12</v>
      </c>
      <c r="C179" t="s">
        <v>1030</v>
      </c>
      <c r="D179" s="2">
        <v>44446</v>
      </c>
      <c r="E179" t="s">
        <v>1034</v>
      </c>
      <c r="F179" t="s">
        <v>41</v>
      </c>
      <c r="G179" t="s">
        <v>941</v>
      </c>
      <c r="H179" t="s">
        <v>48</v>
      </c>
      <c r="I179" t="s">
        <v>1042</v>
      </c>
      <c r="J179" t="s">
        <v>381</v>
      </c>
      <c r="K179">
        <v>100</v>
      </c>
      <c r="L179">
        <v>1</v>
      </c>
      <c r="M179">
        <v>14.9</v>
      </c>
      <c r="N179" t="s">
        <v>21</v>
      </c>
      <c r="O179">
        <v>0</v>
      </c>
      <c r="P179">
        <v>1</v>
      </c>
      <c r="R179">
        <v>6571</v>
      </c>
      <c r="S179">
        <v>12.4</v>
      </c>
      <c r="T179">
        <v>14.9</v>
      </c>
      <c r="U179">
        <v>124</v>
      </c>
      <c r="V179">
        <v>120.16129032258064</v>
      </c>
      <c r="W179" t="s">
        <v>1153</v>
      </c>
      <c r="X179" t="s">
        <v>1087</v>
      </c>
      <c r="Y179">
        <v>37</v>
      </c>
      <c r="Z179">
        <v>1</v>
      </c>
      <c r="AA179">
        <v>8.3333333333333339</v>
      </c>
    </row>
    <row r="180" spans="1:27" x14ac:dyDescent="0.3">
      <c r="A180" s="15">
        <v>44483.399247685185</v>
      </c>
      <c r="B180" t="s">
        <v>12</v>
      </c>
      <c r="C180" t="s">
        <v>1030</v>
      </c>
      <c r="D180" s="2">
        <v>44447</v>
      </c>
      <c r="E180" t="s">
        <v>1081</v>
      </c>
      <c r="F180" t="s">
        <v>41</v>
      </c>
      <c r="G180" t="s">
        <v>941</v>
      </c>
      <c r="H180" t="s">
        <v>48</v>
      </c>
      <c r="I180" t="s">
        <v>1042</v>
      </c>
      <c r="J180" t="s">
        <v>378</v>
      </c>
      <c r="K180">
        <v>250</v>
      </c>
      <c r="L180">
        <v>4</v>
      </c>
      <c r="M180">
        <v>36.700000000000003</v>
      </c>
      <c r="N180" t="s">
        <v>21</v>
      </c>
      <c r="O180">
        <v>0</v>
      </c>
      <c r="P180">
        <v>4</v>
      </c>
      <c r="R180">
        <v>6572</v>
      </c>
      <c r="S180">
        <v>31</v>
      </c>
      <c r="T180">
        <v>36.700000000000003</v>
      </c>
      <c r="U180">
        <v>124</v>
      </c>
      <c r="V180">
        <v>295.96774193548384</v>
      </c>
      <c r="W180" t="s">
        <v>1153</v>
      </c>
      <c r="X180" t="s">
        <v>1087</v>
      </c>
      <c r="Y180">
        <v>37</v>
      </c>
      <c r="Z180">
        <v>1</v>
      </c>
      <c r="AA180">
        <v>20.833333333333332</v>
      </c>
    </row>
    <row r="181" spans="1:27" x14ac:dyDescent="0.3">
      <c r="A181" s="15">
        <v>44483.397928240738</v>
      </c>
      <c r="B181" t="s">
        <v>12</v>
      </c>
      <c r="C181" t="s">
        <v>1030</v>
      </c>
      <c r="D181" s="2">
        <v>44447</v>
      </c>
      <c r="E181" t="s">
        <v>1034</v>
      </c>
      <c r="F181" t="s">
        <v>41</v>
      </c>
      <c r="G181" t="s">
        <v>941</v>
      </c>
      <c r="H181" t="s">
        <v>48</v>
      </c>
      <c r="I181" t="s">
        <v>1042</v>
      </c>
      <c r="J181" t="s">
        <v>379</v>
      </c>
      <c r="K181">
        <v>80</v>
      </c>
      <c r="L181">
        <v>1</v>
      </c>
      <c r="M181">
        <v>14.1</v>
      </c>
      <c r="N181" t="s">
        <v>21</v>
      </c>
      <c r="O181">
        <v>0</v>
      </c>
      <c r="P181">
        <v>2</v>
      </c>
      <c r="R181">
        <v>6572</v>
      </c>
      <c r="S181">
        <v>9.92</v>
      </c>
      <c r="T181">
        <v>14.1</v>
      </c>
      <c r="U181">
        <v>124</v>
      </c>
      <c r="V181">
        <v>113.70967741935483</v>
      </c>
      <c r="W181" t="s">
        <v>1153</v>
      </c>
      <c r="X181" t="s">
        <v>1087</v>
      </c>
      <c r="Y181">
        <v>37</v>
      </c>
      <c r="Z181">
        <v>1</v>
      </c>
      <c r="AA181">
        <v>6.666666666666667</v>
      </c>
    </row>
    <row r="182" spans="1:27" x14ac:dyDescent="0.3">
      <c r="A182" s="15">
        <v>44483.539537037039</v>
      </c>
      <c r="B182" t="s">
        <v>12</v>
      </c>
      <c r="C182" t="s">
        <v>1030</v>
      </c>
      <c r="D182" s="2">
        <v>44448</v>
      </c>
      <c r="E182" t="s">
        <v>1034</v>
      </c>
      <c r="F182" t="s">
        <v>40</v>
      </c>
      <c r="G182" t="s">
        <v>48</v>
      </c>
      <c r="H182" t="s">
        <v>945</v>
      </c>
      <c r="I182" t="s">
        <v>1042</v>
      </c>
      <c r="J182" t="s">
        <v>377</v>
      </c>
      <c r="K182">
        <v>250</v>
      </c>
      <c r="L182">
        <v>3</v>
      </c>
      <c r="M182">
        <v>48.9</v>
      </c>
      <c r="N182" t="s">
        <v>21</v>
      </c>
      <c r="O182">
        <v>0</v>
      </c>
      <c r="P182">
        <v>6</v>
      </c>
      <c r="R182">
        <v>6573</v>
      </c>
      <c r="S182">
        <v>31</v>
      </c>
      <c r="T182">
        <v>48.9</v>
      </c>
      <c r="U182">
        <v>124</v>
      </c>
      <c r="V182">
        <v>394.35483870967744</v>
      </c>
      <c r="W182" t="s">
        <v>1153</v>
      </c>
      <c r="X182" t="s">
        <v>1087</v>
      </c>
      <c r="Y182">
        <v>37</v>
      </c>
      <c r="Z182">
        <v>1</v>
      </c>
      <c r="AA182">
        <v>20.833333333333332</v>
      </c>
    </row>
    <row r="183" spans="1:27" x14ac:dyDescent="0.3">
      <c r="A183" s="15">
        <v>44483.400011574071</v>
      </c>
      <c r="B183" t="s">
        <v>12</v>
      </c>
      <c r="C183" t="s">
        <v>1030</v>
      </c>
      <c r="D183" s="2">
        <v>44448</v>
      </c>
      <c r="E183" t="s">
        <v>1034</v>
      </c>
      <c r="F183" t="s">
        <v>41</v>
      </c>
      <c r="G183" t="s">
        <v>941</v>
      </c>
      <c r="H183" t="s">
        <v>48</v>
      </c>
      <c r="I183" t="s">
        <v>1042</v>
      </c>
      <c r="J183" t="s">
        <v>376</v>
      </c>
      <c r="K183">
        <v>50</v>
      </c>
      <c r="L183">
        <v>1</v>
      </c>
      <c r="M183">
        <v>6.8</v>
      </c>
      <c r="N183" t="s">
        <v>21</v>
      </c>
      <c r="O183">
        <v>0</v>
      </c>
      <c r="P183">
        <v>1</v>
      </c>
      <c r="R183">
        <v>6573</v>
      </c>
      <c r="S183">
        <v>6.2</v>
      </c>
      <c r="T183">
        <v>6.8</v>
      </c>
      <c r="U183">
        <v>124</v>
      </c>
      <c r="V183">
        <v>54.838709677419352</v>
      </c>
      <c r="W183" t="s">
        <v>1153</v>
      </c>
      <c r="X183" t="s">
        <v>1087</v>
      </c>
      <c r="Y183">
        <v>37</v>
      </c>
      <c r="Z183">
        <v>1</v>
      </c>
      <c r="AA183">
        <v>4.166666666666667</v>
      </c>
    </row>
    <row r="184" spans="1:27" x14ac:dyDescent="0.3">
      <c r="A184" s="15">
        <v>44483.593668981484</v>
      </c>
      <c r="B184" t="s">
        <v>12</v>
      </c>
      <c r="C184" t="s">
        <v>1030</v>
      </c>
      <c r="D184" s="2">
        <v>44450</v>
      </c>
      <c r="E184" t="s">
        <v>1032</v>
      </c>
      <c r="F184" t="s">
        <v>41</v>
      </c>
      <c r="G184" t="s">
        <v>941</v>
      </c>
      <c r="H184" t="s">
        <v>48</v>
      </c>
      <c r="I184" t="s">
        <v>11</v>
      </c>
      <c r="J184" t="s">
        <v>130</v>
      </c>
      <c r="K184">
        <v>658</v>
      </c>
      <c r="L184">
        <v>10</v>
      </c>
      <c r="M184">
        <v>51.2</v>
      </c>
      <c r="N184" t="s">
        <v>21</v>
      </c>
      <c r="O184">
        <v>0</v>
      </c>
      <c r="P184">
        <v>4</v>
      </c>
      <c r="Q184">
        <v>470</v>
      </c>
      <c r="R184">
        <v>6574</v>
      </c>
      <c r="S184">
        <v>48.692</v>
      </c>
      <c r="T184">
        <v>51.2</v>
      </c>
      <c r="U184">
        <v>74</v>
      </c>
      <c r="V184">
        <v>691.89189189189187</v>
      </c>
      <c r="W184" t="s">
        <v>1153</v>
      </c>
      <c r="X184" t="s">
        <v>1087</v>
      </c>
      <c r="Y184">
        <v>37</v>
      </c>
      <c r="Z184">
        <v>1</v>
      </c>
      <c r="AA184">
        <v>54.833333333333336</v>
      </c>
    </row>
    <row r="185" spans="1:27" x14ac:dyDescent="0.3">
      <c r="A185" s="15">
        <v>44483.594259259262</v>
      </c>
      <c r="B185" t="s">
        <v>12</v>
      </c>
      <c r="C185" t="s">
        <v>1030</v>
      </c>
      <c r="D185" s="2">
        <v>44452</v>
      </c>
      <c r="E185" t="s">
        <v>1027</v>
      </c>
      <c r="F185" t="s">
        <v>41</v>
      </c>
      <c r="G185" t="s">
        <v>941</v>
      </c>
      <c r="H185" t="s">
        <v>48</v>
      </c>
      <c r="I185" t="s">
        <v>11</v>
      </c>
      <c r="J185" t="s">
        <v>130</v>
      </c>
      <c r="K185">
        <v>1304</v>
      </c>
      <c r="L185">
        <v>10</v>
      </c>
      <c r="M185">
        <v>95.8</v>
      </c>
      <c r="N185" t="s">
        <v>21</v>
      </c>
      <c r="O185">
        <v>0</v>
      </c>
      <c r="P185">
        <v>4</v>
      </c>
      <c r="Q185">
        <v>460</v>
      </c>
      <c r="R185">
        <v>6575</v>
      </c>
      <c r="S185">
        <v>96.495999999999995</v>
      </c>
      <c r="T185">
        <v>95.8</v>
      </c>
      <c r="U185">
        <v>74</v>
      </c>
      <c r="V185">
        <v>1294.5945945945946</v>
      </c>
      <c r="W185" t="s">
        <v>1153</v>
      </c>
      <c r="X185" t="s">
        <v>1087</v>
      </c>
      <c r="Y185">
        <v>38</v>
      </c>
      <c r="Z185">
        <v>1</v>
      </c>
      <c r="AA185">
        <v>108.66666666666667</v>
      </c>
    </row>
    <row r="186" spans="1:27" x14ac:dyDescent="0.3">
      <c r="A186" s="15">
        <v>44483.596886574072</v>
      </c>
      <c r="B186" t="s">
        <v>12</v>
      </c>
      <c r="C186" t="s">
        <v>1030</v>
      </c>
      <c r="D186" s="2">
        <v>44455</v>
      </c>
      <c r="E186" t="s">
        <v>1032</v>
      </c>
      <c r="F186" t="s">
        <v>41</v>
      </c>
      <c r="G186" t="s">
        <v>941</v>
      </c>
      <c r="H186" t="s">
        <v>48</v>
      </c>
      <c r="I186" t="s">
        <v>957</v>
      </c>
      <c r="J186" t="s">
        <v>131</v>
      </c>
      <c r="K186">
        <v>500</v>
      </c>
      <c r="L186">
        <v>5</v>
      </c>
      <c r="M186">
        <v>32.5</v>
      </c>
      <c r="N186" t="s">
        <v>21</v>
      </c>
      <c r="O186">
        <v>0</v>
      </c>
      <c r="P186">
        <v>3</v>
      </c>
      <c r="R186">
        <v>6579</v>
      </c>
      <c r="S186">
        <v>30</v>
      </c>
      <c r="T186">
        <v>32.5</v>
      </c>
      <c r="U186">
        <v>60</v>
      </c>
      <c r="V186">
        <v>541.66666666666663</v>
      </c>
      <c r="W186" t="s">
        <v>1153</v>
      </c>
      <c r="X186" t="s">
        <v>1087</v>
      </c>
      <c r="Y186">
        <v>38</v>
      </c>
      <c r="Z186">
        <v>1</v>
      </c>
      <c r="AA186">
        <v>41.666666666666664</v>
      </c>
    </row>
    <row r="187" spans="1:27" x14ac:dyDescent="0.3">
      <c r="A187" s="15">
        <v>44483.601215277777</v>
      </c>
      <c r="B187" t="s">
        <v>12</v>
      </c>
      <c r="C187" t="s">
        <v>1030</v>
      </c>
      <c r="D187" s="2">
        <v>44456</v>
      </c>
      <c r="E187" t="s">
        <v>1032</v>
      </c>
      <c r="F187" t="s">
        <v>41</v>
      </c>
      <c r="G187" t="s">
        <v>941</v>
      </c>
      <c r="H187" t="s">
        <v>48</v>
      </c>
      <c r="I187" t="s">
        <v>1152</v>
      </c>
      <c r="J187" t="s">
        <v>133</v>
      </c>
      <c r="K187">
        <v>850</v>
      </c>
      <c r="L187">
        <v>8</v>
      </c>
      <c r="M187">
        <v>77.5</v>
      </c>
      <c r="N187" t="s">
        <v>21</v>
      </c>
      <c r="O187">
        <v>0</v>
      </c>
      <c r="P187">
        <v>0</v>
      </c>
      <c r="R187">
        <v>6581</v>
      </c>
      <c r="S187">
        <v>74.8</v>
      </c>
      <c r="T187">
        <v>77.5</v>
      </c>
      <c r="U187">
        <v>88</v>
      </c>
      <c r="V187">
        <v>880.68181818181813</v>
      </c>
      <c r="W187" t="s">
        <v>1153</v>
      </c>
      <c r="X187" t="s">
        <v>1087</v>
      </c>
      <c r="Y187">
        <v>38</v>
      </c>
      <c r="Z187">
        <v>1</v>
      </c>
      <c r="AA187">
        <v>70.833333333333329</v>
      </c>
    </row>
    <row r="188" spans="1:27" x14ac:dyDescent="0.3">
      <c r="A188" s="15">
        <v>44483.600787037038</v>
      </c>
      <c r="B188" t="s">
        <v>12</v>
      </c>
      <c r="C188" t="s">
        <v>1030</v>
      </c>
      <c r="D188" s="2">
        <v>44456</v>
      </c>
      <c r="E188" t="s">
        <v>1027</v>
      </c>
      <c r="F188" t="s">
        <v>41</v>
      </c>
      <c r="G188" t="s">
        <v>941</v>
      </c>
      <c r="H188" t="s">
        <v>48</v>
      </c>
      <c r="I188" t="s">
        <v>1152</v>
      </c>
      <c r="J188" t="s">
        <v>133</v>
      </c>
      <c r="K188">
        <v>1302</v>
      </c>
      <c r="L188">
        <v>9</v>
      </c>
      <c r="M188">
        <v>125.9</v>
      </c>
      <c r="N188" t="s">
        <v>21</v>
      </c>
      <c r="O188">
        <v>0</v>
      </c>
      <c r="P188">
        <v>0</v>
      </c>
      <c r="R188">
        <v>6589</v>
      </c>
      <c r="S188">
        <v>114.57599999999999</v>
      </c>
      <c r="T188">
        <v>125.9</v>
      </c>
      <c r="U188">
        <v>88</v>
      </c>
      <c r="V188">
        <v>1430.6818181818182</v>
      </c>
      <c r="W188" t="s">
        <v>1153</v>
      </c>
      <c r="X188" t="s">
        <v>1087</v>
      </c>
      <c r="Y188">
        <v>38</v>
      </c>
      <c r="Z188">
        <v>1</v>
      </c>
      <c r="AA188">
        <v>108.5</v>
      </c>
    </row>
    <row r="189" spans="1:27" x14ac:dyDescent="0.3">
      <c r="A189" s="15">
        <v>44483.602060185185</v>
      </c>
      <c r="B189" t="s">
        <v>12</v>
      </c>
      <c r="C189" t="s">
        <v>1030</v>
      </c>
      <c r="D189" s="2">
        <v>44459</v>
      </c>
      <c r="E189" t="s">
        <v>1027</v>
      </c>
      <c r="F189" t="s">
        <v>41</v>
      </c>
      <c r="G189" t="s">
        <v>941</v>
      </c>
      <c r="H189" t="s">
        <v>48</v>
      </c>
      <c r="I189" t="s">
        <v>956</v>
      </c>
      <c r="J189" t="s">
        <v>132</v>
      </c>
      <c r="K189">
        <v>573</v>
      </c>
      <c r="L189">
        <v>6</v>
      </c>
      <c r="M189">
        <v>40.6</v>
      </c>
      <c r="N189" t="s">
        <v>21</v>
      </c>
      <c r="O189">
        <v>0</v>
      </c>
      <c r="P189">
        <v>5</v>
      </c>
      <c r="R189">
        <v>6582</v>
      </c>
      <c r="S189">
        <v>34.953000000000003</v>
      </c>
      <c r="T189">
        <v>40.6</v>
      </c>
      <c r="U189">
        <v>61</v>
      </c>
      <c r="V189">
        <v>665.57377049180332</v>
      </c>
      <c r="W189" t="s">
        <v>1153</v>
      </c>
      <c r="X189" t="s">
        <v>1087</v>
      </c>
      <c r="Y189">
        <v>39</v>
      </c>
      <c r="Z189">
        <v>1</v>
      </c>
      <c r="AA189">
        <v>47.75</v>
      </c>
    </row>
    <row r="190" spans="1:27" x14ac:dyDescent="0.3">
      <c r="A190" s="15">
        <v>44483.603171296294</v>
      </c>
      <c r="B190" t="s">
        <v>12</v>
      </c>
      <c r="C190" t="s">
        <v>1030</v>
      </c>
      <c r="D190" s="2">
        <v>44460</v>
      </c>
      <c r="E190" t="s">
        <v>1027</v>
      </c>
      <c r="F190" t="s">
        <v>41</v>
      </c>
      <c r="G190" t="s">
        <v>941</v>
      </c>
      <c r="H190" t="s">
        <v>48</v>
      </c>
      <c r="I190" t="s">
        <v>956</v>
      </c>
      <c r="J190" t="s">
        <v>132</v>
      </c>
      <c r="K190">
        <v>645</v>
      </c>
      <c r="L190">
        <v>8</v>
      </c>
      <c r="M190">
        <v>37.200000000000003</v>
      </c>
      <c r="N190" t="s">
        <v>21</v>
      </c>
      <c r="O190">
        <v>0</v>
      </c>
      <c r="P190">
        <v>5</v>
      </c>
      <c r="R190">
        <v>6583</v>
      </c>
      <c r="S190">
        <v>39.344999999999999</v>
      </c>
      <c r="T190">
        <v>37.200000000000003</v>
      </c>
      <c r="U190">
        <v>61</v>
      </c>
      <c r="V190">
        <v>609.8360655737705</v>
      </c>
      <c r="W190" t="s">
        <v>1153</v>
      </c>
      <c r="X190" t="s">
        <v>1087</v>
      </c>
      <c r="Y190">
        <v>39</v>
      </c>
      <c r="Z190">
        <v>1</v>
      </c>
      <c r="AA190">
        <v>53.75</v>
      </c>
    </row>
    <row r="191" spans="1:27" x14ac:dyDescent="0.3">
      <c r="A191" s="15">
        <v>44483.611307870371</v>
      </c>
      <c r="B191" t="s">
        <v>12</v>
      </c>
      <c r="C191" t="s">
        <v>1030</v>
      </c>
      <c r="D191" s="2">
        <v>44461</v>
      </c>
      <c r="E191" t="s">
        <v>1027</v>
      </c>
      <c r="F191" t="s">
        <v>41</v>
      </c>
      <c r="G191" t="s">
        <v>941</v>
      </c>
      <c r="H191" t="s">
        <v>48</v>
      </c>
      <c r="I191" t="s">
        <v>958</v>
      </c>
      <c r="J191" t="s">
        <v>134</v>
      </c>
      <c r="K191">
        <v>885</v>
      </c>
      <c r="L191">
        <v>8</v>
      </c>
      <c r="M191">
        <v>52.4</v>
      </c>
      <c r="N191" t="s">
        <v>21</v>
      </c>
      <c r="O191">
        <v>0</v>
      </c>
      <c r="P191">
        <v>5</v>
      </c>
      <c r="R191">
        <v>6584</v>
      </c>
      <c r="S191">
        <v>62.835000000000001</v>
      </c>
      <c r="T191">
        <v>52.4</v>
      </c>
      <c r="U191">
        <v>71</v>
      </c>
      <c r="V191">
        <v>738.02816901408448</v>
      </c>
      <c r="W191" t="s">
        <v>1153</v>
      </c>
      <c r="X191" t="s">
        <v>1087</v>
      </c>
      <c r="Y191">
        <v>39</v>
      </c>
      <c r="Z191">
        <v>1</v>
      </c>
      <c r="AA191">
        <v>73.75</v>
      </c>
    </row>
    <row r="192" spans="1:27" x14ac:dyDescent="0.3">
      <c r="A192" s="15">
        <v>44483.635694444441</v>
      </c>
      <c r="B192" t="s">
        <v>12</v>
      </c>
      <c r="C192" t="s">
        <v>1030</v>
      </c>
      <c r="D192" s="2">
        <v>44462</v>
      </c>
      <c r="E192" t="s">
        <v>1034</v>
      </c>
      <c r="F192" t="s">
        <v>41</v>
      </c>
      <c r="G192" t="s">
        <v>941</v>
      </c>
      <c r="H192" t="s">
        <v>48</v>
      </c>
      <c r="I192" t="s">
        <v>959</v>
      </c>
      <c r="J192" t="s">
        <v>135</v>
      </c>
      <c r="K192">
        <v>776</v>
      </c>
      <c r="L192">
        <v>7</v>
      </c>
      <c r="M192">
        <v>47.5</v>
      </c>
      <c r="N192" t="s">
        <v>21</v>
      </c>
      <c r="O192">
        <v>0</v>
      </c>
      <c r="P192">
        <v>4</v>
      </c>
      <c r="R192">
        <v>6585</v>
      </c>
      <c r="S192">
        <v>46.56</v>
      </c>
      <c r="T192">
        <v>47.5</v>
      </c>
      <c r="U192">
        <v>60</v>
      </c>
      <c r="V192">
        <v>791.66666666666663</v>
      </c>
      <c r="W192" t="s">
        <v>1153</v>
      </c>
      <c r="X192" t="s">
        <v>1087</v>
      </c>
      <c r="Y192">
        <v>39</v>
      </c>
      <c r="Z192">
        <v>1</v>
      </c>
      <c r="AA192">
        <v>64.666666666666671</v>
      </c>
    </row>
    <row r="193" spans="1:27" x14ac:dyDescent="0.3">
      <c r="A193" s="15">
        <v>44483.635185185187</v>
      </c>
      <c r="B193" t="s">
        <v>12</v>
      </c>
      <c r="C193" t="s">
        <v>1030</v>
      </c>
      <c r="D193" s="2">
        <v>44462</v>
      </c>
      <c r="E193" t="s">
        <v>1034</v>
      </c>
      <c r="F193" t="s">
        <v>41</v>
      </c>
      <c r="G193" t="s">
        <v>941</v>
      </c>
      <c r="H193" t="s">
        <v>48</v>
      </c>
      <c r="I193" t="s">
        <v>958</v>
      </c>
      <c r="J193" t="s">
        <v>134</v>
      </c>
      <c r="K193">
        <v>150</v>
      </c>
      <c r="L193">
        <v>2</v>
      </c>
      <c r="M193">
        <v>11.8</v>
      </c>
      <c r="N193" t="s">
        <v>21</v>
      </c>
      <c r="O193">
        <v>0</v>
      </c>
      <c r="P193">
        <v>5</v>
      </c>
      <c r="R193">
        <v>6585</v>
      </c>
      <c r="S193">
        <v>10.65</v>
      </c>
      <c r="T193">
        <v>11.8</v>
      </c>
      <c r="U193">
        <v>71</v>
      </c>
      <c r="V193">
        <v>166.19718309859155</v>
      </c>
      <c r="W193" t="s">
        <v>1153</v>
      </c>
      <c r="X193" t="s">
        <v>1087</v>
      </c>
      <c r="Y193">
        <v>39</v>
      </c>
      <c r="Z193">
        <v>1</v>
      </c>
      <c r="AA193">
        <v>12.5</v>
      </c>
    </row>
    <row r="194" spans="1:27" x14ac:dyDescent="0.3">
      <c r="A194" s="15">
        <v>44483.636805555558</v>
      </c>
      <c r="B194" t="s">
        <v>12</v>
      </c>
      <c r="C194" t="s">
        <v>1030</v>
      </c>
      <c r="D194" s="2">
        <v>44463</v>
      </c>
      <c r="E194" t="s">
        <v>1027</v>
      </c>
      <c r="F194" t="s">
        <v>41</v>
      </c>
      <c r="G194" t="s">
        <v>941</v>
      </c>
      <c r="H194" t="s">
        <v>48</v>
      </c>
      <c r="I194" t="s">
        <v>956</v>
      </c>
      <c r="J194" t="s">
        <v>132</v>
      </c>
      <c r="K194">
        <v>882</v>
      </c>
      <c r="L194">
        <v>7</v>
      </c>
      <c r="M194">
        <v>63.1</v>
      </c>
      <c r="N194" t="s">
        <v>21</v>
      </c>
      <c r="O194">
        <v>0</v>
      </c>
      <c r="P194">
        <v>5</v>
      </c>
      <c r="R194">
        <v>6587</v>
      </c>
      <c r="S194">
        <v>53.802</v>
      </c>
      <c r="T194">
        <v>63.1</v>
      </c>
      <c r="U194">
        <v>61</v>
      </c>
      <c r="V194">
        <v>1034.4262295081967</v>
      </c>
      <c r="W194" t="s">
        <v>1153</v>
      </c>
      <c r="X194" t="s">
        <v>1087</v>
      </c>
      <c r="Y194">
        <v>39</v>
      </c>
      <c r="Z194">
        <v>1</v>
      </c>
      <c r="AA194">
        <v>73.5</v>
      </c>
    </row>
    <row r="195" spans="1:27" x14ac:dyDescent="0.3">
      <c r="A195" s="15">
        <v>44483.636134259257</v>
      </c>
      <c r="B195" t="s">
        <v>12</v>
      </c>
      <c r="C195" t="s">
        <v>1030</v>
      </c>
      <c r="D195" s="2">
        <v>44463</v>
      </c>
      <c r="E195" t="s">
        <v>1034</v>
      </c>
      <c r="F195" t="s">
        <v>41</v>
      </c>
      <c r="G195" t="s">
        <v>941</v>
      </c>
      <c r="H195" t="s">
        <v>48</v>
      </c>
      <c r="I195" t="s">
        <v>959</v>
      </c>
      <c r="J195" t="s">
        <v>135</v>
      </c>
      <c r="K195">
        <v>1040</v>
      </c>
      <c r="L195">
        <v>10</v>
      </c>
      <c r="M195">
        <v>63</v>
      </c>
      <c r="N195" t="s">
        <v>21</v>
      </c>
      <c r="O195">
        <v>0</v>
      </c>
      <c r="P195">
        <v>5</v>
      </c>
      <c r="R195">
        <v>6586</v>
      </c>
      <c r="S195">
        <v>62.4</v>
      </c>
      <c r="T195">
        <v>63</v>
      </c>
      <c r="U195">
        <v>60</v>
      </c>
      <c r="V195">
        <v>1050</v>
      </c>
      <c r="W195" t="s">
        <v>1153</v>
      </c>
      <c r="X195" t="s">
        <v>1087</v>
      </c>
      <c r="Y195">
        <v>39</v>
      </c>
      <c r="Z195">
        <v>1</v>
      </c>
      <c r="AA195">
        <v>86.666666666666671</v>
      </c>
    </row>
    <row r="196" spans="1:27" x14ac:dyDescent="0.3">
      <c r="A196" s="15">
        <v>44483.637418981481</v>
      </c>
      <c r="B196" t="s">
        <v>12</v>
      </c>
      <c r="C196" t="s">
        <v>1030</v>
      </c>
      <c r="D196" s="2">
        <v>44464</v>
      </c>
      <c r="E196" t="s">
        <v>1034</v>
      </c>
      <c r="F196" t="s">
        <v>41</v>
      </c>
      <c r="G196" t="s">
        <v>941</v>
      </c>
      <c r="H196" t="s">
        <v>48</v>
      </c>
      <c r="I196" t="s">
        <v>956</v>
      </c>
      <c r="J196" t="s">
        <v>132</v>
      </c>
      <c r="K196">
        <v>1154</v>
      </c>
      <c r="L196">
        <v>8</v>
      </c>
      <c r="M196">
        <v>76</v>
      </c>
      <c r="N196" t="s">
        <v>21</v>
      </c>
      <c r="O196">
        <v>0</v>
      </c>
      <c r="P196">
        <v>9</v>
      </c>
      <c r="R196">
        <v>6588</v>
      </c>
      <c r="S196">
        <v>70.394000000000005</v>
      </c>
      <c r="T196">
        <v>76</v>
      </c>
      <c r="U196">
        <v>61</v>
      </c>
      <c r="V196">
        <v>1245.9016393442623</v>
      </c>
      <c r="W196" t="s">
        <v>1153</v>
      </c>
      <c r="X196" t="s">
        <v>1087</v>
      </c>
      <c r="Y196">
        <v>39</v>
      </c>
      <c r="Z196">
        <v>1</v>
      </c>
      <c r="AA196">
        <v>96.166666666666671</v>
      </c>
    </row>
    <row r="197" spans="1:27" x14ac:dyDescent="0.3">
      <c r="A197" s="15">
        <v>44483.637592592589</v>
      </c>
      <c r="B197" t="s">
        <v>12</v>
      </c>
      <c r="C197" t="s">
        <v>1030</v>
      </c>
      <c r="D197" s="2">
        <v>44465</v>
      </c>
      <c r="E197" t="s">
        <v>1034</v>
      </c>
      <c r="F197" t="s">
        <v>41</v>
      </c>
      <c r="G197" t="s">
        <v>941</v>
      </c>
      <c r="H197" t="s">
        <v>48</v>
      </c>
      <c r="I197" t="s">
        <v>1152</v>
      </c>
      <c r="J197" t="s">
        <v>133</v>
      </c>
      <c r="K197">
        <v>100</v>
      </c>
      <c r="L197">
        <v>8</v>
      </c>
      <c r="M197">
        <v>9.9</v>
      </c>
      <c r="N197" t="s">
        <v>21</v>
      </c>
      <c r="O197">
        <v>0</v>
      </c>
      <c r="P197">
        <v>1</v>
      </c>
      <c r="R197">
        <v>6588</v>
      </c>
      <c r="S197">
        <v>8.8000000000000007</v>
      </c>
      <c r="T197">
        <v>9.9</v>
      </c>
      <c r="U197">
        <v>88</v>
      </c>
      <c r="V197">
        <v>112.5</v>
      </c>
      <c r="W197" t="s">
        <v>1153</v>
      </c>
      <c r="X197" t="s">
        <v>1087</v>
      </c>
      <c r="Y197">
        <v>39</v>
      </c>
      <c r="Z197">
        <v>1</v>
      </c>
      <c r="AA197">
        <v>8.3333333333333339</v>
      </c>
    </row>
    <row r="198" spans="1:27" x14ac:dyDescent="0.3">
      <c r="A198" s="15">
        <v>44483.638958333337</v>
      </c>
      <c r="B198" t="s">
        <v>12</v>
      </c>
      <c r="C198" t="s">
        <v>1030</v>
      </c>
      <c r="D198" s="2">
        <v>44466</v>
      </c>
      <c r="E198" t="s">
        <v>1034</v>
      </c>
      <c r="F198" t="s">
        <v>41</v>
      </c>
      <c r="G198" t="s">
        <v>941</v>
      </c>
      <c r="H198" t="s">
        <v>48</v>
      </c>
      <c r="I198" t="s">
        <v>1152</v>
      </c>
      <c r="J198" t="s">
        <v>133</v>
      </c>
      <c r="K198">
        <v>1135</v>
      </c>
      <c r="L198">
        <v>8</v>
      </c>
      <c r="M198">
        <v>87.2</v>
      </c>
      <c r="N198" t="s">
        <v>21</v>
      </c>
      <c r="O198">
        <v>0</v>
      </c>
      <c r="P198">
        <v>11</v>
      </c>
      <c r="R198">
        <v>6589</v>
      </c>
      <c r="S198">
        <v>99.88</v>
      </c>
      <c r="T198">
        <v>87.2</v>
      </c>
      <c r="U198">
        <v>88</v>
      </c>
      <c r="V198">
        <v>990.90909090909088</v>
      </c>
      <c r="W198" t="s">
        <v>1153</v>
      </c>
      <c r="X198" t="s">
        <v>1087</v>
      </c>
      <c r="Y198">
        <v>40</v>
      </c>
      <c r="Z198">
        <v>1</v>
      </c>
      <c r="AA198">
        <v>94.583333333333329</v>
      </c>
    </row>
    <row r="199" spans="1:27" x14ac:dyDescent="0.3">
      <c r="A199" s="15">
        <v>44483.63962962963</v>
      </c>
      <c r="B199" t="s">
        <v>12</v>
      </c>
      <c r="C199" t="s">
        <v>1030</v>
      </c>
      <c r="D199" s="2">
        <v>44468</v>
      </c>
      <c r="E199" t="s">
        <v>1032</v>
      </c>
      <c r="F199" t="s">
        <v>41</v>
      </c>
      <c r="G199" t="s">
        <v>941</v>
      </c>
      <c r="H199" t="s">
        <v>48</v>
      </c>
      <c r="I199" t="s">
        <v>1152</v>
      </c>
      <c r="J199" t="s">
        <v>133</v>
      </c>
      <c r="K199">
        <v>1280</v>
      </c>
      <c r="L199">
        <v>10</v>
      </c>
      <c r="M199">
        <v>97.9</v>
      </c>
      <c r="N199" t="s">
        <v>21</v>
      </c>
      <c r="O199">
        <v>0</v>
      </c>
      <c r="P199">
        <v>13</v>
      </c>
      <c r="R199">
        <v>6590</v>
      </c>
      <c r="S199">
        <v>112.64</v>
      </c>
      <c r="T199">
        <v>97.9</v>
      </c>
      <c r="U199">
        <v>88</v>
      </c>
      <c r="V199">
        <v>1112.5</v>
      </c>
      <c r="W199" t="s">
        <v>1153</v>
      </c>
      <c r="X199" t="s">
        <v>1087</v>
      </c>
      <c r="Y199">
        <v>40</v>
      </c>
      <c r="Z199">
        <v>1</v>
      </c>
      <c r="AA199">
        <v>106.66666666666667</v>
      </c>
    </row>
    <row r="200" spans="1:27" x14ac:dyDescent="0.3">
      <c r="A200" s="15">
        <v>44483.640717592592</v>
      </c>
      <c r="B200" t="s">
        <v>12</v>
      </c>
      <c r="C200" t="s">
        <v>1030</v>
      </c>
      <c r="D200" s="2">
        <v>44469</v>
      </c>
      <c r="E200" t="s">
        <v>1034</v>
      </c>
      <c r="F200" t="s">
        <v>41</v>
      </c>
      <c r="G200" t="s">
        <v>941</v>
      </c>
      <c r="H200" t="s">
        <v>48</v>
      </c>
      <c r="I200" t="s">
        <v>11</v>
      </c>
      <c r="J200" t="s">
        <v>130</v>
      </c>
      <c r="K200">
        <v>635</v>
      </c>
      <c r="L200">
        <v>6</v>
      </c>
      <c r="M200">
        <v>50.8</v>
      </c>
      <c r="N200" t="s">
        <v>21</v>
      </c>
      <c r="O200">
        <v>0</v>
      </c>
      <c r="P200">
        <v>15</v>
      </c>
      <c r="Q200">
        <v>470</v>
      </c>
      <c r="R200">
        <v>6592</v>
      </c>
      <c r="S200">
        <v>46.99</v>
      </c>
      <c r="T200">
        <v>50.8</v>
      </c>
      <c r="U200">
        <v>74</v>
      </c>
      <c r="V200">
        <v>686.48648648648646</v>
      </c>
      <c r="W200" t="s">
        <v>1153</v>
      </c>
      <c r="X200" t="s">
        <v>1087</v>
      </c>
      <c r="Y200">
        <v>40</v>
      </c>
      <c r="Z200">
        <v>1</v>
      </c>
      <c r="AA200">
        <v>52.916666666666664</v>
      </c>
    </row>
    <row r="201" spans="1:27" x14ac:dyDescent="0.3">
      <c r="A201" s="15">
        <v>44483.729907407411</v>
      </c>
      <c r="B201" t="s">
        <v>13</v>
      </c>
      <c r="C201" t="s">
        <v>1060</v>
      </c>
      <c r="D201" s="2">
        <v>44452</v>
      </c>
      <c r="E201" t="s">
        <v>953</v>
      </c>
      <c r="F201" t="s">
        <v>41</v>
      </c>
      <c r="G201" t="s">
        <v>940</v>
      </c>
      <c r="H201" t="s">
        <v>48</v>
      </c>
      <c r="I201" t="s">
        <v>1023</v>
      </c>
      <c r="J201" t="s">
        <v>149</v>
      </c>
      <c r="K201">
        <v>178</v>
      </c>
      <c r="L201">
        <v>3</v>
      </c>
      <c r="M201">
        <v>30.62</v>
      </c>
      <c r="N201" t="s">
        <v>23</v>
      </c>
      <c r="O201">
        <v>0</v>
      </c>
      <c r="P201">
        <v>6</v>
      </c>
      <c r="Q201">
        <v>443</v>
      </c>
      <c r="R201">
        <v>6642</v>
      </c>
      <c r="S201">
        <v>15.308</v>
      </c>
      <c r="T201">
        <v>30.62</v>
      </c>
      <c r="U201">
        <v>86</v>
      </c>
      <c r="V201">
        <v>356.04651162790697</v>
      </c>
      <c r="W201" t="s">
        <v>1153</v>
      </c>
      <c r="X201" t="s">
        <v>1087</v>
      </c>
      <c r="Y201">
        <v>38</v>
      </c>
      <c r="Z201">
        <v>2</v>
      </c>
      <c r="AA201">
        <v>29.666666666666668</v>
      </c>
    </row>
    <row r="202" spans="1:27" x14ac:dyDescent="0.3">
      <c r="A202" s="15">
        <v>44483.729432870372</v>
      </c>
      <c r="B202" t="s">
        <v>13</v>
      </c>
      <c r="C202" t="s">
        <v>1060</v>
      </c>
      <c r="D202" s="2">
        <v>44452</v>
      </c>
      <c r="E202" t="s">
        <v>953</v>
      </c>
      <c r="F202" t="s">
        <v>41</v>
      </c>
      <c r="G202" t="s">
        <v>940</v>
      </c>
      <c r="H202" t="s">
        <v>48</v>
      </c>
      <c r="I202" t="s">
        <v>1023</v>
      </c>
      <c r="J202" t="s">
        <v>151</v>
      </c>
      <c r="K202">
        <v>900</v>
      </c>
      <c r="L202">
        <v>9</v>
      </c>
      <c r="M202">
        <v>154.80000000000001</v>
      </c>
      <c r="N202" t="s">
        <v>23</v>
      </c>
      <c r="O202">
        <v>0</v>
      </c>
      <c r="P202">
        <v>21</v>
      </c>
      <c r="Q202">
        <v>443</v>
      </c>
      <c r="R202">
        <v>6642</v>
      </c>
      <c r="S202">
        <v>77.400000000000006</v>
      </c>
      <c r="T202">
        <v>154.80000000000001</v>
      </c>
      <c r="U202">
        <v>86</v>
      </c>
      <c r="V202">
        <v>1800</v>
      </c>
      <c r="W202" t="s">
        <v>1153</v>
      </c>
      <c r="X202" t="s">
        <v>1087</v>
      </c>
      <c r="Y202">
        <v>38</v>
      </c>
      <c r="Z202">
        <v>2</v>
      </c>
      <c r="AA202">
        <v>150</v>
      </c>
    </row>
    <row r="203" spans="1:27" x14ac:dyDescent="0.3">
      <c r="A203" s="15">
        <v>44484.77548611111</v>
      </c>
      <c r="B203" t="s">
        <v>13</v>
      </c>
      <c r="C203" t="s">
        <v>952</v>
      </c>
      <c r="D203" s="2">
        <v>44445</v>
      </c>
      <c r="E203" t="s">
        <v>1027</v>
      </c>
      <c r="F203" t="s">
        <v>41</v>
      </c>
      <c r="G203" t="s">
        <v>943</v>
      </c>
      <c r="H203" t="s">
        <v>48</v>
      </c>
      <c r="I203" t="s">
        <v>960</v>
      </c>
      <c r="J203" t="s">
        <v>433</v>
      </c>
      <c r="K203">
        <v>92</v>
      </c>
      <c r="L203">
        <v>2</v>
      </c>
      <c r="M203">
        <v>11.4</v>
      </c>
      <c r="N203" t="s">
        <v>23</v>
      </c>
      <c r="O203">
        <v>0</v>
      </c>
      <c r="P203">
        <v>0</v>
      </c>
      <c r="Q203">
        <v>456</v>
      </c>
      <c r="R203">
        <v>6847</v>
      </c>
      <c r="S203">
        <v>1.38</v>
      </c>
      <c r="T203">
        <v>11.4</v>
      </c>
      <c r="U203">
        <v>15</v>
      </c>
      <c r="V203">
        <v>760</v>
      </c>
      <c r="W203" t="s">
        <v>1153</v>
      </c>
      <c r="X203" t="s">
        <v>1087</v>
      </c>
      <c r="Y203">
        <v>37</v>
      </c>
      <c r="Z203">
        <v>8</v>
      </c>
      <c r="AA203">
        <v>61.333333333333336</v>
      </c>
    </row>
    <row r="204" spans="1:27" x14ac:dyDescent="0.3">
      <c r="A204" s="15">
        <v>44484.774456018517</v>
      </c>
      <c r="B204" t="s">
        <v>13</v>
      </c>
      <c r="C204" t="s">
        <v>952</v>
      </c>
      <c r="D204" s="2">
        <v>44445</v>
      </c>
      <c r="E204" t="s">
        <v>1027</v>
      </c>
      <c r="F204" t="s">
        <v>41</v>
      </c>
      <c r="G204" t="s">
        <v>943</v>
      </c>
      <c r="H204" t="s">
        <v>48</v>
      </c>
      <c r="I204" t="s">
        <v>960</v>
      </c>
      <c r="J204" t="s">
        <v>435</v>
      </c>
      <c r="K204">
        <v>471</v>
      </c>
      <c r="L204">
        <v>6</v>
      </c>
      <c r="M204">
        <v>58.2</v>
      </c>
      <c r="N204" t="s">
        <v>23</v>
      </c>
      <c r="O204">
        <v>0</v>
      </c>
      <c r="P204">
        <v>0</v>
      </c>
      <c r="Q204">
        <v>456</v>
      </c>
      <c r="R204">
        <v>6847</v>
      </c>
      <c r="S204">
        <v>7.0650000000000004</v>
      </c>
      <c r="T204">
        <v>58.2</v>
      </c>
      <c r="U204">
        <v>15</v>
      </c>
      <c r="V204">
        <v>3880</v>
      </c>
      <c r="W204" t="s">
        <v>1153</v>
      </c>
      <c r="X204" t="s">
        <v>1087</v>
      </c>
      <c r="Y204">
        <v>37</v>
      </c>
      <c r="Z204">
        <v>8</v>
      </c>
      <c r="AA204">
        <v>314</v>
      </c>
    </row>
    <row r="205" spans="1:27" x14ac:dyDescent="0.3">
      <c r="A205" s="15">
        <v>44484.77380787037</v>
      </c>
      <c r="B205" t="s">
        <v>13</v>
      </c>
      <c r="C205" t="s">
        <v>952</v>
      </c>
      <c r="D205" s="2">
        <v>44445</v>
      </c>
      <c r="E205" t="s">
        <v>1027</v>
      </c>
      <c r="F205" t="s">
        <v>41</v>
      </c>
      <c r="G205" t="s">
        <v>943</v>
      </c>
      <c r="H205" t="s">
        <v>48</v>
      </c>
      <c r="I205" t="s">
        <v>960</v>
      </c>
      <c r="J205" t="s">
        <v>432</v>
      </c>
      <c r="K205">
        <v>322</v>
      </c>
      <c r="L205">
        <v>4</v>
      </c>
      <c r="M205">
        <v>40.4</v>
      </c>
      <c r="N205" t="s">
        <v>23</v>
      </c>
      <c r="O205">
        <v>0</v>
      </c>
      <c r="P205">
        <v>0</v>
      </c>
      <c r="Q205">
        <v>456</v>
      </c>
      <c r="R205">
        <v>6847</v>
      </c>
      <c r="S205">
        <v>4.83</v>
      </c>
      <c r="T205">
        <v>40.4</v>
      </c>
      <c r="U205">
        <v>15</v>
      </c>
      <c r="V205">
        <v>2693.3333333333335</v>
      </c>
      <c r="W205" t="s">
        <v>1153</v>
      </c>
      <c r="X205" t="s">
        <v>1087</v>
      </c>
      <c r="Y205">
        <v>37</v>
      </c>
      <c r="Z205">
        <v>8</v>
      </c>
      <c r="AA205">
        <v>214.66666666666666</v>
      </c>
    </row>
    <row r="206" spans="1:27" x14ac:dyDescent="0.3">
      <c r="A206" s="15">
        <v>44484.776712962965</v>
      </c>
      <c r="B206" t="s">
        <v>13</v>
      </c>
      <c r="C206" t="s">
        <v>952</v>
      </c>
      <c r="D206" s="2">
        <v>44446</v>
      </c>
      <c r="E206" t="s">
        <v>953</v>
      </c>
      <c r="F206" t="s">
        <v>41</v>
      </c>
      <c r="G206" t="s">
        <v>943</v>
      </c>
      <c r="H206" t="s">
        <v>48</v>
      </c>
      <c r="I206" t="s">
        <v>960</v>
      </c>
      <c r="J206" t="s">
        <v>432</v>
      </c>
      <c r="K206">
        <v>348</v>
      </c>
      <c r="L206">
        <v>5</v>
      </c>
      <c r="M206">
        <v>44.4</v>
      </c>
      <c r="N206" t="s">
        <v>23</v>
      </c>
      <c r="O206">
        <v>0</v>
      </c>
      <c r="P206">
        <v>0</v>
      </c>
      <c r="Q206">
        <v>456</v>
      </c>
      <c r="R206">
        <v>6849</v>
      </c>
      <c r="S206">
        <v>5.22</v>
      </c>
      <c r="T206">
        <v>44.4</v>
      </c>
      <c r="U206">
        <v>15</v>
      </c>
      <c r="V206">
        <v>2960</v>
      </c>
      <c r="W206" t="s">
        <v>1153</v>
      </c>
      <c r="X206" t="s">
        <v>1087</v>
      </c>
      <c r="Y206">
        <v>37</v>
      </c>
      <c r="Z206">
        <v>8</v>
      </c>
      <c r="AA206">
        <v>232</v>
      </c>
    </row>
    <row r="207" spans="1:27" x14ac:dyDescent="0.3">
      <c r="A207" s="15">
        <v>44484.776412037034</v>
      </c>
      <c r="B207" t="s">
        <v>13</v>
      </c>
      <c r="C207" t="s">
        <v>952</v>
      </c>
      <c r="D207" s="2">
        <v>44446</v>
      </c>
      <c r="E207" t="s">
        <v>1034</v>
      </c>
      <c r="F207" t="s">
        <v>41</v>
      </c>
      <c r="G207" t="s">
        <v>943</v>
      </c>
      <c r="H207" t="s">
        <v>48</v>
      </c>
      <c r="I207" t="s">
        <v>960</v>
      </c>
      <c r="J207" t="s">
        <v>433</v>
      </c>
      <c r="K207">
        <v>535</v>
      </c>
      <c r="L207">
        <v>6</v>
      </c>
      <c r="M207">
        <v>66.5</v>
      </c>
      <c r="N207" t="s">
        <v>23</v>
      </c>
      <c r="O207">
        <v>0</v>
      </c>
      <c r="P207">
        <v>0</v>
      </c>
      <c r="Q207">
        <v>456</v>
      </c>
      <c r="R207">
        <v>6849</v>
      </c>
      <c r="S207">
        <v>8.0250000000000004</v>
      </c>
      <c r="T207">
        <v>66.5</v>
      </c>
      <c r="U207">
        <v>15</v>
      </c>
      <c r="V207">
        <v>4433.333333333333</v>
      </c>
      <c r="W207" t="s">
        <v>1153</v>
      </c>
      <c r="X207" t="s">
        <v>1087</v>
      </c>
      <c r="Y207">
        <v>37</v>
      </c>
      <c r="Z207">
        <v>8</v>
      </c>
      <c r="AA207">
        <v>356.66666666666669</v>
      </c>
    </row>
    <row r="208" spans="1:27" x14ac:dyDescent="0.3">
      <c r="A208" s="15">
        <v>44484.778344907405</v>
      </c>
      <c r="B208" t="s">
        <v>13</v>
      </c>
      <c r="C208" t="s">
        <v>952</v>
      </c>
      <c r="D208" s="2">
        <v>44447</v>
      </c>
      <c r="E208" t="s">
        <v>1027</v>
      </c>
      <c r="F208" t="s">
        <v>41</v>
      </c>
      <c r="G208" t="s">
        <v>943</v>
      </c>
      <c r="H208" t="s">
        <v>48</v>
      </c>
      <c r="I208" t="s">
        <v>960</v>
      </c>
      <c r="J208" t="s">
        <v>1154</v>
      </c>
      <c r="K208">
        <v>750</v>
      </c>
      <c r="L208">
        <v>10</v>
      </c>
      <c r="M208">
        <v>93.7</v>
      </c>
      <c r="N208" t="s">
        <v>23</v>
      </c>
      <c r="O208">
        <v>0</v>
      </c>
      <c r="P208">
        <v>0</v>
      </c>
      <c r="Q208">
        <v>456</v>
      </c>
      <c r="R208">
        <v>6850</v>
      </c>
      <c r="S208">
        <v>11.25</v>
      </c>
      <c r="T208">
        <v>93.7</v>
      </c>
      <c r="U208">
        <v>15</v>
      </c>
      <c r="V208">
        <v>6246.666666666667</v>
      </c>
      <c r="W208" t="s">
        <v>1153</v>
      </c>
      <c r="X208" t="s">
        <v>1087</v>
      </c>
      <c r="Y208">
        <v>37</v>
      </c>
      <c r="Z208">
        <v>8</v>
      </c>
      <c r="AA208">
        <v>500</v>
      </c>
    </row>
    <row r="209" spans="1:27" x14ac:dyDescent="0.3">
      <c r="A209" s="15">
        <v>44484.777974537035</v>
      </c>
      <c r="B209" t="s">
        <v>13</v>
      </c>
      <c r="C209" t="s">
        <v>952</v>
      </c>
      <c r="D209" s="2">
        <v>44447</v>
      </c>
      <c r="E209" t="s">
        <v>1027</v>
      </c>
      <c r="F209" t="s">
        <v>41</v>
      </c>
      <c r="G209" t="s">
        <v>943</v>
      </c>
      <c r="H209" t="s">
        <v>48</v>
      </c>
      <c r="I209" t="s">
        <v>960</v>
      </c>
      <c r="J209" t="s">
        <v>432</v>
      </c>
      <c r="K209">
        <v>245</v>
      </c>
      <c r="L209">
        <v>2</v>
      </c>
      <c r="M209">
        <v>30.6</v>
      </c>
      <c r="N209" t="s">
        <v>23</v>
      </c>
      <c r="O209">
        <v>0</v>
      </c>
      <c r="P209">
        <v>0</v>
      </c>
      <c r="Q209">
        <v>456</v>
      </c>
      <c r="R209">
        <v>6850</v>
      </c>
      <c r="S209">
        <v>3.6749999999999998</v>
      </c>
      <c r="T209">
        <v>30.6</v>
      </c>
      <c r="U209">
        <v>15</v>
      </c>
      <c r="V209">
        <v>2040</v>
      </c>
      <c r="W209" t="s">
        <v>1153</v>
      </c>
      <c r="X209" t="s">
        <v>1087</v>
      </c>
      <c r="Y209">
        <v>37</v>
      </c>
      <c r="Z209">
        <v>8</v>
      </c>
      <c r="AA209">
        <v>163.33333333333334</v>
      </c>
    </row>
    <row r="210" spans="1:27" x14ac:dyDescent="0.3">
      <c r="A210" s="15">
        <v>44484.787199074075</v>
      </c>
      <c r="B210" t="s">
        <v>13</v>
      </c>
      <c r="C210" t="s">
        <v>952</v>
      </c>
      <c r="D210" s="2">
        <v>44456</v>
      </c>
      <c r="E210" t="s">
        <v>953</v>
      </c>
      <c r="F210" t="s">
        <v>41</v>
      </c>
      <c r="G210" t="s">
        <v>950</v>
      </c>
      <c r="H210" t="s">
        <v>943</v>
      </c>
      <c r="I210" t="s">
        <v>1161</v>
      </c>
      <c r="J210" t="s">
        <v>1159</v>
      </c>
      <c r="K210">
        <v>379</v>
      </c>
      <c r="L210">
        <v>4</v>
      </c>
      <c r="M210">
        <v>18.2</v>
      </c>
      <c r="N210" t="s">
        <v>23</v>
      </c>
      <c r="O210">
        <v>0</v>
      </c>
      <c r="P210">
        <v>0</v>
      </c>
      <c r="Q210">
        <v>464</v>
      </c>
      <c r="R210">
        <v>6858</v>
      </c>
      <c r="S210">
        <v>9.0960000000000001</v>
      </c>
      <c r="T210">
        <v>18.2</v>
      </c>
      <c r="U210">
        <v>24</v>
      </c>
      <c r="V210">
        <v>758.33333333333337</v>
      </c>
      <c r="W210" t="s">
        <v>1153</v>
      </c>
      <c r="X210" t="s">
        <v>1087</v>
      </c>
      <c r="Y210">
        <v>38</v>
      </c>
      <c r="Z210">
        <v>2</v>
      </c>
      <c r="AA210">
        <v>63.166666666666664</v>
      </c>
    </row>
    <row r="211" spans="1:27" x14ac:dyDescent="0.3">
      <c r="A211" s="15">
        <v>44484.787002314813</v>
      </c>
      <c r="B211" t="s">
        <v>13</v>
      </c>
      <c r="C211" t="s">
        <v>952</v>
      </c>
      <c r="D211" s="2">
        <v>44456</v>
      </c>
      <c r="E211" t="s">
        <v>953</v>
      </c>
      <c r="F211" t="s">
        <v>41</v>
      </c>
      <c r="G211" t="s">
        <v>950</v>
      </c>
      <c r="H211" t="s">
        <v>943</v>
      </c>
      <c r="I211" t="s">
        <v>1161</v>
      </c>
      <c r="J211" t="s">
        <v>1158</v>
      </c>
      <c r="K211">
        <v>691</v>
      </c>
      <c r="L211">
        <v>7</v>
      </c>
      <c r="M211">
        <v>33.200000000000003</v>
      </c>
      <c r="N211" t="s">
        <v>23</v>
      </c>
      <c r="O211">
        <v>0</v>
      </c>
      <c r="P211">
        <v>0</v>
      </c>
      <c r="Q211">
        <v>464</v>
      </c>
      <c r="R211">
        <v>6858</v>
      </c>
      <c r="S211">
        <v>16.584</v>
      </c>
      <c r="T211">
        <v>33.200000000000003</v>
      </c>
      <c r="U211">
        <v>24</v>
      </c>
      <c r="V211">
        <v>1383.3333333333333</v>
      </c>
      <c r="W211" t="s">
        <v>1153</v>
      </c>
      <c r="X211" t="s">
        <v>1087</v>
      </c>
      <c r="Y211">
        <v>38</v>
      </c>
      <c r="Z211">
        <v>2</v>
      </c>
      <c r="AA211">
        <v>115.16666666666667</v>
      </c>
    </row>
    <row r="212" spans="1:27" x14ac:dyDescent="0.3">
      <c r="A212" s="15">
        <v>44484.78670138889</v>
      </c>
      <c r="B212" t="s">
        <v>13</v>
      </c>
      <c r="C212" t="s">
        <v>952</v>
      </c>
      <c r="D212" s="2">
        <v>44456</v>
      </c>
      <c r="E212" t="s">
        <v>953</v>
      </c>
      <c r="F212" t="s">
        <v>41</v>
      </c>
      <c r="G212" t="s">
        <v>950</v>
      </c>
      <c r="H212" t="s">
        <v>943</v>
      </c>
      <c r="I212" t="s">
        <v>1161</v>
      </c>
      <c r="J212" t="s">
        <v>1157</v>
      </c>
      <c r="K212">
        <v>231</v>
      </c>
      <c r="L212">
        <v>2</v>
      </c>
      <c r="M212">
        <v>11.1</v>
      </c>
      <c r="N212" t="s">
        <v>23</v>
      </c>
      <c r="O212">
        <v>0</v>
      </c>
      <c r="P212">
        <v>0</v>
      </c>
      <c r="Q212">
        <v>464</v>
      </c>
      <c r="R212">
        <v>6858</v>
      </c>
      <c r="S212">
        <v>5.5439999999999996</v>
      </c>
      <c r="T212">
        <v>11.1</v>
      </c>
      <c r="U212">
        <v>24</v>
      </c>
      <c r="V212">
        <v>462.5</v>
      </c>
      <c r="W212" t="s">
        <v>1153</v>
      </c>
      <c r="X212" t="s">
        <v>1087</v>
      </c>
      <c r="Y212">
        <v>38</v>
      </c>
      <c r="Z212">
        <v>2</v>
      </c>
      <c r="AA212">
        <v>38.5</v>
      </c>
    </row>
    <row r="213" spans="1:27" x14ac:dyDescent="0.3">
      <c r="A213" s="15">
        <v>44484.789849537039</v>
      </c>
      <c r="B213" t="s">
        <v>13</v>
      </c>
      <c r="C213" t="s">
        <v>952</v>
      </c>
      <c r="D213" s="2">
        <v>44459</v>
      </c>
      <c r="E213" t="s">
        <v>953</v>
      </c>
      <c r="F213" t="s">
        <v>41</v>
      </c>
      <c r="G213" t="s">
        <v>950</v>
      </c>
      <c r="H213" t="s">
        <v>943</v>
      </c>
      <c r="I213" t="s">
        <v>1161</v>
      </c>
      <c r="J213" t="s">
        <v>1160</v>
      </c>
      <c r="K213">
        <v>1320</v>
      </c>
      <c r="L213">
        <v>12</v>
      </c>
      <c r="M213">
        <v>63.4</v>
      </c>
      <c r="N213" t="s">
        <v>23</v>
      </c>
      <c r="O213">
        <v>0</v>
      </c>
      <c r="P213">
        <v>0</v>
      </c>
      <c r="Q213">
        <v>464</v>
      </c>
      <c r="R213">
        <v>6861</v>
      </c>
      <c r="S213">
        <v>31.68</v>
      </c>
      <c r="T213">
        <v>63.4</v>
      </c>
      <c r="U213">
        <v>24</v>
      </c>
      <c r="V213">
        <v>2641.6666666666665</v>
      </c>
      <c r="W213" t="s">
        <v>1153</v>
      </c>
      <c r="X213" t="s">
        <v>1087</v>
      </c>
      <c r="Y213">
        <v>39</v>
      </c>
      <c r="Z213">
        <v>2</v>
      </c>
      <c r="AA213">
        <v>220</v>
      </c>
    </row>
    <row r="214" spans="1:27" x14ac:dyDescent="0.3">
      <c r="A214" s="15">
        <v>44484.791400462964</v>
      </c>
      <c r="B214" t="s">
        <v>13</v>
      </c>
      <c r="C214" t="s">
        <v>952</v>
      </c>
      <c r="D214" s="2">
        <v>44460</v>
      </c>
      <c r="E214" t="s">
        <v>953</v>
      </c>
      <c r="F214" t="s">
        <v>41</v>
      </c>
      <c r="G214" t="s">
        <v>950</v>
      </c>
      <c r="H214" t="s">
        <v>943</v>
      </c>
      <c r="I214" t="s">
        <v>1161</v>
      </c>
      <c r="J214" t="s">
        <v>1155</v>
      </c>
      <c r="K214">
        <v>454</v>
      </c>
      <c r="L214">
        <v>4</v>
      </c>
      <c r="M214">
        <v>21.8</v>
      </c>
      <c r="N214" t="s">
        <v>23</v>
      </c>
      <c r="O214">
        <v>0</v>
      </c>
      <c r="P214">
        <v>0</v>
      </c>
      <c r="Q214">
        <v>464</v>
      </c>
      <c r="R214">
        <v>6863</v>
      </c>
      <c r="S214">
        <v>10.896000000000001</v>
      </c>
      <c r="T214">
        <v>21.8</v>
      </c>
      <c r="U214">
        <v>24</v>
      </c>
      <c r="V214">
        <v>908.33333333333337</v>
      </c>
      <c r="W214" t="s">
        <v>1153</v>
      </c>
      <c r="X214" t="s">
        <v>1087</v>
      </c>
      <c r="Y214">
        <v>39</v>
      </c>
      <c r="Z214">
        <v>2</v>
      </c>
      <c r="AA214">
        <v>75.666666666666671</v>
      </c>
    </row>
    <row r="215" spans="1:27" x14ac:dyDescent="0.3">
      <c r="A215" s="15">
        <v>44484.791041666664</v>
      </c>
      <c r="B215" t="s">
        <v>13</v>
      </c>
      <c r="C215" t="s">
        <v>952</v>
      </c>
      <c r="D215" s="2">
        <v>44460</v>
      </c>
      <c r="E215" t="s">
        <v>953</v>
      </c>
      <c r="F215" t="s">
        <v>41</v>
      </c>
      <c r="G215" t="s">
        <v>950</v>
      </c>
      <c r="H215" t="s">
        <v>943</v>
      </c>
      <c r="I215" t="s">
        <v>1161</v>
      </c>
      <c r="J215" t="s">
        <v>1158</v>
      </c>
      <c r="K215">
        <v>914</v>
      </c>
      <c r="L215">
        <v>8</v>
      </c>
      <c r="M215">
        <v>43.9</v>
      </c>
      <c r="N215" t="s">
        <v>23</v>
      </c>
      <c r="O215">
        <v>0</v>
      </c>
      <c r="P215">
        <v>0</v>
      </c>
      <c r="Q215">
        <v>464</v>
      </c>
      <c r="R215">
        <v>6863</v>
      </c>
      <c r="S215">
        <v>21.936</v>
      </c>
      <c r="T215">
        <v>43.9</v>
      </c>
      <c r="U215">
        <v>24</v>
      </c>
      <c r="V215">
        <v>1829.1666666666667</v>
      </c>
      <c r="W215" t="s">
        <v>1153</v>
      </c>
      <c r="X215" t="s">
        <v>1087</v>
      </c>
      <c r="Y215">
        <v>39</v>
      </c>
      <c r="Z215">
        <v>2</v>
      </c>
      <c r="AA215">
        <v>152.33333333333334</v>
      </c>
    </row>
    <row r="216" spans="1:27" x14ac:dyDescent="0.3">
      <c r="A216" s="15">
        <v>44484.794074074074</v>
      </c>
      <c r="B216" t="s">
        <v>13</v>
      </c>
      <c r="C216" t="s">
        <v>952</v>
      </c>
      <c r="D216" s="2">
        <v>44467</v>
      </c>
      <c r="E216" t="s">
        <v>1081</v>
      </c>
      <c r="F216" t="s">
        <v>41</v>
      </c>
      <c r="G216" t="s">
        <v>943</v>
      </c>
      <c r="H216" t="s">
        <v>48</v>
      </c>
      <c r="I216" t="s">
        <v>1037</v>
      </c>
      <c r="J216" t="s">
        <v>196</v>
      </c>
      <c r="K216">
        <v>1800</v>
      </c>
      <c r="L216">
        <v>12</v>
      </c>
      <c r="M216">
        <v>126</v>
      </c>
      <c r="N216" t="s">
        <v>23</v>
      </c>
      <c r="O216">
        <v>120</v>
      </c>
      <c r="P216">
        <v>15</v>
      </c>
      <c r="Q216">
        <v>474</v>
      </c>
      <c r="R216">
        <v>6869</v>
      </c>
      <c r="S216">
        <v>127.8</v>
      </c>
      <c r="T216">
        <v>126</v>
      </c>
      <c r="U216">
        <v>71</v>
      </c>
      <c r="V216">
        <v>1774.6478873239437</v>
      </c>
      <c r="W216" t="s">
        <v>1153</v>
      </c>
      <c r="X216" t="s">
        <v>1087</v>
      </c>
      <c r="Y216">
        <v>40</v>
      </c>
      <c r="Z216">
        <v>1</v>
      </c>
      <c r="AA216">
        <v>150</v>
      </c>
    </row>
    <row r="217" spans="1:27" x14ac:dyDescent="0.3">
      <c r="A217" s="15">
        <v>44484.794999999998</v>
      </c>
      <c r="B217" t="s">
        <v>13</v>
      </c>
      <c r="C217" t="s">
        <v>952</v>
      </c>
      <c r="D217" s="2">
        <v>44468</v>
      </c>
      <c r="E217" t="s">
        <v>1081</v>
      </c>
      <c r="F217" t="s">
        <v>41</v>
      </c>
      <c r="G217" t="s">
        <v>943</v>
      </c>
      <c r="H217" t="s">
        <v>48</v>
      </c>
      <c r="I217" t="s">
        <v>1037</v>
      </c>
      <c r="J217" t="s">
        <v>196</v>
      </c>
      <c r="K217">
        <v>1680</v>
      </c>
      <c r="L217">
        <v>12</v>
      </c>
      <c r="M217">
        <v>119</v>
      </c>
      <c r="N217" t="s">
        <v>23</v>
      </c>
      <c r="O217">
        <v>120</v>
      </c>
      <c r="P217">
        <v>14</v>
      </c>
      <c r="Q217">
        <v>474</v>
      </c>
      <c r="R217">
        <v>6871</v>
      </c>
      <c r="S217">
        <v>119.28</v>
      </c>
      <c r="T217">
        <v>119</v>
      </c>
      <c r="U217">
        <v>71</v>
      </c>
      <c r="V217">
        <v>1676.056338028169</v>
      </c>
      <c r="W217" t="s">
        <v>1153</v>
      </c>
      <c r="X217" t="s">
        <v>1087</v>
      </c>
      <c r="Y217">
        <v>40</v>
      </c>
      <c r="Z217">
        <v>1</v>
      </c>
      <c r="AA217">
        <v>140</v>
      </c>
    </row>
    <row r="218" spans="1:27" x14ac:dyDescent="0.3">
      <c r="A218" s="15">
        <v>44484.795949074076</v>
      </c>
      <c r="B218" t="s">
        <v>13</v>
      </c>
      <c r="C218" t="s">
        <v>952</v>
      </c>
      <c r="D218" s="2">
        <v>44469</v>
      </c>
      <c r="E218" t="s">
        <v>1027</v>
      </c>
      <c r="F218" t="s">
        <v>41</v>
      </c>
      <c r="G218" t="s">
        <v>943</v>
      </c>
      <c r="H218" t="s">
        <v>48</v>
      </c>
      <c r="I218" t="s">
        <v>1037</v>
      </c>
      <c r="J218" t="s">
        <v>196</v>
      </c>
      <c r="K218">
        <v>1620</v>
      </c>
      <c r="L218">
        <v>12</v>
      </c>
      <c r="M218">
        <v>114.2</v>
      </c>
      <c r="N218" t="s">
        <v>23</v>
      </c>
      <c r="O218">
        <v>120</v>
      </c>
      <c r="P218">
        <v>14</v>
      </c>
      <c r="Q218">
        <v>474</v>
      </c>
      <c r="R218">
        <v>6873</v>
      </c>
      <c r="S218">
        <v>115.02</v>
      </c>
      <c r="T218">
        <v>114.2</v>
      </c>
      <c r="U218">
        <v>71</v>
      </c>
      <c r="V218">
        <v>1608.4507042253522</v>
      </c>
      <c r="W218" t="s">
        <v>1153</v>
      </c>
      <c r="X218" t="s">
        <v>1087</v>
      </c>
      <c r="Y218">
        <v>40</v>
      </c>
      <c r="Z218">
        <v>1</v>
      </c>
      <c r="AA218">
        <v>135</v>
      </c>
    </row>
    <row r="219" spans="1:27" x14ac:dyDescent="0.3">
      <c r="A219" s="15">
        <v>44453.735590277778</v>
      </c>
      <c r="B219" t="s">
        <v>13</v>
      </c>
      <c r="C219" t="s">
        <v>1132</v>
      </c>
      <c r="D219" s="2">
        <v>44440</v>
      </c>
      <c r="E219" t="s">
        <v>1027</v>
      </c>
      <c r="F219" t="s">
        <v>41</v>
      </c>
      <c r="G219" t="s">
        <v>943</v>
      </c>
      <c r="H219" t="s">
        <v>48</v>
      </c>
      <c r="I219" t="s">
        <v>1039</v>
      </c>
      <c r="J219" t="s">
        <v>221</v>
      </c>
      <c r="K219">
        <v>1444</v>
      </c>
      <c r="L219">
        <v>12</v>
      </c>
      <c r="M219">
        <v>195</v>
      </c>
      <c r="N219" t="s">
        <v>23</v>
      </c>
      <c r="O219">
        <v>60</v>
      </c>
      <c r="P219">
        <v>24</v>
      </c>
      <c r="Q219">
        <v>449</v>
      </c>
      <c r="R219">
        <v>7110</v>
      </c>
      <c r="S219">
        <v>199.27199999999999</v>
      </c>
      <c r="T219">
        <v>195</v>
      </c>
      <c r="U219">
        <v>138</v>
      </c>
      <c r="V219">
        <v>1413.0434782608695</v>
      </c>
      <c r="W219" t="s">
        <v>1153</v>
      </c>
      <c r="X219" t="s">
        <v>1087</v>
      </c>
      <c r="Y219">
        <v>36</v>
      </c>
      <c r="Z219">
        <v>1</v>
      </c>
      <c r="AA219">
        <v>120.33333333333333</v>
      </c>
    </row>
    <row r="220" spans="1:27" x14ac:dyDescent="0.3">
      <c r="A220" s="15">
        <v>44453.736759259256</v>
      </c>
      <c r="B220" t="s">
        <v>13</v>
      </c>
      <c r="C220" t="s">
        <v>1132</v>
      </c>
      <c r="D220" s="2">
        <v>44441</v>
      </c>
      <c r="E220" t="s">
        <v>953</v>
      </c>
      <c r="F220" t="s">
        <v>41</v>
      </c>
      <c r="G220" t="s">
        <v>943</v>
      </c>
      <c r="H220" t="s">
        <v>48</v>
      </c>
      <c r="I220" t="s">
        <v>1039</v>
      </c>
      <c r="J220" t="s">
        <v>221</v>
      </c>
      <c r="K220">
        <v>1260</v>
      </c>
      <c r="L220">
        <v>12</v>
      </c>
      <c r="M220">
        <v>176.6</v>
      </c>
      <c r="N220" t="s">
        <v>23</v>
      </c>
      <c r="O220">
        <v>60</v>
      </c>
      <c r="P220">
        <v>21</v>
      </c>
      <c r="Q220">
        <v>449</v>
      </c>
      <c r="R220">
        <v>7112</v>
      </c>
      <c r="S220">
        <v>173.88</v>
      </c>
      <c r="T220">
        <v>176.6</v>
      </c>
      <c r="U220">
        <v>138</v>
      </c>
      <c r="V220">
        <v>1279.7101449275362</v>
      </c>
      <c r="W220" t="s">
        <v>1153</v>
      </c>
      <c r="X220" t="s">
        <v>1087</v>
      </c>
      <c r="Y220">
        <v>36</v>
      </c>
      <c r="Z220">
        <v>1</v>
      </c>
      <c r="AA220">
        <v>105</v>
      </c>
    </row>
    <row r="221" spans="1:27" x14ac:dyDescent="0.3">
      <c r="A221" s="15">
        <v>44453.739965277775</v>
      </c>
      <c r="B221" t="s">
        <v>13</v>
      </c>
      <c r="C221" t="s">
        <v>1132</v>
      </c>
      <c r="D221" s="2">
        <v>44442</v>
      </c>
      <c r="E221" t="s">
        <v>953</v>
      </c>
      <c r="F221" t="s">
        <v>41</v>
      </c>
      <c r="G221" t="s">
        <v>943</v>
      </c>
      <c r="H221" t="s">
        <v>48</v>
      </c>
      <c r="I221" t="s">
        <v>1039</v>
      </c>
      <c r="J221" t="s">
        <v>221</v>
      </c>
      <c r="K221">
        <v>1340</v>
      </c>
      <c r="L221">
        <v>12</v>
      </c>
      <c r="M221">
        <v>183.8</v>
      </c>
      <c r="N221" t="s">
        <v>23</v>
      </c>
      <c r="O221">
        <v>60</v>
      </c>
      <c r="P221">
        <v>22</v>
      </c>
      <c r="Q221">
        <v>449</v>
      </c>
      <c r="R221">
        <v>7114</v>
      </c>
      <c r="S221">
        <v>184.92</v>
      </c>
      <c r="T221">
        <v>183.8</v>
      </c>
      <c r="U221">
        <v>138</v>
      </c>
      <c r="V221">
        <v>1331.8840579710145</v>
      </c>
      <c r="W221" t="s">
        <v>1153</v>
      </c>
      <c r="X221" t="s">
        <v>1087</v>
      </c>
      <c r="Y221">
        <v>36</v>
      </c>
      <c r="Z221">
        <v>1</v>
      </c>
      <c r="AA221">
        <v>111.66666666666667</v>
      </c>
    </row>
    <row r="222" spans="1:27" x14ac:dyDescent="0.3">
      <c r="A222" s="15">
        <v>44482.722175925926</v>
      </c>
      <c r="B222" t="s">
        <v>13</v>
      </c>
      <c r="C222" t="s">
        <v>1132</v>
      </c>
      <c r="D222" s="2">
        <v>44445</v>
      </c>
      <c r="E222" t="s">
        <v>953</v>
      </c>
      <c r="F222" t="s">
        <v>41</v>
      </c>
      <c r="G222" t="s">
        <v>943</v>
      </c>
      <c r="H222" t="s">
        <v>48</v>
      </c>
      <c r="I222" t="s">
        <v>1053</v>
      </c>
      <c r="J222" t="s">
        <v>152</v>
      </c>
      <c r="K222">
        <v>1142</v>
      </c>
      <c r="L222">
        <v>12</v>
      </c>
      <c r="M222">
        <v>279.7</v>
      </c>
      <c r="N222" t="s">
        <v>23</v>
      </c>
      <c r="O222">
        <v>0</v>
      </c>
      <c r="P222">
        <v>21</v>
      </c>
      <c r="Q222">
        <v>457</v>
      </c>
      <c r="R222">
        <v>7117</v>
      </c>
      <c r="S222">
        <v>274.08</v>
      </c>
      <c r="T222">
        <v>279.7</v>
      </c>
      <c r="U222">
        <v>240</v>
      </c>
      <c r="V222">
        <v>1165.4166666666667</v>
      </c>
      <c r="W222" t="s">
        <v>1153</v>
      </c>
      <c r="X222" t="s">
        <v>1087</v>
      </c>
      <c r="Y222">
        <v>37</v>
      </c>
      <c r="Z222">
        <v>1</v>
      </c>
      <c r="AA222">
        <v>95.166666666666671</v>
      </c>
    </row>
    <row r="223" spans="1:27" x14ac:dyDescent="0.3">
      <c r="A223" s="15">
        <v>44482.724826388891</v>
      </c>
      <c r="B223" t="s">
        <v>13</v>
      </c>
      <c r="C223" t="s">
        <v>1132</v>
      </c>
      <c r="D223" s="2">
        <v>44446</v>
      </c>
      <c r="E223" t="s">
        <v>1027</v>
      </c>
      <c r="F223" t="s">
        <v>41</v>
      </c>
      <c r="G223" t="s">
        <v>943</v>
      </c>
      <c r="H223" t="s">
        <v>48</v>
      </c>
      <c r="I223" t="s">
        <v>1053</v>
      </c>
      <c r="J223" t="s">
        <v>152</v>
      </c>
      <c r="K223">
        <v>1111</v>
      </c>
      <c r="L223">
        <v>12</v>
      </c>
      <c r="M223">
        <v>263.60000000000002</v>
      </c>
      <c r="N223" t="s">
        <v>23</v>
      </c>
      <c r="O223">
        <v>0</v>
      </c>
      <c r="P223">
        <v>21</v>
      </c>
      <c r="Q223">
        <v>457</v>
      </c>
      <c r="R223">
        <v>7120</v>
      </c>
      <c r="S223">
        <v>266.64</v>
      </c>
      <c r="T223">
        <v>263.60000000000002</v>
      </c>
      <c r="U223">
        <v>240</v>
      </c>
      <c r="V223">
        <v>1098.3333333333333</v>
      </c>
      <c r="W223" t="s">
        <v>1153</v>
      </c>
      <c r="X223" t="s">
        <v>1087</v>
      </c>
      <c r="Y223">
        <v>37</v>
      </c>
      <c r="Z223">
        <v>1</v>
      </c>
      <c r="AA223">
        <v>92.583333333333329</v>
      </c>
    </row>
    <row r="224" spans="1:27" x14ac:dyDescent="0.3">
      <c r="A224" s="15">
        <v>44482.729259259257</v>
      </c>
      <c r="B224" t="s">
        <v>13</v>
      </c>
      <c r="C224" t="s">
        <v>1132</v>
      </c>
      <c r="D224" s="2">
        <v>44448</v>
      </c>
      <c r="E224" t="s">
        <v>1027</v>
      </c>
      <c r="F224" t="s">
        <v>41</v>
      </c>
      <c r="G224" t="s">
        <v>943</v>
      </c>
      <c r="H224" t="s">
        <v>48</v>
      </c>
      <c r="I224" t="s">
        <v>1053</v>
      </c>
      <c r="J224" t="s">
        <v>152</v>
      </c>
      <c r="K224">
        <v>1137</v>
      </c>
      <c r="L224">
        <v>12</v>
      </c>
      <c r="M224">
        <v>277.5</v>
      </c>
      <c r="N224" t="s">
        <v>23</v>
      </c>
      <c r="O224">
        <v>0</v>
      </c>
      <c r="P224">
        <v>21</v>
      </c>
      <c r="Q224">
        <v>457</v>
      </c>
      <c r="R224">
        <v>7123</v>
      </c>
      <c r="S224">
        <v>272.88</v>
      </c>
      <c r="T224">
        <v>277.5</v>
      </c>
      <c r="U224">
        <v>240</v>
      </c>
      <c r="V224">
        <v>1156.25</v>
      </c>
      <c r="W224" t="s">
        <v>1153</v>
      </c>
      <c r="X224" t="s">
        <v>1087</v>
      </c>
      <c r="Y224">
        <v>37</v>
      </c>
      <c r="Z224">
        <v>1</v>
      </c>
      <c r="AA224">
        <v>94.75</v>
      </c>
    </row>
    <row r="225" spans="1:27" x14ac:dyDescent="0.3">
      <c r="A225" s="15">
        <v>44482.747604166667</v>
      </c>
      <c r="B225" t="s">
        <v>13</v>
      </c>
      <c r="C225" t="s">
        <v>1132</v>
      </c>
      <c r="D225" s="2">
        <v>44452</v>
      </c>
      <c r="E225" t="s">
        <v>1081</v>
      </c>
      <c r="F225" t="s">
        <v>40</v>
      </c>
      <c r="G225" t="s">
        <v>48</v>
      </c>
      <c r="H225" t="s">
        <v>946</v>
      </c>
      <c r="I225" t="s">
        <v>967</v>
      </c>
      <c r="J225" t="s">
        <v>1143</v>
      </c>
      <c r="K225">
        <v>660</v>
      </c>
      <c r="L225">
        <v>10</v>
      </c>
      <c r="M225">
        <v>167.3</v>
      </c>
      <c r="N225" t="s">
        <v>23</v>
      </c>
      <c r="O225">
        <v>0</v>
      </c>
      <c r="P225">
        <v>22</v>
      </c>
      <c r="Q225">
        <v>459</v>
      </c>
      <c r="R225">
        <v>7128</v>
      </c>
      <c r="S225">
        <v>85.8</v>
      </c>
      <c r="T225">
        <v>167.3</v>
      </c>
      <c r="U225">
        <v>130</v>
      </c>
      <c r="V225">
        <v>1286.9230769230769</v>
      </c>
      <c r="W225" t="s">
        <v>1153</v>
      </c>
      <c r="X225" t="s">
        <v>1087</v>
      </c>
      <c r="Y225">
        <v>38</v>
      </c>
      <c r="Z225">
        <v>2</v>
      </c>
      <c r="AA225">
        <v>110</v>
      </c>
    </row>
    <row r="226" spans="1:27" x14ac:dyDescent="0.3">
      <c r="A226" s="15">
        <v>44482.746400462966</v>
      </c>
      <c r="B226" t="s">
        <v>13</v>
      </c>
      <c r="C226" t="s">
        <v>1132</v>
      </c>
      <c r="D226" s="2">
        <v>44452</v>
      </c>
      <c r="E226" t="s">
        <v>1081</v>
      </c>
      <c r="F226" t="s">
        <v>40</v>
      </c>
      <c r="G226" t="s">
        <v>48</v>
      </c>
      <c r="H226" t="s">
        <v>946</v>
      </c>
      <c r="I226" t="s">
        <v>967</v>
      </c>
      <c r="J226" t="s">
        <v>1142</v>
      </c>
      <c r="K226">
        <v>69</v>
      </c>
      <c r="L226">
        <v>1</v>
      </c>
      <c r="M226">
        <v>17.7</v>
      </c>
      <c r="N226" t="s">
        <v>23</v>
      </c>
      <c r="O226">
        <v>0</v>
      </c>
      <c r="P226">
        <v>2</v>
      </c>
      <c r="Q226">
        <v>459</v>
      </c>
      <c r="R226">
        <v>7128</v>
      </c>
      <c r="S226">
        <v>8.9700000000000006</v>
      </c>
      <c r="T226">
        <v>17.7</v>
      </c>
      <c r="U226">
        <v>130</v>
      </c>
      <c r="V226">
        <v>136.15384615384616</v>
      </c>
      <c r="W226" t="s">
        <v>1153</v>
      </c>
      <c r="X226" t="s">
        <v>1087</v>
      </c>
      <c r="Y226">
        <v>38</v>
      </c>
      <c r="Z226">
        <v>2</v>
      </c>
      <c r="AA226">
        <v>11.5</v>
      </c>
    </row>
    <row r="227" spans="1:27" x14ac:dyDescent="0.3">
      <c r="A227" s="15">
        <v>44482.754212962966</v>
      </c>
      <c r="B227" t="s">
        <v>13</v>
      </c>
      <c r="C227" t="s">
        <v>1132</v>
      </c>
      <c r="D227" s="2">
        <v>44453</v>
      </c>
      <c r="E227" t="s">
        <v>953</v>
      </c>
      <c r="F227" t="s">
        <v>40</v>
      </c>
      <c r="G227" t="s">
        <v>48</v>
      </c>
      <c r="H227" t="s">
        <v>946</v>
      </c>
      <c r="I227" t="s">
        <v>967</v>
      </c>
      <c r="J227" t="s">
        <v>123</v>
      </c>
      <c r="K227">
        <v>190</v>
      </c>
      <c r="L227">
        <v>3</v>
      </c>
      <c r="M227">
        <v>50.8</v>
      </c>
      <c r="N227" t="s">
        <v>23</v>
      </c>
      <c r="O227">
        <v>0</v>
      </c>
      <c r="P227">
        <v>7</v>
      </c>
      <c r="Q227">
        <v>459</v>
      </c>
      <c r="R227">
        <v>7130</v>
      </c>
      <c r="S227">
        <v>24.7</v>
      </c>
      <c r="T227">
        <v>50.8</v>
      </c>
      <c r="U227">
        <v>130</v>
      </c>
      <c r="V227">
        <v>390.76923076923077</v>
      </c>
      <c r="W227" t="s">
        <v>1153</v>
      </c>
      <c r="X227" t="s">
        <v>1087</v>
      </c>
      <c r="Y227">
        <v>38</v>
      </c>
      <c r="Z227">
        <v>2</v>
      </c>
      <c r="AA227">
        <v>31.666666666666668</v>
      </c>
    </row>
    <row r="228" spans="1:27" x14ac:dyDescent="0.3">
      <c r="A228" s="15">
        <v>44482.753379629627</v>
      </c>
      <c r="B228" t="s">
        <v>13</v>
      </c>
      <c r="C228" t="s">
        <v>1132</v>
      </c>
      <c r="D228" s="2">
        <v>44453</v>
      </c>
      <c r="E228" t="s">
        <v>953</v>
      </c>
      <c r="F228" t="s">
        <v>40</v>
      </c>
      <c r="G228" t="s">
        <v>48</v>
      </c>
      <c r="H228" t="s">
        <v>946</v>
      </c>
      <c r="I228" t="s">
        <v>967</v>
      </c>
      <c r="J228" t="s">
        <v>125</v>
      </c>
      <c r="K228">
        <v>335</v>
      </c>
      <c r="L228">
        <v>5</v>
      </c>
      <c r="M228">
        <v>93.6</v>
      </c>
      <c r="N228" t="s">
        <v>23</v>
      </c>
      <c r="O228">
        <v>0</v>
      </c>
      <c r="P228">
        <v>13</v>
      </c>
      <c r="Q228">
        <v>459</v>
      </c>
      <c r="R228">
        <v>7130</v>
      </c>
      <c r="S228">
        <v>43.55</v>
      </c>
      <c r="T228">
        <v>93.6</v>
      </c>
      <c r="U228">
        <v>130</v>
      </c>
      <c r="V228">
        <v>720</v>
      </c>
      <c r="W228" t="s">
        <v>1153</v>
      </c>
      <c r="X228" t="s">
        <v>1087</v>
      </c>
      <c r="Y228">
        <v>38</v>
      </c>
      <c r="Z228">
        <v>2</v>
      </c>
      <c r="AA228">
        <v>55.833333333333336</v>
      </c>
    </row>
    <row r="229" spans="1:27" x14ac:dyDescent="0.3">
      <c r="A229" s="15">
        <v>44482.752939814818</v>
      </c>
      <c r="B229" t="s">
        <v>13</v>
      </c>
      <c r="C229" t="s">
        <v>1132</v>
      </c>
      <c r="D229" s="2">
        <v>44453</v>
      </c>
      <c r="E229" t="s">
        <v>953</v>
      </c>
      <c r="F229" t="s">
        <v>40</v>
      </c>
      <c r="G229" t="s">
        <v>48</v>
      </c>
      <c r="H229" t="s">
        <v>946</v>
      </c>
      <c r="I229" t="s">
        <v>967</v>
      </c>
      <c r="J229" t="s">
        <v>124</v>
      </c>
      <c r="K229">
        <v>197</v>
      </c>
      <c r="L229">
        <v>3</v>
      </c>
      <c r="M229">
        <v>52.6</v>
      </c>
      <c r="N229" t="s">
        <v>23</v>
      </c>
      <c r="O229">
        <v>0</v>
      </c>
      <c r="P229">
        <v>0</v>
      </c>
      <c r="Q229">
        <v>459</v>
      </c>
      <c r="R229">
        <v>7130</v>
      </c>
      <c r="S229">
        <v>25.61</v>
      </c>
      <c r="T229">
        <v>52.6</v>
      </c>
      <c r="U229">
        <v>130</v>
      </c>
      <c r="V229">
        <v>404.61538461538464</v>
      </c>
      <c r="W229" t="s">
        <v>1153</v>
      </c>
      <c r="X229" t="s">
        <v>1087</v>
      </c>
      <c r="Y229">
        <v>38</v>
      </c>
      <c r="Z229">
        <v>2</v>
      </c>
      <c r="AA229">
        <v>32.833333333333336</v>
      </c>
    </row>
    <row r="230" spans="1:27" x14ac:dyDescent="0.3">
      <c r="A230" s="15">
        <v>44482.769560185188</v>
      </c>
      <c r="B230" t="s">
        <v>13</v>
      </c>
      <c r="C230" t="s">
        <v>1132</v>
      </c>
      <c r="D230" s="2">
        <v>44461</v>
      </c>
      <c r="E230" t="s">
        <v>953</v>
      </c>
      <c r="F230" t="s">
        <v>41</v>
      </c>
      <c r="G230" t="s">
        <v>943</v>
      </c>
      <c r="H230" t="s">
        <v>48</v>
      </c>
      <c r="I230" t="s">
        <v>1145</v>
      </c>
      <c r="J230" t="s">
        <v>1149</v>
      </c>
      <c r="K230">
        <v>285</v>
      </c>
      <c r="L230">
        <v>5</v>
      </c>
      <c r="M230">
        <v>49.19</v>
      </c>
      <c r="N230" t="s">
        <v>23</v>
      </c>
      <c r="O230">
        <v>0</v>
      </c>
      <c r="P230">
        <v>4</v>
      </c>
      <c r="Q230">
        <v>465</v>
      </c>
      <c r="R230">
        <v>7134</v>
      </c>
      <c r="S230">
        <v>24.51</v>
      </c>
      <c r="T230">
        <v>49.19</v>
      </c>
      <c r="U230">
        <v>86</v>
      </c>
      <c r="V230">
        <v>571.97674418604652</v>
      </c>
      <c r="W230" t="s">
        <v>1153</v>
      </c>
      <c r="X230" t="s">
        <v>1087</v>
      </c>
      <c r="Y230">
        <v>39</v>
      </c>
      <c r="Z230">
        <v>2</v>
      </c>
      <c r="AA230">
        <v>47.5</v>
      </c>
    </row>
    <row r="231" spans="1:27" x14ac:dyDescent="0.3">
      <c r="A231" s="15">
        <v>44482.76761574074</v>
      </c>
      <c r="B231" t="s">
        <v>13</v>
      </c>
      <c r="C231" t="s">
        <v>1132</v>
      </c>
      <c r="D231" s="2">
        <v>44461</v>
      </c>
      <c r="E231" t="s">
        <v>953</v>
      </c>
      <c r="F231" t="s">
        <v>41</v>
      </c>
      <c r="G231" t="s">
        <v>943</v>
      </c>
      <c r="H231" t="s">
        <v>48</v>
      </c>
      <c r="I231" t="s">
        <v>1145</v>
      </c>
      <c r="J231" t="s">
        <v>1151</v>
      </c>
      <c r="K231">
        <v>515</v>
      </c>
      <c r="L231">
        <v>7</v>
      </c>
      <c r="M231">
        <v>88.58</v>
      </c>
      <c r="N231" t="s">
        <v>23</v>
      </c>
      <c r="O231">
        <v>0</v>
      </c>
      <c r="P231">
        <v>8</v>
      </c>
      <c r="Q231">
        <v>465</v>
      </c>
      <c r="R231">
        <v>7134</v>
      </c>
      <c r="S231">
        <v>44.29</v>
      </c>
      <c r="T231">
        <v>88.58</v>
      </c>
      <c r="U231">
        <v>86</v>
      </c>
      <c r="V231">
        <v>1030</v>
      </c>
      <c r="W231" t="s">
        <v>1153</v>
      </c>
      <c r="X231" t="s">
        <v>1087</v>
      </c>
      <c r="Y231">
        <v>39</v>
      </c>
      <c r="Z231">
        <v>2</v>
      </c>
      <c r="AA231">
        <v>85.833333333333329</v>
      </c>
    </row>
    <row r="232" spans="1:27" x14ac:dyDescent="0.3">
      <c r="A232" s="15">
        <v>44482.772002314814</v>
      </c>
      <c r="B232" t="s">
        <v>13</v>
      </c>
      <c r="C232" t="s">
        <v>1132</v>
      </c>
      <c r="D232" s="2">
        <v>44462</v>
      </c>
      <c r="E232" t="s">
        <v>1081</v>
      </c>
      <c r="F232" t="s">
        <v>41</v>
      </c>
      <c r="G232" t="s">
        <v>943</v>
      </c>
      <c r="H232" t="s">
        <v>48</v>
      </c>
      <c r="I232" t="s">
        <v>1145</v>
      </c>
      <c r="J232" t="s">
        <v>1148</v>
      </c>
      <c r="K232">
        <v>106</v>
      </c>
      <c r="L232">
        <v>2</v>
      </c>
      <c r="M232">
        <v>18.23</v>
      </c>
      <c r="N232" t="s">
        <v>23</v>
      </c>
      <c r="O232">
        <v>0</v>
      </c>
      <c r="P232">
        <v>2</v>
      </c>
      <c r="Q232">
        <v>465</v>
      </c>
      <c r="R232">
        <v>7136</v>
      </c>
      <c r="S232">
        <v>9.1159999999999997</v>
      </c>
      <c r="T232">
        <v>18.23</v>
      </c>
      <c r="U232">
        <v>86</v>
      </c>
      <c r="V232">
        <v>211.97674418604652</v>
      </c>
      <c r="W232" t="s">
        <v>1153</v>
      </c>
      <c r="X232" t="s">
        <v>1087</v>
      </c>
      <c r="Y232">
        <v>39</v>
      </c>
      <c r="Z232">
        <v>2</v>
      </c>
      <c r="AA232">
        <v>17.666666666666668</v>
      </c>
    </row>
    <row r="233" spans="1:27" x14ac:dyDescent="0.3">
      <c r="A233" s="15">
        <v>44482.77171296296</v>
      </c>
      <c r="B233" t="s">
        <v>13</v>
      </c>
      <c r="C233" t="s">
        <v>1132</v>
      </c>
      <c r="D233" s="2">
        <v>44462</v>
      </c>
      <c r="E233" t="s">
        <v>1081</v>
      </c>
      <c r="F233" t="s">
        <v>41</v>
      </c>
      <c r="G233" t="s">
        <v>943</v>
      </c>
      <c r="H233" t="s">
        <v>48</v>
      </c>
      <c r="I233" t="s">
        <v>1145</v>
      </c>
      <c r="J233" t="s">
        <v>1147</v>
      </c>
      <c r="K233">
        <v>834</v>
      </c>
      <c r="L233">
        <v>10</v>
      </c>
      <c r="M233">
        <v>143.51</v>
      </c>
      <c r="N233" t="s">
        <v>23</v>
      </c>
      <c r="O233">
        <v>0</v>
      </c>
      <c r="P233">
        <v>12</v>
      </c>
      <c r="Q233">
        <v>465</v>
      </c>
      <c r="R233">
        <v>7136</v>
      </c>
      <c r="S233">
        <v>71.724000000000004</v>
      </c>
      <c r="T233">
        <v>143.51</v>
      </c>
      <c r="U233">
        <v>86</v>
      </c>
      <c r="V233">
        <v>1668.7209302325582</v>
      </c>
      <c r="W233" t="s">
        <v>1153</v>
      </c>
      <c r="X233" t="s">
        <v>1087</v>
      </c>
      <c r="Y233">
        <v>39</v>
      </c>
      <c r="Z233">
        <v>2</v>
      </c>
      <c r="AA233">
        <v>139</v>
      </c>
    </row>
    <row r="234" spans="1:27" x14ac:dyDescent="0.3">
      <c r="A234" s="15">
        <v>44482.774247685185</v>
      </c>
      <c r="B234" t="s">
        <v>13</v>
      </c>
      <c r="C234" t="s">
        <v>1132</v>
      </c>
      <c r="D234" s="2">
        <v>44463</v>
      </c>
      <c r="E234" t="s">
        <v>1081</v>
      </c>
      <c r="F234" t="s">
        <v>41</v>
      </c>
      <c r="G234" t="s">
        <v>943</v>
      </c>
      <c r="H234" t="s">
        <v>48</v>
      </c>
      <c r="I234" t="s">
        <v>1145</v>
      </c>
      <c r="J234" t="s">
        <v>1146</v>
      </c>
      <c r="K234">
        <v>1022</v>
      </c>
      <c r="L234">
        <v>12</v>
      </c>
      <c r="M234">
        <v>172.17</v>
      </c>
      <c r="N234" t="s">
        <v>23</v>
      </c>
      <c r="O234">
        <v>0</v>
      </c>
      <c r="P234">
        <v>14</v>
      </c>
      <c r="Q234">
        <v>465</v>
      </c>
      <c r="R234">
        <v>7138</v>
      </c>
      <c r="S234">
        <v>87.891999999999996</v>
      </c>
      <c r="T234">
        <v>172.17</v>
      </c>
      <c r="U234">
        <v>86</v>
      </c>
      <c r="V234">
        <v>2001.9767441860465</v>
      </c>
      <c r="W234" t="s">
        <v>1153</v>
      </c>
      <c r="X234" t="s">
        <v>1087</v>
      </c>
      <c r="Y234">
        <v>39</v>
      </c>
      <c r="Z234">
        <v>2</v>
      </c>
      <c r="AA234">
        <v>170.33333333333334</v>
      </c>
    </row>
    <row r="235" spans="1:27" x14ac:dyDescent="0.3">
      <c r="A235" s="15">
        <v>44482.775879629633</v>
      </c>
      <c r="B235" t="s">
        <v>13</v>
      </c>
      <c r="C235" t="s">
        <v>1132</v>
      </c>
      <c r="D235" s="2">
        <v>44464</v>
      </c>
      <c r="E235" t="s">
        <v>1081</v>
      </c>
      <c r="F235" t="s">
        <v>41</v>
      </c>
      <c r="G235" t="s">
        <v>950</v>
      </c>
      <c r="H235" t="s">
        <v>943</v>
      </c>
      <c r="I235" t="s">
        <v>1145</v>
      </c>
      <c r="J235" t="s">
        <v>1151</v>
      </c>
      <c r="K235">
        <v>360</v>
      </c>
      <c r="L235">
        <v>4</v>
      </c>
      <c r="M235">
        <v>61.3</v>
      </c>
      <c r="N235" t="s">
        <v>23</v>
      </c>
      <c r="O235">
        <v>0</v>
      </c>
      <c r="P235">
        <v>7</v>
      </c>
      <c r="Q235">
        <v>465</v>
      </c>
      <c r="R235">
        <v>7140</v>
      </c>
      <c r="S235">
        <v>30.96</v>
      </c>
      <c r="T235">
        <v>61.3</v>
      </c>
      <c r="U235">
        <v>86</v>
      </c>
      <c r="V235">
        <v>712.79069767441865</v>
      </c>
      <c r="W235" t="s">
        <v>1153</v>
      </c>
      <c r="X235" t="s">
        <v>1087</v>
      </c>
      <c r="Y235">
        <v>39</v>
      </c>
      <c r="Z235">
        <v>2</v>
      </c>
      <c r="AA235">
        <v>60</v>
      </c>
    </row>
    <row r="236" spans="1:27" x14ac:dyDescent="0.3">
      <c r="A236" s="15">
        <v>44482.775405092594</v>
      </c>
      <c r="B236" t="s">
        <v>13</v>
      </c>
      <c r="C236" t="s">
        <v>1132</v>
      </c>
      <c r="D236" s="2">
        <v>44464</v>
      </c>
      <c r="E236" t="s">
        <v>1081</v>
      </c>
      <c r="F236" t="s">
        <v>41</v>
      </c>
      <c r="G236" t="s">
        <v>950</v>
      </c>
      <c r="H236" t="s">
        <v>943</v>
      </c>
      <c r="I236" t="s">
        <v>1145</v>
      </c>
      <c r="J236" t="s">
        <v>1150</v>
      </c>
      <c r="K236">
        <v>735</v>
      </c>
      <c r="L236">
        <v>8</v>
      </c>
      <c r="M236">
        <v>124</v>
      </c>
      <c r="N236" t="s">
        <v>23</v>
      </c>
      <c r="O236">
        <v>0</v>
      </c>
      <c r="P236">
        <v>14</v>
      </c>
      <c r="Q236">
        <v>465</v>
      </c>
      <c r="R236">
        <v>7140</v>
      </c>
      <c r="S236">
        <v>63.21</v>
      </c>
      <c r="T236">
        <v>124</v>
      </c>
      <c r="U236">
        <v>86</v>
      </c>
      <c r="V236">
        <v>1441.8604651162791</v>
      </c>
      <c r="W236" t="s">
        <v>1153</v>
      </c>
      <c r="X236" t="s">
        <v>1087</v>
      </c>
      <c r="Y236">
        <v>39</v>
      </c>
      <c r="Z236">
        <v>2</v>
      </c>
      <c r="AA236">
        <v>122.5</v>
      </c>
    </row>
    <row r="237" spans="1:27" x14ac:dyDescent="0.3">
      <c r="A237" s="15">
        <v>44482.779062499998</v>
      </c>
      <c r="B237" t="s">
        <v>13</v>
      </c>
      <c r="C237" t="s">
        <v>1132</v>
      </c>
      <c r="D237" s="2">
        <v>44466</v>
      </c>
      <c r="E237" t="s">
        <v>1081</v>
      </c>
      <c r="F237" t="s">
        <v>41</v>
      </c>
      <c r="G237" t="s">
        <v>950</v>
      </c>
      <c r="H237" t="s">
        <v>943</v>
      </c>
      <c r="I237" t="s">
        <v>1145</v>
      </c>
      <c r="J237" t="s">
        <v>1147</v>
      </c>
      <c r="K237">
        <v>920</v>
      </c>
      <c r="L237">
        <v>10</v>
      </c>
      <c r="M237">
        <v>158.24</v>
      </c>
      <c r="N237" t="s">
        <v>23</v>
      </c>
      <c r="O237">
        <v>0</v>
      </c>
      <c r="P237">
        <v>17</v>
      </c>
      <c r="Q237">
        <v>465</v>
      </c>
      <c r="R237">
        <v>7145</v>
      </c>
      <c r="S237">
        <v>79.12</v>
      </c>
      <c r="T237">
        <v>158.24</v>
      </c>
      <c r="U237">
        <v>86</v>
      </c>
      <c r="V237">
        <v>1840</v>
      </c>
      <c r="W237" t="s">
        <v>1153</v>
      </c>
      <c r="X237" t="s">
        <v>1087</v>
      </c>
      <c r="Y237">
        <v>40</v>
      </c>
      <c r="Z237">
        <v>2</v>
      </c>
      <c r="AA237">
        <v>153.33333333333334</v>
      </c>
    </row>
    <row r="238" spans="1:27" x14ac:dyDescent="0.3">
      <c r="A238" s="15">
        <v>44482.778611111113</v>
      </c>
      <c r="B238" t="s">
        <v>13</v>
      </c>
      <c r="C238" t="s">
        <v>1132</v>
      </c>
      <c r="D238" s="2">
        <v>44466</v>
      </c>
      <c r="E238" t="s">
        <v>1081</v>
      </c>
      <c r="F238" t="s">
        <v>41</v>
      </c>
      <c r="G238" t="s">
        <v>950</v>
      </c>
      <c r="H238" t="s">
        <v>943</v>
      </c>
      <c r="I238" t="s">
        <v>1145</v>
      </c>
      <c r="J238" t="s">
        <v>1149</v>
      </c>
      <c r="K238">
        <v>146</v>
      </c>
      <c r="L238">
        <v>2</v>
      </c>
      <c r="M238">
        <v>22.21</v>
      </c>
      <c r="N238" t="s">
        <v>23</v>
      </c>
      <c r="O238">
        <v>0</v>
      </c>
      <c r="P238">
        <v>4</v>
      </c>
      <c r="Q238">
        <v>465</v>
      </c>
      <c r="R238">
        <v>7145</v>
      </c>
      <c r="S238">
        <v>12.555999999999999</v>
      </c>
      <c r="T238">
        <v>22.21</v>
      </c>
      <c r="U238">
        <v>86</v>
      </c>
      <c r="V238">
        <v>258.25581395348837</v>
      </c>
      <c r="W238" t="s">
        <v>1153</v>
      </c>
      <c r="X238" t="s">
        <v>1087</v>
      </c>
      <c r="Y238">
        <v>40</v>
      </c>
      <c r="Z238">
        <v>2</v>
      </c>
      <c r="AA238">
        <v>24.333333333333332</v>
      </c>
    </row>
    <row r="239" spans="1:27" x14ac:dyDescent="0.3">
      <c r="A239" s="15">
        <v>44482.782719907409</v>
      </c>
      <c r="B239" t="s">
        <v>13</v>
      </c>
      <c r="C239" t="s">
        <v>1132</v>
      </c>
      <c r="D239" s="2">
        <v>44467</v>
      </c>
      <c r="E239" t="s">
        <v>1027</v>
      </c>
      <c r="F239" t="s">
        <v>41</v>
      </c>
      <c r="G239" t="s">
        <v>950</v>
      </c>
      <c r="H239" t="s">
        <v>943</v>
      </c>
      <c r="I239" t="s">
        <v>1145</v>
      </c>
      <c r="J239" t="s">
        <v>1148</v>
      </c>
      <c r="K239">
        <v>519</v>
      </c>
      <c r="L239">
        <v>4</v>
      </c>
      <c r="M239">
        <v>89.26</v>
      </c>
      <c r="N239" t="s">
        <v>23</v>
      </c>
      <c r="O239">
        <v>0</v>
      </c>
      <c r="P239">
        <v>10</v>
      </c>
      <c r="Q239">
        <v>465</v>
      </c>
      <c r="R239">
        <v>7147</v>
      </c>
      <c r="S239">
        <v>44.634</v>
      </c>
      <c r="T239">
        <v>89.26</v>
      </c>
      <c r="U239">
        <v>86</v>
      </c>
      <c r="V239">
        <v>1037.9069767441861</v>
      </c>
      <c r="W239" t="s">
        <v>1153</v>
      </c>
      <c r="X239" t="s">
        <v>1087</v>
      </c>
      <c r="Y239">
        <v>40</v>
      </c>
      <c r="Z239">
        <v>2</v>
      </c>
      <c r="AA239">
        <v>86.5</v>
      </c>
    </row>
    <row r="240" spans="1:27" x14ac:dyDescent="0.3">
      <c r="A240" s="15">
        <v>44482.782152777778</v>
      </c>
      <c r="B240" t="s">
        <v>13</v>
      </c>
      <c r="C240" t="s">
        <v>1132</v>
      </c>
      <c r="D240" s="2">
        <v>44467</v>
      </c>
      <c r="E240" t="s">
        <v>1105</v>
      </c>
      <c r="F240" t="s">
        <v>41</v>
      </c>
      <c r="G240" t="s">
        <v>950</v>
      </c>
      <c r="H240" t="s">
        <v>943</v>
      </c>
      <c r="I240" t="s">
        <v>1145</v>
      </c>
      <c r="J240" t="s">
        <v>1146</v>
      </c>
      <c r="K240">
        <v>610</v>
      </c>
      <c r="L240">
        <v>4</v>
      </c>
      <c r="M240">
        <v>105.3</v>
      </c>
      <c r="N240" t="s">
        <v>23</v>
      </c>
      <c r="O240">
        <v>0</v>
      </c>
      <c r="P240">
        <v>8</v>
      </c>
      <c r="Q240">
        <v>465</v>
      </c>
      <c r="R240">
        <v>7147</v>
      </c>
      <c r="S240">
        <v>52.46</v>
      </c>
      <c r="T240">
        <v>105.3</v>
      </c>
      <c r="U240">
        <v>86</v>
      </c>
      <c r="V240">
        <v>1224.4186046511627</v>
      </c>
      <c r="W240" t="s">
        <v>1153</v>
      </c>
      <c r="X240" t="s">
        <v>1087</v>
      </c>
      <c r="Y240">
        <v>40</v>
      </c>
      <c r="Z240">
        <v>2</v>
      </c>
      <c r="AA240">
        <v>101.66666666666667</v>
      </c>
    </row>
    <row r="241" spans="1:27" x14ac:dyDescent="0.3">
      <c r="A241" s="15">
        <v>44482.787060185183</v>
      </c>
      <c r="B241" t="s">
        <v>13</v>
      </c>
      <c r="C241" t="s">
        <v>1080</v>
      </c>
      <c r="D241" s="2">
        <v>44440</v>
      </c>
      <c r="E241" t="s">
        <v>953</v>
      </c>
      <c r="F241" t="s">
        <v>40</v>
      </c>
      <c r="G241" t="s">
        <v>48</v>
      </c>
      <c r="H241" t="s">
        <v>944</v>
      </c>
      <c r="I241" t="s">
        <v>1054</v>
      </c>
      <c r="J241" t="s">
        <v>484</v>
      </c>
      <c r="K241">
        <v>1155</v>
      </c>
      <c r="L241">
        <v>12</v>
      </c>
      <c r="M241">
        <v>81.400000000000006</v>
      </c>
      <c r="N241" t="s">
        <v>23</v>
      </c>
      <c r="O241">
        <v>0</v>
      </c>
      <c r="P241">
        <v>7</v>
      </c>
      <c r="Q241">
        <v>468</v>
      </c>
      <c r="R241">
        <v>6935</v>
      </c>
      <c r="S241">
        <v>13.86</v>
      </c>
      <c r="T241">
        <v>81.400000000000006</v>
      </c>
      <c r="U241">
        <v>12</v>
      </c>
      <c r="V241">
        <v>6783.333333333333</v>
      </c>
      <c r="W241" t="s">
        <v>1153</v>
      </c>
      <c r="X241" t="s">
        <v>1087</v>
      </c>
      <c r="Y241">
        <v>36</v>
      </c>
      <c r="Z241">
        <v>6</v>
      </c>
      <c r="AA241">
        <v>577.5</v>
      </c>
    </row>
    <row r="242" spans="1:27" x14ac:dyDescent="0.3">
      <c r="A242" s="15">
        <v>44482.790636574071</v>
      </c>
      <c r="B242" t="s">
        <v>13</v>
      </c>
      <c r="C242" t="s">
        <v>1080</v>
      </c>
      <c r="D242" s="2">
        <v>44443</v>
      </c>
      <c r="E242" t="s">
        <v>953</v>
      </c>
      <c r="F242" t="s">
        <v>41</v>
      </c>
      <c r="G242" t="s">
        <v>940</v>
      </c>
      <c r="H242" t="s">
        <v>48</v>
      </c>
      <c r="I242" t="s">
        <v>1126</v>
      </c>
      <c r="J242" t="s">
        <v>1121</v>
      </c>
      <c r="K242">
        <v>566</v>
      </c>
      <c r="L242">
        <v>6</v>
      </c>
      <c r="M242">
        <v>27.2</v>
      </c>
      <c r="N242" t="s">
        <v>23</v>
      </c>
      <c r="O242">
        <v>0</v>
      </c>
      <c r="P242">
        <v>0</v>
      </c>
      <c r="Q242">
        <v>451</v>
      </c>
      <c r="R242">
        <v>6937</v>
      </c>
      <c r="S242">
        <v>2.2639999999999998</v>
      </c>
      <c r="T242">
        <v>27.2</v>
      </c>
      <c r="U242">
        <v>4</v>
      </c>
      <c r="V242">
        <v>6800</v>
      </c>
      <c r="W242" t="s">
        <v>1153</v>
      </c>
      <c r="X242" t="s">
        <v>1087</v>
      </c>
      <c r="Y242">
        <v>36</v>
      </c>
      <c r="Z242">
        <v>12</v>
      </c>
      <c r="AA242">
        <v>566</v>
      </c>
    </row>
    <row r="243" spans="1:27" x14ac:dyDescent="0.3">
      <c r="A243" s="15">
        <v>44482.790381944447</v>
      </c>
      <c r="B243" t="s">
        <v>13</v>
      </c>
      <c r="C243" t="s">
        <v>1080</v>
      </c>
      <c r="D243" s="2">
        <v>44443</v>
      </c>
      <c r="E243" t="s">
        <v>953</v>
      </c>
      <c r="F243" t="s">
        <v>41</v>
      </c>
      <c r="G243" t="s">
        <v>940</v>
      </c>
      <c r="H243" t="s">
        <v>48</v>
      </c>
      <c r="I243" t="s">
        <v>1126</v>
      </c>
      <c r="J243" t="s">
        <v>1120</v>
      </c>
      <c r="K243">
        <v>318</v>
      </c>
      <c r="L243">
        <v>2</v>
      </c>
      <c r="M243">
        <v>13.5</v>
      </c>
      <c r="N243" t="s">
        <v>23</v>
      </c>
      <c r="O243">
        <v>0</v>
      </c>
      <c r="P243">
        <v>0</v>
      </c>
      <c r="Q243">
        <v>451</v>
      </c>
      <c r="R243">
        <v>6937</v>
      </c>
      <c r="S243">
        <v>1.272</v>
      </c>
      <c r="T243">
        <v>13.5</v>
      </c>
      <c r="U243">
        <v>4</v>
      </c>
      <c r="V243">
        <v>3375</v>
      </c>
      <c r="W243" t="s">
        <v>1153</v>
      </c>
      <c r="X243" t="s">
        <v>1087</v>
      </c>
      <c r="Y243">
        <v>36</v>
      </c>
      <c r="Z243">
        <v>12</v>
      </c>
      <c r="AA243">
        <v>318</v>
      </c>
    </row>
    <row r="244" spans="1:27" x14ac:dyDescent="0.3">
      <c r="A244" s="15">
        <v>44482.790092592593</v>
      </c>
      <c r="B244" t="s">
        <v>13</v>
      </c>
      <c r="C244" t="s">
        <v>1080</v>
      </c>
      <c r="D244" s="2">
        <v>44443</v>
      </c>
      <c r="E244" t="s">
        <v>953</v>
      </c>
      <c r="F244" t="s">
        <v>41</v>
      </c>
      <c r="G244" t="s">
        <v>940</v>
      </c>
      <c r="H244" t="s">
        <v>48</v>
      </c>
      <c r="I244" t="s">
        <v>1126</v>
      </c>
      <c r="J244" t="s">
        <v>1120</v>
      </c>
      <c r="K244">
        <v>340</v>
      </c>
      <c r="L244">
        <v>3</v>
      </c>
      <c r="M244">
        <v>14.6</v>
      </c>
      <c r="N244" t="s">
        <v>23</v>
      </c>
      <c r="O244">
        <v>0</v>
      </c>
      <c r="P244">
        <v>0</v>
      </c>
      <c r="Q244">
        <v>451</v>
      </c>
      <c r="R244">
        <v>6937</v>
      </c>
      <c r="S244">
        <v>1.36</v>
      </c>
      <c r="T244">
        <v>14.6</v>
      </c>
      <c r="U244">
        <v>4</v>
      </c>
      <c r="V244">
        <v>3650</v>
      </c>
      <c r="W244" t="s">
        <v>1153</v>
      </c>
      <c r="X244" t="s">
        <v>1087</v>
      </c>
      <c r="Y244">
        <v>36</v>
      </c>
      <c r="Z244">
        <v>12</v>
      </c>
      <c r="AA244">
        <v>340</v>
      </c>
    </row>
    <row r="245" spans="1:27" x14ac:dyDescent="0.3">
      <c r="A245" s="15">
        <v>44482.78974537037</v>
      </c>
      <c r="B245" t="s">
        <v>13</v>
      </c>
      <c r="C245" t="s">
        <v>1080</v>
      </c>
      <c r="D245" s="2">
        <v>44443</v>
      </c>
      <c r="E245" t="s">
        <v>953</v>
      </c>
      <c r="F245" t="s">
        <v>41</v>
      </c>
      <c r="G245" t="s">
        <v>940</v>
      </c>
      <c r="H245" t="s">
        <v>48</v>
      </c>
      <c r="I245" t="s">
        <v>1126</v>
      </c>
      <c r="J245" t="s">
        <v>1116</v>
      </c>
      <c r="K245">
        <v>655</v>
      </c>
      <c r="L245">
        <v>6</v>
      </c>
      <c r="M245">
        <v>28</v>
      </c>
      <c r="N245" t="s">
        <v>23</v>
      </c>
      <c r="O245">
        <v>0</v>
      </c>
      <c r="P245">
        <v>0</v>
      </c>
      <c r="Q245">
        <v>451</v>
      </c>
      <c r="R245">
        <v>6937</v>
      </c>
      <c r="S245">
        <v>2.62</v>
      </c>
      <c r="T245">
        <v>28</v>
      </c>
      <c r="U245">
        <v>4</v>
      </c>
      <c r="V245">
        <v>7000</v>
      </c>
      <c r="W245" t="s">
        <v>1153</v>
      </c>
      <c r="X245" t="s">
        <v>1087</v>
      </c>
      <c r="Y245">
        <v>36</v>
      </c>
      <c r="Z245">
        <v>12</v>
      </c>
      <c r="AA245">
        <v>655</v>
      </c>
    </row>
    <row r="246" spans="1:27" x14ac:dyDescent="0.3">
      <c r="A246" s="15">
        <v>44482.789525462962</v>
      </c>
      <c r="B246" t="s">
        <v>13</v>
      </c>
      <c r="C246" t="s">
        <v>1080</v>
      </c>
      <c r="D246" s="2">
        <v>44443</v>
      </c>
      <c r="E246" t="s">
        <v>953</v>
      </c>
      <c r="F246" t="s">
        <v>41</v>
      </c>
      <c r="G246" t="s">
        <v>940</v>
      </c>
      <c r="H246" t="s">
        <v>48</v>
      </c>
      <c r="I246" t="s">
        <v>1126</v>
      </c>
      <c r="J246" t="s">
        <v>1119</v>
      </c>
      <c r="K246">
        <v>340</v>
      </c>
      <c r="L246">
        <v>3</v>
      </c>
      <c r="M246">
        <v>14.7</v>
      </c>
      <c r="N246" t="s">
        <v>23</v>
      </c>
      <c r="O246">
        <v>0</v>
      </c>
      <c r="P246">
        <v>0</v>
      </c>
      <c r="Q246">
        <v>451</v>
      </c>
      <c r="R246">
        <v>6937</v>
      </c>
      <c r="S246">
        <v>1.36</v>
      </c>
      <c r="T246">
        <v>14.7</v>
      </c>
      <c r="U246">
        <v>4</v>
      </c>
      <c r="V246">
        <v>3675</v>
      </c>
      <c r="W246" t="s">
        <v>1153</v>
      </c>
      <c r="X246" t="s">
        <v>1087</v>
      </c>
      <c r="Y246">
        <v>36</v>
      </c>
      <c r="Z246">
        <v>12</v>
      </c>
      <c r="AA246">
        <v>340</v>
      </c>
    </row>
    <row r="247" spans="1:27" x14ac:dyDescent="0.3">
      <c r="A247" s="15">
        <v>44482.794861111113</v>
      </c>
      <c r="B247" t="s">
        <v>13</v>
      </c>
      <c r="C247" t="s">
        <v>1080</v>
      </c>
      <c r="D247" s="2">
        <v>44449</v>
      </c>
      <c r="E247" t="s">
        <v>1027</v>
      </c>
      <c r="F247" t="s">
        <v>40</v>
      </c>
      <c r="G247" t="s">
        <v>48</v>
      </c>
      <c r="H247" t="s">
        <v>944</v>
      </c>
      <c r="I247" t="s">
        <v>973</v>
      </c>
      <c r="J247" t="s">
        <v>509</v>
      </c>
      <c r="K247">
        <v>1501</v>
      </c>
      <c r="L247">
        <v>12</v>
      </c>
      <c r="M247">
        <v>38.700000000000003</v>
      </c>
      <c r="N247" t="s">
        <v>23</v>
      </c>
      <c r="O247">
        <v>0</v>
      </c>
      <c r="P247">
        <v>0</v>
      </c>
      <c r="Q247">
        <v>457</v>
      </c>
      <c r="R247">
        <v>6946</v>
      </c>
      <c r="S247">
        <v>6.0039999999999996</v>
      </c>
      <c r="T247">
        <v>38.700000000000003</v>
      </c>
      <c r="U247">
        <v>4</v>
      </c>
      <c r="V247">
        <v>9675</v>
      </c>
      <c r="W247" t="s">
        <v>1153</v>
      </c>
      <c r="X247" t="s">
        <v>1087</v>
      </c>
      <c r="Y247">
        <v>37</v>
      </c>
      <c r="Z247">
        <v>6</v>
      </c>
      <c r="AA247">
        <v>750.5</v>
      </c>
    </row>
    <row r="248" spans="1:27" x14ac:dyDescent="0.3">
      <c r="A248" s="15">
        <v>44482.796689814815</v>
      </c>
      <c r="B248" t="s">
        <v>13</v>
      </c>
      <c r="C248" t="s">
        <v>1080</v>
      </c>
      <c r="D248" s="2">
        <v>44453</v>
      </c>
      <c r="E248" t="s">
        <v>1081</v>
      </c>
      <c r="F248" t="s">
        <v>40</v>
      </c>
      <c r="G248" t="s">
        <v>48</v>
      </c>
      <c r="H248" t="s">
        <v>944</v>
      </c>
      <c r="I248" t="s">
        <v>973</v>
      </c>
      <c r="J248" t="s">
        <v>509</v>
      </c>
      <c r="K248">
        <v>1620</v>
      </c>
      <c r="L248">
        <v>12</v>
      </c>
      <c r="M248">
        <v>40.6</v>
      </c>
      <c r="N248" t="s">
        <v>23</v>
      </c>
      <c r="O248">
        <v>0</v>
      </c>
      <c r="P248">
        <v>0</v>
      </c>
      <c r="Q248">
        <v>457</v>
      </c>
      <c r="R248">
        <v>6950</v>
      </c>
      <c r="S248">
        <v>6.48</v>
      </c>
      <c r="T248">
        <v>40.6</v>
      </c>
      <c r="U248">
        <v>4</v>
      </c>
      <c r="V248">
        <v>10150</v>
      </c>
      <c r="W248" t="s">
        <v>1153</v>
      </c>
      <c r="X248" t="s">
        <v>1087</v>
      </c>
      <c r="Y248">
        <v>38</v>
      </c>
      <c r="Z248">
        <v>6</v>
      </c>
      <c r="AA248">
        <v>810</v>
      </c>
    </row>
    <row r="249" spans="1:27" x14ac:dyDescent="0.3">
      <c r="A249" s="15">
        <v>44482.797615740739</v>
      </c>
      <c r="B249" t="s">
        <v>13</v>
      </c>
      <c r="C249" t="s">
        <v>1080</v>
      </c>
      <c r="D249" s="2">
        <v>44454</v>
      </c>
      <c r="E249" t="s">
        <v>953</v>
      </c>
      <c r="F249" t="s">
        <v>40</v>
      </c>
      <c r="G249" t="s">
        <v>48</v>
      </c>
      <c r="H249" t="s">
        <v>944</v>
      </c>
      <c r="I249" t="s">
        <v>973</v>
      </c>
      <c r="J249" t="s">
        <v>509</v>
      </c>
      <c r="K249">
        <v>1533</v>
      </c>
      <c r="L249">
        <v>12</v>
      </c>
      <c r="M249">
        <v>39.1</v>
      </c>
      <c r="N249" t="s">
        <v>23</v>
      </c>
      <c r="O249">
        <v>0</v>
      </c>
      <c r="P249">
        <v>0</v>
      </c>
      <c r="Q249">
        <v>457</v>
      </c>
      <c r="R249">
        <v>6954</v>
      </c>
      <c r="S249">
        <v>6.1319999999999997</v>
      </c>
      <c r="T249">
        <v>39.1</v>
      </c>
      <c r="U249">
        <v>4</v>
      </c>
      <c r="V249">
        <v>9775</v>
      </c>
      <c r="W249" t="s">
        <v>1153</v>
      </c>
      <c r="X249" t="s">
        <v>1087</v>
      </c>
      <c r="Y249">
        <v>38</v>
      </c>
      <c r="Z249">
        <v>6</v>
      </c>
      <c r="AA249">
        <v>766.5</v>
      </c>
    </row>
    <row r="250" spans="1:27" x14ac:dyDescent="0.3">
      <c r="A250" s="15">
        <v>44477.585069444445</v>
      </c>
      <c r="B250" t="s">
        <v>13</v>
      </c>
      <c r="C250" t="s">
        <v>1080</v>
      </c>
      <c r="D250" s="2">
        <v>44454</v>
      </c>
      <c r="E250" t="s">
        <v>1081</v>
      </c>
      <c r="F250" t="s">
        <v>41</v>
      </c>
      <c r="G250" t="s">
        <v>940</v>
      </c>
      <c r="H250" t="s">
        <v>48</v>
      </c>
      <c r="I250" t="s">
        <v>961</v>
      </c>
      <c r="J250" t="s">
        <v>501</v>
      </c>
      <c r="K250">
        <v>2160</v>
      </c>
      <c r="L250">
        <v>12</v>
      </c>
      <c r="M250">
        <v>38.200000000000003</v>
      </c>
      <c r="N250" t="s">
        <v>23</v>
      </c>
      <c r="O250">
        <v>0</v>
      </c>
      <c r="P250">
        <v>3</v>
      </c>
      <c r="Q250">
        <v>438</v>
      </c>
      <c r="R250">
        <v>6747</v>
      </c>
      <c r="S250">
        <v>7.56</v>
      </c>
      <c r="T250">
        <v>38.200000000000003</v>
      </c>
      <c r="U250">
        <v>3.5</v>
      </c>
      <c r="V250">
        <v>10914.285714285714</v>
      </c>
      <c r="W250" t="s">
        <v>1153</v>
      </c>
      <c r="X250" t="s">
        <v>1087</v>
      </c>
      <c r="Y250">
        <v>38</v>
      </c>
      <c r="Z250">
        <v>4</v>
      </c>
      <c r="AA250">
        <v>720</v>
      </c>
    </row>
    <row r="251" spans="1:27" x14ac:dyDescent="0.3">
      <c r="A251" s="15">
        <v>44482.798182870371</v>
      </c>
      <c r="B251" t="s">
        <v>13</v>
      </c>
      <c r="C251" t="s">
        <v>1080</v>
      </c>
      <c r="D251" s="2">
        <v>44455</v>
      </c>
      <c r="E251" t="s">
        <v>1081</v>
      </c>
      <c r="F251" t="s">
        <v>40</v>
      </c>
      <c r="G251" t="s">
        <v>48</v>
      </c>
      <c r="H251" t="s">
        <v>944</v>
      </c>
      <c r="I251" t="s">
        <v>973</v>
      </c>
      <c r="J251" t="s">
        <v>509</v>
      </c>
      <c r="K251">
        <v>1558</v>
      </c>
      <c r="L251">
        <v>12</v>
      </c>
      <c r="M251">
        <v>40.5</v>
      </c>
      <c r="N251" t="s">
        <v>23</v>
      </c>
      <c r="O251">
        <v>0</v>
      </c>
      <c r="P251">
        <v>0</v>
      </c>
      <c r="Q251">
        <v>457</v>
      </c>
      <c r="R251">
        <v>6956</v>
      </c>
      <c r="S251">
        <v>6.2320000000000002</v>
      </c>
      <c r="T251">
        <v>40.5</v>
      </c>
      <c r="U251">
        <v>4</v>
      </c>
      <c r="V251">
        <v>10125</v>
      </c>
      <c r="W251" t="s">
        <v>1153</v>
      </c>
      <c r="X251" t="s">
        <v>1087</v>
      </c>
      <c r="Y251">
        <v>38</v>
      </c>
      <c r="Z251">
        <v>6</v>
      </c>
      <c r="AA251">
        <v>779</v>
      </c>
    </row>
    <row r="252" spans="1:27" x14ac:dyDescent="0.3">
      <c r="A252" s="15">
        <v>44482.79892361111</v>
      </c>
      <c r="B252" t="s">
        <v>13</v>
      </c>
      <c r="C252" t="s">
        <v>1080</v>
      </c>
      <c r="D252" s="2">
        <v>44456</v>
      </c>
      <c r="E252" t="s">
        <v>1081</v>
      </c>
      <c r="F252" t="s">
        <v>40</v>
      </c>
      <c r="G252" t="s">
        <v>48</v>
      </c>
      <c r="H252" t="s">
        <v>944</v>
      </c>
      <c r="I252" t="s">
        <v>973</v>
      </c>
      <c r="J252" t="s">
        <v>509</v>
      </c>
      <c r="K252">
        <v>1558</v>
      </c>
      <c r="L252">
        <v>12</v>
      </c>
      <c r="M252">
        <v>40.5</v>
      </c>
      <c r="N252" t="s">
        <v>23</v>
      </c>
      <c r="O252">
        <v>0</v>
      </c>
      <c r="P252">
        <v>0</v>
      </c>
      <c r="Q252">
        <v>457</v>
      </c>
      <c r="R252">
        <v>6958</v>
      </c>
      <c r="S252">
        <v>6.2320000000000002</v>
      </c>
      <c r="T252">
        <v>40.5</v>
      </c>
      <c r="U252">
        <v>4</v>
      </c>
      <c r="V252">
        <v>10125</v>
      </c>
      <c r="W252" t="s">
        <v>1153</v>
      </c>
      <c r="X252" t="s">
        <v>1087</v>
      </c>
      <c r="Y252">
        <v>38</v>
      </c>
      <c r="Z252">
        <v>6</v>
      </c>
      <c r="AA252">
        <v>779</v>
      </c>
    </row>
    <row r="253" spans="1:27" x14ac:dyDescent="0.3">
      <c r="A253" s="15">
        <v>44482.800416666665</v>
      </c>
      <c r="B253" t="s">
        <v>13</v>
      </c>
      <c r="C253" t="s">
        <v>1080</v>
      </c>
      <c r="D253" s="2">
        <v>44462</v>
      </c>
      <c r="E253" t="s">
        <v>953</v>
      </c>
      <c r="F253" t="s">
        <v>40</v>
      </c>
      <c r="G253" t="s">
        <v>48</v>
      </c>
      <c r="H253" t="s">
        <v>944</v>
      </c>
      <c r="I253" t="s">
        <v>1054</v>
      </c>
      <c r="J253" t="s">
        <v>484</v>
      </c>
      <c r="K253">
        <v>1045</v>
      </c>
      <c r="L253">
        <v>12</v>
      </c>
      <c r="M253">
        <v>81.599999999999994</v>
      </c>
      <c r="N253" t="s">
        <v>23</v>
      </c>
      <c r="O253">
        <v>0</v>
      </c>
      <c r="P253">
        <v>0</v>
      </c>
      <c r="Q253">
        <v>457</v>
      </c>
      <c r="R253">
        <v>6961</v>
      </c>
      <c r="S253">
        <v>12.54</v>
      </c>
      <c r="T253">
        <v>81.599999999999994</v>
      </c>
      <c r="U253">
        <v>12</v>
      </c>
      <c r="V253">
        <v>6800</v>
      </c>
      <c r="W253" t="s">
        <v>1153</v>
      </c>
      <c r="X253" t="s">
        <v>1087</v>
      </c>
      <c r="Y253">
        <v>39</v>
      </c>
      <c r="Z253">
        <v>6</v>
      </c>
      <c r="AA253">
        <v>522.5</v>
      </c>
    </row>
    <row r="254" spans="1:27" x14ac:dyDescent="0.3">
      <c r="A254" s="15">
        <v>44482.80097222222</v>
      </c>
      <c r="B254" t="s">
        <v>13</v>
      </c>
      <c r="C254" t="s">
        <v>1080</v>
      </c>
      <c r="D254" s="2">
        <v>44463</v>
      </c>
      <c r="E254" t="s">
        <v>953</v>
      </c>
      <c r="F254" t="s">
        <v>40</v>
      </c>
      <c r="G254" t="s">
        <v>48</v>
      </c>
      <c r="H254" t="s">
        <v>944</v>
      </c>
      <c r="I254" t="s">
        <v>1054</v>
      </c>
      <c r="J254" t="s">
        <v>484</v>
      </c>
      <c r="K254">
        <v>1290</v>
      </c>
      <c r="L254">
        <v>12</v>
      </c>
      <c r="M254">
        <v>99.8</v>
      </c>
      <c r="N254" t="s">
        <v>23</v>
      </c>
      <c r="O254">
        <v>0</v>
      </c>
      <c r="P254">
        <v>0</v>
      </c>
      <c r="Q254">
        <v>457</v>
      </c>
      <c r="R254">
        <v>6963</v>
      </c>
      <c r="S254">
        <v>15.48</v>
      </c>
      <c r="T254">
        <v>99.8</v>
      </c>
      <c r="U254">
        <v>12</v>
      </c>
      <c r="V254">
        <v>8316.6666666666661</v>
      </c>
      <c r="W254" t="s">
        <v>1153</v>
      </c>
      <c r="X254" t="s">
        <v>1087</v>
      </c>
      <c r="Y254">
        <v>39</v>
      </c>
      <c r="Z254">
        <v>6</v>
      </c>
      <c r="AA254">
        <v>645</v>
      </c>
    </row>
    <row r="255" spans="1:27" x14ac:dyDescent="0.3">
      <c r="A255" s="15">
        <v>44477.581053240741</v>
      </c>
      <c r="B255" t="s">
        <v>13</v>
      </c>
      <c r="C255" t="s">
        <v>1028</v>
      </c>
      <c r="D255" s="2">
        <v>44447</v>
      </c>
      <c r="E255" t="s">
        <v>953</v>
      </c>
      <c r="F255" t="s">
        <v>41</v>
      </c>
      <c r="G255" t="s">
        <v>943</v>
      </c>
      <c r="H255" t="s">
        <v>48</v>
      </c>
      <c r="I255" t="s">
        <v>1127</v>
      </c>
      <c r="J255" t="s">
        <v>1124</v>
      </c>
      <c r="K255">
        <v>388</v>
      </c>
      <c r="L255">
        <v>5</v>
      </c>
      <c r="M255">
        <v>34.14</v>
      </c>
      <c r="N255" t="s">
        <v>23</v>
      </c>
      <c r="O255">
        <v>0</v>
      </c>
      <c r="P255">
        <v>4</v>
      </c>
      <c r="Q255">
        <v>455</v>
      </c>
      <c r="R255">
        <v>6741</v>
      </c>
      <c r="S255">
        <v>8.5359999999999996</v>
      </c>
      <c r="T255">
        <v>34.14</v>
      </c>
      <c r="U255">
        <v>22</v>
      </c>
      <c r="V255">
        <v>1551.8181818181818</v>
      </c>
      <c r="W255" t="s">
        <v>1153</v>
      </c>
      <c r="X255" t="s">
        <v>1087</v>
      </c>
      <c r="Y255">
        <v>37</v>
      </c>
      <c r="Z255">
        <v>4</v>
      </c>
      <c r="AA255">
        <v>129.33333333333334</v>
      </c>
    </row>
    <row r="256" spans="1:27" x14ac:dyDescent="0.3">
      <c r="A256" s="15">
        <v>44477.580497685187</v>
      </c>
      <c r="B256" t="s">
        <v>13</v>
      </c>
      <c r="C256" t="s">
        <v>1028</v>
      </c>
      <c r="D256" s="2">
        <v>44447</v>
      </c>
      <c r="E256" t="s">
        <v>953</v>
      </c>
      <c r="F256" t="s">
        <v>41</v>
      </c>
      <c r="G256" t="s">
        <v>943</v>
      </c>
      <c r="H256" t="s">
        <v>48</v>
      </c>
      <c r="I256" t="s">
        <v>1127</v>
      </c>
      <c r="J256" t="s">
        <v>1122</v>
      </c>
      <c r="K256">
        <v>80</v>
      </c>
      <c r="L256">
        <v>1</v>
      </c>
      <c r="M256">
        <v>7.04</v>
      </c>
      <c r="N256" t="s">
        <v>23</v>
      </c>
      <c r="O256">
        <v>0</v>
      </c>
      <c r="P256">
        <v>1</v>
      </c>
      <c r="Q256">
        <v>455</v>
      </c>
      <c r="R256">
        <v>6741</v>
      </c>
      <c r="S256">
        <v>1.76</v>
      </c>
      <c r="T256">
        <v>7.04</v>
      </c>
      <c r="U256">
        <v>22</v>
      </c>
      <c r="V256">
        <v>320</v>
      </c>
      <c r="W256" t="s">
        <v>1153</v>
      </c>
      <c r="X256" t="s">
        <v>1087</v>
      </c>
      <c r="Y256">
        <v>37</v>
      </c>
      <c r="Z256">
        <v>4</v>
      </c>
      <c r="AA256">
        <v>26.666666666666668</v>
      </c>
    </row>
    <row r="257" spans="1:27" x14ac:dyDescent="0.3">
      <c r="A257" s="15">
        <v>44477.597349537034</v>
      </c>
      <c r="B257" t="s">
        <v>13</v>
      </c>
      <c r="C257" t="s">
        <v>1028</v>
      </c>
      <c r="D257" s="2">
        <v>44457</v>
      </c>
      <c r="E257" t="s">
        <v>953</v>
      </c>
      <c r="F257" t="s">
        <v>41</v>
      </c>
      <c r="G257" t="s">
        <v>950</v>
      </c>
      <c r="H257" t="s">
        <v>951</v>
      </c>
      <c r="I257" t="s">
        <v>1103</v>
      </c>
      <c r="J257" t="s">
        <v>1102</v>
      </c>
      <c r="K257">
        <v>559</v>
      </c>
      <c r="L257">
        <v>7</v>
      </c>
      <c r="M257">
        <v>15.65</v>
      </c>
      <c r="N257" t="s">
        <v>23</v>
      </c>
      <c r="O257">
        <v>0</v>
      </c>
      <c r="P257">
        <v>2</v>
      </c>
      <c r="Q257">
        <v>463</v>
      </c>
      <c r="R257">
        <v>6751</v>
      </c>
      <c r="S257">
        <v>15.651999999999999</v>
      </c>
      <c r="T257">
        <v>15.65</v>
      </c>
      <c r="U257">
        <v>28</v>
      </c>
      <c r="V257">
        <v>558.92857142857144</v>
      </c>
      <c r="W257" t="s">
        <v>1153</v>
      </c>
      <c r="X257" t="s">
        <v>1087</v>
      </c>
      <c r="Y257">
        <v>38</v>
      </c>
      <c r="Z257">
        <v>1</v>
      </c>
      <c r="AA257">
        <v>46.583333333333336</v>
      </c>
    </row>
    <row r="258" spans="1:27" x14ac:dyDescent="0.3">
      <c r="A258" s="15">
        <v>44477.596863425926</v>
      </c>
      <c r="B258" t="s">
        <v>13</v>
      </c>
      <c r="C258" t="s">
        <v>1028</v>
      </c>
      <c r="D258" s="2">
        <v>44457</v>
      </c>
      <c r="E258" t="s">
        <v>953</v>
      </c>
      <c r="F258" t="s">
        <v>41</v>
      </c>
      <c r="G258" t="s">
        <v>950</v>
      </c>
      <c r="H258" t="s">
        <v>951</v>
      </c>
      <c r="I258" t="s">
        <v>1103</v>
      </c>
      <c r="J258" t="s">
        <v>1101</v>
      </c>
      <c r="K258">
        <v>1000</v>
      </c>
      <c r="L258">
        <v>7</v>
      </c>
      <c r="M258">
        <v>28.3</v>
      </c>
      <c r="N258" t="s">
        <v>23</v>
      </c>
      <c r="O258">
        <v>0</v>
      </c>
      <c r="P258">
        <v>3</v>
      </c>
      <c r="Q258">
        <v>463</v>
      </c>
      <c r="R258">
        <v>6751</v>
      </c>
      <c r="S258">
        <v>28</v>
      </c>
      <c r="T258">
        <v>28.3</v>
      </c>
      <c r="U258">
        <v>28</v>
      </c>
      <c r="V258">
        <v>1010.7142857142857</v>
      </c>
      <c r="W258" t="s">
        <v>1153</v>
      </c>
      <c r="X258" t="s">
        <v>1087</v>
      </c>
      <c r="Y258">
        <v>38</v>
      </c>
      <c r="Z258">
        <v>1</v>
      </c>
      <c r="AA258">
        <v>83.333333333333329</v>
      </c>
    </row>
    <row r="259" spans="1:27" x14ac:dyDescent="0.3">
      <c r="A259" s="15">
        <v>44477.599942129629</v>
      </c>
      <c r="B259" t="s">
        <v>13</v>
      </c>
      <c r="C259" t="s">
        <v>1028</v>
      </c>
      <c r="D259" s="2">
        <v>44459</v>
      </c>
      <c r="E259" t="s">
        <v>1081</v>
      </c>
      <c r="F259" t="s">
        <v>41</v>
      </c>
      <c r="G259" t="s">
        <v>950</v>
      </c>
      <c r="H259" t="s">
        <v>951</v>
      </c>
      <c r="I259" t="s">
        <v>1103</v>
      </c>
      <c r="J259" t="s">
        <v>1102</v>
      </c>
      <c r="K259">
        <v>1945</v>
      </c>
      <c r="L259">
        <v>12</v>
      </c>
      <c r="M259">
        <v>54.46</v>
      </c>
      <c r="N259" t="s">
        <v>23</v>
      </c>
      <c r="O259">
        <v>0</v>
      </c>
      <c r="P259">
        <v>8</v>
      </c>
      <c r="Q259">
        <v>463</v>
      </c>
      <c r="R259">
        <v>6753</v>
      </c>
      <c r="S259">
        <v>54.46</v>
      </c>
      <c r="T259">
        <v>54.46</v>
      </c>
      <c r="U259">
        <v>28</v>
      </c>
      <c r="V259">
        <v>1945</v>
      </c>
      <c r="W259" t="s">
        <v>1153</v>
      </c>
      <c r="X259" t="s">
        <v>1087</v>
      </c>
      <c r="Y259">
        <v>39</v>
      </c>
      <c r="Z259">
        <v>1</v>
      </c>
      <c r="AA259">
        <v>162.08333333333334</v>
      </c>
    </row>
    <row r="260" spans="1:27" x14ac:dyDescent="0.3">
      <c r="A260" s="15">
        <v>44477.60491898148</v>
      </c>
      <c r="B260" t="s">
        <v>13</v>
      </c>
      <c r="C260" t="s">
        <v>1028</v>
      </c>
      <c r="D260" s="2">
        <v>44460</v>
      </c>
      <c r="E260" t="s">
        <v>1133</v>
      </c>
      <c r="F260" t="s">
        <v>41</v>
      </c>
      <c r="G260" t="s">
        <v>950</v>
      </c>
      <c r="H260" t="s">
        <v>951</v>
      </c>
      <c r="I260" t="s">
        <v>1103</v>
      </c>
      <c r="J260" t="s">
        <v>1099</v>
      </c>
      <c r="K260">
        <v>1820</v>
      </c>
      <c r="L260">
        <v>12</v>
      </c>
      <c r="M260">
        <v>50.96</v>
      </c>
      <c r="N260" t="s">
        <v>23</v>
      </c>
      <c r="O260">
        <v>0</v>
      </c>
      <c r="P260">
        <v>3</v>
      </c>
      <c r="Q260">
        <v>463</v>
      </c>
      <c r="R260">
        <v>6755</v>
      </c>
      <c r="S260">
        <v>50.96</v>
      </c>
      <c r="T260">
        <v>50.96</v>
      </c>
      <c r="U260">
        <v>28</v>
      </c>
      <c r="V260">
        <v>1820</v>
      </c>
      <c r="W260" t="s">
        <v>1153</v>
      </c>
      <c r="X260" t="s">
        <v>1087</v>
      </c>
      <c r="Y260">
        <v>39</v>
      </c>
      <c r="Z260">
        <v>1</v>
      </c>
      <c r="AA260">
        <v>151.66666666666666</v>
      </c>
    </row>
    <row r="261" spans="1:27" x14ac:dyDescent="0.3">
      <c r="A261" s="15">
        <v>44477.601458333331</v>
      </c>
      <c r="B261" t="s">
        <v>13</v>
      </c>
      <c r="C261" t="s">
        <v>1028</v>
      </c>
      <c r="D261" s="2">
        <v>44460</v>
      </c>
      <c r="E261" t="s">
        <v>1133</v>
      </c>
      <c r="F261" t="s">
        <v>41</v>
      </c>
      <c r="G261" t="s">
        <v>950</v>
      </c>
      <c r="H261" t="s">
        <v>951</v>
      </c>
      <c r="I261" t="s">
        <v>1103</v>
      </c>
      <c r="J261" t="s">
        <v>1102</v>
      </c>
      <c r="K261">
        <v>160</v>
      </c>
      <c r="L261">
        <v>3</v>
      </c>
      <c r="M261">
        <v>4.4800000000000004</v>
      </c>
      <c r="N261" t="s">
        <v>23</v>
      </c>
      <c r="O261">
        <v>0</v>
      </c>
      <c r="P261">
        <v>1</v>
      </c>
      <c r="Q261">
        <v>463</v>
      </c>
      <c r="R261">
        <v>6754</v>
      </c>
      <c r="S261">
        <v>4.4800000000000004</v>
      </c>
      <c r="T261">
        <v>4.4800000000000004</v>
      </c>
      <c r="U261">
        <v>28</v>
      </c>
      <c r="V261">
        <v>160</v>
      </c>
      <c r="W261" t="s">
        <v>1153</v>
      </c>
      <c r="X261" t="s">
        <v>1087</v>
      </c>
      <c r="Y261">
        <v>39</v>
      </c>
      <c r="Z261">
        <v>1</v>
      </c>
      <c r="AA261">
        <v>13.333333333333334</v>
      </c>
    </row>
    <row r="262" spans="1:27" x14ac:dyDescent="0.3">
      <c r="A262" s="15">
        <v>44477.606805555559</v>
      </c>
      <c r="B262" t="s">
        <v>13</v>
      </c>
      <c r="C262" t="s">
        <v>1028</v>
      </c>
      <c r="D262" s="2">
        <v>44461</v>
      </c>
      <c r="E262" t="s">
        <v>1081</v>
      </c>
      <c r="F262" t="s">
        <v>41</v>
      </c>
      <c r="G262" t="s">
        <v>950</v>
      </c>
      <c r="H262" t="s">
        <v>951</v>
      </c>
      <c r="I262" t="s">
        <v>1103</v>
      </c>
      <c r="J262" t="s">
        <v>1100</v>
      </c>
      <c r="K262">
        <v>1920</v>
      </c>
      <c r="L262">
        <v>12</v>
      </c>
      <c r="M262">
        <v>53.76</v>
      </c>
      <c r="N262" t="s">
        <v>23</v>
      </c>
      <c r="O262">
        <v>0</v>
      </c>
      <c r="P262">
        <v>8</v>
      </c>
      <c r="Q262">
        <v>463</v>
      </c>
      <c r="R262">
        <v>6758</v>
      </c>
      <c r="S262">
        <v>53.76</v>
      </c>
      <c r="T262">
        <v>53.76</v>
      </c>
      <c r="U262">
        <v>28</v>
      </c>
      <c r="V262">
        <v>1920</v>
      </c>
      <c r="W262" t="s">
        <v>1153</v>
      </c>
      <c r="X262" t="s">
        <v>1087</v>
      </c>
      <c r="Y262">
        <v>39</v>
      </c>
      <c r="Z262">
        <v>1</v>
      </c>
      <c r="AA262">
        <v>160</v>
      </c>
    </row>
    <row r="263" spans="1:27" x14ac:dyDescent="0.3">
      <c r="A263" s="15">
        <v>44482.657025462962</v>
      </c>
      <c r="B263" t="s">
        <v>13</v>
      </c>
      <c r="C263" t="s">
        <v>1028</v>
      </c>
      <c r="D263" s="2">
        <v>44469</v>
      </c>
      <c r="E263" t="s">
        <v>1081</v>
      </c>
      <c r="F263" t="s">
        <v>41</v>
      </c>
      <c r="G263" t="s">
        <v>950</v>
      </c>
      <c r="H263" t="s">
        <v>951</v>
      </c>
      <c r="I263" t="s">
        <v>1103</v>
      </c>
      <c r="J263" t="s">
        <v>1102</v>
      </c>
      <c r="K263">
        <v>902</v>
      </c>
      <c r="L263">
        <v>6</v>
      </c>
      <c r="M263">
        <v>25.26</v>
      </c>
      <c r="N263" t="s">
        <v>23</v>
      </c>
      <c r="O263">
        <v>0</v>
      </c>
      <c r="P263">
        <v>4</v>
      </c>
      <c r="Q263">
        <v>463</v>
      </c>
      <c r="R263">
        <v>6766</v>
      </c>
      <c r="S263">
        <v>25.256</v>
      </c>
      <c r="T263">
        <v>25.26</v>
      </c>
      <c r="U263">
        <v>28</v>
      </c>
      <c r="V263">
        <v>902.14285714285711</v>
      </c>
      <c r="W263" t="s">
        <v>1153</v>
      </c>
      <c r="X263" t="s">
        <v>1087</v>
      </c>
      <c r="Y263">
        <v>40</v>
      </c>
      <c r="Z263">
        <v>1</v>
      </c>
      <c r="AA263">
        <v>75.166666666666671</v>
      </c>
    </row>
    <row r="264" spans="1:27" x14ac:dyDescent="0.3">
      <c r="A264" s="15">
        <v>44482.656597222223</v>
      </c>
      <c r="B264" t="s">
        <v>13</v>
      </c>
      <c r="C264" t="s">
        <v>1028</v>
      </c>
      <c r="D264" s="2">
        <v>44469</v>
      </c>
      <c r="E264" t="s">
        <v>1081</v>
      </c>
      <c r="F264" t="s">
        <v>41</v>
      </c>
      <c r="G264" t="s">
        <v>950</v>
      </c>
      <c r="H264" t="s">
        <v>951</v>
      </c>
      <c r="I264" t="s">
        <v>1103</v>
      </c>
      <c r="J264" t="s">
        <v>1099</v>
      </c>
      <c r="K264">
        <v>732</v>
      </c>
      <c r="L264">
        <v>5</v>
      </c>
      <c r="M264">
        <v>20.49</v>
      </c>
      <c r="N264" t="s">
        <v>23</v>
      </c>
      <c r="O264">
        <v>0</v>
      </c>
      <c r="P264">
        <v>3</v>
      </c>
      <c r="Q264">
        <v>463</v>
      </c>
      <c r="R264">
        <v>6766</v>
      </c>
      <c r="S264">
        <v>20.495999999999999</v>
      </c>
      <c r="T264">
        <v>20.49</v>
      </c>
      <c r="U264">
        <v>28</v>
      </c>
      <c r="V264">
        <v>731.78571428571433</v>
      </c>
      <c r="W264" t="s">
        <v>1153</v>
      </c>
      <c r="X264" t="s">
        <v>1087</v>
      </c>
      <c r="Y264">
        <v>40</v>
      </c>
      <c r="Z264">
        <v>1</v>
      </c>
      <c r="AA264">
        <v>61</v>
      </c>
    </row>
    <row r="265" spans="1:27" x14ac:dyDescent="0.3">
      <c r="A265" s="15">
        <v>44482.708611111113</v>
      </c>
      <c r="B265" t="s">
        <v>12</v>
      </c>
      <c r="C265" t="s">
        <v>1078</v>
      </c>
      <c r="D265" s="2">
        <v>44449</v>
      </c>
      <c r="E265" t="s">
        <v>953</v>
      </c>
      <c r="F265" t="s">
        <v>41</v>
      </c>
      <c r="G265" t="s">
        <v>942</v>
      </c>
      <c r="H265" t="s">
        <v>48</v>
      </c>
      <c r="I265" t="s">
        <v>1140</v>
      </c>
      <c r="J265" t="s">
        <v>1137</v>
      </c>
      <c r="K265">
        <v>540</v>
      </c>
      <c r="L265">
        <v>5</v>
      </c>
      <c r="M265">
        <v>26.7</v>
      </c>
      <c r="N265" t="s">
        <v>23</v>
      </c>
      <c r="O265">
        <v>0</v>
      </c>
      <c r="P265">
        <v>4</v>
      </c>
      <c r="R265">
        <v>7022</v>
      </c>
      <c r="S265">
        <v>27</v>
      </c>
      <c r="T265">
        <v>26.7</v>
      </c>
      <c r="U265">
        <v>50</v>
      </c>
      <c r="V265">
        <v>534</v>
      </c>
      <c r="W265" t="s">
        <v>1153</v>
      </c>
      <c r="X265" t="s">
        <v>1087</v>
      </c>
      <c r="Y265">
        <v>37</v>
      </c>
      <c r="Z265">
        <v>1</v>
      </c>
      <c r="AA265">
        <v>45</v>
      </c>
    </row>
    <row r="266" spans="1:27" x14ac:dyDescent="0.3">
      <c r="A266" s="15">
        <v>44482.708310185182</v>
      </c>
      <c r="B266" t="s">
        <v>12</v>
      </c>
      <c r="C266" t="s">
        <v>1078</v>
      </c>
      <c r="D266" s="2">
        <v>44449</v>
      </c>
      <c r="E266" t="s">
        <v>953</v>
      </c>
      <c r="F266" t="s">
        <v>41</v>
      </c>
      <c r="G266" t="s">
        <v>942</v>
      </c>
      <c r="H266" t="s">
        <v>48</v>
      </c>
      <c r="I266" t="s">
        <v>1140</v>
      </c>
      <c r="J266" t="s">
        <v>1138</v>
      </c>
      <c r="K266">
        <v>782</v>
      </c>
      <c r="L266">
        <v>5</v>
      </c>
      <c r="M266">
        <v>39.200000000000003</v>
      </c>
      <c r="N266" t="s">
        <v>23</v>
      </c>
      <c r="O266">
        <v>0</v>
      </c>
      <c r="P266">
        <v>6</v>
      </c>
      <c r="R266">
        <v>7022</v>
      </c>
      <c r="S266">
        <v>39.1</v>
      </c>
      <c r="T266">
        <v>39.200000000000003</v>
      </c>
      <c r="U266">
        <v>50</v>
      </c>
      <c r="V266">
        <v>784</v>
      </c>
      <c r="W266" t="s">
        <v>1153</v>
      </c>
      <c r="X266" t="s">
        <v>1087</v>
      </c>
      <c r="Y266">
        <v>37</v>
      </c>
      <c r="Z266">
        <v>1</v>
      </c>
      <c r="AA266">
        <v>65.166666666666671</v>
      </c>
    </row>
    <row r="267" spans="1:27" x14ac:dyDescent="0.3">
      <c r="A267" s="15">
        <v>44482.711064814815</v>
      </c>
      <c r="B267" t="s">
        <v>12</v>
      </c>
      <c r="C267" t="s">
        <v>1078</v>
      </c>
      <c r="D267" s="2">
        <v>44450</v>
      </c>
      <c r="E267" t="s">
        <v>1027</v>
      </c>
      <c r="F267" t="s">
        <v>41</v>
      </c>
      <c r="G267" t="s">
        <v>942</v>
      </c>
      <c r="H267" t="s">
        <v>48</v>
      </c>
      <c r="I267" t="s">
        <v>1140</v>
      </c>
      <c r="J267" t="s">
        <v>1135</v>
      </c>
      <c r="K267">
        <v>80</v>
      </c>
      <c r="L267">
        <v>2</v>
      </c>
      <c r="M267">
        <v>4</v>
      </c>
      <c r="N267" t="s">
        <v>23</v>
      </c>
      <c r="O267">
        <v>0</v>
      </c>
      <c r="P267">
        <v>1</v>
      </c>
      <c r="R267">
        <v>7024</v>
      </c>
      <c r="S267">
        <v>4</v>
      </c>
      <c r="T267">
        <v>4</v>
      </c>
      <c r="U267">
        <v>50</v>
      </c>
      <c r="V267">
        <v>80</v>
      </c>
      <c r="W267" t="s">
        <v>1153</v>
      </c>
      <c r="X267" t="s">
        <v>1087</v>
      </c>
      <c r="Y267">
        <v>37</v>
      </c>
      <c r="Z267">
        <v>1</v>
      </c>
      <c r="AA267">
        <v>6.666666666666667</v>
      </c>
    </row>
    <row r="268" spans="1:27" x14ac:dyDescent="0.3">
      <c r="A268" s="15">
        <v>44482.710682870369</v>
      </c>
      <c r="B268" t="s">
        <v>12</v>
      </c>
      <c r="C268" t="s">
        <v>1078</v>
      </c>
      <c r="D268" s="2">
        <v>44450</v>
      </c>
      <c r="E268" t="s">
        <v>1027</v>
      </c>
      <c r="F268" t="s">
        <v>41</v>
      </c>
      <c r="G268" t="s">
        <v>942</v>
      </c>
      <c r="H268" t="s">
        <v>48</v>
      </c>
      <c r="I268" t="s">
        <v>1140</v>
      </c>
      <c r="J268" t="s">
        <v>1136</v>
      </c>
      <c r="K268">
        <v>1200</v>
      </c>
      <c r="L268">
        <v>10</v>
      </c>
      <c r="M268">
        <v>54.4</v>
      </c>
      <c r="N268" t="s">
        <v>23</v>
      </c>
      <c r="O268">
        <v>0</v>
      </c>
      <c r="P268">
        <v>8</v>
      </c>
      <c r="R268">
        <v>7024</v>
      </c>
      <c r="S268">
        <v>60</v>
      </c>
      <c r="T268">
        <v>54.4</v>
      </c>
      <c r="U268">
        <v>50</v>
      </c>
      <c r="V268">
        <v>1088</v>
      </c>
      <c r="W268" t="s">
        <v>1153</v>
      </c>
      <c r="X268" t="s">
        <v>1087</v>
      </c>
      <c r="Y268">
        <v>37</v>
      </c>
      <c r="Z268">
        <v>1</v>
      </c>
      <c r="AA268">
        <v>100</v>
      </c>
    </row>
    <row r="269" spans="1:27" x14ac:dyDescent="0.3">
      <c r="A269" s="15">
        <v>44483.640162037038</v>
      </c>
      <c r="B269" t="s">
        <v>12</v>
      </c>
      <c r="C269" t="s">
        <v>1030</v>
      </c>
      <c r="D269" s="2">
        <v>44468</v>
      </c>
      <c r="E269" t="s">
        <v>1027</v>
      </c>
      <c r="F269" t="s">
        <v>41</v>
      </c>
      <c r="G269" t="s">
        <v>941</v>
      </c>
      <c r="H269" t="s">
        <v>48</v>
      </c>
      <c r="I269" t="s">
        <v>1152</v>
      </c>
      <c r="J269" t="s">
        <v>133</v>
      </c>
      <c r="K269">
        <v>1351</v>
      </c>
      <c r="L269">
        <v>12</v>
      </c>
      <c r="M269">
        <v>116.2</v>
      </c>
      <c r="N269" t="s">
        <v>23</v>
      </c>
      <c r="O269">
        <v>0</v>
      </c>
      <c r="P269">
        <v>15</v>
      </c>
      <c r="Q269">
        <v>470</v>
      </c>
      <c r="R269">
        <v>6591</v>
      </c>
      <c r="S269">
        <v>118.88800000000001</v>
      </c>
      <c r="T269">
        <v>116.2</v>
      </c>
      <c r="U269">
        <v>88</v>
      </c>
      <c r="V269">
        <v>1320.4545454545455</v>
      </c>
      <c r="W269" t="s">
        <v>1153</v>
      </c>
      <c r="X269" t="s">
        <v>1087</v>
      </c>
      <c r="Y269">
        <v>40</v>
      </c>
      <c r="Z269">
        <v>1</v>
      </c>
      <c r="AA269">
        <v>112.58333333333333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4"/>
  <dimension ref="A1:AA269"/>
  <sheetViews>
    <sheetView topLeftCell="A189" workbookViewId="0">
      <selection activeCell="H16" sqref="H16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44483.69054398148</v>
      </c>
      <c r="B2" t="s">
        <v>13</v>
      </c>
      <c r="C2" t="s">
        <v>1060</v>
      </c>
      <c r="D2" s="2">
        <v>44440</v>
      </c>
      <c r="E2" t="s">
        <v>1105</v>
      </c>
      <c r="F2" t="s">
        <v>41</v>
      </c>
      <c r="G2" t="s">
        <v>940</v>
      </c>
      <c r="H2" t="s">
        <v>48</v>
      </c>
      <c r="I2" t="s">
        <v>966</v>
      </c>
      <c r="J2" t="s">
        <v>481</v>
      </c>
      <c r="K2">
        <v>365</v>
      </c>
      <c r="L2">
        <v>3</v>
      </c>
      <c r="M2">
        <v>42.4</v>
      </c>
      <c r="N2" t="s">
        <v>21</v>
      </c>
      <c r="O2">
        <v>0</v>
      </c>
      <c r="P2">
        <v>4</v>
      </c>
      <c r="Q2">
        <v>448</v>
      </c>
      <c r="R2">
        <v>6634</v>
      </c>
      <c r="S2">
        <v>21.17</v>
      </c>
      <c r="T2">
        <v>42.4</v>
      </c>
      <c r="U2">
        <v>58</v>
      </c>
      <c r="V2">
        <v>731.0344827586207</v>
      </c>
      <c r="W2" t="s">
        <v>1153</v>
      </c>
      <c r="X2" t="s">
        <v>1087</v>
      </c>
      <c r="Y2">
        <v>36</v>
      </c>
      <c r="Z2">
        <v>2</v>
      </c>
      <c r="AA2">
        <v>60.833333333333336</v>
      </c>
    </row>
    <row r="3" spans="1:27" x14ac:dyDescent="0.3">
      <c r="A3" s="15">
        <v>44483.698888888888</v>
      </c>
      <c r="B3" t="s">
        <v>13</v>
      </c>
      <c r="C3" t="s">
        <v>1060</v>
      </c>
      <c r="D3" s="2">
        <v>44441</v>
      </c>
      <c r="E3" t="s">
        <v>1105</v>
      </c>
      <c r="F3" t="s">
        <v>41</v>
      </c>
      <c r="G3" t="s">
        <v>940</v>
      </c>
      <c r="H3" t="s">
        <v>48</v>
      </c>
      <c r="I3" t="s">
        <v>966</v>
      </c>
      <c r="J3" t="s">
        <v>485</v>
      </c>
      <c r="K3">
        <v>503</v>
      </c>
      <c r="L3">
        <v>5</v>
      </c>
      <c r="M3">
        <v>57.1</v>
      </c>
      <c r="N3" t="s">
        <v>21</v>
      </c>
      <c r="O3">
        <v>0</v>
      </c>
      <c r="P3">
        <v>6</v>
      </c>
      <c r="Q3">
        <v>448</v>
      </c>
      <c r="R3">
        <v>6635</v>
      </c>
      <c r="S3">
        <v>44.767000000000003</v>
      </c>
      <c r="T3">
        <v>57.1</v>
      </c>
      <c r="U3">
        <v>89</v>
      </c>
      <c r="V3">
        <v>641.57303370786519</v>
      </c>
      <c r="W3" t="s">
        <v>1153</v>
      </c>
      <c r="X3" t="s">
        <v>1087</v>
      </c>
      <c r="Y3">
        <v>36</v>
      </c>
      <c r="Z3">
        <v>1</v>
      </c>
      <c r="AA3">
        <v>41.916666666666664</v>
      </c>
    </row>
    <row r="4" spans="1:27" x14ac:dyDescent="0.3">
      <c r="A4" s="15">
        <v>44483.700150462966</v>
      </c>
      <c r="B4" t="s">
        <v>13</v>
      </c>
      <c r="C4" t="s">
        <v>1060</v>
      </c>
      <c r="D4" s="2">
        <v>44442</v>
      </c>
      <c r="E4" t="s">
        <v>1082</v>
      </c>
      <c r="F4" t="s">
        <v>41</v>
      </c>
      <c r="G4" t="s">
        <v>940</v>
      </c>
      <c r="H4" t="s">
        <v>48</v>
      </c>
      <c r="I4" t="s">
        <v>966</v>
      </c>
      <c r="J4" t="s">
        <v>479</v>
      </c>
      <c r="K4">
        <v>360</v>
      </c>
      <c r="L4">
        <v>4</v>
      </c>
      <c r="M4">
        <v>39.5</v>
      </c>
      <c r="N4" t="s">
        <v>21</v>
      </c>
      <c r="O4">
        <v>0</v>
      </c>
      <c r="P4">
        <v>3</v>
      </c>
      <c r="Q4">
        <v>448</v>
      </c>
      <c r="R4">
        <v>6636</v>
      </c>
      <c r="S4">
        <v>20.88</v>
      </c>
      <c r="T4">
        <v>39.5</v>
      </c>
      <c r="U4">
        <v>58</v>
      </c>
      <c r="V4">
        <v>681.0344827586207</v>
      </c>
      <c r="W4" t="s">
        <v>1153</v>
      </c>
      <c r="X4" t="s">
        <v>1087</v>
      </c>
      <c r="Y4">
        <v>36</v>
      </c>
      <c r="Z4">
        <v>2</v>
      </c>
      <c r="AA4">
        <v>60</v>
      </c>
    </row>
    <row r="5" spans="1:27" x14ac:dyDescent="0.3">
      <c r="A5" s="15">
        <v>44483.699780092589</v>
      </c>
      <c r="B5" t="s">
        <v>13</v>
      </c>
      <c r="C5" t="s">
        <v>1060</v>
      </c>
      <c r="D5" s="2">
        <v>44442</v>
      </c>
      <c r="E5" t="s">
        <v>1082</v>
      </c>
      <c r="F5" t="s">
        <v>41</v>
      </c>
      <c r="G5" t="s">
        <v>940</v>
      </c>
      <c r="H5" t="s">
        <v>48</v>
      </c>
      <c r="I5" t="s">
        <v>966</v>
      </c>
      <c r="J5" t="s">
        <v>478</v>
      </c>
      <c r="K5">
        <v>835</v>
      </c>
      <c r="L5">
        <v>7</v>
      </c>
      <c r="M5">
        <v>96</v>
      </c>
      <c r="N5" t="s">
        <v>21</v>
      </c>
      <c r="O5">
        <v>0</v>
      </c>
      <c r="P5">
        <v>6</v>
      </c>
      <c r="Q5">
        <v>448</v>
      </c>
      <c r="R5">
        <v>6636</v>
      </c>
      <c r="S5">
        <v>48.43</v>
      </c>
      <c r="T5">
        <v>96</v>
      </c>
      <c r="U5">
        <v>58</v>
      </c>
      <c r="V5">
        <v>1655.1724137931035</v>
      </c>
      <c r="W5" t="s">
        <v>1153</v>
      </c>
      <c r="X5" t="s">
        <v>1087</v>
      </c>
      <c r="Y5">
        <v>36</v>
      </c>
      <c r="Z5">
        <v>2</v>
      </c>
      <c r="AA5">
        <v>139.16666666666666</v>
      </c>
    </row>
    <row r="6" spans="1:27" x14ac:dyDescent="0.3">
      <c r="A6" s="15">
        <v>44483.700555555559</v>
      </c>
      <c r="B6" t="s">
        <v>13</v>
      </c>
      <c r="C6" t="s">
        <v>1060</v>
      </c>
      <c r="D6" s="2">
        <v>44443</v>
      </c>
      <c r="E6" t="s">
        <v>1114</v>
      </c>
      <c r="F6" t="s">
        <v>41</v>
      </c>
      <c r="G6" t="s">
        <v>940</v>
      </c>
      <c r="H6" t="s">
        <v>48</v>
      </c>
      <c r="I6" t="s">
        <v>966</v>
      </c>
      <c r="J6" t="s">
        <v>479</v>
      </c>
      <c r="K6">
        <v>626</v>
      </c>
      <c r="L6">
        <v>7</v>
      </c>
      <c r="M6">
        <v>68.8</v>
      </c>
      <c r="N6" t="s">
        <v>21</v>
      </c>
      <c r="O6">
        <v>0</v>
      </c>
      <c r="P6">
        <v>3</v>
      </c>
      <c r="Q6">
        <v>448</v>
      </c>
      <c r="R6">
        <v>6637</v>
      </c>
      <c r="S6">
        <v>36.308</v>
      </c>
      <c r="T6">
        <v>68.8</v>
      </c>
      <c r="U6">
        <v>58</v>
      </c>
      <c r="V6">
        <v>1186.2068965517242</v>
      </c>
      <c r="W6" t="s">
        <v>1153</v>
      </c>
      <c r="X6" t="s">
        <v>1087</v>
      </c>
      <c r="Y6">
        <v>36</v>
      </c>
      <c r="Z6">
        <v>2</v>
      </c>
      <c r="AA6">
        <v>104.33333333333333</v>
      </c>
    </row>
    <row r="7" spans="1:27" x14ac:dyDescent="0.3">
      <c r="A7" s="15">
        <v>44483.727407407408</v>
      </c>
      <c r="B7" t="s">
        <v>13</v>
      </c>
      <c r="C7" t="s">
        <v>1060</v>
      </c>
      <c r="D7" s="2">
        <v>44451</v>
      </c>
      <c r="E7" t="s">
        <v>1033</v>
      </c>
      <c r="F7" t="s">
        <v>41</v>
      </c>
      <c r="G7" t="s">
        <v>940</v>
      </c>
      <c r="H7" t="s">
        <v>48</v>
      </c>
      <c r="I7" t="s">
        <v>1023</v>
      </c>
      <c r="J7" t="s">
        <v>150</v>
      </c>
      <c r="K7">
        <v>706</v>
      </c>
      <c r="L7">
        <v>8</v>
      </c>
      <c r="M7">
        <v>121.08</v>
      </c>
      <c r="N7" t="s">
        <v>21</v>
      </c>
      <c r="O7">
        <v>0</v>
      </c>
      <c r="P7">
        <v>23</v>
      </c>
      <c r="Q7">
        <v>448</v>
      </c>
      <c r="R7">
        <v>6640</v>
      </c>
      <c r="S7">
        <v>60.716000000000001</v>
      </c>
      <c r="T7">
        <v>121.08</v>
      </c>
      <c r="U7">
        <v>86</v>
      </c>
      <c r="V7">
        <v>1407.9069767441861</v>
      </c>
      <c r="W7" t="s">
        <v>1153</v>
      </c>
      <c r="X7" t="s">
        <v>1087</v>
      </c>
      <c r="Y7">
        <v>37</v>
      </c>
      <c r="Z7">
        <v>2</v>
      </c>
      <c r="AA7">
        <v>117.66666666666667</v>
      </c>
    </row>
    <row r="8" spans="1:27" x14ac:dyDescent="0.3">
      <c r="A8" s="15">
        <v>44483.728993055556</v>
      </c>
      <c r="B8" t="s">
        <v>13</v>
      </c>
      <c r="C8" t="s">
        <v>1060</v>
      </c>
      <c r="D8" s="2">
        <v>44452</v>
      </c>
      <c r="E8" t="s">
        <v>1082</v>
      </c>
      <c r="F8" t="s">
        <v>41</v>
      </c>
      <c r="G8" t="s">
        <v>940</v>
      </c>
      <c r="H8" t="s">
        <v>48</v>
      </c>
      <c r="I8" t="s">
        <v>1023</v>
      </c>
      <c r="J8" t="s">
        <v>151</v>
      </c>
      <c r="K8">
        <v>65</v>
      </c>
      <c r="L8">
        <v>1</v>
      </c>
      <c r="M8">
        <v>11.8</v>
      </c>
      <c r="N8" t="s">
        <v>21</v>
      </c>
      <c r="O8">
        <v>0</v>
      </c>
      <c r="P8">
        <v>0</v>
      </c>
      <c r="Q8">
        <v>443</v>
      </c>
      <c r="R8">
        <v>6641</v>
      </c>
      <c r="S8">
        <v>5.59</v>
      </c>
      <c r="T8">
        <v>11.8</v>
      </c>
      <c r="U8">
        <v>86</v>
      </c>
      <c r="V8">
        <v>137.2093023255814</v>
      </c>
      <c r="W8" t="s">
        <v>1153</v>
      </c>
      <c r="X8" t="s">
        <v>1087</v>
      </c>
      <c r="Y8">
        <v>38</v>
      </c>
      <c r="Z8">
        <v>2</v>
      </c>
      <c r="AA8">
        <v>10.833333333333334</v>
      </c>
    </row>
    <row r="9" spans="1:27" x14ac:dyDescent="0.3">
      <c r="A9" s="15">
        <v>44483.728530092594</v>
      </c>
      <c r="B9" t="s">
        <v>13</v>
      </c>
      <c r="C9" t="s">
        <v>1060</v>
      </c>
      <c r="D9" s="2">
        <v>44452</v>
      </c>
      <c r="E9" t="s">
        <v>1082</v>
      </c>
      <c r="F9" t="s">
        <v>41</v>
      </c>
      <c r="G9" t="s">
        <v>940</v>
      </c>
      <c r="H9" t="s">
        <v>48</v>
      </c>
      <c r="I9" t="s">
        <v>1023</v>
      </c>
      <c r="J9" t="s">
        <v>151</v>
      </c>
      <c r="K9">
        <v>674</v>
      </c>
      <c r="L9">
        <v>8</v>
      </c>
      <c r="M9">
        <v>115.93</v>
      </c>
      <c r="N9" t="s">
        <v>21</v>
      </c>
      <c r="O9">
        <v>0</v>
      </c>
      <c r="P9">
        <v>18</v>
      </c>
      <c r="Q9">
        <v>443</v>
      </c>
      <c r="R9">
        <v>6641</v>
      </c>
      <c r="S9">
        <v>57.963999999999999</v>
      </c>
      <c r="T9">
        <v>115.93</v>
      </c>
      <c r="U9">
        <v>86</v>
      </c>
      <c r="V9">
        <v>1348.0232558139535</v>
      </c>
      <c r="W9" t="s">
        <v>1153</v>
      </c>
      <c r="X9" t="s">
        <v>1087</v>
      </c>
      <c r="Y9">
        <v>38</v>
      </c>
      <c r="Z9">
        <v>2</v>
      </c>
      <c r="AA9">
        <v>112.33333333333333</v>
      </c>
    </row>
    <row r="10" spans="1:27" x14ac:dyDescent="0.3">
      <c r="A10" s="15">
        <v>44483.737511574072</v>
      </c>
      <c r="B10" t="s">
        <v>13</v>
      </c>
      <c r="C10" t="s">
        <v>1060</v>
      </c>
      <c r="D10" s="2">
        <v>44453</v>
      </c>
      <c r="E10" t="s">
        <v>1082</v>
      </c>
      <c r="F10" t="s">
        <v>41</v>
      </c>
      <c r="G10" t="s">
        <v>940</v>
      </c>
      <c r="H10" t="s">
        <v>48</v>
      </c>
      <c r="I10" t="s">
        <v>1023</v>
      </c>
      <c r="J10" t="s">
        <v>149</v>
      </c>
      <c r="K10">
        <v>655</v>
      </c>
      <c r="L10">
        <v>8</v>
      </c>
      <c r="M10">
        <v>112.6</v>
      </c>
      <c r="N10" t="s">
        <v>21</v>
      </c>
      <c r="O10">
        <v>0</v>
      </c>
      <c r="P10">
        <v>21</v>
      </c>
      <c r="Q10">
        <v>443</v>
      </c>
      <c r="R10">
        <v>6643</v>
      </c>
      <c r="S10">
        <v>56.33</v>
      </c>
      <c r="T10">
        <v>112.6</v>
      </c>
      <c r="U10">
        <v>86</v>
      </c>
      <c r="V10">
        <v>1309.3023255813953</v>
      </c>
      <c r="W10" t="s">
        <v>1153</v>
      </c>
      <c r="X10" t="s">
        <v>1087</v>
      </c>
      <c r="Y10">
        <v>38</v>
      </c>
      <c r="Z10">
        <v>2</v>
      </c>
      <c r="AA10">
        <v>109.16666666666667</v>
      </c>
    </row>
    <row r="11" spans="1:27" x14ac:dyDescent="0.3">
      <c r="A11" s="15">
        <v>44483.738159722219</v>
      </c>
      <c r="B11" t="s">
        <v>13</v>
      </c>
      <c r="C11" t="s">
        <v>1060</v>
      </c>
      <c r="D11" s="2">
        <v>44454</v>
      </c>
      <c r="E11" t="s">
        <v>1114</v>
      </c>
      <c r="F11" t="s">
        <v>41</v>
      </c>
      <c r="G11" t="s">
        <v>940</v>
      </c>
      <c r="H11" t="s">
        <v>48</v>
      </c>
      <c r="I11" t="s">
        <v>1023</v>
      </c>
      <c r="J11" t="s">
        <v>150</v>
      </c>
      <c r="K11">
        <v>246</v>
      </c>
      <c r="L11">
        <v>4</v>
      </c>
      <c r="M11">
        <v>44.38</v>
      </c>
      <c r="N11" t="s">
        <v>21</v>
      </c>
      <c r="O11">
        <v>0</v>
      </c>
      <c r="P11">
        <v>8</v>
      </c>
      <c r="Q11">
        <v>443</v>
      </c>
      <c r="R11">
        <v>6644</v>
      </c>
      <c r="S11">
        <v>21.155999999999999</v>
      </c>
      <c r="T11">
        <v>44.38</v>
      </c>
      <c r="U11">
        <v>86</v>
      </c>
      <c r="V11">
        <v>516.04651162790697</v>
      </c>
      <c r="W11" t="s">
        <v>1153</v>
      </c>
      <c r="X11" t="s">
        <v>1087</v>
      </c>
      <c r="Y11">
        <v>38</v>
      </c>
      <c r="Z11">
        <v>2</v>
      </c>
      <c r="AA11">
        <v>41</v>
      </c>
    </row>
    <row r="12" spans="1:27" x14ac:dyDescent="0.3">
      <c r="A12" s="15">
        <v>44483.739224537036</v>
      </c>
      <c r="B12" t="s">
        <v>13</v>
      </c>
      <c r="C12" t="s">
        <v>1060</v>
      </c>
      <c r="D12" s="2">
        <v>44456</v>
      </c>
      <c r="E12" t="s">
        <v>1082</v>
      </c>
      <c r="F12" t="s">
        <v>41</v>
      </c>
      <c r="G12" t="s">
        <v>940</v>
      </c>
      <c r="H12" t="s">
        <v>48</v>
      </c>
      <c r="I12" t="s">
        <v>1023</v>
      </c>
      <c r="J12" t="s">
        <v>148</v>
      </c>
      <c r="K12">
        <v>49</v>
      </c>
      <c r="L12">
        <v>1</v>
      </c>
      <c r="M12">
        <v>8.43</v>
      </c>
      <c r="N12" t="s">
        <v>21</v>
      </c>
      <c r="O12">
        <v>0</v>
      </c>
      <c r="P12">
        <v>2</v>
      </c>
      <c r="Q12">
        <v>443</v>
      </c>
      <c r="R12">
        <v>6645</v>
      </c>
      <c r="S12">
        <v>4.2140000000000004</v>
      </c>
      <c r="T12">
        <v>8.43</v>
      </c>
      <c r="U12">
        <v>86</v>
      </c>
      <c r="V12">
        <v>98.023255813953483</v>
      </c>
      <c r="W12" t="s">
        <v>1153</v>
      </c>
      <c r="X12" t="s">
        <v>1087</v>
      </c>
      <c r="Y12">
        <v>38</v>
      </c>
      <c r="Z12">
        <v>2</v>
      </c>
      <c r="AA12">
        <v>8.1666666666666661</v>
      </c>
    </row>
    <row r="13" spans="1:27" x14ac:dyDescent="0.3">
      <c r="A13" s="15">
        <v>44483.738969907405</v>
      </c>
      <c r="B13" t="s">
        <v>13</v>
      </c>
      <c r="C13" t="s">
        <v>1060</v>
      </c>
      <c r="D13" s="2">
        <v>44456</v>
      </c>
      <c r="E13" t="s">
        <v>1082</v>
      </c>
      <c r="F13" t="s">
        <v>41</v>
      </c>
      <c r="G13" t="s">
        <v>940</v>
      </c>
      <c r="H13" t="s">
        <v>48</v>
      </c>
      <c r="I13" t="s">
        <v>1023</v>
      </c>
      <c r="J13" t="s">
        <v>150</v>
      </c>
      <c r="K13">
        <v>642</v>
      </c>
      <c r="L13">
        <v>7</v>
      </c>
      <c r="M13">
        <v>110.42</v>
      </c>
      <c r="N13" t="s">
        <v>21</v>
      </c>
      <c r="O13">
        <v>0</v>
      </c>
      <c r="P13">
        <v>19</v>
      </c>
      <c r="Q13">
        <v>443</v>
      </c>
      <c r="R13">
        <v>6645</v>
      </c>
      <c r="S13">
        <v>55.212000000000003</v>
      </c>
      <c r="T13">
        <v>110.42</v>
      </c>
      <c r="U13">
        <v>86</v>
      </c>
      <c r="V13">
        <v>1283.953488372093</v>
      </c>
      <c r="W13" t="s">
        <v>1153</v>
      </c>
      <c r="X13" t="s">
        <v>1087</v>
      </c>
      <c r="Y13">
        <v>38</v>
      </c>
      <c r="Z13">
        <v>2</v>
      </c>
      <c r="AA13">
        <v>107</v>
      </c>
    </row>
    <row r="14" spans="1:27" x14ac:dyDescent="0.3">
      <c r="A14" s="15">
        <v>44483.741261574076</v>
      </c>
      <c r="B14" t="s">
        <v>13</v>
      </c>
      <c r="C14" t="s">
        <v>1060</v>
      </c>
      <c r="D14" s="2">
        <v>44457</v>
      </c>
      <c r="E14" t="s">
        <v>1105</v>
      </c>
      <c r="F14" t="s">
        <v>41</v>
      </c>
      <c r="G14" t="s">
        <v>940</v>
      </c>
      <c r="H14" t="s">
        <v>48</v>
      </c>
      <c r="I14" t="s">
        <v>1023</v>
      </c>
      <c r="J14" t="s">
        <v>148</v>
      </c>
      <c r="K14">
        <v>590</v>
      </c>
      <c r="L14">
        <v>8</v>
      </c>
      <c r="M14">
        <v>101.48</v>
      </c>
      <c r="N14" t="s">
        <v>21</v>
      </c>
      <c r="O14">
        <v>0</v>
      </c>
      <c r="P14">
        <v>18</v>
      </c>
      <c r="Q14">
        <v>443</v>
      </c>
      <c r="R14">
        <v>6646</v>
      </c>
      <c r="S14">
        <v>50.74</v>
      </c>
      <c r="T14">
        <v>101.48</v>
      </c>
      <c r="U14">
        <v>86</v>
      </c>
      <c r="V14">
        <v>1180</v>
      </c>
      <c r="W14" t="s">
        <v>1153</v>
      </c>
      <c r="X14" t="s">
        <v>1087</v>
      </c>
      <c r="Y14">
        <v>38</v>
      </c>
      <c r="Z14">
        <v>2</v>
      </c>
      <c r="AA14">
        <v>98.333333333333329</v>
      </c>
    </row>
    <row r="15" spans="1:27" x14ac:dyDescent="0.3">
      <c r="A15" s="15">
        <v>44483.740740740737</v>
      </c>
      <c r="B15" t="s">
        <v>13</v>
      </c>
      <c r="C15" t="s">
        <v>1060</v>
      </c>
      <c r="D15" s="2">
        <v>44457</v>
      </c>
      <c r="E15" t="s">
        <v>1105</v>
      </c>
      <c r="F15" t="s">
        <v>41</v>
      </c>
      <c r="G15" t="s">
        <v>940</v>
      </c>
      <c r="H15" t="s">
        <v>48</v>
      </c>
      <c r="I15" t="s">
        <v>1023</v>
      </c>
      <c r="J15" t="s">
        <v>151</v>
      </c>
      <c r="K15">
        <v>172</v>
      </c>
      <c r="L15">
        <v>2</v>
      </c>
      <c r="M15">
        <v>29.58</v>
      </c>
      <c r="N15" t="s">
        <v>21</v>
      </c>
      <c r="O15">
        <v>0</v>
      </c>
      <c r="P15">
        <v>5</v>
      </c>
      <c r="Q15">
        <v>443</v>
      </c>
      <c r="R15">
        <v>6646</v>
      </c>
      <c r="S15">
        <v>14.792</v>
      </c>
      <c r="T15">
        <v>29.58</v>
      </c>
      <c r="U15">
        <v>86</v>
      </c>
      <c r="V15">
        <v>343.95348837209303</v>
      </c>
      <c r="W15" t="s">
        <v>1153</v>
      </c>
      <c r="X15" t="s">
        <v>1087</v>
      </c>
      <c r="Y15">
        <v>38</v>
      </c>
      <c r="Z15">
        <v>2</v>
      </c>
      <c r="AA15">
        <v>28.666666666666668</v>
      </c>
    </row>
    <row r="16" spans="1:27" x14ac:dyDescent="0.3">
      <c r="A16" s="15">
        <v>44483.7425</v>
      </c>
      <c r="B16" t="s">
        <v>13</v>
      </c>
      <c r="C16" t="s">
        <v>1060</v>
      </c>
      <c r="D16" s="2">
        <v>44459</v>
      </c>
      <c r="E16" t="s">
        <v>1082</v>
      </c>
      <c r="F16" t="s">
        <v>41</v>
      </c>
      <c r="G16" t="s">
        <v>940</v>
      </c>
      <c r="H16" t="s">
        <v>48</v>
      </c>
      <c r="I16" t="s">
        <v>1023</v>
      </c>
      <c r="J16" t="s">
        <v>149</v>
      </c>
      <c r="K16">
        <v>238</v>
      </c>
      <c r="L16">
        <v>3</v>
      </c>
      <c r="M16">
        <v>40.94</v>
      </c>
      <c r="N16" t="s">
        <v>21</v>
      </c>
      <c r="O16">
        <v>0</v>
      </c>
      <c r="P16">
        <v>1</v>
      </c>
      <c r="Q16">
        <v>443</v>
      </c>
      <c r="R16">
        <v>6647</v>
      </c>
      <c r="S16">
        <v>20.468</v>
      </c>
      <c r="T16">
        <v>40.94</v>
      </c>
      <c r="U16">
        <v>86</v>
      </c>
      <c r="V16">
        <v>476.04651162790697</v>
      </c>
      <c r="W16" t="s">
        <v>1153</v>
      </c>
      <c r="X16" t="s">
        <v>1087</v>
      </c>
      <c r="Y16">
        <v>39</v>
      </c>
      <c r="Z16">
        <v>2</v>
      </c>
      <c r="AA16">
        <v>39.666666666666664</v>
      </c>
    </row>
    <row r="17" spans="1:27" x14ac:dyDescent="0.3">
      <c r="A17" s="15">
        <v>44483.743773148148</v>
      </c>
      <c r="B17" t="s">
        <v>13</v>
      </c>
      <c r="C17" t="s">
        <v>1060</v>
      </c>
      <c r="D17" s="2">
        <v>44460</v>
      </c>
      <c r="E17" t="s">
        <v>1090</v>
      </c>
      <c r="F17" t="s">
        <v>41</v>
      </c>
      <c r="G17" t="s">
        <v>940</v>
      </c>
      <c r="H17" t="s">
        <v>48</v>
      </c>
      <c r="I17" t="s">
        <v>1009</v>
      </c>
      <c r="J17" t="s">
        <v>596</v>
      </c>
      <c r="K17">
        <v>760</v>
      </c>
      <c r="L17">
        <v>10</v>
      </c>
      <c r="M17">
        <v>36.5</v>
      </c>
      <c r="N17" t="s">
        <v>21</v>
      </c>
      <c r="O17">
        <v>0</v>
      </c>
      <c r="P17">
        <v>2</v>
      </c>
      <c r="Q17">
        <v>443</v>
      </c>
      <c r="R17">
        <v>6648</v>
      </c>
      <c r="S17">
        <v>9.3480000000000008</v>
      </c>
      <c r="T17">
        <v>36.5</v>
      </c>
      <c r="U17">
        <v>12.3</v>
      </c>
      <c r="V17">
        <v>2967.479674796748</v>
      </c>
      <c r="W17" t="s">
        <v>1153</v>
      </c>
      <c r="X17" t="s">
        <v>1087</v>
      </c>
      <c r="Y17">
        <v>39</v>
      </c>
      <c r="Z17">
        <v>3</v>
      </c>
      <c r="AA17">
        <v>190</v>
      </c>
    </row>
    <row r="18" spans="1:27" x14ac:dyDescent="0.3">
      <c r="A18" s="15">
        <v>44483.745034722226</v>
      </c>
      <c r="B18" t="s">
        <v>13</v>
      </c>
      <c r="C18" t="s">
        <v>1060</v>
      </c>
      <c r="D18" s="2">
        <v>44461</v>
      </c>
      <c r="E18" t="s">
        <v>1090</v>
      </c>
      <c r="F18" t="s">
        <v>41</v>
      </c>
      <c r="G18" t="s">
        <v>940</v>
      </c>
      <c r="H18" t="s">
        <v>48</v>
      </c>
      <c r="I18" t="s">
        <v>1009</v>
      </c>
      <c r="J18" t="s">
        <v>599</v>
      </c>
      <c r="K18">
        <v>170</v>
      </c>
      <c r="L18">
        <v>2</v>
      </c>
      <c r="M18">
        <v>8.1999999999999993</v>
      </c>
      <c r="N18" t="s">
        <v>21</v>
      </c>
      <c r="O18">
        <v>0</v>
      </c>
      <c r="P18">
        <v>1</v>
      </c>
      <c r="Q18">
        <v>443</v>
      </c>
      <c r="R18">
        <v>6649</v>
      </c>
      <c r="S18">
        <v>2.0910000000000002</v>
      </c>
      <c r="T18">
        <v>8.1999999999999993</v>
      </c>
      <c r="U18">
        <v>12.3</v>
      </c>
      <c r="V18">
        <v>666.66666666666663</v>
      </c>
      <c r="W18" t="s">
        <v>1153</v>
      </c>
      <c r="X18" t="s">
        <v>1087</v>
      </c>
      <c r="Y18">
        <v>39</v>
      </c>
      <c r="Z18">
        <v>3</v>
      </c>
      <c r="AA18">
        <v>42.5</v>
      </c>
    </row>
    <row r="19" spans="1:27" x14ac:dyDescent="0.3">
      <c r="A19" s="15">
        <v>44483.744328703702</v>
      </c>
      <c r="B19" t="s">
        <v>13</v>
      </c>
      <c r="C19" t="s">
        <v>1060</v>
      </c>
      <c r="D19" s="2">
        <v>44461</v>
      </c>
      <c r="E19" t="s">
        <v>1090</v>
      </c>
      <c r="F19" t="s">
        <v>41</v>
      </c>
      <c r="G19" t="s">
        <v>940</v>
      </c>
      <c r="H19" t="s">
        <v>48</v>
      </c>
      <c r="I19" t="s">
        <v>1009</v>
      </c>
      <c r="J19" t="s">
        <v>596</v>
      </c>
      <c r="K19">
        <v>393</v>
      </c>
      <c r="L19">
        <v>4</v>
      </c>
      <c r="M19">
        <v>19.600000000000001</v>
      </c>
      <c r="N19" t="s">
        <v>21</v>
      </c>
      <c r="O19">
        <v>0</v>
      </c>
      <c r="P19">
        <v>2</v>
      </c>
      <c r="Q19">
        <v>443</v>
      </c>
      <c r="R19">
        <v>6649</v>
      </c>
      <c r="S19">
        <v>4.8339000000000008</v>
      </c>
      <c r="T19">
        <v>19.600000000000001</v>
      </c>
      <c r="U19">
        <v>12.3</v>
      </c>
      <c r="V19">
        <v>1593.4959349593496</v>
      </c>
      <c r="W19" t="s">
        <v>1153</v>
      </c>
      <c r="X19" t="s">
        <v>1087</v>
      </c>
      <c r="Y19">
        <v>39</v>
      </c>
      <c r="Z19">
        <v>3</v>
      </c>
      <c r="AA19">
        <v>98.25</v>
      </c>
    </row>
    <row r="20" spans="1:27" x14ac:dyDescent="0.3">
      <c r="A20" s="15">
        <v>44483.751805555556</v>
      </c>
      <c r="B20" t="s">
        <v>13</v>
      </c>
      <c r="C20" t="s">
        <v>1060</v>
      </c>
      <c r="D20" s="2">
        <v>44462</v>
      </c>
      <c r="E20" t="s">
        <v>1082</v>
      </c>
      <c r="F20" t="s">
        <v>41</v>
      </c>
      <c r="G20" t="s">
        <v>940</v>
      </c>
      <c r="H20" t="s">
        <v>48</v>
      </c>
      <c r="I20" t="s">
        <v>1009</v>
      </c>
      <c r="J20" t="s">
        <v>598</v>
      </c>
      <c r="K20">
        <v>52</v>
      </c>
      <c r="L20">
        <v>1</v>
      </c>
      <c r="M20">
        <v>2.5</v>
      </c>
      <c r="N20" t="s">
        <v>21</v>
      </c>
      <c r="O20">
        <v>0</v>
      </c>
      <c r="P20">
        <v>1</v>
      </c>
      <c r="Q20">
        <v>443</v>
      </c>
      <c r="R20">
        <v>6650</v>
      </c>
      <c r="S20">
        <v>0.63960000000000006</v>
      </c>
      <c r="T20">
        <v>2.5</v>
      </c>
      <c r="U20">
        <v>12.3</v>
      </c>
      <c r="V20">
        <v>203.2520325203252</v>
      </c>
      <c r="W20" t="s">
        <v>1153</v>
      </c>
      <c r="X20" t="s">
        <v>1087</v>
      </c>
      <c r="Y20">
        <v>39</v>
      </c>
      <c r="Z20">
        <v>3</v>
      </c>
      <c r="AA20">
        <v>13</v>
      </c>
    </row>
    <row r="21" spans="1:27" x14ac:dyDescent="0.3">
      <c r="A21" s="15">
        <v>44483.751331018517</v>
      </c>
      <c r="B21" t="s">
        <v>13</v>
      </c>
      <c r="C21" t="s">
        <v>1060</v>
      </c>
      <c r="D21" s="2">
        <v>44462</v>
      </c>
      <c r="E21" t="s">
        <v>1082</v>
      </c>
      <c r="F21" t="s">
        <v>41</v>
      </c>
      <c r="G21" t="s">
        <v>940</v>
      </c>
      <c r="H21" t="s">
        <v>48</v>
      </c>
      <c r="I21" t="s">
        <v>1009</v>
      </c>
      <c r="J21" t="s">
        <v>599</v>
      </c>
      <c r="K21">
        <v>920</v>
      </c>
      <c r="L21">
        <v>10</v>
      </c>
      <c r="M21">
        <v>44.2</v>
      </c>
      <c r="N21" t="s">
        <v>21</v>
      </c>
      <c r="O21">
        <v>0</v>
      </c>
      <c r="P21">
        <v>3</v>
      </c>
      <c r="Q21">
        <v>443</v>
      </c>
      <c r="R21">
        <v>6650</v>
      </c>
      <c r="S21">
        <v>11.316000000000001</v>
      </c>
      <c r="T21">
        <v>44.2</v>
      </c>
      <c r="U21">
        <v>12.3</v>
      </c>
      <c r="V21">
        <v>3593.4959349593496</v>
      </c>
      <c r="W21" t="s">
        <v>1153</v>
      </c>
      <c r="X21" t="s">
        <v>1087</v>
      </c>
      <c r="Y21">
        <v>39</v>
      </c>
      <c r="Z21">
        <v>3</v>
      </c>
      <c r="AA21">
        <v>230</v>
      </c>
    </row>
    <row r="22" spans="1:27" x14ac:dyDescent="0.3">
      <c r="A22" s="15">
        <v>44484.685358796298</v>
      </c>
      <c r="B22" t="s">
        <v>13</v>
      </c>
      <c r="C22" t="s">
        <v>1060</v>
      </c>
      <c r="D22" s="2">
        <v>44463</v>
      </c>
      <c r="E22" t="s">
        <v>1090</v>
      </c>
      <c r="F22" t="s">
        <v>41</v>
      </c>
      <c r="G22" t="s">
        <v>940</v>
      </c>
      <c r="H22" t="s">
        <v>48</v>
      </c>
      <c r="I22" t="s">
        <v>1009</v>
      </c>
      <c r="J22" t="s">
        <v>600</v>
      </c>
      <c r="K22">
        <v>743</v>
      </c>
      <c r="L22">
        <v>6</v>
      </c>
      <c r="M22">
        <v>27.5</v>
      </c>
      <c r="N22" t="s">
        <v>21</v>
      </c>
      <c r="O22">
        <v>0</v>
      </c>
      <c r="P22">
        <v>2</v>
      </c>
      <c r="Q22">
        <v>443</v>
      </c>
      <c r="R22">
        <v>6651</v>
      </c>
      <c r="S22">
        <v>9.1388999999999996</v>
      </c>
      <c r="T22">
        <v>27.5</v>
      </c>
      <c r="U22">
        <v>12.3</v>
      </c>
      <c r="V22">
        <v>2235.772357723577</v>
      </c>
      <c r="W22" t="s">
        <v>1153</v>
      </c>
      <c r="X22" t="s">
        <v>1087</v>
      </c>
      <c r="Y22">
        <v>39</v>
      </c>
      <c r="Z22">
        <v>3</v>
      </c>
      <c r="AA22">
        <v>185.75</v>
      </c>
    </row>
    <row r="23" spans="1:27" x14ac:dyDescent="0.3">
      <c r="A23" s="15">
        <v>44484.684791666667</v>
      </c>
      <c r="B23" t="s">
        <v>13</v>
      </c>
      <c r="C23" t="s">
        <v>1060</v>
      </c>
      <c r="D23" s="2">
        <v>44463</v>
      </c>
      <c r="E23" t="s">
        <v>1090</v>
      </c>
      <c r="F23" t="s">
        <v>41</v>
      </c>
      <c r="G23" t="s">
        <v>940</v>
      </c>
      <c r="H23" t="s">
        <v>48</v>
      </c>
      <c r="I23" t="s">
        <v>1009</v>
      </c>
      <c r="J23" t="s">
        <v>598</v>
      </c>
      <c r="K23">
        <v>400</v>
      </c>
      <c r="L23">
        <v>5</v>
      </c>
      <c r="M23">
        <v>14.8</v>
      </c>
      <c r="N23" t="s">
        <v>21</v>
      </c>
      <c r="O23">
        <v>0</v>
      </c>
      <c r="P23">
        <v>2</v>
      </c>
      <c r="Q23">
        <v>443</v>
      </c>
      <c r="R23">
        <v>6651</v>
      </c>
      <c r="S23">
        <v>4.92</v>
      </c>
      <c r="T23">
        <v>14.8</v>
      </c>
      <c r="U23">
        <v>12.3</v>
      </c>
      <c r="V23">
        <v>1203.2520325203252</v>
      </c>
      <c r="W23" t="s">
        <v>1153</v>
      </c>
      <c r="X23" t="s">
        <v>1087</v>
      </c>
      <c r="Y23">
        <v>39</v>
      </c>
      <c r="Z23">
        <v>3</v>
      </c>
      <c r="AA23">
        <v>100</v>
      </c>
    </row>
    <row r="24" spans="1:27" x14ac:dyDescent="0.3">
      <c r="A24" s="15">
        <v>44484.686620370368</v>
      </c>
      <c r="B24" t="s">
        <v>13</v>
      </c>
      <c r="C24" t="s">
        <v>1060</v>
      </c>
      <c r="D24" s="2">
        <v>44464</v>
      </c>
      <c r="E24" t="s">
        <v>1090</v>
      </c>
      <c r="F24" t="s">
        <v>41</v>
      </c>
      <c r="G24" t="s">
        <v>940</v>
      </c>
      <c r="H24" t="s">
        <v>48</v>
      </c>
      <c r="I24" t="s">
        <v>1009</v>
      </c>
      <c r="J24" t="s">
        <v>600</v>
      </c>
      <c r="K24">
        <v>727</v>
      </c>
      <c r="L24">
        <v>8</v>
      </c>
      <c r="M24">
        <v>26.9</v>
      </c>
      <c r="N24" t="s">
        <v>21</v>
      </c>
      <c r="O24">
        <v>0</v>
      </c>
      <c r="P24">
        <v>2</v>
      </c>
      <c r="Q24">
        <v>443</v>
      </c>
      <c r="R24">
        <v>6652</v>
      </c>
      <c r="S24">
        <v>8.9420999999999999</v>
      </c>
      <c r="T24">
        <v>26.9</v>
      </c>
      <c r="U24">
        <v>12.3</v>
      </c>
      <c r="V24">
        <v>2186.9918699186992</v>
      </c>
      <c r="W24" t="s">
        <v>1153</v>
      </c>
      <c r="X24" t="s">
        <v>1087</v>
      </c>
      <c r="Y24">
        <v>39</v>
      </c>
      <c r="Z24">
        <v>3</v>
      </c>
      <c r="AA24">
        <v>181.75</v>
      </c>
    </row>
    <row r="25" spans="1:27" x14ac:dyDescent="0.3">
      <c r="A25" s="15">
        <v>44484.771909722222</v>
      </c>
      <c r="B25" t="s">
        <v>13</v>
      </c>
      <c r="C25" t="s">
        <v>952</v>
      </c>
      <c r="D25" s="2">
        <v>44443</v>
      </c>
      <c r="E25" t="s">
        <v>1082</v>
      </c>
      <c r="F25" t="s">
        <v>41</v>
      </c>
      <c r="G25" t="s">
        <v>943</v>
      </c>
      <c r="H25" t="s">
        <v>48</v>
      </c>
      <c r="I25" t="s">
        <v>960</v>
      </c>
      <c r="J25" t="s">
        <v>1154</v>
      </c>
      <c r="K25">
        <v>392</v>
      </c>
      <c r="L25">
        <v>5</v>
      </c>
      <c r="M25">
        <v>51.3</v>
      </c>
      <c r="N25" t="s">
        <v>21</v>
      </c>
      <c r="O25">
        <v>0</v>
      </c>
      <c r="P25">
        <v>0</v>
      </c>
      <c r="Q25">
        <v>456</v>
      </c>
      <c r="R25">
        <v>6845</v>
      </c>
      <c r="S25">
        <v>5.88</v>
      </c>
      <c r="T25">
        <v>51.3</v>
      </c>
      <c r="U25">
        <v>15</v>
      </c>
      <c r="V25">
        <v>3420</v>
      </c>
      <c r="W25" t="s">
        <v>1153</v>
      </c>
      <c r="X25" t="s">
        <v>1087</v>
      </c>
      <c r="Y25">
        <v>36</v>
      </c>
      <c r="Z25">
        <v>8</v>
      </c>
      <c r="AA25">
        <v>261.33333333333331</v>
      </c>
    </row>
    <row r="26" spans="1:27" x14ac:dyDescent="0.3">
      <c r="A26" s="15">
        <v>44484.773240740738</v>
      </c>
      <c r="B26" t="s">
        <v>13</v>
      </c>
      <c r="C26" t="s">
        <v>952</v>
      </c>
      <c r="D26" s="2">
        <v>44445</v>
      </c>
      <c r="E26" t="s">
        <v>1114</v>
      </c>
      <c r="F26" t="s">
        <v>41</v>
      </c>
      <c r="G26" t="s">
        <v>943</v>
      </c>
      <c r="H26" t="s">
        <v>48</v>
      </c>
      <c r="I26" t="s">
        <v>960</v>
      </c>
      <c r="J26" t="s">
        <v>432</v>
      </c>
      <c r="K26">
        <v>156</v>
      </c>
      <c r="L26">
        <v>2</v>
      </c>
      <c r="M26">
        <v>18.5</v>
      </c>
      <c r="N26" t="s">
        <v>21</v>
      </c>
      <c r="O26">
        <v>0</v>
      </c>
      <c r="P26">
        <v>0</v>
      </c>
      <c r="Q26">
        <v>456</v>
      </c>
      <c r="R26">
        <v>6846</v>
      </c>
      <c r="S26">
        <v>2.34</v>
      </c>
      <c r="T26">
        <v>18.5</v>
      </c>
      <c r="U26">
        <v>15</v>
      </c>
      <c r="V26">
        <v>1233.3333333333333</v>
      </c>
      <c r="W26" t="s">
        <v>1153</v>
      </c>
      <c r="X26" t="s">
        <v>1087</v>
      </c>
      <c r="Y26">
        <v>37</v>
      </c>
      <c r="Z26">
        <v>8</v>
      </c>
      <c r="AA26">
        <v>104</v>
      </c>
    </row>
    <row r="27" spans="1:27" x14ac:dyDescent="0.3">
      <c r="A27" s="15">
        <v>44484.772858796299</v>
      </c>
      <c r="B27" t="s">
        <v>13</v>
      </c>
      <c r="C27" t="s">
        <v>952</v>
      </c>
      <c r="D27" s="2">
        <v>44445</v>
      </c>
      <c r="E27" t="s">
        <v>1114</v>
      </c>
      <c r="F27" t="s">
        <v>41</v>
      </c>
      <c r="G27" t="s">
        <v>943</v>
      </c>
      <c r="H27" t="s">
        <v>48</v>
      </c>
      <c r="I27" t="s">
        <v>960</v>
      </c>
      <c r="J27" t="s">
        <v>434</v>
      </c>
      <c r="K27">
        <v>561</v>
      </c>
      <c r="L27">
        <v>7</v>
      </c>
      <c r="M27">
        <v>70.2</v>
      </c>
      <c r="N27" t="s">
        <v>21</v>
      </c>
      <c r="O27">
        <v>0</v>
      </c>
      <c r="P27">
        <v>0</v>
      </c>
      <c r="Q27">
        <v>456</v>
      </c>
      <c r="R27">
        <v>6846</v>
      </c>
      <c r="S27">
        <v>8.4149999999999991</v>
      </c>
      <c r="T27">
        <v>70.2</v>
      </c>
      <c r="U27">
        <v>15</v>
      </c>
      <c r="V27">
        <v>4680</v>
      </c>
      <c r="W27" t="s">
        <v>1153</v>
      </c>
      <c r="X27" t="s">
        <v>1087</v>
      </c>
      <c r="Y27">
        <v>37</v>
      </c>
      <c r="Z27">
        <v>8</v>
      </c>
      <c r="AA27">
        <v>374</v>
      </c>
    </row>
    <row r="28" spans="1:27" x14ac:dyDescent="0.3">
      <c r="A28" s="15">
        <v>44484.772418981483</v>
      </c>
      <c r="B28" t="s">
        <v>13</v>
      </c>
      <c r="C28" t="s">
        <v>952</v>
      </c>
      <c r="D28" s="2">
        <v>44445</v>
      </c>
      <c r="E28" t="s">
        <v>1114</v>
      </c>
      <c r="F28" t="s">
        <v>41</v>
      </c>
      <c r="G28" t="s">
        <v>943</v>
      </c>
      <c r="H28" t="s">
        <v>48</v>
      </c>
      <c r="I28" t="s">
        <v>960</v>
      </c>
      <c r="J28" t="s">
        <v>1154</v>
      </c>
      <c r="K28">
        <v>155</v>
      </c>
      <c r="L28">
        <v>3</v>
      </c>
      <c r="M28">
        <v>19.2</v>
      </c>
      <c r="N28" t="s">
        <v>21</v>
      </c>
      <c r="O28">
        <v>0</v>
      </c>
      <c r="P28">
        <v>0</v>
      </c>
      <c r="Q28">
        <v>456</v>
      </c>
      <c r="R28">
        <v>6846</v>
      </c>
      <c r="S28">
        <v>2.3250000000000002</v>
      </c>
      <c r="T28">
        <v>19.2</v>
      </c>
      <c r="U28">
        <v>15</v>
      </c>
      <c r="V28">
        <v>1280</v>
      </c>
      <c r="W28" t="s">
        <v>1153</v>
      </c>
      <c r="X28" t="s">
        <v>1087</v>
      </c>
      <c r="Y28">
        <v>37</v>
      </c>
      <c r="Z28">
        <v>8</v>
      </c>
      <c r="AA28">
        <v>103.33333333333333</v>
      </c>
    </row>
    <row r="29" spans="1:27" x14ac:dyDescent="0.3">
      <c r="A29" s="15">
        <v>44484.776006944441</v>
      </c>
      <c r="B29" t="s">
        <v>13</v>
      </c>
      <c r="C29" t="s">
        <v>952</v>
      </c>
      <c r="D29" s="2">
        <v>44446</v>
      </c>
      <c r="E29" t="s">
        <v>1114</v>
      </c>
      <c r="F29" t="s">
        <v>41</v>
      </c>
      <c r="G29" t="s">
        <v>943</v>
      </c>
      <c r="H29" t="s">
        <v>48</v>
      </c>
      <c r="I29" t="s">
        <v>960</v>
      </c>
      <c r="J29" t="s">
        <v>433</v>
      </c>
      <c r="K29">
        <v>794</v>
      </c>
      <c r="L29">
        <v>12</v>
      </c>
      <c r="M29">
        <v>100.6</v>
      </c>
      <c r="N29" t="s">
        <v>21</v>
      </c>
      <c r="O29">
        <v>0</v>
      </c>
      <c r="P29">
        <v>0</v>
      </c>
      <c r="Q29">
        <v>456</v>
      </c>
      <c r="R29">
        <v>6848</v>
      </c>
      <c r="S29">
        <v>11.91</v>
      </c>
      <c r="T29">
        <v>100.6</v>
      </c>
      <c r="U29">
        <v>15</v>
      </c>
      <c r="V29">
        <v>6706.666666666667</v>
      </c>
      <c r="W29" t="s">
        <v>1153</v>
      </c>
      <c r="X29" t="s">
        <v>1087</v>
      </c>
      <c r="Y29">
        <v>37</v>
      </c>
      <c r="Z29">
        <v>8</v>
      </c>
      <c r="AA29">
        <v>529.33333333333337</v>
      </c>
    </row>
    <row r="30" spans="1:27" x14ac:dyDescent="0.3">
      <c r="A30" s="15">
        <v>44484.77753472222</v>
      </c>
      <c r="B30" t="s">
        <v>13</v>
      </c>
      <c r="C30" t="s">
        <v>952</v>
      </c>
      <c r="D30" s="2">
        <v>44447</v>
      </c>
      <c r="E30" t="s">
        <v>1082</v>
      </c>
      <c r="F30" t="s">
        <v>41</v>
      </c>
      <c r="G30" t="s">
        <v>943</v>
      </c>
      <c r="H30" t="s">
        <v>48</v>
      </c>
      <c r="I30" t="s">
        <v>960</v>
      </c>
      <c r="J30" t="s">
        <v>435</v>
      </c>
      <c r="K30">
        <v>711</v>
      </c>
      <c r="L30">
        <v>8</v>
      </c>
      <c r="M30">
        <v>88.9</v>
      </c>
      <c r="N30" t="s">
        <v>21</v>
      </c>
      <c r="O30">
        <v>0</v>
      </c>
      <c r="P30">
        <v>0</v>
      </c>
      <c r="Q30">
        <v>456</v>
      </c>
      <c r="R30">
        <v>6850</v>
      </c>
      <c r="S30">
        <v>10.664999999999999</v>
      </c>
      <c r="T30">
        <v>88.9</v>
      </c>
      <c r="U30">
        <v>15</v>
      </c>
      <c r="V30">
        <v>5926.666666666667</v>
      </c>
      <c r="W30" t="s">
        <v>1153</v>
      </c>
      <c r="X30" t="s">
        <v>1087</v>
      </c>
      <c r="Y30">
        <v>37</v>
      </c>
      <c r="Z30">
        <v>8</v>
      </c>
      <c r="AA30">
        <v>474</v>
      </c>
    </row>
    <row r="31" spans="1:27" x14ac:dyDescent="0.3">
      <c r="A31" s="15">
        <v>44484.777175925927</v>
      </c>
      <c r="B31" t="s">
        <v>13</v>
      </c>
      <c r="C31" t="s">
        <v>952</v>
      </c>
      <c r="D31" s="2">
        <v>44447</v>
      </c>
      <c r="E31" t="s">
        <v>1082</v>
      </c>
      <c r="F31" t="s">
        <v>41</v>
      </c>
      <c r="G31" t="s">
        <v>943</v>
      </c>
      <c r="H31" t="s">
        <v>48</v>
      </c>
      <c r="I31" t="s">
        <v>960</v>
      </c>
      <c r="J31" t="s">
        <v>432</v>
      </c>
      <c r="K31">
        <v>320</v>
      </c>
      <c r="L31">
        <v>4</v>
      </c>
      <c r="M31">
        <v>40</v>
      </c>
      <c r="N31" t="s">
        <v>21</v>
      </c>
      <c r="O31">
        <v>0</v>
      </c>
      <c r="P31">
        <v>0</v>
      </c>
      <c r="Q31">
        <v>456</v>
      </c>
      <c r="R31">
        <v>6850</v>
      </c>
      <c r="S31">
        <v>4.8</v>
      </c>
      <c r="T31">
        <v>40</v>
      </c>
      <c r="U31">
        <v>15</v>
      </c>
      <c r="V31">
        <v>2666.6666666666665</v>
      </c>
      <c r="W31" t="s">
        <v>1153</v>
      </c>
      <c r="X31" t="s">
        <v>1087</v>
      </c>
      <c r="Y31">
        <v>37</v>
      </c>
      <c r="Z31">
        <v>8</v>
      </c>
      <c r="AA31">
        <v>213.33333333333334</v>
      </c>
    </row>
    <row r="32" spans="1:27" x14ac:dyDescent="0.3">
      <c r="A32" s="15">
        <v>44484.779166666667</v>
      </c>
      <c r="B32" t="s">
        <v>13</v>
      </c>
      <c r="C32" t="s">
        <v>952</v>
      </c>
      <c r="D32" s="2">
        <v>44448</v>
      </c>
      <c r="E32" t="s">
        <v>1105</v>
      </c>
      <c r="F32" t="s">
        <v>41</v>
      </c>
      <c r="G32" t="s">
        <v>943</v>
      </c>
      <c r="H32" t="s">
        <v>48</v>
      </c>
      <c r="I32" t="s">
        <v>960</v>
      </c>
      <c r="J32" t="s">
        <v>434</v>
      </c>
      <c r="K32">
        <v>659</v>
      </c>
      <c r="L32">
        <v>6</v>
      </c>
      <c r="M32">
        <v>82.4</v>
      </c>
      <c r="N32" t="s">
        <v>21</v>
      </c>
      <c r="O32">
        <v>0</v>
      </c>
      <c r="P32">
        <v>0</v>
      </c>
      <c r="Q32">
        <v>456</v>
      </c>
      <c r="R32">
        <v>6853</v>
      </c>
      <c r="S32">
        <v>9.8849999999999998</v>
      </c>
      <c r="T32">
        <v>82.4</v>
      </c>
      <c r="U32">
        <v>15</v>
      </c>
      <c r="V32">
        <v>5493.333333333333</v>
      </c>
      <c r="W32" t="s">
        <v>1153</v>
      </c>
      <c r="X32" t="s">
        <v>1087</v>
      </c>
      <c r="Y32">
        <v>37</v>
      </c>
      <c r="Z32">
        <v>8</v>
      </c>
      <c r="AA32">
        <v>439.33333333333331</v>
      </c>
    </row>
    <row r="33" spans="1:27" x14ac:dyDescent="0.3">
      <c r="A33" s="15">
        <v>44484.77888888889</v>
      </c>
      <c r="B33" t="s">
        <v>13</v>
      </c>
      <c r="C33" t="s">
        <v>952</v>
      </c>
      <c r="D33" s="2">
        <v>44448</v>
      </c>
      <c r="E33" t="s">
        <v>1105</v>
      </c>
      <c r="F33" t="s">
        <v>41</v>
      </c>
      <c r="G33" t="s">
        <v>943</v>
      </c>
      <c r="H33" t="s">
        <v>48</v>
      </c>
      <c r="I33" t="s">
        <v>960</v>
      </c>
      <c r="J33" t="s">
        <v>1154</v>
      </c>
      <c r="K33">
        <v>144</v>
      </c>
      <c r="L33">
        <v>2</v>
      </c>
      <c r="M33">
        <v>17.7</v>
      </c>
      <c r="N33" t="s">
        <v>21</v>
      </c>
      <c r="O33">
        <v>0</v>
      </c>
      <c r="P33">
        <v>0</v>
      </c>
      <c r="Q33">
        <v>456</v>
      </c>
      <c r="R33">
        <v>6853</v>
      </c>
      <c r="S33">
        <v>2.16</v>
      </c>
      <c r="T33">
        <v>17.7</v>
      </c>
      <c r="U33">
        <v>15</v>
      </c>
      <c r="V33">
        <v>1180</v>
      </c>
      <c r="W33" t="s">
        <v>1153</v>
      </c>
      <c r="X33" t="s">
        <v>1087</v>
      </c>
      <c r="Y33">
        <v>37</v>
      </c>
      <c r="Z33">
        <v>8</v>
      </c>
      <c r="AA33">
        <v>96</v>
      </c>
    </row>
    <row r="34" spans="1:27" x14ac:dyDescent="0.3">
      <c r="A34" s="15">
        <v>44484.781134259261</v>
      </c>
      <c r="B34" t="s">
        <v>13</v>
      </c>
      <c r="C34" t="s">
        <v>952</v>
      </c>
      <c r="D34" s="2">
        <v>44449</v>
      </c>
      <c r="E34" t="s">
        <v>1082</v>
      </c>
      <c r="F34" t="s">
        <v>41</v>
      </c>
      <c r="G34" t="s">
        <v>943</v>
      </c>
      <c r="H34" t="s">
        <v>48</v>
      </c>
      <c r="I34" t="s">
        <v>960</v>
      </c>
      <c r="J34" t="s">
        <v>432</v>
      </c>
      <c r="K34">
        <v>76</v>
      </c>
      <c r="L34">
        <v>3</v>
      </c>
      <c r="M34">
        <v>9.5</v>
      </c>
      <c r="N34" t="s">
        <v>21</v>
      </c>
      <c r="O34">
        <v>0</v>
      </c>
      <c r="P34">
        <v>0</v>
      </c>
      <c r="Q34">
        <v>456</v>
      </c>
      <c r="R34">
        <v>6854</v>
      </c>
      <c r="S34">
        <v>1.1399999999999999</v>
      </c>
      <c r="T34">
        <v>9.5</v>
      </c>
      <c r="U34">
        <v>15</v>
      </c>
      <c r="V34">
        <v>633.33333333333337</v>
      </c>
      <c r="W34" t="s">
        <v>1153</v>
      </c>
      <c r="X34" t="s">
        <v>1087</v>
      </c>
      <c r="Y34">
        <v>37</v>
      </c>
      <c r="Z34">
        <v>8</v>
      </c>
      <c r="AA34">
        <v>50.666666666666664</v>
      </c>
    </row>
    <row r="35" spans="1:27" x14ac:dyDescent="0.3">
      <c r="A35" s="15">
        <v>44484.780069444445</v>
      </c>
      <c r="B35" t="s">
        <v>13</v>
      </c>
      <c r="C35" t="s">
        <v>952</v>
      </c>
      <c r="D35" s="2">
        <v>44449</v>
      </c>
      <c r="E35" t="s">
        <v>1082</v>
      </c>
      <c r="F35" t="s">
        <v>41</v>
      </c>
      <c r="G35" t="s">
        <v>943</v>
      </c>
      <c r="H35" t="s">
        <v>48</v>
      </c>
      <c r="I35" t="s">
        <v>960</v>
      </c>
      <c r="J35" t="s">
        <v>435</v>
      </c>
      <c r="K35">
        <v>407</v>
      </c>
      <c r="L35">
        <v>4</v>
      </c>
      <c r="M35">
        <v>50.9</v>
      </c>
      <c r="N35" t="s">
        <v>21</v>
      </c>
      <c r="O35">
        <v>0</v>
      </c>
      <c r="P35">
        <v>0</v>
      </c>
      <c r="Q35">
        <v>456</v>
      </c>
      <c r="R35">
        <v>6854</v>
      </c>
      <c r="S35">
        <v>6.1050000000000004</v>
      </c>
      <c r="T35">
        <v>50.9</v>
      </c>
      <c r="U35">
        <v>15</v>
      </c>
      <c r="V35">
        <v>3393.3333333333335</v>
      </c>
      <c r="W35" t="s">
        <v>1153</v>
      </c>
      <c r="X35" t="s">
        <v>1087</v>
      </c>
      <c r="Y35">
        <v>37</v>
      </c>
      <c r="Z35">
        <v>8</v>
      </c>
      <c r="AA35">
        <v>271.33333333333331</v>
      </c>
    </row>
    <row r="36" spans="1:27" x14ac:dyDescent="0.3">
      <c r="A36" s="15">
        <v>44484.779768518521</v>
      </c>
      <c r="B36" t="s">
        <v>13</v>
      </c>
      <c r="C36" t="s">
        <v>952</v>
      </c>
      <c r="D36" s="2">
        <v>44449</v>
      </c>
      <c r="E36" t="s">
        <v>1082</v>
      </c>
      <c r="F36" t="s">
        <v>41</v>
      </c>
      <c r="G36" t="s">
        <v>943</v>
      </c>
      <c r="H36" t="s">
        <v>48</v>
      </c>
      <c r="I36" t="s">
        <v>960</v>
      </c>
      <c r="J36" t="s">
        <v>434</v>
      </c>
      <c r="K36">
        <v>215</v>
      </c>
      <c r="L36">
        <v>4</v>
      </c>
      <c r="M36">
        <v>25.7</v>
      </c>
      <c r="N36" t="s">
        <v>21</v>
      </c>
      <c r="O36">
        <v>0</v>
      </c>
      <c r="P36">
        <v>0</v>
      </c>
      <c r="Q36">
        <v>456</v>
      </c>
      <c r="R36">
        <v>6854</v>
      </c>
      <c r="S36">
        <v>3.2250000000000001</v>
      </c>
      <c r="T36">
        <v>25.7</v>
      </c>
      <c r="U36">
        <v>15</v>
      </c>
      <c r="V36">
        <v>1713.3333333333333</v>
      </c>
      <c r="W36" t="s">
        <v>1153</v>
      </c>
      <c r="X36" t="s">
        <v>1087</v>
      </c>
      <c r="Y36">
        <v>37</v>
      </c>
      <c r="Z36">
        <v>8</v>
      </c>
      <c r="AA36">
        <v>143.33333333333334</v>
      </c>
    </row>
    <row r="37" spans="1:27" x14ac:dyDescent="0.3">
      <c r="A37" s="15">
        <v>44484.783495370371</v>
      </c>
      <c r="B37" t="s">
        <v>13</v>
      </c>
      <c r="C37" t="s">
        <v>952</v>
      </c>
      <c r="D37" s="2">
        <v>44450</v>
      </c>
      <c r="E37" t="s">
        <v>1114</v>
      </c>
      <c r="F37" t="s">
        <v>41</v>
      </c>
      <c r="G37" t="s">
        <v>943</v>
      </c>
      <c r="H37" t="s">
        <v>48</v>
      </c>
      <c r="I37" t="s">
        <v>960</v>
      </c>
      <c r="J37" t="s">
        <v>434</v>
      </c>
      <c r="K37">
        <v>122</v>
      </c>
      <c r="L37">
        <v>2</v>
      </c>
      <c r="M37">
        <v>15.3</v>
      </c>
      <c r="N37" t="s">
        <v>21</v>
      </c>
      <c r="O37">
        <v>0</v>
      </c>
      <c r="P37">
        <v>0</v>
      </c>
      <c r="Q37">
        <v>456</v>
      </c>
      <c r="R37">
        <v>6855</v>
      </c>
      <c r="S37">
        <v>1.83</v>
      </c>
      <c r="T37">
        <v>15.3</v>
      </c>
      <c r="U37">
        <v>15</v>
      </c>
      <c r="V37">
        <v>1020</v>
      </c>
      <c r="W37" t="s">
        <v>1153</v>
      </c>
      <c r="X37" t="s">
        <v>1087</v>
      </c>
      <c r="Y37">
        <v>37</v>
      </c>
      <c r="Z37">
        <v>8</v>
      </c>
      <c r="AA37">
        <v>81.333333333333329</v>
      </c>
    </row>
    <row r="38" spans="1:27" x14ac:dyDescent="0.3">
      <c r="A38" s="15">
        <v>44484.782604166663</v>
      </c>
      <c r="B38" t="s">
        <v>13</v>
      </c>
      <c r="C38" t="s">
        <v>952</v>
      </c>
      <c r="D38" s="2">
        <v>44450</v>
      </c>
      <c r="E38" t="s">
        <v>1114</v>
      </c>
      <c r="F38" t="s">
        <v>41</v>
      </c>
      <c r="G38" t="s">
        <v>943</v>
      </c>
      <c r="H38" t="s">
        <v>48</v>
      </c>
      <c r="I38" t="s">
        <v>960</v>
      </c>
      <c r="J38" t="s">
        <v>433</v>
      </c>
      <c r="K38">
        <v>115</v>
      </c>
      <c r="L38">
        <v>2</v>
      </c>
      <c r="M38">
        <v>13.2</v>
      </c>
      <c r="N38" t="s">
        <v>21</v>
      </c>
      <c r="O38">
        <v>0</v>
      </c>
      <c r="P38">
        <v>0</v>
      </c>
      <c r="Q38">
        <v>456</v>
      </c>
      <c r="R38">
        <v>6855</v>
      </c>
      <c r="S38">
        <v>1.7250000000000001</v>
      </c>
      <c r="T38">
        <v>13.2</v>
      </c>
      <c r="U38">
        <v>15</v>
      </c>
      <c r="V38">
        <v>880</v>
      </c>
      <c r="W38" t="s">
        <v>1153</v>
      </c>
      <c r="X38" t="s">
        <v>1087</v>
      </c>
      <c r="Y38">
        <v>37</v>
      </c>
      <c r="Z38">
        <v>8</v>
      </c>
      <c r="AA38">
        <v>76.666666666666671</v>
      </c>
    </row>
    <row r="39" spans="1:27" x14ac:dyDescent="0.3">
      <c r="A39" s="15">
        <v>44484.782083333332</v>
      </c>
      <c r="B39" t="s">
        <v>13</v>
      </c>
      <c r="C39" t="s">
        <v>952</v>
      </c>
      <c r="D39" s="2">
        <v>44450</v>
      </c>
      <c r="E39" t="s">
        <v>1114</v>
      </c>
      <c r="F39" t="s">
        <v>41</v>
      </c>
      <c r="G39" t="s">
        <v>943</v>
      </c>
      <c r="H39" t="s">
        <v>48</v>
      </c>
      <c r="I39" t="s">
        <v>960</v>
      </c>
      <c r="J39" t="s">
        <v>1154</v>
      </c>
      <c r="K39">
        <v>178</v>
      </c>
      <c r="L39">
        <v>2</v>
      </c>
      <c r="M39">
        <v>22.2</v>
      </c>
      <c r="N39" t="s">
        <v>21</v>
      </c>
      <c r="O39">
        <v>0</v>
      </c>
      <c r="P39">
        <v>0</v>
      </c>
      <c r="Q39">
        <v>456</v>
      </c>
      <c r="R39">
        <v>6855</v>
      </c>
      <c r="S39">
        <v>2.67</v>
      </c>
      <c r="T39">
        <v>22.2</v>
      </c>
      <c r="U39">
        <v>15</v>
      </c>
      <c r="V39">
        <v>1480</v>
      </c>
      <c r="W39" t="s">
        <v>1153</v>
      </c>
      <c r="X39" t="s">
        <v>1087</v>
      </c>
      <c r="Y39">
        <v>37</v>
      </c>
      <c r="Z39">
        <v>8</v>
      </c>
      <c r="AA39">
        <v>118.66666666666667</v>
      </c>
    </row>
    <row r="40" spans="1:27" x14ac:dyDescent="0.3">
      <c r="A40" s="15">
        <v>44484.781747685185</v>
      </c>
      <c r="B40" t="s">
        <v>13</v>
      </c>
      <c r="C40" t="s">
        <v>952</v>
      </c>
      <c r="D40" s="2">
        <v>44450</v>
      </c>
      <c r="E40" t="s">
        <v>1114</v>
      </c>
      <c r="F40" t="s">
        <v>41</v>
      </c>
      <c r="G40" t="s">
        <v>943</v>
      </c>
      <c r="H40" t="s">
        <v>48</v>
      </c>
      <c r="I40" t="s">
        <v>960</v>
      </c>
      <c r="J40" t="s">
        <v>432</v>
      </c>
      <c r="K40">
        <v>147</v>
      </c>
      <c r="L40">
        <v>2</v>
      </c>
      <c r="M40">
        <v>18.399999999999999</v>
      </c>
      <c r="N40" t="s">
        <v>21</v>
      </c>
      <c r="O40">
        <v>0</v>
      </c>
      <c r="P40">
        <v>0</v>
      </c>
      <c r="Q40">
        <v>456</v>
      </c>
      <c r="R40">
        <v>6855</v>
      </c>
      <c r="S40">
        <v>2.2050000000000001</v>
      </c>
      <c r="T40">
        <v>18.399999999999999</v>
      </c>
      <c r="U40">
        <v>15</v>
      </c>
      <c r="V40">
        <v>1226.6666666666667</v>
      </c>
      <c r="W40" t="s">
        <v>1153</v>
      </c>
      <c r="X40" t="s">
        <v>1087</v>
      </c>
      <c r="Y40">
        <v>37</v>
      </c>
      <c r="Z40">
        <v>8</v>
      </c>
      <c r="AA40">
        <v>98</v>
      </c>
    </row>
    <row r="41" spans="1:27" x14ac:dyDescent="0.3">
      <c r="A41" s="15">
        <v>44484.785497685189</v>
      </c>
      <c r="B41" t="s">
        <v>13</v>
      </c>
      <c r="C41" t="s">
        <v>952</v>
      </c>
      <c r="D41" s="2">
        <v>44455</v>
      </c>
      <c r="E41" t="s">
        <v>1032</v>
      </c>
      <c r="F41" t="s">
        <v>41</v>
      </c>
      <c r="G41" t="s">
        <v>950</v>
      </c>
      <c r="H41" t="s">
        <v>943</v>
      </c>
      <c r="I41" t="s">
        <v>1161</v>
      </c>
      <c r="J41" t="s">
        <v>1155</v>
      </c>
      <c r="K41">
        <v>138</v>
      </c>
      <c r="L41">
        <v>2</v>
      </c>
      <c r="M41">
        <v>6.6</v>
      </c>
      <c r="N41" t="s">
        <v>21</v>
      </c>
      <c r="O41">
        <v>0</v>
      </c>
      <c r="P41">
        <v>0</v>
      </c>
      <c r="Q41">
        <v>464</v>
      </c>
      <c r="R41">
        <v>6856</v>
      </c>
      <c r="S41">
        <v>3.3119999999999998</v>
      </c>
      <c r="T41">
        <v>6.6</v>
      </c>
      <c r="U41">
        <v>24</v>
      </c>
      <c r="V41">
        <v>275</v>
      </c>
      <c r="W41" t="s">
        <v>1153</v>
      </c>
      <c r="X41" t="s">
        <v>1087</v>
      </c>
      <c r="Y41">
        <v>38</v>
      </c>
      <c r="Z41">
        <v>2</v>
      </c>
      <c r="AA41">
        <v>23</v>
      </c>
    </row>
    <row r="42" spans="1:27" x14ac:dyDescent="0.3">
      <c r="A42" s="15">
        <v>44484.78633101852</v>
      </c>
      <c r="B42" t="s">
        <v>13</v>
      </c>
      <c r="C42" t="s">
        <v>952</v>
      </c>
      <c r="D42" s="2">
        <v>44456</v>
      </c>
      <c r="E42" t="s">
        <v>1114</v>
      </c>
      <c r="F42" t="s">
        <v>41</v>
      </c>
      <c r="G42" t="s">
        <v>950</v>
      </c>
      <c r="H42" t="s">
        <v>943</v>
      </c>
      <c r="I42" t="s">
        <v>1161</v>
      </c>
      <c r="J42" t="s">
        <v>1157</v>
      </c>
      <c r="K42">
        <v>531</v>
      </c>
      <c r="L42">
        <v>5</v>
      </c>
      <c r="M42">
        <v>25.5</v>
      </c>
      <c r="N42" t="s">
        <v>21</v>
      </c>
      <c r="O42">
        <v>0</v>
      </c>
      <c r="P42">
        <v>0</v>
      </c>
      <c r="Q42">
        <v>464</v>
      </c>
      <c r="R42">
        <v>6857</v>
      </c>
      <c r="S42">
        <v>12.744</v>
      </c>
      <c r="T42">
        <v>25.5</v>
      </c>
      <c r="U42">
        <v>24</v>
      </c>
      <c r="V42">
        <v>1062.5</v>
      </c>
      <c r="W42" t="s">
        <v>1153</v>
      </c>
      <c r="X42" t="s">
        <v>1087</v>
      </c>
      <c r="Y42">
        <v>38</v>
      </c>
      <c r="Z42">
        <v>2</v>
      </c>
      <c r="AA42">
        <v>88.5</v>
      </c>
    </row>
    <row r="43" spans="1:27" x14ac:dyDescent="0.3">
      <c r="A43" s="15">
        <v>44484.786041666666</v>
      </c>
      <c r="B43" t="s">
        <v>13</v>
      </c>
      <c r="C43" t="s">
        <v>952</v>
      </c>
      <c r="D43" s="2">
        <v>44456</v>
      </c>
      <c r="E43" t="s">
        <v>1114</v>
      </c>
      <c r="F43" t="s">
        <v>41</v>
      </c>
      <c r="G43" t="s">
        <v>950</v>
      </c>
      <c r="H43" t="s">
        <v>943</v>
      </c>
      <c r="I43" t="s">
        <v>1161</v>
      </c>
      <c r="J43" t="s">
        <v>1155</v>
      </c>
      <c r="K43">
        <v>583</v>
      </c>
      <c r="L43">
        <v>5</v>
      </c>
      <c r="M43">
        <v>28</v>
      </c>
      <c r="N43" t="s">
        <v>21</v>
      </c>
      <c r="O43">
        <v>0</v>
      </c>
      <c r="P43">
        <v>0</v>
      </c>
      <c r="Q43">
        <v>464</v>
      </c>
      <c r="R43">
        <v>6856</v>
      </c>
      <c r="S43">
        <v>13.992000000000001</v>
      </c>
      <c r="T43">
        <v>28</v>
      </c>
      <c r="U43">
        <v>24</v>
      </c>
      <c r="V43">
        <v>1166.6666666666667</v>
      </c>
      <c r="W43" t="s">
        <v>1153</v>
      </c>
      <c r="X43" t="s">
        <v>1087</v>
      </c>
      <c r="Y43">
        <v>38</v>
      </c>
      <c r="Z43">
        <v>2</v>
      </c>
      <c r="AA43">
        <v>97.166666666666671</v>
      </c>
    </row>
    <row r="44" spans="1:27" x14ac:dyDescent="0.3">
      <c r="A44" s="15">
        <v>44484.78875</v>
      </c>
      <c r="B44" t="s">
        <v>13</v>
      </c>
      <c r="C44" t="s">
        <v>952</v>
      </c>
      <c r="D44" s="2">
        <v>44457</v>
      </c>
      <c r="E44" t="s">
        <v>1114</v>
      </c>
      <c r="F44" t="s">
        <v>41</v>
      </c>
      <c r="G44" t="s">
        <v>950</v>
      </c>
      <c r="H44" t="s">
        <v>943</v>
      </c>
      <c r="I44" t="s">
        <v>1161</v>
      </c>
      <c r="J44" t="s">
        <v>1156</v>
      </c>
      <c r="K44">
        <v>295</v>
      </c>
      <c r="L44">
        <v>5</v>
      </c>
      <c r="M44">
        <v>14.2</v>
      </c>
      <c r="N44" t="s">
        <v>21</v>
      </c>
      <c r="O44">
        <v>0</v>
      </c>
      <c r="P44">
        <v>0</v>
      </c>
      <c r="Q44">
        <v>464</v>
      </c>
      <c r="R44">
        <v>6859</v>
      </c>
      <c r="S44">
        <v>7.08</v>
      </c>
      <c r="T44">
        <v>14.2</v>
      </c>
      <c r="U44">
        <v>24</v>
      </c>
      <c r="V44">
        <v>591.66666666666663</v>
      </c>
      <c r="W44" t="s">
        <v>1153</v>
      </c>
      <c r="X44" t="s">
        <v>1087</v>
      </c>
      <c r="Y44">
        <v>38</v>
      </c>
      <c r="Z44">
        <v>2</v>
      </c>
      <c r="AA44">
        <v>49.166666666666664</v>
      </c>
    </row>
    <row r="45" spans="1:27" x14ac:dyDescent="0.3">
      <c r="A45" s="15">
        <v>44484.789409722223</v>
      </c>
      <c r="B45" t="s">
        <v>13</v>
      </c>
      <c r="C45" t="s">
        <v>952</v>
      </c>
      <c r="D45" s="2">
        <v>44459</v>
      </c>
      <c r="E45" t="s">
        <v>1092</v>
      </c>
      <c r="F45" t="s">
        <v>41</v>
      </c>
      <c r="G45" t="s">
        <v>950</v>
      </c>
      <c r="H45" t="s">
        <v>943</v>
      </c>
      <c r="I45" t="s">
        <v>1161</v>
      </c>
      <c r="J45" t="s">
        <v>1156</v>
      </c>
      <c r="K45">
        <v>1382</v>
      </c>
      <c r="L45">
        <v>12</v>
      </c>
      <c r="M45">
        <v>66.7</v>
      </c>
      <c r="N45" t="s">
        <v>21</v>
      </c>
      <c r="O45">
        <v>0</v>
      </c>
      <c r="P45">
        <v>0</v>
      </c>
      <c r="Q45">
        <v>464</v>
      </c>
      <c r="R45">
        <v>6860</v>
      </c>
      <c r="S45">
        <v>33.167999999999999</v>
      </c>
      <c r="T45">
        <v>66.7</v>
      </c>
      <c r="U45">
        <v>24</v>
      </c>
      <c r="V45">
        <v>2779.1666666666665</v>
      </c>
      <c r="W45" t="s">
        <v>1153</v>
      </c>
      <c r="X45" t="s">
        <v>1087</v>
      </c>
      <c r="Y45">
        <v>39</v>
      </c>
      <c r="Z45">
        <v>2</v>
      </c>
      <c r="AA45">
        <v>230.33333333333334</v>
      </c>
    </row>
    <row r="46" spans="1:27" x14ac:dyDescent="0.3">
      <c r="A46" s="15">
        <v>44484.790613425925</v>
      </c>
      <c r="B46" t="s">
        <v>13</v>
      </c>
      <c r="C46" t="s">
        <v>952</v>
      </c>
      <c r="D46" s="2">
        <v>44460</v>
      </c>
      <c r="E46" t="s">
        <v>1092</v>
      </c>
      <c r="F46" t="s">
        <v>41</v>
      </c>
      <c r="G46" t="s">
        <v>950</v>
      </c>
      <c r="H46" t="s">
        <v>943</v>
      </c>
      <c r="I46" t="s">
        <v>1161</v>
      </c>
      <c r="J46" t="s">
        <v>1159</v>
      </c>
      <c r="K46">
        <v>804</v>
      </c>
      <c r="L46">
        <v>7</v>
      </c>
      <c r="M46">
        <v>38.700000000000003</v>
      </c>
      <c r="N46" t="s">
        <v>21</v>
      </c>
      <c r="O46">
        <v>0</v>
      </c>
      <c r="P46">
        <v>0</v>
      </c>
      <c r="Q46">
        <v>464</v>
      </c>
      <c r="R46">
        <v>6862</v>
      </c>
      <c r="S46">
        <v>19.295999999999999</v>
      </c>
      <c r="T46">
        <v>38.700000000000003</v>
      </c>
      <c r="U46">
        <v>24</v>
      </c>
      <c r="V46">
        <v>1612.5</v>
      </c>
      <c r="W46" t="s">
        <v>1153</v>
      </c>
      <c r="X46" t="s">
        <v>1087</v>
      </c>
      <c r="Y46">
        <v>39</v>
      </c>
      <c r="Z46">
        <v>2</v>
      </c>
      <c r="AA46">
        <v>134</v>
      </c>
    </row>
    <row r="47" spans="1:27" x14ac:dyDescent="0.3">
      <c r="A47" s="15">
        <v>44484.790231481478</v>
      </c>
      <c r="B47" t="s">
        <v>13</v>
      </c>
      <c r="C47" t="s">
        <v>952</v>
      </c>
      <c r="D47" s="2">
        <v>44460</v>
      </c>
      <c r="E47" t="s">
        <v>1092</v>
      </c>
      <c r="F47" t="s">
        <v>41</v>
      </c>
      <c r="G47" t="s">
        <v>950</v>
      </c>
      <c r="H47" t="s">
        <v>943</v>
      </c>
      <c r="I47" t="s">
        <v>1161</v>
      </c>
      <c r="J47" t="s">
        <v>1160</v>
      </c>
      <c r="K47">
        <v>347</v>
      </c>
      <c r="L47">
        <v>3</v>
      </c>
      <c r="M47">
        <v>16.2</v>
      </c>
      <c r="N47" t="s">
        <v>21</v>
      </c>
      <c r="O47">
        <v>0</v>
      </c>
      <c r="P47">
        <v>0</v>
      </c>
      <c r="Q47">
        <v>464</v>
      </c>
      <c r="R47">
        <v>6862</v>
      </c>
      <c r="S47">
        <v>8.3279999999999994</v>
      </c>
      <c r="T47">
        <v>16.2</v>
      </c>
      <c r="U47">
        <v>24</v>
      </c>
      <c r="V47">
        <v>675</v>
      </c>
      <c r="W47" t="s">
        <v>1153</v>
      </c>
      <c r="X47" t="s">
        <v>1087</v>
      </c>
      <c r="Y47">
        <v>39</v>
      </c>
      <c r="Z47">
        <v>2</v>
      </c>
      <c r="AA47">
        <v>57.833333333333336</v>
      </c>
    </row>
    <row r="48" spans="1:27" x14ac:dyDescent="0.3">
      <c r="A48" s="15">
        <v>44484.792638888888</v>
      </c>
      <c r="B48" t="s">
        <v>13</v>
      </c>
      <c r="C48" t="s">
        <v>952</v>
      </c>
      <c r="D48" s="2">
        <v>44461</v>
      </c>
      <c r="E48" t="s">
        <v>1114</v>
      </c>
      <c r="F48" t="s">
        <v>41</v>
      </c>
      <c r="G48" t="s">
        <v>950</v>
      </c>
      <c r="H48" t="s">
        <v>943</v>
      </c>
      <c r="I48" t="s">
        <v>1161</v>
      </c>
      <c r="J48" t="s">
        <v>1157</v>
      </c>
      <c r="K48">
        <v>88</v>
      </c>
      <c r="L48">
        <v>1</v>
      </c>
      <c r="M48">
        <v>4.2</v>
      </c>
      <c r="N48" t="s">
        <v>21</v>
      </c>
      <c r="O48">
        <v>0</v>
      </c>
      <c r="P48">
        <v>0</v>
      </c>
      <c r="Q48">
        <v>464</v>
      </c>
      <c r="R48">
        <v>6865</v>
      </c>
      <c r="S48">
        <v>2.1120000000000001</v>
      </c>
      <c r="T48">
        <v>4.2</v>
      </c>
      <c r="U48">
        <v>24</v>
      </c>
      <c r="V48">
        <v>175</v>
      </c>
      <c r="W48" t="s">
        <v>1153</v>
      </c>
      <c r="X48" t="s">
        <v>1087</v>
      </c>
      <c r="Y48">
        <v>39</v>
      </c>
      <c r="Z48">
        <v>2</v>
      </c>
      <c r="AA48">
        <v>14.666666666666666</v>
      </c>
    </row>
    <row r="49" spans="1:27" x14ac:dyDescent="0.3">
      <c r="A49" s="15">
        <v>44484.792175925926</v>
      </c>
      <c r="B49" t="s">
        <v>13</v>
      </c>
      <c r="C49" t="s">
        <v>952</v>
      </c>
      <c r="D49" s="2">
        <v>44461</v>
      </c>
      <c r="E49" t="s">
        <v>1114</v>
      </c>
      <c r="F49" t="s">
        <v>41</v>
      </c>
      <c r="G49" t="s">
        <v>950</v>
      </c>
      <c r="H49" t="s">
        <v>943</v>
      </c>
      <c r="I49" t="s">
        <v>1161</v>
      </c>
      <c r="J49" t="s">
        <v>1157</v>
      </c>
      <c r="K49">
        <v>677</v>
      </c>
      <c r="L49">
        <v>7</v>
      </c>
      <c r="M49">
        <v>32.5</v>
      </c>
      <c r="N49" t="s">
        <v>21</v>
      </c>
      <c r="O49">
        <v>0</v>
      </c>
      <c r="P49">
        <v>0</v>
      </c>
      <c r="Q49">
        <v>464</v>
      </c>
      <c r="R49">
        <v>6864</v>
      </c>
      <c r="S49">
        <v>16.248000000000001</v>
      </c>
      <c r="T49">
        <v>32.5</v>
      </c>
      <c r="U49">
        <v>24</v>
      </c>
      <c r="V49">
        <v>1354.1666666666667</v>
      </c>
      <c r="W49" t="s">
        <v>1153</v>
      </c>
      <c r="X49" t="s">
        <v>1087</v>
      </c>
      <c r="Y49">
        <v>39</v>
      </c>
      <c r="Z49">
        <v>2</v>
      </c>
      <c r="AA49">
        <v>112.83333333333333</v>
      </c>
    </row>
    <row r="50" spans="1:27" x14ac:dyDescent="0.3">
      <c r="A50" s="15">
        <v>44484.791851851849</v>
      </c>
      <c r="B50" t="s">
        <v>13</v>
      </c>
      <c r="C50" t="s">
        <v>952</v>
      </c>
      <c r="D50" s="2">
        <v>44461</v>
      </c>
      <c r="E50" t="s">
        <v>1114</v>
      </c>
      <c r="F50" t="s">
        <v>41</v>
      </c>
      <c r="G50" t="s">
        <v>950</v>
      </c>
      <c r="H50" t="s">
        <v>943</v>
      </c>
      <c r="I50" t="s">
        <v>1161</v>
      </c>
      <c r="J50" t="s">
        <v>1155</v>
      </c>
      <c r="K50">
        <v>635</v>
      </c>
      <c r="L50">
        <v>4</v>
      </c>
      <c r="M50">
        <v>30.5</v>
      </c>
      <c r="N50" t="s">
        <v>21</v>
      </c>
      <c r="O50">
        <v>0</v>
      </c>
      <c r="P50">
        <v>0</v>
      </c>
      <c r="Q50">
        <v>464</v>
      </c>
      <c r="R50">
        <v>6864</v>
      </c>
      <c r="S50">
        <v>15.24</v>
      </c>
      <c r="T50">
        <v>30.5</v>
      </c>
      <c r="U50">
        <v>24</v>
      </c>
      <c r="V50">
        <v>1270.8333333333333</v>
      </c>
      <c r="W50" t="s">
        <v>1153</v>
      </c>
      <c r="X50" t="s">
        <v>1087</v>
      </c>
      <c r="Y50">
        <v>39</v>
      </c>
      <c r="Z50">
        <v>2</v>
      </c>
      <c r="AA50">
        <v>105.83333333333333</v>
      </c>
    </row>
    <row r="51" spans="1:27" x14ac:dyDescent="0.3">
      <c r="A51" s="15">
        <v>44484.794444444444</v>
      </c>
      <c r="B51" t="s">
        <v>13</v>
      </c>
      <c r="C51" t="s">
        <v>952</v>
      </c>
      <c r="D51" s="2">
        <v>44468</v>
      </c>
      <c r="E51" t="s">
        <v>1082</v>
      </c>
      <c r="F51" t="s">
        <v>41</v>
      </c>
      <c r="G51" t="s">
        <v>943</v>
      </c>
      <c r="H51" t="s">
        <v>48</v>
      </c>
      <c r="I51" t="s">
        <v>1037</v>
      </c>
      <c r="J51" t="s">
        <v>196</v>
      </c>
      <c r="K51">
        <v>1420</v>
      </c>
      <c r="L51">
        <v>12</v>
      </c>
      <c r="M51">
        <v>102.5</v>
      </c>
      <c r="N51" t="s">
        <v>21</v>
      </c>
      <c r="O51">
        <v>120</v>
      </c>
      <c r="P51">
        <v>13</v>
      </c>
      <c r="Q51">
        <v>474</v>
      </c>
      <c r="R51">
        <v>6870</v>
      </c>
      <c r="S51">
        <v>100.82</v>
      </c>
      <c r="T51">
        <v>102.5</v>
      </c>
      <c r="U51">
        <v>71</v>
      </c>
      <c r="V51">
        <v>1443.661971830986</v>
      </c>
      <c r="W51" t="s">
        <v>1153</v>
      </c>
      <c r="X51" t="s">
        <v>1087</v>
      </c>
      <c r="Y51">
        <v>40</v>
      </c>
      <c r="Z51">
        <v>1</v>
      </c>
      <c r="AA51">
        <v>118.33333333333333</v>
      </c>
    </row>
    <row r="52" spans="1:27" x14ac:dyDescent="0.3">
      <c r="A52" s="15">
        <v>44484.795300925929</v>
      </c>
      <c r="B52" t="s">
        <v>13</v>
      </c>
      <c r="C52" t="s">
        <v>952</v>
      </c>
      <c r="D52" s="2">
        <v>44469</v>
      </c>
      <c r="E52" t="s">
        <v>1082</v>
      </c>
      <c r="F52" t="s">
        <v>41</v>
      </c>
      <c r="G52" t="s">
        <v>943</v>
      </c>
      <c r="H52" t="s">
        <v>48</v>
      </c>
      <c r="I52" t="s">
        <v>1037</v>
      </c>
      <c r="J52" t="s">
        <v>196</v>
      </c>
      <c r="K52">
        <v>1570</v>
      </c>
      <c r="L52">
        <v>12</v>
      </c>
      <c r="M52">
        <v>108.8</v>
      </c>
      <c r="N52" t="s">
        <v>21</v>
      </c>
      <c r="O52">
        <v>120</v>
      </c>
      <c r="P52">
        <v>13</v>
      </c>
      <c r="Q52">
        <v>474</v>
      </c>
      <c r="R52">
        <v>6872</v>
      </c>
      <c r="S52">
        <v>111.47</v>
      </c>
      <c r="T52">
        <v>108.8</v>
      </c>
      <c r="U52">
        <v>71</v>
      </c>
      <c r="V52">
        <v>1532.394366197183</v>
      </c>
      <c r="W52" t="s">
        <v>1153</v>
      </c>
      <c r="X52" t="s">
        <v>1087</v>
      </c>
      <c r="Y52">
        <v>40</v>
      </c>
      <c r="Z52">
        <v>1</v>
      </c>
      <c r="AA52">
        <v>130.83333333333334</v>
      </c>
    </row>
    <row r="53" spans="1:27" x14ac:dyDescent="0.3">
      <c r="A53" s="15">
        <v>44452.710694444446</v>
      </c>
      <c r="B53" t="s">
        <v>13</v>
      </c>
      <c r="C53" t="s">
        <v>1128</v>
      </c>
      <c r="D53" s="2">
        <v>44440</v>
      </c>
      <c r="E53" t="s">
        <v>1082</v>
      </c>
      <c r="F53" t="s">
        <v>41</v>
      </c>
      <c r="G53" t="s">
        <v>940</v>
      </c>
      <c r="H53" t="s">
        <v>48</v>
      </c>
      <c r="I53" t="s">
        <v>1012</v>
      </c>
      <c r="J53" t="s">
        <v>512</v>
      </c>
      <c r="K53">
        <v>71</v>
      </c>
      <c r="L53">
        <v>1</v>
      </c>
      <c r="M53">
        <v>5.8</v>
      </c>
      <c r="N53" t="s">
        <v>21</v>
      </c>
      <c r="O53">
        <v>0</v>
      </c>
      <c r="P53">
        <v>1</v>
      </c>
      <c r="Q53">
        <v>450</v>
      </c>
      <c r="R53">
        <v>6479</v>
      </c>
      <c r="S53">
        <v>2.9820000000000002</v>
      </c>
      <c r="T53">
        <v>5.8</v>
      </c>
      <c r="U53">
        <v>42</v>
      </c>
      <c r="V53">
        <v>138.0952380952381</v>
      </c>
      <c r="W53" t="s">
        <v>1153</v>
      </c>
      <c r="X53" t="s">
        <v>1087</v>
      </c>
      <c r="Y53">
        <v>36</v>
      </c>
      <c r="Z53">
        <v>2</v>
      </c>
      <c r="AA53">
        <v>11.833333333333334</v>
      </c>
    </row>
    <row r="54" spans="1:27" x14ac:dyDescent="0.3">
      <c r="A54" s="15">
        <v>44452.710358796299</v>
      </c>
      <c r="B54" t="s">
        <v>13</v>
      </c>
      <c r="C54" t="s">
        <v>1128</v>
      </c>
      <c r="D54" s="2">
        <v>44440</v>
      </c>
      <c r="E54" t="s">
        <v>1082</v>
      </c>
      <c r="F54" t="s">
        <v>41</v>
      </c>
      <c r="G54" t="s">
        <v>940</v>
      </c>
      <c r="H54" t="s">
        <v>48</v>
      </c>
      <c r="I54" t="s">
        <v>1012</v>
      </c>
      <c r="J54" t="s">
        <v>513</v>
      </c>
      <c r="K54">
        <v>500</v>
      </c>
      <c r="L54">
        <v>5</v>
      </c>
      <c r="M54">
        <v>40.799999999999997</v>
      </c>
      <c r="N54" t="s">
        <v>21</v>
      </c>
      <c r="O54">
        <v>0</v>
      </c>
      <c r="P54">
        <v>3</v>
      </c>
      <c r="Q54">
        <v>450</v>
      </c>
      <c r="R54">
        <v>6479</v>
      </c>
      <c r="S54">
        <v>21</v>
      </c>
      <c r="T54">
        <v>40.799999999999997</v>
      </c>
      <c r="U54">
        <v>42</v>
      </c>
      <c r="V54">
        <v>971.42857142857144</v>
      </c>
      <c r="W54" t="s">
        <v>1153</v>
      </c>
      <c r="X54" t="s">
        <v>1087</v>
      </c>
      <c r="Y54">
        <v>36</v>
      </c>
      <c r="Z54">
        <v>2</v>
      </c>
      <c r="AA54">
        <v>83.333333333333329</v>
      </c>
    </row>
    <row r="55" spans="1:27" x14ac:dyDescent="0.3">
      <c r="A55" s="15">
        <v>44452.711655092593</v>
      </c>
      <c r="B55" t="s">
        <v>13</v>
      </c>
      <c r="C55" t="s">
        <v>1128</v>
      </c>
      <c r="D55" s="2">
        <v>44441</v>
      </c>
      <c r="E55" t="s">
        <v>1130</v>
      </c>
      <c r="F55" t="s">
        <v>41</v>
      </c>
      <c r="G55" t="s">
        <v>940</v>
      </c>
      <c r="H55" t="s">
        <v>48</v>
      </c>
      <c r="I55" t="s">
        <v>1012</v>
      </c>
      <c r="J55" t="s">
        <v>514</v>
      </c>
      <c r="K55">
        <v>585</v>
      </c>
      <c r="L55">
        <v>6</v>
      </c>
      <c r="M55">
        <v>47.4</v>
      </c>
      <c r="N55" t="s">
        <v>21</v>
      </c>
      <c r="O55">
        <v>0</v>
      </c>
      <c r="P55">
        <v>4</v>
      </c>
      <c r="Q55">
        <v>450</v>
      </c>
      <c r="R55">
        <v>6480</v>
      </c>
      <c r="S55">
        <v>24.57</v>
      </c>
      <c r="T55">
        <v>47.4</v>
      </c>
      <c r="U55">
        <v>42</v>
      </c>
      <c r="V55">
        <v>1128.5714285714287</v>
      </c>
      <c r="W55" t="s">
        <v>1153</v>
      </c>
      <c r="X55" t="s">
        <v>1087</v>
      </c>
      <c r="Y55">
        <v>36</v>
      </c>
      <c r="Z55">
        <v>2</v>
      </c>
      <c r="AA55">
        <v>97.5</v>
      </c>
    </row>
    <row r="56" spans="1:27" x14ac:dyDescent="0.3">
      <c r="A56" s="15">
        <v>44452.711273148147</v>
      </c>
      <c r="B56" t="s">
        <v>13</v>
      </c>
      <c r="C56" t="s">
        <v>1128</v>
      </c>
      <c r="D56" s="2">
        <v>44441</v>
      </c>
      <c r="E56" t="s">
        <v>1130</v>
      </c>
      <c r="F56" t="s">
        <v>41</v>
      </c>
      <c r="G56" t="s">
        <v>940</v>
      </c>
      <c r="H56" t="s">
        <v>48</v>
      </c>
      <c r="I56" t="s">
        <v>1012</v>
      </c>
      <c r="J56" t="s">
        <v>512</v>
      </c>
      <c r="K56">
        <v>495</v>
      </c>
      <c r="L56">
        <v>5</v>
      </c>
      <c r="M56">
        <v>40.1</v>
      </c>
      <c r="N56" t="s">
        <v>21</v>
      </c>
      <c r="O56">
        <v>0</v>
      </c>
      <c r="P56">
        <v>3</v>
      </c>
      <c r="Q56">
        <v>450</v>
      </c>
      <c r="R56">
        <v>6480</v>
      </c>
      <c r="S56">
        <v>20.79</v>
      </c>
      <c r="T56">
        <v>40.1</v>
      </c>
      <c r="U56">
        <v>42</v>
      </c>
      <c r="V56">
        <v>954.76190476190482</v>
      </c>
      <c r="W56" t="s">
        <v>1153</v>
      </c>
      <c r="X56" t="s">
        <v>1087</v>
      </c>
      <c r="Y56">
        <v>36</v>
      </c>
      <c r="Z56">
        <v>2</v>
      </c>
      <c r="AA56">
        <v>82.5</v>
      </c>
    </row>
    <row r="57" spans="1:27" x14ac:dyDescent="0.3">
      <c r="A57" s="15">
        <v>44452.712407407409</v>
      </c>
      <c r="B57" t="s">
        <v>13</v>
      </c>
      <c r="C57" t="s">
        <v>1128</v>
      </c>
      <c r="D57" s="2">
        <v>44442</v>
      </c>
      <c r="E57" t="s">
        <v>1130</v>
      </c>
      <c r="F57" t="s">
        <v>41</v>
      </c>
      <c r="G57" t="s">
        <v>940</v>
      </c>
      <c r="H57" t="s">
        <v>48</v>
      </c>
      <c r="I57" t="s">
        <v>1012</v>
      </c>
      <c r="J57" t="s">
        <v>511</v>
      </c>
      <c r="K57">
        <v>1035</v>
      </c>
      <c r="L57">
        <v>11</v>
      </c>
      <c r="M57">
        <v>83.9</v>
      </c>
      <c r="N57" t="s">
        <v>21</v>
      </c>
      <c r="O57">
        <v>0</v>
      </c>
      <c r="P57">
        <v>7</v>
      </c>
      <c r="Q57">
        <v>450</v>
      </c>
      <c r="R57">
        <v>6481</v>
      </c>
      <c r="S57">
        <v>43.47</v>
      </c>
      <c r="T57">
        <v>83.9</v>
      </c>
      <c r="U57">
        <v>42</v>
      </c>
      <c r="V57">
        <v>1997.6190476190477</v>
      </c>
      <c r="W57" t="s">
        <v>1153</v>
      </c>
      <c r="X57" t="s">
        <v>1087</v>
      </c>
      <c r="Y57">
        <v>36</v>
      </c>
      <c r="Z57">
        <v>2</v>
      </c>
      <c r="AA57">
        <v>172.5</v>
      </c>
    </row>
    <row r="58" spans="1:27" x14ac:dyDescent="0.3">
      <c r="A58" s="15">
        <v>44452.714421296296</v>
      </c>
      <c r="B58" t="s">
        <v>13</v>
      </c>
      <c r="C58" t="s">
        <v>1128</v>
      </c>
      <c r="D58" s="2">
        <v>44443</v>
      </c>
      <c r="E58" t="s">
        <v>1130</v>
      </c>
      <c r="F58" t="s">
        <v>41</v>
      </c>
      <c r="G58" t="s">
        <v>940</v>
      </c>
      <c r="H58" t="s">
        <v>48</v>
      </c>
      <c r="I58" t="s">
        <v>1012</v>
      </c>
      <c r="J58" t="s">
        <v>514</v>
      </c>
      <c r="K58">
        <v>482</v>
      </c>
      <c r="L58">
        <v>3</v>
      </c>
      <c r="M58">
        <v>39.1</v>
      </c>
      <c r="N58" t="s">
        <v>21</v>
      </c>
      <c r="O58">
        <v>0</v>
      </c>
      <c r="P58">
        <v>2</v>
      </c>
      <c r="Q58">
        <v>450</v>
      </c>
      <c r="R58">
        <v>6482</v>
      </c>
      <c r="S58">
        <v>20.244</v>
      </c>
      <c r="T58">
        <v>39.1</v>
      </c>
      <c r="U58">
        <v>42</v>
      </c>
      <c r="V58">
        <v>930.95238095238096</v>
      </c>
      <c r="W58" t="s">
        <v>1153</v>
      </c>
      <c r="X58" t="s">
        <v>1087</v>
      </c>
      <c r="Y58">
        <v>36</v>
      </c>
      <c r="Z58">
        <v>2</v>
      </c>
      <c r="AA58">
        <v>80.333333333333329</v>
      </c>
    </row>
    <row r="59" spans="1:27" x14ac:dyDescent="0.3">
      <c r="A59" s="15">
        <v>44452.714004629626</v>
      </c>
      <c r="B59" t="s">
        <v>13</v>
      </c>
      <c r="C59" t="s">
        <v>1128</v>
      </c>
      <c r="D59" s="2">
        <v>44443</v>
      </c>
      <c r="E59" t="s">
        <v>1130</v>
      </c>
      <c r="F59" t="s">
        <v>41</v>
      </c>
      <c r="G59" t="s">
        <v>940</v>
      </c>
      <c r="H59" t="s">
        <v>48</v>
      </c>
      <c r="I59" t="s">
        <v>1012</v>
      </c>
      <c r="J59" t="s">
        <v>511</v>
      </c>
      <c r="K59">
        <v>501</v>
      </c>
      <c r="L59">
        <v>7</v>
      </c>
      <c r="M59">
        <v>40.6</v>
      </c>
      <c r="N59" t="s">
        <v>21</v>
      </c>
      <c r="O59">
        <v>0</v>
      </c>
      <c r="P59">
        <v>3</v>
      </c>
      <c r="Q59">
        <v>450</v>
      </c>
      <c r="R59">
        <v>6482</v>
      </c>
      <c r="S59">
        <v>21.042000000000002</v>
      </c>
      <c r="T59">
        <v>40.6</v>
      </c>
      <c r="U59">
        <v>42</v>
      </c>
      <c r="V59">
        <v>966.66666666666663</v>
      </c>
      <c r="W59" t="s">
        <v>1153</v>
      </c>
      <c r="X59" t="s">
        <v>1087</v>
      </c>
      <c r="Y59">
        <v>36</v>
      </c>
      <c r="Z59">
        <v>2</v>
      </c>
      <c r="AA59">
        <v>83.5</v>
      </c>
    </row>
    <row r="60" spans="1:27" x14ac:dyDescent="0.3">
      <c r="A60" s="15">
        <v>44452.71497685185</v>
      </c>
      <c r="B60" t="s">
        <v>13</v>
      </c>
      <c r="C60" t="s">
        <v>1128</v>
      </c>
      <c r="D60" s="2">
        <v>44445</v>
      </c>
      <c r="E60" t="s">
        <v>1130</v>
      </c>
      <c r="F60" t="s">
        <v>41</v>
      </c>
      <c r="G60" t="s">
        <v>940</v>
      </c>
      <c r="H60" t="s">
        <v>48</v>
      </c>
      <c r="I60" t="s">
        <v>1012</v>
      </c>
      <c r="J60" t="s">
        <v>514</v>
      </c>
      <c r="K60">
        <v>1065</v>
      </c>
      <c r="L60">
        <v>6</v>
      </c>
      <c r="M60">
        <v>86.3</v>
      </c>
      <c r="N60" t="s">
        <v>21</v>
      </c>
      <c r="O60">
        <v>0</v>
      </c>
      <c r="P60">
        <v>2</v>
      </c>
      <c r="Q60">
        <v>450</v>
      </c>
      <c r="R60">
        <v>6483</v>
      </c>
      <c r="S60">
        <v>44.73</v>
      </c>
      <c r="T60">
        <v>86.3</v>
      </c>
      <c r="U60">
        <v>42</v>
      </c>
      <c r="V60">
        <v>2054.7619047619046</v>
      </c>
      <c r="W60" t="s">
        <v>1153</v>
      </c>
      <c r="X60" t="s">
        <v>1087</v>
      </c>
      <c r="Y60">
        <v>37</v>
      </c>
      <c r="Z60">
        <v>2</v>
      </c>
      <c r="AA60">
        <v>177.5</v>
      </c>
    </row>
    <row r="61" spans="1:27" x14ac:dyDescent="0.3">
      <c r="A61" s="15">
        <v>44452.716261574074</v>
      </c>
      <c r="B61" t="s">
        <v>13</v>
      </c>
      <c r="C61" t="s">
        <v>1128</v>
      </c>
      <c r="D61" s="2">
        <v>44446</v>
      </c>
      <c r="E61" t="s">
        <v>1130</v>
      </c>
      <c r="F61" t="s">
        <v>41</v>
      </c>
      <c r="G61" t="s">
        <v>940</v>
      </c>
      <c r="H61" t="s">
        <v>48</v>
      </c>
      <c r="I61" t="s">
        <v>1012</v>
      </c>
      <c r="J61" t="s">
        <v>510</v>
      </c>
      <c r="K61">
        <v>1014</v>
      </c>
      <c r="L61">
        <v>10</v>
      </c>
      <c r="M61">
        <v>82.7</v>
      </c>
      <c r="N61" t="s">
        <v>21</v>
      </c>
      <c r="O61">
        <v>0</v>
      </c>
      <c r="P61">
        <v>6</v>
      </c>
      <c r="Q61">
        <v>450</v>
      </c>
      <c r="R61">
        <v>6484</v>
      </c>
      <c r="S61">
        <v>42.588000000000001</v>
      </c>
      <c r="T61">
        <v>82.7</v>
      </c>
      <c r="U61">
        <v>42</v>
      </c>
      <c r="V61">
        <v>1969.047619047619</v>
      </c>
      <c r="W61" t="s">
        <v>1153</v>
      </c>
      <c r="X61" t="s">
        <v>1087</v>
      </c>
      <c r="Y61">
        <v>37</v>
      </c>
      <c r="Z61">
        <v>2</v>
      </c>
      <c r="AA61">
        <v>169</v>
      </c>
    </row>
    <row r="62" spans="1:27" x14ac:dyDescent="0.3">
      <c r="A62" s="15">
        <v>44452.719629629632</v>
      </c>
      <c r="B62" t="s">
        <v>13</v>
      </c>
      <c r="C62" t="s">
        <v>1128</v>
      </c>
      <c r="D62" s="2">
        <v>44447</v>
      </c>
      <c r="E62" t="s">
        <v>1114</v>
      </c>
      <c r="F62" t="s">
        <v>41</v>
      </c>
      <c r="G62" t="s">
        <v>940</v>
      </c>
      <c r="H62" t="s">
        <v>48</v>
      </c>
      <c r="I62" t="s">
        <v>1012</v>
      </c>
      <c r="J62" t="s">
        <v>513</v>
      </c>
      <c r="K62">
        <v>326</v>
      </c>
      <c r="L62">
        <v>3</v>
      </c>
      <c r="M62">
        <v>25.7</v>
      </c>
      <c r="N62" t="s">
        <v>21</v>
      </c>
      <c r="O62">
        <v>0</v>
      </c>
      <c r="P62">
        <v>2</v>
      </c>
      <c r="Q62">
        <v>450</v>
      </c>
      <c r="R62">
        <v>6486</v>
      </c>
      <c r="S62">
        <v>13.692</v>
      </c>
      <c r="T62">
        <v>25.7</v>
      </c>
      <c r="U62">
        <v>42</v>
      </c>
      <c r="V62">
        <v>611.90476190476193</v>
      </c>
      <c r="W62" t="s">
        <v>1153</v>
      </c>
      <c r="X62" t="s">
        <v>1087</v>
      </c>
      <c r="Y62">
        <v>37</v>
      </c>
      <c r="Z62">
        <v>2</v>
      </c>
      <c r="AA62">
        <v>54.333333333333336</v>
      </c>
    </row>
    <row r="63" spans="1:27" x14ac:dyDescent="0.3">
      <c r="A63" s="15">
        <v>44452.719178240739</v>
      </c>
      <c r="B63" t="s">
        <v>13</v>
      </c>
      <c r="C63" t="s">
        <v>1128</v>
      </c>
      <c r="D63" s="2">
        <v>44447</v>
      </c>
      <c r="E63" t="s">
        <v>1114</v>
      </c>
      <c r="F63" t="s">
        <v>41</v>
      </c>
      <c r="G63" t="s">
        <v>940</v>
      </c>
      <c r="H63" t="s">
        <v>48</v>
      </c>
      <c r="I63" t="s">
        <v>1012</v>
      </c>
      <c r="J63" t="s">
        <v>515</v>
      </c>
      <c r="K63">
        <v>753</v>
      </c>
      <c r="L63">
        <v>7</v>
      </c>
      <c r="M63">
        <v>64.2</v>
      </c>
      <c r="N63" t="s">
        <v>21</v>
      </c>
      <c r="O63">
        <v>0</v>
      </c>
      <c r="P63">
        <v>6</v>
      </c>
      <c r="Q63">
        <v>450</v>
      </c>
      <c r="R63">
        <v>6486</v>
      </c>
      <c r="S63">
        <v>31.626000000000001</v>
      </c>
      <c r="T63">
        <v>64.2</v>
      </c>
      <c r="U63">
        <v>42</v>
      </c>
      <c r="V63">
        <v>1528.5714285714287</v>
      </c>
      <c r="W63" t="s">
        <v>1153</v>
      </c>
      <c r="X63" t="s">
        <v>1087</v>
      </c>
      <c r="Y63">
        <v>37</v>
      </c>
      <c r="Z63">
        <v>2</v>
      </c>
      <c r="AA63">
        <v>125.5</v>
      </c>
    </row>
    <row r="64" spans="1:27" x14ac:dyDescent="0.3">
      <c r="A64" s="15">
        <v>44452.718136574076</v>
      </c>
      <c r="B64" t="s">
        <v>13</v>
      </c>
      <c r="C64" t="s">
        <v>1128</v>
      </c>
      <c r="D64" s="2">
        <v>44447</v>
      </c>
      <c r="E64" t="s">
        <v>1105</v>
      </c>
      <c r="F64" t="s">
        <v>41</v>
      </c>
      <c r="G64" t="s">
        <v>940</v>
      </c>
      <c r="H64" t="s">
        <v>48</v>
      </c>
      <c r="I64" t="s">
        <v>1012</v>
      </c>
      <c r="J64" t="s">
        <v>515</v>
      </c>
      <c r="K64">
        <v>625</v>
      </c>
      <c r="L64">
        <v>6</v>
      </c>
      <c r="M64">
        <v>51</v>
      </c>
      <c r="N64" t="s">
        <v>21</v>
      </c>
      <c r="O64">
        <v>0</v>
      </c>
      <c r="P64">
        <v>5</v>
      </c>
      <c r="Q64">
        <v>450</v>
      </c>
      <c r="R64">
        <v>6485</v>
      </c>
      <c r="S64">
        <v>26.25</v>
      </c>
      <c r="T64">
        <v>51</v>
      </c>
      <c r="U64">
        <v>42</v>
      </c>
      <c r="V64">
        <v>1214.2857142857142</v>
      </c>
      <c r="W64" t="s">
        <v>1153</v>
      </c>
      <c r="X64" t="s">
        <v>1087</v>
      </c>
      <c r="Y64">
        <v>37</v>
      </c>
      <c r="Z64">
        <v>2</v>
      </c>
      <c r="AA64">
        <v>104.16666666666667</v>
      </c>
    </row>
    <row r="65" spans="1:27" x14ac:dyDescent="0.3">
      <c r="A65" s="15">
        <v>44452.717488425929</v>
      </c>
      <c r="B65" t="s">
        <v>13</v>
      </c>
      <c r="C65" t="s">
        <v>1128</v>
      </c>
      <c r="D65" s="2">
        <v>44447</v>
      </c>
      <c r="E65" t="s">
        <v>1105</v>
      </c>
      <c r="F65" t="s">
        <v>41</v>
      </c>
      <c r="G65" t="s">
        <v>940</v>
      </c>
      <c r="H65" t="s">
        <v>48</v>
      </c>
      <c r="I65" t="s">
        <v>1012</v>
      </c>
      <c r="J65" t="s">
        <v>510</v>
      </c>
      <c r="K65">
        <v>587</v>
      </c>
      <c r="L65">
        <v>6</v>
      </c>
      <c r="M65">
        <v>47.9</v>
      </c>
      <c r="N65" t="s">
        <v>21</v>
      </c>
      <c r="O65">
        <v>0</v>
      </c>
      <c r="P65">
        <v>4</v>
      </c>
      <c r="Q65">
        <v>450</v>
      </c>
      <c r="R65">
        <v>6485</v>
      </c>
      <c r="S65">
        <v>24.654</v>
      </c>
      <c r="T65">
        <v>47.9</v>
      </c>
      <c r="U65">
        <v>42</v>
      </c>
      <c r="V65">
        <v>1140.4761904761904</v>
      </c>
      <c r="W65" t="s">
        <v>1153</v>
      </c>
      <c r="X65" t="s">
        <v>1087</v>
      </c>
      <c r="Y65">
        <v>37</v>
      </c>
      <c r="Z65">
        <v>2</v>
      </c>
      <c r="AA65">
        <v>97.833333333333329</v>
      </c>
    </row>
    <row r="66" spans="1:27" x14ac:dyDescent="0.3">
      <c r="A66" s="15">
        <v>44452.720995370371</v>
      </c>
      <c r="B66" t="s">
        <v>13</v>
      </c>
      <c r="C66" t="s">
        <v>1128</v>
      </c>
      <c r="D66" s="2">
        <v>44449</v>
      </c>
      <c r="E66" t="s">
        <v>1114</v>
      </c>
      <c r="F66" t="s">
        <v>41</v>
      </c>
      <c r="G66" t="s">
        <v>940</v>
      </c>
      <c r="H66" t="s">
        <v>48</v>
      </c>
      <c r="I66" t="s">
        <v>1012</v>
      </c>
      <c r="J66" t="s">
        <v>512</v>
      </c>
      <c r="K66">
        <v>38</v>
      </c>
      <c r="L66">
        <v>1</v>
      </c>
      <c r="M66">
        <v>3.1</v>
      </c>
      <c r="N66" t="s">
        <v>21</v>
      </c>
      <c r="O66">
        <v>0</v>
      </c>
      <c r="P66">
        <v>1</v>
      </c>
      <c r="Q66">
        <v>450</v>
      </c>
      <c r="R66">
        <v>6487</v>
      </c>
      <c r="S66">
        <v>1.5960000000000001</v>
      </c>
      <c r="T66">
        <v>3.1</v>
      </c>
      <c r="U66">
        <v>42</v>
      </c>
      <c r="V66">
        <v>73.80952380952381</v>
      </c>
      <c r="W66" t="s">
        <v>1153</v>
      </c>
      <c r="X66" t="s">
        <v>1087</v>
      </c>
      <c r="Y66">
        <v>37</v>
      </c>
      <c r="Z66">
        <v>2</v>
      </c>
      <c r="AA66">
        <v>6.333333333333333</v>
      </c>
    </row>
    <row r="67" spans="1:27" x14ac:dyDescent="0.3">
      <c r="A67" s="15">
        <v>44452.720486111109</v>
      </c>
      <c r="B67" t="s">
        <v>13</v>
      </c>
      <c r="C67" t="s">
        <v>1128</v>
      </c>
      <c r="D67" s="2">
        <v>44449</v>
      </c>
      <c r="E67" t="s">
        <v>1114</v>
      </c>
      <c r="F67" t="s">
        <v>41</v>
      </c>
      <c r="G67" t="s">
        <v>940</v>
      </c>
      <c r="H67" t="s">
        <v>48</v>
      </c>
      <c r="I67" t="s">
        <v>1012</v>
      </c>
      <c r="J67" t="s">
        <v>513</v>
      </c>
      <c r="K67">
        <v>1067</v>
      </c>
      <c r="L67">
        <v>11</v>
      </c>
      <c r="M67">
        <v>87</v>
      </c>
      <c r="N67" t="s">
        <v>21</v>
      </c>
      <c r="O67">
        <v>0</v>
      </c>
      <c r="P67">
        <v>7</v>
      </c>
      <c r="Q67">
        <v>450</v>
      </c>
      <c r="R67">
        <v>6487</v>
      </c>
      <c r="S67">
        <v>44.814</v>
      </c>
      <c r="T67">
        <v>87</v>
      </c>
      <c r="U67">
        <v>42</v>
      </c>
      <c r="V67">
        <v>2071.4285714285716</v>
      </c>
      <c r="W67" t="s">
        <v>1153</v>
      </c>
      <c r="X67" t="s">
        <v>1087</v>
      </c>
      <c r="Y67">
        <v>37</v>
      </c>
      <c r="Z67">
        <v>2</v>
      </c>
      <c r="AA67">
        <v>177.83333333333334</v>
      </c>
    </row>
    <row r="68" spans="1:27" x14ac:dyDescent="0.3">
      <c r="A68" s="15">
        <v>44452.721909722219</v>
      </c>
      <c r="B68" t="s">
        <v>13</v>
      </c>
      <c r="C68" t="s">
        <v>1128</v>
      </c>
      <c r="D68" s="2">
        <v>44450</v>
      </c>
      <c r="E68" t="s">
        <v>1114</v>
      </c>
      <c r="F68" t="s">
        <v>41</v>
      </c>
      <c r="G68" t="s">
        <v>940</v>
      </c>
      <c r="H68" t="s">
        <v>48</v>
      </c>
      <c r="I68" t="s">
        <v>1012</v>
      </c>
      <c r="J68" t="s">
        <v>512</v>
      </c>
      <c r="K68">
        <v>905</v>
      </c>
      <c r="L68">
        <v>11</v>
      </c>
      <c r="M68">
        <v>73.8</v>
      </c>
      <c r="N68" t="s">
        <v>21</v>
      </c>
      <c r="O68">
        <v>0</v>
      </c>
      <c r="P68">
        <v>6</v>
      </c>
      <c r="Q68">
        <v>450</v>
      </c>
      <c r="R68">
        <v>6488</v>
      </c>
      <c r="S68">
        <v>38.01</v>
      </c>
      <c r="T68">
        <v>73.8</v>
      </c>
      <c r="U68">
        <v>42</v>
      </c>
      <c r="V68">
        <v>1757.1428571428571</v>
      </c>
      <c r="W68" t="s">
        <v>1153</v>
      </c>
      <c r="X68" t="s">
        <v>1087</v>
      </c>
      <c r="Y68">
        <v>37</v>
      </c>
      <c r="Z68">
        <v>2</v>
      </c>
      <c r="AA68">
        <v>150.83333333333334</v>
      </c>
    </row>
    <row r="69" spans="1:27" x14ac:dyDescent="0.3">
      <c r="A69" s="15">
        <v>44482.663703703707</v>
      </c>
      <c r="B69" t="s">
        <v>13</v>
      </c>
      <c r="C69" t="s">
        <v>1128</v>
      </c>
      <c r="D69" s="2">
        <v>44452</v>
      </c>
      <c r="E69" t="s">
        <v>1133</v>
      </c>
      <c r="F69" t="s">
        <v>41</v>
      </c>
      <c r="G69" t="s">
        <v>940</v>
      </c>
      <c r="H69" t="s">
        <v>48</v>
      </c>
      <c r="I69" t="s">
        <v>1012</v>
      </c>
      <c r="J69" t="s">
        <v>513</v>
      </c>
      <c r="K69">
        <v>268</v>
      </c>
      <c r="L69">
        <v>3</v>
      </c>
      <c r="M69">
        <v>22</v>
      </c>
      <c r="N69" t="s">
        <v>21</v>
      </c>
      <c r="O69">
        <v>0</v>
      </c>
      <c r="P69">
        <v>3</v>
      </c>
      <c r="Q69">
        <v>450</v>
      </c>
      <c r="R69">
        <v>6489</v>
      </c>
      <c r="S69">
        <v>11.256</v>
      </c>
      <c r="T69">
        <v>22</v>
      </c>
      <c r="U69">
        <v>42</v>
      </c>
      <c r="V69">
        <v>523.80952380952385</v>
      </c>
      <c r="W69" t="s">
        <v>1153</v>
      </c>
      <c r="X69" t="s">
        <v>1087</v>
      </c>
      <c r="Y69">
        <v>38</v>
      </c>
      <c r="Z69">
        <v>2</v>
      </c>
      <c r="AA69">
        <v>44.666666666666664</v>
      </c>
    </row>
    <row r="70" spans="1:27" x14ac:dyDescent="0.3">
      <c r="A70" s="15">
        <v>44482.663460648146</v>
      </c>
      <c r="B70" t="s">
        <v>13</v>
      </c>
      <c r="C70" t="s">
        <v>1128</v>
      </c>
      <c r="D70" s="2">
        <v>44452</v>
      </c>
      <c r="E70" t="s">
        <v>1133</v>
      </c>
      <c r="F70" t="s">
        <v>41</v>
      </c>
      <c r="G70" t="s">
        <v>940</v>
      </c>
      <c r="H70" t="s">
        <v>48</v>
      </c>
      <c r="I70" t="s">
        <v>1012</v>
      </c>
      <c r="J70" t="s">
        <v>512</v>
      </c>
      <c r="K70">
        <v>692</v>
      </c>
      <c r="L70">
        <v>7</v>
      </c>
      <c r="M70">
        <v>56.8</v>
      </c>
      <c r="N70" t="s">
        <v>21</v>
      </c>
      <c r="O70">
        <v>0</v>
      </c>
      <c r="P70">
        <v>3</v>
      </c>
      <c r="Q70">
        <v>450</v>
      </c>
      <c r="R70">
        <v>6489</v>
      </c>
      <c r="S70">
        <v>29.064</v>
      </c>
      <c r="T70">
        <v>56.8</v>
      </c>
      <c r="U70">
        <v>42</v>
      </c>
      <c r="V70">
        <v>1352.3809523809523</v>
      </c>
      <c r="W70" t="s">
        <v>1153</v>
      </c>
      <c r="X70" t="s">
        <v>1087</v>
      </c>
      <c r="Y70">
        <v>38</v>
      </c>
      <c r="Z70">
        <v>2</v>
      </c>
      <c r="AA70">
        <v>115.33333333333333</v>
      </c>
    </row>
    <row r="71" spans="1:27" x14ac:dyDescent="0.3">
      <c r="A71" s="15">
        <v>44482.665578703702</v>
      </c>
      <c r="B71" t="s">
        <v>13</v>
      </c>
      <c r="C71" t="s">
        <v>1128</v>
      </c>
      <c r="D71" s="2">
        <v>44453</v>
      </c>
      <c r="E71" t="s">
        <v>1133</v>
      </c>
      <c r="F71" t="s">
        <v>41</v>
      </c>
      <c r="G71" t="s">
        <v>940</v>
      </c>
      <c r="H71" t="s">
        <v>48</v>
      </c>
      <c r="I71" t="s">
        <v>1012</v>
      </c>
      <c r="J71" t="s">
        <v>511</v>
      </c>
      <c r="K71">
        <v>400</v>
      </c>
      <c r="L71">
        <v>5</v>
      </c>
      <c r="M71">
        <v>32.799999999999997</v>
      </c>
      <c r="N71" t="s">
        <v>21</v>
      </c>
      <c r="O71">
        <v>0</v>
      </c>
      <c r="P71">
        <v>3</v>
      </c>
      <c r="Q71">
        <v>450</v>
      </c>
      <c r="R71">
        <v>6490</v>
      </c>
      <c r="S71">
        <v>16.8</v>
      </c>
      <c r="T71">
        <v>32.799999999999997</v>
      </c>
      <c r="U71">
        <v>42</v>
      </c>
      <c r="V71">
        <v>780.95238095238096</v>
      </c>
      <c r="W71" t="s">
        <v>1153</v>
      </c>
      <c r="X71" t="s">
        <v>1087</v>
      </c>
      <c r="Y71">
        <v>38</v>
      </c>
      <c r="Z71">
        <v>2</v>
      </c>
      <c r="AA71">
        <v>66.666666666666671</v>
      </c>
    </row>
    <row r="72" spans="1:27" x14ac:dyDescent="0.3">
      <c r="A72" s="15">
        <v>44482.664537037039</v>
      </c>
      <c r="B72" t="s">
        <v>13</v>
      </c>
      <c r="C72" t="s">
        <v>1128</v>
      </c>
      <c r="D72" s="2">
        <v>44453</v>
      </c>
      <c r="E72" t="s">
        <v>1133</v>
      </c>
      <c r="F72" t="s">
        <v>41</v>
      </c>
      <c r="G72" t="s">
        <v>940</v>
      </c>
      <c r="H72" t="s">
        <v>48</v>
      </c>
      <c r="I72" t="s">
        <v>1012</v>
      </c>
      <c r="J72" t="s">
        <v>515</v>
      </c>
      <c r="K72">
        <v>123</v>
      </c>
      <c r="L72">
        <v>1</v>
      </c>
      <c r="M72">
        <v>10.1</v>
      </c>
      <c r="N72" t="s">
        <v>21</v>
      </c>
      <c r="O72">
        <v>0</v>
      </c>
      <c r="P72">
        <v>1</v>
      </c>
      <c r="Q72">
        <v>450</v>
      </c>
      <c r="R72">
        <v>6490</v>
      </c>
      <c r="S72">
        <v>5.1660000000000004</v>
      </c>
      <c r="T72">
        <v>10.1</v>
      </c>
      <c r="U72">
        <v>42</v>
      </c>
      <c r="V72">
        <v>240.47619047619048</v>
      </c>
      <c r="W72" t="s">
        <v>1153</v>
      </c>
      <c r="X72" t="s">
        <v>1087</v>
      </c>
      <c r="Y72">
        <v>38</v>
      </c>
      <c r="Z72">
        <v>2</v>
      </c>
      <c r="AA72">
        <v>20.5</v>
      </c>
    </row>
    <row r="73" spans="1:27" x14ac:dyDescent="0.3">
      <c r="A73" s="15">
        <v>44482.676041666666</v>
      </c>
      <c r="B73" t="s">
        <v>13</v>
      </c>
      <c r="C73" t="s">
        <v>1128</v>
      </c>
      <c r="D73" s="2">
        <v>44455</v>
      </c>
      <c r="E73" t="s">
        <v>1105</v>
      </c>
      <c r="F73" t="s">
        <v>41</v>
      </c>
      <c r="G73" t="s">
        <v>940</v>
      </c>
      <c r="H73" t="s">
        <v>48</v>
      </c>
      <c r="I73" t="s">
        <v>1001</v>
      </c>
      <c r="J73" t="s">
        <v>1134</v>
      </c>
      <c r="K73">
        <v>716</v>
      </c>
      <c r="L73">
        <v>3</v>
      </c>
      <c r="M73">
        <v>89.5</v>
      </c>
      <c r="N73" t="s">
        <v>21</v>
      </c>
      <c r="O73">
        <v>0</v>
      </c>
      <c r="P73">
        <v>6</v>
      </c>
      <c r="Q73">
        <v>461</v>
      </c>
      <c r="R73">
        <v>6492</v>
      </c>
      <c r="S73">
        <v>89.5</v>
      </c>
      <c r="T73">
        <v>89.5</v>
      </c>
      <c r="U73">
        <v>125</v>
      </c>
      <c r="V73">
        <v>716</v>
      </c>
      <c r="W73" t="s">
        <v>1153</v>
      </c>
      <c r="X73" t="s">
        <v>1087</v>
      </c>
      <c r="Y73">
        <v>38</v>
      </c>
      <c r="Z73">
        <v>1</v>
      </c>
      <c r="AA73">
        <v>59.666666666666664</v>
      </c>
    </row>
    <row r="74" spans="1:27" x14ac:dyDescent="0.3">
      <c r="A74" s="15">
        <v>44482.670011574075</v>
      </c>
      <c r="B74" t="s">
        <v>13</v>
      </c>
      <c r="C74" t="s">
        <v>1128</v>
      </c>
      <c r="D74" s="2">
        <v>44455</v>
      </c>
      <c r="E74" t="s">
        <v>1114</v>
      </c>
      <c r="F74" t="s">
        <v>41</v>
      </c>
      <c r="G74" t="s">
        <v>940</v>
      </c>
      <c r="H74" t="s">
        <v>48</v>
      </c>
      <c r="I74" t="s">
        <v>1001</v>
      </c>
      <c r="J74" t="s">
        <v>572</v>
      </c>
      <c r="K74">
        <v>392</v>
      </c>
      <c r="L74">
        <v>4</v>
      </c>
      <c r="M74">
        <v>49</v>
      </c>
      <c r="N74" t="s">
        <v>21</v>
      </c>
      <c r="O74">
        <v>0</v>
      </c>
      <c r="P74">
        <v>5</v>
      </c>
      <c r="Q74">
        <v>461</v>
      </c>
      <c r="R74">
        <v>6491</v>
      </c>
      <c r="S74">
        <v>49</v>
      </c>
      <c r="T74">
        <v>49</v>
      </c>
      <c r="U74">
        <v>125</v>
      </c>
      <c r="V74">
        <v>392</v>
      </c>
      <c r="W74" t="s">
        <v>1153</v>
      </c>
      <c r="X74" t="s">
        <v>1087</v>
      </c>
      <c r="Y74">
        <v>38</v>
      </c>
      <c r="Z74">
        <v>1</v>
      </c>
      <c r="AA74">
        <v>32.666666666666664</v>
      </c>
    </row>
    <row r="75" spans="1:27" x14ac:dyDescent="0.3">
      <c r="A75" s="15">
        <v>44482.678888888891</v>
      </c>
      <c r="B75" t="s">
        <v>13</v>
      </c>
      <c r="C75" t="s">
        <v>1128</v>
      </c>
      <c r="D75" s="2">
        <v>44457</v>
      </c>
      <c r="E75" t="s">
        <v>1082</v>
      </c>
      <c r="F75" t="s">
        <v>41</v>
      </c>
      <c r="G75" t="s">
        <v>940</v>
      </c>
      <c r="H75" t="s">
        <v>48</v>
      </c>
      <c r="I75" t="s">
        <v>1001</v>
      </c>
      <c r="J75" t="s">
        <v>1083</v>
      </c>
      <c r="K75">
        <v>640</v>
      </c>
      <c r="L75">
        <v>6</v>
      </c>
      <c r="M75">
        <v>80</v>
      </c>
      <c r="N75" t="s">
        <v>21</v>
      </c>
      <c r="O75">
        <v>0</v>
      </c>
      <c r="P75">
        <v>6</v>
      </c>
      <c r="Q75">
        <v>461</v>
      </c>
      <c r="R75">
        <v>6493</v>
      </c>
      <c r="S75">
        <v>80</v>
      </c>
      <c r="T75">
        <v>80</v>
      </c>
      <c r="U75">
        <v>125</v>
      </c>
      <c r="V75">
        <v>640</v>
      </c>
      <c r="W75" t="s">
        <v>1153</v>
      </c>
      <c r="X75" t="s">
        <v>1087</v>
      </c>
      <c r="Y75">
        <v>38</v>
      </c>
      <c r="Z75">
        <v>1</v>
      </c>
      <c r="AA75">
        <v>53.333333333333336</v>
      </c>
    </row>
    <row r="76" spans="1:27" x14ac:dyDescent="0.3">
      <c r="A76" s="15">
        <v>44482.676770833335</v>
      </c>
      <c r="B76" t="s">
        <v>13</v>
      </c>
      <c r="C76" t="s">
        <v>1128</v>
      </c>
      <c r="D76" s="2">
        <v>44457</v>
      </c>
      <c r="E76" t="s">
        <v>1082</v>
      </c>
      <c r="F76" t="s">
        <v>41</v>
      </c>
      <c r="G76" t="s">
        <v>940</v>
      </c>
      <c r="H76" t="s">
        <v>48</v>
      </c>
      <c r="I76" t="s">
        <v>1001</v>
      </c>
      <c r="J76" t="s">
        <v>1134</v>
      </c>
      <c r="K76">
        <v>64</v>
      </c>
      <c r="L76">
        <v>2</v>
      </c>
      <c r="M76">
        <v>8.32</v>
      </c>
      <c r="N76" t="s">
        <v>21</v>
      </c>
      <c r="O76">
        <v>0</v>
      </c>
      <c r="P76">
        <v>1</v>
      </c>
      <c r="Q76">
        <v>461</v>
      </c>
      <c r="R76">
        <v>6493</v>
      </c>
      <c r="S76">
        <v>8</v>
      </c>
      <c r="T76">
        <v>8.32</v>
      </c>
      <c r="U76">
        <v>125</v>
      </c>
      <c r="V76">
        <v>66.56</v>
      </c>
      <c r="W76" t="s">
        <v>1153</v>
      </c>
      <c r="X76" t="s">
        <v>1087</v>
      </c>
      <c r="Y76">
        <v>38</v>
      </c>
      <c r="Z76">
        <v>1</v>
      </c>
      <c r="AA76">
        <v>5.333333333333333</v>
      </c>
    </row>
    <row r="77" spans="1:27" x14ac:dyDescent="0.3">
      <c r="A77" s="15">
        <v>44482.680393518516</v>
      </c>
      <c r="B77" t="s">
        <v>13</v>
      </c>
      <c r="C77" t="s">
        <v>1128</v>
      </c>
      <c r="D77" s="2">
        <v>44459</v>
      </c>
      <c r="E77" t="s">
        <v>1114</v>
      </c>
      <c r="F77" t="s">
        <v>41</v>
      </c>
      <c r="G77" t="s">
        <v>940</v>
      </c>
      <c r="H77" t="s">
        <v>48</v>
      </c>
      <c r="I77" t="s">
        <v>1001</v>
      </c>
      <c r="J77" t="s">
        <v>1083</v>
      </c>
      <c r="K77">
        <v>890</v>
      </c>
      <c r="L77">
        <v>11</v>
      </c>
      <c r="M77">
        <v>111.3</v>
      </c>
      <c r="N77" t="s">
        <v>21</v>
      </c>
      <c r="O77">
        <v>0</v>
      </c>
      <c r="P77">
        <v>7</v>
      </c>
      <c r="Q77">
        <v>461</v>
      </c>
      <c r="R77">
        <v>6494</v>
      </c>
      <c r="S77">
        <v>111.25</v>
      </c>
      <c r="T77">
        <v>111.3</v>
      </c>
      <c r="U77">
        <v>125</v>
      </c>
      <c r="V77">
        <v>890.4</v>
      </c>
      <c r="W77" t="s">
        <v>1153</v>
      </c>
      <c r="X77" t="s">
        <v>1087</v>
      </c>
      <c r="Y77">
        <v>39</v>
      </c>
      <c r="Z77">
        <v>1</v>
      </c>
      <c r="AA77">
        <v>74.166666666666671</v>
      </c>
    </row>
    <row r="78" spans="1:27" x14ac:dyDescent="0.3">
      <c r="A78" s="15">
        <v>44482.684606481482</v>
      </c>
      <c r="B78" t="s">
        <v>13</v>
      </c>
      <c r="C78" t="s">
        <v>1128</v>
      </c>
      <c r="D78" s="2">
        <v>44460</v>
      </c>
      <c r="E78" t="s">
        <v>1114</v>
      </c>
      <c r="F78" t="s">
        <v>41</v>
      </c>
      <c r="G78" t="s">
        <v>940</v>
      </c>
      <c r="H78" t="s">
        <v>48</v>
      </c>
      <c r="I78" t="s">
        <v>1001</v>
      </c>
      <c r="J78" t="s">
        <v>571</v>
      </c>
      <c r="K78">
        <v>514</v>
      </c>
      <c r="L78">
        <v>6</v>
      </c>
      <c r="M78">
        <v>64.3</v>
      </c>
      <c r="N78" t="s">
        <v>21</v>
      </c>
      <c r="O78">
        <v>0</v>
      </c>
      <c r="P78">
        <v>5</v>
      </c>
      <c r="Q78">
        <v>461</v>
      </c>
      <c r="R78">
        <v>6495</v>
      </c>
      <c r="S78">
        <v>64.25</v>
      </c>
      <c r="T78">
        <v>64.3</v>
      </c>
      <c r="U78">
        <v>125</v>
      </c>
      <c r="V78">
        <v>514.4</v>
      </c>
      <c r="W78" t="s">
        <v>1153</v>
      </c>
      <c r="X78" t="s">
        <v>1087</v>
      </c>
      <c r="Y78">
        <v>39</v>
      </c>
      <c r="Z78">
        <v>1</v>
      </c>
      <c r="AA78">
        <v>42.833333333333336</v>
      </c>
    </row>
    <row r="79" spans="1:27" x14ac:dyDescent="0.3">
      <c r="A79" s="15">
        <v>44482.683981481481</v>
      </c>
      <c r="B79" t="s">
        <v>13</v>
      </c>
      <c r="C79" t="s">
        <v>1128</v>
      </c>
      <c r="D79" s="2">
        <v>44460</v>
      </c>
      <c r="E79" t="s">
        <v>1114</v>
      </c>
      <c r="F79" t="s">
        <v>41</v>
      </c>
      <c r="G79" t="s">
        <v>940</v>
      </c>
      <c r="H79" t="s">
        <v>48</v>
      </c>
      <c r="I79" t="s">
        <v>1001</v>
      </c>
      <c r="J79" t="s">
        <v>1083</v>
      </c>
      <c r="K79">
        <v>56</v>
      </c>
      <c r="L79">
        <v>2</v>
      </c>
      <c r="M79">
        <v>7</v>
      </c>
      <c r="N79" t="s">
        <v>21</v>
      </c>
      <c r="O79">
        <v>0</v>
      </c>
      <c r="P79">
        <v>1</v>
      </c>
      <c r="Q79">
        <v>461</v>
      </c>
      <c r="R79">
        <v>6495</v>
      </c>
      <c r="S79">
        <v>7</v>
      </c>
      <c r="T79">
        <v>7</v>
      </c>
      <c r="U79">
        <v>125</v>
      </c>
      <c r="V79">
        <v>56</v>
      </c>
      <c r="W79" t="s">
        <v>1153</v>
      </c>
      <c r="X79" t="s">
        <v>1087</v>
      </c>
      <c r="Y79">
        <v>39</v>
      </c>
      <c r="Z79">
        <v>1</v>
      </c>
      <c r="AA79">
        <v>4.666666666666667</v>
      </c>
    </row>
    <row r="80" spans="1:27" x14ac:dyDescent="0.3">
      <c r="A80" s="15">
        <v>44482.685601851852</v>
      </c>
      <c r="B80" t="s">
        <v>13</v>
      </c>
      <c r="C80" t="s">
        <v>1128</v>
      </c>
      <c r="D80" s="2">
        <v>44461</v>
      </c>
      <c r="E80" t="s">
        <v>1114</v>
      </c>
      <c r="F80" t="s">
        <v>41</v>
      </c>
      <c r="G80" t="s">
        <v>940</v>
      </c>
      <c r="H80" t="s">
        <v>48</v>
      </c>
      <c r="I80" t="s">
        <v>1001</v>
      </c>
      <c r="J80" t="s">
        <v>1134</v>
      </c>
      <c r="K80">
        <v>111</v>
      </c>
      <c r="L80">
        <v>2</v>
      </c>
      <c r="M80">
        <v>13.4</v>
      </c>
      <c r="N80" t="s">
        <v>21</v>
      </c>
      <c r="O80">
        <v>0</v>
      </c>
      <c r="P80">
        <v>1</v>
      </c>
      <c r="Q80">
        <v>461</v>
      </c>
      <c r="R80">
        <v>6496</v>
      </c>
      <c r="S80">
        <v>13.875</v>
      </c>
      <c r="T80">
        <v>13.4</v>
      </c>
      <c r="U80">
        <v>125</v>
      </c>
      <c r="V80">
        <v>107.2</v>
      </c>
      <c r="W80" t="s">
        <v>1153</v>
      </c>
      <c r="X80" t="s">
        <v>1087</v>
      </c>
      <c r="Y80">
        <v>39</v>
      </c>
      <c r="Z80">
        <v>1</v>
      </c>
      <c r="AA80">
        <v>9.25</v>
      </c>
    </row>
    <row r="81" spans="1:27" x14ac:dyDescent="0.3">
      <c r="A81" s="15">
        <v>44482.685219907406</v>
      </c>
      <c r="B81" t="s">
        <v>13</v>
      </c>
      <c r="C81" t="s">
        <v>1128</v>
      </c>
      <c r="D81" s="2">
        <v>44461</v>
      </c>
      <c r="E81" t="s">
        <v>1114</v>
      </c>
      <c r="F81" t="s">
        <v>41</v>
      </c>
      <c r="G81" t="s">
        <v>940</v>
      </c>
      <c r="H81" t="s">
        <v>48</v>
      </c>
      <c r="I81" t="s">
        <v>1001</v>
      </c>
      <c r="J81" t="s">
        <v>571</v>
      </c>
      <c r="K81">
        <v>494</v>
      </c>
      <c r="L81">
        <v>6</v>
      </c>
      <c r="M81">
        <v>61.8</v>
      </c>
      <c r="N81" t="s">
        <v>21</v>
      </c>
      <c r="O81">
        <v>0</v>
      </c>
      <c r="P81">
        <v>5</v>
      </c>
      <c r="Q81">
        <v>461</v>
      </c>
      <c r="R81">
        <v>6496</v>
      </c>
      <c r="S81">
        <v>61.75</v>
      </c>
      <c r="T81">
        <v>61.8</v>
      </c>
      <c r="U81">
        <v>125</v>
      </c>
      <c r="V81">
        <v>494.4</v>
      </c>
      <c r="W81" t="s">
        <v>1153</v>
      </c>
      <c r="X81" t="s">
        <v>1087</v>
      </c>
      <c r="Y81">
        <v>39</v>
      </c>
      <c r="Z81">
        <v>1</v>
      </c>
      <c r="AA81">
        <v>41.166666666666664</v>
      </c>
    </row>
    <row r="82" spans="1:27" x14ac:dyDescent="0.3">
      <c r="A82" s="15">
        <v>44482.688171296293</v>
      </c>
      <c r="B82" t="s">
        <v>13</v>
      </c>
      <c r="C82" t="s">
        <v>1128</v>
      </c>
      <c r="D82" s="2">
        <v>44463</v>
      </c>
      <c r="E82" t="s">
        <v>1105</v>
      </c>
      <c r="F82" t="s">
        <v>41</v>
      </c>
      <c r="G82" t="s">
        <v>940</v>
      </c>
      <c r="H82" t="s">
        <v>48</v>
      </c>
      <c r="I82" t="s">
        <v>1001</v>
      </c>
      <c r="J82" t="s">
        <v>1134</v>
      </c>
      <c r="K82">
        <v>599</v>
      </c>
      <c r="L82">
        <v>10</v>
      </c>
      <c r="M82">
        <v>74.900000000000006</v>
      </c>
      <c r="N82" t="s">
        <v>21</v>
      </c>
      <c r="O82">
        <v>0</v>
      </c>
      <c r="P82">
        <v>6</v>
      </c>
      <c r="Q82">
        <v>461</v>
      </c>
      <c r="R82">
        <v>497</v>
      </c>
      <c r="S82">
        <v>74.875</v>
      </c>
      <c r="T82">
        <v>74.900000000000006</v>
      </c>
      <c r="U82">
        <v>125</v>
      </c>
      <c r="V82">
        <v>599.20000000000005</v>
      </c>
      <c r="W82" t="s">
        <v>1153</v>
      </c>
      <c r="X82" t="s">
        <v>1087</v>
      </c>
      <c r="Y82">
        <v>39</v>
      </c>
      <c r="Z82">
        <v>1</v>
      </c>
      <c r="AA82">
        <v>49.916666666666664</v>
      </c>
    </row>
    <row r="83" spans="1:27" x14ac:dyDescent="0.3">
      <c r="A83" s="15">
        <v>44482.690138888887</v>
      </c>
      <c r="B83" t="s">
        <v>13</v>
      </c>
      <c r="C83" t="s">
        <v>1128</v>
      </c>
      <c r="D83" s="2">
        <v>44464</v>
      </c>
      <c r="E83" t="s">
        <v>1114</v>
      </c>
      <c r="F83" t="s">
        <v>41</v>
      </c>
      <c r="G83" t="s">
        <v>940</v>
      </c>
      <c r="H83" t="s">
        <v>48</v>
      </c>
      <c r="I83" t="s">
        <v>1001</v>
      </c>
      <c r="J83" t="s">
        <v>572</v>
      </c>
      <c r="K83">
        <v>68</v>
      </c>
      <c r="L83">
        <v>3</v>
      </c>
      <c r="M83">
        <v>9.8000000000000007</v>
      </c>
      <c r="N83" t="s">
        <v>21</v>
      </c>
      <c r="O83">
        <v>0</v>
      </c>
      <c r="P83">
        <v>1</v>
      </c>
      <c r="Q83">
        <v>461</v>
      </c>
      <c r="R83">
        <v>6498</v>
      </c>
      <c r="S83">
        <v>8.5</v>
      </c>
      <c r="T83">
        <v>9.8000000000000007</v>
      </c>
      <c r="U83">
        <v>125</v>
      </c>
      <c r="V83">
        <v>78.400000000000006</v>
      </c>
      <c r="W83" t="s">
        <v>1153</v>
      </c>
      <c r="X83" t="s">
        <v>1087</v>
      </c>
      <c r="Y83">
        <v>39</v>
      </c>
      <c r="Z83">
        <v>1</v>
      </c>
      <c r="AA83">
        <v>5.666666666666667</v>
      </c>
    </row>
    <row r="84" spans="1:27" x14ac:dyDescent="0.3">
      <c r="A84" s="15">
        <v>44482.689849537041</v>
      </c>
      <c r="B84" t="s">
        <v>13</v>
      </c>
      <c r="C84" t="s">
        <v>1128</v>
      </c>
      <c r="D84" s="2">
        <v>44464</v>
      </c>
      <c r="E84" t="s">
        <v>1114</v>
      </c>
      <c r="F84" t="s">
        <v>41</v>
      </c>
      <c r="G84" t="s">
        <v>940</v>
      </c>
      <c r="H84" t="s">
        <v>48</v>
      </c>
      <c r="I84" t="s">
        <v>1001</v>
      </c>
      <c r="J84" t="s">
        <v>1083</v>
      </c>
      <c r="K84">
        <v>158</v>
      </c>
      <c r="L84">
        <v>3</v>
      </c>
      <c r="M84">
        <v>19.8</v>
      </c>
      <c r="N84" t="s">
        <v>21</v>
      </c>
      <c r="O84">
        <v>0</v>
      </c>
      <c r="P84">
        <v>3</v>
      </c>
      <c r="Q84">
        <v>461</v>
      </c>
      <c r="R84">
        <v>6498</v>
      </c>
      <c r="S84">
        <v>19.75</v>
      </c>
      <c r="T84">
        <v>19.8</v>
      </c>
      <c r="U84">
        <v>125</v>
      </c>
      <c r="V84">
        <v>158.4</v>
      </c>
      <c r="W84" t="s">
        <v>1153</v>
      </c>
      <c r="X84" t="s">
        <v>1087</v>
      </c>
      <c r="Y84">
        <v>39</v>
      </c>
      <c r="Z84">
        <v>1</v>
      </c>
      <c r="AA84">
        <v>13.166666666666666</v>
      </c>
    </row>
    <row r="85" spans="1:27" x14ac:dyDescent="0.3">
      <c r="A85" s="15">
        <v>44482.687025462961</v>
      </c>
      <c r="B85" t="s">
        <v>13</v>
      </c>
      <c r="C85" t="s">
        <v>1128</v>
      </c>
      <c r="D85" s="2">
        <v>44464</v>
      </c>
      <c r="E85" t="s">
        <v>1114</v>
      </c>
      <c r="F85" t="s">
        <v>41</v>
      </c>
      <c r="G85" t="s">
        <v>940</v>
      </c>
      <c r="H85" t="s">
        <v>48</v>
      </c>
      <c r="I85" t="s">
        <v>1001</v>
      </c>
      <c r="J85" t="s">
        <v>1134</v>
      </c>
      <c r="K85">
        <v>376</v>
      </c>
      <c r="L85">
        <v>4</v>
      </c>
      <c r="M85">
        <v>47</v>
      </c>
      <c r="N85" t="s">
        <v>21</v>
      </c>
      <c r="O85">
        <v>0</v>
      </c>
      <c r="P85">
        <v>3</v>
      </c>
      <c r="Q85">
        <v>461</v>
      </c>
      <c r="R85">
        <v>6498</v>
      </c>
      <c r="S85">
        <v>47</v>
      </c>
      <c r="T85">
        <v>47</v>
      </c>
      <c r="U85">
        <v>125</v>
      </c>
      <c r="V85">
        <v>376</v>
      </c>
      <c r="W85" t="s">
        <v>1153</v>
      </c>
      <c r="X85" t="s">
        <v>1087</v>
      </c>
      <c r="Y85">
        <v>39</v>
      </c>
      <c r="Z85">
        <v>1</v>
      </c>
      <c r="AA85">
        <v>31.333333333333332</v>
      </c>
    </row>
    <row r="86" spans="1:27" x14ac:dyDescent="0.3">
      <c r="A86" s="15">
        <v>44482.690833333334</v>
      </c>
      <c r="B86" t="s">
        <v>13</v>
      </c>
      <c r="C86" t="s">
        <v>1128</v>
      </c>
      <c r="D86" s="2">
        <v>44466</v>
      </c>
      <c r="E86" t="s">
        <v>1114</v>
      </c>
      <c r="F86" t="s">
        <v>41</v>
      </c>
      <c r="G86" t="s">
        <v>940</v>
      </c>
      <c r="H86" t="s">
        <v>48</v>
      </c>
      <c r="I86" t="s">
        <v>1001</v>
      </c>
      <c r="J86" t="s">
        <v>572</v>
      </c>
      <c r="K86">
        <v>860</v>
      </c>
      <c r="L86">
        <v>10</v>
      </c>
      <c r="M86">
        <v>107.5</v>
      </c>
      <c r="N86" t="s">
        <v>21</v>
      </c>
      <c r="O86">
        <v>0</v>
      </c>
      <c r="P86">
        <v>7</v>
      </c>
      <c r="Q86">
        <v>461</v>
      </c>
      <c r="R86">
        <v>6499</v>
      </c>
      <c r="S86">
        <v>107.5</v>
      </c>
      <c r="T86">
        <v>107.5</v>
      </c>
      <c r="U86">
        <v>125</v>
      </c>
      <c r="V86">
        <v>860</v>
      </c>
      <c r="W86" t="s">
        <v>1153</v>
      </c>
      <c r="X86" t="s">
        <v>1087</v>
      </c>
      <c r="Y86">
        <v>40</v>
      </c>
      <c r="Z86">
        <v>1</v>
      </c>
      <c r="AA86">
        <v>71.666666666666671</v>
      </c>
    </row>
    <row r="87" spans="1:27" x14ac:dyDescent="0.3">
      <c r="A87" s="15">
        <v>44482.691782407404</v>
      </c>
      <c r="B87" t="s">
        <v>13</v>
      </c>
      <c r="C87" t="s">
        <v>1128</v>
      </c>
      <c r="D87" s="2">
        <v>44467</v>
      </c>
      <c r="E87" t="s">
        <v>1114</v>
      </c>
      <c r="F87" t="s">
        <v>41</v>
      </c>
      <c r="G87" t="s">
        <v>940</v>
      </c>
      <c r="H87" t="s">
        <v>48</v>
      </c>
      <c r="I87" t="s">
        <v>1001</v>
      </c>
      <c r="J87" t="s">
        <v>572</v>
      </c>
      <c r="K87">
        <v>200</v>
      </c>
      <c r="L87">
        <v>3</v>
      </c>
      <c r="M87">
        <v>25</v>
      </c>
      <c r="N87" t="s">
        <v>21</v>
      </c>
      <c r="O87">
        <v>0</v>
      </c>
      <c r="P87">
        <v>1</v>
      </c>
      <c r="Q87">
        <v>461</v>
      </c>
      <c r="R87">
        <v>6500</v>
      </c>
      <c r="S87">
        <v>25</v>
      </c>
      <c r="T87">
        <v>25</v>
      </c>
      <c r="U87">
        <v>125</v>
      </c>
      <c r="V87">
        <v>200</v>
      </c>
      <c r="W87" t="s">
        <v>1153</v>
      </c>
      <c r="X87" t="s">
        <v>1087</v>
      </c>
      <c r="Y87">
        <v>40</v>
      </c>
      <c r="Z87">
        <v>1</v>
      </c>
      <c r="AA87">
        <v>16.666666666666668</v>
      </c>
    </row>
    <row r="88" spans="1:27" x14ac:dyDescent="0.3">
      <c r="A88" s="15">
        <v>44482.691400462965</v>
      </c>
      <c r="B88" t="s">
        <v>13</v>
      </c>
      <c r="C88" t="s">
        <v>1128</v>
      </c>
      <c r="D88" s="2">
        <v>44467</v>
      </c>
      <c r="E88" t="s">
        <v>1114</v>
      </c>
      <c r="F88" t="s">
        <v>41</v>
      </c>
      <c r="G88" t="s">
        <v>940</v>
      </c>
      <c r="H88" t="s">
        <v>48</v>
      </c>
      <c r="I88" t="s">
        <v>1001</v>
      </c>
      <c r="J88" t="s">
        <v>572</v>
      </c>
      <c r="K88">
        <v>638</v>
      </c>
      <c r="L88">
        <v>8</v>
      </c>
      <c r="M88">
        <v>79.8</v>
      </c>
      <c r="N88" t="s">
        <v>21</v>
      </c>
      <c r="O88">
        <v>0</v>
      </c>
      <c r="P88">
        <v>2</v>
      </c>
      <c r="Q88">
        <v>461</v>
      </c>
      <c r="R88">
        <v>6500</v>
      </c>
      <c r="S88">
        <v>79.75</v>
      </c>
      <c r="T88">
        <v>79.8</v>
      </c>
      <c r="U88">
        <v>125</v>
      </c>
      <c r="V88">
        <v>638.4</v>
      </c>
      <c r="W88" t="s">
        <v>1153</v>
      </c>
      <c r="X88" t="s">
        <v>1087</v>
      </c>
      <c r="Y88">
        <v>40</v>
      </c>
      <c r="Z88">
        <v>1</v>
      </c>
      <c r="AA88">
        <v>53.166666666666664</v>
      </c>
    </row>
    <row r="89" spans="1:27" x14ac:dyDescent="0.3">
      <c r="A89" s="15">
        <v>44453.734849537039</v>
      </c>
      <c r="B89" t="s">
        <v>13</v>
      </c>
      <c r="C89" t="s">
        <v>1132</v>
      </c>
      <c r="D89" s="2">
        <v>44440</v>
      </c>
      <c r="E89" t="s">
        <v>1082</v>
      </c>
      <c r="F89" t="s">
        <v>41</v>
      </c>
      <c r="G89" t="s">
        <v>943</v>
      </c>
      <c r="H89" t="s">
        <v>48</v>
      </c>
      <c r="I89" t="s">
        <v>1039</v>
      </c>
      <c r="J89" t="s">
        <v>221</v>
      </c>
      <c r="K89">
        <v>1134</v>
      </c>
      <c r="L89">
        <v>11</v>
      </c>
      <c r="M89">
        <v>153.5</v>
      </c>
      <c r="N89" t="s">
        <v>21</v>
      </c>
      <c r="O89">
        <v>0</v>
      </c>
      <c r="P89">
        <v>19</v>
      </c>
      <c r="Q89">
        <v>449</v>
      </c>
      <c r="R89">
        <v>7109</v>
      </c>
      <c r="S89">
        <v>156.49199999999999</v>
      </c>
      <c r="T89">
        <v>153.5</v>
      </c>
      <c r="U89">
        <v>138</v>
      </c>
      <c r="V89">
        <v>1112.3188405797102</v>
      </c>
      <c r="W89" t="s">
        <v>1153</v>
      </c>
      <c r="X89" t="s">
        <v>1087</v>
      </c>
      <c r="Y89">
        <v>36</v>
      </c>
      <c r="Z89">
        <v>1</v>
      </c>
      <c r="AA89">
        <v>94.5</v>
      </c>
    </row>
    <row r="90" spans="1:27" x14ac:dyDescent="0.3">
      <c r="A90" s="15">
        <v>44453.736238425925</v>
      </c>
      <c r="B90" t="s">
        <v>13</v>
      </c>
      <c r="C90" t="s">
        <v>1132</v>
      </c>
      <c r="D90" s="2">
        <v>44441</v>
      </c>
      <c r="E90" t="s">
        <v>1082</v>
      </c>
      <c r="F90" t="s">
        <v>41</v>
      </c>
      <c r="G90" t="s">
        <v>943</v>
      </c>
      <c r="H90" t="s">
        <v>48</v>
      </c>
      <c r="I90" t="s">
        <v>1039</v>
      </c>
      <c r="J90" t="s">
        <v>221</v>
      </c>
      <c r="K90">
        <v>1211</v>
      </c>
      <c r="L90">
        <v>12</v>
      </c>
      <c r="M90">
        <v>171</v>
      </c>
      <c r="N90" t="s">
        <v>21</v>
      </c>
      <c r="O90">
        <v>60</v>
      </c>
      <c r="P90">
        <v>20</v>
      </c>
      <c r="Q90">
        <v>449</v>
      </c>
      <c r="R90">
        <v>7111</v>
      </c>
      <c r="S90">
        <v>167.11799999999999</v>
      </c>
      <c r="T90">
        <v>171</v>
      </c>
      <c r="U90">
        <v>138</v>
      </c>
      <c r="V90">
        <v>1239.1304347826087</v>
      </c>
      <c r="W90" t="s">
        <v>1153</v>
      </c>
      <c r="X90" t="s">
        <v>1087</v>
      </c>
      <c r="Y90">
        <v>36</v>
      </c>
      <c r="Z90">
        <v>1</v>
      </c>
      <c r="AA90">
        <v>100.91666666666667</v>
      </c>
    </row>
    <row r="91" spans="1:27" x14ac:dyDescent="0.3">
      <c r="A91" s="15">
        <v>44453.739050925928</v>
      </c>
      <c r="B91" t="s">
        <v>13</v>
      </c>
      <c r="C91" t="s">
        <v>1132</v>
      </c>
      <c r="D91" s="2">
        <v>44442</v>
      </c>
      <c r="E91" t="s">
        <v>1105</v>
      </c>
      <c r="F91" t="s">
        <v>41</v>
      </c>
      <c r="G91" t="s">
        <v>943</v>
      </c>
      <c r="H91" t="s">
        <v>48</v>
      </c>
      <c r="I91" t="s">
        <v>1039</v>
      </c>
      <c r="J91" t="s">
        <v>221</v>
      </c>
      <c r="K91">
        <v>1386</v>
      </c>
      <c r="L91">
        <v>12</v>
      </c>
      <c r="M91">
        <v>192.4</v>
      </c>
      <c r="N91" t="s">
        <v>21</v>
      </c>
      <c r="O91">
        <v>60</v>
      </c>
      <c r="P91">
        <v>23</v>
      </c>
      <c r="Q91">
        <v>449</v>
      </c>
      <c r="R91">
        <v>7113</v>
      </c>
      <c r="S91">
        <v>191.268</v>
      </c>
      <c r="T91">
        <v>192.4</v>
      </c>
      <c r="U91">
        <v>138</v>
      </c>
      <c r="V91">
        <v>1394.2028985507247</v>
      </c>
      <c r="W91" t="s">
        <v>1153</v>
      </c>
      <c r="X91" t="s">
        <v>1087</v>
      </c>
      <c r="Y91">
        <v>36</v>
      </c>
      <c r="Z91">
        <v>1</v>
      </c>
      <c r="AA91">
        <v>115.5</v>
      </c>
    </row>
    <row r="92" spans="1:27" x14ac:dyDescent="0.3">
      <c r="A92" s="15">
        <v>44453.740648148145</v>
      </c>
      <c r="B92" t="s">
        <v>13</v>
      </c>
      <c r="C92" t="s">
        <v>1132</v>
      </c>
      <c r="D92" s="2">
        <v>44443</v>
      </c>
      <c r="E92" t="s">
        <v>1082</v>
      </c>
      <c r="F92" t="s">
        <v>41</v>
      </c>
      <c r="G92" t="s">
        <v>943</v>
      </c>
      <c r="H92" t="s">
        <v>48</v>
      </c>
      <c r="I92" t="s">
        <v>1039</v>
      </c>
      <c r="J92" t="s">
        <v>221</v>
      </c>
      <c r="K92">
        <v>660</v>
      </c>
      <c r="L92">
        <v>5</v>
      </c>
      <c r="M92">
        <v>92.5</v>
      </c>
      <c r="N92" t="s">
        <v>21</v>
      </c>
      <c r="O92">
        <v>60</v>
      </c>
      <c r="P92">
        <v>11</v>
      </c>
      <c r="Q92">
        <v>449</v>
      </c>
      <c r="R92">
        <v>7115</v>
      </c>
      <c r="S92">
        <v>91.08</v>
      </c>
      <c r="T92">
        <v>92.5</v>
      </c>
      <c r="U92">
        <v>138</v>
      </c>
      <c r="V92">
        <v>670.28985507246375</v>
      </c>
      <c r="W92" t="s">
        <v>1153</v>
      </c>
      <c r="X92" t="s">
        <v>1087</v>
      </c>
      <c r="Y92">
        <v>36</v>
      </c>
      <c r="Z92">
        <v>1</v>
      </c>
      <c r="AA92">
        <v>55</v>
      </c>
    </row>
    <row r="93" spans="1:27" x14ac:dyDescent="0.3">
      <c r="A93" s="15">
        <v>44482.721493055556</v>
      </c>
      <c r="B93" t="s">
        <v>13</v>
      </c>
      <c r="C93" t="s">
        <v>1132</v>
      </c>
      <c r="D93" s="2">
        <v>44445</v>
      </c>
      <c r="E93" t="s">
        <v>1105</v>
      </c>
      <c r="F93" t="s">
        <v>41</v>
      </c>
      <c r="G93" t="s">
        <v>943</v>
      </c>
      <c r="H93" t="s">
        <v>48</v>
      </c>
      <c r="I93" t="s">
        <v>1053</v>
      </c>
      <c r="J93" t="s">
        <v>152</v>
      </c>
      <c r="K93">
        <v>116</v>
      </c>
      <c r="L93">
        <v>2</v>
      </c>
      <c r="M93">
        <v>28.5</v>
      </c>
      <c r="N93" t="s">
        <v>21</v>
      </c>
      <c r="O93">
        <v>0</v>
      </c>
      <c r="P93">
        <v>3</v>
      </c>
      <c r="Q93">
        <v>457</v>
      </c>
      <c r="R93">
        <v>7116</v>
      </c>
      <c r="S93">
        <v>27.84</v>
      </c>
      <c r="T93">
        <v>28.5</v>
      </c>
      <c r="U93">
        <v>240</v>
      </c>
      <c r="V93">
        <v>118.75</v>
      </c>
      <c r="W93" t="s">
        <v>1153</v>
      </c>
      <c r="X93" t="s">
        <v>1087</v>
      </c>
      <c r="Y93">
        <v>37</v>
      </c>
      <c r="Z93">
        <v>1</v>
      </c>
      <c r="AA93">
        <v>9.6666666666666661</v>
      </c>
    </row>
    <row r="94" spans="1:27" x14ac:dyDescent="0.3">
      <c r="A94" s="15">
        <v>44482.723020833335</v>
      </c>
      <c r="B94" t="s">
        <v>13</v>
      </c>
      <c r="C94" t="s">
        <v>1132</v>
      </c>
      <c r="D94" s="2">
        <v>44446</v>
      </c>
      <c r="E94" t="s">
        <v>1081</v>
      </c>
      <c r="F94" t="s">
        <v>41</v>
      </c>
      <c r="G94" t="s">
        <v>943</v>
      </c>
      <c r="H94" t="s">
        <v>48</v>
      </c>
      <c r="I94" t="s">
        <v>1053</v>
      </c>
      <c r="J94" t="s">
        <v>152</v>
      </c>
      <c r="K94">
        <v>1008</v>
      </c>
      <c r="L94">
        <v>11</v>
      </c>
      <c r="M94">
        <v>246.96</v>
      </c>
      <c r="N94" t="s">
        <v>21</v>
      </c>
      <c r="O94">
        <v>24</v>
      </c>
      <c r="P94">
        <v>38</v>
      </c>
      <c r="Q94">
        <v>457</v>
      </c>
      <c r="R94">
        <v>7118</v>
      </c>
      <c r="S94">
        <v>241.92</v>
      </c>
      <c r="T94">
        <v>246.96</v>
      </c>
      <c r="U94">
        <v>240</v>
      </c>
      <c r="V94">
        <v>1029</v>
      </c>
      <c r="W94" t="s">
        <v>1153</v>
      </c>
      <c r="X94" t="s">
        <v>1087</v>
      </c>
      <c r="Y94">
        <v>37</v>
      </c>
      <c r="Z94">
        <v>1</v>
      </c>
      <c r="AA94">
        <v>84</v>
      </c>
    </row>
    <row r="95" spans="1:27" x14ac:dyDescent="0.3">
      <c r="A95" s="15">
        <v>44482.727465277778</v>
      </c>
      <c r="B95" t="s">
        <v>13</v>
      </c>
      <c r="C95" t="s">
        <v>1132</v>
      </c>
      <c r="D95" s="2">
        <v>44447</v>
      </c>
      <c r="E95" t="s">
        <v>1105</v>
      </c>
      <c r="F95" t="s">
        <v>41</v>
      </c>
      <c r="G95" t="s">
        <v>943</v>
      </c>
      <c r="H95" t="s">
        <v>48</v>
      </c>
      <c r="I95" t="s">
        <v>1053</v>
      </c>
      <c r="J95" t="s">
        <v>152</v>
      </c>
      <c r="K95">
        <v>721</v>
      </c>
      <c r="L95">
        <v>9</v>
      </c>
      <c r="M95">
        <v>174.48</v>
      </c>
      <c r="N95" t="s">
        <v>21</v>
      </c>
      <c r="O95">
        <v>24</v>
      </c>
      <c r="P95">
        <v>28</v>
      </c>
      <c r="Q95">
        <v>457</v>
      </c>
      <c r="R95">
        <v>7122</v>
      </c>
      <c r="S95">
        <v>173.04</v>
      </c>
      <c r="T95">
        <v>174.48</v>
      </c>
      <c r="U95">
        <v>240</v>
      </c>
      <c r="V95">
        <v>727</v>
      </c>
      <c r="W95" t="s">
        <v>1153</v>
      </c>
      <c r="X95" t="s">
        <v>1087</v>
      </c>
      <c r="Y95">
        <v>37</v>
      </c>
      <c r="Z95">
        <v>1</v>
      </c>
      <c r="AA95">
        <v>60.083333333333336</v>
      </c>
    </row>
    <row r="96" spans="1:27" x14ac:dyDescent="0.3">
      <c r="A96" s="15">
        <v>44482.728136574071</v>
      </c>
      <c r="B96" t="s">
        <v>13</v>
      </c>
      <c r="C96" t="s">
        <v>1132</v>
      </c>
      <c r="D96" s="2">
        <v>44448</v>
      </c>
      <c r="E96" t="s">
        <v>1082</v>
      </c>
      <c r="F96" t="s">
        <v>41</v>
      </c>
      <c r="G96" t="s">
        <v>943</v>
      </c>
      <c r="H96" t="s">
        <v>48</v>
      </c>
      <c r="I96" t="s">
        <v>1053</v>
      </c>
      <c r="J96" t="s">
        <v>152</v>
      </c>
      <c r="K96">
        <v>972</v>
      </c>
      <c r="L96">
        <v>10</v>
      </c>
      <c r="M96">
        <v>235.22</v>
      </c>
      <c r="N96" t="s">
        <v>21</v>
      </c>
      <c r="O96">
        <v>24</v>
      </c>
      <c r="P96">
        <v>33</v>
      </c>
      <c r="Q96">
        <v>457</v>
      </c>
      <c r="R96">
        <v>7122</v>
      </c>
      <c r="S96">
        <v>233.28</v>
      </c>
      <c r="T96">
        <v>235.22</v>
      </c>
      <c r="U96">
        <v>240</v>
      </c>
      <c r="V96">
        <v>980.08333333333337</v>
      </c>
      <c r="W96" t="s">
        <v>1153</v>
      </c>
      <c r="X96" t="s">
        <v>1087</v>
      </c>
      <c r="Y96">
        <v>37</v>
      </c>
      <c r="Z96">
        <v>1</v>
      </c>
      <c r="AA96">
        <v>81</v>
      </c>
    </row>
    <row r="97" spans="1:27" x14ac:dyDescent="0.3">
      <c r="A97" s="15">
        <v>44482.744641203702</v>
      </c>
      <c r="B97" t="s">
        <v>13</v>
      </c>
      <c r="C97" t="s">
        <v>1132</v>
      </c>
      <c r="D97" s="2">
        <v>44450</v>
      </c>
      <c r="E97" t="s">
        <v>1081</v>
      </c>
      <c r="F97" t="s">
        <v>40</v>
      </c>
      <c r="G97" t="s">
        <v>48</v>
      </c>
      <c r="H97" t="s">
        <v>946</v>
      </c>
      <c r="I97" t="s">
        <v>967</v>
      </c>
      <c r="J97" t="s">
        <v>124</v>
      </c>
      <c r="K97">
        <v>54</v>
      </c>
      <c r="L97">
        <v>1</v>
      </c>
      <c r="M97">
        <v>13.7</v>
      </c>
      <c r="N97" t="s">
        <v>21</v>
      </c>
      <c r="O97">
        <v>0</v>
      </c>
      <c r="P97">
        <v>1</v>
      </c>
      <c r="Q97">
        <v>459</v>
      </c>
      <c r="R97">
        <v>7126</v>
      </c>
      <c r="S97">
        <v>7.02</v>
      </c>
      <c r="T97">
        <v>13.7</v>
      </c>
      <c r="U97">
        <v>130</v>
      </c>
      <c r="V97">
        <v>105.38461538461539</v>
      </c>
      <c r="W97" t="s">
        <v>1153</v>
      </c>
      <c r="X97" t="s">
        <v>1087</v>
      </c>
      <c r="Y97">
        <v>37</v>
      </c>
      <c r="Z97">
        <v>2</v>
      </c>
      <c r="AA97">
        <v>9</v>
      </c>
    </row>
    <row r="98" spans="1:27" x14ac:dyDescent="0.3">
      <c r="A98" s="15">
        <v>44482.743460648147</v>
      </c>
      <c r="B98" t="s">
        <v>13</v>
      </c>
      <c r="C98" t="s">
        <v>1132</v>
      </c>
      <c r="D98" s="2">
        <v>44450</v>
      </c>
      <c r="E98" t="s">
        <v>1081</v>
      </c>
      <c r="F98" t="s">
        <v>40</v>
      </c>
      <c r="G98" t="s">
        <v>48</v>
      </c>
      <c r="H98" t="s">
        <v>946</v>
      </c>
      <c r="I98" t="s">
        <v>967</v>
      </c>
      <c r="J98" t="s">
        <v>1141</v>
      </c>
      <c r="K98">
        <v>425</v>
      </c>
      <c r="L98">
        <v>3</v>
      </c>
      <c r="M98">
        <v>103.7</v>
      </c>
      <c r="N98" t="s">
        <v>21</v>
      </c>
      <c r="O98">
        <v>0</v>
      </c>
      <c r="P98">
        <v>0</v>
      </c>
      <c r="Q98">
        <v>457</v>
      </c>
      <c r="R98">
        <v>7125</v>
      </c>
      <c r="S98">
        <v>55.25</v>
      </c>
      <c r="T98">
        <v>103.7</v>
      </c>
      <c r="U98">
        <v>130</v>
      </c>
      <c r="V98">
        <v>797.69230769230774</v>
      </c>
      <c r="W98" t="s">
        <v>1153</v>
      </c>
      <c r="X98" t="s">
        <v>1087</v>
      </c>
      <c r="Y98">
        <v>37</v>
      </c>
      <c r="Z98">
        <v>2</v>
      </c>
      <c r="AA98">
        <v>70.833333333333329</v>
      </c>
    </row>
    <row r="99" spans="1:27" x14ac:dyDescent="0.3">
      <c r="A99" s="15">
        <v>44482.735960648148</v>
      </c>
      <c r="B99" t="s">
        <v>13</v>
      </c>
      <c r="C99" t="s">
        <v>1132</v>
      </c>
      <c r="D99" s="2">
        <v>44450</v>
      </c>
      <c r="E99" t="s">
        <v>1082</v>
      </c>
      <c r="F99" t="s">
        <v>40</v>
      </c>
      <c r="G99" t="s">
        <v>48</v>
      </c>
      <c r="H99" t="s">
        <v>946</v>
      </c>
      <c r="I99" t="s">
        <v>967</v>
      </c>
      <c r="J99" t="s">
        <v>1144</v>
      </c>
      <c r="K99">
        <v>411</v>
      </c>
      <c r="L99">
        <v>4</v>
      </c>
      <c r="M99">
        <v>104.1</v>
      </c>
      <c r="N99" t="s">
        <v>21</v>
      </c>
      <c r="O99">
        <v>0</v>
      </c>
      <c r="P99">
        <v>14</v>
      </c>
      <c r="Q99">
        <v>457</v>
      </c>
      <c r="R99">
        <v>7125</v>
      </c>
      <c r="S99">
        <v>53.43</v>
      </c>
      <c r="T99">
        <v>104.1</v>
      </c>
      <c r="U99">
        <v>130</v>
      </c>
      <c r="V99">
        <v>800.76923076923072</v>
      </c>
      <c r="W99" t="s">
        <v>1153</v>
      </c>
      <c r="X99" t="s">
        <v>1087</v>
      </c>
      <c r="Y99">
        <v>37</v>
      </c>
      <c r="Z99">
        <v>2</v>
      </c>
      <c r="AA99">
        <v>68.5</v>
      </c>
    </row>
    <row r="100" spans="1:27" x14ac:dyDescent="0.3">
      <c r="A100" s="15">
        <v>44482.730393518519</v>
      </c>
      <c r="B100" t="s">
        <v>13</v>
      </c>
      <c r="C100" t="s">
        <v>1132</v>
      </c>
      <c r="D100" s="2">
        <v>44450</v>
      </c>
      <c r="E100" t="s">
        <v>1082</v>
      </c>
      <c r="F100" t="s">
        <v>41</v>
      </c>
      <c r="G100" t="s">
        <v>943</v>
      </c>
      <c r="H100" t="s">
        <v>48</v>
      </c>
      <c r="I100" t="s">
        <v>967</v>
      </c>
      <c r="J100" t="s">
        <v>123</v>
      </c>
      <c r="K100">
        <v>411</v>
      </c>
      <c r="L100">
        <v>5</v>
      </c>
      <c r="M100">
        <v>404.1</v>
      </c>
      <c r="N100" t="s">
        <v>21</v>
      </c>
      <c r="O100">
        <v>80</v>
      </c>
      <c r="P100">
        <v>14</v>
      </c>
      <c r="Q100">
        <v>457</v>
      </c>
      <c r="R100">
        <v>7125</v>
      </c>
      <c r="S100">
        <v>53.43</v>
      </c>
      <c r="T100">
        <v>404.1</v>
      </c>
      <c r="U100">
        <v>130</v>
      </c>
      <c r="V100">
        <v>3108.4615384615386</v>
      </c>
      <c r="W100" t="s">
        <v>1153</v>
      </c>
      <c r="X100" t="s">
        <v>1087</v>
      </c>
      <c r="Y100">
        <v>37</v>
      </c>
      <c r="Z100">
        <v>2</v>
      </c>
      <c r="AA100">
        <v>68.5</v>
      </c>
    </row>
    <row r="101" spans="1:27" x14ac:dyDescent="0.3">
      <c r="A101" s="15">
        <v>44482.745891203704</v>
      </c>
      <c r="B101" t="s">
        <v>13</v>
      </c>
      <c r="C101" t="s">
        <v>1132</v>
      </c>
      <c r="D101" s="2">
        <v>44452</v>
      </c>
      <c r="E101" t="s">
        <v>1114</v>
      </c>
      <c r="F101" t="s">
        <v>40</v>
      </c>
      <c r="G101" t="s">
        <v>48</v>
      </c>
      <c r="H101" t="s">
        <v>946</v>
      </c>
      <c r="I101" t="s">
        <v>967</v>
      </c>
      <c r="J101" t="s">
        <v>1142</v>
      </c>
      <c r="K101">
        <v>90</v>
      </c>
      <c r="L101">
        <v>1</v>
      </c>
      <c r="M101">
        <v>23.2</v>
      </c>
      <c r="N101" t="s">
        <v>21</v>
      </c>
      <c r="O101">
        <v>0</v>
      </c>
      <c r="P101">
        <v>1</v>
      </c>
      <c r="Q101">
        <v>459</v>
      </c>
      <c r="R101">
        <v>7127</v>
      </c>
      <c r="S101">
        <v>11.7</v>
      </c>
      <c r="T101">
        <v>23.2</v>
      </c>
      <c r="U101">
        <v>130</v>
      </c>
      <c r="V101">
        <v>178.46153846153845</v>
      </c>
      <c r="W101" t="s">
        <v>1153</v>
      </c>
      <c r="X101" t="s">
        <v>1087</v>
      </c>
      <c r="Y101">
        <v>38</v>
      </c>
      <c r="Z101">
        <v>2</v>
      </c>
      <c r="AA101">
        <v>15</v>
      </c>
    </row>
    <row r="102" spans="1:27" x14ac:dyDescent="0.3">
      <c r="A102" s="15">
        <v>44482.745381944442</v>
      </c>
      <c r="B102" t="s">
        <v>13</v>
      </c>
      <c r="C102" t="s">
        <v>1132</v>
      </c>
      <c r="D102" s="2">
        <v>44452</v>
      </c>
      <c r="E102" t="s">
        <v>1114</v>
      </c>
      <c r="F102" t="s">
        <v>40</v>
      </c>
      <c r="G102" t="s">
        <v>48</v>
      </c>
      <c r="H102" t="s">
        <v>946</v>
      </c>
      <c r="I102" t="s">
        <v>967</v>
      </c>
      <c r="J102" t="s">
        <v>124</v>
      </c>
      <c r="K102">
        <v>419</v>
      </c>
      <c r="L102">
        <v>3</v>
      </c>
      <c r="M102">
        <v>107.8</v>
      </c>
      <c r="N102" t="s">
        <v>21</v>
      </c>
      <c r="O102">
        <v>0</v>
      </c>
      <c r="P102">
        <v>13</v>
      </c>
      <c r="Q102">
        <v>459</v>
      </c>
      <c r="R102">
        <v>7127</v>
      </c>
      <c r="S102">
        <v>54.47</v>
      </c>
      <c r="T102">
        <v>107.8</v>
      </c>
      <c r="U102">
        <v>130</v>
      </c>
      <c r="V102">
        <v>829.23076923076928</v>
      </c>
      <c r="W102" t="s">
        <v>1153</v>
      </c>
      <c r="X102" t="s">
        <v>1087</v>
      </c>
      <c r="Y102">
        <v>38</v>
      </c>
      <c r="Z102">
        <v>2</v>
      </c>
      <c r="AA102">
        <v>69.833333333333329</v>
      </c>
    </row>
    <row r="103" spans="1:27" x14ac:dyDescent="0.3">
      <c r="A103" s="15">
        <v>44482.750127314815</v>
      </c>
      <c r="B103" t="s">
        <v>13</v>
      </c>
      <c r="C103" t="s">
        <v>1132</v>
      </c>
      <c r="D103" s="2">
        <v>44453</v>
      </c>
      <c r="E103" t="s">
        <v>1082</v>
      </c>
      <c r="F103" t="s">
        <v>40</v>
      </c>
      <c r="G103" t="s">
        <v>48</v>
      </c>
      <c r="H103" t="s">
        <v>946</v>
      </c>
      <c r="I103" t="s">
        <v>967</v>
      </c>
      <c r="J103" t="s">
        <v>124</v>
      </c>
      <c r="K103">
        <v>192</v>
      </c>
      <c r="L103">
        <v>3</v>
      </c>
      <c r="M103">
        <v>49.5</v>
      </c>
      <c r="N103" t="s">
        <v>21</v>
      </c>
      <c r="O103">
        <v>0</v>
      </c>
      <c r="P103">
        <v>0</v>
      </c>
      <c r="Q103">
        <v>459</v>
      </c>
      <c r="R103">
        <v>7129</v>
      </c>
      <c r="S103">
        <v>24.96</v>
      </c>
      <c r="T103">
        <v>49.5</v>
      </c>
      <c r="U103">
        <v>130</v>
      </c>
      <c r="V103">
        <v>380.76923076923077</v>
      </c>
      <c r="W103" t="s">
        <v>1153</v>
      </c>
      <c r="X103" t="s">
        <v>1087</v>
      </c>
      <c r="Y103">
        <v>38</v>
      </c>
      <c r="Z103">
        <v>2</v>
      </c>
      <c r="AA103">
        <v>32</v>
      </c>
    </row>
    <row r="104" spans="1:27" x14ac:dyDescent="0.3">
      <c r="A104" s="15">
        <v>44482.749328703707</v>
      </c>
      <c r="B104" t="s">
        <v>13</v>
      </c>
      <c r="C104" t="s">
        <v>1132</v>
      </c>
      <c r="D104" s="2">
        <v>44453</v>
      </c>
      <c r="E104" t="s">
        <v>1082</v>
      </c>
      <c r="F104" t="s">
        <v>40</v>
      </c>
      <c r="G104" t="s">
        <v>48</v>
      </c>
      <c r="H104" t="s">
        <v>946</v>
      </c>
      <c r="I104" t="s">
        <v>967</v>
      </c>
      <c r="J104" t="s">
        <v>1142</v>
      </c>
      <c r="K104">
        <v>303</v>
      </c>
      <c r="L104">
        <v>8</v>
      </c>
      <c r="M104">
        <v>78.099999999999994</v>
      </c>
      <c r="N104" t="s">
        <v>21</v>
      </c>
      <c r="O104">
        <v>0</v>
      </c>
      <c r="P104">
        <v>4</v>
      </c>
      <c r="Q104">
        <v>459</v>
      </c>
      <c r="R104">
        <v>7129</v>
      </c>
      <c r="S104">
        <v>39.39</v>
      </c>
      <c r="T104">
        <v>78.099999999999994</v>
      </c>
      <c r="U104">
        <v>130</v>
      </c>
      <c r="V104">
        <v>600.76923076923072</v>
      </c>
      <c r="W104" t="s">
        <v>1153</v>
      </c>
      <c r="X104" t="s">
        <v>1087</v>
      </c>
      <c r="Y104">
        <v>38</v>
      </c>
      <c r="Z104">
        <v>2</v>
      </c>
      <c r="AA104">
        <v>50.5</v>
      </c>
    </row>
    <row r="105" spans="1:27" x14ac:dyDescent="0.3">
      <c r="A105" s="15">
        <v>44482.756458333337</v>
      </c>
      <c r="B105" t="s">
        <v>13</v>
      </c>
      <c r="C105" t="s">
        <v>1132</v>
      </c>
      <c r="D105" s="2">
        <v>44454</v>
      </c>
      <c r="E105" t="s">
        <v>1082</v>
      </c>
      <c r="F105" t="s">
        <v>40</v>
      </c>
      <c r="G105" t="s">
        <v>48</v>
      </c>
      <c r="H105" t="s">
        <v>946</v>
      </c>
      <c r="I105" t="s">
        <v>967</v>
      </c>
      <c r="J105" t="s">
        <v>1143</v>
      </c>
      <c r="K105">
        <v>60</v>
      </c>
      <c r="L105">
        <v>1</v>
      </c>
      <c r="M105">
        <v>13.6</v>
      </c>
      <c r="N105" t="s">
        <v>21</v>
      </c>
      <c r="O105">
        <v>0</v>
      </c>
      <c r="P105">
        <v>7</v>
      </c>
      <c r="Q105">
        <v>459</v>
      </c>
      <c r="R105">
        <v>7131</v>
      </c>
      <c r="S105">
        <v>7.8</v>
      </c>
      <c r="T105">
        <v>13.6</v>
      </c>
      <c r="U105">
        <v>130</v>
      </c>
      <c r="V105">
        <v>104.61538461538461</v>
      </c>
      <c r="W105" t="s">
        <v>1153</v>
      </c>
      <c r="X105" t="s">
        <v>1087</v>
      </c>
      <c r="Y105">
        <v>38</v>
      </c>
      <c r="Z105">
        <v>2</v>
      </c>
      <c r="AA105">
        <v>10</v>
      </c>
    </row>
    <row r="106" spans="1:27" x14ac:dyDescent="0.3">
      <c r="A106" s="15">
        <v>44482.755902777775</v>
      </c>
      <c r="B106" t="s">
        <v>13</v>
      </c>
      <c r="C106" t="s">
        <v>1132</v>
      </c>
      <c r="D106" s="2">
        <v>44454</v>
      </c>
      <c r="E106" t="s">
        <v>1082</v>
      </c>
      <c r="F106" t="s">
        <v>40</v>
      </c>
      <c r="G106" t="s">
        <v>48</v>
      </c>
      <c r="H106" t="s">
        <v>946</v>
      </c>
      <c r="I106" t="s">
        <v>967</v>
      </c>
      <c r="J106" t="s">
        <v>1144</v>
      </c>
      <c r="K106">
        <v>210</v>
      </c>
      <c r="L106">
        <v>4</v>
      </c>
      <c r="M106">
        <v>52.8</v>
      </c>
      <c r="N106" t="s">
        <v>21</v>
      </c>
      <c r="O106">
        <v>0</v>
      </c>
      <c r="P106">
        <v>7</v>
      </c>
      <c r="Q106">
        <v>459</v>
      </c>
      <c r="R106">
        <v>7131</v>
      </c>
      <c r="S106">
        <v>27.3</v>
      </c>
      <c r="T106">
        <v>52.8</v>
      </c>
      <c r="U106">
        <v>130</v>
      </c>
      <c r="V106">
        <v>406.15384615384613</v>
      </c>
      <c r="W106" t="s">
        <v>1153</v>
      </c>
      <c r="X106" t="s">
        <v>1087</v>
      </c>
      <c r="Y106">
        <v>38</v>
      </c>
      <c r="Z106">
        <v>2</v>
      </c>
      <c r="AA106">
        <v>35</v>
      </c>
    </row>
    <row r="107" spans="1:27" x14ac:dyDescent="0.3">
      <c r="A107" s="15">
        <v>44482.755381944444</v>
      </c>
      <c r="B107" t="s">
        <v>13</v>
      </c>
      <c r="C107" t="s">
        <v>1132</v>
      </c>
      <c r="D107" s="2">
        <v>44454</v>
      </c>
      <c r="E107" t="s">
        <v>1082</v>
      </c>
      <c r="F107" t="s">
        <v>40</v>
      </c>
      <c r="G107" t="s">
        <v>48</v>
      </c>
      <c r="H107" t="s">
        <v>946</v>
      </c>
      <c r="I107" t="s">
        <v>967</v>
      </c>
      <c r="J107" t="s">
        <v>1144</v>
      </c>
      <c r="K107">
        <v>131</v>
      </c>
      <c r="L107">
        <v>5</v>
      </c>
      <c r="M107">
        <v>33.299999999999997</v>
      </c>
      <c r="N107" t="s">
        <v>21</v>
      </c>
      <c r="O107">
        <v>0</v>
      </c>
      <c r="P107">
        <v>5</v>
      </c>
      <c r="Q107">
        <v>459</v>
      </c>
      <c r="R107">
        <v>7131</v>
      </c>
      <c r="S107">
        <v>17.03</v>
      </c>
      <c r="T107">
        <v>33.299999999999997</v>
      </c>
      <c r="U107">
        <v>130</v>
      </c>
      <c r="V107">
        <v>256.15384615384613</v>
      </c>
      <c r="W107" t="s">
        <v>1153</v>
      </c>
      <c r="X107" t="s">
        <v>1087</v>
      </c>
      <c r="Y107">
        <v>38</v>
      </c>
      <c r="Z107">
        <v>2</v>
      </c>
      <c r="AA107">
        <v>21.833333333333332</v>
      </c>
    </row>
    <row r="108" spans="1:27" x14ac:dyDescent="0.3">
      <c r="A108" s="15">
        <v>44482.754826388889</v>
      </c>
      <c r="B108" t="s">
        <v>13</v>
      </c>
      <c r="C108" t="s">
        <v>1132</v>
      </c>
      <c r="D108" s="2">
        <v>44454</v>
      </c>
      <c r="E108" t="s">
        <v>1082</v>
      </c>
      <c r="F108" t="s">
        <v>40</v>
      </c>
      <c r="G108" t="s">
        <v>48</v>
      </c>
      <c r="H108" t="s">
        <v>946</v>
      </c>
      <c r="I108" t="s">
        <v>967</v>
      </c>
      <c r="J108" t="s">
        <v>123</v>
      </c>
      <c r="K108">
        <v>130</v>
      </c>
      <c r="L108">
        <v>2</v>
      </c>
      <c r="M108">
        <v>38.200000000000003</v>
      </c>
      <c r="N108" t="s">
        <v>21</v>
      </c>
      <c r="O108">
        <v>0</v>
      </c>
      <c r="P108">
        <v>5</v>
      </c>
      <c r="Q108">
        <v>459</v>
      </c>
      <c r="R108">
        <v>7131</v>
      </c>
      <c r="S108">
        <v>16.899999999999999</v>
      </c>
      <c r="T108">
        <v>38.200000000000003</v>
      </c>
      <c r="U108">
        <v>130</v>
      </c>
      <c r="V108">
        <v>293.84615384615387</v>
      </c>
      <c r="W108" t="s">
        <v>1153</v>
      </c>
      <c r="X108" t="s">
        <v>1087</v>
      </c>
      <c r="Y108">
        <v>38</v>
      </c>
      <c r="Z108">
        <v>2</v>
      </c>
      <c r="AA108">
        <v>21.666666666666668</v>
      </c>
    </row>
    <row r="109" spans="1:27" x14ac:dyDescent="0.3">
      <c r="A109" s="15">
        <v>44482.760243055556</v>
      </c>
      <c r="B109" t="s">
        <v>13</v>
      </c>
      <c r="C109" t="s">
        <v>1132</v>
      </c>
      <c r="D109" s="2">
        <v>44455</v>
      </c>
      <c r="E109" t="s">
        <v>1082</v>
      </c>
      <c r="F109" t="s">
        <v>40</v>
      </c>
      <c r="G109" t="s">
        <v>48</v>
      </c>
      <c r="H109" t="s">
        <v>946</v>
      </c>
      <c r="I109" t="s">
        <v>967</v>
      </c>
      <c r="J109" t="s">
        <v>1142</v>
      </c>
      <c r="K109">
        <v>120</v>
      </c>
      <c r="L109">
        <v>2</v>
      </c>
      <c r="M109">
        <v>30.4</v>
      </c>
      <c r="N109" t="s">
        <v>21</v>
      </c>
      <c r="O109">
        <v>0</v>
      </c>
      <c r="P109">
        <v>4</v>
      </c>
      <c r="Q109">
        <v>459</v>
      </c>
      <c r="R109">
        <v>7132</v>
      </c>
      <c r="S109">
        <v>15.6</v>
      </c>
      <c r="T109">
        <v>30.4</v>
      </c>
      <c r="U109">
        <v>130</v>
      </c>
      <c r="V109">
        <v>233.84615384615384</v>
      </c>
      <c r="W109" t="s">
        <v>1153</v>
      </c>
      <c r="X109" t="s">
        <v>1087</v>
      </c>
      <c r="Y109">
        <v>38</v>
      </c>
      <c r="Z109">
        <v>2</v>
      </c>
      <c r="AA109">
        <v>20</v>
      </c>
    </row>
    <row r="110" spans="1:27" x14ac:dyDescent="0.3">
      <c r="A110" s="15">
        <v>44482.758055555554</v>
      </c>
      <c r="B110" t="s">
        <v>13</v>
      </c>
      <c r="C110" t="s">
        <v>1132</v>
      </c>
      <c r="D110" s="2">
        <v>44455</v>
      </c>
      <c r="E110" t="s">
        <v>1082</v>
      </c>
      <c r="F110" t="s">
        <v>40</v>
      </c>
      <c r="G110" t="s">
        <v>48</v>
      </c>
      <c r="H110" t="s">
        <v>946</v>
      </c>
      <c r="I110" t="s">
        <v>967</v>
      </c>
      <c r="J110" t="s">
        <v>123</v>
      </c>
      <c r="K110">
        <v>77</v>
      </c>
      <c r="L110">
        <v>2</v>
      </c>
      <c r="M110">
        <v>22.1</v>
      </c>
      <c r="N110" t="s">
        <v>21</v>
      </c>
      <c r="O110">
        <v>0</v>
      </c>
      <c r="P110">
        <v>4</v>
      </c>
      <c r="Q110">
        <v>459</v>
      </c>
      <c r="R110">
        <v>7132</v>
      </c>
      <c r="S110">
        <v>10.01</v>
      </c>
      <c r="T110">
        <v>22.1</v>
      </c>
      <c r="U110">
        <v>130</v>
      </c>
      <c r="V110">
        <v>170</v>
      </c>
      <c r="W110" t="s">
        <v>1153</v>
      </c>
      <c r="X110" t="s">
        <v>1087</v>
      </c>
      <c r="Y110">
        <v>38</v>
      </c>
      <c r="Z110">
        <v>2</v>
      </c>
      <c r="AA110">
        <v>12.833333333333334</v>
      </c>
    </row>
    <row r="111" spans="1:27" x14ac:dyDescent="0.3">
      <c r="A111" s="15">
        <v>44482.757743055554</v>
      </c>
      <c r="B111" t="s">
        <v>13</v>
      </c>
      <c r="C111" t="s">
        <v>1132</v>
      </c>
      <c r="D111" s="2">
        <v>44455</v>
      </c>
      <c r="E111" t="s">
        <v>1082</v>
      </c>
      <c r="F111" t="s">
        <v>40</v>
      </c>
      <c r="G111" t="s">
        <v>48</v>
      </c>
      <c r="H111" t="s">
        <v>946</v>
      </c>
      <c r="I111" t="s">
        <v>967</v>
      </c>
      <c r="J111" t="s">
        <v>1141</v>
      </c>
      <c r="K111">
        <v>120</v>
      </c>
      <c r="L111">
        <v>2</v>
      </c>
      <c r="M111">
        <v>30.4</v>
      </c>
      <c r="N111" t="s">
        <v>21</v>
      </c>
      <c r="O111">
        <v>0</v>
      </c>
      <c r="P111">
        <v>4</v>
      </c>
      <c r="Q111">
        <v>459</v>
      </c>
      <c r="R111">
        <v>7132</v>
      </c>
      <c r="S111">
        <v>15.6</v>
      </c>
      <c r="T111">
        <v>30.4</v>
      </c>
      <c r="U111">
        <v>130</v>
      </c>
      <c r="V111">
        <v>233.84615384615384</v>
      </c>
      <c r="W111" t="s">
        <v>1153</v>
      </c>
      <c r="X111" t="s">
        <v>1087</v>
      </c>
      <c r="Y111">
        <v>38</v>
      </c>
      <c r="Z111">
        <v>2</v>
      </c>
      <c r="AA111">
        <v>20</v>
      </c>
    </row>
    <row r="112" spans="1:27" x14ac:dyDescent="0.3">
      <c r="A112" s="15">
        <v>44482.757349537038</v>
      </c>
      <c r="B112" t="s">
        <v>13</v>
      </c>
      <c r="C112" t="s">
        <v>1132</v>
      </c>
      <c r="D112" s="2">
        <v>44455</v>
      </c>
      <c r="E112" t="s">
        <v>1082</v>
      </c>
      <c r="F112" t="s">
        <v>40</v>
      </c>
      <c r="G112" t="s">
        <v>48</v>
      </c>
      <c r="H112" t="s">
        <v>946</v>
      </c>
      <c r="I112" t="s">
        <v>967</v>
      </c>
      <c r="J112" t="s">
        <v>1144</v>
      </c>
      <c r="K112">
        <v>90</v>
      </c>
      <c r="L112">
        <v>2</v>
      </c>
      <c r="M112">
        <v>22.3</v>
      </c>
      <c r="N112" t="s">
        <v>21</v>
      </c>
      <c r="O112">
        <v>0</v>
      </c>
      <c r="P112">
        <v>3</v>
      </c>
      <c r="Q112">
        <v>459</v>
      </c>
      <c r="R112">
        <v>7132</v>
      </c>
      <c r="S112">
        <v>11.7</v>
      </c>
      <c r="T112">
        <v>22.3</v>
      </c>
      <c r="U112">
        <v>130</v>
      </c>
      <c r="V112">
        <v>171.53846153846155</v>
      </c>
      <c r="W112" t="s">
        <v>1153</v>
      </c>
      <c r="X112" t="s">
        <v>1087</v>
      </c>
      <c r="Y112">
        <v>38</v>
      </c>
      <c r="Z112">
        <v>2</v>
      </c>
      <c r="AA112">
        <v>15</v>
      </c>
    </row>
    <row r="113" spans="1:27" x14ac:dyDescent="0.3">
      <c r="A113" s="15">
        <v>44482.756921296299</v>
      </c>
      <c r="B113" t="s">
        <v>13</v>
      </c>
      <c r="C113" t="s">
        <v>1132</v>
      </c>
      <c r="D113" s="2">
        <v>44455</v>
      </c>
      <c r="E113" t="s">
        <v>1082</v>
      </c>
      <c r="F113" t="s">
        <v>40</v>
      </c>
      <c r="G113" t="s">
        <v>48</v>
      </c>
      <c r="H113" t="s">
        <v>946</v>
      </c>
      <c r="I113" t="s">
        <v>967</v>
      </c>
      <c r="J113" t="s">
        <v>1143</v>
      </c>
      <c r="K113">
        <v>54</v>
      </c>
      <c r="L113">
        <v>1</v>
      </c>
      <c r="M113">
        <v>14.8</v>
      </c>
      <c r="N113" t="s">
        <v>21</v>
      </c>
      <c r="O113">
        <v>0</v>
      </c>
      <c r="P113">
        <v>2</v>
      </c>
      <c r="Q113">
        <v>459</v>
      </c>
      <c r="R113">
        <v>7132</v>
      </c>
      <c r="S113">
        <v>7.02</v>
      </c>
      <c r="T113">
        <v>14.8</v>
      </c>
      <c r="U113">
        <v>130</v>
      </c>
      <c r="V113">
        <v>113.84615384615384</v>
      </c>
      <c r="W113" t="s">
        <v>1153</v>
      </c>
      <c r="X113" t="s">
        <v>1087</v>
      </c>
      <c r="Y113">
        <v>38</v>
      </c>
      <c r="Z113">
        <v>2</v>
      </c>
      <c r="AA113">
        <v>9</v>
      </c>
    </row>
    <row r="114" spans="1:27" x14ac:dyDescent="0.3">
      <c r="A114" s="15">
        <v>44482.766782407409</v>
      </c>
      <c r="B114" t="s">
        <v>13</v>
      </c>
      <c r="C114" t="s">
        <v>1132</v>
      </c>
      <c r="D114" s="2">
        <v>44461</v>
      </c>
      <c r="E114" t="s">
        <v>1082</v>
      </c>
      <c r="F114" t="s">
        <v>41</v>
      </c>
      <c r="G114" t="s">
        <v>943</v>
      </c>
      <c r="H114" t="s">
        <v>48</v>
      </c>
      <c r="I114" t="s">
        <v>1145</v>
      </c>
      <c r="J114" t="s">
        <v>1151</v>
      </c>
      <c r="K114">
        <v>428</v>
      </c>
      <c r="L114">
        <v>8</v>
      </c>
      <c r="M114">
        <v>73.599999999999994</v>
      </c>
      <c r="N114" t="s">
        <v>21</v>
      </c>
      <c r="O114">
        <v>0</v>
      </c>
      <c r="P114">
        <v>11</v>
      </c>
      <c r="Q114">
        <v>465</v>
      </c>
      <c r="R114">
        <v>7133</v>
      </c>
      <c r="S114">
        <v>36.808</v>
      </c>
      <c r="T114">
        <v>73.599999999999994</v>
      </c>
      <c r="U114">
        <v>86</v>
      </c>
      <c r="V114">
        <v>855.81395348837214</v>
      </c>
      <c r="W114" t="s">
        <v>1153</v>
      </c>
      <c r="X114" t="s">
        <v>1087</v>
      </c>
      <c r="Y114">
        <v>39</v>
      </c>
      <c r="Z114">
        <v>2</v>
      </c>
      <c r="AA114">
        <v>71.333333333333329</v>
      </c>
    </row>
    <row r="115" spans="1:27" x14ac:dyDescent="0.3">
      <c r="A115" s="15">
        <v>44482.764456018522</v>
      </c>
      <c r="B115" t="s">
        <v>13</v>
      </c>
      <c r="C115" t="s">
        <v>1132</v>
      </c>
      <c r="D115" s="2">
        <v>44461</v>
      </c>
      <c r="E115" t="s">
        <v>1082</v>
      </c>
      <c r="F115" t="s">
        <v>41</v>
      </c>
      <c r="G115" t="s">
        <v>943</v>
      </c>
      <c r="H115" t="s">
        <v>48</v>
      </c>
      <c r="I115" t="s">
        <v>1145</v>
      </c>
      <c r="J115" t="s">
        <v>1150</v>
      </c>
      <c r="K115">
        <v>320</v>
      </c>
      <c r="L115">
        <v>5</v>
      </c>
      <c r="M115">
        <v>55.4</v>
      </c>
      <c r="N115" t="s">
        <v>21</v>
      </c>
      <c r="O115">
        <v>0</v>
      </c>
      <c r="P115">
        <v>8</v>
      </c>
      <c r="Q115">
        <v>465</v>
      </c>
      <c r="R115">
        <v>7133</v>
      </c>
      <c r="S115">
        <v>27.52</v>
      </c>
      <c r="T115">
        <v>55.4</v>
      </c>
      <c r="U115">
        <v>86</v>
      </c>
      <c r="V115">
        <v>644.18604651162786</v>
      </c>
      <c r="W115" t="s">
        <v>1153</v>
      </c>
      <c r="X115" t="s">
        <v>1087</v>
      </c>
      <c r="Y115">
        <v>39</v>
      </c>
      <c r="Z115">
        <v>2</v>
      </c>
      <c r="AA115">
        <v>53.333333333333336</v>
      </c>
    </row>
    <row r="116" spans="1:27" x14ac:dyDescent="0.3">
      <c r="A116" s="15">
        <v>44482.772951388892</v>
      </c>
      <c r="B116" t="s">
        <v>13</v>
      </c>
      <c r="C116" t="s">
        <v>1132</v>
      </c>
      <c r="D116" s="2">
        <v>44462</v>
      </c>
      <c r="E116" t="s">
        <v>1114</v>
      </c>
      <c r="F116" t="s">
        <v>41</v>
      </c>
      <c r="G116" t="s">
        <v>943</v>
      </c>
      <c r="H116" t="s">
        <v>48</v>
      </c>
      <c r="I116" t="s">
        <v>1145</v>
      </c>
      <c r="J116" t="s">
        <v>1148</v>
      </c>
      <c r="K116">
        <v>869</v>
      </c>
      <c r="L116">
        <v>12</v>
      </c>
      <c r="M116">
        <v>149.47</v>
      </c>
      <c r="N116" t="s">
        <v>21</v>
      </c>
      <c r="O116">
        <v>0</v>
      </c>
      <c r="P116">
        <v>10</v>
      </c>
      <c r="Q116">
        <v>465</v>
      </c>
      <c r="R116">
        <v>7137</v>
      </c>
      <c r="S116">
        <v>74.733999999999995</v>
      </c>
      <c r="T116">
        <v>149.47</v>
      </c>
      <c r="U116">
        <v>86</v>
      </c>
      <c r="V116">
        <v>1738.0232558139535</v>
      </c>
      <c r="W116" t="s">
        <v>1153</v>
      </c>
      <c r="X116" t="s">
        <v>1087</v>
      </c>
      <c r="Y116">
        <v>39</v>
      </c>
      <c r="Z116">
        <v>2</v>
      </c>
      <c r="AA116">
        <v>144.83333333333334</v>
      </c>
    </row>
    <row r="117" spans="1:27" x14ac:dyDescent="0.3">
      <c r="A117" s="15">
        <v>44482.770949074074</v>
      </c>
      <c r="B117" t="s">
        <v>13</v>
      </c>
      <c r="C117" t="s">
        <v>1132</v>
      </c>
      <c r="D117" s="2">
        <v>44462</v>
      </c>
      <c r="E117" t="s">
        <v>1105</v>
      </c>
      <c r="F117" t="s">
        <v>41</v>
      </c>
      <c r="G117" t="s">
        <v>943</v>
      </c>
      <c r="H117" t="s">
        <v>48</v>
      </c>
      <c r="I117" t="s">
        <v>1145</v>
      </c>
      <c r="J117" t="s">
        <v>1147</v>
      </c>
      <c r="K117">
        <v>159</v>
      </c>
      <c r="L117">
        <v>2</v>
      </c>
      <c r="M117">
        <v>27.35</v>
      </c>
      <c r="N117" t="s">
        <v>21</v>
      </c>
      <c r="O117">
        <v>0</v>
      </c>
      <c r="P117">
        <v>2</v>
      </c>
      <c r="Q117">
        <v>465</v>
      </c>
      <c r="R117">
        <v>7135</v>
      </c>
      <c r="S117">
        <v>13.673999999999999</v>
      </c>
      <c r="T117">
        <v>27.35</v>
      </c>
      <c r="U117">
        <v>86</v>
      </c>
      <c r="V117">
        <v>318.02325581395348</v>
      </c>
      <c r="W117" t="s">
        <v>1153</v>
      </c>
      <c r="X117" t="s">
        <v>1087</v>
      </c>
      <c r="Y117">
        <v>39</v>
      </c>
      <c r="Z117">
        <v>2</v>
      </c>
      <c r="AA117">
        <v>26.5</v>
      </c>
    </row>
    <row r="118" spans="1:27" x14ac:dyDescent="0.3">
      <c r="A118" s="15">
        <v>44482.770567129628</v>
      </c>
      <c r="B118" t="s">
        <v>13</v>
      </c>
      <c r="C118" t="s">
        <v>1132</v>
      </c>
      <c r="D118" s="2">
        <v>44462</v>
      </c>
      <c r="E118" t="s">
        <v>1105</v>
      </c>
      <c r="F118" t="s">
        <v>41</v>
      </c>
      <c r="G118" t="s">
        <v>943</v>
      </c>
      <c r="H118" t="s">
        <v>48</v>
      </c>
      <c r="I118" t="s">
        <v>1145</v>
      </c>
      <c r="J118" t="s">
        <v>1149</v>
      </c>
      <c r="K118">
        <v>602</v>
      </c>
      <c r="L118">
        <v>9</v>
      </c>
      <c r="M118">
        <v>103.64</v>
      </c>
      <c r="N118" t="s">
        <v>21</v>
      </c>
      <c r="O118">
        <v>0</v>
      </c>
      <c r="P118">
        <v>13</v>
      </c>
      <c r="Q118">
        <v>465</v>
      </c>
      <c r="R118">
        <v>7135</v>
      </c>
      <c r="S118">
        <v>51.771999999999998</v>
      </c>
      <c r="T118">
        <v>103.64</v>
      </c>
      <c r="U118">
        <v>86</v>
      </c>
      <c r="V118">
        <v>1205.1162790697674</v>
      </c>
      <c r="W118" t="s">
        <v>1153</v>
      </c>
      <c r="X118" t="s">
        <v>1087</v>
      </c>
      <c r="Y118">
        <v>39</v>
      </c>
      <c r="Z118">
        <v>2</v>
      </c>
      <c r="AA118">
        <v>100.33333333333333</v>
      </c>
    </row>
    <row r="119" spans="1:27" x14ac:dyDescent="0.3">
      <c r="A119" s="15">
        <v>44482.774791666663</v>
      </c>
      <c r="B119" t="s">
        <v>13</v>
      </c>
      <c r="C119" t="s">
        <v>1132</v>
      </c>
      <c r="D119" s="2">
        <v>44464</v>
      </c>
      <c r="E119" t="s">
        <v>1105</v>
      </c>
      <c r="F119" t="s">
        <v>41</v>
      </c>
      <c r="G119" t="s">
        <v>943</v>
      </c>
      <c r="H119" t="s">
        <v>48</v>
      </c>
      <c r="I119" t="s">
        <v>1145</v>
      </c>
      <c r="J119" t="s">
        <v>1146</v>
      </c>
      <c r="K119">
        <v>1021</v>
      </c>
      <c r="L119">
        <v>12</v>
      </c>
      <c r="M119">
        <v>175.61</v>
      </c>
      <c r="N119" t="s">
        <v>21</v>
      </c>
      <c r="O119">
        <v>0</v>
      </c>
      <c r="P119">
        <v>20</v>
      </c>
      <c r="Q119">
        <v>465</v>
      </c>
      <c r="R119">
        <v>7139</v>
      </c>
      <c r="S119">
        <v>87.805999999999997</v>
      </c>
      <c r="T119">
        <v>175.61</v>
      </c>
      <c r="U119">
        <v>86</v>
      </c>
      <c r="V119">
        <v>2041.9767441860465</v>
      </c>
      <c r="W119" t="s">
        <v>1153</v>
      </c>
      <c r="X119" t="s">
        <v>1087</v>
      </c>
      <c r="Y119">
        <v>39</v>
      </c>
      <c r="Z119">
        <v>2</v>
      </c>
      <c r="AA119">
        <v>170.16666666666666</v>
      </c>
    </row>
    <row r="120" spans="1:27" x14ac:dyDescent="0.3">
      <c r="A120" s="15">
        <v>44482.77679398148</v>
      </c>
      <c r="B120" t="s">
        <v>13</v>
      </c>
      <c r="C120" t="s">
        <v>1132</v>
      </c>
      <c r="D120" s="2">
        <v>44465</v>
      </c>
      <c r="E120" t="s">
        <v>1027</v>
      </c>
      <c r="F120" t="s">
        <v>41</v>
      </c>
      <c r="G120" t="s">
        <v>950</v>
      </c>
      <c r="H120" t="s">
        <v>943</v>
      </c>
      <c r="I120" t="s">
        <v>1145</v>
      </c>
      <c r="J120" t="s">
        <v>1151</v>
      </c>
      <c r="K120">
        <v>738</v>
      </c>
      <c r="L120">
        <v>8</v>
      </c>
      <c r="M120">
        <v>127</v>
      </c>
      <c r="N120" t="s">
        <v>21</v>
      </c>
      <c r="O120">
        <v>0</v>
      </c>
      <c r="P120">
        <v>13</v>
      </c>
      <c r="Q120">
        <v>465</v>
      </c>
      <c r="R120">
        <v>7143</v>
      </c>
      <c r="S120">
        <v>63.468000000000004</v>
      </c>
      <c r="T120">
        <v>127</v>
      </c>
      <c r="U120">
        <v>86</v>
      </c>
      <c r="V120">
        <v>1476.7441860465117</v>
      </c>
      <c r="W120" t="s">
        <v>1153</v>
      </c>
      <c r="X120" t="s">
        <v>1087</v>
      </c>
      <c r="Y120">
        <v>39</v>
      </c>
      <c r="Z120">
        <v>2</v>
      </c>
      <c r="AA120">
        <v>123</v>
      </c>
    </row>
    <row r="121" spans="1:27" x14ac:dyDescent="0.3">
      <c r="A121" s="15">
        <v>44482.777361111112</v>
      </c>
      <c r="B121" t="s">
        <v>13</v>
      </c>
      <c r="C121" t="s">
        <v>1132</v>
      </c>
      <c r="D121" s="2">
        <v>44466</v>
      </c>
      <c r="E121" t="s">
        <v>1082</v>
      </c>
      <c r="F121" t="s">
        <v>41</v>
      </c>
      <c r="G121" t="s">
        <v>950</v>
      </c>
      <c r="H121" t="s">
        <v>943</v>
      </c>
      <c r="I121" t="s">
        <v>1145</v>
      </c>
      <c r="J121" t="s">
        <v>1149</v>
      </c>
      <c r="K121">
        <v>897</v>
      </c>
      <c r="L121">
        <v>11</v>
      </c>
      <c r="M121">
        <v>154.35</v>
      </c>
      <c r="N121" t="s">
        <v>21</v>
      </c>
      <c r="O121">
        <v>0</v>
      </c>
      <c r="P121">
        <v>13</v>
      </c>
      <c r="Q121">
        <v>465</v>
      </c>
      <c r="R121">
        <v>7144</v>
      </c>
      <c r="S121">
        <v>77.141999999999996</v>
      </c>
      <c r="T121">
        <v>154.35</v>
      </c>
      <c r="U121">
        <v>86</v>
      </c>
      <c r="V121">
        <v>1794.7674418604652</v>
      </c>
      <c r="W121" t="s">
        <v>1153</v>
      </c>
      <c r="X121" t="s">
        <v>1087</v>
      </c>
      <c r="Y121">
        <v>40</v>
      </c>
      <c r="Z121">
        <v>2</v>
      </c>
      <c r="AA121">
        <v>149.5</v>
      </c>
    </row>
    <row r="122" spans="1:27" x14ac:dyDescent="0.3">
      <c r="A122" s="15">
        <v>44482.780138888891</v>
      </c>
      <c r="B122" t="s">
        <v>13</v>
      </c>
      <c r="C122" t="s">
        <v>1132</v>
      </c>
      <c r="D122" s="2">
        <v>44467</v>
      </c>
      <c r="E122" t="s">
        <v>1105</v>
      </c>
      <c r="F122" t="s">
        <v>41</v>
      </c>
      <c r="G122" t="s">
        <v>950</v>
      </c>
      <c r="H122" t="s">
        <v>943</v>
      </c>
      <c r="I122" t="s">
        <v>1145</v>
      </c>
      <c r="J122" t="s">
        <v>1146</v>
      </c>
      <c r="K122">
        <v>538</v>
      </c>
      <c r="L122">
        <v>6</v>
      </c>
      <c r="M122">
        <v>92.54</v>
      </c>
      <c r="N122" t="s">
        <v>21</v>
      </c>
      <c r="O122">
        <v>0</v>
      </c>
      <c r="P122">
        <v>11</v>
      </c>
      <c r="Q122">
        <v>465</v>
      </c>
      <c r="R122">
        <v>7146</v>
      </c>
      <c r="S122">
        <v>46.268000000000001</v>
      </c>
      <c r="T122">
        <v>92.54</v>
      </c>
      <c r="U122">
        <v>86</v>
      </c>
      <c r="V122">
        <v>1076.046511627907</v>
      </c>
      <c r="W122" t="s">
        <v>1153</v>
      </c>
      <c r="X122" t="s">
        <v>1087</v>
      </c>
      <c r="Y122">
        <v>40</v>
      </c>
      <c r="Z122">
        <v>2</v>
      </c>
      <c r="AA122">
        <v>89.666666666666671</v>
      </c>
    </row>
    <row r="123" spans="1:27" x14ac:dyDescent="0.3">
      <c r="A123" s="15">
        <v>44482.779606481483</v>
      </c>
      <c r="B123" t="s">
        <v>13</v>
      </c>
      <c r="C123" t="s">
        <v>1132</v>
      </c>
      <c r="D123" s="2">
        <v>44467</v>
      </c>
      <c r="E123" t="s">
        <v>1105</v>
      </c>
      <c r="F123" t="s">
        <v>41</v>
      </c>
      <c r="G123" t="s">
        <v>950</v>
      </c>
      <c r="H123" t="s">
        <v>943</v>
      </c>
      <c r="I123" t="s">
        <v>1145</v>
      </c>
      <c r="J123" t="s">
        <v>1147</v>
      </c>
      <c r="K123">
        <v>131</v>
      </c>
      <c r="L123">
        <v>2</v>
      </c>
      <c r="M123">
        <v>22.53</v>
      </c>
      <c r="N123" t="s">
        <v>21</v>
      </c>
      <c r="O123">
        <v>0</v>
      </c>
      <c r="P123">
        <v>3</v>
      </c>
      <c r="Q123">
        <v>465</v>
      </c>
      <c r="R123">
        <v>7146</v>
      </c>
      <c r="S123">
        <v>11.266</v>
      </c>
      <c r="T123">
        <v>22.53</v>
      </c>
      <c r="U123">
        <v>86</v>
      </c>
      <c r="V123">
        <v>261.97674418604652</v>
      </c>
      <c r="W123" t="s">
        <v>1153</v>
      </c>
      <c r="X123" t="s">
        <v>1087</v>
      </c>
      <c r="Y123">
        <v>40</v>
      </c>
      <c r="Z123">
        <v>2</v>
      </c>
      <c r="AA123">
        <v>21.833333333333332</v>
      </c>
    </row>
    <row r="124" spans="1:27" x14ac:dyDescent="0.3">
      <c r="A124" s="15">
        <v>44482.784050925926</v>
      </c>
      <c r="B124" t="s">
        <v>13</v>
      </c>
      <c r="C124" t="s">
        <v>1132</v>
      </c>
      <c r="D124" s="2">
        <v>44469</v>
      </c>
      <c r="E124" t="s">
        <v>1031</v>
      </c>
      <c r="F124" t="s">
        <v>41</v>
      </c>
      <c r="G124" t="s">
        <v>943</v>
      </c>
      <c r="I124" t="s">
        <v>1050</v>
      </c>
      <c r="J124" t="s">
        <v>153</v>
      </c>
      <c r="K124">
        <v>151</v>
      </c>
      <c r="L124">
        <v>2</v>
      </c>
      <c r="M124">
        <v>26.3</v>
      </c>
      <c r="N124" t="s">
        <v>21</v>
      </c>
      <c r="O124">
        <v>0</v>
      </c>
      <c r="P124">
        <v>4</v>
      </c>
      <c r="Q124">
        <v>473</v>
      </c>
      <c r="R124">
        <v>7148</v>
      </c>
      <c r="S124">
        <v>10.268000000000001</v>
      </c>
      <c r="T124">
        <v>26.3</v>
      </c>
      <c r="U124">
        <v>68</v>
      </c>
      <c r="V124">
        <v>386.76470588235293</v>
      </c>
      <c r="W124" t="s">
        <v>1153</v>
      </c>
      <c r="X124" t="s">
        <v>1087</v>
      </c>
      <c r="Y124">
        <v>40</v>
      </c>
      <c r="Z124">
        <v>2</v>
      </c>
      <c r="AA124">
        <v>25.166666666666668</v>
      </c>
    </row>
    <row r="125" spans="1:27" x14ac:dyDescent="0.3">
      <c r="A125" s="15">
        <v>44482.789097222223</v>
      </c>
      <c r="B125" t="s">
        <v>13</v>
      </c>
      <c r="C125" t="s">
        <v>1080</v>
      </c>
      <c r="D125" s="2">
        <v>44440</v>
      </c>
      <c r="E125" t="s">
        <v>1133</v>
      </c>
      <c r="F125" t="s">
        <v>41</v>
      </c>
      <c r="G125" t="s">
        <v>940</v>
      </c>
      <c r="H125" t="s">
        <v>48</v>
      </c>
      <c r="I125" t="s">
        <v>1126</v>
      </c>
      <c r="J125" t="s">
        <v>1119</v>
      </c>
      <c r="K125">
        <v>262</v>
      </c>
      <c r="L125">
        <v>4</v>
      </c>
      <c r="M125">
        <v>12.6</v>
      </c>
      <c r="N125" t="s">
        <v>21</v>
      </c>
      <c r="O125">
        <v>0</v>
      </c>
      <c r="P125">
        <v>0</v>
      </c>
      <c r="Q125">
        <v>451</v>
      </c>
      <c r="R125">
        <v>6937</v>
      </c>
      <c r="S125">
        <v>1.048</v>
      </c>
      <c r="T125">
        <v>12.6</v>
      </c>
      <c r="U125">
        <v>4</v>
      </c>
      <c r="V125">
        <v>3150</v>
      </c>
      <c r="W125" t="s">
        <v>1153</v>
      </c>
      <c r="X125" t="s">
        <v>1087</v>
      </c>
      <c r="Y125">
        <v>36</v>
      </c>
      <c r="Z125">
        <v>12</v>
      </c>
      <c r="AA125">
        <v>262</v>
      </c>
    </row>
    <row r="126" spans="1:27" x14ac:dyDescent="0.3">
      <c r="A126" s="15">
        <v>44482.788912037038</v>
      </c>
      <c r="B126" t="s">
        <v>13</v>
      </c>
      <c r="C126" t="s">
        <v>1080</v>
      </c>
      <c r="D126" s="2">
        <v>44440</v>
      </c>
      <c r="E126" t="s">
        <v>1133</v>
      </c>
      <c r="F126" t="s">
        <v>41</v>
      </c>
      <c r="G126" t="s">
        <v>940</v>
      </c>
      <c r="H126" t="s">
        <v>48</v>
      </c>
      <c r="I126" t="s">
        <v>1126</v>
      </c>
      <c r="J126" t="s">
        <v>1118</v>
      </c>
      <c r="K126">
        <v>269</v>
      </c>
      <c r="L126">
        <v>8</v>
      </c>
      <c r="M126">
        <v>12.9</v>
      </c>
      <c r="N126" t="s">
        <v>21</v>
      </c>
      <c r="O126">
        <v>0</v>
      </c>
      <c r="P126">
        <v>0</v>
      </c>
      <c r="Q126">
        <v>451</v>
      </c>
      <c r="R126">
        <v>6937</v>
      </c>
      <c r="S126">
        <v>1.0760000000000001</v>
      </c>
      <c r="T126">
        <v>12.9</v>
      </c>
      <c r="U126">
        <v>4</v>
      </c>
      <c r="V126">
        <v>3225</v>
      </c>
      <c r="W126" t="s">
        <v>1153</v>
      </c>
      <c r="X126" t="s">
        <v>1087</v>
      </c>
      <c r="Y126">
        <v>36</v>
      </c>
      <c r="Z126">
        <v>12</v>
      </c>
      <c r="AA126">
        <v>269</v>
      </c>
    </row>
    <row r="127" spans="1:27" x14ac:dyDescent="0.3">
      <c r="A127" s="15">
        <v>44482.786354166667</v>
      </c>
      <c r="B127" t="s">
        <v>13</v>
      </c>
      <c r="C127" t="s">
        <v>1080</v>
      </c>
      <c r="D127" s="2">
        <v>44440</v>
      </c>
      <c r="E127" t="s">
        <v>1114</v>
      </c>
      <c r="F127" t="s">
        <v>40</v>
      </c>
      <c r="G127" t="s">
        <v>48</v>
      </c>
      <c r="H127" t="s">
        <v>944</v>
      </c>
      <c r="I127" t="s">
        <v>1054</v>
      </c>
      <c r="J127" t="s">
        <v>484</v>
      </c>
      <c r="K127">
        <v>232</v>
      </c>
      <c r="L127">
        <v>4</v>
      </c>
      <c r="M127">
        <v>18.600000000000001</v>
      </c>
      <c r="N127" t="s">
        <v>21</v>
      </c>
      <c r="O127">
        <v>0</v>
      </c>
      <c r="P127">
        <v>2</v>
      </c>
      <c r="Q127">
        <v>468</v>
      </c>
      <c r="R127">
        <v>6934</v>
      </c>
      <c r="S127">
        <v>2.7839999999999998</v>
      </c>
      <c r="T127">
        <v>18.600000000000001</v>
      </c>
      <c r="U127">
        <v>12</v>
      </c>
      <c r="V127">
        <v>1550</v>
      </c>
      <c r="W127" t="s">
        <v>1153</v>
      </c>
      <c r="X127" t="s">
        <v>1087</v>
      </c>
      <c r="Y127">
        <v>36</v>
      </c>
      <c r="Z127">
        <v>6</v>
      </c>
      <c r="AA127">
        <v>116</v>
      </c>
    </row>
    <row r="128" spans="1:27" x14ac:dyDescent="0.3">
      <c r="A128" s="15">
        <v>44482.792187500003</v>
      </c>
      <c r="B128" t="s">
        <v>13</v>
      </c>
      <c r="C128" t="s">
        <v>1080</v>
      </c>
      <c r="D128" s="2">
        <v>44444</v>
      </c>
      <c r="E128" t="s">
        <v>1105</v>
      </c>
      <c r="F128" t="s">
        <v>41</v>
      </c>
      <c r="G128" t="s">
        <v>940</v>
      </c>
      <c r="H128" t="s">
        <v>48</v>
      </c>
      <c r="I128" t="s">
        <v>1126</v>
      </c>
      <c r="J128" t="s">
        <v>1117</v>
      </c>
      <c r="K128">
        <v>329</v>
      </c>
      <c r="L128">
        <v>4</v>
      </c>
      <c r="M128">
        <v>15.8</v>
      </c>
      <c r="N128" t="s">
        <v>21</v>
      </c>
      <c r="O128">
        <v>0</v>
      </c>
      <c r="P128">
        <v>0</v>
      </c>
      <c r="Q128">
        <v>451</v>
      </c>
      <c r="R128">
        <v>6939</v>
      </c>
      <c r="S128">
        <v>1.3160000000000001</v>
      </c>
      <c r="T128">
        <v>15.8</v>
      </c>
      <c r="U128">
        <v>4</v>
      </c>
      <c r="V128">
        <v>3950</v>
      </c>
      <c r="W128" t="s">
        <v>1153</v>
      </c>
      <c r="X128" t="s">
        <v>1087</v>
      </c>
      <c r="Y128">
        <v>36</v>
      </c>
      <c r="Z128">
        <v>12</v>
      </c>
      <c r="AA128">
        <v>329</v>
      </c>
    </row>
    <row r="129" spans="1:27" x14ac:dyDescent="0.3">
      <c r="A129" s="15">
        <v>44482.791516203702</v>
      </c>
      <c r="B129" t="s">
        <v>13</v>
      </c>
      <c r="C129" t="s">
        <v>1080</v>
      </c>
      <c r="D129" s="2">
        <v>44444</v>
      </c>
      <c r="E129" t="s">
        <v>1105</v>
      </c>
      <c r="F129" t="s">
        <v>41</v>
      </c>
      <c r="G129" t="s">
        <v>940</v>
      </c>
      <c r="H129" t="s">
        <v>48</v>
      </c>
      <c r="I129" t="s">
        <v>1126</v>
      </c>
      <c r="J129" t="s">
        <v>1121</v>
      </c>
      <c r="K129">
        <v>566</v>
      </c>
      <c r="L129">
        <v>5</v>
      </c>
      <c r="M129">
        <v>27.2</v>
      </c>
      <c r="N129" t="s">
        <v>21</v>
      </c>
      <c r="O129">
        <v>0</v>
      </c>
      <c r="P129">
        <v>0</v>
      </c>
      <c r="Q129">
        <v>451</v>
      </c>
      <c r="R129">
        <v>6939</v>
      </c>
      <c r="S129">
        <v>2.2639999999999998</v>
      </c>
      <c r="T129">
        <v>27.2</v>
      </c>
      <c r="U129">
        <v>4</v>
      </c>
      <c r="V129">
        <v>6800</v>
      </c>
      <c r="W129" t="s">
        <v>1153</v>
      </c>
      <c r="X129" t="s">
        <v>1087</v>
      </c>
      <c r="Y129">
        <v>36</v>
      </c>
      <c r="Z129">
        <v>12</v>
      </c>
      <c r="AA129">
        <v>566</v>
      </c>
    </row>
    <row r="130" spans="1:27" x14ac:dyDescent="0.3">
      <c r="A130" s="15">
        <v>44482.791307870371</v>
      </c>
      <c r="B130" t="s">
        <v>13</v>
      </c>
      <c r="C130" t="s">
        <v>1080</v>
      </c>
      <c r="D130" s="2">
        <v>44444</v>
      </c>
      <c r="E130" t="s">
        <v>1105</v>
      </c>
      <c r="F130" t="s">
        <v>41</v>
      </c>
      <c r="G130" t="s">
        <v>940</v>
      </c>
      <c r="H130" t="s">
        <v>48</v>
      </c>
      <c r="I130" t="s">
        <v>1126</v>
      </c>
      <c r="J130" t="s">
        <v>1120</v>
      </c>
      <c r="K130">
        <v>318</v>
      </c>
      <c r="L130">
        <v>2</v>
      </c>
      <c r="M130">
        <v>13.5</v>
      </c>
      <c r="N130" t="s">
        <v>21</v>
      </c>
      <c r="O130">
        <v>0</v>
      </c>
      <c r="P130">
        <v>0</v>
      </c>
      <c r="Q130">
        <v>451</v>
      </c>
      <c r="R130">
        <v>6939</v>
      </c>
      <c r="S130">
        <v>1.272</v>
      </c>
      <c r="T130">
        <v>13.5</v>
      </c>
      <c r="U130">
        <v>4</v>
      </c>
      <c r="V130">
        <v>3375</v>
      </c>
      <c r="W130" t="s">
        <v>1153</v>
      </c>
      <c r="X130" t="s">
        <v>1087</v>
      </c>
      <c r="Y130">
        <v>36</v>
      </c>
      <c r="Z130">
        <v>12</v>
      </c>
      <c r="AA130">
        <v>318</v>
      </c>
    </row>
    <row r="131" spans="1:27" x14ac:dyDescent="0.3">
      <c r="A131" s="15">
        <v>44482.793194444443</v>
      </c>
      <c r="B131" t="s">
        <v>13</v>
      </c>
      <c r="C131" t="s">
        <v>1080</v>
      </c>
      <c r="D131" s="2">
        <v>44446</v>
      </c>
      <c r="E131" t="s">
        <v>1133</v>
      </c>
      <c r="F131" t="s">
        <v>40</v>
      </c>
      <c r="G131" t="s">
        <v>48</v>
      </c>
      <c r="H131" t="s">
        <v>944</v>
      </c>
      <c r="I131" t="s">
        <v>973</v>
      </c>
      <c r="J131" t="s">
        <v>509</v>
      </c>
      <c r="K131">
        <v>1215</v>
      </c>
      <c r="L131">
        <v>10</v>
      </c>
      <c r="M131">
        <v>32.299999999999997</v>
      </c>
      <c r="N131" t="s">
        <v>21</v>
      </c>
      <c r="O131">
        <v>0</v>
      </c>
      <c r="P131">
        <v>0</v>
      </c>
      <c r="Q131">
        <v>457</v>
      </c>
      <c r="R131">
        <v>6941</v>
      </c>
      <c r="S131">
        <v>4.8600000000000003</v>
      </c>
      <c r="T131">
        <v>32.299999999999997</v>
      </c>
      <c r="U131">
        <v>4</v>
      </c>
      <c r="V131">
        <v>8074.9999999999991</v>
      </c>
      <c r="W131" t="s">
        <v>1153</v>
      </c>
      <c r="X131" t="s">
        <v>1087</v>
      </c>
      <c r="Y131">
        <v>37</v>
      </c>
      <c r="Z131">
        <v>6</v>
      </c>
      <c r="AA131">
        <v>607.5</v>
      </c>
    </row>
    <row r="132" spans="1:27" x14ac:dyDescent="0.3">
      <c r="A132" s="15">
        <v>44482.793425925927</v>
      </c>
      <c r="B132" t="s">
        <v>13</v>
      </c>
      <c r="C132" t="s">
        <v>1080</v>
      </c>
      <c r="D132" s="2">
        <v>44447</v>
      </c>
      <c r="E132" t="s">
        <v>1114</v>
      </c>
      <c r="F132" t="s">
        <v>40</v>
      </c>
      <c r="G132" t="s">
        <v>48</v>
      </c>
      <c r="H132" t="s">
        <v>944</v>
      </c>
      <c r="I132" t="s">
        <v>973</v>
      </c>
      <c r="J132" t="s">
        <v>509</v>
      </c>
      <c r="K132">
        <v>1462</v>
      </c>
      <c r="L132">
        <v>11</v>
      </c>
      <c r="M132">
        <v>34.4</v>
      </c>
      <c r="N132" t="s">
        <v>21</v>
      </c>
      <c r="O132">
        <v>0</v>
      </c>
      <c r="P132">
        <v>0</v>
      </c>
      <c r="Q132">
        <v>457</v>
      </c>
      <c r="R132">
        <v>6942</v>
      </c>
      <c r="S132">
        <v>5.8479999999999999</v>
      </c>
      <c r="T132">
        <v>34.4</v>
      </c>
      <c r="U132">
        <v>4</v>
      </c>
      <c r="V132">
        <v>8600</v>
      </c>
      <c r="W132" t="s">
        <v>1153</v>
      </c>
      <c r="X132" t="s">
        <v>1087</v>
      </c>
      <c r="Y132">
        <v>37</v>
      </c>
      <c r="Z132">
        <v>6</v>
      </c>
      <c r="AA132">
        <v>731</v>
      </c>
    </row>
    <row r="133" spans="1:27" x14ac:dyDescent="0.3">
      <c r="A133" s="15">
        <v>44482.79383101852</v>
      </c>
      <c r="B133" t="s">
        <v>13</v>
      </c>
      <c r="C133" t="s">
        <v>1080</v>
      </c>
      <c r="D133" s="2">
        <v>44448</v>
      </c>
      <c r="E133" t="s">
        <v>1130</v>
      </c>
      <c r="F133" t="s">
        <v>40</v>
      </c>
      <c r="G133" t="s">
        <v>48</v>
      </c>
      <c r="H133" t="s">
        <v>944</v>
      </c>
      <c r="I133" t="s">
        <v>973</v>
      </c>
      <c r="J133" t="s">
        <v>509</v>
      </c>
      <c r="K133">
        <v>1479</v>
      </c>
      <c r="L133">
        <v>12</v>
      </c>
      <c r="M133">
        <v>35.5</v>
      </c>
      <c r="N133" t="s">
        <v>21</v>
      </c>
      <c r="O133">
        <v>0</v>
      </c>
      <c r="P133">
        <v>0</v>
      </c>
      <c r="Q133">
        <v>457</v>
      </c>
      <c r="R133">
        <v>6943</v>
      </c>
      <c r="S133">
        <v>5.9160000000000004</v>
      </c>
      <c r="T133">
        <v>35.5</v>
      </c>
      <c r="U133">
        <v>4</v>
      </c>
      <c r="V133">
        <v>8875</v>
      </c>
      <c r="W133" t="s">
        <v>1153</v>
      </c>
      <c r="X133" t="s">
        <v>1087</v>
      </c>
      <c r="Y133">
        <v>37</v>
      </c>
      <c r="Z133">
        <v>6</v>
      </c>
      <c r="AA133">
        <v>739.5</v>
      </c>
    </row>
    <row r="134" spans="1:27" x14ac:dyDescent="0.3">
      <c r="A134" s="15">
        <v>44482.794421296298</v>
      </c>
      <c r="B134" t="s">
        <v>13</v>
      </c>
      <c r="C134" t="s">
        <v>1080</v>
      </c>
      <c r="D134" s="2">
        <v>44449</v>
      </c>
      <c r="E134" t="s">
        <v>1114</v>
      </c>
      <c r="F134" t="s">
        <v>40</v>
      </c>
      <c r="G134" t="s">
        <v>48</v>
      </c>
      <c r="H134" t="s">
        <v>944</v>
      </c>
      <c r="I134" t="s">
        <v>973</v>
      </c>
      <c r="J134" t="s">
        <v>509</v>
      </c>
      <c r="K134">
        <v>1388</v>
      </c>
      <c r="L134">
        <v>12</v>
      </c>
      <c r="M134">
        <v>36.1</v>
      </c>
      <c r="N134" t="s">
        <v>21</v>
      </c>
      <c r="O134">
        <v>0</v>
      </c>
      <c r="P134">
        <v>0</v>
      </c>
      <c r="Q134">
        <v>457</v>
      </c>
      <c r="R134">
        <v>6944</v>
      </c>
      <c r="S134">
        <v>5.5519999999999996</v>
      </c>
      <c r="T134">
        <v>36.1</v>
      </c>
      <c r="U134">
        <v>4</v>
      </c>
      <c r="V134">
        <v>9025</v>
      </c>
      <c r="W134" t="s">
        <v>1153</v>
      </c>
      <c r="X134" t="s">
        <v>1087</v>
      </c>
      <c r="Y134">
        <v>37</v>
      </c>
      <c r="Z134">
        <v>6</v>
      </c>
      <c r="AA134">
        <v>694</v>
      </c>
    </row>
    <row r="135" spans="1:27" x14ac:dyDescent="0.3">
      <c r="A135" s="15">
        <v>44482.79519675926</v>
      </c>
      <c r="B135" t="s">
        <v>13</v>
      </c>
      <c r="C135" t="s">
        <v>1080</v>
      </c>
      <c r="D135" s="2">
        <v>44450</v>
      </c>
      <c r="E135" t="s">
        <v>1130</v>
      </c>
      <c r="F135" t="s">
        <v>40</v>
      </c>
      <c r="G135" t="s">
        <v>48</v>
      </c>
      <c r="H135" t="s">
        <v>944</v>
      </c>
      <c r="I135" t="s">
        <v>973</v>
      </c>
      <c r="J135" t="s">
        <v>509</v>
      </c>
      <c r="K135">
        <v>1269</v>
      </c>
      <c r="L135">
        <v>11</v>
      </c>
      <c r="M135">
        <v>33</v>
      </c>
      <c r="N135" t="s">
        <v>21</v>
      </c>
      <c r="O135">
        <v>0</v>
      </c>
      <c r="P135">
        <v>0</v>
      </c>
      <c r="Q135">
        <v>457</v>
      </c>
      <c r="R135">
        <v>6947</v>
      </c>
      <c r="S135">
        <v>5.0759999999999996</v>
      </c>
      <c r="T135">
        <v>33</v>
      </c>
      <c r="U135">
        <v>4</v>
      </c>
      <c r="V135">
        <v>8250</v>
      </c>
      <c r="W135" t="s">
        <v>1153</v>
      </c>
      <c r="X135" t="s">
        <v>1087</v>
      </c>
      <c r="Y135">
        <v>37</v>
      </c>
      <c r="Z135">
        <v>6</v>
      </c>
      <c r="AA135">
        <v>634.5</v>
      </c>
    </row>
    <row r="136" spans="1:27" x14ac:dyDescent="0.3">
      <c r="A136" s="15">
        <v>44482.796006944445</v>
      </c>
      <c r="B136" t="s">
        <v>13</v>
      </c>
      <c r="C136" t="s">
        <v>1080</v>
      </c>
      <c r="D136" s="2">
        <v>44452</v>
      </c>
      <c r="E136" t="s">
        <v>1130</v>
      </c>
      <c r="F136" t="s">
        <v>40</v>
      </c>
      <c r="G136" t="s">
        <v>48</v>
      </c>
      <c r="H136" t="s">
        <v>944</v>
      </c>
      <c r="I136" t="s">
        <v>973</v>
      </c>
      <c r="J136" t="s">
        <v>509</v>
      </c>
      <c r="K136">
        <v>1284</v>
      </c>
      <c r="L136">
        <v>11</v>
      </c>
      <c r="M136">
        <v>33.4</v>
      </c>
      <c r="N136" t="s">
        <v>21</v>
      </c>
      <c r="O136">
        <v>0</v>
      </c>
      <c r="P136">
        <v>0</v>
      </c>
      <c r="Q136">
        <v>457</v>
      </c>
      <c r="R136">
        <v>6948</v>
      </c>
      <c r="S136">
        <v>5.1360000000000001</v>
      </c>
      <c r="T136">
        <v>33.4</v>
      </c>
      <c r="U136">
        <v>4</v>
      </c>
      <c r="V136">
        <v>8350</v>
      </c>
      <c r="W136" t="s">
        <v>1153</v>
      </c>
      <c r="X136" t="s">
        <v>1087</v>
      </c>
      <c r="Y136">
        <v>38</v>
      </c>
      <c r="Z136">
        <v>6</v>
      </c>
      <c r="AA136">
        <v>642</v>
      </c>
    </row>
    <row r="137" spans="1:27" x14ac:dyDescent="0.3">
      <c r="A137" s="15">
        <v>44482.796412037038</v>
      </c>
      <c r="B137" t="s">
        <v>13</v>
      </c>
      <c r="C137" t="s">
        <v>1080</v>
      </c>
      <c r="D137" s="2">
        <v>44453</v>
      </c>
      <c r="E137" t="s">
        <v>1130</v>
      </c>
      <c r="F137" t="s">
        <v>40</v>
      </c>
      <c r="G137" t="s">
        <v>48</v>
      </c>
      <c r="H137" t="s">
        <v>944</v>
      </c>
      <c r="I137" t="s">
        <v>973</v>
      </c>
      <c r="J137" t="s">
        <v>509</v>
      </c>
      <c r="K137">
        <v>1396</v>
      </c>
      <c r="L137">
        <v>12</v>
      </c>
      <c r="M137">
        <v>35.6</v>
      </c>
      <c r="N137" t="s">
        <v>21</v>
      </c>
      <c r="O137">
        <v>0</v>
      </c>
      <c r="P137">
        <v>0</v>
      </c>
      <c r="Q137">
        <v>457</v>
      </c>
      <c r="R137">
        <v>6949</v>
      </c>
      <c r="S137">
        <v>5.5839999999999996</v>
      </c>
      <c r="T137">
        <v>35.6</v>
      </c>
      <c r="U137">
        <v>4</v>
      </c>
      <c r="V137">
        <v>8900</v>
      </c>
      <c r="W137" t="s">
        <v>1153</v>
      </c>
      <c r="X137" t="s">
        <v>1087</v>
      </c>
      <c r="Y137">
        <v>38</v>
      </c>
      <c r="Z137">
        <v>6</v>
      </c>
      <c r="AA137">
        <v>698</v>
      </c>
    </row>
    <row r="138" spans="1:27" x14ac:dyDescent="0.3">
      <c r="A138" s="15">
        <v>44482.797060185185</v>
      </c>
      <c r="B138" t="s">
        <v>13</v>
      </c>
      <c r="C138" t="s">
        <v>1080</v>
      </c>
      <c r="D138" s="2">
        <v>44454</v>
      </c>
      <c r="E138" t="s">
        <v>1114</v>
      </c>
      <c r="F138" t="s">
        <v>40</v>
      </c>
      <c r="G138" t="s">
        <v>48</v>
      </c>
      <c r="H138" t="s">
        <v>944</v>
      </c>
      <c r="I138" t="s">
        <v>973</v>
      </c>
      <c r="J138" t="s">
        <v>509</v>
      </c>
      <c r="K138">
        <v>1286</v>
      </c>
      <c r="L138">
        <v>12</v>
      </c>
      <c r="M138">
        <v>32.85</v>
      </c>
      <c r="N138" t="s">
        <v>21</v>
      </c>
      <c r="O138">
        <v>0</v>
      </c>
      <c r="P138">
        <v>0</v>
      </c>
      <c r="Q138">
        <v>457</v>
      </c>
      <c r="R138">
        <v>6951</v>
      </c>
      <c r="S138">
        <v>5.1440000000000001</v>
      </c>
      <c r="T138">
        <v>32.85</v>
      </c>
      <c r="U138">
        <v>4</v>
      </c>
      <c r="V138">
        <v>8212.5</v>
      </c>
      <c r="W138" t="s">
        <v>1153</v>
      </c>
      <c r="X138" t="s">
        <v>1087</v>
      </c>
      <c r="Y138">
        <v>38</v>
      </c>
      <c r="Z138">
        <v>6</v>
      </c>
      <c r="AA138">
        <v>643</v>
      </c>
    </row>
    <row r="139" spans="1:27" x14ac:dyDescent="0.3">
      <c r="A139" s="15">
        <v>44477.582766203705</v>
      </c>
      <c r="B139" t="s">
        <v>13</v>
      </c>
      <c r="C139" t="s">
        <v>1080</v>
      </c>
      <c r="D139" s="2">
        <v>44454</v>
      </c>
      <c r="E139" t="s">
        <v>1105</v>
      </c>
      <c r="F139" t="s">
        <v>41</v>
      </c>
      <c r="G139" t="s">
        <v>940</v>
      </c>
      <c r="H139" t="s">
        <v>48</v>
      </c>
      <c r="I139" t="s">
        <v>961</v>
      </c>
      <c r="J139" t="s">
        <v>501</v>
      </c>
      <c r="K139">
        <v>1800</v>
      </c>
      <c r="L139">
        <v>12</v>
      </c>
      <c r="M139">
        <v>21</v>
      </c>
      <c r="N139" t="s">
        <v>21</v>
      </c>
      <c r="O139">
        <v>0</v>
      </c>
      <c r="P139">
        <v>2</v>
      </c>
      <c r="Q139">
        <v>455</v>
      </c>
      <c r="R139">
        <v>6746</v>
      </c>
      <c r="S139">
        <v>6.3</v>
      </c>
      <c r="T139">
        <v>21</v>
      </c>
      <c r="U139">
        <v>3.5</v>
      </c>
      <c r="V139">
        <v>6000</v>
      </c>
      <c r="W139" t="s">
        <v>1153</v>
      </c>
      <c r="X139" t="s">
        <v>1087</v>
      </c>
      <c r="Y139">
        <v>38</v>
      </c>
      <c r="Z139">
        <v>4</v>
      </c>
      <c r="AA139">
        <v>600</v>
      </c>
    </row>
    <row r="140" spans="1:27" x14ac:dyDescent="0.3">
      <c r="A140" s="15">
        <v>44482.797951388886</v>
      </c>
      <c r="B140" t="s">
        <v>13</v>
      </c>
      <c r="C140" t="s">
        <v>1080</v>
      </c>
      <c r="D140" s="2">
        <v>44455</v>
      </c>
      <c r="E140" t="s">
        <v>1130</v>
      </c>
      <c r="F140" t="s">
        <v>40</v>
      </c>
      <c r="G140" t="s">
        <v>48</v>
      </c>
      <c r="H140" t="s">
        <v>944</v>
      </c>
      <c r="I140" t="s">
        <v>973</v>
      </c>
      <c r="J140" t="s">
        <v>509</v>
      </c>
      <c r="K140">
        <v>1458</v>
      </c>
      <c r="L140">
        <v>12</v>
      </c>
      <c r="M140">
        <v>37.9</v>
      </c>
      <c r="N140" t="s">
        <v>21</v>
      </c>
      <c r="O140">
        <v>0</v>
      </c>
      <c r="P140">
        <v>0</v>
      </c>
      <c r="Q140">
        <v>457</v>
      </c>
      <c r="R140">
        <v>6955</v>
      </c>
      <c r="S140">
        <v>5.8319999999999999</v>
      </c>
      <c r="T140">
        <v>37.9</v>
      </c>
      <c r="U140">
        <v>4</v>
      </c>
      <c r="V140">
        <v>9475</v>
      </c>
      <c r="W140" t="s">
        <v>1153</v>
      </c>
      <c r="X140" t="s">
        <v>1087</v>
      </c>
      <c r="Y140">
        <v>38</v>
      </c>
      <c r="Z140">
        <v>6</v>
      </c>
      <c r="AA140">
        <v>729</v>
      </c>
    </row>
    <row r="141" spans="1:27" x14ac:dyDescent="0.3">
      <c r="A141" s="15">
        <v>44477.588622685187</v>
      </c>
      <c r="B141" t="s">
        <v>13</v>
      </c>
      <c r="C141" t="s">
        <v>1080</v>
      </c>
      <c r="D141" s="2">
        <v>44455</v>
      </c>
      <c r="E141" t="s">
        <v>1133</v>
      </c>
      <c r="F141" t="s">
        <v>41</v>
      </c>
      <c r="G141" t="s">
        <v>940</v>
      </c>
      <c r="H141" t="s">
        <v>48</v>
      </c>
      <c r="I141" t="s">
        <v>961</v>
      </c>
      <c r="J141" t="s">
        <v>501</v>
      </c>
      <c r="K141">
        <v>1859</v>
      </c>
      <c r="L141">
        <v>11</v>
      </c>
      <c r="M141">
        <v>31.5</v>
      </c>
      <c r="N141" t="s">
        <v>21</v>
      </c>
      <c r="O141">
        <v>0</v>
      </c>
      <c r="P141">
        <v>3</v>
      </c>
      <c r="Q141">
        <v>438</v>
      </c>
      <c r="R141">
        <v>6748</v>
      </c>
      <c r="S141">
        <v>6.5065</v>
      </c>
      <c r="T141">
        <v>31.5</v>
      </c>
      <c r="U141">
        <v>3.5</v>
      </c>
      <c r="V141">
        <v>9000</v>
      </c>
      <c r="W141" t="s">
        <v>1153</v>
      </c>
      <c r="X141" t="s">
        <v>1087</v>
      </c>
      <c r="Y141">
        <v>38</v>
      </c>
      <c r="Z141">
        <v>4</v>
      </c>
      <c r="AA141">
        <v>619.66666666666663</v>
      </c>
    </row>
    <row r="142" spans="1:27" x14ac:dyDescent="0.3">
      <c r="A142" s="15">
        <v>44482.798645833333</v>
      </c>
      <c r="B142" t="s">
        <v>13</v>
      </c>
      <c r="C142" t="s">
        <v>1080</v>
      </c>
      <c r="D142" s="2">
        <v>44456</v>
      </c>
      <c r="E142" t="s">
        <v>1133</v>
      </c>
      <c r="F142" t="s">
        <v>40</v>
      </c>
      <c r="G142" t="s">
        <v>48</v>
      </c>
      <c r="H142" t="s">
        <v>944</v>
      </c>
      <c r="I142" t="s">
        <v>973</v>
      </c>
      <c r="J142" t="s">
        <v>509</v>
      </c>
      <c r="K142">
        <v>429</v>
      </c>
      <c r="L142">
        <v>3</v>
      </c>
      <c r="M142">
        <v>10.8</v>
      </c>
      <c r="N142" t="s">
        <v>21</v>
      </c>
      <c r="O142">
        <v>0</v>
      </c>
      <c r="P142">
        <v>0</v>
      </c>
      <c r="Q142">
        <v>457</v>
      </c>
      <c r="R142">
        <v>6957</v>
      </c>
      <c r="S142">
        <v>1.716</v>
      </c>
      <c r="T142">
        <v>10.8</v>
      </c>
      <c r="U142">
        <v>4</v>
      </c>
      <c r="V142">
        <v>2700</v>
      </c>
      <c r="W142" t="s">
        <v>1153</v>
      </c>
      <c r="X142" t="s">
        <v>1087</v>
      </c>
      <c r="Y142">
        <v>38</v>
      </c>
      <c r="Z142">
        <v>6</v>
      </c>
      <c r="AA142">
        <v>214.5</v>
      </c>
    </row>
    <row r="143" spans="1:27" x14ac:dyDescent="0.3">
      <c r="A143" s="15">
        <v>44482.799444444441</v>
      </c>
      <c r="B143" t="s">
        <v>13</v>
      </c>
      <c r="C143" t="s">
        <v>1080</v>
      </c>
      <c r="D143" s="2">
        <v>44457</v>
      </c>
      <c r="E143" t="s">
        <v>1114</v>
      </c>
      <c r="F143" t="s">
        <v>40</v>
      </c>
      <c r="G143" t="s">
        <v>48</v>
      </c>
      <c r="H143" t="s">
        <v>944</v>
      </c>
      <c r="I143" t="s">
        <v>973</v>
      </c>
      <c r="J143" t="s">
        <v>509</v>
      </c>
      <c r="K143">
        <v>1430</v>
      </c>
      <c r="L143">
        <v>12</v>
      </c>
      <c r="M143">
        <v>37.200000000000003</v>
      </c>
      <c r="N143" t="s">
        <v>21</v>
      </c>
      <c r="O143">
        <v>0</v>
      </c>
      <c r="P143">
        <v>0</v>
      </c>
      <c r="Q143">
        <v>457</v>
      </c>
      <c r="R143">
        <v>6959</v>
      </c>
      <c r="S143">
        <v>5.72</v>
      </c>
      <c r="T143">
        <v>37.200000000000003</v>
      </c>
      <c r="U143">
        <v>4</v>
      </c>
      <c r="V143">
        <v>9300</v>
      </c>
      <c r="W143" t="s">
        <v>1153</v>
      </c>
      <c r="X143" t="s">
        <v>1087</v>
      </c>
      <c r="Y143">
        <v>38</v>
      </c>
      <c r="Z143">
        <v>6</v>
      </c>
      <c r="AA143">
        <v>715</v>
      </c>
    </row>
    <row r="144" spans="1:27" x14ac:dyDescent="0.3">
      <c r="A144" s="15">
        <v>44482.799803240741</v>
      </c>
      <c r="B144" t="s">
        <v>13</v>
      </c>
      <c r="C144" t="s">
        <v>1080</v>
      </c>
      <c r="D144" s="2">
        <v>44459</v>
      </c>
      <c r="E144" t="s">
        <v>1133</v>
      </c>
      <c r="F144" t="s">
        <v>40</v>
      </c>
      <c r="G144" t="s">
        <v>48</v>
      </c>
      <c r="H144" t="s">
        <v>944</v>
      </c>
      <c r="I144" t="s">
        <v>973</v>
      </c>
      <c r="J144" t="s">
        <v>509</v>
      </c>
      <c r="K144">
        <v>1319</v>
      </c>
      <c r="L144">
        <v>11</v>
      </c>
      <c r="M144">
        <v>34.200000000000003</v>
      </c>
      <c r="N144" t="s">
        <v>21</v>
      </c>
      <c r="O144">
        <v>0</v>
      </c>
      <c r="P144">
        <v>0</v>
      </c>
      <c r="Q144">
        <v>457</v>
      </c>
      <c r="R144">
        <v>6960</v>
      </c>
      <c r="S144">
        <v>5.2759999999999998</v>
      </c>
      <c r="T144">
        <v>34.200000000000003</v>
      </c>
      <c r="U144">
        <v>4</v>
      </c>
      <c r="V144">
        <v>8550</v>
      </c>
      <c r="W144" t="s">
        <v>1153</v>
      </c>
      <c r="X144" t="s">
        <v>1087</v>
      </c>
      <c r="Y144">
        <v>39</v>
      </c>
      <c r="Z144">
        <v>6</v>
      </c>
      <c r="AA144">
        <v>659.5</v>
      </c>
    </row>
    <row r="145" spans="1:27" x14ac:dyDescent="0.3">
      <c r="A145" s="15">
        <v>44482.801168981481</v>
      </c>
      <c r="B145" t="s">
        <v>13</v>
      </c>
      <c r="C145" t="s">
        <v>1080</v>
      </c>
      <c r="D145" s="2">
        <v>44463</v>
      </c>
      <c r="E145" t="s">
        <v>1133</v>
      </c>
      <c r="F145" t="s">
        <v>40</v>
      </c>
      <c r="G145" t="s">
        <v>48</v>
      </c>
      <c r="H145" t="s">
        <v>944</v>
      </c>
      <c r="I145" t="s">
        <v>1054</v>
      </c>
      <c r="J145" t="s">
        <v>484</v>
      </c>
      <c r="K145">
        <v>1180</v>
      </c>
      <c r="L145">
        <v>11</v>
      </c>
      <c r="M145">
        <v>91.5</v>
      </c>
      <c r="N145" t="s">
        <v>21</v>
      </c>
      <c r="O145">
        <v>0</v>
      </c>
      <c r="P145">
        <v>0</v>
      </c>
      <c r="Q145">
        <v>457</v>
      </c>
      <c r="R145">
        <v>6963</v>
      </c>
      <c r="S145">
        <v>14.16</v>
      </c>
      <c r="T145">
        <v>91.5</v>
      </c>
      <c r="U145">
        <v>12</v>
      </c>
      <c r="V145">
        <v>7625</v>
      </c>
      <c r="W145" t="s">
        <v>1153</v>
      </c>
      <c r="X145" t="s">
        <v>1087</v>
      </c>
      <c r="Y145">
        <v>39</v>
      </c>
      <c r="Z145">
        <v>6</v>
      </c>
      <c r="AA145">
        <v>590</v>
      </c>
    </row>
    <row r="146" spans="1:27" x14ac:dyDescent="0.3">
      <c r="A146" s="15">
        <v>44482.800706018519</v>
      </c>
      <c r="B146" t="s">
        <v>13</v>
      </c>
      <c r="C146" t="s">
        <v>1080</v>
      </c>
      <c r="D146" s="2">
        <v>44463</v>
      </c>
      <c r="E146" t="s">
        <v>1082</v>
      </c>
      <c r="F146" t="s">
        <v>40</v>
      </c>
      <c r="G146" t="s">
        <v>48</v>
      </c>
      <c r="H146" t="s">
        <v>944</v>
      </c>
      <c r="I146" t="s">
        <v>1054</v>
      </c>
      <c r="J146" t="s">
        <v>484</v>
      </c>
      <c r="K146">
        <v>1203</v>
      </c>
      <c r="L146">
        <v>12</v>
      </c>
      <c r="M146">
        <v>92.8</v>
      </c>
      <c r="N146" t="s">
        <v>21</v>
      </c>
      <c r="O146">
        <v>0</v>
      </c>
      <c r="P146">
        <v>0</v>
      </c>
      <c r="Q146">
        <v>457</v>
      </c>
      <c r="R146">
        <v>6962</v>
      </c>
      <c r="S146">
        <v>14.436</v>
      </c>
      <c r="T146">
        <v>92.8</v>
      </c>
      <c r="U146">
        <v>12</v>
      </c>
      <c r="V146">
        <v>7733.333333333333</v>
      </c>
      <c r="W146" t="s">
        <v>1153</v>
      </c>
      <c r="X146" t="s">
        <v>1087</v>
      </c>
      <c r="Y146">
        <v>39</v>
      </c>
      <c r="Z146">
        <v>6</v>
      </c>
      <c r="AA146">
        <v>601.5</v>
      </c>
    </row>
    <row r="147" spans="1:27" x14ac:dyDescent="0.3">
      <c r="A147" s="15">
        <v>44482.80159722222</v>
      </c>
      <c r="B147" t="s">
        <v>13</v>
      </c>
      <c r="C147" t="s">
        <v>1080</v>
      </c>
      <c r="D147" s="2">
        <v>44466</v>
      </c>
      <c r="E147" t="s">
        <v>1133</v>
      </c>
      <c r="F147" t="s">
        <v>40</v>
      </c>
      <c r="G147" t="s">
        <v>48</v>
      </c>
      <c r="H147" t="s">
        <v>944</v>
      </c>
      <c r="I147" t="s">
        <v>1054</v>
      </c>
      <c r="J147" t="s">
        <v>484</v>
      </c>
      <c r="K147">
        <v>1093</v>
      </c>
      <c r="L147">
        <v>11</v>
      </c>
      <c r="M147">
        <v>85.3</v>
      </c>
      <c r="N147" t="s">
        <v>21</v>
      </c>
      <c r="O147">
        <v>0</v>
      </c>
      <c r="P147">
        <v>0</v>
      </c>
      <c r="Q147">
        <v>457</v>
      </c>
      <c r="R147">
        <v>6965</v>
      </c>
      <c r="S147">
        <v>13.116</v>
      </c>
      <c r="T147">
        <v>85.3</v>
      </c>
      <c r="U147">
        <v>12</v>
      </c>
      <c r="V147">
        <v>7108.333333333333</v>
      </c>
      <c r="W147" t="s">
        <v>1153</v>
      </c>
      <c r="X147" t="s">
        <v>1087</v>
      </c>
      <c r="Y147">
        <v>40</v>
      </c>
      <c r="Z147">
        <v>6</v>
      </c>
      <c r="AA147">
        <v>546.5</v>
      </c>
    </row>
    <row r="148" spans="1:27" x14ac:dyDescent="0.3">
      <c r="A148" s="15">
        <v>44482.801817129628</v>
      </c>
      <c r="B148" t="s">
        <v>13</v>
      </c>
      <c r="C148" t="s">
        <v>1080</v>
      </c>
      <c r="D148" s="2">
        <v>44467</v>
      </c>
      <c r="E148" t="s">
        <v>1133</v>
      </c>
      <c r="F148" t="s">
        <v>40</v>
      </c>
      <c r="G148" t="s">
        <v>48</v>
      </c>
      <c r="H148" t="s">
        <v>944</v>
      </c>
      <c r="I148" t="s">
        <v>1054</v>
      </c>
      <c r="J148" t="s">
        <v>484</v>
      </c>
      <c r="K148">
        <v>1036</v>
      </c>
      <c r="L148">
        <v>10</v>
      </c>
      <c r="M148">
        <v>80.099999999999994</v>
      </c>
      <c r="N148" t="s">
        <v>21</v>
      </c>
      <c r="O148">
        <v>0</v>
      </c>
      <c r="P148">
        <v>0</v>
      </c>
      <c r="Q148">
        <v>457</v>
      </c>
      <c r="R148">
        <v>6965</v>
      </c>
      <c r="S148">
        <v>12.432</v>
      </c>
      <c r="T148">
        <v>80.099999999999994</v>
      </c>
      <c r="U148">
        <v>12</v>
      </c>
      <c r="V148">
        <v>6675</v>
      </c>
      <c r="W148" t="s">
        <v>1153</v>
      </c>
      <c r="X148" t="s">
        <v>1087</v>
      </c>
      <c r="Y148">
        <v>40</v>
      </c>
      <c r="Z148">
        <v>6</v>
      </c>
      <c r="AA148">
        <v>518</v>
      </c>
    </row>
    <row r="149" spans="1:27" x14ac:dyDescent="0.3">
      <c r="A149" s="15">
        <v>44482.802314814813</v>
      </c>
      <c r="B149" t="s">
        <v>13</v>
      </c>
      <c r="C149" t="s">
        <v>1080</v>
      </c>
      <c r="D149" s="2">
        <v>44468</v>
      </c>
      <c r="E149" t="s">
        <v>1133</v>
      </c>
      <c r="F149" t="s">
        <v>40</v>
      </c>
      <c r="G149" t="s">
        <v>48</v>
      </c>
      <c r="H149" t="s">
        <v>944</v>
      </c>
      <c r="I149" t="s">
        <v>1054</v>
      </c>
      <c r="J149" t="s">
        <v>484</v>
      </c>
      <c r="K149">
        <v>1052</v>
      </c>
      <c r="L149">
        <v>11</v>
      </c>
      <c r="M149">
        <v>82.1</v>
      </c>
      <c r="N149" t="s">
        <v>21</v>
      </c>
      <c r="O149">
        <v>0</v>
      </c>
      <c r="P149">
        <v>0</v>
      </c>
      <c r="Q149">
        <v>457</v>
      </c>
      <c r="R149">
        <v>6968</v>
      </c>
      <c r="S149">
        <v>12.624000000000001</v>
      </c>
      <c r="T149">
        <v>82.1</v>
      </c>
      <c r="U149">
        <v>12</v>
      </c>
      <c r="V149">
        <v>6841.666666666667</v>
      </c>
      <c r="W149" t="s">
        <v>1153</v>
      </c>
      <c r="X149" t="s">
        <v>1087</v>
      </c>
      <c r="Y149">
        <v>40</v>
      </c>
      <c r="Z149">
        <v>6</v>
      </c>
      <c r="AA149">
        <v>526</v>
      </c>
    </row>
    <row r="150" spans="1:27" x14ac:dyDescent="0.3">
      <c r="A150" s="15">
        <v>44482.802048611113</v>
      </c>
      <c r="B150" t="s">
        <v>13</v>
      </c>
      <c r="C150" t="s">
        <v>1080</v>
      </c>
      <c r="D150" s="2">
        <v>44468</v>
      </c>
      <c r="E150" t="s">
        <v>1133</v>
      </c>
      <c r="F150" t="s">
        <v>40</v>
      </c>
      <c r="G150" t="s">
        <v>48</v>
      </c>
      <c r="H150" t="s">
        <v>944</v>
      </c>
      <c r="I150" t="s">
        <v>1054</v>
      </c>
      <c r="J150" t="s">
        <v>484</v>
      </c>
      <c r="K150">
        <v>1137</v>
      </c>
      <c r="L150">
        <v>10</v>
      </c>
      <c r="M150">
        <v>87.6</v>
      </c>
      <c r="N150" t="s">
        <v>21</v>
      </c>
      <c r="O150">
        <v>0</v>
      </c>
      <c r="P150">
        <v>0</v>
      </c>
      <c r="Q150">
        <v>457</v>
      </c>
      <c r="R150">
        <v>6967</v>
      </c>
      <c r="S150">
        <v>13.644</v>
      </c>
      <c r="T150">
        <v>87.6</v>
      </c>
      <c r="U150">
        <v>12</v>
      </c>
      <c r="V150">
        <v>7300</v>
      </c>
      <c r="W150" t="s">
        <v>1153</v>
      </c>
      <c r="X150" t="s">
        <v>1087</v>
      </c>
      <c r="Y150">
        <v>40</v>
      </c>
      <c r="Z150">
        <v>6</v>
      </c>
      <c r="AA150">
        <v>568.5</v>
      </c>
    </row>
    <row r="151" spans="1:27" x14ac:dyDescent="0.3">
      <c r="A151" s="15">
        <v>44477.58185185185</v>
      </c>
      <c r="B151" t="s">
        <v>13</v>
      </c>
      <c r="C151" t="s">
        <v>1028</v>
      </c>
      <c r="D151" s="2">
        <v>44448</v>
      </c>
      <c r="E151" t="s">
        <v>1131</v>
      </c>
      <c r="F151" t="s">
        <v>41</v>
      </c>
      <c r="G151" t="s">
        <v>943</v>
      </c>
      <c r="H151" t="s">
        <v>48</v>
      </c>
      <c r="I151" t="s">
        <v>1127</v>
      </c>
      <c r="J151" t="s">
        <v>1125</v>
      </c>
      <c r="K151">
        <v>519</v>
      </c>
      <c r="L151">
        <v>8</v>
      </c>
      <c r="M151">
        <v>45.67</v>
      </c>
      <c r="N151" t="s">
        <v>21</v>
      </c>
      <c r="O151">
        <v>0</v>
      </c>
      <c r="P151">
        <v>4</v>
      </c>
      <c r="Q151">
        <v>455</v>
      </c>
      <c r="R151">
        <v>6742</v>
      </c>
      <c r="S151">
        <v>11.417999999999999</v>
      </c>
      <c r="T151">
        <v>45.67</v>
      </c>
      <c r="U151">
        <v>22</v>
      </c>
      <c r="V151">
        <v>2075.909090909091</v>
      </c>
      <c r="W151" t="s">
        <v>1153</v>
      </c>
      <c r="X151" t="s">
        <v>1087</v>
      </c>
      <c r="Y151">
        <v>37</v>
      </c>
      <c r="Z151">
        <v>4</v>
      </c>
      <c r="AA151">
        <v>173</v>
      </c>
    </row>
    <row r="152" spans="1:27" x14ac:dyDescent="0.3">
      <c r="A152" s="15">
        <v>44477.590543981481</v>
      </c>
      <c r="B152" t="s">
        <v>13</v>
      </c>
      <c r="C152" t="s">
        <v>1028</v>
      </c>
      <c r="D152" s="2">
        <v>44456</v>
      </c>
      <c r="E152" t="s">
        <v>1133</v>
      </c>
      <c r="F152" t="s">
        <v>41</v>
      </c>
      <c r="G152" t="s">
        <v>950</v>
      </c>
      <c r="H152" t="s">
        <v>951</v>
      </c>
      <c r="I152" t="s">
        <v>1103</v>
      </c>
      <c r="J152" t="s">
        <v>1101</v>
      </c>
      <c r="K152">
        <v>1180</v>
      </c>
      <c r="L152">
        <v>9</v>
      </c>
      <c r="M152">
        <v>33.04</v>
      </c>
      <c r="N152" t="s">
        <v>21</v>
      </c>
      <c r="O152">
        <v>0</v>
      </c>
      <c r="P152">
        <v>5</v>
      </c>
      <c r="Q152">
        <v>463</v>
      </c>
      <c r="R152">
        <v>6749</v>
      </c>
      <c r="S152">
        <v>33.04</v>
      </c>
      <c r="T152">
        <v>33.04</v>
      </c>
      <c r="U152">
        <v>28</v>
      </c>
      <c r="V152">
        <v>1180</v>
      </c>
      <c r="W152" t="s">
        <v>1153</v>
      </c>
      <c r="X152" t="s">
        <v>1087</v>
      </c>
      <c r="Y152">
        <v>38</v>
      </c>
      <c r="Z152">
        <v>1</v>
      </c>
      <c r="AA152">
        <v>98.333333333333329</v>
      </c>
    </row>
    <row r="153" spans="1:27" x14ac:dyDescent="0.3">
      <c r="A153" s="15">
        <v>44477.590983796297</v>
      </c>
      <c r="B153" t="s">
        <v>13</v>
      </c>
      <c r="C153" t="s">
        <v>1028</v>
      </c>
      <c r="D153" s="2">
        <v>44457</v>
      </c>
      <c r="E153" t="s">
        <v>1133</v>
      </c>
      <c r="F153" t="s">
        <v>41</v>
      </c>
      <c r="G153" t="s">
        <v>950</v>
      </c>
      <c r="H153" t="s">
        <v>951</v>
      </c>
      <c r="I153" t="s">
        <v>1103</v>
      </c>
      <c r="J153" t="s">
        <v>1101</v>
      </c>
      <c r="K153">
        <v>1546</v>
      </c>
      <c r="L153">
        <v>10</v>
      </c>
      <c r="M153">
        <v>43.29</v>
      </c>
      <c r="N153" t="s">
        <v>21</v>
      </c>
      <c r="O153">
        <v>0</v>
      </c>
      <c r="P153">
        <v>5</v>
      </c>
      <c r="Q153">
        <v>463</v>
      </c>
      <c r="R153">
        <v>6750</v>
      </c>
      <c r="S153">
        <v>43.287999999999997</v>
      </c>
      <c r="T153">
        <v>43.29</v>
      </c>
      <c r="U153">
        <v>28</v>
      </c>
      <c r="V153">
        <v>1546.0714285714287</v>
      </c>
      <c r="W153" t="s">
        <v>1153</v>
      </c>
      <c r="X153" t="s">
        <v>1087</v>
      </c>
      <c r="Y153">
        <v>38</v>
      </c>
      <c r="Z153">
        <v>1</v>
      </c>
      <c r="AA153">
        <v>128.83333333333334</v>
      </c>
    </row>
    <row r="154" spans="1:27" x14ac:dyDescent="0.3">
      <c r="A154" s="15">
        <v>44477.599502314813</v>
      </c>
      <c r="B154" t="s">
        <v>13</v>
      </c>
      <c r="C154" t="s">
        <v>1028</v>
      </c>
      <c r="D154" s="2">
        <v>44459</v>
      </c>
      <c r="E154" t="s">
        <v>1105</v>
      </c>
      <c r="F154" t="s">
        <v>41</v>
      </c>
      <c r="G154" t="s">
        <v>950</v>
      </c>
      <c r="H154" t="s">
        <v>951</v>
      </c>
      <c r="I154" t="s">
        <v>1103</v>
      </c>
      <c r="J154" t="s">
        <v>1102</v>
      </c>
      <c r="K154">
        <v>1875</v>
      </c>
      <c r="L154">
        <v>12</v>
      </c>
      <c r="M154">
        <v>52.5</v>
      </c>
      <c r="N154" t="s">
        <v>21</v>
      </c>
      <c r="O154">
        <v>0</v>
      </c>
      <c r="P154">
        <v>8</v>
      </c>
      <c r="Q154">
        <v>463</v>
      </c>
      <c r="R154">
        <v>6752</v>
      </c>
      <c r="S154">
        <v>52.5</v>
      </c>
      <c r="T154">
        <v>52.5</v>
      </c>
      <c r="U154">
        <v>28</v>
      </c>
      <c r="V154">
        <v>1875</v>
      </c>
      <c r="W154" t="s">
        <v>1153</v>
      </c>
      <c r="X154" t="s">
        <v>1087</v>
      </c>
      <c r="Y154">
        <v>39</v>
      </c>
      <c r="Z154">
        <v>1</v>
      </c>
      <c r="AA154">
        <v>156.25</v>
      </c>
    </row>
    <row r="155" spans="1:27" x14ac:dyDescent="0.3">
      <c r="A155" s="15">
        <v>44477.603819444441</v>
      </c>
      <c r="B155" t="s">
        <v>13</v>
      </c>
      <c r="C155" t="s">
        <v>1028</v>
      </c>
      <c r="D155" s="2">
        <v>44460</v>
      </c>
      <c r="E155" t="s">
        <v>1133</v>
      </c>
      <c r="F155" t="s">
        <v>41</v>
      </c>
      <c r="G155" t="s">
        <v>950</v>
      </c>
      <c r="H155" t="s">
        <v>951</v>
      </c>
      <c r="I155" t="s">
        <v>1103</v>
      </c>
      <c r="J155" t="s">
        <v>1099</v>
      </c>
      <c r="K155">
        <v>893</v>
      </c>
      <c r="L155">
        <v>9</v>
      </c>
      <c r="M155">
        <v>25</v>
      </c>
      <c r="N155" t="s">
        <v>21</v>
      </c>
      <c r="O155">
        <v>0</v>
      </c>
      <c r="P155">
        <v>3</v>
      </c>
      <c r="Q155">
        <v>463</v>
      </c>
      <c r="R155">
        <v>6754</v>
      </c>
      <c r="S155">
        <v>25.004000000000001</v>
      </c>
      <c r="T155">
        <v>25</v>
      </c>
      <c r="U155">
        <v>28</v>
      </c>
      <c r="V155">
        <v>892.85714285714289</v>
      </c>
      <c r="W155" t="s">
        <v>1153</v>
      </c>
      <c r="X155" t="s">
        <v>1087</v>
      </c>
      <c r="Y155">
        <v>39</v>
      </c>
      <c r="Z155">
        <v>1</v>
      </c>
      <c r="AA155">
        <v>74.416666666666671</v>
      </c>
    </row>
    <row r="156" spans="1:27" x14ac:dyDescent="0.3">
      <c r="A156" s="15">
        <v>44477.605810185189</v>
      </c>
      <c r="B156" t="s">
        <v>13</v>
      </c>
      <c r="C156" t="s">
        <v>1028</v>
      </c>
      <c r="D156" s="2">
        <v>44461</v>
      </c>
      <c r="E156" t="s">
        <v>1133</v>
      </c>
      <c r="F156" t="s">
        <v>41</v>
      </c>
      <c r="G156" t="s">
        <v>950</v>
      </c>
      <c r="H156" t="s">
        <v>951</v>
      </c>
      <c r="I156" t="s">
        <v>1103</v>
      </c>
      <c r="J156" t="s">
        <v>1099</v>
      </c>
      <c r="K156">
        <v>1703</v>
      </c>
      <c r="L156">
        <v>12</v>
      </c>
      <c r="M156">
        <v>47.68</v>
      </c>
      <c r="N156" t="s">
        <v>21</v>
      </c>
      <c r="O156">
        <v>0</v>
      </c>
      <c r="P156">
        <v>6</v>
      </c>
      <c r="Q156">
        <v>463</v>
      </c>
      <c r="R156">
        <v>6756</v>
      </c>
      <c r="S156">
        <v>47.683999999999997</v>
      </c>
      <c r="T156">
        <v>47.68</v>
      </c>
      <c r="U156">
        <v>28</v>
      </c>
      <c r="V156">
        <v>1702.8571428571429</v>
      </c>
      <c r="W156" t="s">
        <v>1153</v>
      </c>
      <c r="X156" t="s">
        <v>1087</v>
      </c>
      <c r="Y156">
        <v>39</v>
      </c>
      <c r="Z156">
        <v>1</v>
      </c>
      <c r="AA156">
        <v>141.91666666666666</v>
      </c>
    </row>
    <row r="157" spans="1:27" x14ac:dyDescent="0.3">
      <c r="A157" s="15">
        <v>44477.612685185188</v>
      </c>
      <c r="B157" t="s">
        <v>13</v>
      </c>
      <c r="C157" t="s">
        <v>1028</v>
      </c>
      <c r="D157" s="2">
        <v>44462</v>
      </c>
      <c r="E157" t="s">
        <v>1133</v>
      </c>
      <c r="F157" t="s">
        <v>41</v>
      </c>
      <c r="G157" t="s">
        <v>950</v>
      </c>
      <c r="H157" t="s">
        <v>951</v>
      </c>
      <c r="I157" t="s">
        <v>1103</v>
      </c>
      <c r="J157" t="s">
        <v>1100</v>
      </c>
      <c r="K157">
        <v>1729</v>
      </c>
      <c r="L157">
        <v>12</v>
      </c>
      <c r="M157">
        <v>48.41</v>
      </c>
      <c r="N157" t="s">
        <v>21</v>
      </c>
      <c r="O157">
        <v>0</v>
      </c>
      <c r="P157">
        <v>6</v>
      </c>
      <c r="Q157">
        <v>463</v>
      </c>
      <c r="R157">
        <v>6759</v>
      </c>
      <c r="S157">
        <v>48.411999999999999</v>
      </c>
      <c r="T157">
        <v>48.41</v>
      </c>
      <c r="U157">
        <v>28</v>
      </c>
      <c r="V157">
        <v>1728.9285714285713</v>
      </c>
      <c r="W157" t="s">
        <v>1153</v>
      </c>
      <c r="X157" t="s">
        <v>1087</v>
      </c>
      <c r="Y157">
        <v>39</v>
      </c>
      <c r="Z157">
        <v>1</v>
      </c>
      <c r="AA157">
        <v>144.08333333333334</v>
      </c>
    </row>
    <row r="158" spans="1:27" x14ac:dyDescent="0.3">
      <c r="A158" s="15">
        <v>44477.613576388889</v>
      </c>
      <c r="B158" t="s">
        <v>13</v>
      </c>
      <c r="C158" t="s">
        <v>1028</v>
      </c>
      <c r="D158" s="2">
        <v>44463</v>
      </c>
      <c r="E158" t="s">
        <v>1105</v>
      </c>
      <c r="F158" t="s">
        <v>41</v>
      </c>
      <c r="G158" t="s">
        <v>950</v>
      </c>
      <c r="H158" t="s">
        <v>951</v>
      </c>
      <c r="I158" t="s">
        <v>1103</v>
      </c>
      <c r="J158" t="s">
        <v>1101</v>
      </c>
      <c r="K158">
        <v>500</v>
      </c>
      <c r="L158">
        <v>4</v>
      </c>
      <c r="M158">
        <v>14</v>
      </c>
      <c r="N158" t="s">
        <v>21</v>
      </c>
      <c r="O158">
        <v>0</v>
      </c>
      <c r="P158">
        <v>3</v>
      </c>
      <c r="Q158">
        <v>463</v>
      </c>
      <c r="R158">
        <v>6760</v>
      </c>
      <c r="S158">
        <v>14</v>
      </c>
      <c r="T158">
        <v>14</v>
      </c>
      <c r="U158">
        <v>28</v>
      </c>
      <c r="V158">
        <v>500</v>
      </c>
      <c r="W158" t="s">
        <v>1153</v>
      </c>
      <c r="X158" t="s">
        <v>1087</v>
      </c>
      <c r="Y158">
        <v>39</v>
      </c>
      <c r="Z158">
        <v>1</v>
      </c>
      <c r="AA158">
        <v>41.666666666666664</v>
      </c>
    </row>
    <row r="159" spans="1:27" x14ac:dyDescent="0.3">
      <c r="A159" s="15">
        <v>44477.613206018519</v>
      </c>
      <c r="B159" t="s">
        <v>13</v>
      </c>
      <c r="C159" t="s">
        <v>1028</v>
      </c>
      <c r="D159" s="2">
        <v>44463</v>
      </c>
      <c r="E159" t="s">
        <v>1105</v>
      </c>
      <c r="F159" t="s">
        <v>41</v>
      </c>
      <c r="G159" t="s">
        <v>950</v>
      </c>
      <c r="H159" t="s">
        <v>951</v>
      </c>
      <c r="I159" t="s">
        <v>1103</v>
      </c>
      <c r="J159" t="s">
        <v>1100</v>
      </c>
      <c r="K159">
        <v>589</v>
      </c>
      <c r="L159">
        <v>4</v>
      </c>
      <c r="M159">
        <v>16.489999999999998</v>
      </c>
      <c r="N159" t="s">
        <v>21</v>
      </c>
      <c r="O159">
        <v>0</v>
      </c>
      <c r="P159">
        <v>3</v>
      </c>
      <c r="Q159">
        <v>463</v>
      </c>
      <c r="R159">
        <v>6760</v>
      </c>
      <c r="S159">
        <v>16.492000000000001</v>
      </c>
      <c r="T159">
        <v>16.489999999999998</v>
      </c>
      <c r="U159">
        <v>28</v>
      </c>
      <c r="V159">
        <v>588.92857142857144</v>
      </c>
      <c r="W159" t="s">
        <v>1153</v>
      </c>
      <c r="X159" t="s">
        <v>1087</v>
      </c>
      <c r="Y159">
        <v>39</v>
      </c>
      <c r="Z159">
        <v>1</v>
      </c>
      <c r="AA159">
        <v>49.083333333333336</v>
      </c>
    </row>
    <row r="160" spans="1:27" x14ac:dyDescent="0.3">
      <c r="A160" s="15">
        <v>44477.614988425928</v>
      </c>
      <c r="B160" t="s">
        <v>13</v>
      </c>
      <c r="C160" t="s">
        <v>1028</v>
      </c>
      <c r="D160" s="2">
        <v>44464</v>
      </c>
      <c r="E160" t="s">
        <v>1133</v>
      </c>
      <c r="F160" t="s">
        <v>41</v>
      </c>
      <c r="G160" t="s">
        <v>950</v>
      </c>
      <c r="H160" t="s">
        <v>951</v>
      </c>
      <c r="I160" t="s">
        <v>1103</v>
      </c>
      <c r="J160" t="s">
        <v>1102</v>
      </c>
      <c r="K160">
        <v>186</v>
      </c>
      <c r="L160">
        <v>3</v>
      </c>
      <c r="M160">
        <v>4.9000000000000004</v>
      </c>
      <c r="N160" t="s">
        <v>21</v>
      </c>
      <c r="O160">
        <v>0</v>
      </c>
      <c r="P160">
        <v>1</v>
      </c>
      <c r="Q160">
        <v>463</v>
      </c>
      <c r="R160">
        <v>6761</v>
      </c>
      <c r="S160">
        <v>5.2080000000000002</v>
      </c>
      <c r="T160">
        <v>4.9000000000000004</v>
      </c>
      <c r="U160">
        <v>28</v>
      </c>
      <c r="V160">
        <v>175</v>
      </c>
      <c r="W160" t="s">
        <v>1153</v>
      </c>
      <c r="X160" t="s">
        <v>1087</v>
      </c>
      <c r="Y160">
        <v>39</v>
      </c>
      <c r="Z160">
        <v>1</v>
      </c>
      <c r="AA160">
        <v>15.5</v>
      </c>
    </row>
    <row r="161" spans="1:27" x14ac:dyDescent="0.3">
      <c r="A161" s="15">
        <v>44477.614016203705</v>
      </c>
      <c r="B161" t="s">
        <v>13</v>
      </c>
      <c r="C161" t="s">
        <v>1028</v>
      </c>
      <c r="D161" s="2">
        <v>44464</v>
      </c>
      <c r="E161" t="s">
        <v>1133</v>
      </c>
      <c r="F161" t="s">
        <v>41</v>
      </c>
      <c r="G161" t="s">
        <v>950</v>
      </c>
      <c r="H161" t="s">
        <v>951</v>
      </c>
      <c r="I161" t="s">
        <v>1103</v>
      </c>
      <c r="J161" t="s">
        <v>1101</v>
      </c>
      <c r="K161">
        <v>897</v>
      </c>
      <c r="L161">
        <v>7</v>
      </c>
      <c r="M161">
        <v>23.63</v>
      </c>
      <c r="N161" t="s">
        <v>21</v>
      </c>
      <c r="O161">
        <v>0</v>
      </c>
      <c r="P161">
        <v>4</v>
      </c>
      <c r="Q161">
        <v>463</v>
      </c>
      <c r="R161">
        <v>6761</v>
      </c>
      <c r="S161">
        <v>25.116</v>
      </c>
      <c r="T161">
        <v>23.63</v>
      </c>
      <c r="U161">
        <v>28</v>
      </c>
      <c r="V161">
        <v>843.92857142857144</v>
      </c>
      <c r="W161" t="s">
        <v>1153</v>
      </c>
      <c r="X161" t="s">
        <v>1087</v>
      </c>
      <c r="Y161">
        <v>39</v>
      </c>
      <c r="Z161">
        <v>1</v>
      </c>
      <c r="AA161">
        <v>74.75</v>
      </c>
    </row>
    <row r="162" spans="1:27" x14ac:dyDescent="0.3">
      <c r="A162" s="15">
        <v>44477.615694444445</v>
      </c>
      <c r="B162" t="s">
        <v>13</v>
      </c>
      <c r="C162" t="s">
        <v>1028</v>
      </c>
      <c r="D162" s="2">
        <v>44466</v>
      </c>
      <c r="E162" t="s">
        <v>1105</v>
      </c>
      <c r="F162" t="s">
        <v>41</v>
      </c>
      <c r="G162" t="s">
        <v>950</v>
      </c>
      <c r="H162" t="s">
        <v>951</v>
      </c>
      <c r="I162" t="s">
        <v>1103</v>
      </c>
      <c r="J162" t="s">
        <v>1102</v>
      </c>
      <c r="K162">
        <v>1540</v>
      </c>
      <c r="L162">
        <v>11</v>
      </c>
      <c r="M162">
        <v>43.12</v>
      </c>
      <c r="N162" t="s">
        <v>21</v>
      </c>
      <c r="O162">
        <v>0</v>
      </c>
      <c r="P162">
        <v>7</v>
      </c>
      <c r="Q162">
        <v>463</v>
      </c>
      <c r="R162">
        <v>6762</v>
      </c>
      <c r="S162">
        <v>43.12</v>
      </c>
      <c r="T162">
        <v>43.12</v>
      </c>
      <c r="U162">
        <v>28</v>
      </c>
      <c r="V162">
        <v>1540</v>
      </c>
      <c r="W162" t="s">
        <v>1153</v>
      </c>
      <c r="X162" t="s">
        <v>1087</v>
      </c>
      <c r="Y162">
        <v>40</v>
      </c>
      <c r="Z162">
        <v>1</v>
      </c>
      <c r="AA162">
        <v>128.33333333333334</v>
      </c>
    </row>
    <row r="163" spans="1:27" x14ac:dyDescent="0.3">
      <c r="A163" s="15">
        <v>44477.620671296296</v>
      </c>
      <c r="B163" t="s">
        <v>13</v>
      </c>
      <c r="C163" t="s">
        <v>1028</v>
      </c>
      <c r="D163" s="2">
        <v>44467</v>
      </c>
      <c r="E163" t="s">
        <v>1092</v>
      </c>
      <c r="F163" t="s">
        <v>41</v>
      </c>
      <c r="G163" t="s">
        <v>950</v>
      </c>
      <c r="H163" t="s">
        <v>951</v>
      </c>
      <c r="I163" t="s">
        <v>1103</v>
      </c>
      <c r="J163" t="s">
        <v>1099</v>
      </c>
      <c r="K163">
        <v>1438</v>
      </c>
      <c r="L163">
        <v>9</v>
      </c>
      <c r="M163">
        <v>40.26</v>
      </c>
      <c r="N163" t="s">
        <v>21</v>
      </c>
      <c r="O163">
        <v>0</v>
      </c>
      <c r="P163">
        <v>7</v>
      </c>
      <c r="Q163">
        <v>463</v>
      </c>
      <c r="R163">
        <v>6763</v>
      </c>
      <c r="S163">
        <v>40.264000000000003</v>
      </c>
      <c r="T163">
        <v>40.26</v>
      </c>
      <c r="U163">
        <v>28</v>
      </c>
      <c r="V163">
        <v>1437.8571428571429</v>
      </c>
      <c r="W163" t="s">
        <v>1153</v>
      </c>
      <c r="X163" t="s">
        <v>1087</v>
      </c>
      <c r="Y163">
        <v>40</v>
      </c>
      <c r="Z163">
        <v>1</v>
      </c>
      <c r="AA163">
        <v>119.83333333333333</v>
      </c>
    </row>
    <row r="164" spans="1:27" x14ac:dyDescent="0.3">
      <c r="A164" s="15">
        <v>44477.621724537035</v>
      </c>
      <c r="B164" t="s">
        <v>13</v>
      </c>
      <c r="C164" t="s">
        <v>1028</v>
      </c>
      <c r="D164" s="2">
        <v>44468</v>
      </c>
      <c r="E164" t="s">
        <v>1133</v>
      </c>
      <c r="F164" t="s">
        <v>41</v>
      </c>
      <c r="G164" t="s">
        <v>950</v>
      </c>
      <c r="H164" t="s">
        <v>951</v>
      </c>
      <c r="I164" t="s">
        <v>1103</v>
      </c>
      <c r="J164" t="s">
        <v>1100</v>
      </c>
      <c r="K164">
        <v>1389</v>
      </c>
      <c r="L164">
        <v>8</v>
      </c>
      <c r="M164">
        <v>43.8</v>
      </c>
      <c r="N164" t="s">
        <v>21</v>
      </c>
      <c r="O164">
        <v>0</v>
      </c>
      <c r="P164">
        <v>5</v>
      </c>
      <c r="Q164">
        <v>463</v>
      </c>
      <c r="R164">
        <v>6764</v>
      </c>
      <c r="S164">
        <v>38.892000000000003</v>
      </c>
      <c r="T164">
        <v>43.8</v>
      </c>
      <c r="U164">
        <v>28</v>
      </c>
      <c r="V164">
        <v>1564.2857142857142</v>
      </c>
      <c r="W164" t="s">
        <v>1153</v>
      </c>
      <c r="X164" t="s">
        <v>1087</v>
      </c>
      <c r="Y164">
        <v>40</v>
      </c>
      <c r="Z164">
        <v>1</v>
      </c>
      <c r="AA164">
        <v>115.75</v>
      </c>
    </row>
    <row r="165" spans="1:27" x14ac:dyDescent="0.3">
      <c r="A165" s="15">
        <v>44477.621377314812</v>
      </c>
      <c r="B165" t="s">
        <v>13</v>
      </c>
      <c r="C165" t="s">
        <v>1028</v>
      </c>
      <c r="D165" s="2">
        <v>44468</v>
      </c>
      <c r="E165" t="s">
        <v>1133</v>
      </c>
      <c r="F165" t="s">
        <v>41</v>
      </c>
      <c r="G165" t="s">
        <v>950</v>
      </c>
      <c r="H165" t="s">
        <v>951</v>
      </c>
      <c r="I165" t="s">
        <v>1103</v>
      </c>
      <c r="J165" t="s">
        <v>1099</v>
      </c>
      <c r="K165">
        <v>192</v>
      </c>
      <c r="L165">
        <v>3</v>
      </c>
      <c r="M165">
        <v>5.38</v>
      </c>
      <c r="N165" t="s">
        <v>21</v>
      </c>
      <c r="O165">
        <v>0</v>
      </c>
      <c r="P165">
        <v>1</v>
      </c>
      <c r="Q165">
        <v>463</v>
      </c>
      <c r="R165">
        <v>6764</v>
      </c>
      <c r="S165">
        <v>5.3760000000000003</v>
      </c>
      <c r="T165">
        <v>5.38</v>
      </c>
      <c r="U165">
        <v>28</v>
      </c>
      <c r="V165">
        <v>192.14285714285714</v>
      </c>
      <c r="W165" t="s">
        <v>1153</v>
      </c>
      <c r="X165" t="s">
        <v>1087</v>
      </c>
      <c r="Y165">
        <v>40</v>
      </c>
      <c r="Z165">
        <v>1</v>
      </c>
      <c r="AA165">
        <v>16</v>
      </c>
    </row>
    <row r="166" spans="1:27" x14ac:dyDescent="0.3">
      <c r="A166" s="15">
        <v>44482.656006944446</v>
      </c>
      <c r="B166" t="s">
        <v>13</v>
      </c>
      <c r="C166" t="s">
        <v>1028</v>
      </c>
      <c r="D166" s="2">
        <v>44469</v>
      </c>
      <c r="E166" t="s">
        <v>1092</v>
      </c>
      <c r="F166" t="s">
        <v>41</v>
      </c>
      <c r="G166" t="s">
        <v>950</v>
      </c>
      <c r="H166" t="s">
        <v>951</v>
      </c>
      <c r="I166" t="s">
        <v>1103</v>
      </c>
      <c r="J166" t="s">
        <v>1099</v>
      </c>
      <c r="K166">
        <v>170</v>
      </c>
      <c r="L166">
        <v>1</v>
      </c>
      <c r="M166">
        <v>5.18</v>
      </c>
      <c r="N166" t="s">
        <v>21</v>
      </c>
      <c r="O166">
        <v>0</v>
      </c>
      <c r="P166">
        <v>1</v>
      </c>
      <c r="Q166">
        <v>463</v>
      </c>
      <c r="R166">
        <v>6765</v>
      </c>
      <c r="S166">
        <v>4.76</v>
      </c>
      <c r="T166">
        <v>5.18</v>
      </c>
      <c r="U166">
        <v>28</v>
      </c>
      <c r="V166">
        <v>185</v>
      </c>
      <c r="W166" t="s">
        <v>1153</v>
      </c>
      <c r="X166" t="s">
        <v>1087</v>
      </c>
      <c r="Y166">
        <v>40</v>
      </c>
      <c r="Z166">
        <v>1</v>
      </c>
      <c r="AA166">
        <v>14.166666666666666</v>
      </c>
    </row>
    <row r="167" spans="1:27" x14ac:dyDescent="0.3">
      <c r="A167" s="15">
        <v>44477.622210648151</v>
      </c>
      <c r="B167" t="s">
        <v>13</v>
      </c>
      <c r="C167" t="s">
        <v>1028</v>
      </c>
      <c r="D167" s="2">
        <v>44469</v>
      </c>
      <c r="E167" t="s">
        <v>1092</v>
      </c>
      <c r="F167" t="s">
        <v>41</v>
      </c>
      <c r="G167" t="s">
        <v>950</v>
      </c>
      <c r="H167" t="s">
        <v>951</v>
      </c>
      <c r="I167" t="s">
        <v>1103</v>
      </c>
      <c r="J167" t="s">
        <v>1100</v>
      </c>
      <c r="K167">
        <v>1193</v>
      </c>
      <c r="L167">
        <v>9</v>
      </c>
      <c r="M167">
        <v>32.76</v>
      </c>
      <c r="N167" t="s">
        <v>21</v>
      </c>
      <c r="O167">
        <v>0</v>
      </c>
      <c r="P167">
        <v>5</v>
      </c>
      <c r="Q167">
        <v>463</v>
      </c>
      <c r="R167">
        <v>6765</v>
      </c>
      <c r="S167">
        <v>33.404000000000003</v>
      </c>
      <c r="T167">
        <v>32.76</v>
      </c>
      <c r="U167">
        <v>28</v>
      </c>
      <c r="V167">
        <v>1169.9999999999998</v>
      </c>
      <c r="W167" t="s">
        <v>1153</v>
      </c>
      <c r="X167" t="s">
        <v>1087</v>
      </c>
      <c r="Y167">
        <v>40</v>
      </c>
      <c r="Z167">
        <v>1</v>
      </c>
      <c r="AA167">
        <v>99.416666666666671</v>
      </c>
    </row>
    <row r="168" spans="1:27" x14ac:dyDescent="0.3">
      <c r="A168" s="15">
        <v>44482.707638888889</v>
      </c>
      <c r="B168" t="s">
        <v>12</v>
      </c>
      <c r="C168" t="s">
        <v>1078</v>
      </c>
      <c r="D168" s="2">
        <v>44449</v>
      </c>
      <c r="E168" t="s">
        <v>1105</v>
      </c>
      <c r="F168" t="s">
        <v>41</v>
      </c>
      <c r="G168" t="s">
        <v>942</v>
      </c>
      <c r="H168" t="s">
        <v>48</v>
      </c>
      <c r="I168" t="s">
        <v>1140</v>
      </c>
      <c r="J168" t="s">
        <v>1138</v>
      </c>
      <c r="K168">
        <v>238</v>
      </c>
      <c r="L168">
        <v>2</v>
      </c>
      <c r="M168">
        <v>11.9</v>
      </c>
      <c r="N168" t="s">
        <v>21</v>
      </c>
      <c r="O168">
        <v>0</v>
      </c>
      <c r="P168">
        <v>2</v>
      </c>
      <c r="R168">
        <v>7021</v>
      </c>
      <c r="S168">
        <v>11.9</v>
      </c>
      <c r="T168">
        <v>11.9</v>
      </c>
      <c r="U168">
        <v>50</v>
      </c>
      <c r="V168">
        <v>238</v>
      </c>
      <c r="W168" t="s">
        <v>1153</v>
      </c>
      <c r="X168" t="s">
        <v>1087</v>
      </c>
      <c r="Y168">
        <v>37</v>
      </c>
      <c r="Z168">
        <v>1</v>
      </c>
      <c r="AA168">
        <v>19.833333333333332</v>
      </c>
    </row>
    <row r="169" spans="1:27" x14ac:dyDescent="0.3">
      <c r="A169" s="15">
        <v>44482.71020833333</v>
      </c>
      <c r="B169" t="s">
        <v>12</v>
      </c>
      <c r="C169" t="s">
        <v>1078</v>
      </c>
      <c r="D169" s="2">
        <v>44450</v>
      </c>
      <c r="E169" t="s">
        <v>1105</v>
      </c>
      <c r="F169" t="s">
        <v>41</v>
      </c>
      <c r="G169" t="s">
        <v>942</v>
      </c>
      <c r="H169" t="s">
        <v>48</v>
      </c>
      <c r="I169" t="s">
        <v>1140</v>
      </c>
      <c r="J169" t="s">
        <v>1136</v>
      </c>
      <c r="K169">
        <v>793</v>
      </c>
      <c r="L169">
        <v>7</v>
      </c>
      <c r="M169">
        <v>41.2</v>
      </c>
      <c r="N169" t="s">
        <v>21</v>
      </c>
      <c r="O169">
        <v>0</v>
      </c>
      <c r="P169">
        <v>7</v>
      </c>
      <c r="R169">
        <v>7023</v>
      </c>
      <c r="S169">
        <v>39.65</v>
      </c>
      <c r="T169">
        <v>41.2</v>
      </c>
      <c r="U169">
        <v>50</v>
      </c>
      <c r="V169">
        <v>824</v>
      </c>
      <c r="W169" t="s">
        <v>1153</v>
      </c>
      <c r="X169" t="s">
        <v>1087</v>
      </c>
      <c r="Y169">
        <v>37</v>
      </c>
      <c r="Z169">
        <v>1</v>
      </c>
      <c r="AA169">
        <v>66.083333333333329</v>
      </c>
    </row>
    <row r="170" spans="1:27" x14ac:dyDescent="0.3">
      <c r="A170" s="15">
        <v>44482.709837962961</v>
      </c>
      <c r="B170" t="s">
        <v>12</v>
      </c>
      <c r="C170" t="s">
        <v>1078</v>
      </c>
      <c r="D170" s="2">
        <v>44450</v>
      </c>
      <c r="E170" t="s">
        <v>1105</v>
      </c>
      <c r="F170" t="s">
        <v>41</v>
      </c>
      <c r="G170" t="s">
        <v>942</v>
      </c>
      <c r="H170" t="s">
        <v>48</v>
      </c>
      <c r="I170" t="s">
        <v>1140</v>
      </c>
      <c r="J170" t="s">
        <v>1137</v>
      </c>
      <c r="K170">
        <v>488</v>
      </c>
      <c r="L170">
        <v>4</v>
      </c>
      <c r="M170">
        <v>17.399999999999999</v>
      </c>
      <c r="N170" t="s">
        <v>21</v>
      </c>
      <c r="O170">
        <v>0</v>
      </c>
      <c r="P170">
        <v>4</v>
      </c>
      <c r="R170">
        <v>7023</v>
      </c>
      <c r="S170">
        <v>24.4</v>
      </c>
      <c r="T170">
        <v>17.399999999999999</v>
      </c>
      <c r="U170">
        <v>50</v>
      </c>
      <c r="V170">
        <v>348</v>
      </c>
      <c r="W170" t="s">
        <v>1153</v>
      </c>
      <c r="X170" t="s">
        <v>1087</v>
      </c>
      <c r="Y170">
        <v>37</v>
      </c>
      <c r="Z170">
        <v>1</v>
      </c>
      <c r="AA170">
        <v>40.666666666666664</v>
      </c>
    </row>
    <row r="171" spans="1:27" x14ac:dyDescent="0.3">
      <c r="A171" s="15">
        <v>44482.711597222224</v>
      </c>
      <c r="B171" t="s">
        <v>12</v>
      </c>
      <c r="C171" t="s">
        <v>1078</v>
      </c>
      <c r="D171" s="2">
        <v>44451</v>
      </c>
      <c r="E171" t="s">
        <v>1105</v>
      </c>
      <c r="F171" t="s">
        <v>41</v>
      </c>
      <c r="G171" t="s">
        <v>942</v>
      </c>
      <c r="H171" t="s">
        <v>48</v>
      </c>
      <c r="I171" t="s">
        <v>1140</v>
      </c>
      <c r="J171" t="s">
        <v>1135</v>
      </c>
      <c r="K171">
        <v>1016</v>
      </c>
      <c r="L171">
        <v>7</v>
      </c>
      <c r="M171">
        <v>50.5</v>
      </c>
      <c r="N171" t="s">
        <v>21</v>
      </c>
      <c r="O171">
        <v>0</v>
      </c>
      <c r="P171">
        <v>8</v>
      </c>
      <c r="R171">
        <v>7025</v>
      </c>
      <c r="S171">
        <v>50.8</v>
      </c>
      <c r="T171">
        <v>50.5</v>
      </c>
      <c r="U171">
        <v>50</v>
      </c>
      <c r="V171">
        <v>1010</v>
      </c>
      <c r="W171" t="s">
        <v>1153</v>
      </c>
      <c r="X171" t="s">
        <v>1087</v>
      </c>
      <c r="Y171">
        <v>37</v>
      </c>
      <c r="Z171">
        <v>1</v>
      </c>
      <c r="AA171">
        <v>84.666666666666671</v>
      </c>
    </row>
    <row r="172" spans="1:27" x14ac:dyDescent="0.3">
      <c r="A172" s="15">
        <v>44482.712164351855</v>
      </c>
      <c r="B172" t="s">
        <v>12</v>
      </c>
      <c r="C172" t="s">
        <v>1078</v>
      </c>
      <c r="D172" s="2">
        <v>44452</v>
      </c>
      <c r="E172" t="s">
        <v>1105</v>
      </c>
      <c r="F172" t="s">
        <v>41</v>
      </c>
      <c r="G172" t="s">
        <v>942</v>
      </c>
      <c r="H172" t="s">
        <v>48</v>
      </c>
      <c r="I172" t="s">
        <v>1140</v>
      </c>
      <c r="J172" t="s">
        <v>1139</v>
      </c>
      <c r="K172">
        <v>1046</v>
      </c>
      <c r="L172">
        <v>8</v>
      </c>
      <c r="M172">
        <v>52.4</v>
      </c>
      <c r="N172" t="s">
        <v>21</v>
      </c>
      <c r="O172">
        <v>0</v>
      </c>
      <c r="P172">
        <v>9</v>
      </c>
      <c r="R172">
        <v>7026</v>
      </c>
      <c r="S172">
        <v>52.3</v>
      </c>
      <c r="T172">
        <v>52.4</v>
      </c>
      <c r="U172">
        <v>50</v>
      </c>
      <c r="V172">
        <v>1048</v>
      </c>
      <c r="W172" t="s">
        <v>1153</v>
      </c>
      <c r="X172" t="s">
        <v>1087</v>
      </c>
      <c r="Y172">
        <v>38</v>
      </c>
      <c r="Z172">
        <v>1</v>
      </c>
      <c r="AA172">
        <v>87.166666666666671</v>
      </c>
    </row>
    <row r="173" spans="1:27" x14ac:dyDescent="0.3">
      <c r="A173" s="15">
        <v>44482.712916666664</v>
      </c>
      <c r="B173" t="s">
        <v>12</v>
      </c>
      <c r="C173" t="s">
        <v>1078</v>
      </c>
      <c r="D173" s="2">
        <v>44453</v>
      </c>
      <c r="E173" t="s">
        <v>1105</v>
      </c>
      <c r="F173" t="s">
        <v>41</v>
      </c>
      <c r="G173" t="s">
        <v>942</v>
      </c>
      <c r="H173" t="s">
        <v>48</v>
      </c>
      <c r="I173" t="s">
        <v>1140</v>
      </c>
      <c r="J173" t="s">
        <v>1136</v>
      </c>
      <c r="K173">
        <v>237</v>
      </c>
      <c r="L173">
        <v>3</v>
      </c>
      <c r="M173">
        <v>11.85</v>
      </c>
      <c r="N173" t="s">
        <v>21</v>
      </c>
      <c r="O173">
        <v>0</v>
      </c>
      <c r="P173">
        <v>2</v>
      </c>
      <c r="R173">
        <v>7027</v>
      </c>
      <c r="S173">
        <v>11.85</v>
      </c>
      <c r="T173">
        <v>11.85</v>
      </c>
      <c r="U173">
        <v>50</v>
      </c>
      <c r="V173">
        <v>237</v>
      </c>
      <c r="W173" t="s">
        <v>1153</v>
      </c>
      <c r="X173" t="s">
        <v>1087</v>
      </c>
      <c r="Y173">
        <v>38</v>
      </c>
      <c r="Z173">
        <v>1</v>
      </c>
      <c r="AA173">
        <v>19.75</v>
      </c>
    </row>
    <row r="174" spans="1:27" x14ac:dyDescent="0.3">
      <c r="A174" s="15">
        <v>44483.393148148149</v>
      </c>
      <c r="B174" t="s">
        <v>12</v>
      </c>
      <c r="C174" t="s">
        <v>1030</v>
      </c>
      <c r="D174" s="2">
        <v>44440</v>
      </c>
      <c r="E174" t="s">
        <v>1081</v>
      </c>
      <c r="F174" t="s">
        <v>41</v>
      </c>
      <c r="G174" t="s">
        <v>941</v>
      </c>
      <c r="H174" t="s">
        <v>48</v>
      </c>
      <c r="I174" t="s">
        <v>10</v>
      </c>
      <c r="J174" t="s">
        <v>430</v>
      </c>
      <c r="K174">
        <v>499</v>
      </c>
      <c r="L174">
        <v>9</v>
      </c>
      <c r="M174">
        <v>44.7</v>
      </c>
      <c r="N174" t="s">
        <v>21</v>
      </c>
      <c r="O174">
        <v>0</v>
      </c>
      <c r="P174">
        <v>0</v>
      </c>
      <c r="R174">
        <v>6569</v>
      </c>
      <c r="S174">
        <v>59.88</v>
      </c>
      <c r="T174">
        <v>44.7</v>
      </c>
      <c r="U174">
        <v>120</v>
      </c>
      <c r="V174">
        <v>372.5</v>
      </c>
      <c r="W174" t="s">
        <v>1153</v>
      </c>
      <c r="X174" t="s">
        <v>1087</v>
      </c>
      <c r="Y174">
        <v>36</v>
      </c>
      <c r="Z174">
        <v>1</v>
      </c>
      <c r="AA174">
        <v>41.583333333333336</v>
      </c>
    </row>
    <row r="175" spans="1:27" x14ac:dyDescent="0.3">
      <c r="A175" s="15">
        <v>44483.394108796296</v>
      </c>
      <c r="B175" t="s">
        <v>12</v>
      </c>
      <c r="C175" t="s">
        <v>1030</v>
      </c>
      <c r="D175" s="2">
        <v>44443</v>
      </c>
      <c r="E175" t="s">
        <v>1081</v>
      </c>
      <c r="F175" t="s">
        <v>41</v>
      </c>
      <c r="G175" t="s">
        <v>941</v>
      </c>
      <c r="H175" t="s">
        <v>48</v>
      </c>
      <c r="I175" t="s">
        <v>1042</v>
      </c>
      <c r="J175" t="s">
        <v>380</v>
      </c>
      <c r="K175">
        <v>208</v>
      </c>
      <c r="L175">
        <v>3</v>
      </c>
      <c r="M175">
        <v>26</v>
      </c>
      <c r="N175" t="s">
        <v>21</v>
      </c>
      <c r="O175">
        <v>0</v>
      </c>
      <c r="P175">
        <v>0</v>
      </c>
      <c r="R175">
        <v>6570</v>
      </c>
      <c r="S175">
        <v>25.792000000000002</v>
      </c>
      <c r="T175">
        <v>26</v>
      </c>
      <c r="U175">
        <v>124</v>
      </c>
      <c r="V175">
        <v>209.67741935483872</v>
      </c>
      <c r="W175" t="s">
        <v>1153</v>
      </c>
      <c r="X175" t="s">
        <v>1087</v>
      </c>
      <c r="Y175">
        <v>36</v>
      </c>
      <c r="Z175">
        <v>1</v>
      </c>
      <c r="AA175">
        <v>17.333333333333332</v>
      </c>
    </row>
    <row r="176" spans="1:27" x14ac:dyDescent="0.3">
      <c r="A176" s="15">
        <v>44483.394803240742</v>
      </c>
      <c r="B176" t="s">
        <v>12</v>
      </c>
      <c r="C176" t="s">
        <v>1030</v>
      </c>
      <c r="D176" s="2">
        <v>44445</v>
      </c>
      <c r="E176" t="s">
        <v>1081</v>
      </c>
      <c r="F176" t="s">
        <v>41</v>
      </c>
      <c r="G176" t="s">
        <v>941</v>
      </c>
      <c r="H176" t="s">
        <v>48</v>
      </c>
      <c r="I176" t="s">
        <v>1042</v>
      </c>
      <c r="J176" t="s">
        <v>381</v>
      </c>
      <c r="K176">
        <v>102</v>
      </c>
      <c r="L176">
        <v>2</v>
      </c>
      <c r="M176">
        <v>12.8</v>
      </c>
      <c r="N176" t="s">
        <v>21</v>
      </c>
      <c r="O176">
        <v>0</v>
      </c>
      <c r="P176">
        <v>1</v>
      </c>
      <c r="R176">
        <v>6570</v>
      </c>
      <c r="S176">
        <v>12.648</v>
      </c>
      <c r="T176">
        <v>12.8</v>
      </c>
      <c r="U176">
        <v>124</v>
      </c>
      <c r="V176">
        <v>103.2258064516129</v>
      </c>
      <c r="W176" t="s">
        <v>1153</v>
      </c>
      <c r="X176" t="s">
        <v>1087</v>
      </c>
      <c r="Y176">
        <v>37</v>
      </c>
      <c r="Z176">
        <v>1</v>
      </c>
      <c r="AA176">
        <v>8.5</v>
      </c>
    </row>
    <row r="177" spans="1:27" x14ac:dyDescent="0.3">
      <c r="A177" s="15">
        <v>44483.396215277775</v>
      </c>
      <c r="B177" t="s">
        <v>12</v>
      </c>
      <c r="C177" t="s">
        <v>1030</v>
      </c>
      <c r="D177" s="2">
        <v>44446</v>
      </c>
      <c r="E177" t="s">
        <v>1034</v>
      </c>
      <c r="F177" t="s">
        <v>41</v>
      </c>
      <c r="G177" t="s">
        <v>941</v>
      </c>
      <c r="H177" t="s">
        <v>48</v>
      </c>
      <c r="I177" t="s">
        <v>1042</v>
      </c>
      <c r="J177" t="s">
        <v>379</v>
      </c>
      <c r="K177">
        <v>170</v>
      </c>
      <c r="L177">
        <v>2</v>
      </c>
      <c r="M177">
        <v>20.2</v>
      </c>
      <c r="N177" t="s">
        <v>21</v>
      </c>
      <c r="O177">
        <v>0</v>
      </c>
      <c r="P177">
        <v>2</v>
      </c>
      <c r="R177">
        <v>6571</v>
      </c>
      <c r="S177">
        <v>21.08</v>
      </c>
      <c r="T177">
        <v>20.2</v>
      </c>
      <c r="U177">
        <v>124</v>
      </c>
      <c r="V177">
        <v>162.90322580645162</v>
      </c>
      <c r="W177" t="s">
        <v>1153</v>
      </c>
      <c r="X177" t="s">
        <v>1087</v>
      </c>
      <c r="Y177">
        <v>37</v>
      </c>
      <c r="Z177">
        <v>1</v>
      </c>
      <c r="AA177">
        <v>14.166666666666666</v>
      </c>
    </row>
    <row r="178" spans="1:27" x14ac:dyDescent="0.3">
      <c r="A178" s="15">
        <v>44483.395787037036</v>
      </c>
      <c r="B178" t="s">
        <v>12</v>
      </c>
      <c r="C178" t="s">
        <v>1030</v>
      </c>
      <c r="D178" s="2">
        <v>44446</v>
      </c>
      <c r="E178" t="s">
        <v>1034</v>
      </c>
      <c r="F178" t="s">
        <v>41</v>
      </c>
      <c r="G178" t="s">
        <v>941</v>
      </c>
      <c r="H178" t="s">
        <v>48</v>
      </c>
      <c r="I178" t="s">
        <v>1042</v>
      </c>
      <c r="J178" t="s">
        <v>376</v>
      </c>
      <c r="K178">
        <v>200</v>
      </c>
      <c r="L178">
        <v>2</v>
      </c>
      <c r="M178">
        <v>28.3</v>
      </c>
      <c r="N178" t="s">
        <v>21</v>
      </c>
      <c r="O178">
        <v>0</v>
      </c>
      <c r="P178">
        <v>1</v>
      </c>
      <c r="R178">
        <v>6571</v>
      </c>
      <c r="S178">
        <v>24.8</v>
      </c>
      <c r="T178">
        <v>28.3</v>
      </c>
      <c r="U178">
        <v>124</v>
      </c>
      <c r="V178">
        <v>228.2258064516129</v>
      </c>
      <c r="W178" t="s">
        <v>1153</v>
      </c>
      <c r="X178" t="s">
        <v>1087</v>
      </c>
      <c r="Y178">
        <v>37</v>
      </c>
      <c r="Z178">
        <v>1</v>
      </c>
      <c r="AA178">
        <v>16.666666666666668</v>
      </c>
    </row>
    <row r="179" spans="1:27" x14ac:dyDescent="0.3">
      <c r="A179" s="15">
        <v>44483.395243055558</v>
      </c>
      <c r="B179" t="s">
        <v>12</v>
      </c>
      <c r="C179" t="s">
        <v>1030</v>
      </c>
      <c r="D179" s="2">
        <v>44446</v>
      </c>
      <c r="E179" t="s">
        <v>1034</v>
      </c>
      <c r="F179" t="s">
        <v>41</v>
      </c>
      <c r="G179" t="s">
        <v>941</v>
      </c>
      <c r="H179" t="s">
        <v>48</v>
      </c>
      <c r="I179" t="s">
        <v>1042</v>
      </c>
      <c r="J179" t="s">
        <v>381</v>
      </c>
      <c r="K179">
        <v>100</v>
      </c>
      <c r="L179">
        <v>1</v>
      </c>
      <c r="M179">
        <v>14.9</v>
      </c>
      <c r="N179" t="s">
        <v>21</v>
      </c>
      <c r="O179">
        <v>0</v>
      </c>
      <c r="P179">
        <v>1</v>
      </c>
      <c r="R179">
        <v>6571</v>
      </c>
      <c r="S179">
        <v>12.4</v>
      </c>
      <c r="T179">
        <v>14.9</v>
      </c>
      <c r="U179">
        <v>124</v>
      </c>
      <c r="V179">
        <v>120.16129032258064</v>
      </c>
      <c r="W179" t="s">
        <v>1153</v>
      </c>
      <c r="X179" t="s">
        <v>1087</v>
      </c>
      <c r="Y179">
        <v>37</v>
      </c>
      <c r="Z179">
        <v>1</v>
      </c>
      <c r="AA179">
        <v>8.3333333333333339</v>
      </c>
    </row>
    <row r="180" spans="1:27" x14ac:dyDescent="0.3">
      <c r="A180" s="15">
        <v>44483.399247685185</v>
      </c>
      <c r="B180" t="s">
        <v>12</v>
      </c>
      <c r="C180" t="s">
        <v>1030</v>
      </c>
      <c r="D180" s="2">
        <v>44447</v>
      </c>
      <c r="E180" t="s">
        <v>1081</v>
      </c>
      <c r="F180" t="s">
        <v>41</v>
      </c>
      <c r="G180" t="s">
        <v>941</v>
      </c>
      <c r="H180" t="s">
        <v>48</v>
      </c>
      <c r="I180" t="s">
        <v>1042</v>
      </c>
      <c r="J180" t="s">
        <v>378</v>
      </c>
      <c r="K180">
        <v>250</v>
      </c>
      <c r="L180">
        <v>4</v>
      </c>
      <c r="M180">
        <v>36.700000000000003</v>
      </c>
      <c r="N180" t="s">
        <v>21</v>
      </c>
      <c r="O180">
        <v>0</v>
      </c>
      <c r="P180">
        <v>4</v>
      </c>
      <c r="R180">
        <v>6572</v>
      </c>
      <c r="S180">
        <v>31</v>
      </c>
      <c r="T180">
        <v>36.700000000000003</v>
      </c>
      <c r="U180">
        <v>124</v>
      </c>
      <c r="V180">
        <v>295.96774193548384</v>
      </c>
      <c r="W180" t="s">
        <v>1153</v>
      </c>
      <c r="X180" t="s">
        <v>1087</v>
      </c>
      <c r="Y180">
        <v>37</v>
      </c>
      <c r="Z180">
        <v>1</v>
      </c>
      <c r="AA180">
        <v>20.833333333333332</v>
      </c>
    </row>
    <row r="181" spans="1:27" x14ac:dyDescent="0.3">
      <c r="A181" s="15">
        <v>44483.397928240738</v>
      </c>
      <c r="B181" t="s">
        <v>12</v>
      </c>
      <c r="C181" t="s">
        <v>1030</v>
      </c>
      <c r="D181" s="2">
        <v>44447</v>
      </c>
      <c r="E181" t="s">
        <v>1034</v>
      </c>
      <c r="F181" t="s">
        <v>41</v>
      </c>
      <c r="G181" t="s">
        <v>941</v>
      </c>
      <c r="H181" t="s">
        <v>48</v>
      </c>
      <c r="I181" t="s">
        <v>1042</v>
      </c>
      <c r="J181" t="s">
        <v>379</v>
      </c>
      <c r="K181">
        <v>80</v>
      </c>
      <c r="L181">
        <v>1</v>
      </c>
      <c r="M181">
        <v>14.1</v>
      </c>
      <c r="N181" t="s">
        <v>21</v>
      </c>
      <c r="O181">
        <v>0</v>
      </c>
      <c r="P181">
        <v>2</v>
      </c>
      <c r="R181">
        <v>6572</v>
      </c>
      <c r="S181">
        <v>9.92</v>
      </c>
      <c r="T181">
        <v>14.1</v>
      </c>
      <c r="U181">
        <v>124</v>
      </c>
      <c r="V181">
        <v>113.70967741935483</v>
      </c>
      <c r="W181" t="s">
        <v>1153</v>
      </c>
      <c r="X181" t="s">
        <v>1087</v>
      </c>
      <c r="Y181">
        <v>37</v>
      </c>
      <c r="Z181">
        <v>1</v>
      </c>
      <c r="AA181">
        <v>6.666666666666667</v>
      </c>
    </row>
    <row r="182" spans="1:27" x14ac:dyDescent="0.3">
      <c r="A182" s="15">
        <v>44483.539537037039</v>
      </c>
      <c r="B182" t="s">
        <v>12</v>
      </c>
      <c r="C182" t="s">
        <v>1030</v>
      </c>
      <c r="D182" s="2">
        <v>44448</v>
      </c>
      <c r="E182" t="s">
        <v>1034</v>
      </c>
      <c r="F182" t="s">
        <v>40</v>
      </c>
      <c r="G182" t="s">
        <v>48</v>
      </c>
      <c r="H182" t="s">
        <v>945</v>
      </c>
      <c r="I182" t="s">
        <v>1042</v>
      </c>
      <c r="J182" t="s">
        <v>377</v>
      </c>
      <c r="K182">
        <v>250</v>
      </c>
      <c r="L182">
        <v>3</v>
      </c>
      <c r="M182">
        <v>48.9</v>
      </c>
      <c r="N182" t="s">
        <v>21</v>
      </c>
      <c r="O182">
        <v>0</v>
      </c>
      <c r="P182">
        <v>6</v>
      </c>
      <c r="R182">
        <v>6573</v>
      </c>
      <c r="S182">
        <v>31</v>
      </c>
      <c r="T182">
        <v>48.9</v>
      </c>
      <c r="U182">
        <v>124</v>
      </c>
      <c r="V182">
        <v>394.35483870967744</v>
      </c>
      <c r="W182" t="s">
        <v>1153</v>
      </c>
      <c r="X182" t="s">
        <v>1087</v>
      </c>
      <c r="Y182">
        <v>37</v>
      </c>
      <c r="Z182">
        <v>1</v>
      </c>
      <c r="AA182">
        <v>20.833333333333332</v>
      </c>
    </row>
    <row r="183" spans="1:27" x14ac:dyDescent="0.3">
      <c r="A183" s="15">
        <v>44483.400011574071</v>
      </c>
      <c r="B183" t="s">
        <v>12</v>
      </c>
      <c r="C183" t="s">
        <v>1030</v>
      </c>
      <c r="D183" s="2">
        <v>44448</v>
      </c>
      <c r="E183" t="s">
        <v>1034</v>
      </c>
      <c r="F183" t="s">
        <v>41</v>
      </c>
      <c r="G183" t="s">
        <v>941</v>
      </c>
      <c r="H183" t="s">
        <v>48</v>
      </c>
      <c r="I183" t="s">
        <v>1042</v>
      </c>
      <c r="J183" t="s">
        <v>376</v>
      </c>
      <c r="K183">
        <v>50</v>
      </c>
      <c r="L183">
        <v>1</v>
      </c>
      <c r="M183">
        <v>6.8</v>
      </c>
      <c r="N183" t="s">
        <v>21</v>
      </c>
      <c r="O183">
        <v>0</v>
      </c>
      <c r="P183">
        <v>1</v>
      </c>
      <c r="R183">
        <v>6573</v>
      </c>
      <c r="S183">
        <v>6.2</v>
      </c>
      <c r="T183">
        <v>6.8</v>
      </c>
      <c r="U183">
        <v>124</v>
      </c>
      <c r="V183">
        <v>54.838709677419352</v>
      </c>
      <c r="W183" t="s">
        <v>1153</v>
      </c>
      <c r="X183" t="s">
        <v>1087</v>
      </c>
      <c r="Y183">
        <v>37</v>
      </c>
      <c r="Z183">
        <v>1</v>
      </c>
      <c r="AA183">
        <v>4.166666666666667</v>
      </c>
    </row>
    <row r="184" spans="1:27" x14ac:dyDescent="0.3">
      <c r="A184" s="15">
        <v>44483.593668981484</v>
      </c>
      <c r="B184" t="s">
        <v>12</v>
      </c>
      <c r="C184" t="s">
        <v>1030</v>
      </c>
      <c r="D184" s="2">
        <v>44450</v>
      </c>
      <c r="E184" t="s">
        <v>1032</v>
      </c>
      <c r="F184" t="s">
        <v>41</v>
      </c>
      <c r="G184" t="s">
        <v>941</v>
      </c>
      <c r="H184" t="s">
        <v>48</v>
      </c>
      <c r="I184" t="s">
        <v>11</v>
      </c>
      <c r="J184" t="s">
        <v>130</v>
      </c>
      <c r="K184">
        <v>658</v>
      </c>
      <c r="L184">
        <v>10</v>
      </c>
      <c r="M184">
        <v>51.2</v>
      </c>
      <c r="N184" t="s">
        <v>21</v>
      </c>
      <c r="O184">
        <v>0</v>
      </c>
      <c r="P184">
        <v>4</v>
      </c>
      <c r="Q184">
        <v>470</v>
      </c>
      <c r="R184">
        <v>6574</v>
      </c>
      <c r="S184">
        <v>48.692</v>
      </c>
      <c r="T184">
        <v>51.2</v>
      </c>
      <c r="U184">
        <v>74</v>
      </c>
      <c r="V184">
        <v>691.89189189189187</v>
      </c>
      <c r="W184" t="s">
        <v>1153</v>
      </c>
      <c r="X184" t="s">
        <v>1087</v>
      </c>
      <c r="Y184">
        <v>37</v>
      </c>
      <c r="Z184">
        <v>1</v>
      </c>
      <c r="AA184">
        <v>54.833333333333336</v>
      </c>
    </row>
    <row r="185" spans="1:27" x14ac:dyDescent="0.3">
      <c r="A185" s="15">
        <v>44483.594259259262</v>
      </c>
      <c r="B185" t="s">
        <v>12</v>
      </c>
      <c r="C185" t="s">
        <v>1030</v>
      </c>
      <c r="D185" s="2">
        <v>44452</v>
      </c>
      <c r="E185" t="s">
        <v>1027</v>
      </c>
      <c r="F185" t="s">
        <v>41</v>
      </c>
      <c r="G185" t="s">
        <v>941</v>
      </c>
      <c r="H185" t="s">
        <v>48</v>
      </c>
      <c r="I185" t="s">
        <v>11</v>
      </c>
      <c r="J185" t="s">
        <v>130</v>
      </c>
      <c r="K185">
        <v>1304</v>
      </c>
      <c r="L185">
        <v>10</v>
      </c>
      <c r="M185">
        <v>95.8</v>
      </c>
      <c r="N185" t="s">
        <v>21</v>
      </c>
      <c r="O185">
        <v>0</v>
      </c>
      <c r="P185">
        <v>4</v>
      </c>
      <c r="Q185">
        <v>460</v>
      </c>
      <c r="R185">
        <v>6575</v>
      </c>
      <c r="S185">
        <v>96.495999999999995</v>
      </c>
      <c r="T185">
        <v>95.8</v>
      </c>
      <c r="U185">
        <v>74</v>
      </c>
      <c r="V185">
        <v>1294.5945945945946</v>
      </c>
      <c r="W185" t="s">
        <v>1153</v>
      </c>
      <c r="X185" t="s">
        <v>1087</v>
      </c>
      <c r="Y185">
        <v>38</v>
      </c>
      <c r="Z185">
        <v>1</v>
      </c>
      <c r="AA185">
        <v>108.66666666666667</v>
      </c>
    </row>
    <row r="186" spans="1:27" x14ac:dyDescent="0.3">
      <c r="A186" s="15">
        <v>44483.596886574072</v>
      </c>
      <c r="B186" t="s">
        <v>12</v>
      </c>
      <c r="C186" t="s">
        <v>1030</v>
      </c>
      <c r="D186" s="2">
        <v>44455</v>
      </c>
      <c r="E186" t="s">
        <v>1032</v>
      </c>
      <c r="F186" t="s">
        <v>41</v>
      </c>
      <c r="G186" t="s">
        <v>941</v>
      </c>
      <c r="H186" t="s">
        <v>48</v>
      </c>
      <c r="I186" t="s">
        <v>957</v>
      </c>
      <c r="J186" t="s">
        <v>131</v>
      </c>
      <c r="K186">
        <v>500</v>
      </c>
      <c r="L186">
        <v>5</v>
      </c>
      <c r="M186">
        <v>32.5</v>
      </c>
      <c r="N186" t="s">
        <v>21</v>
      </c>
      <c r="O186">
        <v>0</v>
      </c>
      <c r="P186">
        <v>3</v>
      </c>
      <c r="R186">
        <v>6579</v>
      </c>
      <c r="S186">
        <v>30</v>
      </c>
      <c r="T186">
        <v>32.5</v>
      </c>
      <c r="U186">
        <v>60</v>
      </c>
      <c r="V186">
        <v>541.66666666666663</v>
      </c>
      <c r="W186" t="s">
        <v>1153</v>
      </c>
      <c r="X186" t="s">
        <v>1087</v>
      </c>
      <c r="Y186">
        <v>38</v>
      </c>
      <c r="Z186">
        <v>1</v>
      </c>
      <c r="AA186">
        <v>41.666666666666664</v>
      </c>
    </row>
    <row r="187" spans="1:27" x14ac:dyDescent="0.3">
      <c r="A187" s="15">
        <v>44483.601215277777</v>
      </c>
      <c r="B187" t="s">
        <v>12</v>
      </c>
      <c r="C187" t="s">
        <v>1030</v>
      </c>
      <c r="D187" s="2">
        <v>44456</v>
      </c>
      <c r="E187" t="s">
        <v>1032</v>
      </c>
      <c r="F187" t="s">
        <v>41</v>
      </c>
      <c r="G187" t="s">
        <v>941</v>
      </c>
      <c r="H187" t="s">
        <v>48</v>
      </c>
      <c r="I187" t="s">
        <v>1152</v>
      </c>
      <c r="J187" t="s">
        <v>133</v>
      </c>
      <c r="K187">
        <v>850</v>
      </c>
      <c r="L187">
        <v>8</v>
      </c>
      <c r="M187">
        <v>77.5</v>
      </c>
      <c r="N187" t="s">
        <v>21</v>
      </c>
      <c r="O187">
        <v>0</v>
      </c>
      <c r="P187">
        <v>0</v>
      </c>
      <c r="R187">
        <v>6581</v>
      </c>
      <c r="S187">
        <v>74.8</v>
      </c>
      <c r="T187">
        <v>77.5</v>
      </c>
      <c r="U187">
        <v>88</v>
      </c>
      <c r="V187">
        <v>880.68181818181813</v>
      </c>
      <c r="W187" t="s">
        <v>1153</v>
      </c>
      <c r="X187" t="s">
        <v>1087</v>
      </c>
      <c r="Y187">
        <v>38</v>
      </c>
      <c r="Z187">
        <v>1</v>
      </c>
      <c r="AA187">
        <v>70.833333333333329</v>
      </c>
    </row>
    <row r="188" spans="1:27" x14ac:dyDescent="0.3">
      <c r="A188" s="15">
        <v>44483.600787037038</v>
      </c>
      <c r="B188" t="s">
        <v>12</v>
      </c>
      <c r="C188" t="s">
        <v>1030</v>
      </c>
      <c r="D188" s="2">
        <v>44456</v>
      </c>
      <c r="E188" t="s">
        <v>1027</v>
      </c>
      <c r="F188" t="s">
        <v>41</v>
      </c>
      <c r="G188" t="s">
        <v>941</v>
      </c>
      <c r="H188" t="s">
        <v>48</v>
      </c>
      <c r="I188" t="s">
        <v>1152</v>
      </c>
      <c r="J188" t="s">
        <v>133</v>
      </c>
      <c r="K188">
        <v>1302</v>
      </c>
      <c r="L188">
        <v>9</v>
      </c>
      <c r="M188">
        <v>125.9</v>
      </c>
      <c r="N188" t="s">
        <v>21</v>
      </c>
      <c r="O188">
        <v>0</v>
      </c>
      <c r="P188">
        <v>0</v>
      </c>
      <c r="R188">
        <v>6589</v>
      </c>
      <c r="S188">
        <v>114.57599999999999</v>
      </c>
      <c r="T188">
        <v>125.9</v>
      </c>
      <c r="U188">
        <v>88</v>
      </c>
      <c r="V188">
        <v>1430.6818181818182</v>
      </c>
      <c r="W188" t="s">
        <v>1153</v>
      </c>
      <c r="X188" t="s">
        <v>1087</v>
      </c>
      <c r="Y188">
        <v>38</v>
      </c>
      <c r="Z188">
        <v>1</v>
      </c>
      <c r="AA188">
        <v>108.5</v>
      </c>
    </row>
    <row r="189" spans="1:27" x14ac:dyDescent="0.3">
      <c r="A189" s="15">
        <v>44483.602060185185</v>
      </c>
      <c r="B189" t="s">
        <v>12</v>
      </c>
      <c r="C189" t="s">
        <v>1030</v>
      </c>
      <c r="D189" s="2">
        <v>44459</v>
      </c>
      <c r="E189" t="s">
        <v>1027</v>
      </c>
      <c r="F189" t="s">
        <v>41</v>
      </c>
      <c r="G189" t="s">
        <v>941</v>
      </c>
      <c r="H189" t="s">
        <v>48</v>
      </c>
      <c r="I189" t="s">
        <v>956</v>
      </c>
      <c r="J189" t="s">
        <v>132</v>
      </c>
      <c r="K189">
        <v>573</v>
      </c>
      <c r="L189">
        <v>6</v>
      </c>
      <c r="M189">
        <v>40.6</v>
      </c>
      <c r="N189" t="s">
        <v>21</v>
      </c>
      <c r="O189">
        <v>0</v>
      </c>
      <c r="P189">
        <v>5</v>
      </c>
      <c r="R189">
        <v>6582</v>
      </c>
      <c r="S189">
        <v>34.953000000000003</v>
      </c>
      <c r="T189">
        <v>40.6</v>
      </c>
      <c r="U189">
        <v>61</v>
      </c>
      <c r="V189">
        <v>665.57377049180332</v>
      </c>
      <c r="W189" t="s">
        <v>1153</v>
      </c>
      <c r="X189" t="s">
        <v>1087</v>
      </c>
      <c r="Y189">
        <v>39</v>
      </c>
      <c r="Z189">
        <v>1</v>
      </c>
      <c r="AA189">
        <v>47.75</v>
      </c>
    </row>
    <row r="190" spans="1:27" x14ac:dyDescent="0.3">
      <c r="A190" s="15">
        <v>44483.603171296294</v>
      </c>
      <c r="B190" t="s">
        <v>12</v>
      </c>
      <c r="C190" t="s">
        <v>1030</v>
      </c>
      <c r="D190" s="2">
        <v>44460</v>
      </c>
      <c r="E190" t="s">
        <v>1027</v>
      </c>
      <c r="F190" t="s">
        <v>41</v>
      </c>
      <c r="G190" t="s">
        <v>941</v>
      </c>
      <c r="H190" t="s">
        <v>48</v>
      </c>
      <c r="I190" t="s">
        <v>956</v>
      </c>
      <c r="J190" t="s">
        <v>132</v>
      </c>
      <c r="K190">
        <v>645</v>
      </c>
      <c r="L190">
        <v>8</v>
      </c>
      <c r="M190">
        <v>37.200000000000003</v>
      </c>
      <c r="N190" t="s">
        <v>21</v>
      </c>
      <c r="O190">
        <v>0</v>
      </c>
      <c r="P190">
        <v>5</v>
      </c>
      <c r="R190">
        <v>6583</v>
      </c>
      <c r="S190">
        <v>39.344999999999999</v>
      </c>
      <c r="T190">
        <v>37.200000000000003</v>
      </c>
      <c r="U190">
        <v>61</v>
      </c>
      <c r="V190">
        <v>609.8360655737705</v>
      </c>
      <c r="W190" t="s">
        <v>1153</v>
      </c>
      <c r="X190" t="s">
        <v>1087</v>
      </c>
      <c r="Y190">
        <v>39</v>
      </c>
      <c r="Z190">
        <v>1</v>
      </c>
      <c r="AA190">
        <v>53.75</v>
      </c>
    </row>
    <row r="191" spans="1:27" x14ac:dyDescent="0.3">
      <c r="A191" s="15">
        <v>44483.611307870371</v>
      </c>
      <c r="B191" t="s">
        <v>12</v>
      </c>
      <c r="C191" t="s">
        <v>1030</v>
      </c>
      <c r="D191" s="2">
        <v>44461</v>
      </c>
      <c r="E191" t="s">
        <v>1027</v>
      </c>
      <c r="F191" t="s">
        <v>41</v>
      </c>
      <c r="G191" t="s">
        <v>941</v>
      </c>
      <c r="H191" t="s">
        <v>48</v>
      </c>
      <c r="I191" t="s">
        <v>958</v>
      </c>
      <c r="J191" t="s">
        <v>134</v>
      </c>
      <c r="K191">
        <v>885</v>
      </c>
      <c r="L191">
        <v>8</v>
      </c>
      <c r="M191">
        <v>52.4</v>
      </c>
      <c r="N191" t="s">
        <v>21</v>
      </c>
      <c r="O191">
        <v>0</v>
      </c>
      <c r="P191">
        <v>5</v>
      </c>
      <c r="R191">
        <v>6584</v>
      </c>
      <c r="S191">
        <v>62.835000000000001</v>
      </c>
      <c r="T191">
        <v>52.4</v>
      </c>
      <c r="U191">
        <v>71</v>
      </c>
      <c r="V191">
        <v>738.02816901408448</v>
      </c>
      <c r="W191" t="s">
        <v>1153</v>
      </c>
      <c r="X191" t="s">
        <v>1087</v>
      </c>
      <c r="Y191">
        <v>39</v>
      </c>
      <c r="Z191">
        <v>1</v>
      </c>
      <c r="AA191">
        <v>73.75</v>
      </c>
    </row>
    <row r="192" spans="1:27" x14ac:dyDescent="0.3">
      <c r="A192" s="15">
        <v>44483.635694444441</v>
      </c>
      <c r="B192" t="s">
        <v>12</v>
      </c>
      <c r="C192" t="s">
        <v>1030</v>
      </c>
      <c r="D192" s="2">
        <v>44462</v>
      </c>
      <c r="E192" t="s">
        <v>1034</v>
      </c>
      <c r="F192" t="s">
        <v>41</v>
      </c>
      <c r="G192" t="s">
        <v>941</v>
      </c>
      <c r="H192" t="s">
        <v>48</v>
      </c>
      <c r="I192" t="s">
        <v>959</v>
      </c>
      <c r="J192" t="s">
        <v>135</v>
      </c>
      <c r="K192">
        <v>776</v>
      </c>
      <c r="L192">
        <v>7</v>
      </c>
      <c r="M192">
        <v>47.5</v>
      </c>
      <c r="N192" t="s">
        <v>21</v>
      </c>
      <c r="O192">
        <v>0</v>
      </c>
      <c r="P192">
        <v>4</v>
      </c>
      <c r="R192">
        <v>6585</v>
      </c>
      <c r="S192">
        <v>46.56</v>
      </c>
      <c r="T192">
        <v>47.5</v>
      </c>
      <c r="U192">
        <v>60</v>
      </c>
      <c r="V192">
        <v>791.66666666666663</v>
      </c>
      <c r="W192" t="s">
        <v>1153</v>
      </c>
      <c r="X192" t="s">
        <v>1087</v>
      </c>
      <c r="Y192">
        <v>39</v>
      </c>
      <c r="Z192">
        <v>1</v>
      </c>
      <c r="AA192">
        <v>64.666666666666671</v>
      </c>
    </row>
    <row r="193" spans="1:27" x14ac:dyDescent="0.3">
      <c r="A193" s="15">
        <v>44483.635185185187</v>
      </c>
      <c r="B193" t="s">
        <v>12</v>
      </c>
      <c r="C193" t="s">
        <v>1030</v>
      </c>
      <c r="D193" s="2">
        <v>44462</v>
      </c>
      <c r="E193" t="s">
        <v>1034</v>
      </c>
      <c r="F193" t="s">
        <v>41</v>
      </c>
      <c r="G193" t="s">
        <v>941</v>
      </c>
      <c r="H193" t="s">
        <v>48</v>
      </c>
      <c r="I193" t="s">
        <v>958</v>
      </c>
      <c r="J193" t="s">
        <v>134</v>
      </c>
      <c r="K193">
        <v>150</v>
      </c>
      <c r="L193">
        <v>2</v>
      </c>
      <c r="M193">
        <v>11.8</v>
      </c>
      <c r="N193" t="s">
        <v>21</v>
      </c>
      <c r="O193">
        <v>0</v>
      </c>
      <c r="P193">
        <v>5</v>
      </c>
      <c r="R193">
        <v>6585</v>
      </c>
      <c r="S193">
        <v>10.65</v>
      </c>
      <c r="T193">
        <v>11.8</v>
      </c>
      <c r="U193">
        <v>71</v>
      </c>
      <c r="V193">
        <v>166.19718309859155</v>
      </c>
      <c r="W193" t="s">
        <v>1153</v>
      </c>
      <c r="X193" t="s">
        <v>1087</v>
      </c>
      <c r="Y193">
        <v>39</v>
      </c>
      <c r="Z193">
        <v>1</v>
      </c>
      <c r="AA193">
        <v>12.5</v>
      </c>
    </row>
    <row r="194" spans="1:27" x14ac:dyDescent="0.3">
      <c r="A194" s="15">
        <v>44483.636805555558</v>
      </c>
      <c r="B194" t="s">
        <v>12</v>
      </c>
      <c r="C194" t="s">
        <v>1030</v>
      </c>
      <c r="D194" s="2">
        <v>44463</v>
      </c>
      <c r="E194" t="s">
        <v>1027</v>
      </c>
      <c r="F194" t="s">
        <v>41</v>
      </c>
      <c r="G194" t="s">
        <v>941</v>
      </c>
      <c r="H194" t="s">
        <v>48</v>
      </c>
      <c r="I194" t="s">
        <v>956</v>
      </c>
      <c r="J194" t="s">
        <v>132</v>
      </c>
      <c r="K194">
        <v>882</v>
      </c>
      <c r="L194">
        <v>7</v>
      </c>
      <c r="M194">
        <v>63.1</v>
      </c>
      <c r="N194" t="s">
        <v>21</v>
      </c>
      <c r="O194">
        <v>0</v>
      </c>
      <c r="P194">
        <v>5</v>
      </c>
      <c r="R194">
        <v>6587</v>
      </c>
      <c r="S194">
        <v>53.802</v>
      </c>
      <c r="T194">
        <v>63.1</v>
      </c>
      <c r="U194">
        <v>61</v>
      </c>
      <c r="V194">
        <v>1034.4262295081967</v>
      </c>
      <c r="W194" t="s">
        <v>1153</v>
      </c>
      <c r="X194" t="s">
        <v>1087</v>
      </c>
      <c r="Y194">
        <v>39</v>
      </c>
      <c r="Z194">
        <v>1</v>
      </c>
      <c r="AA194">
        <v>73.5</v>
      </c>
    </row>
    <row r="195" spans="1:27" x14ac:dyDescent="0.3">
      <c r="A195" s="15">
        <v>44483.636134259257</v>
      </c>
      <c r="B195" t="s">
        <v>12</v>
      </c>
      <c r="C195" t="s">
        <v>1030</v>
      </c>
      <c r="D195" s="2">
        <v>44463</v>
      </c>
      <c r="E195" t="s">
        <v>1034</v>
      </c>
      <c r="F195" t="s">
        <v>41</v>
      </c>
      <c r="G195" t="s">
        <v>941</v>
      </c>
      <c r="H195" t="s">
        <v>48</v>
      </c>
      <c r="I195" t="s">
        <v>959</v>
      </c>
      <c r="J195" t="s">
        <v>135</v>
      </c>
      <c r="K195">
        <v>1040</v>
      </c>
      <c r="L195">
        <v>10</v>
      </c>
      <c r="M195">
        <v>63</v>
      </c>
      <c r="N195" t="s">
        <v>21</v>
      </c>
      <c r="O195">
        <v>0</v>
      </c>
      <c r="P195">
        <v>5</v>
      </c>
      <c r="R195">
        <v>6586</v>
      </c>
      <c r="S195">
        <v>62.4</v>
      </c>
      <c r="T195">
        <v>63</v>
      </c>
      <c r="U195">
        <v>60</v>
      </c>
      <c r="V195">
        <v>1050</v>
      </c>
      <c r="W195" t="s">
        <v>1153</v>
      </c>
      <c r="X195" t="s">
        <v>1087</v>
      </c>
      <c r="Y195">
        <v>39</v>
      </c>
      <c r="Z195">
        <v>1</v>
      </c>
      <c r="AA195">
        <v>86.666666666666671</v>
      </c>
    </row>
    <row r="196" spans="1:27" x14ac:dyDescent="0.3">
      <c r="A196" s="15">
        <v>44483.637418981481</v>
      </c>
      <c r="B196" t="s">
        <v>12</v>
      </c>
      <c r="C196" t="s">
        <v>1030</v>
      </c>
      <c r="D196" s="2">
        <v>44464</v>
      </c>
      <c r="E196" t="s">
        <v>1034</v>
      </c>
      <c r="F196" t="s">
        <v>41</v>
      </c>
      <c r="G196" t="s">
        <v>941</v>
      </c>
      <c r="H196" t="s">
        <v>48</v>
      </c>
      <c r="I196" t="s">
        <v>956</v>
      </c>
      <c r="J196" t="s">
        <v>132</v>
      </c>
      <c r="K196">
        <v>1154</v>
      </c>
      <c r="L196">
        <v>8</v>
      </c>
      <c r="M196">
        <v>76</v>
      </c>
      <c r="N196" t="s">
        <v>21</v>
      </c>
      <c r="O196">
        <v>0</v>
      </c>
      <c r="P196">
        <v>9</v>
      </c>
      <c r="R196">
        <v>6588</v>
      </c>
      <c r="S196">
        <v>70.394000000000005</v>
      </c>
      <c r="T196">
        <v>76</v>
      </c>
      <c r="U196">
        <v>61</v>
      </c>
      <c r="V196">
        <v>1245.9016393442623</v>
      </c>
      <c r="W196" t="s">
        <v>1153</v>
      </c>
      <c r="X196" t="s">
        <v>1087</v>
      </c>
      <c r="Y196">
        <v>39</v>
      </c>
      <c r="Z196">
        <v>1</v>
      </c>
      <c r="AA196">
        <v>96.166666666666671</v>
      </c>
    </row>
    <row r="197" spans="1:27" x14ac:dyDescent="0.3">
      <c r="A197" s="15">
        <v>44483.637592592589</v>
      </c>
      <c r="B197" t="s">
        <v>12</v>
      </c>
      <c r="C197" t="s">
        <v>1030</v>
      </c>
      <c r="D197" s="2">
        <v>44465</v>
      </c>
      <c r="E197" t="s">
        <v>1034</v>
      </c>
      <c r="F197" t="s">
        <v>41</v>
      </c>
      <c r="G197" t="s">
        <v>941</v>
      </c>
      <c r="H197" t="s">
        <v>48</v>
      </c>
      <c r="I197" t="s">
        <v>1152</v>
      </c>
      <c r="J197" t="s">
        <v>133</v>
      </c>
      <c r="K197">
        <v>100</v>
      </c>
      <c r="L197">
        <v>8</v>
      </c>
      <c r="M197">
        <v>9.9</v>
      </c>
      <c r="N197" t="s">
        <v>21</v>
      </c>
      <c r="O197">
        <v>0</v>
      </c>
      <c r="P197">
        <v>1</v>
      </c>
      <c r="R197">
        <v>6588</v>
      </c>
      <c r="S197">
        <v>8.8000000000000007</v>
      </c>
      <c r="T197">
        <v>9.9</v>
      </c>
      <c r="U197">
        <v>88</v>
      </c>
      <c r="V197">
        <v>112.5</v>
      </c>
      <c r="W197" t="s">
        <v>1153</v>
      </c>
      <c r="X197" t="s">
        <v>1087</v>
      </c>
      <c r="Y197">
        <v>39</v>
      </c>
      <c r="Z197">
        <v>1</v>
      </c>
      <c r="AA197">
        <v>8.3333333333333339</v>
      </c>
    </row>
    <row r="198" spans="1:27" x14ac:dyDescent="0.3">
      <c r="A198" s="15">
        <v>44483.638958333337</v>
      </c>
      <c r="B198" t="s">
        <v>12</v>
      </c>
      <c r="C198" t="s">
        <v>1030</v>
      </c>
      <c r="D198" s="2">
        <v>44466</v>
      </c>
      <c r="E198" t="s">
        <v>1034</v>
      </c>
      <c r="F198" t="s">
        <v>41</v>
      </c>
      <c r="G198" t="s">
        <v>941</v>
      </c>
      <c r="H198" t="s">
        <v>48</v>
      </c>
      <c r="I198" t="s">
        <v>1152</v>
      </c>
      <c r="J198" t="s">
        <v>133</v>
      </c>
      <c r="K198">
        <v>1135</v>
      </c>
      <c r="L198">
        <v>8</v>
      </c>
      <c r="M198">
        <v>87.2</v>
      </c>
      <c r="N198" t="s">
        <v>21</v>
      </c>
      <c r="O198">
        <v>0</v>
      </c>
      <c r="P198">
        <v>11</v>
      </c>
      <c r="R198">
        <v>6589</v>
      </c>
      <c r="S198">
        <v>99.88</v>
      </c>
      <c r="T198">
        <v>87.2</v>
      </c>
      <c r="U198">
        <v>88</v>
      </c>
      <c r="V198">
        <v>990.90909090909088</v>
      </c>
      <c r="W198" t="s">
        <v>1153</v>
      </c>
      <c r="X198" t="s">
        <v>1087</v>
      </c>
      <c r="Y198">
        <v>40</v>
      </c>
      <c r="Z198">
        <v>1</v>
      </c>
      <c r="AA198">
        <v>94.583333333333329</v>
      </c>
    </row>
    <row r="199" spans="1:27" x14ac:dyDescent="0.3">
      <c r="A199" s="15">
        <v>44483.63962962963</v>
      </c>
      <c r="B199" t="s">
        <v>12</v>
      </c>
      <c r="C199" t="s">
        <v>1030</v>
      </c>
      <c r="D199" s="2">
        <v>44468</v>
      </c>
      <c r="E199" t="s">
        <v>1032</v>
      </c>
      <c r="F199" t="s">
        <v>41</v>
      </c>
      <c r="G199" t="s">
        <v>941</v>
      </c>
      <c r="H199" t="s">
        <v>48</v>
      </c>
      <c r="I199" t="s">
        <v>1152</v>
      </c>
      <c r="J199" t="s">
        <v>133</v>
      </c>
      <c r="K199">
        <v>1280</v>
      </c>
      <c r="L199">
        <v>10</v>
      </c>
      <c r="M199">
        <v>97.9</v>
      </c>
      <c r="N199" t="s">
        <v>21</v>
      </c>
      <c r="O199">
        <v>0</v>
      </c>
      <c r="P199">
        <v>13</v>
      </c>
      <c r="R199">
        <v>6590</v>
      </c>
      <c r="S199">
        <v>112.64</v>
      </c>
      <c r="T199">
        <v>97.9</v>
      </c>
      <c r="U199">
        <v>88</v>
      </c>
      <c r="V199">
        <v>1112.5</v>
      </c>
      <c r="W199" t="s">
        <v>1153</v>
      </c>
      <c r="X199" t="s">
        <v>1087</v>
      </c>
      <c r="Y199">
        <v>40</v>
      </c>
      <c r="Z199">
        <v>1</v>
      </c>
      <c r="AA199">
        <v>106.66666666666667</v>
      </c>
    </row>
    <row r="200" spans="1:27" x14ac:dyDescent="0.3">
      <c r="A200" s="15">
        <v>44483.640717592592</v>
      </c>
      <c r="B200" t="s">
        <v>12</v>
      </c>
      <c r="C200" t="s">
        <v>1030</v>
      </c>
      <c r="D200" s="2">
        <v>44469</v>
      </c>
      <c r="E200" t="s">
        <v>1034</v>
      </c>
      <c r="F200" t="s">
        <v>41</v>
      </c>
      <c r="G200" t="s">
        <v>941</v>
      </c>
      <c r="H200" t="s">
        <v>48</v>
      </c>
      <c r="I200" t="s">
        <v>11</v>
      </c>
      <c r="J200" t="s">
        <v>130</v>
      </c>
      <c r="K200">
        <v>635</v>
      </c>
      <c r="L200">
        <v>6</v>
      </c>
      <c r="M200">
        <v>50.8</v>
      </c>
      <c r="N200" t="s">
        <v>21</v>
      </c>
      <c r="O200">
        <v>0</v>
      </c>
      <c r="P200">
        <v>15</v>
      </c>
      <c r="Q200">
        <v>470</v>
      </c>
      <c r="R200">
        <v>6592</v>
      </c>
      <c r="S200">
        <v>46.99</v>
      </c>
      <c r="T200">
        <v>50.8</v>
      </c>
      <c r="U200">
        <v>74</v>
      </c>
      <c r="V200">
        <v>686.48648648648646</v>
      </c>
      <c r="W200" t="s">
        <v>1153</v>
      </c>
      <c r="X200" t="s">
        <v>1087</v>
      </c>
      <c r="Y200">
        <v>40</v>
      </c>
      <c r="Z200">
        <v>1</v>
      </c>
      <c r="AA200">
        <v>52.916666666666664</v>
      </c>
    </row>
    <row r="201" spans="1:27" x14ac:dyDescent="0.3">
      <c r="A201" s="15">
        <v>44483.729907407411</v>
      </c>
      <c r="B201" t="s">
        <v>13</v>
      </c>
      <c r="C201" t="s">
        <v>1060</v>
      </c>
      <c r="D201" s="2">
        <v>44452</v>
      </c>
      <c r="E201" t="s">
        <v>953</v>
      </c>
      <c r="F201" t="s">
        <v>41</v>
      </c>
      <c r="G201" t="s">
        <v>940</v>
      </c>
      <c r="H201" t="s">
        <v>48</v>
      </c>
      <c r="I201" t="s">
        <v>1023</v>
      </c>
      <c r="J201" t="s">
        <v>149</v>
      </c>
      <c r="K201">
        <v>178</v>
      </c>
      <c r="L201">
        <v>3</v>
      </c>
      <c r="M201">
        <v>30.62</v>
      </c>
      <c r="N201" t="s">
        <v>23</v>
      </c>
      <c r="O201">
        <v>0</v>
      </c>
      <c r="P201">
        <v>6</v>
      </c>
      <c r="Q201">
        <v>443</v>
      </c>
      <c r="R201">
        <v>6642</v>
      </c>
      <c r="S201">
        <v>15.308</v>
      </c>
      <c r="T201">
        <v>30.62</v>
      </c>
      <c r="U201">
        <v>86</v>
      </c>
      <c r="V201">
        <v>356.04651162790697</v>
      </c>
      <c r="W201" t="s">
        <v>1153</v>
      </c>
      <c r="X201" t="s">
        <v>1087</v>
      </c>
      <c r="Y201">
        <v>38</v>
      </c>
      <c r="Z201">
        <v>2</v>
      </c>
      <c r="AA201">
        <v>29.666666666666668</v>
      </c>
    </row>
    <row r="202" spans="1:27" x14ac:dyDescent="0.3">
      <c r="A202" s="15">
        <v>44483.729432870372</v>
      </c>
      <c r="B202" t="s">
        <v>13</v>
      </c>
      <c r="C202" t="s">
        <v>1060</v>
      </c>
      <c r="D202" s="2">
        <v>44452</v>
      </c>
      <c r="E202" t="s">
        <v>953</v>
      </c>
      <c r="F202" t="s">
        <v>41</v>
      </c>
      <c r="G202" t="s">
        <v>940</v>
      </c>
      <c r="H202" t="s">
        <v>48</v>
      </c>
      <c r="I202" t="s">
        <v>1023</v>
      </c>
      <c r="J202" t="s">
        <v>151</v>
      </c>
      <c r="K202">
        <v>900</v>
      </c>
      <c r="L202">
        <v>9</v>
      </c>
      <c r="M202">
        <v>154.80000000000001</v>
      </c>
      <c r="N202" t="s">
        <v>23</v>
      </c>
      <c r="O202">
        <v>0</v>
      </c>
      <c r="P202">
        <v>21</v>
      </c>
      <c r="Q202">
        <v>443</v>
      </c>
      <c r="R202">
        <v>6642</v>
      </c>
      <c r="S202">
        <v>77.400000000000006</v>
      </c>
      <c r="T202">
        <v>154.80000000000001</v>
      </c>
      <c r="U202">
        <v>86</v>
      </c>
      <c r="V202">
        <v>1800</v>
      </c>
      <c r="W202" t="s">
        <v>1153</v>
      </c>
      <c r="X202" t="s">
        <v>1087</v>
      </c>
      <c r="Y202">
        <v>38</v>
      </c>
      <c r="Z202">
        <v>2</v>
      </c>
      <c r="AA202">
        <v>150</v>
      </c>
    </row>
    <row r="203" spans="1:27" x14ac:dyDescent="0.3">
      <c r="A203" s="15">
        <v>44484.77548611111</v>
      </c>
      <c r="B203" t="s">
        <v>13</v>
      </c>
      <c r="C203" t="s">
        <v>952</v>
      </c>
      <c r="D203" s="2">
        <v>44445</v>
      </c>
      <c r="E203" t="s">
        <v>1027</v>
      </c>
      <c r="F203" t="s">
        <v>41</v>
      </c>
      <c r="G203" t="s">
        <v>943</v>
      </c>
      <c r="H203" t="s">
        <v>48</v>
      </c>
      <c r="I203" t="s">
        <v>960</v>
      </c>
      <c r="J203" t="s">
        <v>433</v>
      </c>
      <c r="K203">
        <v>92</v>
      </c>
      <c r="L203">
        <v>2</v>
      </c>
      <c r="M203">
        <v>11.4</v>
      </c>
      <c r="N203" t="s">
        <v>23</v>
      </c>
      <c r="O203">
        <v>0</v>
      </c>
      <c r="P203">
        <v>0</v>
      </c>
      <c r="Q203">
        <v>456</v>
      </c>
      <c r="R203">
        <v>6847</v>
      </c>
      <c r="S203">
        <v>1.38</v>
      </c>
      <c r="T203">
        <v>11.4</v>
      </c>
      <c r="U203">
        <v>15</v>
      </c>
      <c r="V203">
        <v>760</v>
      </c>
      <c r="W203" t="s">
        <v>1153</v>
      </c>
      <c r="X203" t="s">
        <v>1087</v>
      </c>
      <c r="Y203">
        <v>37</v>
      </c>
      <c r="Z203">
        <v>8</v>
      </c>
      <c r="AA203">
        <v>61.333333333333336</v>
      </c>
    </row>
    <row r="204" spans="1:27" x14ac:dyDescent="0.3">
      <c r="A204" s="15">
        <v>44484.774456018517</v>
      </c>
      <c r="B204" t="s">
        <v>13</v>
      </c>
      <c r="C204" t="s">
        <v>952</v>
      </c>
      <c r="D204" s="2">
        <v>44445</v>
      </c>
      <c r="E204" t="s">
        <v>1027</v>
      </c>
      <c r="F204" t="s">
        <v>41</v>
      </c>
      <c r="G204" t="s">
        <v>943</v>
      </c>
      <c r="H204" t="s">
        <v>48</v>
      </c>
      <c r="I204" t="s">
        <v>960</v>
      </c>
      <c r="J204" t="s">
        <v>435</v>
      </c>
      <c r="K204">
        <v>471</v>
      </c>
      <c r="L204">
        <v>6</v>
      </c>
      <c r="M204">
        <v>58.2</v>
      </c>
      <c r="N204" t="s">
        <v>23</v>
      </c>
      <c r="O204">
        <v>0</v>
      </c>
      <c r="P204">
        <v>0</v>
      </c>
      <c r="Q204">
        <v>456</v>
      </c>
      <c r="R204">
        <v>6847</v>
      </c>
      <c r="S204">
        <v>7.0650000000000004</v>
      </c>
      <c r="T204">
        <v>58.2</v>
      </c>
      <c r="U204">
        <v>15</v>
      </c>
      <c r="V204">
        <v>3880</v>
      </c>
      <c r="W204" t="s">
        <v>1153</v>
      </c>
      <c r="X204" t="s">
        <v>1087</v>
      </c>
      <c r="Y204">
        <v>37</v>
      </c>
      <c r="Z204">
        <v>8</v>
      </c>
      <c r="AA204">
        <v>314</v>
      </c>
    </row>
    <row r="205" spans="1:27" x14ac:dyDescent="0.3">
      <c r="A205" s="15">
        <v>44484.77380787037</v>
      </c>
      <c r="B205" t="s">
        <v>13</v>
      </c>
      <c r="C205" t="s">
        <v>952</v>
      </c>
      <c r="D205" s="2">
        <v>44445</v>
      </c>
      <c r="E205" t="s">
        <v>1027</v>
      </c>
      <c r="F205" t="s">
        <v>41</v>
      </c>
      <c r="G205" t="s">
        <v>943</v>
      </c>
      <c r="H205" t="s">
        <v>48</v>
      </c>
      <c r="I205" t="s">
        <v>960</v>
      </c>
      <c r="J205" t="s">
        <v>432</v>
      </c>
      <c r="K205">
        <v>322</v>
      </c>
      <c r="L205">
        <v>4</v>
      </c>
      <c r="M205">
        <v>40.4</v>
      </c>
      <c r="N205" t="s">
        <v>23</v>
      </c>
      <c r="O205">
        <v>0</v>
      </c>
      <c r="P205">
        <v>0</v>
      </c>
      <c r="Q205">
        <v>456</v>
      </c>
      <c r="R205">
        <v>6847</v>
      </c>
      <c r="S205">
        <v>4.83</v>
      </c>
      <c r="T205">
        <v>40.4</v>
      </c>
      <c r="U205">
        <v>15</v>
      </c>
      <c r="V205">
        <v>2693.3333333333335</v>
      </c>
      <c r="W205" t="s">
        <v>1153</v>
      </c>
      <c r="X205" t="s">
        <v>1087</v>
      </c>
      <c r="Y205">
        <v>37</v>
      </c>
      <c r="Z205">
        <v>8</v>
      </c>
      <c r="AA205">
        <v>214.66666666666666</v>
      </c>
    </row>
    <row r="206" spans="1:27" x14ac:dyDescent="0.3">
      <c r="A206" s="15">
        <v>44484.776712962965</v>
      </c>
      <c r="B206" t="s">
        <v>13</v>
      </c>
      <c r="C206" t="s">
        <v>952</v>
      </c>
      <c r="D206" s="2">
        <v>44446</v>
      </c>
      <c r="E206" t="s">
        <v>953</v>
      </c>
      <c r="F206" t="s">
        <v>41</v>
      </c>
      <c r="G206" t="s">
        <v>943</v>
      </c>
      <c r="H206" t="s">
        <v>48</v>
      </c>
      <c r="I206" t="s">
        <v>960</v>
      </c>
      <c r="J206" t="s">
        <v>432</v>
      </c>
      <c r="K206">
        <v>348</v>
      </c>
      <c r="L206">
        <v>5</v>
      </c>
      <c r="M206">
        <v>44.4</v>
      </c>
      <c r="N206" t="s">
        <v>23</v>
      </c>
      <c r="O206">
        <v>0</v>
      </c>
      <c r="P206">
        <v>0</v>
      </c>
      <c r="Q206">
        <v>456</v>
      </c>
      <c r="R206">
        <v>6849</v>
      </c>
      <c r="S206">
        <v>5.22</v>
      </c>
      <c r="T206">
        <v>44.4</v>
      </c>
      <c r="U206">
        <v>15</v>
      </c>
      <c r="V206">
        <v>2960</v>
      </c>
      <c r="W206" t="s">
        <v>1153</v>
      </c>
      <c r="X206" t="s">
        <v>1087</v>
      </c>
      <c r="Y206">
        <v>37</v>
      </c>
      <c r="Z206">
        <v>8</v>
      </c>
      <c r="AA206">
        <v>232</v>
      </c>
    </row>
    <row r="207" spans="1:27" x14ac:dyDescent="0.3">
      <c r="A207" s="15">
        <v>44484.776412037034</v>
      </c>
      <c r="B207" t="s">
        <v>13</v>
      </c>
      <c r="C207" t="s">
        <v>952</v>
      </c>
      <c r="D207" s="2">
        <v>44446</v>
      </c>
      <c r="E207" t="s">
        <v>1034</v>
      </c>
      <c r="F207" t="s">
        <v>41</v>
      </c>
      <c r="G207" t="s">
        <v>943</v>
      </c>
      <c r="H207" t="s">
        <v>48</v>
      </c>
      <c r="I207" t="s">
        <v>960</v>
      </c>
      <c r="J207" t="s">
        <v>433</v>
      </c>
      <c r="K207">
        <v>535</v>
      </c>
      <c r="L207">
        <v>6</v>
      </c>
      <c r="M207">
        <v>66.5</v>
      </c>
      <c r="N207" t="s">
        <v>23</v>
      </c>
      <c r="O207">
        <v>0</v>
      </c>
      <c r="P207">
        <v>0</v>
      </c>
      <c r="Q207">
        <v>456</v>
      </c>
      <c r="R207">
        <v>6849</v>
      </c>
      <c r="S207">
        <v>8.0250000000000004</v>
      </c>
      <c r="T207">
        <v>66.5</v>
      </c>
      <c r="U207">
        <v>15</v>
      </c>
      <c r="V207">
        <v>4433.333333333333</v>
      </c>
      <c r="W207" t="s">
        <v>1153</v>
      </c>
      <c r="X207" t="s">
        <v>1087</v>
      </c>
      <c r="Y207">
        <v>37</v>
      </c>
      <c r="Z207">
        <v>8</v>
      </c>
      <c r="AA207">
        <v>356.66666666666669</v>
      </c>
    </row>
    <row r="208" spans="1:27" x14ac:dyDescent="0.3">
      <c r="A208" s="15">
        <v>44484.778344907405</v>
      </c>
      <c r="B208" t="s">
        <v>13</v>
      </c>
      <c r="C208" t="s">
        <v>952</v>
      </c>
      <c r="D208" s="2">
        <v>44447</v>
      </c>
      <c r="E208" t="s">
        <v>1027</v>
      </c>
      <c r="F208" t="s">
        <v>41</v>
      </c>
      <c r="G208" t="s">
        <v>943</v>
      </c>
      <c r="H208" t="s">
        <v>48</v>
      </c>
      <c r="I208" t="s">
        <v>960</v>
      </c>
      <c r="J208" t="s">
        <v>1154</v>
      </c>
      <c r="K208">
        <v>750</v>
      </c>
      <c r="L208">
        <v>10</v>
      </c>
      <c r="M208">
        <v>93.7</v>
      </c>
      <c r="N208" t="s">
        <v>23</v>
      </c>
      <c r="O208">
        <v>0</v>
      </c>
      <c r="P208">
        <v>0</v>
      </c>
      <c r="Q208">
        <v>456</v>
      </c>
      <c r="R208">
        <v>6850</v>
      </c>
      <c r="S208">
        <v>11.25</v>
      </c>
      <c r="T208">
        <v>93.7</v>
      </c>
      <c r="U208">
        <v>15</v>
      </c>
      <c r="V208">
        <v>6246.666666666667</v>
      </c>
      <c r="W208" t="s">
        <v>1153</v>
      </c>
      <c r="X208" t="s">
        <v>1087</v>
      </c>
      <c r="Y208">
        <v>37</v>
      </c>
      <c r="Z208">
        <v>8</v>
      </c>
      <c r="AA208">
        <v>500</v>
      </c>
    </row>
    <row r="209" spans="1:27" x14ac:dyDescent="0.3">
      <c r="A209" s="15">
        <v>44484.777974537035</v>
      </c>
      <c r="B209" t="s">
        <v>13</v>
      </c>
      <c r="C209" t="s">
        <v>952</v>
      </c>
      <c r="D209" s="2">
        <v>44447</v>
      </c>
      <c r="E209" t="s">
        <v>1027</v>
      </c>
      <c r="F209" t="s">
        <v>41</v>
      </c>
      <c r="G209" t="s">
        <v>943</v>
      </c>
      <c r="H209" t="s">
        <v>48</v>
      </c>
      <c r="I209" t="s">
        <v>960</v>
      </c>
      <c r="J209" t="s">
        <v>432</v>
      </c>
      <c r="K209">
        <v>245</v>
      </c>
      <c r="L209">
        <v>2</v>
      </c>
      <c r="M209">
        <v>30.6</v>
      </c>
      <c r="N209" t="s">
        <v>23</v>
      </c>
      <c r="O209">
        <v>0</v>
      </c>
      <c r="P209">
        <v>0</v>
      </c>
      <c r="Q209">
        <v>456</v>
      </c>
      <c r="R209">
        <v>6850</v>
      </c>
      <c r="S209">
        <v>3.6749999999999998</v>
      </c>
      <c r="T209">
        <v>30.6</v>
      </c>
      <c r="U209">
        <v>15</v>
      </c>
      <c r="V209">
        <v>2040</v>
      </c>
      <c r="W209" t="s">
        <v>1153</v>
      </c>
      <c r="X209" t="s">
        <v>1087</v>
      </c>
      <c r="Y209">
        <v>37</v>
      </c>
      <c r="Z209">
        <v>8</v>
      </c>
      <c r="AA209">
        <v>163.33333333333334</v>
      </c>
    </row>
    <row r="210" spans="1:27" x14ac:dyDescent="0.3">
      <c r="A210" s="15">
        <v>44484.787199074075</v>
      </c>
      <c r="B210" t="s">
        <v>13</v>
      </c>
      <c r="C210" t="s">
        <v>952</v>
      </c>
      <c r="D210" s="2">
        <v>44456</v>
      </c>
      <c r="E210" t="s">
        <v>953</v>
      </c>
      <c r="F210" t="s">
        <v>41</v>
      </c>
      <c r="G210" t="s">
        <v>950</v>
      </c>
      <c r="H210" t="s">
        <v>943</v>
      </c>
      <c r="I210" t="s">
        <v>1161</v>
      </c>
      <c r="J210" t="s">
        <v>1159</v>
      </c>
      <c r="K210">
        <v>379</v>
      </c>
      <c r="L210">
        <v>4</v>
      </c>
      <c r="M210">
        <v>18.2</v>
      </c>
      <c r="N210" t="s">
        <v>23</v>
      </c>
      <c r="O210">
        <v>0</v>
      </c>
      <c r="P210">
        <v>0</v>
      </c>
      <c r="Q210">
        <v>464</v>
      </c>
      <c r="R210">
        <v>6858</v>
      </c>
      <c r="S210">
        <v>9.0960000000000001</v>
      </c>
      <c r="T210">
        <v>18.2</v>
      </c>
      <c r="U210">
        <v>24</v>
      </c>
      <c r="V210">
        <v>758.33333333333337</v>
      </c>
      <c r="W210" t="s">
        <v>1153</v>
      </c>
      <c r="X210" t="s">
        <v>1087</v>
      </c>
      <c r="Y210">
        <v>38</v>
      </c>
      <c r="Z210">
        <v>2</v>
      </c>
      <c r="AA210">
        <v>63.166666666666664</v>
      </c>
    </row>
    <row r="211" spans="1:27" x14ac:dyDescent="0.3">
      <c r="A211" s="15">
        <v>44484.787002314813</v>
      </c>
      <c r="B211" t="s">
        <v>13</v>
      </c>
      <c r="C211" t="s">
        <v>952</v>
      </c>
      <c r="D211" s="2">
        <v>44456</v>
      </c>
      <c r="E211" t="s">
        <v>953</v>
      </c>
      <c r="F211" t="s">
        <v>41</v>
      </c>
      <c r="G211" t="s">
        <v>950</v>
      </c>
      <c r="H211" t="s">
        <v>943</v>
      </c>
      <c r="I211" t="s">
        <v>1161</v>
      </c>
      <c r="J211" t="s">
        <v>1158</v>
      </c>
      <c r="K211">
        <v>691</v>
      </c>
      <c r="L211">
        <v>7</v>
      </c>
      <c r="M211">
        <v>33.200000000000003</v>
      </c>
      <c r="N211" t="s">
        <v>23</v>
      </c>
      <c r="O211">
        <v>0</v>
      </c>
      <c r="P211">
        <v>0</v>
      </c>
      <c r="Q211">
        <v>464</v>
      </c>
      <c r="R211">
        <v>6858</v>
      </c>
      <c r="S211">
        <v>16.584</v>
      </c>
      <c r="T211">
        <v>33.200000000000003</v>
      </c>
      <c r="U211">
        <v>24</v>
      </c>
      <c r="V211">
        <v>1383.3333333333333</v>
      </c>
      <c r="W211" t="s">
        <v>1153</v>
      </c>
      <c r="X211" t="s">
        <v>1087</v>
      </c>
      <c r="Y211">
        <v>38</v>
      </c>
      <c r="Z211">
        <v>2</v>
      </c>
      <c r="AA211">
        <v>115.16666666666667</v>
      </c>
    </row>
    <row r="212" spans="1:27" x14ac:dyDescent="0.3">
      <c r="A212" s="15">
        <v>44484.78670138889</v>
      </c>
      <c r="B212" t="s">
        <v>13</v>
      </c>
      <c r="C212" t="s">
        <v>952</v>
      </c>
      <c r="D212" s="2">
        <v>44456</v>
      </c>
      <c r="E212" t="s">
        <v>953</v>
      </c>
      <c r="F212" t="s">
        <v>41</v>
      </c>
      <c r="G212" t="s">
        <v>950</v>
      </c>
      <c r="H212" t="s">
        <v>943</v>
      </c>
      <c r="I212" t="s">
        <v>1161</v>
      </c>
      <c r="J212" t="s">
        <v>1157</v>
      </c>
      <c r="K212">
        <v>231</v>
      </c>
      <c r="L212">
        <v>2</v>
      </c>
      <c r="M212">
        <v>11.1</v>
      </c>
      <c r="N212" t="s">
        <v>23</v>
      </c>
      <c r="O212">
        <v>0</v>
      </c>
      <c r="P212">
        <v>0</v>
      </c>
      <c r="Q212">
        <v>464</v>
      </c>
      <c r="R212">
        <v>6858</v>
      </c>
      <c r="S212">
        <v>5.5439999999999996</v>
      </c>
      <c r="T212">
        <v>11.1</v>
      </c>
      <c r="U212">
        <v>24</v>
      </c>
      <c r="V212">
        <v>462.5</v>
      </c>
      <c r="W212" t="s">
        <v>1153</v>
      </c>
      <c r="X212" t="s">
        <v>1087</v>
      </c>
      <c r="Y212">
        <v>38</v>
      </c>
      <c r="Z212">
        <v>2</v>
      </c>
      <c r="AA212">
        <v>38.5</v>
      </c>
    </row>
    <row r="213" spans="1:27" x14ac:dyDescent="0.3">
      <c r="A213" s="15">
        <v>44484.789849537039</v>
      </c>
      <c r="B213" t="s">
        <v>13</v>
      </c>
      <c r="C213" t="s">
        <v>952</v>
      </c>
      <c r="D213" s="2">
        <v>44459</v>
      </c>
      <c r="E213" t="s">
        <v>953</v>
      </c>
      <c r="F213" t="s">
        <v>41</v>
      </c>
      <c r="G213" t="s">
        <v>950</v>
      </c>
      <c r="H213" t="s">
        <v>943</v>
      </c>
      <c r="I213" t="s">
        <v>1161</v>
      </c>
      <c r="J213" t="s">
        <v>1160</v>
      </c>
      <c r="K213">
        <v>1320</v>
      </c>
      <c r="L213">
        <v>12</v>
      </c>
      <c r="M213">
        <v>63.4</v>
      </c>
      <c r="N213" t="s">
        <v>23</v>
      </c>
      <c r="O213">
        <v>0</v>
      </c>
      <c r="P213">
        <v>0</v>
      </c>
      <c r="Q213">
        <v>464</v>
      </c>
      <c r="R213">
        <v>6861</v>
      </c>
      <c r="S213">
        <v>31.68</v>
      </c>
      <c r="T213">
        <v>63.4</v>
      </c>
      <c r="U213">
        <v>24</v>
      </c>
      <c r="V213">
        <v>2641.6666666666665</v>
      </c>
      <c r="W213" t="s">
        <v>1153</v>
      </c>
      <c r="X213" t="s">
        <v>1087</v>
      </c>
      <c r="Y213">
        <v>39</v>
      </c>
      <c r="Z213">
        <v>2</v>
      </c>
      <c r="AA213">
        <v>220</v>
      </c>
    </row>
    <row r="214" spans="1:27" x14ac:dyDescent="0.3">
      <c r="A214" s="15">
        <v>44484.791400462964</v>
      </c>
      <c r="B214" t="s">
        <v>13</v>
      </c>
      <c r="C214" t="s">
        <v>952</v>
      </c>
      <c r="D214" s="2">
        <v>44460</v>
      </c>
      <c r="E214" t="s">
        <v>953</v>
      </c>
      <c r="F214" t="s">
        <v>41</v>
      </c>
      <c r="G214" t="s">
        <v>950</v>
      </c>
      <c r="H214" t="s">
        <v>943</v>
      </c>
      <c r="I214" t="s">
        <v>1161</v>
      </c>
      <c r="J214" t="s">
        <v>1155</v>
      </c>
      <c r="K214">
        <v>454</v>
      </c>
      <c r="L214">
        <v>4</v>
      </c>
      <c r="M214">
        <v>21.8</v>
      </c>
      <c r="N214" t="s">
        <v>23</v>
      </c>
      <c r="O214">
        <v>0</v>
      </c>
      <c r="P214">
        <v>0</v>
      </c>
      <c r="Q214">
        <v>464</v>
      </c>
      <c r="R214">
        <v>6863</v>
      </c>
      <c r="S214">
        <v>10.896000000000001</v>
      </c>
      <c r="T214">
        <v>21.8</v>
      </c>
      <c r="U214">
        <v>24</v>
      </c>
      <c r="V214">
        <v>908.33333333333337</v>
      </c>
      <c r="W214" t="s">
        <v>1153</v>
      </c>
      <c r="X214" t="s">
        <v>1087</v>
      </c>
      <c r="Y214">
        <v>39</v>
      </c>
      <c r="Z214">
        <v>2</v>
      </c>
      <c r="AA214">
        <v>75.666666666666671</v>
      </c>
    </row>
    <row r="215" spans="1:27" x14ac:dyDescent="0.3">
      <c r="A215" s="15">
        <v>44484.791041666664</v>
      </c>
      <c r="B215" t="s">
        <v>13</v>
      </c>
      <c r="C215" t="s">
        <v>952</v>
      </c>
      <c r="D215" s="2">
        <v>44460</v>
      </c>
      <c r="E215" t="s">
        <v>953</v>
      </c>
      <c r="F215" t="s">
        <v>41</v>
      </c>
      <c r="G215" t="s">
        <v>950</v>
      </c>
      <c r="H215" t="s">
        <v>943</v>
      </c>
      <c r="I215" t="s">
        <v>1161</v>
      </c>
      <c r="J215" t="s">
        <v>1158</v>
      </c>
      <c r="K215">
        <v>914</v>
      </c>
      <c r="L215">
        <v>8</v>
      </c>
      <c r="M215">
        <v>43.9</v>
      </c>
      <c r="N215" t="s">
        <v>23</v>
      </c>
      <c r="O215">
        <v>0</v>
      </c>
      <c r="P215">
        <v>0</v>
      </c>
      <c r="Q215">
        <v>464</v>
      </c>
      <c r="R215">
        <v>6863</v>
      </c>
      <c r="S215">
        <v>21.936</v>
      </c>
      <c r="T215">
        <v>43.9</v>
      </c>
      <c r="U215">
        <v>24</v>
      </c>
      <c r="V215">
        <v>1829.1666666666667</v>
      </c>
      <c r="W215" t="s">
        <v>1153</v>
      </c>
      <c r="X215" t="s">
        <v>1087</v>
      </c>
      <c r="Y215">
        <v>39</v>
      </c>
      <c r="Z215">
        <v>2</v>
      </c>
      <c r="AA215">
        <v>152.33333333333334</v>
      </c>
    </row>
    <row r="216" spans="1:27" x14ac:dyDescent="0.3">
      <c r="A216" s="15">
        <v>44484.794074074074</v>
      </c>
      <c r="B216" t="s">
        <v>13</v>
      </c>
      <c r="C216" t="s">
        <v>952</v>
      </c>
      <c r="D216" s="2">
        <v>44467</v>
      </c>
      <c r="E216" t="s">
        <v>1081</v>
      </c>
      <c r="F216" t="s">
        <v>41</v>
      </c>
      <c r="G216" t="s">
        <v>943</v>
      </c>
      <c r="H216" t="s">
        <v>48</v>
      </c>
      <c r="I216" t="s">
        <v>1037</v>
      </c>
      <c r="J216" t="s">
        <v>196</v>
      </c>
      <c r="K216">
        <v>1800</v>
      </c>
      <c r="L216">
        <v>12</v>
      </c>
      <c r="M216">
        <v>126</v>
      </c>
      <c r="N216" t="s">
        <v>23</v>
      </c>
      <c r="O216">
        <v>120</v>
      </c>
      <c r="P216">
        <v>15</v>
      </c>
      <c r="Q216">
        <v>474</v>
      </c>
      <c r="R216">
        <v>6869</v>
      </c>
      <c r="S216">
        <v>127.8</v>
      </c>
      <c r="T216">
        <v>126</v>
      </c>
      <c r="U216">
        <v>71</v>
      </c>
      <c r="V216">
        <v>1774.6478873239437</v>
      </c>
      <c r="W216" t="s">
        <v>1153</v>
      </c>
      <c r="X216" t="s">
        <v>1087</v>
      </c>
      <c r="Y216">
        <v>40</v>
      </c>
      <c r="Z216">
        <v>1</v>
      </c>
      <c r="AA216">
        <v>150</v>
      </c>
    </row>
    <row r="217" spans="1:27" x14ac:dyDescent="0.3">
      <c r="A217" s="15">
        <v>44484.794999999998</v>
      </c>
      <c r="B217" t="s">
        <v>13</v>
      </c>
      <c r="C217" t="s">
        <v>952</v>
      </c>
      <c r="D217" s="2">
        <v>44468</v>
      </c>
      <c r="E217" t="s">
        <v>1081</v>
      </c>
      <c r="F217" t="s">
        <v>41</v>
      </c>
      <c r="G217" t="s">
        <v>943</v>
      </c>
      <c r="H217" t="s">
        <v>48</v>
      </c>
      <c r="I217" t="s">
        <v>1037</v>
      </c>
      <c r="J217" t="s">
        <v>196</v>
      </c>
      <c r="K217">
        <v>1680</v>
      </c>
      <c r="L217">
        <v>12</v>
      </c>
      <c r="M217">
        <v>119</v>
      </c>
      <c r="N217" t="s">
        <v>23</v>
      </c>
      <c r="O217">
        <v>120</v>
      </c>
      <c r="P217">
        <v>14</v>
      </c>
      <c r="Q217">
        <v>474</v>
      </c>
      <c r="R217">
        <v>6871</v>
      </c>
      <c r="S217">
        <v>119.28</v>
      </c>
      <c r="T217">
        <v>119</v>
      </c>
      <c r="U217">
        <v>71</v>
      </c>
      <c r="V217">
        <v>1676.056338028169</v>
      </c>
      <c r="W217" t="s">
        <v>1153</v>
      </c>
      <c r="X217" t="s">
        <v>1087</v>
      </c>
      <c r="Y217">
        <v>40</v>
      </c>
      <c r="Z217">
        <v>1</v>
      </c>
      <c r="AA217">
        <v>140</v>
      </c>
    </row>
    <row r="218" spans="1:27" x14ac:dyDescent="0.3">
      <c r="A218" s="15">
        <v>44484.795949074076</v>
      </c>
      <c r="B218" t="s">
        <v>13</v>
      </c>
      <c r="C218" t="s">
        <v>952</v>
      </c>
      <c r="D218" s="2">
        <v>44469</v>
      </c>
      <c r="E218" t="s">
        <v>1027</v>
      </c>
      <c r="F218" t="s">
        <v>41</v>
      </c>
      <c r="G218" t="s">
        <v>943</v>
      </c>
      <c r="H218" t="s">
        <v>48</v>
      </c>
      <c r="I218" t="s">
        <v>1037</v>
      </c>
      <c r="J218" t="s">
        <v>196</v>
      </c>
      <c r="K218">
        <v>1620</v>
      </c>
      <c r="L218">
        <v>12</v>
      </c>
      <c r="M218">
        <v>114.2</v>
      </c>
      <c r="N218" t="s">
        <v>23</v>
      </c>
      <c r="O218">
        <v>120</v>
      </c>
      <c r="P218">
        <v>14</v>
      </c>
      <c r="Q218">
        <v>474</v>
      </c>
      <c r="R218">
        <v>6873</v>
      </c>
      <c r="S218">
        <v>115.02</v>
      </c>
      <c r="T218">
        <v>114.2</v>
      </c>
      <c r="U218">
        <v>71</v>
      </c>
      <c r="V218">
        <v>1608.4507042253522</v>
      </c>
      <c r="W218" t="s">
        <v>1153</v>
      </c>
      <c r="X218" t="s">
        <v>1087</v>
      </c>
      <c r="Y218">
        <v>40</v>
      </c>
      <c r="Z218">
        <v>1</v>
      </c>
      <c r="AA218">
        <v>135</v>
      </c>
    </row>
    <row r="219" spans="1:27" x14ac:dyDescent="0.3">
      <c r="A219" s="15">
        <v>44453.735590277778</v>
      </c>
      <c r="B219" t="s">
        <v>13</v>
      </c>
      <c r="C219" t="s">
        <v>1132</v>
      </c>
      <c r="D219" s="2">
        <v>44440</v>
      </c>
      <c r="E219" t="s">
        <v>1027</v>
      </c>
      <c r="F219" t="s">
        <v>41</v>
      </c>
      <c r="G219" t="s">
        <v>943</v>
      </c>
      <c r="H219" t="s">
        <v>48</v>
      </c>
      <c r="I219" t="s">
        <v>1039</v>
      </c>
      <c r="J219" t="s">
        <v>221</v>
      </c>
      <c r="K219">
        <v>1444</v>
      </c>
      <c r="L219">
        <v>12</v>
      </c>
      <c r="M219">
        <v>195</v>
      </c>
      <c r="N219" t="s">
        <v>23</v>
      </c>
      <c r="O219">
        <v>60</v>
      </c>
      <c r="P219">
        <v>24</v>
      </c>
      <c r="Q219">
        <v>449</v>
      </c>
      <c r="R219">
        <v>7110</v>
      </c>
      <c r="S219">
        <v>199.27199999999999</v>
      </c>
      <c r="T219">
        <v>195</v>
      </c>
      <c r="U219">
        <v>138</v>
      </c>
      <c r="V219">
        <v>1413.0434782608695</v>
      </c>
      <c r="W219" t="s">
        <v>1153</v>
      </c>
      <c r="X219" t="s">
        <v>1087</v>
      </c>
      <c r="Y219">
        <v>36</v>
      </c>
      <c r="Z219">
        <v>1</v>
      </c>
      <c r="AA219">
        <v>120.33333333333333</v>
      </c>
    </row>
    <row r="220" spans="1:27" x14ac:dyDescent="0.3">
      <c r="A220" s="15">
        <v>44453.736759259256</v>
      </c>
      <c r="B220" t="s">
        <v>13</v>
      </c>
      <c r="C220" t="s">
        <v>1132</v>
      </c>
      <c r="D220" s="2">
        <v>44441</v>
      </c>
      <c r="E220" t="s">
        <v>953</v>
      </c>
      <c r="F220" t="s">
        <v>41</v>
      </c>
      <c r="G220" t="s">
        <v>943</v>
      </c>
      <c r="H220" t="s">
        <v>48</v>
      </c>
      <c r="I220" t="s">
        <v>1039</v>
      </c>
      <c r="J220" t="s">
        <v>221</v>
      </c>
      <c r="K220">
        <v>1260</v>
      </c>
      <c r="L220">
        <v>12</v>
      </c>
      <c r="M220">
        <v>176.6</v>
      </c>
      <c r="N220" t="s">
        <v>23</v>
      </c>
      <c r="O220">
        <v>60</v>
      </c>
      <c r="P220">
        <v>21</v>
      </c>
      <c r="Q220">
        <v>449</v>
      </c>
      <c r="R220">
        <v>7112</v>
      </c>
      <c r="S220">
        <v>173.88</v>
      </c>
      <c r="T220">
        <v>176.6</v>
      </c>
      <c r="U220">
        <v>138</v>
      </c>
      <c r="V220">
        <v>1279.7101449275362</v>
      </c>
      <c r="W220" t="s">
        <v>1153</v>
      </c>
      <c r="X220" t="s">
        <v>1087</v>
      </c>
      <c r="Y220">
        <v>36</v>
      </c>
      <c r="Z220">
        <v>1</v>
      </c>
      <c r="AA220">
        <v>105</v>
      </c>
    </row>
    <row r="221" spans="1:27" x14ac:dyDescent="0.3">
      <c r="A221" s="15">
        <v>44453.739965277775</v>
      </c>
      <c r="B221" t="s">
        <v>13</v>
      </c>
      <c r="C221" t="s">
        <v>1132</v>
      </c>
      <c r="D221" s="2">
        <v>44442</v>
      </c>
      <c r="E221" t="s">
        <v>953</v>
      </c>
      <c r="F221" t="s">
        <v>41</v>
      </c>
      <c r="G221" t="s">
        <v>943</v>
      </c>
      <c r="H221" t="s">
        <v>48</v>
      </c>
      <c r="I221" t="s">
        <v>1039</v>
      </c>
      <c r="J221" t="s">
        <v>221</v>
      </c>
      <c r="K221">
        <v>1340</v>
      </c>
      <c r="L221">
        <v>12</v>
      </c>
      <c r="M221">
        <v>183.8</v>
      </c>
      <c r="N221" t="s">
        <v>23</v>
      </c>
      <c r="O221">
        <v>60</v>
      </c>
      <c r="P221">
        <v>22</v>
      </c>
      <c r="Q221">
        <v>449</v>
      </c>
      <c r="R221">
        <v>7114</v>
      </c>
      <c r="S221">
        <v>184.92</v>
      </c>
      <c r="T221">
        <v>183.8</v>
      </c>
      <c r="U221">
        <v>138</v>
      </c>
      <c r="V221">
        <v>1331.8840579710145</v>
      </c>
      <c r="W221" t="s">
        <v>1153</v>
      </c>
      <c r="X221" t="s">
        <v>1087</v>
      </c>
      <c r="Y221">
        <v>36</v>
      </c>
      <c r="Z221">
        <v>1</v>
      </c>
      <c r="AA221">
        <v>111.66666666666667</v>
      </c>
    </row>
    <row r="222" spans="1:27" x14ac:dyDescent="0.3">
      <c r="A222" s="15">
        <v>44482.722175925926</v>
      </c>
      <c r="B222" t="s">
        <v>13</v>
      </c>
      <c r="C222" t="s">
        <v>1132</v>
      </c>
      <c r="D222" s="2">
        <v>44445</v>
      </c>
      <c r="E222" t="s">
        <v>953</v>
      </c>
      <c r="F222" t="s">
        <v>41</v>
      </c>
      <c r="G222" t="s">
        <v>943</v>
      </c>
      <c r="H222" t="s">
        <v>48</v>
      </c>
      <c r="I222" t="s">
        <v>1053</v>
      </c>
      <c r="J222" t="s">
        <v>152</v>
      </c>
      <c r="K222">
        <v>1142</v>
      </c>
      <c r="L222">
        <v>12</v>
      </c>
      <c r="M222">
        <v>279.7</v>
      </c>
      <c r="N222" t="s">
        <v>23</v>
      </c>
      <c r="O222">
        <v>0</v>
      </c>
      <c r="P222">
        <v>21</v>
      </c>
      <c r="Q222">
        <v>457</v>
      </c>
      <c r="R222">
        <v>7117</v>
      </c>
      <c r="S222">
        <v>274.08</v>
      </c>
      <c r="T222">
        <v>279.7</v>
      </c>
      <c r="U222">
        <v>240</v>
      </c>
      <c r="V222">
        <v>1165.4166666666667</v>
      </c>
      <c r="W222" t="s">
        <v>1153</v>
      </c>
      <c r="X222" t="s">
        <v>1087</v>
      </c>
      <c r="Y222">
        <v>37</v>
      </c>
      <c r="Z222">
        <v>1</v>
      </c>
      <c r="AA222">
        <v>95.166666666666671</v>
      </c>
    </row>
    <row r="223" spans="1:27" x14ac:dyDescent="0.3">
      <c r="A223" s="15">
        <v>44482.724826388891</v>
      </c>
      <c r="B223" t="s">
        <v>13</v>
      </c>
      <c r="C223" t="s">
        <v>1132</v>
      </c>
      <c r="D223" s="2">
        <v>44446</v>
      </c>
      <c r="E223" t="s">
        <v>1027</v>
      </c>
      <c r="F223" t="s">
        <v>41</v>
      </c>
      <c r="G223" t="s">
        <v>943</v>
      </c>
      <c r="H223" t="s">
        <v>48</v>
      </c>
      <c r="I223" t="s">
        <v>1053</v>
      </c>
      <c r="J223" t="s">
        <v>152</v>
      </c>
      <c r="K223">
        <v>1111</v>
      </c>
      <c r="L223">
        <v>12</v>
      </c>
      <c r="M223">
        <v>263.60000000000002</v>
      </c>
      <c r="N223" t="s">
        <v>23</v>
      </c>
      <c r="O223">
        <v>0</v>
      </c>
      <c r="P223">
        <v>21</v>
      </c>
      <c r="Q223">
        <v>457</v>
      </c>
      <c r="R223">
        <v>7120</v>
      </c>
      <c r="S223">
        <v>266.64</v>
      </c>
      <c r="T223">
        <v>263.60000000000002</v>
      </c>
      <c r="U223">
        <v>240</v>
      </c>
      <c r="V223">
        <v>1098.3333333333333</v>
      </c>
      <c r="W223" t="s">
        <v>1153</v>
      </c>
      <c r="X223" t="s">
        <v>1087</v>
      </c>
      <c r="Y223">
        <v>37</v>
      </c>
      <c r="Z223">
        <v>1</v>
      </c>
      <c r="AA223">
        <v>92.583333333333329</v>
      </c>
    </row>
    <row r="224" spans="1:27" x14ac:dyDescent="0.3">
      <c r="A224" s="15">
        <v>44482.729259259257</v>
      </c>
      <c r="B224" t="s">
        <v>13</v>
      </c>
      <c r="C224" t="s">
        <v>1132</v>
      </c>
      <c r="D224" s="2">
        <v>44448</v>
      </c>
      <c r="E224" t="s">
        <v>1027</v>
      </c>
      <c r="F224" t="s">
        <v>41</v>
      </c>
      <c r="G224" t="s">
        <v>943</v>
      </c>
      <c r="H224" t="s">
        <v>48</v>
      </c>
      <c r="I224" t="s">
        <v>1053</v>
      </c>
      <c r="J224" t="s">
        <v>152</v>
      </c>
      <c r="K224">
        <v>1137</v>
      </c>
      <c r="L224">
        <v>12</v>
      </c>
      <c r="M224">
        <v>277.5</v>
      </c>
      <c r="N224" t="s">
        <v>23</v>
      </c>
      <c r="O224">
        <v>0</v>
      </c>
      <c r="P224">
        <v>21</v>
      </c>
      <c r="Q224">
        <v>457</v>
      </c>
      <c r="R224">
        <v>7123</v>
      </c>
      <c r="S224">
        <v>272.88</v>
      </c>
      <c r="T224">
        <v>277.5</v>
      </c>
      <c r="U224">
        <v>240</v>
      </c>
      <c r="V224">
        <v>1156.25</v>
      </c>
      <c r="W224" t="s">
        <v>1153</v>
      </c>
      <c r="X224" t="s">
        <v>1087</v>
      </c>
      <c r="Y224">
        <v>37</v>
      </c>
      <c r="Z224">
        <v>1</v>
      </c>
      <c r="AA224">
        <v>94.75</v>
      </c>
    </row>
    <row r="225" spans="1:27" x14ac:dyDescent="0.3">
      <c r="A225" s="15">
        <v>44482.747604166667</v>
      </c>
      <c r="B225" t="s">
        <v>13</v>
      </c>
      <c r="C225" t="s">
        <v>1132</v>
      </c>
      <c r="D225" s="2">
        <v>44452</v>
      </c>
      <c r="E225" t="s">
        <v>1081</v>
      </c>
      <c r="F225" t="s">
        <v>40</v>
      </c>
      <c r="G225" t="s">
        <v>48</v>
      </c>
      <c r="H225" t="s">
        <v>946</v>
      </c>
      <c r="I225" t="s">
        <v>967</v>
      </c>
      <c r="J225" t="s">
        <v>1143</v>
      </c>
      <c r="K225">
        <v>660</v>
      </c>
      <c r="L225">
        <v>10</v>
      </c>
      <c r="M225">
        <v>167.3</v>
      </c>
      <c r="N225" t="s">
        <v>23</v>
      </c>
      <c r="O225">
        <v>0</v>
      </c>
      <c r="P225">
        <v>22</v>
      </c>
      <c r="Q225">
        <v>459</v>
      </c>
      <c r="R225">
        <v>7128</v>
      </c>
      <c r="S225">
        <v>85.8</v>
      </c>
      <c r="T225">
        <v>167.3</v>
      </c>
      <c r="U225">
        <v>130</v>
      </c>
      <c r="V225">
        <v>1286.9230769230769</v>
      </c>
      <c r="W225" t="s">
        <v>1153</v>
      </c>
      <c r="X225" t="s">
        <v>1087</v>
      </c>
      <c r="Y225">
        <v>38</v>
      </c>
      <c r="Z225">
        <v>2</v>
      </c>
      <c r="AA225">
        <v>110</v>
      </c>
    </row>
    <row r="226" spans="1:27" x14ac:dyDescent="0.3">
      <c r="A226" s="15">
        <v>44482.746400462966</v>
      </c>
      <c r="B226" t="s">
        <v>13</v>
      </c>
      <c r="C226" t="s">
        <v>1132</v>
      </c>
      <c r="D226" s="2">
        <v>44452</v>
      </c>
      <c r="E226" t="s">
        <v>1081</v>
      </c>
      <c r="F226" t="s">
        <v>40</v>
      </c>
      <c r="G226" t="s">
        <v>48</v>
      </c>
      <c r="H226" t="s">
        <v>946</v>
      </c>
      <c r="I226" t="s">
        <v>967</v>
      </c>
      <c r="J226" t="s">
        <v>1142</v>
      </c>
      <c r="K226">
        <v>69</v>
      </c>
      <c r="L226">
        <v>1</v>
      </c>
      <c r="M226">
        <v>17.7</v>
      </c>
      <c r="N226" t="s">
        <v>23</v>
      </c>
      <c r="O226">
        <v>0</v>
      </c>
      <c r="P226">
        <v>2</v>
      </c>
      <c r="Q226">
        <v>459</v>
      </c>
      <c r="R226">
        <v>7128</v>
      </c>
      <c r="S226">
        <v>8.9700000000000006</v>
      </c>
      <c r="T226">
        <v>17.7</v>
      </c>
      <c r="U226">
        <v>130</v>
      </c>
      <c r="V226">
        <v>136.15384615384616</v>
      </c>
      <c r="W226" t="s">
        <v>1153</v>
      </c>
      <c r="X226" t="s">
        <v>1087</v>
      </c>
      <c r="Y226">
        <v>38</v>
      </c>
      <c r="Z226">
        <v>2</v>
      </c>
      <c r="AA226">
        <v>11.5</v>
      </c>
    </row>
    <row r="227" spans="1:27" x14ac:dyDescent="0.3">
      <c r="A227" s="15">
        <v>44482.754212962966</v>
      </c>
      <c r="B227" t="s">
        <v>13</v>
      </c>
      <c r="C227" t="s">
        <v>1132</v>
      </c>
      <c r="D227" s="2">
        <v>44453</v>
      </c>
      <c r="E227" t="s">
        <v>953</v>
      </c>
      <c r="F227" t="s">
        <v>40</v>
      </c>
      <c r="G227" t="s">
        <v>48</v>
      </c>
      <c r="H227" t="s">
        <v>946</v>
      </c>
      <c r="I227" t="s">
        <v>967</v>
      </c>
      <c r="J227" t="s">
        <v>123</v>
      </c>
      <c r="K227">
        <v>190</v>
      </c>
      <c r="L227">
        <v>3</v>
      </c>
      <c r="M227">
        <v>50.8</v>
      </c>
      <c r="N227" t="s">
        <v>23</v>
      </c>
      <c r="O227">
        <v>0</v>
      </c>
      <c r="P227">
        <v>7</v>
      </c>
      <c r="Q227">
        <v>459</v>
      </c>
      <c r="R227">
        <v>7130</v>
      </c>
      <c r="S227">
        <v>24.7</v>
      </c>
      <c r="T227">
        <v>50.8</v>
      </c>
      <c r="U227">
        <v>130</v>
      </c>
      <c r="V227">
        <v>390.76923076923077</v>
      </c>
      <c r="W227" t="s">
        <v>1153</v>
      </c>
      <c r="X227" t="s">
        <v>1087</v>
      </c>
      <c r="Y227">
        <v>38</v>
      </c>
      <c r="Z227">
        <v>2</v>
      </c>
      <c r="AA227">
        <v>31.666666666666668</v>
      </c>
    </row>
    <row r="228" spans="1:27" x14ac:dyDescent="0.3">
      <c r="A228" s="15">
        <v>44482.753379629627</v>
      </c>
      <c r="B228" t="s">
        <v>13</v>
      </c>
      <c r="C228" t="s">
        <v>1132</v>
      </c>
      <c r="D228" s="2">
        <v>44453</v>
      </c>
      <c r="E228" t="s">
        <v>953</v>
      </c>
      <c r="F228" t="s">
        <v>40</v>
      </c>
      <c r="G228" t="s">
        <v>48</v>
      </c>
      <c r="H228" t="s">
        <v>946</v>
      </c>
      <c r="I228" t="s">
        <v>967</v>
      </c>
      <c r="J228" t="s">
        <v>125</v>
      </c>
      <c r="K228">
        <v>335</v>
      </c>
      <c r="L228">
        <v>5</v>
      </c>
      <c r="M228">
        <v>93.6</v>
      </c>
      <c r="N228" t="s">
        <v>23</v>
      </c>
      <c r="O228">
        <v>0</v>
      </c>
      <c r="P228">
        <v>13</v>
      </c>
      <c r="Q228">
        <v>459</v>
      </c>
      <c r="R228">
        <v>7130</v>
      </c>
      <c r="S228">
        <v>43.55</v>
      </c>
      <c r="T228">
        <v>93.6</v>
      </c>
      <c r="U228">
        <v>130</v>
      </c>
      <c r="V228">
        <v>720</v>
      </c>
      <c r="W228" t="s">
        <v>1153</v>
      </c>
      <c r="X228" t="s">
        <v>1087</v>
      </c>
      <c r="Y228">
        <v>38</v>
      </c>
      <c r="Z228">
        <v>2</v>
      </c>
      <c r="AA228">
        <v>55.833333333333336</v>
      </c>
    </row>
    <row r="229" spans="1:27" x14ac:dyDescent="0.3">
      <c r="A229" s="15">
        <v>44482.752939814818</v>
      </c>
      <c r="B229" t="s">
        <v>13</v>
      </c>
      <c r="C229" t="s">
        <v>1132</v>
      </c>
      <c r="D229" s="2">
        <v>44453</v>
      </c>
      <c r="E229" t="s">
        <v>953</v>
      </c>
      <c r="F229" t="s">
        <v>40</v>
      </c>
      <c r="G229" t="s">
        <v>48</v>
      </c>
      <c r="H229" t="s">
        <v>946</v>
      </c>
      <c r="I229" t="s">
        <v>967</v>
      </c>
      <c r="J229" t="s">
        <v>124</v>
      </c>
      <c r="K229">
        <v>197</v>
      </c>
      <c r="L229">
        <v>3</v>
      </c>
      <c r="M229">
        <v>52.6</v>
      </c>
      <c r="N229" t="s">
        <v>23</v>
      </c>
      <c r="O229">
        <v>0</v>
      </c>
      <c r="P229">
        <v>0</v>
      </c>
      <c r="Q229">
        <v>459</v>
      </c>
      <c r="R229">
        <v>7130</v>
      </c>
      <c r="S229">
        <v>25.61</v>
      </c>
      <c r="T229">
        <v>52.6</v>
      </c>
      <c r="U229">
        <v>130</v>
      </c>
      <c r="V229">
        <v>404.61538461538464</v>
      </c>
      <c r="W229" t="s">
        <v>1153</v>
      </c>
      <c r="X229" t="s">
        <v>1087</v>
      </c>
      <c r="Y229">
        <v>38</v>
      </c>
      <c r="Z229">
        <v>2</v>
      </c>
      <c r="AA229">
        <v>32.833333333333336</v>
      </c>
    </row>
    <row r="230" spans="1:27" x14ac:dyDescent="0.3">
      <c r="A230" s="15">
        <v>44482.769560185188</v>
      </c>
      <c r="B230" t="s">
        <v>13</v>
      </c>
      <c r="C230" t="s">
        <v>1132</v>
      </c>
      <c r="D230" s="2">
        <v>44461</v>
      </c>
      <c r="E230" t="s">
        <v>953</v>
      </c>
      <c r="F230" t="s">
        <v>41</v>
      </c>
      <c r="G230" t="s">
        <v>943</v>
      </c>
      <c r="H230" t="s">
        <v>48</v>
      </c>
      <c r="I230" t="s">
        <v>1145</v>
      </c>
      <c r="J230" t="s">
        <v>1149</v>
      </c>
      <c r="K230">
        <v>285</v>
      </c>
      <c r="L230">
        <v>5</v>
      </c>
      <c r="M230">
        <v>49.19</v>
      </c>
      <c r="N230" t="s">
        <v>23</v>
      </c>
      <c r="O230">
        <v>0</v>
      </c>
      <c r="P230">
        <v>4</v>
      </c>
      <c r="Q230">
        <v>465</v>
      </c>
      <c r="R230">
        <v>7134</v>
      </c>
      <c r="S230">
        <v>24.51</v>
      </c>
      <c r="T230">
        <v>49.19</v>
      </c>
      <c r="U230">
        <v>86</v>
      </c>
      <c r="V230">
        <v>571.97674418604652</v>
      </c>
      <c r="W230" t="s">
        <v>1153</v>
      </c>
      <c r="X230" t="s">
        <v>1087</v>
      </c>
      <c r="Y230">
        <v>39</v>
      </c>
      <c r="Z230">
        <v>2</v>
      </c>
      <c r="AA230">
        <v>47.5</v>
      </c>
    </row>
    <row r="231" spans="1:27" x14ac:dyDescent="0.3">
      <c r="A231" s="15">
        <v>44482.76761574074</v>
      </c>
      <c r="B231" t="s">
        <v>13</v>
      </c>
      <c r="C231" t="s">
        <v>1132</v>
      </c>
      <c r="D231" s="2">
        <v>44461</v>
      </c>
      <c r="E231" t="s">
        <v>953</v>
      </c>
      <c r="F231" t="s">
        <v>41</v>
      </c>
      <c r="G231" t="s">
        <v>943</v>
      </c>
      <c r="H231" t="s">
        <v>48</v>
      </c>
      <c r="I231" t="s">
        <v>1145</v>
      </c>
      <c r="J231" t="s">
        <v>1151</v>
      </c>
      <c r="K231">
        <v>515</v>
      </c>
      <c r="L231">
        <v>7</v>
      </c>
      <c r="M231">
        <v>88.58</v>
      </c>
      <c r="N231" t="s">
        <v>23</v>
      </c>
      <c r="O231">
        <v>0</v>
      </c>
      <c r="P231">
        <v>8</v>
      </c>
      <c r="Q231">
        <v>465</v>
      </c>
      <c r="R231">
        <v>7134</v>
      </c>
      <c r="S231">
        <v>44.29</v>
      </c>
      <c r="T231">
        <v>88.58</v>
      </c>
      <c r="U231">
        <v>86</v>
      </c>
      <c r="V231">
        <v>1030</v>
      </c>
      <c r="W231" t="s">
        <v>1153</v>
      </c>
      <c r="X231" t="s">
        <v>1087</v>
      </c>
      <c r="Y231">
        <v>39</v>
      </c>
      <c r="Z231">
        <v>2</v>
      </c>
      <c r="AA231">
        <v>85.833333333333329</v>
      </c>
    </row>
    <row r="232" spans="1:27" x14ac:dyDescent="0.3">
      <c r="A232" s="15">
        <v>44482.772002314814</v>
      </c>
      <c r="B232" t="s">
        <v>13</v>
      </c>
      <c r="C232" t="s">
        <v>1132</v>
      </c>
      <c r="D232" s="2">
        <v>44462</v>
      </c>
      <c r="E232" t="s">
        <v>1081</v>
      </c>
      <c r="F232" t="s">
        <v>41</v>
      </c>
      <c r="G232" t="s">
        <v>943</v>
      </c>
      <c r="H232" t="s">
        <v>48</v>
      </c>
      <c r="I232" t="s">
        <v>1145</v>
      </c>
      <c r="J232" t="s">
        <v>1148</v>
      </c>
      <c r="K232">
        <v>106</v>
      </c>
      <c r="L232">
        <v>2</v>
      </c>
      <c r="M232">
        <v>18.23</v>
      </c>
      <c r="N232" t="s">
        <v>23</v>
      </c>
      <c r="O232">
        <v>0</v>
      </c>
      <c r="P232">
        <v>2</v>
      </c>
      <c r="Q232">
        <v>465</v>
      </c>
      <c r="R232">
        <v>7136</v>
      </c>
      <c r="S232">
        <v>9.1159999999999997</v>
      </c>
      <c r="T232">
        <v>18.23</v>
      </c>
      <c r="U232">
        <v>86</v>
      </c>
      <c r="V232">
        <v>211.97674418604652</v>
      </c>
      <c r="W232" t="s">
        <v>1153</v>
      </c>
      <c r="X232" t="s">
        <v>1087</v>
      </c>
      <c r="Y232">
        <v>39</v>
      </c>
      <c r="Z232">
        <v>2</v>
      </c>
      <c r="AA232">
        <v>17.666666666666668</v>
      </c>
    </row>
    <row r="233" spans="1:27" x14ac:dyDescent="0.3">
      <c r="A233" s="15">
        <v>44482.77171296296</v>
      </c>
      <c r="B233" t="s">
        <v>13</v>
      </c>
      <c r="C233" t="s">
        <v>1132</v>
      </c>
      <c r="D233" s="2">
        <v>44462</v>
      </c>
      <c r="E233" t="s">
        <v>1081</v>
      </c>
      <c r="F233" t="s">
        <v>41</v>
      </c>
      <c r="G233" t="s">
        <v>943</v>
      </c>
      <c r="H233" t="s">
        <v>48</v>
      </c>
      <c r="I233" t="s">
        <v>1145</v>
      </c>
      <c r="J233" t="s">
        <v>1147</v>
      </c>
      <c r="K233">
        <v>834</v>
      </c>
      <c r="L233">
        <v>10</v>
      </c>
      <c r="M233">
        <v>143.51</v>
      </c>
      <c r="N233" t="s">
        <v>23</v>
      </c>
      <c r="O233">
        <v>0</v>
      </c>
      <c r="P233">
        <v>12</v>
      </c>
      <c r="Q233">
        <v>465</v>
      </c>
      <c r="R233">
        <v>7136</v>
      </c>
      <c r="S233">
        <v>71.724000000000004</v>
      </c>
      <c r="T233">
        <v>143.51</v>
      </c>
      <c r="U233">
        <v>86</v>
      </c>
      <c r="V233">
        <v>1668.7209302325582</v>
      </c>
      <c r="W233" t="s">
        <v>1153</v>
      </c>
      <c r="X233" t="s">
        <v>1087</v>
      </c>
      <c r="Y233">
        <v>39</v>
      </c>
      <c r="Z233">
        <v>2</v>
      </c>
      <c r="AA233">
        <v>139</v>
      </c>
    </row>
    <row r="234" spans="1:27" x14ac:dyDescent="0.3">
      <c r="A234" s="15">
        <v>44482.774247685185</v>
      </c>
      <c r="B234" t="s">
        <v>13</v>
      </c>
      <c r="C234" t="s">
        <v>1132</v>
      </c>
      <c r="D234" s="2">
        <v>44463</v>
      </c>
      <c r="E234" t="s">
        <v>1081</v>
      </c>
      <c r="F234" t="s">
        <v>41</v>
      </c>
      <c r="G234" t="s">
        <v>943</v>
      </c>
      <c r="H234" t="s">
        <v>48</v>
      </c>
      <c r="I234" t="s">
        <v>1145</v>
      </c>
      <c r="J234" t="s">
        <v>1146</v>
      </c>
      <c r="K234">
        <v>1022</v>
      </c>
      <c r="L234">
        <v>12</v>
      </c>
      <c r="M234">
        <v>172.17</v>
      </c>
      <c r="N234" t="s">
        <v>23</v>
      </c>
      <c r="O234">
        <v>0</v>
      </c>
      <c r="P234">
        <v>14</v>
      </c>
      <c r="Q234">
        <v>465</v>
      </c>
      <c r="R234">
        <v>7138</v>
      </c>
      <c r="S234">
        <v>87.891999999999996</v>
      </c>
      <c r="T234">
        <v>172.17</v>
      </c>
      <c r="U234">
        <v>86</v>
      </c>
      <c r="V234">
        <v>2001.9767441860465</v>
      </c>
      <c r="W234" t="s">
        <v>1153</v>
      </c>
      <c r="X234" t="s">
        <v>1087</v>
      </c>
      <c r="Y234">
        <v>39</v>
      </c>
      <c r="Z234">
        <v>2</v>
      </c>
      <c r="AA234">
        <v>170.33333333333334</v>
      </c>
    </row>
    <row r="235" spans="1:27" x14ac:dyDescent="0.3">
      <c r="A235" s="15">
        <v>44482.775879629633</v>
      </c>
      <c r="B235" t="s">
        <v>13</v>
      </c>
      <c r="C235" t="s">
        <v>1132</v>
      </c>
      <c r="D235" s="2">
        <v>44464</v>
      </c>
      <c r="E235" t="s">
        <v>1081</v>
      </c>
      <c r="F235" t="s">
        <v>41</v>
      </c>
      <c r="G235" t="s">
        <v>950</v>
      </c>
      <c r="H235" t="s">
        <v>943</v>
      </c>
      <c r="I235" t="s">
        <v>1145</v>
      </c>
      <c r="J235" t="s">
        <v>1151</v>
      </c>
      <c r="K235">
        <v>360</v>
      </c>
      <c r="L235">
        <v>4</v>
      </c>
      <c r="M235">
        <v>61.3</v>
      </c>
      <c r="N235" t="s">
        <v>23</v>
      </c>
      <c r="O235">
        <v>0</v>
      </c>
      <c r="P235">
        <v>7</v>
      </c>
      <c r="Q235">
        <v>465</v>
      </c>
      <c r="R235">
        <v>7140</v>
      </c>
      <c r="S235">
        <v>30.96</v>
      </c>
      <c r="T235">
        <v>61.3</v>
      </c>
      <c r="U235">
        <v>86</v>
      </c>
      <c r="V235">
        <v>712.79069767441865</v>
      </c>
      <c r="W235" t="s">
        <v>1153</v>
      </c>
      <c r="X235" t="s">
        <v>1087</v>
      </c>
      <c r="Y235">
        <v>39</v>
      </c>
      <c r="Z235">
        <v>2</v>
      </c>
      <c r="AA235">
        <v>60</v>
      </c>
    </row>
    <row r="236" spans="1:27" x14ac:dyDescent="0.3">
      <c r="A236" s="15">
        <v>44482.775405092594</v>
      </c>
      <c r="B236" t="s">
        <v>13</v>
      </c>
      <c r="C236" t="s">
        <v>1132</v>
      </c>
      <c r="D236" s="2">
        <v>44464</v>
      </c>
      <c r="E236" t="s">
        <v>1081</v>
      </c>
      <c r="F236" t="s">
        <v>41</v>
      </c>
      <c r="G236" t="s">
        <v>950</v>
      </c>
      <c r="H236" t="s">
        <v>943</v>
      </c>
      <c r="I236" t="s">
        <v>1145</v>
      </c>
      <c r="J236" t="s">
        <v>1150</v>
      </c>
      <c r="K236">
        <v>735</v>
      </c>
      <c r="L236">
        <v>8</v>
      </c>
      <c r="M236">
        <v>124</v>
      </c>
      <c r="N236" t="s">
        <v>23</v>
      </c>
      <c r="O236">
        <v>0</v>
      </c>
      <c r="P236">
        <v>14</v>
      </c>
      <c r="Q236">
        <v>465</v>
      </c>
      <c r="R236">
        <v>7140</v>
      </c>
      <c r="S236">
        <v>63.21</v>
      </c>
      <c r="T236">
        <v>124</v>
      </c>
      <c r="U236">
        <v>86</v>
      </c>
      <c r="V236">
        <v>1441.8604651162791</v>
      </c>
      <c r="W236" t="s">
        <v>1153</v>
      </c>
      <c r="X236" t="s">
        <v>1087</v>
      </c>
      <c r="Y236">
        <v>39</v>
      </c>
      <c r="Z236">
        <v>2</v>
      </c>
      <c r="AA236">
        <v>122.5</v>
      </c>
    </row>
    <row r="237" spans="1:27" x14ac:dyDescent="0.3">
      <c r="A237" s="15">
        <v>44482.779062499998</v>
      </c>
      <c r="B237" t="s">
        <v>13</v>
      </c>
      <c r="C237" t="s">
        <v>1132</v>
      </c>
      <c r="D237" s="2">
        <v>44466</v>
      </c>
      <c r="E237" t="s">
        <v>1081</v>
      </c>
      <c r="F237" t="s">
        <v>41</v>
      </c>
      <c r="G237" t="s">
        <v>950</v>
      </c>
      <c r="H237" t="s">
        <v>943</v>
      </c>
      <c r="I237" t="s">
        <v>1145</v>
      </c>
      <c r="J237" t="s">
        <v>1147</v>
      </c>
      <c r="K237">
        <v>920</v>
      </c>
      <c r="L237">
        <v>10</v>
      </c>
      <c r="M237">
        <v>158.24</v>
      </c>
      <c r="N237" t="s">
        <v>23</v>
      </c>
      <c r="O237">
        <v>0</v>
      </c>
      <c r="P237">
        <v>17</v>
      </c>
      <c r="Q237">
        <v>465</v>
      </c>
      <c r="R237">
        <v>7145</v>
      </c>
      <c r="S237">
        <v>79.12</v>
      </c>
      <c r="T237">
        <v>158.24</v>
      </c>
      <c r="U237">
        <v>86</v>
      </c>
      <c r="V237">
        <v>1840</v>
      </c>
      <c r="W237" t="s">
        <v>1153</v>
      </c>
      <c r="X237" t="s">
        <v>1087</v>
      </c>
      <c r="Y237">
        <v>40</v>
      </c>
      <c r="Z237">
        <v>2</v>
      </c>
      <c r="AA237">
        <v>153.33333333333334</v>
      </c>
    </row>
    <row r="238" spans="1:27" x14ac:dyDescent="0.3">
      <c r="A238" s="15">
        <v>44482.778611111113</v>
      </c>
      <c r="B238" t="s">
        <v>13</v>
      </c>
      <c r="C238" t="s">
        <v>1132</v>
      </c>
      <c r="D238" s="2">
        <v>44466</v>
      </c>
      <c r="E238" t="s">
        <v>1081</v>
      </c>
      <c r="F238" t="s">
        <v>41</v>
      </c>
      <c r="G238" t="s">
        <v>950</v>
      </c>
      <c r="H238" t="s">
        <v>943</v>
      </c>
      <c r="I238" t="s">
        <v>1145</v>
      </c>
      <c r="J238" t="s">
        <v>1149</v>
      </c>
      <c r="K238">
        <v>146</v>
      </c>
      <c r="L238">
        <v>2</v>
      </c>
      <c r="M238">
        <v>22.21</v>
      </c>
      <c r="N238" t="s">
        <v>23</v>
      </c>
      <c r="O238">
        <v>0</v>
      </c>
      <c r="P238">
        <v>4</v>
      </c>
      <c r="Q238">
        <v>465</v>
      </c>
      <c r="R238">
        <v>7145</v>
      </c>
      <c r="S238">
        <v>12.555999999999999</v>
      </c>
      <c r="T238">
        <v>22.21</v>
      </c>
      <c r="U238">
        <v>86</v>
      </c>
      <c r="V238">
        <v>258.25581395348837</v>
      </c>
      <c r="W238" t="s">
        <v>1153</v>
      </c>
      <c r="X238" t="s">
        <v>1087</v>
      </c>
      <c r="Y238">
        <v>40</v>
      </c>
      <c r="Z238">
        <v>2</v>
      </c>
      <c r="AA238">
        <v>24.333333333333332</v>
      </c>
    </row>
    <row r="239" spans="1:27" x14ac:dyDescent="0.3">
      <c r="A239" s="15">
        <v>44482.782719907409</v>
      </c>
      <c r="B239" t="s">
        <v>13</v>
      </c>
      <c r="C239" t="s">
        <v>1132</v>
      </c>
      <c r="D239" s="2">
        <v>44467</v>
      </c>
      <c r="E239" t="s">
        <v>1027</v>
      </c>
      <c r="F239" t="s">
        <v>41</v>
      </c>
      <c r="G239" t="s">
        <v>950</v>
      </c>
      <c r="H239" t="s">
        <v>943</v>
      </c>
      <c r="I239" t="s">
        <v>1145</v>
      </c>
      <c r="J239" t="s">
        <v>1148</v>
      </c>
      <c r="K239">
        <v>519</v>
      </c>
      <c r="L239">
        <v>4</v>
      </c>
      <c r="M239">
        <v>89.26</v>
      </c>
      <c r="N239" t="s">
        <v>23</v>
      </c>
      <c r="O239">
        <v>0</v>
      </c>
      <c r="P239">
        <v>10</v>
      </c>
      <c r="Q239">
        <v>465</v>
      </c>
      <c r="R239">
        <v>7147</v>
      </c>
      <c r="S239">
        <v>44.634</v>
      </c>
      <c r="T239">
        <v>89.26</v>
      </c>
      <c r="U239">
        <v>86</v>
      </c>
      <c r="V239">
        <v>1037.9069767441861</v>
      </c>
      <c r="W239" t="s">
        <v>1153</v>
      </c>
      <c r="X239" t="s">
        <v>1087</v>
      </c>
      <c r="Y239">
        <v>40</v>
      </c>
      <c r="Z239">
        <v>2</v>
      </c>
      <c r="AA239">
        <v>86.5</v>
      </c>
    </row>
    <row r="240" spans="1:27" x14ac:dyDescent="0.3">
      <c r="A240" s="15">
        <v>44482.782152777778</v>
      </c>
      <c r="B240" t="s">
        <v>13</v>
      </c>
      <c r="C240" t="s">
        <v>1132</v>
      </c>
      <c r="D240" s="2">
        <v>44467</v>
      </c>
      <c r="E240" t="s">
        <v>1105</v>
      </c>
      <c r="F240" t="s">
        <v>41</v>
      </c>
      <c r="G240" t="s">
        <v>950</v>
      </c>
      <c r="H240" t="s">
        <v>943</v>
      </c>
      <c r="I240" t="s">
        <v>1145</v>
      </c>
      <c r="J240" t="s">
        <v>1146</v>
      </c>
      <c r="K240">
        <v>610</v>
      </c>
      <c r="L240">
        <v>4</v>
      </c>
      <c r="M240">
        <v>105.3</v>
      </c>
      <c r="N240" t="s">
        <v>23</v>
      </c>
      <c r="O240">
        <v>0</v>
      </c>
      <c r="P240">
        <v>8</v>
      </c>
      <c r="Q240">
        <v>465</v>
      </c>
      <c r="R240">
        <v>7147</v>
      </c>
      <c r="S240">
        <v>52.46</v>
      </c>
      <c r="T240">
        <v>105.3</v>
      </c>
      <c r="U240">
        <v>86</v>
      </c>
      <c r="V240">
        <v>1224.4186046511627</v>
      </c>
      <c r="W240" t="s">
        <v>1153</v>
      </c>
      <c r="X240" t="s">
        <v>1087</v>
      </c>
      <c r="Y240">
        <v>40</v>
      </c>
      <c r="Z240">
        <v>2</v>
      </c>
      <c r="AA240">
        <v>101.66666666666667</v>
      </c>
    </row>
    <row r="241" spans="1:27" x14ac:dyDescent="0.3">
      <c r="A241" s="15">
        <v>44482.787060185183</v>
      </c>
      <c r="B241" t="s">
        <v>13</v>
      </c>
      <c r="C241" t="s">
        <v>1080</v>
      </c>
      <c r="D241" s="2">
        <v>44440</v>
      </c>
      <c r="E241" t="s">
        <v>953</v>
      </c>
      <c r="F241" t="s">
        <v>40</v>
      </c>
      <c r="G241" t="s">
        <v>48</v>
      </c>
      <c r="H241" t="s">
        <v>944</v>
      </c>
      <c r="I241" t="s">
        <v>1054</v>
      </c>
      <c r="J241" t="s">
        <v>484</v>
      </c>
      <c r="K241">
        <v>1155</v>
      </c>
      <c r="L241">
        <v>12</v>
      </c>
      <c r="M241">
        <v>81.400000000000006</v>
      </c>
      <c r="N241" t="s">
        <v>23</v>
      </c>
      <c r="O241">
        <v>0</v>
      </c>
      <c r="P241">
        <v>7</v>
      </c>
      <c r="Q241">
        <v>468</v>
      </c>
      <c r="R241">
        <v>6935</v>
      </c>
      <c r="S241">
        <v>13.86</v>
      </c>
      <c r="T241">
        <v>81.400000000000006</v>
      </c>
      <c r="U241">
        <v>12</v>
      </c>
      <c r="V241">
        <v>6783.333333333333</v>
      </c>
      <c r="W241" t="s">
        <v>1153</v>
      </c>
      <c r="X241" t="s">
        <v>1087</v>
      </c>
      <c r="Y241">
        <v>36</v>
      </c>
      <c r="Z241">
        <v>6</v>
      </c>
      <c r="AA241">
        <v>577.5</v>
      </c>
    </row>
    <row r="242" spans="1:27" x14ac:dyDescent="0.3">
      <c r="A242" s="15">
        <v>44482.790636574071</v>
      </c>
      <c r="B242" t="s">
        <v>13</v>
      </c>
      <c r="C242" t="s">
        <v>1080</v>
      </c>
      <c r="D242" s="2">
        <v>44443</v>
      </c>
      <c r="E242" t="s">
        <v>953</v>
      </c>
      <c r="F242" t="s">
        <v>41</v>
      </c>
      <c r="G242" t="s">
        <v>940</v>
      </c>
      <c r="H242" t="s">
        <v>48</v>
      </c>
      <c r="I242" t="s">
        <v>1126</v>
      </c>
      <c r="J242" t="s">
        <v>1121</v>
      </c>
      <c r="K242">
        <v>566</v>
      </c>
      <c r="L242">
        <v>6</v>
      </c>
      <c r="M242">
        <v>27.2</v>
      </c>
      <c r="N242" t="s">
        <v>23</v>
      </c>
      <c r="O242">
        <v>0</v>
      </c>
      <c r="P242">
        <v>0</v>
      </c>
      <c r="Q242">
        <v>451</v>
      </c>
      <c r="R242">
        <v>6937</v>
      </c>
      <c r="S242">
        <v>2.2639999999999998</v>
      </c>
      <c r="T242">
        <v>27.2</v>
      </c>
      <c r="U242">
        <v>4</v>
      </c>
      <c r="V242">
        <v>6800</v>
      </c>
      <c r="W242" t="s">
        <v>1153</v>
      </c>
      <c r="X242" t="s">
        <v>1087</v>
      </c>
      <c r="Y242">
        <v>36</v>
      </c>
      <c r="Z242">
        <v>12</v>
      </c>
      <c r="AA242">
        <v>566</v>
      </c>
    </row>
    <row r="243" spans="1:27" x14ac:dyDescent="0.3">
      <c r="A243" s="15">
        <v>44482.790381944447</v>
      </c>
      <c r="B243" t="s">
        <v>13</v>
      </c>
      <c r="C243" t="s">
        <v>1080</v>
      </c>
      <c r="D243" s="2">
        <v>44443</v>
      </c>
      <c r="E243" t="s">
        <v>953</v>
      </c>
      <c r="F243" t="s">
        <v>41</v>
      </c>
      <c r="G243" t="s">
        <v>940</v>
      </c>
      <c r="H243" t="s">
        <v>48</v>
      </c>
      <c r="I243" t="s">
        <v>1126</v>
      </c>
      <c r="J243" t="s">
        <v>1120</v>
      </c>
      <c r="K243">
        <v>318</v>
      </c>
      <c r="L243">
        <v>2</v>
      </c>
      <c r="M243">
        <v>13.5</v>
      </c>
      <c r="N243" t="s">
        <v>23</v>
      </c>
      <c r="O243">
        <v>0</v>
      </c>
      <c r="P243">
        <v>0</v>
      </c>
      <c r="Q243">
        <v>451</v>
      </c>
      <c r="R243">
        <v>6937</v>
      </c>
      <c r="S243">
        <v>1.272</v>
      </c>
      <c r="T243">
        <v>13.5</v>
      </c>
      <c r="U243">
        <v>4</v>
      </c>
      <c r="V243">
        <v>3375</v>
      </c>
      <c r="W243" t="s">
        <v>1153</v>
      </c>
      <c r="X243" t="s">
        <v>1087</v>
      </c>
      <c r="Y243">
        <v>36</v>
      </c>
      <c r="Z243">
        <v>12</v>
      </c>
      <c r="AA243">
        <v>318</v>
      </c>
    </row>
    <row r="244" spans="1:27" x14ac:dyDescent="0.3">
      <c r="A244" s="15">
        <v>44482.790092592593</v>
      </c>
      <c r="B244" t="s">
        <v>13</v>
      </c>
      <c r="C244" t="s">
        <v>1080</v>
      </c>
      <c r="D244" s="2">
        <v>44443</v>
      </c>
      <c r="E244" t="s">
        <v>953</v>
      </c>
      <c r="F244" t="s">
        <v>41</v>
      </c>
      <c r="G244" t="s">
        <v>940</v>
      </c>
      <c r="H244" t="s">
        <v>48</v>
      </c>
      <c r="I244" t="s">
        <v>1126</v>
      </c>
      <c r="J244" t="s">
        <v>1120</v>
      </c>
      <c r="K244">
        <v>340</v>
      </c>
      <c r="L244">
        <v>3</v>
      </c>
      <c r="M244">
        <v>14.6</v>
      </c>
      <c r="N244" t="s">
        <v>23</v>
      </c>
      <c r="O244">
        <v>0</v>
      </c>
      <c r="P244">
        <v>0</v>
      </c>
      <c r="Q244">
        <v>451</v>
      </c>
      <c r="R244">
        <v>6937</v>
      </c>
      <c r="S244">
        <v>1.36</v>
      </c>
      <c r="T244">
        <v>14.6</v>
      </c>
      <c r="U244">
        <v>4</v>
      </c>
      <c r="V244">
        <v>3650</v>
      </c>
      <c r="W244" t="s">
        <v>1153</v>
      </c>
      <c r="X244" t="s">
        <v>1087</v>
      </c>
      <c r="Y244">
        <v>36</v>
      </c>
      <c r="Z244">
        <v>12</v>
      </c>
      <c r="AA244">
        <v>340</v>
      </c>
    </row>
    <row r="245" spans="1:27" x14ac:dyDescent="0.3">
      <c r="A245" s="15">
        <v>44482.78974537037</v>
      </c>
      <c r="B245" t="s">
        <v>13</v>
      </c>
      <c r="C245" t="s">
        <v>1080</v>
      </c>
      <c r="D245" s="2">
        <v>44443</v>
      </c>
      <c r="E245" t="s">
        <v>953</v>
      </c>
      <c r="F245" t="s">
        <v>41</v>
      </c>
      <c r="G245" t="s">
        <v>940</v>
      </c>
      <c r="H245" t="s">
        <v>48</v>
      </c>
      <c r="I245" t="s">
        <v>1126</v>
      </c>
      <c r="J245" t="s">
        <v>1116</v>
      </c>
      <c r="K245">
        <v>655</v>
      </c>
      <c r="L245">
        <v>6</v>
      </c>
      <c r="M245">
        <v>28</v>
      </c>
      <c r="N245" t="s">
        <v>23</v>
      </c>
      <c r="O245">
        <v>0</v>
      </c>
      <c r="P245">
        <v>0</v>
      </c>
      <c r="Q245">
        <v>451</v>
      </c>
      <c r="R245">
        <v>6937</v>
      </c>
      <c r="S245">
        <v>2.62</v>
      </c>
      <c r="T245">
        <v>28</v>
      </c>
      <c r="U245">
        <v>4</v>
      </c>
      <c r="V245">
        <v>7000</v>
      </c>
      <c r="W245" t="s">
        <v>1153</v>
      </c>
      <c r="X245" t="s">
        <v>1087</v>
      </c>
      <c r="Y245">
        <v>36</v>
      </c>
      <c r="Z245">
        <v>12</v>
      </c>
      <c r="AA245">
        <v>655</v>
      </c>
    </row>
    <row r="246" spans="1:27" x14ac:dyDescent="0.3">
      <c r="A246" s="15">
        <v>44482.789525462962</v>
      </c>
      <c r="B246" t="s">
        <v>13</v>
      </c>
      <c r="C246" t="s">
        <v>1080</v>
      </c>
      <c r="D246" s="2">
        <v>44443</v>
      </c>
      <c r="E246" t="s">
        <v>953</v>
      </c>
      <c r="F246" t="s">
        <v>41</v>
      </c>
      <c r="G246" t="s">
        <v>940</v>
      </c>
      <c r="H246" t="s">
        <v>48</v>
      </c>
      <c r="I246" t="s">
        <v>1126</v>
      </c>
      <c r="J246" t="s">
        <v>1119</v>
      </c>
      <c r="K246">
        <v>340</v>
      </c>
      <c r="L246">
        <v>3</v>
      </c>
      <c r="M246">
        <v>14.7</v>
      </c>
      <c r="N246" t="s">
        <v>23</v>
      </c>
      <c r="O246">
        <v>0</v>
      </c>
      <c r="P246">
        <v>0</v>
      </c>
      <c r="Q246">
        <v>451</v>
      </c>
      <c r="R246">
        <v>6937</v>
      </c>
      <c r="S246">
        <v>1.36</v>
      </c>
      <c r="T246">
        <v>14.7</v>
      </c>
      <c r="U246">
        <v>4</v>
      </c>
      <c r="V246">
        <v>3675</v>
      </c>
      <c r="W246" t="s">
        <v>1153</v>
      </c>
      <c r="X246" t="s">
        <v>1087</v>
      </c>
      <c r="Y246">
        <v>36</v>
      </c>
      <c r="Z246">
        <v>12</v>
      </c>
      <c r="AA246">
        <v>340</v>
      </c>
    </row>
    <row r="247" spans="1:27" x14ac:dyDescent="0.3">
      <c r="A247" s="15">
        <v>44482.794861111113</v>
      </c>
      <c r="B247" t="s">
        <v>13</v>
      </c>
      <c r="C247" t="s">
        <v>1080</v>
      </c>
      <c r="D247" s="2">
        <v>44449</v>
      </c>
      <c r="E247" t="s">
        <v>1027</v>
      </c>
      <c r="F247" t="s">
        <v>40</v>
      </c>
      <c r="G247" t="s">
        <v>48</v>
      </c>
      <c r="H247" t="s">
        <v>944</v>
      </c>
      <c r="I247" t="s">
        <v>973</v>
      </c>
      <c r="J247" t="s">
        <v>509</v>
      </c>
      <c r="K247">
        <v>1501</v>
      </c>
      <c r="L247">
        <v>12</v>
      </c>
      <c r="M247">
        <v>38.700000000000003</v>
      </c>
      <c r="N247" t="s">
        <v>23</v>
      </c>
      <c r="O247">
        <v>0</v>
      </c>
      <c r="P247">
        <v>0</v>
      </c>
      <c r="Q247">
        <v>457</v>
      </c>
      <c r="R247">
        <v>6946</v>
      </c>
      <c r="S247">
        <v>6.0039999999999996</v>
      </c>
      <c r="T247">
        <v>38.700000000000003</v>
      </c>
      <c r="U247">
        <v>4</v>
      </c>
      <c r="V247">
        <v>9675</v>
      </c>
      <c r="W247" t="s">
        <v>1153</v>
      </c>
      <c r="X247" t="s">
        <v>1087</v>
      </c>
      <c r="Y247">
        <v>37</v>
      </c>
      <c r="Z247">
        <v>6</v>
      </c>
      <c r="AA247">
        <v>750.5</v>
      </c>
    </row>
    <row r="248" spans="1:27" x14ac:dyDescent="0.3">
      <c r="A248" s="15">
        <v>44482.796689814815</v>
      </c>
      <c r="B248" t="s">
        <v>13</v>
      </c>
      <c r="C248" t="s">
        <v>1080</v>
      </c>
      <c r="D248" s="2">
        <v>44453</v>
      </c>
      <c r="E248" t="s">
        <v>1081</v>
      </c>
      <c r="F248" t="s">
        <v>40</v>
      </c>
      <c r="G248" t="s">
        <v>48</v>
      </c>
      <c r="H248" t="s">
        <v>944</v>
      </c>
      <c r="I248" t="s">
        <v>973</v>
      </c>
      <c r="J248" t="s">
        <v>509</v>
      </c>
      <c r="K248">
        <v>1620</v>
      </c>
      <c r="L248">
        <v>12</v>
      </c>
      <c r="M248">
        <v>40.6</v>
      </c>
      <c r="N248" t="s">
        <v>23</v>
      </c>
      <c r="O248">
        <v>0</v>
      </c>
      <c r="P248">
        <v>0</v>
      </c>
      <c r="Q248">
        <v>457</v>
      </c>
      <c r="R248">
        <v>6950</v>
      </c>
      <c r="S248">
        <v>6.48</v>
      </c>
      <c r="T248">
        <v>40.6</v>
      </c>
      <c r="U248">
        <v>4</v>
      </c>
      <c r="V248">
        <v>10150</v>
      </c>
      <c r="W248" t="s">
        <v>1153</v>
      </c>
      <c r="X248" t="s">
        <v>1087</v>
      </c>
      <c r="Y248">
        <v>38</v>
      </c>
      <c r="Z248">
        <v>6</v>
      </c>
      <c r="AA248">
        <v>810</v>
      </c>
    </row>
    <row r="249" spans="1:27" x14ac:dyDescent="0.3">
      <c r="A249" s="15">
        <v>44482.797615740739</v>
      </c>
      <c r="B249" t="s">
        <v>13</v>
      </c>
      <c r="C249" t="s">
        <v>1080</v>
      </c>
      <c r="D249" s="2">
        <v>44454</v>
      </c>
      <c r="E249" t="s">
        <v>953</v>
      </c>
      <c r="F249" t="s">
        <v>40</v>
      </c>
      <c r="G249" t="s">
        <v>48</v>
      </c>
      <c r="H249" t="s">
        <v>944</v>
      </c>
      <c r="I249" t="s">
        <v>973</v>
      </c>
      <c r="J249" t="s">
        <v>509</v>
      </c>
      <c r="K249">
        <v>1533</v>
      </c>
      <c r="L249">
        <v>12</v>
      </c>
      <c r="M249">
        <v>39.1</v>
      </c>
      <c r="N249" t="s">
        <v>23</v>
      </c>
      <c r="O249">
        <v>0</v>
      </c>
      <c r="P249">
        <v>0</v>
      </c>
      <c r="Q249">
        <v>457</v>
      </c>
      <c r="R249">
        <v>6954</v>
      </c>
      <c r="S249">
        <v>6.1319999999999997</v>
      </c>
      <c r="T249">
        <v>39.1</v>
      </c>
      <c r="U249">
        <v>4</v>
      </c>
      <c r="V249">
        <v>9775</v>
      </c>
      <c r="W249" t="s">
        <v>1153</v>
      </c>
      <c r="X249" t="s">
        <v>1087</v>
      </c>
      <c r="Y249">
        <v>38</v>
      </c>
      <c r="Z249">
        <v>6</v>
      </c>
      <c r="AA249">
        <v>766.5</v>
      </c>
    </row>
    <row r="250" spans="1:27" x14ac:dyDescent="0.3">
      <c r="A250" s="15">
        <v>44477.585069444445</v>
      </c>
      <c r="B250" t="s">
        <v>13</v>
      </c>
      <c r="C250" t="s">
        <v>1080</v>
      </c>
      <c r="D250" s="2">
        <v>44454</v>
      </c>
      <c r="E250" t="s">
        <v>1081</v>
      </c>
      <c r="F250" t="s">
        <v>41</v>
      </c>
      <c r="G250" t="s">
        <v>940</v>
      </c>
      <c r="H250" t="s">
        <v>48</v>
      </c>
      <c r="I250" t="s">
        <v>961</v>
      </c>
      <c r="J250" t="s">
        <v>501</v>
      </c>
      <c r="K250">
        <v>2160</v>
      </c>
      <c r="L250">
        <v>12</v>
      </c>
      <c r="M250">
        <v>38.200000000000003</v>
      </c>
      <c r="N250" t="s">
        <v>23</v>
      </c>
      <c r="O250">
        <v>0</v>
      </c>
      <c r="P250">
        <v>3</v>
      </c>
      <c r="Q250">
        <v>438</v>
      </c>
      <c r="R250">
        <v>6747</v>
      </c>
      <c r="S250">
        <v>7.56</v>
      </c>
      <c r="T250">
        <v>38.200000000000003</v>
      </c>
      <c r="U250">
        <v>3.5</v>
      </c>
      <c r="V250">
        <v>10914.285714285714</v>
      </c>
      <c r="W250" t="s">
        <v>1153</v>
      </c>
      <c r="X250" t="s">
        <v>1087</v>
      </c>
      <c r="Y250">
        <v>38</v>
      </c>
      <c r="Z250">
        <v>4</v>
      </c>
      <c r="AA250">
        <v>720</v>
      </c>
    </row>
    <row r="251" spans="1:27" x14ac:dyDescent="0.3">
      <c r="A251" s="15">
        <v>44482.798182870371</v>
      </c>
      <c r="B251" t="s">
        <v>13</v>
      </c>
      <c r="C251" t="s">
        <v>1080</v>
      </c>
      <c r="D251" s="2">
        <v>44455</v>
      </c>
      <c r="E251" t="s">
        <v>1081</v>
      </c>
      <c r="F251" t="s">
        <v>40</v>
      </c>
      <c r="G251" t="s">
        <v>48</v>
      </c>
      <c r="H251" t="s">
        <v>944</v>
      </c>
      <c r="I251" t="s">
        <v>973</v>
      </c>
      <c r="J251" t="s">
        <v>509</v>
      </c>
      <c r="K251">
        <v>1558</v>
      </c>
      <c r="L251">
        <v>12</v>
      </c>
      <c r="M251">
        <v>40.5</v>
      </c>
      <c r="N251" t="s">
        <v>23</v>
      </c>
      <c r="O251">
        <v>0</v>
      </c>
      <c r="P251">
        <v>0</v>
      </c>
      <c r="Q251">
        <v>457</v>
      </c>
      <c r="R251">
        <v>6956</v>
      </c>
      <c r="S251">
        <v>6.2320000000000002</v>
      </c>
      <c r="T251">
        <v>40.5</v>
      </c>
      <c r="U251">
        <v>4</v>
      </c>
      <c r="V251">
        <v>10125</v>
      </c>
      <c r="W251" t="s">
        <v>1153</v>
      </c>
      <c r="X251" t="s">
        <v>1087</v>
      </c>
      <c r="Y251">
        <v>38</v>
      </c>
      <c r="Z251">
        <v>6</v>
      </c>
      <c r="AA251">
        <v>779</v>
      </c>
    </row>
    <row r="252" spans="1:27" x14ac:dyDescent="0.3">
      <c r="A252" s="15">
        <v>44482.79892361111</v>
      </c>
      <c r="B252" t="s">
        <v>13</v>
      </c>
      <c r="C252" t="s">
        <v>1080</v>
      </c>
      <c r="D252" s="2">
        <v>44456</v>
      </c>
      <c r="E252" t="s">
        <v>1081</v>
      </c>
      <c r="F252" t="s">
        <v>40</v>
      </c>
      <c r="G252" t="s">
        <v>48</v>
      </c>
      <c r="H252" t="s">
        <v>944</v>
      </c>
      <c r="I252" t="s">
        <v>973</v>
      </c>
      <c r="J252" t="s">
        <v>509</v>
      </c>
      <c r="K252">
        <v>1558</v>
      </c>
      <c r="L252">
        <v>12</v>
      </c>
      <c r="M252">
        <v>40.5</v>
      </c>
      <c r="N252" t="s">
        <v>23</v>
      </c>
      <c r="O252">
        <v>0</v>
      </c>
      <c r="P252">
        <v>0</v>
      </c>
      <c r="Q252">
        <v>457</v>
      </c>
      <c r="R252">
        <v>6958</v>
      </c>
      <c r="S252">
        <v>6.2320000000000002</v>
      </c>
      <c r="T252">
        <v>40.5</v>
      </c>
      <c r="U252">
        <v>4</v>
      </c>
      <c r="V252">
        <v>10125</v>
      </c>
      <c r="W252" t="s">
        <v>1153</v>
      </c>
      <c r="X252" t="s">
        <v>1087</v>
      </c>
      <c r="Y252">
        <v>38</v>
      </c>
      <c r="Z252">
        <v>6</v>
      </c>
      <c r="AA252">
        <v>779</v>
      </c>
    </row>
    <row r="253" spans="1:27" x14ac:dyDescent="0.3">
      <c r="A253" s="15">
        <v>44482.800416666665</v>
      </c>
      <c r="B253" t="s">
        <v>13</v>
      </c>
      <c r="C253" t="s">
        <v>1080</v>
      </c>
      <c r="D253" s="2">
        <v>44462</v>
      </c>
      <c r="E253" t="s">
        <v>953</v>
      </c>
      <c r="F253" t="s">
        <v>40</v>
      </c>
      <c r="G253" t="s">
        <v>48</v>
      </c>
      <c r="H253" t="s">
        <v>944</v>
      </c>
      <c r="I253" t="s">
        <v>1054</v>
      </c>
      <c r="J253" t="s">
        <v>484</v>
      </c>
      <c r="K253">
        <v>1045</v>
      </c>
      <c r="L253">
        <v>12</v>
      </c>
      <c r="M253">
        <v>81.599999999999994</v>
      </c>
      <c r="N253" t="s">
        <v>23</v>
      </c>
      <c r="O253">
        <v>0</v>
      </c>
      <c r="P253">
        <v>0</v>
      </c>
      <c r="Q253">
        <v>457</v>
      </c>
      <c r="R253">
        <v>6961</v>
      </c>
      <c r="S253">
        <v>12.54</v>
      </c>
      <c r="T253">
        <v>81.599999999999994</v>
      </c>
      <c r="U253">
        <v>12</v>
      </c>
      <c r="V253">
        <v>6800</v>
      </c>
      <c r="W253" t="s">
        <v>1153</v>
      </c>
      <c r="X253" t="s">
        <v>1087</v>
      </c>
      <c r="Y253">
        <v>39</v>
      </c>
      <c r="Z253">
        <v>6</v>
      </c>
      <c r="AA253">
        <v>522.5</v>
      </c>
    </row>
    <row r="254" spans="1:27" x14ac:dyDescent="0.3">
      <c r="A254" s="15">
        <v>44482.80097222222</v>
      </c>
      <c r="B254" t="s">
        <v>13</v>
      </c>
      <c r="C254" t="s">
        <v>1080</v>
      </c>
      <c r="D254" s="2">
        <v>44463</v>
      </c>
      <c r="E254" t="s">
        <v>953</v>
      </c>
      <c r="F254" t="s">
        <v>40</v>
      </c>
      <c r="G254" t="s">
        <v>48</v>
      </c>
      <c r="H254" t="s">
        <v>944</v>
      </c>
      <c r="I254" t="s">
        <v>1054</v>
      </c>
      <c r="J254" t="s">
        <v>484</v>
      </c>
      <c r="K254">
        <v>1290</v>
      </c>
      <c r="L254">
        <v>12</v>
      </c>
      <c r="M254">
        <v>99.8</v>
      </c>
      <c r="N254" t="s">
        <v>23</v>
      </c>
      <c r="O254">
        <v>0</v>
      </c>
      <c r="P254">
        <v>0</v>
      </c>
      <c r="Q254">
        <v>457</v>
      </c>
      <c r="R254">
        <v>6963</v>
      </c>
      <c r="S254">
        <v>15.48</v>
      </c>
      <c r="T254">
        <v>99.8</v>
      </c>
      <c r="U254">
        <v>12</v>
      </c>
      <c r="V254">
        <v>8316.6666666666661</v>
      </c>
      <c r="W254" t="s">
        <v>1153</v>
      </c>
      <c r="X254" t="s">
        <v>1087</v>
      </c>
      <c r="Y254">
        <v>39</v>
      </c>
      <c r="Z254">
        <v>6</v>
      </c>
      <c r="AA254">
        <v>645</v>
      </c>
    </row>
    <row r="255" spans="1:27" x14ac:dyDescent="0.3">
      <c r="A255" s="15">
        <v>44477.581053240741</v>
      </c>
      <c r="B255" t="s">
        <v>13</v>
      </c>
      <c r="C255" t="s">
        <v>1028</v>
      </c>
      <c r="D255" s="2">
        <v>44447</v>
      </c>
      <c r="E255" t="s">
        <v>953</v>
      </c>
      <c r="F255" t="s">
        <v>41</v>
      </c>
      <c r="G255" t="s">
        <v>943</v>
      </c>
      <c r="H255" t="s">
        <v>48</v>
      </c>
      <c r="I255" t="s">
        <v>1127</v>
      </c>
      <c r="J255" t="s">
        <v>1124</v>
      </c>
      <c r="K255">
        <v>388</v>
      </c>
      <c r="L255">
        <v>5</v>
      </c>
      <c r="M255">
        <v>34.14</v>
      </c>
      <c r="N255" t="s">
        <v>23</v>
      </c>
      <c r="O255">
        <v>0</v>
      </c>
      <c r="P255">
        <v>4</v>
      </c>
      <c r="Q255">
        <v>455</v>
      </c>
      <c r="R255">
        <v>6741</v>
      </c>
      <c r="S255">
        <v>8.5359999999999996</v>
      </c>
      <c r="T255">
        <v>34.14</v>
      </c>
      <c r="U255">
        <v>22</v>
      </c>
      <c r="V255">
        <v>1551.8181818181818</v>
      </c>
      <c r="W255" t="s">
        <v>1153</v>
      </c>
      <c r="X255" t="s">
        <v>1087</v>
      </c>
      <c r="Y255">
        <v>37</v>
      </c>
      <c r="Z255">
        <v>4</v>
      </c>
      <c r="AA255">
        <v>129.33333333333334</v>
      </c>
    </row>
    <row r="256" spans="1:27" x14ac:dyDescent="0.3">
      <c r="A256" s="15">
        <v>44477.580497685187</v>
      </c>
      <c r="B256" t="s">
        <v>13</v>
      </c>
      <c r="C256" t="s">
        <v>1028</v>
      </c>
      <c r="D256" s="2">
        <v>44447</v>
      </c>
      <c r="E256" t="s">
        <v>953</v>
      </c>
      <c r="F256" t="s">
        <v>41</v>
      </c>
      <c r="G256" t="s">
        <v>943</v>
      </c>
      <c r="H256" t="s">
        <v>48</v>
      </c>
      <c r="I256" t="s">
        <v>1127</v>
      </c>
      <c r="J256" t="s">
        <v>1122</v>
      </c>
      <c r="K256">
        <v>80</v>
      </c>
      <c r="L256">
        <v>1</v>
      </c>
      <c r="M256">
        <v>7.04</v>
      </c>
      <c r="N256" t="s">
        <v>23</v>
      </c>
      <c r="O256">
        <v>0</v>
      </c>
      <c r="P256">
        <v>1</v>
      </c>
      <c r="Q256">
        <v>455</v>
      </c>
      <c r="R256">
        <v>6741</v>
      </c>
      <c r="S256">
        <v>1.76</v>
      </c>
      <c r="T256">
        <v>7.04</v>
      </c>
      <c r="U256">
        <v>22</v>
      </c>
      <c r="V256">
        <v>320</v>
      </c>
      <c r="W256" t="s">
        <v>1153</v>
      </c>
      <c r="X256" t="s">
        <v>1087</v>
      </c>
      <c r="Y256">
        <v>37</v>
      </c>
      <c r="Z256">
        <v>4</v>
      </c>
      <c r="AA256">
        <v>26.666666666666668</v>
      </c>
    </row>
    <row r="257" spans="1:27" x14ac:dyDescent="0.3">
      <c r="A257" s="15">
        <v>44477.597349537034</v>
      </c>
      <c r="B257" t="s">
        <v>13</v>
      </c>
      <c r="C257" t="s">
        <v>1028</v>
      </c>
      <c r="D257" s="2">
        <v>44457</v>
      </c>
      <c r="E257" t="s">
        <v>953</v>
      </c>
      <c r="F257" t="s">
        <v>41</v>
      </c>
      <c r="G257" t="s">
        <v>950</v>
      </c>
      <c r="H257" t="s">
        <v>951</v>
      </c>
      <c r="I257" t="s">
        <v>1103</v>
      </c>
      <c r="J257" t="s">
        <v>1102</v>
      </c>
      <c r="K257">
        <v>559</v>
      </c>
      <c r="L257">
        <v>7</v>
      </c>
      <c r="M257">
        <v>15.65</v>
      </c>
      <c r="N257" t="s">
        <v>23</v>
      </c>
      <c r="O257">
        <v>0</v>
      </c>
      <c r="P257">
        <v>2</v>
      </c>
      <c r="Q257">
        <v>463</v>
      </c>
      <c r="R257">
        <v>6751</v>
      </c>
      <c r="S257">
        <v>15.651999999999999</v>
      </c>
      <c r="T257">
        <v>15.65</v>
      </c>
      <c r="U257">
        <v>28</v>
      </c>
      <c r="V257">
        <v>558.92857142857144</v>
      </c>
      <c r="W257" t="s">
        <v>1153</v>
      </c>
      <c r="X257" t="s">
        <v>1087</v>
      </c>
      <c r="Y257">
        <v>38</v>
      </c>
      <c r="Z257">
        <v>1</v>
      </c>
      <c r="AA257">
        <v>46.583333333333336</v>
      </c>
    </row>
    <row r="258" spans="1:27" x14ac:dyDescent="0.3">
      <c r="A258" s="15">
        <v>44477.596863425926</v>
      </c>
      <c r="B258" t="s">
        <v>13</v>
      </c>
      <c r="C258" t="s">
        <v>1028</v>
      </c>
      <c r="D258" s="2">
        <v>44457</v>
      </c>
      <c r="E258" t="s">
        <v>953</v>
      </c>
      <c r="F258" t="s">
        <v>41</v>
      </c>
      <c r="G258" t="s">
        <v>950</v>
      </c>
      <c r="H258" t="s">
        <v>951</v>
      </c>
      <c r="I258" t="s">
        <v>1103</v>
      </c>
      <c r="J258" t="s">
        <v>1101</v>
      </c>
      <c r="K258">
        <v>1000</v>
      </c>
      <c r="L258">
        <v>7</v>
      </c>
      <c r="M258">
        <v>28.3</v>
      </c>
      <c r="N258" t="s">
        <v>23</v>
      </c>
      <c r="O258">
        <v>0</v>
      </c>
      <c r="P258">
        <v>3</v>
      </c>
      <c r="Q258">
        <v>463</v>
      </c>
      <c r="R258">
        <v>6751</v>
      </c>
      <c r="S258">
        <v>28</v>
      </c>
      <c r="T258">
        <v>28.3</v>
      </c>
      <c r="U258">
        <v>28</v>
      </c>
      <c r="V258">
        <v>1010.7142857142857</v>
      </c>
      <c r="W258" t="s">
        <v>1153</v>
      </c>
      <c r="X258" t="s">
        <v>1087</v>
      </c>
      <c r="Y258">
        <v>38</v>
      </c>
      <c r="Z258">
        <v>1</v>
      </c>
      <c r="AA258">
        <v>83.333333333333329</v>
      </c>
    </row>
    <row r="259" spans="1:27" x14ac:dyDescent="0.3">
      <c r="A259" s="15">
        <v>44477.599942129629</v>
      </c>
      <c r="B259" t="s">
        <v>13</v>
      </c>
      <c r="C259" t="s">
        <v>1028</v>
      </c>
      <c r="D259" s="2">
        <v>44459</v>
      </c>
      <c r="E259" t="s">
        <v>1081</v>
      </c>
      <c r="F259" t="s">
        <v>41</v>
      </c>
      <c r="G259" t="s">
        <v>950</v>
      </c>
      <c r="H259" t="s">
        <v>951</v>
      </c>
      <c r="I259" t="s">
        <v>1103</v>
      </c>
      <c r="J259" t="s">
        <v>1102</v>
      </c>
      <c r="K259">
        <v>1945</v>
      </c>
      <c r="L259">
        <v>12</v>
      </c>
      <c r="M259">
        <v>54.46</v>
      </c>
      <c r="N259" t="s">
        <v>23</v>
      </c>
      <c r="O259">
        <v>0</v>
      </c>
      <c r="P259">
        <v>8</v>
      </c>
      <c r="Q259">
        <v>463</v>
      </c>
      <c r="R259">
        <v>6753</v>
      </c>
      <c r="S259">
        <v>54.46</v>
      </c>
      <c r="T259">
        <v>54.46</v>
      </c>
      <c r="U259">
        <v>28</v>
      </c>
      <c r="V259">
        <v>1945</v>
      </c>
      <c r="W259" t="s">
        <v>1153</v>
      </c>
      <c r="X259" t="s">
        <v>1087</v>
      </c>
      <c r="Y259">
        <v>39</v>
      </c>
      <c r="Z259">
        <v>1</v>
      </c>
      <c r="AA259">
        <v>162.08333333333334</v>
      </c>
    </row>
    <row r="260" spans="1:27" x14ac:dyDescent="0.3">
      <c r="A260" s="15">
        <v>44477.60491898148</v>
      </c>
      <c r="B260" t="s">
        <v>13</v>
      </c>
      <c r="C260" t="s">
        <v>1028</v>
      </c>
      <c r="D260" s="2">
        <v>44460</v>
      </c>
      <c r="E260" t="s">
        <v>1133</v>
      </c>
      <c r="F260" t="s">
        <v>41</v>
      </c>
      <c r="G260" t="s">
        <v>950</v>
      </c>
      <c r="H260" t="s">
        <v>951</v>
      </c>
      <c r="I260" t="s">
        <v>1103</v>
      </c>
      <c r="J260" t="s">
        <v>1099</v>
      </c>
      <c r="K260">
        <v>1820</v>
      </c>
      <c r="L260">
        <v>12</v>
      </c>
      <c r="M260">
        <v>50.96</v>
      </c>
      <c r="N260" t="s">
        <v>23</v>
      </c>
      <c r="O260">
        <v>0</v>
      </c>
      <c r="P260">
        <v>3</v>
      </c>
      <c r="Q260">
        <v>463</v>
      </c>
      <c r="R260">
        <v>6755</v>
      </c>
      <c r="S260">
        <v>50.96</v>
      </c>
      <c r="T260">
        <v>50.96</v>
      </c>
      <c r="U260">
        <v>28</v>
      </c>
      <c r="V260">
        <v>1820</v>
      </c>
      <c r="W260" t="s">
        <v>1153</v>
      </c>
      <c r="X260" t="s">
        <v>1087</v>
      </c>
      <c r="Y260">
        <v>39</v>
      </c>
      <c r="Z260">
        <v>1</v>
      </c>
      <c r="AA260">
        <v>151.66666666666666</v>
      </c>
    </row>
    <row r="261" spans="1:27" x14ac:dyDescent="0.3">
      <c r="A261" s="15">
        <v>44477.601458333331</v>
      </c>
      <c r="B261" t="s">
        <v>13</v>
      </c>
      <c r="C261" t="s">
        <v>1028</v>
      </c>
      <c r="D261" s="2">
        <v>44460</v>
      </c>
      <c r="E261" t="s">
        <v>1133</v>
      </c>
      <c r="F261" t="s">
        <v>41</v>
      </c>
      <c r="G261" t="s">
        <v>950</v>
      </c>
      <c r="H261" t="s">
        <v>951</v>
      </c>
      <c r="I261" t="s">
        <v>1103</v>
      </c>
      <c r="J261" t="s">
        <v>1102</v>
      </c>
      <c r="K261">
        <v>160</v>
      </c>
      <c r="L261">
        <v>3</v>
      </c>
      <c r="M261">
        <v>4.4800000000000004</v>
      </c>
      <c r="N261" t="s">
        <v>23</v>
      </c>
      <c r="O261">
        <v>0</v>
      </c>
      <c r="P261">
        <v>1</v>
      </c>
      <c r="Q261">
        <v>463</v>
      </c>
      <c r="R261">
        <v>6754</v>
      </c>
      <c r="S261">
        <v>4.4800000000000004</v>
      </c>
      <c r="T261">
        <v>4.4800000000000004</v>
      </c>
      <c r="U261">
        <v>28</v>
      </c>
      <c r="V261">
        <v>160</v>
      </c>
      <c r="W261" t="s">
        <v>1153</v>
      </c>
      <c r="X261" t="s">
        <v>1087</v>
      </c>
      <c r="Y261">
        <v>39</v>
      </c>
      <c r="Z261">
        <v>1</v>
      </c>
      <c r="AA261">
        <v>13.333333333333334</v>
      </c>
    </row>
    <row r="262" spans="1:27" x14ac:dyDescent="0.3">
      <c r="A262" s="15">
        <v>44477.606805555559</v>
      </c>
      <c r="B262" t="s">
        <v>13</v>
      </c>
      <c r="C262" t="s">
        <v>1028</v>
      </c>
      <c r="D262" s="2">
        <v>44461</v>
      </c>
      <c r="E262" t="s">
        <v>1081</v>
      </c>
      <c r="F262" t="s">
        <v>41</v>
      </c>
      <c r="G262" t="s">
        <v>950</v>
      </c>
      <c r="H262" t="s">
        <v>951</v>
      </c>
      <c r="I262" t="s">
        <v>1103</v>
      </c>
      <c r="J262" t="s">
        <v>1100</v>
      </c>
      <c r="K262">
        <v>1920</v>
      </c>
      <c r="L262">
        <v>12</v>
      </c>
      <c r="M262">
        <v>53.76</v>
      </c>
      <c r="N262" t="s">
        <v>23</v>
      </c>
      <c r="O262">
        <v>0</v>
      </c>
      <c r="P262">
        <v>8</v>
      </c>
      <c r="Q262">
        <v>463</v>
      </c>
      <c r="R262">
        <v>6758</v>
      </c>
      <c r="S262">
        <v>53.76</v>
      </c>
      <c r="T262">
        <v>53.76</v>
      </c>
      <c r="U262">
        <v>28</v>
      </c>
      <c r="V262">
        <v>1920</v>
      </c>
      <c r="W262" t="s">
        <v>1153</v>
      </c>
      <c r="X262" t="s">
        <v>1087</v>
      </c>
      <c r="Y262">
        <v>39</v>
      </c>
      <c r="Z262">
        <v>1</v>
      </c>
      <c r="AA262">
        <v>160</v>
      </c>
    </row>
    <row r="263" spans="1:27" x14ac:dyDescent="0.3">
      <c r="A263" s="15">
        <v>44482.657025462962</v>
      </c>
      <c r="B263" t="s">
        <v>13</v>
      </c>
      <c r="C263" t="s">
        <v>1028</v>
      </c>
      <c r="D263" s="2">
        <v>44469</v>
      </c>
      <c r="E263" t="s">
        <v>1081</v>
      </c>
      <c r="F263" t="s">
        <v>41</v>
      </c>
      <c r="G263" t="s">
        <v>950</v>
      </c>
      <c r="H263" t="s">
        <v>951</v>
      </c>
      <c r="I263" t="s">
        <v>1103</v>
      </c>
      <c r="J263" t="s">
        <v>1102</v>
      </c>
      <c r="K263">
        <v>902</v>
      </c>
      <c r="L263">
        <v>6</v>
      </c>
      <c r="M263">
        <v>25.26</v>
      </c>
      <c r="N263" t="s">
        <v>23</v>
      </c>
      <c r="O263">
        <v>0</v>
      </c>
      <c r="P263">
        <v>4</v>
      </c>
      <c r="Q263">
        <v>463</v>
      </c>
      <c r="R263">
        <v>6766</v>
      </c>
      <c r="S263">
        <v>25.256</v>
      </c>
      <c r="T263">
        <v>25.26</v>
      </c>
      <c r="U263">
        <v>28</v>
      </c>
      <c r="V263">
        <v>902.14285714285711</v>
      </c>
      <c r="W263" t="s">
        <v>1153</v>
      </c>
      <c r="X263" t="s">
        <v>1087</v>
      </c>
      <c r="Y263">
        <v>40</v>
      </c>
      <c r="Z263">
        <v>1</v>
      </c>
      <c r="AA263">
        <v>75.166666666666671</v>
      </c>
    </row>
    <row r="264" spans="1:27" x14ac:dyDescent="0.3">
      <c r="A264" s="15">
        <v>44482.656597222223</v>
      </c>
      <c r="B264" t="s">
        <v>13</v>
      </c>
      <c r="C264" t="s">
        <v>1028</v>
      </c>
      <c r="D264" s="2">
        <v>44469</v>
      </c>
      <c r="E264" t="s">
        <v>1081</v>
      </c>
      <c r="F264" t="s">
        <v>41</v>
      </c>
      <c r="G264" t="s">
        <v>950</v>
      </c>
      <c r="H264" t="s">
        <v>951</v>
      </c>
      <c r="I264" t="s">
        <v>1103</v>
      </c>
      <c r="J264" t="s">
        <v>1099</v>
      </c>
      <c r="K264">
        <v>732</v>
      </c>
      <c r="L264">
        <v>5</v>
      </c>
      <c r="M264">
        <v>20.49</v>
      </c>
      <c r="N264" t="s">
        <v>23</v>
      </c>
      <c r="O264">
        <v>0</v>
      </c>
      <c r="P264">
        <v>3</v>
      </c>
      <c r="Q264">
        <v>463</v>
      </c>
      <c r="R264">
        <v>6766</v>
      </c>
      <c r="S264">
        <v>20.495999999999999</v>
      </c>
      <c r="T264">
        <v>20.49</v>
      </c>
      <c r="U264">
        <v>28</v>
      </c>
      <c r="V264">
        <v>731.78571428571433</v>
      </c>
      <c r="W264" t="s">
        <v>1153</v>
      </c>
      <c r="X264" t="s">
        <v>1087</v>
      </c>
      <c r="Y264">
        <v>40</v>
      </c>
      <c r="Z264">
        <v>1</v>
      </c>
      <c r="AA264">
        <v>61</v>
      </c>
    </row>
    <row r="265" spans="1:27" x14ac:dyDescent="0.3">
      <c r="A265" s="15">
        <v>44482.708611111113</v>
      </c>
      <c r="B265" t="s">
        <v>12</v>
      </c>
      <c r="C265" t="s">
        <v>1078</v>
      </c>
      <c r="D265" s="2">
        <v>44449</v>
      </c>
      <c r="E265" t="s">
        <v>953</v>
      </c>
      <c r="F265" t="s">
        <v>41</v>
      </c>
      <c r="G265" t="s">
        <v>942</v>
      </c>
      <c r="H265" t="s">
        <v>48</v>
      </c>
      <c r="I265" t="s">
        <v>1140</v>
      </c>
      <c r="J265" t="s">
        <v>1137</v>
      </c>
      <c r="K265">
        <v>540</v>
      </c>
      <c r="L265">
        <v>5</v>
      </c>
      <c r="M265">
        <v>26.7</v>
      </c>
      <c r="N265" t="s">
        <v>23</v>
      </c>
      <c r="O265">
        <v>0</v>
      </c>
      <c r="P265">
        <v>4</v>
      </c>
      <c r="R265">
        <v>7022</v>
      </c>
      <c r="S265">
        <v>27</v>
      </c>
      <c r="T265">
        <v>26.7</v>
      </c>
      <c r="U265">
        <v>50</v>
      </c>
      <c r="V265">
        <v>534</v>
      </c>
      <c r="W265" t="s">
        <v>1153</v>
      </c>
      <c r="X265" t="s">
        <v>1087</v>
      </c>
      <c r="Y265">
        <v>37</v>
      </c>
      <c r="Z265">
        <v>1</v>
      </c>
      <c r="AA265">
        <v>45</v>
      </c>
    </row>
    <row r="266" spans="1:27" x14ac:dyDescent="0.3">
      <c r="A266" s="15">
        <v>44482.708310185182</v>
      </c>
      <c r="B266" t="s">
        <v>12</v>
      </c>
      <c r="C266" t="s">
        <v>1078</v>
      </c>
      <c r="D266" s="2">
        <v>44449</v>
      </c>
      <c r="E266" t="s">
        <v>953</v>
      </c>
      <c r="F266" t="s">
        <v>41</v>
      </c>
      <c r="G266" t="s">
        <v>942</v>
      </c>
      <c r="H266" t="s">
        <v>48</v>
      </c>
      <c r="I266" t="s">
        <v>1140</v>
      </c>
      <c r="J266" t="s">
        <v>1138</v>
      </c>
      <c r="K266">
        <v>782</v>
      </c>
      <c r="L266">
        <v>5</v>
      </c>
      <c r="M266">
        <v>39.200000000000003</v>
      </c>
      <c r="N266" t="s">
        <v>23</v>
      </c>
      <c r="O266">
        <v>0</v>
      </c>
      <c r="P266">
        <v>6</v>
      </c>
      <c r="R266">
        <v>7022</v>
      </c>
      <c r="S266">
        <v>39.1</v>
      </c>
      <c r="T266">
        <v>39.200000000000003</v>
      </c>
      <c r="U266">
        <v>50</v>
      </c>
      <c r="V266">
        <v>784</v>
      </c>
      <c r="W266" t="s">
        <v>1153</v>
      </c>
      <c r="X266" t="s">
        <v>1087</v>
      </c>
      <c r="Y266">
        <v>37</v>
      </c>
      <c r="Z266">
        <v>1</v>
      </c>
      <c r="AA266">
        <v>65.166666666666671</v>
      </c>
    </row>
    <row r="267" spans="1:27" x14ac:dyDescent="0.3">
      <c r="A267" s="15">
        <v>44482.711064814815</v>
      </c>
      <c r="B267" t="s">
        <v>12</v>
      </c>
      <c r="C267" t="s">
        <v>1078</v>
      </c>
      <c r="D267" s="2">
        <v>44450</v>
      </c>
      <c r="E267" t="s">
        <v>1027</v>
      </c>
      <c r="F267" t="s">
        <v>41</v>
      </c>
      <c r="G267" t="s">
        <v>942</v>
      </c>
      <c r="H267" t="s">
        <v>48</v>
      </c>
      <c r="I267" t="s">
        <v>1140</v>
      </c>
      <c r="J267" t="s">
        <v>1135</v>
      </c>
      <c r="K267">
        <v>80</v>
      </c>
      <c r="L267">
        <v>2</v>
      </c>
      <c r="M267">
        <v>4</v>
      </c>
      <c r="N267" t="s">
        <v>23</v>
      </c>
      <c r="O267">
        <v>0</v>
      </c>
      <c r="P267">
        <v>1</v>
      </c>
      <c r="R267">
        <v>7024</v>
      </c>
      <c r="S267">
        <v>4</v>
      </c>
      <c r="T267">
        <v>4</v>
      </c>
      <c r="U267">
        <v>50</v>
      </c>
      <c r="V267">
        <v>80</v>
      </c>
      <c r="W267" t="s">
        <v>1153</v>
      </c>
      <c r="X267" t="s">
        <v>1087</v>
      </c>
      <c r="Y267">
        <v>37</v>
      </c>
      <c r="Z267">
        <v>1</v>
      </c>
      <c r="AA267">
        <v>6.666666666666667</v>
      </c>
    </row>
    <row r="268" spans="1:27" x14ac:dyDescent="0.3">
      <c r="A268" s="15">
        <v>44482.710682870369</v>
      </c>
      <c r="B268" t="s">
        <v>12</v>
      </c>
      <c r="C268" t="s">
        <v>1078</v>
      </c>
      <c r="D268" s="2">
        <v>44450</v>
      </c>
      <c r="E268" t="s">
        <v>1027</v>
      </c>
      <c r="F268" t="s">
        <v>41</v>
      </c>
      <c r="G268" t="s">
        <v>942</v>
      </c>
      <c r="H268" t="s">
        <v>48</v>
      </c>
      <c r="I268" t="s">
        <v>1140</v>
      </c>
      <c r="J268" t="s">
        <v>1136</v>
      </c>
      <c r="K268">
        <v>1200</v>
      </c>
      <c r="L268">
        <v>10</v>
      </c>
      <c r="M268">
        <v>54.4</v>
      </c>
      <c r="N268" t="s">
        <v>23</v>
      </c>
      <c r="O268">
        <v>0</v>
      </c>
      <c r="P268">
        <v>8</v>
      </c>
      <c r="R268">
        <v>7024</v>
      </c>
      <c r="S268">
        <v>60</v>
      </c>
      <c r="T268">
        <v>54.4</v>
      </c>
      <c r="U268">
        <v>50</v>
      </c>
      <c r="V268">
        <v>1088</v>
      </c>
      <c r="W268" t="s">
        <v>1153</v>
      </c>
      <c r="X268" t="s">
        <v>1087</v>
      </c>
      <c r="Y268">
        <v>37</v>
      </c>
      <c r="Z268">
        <v>1</v>
      </c>
      <c r="AA268">
        <v>100</v>
      </c>
    </row>
    <row r="269" spans="1:27" x14ac:dyDescent="0.3">
      <c r="A269" s="15">
        <v>44483.640162037038</v>
      </c>
      <c r="B269" t="s">
        <v>12</v>
      </c>
      <c r="C269" t="s">
        <v>1030</v>
      </c>
      <c r="D269" s="2">
        <v>44468</v>
      </c>
      <c r="E269" t="s">
        <v>1027</v>
      </c>
      <c r="F269" t="s">
        <v>41</v>
      </c>
      <c r="G269" t="s">
        <v>941</v>
      </c>
      <c r="H269" t="s">
        <v>48</v>
      </c>
      <c r="I269" t="s">
        <v>1152</v>
      </c>
      <c r="J269" t="s">
        <v>133</v>
      </c>
      <c r="K269">
        <v>1351</v>
      </c>
      <c r="L269">
        <v>12</v>
      </c>
      <c r="M269">
        <v>116.2</v>
      </c>
      <c r="N269" t="s">
        <v>23</v>
      </c>
      <c r="O269">
        <v>0</v>
      </c>
      <c r="P269">
        <v>15</v>
      </c>
      <c r="Q269">
        <v>470</v>
      </c>
      <c r="R269">
        <v>6591</v>
      </c>
      <c r="S269">
        <v>118.88800000000001</v>
      </c>
      <c r="T269">
        <v>116.2</v>
      </c>
      <c r="U269">
        <v>88</v>
      </c>
      <c r="V269">
        <v>1320.4545454545455</v>
      </c>
      <c r="W269" t="s">
        <v>1153</v>
      </c>
      <c r="X269" t="s">
        <v>1087</v>
      </c>
      <c r="Y269">
        <v>40</v>
      </c>
      <c r="Z269">
        <v>1</v>
      </c>
      <c r="AA269">
        <v>112.58333333333333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5"/>
  <dimension ref="A1:AA24"/>
  <sheetViews>
    <sheetView workbookViewId="0">
      <selection activeCell="H16" sqref="H16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44483.69054398148</v>
      </c>
      <c r="B2" t="s">
        <v>13</v>
      </c>
      <c r="C2" t="s">
        <v>1060</v>
      </c>
      <c r="D2" s="2">
        <v>44440</v>
      </c>
      <c r="E2" t="s">
        <v>1105</v>
      </c>
      <c r="F2" t="s">
        <v>41</v>
      </c>
      <c r="G2" t="s">
        <v>940</v>
      </c>
      <c r="H2" t="s">
        <v>48</v>
      </c>
      <c r="I2" t="s">
        <v>966</v>
      </c>
      <c r="J2" t="s">
        <v>481</v>
      </c>
      <c r="K2">
        <v>365</v>
      </c>
      <c r="L2">
        <v>3</v>
      </c>
      <c r="M2" s="16">
        <v>42.4</v>
      </c>
      <c r="N2" t="s">
        <v>21</v>
      </c>
      <c r="O2">
        <v>0</v>
      </c>
      <c r="P2">
        <v>4</v>
      </c>
      <c r="Q2">
        <v>448</v>
      </c>
      <c r="R2">
        <v>6634</v>
      </c>
      <c r="S2">
        <v>21.17</v>
      </c>
      <c r="T2">
        <v>42.4</v>
      </c>
      <c r="U2">
        <v>58</v>
      </c>
      <c r="V2">
        <v>731.0344827586207</v>
      </c>
      <c r="W2" t="s">
        <v>1153</v>
      </c>
      <c r="X2" t="s">
        <v>1087</v>
      </c>
      <c r="Y2">
        <v>36</v>
      </c>
      <c r="Z2">
        <v>2</v>
      </c>
      <c r="AA2">
        <v>60.833333333333336</v>
      </c>
    </row>
    <row r="3" spans="1:27" x14ac:dyDescent="0.3">
      <c r="A3" s="15">
        <v>44483.698888888888</v>
      </c>
      <c r="B3" t="s">
        <v>13</v>
      </c>
      <c r="C3" t="s">
        <v>1060</v>
      </c>
      <c r="D3" s="2">
        <v>44441</v>
      </c>
      <c r="E3" t="s">
        <v>1105</v>
      </c>
      <c r="F3" t="s">
        <v>41</v>
      </c>
      <c r="G3" t="s">
        <v>940</v>
      </c>
      <c r="H3" t="s">
        <v>48</v>
      </c>
      <c r="I3" t="s">
        <v>966</v>
      </c>
      <c r="J3" t="s">
        <v>485</v>
      </c>
      <c r="K3">
        <v>503</v>
      </c>
      <c r="L3">
        <v>5</v>
      </c>
      <c r="M3" s="16">
        <v>57.1</v>
      </c>
      <c r="N3" t="s">
        <v>21</v>
      </c>
      <c r="O3">
        <v>0</v>
      </c>
      <c r="P3">
        <v>6</v>
      </c>
      <c r="Q3">
        <v>448</v>
      </c>
      <c r="R3">
        <v>6635</v>
      </c>
      <c r="S3">
        <v>44.767000000000003</v>
      </c>
      <c r="T3">
        <v>57.1</v>
      </c>
      <c r="U3">
        <v>89</v>
      </c>
      <c r="V3">
        <v>641.57303370786519</v>
      </c>
      <c r="W3" t="s">
        <v>1153</v>
      </c>
      <c r="X3" t="s">
        <v>1087</v>
      </c>
      <c r="Y3">
        <v>36</v>
      </c>
      <c r="Z3">
        <v>1</v>
      </c>
      <c r="AA3">
        <v>41.916666666666664</v>
      </c>
    </row>
    <row r="4" spans="1:27" x14ac:dyDescent="0.3">
      <c r="A4" s="15">
        <v>44483.700150462966</v>
      </c>
      <c r="B4" t="s">
        <v>13</v>
      </c>
      <c r="C4" t="s">
        <v>1060</v>
      </c>
      <c r="D4" s="2">
        <v>44442</v>
      </c>
      <c r="E4" t="s">
        <v>1082</v>
      </c>
      <c r="F4" t="s">
        <v>41</v>
      </c>
      <c r="G4" t="s">
        <v>940</v>
      </c>
      <c r="H4" t="s">
        <v>48</v>
      </c>
      <c r="I4" t="s">
        <v>966</v>
      </c>
      <c r="J4" t="s">
        <v>479</v>
      </c>
      <c r="K4">
        <v>360</v>
      </c>
      <c r="L4">
        <v>4</v>
      </c>
      <c r="M4" s="16">
        <v>39.5</v>
      </c>
      <c r="N4" t="s">
        <v>21</v>
      </c>
      <c r="O4">
        <v>0</v>
      </c>
      <c r="P4">
        <v>3</v>
      </c>
      <c r="Q4">
        <v>448</v>
      </c>
      <c r="R4">
        <v>6636</v>
      </c>
      <c r="S4">
        <v>20.88</v>
      </c>
      <c r="T4">
        <v>39.5</v>
      </c>
      <c r="U4">
        <v>58</v>
      </c>
      <c r="V4">
        <v>681.0344827586207</v>
      </c>
      <c r="W4" t="s">
        <v>1153</v>
      </c>
      <c r="X4" t="s">
        <v>1087</v>
      </c>
      <c r="Y4">
        <v>36</v>
      </c>
      <c r="Z4">
        <v>2</v>
      </c>
      <c r="AA4">
        <v>60</v>
      </c>
    </row>
    <row r="5" spans="1:27" x14ac:dyDescent="0.3">
      <c r="A5" s="15">
        <v>44483.699780092589</v>
      </c>
      <c r="B5" t="s">
        <v>13</v>
      </c>
      <c r="C5" t="s">
        <v>1060</v>
      </c>
      <c r="D5" s="2">
        <v>44442</v>
      </c>
      <c r="E5" t="s">
        <v>1082</v>
      </c>
      <c r="F5" t="s">
        <v>41</v>
      </c>
      <c r="G5" t="s">
        <v>940</v>
      </c>
      <c r="H5" t="s">
        <v>48</v>
      </c>
      <c r="I5" t="s">
        <v>966</v>
      </c>
      <c r="J5" t="s">
        <v>478</v>
      </c>
      <c r="K5">
        <v>835</v>
      </c>
      <c r="L5">
        <v>7</v>
      </c>
      <c r="M5" s="16">
        <v>96</v>
      </c>
      <c r="N5" t="s">
        <v>21</v>
      </c>
      <c r="O5">
        <v>0</v>
      </c>
      <c r="P5">
        <v>6</v>
      </c>
      <c r="Q5">
        <v>448</v>
      </c>
      <c r="R5">
        <v>6636</v>
      </c>
      <c r="S5">
        <v>48.43</v>
      </c>
      <c r="T5">
        <v>96</v>
      </c>
      <c r="U5">
        <v>58</v>
      </c>
      <c r="V5">
        <v>1655.1724137931035</v>
      </c>
      <c r="W5" t="s">
        <v>1153</v>
      </c>
      <c r="X5" t="s">
        <v>1087</v>
      </c>
      <c r="Y5">
        <v>36</v>
      </c>
      <c r="Z5">
        <v>2</v>
      </c>
      <c r="AA5">
        <v>139.16666666666666</v>
      </c>
    </row>
    <row r="6" spans="1:27" x14ac:dyDescent="0.3">
      <c r="A6" s="15">
        <v>44483.700555555559</v>
      </c>
      <c r="B6" t="s">
        <v>13</v>
      </c>
      <c r="C6" t="s">
        <v>1060</v>
      </c>
      <c r="D6" s="2">
        <v>44443</v>
      </c>
      <c r="E6" t="s">
        <v>1114</v>
      </c>
      <c r="F6" t="s">
        <v>41</v>
      </c>
      <c r="G6" t="s">
        <v>940</v>
      </c>
      <c r="H6" t="s">
        <v>48</v>
      </c>
      <c r="I6" t="s">
        <v>966</v>
      </c>
      <c r="J6" t="s">
        <v>479</v>
      </c>
      <c r="K6">
        <v>626</v>
      </c>
      <c r="L6">
        <v>7</v>
      </c>
      <c r="M6" s="16">
        <v>68.8</v>
      </c>
      <c r="N6" t="s">
        <v>21</v>
      </c>
      <c r="O6">
        <v>0</v>
      </c>
      <c r="P6">
        <v>3</v>
      </c>
      <c r="Q6">
        <v>448</v>
      </c>
      <c r="R6">
        <v>6637</v>
      </c>
      <c r="S6">
        <v>36.308</v>
      </c>
      <c r="T6">
        <v>68.8</v>
      </c>
      <c r="U6">
        <v>58</v>
      </c>
      <c r="V6">
        <v>1186.2068965517242</v>
      </c>
      <c r="W6" t="s">
        <v>1153</v>
      </c>
      <c r="X6" t="s">
        <v>1087</v>
      </c>
      <c r="Y6">
        <v>36</v>
      </c>
      <c r="Z6">
        <v>2</v>
      </c>
      <c r="AA6">
        <v>104.33333333333333</v>
      </c>
    </row>
    <row r="7" spans="1:27" x14ac:dyDescent="0.3">
      <c r="A7" s="15">
        <v>44483.727407407408</v>
      </c>
      <c r="B7" t="s">
        <v>13</v>
      </c>
      <c r="C7" t="s">
        <v>1060</v>
      </c>
      <c r="D7" s="2">
        <v>44451</v>
      </c>
      <c r="E7" t="s">
        <v>1033</v>
      </c>
      <c r="F7" t="s">
        <v>41</v>
      </c>
      <c r="G7" t="s">
        <v>940</v>
      </c>
      <c r="H7" t="s">
        <v>48</v>
      </c>
      <c r="I7" t="s">
        <v>1023</v>
      </c>
      <c r="J7" t="s">
        <v>150</v>
      </c>
      <c r="K7">
        <v>706</v>
      </c>
      <c r="L7">
        <v>8</v>
      </c>
      <c r="M7" s="16">
        <v>121.08</v>
      </c>
      <c r="N7" t="s">
        <v>21</v>
      </c>
      <c r="O7">
        <v>0</v>
      </c>
      <c r="P7">
        <v>23</v>
      </c>
      <c r="Q7">
        <v>448</v>
      </c>
      <c r="R7">
        <v>6640</v>
      </c>
      <c r="S7">
        <v>60.716000000000001</v>
      </c>
      <c r="T7">
        <v>121.08</v>
      </c>
      <c r="U7">
        <v>86</v>
      </c>
      <c r="V7">
        <v>1407.9069767441861</v>
      </c>
      <c r="W7" t="s">
        <v>1153</v>
      </c>
      <c r="X7" t="s">
        <v>1087</v>
      </c>
      <c r="Y7">
        <v>37</v>
      </c>
      <c r="Z7">
        <v>2</v>
      </c>
      <c r="AA7">
        <v>117.66666666666667</v>
      </c>
    </row>
    <row r="8" spans="1:27" x14ac:dyDescent="0.3">
      <c r="A8" s="15">
        <v>44483.728993055556</v>
      </c>
      <c r="B8" t="s">
        <v>13</v>
      </c>
      <c r="C8" t="s">
        <v>1060</v>
      </c>
      <c r="D8" s="2">
        <v>44452</v>
      </c>
      <c r="E8" t="s">
        <v>1082</v>
      </c>
      <c r="F8" t="s">
        <v>41</v>
      </c>
      <c r="G8" t="s">
        <v>940</v>
      </c>
      <c r="H8" t="s">
        <v>48</v>
      </c>
      <c r="I8" t="s">
        <v>1023</v>
      </c>
      <c r="J8" t="s">
        <v>151</v>
      </c>
      <c r="K8">
        <v>65</v>
      </c>
      <c r="L8">
        <v>1</v>
      </c>
      <c r="M8" s="16">
        <v>11.8</v>
      </c>
      <c r="N8" t="s">
        <v>21</v>
      </c>
      <c r="O8">
        <v>0</v>
      </c>
      <c r="P8">
        <v>0</v>
      </c>
      <c r="Q8">
        <v>443</v>
      </c>
      <c r="R8">
        <v>6641</v>
      </c>
      <c r="S8">
        <v>5.59</v>
      </c>
      <c r="T8">
        <v>11.8</v>
      </c>
      <c r="U8">
        <v>86</v>
      </c>
      <c r="V8">
        <v>137.2093023255814</v>
      </c>
      <c r="W8" t="s">
        <v>1153</v>
      </c>
      <c r="X8" t="s">
        <v>1087</v>
      </c>
      <c r="Y8">
        <v>38</v>
      </c>
      <c r="Z8">
        <v>2</v>
      </c>
      <c r="AA8">
        <v>10.833333333333334</v>
      </c>
    </row>
    <row r="9" spans="1:27" x14ac:dyDescent="0.3">
      <c r="A9" s="15">
        <v>44483.728530092594</v>
      </c>
      <c r="B9" t="s">
        <v>13</v>
      </c>
      <c r="C9" t="s">
        <v>1060</v>
      </c>
      <c r="D9" s="2">
        <v>44452</v>
      </c>
      <c r="E9" t="s">
        <v>1082</v>
      </c>
      <c r="F9" t="s">
        <v>41</v>
      </c>
      <c r="G9" t="s">
        <v>940</v>
      </c>
      <c r="H9" t="s">
        <v>48</v>
      </c>
      <c r="I9" t="s">
        <v>1023</v>
      </c>
      <c r="J9" t="s">
        <v>151</v>
      </c>
      <c r="K9">
        <v>674</v>
      </c>
      <c r="L9">
        <v>8</v>
      </c>
      <c r="M9" s="16">
        <v>115.93</v>
      </c>
      <c r="N9" t="s">
        <v>21</v>
      </c>
      <c r="O9">
        <v>0</v>
      </c>
      <c r="P9">
        <v>18</v>
      </c>
      <c r="Q9">
        <v>443</v>
      </c>
      <c r="R9">
        <v>6641</v>
      </c>
      <c r="S9">
        <v>57.963999999999999</v>
      </c>
      <c r="T9">
        <v>115.93</v>
      </c>
      <c r="U9">
        <v>86</v>
      </c>
      <c r="V9">
        <v>1348.0232558139535</v>
      </c>
      <c r="W9" t="s">
        <v>1153</v>
      </c>
      <c r="X9" t="s">
        <v>1087</v>
      </c>
      <c r="Y9">
        <v>38</v>
      </c>
      <c r="Z9">
        <v>2</v>
      </c>
      <c r="AA9">
        <v>112.33333333333333</v>
      </c>
    </row>
    <row r="10" spans="1:27" x14ac:dyDescent="0.3">
      <c r="A10" s="15">
        <v>44483.737511574072</v>
      </c>
      <c r="B10" t="s">
        <v>13</v>
      </c>
      <c r="C10" t="s">
        <v>1060</v>
      </c>
      <c r="D10" s="2">
        <v>44453</v>
      </c>
      <c r="E10" t="s">
        <v>1082</v>
      </c>
      <c r="F10" t="s">
        <v>41</v>
      </c>
      <c r="G10" t="s">
        <v>940</v>
      </c>
      <c r="H10" t="s">
        <v>48</v>
      </c>
      <c r="I10" t="s">
        <v>1023</v>
      </c>
      <c r="J10" t="s">
        <v>149</v>
      </c>
      <c r="K10">
        <v>655</v>
      </c>
      <c r="L10">
        <v>8</v>
      </c>
      <c r="M10" s="16">
        <v>112.6</v>
      </c>
      <c r="N10" t="s">
        <v>21</v>
      </c>
      <c r="O10">
        <v>0</v>
      </c>
      <c r="P10">
        <v>21</v>
      </c>
      <c r="Q10">
        <v>443</v>
      </c>
      <c r="R10">
        <v>6643</v>
      </c>
      <c r="S10">
        <v>56.33</v>
      </c>
      <c r="T10">
        <v>112.6</v>
      </c>
      <c r="U10">
        <v>86</v>
      </c>
      <c r="V10">
        <v>1309.3023255813953</v>
      </c>
      <c r="W10" t="s">
        <v>1153</v>
      </c>
      <c r="X10" t="s">
        <v>1087</v>
      </c>
      <c r="Y10">
        <v>38</v>
      </c>
      <c r="Z10">
        <v>2</v>
      </c>
      <c r="AA10">
        <v>109.16666666666667</v>
      </c>
    </row>
    <row r="11" spans="1:27" x14ac:dyDescent="0.3">
      <c r="A11" s="15">
        <v>44483.738159722219</v>
      </c>
      <c r="B11" t="s">
        <v>13</v>
      </c>
      <c r="C11" t="s">
        <v>1060</v>
      </c>
      <c r="D11" s="2">
        <v>44454</v>
      </c>
      <c r="E11" t="s">
        <v>1114</v>
      </c>
      <c r="F11" t="s">
        <v>41</v>
      </c>
      <c r="G11" t="s">
        <v>940</v>
      </c>
      <c r="H11" t="s">
        <v>48</v>
      </c>
      <c r="I11" t="s">
        <v>1023</v>
      </c>
      <c r="J11" t="s">
        <v>150</v>
      </c>
      <c r="K11">
        <v>246</v>
      </c>
      <c r="L11">
        <v>4</v>
      </c>
      <c r="M11" s="16">
        <v>44.38</v>
      </c>
      <c r="N11" t="s">
        <v>21</v>
      </c>
      <c r="O11">
        <v>0</v>
      </c>
      <c r="P11">
        <v>8</v>
      </c>
      <c r="Q11">
        <v>443</v>
      </c>
      <c r="R11">
        <v>6644</v>
      </c>
      <c r="S11">
        <v>21.155999999999999</v>
      </c>
      <c r="T11">
        <v>44.38</v>
      </c>
      <c r="U11">
        <v>86</v>
      </c>
      <c r="V11">
        <v>516.04651162790697</v>
      </c>
      <c r="W11" t="s">
        <v>1153</v>
      </c>
      <c r="X11" t="s">
        <v>1087</v>
      </c>
      <c r="Y11">
        <v>38</v>
      </c>
      <c r="Z11">
        <v>2</v>
      </c>
      <c r="AA11">
        <v>41</v>
      </c>
    </row>
    <row r="12" spans="1:27" x14ac:dyDescent="0.3">
      <c r="A12" s="15">
        <v>44483.739224537036</v>
      </c>
      <c r="B12" t="s">
        <v>13</v>
      </c>
      <c r="C12" t="s">
        <v>1060</v>
      </c>
      <c r="D12" s="2">
        <v>44456</v>
      </c>
      <c r="E12" t="s">
        <v>1082</v>
      </c>
      <c r="F12" t="s">
        <v>41</v>
      </c>
      <c r="G12" t="s">
        <v>940</v>
      </c>
      <c r="H12" t="s">
        <v>48</v>
      </c>
      <c r="I12" t="s">
        <v>1023</v>
      </c>
      <c r="J12" t="s">
        <v>148</v>
      </c>
      <c r="K12">
        <v>49</v>
      </c>
      <c r="L12">
        <v>1</v>
      </c>
      <c r="M12" s="16">
        <v>8.43</v>
      </c>
      <c r="N12" t="s">
        <v>21</v>
      </c>
      <c r="O12">
        <v>0</v>
      </c>
      <c r="P12">
        <v>2</v>
      </c>
      <c r="Q12">
        <v>443</v>
      </c>
      <c r="R12">
        <v>6645</v>
      </c>
      <c r="S12">
        <v>4.2140000000000004</v>
      </c>
      <c r="T12">
        <v>8.43</v>
      </c>
      <c r="U12">
        <v>86</v>
      </c>
      <c r="V12">
        <v>98.023255813953483</v>
      </c>
      <c r="W12" t="s">
        <v>1153</v>
      </c>
      <c r="X12" t="s">
        <v>1087</v>
      </c>
      <c r="Y12">
        <v>38</v>
      </c>
      <c r="Z12">
        <v>2</v>
      </c>
      <c r="AA12">
        <v>8.1666666666666661</v>
      </c>
    </row>
    <row r="13" spans="1:27" x14ac:dyDescent="0.3">
      <c r="A13" s="15">
        <v>44483.738969907405</v>
      </c>
      <c r="B13" t="s">
        <v>13</v>
      </c>
      <c r="C13" t="s">
        <v>1060</v>
      </c>
      <c r="D13" s="2">
        <v>44456</v>
      </c>
      <c r="E13" t="s">
        <v>1082</v>
      </c>
      <c r="F13" t="s">
        <v>41</v>
      </c>
      <c r="G13" t="s">
        <v>940</v>
      </c>
      <c r="H13" t="s">
        <v>48</v>
      </c>
      <c r="I13" t="s">
        <v>1023</v>
      </c>
      <c r="J13" t="s">
        <v>150</v>
      </c>
      <c r="K13">
        <v>642</v>
      </c>
      <c r="L13">
        <v>7</v>
      </c>
      <c r="M13" s="16">
        <v>110.42</v>
      </c>
      <c r="N13" t="s">
        <v>21</v>
      </c>
      <c r="O13">
        <v>0</v>
      </c>
      <c r="P13">
        <v>19</v>
      </c>
      <c r="Q13">
        <v>443</v>
      </c>
      <c r="R13">
        <v>6645</v>
      </c>
      <c r="S13">
        <v>55.212000000000003</v>
      </c>
      <c r="T13">
        <v>110.42</v>
      </c>
      <c r="U13">
        <v>86</v>
      </c>
      <c r="V13">
        <v>1283.953488372093</v>
      </c>
      <c r="W13" t="s">
        <v>1153</v>
      </c>
      <c r="X13" t="s">
        <v>1087</v>
      </c>
      <c r="Y13">
        <v>38</v>
      </c>
      <c r="Z13">
        <v>2</v>
      </c>
      <c r="AA13">
        <v>107</v>
      </c>
    </row>
    <row r="14" spans="1:27" x14ac:dyDescent="0.3">
      <c r="A14" s="15">
        <v>44483.741261574076</v>
      </c>
      <c r="B14" t="s">
        <v>13</v>
      </c>
      <c r="C14" t="s">
        <v>1060</v>
      </c>
      <c r="D14" s="2">
        <v>44457</v>
      </c>
      <c r="E14" t="s">
        <v>1105</v>
      </c>
      <c r="F14" t="s">
        <v>41</v>
      </c>
      <c r="G14" t="s">
        <v>940</v>
      </c>
      <c r="H14" t="s">
        <v>48</v>
      </c>
      <c r="I14" t="s">
        <v>1023</v>
      </c>
      <c r="J14" t="s">
        <v>148</v>
      </c>
      <c r="K14">
        <v>590</v>
      </c>
      <c r="L14">
        <v>8</v>
      </c>
      <c r="M14" s="16">
        <v>101.48</v>
      </c>
      <c r="N14" t="s">
        <v>21</v>
      </c>
      <c r="O14">
        <v>0</v>
      </c>
      <c r="P14">
        <v>18</v>
      </c>
      <c r="Q14">
        <v>443</v>
      </c>
      <c r="R14">
        <v>6646</v>
      </c>
      <c r="S14">
        <v>50.74</v>
      </c>
      <c r="T14">
        <v>101.48</v>
      </c>
      <c r="U14">
        <v>86</v>
      </c>
      <c r="V14">
        <v>1180</v>
      </c>
      <c r="W14" t="s">
        <v>1153</v>
      </c>
      <c r="X14" t="s">
        <v>1087</v>
      </c>
      <c r="Y14">
        <v>38</v>
      </c>
      <c r="Z14">
        <v>2</v>
      </c>
      <c r="AA14">
        <v>98.333333333333329</v>
      </c>
    </row>
    <row r="15" spans="1:27" x14ac:dyDescent="0.3">
      <c r="A15" s="15">
        <v>44483.740740740737</v>
      </c>
      <c r="B15" t="s">
        <v>13</v>
      </c>
      <c r="C15" t="s">
        <v>1060</v>
      </c>
      <c r="D15" s="2">
        <v>44457</v>
      </c>
      <c r="E15" t="s">
        <v>1105</v>
      </c>
      <c r="F15" t="s">
        <v>41</v>
      </c>
      <c r="G15" t="s">
        <v>940</v>
      </c>
      <c r="H15" t="s">
        <v>48</v>
      </c>
      <c r="I15" t="s">
        <v>1023</v>
      </c>
      <c r="J15" t="s">
        <v>151</v>
      </c>
      <c r="K15">
        <v>172</v>
      </c>
      <c r="L15">
        <v>2</v>
      </c>
      <c r="M15" s="16">
        <v>29.58</v>
      </c>
      <c r="N15" t="s">
        <v>21</v>
      </c>
      <c r="O15">
        <v>0</v>
      </c>
      <c r="P15">
        <v>5</v>
      </c>
      <c r="Q15">
        <v>443</v>
      </c>
      <c r="R15">
        <v>6646</v>
      </c>
      <c r="S15">
        <v>14.792</v>
      </c>
      <c r="T15">
        <v>29.58</v>
      </c>
      <c r="U15">
        <v>86</v>
      </c>
      <c r="V15">
        <v>343.95348837209303</v>
      </c>
      <c r="W15" t="s">
        <v>1153</v>
      </c>
      <c r="X15" t="s">
        <v>1087</v>
      </c>
      <c r="Y15">
        <v>38</v>
      </c>
      <c r="Z15">
        <v>2</v>
      </c>
      <c r="AA15">
        <v>28.666666666666668</v>
      </c>
    </row>
    <row r="16" spans="1:27" x14ac:dyDescent="0.3">
      <c r="A16" s="15">
        <v>44483.7425</v>
      </c>
      <c r="B16" t="s">
        <v>13</v>
      </c>
      <c r="C16" t="s">
        <v>1060</v>
      </c>
      <c r="D16" s="2">
        <v>44459</v>
      </c>
      <c r="E16" t="s">
        <v>1082</v>
      </c>
      <c r="F16" t="s">
        <v>41</v>
      </c>
      <c r="G16" t="s">
        <v>940</v>
      </c>
      <c r="H16" t="s">
        <v>48</v>
      </c>
      <c r="I16" t="s">
        <v>1023</v>
      </c>
      <c r="J16" t="s">
        <v>149</v>
      </c>
      <c r="K16">
        <v>238</v>
      </c>
      <c r="L16">
        <v>3</v>
      </c>
      <c r="M16" s="16">
        <v>40.94</v>
      </c>
      <c r="N16" t="s">
        <v>21</v>
      </c>
      <c r="O16">
        <v>0</v>
      </c>
      <c r="P16">
        <v>1</v>
      </c>
      <c r="Q16">
        <v>443</v>
      </c>
      <c r="R16">
        <v>6647</v>
      </c>
      <c r="S16">
        <v>20.468</v>
      </c>
      <c r="T16">
        <v>40.94</v>
      </c>
      <c r="U16">
        <v>86</v>
      </c>
      <c r="V16">
        <v>476.04651162790697</v>
      </c>
      <c r="W16" t="s">
        <v>1153</v>
      </c>
      <c r="X16" t="s">
        <v>1087</v>
      </c>
      <c r="Y16">
        <v>39</v>
      </c>
      <c r="Z16">
        <v>2</v>
      </c>
      <c r="AA16">
        <v>39.666666666666664</v>
      </c>
    </row>
    <row r="17" spans="1:27" x14ac:dyDescent="0.3">
      <c r="A17" s="15">
        <v>44483.743773148148</v>
      </c>
      <c r="B17" t="s">
        <v>13</v>
      </c>
      <c r="C17" t="s">
        <v>1060</v>
      </c>
      <c r="D17" s="2">
        <v>44460</v>
      </c>
      <c r="E17" t="s">
        <v>1090</v>
      </c>
      <c r="F17" t="s">
        <v>41</v>
      </c>
      <c r="G17" t="s">
        <v>940</v>
      </c>
      <c r="H17" t="s">
        <v>48</v>
      </c>
      <c r="I17" t="s">
        <v>1009</v>
      </c>
      <c r="J17" t="s">
        <v>596</v>
      </c>
      <c r="K17">
        <v>760</v>
      </c>
      <c r="L17">
        <v>10</v>
      </c>
      <c r="M17" s="16">
        <v>36.5</v>
      </c>
      <c r="N17" t="s">
        <v>21</v>
      </c>
      <c r="O17">
        <v>0</v>
      </c>
      <c r="P17">
        <v>2</v>
      </c>
      <c r="Q17">
        <v>443</v>
      </c>
      <c r="R17">
        <v>6648</v>
      </c>
      <c r="S17">
        <v>9.3480000000000008</v>
      </c>
      <c r="T17">
        <v>36.5</v>
      </c>
      <c r="U17">
        <v>12.3</v>
      </c>
      <c r="V17">
        <v>2967.479674796748</v>
      </c>
      <c r="W17" t="s">
        <v>1153</v>
      </c>
      <c r="X17" t="s">
        <v>1087</v>
      </c>
      <c r="Y17">
        <v>39</v>
      </c>
      <c r="Z17">
        <v>3</v>
      </c>
      <c r="AA17">
        <v>190</v>
      </c>
    </row>
    <row r="18" spans="1:27" x14ac:dyDescent="0.3">
      <c r="A18" s="15">
        <v>44483.745034722226</v>
      </c>
      <c r="B18" t="s">
        <v>13</v>
      </c>
      <c r="C18" t="s">
        <v>1060</v>
      </c>
      <c r="D18" s="2">
        <v>44461</v>
      </c>
      <c r="E18" t="s">
        <v>1090</v>
      </c>
      <c r="F18" t="s">
        <v>41</v>
      </c>
      <c r="G18" t="s">
        <v>940</v>
      </c>
      <c r="H18" t="s">
        <v>48</v>
      </c>
      <c r="I18" t="s">
        <v>1009</v>
      </c>
      <c r="J18" t="s">
        <v>599</v>
      </c>
      <c r="K18">
        <v>170</v>
      </c>
      <c r="L18">
        <v>2</v>
      </c>
      <c r="M18" s="16">
        <v>8.1999999999999993</v>
      </c>
      <c r="N18" t="s">
        <v>21</v>
      </c>
      <c r="O18">
        <v>0</v>
      </c>
      <c r="P18">
        <v>1</v>
      </c>
      <c r="Q18">
        <v>443</v>
      </c>
      <c r="R18">
        <v>6649</v>
      </c>
      <c r="S18">
        <v>2.0910000000000002</v>
      </c>
      <c r="T18">
        <v>8.1999999999999993</v>
      </c>
      <c r="U18">
        <v>12.3</v>
      </c>
      <c r="V18">
        <v>666.66666666666663</v>
      </c>
      <c r="W18" t="s">
        <v>1153</v>
      </c>
      <c r="X18" t="s">
        <v>1087</v>
      </c>
      <c r="Y18">
        <v>39</v>
      </c>
      <c r="Z18">
        <v>3</v>
      </c>
      <c r="AA18">
        <v>42.5</v>
      </c>
    </row>
    <row r="19" spans="1:27" x14ac:dyDescent="0.3">
      <c r="A19" s="15">
        <v>44483.744328703702</v>
      </c>
      <c r="B19" t="s">
        <v>13</v>
      </c>
      <c r="C19" t="s">
        <v>1060</v>
      </c>
      <c r="D19" s="2">
        <v>44461</v>
      </c>
      <c r="E19" t="s">
        <v>1090</v>
      </c>
      <c r="F19" t="s">
        <v>41</v>
      </c>
      <c r="G19" t="s">
        <v>940</v>
      </c>
      <c r="H19" t="s">
        <v>48</v>
      </c>
      <c r="I19" t="s">
        <v>1009</v>
      </c>
      <c r="J19" t="s">
        <v>596</v>
      </c>
      <c r="K19">
        <v>393</v>
      </c>
      <c r="L19">
        <v>4</v>
      </c>
      <c r="M19" s="16">
        <v>19.600000000000001</v>
      </c>
      <c r="N19" t="s">
        <v>21</v>
      </c>
      <c r="O19">
        <v>0</v>
      </c>
      <c r="P19">
        <v>2</v>
      </c>
      <c r="Q19">
        <v>443</v>
      </c>
      <c r="R19">
        <v>6649</v>
      </c>
      <c r="S19">
        <v>4.8339000000000008</v>
      </c>
      <c r="T19">
        <v>19.600000000000001</v>
      </c>
      <c r="U19">
        <v>12.3</v>
      </c>
      <c r="V19">
        <v>1593.4959349593496</v>
      </c>
      <c r="W19" t="s">
        <v>1153</v>
      </c>
      <c r="X19" t="s">
        <v>1087</v>
      </c>
      <c r="Y19">
        <v>39</v>
      </c>
      <c r="Z19">
        <v>3</v>
      </c>
      <c r="AA19">
        <v>98.25</v>
      </c>
    </row>
    <row r="20" spans="1:27" x14ac:dyDescent="0.3">
      <c r="A20" s="15">
        <v>44483.751805555556</v>
      </c>
      <c r="B20" t="s">
        <v>13</v>
      </c>
      <c r="C20" t="s">
        <v>1060</v>
      </c>
      <c r="D20" s="2">
        <v>44462</v>
      </c>
      <c r="E20" t="s">
        <v>1082</v>
      </c>
      <c r="F20" t="s">
        <v>41</v>
      </c>
      <c r="G20" t="s">
        <v>940</v>
      </c>
      <c r="H20" t="s">
        <v>48</v>
      </c>
      <c r="I20" t="s">
        <v>1009</v>
      </c>
      <c r="J20" t="s">
        <v>598</v>
      </c>
      <c r="K20">
        <v>52</v>
      </c>
      <c r="L20">
        <v>1</v>
      </c>
      <c r="M20" s="16">
        <v>2.5</v>
      </c>
      <c r="N20" t="s">
        <v>21</v>
      </c>
      <c r="O20">
        <v>0</v>
      </c>
      <c r="P20">
        <v>1</v>
      </c>
      <c r="Q20">
        <v>443</v>
      </c>
      <c r="R20">
        <v>6650</v>
      </c>
      <c r="S20">
        <v>0.63960000000000006</v>
      </c>
      <c r="T20">
        <v>2.5</v>
      </c>
      <c r="U20">
        <v>12.3</v>
      </c>
      <c r="V20">
        <v>203.2520325203252</v>
      </c>
      <c r="W20" t="s">
        <v>1153</v>
      </c>
      <c r="X20" t="s">
        <v>1087</v>
      </c>
      <c r="Y20">
        <v>39</v>
      </c>
      <c r="Z20">
        <v>3</v>
      </c>
      <c r="AA20">
        <v>13</v>
      </c>
    </row>
    <row r="21" spans="1:27" x14ac:dyDescent="0.3">
      <c r="A21" s="15">
        <v>44483.751331018517</v>
      </c>
      <c r="B21" t="s">
        <v>13</v>
      </c>
      <c r="C21" t="s">
        <v>1060</v>
      </c>
      <c r="D21" s="2">
        <v>44462</v>
      </c>
      <c r="E21" t="s">
        <v>1082</v>
      </c>
      <c r="F21" t="s">
        <v>41</v>
      </c>
      <c r="G21" t="s">
        <v>940</v>
      </c>
      <c r="H21" t="s">
        <v>48</v>
      </c>
      <c r="I21" t="s">
        <v>1009</v>
      </c>
      <c r="J21" t="s">
        <v>599</v>
      </c>
      <c r="K21">
        <v>920</v>
      </c>
      <c r="L21">
        <v>10</v>
      </c>
      <c r="M21" s="16">
        <v>44.2</v>
      </c>
      <c r="N21" t="s">
        <v>21</v>
      </c>
      <c r="O21">
        <v>0</v>
      </c>
      <c r="P21">
        <v>3</v>
      </c>
      <c r="Q21">
        <v>443</v>
      </c>
      <c r="R21">
        <v>6650</v>
      </c>
      <c r="S21">
        <v>11.316000000000001</v>
      </c>
      <c r="T21">
        <v>44.2</v>
      </c>
      <c r="U21">
        <v>12.3</v>
      </c>
      <c r="V21">
        <v>3593.4959349593496</v>
      </c>
      <c r="W21" t="s">
        <v>1153</v>
      </c>
      <c r="X21" t="s">
        <v>1087</v>
      </c>
      <c r="Y21">
        <v>39</v>
      </c>
      <c r="Z21">
        <v>3</v>
      </c>
      <c r="AA21">
        <v>230</v>
      </c>
    </row>
    <row r="22" spans="1:27" x14ac:dyDescent="0.3">
      <c r="A22" s="15">
        <v>44484.685358796298</v>
      </c>
      <c r="B22" t="s">
        <v>13</v>
      </c>
      <c r="C22" t="s">
        <v>1060</v>
      </c>
      <c r="D22" s="2">
        <v>44463</v>
      </c>
      <c r="E22" t="s">
        <v>1090</v>
      </c>
      <c r="F22" t="s">
        <v>41</v>
      </c>
      <c r="G22" t="s">
        <v>940</v>
      </c>
      <c r="H22" t="s">
        <v>48</v>
      </c>
      <c r="I22" t="s">
        <v>1009</v>
      </c>
      <c r="J22" t="s">
        <v>600</v>
      </c>
      <c r="K22">
        <v>743</v>
      </c>
      <c r="L22">
        <v>6</v>
      </c>
      <c r="M22" s="16">
        <v>27.5</v>
      </c>
      <c r="N22" t="s">
        <v>21</v>
      </c>
      <c r="O22">
        <v>0</v>
      </c>
      <c r="P22">
        <v>2</v>
      </c>
      <c r="Q22">
        <v>443</v>
      </c>
      <c r="R22">
        <v>6651</v>
      </c>
      <c r="S22">
        <v>9.1388999999999996</v>
      </c>
      <c r="T22">
        <v>27.5</v>
      </c>
      <c r="U22">
        <v>12.3</v>
      </c>
      <c r="V22">
        <v>2235.772357723577</v>
      </c>
      <c r="W22" t="s">
        <v>1153</v>
      </c>
      <c r="X22" t="s">
        <v>1087</v>
      </c>
      <c r="Y22">
        <v>39</v>
      </c>
      <c r="Z22">
        <v>3</v>
      </c>
      <c r="AA22">
        <v>185.75</v>
      </c>
    </row>
    <row r="23" spans="1:27" x14ac:dyDescent="0.3">
      <c r="A23" s="15">
        <v>44484.684791666667</v>
      </c>
      <c r="B23" t="s">
        <v>13</v>
      </c>
      <c r="C23" t="s">
        <v>1060</v>
      </c>
      <c r="D23" s="2">
        <v>44463</v>
      </c>
      <c r="E23" t="s">
        <v>1090</v>
      </c>
      <c r="F23" t="s">
        <v>41</v>
      </c>
      <c r="G23" t="s">
        <v>940</v>
      </c>
      <c r="H23" t="s">
        <v>48</v>
      </c>
      <c r="I23" t="s">
        <v>1009</v>
      </c>
      <c r="J23" t="s">
        <v>598</v>
      </c>
      <c r="K23">
        <v>400</v>
      </c>
      <c r="L23">
        <v>5</v>
      </c>
      <c r="M23" s="16">
        <v>14.8</v>
      </c>
      <c r="N23" t="s">
        <v>21</v>
      </c>
      <c r="O23">
        <v>0</v>
      </c>
      <c r="P23">
        <v>2</v>
      </c>
      <c r="Q23">
        <v>443</v>
      </c>
      <c r="R23">
        <v>6651</v>
      </c>
      <c r="S23">
        <v>4.92</v>
      </c>
      <c r="T23">
        <v>14.8</v>
      </c>
      <c r="U23">
        <v>12.3</v>
      </c>
      <c r="V23">
        <v>1203.2520325203252</v>
      </c>
      <c r="W23" t="s">
        <v>1153</v>
      </c>
      <c r="X23" t="s">
        <v>1087</v>
      </c>
      <c r="Y23">
        <v>39</v>
      </c>
      <c r="Z23">
        <v>3</v>
      </c>
      <c r="AA23">
        <v>100</v>
      </c>
    </row>
    <row r="24" spans="1:27" x14ac:dyDescent="0.3">
      <c r="A24" s="15">
        <v>44484.686620370368</v>
      </c>
      <c r="B24" t="s">
        <v>13</v>
      </c>
      <c r="C24" t="s">
        <v>1060</v>
      </c>
      <c r="D24" s="2">
        <v>44464</v>
      </c>
      <c r="E24" t="s">
        <v>1090</v>
      </c>
      <c r="F24" t="s">
        <v>41</v>
      </c>
      <c r="G24" t="s">
        <v>940</v>
      </c>
      <c r="H24" t="s">
        <v>48</v>
      </c>
      <c r="I24" t="s">
        <v>1009</v>
      </c>
      <c r="J24" t="s">
        <v>600</v>
      </c>
      <c r="K24">
        <v>727</v>
      </c>
      <c r="L24">
        <v>8</v>
      </c>
      <c r="M24" s="16">
        <v>26.9</v>
      </c>
      <c r="N24" t="s">
        <v>21</v>
      </c>
      <c r="O24">
        <v>0</v>
      </c>
      <c r="P24">
        <v>2</v>
      </c>
      <c r="Q24">
        <v>443</v>
      </c>
      <c r="R24">
        <v>6652</v>
      </c>
      <c r="S24">
        <v>8.9420999999999999</v>
      </c>
      <c r="T24">
        <v>26.9</v>
      </c>
      <c r="U24">
        <v>12.3</v>
      </c>
      <c r="V24">
        <v>2186.9918699186992</v>
      </c>
      <c r="W24" t="s">
        <v>1153</v>
      </c>
      <c r="X24" t="s">
        <v>1087</v>
      </c>
      <c r="Y24">
        <v>39</v>
      </c>
      <c r="Z24">
        <v>3</v>
      </c>
      <c r="AA24">
        <v>181.75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6"/>
  <dimension ref="A1:AA3"/>
  <sheetViews>
    <sheetView topLeftCell="E1" workbookViewId="0">
      <selection activeCell="H16" sqref="H16"/>
    </sheetView>
  </sheetViews>
  <sheetFormatPr defaultColWidth="11.5546875" defaultRowHeight="14.4" x14ac:dyDescent="0.3"/>
  <cols>
    <col min="1" max="1" width="15.6640625" bestFit="1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44483.700150462966</v>
      </c>
      <c r="B2" t="s">
        <v>13</v>
      </c>
      <c r="C2" t="s">
        <v>1060</v>
      </c>
      <c r="D2" s="2">
        <v>44442</v>
      </c>
      <c r="E2" t="s">
        <v>1082</v>
      </c>
      <c r="F2" t="s">
        <v>41</v>
      </c>
      <c r="G2" t="s">
        <v>940</v>
      </c>
      <c r="H2" t="s">
        <v>48</v>
      </c>
      <c r="I2" t="s">
        <v>966</v>
      </c>
      <c r="J2" t="s">
        <v>479</v>
      </c>
      <c r="K2">
        <v>360</v>
      </c>
      <c r="L2">
        <v>4</v>
      </c>
      <c r="M2">
        <v>39.5</v>
      </c>
      <c r="N2" t="s">
        <v>21</v>
      </c>
      <c r="O2">
        <v>0</v>
      </c>
      <c r="P2">
        <v>3</v>
      </c>
      <c r="Q2">
        <v>448</v>
      </c>
      <c r="R2">
        <v>6636</v>
      </c>
      <c r="S2">
        <v>20.88</v>
      </c>
      <c r="T2">
        <v>39.5</v>
      </c>
      <c r="U2">
        <v>58</v>
      </c>
      <c r="V2">
        <v>681.0344827586207</v>
      </c>
      <c r="W2" t="s">
        <v>1153</v>
      </c>
      <c r="X2" t="s">
        <v>1087</v>
      </c>
      <c r="Y2">
        <v>36</v>
      </c>
      <c r="Z2">
        <v>2</v>
      </c>
      <c r="AA2">
        <v>60</v>
      </c>
    </row>
    <row r="3" spans="1:27" x14ac:dyDescent="0.3">
      <c r="A3" s="15">
        <v>44483.699780092589</v>
      </c>
      <c r="B3" t="s">
        <v>13</v>
      </c>
      <c r="C3" t="s">
        <v>1060</v>
      </c>
      <c r="D3" s="2">
        <v>44442</v>
      </c>
      <c r="E3" t="s">
        <v>1082</v>
      </c>
      <c r="F3" t="s">
        <v>41</v>
      </c>
      <c r="G3" t="s">
        <v>940</v>
      </c>
      <c r="H3" t="s">
        <v>48</v>
      </c>
      <c r="I3" t="s">
        <v>966</v>
      </c>
      <c r="J3" t="s">
        <v>478</v>
      </c>
      <c r="K3">
        <v>835</v>
      </c>
      <c r="L3">
        <v>7</v>
      </c>
      <c r="M3">
        <v>96</v>
      </c>
      <c r="N3" t="s">
        <v>21</v>
      </c>
      <c r="O3">
        <v>0</v>
      </c>
      <c r="P3">
        <v>6</v>
      </c>
      <c r="Q3">
        <v>448</v>
      </c>
      <c r="R3">
        <v>6636</v>
      </c>
      <c r="S3">
        <v>48.43</v>
      </c>
      <c r="T3">
        <v>96</v>
      </c>
      <c r="U3">
        <v>58</v>
      </c>
      <c r="V3">
        <v>1655.1724137931035</v>
      </c>
      <c r="W3" t="s">
        <v>1153</v>
      </c>
      <c r="X3" t="s">
        <v>1087</v>
      </c>
      <c r="Y3">
        <v>36</v>
      </c>
      <c r="Z3">
        <v>2</v>
      </c>
      <c r="AA3">
        <v>139.16666666666666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7"/>
  <dimension ref="A1:AA3"/>
  <sheetViews>
    <sheetView workbookViewId="0">
      <selection activeCell="H16" sqref="H16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44483.700150462966</v>
      </c>
      <c r="B2" t="s">
        <v>13</v>
      </c>
      <c r="C2" t="s">
        <v>1060</v>
      </c>
      <c r="D2" s="2">
        <v>44442</v>
      </c>
      <c r="E2" t="s">
        <v>1082</v>
      </c>
      <c r="F2" t="s">
        <v>41</v>
      </c>
      <c r="G2" t="s">
        <v>940</v>
      </c>
      <c r="H2" t="s">
        <v>48</v>
      </c>
      <c r="I2" t="s">
        <v>966</v>
      </c>
      <c r="J2" t="s">
        <v>479</v>
      </c>
      <c r="K2">
        <v>360</v>
      </c>
      <c r="L2">
        <v>4</v>
      </c>
      <c r="M2">
        <v>39.5</v>
      </c>
      <c r="N2" t="s">
        <v>21</v>
      </c>
      <c r="O2">
        <v>0</v>
      </c>
      <c r="P2">
        <v>3</v>
      </c>
      <c r="Q2">
        <v>448</v>
      </c>
      <c r="R2">
        <v>6636</v>
      </c>
      <c r="S2">
        <v>20.88</v>
      </c>
      <c r="T2">
        <v>39.5</v>
      </c>
      <c r="U2">
        <v>58</v>
      </c>
      <c r="V2">
        <v>681.0344827586207</v>
      </c>
      <c r="W2" t="s">
        <v>1153</v>
      </c>
      <c r="X2" t="s">
        <v>1087</v>
      </c>
      <c r="Y2">
        <v>36</v>
      </c>
      <c r="Z2">
        <v>2</v>
      </c>
      <c r="AA2">
        <v>60</v>
      </c>
    </row>
    <row r="3" spans="1:27" x14ac:dyDescent="0.3">
      <c r="A3" s="15">
        <v>44483.699780092589</v>
      </c>
      <c r="B3" t="s">
        <v>13</v>
      </c>
      <c r="C3" t="s">
        <v>1060</v>
      </c>
      <c r="D3" s="2">
        <v>44442</v>
      </c>
      <c r="E3" t="s">
        <v>1082</v>
      </c>
      <c r="F3" t="s">
        <v>41</v>
      </c>
      <c r="G3" t="s">
        <v>940</v>
      </c>
      <c r="H3" t="s">
        <v>48</v>
      </c>
      <c r="I3" t="s">
        <v>966</v>
      </c>
      <c r="J3" t="s">
        <v>478</v>
      </c>
      <c r="K3">
        <v>835</v>
      </c>
      <c r="L3">
        <v>7</v>
      </c>
      <c r="M3">
        <v>96</v>
      </c>
      <c r="N3" t="s">
        <v>21</v>
      </c>
      <c r="O3">
        <v>0</v>
      </c>
      <c r="P3">
        <v>6</v>
      </c>
      <c r="Q3">
        <v>448</v>
      </c>
      <c r="R3">
        <v>6636</v>
      </c>
      <c r="S3">
        <v>48.43</v>
      </c>
      <c r="T3">
        <v>96</v>
      </c>
      <c r="U3">
        <v>58</v>
      </c>
      <c r="V3">
        <v>1655.1724137931035</v>
      </c>
      <c r="W3" t="s">
        <v>1153</v>
      </c>
      <c r="X3" t="s">
        <v>1087</v>
      </c>
      <c r="Y3">
        <v>36</v>
      </c>
      <c r="Z3">
        <v>2</v>
      </c>
      <c r="AA3">
        <v>139.16666666666666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8"/>
  <dimension ref="A1:AA1"/>
  <sheetViews>
    <sheetView workbookViewId="0">
      <selection activeCell="F1272" sqref="F1272:H127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9"/>
  <dimension ref="A1:AA3"/>
  <sheetViews>
    <sheetView workbookViewId="0">
      <selection activeCell="F1272" sqref="F1272:H127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44527.406840277778</v>
      </c>
      <c r="B2" t="s">
        <v>13</v>
      </c>
      <c r="C2" t="s">
        <v>1080</v>
      </c>
      <c r="D2" s="2">
        <v>44509</v>
      </c>
      <c r="E2" t="s">
        <v>1081</v>
      </c>
      <c r="F2" t="s">
        <v>40</v>
      </c>
      <c r="G2" t="s">
        <v>48</v>
      </c>
      <c r="H2" t="s">
        <v>944</v>
      </c>
      <c r="I2" t="s">
        <v>1054</v>
      </c>
      <c r="J2" t="s">
        <v>484</v>
      </c>
      <c r="K2">
        <v>1310</v>
      </c>
      <c r="L2">
        <v>12</v>
      </c>
      <c r="M2">
        <v>89.3</v>
      </c>
      <c r="N2" t="s">
        <v>21</v>
      </c>
      <c r="O2">
        <v>0</v>
      </c>
      <c r="P2">
        <v>9</v>
      </c>
      <c r="Q2">
        <v>512</v>
      </c>
      <c r="R2">
        <v>10407</v>
      </c>
      <c r="S2">
        <v>17.03</v>
      </c>
      <c r="T2">
        <v>89.3</v>
      </c>
      <c r="U2">
        <v>13</v>
      </c>
      <c r="V2">
        <v>6869.2307692307695</v>
      </c>
      <c r="W2" t="s">
        <v>1176</v>
      </c>
      <c r="X2" t="s">
        <v>1087</v>
      </c>
      <c r="Y2">
        <v>46</v>
      </c>
      <c r="Z2">
        <v>5</v>
      </c>
      <c r="AA2">
        <v>545.83333333333337</v>
      </c>
    </row>
    <row r="3" spans="1:27" x14ac:dyDescent="0.3">
      <c r="A3" s="15">
        <v>44527.404513888891</v>
      </c>
      <c r="B3" t="s">
        <v>13</v>
      </c>
      <c r="C3" t="s">
        <v>1080</v>
      </c>
      <c r="D3" s="2">
        <v>44509</v>
      </c>
      <c r="E3" t="s">
        <v>1106</v>
      </c>
      <c r="F3" t="s">
        <v>40</v>
      </c>
      <c r="G3" t="s">
        <v>48</v>
      </c>
      <c r="H3" t="s">
        <v>944</v>
      </c>
      <c r="I3" t="s">
        <v>1054</v>
      </c>
      <c r="J3" t="s">
        <v>484</v>
      </c>
      <c r="K3">
        <v>1412</v>
      </c>
      <c r="L3">
        <v>12</v>
      </c>
      <c r="M3">
        <v>91.8</v>
      </c>
      <c r="N3" t="s">
        <v>21</v>
      </c>
      <c r="O3">
        <v>0</v>
      </c>
      <c r="P3">
        <v>9</v>
      </c>
      <c r="Q3">
        <v>512</v>
      </c>
      <c r="R3">
        <v>10406</v>
      </c>
      <c r="S3">
        <v>18.356000000000002</v>
      </c>
      <c r="T3">
        <v>91.8</v>
      </c>
      <c r="U3">
        <v>13</v>
      </c>
      <c r="V3">
        <v>7061.5384615384619</v>
      </c>
      <c r="W3" t="s">
        <v>1176</v>
      </c>
      <c r="X3" t="s">
        <v>1087</v>
      </c>
      <c r="Y3">
        <v>46</v>
      </c>
      <c r="Z3">
        <v>5</v>
      </c>
      <c r="AA3">
        <v>588.33333333333337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30"/>
  <dimension ref="A1:AA1"/>
  <sheetViews>
    <sheetView workbookViewId="0">
      <selection activeCell="F1272" sqref="F1272:H127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31"/>
  <dimension ref="A1:AA1"/>
  <sheetViews>
    <sheetView workbookViewId="0">
      <selection activeCell="F1272" sqref="F1272:H127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32"/>
  <dimension ref="A1:AA5"/>
  <sheetViews>
    <sheetView workbookViewId="0">
      <selection activeCell="F1272" sqref="F1272:H127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44506.364548611113</v>
      </c>
      <c r="B2" t="s">
        <v>13</v>
      </c>
      <c r="C2" t="s">
        <v>952</v>
      </c>
      <c r="D2" s="2">
        <v>44502</v>
      </c>
      <c r="E2" t="s">
        <v>1133</v>
      </c>
      <c r="F2" t="s">
        <v>954</v>
      </c>
      <c r="G2" t="s">
        <v>951</v>
      </c>
      <c r="H2" t="s">
        <v>1172</v>
      </c>
      <c r="I2" t="s">
        <v>985</v>
      </c>
      <c r="J2" t="s">
        <v>460</v>
      </c>
      <c r="K2">
        <v>693</v>
      </c>
      <c r="L2">
        <v>8</v>
      </c>
      <c r="M2">
        <v>51.3</v>
      </c>
      <c r="N2" t="s">
        <v>21</v>
      </c>
      <c r="O2">
        <v>0</v>
      </c>
      <c r="P2">
        <v>4</v>
      </c>
      <c r="Q2">
        <v>500</v>
      </c>
      <c r="R2">
        <v>10218</v>
      </c>
      <c r="S2">
        <v>26.334</v>
      </c>
      <c r="T2">
        <v>51.3</v>
      </c>
      <c r="U2">
        <v>38</v>
      </c>
      <c r="V2">
        <v>1350</v>
      </c>
      <c r="W2" t="s">
        <v>1182</v>
      </c>
      <c r="X2" t="s">
        <v>1087</v>
      </c>
      <c r="Y2">
        <v>45</v>
      </c>
      <c r="Z2">
        <v>2</v>
      </c>
      <c r="AA2">
        <v>115.5</v>
      </c>
    </row>
    <row r="3" spans="1:27" x14ac:dyDescent="0.3">
      <c r="A3" s="15">
        <v>44506.36346064815</v>
      </c>
      <c r="B3" t="s">
        <v>13</v>
      </c>
      <c r="C3" t="s">
        <v>952</v>
      </c>
      <c r="D3" s="2">
        <v>44502</v>
      </c>
      <c r="E3" t="s">
        <v>1133</v>
      </c>
      <c r="F3" t="s">
        <v>954</v>
      </c>
      <c r="G3" t="s">
        <v>951</v>
      </c>
      <c r="H3" t="s">
        <v>1172</v>
      </c>
      <c r="I3" t="s">
        <v>985</v>
      </c>
      <c r="J3" t="s">
        <v>948</v>
      </c>
      <c r="K3">
        <v>212</v>
      </c>
      <c r="L3">
        <v>4</v>
      </c>
      <c r="M3">
        <v>15.7</v>
      </c>
      <c r="N3" t="s">
        <v>21</v>
      </c>
      <c r="O3">
        <v>0</v>
      </c>
      <c r="P3">
        <v>2</v>
      </c>
      <c r="Q3">
        <v>500</v>
      </c>
      <c r="R3">
        <v>10218</v>
      </c>
      <c r="S3">
        <v>8.0559999999999992</v>
      </c>
      <c r="T3">
        <v>15.7</v>
      </c>
      <c r="U3">
        <v>38</v>
      </c>
      <c r="V3">
        <v>413.15789473684208</v>
      </c>
      <c r="W3" t="s">
        <v>1182</v>
      </c>
      <c r="X3" t="s">
        <v>1087</v>
      </c>
      <c r="Y3">
        <v>45</v>
      </c>
      <c r="Z3">
        <v>2</v>
      </c>
      <c r="AA3">
        <v>35.333333333333336</v>
      </c>
    </row>
    <row r="4" spans="1:27" x14ac:dyDescent="0.3">
      <c r="A4" s="15">
        <v>44506.365428240744</v>
      </c>
      <c r="B4" t="s">
        <v>13</v>
      </c>
      <c r="C4" t="s">
        <v>952</v>
      </c>
      <c r="D4" s="2">
        <v>44502</v>
      </c>
      <c r="E4" t="s">
        <v>1174</v>
      </c>
      <c r="F4" t="s">
        <v>954</v>
      </c>
      <c r="G4" t="s">
        <v>951</v>
      </c>
      <c r="H4" t="s">
        <v>1172</v>
      </c>
      <c r="I4" t="s">
        <v>985</v>
      </c>
      <c r="J4" t="s">
        <v>459</v>
      </c>
      <c r="K4">
        <v>363</v>
      </c>
      <c r="L4">
        <v>5</v>
      </c>
      <c r="M4">
        <v>26.9</v>
      </c>
      <c r="N4" t="s">
        <v>23</v>
      </c>
      <c r="O4">
        <v>0</v>
      </c>
      <c r="P4">
        <v>4</v>
      </c>
      <c r="Q4">
        <v>500</v>
      </c>
      <c r="R4">
        <v>10219</v>
      </c>
      <c r="S4">
        <v>13.794</v>
      </c>
      <c r="T4">
        <v>26.9</v>
      </c>
      <c r="U4">
        <v>38</v>
      </c>
      <c r="V4">
        <v>707.89473684210532</v>
      </c>
      <c r="W4" t="s">
        <v>1182</v>
      </c>
      <c r="X4" t="s">
        <v>1087</v>
      </c>
      <c r="Y4">
        <v>45</v>
      </c>
      <c r="Z4">
        <v>2</v>
      </c>
      <c r="AA4">
        <v>60.5</v>
      </c>
    </row>
    <row r="5" spans="1:27" x14ac:dyDescent="0.3">
      <c r="A5" s="15">
        <v>44506.365173611113</v>
      </c>
      <c r="B5" t="s">
        <v>13</v>
      </c>
      <c r="C5" t="s">
        <v>952</v>
      </c>
      <c r="D5" s="2">
        <v>44502</v>
      </c>
      <c r="E5" t="s">
        <v>1174</v>
      </c>
      <c r="F5" t="s">
        <v>954</v>
      </c>
      <c r="G5" t="s">
        <v>951</v>
      </c>
      <c r="H5" t="s">
        <v>1172</v>
      </c>
      <c r="I5" t="s">
        <v>985</v>
      </c>
      <c r="J5" t="s">
        <v>460</v>
      </c>
      <c r="K5">
        <v>715</v>
      </c>
      <c r="L5">
        <v>6</v>
      </c>
      <c r="M5">
        <v>61.7</v>
      </c>
      <c r="N5" t="s">
        <v>23</v>
      </c>
      <c r="O5">
        <v>0</v>
      </c>
      <c r="P5">
        <v>8</v>
      </c>
      <c r="Q5">
        <v>500</v>
      </c>
      <c r="R5">
        <v>10219</v>
      </c>
      <c r="S5">
        <v>27.17</v>
      </c>
      <c r="T5">
        <v>61.7</v>
      </c>
      <c r="U5">
        <v>38</v>
      </c>
      <c r="V5">
        <v>1623.6842105263158</v>
      </c>
      <c r="W5" t="s">
        <v>1182</v>
      </c>
      <c r="X5" t="s">
        <v>1087</v>
      </c>
      <c r="Y5">
        <v>45</v>
      </c>
      <c r="Z5">
        <v>2</v>
      </c>
      <c r="AA5">
        <v>119.16666666666667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9"/>
  <dimension ref="A1:AA2"/>
  <sheetViews>
    <sheetView workbookViewId="0">
      <selection activeCell="E14" sqref="E14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44565.709131944444</v>
      </c>
      <c r="B2" t="s">
        <v>13</v>
      </c>
      <c r="C2" t="s">
        <v>1060</v>
      </c>
      <c r="D2" s="2">
        <v>44532</v>
      </c>
      <c r="E2" t="s">
        <v>1106</v>
      </c>
      <c r="F2" t="s">
        <v>954</v>
      </c>
      <c r="G2" t="s">
        <v>951</v>
      </c>
      <c r="H2" t="s">
        <v>1091</v>
      </c>
      <c r="I2" t="s">
        <v>1048</v>
      </c>
      <c r="J2" t="s">
        <v>439</v>
      </c>
      <c r="K2">
        <v>125</v>
      </c>
      <c r="L2">
        <v>2</v>
      </c>
      <c r="M2">
        <v>17.45</v>
      </c>
      <c r="N2" t="s">
        <v>21</v>
      </c>
      <c r="O2">
        <v>0</v>
      </c>
      <c r="P2">
        <v>0</v>
      </c>
      <c r="Q2">
        <v>530</v>
      </c>
      <c r="R2">
        <v>7988</v>
      </c>
      <c r="S2">
        <v>17.375</v>
      </c>
      <c r="T2">
        <v>17.45</v>
      </c>
      <c r="U2">
        <v>139</v>
      </c>
      <c r="V2">
        <v>125.53956834532374</v>
      </c>
      <c r="W2" t="s">
        <v>1186</v>
      </c>
      <c r="X2" t="s">
        <v>1087</v>
      </c>
      <c r="Y2">
        <v>49</v>
      </c>
      <c r="Z2">
        <v>1</v>
      </c>
      <c r="AA2">
        <v>10.416666666666666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2"/>
  <dimension ref="A1:AA4"/>
  <sheetViews>
    <sheetView workbookViewId="0">
      <selection activeCell="E14" sqref="E14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44567.420474537037</v>
      </c>
      <c r="B2" t="s">
        <v>13</v>
      </c>
      <c r="C2" t="s">
        <v>1060</v>
      </c>
      <c r="D2" s="2">
        <v>44537</v>
      </c>
      <c r="E2" t="s">
        <v>1133</v>
      </c>
      <c r="F2" t="s">
        <v>954</v>
      </c>
      <c r="G2" t="s">
        <v>940</v>
      </c>
      <c r="H2" t="s">
        <v>1178</v>
      </c>
      <c r="I2" t="s">
        <v>1185</v>
      </c>
      <c r="J2" t="s">
        <v>1179</v>
      </c>
      <c r="K2">
        <v>542</v>
      </c>
      <c r="L2">
        <v>7</v>
      </c>
      <c r="M2">
        <v>53.2</v>
      </c>
      <c r="N2" t="s">
        <v>21</v>
      </c>
      <c r="O2">
        <v>0</v>
      </c>
      <c r="P2">
        <v>1</v>
      </c>
      <c r="Q2">
        <v>541</v>
      </c>
      <c r="R2">
        <v>7991</v>
      </c>
      <c r="S2">
        <v>52.573999999999998</v>
      </c>
      <c r="T2">
        <v>53.2</v>
      </c>
      <c r="U2">
        <v>97</v>
      </c>
      <c r="V2">
        <v>548.45360824742272</v>
      </c>
      <c r="W2" t="s">
        <v>1186</v>
      </c>
      <c r="X2" t="s">
        <v>1087</v>
      </c>
      <c r="Y2">
        <v>49</v>
      </c>
      <c r="Z2">
        <v>1</v>
      </c>
      <c r="AA2">
        <v>45.166666666666664</v>
      </c>
    </row>
    <row r="3" spans="1:27" x14ac:dyDescent="0.3">
      <c r="A3" s="15">
        <v>44567.419930555552</v>
      </c>
      <c r="B3" t="s">
        <v>13</v>
      </c>
      <c r="C3" t="s">
        <v>1060</v>
      </c>
      <c r="D3" s="2">
        <v>44534</v>
      </c>
      <c r="E3" t="s">
        <v>1170</v>
      </c>
      <c r="F3" t="s">
        <v>954</v>
      </c>
      <c r="G3" t="s">
        <v>940</v>
      </c>
      <c r="H3" t="s">
        <v>1178</v>
      </c>
      <c r="I3" t="s">
        <v>1183</v>
      </c>
      <c r="J3" t="s">
        <v>1189</v>
      </c>
      <c r="K3">
        <v>73</v>
      </c>
      <c r="L3">
        <v>1</v>
      </c>
      <c r="M3">
        <v>11.8</v>
      </c>
      <c r="N3" t="s">
        <v>21</v>
      </c>
      <c r="O3">
        <v>0</v>
      </c>
      <c r="P3">
        <v>1</v>
      </c>
      <c r="Q3">
        <v>541</v>
      </c>
      <c r="R3">
        <v>7991</v>
      </c>
      <c r="S3">
        <v>12.263999999999999</v>
      </c>
      <c r="T3">
        <v>11.8</v>
      </c>
      <c r="U3">
        <v>168</v>
      </c>
      <c r="V3">
        <v>70.238095238095241</v>
      </c>
      <c r="W3" t="s">
        <v>1186</v>
      </c>
      <c r="X3" t="s">
        <v>1087</v>
      </c>
      <c r="Y3">
        <v>49</v>
      </c>
      <c r="Z3">
        <v>1</v>
      </c>
      <c r="AA3">
        <v>6.083333333333333</v>
      </c>
    </row>
    <row r="4" spans="1:27" x14ac:dyDescent="0.3">
      <c r="A4" s="15">
        <v>44567.419328703705</v>
      </c>
      <c r="B4" t="s">
        <v>13</v>
      </c>
      <c r="C4" t="s">
        <v>1060</v>
      </c>
      <c r="D4" s="2">
        <v>44534</v>
      </c>
      <c r="E4" t="s">
        <v>1170</v>
      </c>
      <c r="F4" t="s">
        <v>954</v>
      </c>
      <c r="G4" t="s">
        <v>940</v>
      </c>
      <c r="H4" t="s">
        <v>1178</v>
      </c>
      <c r="I4" t="s">
        <v>1183</v>
      </c>
      <c r="J4" t="s">
        <v>1190</v>
      </c>
      <c r="K4">
        <v>504</v>
      </c>
      <c r="L4">
        <v>4</v>
      </c>
      <c r="M4">
        <v>81.2</v>
      </c>
      <c r="N4" t="s">
        <v>21</v>
      </c>
      <c r="O4">
        <v>0</v>
      </c>
      <c r="P4">
        <v>4</v>
      </c>
      <c r="Q4">
        <v>541</v>
      </c>
      <c r="R4">
        <v>7991</v>
      </c>
      <c r="S4">
        <v>84.671999999999997</v>
      </c>
      <c r="T4">
        <v>81.2</v>
      </c>
      <c r="U4">
        <v>168</v>
      </c>
      <c r="V4">
        <v>483.33333333333331</v>
      </c>
      <c r="W4" t="s">
        <v>1186</v>
      </c>
      <c r="X4" t="s">
        <v>1087</v>
      </c>
      <c r="Y4">
        <v>49</v>
      </c>
      <c r="Z4">
        <v>1</v>
      </c>
      <c r="AA4">
        <v>42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3"/>
  <dimension ref="A1:AA3"/>
  <sheetViews>
    <sheetView workbookViewId="0">
      <selection activeCell="E14" sqref="E14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44567.42328703704</v>
      </c>
      <c r="B2" t="s">
        <v>13</v>
      </c>
      <c r="C2" t="s">
        <v>1060</v>
      </c>
      <c r="D2" s="2">
        <v>44540</v>
      </c>
      <c r="E2" t="s">
        <v>1133</v>
      </c>
      <c r="F2" t="s">
        <v>954</v>
      </c>
      <c r="G2" t="s">
        <v>940</v>
      </c>
      <c r="H2" t="s">
        <v>1178</v>
      </c>
      <c r="I2" t="s">
        <v>1185</v>
      </c>
      <c r="J2" t="s">
        <v>1181</v>
      </c>
      <c r="K2">
        <v>26</v>
      </c>
      <c r="L2">
        <v>1</v>
      </c>
      <c r="M2">
        <v>2.5</v>
      </c>
      <c r="N2" t="s">
        <v>21</v>
      </c>
      <c r="O2">
        <v>0</v>
      </c>
      <c r="P2">
        <v>1</v>
      </c>
      <c r="Q2">
        <v>531</v>
      </c>
      <c r="R2">
        <v>10150</v>
      </c>
      <c r="S2">
        <v>2.5219999999999998</v>
      </c>
      <c r="T2">
        <v>2.5</v>
      </c>
      <c r="U2">
        <v>97</v>
      </c>
      <c r="V2">
        <v>25.773195876288661</v>
      </c>
      <c r="W2" t="s">
        <v>1186</v>
      </c>
      <c r="X2" t="s">
        <v>1087</v>
      </c>
      <c r="Y2">
        <v>50</v>
      </c>
      <c r="Z2">
        <v>1</v>
      </c>
      <c r="AA2">
        <v>2.1666666666666665</v>
      </c>
    </row>
    <row r="3" spans="1:27" x14ac:dyDescent="0.3">
      <c r="A3" s="15">
        <v>44567.423090277778</v>
      </c>
      <c r="B3" t="s">
        <v>13</v>
      </c>
      <c r="C3" t="s">
        <v>1060</v>
      </c>
      <c r="D3" s="2">
        <v>44540</v>
      </c>
      <c r="E3" t="s">
        <v>1133</v>
      </c>
      <c r="F3" t="s">
        <v>954</v>
      </c>
      <c r="G3" t="s">
        <v>940</v>
      </c>
      <c r="H3" t="s">
        <v>1178</v>
      </c>
      <c r="I3" t="s">
        <v>1185</v>
      </c>
      <c r="J3" t="s">
        <v>1180</v>
      </c>
      <c r="K3">
        <v>260</v>
      </c>
      <c r="L3">
        <v>4</v>
      </c>
      <c r="M3">
        <v>25.3</v>
      </c>
      <c r="N3" t="s">
        <v>21</v>
      </c>
      <c r="O3">
        <v>0</v>
      </c>
      <c r="P3">
        <v>2</v>
      </c>
      <c r="Q3">
        <v>531</v>
      </c>
      <c r="R3">
        <v>10150</v>
      </c>
      <c r="S3">
        <v>25.22</v>
      </c>
      <c r="T3">
        <v>25.3</v>
      </c>
      <c r="U3">
        <v>97</v>
      </c>
      <c r="V3">
        <v>260.82474226804123</v>
      </c>
      <c r="W3" t="s">
        <v>1186</v>
      </c>
      <c r="X3" t="s">
        <v>1087</v>
      </c>
      <c r="Y3">
        <v>50</v>
      </c>
      <c r="Z3">
        <v>1</v>
      </c>
      <c r="AA3">
        <v>21.666666666666668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4"/>
  <dimension ref="A1:AA2"/>
  <sheetViews>
    <sheetView workbookViewId="0">
      <selection activeCell="E14" sqref="E14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44567.424166666664</v>
      </c>
      <c r="B2" t="s">
        <v>13</v>
      </c>
      <c r="C2" t="s">
        <v>1060</v>
      </c>
      <c r="D2" s="2">
        <v>44544</v>
      </c>
      <c r="E2" t="s">
        <v>1133</v>
      </c>
      <c r="F2" t="s">
        <v>954</v>
      </c>
      <c r="G2" t="s">
        <v>940</v>
      </c>
      <c r="H2" t="s">
        <v>1178</v>
      </c>
      <c r="I2" t="s">
        <v>1017</v>
      </c>
      <c r="J2" t="s">
        <v>265</v>
      </c>
      <c r="K2">
        <v>433</v>
      </c>
      <c r="L2">
        <v>6</v>
      </c>
      <c r="M2">
        <v>29.5</v>
      </c>
      <c r="N2" t="s">
        <v>21</v>
      </c>
      <c r="O2">
        <v>0</v>
      </c>
      <c r="P2">
        <v>3</v>
      </c>
      <c r="Q2">
        <v>531</v>
      </c>
      <c r="R2">
        <v>10151</v>
      </c>
      <c r="S2">
        <v>9.5259999999999998</v>
      </c>
      <c r="T2">
        <v>29.5</v>
      </c>
      <c r="U2">
        <v>22</v>
      </c>
      <c r="V2">
        <v>1340.909090909091</v>
      </c>
      <c r="W2" t="s">
        <v>1186</v>
      </c>
      <c r="X2" t="s">
        <v>1087</v>
      </c>
      <c r="Y2">
        <v>51</v>
      </c>
      <c r="Z2">
        <v>3</v>
      </c>
      <c r="AA2">
        <v>108.25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5"/>
  <dimension ref="A1:AA2"/>
  <sheetViews>
    <sheetView workbookViewId="0">
      <selection activeCell="E14" sqref="E14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44542.697152777779</v>
      </c>
      <c r="B2" t="s">
        <v>12</v>
      </c>
      <c r="C2" t="s">
        <v>1030</v>
      </c>
      <c r="D2" s="2">
        <v>44531</v>
      </c>
      <c r="E2" t="s">
        <v>1034</v>
      </c>
      <c r="F2" t="s">
        <v>41</v>
      </c>
      <c r="G2" t="s">
        <v>941</v>
      </c>
      <c r="H2" t="s">
        <v>48</v>
      </c>
      <c r="I2" t="s">
        <v>970</v>
      </c>
      <c r="J2" t="s">
        <v>569</v>
      </c>
      <c r="K2">
        <v>2022</v>
      </c>
      <c r="L2">
        <v>8</v>
      </c>
      <c r="M2">
        <v>46.8</v>
      </c>
      <c r="N2" t="s">
        <v>21</v>
      </c>
      <c r="O2">
        <v>0</v>
      </c>
      <c r="P2">
        <v>3</v>
      </c>
      <c r="Q2">
        <v>534</v>
      </c>
      <c r="R2">
        <v>10045</v>
      </c>
      <c r="S2">
        <v>22.242000000000001</v>
      </c>
      <c r="T2">
        <v>46.8</v>
      </c>
      <c r="U2">
        <v>11</v>
      </c>
      <c r="V2">
        <v>4254.545454545455</v>
      </c>
      <c r="W2" t="s">
        <v>1186</v>
      </c>
      <c r="X2" t="s">
        <v>1087</v>
      </c>
      <c r="Y2">
        <v>49</v>
      </c>
      <c r="Z2">
        <v>2</v>
      </c>
      <c r="AA2">
        <v>337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6"/>
  <dimension ref="A1:AA2"/>
  <sheetViews>
    <sheetView workbookViewId="0">
      <selection activeCell="E14" sqref="E14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7.6640625" customWidth="1"/>
    <col min="21" max="21" width="18.88671875" customWidth="1"/>
    <col min="22" max="22" width="15.33203125" customWidth="1"/>
    <col min="26" max="26" width="12.109375" customWidth="1"/>
  </cols>
  <sheetData>
    <row r="1" spans="1:27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5</v>
      </c>
      <c r="T1" t="s">
        <v>7</v>
      </c>
      <c r="U1" t="s">
        <v>8</v>
      </c>
      <c r="V1" t="s">
        <v>9</v>
      </c>
      <c r="W1" t="s">
        <v>14</v>
      </c>
      <c r="X1" t="s">
        <v>1086</v>
      </c>
      <c r="Y1" t="s">
        <v>16</v>
      </c>
      <c r="Z1" t="s">
        <v>15</v>
      </c>
      <c r="AA1" t="s">
        <v>17</v>
      </c>
    </row>
    <row r="2" spans="1:27" x14ac:dyDescent="0.3">
      <c r="A2" s="15">
        <v>44572.477094907408</v>
      </c>
      <c r="B2" t="s">
        <v>13</v>
      </c>
      <c r="C2" t="s">
        <v>1060</v>
      </c>
      <c r="D2" s="2">
        <v>44569</v>
      </c>
      <c r="E2" t="s">
        <v>1133</v>
      </c>
      <c r="F2" t="s">
        <v>41</v>
      </c>
      <c r="G2" t="s">
        <v>943</v>
      </c>
      <c r="H2" t="s">
        <v>48</v>
      </c>
      <c r="I2" t="s">
        <v>1052</v>
      </c>
      <c r="J2" t="s">
        <v>136</v>
      </c>
      <c r="K2">
        <v>949</v>
      </c>
      <c r="L2">
        <v>12</v>
      </c>
      <c r="M2">
        <v>125.3</v>
      </c>
      <c r="N2" t="s">
        <v>21</v>
      </c>
      <c r="O2">
        <v>0</v>
      </c>
      <c r="P2">
        <v>12</v>
      </c>
      <c r="Q2">
        <v>560</v>
      </c>
      <c r="R2">
        <v>10171</v>
      </c>
      <c r="S2">
        <v>31.317</v>
      </c>
      <c r="T2">
        <v>125.3</v>
      </c>
      <c r="U2">
        <v>33</v>
      </c>
      <c r="V2">
        <v>3796.969696969697</v>
      </c>
      <c r="W2" t="s">
        <v>1194</v>
      </c>
      <c r="X2" t="s">
        <v>1195</v>
      </c>
      <c r="Y2">
        <v>2</v>
      </c>
      <c r="Z2">
        <v>4</v>
      </c>
      <c r="AA2">
        <v>316.33333333333331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"/>
  <dimension ref="A1:AD2"/>
  <sheetViews>
    <sheetView workbookViewId="0">
      <selection activeCell="I2" sqref="I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44737.945289351854</v>
      </c>
      <c r="B2" t="s">
        <v>13</v>
      </c>
      <c r="C2" t="s">
        <v>1060</v>
      </c>
      <c r="D2" s="2">
        <v>44717</v>
      </c>
      <c r="E2" t="s">
        <v>1255</v>
      </c>
      <c r="F2" t="s">
        <v>40</v>
      </c>
      <c r="G2" t="s">
        <v>48</v>
      </c>
      <c r="H2" t="s">
        <v>1172</v>
      </c>
      <c r="I2" t="s">
        <v>1235</v>
      </c>
      <c r="J2" t="s">
        <v>1233</v>
      </c>
      <c r="K2">
        <v>952</v>
      </c>
      <c r="L2">
        <v>7</v>
      </c>
      <c r="M2">
        <v>63.5</v>
      </c>
      <c r="N2" t="s">
        <v>45</v>
      </c>
      <c r="O2">
        <v>0</v>
      </c>
      <c r="P2">
        <v>4</v>
      </c>
      <c r="Q2" t="s">
        <v>46</v>
      </c>
      <c r="R2">
        <v>11760</v>
      </c>
      <c r="S2" t="s">
        <v>1214</v>
      </c>
      <c r="T2">
        <v>2.1</v>
      </c>
      <c r="U2">
        <v>0</v>
      </c>
      <c r="V2">
        <v>64.736000000000004</v>
      </c>
      <c r="W2">
        <v>63.5</v>
      </c>
      <c r="X2">
        <v>68</v>
      </c>
      <c r="Y2">
        <v>933.82352941176475</v>
      </c>
      <c r="Z2" t="s">
        <v>1254</v>
      </c>
      <c r="AA2" t="s">
        <v>1195</v>
      </c>
      <c r="AB2">
        <v>23</v>
      </c>
      <c r="AC2">
        <v>1</v>
      </c>
      <c r="AD2">
        <v>79.333333333333329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3"/>
  <dimension ref="A1:AD2"/>
  <sheetViews>
    <sheetView topLeftCell="I1" workbookViewId="0">
      <selection activeCell="W7" sqref="W7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44743.669791666667</v>
      </c>
      <c r="B2" t="s">
        <v>13</v>
      </c>
      <c r="C2" t="s">
        <v>1259</v>
      </c>
      <c r="D2" s="2">
        <v>44740</v>
      </c>
      <c r="E2" t="s">
        <v>1251</v>
      </c>
      <c r="F2" t="s">
        <v>40</v>
      </c>
      <c r="G2" t="s">
        <v>48</v>
      </c>
      <c r="H2" t="s">
        <v>1197</v>
      </c>
      <c r="I2" t="s">
        <v>969</v>
      </c>
      <c r="J2" t="s">
        <v>568</v>
      </c>
      <c r="K2">
        <v>360</v>
      </c>
      <c r="L2">
        <v>3</v>
      </c>
      <c r="M2">
        <v>6</v>
      </c>
      <c r="N2" t="s">
        <v>21</v>
      </c>
      <c r="O2">
        <v>0</v>
      </c>
      <c r="P2">
        <v>1</v>
      </c>
      <c r="Q2" t="s">
        <v>47</v>
      </c>
      <c r="R2">
        <v>12503</v>
      </c>
      <c r="S2" t="s">
        <v>25</v>
      </c>
      <c r="T2">
        <v>0</v>
      </c>
      <c r="U2">
        <v>0</v>
      </c>
      <c r="V2">
        <v>1.26</v>
      </c>
      <c r="W2">
        <v>6.4</v>
      </c>
      <c r="X2">
        <v>3.5</v>
      </c>
      <c r="Y2">
        <v>1714.2857142857142</v>
      </c>
      <c r="Z2" t="s">
        <v>1254</v>
      </c>
      <c r="AA2" t="s">
        <v>1195</v>
      </c>
      <c r="AB2">
        <v>27</v>
      </c>
      <c r="AC2">
        <v>6</v>
      </c>
      <c r="AD2">
        <v>180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6"/>
  <dimension ref="A1:AD2"/>
  <sheetViews>
    <sheetView workbookViewId="0">
      <selection activeCell="G12" sqref="G1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44743.669791666667</v>
      </c>
      <c r="B2" t="s">
        <v>13</v>
      </c>
      <c r="C2" t="s">
        <v>1259</v>
      </c>
      <c r="D2" s="2">
        <v>44740</v>
      </c>
      <c r="E2" t="s">
        <v>1251</v>
      </c>
      <c r="F2" t="s">
        <v>40</v>
      </c>
      <c r="G2" t="s">
        <v>48</v>
      </c>
      <c r="H2" t="s">
        <v>1197</v>
      </c>
      <c r="I2" t="s">
        <v>969</v>
      </c>
      <c r="J2" t="s">
        <v>568</v>
      </c>
      <c r="K2">
        <v>360</v>
      </c>
      <c r="L2">
        <v>3</v>
      </c>
      <c r="M2">
        <v>6</v>
      </c>
      <c r="N2" t="s">
        <v>21</v>
      </c>
      <c r="O2">
        <v>0</v>
      </c>
      <c r="P2">
        <v>1</v>
      </c>
      <c r="Q2" t="s">
        <v>47</v>
      </c>
      <c r="R2">
        <v>12503</v>
      </c>
      <c r="S2" t="s">
        <v>25</v>
      </c>
      <c r="T2">
        <v>0</v>
      </c>
      <c r="U2">
        <v>0</v>
      </c>
      <c r="V2">
        <v>1.26</v>
      </c>
      <c r="W2">
        <v>6</v>
      </c>
      <c r="X2">
        <v>3.5</v>
      </c>
      <c r="Y2">
        <v>1714.2857142857142</v>
      </c>
      <c r="Z2" t="s">
        <v>1254</v>
      </c>
      <c r="AA2" t="s">
        <v>1195</v>
      </c>
      <c r="AB2">
        <v>27</v>
      </c>
      <c r="AC2">
        <v>6</v>
      </c>
      <c r="AD2">
        <v>180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2"/>
  <dimension ref="A1:AD2"/>
  <sheetViews>
    <sheetView workbookViewId="0">
      <selection activeCell="Z15" sqref="Z15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44743.669791666667</v>
      </c>
      <c r="B2" t="s">
        <v>13</v>
      </c>
      <c r="C2" t="s">
        <v>1259</v>
      </c>
      <c r="D2" s="2">
        <v>44740</v>
      </c>
      <c r="E2" t="s">
        <v>1251</v>
      </c>
      <c r="F2" t="s">
        <v>40</v>
      </c>
      <c r="G2" t="s">
        <v>48</v>
      </c>
      <c r="H2" t="s">
        <v>1197</v>
      </c>
      <c r="I2" t="s">
        <v>969</v>
      </c>
      <c r="J2" t="s">
        <v>568</v>
      </c>
      <c r="K2">
        <v>360</v>
      </c>
      <c r="L2">
        <v>3</v>
      </c>
      <c r="M2">
        <v>6</v>
      </c>
      <c r="N2" t="s">
        <v>21</v>
      </c>
      <c r="O2">
        <v>0</v>
      </c>
      <c r="P2">
        <v>1</v>
      </c>
      <c r="Q2" t="s">
        <v>47</v>
      </c>
      <c r="R2">
        <v>12503</v>
      </c>
      <c r="S2" t="s">
        <v>25</v>
      </c>
      <c r="T2">
        <v>0</v>
      </c>
      <c r="U2">
        <v>0</v>
      </c>
      <c r="V2">
        <v>1.26</v>
      </c>
      <c r="W2">
        <v>6</v>
      </c>
      <c r="X2">
        <v>3.5</v>
      </c>
      <c r="Y2">
        <v>1714.2857142857142</v>
      </c>
      <c r="Z2" t="s">
        <v>1254</v>
      </c>
      <c r="AA2" t="s">
        <v>1195</v>
      </c>
      <c r="AB2">
        <v>27</v>
      </c>
      <c r="AC2">
        <v>6</v>
      </c>
      <c r="AD2">
        <v>180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4"/>
  <dimension ref="A1:AD2"/>
  <sheetViews>
    <sheetView workbookViewId="0">
      <selection activeCell="N9" sqref="N9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44743.669791666667</v>
      </c>
      <c r="B2" t="s">
        <v>13</v>
      </c>
      <c r="C2" t="s">
        <v>1259</v>
      </c>
      <c r="D2" s="2">
        <v>44740</v>
      </c>
      <c r="E2" t="s">
        <v>1251</v>
      </c>
      <c r="F2" t="s">
        <v>40</v>
      </c>
      <c r="G2" t="s">
        <v>48</v>
      </c>
      <c r="H2" t="s">
        <v>1197</v>
      </c>
      <c r="I2" t="s">
        <v>969</v>
      </c>
      <c r="J2" t="s">
        <v>568</v>
      </c>
      <c r="K2">
        <v>360</v>
      </c>
      <c r="L2">
        <v>3</v>
      </c>
      <c r="M2">
        <v>6.4</v>
      </c>
      <c r="N2" t="s">
        <v>21</v>
      </c>
      <c r="O2">
        <v>0</v>
      </c>
      <c r="P2">
        <v>1</v>
      </c>
      <c r="Q2" t="s">
        <v>47</v>
      </c>
      <c r="R2">
        <v>12503</v>
      </c>
      <c r="S2" t="s">
        <v>25</v>
      </c>
      <c r="T2">
        <v>0</v>
      </c>
      <c r="U2">
        <v>0</v>
      </c>
      <c r="V2">
        <v>1.26</v>
      </c>
      <c r="W2">
        <v>6.4</v>
      </c>
      <c r="X2">
        <v>3.5</v>
      </c>
      <c r="Y2">
        <v>1828.5714285714287</v>
      </c>
      <c r="Z2" t="s">
        <v>1254</v>
      </c>
      <c r="AA2" t="s">
        <v>1195</v>
      </c>
      <c r="AB2">
        <v>27</v>
      </c>
      <c r="AC2">
        <v>6</v>
      </c>
      <c r="AD2">
        <v>180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5"/>
  <dimension ref="A1:AD1"/>
  <sheetViews>
    <sheetView workbookViewId="0">
      <selection activeCell="J14" sqref="J14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6"/>
  <dimension ref="A1:AD2"/>
  <sheetViews>
    <sheetView topLeftCell="E1" workbookViewId="0">
      <selection activeCell="N2" sqref="N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44772.812939814816</v>
      </c>
      <c r="B2" t="s">
        <v>13</v>
      </c>
      <c r="C2" t="s">
        <v>1267</v>
      </c>
      <c r="D2" s="2">
        <v>44745</v>
      </c>
      <c r="E2" t="s">
        <v>1081</v>
      </c>
      <c r="F2" t="s">
        <v>41</v>
      </c>
      <c r="G2" t="s">
        <v>940</v>
      </c>
      <c r="H2" t="s">
        <v>48</v>
      </c>
      <c r="I2" t="s">
        <v>1012</v>
      </c>
      <c r="J2" t="s">
        <v>510</v>
      </c>
      <c r="K2">
        <v>256</v>
      </c>
      <c r="L2">
        <v>3</v>
      </c>
      <c r="M2">
        <v>22.6</v>
      </c>
      <c r="N2" t="s">
        <v>45</v>
      </c>
      <c r="O2">
        <v>0</v>
      </c>
      <c r="P2">
        <v>2</v>
      </c>
      <c r="Q2" t="s">
        <v>1264</v>
      </c>
      <c r="R2">
        <v>12411</v>
      </c>
      <c r="S2" t="s">
        <v>26</v>
      </c>
      <c r="T2">
        <v>1.9</v>
      </c>
      <c r="U2">
        <v>0</v>
      </c>
      <c r="V2">
        <v>10.752000000000001</v>
      </c>
      <c r="W2">
        <v>22.6</v>
      </c>
      <c r="X2">
        <v>42</v>
      </c>
      <c r="Y2">
        <v>538.09523809523807</v>
      </c>
      <c r="Z2" t="s">
        <v>1263</v>
      </c>
      <c r="AA2" t="s">
        <v>1195</v>
      </c>
      <c r="AB2">
        <v>27</v>
      </c>
      <c r="AC2">
        <v>2</v>
      </c>
      <c r="AD2">
        <v>42.666666666666664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7"/>
  <dimension ref="A1:AD3"/>
  <sheetViews>
    <sheetView workbookViewId="0">
      <selection activeCell="M2" sqref="M2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44774.673981481479</v>
      </c>
      <c r="B2" t="s">
        <v>13</v>
      </c>
      <c r="C2" t="s">
        <v>952</v>
      </c>
      <c r="D2" s="2">
        <v>44752</v>
      </c>
      <c r="E2" t="s">
        <v>1035</v>
      </c>
      <c r="F2" t="s">
        <v>41</v>
      </c>
      <c r="G2" t="s">
        <v>943</v>
      </c>
      <c r="H2" t="s">
        <v>48</v>
      </c>
      <c r="I2" t="s">
        <v>1038</v>
      </c>
      <c r="J2" t="s">
        <v>212</v>
      </c>
      <c r="K2">
        <v>18</v>
      </c>
      <c r="L2">
        <v>3</v>
      </c>
      <c r="M2">
        <v>482</v>
      </c>
      <c r="N2" t="s">
        <v>45</v>
      </c>
      <c r="O2">
        <v>0</v>
      </c>
      <c r="P2">
        <v>2</v>
      </c>
      <c r="Q2" t="s">
        <v>1269</v>
      </c>
      <c r="R2">
        <v>12375</v>
      </c>
      <c r="S2" t="s">
        <v>1212</v>
      </c>
      <c r="T2">
        <v>1.7</v>
      </c>
      <c r="U2">
        <v>0</v>
      </c>
      <c r="V2">
        <v>0.64800000000000002</v>
      </c>
      <c r="W2">
        <v>482</v>
      </c>
      <c r="X2">
        <v>36</v>
      </c>
      <c r="Y2">
        <v>13388.888888888889</v>
      </c>
      <c r="Z2" t="s">
        <v>1263</v>
      </c>
      <c r="AA2" t="s">
        <v>1195</v>
      </c>
      <c r="AB2">
        <v>28</v>
      </c>
      <c r="AC2">
        <v>1</v>
      </c>
      <c r="AD2">
        <v>1.5</v>
      </c>
    </row>
    <row r="3" spans="1:30" x14ac:dyDescent="0.3">
      <c r="A3" s="15">
        <v>44774.673449074071</v>
      </c>
      <c r="B3" t="s">
        <v>13</v>
      </c>
      <c r="C3" t="s">
        <v>952</v>
      </c>
      <c r="D3" s="2">
        <v>44752</v>
      </c>
      <c r="E3" t="s">
        <v>1035</v>
      </c>
      <c r="F3" t="s">
        <v>41</v>
      </c>
      <c r="G3" t="s">
        <v>943</v>
      </c>
      <c r="H3" t="s">
        <v>48</v>
      </c>
      <c r="I3" t="s">
        <v>1038</v>
      </c>
      <c r="J3" t="s">
        <v>210</v>
      </c>
      <c r="K3">
        <v>714</v>
      </c>
      <c r="L3">
        <v>4</v>
      </c>
      <c r="M3">
        <v>26.8</v>
      </c>
      <c r="N3" t="s">
        <v>45</v>
      </c>
      <c r="O3">
        <v>0</v>
      </c>
      <c r="P3">
        <v>3</v>
      </c>
      <c r="Q3" t="s">
        <v>1269</v>
      </c>
      <c r="R3">
        <v>12375</v>
      </c>
      <c r="S3" t="s">
        <v>24</v>
      </c>
      <c r="T3">
        <v>0.7</v>
      </c>
      <c r="U3">
        <v>0</v>
      </c>
      <c r="V3">
        <v>25.704000000000001</v>
      </c>
      <c r="W3">
        <v>26.8</v>
      </c>
      <c r="X3">
        <v>36</v>
      </c>
      <c r="Y3">
        <v>744.44444444444446</v>
      </c>
      <c r="Z3" t="s">
        <v>1263</v>
      </c>
      <c r="AA3" t="s">
        <v>1195</v>
      </c>
      <c r="AB3">
        <v>28</v>
      </c>
      <c r="AC3">
        <v>1</v>
      </c>
      <c r="AD3">
        <v>59.5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18"/>
  <dimension ref="A1:AD4"/>
  <sheetViews>
    <sheetView workbookViewId="0">
      <selection activeCell="F19" sqref="F19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44774.902326388888</v>
      </c>
      <c r="B2" t="s">
        <v>13</v>
      </c>
      <c r="C2" t="s">
        <v>1060</v>
      </c>
      <c r="D2" s="2">
        <v>44770</v>
      </c>
      <c r="E2" t="s">
        <v>1170</v>
      </c>
      <c r="F2" t="s">
        <v>41</v>
      </c>
      <c r="G2" t="s">
        <v>943</v>
      </c>
      <c r="H2" t="s">
        <v>48</v>
      </c>
      <c r="I2" t="s">
        <v>1234</v>
      </c>
      <c r="J2" t="s">
        <v>1229</v>
      </c>
      <c r="K2">
        <v>396</v>
      </c>
      <c r="L2">
        <v>4</v>
      </c>
      <c r="M2">
        <v>52.4</v>
      </c>
      <c r="N2" t="s">
        <v>21</v>
      </c>
      <c r="O2">
        <v>0</v>
      </c>
      <c r="P2">
        <v>5</v>
      </c>
      <c r="Q2" t="s">
        <v>1268</v>
      </c>
      <c r="R2">
        <v>12635</v>
      </c>
      <c r="S2" t="s">
        <v>1221</v>
      </c>
      <c r="T2">
        <v>0</v>
      </c>
      <c r="U2">
        <v>0</v>
      </c>
      <c r="V2">
        <v>8.5139999999999993</v>
      </c>
      <c r="W2">
        <v>52.4</v>
      </c>
      <c r="X2">
        <v>21.5</v>
      </c>
      <c r="Y2">
        <v>2437.2093023255816</v>
      </c>
      <c r="Z2" t="s">
        <v>1263</v>
      </c>
      <c r="AA2" t="s">
        <v>1195</v>
      </c>
      <c r="AB2">
        <v>31</v>
      </c>
      <c r="AC2">
        <v>6</v>
      </c>
      <c r="AD2">
        <v>198</v>
      </c>
    </row>
    <row r="3" spans="1:30" x14ac:dyDescent="0.3">
      <c r="A3" s="15">
        <v>44774.901307870372</v>
      </c>
      <c r="B3" t="s">
        <v>13</v>
      </c>
      <c r="C3" t="s">
        <v>1060</v>
      </c>
      <c r="D3" s="2">
        <v>44770</v>
      </c>
      <c r="E3" t="s">
        <v>1170</v>
      </c>
      <c r="F3" t="s">
        <v>41</v>
      </c>
      <c r="G3" t="s">
        <v>943</v>
      </c>
      <c r="H3" t="s">
        <v>48</v>
      </c>
      <c r="I3" t="s">
        <v>1234</v>
      </c>
      <c r="J3" t="s">
        <v>1228</v>
      </c>
      <c r="K3">
        <v>632</v>
      </c>
      <c r="L3">
        <v>7</v>
      </c>
      <c r="M3">
        <v>83.5</v>
      </c>
      <c r="N3" t="s">
        <v>21</v>
      </c>
      <c r="O3">
        <v>0</v>
      </c>
      <c r="P3">
        <v>6</v>
      </c>
      <c r="Q3" t="s">
        <v>1268</v>
      </c>
      <c r="R3">
        <v>12635</v>
      </c>
      <c r="S3" t="s">
        <v>26</v>
      </c>
      <c r="T3">
        <v>0</v>
      </c>
      <c r="U3">
        <v>0</v>
      </c>
      <c r="V3">
        <v>13.587999999999999</v>
      </c>
      <c r="W3">
        <v>83.5</v>
      </c>
      <c r="X3">
        <v>21.5</v>
      </c>
      <c r="Y3">
        <v>3883.7209302325582</v>
      </c>
      <c r="Z3" t="s">
        <v>1263</v>
      </c>
      <c r="AA3" t="s">
        <v>1195</v>
      </c>
      <c r="AB3">
        <v>31</v>
      </c>
      <c r="AC3">
        <v>6</v>
      </c>
      <c r="AD3">
        <v>316</v>
      </c>
    </row>
    <row r="4" spans="1:30" x14ac:dyDescent="0.3">
      <c r="A4" s="15">
        <v>44774.890567129631</v>
      </c>
      <c r="B4" t="s">
        <v>13</v>
      </c>
      <c r="C4" t="s">
        <v>1060</v>
      </c>
      <c r="D4" s="2">
        <v>44770</v>
      </c>
      <c r="E4" t="s">
        <v>1199</v>
      </c>
      <c r="F4" t="s">
        <v>40</v>
      </c>
      <c r="G4" t="s">
        <v>48</v>
      </c>
      <c r="H4" t="s">
        <v>1172</v>
      </c>
      <c r="I4" t="s">
        <v>1235</v>
      </c>
      <c r="J4" t="s">
        <v>1232</v>
      </c>
      <c r="K4">
        <v>1660</v>
      </c>
      <c r="L4">
        <v>12</v>
      </c>
      <c r="M4">
        <v>112.9</v>
      </c>
      <c r="N4" t="s">
        <v>21</v>
      </c>
      <c r="O4">
        <v>0</v>
      </c>
      <c r="P4">
        <v>8</v>
      </c>
      <c r="Q4" t="s">
        <v>1266</v>
      </c>
      <c r="R4">
        <v>12444</v>
      </c>
      <c r="S4" t="s">
        <v>1212</v>
      </c>
      <c r="T4">
        <v>0.9</v>
      </c>
      <c r="U4">
        <v>0</v>
      </c>
      <c r="V4">
        <v>112.88</v>
      </c>
      <c r="W4">
        <v>112.9</v>
      </c>
      <c r="X4">
        <v>68</v>
      </c>
      <c r="Y4">
        <v>1660.2941176470588</v>
      </c>
      <c r="Z4" t="s">
        <v>1263</v>
      </c>
      <c r="AA4" t="s">
        <v>1195</v>
      </c>
      <c r="AB4">
        <v>31</v>
      </c>
      <c r="AC4">
        <v>1</v>
      </c>
      <c r="AD4">
        <v>138.33333333333334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19"/>
  <dimension ref="A1:AD3"/>
  <sheetViews>
    <sheetView workbookViewId="0">
      <selection activeCell="O26" sqref="O26"/>
    </sheetView>
  </sheetViews>
  <sheetFormatPr defaultColWidth="11.5546875" defaultRowHeight="14.4" x14ac:dyDescent="0.3"/>
  <cols>
    <col min="1" max="1" width="13.109375" customWidth="1"/>
    <col min="2" max="2" width="12" customWidth="1"/>
    <col min="5" max="5" width="13.109375" customWidth="1"/>
    <col min="7" max="8" width="12.109375" customWidth="1"/>
    <col min="10" max="10" width="13.33203125" customWidth="1"/>
    <col min="12" max="12" width="13" customWidth="1"/>
    <col min="13" max="13" width="15.6640625" customWidth="1"/>
    <col min="15" max="15" width="17.5546875" customWidth="1"/>
    <col min="18" max="18" width="15.6640625" customWidth="1"/>
    <col min="19" max="19" width="14.6640625" customWidth="1"/>
    <col min="20" max="20" width="14.33203125" customWidth="1"/>
    <col min="21" max="21" width="16" customWidth="1"/>
    <col min="22" max="22" width="17.6640625" customWidth="1"/>
    <col min="24" max="24" width="18.88671875" customWidth="1"/>
    <col min="25" max="25" width="15.33203125" customWidth="1"/>
    <col min="29" max="29" width="12.109375" customWidth="1"/>
  </cols>
  <sheetData>
    <row r="1" spans="1:30" x14ac:dyDescent="0.3">
      <c r="A1" t="s">
        <v>20</v>
      </c>
      <c r="B1" t="s">
        <v>35</v>
      </c>
      <c r="C1" t="s">
        <v>0</v>
      </c>
      <c r="D1" t="s">
        <v>1196</v>
      </c>
      <c r="E1" t="s">
        <v>2</v>
      </c>
      <c r="F1" t="s">
        <v>33</v>
      </c>
      <c r="G1" t="s">
        <v>38</v>
      </c>
      <c r="H1" t="s">
        <v>39</v>
      </c>
      <c r="I1" t="s">
        <v>3</v>
      </c>
      <c r="J1" t="s">
        <v>1026</v>
      </c>
      <c r="K1" t="s">
        <v>1059</v>
      </c>
      <c r="L1" t="s">
        <v>1058</v>
      </c>
      <c r="M1" t="s">
        <v>6</v>
      </c>
      <c r="N1" t="s">
        <v>19</v>
      </c>
      <c r="O1" t="s">
        <v>30</v>
      </c>
      <c r="P1" t="s">
        <v>29</v>
      </c>
      <c r="Q1" t="s">
        <v>42</v>
      </c>
      <c r="R1" t="s">
        <v>31</v>
      </c>
      <c r="S1" t="s">
        <v>1222</v>
      </c>
      <c r="T1" t="s">
        <v>1223</v>
      </c>
      <c r="U1" t="s">
        <v>1224</v>
      </c>
      <c r="V1" t="s">
        <v>5</v>
      </c>
      <c r="W1" t="s">
        <v>7</v>
      </c>
      <c r="X1" t="s">
        <v>8</v>
      </c>
      <c r="Y1" t="s">
        <v>9</v>
      </c>
      <c r="Z1" t="s">
        <v>14</v>
      </c>
      <c r="AA1" t="s">
        <v>1086</v>
      </c>
      <c r="AB1" t="s">
        <v>16</v>
      </c>
      <c r="AC1" t="s">
        <v>15</v>
      </c>
      <c r="AD1" t="s">
        <v>17</v>
      </c>
    </row>
    <row r="2" spans="1:30" x14ac:dyDescent="0.3">
      <c r="A2" s="15">
        <v>44772.828043981484</v>
      </c>
      <c r="B2" t="s">
        <v>13</v>
      </c>
      <c r="C2" t="s">
        <v>1267</v>
      </c>
      <c r="D2" s="2">
        <v>44750</v>
      </c>
      <c r="E2" t="s">
        <v>1251</v>
      </c>
      <c r="F2" t="s">
        <v>41</v>
      </c>
      <c r="G2" t="s">
        <v>943</v>
      </c>
      <c r="H2" t="s">
        <v>48</v>
      </c>
      <c r="I2" t="s">
        <v>1127</v>
      </c>
      <c r="J2" t="s">
        <v>1123</v>
      </c>
      <c r="K2">
        <v>68</v>
      </c>
      <c r="L2">
        <v>1</v>
      </c>
      <c r="M2">
        <v>10.47</v>
      </c>
      <c r="N2" t="s">
        <v>23</v>
      </c>
      <c r="O2">
        <v>0</v>
      </c>
      <c r="P2">
        <v>1</v>
      </c>
      <c r="Q2" t="s">
        <v>1265</v>
      </c>
      <c r="R2">
        <v>12419</v>
      </c>
      <c r="S2" t="s">
        <v>28</v>
      </c>
      <c r="T2">
        <v>0</v>
      </c>
      <c r="U2">
        <v>0</v>
      </c>
      <c r="V2">
        <v>1.50552</v>
      </c>
      <c r="W2">
        <v>10.47</v>
      </c>
      <c r="X2">
        <v>22.14</v>
      </c>
      <c r="Y2">
        <v>472.89972899728997</v>
      </c>
      <c r="Z2" t="s">
        <v>1263</v>
      </c>
      <c r="AA2" t="s">
        <v>1195</v>
      </c>
      <c r="AB2">
        <v>28</v>
      </c>
      <c r="AC2">
        <v>7</v>
      </c>
      <c r="AD2">
        <v>39.666666666666664</v>
      </c>
    </row>
    <row r="3" spans="1:30" x14ac:dyDescent="0.3">
      <c r="A3" s="15">
        <v>44772.827164351853</v>
      </c>
      <c r="B3" t="s">
        <v>13</v>
      </c>
      <c r="C3" t="s">
        <v>1267</v>
      </c>
      <c r="D3" s="2">
        <v>44750</v>
      </c>
      <c r="E3" t="s">
        <v>1251</v>
      </c>
      <c r="F3" t="s">
        <v>41</v>
      </c>
      <c r="G3" t="s">
        <v>943</v>
      </c>
      <c r="H3" t="s">
        <v>48</v>
      </c>
      <c r="I3" t="s">
        <v>1127</v>
      </c>
      <c r="J3" t="s">
        <v>1124</v>
      </c>
      <c r="K3">
        <v>113</v>
      </c>
      <c r="L3">
        <v>10</v>
      </c>
      <c r="M3">
        <v>731</v>
      </c>
      <c r="N3" t="s">
        <v>23</v>
      </c>
      <c r="O3">
        <v>0</v>
      </c>
      <c r="P3">
        <v>10</v>
      </c>
      <c r="Q3" t="s">
        <v>1265</v>
      </c>
      <c r="R3">
        <v>12419</v>
      </c>
      <c r="S3" t="s">
        <v>1211</v>
      </c>
      <c r="T3">
        <v>29.2</v>
      </c>
      <c r="U3">
        <v>0</v>
      </c>
      <c r="V3">
        <v>2.5018200000000004</v>
      </c>
      <c r="W3">
        <v>731</v>
      </c>
      <c r="X3">
        <v>22.14</v>
      </c>
      <c r="Y3">
        <v>33017.163504968383</v>
      </c>
      <c r="Z3" t="s">
        <v>1263</v>
      </c>
      <c r="AA3" t="s">
        <v>1195</v>
      </c>
      <c r="AB3">
        <v>28</v>
      </c>
      <c r="AC3">
        <v>7</v>
      </c>
      <c r="AD3">
        <v>65.916666666666671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7"/>
  <dimension ref="A1"/>
  <sheetViews>
    <sheetView workbookViewId="0">
      <selection activeCell="B10" sqref="B1:B1048576"/>
    </sheetView>
  </sheetViews>
  <sheetFormatPr defaultColWidth="11.5546875" defaultRowHeight="14.4" x14ac:dyDescent="0.3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8"/>
  <dimension ref="A1"/>
  <sheetViews>
    <sheetView workbookViewId="0">
      <selection activeCell="D21" sqref="D21"/>
    </sheetView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SKU PIEZAS</vt:lpstr>
      <vt:lpstr>DATOS</vt:lpstr>
      <vt:lpstr>PRODUCCION</vt:lpstr>
      <vt:lpstr>RESUMEN DIARIO</vt:lpstr>
      <vt:lpstr>Hoja10</vt:lpstr>
      <vt:lpstr>Hoja12</vt:lpstr>
      <vt:lpstr>Hoja14</vt:lpstr>
      <vt:lpstr>Hoja15</vt:lpstr>
      <vt:lpstr>Hoja17</vt:lpstr>
      <vt:lpstr>Hoja18</vt:lpstr>
      <vt:lpstr>Hoja19</vt:lpstr>
      <vt:lpstr>Hoja21</vt:lpstr>
      <vt:lpstr>Hoja22</vt:lpstr>
      <vt:lpstr>Hoja23</vt:lpstr>
      <vt:lpstr>Hoja24</vt:lpstr>
      <vt:lpstr>Hoja20</vt:lpstr>
      <vt:lpstr>Hoja31</vt:lpstr>
      <vt:lpstr>Hoja32</vt:lpstr>
      <vt:lpstr>Hoja33</vt:lpstr>
      <vt:lpstr>Hoja34</vt:lpstr>
      <vt:lpstr>Hoja35</vt:lpstr>
      <vt:lpstr>Hoja36</vt:lpstr>
      <vt:lpstr>Hoja47</vt:lpstr>
      <vt:lpstr>Hoja48</vt:lpstr>
      <vt:lpstr>Hoja49</vt:lpstr>
      <vt:lpstr>Hoja50</vt:lpstr>
      <vt:lpstr>Hoja51</vt:lpstr>
      <vt:lpstr>Hoja52</vt:lpstr>
      <vt:lpstr>Hoja55</vt:lpstr>
      <vt:lpstr>Hoja56</vt:lpstr>
      <vt:lpstr>Hoja57</vt:lpstr>
      <vt:lpstr>Hoja58</vt:lpstr>
      <vt:lpstr>&gt;&gt;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esteban sulca infante</cp:lastModifiedBy>
  <cp:lastPrinted>2025-12-09T15:25:04Z</cp:lastPrinted>
  <dcterms:created xsi:type="dcterms:W3CDTF">2015-02-19T23:03:57Z</dcterms:created>
  <dcterms:modified xsi:type="dcterms:W3CDTF">2025-12-23T17:06:24Z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2d2865bb-bae6-4b80-a8d5-9296852ae3d2</vt:lpwstr>
  </property>
</Properties>
</file>