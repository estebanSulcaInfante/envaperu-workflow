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ORDENES DE PRODUCCION\"/>
    </mc:Choice>
  </mc:AlternateContent>
  <xr:revisionPtr revIDLastSave="0" documentId="13_ncr:1_{E9F5E8BB-0F83-4245-B137-E09833388420}" xr6:coauthVersionLast="47" xr6:coauthVersionMax="47" xr10:uidLastSave="{00000000-0000-0000-0000-000000000000}"/>
  <bookViews>
    <workbookView xWindow="-120" yWindow="-120" windowWidth="20730" windowHeight="11160" tabRatio="778" firstSheet="2" activeTab="2" xr2:uid="{00000000-000D-0000-FFFF-FFFF00000000}"/>
  </bookViews>
  <sheets>
    <sheet name="MOLDES" sheetId="5" r:id="rId1"/>
    <sheet name="Temporal" sheetId="9" r:id="rId2"/>
    <sheet name="Ordenes" sheetId="1" r:id="rId3"/>
    <sheet name="IMPRIMIR OP" sheetId="13" r:id="rId4"/>
    <sheet name="CONTROL PREPARAR MP" sheetId="22" r:id="rId5"/>
    <sheet name="IMPRIMIR SEGUIMIENTO OP" sheetId="15" r:id="rId6"/>
    <sheet name="IMPRIMIR OF" sheetId="12" state="hidden" r:id="rId7"/>
    <sheet name="IMPRIMIR Calidad" sheetId="26" r:id="rId8"/>
    <sheet name="CIERRE" sheetId="24" r:id="rId9"/>
    <sheet name="CAMBIO PROD" sheetId="23" r:id="rId10"/>
    <sheet name="IMP COSTOS" sheetId="14" r:id="rId11"/>
    <sheet name="DATOS" sheetId="11" r:id="rId12"/>
    <sheet name="Hoja5" sheetId="10" state="hidden" r:id="rId13"/>
    <sheet name="Hoja1" sheetId="6" state="hidden" r:id="rId14"/>
    <sheet name="SEGUIMIENTO OF" sheetId="7" state="hidden" r:id="rId15"/>
    <sheet name="OP Cabecera" sheetId="4" state="hidden" r:id="rId16"/>
    <sheet name="OP Detalle" sheetId="2" state="hidden" r:id="rId17"/>
    <sheet name="OP Necesidades" sheetId="3" state="hidden" r:id="rId18"/>
    <sheet name="IMPRIMIR OT PREP. MATERIAL" sheetId="18" state="hidden" r:id="rId19"/>
    <sheet name="IMPRIMIR OT CALIDAD" sheetId="19" state="hidden" r:id="rId20"/>
  </sheets>
  <definedNames>
    <definedName name="_xlnm._FilterDatabase" localSheetId="11" hidden="1">DATOS!$AS$3:$AS$25</definedName>
    <definedName name="_xlnm._FilterDatabase" localSheetId="0" hidden="1">MOLDES!$B$1:$K$119</definedName>
    <definedName name="_xlnm._FilterDatabase" localSheetId="2" hidden="1">Ordenes!$B$39:$E$45</definedName>
    <definedName name="_xlnm._FilterDatabase" localSheetId="1" hidden="1">'IMPRIMIR OP'!#REF!</definedName>
    <definedName name="_xlnm.Extract" localSheetId="11">DATOS!#REF!</definedName>
    <definedName name="_xlnm.Print_Area" localSheetId="13">Hoja1!$A$1:$Y$25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F33" i="1" l="1"/>
  <c r="F15" i="24"/>
  <c r="I13" i="1"/>
  <c r="I14" i="1" s="1"/>
  <c r="I15" i="1" s="1"/>
  <c r="J15" i="1" s="1"/>
  <c r="V12" i="22" l="1"/>
  <c r="V11" i="22"/>
  <c r="V10" i="22"/>
  <c r="V9" i="22"/>
  <c r="V8" i="22"/>
  <c r="V7" i="22"/>
  <c r="V6" i="22"/>
  <c r="V5" i="22"/>
  <c r="V4" i="22"/>
  <c r="K12" i="22"/>
  <c r="K11" i="22"/>
  <c r="K10" i="22"/>
  <c r="K9" i="22"/>
  <c r="K8" i="22"/>
  <c r="K7" i="22"/>
  <c r="K6" i="22"/>
  <c r="K5" i="22"/>
  <c r="K4" i="22"/>
  <c r="AA6" i="9" l="1"/>
  <c r="E7" i="22" s="1"/>
  <c r="AB6" i="9"/>
  <c r="E8" i="22" s="1"/>
  <c r="AC6" i="9"/>
  <c r="E9" i="22" s="1"/>
  <c r="AA7" i="9"/>
  <c r="E10" i="22" s="1"/>
  <c r="AB7" i="9"/>
  <c r="E11" i="22" s="1"/>
  <c r="AC7" i="9"/>
  <c r="E12" i="22" s="1"/>
  <c r="AA8" i="9"/>
  <c r="R4" i="22" s="1"/>
  <c r="AB8" i="9"/>
  <c r="R5" i="22" s="1"/>
  <c r="AC8" i="9"/>
  <c r="R6" i="22" s="1"/>
  <c r="AA9" i="9"/>
  <c r="R7" i="22" s="1"/>
  <c r="AB9" i="9"/>
  <c r="R8" i="22" s="1"/>
  <c r="AC9" i="9"/>
  <c r="R9" i="22" s="1"/>
  <c r="AA10" i="9"/>
  <c r="R10" i="22" s="1"/>
  <c r="AB10" i="9"/>
  <c r="R11" i="22" s="1"/>
  <c r="AC10" i="9"/>
  <c r="R12" i="22" s="1"/>
  <c r="AC5" i="9"/>
  <c r="E6" i="22" s="1"/>
  <c r="AB5" i="9"/>
  <c r="E5" i="22" s="1"/>
  <c r="AA5" i="9"/>
  <c r="E4" i="22" s="1"/>
  <c r="H50" i="13"/>
  <c r="H49" i="13"/>
  <c r="H48" i="13"/>
  <c r="H47" i="13"/>
  <c r="F50" i="13"/>
  <c r="F49" i="13"/>
  <c r="F48" i="13"/>
  <c r="F47" i="13"/>
  <c r="D50" i="13"/>
  <c r="D49" i="13"/>
  <c r="D48" i="13"/>
  <c r="D47" i="13"/>
  <c r="H45" i="13"/>
  <c r="H44" i="13"/>
  <c r="H43" i="13"/>
  <c r="H42" i="13"/>
  <c r="F45" i="13"/>
  <c r="F44" i="13"/>
  <c r="F43" i="13"/>
  <c r="F42" i="13"/>
  <c r="D45" i="13"/>
  <c r="D44" i="13"/>
  <c r="D43" i="13"/>
  <c r="D42" i="13"/>
  <c r="C3" i="1" l="1"/>
  <c r="C6" i="22" l="1"/>
  <c r="C4" i="26" l="1"/>
  <c r="C13" i="1" l="1"/>
  <c r="F3" i="26" l="1"/>
  <c r="C10" i="26"/>
  <c r="C9" i="26"/>
  <c r="F8" i="26"/>
  <c r="C8" i="26"/>
  <c r="F7" i="26"/>
  <c r="F4" i="26"/>
  <c r="C31" i="24" l="1"/>
  <c r="D31" i="24" s="1"/>
  <c r="C26" i="24"/>
  <c r="D26" i="24" s="1"/>
  <c r="E31" i="24" l="1"/>
  <c r="E26" i="24"/>
  <c r="B11" i="24" l="1"/>
  <c r="B10" i="24"/>
  <c r="F9" i="24"/>
  <c r="B9" i="24"/>
  <c r="F8" i="24"/>
  <c r="A7" i="24"/>
  <c r="F4" i="24"/>
  <c r="D4" i="24"/>
  <c r="B4" i="24"/>
  <c r="G9" i="13"/>
  <c r="G8" i="13"/>
  <c r="C11" i="13"/>
  <c r="C10" i="13"/>
  <c r="C9" i="13"/>
  <c r="P3" i="11"/>
  <c r="A1" i="24" l="1"/>
  <c r="D1" i="24"/>
  <c r="C12" i="22" l="1"/>
  <c r="C3" i="26" l="1"/>
  <c r="B3" i="24" l="1"/>
  <c r="O12" i="22"/>
  <c r="O11" i="22"/>
  <c r="O10" i="22"/>
  <c r="O9" i="22"/>
  <c r="O8" i="22"/>
  <c r="O7" i="22"/>
  <c r="O6" i="22"/>
  <c r="O5" i="22"/>
  <c r="O4" i="22"/>
  <c r="C11" i="22"/>
  <c r="C10" i="22"/>
  <c r="C9" i="22"/>
  <c r="C8" i="22"/>
  <c r="C7" i="22"/>
  <c r="C5" i="22"/>
  <c r="C4" i="22"/>
  <c r="I4" i="15" l="1"/>
  <c r="E4" i="13"/>
  <c r="B31" i="1" l="1"/>
  <c r="B30" i="1"/>
  <c r="B27" i="1"/>
  <c r="C6" i="15" l="1"/>
  <c r="C1" i="14" l="1"/>
  <c r="G4" i="13"/>
  <c r="D1" i="13"/>
  <c r="H1" i="22"/>
  <c r="P1" i="22"/>
  <c r="T12" i="22" l="1"/>
  <c r="T9" i="22"/>
  <c r="T6" i="22"/>
  <c r="T11" i="22"/>
  <c r="T8" i="22"/>
  <c r="T5" i="22"/>
  <c r="T10" i="22"/>
  <c r="T7" i="22"/>
  <c r="T4" i="22"/>
  <c r="H12" i="22"/>
  <c r="H9" i="22"/>
  <c r="H6" i="22"/>
  <c r="H11" i="22"/>
  <c r="H8" i="22"/>
  <c r="H5" i="22"/>
  <c r="H10" i="22"/>
  <c r="H7" i="22"/>
  <c r="H4" i="22"/>
  <c r="B29" i="1"/>
  <c r="A18" i="23" s="1"/>
  <c r="L1" i="22"/>
  <c r="E47" i="23"/>
  <c r="E45" i="23"/>
  <c r="E44" i="23"/>
  <c r="E43" i="23"/>
  <c r="E42" i="23"/>
  <c r="G50" i="23"/>
  <c r="G49" i="23"/>
  <c r="G48" i="23"/>
  <c r="G47" i="23"/>
  <c r="G45" i="23"/>
  <c r="G44" i="23"/>
  <c r="G43" i="23"/>
  <c r="G42" i="23"/>
  <c r="F50" i="23"/>
  <c r="F49" i="23"/>
  <c r="F48" i="23"/>
  <c r="F47" i="23"/>
  <c r="E50" i="23"/>
  <c r="E49" i="23"/>
  <c r="E48" i="23"/>
  <c r="D50" i="23"/>
  <c r="D49" i="23"/>
  <c r="D48" i="23"/>
  <c r="D47" i="23"/>
  <c r="F45" i="23"/>
  <c r="F44" i="23"/>
  <c r="F43" i="23"/>
  <c r="F42" i="23"/>
  <c r="D44" i="23"/>
  <c r="D43" i="23"/>
  <c r="D42" i="23"/>
  <c r="D45" i="23"/>
  <c r="C50" i="23"/>
  <c r="C49" i="23"/>
  <c r="C48" i="23"/>
  <c r="C47" i="23"/>
  <c r="C45" i="23"/>
  <c r="C44" i="23"/>
  <c r="C43" i="23"/>
  <c r="C42" i="23"/>
  <c r="B50" i="23"/>
  <c r="B49" i="23"/>
  <c r="B48" i="23"/>
  <c r="B47" i="23"/>
  <c r="B45" i="23"/>
  <c r="B44" i="23"/>
  <c r="B43" i="23"/>
  <c r="B42" i="23"/>
  <c r="V1" i="22"/>
  <c r="E4" i="23"/>
  <c r="F37" i="23"/>
  <c r="D37" i="23"/>
  <c r="B37" i="23"/>
  <c r="F36" i="23"/>
  <c r="D36" i="23"/>
  <c r="B36" i="23"/>
  <c r="F35" i="23"/>
  <c r="D35" i="23"/>
  <c r="B35" i="23"/>
  <c r="F34" i="23"/>
  <c r="D34" i="23"/>
  <c r="B34" i="23"/>
  <c r="F33" i="23"/>
  <c r="D33" i="23"/>
  <c r="B33" i="23"/>
  <c r="F32" i="23"/>
  <c r="D32" i="23"/>
  <c r="B32" i="23"/>
  <c r="D28" i="23"/>
  <c r="C28" i="23" s="1"/>
  <c r="D27" i="23"/>
  <c r="D26" i="23"/>
  <c r="C26" i="23" s="1"/>
  <c r="B12" i="23"/>
  <c r="B11" i="23"/>
  <c r="F10" i="23"/>
  <c r="B10" i="23"/>
  <c r="F9" i="23"/>
  <c r="B4" i="23"/>
  <c r="B3" i="23"/>
  <c r="A32" i="23"/>
  <c r="C18" i="1"/>
  <c r="A16" i="23" l="1"/>
  <c r="B4" i="22"/>
  <c r="F41" i="23"/>
  <c r="B10" i="22"/>
  <c r="B41" i="23"/>
  <c r="A34" i="23"/>
  <c r="B28" i="1"/>
  <c r="B7" i="22" s="1"/>
  <c r="N4" i="22"/>
  <c r="N7" i="22"/>
  <c r="B32" i="1"/>
  <c r="N10" i="22" s="1"/>
  <c r="C14" i="1"/>
  <c r="C15" i="1"/>
  <c r="C16" i="1"/>
  <c r="C17" i="1"/>
  <c r="D18" i="1"/>
  <c r="D17" i="1"/>
  <c r="D16" i="1"/>
  <c r="D15" i="1"/>
  <c r="D13" i="1"/>
  <c r="D14" i="1"/>
  <c r="C14" i="15" l="1"/>
  <c r="D14" i="15" s="1"/>
  <c r="C12" i="15"/>
  <c r="D12" i="15" s="1"/>
  <c r="C15" i="15"/>
  <c r="D15" i="15" s="1"/>
  <c r="C13" i="15"/>
  <c r="D13" i="15" s="1"/>
  <c r="C16" i="15"/>
  <c r="D16" i="15" s="1"/>
  <c r="A35" i="23"/>
  <c r="A19" i="23"/>
  <c r="B46" i="23"/>
  <c r="A36" i="23"/>
  <c r="A20" i="23"/>
  <c r="D46" i="23"/>
  <c r="D41" i="23"/>
  <c r="A33" i="23"/>
  <c r="A17" i="23"/>
  <c r="A37" i="23"/>
  <c r="A21" i="23"/>
  <c r="F46" i="23"/>
  <c r="F21" i="1"/>
  <c r="F9" i="26" l="1"/>
  <c r="I21" i="1"/>
  <c r="F10" i="24"/>
  <c r="G10" i="13"/>
  <c r="F11" i="23"/>
  <c r="AO22" i="11" l="1"/>
  <c r="AO23" i="11"/>
  <c r="AS23" i="11" s="1"/>
  <c r="AO24" i="11"/>
  <c r="AO25" i="11"/>
  <c r="AS25" i="11" s="1"/>
  <c r="AO21" i="11"/>
  <c r="AS21" i="11" s="1"/>
  <c r="AO16" i="11"/>
  <c r="AO17" i="11"/>
  <c r="AS17" i="11" s="1"/>
  <c r="AO18" i="11"/>
  <c r="AO19" i="11"/>
  <c r="AS19" i="11" s="1"/>
  <c r="AO20" i="11"/>
  <c r="AO15" i="11"/>
  <c r="AS15" i="11" s="1"/>
  <c r="AO10" i="11"/>
  <c r="AO11" i="11"/>
  <c r="AS11" i="11" s="1"/>
  <c r="AO12" i="11"/>
  <c r="AO13" i="11"/>
  <c r="AS13" i="11" s="1"/>
  <c r="AO14" i="11"/>
  <c r="AO9" i="11"/>
  <c r="AO4" i="11"/>
  <c r="AO5" i="11"/>
  <c r="AS5" i="11" s="1"/>
  <c r="AO6" i="11"/>
  <c r="AS6" i="11" s="1"/>
  <c r="AO7" i="11"/>
  <c r="AS7" i="11" s="1"/>
  <c r="AO8" i="11"/>
  <c r="AS8" i="11" s="1"/>
  <c r="AO3" i="11"/>
  <c r="AQ3" i="11" s="1"/>
  <c r="BA3" i="11"/>
  <c r="BB3" i="11"/>
  <c r="BC3" i="11"/>
  <c r="BA4" i="11"/>
  <c r="BB4" i="11"/>
  <c r="BC4" i="11"/>
  <c r="BA5" i="11"/>
  <c r="BB5" i="11"/>
  <c r="BC5" i="11"/>
  <c r="BA6" i="11"/>
  <c r="BB6" i="11"/>
  <c r="BC6" i="11"/>
  <c r="BA7" i="11"/>
  <c r="BB7" i="11"/>
  <c r="BC7" i="11"/>
  <c r="BA8" i="11"/>
  <c r="BB8" i="11"/>
  <c r="BC8" i="11"/>
  <c r="AQ4" i="11" l="1"/>
  <c r="AR4" i="11" s="1"/>
  <c r="AS4" i="11"/>
  <c r="AS10" i="11"/>
  <c r="AQ10" i="11"/>
  <c r="AQ21" i="11"/>
  <c r="AQ17" i="11"/>
  <c r="AQ5" i="11"/>
  <c r="AR3" i="11"/>
  <c r="AQ7" i="11"/>
  <c r="AQ9" i="11"/>
  <c r="AS9" i="11"/>
  <c r="AQ24" i="11"/>
  <c r="AQ23" i="11"/>
  <c r="AQ19" i="11"/>
  <c r="AQ15" i="11"/>
  <c r="AQ11" i="11"/>
  <c r="AQ6" i="11"/>
  <c r="AQ16" i="11"/>
  <c r="AQ20" i="11"/>
  <c r="AS3" i="11"/>
  <c r="AQ8" i="11"/>
  <c r="AQ12" i="11"/>
  <c r="AS22" i="11"/>
  <c r="AQ22" i="11"/>
  <c r="AQ13" i="11"/>
  <c r="AS14" i="11"/>
  <c r="AQ14" i="11"/>
  <c r="AS18" i="11"/>
  <c r="AQ18" i="11"/>
  <c r="AQ25" i="11"/>
  <c r="AS12" i="11"/>
  <c r="AS16" i="11"/>
  <c r="AS20" i="11"/>
  <c r="AS24" i="11"/>
  <c r="AR9" i="11" l="1"/>
  <c r="AR25" i="11"/>
  <c r="AR18" i="11"/>
  <c r="AR23" i="11"/>
  <c r="AR24" i="11"/>
  <c r="AW3" i="11"/>
  <c r="AR11" i="11"/>
  <c r="AR12" i="11"/>
  <c r="AR6" i="11"/>
  <c r="AR5" i="11"/>
  <c r="AR15" i="11"/>
  <c r="AR17" i="11"/>
  <c r="AR16" i="11"/>
  <c r="AR7" i="11"/>
  <c r="AR10" i="11"/>
  <c r="AR22" i="11"/>
  <c r="AR13" i="11"/>
  <c r="AR14" i="11"/>
  <c r="AR8" i="11"/>
  <c r="AR19" i="11"/>
  <c r="AR21" i="11"/>
  <c r="AR20" i="11"/>
  <c r="AW20" i="11" l="1"/>
  <c r="AX20" i="11" s="1"/>
  <c r="AW8" i="11"/>
  <c r="AW25" i="11"/>
  <c r="AW24" i="11"/>
  <c r="AW9" i="11"/>
  <c r="AW14" i="11"/>
  <c r="AW10" i="11"/>
  <c r="AW11" i="11"/>
  <c r="AW13" i="11"/>
  <c r="AW4" i="11"/>
  <c r="AW18" i="11"/>
  <c r="AW7" i="11"/>
  <c r="AW15" i="11"/>
  <c r="AW17" i="11"/>
  <c r="AW16" i="11"/>
  <c r="AW23" i="11"/>
  <c r="AW12" i="11"/>
  <c r="AW22" i="11"/>
  <c r="AW6" i="11"/>
  <c r="AW5" i="11"/>
  <c r="AW19" i="11"/>
  <c r="AW21" i="11"/>
  <c r="AY20" i="11" l="1"/>
  <c r="AX17" i="11"/>
  <c r="AY17" i="11"/>
  <c r="AY15" i="11"/>
  <c r="AX15" i="11"/>
  <c r="AY22" i="11"/>
  <c r="AX22" i="11"/>
  <c r="AY19" i="11"/>
  <c r="AX19" i="11"/>
  <c r="AY23" i="11"/>
  <c r="AX23" i="11"/>
  <c r="AX16" i="11"/>
  <c r="AY16" i="11"/>
  <c r="AY18" i="11"/>
  <c r="AX18" i="11"/>
  <c r="AY14" i="11"/>
  <c r="AX14" i="11"/>
  <c r="AX24" i="11"/>
  <c r="AY24" i="11"/>
  <c r="AX21" i="11"/>
  <c r="AY21" i="11"/>
  <c r="AX25" i="11"/>
  <c r="AY25" i="11"/>
  <c r="G50" i="13" l="1"/>
  <c r="G49" i="13"/>
  <c r="G48" i="13"/>
  <c r="G47" i="13"/>
  <c r="E50" i="13"/>
  <c r="E49" i="13"/>
  <c r="E48" i="13"/>
  <c r="E47" i="13"/>
  <c r="C50" i="13"/>
  <c r="C49" i="13"/>
  <c r="C48" i="13"/>
  <c r="C47" i="13"/>
  <c r="G45" i="13"/>
  <c r="G44" i="13"/>
  <c r="G43" i="13"/>
  <c r="G42" i="13"/>
  <c r="C45" i="13"/>
  <c r="C44" i="13"/>
  <c r="C43" i="13"/>
  <c r="C42" i="13"/>
  <c r="E45" i="13"/>
  <c r="E44" i="13"/>
  <c r="E43" i="13"/>
  <c r="E42" i="13"/>
  <c r="E3" i="15" l="1"/>
  <c r="A1" i="15" s="1"/>
  <c r="B1" i="13" l="1"/>
  <c r="A1" i="14"/>
  <c r="I3" i="15" l="1"/>
  <c r="C5" i="15"/>
  <c r="C4" i="15"/>
  <c r="C2" i="15"/>
  <c r="B12" i="15"/>
  <c r="B22" i="15" s="1"/>
  <c r="B13" i="15"/>
  <c r="B23" i="15" s="1"/>
  <c r="B14" i="15"/>
  <c r="B24" i="15" s="1"/>
  <c r="B15" i="15"/>
  <c r="B25" i="15" s="1"/>
  <c r="B16" i="15"/>
  <c r="B11" i="15"/>
  <c r="B21" i="15" s="1"/>
  <c r="G37" i="13"/>
  <c r="E37" i="13"/>
  <c r="C37" i="13"/>
  <c r="G36" i="13"/>
  <c r="E36" i="13"/>
  <c r="C36" i="13"/>
  <c r="G35" i="13"/>
  <c r="E35" i="13"/>
  <c r="C35" i="13"/>
  <c r="G34" i="13"/>
  <c r="E34" i="13"/>
  <c r="C34" i="13"/>
  <c r="G33" i="13"/>
  <c r="E33" i="13"/>
  <c r="C33" i="13"/>
  <c r="G32" i="13"/>
  <c r="C32" i="13"/>
  <c r="E32" i="13"/>
  <c r="B37" i="13" l="1"/>
  <c r="B36" i="13"/>
  <c r="B35" i="13"/>
  <c r="B34" i="13"/>
  <c r="B33" i="13"/>
  <c r="B32" i="13"/>
  <c r="C41" i="13" l="1"/>
  <c r="C46" i="13"/>
  <c r="E41" i="13"/>
  <c r="E46" i="13"/>
  <c r="G41" i="13"/>
  <c r="G46" i="13"/>
  <c r="B26" i="14"/>
  <c r="B24" i="14"/>
  <c r="B23" i="14"/>
  <c r="A19" i="14"/>
  <c r="A18" i="14"/>
  <c r="A17" i="14"/>
  <c r="A16" i="14"/>
  <c r="A15" i="14"/>
  <c r="A14" i="14"/>
  <c r="B11" i="14"/>
  <c r="B10" i="14"/>
  <c r="D9" i="14"/>
  <c r="B9" i="14"/>
  <c r="D8" i="14"/>
  <c r="A7" i="14"/>
  <c r="B4" i="14"/>
  <c r="D5" i="14"/>
  <c r="B3" i="14"/>
  <c r="B17" i="13"/>
  <c r="B20" i="13"/>
  <c r="B19" i="13"/>
  <c r="B18" i="13"/>
  <c r="B16" i="13"/>
  <c r="B15" i="13"/>
  <c r="BC29" i="11"/>
  <c r="BB29" i="11"/>
  <c r="BA29" i="11"/>
  <c r="BC28" i="11"/>
  <c r="BB28" i="11"/>
  <c r="BA28" i="11"/>
  <c r="BC27" i="11"/>
  <c r="BB27" i="11"/>
  <c r="BA27" i="11"/>
  <c r="BC26" i="11"/>
  <c r="BB26" i="11"/>
  <c r="BA26" i="11"/>
  <c r="BC25" i="11"/>
  <c r="BB25" i="11"/>
  <c r="BA25" i="11"/>
  <c r="Z28" i="1" l="1"/>
  <c r="Z32" i="1"/>
  <c r="Z29" i="1"/>
  <c r="Z30" i="1"/>
  <c r="Z27" i="1"/>
  <c r="B52" i="12"/>
  <c r="N18" i="12"/>
  <c r="H18" i="12"/>
  <c r="B18" i="12"/>
  <c r="K17" i="12"/>
  <c r="N16" i="12"/>
  <c r="H16" i="12"/>
  <c r="B16" i="12"/>
  <c r="N15" i="12"/>
  <c r="H15" i="12"/>
  <c r="B15" i="12"/>
  <c r="J11" i="12"/>
  <c r="H11" i="12"/>
  <c r="B11" i="12"/>
  <c r="N9" i="12"/>
  <c r="H9" i="12"/>
  <c r="A8" i="12"/>
  <c r="N6" i="12"/>
  <c r="H6" i="12"/>
  <c r="B6" i="12"/>
  <c r="N5" i="12"/>
  <c r="H5" i="12"/>
  <c r="B5" i="12"/>
  <c r="P4" i="12"/>
  <c r="N4" i="12"/>
  <c r="J4" i="12"/>
  <c r="H4" i="12"/>
  <c r="B4" i="12"/>
  <c r="M2" i="12"/>
  <c r="G2" i="12"/>
  <c r="A2" i="12"/>
  <c r="C4" i="13"/>
  <c r="C3" i="13"/>
  <c r="B7" i="13"/>
  <c r="G6" i="13" s="1"/>
  <c r="G5" i="13" s="1"/>
  <c r="D25" i="13"/>
  <c r="C25" i="13" s="1"/>
  <c r="D26" i="13"/>
  <c r="C26" i="13" s="1"/>
  <c r="D27" i="13"/>
  <c r="C27" i="13" s="1"/>
  <c r="B54" i="13"/>
  <c r="D10" i="14" l="1"/>
  <c r="H10" i="12"/>
  <c r="I55" i="12" l="1"/>
  <c r="G9" i="9" l="1"/>
  <c r="G8" i="9"/>
  <c r="G7" i="9"/>
  <c r="G6" i="9"/>
  <c r="G5" i="9"/>
  <c r="C40" i="14" l="1"/>
  <c r="C47" i="14"/>
  <c r="D47" i="14"/>
  <c r="D43" i="14"/>
  <c r="D40" i="14"/>
  <c r="C43" i="14"/>
  <c r="H10" i="9"/>
  <c r="G10" i="9"/>
  <c r="F10" i="9"/>
  <c r="E10" i="9"/>
  <c r="H9" i="9"/>
  <c r="F9" i="9"/>
  <c r="E9" i="9"/>
  <c r="H8" i="9"/>
  <c r="F8" i="9"/>
  <c r="E8" i="9"/>
  <c r="H7" i="9"/>
  <c r="F7" i="9"/>
  <c r="E7" i="9"/>
  <c r="H6" i="9"/>
  <c r="F6" i="9"/>
  <c r="E6" i="9"/>
  <c r="H5" i="9"/>
  <c r="F5" i="9"/>
  <c r="E5" i="9"/>
  <c r="A3" i="9"/>
  <c r="M3" i="11"/>
  <c r="G4" i="11"/>
  <c r="J4" i="11" s="1"/>
  <c r="J5" i="11"/>
  <c r="G3" i="11"/>
  <c r="J3" i="11" s="1"/>
  <c r="I5" i="9" l="1"/>
  <c r="B10" i="9"/>
  <c r="B9" i="9"/>
  <c r="B8" i="9"/>
  <c r="B7" i="9"/>
  <c r="B6" i="9"/>
  <c r="B5" i="9"/>
  <c r="C5" i="9"/>
  <c r="C6" i="9"/>
  <c r="C7" i="9"/>
  <c r="C8" i="9"/>
  <c r="C9" i="9"/>
  <c r="C10" i="9"/>
  <c r="D5" i="9"/>
  <c r="D6" i="9"/>
  <c r="D7" i="9"/>
  <c r="D8" i="9"/>
  <c r="D9" i="9"/>
  <c r="D10" i="9"/>
  <c r="I6" i="9"/>
  <c r="I7" i="9"/>
  <c r="I8" i="9"/>
  <c r="I9" i="9"/>
  <c r="I10" i="9"/>
  <c r="A24" i="1"/>
  <c r="G8" i="12" l="1"/>
  <c r="M8" i="12"/>
  <c r="C9" i="10"/>
  <c r="C8" i="10"/>
  <c r="C7" i="10"/>
  <c r="C6" i="10"/>
  <c r="C5" i="10"/>
  <c r="C4" i="10"/>
  <c r="J55" i="12" l="1"/>
  <c r="K55" i="12" s="1"/>
  <c r="C16" i="7"/>
  <c r="C15" i="7"/>
  <c r="C14" i="7"/>
  <c r="C11" i="7"/>
  <c r="D13" i="7"/>
  <c r="C13" i="7" s="1"/>
  <c r="D12" i="7"/>
  <c r="C12" i="7" s="1"/>
  <c r="E12" i="7" s="1"/>
  <c r="O55" i="12" l="1"/>
  <c r="P55" i="12" l="1"/>
  <c r="Q55" i="12" s="1"/>
  <c r="O18" i="12" l="1"/>
  <c r="O15" i="12"/>
  <c r="O16" i="12"/>
  <c r="J16" i="12"/>
  <c r="K16" i="12" s="1"/>
  <c r="P16" i="12" l="1"/>
  <c r="Q16" i="12" s="1"/>
  <c r="P15" i="12"/>
  <c r="Q15" i="12" s="1"/>
  <c r="P18" i="12"/>
  <c r="Q18" i="12" s="1"/>
  <c r="I15" i="12" l="1"/>
  <c r="J15" i="12" s="1"/>
  <c r="K15" i="12" s="1"/>
  <c r="I18" i="12"/>
  <c r="J18" i="12" s="1"/>
  <c r="I16" i="12"/>
  <c r="K18" i="12" l="1"/>
  <c r="I34" i="1" l="1"/>
  <c r="H34" i="1"/>
  <c r="Z31" i="1"/>
  <c r="G34" i="1"/>
  <c r="D21" i="1" l="1"/>
  <c r="C11" i="15" l="1"/>
  <c r="D11" i="15" s="1"/>
  <c r="B9" i="12"/>
  <c r="H21" i="1"/>
  <c r="A17" i="24"/>
  <c r="A21" i="24" s="1"/>
  <c r="B21" i="24" s="1"/>
  <c r="C21" i="24" s="1"/>
  <c r="B21" i="1"/>
  <c r="C21" i="1" l="1"/>
  <c r="A31" i="24" s="1"/>
  <c r="C7" i="26"/>
  <c r="B8" i="24"/>
  <c r="C8" i="13"/>
  <c r="K44" i="1"/>
  <c r="L44" i="1" s="1"/>
  <c r="K41" i="1"/>
  <c r="L41" i="1" s="1"/>
  <c r="K45" i="1"/>
  <c r="L45" i="1" s="1"/>
  <c r="K42" i="1"/>
  <c r="L42" i="1" s="1"/>
  <c r="H10" i="1"/>
  <c r="K43" i="1"/>
  <c r="L43" i="1" s="1"/>
  <c r="E21" i="1"/>
  <c r="J21" i="1"/>
  <c r="E6" i="10"/>
  <c r="E4" i="10"/>
  <c r="K21" i="1"/>
  <c r="B10" i="12"/>
  <c r="B9" i="23"/>
  <c r="B8" i="14"/>
  <c r="A21" i="1"/>
  <c r="K40" i="1"/>
  <c r="E7" i="10"/>
  <c r="D22" i="1"/>
  <c r="E9" i="10"/>
  <c r="E5" i="10"/>
  <c r="E8" i="10"/>
  <c r="F10" i="26" l="1"/>
  <c r="I2" i="15"/>
  <c r="G11" i="13"/>
  <c r="F11" i="24"/>
  <c r="C5" i="13"/>
  <c r="B5" i="24"/>
  <c r="E22" i="1"/>
  <c r="F22" i="1" s="1"/>
  <c r="B17" i="24"/>
  <c r="D21" i="24" s="1"/>
  <c r="E21" i="24" s="1"/>
  <c r="F21" i="24" s="1"/>
  <c r="Q8" i="9"/>
  <c r="Y8" i="9" s="1"/>
  <c r="F10" i="1"/>
  <c r="F18" i="1" s="1"/>
  <c r="G18" i="1" s="1"/>
  <c r="F32" i="1" s="1"/>
  <c r="K46" i="1"/>
  <c r="Q7" i="9"/>
  <c r="Y7" i="9" s="1"/>
  <c r="Q10" i="9"/>
  <c r="Y10" i="9" s="1"/>
  <c r="Q5" i="9"/>
  <c r="Y5" i="9" s="1"/>
  <c r="L40" i="1"/>
  <c r="L46" i="1" s="1"/>
  <c r="A26" i="24" s="1"/>
  <c r="Q6" i="9"/>
  <c r="Y6" i="9" s="1"/>
  <c r="B5" i="14"/>
  <c r="D11" i="14"/>
  <c r="F12" i="23"/>
  <c r="G21" i="1"/>
  <c r="Q9" i="9"/>
  <c r="Y9" i="9" s="1"/>
  <c r="E10" i="10"/>
  <c r="G22" i="1" l="1"/>
  <c r="F17" i="1"/>
  <c r="G17" i="1" s="1"/>
  <c r="F31" i="1" s="1"/>
  <c r="F14" i="1"/>
  <c r="G14" i="1" s="1"/>
  <c r="F28" i="1" s="1"/>
  <c r="F15" i="1"/>
  <c r="G15" i="1" s="1"/>
  <c r="F29" i="1" s="1"/>
  <c r="F13" i="1"/>
  <c r="G13" i="1" s="1"/>
  <c r="F16" i="1"/>
  <c r="G16" i="1" s="1"/>
  <c r="F30" i="1" s="1"/>
  <c r="Q11" i="9"/>
  <c r="C51" i="14" s="1"/>
  <c r="Y11" i="9"/>
  <c r="D51" i="14" s="1"/>
  <c r="C56" i="14" s="1"/>
  <c r="G10" i="1" l="1"/>
  <c r="L21" i="1"/>
  <c r="F27" i="1"/>
  <c r="E51" i="14"/>
  <c r="C55" i="12"/>
  <c r="K29" i="1" l="1"/>
  <c r="D18" i="23" s="1"/>
  <c r="K32" i="1"/>
  <c r="J32" i="1"/>
  <c r="J28" i="1"/>
  <c r="K27" i="1"/>
  <c r="K31" i="1"/>
  <c r="J31" i="1"/>
  <c r="J29" i="1"/>
  <c r="K28" i="1"/>
  <c r="J27" i="1"/>
  <c r="J30" i="1"/>
  <c r="K30" i="1"/>
  <c r="D20" i="23" l="1"/>
  <c r="D17" i="23"/>
  <c r="J5" i="9"/>
  <c r="O5" i="9"/>
  <c r="AT15" i="11" s="1"/>
  <c r="M5" i="9"/>
  <c r="U5" i="9" s="1"/>
  <c r="P7" i="9"/>
  <c r="X7" i="9" s="1"/>
  <c r="AU23" i="11" s="1"/>
  <c r="M7" i="9"/>
  <c r="U7" i="9" s="1"/>
  <c r="AU5" i="11" s="1"/>
  <c r="N7" i="9"/>
  <c r="AT11" i="11" s="1"/>
  <c r="B19" i="14"/>
  <c r="C20" i="13"/>
  <c r="B21" i="23"/>
  <c r="F21" i="23" s="1"/>
  <c r="J10" i="9"/>
  <c r="L10" i="9"/>
  <c r="K10" i="9"/>
  <c r="O7" i="9"/>
  <c r="AT17" i="11" s="1"/>
  <c r="D21" i="23"/>
  <c r="P10" i="9"/>
  <c r="O10" i="9"/>
  <c r="N10" i="9"/>
  <c r="M10" i="9"/>
  <c r="K7" i="9"/>
  <c r="F34" i="13" s="1"/>
  <c r="J7" i="9"/>
  <c r="C34" i="23" s="1"/>
  <c r="L7" i="9"/>
  <c r="T7" i="9" s="1"/>
  <c r="B17" i="14"/>
  <c r="C17" i="14" s="1"/>
  <c r="K8" i="9"/>
  <c r="S8" i="9" s="1"/>
  <c r="J8" i="9"/>
  <c r="R8" i="9" s="1"/>
  <c r="L8" i="9"/>
  <c r="H35" i="13" s="1"/>
  <c r="B14" i="14"/>
  <c r="C14" i="14" s="1"/>
  <c r="K5" i="9"/>
  <c r="S5" i="9" s="1"/>
  <c r="L5" i="9"/>
  <c r="G32" i="23" s="1"/>
  <c r="L9" i="9"/>
  <c r="G36" i="23" s="1"/>
  <c r="J9" i="9"/>
  <c r="R9" i="9" s="1"/>
  <c r="K9" i="9"/>
  <c r="E36" i="23" s="1"/>
  <c r="C16" i="13"/>
  <c r="E16" i="13" s="1"/>
  <c r="L6" i="9"/>
  <c r="H33" i="13" s="1"/>
  <c r="K6" i="9"/>
  <c r="E33" i="23" s="1"/>
  <c r="J6" i="9"/>
  <c r="P5" i="9"/>
  <c r="X5" i="9" s="1"/>
  <c r="C15" i="13"/>
  <c r="G15" i="13" s="1"/>
  <c r="B17" i="23"/>
  <c r="F17" i="23" s="1"/>
  <c r="O9" i="9"/>
  <c r="W9" i="9" s="1"/>
  <c r="AU19" i="11" s="1"/>
  <c r="D16" i="23"/>
  <c r="N5" i="9"/>
  <c r="V5" i="9" s="1"/>
  <c r="B19" i="23"/>
  <c r="F19" i="23" s="1"/>
  <c r="B16" i="14"/>
  <c r="D16" i="14" s="1"/>
  <c r="B16" i="23"/>
  <c r="F16" i="23" s="1"/>
  <c r="N9" i="9"/>
  <c r="AT13" i="11" s="1"/>
  <c r="AX11" i="11" s="1"/>
  <c r="B15" i="14"/>
  <c r="D15" i="14" s="1"/>
  <c r="P9" i="9"/>
  <c r="AT25" i="11" s="1"/>
  <c r="N6" i="9"/>
  <c r="AT10" i="11" s="1"/>
  <c r="M9" i="9"/>
  <c r="U9" i="9" s="1"/>
  <c r="AU7" i="11" s="1"/>
  <c r="C19" i="13"/>
  <c r="G19" i="13" s="1"/>
  <c r="B20" i="23"/>
  <c r="F20" i="23" s="1"/>
  <c r="B18" i="14"/>
  <c r="D18" i="14" s="1"/>
  <c r="O6" i="9"/>
  <c r="AT16" i="11" s="1"/>
  <c r="AX13" i="11" s="1"/>
  <c r="C17" i="13"/>
  <c r="E17" i="13" s="1"/>
  <c r="P6" i="9"/>
  <c r="AT22" i="11" s="1"/>
  <c r="B18" i="23"/>
  <c r="F18" i="23" s="1"/>
  <c r="M6" i="9"/>
  <c r="U6" i="9" s="1"/>
  <c r="AU4" i="11" s="1"/>
  <c r="D19" i="23"/>
  <c r="C18" i="13"/>
  <c r="G18" i="13" s="1"/>
  <c r="P8" i="9"/>
  <c r="X8" i="9" s="1"/>
  <c r="AU24" i="11" s="1"/>
  <c r="N8" i="9"/>
  <c r="AT12" i="11" s="1"/>
  <c r="K33" i="1"/>
  <c r="M8" i="9"/>
  <c r="AT6" i="11" s="1"/>
  <c r="O8" i="9"/>
  <c r="W5" i="9" l="1"/>
  <c r="AU15" i="11" s="1"/>
  <c r="AT3" i="11"/>
  <c r="W7" i="9"/>
  <c r="AU17" i="11" s="1"/>
  <c r="AT23" i="11"/>
  <c r="V7" i="9"/>
  <c r="AU11" i="11" s="1"/>
  <c r="AT5" i="11"/>
  <c r="AT20" i="11"/>
  <c r="W10" i="9"/>
  <c r="AU20" i="11" s="1"/>
  <c r="E37" i="23"/>
  <c r="F37" i="13"/>
  <c r="S10" i="9"/>
  <c r="E20" i="13"/>
  <c r="G20" i="13"/>
  <c r="X10" i="9"/>
  <c r="T10" i="9"/>
  <c r="H37" i="13"/>
  <c r="G37" i="23"/>
  <c r="C19" i="14"/>
  <c r="D19" i="14"/>
  <c r="U10" i="9"/>
  <c r="AU8" i="11" s="1"/>
  <c r="AT8" i="11"/>
  <c r="D37" i="13"/>
  <c r="C37" i="23"/>
  <c r="R10" i="9"/>
  <c r="V10" i="9"/>
  <c r="AU14" i="11" s="1"/>
  <c r="AT14" i="11"/>
  <c r="G16" i="13"/>
  <c r="T8" i="9"/>
  <c r="G34" i="23"/>
  <c r="D14" i="14"/>
  <c r="E15" i="13"/>
  <c r="D17" i="14"/>
  <c r="D36" i="13"/>
  <c r="C36" i="23"/>
  <c r="E34" i="23"/>
  <c r="S7" i="9"/>
  <c r="G35" i="23"/>
  <c r="H34" i="13"/>
  <c r="AT21" i="11"/>
  <c r="T5" i="9"/>
  <c r="E32" i="23"/>
  <c r="H32" i="13"/>
  <c r="R6" i="9"/>
  <c r="AU3" i="11"/>
  <c r="F32" i="13"/>
  <c r="R5" i="9"/>
  <c r="C32" i="23"/>
  <c r="C33" i="23"/>
  <c r="AT9" i="11"/>
  <c r="D32" i="13"/>
  <c r="D33" i="13"/>
  <c r="AT19" i="11"/>
  <c r="AT7" i="11"/>
  <c r="G17" i="13"/>
  <c r="E19" i="13"/>
  <c r="R7" i="9"/>
  <c r="F36" i="13"/>
  <c r="C15" i="14"/>
  <c r="V9" i="9"/>
  <c r="AU13" i="11" s="1"/>
  <c r="W6" i="9"/>
  <c r="AU16" i="11" s="1"/>
  <c r="AY13" i="11" s="1"/>
  <c r="H36" i="13"/>
  <c r="C16" i="14"/>
  <c r="D22" i="23"/>
  <c r="T9" i="9"/>
  <c r="C17" i="15"/>
  <c r="AT4" i="11"/>
  <c r="X9" i="9"/>
  <c r="AU25" i="11" s="1"/>
  <c r="D35" i="13"/>
  <c r="C35" i="23"/>
  <c r="D34" i="13"/>
  <c r="S9" i="9"/>
  <c r="V6" i="9"/>
  <c r="AU10" i="11" s="1"/>
  <c r="B20" i="14"/>
  <c r="J11" i="9"/>
  <c r="T6" i="9"/>
  <c r="F33" i="13"/>
  <c r="O11" i="9"/>
  <c r="C18" i="14"/>
  <c r="B22" i="23"/>
  <c r="G33" i="23"/>
  <c r="S6" i="9"/>
  <c r="L11" i="9"/>
  <c r="F27" i="13" s="1"/>
  <c r="F22" i="23"/>
  <c r="X6" i="9"/>
  <c r="AU22" i="11" s="1"/>
  <c r="N11" i="9"/>
  <c r="U8" i="9"/>
  <c r="AU6" i="11" s="1"/>
  <c r="F35" i="13"/>
  <c r="E18" i="13"/>
  <c r="P11" i="9"/>
  <c r="AT24" i="11"/>
  <c r="M11" i="9"/>
  <c r="K11" i="9"/>
  <c r="E35" i="23"/>
  <c r="C21" i="13"/>
  <c r="W8" i="9"/>
  <c r="AU18" i="11" s="1"/>
  <c r="AT18" i="11"/>
  <c r="V8" i="9"/>
  <c r="AU12" i="11" s="1"/>
  <c r="AU21" i="11"/>
  <c r="AU9" i="11"/>
  <c r="AY27" i="11" l="1"/>
  <c r="AY11" i="11"/>
  <c r="AX12" i="11"/>
  <c r="AY12" i="11"/>
  <c r="AY4" i="11"/>
  <c r="AX10" i="11"/>
  <c r="AX4" i="11"/>
  <c r="AX9" i="11"/>
  <c r="AX3" i="11"/>
  <c r="C41" i="14" s="1"/>
  <c r="AY3" i="11"/>
  <c r="AX8" i="11"/>
  <c r="AY8" i="11"/>
  <c r="AX5" i="11"/>
  <c r="AY5" i="11"/>
  <c r="AY7" i="11"/>
  <c r="D42" i="14" s="1"/>
  <c r="AX7" i="11"/>
  <c r="C42" i="14" s="1"/>
  <c r="Z10" i="9"/>
  <c r="AX6" i="11"/>
  <c r="Z7" i="9"/>
  <c r="D20" i="14"/>
  <c r="G38" i="23"/>
  <c r="C16" i="12"/>
  <c r="F26" i="13"/>
  <c r="C15" i="12"/>
  <c r="F25" i="13"/>
  <c r="AY10" i="11"/>
  <c r="T11" i="9"/>
  <c r="AY9" i="11"/>
  <c r="AY6" i="11"/>
  <c r="E38" i="23"/>
  <c r="Z5" i="9"/>
  <c r="R11" i="9"/>
  <c r="H38" i="13"/>
  <c r="C38" i="23"/>
  <c r="E21" i="13"/>
  <c r="D17" i="15"/>
  <c r="G21" i="13"/>
  <c r="D38" i="13"/>
  <c r="Z9" i="9"/>
  <c r="E26" i="23"/>
  <c r="C20" i="14"/>
  <c r="S11" i="9"/>
  <c r="X11" i="9"/>
  <c r="C23" i="14"/>
  <c r="D23" i="14" s="1"/>
  <c r="Z6" i="9"/>
  <c r="F38" i="13"/>
  <c r="C18" i="12"/>
  <c r="E28" i="23"/>
  <c r="U11" i="9"/>
  <c r="C26" i="14"/>
  <c r="D26" i="14" s="1"/>
  <c r="V11" i="9"/>
  <c r="C24" i="14"/>
  <c r="D24" i="14" s="1"/>
  <c r="E24" i="14" s="1"/>
  <c r="W11" i="9"/>
  <c r="E27" i="23"/>
  <c r="Z8" i="9"/>
  <c r="C33" i="14" l="1"/>
  <c r="D33" i="14"/>
  <c r="C38" i="14"/>
  <c r="D45" i="14"/>
  <c r="C45" i="14"/>
  <c r="D38" i="14"/>
  <c r="C31" i="14"/>
  <c r="D39" i="14"/>
  <c r="C39" i="14"/>
  <c r="D41" i="14"/>
  <c r="C30" i="14"/>
  <c r="D46" i="14"/>
  <c r="D30" i="14"/>
  <c r="C32" i="14"/>
  <c r="C46" i="14"/>
  <c r="D27" i="14"/>
  <c r="E26" i="14"/>
  <c r="C54" i="14"/>
  <c r="D36" i="14"/>
  <c r="C44" i="14"/>
  <c r="C36" i="14"/>
  <c r="D44" i="14"/>
  <c r="D31" i="14"/>
  <c r="D37" i="14"/>
  <c r="C37" i="14"/>
  <c r="C35" i="14"/>
  <c r="C34" i="14"/>
  <c r="C19" i="12"/>
  <c r="D34" i="14"/>
  <c r="D32" i="14"/>
  <c r="D35" i="14"/>
  <c r="Z11" i="9"/>
  <c r="F28" i="13"/>
  <c r="E29" i="23"/>
  <c r="C27" i="14"/>
  <c r="E23" i="14"/>
  <c r="C48" i="14" l="1"/>
  <c r="D48" i="14"/>
  <c r="C55" i="14" s="1"/>
  <c r="C57" i="14" s="1"/>
  <c r="C58" i="14" s="1"/>
  <c r="E48" i="14" l="1"/>
</calcChain>
</file>

<file path=xl/sharedStrings.xml><?xml version="1.0" encoding="utf-8"?>
<sst xmlns="http://schemas.openxmlformats.org/spreadsheetml/2006/main" count="1412" uniqueCount="697">
  <si>
    <t>Color</t>
  </si>
  <si>
    <t>Nro</t>
  </si>
  <si>
    <t>Fecha:</t>
  </si>
  <si>
    <t>Maquina:</t>
  </si>
  <si>
    <t>Producto:</t>
  </si>
  <si>
    <t>Peso:</t>
  </si>
  <si>
    <t>Fecha inicio/hora:</t>
  </si>
  <si>
    <t>Fecha Fin/hora:</t>
  </si>
  <si>
    <t>Molde:</t>
  </si>
  <si>
    <t>N° Orden de Producción:</t>
  </si>
  <si>
    <t>Cantidad Estimada</t>
  </si>
  <si>
    <t>Cantidad Real</t>
  </si>
  <si>
    <t>Fecha Inicio</t>
  </si>
  <si>
    <t>Fecha</t>
  </si>
  <si>
    <t>NumeroOP</t>
  </si>
  <si>
    <t>Producto</t>
  </si>
  <si>
    <t xml:space="preserve">Molde </t>
  </si>
  <si>
    <t>Maquina</t>
  </si>
  <si>
    <t>CantColores</t>
  </si>
  <si>
    <t>Peso</t>
  </si>
  <si>
    <t>Fecha Fin</t>
  </si>
  <si>
    <t>ListaColores</t>
  </si>
  <si>
    <t>N° Colores:</t>
  </si>
  <si>
    <t>Total:</t>
  </si>
  <si>
    <t>N°</t>
  </si>
  <si>
    <t>Cantidad Planificada</t>
  </si>
  <si>
    <t>D</t>
  </si>
  <si>
    <t>D+1</t>
  </si>
  <si>
    <t>Avance Real</t>
  </si>
  <si>
    <t>D+2</t>
  </si>
  <si>
    <t>D+3</t>
  </si>
  <si>
    <t>D+4</t>
  </si>
  <si>
    <t>D+5</t>
  </si>
  <si>
    <t>D+6</t>
  </si>
  <si>
    <t>D+7</t>
  </si>
  <si>
    <t>D+8</t>
  </si>
  <si>
    <t>D+9</t>
  </si>
  <si>
    <t>D+10</t>
  </si>
  <si>
    <t>(               )</t>
  </si>
  <si>
    <t>ORDEN DE PRODUCCION</t>
  </si>
  <si>
    <t>Resumen Kg x Color</t>
  </si>
  <si>
    <t>Kg</t>
  </si>
  <si>
    <t>Unid.</t>
  </si>
  <si>
    <t>D+11</t>
  </si>
  <si>
    <t>D+12</t>
  </si>
  <si>
    <t>D+13</t>
  </si>
  <si>
    <t>D+14</t>
  </si>
  <si>
    <t>201701</t>
  </si>
  <si>
    <t>balde playero</t>
  </si>
  <si>
    <t>Verde</t>
  </si>
  <si>
    <t>Amarillo</t>
  </si>
  <si>
    <t>Rojo</t>
  </si>
  <si>
    <t>Azul</t>
  </si>
  <si>
    <t>Rosado</t>
  </si>
  <si>
    <t>Naranja</t>
  </si>
  <si>
    <t>Molde</t>
  </si>
  <si>
    <t>Pigmento</t>
  </si>
  <si>
    <t>N° Op</t>
  </si>
  <si>
    <t>Cantidad</t>
  </si>
  <si>
    <t>Mano de Obra</t>
  </si>
  <si>
    <t>F.Inicio</t>
  </si>
  <si>
    <t>F.Fin</t>
  </si>
  <si>
    <t>Peso (Kg)</t>
  </si>
  <si>
    <t>M.Virgen</t>
  </si>
  <si>
    <t>M.Segunda</t>
  </si>
  <si>
    <t>#Personas</t>
  </si>
  <si>
    <t>HH</t>
  </si>
  <si>
    <t>Total Horas</t>
  </si>
  <si>
    <t>Tipo Maquina</t>
  </si>
  <si>
    <t>Molde 3:</t>
  </si>
  <si>
    <t>SEGUIMIENTO ORDEN DE PRODUCCIÓN</t>
  </si>
  <si>
    <t xml:space="preserve">balde </t>
  </si>
  <si>
    <t>ETC</t>
  </si>
  <si>
    <t>Molde 1:</t>
  </si>
  <si>
    <t>Molde 2:</t>
  </si>
  <si>
    <t>Molde 4:</t>
  </si>
  <si>
    <t>P.UNIT</t>
  </si>
  <si>
    <t>COSTE</t>
  </si>
  <si>
    <t>%Merma</t>
  </si>
  <si>
    <t>Pala &amp; rastrillo</t>
  </si>
  <si>
    <t>naranja</t>
  </si>
  <si>
    <t>verde</t>
  </si>
  <si>
    <t>lila</t>
  </si>
  <si>
    <t>amarillo</t>
  </si>
  <si>
    <t>fucsia</t>
  </si>
  <si>
    <t>Pigmento (gr)</t>
  </si>
  <si>
    <t>Ciclo  (s)</t>
  </si>
  <si>
    <t>Horas Turno</t>
  </si>
  <si>
    <t>Dias</t>
  </si>
  <si>
    <t>Cavidad</t>
  </si>
  <si>
    <t>Total DOC:</t>
  </si>
  <si>
    <t>P.UNIT
Segunda</t>
  </si>
  <si>
    <t>Total Costo</t>
  </si>
  <si>
    <t>Material</t>
  </si>
  <si>
    <t>Pigm.#1</t>
  </si>
  <si>
    <t>Pigm.#2</t>
  </si>
  <si>
    <t>Pigm.#3</t>
  </si>
  <si>
    <t>Nombre Pigmento</t>
  </si>
  <si>
    <t>Pigm.#4</t>
  </si>
  <si>
    <t>#Colores</t>
  </si>
  <si>
    <t>Azul Nube Fluor</t>
  </si>
  <si>
    <t>Master Bach Negro</t>
  </si>
  <si>
    <t>Azul Oscuro</t>
  </si>
  <si>
    <t>Escariato</t>
  </si>
  <si>
    <t>Verde 7041</t>
  </si>
  <si>
    <t>Verde 7476</t>
  </si>
  <si>
    <t>Verde 6498</t>
  </si>
  <si>
    <t>Naranja Fluor 5</t>
  </si>
  <si>
    <t>Naranja Fluor 4</t>
  </si>
  <si>
    <t>Rojo R120</t>
  </si>
  <si>
    <t>Rojo CH13</t>
  </si>
  <si>
    <t>Dioxido de Titanio 2220</t>
  </si>
  <si>
    <t>Amarillo CH 1041</t>
  </si>
  <si>
    <t>Amarillo Pato 1086</t>
  </si>
  <si>
    <t>Verde Jostafer 2000</t>
  </si>
  <si>
    <t>Turqueza 3660</t>
  </si>
  <si>
    <t>Carne</t>
  </si>
  <si>
    <t>Magenta 21</t>
  </si>
  <si>
    <t>Nombre</t>
  </si>
  <si>
    <t>PU x Kg</t>
  </si>
  <si>
    <t>Estado OP</t>
  </si>
  <si>
    <t>Vigente</t>
  </si>
  <si>
    <t>Terminado</t>
  </si>
  <si>
    <t>Detenido</t>
  </si>
  <si>
    <t>Cancelado</t>
  </si>
  <si>
    <t>P.UNIT Pigm.#1</t>
  </si>
  <si>
    <t>P.UNIT
Pigm.#2</t>
  </si>
  <si>
    <t>P.UNIT Pigm.#3</t>
  </si>
  <si>
    <t>P.UNIT Pigm.#4</t>
  </si>
  <si>
    <t>P.UNIT
MO</t>
  </si>
  <si>
    <t>Costo
Segunda</t>
  </si>
  <si>
    <t>Costo
MO</t>
  </si>
  <si>
    <t>Materia Prima</t>
  </si>
  <si>
    <t>Segunda</t>
  </si>
  <si>
    <t>Moneda</t>
  </si>
  <si>
    <t>USD</t>
  </si>
  <si>
    <t>SOL</t>
  </si>
  <si>
    <t>T.C</t>
  </si>
  <si>
    <t>PU x Kg (SOL)</t>
  </si>
  <si>
    <t>P.UNIT
Virgen 1</t>
  </si>
  <si>
    <t>P.UNIT
Virgen 2</t>
  </si>
  <si>
    <t>Virgen 1</t>
  </si>
  <si>
    <t>Virgen 2</t>
  </si>
  <si>
    <t>MO</t>
  </si>
  <si>
    <t>Cargo</t>
  </si>
  <si>
    <t>Costo HH</t>
  </si>
  <si>
    <t>Maquinista</t>
  </si>
  <si>
    <t>Costo
Virgen 1</t>
  </si>
  <si>
    <t>Costo
Virgen 2</t>
  </si>
  <si>
    <t>ORDEN FABRICACION</t>
  </si>
  <si>
    <t xml:space="preserve"> </t>
  </si>
  <si>
    <t>T/C</t>
  </si>
  <si>
    <t>Nombre
Virgen 1</t>
  </si>
  <si>
    <t>Nombre
Virgen 2</t>
  </si>
  <si>
    <t>Nombre
Segunda</t>
  </si>
  <si>
    <t>Nombre Material</t>
  </si>
  <si>
    <t>Tipo</t>
  </si>
  <si>
    <t>PP Soplado</t>
  </si>
  <si>
    <t>Alta Inyeccion</t>
  </si>
  <si>
    <t>Alta Soplado</t>
  </si>
  <si>
    <t>Baja Soplado</t>
  </si>
  <si>
    <t>PP Homo (10 a 20)</t>
  </si>
  <si>
    <t>PP Homo (21 a 39)</t>
  </si>
  <si>
    <t>PP Homo (40 a Más)</t>
  </si>
  <si>
    <t>PP Copo (10 a 20)</t>
  </si>
  <si>
    <t>PP Copo (21 a 39)</t>
  </si>
  <si>
    <t>PP Copo (40 a Más)</t>
  </si>
  <si>
    <t>Fraccion
Virgen 1</t>
  </si>
  <si>
    <t>Fraccion
Virgen 2</t>
  </si>
  <si>
    <t>Fraccion
Segunda</t>
  </si>
  <si>
    <t>Nombre Virgen</t>
  </si>
  <si>
    <t>Nombre Segunda</t>
  </si>
  <si>
    <t>Alta Iny. Colores</t>
  </si>
  <si>
    <t>Alta Iny. Lechoso</t>
  </si>
  <si>
    <t>PP Iny. Colores R1</t>
  </si>
  <si>
    <t>Total Virgen 1</t>
  </si>
  <si>
    <t>Total Virgen 2</t>
  </si>
  <si>
    <t>Total Segunda</t>
  </si>
  <si>
    <t>Total Pigm.#1</t>
  </si>
  <si>
    <t>Total
Pigm.#2</t>
  </si>
  <si>
    <t>Total Pigm.#3</t>
  </si>
  <si>
    <t>Total Pigm.#4</t>
  </si>
  <si>
    <t>Costo Kg
Pigm.#1</t>
  </si>
  <si>
    <t>Costo Kg
Pigm.#2</t>
  </si>
  <si>
    <t>Costo Kg
Pigm.#3</t>
  </si>
  <si>
    <t>Costo Kg
Pigm.#4</t>
  </si>
  <si>
    <t>Virgen</t>
  </si>
  <si>
    <t>Cantidad (doc)</t>
  </si>
  <si>
    <t>Colorante</t>
  </si>
  <si>
    <t>Temporal:</t>
  </si>
  <si>
    <t>Gr. Pingmento #1</t>
  </si>
  <si>
    <t>Nombre Pigmento #1</t>
  </si>
  <si>
    <t>Costo Pigmento</t>
  </si>
  <si>
    <t>Total Costo Pigm. #1 (USD)</t>
  </si>
  <si>
    <t>Total Gr. de Pigm. #1</t>
  </si>
  <si>
    <t>Lista Pigm.o #1</t>
  </si>
  <si>
    <t>Costo</t>
  </si>
  <si>
    <t>Costo (USD)</t>
  </si>
  <si>
    <t>Peso (gr)</t>
  </si>
  <si>
    <t>Total HH</t>
  </si>
  <si>
    <t xml:space="preserve">Turno </t>
  </si>
  <si>
    <t>Ciclo:</t>
  </si>
  <si>
    <t>Costo Total</t>
  </si>
  <si>
    <t>RESUMEN</t>
  </si>
  <si>
    <t>T/C:</t>
  </si>
  <si>
    <t>Costo (Soles)</t>
  </si>
  <si>
    <t>Peso(Kg)
Prod.</t>
  </si>
  <si>
    <t>Peso (Kg)
Inc. Merma</t>
  </si>
  <si>
    <t>Merma Natural Kg</t>
  </si>
  <si>
    <t>Validac iones Para Material y Fraccion</t>
  </si>
  <si>
    <t>Peso Produccion</t>
  </si>
  <si>
    <t>Peso Inc/ Merma</t>
  </si>
  <si>
    <t>Peso Colada:</t>
  </si>
  <si>
    <t>Peso Unitario:</t>
  </si>
  <si>
    <t>Dias:</t>
  </si>
  <si>
    <t>Turno:</t>
  </si>
  <si>
    <t>Cavidad:</t>
  </si>
  <si>
    <t>Merma:</t>
  </si>
  <si>
    <t>x 1/2 Bolsa (12.5Kg)</t>
  </si>
  <si>
    <t xml:space="preserve">Color </t>
  </si>
  <si>
    <t>Gr.</t>
  </si>
  <si>
    <t>Cola. x Hora</t>
  </si>
  <si>
    <t>Materia Prima por Color</t>
  </si>
  <si>
    <t>PP Clarif. ( 21 a 39)</t>
  </si>
  <si>
    <t>Alta Iny. Transp. R2</t>
  </si>
  <si>
    <t>PP Iny. Transp. R1</t>
  </si>
  <si>
    <t>PP Iny. Transp. R2</t>
  </si>
  <si>
    <t>Alta Sop.  Colores</t>
  </si>
  <si>
    <t>Alta Sop.  Transp. R1</t>
  </si>
  <si>
    <t>Alta Sop.  Transp. R2</t>
  </si>
  <si>
    <t>Alta Sop.  Lechoso</t>
  </si>
  <si>
    <t>Baja Sop. Lechoso</t>
  </si>
  <si>
    <t>Baja Sop. Transp. R2</t>
  </si>
  <si>
    <t>Baja Sop. Transp. R1</t>
  </si>
  <si>
    <t>Diurno</t>
  </si>
  <si>
    <t>Noturno</t>
  </si>
  <si>
    <t>N</t>
  </si>
  <si>
    <t>Bolsas</t>
  </si>
  <si>
    <t>Bol</t>
  </si>
  <si>
    <t>Extra</t>
  </si>
  <si>
    <t>E</t>
  </si>
  <si>
    <t>Unidades</t>
  </si>
  <si>
    <t>Unid</t>
  </si>
  <si>
    <t>ETC (Estimar Para Completar)</t>
  </si>
  <si>
    <t>Duracion:</t>
  </si>
  <si>
    <t>Peso Unit (gr).:</t>
  </si>
  <si>
    <t>OP N°</t>
  </si>
  <si>
    <t>MAQUINA</t>
  </si>
  <si>
    <t>Haitian 160</t>
  </si>
  <si>
    <t>Tiempo Real:</t>
  </si>
  <si>
    <t>Tecnico</t>
  </si>
  <si>
    <t>Nelson Pinedo</t>
  </si>
  <si>
    <t>Carlos Sulca</t>
  </si>
  <si>
    <t>Precio x kilo</t>
  </si>
  <si>
    <t>Precio x Kilo</t>
  </si>
  <si>
    <t>PU x Gramos</t>
  </si>
  <si>
    <t>Florero Americano</t>
  </si>
  <si>
    <t>Florero Cisne</t>
  </si>
  <si>
    <t>Florero Italiano</t>
  </si>
  <si>
    <t>Florero Italiano GRANDE</t>
  </si>
  <si>
    <t>Florero Oriental</t>
  </si>
  <si>
    <t>Florero Persa</t>
  </si>
  <si>
    <t>Camión Águila con Ganado</t>
  </si>
  <si>
    <t>Camión Águila sin Ganado</t>
  </si>
  <si>
    <t>Camion Andino Ganadero</t>
  </si>
  <si>
    <t>Cisterna Águila</t>
  </si>
  <si>
    <t>Cisterna Andino</t>
  </si>
  <si>
    <t>Escarabajo Taxi</t>
  </si>
  <si>
    <t>Juego de te Daniela</t>
  </si>
  <si>
    <t>Juego de te Patty</t>
  </si>
  <si>
    <t>Muñeca Fabiola</t>
  </si>
  <si>
    <t>Patrullero Militar</t>
  </si>
  <si>
    <t>Set de Cocina Anita</t>
  </si>
  <si>
    <t>Set de Cocina Janet</t>
  </si>
  <si>
    <t>Tráiler Volvo Ganadero</t>
  </si>
  <si>
    <t>Tráiler Volvo Petrolero</t>
  </si>
  <si>
    <t>Volquete Águila</t>
  </si>
  <si>
    <t>Volquete Andino con madera</t>
  </si>
  <si>
    <t>Volquete andino sin madera</t>
  </si>
  <si>
    <t>Alcancía  Mediana</t>
  </si>
  <si>
    <t>Alcancía Alberto  Mediano</t>
  </si>
  <si>
    <t>Alcancía Alberto grande</t>
  </si>
  <si>
    <t>Alcancía Baby</t>
  </si>
  <si>
    <t>Alcancía C/Cría</t>
  </si>
  <si>
    <t>Alcancía Chávez</t>
  </si>
  <si>
    <t>Alcancía Chico</t>
  </si>
  <si>
    <t>Alcancía Conejo Chico</t>
  </si>
  <si>
    <t>Alcancía Conejo mediano</t>
  </si>
  <si>
    <t>Alcancía Pablo grande</t>
  </si>
  <si>
    <t>Alcancía Pablo Mediano</t>
  </si>
  <si>
    <t>Caballo C/Palo</t>
  </si>
  <si>
    <t>Canasta Candy</t>
  </si>
  <si>
    <t>Casco C/Malla</t>
  </si>
  <si>
    <t>Casco Camuflado</t>
  </si>
  <si>
    <t xml:space="preserve">Embudo #3 </t>
  </si>
  <si>
    <t>Embudo #1 x 12</t>
  </si>
  <si>
    <t>Embudo #2 x 12</t>
  </si>
  <si>
    <t xml:space="preserve">Embudo Gigante </t>
  </si>
  <si>
    <t>Jarra Grecia 500 ML acaramelada</t>
  </si>
  <si>
    <t>Jarra Grecia 500 ML Transparente</t>
  </si>
  <si>
    <t>Jarra Grecia Gigante 5 Lt.</t>
  </si>
  <si>
    <t>Jarra real 1.200 Lt.</t>
  </si>
  <si>
    <t>Jarra real 6 LT.</t>
  </si>
  <si>
    <t>Mostacero  Grande Nº3</t>
  </si>
  <si>
    <t>Mostacero Chico Nº1</t>
  </si>
  <si>
    <t>Mostacero Mediano Nº2</t>
  </si>
  <si>
    <t xml:space="preserve">Repostero real 4 kg blanco </t>
  </si>
  <si>
    <t>Repostero real 4 kg color</t>
  </si>
  <si>
    <t>Repostero real 4 kg transp. Vacas Negras</t>
  </si>
  <si>
    <t>Repostero real 4 kg transparente</t>
  </si>
  <si>
    <t xml:space="preserve">Repostero real 6 kg transparente </t>
  </si>
  <si>
    <t>Soldado Comando X 12</t>
  </si>
  <si>
    <t>Soldado Comando X 12 Colores</t>
  </si>
  <si>
    <t>Tambor  Peruanito Grande</t>
  </si>
  <si>
    <t>Tazón Real 3.5k Acaramelado c/ tapa</t>
  </si>
  <si>
    <t>Tazon Real 7k caramelado  c/tapa</t>
  </si>
  <si>
    <t>Vaso Sorbete solido</t>
  </si>
  <si>
    <t>Balde Payero Romano</t>
  </si>
  <si>
    <t>Balde Playero Castillo</t>
  </si>
  <si>
    <t>Toma Todo Pulpin Chico</t>
  </si>
  <si>
    <t>Toma Todo Pulpin Grande</t>
  </si>
  <si>
    <t>Toma Todo Pulpin Mediano</t>
  </si>
  <si>
    <t>PRODUCTO TERMINADO</t>
  </si>
  <si>
    <t>Accesorios Playeros</t>
  </si>
  <si>
    <t>Cernidor Romano</t>
  </si>
  <si>
    <t>Cernidor Castillo</t>
  </si>
  <si>
    <t>Taper Aleman 1/2 Kg Solido</t>
  </si>
  <si>
    <t>Taper Aleman 1/2 Kg Pastel</t>
  </si>
  <si>
    <t>Taper Aleman 1/2 Kg Transp.</t>
  </si>
  <si>
    <t>Taper Aleman 2.8 Kg Solido</t>
  </si>
  <si>
    <t>Taper Aleman 2.8 Kg Pastel</t>
  </si>
  <si>
    <t>Taper Aleman 2.8 Kg Transp.</t>
  </si>
  <si>
    <t>Taper Aleman 1.1 Kg Transp.</t>
  </si>
  <si>
    <t>Taper Aleman 1.1 Kg Solido</t>
  </si>
  <si>
    <t>Taper Aleman 1.1 Kg Pastel</t>
  </si>
  <si>
    <t>Jeep Militar Colores</t>
  </si>
  <si>
    <t>Peso X Color.</t>
  </si>
  <si>
    <t>N° Orden de Produccion</t>
  </si>
  <si>
    <t>Taper alemn 1/2 kg. Acaramelado</t>
  </si>
  <si>
    <t>Taper alemn 1/2 kg. Pastel</t>
  </si>
  <si>
    <t>Taper alemn 1/2 kg. Transp.</t>
  </si>
  <si>
    <t>Taper aleman 1.100 kg. Transp.</t>
  </si>
  <si>
    <t>Taper aleman 1.100 kg. Pastel</t>
  </si>
  <si>
    <t>Taper aleman 2.800 kg. Transp.</t>
  </si>
  <si>
    <t>Taper aleman 2.800 kg. Pastel</t>
  </si>
  <si>
    <t>Tapa Pulpin</t>
  </si>
  <si>
    <t>Punta Pulpin</t>
  </si>
  <si>
    <t>Tolva Aguila Ganadero</t>
  </si>
  <si>
    <t>Llantas Aguila</t>
  </si>
  <si>
    <t>Chasis Aguila</t>
  </si>
  <si>
    <t>Animales Aguila</t>
  </si>
  <si>
    <t>Chasis Ganadero</t>
  </si>
  <si>
    <t>Animales Ganadero</t>
  </si>
  <si>
    <t>Tolva Camion Ganadero</t>
  </si>
  <si>
    <t>Cisterna Aguila</t>
  </si>
  <si>
    <t>Llantas Taxi</t>
  </si>
  <si>
    <t>Chasis y Tolva  Taxi</t>
  </si>
  <si>
    <t>Letrero Taxi</t>
  </si>
  <si>
    <t>Chasis y tolva Jeep</t>
  </si>
  <si>
    <t>Tanque Patrullero</t>
  </si>
  <si>
    <t>Accesorios Patrullero</t>
  </si>
  <si>
    <t>Pin Patrullero</t>
  </si>
  <si>
    <t>Plataforma Arma Patrullero</t>
  </si>
  <si>
    <t>Armas Patrullero</t>
  </si>
  <si>
    <t>Llantas Patrullero</t>
  </si>
  <si>
    <t>Plataforma Volvo</t>
  </si>
  <si>
    <t>Llantas Volvo</t>
  </si>
  <si>
    <t>Delantero Volvo</t>
  </si>
  <si>
    <t>Rejas Volvo</t>
  </si>
  <si>
    <t>Chasis Volvo</t>
  </si>
  <si>
    <t>Pin Volvo</t>
  </si>
  <si>
    <t>Tronco Madera</t>
  </si>
  <si>
    <t>Cisterna Volvo</t>
  </si>
  <si>
    <t>Tolva Volquete Aguila</t>
  </si>
  <si>
    <t>Tolva Volquete Andino</t>
  </si>
  <si>
    <t>Olla y Tetera Daniela</t>
  </si>
  <si>
    <t>Platos Daniela</t>
  </si>
  <si>
    <t>Tazas Daniela</t>
  </si>
  <si>
    <t>Jarra Patty</t>
  </si>
  <si>
    <t>Platos Patty</t>
  </si>
  <si>
    <t>Tazas Patty</t>
  </si>
  <si>
    <t>Mantequillero Patty</t>
  </si>
  <si>
    <t>Cuerpo Fabiola</t>
  </si>
  <si>
    <t>Cabeza Fabiola</t>
  </si>
  <si>
    <t>Extremidades Fabiola</t>
  </si>
  <si>
    <t>Ornilla Set Anita</t>
  </si>
  <si>
    <t>Huevo y Choclo Anita</t>
  </si>
  <si>
    <t>Sarten Janeth</t>
  </si>
  <si>
    <t>Cacerola Janeth</t>
  </si>
  <si>
    <t>Tapas Cacerola Janeth</t>
  </si>
  <si>
    <t>Mangos Sarten y Cacerola Janeth</t>
  </si>
  <si>
    <t>Cocina Janeth</t>
  </si>
  <si>
    <t>Tetera Janeth</t>
  </si>
  <si>
    <t>Base Tetera Janeth</t>
  </si>
  <si>
    <t>Asa tetera Janeth</t>
  </si>
  <si>
    <t>Alcancía Pablo mediano</t>
  </si>
  <si>
    <t>Cabeza Caballo</t>
  </si>
  <si>
    <t>Eje Caballo</t>
  </si>
  <si>
    <t>Llantas Caballo</t>
  </si>
  <si>
    <t>Asa Canasta</t>
  </si>
  <si>
    <t>Caso</t>
  </si>
  <si>
    <t>Correa Casco</t>
  </si>
  <si>
    <t>Camuflaje Casco</t>
  </si>
  <si>
    <t>Soldado Militar</t>
  </si>
  <si>
    <t>Tapas Tambor</t>
  </si>
  <si>
    <t>Baquetas Tambor</t>
  </si>
  <si>
    <t>Embudo #1</t>
  </si>
  <si>
    <t>Embudo #2</t>
  </si>
  <si>
    <t>Jarra Grecia 5 Lt.</t>
  </si>
  <si>
    <t>Jarra Grecia 1/2 Lt.</t>
  </si>
  <si>
    <t>Jarra Real 1.200 Lt.</t>
  </si>
  <si>
    <t>Tapa Jarra 1.200Lt.</t>
  </si>
  <si>
    <t>Pico Tapa Jarra 1.200 Lt</t>
  </si>
  <si>
    <t>Jarra Real 6 Lt.</t>
  </si>
  <si>
    <t>Tapa Jarra 5 y 6 Lt.</t>
  </si>
  <si>
    <t>Pico Tapa Jarra 5 y 6 Lt.</t>
  </si>
  <si>
    <t>Repostero real 4 kg</t>
  </si>
  <si>
    <t>Repostero real 6 kg</t>
  </si>
  <si>
    <t>Tapa Reposteros</t>
  </si>
  <si>
    <t>Tapa Mostaceros</t>
  </si>
  <si>
    <t>Punta Mostaceros</t>
  </si>
  <si>
    <t>Salsero Ideal 300 ml.</t>
  </si>
  <si>
    <t>Salsero Ideal 400 ml.</t>
  </si>
  <si>
    <t>Tapa Salseros</t>
  </si>
  <si>
    <t>Taper con Brocha #1</t>
  </si>
  <si>
    <t>Taper con Brocha #2</t>
  </si>
  <si>
    <t>Taper con Brocha #3</t>
  </si>
  <si>
    <t>Taper con Brocha #4</t>
  </si>
  <si>
    <t>Tapa Taper con Brocha #1</t>
  </si>
  <si>
    <t>Tapa Taper con Brocha #2</t>
  </si>
  <si>
    <t>Tapa Taper con Brocha #3</t>
  </si>
  <si>
    <t>Tapa Taper con Brocha #4</t>
  </si>
  <si>
    <t>Tazón Real 3.5kg.</t>
  </si>
  <si>
    <t>Tapa Tazón Real 3.5kg.</t>
  </si>
  <si>
    <t>Tazon Real 7kg.</t>
  </si>
  <si>
    <t>Tapa Tazon Real 7kg.</t>
  </si>
  <si>
    <t>Vaso Sorbete Solido</t>
  </si>
  <si>
    <t>Pala y Rastrillo Romano</t>
  </si>
  <si>
    <t>Pala y Rastrillo Castillo</t>
  </si>
  <si>
    <t>Asas de Baldes</t>
  </si>
  <si>
    <t>Coladas</t>
  </si>
  <si>
    <t>PP Clarif. (Mayor 80 )</t>
  </si>
  <si>
    <t>PP Clarif. (40 a 50)</t>
  </si>
  <si>
    <t>x 1 Bolsa (25Kg)</t>
  </si>
  <si>
    <t>INYECTADO</t>
  </si>
  <si>
    <t xml:space="preserve">P.  Inc Cola </t>
  </si>
  <si>
    <t>Peso + Colada:</t>
  </si>
  <si>
    <t>PIGMENTOS</t>
  </si>
  <si>
    <t>Gramos Totales</t>
  </si>
  <si>
    <t>Tipo de Orden</t>
  </si>
  <si>
    <t>Codigo</t>
  </si>
  <si>
    <t>Colores</t>
  </si>
  <si>
    <t>Tipo OP</t>
  </si>
  <si>
    <t>Por cantidad</t>
  </si>
  <si>
    <t>Por peso</t>
  </si>
  <si>
    <t>Completar stock</t>
  </si>
  <si>
    <t>Por completar Stock</t>
  </si>
  <si>
    <t>COLOR</t>
  </si>
  <si>
    <t>Amarillo Pato</t>
  </si>
  <si>
    <t>Anaranjado</t>
  </si>
  <si>
    <t>Blanco</t>
  </si>
  <si>
    <t>Celeste</t>
  </si>
  <si>
    <t>Lila</t>
  </si>
  <si>
    <t>Melon</t>
  </si>
  <si>
    <t>Negro</t>
  </si>
  <si>
    <t>Plomo</t>
  </si>
  <si>
    <t>Verde Militar</t>
  </si>
  <si>
    <t>Transparente</t>
  </si>
  <si>
    <t>.</t>
  </si>
  <si>
    <t>Por peso (kg)</t>
  </si>
  <si>
    <t>P. Unit ( x 1 unidad)</t>
  </si>
  <si>
    <t>Por cantidad (DOC)</t>
  </si>
  <si>
    <t>Cantidad DOC</t>
  </si>
  <si>
    <t>SOPLADO</t>
  </si>
  <si>
    <t>Llantas Ganadero</t>
  </si>
  <si>
    <t>Soldado Ataque</t>
  </si>
  <si>
    <t>Peso por kg.</t>
  </si>
  <si>
    <t>Peso Inc Merma 
Kg</t>
  </si>
  <si>
    <t>Cantidad Coladas</t>
  </si>
  <si>
    <t>Merma a Recuperar KG</t>
  </si>
  <si>
    <t>Peso Produccion Kg</t>
  </si>
  <si>
    <t>Merma Recuperar Kg</t>
  </si>
  <si>
    <t>DOC</t>
  </si>
  <si>
    <t>Total DOC</t>
  </si>
  <si>
    <t>CONTROL DE PREPARACION DE MP</t>
  </si>
  <si>
    <t>Turno</t>
  </si>
  <si>
    <t>Nº</t>
  </si>
  <si>
    <t>CONTROL PREPARACION MP    -</t>
  </si>
  <si>
    <t>Colarante</t>
  </si>
  <si>
    <t>Total Kg</t>
  </si>
  <si>
    <t>Colorantes</t>
  </si>
  <si>
    <t>MAQUINA:</t>
  </si>
  <si>
    <t>TA1A</t>
  </si>
  <si>
    <t>TA1P</t>
  </si>
  <si>
    <t>Y</t>
  </si>
  <si>
    <t xml:space="preserve">Accesorios Playero </t>
  </si>
  <si>
    <t>EXTRA</t>
  </si>
  <si>
    <t>Peso(Kg)
PRODUCCION</t>
  </si>
  <si>
    <t>% EXTRA</t>
  </si>
  <si>
    <t>EXTRA Kg.</t>
  </si>
  <si>
    <t>TOTAL + EXTRA Kg.</t>
  </si>
  <si>
    <t>Peso Kg REAL PARA ENTREGAR A  MAQUINA</t>
  </si>
  <si>
    <t>D            N</t>
  </si>
  <si>
    <t xml:space="preserve">         E</t>
  </si>
  <si>
    <t>Tolva Volquete Volvo</t>
  </si>
  <si>
    <t>SALSERO IDEAL 1200ML</t>
  </si>
  <si>
    <t>Horas</t>
  </si>
  <si>
    <r>
      <t xml:space="preserve">COSTO UNITARIO </t>
    </r>
    <r>
      <rPr>
        <b/>
        <sz val="10"/>
        <color rgb="FFFF0000"/>
        <rFont val="Calibri"/>
        <family val="2"/>
        <scheme val="minor"/>
      </rPr>
      <t>(DOC)</t>
    </r>
  </si>
  <si>
    <t>MP neta</t>
  </si>
  <si>
    <t>MP + Merma</t>
  </si>
  <si>
    <t>Planificado</t>
  </si>
  <si>
    <t>Real</t>
  </si>
  <si>
    <t>HH Planificado</t>
  </si>
  <si>
    <t>HH Real</t>
  </si>
  <si>
    <t>HM Planificado</t>
  </si>
  <si>
    <t>HM Real</t>
  </si>
  <si>
    <t>Diferencia</t>
  </si>
  <si>
    <t>%Eficiencia</t>
  </si>
  <si>
    <t>%Productividad</t>
  </si>
  <si>
    <t>MATERIA PRIMA (Kg)</t>
  </si>
  <si>
    <t>HORAS HOMBRE (Horas)</t>
  </si>
  <si>
    <t>HORAS MAQUINA (Horas)</t>
  </si>
  <si>
    <t>MP Real (Producida)</t>
  </si>
  <si>
    <t>MP Preparada</t>
  </si>
  <si>
    <t>Indicador</t>
  </si>
  <si>
    <t>Eficiencia Produccion</t>
  </si>
  <si>
    <t>Eficiencia Preparacion</t>
  </si>
  <si>
    <t xml:space="preserve">         </t>
  </si>
  <si>
    <t>Salsero Ideal 380 ml  Tapa Doble</t>
  </si>
  <si>
    <t xml:space="preserve">Salsero Ideal 480 ml  Tapa Doble </t>
  </si>
  <si>
    <t>Salsero Ideal 600 ml.</t>
  </si>
  <si>
    <t>Salsero Ideal 1200 ml.</t>
  </si>
  <si>
    <t>Lila bebe</t>
  </si>
  <si>
    <t>verde telefonico</t>
  </si>
  <si>
    <t>Tapas para gel</t>
  </si>
  <si>
    <t>Crema</t>
  </si>
  <si>
    <t>CONTROL CALIDAD</t>
  </si>
  <si>
    <t>Orden OP.</t>
  </si>
  <si>
    <t>Contro # 1</t>
  </si>
  <si>
    <t>Fecha / Hora</t>
  </si>
  <si>
    <t>Rebabas</t>
  </si>
  <si>
    <t>Funcional</t>
  </si>
  <si>
    <t>Contro # 2</t>
  </si>
  <si>
    <t>Contro # 3</t>
  </si>
  <si>
    <t>Contro # 4</t>
  </si>
  <si>
    <t>Contro # 5</t>
  </si>
  <si>
    <t>Contro # 6</t>
  </si>
  <si>
    <t>Contro # 7</t>
  </si>
  <si>
    <t>Contro # 8</t>
  </si>
  <si>
    <t>Contro # 9</t>
  </si>
  <si>
    <t>Contro # 10</t>
  </si>
  <si>
    <t>Contro # 11</t>
  </si>
  <si>
    <t>Contro # 12</t>
  </si>
  <si>
    <t>Contro # 13</t>
  </si>
  <si>
    <t>Contro # 14</t>
  </si>
  <si>
    <t>Contro # 15</t>
  </si>
  <si>
    <t>Contro # 16</t>
  </si>
  <si>
    <t>Contro # 17</t>
  </si>
  <si>
    <t>Contro # 18</t>
  </si>
  <si>
    <t>Amarillo Fluor Caja</t>
  </si>
  <si>
    <t>PP.Sop.Transp.R1</t>
  </si>
  <si>
    <t>Ciclo________</t>
  </si>
  <si>
    <t>Ciclo______</t>
  </si>
  <si>
    <t>CANASTA CAROLINA</t>
  </si>
  <si>
    <t>ASA DE CANASTA</t>
  </si>
  <si>
    <t>SALSERO CLICK 300</t>
  </si>
  <si>
    <t>SALSERO CLICK 300 ML</t>
  </si>
  <si>
    <t>SALSERO CLICK 400 ML</t>
  </si>
  <si>
    <t>TAPA SASERO CLICK</t>
  </si>
  <si>
    <t xml:space="preserve">GANCHITO CLICK </t>
  </si>
  <si>
    <t>Clase material</t>
  </si>
  <si>
    <t>Tipo Material</t>
  </si>
  <si>
    <t xml:space="preserve">Virgen❒ Merma❒ SegundaR1❒ SegundaRX❒
Virgen❒ Merma❒ SegundaR1❒ SegundaRX❒
Virgen❒ Merma❒ SegundaR1❒ SegundaRX❒
</t>
  </si>
  <si>
    <t>Tipo Material: InyAlt❒  SopAlt❒ SopBaj❒ PPCla❒ PPCop ❒ PPHom❒ PPSop❒</t>
  </si>
  <si>
    <t>#Bolsas</t>
  </si>
  <si>
    <t>TOMA TODO 350 ML</t>
  </si>
  <si>
    <t>CAMION ANDINO CON GANADO GDE</t>
  </si>
  <si>
    <t>CHASIS CAMION GANADO GDE</t>
  </si>
  <si>
    <t>LLANTAS DE CAMION GRANDE</t>
  </si>
  <si>
    <t>ARO DE LLANTAS GRANDE</t>
  </si>
  <si>
    <t>TOLVA DE CAMION GRANDE</t>
  </si>
  <si>
    <t>Alta Iny. SEGUNDA. R1</t>
  </si>
  <si>
    <t>Anaranjado Fluor Caja</t>
  </si>
  <si>
    <t>PP Iny. Molido Segunda</t>
  </si>
  <si>
    <t>Vaso Sorbete Pastel</t>
  </si>
  <si>
    <t>SALSERO PERITA 225</t>
  </si>
  <si>
    <t>Pigmento x 1 BOLSA</t>
  </si>
  <si>
    <t>Total material.#1</t>
  </si>
  <si>
    <t>Total material.#2</t>
  </si>
  <si>
    <t>Total material.#3</t>
  </si>
  <si>
    <t>%</t>
  </si>
  <si>
    <t>CANTIDAD POR 1 BOLSA</t>
  </si>
  <si>
    <t>Seguimiento Preparacion Material:</t>
  </si>
  <si>
    <t>VISTAMAX</t>
  </si>
  <si>
    <t>ORING ARGOLLA</t>
  </si>
  <si>
    <t>PORTA ACCESORIOS</t>
  </si>
  <si>
    <t>PORTA ACCESORIO</t>
  </si>
  <si>
    <t>CESTO MULTIUSO CH.</t>
  </si>
  <si>
    <t>PANERITA CORAZON</t>
  </si>
  <si>
    <t>PANERITA MANZANA</t>
  </si>
  <si>
    <t>CANASTA PICNIC</t>
  </si>
  <si>
    <t>VASO MANZANA</t>
  </si>
  <si>
    <t>PORTA VAJILLA</t>
  </si>
  <si>
    <t>FRUTERO CORONA</t>
  </si>
  <si>
    <t>TAPA CANASTA PICNIC</t>
  </si>
  <si>
    <t>LAVACUELA REDONDO</t>
  </si>
  <si>
    <t>PORTA VAJILLA CARAMELO</t>
  </si>
  <si>
    <t>Fucsia</t>
  </si>
  <si>
    <t>Estearato</t>
  </si>
  <si>
    <t>Turquesa 6338</t>
  </si>
  <si>
    <t>Masterbach Rojo</t>
  </si>
  <si>
    <t>Masterbach Amarillo</t>
  </si>
  <si>
    <t>Magenta CH21</t>
  </si>
  <si>
    <t>Masterbach Negro</t>
  </si>
  <si>
    <t>Turquesa</t>
  </si>
  <si>
    <t>Azul Oscuro 1503</t>
  </si>
  <si>
    <t>Azul UltramarEP-24</t>
  </si>
  <si>
    <t>Turquesa 6336</t>
  </si>
  <si>
    <t>Carne Y-24</t>
  </si>
  <si>
    <t>Verde 6998</t>
  </si>
  <si>
    <t>Fucsia FQ11</t>
  </si>
  <si>
    <t>Verde Fluor Caja</t>
  </si>
  <si>
    <t>Maasterbach Verde Palta</t>
  </si>
  <si>
    <t>Masterbach Azul</t>
  </si>
  <si>
    <t>Magenta FQ11</t>
  </si>
  <si>
    <t>ORGANIZADOR 5L</t>
  </si>
  <si>
    <t>ORGANIZADOR 10L</t>
  </si>
  <si>
    <t>ORGANIZADOR 15L</t>
  </si>
  <si>
    <t>MULTITAPER 2KG</t>
  </si>
  <si>
    <t>TOMATODOS ULTRA</t>
  </si>
  <si>
    <t>TAPER REDONDO 1500</t>
  </si>
  <si>
    <t>TAPER REDONDO 2500</t>
  </si>
  <si>
    <t>FLORERO ROMANO</t>
  </si>
  <si>
    <t>FLORERO DIAMANTE</t>
  </si>
  <si>
    <t>TAPA DE ORGANIZADOR 5L</t>
  </si>
  <si>
    <t>TAPA DE ORGANIZADOR 10L</t>
  </si>
  <si>
    <t>TAPA DE ORGANIZADOR 15L</t>
  </si>
  <si>
    <t>TAPA DE TAPER REDONDO</t>
  </si>
  <si>
    <t>VALVULA VAPOR</t>
  </si>
  <si>
    <t>ASA DE CARGA ORGANIZADOR</t>
  </si>
  <si>
    <t>HT-120 A</t>
  </si>
  <si>
    <t>HT-160 A</t>
  </si>
  <si>
    <t>HT-160 B</t>
  </si>
  <si>
    <t>HT-200 A</t>
  </si>
  <si>
    <t>HT-250 A</t>
  </si>
  <si>
    <t>HT-250 B</t>
  </si>
  <si>
    <t>HT-250 C</t>
  </si>
  <si>
    <t>HT-360 A</t>
  </si>
  <si>
    <t>HT-380 A</t>
  </si>
  <si>
    <t>SOPLADORA-2A</t>
  </si>
  <si>
    <t>SOPLADORA-2B</t>
  </si>
  <si>
    <t>SOPLADORA-B</t>
  </si>
  <si>
    <t>SOPLADORA-C</t>
  </si>
  <si>
    <t>CALIDAD</t>
  </si>
  <si>
    <t>Florero Griego</t>
  </si>
  <si>
    <t>Florero Girasol</t>
  </si>
  <si>
    <t>Florero Italiano Grande</t>
  </si>
  <si>
    <t>Florero Romano Caramelo</t>
  </si>
  <si>
    <t>Florero Romano Pastel</t>
  </si>
  <si>
    <t>Florero Diamante Caramelo</t>
  </si>
  <si>
    <t>Florero Italiano Caramelo</t>
  </si>
  <si>
    <t>Florero Italiano Pastel</t>
  </si>
  <si>
    <t>Florero Italiano Grande Caramelo</t>
  </si>
  <si>
    <t>Florero Italiano Grande Pastel</t>
  </si>
  <si>
    <t>Florero Diamante Pastel</t>
  </si>
  <si>
    <t>Florero Italiano Blanco</t>
  </si>
  <si>
    <t>SOPLADORA</t>
  </si>
  <si>
    <t>Portacubierto Caramelo</t>
  </si>
  <si>
    <t>Portacubierto Pastel</t>
  </si>
  <si>
    <t>Cubierto Pastel</t>
  </si>
  <si>
    <t>Jabonera Caramelo</t>
  </si>
  <si>
    <t>Jabonera Pastel</t>
  </si>
  <si>
    <t>Caja organizadora #2</t>
  </si>
  <si>
    <t>Caja organizadora #3</t>
  </si>
  <si>
    <t>Caja organizadora #2 Caramelo</t>
  </si>
  <si>
    <t>Caja organizadora #2 Pastel</t>
  </si>
  <si>
    <t>Caja organizadora #2 Neon</t>
  </si>
  <si>
    <t>Caja organizadora #3 Caramelo</t>
  </si>
  <si>
    <t>Caja organizadora #3 Pastel</t>
  </si>
  <si>
    <t>Caja organizadora #3 Neon</t>
  </si>
  <si>
    <t>Tapa de Organizador #2</t>
  </si>
  <si>
    <t>Base de Organizador #2</t>
  </si>
  <si>
    <t>Base de Organizador #3</t>
  </si>
  <si>
    <t>Tapa de Organizador #3</t>
  </si>
  <si>
    <t>Tomatodo aventura 600ml</t>
  </si>
  <si>
    <t>Frasco Tomatodo 600ml</t>
  </si>
  <si>
    <t>Marron</t>
  </si>
  <si>
    <t>Crema 53553</t>
  </si>
  <si>
    <t>Verde 168421</t>
  </si>
  <si>
    <t>Melon 104969</t>
  </si>
  <si>
    <t>Plomo rata</t>
  </si>
  <si>
    <t>ASA PRESION ORGANIZADOR</t>
  </si>
  <si>
    <t>INYECTORA</t>
  </si>
  <si>
    <t>HT-320 A</t>
  </si>
  <si>
    <t xml:space="preserve">Balde Real </t>
  </si>
  <si>
    <t>OP1322</t>
  </si>
  <si>
    <t>BALDE PLAYERO ROMANO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</si>
</sst>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_ * #,##0.00_ ;_ * \-#,##0.00_ ;_ * &quot;-&quot;??_ ;_ @_ "/>
    <numFmt numFmtId="165" formatCode="_ &quot;S/.&quot;\ * #,##0.00_ ;_ &quot;S/.&quot;\ * \-#,##0.00_ ;_ &quot;S/.&quot;\ * &quot;-&quot;??_ ;_ @_ "/>
    <numFmt numFmtId="166" formatCode="#,##0\ &quot;Horas&quot;"/>
    <numFmt numFmtId="167" formatCode="#,##0\ &quot;Dias&quot;"/>
    <numFmt numFmtId="168" formatCode="_ * #,##0.00_ ;_ * \-#,##0.00_ ;_ * &quot;-&quot;??_ ;_ @_ \ \&gt;&quot;Dolares&quot;"/>
    <numFmt numFmtId="169" formatCode="#,##0\ &quot;segudos&quot;"/>
    <numFmt numFmtId="170" formatCode="#,##0\ &quot;gramos&quot;"/>
    <numFmt numFmtId="171" formatCode="#,##0\ &quot;Cavidad(es)&quot;"/>
    <numFmt numFmtId="172" formatCode="#,##0\ &quot;coladas&quot;"/>
    <numFmt numFmtId="173" formatCode="?/6"/>
    <numFmt numFmtId="174" formatCode="_ * #,##0_ ;_ * \-#,##0_ ;_ * &quot;-&quot;??_ ;_ @_ "/>
    <numFmt numFmtId="175" formatCode="_ * #,##0.0000_ ;_ * \-#,##0.0000_ ;_ * &quot;-&quot;??_ ;_ @_ "/>
    <numFmt numFmtId="176" formatCode="[$$-540A]#,##0.00_ ;[Red]\-[$$-540A]#,##0.00\ "/>
    <numFmt numFmtId="177" formatCode="0.00\ &quot;gr&quot;"/>
    <numFmt numFmtId="178" formatCode="0.0%"/>
    <numFmt numFmtId="179" formatCode="0.0"/>
    <numFmt numFmtId="180" formatCode="_ * #,##0.0_ ;_ * \-#,##0.0_ ;_ * &quot;-&quot;??_ ;_ @_ "/>
  </numFmts>
  <fonts count="5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8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u/>
      <sz val="12"/>
      <color theme="1"/>
      <name val="Calibri"/>
      <family val="2"/>
      <scheme val="minor"/>
    </font>
    <font>
      <sz val="10"/>
      <color rgb="FFFFD1D1"/>
      <name val="Calibri"/>
      <family val="2"/>
      <scheme val="minor"/>
    </font>
    <font>
      <b/>
      <sz val="16"/>
      <name val="Calibri"/>
      <family val="2"/>
      <scheme val="minor"/>
    </font>
    <font>
      <sz val="18"/>
      <name val="Calibri"/>
      <family val="2"/>
      <scheme val="minor"/>
    </font>
    <font>
      <b/>
      <sz val="18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22"/>
      <name val="Calibri"/>
      <family val="2"/>
      <scheme val="minor"/>
    </font>
    <font>
      <b/>
      <sz val="26"/>
      <name val="Calibri"/>
      <family val="2"/>
      <scheme val="minor"/>
    </font>
    <font>
      <b/>
      <sz val="28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6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sz val="12"/>
      <color theme="1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20"/>
      <name val="Times New Roman"/>
      <family val="1"/>
    </font>
    <font>
      <sz val="12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7F1F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A909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622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/>
    <xf numFmtId="0" fontId="1" fillId="2" borderId="0" xfId="0" applyFont="1" applyFill="1"/>
    <xf numFmtId="4" fontId="0" fillId="0" borderId="0" xfId="0" applyNumberFormat="1"/>
    <xf numFmtId="0" fontId="2" fillId="2" borderId="0" xfId="0" applyFont="1" applyFill="1" applyAlignment="1">
      <alignment horizontal="right"/>
    </xf>
    <xf numFmtId="0" fontId="2" fillId="2" borderId="2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2" borderId="10" xfId="0" applyFont="1" applyFill="1" applyBorder="1"/>
    <xf numFmtId="0" fontId="2" fillId="2" borderId="11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13" xfId="0" applyFont="1" applyFill="1" applyBorder="1"/>
    <xf numFmtId="0" fontId="2" fillId="2" borderId="9" xfId="0" applyFont="1" applyFill="1" applyBorder="1"/>
    <xf numFmtId="0" fontId="4" fillId="2" borderId="0" xfId="0" applyFont="1" applyFill="1"/>
    <xf numFmtId="0" fontId="5" fillId="2" borderId="0" xfId="0" applyFont="1" applyFill="1" applyAlignment="1">
      <alignment horizontal="left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/>
    <xf numFmtId="14" fontId="2" fillId="2" borderId="2" xfId="0" applyNumberFormat="1" applyFont="1" applyFill="1" applyBorder="1" applyAlignment="1">
      <alignment horizontal="center"/>
    </xf>
    <xf numFmtId="0" fontId="7" fillId="2" borderId="1" xfId="0" applyFont="1" applyFill="1" applyBorder="1"/>
    <xf numFmtId="0" fontId="0" fillId="2" borderId="0" xfId="0" applyFill="1"/>
    <xf numFmtId="0" fontId="0" fillId="2" borderId="1" xfId="0" applyFill="1" applyBorder="1"/>
    <xf numFmtId="0" fontId="3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center" vertical="center" wrapText="1"/>
    </xf>
    <xf numFmtId="0" fontId="3" fillId="0" borderId="0" xfId="0" applyFont="1"/>
    <xf numFmtId="0" fontId="5" fillId="4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4" fontId="0" fillId="2" borderId="1" xfId="0" applyNumberFormat="1" applyFill="1" applyBorder="1"/>
    <xf numFmtId="9" fontId="0" fillId="2" borderId="0" xfId="0" applyNumberFormat="1" applyFill="1"/>
    <xf numFmtId="4" fontId="5" fillId="3" borderId="1" xfId="0" applyNumberFormat="1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9" fillId="2" borderId="0" xfId="0" applyFont="1" applyFill="1"/>
    <xf numFmtId="0" fontId="9" fillId="5" borderId="0" xfId="0" applyFont="1" applyFill="1"/>
    <xf numFmtId="0" fontId="9" fillId="0" borderId="0" xfId="0" applyFont="1"/>
    <xf numFmtId="164" fontId="10" fillId="5" borderId="1" xfId="1" applyFont="1" applyFill="1" applyBorder="1"/>
    <xf numFmtId="16" fontId="10" fillId="3" borderId="1" xfId="0" applyNumberFormat="1" applyFont="1" applyFill="1" applyBorder="1"/>
    <xf numFmtId="164" fontId="10" fillId="6" borderId="1" xfId="0" applyNumberFormat="1" applyFont="1" applyFill="1" applyBorder="1"/>
    <xf numFmtId="164" fontId="10" fillId="3" borderId="1" xfId="0" applyNumberFormat="1" applyFont="1" applyFill="1" applyBorder="1"/>
    <xf numFmtId="0" fontId="5" fillId="5" borderId="0" xfId="0" applyFont="1" applyFill="1"/>
    <xf numFmtId="14" fontId="0" fillId="0" borderId="0" xfId="0" applyNumberFormat="1" applyAlignment="1">
      <alignment horizontal="left"/>
    </xf>
    <xf numFmtId="0" fontId="11" fillId="0" borderId="0" xfId="0" applyFont="1"/>
    <xf numFmtId="0" fontId="6" fillId="0" borderId="0" xfId="0" applyFont="1"/>
    <xf numFmtId="164" fontId="9" fillId="2" borderId="0" xfId="1" applyFont="1" applyFill="1"/>
    <xf numFmtId="164" fontId="5" fillId="7" borderId="1" xfId="1" applyFont="1" applyFill="1" applyBorder="1" applyAlignment="1">
      <alignment horizontal="center" vertical="center" wrapText="1"/>
    </xf>
    <xf numFmtId="164" fontId="10" fillId="3" borderId="1" xfId="1" applyFont="1" applyFill="1" applyBorder="1"/>
    <xf numFmtId="164" fontId="0" fillId="0" borderId="0" xfId="1" applyFont="1"/>
    <xf numFmtId="12" fontId="0" fillId="0" borderId="0" xfId="0" applyNumberFormat="1"/>
    <xf numFmtId="0" fontId="12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164" fontId="0" fillId="0" borderId="0" xfId="0" applyNumberFormat="1"/>
    <xf numFmtId="164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14" fillId="0" borderId="0" xfId="0" applyFon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5" fillId="2" borderId="0" xfId="0" applyFont="1" applyFill="1" applyAlignment="1">
      <alignment horizontal="center" wrapText="1"/>
    </xf>
    <xf numFmtId="0" fontId="14" fillId="7" borderId="0" xfId="0" applyFont="1" applyFill="1" applyAlignment="1">
      <alignment horizontal="center"/>
    </xf>
    <xf numFmtId="164" fontId="14" fillId="7" borderId="0" xfId="0" applyNumberFormat="1" applyFont="1" applyFill="1" applyAlignment="1">
      <alignment horizontal="left"/>
    </xf>
    <xf numFmtId="0" fontId="14" fillId="7" borderId="0" xfId="0" applyFont="1" applyFill="1" applyAlignment="1">
      <alignment horizontal="left"/>
    </xf>
    <xf numFmtId="164" fontId="14" fillId="7" borderId="0" xfId="1" applyFont="1" applyFill="1" applyAlignment="1">
      <alignment horizontal="left"/>
    </xf>
    <xf numFmtId="0" fontId="16" fillId="0" borderId="0" xfId="0" applyFont="1" applyAlignment="1">
      <alignment horizontal="left"/>
    </xf>
    <xf numFmtId="164" fontId="13" fillId="5" borderId="1" xfId="1" applyFont="1" applyFill="1" applyBorder="1"/>
    <xf numFmtId="0" fontId="17" fillId="0" borderId="0" xfId="0" applyFont="1" applyAlignment="1">
      <alignment horizontal="left"/>
    </xf>
    <xf numFmtId="0" fontId="17" fillId="2" borderId="0" xfId="0" applyFont="1" applyFill="1" applyAlignment="1">
      <alignment horizontal="center" wrapText="1"/>
    </xf>
    <xf numFmtId="164" fontId="14" fillId="0" borderId="0" xfId="1" applyFont="1"/>
    <xf numFmtId="166" fontId="0" fillId="0" borderId="0" xfId="0" applyNumberFormat="1"/>
    <xf numFmtId="167" fontId="0" fillId="0" borderId="0" xfId="0" applyNumberFormat="1"/>
    <xf numFmtId="164" fontId="12" fillId="0" borderId="0" xfId="0" applyNumberFormat="1" applyFont="1"/>
    <xf numFmtId="4" fontId="3" fillId="0" borderId="0" xfId="0" applyNumberFormat="1" applyFont="1"/>
    <xf numFmtId="0" fontId="19" fillId="0" borderId="0" xfId="0" applyFont="1"/>
    <xf numFmtId="164" fontId="8" fillId="0" borderId="0" xfId="1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/>
    <xf numFmtId="14" fontId="9" fillId="0" borderId="0" xfId="0" applyNumberFormat="1" applyFont="1" applyAlignment="1">
      <alignment horizontal="left"/>
    </xf>
    <xf numFmtId="0" fontId="5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4" fontId="9" fillId="0" borderId="0" xfId="0" applyNumberFormat="1" applyFont="1"/>
    <xf numFmtId="0" fontId="9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1" fillId="0" borderId="0" xfId="0" applyFont="1"/>
    <xf numFmtId="164" fontId="9" fillId="0" borderId="0" xfId="1" applyFont="1"/>
    <xf numFmtId="164" fontId="9" fillId="0" borderId="0" xfId="1" applyFont="1" applyFill="1"/>
    <xf numFmtId="164" fontId="9" fillId="0" borderId="0" xfId="0" applyNumberFormat="1" applyFont="1"/>
    <xf numFmtId="164" fontId="5" fillId="0" borderId="0" xfId="0" applyNumberFormat="1" applyFont="1"/>
    <xf numFmtId="164" fontId="9" fillId="0" borderId="9" xfId="1" applyFont="1" applyBorder="1"/>
    <xf numFmtId="168" fontId="5" fillId="0" borderId="0" xfId="0" applyNumberFormat="1" applyFont="1"/>
    <xf numFmtId="4" fontId="9" fillId="0" borderId="9" xfId="0" applyNumberFormat="1" applyFont="1" applyBorder="1"/>
    <xf numFmtId="4" fontId="5" fillId="0" borderId="0" xfId="0" applyNumberFormat="1" applyFont="1"/>
    <xf numFmtId="0" fontId="5" fillId="10" borderId="0" xfId="0" applyFont="1" applyFill="1" applyAlignment="1">
      <alignment horizontal="center" vertical="center"/>
    </xf>
    <xf numFmtId="166" fontId="5" fillId="10" borderId="0" xfId="0" applyNumberFormat="1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4" fontId="5" fillId="10" borderId="0" xfId="0" applyNumberFormat="1" applyFont="1" applyFill="1" applyAlignment="1">
      <alignment horizontal="center"/>
    </xf>
    <xf numFmtId="169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5" fillId="9" borderId="1" xfId="0" applyFont="1" applyFill="1" applyBorder="1" applyAlignment="1">
      <alignment horizontal="left"/>
    </xf>
    <xf numFmtId="164" fontId="14" fillId="0" borderId="1" xfId="1" applyFont="1" applyBorder="1" applyAlignment="1">
      <alignment horizontal="right"/>
    </xf>
    <xf numFmtId="164" fontId="14" fillId="0" borderId="1" xfId="1" applyFont="1" applyBorder="1"/>
    <xf numFmtId="0" fontId="22" fillId="9" borderId="1" xfId="0" applyFont="1" applyFill="1" applyBorder="1" applyAlignment="1">
      <alignment horizontal="left"/>
    </xf>
    <xf numFmtId="167" fontId="14" fillId="0" borderId="1" xfId="0" applyNumberFormat="1" applyFont="1" applyBorder="1"/>
    <xf numFmtId="166" fontId="14" fillId="0" borderId="1" xfId="0" applyNumberFormat="1" applyFont="1" applyBorder="1"/>
    <xf numFmtId="171" fontId="14" fillId="0" borderId="1" xfId="0" applyNumberFormat="1" applyFont="1" applyBorder="1"/>
    <xf numFmtId="172" fontId="14" fillId="0" borderId="1" xfId="0" applyNumberFormat="1" applyFont="1" applyBorder="1" applyAlignment="1">
      <alignment horizontal="right"/>
    </xf>
    <xf numFmtId="0" fontId="22" fillId="0" borderId="0" xfId="0" applyFont="1" applyAlignment="1">
      <alignment horizontal="left"/>
    </xf>
    <xf numFmtId="169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0" fontId="22" fillId="10" borderId="0" xfId="0" applyFont="1" applyFill="1" applyAlignment="1">
      <alignment horizontal="center" vertical="center"/>
    </xf>
    <xf numFmtId="166" fontId="22" fillId="10" borderId="0" xfId="0" applyNumberFormat="1" applyFont="1" applyFill="1" applyAlignment="1">
      <alignment horizontal="center" vertical="center"/>
    </xf>
    <xf numFmtId="4" fontId="14" fillId="0" borderId="0" xfId="0" applyNumberFormat="1" applyFont="1" applyAlignment="1">
      <alignment horizontal="center"/>
    </xf>
    <xf numFmtId="0" fontId="22" fillId="10" borderId="0" xfId="0" applyFont="1" applyFill="1" applyAlignment="1">
      <alignment horizontal="center"/>
    </xf>
    <xf numFmtId="4" fontId="22" fillId="10" borderId="0" xfId="0" applyNumberFormat="1" applyFont="1" applyFill="1" applyAlignment="1">
      <alignment horizontal="center"/>
    </xf>
    <xf numFmtId="0" fontId="23" fillId="0" borderId="0" xfId="0" applyFont="1"/>
    <xf numFmtId="164" fontId="22" fillId="0" borderId="0" xfId="0" applyNumberFormat="1" applyFont="1"/>
    <xf numFmtId="0" fontId="23" fillId="3" borderId="1" xfId="0" applyFont="1" applyFill="1" applyBorder="1"/>
    <xf numFmtId="164" fontId="14" fillId="0" borderId="1" xfId="1" applyFont="1" applyBorder="1" applyAlignment="1">
      <alignment horizontal="left"/>
    </xf>
    <xf numFmtId="0" fontId="14" fillId="0" borderId="6" xfId="0" applyFont="1" applyBorder="1"/>
    <xf numFmtId="170" fontId="14" fillId="0" borderId="14" xfId="0" applyNumberFormat="1" applyFont="1" applyBorder="1"/>
    <xf numFmtId="9" fontId="14" fillId="0" borderId="14" xfId="0" applyNumberFormat="1" applyFont="1" applyBorder="1"/>
    <xf numFmtId="0" fontId="14" fillId="0" borderId="14" xfId="0" applyFont="1" applyBorder="1" applyAlignment="1">
      <alignment horizontal="right"/>
    </xf>
    <xf numFmtId="172" fontId="14" fillId="0" borderId="0" xfId="0" applyNumberFormat="1" applyFont="1" applyAlignment="1">
      <alignment horizontal="right"/>
    </xf>
    <xf numFmtId="0" fontId="0" fillId="10" borderId="0" xfId="0" applyFill="1"/>
    <xf numFmtId="0" fontId="14" fillId="10" borderId="0" xfId="0" applyFont="1" applyFill="1"/>
    <xf numFmtId="0" fontId="22" fillId="0" borderId="0" xfId="0" applyFont="1" applyAlignment="1">
      <alignment horizontal="center"/>
    </xf>
    <xf numFmtId="0" fontId="23" fillId="10" borderId="0" xfId="0" applyFont="1" applyFill="1"/>
    <xf numFmtId="164" fontId="22" fillId="10" borderId="0" xfId="0" applyNumberFormat="1" applyFont="1" applyFill="1"/>
    <xf numFmtId="0" fontId="23" fillId="10" borderId="0" xfId="0" applyFont="1" applyFill="1" applyAlignment="1">
      <alignment horizontal="left"/>
    </xf>
    <xf numFmtId="0" fontId="2" fillId="2" borderId="2" xfId="0" quotePrefix="1" applyFont="1" applyFill="1" applyBorder="1"/>
    <xf numFmtId="0" fontId="24" fillId="2" borderId="9" xfId="0" applyFont="1" applyFill="1" applyBorder="1" applyAlignment="1">
      <alignment horizontal="left"/>
    </xf>
    <xf numFmtId="0" fontId="18" fillId="2" borderId="0" xfId="0" applyFont="1" applyFill="1"/>
    <xf numFmtId="0" fontId="24" fillId="2" borderId="9" xfId="0" applyFont="1" applyFill="1" applyBorder="1"/>
    <xf numFmtId="0" fontId="24" fillId="2" borderId="2" xfId="0" applyFont="1" applyFill="1" applyBorder="1"/>
    <xf numFmtId="0" fontId="24" fillId="2" borderId="0" xfId="0" applyFont="1" applyFill="1"/>
    <xf numFmtId="0" fontId="18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left"/>
    </xf>
    <xf numFmtId="0" fontId="24" fillId="0" borderId="2" xfId="0" applyFont="1" applyBorder="1"/>
    <xf numFmtId="164" fontId="22" fillId="0" borderId="0" xfId="1" applyFont="1"/>
    <xf numFmtId="164" fontId="22" fillId="3" borderId="1" xfId="1" applyFont="1" applyFill="1" applyBorder="1"/>
    <xf numFmtId="174" fontId="14" fillId="0" borderId="0" xfId="1" applyNumberFormat="1" applyFont="1"/>
    <xf numFmtId="174" fontId="14" fillId="0" borderId="0" xfId="1" applyNumberFormat="1" applyFont="1" applyAlignment="1">
      <alignment horizontal="center"/>
    </xf>
    <xf numFmtId="174" fontId="22" fillId="0" borderId="0" xfId="1" applyNumberFormat="1" applyFont="1"/>
    <xf numFmtId="174" fontId="9" fillId="0" borderId="0" xfId="1" applyNumberFormat="1" applyFont="1"/>
    <xf numFmtId="0" fontId="22" fillId="2" borderId="1" xfId="0" applyFont="1" applyFill="1" applyBorder="1" applyAlignment="1">
      <alignment horizontal="center" vertical="center"/>
    </xf>
    <xf numFmtId="0" fontId="14" fillId="2" borderId="0" xfId="0" applyFont="1" applyFill="1"/>
    <xf numFmtId="174" fontId="14" fillId="2" borderId="0" xfId="1" applyNumberFormat="1" applyFont="1" applyFill="1"/>
    <xf numFmtId="174" fontId="22" fillId="2" borderId="1" xfId="1" applyNumberFormat="1" applyFont="1" applyFill="1" applyBorder="1" applyAlignment="1">
      <alignment horizontal="center" vertical="center"/>
    </xf>
    <xf numFmtId="174" fontId="9" fillId="0" borderId="0" xfId="1" applyNumberFormat="1" applyFont="1" applyAlignment="1">
      <alignment horizontal="center"/>
    </xf>
    <xf numFmtId="174" fontId="0" fillId="0" borderId="0" xfId="1" applyNumberFormat="1" applyFont="1"/>
    <xf numFmtId="164" fontId="20" fillId="0" borderId="0" xfId="1" applyFont="1"/>
    <xf numFmtId="174" fontId="14" fillId="0" borderId="0" xfId="1" applyNumberFormat="1" applyFont="1" applyFill="1"/>
    <xf numFmtId="174" fontId="14" fillId="0" borderId="9" xfId="1" applyNumberFormat="1" applyFont="1" applyBorder="1"/>
    <xf numFmtId="174" fontId="14" fillId="10" borderId="0" xfId="0" applyNumberFormat="1" applyFont="1" applyFill="1"/>
    <xf numFmtId="174" fontId="22" fillId="10" borderId="0" xfId="0" applyNumberFormat="1" applyFont="1" applyFill="1"/>
    <xf numFmtId="174" fontId="14" fillId="0" borderId="0" xfId="0" applyNumberFormat="1" applyFont="1"/>
    <xf numFmtId="174" fontId="0" fillId="0" borderId="0" xfId="0" applyNumberFormat="1"/>
    <xf numFmtId="164" fontId="8" fillId="0" borderId="0" xfId="1" applyFont="1"/>
    <xf numFmtId="164" fontId="16" fillId="0" borderId="0" xfId="1" applyFont="1"/>
    <xf numFmtId="16" fontId="9" fillId="0" borderId="0" xfId="0" applyNumberFormat="1" applyFont="1" applyAlignment="1">
      <alignment horizontal="left"/>
    </xf>
    <xf numFmtId="0" fontId="25" fillId="0" borderId="0" xfId="0" applyFont="1"/>
    <xf numFmtId="0" fontId="26" fillId="0" borderId="0" xfId="0" applyFont="1"/>
    <xf numFmtId="4" fontId="14" fillId="2" borderId="0" xfId="0" applyNumberFormat="1" applyFont="1" applyFill="1"/>
    <xf numFmtId="164" fontId="16" fillId="8" borderId="0" xfId="1" applyFont="1" applyFill="1"/>
    <xf numFmtId="164" fontId="16" fillId="0" borderId="0" xfId="1" applyFont="1" applyFill="1"/>
    <xf numFmtId="164" fontId="14" fillId="0" borderId="9" xfId="1" applyFont="1" applyBorder="1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vertical="center"/>
    </xf>
    <xf numFmtId="0" fontId="27" fillId="0" borderId="1" xfId="0" applyFont="1" applyBorder="1" applyAlignment="1">
      <alignment vertical="center" wrapText="1"/>
    </xf>
    <xf numFmtId="0" fontId="30" fillId="0" borderId="1" xfId="0" applyFont="1" applyBorder="1" applyAlignment="1">
      <alignment vertical="center"/>
    </xf>
    <xf numFmtId="0" fontId="18" fillId="0" borderId="0" xfId="0" applyFont="1"/>
    <xf numFmtId="14" fontId="24" fillId="0" borderId="0" xfId="0" applyNumberFormat="1" applyFont="1" applyAlignment="1">
      <alignment horizontal="left"/>
    </xf>
    <xf numFmtId="0" fontId="24" fillId="0" borderId="0" xfId="0" applyFont="1"/>
    <xf numFmtId="0" fontId="18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18" fillId="0" borderId="0" xfId="0" applyFont="1" applyAlignment="1">
      <alignment vertical="center"/>
    </xf>
    <xf numFmtId="164" fontId="24" fillId="0" borderId="0" xfId="1" applyFont="1"/>
    <xf numFmtId="0" fontId="18" fillId="9" borderId="1" xfId="0" applyFont="1" applyFill="1" applyBorder="1" applyAlignment="1">
      <alignment horizontal="left"/>
    </xf>
    <xf numFmtId="0" fontId="24" fillId="0" borderId="6" xfId="0" applyFont="1" applyBorder="1"/>
    <xf numFmtId="0" fontId="18" fillId="0" borderId="0" xfId="0" applyFont="1" applyAlignment="1">
      <alignment horizontal="center"/>
    </xf>
    <xf numFmtId="174" fontId="24" fillId="0" borderId="0" xfId="1" applyNumberFormat="1" applyFont="1"/>
    <xf numFmtId="174" fontId="18" fillId="0" borderId="0" xfId="1" applyNumberFormat="1" applyFont="1" applyAlignment="1">
      <alignment horizontal="right"/>
    </xf>
    <xf numFmtId="164" fontId="24" fillId="0" borderId="0" xfId="1" applyFont="1" applyBorder="1"/>
    <xf numFmtId="174" fontId="24" fillId="0" borderId="0" xfId="1" applyNumberFormat="1" applyFont="1" applyFill="1"/>
    <xf numFmtId="174" fontId="18" fillId="0" borderId="0" xfId="1" applyNumberFormat="1" applyFont="1"/>
    <xf numFmtId="164" fontId="24" fillId="0" borderId="9" xfId="1" applyFont="1" applyBorder="1"/>
    <xf numFmtId="164" fontId="18" fillId="0" borderId="0" xfId="1" applyFont="1"/>
    <xf numFmtId="0" fontId="9" fillId="0" borderId="1" xfId="0" applyFont="1" applyBorder="1" applyAlignment="1">
      <alignment horizontal="left"/>
    </xf>
    <xf numFmtId="166" fontId="9" fillId="0" borderId="1" xfId="0" applyNumberFormat="1" applyFont="1" applyBorder="1" applyAlignment="1">
      <alignment horizontal="left"/>
    </xf>
    <xf numFmtId="171" fontId="9" fillId="0" borderId="1" xfId="0" applyNumberFormat="1" applyFont="1" applyBorder="1" applyAlignment="1">
      <alignment horizontal="left"/>
    </xf>
    <xf numFmtId="169" fontId="9" fillId="0" borderId="1" xfId="0" applyNumberFormat="1" applyFont="1" applyBorder="1" applyAlignment="1">
      <alignment horizontal="left"/>
    </xf>
    <xf numFmtId="170" fontId="9" fillId="0" borderId="1" xfId="0" applyNumberFormat="1" applyFont="1" applyBorder="1" applyAlignment="1">
      <alignment horizontal="left"/>
    </xf>
    <xf numFmtId="9" fontId="0" fillId="0" borderId="1" xfId="0" applyNumberFormat="1" applyBorder="1" applyAlignment="1">
      <alignment horizontal="left"/>
    </xf>
    <xf numFmtId="167" fontId="24" fillId="0" borderId="1" xfId="0" applyNumberFormat="1" applyFont="1" applyBorder="1" applyAlignment="1">
      <alignment horizontal="left"/>
    </xf>
    <xf numFmtId="166" fontId="24" fillId="0" borderId="1" xfId="0" applyNumberFormat="1" applyFont="1" applyBorder="1" applyAlignment="1">
      <alignment horizontal="left"/>
    </xf>
    <xf numFmtId="171" fontId="24" fillId="0" borderId="1" xfId="0" applyNumberFormat="1" applyFont="1" applyBorder="1" applyAlignment="1">
      <alignment horizontal="left"/>
    </xf>
    <xf numFmtId="172" fontId="24" fillId="0" borderId="1" xfId="0" applyNumberFormat="1" applyFont="1" applyBorder="1" applyAlignment="1">
      <alignment horizontal="left"/>
    </xf>
    <xf numFmtId="170" fontId="24" fillId="0" borderId="14" xfId="0" applyNumberFormat="1" applyFont="1" applyBorder="1" applyAlignment="1">
      <alignment horizontal="left"/>
    </xf>
    <xf numFmtId="9" fontId="24" fillId="0" borderId="14" xfId="0" applyNumberFormat="1" applyFont="1" applyBorder="1" applyAlignment="1">
      <alignment horizontal="left"/>
    </xf>
    <xf numFmtId="0" fontId="24" fillId="0" borderId="14" xfId="0" applyFont="1" applyBorder="1" applyAlignment="1">
      <alignment horizontal="left"/>
    </xf>
    <xf numFmtId="164" fontId="8" fillId="0" borderId="1" xfId="1" applyFont="1" applyBorder="1"/>
    <xf numFmtId="175" fontId="9" fillId="0" borderId="0" xfId="1" applyNumberFormat="1" applyFont="1" applyAlignment="1">
      <alignment horizontal="right"/>
    </xf>
    <xf numFmtId="0" fontId="3" fillId="0" borderId="9" xfId="0" applyFont="1" applyBorder="1" applyAlignment="1">
      <alignment horizontal="center"/>
    </xf>
    <xf numFmtId="164" fontId="9" fillId="0" borderId="0" xfId="1" applyFont="1" applyAlignment="1">
      <alignment horizontal="right"/>
    </xf>
    <xf numFmtId="176" fontId="9" fillId="0" borderId="0" xfId="1" applyNumberFormat="1" applyFont="1" applyAlignment="1">
      <alignment horizontal="right"/>
    </xf>
    <xf numFmtId="164" fontId="14" fillId="13" borderId="0" xfId="1" applyFont="1" applyFill="1"/>
    <xf numFmtId="164" fontId="14" fillId="14" borderId="0" xfId="1" applyFont="1" applyFill="1"/>
    <xf numFmtId="164" fontId="14" fillId="11" borderId="0" xfId="1" applyFont="1" applyFill="1"/>
    <xf numFmtId="164" fontId="10" fillId="13" borderId="1" xfId="1" applyFont="1" applyFill="1" applyBorder="1"/>
    <xf numFmtId="177" fontId="5" fillId="0" borderId="0" xfId="1" applyNumberFormat="1" applyFont="1"/>
    <xf numFmtId="14" fontId="18" fillId="0" borderId="0" xfId="0" applyNumberFormat="1" applyFont="1" applyAlignment="1">
      <alignment horizontal="left"/>
    </xf>
    <xf numFmtId="164" fontId="12" fillId="0" borderId="0" xfId="1" applyFont="1"/>
    <xf numFmtId="172" fontId="24" fillId="0" borderId="0" xfId="0" applyNumberFormat="1" applyFont="1" applyAlignment="1">
      <alignment horizontal="right"/>
    </xf>
    <xf numFmtId="0" fontId="24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169" fontId="24" fillId="0" borderId="0" xfId="0" applyNumberFormat="1" applyFont="1" applyAlignment="1">
      <alignment horizontal="right"/>
    </xf>
    <xf numFmtId="0" fontId="18" fillId="10" borderId="0" xfId="0" applyFont="1" applyFill="1" applyAlignment="1">
      <alignment horizontal="center" vertical="center"/>
    </xf>
    <xf numFmtId="166" fontId="18" fillId="10" borderId="0" xfId="0" applyNumberFormat="1" applyFont="1" applyFill="1" applyAlignment="1">
      <alignment horizontal="center" vertical="center"/>
    </xf>
    <xf numFmtId="0" fontId="18" fillId="10" borderId="0" xfId="0" applyFont="1" applyFill="1" applyAlignment="1">
      <alignment horizontal="center"/>
    </xf>
    <xf numFmtId="4" fontId="18" fillId="10" borderId="0" xfId="0" applyNumberFormat="1" applyFont="1" applyFill="1" applyAlignment="1">
      <alignment horizontal="center"/>
    </xf>
    <xf numFmtId="0" fontId="31" fillId="10" borderId="0" xfId="0" applyFont="1" applyFill="1"/>
    <xf numFmtId="0" fontId="24" fillId="10" borderId="0" xfId="0" applyFont="1" applyFill="1"/>
    <xf numFmtId="0" fontId="31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164" fontId="18" fillId="0" borderId="0" xfId="0" applyNumberFormat="1" applyFont="1" applyAlignment="1">
      <alignment vertical="center"/>
    </xf>
    <xf numFmtId="164" fontId="18" fillId="0" borderId="0" xfId="0" applyNumberFormat="1" applyFont="1"/>
    <xf numFmtId="0" fontId="31" fillId="3" borderId="1" xfId="0" applyFont="1" applyFill="1" applyBorder="1"/>
    <xf numFmtId="174" fontId="24" fillId="10" borderId="0" xfId="0" applyNumberFormat="1" applyFont="1" applyFill="1"/>
    <xf numFmtId="174" fontId="18" fillId="10" borderId="0" xfId="0" applyNumberFormat="1" applyFont="1" applyFill="1"/>
    <xf numFmtId="0" fontId="31" fillId="10" borderId="0" xfId="0" applyFont="1" applyFill="1" applyAlignment="1">
      <alignment vertical="center"/>
    </xf>
    <xf numFmtId="0" fontId="31" fillId="10" borderId="0" xfId="0" applyFont="1" applyFill="1" applyAlignment="1">
      <alignment horizontal="left" vertical="center"/>
    </xf>
    <xf numFmtId="164" fontId="18" fillId="3" borderId="1" xfId="1" applyFont="1" applyFill="1" applyBorder="1"/>
    <xf numFmtId="164" fontId="18" fillId="10" borderId="0" xfId="0" applyNumberFormat="1" applyFont="1" applyFill="1"/>
    <xf numFmtId="164" fontId="3" fillId="0" borderId="0" xfId="1" applyFont="1"/>
    <xf numFmtId="164" fontId="8" fillId="0" borderId="1" xfId="1" applyFont="1" applyBorder="1" applyAlignment="1">
      <alignment horizontal="left"/>
    </xf>
    <xf numFmtId="164" fontId="8" fillId="0" borderId="1" xfId="1" applyFont="1" applyBorder="1" applyAlignment="1">
      <alignment horizontal="right"/>
    </xf>
    <xf numFmtId="4" fontId="8" fillId="0" borderId="0" xfId="0" applyNumberFormat="1" applyFont="1" applyAlignment="1">
      <alignment horizontal="center"/>
    </xf>
    <xf numFmtId="4" fontId="8" fillId="0" borderId="0" xfId="1" applyNumberFormat="1" applyFont="1"/>
    <xf numFmtId="14" fontId="5" fillId="8" borderId="0" xfId="0" applyNumberFormat="1" applyFont="1" applyFill="1" applyProtection="1">
      <protection locked="0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/>
    <xf numFmtId="0" fontId="9" fillId="8" borderId="0" xfId="0" applyFont="1" applyFill="1" applyAlignment="1">
      <alignment horizontal="center"/>
    </xf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center"/>
    </xf>
    <xf numFmtId="4" fontId="9" fillId="2" borderId="0" xfId="0" applyNumberFormat="1" applyFont="1" applyFill="1"/>
    <xf numFmtId="0" fontId="5" fillId="2" borderId="0" xfId="0" applyFont="1" applyFill="1" applyAlignment="1">
      <alignment horizontal="left"/>
    </xf>
    <xf numFmtId="0" fontId="9" fillId="2" borderId="0" xfId="0" applyFont="1" applyFill="1" applyAlignment="1">
      <alignment vertical="center"/>
    </xf>
    <xf numFmtId="164" fontId="9" fillId="2" borderId="0" xfId="0" applyNumberFormat="1" applyFont="1" applyFill="1" applyAlignment="1">
      <alignment vertical="center"/>
    </xf>
    <xf numFmtId="9" fontId="9" fillId="2" borderId="0" xfId="0" applyNumberFormat="1" applyFont="1" applyFill="1"/>
    <xf numFmtId="4" fontId="9" fillId="5" borderId="1" xfId="0" applyNumberFormat="1" applyFont="1" applyFill="1" applyBorder="1" applyAlignment="1">
      <alignment horizontal="center" vertical="center"/>
    </xf>
    <xf numFmtId="4" fontId="32" fillId="5" borderId="0" xfId="0" applyNumberFormat="1" applyFont="1" applyFill="1"/>
    <xf numFmtId="0" fontId="10" fillId="5" borderId="0" xfId="0" applyFont="1" applyFill="1"/>
    <xf numFmtId="0" fontId="32" fillId="5" borderId="0" xfId="0" applyFont="1" applyFill="1"/>
    <xf numFmtId="4" fontId="13" fillId="5" borderId="0" xfId="0" applyNumberFormat="1" applyFont="1" applyFill="1"/>
    <xf numFmtId="0" fontId="9" fillId="2" borderId="2" xfId="0" applyFont="1" applyFill="1" applyBorder="1"/>
    <xf numFmtId="4" fontId="9" fillId="2" borderId="2" xfId="0" applyNumberFormat="1" applyFont="1" applyFill="1" applyBorder="1"/>
    <xf numFmtId="0" fontId="5" fillId="3" borderId="3" xfId="0" applyFont="1" applyFill="1" applyBorder="1" applyAlignment="1">
      <alignment horizontal="center" vertical="center" wrapText="1"/>
    </xf>
    <xf numFmtId="16" fontId="9" fillId="5" borderId="1" xfId="0" applyNumberFormat="1" applyFont="1" applyFill="1" applyBorder="1" applyAlignment="1">
      <alignment horizontal="center" vertical="center"/>
    </xf>
    <xf numFmtId="164" fontId="10" fillId="5" borderId="1" xfId="1" applyFont="1" applyFill="1" applyBorder="1" applyAlignment="1" applyProtection="1">
      <alignment horizontal="center" vertical="center"/>
    </xf>
    <xf numFmtId="164" fontId="9" fillId="5" borderId="1" xfId="1" applyFont="1" applyFill="1" applyBorder="1" applyAlignment="1" applyProtection="1">
      <alignment vertical="center"/>
    </xf>
    <xf numFmtId="0" fontId="9" fillId="3" borderId="2" xfId="0" applyFont="1" applyFill="1" applyBorder="1"/>
    <xf numFmtId="4" fontId="9" fillId="3" borderId="14" xfId="0" applyNumberFormat="1" applyFont="1" applyFill="1" applyBorder="1"/>
    <xf numFmtId="4" fontId="9" fillId="3" borderId="1" xfId="0" applyNumberFormat="1" applyFont="1" applyFill="1" applyBorder="1"/>
    <xf numFmtId="9" fontId="9" fillId="3" borderId="1" xfId="0" applyNumberFormat="1" applyFont="1" applyFill="1" applyBorder="1"/>
    <xf numFmtId="9" fontId="5" fillId="2" borderId="15" xfId="0" applyNumberFormat="1" applyFont="1" applyFill="1" applyBorder="1"/>
    <xf numFmtId="9" fontId="9" fillId="2" borderId="16" xfId="0" applyNumberFormat="1" applyFont="1" applyFill="1" applyBorder="1"/>
    <xf numFmtId="9" fontId="5" fillId="2" borderId="16" xfId="0" applyNumberFormat="1" applyFont="1" applyFill="1" applyBorder="1"/>
    <xf numFmtId="9" fontId="5" fillId="2" borderId="17" xfId="0" applyNumberFormat="1" applyFont="1" applyFill="1" applyBorder="1"/>
    <xf numFmtId="0" fontId="9" fillId="2" borderId="0" xfId="0" applyFont="1" applyFill="1" applyAlignment="1">
      <alignment wrapText="1"/>
    </xf>
    <xf numFmtId="164" fontId="9" fillId="5" borderId="1" xfId="1" applyFont="1" applyFill="1" applyBorder="1" applyAlignment="1" applyProtection="1">
      <alignment horizontal="center"/>
    </xf>
    <xf numFmtId="4" fontId="9" fillId="5" borderId="1" xfId="0" applyNumberFormat="1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5" fillId="8" borderId="1" xfId="0" applyFont="1" applyFill="1" applyBorder="1" applyAlignment="1" applyProtection="1">
      <alignment horizontal="left" vertical="center"/>
      <protection locked="0"/>
    </xf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5" fillId="8" borderId="1" xfId="0" applyNumberFormat="1" applyFont="1" applyFill="1" applyBorder="1" applyAlignment="1" applyProtection="1">
      <alignment horizontal="center" vertical="center"/>
      <protection locked="0"/>
    </xf>
    <xf numFmtId="164" fontId="5" fillId="8" borderId="1" xfId="1" applyFont="1" applyFill="1" applyBorder="1" applyAlignment="1" applyProtection="1">
      <alignment horizontal="center" vertical="center"/>
      <protection locked="0"/>
    </xf>
    <xf numFmtId="4" fontId="3" fillId="2" borderId="0" xfId="0" applyNumberFormat="1" applyFont="1" applyFill="1" applyAlignment="1">
      <alignment vertical="center"/>
    </xf>
    <xf numFmtId="178" fontId="9" fillId="5" borderId="1" xfId="1" applyNumberFormat="1" applyFont="1" applyFill="1" applyBorder="1" applyAlignment="1" applyProtection="1">
      <alignment vertical="center"/>
    </xf>
    <xf numFmtId="4" fontId="9" fillId="5" borderId="1" xfId="1" applyNumberFormat="1" applyFont="1" applyFill="1" applyBorder="1" applyAlignment="1" applyProtection="1">
      <alignment vertical="center"/>
    </xf>
    <xf numFmtId="0" fontId="5" fillId="15" borderId="1" xfId="0" applyFont="1" applyFill="1" applyBorder="1" applyAlignment="1">
      <alignment horizontal="left"/>
    </xf>
    <xf numFmtId="0" fontId="5" fillId="15" borderId="0" xfId="0" applyFont="1" applyFill="1" applyAlignment="1">
      <alignment horizontal="right"/>
    </xf>
    <xf numFmtId="0" fontId="9" fillId="8" borderId="0" xfId="0" applyFont="1" applyFill="1" applyAlignment="1" applyProtection="1">
      <alignment horizontal="center"/>
      <protection locked="0"/>
    </xf>
    <xf numFmtId="0" fontId="9" fillId="2" borderId="15" xfId="0" applyFont="1" applyFill="1" applyBorder="1"/>
    <xf numFmtId="173" fontId="5" fillId="8" borderId="1" xfId="0" applyNumberFormat="1" applyFont="1" applyFill="1" applyBorder="1" applyAlignment="1" applyProtection="1">
      <alignment horizontal="center" vertical="center"/>
      <protection locked="0"/>
    </xf>
    <xf numFmtId="4" fontId="3" fillId="5" borderId="0" xfId="0" applyNumberFormat="1" applyFont="1" applyFill="1"/>
    <xf numFmtId="165" fontId="12" fillId="0" borderId="0" xfId="2" applyFont="1"/>
    <xf numFmtId="4" fontId="5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34" fillId="0" borderId="0" xfId="0" applyFont="1"/>
    <xf numFmtId="0" fontId="36" fillId="0" borderId="0" xfId="0" applyFont="1"/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164" fontId="37" fillId="8" borderId="0" xfId="1" applyFont="1" applyFill="1" applyAlignment="1">
      <alignment horizontal="center"/>
    </xf>
    <xf numFmtId="0" fontId="6" fillId="0" borderId="0" xfId="0" applyFont="1" applyAlignment="1">
      <alignment vertical="center"/>
    </xf>
    <xf numFmtId="4" fontId="9" fillId="0" borderId="0" xfId="1" applyNumberFormat="1" applyFont="1"/>
    <xf numFmtId="164" fontId="2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64" fontId="2" fillId="0" borderId="0" xfId="1" applyFont="1"/>
    <xf numFmtId="0" fontId="2" fillId="0" borderId="0" xfId="0" applyFont="1"/>
    <xf numFmtId="0" fontId="2" fillId="0" borderId="0" xfId="0" applyFont="1" applyAlignment="1">
      <alignment horizontal="center"/>
    </xf>
    <xf numFmtId="0" fontId="26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164" fontId="26" fillId="0" borderId="0" xfId="1" applyFont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 wrapText="1"/>
    </xf>
    <xf numFmtId="0" fontId="28" fillId="0" borderId="0" xfId="0" applyFont="1" applyAlignment="1">
      <alignment horizontal="left" vertical="center"/>
    </xf>
    <xf numFmtId="0" fontId="41" fillId="16" borderId="1" xfId="0" applyFont="1" applyFill="1" applyBorder="1" applyAlignment="1">
      <alignment horizontal="center" vertical="center"/>
    </xf>
    <xf numFmtId="0" fontId="41" fillId="16" borderId="1" xfId="0" applyFon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1" fillId="16" borderId="6" xfId="0" applyFont="1" applyFill="1" applyBorder="1" applyAlignment="1">
      <alignment vertical="center"/>
    </xf>
    <xf numFmtId="0" fontId="0" fillId="0" borderId="6" xfId="0" applyBorder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left" vertical="center" wrapText="1"/>
    </xf>
    <xf numFmtId="3" fontId="3" fillId="5" borderId="1" xfId="1" applyNumberFormat="1" applyFont="1" applyFill="1" applyBorder="1" applyAlignment="1" applyProtection="1">
      <alignment horizontal="center" vertical="center"/>
    </xf>
    <xf numFmtId="164" fontId="2" fillId="2" borderId="9" xfId="0" applyNumberFormat="1" applyFont="1" applyFill="1" applyBorder="1"/>
    <xf numFmtId="0" fontId="5" fillId="3" borderId="8" xfId="0" applyFont="1" applyFill="1" applyBorder="1" applyAlignment="1">
      <alignment horizontal="center" vertical="center" wrapText="1"/>
    </xf>
    <xf numFmtId="4" fontId="9" fillId="5" borderId="14" xfId="0" applyNumberFormat="1" applyFont="1" applyFill="1" applyBorder="1" applyAlignment="1">
      <alignment horizontal="center"/>
    </xf>
    <xf numFmtId="0" fontId="5" fillId="3" borderId="43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9" fillId="2" borderId="45" xfId="0" applyFont="1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5" fillId="2" borderId="44" xfId="0" applyFont="1" applyFill="1" applyBorder="1" applyAlignment="1">
      <alignment horizontal="center"/>
    </xf>
    <xf numFmtId="0" fontId="9" fillId="2" borderId="46" xfId="0" applyFont="1" applyFill="1" applyBorder="1"/>
    <xf numFmtId="3" fontId="7" fillId="0" borderId="0" xfId="0" applyNumberFormat="1" applyFont="1" applyAlignment="1">
      <alignment horizontal="left"/>
    </xf>
    <xf numFmtId="3" fontId="18" fillId="0" borderId="0" xfId="1" applyNumberFormat="1" applyFont="1" applyAlignment="1">
      <alignment horizontal="center"/>
    </xf>
    <xf numFmtId="4" fontId="5" fillId="8" borderId="44" xfId="0" applyNumberFormat="1" applyFont="1" applyFill="1" applyBorder="1" applyAlignment="1" applyProtection="1">
      <alignment horizontal="center" vertical="center"/>
      <protection locked="0"/>
    </xf>
    <xf numFmtId="4" fontId="5" fillId="8" borderId="1" xfId="0" applyNumberFormat="1" applyFont="1" applyFill="1" applyBorder="1" applyAlignment="1" applyProtection="1">
      <alignment horizontal="center" vertical="center"/>
      <protection locked="0"/>
    </xf>
    <xf numFmtId="4" fontId="5" fillId="8" borderId="21" xfId="0" applyNumberFormat="1" applyFont="1" applyFill="1" applyBorder="1" applyAlignment="1" applyProtection="1">
      <alignment horizontal="center" vertical="center"/>
      <protection locked="0"/>
    </xf>
    <xf numFmtId="4" fontId="9" fillId="8" borderId="1" xfId="0" applyNumberFormat="1" applyFont="1" applyFill="1" applyBorder="1" applyAlignment="1">
      <alignment horizontal="center" vertical="center"/>
    </xf>
    <xf numFmtId="164" fontId="5" fillId="15" borderId="1" xfId="1" applyFont="1" applyFill="1" applyBorder="1" applyAlignment="1" applyProtection="1">
      <alignment horizontal="center" vertical="center"/>
      <protection locked="0"/>
    </xf>
    <xf numFmtId="4" fontId="9" fillId="5" borderId="1" xfId="0" applyNumberFormat="1" applyFont="1" applyFill="1" applyBorder="1" applyAlignment="1">
      <alignment horizontal="right"/>
    </xf>
    <xf numFmtId="179" fontId="9" fillId="15" borderId="6" xfId="0" applyNumberFormat="1" applyFont="1" applyFill="1" applyBorder="1" applyAlignment="1">
      <alignment horizontal="center"/>
    </xf>
    <xf numFmtId="179" fontId="5" fillId="17" borderId="6" xfId="0" applyNumberFormat="1" applyFont="1" applyFill="1" applyBorder="1" applyAlignment="1">
      <alignment horizontal="left"/>
    </xf>
    <xf numFmtId="0" fontId="9" fillId="17" borderId="2" xfId="0" applyFont="1" applyFill="1" applyBorder="1"/>
    <xf numFmtId="4" fontId="5" fillId="10" borderId="1" xfId="0" applyNumberFormat="1" applyFont="1" applyFill="1" applyBorder="1" applyAlignment="1">
      <alignment horizontal="center" vertical="center" wrapText="1"/>
    </xf>
    <xf numFmtId="4" fontId="9" fillId="10" borderId="1" xfId="0" applyNumberFormat="1" applyFont="1" applyFill="1" applyBorder="1"/>
    <xf numFmtId="3" fontId="3" fillId="18" borderId="1" xfId="1" applyNumberFormat="1" applyFont="1" applyFill="1" applyBorder="1" applyAlignment="1" applyProtection="1">
      <alignment horizontal="center" vertical="center"/>
    </xf>
    <xf numFmtId="164" fontId="9" fillId="5" borderId="1" xfId="1" applyFont="1" applyFill="1" applyBorder="1" applyAlignment="1" applyProtection="1">
      <alignment horizontal="center" vertical="center"/>
    </xf>
    <xf numFmtId="4" fontId="9" fillId="5" borderId="1" xfId="0" applyNumberFormat="1" applyFont="1" applyFill="1" applyBorder="1"/>
    <xf numFmtId="178" fontId="9" fillId="5" borderId="1" xfId="0" applyNumberFormat="1" applyFont="1" applyFill="1" applyBorder="1" applyAlignment="1">
      <alignment vertical="center"/>
    </xf>
    <xf numFmtId="2" fontId="9" fillId="15" borderId="1" xfId="0" applyNumberFormat="1" applyFont="1" applyFill="1" applyBorder="1" applyAlignment="1">
      <alignment horizontal="center"/>
    </xf>
    <xf numFmtId="4" fontId="9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9" fontId="9" fillId="2" borderId="0" xfId="0" applyNumberFormat="1" applyFont="1" applyFill="1" applyAlignment="1">
      <alignment horizontal="center"/>
    </xf>
    <xf numFmtId="4" fontId="9" fillId="5" borderId="4" xfId="0" applyNumberFormat="1" applyFont="1" applyFill="1" applyBorder="1" applyAlignment="1">
      <alignment horizontal="center"/>
    </xf>
    <xf numFmtId="180" fontId="18" fillId="10" borderId="0" xfId="0" applyNumberFormat="1" applyFont="1" applyFill="1"/>
    <xf numFmtId="4" fontId="41" fillId="16" borderId="1" xfId="0" applyNumberFormat="1" applyFont="1" applyFill="1" applyBorder="1" applyAlignment="1">
      <alignment horizontal="center" vertical="center" wrapText="1"/>
    </xf>
    <xf numFmtId="4" fontId="29" fillId="0" borderId="1" xfId="0" applyNumberFormat="1" applyFont="1" applyBorder="1" applyAlignment="1">
      <alignment horizontal="center" vertical="center"/>
    </xf>
    <xf numFmtId="4" fontId="29" fillId="0" borderId="1" xfId="0" applyNumberFormat="1" applyFont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/>
    </xf>
    <xf numFmtId="4" fontId="30" fillId="0" borderId="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14" fillId="2" borderId="43" xfId="0" applyFont="1" applyFill="1" applyBorder="1"/>
    <xf numFmtId="0" fontId="14" fillId="2" borderId="36" xfId="0" applyFont="1" applyFill="1" applyBorder="1"/>
    <xf numFmtId="0" fontId="14" fillId="2" borderId="44" xfId="0" applyFont="1" applyFill="1" applyBorder="1"/>
    <xf numFmtId="0" fontId="14" fillId="2" borderId="21" xfId="0" applyFont="1" applyFill="1" applyBorder="1"/>
    <xf numFmtId="0" fontId="14" fillId="2" borderId="45" xfId="0" applyFont="1" applyFill="1" applyBorder="1"/>
    <xf numFmtId="0" fontId="14" fillId="2" borderId="23" xfId="0" applyFont="1" applyFill="1" applyBorder="1"/>
    <xf numFmtId="0" fontId="14" fillId="2" borderId="8" xfId="0" applyFont="1" applyFill="1" applyBorder="1"/>
    <xf numFmtId="0" fontId="14" fillId="2" borderId="14" xfId="0" applyFont="1" applyFill="1" applyBorder="1"/>
    <xf numFmtId="0" fontId="14" fillId="2" borderId="27" xfId="0" applyFont="1" applyFill="1" applyBorder="1"/>
    <xf numFmtId="0" fontId="22" fillId="3" borderId="41" xfId="0" applyFont="1" applyFill="1" applyBorder="1" applyAlignment="1">
      <alignment vertical="center" wrapText="1"/>
    </xf>
    <xf numFmtId="0" fontId="22" fillId="3" borderId="50" xfId="0" applyFont="1" applyFill="1" applyBorder="1" applyAlignment="1">
      <alignment vertical="center" wrapText="1"/>
    </xf>
    <xf numFmtId="0" fontId="14" fillId="2" borderId="13" xfId="0" applyFont="1" applyFill="1" applyBorder="1"/>
    <xf numFmtId="0" fontId="14" fillId="2" borderId="6" xfId="0" applyFont="1" applyFill="1" applyBorder="1"/>
    <xf numFmtId="0" fontId="14" fillId="2" borderId="32" xfId="0" applyFont="1" applyFill="1" applyBorder="1"/>
    <xf numFmtId="174" fontId="24" fillId="12" borderId="1" xfId="1" applyNumberFormat="1" applyFont="1" applyFill="1" applyBorder="1"/>
    <xf numFmtId="0" fontId="38" fillId="19" borderId="0" xfId="0" applyFont="1" applyFill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5" fillId="8" borderId="14" xfId="0" applyFont="1" applyFill="1" applyBorder="1" applyAlignment="1" applyProtection="1">
      <alignment horizontal="center" vertical="center"/>
      <protection locked="0"/>
    </xf>
    <xf numFmtId="174" fontId="18" fillId="12" borderId="6" xfId="1" applyNumberFormat="1" applyFont="1" applyFill="1" applyBorder="1"/>
    <xf numFmtId="0" fontId="5" fillId="3" borderId="40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174" fontId="18" fillId="12" borderId="33" xfId="1" applyNumberFormat="1" applyFont="1" applyFill="1" applyBorder="1" applyAlignment="1">
      <alignment horizontal="center"/>
    </xf>
    <xf numFmtId="174" fontId="18" fillId="12" borderId="35" xfId="1" applyNumberFormat="1" applyFont="1" applyFill="1" applyBorder="1" applyAlignment="1">
      <alignment horizontal="center"/>
    </xf>
    <xf numFmtId="174" fontId="24" fillId="12" borderId="21" xfId="1" applyNumberFormat="1" applyFont="1" applyFill="1" applyBorder="1" applyAlignment="1">
      <alignment vertical="center"/>
    </xf>
    <xf numFmtId="174" fontId="24" fillId="12" borderId="23" xfId="1" applyNumberFormat="1" applyFont="1" applyFill="1" applyBorder="1" applyAlignment="1">
      <alignment vertical="center"/>
    </xf>
    <xf numFmtId="4" fontId="24" fillId="12" borderId="44" xfId="1" applyNumberFormat="1" applyFont="1" applyFill="1" applyBorder="1" applyAlignment="1">
      <alignment vertical="center"/>
    </xf>
    <xf numFmtId="4" fontId="24" fillId="12" borderId="45" xfId="1" applyNumberFormat="1" applyFont="1" applyFill="1" applyBorder="1" applyAlignment="1">
      <alignment vertical="center"/>
    </xf>
    <xf numFmtId="0" fontId="42" fillId="15" borderId="9" xfId="0" applyFont="1" applyFill="1" applyBorder="1"/>
    <xf numFmtId="0" fontId="43" fillId="15" borderId="9" xfId="0" applyFont="1" applyFill="1" applyBorder="1"/>
    <xf numFmtId="3" fontId="5" fillId="2" borderId="1" xfId="0" applyNumberFormat="1" applyFont="1" applyFill="1" applyBorder="1" applyAlignment="1">
      <alignment horizontal="right"/>
    </xf>
    <xf numFmtId="0" fontId="18" fillId="9" borderId="0" xfId="0" applyFont="1" applyFill="1" applyAlignment="1">
      <alignment horizontal="left"/>
    </xf>
    <xf numFmtId="164" fontId="0" fillId="15" borderId="1" xfId="0" applyNumberFormat="1" applyFill="1" applyBorder="1"/>
    <xf numFmtId="0" fontId="0" fillId="8" borderId="1" xfId="0" applyFill="1" applyBorder="1" applyAlignment="1">
      <alignment horizontal="center"/>
    </xf>
    <xf numFmtId="9" fontId="0" fillId="0" borderId="0" xfId="0" applyNumberFormat="1"/>
    <xf numFmtId="170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9" fontId="3" fillId="0" borderId="1" xfId="3" applyFont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9" fontId="0" fillId="5" borderId="1" xfId="3" applyFont="1" applyFill="1" applyBorder="1" applyAlignment="1">
      <alignment horizontal="center"/>
    </xf>
    <xf numFmtId="0" fontId="18" fillId="3" borderId="1" xfId="0" applyFont="1" applyFill="1" applyBorder="1" applyAlignment="1">
      <alignment horizontal="left"/>
    </xf>
    <xf numFmtId="4" fontId="0" fillId="15" borderId="1" xfId="0" applyNumberFormat="1" applyFill="1" applyBorder="1"/>
    <xf numFmtId="0" fontId="0" fillId="8" borderId="1" xfId="0" applyFill="1" applyBorder="1"/>
    <xf numFmtId="9" fontId="0" fillId="15" borderId="1" xfId="3" applyFont="1" applyFill="1" applyBorder="1"/>
    <xf numFmtId="14" fontId="5" fillId="8" borderId="0" xfId="0" applyNumberFormat="1" applyFont="1" applyFill="1" applyAlignment="1" applyProtection="1">
      <alignment horizontal="left"/>
      <protection locked="0"/>
    </xf>
    <xf numFmtId="0" fontId="5" fillId="8" borderId="0" xfId="0" applyFont="1" applyFill="1" applyAlignment="1" applyProtection="1">
      <alignment horizontal="left"/>
      <protection locked="0"/>
    </xf>
    <xf numFmtId="0" fontId="0" fillId="0" borderId="0" xfId="0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74" fontId="10" fillId="5" borderId="1" xfId="1" applyNumberFormat="1" applyFont="1" applyFill="1" applyBorder="1" applyAlignment="1" applyProtection="1">
      <alignment horizontal="center" vertical="center"/>
    </xf>
    <xf numFmtId="4" fontId="0" fillId="15" borderId="1" xfId="0" applyNumberForma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164" fontId="0" fillId="15" borderId="1" xfId="0" applyNumberFormat="1" applyFill="1" applyBorder="1" applyAlignment="1">
      <alignment horizontal="right" vertical="center"/>
    </xf>
    <xf numFmtId="16" fontId="9" fillId="2" borderId="1" xfId="0" applyNumberFormat="1" applyFont="1" applyFill="1" applyBorder="1" applyAlignment="1">
      <alignment horizontal="center"/>
    </xf>
    <xf numFmtId="164" fontId="3" fillId="0" borderId="1" xfId="1" applyFont="1" applyBorder="1"/>
    <xf numFmtId="172" fontId="24" fillId="0" borderId="9" xfId="0" applyNumberFormat="1" applyFont="1" applyBorder="1" applyAlignment="1">
      <alignment horizontal="right"/>
    </xf>
    <xf numFmtId="0" fontId="24" fillId="0" borderId="1" xfId="0" applyFont="1" applyBorder="1" applyAlignment="1">
      <alignment horizontal="right"/>
    </xf>
    <xf numFmtId="0" fontId="18" fillId="10" borderId="10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right" vertical="center"/>
    </xf>
    <xf numFmtId="0" fontId="24" fillId="0" borderId="5" xfId="0" applyFont="1" applyBorder="1" applyAlignment="1">
      <alignment horizontal="right" vertical="center"/>
    </xf>
    <xf numFmtId="164" fontId="3" fillId="0" borderId="0" xfId="1" applyFont="1" applyBorder="1"/>
    <xf numFmtId="172" fontId="18" fillId="0" borderId="8" xfId="0" applyNumberFormat="1" applyFont="1" applyBorder="1" applyAlignment="1">
      <alignment horizontal="left"/>
    </xf>
    <xf numFmtId="172" fontId="24" fillId="0" borderId="13" xfId="0" applyNumberFormat="1" applyFont="1" applyBorder="1" applyAlignment="1">
      <alignment horizontal="right" vertical="center"/>
    </xf>
    <xf numFmtId="0" fontId="24" fillId="0" borderId="9" xfId="0" applyFont="1" applyBorder="1"/>
    <xf numFmtId="164" fontId="8" fillId="0" borderId="0" xfId="1" applyFont="1" applyBorder="1"/>
    <xf numFmtId="16" fontId="1" fillId="2" borderId="9" xfId="0" applyNumberFormat="1" applyFont="1" applyFill="1" applyBorder="1" applyAlignment="1">
      <alignment horizontal="left"/>
    </xf>
    <xf numFmtId="164" fontId="33" fillId="0" borderId="0" xfId="1" applyFont="1" applyAlignment="1">
      <alignment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164" fontId="49" fillId="0" borderId="0" xfId="1" applyFont="1" applyAlignment="1">
      <alignment horizontal="left" vertical="center"/>
    </xf>
    <xf numFmtId="0" fontId="49" fillId="0" borderId="0" xfId="0" applyFont="1" applyAlignment="1">
      <alignment horizontal="left" vertical="center"/>
    </xf>
    <xf numFmtId="164" fontId="49" fillId="0" borderId="0" xfId="1" applyFont="1"/>
    <xf numFmtId="0" fontId="49" fillId="0" borderId="0" xfId="0" applyFont="1"/>
    <xf numFmtId="0" fontId="48" fillId="0" borderId="0" xfId="0" applyFont="1" applyAlignment="1">
      <alignment vertical="center"/>
    </xf>
    <xf numFmtId="164" fontId="50" fillId="3" borderId="34" xfId="1" applyFont="1" applyFill="1" applyBorder="1" applyAlignment="1">
      <alignment horizontal="center" vertical="center"/>
    </xf>
    <xf numFmtId="164" fontId="50" fillId="3" borderId="35" xfId="1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164" fontId="50" fillId="3" borderId="34" xfId="1" applyFont="1" applyFill="1" applyBorder="1" applyAlignment="1">
      <alignment vertical="center"/>
    </xf>
    <xf numFmtId="0" fontId="52" fillId="0" borderId="0" xfId="0" applyFont="1" applyAlignment="1">
      <alignment horizontal="center" vertical="center"/>
    </xf>
    <xf numFmtId="180" fontId="0" fillId="0" borderId="0" xfId="1" applyNumberFormat="1" applyFont="1"/>
    <xf numFmtId="164" fontId="50" fillId="3" borderId="57" xfId="1" applyFont="1" applyFill="1" applyBorder="1" applyAlignment="1">
      <alignment vertical="center"/>
    </xf>
    <xf numFmtId="164" fontId="50" fillId="3" borderId="37" xfId="1" applyFont="1" applyFill="1" applyBorder="1" applyAlignment="1">
      <alignment vertical="center"/>
    </xf>
    <xf numFmtId="9" fontId="5" fillId="8" borderId="1" xfId="3" applyFont="1" applyFill="1" applyBorder="1" applyAlignment="1" applyProtection="1">
      <alignment horizontal="center" vertical="center"/>
      <protection locked="0"/>
    </xf>
    <xf numFmtId="164" fontId="53" fillId="0" borderId="19" xfId="1" applyFont="1" applyBorder="1" applyAlignment="1">
      <alignment horizontal="left" vertical="center"/>
    </xf>
    <xf numFmtId="164" fontId="53" fillId="0" borderId="20" xfId="1" applyFont="1" applyBorder="1" applyAlignment="1">
      <alignment horizontal="left" vertical="center"/>
    </xf>
    <xf numFmtId="164" fontId="54" fillId="0" borderId="0" xfId="1" applyFont="1" applyAlignment="1">
      <alignment horizontal="left" vertical="center"/>
    </xf>
    <xf numFmtId="180" fontId="53" fillId="0" borderId="19" xfId="1" applyNumberFormat="1" applyFont="1" applyBorder="1" applyAlignment="1">
      <alignment vertical="center"/>
    </xf>
    <xf numFmtId="164" fontId="55" fillId="0" borderId="0" xfId="1" applyFont="1" applyAlignment="1">
      <alignment horizontal="left" vertical="center"/>
    </xf>
    <xf numFmtId="164" fontId="53" fillId="0" borderId="1" xfId="1" applyFont="1" applyBorder="1" applyAlignment="1">
      <alignment horizontal="left" vertical="center"/>
    </xf>
    <xf numFmtId="164" fontId="53" fillId="0" borderId="21" xfId="1" applyFont="1" applyBorder="1" applyAlignment="1">
      <alignment horizontal="left" vertical="center"/>
    </xf>
    <xf numFmtId="0" fontId="54" fillId="0" borderId="0" xfId="0" applyFont="1" applyAlignment="1">
      <alignment horizontal="left" vertical="center"/>
    </xf>
    <xf numFmtId="180" fontId="53" fillId="0" borderId="1" xfId="1" applyNumberFormat="1" applyFont="1" applyBorder="1" applyAlignment="1">
      <alignment vertical="center"/>
    </xf>
    <xf numFmtId="0" fontId="55" fillId="0" borderId="0" xfId="0" applyFont="1" applyAlignment="1">
      <alignment horizontal="left" vertical="center"/>
    </xf>
    <xf numFmtId="164" fontId="53" fillId="0" borderId="22" xfId="1" applyFont="1" applyBorder="1" applyAlignment="1">
      <alignment horizontal="left" vertical="center"/>
    </xf>
    <xf numFmtId="164" fontId="53" fillId="0" borderId="23" xfId="1" applyFont="1" applyBorder="1" applyAlignment="1">
      <alignment horizontal="left" vertical="center"/>
    </xf>
    <xf numFmtId="180" fontId="53" fillId="0" borderId="22" xfId="1" applyNumberFormat="1" applyFont="1" applyBorder="1" applyAlignment="1">
      <alignment vertical="center"/>
    </xf>
    <xf numFmtId="164" fontId="54" fillId="0" borderId="0" xfId="1" applyFont="1"/>
    <xf numFmtId="180" fontId="53" fillId="0" borderId="31" xfId="1" applyNumberFormat="1" applyFont="1" applyBorder="1" applyAlignment="1">
      <alignment vertical="center"/>
    </xf>
    <xf numFmtId="164" fontId="55" fillId="0" borderId="0" xfId="1" applyFont="1"/>
    <xf numFmtId="180" fontId="53" fillId="0" borderId="6" xfId="1" applyNumberFormat="1" applyFont="1" applyBorder="1" applyAlignment="1">
      <alignment vertical="center"/>
    </xf>
    <xf numFmtId="180" fontId="53" fillId="0" borderId="32" xfId="1" applyNumberFormat="1" applyFont="1" applyBorder="1" applyAlignment="1">
      <alignment vertical="center"/>
    </xf>
    <xf numFmtId="0" fontId="54" fillId="0" borderId="0" xfId="0" applyFont="1"/>
    <xf numFmtId="180" fontId="53" fillId="2" borderId="3" xfId="1" applyNumberFormat="1" applyFont="1" applyFill="1" applyBorder="1" applyAlignment="1">
      <alignment vertical="center"/>
    </xf>
    <xf numFmtId="164" fontId="53" fillId="2" borderId="36" xfId="1" applyFont="1" applyFill="1" applyBorder="1" applyAlignment="1">
      <alignment horizontal="left" vertical="center"/>
    </xf>
    <xf numFmtId="0" fontId="55" fillId="0" borderId="0" xfId="0" applyFont="1"/>
    <xf numFmtId="180" fontId="53" fillId="2" borderId="1" xfId="1" applyNumberFormat="1" applyFont="1" applyFill="1" applyBorder="1" applyAlignment="1">
      <alignment vertical="center"/>
    </xf>
    <xf numFmtId="180" fontId="53" fillId="2" borderId="22" xfId="1" applyNumberFormat="1" applyFont="1" applyFill="1" applyBorder="1" applyAlignment="1">
      <alignment vertical="center"/>
    </xf>
    <xf numFmtId="164" fontId="53" fillId="2" borderId="23" xfId="1" applyFont="1" applyFill="1" applyBorder="1" applyAlignment="1">
      <alignment horizontal="left" vertical="center"/>
    </xf>
    <xf numFmtId="0" fontId="54" fillId="0" borderId="0" xfId="0" applyFont="1" applyAlignment="1">
      <alignment horizont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3" fillId="3" borderId="1" xfId="0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4" fontId="54" fillId="0" borderId="1" xfId="0" applyNumberFormat="1" applyFont="1" applyBorder="1" applyAlignment="1">
      <alignment vertical="top" wrapText="1"/>
    </xf>
    <xf numFmtId="4" fontId="54" fillId="0" borderId="1" xfId="0" applyNumberFormat="1" applyFont="1" applyBorder="1"/>
    <xf numFmtId="0" fontId="55" fillId="0" borderId="1" xfId="0" applyFont="1" applyBorder="1"/>
    <xf numFmtId="0" fontId="57" fillId="0" borderId="0" xfId="0" applyFont="1" applyAlignment="1">
      <alignment vertical="center"/>
    </xf>
    <xf numFmtId="4" fontId="54" fillId="4" borderId="1" xfId="0" applyNumberFormat="1" applyFont="1" applyFill="1" applyBorder="1" applyAlignment="1">
      <alignment vertical="top" wrapText="1"/>
    </xf>
    <xf numFmtId="4" fontId="54" fillId="4" borderId="1" xfId="0" applyNumberFormat="1" applyFont="1" applyFill="1" applyBorder="1"/>
    <xf numFmtId="0" fontId="55" fillId="4" borderId="1" xfId="0" applyFont="1" applyFill="1" applyBorder="1"/>
    <xf numFmtId="164" fontId="58" fillId="0" borderId="0" xfId="1" applyFont="1"/>
    <xf numFmtId="0" fontId="58" fillId="0" borderId="0" xfId="0" applyFont="1"/>
    <xf numFmtId="164" fontId="12" fillId="0" borderId="0" xfId="1" applyFont="1" applyAlignment="1">
      <alignment horizontal="left"/>
    </xf>
    <xf numFmtId="0" fontId="5" fillId="2" borderId="0" xfId="0" applyFont="1" applyFill="1" applyAlignment="1">
      <alignment horizontal="left"/>
    </xf>
    <xf numFmtId="174" fontId="53" fillId="4" borderId="1" xfId="1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/>
    </xf>
    <xf numFmtId="0" fontId="54" fillId="4" borderId="1" xfId="0" applyFont="1" applyFill="1" applyBorder="1" applyAlignment="1">
      <alignment horizontal="center"/>
    </xf>
    <xf numFmtId="4" fontId="54" fillId="4" borderId="1" xfId="0" applyNumberFormat="1" applyFont="1" applyFill="1" applyBorder="1" applyAlignment="1">
      <alignment horizontal="center" vertical="top" wrapText="1"/>
    </xf>
    <xf numFmtId="0" fontId="33" fillId="0" borderId="0" xfId="0" applyFont="1" applyAlignment="1">
      <alignment horizontal="right" vertical="center"/>
    </xf>
    <xf numFmtId="164" fontId="50" fillId="3" borderId="33" xfId="1" applyFont="1" applyFill="1" applyBorder="1" applyAlignment="1">
      <alignment horizontal="center" vertical="center"/>
    </xf>
    <xf numFmtId="164" fontId="50" fillId="3" borderId="34" xfId="1" applyFont="1" applyFill="1" applyBorder="1" applyAlignment="1">
      <alignment horizontal="center" vertical="center"/>
    </xf>
    <xf numFmtId="164" fontId="54" fillId="0" borderId="26" xfId="1" applyFont="1" applyBorder="1" applyAlignment="1">
      <alignment horizontal="left" vertical="center"/>
    </xf>
    <xf numFmtId="164" fontId="54" fillId="0" borderId="19" xfId="1" applyFont="1" applyBorder="1" applyAlignment="1">
      <alignment horizontal="left" vertical="center"/>
    </xf>
    <xf numFmtId="164" fontId="54" fillId="0" borderId="14" xfId="1" applyFont="1" applyBorder="1" applyAlignment="1">
      <alignment horizontal="left" vertical="center"/>
    </xf>
    <xf numFmtId="164" fontId="54" fillId="0" borderId="1" xfId="1" applyFont="1" applyBorder="1" applyAlignment="1">
      <alignment horizontal="left" vertical="center"/>
    </xf>
    <xf numFmtId="164" fontId="54" fillId="0" borderId="27" xfId="1" applyFont="1" applyBorder="1" applyAlignment="1">
      <alignment horizontal="left" vertical="center"/>
    </xf>
    <xf numFmtId="164" fontId="54" fillId="0" borderId="22" xfId="1" applyFont="1" applyBorder="1" applyAlignment="1">
      <alignment horizontal="left" vertical="center"/>
    </xf>
    <xf numFmtId="0" fontId="35" fillId="0" borderId="0" xfId="0" applyFont="1" applyAlignment="1">
      <alignment horizontal="right" vertical="center"/>
    </xf>
    <xf numFmtId="14" fontId="34" fillId="0" borderId="0" xfId="0" applyNumberFormat="1" applyFont="1" applyAlignment="1">
      <alignment horizontal="left" vertical="center" wrapText="1"/>
    </xf>
    <xf numFmtId="164" fontId="50" fillId="3" borderId="15" xfId="1" applyFont="1" applyFill="1" applyBorder="1" applyAlignment="1">
      <alignment horizontal="center" vertical="center"/>
    </xf>
    <xf numFmtId="164" fontId="50" fillId="3" borderId="16" xfId="1" applyFont="1" applyFill="1" applyBorder="1" applyAlignment="1">
      <alignment horizontal="center" vertical="center"/>
    </xf>
    <xf numFmtId="164" fontId="50" fillId="3" borderId="37" xfId="1" applyFont="1" applyFill="1" applyBorder="1" applyAlignment="1">
      <alignment horizontal="center" vertical="center"/>
    </xf>
    <xf numFmtId="14" fontId="33" fillId="19" borderId="0" xfId="0" applyNumberFormat="1" applyFont="1" applyFill="1" applyAlignment="1">
      <alignment horizontal="center" vertical="center"/>
    </xf>
    <xf numFmtId="1" fontId="53" fillId="0" borderId="58" xfId="1" applyNumberFormat="1" applyFont="1" applyBorder="1" applyAlignment="1">
      <alignment horizontal="center" vertical="center"/>
    </xf>
    <xf numFmtId="1" fontId="53" fillId="0" borderId="59" xfId="1" applyNumberFormat="1" applyFont="1" applyBorder="1" applyAlignment="1">
      <alignment horizontal="center" vertical="center"/>
    </xf>
    <xf numFmtId="1" fontId="53" fillId="0" borderId="5" xfId="1" applyNumberFormat="1" applyFont="1" applyBorder="1" applyAlignment="1">
      <alignment horizontal="center" vertical="center"/>
    </xf>
    <xf numFmtId="1" fontId="53" fillId="0" borderId="7" xfId="1" applyNumberFormat="1" applyFont="1" applyBorder="1" applyAlignment="1">
      <alignment horizontal="center" vertical="center"/>
    </xf>
    <xf numFmtId="1" fontId="53" fillId="0" borderId="60" xfId="1" applyNumberFormat="1" applyFont="1" applyBorder="1" applyAlignment="1">
      <alignment horizontal="center" vertical="center"/>
    </xf>
    <xf numFmtId="1" fontId="53" fillId="0" borderId="61" xfId="1" applyNumberFormat="1" applyFont="1" applyBorder="1" applyAlignment="1">
      <alignment horizontal="center" vertical="center"/>
    </xf>
    <xf numFmtId="164" fontId="54" fillId="0" borderId="38" xfId="1" applyFont="1" applyBorder="1" applyAlignment="1">
      <alignment horizontal="left" vertical="center"/>
    </xf>
    <xf numFmtId="0" fontId="53" fillId="0" borderId="28" xfId="1" applyNumberFormat="1" applyFont="1" applyBorder="1" applyAlignment="1">
      <alignment horizontal="center" textRotation="90"/>
    </xf>
    <xf numFmtId="0" fontId="53" fillId="0" borderId="29" xfId="1" applyNumberFormat="1" applyFont="1" applyBorder="1" applyAlignment="1">
      <alignment horizontal="center" textRotation="90"/>
    </xf>
    <xf numFmtId="0" fontId="53" fillId="0" borderId="30" xfId="1" applyNumberFormat="1" applyFont="1" applyBorder="1" applyAlignment="1">
      <alignment horizontal="center" textRotation="90"/>
    </xf>
    <xf numFmtId="1" fontId="53" fillId="0" borderId="24" xfId="1" applyNumberFormat="1" applyFont="1" applyBorder="1" applyAlignment="1">
      <alignment horizontal="center" vertical="center"/>
    </xf>
    <xf numFmtId="1" fontId="53" fillId="0" borderId="18" xfId="1" applyNumberFormat="1" applyFont="1" applyBorder="1" applyAlignment="1">
      <alignment horizontal="center" vertical="center"/>
    </xf>
    <xf numFmtId="1" fontId="53" fillId="0" borderId="25" xfId="1" applyNumberFormat="1" applyFont="1" applyBorder="1" applyAlignment="1">
      <alignment horizontal="center" vertical="center"/>
    </xf>
    <xf numFmtId="0" fontId="53" fillId="0" borderId="28" xfId="1" applyNumberFormat="1" applyFont="1" applyBorder="1" applyAlignment="1">
      <alignment horizontal="center" vertical="center" textRotation="90"/>
    </xf>
    <xf numFmtId="0" fontId="53" fillId="0" borderId="29" xfId="1" applyNumberFormat="1" applyFont="1" applyBorder="1" applyAlignment="1">
      <alignment horizontal="center" vertical="center" textRotation="90"/>
    </xf>
    <xf numFmtId="0" fontId="53" fillId="0" borderId="30" xfId="1" applyNumberFormat="1" applyFont="1" applyBorder="1" applyAlignment="1">
      <alignment horizontal="center" vertical="center" textRotation="90"/>
    </xf>
    <xf numFmtId="164" fontId="54" fillId="0" borderId="39" xfId="1" applyFont="1" applyBorder="1" applyAlignment="1">
      <alignment horizontal="left" vertical="center"/>
    </xf>
    <xf numFmtId="164" fontId="54" fillId="0" borderId="40" xfId="1" applyFont="1" applyBorder="1" applyAlignment="1">
      <alignment horizontal="left" vertical="center"/>
    </xf>
    <xf numFmtId="164" fontId="54" fillId="0" borderId="2" xfId="1" applyFont="1" applyBorder="1" applyAlignment="1">
      <alignment horizontal="left" vertical="center"/>
    </xf>
    <xf numFmtId="164" fontId="54" fillId="0" borderId="41" xfId="1" applyFont="1" applyBorder="1" applyAlignment="1">
      <alignment horizontal="left" vertical="center"/>
    </xf>
    <xf numFmtId="164" fontId="54" fillId="0" borderId="42" xfId="1" applyFont="1" applyBorder="1" applyAlignment="1">
      <alignment horizontal="left" vertical="center"/>
    </xf>
    <xf numFmtId="164" fontId="54" fillId="2" borderId="40" xfId="1" applyFont="1" applyFill="1" applyBorder="1" applyAlignment="1">
      <alignment horizontal="left" vertical="center"/>
    </xf>
    <xf numFmtId="164" fontId="54" fillId="2" borderId="2" xfId="1" applyFont="1" applyFill="1" applyBorder="1" applyAlignment="1">
      <alignment horizontal="left" vertical="center"/>
    </xf>
    <xf numFmtId="164" fontId="54" fillId="2" borderId="14" xfId="1" applyFont="1" applyFill="1" applyBorder="1" applyAlignment="1">
      <alignment horizontal="left" vertical="center"/>
    </xf>
    <xf numFmtId="164" fontId="54" fillId="2" borderId="41" xfId="1" applyFont="1" applyFill="1" applyBorder="1" applyAlignment="1">
      <alignment horizontal="left" vertical="center"/>
    </xf>
    <xf numFmtId="164" fontId="54" fillId="2" borderId="42" xfId="1" applyFont="1" applyFill="1" applyBorder="1" applyAlignment="1">
      <alignment horizontal="left" vertical="center"/>
    </xf>
    <xf numFmtId="164" fontId="54" fillId="2" borderId="26" xfId="1" applyFont="1" applyFill="1" applyBorder="1" applyAlignment="1">
      <alignment horizontal="left" vertical="center"/>
    </xf>
    <xf numFmtId="0" fontId="53" fillId="2" borderId="29" xfId="1" applyNumberFormat="1" applyFont="1" applyFill="1" applyBorder="1" applyAlignment="1">
      <alignment horizontal="center" vertical="center" textRotation="90"/>
    </xf>
    <xf numFmtId="0" fontId="53" fillId="2" borderId="30" xfId="1" applyNumberFormat="1" applyFont="1" applyFill="1" applyBorder="1" applyAlignment="1">
      <alignment horizontal="center" vertical="center" textRotation="90"/>
    </xf>
    <xf numFmtId="164" fontId="54" fillId="0" borderId="31" xfId="1" applyFont="1" applyBorder="1" applyAlignment="1">
      <alignment horizontal="left" vertical="center"/>
    </xf>
    <xf numFmtId="164" fontId="54" fillId="2" borderId="22" xfId="1" applyFont="1" applyFill="1" applyBorder="1" applyAlignment="1">
      <alignment horizontal="left" vertical="center"/>
    </xf>
    <xf numFmtId="164" fontId="54" fillId="2" borderId="1" xfId="1" applyFont="1" applyFill="1" applyBorder="1" applyAlignment="1">
      <alignment horizontal="left" vertical="center"/>
    </xf>
    <xf numFmtId="164" fontId="54" fillId="2" borderId="3" xfId="1" applyFont="1" applyFill="1" applyBorder="1" applyAlignment="1">
      <alignment horizontal="left" vertical="center"/>
    </xf>
    <xf numFmtId="164" fontId="54" fillId="0" borderId="32" xfId="1" applyFont="1" applyBorder="1" applyAlignment="1">
      <alignment horizontal="left" vertical="center"/>
    </xf>
    <xf numFmtId="164" fontId="54" fillId="0" borderId="6" xfId="1" applyFont="1" applyBorder="1" applyAlignment="1">
      <alignment horizontal="left" vertical="center"/>
    </xf>
    <xf numFmtId="164" fontId="54" fillId="2" borderId="38" xfId="1" applyFont="1" applyFill="1" applyBorder="1" applyAlignment="1">
      <alignment horizontal="left" vertical="center"/>
    </xf>
    <xf numFmtId="164" fontId="54" fillId="2" borderId="39" xfId="1" applyFont="1" applyFill="1" applyBorder="1" applyAlignment="1">
      <alignment horizontal="left" vertical="center"/>
    </xf>
    <xf numFmtId="164" fontId="54" fillId="2" borderId="27" xfId="1" applyFont="1" applyFill="1" applyBorder="1" applyAlignment="1">
      <alignment horizontal="left" vertical="center"/>
    </xf>
    <xf numFmtId="174" fontId="53" fillId="0" borderId="1" xfId="1" applyNumberFormat="1" applyFont="1" applyFill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/>
    </xf>
    <xf numFmtId="0" fontId="54" fillId="0" borderId="1" xfId="0" applyFont="1" applyBorder="1" applyAlignment="1">
      <alignment horizontal="center"/>
    </xf>
    <xf numFmtId="4" fontId="54" fillId="0" borderId="1" xfId="0" applyNumberFormat="1" applyFont="1" applyBorder="1" applyAlignment="1">
      <alignment horizontal="center" vertical="top" wrapText="1"/>
    </xf>
    <xf numFmtId="0" fontId="53" fillId="3" borderId="1" xfId="0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/>
    </xf>
    <xf numFmtId="174" fontId="22" fillId="2" borderId="4" xfId="1" applyNumberFormat="1" applyFont="1" applyFill="1" applyBorder="1" applyAlignment="1">
      <alignment horizontal="center" vertical="center"/>
    </xf>
    <xf numFmtId="174" fontId="22" fillId="2" borderId="3" xfId="1" applyNumberFormat="1" applyFont="1" applyFill="1" applyBorder="1" applyAlignment="1">
      <alignment horizontal="center" vertical="center"/>
    </xf>
    <xf numFmtId="174" fontId="22" fillId="3" borderId="56" xfId="1" applyNumberFormat="1" applyFont="1" applyFill="1" applyBorder="1" applyAlignment="1">
      <alignment horizontal="center" vertical="center"/>
    </xf>
    <xf numFmtId="174" fontId="22" fillId="3" borderId="36" xfId="1" applyNumberFormat="1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5" fillId="3" borderId="52" xfId="0" applyFont="1" applyFill="1" applyBorder="1" applyAlignment="1">
      <alignment horizontal="center" vertical="center" wrapText="1"/>
    </xf>
    <xf numFmtId="0" fontId="5" fillId="3" borderId="53" xfId="0" applyFont="1" applyFill="1" applyBorder="1" applyAlignment="1">
      <alignment horizontal="center" vertical="center" wrapText="1"/>
    </xf>
    <xf numFmtId="0" fontId="5" fillId="3" borderId="54" xfId="0" applyFont="1" applyFill="1" applyBorder="1" applyAlignment="1">
      <alignment horizontal="center" vertical="center" wrapText="1"/>
    </xf>
    <xf numFmtId="0" fontId="5" fillId="3" borderId="55" xfId="0" applyFont="1" applyFill="1" applyBorder="1" applyAlignment="1">
      <alignment horizontal="center" vertical="center" wrapText="1"/>
    </xf>
    <xf numFmtId="16" fontId="22" fillId="3" borderId="47" xfId="0" applyNumberFormat="1" applyFont="1" applyFill="1" applyBorder="1" applyAlignment="1">
      <alignment horizontal="left" vertical="center" wrapText="1"/>
    </xf>
    <xf numFmtId="16" fontId="22" fillId="3" borderId="48" xfId="0" applyNumberFormat="1" applyFont="1" applyFill="1" applyBorder="1" applyAlignment="1">
      <alignment horizontal="left" vertical="center" wrapText="1"/>
    </xf>
    <xf numFmtId="14" fontId="24" fillId="2" borderId="9" xfId="0" applyNumberFormat="1" applyFont="1" applyFill="1" applyBorder="1" applyAlignment="1">
      <alignment horizontal="center"/>
    </xf>
    <xf numFmtId="0" fontId="18" fillId="3" borderId="49" xfId="0" applyFont="1" applyFill="1" applyBorder="1" applyAlignment="1">
      <alignment horizontal="center" vertical="center"/>
    </xf>
    <xf numFmtId="0" fontId="18" fillId="3" borderId="24" xfId="0" applyFont="1" applyFill="1" applyBorder="1" applyAlignment="1">
      <alignment horizontal="center" vertical="center"/>
    </xf>
    <xf numFmtId="0" fontId="18" fillId="3" borderId="51" xfId="0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8" fillId="3" borderId="1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center" vertical="center" wrapText="1"/>
    </xf>
    <xf numFmtId="0" fontId="18" fillId="3" borderId="2" xfId="0" applyFont="1" applyFill="1" applyBorder="1" applyAlignment="1">
      <alignment horizontal="center" vertical="center" wrapText="1"/>
    </xf>
    <xf numFmtId="0" fontId="18" fillId="3" borderId="14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/>
    </xf>
    <xf numFmtId="0" fontId="3" fillId="2" borderId="10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14" fontId="1" fillId="2" borderId="9" xfId="0" applyNumberFormat="1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2" xfId="0" quotePrefix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4" fontId="2" fillId="2" borderId="2" xfId="0" applyNumberFormat="1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6" fontId="3" fillId="2" borderId="13" xfId="0" applyNumberFormat="1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5" formatCode="_ * #,##0.0000_ ;_ * \-#,##0.00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5" formatCode="_ * #,##0.0000_ ;_ * \-#,##0.0000_ ;_ * &quot;-&quot;??_ ;_ @_ 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none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ill>
        <patternFill patternType="solid">
          <fgColor auto="1"/>
          <bgColor rgb="FFFF7171"/>
        </patternFill>
      </fill>
    </dxf>
    <dxf>
      <fill>
        <patternFill>
          <bgColor rgb="FFFFFF53"/>
        </patternFill>
      </fill>
    </dxf>
    <dxf>
      <fill>
        <patternFill>
          <bgColor rgb="FF00C057"/>
        </patternFill>
      </fill>
    </dxf>
    <dxf>
      <fill>
        <patternFill patternType="solid">
          <fgColor auto="1"/>
          <bgColor rgb="FFFF7171"/>
        </patternFill>
      </fill>
    </dxf>
    <dxf>
      <fill>
        <patternFill>
          <bgColor rgb="FFFFFF53"/>
        </patternFill>
      </fill>
    </dxf>
    <dxf>
      <fill>
        <patternFill>
          <bgColor rgb="FF00C057"/>
        </patternFill>
      </fill>
    </dxf>
    <dxf>
      <fill>
        <patternFill patternType="solid">
          <fgColor auto="1"/>
          <bgColor rgb="FFFF7171"/>
        </patternFill>
      </fill>
    </dxf>
    <dxf>
      <fill>
        <patternFill>
          <bgColor rgb="FFFFFF53"/>
        </patternFill>
      </fill>
    </dxf>
    <dxf>
      <fill>
        <patternFill>
          <bgColor rgb="FF00C057"/>
        </patternFill>
      </fill>
    </dxf>
    <dxf>
      <fill>
        <patternFill patternType="solid">
          <fgColor auto="1"/>
          <bgColor rgb="FFFF7171"/>
        </patternFill>
      </fill>
    </dxf>
    <dxf>
      <fill>
        <patternFill>
          <bgColor rgb="FFFFFF53"/>
        </patternFill>
      </fill>
    </dxf>
    <dxf>
      <fill>
        <patternFill>
          <bgColor rgb="FF00C057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0"/>
      <tableStyleElement type="headerRow" dxfId="29"/>
    </tableStyle>
  </tableStyles>
  <colors>
    <mruColors>
      <color rgb="FFFFFFCC"/>
      <color rgb="FFFFD1D1"/>
      <color rgb="FFFFB9B9"/>
      <color rgb="FFFFC9C9"/>
      <color rgb="FF00C057"/>
      <color rgb="FFFFFF53"/>
      <color rgb="FFFFFFC1"/>
      <color rgb="FFFF7171"/>
      <color rgb="FFFA9090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lockText="1" noThreeD="1"/>
</file>

<file path=xl/ctrlProps/ctrlProp633.xml><?xml version="1.0" encoding="utf-8"?>
<formControlPr xmlns="http://schemas.microsoft.com/office/spreadsheetml/2009/9/main" objectType="CheckBox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lockText="1" noThreeD="1"/>
</file>

<file path=xl/ctrlProps/ctrlProp818.xml><?xml version="1.0" encoding="utf-8"?>
<formControlPr xmlns="http://schemas.microsoft.com/office/spreadsheetml/2009/9/main" objectType="CheckBox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USER\AppData\Local\Temp\qr.png" TargetMode="External"/><Relationship Id="rId1" Type="http://schemas.openxmlformats.org/officeDocument/2006/relationships/image" Target="file:///C:\Users\julio\AppData\Local\Temp\qr.png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428715</xdr:colOff>
      <xdr:row>51</xdr:row>
      <xdr:rowOff>185827</xdr:rowOff>
    </xdr:from>
    <xdr:to>
      <xdr:col>29</xdr:col>
      <xdr:colOff>333286</xdr:colOff>
      <xdr:row>59</xdr:row>
      <xdr:rowOff>14198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717215" y="10310902"/>
          <a:ext cx="1428571" cy="1428571"/>
        </a:xfrm>
        <a:prstGeom prst="rect">
          <a:avLst/>
        </a:prstGeom>
      </xdr:spPr>
    </xdr:pic>
    <xdr:clientData/>
  </xdr:twoCellAnchor>
  <xdr:twoCellAnchor>
    <xdr:from>
      <xdr:col>2</xdr:col>
      <xdr:colOff>214402</xdr:colOff>
      <xdr:row>51</xdr:row>
      <xdr:rowOff>185827</xdr:rowOff>
    </xdr:from>
    <xdr:to>
      <xdr:col>2</xdr:col>
      <xdr:colOff>1642973</xdr:colOff>
      <xdr:row>59</xdr:row>
      <xdr:rowOff>14198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527" y="10310902"/>
          <a:ext cx="1428571" cy="1428571"/>
        </a:xfrm>
        <a:prstGeom prst="rect">
          <a:avLst/>
        </a:prstGeom>
      </xdr:spPr>
    </xdr:pic>
    <xdr:clientData/>
  </xdr:twoCellAnchor>
  <xdr:twoCellAnchor>
    <xdr:from>
      <xdr:col>2</xdr:col>
      <xdr:colOff>214402</xdr:colOff>
      <xdr:row>51</xdr:row>
      <xdr:rowOff>185827</xdr:rowOff>
    </xdr:from>
    <xdr:to>
      <xdr:col>2</xdr:col>
      <xdr:colOff>1642973</xdr:colOff>
      <xdr:row>59</xdr:row>
      <xdr:rowOff>14198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527" y="10310902"/>
          <a:ext cx="1428571" cy="1428571"/>
        </a:xfrm>
        <a:prstGeom prst="rect">
          <a:avLst/>
        </a:prstGeom>
      </xdr:spPr>
    </xdr:pic>
    <xdr:clientData/>
  </xdr:twoCellAnchor>
  <xdr:twoCellAnchor>
    <xdr:from>
      <xdr:col>2</xdr:col>
      <xdr:colOff>214126</xdr:colOff>
      <xdr:row>51</xdr:row>
      <xdr:rowOff>185496</xdr:rowOff>
    </xdr:from>
    <xdr:to>
      <xdr:col>2</xdr:col>
      <xdr:colOff>1643248</xdr:colOff>
      <xdr:row>59</xdr:row>
      <xdr:rowOff>14528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251" y="10310571"/>
          <a:ext cx="1429122" cy="1429232"/>
        </a:xfrm>
        <a:prstGeom prst="rect">
          <a:avLst/>
        </a:prstGeom>
      </xdr:spPr>
    </xdr:pic>
    <xdr:clientData/>
  </xdr:twoCellAnchor>
  <xdr:twoCellAnchor>
    <xdr:from>
      <xdr:col>2</xdr:col>
      <xdr:colOff>214126</xdr:colOff>
      <xdr:row>51</xdr:row>
      <xdr:rowOff>185496</xdr:rowOff>
    </xdr:from>
    <xdr:to>
      <xdr:col>2</xdr:col>
      <xdr:colOff>1643248</xdr:colOff>
      <xdr:row>59</xdr:row>
      <xdr:rowOff>14528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251" y="10310571"/>
          <a:ext cx="1429122" cy="1429232"/>
        </a:xfrm>
        <a:prstGeom prst="rect">
          <a:avLst/>
        </a:prstGeom>
      </xdr:spPr>
    </xdr:pic>
    <xdr:clientData/>
  </xdr:twoCellAnchor>
  <xdr:twoCellAnchor>
    <xdr:from>
      <xdr:col>2</xdr:col>
      <xdr:colOff>214126</xdr:colOff>
      <xdr:row>51</xdr:row>
      <xdr:rowOff>185496</xdr:rowOff>
    </xdr:from>
    <xdr:to>
      <xdr:col>2</xdr:col>
      <xdr:colOff>1643248</xdr:colOff>
      <xdr:row>59</xdr:row>
      <xdr:rowOff>14528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251" y="10310571"/>
          <a:ext cx="1429122" cy="1429232"/>
        </a:xfrm>
        <a:prstGeom prst="rect">
          <a:avLst/>
        </a:prstGeom>
      </xdr:spPr>
    </xdr:pic>
    <xdr:clientData/>
  </xdr:twoCellAnchor>
  <xdr:twoCellAnchor>
    <xdr:from>
      <xdr:col>2</xdr:col>
      <xdr:colOff>214126</xdr:colOff>
      <xdr:row>51</xdr:row>
      <xdr:rowOff>185496</xdr:rowOff>
    </xdr:from>
    <xdr:to>
      <xdr:col>2</xdr:col>
      <xdr:colOff>1643248</xdr:colOff>
      <xdr:row>59</xdr:row>
      <xdr:rowOff>14528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251" y="10310571"/>
          <a:ext cx="1429122" cy="1429232"/>
        </a:xfrm>
        <a:prstGeom prst="rect">
          <a:avLst/>
        </a:prstGeom>
      </xdr:spPr>
    </xdr:pic>
    <xdr:clientData/>
  </xdr:twoCellAnchor>
  <xdr:twoCellAnchor>
    <xdr:from>
      <xdr:col>2</xdr:col>
      <xdr:colOff>214126</xdr:colOff>
      <xdr:row>51</xdr:row>
      <xdr:rowOff>185496</xdr:rowOff>
    </xdr:from>
    <xdr:to>
      <xdr:col>2</xdr:col>
      <xdr:colOff>1643248</xdr:colOff>
      <xdr:row>59</xdr:row>
      <xdr:rowOff>14528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251" y="10310571"/>
          <a:ext cx="1429122" cy="1429232"/>
        </a:xfrm>
        <a:prstGeom prst="rect">
          <a:avLst/>
        </a:prstGeom>
      </xdr:spPr>
    </xdr:pic>
    <xdr:clientData/>
  </xdr:twoCellAnchor>
  <xdr:twoCellAnchor>
    <xdr:from>
      <xdr:col>2</xdr:col>
      <xdr:colOff>214126</xdr:colOff>
      <xdr:row>51</xdr:row>
      <xdr:rowOff>185496</xdr:rowOff>
    </xdr:from>
    <xdr:to>
      <xdr:col>2</xdr:col>
      <xdr:colOff>1643248</xdr:colOff>
      <xdr:row>59</xdr:row>
      <xdr:rowOff>14528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251" y="10310571"/>
          <a:ext cx="1429122" cy="1429232"/>
        </a:xfrm>
        <a:prstGeom prst="rect">
          <a:avLst/>
        </a:prstGeom>
      </xdr:spPr>
    </xdr:pic>
    <xdr:clientData/>
  </xdr:twoCellAnchor>
  <xdr:twoCellAnchor>
    <xdr:from>
      <xdr:col>2</xdr:col>
      <xdr:colOff>214126</xdr:colOff>
      <xdr:row>51</xdr:row>
      <xdr:rowOff>185496</xdr:rowOff>
    </xdr:from>
    <xdr:to>
      <xdr:col>2</xdr:col>
      <xdr:colOff>1643248</xdr:colOff>
      <xdr:row>59</xdr:row>
      <xdr:rowOff>14528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251" y="10310571"/>
          <a:ext cx="1429122" cy="1429232"/>
        </a:xfrm>
        <a:prstGeom prst="rect">
          <a:avLst/>
        </a:prstGeom>
      </xdr:spPr>
    </xdr:pic>
    <xdr:clientData/>
  </xdr:twoCellAnchor>
  <xdr:twoCellAnchor>
    <xdr:from>
      <xdr:col>2</xdr:col>
      <xdr:colOff>214402</xdr:colOff>
      <xdr:row>51</xdr:row>
      <xdr:rowOff>179874</xdr:rowOff>
    </xdr:from>
    <xdr:to>
      <xdr:col>2</xdr:col>
      <xdr:colOff>1642973</xdr:colOff>
      <xdr:row>59</xdr:row>
      <xdr:rowOff>20151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95527" y="10304949"/>
          <a:ext cx="1428571" cy="1440477"/>
        </a:xfrm>
        <a:prstGeom prst="rect">
          <a:avLst/>
        </a:prstGeom>
      </xdr:spPr>
    </xdr:pic>
    <xdr:clientData/>
  </xdr:twoCellAnchor>
  <xdr:twoCellAnchor>
    <xdr:from>
      <xdr:col>2</xdr:col>
      <xdr:colOff>186621</xdr:colOff>
      <xdr:row>51</xdr:row>
      <xdr:rowOff>150901</xdr:rowOff>
    </xdr:from>
    <xdr:to>
      <xdr:col>2</xdr:col>
      <xdr:colOff>1647031</xdr:colOff>
      <xdr:row>59</xdr:row>
      <xdr:rowOff>9922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565762" y="10201760"/>
          <a:ext cx="1460410" cy="14465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2</xdr:col>
          <xdr:colOff>638175</xdr:colOff>
          <xdr:row>20</xdr:row>
          <xdr:rowOff>123825</xdr:rowOff>
        </xdr:to>
        <xdr:sp macro="" textlink="">
          <xdr:nvSpPr>
            <xdr:cNvPr id="23554" name="d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3</xdr:col>
          <xdr:colOff>0</xdr:colOff>
          <xdr:row>20</xdr:row>
          <xdr:rowOff>123825</xdr:rowOff>
        </xdr:to>
        <xdr:sp macro="" textlink="">
          <xdr:nvSpPr>
            <xdr:cNvPr id="23555" name="CheckBox1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20</xdr:row>
          <xdr:rowOff>0</xdr:rowOff>
        </xdr:from>
        <xdr:to>
          <xdr:col>2</xdr:col>
          <xdr:colOff>885825</xdr:colOff>
          <xdr:row>21</xdr:row>
          <xdr:rowOff>123825</xdr:rowOff>
        </xdr:to>
        <xdr:sp macro="" textlink="">
          <xdr:nvSpPr>
            <xdr:cNvPr id="23556" name="CheckBox2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19</xdr:row>
          <xdr:rowOff>0</xdr:rowOff>
        </xdr:from>
        <xdr:to>
          <xdr:col>6</xdr:col>
          <xdr:colOff>314325</xdr:colOff>
          <xdr:row>20</xdr:row>
          <xdr:rowOff>123825</xdr:rowOff>
        </xdr:to>
        <xdr:sp macro="" textlink="">
          <xdr:nvSpPr>
            <xdr:cNvPr id="23557" name="CheckBox3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19</xdr:row>
          <xdr:rowOff>0</xdr:rowOff>
        </xdr:from>
        <xdr:to>
          <xdr:col>6</xdr:col>
          <xdr:colOff>323850</xdr:colOff>
          <xdr:row>20</xdr:row>
          <xdr:rowOff>123825</xdr:rowOff>
        </xdr:to>
        <xdr:sp macro="" textlink="">
          <xdr:nvSpPr>
            <xdr:cNvPr id="23558" name="CheckBox4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176894</xdr:colOff>
      <xdr:row>8</xdr:row>
      <xdr:rowOff>54429</xdr:rowOff>
    </xdr:from>
    <xdr:to>
      <xdr:col>4</xdr:col>
      <xdr:colOff>329294</xdr:colOff>
      <xdr:row>8</xdr:row>
      <xdr:rowOff>190501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462894" y="1940379"/>
          <a:ext cx="152400" cy="13607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5</xdr:col>
      <xdr:colOff>381000</xdr:colOff>
      <xdr:row>8</xdr:row>
      <xdr:rowOff>47625</xdr:rowOff>
    </xdr:from>
    <xdr:to>
      <xdr:col>5</xdr:col>
      <xdr:colOff>555172</xdr:colOff>
      <xdr:row>8</xdr:row>
      <xdr:rowOff>228600</xdr:rowOff>
    </xdr:to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248025" y="1933575"/>
          <a:ext cx="174172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</xdr:col>
      <xdr:colOff>570140</xdr:colOff>
      <xdr:row>8</xdr:row>
      <xdr:rowOff>57151</xdr:rowOff>
    </xdr:from>
    <xdr:to>
      <xdr:col>5</xdr:col>
      <xdr:colOff>161925</xdr:colOff>
      <xdr:row>8</xdr:row>
      <xdr:rowOff>190501</xdr:rowOff>
    </xdr:to>
    <xdr:sp macro="" textlink="">
      <xdr:nvSpPr>
        <xdr:cNvPr id="41" name="2 Rectángulo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2856140" y="1943101"/>
          <a:ext cx="172810" cy="1333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152401</xdr:colOff>
      <xdr:row>8</xdr:row>
      <xdr:rowOff>63954</xdr:rowOff>
    </xdr:from>
    <xdr:to>
      <xdr:col>6</xdr:col>
      <xdr:colOff>304801</xdr:colOff>
      <xdr:row>8</xdr:row>
      <xdr:rowOff>200026</xdr:rowOff>
    </xdr:to>
    <xdr:sp macro="" textlink="">
      <xdr:nvSpPr>
        <xdr:cNvPr id="46" name="1 Rectángulo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3600451" y="1949904"/>
          <a:ext cx="152400" cy="13607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390525</xdr:colOff>
      <xdr:row>8</xdr:row>
      <xdr:rowOff>57150</xdr:rowOff>
    </xdr:from>
    <xdr:to>
      <xdr:col>7</xdr:col>
      <xdr:colOff>549729</xdr:colOff>
      <xdr:row>8</xdr:row>
      <xdr:rowOff>200025</xdr:rowOff>
    </xdr:to>
    <xdr:sp macro="" textlink="">
      <xdr:nvSpPr>
        <xdr:cNvPr id="47" name="2 Rectángulo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419600" y="1943100"/>
          <a:ext cx="159204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545647</xdr:colOff>
      <xdr:row>8</xdr:row>
      <xdr:rowOff>66676</xdr:rowOff>
    </xdr:from>
    <xdr:to>
      <xdr:col>7</xdr:col>
      <xdr:colOff>137432</xdr:colOff>
      <xdr:row>8</xdr:row>
      <xdr:rowOff>200026</xdr:rowOff>
    </xdr:to>
    <xdr:sp macro="" textlink="">
      <xdr:nvSpPr>
        <xdr:cNvPr id="48" name="2 Rectángulo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3993697" y="1952626"/>
          <a:ext cx="172810" cy="1333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161926</xdr:colOff>
      <xdr:row>8</xdr:row>
      <xdr:rowOff>63954</xdr:rowOff>
    </xdr:from>
    <xdr:to>
      <xdr:col>8</xdr:col>
      <xdr:colOff>314326</xdr:colOff>
      <xdr:row>8</xdr:row>
      <xdr:rowOff>200026</xdr:rowOff>
    </xdr:to>
    <xdr:sp macro="" textlink="">
      <xdr:nvSpPr>
        <xdr:cNvPr id="49" name="1 Rectángulo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772026" y="1949904"/>
          <a:ext cx="152400" cy="13607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555172</xdr:colOff>
      <xdr:row>8</xdr:row>
      <xdr:rowOff>66676</xdr:rowOff>
    </xdr:from>
    <xdr:to>
      <xdr:col>9</xdr:col>
      <xdr:colOff>146957</xdr:colOff>
      <xdr:row>8</xdr:row>
      <xdr:rowOff>200026</xdr:rowOff>
    </xdr:to>
    <xdr:sp macro="" textlink="">
      <xdr:nvSpPr>
        <xdr:cNvPr id="51" name="2 Rectángulo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>
          <a:off x="5165272" y="1952626"/>
          <a:ext cx="172810" cy="1333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376918</xdr:colOff>
      <xdr:row>8</xdr:row>
      <xdr:rowOff>66675</xdr:rowOff>
    </xdr:from>
    <xdr:to>
      <xdr:col>9</xdr:col>
      <xdr:colOff>536122</xdr:colOff>
      <xdr:row>8</xdr:row>
      <xdr:rowOff>209550</xdr:rowOff>
    </xdr:to>
    <xdr:sp macro="" textlink="">
      <xdr:nvSpPr>
        <xdr:cNvPr id="67" name="2 Rectángulo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68043" y="1952625"/>
          <a:ext cx="159204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161926</xdr:colOff>
      <xdr:row>8</xdr:row>
      <xdr:rowOff>63954</xdr:rowOff>
    </xdr:from>
    <xdr:to>
      <xdr:col>10</xdr:col>
      <xdr:colOff>314326</xdr:colOff>
      <xdr:row>8</xdr:row>
      <xdr:rowOff>200026</xdr:rowOff>
    </xdr:to>
    <xdr:sp macro="" textlink="">
      <xdr:nvSpPr>
        <xdr:cNvPr id="69" name="1 Rectángulo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>
          <a:off x="5934076" y="1949904"/>
          <a:ext cx="152400" cy="13607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555172</xdr:colOff>
      <xdr:row>8</xdr:row>
      <xdr:rowOff>66676</xdr:rowOff>
    </xdr:from>
    <xdr:to>
      <xdr:col>11</xdr:col>
      <xdr:colOff>146957</xdr:colOff>
      <xdr:row>8</xdr:row>
      <xdr:rowOff>200026</xdr:rowOff>
    </xdr:to>
    <xdr:sp macro="" textlink="">
      <xdr:nvSpPr>
        <xdr:cNvPr id="70" name="2 Rectángulo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6327322" y="1952626"/>
          <a:ext cx="172810" cy="1333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395968</xdr:colOff>
      <xdr:row>8</xdr:row>
      <xdr:rowOff>57150</xdr:rowOff>
    </xdr:from>
    <xdr:to>
      <xdr:col>11</xdr:col>
      <xdr:colOff>555172</xdr:colOff>
      <xdr:row>8</xdr:row>
      <xdr:rowOff>200025</xdr:rowOff>
    </xdr:to>
    <xdr:sp macro="" textlink="">
      <xdr:nvSpPr>
        <xdr:cNvPr id="72" name="2 Rectángulo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>
        <a:xfrm>
          <a:off x="6749143" y="1943100"/>
          <a:ext cx="159204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12</xdr:col>
      <xdr:colOff>161926</xdr:colOff>
      <xdr:row>8</xdr:row>
      <xdr:rowOff>63954</xdr:rowOff>
    </xdr:from>
    <xdr:to>
      <xdr:col>12</xdr:col>
      <xdr:colOff>314326</xdr:colOff>
      <xdr:row>8</xdr:row>
      <xdr:rowOff>200026</xdr:rowOff>
    </xdr:to>
    <xdr:sp macro="" textlink="">
      <xdr:nvSpPr>
        <xdr:cNvPr id="73" name="1 Rectángulo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7096126" y="1949904"/>
          <a:ext cx="152400" cy="13607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12</xdr:col>
      <xdr:colOff>555172</xdr:colOff>
      <xdr:row>8</xdr:row>
      <xdr:rowOff>66676</xdr:rowOff>
    </xdr:from>
    <xdr:to>
      <xdr:col>13</xdr:col>
      <xdr:colOff>146957</xdr:colOff>
      <xdr:row>8</xdr:row>
      <xdr:rowOff>200026</xdr:rowOff>
    </xdr:to>
    <xdr:sp macro="" textlink="">
      <xdr:nvSpPr>
        <xdr:cNvPr id="74" name="2 Rectángulo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>
          <a:off x="7489372" y="1952626"/>
          <a:ext cx="172810" cy="1333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13</xdr:col>
      <xdr:colOff>395968</xdr:colOff>
      <xdr:row>8</xdr:row>
      <xdr:rowOff>47625</xdr:rowOff>
    </xdr:from>
    <xdr:to>
      <xdr:col>13</xdr:col>
      <xdr:colOff>555172</xdr:colOff>
      <xdr:row>8</xdr:row>
      <xdr:rowOff>190500</xdr:rowOff>
    </xdr:to>
    <xdr:sp macro="" textlink="">
      <xdr:nvSpPr>
        <xdr:cNvPr id="76" name="2 Rectángulo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>
        <a:xfrm>
          <a:off x="7911193" y="1933575"/>
          <a:ext cx="159204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14</xdr:col>
      <xdr:colOff>161926</xdr:colOff>
      <xdr:row>8</xdr:row>
      <xdr:rowOff>63954</xdr:rowOff>
    </xdr:from>
    <xdr:to>
      <xdr:col>14</xdr:col>
      <xdr:colOff>314326</xdr:colOff>
      <xdr:row>8</xdr:row>
      <xdr:rowOff>200026</xdr:rowOff>
    </xdr:to>
    <xdr:sp macro="" textlink="">
      <xdr:nvSpPr>
        <xdr:cNvPr id="77" name="1 Rectángulo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>
        <a:xfrm>
          <a:off x="8258176" y="1949904"/>
          <a:ext cx="152400" cy="13607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14</xdr:col>
      <xdr:colOff>555172</xdr:colOff>
      <xdr:row>8</xdr:row>
      <xdr:rowOff>66676</xdr:rowOff>
    </xdr:from>
    <xdr:to>
      <xdr:col>15</xdr:col>
      <xdr:colOff>146957</xdr:colOff>
      <xdr:row>8</xdr:row>
      <xdr:rowOff>200026</xdr:rowOff>
    </xdr:to>
    <xdr:sp macro="" textlink="">
      <xdr:nvSpPr>
        <xdr:cNvPr id="78" name="2 Rectángulo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>
        <a:xfrm>
          <a:off x="8651422" y="1952626"/>
          <a:ext cx="172810" cy="1333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15</xdr:col>
      <xdr:colOff>386443</xdr:colOff>
      <xdr:row>8</xdr:row>
      <xdr:rowOff>47625</xdr:rowOff>
    </xdr:from>
    <xdr:to>
      <xdr:col>15</xdr:col>
      <xdr:colOff>545647</xdr:colOff>
      <xdr:row>8</xdr:row>
      <xdr:rowOff>190500</xdr:rowOff>
    </xdr:to>
    <xdr:sp macro="" textlink="">
      <xdr:nvSpPr>
        <xdr:cNvPr id="80" name="2 Rectángulo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9063718" y="1933575"/>
          <a:ext cx="159204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</xdr:col>
      <xdr:colOff>176893</xdr:colOff>
      <xdr:row>18</xdr:row>
      <xdr:rowOff>54428</xdr:rowOff>
    </xdr:from>
    <xdr:to>
      <xdr:col>4</xdr:col>
      <xdr:colOff>381000</xdr:colOff>
      <xdr:row>18</xdr:row>
      <xdr:rowOff>204107</xdr:rowOff>
    </xdr:to>
    <xdr:sp macro="" textlink="">
      <xdr:nvSpPr>
        <xdr:cNvPr id="81" name="1 Rectángulo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2224768" y="1940378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5</xdr:col>
      <xdr:colOff>379640</xdr:colOff>
      <xdr:row>18</xdr:row>
      <xdr:rowOff>47625</xdr:rowOff>
    </xdr:from>
    <xdr:to>
      <xdr:col>5</xdr:col>
      <xdr:colOff>583747</xdr:colOff>
      <xdr:row>18</xdr:row>
      <xdr:rowOff>197304</xdr:rowOff>
    </xdr:to>
    <xdr:sp macro="" textlink="">
      <xdr:nvSpPr>
        <xdr:cNvPr id="82" name="2 Rectángulo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3065690" y="193357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</xdr:col>
      <xdr:colOff>570140</xdr:colOff>
      <xdr:row>18</xdr:row>
      <xdr:rowOff>57150</xdr:rowOff>
    </xdr:from>
    <xdr:to>
      <xdr:col>5</xdr:col>
      <xdr:colOff>136072</xdr:colOff>
      <xdr:row>18</xdr:row>
      <xdr:rowOff>206829</xdr:rowOff>
    </xdr:to>
    <xdr:sp macro="" textlink="">
      <xdr:nvSpPr>
        <xdr:cNvPr id="83" name="2 Rectángulo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2618015" y="1943100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152400</xdr:colOff>
      <xdr:row>18</xdr:row>
      <xdr:rowOff>63953</xdr:rowOff>
    </xdr:from>
    <xdr:to>
      <xdr:col>6</xdr:col>
      <xdr:colOff>356507</xdr:colOff>
      <xdr:row>18</xdr:row>
      <xdr:rowOff>213632</xdr:rowOff>
    </xdr:to>
    <xdr:sp macro="" textlink="">
      <xdr:nvSpPr>
        <xdr:cNvPr id="84" name="1 Rectángulo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>
        <a:xfrm>
          <a:off x="3476625" y="1949903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355147</xdr:colOff>
      <xdr:row>18</xdr:row>
      <xdr:rowOff>57150</xdr:rowOff>
    </xdr:from>
    <xdr:to>
      <xdr:col>7</xdr:col>
      <xdr:colOff>559254</xdr:colOff>
      <xdr:row>18</xdr:row>
      <xdr:rowOff>206829</xdr:rowOff>
    </xdr:to>
    <xdr:sp macro="" textlink="">
      <xdr:nvSpPr>
        <xdr:cNvPr id="85" name="2 Rectángulo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>
        <a:xfrm>
          <a:off x="4317547" y="1943100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545647</xdr:colOff>
      <xdr:row>18</xdr:row>
      <xdr:rowOff>66675</xdr:rowOff>
    </xdr:from>
    <xdr:to>
      <xdr:col>7</xdr:col>
      <xdr:colOff>111579</xdr:colOff>
      <xdr:row>18</xdr:row>
      <xdr:rowOff>216354</xdr:rowOff>
    </xdr:to>
    <xdr:sp macro="" textlink="">
      <xdr:nvSpPr>
        <xdr:cNvPr id="86" name="2 Rectángulo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>
        <a:xfrm>
          <a:off x="3869872" y="195262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161925</xdr:colOff>
      <xdr:row>18</xdr:row>
      <xdr:rowOff>63953</xdr:rowOff>
    </xdr:from>
    <xdr:to>
      <xdr:col>8</xdr:col>
      <xdr:colOff>366032</xdr:colOff>
      <xdr:row>18</xdr:row>
      <xdr:rowOff>213632</xdr:rowOff>
    </xdr:to>
    <xdr:sp macro="" textlink="">
      <xdr:nvSpPr>
        <xdr:cNvPr id="87" name="1 Rectángulo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>
        <a:xfrm>
          <a:off x="4762500" y="1949903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555172</xdr:colOff>
      <xdr:row>18</xdr:row>
      <xdr:rowOff>66675</xdr:rowOff>
    </xdr:from>
    <xdr:to>
      <xdr:col>9</xdr:col>
      <xdr:colOff>121104</xdr:colOff>
      <xdr:row>18</xdr:row>
      <xdr:rowOff>216354</xdr:rowOff>
    </xdr:to>
    <xdr:sp macro="" textlink="">
      <xdr:nvSpPr>
        <xdr:cNvPr id="88" name="2 Rectángulo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>
        <a:xfrm>
          <a:off x="5155747" y="195262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379640</xdr:colOff>
      <xdr:row>18</xdr:row>
      <xdr:rowOff>47625</xdr:rowOff>
    </xdr:from>
    <xdr:to>
      <xdr:col>9</xdr:col>
      <xdr:colOff>583747</xdr:colOff>
      <xdr:row>18</xdr:row>
      <xdr:rowOff>197304</xdr:rowOff>
    </xdr:to>
    <xdr:sp macro="" textlink="">
      <xdr:nvSpPr>
        <xdr:cNvPr id="89" name="2 Rectángulo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5618390" y="193357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161925</xdr:colOff>
      <xdr:row>18</xdr:row>
      <xdr:rowOff>63953</xdr:rowOff>
    </xdr:from>
    <xdr:to>
      <xdr:col>10</xdr:col>
      <xdr:colOff>366032</xdr:colOff>
      <xdr:row>18</xdr:row>
      <xdr:rowOff>213632</xdr:rowOff>
    </xdr:to>
    <xdr:sp macro="" textlink="">
      <xdr:nvSpPr>
        <xdr:cNvPr id="90" name="1 Rectángulo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6038850" y="1949903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555172</xdr:colOff>
      <xdr:row>18</xdr:row>
      <xdr:rowOff>66675</xdr:rowOff>
    </xdr:from>
    <xdr:to>
      <xdr:col>11</xdr:col>
      <xdr:colOff>121104</xdr:colOff>
      <xdr:row>18</xdr:row>
      <xdr:rowOff>216354</xdr:rowOff>
    </xdr:to>
    <xdr:sp macro="" textlink="">
      <xdr:nvSpPr>
        <xdr:cNvPr id="91" name="2 Rectángulo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6432097" y="195262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379640</xdr:colOff>
      <xdr:row>18</xdr:row>
      <xdr:rowOff>47625</xdr:rowOff>
    </xdr:from>
    <xdr:to>
      <xdr:col>11</xdr:col>
      <xdr:colOff>583747</xdr:colOff>
      <xdr:row>18</xdr:row>
      <xdr:rowOff>197304</xdr:rowOff>
    </xdr:to>
    <xdr:sp macro="" textlink="">
      <xdr:nvSpPr>
        <xdr:cNvPr id="92" name="2 Rectángulo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6894740" y="193357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12</xdr:col>
      <xdr:colOff>161925</xdr:colOff>
      <xdr:row>18</xdr:row>
      <xdr:rowOff>63953</xdr:rowOff>
    </xdr:from>
    <xdr:to>
      <xdr:col>12</xdr:col>
      <xdr:colOff>366032</xdr:colOff>
      <xdr:row>18</xdr:row>
      <xdr:rowOff>213632</xdr:rowOff>
    </xdr:to>
    <xdr:sp macro="" textlink="">
      <xdr:nvSpPr>
        <xdr:cNvPr id="93" name="1 Rectángulo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7315200" y="1949903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12</xdr:col>
      <xdr:colOff>555172</xdr:colOff>
      <xdr:row>18</xdr:row>
      <xdr:rowOff>66675</xdr:rowOff>
    </xdr:from>
    <xdr:to>
      <xdr:col>13</xdr:col>
      <xdr:colOff>121104</xdr:colOff>
      <xdr:row>18</xdr:row>
      <xdr:rowOff>216354</xdr:rowOff>
    </xdr:to>
    <xdr:sp macro="" textlink="">
      <xdr:nvSpPr>
        <xdr:cNvPr id="94" name="2 Rectángulo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>
          <a:off x="7708447" y="195262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13</xdr:col>
      <xdr:colOff>379640</xdr:colOff>
      <xdr:row>18</xdr:row>
      <xdr:rowOff>47625</xdr:rowOff>
    </xdr:from>
    <xdr:to>
      <xdr:col>13</xdr:col>
      <xdr:colOff>583747</xdr:colOff>
      <xdr:row>18</xdr:row>
      <xdr:rowOff>197304</xdr:rowOff>
    </xdr:to>
    <xdr:sp macro="" textlink="">
      <xdr:nvSpPr>
        <xdr:cNvPr id="95" name="2 Rectángulo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>
          <a:off x="8171090" y="193357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14</xdr:col>
      <xdr:colOff>161925</xdr:colOff>
      <xdr:row>18</xdr:row>
      <xdr:rowOff>63953</xdr:rowOff>
    </xdr:from>
    <xdr:to>
      <xdr:col>14</xdr:col>
      <xdr:colOff>366032</xdr:colOff>
      <xdr:row>18</xdr:row>
      <xdr:rowOff>213632</xdr:rowOff>
    </xdr:to>
    <xdr:sp macro="" textlink="">
      <xdr:nvSpPr>
        <xdr:cNvPr id="96" name="1 Rectángulo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8591550" y="1949903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14</xdr:col>
      <xdr:colOff>555172</xdr:colOff>
      <xdr:row>18</xdr:row>
      <xdr:rowOff>66675</xdr:rowOff>
    </xdr:from>
    <xdr:to>
      <xdr:col>15</xdr:col>
      <xdr:colOff>121104</xdr:colOff>
      <xdr:row>18</xdr:row>
      <xdr:rowOff>216354</xdr:rowOff>
    </xdr:to>
    <xdr:sp macro="" textlink="">
      <xdr:nvSpPr>
        <xdr:cNvPr id="97" name="2 Rectángulo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8984797" y="195262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15</xdr:col>
      <xdr:colOff>341540</xdr:colOff>
      <xdr:row>18</xdr:row>
      <xdr:rowOff>47625</xdr:rowOff>
    </xdr:from>
    <xdr:to>
      <xdr:col>15</xdr:col>
      <xdr:colOff>545647</xdr:colOff>
      <xdr:row>18</xdr:row>
      <xdr:rowOff>197304</xdr:rowOff>
    </xdr:to>
    <xdr:sp macro="" textlink="">
      <xdr:nvSpPr>
        <xdr:cNvPr id="98" name="2 Rectángulo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9018815" y="4248150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</xdr:col>
      <xdr:colOff>176893</xdr:colOff>
      <xdr:row>18</xdr:row>
      <xdr:rowOff>54428</xdr:rowOff>
    </xdr:from>
    <xdr:to>
      <xdr:col>2</xdr:col>
      <xdr:colOff>381000</xdr:colOff>
      <xdr:row>18</xdr:row>
      <xdr:rowOff>204107</xdr:rowOff>
    </xdr:to>
    <xdr:sp macro="" textlink="">
      <xdr:nvSpPr>
        <xdr:cNvPr id="99" name="1 Rectángulo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2224768" y="4254953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379640</xdr:colOff>
      <xdr:row>18</xdr:row>
      <xdr:rowOff>47625</xdr:rowOff>
    </xdr:from>
    <xdr:to>
      <xdr:col>3</xdr:col>
      <xdr:colOff>583747</xdr:colOff>
      <xdr:row>18</xdr:row>
      <xdr:rowOff>197304</xdr:rowOff>
    </xdr:to>
    <xdr:sp macro="" textlink="">
      <xdr:nvSpPr>
        <xdr:cNvPr id="100" name="2 Rectángulo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3065690" y="4248150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</xdr:col>
      <xdr:colOff>570140</xdr:colOff>
      <xdr:row>18</xdr:row>
      <xdr:rowOff>57150</xdr:rowOff>
    </xdr:from>
    <xdr:to>
      <xdr:col>3</xdr:col>
      <xdr:colOff>136072</xdr:colOff>
      <xdr:row>18</xdr:row>
      <xdr:rowOff>206829</xdr:rowOff>
    </xdr:to>
    <xdr:sp macro="" textlink="">
      <xdr:nvSpPr>
        <xdr:cNvPr id="101" name="2 Rectángulo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>
          <a:off x="2618015" y="4257675"/>
          <a:ext cx="204107" cy="1496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38100</xdr:rowOff>
        </xdr:from>
        <xdr:to>
          <xdr:col>2</xdr:col>
          <xdr:colOff>838200</xdr:colOff>
          <xdr:row>13</xdr:row>
          <xdr:rowOff>66675</xdr:rowOff>
        </xdr:to>
        <xdr:sp macro="" textlink="">
          <xdr:nvSpPr>
            <xdr:cNvPr id="21505" name="Check Box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12</xdr:row>
          <xdr:rowOff>28575</xdr:rowOff>
        </xdr:from>
        <xdr:to>
          <xdr:col>3</xdr:col>
          <xdr:colOff>819150</xdr:colOff>
          <xdr:row>13</xdr:row>
          <xdr:rowOff>57150</xdr:rowOff>
        </xdr:to>
        <xdr:sp macro="" textlink="">
          <xdr:nvSpPr>
            <xdr:cNvPr id="21506" name="Check Box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12</xdr:row>
          <xdr:rowOff>28575</xdr:rowOff>
        </xdr:from>
        <xdr:to>
          <xdr:col>4</xdr:col>
          <xdr:colOff>638175</xdr:colOff>
          <xdr:row>13</xdr:row>
          <xdr:rowOff>57150</xdr:rowOff>
        </xdr:to>
        <xdr:sp macro="" textlink="">
          <xdr:nvSpPr>
            <xdr:cNvPr id="21507" name="Check Box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12</xdr:row>
          <xdr:rowOff>28575</xdr:rowOff>
        </xdr:from>
        <xdr:to>
          <xdr:col>2</xdr:col>
          <xdr:colOff>1343025</xdr:colOff>
          <xdr:row>13</xdr:row>
          <xdr:rowOff>57150</xdr:rowOff>
        </xdr:to>
        <xdr:sp macro="" textlink="">
          <xdr:nvSpPr>
            <xdr:cNvPr id="21508" name="Check Box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12</xdr:row>
          <xdr:rowOff>38100</xdr:rowOff>
        </xdr:from>
        <xdr:to>
          <xdr:col>3</xdr:col>
          <xdr:colOff>114300</xdr:colOff>
          <xdr:row>13</xdr:row>
          <xdr:rowOff>66675</xdr:rowOff>
        </xdr:to>
        <xdr:sp macro="" textlink="">
          <xdr:nvSpPr>
            <xdr:cNvPr id="21509" name="Check Box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12</xdr:row>
          <xdr:rowOff>28575</xdr:rowOff>
        </xdr:from>
        <xdr:to>
          <xdr:col>5</xdr:col>
          <xdr:colOff>95250</xdr:colOff>
          <xdr:row>13</xdr:row>
          <xdr:rowOff>57150</xdr:rowOff>
        </xdr:to>
        <xdr:sp macro="" textlink="">
          <xdr:nvSpPr>
            <xdr:cNvPr id="21510" name="Check Box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13</xdr:row>
          <xdr:rowOff>19050</xdr:rowOff>
        </xdr:from>
        <xdr:to>
          <xdr:col>2</xdr:col>
          <xdr:colOff>828675</xdr:colOff>
          <xdr:row>14</xdr:row>
          <xdr:rowOff>114300</xdr:rowOff>
        </xdr:to>
        <xdr:sp macro="" textlink="">
          <xdr:nvSpPr>
            <xdr:cNvPr id="21517" name="Check Box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7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13</xdr:row>
          <xdr:rowOff>9525</xdr:rowOff>
        </xdr:from>
        <xdr:to>
          <xdr:col>2</xdr:col>
          <xdr:colOff>1600200</xdr:colOff>
          <xdr:row>14</xdr:row>
          <xdr:rowOff>104775</xdr:rowOff>
        </xdr:to>
        <xdr:sp macro="" textlink="">
          <xdr:nvSpPr>
            <xdr:cNvPr id="21518" name="Check Box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7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13</xdr:row>
          <xdr:rowOff>9525</xdr:rowOff>
        </xdr:from>
        <xdr:to>
          <xdr:col>3</xdr:col>
          <xdr:colOff>104775</xdr:colOff>
          <xdr:row>14</xdr:row>
          <xdr:rowOff>104775</xdr:rowOff>
        </xdr:to>
        <xdr:sp macro="" textlink="">
          <xdr:nvSpPr>
            <xdr:cNvPr id="21519" name="Check Box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7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2</xdr:col>
          <xdr:colOff>990600</xdr:colOff>
          <xdr:row>15</xdr:row>
          <xdr:rowOff>38100</xdr:rowOff>
        </xdr:to>
        <xdr:sp macro="" textlink="">
          <xdr:nvSpPr>
            <xdr:cNvPr id="21523" name="Check Box 19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7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14</xdr:row>
          <xdr:rowOff>0</xdr:rowOff>
        </xdr:from>
        <xdr:to>
          <xdr:col>3</xdr:col>
          <xdr:colOff>847725</xdr:colOff>
          <xdr:row>15</xdr:row>
          <xdr:rowOff>38100</xdr:rowOff>
        </xdr:to>
        <xdr:sp macro="" textlink="">
          <xdr:nvSpPr>
            <xdr:cNvPr id="21524" name="Check Box 20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7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14</xdr:row>
          <xdr:rowOff>0</xdr:rowOff>
        </xdr:from>
        <xdr:to>
          <xdr:col>4</xdr:col>
          <xdr:colOff>638175</xdr:colOff>
          <xdr:row>15</xdr:row>
          <xdr:rowOff>38100</xdr:rowOff>
        </xdr:to>
        <xdr:sp macro="" textlink="">
          <xdr:nvSpPr>
            <xdr:cNvPr id="21525" name="Check Box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7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38100</xdr:rowOff>
        </xdr:from>
        <xdr:to>
          <xdr:col>2</xdr:col>
          <xdr:colOff>838200</xdr:colOff>
          <xdr:row>18</xdr:row>
          <xdr:rowOff>66675</xdr:rowOff>
        </xdr:to>
        <xdr:sp macro="" textlink="">
          <xdr:nvSpPr>
            <xdr:cNvPr id="21526" name="Check Box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7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17</xdr:row>
          <xdr:rowOff>28575</xdr:rowOff>
        </xdr:from>
        <xdr:to>
          <xdr:col>3</xdr:col>
          <xdr:colOff>819150</xdr:colOff>
          <xdr:row>18</xdr:row>
          <xdr:rowOff>57150</xdr:rowOff>
        </xdr:to>
        <xdr:sp macro="" textlink="">
          <xdr:nvSpPr>
            <xdr:cNvPr id="21527" name="Check Box 23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7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17</xdr:row>
          <xdr:rowOff>28575</xdr:rowOff>
        </xdr:from>
        <xdr:to>
          <xdr:col>4</xdr:col>
          <xdr:colOff>638175</xdr:colOff>
          <xdr:row>18</xdr:row>
          <xdr:rowOff>57150</xdr:rowOff>
        </xdr:to>
        <xdr:sp macro="" textlink="">
          <xdr:nvSpPr>
            <xdr:cNvPr id="21528" name="Check Box 24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7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17</xdr:row>
          <xdr:rowOff>28575</xdr:rowOff>
        </xdr:from>
        <xdr:to>
          <xdr:col>2</xdr:col>
          <xdr:colOff>1343025</xdr:colOff>
          <xdr:row>18</xdr:row>
          <xdr:rowOff>57150</xdr:rowOff>
        </xdr:to>
        <xdr:sp macro="" textlink="">
          <xdr:nvSpPr>
            <xdr:cNvPr id="21529" name="Check Box 25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7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17</xdr:row>
          <xdr:rowOff>38100</xdr:rowOff>
        </xdr:from>
        <xdr:to>
          <xdr:col>3</xdr:col>
          <xdr:colOff>114300</xdr:colOff>
          <xdr:row>18</xdr:row>
          <xdr:rowOff>66675</xdr:rowOff>
        </xdr:to>
        <xdr:sp macro="" textlink="">
          <xdr:nvSpPr>
            <xdr:cNvPr id="21530" name="Check Box 26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7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17</xdr:row>
          <xdr:rowOff>28575</xdr:rowOff>
        </xdr:from>
        <xdr:to>
          <xdr:col>5</xdr:col>
          <xdr:colOff>95250</xdr:colOff>
          <xdr:row>18</xdr:row>
          <xdr:rowOff>57150</xdr:rowOff>
        </xdr:to>
        <xdr:sp macro="" textlink="">
          <xdr:nvSpPr>
            <xdr:cNvPr id="21531" name="Check Box 27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7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18</xdr:row>
          <xdr:rowOff>19050</xdr:rowOff>
        </xdr:from>
        <xdr:to>
          <xdr:col>2</xdr:col>
          <xdr:colOff>828675</xdr:colOff>
          <xdr:row>19</xdr:row>
          <xdr:rowOff>114300</xdr:rowOff>
        </xdr:to>
        <xdr:sp macro="" textlink="">
          <xdr:nvSpPr>
            <xdr:cNvPr id="21532" name="Check Box 28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7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18</xdr:row>
          <xdr:rowOff>9525</xdr:rowOff>
        </xdr:from>
        <xdr:to>
          <xdr:col>2</xdr:col>
          <xdr:colOff>1600200</xdr:colOff>
          <xdr:row>19</xdr:row>
          <xdr:rowOff>104775</xdr:rowOff>
        </xdr:to>
        <xdr:sp macro="" textlink="">
          <xdr:nvSpPr>
            <xdr:cNvPr id="21533" name="Check Box 29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7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18</xdr:row>
          <xdr:rowOff>9525</xdr:rowOff>
        </xdr:from>
        <xdr:to>
          <xdr:col>3</xdr:col>
          <xdr:colOff>104775</xdr:colOff>
          <xdr:row>19</xdr:row>
          <xdr:rowOff>104775</xdr:rowOff>
        </xdr:to>
        <xdr:sp macro="" textlink="">
          <xdr:nvSpPr>
            <xdr:cNvPr id="21534" name="Check Box 30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7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2</xdr:col>
          <xdr:colOff>990600</xdr:colOff>
          <xdr:row>20</xdr:row>
          <xdr:rowOff>28575</xdr:rowOff>
        </xdr:to>
        <xdr:sp macro="" textlink="">
          <xdr:nvSpPr>
            <xdr:cNvPr id="21535" name="Check Box 31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7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19</xdr:row>
          <xdr:rowOff>0</xdr:rowOff>
        </xdr:from>
        <xdr:to>
          <xdr:col>3</xdr:col>
          <xdr:colOff>847725</xdr:colOff>
          <xdr:row>20</xdr:row>
          <xdr:rowOff>28575</xdr:rowOff>
        </xdr:to>
        <xdr:sp macro="" textlink="">
          <xdr:nvSpPr>
            <xdr:cNvPr id="21536" name="Check Box 32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7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19</xdr:row>
          <xdr:rowOff>0</xdr:rowOff>
        </xdr:from>
        <xdr:to>
          <xdr:col>4</xdr:col>
          <xdr:colOff>638175</xdr:colOff>
          <xdr:row>20</xdr:row>
          <xdr:rowOff>28575</xdr:rowOff>
        </xdr:to>
        <xdr:sp macro="" textlink="">
          <xdr:nvSpPr>
            <xdr:cNvPr id="21537" name="Check Box 33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7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38100</xdr:rowOff>
        </xdr:from>
        <xdr:to>
          <xdr:col>2</xdr:col>
          <xdr:colOff>838200</xdr:colOff>
          <xdr:row>23</xdr:row>
          <xdr:rowOff>66675</xdr:rowOff>
        </xdr:to>
        <xdr:sp macro="" textlink="">
          <xdr:nvSpPr>
            <xdr:cNvPr id="21538" name="Check Box 34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7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22</xdr:row>
          <xdr:rowOff>28575</xdr:rowOff>
        </xdr:from>
        <xdr:to>
          <xdr:col>3</xdr:col>
          <xdr:colOff>819150</xdr:colOff>
          <xdr:row>23</xdr:row>
          <xdr:rowOff>57150</xdr:rowOff>
        </xdr:to>
        <xdr:sp macro="" textlink="">
          <xdr:nvSpPr>
            <xdr:cNvPr id="21539" name="Check Box 35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7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22</xdr:row>
          <xdr:rowOff>28575</xdr:rowOff>
        </xdr:from>
        <xdr:to>
          <xdr:col>4</xdr:col>
          <xdr:colOff>638175</xdr:colOff>
          <xdr:row>23</xdr:row>
          <xdr:rowOff>57150</xdr:rowOff>
        </xdr:to>
        <xdr:sp macro="" textlink="">
          <xdr:nvSpPr>
            <xdr:cNvPr id="21540" name="Check Box 36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7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22</xdr:row>
          <xdr:rowOff>28575</xdr:rowOff>
        </xdr:from>
        <xdr:to>
          <xdr:col>2</xdr:col>
          <xdr:colOff>1343025</xdr:colOff>
          <xdr:row>23</xdr:row>
          <xdr:rowOff>57150</xdr:rowOff>
        </xdr:to>
        <xdr:sp macro="" textlink="">
          <xdr:nvSpPr>
            <xdr:cNvPr id="21541" name="Check Box 37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7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22</xdr:row>
          <xdr:rowOff>38100</xdr:rowOff>
        </xdr:from>
        <xdr:to>
          <xdr:col>3</xdr:col>
          <xdr:colOff>114300</xdr:colOff>
          <xdr:row>23</xdr:row>
          <xdr:rowOff>66675</xdr:rowOff>
        </xdr:to>
        <xdr:sp macro="" textlink="">
          <xdr:nvSpPr>
            <xdr:cNvPr id="21542" name="Check Box 38" hidden="1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00000000-0008-0000-0700-00002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22</xdr:row>
          <xdr:rowOff>28575</xdr:rowOff>
        </xdr:from>
        <xdr:to>
          <xdr:col>5</xdr:col>
          <xdr:colOff>95250</xdr:colOff>
          <xdr:row>23</xdr:row>
          <xdr:rowOff>57150</xdr:rowOff>
        </xdr:to>
        <xdr:sp macro="" textlink="">
          <xdr:nvSpPr>
            <xdr:cNvPr id="21543" name="Check Box 39" hidden="1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00000000-0008-0000-0700-00002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23</xdr:row>
          <xdr:rowOff>19050</xdr:rowOff>
        </xdr:from>
        <xdr:to>
          <xdr:col>2</xdr:col>
          <xdr:colOff>828675</xdr:colOff>
          <xdr:row>24</xdr:row>
          <xdr:rowOff>114300</xdr:rowOff>
        </xdr:to>
        <xdr:sp macro="" textlink="">
          <xdr:nvSpPr>
            <xdr:cNvPr id="21544" name="Check Box 40" hidden="1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0000000-0008-0000-0700-00002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23</xdr:row>
          <xdr:rowOff>9525</xdr:rowOff>
        </xdr:from>
        <xdr:to>
          <xdr:col>2</xdr:col>
          <xdr:colOff>1600200</xdr:colOff>
          <xdr:row>24</xdr:row>
          <xdr:rowOff>104775</xdr:rowOff>
        </xdr:to>
        <xdr:sp macro="" textlink="">
          <xdr:nvSpPr>
            <xdr:cNvPr id="21545" name="Check Box 41" hidden="1">
              <a:extLst>
                <a:ext uri="{63B3BB69-23CF-44E3-9099-C40C66FF867C}">
                  <a14:compatExt spid="_x0000_s21545"/>
                </a:ext>
                <a:ext uri="{FF2B5EF4-FFF2-40B4-BE49-F238E27FC236}">
                  <a16:creationId xmlns:a16="http://schemas.microsoft.com/office/drawing/2014/main" id="{00000000-0008-0000-0700-00002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23</xdr:row>
          <xdr:rowOff>9525</xdr:rowOff>
        </xdr:from>
        <xdr:to>
          <xdr:col>3</xdr:col>
          <xdr:colOff>104775</xdr:colOff>
          <xdr:row>24</xdr:row>
          <xdr:rowOff>104775</xdr:rowOff>
        </xdr:to>
        <xdr:sp macro="" textlink="">
          <xdr:nvSpPr>
            <xdr:cNvPr id="21546" name="Check Box 42" hidden="1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0000000-0008-0000-0700-00002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2</xdr:col>
          <xdr:colOff>990600</xdr:colOff>
          <xdr:row>25</xdr:row>
          <xdr:rowOff>9525</xdr:rowOff>
        </xdr:to>
        <xdr:sp macro="" textlink="">
          <xdr:nvSpPr>
            <xdr:cNvPr id="21547" name="Check Box 43" hidden="1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00000000-0008-0000-0700-00002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24</xdr:row>
          <xdr:rowOff>0</xdr:rowOff>
        </xdr:from>
        <xdr:to>
          <xdr:col>3</xdr:col>
          <xdr:colOff>847725</xdr:colOff>
          <xdr:row>25</xdr:row>
          <xdr:rowOff>9525</xdr:rowOff>
        </xdr:to>
        <xdr:sp macro="" textlink="">
          <xdr:nvSpPr>
            <xdr:cNvPr id="21548" name="Check Box 44" hidden="1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00000000-0008-0000-0700-00002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24</xdr:row>
          <xdr:rowOff>0</xdr:rowOff>
        </xdr:from>
        <xdr:to>
          <xdr:col>4</xdr:col>
          <xdr:colOff>638175</xdr:colOff>
          <xdr:row>25</xdr:row>
          <xdr:rowOff>9525</xdr:rowOff>
        </xdr:to>
        <xdr:sp macro="" textlink="">
          <xdr:nvSpPr>
            <xdr:cNvPr id="21549" name="Check Box 45" hidden="1">
              <a:extLst>
                <a:ext uri="{63B3BB69-23CF-44E3-9099-C40C66FF867C}">
                  <a14:compatExt spid="_x0000_s21549"/>
                </a:ext>
                <a:ext uri="{FF2B5EF4-FFF2-40B4-BE49-F238E27FC236}">
                  <a16:creationId xmlns:a16="http://schemas.microsoft.com/office/drawing/2014/main" id="{00000000-0008-0000-0700-00002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38100</xdr:rowOff>
        </xdr:from>
        <xdr:to>
          <xdr:col>2</xdr:col>
          <xdr:colOff>838200</xdr:colOff>
          <xdr:row>28</xdr:row>
          <xdr:rowOff>133350</xdr:rowOff>
        </xdr:to>
        <xdr:sp macro="" textlink="">
          <xdr:nvSpPr>
            <xdr:cNvPr id="21550" name="Check Box 46" hidden="1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00000000-0008-0000-0700-00002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27</xdr:row>
          <xdr:rowOff>28575</xdr:rowOff>
        </xdr:from>
        <xdr:to>
          <xdr:col>3</xdr:col>
          <xdr:colOff>819150</xdr:colOff>
          <xdr:row>28</xdr:row>
          <xdr:rowOff>123825</xdr:rowOff>
        </xdr:to>
        <xdr:sp macro="" textlink="">
          <xdr:nvSpPr>
            <xdr:cNvPr id="21551" name="Check Box 47" hidden="1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00000000-0008-0000-0700-00002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27</xdr:row>
          <xdr:rowOff>28575</xdr:rowOff>
        </xdr:from>
        <xdr:to>
          <xdr:col>4</xdr:col>
          <xdr:colOff>638175</xdr:colOff>
          <xdr:row>28</xdr:row>
          <xdr:rowOff>123825</xdr:rowOff>
        </xdr:to>
        <xdr:sp macro="" textlink="">
          <xdr:nvSpPr>
            <xdr:cNvPr id="21552" name="Check Box 48" hidden="1">
              <a:extLst>
                <a:ext uri="{63B3BB69-23CF-44E3-9099-C40C66FF867C}">
                  <a14:compatExt spid="_x0000_s21552"/>
                </a:ext>
                <a:ext uri="{FF2B5EF4-FFF2-40B4-BE49-F238E27FC236}">
                  <a16:creationId xmlns:a16="http://schemas.microsoft.com/office/drawing/2014/main" id="{00000000-0008-0000-0700-00003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27</xdr:row>
          <xdr:rowOff>28575</xdr:rowOff>
        </xdr:from>
        <xdr:to>
          <xdr:col>2</xdr:col>
          <xdr:colOff>1343025</xdr:colOff>
          <xdr:row>28</xdr:row>
          <xdr:rowOff>123825</xdr:rowOff>
        </xdr:to>
        <xdr:sp macro="" textlink="">
          <xdr:nvSpPr>
            <xdr:cNvPr id="21553" name="Check Box 49" hidden="1">
              <a:extLst>
                <a:ext uri="{63B3BB69-23CF-44E3-9099-C40C66FF867C}">
                  <a14:compatExt spid="_x0000_s21553"/>
                </a:ext>
                <a:ext uri="{FF2B5EF4-FFF2-40B4-BE49-F238E27FC236}">
                  <a16:creationId xmlns:a16="http://schemas.microsoft.com/office/drawing/2014/main" id="{00000000-0008-0000-0700-00003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27</xdr:row>
          <xdr:rowOff>38100</xdr:rowOff>
        </xdr:from>
        <xdr:to>
          <xdr:col>3</xdr:col>
          <xdr:colOff>114300</xdr:colOff>
          <xdr:row>28</xdr:row>
          <xdr:rowOff>133350</xdr:rowOff>
        </xdr:to>
        <xdr:sp macro="" textlink="">
          <xdr:nvSpPr>
            <xdr:cNvPr id="21554" name="Check Box 50" hidden="1">
              <a:extLst>
                <a:ext uri="{63B3BB69-23CF-44E3-9099-C40C66FF867C}">
                  <a14:compatExt spid="_x0000_s21554"/>
                </a:ext>
                <a:ext uri="{FF2B5EF4-FFF2-40B4-BE49-F238E27FC236}">
                  <a16:creationId xmlns:a16="http://schemas.microsoft.com/office/drawing/2014/main" id="{00000000-0008-0000-0700-00003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27</xdr:row>
          <xdr:rowOff>28575</xdr:rowOff>
        </xdr:from>
        <xdr:to>
          <xdr:col>5</xdr:col>
          <xdr:colOff>95250</xdr:colOff>
          <xdr:row>28</xdr:row>
          <xdr:rowOff>123825</xdr:rowOff>
        </xdr:to>
        <xdr:sp macro="" textlink="">
          <xdr:nvSpPr>
            <xdr:cNvPr id="21555" name="Check Box 51" hidden="1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00000000-0008-0000-0700-00003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28</xdr:row>
          <xdr:rowOff>19050</xdr:rowOff>
        </xdr:from>
        <xdr:to>
          <xdr:col>2</xdr:col>
          <xdr:colOff>828675</xdr:colOff>
          <xdr:row>29</xdr:row>
          <xdr:rowOff>114300</xdr:rowOff>
        </xdr:to>
        <xdr:sp macro="" textlink="">
          <xdr:nvSpPr>
            <xdr:cNvPr id="21556" name="Check Box 52" hidden="1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00000000-0008-0000-0700-00003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28</xdr:row>
          <xdr:rowOff>9525</xdr:rowOff>
        </xdr:from>
        <xdr:to>
          <xdr:col>2</xdr:col>
          <xdr:colOff>1600200</xdr:colOff>
          <xdr:row>29</xdr:row>
          <xdr:rowOff>104775</xdr:rowOff>
        </xdr:to>
        <xdr:sp macro="" textlink="">
          <xdr:nvSpPr>
            <xdr:cNvPr id="21557" name="Check Box 53" hidden="1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00000000-0008-0000-0700-00003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28</xdr:row>
          <xdr:rowOff>9525</xdr:rowOff>
        </xdr:from>
        <xdr:to>
          <xdr:col>3</xdr:col>
          <xdr:colOff>104775</xdr:colOff>
          <xdr:row>29</xdr:row>
          <xdr:rowOff>104775</xdr:rowOff>
        </xdr:to>
        <xdr:sp macro="" textlink="">
          <xdr:nvSpPr>
            <xdr:cNvPr id="21558" name="Check Box 54" hidden="1">
              <a:extLst>
                <a:ext uri="{63B3BB69-23CF-44E3-9099-C40C66FF867C}">
                  <a14:compatExt spid="_x0000_s21558"/>
                </a:ext>
                <a:ext uri="{FF2B5EF4-FFF2-40B4-BE49-F238E27FC236}">
                  <a16:creationId xmlns:a16="http://schemas.microsoft.com/office/drawing/2014/main" id="{00000000-0008-0000-0700-00003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2</xdr:col>
          <xdr:colOff>990600</xdr:colOff>
          <xdr:row>30</xdr:row>
          <xdr:rowOff>47625</xdr:rowOff>
        </xdr:to>
        <xdr:sp macro="" textlink="">
          <xdr:nvSpPr>
            <xdr:cNvPr id="21559" name="Check Box 55" hidden="1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00000000-0008-0000-0700-00003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29</xdr:row>
          <xdr:rowOff>0</xdr:rowOff>
        </xdr:from>
        <xdr:to>
          <xdr:col>3</xdr:col>
          <xdr:colOff>847725</xdr:colOff>
          <xdr:row>30</xdr:row>
          <xdr:rowOff>47625</xdr:rowOff>
        </xdr:to>
        <xdr:sp macro="" textlink="">
          <xdr:nvSpPr>
            <xdr:cNvPr id="21560" name="Check Box 56" hidden="1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00000000-0008-0000-0700-00003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29</xdr:row>
          <xdr:rowOff>0</xdr:rowOff>
        </xdr:from>
        <xdr:to>
          <xdr:col>4</xdr:col>
          <xdr:colOff>638175</xdr:colOff>
          <xdr:row>30</xdr:row>
          <xdr:rowOff>47625</xdr:rowOff>
        </xdr:to>
        <xdr:sp macro="" textlink="">
          <xdr:nvSpPr>
            <xdr:cNvPr id="21561" name="Check Box 57" hidden="1">
              <a:extLst>
                <a:ext uri="{63B3BB69-23CF-44E3-9099-C40C66FF867C}">
                  <a14:compatExt spid="_x0000_s21561"/>
                </a:ext>
                <a:ext uri="{FF2B5EF4-FFF2-40B4-BE49-F238E27FC236}">
                  <a16:creationId xmlns:a16="http://schemas.microsoft.com/office/drawing/2014/main" id="{00000000-0008-0000-0700-00003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32</xdr:row>
          <xdr:rowOff>38100</xdr:rowOff>
        </xdr:from>
        <xdr:to>
          <xdr:col>2</xdr:col>
          <xdr:colOff>838200</xdr:colOff>
          <xdr:row>33</xdr:row>
          <xdr:rowOff>133350</xdr:rowOff>
        </xdr:to>
        <xdr:sp macro="" textlink="">
          <xdr:nvSpPr>
            <xdr:cNvPr id="21562" name="Check Box 58" hidden="1">
              <a:extLst>
                <a:ext uri="{63B3BB69-23CF-44E3-9099-C40C66FF867C}">
                  <a14:compatExt spid="_x0000_s21562"/>
                </a:ext>
                <a:ext uri="{FF2B5EF4-FFF2-40B4-BE49-F238E27FC236}">
                  <a16:creationId xmlns:a16="http://schemas.microsoft.com/office/drawing/2014/main" id="{00000000-0008-0000-0700-00003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32</xdr:row>
          <xdr:rowOff>28575</xdr:rowOff>
        </xdr:from>
        <xdr:to>
          <xdr:col>3</xdr:col>
          <xdr:colOff>819150</xdr:colOff>
          <xdr:row>33</xdr:row>
          <xdr:rowOff>123825</xdr:rowOff>
        </xdr:to>
        <xdr:sp macro="" textlink="">
          <xdr:nvSpPr>
            <xdr:cNvPr id="21563" name="Check Box 59" hidden="1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00000000-0008-0000-0700-00003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32</xdr:row>
          <xdr:rowOff>28575</xdr:rowOff>
        </xdr:from>
        <xdr:to>
          <xdr:col>4</xdr:col>
          <xdr:colOff>638175</xdr:colOff>
          <xdr:row>33</xdr:row>
          <xdr:rowOff>123825</xdr:rowOff>
        </xdr:to>
        <xdr:sp macro="" textlink="">
          <xdr:nvSpPr>
            <xdr:cNvPr id="21564" name="Check Box 60" hidden="1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00000000-0008-0000-0700-00003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32</xdr:row>
          <xdr:rowOff>28575</xdr:rowOff>
        </xdr:from>
        <xdr:to>
          <xdr:col>2</xdr:col>
          <xdr:colOff>1343025</xdr:colOff>
          <xdr:row>33</xdr:row>
          <xdr:rowOff>123825</xdr:rowOff>
        </xdr:to>
        <xdr:sp macro="" textlink="">
          <xdr:nvSpPr>
            <xdr:cNvPr id="21565" name="Check Box 61" hidden="1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00000000-0008-0000-0700-00003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32</xdr:row>
          <xdr:rowOff>38100</xdr:rowOff>
        </xdr:from>
        <xdr:to>
          <xdr:col>3</xdr:col>
          <xdr:colOff>114300</xdr:colOff>
          <xdr:row>33</xdr:row>
          <xdr:rowOff>133350</xdr:rowOff>
        </xdr:to>
        <xdr:sp macro="" textlink="">
          <xdr:nvSpPr>
            <xdr:cNvPr id="21566" name="Check Box 62" hidden="1">
              <a:extLst>
                <a:ext uri="{63B3BB69-23CF-44E3-9099-C40C66FF867C}">
                  <a14:compatExt spid="_x0000_s21566"/>
                </a:ext>
                <a:ext uri="{FF2B5EF4-FFF2-40B4-BE49-F238E27FC236}">
                  <a16:creationId xmlns:a16="http://schemas.microsoft.com/office/drawing/2014/main" id="{00000000-0008-0000-0700-00003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32</xdr:row>
          <xdr:rowOff>28575</xdr:rowOff>
        </xdr:from>
        <xdr:to>
          <xdr:col>5</xdr:col>
          <xdr:colOff>95250</xdr:colOff>
          <xdr:row>33</xdr:row>
          <xdr:rowOff>123825</xdr:rowOff>
        </xdr:to>
        <xdr:sp macro="" textlink="">
          <xdr:nvSpPr>
            <xdr:cNvPr id="21567" name="Check Box 63" hidden="1">
              <a:extLst>
                <a:ext uri="{63B3BB69-23CF-44E3-9099-C40C66FF867C}">
                  <a14:compatExt spid="_x0000_s21567"/>
                </a:ext>
                <a:ext uri="{FF2B5EF4-FFF2-40B4-BE49-F238E27FC236}">
                  <a16:creationId xmlns:a16="http://schemas.microsoft.com/office/drawing/2014/main" id="{00000000-0008-0000-0700-00003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33</xdr:row>
          <xdr:rowOff>19050</xdr:rowOff>
        </xdr:from>
        <xdr:to>
          <xdr:col>2</xdr:col>
          <xdr:colOff>828675</xdr:colOff>
          <xdr:row>34</xdr:row>
          <xdr:rowOff>114300</xdr:rowOff>
        </xdr:to>
        <xdr:sp macro="" textlink="">
          <xdr:nvSpPr>
            <xdr:cNvPr id="21568" name="Check Box 64" hidden="1">
              <a:extLst>
                <a:ext uri="{63B3BB69-23CF-44E3-9099-C40C66FF867C}">
                  <a14:compatExt spid="_x0000_s21568"/>
                </a:ext>
                <a:ext uri="{FF2B5EF4-FFF2-40B4-BE49-F238E27FC236}">
                  <a16:creationId xmlns:a16="http://schemas.microsoft.com/office/drawing/2014/main" id="{00000000-0008-0000-0700-00004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33</xdr:row>
          <xdr:rowOff>9525</xdr:rowOff>
        </xdr:from>
        <xdr:to>
          <xdr:col>2</xdr:col>
          <xdr:colOff>1600200</xdr:colOff>
          <xdr:row>34</xdr:row>
          <xdr:rowOff>104775</xdr:rowOff>
        </xdr:to>
        <xdr:sp macro="" textlink="">
          <xdr:nvSpPr>
            <xdr:cNvPr id="21569" name="Check Box 65" hidden="1">
              <a:extLst>
                <a:ext uri="{63B3BB69-23CF-44E3-9099-C40C66FF867C}">
                  <a14:compatExt spid="_x0000_s21569"/>
                </a:ext>
                <a:ext uri="{FF2B5EF4-FFF2-40B4-BE49-F238E27FC236}">
                  <a16:creationId xmlns:a16="http://schemas.microsoft.com/office/drawing/2014/main" id="{00000000-0008-0000-0700-00004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33</xdr:row>
          <xdr:rowOff>9525</xdr:rowOff>
        </xdr:from>
        <xdr:to>
          <xdr:col>3</xdr:col>
          <xdr:colOff>104775</xdr:colOff>
          <xdr:row>34</xdr:row>
          <xdr:rowOff>104775</xdr:rowOff>
        </xdr:to>
        <xdr:sp macro="" textlink="">
          <xdr:nvSpPr>
            <xdr:cNvPr id="21570" name="Check Box 66" hidden="1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00000000-0008-0000-0700-00004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0</xdr:rowOff>
        </xdr:from>
        <xdr:to>
          <xdr:col>2</xdr:col>
          <xdr:colOff>990600</xdr:colOff>
          <xdr:row>35</xdr:row>
          <xdr:rowOff>38100</xdr:rowOff>
        </xdr:to>
        <xdr:sp macro="" textlink="">
          <xdr:nvSpPr>
            <xdr:cNvPr id="21571" name="Check Box 67" hidden="1">
              <a:extLst>
                <a:ext uri="{63B3BB69-23CF-44E3-9099-C40C66FF867C}">
                  <a14:compatExt spid="_x0000_s21571"/>
                </a:ext>
                <a:ext uri="{FF2B5EF4-FFF2-40B4-BE49-F238E27FC236}">
                  <a16:creationId xmlns:a16="http://schemas.microsoft.com/office/drawing/2014/main" id="{00000000-0008-0000-0700-00004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34</xdr:row>
          <xdr:rowOff>0</xdr:rowOff>
        </xdr:from>
        <xdr:to>
          <xdr:col>3</xdr:col>
          <xdr:colOff>847725</xdr:colOff>
          <xdr:row>35</xdr:row>
          <xdr:rowOff>38100</xdr:rowOff>
        </xdr:to>
        <xdr:sp macro="" textlink="">
          <xdr:nvSpPr>
            <xdr:cNvPr id="21572" name="Check Box 68" hidden="1">
              <a:extLst>
                <a:ext uri="{63B3BB69-23CF-44E3-9099-C40C66FF867C}">
                  <a14:compatExt spid="_x0000_s21572"/>
                </a:ext>
                <a:ext uri="{FF2B5EF4-FFF2-40B4-BE49-F238E27FC236}">
                  <a16:creationId xmlns:a16="http://schemas.microsoft.com/office/drawing/2014/main" id="{00000000-0008-0000-0700-00004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34</xdr:row>
          <xdr:rowOff>0</xdr:rowOff>
        </xdr:from>
        <xdr:to>
          <xdr:col>4</xdr:col>
          <xdr:colOff>638175</xdr:colOff>
          <xdr:row>35</xdr:row>
          <xdr:rowOff>38100</xdr:rowOff>
        </xdr:to>
        <xdr:sp macro="" textlink="">
          <xdr:nvSpPr>
            <xdr:cNvPr id="21573" name="Check Box 69" hidden="1">
              <a:extLst>
                <a:ext uri="{63B3BB69-23CF-44E3-9099-C40C66FF867C}">
                  <a14:compatExt spid="_x0000_s21573"/>
                </a:ext>
                <a:ext uri="{FF2B5EF4-FFF2-40B4-BE49-F238E27FC236}">
                  <a16:creationId xmlns:a16="http://schemas.microsoft.com/office/drawing/2014/main" id="{00000000-0008-0000-0700-00004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37</xdr:row>
          <xdr:rowOff>38100</xdr:rowOff>
        </xdr:from>
        <xdr:to>
          <xdr:col>2</xdr:col>
          <xdr:colOff>838200</xdr:colOff>
          <xdr:row>38</xdr:row>
          <xdr:rowOff>133350</xdr:rowOff>
        </xdr:to>
        <xdr:sp macro="" textlink="">
          <xdr:nvSpPr>
            <xdr:cNvPr id="21574" name="Check Box 70" hidden="1">
              <a:extLst>
                <a:ext uri="{63B3BB69-23CF-44E3-9099-C40C66FF867C}">
                  <a14:compatExt spid="_x0000_s21574"/>
                </a:ext>
                <a:ext uri="{FF2B5EF4-FFF2-40B4-BE49-F238E27FC236}">
                  <a16:creationId xmlns:a16="http://schemas.microsoft.com/office/drawing/2014/main" id="{00000000-0008-0000-0700-00004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37</xdr:row>
          <xdr:rowOff>28575</xdr:rowOff>
        </xdr:from>
        <xdr:to>
          <xdr:col>3</xdr:col>
          <xdr:colOff>819150</xdr:colOff>
          <xdr:row>38</xdr:row>
          <xdr:rowOff>123825</xdr:rowOff>
        </xdr:to>
        <xdr:sp macro="" textlink="">
          <xdr:nvSpPr>
            <xdr:cNvPr id="21575" name="Check Box 71" hidden="1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00000000-0008-0000-0700-00004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37</xdr:row>
          <xdr:rowOff>28575</xdr:rowOff>
        </xdr:from>
        <xdr:to>
          <xdr:col>4</xdr:col>
          <xdr:colOff>638175</xdr:colOff>
          <xdr:row>38</xdr:row>
          <xdr:rowOff>123825</xdr:rowOff>
        </xdr:to>
        <xdr:sp macro="" textlink="">
          <xdr:nvSpPr>
            <xdr:cNvPr id="21576" name="Check Box 72" hidden="1">
              <a:extLst>
                <a:ext uri="{63B3BB69-23CF-44E3-9099-C40C66FF867C}">
                  <a14:compatExt spid="_x0000_s21576"/>
                </a:ext>
                <a:ext uri="{FF2B5EF4-FFF2-40B4-BE49-F238E27FC236}">
                  <a16:creationId xmlns:a16="http://schemas.microsoft.com/office/drawing/2014/main" id="{00000000-0008-0000-0700-00004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37</xdr:row>
          <xdr:rowOff>28575</xdr:rowOff>
        </xdr:from>
        <xdr:to>
          <xdr:col>2</xdr:col>
          <xdr:colOff>1343025</xdr:colOff>
          <xdr:row>38</xdr:row>
          <xdr:rowOff>123825</xdr:rowOff>
        </xdr:to>
        <xdr:sp macro="" textlink="">
          <xdr:nvSpPr>
            <xdr:cNvPr id="21577" name="Check Box 73" hidden="1">
              <a:extLst>
                <a:ext uri="{63B3BB69-23CF-44E3-9099-C40C66FF867C}">
                  <a14:compatExt spid="_x0000_s21577"/>
                </a:ext>
                <a:ext uri="{FF2B5EF4-FFF2-40B4-BE49-F238E27FC236}">
                  <a16:creationId xmlns:a16="http://schemas.microsoft.com/office/drawing/2014/main" id="{00000000-0008-0000-0700-00004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37</xdr:row>
          <xdr:rowOff>38100</xdr:rowOff>
        </xdr:from>
        <xdr:to>
          <xdr:col>3</xdr:col>
          <xdr:colOff>114300</xdr:colOff>
          <xdr:row>38</xdr:row>
          <xdr:rowOff>133350</xdr:rowOff>
        </xdr:to>
        <xdr:sp macro="" textlink="">
          <xdr:nvSpPr>
            <xdr:cNvPr id="21578" name="Check Box 74" hidden="1">
              <a:extLst>
                <a:ext uri="{63B3BB69-23CF-44E3-9099-C40C66FF867C}">
                  <a14:compatExt spid="_x0000_s21578"/>
                </a:ext>
                <a:ext uri="{FF2B5EF4-FFF2-40B4-BE49-F238E27FC236}">
                  <a16:creationId xmlns:a16="http://schemas.microsoft.com/office/drawing/2014/main" id="{00000000-0008-0000-0700-00004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37</xdr:row>
          <xdr:rowOff>28575</xdr:rowOff>
        </xdr:from>
        <xdr:to>
          <xdr:col>5</xdr:col>
          <xdr:colOff>95250</xdr:colOff>
          <xdr:row>38</xdr:row>
          <xdr:rowOff>123825</xdr:rowOff>
        </xdr:to>
        <xdr:sp macro="" textlink="">
          <xdr:nvSpPr>
            <xdr:cNvPr id="21579" name="Check Box 75" hidden="1">
              <a:extLst>
                <a:ext uri="{63B3BB69-23CF-44E3-9099-C40C66FF867C}">
                  <a14:compatExt spid="_x0000_s21579"/>
                </a:ext>
                <a:ext uri="{FF2B5EF4-FFF2-40B4-BE49-F238E27FC236}">
                  <a16:creationId xmlns:a16="http://schemas.microsoft.com/office/drawing/2014/main" id="{00000000-0008-0000-0700-00004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38</xdr:row>
          <xdr:rowOff>19050</xdr:rowOff>
        </xdr:from>
        <xdr:to>
          <xdr:col>2</xdr:col>
          <xdr:colOff>828675</xdr:colOff>
          <xdr:row>39</xdr:row>
          <xdr:rowOff>114300</xdr:rowOff>
        </xdr:to>
        <xdr:sp macro="" textlink="">
          <xdr:nvSpPr>
            <xdr:cNvPr id="21580" name="Check Box 76" hidden="1">
              <a:extLst>
                <a:ext uri="{63B3BB69-23CF-44E3-9099-C40C66FF867C}">
                  <a14:compatExt spid="_x0000_s21580"/>
                </a:ext>
                <a:ext uri="{FF2B5EF4-FFF2-40B4-BE49-F238E27FC236}">
                  <a16:creationId xmlns:a16="http://schemas.microsoft.com/office/drawing/2014/main" id="{00000000-0008-0000-0700-00004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38</xdr:row>
          <xdr:rowOff>9525</xdr:rowOff>
        </xdr:from>
        <xdr:to>
          <xdr:col>2</xdr:col>
          <xdr:colOff>1600200</xdr:colOff>
          <xdr:row>39</xdr:row>
          <xdr:rowOff>104775</xdr:rowOff>
        </xdr:to>
        <xdr:sp macro="" textlink="">
          <xdr:nvSpPr>
            <xdr:cNvPr id="21581" name="Check Box 77" hidden="1">
              <a:extLst>
                <a:ext uri="{63B3BB69-23CF-44E3-9099-C40C66FF867C}">
                  <a14:compatExt spid="_x0000_s21581"/>
                </a:ext>
                <a:ext uri="{FF2B5EF4-FFF2-40B4-BE49-F238E27FC236}">
                  <a16:creationId xmlns:a16="http://schemas.microsoft.com/office/drawing/2014/main" id="{00000000-0008-0000-0700-00004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38</xdr:row>
          <xdr:rowOff>9525</xdr:rowOff>
        </xdr:from>
        <xdr:to>
          <xdr:col>3</xdr:col>
          <xdr:colOff>104775</xdr:colOff>
          <xdr:row>39</xdr:row>
          <xdr:rowOff>104775</xdr:rowOff>
        </xdr:to>
        <xdr:sp macro="" textlink="">
          <xdr:nvSpPr>
            <xdr:cNvPr id="21582" name="Check Box 78" hidden="1">
              <a:extLst>
                <a:ext uri="{63B3BB69-23CF-44E3-9099-C40C66FF867C}">
                  <a14:compatExt spid="_x0000_s21582"/>
                </a:ext>
                <a:ext uri="{FF2B5EF4-FFF2-40B4-BE49-F238E27FC236}">
                  <a16:creationId xmlns:a16="http://schemas.microsoft.com/office/drawing/2014/main" id="{00000000-0008-0000-0700-00004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39</xdr:row>
          <xdr:rowOff>0</xdr:rowOff>
        </xdr:from>
        <xdr:to>
          <xdr:col>2</xdr:col>
          <xdr:colOff>990600</xdr:colOff>
          <xdr:row>40</xdr:row>
          <xdr:rowOff>47625</xdr:rowOff>
        </xdr:to>
        <xdr:sp macro="" textlink="">
          <xdr:nvSpPr>
            <xdr:cNvPr id="21583" name="Check Box 79" hidden="1">
              <a:extLst>
                <a:ext uri="{63B3BB69-23CF-44E3-9099-C40C66FF867C}">
                  <a14:compatExt spid="_x0000_s21583"/>
                </a:ext>
                <a:ext uri="{FF2B5EF4-FFF2-40B4-BE49-F238E27FC236}">
                  <a16:creationId xmlns:a16="http://schemas.microsoft.com/office/drawing/2014/main" id="{00000000-0008-0000-0700-00004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39</xdr:row>
          <xdr:rowOff>0</xdr:rowOff>
        </xdr:from>
        <xdr:to>
          <xdr:col>3</xdr:col>
          <xdr:colOff>847725</xdr:colOff>
          <xdr:row>40</xdr:row>
          <xdr:rowOff>47625</xdr:rowOff>
        </xdr:to>
        <xdr:sp macro="" textlink="">
          <xdr:nvSpPr>
            <xdr:cNvPr id="21584" name="Check Box 80" hidden="1">
              <a:extLst>
                <a:ext uri="{63B3BB69-23CF-44E3-9099-C40C66FF867C}">
                  <a14:compatExt spid="_x0000_s21584"/>
                </a:ext>
                <a:ext uri="{FF2B5EF4-FFF2-40B4-BE49-F238E27FC236}">
                  <a16:creationId xmlns:a16="http://schemas.microsoft.com/office/drawing/2014/main" id="{00000000-0008-0000-0700-00005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39</xdr:row>
          <xdr:rowOff>0</xdr:rowOff>
        </xdr:from>
        <xdr:to>
          <xdr:col>4</xdr:col>
          <xdr:colOff>638175</xdr:colOff>
          <xdr:row>40</xdr:row>
          <xdr:rowOff>47625</xdr:rowOff>
        </xdr:to>
        <xdr:sp macro="" textlink="">
          <xdr:nvSpPr>
            <xdr:cNvPr id="21585" name="Check Box 81" hidden="1">
              <a:extLst>
                <a:ext uri="{63B3BB69-23CF-44E3-9099-C40C66FF867C}">
                  <a14:compatExt spid="_x0000_s21585"/>
                </a:ext>
                <a:ext uri="{FF2B5EF4-FFF2-40B4-BE49-F238E27FC236}">
                  <a16:creationId xmlns:a16="http://schemas.microsoft.com/office/drawing/2014/main" id="{00000000-0008-0000-0700-00005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42</xdr:row>
          <xdr:rowOff>38100</xdr:rowOff>
        </xdr:from>
        <xdr:to>
          <xdr:col>2</xdr:col>
          <xdr:colOff>838200</xdr:colOff>
          <xdr:row>43</xdr:row>
          <xdr:rowOff>133350</xdr:rowOff>
        </xdr:to>
        <xdr:sp macro="" textlink="">
          <xdr:nvSpPr>
            <xdr:cNvPr id="21586" name="Check Box 82" hidden="1">
              <a:extLst>
                <a:ext uri="{63B3BB69-23CF-44E3-9099-C40C66FF867C}">
                  <a14:compatExt spid="_x0000_s21586"/>
                </a:ext>
                <a:ext uri="{FF2B5EF4-FFF2-40B4-BE49-F238E27FC236}">
                  <a16:creationId xmlns:a16="http://schemas.microsoft.com/office/drawing/2014/main" id="{00000000-0008-0000-0700-00005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42</xdr:row>
          <xdr:rowOff>28575</xdr:rowOff>
        </xdr:from>
        <xdr:to>
          <xdr:col>3</xdr:col>
          <xdr:colOff>819150</xdr:colOff>
          <xdr:row>43</xdr:row>
          <xdr:rowOff>123825</xdr:rowOff>
        </xdr:to>
        <xdr:sp macro="" textlink="">
          <xdr:nvSpPr>
            <xdr:cNvPr id="21587" name="Check Box 83" hidden="1">
              <a:extLst>
                <a:ext uri="{63B3BB69-23CF-44E3-9099-C40C66FF867C}">
                  <a14:compatExt spid="_x0000_s21587"/>
                </a:ext>
                <a:ext uri="{FF2B5EF4-FFF2-40B4-BE49-F238E27FC236}">
                  <a16:creationId xmlns:a16="http://schemas.microsoft.com/office/drawing/2014/main" id="{00000000-0008-0000-0700-00005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42</xdr:row>
          <xdr:rowOff>28575</xdr:rowOff>
        </xdr:from>
        <xdr:to>
          <xdr:col>4</xdr:col>
          <xdr:colOff>638175</xdr:colOff>
          <xdr:row>43</xdr:row>
          <xdr:rowOff>123825</xdr:rowOff>
        </xdr:to>
        <xdr:sp macro="" textlink="">
          <xdr:nvSpPr>
            <xdr:cNvPr id="21588" name="Check Box 84" hidden="1">
              <a:extLst>
                <a:ext uri="{63B3BB69-23CF-44E3-9099-C40C66FF867C}">
                  <a14:compatExt spid="_x0000_s21588"/>
                </a:ext>
                <a:ext uri="{FF2B5EF4-FFF2-40B4-BE49-F238E27FC236}">
                  <a16:creationId xmlns:a16="http://schemas.microsoft.com/office/drawing/2014/main" id="{00000000-0008-0000-0700-00005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42</xdr:row>
          <xdr:rowOff>28575</xdr:rowOff>
        </xdr:from>
        <xdr:to>
          <xdr:col>2</xdr:col>
          <xdr:colOff>1343025</xdr:colOff>
          <xdr:row>43</xdr:row>
          <xdr:rowOff>123825</xdr:rowOff>
        </xdr:to>
        <xdr:sp macro="" textlink="">
          <xdr:nvSpPr>
            <xdr:cNvPr id="21589" name="Check Box 85" hidden="1">
              <a:extLst>
                <a:ext uri="{63B3BB69-23CF-44E3-9099-C40C66FF867C}">
                  <a14:compatExt spid="_x0000_s21589"/>
                </a:ext>
                <a:ext uri="{FF2B5EF4-FFF2-40B4-BE49-F238E27FC236}">
                  <a16:creationId xmlns:a16="http://schemas.microsoft.com/office/drawing/2014/main" id="{00000000-0008-0000-0700-00005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42</xdr:row>
          <xdr:rowOff>38100</xdr:rowOff>
        </xdr:from>
        <xdr:to>
          <xdr:col>3</xdr:col>
          <xdr:colOff>114300</xdr:colOff>
          <xdr:row>43</xdr:row>
          <xdr:rowOff>133350</xdr:rowOff>
        </xdr:to>
        <xdr:sp macro="" textlink="">
          <xdr:nvSpPr>
            <xdr:cNvPr id="21590" name="Check Box 86" hidden="1">
              <a:extLst>
                <a:ext uri="{63B3BB69-23CF-44E3-9099-C40C66FF867C}">
                  <a14:compatExt spid="_x0000_s21590"/>
                </a:ext>
                <a:ext uri="{FF2B5EF4-FFF2-40B4-BE49-F238E27FC236}">
                  <a16:creationId xmlns:a16="http://schemas.microsoft.com/office/drawing/2014/main" id="{00000000-0008-0000-0700-00005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42</xdr:row>
          <xdr:rowOff>28575</xdr:rowOff>
        </xdr:from>
        <xdr:to>
          <xdr:col>5</xdr:col>
          <xdr:colOff>95250</xdr:colOff>
          <xdr:row>43</xdr:row>
          <xdr:rowOff>123825</xdr:rowOff>
        </xdr:to>
        <xdr:sp macro="" textlink="">
          <xdr:nvSpPr>
            <xdr:cNvPr id="21591" name="Check Box 87" hidden="1">
              <a:extLst>
                <a:ext uri="{63B3BB69-23CF-44E3-9099-C40C66FF867C}">
                  <a14:compatExt spid="_x0000_s21591"/>
                </a:ext>
                <a:ext uri="{FF2B5EF4-FFF2-40B4-BE49-F238E27FC236}">
                  <a16:creationId xmlns:a16="http://schemas.microsoft.com/office/drawing/2014/main" id="{00000000-0008-0000-0700-00005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43</xdr:row>
          <xdr:rowOff>19050</xdr:rowOff>
        </xdr:from>
        <xdr:to>
          <xdr:col>2</xdr:col>
          <xdr:colOff>828675</xdr:colOff>
          <xdr:row>44</xdr:row>
          <xdr:rowOff>114300</xdr:rowOff>
        </xdr:to>
        <xdr:sp macro="" textlink="">
          <xdr:nvSpPr>
            <xdr:cNvPr id="21592" name="Check Box 88" hidden="1">
              <a:extLst>
                <a:ext uri="{63B3BB69-23CF-44E3-9099-C40C66FF867C}">
                  <a14:compatExt spid="_x0000_s21592"/>
                </a:ext>
                <a:ext uri="{FF2B5EF4-FFF2-40B4-BE49-F238E27FC236}">
                  <a16:creationId xmlns:a16="http://schemas.microsoft.com/office/drawing/2014/main" id="{00000000-0008-0000-0700-00005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43</xdr:row>
          <xdr:rowOff>9525</xdr:rowOff>
        </xdr:from>
        <xdr:to>
          <xdr:col>2</xdr:col>
          <xdr:colOff>1600200</xdr:colOff>
          <xdr:row>44</xdr:row>
          <xdr:rowOff>104775</xdr:rowOff>
        </xdr:to>
        <xdr:sp macro="" textlink="">
          <xdr:nvSpPr>
            <xdr:cNvPr id="21593" name="Check Box 89" hidden="1">
              <a:extLst>
                <a:ext uri="{63B3BB69-23CF-44E3-9099-C40C66FF867C}">
                  <a14:compatExt spid="_x0000_s21593"/>
                </a:ext>
                <a:ext uri="{FF2B5EF4-FFF2-40B4-BE49-F238E27FC236}">
                  <a16:creationId xmlns:a16="http://schemas.microsoft.com/office/drawing/2014/main" id="{00000000-0008-0000-0700-00005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43</xdr:row>
          <xdr:rowOff>9525</xdr:rowOff>
        </xdr:from>
        <xdr:to>
          <xdr:col>3</xdr:col>
          <xdr:colOff>104775</xdr:colOff>
          <xdr:row>44</xdr:row>
          <xdr:rowOff>104775</xdr:rowOff>
        </xdr:to>
        <xdr:sp macro="" textlink="">
          <xdr:nvSpPr>
            <xdr:cNvPr id="21594" name="Check Box 90" hidden="1">
              <a:extLst>
                <a:ext uri="{63B3BB69-23CF-44E3-9099-C40C66FF867C}">
                  <a14:compatExt spid="_x0000_s21594"/>
                </a:ext>
                <a:ext uri="{FF2B5EF4-FFF2-40B4-BE49-F238E27FC236}">
                  <a16:creationId xmlns:a16="http://schemas.microsoft.com/office/drawing/2014/main" id="{00000000-0008-0000-0700-00005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44</xdr:row>
          <xdr:rowOff>0</xdr:rowOff>
        </xdr:from>
        <xdr:to>
          <xdr:col>2</xdr:col>
          <xdr:colOff>990600</xdr:colOff>
          <xdr:row>45</xdr:row>
          <xdr:rowOff>28575</xdr:rowOff>
        </xdr:to>
        <xdr:sp macro="" textlink="">
          <xdr:nvSpPr>
            <xdr:cNvPr id="21595" name="Check Box 91" hidden="1">
              <a:extLst>
                <a:ext uri="{63B3BB69-23CF-44E3-9099-C40C66FF867C}">
                  <a14:compatExt spid="_x0000_s21595"/>
                </a:ext>
                <a:ext uri="{FF2B5EF4-FFF2-40B4-BE49-F238E27FC236}">
                  <a16:creationId xmlns:a16="http://schemas.microsoft.com/office/drawing/2014/main" id="{00000000-0008-0000-0700-00005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44</xdr:row>
          <xdr:rowOff>0</xdr:rowOff>
        </xdr:from>
        <xdr:to>
          <xdr:col>3</xdr:col>
          <xdr:colOff>847725</xdr:colOff>
          <xdr:row>45</xdr:row>
          <xdr:rowOff>28575</xdr:rowOff>
        </xdr:to>
        <xdr:sp macro="" textlink="">
          <xdr:nvSpPr>
            <xdr:cNvPr id="21596" name="Check Box 92" hidden="1">
              <a:extLst>
                <a:ext uri="{63B3BB69-23CF-44E3-9099-C40C66FF867C}">
                  <a14:compatExt spid="_x0000_s21596"/>
                </a:ext>
                <a:ext uri="{FF2B5EF4-FFF2-40B4-BE49-F238E27FC236}">
                  <a16:creationId xmlns:a16="http://schemas.microsoft.com/office/drawing/2014/main" id="{00000000-0008-0000-0700-00005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44</xdr:row>
          <xdr:rowOff>0</xdr:rowOff>
        </xdr:from>
        <xdr:to>
          <xdr:col>4</xdr:col>
          <xdr:colOff>638175</xdr:colOff>
          <xdr:row>45</xdr:row>
          <xdr:rowOff>28575</xdr:rowOff>
        </xdr:to>
        <xdr:sp macro="" textlink="">
          <xdr:nvSpPr>
            <xdr:cNvPr id="21597" name="Check Box 93" hidden="1">
              <a:extLst>
                <a:ext uri="{63B3BB69-23CF-44E3-9099-C40C66FF867C}">
                  <a14:compatExt spid="_x0000_s21597"/>
                </a:ext>
                <a:ext uri="{FF2B5EF4-FFF2-40B4-BE49-F238E27FC236}">
                  <a16:creationId xmlns:a16="http://schemas.microsoft.com/office/drawing/2014/main" id="{00000000-0008-0000-0700-00005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47</xdr:row>
          <xdr:rowOff>38100</xdr:rowOff>
        </xdr:from>
        <xdr:to>
          <xdr:col>2</xdr:col>
          <xdr:colOff>838200</xdr:colOff>
          <xdr:row>48</xdr:row>
          <xdr:rowOff>133350</xdr:rowOff>
        </xdr:to>
        <xdr:sp macro="" textlink="">
          <xdr:nvSpPr>
            <xdr:cNvPr id="21598" name="Check Box 94" hidden="1">
              <a:extLst>
                <a:ext uri="{63B3BB69-23CF-44E3-9099-C40C66FF867C}">
                  <a14:compatExt spid="_x0000_s21598"/>
                </a:ext>
                <a:ext uri="{FF2B5EF4-FFF2-40B4-BE49-F238E27FC236}">
                  <a16:creationId xmlns:a16="http://schemas.microsoft.com/office/drawing/2014/main" id="{00000000-0008-0000-0700-00005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47</xdr:row>
          <xdr:rowOff>28575</xdr:rowOff>
        </xdr:from>
        <xdr:to>
          <xdr:col>3</xdr:col>
          <xdr:colOff>819150</xdr:colOff>
          <xdr:row>48</xdr:row>
          <xdr:rowOff>123825</xdr:rowOff>
        </xdr:to>
        <xdr:sp macro="" textlink="">
          <xdr:nvSpPr>
            <xdr:cNvPr id="21599" name="Check Box 95" hidden="1">
              <a:extLst>
                <a:ext uri="{63B3BB69-23CF-44E3-9099-C40C66FF867C}">
                  <a14:compatExt spid="_x0000_s21599"/>
                </a:ext>
                <a:ext uri="{FF2B5EF4-FFF2-40B4-BE49-F238E27FC236}">
                  <a16:creationId xmlns:a16="http://schemas.microsoft.com/office/drawing/2014/main" id="{00000000-0008-0000-0700-00005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47</xdr:row>
          <xdr:rowOff>28575</xdr:rowOff>
        </xdr:from>
        <xdr:to>
          <xdr:col>4</xdr:col>
          <xdr:colOff>638175</xdr:colOff>
          <xdr:row>48</xdr:row>
          <xdr:rowOff>123825</xdr:rowOff>
        </xdr:to>
        <xdr:sp macro="" textlink="">
          <xdr:nvSpPr>
            <xdr:cNvPr id="21600" name="Check Box 96" hidden="1">
              <a:extLst>
                <a:ext uri="{63B3BB69-23CF-44E3-9099-C40C66FF867C}">
                  <a14:compatExt spid="_x0000_s21600"/>
                </a:ext>
                <a:ext uri="{FF2B5EF4-FFF2-40B4-BE49-F238E27FC236}">
                  <a16:creationId xmlns:a16="http://schemas.microsoft.com/office/drawing/2014/main" id="{00000000-0008-0000-0700-00006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47</xdr:row>
          <xdr:rowOff>28575</xdr:rowOff>
        </xdr:from>
        <xdr:to>
          <xdr:col>2</xdr:col>
          <xdr:colOff>1343025</xdr:colOff>
          <xdr:row>48</xdr:row>
          <xdr:rowOff>123825</xdr:rowOff>
        </xdr:to>
        <xdr:sp macro="" textlink="">
          <xdr:nvSpPr>
            <xdr:cNvPr id="21601" name="Check Box 97" hidden="1">
              <a:extLst>
                <a:ext uri="{63B3BB69-23CF-44E3-9099-C40C66FF867C}">
                  <a14:compatExt spid="_x0000_s21601"/>
                </a:ext>
                <a:ext uri="{FF2B5EF4-FFF2-40B4-BE49-F238E27FC236}">
                  <a16:creationId xmlns:a16="http://schemas.microsoft.com/office/drawing/2014/main" id="{00000000-0008-0000-0700-00006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47</xdr:row>
          <xdr:rowOff>38100</xdr:rowOff>
        </xdr:from>
        <xdr:to>
          <xdr:col>3</xdr:col>
          <xdr:colOff>114300</xdr:colOff>
          <xdr:row>48</xdr:row>
          <xdr:rowOff>133350</xdr:rowOff>
        </xdr:to>
        <xdr:sp macro="" textlink="">
          <xdr:nvSpPr>
            <xdr:cNvPr id="21602" name="Check Box 98" hidden="1">
              <a:extLst>
                <a:ext uri="{63B3BB69-23CF-44E3-9099-C40C66FF867C}">
                  <a14:compatExt spid="_x0000_s21602"/>
                </a:ext>
                <a:ext uri="{FF2B5EF4-FFF2-40B4-BE49-F238E27FC236}">
                  <a16:creationId xmlns:a16="http://schemas.microsoft.com/office/drawing/2014/main" id="{00000000-0008-0000-0700-00006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47</xdr:row>
          <xdr:rowOff>28575</xdr:rowOff>
        </xdr:from>
        <xdr:to>
          <xdr:col>5</xdr:col>
          <xdr:colOff>95250</xdr:colOff>
          <xdr:row>48</xdr:row>
          <xdr:rowOff>123825</xdr:rowOff>
        </xdr:to>
        <xdr:sp macro="" textlink="">
          <xdr:nvSpPr>
            <xdr:cNvPr id="21603" name="Check Box 99" hidden="1">
              <a:extLst>
                <a:ext uri="{63B3BB69-23CF-44E3-9099-C40C66FF867C}">
                  <a14:compatExt spid="_x0000_s21603"/>
                </a:ext>
                <a:ext uri="{FF2B5EF4-FFF2-40B4-BE49-F238E27FC236}">
                  <a16:creationId xmlns:a16="http://schemas.microsoft.com/office/drawing/2014/main" id="{00000000-0008-0000-0700-00006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48</xdr:row>
          <xdr:rowOff>19050</xdr:rowOff>
        </xdr:from>
        <xdr:to>
          <xdr:col>2</xdr:col>
          <xdr:colOff>828675</xdr:colOff>
          <xdr:row>49</xdr:row>
          <xdr:rowOff>114300</xdr:rowOff>
        </xdr:to>
        <xdr:sp macro="" textlink="">
          <xdr:nvSpPr>
            <xdr:cNvPr id="21604" name="Check Box 100" hidden="1">
              <a:extLst>
                <a:ext uri="{63B3BB69-23CF-44E3-9099-C40C66FF867C}">
                  <a14:compatExt spid="_x0000_s21604"/>
                </a:ext>
                <a:ext uri="{FF2B5EF4-FFF2-40B4-BE49-F238E27FC236}">
                  <a16:creationId xmlns:a16="http://schemas.microsoft.com/office/drawing/2014/main" id="{00000000-0008-0000-0700-00006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48</xdr:row>
          <xdr:rowOff>9525</xdr:rowOff>
        </xdr:from>
        <xdr:to>
          <xdr:col>2</xdr:col>
          <xdr:colOff>1600200</xdr:colOff>
          <xdr:row>49</xdr:row>
          <xdr:rowOff>104775</xdr:rowOff>
        </xdr:to>
        <xdr:sp macro="" textlink="">
          <xdr:nvSpPr>
            <xdr:cNvPr id="21605" name="Check Box 101" hidden="1">
              <a:extLst>
                <a:ext uri="{63B3BB69-23CF-44E3-9099-C40C66FF867C}">
                  <a14:compatExt spid="_x0000_s21605"/>
                </a:ext>
                <a:ext uri="{FF2B5EF4-FFF2-40B4-BE49-F238E27FC236}">
                  <a16:creationId xmlns:a16="http://schemas.microsoft.com/office/drawing/2014/main" id="{00000000-0008-0000-0700-00006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48</xdr:row>
          <xdr:rowOff>9525</xdr:rowOff>
        </xdr:from>
        <xdr:to>
          <xdr:col>3</xdr:col>
          <xdr:colOff>104775</xdr:colOff>
          <xdr:row>49</xdr:row>
          <xdr:rowOff>104775</xdr:rowOff>
        </xdr:to>
        <xdr:sp macro="" textlink="">
          <xdr:nvSpPr>
            <xdr:cNvPr id="21606" name="Check Box 102" hidden="1">
              <a:extLst>
                <a:ext uri="{63B3BB69-23CF-44E3-9099-C40C66FF867C}">
                  <a14:compatExt spid="_x0000_s21606"/>
                </a:ext>
                <a:ext uri="{FF2B5EF4-FFF2-40B4-BE49-F238E27FC236}">
                  <a16:creationId xmlns:a16="http://schemas.microsoft.com/office/drawing/2014/main" id="{00000000-0008-0000-0700-00006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49</xdr:row>
          <xdr:rowOff>0</xdr:rowOff>
        </xdr:from>
        <xdr:to>
          <xdr:col>2</xdr:col>
          <xdr:colOff>990600</xdr:colOff>
          <xdr:row>50</xdr:row>
          <xdr:rowOff>38100</xdr:rowOff>
        </xdr:to>
        <xdr:sp macro="" textlink="">
          <xdr:nvSpPr>
            <xdr:cNvPr id="21607" name="Check Box 103" hidden="1">
              <a:extLst>
                <a:ext uri="{63B3BB69-23CF-44E3-9099-C40C66FF867C}">
                  <a14:compatExt spid="_x0000_s21607"/>
                </a:ext>
                <a:ext uri="{FF2B5EF4-FFF2-40B4-BE49-F238E27FC236}">
                  <a16:creationId xmlns:a16="http://schemas.microsoft.com/office/drawing/2014/main" id="{00000000-0008-0000-0700-00006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49</xdr:row>
          <xdr:rowOff>0</xdr:rowOff>
        </xdr:from>
        <xdr:to>
          <xdr:col>3</xdr:col>
          <xdr:colOff>847725</xdr:colOff>
          <xdr:row>50</xdr:row>
          <xdr:rowOff>38100</xdr:rowOff>
        </xdr:to>
        <xdr:sp macro="" textlink="">
          <xdr:nvSpPr>
            <xdr:cNvPr id="21608" name="Check Box 104" hidden="1">
              <a:extLst>
                <a:ext uri="{63B3BB69-23CF-44E3-9099-C40C66FF867C}">
                  <a14:compatExt spid="_x0000_s21608"/>
                </a:ext>
                <a:ext uri="{FF2B5EF4-FFF2-40B4-BE49-F238E27FC236}">
                  <a16:creationId xmlns:a16="http://schemas.microsoft.com/office/drawing/2014/main" id="{00000000-0008-0000-0700-00006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0</xdr:rowOff>
        </xdr:from>
        <xdr:to>
          <xdr:col>4</xdr:col>
          <xdr:colOff>638175</xdr:colOff>
          <xdr:row>50</xdr:row>
          <xdr:rowOff>38100</xdr:rowOff>
        </xdr:to>
        <xdr:sp macro="" textlink="">
          <xdr:nvSpPr>
            <xdr:cNvPr id="21609" name="Check Box 105" hidden="1">
              <a:extLst>
                <a:ext uri="{63B3BB69-23CF-44E3-9099-C40C66FF867C}">
                  <a14:compatExt spid="_x0000_s21609"/>
                </a:ext>
                <a:ext uri="{FF2B5EF4-FFF2-40B4-BE49-F238E27FC236}">
                  <a16:creationId xmlns:a16="http://schemas.microsoft.com/office/drawing/2014/main" id="{00000000-0008-0000-0700-00006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52</xdr:row>
          <xdr:rowOff>38100</xdr:rowOff>
        </xdr:from>
        <xdr:to>
          <xdr:col>2</xdr:col>
          <xdr:colOff>838200</xdr:colOff>
          <xdr:row>53</xdr:row>
          <xdr:rowOff>133350</xdr:rowOff>
        </xdr:to>
        <xdr:sp macro="" textlink="">
          <xdr:nvSpPr>
            <xdr:cNvPr id="21610" name="Check Box 106" hidden="1">
              <a:extLst>
                <a:ext uri="{63B3BB69-23CF-44E3-9099-C40C66FF867C}">
                  <a14:compatExt spid="_x0000_s21610"/>
                </a:ext>
                <a:ext uri="{FF2B5EF4-FFF2-40B4-BE49-F238E27FC236}">
                  <a16:creationId xmlns:a16="http://schemas.microsoft.com/office/drawing/2014/main" id="{00000000-0008-0000-0700-00006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52</xdr:row>
          <xdr:rowOff>28575</xdr:rowOff>
        </xdr:from>
        <xdr:to>
          <xdr:col>3</xdr:col>
          <xdr:colOff>819150</xdr:colOff>
          <xdr:row>53</xdr:row>
          <xdr:rowOff>123825</xdr:rowOff>
        </xdr:to>
        <xdr:sp macro="" textlink="">
          <xdr:nvSpPr>
            <xdr:cNvPr id="21611" name="Check Box 107" hidden="1">
              <a:extLst>
                <a:ext uri="{63B3BB69-23CF-44E3-9099-C40C66FF867C}">
                  <a14:compatExt spid="_x0000_s21611"/>
                </a:ext>
                <a:ext uri="{FF2B5EF4-FFF2-40B4-BE49-F238E27FC236}">
                  <a16:creationId xmlns:a16="http://schemas.microsoft.com/office/drawing/2014/main" id="{00000000-0008-0000-0700-00006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52</xdr:row>
          <xdr:rowOff>28575</xdr:rowOff>
        </xdr:from>
        <xdr:to>
          <xdr:col>4</xdr:col>
          <xdr:colOff>638175</xdr:colOff>
          <xdr:row>53</xdr:row>
          <xdr:rowOff>123825</xdr:rowOff>
        </xdr:to>
        <xdr:sp macro="" textlink="">
          <xdr:nvSpPr>
            <xdr:cNvPr id="21612" name="Check Box 108" hidden="1">
              <a:extLst>
                <a:ext uri="{63B3BB69-23CF-44E3-9099-C40C66FF867C}">
                  <a14:compatExt spid="_x0000_s21612"/>
                </a:ext>
                <a:ext uri="{FF2B5EF4-FFF2-40B4-BE49-F238E27FC236}">
                  <a16:creationId xmlns:a16="http://schemas.microsoft.com/office/drawing/2014/main" id="{00000000-0008-0000-0700-00006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52</xdr:row>
          <xdr:rowOff>28575</xdr:rowOff>
        </xdr:from>
        <xdr:to>
          <xdr:col>2</xdr:col>
          <xdr:colOff>1343025</xdr:colOff>
          <xdr:row>53</xdr:row>
          <xdr:rowOff>123825</xdr:rowOff>
        </xdr:to>
        <xdr:sp macro="" textlink="">
          <xdr:nvSpPr>
            <xdr:cNvPr id="21613" name="Check Box 109" hidden="1">
              <a:extLst>
                <a:ext uri="{63B3BB69-23CF-44E3-9099-C40C66FF867C}">
                  <a14:compatExt spid="_x0000_s21613"/>
                </a:ext>
                <a:ext uri="{FF2B5EF4-FFF2-40B4-BE49-F238E27FC236}">
                  <a16:creationId xmlns:a16="http://schemas.microsoft.com/office/drawing/2014/main" id="{00000000-0008-0000-0700-00006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52</xdr:row>
          <xdr:rowOff>38100</xdr:rowOff>
        </xdr:from>
        <xdr:to>
          <xdr:col>3</xdr:col>
          <xdr:colOff>114300</xdr:colOff>
          <xdr:row>53</xdr:row>
          <xdr:rowOff>133350</xdr:rowOff>
        </xdr:to>
        <xdr:sp macro="" textlink="">
          <xdr:nvSpPr>
            <xdr:cNvPr id="21614" name="Check Box 110" hidden="1">
              <a:extLst>
                <a:ext uri="{63B3BB69-23CF-44E3-9099-C40C66FF867C}">
                  <a14:compatExt spid="_x0000_s21614"/>
                </a:ext>
                <a:ext uri="{FF2B5EF4-FFF2-40B4-BE49-F238E27FC236}">
                  <a16:creationId xmlns:a16="http://schemas.microsoft.com/office/drawing/2014/main" id="{00000000-0008-0000-0700-00006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52</xdr:row>
          <xdr:rowOff>28575</xdr:rowOff>
        </xdr:from>
        <xdr:to>
          <xdr:col>5</xdr:col>
          <xdr:colOff>95250</xdr:colOff>
          <xdr:row>53</xdr:row>
          <xdr:rowOff>123825</xdr:rowOff>
        </xdr:to>
        <xdr:sp macro="" textlink="">
          <xdr:nvSpPr>
            <xdr:cNvPr id="21615" name="Check Box 111" hidden="1">
              <a:extLst>
                <a:ext uri="{63B3BB69-23CF-44E3-9099-C40C66FF867C}">
                  <a14:compatExt spid="_x0000_s21615"/>
                </a:ext>
                <a:ext uri="{FF2B5EF4-FFF2-40B4-BE49-F238E27FC236}">
                  <a16:creationId xmlns:a16="http://schemas.microsoft.com/office/drawing/2014/main" id="{00000000-0008-0000-0700-00006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19050</xdr:rowOff>
        </xdr:from>
        <xdr:to>
          <xdr:col>2</xdr:col>
          <xdr:colOff>828675</xdr:colOff>
          <xdr:row>54</xdr:row>
          <xdr:rowOff>114300</xdr:rowOff>
        </xdr:to>
        <xdr:sp macro="" textlink="">
          <xdr:nvSpPr>
            <xdr:cNvPr id="21616" name="Check Box 112" hidden="1">
              <a:extLst>
                <a:ext uri="{63B3BB69-23CF-44E3-9099-C40C66FF867C}">
                  <a14:compatExt spid="_x0000_s21616"/>
                </a:ext>
                <a:ext uri="{FF2B5EF4-FFF2-40B4-BE49-F238E27FC236}">
                  <a16:creationId xmlns:a16="http://schemas.microsoft.com/office/drawing/2014/main" id="{00000000-0008-0000-0700-00007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53</xdr:row>
          <xdr:rowOff>9525</xdr:rowOff>
        </xdr:from>
        <xdr:to>
          <xdr:col>2</xdr:col>
          <xdr:colOff>1600200</xdr:colOff>
          <xdr:row>54</xdr:row>
          <xdr:rowOff>104775</xdr:rowOff>
        </xdr:to>
        <xdr:sp macro="" textlink="">
          <xdr:nvSpPr>
            <xdr:cNvPr id="21617" name="Check Box 113" hidden="1">
              <a:extLst>
                <a:ext uri="{63B3BB69-23CF-44E3-9099-C40C66FF867C}">
                  <a14:compatExt spid="_x0000_s21617"/>
                </a:ext>
                <a:ext uri="{FF2B5EF4-FFF2-40B4-BE49-F238E27FC236}">
                  <a16:creationId xmlns:a16="http://schemas.microsoft.com/office/drawing/2014/main" id="{00000000-0008-0000-0700-00007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53</xdr:row>
          <xdr:rowOff>9525</xdr:rowOff>
        </xdr:from>
        <xdr:to>
          <xdr:col>3</xdr:col>
          <xdr:colOff>104775</xdr:colOff>
          <xdr:row>54</xdr:row>
          <xdr:rowOff>104775</xdr:rowOff>
        </xdr:to>
        <xdr:sp macro="" textlink="">
          <xdr:nvSpPr>
            <xdr:cNvPr id="21618" name="Check Box 114" hidden="1">
              <a:extLst>
                <a:ext uri="{63B3BB69-23CF-44E3-9099-C40C66FF867C}">
                  <a14:compatExt spid="_x0000_s21618"/>
                </a:ext>
                <a:ext uri="{FF2B5EF4-FFF2-40B4-BE49-F238E27FC236}">
                  <a16:creationId xmlns:a16="http://schemas.microsoft.com/office/drawing/2014/main" id="{00000000-0008-0000-0700-00007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54</xdr:row>
          <xdr:rowOff>0</xdr:rowOff>
        </xdr:from>
        <xdr:to>
          <xdr:col>2</xdr:col>
          <xdr:colOff>990600</xdr:colOff>
          <xdr:row>55</xdr:row>
          <xdr:rowOff>28575</xdr:rowOff>
        </xdr:to>
        <xdr:sp macro="" textlink="">
          <xdr:nvSpPr>
            <xdr:cNvPr id="21619" name="Check Box 115" hidden="1">
              <a:extLst>
                <a:ext uri="{63B3BB69-23CF-44E3-9099-C40C66FF867C}">
                  <a14:compatExt spid="_x0000_s21619"/>
                </a:ext>
                <a:ext uri="{FF2B5EF4-FFF2-40B4-BE49-F238E27FC236}">
                  <a16:creationId xmlns:a16="http://schemas.microsoft.com/office/drawing/2014/main" id="{00000000-0008-0000-0700-00007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54</xdr:row>
          <xdr:rowOff>0</xdr:rowOff>
        </xdr:from>
        <xdr:to>
          <xdr:col>3</xdr:col>
          <xdr:colOff>847725</xdr:colOff>
          <xdr:row>55</xdr:row>
          <xdr:rowOff>28575</xdr:rowOff>
        </xdr:to>
        <xdr:sp macro="" textlink="">
          <xdr:nvSpPr>
            <xdr:cNvPr id="21620" name="Check Box 116" hidden="1">
              <a:extLst>
                <a:ext uri="{63B3BB69-23CF-44E3-9099-C40C66FF867C}">
                  <a14:compatExt spid="_x0000_s21620"/>
                </a:ext>
                <a:ext uri="{FF2B5EF4-FFF2-40B4-BE49-F238E27FC236}">
                  <a16:creationId xmlns:a16="http://schemas.microsoft.com/office/drawing/2014/main" id="{00000000-0008-0000-0700-00007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54</xdr:row>
          <xdr:rowOff>0</xdr:rowOff>
        </xdr:from>
        <xdr:to>
          <xdr:col>4</xdr:col>
          <xdr:colOff>638175</xdr:colOff>
          <xdr:row>55</xdr:row>
          <xdr:rowOff>28575</xdr:rowOff>
        </xdr:to>
        <xdr:sp macro="" textlink="">
          <xdr:nvSpPr>
            <xdr:cNvPr id="21621" name="Check Box 117" hidden="1">
              <a:extLst>
                <a:ext uri="{63B3BB69-23CF-44E3-9099-C40C66FF867C}">
                  <a14:compatExt spid="_x0000_s21621"/>
                </a:ext>
                <a:ext uri="{FF2B5EF4-FFF2-40B4-BE49-F238E27FC236}">
                  <a16:creationId xmlns:a16="http://schemas.microsoft.com/office/drawing/2014/main" id="{00000000-0008-0000-0700-00007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57</xdr:row>
          <xdr:rowOff>38100</xdr:rowOff>
        </xdr:from>
        <xdr:to>
          <xdr:col>2</xdr:col>
          <xdr:colOff>838200</xdr:colOff>
          <xdr:row>58</xdr:row>
          <xdr:rowOff>133350</xdr:rowOff>
        </xdr:to>
        <xdr:sp macro="" textlink="">
          <xdr:nvSpPr>
            <xdr:cNvPr id="21622" name="Check Box 118" hidden="1">
              <a:extLst>
                <a:ext uri="{63B3BB69-23CF-44E3-9099-C40C66FF867C}">
                  <a14:compatExt spid="_x0000_s21622"/>
                </a:ext>
                <a:ext uri="{FF2B5EF4-FFF2-40B4-BE49-F238E27FC236}">
                  <a16:creationId xmlns:a16="http://schemas.microsoft.com/office/drawing/2014/main" id="{00000000-0008-0000-0700-00007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623" name="Check Box 119" hidden="1">
              <a:extLst>
                <a:ext uri="{63B3BB69-23CF-44E3-9099-C40C66FF867C}">
                  <a14:compatExt spid="_x0000_s21623"/>
                </a:ext>
                <a:ext uri="{FF2B5EF4-FFF2-40B4-BE49-F238E27FC236}">
                  <a16:creationId xmlns:a16="http://schemas.microsoft.com/office/drawing/2014/main" id="{00000000-0008-0000-0700-00007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624" name="Check Box 120" hidden="1">
              <a:extLst>
                <a:ext uri="{63B3BB69-23CF-44E3-9099-C40C66FF867C}">
                  <a14:compatExt spid="_x0000_s21624"/>
                </a:ext>
                <a:ext uri="{FF2B5EF4-FFF2-40B4-BE49-F238E27FC236}">
                  <a16:creationId xmlns:a16="http://schemas.microsoft.com/office/drawing/2014/main" id="{00000000-0008-0000-0700-00007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57</xdr:row>
          <xdr:rowOff>28575</xdr:rowOff>
        </xdr:from>
        <xdr:to>
          <xdr:col>2</xdr:col>
          <xdr:colOff>1343025</xdr:colOff>
          <xdr:row>58</xdr:row>
          <xdr:rowOff>123825</xdr:rowOff>
        </xdr:to>
        <xdr:sp macro="" textlink="">
          <xdr:nvSpPr>
            <xdr:cNvPr id="21625" name="Check Box 121" hidden="1">
              <a:extLst>
                <a:ext uri="{63B3BB69-23CF-44E3-9099-C40C66FF867C}">
                  <a14:compatExt spid="_x0000_s21625"/>
                </a:ext>
                <a:ext uri="{FF2B5EF4-FFF2-40B4-BE49-F238E27FC236}">
                  <a16:creationId xmlns:a16="http://schemas.microsoft.com/office/drawing/2014/main" id="{00000000-0008-0000-0700-00007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626" name="Check Box 122" hidden="1">
              <a:extLst>
                <a:ext uri="{63B3BB69-23CF-44E3-9099-C40C66FF867C}">
                  <a14:compatExt spid="_x0000_s21626"/>
                </a:ext>
                <a:ext uri="{FF2B5EF4-FFF2-40B4-BE49-F238E27FC236}">
                  <a16:creationId xmlns:a16="http://schemas.microsoft.com/office/drawing/2014/main" id="{00000000-0008-0000-0700-00007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57</xdr:row>
          <xdr:rowOff>28575</xdr:rowOff>
        </xdr:from>
        <xdr:to>
          <xdr:col>5</xdr:col>
          <xdr:colOff>95250</xdr:colOff>
          <xdr:row>58</xdr:row>
          <xdr:rowOff>123825</xdr:rowOff>
        </xdr:to>
        <xdr:sp macro="" textlink="">
          <xdr:nvSpPr>
            <xdr:cNvPr id="21627" name="Check Box 123" hidden="1">
              <a:extLst>
                <a:ext uri="{63B3BB69-23CF-44E3-9099-C40C66FF867C}">
                  <a14:compatExt spid="_x0000_s21627"/>
                </a:ext>
                <a:ext uri="{FF2B5EF4-FFF2-40B4-BE49-F238E27FC236}">
                  <a16:creationId xmlns:a16="http://schemas.microsoft.com/office/drawing/2014/main" id="{00000000-0008-0000-0700-00007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58</xdr:row>
          <xdr:rowOff>19050</xdr:rowOff>
        </xdr:from>
        <xdr:to>
          <xdr:col>2</xdr:col>
          <xdr:colOff>828675</xdr:colOff>
          <xdr:row>59</xdr:row>
          <xdr:rowOff>114300</xdr:rowOff>
        </xdr:to>
        <xdr:sp macro="" textlink="">
          <xdr:nvSpPr>
            <xdr:cNvPr id="21628" name="Check Box 124" hidden="1">
              <a:extLst>
                <a:ext uri="{63B3BB69-23CF-44E3-9099-C40C66FF867C}">
                  <a14:compatExt spid="_x0000_s21628"/>
                </a:ext>
                <a:ext uri="{FF2B5EF4-FFF2-40B4-BE49-F238E27FC236}">
                  <a16:creationId xmlns:a16="http://schemas.microsoft.com/office/drawing/2014/main" id="{00000000-0008-0000-0700-00007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58</xdr:row>
          <xdr:rowOff>9525</xdr:rowOff>
        </xdr:from>
        <xdr:to>
          <xdr:col>2</xdr:col>
          <xdr:colOff>1600200</xdr:colOff>
          <xdr:row>59</xdr:row>
          <xdr:rowOff>104775</xdr:rowOff>
        </xdr:to>
        <xdr:sp macro="" textlink="">
          <xdr:nvSpPr>
            <xdr:cNvPr id="21629" name="Check Box 125" hidden="1">
              <a:extLst>
                <a:ext uri="{63B3BB69-23CF-44E3-9099-C40C66FF867C}">
                  <a14:compatExt spid="_x0000_s21629"/>
                </a:ext>
                <a:ext uri="{FF2B5EF4-FFF2-40B4-BE49-F238E27FC236}">
                  <a16:creationId xmlns:a16="http://schemas.microsoft.com/office/drawing/2014/main" id="{00000000-0008-0000-0700-00007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630" name="Check Box 126" hidden="1">
              <a:extLst>
                <a:ext uri="{63B3BB69-23CF-44E3-9099-C40C66FF867C}">
                  <a14:compatExt spid="_x0000_s21630"/>
                </a:ext>
                <a:ext uri="{FF2B5EF4-FFF2-40B4-BE49-F238E27FC236}">
                  <a16:creationId xmlns:a16="http://schemas.microsoft.com/office/drawing/2014/main" id="{00000000-0008-0000-0700-00007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59</xdr:row>
          <xdr:rowOff>0</xdr:rowOff>
        </xdr:from>
        <xdr:to>
          <xdr:col>2</xdr:col>
          <xdr:colOff>990600</xdr:colOff>
          <xdr:row>60</xdr:row>
          <xdr:rowOff>19050</xdr:rowOff>
        </xdr:to>
        <xdr:sp macro="" textlink="">
          <xdr:nvSpPr>
            <xdr:cNvPr id="21631" name="Check Box 127" hidden="1">
              <a:extLst>
                <a:ext uri="{63B3BB69-23CF-44E3-9099-C40C66FF867C}">
                  <a14:compatExt spid="_x0000_s21631"/>
                </a:ext>
                <a:ext uri="{FF2B5EF4-FFF2-40B4-BE49-F238E27FC236}">
                  <a16:creationId xmlns:a16="http://schemas.microsoft.com/office/drawing/2014/main" id="{00000000-0008-0000-0700-00007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59</xdr:row>
          <xdr:rowOff>0</xdr:rowOff>
        </xdr:from>
        <xdr:to>
          <xdr:col>3</xdr:col>
          <xdr:colOff>847725</xdr:colOff>
          <xdr:row>60</xdr:row>
          <xdr:rowOff>19050</xdr:rowOff>
        </xdr:to>
        <xdr:sp macro="" textlink="">
          <xdr:nvSpPr>
            <xdr:cNvPr id="21632" name="Check Box 128" hidden="1">
              <a:extLst>
                <a:ext uri="{63B3BB69-23CF-44E3-9099-C40C66FF867C}">
                  <a14:compatExt spid="_x0000_s21632"/>
                </a:ext>
                <a:ext uri="{FF2B5EF4-FFF2-40B4-BE49-F238E27FC236}">
                  <a16:creationId xmlns:a16="http://schemas.microsoft.com/office/drawing/2014/main" id="{00000000-0008-0000-0700-00008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59</xdr:row>
          <xdr:rowOff>0</xdr:rowOff>
        </xdr:from>
        <xdr:to>
          <xdr:col>4</xdr:col>
          <xdr:colOff>638175</xdr:colOff>
          <xdr:row>60</xdr:row>
          <xdr:rowOff>19050</xdr:rowOff>
        </xdr:to>
        <xdr:sp macro="" textlink="">
          <xdr:nvSpPr>
            <xdr:cNvPr id="21633" name="Check Box 129" hidden="1">
              <a:extLst>
                <a:ext uri="{63B3BB69-23CF-44E3-9099-C40C66FF867C}">
                  <a14:compatExt spid="_x0000_s21633"/>
                </a:ext>
                <a:ext uri="{FF2B5EF4-FFF2-40B4-BE49-F238E27FC236}">
                  <a16:creationId xmlns:a16="http://schemas.microsoft.com/office/drawing/2014/main" id="{00000000-0008-0000-0700-00008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62</xdr:row>
          <xdr:rowOff>38100</xdr:rowOff>
        </xdr:from>
        <xdr:to>
          <xdr:col>2</xdr:col>
          <xdr:colOff>838200</xdr:colOff>
          <xdr:row>63</xdr:row>
          <xdr:rowOff>133350</xdr:rowOff>
        </xdr:to>
        <xdr:sp macro="" textlink="">
          <xdr:nvSpPr>
            <xdr:cNvPr id="21634" name="Check Box 130" hidden="1">
              <a:extLst>
                <a:ext uri="{63B3BB69-23CF-44E3-9099-C40C66FF867C}">
                  <a14:compatExt spid="_x0000_s21634"/>
                </a:ext>
                <a:ext uri="{FF2B5EF4-FFF2-40B4-BE49-F238E27FC236}">
                  <a16:creationId xmlns:a16="http://schemas.microsoft.com/office/drawing/2014/main" id="{00000000-0008-0000-0700-00008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635" name="Check Box 131" hidden="1">
              <a:extLst>
                <a:ext uri="{63B3BB69-23CF-44E3-9099-C40C66FF867C}">
                  <a14:compatExt spid="_x0000_s21635"/>
                </a:ext>
                <a:ext uri="{FF2B5EF4-FFF2-40B4-BE49-F238E27FC236}">
                  <a16:creationId xmlns:a16="http://schemas.microsoft.com/office/drawing/2014/main" id="{00000000-0008-0000-0700-00008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636" name="Check Box 132" hidden="1">
              <a:extLst>
                <a:ext uri="{63B3BB69-23CF-44E3-9099-C40C66FF867C}">
                  <a14:compatExt spid="_x0000_s21636"/>
                </a:ext>
                <a:ext uri="{FF2B5EF4-FFF2-40B4-BE49-F238E27FC236}">
                  <a16:creationId xmlns:a16="http://schemas.microsoft.com/office/drawing/2014/main" id="{00000000-0008-0000-0700-00008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62</xdr:row>
          <xdr:rowOff>28575</xdr:rowOff>
        </xdr:from>
        <xdr:to>
          <xdr:col>2</xdr:col>
          <xdr:colOff>1343025</xdr:colOff>
          <xdr:row>63</xdr:row>
          <xdr:rowOff>123825</xdr:rowOff>
        </xdr:to>
        <xdr:sp macro="" textlink="">
          <xdr:nvSpPr>
            <xdr:cNvPr id="21637" name="Check Box 133" hidden="1">
              <a:extLst>
                <a:ext uri="{63B3BB69-23CF-44E3-9099-C40C66FF867C}">
                  <a14:compatExt spid="_x0000_s21637"/>
                </a:ext>
                <a:ext uri="{FF2B5EF4-FFF2-40B4-BE49-F238E27FC236}">
                  <a16:creationId xmlns:a16="http://schemas.microsoft.com/office/drawing/2014/main" id="{00000000-0008-0000-0700-00008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638" name="Check Box 134" hidden="1">
              <a:extLst>
                <a:ext uri="{63B3BB69-23CF-44E3-9099-C40C66FF867C}">
                  <a14:compatExt spid="_x0000_s21638"/>
                </a:ext>
                <a:ext uri="{FF2B5EF4-FFF2-40B4-BE49-F238E27FC236}">
                  <a16:creationId xmlns:a16="http://schemas.microsoft.com/office/drawing/2014/main" id="{00000000-0008-0000-0700-00008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62</xdr:row>
          <xdr:rowOff>28575</xdr:rowOff>
        </xdr:from>
        <xdr:to>
          <xdr:col>5</xdr:col>
          <xdr:colOff>95250</xdr:colOff>
          <xdr:row>63</xdr:row>
          <xdr:rowOff>123825</xdr:rowOff>
        </xdr:to>
        <xdr:sp macro="" textlink="">
          <xdr:nvSpPr>
            <xdr:cNvPr id="21639" name="Check Box 135" hidden="1">
              <a:extLst>
                <a:ext uri="{63B3BB69-23CF-44E3-9099-C40C66FF867C}">
                  <a14:compatExt spid="_x0000_s21639"/>
                </a:ext>
                <a:ext uri="{FF2B5EF4-FFF2-40B4-BE49-F238E27FC236}">
                  <a16:creationId xmlns:a16="http://schemas.microsoft.com/office/drawing/2014/main" id="{00000000-0008-0000-0700-00008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63</xdr:row>
          <xdr:rowOff>19050</xdr:rowOff>
        </xdr:from>
        <xdr:to>
          <xdr:col>2</xdr:col>
          <xdr:colOff>828675</xdr:colOff>
          <xdr:row>64</xdr:row>
          <xdr:rowOff>114300</xdr:rowOff>
        </xdr:to>
        <xdr:sp macro="" textlink="">
          <xdr:nvSpPr>
            <xdr:cNvPr id="21640" name="Check Box 136" hidden="1">
              <a:extLst>
                <a:ext uri="{63B3BB69-23CF-44E3-9099-C40C66FF867C}">
                  <a14:compatExt spid="_x0000_s21640"/>
                </a:ext>
                <a:ext uri="{FF2B5EF4-FFF2-40B4-BE49-F238E27FC236}">
                  <a16:creationId xmlns:a16="http://schemas.microsoft.com/office/drawing/2014/main" id="{00000000-0008-0000-0700-00008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63</xdr:row>
          <xdr:rowOff>9525</xdr:rowOff>
        </xdr:from>
        <xdr:to>
          <xdr:col>2</xdr:col>
          <xdr:colOff>1600200</xdr:colOff>
          <xdr:row>64</xdr:row>
          <xdr:rowOff>104775</xdr:rowOff>
        </xdr:to>
        <xdr:sp macro="" textlink="">
          <xdr:nvSpPr>
            <xdr:cNvPr id="21641" name="Check Box 137" hidden="1">
              <a:extLst>
                <a:ext uri="{63B3BB69-23CF-44E3-9099-C40C66FF867C}">
                  <a14:compatExt spid="_x0000_s21641"/>
                </a:ext>
                <a:ext uri="{FF2B5EF4-FFF2-40B4-BE49-F238E27FC236}">
                  <a16:creationId xmlns:a16="http://schemas.microsoft.com/office/drawing/2014/main" id="{00000000-0008-0000-0700-00008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642" name="Check Box 138" hidden="1">
              <a:extLst>
                <a:ext uri="{63B3BB69-23CF-44E3-9099-C40C66FF867C}">
                  <a14:compatExt spid="_x0000_s21642"/>
                </a:ext>
                <a:ext uri="{FF2B5EF4-FFF2-40B4-BE49-F238E27FC236}">
                  <a16:creationId xmlns:a16="http://schemas.microsoft.com/office/drawing/2014/main" id="{00000000-0008-0000-0700-00008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64</xdr:row>
          <xdr:rowOff>0</xdr:rowOff>
        </xdr:from>
        <xdr:to>
          <xdr:col>2</xdr:col>
          <xdr:colOff>990600</xdr:colOff>
          <xdr:row>65</xdr:row>
          <xdr:rowOff>47625</xdr:rowOff>
        </xdr:to>
        <xdr:sp macro="" textlink="">
          <xdr:nvSpPr>
            <xdr:cNvPr id="21643" name="Check Box 139" hidden="1">
              <a:extLst>
                <a:ext uri="{63B3BB69-23CF-44E3-9099-C40C66FF867C}">
                  <a14:compatExt spid="_x0000_s21643"/>
                </a:ext>
                <a:ext uri="{FF2B5EF4-FFF2-40B4-BE49-F238E27FC236}">
                  <a16:creationId xmlns:a16="http://schemas.microsoft.com/office/drawing/2014/main" id="{00000000-0008-0000-0700-00008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64</xdr:row>
          <xdr:rowOff>0</xdr:rowOff>
        </xdr:from>
        <xdr:to>
          <xdr:col>3</xdr:col>
          <xdr:colOff>847725</xdr:colOff>
          <xdr:row>65</xdr:row>
          <xdr:rowOff>47625</xdr:rowOff>
        </xdr:to>
        <xdr:sp macro="" textlink="">
          <xdr:nvSpPr>
            <xdr:cNvPr id="21644" name="Check Box 140" hidden="1">
              <a:extLst>
                <a:ext uri="{63B3BB69-23CF-44E3-9099-C40C66FF867C}">
                  <a14:compatExt spid="_x0000_s21644"/>
                </a:ext>
                <a:ext uri="{FF2B5EF4-FFF2-40B4-BE49-F238E27FC236}">
                  <a16:creationId xmlns:a16="http://schemas.microsoft.com/office/drawing/2014/main" id="{00000000-0008-0000-0700-00008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64</xdr:row>
          <xdr:rowOff>0</xdr:rowOff>
        </xdr:from>
        <xdr:to>
          <xdr:col>4</xdr:col>
          <xdr:colOff>638175</xdr:colOff>
          <xdr:row>65</xdr:row>
          <xdr:rowOff>47625</xdr:rowOff>
        </xdr:to>
        <xdr:sp macro="" textlink="">
          <xdr:nvSpPr>
            <xdr:cNvPr id="21645" name="Check Box 141" hidden="1">
              <a:extLst>
                <a:ext uri="{63B3BB69-23CF-44E3-9099-C40C66FF867C}">
                  <a14:compatExt spid="_x0000_s21645"/>
                </a:ext>
                <a:ext uri="{FF2B5EF4-FFF2-40B4-BE49-F238E27FC236}">
                  <a16:creationId xmlns:a16="http://schemas.microsoft.com/office/drawing/2014/main" id="{00000000-0008-0000-0700-00008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67</xdr:row>
          <xdr:rowOff>38100</xdr:rowOff>
        </xdr:from>
        <xdr:to>
          <xdr:col>2</xdr:col>
          <xdr:colOff>838200</xdr:colOff>
          <xdr:row>68</xdr:row>
          <xdr:rowOff>133350</xdr:rowOff>
        </xdr:to>
        <xdr:sp macro="" textlink="">
          <xdr:nvSpPr>
            <xdr:cNvPr id="21646" name="Check Box 142" hidden="1">
              <a:extLst>
                <a:ext uri="{63B3BB69-23CF-44E3-9099-C40C66FF867C}">
                  <a14:compatExt spid="_x0000_s21646"/>
                </a:ext>
                <a:ext uri="{FF2B5EF4-FFF2-40B4-BE49-F238E27FC236}">
                  <a16:creationId xmlns:a16="http://schemas.microsoft.com/office/drawing/2014/main" id="{00000000-0008-0000-0700-00008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647" name="Check Box 143" hidden="1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00000000-0008-0000-0700-00008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648" name="Check Box 144" hidden="1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00000000-0008-0000-0700-00009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67</xdr:row>
          <xdr:rowOff>28575</xdr:rowOff>
        </xdr:from>
        <xdr:to>
          <xdr:col>2</xdr:col>
          <xdr:colOff>1343025</xdr:colOff>
          <xdr:row>68</xdr:row>
          <xdr:rowOff>123825</xdr:rowOff>
        </xdr:to>
        <xdr:sp macro="" textlink="">
          <xdr:nvSpPr>
            <xdr:cNvPr id="21649" name="Check Box 145" hidden="1">
              <a:extLst>
                <a:ext uri="{63B3BB69-23CF-44E3-9099-C40C66FF867C}">
                  <a14:compatExt spid="_x0000_s21649"/>
                </a:ext>
                <a:ext uri="{FF2B5EF4-FFF2-40B4-BE49-F238E27FC236}">
                  <a16:creationId xmlns:a16="http://schemas.microsoft.com/office/drawing/2014/main" id="{00000000-0008-0000-0700-00009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650" name="Check Box 146" hidden="1">
              <a:extLst>
                <a:ext uri="{63B3BB69-23CF-44E3-9099-C40C66FF867C}">
                  <a14:compatExt spid="_x0000_s21650"/>
                </a:ext>
                <a:ext uri="{FF2B5EF4-FFF2-40B4-BE49-F238E27FC236}">
                  <a16:creationId xmlns:a16="http://schemas.microsoft.com/office/drawing/2014/main" id="{00000000-0008-0000-0700-00009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67</xdr:row>
          <xdr:rowOff>28575</xdr:rowOff>
        </xdr:from>
        <xdr:to>
          <xdr:col>5</xdr:col>
          <xdr:colOff>95250</xdr:colOff>
          <xdr:row>68</xdr:row>
          <xdr:rowOff>123825</xdr:rowOff>
        </xdr:to>
        <xdr:sp macro="" textlink="">
          <xdr:nvSpPr>
            <xdr:cNvPr id="21651" name="Check Box 147" hidden="1">
              <a:extLst>
                <a:ext uri="{63B3BB69-23CF-44E3-9099-C40C66FF867C}">
                  <a14:compatExt spid="_x0000_s21651"/>
                </a:ext>
                <a:ext uri="{FF2B5EF4-FFF2-40B4-BE49-F238E27FC236}">
                  <a16:creationId xmlns:a16="http://schemas.microsoft.com/office/drawing/2014/main" id="{00000000-0008-0000-0700-00009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68</xdr:row>
          <xdr:rowOff>19050</xdr:rowOff>
        </xdr:from>
        <xdr:to>
          <xdr:col>2</xdr:col>
          <xdr:colOff>828675</xdr:colOff>
          <xdr:row>69</xdr:row>
          <xdr:rowOff>114300</xdr:rowOff>
        </xdr:to>
        <xdr:sp macro="" textlink="">
          <xdr:nvSpPr>
            <xdr:cNvPr id="21652" name="Check Box 148" hidden="1">
              <a:extLst>
                <a:ext uri="{63B3BB69-23CF-44E3-9099-C40C66FF867C}">
                  <a14:compatExt spid="_x0000_s21652"/>
                </a:ext>
                <a:ext uri="{FF2B5EF4-FFF2-40B4-BE49-F238E27FC236}">
                  <a16:creationId xmlns:a16="http://schemas.microsoft.com/office/drawing/2014/main" id="{00000000-0008-0000-0700-00009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68</xdr:row>
          <xdr:rowOff>9525</xdr:rowOff>
        </xdr:from>
        <xdr:to>
          <xdr:col>2</xdr:col>
          <xdr:colOff>1600200</xdr:colOff>
          <xdr:row>69</xdr:row>
          <xdr:rowOff>104775</xdr:rowOff>
        </xdr:to>
        <xdr:sp macro="" textlink="">
          <xdr:nvSpPr>
            <xdr:cNvPr id="21653" name="Check Box 149" hidden="1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00000000-0008-0000-0700-00009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654" name="Check Box 150" hidden="1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00000000-0008-0000-0700-00009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69</xdr:row>
          <xdr:rowOff>0</xdr:rowOff>
        </xdr:from>
        <xdr:to>
          <xdr:col>2</xdr:col>
          <xdr:colOff>990600</xdr:colOff>
          <xdr:row>70</xdr:row>
          <xdr:rowOff>28575</xdr:rowOff>
        </xdr:to>
        <xdr:sp macro="" textlink="">
          <xdr:nvSpPr>
            <xdr:cNvPr id="21655" name="Check Box 151" hidden="1">
              <a:extLst>
                <a:ext uri="{63B3BB69-23CF-44E3-9099-C40C66FF867C}">
                  <a14:compatExt spid="_x0000_s21655"/>
                </a:ext>
                <a:ext uri="{FF2B5EF4-FFF2-40B4-BE49-F238E27FC236}">
                  <a16:creationId xmlns:a16="http://schemas.microsoft.com/office/drawing/2014/main" id="{00000000-0008-0000-0700-00009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69</xdr:row>
          <xdr:rowOff>0</xdr:rowOff>
        </xdr:from>
        <xdr:to>
          <xdr:col>3</xdr:col>
          <xdr:colOff>847725</xdr:colOff>
          <xdr:row>70</xdr:row>
          <xdr:rowOff>28575</xdr:rowOff>
        </xdr:to>
        <xdr:sp macro="" textlink="">
          <xdr:nvSpPr>
            <xdr:cNvPr id="21656" name="Check Box 152" hidden="1">
              <a:extLst>
                <a:ext uri="{63B3BB69-23CF-44E3-9099-C40C66FF867C}">
                  <a14:compatExt spid="_x0000_s21656"/>
                </a:ext>
                <a:ext uri="{FF2B5EF4-FFF2-40B4-BE49-F238E27FC236}">
                  <a16:creationId xmlns:a16="http://schemas.microsoft.com/office/drawing/2014/main" id="{00000000-0008-0000-0700-00009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69</xdr:row>
          <xdr:rowOff>0</xdr:rowOff>
        </xdr:from>
        <xdr:to>
          <xdr:col>4</xdr:col>
          <xdr:colOff>638175</xdr:colOff>
          <xdr:row>70</xdr:row>
          <xdr:rowOff>28575</xdr:rowOff>
        </xdr:to>
        <xdr:sp macro="" textlink="">
          <xdr:nvSpPr>
            <xdr:cNvPr id="21657" name="Check Box 153" hidden="1">
              <a:extLst>
                <a:ext uri="{63B3BB69-23CF-44E3-9099-C40C66FF867C}">
                  <a14:compatExt spid="_x0000_s21657"/>
                </a:ext>
                <a:ext uri="{FF2B5EF4-FFF2-40B4-BE49-F238E27FC236}">
                  <a16:creationId xmlns:a16="http://schemas.microsoft.com/office/drawing/2014/main" id="{00000000-0008-0000-0700-00009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72</xdr:row>
          <xdr:rowOff>38100</xdr:rowOff>
        </xdr:from>
        <xdr:to>
          <xdr:col>2</xdr:col>
          <xdr:colOff>838200</xdr:colOff>
          <xdr:row>73</xdr:row>
          <xdr:rowOff>133350</xdr:rowOff>
        </xdr:to>
        <xdr:sp macro="" textlink="">
          <xdr:nvSpPr>
            <xdr:cNvPr id="21658" name="Check Box 154" hidden="1">
              <a:extLst>
                <a:ext uri="{63B3BB69-23CF-44E3-9099-C40C66FF867C}">
                  <a14:compatExt spid="_x0000_s21658"/>
                </a:ext>
                <a:ext uri="{FF2B5EF4-FFF2-40B4-BE49-F238E27FC236}">
                  <a16:creationId xmlns:a16="http://schemas.microsoft.com/office/drawing/2014/main" id="{00000000-0008-0000-0700-00009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1659" name="Check Box 155" hidden="1">
              <a:extLst>
                <a:ext uri="{63B3BB69-23CF-44E3-9099-C40C66FF867C}">
                  <a14:compatExt spid="_x0000_s21659"/>
                </a:ext>
                <a:ext uri="{FF2B5EF4-FFF2-40B4-BE49-F238E27FC236}">
                  <a16:creationId xmlns:a16="http://schemas.microsoft.com/office/drawing/2014/main" id="{00000000-0008-0000-0700-00009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1660" name="Check Box 156" hidden="1">
              <a:extLst>
                <a:ext uri="{63B3BB69-23CF-44E3-9099-C40C66FF867C}">
                  <a14:compatExt spid="_x0000_s21660"/>
                </a:ext>
                <a:ext uri="{FF2B5EF4-FFF2-40B4-BE49-F238E27FC236}">
                  <a16:creationId xmlns:a16="http://schemas.microsoft.com/office/drawing/2014/main" id="{00000000-0008-0000-0700-00009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72</xdr:row>
          <xdr:rowOff>28575</xdr:rowOff>
        </xdr:from>
        <xdr:to>
          <xdr:col>2</xdr:col>
          <xdr:colOff>1343025</xdr:colOff>
          <xdr:row>73</xdr:row>
          <xdr:rowOff>123825</xdr:rowOff>
        </xdr:to>
        <xdr:sp macro="" textlink="">
          <xdr:nvSpPr>
            <xdr:cNvPr id="21661" name="Check Box 157" hidden="1">
              <a:extLst>
                <a:ext uri="{63B3BB69-23CF-44E3-9099-C40C66FF867C}">
                  <a14:compatExt spid="_x0000_s21661"/>
                </a:ext>
                <a:ext uri="{FF2B5EF4-FFF2-40B4-BE49-F238E27FC236}">
                  <a16:creationId xmlns:a16="http://schemas.microsoft.com/office/drawing/2014/main" id="{00000000-0008-0000-0700-00009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1662" name="Check Box 158" hidden="1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00000000-0008-0000-0700-00009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72</xdr:row>
          <xdr:rowOff>28575</xdr:rowOff>
        </xdr:from>
        <xdr:to>
          <xdr:col>5</xdr:col>
          <xdr:colOff>95250</xdr:colOff>
          <xdr:row>73</xdr:row>
          <xdr:rowOff>123825</xdr:rowOff>
        </xdr:to>
        <xdr:sp macro="" textlink="">
          <xdr:nvSpPr>
            <xdr:cNvPr id="21663" name="Check Box 159" hidden="1">
              <a:extLst>
                <a:ext uri="{63B3BB69-23CF-44E3-9099-C40C66FF867C}">
                  <a14:compatExt spid="_x0000_s21663"/>
                </a:ext>
                <a:ext uri="{FF2B5EF4-FFF2-40B4-BE49-F238E27FC236}">
                  <a16:creationId xmlns:a16="http://schemas.microsoft.com/office/drawing/2014/main" id="{00000000-0008-0000-0700-00009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73</xdr:row>
          <xdr:rowOff>19050</xdr:rowOff>
        </xdr:from>
        <xdr:to>
          <xdr:col>2</xdr:col>
          <xdr:colOff>828675</xdr:colOff>
          <xdr:row>74</xdr:row>
          <xdr:rowOff>114300</xdr:rowOff>
        </xdr:to>
        <xdr:sp macro="" textlink="">
          <xdr:nvSpPr>
            <xdr:cNvPr id="21664" name="Check Box 160" hidden="1">
              <a:extLst>
                <a:ext uri="{63B3BB69-23CF-44E3-9099-C40C66FF867C}">
                  <a14:compatExt spid="_x0000_s21664"/>
                </a:ext>
                <a:ext uri="{FF2B5EF4-FFF2-40B4-BE49-F238E27FC236}">
                  <a16:creationId xmlns:a16="http://schemas.microsoft.com/office/drawing/2014/main" id="{00000000-0008-0000-0700-0000A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73</xdr:row>
          <xdr:rowOff>9525</xdr:rowOff>
        </xdr:from>
        <xdr:to>
          <xdr:col>2</xdr:col>
          <xdr:colOff>1600200</xdr:colOff>
          <xdr:row>74</xdr:row>
          <xdr:rowOff>104775</xdr:rowOff>
        </xdr:to>
        <xdr:sp macro="" textlink="">
          <xdr:nvSpPr>
            <xdr:cNvPr id="21665" name="Check Box 161" hidden="1">
              <a:extLst>
                <a:ext uri="{63B3BB69-23CF-44E3-9099-C40C66FF867C}">
                  <a14:compatExt spid="_x0000_s21665"/>
                </a:ext>
                <a:ext uri="{FF2B5EF4-FFF2-40B4-BE49-F238E27FC236}">
                  <a16:creationId xmlns:a16="http://schemas.microsoft.com/office/drawing/2014/main" id="{00000000-0008-0000-0700-0000A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1666" name="Check Box 162" hidden="1">
              <a:extLst>
                <a:ext uri="{63B3BB69-23CF-44E3-9099-C40C66FF867C}">
                  <a14:compatExt spid="_x0000_s21666"/>
                </a:ext>
                <a:ext uri="{FF2B5EF4-FFF2-40B4-BE49-F238E27FC236}">
                  <a16:creationId xmlns:a16="http://schemas.microsoft.com/office/drawing/2014/main" id="{00000000-0008-0000-0700-0000A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74</xdr:row>
          <xdr:rowOff>0</xdr:rowOff>
        </xdr:from>
        <xdr:to>
          <xdr:col>2</xdr:col>
          <xdr:colOff>990600</xdr:colOff>
          <xdr:row>74</xdr:row>
          <xdr:rowOff>295275</xdr:rowOff>
        </xdr:to>
        <xdr:sp macro="" textlink="">
          <xdr:nvSpPr>
            <xdr:cNvPr id="21667" name="Check Box 163" hidden="1">
              <a:extLst>
                <a:ext uri="{63B3BB69-23CF-44E3-9099-C40C66FF867C}">
                  <a14:compatExt spid="_x0000_s21667"/>
                </a:ext>
                <a:ext uri="{FF2B5EF4-FFF2-40B4-BE49-F238E27FC236}">
                  <a16:creationId xmlns:a16="http://schemas.microsoft.com/office/drawing/2014/main" id="{00000000-0008-0000-0700-0000A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74</xdr:row>
          <xdr:rowOff>0</xdr:rowOff>
        </xdr:from>
        <xdr:to>
          <xdr:col>3</xdr:col>
          <xdr:colOff>847725</xdr:colOff>
          <xdr:row>74</xdr:row>
          <xdr:rowOff>295275</xdr:rowOff>
        </xdr:to>
        <xdr:sp macro="" textlink="">
          <xdr:nvSpPr>
            <xdr:cNvPr id="21668" name="Check Box 164" hidden="1">
              <a:extLst>
                <a:ext uri="{63B3BB69-23CF-44E3-9099-C40C66FF867C}">
                  <a14:compatExt spid="_x0000_s21668"/>
                </a:ext>
                <a:ext uri="{FF2B5EF4-FFF2-40B4-BE49-F238E27FC236}">
                  <a16:creationId xmlns:a16="http://schemas.microsoft.com/office/drawing/2014/main" id="{00000000-0008-0000-0700-0000A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74</xdr:row>
          <xdr:rowOff>0</xdr:rowOff>
        </xdr:from>
        <xdr:to>
          <xdr:col>4</xdr:col>
          <xdr:colOff>638175</xdr:colOff>
          <xdr:row>74</xdr:row>
          <xdr:rowOff>295275</xdr:rowOff>
        </xdr:to>
        <xdr:sp macro="" textlink="">
          <xdr:nvSpPr>
            <xdr:cNvPr id="21669" name="Check Box 165" hidden="1">
              <a:extLst>
                <a:ext uri="{63B3BB69-23CF-44E3-9099-C40C66FF867C}">
                  <a14:compatExt spid="_x0000_s21669"/>
                </a:ext>
                <a:ext uri="{FF2B5EF4-FFF2-40B4-BE49-F238E27FC236}">
                  <a16:creationId xmlns:a16="http://schemas.microsoft.com/office/drawing/2014/main" id="{00000000-0008-0000-0700-0000A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77</xdr:row>
          <xdr:rowOff>38100</xdr:rowOff>
        </xdr:from>
        <xdr:to>
          <xdr:col>2</xdr:col>
          <xdr:colOff>838200</xdr:colOff>
          <xdr:row>78</xdr:row>
          <xdr:rowOff>133350</xdr:rowOff>
        </xdr:to>
        <xdr:sp macro="" textlink="">
          <xdr:nvSpPr>
            <xdr:cNvPr id="21670" name="Check Box 166" hidden="1">
              <a:extLst>
                <a:ext uri="{63B3BB69-23CF-44E3-9099-C40C66FF867C}">
                  <a14:compatExt spid="_x0000_s21670"/>
                </a:ext>
                <a:ext uri="{FF2B5EF4-FFF2-40B4-BE49-F238E27FC236}">
                  <a16:creationId xmlns:a16="http://schemas.microsoft.com/office/drawing/2014/main" id="{00000000-0008-0000-0700-0000A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1671" name="Check Box 167" hidden="1">
              <a:extLst>
                <a:ext uri="{63B3BB69-23CF-44E3-9099-C40C66FF867C}">
                  <a14:compatExt spid="_x0000_s21671"/>
                </a:ext>
                <a:ext uri="{FF2B5EF4-FFF2-40B4-BE49-F238E27FC236}">
                  <a16:creationId xmlns:a16="http://schemas.microsoft.com/office/drawing/2014/main" id="{00000000-0008-0000-0700-0000A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1672" name="Check Box 168" hidden="1">
              <a:extLst>
                <a:ext uri="{63B3BB69-23CF-44E3-9099-C40C66FF867C}">
                  <a14:compatExt spid="_x0000_s21672"/>
                </a:ext>
                <a:ext uri="{FF2B5EF4-FFF2-40B4-BE49-F238E27FC236}">
                  <a16:creationId xmlns:a16="http://schemas.microsoft.com/office/drawing/2014/main" id="{00000000-0008-0000-0700-0000A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77</xdr:row>
          <xdr:rowOff>28575</xdr:rowOff>
        </xdr:from>
        <xdr:to>
          <xdr:col>2</xdr:col>
          <xdr:colOff>1343025</xdr:colOff>
          <xdr:row>78</xdr:row>
          <xdr:rowOff>123825</xdr:rowOff>
        </xdr:to>
        <xdr:sp macro="" textlink="">
          <xdr:nvSpPr>
            <xdr:cNvPr id="21673" name="Check Box 169" hidden="1">
              <a:extLst>
                <a:ext uri="{63B3BB69-23CF-44E3-9099-C40C66FF867C}">
                  <a14:compatExt spid="_x0000_s21673"/>
                </a:ext>
                <a:ext uri="{FF2B5EF4-FFF2-40B4-BE49-F238E27FC236}">
                  <a16:creationId xmlns:a16="http://schemas.microsoft.com/office/drawing/2014/main" id="{00000000-0008-0000-0700-0000A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1674" name="Check Box 170" hidden="1">
              <a:extLst>
                <a:ext uri="{63B3BB69-23CF-44E3-9099-C40C66FF867C}">
                  <a14:compatExt spid="_x0000_s21674"/>
                </a:ext>
                <a:ext uri="{FF2B5EF4-FFF2-40B4-BE49-F238E27FC236}">
                  <a16:creationId xmlns:a16="http://schemas.microsoft.com/office/drawing/2014/main" id="{00000000-0008-0000-0700-0000A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77</xdr:row>
          <xdr:rowOff>28575</xdr:rowOff>
        </xdr:from>
        <xdr:to>
          <xdr:col>5</xdr:col>
          <xdr:colOff>95250</xdr:colOff>
          <xdr:row>78</xdr:row>
          <xdr:rowOff>123825</xdr:rowOff>
        </xdr:to>
        <xdr:sp macro="" textlink="">
          <xdr:nvSpPr>
            <xdr:cNvPr id="21675" name="Check Box 171" hidden="1">
              <a:extLst>
                <a:ext uri="{63B3BB69-23CF-44E3-9099-C40C66FF867C}">
                  <a14:compatExt spid="_x0000_s21675"/>
                </a:ext>
                <a:ext uri="{FF2B5EF4-FFF2-40B4-BE49-F238E27FC236}">
                  <a16:creationId xmlns:a16="http://schemas.microsoft.com/office/drawing/2014/main" id="{00000000-0008-0000-0700-0000A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78</xdr:row>
          <xdr:rowOff>19050</xdr:rowOff>
        </xdr:from>
        <xdr:to>
          <xdr:col>2</xdr:col>
          <xdr:colOff>828675</xdr:colOff>
          <xdr:row>79</xdr:row>
          <xdr:rowOff>114300</xdr:rowOff>
        </xdr:to>
        <xdr:sp macro="" textlink="">
          <xdr:nvSpPr>
            <xdr:cNvPr id="21676" name="Check Box 172" hidden="1">
              <a:extLst>
                <a:ext uri="{63B3BB69-23CF-44E3-9099-C40C66FF867C}">
                  <a14:compatExt spid="_x0000_s21676"/>
                </a:ext>
                <a:ext uri="{FF2B5EF4-FFF2-40B4-BE49-F238E27FC236}">
                  <a16:creationId xmlns:a16="http://schemas.microsoft.com/office/drawing/2014/main" id="{00000000-0008-0000-0700-0000A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78</xdr:row>
          <xdr:rowOff>9525</xdr:rowOff>
        </xdr:from>
        <xdr:to>
          <xdr:col>2</xdr:col>
          <xdr:colOff>1600200</xdr:colOff>
          <xdr:row>79</xdr:row>
          <xdr:rowOff>104775</xdr:rowOff>
        </xdr:to>
        <xdr:sp macro="" textlink="">
          <xdr:nvSpPr>
            <xdr:cNvPr id="21677" name="Check Box 173" hidden="1">
              <a:extLst>
                <a:ext uri="{63B3BB69-23CF-44E3-9099-C40C66FF867C}">
                  <a14:compatExt spid="_x0000_s21677"/>
                </a:ext>
                <a:ext uri="{FF2B5EF4-FFF2-40B4-BE49-F238E27FC236}">
                  <a16:creationId xmlns:a16="http://schemas.microsoft.com/office/drawing/2014/main" id="{00000000-0008-0000-0700-0000A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1678" name="Check Box 174" hidden="1">
              <a:extLst>
                <a:ext uri="{63B3BB69-23CF-44E3-9099-C40C66FF867C}">
                  <a14:compatExt spid="_x0000_s21678"/>
                </a:ext>
                <a:ext uri="{FF2B5EF4-FFF2-40B4-BE49-F238E27FC236}">
                  <a16:creationId xmlns:a16="http://schemas.microsoft.com/office/drawing/2014/main" id="{00000000-0008-0000-0700-0000A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79</xdr:row>
          <xdr:rowOff>0</xdr:rowOff>
        </xdr:from>
        <xdr:to>
          <xdr:col>2</xdr:col>
          <xdr:colOff>990600</xdr:colOff>
          <xdr:row>80</xdr:row>
          <xdr:rowOff>19050</xdr:rowOff>
        </xdr:to>
        <xdr:sp macro="" textlink="">
          <xdr:nvSpPr>
            <xdr:cNvPr id="21679" name="Check Box 175" hidden="1">
              <a:extLst>
                <a:ext uri="{63B3BB69-23CF-44E3-9099-C40C66FF867C}">
                  <a14:compatExt spid="_x0000_s21679"/>
                </a:ext>
                <a:ext uri="{FF2B5EF4-FFF2-40B4-BE49-F238E27FC236}">
                  <a16:creationId xmlns:a16="http://schemas.microsoft.com/office/drawing/2014/main" id="{00000000-0008-0000-0700-0000A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79</xdr:row>
          <xdr:rowOff>0</xdr:rowOff>
        </xdr:from>
        <xdr:to>
          <xdr:col>3</xdr:col>
          <xdr:colOff>847725</xdr:colOff>
          <xdr:row>80</xdr:row>
          <xdr:rowOff>19050</xdr:rowOff>
        </xdr:to>
        <xdr:sp macro="" textlink="">
          <xdr:nvSpPr>
            <xdr:cNvPr id="21680" name="Check Box 176" hidden="1">
              <a:extLst>
                <a:ext uri="{63B3BB69-23CF-44E3-9099-C40C66FF867C}">
                  <a14:compatExt spid="_x0000_s21680"/>
                </a:ext>
                <a:ext uri="{FF2B5EF4-FFF2-40B4-BE49-F238E27FC236}">
                  <a16:creationId xmlns:a16="http://schemas.microsoft.com/office/drawing/2014/main" id="{00000000-0008-0000-0700-0000B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79</xdr:row>
          <xdr:rowOff>0</xdr:rowOff>
        </xdr:from>
        <xdr:to>
          <xdr:col>4</xdr:col>
          <xdr:colOff>638175</xdr:colOff>
          <xdr:row>80</xdr:row>
          <xdr:rowOff>19050</xdr:rowOff>
        </xdr:to>
        <xdr:sp macro="" textlink="">
          <xdr:nvSpPr>
            <xdr:cNvPr id="21681" name="Check Box 177" hidden="1">
              <a:extLst>
                <a:ext uri="{63B3BB69-23CF-44E3-9099-C40C66FF867C}">
                  <a14:compatExt spid="_x0000_s21681"/>
                </a:ext>
                <a:ext uri="{FF2B5EF4-FFF2-40B4-BE49-F238E27FC236}">
                  <a16:creationId xmlns:a16="http://schemas.microsoft.com/office/drawing/2014/main" id="{00000000-0008-0000-0700-0000B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82</xdr:row>
          <xdr:rowOff>38100</xdr:rowOff>
        </xdr:from>
        <xdr:to>
          <xdr:col>2</xdr:col>
          <xdr:colOff>838200</xdr:colOff>
          <xdr:row>83</xdr:row>
          <xdr:rowOff>133350</xdr:rowOff>
        </xdr:to>
        <xdr:sp macro="" textlink="">
          <xdr:nvSpPr>
            <xdr:cNvPr id="21682" name="Check Box 178" hidden="1">
              <a:extLst>
                <a:ext uri="{63B3BB69-23CF-44E3-9099-C40C66FF867C}">
                  <a14:compatExt spid="_x0000_s21682"/>
                </a:ext>
                <a:ext uri="{FF2B5EF4-FFF2-40B4-BE49-F238E27FC236}">
                  <a16:creationId xmlns:a16="http://schemas.microsoft.com/office/drawing/2014/main" id="{00000000-0008-0000-0700-0000B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1683" name="Check Box 179" hidden="1">
              <a:extLst>
                <a:ext uri="{63B3BB69-23CF-44E3-9099-C40C66FF867C}">
                  <a14:compatExt spid="_x0000_s21683"/>
                </a:ext>
                <a:ext uri="{FF2B5EF4-FFF2-40B4-BE49-F238E27FC236}">
                  <a16:creationId xmlns:a16="http://schemas.microsoft.com/office/drawing/2014/main" id="{00000000-0008-0000-0700-0000B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1684" name="Check Box 180" hidden="1">
              <a:extLst>
                <a:ext uri="{63B3BB69-23CF-44E3-9099-C40C66FF867C}">
                  <a14:compatExt spid="_x0000_s21684"/>
                </a:ext>
                <a:ext uri="{FF2B5EF4-FFF2-40B4-BE49-F238E27FC236}">
                  <a16:creationId xmlns:a16="http://schemas.microsoft.com/office/drawing/2014/main" id="{00000000-0008-0000-0700-0000B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82</xdr:row>
          <xdr:rowOff>28575</xdr:rowOff>
        </xdr:from>
        <xdr:to>
          <xdr:col>2</xdr:col>
          <xdr:colOff>1343025</xdr:colOff>
          <xdr:row>83</xdr:row>
          <xdr:rowOff>123825</xdr:rowOff>
        </xdr:to>
        <xdr:sp macro="" textlink="">
          <xdr:nvSpPr>
            <xdr:cNvPr id="21685" name="Check Box 181" hidden="1">
              <a:extLst>
                <a:ext uri="{63B3BB69-23CF-44E3-9099-C40C66FF867C}">
                  <a14:compatExt spid="_x0000_s21685"/>
                </a:ext>
                <a:ext uri="{FF2B5EF4-FFF2-40B4-BE49-F238E27FC236}">
                  <a16:creationId xmlns:a16="http://schemas.microsoft.com/office/drawing/2014/main" id="{00000000-0008-0000-0700-0000B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1686" name="Check Box 182" hidden="1">
              <a:extLst>
                <a:ext uri="{63B3BB69-23CF-44E3-9099-C40C66FF867C}">
                  <a14:compatExt spid="_x0000_s21686"/>
                </a:ext>
                <a:ext uri="{FF2B5EF4-FFF2-40B4-BE49-F238E27FC236}">
                  <a16:creationId xmlns:a16="http://schemas.microsoft.com/office/drawing/2014/main" id="{00000000-0008-0000-0700-0000B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82</xdr:row>
          <xdr:rowOff>28575</xdr:rowOff>
        </xdr:from>
        <xdr:to>
          <xdr:col>5</xdr:col>
          <xdr:colOff>95250</xdr:colOff>
          <xdr:row>83</xdr:row>
          <xdr:rowOff>123825</xdr:rowOff>
        </xdr:to>
        <xdr:sp macro="" textlink="">
          <xdr:nvSpPr>
            <xdr:cNvPr id="21687" name="Check Box 183" hidden="1">
              <a:extLst>
                <a:ext uri="{63B3BB69-23CF-44E3-9099-C40C66FF867C}">
                  <a14:compatExt spid="_x0000_s21687"/>
                </a:ext>
                <a:ext uri="{FF2B5EF4-FFF2-40B4-BE49-F238E27FC236}">
                  <a16:creationId xmlns:a16="http://schemas.microsoft.com/office/drawing/2014/main" id="{00000000-0008-0000-0700-0000B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83</xdr:row>
          <xdr:rowOff>19050</xdr:rowOff>
        </xdr:from>
        <xdr:to>
          <xdr:col>2</xdr:col>
          <xdr:colOff>828675</xdr:colOff>
          <xdr:row>84</xdr:row>
          <xdr:rowOff>114300</xdr:rowOff>
        </xdr:to>
        <xdr:sp macro="" textlink="">
          <xdr:nvSpPr>
            <xdr:cNvPr id="21688" name="Check Box 184" hidden="1">
              <a:extLst>
                <a:ext uri="{63B3BB69-23CF-44E3-9099-C40C66FF867C}">
                  <a14:compatExt spid="_x0000_s21688"/>
                </a:ext>
                <a:ext uri="{FF2B5EF4-FFF2-40B4-BE49-F238E27FC236}">
                  <a16:creationId xmlns:a16="http://schemas.microsoft.com/office/drawing/2014/main" id="{00000000-0008-0000-0700-0000B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83</xdr:row>
          <xdr:rowOff>9525</xdr:rowOff>
        </xdr:from>
        <xdr:to>
          <xdr:col>2</xdr:col>
          <xdr:colOff>1600200</xdr:colOff>
          <xdr:row>84</xdr:row>
          <xdr:rowOff>104775</xdr:rowOff>
        </xdr:to>
        <xdr:sp macro="" textlink="">
          <xdr:nvSpPr>
            <xdr:cNvPr id="21689" name="Check Box 185" hidden="1">
              <a:extLst>
                <a:ext uri="{63B3BB69-23CF-44E3-9099-C40C66FF867C}">
                  <a14:compatExt spid="_x0000_s21689"/>
                </a:ext>
                <a:ext uri="{FF2B5EF4-FFF2-40B4-BE49-F238E27FC236}">
                  <a16:creationId xmlns:a16="http://schemas.microsoft.com/office/drawing/2014/main" id="{00000000-0008-0000-0700-0000B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1690" name="Check Box 186" hidden="1">
              <a:extLst>
                <a:ext uri="{63B3BB69-23CF-44E3-9099-C40C66FF867C}">
                  <a14:compatExt spid="_x0000_s21690"/>
                </a:ext>
                <a:ext uri="{FF2B5EF4-FFF2-40B4-BE49-F238E27FC236}">
                  <a16:creationId xmlns:a16="http://schemas.microsoft.com/office/drawing/2014/main" id="{00000000-0008-0000-0700-0000B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84</xdr:row>
          <xdr:rowOff>0</xdr:rowOff>
        </xdr:from>
        <xdr:to>
          <xdr:col>2</xdr:col>
          <xdr:colOff>990600</xdr:colOff>
          <xdr:row>84</xdr:row>
          <xdr:rowOff>295275</xdr:rowOff>
        </xdr:to>
        <xdr:sp macro="" textlink="">
          <xdr:nvSpPr>
            <xdr:cNvPr id="21691" name="Check Box 187" hidden="1">
              <a:extLst>
                <a:ext uri="{63B3BB69-23CF-44E3-9099-C40C66FF867C}">
                  <a14:compatExt spid="_x0000_s21691"/>
                </a:ext>
                <a:ext uri="{FF2B5EF4-FFF2-40B4-BE49-F238E27FC236}">
                  <a16:creationId xmlns:a16="http://schemas.microsoft.com/office/drawing/2014/main" id="{00000000-0008-0000-0700-0000B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84</xdr:row>
          <xdr:rowOff>0</xdr:rowOff>
        </xdr:from>
        <xdr:to>
          <xdr:col>3</xdr:col>
          <xdr:colOff>847725</xdr:colOff>
          <xdr:row>84</xdr:row>
          <xdr:rowOff>295275</xdr:rowOff>
        </xdr:to>
        <xdr:sp macro="" textlink="">
          <xdr:nvSpPr>
            <xdr:cNvPr id="21692" name="Check Box 188" hidden="1">
              <a:extLst>
                <a:ext uri="{63B3BB69-23CF-44E3-9099-C40C66FF867C}">
                  <a14:compatExt spid="_x0000_s21692"/>
                </a:ext>
                <a:ext uri="{FF2B5EF4-FFF2-40B4-BE49-F238E27FC236}">
                  <a16:creationId xmlns:a16="http://schemas.microsoft.com/office/drawing/2014/main" id="{00000000-0008-0000-0700-0000B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84</xdr:row>
          <xdr:rowOff>0</xdr:rowOff>
        </xdr:from>
        <xdr:to>
          <xdr:col>4</xdr:col>
          <xdr:colOff>638175</xdr:colOff>
          <xdr:row>84</xdr:row>
          <xdr:rowOff>295275</xdr:rowOff>
        </xdr:to>
        <xdr:sp macro="" textlink="">
          <xdr:nvSpPr>
            <xdr:cNvPr id="21693" name="Check Box 189" hidden="1">
              <a:extLst>
                <a:ext uri="{63B3BB69-23CF-44E3-9099-C40C66FF867C}">
                  <a14:compatExt spid="_x0000_s21693"/>
                </a:ext>
                <a:ext uri="{FF2B5EF4-FFF2-40B4-BE49-F238E27FC236}">
                  <a16:creationId xmlns:a16="http://schemas.microsoft.com/office/drawing/2014/main" id="{00000000-0008-0000-0700-0000B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87</xdr:row>
          <xdr:rowOff>38100</xdr:rowOff>
        </xdr:from>
        <xdr:to>
          <xdr:col>2</xdr:col>
          <xdr:colOff>838200</xdr:colOff>
          <xdr:row>88</xdr:row>
          <xdr:rowOff>133350</xdr:rowOff>
        </xdr:to>
        <xdr:sp macro="" textlink="">
          <xdr:nvSpPr>
            <xdr:cNvPr id="21694" name="Check Box 190" hidden="1">
              <a:extLst>
                <a:ext uri="{63B3BB69-23CF-44E3-9099-C40C66FF867C}">
                  <a14:compatExt spid="_x0000_s21694"/>
                </a:ext>
                <a:ext uri="{FF2B5EF4-FFF2-40B4-BE49-F238E27FC236}">
                  <a16:creationId xmlns:a16="http://schemas.microsoft.com/office/drawing/2014/main" id="{00000000-0008-0000-0700-0000B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1695" name="Check Box 191" hidden="1">
              <a:extLst>
                <a:ext uri="{63B3BB69-23CF-44E3-9099-C40C66FF867C}">
                  <a14:compatExt spid="_x0000_s21695"/>
                </a:ext>
                <a:ext uri="{FF2B5EF4-FFF2-40B4-BE49-F238E27FC236}">
                  <a16:creationId xmlns:a16="http://schemas.microsoft.com/office/drawing/2014/main" id="{00000000-0008-0000-0700-0000B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1696" name="Check Box 192" hidden="1">
              <a:extLst>
                <a:ext uri="{63B3BB69-23CF-44E3-9099-C40C66FF867C}">
                  <a14:compatExt spid="_x0000_s21696"/>
                </a:ext>
                <a:ext uri="{FF2B5EF4-FFF2-40B4-BE49-F238E27FC236}">
                  <a16:creationId xmlns:a16="http://schemas.microsoft.com/office/drawing/2014/main" id="{00000000-0008-0000-0700-0000C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87</xdr:row>
          <xdr:rowOff>28575</xdr:rowOff>
        </xdr:from>
        <xdr:to>
          <xdr:col>2</xdr:col>
          <xdr:colOff>1343025</xdr:colOff>
          <xdr:row>88</xdr:row>
          <xdr:rowOff>123825</xdr:rowOff>
        </xdr:to>
        <xdr:sp macro="" textlink="">
          <xdr:nvSpPr>
            <xdr:cNvPr id="21697" name="Check Box 193" hidden="1">
              <a:extLst>
                <a:ext uri="{63B3BB69-23CF-44E3-9099-C40C66FF867C}">
                  <a14:compatExt spid="_x0000_s21697"/>
                </a:ext>
                <a:ext uri="{FF2B5EF4-FFF2-40B4-BE49-F238E27FC236}">
                  <a16:creationId xmlns:a16="http://schemas.microsoft.com/office/drawing/2014/main" id="{00000000-0008-0000-0700-0000C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1698" name="Check Box 194" hidden="1">
              <a:extLst>
                <a:ext uri="{63B3BB69-23CF-44E3-9099-C40C66FF867C}">
                  <a14:compatExt spid="_x0000_s21698"/>
                </a:ext>
                <a:ext uri="{FF2B5EF4-FFF2-40B4-BE49-F238E27FC236}">
                  <a16:creationId xmlns:a16="http://schemas.microsoft.com/office/drawing/2014/main" id="{00000000-0008-0000-0700-0000C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87</xdr:row>
          <xdr:rowOff>28575</xdr:rowOff>
        </xdr:from>
        <xdr:to>
          <xdr:col>5</xdr:col>
          <xdr:colOff>95250</xdr:colOff>
          <xdr:row>88</xdr:row>
          <xdr:rowOff>123825</xdr:rowOff>
        </xdr:to>
        <xdr:sp macro="" textlink="">
          <xdr:nvSpPr>
            <xdr:cNvPr id="21699" name="Check Box 195" hidden="1">
              <a:extLst>
                <a:ext uri="{63B3BB69-23CF-44E3-9099-C40C66FF867C}">
                  <a14:compatExt spid="_x0000_s21699"/>
                </a:ext>
                <a:ext uri="{FF2B5EF4-FFF2-40B4-BE49-F238E27FC236}">
                  <a16:creationId xmlns:a16="http://schemas.microsoft.com/office/drawing/2014/main" id="{00000000-0008-0000-0700-0000C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88</xdr:row>
          <xdr:rowOff>19050</xdr:rowOff>
        </xdr:from>
        <xdr:to>
          <xdr:col>2</xdr:col>
          <xdr:colOff>828675</xdr:colOff>
          <xdr:row>89</xdr:row>
          <xdr:rowOff>114300</xdr:rowOff>
        </xdr:to>
        <xdr:sp macro="" textlink="">
          <xdr:nvSpPr>
            <xdr:cNvPr id="21700" name="Check Box 196" hidden="1">
              <a:extLst>
                <a:ext uri="{63B3BB69-23CF-44E3-9099-C40C66FF867C}">
                  <a14:compatExt spid="_x0000_s21700"/>
                </a:ext>
                <a:ext uri="{FF2B5EF4-FFF2-40B4-BE49-F238E27FC236}">
                  <a16:creationId xmlns:a16="http://schemas.microsoft.com/office/drawing/2014/main" id="{00000000-0008-0000-0700-0000C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88</xdr:row>
          <xdr:rowOff>9525</xdr:rowOff>
        </xdr:from>
        <xdr:to>
          <xdr:col>2</xdr:col>
          <xdr:colOff>1600200</xdr:colOff>
          <xdr:row>89</xdr:row>
          <xdr:rowOff>104775</xdr:rowOff>
        </xdr:to>
        <xdr:sp macro="" textlink="">
          <xdr:nvSpPr>
            <xdr:cNvPr id="21701" name="Check Box 197" hidden="1">
              <a:extLst>
                <a:ext uri="{63B3BB69-23CF-44E3-9099-C40C66FF867C}">
                  <a14:compatExt spid="_x0000_s21701"/>
                </a:ext>
                <a:ext uri="{FF2B5EF4-FFF2-40B4-BE49-F238E27FC236}">
                  <a16:creationId xmlns:a16="http://schemas.microsoft.com/office/drawing/2014/main" id="{00000000-0008-0000-0700-0000C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1702" name="Check Box 198" hidden="1">
              <a:extLst>
                <a:ext uri="{63B3BB69-23CF-44E3-9099-C40C66FF867C}">
                  <a14:compatExt spid="_x0000_s21702"/>
                </a:ext>
                <a:ext uri="{FF2B5EF4-FFF2-40B4-BE49-F238E27FC236}">
                  <a16:creationId xmlns:a16="http://schemas.microsoft.com/office/drawing/2014/main" id="{00000000-0008-0000-0700-0000C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89</xdr:row>
          <xdr:rowOff>0</xdr:rowOff>
        </xdr:from>
        <xdr:to>
          <xdr:col>2</xdr:col>
          <xdr:colOff>990600</xdr:colOff>
          <xdr:row>90</xdr:row>
          <xdr:rowOff>19050</xdr:rowOff>
        </xdr:to>
        <xdr:sp macro="" textlink="">
          <xdr:nvSpPr>
            <xdr:cNvPr id="21703" name="Check Box 199" hidden="1">
              <a:extLst>
                <a:ext uri="{63B3BB69-23CF-44E3-9099-C40C66FF867C}">
                  <a14:compatExt spid="_x0000_s21703"/>
                </a:ext>
                <a:ext uri="{FF2B5EF4-FFF2-40B4-BE49-F238E27FC236}">
                  <a16:creationId xmlns:a16="http://schemas.microsoft.com/office/drawing/2014/main" id="{00000000-0008-0000-0700-0000C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89</xdr:row>
          <xdr:rowOff>0</xdr:rowOff>
        </xdr:from>
        <xdr:to>
          <xdr:col>3</xdr:col>
          <xdr:colOff>847725</xdr:colOff>
          <xdr:row>90</xdr:row>
          <xdr:rowOff>19050</xdr:rowOff>
        </xdr:to>
        <xdr:sp macro="" textlink="">
          <xdr:nvSpPr>
            <xdr:cNvPr id="21704" name="Check Box 200" hidden="1">
              <a:extLst>
                <a:ext uri="{63B3BB69-23CF-44E3-9099-C40C66FF867C}">
                  <a14:compatExt spid="_x0000_s21704"/>
                </a:ext>
                <a:ext uri="{FF2B5EF4-FFF2-40B4-BE49-F238E27FC236}">
                  <a16:creationId xmlns:a16="http://schemas.microsoft.com/office/drawing/2014/main" id="{00000000-0008-0000-0700-0000C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89</xdr:row>
          <xdr:rowOff>0</xdr:rowOff>
        </xdr:from>
        <xdr:to>
          <xdr:col>4</xdr:col>
          <xdr:colOff>638175</xdr:colOff>
          <xdr:row>90</xdr:row>
          <xdr:rowOff>19050</xdr:rowOff>
        </xdr:to>
        <xdr:sp macro="" textlink="">
          <xdr:nvSpPr>
            <xdr:cNvPr id="21705" name="Check Box 201" hidden="1">
              <a:extLst>
                <a:ext uri="{63B3BB69-23CF-44E3-9099-C40C66FF867C}">
                  <a14:compatExt spid="_x0000_s21705"/>
                </a:ext>
                <a:ext uri="{FF2B5EF4-FFF2-40B4-BE49-F238E27FC236}">
                  <a16:creationId xmlns:a16="http://schemas.microsoft.com/office/drawing/2014/main" id="{00000000-0008-0000-0700-0000C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92</xdr:row>
          <xdr:rowOff>38100</xdr:rowOff>
        </xdr:from>
        <xdr:to>
          <xdr:col>2</xdr:col>
          <xdr:colOff>838200</xdr:colOff>
          <xdr:row>93</xdr:row>
          <xdr:rowOff>133350</xdr:rowOff>
        </xdr:to>
        <xdr:sp macro="" textlink="">
          <xdr:nvSpPr>
            <xdr:cNvPr id="21706" name="Check Box 202" hidden="1">
              <a:extLst>
                <a:ext uri="{63B3BB69-23CF-44E3-9099-C40C66FF867C}">
                  <a14:compatExt spid="_x0000_s21706"/>
                </a:ext>
                <a:ext uri="{FF2B5EF4-FFF2-40B4-BE49-F238E27FC236}">
                  <a16:creationId xmlns:a16="http://schemas.microsoft.com/office/drawing/2014/main" id="{00000000-0008-0000-0700-0000C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1707" name="Check Box 203" hidden="1">
              <a:extLst>
                <a:ext uri="{63B3BB69-23CF-44E3-9099-C40C66FF867C}">
                  <a14:compatExt spid="_x0000_s21707"/>
                </a:ext>
                <a:ext uri="{FF2B5EF4-FFF2-40B4-BE49-F238E27FC236}">
                  <a16:creationId xmlns:a16="http://schemas.microsoft.com/office/drawing/2014/main" id="{00000000-0008-0000-0700-0000C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1708" name="Check Box 204" hidden="1">
              <a:extLst>
                <a:ext uri="{63B3BB69-23CF-44E3-9099-C40C66FF867C}">
                  <a14:compatExt spid="_x0000_s21708"/>
                </a:ext>
                <a:ext uri="{FF2B5EF4-FFF2-40B4-BE49-F238E27FC236}">
                  <a16:creationId xmlns:a16="http://schemas.microsoft.com/office/drawing/2014/main" id="{00000000-0008-0000-0700-0000C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92</xdr:row>
          <xdr:rowOff>28575</xdr:rowOff>
        </xdr:from>
        <xdr:to>
          <xdr:col>2</xdr:col>
          <xdr:colOff>1343025</xdr:colOff>
          <xdr:row>93</xdr:row>
          <xdr:rowOff>123825</xdr:rowOff>
        </xdr:to>
        <xdr:sp macro="" textlink="">
          <xdr:nvSpPr>
            <xdr:cNvPr id="21709" name="Check Box 205" hidden="1">
              <a:extLst>
                <a:ext uri="{63B3BB69-23CF-44E3-9099-C40C66FF867C}">
                  <a14:compatExt spid="_x0000_s21709"/>
                </a:ext>
                <a:ext uri="{FF2B5EF4-FFF2-40B4-BE49-F238E27FC236}">
                  <a16:creationId xmlns:a16="http://schemas.microsoft.com/office/drawing/2014/main" id="{00000000-0008-0000-0700-0000C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1710" name="Check Box 206" hidden="1">
              <a:extLst>
                <a:ext uri="{63B3BB69-23CF-44E3-9099-C40C66FF867C}">
                  <a14:compatExt spid="_x0000_s21710"/>
                </a:ext>
                <a:ext uri="{FF2B5EF4-FFF2-40B4-BE49-F238E27FC236}">
                  <a16:creationId xmlns:a16="http://schemas.microsoft.com/office/drawing/2014/main" id="{00000000-0008-0000-0700-0000C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92</xdr:row>
          <xdr:rowOff>28575</xdr:rowOff>
        </xdr:from>
        <xdr:to>
          <xdr:col>5</xdr:col>
          <xdr:colOff>95250</xdr:colOff>
          <xdr:row>93</xdr:row>
          <xdr:rowOff>123825</xdr:rowOff>
        </xdr:to>
        <xdr:sp macro="" textlink="">
          <xdr:nvSpPr>
            <xdr:cNvPr id="21711" name="Check Box 207" hidden="1">
              <a:extLst>
                <a:ext uri="{63B3BB69-23CF-44E3-9099-C40C66FF867C}">
                  <a14:compatExt spid="_x0000_s21711"/>
                </a:ext>
                <a:ext uri="{FF2B5EF4-FFF2-40B4-BE49-F238E27FC236}">
                  <a16:creationId xmlns:a16="http://schemas.microsoft.com/office/drawing/2014/main" id="{00000000-0008-0000-0700-0000C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93</xdr:row>
          <xdr:rowOff>19050</xdr:rowOff>
        </xdr:from>
        <xdr:to>
          <xdr:col>2</xdr:col>
          <xdr:colOff>828675</xdr:colOff>
          <xdr:row>94</xdr:row>
          <xdr:rowOff>114300</xdr:rowOff>
        </xdr:to>
        <xdr:sp macro="" textlink="">
          <xdr:nvSpPr>
            <xdr:cNvPr id="21712" name="Check Box 208" hidden="1">
              <a:extLst>
                <a:ext uri="{63B3BB69-23CF-44E3-9099-C40C66FF867C}">
                  <a14:compatExt spid="_x0000_s21712"/>
                </a:ext>
                <a:ext uri="{FF2B5EF4-FFF2-40B4-BE49-F238E27FC236}">
                  <a16:creationId xmlns:a16="http://schemas.microsoft.com/office/drawing/2014/main" id="{00000000-0008-0000-0700-0000D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93</xdr:row>
          <xdr:rowOff>9525</xdr:rowOff>
        </xdr:from>
        <xdr:to>
          <xdr:col>2</xdr:col>
          <xdr:colOff>1600200</xdr:colOff>
          <xdr:row>94</xdr:row>
          <xdr:rowOff>104775</xdr:rowOff>
        </xdr:to>
        <xdr:sp macro="" textlink="">
          <xdr:nvSpPr>
            <xdr:cNvPr id="21713" name="Check Box 209" hidden="1">
              <a:extLst>
                <a:ext uri="{63B3BB69-23CF-44E3-9099-C40C66FF867C}">
                  <a14:compatExt spid="_x0000_s21713"/>
                </a:ext>
                <a:ext uri="{FF2B5EF4-FFF2-40B4-BE49-F238E27FC236}">
                  <a16:creationId xmlns:a16="http://schemas.microsoft.com/office/drawing/2014/main" id="{00000000-0008-0000-0700-0000D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1714" name="Check Box 210" hidden="1">
              <a:extLst>
                <a:ext uri="{63B3BB69-23CF-44E3-9099-C40C66FF867C}">
                  <a14:compatExt spid="_x0000_s21714"/>
                </a:ext>
                <a:ext uri="{FF2B5EF4-FFF2-40B4-BE49-F238E27FC236}">
                  <a16:creationId xmlns:a16="http://schemas.microsoft.com/office/drawing/2014/main" id="{00000000-0008-0000-0700-0000D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94</xdr:row>
          <xdr:rowOff>0</xdr:rowOff>
        </xdr:from>
        <xdr:to>
          <xdr:col>2</xdr:col>
          <xdr:colOff>990600</xdr:colOff>
          <xdr:row>95</xdr:row>
          <xdr:rowOff>19050</xdr:rowOff>
        </xdr:to>
        <xdr:sp macro="" textlink="">
          <xdr:nvSpPr>
            <xdr:cNvPr id="21715" name="Check Box 211" hidden="1">
              <a:extLst>
                <a:ext uri="{63B3BB69-23CF-44E3-9099-C40C66FF867C}">
                  <a14:compatExt spid="_x0000_s21715"/>
                </a:ext>
                <a:ext uri="{FF2B5EF4-FFF2-40B4-BE49-F238E27FC236}">
                  <a16:creationId xmlns:a16="http://schemas.microsoft.com/office/drawing/2014/main" id="{00000000-0008-0000-0700-0000D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94</xdr:row>
          <xdr:rowOff>0</xdr:rowOff>
        </xdr:from>
        <xdr:to>
          <xdr:col>3</xdr:col>
          <xdr:colOff>847725</xdr:colOff>
          <xdr:row>95</xdr:row>
          <xdr:rowOff>19050</xdr:rowOff>
        </xdr:to>
        <xdr:sp macro="" textlink="">
          <xdr:nvSpPr>
            <xdr:cNvPr id="21716" name="Check Box 212" hidden="1">
              <a:extLst>
                <a:ext uri="{63B3BB69-23CF-44E3-9099-C40C66FF867C}">
                  <a14:compatExt spid="_x0000_s21716"/>
                </a:ext>
                <a:ext uri="{FF2B5EF4-FFF2-40B4-BE49-F238E27FC236}">
                  <a16:creationId xmlns:a16="http://schemas.microsoft.com/office/drawing/2014/main" id="{00000000-0008-0000-0700-0000D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94</xdr:row>
          <xdr:rowOff>0</xdr:rowOff>
        </xdr:from>
        <xdr:to>
          <xdr:col>4</xdr:col>
          <xdr:colOff>638175</xdr:colOff>
          <xdr:row>95</xdr:row>
          <xdr:rowOff>19050</xdr:rowOff>
        </xdr:to>
        <xdr:sp macro="" textlink="">
          <xdr:nvSpPr>
            <xdr:cNvPr id="21717" name="Check Box 213" hidden="1">
              <a:extLst>
                <a:ext uri="{63B3BB69-23CF-44E3-9099-C40C66FF867C}">
                  <a14:compatExt spid="_x0000_s21717"/>
                </a:ext>
                <a:ext uri="{FF2B5EF4-FFF2-40B4-BE49-F238E27FC236}">
                  <a16:creationId xmlns:a16="http://schemas.microsoft.com/office/drawing/2014/main" id="{00000000-0008-0000-0700-0000D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97</xdr:row>
          <xdr:rowOff>38100</xdr:rowOff>
        </xdr:from>
        <xdr:to>
          <xdr:col>2</xdr:col>
          <xdr:colOff>838200</xdr:colOff>
          <xdr:row>98</xdr:row>
          <xdr:rowOff>133350</xdr:rowOff>
        </xdr:to>
        <xdr:sp macro="" textlink="">
          <xdr:nvSpPr>
            <xdr:cNvPr id="21718" name="Check Box 214" hidden="1">
              <a:extLst>
                <a:ext uri="{63B3BB69-23CF-44E3-9099-C40C66FF867C}">
                  <a14:compatExt spid="_x0000_s21718"/>
                </a:ext>
                <a:ext uri="{FF2B5EF4-FFF2-40B4-BE49-F238E27FC236}">
                  <a16:creationId xmlns:a16="http://schemas.microsoft.com/office/drawing/2014/main" id="{00000000-0008-0000-0700-0000D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1719" name="Check Box 215" hidden="1">
              <a:extLst>
                <a:ext uri="{63B3BB69-23CF-44E3-9099-C40C66FF867C}">
                  <a14:compatExt spid="_x0000_s21719"/>
                </a:ext>
                <a:ext uri="{FF2B5EF4-FFF2-40B4-BE49-F238E27FC236}">
                  <a16:creationId xmlns:a16="http://schemas.microsoft.com/office/drawing/2014/main" id="{00000000-0008-0000-0700-0000D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1720" name="Check Box 216" hidden="1">
              <a:extLst>
                <a:ext uri="{63B3BB69-23CF-44E3-9099-C40C66FF867C}">
                  <a14:compatExt spid="_x0000_s21720"/>
                </a:ext>
                <a:ext uri="{FF2B5EF4-FFF2-40B4-BE49-F238E27FC236}">
                  <a16:creationId xmlns:a16="http://schemas.microsoft.com/office/drawing/2014/main" id="{00000000-0008-0000-0700-0000D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97</xdr:row>
          <xdr:rowOff>28575</xdr:rowOff>
        </xdr:from>
        <xdr:to>
          <xdr:col>2</xdr:col>
          <xdr:colOff>1343025</xdr:colOff>
          <xdr:row>98</xdr:row>
          <xdr:rowOff>123825</xdr:rowOff>
        </xdr:to>
        <xdr:sp macro="" textlink="">
          <xdr:nvSpPr>
            <xdr:cNvPr id="21721" name="Check Box 217" hidden="1">
              <a:extLst>
                <a:ext uri="{63B3BB69-23CF-44E3-9099-C40C66FF867C}">
                  <a14:compatExt spid="_x0000_s21721"/>
                </a:ext>
                <a:ext uri="{FF2B5EF4-FFF2-40B4-BE49-F238E27FC236}">
                  <a16:creationId xmlns:a16="http://schemas.microsoft.com/office/drawing/2014/main" id="{00000000-0008-0000-0700-0000D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1722" name="Check Box 218" hidden="1">
              <a:extLst>
                <a:ext uri="{63B3BB69-23CF-44E3-9099-C40C66FF867C}">
                  <a14:compatExt spid="_x0000_s21722"/>
                </a:ext>
                <a:ext uri="{FF2B5EF4-FFF2-40B4-BE49-F238E27FC236}">
                  <a16:creationId xmlns:a16="http://schemas.microsoft.com/office/drawing/2014/main" id="{00000000-0008-0000-0700-0000D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97</xdr:row>
          <xdr:rowOff>28575</xdr:rowOff>
        </xdr:from>
        <xdr:to>
          <xdr:col>5</xdr:col>
          <xdr:colOff>95250</xdr:colOff>
          <xdr:row>98</xdr:row>
          <xdr:rowOff>123825</xdr:rowOff>
        </xdr:to>
        <xdr:sp macro="" textlink="">
          <xdr:nvSpPr>
            <xdr:cNvPr id="21723" name="Check Box 219" hidden="1">
              <a:extLst>
                <a:ext uri="{63B3BB69-23CF-44E3-9099-C40C66FF867C}">
                  <a14:compatExt spid="_x0000_s21723"/>
                </a:ext>
                <a:ext uri="{FF2B5EF4-FFF2-40B4-BE49-F238E27FC236}">
                  <a16:creationId xmlns:a16="http://schemas.microsoft.com/office/drawing/2014/main" id="{00000000-0008-0000-0700-0000D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98</xdr:row>
          <xdr:rowOff>19050</xdr:rowOff>
        </xdr:from>
        <xdr:to>
          <xdr:col>2</xdr:col>
          <xdr:colOff>828675</xdr:colOff>
          <xdr:row>99</xdr:row>
          <xdr:rowOff>114300</xdr:rowOff>
        </xdr:to>
        <xdr:sp macro="" textlink="">
          <xdr:nvSpPr>
            <xdr:cNvPr id="21724" name="Check Box 220" hidden="1">
              <a:extLst>
                <a:ext uri="{63B3BB69-23CF-44E3-9099-C40C66FF867C}">
                  <a14:compatExt spid="_x0000_s21724"/>
                </a:ext>
                <a:ext uri="{FF2B5EF4-FFF2-40B4-BE49-F238E27FC236}">
                  <a16:creationId xmlns:a16="http://schemas.microsoft.com/office/drawing/2014/main" id="{00000000-0008-0000-0700-0000D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tiene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98</xdr:row>
          <xdr:rowOff>9525</xdr:rowOff>
        </xdr:from>
        <xdr:to>
          <xdr:col>2</xdr:col>
          <xdr:colOff>1600200</xdr:colOff>
          <xdr:row>99</xdr:row>
          <xdr:rowOff>104775</xdr:rowOff>
        </xdr:to>
        <xdr:sp macro="" textlink="">
          <xdr:nvSpPr>
            <xdr:cNvPr id="21725" name="Check Box 221" hidden="1">
              <a:extLst>
                <a:ext uri="{63B3BB69-23CF-44E3-9099-C40C66FF867C}">
                  <a14:compatExt spid="_x0000_s21725"/>
                </a:ext>
                <a:ext uri="{FF2B5EF4-FFF2-40B4-BE49-F238E27FC236}">
                  <a16:creationId xmlns:a16="http://schemas.microsoft.com/office/drawing/2014/main" id="{00000000-0008-0000-0700-0000D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1726" name="Check Box 222" hidden="1">
              <a:extLst>
                <a:ext uri="{63B3BB69-23CF-44E3-9099-C40C66FF867C}">
                  <a14:compatExt spid="_x0000_s21726"/>
                </a:ext>
                <a:ext uri="{FF2B5EF4-FFF2-40B4-BE49-F238E27FC236}">
                  <a16:creationId xmlns:a16="http://schemas.microsoft.com/office/drawing/2014/main" id="{00000000-0008-0000-0700-0000D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99</xdr:row>
          <xdr:rowOff>0</xdr:rowOff>
        </xdr:from>
        <xdr:to>
          <xdr:col>2</xdr:col>
          <xdr:colOff>990600</xdr:colOff>
          <xdr:row>100</xdr:row>
          <xdr:rowOff>95250</xdr:rowOff>
        </xdr:to>
        <xdr:sp macro="" textlink="">
          <xdr:nvSpPr>
            <xdr:cNvPr id="21727" name="Check Box 223" hidden="1">
              <a:extLst>
                <a:ext uri="{63B3BB69-23CF-44E3-9099-C40C66FF867C}">
                  <a14:compatExt spid="_x0000_s21727"/>
                </a:ext>
                <a:ext uri="{FF2B5EF4-FFF2-40B4-BE49-F238E27FC236}">
                  <a16:creationId xmlns:a16="http://schemas.microsoft.com/office/drawing/2014/main" id="{00000000-0008-0000-0700-0000D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Funciona bien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99</xdr:row>
          <xdr:rowOff>0</xdr:rowOff>
        </xdr:from>
        <xdr:to>
          <xdr:col>3</xdr:col>
          <xdr:colOff>847725</xdr:colOff>
          <xdr:row>100</xdr:row>
          <xdr:rowOff>95250</xdr:rowOff>
        </xdr:to>
        <xdr:sp macro="" textlink="">
          <xdr:nvSpPr>
            <xdr:cNvPr id="21728" name="Check Box 224" hidden="1">
              <a:extLst>
                <a:ext uri="{63B3BB69-23CF-44E3-9099-C40C66FF867C}">
                  <a14:compatExt spid="_x0000_s21728"/>
                </a:ext>
                <a:ext uri="{FF2B5EF4-FFF2-40B4-BE49-F238E27FC236}">
                  <a16:creationId xmlns:a16="http://schemas.microsoft.com/office/drawing/2014/main" id="{00000000-0008-0000-0700-0000E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Cierra/Tapa perfectamente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99</xdr:row>
          <xdr:rowOff>0</xdr:rowOff>
        </xdr:from>
        <xdr:to>
          <xdr:col>4</xdr:col>
          <xdr:colOff>638175</xdr:colOff>
          <xdr:row>100</xdr:row>
          <xdr:rowOff>95250</xdr:rowOff>
        </xdr:to>
        <xdr:sp macro="" textlink="">
          <xdr:nvSpPr>
            <xdr:cNvPr id="21729" name="Check Box 225" hidden="1">
              <a:extLst>
                <a:ext uri="{63B3BB69-23CF-44E3-9099-C40C66FF867C}">
                  <a14:compatExt spid="_x0000_s21729"/>
                </a:ext>
                <a:ext uri="{FF2B5EF4-FFF2-40B4-BE49-F238E27FC236}">
                  <a16:creationId xmlns:a16="http://schemas.microsoft.com/office/drawing/2014/main" id="{00000000-0008-0000-0700-0000E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funciona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17</xdr:row>
          <xdr:rowOff>28575</xdr:rowOff>
        </xdr:from>
        <xdr:to>
          <xdr:col>3</xdr:col>
          <xdr:colOff>819150</xdr:colOff>
          <xdr:row>18</xdr:row>
          <xdr:rowOff>57150</xdr:rowOff>
        </xdr:to>
        <xdr:sp macro="" textlink="">
          <xdr:nvSpPr>
            <xdr:cNvPr id="21730" name="Check Box 226" hidden="1">
              <a:extLst>
                <a:ext uri="{63B3BB69-23CF-44E3-9099-C40C66FF867C}">
                  <a14:compatExt spid="_x0000_s21730"/>
                </a:ext>
                <a:ext uri="{FF2B5EF4-FFF2-40B4-BE49-F238E27FC236}">
                  <a16:creationId xmlns:a16="http://schemas.microsoft.com/office/drawing/2014/main" id="{00000000-0008-0000-0700-0000E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17</xdr:row>
          <xdr:rowOff>28575</xdr:rowOff>
        </xdr:from>
        <xdr:to>
          <xdr:col>4</xdr:col>
          <xdr:colOff>638175</xdr:colOff>
          <xdr:row>18</xdr:row>
          <xdr:rowOff>57150</xdr:rowOff>
        </xdr:to>
        <xdr:sp macro="" textlink="">
          <xdr:nvSpPr>
            <xdr:cNvPr id="21731" name="Check Box 227" hidden="1">
              <a:extLst>
                <a:ext uri="{63B3BB69-23CF-44E3-9099-C40C66FF867C}">
                  <a14:compatExt spid="_x0000_s21731"/>
                </a:ext>
                <a:ext uri="{FF2B5EF4-FFF2-40B4-BE49-F238E27FC236}">
                  <a16:creationId xmlns:a16="http://schemas.microsoft.com/office/drawing/2014/main" id="{00000000-0008-0000-0700-0000E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17</xdr:row>
          <xdr:rowOff>38100</xdr:rowOff>
        </xdr:from>
        <xdr:to>
          <xdr:col>3</xdr:col>
          <xdr:colOff>114300</xdr:colOff>
          <xdr:row>18</xdr:row>
          <xdr:rowOff>66675</xdr:rowOff>
        </xdr:to>
        <xdr:sp macro="" textlink="">
          <xdr:nvSpPr>
            <xdr:cNvPr id="21732" name="Check Box 228" hidden="1">
              <a:extLst>
                <a:ext uri="{63B3BB69-23CF-44E3-9099-C40C66FF867C}">
                  <a14:compatExt spid="_x0000_s21732"/>
                </a:ext>
                <a:ext uri="{FF2B5EF4-FFF2-40B4-BE49-F238E27FC236}">
                  <a16:creationId xmlns:a16="http://schemas.microsoft.com/office/drawing/2014/main" id="{00000000-0008-0000-0700-0000E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18</xdr:row>
          <xdr:rowOff>9525</xdr:rowOff>
        </xdr:from>
        <xdr:to>
          <xdr:col>3</xdr:col>
          <xdr:colOff>104775</xdr:colOff>
          <xdr:row>19</xdr:row>
          <xdr:rowOff>104775</xdr:rowOff>
        </xdr:to>
        <xdr:sp macro="" textlink="">
          <xdr:nvSpPr>
            <xdr:cNvPr id="21733" name="Check Box 229" hidden="1">
              <a:extLst>
                <a:ext uri="{63B3BB69-23CF-44E3-9099-C40C66FF867C}">
                  <a14:compatExt spid="_x0000_s21733"/>
                </a:ext>
                <a:ext uri="{FF2B5EF4-FFF2-40B4-BE49-F238E27FC236}">
                  <a16:creationId xmlns:a16="http://schemas.microsoft.com/office/drawing/2014/main" id="{00000000-0008-0000-0700-0000E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22</xdr:row>
          <xdr:rowOff>28575</xdr:rowOff>
        </xdr:from>
        <xdr:to>
          <xdr:col>3</xdr:col>
          <xdr:colOff>819150</xdr:colOff>
          <xdr:row>23</xdr:row>
          <xdr:rowOff>57150</xdr:rowOff>
        </xdr:to>
        <xdr:sp macro="" textlink="">
          <xdr:nvSpPr>
            <xdr:cNvPr id="21734" name="Check Box 230" hidden="1">
              <a:extLst>
                <a:ext uri="{63B3BB69-23CF-44E3-9099-C40C66FF867C}">
                  <a14:compatExt spid="_x0000_s21734"/>
                </a:ext>
                <a:ext uri="{FF2B5EF4-FFF2-40B4-BE49-F238E27FC236}">
                  <a16:creationId xmlns:a16="http://schemas.microsoft.com/office/drawing/2014/main" id="{00000000-0008-0000-0700-0000E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22</xdr:row>
          <xdr:rowOff>28575</xdr:rowOff>
        </xdr:from>
        <xdr:to>
          <xdr:col>4</xdr:col>
          <xdr:colOff>638175</xdr:colOff>
          <xdr:row>23</xdr:row>
          <xdr:rowOff>57150</xdr:rowOff>
        </xdr:to>
        <xdr:sp macro="" textlink="">
          <xdr:nvSpPr>
            <xdr:cNvPr id="21735" name="Check Box 231" hidden="1">
              <a:extLst>
                <a:ext uri="{63B3BB69-23CF-44E3-9099-C40C66FF867C}">
                  <a14:compatExt spid="_x0000_s21735"/>
                </a:ext>
                <a:ext uri="{FF2B5EF4-FFF2-40B4-BE49-F238E27FC236}">
                  <a16:creationId xmlns:a16="http://schemas.microsoft.com/office/drawing/2014/main" id="{00000000-0008-0000-0700-0000E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22</xdr:row>
          <xdr:rowOff>38100</xdr:rowOff>
        </xdr:from>
        <xdr:to>
          <xdr:col>3</xdr:col>
          <xdr:colOff>114300</xdr:colOff>
          <xdr:row>23</xdr:row>
          <xdr:rowOff>66675</xdr:rowOff>
        </xdr:to>
        <xdr:sp macro="" textlink="">
          <xdr:nvSpPr>
            <xdr:cNvPr id="21736" name="Check Box 232" hidden="1">
              <a:extLst>
                <a:ext uri="{63B3BB69-23CF-44E3-9099-C40C66FF867C}">
                  <a14:compatExt spid="_x0000_s21736"/>
                </a:ext>
                <a:ext uri="{FF2B5EF4-FFF2-40B4-BE49-F238E27FC236}">
                  <a16:creationId xmlns:a16="http://schemas.microsoft.com/office/drawing/2014/main" id="{00000000-0008-0000-0700-0000E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23</xdr:row>
          <xdr:rowOff>9525</xdr:rowOff>
        </xdr:from>
        <xdr:to>
          <xdr:col>3</xdr:col>
          <xdr:colOff>104775</xdr:colOff>
          <xdr:row>24</xdr:row>
          <xdr:rowOff>104775</xdr:rowOff>
        </xdr:to>
        <xdr:sp macro="" textlink="">
          <xdr:nvSpPr>
            <xdr:cNvPr id="21737" name="Check Box 233" hidden="1">
              <a:extLst>
                <a:ext uri="{63B3BB69-23CF-44E3-9099-C40C66FF867C}">
                  <a14:compatExt spid="_x0000_s21737"/>
                </a:ext>
                <a:ext uri="{FF2B5EF4-FFF2-40B4-BE49-F238E27FC236}">
                  <a16:creationId xmlns:a16="http://schemas.microsoft.com/office/drawing/2014/main" id="{00000000-0008-0000-0700-0000E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22</xdr:row>
          <xdr:rowOff>28575</xdr:rowOff>
        </xdr:from>
        <xdr:to>
          <xdr:col>3</xdr:col>
          <xdr:colOff>819150</xdr:colOff>
          <xdr:row>23</xdr:row>
          <xdr:rowOff>57150</xdr:rowOff>
        </xdr:to>
        <xdr:sp macro="" textlink="">
          <xdr:nvSpPr>
            <xdr:cNvPr id="21738" name="Check Box 234" hidden="1">
              <a:extLst>
                <a:ext uri="{63B3BB69-23CF-44E3-9099-C40C66FF867C}">
                  <a14:compatExt spid="_x0000_s21738"/>
                </a:ext>
                <a:ext uri="{FF2B5EF4-FFF2-40B4-BE49-F238E27FC236}">
                  <a16:creationId xmlns:a16="http://schemas.microsoft.com/office/drawing/2014/main" id="{00000000-0008-0000-0700-0000E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22</xdr:row>
          <xdr:rowOff>28575</xdr:rowOff>
        </xdr:from>
        <xdr:to>
          <xdr:col>4</xdr:col>
          <xdr:colOff>638175</xdr:colOff>
          <xdr:row>23</xdr:row>
          <xdr:rowOff>57150</xdr:rowOff>
        </xdr:to>
        <xdr:sp macro="" textlink="">
          <xdr:nvSpPr>
            <xdr:cNvPr id="21739" name="Check Box 235" hidden="1">
              <a:extLst>
                <a:ext uri="{63B3BB69-23CF-44E3-9099-C40C66FF867C}">
                  <a14:compatExt spid="_x0000_s21739"/>
                </a:ext>
                <a:ext uri="{FF2B5EF4-FFF2-40B4-BE49-F238E27FC236}">
                  <a16:creationId xmlns:a16="http://schemas.microsoft.com/office/drawing/2014/main" id="{00000000-0008-0000-0700-0000E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22</xdr:row>
          <xdr:rowOff>38100</xdr:rowOff>
        </xdr:from>
        <xdr:to>
          <xdr:col>3</xdr:col>
          <xdr:colOff>114300</xdr:colOff>
          <xdr:row>23</xdr:row>
          <xdr:rowOff>66675</xdr:rowOff>
        </xdr:to>
        <xdr:sp macro="" textlink="">
          <xdr:nvSpPr>
            <xdr:cNvPr id="21740" name="Check Box 236" hidden="1">
              <a:extLst>
                <a:ext uri="{63B3BB69-23CF-44E3-9099-C40C66FF867C}">
                  <a14:compatExt spid="_x0000_s21740"/>
                </a:ext>
                <a:ext uri="{FF2B5EF4-FFF2-40B4-BE49-F238E27FC236}">
                  <a16:creationId xmlns:a16="http://schemas.microsoft.com/office/drawing/2014/main" id="{00000000-0008-0000-0700-0000E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23</xdr:row>
          <xdr:rowOff>9525</xdr:rowOff>
        </xdr:from>
        <xdr:to>
          <xdr:col>3</xdr:col>
          <xdr:colOff>104775</xdr:colOff>
          <xdr:row>24</xdr:row>
          <xdr:rowOff>104775</xdr:rowOff>
        </xdr:to>
        <xdr:sp macro="" textlink="">
          <xdr:nvSpPr>
            <xdr:cNvPr id="21741" name="Check Box 237" hidden="1">
              <a:extLst>
                <a:ext uri="{63B3BB69-23CF-44E3-9099-C40C66FF867C}">
                  <a14:compatExt spid="_x0000_s21741"/>
                </a:ext>
                <a:ext uri="{FF2B5EF4-FFF2-40B4-BE49-F238E27FC236}">
                  <a16:creationId xmlns:a16="http://schemas.microsoft.com/office/drawing/2014/main" id="{00000000-0008-0000-0700-0000E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27</xdr:row>
          <xdr:rowOff>28575</xdr:rowOff>
        </xdr:from>
        <xdr:to>
          <xdr:col>3</xdr:col>
          <xdr:colOff>819150</xdr:colOff>
          <xdr:row>28</xdr:row>
          <xdr:rowOff>123825</xdr:rowOff>
        </xdr:to>
        <xdr:sp macro="" textlink="">
          <xdr:nvSpPr>
            <xdr:cNvPr id="21742" name="Check Box 238" hidden="1">
              <a:extLst>
                <a:ext uri="{63B3BB69-23CF-44E3-9099-C40C66FF867C}">
                  <a14:compatExt spid="_x0000_s21742"/>
                </a:ext>
                <a:ext uri="{FF2B5EF4-FFF2-40B4-BE49-F238E27FC236}">
                  <a16:creationId xmlns:a16="http://schemas.microsoft.com/office/drawing/2014/main" id="{00000000-0008-0000-0700-0000E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27</xdr:row>
          <xdr:rowOff>28575</xdr:rowOff>
        </xdr:from>
        <xdr:to>
          <xdr:col>4</xdr:col>
          <xdr:colOff>638175</xdr:colOff>
          <xdr:row>28</xdr:row>
          <xdr:rowOff>123825</xdr:rowOff>
        </xdr:to>
        <xdr:sp macro="" textlink="">
          <xdr:nvSpPr>
            <xdr:cNvPr id="21743" name="Check Box 239" hidden="1">
              <a:extLst>
                <a:ext uri="{63B3BB69-23CF-44E3-9099-C40C66FF867C}">
                  <a14:compatExt spid="_x0000_s21743"/>
                </a:ext>
                <a:ext uri="{FF2B5EF4-FFF2-40B4-BE49-F238E27FC236}">
                  <a16:creationId xmlns:a16="http://schemas.microsoft.com/office/drawing/2014/main" id="{00000000-0008-0000-0700-0000E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27</xdr:row>
          <xdr:rowOff>38100</xdr:rowOff>
        </xdr:from>
        <xdr:to>
          <xdr:col>3</xdr:col>
          <xdr:colOff>114300</xdr:colOff>
          <xdr:row>28</xdr:row>
          <xdr:rowOff>133350</xdr:rowOff>
        </xdr:to>
        <xdr:sp macro="" textlink="">
          <xdr:nvSpPr>
            <xdr:cNvPr id="21744" name="Check Box 240" hidden="1">
              <a:extLst>
                <a:ext uri="{63B3BB69-23CF-44E3-9099-C40C66FF867C}">
                  <a14:compatExt spid="_x0000_s21744"/>
                </a:ext>
                <a:ext uri="{FF2B5EF4-FFF2-40B4-BE49-F238E27FC236}">
                  <a16:creationId xmlns:a16="http://schemas.microsoft.com/office/drawing/2014/main" id="{00000000-0008-0000-0700-0000F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28</xdr:row>
          <xdr:rowOff>9525</xdr:rowOff>
        </xdr:from>
        <xdr:to>
          <xdr:col>3</xdr:col>
          <xdr:colOff>104775</xdr:colOff>
          <xdr:row>29</xdr:row>
          <xdr:rowOff>104775</xdr:rowOff>
        </xdr:to>
        <xdr:sp macro="" textlink="">
          <xdr:nvSpPr>
            <xdr:cNvPr id="21745" name="Check Box 241" hidden="1">
              <a:extLst>
                <a:ext uri="{63B3BB69-23CF-44E3-9099-C40C66FF867C}">
                  <a14:compatExt spid="_x0000_s21745"/>
                </a:ext>
                <a:ext uri="{FF2B5EF4-FFF2-40B4-BE49-F238E27FC236}">
                  <a16:creationId xmlns:a16="http://schemas.microsoft.com/office/drawing/2014/main" id="{00000000-0008-0000-0700-0000F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27</xdr:row>
          <xdr:rowOff>28575</xdr:rowOff>
        </xdr:from>
        <xdr:to>
          <xdr:col>3</xdr:col>
          <xdr:colOff>819150</xdr:colOff>
          <xdr:row>28</xdr:row>
          <xdr:rowOff>123825</xdr:rowOff>
        </xdr:to>
        <xdr:sp macro="" textlink="">
          <xdr:nvSpPr>
            <xdr:cNvPr id="21746" name="Check Box 242" hidden="1">
              <a:extLst>
                <a:ext uri="{63B3BB69-23CF-44E3-9099-C40C66FF867C}">
                  <a14:compatExt spid="_x0000_s21746"/>
                </a:ext>
                <a:ext uri="{FF2B5EF4-FFF2-40B4-BE49-F238E27FC236}">
                  <a16:creationId xmlns:a16="http://schemas.microsoft.com/office/drawing/2014/main" id="{00000000-0008-0000-0700-0000F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27</xdr:row>
          <xdr:rowOff>28575</xdr:rowOff>
        </xdr:from>
        <xdr:to>
          <xdr:col>4</xdr:col>
          <xdr:colOff>638175</xdr:colOff>
          <xdr:row>28</xdr:row>
          <xdr:rowOff>123825</xdr:rowOff>
        </xdr:to>
        <xdr:sp macro="" textlink="">
          <xdr:nvSpPr>
            <xdr:cNvPr id="21747" name="Check Box 243" hidden="1">
              <a:extLst>
                <a:ext uri="{63B3BB69-23CF-44E3-9099-C40C66FF867C}">
                  <a14:compatExt spid="_x0000_s21747"/>
                </a:ext>
                <a:ext uri="{FF2B5EF4-FFF2-40B4-BE49-F238E27FC236}">
                  <a16:creationId xmlns:a16="http://schemas.microsoft.com/office/drawing/2014/main" id="{00000000-0008-0000-0700-0000F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27</xdr:row>
          <xdr:rowOff>38100</xdr:rowOff>
        </xdr:from>
        <xdr:to>
          <xdr:col>3</xdr:col>
          <xdr:colOff>114300</xdr:colOff>
          <xdr:row>28</xdr:row>
          <xdr:rowOff>133350</xdr:rowOff>
        </xdr:to>
        <xdr:sp macro="" textlink="">
          <xdr:nvSpPr>
            <xdr:cNvPr id="21748" name="Check Box 244" hidden="1">
              <a:extLst>
                <a:ext uri="{63B3BB69-23CF-44E3-9099-C40C66FF867C}">
                  <a14:compatExt spid="_x0000_s21748"/>
                </a:ext>
                <a:ext uri="{FF2B5EF4-FFF2-40B4-BE49-F238E27FC236}">
                  <a16:creationId xmlns:a16="http://schemas.microsoft.com/office/drawing/2014/main" id="{00000000-0008-0000-0700-0000F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28</xdr:row>
          <xdr:rowOff>9525</xdr:rowOff>
        </xdr:from>
        <xdr:to>
          <xdr:col>3</xdr:col>
          <xdr:colOff>104775</xdr:colOff>
          <xdr:row>29</xdr:row>
          <xdr:rowOff>104775</xdr:rowOff>
        </xdr:to>
        <xdr:sp macro="" textlink="">
          <xdr:nvSpPr>
            <xdr:cNvPr id="21749" name="Check Box 245" hidden="1">
              <a:extLst>
                <a:ext uri="{63B3BB69-23CF-44E3-9099-C40C66FF867C}">
                  <a14:compatExt spid="_x0000_s21749"/>
                </a:ext>
                <a:ext uri="{FF2B5EF4-FFF2-40B4-BE49-F238E27FC236}">
                  <a16:creationId xmlns:a16="http://schemas.microsoft.com/office/drawing/2014/main" id="{00000000-0008-0000-0700-0000F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27</xdr:row>
          <xdr:rowOff>28575</xdr:rowOff>
        </xdr:from>
        <xdr:to>
          <xdr:col>3</xdr:col>
          <xdr:colOff>819150</xdr:colOff>
          <xdr:row>28</xdr:row>
          <xdr:rowOff>123825</xdr:rowOff>
        </xdr:to>
        <xdr:sp macro="" textlink="">
          <xdr:nvSpPr>
            <xdr:cNvPr id="21750" name="Check Box 246" hidden="1">
              <a:extLst>
                <a:ext uri="{63B3BB69-23CF-44E3-9099-C40C66FF867C}">
                  <a14:compatExt spid="_x0000_s21750"/>
                </a:ext>
                <a:ext uri="{FF2B5EF4-FFF2-40B4-BE49-F238E27FC236}">
                  <a16:creationId xmlns:a16="http://schemas.microsoft.com/office/drawing/2014/main" id="{00000000-0008-0000-0700-0000F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27</xdr:row>
          <xdr:rowOff>28575</xdr:rowOff>
        </xdr:from>
        <xdr:to>
          <xdr:col>4</xdr:col>
          <xdr:colOff>638175</xdr:colOff>
          <xdr:row>28</xdr:row>
          <xdr:rowOff>123825</xdr:rowOff>
        </xdr:to>
        <xdr:sp macro="" textlink="">
          <xdr:nvSpPr>
            <xdr:cNvPr id="21751" name="Check Box 247" hidden="1">
              <a:extLst>
                <a:ext uri="{63B3BB69-23CF-44E3-9099-C40C66FF867C}">
                  <a14:compatExt spid="_x0000_s21751"/>
                </a:ext>
                <a:ext uri="{FF2B5EF4-FFF2-40B4-BE49-F238E27FC236}">
                  <a16:creationId xmlns:a16="http://schemas.microsoft.com/office/drawing/2014/main" id="{00000000-0008-0000-0700-0000F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27</xdr:row>
          <xdr:rowOff>38100</xdr:rowOff>
        </xdr:from>
        <xdr:to>
          <xdr:col>3</xdr:col>
          <xdr:colOff>114300</xdr:colOff>
          <xdr:row>28</xdr:row>
          <xdr:rowOff>133350</xdr:rowOff>
        </xdr:to>
        <xdr:sp macro="" textlink="">
          <xdr:nvSpPr>
            <xdr:cNvPr id="21752" name="Check Box 248" hidden="1">
              <a:extLst>
                <a:ext uri="{63B3BB69-23CF-44E3-9099-C40C66FF867C}">
                  <a14:compatExt spid="_x0000_s21752"/>
                </a:ext>
                <a:ext uri="{FF2B5EF4-FFF2-40B4-BE49-F238E27FC236}">
                  <a16:creationId xmlns:a16="http://schemas.microsoft.com/office/drawing/2014/main" id="{00000000-0008-0000-0700-0000F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28</xdr:row>
          <xdr:rowOff>9525</xdr:rowOff>
        </xdr:from>
        <xdr:to>
          <xdr:col>3</xdr:col>
          <xdr:colOff>104775</xdr:colOff>
          <xdr:row>29</xdr:row>
          <xdr:rowOff>104775</xdr:rowOff>
        </xdr:to>
        <xdr:sp macro="" textlink="">
          <xdr:nvSpPr>
            <xdr:cNvPr id="21753" name="Check Box 249" hidden="1">
              <a:extLst>
                <a:ext uri="{63B3BB69-23CF-44E3-9099-C40C66FF867C}">
                  <a14:compatExt spid="_x0000_s21753"/>
                </a:ext>
                <a:ext uri="{FF2B5EF4-FFF2-40B4-BE49-F238E27FC236}">
                  <a16:creationId xmlns:a16="http://schemas.microsoft.com/office/drawing/2014/main" id="{00000000-0008-0000-0700-0000F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32</xdr:row>
          <xdr:rowOff>28575</xdr:rowOff>
        </xdr:from>
        <xdr:to>
          <xdr:col>3</xdr:col>
          <xdr:colOff>819150</xdr:colOff>
          <xdr:row>33</xdr:row>
          <xdr:rowOff>123825</xdr:rowOff>
        </xdr:to>
        <xdr:sp macro="" textlink="">
          <xdr:nvSpPr>
            <xdr:cNvPr id="21754" name="Check Box 250" hidden="1">
              <a:extLst>
                <a:ext uri="{63B3BB69-23CF-44E3-9099-C40C66FF867C}">
                  <a14:compatExt spid="_x0000_s21754"/>
                </a:ext>
                <a:ext uri="{FF2B5EF4-FFF2-40B4-BE49-F238E27FC236}">
                  <a16:creationId xmlns:a16="http://schemas.microsoft.com/office/drawing/2014/main" id="{00000000-0008-0000-0700-0000F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32</xdr:row>
          <xdr:rowOff>28575</xdr:rowOff>
        </xdr:from>
        <xdr:to>
          <xdr:col>4</xdr:col>
          <xdr:colOff>638175</xdr:colOff>
          <xdr:row>33</xdr:row>
          <xdr:rowOff>123825</xdr:rowOff>
        </xdr:to>
        <xdr:sp macro="" textlink="">
          <xdr:nvSpPr>
            <xdr:cNvPr id="21755" name="Check Box 251" hidden="1">
              <a:extLst>
                <a:ext uri="{63B3BB69-23CF-44E3-9099-C40C66FF867C}">
                  <a14:compatExt spid="_x0000_s21755"/>
                </a:ext>
                <a:ext uri="{FF2B5EF4-FFF2-40B4-BE49-F238E27FC236}">
                  <a16:creationId xmlns:a16="http://schemas.microsoft.com/office/drawing/2014/main" id="{00000000-0008-0000-0700-0000F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32</xdr:row>
          <xdr:rowOff>38100</xdr:rowOff>
        </xdr:from>
        <xdr:to>
          <xdr:col>3</xdr:col>
          <xdr:colOff>114300</xdr:colOff>
          <xdr:row>33</xdr:row>
          <xdr:rowOff>133350</xdr:rowOff>
        </xdr:to>
        <xdr:sp macro="" textlink="">
          <xdr:nvSpPr>
            <xdr:cNvPr id="21756" name="Check Box 252" hidden="1">
              <a:extLst>
                <a:ext uri="{63B3BB69-23CF-44E3-9099-C40C66FF867C}">
                  <a14:compatExt spid="_x0000_s21756"/>
                </a:ext>
                <a:ext uri="{FF2B5EF4-FFF2-40B4-BE49-F238E27FC236}">
                  <a16:creationId xmlns:a16="http://schemas.microsoft.com/office/drawing/2014/main" id="{00000000-0008-0000-0700-0000F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33</xdr:row>
          <xdr:rowOff>9525</xdr:rowOff>
        </xdr:from>
        <xdr:to>
          <xdr:col>3</xdr:col>
          <xdr:colOff>104775</xdr:colOff>
          <xdr:row>34</xdr:row>
          <xdr:rowOff>104775</xdr:rowOff>
        </xdr:to>
        <xdr:sp macro="" textlink="">
          <xdr:nvSpPr>
            <xdr:cNvPr id="21757" name="Check Box 253" hidden="1">
              <a:extLst>
                <a:ext uri="{63B3BB69-23CF-44E3-9099-C40C66FF867C}">
                  <a14:compatExt spid="_x0000_s21757"/>
                </a:ext>
                <a:ext uri="{FF2B5EF4-FFF2-40B4-BE49-F238E27FC236}">
                  <a16:creationId xmlns:a16="http://schemas.microsoft.com/office/drawing/2014/main" id="{00000000-0008-0000-0700-0000F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32</xdr:row>
          <xdr:rowOff>28575</xdr:rowOff>
        </xdr:from>
        <xdr:to>
          <xdr:col>3</xdr:col>
          <xdr:colOff>819150</xdr:colOff>
          <xdr:row>33</xdr:row>
          <xdr:rowOff>123825</xdr:rowOff>
        </xdr:to>
        <xdr:sp macro="" textlink="">
          <xdr:nvSpPr>
            <xdr:cNvPr id="21758" name="Check Box 254" hidden="1">
              <a:extLst>
                <a:ext uri="{63B3BB69-23CF-44E3-9099-C40C66FF867C}">
                  <a14:compatExt spid="_x0000_s21758"/>
                </a:ext>
                <a:ext uri="{FF2B5EF4-FFF2-40B4-BE49-F238E27FC236}">
                  <a16:creationId xmlns:a16="http://schemas.microsoft.com/office/drawing/2014/main" id="{00000000-0008-0000-0700-0000F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32</xdr:row>
          <xdr:rowOff>28575</xdr:rowOff>
        </xdr:from>
        <xdr:to>
          <xdr:col>4</xdr:col>
          <xdr:colOff>638175</xdr:colOff>
          <xdr:row>33</xdr:row>
          <xdr:rowOff>123825</xdr:rowOff>
        </xdr:to>
        <xdr:sp macro="" textlink="">
          <xdr:nvSpPr>
            <xdr:cNvPr id="21759" name="Check Box 255" hidden="1">
              <a:extLst>
                <a:ext uri="{63B3BB69-23CF-44E3-9099-C40C66FF867C}">
                  <a14:compatExt spid="_x0000_s21759"/>
                </a:ext>
                <a:ext uri="{FF2B5EF4-FFF2-40B4-BE49-F238E27FC236}">
                  <a16:creationId xmlns:a16="http://schemas.microsoft.com/office/drawing/2014/main" id="{00000000-0008-0000-0700-0000F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32</xdr:row>
          <xdr:rowOff>38100</xdr:rowOff>
        </xdr:from>
        <xdr:to>
          <xdr:col>3</xdr:col>
          <xdr:colOff>114300</xdr:colOff>
          <xdr:row>33</xdr:row>
          <xdr:rowOff>133350</xdr:rowOff>
        </xdr:to>
        <xdr:sp macro="" textlink="">
          <xdr:nvSpPr>
            <xdr:cNvPr id="21760" name="Check Box 256" hidden="1">
              <a:extLst>
                <a:ext uri="{63B3BB69-23CF-44E3-9099-C40C66FF867C}">
                  <a14:compatExt spid="_x0000_s21760"/>
                </a:ext>
                <a:ext uri="{FF2B5EF4-FFF2-40B4-BE49-F238E27FC236}">
                  <a16:creationId xmlns:a16="http://schemas.microsoft.com/office/drawing/2014/main" id="{00000000-0008-0000-0700-00000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33</xdr:row>
          <xdr:rowOff>9525</xdr:rowOff>
        </xdr:from>
        <xdr:to>
          <xdr:col>3</xdr:col>
          <xdr:colOff>104775</xdr:colOff>
          <xdr:row>34</xdr:row>
          <xdr:rowOff>104775</xdr:rowOff>
        </xdr:to>
        <xdr:sp macro="" textlink="">
          <xdr:nvSpPr>
            <xdr:cNvPr id="21761" name="Check Box 257" hidden="1">
              <a:extLst>
                <a:ext uri="{63B3BB69-23CF-44E3-9099-C40C66FF867C}">
                  <a14:compatExt spid="_x0000_s21761"/>
                </a:ext>
                <a:ext uri="{FF2B5EF4-FFF2-40B4-BE49-F238E27FC236}">
                  <a16:creationId xmlns:a16="http://schemas.microsoft.com/office/drawing/2014/main" id="{00000000-0008-0000-0700-00000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32</xdr:row>
          <xdr:rowOff>28575</xdr:rowOff>
        </xdr:from>
        <xdr:to>
          <xdr:col>3</xdr:col>
          <xdr:colOff>819150</xdr:colOff>
          <xdr:row>33</xdr:row>
          <xdr:rowOff>123825</xdr:rowOff>
        </xdr:to>
        <xdr:sp macro="" textlink="">
          <xdr:nvSpPr>
            <xdr:cNvPr id="21762" name="Check Box 258" hidden="1">
              <a:extLst>
                <a:ext uri="{63B3BB69-23CF-44E3-9099-C40C66FF867C}">
                  <a14:compatExt spid="_x0000_s21762"/>
                </a:ext>
                <a:ext uri="{FF2B5EF4-FFF2-40B4-BE49-F238E27FC236}">
                  <a16:creationId xmlns:a16="http://schemas.microsoft.com/office/drawing/2014/main" id="{00000000-0008-0000-0700-00000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32</xdr:row>
          <xdr:rowOff>28575</xdr:rowOff>
        </xdr:from>
        <xdr:to>
          <xdr:col>4</xdr:col>
          <xdr:colOff>638175</xdr:colOff>
          <xdr:row>33</xdr:row>
          <xdr:rowOff>123825</xdr:rowOff>
        </xdr:to>
        <xdr:sp macro="" textlink="">
          <xdr:nvSpPr>
            <xdr:cNvPr id="21763" name="Check Box 259" hidden="1">
              <a:extLst>
                <a:ext uri="{63B3BB69-23CF-44E3-9099-C40C66FF867C}">
                  <a14:compatExt spid="_x0000_s21763"/>
                </a:ext>
                <a:ext uri="{FF2B5EF4-FFF2-40B4-BE49-F238E27FC236}">
                  <a16:creationId xmlns:a16="http://schemas.microsoft.com/office/drawing/2014/main" id="{00000000-0008-0000-0700-00000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32</xdr:row>
          <xdr:rowOff>38100</xdr:rowOff>
        </xdr:from>
        <xdr:to>
          <xdr:col>3</xdr:col>
          <xdr:colOff>114300</xdr:colOff>
          <xdr:row>33</xdr:row>
          <xdr:rowOff>133350</xdr:rowOff>
        </xdr:to>
        <xdr:sp macro="" textlink="">
          <xdr:nvSpPr>
            <xdr:cNvPr id="21764" name="Check Box 260" hidden="1">
              <a:extLst>
                <a:ext uri="{63B3BB69-23CF-44E3-9099-C40C66FF867C}">
                  <a14:compatExt spid="_x0000_s21764"/>
                </a:ext>
                <a:ext uri="{FF2B5EF4-FFF2-40B4-BE49-F238E27FC236}">
                  <a16:creationId xmlns:a16="http://schemas.microsoft.com/office/drawing/2014/main" id="{00000000-0008-0000-0700-00000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33</xdr:row>
          <xdr:rowOff>9525</xdr:rowOff>
        </xdr:from>
        <xdr:to>
          <xdr:col>3</xdr:col>
          <xdr:colOff>104775</xdr:colOff>
          <xdr:row>34</xdr:row>
          <xdr:rowOff>104775</xdr:rowOff>
        </xdr:to>
        <xdr:sp macro="" textlink="">
          <xdr:nvSpPr>
            <xdr:cNvPr id="21765" name="Check Box 261" hidden="1">
              <a:extLst>
                <a:ext uri="{63B3BB69-23CF-44E3-9099-C40C66FF867C}">
                  <a14:compatExt spid="_x0000_s21765"/>
                </a:ext>
                <a:ext uri="{FF2B5EF4-FFF2-40B4-BE49-F238E27FC236}">
                  <a16:creationId xmlns:a16="http://schemas.microsoft.com/office/drawing/2014/main" id="{00000000-0008-0000-0700-00000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32</xdr:row>
          <xdr:rowOff>28575</xdr:rowOff>
        </xdr:from>
        <xdr:to>
          <xdr:col>3</xdr:col>
          <xdr:colOff>819150</xdr:colOff>
          <xdr:row>33</xdr:row>
          <xdr:rowOff>123825</xdr:rowOff>
        </xdr:to>
        <xdr:sp macro="" textlink="">
          <xdr:nvSpPr>
            <xdr:cNvPr id="21766" name="Check Box 262" hidden="1">
              <a:extLst>
                <a:ext uri="{63B3BB69-23CF-44E3-9099-C40C66FF867C}">
                  <a14:compatExt spid="_x0000_s21766"/>
                </a:ext>
                <a:ext uri="{FF2B5EF4-FFF2-40B4-BE49-F238E27FC236}">
                  <a16:creationId xmlns:a16="http://schemas.microsoft.com/office/drawing/2014/main" id="{00000000-0008-0000-0700-00000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32</xdr:row>
          <xdr:rowOff>28575</xdr:rowOff>
        </xdr:from>
        <xdr:to>
          <xdr:col>4</xdr:col>
          <xdr:colOff>638175</xdr:colOff>
          <xdr:row>33</xdr:row>
          <xdr:rowOff>123825</xdr:rowOff>
        </xdr:to>
        <xdr:sp macro="" textlink="">
          <xdr:nvSpPr>
            <xdr:cNvPr id="21767" name="Check Box 263" hidden="1">
              <a:extLst>
                <a:ext uri="{63B3BB69-23CF-44E3-9099-C40C66FF867C}">
                  <a14:compatExt spid="_x0000_s21767"/>
                </a:ext>
                <a:ext uri="{FF2B5EF4-FFF2-40B4-BE49-F238E27FC236}">
                  <a16:creationId xmlns:a16="http://schemas.microsoft.com/office/drawing/2014/main" id="{00000000-0008-0000-0700-00000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32</xdr:row>
          <xdr:rowOff>38100</xdr:rowOff>
        </xdr:from>
        <xdr:to>
          <xdr:col>3</xdr:col>
          <xdr:colOff>114300</xdr:colOff>
          <xdr:row>33</xdr:row>
          <xdr:rowOff>133350</xdr:rowOff>
        </xdr:to>
        <xdr:sp macro="" textlink="">
          <xdr:nvSpPr>
            <xdr:cNvPr id="21768" name="Check Box 264" hidden="1">
              <a:extLst>
                <a:ext uri="{63B3BB69-23CF-44E3-9099-C40C66FF867C}">
                  <a14:compatExt spid="_x0000_s21768"/>
                </a:ext>
                <a:ext uri="{FF2B5EF4-FFF2-40B4-BE49-F238E27FC236}">
                  <a16:creationId xmlns:a16="http://schemas.microsoft.com/office/drawing/2014/main" id="{00000000-0008-0000-0700-00000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33</xdr:row>
          <xdr:rowOff>9525</xdr:rowOff>
        </xdr:from>
        <xdr:to>
          <xdr:col>3</xdr:col>
          <xdr:colOff>104775</xdr:colOff>
          <xdr:row>34</xdr:row>
          <xdr:rowOff>104775</xdr:rowOff>
        </xdr:to>
        <xdr:sp macro="" textlink="">
          <xdr:nvSpPr>
            <xdr:cNvPr id="21769" name="Check Box 265" hidden="1">
              <a:extLst>
                <a:ext uri="{63B3BB69-23CF-44E3-9099-C40C66FF867C}">
                  <a14:compatExt spid="_x0000_s21769"/>
                </a:ext>
                <a:ext uri="{FF2B5EF4-FFF2-40B4-BE49-F238E27FC236}">
                  <a16:creationId xmlns:a16="http://schemas.microsoft.com/office/drawing/2014/main" id="{00000000-0008-0000-0700-00000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37</xdr:row>
          <xdr:rowOff>28575</xdr:rowOff>
        </xdr:from>
        <xdr:to>
          <xdr:col>3</xdr:col>
          <xdr:colOff>819150</xdr:colOff>
          <xdr:row>38</xdr:row>
          <xdr:rowOff>123825</xdr:rowOff>
        </xdr:to>
        <xdr:sp macro="" textlink="">
          <xdr:nvSpPr>
            <xdr:cNvPr id="21770" name="Check Box 266" hidden="1">
              <a:extLst>
                <a:ext uri="{63B3BB69-23CF-44E3-9099-C40C66FF867C}">
                  <a14:compatExt spid="_x0000_s21770"/>
                </a:ext>
                <a:ext uri="{FF2B5EF4-FFF2-40B4-BE49-F238E27FC236}">
                  <a16:creationId xmlns:a16="http://schemas.microsoft.com/office/drawing/2014/main" id="{00000000-0008-0000-0700-00000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37</xdr:row>
          <xdr:rowOff>28575</xdr:rowOff>
        </xdr:from>
        <xdr:to>
          <xdr:col>4</xdr:col>
          <xdr:colOff>638175</xdr:colOff>
          <xdr:row>38</xdr:row>
          <xdr:rowOff>123825</xdr:rowOff>
        </xdr:to>
        <xdr:sp macro="" textlink="">
          <xdr:nvSpPr>
            <xdr:cNvPr id="21771" name="Check Box 267" hidden="1">
              <a:extLst>
                <a:ext uri="{63B3BB69-23CF-44E3-9099-C40C66FF867C}">
                  <a14:compatExt spid="_x0000_s21771"/>
                </a:ext>
                <a:ext uri="{FF2B5EF4-FFF2-40B4-BE49-F238E27FC236}">
                  <a16:creationId xmlns:a16="http://schemas.microsoft.com/office/drawing/2014/main" id="{00000000-0008-0000-0700-00000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37</xdr:row>
          <xdr:rowOff>38100</xdr:rowOff>
        </xdr:from>
        <xdr:to>
          <xdr:col>3</xdr:col>
          <xdr:colOff>114300</xdr:colOff>
          <xdr:row>38</xdr:row>
          <xdr:rowOff>133350</xdr:rowOff>
        </xdr:to>
        <xdr:sp macro="" textlink="">
          <xdr:nvSpPr>
            <xdr:cNvPr id="21772" name="Check Box 268" hidden="1">
              <a:extLst>
                <a:ext uri="{63B3BB69-23CF-44E3-9099-C40C66FF867C}">
                  <a14:compatExt spid="_x0000_s21772"/>
                </a:ext>
                <a:ext uri="{FF2B5EF4-FFF2-40B4-BE49-F238E27FC236}">
                  <a16:creationId xmlns:a16="http://schemas.microsoft.com/office/drawing/2014/main" id="{00000000-0008-0000-0700-00000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38</xdr:row>
          <xdr:rowOff>9525</xdr:rowOff>
        </xdr:from>
        <xdr:to>
          <xdr:col>3</xdr:col>
          <xdr:colOff>104775</xdr:colOff>
          <xdr:row>39</xdr:row>
          <xdr:rowOff>104775</xdr:rowOff>
        </xdr:to>
        <xdr:sp macro="" textlink="">
          <xdr:nvSpPr>
            <xdr:cNvPr id="21773" name="Check Box 269" hidden="1">
              <a:extLst>
                <a:ext uri="{63B3BB69-23CF-44E3-9099-C40C66FF867C}">
                  <a14:compatExt spid="_x0000_s21773"/>
                </a:ext>
                <a:ext uri="{FF2B5EF4-FFF2-40B4-BE49-F238E27FC236}">
                  <a16:creationId xmlns:a16="http://schemas.microsoft.com/office/drawing/2014/main" id="{00000000-0008-0000-0700-00000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37</xdr:row>
          <xdr:rowOff>28575</xdr:rowOff>
        </xdr:from>
        <xdr:to>
          <xdr:col>3</xdr:col>
          <xdr:colOff>819150</xdr:colOff>
          <xdr:row>38</xdr:row>
          <xdr:rowOff>123825</xdr:rowOff>
        </xdr:to>
        <xdr:sp macro="" textlink="">
          <xdr:nvSpPr>
            <xdr:cNvPr id="21774" name="Check Box 270" hidden="1">
              <a:extLst>
                <a:ext uri="{63B3BB69-23CF-44E3-9099-C40C66FF867C}">
                  <a14:compatExt spid="_x0000_s21774"/>
                </a:ext>
                <a:ext uri="{FF2B5EF4-FFF2-40B4-BE49-F238E27FC236}">
                  <a16:creationId xmlns:a16="http://schemas.microsoft.com/office/drawing/2014/main" id="{00000000-0008-0000-0700-00000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37</xdr:row>
          <xdr:rowOff>28575</xdr:rowOff>
        </xdr:from>
        <xdr:to>
          <xdr:col>4</xdr:col>
          <xdr:colOff>638175</xdr:colOff>
          <xdr:row>38</xdr:row>
          <xdr:rowOff>123825</xdr:rowOff>
        </xdr:to>
        <xdr:sp macro="" textlink="">
          <xdr:nvSpPr>
            <xdr:cNvPr id="21775" name="Check Box 271" hidden="1">
              <a:extLst>
                <a:ext uri="{63B3BB69-23CF-44E3-9099-C40C66FF867C}">
                  <a14:compatExt spid="_x0000_s21775"/>
                </a:ext>
                <a:ext uri="{FF2B5EF4-FFF2-40B4-BE49-F238E27FC236}">
                  <a16:creationId xmlns:a16="http://schemas.microsoft.com/office/drawing/2014/main" id="{00000000-0008-0000-0700-00000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37</xdr:row>
          <xdr:rowOff>38100</xdr:rowOff>
        </xdr:from>
        <xdr:to>
          <xdr:col>3</xdr:col>
          <xdr:colOff>114300</xdr:colOff>
          <xdr:row>38</xdr:row>
          <xdr:rowOff>133350</xdr:rowOff>
        </xdr:to>
        <xdr:sp macro="" textlink="">
          <xdr:nvSpPr>
            <xdr:cNvPr id="21776" name="Check Box 272" hidden="1">
              <a:extLst>
                <a:ext uri="{63B3BB69-23CF-44E3-9099-C40C66FF867C}">
                  <a14:compatExt spid="_x0000_s21776"/>
                </a:ext>
                <a:ext uri="{FF2B5EF4-FFF2-40B4-BE49-F238E27FC236}">
                  <a16:creationId xmlns:a16="http://schemas.microsoft.com/office/drawing/2014/main" id="{00000000-0008-0000-0700-00001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38</xdr:row>
          <xdr:rowOff>9525</xdr:rowOff>
        </xdr:from>
        <xdr:to>
          <xdr:col>3</xdr:col>
          <xdr:colOff>104775</xdr:colOff>
          <xdr:row>39</xdr:row>
          <xdr:rowOff>104775</xdr:rowOff>
        </xdr:to>
        <xdr:sp macro="" textlink="">
          <xdr:nvSpPr>
            <xdr:cNvPr id="21777" name="Check Box 273" hidden="1">
              <a:extLst>
                <a:ext uri="{63B3BB69-23CF-44E3-9099-C40C66FF867C}">
                  <a14:compatExt spid="_x0000_s21777"/>
                </a:ext>
                <a:ext uri="{FF2B5EF4-FFF2-40B4-BE49-F238E27FC236}">
                  <a16:creationId xmlns:a16="http://schemas.microsoft.com/office/drawing/2014/main" id="{00000000-0008-0000-0700-00001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37</xdr:row>
          <xdr:rowOff>28575</xdr:rowOff>
        </xdr:from>
        <xdr:to>
          <xdr:col>3</xdr:col>
          <xdr:colOff>819150</xdr:colOff>
          <xdr:row>38</xdr:row>
          <xdr:rowOff>123825</xdr:rowOff>
        </xdr:to>
        <xdr:sp macro="" textlink="">
          <xdr:nvSpPr>
            <xdr:cNvPr id="21778" name="Check Box 274" hidden="1">
              <a:extLst>
                <a:ext uri="{63B3BB69-23CF-44E3-9099-C40C66FF867C}">
                  <a14:compatExt spid="_x0000_s21778"/>
                </a:ext>
                <a:ext uri="{FF2B5EF4-FFF2-40B4-BE49-F238E27FC236}">
                  <a16:creationId xmlns:a16="http://schemas.microsoft.com/office/drawing/2014/main" id="{00000000-0008-0000-0700-00001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37</xdr:row>
          <xdr:rowOff>28575</xdr:rowOff>
        </xdr:from>
        <xdr:to>
          <xdr:col>4</xdr:col>
          <xdr:colOff>638175</xdr:colOff>
          <xdr:row>38</xdr:row>
          <xdr:rowOff>123825</xdr:rowOff>
        </xdr:to>
        <xdr:sp macro="" textlink="">
          <xdr:nvSpPr>
            <xdr:cNvPr id="21779" name="Check Box 275" hidden="1">
              <a:extLst>
                <a:ext uri="{63B3BB69-23CF-44E3-9099-C40C66FF867C}">
                  <a14:compatExt spid="_x0000_s21779"/>
                </a:ext>
                <a:ext uri="{FF2B5EF4-FFF2-40B4-BE49-F238E27FC236}">
                  <a16:creationId xmlns:a16="http://schemas.microsoft.com/office/drawing/2014/main" id="{00000000-0008-0000-0700-00001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37</xdr:row>
          <xdr:rowOff>38100</xdr:rowOff>
        </xdr:from>
        <xdr:to>
          <xdr:col>3</xdr:col>
          <xdr:colOff>114300</xdr:colOff>
          <xdr:row>38</xdr:row>
          <xdr:rowOff>133350</xdr:rowOff>
        </xdr:to>
        <xdr:sp macro="" textlink="">
          <xdr:nvSpPr>
            <xdr:cNvPr id="21780" name="Check Box 276" hidden="1">
              <a:extLst>
                <a:ext uri="{63B3BB69-23CF-44E3-9099-C40C66FF867C}">
                  <a14:compatExt spid="_x0000_s21780"/>
                </a:ext>
                <a:ext uri="{FF2B5EF4-FFF2-40B4-BE49-F238E27FC236}">
                  <a16:creationId xmlns:a16="http://schemas.microsoft.com/office/drawing/2014/main" id="{00000000-0008-0000-0700-00001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38</xdr:row>
          <xdr:rowOff>9525</xdr:rowOff>
        </xdr:from>
        <xdr:to>
          <xdr:col>3</xdr:col>
          <xdr:colOff>104775</xdr:colOff>
          <xdr:row>39</xdr:row>
          <xdr:rowOff>104775</xdr:rowOff>
        </xdr:to>
        <xdr:sp macro="" textlink="">
          <xdr:nvSpPr>
            <xdr:cNvPr id="21781" name="Check Box 277" hidden="1">
              <a:extLst>
                <a:ext uri="{63B3BB69-23CF-44E3-9099-C40C66FF867C}">
                  <a14:compatExt spid="_x0000_s21781"/>
                </a:ext>
                <a:ext uri="{FF2B5EF4-FFF2-40B4-BE49-F238E27FC236}">
                  <a16:creationId xmlns:a16="http://schemas.microsoft.com/office/drawing/2014/main" id="{00000000-0008-0000-0700-00001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37</xdr:row>
          <xdr:rowOff>28575</xdr:rowOff>
        </xdr:from>
        <xdr:to>
          <xdr:col>3</xdr:col>
          <xdr:colOff>819150</xdr:colOff>
          <xdr:row>38</xdr:row>
          <xdr:rowOff>123825</xdr:rowOff>
        </xdr:to>
        <xdr:sp macro="" textlink="">
          <xdr:nvSpPr>
            <xdr:cNvPr id="21782" name="Check Box 278" hidden="1">
              <a:extLst>
                <a:ext uri="{63B3BB69-23CF-44E3-9099-C40C66FF867C}">
                  <a14:compatExt spid="_x0000_s21782"/>
                </a:ext>
                <a:ext uri="{FF2B5EF4-FFF2-40B4-BE49-F238E27FC236}">
                  <a16:creationId xmlns:a16="http://schemas.microsoft.com/office/drawing/2014/main" id="{00000000-0008-0000-0700-00001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37</xdr:row>
          <xdr:rowOff>28575</xdr:rowOff>
        </xdr:from>
        <xdr:to>
          <xdr:col>4</xdr:col>
          <xdr:colOff>638175</xdr:colOff>
          <xdr:row>38</xdr:row>
          <xdr:rowOff>123825</xdr:rowOff>
        </xdr:to>
        <xdr:sp macro="" textlink="">
          <xdr:nvSpPr>
            <xdr:cNvPr id="21783" name="Check Box 279" hidden="1">
              <a:extLst>
                <a:ext uri="{63B3BB69-23CF-44E3-9099-C40C66FF867C}">
                  <a14:compatExt spid="_x0000_s21783"/>
                </a:ext>
                <a:ext uri="{FF2B5EF4-FFF2-40B4-BE49-F238E27FC236}">
                  <a16:creationId xmlns:a16="http://schemas.microsoft.com/office/drawing/2014/main" id="{00000000-0008-0000-0700-00001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37</xdr:row>
          <xdr:rowOff>38100</xdr:rowOff>
        </xdr:from>
        <xdr:to>
          <xdr:col>3</xdr:col>
          <xdr:colOff>114300</xdr:colOff>
          <xdr:row>38</xdr:row>
          <xdr:rowOff>133350</xdr:rowOff>
        </xdr:to>
        <xdr:sp macro="" textlink="">
          <xdr:nvSpPr>
            <xdr:cNvPr id="21784" name="Check Box 280" hidden="1">
              <a:extLst>
                <a:ext uri="{63B3BB69-23CF-44E3-9099-C40C66FF867C}">
                  <a14:compatExt spid="_x0000_s21784"/>
                </a:ext>
                <a:ext uri="{FF2B5EF4-FFF2-40B4-BE49-F238E27FC236}">
                  <a16:creationId xmlns:a16="http://schemas.microsoft.com/office/drawing/2014/main" id="{00000000-0008-0000-0700-00001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38</xdr:row>
          <xdr:rowOff>9525</xdr:rowOff>
        </xdr:from>
        <xdr:to>
          <xdr:col>3</xdr:col>
          <xdr:colOff>104775</xdr:colOff>
          <xdr:row>39</xdr:row>
          <xdr:rowOff>104775</xdr:rowOff>
        </xdr:to>
        <xdr:sp macro="" textlink="">
          <xdr:nvSpPr>
            <xdr:cNvPr id="21785" name="Check Box 281" hidden="1">
              <a:extLst>
                <a:ext uri="{63B3BB69-23CF-44E3-9099-C40C66FF867C}">
                  <a14:compatExt spid="_x0000_s21785"/>
                </a:ext>
                <a:ext uri="{FF2B5EF4-FFF2-40B4-BE49-F238E27FC236}">
                  <a16:creationId xmlns:a16="http://schemas.microsoft.com/office/drawing/2014/main" id="{00000000-0008-0000-0700-00001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37</xdr:row>
          <xdr:rowOff>28575</xdr:rowOff>
        </xdr:from>
        <xdr:to>
          <xdr:col>3</xdr:col>
          <xdr:colOff>819150</xdr:colOff>
          <xdr:row>38</xdr:row>
          <xdr:rowOff>123825</xdr:rowOff>
        </xdr:to>
        <xdr:sp macro="" textlink="">
          <xdr:nvSpPr>
            <xdr:cNvPr id="21786" name="Check Box 282" hidden="1">
              <a:extLst>
                <a:ext uri="{63B3BB69-23CF-44E3-9099-C40C66FF867C}">
                  <a14:compatExt spid="_x0000_s21786"/>
                </a:ext>
                <a:ext uri="{FF2B5EF4-FFF2-40B4-BE49-F238E27FC236}">
                  <a16:creationId xmlns:a16="http://schemas.microsoft.com/office/drawing/2014/main" id="{00000000-0008-0000-0700-00001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37</xdr:row>
          <xdr:rowOff>28575</xdr:rowOff>
        </xdr:from>
        <xdr:to>
          <xdr:col>4</xdr:col>
          <xdr:colOff>638175</xdr:colOff>
          <xdr:row>38</xdr:row>
          <xdr:rowOff>123825</xdr:rowOff>
        </xdr:to>
        <xdr:sp macro="" textlink="">
          <xdr:nvSpPr>
            <xdr:cNvPr id="21787" name="Check Box 283" hidden="1">
              <a:extLst>
                <a:ext uri="{63B3BB69-23CF-44E3-9099-C40C66FF867C}">
                  <a14:compatExt spid="_x0000_s21787"/>
                </a:ext>
                <a:ext uri="{FF2B5EF4-FFF2-40B4-BE49-F238E27FC236}">
                  <a16:creationId xmlns:a16="http://schemas.microsoft.com/office/drawing/2014/main" id="{00000000-0008-0000-0700-00001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37</xdr:row>
          <xdr:rowOff>38100</xdr:rowOff>
        </xdr:from>
        <xdr:to>
          <xdr:col>3</xdr:col>
          <xdr:colOff>114300</xdr:colOff>
          <xdr:row>38</xdr:row>
          <xdr:rowOff>133350</xdr:rowOff>
        </xdr:to>
        <xdr:sp macro="" textlink="">
          <xdr:nvSpPr>
            <xdr:cNvPr id="21788" name="Check Box 284" hidden="1">
              <a:extLst>
                <a:ext uri="{63B3BB69-23CF-44E3-9099-C40C66FF867C}">
                  <a14:compatExt spid="_x0000_s21788"/>
                </a:ext>
                <a:ext uri="{FF2B5EF4-FFF2-40B4-BE49-F238E27FC236}">
                  <a16:creationId xmlns:a16="http://schemas.microsoft.com/office/drawing/2014/main" id="{00000000-0008-0000-0700-00001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38</xdr:row>
          <xdr:rowOff>9525</xdr:rowOff>
        </xdr:from>
        <xdr:to>
          <xdr:col>3</xdr:col>
          <xdr:colOff>104775</xdr:colOff>
          <xdr:row>39</xdr:row>
          <xdr:rowOff>104775</xdr:rowOff>
        </xdr:to>
        <xdr:sp macro="" textlink="">
          <xdr:nvSpPr>
            <xdr:cNvPr id="21789" name="Check Box 285" hidden="1">
              <a:extLst>
                <a:ext uri="{63B3BB69-23CF-44E3-9099-C40C66FF867C}">
                  <a14:compatExt spid="_x0000_s21789"/>
                </a:ext>
                <a:ext uri="{FF2B5EF4-FFF2-40B4-BE49-F238E27FC236}">
                  <a16:creationId xmlns:a16="http://schemas.microsoft.com/office/drawing/2014/main" id="{00000000-0008-0000-0700-00001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42</xdr:row>
          <xdr:rowOff>28575</xdr:rowOff>
        </xdr:from>
        <xdr:to>
          <xdr:col>3</xdr:col>
          <xdr:colOff>819150</xdr:colOff>
          <xdr:row>43</xdr:row>
          <xdr:rowOff>123825</xdr:rowOff>
        </xdr:to>
        <xdr:sp macro="" textlink="">
          <xdr:nvSpPr>
            <xdr:cNvPr id="21790" name="Check Box 286" hidden="1">
              <a:extLst>
                <a:ext uri="{63B3BB69-23CF-44E3-9099-C40C66FF867C}">
                  <a14:compatExt spid="_x0000_s21790"/>
                </a:ext>
                <a:ext uri="{FF2B5EF4-FFF2-40B4-BE49-F238E27FC236}">
                  <a16:creationId xmlns:a16="http://schemas.microsoft.com/office/drawing/2014/main" id="{00000000-0008-0000-0700-00001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42</xdr:row>
          <xdr:rowOff>28575</xdr:rowOff>
        </xdr:from>
        <xdr:to>
          <xdr:col>4</xdr:col>
          <xdr:colOff>638175</xdr:colOff>
          <xdr:row>43</xdr:row>
          <xdr:rowOff>123825</xdr:rowOff>
        </xdr:to>
        <xdr:sp macro="" textlink="">
          <xdr:nvSpPr>
            <xdr:cNvPr id="21791" name="Check Box 287" hidden="1">
              <a:extLst>
                <a:ext uri="{63B3BB69-23CF-44E3-9099-C40C66FF867C}">
                  <a14:compatExt spid="_x0000_s21791"/>
                </a:ext>
                <a:ext uri="{FF2B5EF4-FFF2-40B4-BE49-F238E27FC236}">
                  <a16:creationId xmlns:a16="http://schemas.microsoft.com/office/drawing/2014/main" id="{00000000-0008-0000-0700-00001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42</xdr:row>
          <xdr:rowOff>38100</xdr:rowOff>
        </xdr:from>
        <xdr:to>
          <xdr:col>3</xdr:col>
          <xdr:colOff>114300</xdr:colOff>
          <xdr:row>43</xdr:row>
          <xdr:rowOff>133350</xdr:rowOff>
        </xdr:to>
        <xdr:sp macro="" textlink="">
          <xdr:nvSpPr>
            <xdr:cNvPr id="21792" name="Check Box 288" hidden="1">
              <a:extLst>
                <a:ext uri="{63B3BB69-23CF-44E3-9099-C40C66FF867C}">
                  <a14:compatExt spid="_x0000_s21792"/>
                </a:ext>
                <a:ext uri="{FF2B5EF4-FFF2-40B4-BE49-F238E27FC236}">
                  <a16:creationId xmlns:a16="http://schemas.microsoft.com/office/drawing/2014/main" id="{00000000-0008-0000-0700-00002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43</xdr:row>
          <xdr:rowOff>9525</xdr:rowOff>
        </xdr:from>
        <xdr:to>
          <xdr:col>3</xdr:col>
          <xdr:colOff>104775</xdr:colOff>
          <xdr:row>44</xdr:row>
          <xdr:rowOff>104775</xdr:rowOff>
        </xdr:to>
        <xdr:sp macro="" textlink="">
          <xdr:nvSpPr>
            <xdr:cNvPr id="21793" name="Check Box 289" hidden="1">
              <a:extLst>
                <a:ext uri="{63B3BB69-23CF-44E3-9099-C40C66FF867C}">
                  <a14:compatExt spid="_x0000_s21793"/>
                </a:ext>
                <a:ext uri="{FF2B5EF4-FFF2-40B4-BE49-F238E27FC236}">
                  <a16:creationId xmlns:a16="http://schemas.microsoft.com/office/drawing/2014/main" id="{00000000-0008-0000-0700-00002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42</xdr:row>
          <xdr:rowOff>28575</xdr:rowOff>
        </xdr:from>
        <xdr:to>
          <xdr:col>3</xdr:col>
          <xdr:colOff>819150</xdr:colOff>
          <xdr:row>43</xdr:row>
          <xdr:rowOff>123825</xdr:rowOff>
        </xdr:to>
        <xdr:sp macro="" textlink="">
          <xdr:nvSpPr>
            <xdr:cNvPr id="21794" name="Check Box 290" hidden="1">
              <a:extLst>
                <a:ext uri="{63B3BB69-23CF-44E3-9099-C40C66FF867C}">
                  <a14:compatExt spid="_x0000_s21794"/>
                </a:ext>
                <a:ext uri="{FF2B5EF4-FFF2-40B4-BE49-F238E27FC236}">
                  <a16:creationId xmlns:a16="http://schemas.microsoft.com/office/drawing/2014/main" id="{00000000-0008-0000-0700-00002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42</xdr:row>
          <xdr:rowOff>28575</xdr:rowOff>
        </xdr:from>
        <xdr:to>
          <xdr:col>4</xdr:col>
          <xdr:colOff>638175</xdr:colOff>
          <xdr:row>43</xdr:row>
          <xdr:rowOff>123825</xdr:rowOff>
        </xdr:to>
        <xdr:sp macro="" textlink="">
          <xdr:nvSpPr>
            <xdr:cNvPr id="21795" name="Check Box 291" hidden="1">
              <a:extLst>
                <a:ext uri="{63B3BB69-23CF-44E3-9099-C40C66FF867C}">
                  <a14:compatExt spid="_x0000_s21795"/>
                </a:ext>
                <a:ext uri="{FF2B5EF4-FFF2-40B4-BE49-F238E27FC236}">
                  <a16:creationId xmlns:a16="http://schemas.microsoft.com/office/drawing/2014/main" id="{00000000-0008-0000-0700-00002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42</xdr:row>
          <xdr:rowOff>38100</xdr:rowOff>
        </xdr:from>
        <xdr:to>
          <xdr:col>3</xdr:col>
          <xdr:colOff>114300</xdr:colOff>
          <xdr:row>43</xdr:row>
          <xdr:rowOff>133350</xdr:rowOff>
        </xdr:to>
        <xdr:sp macro="" textlink="">
          <xdr:nvSpPr>
            <xdr:cNvPr id="21796" name="Check Box 292" hidden="1">
              <a:extLst>
                <a:ext uri="{63B3BB69-23CF-44E3-9099-C40C66FF867C}">
                  <a14:compatExt spid="_x0000_s21796"/>
                </a:ext>
                <a:ext uri="{FF2B5EF4-FFF2-40B4-BE49-F238E27FC236}">
                  <a16:creationId xmlns:a16="http://schemas.microsoft.com/office/drawing/2014/main" id="{00000000-0008-0000-0700-00002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43</xdr:row>
          <xdr:rowOff>9525</xdr:rowOff>
        </xdr:from>
        <xdr:to>
          <xdr:col>3</xdr:col>
          <xdr:colOff>104775</xdr:colOff>
          <xdr:row>44</xdr:row>
          <xdr:rowOff>104775</xdr:rowOff>
        </xdr:to>
        <xdr:sp macro="" textlink="">
          <xdr:nvSpPr>
            <xdr:cNvPr id="21797" name="Check Box 293" hidden="1">
              <a:extLst>
                <a:ext uri="{63B3BB69-23CF-44E3-9099-C40C66FF867C}">
                  <a14:compatExt spid="_x0000_s21797"/>
                </a:ext>
                <a:ext uri="{FF2B5EF4-FFF2-40B4-BE49-F238E27FC236}">
                  <a16:creationId xmlns:a16="http://schemas.microsoft.com/office/drawing/2014/main" id="{00000000-0008-0000-0700-00002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42</xdr:row>
          <xdr:rowOff>28575</xdr:rowOff>
        </xdr:from>
        <xdr:to>
          <xdr:col>3</xdr:col>
          <xdr:colOff>819150</xdr:colOff>
          <xdr:row>43</xdr:row>
          <xdr:rowOff>123825</xdr:rowOff>
        </xdr:to>
        <xdr:sp macro="" textlink="">
          <xdr:nvSpPr>
            <xdr:cNvPr id="21798" name="Check Box 294" hidden="1">
              <a:extLst>
                <a:ext uri="{63B3BB69-23CF-44E3-9099-C40C66FF867C}">
                  <a14:compatExt spid="_x0000_s21798"/>
                </a:ext>
                <a:ext uri="{FF2B5EF4-FFF2-40B4-BE49-F238E27FC236}">
                  <a16:creationId xmlns:a16="http://schemas.microsoft.com/office/drawing/2014/main" id="{00000000-0008-0000-0700-00002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42</xdr:row>
          <xdr:rowOff>28575</xdr:rowOff>
        </xdr:from>
        <xdr:to>
          <xdr:col>4</xdr:col>
          <xdr:colOff>638175</xdr:colOff>
          <xdr:row>43</xdr:row>
          <xdr:rowOff>123825</xdr:rowOff>
        </xdr:to>
        <xdr:sp macro="" textlink="">
          <xdr:nvSpPr>
            <xdr:cNvPr id="21799" name="Check Box 295" hidden="1">
              <a:extLst>
                <a:ext uri="{63B3BB69-23CF-44E3-9099-C40C66FF867C}">
                  <a14:compatExt spid="_x0000_s21799"/>
                </a:ext>
                <a:ext uri="{FF2B5EF4-FFF2-40B4-BE49-F238E27FC236}">
                  <a16:creationId xmlns:a16="http://schemas.microsoft.com/office/drawing/2014/main" id="{00000000-0008-0000-0700-00002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42</xdr:row>
          <xdr:rowOff>38100</xdr:rowOff>
        </xdr:from>
        <xdr:to>
          <xdr:col>3</xdr:col>
          <xdr:colOff>114300</xdr:colOff>
          <xdr:row>43</xdr:row>
          <xdr:rowOff>133350</xdr:rowOff>
        </xdr:to>
        <xdr:sp macro="" textlink="">
          <xdr:nvSpPr>
            <xdr:cNvPr id="21800" name="Check Box 296" hidden="1">
              <a:extLst>
                <a:ext uri="{63B3BB69-23CF-44E3-9099-C40C66FF867C}">
                  <a14:compatExt spid="_x0000_s21800"/>
                </a:ext>
                <a:ext uri="{FF2B5EF4-FFF2-40B4-BE49-F238E27FC236}">
                  <a16:creationId xmlns:a16="http://schemas.microsoft.com/office/drawing/2014/main" id="{00000000-0008-0000-0700-00002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43</xdr:row>
          <xdr:rowOff>9525</xdr:rowOff>
        </xdr:from>
        <xdr:to>
          <xdr:col>3</xdr:col>
          <xdr:colOff>104775</xdr:colOff>
          <xdr:row>44</xdr:row>
          <xdr:rowOff>104775</xdr:rowOff>
        </xdr:to>
        <xdr:sp macro="" textlink="">
          <xdr:nvSpPr>
            <xdr:cNvPr id="21801" name="Check Box 297" hidden="1">
              <a:extLst>
                <a:ext uri="{63B3BB69-23CF-44E3-9099-C40C66FF867C}">
                  <a14:compatExt spid="_x0000_s21801"/>
                </a:ext>
                <a:ext uri="{FF2B5EF4-FFF2-40B4-BE49-F238E27FC236}">
                  <a16:creationId xmlns:a16="http://schemas.microsoft.com/office/drawing/2014/main" id="{00000000-0008-0000-0700-00002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42</xdr:row>
          <xdr:rowOff>28575</xdr:rowOff>
        </xdr:from>
        <xdr:to>
          <xdr:col>3</xdr:col>
          <xdr:colOff>819150</xdr:colOff>
          <xdr:row>43</xdr:row>
          <xdr:rowOff>123825</xdr:rowOff>
        </xdr:to>
        <xdr:sp macro="" textlink="">
          <xdr:nvSpPr>
            <xdr:cNvPr id="21802" name="Check Box 298" hidden="1">
              <a:extLst>
                <a:ext uri="{63B3BB69-23CF-44E3-9099-C40C66FF867C}">
                  <a14:compatExt spid="_x0000_s21802"/>
                </a:ext>
                <a:ext uri="{FF2B5EF4-FFF2-40B4-BE49-F238E27FC236}">
                  <a16:creationId xmlns:a16="http://schemas.microsoft.com/office/drawing/2014/main" id="{00000000-0008-0000-0700-00002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42</xdr:row>
          <xdr:rowOff>28575</xdr:rowOff>
        </xdr:from>
        <xdr:to>
          <xdr:col>4</xdr:col>
          <xdr:colOff>638175</xdr:colOff>
          <xdr:row>43</xdr:row>
          <xdr:rowOff>123825</xdr:rowOff>
        </xdr:to>
        <xdr:sp macro="" textlink="">
          <xdr:nvSpPr>
            <xdr:cNvPr id="21803" name="Check Box 299" hidden="1">
              <a:extLst>
                <a:ext uri="{63B3BB69-23CF-44E3-9099-C40C66FF867C}">
                  <a14:compatExt spid="_x0000_s21803"/>
                </a:ext>
                <a:ext uri="{FF2B5EF4-FFF2-40B4-BE49-F238E27FC236}">
                  <a16:creationId xmlns:a16="http://schemas.microsoft.com/office/drawing/2014/main" id="{00000000-0008-0000-0700-00002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42</xdr:row>
          <xdr:rowOff>38100</xdr:rowOff>
        </xdr:from>
        <xdr:to>
          <xdr:col>3</xdr:col>
          <xdr:colOff>114300</xdr:colOff>
          <xdr:row>43</xdr:row>
          <xdr:rowOff>133350</xdr:rowOff>
        </xdr:to>
        <xdr:sp macro="" textlink="">
          <xdr:nvSpPr>
            <xdr:cNvPr id="21804" name="Check Box 300" hidden="1">
              <a:extLst>
                <a:ext uri="{63B3BB69-23CF-44E3-9099-C40C66FF867C}">
                  <a14:compatExt spid="_x0000_s21804"/>
                </a:ext>
                <a:ext uri="{FF2B5EF4-FFF2-40B4-BE49-F238E27FC236}">
                  <a16:creationId xmlns:a16="http://schemas.microsoft.com/office/drawing/2014/main" id="{00000000-0008-0000-0700-00002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43</xdr:row>
          <xdr:rowOff>9525</xdr:rowOff>
        </xdr:from>
        <xdr:to>
          <xdr:col>3</xdr:col>
          <xdr:colOff>104775</xdr:colOff>
          <xdr:row>44</xdr:row>
          <xdr:rowOff>104775</xdr:rowOff>
        </xdr:to>
        <xdr:sp macro="" textlink="">
          <xdr:nvSpPr>
            <xdr:cNvPr id="21805" name="Check Box 301" hidden="1">
              <a:extLst>
                <a:ext uri="{63B3BB69-23CF-44E3-9099-C40C66FF867C}">
                  <a14:compatExt spid="_x0000_s21805"/>
                </a:ext>
                <a:ext uri="{FF2B5EF4-FFF2-40B4-BE49-F238E27FC236}">
                  <a16:creationId xmlns:a16="http://schemas.microsoft.com/office/drawing/2014/main" id="{00000000-0008-0000-0700-00002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42</xdr:row>
          <xdr:rowOff>28575</xdr:rowOff>
        </xdr:from>
        <xdr:to>
          <xdr:col>3</xdr:col>
          <xdr:colOff>819150</xdr:colOff>
          <xdr:row>43</xdr:row>
          <xdr:rowOff>123825</xdr:rowOff>
        </xdr:to>
        <xdr:sp macro="" textlink="">
          <xdr:nvSpPr>
            <xdr:cNvPr id="21806" name="Check Box 302" hidden="1">
              <a:extLst>
                <a:ext uri="{63B3BB69-23CF-44E3-9099-C40C66FF867C}">
                  <a14:compatExt spid="_x0000_s21806"/>
                </a:ext>
                <a:ext uri="{FF2B5EF4-FFF2-40B4-BE49-F238E27FC236}">
                  <a16:creationId xmlns:a16="http://schemas.microsoft.com/office/drawing/2014/main" id="{00000000-0008-0000-0700-00002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42</xdr:row>
          <xdr:rowOff>28575</xdr:rowOff>
        </xdr:from>
        <xdr:to>
          <xdr:col>4</xdr:col>
          <xdr:colOff>638175</xdr:colOff>
          <xdr:row>43</xdr:row>
          <xdr:rowOff>123825</xdr:rowOff>
        </xdr:to>
        <xdr:sp macro="" textlink="">
          <xdr:nvSpPr>
            <xdr:cNvPr id="21807" name="Check Box 303" hidden="1">
              <a:extLst>
                <a:ext uri="{63B3BB69-23CF-44E3-9099-C40C66FF867C}">
                  <a14:compatExt spid="_x0000_s21807"/>
                </a:ext>
                <a:ext uri="{FF2B5EF4-FFF2-40B4-BE49-F238E27FC236}">
                  <a16:creationId xmlns:a16="http://schemas.microsoft.com/office/drawing/2014/main" id="{00000000-0008-0000-0700-00002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42</xdr:row>
          <xdr:rowOff>38100</xdr:rowOff>
        </xdr:from>
        <xdr:to>
          <xdr:col>3</xdr:col>
          <xdr:colOff>114300</xdr:colOff>
          <xdr:row>43</xdr:row>
          <xdr:rowOff>133350</xdr:rowOff>
        </xdr:to>
        <xdr:sp macro="" textlink="">
          <xdr:nvSpPr>
            <xdr:cNvPr id="21808" name="Check Box 304" hidden="1">
              <a:extLst>
                <a:ext uri="{63B3BB69-23CF-44E3-9099-C40C66FF867C}">
                  <a14:compatExt spid="_x0000_s21808"/>
                </a:ext>
                <a:ext uri="{FF2B5EF4-FFF2-40B4-BE49-F238E27FC236}">
                  <a16:creationId xmlns:a16="http://schemas.microsoft.com/office/drawing/2014/main" id="{00000000-0008-0000-0700-00003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43</xdr:row>
          <xdr:rowOff>9525</xdr:rowOff>
        </xdr:from>
        <xdr:to>
          <xdr:col>3</xdr:col>
          <xdr:colOff>104775</xdr:colOff>
          <xdr:row>44</xdr:row>
          <xdr:rowOff>104775</xdr:rowOff>
        </xdr:to>
        <xdr:sp macro="" textlink="">
          <xdr:nvSpPr>
            <xdr:cNvPr id="21809" name="Check Box 305" hidden="1">
              <a:extLst>
                <a:ext uri="{63B3BB69-23CF-44E3-9099-C40C66FF867C}">
                  <a14:compatExt spid="_x0000_s21809"/>
                </a:ext>
                <a:ext uri="{FF2B5EF4-FFF2-40B4-BE49-F238E27FC236}">
                  <a16:creationId xmlns:a16="http://schemas.microsoft.com/office/drawing/2014/main" id="{00000000-0008-0000-0700-00003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42</xdr:row>
          <xdr:rowOff>28575</xdr:rowOff>
        </xdr:from>
        <xdr:to>
          <xdr:col>3</xdr:col>
          <xdr:colOff>819150</xdr:colOff>
          <xdr:row>43</xdr:row>
          <xdr:rowOff>123825</xdr:rowOff>
        </xdr:to>
        <xdr:sp macro="" textlink="">
          <xdr:nvSpPr>
            <xdr:cNvPr id="21810" name="Check Box 306" hidden="1">
              <a:extLst>
                <a:ext uri="{63B3BB69-23CF-44E3-9099-C40C66FF867C}">
                  <a14:compatExt spid="_x0000_s21810"/>
                </a:ext>
                <a:ext uri="{FF2B5EF4-FFF2-40B4-BE49-F238E27FC236}">
                  <a16:creationId xmlns:a16="http://schemas.microsoft.com/office/drawing/2014/main" id="{00000000-0008-0000-0700-00003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42</xdr:row>
          <xdr:rowOff>28575</xdr:rowOff>
        </xdr:from>
        <xdr:to>
          <xdr:col>4</xdr:col>
          <xdr:colOff>638175</xdr:colOff>
          <xdr:row>43</xdr:row>
          <xdr:rowOff>123825</xdr:rowOff>
        </xdr:to>
        <xdr:sp macro="" textlink="">
          <xdr:nvSpPr>
            <xdr:cNvPr id="21811" name="Check Box 307" hidden="1">
              <a:extLst>
                <a:ext uri="{63B3BB69-23CF-44E3-9099-C40C66FF867C}">
                  <a14:compatExt spid="_x0000_s21811"/>
                </a:ext>
                <a:ext uri="{FF2B5EF4-FFF2-40B4-BE49-F238E27FC236}">
                  <a16:creationId xmlns:a16="http://schemas.microsoft.com/office/drawing/2014/main" id="{00000000-0008-0000-0700-00003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42</xdr:row>
          <xdr:rowOff>38100</xdr:rowOff>
        </xdr:from>
        <xdr:to>
          <xdr:col>3</xdr:col>
          <xdr:colOff>114300</xdr:colOff>
          <xdr:row>43</xdr:row>
          <xdr:rowOff>133350</xdr:rowOff>
        </xdr:to>
        <xdr:sp macro="" textlink="">
          <xdr:nvSpPr>
            <xdr:cNvPr id="21812" name="Check Box 308" hidden="1">
              <a:extLst>
                <a:ext uri="{63B3BB69-23CF-44E3-9099-C40C66FF867C}">
                  <a14:compatExt spid="_x0000_s21812"/>
                </a:ext>
                <a:ext uri="{FF2B5EF4-FFF2-40B4-BE49-F238E27FC236}">
                  <a16:creationId xmlns:a16="http://schemas.microsoft.com/office/drawing/2014/main" id="{00000000-0008-0000-0700-00003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43</xdr:row>
          <xdr:rowOff>9525</xdr:rowOff>
        </xdr:from>
        <xdr:to>
          <xdr:col>3</xdr:col>
          <xdr:colOff>104775</xdr:colOff>
          <xdr:row>44</xdr:row>
          <xdr:rowOff>104775</xdr:rowOff>
        </xdr:to>
        <xdr:sp macro="" textlink="">
          <xdr:nvSpPr>
            <xdr:cNvPr id="21813" name="Check Box 309" hidden="1">
              <a:extLst>
                <a:ext uri="{63B3BB69-23CF-44E3-9099-C40C66FF867C}">
                  <a14:compatExt spid="_x0000_s21813"/>
                </a:ext>
                <a:ext uri="{FF2B5EF4-FFF2-40B4-BE49-F238E27FC236}">
                  <a16:creationId xmlns:a16="http://schemas.microsoft.com/office/drawing/2014/main" id="{00000000-0008-0000-0700-00003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47</xdr:row>
          <xdr:rowOff>28575</xdr:rowOff>
        </xdr:from>
        <xdr:to>
          <xdr:col>3</xdr:col>
          <xdr:colOff>819150</xdr:colOff>
          <xdr:row>48</xdr:row>
          <xdr:rowOff>123825</xdr:rowOff>
        </xdr:to>
        <xdr:sp macro="" textlink="">
          <xdr:nvSpPr>
            <xdr:cNvPr id="21814" name="Check Box 310" hidden="1">
              <a:extLst>
                <a:ext uri="{63B3BB69-23CF-44E3-9099-C40C66FF867C}">
                  <a14:compatExt spid="_x0000_s21814"/>
                </a:ext>
                <a:ext uri="{FF2B5EF4-FFF2-40B4-BE49-F238E27FC236}">
                  <a16:creationId xmlns:a16="http://schemas.microsoft.com/office/drawing/2014/main" id="{00000000-0008-0000-0700-00003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47</xdr:row>
          <xdr:rowOff>28575</xdr:rowOff>
        </xdr:from>
        <xdr:to>
          <xdr:col>4</xdr:col>
          <xdr:colOff>638175</xdr:colOff>
          <xdr:row>48</xdr:row>
          <xdr:rowOff>123825</xdr:rowOff>
        </xdr:to>
        <xdr:sp macro="" textlink="">
          <xdr:nvSpPr>
            <xdr:cNvPr id="21815" name="Check Box 311" hidden="1">
              <a:extLst>
                <a:ext uri="{63B3BB69-23CF-44E3-9099-C40C66FF867C}">
                  <a14:compatExt spid="_x0000_s21815"/>
                </a:ext>
                <a:ext uri="{FF2B5EF4-FFF2-40B4-BE49-F238E27FC236}">
                  <a16:creationId xmlns:a16="http://schemas.microsoft.com/office/drawing/2014/main" id="{00000000-0008-0000-0700-00003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47</xdr:row>
          <xdr:rowOff>38100</xdr:rowOff>
        </xdr:from>
        <xdr:to>
          <xdr:col>3</xdr:col>
          <xdr:colOff>114300</xdr:colOff>
          <xdr:row>48</xdr:row>
          <xdr:rowOff>133350</xdr:rowOff>
        </xdr:to>
        <xdr:sp macro="" textlink="">
          <xdr:nvSpPr>
            <xdr:cNvPr id="21816" name="Check Box 312" hidden="1">
              <a:extLst>
                <a:ext uri="{63B3BB69-23CF-44E3-9099-C40C66FF867C}">
                  <a14:compatExt spid="_x0000_s21816"/>
                </a:ext>
                <a:ext uri="{FF2B5EF4-FFF2-40B4-BE49-F238E27FC236}">
                  <a16:creationId xmlns:a16="http://schemas.microsoft.com/office/drawing/2014/main" id="{00000000-0008-0000-0700-00003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48</xdr:row>
          <xdr:rowOff>9525</xdr:rowOff>
        </xdr:from>
        <xdr:to>
          <xdr:col>3</xdr:col>
          <xdr:colOff>104775</xdr:colOff>
          <xdr:row>49</xdr:row>
          <xdr:rowOff>104775</xdr:rowOff>
        </xdr:to>
        <xdr:sp macro="" textlink="">
          <xdr:nvSpPr>
            <xdr:cNvPr id="21817" name="Check Box 313" hidden="1">
              <a:extLst>
                <a:ext uri="{63B3BB69-23CF-44E3-9099-C40C66FF867C}">
                  <a14:compatExt spid="_x0000_s21817"/>
                </a:ext>
                <a:ext uri="{FF2B5EF4-FFF2-40B4-BE49-F238E27FC236}">
                  <a16:creationId xmlns:a16="http://schemas.microsoft.com/office/drawing/2014/main" id="{00000000-0008-0000-0700-00003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47</xdr:row>
          <xdr:rowOff>28575</xdr:rowOff>
        </xdr:from>
        <xdr:to>
          <xdr:col>3</xdr:col>
          <xdr:colOff>819150</xdr:colOff>
          <xdr:row>48</xdr:row>
          <xdr:rowOff>123825</xdr:rowOff>
        </xdr:to>
        <xdr:sp macro="" textlink="">
          <xdr:nvSpPr>
            <xdr:cNvPr id="21818" name="Check Box 314" hidden="1">
              <a:extLst>
                <a:ext uri="{63B3BB69-23CF-44E3-9099-C40C66FF867C}">
                  <a14:compatExt spid="_x0000_s21818"/>
                </a:ext>
                <a:ext uri="{FF2B5EF4-FFF2-40B4-BE49-F238E27FC236}">
                  <a16:creationId xmlns:a16="http://schemas.microsoft.com/office/drawing/2014/main" id="{00000000-0008-0000-0700-00003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47</xdr:row>
          <xdr:rowOff>28575</xdr:rowOff>
        </xdr:from>
        <xdr:to>
          <xdr:col>4</xdr:col>
          <xdr:colOff>638175</xdr:colOff>
          <xdr:row>48</xdr:row>
          <xdr:rowOff>123825</xdr:rowOff>
        </xdr:to>
        <xdr:sp macro="" textlink="">
          <xdr:nvSpPr>
            <xdr:cNvPr id="21819" name="Check Box 315" hidden="1">
              <a:extLst>
                <a:ext uri="{63B3BB69-23CF-44E3-9099-C40C66FF867C}">
                  <a14:compatExt spid="_x0000_s21819"/>
                </a:ext>
                <a:ext uri="{FF2B5EF4-FFF2-40B4-BE49-F238E27FC236}">
                  <a16:creationId xmlns:a16="http://schemas.microsoft.com/office/drawing/2014/main" id="{00000000-0008-0000-0700-00003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47</xdr:row>
          <xdr:rowOff>38100</xdr:rowOff>
        </xdr:from>
        <xdr:to>
          <xdr:col>3</xdr:col>
          <xdr:colOff>114300</xdr:colOff>
          <xdr:row>48</xdr:row>
          <xdr:rowOff>133350</xdr:rowOff>
        </xdr:to>
        <xdr:sp macro="" textlink="">
          <xdr:nvSpPr>
            <xdr:cNvPr id="21820" name="Check Box 316" hidden="1">
              <a:extLst>
                <a:ext uri="{63B3BB69-23CF-44E3-9099-C40C66FF867C}">
                  <a14:compatExt spid="_x0000_s21820"/>
                </a:ext>
                <a:ext uri="{FF2B5EF4-FFF2-40B4-BE49-F238E27FC236}">
                  <a16:creationId xmlns:a16="http://schemas.microsoft.com/office/drawing/2014/main" id="{00000000-0008-0000-0700-00003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48</xdr:row>
          <xdr:rowOff>9525</xdr:rowOff>
        </xdr:from>
        <xdr:to>
          <xdr:col>3</xdr:col>
          <xdr:colOff>104775</xdr:colOff>
          <xdr:row>49</xdr:row>
          <xdr:rowOff>104775</xdr:rowOff>
        </xdr:to>
        <xdr:sp macro="" textlink="">
          <xdr:nvSpPr>
            <xdr:cNvPr id="21821" name="Check Box 317" hidden="1">
              <a:extLst>
                <a:ext uri="{63B3BB69-23CF-44E3-9099-C40C66FF867C}">
                  <a14:compatExt spid="_x0000_s21821"/>
                </a:ext>
                <a:ext uri="{FF2B5EF4-FFF2-40B4-BE49-F238E27FC236}">
                  <a16:creationId xmlns:a16="http://schemas.microsoft.com/office/drawing/2014/main" id="{00000000-0008-0000-0700-00003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47</xdr:row>
          <xdr:rowOff>28575</xdr:rowOff>
        </xdr:from>
        <xdr:to>
          <xdr:col>3</xdr:col>
          <xdr:colOff>819150</xdr:colOff>
          <xdr:row>48</xdr:row>
          <xdr:rowOff>123825</xdr:rowOff>
        </xdr:to>
        <xdr:sp macro="" textlink="">
          <xdr:nvSpPr>
            <xdr:cNvPr id="21822" name="Check Box 318" hidden="1">
              <a:extLst>
                <a:ext uri="{63B3BB69-23CF-44E3-9099-C40C66FF867C}">
                  <a14:compatExt spid="_x0000_s21822"/>
                </a:ext>
                <a:ext uri="{FF2B5EF4-FFF2-40B4-BE49-F238E27FC236}">
                  <a16:creationId xmlns:a16="http://schemas.microsoft.com/office/drawing/2014/main" id="{00000000-0008-0000-0700-00003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47</xdr:row>
          <xdr:rowOff>28575</xdr:rowOff>
        </xdr:from>
        <xdr:to>
          <xdr:col>4</xdr:col>
          <xdr:colOff>638175</xdr:colOff>
          <xdr:row>48</xdr:row>
          <xdr:rowOff>123825</xdr:rowOff>
        </xdr:to>
        <xdr:sp macro="" textlink="">
          <xdr:nvSpPr>
            <xdr:cNvPr id="21823" name="Check Box 319" hidden="1">
              <a:extLst>
                <a:ext uri="{63B3BB69-23CF-44E3-9099-C40C66FF867C}">
                  <a14:compatExt spid="_x0000_s21823"/>
                </a:ext>
                <a:ext uri="{FF2B5EF4-FFF2-40B4-BE49-F238E27FC236}">
                  <a16:creationId xmlns:a16="http://schemas.microsoft.com/office/drawing/2014/main" id="{00000000-0008-0000-0700-00003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47</xdr:row>
          <xdr:rowOff>38100</xdr:rowOff>
        </xdr:from>
        <xdr:to>
          <xdr:col>3</xdr:col>
          <xdr:colOff>114300</xdr:colOff>
          <xdr:row>48</xdr:row>
          <xdr:rowOff>133350</xdr:rowOff>
        </xdr:to>
        <xdr:sp macro="" textlink="">
          <xdr:nvSpPr>
            <xdr:cNvPr id="21824" name="Check Box 320" hidden="1">
              <a:extLst>
                <a:ext uri="{63B3BB69-23CF-44E3-9099-C40C66FF867C}">
                  <a14:compatExt spid="_x0000_s21824"/>
                </a:ext>
                <a:ext uri="{FF2B5EF4-FFF2-40B4-BE49-F238E27FC236}">
                  <a16:creationId xmlns:a16="http://schemas.microsoft.com/office/drawing/2014/main" id="{00000000-0008-0000-0700-00004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48</xdr:row>
          <xdr:rowOff>9525</xdr:rowOff>
        </xdr:from>
        <xdr:to>
          <xdr:col>3</xdr:col>
          <xdr:colOff>104775</xdr:colOff>
          <xdr:row>49</xdr:row>
          <xdr:rowOff>104775</xdr:rowOff>
        </xdr:to>
        <xdr:sp macro="" textlink="">
          <xdr:nvSpPr>
            <xdr:cNvPr id="21825" name="Check Box 321" hidden="1">
              <a:extLst>
                <a:ext uri="{63B3BB69-23CF-44E3-9099-C40C66FF867C}">
                  <a14:compatExt spid="_x0000_s21825"/>
                </a:ext>
                <a:ext uri="{FF2B5EF4-FFF2-40B4-BE49-F238E27FC236}">
                  <a16:creationId xmlns:a16="http://schemas.microsoft.com/office/drawing/2014/main" id="{00000000-0008-0000-0700-00004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47</xdr:row>
          <xdr:rowOff>28575</xdr:rowOff>
        </xdr:from>
        <xdr:to>
          <xdr:col>3</xdr:col>
          <xdr:colOff>819150</xdr:colOff>
          <xdr:row>48</xdr:row>
          <xdr:rowOff>123825</xdr:rowOff>
        </xdr:to>
        <xdr:sp macro="" textlink="">
          <xdr:nvSpPr>
            <xdr:cNvPr id="21826" name="Check Box 322" hidden="1">
              <a:extLst>
                <a:ext uri="{63B3BB69-23CF-44E3-9099-C40C66FF867C}">
                  <a14:compatExt spid="_x0000_s21826"/>
                </a:ext>
                <a:ext uri="{FF2B5EF4-FFF2-40B4-BE49-F238E27FC236}">
                  <a16:creationId xmlns:a16="http://schemas.microsoft.com/office/drawing/2014/main" id="{00000000-0008-0000-0700-00004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47</xdr:row>
          <xdr:rowOff>28575</xdr:rowOff>
        </xdr:from>
        <xdr:to>
          <xdr:col>4</xdr:col>
          <xdr:colOff>638175</xdr:colOff>
          <xdr:row>48</xdr:row>
          <xdr:rowOff>123825</xdr:rowOff>
        </xdr:to>
        <xdr:sp macro="" textlink="">
          <xdr:nvSpPr>
            <xdr:cNvPr id="21827" name="Check Box 323" hidden="1">
              <a:extLst>
                <a:ext uri="{63B3BB69-23CF-44E3-9099-C40C66FF867C}">
                  <a14:compatExt spid="_x0000_s21827"/>
                </a:ext>
                <a:ext uri="{FF2B5EF4-FFF2-40B4-BE49-F238E27FC236}">
                  <a16:creationId xmlns:a16="http://schemas.microsoft.com/office/drawing/2014/main" id="{00000000-0008-0000-0700-00004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47</xdr:row>
          <xdr:rowOff>38100</xdr:rowOff>
        </xdr:from>
        <xdr:to>
          <xdr:col>3</xdr:col>
          <xdr:colOff>114300</xdr:colOff>
          <xdr:row>48</xdr:row>
          <xdr:rowOff>133350</xdr:rowOff>
        </xdr:to>
        <xdr:sp macro="" textlink="">
          <xdr:nvSpPr>
            <xdr:cNvPr id="21828" name="Check Box 324" hidden="1">
              <a:extLst>
                <a:ext uri="{63B3BB69-23CF-44E3-9099-C40C66FF867C}">
                  <a14:compatExt spid="_x0000_s21828"/>
                </a:ext>
                <a:ext uri="{FF2B5EF4-FFF2-40B4-BE49-F238E27FC236}">
                  <a16:creationId xmlns:a16="http://schemas.microsoft.com/office/drawing/2014/main" id="{00000000-0008-0000-0700-00004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48</xdr:row>
          <xdr:rowOff>9525</xdr:rowOff>
        </xdr:from>
        <xdr:to>
          <xdr:col>3</xdr:col>
          <xdr:colOff>104775</xdr:colOff>
          <xdr:row>49</xdr:row>
          <xdr:rowOff>104775</xdr:rowOff>
        </xdr:to>
        <xdr:sp macro="" textlink="">
          <xdr:nvSpPr>
            <xdr:cNvPr id="21829" name="Check Box 325" hidden="1">
              <a:extLst>
                <a:ext uri="{63B3BB69-23CF-44E3-9099-C40C66FF867C}">
                  <a14:compatExt spid="_x0000_s21829"/>
                </a:ext>
                <a:ext uri="{FF2B5EF4-FFF2-40B4-BE49-F238E27FC236}">
                  <a16:creationId xmlns:a16="http://schemas.microsoft.com/office/drawing/2014/main" id="{00000000-0008-0000-0700-00004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47</xdr:row>
          <xdr:rowOff>28575</xdr:rowOff>
        </xdr:from>
        <xdr:to>
          <xdr:col>3</xdr:col>
          <xdr:colOff>819150</xdr:colOff>
          <xdr:row>48</xdr:row>
          <xdr:rowOff>123825</xdr:rowOff>
        </xdr:to>
        <xdr:sp macro="" textlink="">
          <xdr:nvSpPr>
            <xdr:cNvPr id="21830" name="Check Box 326" hidden="1">
              <a:extLst>
                <a:ext uri="{63B3BB69-23CF-44E3-9099-C40C66FF867C}">
                  <a14:compatExt spid="_x0000_s21830"/>
                </a:ext>
                <a:ext uri="{FF2B5EF4-FFF2-40B4-BE49-F238E27FC236}">
                  <a16:creationId xmlns:a16="http://schemas.microsoft.com/office/drawing/2014/main" id="{00000000-0008-0000-0700-00004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47</xdr:row>
          <xdr:rowOff>28575</xdr:rowOff>
        </xdr:from>
        <xdr:to>
          <xdr:col>4</xdr:col>
          <xdr:colOff>638175</xdr:colOff>
          <xdr:row>48</xdr:row>
          <xdr:rowOff>123825</xdr:rowOff>
        </xdr:to>
        <xdr:sp macro="" textlink="">
          <xdr:nvSpPr>
            <xdr:cNvPr id="21831" name="Check Box 327" hidden="1">
              <a:extLst>
                <a:ext uri="{63B3BB69-23CF-44E3-9099-C40C66FF867C}">
                  <a14:compatExt spid="_x0000_s21831"/>
                </a:ext>
                <a:ext uri="{FF2B5EF4-FFF2-40B4-BE49-F238E27FC236}">
                  <a16:creationId xmlns:a16="http://schemas.microsoft.com/office/drawing/2014/main" id="{00000000-0008-0000-0700-00004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47</xdr:row>
          <xdr:rowOff>38100</xdr:rowOff>
        </xdr:from>
        <xdr:to>
          <xdr:col>3</xdr:col>
          <xdr:colOff>114300</xdr:colOff>
          <xdr:row>48</xdr:row>
          <xdr:rowOff>133350</xdr:rowOff>
        </xdr:to>
        <xdr:sp macro="" textlink="">
          <xdr:nvSpPr>
            <xdr:cNvPr id="21832" name="Check Box 328" hidden="1">
              <a:extLst>
                <a:ext uri="{63B3BB69-23CF-44E3-9099-C40C66FF867C}">
                  <a14:compatExt spid="_x0000_s21832"/>
                </a:ext>
                <a:ext uri="{FF2B5EF4-FFF2-40B4-BE49-F238E27FC236}">
                  <a16:creationId xmlns:a16="http://schemas.microsoft.com/office/drawing/2014/main" id="{00000000-0008-0000-0700-00004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48</xdr:row>
          <xdr:rowOff>9525</xdr:rowOff>
        </xdr:from>
        <xdr:to>
          <xdr:col>3</xdr:col>
          <xdr:colOff>104775</xdr:colOff>
          <xdr:row>49</xdr:row>
          <xdr:rowOff>104775</xdr:rowOff>
        </xdr:to>
        <xdr:sp macro="" textlink="">
          <xdr:nvSpPr>
            <xdr:cNvPr id="21833" name="Check Box 329" hidden="1">
              <a:extLst>
                <a:ext uri="{63B3BB69-23CF-44E3-9099-C40C66FF867C}">
                  <a14:compatExt spid="_x0000_s21833"/>
                </a:ext>
                <a:ext uri="{FF2B5EF4-FFF2-40B4-BE49-F238E27FC236}">
                  <a16:creationId xmlns:a16="http://schemas.microsoft.com/office/drawing/2014/main" id="{00000000-0008-0000-0700-00004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47</xdr:row>
          <xdr:rowOff>28575</xdr:rowOff>
        </xdr:from>
        <xdr:to>
          <xdr:col>3</xdr:col>
          <xdr:colOff>819150</xdr:colOff>
          <xdr:row>48</xdr:row>
          <xdr:rowOff>123825</xdr:rowOff>
        </xdr:to>
        <xdr:sp macro="" textlink="">
          <xdr:nvSpPr>
            <xdr:cNvPr id="21834" name="Check Box 330" hidden="1">
              <a:extLst>
                <a:ext uri="{63B3BB69-23CF-44E3-9099-C40C66FF867C}">
                  <a14:compatExt spid="_x0000_s21834"/>
                </a:ext>
                <a:ext uri="{FF2B5EF4-FFF2-40B4-BE49-F238E27FC236}">
                  <a16:creationId xmlns:a16="http://schemas.microsoft.com/office/drawing/2014/main" id="{00000000-0008-0000-0700-00004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47</xdr:row>
          <xdr:rowOff>28575</xdr:rowOff>
        </xdr:from>
        <xdr:to>
          <xdr:col>4</xdr:col>
          <xdr:colOff>638175</xdr:colOff>
          <xdr:row>48</xdr:row>
          <xdr:rowOff>123825</xdr:rowOff>
        </xdr:to>
        <xdr:sp macro="" textlink="">
          <xdr:nvSpPr>
            <xdr:cNvPr id="21835" name="Check Box 331" hidden="1">
              <a:extLst>
                <a:ext uri="{63B3BB69-23CF-44E3-9099-C40C66FF867C}">
                  <a14:compatExt spid="_x0000_s21835"/>
                </a:ext>
                <a:ext uri="{FF2B5EF4-FFF2-40B4-BE49-F238E27FC236}">
                  <a16:creationId xmlns:a16="http://schemas.microsoft.com/office/drawing/2014/main" id="{00000000-0008-0000-0700-00004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47</xdr:row>
          <xdr:rowOff>38100</xdr:rowOff>
        </xdr:from>
        <xdr:to>
          <xdr:col>3</xdr:col>
          <xdr:colOff>114300</xdr:colOff>
          <xdr:row>48</xdr:row>
          <xdr:rowOff>133350</xdr:rowOff>
        </xdr:to>
        <xdr:sp macro="" textlink="">
          <xdr:nvSpPr>
            <xdr:cNvPr id="21836" name="Check Box 332" hidden="1">
              <a:extLst>
                <a:ext uri="{63B3BB69-23CF-44E3-9099-C40C66FF867C}">
                  <a14:compatExt spid="_x0000_s21836"/>
                </a:ext>
                <a:ext uri="{FF2B5EF4-FFF2-40B4-BE49-F238E27FC236}">
                  <a16:creationId xmlns:a16="http://schemas.microsoft.com/office/drawing/2014/main" id="{00000000-0008-0000-0700-00004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48</xdr:row>
          <xdr:rowOff>9525</xdr:rowOff>
        </xdr:from>
        <xdr:to>
          <xdr:col>3</xdr:col>
          <xdr:colOff>104775</xdr:colOff>
          <xdr:row>49</xdr:row>
          <xdr:rowOff>104775</xdr:rowOff>
        </xdr:to>
        <xdr:sp macro="" textlink="">
          <xdr:nvSpPr>
            <xdr:cNvPr id="21837" name="Check Box 333" hidden="1">
              <a:extLst>
                <a:ext uri="{63B3BB69-23CF-44E3-9099-C40C66FF867C}">
                  <a14:compatExt spid="_x0000_s21837"/>
                </a:ext>
                <a:ext uri="{FF2B5EF4-FFF2-40B4-BE49-F238E27FC236}">
                  <a16:creationId xmlns:a16="http://schemas.microsoft.com/office/drawing/2014/main" id="{00000000-0008-0000-0700-00004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47</xdr:row>
          <xdr:rowOff>28575</xdr:rowOff>
        </xdr:from>
        <xdr:to>
          <xdr:col>3</xdr:col>
          <xdr:colOff>819150</xdr:colOff>
          <xdr:row>48</xdr:row>
          <xdr:rowOff>123825</xdr:rowOff>
        </xdr:to>
        <xdr:sp macro="" textlink="">
          <xdr:nvSpPr>
            <xdr:cNvPr id="21838" name="Check Box 334" hidden="1">
              <a:extLst>
                <a:ext uri="{63B3BB69-23CF-44E3-9099-C40C66FF867C}">
                  <a14:compatExt spid="_x0000_s21838"/>
                </a:ext>
                <a:ext uri="{FF2B5EF4-FFF2-40B4-BE49-F238E27FC236}">
                  <a16:creationId xmlns:a16="http://schemas.microsoft.com/office/drawing/2014/main" id="{00000000-0008-0000-0700-00004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47</xdr:row>
          <xdr:rowOff>28575</xdr:rowOff>
        </xdr:from>
        <xdr:to>
          <xdr:col>4</xdr:col>
          <xdr:colOff>638175</xdr:colOff>
          <xdr:row>48</xdr:row>
          <xdr:rowOff>123825</xdr:rowOff>
        </xdr:to>
        <xdr:sp macro="" textlink="">
          <xdr:nvSpPr>
            <xdr:cNvPr id="21839" name="Check Box 335" hidden="1">
              <a:extLst>
                <a:ext uri="{63B3BB69-23CF-44E3-9099-C40C66FF867C}">
                  <a14:compatExt spid="_x0000_s21839"/>
                </a:ext>
                <a:ext uri="{FF2B5EF4-FFF2-40B4-BE49-F238E27FC236}">
                  <a16:creationId xmlns:a16="http://schemas.microsoft.com/office/drawing/2014/main" id="{00000000-0008-0000-0700-00004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47</xdr:row>
          <xdr:rowOff>38100</xdr:rowOff>
        </xdr:from>
        <xdr:to>
          <xdr:col>3</xdr:col>
          <xdr:colOff>114300</xdr:colOff>
          <xdr:row>48</xdr:row>
          <xdr:rowOff>133350</xdr:rowOff>
        </xdr:to>
        <xdr:sp macro="" textlink="">
          <xdr:nvSpPr>
            <xdr:cNvPr id="21840" name="Check Box 336" hidden="1">
              <a:extLst>
                <a:ext uri="{63B3BB69-23CF-44E3-9099-C40C66FF867C}">
                  <a14:compatExt spid="_x0000_s21840"/>
                </a:ext>
                <a:ext uri="{FF2B5EF4-FFF2-40B4-BE49-F238E27FC236}">
                  <a16:creationId xmlns:a16="http://schemas.microsoft.com/office/drawing/2014/main" id="{00000000-0008-0000-0700-00005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48</xdr:row>
          <xdr:rowOff>9525</xdr:rowOff>
        </xdr:from>
        <xdr:to>
          <xdr:col>3</xdr:col>
          <xdr:colOff>104775</xdr:colOff>
          <xdr:row>49</xdr:row>
          <xdr:rowOff>104775</xdr:rowOff>
        </xdr:to>
        <xdr:sp macro="" textlink="">
          <xdr:nvSpPr>
            <xdr:cNvPr id="21841" name="Check Box 337" hidden="1">
              <a:extLst>
                <a:ext uri="{63B3BB69-23CF-44E3-9099-C40C66FF867C}">
                  <a14:compatExt spid="_x0000_s21841"/>
                </a:ext>
                <a:ext uri="{FF2B5EF4-FFF2-40B4-BE49-F238E27FC236}">
                  <a16:creationId xmlns:a16="http://schemas.microsoft.com/office/drawing/2014/main" id="{00000000-0008-0000-0700-00005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52</xdr:row>
          <xdr:rowOff>28575</xdr:rowOff>
        </xdr:from>
        <xdr:to>
          <xdr:col>3</xdr:col>
          <xdr:colOff>819150</xdr:colOff>
          <xdr:row>53</xdr:row>
          <xdr:rowOff>123825</xdr:rowOff>
        </xdr:to>
        <xdr:sp macro="" textlink="">
          <xdr:nvSpPr>
            <xdr:cNvPr id="21842" name="Check Box 338" hidden="1">
              <a:extLst>
                <a:ext uri="{63B3BB69-23CF-44E3-9099-C40C66FF867C}">
                  <a14:compatExt spid="_x0000_s21842"/>
                </a:ext>
                <a:ext uri="{FF2B5EF4-FFF2-40B4-BE49-F238E27FC236}">
                  <a16:creationId xmlns:a16="http://schemas.microsoft.com/office/drawing/2014/main" id="{00000000-0008-0000-0700-00005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52</xdr:row>
          <xdr:rowOff>28575</xdr:rowOff>
        </xdr:from>
        <xdr:to>
          <xdr:col>4</xdr:col>
          <xdr:colOff>638175</xdr:colOff>
          <xdr:row>53</xdr:row>
          <xdr:rowOff>123825</xdr:rowOff>
        </xdr:to>
        <xdr:sp macro="" textlink="">
          <xdr:nvSpPr>
            <xdr:cNvPr id="21843" name="Check Box 339" hidden="1">
              <a:extLst>
                <a:ext uri="{63B3BB69-23CF-44E3-9099-C40C66FF867C}">
                  <a14:compatExt spid="_x0000_s21843"/>
                </a:ext>
                <a:ext uri="{FF2B5EF4-FFF2-40B4-BE49-F238E27FC236}">
                  <a16:creationId xmlns:a16="http://schemas.microsoft.com/office/drawing/2014/main" id="{00000000-0008-0000-0700-00005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52</xdr:row>
          <xdr:rowOff>38100</xdr:rowOff>
        </xdr:from>
        <xdr:to>
          <xdr:col>3</xdr:col>
          <xdr:colOff>114300</xdr:colOff>
          <xdr:row>53</xdr:row>
          <xdr:rowOff>133350</xdr:rowOff>
        </xdr:to>
        <xdr:sp macro="" textlink="">
          <xdr:nvSpPr>
            <xdr:cNvPr id="21844" name="Check Box 340" hidden="1">
              <a:extLst>
                <a:ext uri="{63B3BB69-23CF-44E3-9099-C40C66FF867C}">
                  <a14:compatExt spid="_x0000_s21844"/>
                </a:ext>
                <a:ext uri="{FF2B5EF4-FFF2-40B4-BE49-F238E27FC236}">
                  <a16:creationId xmlns:a16="http://schemas.microsoft.com/office/drawing/2014/main" id="{00000000-0008-0000-0700-00005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53</xdr:row>
          <xdr:rowOff>9525</xdr:rowOff>
        </xdr:from>
        <xdr:to>
          <xdr:col>3</xdr:col>
          <xdr:colOff>104775</xdr:colOff>
          <xdr:row>54</xdr:row>
          <xdr:rowOff>104775</xdr:rowOff>
        </xdr:to>
        <xdr:sp macro="" textlink="">
          <xdr:nvSpPr>
            <xdr:cNvPr id="21845" name="Check Box 341" hidden="1">
              <a:extLst>
                <a:ext uri="{63B3BB69-23CF-44E3-9099-C40C66FF867C}">
                  <a14:compatExt spid="_x0000_s21845"/>
                </a:ext>
                <a:ext uri="{FF2B5EF4-FFF2-40B4-BE49-F238E27FC236}">
                  <a16:creationId xmlns:a16="http://schemas.microsoft.com/office/drawing/2014/main" id="{00000000-0008-0000-0700-00005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52</xdr:row>
          <xdr:rowOff>28575</xdr:rowOff>
        </xdr:from>
        <xdr:to>
          <xdr:col>3</xdr:col>
          <xdr:colOff>819150</xdr:colOff>
          <xdr:row>53</xdr:row>
          <xdr:rowOff>123825</xdr:rowOff>
        </xdr:to>
        <xdr:sp macro="" textlink="">
          <xdr:nvSpPr>
            <xdr:cNvPr id="21846" name="Check Box 342" hidden="1">
              <a:extLst>
                <a:ext uri="{63B3BB69-23CF-44E3-9099-C40C66FF867C}">
                  <a14:compatExt spid="_x0000_s21846"/>
                </a:ext>
                <a:ext uri="{FF2B5EF4-FFF2-40B4-BE49-F238E27FC236}">
                  <a16:creationId xmlns:a16="http://schemas.microsoft.com/office/drawing/2014/main" id="{00000000-0008-0000-0700-00005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52</xdr:row>
          <xdr:rowOff>28575</xdr:rowOff>
        </xdr:from>
        <xdr:to>
          <xdr:col>4</xdr:col>
          <xdr:colOff>638175</xdr:colOff>
          <xdr:row>53</xdr:row>
          <xdr:rowOff>123825</xdr:rowOff>
        </xdr:to>
        <xdr:sp macro="" textlink="">
          <xdr:nvSpPr>
            <xdr:cNvPr id="21847" name="Check Box 343" hidden="1">
              <a:extLst>
                <a:ext uri="{63B3BB69-23CF-44E3-9099-C40C66FF867C}">
                  <a14:compatExt spid="_x0000_s21847"/>
                </a:ext>
                <a:ext uri="{FF2B5EF4-FFF2-40B4-BE49-F238E27FC236}">
                  <a16:creationId xmlns:a16="http://schemas.microsoft.com/office/drawing/2014/main" id="{00000000-0008-0000-0700-00005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52</xdr:row>
          <xdr:rowOff>38100</xdr:rowOff>
        </xdr:from>
        <xdr:to>
          <xdr:col>3</xdr:col>
          <xdr:colOff>114300</xdr:colOff>
          <xdr:row>53</xdr:row>
          <xdr:rowOff>133350</xdr:rowOff>
        </xdr:to>
        <xdr:sp macro="" textlink="">
          <xdr:nvSpPr>
            <xdr:cNvPr id="21848" name="Check Box 344" hidden="1">
              <a:extLst>
                <a:ext uri="{63B3BB69-23CF-44E3-9099-C40C66FF867C}">
                  <a14:compatExt spid="_x0000_s21848"/>
                </a:ext>
                <a:ext uri="{FF2B5EF4-FFF2-40B4-BE49-F238E27FC236}">
                  <a16:creationId xmlns:a16="http://schemas.microsoft.com/office/drawing/2014/main" id="{00000000-0008-0000-0700-00005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53</xdr:row>
          <xdr:rowOff>9525</xdr:rowOff>
        </xdr:from>
        <xdr:to>
          <xdr:col>3</xdr:col>
          <xdr:colOff>104775</xdr:colOff>
          <xdr:row>54</xdr:row>
          <xdr:rowOff>104775</xdr:rowOff>
        </xdr:to>
        <xdr:sp macro="" textlink="">
          <xdr:nvSpPr>
            <xdr:cNvPr id="21849" name="Check Box 345" hidden="1">
              <a:extLst>
                <a:ext uri="{63B3BB69-23CF-44E3-9099-C40C66FF867C}">
                  <a14:compatExt spid="_x0000_s21849"/>
                </a:ext>
                <a:ext uri="{FF2B5EF4-FFF2-40B4-BE49-F238E27FC236}">
                  <a16:creationId xmlns:a16="http://schemas.microsoft.com/office/drawing/2014/main" id="{00000000-0008-0000-0700-00005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52</xdr:row>
          <xdr:rowOff>28575</xdr:rowOff>
        </xdr:from>
        <xdr:to>
          <xdr:col>3</xdr:col>
          <xdr:colOff>819150</xdr:colOff>
          <xdr:row>53</xdr:row>
          <xdr:rowOff>123825</xdr:rowOff>
        </xdr:to>
        <xdr:sp macro="" textlink="">
          <xdr:nvSpPr>
            <xdr:cNvPr id="21850" name="Check Box 346" hidden="1">
              <a:extLst>
                <a:ext uri="{63B3BB69-23CF-44E3-9099-C40C66FF867C}">
                  <a14:compatExt spid="_x0000_s21850"/>
                </a:ext>
                <a:ext uri="{FF2B5EF4-FFF2-40B4-BE49-F238E27FC236}">
                  <a16:creationId xmlns:a16="http://schemas.microsoft.com/office/drawing/2014/main" id="{00000000-0008-0000-0700-00005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52</xdr:row>
          <xdr:rowOff>28575</xdr:rowOff>
        </xdr:from>
        <xdr:to>
          <xdr:col>4</xdr:col>
          <xdr:colOff>638175</xdr:colOff>
          <xdr:row>53</xdr:row>
          <xdr:rowOff>123825</xdr:rowOff>
        </xdr:to>
        <xdr:sp macro="" textlink="">
          <xdr:nvSpPr>
            <xdr:cNvPr id="21851" name="Check Box 347" hidden="1">
              <a:extLst>
                <a:ext uri="{63B3BB69-23CF-44E3-9099-C40C66FF867C}">
                  <a14:compatExt spid="_x0000_s21851"/>
                </a:ext>
                <a:ext uri="{FF2B5EF4-FFF2-40B4-BE49-F238E27FC236}">
                  <a16:creationId xmlns:a16="http://schemas.microsoft.com/office/drawing/2014/main" id="{00000000-0008-0000-0700-00005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52</xdr:row>
          <xdr:rowOff>38100</xdr:rowOff>
        </xdr:from>
        <xdr:to>
          <xdr:col>3</xdr:col>
          <xdr:colOff>114300</xdr:colOff>
          <xdr:row>53</xdr:row>
          <xdr:rowOff>133350</xdr:rowOff>
        </xdr:to>
        <xdr:sp macro="" textlink="">
          <xdr:nvSpPr>
            <xdr:cNvPr id="21852" name="Check Box 348" hidden="1">
              <a:extLst>
                <a:ext uri="{63B3BB69-23CF-44E3-9099-C40C66FF867C}">
                  <a14:compatExt spid="_x0000_s21852"/>
                </a:ext>
                <a:ext uri="{FF2B5EF4-FFF2-40B4-BE49-F238E27FC236}">
                  <a16:creationId xmlns:a16="http://schemas.microsoft.com/office/drawing/2014/main" id="{00000000-0008-0000-0700-00005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53</xdr:row>
          <xdr:rowOff>9525</xdr:rowOff>
        </xdr:from>
        <xdr:to>
          <xdr:col>3</xdr:col>
          <xdr:colOff>104775</xdr:colOff>
          <xdr:row>54</xdr:row>
          <xdr:rowOff>104775</xdr:rowOff>
        </xdr:to>
        <xdr:sp macro="" textlink="">
          <xdr:nvSpPr>
            <xdr:cNvPr id="21853" name="Check Box 349" hidden="1">
              <a:extLst>
                <a:ext uri="{63B3BB69-23CF-44E3-9099-C40C66FF867C}">
                  <a14:compatExt spid="_x0000_s21853"/>
                </a:ext>
                <a:ext uri="{FF2B5EF4-FFF2-40B4-BE49-F238E27FC236}">
                  <a16:creationId xmlns:a16="http://schemas.microsoft.com/office/drawing/2014/main" id="{00000000-0008-0000-0700-00005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52</xdr:row>
          <xdr:rowOff>28575</xdr:rowOff>
        </xdr:from>
        <xdr:to>
          <xdr:col>3</xdr:col>
          <xdr:colOff>819150</xdr:colOff>
          <xdr:row>53</xdr:row>
          <xdr:rowOff>123825</xdr:rowOff>
        </xdr:to>
        <xdr:sp macro="" textlink="">
          <xdr:nvSpPr>
            <xdr:cNvPr id="21854" name="Check Box 350" hidden="1">
              <a:extLst>
                <a:ext uri="{63B3BB69-23CF-44E3-9099-C40C66FF867C}">
                  <a14:compatExt spid="_x0000_s21854"/>
                </a:ext>
                <a:ext uri="{FF2B5EF4-FFF2-40B4-BE49-F238E27FC236}">
                  <a16:creationId xmlns:a16="http://schemas.microsoft.com/office/drawing/2014/main" id="{00000000-0008-0000-0700-00005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52</xdr:row>
          <xdr:rowOff>28575</xdr:rowOff>
        </xdr:from>
        <xdr:to>
          <xdr:col>4</xdr:col>
          <xdr:colOff>638175</xdr:colOff>
          <xdr:row>53</xdr:row>
          <xdr:rowOff>123825</xdr:rowOff>
        </xdr:to>
        <xdr:sp macro="" textlink="">
          <xdr:nvSpPr>
            <xdr:cNvPr id="21855" name="Check Box 351" hidden="1">
              <a:extLst>
                <a:ext uri="{63B3BB69-23CF-44E3-9099-C40C66FF867C}">
                  <a14:compatExt spid="_x0000_s21855"/>
                </a:ext>
                <a:ext uri="{FF2B5EF4-FFF2-40B4-BE49-F238E27FC236}">
                  <a16:creationId xmlns:a16="http://schemas.microsoft.com/office/drawing/2014/main" id="{00000000-0008-0000-0700-00005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52</xdr:row>
          <xdr:rowOff>38100</xdr:rowOff>
        </xdr:from>
        <xdr:to>
          <xdr:col>3</xdr:col>
          <xdr:colOff>114300</xdr:colOff>
          <xdr:row>53</xdr:row>
          <xdr:rowOff>133350</xdr:rowOff>
        </xdr:to>
        <xdr:sp macro="" textlink="">
          <xdr:nvSpPr>
            <xdr:cNvPr id="21856" name="Check Box 352" hidden="1">
              <a:extLst>
                <a:ext uri="{63B3BB69-23CF-44E3-9099-C40C66FF867C}">
                  <a14:compatExt spid="_x0000_s21856"/>
                </a:ext>
                <a:ext uri="{FF2B5EF4-FFF2-40B4-BE49-F238E27FC236}">
                  <a16:creationId xmlns:a16="http://schemas.microsoft.com/office/drawing/2014/main" id="{00000000-0008-0000-0700-00006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53</xdr:row>
          <xdr:rowOff>9525</xdr:rowOff>
        </xdr:from>
        <xdr:to>
          <xdr:col>3</xdr:col>
          <xdr:colOff>104775</xdr:colOff>
          <xdr:row>54</xdr:row>
          <xdr:rowOff>104775</xdr:rowOff>
        </xdr:to>
        <xdr:sp macro="" textlink="">
          <xdr:nvSpPr>
            <xdr:cNvPr id="21857" name="Check Box 353" hidden="1">
              <a:extLst>
                <a:ext uri="{63B3BB69-23CF-44E3-9099-C40C66FF867C}">
                  <a14:compatExt spid="_x0000_s21857"/>
                </a:ext>
                <a:ext uri="{FF2B5EF4-FFF2-40B4-BE49-F238E27FC236}">
                  <a16:creationId xmlns:a16="http://schemas.microsoft.com/office/drawing/2014/main" id="{00000000-0008-0000-0700-00006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52</xdr:row>
          <xdr:rowOff>28575</xdr:rowOff>
        </xdr:from>
        <xdr:to>
          <xdr:col>3</xdr:col>
          <xdr:colOff>819150</xdr:colOff>
          <xdr:row>53</xdr:row>
          <xdr:rowOff>123825</xdr:rowOff>
        </xdr:to>
        <xdr:sp macro="" textlink="">
          <xdr:nvSpPr>
            <xdr:cNvPr id="21858" name="Check Box 354" hidden="1">
              <a:extLst>
                <a:ext uri="{63B3BB69-23CF-44E3-9099-C40C66FF867C}">
                  <a14:compatExt spid="_x0000_s21858"/>
                </a:ext>
                <a:ext uri="{FF2B5EF4-FFF2-40B4-BE49-F238E27FC236}">
                  <a16:creationId xmlns:a16="http://schemas.microsoft.com/office/drawing/2014/main" id="{00000000-0008-0000-0700-00006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52</xdr:row>
          <xdr:rowOff>28575</xdr:rowOff>
        </xdr:from>
        <xdr:to>
          <xdr:col>4</xdr:col>
          <xdr:colOff>638175</xdr:colOff>
          <xdr:row>53</xdr:row>
          <xdr:rowOff>123825</xdr:rowOff>
        </xdr:to>
        <xdr:sp macro="" textlink="">
          <xdr:nvSpPr>
            <xdr:cNvPr id="21859" name="Check Box 355" hidden="1">
              <a:extLst>
                <a:ext uri="{63B3BB69-23CF-44E3-9099-C40C66FF867C}">
                  <a14:compatExt spid="_x0000_s21859"/>
                </a:ext>
                <a:ext uri="{FF2B5EF4-FFF2-40B4-BE49-F238E27FC236}">
                  <a16:creationId xmlns:a16="http://schemas.microsoft.com/office/drawing/2014/main" id="{00000000-0008-0000-0700-00006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52</xdr:row>
          <xdr:rowOff>38100</xdr:rowOff>
        </xdr:from>
        <xdr:to>
          <xdr:col>3</xdr:col>
          <xdr:colOff>114300</xdr:colOff>
          <xdr:row>53</xdr:row>
          <xdr:rowOff>133350</xdr:rowOff>
        </xdr:to>
        <xdr:sp macro="" textlink="">
          <xdr:nvSpPr>
            <xdr:cNvPr id="21860" name="Check Box 356" hidden="1">
              <a:extLst>
                <a:ext uri="{63B3BB69-23CF-44E3-9099-C40C66FF867C}">
                  <a14:compatExt spid="_x0000_s21860"/>
                </a:ext>
                <a:ext uri="{FF2B5EF4-FFF2-40B4-BE49-F238E27FC236}">
                  <a16:creationId xmlns:a16="http://schemas.microsoft.com/office/drawing/2014/main" id="{00000000-0008-0000-0700-00006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53</xdr:row>
          <xdr:rowOff>9525</xdr:rowOff>
        </xdr:from>
        <xdr:to>
          <xdr:col>3</xdr:col>
          <xdr:colOff>104775</xdr:colOff>
          <xdr:row>54</xdr:row>
          <xdr:rowOff>104775</xdr:rowOff>
        </xdr:to>
        <xdr:sp macro="" textlink="">
          <xdr:nvSpPr>
            <xdr:cNvPr id="21861" name="Check Box 357" hidden="1">
              <a:extLst>
                <a:ext uri="{63B3BB69-23CF-44E3-9099-C40C66FF867C}">
                  <a14:compatExt spid="_x0000_s21861"/>
                </a:ext>
                <a:ext uri="{FF2B5EF4-FFF2-40B4-BE49-F238E27FC236}">
                  <a16:creationId xmlns:a16="http://schemas.microsoft.com/office/drawing/2014/main" id="{00000000-0008-0000-0700-00006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52</xdr:row>
          <xdr:rowOff>28575</xdr:rowOff>
        </xdr:from>
        <xdr:to>
          <xdr:col>3</xdr:col>
          <xdr:colOff>819150</xdr:colOff>
          <xdr:row>53</xdr:row>
          <xdr:rowOff>123825</xdr:rowOff>
        </xdr:to>
        <xdr:sp macro="" textlink="">
          <xdr:nvSpPr>
            <xdr:cNvPr id="21862" name="Check Box 358" hidden="1">
              <a:extLst>
                <a:ext uri="{63B3BB69-23CF-44E3-9099-C40C66FF867C}">
                  <a14:compatExt spid="_x0000_s21862"/>
                </a:ext>
                <a:ext uri="{FF2B5EF4-FFF2-40B4-BE49-F238E27FC236}">
                  <a16:creationId xmlns:a16="http://schemas.microsoft.com/office/drawing/2014/main" id="{00000000-0008-0000-0700-00006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52</xdr:row>
          <xdr:rowOff>28575</xdr:rowOff>
        </xdr:from>
        <xdr:to>
          <xdr:col>4</xdr:col>
          <xdr:colOff>638175</xdr:colOff>
          <xdr:row>53</xdr:row>
          <xdr:rowOff>123825</xdr:rowOff>
        </xdr:to>
        <xdr:sp macro="" textlink="">
          <xdr:nvSpPr>
            <xdr:cNvPr id="21863" name="Check Box 359" hidden="1">
              <a:extLst>
                <a:ext uri="{63B3BB69-23CF-44E3-9099-C40C66FF867C}">
                  <a14:compatExt spid="_x0000_s21863"/>
                </a:ext>
                <a:ext uri="{FF2B5EF4-FFF2-40B4-BE49-F238E27FC236}">
                  <a16:creationId xmlns:a16="http://schemas.microsoft.com/office/drawing/2014/main" id="{00000000-0008-0000-0700-00006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52</xdr:row>
          <xdr:rowOff>38100</xdr:rowOff>
        </xdr:from>
        <xdr:to>
          <xdr:col>3</xdr:col>
          <xdr:colOff>114300</xdr:colOff>
          <xdr:row>53</xdr:row>
          <xdr:rowOff>133350</xdr:rowOff>
        </xdr:to>
        <xdr:sp macro="" textlink="">
          <xdr:nvSpPr>
            <xdr:cNvPr id="21864" name="Check Box 360" hidden="1">
              <a:extLst>
                <a:ext uri="{63B3BB69-23CF-44E3-9099-C40C66FF867C}">
                  <a14:compatExt spid="_x0000_s21864"/>
                </a:ext>
                <a:ext uri="{FF2B5EF4-FFF2-40B4-BE49-F238E27FC236}">
                  <a16:creationId xmlns:a16="http://schemas.microsoft.com/office/drawing/2014/main" id="{00000000-0008-0000-0700-00006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53</xdr:row>
          <xdr:rowOff>9525</xdr:rowOff>
        </xdr:from>
        <xdr:to>
          <xdr:col>3</xdr:col>
          <xdr:colOff>104775</xdr:colOff>
          <xdr:row>54</xdr:row>
          <xdr:rowOff>104775</xdr:rowOff>
        </xdr:to>
        <xdr:sp macro="" textlink="">
          <xdr:nvSpPr>
            <xdr:cNvPr id="21865" name="Check Box 361" hidden="1">
              <a:extLst>
                <a:ext uri="{63B3BB69-23CF-44E3-9099-C40C66FF867C}">
                  <a14:compatExt spid="_x0000_s21865"/>
                </a:ext>
                <a:ext uri="{FF2B5EF4-FFF2-40B4-BE49-F238E27FC236}">
                  <a16:creationId xmlns:a16="http://schemas.microsoft.com/office/drawing/2014/main" id="{00000000-0008-0000-0700-00006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52</xdr:row>
          <xdr:rowOff>28575</xdr:rowOff>
        </xdr:from>
        <xdr:to>
          <xdr:col>3</xdr:col>
          <xdr:colOff>819150</xdr:colOff>
          <xdr:row>53</xdr:row>
          <xdr:rowOff>123825</xdr:rowOff>
        </xdr:to>
        <xdr:sp macro="" textlink="">
          <xdr:nvSpPr>
            <xdr:cNvPr id="21866" name="Check Box 362" hidden="1">
              <a:extLst>
                <a:ext uri="{63B3BB69-23CF-44E3-9099-C40C66FF867C}">
                  <a14:compatExt spid="_x0000_s21866"/>
                </a:ext>
                <a:ext uri="{FF2B5EF4-FFF2-40B4-BE49-F238E27FC236}">
                  <a16:creationId xmlns:a16="http://schemas.microsoft.com/office/drawing/2014/main" id="{00000000-0008-0000-0700-00006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52</xdr:row>
          <xdr:rowOff>28575</xdr:rowOff>
        </xdr:from>
        <xdr:to>
          <xdr:col>4</xdr:col>
          <xdr:colOff>638175</xdr:colOff>
          <xdr:row>53</xdr:row>
          <xdr:rowOff>123825</xdr:rowOff>
        </xdr:to>
        <xdr:sp macro="" textlink="">
          <xdr:nvSpPr>
            <xdr:cNvPr id="21867" name="Check Box 363" hidden="1">
              <a:extLst>
                <a:ext uri="{63B3BB69-23CF-44E3-9099-C40C66FF867C}">
                  <a14:compatExt spid="_x0000_s21867"/>
                </a:ext>
                <a:ext uri="{FF2B5EF4-FFF2-40B4-BE49-F238E27FC236}">
                  <a16:creationId xmlns:a16="http://schemas.microsoft.com/office/drawing/2014/main" id="{00000000-0008-0000-0700-00006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52</xdr:row>
          <xdr:rowOff>38100</xdr:rowOff>
        </xdr:from>
        <xdr:to>
          <xdr:col>3</xdr:col>
          <xdr:colOff>114300</xdr:colOff>
          <xdr:row>53</xdr:row>
          <xdr:rowOff>133350</xdr:rowOff>
        </xdr:to>
        <xdr:sp macro="" textlink="">
          <xdr:nvSpPr>
            <xdr:cNvPr id="21868" name="Check Box 364" hidden="1">
              <a:extLst>
                <a:ext uri="{63B3BB69-23CF-44E3-9099-C40C66FF867C}">
                  <a14:compatExt spid="_x0000_s21868"/>
                </a:ext>
                <a:ext uri="{FF2B5EF4-FFF2-40B4-BE49-F238E27FC236}">
                  <a16:creationId xmlns:a16="http://schemas.microsoft.com/office/drawing/2014/main" id="{00000000-0008-0000-0700-00006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53</xdr:row>
          <xdr:rowOff>9525</xdr:rowOff>
        </xdr:from>
        <xdr:to>
          <xdr:col>3</xdr:col>
          <xdr:colOff>104775</xdr:colOff>
          <xdr:row>54</xdr:row>
          <xdr:rowOff>104775</xdr:rowOff>
        </xdr:to>
        <xdr:sp macro="" textlink="">
          <xdr:nvSpPr>
            <xdr:cNvPr id="21869" name="Check Box 365" hidden="1">
              <a:extLst>
                <a:ext uri="{63B3BB69-23CF-44E3-9099-C40C66FF867C}">
                  <a14:compatExt spid="_x0000_s21869"/>
                </a:ext>
                <a:ext uri="{FF2B5EF4-FFF2-40B4-BE49-F238E27FC236}">
                  <a16:creationId xmlns:a16="http://schemas.microsoft.com/office/drawing/2014/main" id="{00000000-0008-0000-0700-00006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52</xdr:row>
          <xdr:rowOff>28575</xdr:rowOff>
        </xdr:from>
        <xdr:to>
          <xdr:col>3</xdr:col>
          <xdr:colOff>819150</xdr:colOff>
          <xdr:row>53</xdr:row>
          <xdr:rowOff>123825</xdr:rowOff>
        </xdr:to>
        <xdr:sp macro="" textlink="">
          <xdr:nvSpPr>
            <xdr:cNvPr id="21870" name="Check Box 366" hidden="1">
              <a:extLst>
                <a:ext uri="{63B3BB69-23CF-44E3-9099-C40C66FF867C}">
                  <a14:compatExt spid="_x0000_s21870"/>
                </a:ext>
                <a:ext uri="{FF2B5EF4-FFF2-40B4-BE49-F238E27FC236}">
                  <a16:creationId xmlns:a16="http://schemas.microsoft.com/office/drawing/2014/main" id="{00000000-0008-0000-0700-00006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52</xdr:row>
          <xdr:rowOff>28575</xdr:rowOff>
        </xdr:from>
        <xdr:to>
          <xdr:col>4</xdr:col>
          <xdr:colOff>638175</xdr:colOff>
          <xdr:row>53</xdr:row>
          <xdr:rowOff>123825</xdr:rowOff>
        </xdr:to>
        <xdr:sp macro="" textlink="">
          <xdr:nvSpPr>
            <xdr:cNvPr id="21871" name="Check Box 367" hidden="1">
              <a:extLst>
                <a:ext uri="{63B3BB69-23CF-44E3-9099-C40C66FF867C}">
                  <a14:compatExt spid="_x0000_s21871"/>
                </a:ext>
                <a:ext uri="{FF2B5EF4-FFF2-40B4-BE49-F238E27FC236}">
                  <a16:creationId xmlns:a16="http://schemas.microsoft.com/office/drawing/2014/main" id="{00000000-0008-0000-0700-00006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52</xdr:row>
          <xdr:rowOff>38100</xdr:rowOff>
        </xdr:from>
        <xdr:to>
          <xdr:col>3</xdr:col>
          <xdr:colOff>114300</xdr:colOff>
          <xdr:row>53</xdr:row>
          <xdr:rowOff>133350</xdr:rowOff>
        </xdr:to>
        <xdr:sp macro="" textlink="">
          <xdr:nvSpPr>
            <xdr:cNvPr id="21872" name="Check Box 368" hidden="1">
              <a:extLst>
                <a:ext uri="{63B3BB69-23CF-44E3-9099-C40C66FF867C}">
                  <a14:compatExt spid="_x0000_s21872"/>
                </a:ext>
                <a:ext uri="{FF2B5EF4-FFF2-40B4-BE49-F238E27FC236}">
                  <a16:creationId xmlns:a16="http://schemas.microsoft.com/office/drawing/2014/main" id="{00000000-0008-0000-0700-00007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53</xdr:row>
          <xdr:rowOff>9525</xdr:rowOff>
        </xdr:from>
        <xdr:to>
          <xdr:col>3</xdr:col>
          <xdr:colOff>104775</xdr:colOff>
          <xdr:row>54</xdr:row>
          <xdr:rowOff>104775</xdr:rowOff>
        </xdr:to>
        <xdr:sp macro="" textlink="">
          <xdr:nvSpPr>
            <xdr:cNvPr id="21873" name="Check Box 369" hidden="1">
              <a:extLst>
                <a:ext uri="{63B3BB69-23CF-44E3-9099-C40C66FF867C}">
                  <a14:compatExt spid="_x0000_s21873"/>
                </a:ext>
                <a:ext uri="{FF2B5EF4-FFF2-40B4-BE49-F238E27FC236}">
                  <a16:creationId xmlns:a16="http://schemas.microsoft.com/office/drawing/2014/main" id="{00000000-0008-0000-0700-00007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874" name="Check Box 370" hidden="1">
              <a:extLst>
                <a:ext uri="{63B3BB69-23CF-44E3-9099-C40C66FF867C}">
                  <a14:compatExt spid="_x0000_s21874"/>
                </a:ext>
                <a:ext uri="{FF2B5EF4-FFF2-40B4-BE49-F238E27FC236}">
                  <a16:creationId xmlns:a16="http://schemas.microsoft.com/office/drawing/2014/main" id="{00000000-0008-0000-0700-00007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875" name="Check Box 371" hidden="1">
              <a:extLst>
                <a:ext uri="{63B3BB69-23CF-44E3-9099-C40C66FF867C}">
                  <a14:compatExt spid="_x0000_s21875"/>
                </a:ext>
                <a:ext uri="{FF2B5EF4-FFF2-40B4-BE49-F238E27FC236}">
                  <a16:creationId xmlns:a16="http://schemas.microsoft.com/office/drawing/2014/main" id="{00000000-0008-0000-0700-00007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876" name="Check Box 372" hidden="1">
              <a:extLst>
                <a:ext uri="{63B3BB69-23CF-44E3-9099-C40C66FF867C}">
                  <a14:compatExt spid="_x0000_s21876"/>
                </a:ext>
                <a:ext uri="{FF2B5EF4-FFF2-40B4-BE49-F238E27FC236}">
                  <a16:creationId xmlns:a16="http://schemas.microsoft.com/office/drawing/2014/main" id="{00000000-0008-0000-0700-00007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877" name="Check Box 373" hidden="1">
              <a:extLst>
                <a:ext uri="{63B3BB69-23CF-44E3-9099-C40C66FF867C}">
                  <a14:compatExt spid="_x0000_s21877"/>
                </a:ext>
                <a:ext uri="{FF2B5EF4-FFF2-40B4-BE49-F238E27FC236}">
                  <a16:creationId xmlns:a16="http://schemas.microsoft.com/office/drawing/2014/main" id="{00000000-0008-0000-0700-00007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878" name="Check Box 374" hidden="1">
              <a:extLst>
                <a:ext uri="{63B3BB69-23CF-44E3-9099-C40C66FF867C}">
                  <a14:compatExt spid="_x0000_s21878"/>
                </a:ext>
                <a:ext uri="{FF2B5EF4-FFF2-40B4-BE49-F238E27FC236}">
                  <a16:creationId xmlns:a16="http://schemas.microsoft.com/office/drawing/2014/main" id="{00000000-0008-0000-0700-00007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879" name="Check Box 375" hidden="1">
              <a:extLst>
                <a:ext uri="{63B3BB69-23CF-44E3-9099-C40C66FF867C}">
                  <a14:compatExt spid="_x0000_s21879"/>
                </a:ext>
                <a:ext uri="{FF2B5EF4-FFF2-40B4-BE49-F238E27FC236}">
                  <a16:creationId xmlns:a16="http://schemas.microsoft.com/office/drawing/2014/main" id="{00000000-0008-0000-0700-00007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880" name="Check Box 376" hidden="1">
              <a:extLst>
                <a:ext uri="{63B3BB69-23CF-44E3-9099-C40C66FF867C}">
                  <a14:compatExt spid="_x0000_s21880"/>
                </a:ext>
                <a:ext uri="{FF2B5EF4-FFF2-40B4-BE49-F238E27FC236}">
                  <a16:creationId xmlns:a16="http://schemas.microsoft.com/office/drawing/2014/main" id="{00000000-0008-0000-0700-00007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881" name="Check Box 377" hidden="1">
              <a:extLst>
                <a:ext uri="{63B3BB69-23CF-44E3-9099-C40C66FF867C}">
                  <a14:compatExt spid="_x0000_s21881"/>
                </a:ext>
                <a:ext uri="{FF2B5EF4-FFF2-40B4-BE49-F238E27FC236}">
                  <a16:creationId xmlns:a16="http://schemas.microsoft.com/office/drawing/2014/main" id="{00000000-0008-0000-0700-00007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882" name="Check Box 378" hidden="1">
              <a:extLst>
                <a:ext uri="{63B3BB69-23CF-44E3-9099-C40C66FF867C}">
                  <a14:compatExt spid="_x0000_s21882"/>
                </a:ext>
                <a:ext uri="{FF2B5EF4-FFF2-40B4-BE49-F238E27FC236}">
                  <a16:creationId xmlns:a16="http://schemas.microsoft.com/office/drawing/2014/main" id="{00000000-0008-0000-0700-00007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883" name="Check Box 379" hidden="1">
              <a:extLst>
                <a:ext uri="{63B3BB69-23CF-44E3-9099-C40C66FF867C}">
                  <a14:compatExt spid="_x0000_s21883"/>
                </a:ext>
                <a:ext uri="{FF2B5EF4-FFF2-40B4-BE49-F238E27FC236}">
                  <a16:creationId xmlns:a16="http://schemas.microsoft.com/office/drawing/2014/main" id="{00000000-0008-0000-0700-00007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884" name="Check Box 380" hidden="1">
              <a:extLst>
                <a:ext uri="{63B3BB69-23CF-44E3-9099-C40C66FF867C}">
                  <a14:compatExt spid="_x0000_s21884"/>
                </a:ext>
                <a:ext uri="{FF2B5EF4-FFF2-40B4-BE49-F238E27FC236}">
                  <a16:creationId xmlns:a16="http://schemas.microsoft.com/office/drawing/2014/main" id="{00000000-0008-0000-0700-00007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885" name="Check Box 381" hidden="1">
              <a:extLst>
                <a:ext uri="{63B3BB69-23CF-44E3-9099-C40C66FF867C}">
                  <a14:compatExt spid="_x0000_s21885"/>
                </a:ext>
                <a:ext uri="{FF2B5EF4-FFF2-40B4-BE49-F238E27FC236}">
                  <a16:creationId xmlns:a16="http://schemas.microsoft.com/office/drawing/2014/main" id="{00000000-0008-0000-0700-00007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886" name="Check Box 382" hidden="1">
              <a:extLst>
                <a:ext uri="{63B3BB69-23CF-44E3-9099-C40C66FF867C}">
                  <a14:compatExt spid="_x0000_s21886"/>
                </a:ext>
                <a:ext uri="{FF2B5EF4-FFF2-40B4-BE49-F238E27FC236}">
                  <a16:creationId xmlns:a16="http://schemas.microsoft.com/office/drawing/2014/main" id="{00000000-0008-0000-0700-00007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887" name="Check Box 383" hidden="1">
              <a:extLst>
                <a:ext uri="{63B3BB69-23CF-44E3-9099-C40C66FF867C}">
                  <a14:compatExt spid="_x0000_s21887"/>
                </a:ext>
                <a:ext uri="{FF2B5EF4-FFF2-40B4-BE49-F238E27FC236}">
                  <a16:creationId xmlns:a16="http://schemas.microsoft.com/office/drawing/2014/main" id="{00000000-0008-0000-0700-00007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888" name="Check Box 384" hidden="1">
              <a:extLst>
                <a:ext uri="{63B3BB69-23CF-44E3-9099-C40C66FF867C}">
                  <a14:compatExt spid="_x0000_s21888"/>
                </a:ext>
                <a:ext uri="{FF2B5EF4-FFF2-40B4-BE49-F238E27FC236}">
                  <a16:creationId xmlns:a16="http://schemas.microsoft.com/office/drawing/2014/main" id="{00000000-0008-0000-0700-00008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889" name="Check Box 385" hidden="1">
              <a:extLst>
                <a:ext uri="{63B3BB69-23CF-44E3-9099-C40C66FF867C}">
                  <a14:compatExt spid="_x0000_s21889"/>
                </a:ext>
                <a:ext uri="{FF2B5EF4-FFF2-40B4-BE49-F238E27FC236}">
                  <a16:creationId xmlns:a16="http://schemas.microsoft.com/office/drawing/2014/main" id="{00000000-0008-0000-0700-00008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890" name="Check Box 386" hidden="1">
              <a:extLst>
                <a:ext uri="{63B3BB69-23CF-44E3-9099-C40C66FF867C}">
                  <a14:compatExt spid="_x0000_s21890"/>
                </a:ext>
                <a:ext uri="{FF2B5EF4-FFF2-40B4-BE49-F238E27FC236}">
                  <a16:creationId xmlns:a16="http://schemas.microsoft.com/office/drawing/2014/main" id="{00000000-0008-0000-0700-00008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891" name="Check Box 387" hidden="1">
              <a:extLst>
                <a:ext uri="{63B3BB69-23CF-44E3-9099-C40C66FF867C}">
                  <a14:compatExt spid="_x0000_s21891"/>
                </a:ext>
                <a:ext uri="{FF2B5EF4-FFF2-40B4-BE49-F238E27FC236}">
                  <a16:creationId xmlns:a16="http://schemas.microsoft.com/office/drawing/2014/main" id="{00000000-0008-0000-0700-00008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892" name="Check Box 388" hidden="1">
              <a:extLst>
                <a:ext uri="{63B3BB69-23CF-44E3-9099-C40C66FF867C}">
                  <a14:compatExt spid="_x0000_s21892"/>
                </a:ext>
                <a:ext uri="{FF2B5EF4-FFF2-40B4-BE49-F238E27FC236}">
                  <a16:creationId xmlns:a16="http://schemas.microsoft.com/office/drawing/2014/main" id="{00000000-0008-0000-0700-00008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893" name="Check Box 389" hidden="1">
              <a:extLst>
                <a:ext uri="{63B3BB69-23CF-44E3-9099-C40C66FF867C}">
                  <a14:compatExt spid="_x0000_s21893"/>
                </a:ext>
                <a:ext uri="{FF2B5EF4-FFF2-40B4-BE49-F238E27FC236}">
                  <a16:creationId xmlns:a16="http://schemas.microsoft.com/office/drawing/2014/main" id="{00000000-0008-0000-0700-00008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894" name="Check Box 390" hidden="1">
              <a:extLst>
                <a:ext uri="{63B3BB69-23CF-44E3-9099-C40C66FF867C}">
                  <a14:compatExt spid="_x0000_s21894"/>
                </a:ext>
                <a:ext uri="{FF2B5EF4-FFF2-40B4-BE49-F238E27FC236}">
                  <a16:creationId xmlns:a16="http://schemas.microsoft.com/office/drawing/2014/main" id="{00000000-0008-0000-0700-00008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895" name="Check Box 391" hidden="1">
              <a:extLst>
                <a:ext uri="{63B3BB69-23CF-44E3-9099-C40C66FF867C}">
                  <a14:compatExt spid="_x0000_s21895"/>
                </a:ext>
                <a:ext uri="{FF2B5EF4-FFF2-40B4-BE49-F238E27FC236}">
                  <a16:creationId xmlns:a16="http://schemas.microsoft.com/office/drawing/2014/main" id="{00000000-0008-0000-0700-00008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896" name="Check Box 392" hidden="1">
              <a:extLst>
                <a:ext uri="{63B3BB69-23CF-44E3-9099-C40C66FF867C}">
                  <a14:compatExt spid="_x0000_s21896"/>
                </a:ext>
                <a:ext uri="{FF2B5EF4-FFF2-40B4-BE49-F238E27FC236}">
                  <a16:creationId xmlns:a16="http://schemas.microsoft.com/office/drawing/2014/main" id="{00000000-0008-0000-0700-00008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897" name="Check Box 393" hidden="1">
              <a:extLst>
                <a:ext uri="{63B3BB69-23CF-44E3-9099-C40C66FF867C}">
                  <a14:compatExt spid="_x0000_s21897"/>
                </a:ext>
                <a:ext uri="{FF2B5EF4-FFF2-40B4-BE49-F238E27FC236}">
                  <a16:creationId xmlns:a16="http://schemas.microsoft.com/office/drawing/2014/main" id="{00000000-0008-0000-0700-00008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898" name="Check Box 394" hidden="1">
              <a:extLst>
                <a:ext uri="{63B3BB69-23CF-44E3-9099-C40C66FF867C}">
                  <a14:compatExt spid="_x0000_s21898"/>
                </a:ext>
                <a:ext uri="{FF2B5EF4-FFF2-40B4-BE49-F238E27FC236}">
                  <a16:creationId xmlns:a16="http://schemas.microsoft.com/office/drawing/2014/main" id="{00000000-0008-0000-0700-00008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899" name="Check Box 395" hidden="1">
              <a:extLst>
                <a:ext uri="{63B3BB69-23CF-44E3-9099-C40C66FF867C}">
                  <a14:compatExt spid="_x0000_s21899"/>
                </a:ext>
                <a:ext uri="{FF2B5EF4-FFF2-40B4-BE49-F238E27FC236}">
                  <a16:creationId xmlns:a16="http://schemas.microsoft.com/office/drawing/2014/main" id="{00000000-0008-0000-0700-00008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900" name="Check Box 396" hidden="1">
              <a:extLst>
                <a:ext uri="{63B3BB69-23CF-44E3-9099-C40C66FF867C}">
                  <a14:compatExt spid="_x0000_s21900"/>
                </a:ext>
                <a:ext uri="{FF2B5EF4-FFF2-40B4-BE49-F238E27FC236}">
                  <a16:creationId xmlns:a16="http://schemas.microsoft.com/office/drawing/2014/main" id="{00000000-0008-0000-0700-00008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901" name="Check Box 397" hidden="1">
              <a:extLst>
                <a:ext uri="{63B3BB69-23CF-44E3-9099-C40C66FF867C}">
                  <a14:compatExt spid="_x0000_s21901"/>
                </a:ext>
                <a:ext uri="{FF2B5EF4-FFF2-40B4-BE49-F238E27FC236}">
                  <a16:creationId xmlns:a16="http://schemas.microsoft.com/office/drawing/2014/main" id="{00000000-0008-0000-0700-00008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902" name="Check Box 398" hidden="1">
              <a:extLst>
                <a:ext uri="{63B3BB69-23CF-44E3-9099-C40C66FF867C}">
                  <a14:compatExt spid="_x0000_s21902"/>
                </a:ext>
                <a:ext uri="{FF2B5EF4-FFF2-40B4-BE49-F238E27FC236}">
                  <a16:creationId xmlns:a16="http://schemas.microsoft.com/office/drawing/2014/main" id="{00000000-0008-0000-0700-00008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903" name="Check Box 399" hidden="1">
              <a:extLst>
                <a:ext uri="{63B3BB69-23CF-44E3-9099-C40C66FF867C}">
                  <a14:compatExt spid="_x0000_s21903"/>
                </a:ext>
                <a:ext uri="{FF2B5EF4-FFF2-40B4-BE49-F238E27FC236}">
                  <a16:creationId xmlns:a16="http://schemas.microsoft.com/office/drawing/2014/main" id="{00000000-0008-0000-0700-00008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904" name="Check Box 400" hidden="1">
              <a:extLst>
                <a:ext uri="{63B3BB69-23CF-44E3-9099-C40C66FF867C}">
                  <a14:compatExt spid="_x0000_s21904"/>
                </a:ext>
                <a:ext uri="{FF2B5EF4-FFF2-40B4-BE49-F238E27FC236}">
                  <a16:creationId xmlns:a16="http://schemas.microsoft.com/office/drawing/2014/main" id="{00000000-0008-0000-0700-00009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905" name="Check Box 401" hidden="1">
              <a:extLst>
                <a:ext uri="{63B3BB69-23CF-44E3-9099-C40C66FF867C}">
                  <a14:compatExt spid="_x0000_s21905"/>
                </a:ext>
                <a:ext uri="{FF2B5EF4-FFF2-40B4-BE49-F238E27FC236}">
                  <a16:creationId xmlns:a16="http://schemas.microsoft.com/office/drawing/2014/main" id="{00000000-0008-0000-0700-00009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57</xdr:row>
          <xdr:rowOff>28575</xdr:rowOff>
        </xdr:from>
        <xdr:to>
          <xdr:col>3</xdr:col>
          <xdr:colOff>819150</xdr:colOff>
          <xdr:row>58</xdr:row>
          <xdr:rowOff>123825</xdr:rowOff>
        </xdr:to>
        <xdr:sp macro="" textlink="">
          <xdr:nvSpPr>
            <xdr:cNvPr id="21906" name="Check Box 402" hidden="1">
              <a:extLst>
                <a:ext uri="{63B3BB69-23CF-44E3-9099-C40C66FF867C}">
                  <a14:compatExt spid="_x0000_s21906"/>
                </a:ext>
                <a:ext uri="{FF2B5EF4-FFF2-40B4-BE49-F238E27FC236}">
                  <a16:creationId xmlns:a16="http://schemas.microsoft.com/office/drawing/2014/main" id="{00000000-0008-0000-0700-00009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57</xdr:row>
          <xdr:rowOff>28575</xdr:rowOff>
        </xdr:from>
        <xdr:to>
          <xdr:col>4</xdr:col>
          <xdr:colOff>638175</xdr:colOff>
          <xdr:row>58</xdr:row>
          <xdr:rowOff>123825</xdr:rowOff>
        </xdr:to>
        <xdr:sp macro="" textlink="">
          <xdr:nvSpPr>
            <xdr:cNvPr id="21907" name="Check Box 403" hidden="1">
              <a:extLst>
                <a:ext uri="{63B3BB69-23CF-44E3-9099-C40C66FF867C}">
                  <a14:compatExt spid="_x0000_s21907"/>
                </a:ext>
                <a:ext uri="{FF2B5EF4-FFF2-40B4-BE49-F238E27FC236}">
                  <a16:creationId xmlns:a16="http://schemas.microsoft.com/office/drawing/2014/main" id="{00000000-0008-0000-0700-00009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57</xdr:row>
          <xdr:rowOff>38100</xdr:rowOff>
        </xdr:from>
        <xdr:to>
          <xdr:col>3</xdr:col>
          <xdr:colOff>114300</xdr:colOff>
          <xdr:row>58</xdr:row>
          <xdr:rowOff>133350</xdr:rowOff>
        </xdr:to>
        <xdr:sp macro="" textlink="">
          <xdr:nvSpPr>
            <xdr:cNvPr id="21908" name="Check Box 404" hidden="1">
              <a:extLst>
                <a:ext uri="{63B3BB69-23CF-44E3-9099-C40C66FF867C}">
                  <a14:compatExt spid="_x0000_s21908"/>
                </a:ext>
                <a:ext uri="{FF2B5EF4-FFF2-40B4-BE49-F238E27FC236}">
                  <a16:creationId xmlns:a16="http://schemas.microsoft.com/office/drawing/2014/main" id="{00000000-0008-0000-0700-00009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58</xdr:row>
          <xdr:rowOff>9525</xdr:rowOff>
        </xdr:from>
        <xdr:to>
          <xdr:col>3</xdr:col>
          <xdr:colOff>104775</xdr:colOff>
          <xdr:row>59</xdr:row>
          <xdr:rowOff>104775</xdr:rowOff>
        </xdr:to>
        <xdr:sp macro="" textlink="">
          <xdr:nvSpPr>
            <xdr:cNvPr id="21909" name="Check Box 405" hidden="1">
              <a:extLst>
                <a:ext uri="{63B3BB69-23CF-44E3-9099-C40C66FF867C}">
                  <a14:compatExt spid="_x0000_s21909"/>
                </a:ext>
                <a:ext uri="{FF2B5EF4-FFF2-40B4-BE49-F238E27FC236}">
                  <a16:creationId xmlns:a16="http://schemas.microsoft.com/office/drawing/2014/main" id="{00000000-0008-0000-0700-00009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10" name="Check Box 406" hidden="1">
              <a:extLst>
                <a:ext uri="{63B3BB69-23CF-44E3-9099-C40C66FF867C}">
                  <a14:compatExt spid="_x0000_s21910"/>
                </a:ext>
                <a:ext uri="{FF2B5EF4-FFF2-40B4-BE49-F238E27FC236}">
                  <a16:creationId xmlns:a16="http://schemas.microsoft.com/office/drawing/2014/main" id="{00000000-0008-0000-0700-00009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11" name="Check Box 407" hidden="1">
              <a:extLst>
                <a:ext uri="{63B3BB69-23CF-44E3-9099-C40C66FF867C}">
                  <a14:compatExt spid="_x0000_s21911"/>
                </a:ext>
                <a:ext uri="{FF2B5EF4-FFF2-40B4-BE49-F238E27FC236}">
                  <a16:creationId xmlns:a16="http://schemas.microsoft.com/office/drawing/2014/main" id="{00000000-0008-0000-0700-00009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12" name="Check Box 408" hidden="1">
              <a:extLst>
                <a:ext uri="{63B3BB69-23CF-44E3-9099-C40C66FF867C}">
                  <a14:compatExt spid="_x0000_s21912"/>
                </a:ext>
                <a:ext uri="{FF2B5EF4-FFF2-40B4-BE49-F238E27FC236}">
                  <a16:creationId xmlns:a16="http://schemas.microsoft.com/office/drawing/2014/main" id="{00000000-0008-0000-0700-00009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13" name="Check Box 409" hidden="1">
              <a:extLst>
                <a:ext uri="{63B3BB69-23CF-44E3-9099-C40C66FF867C}">
                  <a14:compatExt spid="_x0000_s21913"/>
                </a:ext>
                <a:ext uri="{FF2B5EF4-FFF2-40B4-BE49-F238E27FC236}">
                  <a16:creationId xmlns:a16="http://schemas.microsoft.com/office/drawing/2014/main" id="{00000000-0008-0000-0700-00009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14" name="Check Box 410" hidden="1">
              <a:extLst>
                <a:ext uri="{63B3BB69-23CF-44E3-9099-C40C66FF867C}">
                  <a14:compatExt spid="_x0000_s21914"/>
                </a:ext>
                <a:ext uri="{FF2B5EF4-FFF2-40B4-BE49-F238E27FC236}">
                  <a16:creationId xmlns:a16="http://schemas.microsoft.com/office/drawing/2014/main" id="{00000000-0008-0000-0700-00009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15" name="Check Box 411" hidden="1">
              <a:extLst>
                <a:ext uri="{63B3BB69-23CF-44E3-9099-C40C66FF867C}">
                  <a14:compatExt spid="_x0000_s21915"/>
                </a:ext>
                <a:ext uri="{FF2B5EF4-FFF2-40B4-BE49-F238E27FC236}">
                  <a16:creationId xmlns:a16="http://schemas.microsoft.com/office/drawing/2014/main" id="{00000000-0008-0000-0700-00009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16" name="Check Box 412" hidden="1">
              <a:extLst>
                <a:ext uri="{63B3BB69-23CF-44E3-9099-C40C66FF867C}">
                  <a14:compatExt spid="_x0000_s21916"/>
                </a:ext>
                <a:ext uri="{FF2B5EF4-FFF2-40B4-BE49-F238E27FC236}">
                  <a16:creationId xmlns:a16="http://schemas.microsoft.com/office/drawing/2014/main" id="{00000000-0008-0000-0700-00009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17" name="Check Box 413" hidden="1">
              <a:extLst>
                <a:ext uri="{63B3BB69-23CF-44E3-9099-C40C66FF867C}">
                  <a14:compatExt spid="_x0000_s21917"/>
                </a:ext>
                <a:ext uri="{FF2B5EF4-FFF2-40B4-BE49-F238E27FC236}">
                  <a16:creationId xmlns:a16="http://schemas.microsoft.com/office/drawing/2014/main" id="{00000000-0008-0000-0700-00009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18" name="Check Box 414" hidden="1">
              <a:extLst>
                <a:ext uri="{63B3BB69-23CF-44E3-9099-C40C66FF867C}">
                  <a14:compatExt spid="_x0000_s21918"/>
                </a:ext>
                <a:ext uri="{FF2B5EF4-FFF2-40B4-BE49-F238E27FC236}">
                  <a16:creationId xmlns:a16="http://schemas.microsoft.com/office/drawing/2014/main" id="{00000000-0008-0000-0700-00009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19" name="Check Box 415" hidden="1">
              <a:extLst>
                <a:ext uri="{63B3BB69-23CF-44E3-9099-C40C66FF867C}">
                  <a14:compatExt spid="_x0000_s21919"/>
                </a:ext>
                <a:ext uri="{FF2B5EF4-FFF2-40B4-BE49-F238E27FC236}">
                  <a16:creationId xmlns:a16="http://schemas.microsoft.com/office/drawing/2014/main" id="{00000000-0008-0000-0700-00009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20" name="Check Box 416" hidden="1">
              <a:extLst>
                <a:ext uri="{63B3BB69-23CF-44E3-9099-C40C66FF867C}">
                  <a14:compatExt spid="_x0000_s21920"/>
                </a:ext>
                <a:ext uri="{FF2B5EF4-FFF2-40B4-BE49-F238E27FC236}">
                  <a16:creationId xmlns:a16="http://schemas.microsoft.com/office/drawing/2014/main" id="{00000000-0008-0000-0700-0000A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21" name="Check Box 417" hidden="1">
              <a:extLst>
                <a:ext uri="{63B3BB69-23CF-44E3-9099-C40C66FF867C}">
                  <a14:compatExt spid="_x0000_s21921"/>
                </a:ext>
                <a:ext uri="{FF2B5EF4-FFF2-40B4-BE49-F238E27FC236}">
                  <a16:creationId xmlns:a16="http://schemas.microsoft.com/office/drawing/2014/main" id="{00000000-0008-0000-0700-0000A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22" name="Check Box 418" hidden="1">
              <a:extLst>
                <a:ext uri="{63B3BB69-23CF-44E3-9099-C40C66FF867C}">
                  <a14:compatExt spid="_x0000_s21922"/>
                </a:ext>
                <a:ext uri="{FF2B5EF4-FFF2-40B4-BE49-F238E27FC236}">
                  <a16:creationId xmlns:a16="http://schemas.microsoft.com/office/drawing/2014/main" id="{00000000-0008-0000-0700-0000A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23" name="Check Box 419" hidden="1">
              <a:extLst>
                <a:ext uri="{63B3BB69-23CF-44E3-9099-C40C66FF867C}">
                  <a14:compatExt spid="_x0000_s21923"/>
                </a:ext>
                <a:ext uri="{FF2B5EF4-FFF2-40B4-BE49-F238E27FC236}">
                  <a16:creationId xmlns:a16="http://schemas.microsoft.com/office/drawing/2014/main" id="{00000000-0008-0000-0700-0000A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24" name="Check Box 420" hidden="1">
              <a:extLst>
                <a:ext uri="{63B3BB69-23CF-44E3-9099-C40C66FF867C}">
                  <a14:compatExt spid="_x0000_s21924"/>
                </a:ext>
                <a:ext uri="{FF2B5EF4-FFF2-40B4-BE49-F238E27FC236}">
                  <a16:creationId xmlns:a16="http://schemas.microsoft.com/office/drawing/2014/main" id="{00000000-0008-0000-0700-0000A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25" name="Check Box 421" hidden="1">
              <a:extLst>
                <a:ext uri="{63B3BB69-23CF-44E3-9099-C40C66FF867C}">
                  <a14:compatExt spid="_x0000_s21925"/>
                </a:ext>
                <a:ext uri="{FF2B5EF4-FFF2-40B4-BE49-F238E27FC236}">
                  <a16:creationId xmlns:a16="http://schemas.microsoft.com/office/drawing/2014/main" id="{00000000-0008-0000-0700-0000A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26" name="Check Box 422" hidden="1">
              <a:extLst>
                <a:ext uri="{63B3BB69-23CF-44E3-9099-C40C66FF867C}">
                  <a14:compatExt spid="_x0000_s21926"/>
                </a:ext>
                <a:ext uri="{FF2B5EF4-FFF2-40B4-BE49-F238E27FC236}">
                  <a16:creationId xmlns:a16="http://schemas.microsoft.com/office/drawing/2014/main" id="{00000000-0008-0000-0700-0000A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27" name="Check Box 423" hidden="1">
              <a:extLst>
                <a:ext uri="{63B3BB69-23CF-44E3-9099-C40C66FF867C}">
                  <a14:compatExt spid="_x0000_s21927"/>
                </a:ext>
                <a:ext uri="{FF2B5EF4-FFF2-40B4-BE49-F238E27FC236}">
                  <a16:creationId xmlns:a16="http://schemas.microsoft.com/office/drawing/2014/main" id="{00000000-0008-0000-0700-0000A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28" name="Check Box 424" hidden="1">
              <a:extLst>
                <a:ext uri="{63B3BB69-23CF-44E3-9099-C40C66FF867C}">
                  <a14:compatExt spid="_x0000_s21928"/>
                </a:ext>
                <a:ext uri="{FF2B5EF4-FFF2-40B4-BE49-F238E27FC236}">
                  <a16:creationId xmlns:a16="http://schemas.microsoft.com/office/drawing/2014/main" id="{00000000-0008-0000-0700-0000A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29" name="Check Box 425" hidden="1">
              <a:extLst>
                <a:ext uri="{63B3BB69-23CF-44E3-9099-C40C66FF867C}">
                  <a14:compatExt spid="_x0000_s21929"/>
                </a:ext>
                <a:ext uri="{FF2B5EF4-FFF2-40B4-BE49-F238E27FC236}">
                  <a16:creationId xmlns:a16="http://schemas.microsoft.com/office/drawing/2014/main" id="{00000000-0008-0000-0700-0000A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30" name="Check Box 426" hidden="1">
              <a:extLst>
                <a:ext uri="{63B3BB69-23CF-44E3-9099-C40C66FF867C}">
                  <a14:compatExt spid="_x0000_s21930"/>
                </a:ext>
                <a:ext uri="{FF2B5EF4-FFF2-40B4-BE49-F238E27FC236}">
                  <a16:creationId xmlns:a16="http://schemas.microsoft.com/office/drawing/2014/main" id="{00000000-0008-0000-0700-0000A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31" name="Check Box 427" hidden="1">
              <a:extLst>
                <a:ext uri="{63B3BB69-23CF-44E3-9099-C40C66FF867C}">
                  <a14:compatExt spid="_x0000_s21931"/>
                </a:ext>
                <a:ext uri="{FF2B5EF4-FFF2-40B4-BE49-F238E27FC236}">
                  <a16:creationId xmlns:a16="http://schemas.microsoft.com/office/drawing/2014/main" id="{00000000-0008-0000-0700-0000A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32" name="Check Box 428" hidden="1">
              <a:extLst>
                <a:ext uri="{63B3BB69-23CF-44E3-9099-C40C66FF867C}">
                  <a14:compatExt spid="_x0000_s21932"/>
                </a:ext>
                <a:ext uri="{FF2B5EF4-FFF2-40B4-BE49-F238E27FC236}">
                  <a16:creationId xmlns:a16="http://schemas.microsoft.com/office/drawing/2014/main" id="{00000000-0008-0000-0700-0000A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33" name="Check Box 429" hidden="1">
              <a:extLst>
                <a:ext uri="{63B3BB69-23CF-44E3-9099-C40C66FF867C}">
                  <a14:compatExt spid="_x0000_s21933"/>
                </a:ext>
                <a:ext uri="{FF2B5EF4-FFF2-40B4-BE49-F238E27FC236}">
                  <a16:creationId xmlns:a16="http://schemas.microsoft.com/office/drawing/2014/main" id="{00000000-0008-0000-0700-0000A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34" name="Check Box 430" hidden="1">
              <a:extLst>
                <a:ext uri="{63B3BB69-23CF-44E3-9099-C40C66FF867C}">
                  <a14:compatExt spid="_x0000_s21934"/>
                </a:ext>
                <a:ext uri="{FF2B5EF4-FFF2-40B4-BE49-F238E27FC236}">
                  <a16:creationId xmlns:a16="http://schemas.microsoft.com/office/drawing/2014/main" id="{00000000-0008-0000-0700-0000A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35" name="Check Box 431" hidden="1">
              <a:extLst>
                <a:ext uri="{63B3BB69-23CF-44E3-9099-C40C66FF867C}">
                  <a14:compatExt spid="_x0000_s21935"/>
                </a:ext>
                <a:ext uri="{FF2B5EF4-FFF2-40B4-BE49-F238E27FC236}">
                  <a16:creationId xmlns:a16="http://schemas.microsoft.com/office/drawing/2014/main" id="{00000000-0008-0000-0700-0000A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36" name="Check Box 432" hidden="1">
              <a:extLst>
                <a:ext uri="{63B3BB69-23CF-44E3-9099-C40C66FF867C}">
                  <a14:compatExt spid="_x0000_s21936"/>
                </a:ext>
                <a:ext uri="{FF2B5EF4-FFF2-40B4-BE49-F238E27FC236}">
                  <a16:creationId xmlns:a16="http://schemas.microsoft.com/office/drawing/2014/main" id="{00000000-0008-0000-0700-0000B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37" name="Check Box 433" hidden="1">
              <a:extLst>
                <a:ext uri="{63B3BB69-23CF-44E3-9099-C40C66FF867C}">
                  <a14:compatExt spid="_x0000_s21937"/>
                </a:ext>
                <a:ext uri="{FF2B5EF4-FFF2-40B4-BE49-F238E27FC236}">
                  <a16:creationId xmlns:a16="http://schemas.microsoft.com/office/drawing/2014/main" id="{00000000-0008-0000-0700-0000B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38" name="Check Box 434" hidden="1">
              <a:extLst>
                <a:ext uri="{63B3BB69-23CF-44E3-9099-C40C66FF867C}">
                  <a14:compatExt spid="_x0000_s21938"/>
                </a:ext>
                <a:ext uri="{FF2B5EF4-FFF2-40B4-BE49-F238E27FC236}">
                  <a16:creationId xmlns:a16="http://schemas.microsoft.com/office/drawing/2014/main" id="{00000000-0008-0000-0700-0000B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39" name="Check Box 435" hidden="1">
              <a:extLst>
                <a:ext uri="{63B3BB69-23CF-44E3-9099-C40C66FF867C}">
                  <a14:compatExt spid="_x0000_s21939"/>
                </a:ext>
                <a:ext uri="{FF2B5EF4-FFF2-40B4-BE49-F238E27FC236}">
                  <a16:creationId xmlns:a16="http://schemas.microsoft.com/office/drawing/2014/main" id="{00000000-0008-0000-0700-0000B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40" name="Check Box 436" hidden="1">
              <a:extLst>
                <a:ext uri="{63B3BB69-23CF-44E3-9099-C40C66FF867C}">
                  <a14:compatExt spid="_x0000_s21940"/>
                </a:ext>
                <a:ext uri="{FF2B5EF4-FFF2-40B4-BE49-F238E27FC236}">
                  <a16:creationId xmlns:a16="http://schemas.microsoft.com/office/drawing/2014/main" id="{00000000-0008-0000-0700-0000B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41" name="Check Box 437" hidden="1">
              <a:extLst>
                <a:ext uri="{63B3BB69-23CF-44E3-9099-C40C66FF867C}">
                  <a14:compatExt spid="_x0000_s21941"/>
                </a:ext>
                <a:ext uri="{FF2B5EF4-FFF2-40B4-BE49-F238E27FC236}">
                  <a16:creationId xmlns:a16="http://schemas.microsoft.com/office/drawing/2014/main" id="{00000000-0008-0000-0700-0000B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42" name="Check Box 438" hidden="1">
              <a:extLst>
                <a:ext uri="{63B3BB69-23CF-44E3-9099-C40C66FF867C}">
                  <a14:compatExt spid="_x0000_s21942"/>
                </a:ext>
                <a:ext uri="{FF2B5EF4-FFF2-40B4-BE49-F238E27FC236}">
                  <a16:creationId xmlns:a16="http://schemas.microsoft.com/office/drawing/2014/main" id="{00000000-0008-0000-0700-0000B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43" name="Check Box 439" hidden="1">
              <a:extLst>
                <a:ext uri="{63B3BB69-23CF-44E3-9099-C40C66FF867C}">
                  <a14:compatExt spid="_x0000_s21943"/>
                </a:ext>
                <a:ext uri="{FF2B5EF4-FFF2-40B4-BE49-F238E27FC236}">
                  <a16:creationId xmlns:a16="http://schemas.microsoft.com/office/drawing/2014/main" id="{00000000-0008-0000-0700-0000B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44" name="Check Box 440" hidden="1">
              <a:extLst>
                <a:ext uri="{63B3BB69-23CF-44E3-9099-C40C66FF867C}">
                  <a14:compatExt spid="_x0000_s21944"/>
                </a:ext>
                <a:ext uri="{FF2B5EF4-FFF2-40B4-BE49-F238E27FC236}">
                  <a16:creationId xmlns:a16="http://schemas.microsoft.com/office/drawing/2014/main" id="{00000000-0008-0000-0700-0000B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45" name="Check Box 441" hidden="1">
              <a:extLst>
                <a:ext uri="{63B3BB69-23CF-44E3-9099-C40C66FF867C}">
                  <a14:compatExt spid="_x0000_s21945"/>
                </a:ext>
                <a:ext uri="{FF2B5EF4-FFF2-40B4-BE49-F238E27FC236}">
                  <a16:creationId xmlns:a16="http://schemas.microsoft.com/office/drawing/2014/main" id="{00000000-0008-0000-0700-0000B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62</xdr:row>
          <xdr:rowOff>28575</xdr:rowOff>
        </xdr:from>
        <xdr:to>
          <xdr:col>3</xdr:col>
          <xdr:colOff>819150</xdr:colOff>
          <xdr:row>63</xdr:row>
          <xdr:rowOff>123825</xdr:rowOff>
        </xdr:to>
        <xdr:sp macro="" textlink="">
          <xdr:nvSpPr>
            <xdr:cNvPr id="21946" name="Check Box 442" hidden="1">
              <a:extLst>
                <a:ext uri="{63B3BB69-23CF-44E3-9099-C40C66FF867C}">
                  <a14:compatExt spid="_x0000_s21946"/>
                </a:ext>
                <a:ext uri="{FF2B5EF4-FFF2-40B4-BE49-F238E27FC236}">
                  <a16:creationId xmlns:a16="http://schemas.microsoft.com/office/drawing/2014/main" id="{00000000-0008-0000-0700-0000B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62</xdr:row>
          <xdr:rowOff>28575</xdr:rowOff>
        </xdr:from>
        <xdr:to>
          <xdr:col>4</xdr:col>
          <xdr:colOff>638175</xdr:colOff>
          <xdr:row>63</xdr:row>
          <xdr:rowOff>123825</xdr:rowOff>
        </xdr:to>
        <xdr:sp macro="" textlink="">
          <xdr:nvSpPr>
            <xdr:cNvPr id="21947" name="Check Box 443" hidden="1">
              <a:extLst>
                <a:ext uri="{63B3BB69-23CF-44E3-9099-C40C66FF867C}">
                  <a14:compatExt spid="_x0000_s21947"/>
                </a:ext>
                <a:ext uri="{FF2B5EF4-FFF2-40B4-BE49-F238E27FC236}">
                  <a16:creationId xmlns:a16="http://schemas.microsoft.com/office/drawing/2014/main" id="{00000000-0008-0000-0700-0000B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62</xdr:row>
          <xdr:rowOff>38100</xdr:rowOff>
        </xdr:from>
        <xdr:to>
          <xdr:col>3</xdr:col>
          <xdr:colOff>114300</xdr:colOff>
          <xdr:row>63</xdr:row>
          <xdr:rowOff>133350</xdr:rowOff>
        </xdr:to>
        <xdr:sp macro="" textlink="">
          <xdr:nvSpPr>
            <xdr:cNvPr id="21948" name="Check Box 444" hidden="1">
              <a:extLst>
                <a:ext uri="{63B3BB69-23CF-44E3-9099-C40C66FF867C}">
                  <a14:compatExt spid="_x0000_s21948"/>
                </a:ext>
                <a:ext uri="{FF2B5EF4-FFF2-40B4-BE49-F238E27FC236}">
                  <a16:creationId xmlns:a16="http://schemas.microsoft.com/office/drawing/2014/main" id="{00000000-0008-0000-0700-0000B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63</xdr:row>
          <xdr:rowOff>9525</xdr:rowOff>
        </xdr:from>
        <xdr:to>
          <xdr:col>3</xdr:col>
          <xdr:colOff>104775</xdr:colOff>
          <xdr:row>64</xdr:row>
          <xdr:rowOff>104775</xdr:rowOff>
        </xdr:to>
        <xdr:sp macro="" textlink="">
          <xdr:nvSpPr>
            <xdr:cNvPr id="21949" name="Check Box 445" hidden="1">
              <a:extLst>
                <a:ext uri="{63B3BB69-23CF-44E3-9099-C40C66FF867C}">
                  <a14:compatExt spid="_x0000_s21949"/>
                </a:ext>
                <a:ext uri="{FF2B5EF4-FFF2-40B4-BE49-F238E27FC236}">
                  <a16:creationId xmlns:a16="http://schemas.microsoft.com/office/drawing/2014/main" id="{00000000-0008-0000-0700-0000B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50" name="Check Box 446" hidden="1">
              <a:extLst>
                <a:ext uri="{63B3BB69-23CF-44E3-9099-C40C66FF867C}">
                  <a14:compatExt spid="_x0000_s21950"/>
                </a:ext>
                <a:ext uri="{FF2B5EF4-FFF2-40B4-BE49-F238E27FC236}">
                  <a16:creationId xmlns:a16="http://schemas.microsoft.com/office/drawing/2014/main" id="{00000000-0008-0000-0700-0000B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51" name="Check Box 447" hidden="1">
              <a:extLst>
                <a:ext uri="{63B3BB69-23CF-44E3-9099-C40C66FF867C}">
                  <a14:compatExt spid="_x0000_s21951"/>
                </a:ext>
                <a:ext uri="{FF2B5EF4-FFF2-40B4-BE49-F238E27FC236}">
                  <a16:creationId xmlns:a16="http://schemas.microsoft.com/office/drawing/2014/main" id="{00000000-0008-0000-0700-0000B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52" name="Check Box 448" hidden="1">
              <a:extLst>
                <a:ext uri="{63B3BB69-23CF-44E3-9099-C40C66FF867C}">
                  <a14:compatExt spid="_x0000_s21952"/>
                </a:ext>
                <a:ext uri="{FF2B5EF4-FFF2-40B4-BE49-F238E27FC236}">
                  <a16:creationId xmlns:a16="http://schemas.microsoft.com/office/drawing/2014/main" id="{00000000-0008-0000-0700-0000C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53" name="Check Box 449" hidden="1">
              <a:extLst>
                <a:ext uri="{63B3BB69-23CF-44E3-9099-C40C66FF867C}">
                  <a14:compatExt spid="_x0000_s21953"/>
                </a:ext>
                <a:ext uri="{FF2B5EF4-FFF2-40B4-BE49-F238E27FC236}">
                  <a16:creationId xmlns:a16="http://schemas.microsoft.com/office/drawing/2014/main" id="{00000000-0008-0000-0700-0000C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54" name="Check Box 450" hidden="1">
              <a:extLst>
                <a:ext uri="{63B3BB69-23CF-44E3-9099-C40C66FF867C}">
                  <a14:compatExt spid="_x0000_s21954"/>
                </a:ext>
                <a:ext uri="{FF2B5EF4-FFF2-40B4-BE49-F238E27FC236}">
                  <a16:creationId xmlns:a16="http://schemas.microsoft.com/office/drawing/2014/main" id="{00000000-0008-0000-0700-0000C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55" name="Check Box 451" hidden="1">
              <a:extLst>
                <a:ext uri="{63B3BB69-23CF-44E3-9099-C40C66FF867C}">
                  <a14:compatExt spid="_x0000_s21955"/>
                </a:ext>
                <a:ext uri="{FF2B5EF4-FFF2-40B4-BE49-F238E27FC236}">
                  <a16:creationId xmlns:a16="http://schemas.microsoft.com/office/drawing/2014/main" id="{00000000-0008-0000-0700-0000C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56" name="Check Box 452" hidden="1">
              <a:extLst>
                <a:ext uri="{63B3BB69-23CF-44E3-9099-C40C66FF867C}">
                  <a14:compatExt spid="_x0000_s21956"/>
                </a:ext>
                <a:ext uri="{FF2B5EF4-FFF2-40B4-BE49-F238E27FC236}">
                  <a16:creationId xmlns:a16="http://schemas.microsoft.com/office/drawing/2014/main" id="{00000000-0008-0000-0700-0000C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57" name="Check Box 453" hidden="1">
              <a:extLst>
                <a:ext uri="{63B3BB69-23CF-44E3-9099-C40C66FF867C}">
                  <a14:compatExt spid="_x0000_s21957"/>
                </a:ext>
                <a:ext uri="{FF2B5EF4-FFF2-40B4-BE49-F238E27FC236}">
                  <a16:creationId xmlns:a16="http://schemas.microsoft.com/office/drawing/2014/main" id="{00000000-0008-0000-0700-0000C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58" name="Check Box 454" hidden="1">
              <a:extLst>
                <a:ext uri="{63B3BB69-23CF-44E3-9099-C40C66FF867C}">
                  <a14:compatExt spid="_x0000_s21958"/>
                </a:ext>
                <a:ext uri="{FF2B5EF4-FFF2-40B4-BE49-F238E27FC236}">
                  <a16:creationId xmlns:a16="http://schemas.microsoft.com/office/drawing/2014/main" id="{00000000-0008-0000-0700-0000C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59" name="Check Box 455" hidden="1">
              <a:extLst>
                <a:ext uri="{63B3BB69-23CF-44E3-9099-C40C66FF867C}">
                  <a14:compatExt spid="_x0000_s21959"/>
                </a:ext>
                <a:ext uri="{FF2B5EF4-FFF2-40B4-BE49-F238E27FC236}">
                  <a16:creationId xmlns:a16="http://schemas.microsoft.com/office/drawing/2014/main" id="{00000000-0008-0000-0700-0000C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60" name="Check Box 456" hidden="1">
              <a:extLst>
                <a:ext uri="{63B3BB69-23CF-44E3-9099-C40C66FF867C}">
                  <a14:compatExt spid="_x0000_s21960"/>
                </a:ext>
                <a:ext uri="{FF2B5EF4-FFF2-40B4-BE49-F238E27FC236}">
                  <a16:creationId xmlns:a16="http://schemas.microsoft.com/office/drawing/2014/main" id="{00000000-0008-0000-0700-0000C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61" name="Check Box 457" hidden="1">
              <a:extLst>
                <a:ext uri="{63B3BB69-23CF-44E3-9099-C40C66FF867C}">
                  <a14:compatExt spid="_x0000_s21961"/>
                </a:ext>
                <a:ext uri="{FF2B5EF4-FFF2-40B4-BE49-F238E27FC236}">
                  <a16:creationId xmlns:a16="http://schemas.microsoft.com/office/drawing/2014/main" id="{00000000-0008-0000-0700-0000C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62" name="Check Box 458" hidden="1">
              <a:extLst>
                <a:ext uri="{63B3BB69-23CF-44E3-9099-C40C66FF867C}">
                  <a14:compatExt spid="_x0000_s21962"/>
                </a:ext>
                <a:ext uri="{FF2B5EF4-FFF2-40B4-BE49-F238E27FC236}">
                  <a16:creationId xmlns:a16="http://schemas.microsoft.com/office/drawing/2014/main" id="{00000000-0008-0000-0700-0000C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63" name="Check Box 459" hidden="1">
              <a:extLst>
                <a:ext uri="{63B3BB69-23CF-44E3-9099-C40C66FF867C}">
                  <a14:compatExt spid="_x0000_s21963"/>
                </a:ext>
                <a:ext uri="{FF2B5EF4-FFF2-40B4-BE49-F238E27FC236}">
                  <a16:creationId xmlns:a16="http://schemas.microsoft.com/office/drawing/2014/main" id="{00000000-0008-0000-0700-0000C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64" name="Check Box 460" hidden="1">
              <a:extLst>
                <a:ext uri="{63B3BB69-23CF-44E3-9099-C40C66FF867C}">
                  <a14:compatExt spid="_x0000_s21964"/>
                </a:ext>
                <a:ext uri="{FF2B5EF4-FFF2-40B4-BE49-F238E27FC236}">
                  <a16:creationId xmlns:a16="http://schemas.microsoft.com/office/drawing/2014/main" id="{00000000-0008-0000-0700-0000C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65" name="Check Box 461" hidden="1">
              <a:extLst>
                <a:ext uri="{63B3BB69-23CF-44E3-9099-C40C66FF867C}">
                  <a14:compatExt spid="_x0000_s21965"/>
                </a:ext>
                <a:ext uri="{FF2B5EF4-FFF2-40B4-BE49-F238E27FC236}">
                  <a16:creationId xmlns:a16="http://schemas.microsoft.com/office/drawing/2014/main" id="{00000000-0008-0000-0700-0000C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66" name="Check Box 462" hidden="1">
              <a:extLst>
                <a:ext uri="{63B3BB69-23CF-44E3-9099-C40C66FF867C}">
                  <a14:compatExt spid="_x0000_s21966"/>
                </a:ext>
                <a:ext uri="{FF2B5EF4-FFF2-40B4-BE49-F238E27FC236}">
                  <a16:creationId xmlns:a16="http://schemas.microsoft.com/office/drawing/2014/main" id="{00000000-0008-0000-0700-0000C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67" name="Check Box 463" hidden="1">
              <a:extLst>
                <a:ext uri="{63B3BB69-23CF-44E3-9099-C40C66FF867C}">
                  <a14:compatExt spid="_x0000_s21967"/>
                </a:ext>
                <a:ext uri="{FF2B5EF4-FFF2-40B4-BE49-F238E27FC236}">
                  <a16:creationId xmlns:a16="http://schemas.microsoft.com/office/drawing/2014/main" id="{00000000-0008-0000-0700-0000C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68" name="Check Box 464" hidden="1">
              <a:extLst>
                <a:ext uri="{63B3BB69-23CF-44E3-9099-C40C66FF867C}">
                  <a14:compatExt spid="_x0000_s21968"/>
                </a:ext>
                <a:ext uri="{FF2B5EF4-FFF2-40B4-BE49-F238E27FC236}">
                  <a16:creationId xmlns:a16="http://schemas.microsoft.com/office/drawing/2014/main" id="{00000000-0008-0000-0700-0000D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69" name="Check Box 465" hidden="1">
              <a:extLst>
                <a:ext uri="{63B3BB69-23CF-44E3-9099-C40C66FF867C}">
                  <a14:compatExt spid="_x0000_s21969"/>
                </a:ext>
                <a:ext uri="{FF2B5EF4-FFF2-40B4-BE49-F238E27FC236}">
                  <a16:creationId xmlns:a16="http://schemas.microsoft.com/office/drawing/2014/main" id="{00000000-0008-0000-0700-0000D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70" name="Check Box 466" hidden="1">
              <a:extLst>
                <a:ext uri="{63B3BB69-23CF-44E3-9099-C40C66FF867C}">
                  <a14:compatExt spid="_x0000_s21970"/>
                </a:ext>
                <a:ext uri="{FF2B5EF4-FFF2-40B4-BE49-F238E27FC236}">
                  <a16:creationId xmlns:a16="http://schemas.microsoft.com/office/drawing/2014/main" id="{00000000-0008-0000-0700-0000D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71" name="Check Box 467" hidden="1">
              <a:extLst>
                <a:ext uri="{63B3BB69-23CF-44E3-9099-C40C66FF867C}">
                  <a14:compatExt spid="_x0000_s21971"/>
                </a:ext>
                <a:ext uri="{FF2B5EF4-FFF2-40B4-BE49-F238E27FC236}">
                  <a16:creationId xmlns:a16="http://schemas.microsoft.com/office/drawing/2014/main" id="{00000000-0008-0000-0700-0000D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72" name="Check Box 468" hidden="1">
              <a:extLst>
                <a:ext uri="{63B3BB69-23CF-44E3-9099-C40C66FF867C}">
                  <a14:compatExt spid="_x0000_s21972"/>
                </a:ext>
                <a:ext uri="{FF2B5EF4-FFF2-40B4-BE49-F238E27FC236}">
                  <a16:creationId xmlns:a16="http://schemas.microsoft.com/office/drawing/2014/main" id="{00000000-0008-0000-0700-0000D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73" name="Check Box 469" hidden="1">
              <a:extLst>
                <a:ext uri="{63B3BB69-23CF-44E3-9099-C40C66FF867C}">
                  <a14:compatExt spid="_x0000_s21973"/>
                </a:ext>
                <a:ext uri="{FF2B5EF4-FFF2-40B4-BE49-F238E27FC236}">
                  <a16:creationId xmlns:a16="http://schemas.microsoft.com/office/drawing/2014/main" id="{00000000-0008-0000-0700-0000D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74" name="Check Box 470" hidden="1">
              <a:extLst>
                <a:ext uri="{63B3BB69-23CF-44E3-9099-C40C66FF867C}">
                  <a14:compatExt spid="_x0000_s21974"/>
                </a:ext>
                <a:ext uri="{FF2B5EF4-FFF2-40B4-BE49-F238E27FC236}">
                  <a16:creationId xmlns:a16="http://schemas.microsoft.com/office/drawing/2014/main" id="{00000000-0008-0000-0700-0000D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75" name="Check Box 471" hidden="1">
              <a:extLst>
                <a:ext uri="{63B3BB69-23CF-44E3-9099-C40C66FF867C}">
                  <a14:compatExt spid="_x0000_s21975"/>
                </a:ext>
                <a:ext uri="{FF2B5EF4-FFF2-40B4-BE49-F238E27FC236}">
                  <a16:creationId xmlns:a16="http://schemas.microsoft.com/office/drawing/2014/main" id="{00000000-0008-0000-0700-0000D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76" name="Check Box 472" hidden="1">
              <a:extLst>
                <a:ext uri="{63B3BB69-23CF-44E3-9099-C40C66FF867C}">
                  <a14:compatExt spid="_x0000_s21976"/>
                </a:ext>
                <a:ext uri="{FF2B5EF4-FFF2-40B4-BE49-F238E27FC236}">
                  <a16:creationId xmlns:a16="http://schemas.microsoft.com/office/drawing/2014/main" id="{00000000-0008-0000-0700-0000D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77" name="Check Box 473" hidden="1">
              <a:extLst>
                <a:ext uri="{63B3BB69-23CF-44E3-9099-C40C66FF867C}">
                  <a14:compatExt spid="_x0000_s21977"/>
                </a:ext>
                <a:ext uri="{FF2B5EF4-FFF2-40B4-BE49-F238E27FC236}">
                  <a16:creationId xmlns:a16="http://schemas.microsoft.com/office/drawing/2014/main" id="{00000000-0008-0000-0700-0000D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78" name="Check Box 474" hidden="1">
              <a:extLst>
                <a:ext uri="{63B3BB69-23CF-44E3-9099-C40C66FF867C}">
                  <a14:compatExt spid="_x0000_s21978"/>
                </a:ext>
                <a:ext uri="{FF2B5EF4-FFF2-40B4-BE49-F238E27FC236}">
                  <a16:creationId xmlns:a16="http://schemas.microsoft.com/office/drawing/2014/main" id="{00000000-0008-0000-0700-0000D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79" name="Check Box 475" hidden="1">
              <a:extLst>
                <a:ext uri="{63B3BB69-23CF-44E3-9099-C40C66FF867C}">
                  <a14:compatExt spid="_x0000_s21979"/>
                </a:ext>
                <a:ext uri="{FF2B5EF4-FFF2-40B4-BE49-F238E27FC236}">
                  <a16:creationId xmlns:a16="http://schemas.microsoft.com/office/drawing/2014/main" id="{00000000-0008-0000-0700-0000D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80" name="Check Box 476" hidden="1">
              <a:extLst>
                <a:ext uri="{63B3BB69-23CF-44E3-9099-C40C66FF867C}">
                  <a14:compatExt spid="_x0000_s21980"/>
                </a:ext>
                <a:ext uri="{FF2B5EF4-FFF2-40B4-BE49-F238E27FC236}">
                  <a16:creationId xmlns:a16="http://schemas.microsoft.com/office/drawing/2014/main" id="{00000000-0008-0000-0700-0000D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81" name="Check Box 477" hidden="1">
              <a:extLst>
                <a:ext uri="{63B3BB69-23CF-44E3-9099-C40C66FF867C}">
                  <a14:compatExt spid="_x0000_s21981"/>
                </a:ext>
                <a:ext uri="{FF2B5EF4-FFF2-40B4-BE49-F238E27FC236}">
                  <a16:creationId xmlns:a16="http://schemas.microsoft.com/office/drawing/2014/main" id="{00000000-0008-0000-0700-0000D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82" name="Check Box 478" hidden="1">
              <a:extLst>
                <a:ext uri="{63B3BB69-23CF-44E3-9099-C40C66FF867C}">
                  <a14:compatExt spid="_x0000_s21982"/>
                </a:ext>
                <a:ext uri="{FF2B5EF4-FFF2-40B4-BE49-F238E27FC236}">
                  <a16:creationId xmlns:a16="http://schemas.microsoft.com/office/drawing/2014/main" id="{00000000-0008-0000-0700-0000D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83" name="Check Box 479" hidden="1">
              <a:extLst>
                <a:ext uri="{63B3BB69-23CF-44E3-9099-C40C66FF867C}">
                  <a14:compatExt spid="_x0000_s21983"/>
                </a:ext>
                <a:ext uri="{FF2B5EF4-FFF2-40B4-BE49-F238E27FC236}">
                  <a16:creationId xmlns:a16="http://schemas.microsoft.com/office/drawing/2014/main" id="{00000000-0008-0000-0700-0000D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84" name="Check Box 480" hidden="1">
              <a:extLst>
                <a:ext uri="{63B3BB69-23CF-44E3-9099-C40C66FF867C}">
                  <a14:compatExt spid="_x0000_s21984"/>
                </a:ext>
                <a:ext uri="{FF2B5EF4-FFF2-40B4-BE49-F238E27FC236}">
                  <a16:creationId xmlns:a16="http://schemas.microsoft.com/office/drawing/2014/main" id="{00000000-0008-0000-0700-0000E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85" name="Check Box 481" hidden="1">
              <a:extLst>
                <a:ext uri="{63B3BB69-23CF-44E3-9099-C40C66FF867C}">
                  <a14:compatExt spid="_x0000_s21985"/>
                </a:ext>
                <a:ext uri="{FF2B5EF4-FFF2-40B4-BE49-F238E27FC236}">
                  <a16:creationId xmlns:a16="http://schemas.microsoft.com/office/drawing/2014/main" id="{00000000-0008-0000-0700-0000E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86" name="Check Box 482" hidden="1">
              <a:extLst>
                <a:ext uri="{63B3BB69-23CF-44E3-9099-C40C66FF867C}">
                  <a14:compatExt spid="_x0000_s21986"/>
                </a:ext>
                <a:ext uri="{FF2B5EF4-FFF2-40B4-BE49-F238E27FC236}">
                  <a16:creationId xmlns:a16="http://schemas.microsoft.com/office/drawing/2014/main" id="{00000000-0008-0000-0700-0000E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87" name="Check Box 483" hidden="1">
              <a:extLst>
                <a:ext uri="{63B3BB69-23CF-44E3-9099-C40C66FF867C}">
                  <a14:compatExt spid="_x0000_s21987"/>
                </a:ext>
                <a:ext uri="{FF2B5EF4-FFF2-40B4-BE49-F238E27FC236}">
                  <a16:creationId xmlns:a16="http://schemas.microsoft.com/office/drawing/2014/main" id="{00000000-0008-0000-0700-0000E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88" name="Check Box 484" hidden="1">
              <a:extLst>
                <a:ext uri="{63B3BB69-23CF-44E3-9099-C40C66FF867C}">
                  <a14:compatExt spid="_x0000_s21988"/>
                </a:ext>
                <a:ext uri="{FF2B5EF4-FFF2-40B4-BE49-F238E27FC236}">
                  <a16:creationId xmlns:a16="http://schemas.microsoft.com/office/drawing/2014/main" id="{00000000-0008-0000-0700-0000E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89" name="Check Box 485" hidden="1">
              <a:extLst>
                <a:ext uri="{63B3BB69-23CF-44E3-9099-C40C66FF867C}">
                  <a14:compatExt spid="_x0000_s21989"/>
                </a:ext>
                <a:ext uri="{FF2B5EF4-FFF2-40B4-BE49-F238E27FC236}">
                  <a16:creationId xmlns:a16="http://schemas.microsoft.com/office/drawing/2014/main" id="{00000000-0008-0000-0700-0000E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67</xdr:row>
          <xdr:rowOff>28575</xdr:rowOff>
        </xdr:from>
        <xdr:to>
          <xdr:col>3</xdr:col>
          <xdr:colOff>819150</xdr:colOff>
          <xdr:row>68</xdr:row>
          <xdr:rowOff>123825</xdr:rowOff>
        </xdr:to>
        <xdr:sp macro="" textlink="">
          <xdr:nvSpPr>
            <xdr:cNvPr id="21990" name="Check Box 486" hidden="1">
              <a:extLst>
                <a:ext uri="{63B3BB69-23CF-44E3-9099-C40C66FF867C}">
                  <a14:compatExt spid="_x0000_s21990"/>
                </a:ext>
                <a:ext uri="{FF2B5EF4-FFF2-40B4-BE49-F238E27FC236}">
                  <a16:creationId xmlns:a16="http://schemas.microsoft.com/office/drawing/2014/main" id="{00000000-0008-0000-0700-0000E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67</xdr:row>
          <xdr:rowOff>28575</xdr:rowOff>
        </xdr:from>
        <xdr:to>
          <xdr:col>4</xdr:col>
          <xdr:colOff>638175</xdr:colOff>
          <xdr:row>68</xdr:row>
          <xdr:rowOff>123825</xdr:rowOff>
        </xdr:to>
        <xdr:sp macro="" textlink="">
          <xdr:nvSpPr>
            <xdr:cNvPr id="21991" name="Check Box 487" hidden="1">
              <a:extLst>
                <a:ext uri="{63B3BB69-23CF-44E3-9099-C40C66FF867C}">
                  <a14:compatExt spid="_x0000_s21991"/>
                </a:ext>
                <a:ext uri="{FF2B5EF4-FFF2-40B4-BE49-F238E27FC236}">
                  <a16:creationId xmlns:a16="http://schemas.microsoft.com/office/drawing/2014/main" id="{00000000-0008-0000-0700-0000E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67</xdr:row>
          <xdr:rowOff>38100</xdr:rowOff>
        </xdr:from>
        <xdr:to>
          <xdr:col>3</xdr:col>
          <xdr:colOff>114300</xdr:colOff>
          <xdr:row>68</xdr:row>
          <xdr:rowOff>133350</xdr:rowOff>
        </xdr:to>
        <xdr:sp macro="" textlink="">
          <xdr:nvSpPr>
            <xdr:cNvPr id="21992" name="Check Box 488" hidden="1">
              <a:extLst>
                <a:ext uri="{63B3BB69-23CF-44E3-9099-C40C66FF867C}">
                  <a14:compatExt spid="_x0000_s21992"/>
                </a:ext>
                <a:ext uri="{FF2B5EF4-FFF2-40B4-BE49-F238E27FC236}">
                  <a16:creationId xmlns:a16="http://schemas.microsoft.com/office/drawing/2014/main" id="{00000000-0008-0000-0700-0000E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68</xdr:row>
          <xdr:rowOff>9525</xdr:rowOff>
        </xdr:from>
        <xdr:to>
          <xdr:col>3</xdr:col>
          <xdr:colOff>104775</xdr:colOff>
          <xdr:row>69</xdr:row>
          <xdr:rowOff>104775</xdr:rowOff>
        </xdr:to>
        <xdr:sp macro="" textlink="">
          <xdr:nvSpPr>
            <xdr:cNvPr id="21993" name="Check Box 489" hidden="1">
              <a:extLst>
                <a:ext uri="{63B3BB69-23CF-44E3-9099-C40C66FF867C}">
                  <a14:compatExt spid="_x0000_s21993"/>
                </a:ext>
                <a:ext uri="{FF2B5EF4-FFF2-40B4-BE49-F238E27FC236}">
                  <a16:creationId xmlns:a16="http://schemas.microsoft.com/office/drawing/2014/main" id="{00000000-0008-0000-0700-0000E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1994" name="Check Box 490" hidden="1">
              <a:extLst>
                <a:ext uri="{63B3BB69-23CF-44E3-9099-C40C66FF867C}">
                  <a14:compatExt spid="_x0000_s21994"/>
                </a:ext>
                <a:ext uri="{FF2B5EF4-FFF2-40B4-BE49-F238E27FC236}">
                  <a16:creationId xmlns:a16="http://schemas.microsoft.com/office/drawing/2014/main" id="{00000000-0008-0000-0700-0000E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1995" name="Check Box 491" hidden="1">
              <a:extLst>
                <a:ext uri="{63B3BB69-23CF-44E3-9099-C40C66FF867C}">
                  <a14:compatExt spid="_x0000_s21995"/>
                </a:ext>
                <a:ext uri="{FF2B5EF4-FFF2-40B4-BE49-F238E27FC236}">
                  <a16:creationId xmlns:a16="http://schemas.microsoft.com/office/drawing/2014/main" id="{00000000-0008-0000-0700-0000E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1996" name="Check Box 492" hidden="1">
              <a:extLst>
                <a:ext uri="{63B3BB69-23CF-44E3-9099-C40C66FF867C}">
                  <a14:compatExt spid="_x0000_s21996"/>
                </a:ext>
                <a:ext uri="{FF2B5EF4-FFF2-40B4-BE49-F238E27FC236}">
                  <a16:creationId xmlns:a16="http://schemas.microsoft.com/office/drawing/2014/main" id="{00000000-0008-0000-0700-0000E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1997" name="Check Box 493" hidden="1">
              <a:extLst>
                <a:ext uri="{63B3BB69-23CF-44E3-9099-C40C66FF867C}">
                  <a14:compatExt spid="_x0000_s21997"/>
                </a:ext>
                <a:ext uri="{FF2B5EF4-FFF2-40B4-BE49-F238E27FC236}">
                  <a16:creationId xmlns:a16="http://schemas.microsoft.com/office/drawing/2014/main" id="{00000000-0008-0000-0700-0000E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1998" name="Check Box 494" hidden="1">
              <a:extLst>
                <a:ext uri="{63B3BB69-23CF-44E3-9099-C40C66FF867C}">
                  <a14:compatExt spid="_x0000_s21998"/>
                </a:ext>
                <a:ext uri="{FF2B5EF4-FFF2-40B4-BE49-F238E27FC236}">
                  <a16:creationId xmlns:a16="http://schemas.microsoft.com/office/drawing/2014/main" id="{00000000-0008-0000-0700-0000E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1999" name="Check Box 495" hidden="1">
              <a:extLst>
                <a:ext uri="{63B3BB69-23CF-44E3-9099-C40C66FF867C}">
                  <a14:compatExt spid="_x0000_s21999"/>
                </a:ext>
                <a:ext uri="{FF2B5EF4-FFF2-40B4-BE49-F238E27FC236}">
                  <a16:creationId xmlns:a16="http://schemas.microsoft.com/office/drawing/2014/main" id="{00000000-0008-0000-0700-0000E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00" name="Check Box 496" hidden="1">
              <a:extLst>
                <a:ext uri="{63B3BB69-23CF-44E3-9099-C40C66FF867C}">
                  <a14:compatExt spid="_x0000_s22000"/>
                </a:ext>
                <a:ext uri="{FF2B5EF4-FFF2-40B4-BE49-F238E27FC236}">
                  <a16:creationId xmlns:a16="http://schemas.microsoft.com/office/drawing/2014/main" id="{00000000-0008-0000-0700-0000F0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01" name="Check Box 497" hidden="1">
              <a:extLst>
                <a:ext uri="{63B3BB69-23CF-44E3-9099-C40C66FF867C}">
                  <a14:compatExt spid="_x0000_s22001"/>
                </a:ext>
                <a:ext uri="{FF2B5EF4-FFF2-40B4-BE49-F238E27FC236}">
                  <a16:creationId xmlns:a16="http://schemas.microsoft.com/office/drawing/2014/main" id="{00000000-0008-0000-0700-0000F1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02" name="Check Box 498" hidden="1">
              <a:extLst>
                <a:ext uri="{63B3BB69-23CF-44E3-9099-C40C66FF867C}">
                  <a14:compatExt spid="_x0000_s22002"/>
                </a:ext>
                <a:ext uri="{FF2B5EF4-FFF2-40B4-BE49-F238E27FC236}">
                  <a16:creationId xmlns:a16="http://schemas.microsoft.com/office/drawing/2014/main" id="{00000000-0008-0000-0700-0000F2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03" name="Check Box 499" hidden="1">
              <a:extLst>
                <a:ext uri="{63B3BB69-23CF-44E3-9099-C40C66FF867C}">
                  <a14:compatExt spid="_x0000_s22003"/>
                </a:ext>
                <a:ext uri="{FF2B5EF4-FFF2-40B4-BE49-F238E27FC236}">
                  <a16:creationId xmlns:a16="http://schemas.microsoft.com/office/drawing/2014/main" id="{00000000-0008-0000-0700-0000F3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04" name="Check Box 500" hidden="1">
              <a:extLst>
                <a:ext uri="{63B3BB69-23CF-44E3-9099-C40C66FF867C}">
                  <a14:compatExt spid="_x0000_s22004"/>
                </a:ext>
                <a:ext uri="{FF2B5EF4-FFF2-40B4-BE49-F238E27FC236}">
                  <a16:creationId xmlns:a16="http://schemas.microsoft.com/office/drawing/2014/main" id="{00000000-0008-0000-0700-0000F4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05" name="Check Box 501" hidden="1">
              <a:extLst>
                <a:ext uri="{63B3BB69-23CF-44E3-9099-C40C66FF867C}">
                  <a14:compatExt spid="_x0000_s22005"/>
                </a:ext>
                <a:ext uri="{FF2B5EF4-FFF2-40B4-BE49-F238E27FC236}">
                  <a16:creationId xmlns:a16="http://schemas.microsoft.com/office/drawing/2014/main" id="{00000000-0008-0000-0700-0000F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06" name="Check Box 502" hidden="1">
              <a:extLst>
                <a:ext uri="{63B3BB69-23CF-44E3-9099-C40C66FF867C}">
                  <a14:compatExt spid="_x0000_s22006"/>
                </a:ext>
                <a:ext uri="{FF2B5EF4-FFF2-40B4-BE49-F238E27FC236}">
                  <a16:creationId xmlns:a16="http://schemas.microsoft.com/office/drawing/2014/main" id="{00000000-0008-0000-0700-0000F6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07" name="Check Box 503" hidden="1">
              <a:extLst>
                <a:ext uri="{63B3BB69-23CF-44E3-9099-C40C66FF867C}">
                  <a14:compatExt spid="_x0000_s22007"/>
                </a:ext>
                <a:ext uri="{FF2B5EF4-FFF2-40B4-BE49-F238E27FC236}">
                  <a16:creationId xmlns:a16="http://schemas.microsoft.com/office/drawing/2014/main" id="{00000000-0008-0000-0700-0000F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08" name="Check Box 504" hidden="1">
              <a:extLst>
                <a:ext uri="{63B3BB69-23CF-44E3-9099-C40C66FF867C}">
                  <a14:compatExt spid="_x0000_s22008"/>
                </a:ext>
                <a:ext uri="{FF2B5EF4-FFF2-40B4-BE49-F238E27FC236}">
                  <a16:creationId xmlns:a16="http://schemas.microsoft.com/office/drawing/2014/main" id="{00000000-0008-0000-0700-0000F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09" name="Check Box 505" hidden="1">
              <a:extLst>
                <a:ext uri="{63B3BB69-23CF-44E3-9099-C40C66FF867C}">
                  <a14:compatExt spid="_x0000_s22009"/>
                </a:ext>
                <a:ext uri="{FF2B5EF4-FFF2-40B4-BE49-F238E27FC236}">
                  <a16:creationId xmlns:a16="http://schemas.microsoft.com/office/drawing/2014/main" id="{00000000-0008-0000-0700-0000F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10" name="Check Box 506" hidden="1">
              <a:extLst>
                <a:ext uri="{63B3BB69-23CF-44E3-9099-C40C66FF867C}">
                  <a14:compatExt spid="_x0000_s22010"/>
                </a:ext>
                <a:ext uri="{FF2B5EF4-FFF2-40B4-BE49-F238E27FC236}">
                  <a16:creationId xmlns:a16="http://schemas.microsoft.com/office/drawing/2014/main" id="{00000000-0008-0000-0700-0000F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11" name="Check Box 507" hidden="1">
              <a:extLst>
                <a:ext uri="{63B3BB69-23CF-44E3-9099-C40C66FF867C}">
                  <a14:compatExt spid="_x0000_s22011"/>
                </a:ext>
                <a:ext uri="{FF2B5EF4-FFF2-40B4-BE49-F238E27FC236}">
                  <a16:creationId xmlns:a16="http://schemas.microsoft.com/office/drawing/2014/main" id="{00000000-0008-0000-0700-0000FB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12" name="Check Box 508" hidden="1">
              <a:extLst>
                <a:ext uri="{63B3BB69-23CF-44E3-9099-C40C66FF867C}">
                  <a14:compatExt spid="_x0000_s22012"/>
                </a:ext>
                <a:ext uri="{FF2B5EF4-FFF2-40B4-BE49-F238E27FC236}">
                  <a16:creationId xmlns:a16="http://schemas.microsoft.com/office/drawing/2014/main" id="{00000000-0008-0000-0700-0000FC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13" name="Check Box 509" hidden="1">
              <a:extLst>
                <a:ext uri="{63B3BB69-23CF-44E3-9099-C40C66FF867C}">
                  <a14:compatExt spid="_x0000_s22013"/>
                </a:ext>
                <a:ext uri="{FF2B5EF4-FFF2-40B4-BE49-F238E27FC236}">
                  <a16:creationId xmlns:a16="http://schemas.microsoft.com/office/drawing/2014/main" id="{00000000-0008-0000-0700-0000FD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14" name="Check Box 510" hidden="1">
              <a:extLst>
                <a:ext uri="{63B3BB69-23CF-44E3-9099-C40C66FF867C}">
                  <a14:compatExt spid="_x0000_s22014"/>
                </a:ext>
                <a:ext uri="{FF2B5EF4-FFF2-40B4-BE49-F238E27FC236}">
                  <a16:creationId xmlns:a16="http://schemas.microsoft.com/office/drawing/2014/main" id="{00000000-0008-0000-0700-0000FE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15" name="Check Box 511" hidden="1">
              <a:extLst>
                <a:ext uri="{63B3BB69-23CF-44E3-9099-C40C66FF867C}">
                  <a14:compatExt spid="_x0000_s22015"/>
                </a:ext>
                <a:ext uri="{FF2B5EF4-FFF2-40B4-BE49-F238E27FC236}">
                  <a16:creationId xmlns:a16="http://schemas.microsoft.com/office/drawing/2014/main" id="{00000000-0008-0000-0700-0000F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16" name="Check Box 512" hidden="1">
              <a:extLst>
                <a:ext uri="{63B3BB69-23CF-44E3-9099-C40C66FF867C}">
                  <a14:compatExt spid="_x0000_s22016"/>
                </a:ext>
                <a:ext uri="{FF2B5EF4-FFF2-40B4-BE49-F238E27FC236}">
                  <a16:creationId xmlns:a16="http://schemas.microsoft.com/office/drawing/2014/main" id="{00000000-0008-0000-0700-00000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17" name="Check Box 513" hidden="1">
              <a:extLst>
                <a:ext uri="{63B3BB69-23CF-44E3-9099-C40C66FF867C}">
                  <a14:compatExt spid="_x0000_s22017"/>
                </a:ext>
                <a:ext uri="{FF2B5EF4-FFF2-40B4-BE49-F238E27FC236}">
                  <a16:creationId xmlns:a16="http://schemas.microsoft.com/office/drawing/2014/main" id="{00000000-0008-0000-0700-00000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18" name="Check Box 514" hidden="1">
              <a:extLst>
                <a:ext uri="{63B3BB69-23CF-44E3-9099-C40C66FF867C}">
                  <a14:compatExt spid="_x0000_s22018"/>
                </a:ext>
                <a:ext uri="{FF2B5EF4-FFF2-40B4-BE49-F238E27FC236}">
                  <a16:creationId xmlns:a16="http://schemas.microsoft.com/office/drawing/2014/main" id="{00000000-0008-0000-0700-00000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19" name="Check Box 515" hidden="1">
              <a:extLst>
                <a:ext uri="{63B3BB69-23CF-44E3-9099-C40C66FF867C}">
                  <a14:compatExt spid="_x0000_s22019"/>
                </a:ext>
                <a:ext uri="{FF2B5EF4-FFF2-40B4-BE49-F238E27FC236}">
                  <a16:creationId xmlns:a16="http://schemas.microsoft.com/office/drawing/2014/main" id="{00000000-0008-0000-0700-00000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20" name="Check Box 516" hidden="1">
              <a:extLst>
                <a:ext uri="{63B3BB69-23CF-44E3-9099-C40C66FF867C}">
                  <a14:compatExt spid="_x0000_s22020"/>
                </a:ext>
                <a:ext uri="{FF2B5EF4-FFF2-40B4-BE49-F238E27FC236}">
                  <a16:creationId xmlns:a16="http://schemas.microsoft.com/office/drawing/2014/main" id="{00000000-0008-0000-0700-00000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21" name="Check Box 517" hidden="1">
              <a:extLst>
                <a:ext uri="{63B3BB69-23CF-44E3-9099-C40C66FF867C}">
                  <a14:compatExt spid="_x0000_s22021"/>
                </a:ext>
                <a:ext uri="{FF2B5EF4-FFF2-40B4-BE49-F238E27FC236}">
                  <a16:creationId xmlns:a16="http://schemas.microsoft.com/office/drawing/2014/main" id="{00000000-0008-0000-0700-00000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22" name="Check Box 518" hidden="1">
              <a:extLst>
                <a:ext uri="{63B3BB69-23CF-44E3-9099-C40C66FF867C}">
                  <a14:compatExt spid="_x0000_s22022"/>
                </a:ext>
                <a:ext uri="{FF2B5EF4-FFF2-40B4-BE49-F238E27FC236}">
                  <a16:creationId xmlns:a16="http://schemas.microsoft.com/office/drawing/2014/main" id="{00000000-0008-0000-0700-00000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23" name="Check Box 519" hidden="1">
              <a:extLst>
                <a:ext uri="{63B3BB69-23CF-44E3-9099-C40C66FF867C}">
                  <a14:compatExt spid="_x0000_s22023"/>
                </a:ext>
                <a:ext uri="{FF2B5EF4-FFF2-40B4-BE49-F238E27FC236}">
                  <a16:creationId xmlns:a16="http://schemas.microsoft.com/office/drawing/2014/main" id="{00000000-0008-0000-0700-00000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24" name="Check Box 520" hidden="1">
              <a:extLst>
                <a:ext uri="{63B3BB69-23CF-44E3-9099-C40C66FF867C}">
                  <a14:compatExt spid="_x0000_s22024"/>
                </a:ext>
                <a:ext uri="{FF2B5EF4-FFF2-40B4-BE49-F238E27FC236}">
                  <a16:creationId xmlns:a16="http://schemas.microsoft.com/office/drawing/2014/main" id="{00000000-0008-0000-0700-00000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25" name="Check Box 521" hidden="1">
              <a:extLst>
                <a:ext uri="{63B3BB69-23CF-44E3-9099-C40C66FF867C}">
                  <a14:compatExt spid="_x0000_s22025"/>
                </a:ext>
                <a:ext uri="{FF2B5EF4-FFF2-40B4-BE49-F238E27FC236}">
                  <a16:creationId xmlns:a16="http://schemas.microsoft.com/office/drawing/2014/main" id="{00000000-0008-0000-0700-00000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26" name="Check Box 522" hidden="1">
              <a:extLst>
                <a:ext uri="{63B3BB69-23CF-44E3-9099-C40C66FF867C}">
                  <a14:compatExt spid="_x0000_s22026"/>
                </a:ext>
                <a:ext uri="{FF2B5EF4-FFF2-40B4-BE49-F238E27FC236}">
                  <a16:creationId xmlns:a16="http://schemas.microsoft.com/office/drawing/2014/main" id="{00000000-0008-0000-0700-00000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27" name="Check Box 523" hidden="1">
              <a:extLst>
                <a:ext uri="{63B3BB69-23CF-44E3-9099-C40C66FF867C}">
                  <a14:compatExt spid="_x0000_s22027"/>
                </a:ext>
                <a:ext uri="{FF2B5EF4-FFF2-40B4-BE49-F238E27FC236}">
                  <a16:creationId xmlns:a16="http://schemas.microsoft.com/office/drawing/2014/main" id="{00000000-0008-0000-0700-00000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28" name="Check Box 524" hidden="1">
              <a:extLst>
                <a:ext uri="{63B3BB69-23CF-44E3-9099-C40C66FF867C}">
                  <a14:compatExt spid="_x0000_s22028"/>
                </a:ext>
                <a:ext uri="{FF2B5EF4-FFF2-40B4-BE49-F238E27FC236}">
                  <a16:creationId xmlns:a16="http://schemas.microsoft.com/office/drawing/2014/main" id="{00000000-0008-0000-0700-00000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29" name="Check Box 525" hidden="1">
              <a:extLst>
                <a:ext uri="{63B3BB69-23CF-44E3-9099-C40C66FF867C}">
                  <a14:compatExt spid="_x0000_s22029"/>
                </a:ext>
                <a:ext uri="{FF2B5EF4-FFF2-40B4-BE49-F238E27FC236}">
                  <a16:creationId xmlns:a16="http://schemas.microsoft.com/office/drawing/2014/main" id="{00000000-0008-0000-0700-00000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30" name="Check Box 526" hidden="1">
              <a:extLst>
                <a:ext uri="{63B3BB69-23CF-44E3-9099-C40C66FF867C}">
                  <a14:compatExt spid="_x0000_s22030"/>
                </a:ext>
                <a:ext uri="{FF2B5EF4-FFF2-40B4-BE49-F238E27FC236}">
                  <a16:creationId xmlns:a16="http://schemas.microsoft.com/office/drawing/2014/main" id="{00000000-0008-0000-0700-00000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31" name="Check Box 527" hidden="1">
              <a:extLst>
                <a:ext uri="{63B3BB69-23CF-44E3-9099-C40C66FF867C}">
                  <a14:compatExt spid="_x0000_s22031"/>
                </a:ext>
                <a:ext uri="{FF2B5EF4-FFF2-40B4-BE49-F238E27FC236}">
                  <a16:creationId xmlns:a16="http://schemas.microsoft.com/office/drawing/2014/main" id="{00000000-0008-0000-0700-00000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32" name="Check Box 528" hidden="1">
              <a:extLst>
                <a:ext uri="{63B3BB69-23CF-44E3-9099-C40C66FF867C}">
                  <a14:compatExt spid="_x0000_s22032"/>
                </a:ext>
                <a:ext uri="{FF2B5EF4-FFF2-40B4-BE49-F238E27FC236}">
                  <a16:creationId xmlns:a16="http://schemas.microsoft.com/office/drawing/2014/main" id="{00000000-0008-0000-0700-00001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33" name="Check Box 529" hidden="1">
              <a:extLst>
                <a:ext uri="{63B3BB69-23CF-44E3-9099-C40C66FF867C}">
                  <a14:compatExt spid="_x0000_s22033"/>
                </a:ext>
                <a:ext uri="{FF2B5EF4-FFF2-40B4-BE49-F238E27FC236}">
                  <a16:creationId xmlns:a16="http://schemas.microsoft.com/office/drawing/2014/main" id="{00000000-0008-0000-0700-00001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34" name="Check Box 530" hidden="1">
              <a:extLst>
                <a:ext uri="{63B3BB69-23CF-44E3-9099-C40C66FF867C}">
                  <a14:compatExt spid="_x0000_s22034"/>
                </a:ext>
                <a:ext uri="{FF2B5EF4-FFF2-40B4-BE49-F238E27FC236}">
                  <a16:creationId xmlns:a16="http://schemas.microsoft.com/office/drawing/2014/main" id="{00000000-0008-0000-0700-00001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35" name="Check Box 531" hidden="1">
              <a:extLst>
                <a:ext uri="{63B3BB69-23CF-44E3-9099-C40C66FF867C}">
                  <a14:compatExt spid="_x0000_s22035"/>
                </a:ext>
                <a:ext uri="{FF2B5EF4-FFF2-40B4-BE49-F238E27FC236}">
                  <a16:creationId xmlns:a16="http://schemas.microsoft.com/office/drawing/2014/main" id="{00000000-0008-0000-0700-00001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36" name="Check Box 532" hidden="1">
              <a:extLst>
                <a:ext uri="{63B3BB69-23CF-44E3-9099-C40C66FF867C}">
                  <a14:compatExt spid="_x0000_s22036"/>
                </a:ext>
                <a:ext uri="{FF2B5EF4-FFF2-40B4-BE49-F238E27FC236}">
                  <a16:creationId xmlns:a16="http://schemas.microsoft.com/office/drawing/2014/main" id="{00000000-0008-0000-0700-00001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37" name="Check Box 533" hidden="1">
              <a:extLst>
                <a:ext uri="{63B3BB69-23CF-44E3-9099-C40C66FF867C}">
                  <a14:compatExt spid="_x0000_s22037"/>
                </a:ext>
                <a:ext uri="{FF2B5EF4-FFF2-40B4-BE49-F238E27FC236}">
                  <a16:creationId xmlns:a16="http://schemas.microsoft.com/office/drawing/2014/main" id="{00000000-0008-0000-0700-00001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72</xdr:row>
          <xdr:rowOff>28575</xdr:rowOff>
        </xdr:from>
        <xdr:to>
          <xdr:col>3</xdr:col>
          <xdr:colOff>819150</xdr:colOff>
          <xdr:row>73</xdr:row>
          <xdr:rowOff>123825</xdr:rowOff>
        </xdr:to>
        <xdr:sp macro="" textlink="">
          <xdr:nvSpPr>
            <xdr:cNvPr id="22038" name="Check Box 534" hidden="1">
              <a:extLst>
                <a:ext uri="{63B3BB69-23CF-44E3-9099-C40C66FF867C}">
                  <a14:compatExt spid="_x0000_s22038"/>
                </a:ext>
                <a:ext uri="{FF2B5EF4-FFF2-40B4-BE49-F238E27FC236}">
                  <a16:creationId xmlns:a16="http://schemas.microsoft.com/office/drawing/2014/main" id="{00000000-0008-0000-0700-00001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72</xdr:row>
          <xdr:rowOff>28575</xdr:rowOff>
        </xdr:from>
        <xdr:to>
          <xdr:col>4</xdr:col>
          <xdr:colOff>638175</xdr:colOff>
          <xdr:row>73</xdr:row>
          <xdr:rowOff>123825</xdr:rowOff>
        </xdr:to>
        <xdr:sp macro="" textlink="">
          <xdr:nvSpPr>
            <xdr:cNvPr id="22039" name="Check Box 535" hidden="1">
              <a:extLst>
                <a:ext uri="{63B3BB69-23CF-44E3-9099-C40C66FF867C}">
                  <a14:compatExt spid="_x0000_s22039"/>
                </a:ext>
                <a:ext uri="{FF2B5EF4-FFF2-40B4-BE49-F238E27FC236}">
                  <a16:creationId xmlns:a16="http://schemas.microsoft.com/office/drawing/2014/main" id="{00000000-0008-0000-0700-00001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72</xdr:row>
          <xdr:rowOff>38100</xdr:rowOff>
        </xdr:from>
        <xdr:to>
          <xdr:col>3</xdr:col>
          <xdr:colOff>114300</xdr:colOff>
          <xdr:row>73</xdr:row>
          <xdr:rowOff>133350</xdr:rowOff>
        </xdr:to>
        <xdr:sp macro="" textlink="">
          <xdr:nvSpPr>
            <xdr:cNvPr id="22040" name="Check Box 536" hidden="1">
              <a:extLst>
                <a:ext uri="{63B3BB69-23CF-44E3-9099-C40C66FF867C}">
                  <a14:compatExt spid="_x0000_s22040"/>
                </a:ext>
                <a:ext uri="{FF2B5EF4-FFF2-40B4-BE49-F238E27FC236}">
                  <a16:creationId xmlns:a16="http://schemas.microsoft.com/office/drawing/2014/main" id="{00000000-0008-0000-0700-00001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73</xdr:row>
          <xdr:rowOff>9525</xdr:rowOff>
        </xdr:from>
        <xdr:to>
          <xdr:col>3</xdr:col>
          <xdr:colOff>104775</xdr:colOff>
          <xdr:row>74</xdr:row>
          <xdr:rowOff>104775</xdr:rowOff>
        </xdr:to>
        <xdr:sp macro="" textlink="">
          <xdr:nvSpPr>
            <xdr:cNvPr id="22041" name="Check Box 537" hidden="1">
              <a:extLst>
                <a:ext uri="{63B3BB69-23CF-44E3-9099-C40C66FF867C}">
                  <a14:compatExt spid="_x0000_s22041"/>
                </a:ext>
                <a:ext uri="{FF2B5EF4-FFF2-40B4-BE49-F238E27FC236}">
                  <a16:creationId xmlns:a16="http://schemas.microsoft.com/office/drawing/2014/main" id="{00000000-0008-0000-0700-00001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42" name="Check Box 538" hidden="1">
              <a:extLst>
                <a:ext uri="{63B3BB69-23CF-44E3-9099-C40C66FF867C}">
                  <a14:compatExt spid="_x0000_s22042"/>
                </a:ext>
                <a:ext uri="{FF2B5EF4-FFF2-40B4-BE49-F238E27FC236}">
                  <a16:creationId xmlns:a16="http://schemas.microsoft.com/office/drawing/2014/main" id="{00000000-0008-0000-0700-00001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43" name="Check Box 539" hidden="1">
              <a:extLst>
                <a:ext uri="{63B3BB69-23CF-44E3-9099-C40C66FF867C}">
                  <a14:compatExt spid="_x0000_s22043"/>
                </a:ext>
                <a:ext uri="{FF2B5EF4-FFF2-40B4-BE49-F238E27FC236}">
                  <a16:creationId xmlns:a16="http://schemas.microsoft.com/office/drawing/2014/main" id="{00000000-0008-0000-0700-00001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44" name="Check Box 540" hidden="1">
              <a:extLst>
                <a:ext uri="{63B3BB69-23CF-44E3-9099-C40C66FF867C}">
                  <a14:compatExt spid="_x0000_s22044"/>
                </a:ext>
                <a:ext uri="{FF2B5EF4-FFF2-40B4-BE49-F238E27FC236}">
                  <a16:creationId xmlns:a16="http://schemas.microsoft.com/office/drawing/2014/main" id="{00000000-0008-0000-0700-00001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45" name="Check Box 541" hidden="1">
              <a:extLst>
                <a:ext uri="{63B3BB69-23CF-44E3-9099-C40C66FF867C}">
                  <a14:compatExt spid="_x0000_s22045"/>
                </a:ext>
                <a:ext uri="{FF2B5EF4-FFF2-40B4-BE49-F238E27FC236}">
                  <a16:creationId xmlns:a16="http://schemas.microsoft.com/office/drawing/2014/main" id="{00000000-0008-0000-0700-00001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46" name="Check Box 542" hidden="1">
              <a:extLst>
                <a:ext uri="{63B3BB69-23CF-44E3-9099-C40C66FF867C}">
                  <a14:compatExt spid="_x0000_s22046"/>
                </a:ext>
                <a:ext uri="{FF2B5EF4-FFF2-40B4-BE49-F238E27FC236}">
                  <a16:creationId xmlns:a16="http://schemas.microsoft.com/office/drawing/2014/main" id="{00000000-0008-0000-0700-00001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47" name="Check Box 543" hidden="1">
              <a:extLst>
                <a:ext uri="{63B3BB69-23CF-44E3-9099-C40C66FF867C}">
                  <a14:compatExt spid="_x0000_s22047"/>
                </a:ext>
                <a:ext uri="{FF2B5EF4-FFF2-40B4-BE49-F238E27FC236}">
                  <a16:creationId xmlns:a16="http://schemas.microsoft.com/office/drawing/2014/main" id="{00000000-0008-0000-0700-00001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48" name="Check Box 544" hidden="1">
              <a:extLst>
                <a:ext uri="{63B3BB69-23CF-44E3-9099-C40C66FF867C}">
                  <a14:compatExt spid="_x0000_s22048"/>
                </a:ext>
                <a:ext uri="{FF2B5EF4-FFF2-40B4-BE49-F238E27FC236}">
                  <a16:creationId xmlns:a16="http://schemas.microsoft.com/office/drawing/2014/main" id="{00000000-0008-0000-0700-00002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49" name="Check Box 545" hidden="1">
              <a:extLst>
                <a:ext uri="{63B3BB69-23CF-44E3-9099-C40C66FF867C}">
                  <a14:compatExt spid="_x0000_s22049"/>
                </a:ext>
                <a:ext uri="{FF2B5EF4-FFF2-40B4-BE49-F238E27FC236}">
                  <a16:creationId xmlns:a16="http://schemas.microsoft.com/office/drawing/2014/main" id="{00000000-0008-0000-0700-00002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50" name="Check Box 546" hidden="1">
              <a:extLst>
                <a:ext uri="{63B3BB69-23CF-44E3-9099-C40C66FF867C}">
                  <a14:compatExt spid="_x0000_s22050"/>
                </a:ext>
                <a:ext uri="{FF2B5EF4-FFF2-40B4-BE49-F238E27FC236}">
                  <a16:creationId xmlns:a16="http://schemas.microsoft.com/office/drawing/2014/main" id="{00000000-0008-0000-0700-00002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51" name="Check Box 547" hidden="1">
              <a:extLst>
                <a:ext uri="{63B3BB69-23CF-44E3-9099-C40C66FF867C}">
                  <a14:compatExt spid="_x0000_s22051"/>
                </a:ext>
                <a:ext uri="{FF2B5EF4-FFF2-40B4-BE49-F238E27FC236}">
                  <a16:creationId xmlns:a16="http://schemas.microsoft.com/office/drawing/2014/main" id="{00000000-0008-0000-0700-00002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52" name="Check Box 548" hidden="1">
              <a:extLst>
                <a:ext uri="{63B3BB69-23CF-44E3-9099-C40C66FF867C}">
                  <a14:compatExt spid="_x0000_s22052"/>
                </a:ext>
                <a:ext uri="{FF2B5EF4-FFF2-40B4-BE49-F238E27FC236}">
                  <a16:creationId xmlns:a16="http://schemas.microsoft.com/office/drawing/2014/main" id="{00000000-0008-0000-0700-00002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53" name="Check Box 549" hidden="1">
              <a:extLst>
                <a:ext uri="{63B3BB69-23CF-44E3-9099-C40C66FF867C}">
                  <a14:compatExt spid="_x0000_s22053"/>
                </a:ext>
                <a:ext uri="{FF2B5EF4-FFF2-40B4-BE49-F238E27FC236}">
                  <a16:creationId xmlns:a16="http://schemas.microsoft.com/office/drawing/2014/main" id="{00000000-0008-0000-0700-00002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54" name="Check Box 550" hidden="1">
              <a:extLst>
                <a:ext uri="{63B3BB69-23CF-44E3-9099-C40C66FF867C}">
                  <a14:compatExt spid="_x0000_s22054"/>
                </a:ext>
                <a:ext uri="{FF2B5EF4-FFF2-40B4-BE49-F238E27FC236}">
                  <a16:creationId xmlns:a16="http://schemas.microsoft.com/office/drawing/2014/main" id="{00000000-0008-0000-0700-00002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55" name="Check Box 551" hidden="1">
              <a:extLst>
                <a:ext uri="{63B3BB69-23CF-44E3-9099-C40C66FF867C}">
                  <a14:compatExt spid="_x0000_s22055"/>
                </a:ext>
                <a:ext uri="{FF2B5EF4-FFF2-40B4-BE49-F238E27FC236}">
                  <a16:creationId xmlns:a16="http://schemas.microsoft.com/office/drawing/2014/main" id="{00000000-0008-0000-0700-00002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56" name="Check Box 552" hidden="1">
              <a:extLst>
                <a:ext uri="{63B3BB69-23CF-44E3-9099-C40C66FF867C}">
                  <a14:compatExt spid="_x0000_s22056"/>
                </a:ext>
                <a:ext uri="{FF2B5EF4-FFF2-40B4-BE49-F238E27FC236}">
                  <a16:creationId xmlns:a16="http://schemas.microsoft.com/office/drawing/2014/main" id="{00000000-0008-0000-0700-00002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57" name="Check Box 553" hidden="1">
              <a:extLst>
                <a:ext uri="{63B3BB69-23CF-44E3-9099-C40C66FF867C}">
                  <a14:compatExt spid="_x0000_s22057"/>
                </a:ext>
                <a:ext uri="{FF2B5EF4-FFF2-40B4-BE49-F238E27FC236}">
                  <a16:creationId xmlns:a16="http://schemas.microsoft.com/office/drawing/2014/main" id="{00000000-0008-0000-0700-00002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58" name="Check Box 554" hidden="1">
              <a:extLst>
                <a:ext uri="{63B3BB69-23CF-44E3-9099-C40C66FF867C}">
                  <a14:compatExt spid="_x0000_s22058"/>
                </a:ext>
                <a:ext uri="{FF2B5EF4-FFF2-40B4-BE49-F238E27FC236}">
                  <a16:creationId xmlns:a16="http://schemas.microsoft.com/office/drawing/2014/main" id="{00000000-0008-0000-0700-00002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59" name="Check Box 555" hidden="1">
              <a:extLst>
                <a:ext uri="{63B3BB69-23CF-44E3-9099-C40C66FF867C}">
                  <a14:compatExt spid="_x0000_s22059"/>
                </a:ext>
                <a:ext uri="{FF2B5EF4-FFF2-40B4-BE49-F238E27FC236}">
                  <a16:creationId xmlns:a16="http://schemas.microsoft.com/office/drawing/2014/main" id="{00000000-0008-0000-0700-00002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60" name="Check Box 556" hidden="1">
              <a:extLst>
                <a:ext uri="{63B3BB69-23CF-44E3-9099-C40C66FF867C}">
                  <a14:compatExt spid="_x0000_s22060"/>
                </a:ext>
                <a:ext uri="{FF2B5EF4-FFF2-40B4-BE49-F238E27FC236}">
                  <a16:creationId xmlns:a16="http://schemas.microsoft.com/office/drawing/2014/main" id="{00000000-0008-0000-0700-00002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61" name="Check Box 557" hidden="1">
              <a:extLst>
                <a:ext uri="{63B3BB69-23CF-44E3-9099-C40C66FF867C}">
                  <a14:compatExt spid="_x0000_s22061"/>
                </a:ext>
                <a:ext uri="{FF2B5EF4-FFF2-40B4-BE49-F238E27FC236}">
                  <a16:creationId xmlns:a16="http://schemas.microsoft.com/office/drawing/2014/main" id="{00000000-0008-0000-0700-00002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62" name="Check Box 558" hidden="1">
              <a:extLst>
                <a:ext uri="{63B3BB69-23CF-44E3-9099-C40C66FF867C}">
                  <a14:compatExt spid="_x0000_s22062"/>
                </a:ext>
                <a:ext uri="{FF2B5EF4-FFF2-40B4-BE49-F238E27FC236}">
                  <a16:creationId xmlns:a16="http://schemas.microsoft.com/office/drawing/2014/main" id="{00000000-0008-0000-0700-00002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63" name="Check Box 559" hidden="1">
              <a:extLst>
                <a:ext uri="{63B3BB69-23CF-44E3-9099-C40C66FF867C}">
                  <a14:compatExt spid="_x0000_s22063"/>
                </a:ext>
                <a:ext uri="{FF2B5EF4-FFF2-40B4-BE49-F238E27FC236}">
                  <a16:creationId xmlns:a16="http://schemas.microsoft.com/office/drawing/2014/main" id="{00000000-0008-0000-0700-00002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64" name="Check Box 560" hidden="1">
              <a:extLst>
                <a:ext uri="{63B3BB69-23CF-44E3-9099-C40C66FF867C}">
                  <a14:compatExt spid="_x0000_s22064"/>
                </a:ext>
                <a:ext uri="{FF2B5EF4-FFF2-40B4-BE49-F238E27FC236}">
                  <a16:creationId xmlns:a16="http://schemas.microsoft.com/office/drawing/2014/main" id="{00000000-0008-0000-0700-00003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65" name="Check Box 561" hidden="1">
              <a:extLst>
                <a:ext uri="{63B3BB69-23CF-44E3-9099-C40C66FF867C}">
                  <a14:compatExt spid="_x0000_s22065"/>
                </a:ext>
                <a:ext uri="{FF2B5EF4-FFF2-40B4-BE49-F238E27FC236}">
                  <a16:creationId xmlns:a16="http://schemas.microsoft.com/office/drawing/2014/main" id="{00000000-0008-0000-0700-00003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66" name="Check Box 562" hidden="1">
              <a:extLst>
                <a:ext uri="{63B3BB69-23CF-44E3-9099-C40C66FF867C}">
                  <a14:compatExt spid="_x0000_s22066"/>
                </a:ext>
                <a:ext uri="{FF2B5EF4-FFF2-40B4-BE49-F238E27FC236}">
                  <a16:creationId xmlns:a16="http://schemas.microsoft.com/office/drawing/2014/main" id="{00000000-0008-0000-0700-00003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67" name="Check Box 563" hidden="1">
              <a:extLst>
                <a:ext uri="{63B3BB69-23CF-44E3-9099-C40C66FF867C}">
                  <a14:compatExt spid="_x0000_s22067"/>
                </a:ext>
                <a:ext uri="{FF2B5EF4-FFF2-40B4-BE49-F238E27FC236}">
                  <a16:creationId xmlns:a16="http://schemas.microsoft.com/office/drawing/2014/main" id="{00000000-0008-0000-0700-00003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68" name="Check Box 564" hidden="1">
              <a:extLst>
                <a:ext uri="{63B3BB69-23CF-44E3-9099-C40C66FF867C}">
                  <a14:compatExt spid="_x0000_s22068"/>
                </a:ext>
                <a:ext uri="{FF2B5EF4-FFF2-40B4-BE49-F238E27FC236}">
                  <a16:creationId xmlns:a16="http://schemas.microsoft.com/office/drawing/2014/main" id="{00000000-0008-0000-0700-00003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69" name="Check Box 565" hidden="1">
              <a:extLst>
                <a:ext uri="{63B3BB69-23CF-44E3-9099-C40C66FF867C}">
                  <a14:compatExt spid="_x0000_s22069"/>
                </a:ext>
                <a:ext uri="{FF2B5EF4-FFF2-40B4-BE49-F238E27FC236}">
                  <a16:creationId xmlns:a16="http://schemas.microsoft.com/office/drawing/2014/main" id="{00000000-0008-0000-0700-00003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70" name="Check Box 566" hidden="1">
              <a:extLst>
                <a:ext uri="{63B3BB69-23CF-44E3-9099-C40C66FF867C}">
                  <a14:compatExt spid="_x0000_s22070"/>
                </a:ext>
                <a:ext uri="{FF2B5EF4-FFF2-40B4-BE49-F238E27FC236}">
                  <a16:creationId xmlns:a16="http://schemas.microsoft.com/office/drawing/2014/main" id="{00000000-0008-0000-0700-00003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71" name="Check Box 567" hidden="1">
              <a:extLst>
                <a:ext uri="{63B3BB69-23CF-44E3-9099-C40C66FF867C}">
                  <a14:compatExt spid="_x0000_s22071"/>
                </a:ext>
                <a:ext uri="{FF2B5EF4-FFF2-40B4-BE49-F238E27FC236}">
                  <a16:creationId xmlns:a16="http://schemas.microsoft.com/office/drawing/2014/main" id="{00000000-0008-0000-0700-00003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72" name="Check Box 568" hidden="1">
              <a:extLst>
                <a:ext uri="{63B3BB69-23CF-44E3-9099-C40C66FF867C}">
                  <a14:compatExt spid="_x0000_s22072"/>
                </a:ext>
                <a:ext uri="{FF2B5EF4-FFF2-40B4-BE49-F238E27FC236}">
                  <a16:creationId xmlns:a16="http://schemas.microsoft.com/office/drawing/2014/main" id="{00000000-0008-0000-0700-00003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73" name="Check Box 569" hidden="1">
              <a:extLst>
                <a:ext uri="{63B3BB69-23CF-44E3-9099-C40C66FF867C}">
                  <a14:compatExt spid="_x0000_s22073"/>
                </a:ext>
                <a:ext uri="{FF2B5EF4-FFF2-40B4-BE49-F238E27FC236}">
                  <a16:creationId xmlns:a16="http://schemas.microsoft.com/office/drawing/2014/main" id="{00000000-0008-0000-0700-00003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74" name="Check Box 570" hidden="1">
              <a:extLst>
                <a:ext uri="{63B3BB69-23CF-44E3-9099-C40C66FF867C}">
                  <a14:compatExt spid="_x0000_s22074"/>
                </a:ext>
                <a:ext uri="{FF2B5EF4-FFF2-40B4-BE49-F238E27FC236}">
                  <a16:creationId xmlns:a16="http://schemas.microsoft.com/office/drawing/2014/main" id="{00000000-0008-0000-0700-00003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75" name="Check Box 571" hidden="1">
              <a:extLst>
                <a:ext uri="{63B3BB69-23CF-44E3-9099-C40C66FF867C}">
                  <a14:compatExt spid="_x0000_s22075"/>
                </a:ext>
                <a:ext uri="{FF2B5EF4-FFF2-40B4-BE49-F238E27FC236}">
                  <a16:creationId xmlns:a16="http://schemas.microsoft.com/office/drawing/2014/main" id="{00000000-0008-0000-0700-00003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76" name="Check Box 572" hidden="1">
              <a:extLst>
                <a:ext uri="{63B3BB69-23CF-44E3-9099-C40C66FF867C}">
                  <a14:compatExt spid="_x0000_s22076"/>
                </a:ext>
                <a:ext uri="{FF2B5EF4-FFF2-40B4-BE49-F238E27FC236}">
                  <a16:creationId xmlns:a16="http://schemas.microsoft.com/office/drawing/2014/main" id="{00000000-0008-0000-0700-00003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77" name="Check Box 573" hidden="1">
              <a:extLst>
                <a:ext uri="{63B3BB69-23CF-44E3-9099-C40C66FF867C}">
                  <a14:compatExt spid="_x0000_s22077"/>
                </a:ext>
                <a:ext uri="{FF2B5EF4-FFF2-40B4-BE49-F238E27FC236}">
                  <a16:creationId xmlns:a16="http://schemas.microsoft.com/office/drawing/2014/main" id="{00000000-0008-0000-0700-00003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78" name="Check Box 574" hidden="1">
              <a:extLst>
                <a:ext uri="{63B3BB69-23CF-44E3-9099-C40C66FF867C}">
                  <a14:compatExt spid="_x0000_s22078"/>
                </a:ext>
                <a:ext uri="{FF2B5EF4-FFF2-40B4-BE49-F238E27FC236}">
                  <a16:creationId xmlns:a16="http://schemas.microsoft.com/office/drawing/2014/main" id="{00000000-0008-0000-0700-00003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79" name="Check Box 575" hidden="1">
              <a:extLst>
                <a:ext uri="{63B3BB69-23CF-44E3-9099-C40C66FF867C}">
                  <a14:compatExt spid="_x0000_s22079"/>
                </a:ext>
                <a:ext uri="{FF2B5EF4-FFF2-40B4-BE49-F238E27FC236}">
                  <a16:creationId xmlns:a16="http://schemas.microsoft.com/office/drawing/2014/main" id="{00000000-0008-0000-0700-00003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80" name="Check Box 576" hidden="1">
              <a:extLst>
                <a:ext uri="{63B3BB69-23CF-44E3-9099-C40C66FF867C}">
                  <a14:compatExt spid="_x0000_s22080"/>
                </a:ext>
                <a:ext uri="{FF2B5EF4-FFF2-40B4-BE49-F238E27FC236}">
                  <a16:creationId xmlns:a16="http://schemas.microsoft.com/office/drawing/2014/main" id="{00000000-0008-0000-0700-00004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81" name="Check Box 577" hidden="1">
              <a:extLst>
                <a:ext uri="{63B3BB69-23CF-44E3-9099-C40C66FF867C}">
                  <a14:compatExt spid="_x0000_s22081"/>
                </a:ext>
                <a:ext uri="{FF2B5EF4-FFF2-40B4-BE49-F238E27FC236}">
                  <a16:creationId xmlns:a16="http://schemas.microsoft.com/office/drawing/2014/main" id="{00000000-0008-0000-0700-00004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82" name="Check Box 578" hidden="1">
              <a:extLst>
                <a:ext uri="{63B3BB69-23CF-44E3-9099-C40C66FF867C}">
                  <a14:compatExt spid="_x0000_s22082"/>
                </a:ext>
                <a:ext uri="{FF2B5EF4-FFF2-40B4-BE49-F238E27FC236}">
                  <a16:creationId xmlns:a16="http://schemas.microsoft.com/office/drawing/2014/main" id="{00000000-0008-0000-0700-00004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83" name="Check Box 579" hidden="1">
              <a:extLst>
                <a:ext uri="{63B3BB69-23CF-44E3-9099-C40C66FF867C}">
                  <a14:compatExt spid="_x0000_s22083"/>
                </a:ext>
                <a:ext uri="{FF2B5EF4-FFF2-40B4-BE49-F238E27FC236}">
                  <a16:creationId xmlns:a16="http://schemas.microsoft.com/office/drawing/2014/main" id="{00000000-0008-0000-0700-00004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84" name="Check Box 580" hidden="1">
              <a:extLst>
                <a:ext uri="{63B3BB69-23CF-44E3-9099-C40C66FF867C}">
                  <a14:compatExt spid="_x0000_s22084"/>
                </a:ext>
                <a:ext uri="{FF2B5EF4-FFF2-40B4-BE49-F238E27FC236}">
                  <a16:creationId xmlns:a16="http://schemas.microsoft.com/office/drawing/2014/main" id="{00000000-0008-0000-0700-00004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85" name="Check Box 581" hidden="1">
              <a:extLst>
                <a:ext uri="{63B3BB69-23CF-44E3-9099-C40C66FF867C}">
                  <a14:compatExt spid="_x0000_s22085"/>
                </a:ext>
                <a:ext uri="{FF2B5EF4-FFF2-40B4-BE49-F238E27FC236}">
                  <a16:creationId xmlns:a16="http://schemas.microsoft.com/office/drawing/2014/main" id="{00000000-0008-0000-0700-00004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86" name="Check Box 582" hidden="1">
              <a:extLst>
                <a:ext uri="{63B3BB69-23CF-44E3-9099-C40C66FF867C}">
                  <a14:compatExt spid="_x0000_s22086"/>
                </a:ext>
                <a:ext uri="{FF2B5EF4-FFF2-40B4-BE49-F238E27FC236}">
                  <a16:creationId xmlns:a16="http://schemas.microsoft.com/office/drawing/2014/main" id="{00000000-0008-0000-0700-00004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87" name="Check Box 583" hidden="1">
              <a:extLst>
                <a:ext uri="{63B3BB69-23CF-44E3-9099-C40C66FF867C}">
                  <a14:compatExt spid="_x0000_s22087"/>
                </a:ext>
                <a:ext uri="{FF2B5EF4-FFF2-40B4-BE49-F238E27FC236}">
                  <a16:creationId xmlns:a16="http://schemas.microsoft.com/office/drawing/2014/main" id="{00000000-0008-0000-0700-00004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88" name="Check Box 584" hidden="1">
              <a:extLst>
                <a:ext uri="{63B3BB69-23CF-44E3-9099-C40C66FF867C}">
                  <a14:compatExt spid="_x0000_s22088"/>
                </a:ext>
                <a:ext uri="{FF2B5EF4-FFF2-40B4-BE49-F238E27FC236}">
                  <a16:creationId xmlns:a16="http://schemas.microsoft.com/office/drawing/2014/main" id="{00000000-0008-0000-0700-00004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89" name="Check Box 585" hidden="1">
              <a:extLst>
                <a:ext uri="{63B3BB69-23CF-44E3-9099-C40C66FF867C}">
                  <a14:compatExt spid="_x0000_s22089"/>
                </a:ext>
                <a:ext uri="{FF2B5EF4-FFF2-40B4-BE49-F238E27FC236}">
                  <a16:creationId xmlns:a16="http://schemas.microsoft.com/office/drawing/2014/main" id="{00000000-0008-0000-0700-00004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77</xdr:row>
          <xdr:rowOff>28575</xdr:rowOff>
        </xdr:from>
        <xdr:to>
          <xdr:col>3</xdr:col>
          <xdr:colOff>819150</xdr:colOff>
          <xdr:row>78</xdr:row>
          <xdr:rowOff>123825</xdr:rowOff>
        </xdr:to>
        <xdr:sp macro="" textlink="">
          <xdr:nvSpPr>
            <xdr:cNvPr id="22090" name="Check Box 586" hidden="1">
              <a:extLst>
                <a:ext uri="{63B3BB69-23CF-44E3-9099-C40C66FF867C}">
                  <a14:compatExt spid="_x0000_s22090"/>
                </a:ext>
                <a:ext uri="{FF2B5EF4-FFF2-40B4-BE49-F238E27FC236}">
                  <a16:creationId xmlns:a16="http://schemas.microsoft.com/office/drawing/2014/main" id="{00000000-0008-0000-0700-00004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77</xdr:row>
          <xdr:rowOff>28575</xdr:rowOff>
        </xdr:from>
        <xdr:to>
          <xdr:col>4</xdr:col>
          <xdr:colOff>638175</xdr:colOff>
          <xdr:row>78</xdr:row>
          <xdr:rowOff>123825</xdr:rowOff>
        </xdr:to>
        <xdr:sp macro="" textlink="">
          <xdr:nvSpPr>
            <xdr:cNvPr id="22091" name="Check Box 587" hidden="1">
              <a:extLst>
                <a:ext uri="{63B3BB69-23CF-44E3-9099-C40C66FF867C}">
                  <a14:compatExt spid="_x0000_s22091"/>
                </a:ext>
                <a:ext uri="{FF2B5EF4-FFF2-40B4-BE49-F238E27FC236}">
                  <a16:creationId xmlns:a16="http://schemas.microsoft.com/office/drawing/2014/main" id="{00000000-0008-0000-0700-00004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77</xdr:row>
          <xdr:rowOff>38100</xdr:rowOff>
        </xdr:from>
        <xdr:to>
          <xdr:col>3</xdr:col>
          <xdr:colOff>114300</xdr:colOff>
          <xdr:row>78</xdr:row>
          <xdr:rowOff>133350</xdr:rowOff>
        </xdr:to>
        <xdr:sp macro="" textlink="">
          <xdr:nvSpPr>
            <xdr:cNvPr id="22092" name="Check Box 588" hidden="1">
              <a:extLst>
                <a:ext uri="{63B3BB69-23CF-44E3-9099-C40C66FF867C}">
                  <a14:compatExt spid="_x0000_s22092"/>
                </a:ext>
                <a:ext uri="{FF2B5EF4-FFF2-40B4-BE49-F238E27FC236}">
                  <a16:creationId xmlns:a16="http://schemas.microsoft.com/office/drawing/2014/main" id="{00000000-0008-0000-0700-00004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78</xdr:row>
          <xdr:rowOff>9525</xdr:rowOff>
        </xdr:from>
        <xdr:to>
          <xdr:col>3</xdr:col>
          <xdr:colOff>104775</xdr:colOff>
          <xdr:row>79</xdr:row>
          <xdr:rowOff>104775</xdr:rowOff>
        </xdr:to>
        <xdr:sp macro="" textlink="">
          <xdr:nvSpPr>
            <xdr:cNvPr id="22093" name="Check Box 589" hidden="1">
              <a:extLst>
                <a:ext uri="{63B3BB69-23CF-44E3-9099-C40C66FF867C}">
                  <a14:compatExt spid="_x0000_s22093"/>
                </a:ext>
                <a:ext uri="{FF2B5EF4-FFF2-40B4-BE49-F238E27FC236}">
                  <a16:creationId xmlns:a16="http://schemas.microsoft.com/office/drawing/2014/main" id="{00000000-0008-0000-0700-00004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094" name="Check Box 590" hidden="1">
              <a:extLst>
                <a:ext uri="{63B3BB69-23CF-44E3-9099-C40C66FF867C}">
                  <a14:compatExt spid="_x0000_s22094"/>
                </a:ext>
                <a:ext uri="{FF2B5EF4-FFF2-40B4-BE49-F238E27FC236}">
                  <a16:creationId xmlns:a16="http://schemas.microsoft.com/office/drawing/2014/main" id="{00000000-0008-0000-0700-00004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095" name="Check Box 591" hidden="1">
              <a:extLst>
                <a:ext uri="{63B3BB69-23CF-44E3-9099-C40C66FF867C}">
                  <a14:compatExt spid="_x0000_s22095"/>
                </a:ext>
                <a:ext uri="{FF2B5EF4-FFF2-40B4-BE49-F238E27FC236}">
                  <a16:creationId xmlns:a16="http://schemas.microsoft.com/office/drawing/2014/main" id="{00000000-0008-0000-0700-00004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096" name="Check Box 592" hidden="1">
              <a:extLst>
                <a:ext uri="{63B3BB69-23CF-44E3-9099-C40C66FF867C}">
                  <a14:compatExt spid="_x0000_s22096"/>
                </a:ext>
                <a:ext uri="{FF2B5EF4-FFF2-40B4-BE49-F238E27FC236}">
                  <a16:creationId xmlns:a16="http://schemas.microsoft.com/office/drawing/2014/main" id="{00000000-0008-0000-0700-00005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097" name="Check Box 593" hidden="1">
              <a:extLst>
                <a:ext uri="{63B3BB69-23CF-44E3-9099-C40C66FF867C}">
                  <a14:compatExt spid="_x0000_s22097"/>
                </a:ext>
                <a:ext uri="{FF2B5EF4-FFF2-40B4-BE49-F238E27FC236}">
                  <a16:creationId xmlns:a16="http://schemas.microsoft.com/office/drawing/2014/main" id="{00000000-0008-0000-0700-00005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098" name="Check Box 594" hidden="1">
              <a:extLst>
                <a:ext uri="{63B3BB69-23CF-44E3-9099-C40C66FF867C}">
                  <a14:compatExt spid="_x0000_s22098"/>
                </a:ext>
                <a:ext uri="{FF2B5EF4-FFF2-40B4-BE49-F238E27FC236}">
                  <a16:creationId xmlns:a16="http://schemas.microsoft.com/office/drawing/2014/main" id="{00000000-0008-0000-0700-00005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099" name="Check Box 595" hidden="1">
              <a:extLst>
                <a:ext uri="{63B3BB69-23CF-44E3-9099-C40C66FF867C}">
                  <a14:compatExt spid="_x0000_s22099"/>
                </a:ext>
                <a:ext uri="{FF2B5EF4-FFF2-40B4-BE49-F238E27FC236}">
                  <a16:creationId xmlns:a16="http://schemas.microsoft.com/office/drawing/2014/main" id="{00000000-0008-0000-0700-00005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00" name="Check Box 596" hidden="1">
              <a:extLst>
                <a:ext uri="{63B3BB69-23CF-44E3-9099-C40C66FF867C}">
                  <a14:compatExt spid="_x0000_s22100"/>
                </a:ext>
                <a:ext uri="{FF2B5EF4-FFF2-40B4-BE49-F238E27FC236}">
                  <a16:creationId xmlns:a16="http://schemas.microsoft.com/office/drawing/2014/main" id="{00000000-0008-0000-0700-00005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01" name="Check Box 597" hidden="1">
              <a:extLst>
                <a:ext uri="{63B3BB69-23CF-44E3-9099-C40C66FF867C}">
                  <a14:compatExt spid="_x0000_s22101"/>
                </a:ext>
                <a:ext uri="{FF2B5EF4-FFF2-40B4-BE49-F238E27FC236}">
                  <a16:creationId xmlns:a16="http://schemas.microsoft.com/office/drawing/2014/main" id="{00000000-0008-0000-0700-00005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02" name="Check Box 598" hidden="1">
              <a:extLst>
                <a:ext uri="{63B3BB69-23CF-44E3-9099-C40C66FF867C}">
                  <a14:compatExt spid="_x0000_s22102"/>
                </a:ext>
                <a:ext uri="{FF2B5EF4-FFF2-40B4-BE49-F238E27FC236}">
                  <a16:creationId xmlns:a16="http://schemas.microsoft.com/office/drawing/2014/main" id="{00000000-0008-0000-0700-00005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03" name="Check Box 599" hidden="1">
              <a:extLst>
                <a:ext uri="{63B3BB69-23CF-44E3-9099-C40C66FF867C}">
                  <a14:compatExt spid="_x0000_s22103"/>
                </a:ext>
                <a:ext uri="{FF2B5EF4-FFF2-40B4-BE49-F238E27FC236}">
                  <a16:creationId xmlns:a16="http://schemas.microsoft.com/office/drawing/2014/main" id="{00000000-0008-0000-0700-00005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04" name="Check Box 600" hidden="1">
              <a:extLst>
                <a:ext uri="{63B3BB69-23CF-44E3-9099-C40C66FF867C}">
                  <a14:compatExt spid="_x0000_s22104"/>
                </a:ext>
                <a:ext uri="{FF2B5EF4-FFF2-40B4-BE49-F238E27FC236}">
                  <a16:creationId xmlns:a16="http://schemas.microsoft.com/office/drawing/2014/main" id="{00000000-0008-0000-0700-00005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05" name="Check Box 601" hidden="1">
              <a:extLst>
                <a:ext uri="{63B3BB69-23CF-44E3-9099-C40C66FF867C}">
                  <a14:compatExt spid="_x0000_s22105"/>
                </a:ext>
                <a:ext uri="{FF2B5EF4-FFF2-40B4-BE49-F238E27FC236}">
                  <a16:creationId xmlns:a16="http://schemas.microsoft.com/office/drawing/2014/main" id="{00000000-0008-0000-0700-00005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06" name="Check Box 602" hidden="1">
              <a:extLst>
                <a:ext uri="{63B3BB69-23CF-44E3-9099-C40C66FF867C}">
                  <a14:compatExt spid="_x0000_s22106"/>
                </a:ext>
                <a:ext uri="{FF2B5EF4-FFF2-40B4-BE49-F238E27FC236}">
                  <a16:creationId xmlns:a16="http://schemas.microsoft.com/office/drawing/2014/main" id="{00000000-0008-0000-0700-00005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07" name="Check Box 603" hidden="1">
              <a:extLst>
                <a:ext uri="{63B3BB69-23CF-44E3-9099-C40C66FF867C}">
                  <a14:compatExt spid="_x0000_s22107"/>
                </a:ext>
                <a:ext uri="{FF2B5EF4-FFF2-40B4-BE49-F238E27FC236}">
                  <a16:creationId xmlns:a16="http://schemas.microsoft.com/office/drawing/2014/main" id="{00000000-0008-0000-0700-00005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08" name="Check Box 604" hidden="1">
              <a:extLst>
                <a:ext uri="{63B3BB69-23CF-44E3-9099-C40C66FF867C}">
                  <a14:compatExt spid="_x0000_s22108"/>
                </a:ext>
                <a:ext uri="{FF2B5EF4-FFF2-40B4-BE49-F238E27FC236}">
                  <a16:creationId xmlns:a16="http://schemas.microsoft.com/office/drawing/2014/main" id="{00000000-0008-0000-0700-00005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09" name="Check Box 605" hidden="1">
              <a:extLst>
                <a:ext uri="{63B3BB69-23CF-44E3-9099-C40C66FF867C}">
                  <a14:compatExt spid="_x0000_s22109"/>
                </a:ext>
                <a:ext uri="{FF2B5EF4-FFF2-40B4-BE49-F238E27FC236}">
                  <a16:creationId xmlns:a16="http://schemas.microsoft.com/office/drawing/2014/main" id="{00000000-0008-0000-0700-00005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10" name="Check Box 606" hidden="1">
              <a:extLst>
                <a:ext uri="{63B3BB69-23CF-44E3-9099-C40C66FF867C}">
                  <a14:compatExt spid="_x0000_s22110"/>
                </a:ext>
                <a:ext uri="{FF2B5EF4-FFF2-40B4-BE49-F238E27FC236}">
                  <a16:creationId xmlns:a16="http://schemas.microsoft.com/office/drawing/2014/main" id="{00000000-0008-0000-0700-00005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11" name="Check Box 607" hidden="1">
              <a:extLst>
                <a:ext uri="{63B3BB69-23CF-44E3-9099-C40C66FF867C}">
                  <a14:compatExt spid="_x0000_s22111"/>
                </a:ext>
                <a:ext uri="{FF2B5EF4-FFF2-40B4-BE49-F238E27FC236}">
                  <a16:creationId xmlns:a16="http://schemas.microsoft.com/office/drawing/2014/main" id="{00000000-0008-0000-0700-00005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12" name="Check Box 608" hidden="1">
              <a:extLst>
                <a:ext uri="{63B3BB69-23CF-44E3-9099-C40C66FF867C}">
                  <a14:compatExt spid="_x0000_s22112"/>
                </a:ext>
                <a:ext uri="{FF2B5EF4-FFF2-40B4-BE49-F238E27FC236}">
                  <a16:creationId xmlns:a16="http://schemas.microsoft.com/office/drawing/2014/main" id="{00000000-0008-0000-0700-00006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13" name="Check Box 609" hidden="1">
              <a:extLst>
                <a:ext uri="{63B3BB69-23CF-44E3-9099-C40C66FF867C}">
                  <a14:compatExt spid="_x0000_s22113"/>
                </a:ext>
                <a:ext uri="{FF2B5EF4-FFF2-40B4-BE49-F238E27FC236}">
                  <a16:creationId xmlns:a16="http://schemas.microsoft.com/office/drawing/2014/main" id="{00000000-0008-0000-0700-00006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14" name="Check Box 610" hidden="1">
              <a:extLst>
                <a:ext uri="{63B3BB69-23CF-44E3-9099-C40C66FF867C}">
                  <a14:compatExt spid="_x0000_s22114"/>
                </a:ext>
                <a:ext uri="{FF2B5EF4-FFF2-40B4-BE49-F238E27FC236}">
                  <a16:creationId xmlns:a16="http://schemas.microsoft.com/office/drawing/2014/main" id="{00000000-0008-0000-0700-00006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15" name="Check Box 611" hidden="1">
              <a:extLst>
                <a:ext uri="{63B3BB69-23CF-44E3-9099-C40C66FF867C}">
                  <a14:compatExt spid="_x0000_s22115"/>
                </a:ext>
                <a:ext uri="{FF2B5EF4-FFF2-40B4-BE49-F238E27FC236}">
                  <a16:creationId xmlns:a16="http://schemas.microsoft.com/office/drawing/2014/main" id="{00000000-0008-0000-0700-00006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16" name="Check Box 612" hidden="1">
              <a:extLst>
                <a:ext uri="{63B3BB69-23CF-44E3-9099-C40C66FF867C}">
                  <a14:compatExt spid="_x0000_s22116"/>
                </a:ext>
                <a:ext uri="{FF2B5EF4-FFF2-40B4-BE49-F238E27FC236}">
                  <a16:creationId xmlns:a16="http://schemas.microsoft.com/office/drawing/2014/main" id="{00000000-0008-0000-0700-00006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17" name="Check Box 613" hidden="1">
              <a:extLst>
                <a:ext uri="{63B3BB69-23CF-44E3-9099-C40C66FF867C}">
                  <a14:compatExt spid="_x0000_s22117"/>
                </a:ext>
                <a:ext uri="{FF2B5EF4-FFF2-40B4-BE49-F238E27FC236}">
                  <a16:creationId xmlns:a16="http://schemas.microsoft.com/office/drawing/2014/main" id="{00000000-0008-0000-0700-00006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18" name="Check Box 614" hidden="1">
              <a:extLst>
                <a:ext uri="{63B3BB69-23CF-44E3-9099-C40C66FF867C}">
                  <a14:compatExt spid="_x0000_s22118"/>
                </a:ext>
                <a:ext uri="{FF2B5EF4-FFF2-40B4-BE49-F238E27FC236}">
                  <a16:creationId xmlns:a16="http://schemas.microsoft.com/office/drawing/2014/main" id="{00000000-0008-0000-0700-00006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19" name="Check Box 615" hidden="1">
              <a:extLst>
                <a:ext uri="{63B3BB69-23CF-44E3-9099-C40C66FF867C}">
                  <a14:compatExt spid="_x0000_s22119"/>
                </a:ext>
                <a:ext uri="{FF2B5EF4-FFF2-40B4-BE49-F238E27FC236}">
                  <a16:creationId xmlns:a16="http://schemas.microsoft.com/office/drawing/2014/main" id="{00000000-0008-0000-0700-00006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20" name="Check Box 616" hidden="1">
              <a:extLst>
                <a:ext uri="{63B3BB69-23CF-44E3-9099-C40C66FF867C}">
                  <a14:compatExt spid="_x0000_s22120"/>
                </a:ext>
                <a:ext uri="{FF2B5EF4-FFF2-40B4-BE49-F238E27FC236}">
                  <a16:creationId xmlns:a16="http://schemas.microsoft.com/office/drawing/2014/main" id="{00000000-0008-0000-0700-00006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21" name="Check Box 617" hidden="1">
              <a:extLst>
                <a:ext uri="{63B3BB69-23CF-44E3-9099-C40C66FF867C}">
                  <a14:compatExt spid="_x0000_s22121"/>
                </a:ext>
                <a:ext uri="{FF2B5EF4-FFF2-40B4-BE49-F238E27FC236}">
                  <a16:creationId xmlns:a16="http://schemas.microsoft.com/office/drawing/2014/main" id="{00000000-0008-0000-0700-00006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22" name="Check Box 618" hidden="1">
              <a:extLst>
                <a:ext uri="{63B3BB69-23CF-44E3-9099-C40C66FF867C}">
                  <a14:compatExt spid="_x0000_s22122"/>
                </a:ext>
                <a:ext uri="{FF2B5EF4-FFF2-40B4-BE49-F238E27FC236}">
                  <a16:creationId xmlns:a16="http://schemas.microsoft.com/office/drawing/2014/main" id="{00000000-0008-0000-0700-00006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23" name="Check Box 619" hidden="1">
              <a:extLst>
                <a:ext uri="{63B3BB69-23CF-44E3-9099-C40C66FF867C}">
                  <a14:compatExt spid="_x0000_s22123"/>
                </a:ext>
                <a:ext uri="{FF2B5EF4-FFF2-40B4-BE49-F238E27FC236}">
                  <a16:creationId xmlns:a16="http://schemas.microsoft.com/office/drawing/2014/main" id="{00000000-0008-0000-0700-00006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24" name="Check Box 620" hidden="1">
              <a:extLst>
                <a:ext uri="{63B3BB69-23CF-44E3-9099-C40C66FF867C}">
                  <a14:compatExt spid="_x0000_s22124"/>
                </a:ext>
                <a:ext uri="{FF2B5EF4-FFF2-40B4-BE49-F238E27FC236}">
                  <a16:creationId xmlns:a16="http://schemas.microsoft.com/office/drawing/2014/main" id="{00000000-0008-0000-0700-00006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25" name="Check Box 621" hidden="1">
              <a:extLst>
                <a:ext uri="{63B3BB69-23CF-44E3-9099-C40C66FF867C}">
                  <a14:compatExt spid="_x0000_s22125"/>
                </a:ext>
                <a:ext uri="{FF2B5EF4-FFF2-40B4-BE49-F238E27FC236}">
                  <a16:creationId xmlns:a16="http://schemas.microsoft.com/office/drawing/2014/main" id="{00000000-0008-0000-0700-00006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26" name="Check Box 622" hidden="1">
              <a:extLst>
                <a:ext uri="{63B3BB69-23CF-44E3-9099-C40C66FF867C}">
                  <a14:compatExt spid="_x0000_s22126"/>
                </a:ext>
                <a:ext uri="{FF2B5EF4-FFF2-40B4-BE49-F238E27FC236}">
                  <a16:creationId xmlns:a16="http://schemas.microsoft.com/office/drawing/2014/main" id="{00000000-0008-0000-0700-00006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27" name="Check Box 623" hidden="1">
              <a:extLst>
                <a:ext uri="{63B3BB69-23CF-44E3-9099-C40C66FF867C}">
                  <a14:compatExt spid="_x0000_s22127"/>
                </a:ext>
                <a:ext uri="{FF2B5EF4-FFF2-40B4-BE49-F238E27FC236}">
                  <a16:creationId xmlns:a16="http://schemas.microsoft.com/office/drawing/2014/main" id="{00000000-0008-0000-0700-00006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28" name="Check Box 624" hidden="1">
              <a:extLst>
                <a:ext uri="{63B3BB69-23CF-44E3-9099-C40C66FF867C}">
                  <a14:compatExt spid="_x0000_s22128"/>
                </a:ext>
                <a:ext uri="{FF2B5EF4-FFF2-40B4-BE49-F238E27FC236}">
                  <a16:creationId xmlns:a16="http://schemas.microsoft.com/office/drawing/2014/main" id="{00000000-0008-0000-0700-00007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29" name="Check Box 625" hidden="1">
              <a:extLst>
                <a:ext uri="{63B3BB69-23CF-44E3-9099-C40C66FF867C}">
                  <a14:compatExt spid="_x0000_s22129"/>
                </a:ext>
                <a:ext uri="{FF2B5EF4-FFF2-40B4-BE49-F238E27FC236}">
                  <a16:creationId xmlns:a16="http://schemas.microsoft.com/office/drawing/2014/main" id="{00000000-0008-0000-0700-00007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30" name="Check Box 626" hidden="1">
              <a:extLst>
                <a:ext uri="{63B3BB69-23CF-44E3-9099-C40C66FF867C}">
                  <a14:compatExt spid="_x0000_s22130"/>
                </a:ext>
                <a:ext uri="{FF2B5EF4-FFF2-40B4-BE49-F238E27FC236}">
                  <a16:creationId xmlns:a16="http://schemas.microsoft.com/office/drawing/2014/main" id="{00000000-0008-0000-0700-00007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31" name="Check Box 627" hidden="1">
              <a:extLst>
                <a:ext uri="{63B3BB69-23CF-44E3-9099-C40C66FF867C}">
                  <a14:compatExt spid="_x0000_s22131"/>
                </a:ext>
                <a:ext uri="{FF2B5EF4-FFF2-40B4-BE49-F238E27FC236}">
                  <a16:creationId xmlns:a16="http://schemas.microsoft.com/office/drawing/2014/main" id="{00000000-0008-0000-0700-00007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32" name="Check Box 628" hidden="1">
              <a:extLst>
                <a:ext uri="{63B3BB69-23CF-44E3-9099-C40C66FF867C}">
                  <a14:compatExt spid="_x0000_s22132"/>
                </a:ext>
                <a:ext uri="{FF2B5EF4-FFF2-40B4-BE49-F238E27FC236}">
                  <a16:creationId xmlns:a16="http://schemas.microsoft.com/office/drawing/2014/main" id="{00000000-0008-0000-0700-00007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33" name="Check Box 629" hidden="1">
              <a:extLst>
                <a:ext uri="{63B3BB69-23CF-44E3-9099-C40C66FF867C}">
                  <a14:compatExt spid="_x0000_s22133"/>
                </a:ext>
                <a:ext uri="{FF2B5EF4-FFF2-40B4-BE49-F238E27FC236}">
                  <a16:creationId xmlns:a16="http://schemas.microsoft.com/office/drawing/2014/main" id="{00000000-0008-0000-0700-00007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34" name="Check Box 630" hidden="1">
              <a:extLst>
                <a:ext uri="{63B3BB69-23CF-44E3-9099-C40C66FF867C}">
                  <a14:compatExt spid="_x0000_s22134"/>
                </a:ext>
                <a:ext uri="{FF2B5EF4-FFF2-40B4-BE49-F238E27FC236}">
                  <a16:creationId xmlns:a16="http://schemas.microsoft.com/office/drawing/2014/main" id="{00000000-0008-0000-0700-00007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35" name="Check Box 631" hidden="1">
              <a:extLst>
                <a:ext uri="{63B3BB69-23CF-44E3-9099-C40C66FF867C}">
                  <a14:compatExt spid="_x0000_s22135"/>
                </a:ext>
                <a:ext uri="{FF2B5EF4-FFF2-40B4-BE49-F238E27FC236}">
                  <a16:creationId xmlns:a16="http://schemas.microsoft.com/office/drawing/2014/main" id="{00000000-0008-0000-0700-00007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36" name="Check Box 632" hidden="1">
              <a:extLst>
                <a:ext uri="{63B3BB69-23CF-44E3-9099-C40C66FF867C}">
                  <a14:compatExt spid="_x0000_s22136"/>
                </a:ext>
                <a:ext uri="{FF2B5EF4-FFF2-40B4-BE49-F238E27FC236}">
                  <a16:creationId xmlns:a16="http://schemas.microsoft.com/office/drawing/2014/main" id="{00000000-0008-0000-0700-00007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37" name="Check Box 633" hidden="1">
              <a:extLst>
                <a:ext uri="{63B3BB69-23CF-44E3-9099-C40C66FF867C}">
                  <a14:compatExt spid="_x0000_s22137"/>
                </a:ext>
                <a:ext uri="{FF2B5EF4-FFF2-40B4-BE49-F238E27FC236}">
                  <a16:creationId xmlns:a16="http://schemas.microsoft.com/office/drawing/2014/main" id="{00000000-0008-0000-0700-00007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38" name="Check Box 634" hidden="1">
              <a:extLst>
                <a:ext uri="{63B3BB69-23CF-44E3-9099-C40C66FF867C}">
                  <a14:compatExt spid="_x0000_s22138"/>
                </a:ext>
                <a:ext uri="{FF2B5EF4-FFF2-40B4-BE49-F238E27FC236}">
                  <a16:creationId xmlns:a16="http://schemas.microsoft.com/office/drawing/2014/main" id="{00000000-0008-0000-0700-00007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39" name="Check Box 635" hidden="1">
              <a:extLst>
                <a:ext uri="{63B3BB69-23CF-44E3-9099-C40C66FF867C}">
                  <a14:compatExt spid="_x0000_s22139"/>
                </a:ext>
                <a:ext uri="{FF2B5EF4-FFF2-40B4-BE49-F238E27FC236}">
                  <a16:creationId xmlns:a16="http://schemas.microsoft.com/office/drawing/2014/main" id="{00000000-0008-0000-0700-00007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40" name="Check Box 636" hidden="1">
              <a:extLst>
                <a:ext uri="{63B3BB69-23CF-44E3-9099-C40C66FF867C}">
                  <a14:compatExt spid="_x0000_s22140"/>
                </a:ext>
                <a:ext uri="{FF2B5EF4-FFF2-40B4-BE49-F238E27FC236}">
                  <a16:creationId xmlns:a16="http://schemas.microsoft.com/office/drawing/2014/main" id="{00000000-0008-0000-0700-00007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41" name="Check Box 637" hidden="1">
              <a:extLst>
                <a:ext uri="{63B3BB69-23CF-44E3-9099-C40C66FF867C}">
                  <a14:compatExt spid="_x0000_s22141"/>
                </a:ext>
                <a:ext uri="{FF2B5EF4-FFF2-40B4-BE49-F238E27FC236}">
                  <a16:creationId xmlns:a16="http://schemas.microsoft.com/office/drawing/2014/main" id="{00000000-0008-0000-0700-00007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42" name="Check Box 638" hidden="1">
              <a:extLst>
                <a:ext uri="{63B3BB69-23CF-44E3-9099-C40C66FF867C}">
                  <a14:compatExt spid="_x0000_s22142"/>
                </a:ext>
                <a:ext uri="{FF2B5EF4-FFF2-40B4-BE49-F238E27FC236}">
                  <a16:creationId xmlns:a16="http://schemas.microsoft.com/office/drawing/2014/main" id="{00000000-0008-0000-0700-00007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43" name="Check Box 639" hidden="1">
              <a:extLst>
                <a:ext uri="{63B3BB69-23CF-44E3-9099-C40C66FF867C}">
                  <a14:compatExt spid="_x0000_s22143"/>
                </a:ext>
                <a:ext uri="{FF2B5EF4-FFF2-40B4-BE49-F238E27FC236}">
                  <a16:creationId xmlns:a16="http://schemas.microsoft.com/office/drawing/2014/main" id="{00000000-0008-0000-0700-00007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44" name="Check Box 640" hidden="1">
              <a:extLst>
                <a:ext uri="{63B3BB69-23CF-44E3-9099-C40C66FF867C}">
                  <a14:compatExt spid="_x0000_s22144"/>
                </a:ext>
                <a:ext uri="{FF2B5EF4-FFF2-40B4-BE49-F238E27FC236}">
                  <a16:creationId xmlns:a16="http://schemas.microsoft.com/office/drawing/2014/main" id="{00000000-0008-0000-0700-00008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45" name="Check Box 641" hidden="1">
              <a:extLst>
                <a:ext uri="{63B3BB69-23CF-44E3-9099-C40C66FF867C}">
                  <a14:compatExt spid="_x0000_s22145"/>
                </a:ext>
                <a:ext uri="{FF2B5EF4-FFF2-40B4-BE49-F238E27FC236}">
                  <a16:creationId xmlns:a16="http://schemas.microsoft.com/office/drawing/2014/main" id="{00000000-0008-0000-0700-00008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82</xdr:row>
          <xdr:rowOff>28575</xdr:rowOff>
        </xdr:from>
        <xdr:to>
          <xdr:col>3</xdr:col>
          <xdr:colOff>819150</xdr:colOff>
          <xdr:row>83</xdr:row>
          <xdr:rowOff>123825</xdr:rowOff>
        </xdr:to>
        <xdr:sp macro="" textlink="">
          <xdr:nvSpPr>
            <xdr:cNvPr id="22146" name="Check Box 642" hidden="1">
              <a:extLst>
                <a:ext uri="{63B3BB69-23CF-44E3-9099-C40C66FF867C}">
                  <a14:compatExt spid="_x0000_s22146"/>
                </a:ext>
                <a:ext uri="{FF2B5EF4-FFF2-40B4-BE49-F238E27FC236}">
                  <a16:creationId xmlns:a16="http://schemas.microsoft.com/office/drawing/2014/main" id="{00000000-0008-0000-0700-00008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82</xdr:row>
          <xdr:rowOff>28575</xdr:rowOff>
        </xdr:from>
        <xdr:to>
          <xdr:col>4</xdr:col>
          <xdr:colOff>638175</xdr:colOff>
          <xdr:row>83</xdr:row>
          <xdr:rowOff>123825</xdr:rowOff>
        </xdr:to>
        <xdr:sp macro="" textlink="">
          <xdr:nvSpPr>
            <xdr:cNvPr id="22147" name="Check Box 643" hidden="1">
              <a:extLst>
                <a:ext uri="{63B3BB69-23CF-44E3-9099-C40C66FF867C}">
                  <a14:compatExt spid="_x0000_s22147"/>
                </a:ext>
                <a:ext uri="{FF2B5EF4-FFF2-40B4-BE49-F238E27FC236}">
                  <a16:creationId xmlns:a16="http://schemas.microsoft.com/office/drawing/2014/main" id="{00000000-0008-0000-0700-00008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82</xdr:row>
          <xdr:rowOff>38100</xdr:rowOff>
        </xdr:from>
        <xdr:to>
          <xdr:col>3</xdr:col>
          <xdr:colOff>114300</xdr:colOff>
          <xdr:row>83</xdr:row>
          <xdr:rowOff>133350</xdr:rowOff>
        </xdr:to>
        <xdr:sp macro="" textlink="">
          <xdr:nvSpPr>
            <xdr:cNvPr id="22148" name="Check Box 644" hidden="1">
              <a:extLst>
                <a:ext uri="{63B3BB69-23CF-44E3-9099-C40C66FF867C}">
                  <a14:compatExt spid="_x0000_s22148"/>
                </a:ext>
                <a:ext uri="{FF2B5EF4-FFF2-40B4-BE49-F238E27FC236}">
                  <a16:creationId xmlns:a16="http://schemas.microsoft.com/office/drawing/2014/main" id="{00000000-0008-0000-0700-00008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83</xdr:row>
          <xdr:rowOff>9525</xdr:rowOff>
        </xdr:from>
        <xdr:to>
          <xdr:col>3</xdr:col>
          <xdr:colOff>104775</xdr:colOff>
          <xdr:row>84</xdr:row>
          <xdr:rowOff>104775</xdr:rowOff>
        </xdr:to>
        <xdr:sp macro="" textlink="">
          <xdr:nvSpPr>
            <xdr:cNvPr id="22149" name="Check Box 645" hidden="1">
              <a:extLst>
                <a:ext uri="{63B3BB69-23CF-44E3-9099-C40C66FF867C}">
                  <a14:compatExt spid="_x0000_s22149"/>
                </a:ext>
                <a:ext uri="{FF2B5EF4-FFF2-40B4-BE49-F238E27FC236}">
                  <a16:creationId xmlns:a16="http://schemas.microsoft.com/office/drawing/2014/main" id="{00000000-0008-0000-0700-00008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50" name="Check Box 646" hidden="1">
              <a:extLst>
                <a:ext uri="{63B3BB69-23CF-44E3-9099-C40C66FF867C}">
                  <a14:compatExt spid="_x0000_s22150"/>
                </a:ext>
                <a:ext uri="{FF2B5EF4-FFF2-40B4-BE49-F238E27FC236}">
                  <a16:creationId xmlns:a16="http://schemas.microsoft.com/office/drawing/2014/main" id="{00000000-0008-0000-0700-00008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51" name="Check Box 647" hidden="1">
              <a:extLst>
                <a:ext uri="{63B3BB69-23CF-44E3-9099-C40C66FF867C}">
                  <a14:compatExt spid="_x0000_s22151"/>
                </a:ext>
                <a:ext uri="{FF2B5EF4-FFF2-40B4-BE49-F238E27FC236}">
                  <a16:creationId xmlns:a16="http://schemas.microsoft.com/office/drawing/2014/main" id="{00000000-0008-0000-0700-00008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52" name="Check Box 648" hidden="1">
              <a:extLst>
                <a:ext uri="{63B3BB69-23CF-44E3-9099-C40C66FF867C}">
                  <a14:compatExt spid="_x0000_s22152"/>
                </a:ext>
                <a:ext uri="{FF2B5EF4-FFF2-40B4-BE49-F238E27FC236}">
                  <a16:creationId xmlns:a16="http://schemas.microsoft.com/office/drawing/2014/main" id="{00000000-0008-0000-0700-00008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53" name="Check Box 649" hidden="1">
              <a:extLst>
                <a:ext uri="{63B3BB69-23CF-44E3-9099-C40C66FF867C}">
                  <a14:compatExt spid="_x0000_s22153"/>
                </a:ext>
                <a:ext uri="{FF2B5EF4-FFF2-40B4-BE49-F238E27FC236}">
                  <a16:creationId xmlns:a16="http://schemas.microsoft.com/office/drawing/2014/main" id="{00000000-0008-0000-0700-00008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54" name="Check Box 650" hidden="1">
              <a:extLst>
                <a:ext uri="{63B3BB69-23CF-44E3-9099-C40C66FF867C}">
                  <a14:compatExt spid="_x0000_s22154"/>
                </a:ext>
                <a:ext uri="{FF2B5EF4-FFF2-40B4-BE49-F238E27FC236}">
                  <a16:creationId xmlns:a16="http://schemas.microsoft.com/office/drawing/2014/main" id="{00000000-0008-0000-0700-00008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55" name="Check Box 651" hidden="1">
              <a:extLst>
                <a:ext uri="{63B3BB69-23CF-44E3-9099-C40C66FF867C}">
                  <a14:compatExt spid="_x0000_s22155"/>
                </a:ext>
                <a:ext uri="{FF2B5EF4-FFF2-40B4-BE49-F238E27FC236}">
                  <a16:creationId xmlns:a16="http://schemas.microsoft.com/office/drawing/2014/main" id="{00000000-0008-0000-0700-00008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56" name="Check Box 652" hidden="1">
              <a:extLst>
                <a:ext uri="{63B3BB69-23CF-44E3-9099-C40C66FF867C}">
                  <a14:compatExt spid="_x0000_s22156"/>
                </a:ext>
                <a:ext uri="{FF2B5EF4-FFF2-40B4-BE49-F238E27FC236}">
                  <a16:creationId xmlns:a16="http://schemas.microsoft.com/office/drawing/2014/main" id="{00000000-0008-0000-0700-00008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57" name="Check Box 653" hidden="1">
              <a:extLst>
                <a:ext uri="{63B3BB69-23CF-44E3-9099-C40C66FF867C}">
                  <a14:compatExt spid="_x0000_s22157"/>
                </a:ext>
                <a:ext uri="{FF2B5EF4-FFF2-40B4-BE49-F238E27FC236}">
                  <a16:creationId xmlns:a16="http://schemas.microsoft.com/office/drawing/2014/main" id="{00000000-0008-0000-0700-00008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58" name="Check Box 654" hidden="1">
              <a:extLst>
                <a:ext uri="{63B3BB69-23CF-44E3-9099-C40C66FF867C}">
                  <a14:compatExt spid="_x0000_s22158"/>
                </a:ext>
                <a:ext uri="{FF2B5EF4-FFF2-40B4-BE49-F238E27FC236}">
                  <a16:creationId xmlns:a16="http://schemas.microsoft.com/office/drawing/2014/main" id="{00000000-0008-0000-0700-00008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59" name="Check Box 655" hidden="1">
              <a:extLst>
                <a:ext uri="{63B3BB69-23CF-44E3-9099-C40C66FF867C}">
                  <a14:compatExt spid="_x0000_s22159"/>
                </a:ext>
                <a:ext uri="{FF2B5EF4-FFF2-40B4-BE49-F238E27FC236}">
                  <a16:creationId xmlns:a16="http://schemas.microsoft.com/office/drawing/2014/main" id="{00000000-0008-0000-0700-00008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60" name="Check Box 656" hidden="1">
              <a:extLst>
                <a:ext uri="{63B3BB69-23CF-44E3-9099-C40C66FF867C}">
                  <a14:compatExt spid="_x0000_s22160"/>
                </a:ext>
                <a:ext uri="{FF2B5EF4-FFF2-40B4-BE49-F238E27FC236}">
                  <a16:creationId xmlns:a16="http://schemas.microsoft.com/office/drawing/2014/main" id="{00000000-0008-0000-0700-00009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61" name="Check Box 657" hidden="1">
              <a:extLst>
                <a:ext uri="{63B3BB69-23CF-44E3-9099-C40C66FF867C}">
                  <a14:compatExt spid="_x0000_s22161"/>
                </a:ext>
                <a:ext uri="{FF2B5EF4-FFF2-40B4-BE49-F238E27FC236}">
                  <a16:creationId xmlns:a16="http://schemas.microsoft.com/office/drawing/2014/main" id="{00000000-0008-0000-0700-00009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62" name="Check Box 658" hidden="1">
              <a:extLst>
                <a:ext uri="{63B3BB69-23CF-44E3-9099-C40C66FF867C}">
                  <a14:compatExt spid="_x0000_s22162"/>
                </a:ext>
                <a:ext uri="{FF2B5EF4-FFF2-40B4-BE49-F238E27FC236}">
                  <a16:creationId xmlns:a16="http://schemas.microsoft.com/office/drawing/2014/main" id="{00000000-0008-0000-0700-00009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63" name="Check Box 659" hidden="1">
              <a:extLst>
                <a:ext uri="{63B3BB69-23CF-44E3-9099-C40C66FF867C}">
                  <a14:compatExt spid="_x0000_s22163"/>
                </a:ext>
                <a:ext uri="{FF2B5EF4-FFF2-40B4-BE49-F238E27FC236}">
                  <a16:creationId xmlns:a16="http://schemas.microsoft.com/office/drawing/2014/main" id="{00000000-0008-0000-0700-00009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64" name="Check Box 660" hidden="1">
              <a:extLst>
                <a:ext uri="{63B3BB69-23CF-44E3-9099-C40C66FF867C}">
                  <a14:compatExt spid="_x0000_s22164"/>
                </a:ext>
                <a:ext uri="{FF2B5EF4-FFF2-40B4-BE49-F238E27FC236}">
                  <a16:creationId xmlns:a16="http://schemas.microsoft.com/office/drawing/2014/main" id="{00000000-0008-0000-0700-00009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65" name="Check Box 661" hidden="1">
              <a:extLst>
                <a:ext uri="{63B3BB69-23CF-44E3-9099-C40C66FF867C}">
                  <a14:compatExt spid="_x0000_s22165"/>
                </a:ext>
                <a:ext uri="{FF2B5EF4-FFF2-40B4-BE49-F238E27FC236}">
                  <a16:creationId xmlns:a16="http://schemas.microsoft.com/office/drawing/2014/main" id="{00000000-0008-0000-0700-00009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66" name="Check Box 662" hidden="1">
              <a:extLst>
                <a:ext uri="{63B3BB69-23CF-44E3-9099-C40C66FF867C}">
                  <a14:compatExt spid="_x0000_s22166"/>
                </a:ext>
                <a:ext uri="{FF2B5EF4-FFF2-40B4-BE49-F238E27FC236}">
                  <a16:creationId xmlns:a16="http://schemas.microsoft.com/office/drawing/2014/main" id="{00000000-0008-0000-0700-00009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67" name="Check Box 663" hidden="1">
              <a:extLst>
                <a:ext uri="{63B3BB69-23CF-44E3-9099-C40C66FF867C}">
                  <a14:compatExt spid="_x0000_s22167"/>
                </a:ext>
                <a:ext uri="{FF2B5EF4-FFF2-40B4-BE49-F238E27FC236}">
                  <a16:creationId xmlns:a16="http://schemas.microsoft.com/office/drawing/2014/main" id="{00000000-0008-0000-0700-00009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68" name="Check Box 664" hidden="1">
              <a:extLst>
                <a:ext uri="{63B3BB69-23CF-44E3-9099-C40C66FF867C}">
                  <a14:compatExt spid="_x0000_s22168"/>
                </a:ext>
                <a:ext uri="{FF2B5EF4-FFF2-40B4-BE49-F238E27FC236}">
                  <a16:creationId xmlns:a16="http://schemas.microsoft.com/office/drawing/2014/main" id="{00000000-0008-0000-0700-00009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69" name="Check Box 665" hidden="1">
              <a:extLst>
                <a:ext uri="{63B3BB69-23CF-44E3-9099-C40C66FF867C}">
                  <a14:compatExt spid="_x0000_s22169"/>
                </a:ext>
                <a:ext uri="{FF2B5EF4-FFF2-40B4-BE49-F238E27FC236}">
                  <a16:creationId xmlns:a16="http://schemas.microsoft.com/office/drawing/2014/main" id="{00000000-0008-0000-0700-00009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70" name="Check Box 666" hidden="1">
              <a:extLst>
                <a:ext uri="{63B3BB69-23CF-44E3-9099-C40C66FF867C}">
                  <a14:compatExt spid="_x0000_s22170"/>
                </a:ext>
                <a:ext uri="{FF2B5EF4-FFF2-40B4-BE49-F238E27FC236}">
                  <a16:creationId xmlns:a16="http://schemas.microsoft.com/office/drawing/2014/main" id="{00000000-0008-0000-0700-00009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71" name="Check Box 667" hidden="1">
              <a:extLst>
                <a:ext uri="{63B3BB69-23CF-44E3-9099-C40C66FF867C}">
                  <a14:compatExt spid="_x0000_s22171"/>
                </a:ext>
                <a:ext uri="{FF2B5EF4-FFF2-40B4-BE49-F238E27FC236}">
                  <a16:creationId xmlns:a16="http://schemas.microsoft.com/office/drawing/2014/main" id="{00000000-0008-0000-0700-00009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72" name="Check Box 668" hidden="1">
              <a:extLst>
                <a:ext uri="{63B3BB69-23CF-44E3-9099-C40C66FF867C}">
                  <a14:compatExt spid="_x0000_s22172"/>
                </a:ext>
                <a:ext uri="{FF2B5EF4-FFF2-40B4-BE49-F238E27FC236}">
                  <a16:creationId xmlns:a16="http://schemas.microsoft.com/office/drawing/2014/main" id="{00000000-0008-0000-0700-00009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73" name="Check Box 669" hidden="1">
              <a:extLst>
                <a:ext uri="{63B3BB69-23CF-44E3-9099-C40C66FF867C}">
                  <a14:compatExt spid="_x0000_s22173"/>
                </a:ext>
                <a:ext uri="{FF2B5EF4-FFF2-40B4-BE49-F238E27FC236}">
                  <a16:creationId xmlns:a16="http://schemas.microsoft.com/office/drawing/2014/main" id="{00000000-0008-0000-0700-00009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74" name="Check Box 670" hidden="1">
              <a:extLst>
                <a:ext uri="{63B3BB69-23CF-44E3-9099-C40C66FF867C}">
                  <a14:compatExt spid="_x0000_s22174"/>
                </a:ext>
                <a:ext uri="{FF2B5EF4-FFF2-40B4-BE49-F238E27FC236}">
                  <a16:creationId xmlns:a16="http://schemas.microsoft.com/office/drawing/2014/main" id="{00000000-0008-0000-0700-00009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75" name="Check Box 671" hidden="1">
              <a:extLst>
                <a:ext uri="{63B3BB69-23CF-44E3-9099-C40C66FF867C}">
                  <a14:compatExt spid="_x0000_s22175"/>
                </a:ext>
                <a:ext uri="{FF2B5EF4-FFF2-40B4-BE49-F238E27FC236}">
                  <a16:creationId xmlns:a16="http://schemas.microsoft.com/office/drawing/2014/main" id="{00000000-0008-0000-0700-00009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76" name="Check Box 672" hidden="1">
              <a:extLst>
                <a:ext uri="{63B3BB69-23CF-44E3-9099-C40C66FF867C}">
                  <a14:compatExt spid="_x0000_s22176"/>
                </a:ext>
                <a:ext uri="{FF2B5EF4-FFF2-40B4-BE49-F238E27FC236}">
                  <a16:creationId xmlns:a16="http://schemas.microsoft.com/office/drawing/2014/main" id="{00000000-0008-0000-0700-0000A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77" name="Check Box 673" hidden="1">
              <a:extLst>
                <a:ext uri="{63B3BB69-23CF-44E3-9099-C40C66FF867C}">
                  <a14:compatExt spid="_x0000_s22177"/>
                </a:ext>
                <a:ext uri="{FF2B5EF4-FFF2-40B4-BE49-F238E27FC236}">
                  <a16:creationId xmlns:a16="http://schemas.microsoft.com/office/drawing/2014/main" id="{00000000-0008-0000-0700-0000A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78" name="Check Box 674" hidden="1">
              <a:extLst>
                <a:ext uri="{63B3BB69-23CF-44E3-9099-C40C66FF867C}">
                  <a14:compatExt spid="_x0000_s22178"/>
                </a:ext>
                <a:ext uri="{FF2B5EF4-FFF2-40B4-BE49-F238E27FC236}">
                  <a16:creationId xmlns:a16="http://schemas.microsoft.com/office/drawing/2014/main" id="{00000000-0008-0000-0700-0000A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79" name="Check Box 675" hidden="1">
              <a:extLst>
                <a:ext uri="{63B3BB69-23CF-44E3-9099-C40C66FF867C}">
                  <a14:compatExt spid="_x0000_s22179"/>
                </a:ext>
                <a:ext uri="{FF2B5EF4-FFF2-40B4-BE49-F238E27FC236}">
                  <a16:creationId xmlns:a16="http://schemas.microsoft.com/office/drawing/2014/main" id="{00000000-0008-0000-0700-0000A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80" name="Check Box 676" hidden="1">
              <a:extLst>
                <a:ext uri="{63B3BB69-23CF-44E3-9099-C40C66FF867C}">
                  <a14:compatExt spid="_x0000_s22180"/>
                </a:ext>
                <a:ext uri="{FF2B5EF4-FFF2-40B4-BE49-F238E27FC236}">
                  <a16:creationId xmlns:a16="http://schemas.microsoft.com/office/drawing/2014/main" id="{00000000-0008-0000-0700-0000A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81" name="Check Box 677" hidden="1">
              <a:extLst>
                <a:ext uri="{63B3BB69-23CF-44E3-9099-C40C66FF867C}">
                  <a14:compatExt spid="_x0000_s22181"/>
                </a:ext>
                <a:ext uri="{FF2B5EF4-FFF2-40B4-BE49-F238E27FC236}">
                  <a16:creationId xmlns:a16="http://schemas.microsoft.com/office/drawing/2014/main" id="{00000000-0008-0000-0700-0000A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82" name="Check Box 678" hidden="1">
              <a:extLst>
                <a:ext uri="{63B3BB69-23CF-44E3-9099-C40C66FF867C}">
                  <a14:compatExt spid="_x0000_s22182"/>
                </a:ext>
                <a:ext uri="{FF2B5EF4-FFF2-40B4-BE49-F238E27FC236}">
                  <a16:creationId xmlns:a16="http://schemas.microsoft.com/office/drawing/2014/main" id="{00000000-0008-0000-0700-0000A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83" name="Check Box 679" hidden="1">
              <a:extLst>
                <a:ext uri="{63B3BB69-23CF-44E3-9099-C40C66FF867C}">
                  <a14:compatExt spid="_x0000_s22183"/>
                </a:ext>
                <a:ext uri="{FF2B5EF4-FFF2-40B4-BE49-F238E27FC236}">
                  <a16:creationId xmlns:a16="http://schemas.microsoft.com/office/drawing/2014/main" id="{00000000-0008-0000-0700-0000A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84" name="Check Box 680" hidden="1">
              <a:extLst>
                <a:ext uri="{63B3BB69-23CF-44E3-9099-C40C66FF867C}">
                  <a14:compatExt spid="_x0000_s22184"/>
                </a:ext>
                <a:ext uri="{FF2B5EF4-FFF2-40B4-BE49-F238E27FC236}">
                  <a16:creationId xmlns:a16="http://schemas.microsoft.com/office/drawing/2014/main" id="{00000000-0008-0000-0700-0000A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85" name="Check Box 681" hidden="1">
              <a:extLst>
                <a:ext uri="{63B3BB69-23CF-44E3-9099-C40C66FF867C}">
                  <a14:compatExt spid="_x0000_s22185"/>
                </a:ext>
                <a:ext uri="{FF2B5EF4-FFF2-40B4-BE49-F238E27FC236}">
                  <a16:creationId xmlns:a16="http://schemas.microsoft.com/office/drawing/2014/main" id="{00000000-0008-0000-0700-0000A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86" name="Check Box 682" hidden="1">
              <a:extLst>
                <a:ext uri="{63B3BB69-23CF-44E3-9099-C40C66FF867C}">
                  <a14:compatExt spid="_x0000_s22186"/>
                </a:ext>
                <a:ext uri="{FF2B5EF4-FFF2-40B4-BE49-F238E27FC236}">
                  <a16:creationId xmlns:a16="http://schemas.microsoft.com/office/drawing/2014/main" id="{00000000-0008-0000-0700-0000A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87" name="Check Box 683" hidden="1">
              <a:extLst>
                <a:ext uri="{63B3BB69-23CF-44E3-9099-C40C66FF867C}">
                  <a14:compatExt spid="_x0000_s22187"/>
                </a:ext>
                <a:ext uri="{FF2B5EF4-FFF2-40B4-BE49-F238E27FC236}">
                  <a16:creationId xmlns:a16="http://schemas.microsoft.com/office/drawing/2014/main" id="{00000000-0008-0000-0700-0000A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88" name="Check Box 684" hidden="1">
              <a:extLst>
                <a:ext uri="{63B3BB69-23CF-44E3-9099-C40C66FF867C}">
                  <a14:compatExt spid="_x0000_s22188"/>
                </a:ext>
                <a:ext uri="{FF2B5EF4-FFF2-40B4-BE49-F238E27FC236}">
                  <a16:creationId xmlns:a16="http://schemas.microsoft.com/office/drawing/2014/main" id="{00000000-0008-0000-0700-0000A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89" name="Check Box 685" hidden="1">
              <a:extLst>
                <a:ext uri="{63B3BB69-23CF-44E3-9099-C40C66FF867C}">
                  <a14:compatExt spid="_x0000_s22189"/>
                </a:ext>
                <a:ext uri="{FF2B5EF4-FFF2-40B4-BE49-F238E27FC236}">
                  <a16:creationId xmlns:a16="http://schemas.microsoft.com/office/drawing/2014/main" id="{00000000-0008-0000-0700-0000A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90" name="Check Box 686" hidden="1">
              <a:extLst>
                <a:ext uri="{63B3BB69-23CF-44E3-9099-C40C66FF867C}">
                  <a14:compatExt spid="_x0000_s22190"/>
                </a:ext>
                <a:ext uri="{FF2B5EF4-FFF2-40B4-BE49-F238E27FC236}">
                  <a16:creationId xmlns:a16="http://schemas.microsoft.com/office/drawing/2014/main" id="{00000000-0008-0000-0700-0000A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91" name="Check Box 687" hidden="1">
              <a:extLst>
                <a:ext uri="{63B3BB69-23CF-44E3-9099-C40C66FF867C}">
                  <a14:compatExt spid="_x0000_s22191"/>
                </a:ext>
                <a:ext uri="{FF2B5EF4-FFF2-40B4-BE49-F238E27FC236}">
                  <a16:creationId xmlns:a16="http://schemas.microsoft.com/office/drawing/2014/main" id="{00000000-0008-0000-0700-0000A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92" name="Check Box 688" hidden="1">
              <a:extLst>
                <a:ext uri="{63B3BB69-23CF-44E3-9099-C40C66FF867C}">
                  <a14:compatExt spid="_x0000_s22192"/>
                </a:ext>
                <a:ext uri="{FF2B5EF4-FFF2-40B4-BE49-F238E27FC236}">
                  <a16:creationId xmlns:a16="http://schemas.microsoft.com/office/drawing/2014/main" id="{00000000-0008-0000-0700-0000B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93" name="Check Box 689" hidden="1">
              <a:extLst>
                <a:ext uri="{63B3BB69-23CF-44E3-9099-C40C66FF867C}">
                  <a14:compatExt spid="_x0000_s22193"/>
                </a:ext>
                <a:ext uri="{FF2B5EF4-FFF2-40B4-BE49-F238E27FC236}">
                  <a16:creationId xmlns:a16="http://schemas.microsoft.com/office/drawing/2014/main" id="{00000000-0008-0000-0700-0000B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94" name="Check Box 690" hidden="1">
              <a:extLst>
                <a:ext uri="{63B3BB69-23CF-44E3-9099-C40C66FF867C}">
                  <a14:compatExt spid="_x0000_s22194"/>
                </a:ext>
                <a:ext uri="{FF2B5EF4-FFF2-40B4-BE49-F238E27FC236}">
                  <a16:creationId xmlns:a16="http://schemas.microsoft.com/office/drawing/2014/main" id="{00000000-0008-0000-0700-0000B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95" name="Check Box 691" hidden="1">
              <a:extLst>
                <a:ext uri="{63B3BB69-23CF-44E3-9099-C40C66FF867C}">
                  <a14:compatExt spid="_x0000_s22195"/>
                </a:ext>
                <a:ext uri="{FF2B5EF4-FFF2-40B4-BE49-F238E27FC236}">
                  <a16:creationId xmlns:a16="http://schemas.microsoft.com/office/drawing/2014/main" id="{00000000-0008-0000-0700-0000B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196" name="Check Box 692" hidden="1">
              <a:extLst>
                <a:ext uri="{63B3BB69-23CF-44E3-9099-C40C66FF867C}">
                  <a14:compatExt spid="_x0000_s22196"/>
                </a:ext>
                <a:ext uri="{FF2B5EF4-FFF2-40B4-BE49-F238E27FC236}">
                  <a16:creationId xmlns:a16="http://schemas.microsoft.com/office/drawing/2014/main" id="{00000000-0008-0000-0700-0000B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197" name="Check Box 693" hidden="1">
              <a:extLst>
                <a:ext uri="{63B3BB69-23CF-44E3-9099-C40C66FF867C}">
                  <a14:compatExt spid="_x0000_s22197"/>
                </a:ext>
                <a:ext uri="{FF2B5EF4-FFF2-40B4-BE49-F238E27FC236}">
                  <a16:creationId xmlns:a16="http://schemas.microsoft.com/office/drawing/2014/main" id="{00000000-0008-0000-0700-0000B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198" name="Check Box 694" hidden="1">
              <a:extLst>
                <a:ext uri="{63B3BB69-23CF-44E3-9099-C40C66FF867C}">
                  <a14:compatExt spid="_x0000_s22198"/>
                </a:ext>
                <a:ext uri="{FF2B5EF4-FFF2-40B4-BE49-F238E27FC236}">
                  <a16:creationId xmlns:a16="http://schemas.microsoft.com/office/drawing/2014/main" id="{00000000-0008-0000-0700-0000B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199" name="Check Box 695" hidden="1">
              <a:extLst>
                <a:ext uri="{63B3BB69-23CF-44E3-9099-C40C66FF867C}">
                  <a14:compatExt spid="_x0000_s22199"/>
                </a:ext>
                <a:ext uri="{FF2B5EF4-FFF2-40B4-BE49-F238E27FC236}">
                  <a16:creationId xmlns:a16="http://schemas.microsoft.com/office/drawing/2014/main" id="{00000000-0008-0000-0700-0000B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200" name="Check Box 696" hidden="1">
              <a:extLst>
                <a:ext uri="{63B3BB69-23CF-44E3-9099-C40C66FF867C}">
                  <a14:compatExt spid="_x0000_s22200"/>
                </a:ext>
                <a:ext uri="{FF2B5EF4-FFF2-40B4-BE49-F238E27FC236}">
                  <a16:creationId xmlns:a16="http://schemas.microsoft.com/office/drawing/2014/main" id="{00000000-0008-0000-0700-0000B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201" name="Check Box 697" hidden="1">
              <a:extLst>
                <a:ext uri="{63B3BB69-23CF-44E3-9099-C40C66FF867C}">
                  <a14:compatExt spid="_x0000_s22201"/>
                </a:ext>
                <a:ext uri="{FF2B5EF4-FFF2-40B4-BE49-F238E27FC236}">
                  <a16:creationId xmlns:a16="http://schemas.microsoft.com/office/drawing/2014/main" id="{00000000-0008-0000-0700-0000B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202" name="Check Box 698" hidden="1">
              <a:extLst>
                <a:ext uri="{63B3BB69-23CF-44E3-9099-C40C66FF867C}">
                  <a14:compatExt spid="_x0000_s22202"/>
                </a:ext>
                <a:ext uri="{FF2B5EF4-FFF2-40B4-BE49-F238E27FC236}">
                  <a16:creationId xmlns:a16="http://schemas.microsoft.com/office/drawing/2014/main" id="{00000000-0008-0000-0700-0000B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203" name="Check Box 699" hidden="1">
              <a:extLst>
                <a:ext uri="{63B3BB69-23CF-44E3-9099-C40C66FF867C}">
                  <a14:compatExt spid="_x0000_s22203"/>
                </a:ext>
                <a:ext uri="{FF2B5EF4-FFF2-40B4-BE49-F238E27FC236}">
                  <a16:creationId xmlns:a16="http://schemas.microsoft.com/office/drawing/2014/main" id="{00000000-0008-0000-0700-0000B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204" name="Check Box 700" hidden="1">
              <a:extLst>
                <a:ext uri="{63B3BB69-23CF-44E3-9099-C40C66FF867C}">
                  <a14:compatExt spid="_x0000_s22204"/>
                </a:ext>
                <a:ext uri="{FF2B5EF4-FFF2-40B4-BE49-F238E27FC236}">
                  <a16:creationId xmlns:a16="http://schemas.microsoft.com/office/drawing/2014/main" id="{00000000-0008-0000-0700-0000B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205" name="Check Box 701" hidden="1">
              <a:extLst>
                <a:ext uri="{63B3BB69-23CF-44E3-9099-C40C66FF867C}">
                  <a14:compatExt spid="_x0000_s22205"/>
                </a:ext>
                <a:ext uri="{FF2B5EF4-FFF2-40B4-BE49-F238E27FC236}">
                  <a16:creationId xmlns:a16="http://schemas.microsoft.com/office/drawing/2014/main" id="{00000000-0008-0000-0700-0000B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87</xdr:row>
          <xdr:rowOff>28575</xdr:rowOff>
        </xdr:from>
        <xdr:to>
          <xdr:col>3</xdr:col>
          <xdr:colOff>819150</xdr:colOff>
          <xdr:row>88</xdr:row>
          <xdr:rowOff>123825</xdr:rowOff>
        </xdr:to>
        <xdr:sp macro="" textlink="">
          <xdr:nvSpPr>
            <xdr:cNvPr id="22206" name="Check Box 702" hidden="1">
              <a:extLst>
                <a:ext uri="{63B3BB69-23CF-44E3-9099-C40C66FF867C}">
                  <a14:compatExt spid="_x0000_s22206"/>
                </a:ext>
                <a:ext uri="{FF2B5EF4-FFF2-40B4-BE49-F238E27FC236}">
                  <a16:creationId xmlns:a16="http://schemas.microsoft.com/office/drawing/2014/main" id="{00000000-0008-0000-0700-0000B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87</xdr:row>
          <xdr:rowOff>28575</xdr:rowOff>
        </xdr:from>
        <xdr:to>
          <xdr:col>4</xdr:col>
          <xdr:colOff>638175</xdr:colOff>
          <xdr:row>88</xdr:row>
          <xdr:rowOff>123825</xdr:rowOff>
        </xdr:to>
        <xdr:sp macro="" textlink="">
          <xdr:nvSpPr>
            <xdr:cNvPr id="22207" name="Check Box 703" hidden="1">
              <a:extLst>
                <a:ext uri="{63B3BB69-23CF-44E3-9099-C40C66FF867C}">
                  <a14:compatExt spid="_x0000_s22207"/>
                </a:ext>
                <a:ext uri="{FF2B5EF4-FFF2-40B4-BE49-F238E27FC236}">
                  <a16:creationId xmlns:a16="http://schemas.microsoft.com/office/drawing/2014/main" id="{00000000-0008-0000-0700-0000B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87</xdr:row>
          <xdr:rowOff>38100</xdr:rowOff>
        </xdr:from>
        <xdr:to>
          <xdr:col>3</xdr:col>
          <xdr:colOff>114300</xdr:colOff>
          <xdr:row>88</xdr:row>
          <xdr:rowOff>133350</xdr:rowOff>
        </xdr:to>
        <xdr:sp macro="" textlink="">
          <xdr:nvSpPr>
            <xdr:cNvPr id="22208" name="Check Box 704" hidden="1">
              <a:extLst>
                <a:ext uri="{63B3BB69-23CF-44E3-9099-C40C66FF867C}">
                  <a14:compatExt spid="_x0000_s22208"/>
                </a:ext>
                <a:ext uri="{FF2B5EF4-FFF2-40B4-BE49-F238E27FC236}">
                  <a16:creationId xmlns:a16="http://schemas.microsoft.com/office/drawing/2014/main" id="{00000000-0008-0000-0700-0000C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88</xdr:row>
          <xdr:rowOff>9525</xdr:rowOff>
        </xdr:from>
        <xdr:to>
          <xdr:col>3</xdr:col>
          <xdr:colOff>104775</xdr:colOff>
          <xdr:row>89</xdr:row>
          <xdr:rowOff>104775</xdr:rowOff>
        </xdr:to>
        <xdr:sp macro="" textlink="">
          <xdr:nvSpPr>
            <xdr:cNvPr id="22209" name="Check Box 705" hidden="1">
              <a:extLst>
                <a:ext uri="{63B3BB69-23CF-44E3-9099-C40C66FF867C}">
                  <a14:compatExt spid="_x0000_s22209"/>
                </a:ext>
                <a:ext uri="{FF2B5EF4-FFF2-40B4-BE49-F238E27FC236}">
                  <a16:creationId xmlns:a16="http://schemas.microsoft.com/office/drawing/2014/main" id="{00000000-0008-0000-0700-0000C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10" name="Check Box 706" hidden="1">
              <a:extLst>
                <a:ext uri="{63B3BB69-23CF-44E3-9099-C40C66FF867C}">
                  <a14:compatExt spid="_x0000_s22210"/>
                </a:ext>
                <a:ext uri="{FF2B5EF4-FFF2-40B4-BE49-F238E27FC236}">
                  <a16:creationId xmlns:a16="http://schemas.microsoft.com/office/drawing/2014/main" id="{00000000-0008-0000-0700-0000C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11" name="Check Box 707" hidden="1">
              <a:extLst>
                <a:ext uri="{63B3BB69-23CF-44E3-9099-C40C66FF867C}">
                  <a14:compatExt spid="_x0000_s22211"/>
                </a:ext>
                <a:ext uri="{FF2B5EF4-FFF2-40B4-BE49-F238E27FC236}">
                  <a16:creationId xmlns:a16="http://schemas.microsoft.com/office/drawing/2014/main" id="{00000000-0008-0000-0700-0000C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12" name="Check Box 708" hidden="1">
              <a:extLst>
                <a:ext uri="{63B3BB69-23CF-44E3-9099-C40C66FF867C}">
                  <a14:compatExt spid="_x0000_s22212"/>
                </a:ext>
                <a:ext uri="{FF2B5EF4-FFF2-40B4-BE49-F238E27FC236}">
                  <a16:creationId xmlns:a16="http://schemas.microsoft.com/office/drawing/2014/main" id="{00000000-0008-0000-0700-0000C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13" name="Check Box 709" hidden="1">
              <a:extLst>
                <a:ext uri="{63B3BB69-23CF-44E3-9099-C40C66FF867C}">
                  <a14:compatExt spid="_x0000_s22213"/>
                </a:ext>
                <a:ext uri="{FF2B5EF4-FFF2-40B4-BE49-F238E27FC236}">
                  <a16:creationId xmlns:a16="http://schemas.microsoft.com/office/drawing/2014/main" id="{00000000-0008-0000-0700-0000C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14" name="Check Box 710" hidden="1">
              <a:extLst>
                <a:ext uri="{63B3BB69-23CF-44E3-9099-C40C66FF867C}">
                  <a14:compatExt spid="_x0000_s22214"/>
                </a:ext>
                <a:ext uri="{FF2B5EF4-FFF2-40B4-BE49-F238E27FC236}">
                  <a16:creationId xmlns:a16="http://schemas.microsoft.com/office/drawing/2014/main" id="{00000000-0008-0000-0700-0000C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15" name="Check Box 711" hidden="1">
              <a:extLst>
                <a:ext uri="{63B3BB69-23CF-44E3-9099-C40C66FF867C}">
                  <a14:compatExt spid="_x0000_s22215"/>
                </a:ext>
                <a:ext uri="{FF2B5EF4-FFF2-40B4-BE49-F238E27FC236}">
                  <a16:creationId xmlns:a16="http://schemas.microsoft.com/office/drawing/2014/main" id="{00000000-0008-0000-0700-0000C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16" name="Check Box 712" hidden="1">
              <a:extLst>
                <a:ext uri="{63B3BB69-23CF-44E3-9099-C40C66FF867C}">
                  <a14:compatExt spid="_x0000_s22216"/>
                </a:ext>
                <a:ext uri="{FF2B5EF4-FFF2-40B4-BE49-F238E27FC236}">
                  <a16:creationId xmlns:a16="http://schemas.microsoft.com/office/drawing/2014/main" id="{00000000-0008-0000-0700-0000C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17" name="Check Box 713" hidden="1">
              <a:extLst>
                <a:ext uri="{63B3BB69-23CF-44E3-9099-C40C66FF867C}">
                  <a14:compatExt spid="_x0000_s22217"/>
                </a:ext>
                <a:ext uri="{FF2B5EF4-FFF2-40B4-BE49-F238E27FC236}">
                  <a16:creationId xmlns:a16="http://schemas.microsoft.com/office/drawing/2014/main" id="{00000000-0008-0000-0700-0000C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18" name="Check Box 714" hidden="1">
              <a:extLst>
                <a:ext uri="{63B3BB69-23CF-44E3-9099-C40C66FF867C}">
                  <a14:compatExt spid="_x0000_s22218"/>
                </a:ext>
                <a:ext uri="{FF2B5EF4-FFF2-40B4-BE49-F238E27FC236}">
                  <a16:creationId xmlns:a16="http://schemas.microsoft.com/office/drawing/2014/main" id="{00000000-0008-0000-0700-0000C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19" name="Check Box 715" hidden="1">
              <a:extLst>
                <a:ext uri="{63B3BB69-23CF-44E3-9099-C40C66FF867C}">
                  <a14:compatExt spid="_x0000_s22219"/>
                </a:ext>
                <a:ext uri="{FF2B5EF4-FFF2-40B4-BE49-F238E27FC236}">
                  <a16:creationId xmlns:a16="http://schemas.microsoft.com/office/drawing/2014/main" id="{00000000-0008-0000-0700-0000C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20" name="Check Box 716" hidden="1">
              <a:extLst>
                <a:ext uri="{63B3BB69-23CF-44E3-9099-C40C66FF867C}">
                  <a14:compatExt spid="_x0000_s22220"/>
                </a:ext>
                <a:ext uri="{FF2B5EF4-FFF2-40B4-BE49-F238E27FC236}">
                  <a16:creationId xmlns:a16="http://schemas.microsoft.com/office/drawing/2014/main" id="{00000000-0008-0000-0700-0000C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21" name="Check Box 717" hidden="1">
              <a:extLst>
                <a:ext uri="{63B3BB69-23CF-44E3-9099-C40C66FF867C}">
                  <a14:compatExt spid="_x0000_s22221"/>
                </a:ext>
                <a:ext uri="{FF2B5EF4-FFF2-40B4-BE49-F238E27FC236}">
                  <a16:creationId xmlns:a16="http://schemas.microsoft.com/office/drawing/2014/main" id="{00000000-0008-0000-0700-0000C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22" name="Check Box 718" hidden="1">
              <a:extLst>
                <a:ext uri="{63B3BB69-23CF-44E3-9099-C40C66FF867C}">
                  <a14:compatExt spid="_x0000_s22222"/>
                </a:ext>
                <a:ext uri="{FF2B5EF4-FFF2-40B4-BE49-F238E27FC236}">
                  <a16:creationId xmlns:a16="http://schemas.microsoft.com/office/drawing/2014/main" id="{00000000-0008-0000-0700-0000C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23" name="Check Box 719" hidden="1">
              <a:extLst>
                <a:ext uri="{63B3BB69-23CF-44E3-9099-C40C66FF867C}">
                  <a14:compatExt spid="_x0000_s22223"/>
                </a:ext>
                <a:ext uri="{FF2B5EF4-FFF2-40B4-BE49-F238E27FC236}">
                  <a16:creationId xmlns:a16="http://schemas.microsoft.com/office/drawing/2014/main" id="{00000000-0008-0000-0700-0000C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24" name="Check Box 720" hidden="1">
              <a:extLst>
                <a:ext uri="{63B3BB69-23CF-44E3-9099-C40C66FF867C}">
                  <a14:compatExt spid="_x0000_s22224"/>
                </a:ext>
                <a:ext uri="{FF2B5EF4-FFF2-40B4-BE49-F238E27FC236}">
                  <a16:creationId xmlns:a16="http://schemas.microsoft.com/office/drawing/2014/main" id="{00000000-0008-0000-0700-0000D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25" name="Check Box 721" hidden="1">
              <a:extLst>
                <a:ext uri="{63B3BB69-23CF-44E3-9099-C40C66FF867C}">
                  <a14:compatExt spid="_x0000_s22225"/>
                </a:ext>
                <a:ext uri="{FF2B5EF4-FFF2-40B4-BE49-F238E27FC236}">
                  <a16:creationId xmlns:a16="http://schemas.microsoft.com/office/drawing/2014/main" id="{00000000-0008-0000-0700-0000D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26" name="Check Box 722" hidden="1">
              <a:extLst>
                <a:ext uri="{63B3BB69-23CF-44E3-9099-C40C66FF867C}">
                  <a14:compatExt spid="_x0000_s22226"/>
                </a:ext>
                <a:ext uri="{FF2B5EF4-FFF2-40B4-BE49-F238E27FC236}">
                  <a16:creationId xmlns:a16="http://schemas.microsoft.com/office/drawing/2014/main" id="{00000000-0008-0000-0700-0000D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27" name="Check Box 723" hidden="1">
              <a:extLst>
                <a:ext uri="{63B3BB69-23CF-44E3-9099-C40C66FF867C}">
                  <a14:compatExt spid="_x0000_s22227"/>
                </a:ext>
                <a:ext uri="{FF2B5EF4-FFF2-40B4-BE49-F238E27FC236}">
                  <a16:creationId xmlns:a16="http://schemas.microsoft.com/office/drawing/2014/main" id="{00000000-0008-0000-0700-0000D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28" name="Check Box 724" hidden="1">
              <a:extLst>
                <a:ext uri="{63B3BB69-23CF-44E3-9099-C40C66FF867C}">
                  <a14:compatExt spid="_x0000_s22228"/>
                </a:ext>
                <a:ext uri="{FF2B5EF4-FFF2-40B4-BE49-F238E27FC236}">
                  <a16:creationId xmlns:a16="http://schemas.microsoft.com/office/drawing/2014/main" id="{00000000-0008-0000-0700-0000D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29" name="Check Box 725" hidden="1">
              <a:extLst>
                <a:ext uri="{63B3BB69-23CF-44E3-9099-C40C66FF867C}">
                  <a14:compatExt spid="_x0000_s22229"/>
                </a:ext>
                <a:ext uri="{FF2B5EF4-FFF2-40B4-BE49-F238E27FC236}">
                  <a16:creationId xmlns:a16="http://schemas.microsoft.com/office/drawing/2014/main" id="{00000000-0008-0000-0700-0000D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30" name="Check Box 726" hidden="1">
              <a:extLst>
                <a:ext uri="{63B3BB69-23CF-44E3-9099-C40C66FF867C}">
                  <a14:compatExt spid="_x0000_s22230"/>
                </a:ext>
                <a:ext uri="{FF2B5EF4-FFF2-40B4-BE49-F238E27FC236}">
                  <a16:creationId xmlns:a16="http://schemas.microsoft.com/office/drawing/2014/main" id="{00000000-0008-0000-0700-0000D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31" name="Check Box 727" hidden="1">
              <a:extLst>
                <a:ext uri="{63B3BB69-23CF-44E3-9099-C40C66FF867C}">
                  <a14:compatExt spid="_x0000_s22231"/>
                </a:ext>
                <a:ext uri="{FF2B5EF4-FFF2-40B4-BE49-F238E27FC236}">
                  <a16:creationId xmlns:a16="http://schemas.microsoft.com/office/drawing/2014/main" id="{00000000-0008-0000-0700-0000D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32" name="Check Box 728" hidden="1">
              <a:extLst>
                <a:ext uri="{63B3BB69-23CF-44E3-9099-C40C66FF867C}">
                  <a14:compatExt spid="_x0000_s22232"/>
                </a:ext>
                <a:ext uri="{FF2B5EF4-FFF2-40B4-BE49-F238E27FC236}">
                  <a16:creationId xmlns:a16="http://schemas.microsoft.com/office/drawing/2014/main" id="{00000000-0008-0000-0700-0000D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33" name="Check Box 729" hidden="1">
              <a:extLst>
                <a:ext uri="{63B3BB69-23CF-44E3-9099-C40C66FF867C}">
                  <a14:compatExt spid="_x0000_s22233"/>
                </a:ext>
                <a:ext uri="{FF2B5EF4-FFF2-40B4-BE49-F238E27FC236}">
                  <a16:creationId xmlns:a16="http://schemas.microsoft.com/office/drawing/2014/main" id="{00000000-0008-0000-0700-0000D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34" name="Check Box 730" hidden="1">
              <a:extLst>
                <a:ext uri="{63B3BB69-23CF-44E3-9099-C40C66FF867C}">
                  <a14:compatExt spid="_x0000_s22234"/>
                </a:ext>
                <a:ext uri="{FF2B5EF4-FFF2-40B4-BE49-F238E27FC236}">
                  <a16:creationId xmlns:a16="http://schemas.microsoft.com/office/drawing/2014/main" id="{00000000-0008-0000-0700-0000D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35" name="Check Box 731" hidden="1">
              <a:extLst>
                <a:ext uri="{63B3BB69-23CF-44E3-9099-C40C66FF867C}">
                  <a14:compatExt spid="_x0000_s22235"/>
                </a:ext>
                <a:ext uri="{FF2B5EF4-FFF2-40B4-BE49-F238E27FC236}">
                  <a16:creationId xmlns:a16="http://schemas.microsoft.com/office/drawing/2014/main" id="{00000000-0008-0000-0700-0000D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36" name="Check Box 732" hidden="1">
              <a:extLst>
                <a:ext uri="{63B3BB69-23CF-44E3-9099-C40C66FF867C}">
                  <a14:compatExt spid="_x0000_s22236"/>
                </a:ext>
                <a:ext uri="{FF2B5EF4-FFF2-40B4-BE49-F238E27FC236}">
                  <a16:creationId xmlns:a16="http://schemas.microsoft.com/office/drawing/2014/main" id="{00000000-0008-0000-0700-0000D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37" name="Check Box 733" hidden="1">
              <a:extLst>
                <a:ext uri="{63B3BB69-23CF-44E3-9099-C40C66FF867C}">
                  <a14:compatExt spid="_x0000_s22237"/>
                </a:ext>
                <a:ext uri="{FF2B5EF4-FFF2-40B4-BE49-F238E27FC236}">
                  <a16:creationId xmlns:a16="http://schemas.microsoft.com/office/drawing/2014/main" id="{00000000-0008-0000-0700-0000D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38" name="Check Box 734" hidden="1">
              <a:extLst>
                <a:ext uri="{63B3BB69-23CF-44E3-9099-C40C66FF867C}">
                  <a14:compatExt spid="_x0000_s22238"/>
                </a:ext>
                <a:ext uri="{FF2B5EF4-FFF2-40B4-BE49-F238E27FC236}">
                  <a16:creationId xmlns:a16="http://schemas.microsoft.com/office/drawing/2014/main" id="{00000000-0008-0000-0700-0000D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39" name="Check Box 735" hidden="1">
              <a:extLst>
                <a:ext uri="{63B3BB69-23CF-44E3-9099-C40C66FF867C}">
                  <a14:compatExt spid="_x0000_s22239"/>
                </a:ext>
                <a:ext uri="{FF2B5EF4-FFF2-40B4-BE49-F238E27FC236}">
                  <a16:creationId xmlns:a16="http://schemas.microsoft.com/office/drawing/2014/main" id="{00000000-0008-0000-0700-0000D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40" name="Check Box 736" hidden="1">
              <a:extLst>
                <a:ext uri="{63B3BB69-23CF-44E3-9099-C40C66FF867C}">
                  <a14:compatExt spid="_x0000_s22240"/>
                </a:ext>
                <a:ext uri="{FF2B5EF4-FFF2-40B4-BE49-F238E27FC236}">
                  <a16:creationId xmlns:a16="http://schemas.microsoft.com/office/drawing/2014/main" id="{00000000-0008-0000-0700-0000E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41" name="Check Box 737" hidden="1">
              <a:extLst>
                <a:ext uri="{63B3BB69-23CF-44E3-9099-C40C66FF867C}">
                  <a14:compatExt spid="_x0000_s22241"/>
                </a:ext>
                <a:ext uri="{FF2B5EF4-FFF2-40B4-BE49-F238E27FC236}">
                  <a16:creationId xmlns:a16="http://schemas.microsoft.com/office/drawing/2014/main" id="{00000000-0008-0000-0700-0000E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42" name="Check Box 738" hidden="1">
              <a:extLst>
                <a:ext uri="{63B3BB69-23CF-44E3-9099-C40C66FF867C}">
                  <a14:compatExt spid="_x0000_s22242"/>
                </a:ext>
                <a:ext uri="{FF2B5EF4-FFF2-40B4-BE49-F238E27FC236}">
                  <a16:creationId xmlns:a16="http://schemas.microsoft.com/office/drawing/2014/main" id="{00000000-0008-0000-0700-0000E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43" name="Check Box 739" hidden="1">
              <a:extLst>
                <a:ext uri="{63B3BB69-23CF-44E3-9099-C40C66FF867C}">
                  <a14:compatExt spid="_x0000_s22243"/>
                </a:ext>
                <a:ext uri="{FF2B5EF4-FFF2-40B4-BE49-F238E27FC236}">
                  <a16:creationId xmlns:a16="http://schemas.microsoft.com/office/drawing/2014/main" id="{00000000-0008-0000-0700-0000E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44" name="Check Box 740" hidden="1">
              <a:extLst>
                <a:ext uri="{63B3BB69-23CF-44E3-9099-C40C66FF867C}">
                  <a14:compatExt spid="_x0000_s22244"/>
                </a:ext>
                <a:ext uri="{FF2B5EF4-FFF2-40B4-BE49-F238E27FC236}">
                  <a16:creationId xmlns:a16="http://schemas.microsoft.com/office/drawing/2014/main" id="{00000000-0008-0000-0700-0000E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45" name="Check Box 741" hidden="1">
              <a:extLst>
                <a:ext uri="{63B3BB69-23CF-44E3-9099-C40C66FF867C}">
                  <a14:compatExt spid="_x0000_s22245"/>
                </a:ext>
                <a:ext uri="{FF2B5EF4-FFF2-40B4-BE49-F238E27FC236}">
                  <a16:creationId xmlns:a16="http://schemas.microsoft.com/office/drawing/2014/main" id="{00000000-0008-0000-0700-0000E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46" name="Check Box 742" hidden="1">
              <a:extLst>
                <a:ext uri="{63B3BB69-23CF-44E3-9099-C40C66FF867C}">
                  <a14:compatExt spid="_x0000_s22246"/>
                </a:ext>
                <a:ext uri="{FF2B5EF4-FFF2-40B4-BE49-F238E27FC236}">
                  <a16:creationId xmlns:a16="http://schemas.microsoft.com/office/drawing/2014/main" id="{00000000-0008-0000-0700-0000E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47" name="Check Box 743" hidden="1">
              <a:extLst>
                <a:ext uri="{63B3BB69-23CF-44E3-9099-C40C66FF867C}">
                  <a14:compatExt spid="_x0000_s22247"/>
                </a:ext>
                <a:ext uri="{FF2B5EF4-FFF2-40B4-BE49-F238E27FC236}">
                  <a16:creationId xmlns:a16="http://schemas.microsoft.com/office/drawing/2014/main" id="{00000000-0008-0000-0700-0000E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48" name="Check Box 744" hidden="1">
              <a:extLst>
                <a:ext uri="{63B3BB69-23CF-44E3-9099-C40C66FF867C}">
                  <a14:compatExt spid="_x0000_s22248"/>
                </a:ext>
                <a:ext uri="{FF2B5EF4-FFF2-40B4-BE49-F238E27FC236}">
                  <a16:creationId xmlns:a16="http://schemas.microsoft.com/office/drawing/2014/main" id="{00000000-0008-0000-0700-0000E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49" name="Check Box 745" hidden="1">
              <a:extLst>
                <a:ext uri="{63B3BB69-23CF-44E3-9099-C40C66FF867C}">
                  <a14:compatExt spid="_x0000_s22249"/>
                </a:ext>
                <a:ext uri="{FF2B5EF4-FFF2-40B4-BE49-F238E27FC236}">
                  <a16:creationId xmlns:a16="http://schemas.microsoft.com/office/drawing/2014/main" id="{00000000-0008-0000-0700-0000E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50" name="Check Box 746" hidden="1">
              <a:extLst>
                <a:ext uri="{63B3BB69-23CF-44E3-9099-C40C66FF867C}">
                  <a14:compatExt spid="_x0000_s22250"/>
                </a:ext>
                <a:ext uri="{FF2B5EF4-FFF2-40B4-BE49-F238E27FC236}">
                  <a16:creationId xmlns:a16="http://schemas.microsoft.com/office/drawing/2014/main" id="{00000000-0008-0000-0700-0000E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51" name="Check Box 747" hidden="1">
              <a:extLst>
                <a:ext uri="{63B3BB69-23CF-44E3-9099-C40C66FF867C}">
                  <a14:compatExt spid="_x0000_s22251"/>
                </a:ext>
                <a:ext uri="{FF2B5EF4-FFF2-40B4-BE49-F238E27FC236}">
                  <a16:creationId xmlns:a16="http://schemas.microsoft.com/office/drawing/2014/main" id="{00000000-0008-0000-0700-0000E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52" name="Check Box 748" hidden="1">
              <a:extLst>
                <a:ext uri="{63B3BB69-23CF-44E3-9099-C40C66FF867C}">
                  <a14:compatExt spid="_x0000_s22252"/>
                </a:ext>
                <a:ext uri="{FF2B5EF4-FFF2-40B4-BE49-F238E27FC236}">
                  <a16:creationId xmlns:a16="http://schemas.microsoft.com/office/drawing/2014/main" id="{00000000-0008-0000-0700-0000E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53" name="Check Box 749" hidden="1">
              <a:extLst>
                <a:ext uri="{63B3BB69-23CF-44E3-9099-C40C66FF867C}">
                  <a14:compatExt spid="_x0000_s22253"/>
                </a:ext>
                <a:ext uri="{FF2B5EF4-FFF2-40B4-BE49-F238E27FC236}">
                  <a16:creationId xmlns:a16="http://schemas.microsoft.com/office/drawing/2014/main" id="{00000000-0008-0000-0700-0000E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54" name="Check Box 750" hidden="1">
              <a:extLst>
                <a:ext uri="{63B3BB69-23CF-44E3-9099-C40C66FF867C}">
                  <a14:compatExt spid="_x0000_s22254"/>
                </a:ext>
                <a:ext uri="{FF2B5EF4-FFF2-40B4-BE49-F238E27FC236}">
                  <a16:creationId xmlns:a16="http://schemas.microsoft.com/office/drawing/2014/main" id="{00000000-0008-0000-0700-0000E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55" name="Check Box 751" hidden="1">
              <a:extLst>
                <a:ext uri="{63B3BB69-23CF-44E3-9099-C40C66FF867C}">
                  <a14:compatExt spid="_x0000_s22255"/>
                </a:ext>
                <a:ext uri="{FF2B5EF4-FFF2-40B4-BE49-F238E27FC236}">
                  <a16:creationId xmlns:a16="http://schemas.microsoft.com/office/drawing/2014/main" id="{00000000-0008-0000-0700-0000E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56" name="Check Box 752" hidden="1">
              <a:extLst>
                <a:ext uri="{63B3BB69-23CF-44E3-9099-C40C66FF867C}">
                  <a14:compatExt spid="_x0000_s22256"/>
                </a:ext>
                <a:ext uri="{FF2B5EF4-FFF2-40B4-BE49-F238E27FC236}">
                  <a16:creationId xmlns:a16="http://schemas.microsoft.com/office/drawing/2014/main" id="{00000000-0008-0000-0700-0000F0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57" name="Check Box 753" hidden="1">
              <a:extLst>
                <a:ext uri="{63B3BB69-23CF-44E3-9099-C40C66FF867C}">
                  <a14:compatExt spid="_x0000_s22257"/>
                </a:ext>
                <a:ext uri="{FF2B5EF4-FFF2-40B4-BE49-F238E27FC236}">
                  <a16:creationId xmlns:a16="http://schemas.microsoft.com/office/drawing/2014/main" id="{00000000-0008-0000-0700-0000F1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58" name="Check Box 754" hidden="1">
              <a:extLst>
                <a:ext uri="{63B3BB69-23CF-44E3-9099-C40C66FF867C}">
                  <a14:compatExt spid="_x0000_s22258"/>
                </a:ext>
                <a:ext uri="{FF2B5EF4-FFF2-40B4-BE49-F238E27FC236}">
                  <a16:creationId xmlns:a16="http://schemas.microsoft.com/office/drawing/2014/main" id="{00000000-0008-0000-0700-0000F2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59" name="Check Box 755" hidden="1">
              <a:extLst>
                <a:ext uri="{63B3BB69-23CF-44E3-9099-C40C66FF867C}">
                  <a14:compatExt spid="_x0000_s22259"/>
                </a:ext>
                <a:ext uri="{FF2B5EF4-FFF2-40B4-BE49-F238E27FC236}">
                  <a16:creationId xmlns:a16="http://schemas.microsoft.com/office/drawing/2014/main" id="{00000000-0008-0000-0700-0000F3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60" name="Check Box 756" hidden="1">
              <a:extLst>
                <a:ext uri="{63B3BB69-23CF-44E3-9099-C40C66FF867C}">
                  <a14:compatExt spid="_x0000_s22260"/>
                </a:ext>
                <a:ext uri="{FF2B5EF4-FFF2-40B4-BE49-F238E27FC236}">
                  <a16:creationId xmlns:a16="http://schemas.microsoft.com/office/drawing/2014/main" id="{00000000-0008-0000-0700-0000F4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61" name="Check Box 757" hidden="1">
              <a:extLst>
                <a:ext uri="{63B3BB69-23CF-44E3-9099-C40C66FF867C}">
                  <a14:compatExt spid="_x0000_s22261"/>
                </a:ext>
                <a:ext uri="{FF2B5EF4-FFF2-40B4-BE49-F238E27FC236}">
                  <a16:creationId xmlns:a16="http://schemas.microsoft.com/office/drawing/2014/main" id="{00000000-0008-0000-0700-0000F5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62" name="Check Box 758" hidden="1">
              <a:extLst>
                <a:ext uri="{63B3BB69-23CF-44E3-9099-C40C66FF867C}">
                  <a14:compatExt spid="_x0000_s22262"/>
                </a:ext>
                <a:ext uri="{FF2B5EF4-FFF2-40B4-BE49-F238E27FC236}">
                  <a16:creationId xmlns:a16="http://schemas.microsoft.com/office/drawing/2014/main" id="{00000000-0008-0000-0700-0000F6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63" name="Check Box 759" hidden="1">
              <a:extLst>
                <a:ext uri="{63B3BB69-23CF-44E3-9099-C40C66FF867C}">
                  <a14:compatExt spid="_x0000_s22263"/>
                </a:ext>
                <a:ext uri="{FF2B5EF4-FFF2-40B4-BE49-F238E27FC236}">
                  <a16:creationId xmlns:a16="http://schemas.microsoft.com/office/drawing/2014/main" id="{00000000-0008-0000-0700-0000F7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64" name="Check Box 760" hidden="1">
              <a:extLst>
                <a:ext uri="{63B3BB69-23CF-44E3-9099-C40C66FF867C}">
                  <a14:compatExt spid="_x0000_s22264"/>
                </a:ext>
                <a:ext uri="{FF2B5EF4-FFF2-40B4-BE49-F238E27FC236}">
                  <a16:creationId xmlns:a16="http://schemas.microsoft.com/office/drawing/2014/main" id="{00000000-0008-0000-0700-0000F8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65" name="Check Box 761" hidden="1">
              <a:extLst>
                <a:ext uri="{63B3BB69-23CF-44E3-9099-C40C66FF867C}">
                  <a14:compatExt spid="_x0000_s22265"/>
                </a:ext>
                <a:ext uri="{FF2B5EF4-FFF2-40B4-BE49-F238E27FC236}">
                  <a16:creationId xmlns:a16="http://schemas.microsoft.com/office/drawing/2014/main" id="{00000000-0008-0000-0700-0000F9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66" name="Check Box 762" hidden="1">
              <a:extLst>
                <a:ext uri="{63B3BB69-23CF-44E3-9099-C40C66FF867C}">
                  <a14:compatExt spid="_x0000_s22266"/>
                </a:ext>
                <a:ext uri="{FF2B5EF4-FFF2-40B4-BE49-F238E27FC236}">
                  <a16:creationId xmlns:a16="http://schemas.microsoft.com/office/drawing/2014/main" id="{00000000-0008-0000-0700-0000FA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67" name="Check Box 763" hidden="1">
              <a:extLst>
                <a:ext uri="{63B3BB69-23CF-44E3-9099-C40C66FF867C}">
                  <a14:compatExt spid="_x0000_s22267"/>
                </a:ext>
                <a:ext uri="{FF2B5EF4-FFF2-40B4-BE49-F238E27FC236}">
                  <a16:creationId xmlns:a16="http://schemas.microsoft.com/office/drawing/2014/main" id="{00000000-0008-0000-0700-0000FB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68" name="Check Box 764" hidden="1">
              <a:extLst>
                <a:ext uri="{63B3BB69-23CF-44E3-9099-C40C66FF867C}">
                  <a14:compatExt spid="_x0000_s22268"/>
                </a:ext>
                <a:ext uri="{FF2B5EF4-FFF2-40B4-BE49-F238E27FC236}">
                  <a16:creationId xmlns:a16="http://schemas.microsoft.com/office/drawing/2014/main" id="{00000000-0008-0000-0700-0000FC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69" name="Check Box 765" hidden="1">
              <a:extLst>
                <a:ext uri="{63B3BB69-23CF-44E3-9099-C40C66FF867C}">
                  <a14:compatExt spid="_x0000_s22269"/>
                </a:ext>
                <a:ext uri="{FF2B5EF4-FFF2-40B4-BE49-F238E27FC236}">
                  <a16:creationId xmlns:a16="http://schemas.microsoft.com/office/drawing/2014/main" id="{00000000-0008-0000-0700-0000FD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92</xdr:row>
          <xdr:rowOff>28575</xdr:rowOff>
        </xdr:from>
        <xdr:to>
          <xdr:col>3</xdr:col>
          <xdr:colOff>819150</xdr:colOff>
          <xdr:row>93</xdr:row>
          <xdr:rowOff>123825</xdr:rowOff>
        </xdr:to>
        <xdr:sp macro="" textlink="">
          <xdr:nvSpPr>
            <xdr:cNvPr id="22270" name="Check Box 766" hidden="1">
              <a:extLst>
                <a:ext uri="{63B3BB69-23CF-44E3-9099-C40C66FF867C}">
                  <a14:compatExt spid="_x0000_s22270"/>
                </a:ext>
                <a:ext uri="{FF2B5EF4-FFF2-40B4-BE49-F238E27FC236}">
                  <a16:creationId xmlns:a16="http://schemas.microsoft.com/office/drawing/2014/main" id="{00000000-0008-0000-0700-0000FE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92</xdr:row>
          <xdr:rowOff>28575</xdr:rowOff>
        </xdr:from>
        <xdr:to>
          <xdr:col>4</xdr:col>
          <xdr:colOff>638175</xdr:colOff>
          <xdr:row>93</xdr:row>
          <xdr:rowOff>123825</xdr:rowOff>
        </xdr:to>
        <xdr:sp macro="" textlink="">
          <xdr:nvSpPr>
            <xdr:cNvPr id="22271" name="Check Box 767" hidden="1">
              <a:extLst>
                <a:ext uri="{63B3BB69-23CF-44E3-9099-C40C66FF867C}">
                  <a14:compatExt spid="_x0000_s22271"/>
                </a:ext>
                <a:ext uri="{FF2B5EF4-FFF2-40B4-BE49-F238E27FC236}">
                  <a16:creationId xmlns:a16="http://schemas.microsoft.com/office/drawing/2014/main" id="{00000000-0008-0000-0700-0000FF5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92</xdr:row>
          <xdr:rowOff>38100</xdr:rowOff>
        </xdr:from>
        <xdr:to>
          <xdr:col>3</xdr:col>
          <xdr:colOff>114300</xdr:colOff>
          <xdr:row>93</xdr:row>
          <xdr:rowOff>133350</xdr:rowOff>
        </xdr:to>
        <xdr:sp macro="" textlink="">
          <xdr:nvSpPr>
            <xdr:cNvPr id="22272" name="Check Box 768" hidden="1">
              <a:extLst>
                <a:ext uri="{63B3BB69-23CF-44E3-9099-C40C66FF867C}">
                  <a14:compatExt spid="_x0000_s22272"/>
                </a:ext>
                <a:ext uri="{FF2B5EF4-FFF2-40B4-BE49-F238E27FC236}">
                  <a16:creationId xmlns:a16="http://schemas.microsoft.com/office/drawing/2014/main" id="{00000000-0008-0000-0700-000000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93</xdr:row>
          <xdr:rowOff>9525</xdr:rowOff>
        </xdr:from>
        <xdr:to>
          <xdr:col>3</xdr:col>
          <xdr:colOff>104775</xdr:colOff>
          <xdr:row>94</xdr:row>
          <xdr:rowOff>104775</xdr:rowOff>
        </xdr:to>
        <xdr:sp macro="" textlink="">
          <xdr:nvSpPr>
            <xdr:cNvPr id="22273" name="Check Box 769" hidden="1">
              <a:extLst>
                <a:ext uri="{63B3BB69-23CF-44E3-9099-C40C66FF867C}">
                  <a14:compatExt spid="_x0000_s22273"/>
                </a:ext>
                <a:ext uri="{FF2B5EF4-FFF2-40B4-BE49-F238E27FC236}">
                  <a16:creationId xmlns:a16="http://schemas.microsoft.com/office/drawing/2014/main" id="{00000000-0008-0000-0700-000001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274" name="Check Box 770" hidden="1">
              <a:extLst>
                <a:ext uri="{63B3BB69-23CF-44E3-9099-C40C66FF867C}">
                  <a14:compatExt spid="_x0000_s22274"/>
                </a:ext>
                <a:ext uri="{FF2B5EF4-FFF2-40B4-BE49-F238E27FC236}">
                  <a16:creationId xmlns:a16="http://schemas.microsoft.com/office/drawing/2014/main" id="{00000000-0008-0000-0700-000002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275" name="Check Box 771" hidden="1">
              <a:extLst>
                <a:ext uri="{63B3BB69-23CF-44E3-9099-C40C66FF867C}">
                  <a14:compatExt spid="_x0000_s22275"/>
                </a:ext>
                <a:ext uri="{FF2B5EF4-FFF2-40B4-BE49-F238E27FC236}">
                  <a16:creationId xmlns:a16="http://schemas.microsoft.com/office/drawing/2014/main" id="{00000000-0008-0000-0700-000003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276" name="Check Box 772" hidden="1">
              <a:extLst>
                <a:ext uri="{63B3BB69-23CF-44E3-9099-C40C66FF867C}">
                  <a14:compatExt spid="_x0000_s22276"/>
                </a:ext>
                <a:ext uri="{FF2B5EF4-FFF2-40B4-BE49-F238E27FC236}">
                  <a16:creationId xmlns:a16="http://schemas.microsoft.com/office/drawing/2014/main" id="{00000000-0008-0000-0700-000004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277" name="Check Box 773" hidden="1">
              <a:extLst>
                <a:ext uri="{63B3BB69-23CF-44E3-9099-C40C66FF867C}">
                  <a14:compatExt spid="_x0000_s22277"/>
                </a:ext>
                <a:ext uri="{FF2B5EF4-FFF2-40B4-BE49-F238E27FC236}">
                  <a16:creationId xmlns:a16="http://schemas.microsoft.com/office/drawing/2014/main" id="{00000000-0008-0000-0700-000005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278" name="Check Box 774" hidden="1">
              <a:extLst>
                <a:ext uri="{63B3BB69-23CF-44E3-9099-C40C66FF867C}">
                  <a14:compatExt spid="_x0000_s22278"/>
                </a:ext>
                <a:ext uri="{FF2B5EF4-FFF2-40B4-BE49-F238E27FC236}">
                  <a16:creationId xmlns:a16="http://schemas.microsoft.com/office/drawing/2014/main" id="{00000000-0008-0000-0700-000006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279" name="Check Box 775" hidden="1">
              <a:extLst>
                <a:ext uri="{63B3BB69-23CF-44E3-9099-C40C66FF867C}">
                  <a14:compatExt spid="_x0000_s22279"/>
                </a:ext>
                <a:ext uri="{FF2B5EF4-FFF2-40B4-BE49-F238E27FC236}">
                  <a16:creationId xmlns:a16="http://schemas.microsoft.com/office/drawing/2014/main" id="{00000000-0008-0000-0700-000007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280" name="Check Box 776" hidden="1">
              <a:extLst>
                <a:ext uri="{63B3BB69-23CF-44E3-9099-C40C66FF867C}">
                  <a14:compatExt spid="_x0000_s22280"/>
                </a:ext>
                <a:ext uri="{FF2B5EF4-FFF2-40B4-BE49-F238E27FC236}">
                  <a16:creationId xmlns:a16="http://schemas.microsoft.com/office/drawing/2014/main" id="{00000000-0008-0000-0700-000008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281" name="Check Box 777" hidden="1">
              <a:extLst>
                <a:ext uri="{63B3BB69-23CF-44E3-9099-C40C66FF867C}">
                  <a14:compatExt spid="_x0000_s22281"/>
                </a:ext>
                <a:ext uri="{FF2B5EF4-FFF2-40B4-BE49-F238E27FC236}">
                  <a16:creationId xmlns:a16="http://schemas.microsoft.com/office/drawing/2014/main" id="{00000000-0008-0000-0700-000009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282" name="Check Box 778" hidden="1">
              <a:extLst>
                <a:ext uri="{63B3BB69-23CF-44E3-9099-C40C66FF867C}">
                  <a14:compatExt spid="_x0000_s22282"/>
                </a:ext>
                <a:ext uri="{FF2B5EF4-FFF2-40B4-BE49-F238E27FC236}">
                  <a16:creationId xmlns:a16="http://schemas.microsoft.com/office/drawing/2014/main" id="{00000000-0008-0000-0700-00000A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283" name="Check Box 779" hidden="1">
              <a:extLst>
                <a:ext uri="{63B3BB69-23CF-44E3-9099-C40C66FF867C}">
                  <a14:compatExt spid="_x0000_s22283"/>
                </a:ext>
                <a:ext uri="{FF2B5EF4-FFF2-40B4-BE49-F238E27FC236}">
                  <a16:creationId xmlns:a16="http://schemas.microsoft.com/office/drawing/2014/main" id="{00000000-0008-0000-0700-00000B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284" name="Check Box 780" hidden="1">
              <a:extLst>
                <a:ext uri="{63B3BB69-23CF-44E3-9099-C40C66FF867C}">
                  <a14:compatExt spid="_x0000_s22284"/>
                </a:ext>
                <a:ext uri="{FF2B5EF4-FFF2-40B4-BE49-F238E27FC236}">
                  <a16:creationId xmlns:a16="http://schemas.microsoft.com/office/drawing/2014/main" id="{00000000-0008-0000-0700-00000C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285" name="Check Box 781" hidden="1">
              <a:extLst>
                <a:ext uri="{63B3BB69-23CF-44E3-9099-C40C66FF867C}">
                  <a14:compatExt spid="_x0000_s22285"/>
                </a:ext>
                <a:ext uri="{FF2B5EF4-FFF2-40B4-BE49-F238E27FC236}">
                  <a16:creationId xmlns:a16="http://schemas.microsoft.com/office/drawing/2014/main" id="{00000000-0008-0000-0700-00000D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286" name="Check Box 782" hidden="1">
              <a:extLst>
                <a:ext uri="{63B3BB69-23CF-44E3-9099-C40C66FF867C}">
                  <a14:compatExt spid="_x0000_s22286"/>
                </a:ext>
                <a:ext uri="{FF2B5EF4-FFF2-40B4-BE49-F238E27FC236}">
                  <a16:creationId xmlns:a16="http://schemas.microsoft.com/office/drawing/2014/main" id="{00000000-0008-0000-0700-00000E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287" name="Check Box 783" hidden="1">
              <a:extLst>
                <a:ext uri="{63B3BB69-23CF-44E3-9099-C40C66FF867C}">
                  <a14:compatExt spid="_x0000_s22287"/>
                </a:ext>
                <a:ext uri="{FF2B5EF4-FFF2-40B4-BE49-F238E27FC236}">
                  <a16:creationId xmlns:a16="http://schemas.microsoft.com/office/drawing/2014/main" id="{00000000-0008-0000-0700-00000F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288" name="Check Box 784" hidden="1">
              <a:extLst>
                <a:ext uri="{63B3BB69-23CF-44E3-9099-C40C66FF867C}">
                  <a14:compatExt spid="_x0000_s22288"/>
                </a:ext>
                <a:ext uri="{FF2B5EF4-FFF2-40B4-BE49-F238E27FC236}">
                  <a16:creationId xmlns:a16="http://schemas.microsoft.com/office/drawing/2014/main" id="{00000000-0008-0000-0700-000010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289" name="Check Box 785" hidden="1">
              <a:extLst>
                <a:ext uri="{63B3BB69-23CF-44E3-9099-C40C66FF867C}">
                  <a14:compatExt spid="_x0000_s22289"/>
                </a:ext>
                <a:ext uri="{FF2B5EF4-FFF2-40B4-BE49-F238E27FC236}">
                  <a16:creationId xmlns:a16="http://schemas.microsoft.com/office/drawing/2014/main" id="{00000000-0008-0000-0700-000011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290" name="Check Box 786" hidden="1">
              <a:extLst>
                <a:ext uri="{63B3BB69-23CF-44E3-9099-C40C66FF867C}">
                  <a14:compatExt spid="_x0000_s22290"/>
                </a:ext>
                <a:ext uri="{FF2B5EF4-FFF2-40B4-BE49-F238E27FC236}">
                  <a16:creationId xmlns:a16="http://schemas.microsoft.com/office/drawing/2014/main" id="{00000000-0008-0000-0700-000012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291" name="Check Box 787" hidden="1">
              <a:extLst>
                <a:ext uri="{63B3BB69-23CF-44E3-9099-C40C66FF867C}">
                  <a14:compatExt spid="_x0000_s22291"/>
                </a:ext>
                <a:ext uri="{FF2B5EF4-FFF2-40B4-BE49-F238E27FC236}">
                  <a16:creationId xmlns:a16="http://schemas.microsoft.com/office/drawing/2014/main" id="{00000000-0008-0000-0700-000013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292" name="Check Box 788" hidden="1">
              <a:extLst>
                <a:ext uri="{63B3BB69-23CF-44E3-9099-C40C66FF867C}">
                  <a14:compatExt spid="_x0000_s22292"/>
                </a:ext>
                <a:ext uri="{FF2B5EF4-FFF2-40B4-BE49-F238E27FC236}">
                  <a16:creationId xmlns:a16="http://schemas.microsoft.com/office/drawing/2014/main" id="{00000000-0008-0000-0700-000014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293" name="Check Box 789" hidden="1">
              <a:extLst>
                <a:ext uri="{63B3BB69-23CF-44E3-9099-C40C66FF867C}">
                  <a14:compatExt spid="_x0000_s22293"/>
                </a:ext>
                <a:ext uri="{FF2B5EF4-FFF2-40B4-BE49-F238E27FC236}">
                  <a16:creationId xmlns:a16="http://schemas.microsoft.com/office/drawing/2014/main" id="{00000000-0008-0000-0700-000015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294" name="Check Box 790" hidden="1">
              <a:extLst>
                <a:ext uri="{63B3BB69-23CF-44E3-9099-C40C66FF867C}">
                  <a14:compatExt spid="_x0000_s22294"/>
                </a:ext>
                <a:ext uri="{FF2B5EF4-FFF2-40B4-BE49-F238E27FC236}">
                  <a16:creationId xmlns:a16="http://schemas.microsoft.com/office/drawing/2014/main" id="{00000000-0008-0000-0700-000016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295" name="Check Box 791" hidden="1">
              <a:extLst>
                <a:ext uri="{63B3BB69-23CF-44E3-9099-C40C66FF867C}">
                  <a14:compatExt spid="_x0000_s22295"/>
                </a:ext>
                <a:ext uri="{FF2B5EF4-FFF2-40B4-BE49-F238E27FC236}">
                  <a16:creationId xmlns:a16="http://schemas.microsoft.com/office/drawing/2014/main" id="{00000000-0008-0000-0700-000017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296" name="Check Box 792" hidden="1">
              <a:extLst>
                <a:ext uri="{63B3BB69-23CF-44E3-9099-C40C66FF867C}">
                  <a14:compatExt spid="_x0000_s22296"/>
                </a:ext>
                <a:ext uri="{FF2B5EF4-FFF2-40B4-BE49-F238E27FC236}">
                  <a16:creationId xmlns:a16="http://schemas.microsoft.com/office/drawing/2014/main" id="{00000000-0008-0000-0700-000018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297" name="Check Box 793" hidden="1">
              <a:extLst>
                <a:ext uri="{63B3BB69-23CF-44E3-9099-C40C66FF867C}">
                  <a14:compatExt spid="_x0000_s22297"/>
                </a:ext>
                <a:ext uri="{FF2B5EF4-FFF2-40B4-BE49-F238E27FC236}">
                  <a16:creationId xmlns:a16="http://schemas.microsoft.com/office/drawing/2014/main" id="{00000000-0008-0000-0700-000019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298" name="Check Box 794" hidden="1">
              <a:extLst>
                <a:ext uri="{63B3BB69-23CF-44E3-9099-C40C66FF867C}">
                  <a14:compatExt spid="_x0000_s22298"/>
                </a:ext>
                <a:ext uri="{FF2B5EF4-FFF2-40B4-BE49-F238E27FC236}">
                  <a16:creationId xmlns:a16="http://schemas.microsoft.com/office/drawing/2014/main" id="{00000000-0008-0000-0700-00001A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299" name="Check Box 795" hidden="1">
              <a:extLst>
                <a:ext uri="{63B3BB69-23CF-44E3-9099-C40C66FF867C}">
                  <a14:compatExt spid="_x0000_s22299"/>
                </a:ext>
                <a:ext uri="{FF2B5EF4-FFF2-40B4-BE49-F238E27FC236}">
                  <a16:creationId xmlns:a16="http://schemas.microsoft.com/office/drawing/2014/main" id="{00000000-0008-0000-0700-00001B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00" name="Check Box 796" hidden="1">
              <a:extLst>
                <a:ext uri="{63B3BB69-23CF-44E3-9099-C40C66FF867C}">
                  <a14:compatExt spid="_x0000_s22300"/>
                </a:ext>
                <a:ext uri="{FF2B5EF4-FFF2-40B4-BE49-F238E27FC236}">
                  <a16:creationId xmlns:a16="http://schemas.microsoft.com/office/drawing/2014/main" id="{00000000-0008-0000-0700-00001C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01" name="Check Box 797" hidden="1">
              <a:extLst>
                <a:ext uri="{63B3BB69-23CF-44E3-9099-C40C66FF867C}">
                  <a14:compatExt spid="_x0000_s22301"/>
                </a:ext>
                <a:ext uri="{FF2B5EF4-FFF2-40B4-BE49-F238E27FC236}">
                  <a16:creationId xmlns:a16="http://schemas.microsoft.com/office/drawing/2014/main" id="{00000000-0008-0000-0700-00001D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02" name="Check Box 798" hidden="1">
              <a:extLst>
                <a:ext uri="{63B3BB69-23CF-44E3-9099-C40C66FF867C}">
                  <a14:compatExt spid="_x0000_s22302"/>
                </a:ext>
                <a:ext uri="{FF2B5EF4-FFF2-40B4-BE49-F238E27FC236}">
                  <a16:creationId xmlns:a16="http://schemas.microsoft.com/office/drawing/2014/main" id="{00000000-0008-0000-0700-00001E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03" name="Check Box 799" hidden="1">
              <a:extLst>
                <a:ext uri="{63B3BB69-23CF-44E3-9099-C40C66FF867C}">
                  <a14:compatExt spid="_x0000_s22303"/>
                </a:ext>
                <a:ext uri="{FF2B5EF4-FFF2-40B4-BE49-F238E27FC236}">
                  <a16:creationId xmlns:a16="http://schemas.microsoft.com/office/drawing/2014/main" id="{00000000-0008-0000-0700-00001F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04" name="Check Box 800" hidden="1">
              <a:extLst>
                <a:ext uri="{63B3BB69-23CF-44E3-9099-C40C66FF867C}">
                  <a14:compatExt spid="_x0000_s22304"/>
                </a:ext>
                <a:ext uri="{FF2B5EF4-FFF2-40B4-BE49-F238E27FC236}">
                  <a16:creationId xmlns:a16="http://schemas.microsoft.com/office/drawing/2014/main" id="{00000000-0008-0000-0700-000020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05" name="Check Box 801" hidden="1">
              <a:extLst>
                <a:ext uri="{63B3BB69-23CF-44E3-9099-C40C66FF867C}">
                  <a14:compatExt spid="_x0000_s22305"/>
                </a:ext>
                <a:ext uri="{FF2B5EF4-FFF2-40B4-BE49-F238E27FC236}">
                  <a16:creationId xmlns:a16="http://schemas.microsoft.com/office/drawing/2014/main" id="{00000000-0008-0000-0700-000021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06" name="Check Box 802" hidden="1">
              <a:extLst>
                <a:ext uri="{63B3BB69-23CF-44E3-9099-C40C66FF867C}">
                  <a14:compatExt spid="_x0000_s22306"/>
                </a:ext>
                <a:ext uri="{FF2B5EF4-FFF2-40B4-BE49-F238E27FC236}">
                  <a16:creationId xmlns:a16="http://schemas.microsoft.com/office/drawing/2014/main" id="{00000000-0008-0000-0700-000022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07" name="Check Box 803" hidden="1">
              <a:extLst>
                <a:ext uri="{63B3BB69-23CF-44E3-9099-C40C66FF867C}">
                  <a14:compatExt spid="_x0000_s22307"/>
                </a:ext>
                <a:ext uri="{FF2B5EF4-FFF2-40B4-BE49-F238E27FC236}">
                  <a16:creationId xmlns:a16="http://schemas.microsoft.com/office/drawing/2014/main" id="{00000000-0008-0000-0700-000023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08" name="Check Box 804" hidden="1">
              <a:extLst>
                <a:ext uri="{63B3BB69-23CF-44E3-9099-C40C66FF867C}">
                  <a14:compatExt spid="_x0000_s22308"/>
                </a:ext>
                <a:ext uri="{FF2B5EF4-FFF2-40B4-BE49-F238E27FC236}">
                  <a16:creationId xmlns:a16="http://schemas.microsoft.com/office/drawing/2014/main" id="{00000000-0008-0000-0700-000024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09" name="Check Box 805" hidden="1">
              <a:extLst>
                <a:ext uri="{63B3BB69-23CF-44E3-9099-C40C66FF867C}">
                  <a14:compatExt spid="_x0000_s22309"/>
                </a:ext>
                <a:ext uri="{FF2B5EF4-FFF2-40B4-BE49-F238E27FC236}">
                  <a16:creationId xmlns:a16="http://schemas.microsoft.com/office/drawing/2014/main" id="{00000000-0008-0000-0700-000025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10" name="Check Box 806" hidden="1">
              <a:extLst>
                <a:ext uri="{63B3BB69-23CF-44E3-9099-C40C66FF867C}">
                  <a14:compatExt spid="_x0000_s22310"/>
                </a:ext>
                <a:ext uri="{FF2B5EF4-FFF2-40B4-BE49-F238E27FC236}">
                  <a16:creationId xmlns:a16="http://schemas.microsoft.com/office/drawing/2014/main" id="{00000000-0008-0000-0700-000026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11" name="Check Box 807" hidden="1">
              <a:extLst>
                <a:ext uri="{63B3BB69-23CF-44E3-9099-C40C66FF867C}">
                  <a14:compatExt spid="_x0000_s22311"/>
                </a:ext>
                <a:ext uri="{FF2B5EF4-FFF2-40B4-BE49-F238E27FC236}">
                  <a16:creationId xmlns:a16="http://schemas.microsoft.com/office/drawing/2014/main" id="{00000000-0008-0000-0700-000027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12" name="Check Box 808" hidden="1">
              <a:extLst>
                <a:ext uri="{63B3BB69-23CF-44E3-9099-C40C66FF867C}">
                  <a14:compatExt spid="_x0000_s22312"/>
                </a:ext>
                <a:ext uri="{FF2B5EF4-FFF2-40B4-BE49-F238E27FC236}">
                  <a16:creationId xmlns:a16="http://schemas.microsoft.com/office/drawing/2014/main" id="{00000000-0008-0000-0700-000028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13" name="Check Box 809" hidden="1">
              <a:extLst>
                <a:ext uri="{63B3BB69-23CF-44E3-9099-C40C66FF867C}">
                  <a14:compatExt spid="_x0000_s22313"/>
                </a:ext>
                <a:ext uri="{FF2B5EF4-FFF2-40B4-BE49-F238E27FC236}">
                  <a16:creationId xmlns:a16="http://schemas.microsoft.com/office/drawing/2014/main" id="{00000000-0008-0000-0700-000029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14" name="Check Box 810" hidden="1">
              <a:extLst>
                <a:ext uri="{63B3BB69-23CF-44E3-9099-C40C66FF867C}">
                  <a14:compatExt spid="_x0000_s22314"/>
                </a:ext>
                <a:ext uri="{FF2B5EF4-FFF2-40B4-BE49-F238E27FC236}">
                  <a16:creationId xmlns:a16="http://schemas.microsoft.com/office/drawing/2014/main" id="{00000000-0008-0000-0700-00002A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15" name="Check Box 811" hidden="1">
              <a:extLst>
                <a:ext uri="{63B3BB69-23CF-44E3-9099-C40C66FF867C}">
                  <a14:compatExt spid="_x0000_s22315"/>
                </a:ext>
                <a:ext uri="{FF2B5EF4-FFF2-40B4-BE49-F238E27FC236}">
                  <a16:creationId xmlns:a16="http://schemas.microsoft.com/office/drawing/2014/main" id="{00000000-0008-0000-0700-00002B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16" name="Check Box 812" hidden="1">
              <a:extLst>
                <a:ext uri="{63B3BB69-23CF-44E3-9099-C40C66FF867C}">
                  <a14:compatExt spid="_x0000_s22316"/>
                </a:ext>
                <a:ext uri="{FF2B5EF4-FFF2-40B4-BE49-F238E27FC236}">
                  <a16:creationId xmlns:a16="http://schemas.microsoft.com/office/drawing/2014/main" id="{00000000-0008-0000-0700-00002C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17" name="Check Box 813" hidden="1">
              <a:extLst>
                <a:ext uri="{63B3BB69-23CF-44E3-9099-C40C66FF867C}">
                  <a14:compatExt spid="_x0000_s22317"/>
                </a:ext>
                <a:ext uri="{FF2B5EF4-FFF2-40B4-BE49-F238E27FC236}">
                  <a16:creationId xmlns:a16="http://schemas.microsoft.com/office/drawing/2014/main" id="{00000000-0008-0000-0700-00002D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18" name="Check Box 814" hidden="1">
              <a:extLst>
                <a:ext uri="{63B3BB69-23CF-44E3-9099-C40C66FF867C}">
                  <a14:compatExt spid="_x0000_s22318"/>
                </a:ext>
                <a:ext uri="{FF2B5EF4-FFF2-40B4-BE49-F238E27FC236}">
                  <a16:creationId xmlns:a16="http://schemas.microsoft.com/office/drawing/2014/main" id="{00000000-0008-0000-0700-00002E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19" name="Check Box 815" hidden="1">
              <a:extLst>
                <a:ext uri="{63B3BB69-23CF-44E3-9099-C40C66FF867C}">
                  <a14:compatExt spid="_x0000_s22319"/>
                </a:ext>
                <a:ext uri="{FF2B5EF4-FFF2-40B4-BE49-F238E27FC236}">
                  <a16:creationId xmlns:a16="http://schemas.microsoft.com/office/drawing/2014/main" id="{00000000-0008-0000-0700-00002F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20" name="Check Box 816" hidden="1">
              <a:extLst>
                <a:ext uri="{63B3BB69-23CF-44E3-9099-C40C66FF867C}">
                  <a14:compatExt spid="_x0000_s22320"/>
                </a:ext>
                <a:ext uri="{FF2B5EF4-FFF2-40B4-BE49-F238E27FC236}">
                  <a16:creationId xmlns:a16="http://schemas.microsoft.com/office/drawing/2014/main" id="{00000000-0008-0000-0700-000030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21" name="Check Box 817" hidden="1">
              <a:extLst>
                <a:ext uri="{63B3BB69-23CF-44E3-9099-C40C66FF867C}">
                  <a14:compatExt spid="_x0000_s22321"/>
                </a:ext>
                <a:ext uri="{FF2B5EF4-FFF2-40B4-BE49-F238E27FC236}">
                  <a16:creationId xmlns:a16="http://schemas.microsoft.com/office/drawing/2014/main" id="{00000000-0008-0000-0700-000031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22" name="Check Box 818" hidden="1">
              <a:extLst>
                <a:ext uri="{63B3BB69-23CF-44E3-9099-C40C66FF867C}">
                  <a14:compatExt spid="_x0000_s22322"/>
                </a:ext>
                <a:ext uri="{FF2B5EF4-FFF2-40B4-BE49-F238E27FC236}">
                  <a16:creationId xmlns:a16="http://schemas.microsoft.com/office/drawing/2014/main" id="{00000000-0008-0000-0700-000032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23" name="Check Box 819" hidden="1">
              <a:extLst>
                <a:ext uri="{63B3BB69-23CF-44E3-9099-C40C66FF867C}">
                  <a14:compatExt spid="_x0000_s22323"/>
                </a:ext>
                <a:ext uri="{FF2B5EF4-FFF2-40B4-BE49-F238E27FC236}">
                  <a16:creationId xmlns:a16="http://schemas.microsoft.com/office/drawing/2014/main" id="{00000000-0008-0000-0700-000033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24" name="Check Box 820" hidden="1">
              <a:extLst>
                <a:ext uri="{63B3BB69-23CF-44E3-9099-C40C66FF867C}">
                  <a14:compatExt spid="_x0000_s22324"/>
                </a:ext>
                <a:ext uri="{FF2B5EF4-FFF2-40B4-BE49-F238E27FC236}">
                  <a16:creationId xmlns:a16="http://schemas.microsoft.com/office/drawing/2014/main" id="{00000000-0008-0000-0700-000034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25" name="Check Box 821" hidden="1">
              <a:extLst>
                <a:ext uri="{63B3BB69-23CF-44E3-9099-C40C66FF867C}">
                  <a14:compatExt spid="_x0000_s22325"/>
                </a:ext>
                <a:ext uri="{FF2B5EF4-FFF2-40B4-BE49-F238E27FC236}">
                  <a16:creationId xmlns:a16="http://schemas.microsoft.com/office/drawing/2014/main" id="{00000000-0008-0000-0700-000035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26" name="Check Box 822" hidden="1">
              <a:extLst>
                <a:ext uri="{63B3BB69-23CF-44E3-9099-C40C66FF867C}">
                  <a14:compatExt spid="_x0000_s22326"/>
                </a:ext>
                <a:ext uri="{FF2B5EF4-FFF2-40B4-BE49-F238E27FC236}">
                  <a16:creationId xmlns:a16="http://schemas.microsoft.com/office/drawing/2014/main" id="{00000000-0008-0000-0700-000036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27" name="Check Box 823" hidden="1">
              <a:extLst>
                <a:ext uri="{63B3BB69-23CF-44E3-9099-C40C66FF867C}">
                  <a14:compatExt spid="_x0000_s22327"/>
                </a:ext>
                <a:ext uri="{FF2B5EF4-FFF2-40B4-BE49-F238E27FC236}">
                  <a16:creationId xmlns:a16="http://schemas.microsoft.com/office/drawing/2014/main" id="{00000000-0008-0000-0700-000037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28" name="Check Box 824" hidden="1">
              <a:extLst>
                <a:ext uri="{63B3BB69-23CF-44E3-9099-C40C66FF867C}">
                  <a14:compatExt spid="_x0000_s22328"/>
                </a:ext>
                <a:ext uri="{FF2B5EF4-FFF2-40B4-BE49-F238E27FC236}">
                  <a16:creationId xmlns:a16="http://schemas.microsoft.com/office/drawing/2014/main" id="{00000000-0008-0000-0700-000038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29" name="Check Box 825" hidden="1">
              <a:extLst>
                <a:ext uri="{63B3BB69-23CF-44E3-9099-C40C66FF867C}">
                  <a14:compatExt spid="_x0000_s22329"/>
                </a:ext>
                <a:ext uri="{FF2B5EF4-FFF2-40B4-BE49-F238E27FC236}">
                  <a16:creationId xmlns:a16="http://schemas.microsoft.com/office/drawing/2014/main" id="{00000000-0008-0000-0700-000039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30" name="Check Box 826" hidden="1">
              <a:extLst>
                <a:ext uri="{63B3BB69-23CF-44E3-9099-C40C66FF867C}">
                  <a14:compatExt spid="_x0000_s22330"/>
                </a:ext>
                <a:ext uri="{FF2B5EF4-FFF2-40B4-BE49-F238E27FC236}">
                  <a16:creationId xmlns:a16="http://schemas.microsoft.com/office/drawing/2014/main" id="{00000000-0008-0000-0700-00003A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31" name="Check Box 827" hidden="1">
              <a:extLst>
                <a:ext uri="{63B3BB69-23CF-44E3-9099-C40C66FF867C}">
                  <a14:compatExt spid="_x0000_s22331"/>
                </a:ext>
                <a:ext uri="{FF2B5EF4-FFF2-40B4-BE49-F238E27FC236}">
                  <a16:creationId xmlns:a16="http://schemas.microsoft.com/office/drawing/2014/main" id="{00000000-0008-0000-0700-00003B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32" name="Check Box 828" hidden="1">
              <a:extLst>
                <a:ext uri="{63B3BB69-23CF-44E3-9099-C40C66FF867C}">
                  <a14:compatExt spid="_x0000_s22332"/>
                </a:ext>
                <a:ext uri="{FF2B5EF4-FFF2-40B4-BE49-F238E27FC236}">
                  <a16:creationId xmlns:a16="http://schemas.microsoft.com/office/drawing/2014/main" id="{00000000-0008-0000-0700-00003C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33" name="Check Box 829" hidden="1">
              <a:extLst>
                <a:ext uri="{63B3BB69-23CF-44E3-9099-C40C66FF867C}">
                  <a14:compatExt spid="_x0000_s22333"/>
                </a:ext>
                <a:ext uri="{FF2B5EF4-FFF2-40B4-BE49-F238E27FC236}">
                  <a16:creationId xmlns:a16="http://schemas.microsoft.com/office/drawing/2014/main" id="{00000000-0008-0000-0700-00003D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34" name="Check Box 830" hidden="1">
              <a:extLst>
                <a:ext uri="{63B3BB69-23CF-44E3-9099-C40C66FF867C}">
                  <a14:compatExt spid="_x0000_s22334"/>
                </a:ext>
                <a:ext uri="{FF2B5EF4-FFF2-40B4-BE49-F238E27FC236}">
                  <a16:creationId xmlns:a16="http://schemas.microsoft.com/office/drawing/2014/main" id="{00000000-0008-0000-0700-00003E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35" name="Check Box 831" hidden="1">
              <a:extLst>
                <a:ext uri="{63B3BB69-23CF-44E3-9099-C40C66FF867C}">
                  <a14:compatExt spid="_x0000_s22335"/>
                </a:ext>
                <a:ext uri="{FF2B5EF4-FFF2-40B4-BE49-F238E27FC236}">
                  <a16:creationId xmlns:a16="http://schemas.microsoft.com/office/drawing/2014/main" id="{00000000-0008-0000-0700-00003F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36" name="Check Box 832" hidden="1">
              <a:extLst>
                <a:ext uri="{63B3BB69-23CF-44E3-9099-C40C66FF867C}">
                  <a14:compatExt spid="_x0000_s22336"/>
                </a:ext>
                <a:ext uri="{FF2B5EF4-FFF2-40B4-BE49-F238E27FC236}">
                  <a16:creationId xmlns:a16="http://schemas.microsoft.com/office/drawing/2014/main" id="{00000000-0008-0000-0700-000040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37" name="Check Box 833" hidden="1">
              <a:extLst>
                <a:ext uri="{63B3BB69-23CF-44E3-9099-C40C66FF867C}">
                  <a14:compatExt spid="_x0000_s22337"/>
                </a:ext>
                <a:ext uri="{FF2B5EF4-FFF2-40B4-BE49-F238E27FC236}">
                  <a16:creationId xmlns:a16="http://schemas.microsoft.com/office/drawing/2014/main" id="{00000000-0008-0000-0700-000041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97</xdr:row>
          <xdr:rowOff>28575</xdr:rowOff>
        </xdr:from>
        <xdr:to>
          <xdr:col>3</xdr:col>
          <xdr:colOff>819150</xdr:colOff>
          <xdr:row>98</xdr:row>
          <xdr:rowOff>123825</xdr:rowOff>
        </xdr:to>
        <xdr:sp macro="" textlink="">
          <xdr:nvSpPr>
            <xdr:cNvPr id="22338" name="Check Box 834" hidden="1">
              <a:extLst>
                <a:ext uri="{63B3BB69-23CF-44E3-9099-C40C66FF867C}">
                  <a14:compatExt spid="_x0000_s22338"/>
                </a:ext>
                <a:ext uri="{FF2B5EF4-FFF2-40B4-BE49-F238E27FC236}">
                  <a16:creationId xmlns:a16="http://schemas.microsoft.com/office/drawing/2014/main" id="{00000000-0008-0000-0700-000042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Puntos negros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97</xdr:row>
          <xdr:rowOff>28575</xdr:rowOff>
        </xdr:from>
        <xdr:to>
          <xdr:col>4</xdr:col>
          <xdr:colOff>638175</xdr:colOff>
          <xdr:row>98</xdr:row>
          <xdr:rowOff>123825</xdr:rowOff>
        </xdr:to>
        <xdr:sp macro="" textlink="">
          <xdr:nvSpPr>
            <xdr:cNvPr id="22339" name="Check Box 835" hidden="1">
              <a:extLst>
                <a:ext uri="{63B3BB69-23CF-44E3-9099-C40C66FF867C}">
                  <a14:compatExt spid="_x0000_s22339"/>
                </a:ext>
                <a:ext uri="{FF2B5EF4-FFF2-40B4-BE49-F238E27FC236}">
                  <a16:creationId xmlns:a16="http://schemas.microsoft.com/office/drawing/2014/main" id="{00000000-0008-0000-0700-000043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Oscuro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97</xdr:row>
          <xdr:rowOff>38100</xdr:rowOff>
        </xdr:from>
        <xdr:to>
          <xdr:col>3</xdr:col>
          <xdr:colOff>114300</xdr:colOff>
          <xdr:row>98</xdr:row>
          <xdr:rowOff>133350</xdr:rowOff>
        </xdr:to>
        <xdr:sp macro="" textlink="">
          <xdr:nvSpPr>
            <xdr:cNvPr id="22340" name="Check Box 836" hidden="1">
              <a:extLst>
                <a:ext uri="{63B3BB69-23CF-44E3-9099-C40C66FF867C}">
                  <a14:compatExt spid="_x0000_s22340"/>
                </a:ext>
                <a:ext uri="{FF2B5EF4-FFF2-40B4-BE49-F238E27FC236}">
                  <a16:creationId xmlns:a16="http://schemas.microsoft.com/office/drawing/2014/main" id="{00000000-0008-0000-0700-000044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Opaco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98</xdr:row>
          <xdr:rowOff>9525</xdr:rowOff>
        </xdr:from>
        <xdr:to>
          <xdr:col>3</xdr:col>
          <xdr:colOff>104775</xdr:colOff>
          <xdr:row>99</xdr:row>
          <xdr:rowOff>104775</xdr:rowOff>
        </xdr:to>
        <xdr:sp macro="" textlink="">
          <xdr:nvSpPr>
            <xdr:cNvPr id="22341" name="Check Box 837" hidden="1">
              <a:extLst>
                <a:ext uri="{63B3BB69-23CF-44E3-9099-C40C66FF867C}">
                  <a14:compatExt spid="_x0000_s22341"/>
                </a:ext>
                <a:ext uri="{FF2B5EF4-FFF2-40B4-BE49-F238E27FC236}">
                  <a16:creationId xmlns:a16="http://schemas.microsoft.com/office/drawing/2014/main" id="{00000000-0008-0000-0700-0000455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Bastante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629306</xdr:colOff>
      <xdr:row>1</xdr:row>
      <xdr:rowOff>218418</xdr:rowOff>
    </xdr:from>
    <xdr:to>
      <xdr:col>2</xdr:col>
      <xdr:colOff>797144</xdr:colOff>
      <xdr:row>1</xdr:row>
      <xdr:rowOff>218418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CxnSpPr/>
      </xdr:nvCxnSpPr>
      <xdr:spPr>
        <a:xfrm>
          <a:off x="838856" y="218418"/>
          <a:ext cx="1091763" cy="0"/>
        </a:xfrm>
        <a:prstGeom prst="line">
          <a:avLst/>
        </a:prstGeom>
        <a:ln w="1270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115284</xdr:colOff>
      <xdr:row>2</xdr:row>
      <xdr:rowOff>216776</xdr:rowOff>
    </xdr:from>
    <xdr:to>
      <xdr:col>12</xdr:col>
      <xdr:colOff>200025</xdr:colOff>
      <xdr:row>2</xdr:row>
      <xdr:rowOff>229008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CxnSpPr>
          <a:cxnSpLocks noChangeAspect="1"/>
        </xdr:cNvCxnSpPr>
      </xdr:nvCxnSpPr>
      <xdr:spPr>
        <a:xfrm>
          <a:off x="2163159" y="454901"/>
          <a:ext cx="2637441" cy="12232"/>
        </a:xfrm>
        <a:prstGeom prst="line">
          <a:avLst/>
        </a:prstGeom>
        <a:ln w="12700">
          <a:prstDash val="dash"/>
        </a:ln>
        <a:scene3d>
          <a:camera prst="orthographicFront">
            <a:rot lat="0" lon="0" rev="0"/>
          </a:camera>
          <a:lightRig rig="threePt" dir="t"/>
        </a:scene3d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913413</xdr:colOff>
      <xdr:row>3</xdr:row>
      <xdr:rowOff>196084</xdr:rowOff>
    </xdr:from>
    <xdr:to>
      <xdr:col>6</xdr:col>
      <xdr:colOff>255533</xdr:colOff>
      <xdr:row>3</xdr:row>
      <xdr:rowOff>209192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CxnSpPr/>
      </xdr:nvCxnSpPr>
      <xdr:spPr>
        <a:xfrm>
          <a:off x="1122963" y="672334"/>
          <a:ext cx="1818620" cy="13108"/>
        </a:xfrm>
        <a:prstGeom prst="line">
          <a:avLst/>
        </a:prstGeom>
        <a:ln w="1270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25945</xdr:colOff>
      <xdr:row>3</xdr:row>
      <xdr:rowOff>212834</xdr:rowOff>
    </xdr:from>
    <xdr:to>
      <xdr:col>12</xdr:col>
      <xdr:colOff>238125</xdr:colOff>
      <xdr:row>3</xdr:row>
      <xdr:rowOff>228600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CxnSpPr/>
      </xdr:nvCxnSpPr>
      <xdr:spPr>
        <a:xfrm>
          <a:off x="3988345" y="689084"/>
          <a:ext cx="850355" cy="15766"/>
        </a:xfrm>
        <a:prstGeom prst="line">
          <a:avLst/>
        </a:prstGeom>
        <a:ln w="1270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873670</xdr:colOff>
      <xdr:row>4</xdr:row>
      <xdr:rowOff>203311</xdr:rowOff>
    </xdr:from>
    <xdr:to>
      <xdr:col>12</xdr:col>
      <xdr:colOff>207250</xdr:colOff>
      <xdr:row>4</xdr:row>
      <xdr:rowOff>203311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CxnSpPr/>
      </xdr:nvCxnSpPr>
      <xdr:spPr>
        <a:xfrm>
          <a:off x="1083220" y="917686"/>
          <a:ext cx="3724605" cy="0"/>
        </a:xfrm>
        <a:prstGeom prst="line">
          <a:avLst/>
        </a:prstGeom>
        <a:ln w="1270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517633</xdr:colOff>
      <xdr:row>1</xdr:row>
      <xdr:rowOff>169480</xdr:rowOff>
    </xdr:from>
    <xdr:to>
      <xdr:col>24</xdr:col>
      <xdr:colOff>609600</xdr:colOff>
      <xdr:row>1</xdr:row>
      <xdr:rowOff>180975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CxnSpPr/>
      </xdr:nvCxnSpPr>
      <xdr:spPr>
        <a:xfrm>
          <a:off x="6394558" y="169480"/>
          <a:ext cx="2644667" cy="11495"/>
        </a:xfrm>
        <a:prstGeom prst="line">
          <a:avLst/>
        </a:prstGeom>
        <a:ln w="1270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91963</xdr:colOff>
      <xdr:row>2</xdr:row>
      <xdr:rowOff>177363</xdr:rowOff>
    </xdr:from>
    <xdr:to>
      <xdr:col>24</xdr:col>
      <xdr:colOff>552450</xdr:colOff>
      <xdr:row>2</xdr:row>
      <xdr:rowOff>187604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CxnSpPr/>
      </xdr:nvCxnSpPr>
      <xdr:spPr>
        <a:xfrm>
          <a:off x="5968888" y="415488"/>
          <a:ext cx="3013187" cy="10241"/>
        </a:xfrm>
        <a:prstGeom prst="line">
          <a:avLst/>
        </a:prstGeom>
        <a:ln w="1270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251536</xdr:colOff>
      <xdr:row>3</xdr:row>
      <xdr:rowOff>180977</xdr:rowOff>
    </xdr:from>
    <xdr:to>
      <xdr:col>24</xdr:col>
      <xdr:colOff>523875</xdr:colOff>
      <xdr:row>3</xdr:row>
      <xdr:rowOff>200025</xdr:rowOff>
    </xdr:to>
    <xdr:cxnSp macro="">
      <xdr:nvCxnSpPr>
        <xdr:cNvPr id="20" name="Conector recto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CxnSpPr>
          <a:cxnSpLocks/>
        </xdr:cNvCxnSpPr>
      </xdr:nvCxnSpPr>
      <xdr:spPr>
        <a:xfrm flipH="1" flipV="1">
          <a:off x="6766636" y="657227"/>
          <a:ext cx="2186864" cy="19048"/>
        </a:xfrm>
        <a:prstGeom prst="line">
          <a:avLst/>
        </a:prstGeom>
        <a:ln w="1270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636860</xdr:colOff>
      <xdr:row>4</xdr:row>
      <xdr:rowOff>186561</xdr:rowOff>
    </xdr:from>
    <xdr:to>
      <xdr:col>24</xdr:col>
      <xdr:colOff>552450</xdr:colOff>
      <xdr:row>4</xdr:row>
      <xdr:rowOff>190500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CxnSpPr/>
      </xdr:nvCxnSpPr>
      <xdr:spPr>
        <a:xfrm>
          <a:off x="6513785" y="900936"/>
          <a:ext cx="2468290" cy="3939"/>
        </a:xfrm>
        <a:prstGeom prst="line">
          <a:avLst/>
        </a:prstGeom>
        <a:ln w="12700"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62" displayName="Tabla62" ref="B29:D47" totalsRowShown="0" headerRowDxfId="4" dataDxfId="3">
  <autoFilter ref="B29:D47" xr:uid="{00000000-0009-0000-0100-000001000000}"/>
  <sortState xmlns:xlrd2="http://schemas.microsoft.com/office/spreadsheetml/2017/richdata2" ref="B30:D47">
    <sortCondition ref="C28:C46"/>
  </sortState>
  <tableColumns count="3">
    <tableColumn id="1" xr3:uid="{00000000-0010-0000-0000-000001000000}" name="Pigmento" dataDxfId="2"/>
    <tableColumn id="2" xr3:uid="{00000000-0010-0000-0000-000002000000}" name="Peso (gr)" dataDxfId="1" dataCellStyle="Millares">
      <calculatedColumnFormula>IFERROR(VLOOKUP(B30,DATOS!$AW$3:$AY$25,2,FALSE),"")</calculatedColumnFormula>
    </tableColumn>
    <tableColumn id="3" xr3:uid="{00000000-0010-0000-0000-000003000000}" name="Costo (USD)" dataDxfId="0" dataCellStyle="Millares">
      <calculatedColumnFormula>IFERROR(VLOOKUP(B30,DATOS!$AW$3:$AY$25,3,FALSE),"")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671" Type="http://schemas.openxmlformats.org/officeDocument/2006/relationships/ctrlProp" Target="../ctrlProps/ctrlProp668.xml"/><Relationship Id="rId769" Type="http://schemas.openxmlformats.org/officeDocument/2006/relationships/ctrlProp" Target="../ctrlProps/ctrlProp766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629" Type="http://schemas.openxmlformats.org/officeDocument/2006/relationships/ctrlProp" Target="../ctrlProps/ctrlProp626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682" Type="http://schemas.openxmlformats.org/officeDocument/2006/relationships/ctrlProp" Target="../ctrlProps/ctrlProp679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693" Type="http://schemas.openxmlformats.org/officeDocument/2006/relationships/ctrlProp" Target="../ctrlProps/ctrlProp690.xml"/><Relationship Id="rId707" Type="http://schemas.openxmlformats.org/officeDocument/2006/relationships/ctrlProp" Target="../ctrlProps/ctrlProp704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760" Type="http://schemas.openxmlformats.org/officeDocument/2006/relationships/ctrlProp" Target="../ctrlProps/ctrlProp75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497" Type="http://schemas.openxmlformats.org/officeDocument/2006/relationships/ctrlProp" Target="../ctrlProps/ctrlProp494.xml"/><Relationship Id="rId620" Type="http://schemas.openxmlformats.org/officeDocument/2006/relationships/ctrlProp" Target="../ctrlProps/ctrlProp617.xml"/><Relationship Id="rId718" Type="http://schemas.openxmlformats.org/officeDocument/2006/relationships/ctrlProp" Target="../ctrlProps/ctrlProp715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771" Type="http://schemas.openxmlformats.org/officeDocument/2006/relationships/ctrlProp" Target="../ctrlProps/ctrlProp768.xml"/><Relationship Id="rId424" Type="http://schemas.openxmlformats.org/officeDocument/2006/relationships/ctrlProp" Target="../ctrlProps/ctrlProp421.xml"/><Relationship Id="rId631" Type="http://schemas.openxmlformats.org/officeDocument/2006/relationships/ctrlProp" Target="../ctrlProps/ctrlProp628.xml"/><Relationship Id="rId729" Type="http://schemas.openxmlformats.org/officeDocument/2006/relationships/ctrlProp" Target="../ctrlProps/ctrlProp726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782" Type="http://schemas.openxmlformats.org/officeDocument/2006/relationships/ctrlProp" Target="../ctrlProps/ctrlProp77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642" Type="http://schemas.openxmlformats.org/officeDocument/2006/relationships/ctrlProp" Target="../ctrlProps/ctrlProp639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93" Type="http://schemas.openxmlformats.org/officeDocument/2006/relationships/ctrlProp" Target="../ctrlProps/ctrlProp790.xml"/><Relationship Id="rId807" Type="http://schemas.openxmlformats.org/officeDocument/2006/relationships/ctrlProp" Target="../ctrlProps/ctrlProp804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653" Type="http://schemas.openxmlformats.org/officeDocument/2006/relationships/ctrlProp" Target="../ctrlProps/ctrlProp650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720" Type="http://schemas.openxmlformats.org/officeDocument/2006/relationships/ctrlProp" Target="../ctrlProps/ctrlProp717.xml"/><Relationship Id="rId818" Type="http://schemas.openxmlformats.org/officeDocument/2006/relationships/ctrlProp" Target="../ctrlProps/ctrlProp815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664" Type="http://schemas.openxmlformats.org/officeDocument/2006/relationships/ctrlProp" Target="../ctrlProps/ctrlProp661.xml"/><Relationship Id="rId14" Type="http://schemas.openxmlformats.org/officeDocument/2006/relationships/ctrlProp" Target="../ctrlProps/ctrlProp11.xml"/><Relationship Id="rId317" Type="http://schemas.openxmlformats.org/officeDocument/2006/relationships/ctrlProp" Target="../ctrlProps/ctrlProp314.xml"/><Relationship Id="rId524" Type="http://schemas.openxmlformats.org/officeDocument/2006/relationships/ctrlProp" Target="../ctrlProps/ctrlProp521.xml"/><Relationship Id="rId731" Type="http://schemas.openxmlformats.org/officeDocument/2006/relationships/ctrlProp" Target="../ctrlProps/ctrlProp728.xml"/><Relationship Id="rId98" Type="http://schemas.openxmlformats.org/officeDocument/2006/relationships/ctrlProp" Target="../ctrlProps/ctrlProp95.xml"/><Relationship Id="rId163" Type="http://schemas.openxmlformats.org/officeDocument/2006/relationships/ctrlProp" Target="../ctrlProps/ctrlProp160.xml"/><Relationship Id="rId370" Type="http://schemas.openxmlformats.org/officeDocument/2006/relationships/ctrlProp" Target="../ctrlProps/ctrlProp367.xml"/><Relationship Id="rId829" Type="http://schemas.openxmlformats.org/officeDocument/2006/relationships/ctrlProp" Target="../ctrlProps/ctrlProp826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675" Type="http://schemas.openxmlformats.org/officeDocument/2006/relationships/ctrlProp" Target="../ctrlProps/ctrlProp672.xml"/><Relationship Id="rId25" Type="http://schemas.openxmlformats.org/officeDocument/2006/relationships/ctrlProp" Target="../ctrlProps/ctrlProp22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742" Type="http://schemas.openxmlformats.org/officeDocument/2006/relationships/ctrlProp" Target="../ctrlProps/ctrlProp73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79" Type="http://schemas.openxmlformats.org/officeDocument/2006/relationships/ctrlProp" Target="../ctrlProps/ctrlProp476.xml"/><Relationship Id="rId686" Type="http://schemas.openxmlformats.org/officeDocument/2006/relationships/ctrlProp" Target="../ctrlProps/ctrlProp683.xml"/><Relationship Id="rId36" Type="http://schemas.openxmlformats.org/officeDocument/2006/relationships/ctrlProp" Target="../ctrlProps/ctrlProp33.xml"/><Relationship Id="rId339" Type="http://schemas.openxmlformats.org/officeDocument/2006/relationships/ctrlProp" Target="../ctrlProps/ctrlProp336.xml"/><Relationship Id="rId546" Type="http://schemas.openxmlformats.org/officeDocument/2006/relationships/ctrlProp" Target="../ctrlProps/ctrlProp543.xml"/><Relationship Id="rId753" Type="http://schemas.openxmlformats.org/officeDocument/2006/relationships/ctrlProp" Target="../ctrlProps/ctrlProp750.xml"/><Relationship Id="rId101" Type="http://schemas.openxmlformats.org/officeDocument/2006/relationships/ctrlProp" Target="../ctrlProps/ctrlProp98.xml"/><Relationship Id="rId185" Type="http://schemas.openxmlformats.org/officeDocument/2006/relationships/ctrlProp" Target="../ctrlProps/ctrlProp182.xml"/><Relationship Id="rId406" Type="http://schemas.openxmlformats.org/officeDocument/2006/relationships/ctrlProp" Target="../ctrlProps/ctrlProp403.xml"/><Relationship Id="rId392" Type="http://schemas.openxmlformats.org/officeDocument/2006/relationships/ctrlProp" Target="../ctrlProps/ctrlProp389.xml"/><Relationship Id="rId613" Type="http://schemas.openxmlformats.org/officeDocument/2006/relationships/ctrlProp" Target="../ctrlProps/ctrlProp610.xml"/><Relationship Id="rId697" Type="http://schemas.openxmlformats.org/officeDocument/2006/relationships/ctrlProp" Target="../ctrlProps/ctrlProp694.xml"/><Relationship Id="rId820" Type="http://schemas.openxmlformats.org/officeDocument/2006/relationships/ctrlProp" Target="../ctrlProps/ctrlProp817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112" Type="http://schemas.openxmlformats.org/officeDocument/2006/relationships/ctrlProp" Target="../ctrlProps/ctrlProp109.xml"/><Relationship Id="rId557" Type="http://schemas.openxmlformats.org/officeDocument/2006/relationships/ctrlProp" Target="../ctrlProps/ctrlProp554.xml"/><Relationship Id="rId764" Type="http://schemas.openxmlformats.org/officeDocument/2006/relationships/ctrlProp" Target="../ctrlProps/ctrlProp761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624" Type="http://schemas.openxmlformats.org/officeDocument/2006/relationships/ctrlProp" Target="../ctrlProps/ctrlProp621.xml"/><Relationship Id="rId831" Type="http://schemas.openxmlformats.org/officeDocument/2006/relationships/ctrlProp" Target="../ctrlProps/ctrlProp828.xml"/><Relationship Id="rId263" Type="http://schemas.openxmlformats.org/officeDocument/2006/relationships/ctrlProp" Target="../ctrlProps/ctrlProp260.xml"/><Relationship Id="rId470" Type="http://schemas.openxmlformats.org/officeDocument/2006/relationships/ctrlProp" Target="../ctrlProps/ctrlProp467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775" Type="http://schemas.openxmlformats.org/officeDocument/2006/relationships/ctrlProp" Target="../ctrlProps/ctrlProp772.xml"/><Relationship Id="rId428" Type="http://schemas.openxmlformats.org/officeDocument/2006/relationships/ctrlProp" Target="../ctrlProps/ctrlProp425.xml"/><Relationship Id="rId635" Type="http://schemas.openxmlformats.org/officeDocument/2006/relationships/ctrlProp" Target="../ctrlProps/ctrlProp632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702" Type="http://schemas.openxmlformats.org/officeDocument/2006/relationships/ctrlProp" Target="../ctrlProps/ctrlProp699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79" Type="http://schemas.openxmlformats.org/officeDocument/2006/relationships/ctrlProp" Target="../ctrlProps/ctrlProp576.xml"/><Relationship Id="rId786" Type="http://schemas.openxmlformats.org/officeDocument/2006/relationships/ctrlProp" Target="../ctrlProps/ctrlProp783.xml"/><Relationship Id="rId341" Type="http://schemas.openxmlformats.org/officeDocument/2006/relationships/ctrlProp" Target="../ctrlProps/ctrlProp338.xml"/><Relationship Id="rId439" Type="http://schemas.openxmlformats.org/officeDocument/2006/relationships/ctrlProp" Target="../ctrlProps/ctrlProp436.xml"/><Relationship Id="rId646" Type="http://schemas.openxmlformats.org/officeDocument/2006/relationships/ctrlProp" Target="../ctrlProps/ctrlProp643.xml"/><Relationship Id="rId201" Type="http://schemas.openxmlformats.org/officeDocument/2006/relationships/ctrlProp" Target="../ctrlProps/ctrlProp198.xml"/><Relationship Id="rId285" Type="http://schemas.openxmlformats.org/officeDocument/2006/relationships/ctrlProp" Target="../ctrlProps/ctrlProp282.xml"/><Relationship Id="rId506" Type="http://schemas.openxmlformats.org/officeDocument/2006/relationships/ctrlProp" Target="../ctrlProps/ctrlProp503.xml"/><Relationship Id="rId492" Type="http://schemas.openxmlformats.org/officeDocument/2006/relationships/ctrlProp" Target="../ctrlProps/ctrlProp489.xml"/><Relationship Id="rId713" Type="http://schemas.openxmlformats.org/officeDocument/2006/relationships/ctrlProp" Target="../ctrlProps/ctrlProp710.xml"/><Relationship Id="rId797" Type="http://schemas.openxmlformats.org/officeDocument/2006/relationships/ctrlProp" Target="../ctrlProps/ctrlProp794.xml"/><Relationship Id="rId145" Type="http://schemas.openxmlformats.org/officeDocument/2006/relationships/ctrlProp" Target="../ctrlProps/ctrlProp142.xml"/><Relationship Id="rId352" Type="http://schemas.openxmlformats.org/officeDocument/2006/relationships/ctrlProp" Target="../ctrlProps/ctrlProp349.xml"/><Relationship Id="rId212" Type="http://schemas.openxmlformats.org/officeDocument/2006/relationships/ctrlProp" Target="../ctrlProps/ctrlProp209.xml"/><Relationship Id="rId657" Type="http://schemas.openxmlformats.org/officeDocument/2006/relationships/ctrlProp" Target="../ctrlProps/ctrlProp654.xml"/><Relationship Id="rId296" Type="http://schemas.openxmlformats.org/officeDocument/2006/relationships/ctrlProp" Target="../ctrlProps/ctrlProp293.xml"/><Relationship Id="rId517" Type="http://schemas.openxmlformats.org/officeDocument/2006/relationships/ctrlProp" Target="../ctrlProps/ctrlProp514.xml"/><Relationship Id="rId724" Type="http://schemas.openxmlformats.org/officeDocument/2006/relationships/ctrlProp" Target="../ctrlProps/ctrlProp721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363" Type="http://schemas.openxmlformats.org/officeDocument/2006/relationships/ctrlProp" Target="../ctrlProps/ctrlProp360.xml"/><Relationship Id="rId570" Type="http://schemas.openxmlformats.org/officeDocument/2006/relationships/ctrlProp" Target="../ctrlProps/ctrlProp567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668" Type="http://schemas.openxmlformats.org/officeDocument/2006/relationships/ctrlProp" Target="../ctrlProps/ctrlProp665.xml"/><Relationship Id="rId18" Type="http://schemas.openxmlformats.org/officeDocument/2006/relationships/ctrlProp" Target="../ctrlProps/ctrlProp15.xml"/><Relationship Id="rId528" Type="http://schemas.openxmlformats.org/officeDocument/2006/relationships/ctrlProp" Target="../ctrlProps/ctrlProp525.xml"/><Relationship Id="rId735" Type="http://schemas.openxmlformats.org/officeDocument/2006/relationships/ctrlProp" Target="../ctrlProps/ctrlProp732.xml"/><Relationship Id="rId167" Type="http://schemas.openxmlformats.org/officeDocument/2006/relationships/ctrlProp" Target="../ctrlProps/ctrlProp164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679" Type="http://schemas.openxmlformats.org/officeDocument/2006/relationships/ctrlProp" Target="../ctrlProps/ctrlProp676.xml"/><Relationship Id="rId802" Type="http://schemas.openxmlformats.org/officeDocument/2006/relationships/ctrlProp" Target="../ctrlProps/ctrlProp799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26.xml"/><Relationship Id="rId441" Type="http://schemas.openxmlformats.org/officeDocument/2006/relationships/ctrlProp" Target="../ctrlProps/ctrlProp438.xml"/><Relationship Id="rId539" Type="http://schemas.openxmlformats.org/officeDocument/2006/relationships/ctrlProp" Target="../ctrlProps/ctrlProp536.xml"/><Relationship Id="rId746" Type="http://schemas.openxmlformats.org/officeDocument/2006/relationships/ctrlProp" Target="../ctrlProps/ctrlProp74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82" Type="http://schemas.openxmlformats.org/officeDocument/2006/relationships/ctrlProp" Target="../ctrlProps/ctrlProp79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606" Type="http://schemas.openxmlformats.org/officeDocument/2006/relationships/ctrlProp" Target="../ctrlProps/ctrlProp603.xml"/><Relationship Id="rId813" Type="http://schemas.openxmlformats.org/officeDocument/2006/relationships/ctrlProp" Target="../ctrlProps/ctrlProp810.xml"/><Relationship Id="rId245" Type="http://schemas.openxmlformats.org/officeDocument/2006/relationships/ctrlProp" Target="../ctrlProps/ctrlProp242.xml"/><Relationship Id="rId452" Type="http://schemas.openxmlformats.org/officeDocument/2006/relationships/ctrlProp" Target="../ctrlProps/ctrlProp449.xml"/><Relationship Id="rId105" Type="http://schemas.openxmlformats.org/officeDocument/2006/relationships/ctrlProp" Target="../ctrlProps/ctrlProp102.xml"/><Relationship Id="rId312" Type="http://schemas.openxmlformats.org/officeDocument/2006/relationships/ctrlProp" Target="../ctrlProps/ctrlProp309.xml"/><Relationship Id="rId757" Type="http://schemas.openxmlformats.org/officeDocument/2006/relationships/ctrlProp" Target="../ctrlProps/ctrlProp754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617" Type="http://schemas.openxmlformats.org/officeDocument/2006/relationships/ctrlProp" Target="../ctrlProps/ctrlProp614.xml"/><Relationship Id="rId824" Type="http://schemas.openxmlformats.org/officeDocument/2006/relationships/ctrlProp" Target="../ctrlProps/ctrlProp821.xml"/><Relationship Id="rId256" Type="http://schemas.openxmlformats.org/officeDocument/2006/relationships/ctrlProp" Target="../ctrlProps/ctrlProp253.xml"/><Relationship Id="rId463" Type="http://schemas.openxmlformats.org/officeDocument/2006/relationships/ctrlProp" Target="../ctrlProps/ctrlProp460.xml"/><Relationship Id="rId670" Type="http://schemas.openxmlformats.org/officeDocument/2006/relationships/ctrlProp" Target="../ctrlProps/ctrlProp667.xml"/><Relationship Id="rId116" Type="http://schemas.openxmlformats.org/officeDocument/2006/relationships/ctrlProp" Target="../ctrlProps/ctrlProp113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768" Type="http://schemas.openxmlformats.org/officeDocument/2006/relationships/ctrlProp" Target="../ctrlProps/ctrlProp765.xml"/><Relationship Id="rId20" Type="http://schemas.openxmlformats.org/officeDocument/2006/relationships/ctrlProp" Target="../ctrlProps/ctrlProp17.xml"/><Relationship Id="rId628" Type="http://schemas.openxmlformats.org/officeDocument/2006/relationships/ctrlProp" Target="../ctrlProps/ctrlProp625.xml"/><Relationship Id="rId267" Type="http://schemas.openxmlformats.org/officeDocument/2006/relationships/ctrlProp" Target="../ctrlProps/ctrlProp264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681" Type="http://schemas.openxmlformats.org/officeDocument/2006/relationships/ctrlProp" Target="../ctrlProps/ctrlProp678.xml"/><Relationship Id="rId779" Type="http://schemas.openxmlformats.org/officeDocument/2006/relationships/ctrlProp" Target="../ctrlProps/ctrlProp776.xml"/><Relationship Id="rId31" Type="http://schemas.openxmlformats.org/officeDocument/2006/relationships/ctrlProp" Target="../ctrlProps/ctrlProp28.xml"/><Relationship Id="rId334" Type="http://schemas.openxmlformats.org/officeDocument/2006/relationships/ctrlProp" Target="../ctrlProps/ctrlProp331.xml"/><Relationship Id="rId541" Type="http://schemas.openxmlformats.org/officeDocument/2006/relationships/ctrlProp" Target="../ctrlProps/ctrlProp538.xml"/><Relationship Id="rId639" Type="http://schemas.openxmlformats.org/officeDocument/2006/relationships/ctrlProp" Target="../ctrlProps/ctrlProp636.xml"/><Relationship Id="rId180" Type="http://schemas.openxmlformats.org/officeDocument/2006/relationships/ctrlProp" Target="../ctrlProps/ctrlProp177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85" Type="http://schemas.openxmlformats.org/officeDocument/2006/relationships/ctrlProp" Target="../ctrlProps/ctrlProp482.xml"/><Relationship Id="rId692" Type="http://schemas.openxmlformats.org/officeDocument/2006/relationships/ctrlProp" Target="../ctrlProps/ctrlProp689.xml"/><Relationship Id="rId706" Type="http://schemas.openxmlformats.org/officeDocument/2006/relationships/ctrlProp" Target="../ctrlProps/ctrlProp703.xml"/><Relationship Id="rId42" Type="http://schemas.openxmlformats.org/officeDocument/2006/relationships/ctrlProp" Target="../ctrlProps/ctrlProp39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552" Type="http://schemas.openxmlformats.org/officeDocument/2006/relationships/ctrlProp" Target="../ctrlProps/ctrlProp549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412" Type="http://schemas.openxmlformats.org/officeDocument/2006/relationships/ctrlProp" Target="../ctrlProps/ctrlProp409.xml"/><Relationship Id="rId289" Type="http://schemas.openxmlformats.org/officeDocument/2006/relationships/ctrlProp" Target="../ctrlProps/ctrlProp286.xml"/><Relationship Id="rId496" Type="http://schemas.openxmlformats.org/officeDocument/2006/relationships/ctrlProp" Target="../ctrlProps/ctrlProp493.xml"/><Relationship Id="rId717" Type="http://schemas.openxmlformats.org/officeDocument/2006/relationships/ctrlProp" Target="../ctrlProps/ctrlProp714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56" Type="http://schemas.openxmlformats.org/officeDocument/2006/relationships/ctrlProp" Target="../ctrlProps/ctrlProp353.xml"/><Relationship Id="rId563" Type="http://schemas.openxmlformats.org/officeDocument/2006/relationships/ctrlProp" Target="../ctrlProps/ctrlProp560.xml"/><Relationship Id="rId770" Type="http://schemas.openxmlformats.org/officeDocument/2006/relationships/ctrlProp" Target="../ctrlProps/ctrlProp76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630" Type="http://schemas.openxmlformats.org/officeDocument/2006/relationships/ctrlProp" Target="../ctrlProps/ctrlProp627.xml"/><Relationship Id="rId728" Type="http://schemas.openxmlformats.org/officeDocument/2006/relationships/ctrlProp" Target="../ctrlProps/ctrlProp725.xml"/><Relationship Id="rId64" Type="http://schemas.openxmlformats.org/officeDocument/2006/relationships/ctrlProp" Target="../ctrlProps/ctrlProp61.xml"/><Relationship Id="rId367" Type="http://schemas.openxmlformats.org/officeDocument/2006/relationships/ctrlProp" Target="../ctrlProps/ctrlProp364.xml"/><Relationship Id="rId574" Type="http://schemas.openxmlformats.org/officeDocument/2006/relationships/ctrlProp" Target="../ctrlProps/ctrlProp571.xml"/><Relationship Id="rId227" Type="http://schemas.openxmlformats.org/officeDocument/2006/relationships/ctrlProp" Target="../ctrlProps/ctrlProp224.xml"/><Relationship Id="rId781" Type="http://schemas.openxmlformats.org/officeDocument/2006/relationships/ctrlProp" Target="../ctrlProps/ctrlProp778.xml"/><Relationship Id="rId434" Type="http://schemas.openxmlformats.org/officeDocument/2006/relationships/ctrlProp" Target="../ctrlProps/ctrlProp431.xml"/><Relationship Id="rId641" Type="http://schemas.openxmlformats.org/officeDocument/2006/relationships/ctrlProp" Target="../ctrlProps/ctrlProp638.xml"/><Relationship Id="rId739" Type="http://schemas.openxmlformats.org/officeDocument/2006/relationships/ctrlProp" Target="../ctrlProps/ctrlProp736.xml"/><Relationship Id="rId280" Type="http://schemas.openxmlformats.org/officeDocument/2006/relationships/ctrlProp" Target="../ctrlProps/ctrlProp277.xml"/><Relationship Id="rId501" Type="http://schemas.openxmlformats.org/officeDocument/2006/relationships/ctrlProp" Target="../ctrlProps/ctrlProp498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378" Type="http://schemas.openxmlformats.org/officeDocument/2006/relationships/ctrlProp" Target="../ctrlProps/ctrlProp375.xml"/><Relationship Id="rId585" Type="http://schemas.openxmlformats.org/officeDocument/2006/relationships/ctrlProp" Target="../ctrlProps/ctrlProp582.xml"/><Relationship Id="rId792" Type="http://schemas.openxmlformats.org/officeDocument/2006/relationships/ctrlProp" Target="../ctrlProps/ctrlProp789.xml"/><Relationship Id="rId806" Type="http://schemas.openxmlformats.org/officeDocument/2006/relationships/ctrlProp" Target="../ctrlProps/ctrlProp803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652" Type="http://schemas.openxmlformats.org/officeDocument/2006/relationships/ctrlProp" Target="../ctrlProps/ctrlProp649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512" Type="http://schemas.openxmlformats.org/officeDocument/2006/relationships/ctrlProp" Target="../ctrlProps/ctrlProp509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96" Type="http://schemas.openxmlformats.org/officeDocument/2006/relationships/ctrlProp" Target="../ctrlProps/ctrlProp593.xml"/><Relationship Id="rId817" Type="http://schemas.openxmlformats.org/officeDocument/2006/relationships/ctrlProp" Target="../ctrlProps/ctrlProp814.xml"/><Relationship Id="rId249" Type="http://schemas.openxmlformats.org/officeDocument/2006/relationships/ctrlProp" Target="../ctrlProps/ctrlProp246.xml"/><Relationship Id="rId456" Type="http://schemas.openxmlformats.org/officeDocument/2006/relationships/ctrlProp" Target="../ctrlProps/ctrlProp453.xml"/><Relationship Id="rId663" Type="http://schemas.openxmlformats.org/officeDocument/2006/relationships/ctrlProp" Target="../ctrlProps/ctrlProp66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719" Type="http://schemas.openxmlformats.org/officeDocument/2006/relationships/ctrlProp" Target="../ctrlProps/ctrlProp716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730" Type="http://schemas.openxmlformats.org/officeDocument/2006/relationships/ctrlProp" Target="../ctrlProps/ctrlProp727.xml"/><Relationship Id="rId772" Type="http://schemas.openxmlformats.org/officeDocument/2006/relationships/ctrlProp" Target="../ctrlProps/ctrlProp769.xml"/><Relationship Id="rId828" Type="http://schemas.openxmlformats.org/officeDocument/2006/relationships/ctrlProp" Target="../ctrlProps/ctrlProp82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632" Type="http://schemas.openxmlformats.org/officeDocument/2006/relationships/ctrlProp" Target="../ctrlProps/ctrlProp629.xml"/><Relationship Id="rId271" Type="http://schemas.openxmlformats.org/officeDocument/2006/relationships/ctrlProp" Target="../ctrlProps/ctrlProp268.xml"/><Relationship Id="rId674" Type="http://schemas.openxmlformats.org/officeDocument/2006/relationships/ctrlProp" Target="../ctrlProps/ctrlProp671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741" Type="http://schemas.openxmlformats.org/officeDocument/2006/relationships/ctrlProp" Target="../ctrlProps/ctrlProp738.xml"/><Relationship Id="rId783" Type="http://schemas.openxmlformats.org/officeDocument/2006/relationships/ctrlProp" Target="../ctrlProps/ctrlProp780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643" Type="http://schemas.openxmlformats.org/officeDocument/2006/relationships/ctrlProp" Target="../ctrlProps/ctrlProp640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685" Type="http://schemas.openxmlformats.org/officeDocument/2006/relationships/ctrlProp" Target="../ctrlProps/ctrlProp682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710" Type="http://schemas.openxmlformats.org/officeDocument/2006/relationships/ctrlProp" Target="../ctrlProps/ctrlProp707.xml"/><Relationship Id="rId752" Type="http://schemas.openxmlformats.org/officeDocument/2006/relationships/ctrlProp" Target="../ctrlProps/ctrlProp749.xml"/><Relationship Id="rId808" Type="http://schemas.openxmlformats.org/officeDocument/2006/relationships/ctrlProp" Target="../ctrlProps/ctrlProp80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612" Type="http://schemas.openxmlformats.org/officeDocument/2006/relationships/ctrlProp" Target="../ctrlProps/ctrlProp609.xml"/><Relationship Id="rId794" Type="http://schemas.openxmlformats.org/officeDocument/2006/relationships/ctrlProp" Target="../ctrlProps/ctrlProp791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654" Type="http://schemas.openxmlformats.org/officeDocument/2006/relationships/ctrlProp" Target="../ctrlProps/ctrlProp651.xml"/><Relationship Id="rId696" Type="http://schemas.openxmlformats.org/officeDocument/2006/relationships/ctrlProp" Target="../ctrlProps/ctrlProp693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721" Type="http://schemas.openxmlformats.org/officeDocument/2006/relationships/ctrlProp" Target="../ctrlProps/ctrlProp718.xml"/><Relationship Id="rId763" Type="http://schemas.openxmlformats.org/officeDocument/2006/relationships/ctrlProp" Target="../ctrlProps/ctrlProp76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819" Type="http://schemas.openxmlformats.org/officeDocument/2006/relationships/ctrlProp" Target="../ctrlProps/ctrlProp816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623" Type="http://schemas.openxmlformats.org/officeDocument/2006/relationships/ctrlProp" Target="../ctrlProps/ctrlProp620.xml"/><Relationship Id="rId665" Type="http://schemas.openxmlformats.org/officeDocument/2006/relationships/ctrlProp" Target="../ctrlProps/ctrlProp662.xml"/><Relationship Id="rId830" Type="http://schemas.openxmlformats.org/officeDocument/2006/relationships/ctrlProp" Target="../ctrlProps/ctrlProp82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732" Type="http://schemas.openxmlformats.org/officeDocument/2006/relationships/ctrlProp" Target="../ctrlProps/ctrlProp729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774" Type="http://schemas.openxmlformats.org/officeDocument/2006/relationships/ctrlProp" Target="../ctrlProps/ctrlProp771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634" Type="http://schemas.openxmlformats.org/officeDocument/2006/relationships/ctrlProp" Target="../ctrlProps/ctrlProp631.xml"/><Relationship Id="rId676" Type="http://schemas.openxmlformats.org/officeDocument/2006/relationships/ctrlProp" Target="../ctrlProps/ctrlProp673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701" Type="http://schemas.openxmlformats.org/officeDocument/2006/relationships/ctrlProp" Target="../ctrlProps/ctrlProp698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743" Type="http://schemas.openxmlformats.org/officeDocument/2006/relationships/ctrlProp" Target="../ctrlProps/ctrlProp740.xml"/><Relationship Id="rId785" Type="http://schemas.openxmlformats.org/officeDocument/2006/relationships/ctrlProp" Target="../ctrlProps/ctrlProp782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645" Type="http://schemas.openxmlformats.org/officeDocument/2006/relationships/ctrlProp" Target="../ctrlProps/ctrlProp642.xml"/><Relationship Id="rId687" Type="http://schemas.openxmlformats.org/officeDocument/2006/relationships/ctrlProp" Target="../ctrlProps/ctrlProp684.xml"/><Relationship Id="rId810" Type="http://schemas.openxmlformats.org/officeDocument/2006/relationships/ctrlProp" Target="../ctrlProps/ctrlProp807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712" Type="http://schemas.openxmlformats.org/officeDocument/2006/relationships/ctrlProp" Target="../ctrlProps/ctrlProp709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754" Type="http://schemas.openxmlformats.org/officeDocument/2006/relationships/ctrlProp" Target="../ctrlProps/ctrlProp751.xml"/><Relationship Id="rId796" Type="http://schemas.openxmlformats.org/officeDocument/2006/relationships/ctrlProp" Target="../ctrlProps/ctrlProp793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614" Type="http://schemas.openxmlformats.org/officeDocument/2006/relationships/ctrlProp" Target="../ctrlProps/ctrlProp611.xml"/><Relationship Id="rId656" Type="http://schemas.openxmlformats.org/officeDocument/2006/relationships/ctrlProp" Target="../ctrlProps/ctrlProp653.xml"/><Relationship Id="rId821" Type="http://schemas.openxmlformats.org/officeDocument/2006/relationships/ctrlProp" Target="../ctrlProps/ctrlProp818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698" Type="http://schemas.openxmlformats.org/officeDocument/2006/relationships/ctrlProp" Target="../ctrlProps/ctrlProp695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723" Type="http://schemas.openxmlformats.org/officeDocument/2006/relationships/ctrlProp" Target="../ctrlProps/ctrlProp720.xml"/><Relationship Id="rId765" Type="http://schemas.openxmlformats.org/officeDocument/2006/relationships/ctrlProp" Target="../ctrlProps/ctrlProp762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625" Type="http://schemas.openxmlformats.org/officeDocument/2006/relationships/ctrlProp" Target="../ctrlProps/ctrlProp622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667" Type="http://schemas.openxmlformats.org/officeDocument/2006/relationships/ctrlProp" Target="../ctrlProps/ctrlProp664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34" Type="http://schemas.openxmlformats.org/officeDocument/2006/relationships/ctrlProp" Target="../ctrlProps/ctrlProp731.xml"/><Relationship Id="rId776" Type="http://schemas.openxmlformats.org/officeDocument/2006/relationships/ctrlProp" Target="../ctrlProps/ctrlProp773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636" Type="http://schemas.openxmlformats.org/officeDocument/2006/relationships/ctrlProp" Target="../ctrlProps/ctrlProp633.xml"/><Relationship Id="rId801" Type="http://schemas.openxmlformats.org/officeDocument/2006/relationships/ctrlProp" Target="../ctrlProps/ctrlProp798.xml"/><Relationship Id="rId1" Type="http://schemas.openxmlformats.org/officeDocument/2006/relationships/printerSettings" Target="../printerSettings/printerSettings6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678" Type="http://schemas.openxmlformats.org/officeDocument/2006/relationships/ctrlProp" Target="../ctrlProps/ctrlProp675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703" Type="http://schemas.openxmlformats.org/officeDocument/2006/relationships/ctrlProp" Target="../ctrlProps/ctrlProp700.xml"/><Relationship Id="rId745" Type="http://schemas.openxmlformats.org/officeDocument/2006/relationships/ctrlProp" Target="../ctrlProps/ctrlProp742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605" Type="http://schemas.openxmlformats.org/officeDocument/2006/relationships/ctrlProp" Target="../ctrlProps/ctrlProp602.xml"/><Relationship Id="rId787" Type="http://schemas.openxmlformats.org/officeDocument/2006/relationships/ctrlProp" Target="../ctrlProps/ctrlProp784.xml"/><Relationship Id="rId812" Type="http://schemas.openxmlformats.org/officeDocument/2006/relationships/ctrlProp" Target="../ctrlProps/ctrlProp809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647" Type="http://schemas.openxmlformats.org/officeDocument/2006/relationships/ctrlProp" Target="../ctrlProps/ctrlProp644.xml"/><Relationship Id="rId689" Type="http://schemas.openxmlformats.org/officeDocument/2006/relationships/ctrlProp" Target="../ctrlProps/ctrlProp686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714" Type="http://schemas.openxmlformats.org/officeDocument/2006/relationships/ctrlProp" Target="../ctrlProps/ctrlProp711.xml"/><Relationship Id="rId756" Type="http://schemas.openxmlformats.org/officeDocument/2006/relationships/ctrlProp" Target="../ctrlProps/ctrlProp75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798" Type="http://schemas.openxmlformats.org/officeDocument/2006/relationships/ctrlProp" Target="../ctrlProps/ctrlProp795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616" Type="http://schemas.openxmlformats.org/officeDocument/2006/relationships/ctrlProp" Target="../ctrlProps/ctrlProp613.xml"/><Relationship Id="rId658" Type="http://schemas.openxmlformats.org/officeDocument/2006/relationships/ctrlProp" Target="../ctrlProps/ctrlProp655.xml"/><Relationship Id="rId823" Type="http://schemas.openxmlformats.org/officeDocument/2006/relationships/ctrlProp" Target="../ctrlProps/ctrlProp820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725" Type="http://schemas.openxmlformats.org/officeDocument/2006/relationships/ctrlProp" Target="../ctrlProps/ctrlProp722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767" Type="http://schemas.openxmlformats.org/officeDocument/2006/relationships/ctrlProp" Target="../ctrlProps/ctrlProp764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627" Type="http://schemas.openxmlformats.org/officeDocument/2006/relationships/ctrlProp" Target="../ctrlProps/ctrlProp624.xml"/><Relationship Id="rId669" Type="http://schemas.openxmlformats.org/officeDocument/2006/relationships/ctrlProp" Target="../ctrlProps/ctrlProp66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680" Type="http://schemas.openxmlformats.org/officeDocument/2006/relationships/ctrlProp" Target="../ctrlProps/ctrlProp677.xml"/><Relationship Id="rId736" Type="http://schemas.openxmlformats.org/officeDocument/2006/relationships/ctrlProp" Target="../ctrlProps/ctrlProp733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78" Type="http://schemas.openxmlformats.org/officeDocument/2006/relationships/ctrlProp" Target="../ctrlProps/ctrlProp775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638" Type="http://schemas.openxmlformats.org/officeDocument/2006/relationships/ctrlProp" Target="../ctrlProps/ctrlProp635.xml"/><Relationship Id="rId803" Type="http://schemas.openxmlformats.org/officeDocument/2006/relationships/ctrlProp" Target="../ctrlProps/ctrlProp800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705" Type="http://schemas.openxmlformats.org/officeDocument/2006/relationships/ctrlProp" Target="../ctrlProps/ctrlProp702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691" Type="http://schemas.openxmlformats.org/officeDocument/2006/relationships/ctrlProp" Target="../ctrlProps/ctrlProp688.xml"/><Relationship Id="rId747" Type="http://schemas.openxmlformats.org/officeDocument/2006/relationships/ctrlProp" Target="../ctrlProps/ctrlProp744.xml"/><Relationship Id="rId789" Type="http://schemas.openxmlformats.org/officeDocument/2006/relationships/ctrlProp" Target="../ctrlProps/ctrlProp786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607" Type="http://schemas.openxmlformats.org/officeDocument/2006/relationships/ctrlProp" Target="../ctrlProps/ctrlProp604.xml"/><Relationship Id="rId649" Type="http://schemas.openxmlformats.org/officeDocument/2006/relationships/ctrlProp" Target="../ctrlProps/ctrlProp646.xml"/><Relationship Id="rId814" Type="http://schemas.openxmlformats.org/officeDocument/2006/relationships/ctrlProp" Target="../ctrlProps/ctrlProp811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660" Type="http://schemas.openxmlformats.org/officeDocument/2006/relationships/ctrlProp" Target="../ctrlProps/ctrlProp657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716" Type="http://schemas.openxmlformats.org/officeDocument/2006/relationships/ctrlProp" Target="../ctrlProps/ctrlProp713.xml"/><Relationship Id="rId758" Type="http://schemas.openxmlformats.org/officeDocument/2006/relationships/ctrlProp" Target="../ctrlProps/ctrlProp755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618" Type="http://schemas.openxmlformats.org/officeDocument/2006/relationships/ctrlProp" Target="../ctrlProps/ctrlProp615.xml"/><Relationship Id="rId825" Type="http://schemas.openxmlformats.org/officeDocument/2006/relationships/ctrlProp" Target="../ctrlProps/ctrlProp822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727" Type="http://schemas.openxmlformats.org/officeDocument/2006/relationships/ctrlProp" Target="../ctrlProps/ctrlProp724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780" Type="http://schemas.openxmlformats.org/officeDocument/2006/relationships/ctrlProp" Target="../ctrlProps/ctrlProp77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640" Type="http://schemas.openxmlformats.org/officeDocument/2006/relationships/ctrlProp" Target="../ctrlProps/ctrlProp637.xml"/><Relationship Id="rId738" Type="http://schemas.openxmlformats.org/officeDocument/2006/relationships/ctrlProp" Target="../ctrlProps/ctrlProp735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805" Type="http://schemas.openxmlformats.org/officeDocument/2006/relationships/ctrlProp" Target="../ctrlProps/ctrlProp802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791" Type="http://schemas.openxmlformats.org/officeDocument/2006/relationships/ctrlProp" Target="../ctrlProps/ctrlProp788.xml"/><Relationship Id="rId444" Type="http://schemas.openxmlformats.org/officeDocument/2006/relationships/ctrlProp" Target="../ctrlProps/ctrlProp441.xml"/><Relationship Id="rId651" Type="http://schemas.openxmlformats.org/officeDocument/2006/relationships/ctrlProp" Target="../ctrlProps/ctrlProp648.xml"/><Relationship Id="rId749" Type="http://schemas.openxmlformats.org/officeDocument/2006/relationships/ctrlProp" Target="../ctrlProps/ctrlProp74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609" Type="http://schemas.openxmlformats.org/officeDocument/2006/relationships/ctrlProp" Target="../ctrlProps/ctrlProp60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816" Type="http://schemas.openxmlformats.org/officeDocument/2006/relationships/ctrlProp" Target="../ctrlProps/ctrlProp813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662" Type="http://schemas.openxmlformats.org/officeDocument/2006/relationships/ctrlProp" Target="../ctrlProps/ctrlProp659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827" Type="http://schemas.openxmlformats.org/officeDocument/2006/relationships/ctrlProp" Target="../ctrlProps/ctrlProp824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673" Type="http://schemas.openxmlformats.org/officeDocument/2006/relationships/ctrlProp" Target="../ctrlProps/ctrlProp670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740" Type="http://schemas.openxmlformats.org/officeDocument/2006/relationships/ctrlProp" Target="../ctrlProps/ctrlProp737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684" Type="http://schemas.openxmlformats.org/officeDocument/2006/relationships/ctrlProp" Target="../ctrlProps/ctrlProp681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751" Type="http://schemas.openxmlformats.org/officeDocument/2006/relationships/ctrlProp" Target="../ctrlProps/ctrlProp748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611" Type="http://schemas.openxmlformats.org/officeDocument/2006/relationships/ctrlProp" Target="../ctrlProps/ctrlProp608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695" Type="http://schemas.openxmlformats.org/officeDocument/2006/relationships/ctrlProp" Target="../ctrlProps/ctrlProp692.xml"/><Relationship Id="rId709" Type="http://schemas.openxmlformats.org/officeDocument/2006/relationships/ctrlProp" Target="../ctrlProps/ctrlProp706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762" Type="http://schemas.openxmlformats.org/officeDocument/2006/relationships/ctrlProp" Target="../ctrlProps/ctrlProp75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622" Type="http://schemas.openxmlformats.org/officeDocument/2006/relationships/ctrlProp" Target="../ctrlProps/ctrlProp619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56" Type="http://schemas.openxmlformats.org/officeDocument/2006/relationships/ctrlProp" Target="../ctrlProps/ctrlProp53.xml"/><Relationship Id="rId359" Type="http://schemas.openxmlformats.org/officeDocument/2006/relationships/ctrlProp" Target="../ctrlProps/ctrlProp356.xml"/><Relationship Id="rId566" Type="http://schemas.openxmlformats.org/officeDocument/2006/relationships/ctrlProp" Target="../ctrlProps/ctrlProp563.xml"/><Relationship Id="rId773" Type="http://schemas.openxmlformats.org/officeDocument/2006/relationships/ctrlProp" Target="../ctrlProps/ctrlProp770.xml"/><Relationship Id="rId121" Type="http://schemas.openxmlformats.org/officeDocument/2006/relationships/ctrlProp" Target="../ctrlProps/ctrlProp118.xml"/><Relationship Id="rId219" Type="http://schemas.openxmlformats.org/officeDocument/2006/relationships/ctrlProp" Target="../ctrlProps/ctrlProp216.xml"/><Relationship Id="rId426" Type="http://schemas.openxmlformats.org/officeDocument/2006/relationships/ctrlProp" Target="../ctrlProps/ctrlProp423.xml"/><Relationship Id="rId633" Type="http://schemas.openxmlformats.org/officeDocument/2006/relationships/ctrlProp" Target="../ctrlProps/ctrlProp630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577" Type="http://schemas.openxmlformats.org/officeDocument/2006/relationships/ctrlProp" Target="../ctrlProps/ctrlProp574.xml"/><Relationship Id="rId700" Type="http://schemas.openxmlformats.org/officeDocument/2006/relationships/ctrlProp" Target="../ctrlProps/ctrlProp697.xml"/><Relationship Id="rId132" Type="http://schemas.openxmlformats.org/officeDocument/2006/relationships/ctrlProp" Target="../ctrlProps/ctrlProp129.xml"/><Relationship Id="rId784" Type="http://schemas.openxmlformats.org/officeDocument/2006/relationships/ctrlProp" Target="../ctrlProps/ctrlProp781.xml"/><Relationship Id="rId437" Type="http://schemas.openxmlformats.org/officeDocument/2006/relationships/ctrlProp" Target="../ctrlProps/ctrlProp434.xml"/><Relationship Id="rId644" Type="http://schemas.openxmlformats.org/officeDocument/2006/relationships/ctrlProp" Target="../ctrlProps/ctrlProp641.xml"/><Relationship Id="rId283" Type="http://schemas.openxmlformats.org/officeDocument/2006/relationships/ctrlProp" Target="../ctrlProps/ctrlProp280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11" Type="http://schemas.openxmlformats.org/officeDocument/2006/relationships/ctrlProp" Target="../ctrlProps/ctrlProp708.xml"/><Relationship Id="rId78" Type="http://schemas.openxmlformats.org/officeDocument/2006/relationships/ctrlProp" Target="../ctrlProps/ctrlProp75.xml"/><Relationship Id="rId143" Type="http://schemas.openxmlformats.org/officeDocument/2006/relationships/ctrlProp" Target="../ctrlProps/ctrlProp140.xml"/><Relationship Id="rId350" Type="http://schemas.openxmlformats.org/officeDocument/2006/relationships/ctrlProp" Target="../ctrlProps/ctrlProp347.xml"/><Relationship Id="rId588" Type="http://schemas.openxmlformats.org/officeDocument/2006/relationships/ctrlProp" Target="../ctrlProps/ctrlProp585.xml"/><Relationship Id="rId795" Type="http://schemas.openxmlformats.org/officeDocument/2006/relationships/ctrlProp" Target="../ctrlProps/ctrlProp792.xml"/><Relationship Id="rId809" Type="http://schemas.openxmlformats.org/officeDocument/2006/relationships/ctrlProp" Target="../ctrlProps/ctrlProp806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448" Type="http://schemas.openxmlformats.org/officeDocument/2006/relationships/ctrlProp" Target="../ctrlProps/ctrlProp445.xml"/><Relationship Id="rId655" Type="http://schemas.openxmlformats.org/officeDocument/2006/relationships/ctrlProp" Target="../ctrlProps/ctrlProp652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722" Type="http://schemas.openxmlformats.org/officeDocument/2006/relationships/ctrlProp" Target="../ctrlProps/ctrlProp719.xml"/><Relationship Id="rId89" Type="http://schemas.openxmlformats.org/officeDocument/2006/relationships/ctrlProp" Target="../ctrlProps/ctrlProp86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99" Type="http://schemas.openxmlformats.org/officeDocument/2006/relationships/ctrlProp" Target="../ctrlProps/ctrlProp596.xml"/><Relationship Id="rId459" Type="http://schemas.openxmlformats.org/officeDocument/2006/relationships/ctrlProp" Target="../ctrlProps/ctrlProp456.xml"/><Relationship Id="rId666" Type="http://schemas.openxmlformats.org/officeDocument/2006/relationships/ctrlProp" Target="../ctrlProps/ctrlProp663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19" Type="http://schemas.openxmlformats.org/officeDocument/2006/relationships/ctrlProp" Target="../ctrlProps/ctrlProp316.xml"/><Relationship Id="rId526" Type="http://schemas.openxmlformats.org/officeDocument/2006/relationships/ctrlProp" Target="../ctrlProps/ctrlProp523.xml"/><Relationship Id="rId733" Type="http://schemas.openxmlformats.org/officeDocument/2006/relationships/ctrlProp" Target="../ctrlProps/ctrlProp730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677" Type="http://schemas.openxmlformats.org/officeDocument/2006/relationships/ctrlProp" Target="../ctrlProps/ctrlProp674.xml"/><Relationship Id="rId800" Type="http://schemas.openxmlformats.org/officeDocument/2006/relationships/ctrlProp" Target="../ctrlProps/ctrlProp797.xml"/><Relationship Id="rId232" Type="http://schemas.openxmlformats.org/officeDocument/2006/relationships/ctrlProp" Target="../ctrlProps/ctrlProp229.xml"/><Relationship Id="rId27" Type="http://schemas.openxmlformats.org/officeDocument/2006/relationships/ctrlProp" Target="../ctrlProps/ctrlProp24.xml"/><Relationship Id="rId537" Type="http://schemas.openxmlformats.org/officeDocument/2006/relationships/ctrlProp" Target="../ctrlProps/ctrlProp534.xml"/><Relationship Id="rId744" Type="http://schemas.openxmlformats.org/officeDocument/2006/relationships/ctrlProp" Target="../ctrlProps/ctrlProp74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83" Type="http://schemas.openxmlformats.org/officeDocument/2006/relationships/ctrlProp" Target="../ctrlProps/ctrlProp380.xml"/><Relationship Id="rId590" Type="http://schemas.openxmlformats.org/officeDocument/2006/relationships/ctrlProp" Target="../ctrlProps/ctrlProp587.xml"/><Relationship Id="rId604" Type="http://schemas.openxmlformats.org/officeDocument/2006/relationships/ctrlProp" Target="../ctrlProps/ctrlProp601.xml"/><Relationship Id="rId811" Type="http://schemas.openxmlformats.org/officeDocument/2006/relationships/ctrlProp" Target="../ctrlProps/ctrlProp808.xml"/><Relationship Id="rId243" Type="http://schemas.openxmlformats.org/officeDocument/2006/relationships/ctrlProp" Target="../ctrlProps/ctrlProp240.xml"/><Relationship Id="rId450" Type="http://schemas.openxmlformats.org/officeDocument/2006/relationships/ctrlProp" Target="../ctrlProps/ctrlProp447.xml"/><Relationship Id="rId688" Type="http://schemas.openxmlformats.org/officeDocument/2006/relationships/ctrlProp" Target="../ctrlProps/ctrlProp685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548" Type="http://schemas.openxmlformats.org/officeDocument/2006/relationships/ctrlProp" Target="../ctrlProps/ctrlProp545.xml"/><Relationship Id="rId755" Type="http://schemas.openxmlformats.org/officeDocument/2006/relationships/ctrlProp" Target="../ctrlProps/ctrlProp752.xml"/><Relationship Id="rId91" Type="http://schemas.openxmlformats.org/officeDocument/2006/relationships/ctrlProp" Target="../ctrlProps/ctrlProp88.xml"/><Relationship Id="rId187" Type="http://schemas.openxmlformats.org/officeDocument/2006/relationships/ctrlProp" Target="../ctrlProps/ctrlProp184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615" Type="http://schemas.openxmlformats.org/officeDocument/2006/relationships/ctrlProp" Target="../ctrlProps/ctrlProp612.xml"/><Relationship Id="rId822" Type="http://schemas.openxmlformats.org/officeDocument/2006/relationships/ctrlProp" Target="../ctrlProps/ctrlProp819.xml"/><Relationship Id="rId254" Type="http://schemas.openxmlformats.org/officeDocument/2006/relationships/ctrlProp" Target="../ctrlProps/ctrlProp251.xml"/><Relationship Id="rId699" Type="http://schemas.openxmlformats.org/officeDocument/2006/relationships/ctrlProp" Target="../ctrlProps/ctrlProp696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461" Type="http://schemas.openxmlformats.org/officeDocument/2006/relationships/ctrlProp" Target="../ctrlProps/ctrlProp458.xml"/><Relationship Id="rId559" Type="http://schemas.openxmlformats.org/officeDocument/2006/relationships/ctrlProp" Target="../ctrlProps/ctrlProp556.xml"/><Relationship Id="rId766" Type="http://schemas.openxmlformats.org/officeDocument/2006/relationships/ctrlProp" Target="../ctrlProps/ctrlProp76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419" Type="http://schemas.openxmlformats.org/officeDocument/2006/relationships/ctrlProp" Target="../ctrlProps/ctrlProp416.xml"/><Relationship Id="rId626" Type="http://schemas.openxmlformats.org/officeDocument/2006/relationships/ctrlProp" Target="../ctrlProps/ctrlProp623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125" Type="http://schemas.openxmlformats.org/officeDocument/2006/relationships/ctrlProp" Target="../ctrlProps/ctrlProp122.xml"/><Relationship Id="rId332" Type="http://schemas.openxmlformats.org/officeDocument/2006/relationships/ctrlProp" Target="../ctrlProps/ctrlProp329.xml"/><Relationship Id="rId777" Type="http://schemas.openxmlformats.org/officeDocument/2006/relationships/ctrlProp" Target="../ctrlProps/ctrlProp774.xml"/><Relationship Id="rId637" Type="http://schemas.openxmlformats.org/officeDocument/2006/relationships/ctrlProp" Target="../ctrlProps/ctrlProp634.xml"/><Relationship Id="rId276" Type="http://schemas.openxmlformats.org/officeDocument/2006/relationships/ctrlProp" Target="../ctrlProps/ctrlProp273.xml"/><Relationship Id="rId483" Type="http://schemas.openxmlformats.org/officeDocument/2006/relationships/ctrlProp" Target="../ctrlProps/ctrlProp480.xml"/><Relationship Id="rId690" Type="http://schemas.openxmlformats.org/officeDocument/2006/relationships/ctrlProp" Target="../ctrlProps/ctrlProp687.xml"/><Relationship Id="rId704" Type="http://schemas.openxmlformats.org/officeDocument/2006/relationships/ctrlProp" Target="../ctrlProps/ctrlProp701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788" Type="http://schemas.openxmlformats.org/officeDocument/2006/relationships/ctrlProp" Target="../ctrlProps/ctrlProp785.xml"/><Relationship Id="rId203" Type="http://schemas.openxmlformats.org/officeDocument/2006/relationships/ctrlProp" Target="../ctrlProps/ctrlProp200.xml"/><Relationship Id="rId648" Type="http://schemas.openxmlformats.org/officeDocument/2006/relationships/ctrlProp" Target="../ctrlProps/ctrlProp645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715" Type="http://schemas.openxmlformats.org/officeDocument/2006/relationships/ctrlProp" Target="../ctrlProps/ctrlProp712.xml"/><Relationship Id="rId147" Type="http://schemas.openxmlformats.org/officeDocument/2006/relationships/ctrlProp" Target="../ctrlProps/ctrlProp144.xml"/><Relationship Id="rId354" Type="http://schemas.openxmlformats.org/officeDocument/2006/relationships/ctrlProp" Target="../ctrlProps/ctrlProp351.xml"/><Relationship Id="rId799" Type="http://schemas.openxmlformats.org/officeDocument/2006/relationships/ctrlProp" Target="../ctrlProps/ctrlProp796.xml"/><Relationship Id="rId51" Type="http://schemas.openxmlformats.org/officeDocument/2006/relationships/ctrlProp" Target="../ctrlProps/ctrlProp48.xml"/><Relationship Id="rId561" Type="http://schemas.openxmlformats.org/officeDocument/2006/relationships/ctrlProp" Target="../ctrlProps/ctrlProp558.xml"/><Relationship Id="rId659" Type="http://schemas.openxmlformats.org/officeDocument/2006/relationships/ctrlProp" Target="../ctrlProps/ctrlProp656.xml"/><Relationship Id="rId214" Type="http://schemas.openxmlformats.org/officeDocument/2006/relationships/ctrlProp" Target="../ctrlProps/ctrlProp211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519" Type="http://schemas.openxmlformats.org/officeDocument/2006/relationships/ctrlProp" Target="../ctrlProps/ctrlProp516.xml"/><Relationship Id="rId158" Type="http://schemas.openxmlformats.org/officeDocument/2006/relationships/ctrlProp" Target="../ctrlProps/ctrlProp155.xml"/><Relationship Id="rId726" Type="http://schemas.openxmlformats.org/officeDocument/2006/relationships/ctrlProp" Target="../ctrlProps/ctrlProp723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432" Type="http://schemas.openxmlformats.org/officeDocument/2006/relationships/ctrlProp" Target="../ctrlProps/ctrlProp429.xml"/><Relationship Id="rId737" Type="http://schemas.openxmlformats.org/officeDocument/2006/relationships/ctrlProp" Target="../ctrlProps/ctrlProp734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76" Type="http://schemas.openxmlformats.org/officeDocument/2006/relationships/ctrlProp" Target="../ctrlProps/ctrlProp373.xml"/><Relationship Id="rId583" Type="http://schemas.openxmlformats.org/officeDocument/2006/relationships/ctrlProp" Target="../ctrlProps/ctrlProp580.xml"/><Relationship Id="rId790" Type="http://schemas.openxmlformats.org/officeDocument/2006/relationships/ctrlProp" Target="../ctrlProps/ctrlProp787.xml"/><Relationship Id="rId804" Type="http://schemas.openxmlformats.org/officeDocument/2006/relationships/ctrlProp" Target="../ctrlProps/ctrlProp801.xml"/><Relationship Id="rId4" Type="http://schemas.openxmlformats.org/officeDocument/2006/relationships/ctrlProp" Target="../ctrlProps/ctrlProp1.xml"/><Relationship Id="rId236" Type="http://schemas.openxmlformats.org/officeDocument/2006/relationships/ctrlProp" Target="../ctrlProps/ctrlProp233.xml"/><Relationship Id="rId443" Type="http://schemas.openxmlformats.org/officeDocument/2006/relationships/ctrlProp" Target="../ctrlProps/ctrlProp440.xml"/><Relationship Id="rId650" Type="http://schemas.openxmlformats.org/officeDocument/2006/relationships/ctrlProp" Target="../ctrlProps/ctrlProp647.xml"/><Relationship Id="rId303" Type="http://schemas.openxmlformats.org/officeDocument/2006/relationships/ctrlProp" Target="../ctrlProps/ctrlProp300.xml"/><Relationship Id="rId748" Type="http://schemas.openxmlformats.org/officeDocument/2006/relationships/ctrlProp" Target="../ctrlProps/ctrlProp745.xml"/><Relationship Id="rId84" Type="http://schemas.openxmlformats.org/officeDocument/2006/relationships/ctrlProp" Target="../ctrlProps/ctrlProp81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94" Type="http://schemas.openxmlformats.org/officeDocument/2006/relationships/ctrlProp" Target="../ctrlProps/ctrlProp591.xml"/><Relationship Id="rId608" Type="http://schemas.openxmlformats.org/officeDocument/2006/relationships/ctrlProp" Target="../ctrlProps/ctrlProp605.xml"/><Relationship Id="rId815" Type="http://schemas.openxmlformats.org/officeDocument/2006/relationships/ctrlProp" Target="../ctrlProps/ctrlProp81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454" Type="http://schemas.openxmlformats.org/officeDocument/2006/relationships/ctrlProp" Target="../ctrlProps/ctrlProp451.xml"/><Relationship Id="rId661" Type="http://schemas.openxmlformats.org/officeDocument/2006/relationships/ctrlProp" Target="../ctrlProps/ctrlProp658.xml"/><Relationship Id="rId759" Type="http://schemas.openxmlformats.org/officeDocument/2006/relationships/ctrlProp" Target="../ctrlProps/ctrlProp756.xml"/><Relationship Id="rId11" Type="http://schemas.openxmlformats.org/officeDocument/2006/relationships/ctrlProp" Target="../ctrlProps/ctrlProp8.xml"/><Relationship Id="rId314" Type="http://schemas.openxmlformats.org/officeDocument/2006/relationships/ctrlProp" Target="../ctrlProps/ctrlProp311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619" Type="http://schemas.openxmlformats.org/officeDocument/2006/relationships/ctrlProp" Target="../ctrlProps/ctrlProp61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826" Type="http://schemas.openxmlformats.org/officeDocument/2006/relationships/ctrlProp" Target="../ctrlProps/ctrlProp823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672" Type="http://schemas.openxmlformats.org/officeDocument/2006/relationships/ctrlProp" Target="../ctrlProps/ctrlProp669.xml"/><Relationship Id="rId22" Type="http://schemas.openxmlformats.org/officeDocument/2006/relationships/ctrlProp" Target="../ctrlProps/ctrlProp19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532" Type="http://schemas.openxmlformats.org/officeDocument/2006/relationships/ctrlProp" Target="../ctrlProps/ctrlProp529.xml"/><Relationship Id="rId171" Type="http://schemas.openxmlformats.org/officeDocument/2006/relationships/ctrlProp" Target="../ctrlProps/ctrlProp168.xml"/><Relationship Id="rId269" Type="http://schemas.openxmlformats.org/officeDocument/2006/relationships/ctrlProp" Target="../ctrlProps/ctrlProp266.xml"/><Relationship Id="rId476" Type="http://schemas.openxmlformats.org/officeDocument/2006/relationships/ctrlProp" Target="../ctrlProps/ctrlProp473.xml"/><Relationship Id="rId683" Type="http://schemas.openxmlformats.org/officeDocument/2006/relationships/ctrlProp" Target="../ctrlProps/ctrlProp680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336" Type="http://schemas.openxmlformats.org/officeDocument/2006/relationships/ctrlProp" Target="../ctrlProps/ctrlProp333.xml"/><Relationship Id="rId543" Type="http://schemas.openxmlformats.org/officeDocument/2006/relationships/ctrlProp" Target="../ctrlProps/ctrlProp540.xml"/><Relationship Id="rId182" Type="http://schemas.openxmlformats.org/officeDocument/2006/relationships/ctrlProp" Target="../ctrlProps/ctrlProp179.xml"/><Relationship Id="rId403" Type="http://schemas.openxmlformats.org/officeDocument/2006/relationships/ctrlProp" Target="../ctrlProps/ctrlProp400.xml"/><Relationship Id="rId750" Type="http://schemas.openxmlformats.org/officeDocument/2006/relationships/ctrlProp" Target="../ctrlProps/ctrlProp747.xml"/><Relationship Id="rId487" Type="http://schemas.openxmlformats.org/officeDocument/2006/relationships/ctrlProp" Target="../ctrlProps/ctrlProp484.xml"/><Relationship Id="rId610" Type="http://schemas.openxmlformats.org/officeDocument/2006/relationships/ctrlProp" Target="../ctrlProps/ctrlProp607.xml"/><Relationship Id="rId694" Type="http://schemas.openxmlformats.org/officeDocument/2006/relationships/ctrlProp" Target="../ctrlProps/ctrlProp691.xml"/><Relationship Id="rId708" Type="http://schemas.openxmlformats.org/officeDocument/2006/relationships/ctrlProp" Target="../ctrlProps/ctrlProp705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554" Type="http://schemas.openxmlformats.org/officeDocument/2006/relationships/ctrlProp" Target="../ctrlProps/ctrlProp551.xml"/><Relationship Id="rId761" Type="http://schemas.openxmlformats.org/officeDocument/2006/relationships/ctrlProp" Target="../ctrlProps/ctrlProp75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414" Type="http://schemas.openxmlformats.org/officeDocument/2006/relationships/ctrlProp" Target="../ctrlProps/ctrlProp411.xml"/><Relationship Id="rId498" Type="http://schemas.openxmlformats.org/officeDocument/2006/relationships/ctrlProp" Target="../ctrlProps/ctrlProp495.xml"/><Relationship Id="rId621" Type="http://schemas.openxmlformats.org/officeDocument/2006/relationships/ctrlProp" Target="../ctrlProps/ctrlProp61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>
    <tabColor rgb="FFFFC9C9"/>
  </sheetPr>
  <dimension ref="B1:K190"/>
  <sheetViews>
    <sheetView workbookViewId="0">
      <pane ySplit="1" topLeftCell="A121" activePane="bottomLeft" state="frozen"/>
      <selection pane="bottomLeft" activeCell="C134" sqref="C134"/>
    </sheetView>
  </sheetViews>
  <sheetFormatPr baseColWidth="10" defaultRowHeight="15" x14ac:dyDescent="0.25"/>
  <cols>
    <col min="1" max="1" width="3.140625" customWidth="1"/>
    <col min="2" max="2" width="4.42578125" customWidth="1"/>
    <col min="3" max="3" width="33.140625" customWidth="1"/>
    <col min="4" max="4" width="4.7109375" customWidth="1"/>
    <col min="5" max="5" width="11.42578125" style="63"/>
    <col min="6" max="6" width="29.140625" customWidth="1"/>
    <col min="8" max="8" width="14.85546875" style="377" customWidth="1"/>
    <col min="9" max="9" width="11" style="63" customWidth="1"/>
    <col min="10" max="10" width="13" style="377" customWidth="1"/>
    <col min="11" max="11" width="11.42578125" style="63"/>
  </cols>
  <sheetData>
    <row r="1" spans="2:11" ht="30" x14ac:dyDescent="0.25">
      <c r="B1" s="333" t="s">
        <v>24</v>
      </c>
      <c r="C1" s="329" t="s">
        <v>322</v>
      </c>
      <c r="D1" s="332"/>
      <c r="E1" s="329" t="s">
        <v>450</v>
      </c>
      <c r="F1" s="330" t="s">
        <v>55</v>
      </c>
      <c r="G1" s="330" t="s">
        <v>68</v>
      </c>
      <c r="H1" s="372" t="s">
        <v>470</v>
      </c>
      <c r="I1" s="330" t="s">
        <v>89</v>
      </c>
      <c r="J1" s="372" t="s">
        <v>445</v>
      </c>
      <c r="K1" s="330" t="s">
        <v>86</v>
      </c>
    </row>
    <row r="2" spans="2:11" s="177" customFormat="1" ht="17.25" customHeight="1" x14ac:dyDescent="0.25">
      <c r="B2" s="334">
        <v>1</v>
      </c>
      <c r="C2" s="335" t="s">
        <v>323</v>
      </c>
      <c r="D2" s="328"/>
      <c r="E2" s="288" t="s">
        <v>492</v>
      </c>
      <c r="F2" s="179" t="s">
        <v>338</v>
      </c>
      <c r="G2" s="178" t="s">
        <v>444</v>
      </c>
      <c r="H2" s="373">
        <v>34</v>
      </c>
      <c r="I2" s="288">
        <v>1</v>
      </c>
      <c r="J2" s="331"/>
      <c r="K2" s="288"/>
    </row>
    <row r="3" spans="2:11" s="177" customFormat="1" ht="17.25" customHeight="1" x14ac:dyDescent="0.25">
      <c r="B3" s="334">
        <v>2</v>
      </c>
      <c r="C3" s="336" t="s">
        <v>279</v>
      </c>
      <c r="D3" s="326"/>
      <c r="E3" s="288" t="s">
        <v>493</v>
      </c>
      <c r="F3" s="179" t="s">
        <v>339</v>
      </c>
      <c r="G3" s="178" t="s">
        <v>444</v>
      </c>
      <c r="H3" s="373">
        <v>34</v>
      </c>
      <c r="I3" s="288">
        <v>1</v>
      </c>
      <c r="J3" s="331"/>
      <c r="K3" s="288"/>
    </row>
    <row r="4" spans="2:11" s="177" customFormat="1" ht="17.25" customHeight="1" x14ac:dyDescent="0.25">
      <c r="B4" s="334">
        <v>3</v>
      </c>
      <c r="C4" s="336" t="s">
        <v>280</v>
      </c>
      <c r="D4" s="326"/>
      <c r="E4" s="288">
        <v>3</v>
      </c>
      <c r="F4" s="179" t="s">
        <v>340</v>
      </c>
      <c r="G4" s="178" t="s">
        <v>444</v>
      </c>
      <c r="H4" s="373">
        <v>34</v>
      </c>
      <c r="I4" s="288">
        <v>1</v>
      </c>
      <c r="J4" s="331"/>
      <c r="K4" s="288"/>
    </row>
    <row r="5" spans="2:11" s="177" customFormat="1" ht="17.25" customHeight="1" x14ac:dyDescent="0.25">
      <c r="B5" s="334">
        <v>4</v>
      </c>
      <c r="C5" s="336" t="s">
        <v>281</v>
      </c>
      <c r="D5" s="326"/>
      <c r="E5" s="288">
        <v>4</v>
      </c>
      <c r="F5" s="179" t="s">
        <v>341</v>
      </c>
      <c r="G5" s="178" t="s">
        <v>444</v>
      </c>
      <c r="H5" s="373">
        <v>70</v>
      </c>
      <c r="I5" s="288">
        <v>1</v>
      </c>
      <c r="J5" s="331"/>
      <c r="K5" s="288"/>
    </row>
    <row r="6" spans="2:11" s="177" customFormat="1" ht="17.25" customHeight="1" x14ac:dyDescent="0.25">
      <c r="B6" s="334">
        <v>5</v>
      </c>
      <c r="C6" s="336" t="s">
        <v>282</v>
      </c>
      <c r="D6" s="326"/>
      <c r="E6" s="288">
        <v>5</v>
      </c>
      <c r="F6" s="179" t="s">
        <v>342</v>
      </c>
      <c r="G6" s="178" t="s">
        <v>444</v>
      </c>
      <c r="H6" s="373">
        <v>70</v>
      </c>
      <c r="I6" s="288">
        <v>1</v>
      </c>
      <c r="J6" s="331"/>
      <c r="K6" s="288"/>
    </row>
    <row r="7" spans="2:11" s="177" customFormat="1" ht="17.25" customHeight="1" x14ac:dyDescent="0.25">
      <c r="B7" s="334">
        <v>6</v>
      </c>
      <c r="C7" s="336" t="s">
        <v>283</v>
      </c>
      <c r="D7" s="326"/>
      <c r="E7" s="288">
        <v>6</v>
      </c>
      <c r="F7" s="179" t="s">
        <v>343</v>
      </c>
      <c r="G7" s="178" t="s">
        <v>444</v>
      </c>
      <c r="H7" s="373">
        <v>134</v>
      </c>
      <c r="I7" s="288">
        <v>1</v>
      </c>
      <c r="J7" s="331"/>
      <c r="K7" s="288"/>
    </row>
    <row r="8" spans="2:11" s="177" customFormat="1" ht="17.25" customHeight="1" x14ac:dyDescent="0.25">
      <c r="B8" s="334">
        <v>7</v>
      </c>
      <c r="C8" s="336" t="s">
        <v>284</v>
      </c>
      <c r="D8" s="326"/>
      <c r="E8" s="288">
        <v>7</v>
      </c>
      <c r="F8" s="179" t="s">
        <v>344</v>
      </c>
      <c r="G8" s="178" t="s">
        <v>444</v>
      </c>
      <c r="H8" s="373">
        <v>134</v>
      </c>
      <c r="I8" s="288">
        <v>1</v>
      </c>
      <c r="J8" s="331"/>
      <c r="K8" s="288"/>
    </row>
    <row r="9" spans="2:11" s="177" customFormat="1" ht="17.25" customHeight="1" x14ac:dyDescent="0.25">
      <c r="B9" s="334">
        <v>8</v>
      </c>
      <c r="C9" s="336" t="s">
        <v>285</v>
      </c>
      <c r="D9" s="326"/>
      <c r="E9" s="288">
        <v>8</v>
      </c>
      <c r="F9" s="179" t="s">
        <v>256</v>
      </c>
      <c r="G9" s="287" t="s">
        <v>473</v>
      </c>
      <c r="H9" s="373">
        <v>60</v>
      </c>
      <c r="I9" s="288">
        <v>1</v>
      </c>
      <c r="J9" s="331"/>
      <c r="K9" s="288"/>
    </row>
    <row r="10" spans="2:11" s="177" customFormat="1" ht="17.25" customHeight="1" x14ac:dyDescent="0.25">
      <c r="B10" s="334">
        <v>9</v>
      </c>
      <c r="C10" s="336" t="s">
        <v>286</v>
      </c>
      <c r="D10" s="326"/>
      <c r="E10" s="288">
        <v>9</v>
      </c>
      <c r="F10" s="179" t="s">
        <v>257</v>
      </c>
      <c r="G10" s="178" t="s">
        <v>473</v>
      </c>
      <c r="H10" s="373">
        <v>58</v>
      </c>
      <c r="I10" s="288">
        <v>1</v>
      </c>
      <c r="J10" s="331"/>
      <c r="K10" s="288"/>
    </row>
    <row r="11" spans="2:11" s="177" customFormat="1" ht="17.25" customHeight="1" x14ac:dyDescent="0.25">
      <c r="B11" s="334">
        <v>10</v>
      </c>
      <c r="C11" s="336" t="s">
        <v>287</v>
      </c>
      <c r="D11" s="326"/>
      <c r="E11" s="288">
        <v>10</v>
      </c>
      <c r="F11" s="179" t="s">
        <v>258</v>
      </c>
      <c r="G11" s="178" t="s">
        <v>473</v>
      </c>
      <c r="H11" s="373">
        <v>58</v>
      </c>
      <c r="I11" s="288">
        <v>1</v>
      </c>
      <c r="J11" s="331"/>
      <c r="K11" s="288"/>
    </row>
    <row r="12" spans="2:11" s="177" customFormat="1" ht="17.25" customHeight="1" x14ac:dyDescent="0.25">
      <c r="B12" s="334">
        <v>11</v>
      </c>
      <c r="C12" s="336" t="s">
        <v>288</v>
      </c>
      <c r="D12" s="326"/>
      <c r="E12" s="288">
        <v>11</v>
      </c>
      <c r="F12" s="179" t="s">
        <v>259</v>
      </c>
      <c r="G12" s="178" t="s">
        <v>473</v>
      </c>
      <c r="H12" s="373">
        <v>84</v>
      </c>
      <c r="I12" s="288">
        <v>1</v>
      </c>
      <c r="J12" s="331"/>
      <c r="K12" s="288"/>
    </row>
    <row r="13" spans="2:11" s="177" customFormat="1" ht="17.25" customHeight="1" x14ac:dyDescent="0.25">
      <c r="B13" s="334">
        <v>12</v>
      </c>
      <c r="C13" s="336" t="s">
        <v>289</v>
      </c>
      <c r="D13" s="326"/>
      <c r="E13" s="288">
        <v>12</v>
      </c>
      <c r="F13" s="179" t="s">
        <v>260</v>
      </c>
      <c r="G13" s="178" t="s">
        <v>473</v>
      </c>
      <c r="H13" s="373">
        <v>58</v>
      </c>
      <c r="I13" s="288">
        <v>1</v>
      </c>
      <c r="J13" s="331"/>
      <c r="K13" s="288"/>
    </row>
    <row r="14" spans="2:11" s="177" customFormat="1" ht="17.25" customHeight="1" x14ac:dyDescent="0.25">
      <c r="B14" s="334">
        <v>13</v>
      </c>
      <c r="C14" s="336" t="s">
        <v>317</v>
      </c>
      <c r="D14" s="326"/>
      <c r="E14" s="288">
        <v>13</v>
      </c>
      <c r="F14" s="179" t="s">
        <v>261</v>
      </c>
      <c r="G14" s="178" t="s">
        <v>473</v>
      </c>
      <c r="H14" s="373">
        <v>59</v>
      </c>
      <c r="I14" s="288">
        <v>1</v>
      </c>
      <c r="J14" s="331"/>
      <c r="K14" s="288"/>
    </row>
    <row r="15" spans="2:11" s="177" customFormat="1" ht="17.25" customHeight="1" x14ac:dyDescent="0.25">
      <c r="B15" s="334">
        <v>14</v>
      </c>
      <c r="C15" s="336" t="s">
        <v>318</v>
      </c>
      <c r="D15" s="326"/>
      <c r="E15" s="288">
        <v>14</v>
      </c>
      <c r="F15" s="179" t="s">
        <v>319</v>
      </c>
      <c r="G15" s="178" t="s">
        <v>473</v>
      </c>
      <c r="H15" s="373">
        <v>31</v>
      </c>
      <c r="I15" s="288">
        <v>1</v>
      </c>
      <c r="J15" s="331"/>
      <c r="K15" s="288"/>
    </row>
    <row r="16" spans="2:11" s="177" customFormat="1" ht="17.25" customHeight="1" x14ac:dyDescent="0.25">
      <c r="B16" s="334">
        <v>15</v>
      </c>
      <c r="C16" s="336" t="s">
        <v>290</v>
      </c>
      <c r="D16" s="326"/>
      <c r="E16" s="288">
        <v>15</v>
      </c>
      <c r="F16" s="179" t="s">
        <v>320</v>
      </c>
      <c r="G16" s="178" t="s">
        <v>473</v>
      </c>
      <c r="H16" s="373">
        <v>58</v>
      </c>
      <c r="I16" s="288">
        <v>1</v>
      </c>
      <c r="J16" s="331"/>
      <c r="K16" s="288"/>
    </row>
    <row r="17" spans="2:11" s="177" customFormat="1" ht="17.25" customHeight="1" x14ac:dyDescent="0.25">
      <c r="B17" s="334">
        <v>16</v>
      </c>
      <c r="C17" s="336" t="s">
        <v>262</v>
      </c>
      <c r="D17" s="326"/>
      <c r="E17" s="288">
        <v>16</v>
      </c>
      <c r="F17" s="179" t="s">
        <v>321</v>
      </c>
      <c r="G17" s="178" t="s">
        <v>473</v>
      </c>
      <c r="H17" s="373">
        <v>37</v>
      </c>
      <c r="I17" s="288">
        <v>1</v>
      </c>
      <c r="J17" s="331"/>
      <c r="K17" s="288"/>
    </row>
    <row r="18" spans="2:11" s="177" customFormat="1" ht="17.25" customHeight="1" x14ac:dyDescent="0.25">
      <c r="B18" s="334">
        <v>17</v>
      </c>
      <c r="C18" s="336" t="s">
        <v>263</v>
      </c>
      <c r="D18" s="326"/>
      <c r="E18" s="288">
        <v>17</v>
      </c>
      <c r="F18" s="179" t="s">
        <v>345</v>
      </c>
      <c r="G18" s="178" t="s">
        <v>444</v>
      </c>
      <c r="H18" s="373">
        <v>14</v>
      </c>
      <c r="I18" s="288"/>
      <c r="J18" s="331"/>
      <c r="K18" s="288"/>
    </row>
    <row r="19" spans="2:11" s="177" customFormat="1" ht="17.25" customHeight="1" x14ac:dyDescent="0.25">
      <c r="B19" s="334">
        <v>18</v>
      </c>
      <c r="C19" s="336" t="s">
        <v>264</v>
      </c>
      <c r="D19" s="326"/>
      <c r="E19" s="288">
        <v>18</v>
      </c>
      <c r="F19" s="179" t="s">
        <v>346</v>
      </c>
      <c r="G19" s="178" t="s">
        <v>444</v>
      </c>
      <c r="H19" s="373">
        <v>6</v>
      </c>
      <c r="I19" s="288"/>
      <c r="J19" s="331"/>
      <c r="K19" s="288"/>
    </row>
    <row r="20" spans="2:11" s="177" customFormat="1" ht="17.25" customHeight="1" x14ac:dyDescent="0.25">
      <c r="B20" s="334">
        <v>19</v>
      </c>
      <c r="C20" s="337" t="s">
        <v>291</v>
      </c>
      <c r="D20" s="327"/>
      <c r="E20" s="288">
        <v>19</v>
      </c>
      <c r="F20" s="179" t="s">
        <v>347</v>
      </c>
      <c r="G20" s="178" t="s">
        <v>444</v>
      </c>
      <c r="H20" s="373">
        <v>41</v>
      </c>
      <c r="I20" s="288"/>
      <c r="J20" s="331"/>
      <c r="K20" s="288"/>
    </row>
    <row r="21" spans="2:11" s="177" customFormat="1" ht="17.25" customHeight="1" x14ac:dyDescent="0.25">
      <c r="B21" s="334">
        <v>20</v>
      </c>
      <c r="C21" s="336" t="s">
        <v>292</v>
      </c>
      <c r="D21" s="326"/>
      <c r="E21" s="288">
        <v>20</v>
      </c>
      <c r="F21" s="179" t="s">
        <v>348</v>
      </c>
      <c r="G21" s="178" t="s">
        <v>444</v>
      </c>
      <c r="H21" s="373">
        <v>4</v>
      </c>
      <c r="I21" s="288">
        <v>8</v>
      </c>
      <c r="J21" s="331"/>
      <c r="K21" s="288"/>
    </row>
    <row r="22" spans="2:11" s="177" customFormat="1" ht="17.25" customHeight="1" x14ac:dyDescent="0.25">
      <c r="B22" s="334">
        <v>21</v>
      </c>
      <c r="C22" s="336" t="s">
        <v>293</v>
      </c>
      <c r="D22" s="326"/>
      <c r="E22" s="288">
        <v>21</v>
      </c>
      <c r="F22" s="179" t="s">
        <v>349</v>
      </c>
      <c r="G22" s="178" t="s">
        <v>444</v>
      </c>
      <c r="H22" s="373">
        <v>32</v>
      </c>
      <c r="I22" s="288">
        <v>4</v>
      </c>
      <c r="J22" s="331">
        <v>152</v>
      </c>
      <c r="K22" s="288"/>
    </row>
    <row r="23" spans="2:11" s="177" customFormat="1" ht="17.25" customHeight="1" x14ac:dyDescent="0.25">
      <c r="B23" s="334">
        <v>22</v>
      </c>
      <c r="C23" s="335" t="s">
        <v>325</v>
      </c>
      <c r="D23" s="328"/>
      <c r="E23" s="288">
        <v>22</v>
      </c>
      <c r="F23" s="179" t="s">
        <v>350</v>
      </c>
      <c r="G23" s="178" t="s">
        <v>444</v>
      </c>
      <c r="H23" s="373">
        <v>2</v>
      </c>
      <c r="I23" s="288"/>
      <c r="J23" s="331"/>
      <c r="K23" s="288"/>
    </row>
    <row r="24" spans="2:11" s="177" customFormat="1" ht="17.25" customHeight="1" x14ac:dyDescent="0.25">
      <c r="B24" s="334">
        <v>23</v>
      </c>
      <c r="C24" s="335" t="s">
        <v>324</v>
      </c>
      <c r="D24" s="328"/>
      <c r="E24" s="288">
        <v>23</v>
      </c>
      <c r="F24" s="179" t="s">
        <v>351</v>
      </c>
      <c r="G24" s="178" t="s">
        <v>444</v>
      </c>
      <c r="H24" s="373">
        <v>59</v>
      </c>
      <c r="I24" s="288">
        <v>2</v>
      </c>
      <c r="J24" s="331">
        <v>122</v>
      </c>
      <c r="K24" s="288">
        <v>25</v>
      </c>
    </row>
    <row r="25" spans="2:11" s="177" customFormat="1" ht="17.25" customHeight="1" x14ac:dyDescent="0.25">
      <c r="B25" s="334">
        <v>24</v>
      </c>
      <c r="C25" s="336" t="s">
        <v>265</v>
      </c>
      <c r="D25" s="326"/>
      <c r="E25" s="288">
        <v>24</v>
      </c>
      <c r="F25" s="179" t="s">
        <v>352</v>
      </c>
      <c r="G25" s="178" t="s">
        <v>473</v>
      </c>
      <c r="H25" s="373">
        <v>8.5</v>
      </c>
      <c r="I25" s="288"/>
      <c r="J25" s="331"/>
      <c r="K25" s="288"/>
    </row>
    <row r="26" spans="2:11" s="177" customFormat="1" ht="17.25" customHeight="1" x14ac:dyDescent="0.25">
      <c r="B26" s="334">
        <v>25</v>
      </c>
      <c r="C26" s="336" t="s">
        <v>266</v>
      </c>
      <c r="D26" s="326"/>
      <c r="E26" s="288">
        <v>25</v>
      </c>
      <c r="F26" s="179" t="s">
        <v>353</v>
      </c>
      <c r="G26" s="178" t="s">
        <v>444</v>
      </c>
      <c r="H26" s="373">
        <v>89</v>
      </c>
      <c r="I26" s="288">
        <v>1</v>
      </c>
      <c r="J26" s="331">
        <v>91</v>
      </c>
      <c r="K26" s="288">
        <v>30</v>
      </c>
    </row>
    <row r="27" spans="2:11" s="177" customFormat="1" ht="17.25" customHeight="1" x14ac:dyDescent="0.25">
      <c r="B27" s="334">
        <v>26</v>
      </c>
      <c r="C27" s="336" t="s">
        <v>295</v>
      </c>
      <c r="D27" s="326"/>
      <c r="E27" s="288">
        <v>26</v>
      </c>
      <c r="F27" s="179" t="s">
        <v>474</v>
      </c>
      <c r="G27" s="178" t="s">
        <v>444</v>
      </c>
      <c r="H27" s="373">
        <v>8</v>
      </c>
      <c r="I27" s="288"/>
      <c r="J27" s="331"/>
      <c r="K27" s="288"/>
    </row>
    <row r="28" spans="2:11" s="177" customFormat="1" ht="17.25" customHeight="1" x14ac:dyDescent="0.25">
      <c r="B28" s="334">
        <v>27</v>
      </c>
      <c r="C28" s="336" t="s">
        <v>296</v>
      </c>
      <c r="D28" s="326"/>
      <c r="E28" s="288">
        <v>27</v>
      </c>
      <c r="F28" s="179" t="s">
        <v>354</v>
      </c>
      <c r="G28" s="178" t="s">
        <v>473</v>
      </c>
      <c r="H28" s="373">
        <v>21</v>
      </c>
      <c r="I28" s="288"/>
      <c r="J28" s="331"/>
      <c r="K28" s="288"/>
    </row>
    <row r="29" spans="2:11" s="177" customFormat="1" ht="17.25" customHeight="1" x14ac:dyDescent="0.25">
      <c r="B29" s="334">
        <v>28</v>
      </c>
      <c r="C29" s="336" t="s">
        <v>294</v>
      </c>
      <c r="D29" s="326"/>
      <c r="E29" s="288">
        <v>28</v>
      </c>
      <c r="F29" s="179" t="s">
        <v>266</v>
      </c>
      <c r="G29" s="178" t="s">
        <v>473</v>
      </c>
      <c r="H29" s="373">
        <v>33</v>
      </c>
      <c r="I29" s="288"/>
      <c r="J29" s="331"/>
      <c r="K29" s="288"/>
    </row>
    <row r="30" spans="2:11" s="177" customFormat="1" ht="17.25" customHeight="1" x14ac:dyDescent="0.25">
      <c r="B30" s="334">
        <v>29</v>
      </c>
      <c r="C30" s="336" t="s">
        <v>297</v>
      </c>
      <c r="D30" s="326"/>
      <c r="E30" s="288">
        <v>29</v>
      </c>
      <c r="F30" s="179" t="s">
        <v>355</v>
      </c>
      <c r="G30" s="178" t="s">
        <v>444</v>
      </c>
      <c r="H30" s="373">
        <v>2</v>
      </c>
      <c r="I30" s="288"/>
      <c r="J30" s="331"/>
      <c r="K30" s="288"/>
    </row>
    <row r="31" spans="2:11" s="177" customFormat="1" ht="17.25" customHeight="1" x14ac:dyDescent="0.25">
      <c r="B31" s="334">
        <v>30</v>
      </c>
      <c r="C31" s="336" t="s">
        <v>267</v>
      </c>
      <c r="D31" s="326"/>
      <c r="E31" s="288">
        <v>30</v>
      </c>
      <c r="F31" s="179" t="s">
        <v>356</v>
      </c>
      <c r="G31" s="178" t="s">
        <v>444</v>
      </c>
      <c r="H31" s="373">
        <v>36</v>
      </c>
      <c r="I31" s="288"/>
      <c r="J31" s="331"/>
      <c r="K31" s="288"/>
    </row>
    <row r="32" spans="2:11" s="177" customFormat="1" ht="17.25" customHeight="1" x14ac:dyDescent="0.25">
      <c r="B32" s="334">
        <v>31</v>
      </c>
      <c r="C32" s="336" t="s">
        <v>256</v>
      </c>
      <c r="D32" s="326"/>
      <c r="E32" s="288">
        <v>31</v>
      </c>
      <c r="F32" s="179" t="s">
        <v>357</v>
      </c>
      <c r="G32" s="178" t="s">
        <v>444</v>
      </c>
      <c r="H32" s="373">
        <v>1</v>
      </c>
      <c r="I32" s="288"/>
      <c r="J32" s="331"/>
      <c r="K32" s="288"/>
    </row>
    <row r="33" spans="2:11" s="177" customFormat="1" ht="17.25" customHeight="1" x14ac:dyDescent="0.25">
      <c r="B33" s="334">
        <v>32</v>
      </c>
      <c r="C33" s="336" t="s">
        <v>257</v>
      </c>
      <c r="D33" s="326"/>
      <c r="E33" s="288">
        <v>32</v>
      </c>
      <c r="F33" s="179" t="s">
        <v>358</v>
      </c>
      <c r="G33" s="178" t="s">
        <v>444</v>
      </c>
      <c r="H33" s="373">
        <v>43</v>
      </c>
      <c r="I33" s="288"/>
      <c r="J33" s="331"/>
      <c r="K33" s="288"/>
    </row>
    <row r="34" spans="2:11" s="177" customFormat="1" ht="17.25" customHeight="1" x14ac:dyDescent="0.25">
      <c r="B34" s="334">
        <v>33</v>
      </c>
      <c r="C34" s="336" t="s">
        <v>665</v>
      </c>
      <c r="D34" s="326"/>
      <c r="E34" s="288">
        <v>33</v>
      </c>
      <c r="F34" s="179" t="s">
        <v>271</v>
      </c>
      <c r="G34" s="178" t="s">
        <v>473</v>
      </c>
      <c r="H34" s="373">
        <v>60</v>
      </c>
      <c r="I34" s="288"/>
      <c r="J34" s="331"/>
      <c r="K34" s="288"/>
    </row>
    <row r="35" spans="2:11" s="177" customFormat="1" ht="17.25" customHeight="1" x14ac:dyDescent="0.25">
      <c r="B35" s="334">
        <v>34</v>
      </c>
      <c r="C35" s="336" t="s">
        <v>656</v>
      </c>
      <c r="D35" s="326"/>
      <c r="E35" s="288">
        <v>34</v>
      </c>
      <c r="F35" s="179" t="s">
        <v>359</v>
      </c>
      <c r="G35" s="178" t="s">
        <v>444</v>
      </c>
      <c r="H35" s="373">
        <v>2</v>
      </c>
      <c r="I35" s="288"/>
      <c r="J35" s="331"/>
      <c r="K35" s="288"/>
    </row>
    <row r="36" spans="2:11" s="177" customFormat="1" ht="17.25" customHeight="1" x14ac:dyDescent="0.25">
      <c r="B36" s="334">
        <v>35</v>
      </c>
      <c r="C36" s="336" t="s">
        <v>260</v>
      </c>
      <c r="D36" s="326"/>
      <c r="E36" s="288">
        <v>35</v>
      </c>
      <c r="F36" s="179" t="s">
        <v>360</v>
      </c>
      <c r="G36" s="178" t="s">
        <v>473</v>
      </c>
      <c r="H36" s="373">
        <v>32</v>
      </c>
      <c r="I36" s="288">
        <v>1</v>
      </c>
      <c r="J36" s="331">
        <v>75</v>
      </c>
      <c r="K36" s="288">
        <v>22</v>
      </c>
    </row>
    <row r="37" spans="2:11" s="177" customFormat="1" ht="17.25" customHeight="1" x14ac:dyDescent="0.25">
      <c r="B37" s="334">
        <v>36</v>
      </c>
      <c r="C37" s="336" t="s">
        <v>261</v>
      </c>
      <c r="D37" s="326"/>
      <c r="E37" s="288">
        <v>36</v>
      </c>
      <c r="F37" s="179" t="s">
        <v>361</v>
      </c>
      <c r="G37" s="178" t="s">
        <v>444</v>
      </c>
      <c r="H37" s="373">
        <v>2</v>
      </c>
      <c r="I37" s="288"/>
      <c r="J37" s="331"/>
      <c r="K37" s="288"/>
    </row>
    <row r="38" spans="2:11" s="177" customFormat="1" ht="17.25" customHeight="1" x14ac:dyDescent="0.25">
      <c r="B38" s="334">
        <v>37</v>
      </c>
      <c r="C38" s="336" t="s">
        <v>298</v>
      </c>
      <c r="D38" s="326"/>
      <c r="E38" s="288">
        <v>37</v>
      </c>
      <c r="F38" s="179" t="s">
        <v>362</v>
      </c>
      <c r="G38" s="178" t="s">
        <v>444</v>
      </c>
      <c r="H38" s="373">
        <v>2</v>
      </c>
      <c r="I38" s="288"/>
      <c r="J38" s="331"/>
      <c r="K38" s="288"/>
    </row>
    <row r="39" spans="2:11" s="177" customFormat="1" ht="17.25" customHeight="1" x14ac:dyDescent="0.25">
      <c r="B39" s="334">
        <v>38</v>
      </c>
      <c r="C39" s="336" t="s">
        <v>299</v>
      </c>
      <c r="D39" s="326"/>
      <c r="E39" s="288">
        <v>38</v>
      </c>
      <c r="F39" s="179" t="s">
        <v>363</v>
      </c>
      <c r="G39" s="178" t="s">
        <v>473</v>
      </c>
      <c r="H39" s="373">
        <v>5</v>
      </c>
      <c r="I39" s="288"/>
      <c r="J39" s="331"/>
      <c r="K39" s="288"/>
    </row>
    <row r="40" spans="2:11" s="177" customFormat="1" ht="17.25" customHeight="1" x14ac:dyDescent="0.25">
      <c r="B40" s="334">
        <v>39</v>
      </c>
      <c r="C40" s="336" t="s">
        <v>300</v>
      </c>
      <c r="D40" s="326"/>
      <c r="E40" s="288">
        <v>39</v>
      </c>
      <c r="F40" s="179" t="s">
        <v>364</v>
      </c>
      <c r="G40" s="178" t="s">
        <v>473</v>
      </c>
      <c r="H40" s="373">
        <v>24</v>
      </c>
      <c r="I40" s="288"/>
      <c r="J40" s="331"/>
      <c r="K40" s="288"/>
    </row>
    <row r="41" spans="2:11" s="177" customFormat="1" ht="17.25" customHeight="1" x14ac:dyDescent="0.25">
      <c r="B41" s="334">
        <v>40</v>
      </c>
      <c r="C41" s="336" t="s">
        <v>301</v>
      </c>
      <c r="D41" s="326"/>
      <c r="E41" s="288">
        <v>40</v>
      </c>
      <c r="F41" s="179" t="s">
        <v>365</v>
      </c>
      <c r="G41" s="178" t="s">
        <v>444</v>
      </c>
      <c r="H41" s="373">
        <v>98</v>
      </c>
      <c r="I41" s="288"/>
      <c r="J41" s="331"/>
      <c r="K41" s="288"/>
    </row>
    <row r="42" spans="2:11" s="177" customFormat="1" ht="17.25" customHeight="1" x14ac:dyDescent="0.25">
      <c r="B42" s="334">
        <v>41</v>
      </c>
      <c r="C42" s="336" t="s">
        <v>302</v>
      </c>
      <c r="D42" s="326"/>
      <c r="E42" s="288">
        <v>41</v>
      </c>
      <c r="F42" s="179" t="s">
        <v>366</v>
      </c>
      <c r="G42" s="178" t="s">
        <v>444</v>
      </c>
      <c r="H42" s="373">
        <v>7</v>
      </c>
      <c r="I42" s="288"/>
      <c r="J42" s="331"/>
      <c r="K42" s="288"/>
    </row>
    <row r="43" spans="2:11" s="177" customFormat="1" ht="17.25" customHeight="1" x14ac:dyDescent="0.25">
      <c r="B43" s="334">
        <v>42</v>
      </c>
      <c r="C43" s="336" t="s">
        <v>335</v>
      </c>
      <c r="D43" s="326"/>
      <c r="E43" s="288">
        <v>42</v>
      </c>
      <c r="F43" s="179" t="s">
        <v>367</v>
      </c>
      <c r="G43" s="178" t="s">
        <v>444</v>
      </c>
      <c r="H43" s="373">
        <v>11</v>
      </c>
      <c r="I43" s="288"/>
      <c r="J43" s="331"/>
      <c r="K43" s="288"/>
    </row>
    <row r="44" spans="2:11" s="177" customFormat="1" ht="17.25" customHeight="1" x14ac:dyDescent="0.25">
      <c r="B44" s="334">
        <v>43</v>
      </c>
      <c r="C44" s="337" t="s">
        <v>268</v>
      </c>
      <c r="D44" s="327"/>
      <c r="E44" s="288">
        <v>43</v>
      </c>
      <c r="F44" s="179" t="s">
        <v>368</v>
      </c>
      <c r="G44" s="178" t="s">
        <v>444</v>
      </c>
      <c r="H44" s="373">
        <v>41</v>
      </c>
      <c r="I44" s="288"/>
      <c r="J44" s="331"/>
      <c r="K44" s="288"/>
    </row>
    <row r="45" spans="2:11" s="177" customFormat="1" ht="17.25" customHeight="1" x14ac:dyDescent="0.25">
      <c r="B45" s="334">
        <v>44</v>
      </c>
      <c r="C45" s="337" t="s">
        <v>269</v>
      </c>
      <c r="D45" s="327"/>
      <c r="E45" s="288">
        <v>44</v>
      </c>
      <c r="F45" s="179" t="s">
        <v>369</v>
      </c>
      <c r="G45" s="178" t="s">
        <v>444</v>
      </c>
      <c r="H45" s="373">
        <v>63</v>
      </c>
      <c r="I45" s="288">
        <v>1</v>
      </c>
      <c r="J45" s="331"/>
      <c r="K45" s="288"/>
    </row>
    <row r="46" spans="2:11" s="177" customFormat="1" ht="17.25" customHeight="1" x14ac:dyDescent="0.25">
      <c r="B46" s="334">
        <v>45</v>
      </c>
      <c r="C46" s="336" t="s">
        <v>303</v>
      </c>
      <c r="D46" s="326"/>
      <c r="E46" s="288">
        <v>45</v>
      </c>
      <c r="F46" s="179" t="s">
        <v>370</v>
      </c>
      <c r="G46" s="178" t="s">
        <v>444</v>
      </c>
      <c r="H46" s="373">
        <v>1</v>
      </c>
      <c r="I46" s="288"/>
      <c r="J46" s="331"/>
      <c r="K46" s="288"/>
    </row>
    <row r="47" spans="2:11" s="177" customFormat="1" ht="17.25" customHeight="1" x14ac:dyDescent="0.25">
      <c r="B47" s="334">
        <v>46</v>
      </c>
      <c r="C47" s="336" t="s">
        <v>304</v>
      </c>
      <c r="D47" s="326"/>
      <c r="E47" s="288">
        <v>46</v>
      </c>
      <c r="F47" s="179" t="s">
        <v>371</v>
      </c>
      <c r="G47" s="178" t="s">
        <v>473</v>
      </c>
      <c r="H47" s="373">
        <v>4</v>
      </c>
      <c r="I47" s="288"/>
      <c r="J47" s="331"/>
      <c r="K47" s="288"/>
    </row>
    <row r="48" spans="2:11" s="177" customFormat="1" ht="17.25" customHeight="1" x14ac:dyDescent="0.25">
      <c r="B48" s="334">
        <v>47</v>
      </c>
      <c r="C48" s="336" t="s">
        <v>305</v>
      </c>
      <c r="D48" s="326"/>
      <c r="E48" s="288">
        <v>47</v>
      </c>
      <c r="F48" s="179" t="s">
        <v>372</v>
      </c>
      <c r="G48" s="178" t="s">
        <v>473</v>
      </c>
      <c r="H48" s="373">
        <v>40</v>
      </c>
      <c r="I48" s="288"/>
      <c r="J48" s="331"/>
      <c r="K48" s="288"/>
    </row>
    <row r="49" spans="2:11" s="177" customFormat="1" ht="17.25" customHeight="1" x14ac:dyDescent="0.25">
      <c r="B49" s="334">
        <v>48</v>
      </c>
      <c r="C49" s="337" t="s">
        <v>270</v>
      </c>
      <c r="D49" s="327"/>
      <c r="E49" s="288">
        <v>48</v>
      </c>
      <c r="F49" s="179" t="s">
        <v>276</v>
      </c>
      <c r="G49" s="178" t="s">
        <v>444</v>
      </c>
      <c r="H49" s="373">
        <v>33</v>
      </c>
      <c r="I49" s="288"/>
      <c r="J49" s="331"/>
      <c r="K49" s="288"/>
    </row>
    <row r="50" spans="2:11" s="177" customFormat="1" ht="17.25" customHeight="1" x14ac:dyDescent="0.25">
      <c r="B50" s="334">
        <v>49</v>
      </c>
      <c r="C50" s="336" t="s">
        <v>271</v>
      </c>
      <c r="D50" s="326"/>
      <c r="E50" s="288">
        <v>49</v>
      </c>
      <c r="F50" s="179" t="s">
        <v>373</v>
      </c>
      <c r="G50" s="178" t="s">
        <v>444</v>
      </c>
      <c r="H50" s="373">
        <v>23</v>
      </c>
      <c r="I50" s="288"/>
      <c r="J50" s="331"/>
      <c r="K50" s="288"/>
    </row>
    <row r="51" spans="2:11" s="177" customFormat="1" ht="17.25" customHeight="1" x14ac:dyDescent="0.25">
      <c r="B51" s="334">
        <v>50</v>
      </c>
      <c r="C51" s="336" t="s">
        <v>306</v>
      </c>
      <c r="D51" s="326"/>
      <c r="E51" s="288">
        <v>50</v>
      </c>
      <c r="F51" s="179" t="s">
        <v>374</v>
      </c>
      <c r="G51" s="178" t="s">
        <v>444</v>
      </c>
      <c r="H51" s="373">
        <v>80</v>
      </c>
      <c r="I51" s="288"/>
      <c r="J51" s="331"/>
      <c r="K51" s="288"/>
    </row>
    <row r="52" spans="2:11" s="177" customFormat="1" ht="17.25" customHeight="1" x14ac:dyDescent="0.25">
      <c r="B52" s="334">
        <v>51</v>
      </c>
      <c r="C52" s="336" t="s">
        <v>307</v>
      </c>
      <c r="D52" s="326"/>
      <c r="E52" s="288">
        <v>51</v>
      </c>
      <c r="F52" s="180" t="s">
        <v>375</v>
      </c>
      <c r="G52" s="178" t="s">
        <v>473</v>
      </c>
      <c r="H52" s="374">
        <v>25</v>
      </c>
      <c r="I52" s="288"/>
      <c r="J52" s="331"/>
      <c r="K52" s="288"/>
    </row>
    <row r="53" spans="2:11" s="177" customFormat="1" ht="17.25" customHeight="1" x14ac:dyDescent="0.25">
      <c r="B53" s="334">
        <v>52</v>
      </c>
      <c r="C53" s="336" t="s">
        <v>308</v>
      </c>
      <c r="D53" s="326"/>
      <c r="E53" s="288">
        <v>52</v>
      </c>
      <c r="F53" s="180" t="s">
        <v>376</v>
      </c>
      <c r="G53" s="178" t="s">
        <v>444</v>
      </c>
      <c r="H53" s="374">
        <v>10</v>
      </c>
      <c r="I53" s="288"/>
      <c r="J53" s="331"/>
      <c r="K53" s="288"/>
    </row>
    <row r="54" spans="2:11" s="177" customFormat="1" ht="17.25" customHeight="1" x14ac:dyDescent="0.25">
      <c r="B54" s="334">
        <v>53</v>
      </c>
      <c r="C54" s="336" t="s">
        <v>309</v>
      </c>
      <c r="D54" s="326"/>
      <c r="E54" s="288">
        <v>53</v>
      </c>
      <c r="F54" s="180" t="s">
        <v>377</v>
      </c>
      <c r="G54" s="178" t="s">
        <v>444</v>
      </c>
      <c r="H54" s="374">
        <v>5</v>
      </c>
      <c r="I54" s="288"/>
      <c r="J54" s="331"/>
      <c r="K54" s="288"/>
    </row>
    <row r="55" spans="2:11" s="177" customFormat="1" ht="17.25" customHeight="1" x14ac:dyDescent="0.25">
      <c r="B55" s="334">
        <v>54</v>
      </c>
      <c r="C55" s="336" t="s">
        <v>310</v>
      </c>
      <c r="D55" s="326"/>
      <c r="E55" s="288">
        <v>54</v>
      </c>
      <c r="F55" s="180" t="s">
        <v>378</v>
      </c>
      <c r="G55" s="178" t="s">
        <v>444</v>
      </c>
      <c r="H55" s="374">
        <v>28</v>
      </c>
      <c r="I55" s="288"/>
      <c r="J55" s="331"/>
      <c r="K55" s="288"/>
    </row>
    <row r="56" spans="2:11" s="177" customFormat="1" ht="17.25" customHeight="1" x14ac:dyDescent="0.25">
      <c r="B56" s="334">
        <v>55</v>
      </c>
      <c r="C56" s="336" t="s">
        <v>528</v>
      </c>
      <c r="D56" s="326"/>
      <c r="E56" s="288">
        <v>55</v>
      </c>
      <c r="F56" s="180" t="s">
        <v>379</v>
      </c>
      <c r="G56" s="178" t="s">
        <v>444</v>
      </c>
      <c r="H56" s="374">
        <v>14</v>
      </c>
      <c r="I56" s="288"/>
      <c r="J56" s="331"/>
      <c r="K56" s="288"/>
    </row>
    <row r="57" spans="2:11" s="177" customFormat="1" ht="17.25" customHeight="1" x14ac:dyDescent="0.25">
      <c r="B57" s="334">
        <v>56</v>
      </c>
      <c r="C57" s="336" t="s">
        <v>529</v>
      </c>
      <c r="D57" s="326"/>
      <c r="E57" s="288">
        <v>56</v>
      </c>
      <c r="F57" s="180" t="s">
        <v>380</v>
      </c>
      <c r="G57" s="178" t="s">
        <v>444</v>
      </c>
      <c r="H57" s="374">
        <v>15</v>
      </c>
      <c r="I57" s="288"/>
      <c r="J57" s="331"/>
      <c r="K57" s="288"/>
    </row>
    <row r="58" spans="2:11" s="177" customFormat="1" ht="17.25" customHeight="1" x14ac:dyDescent="0.25">
      <c r="B58" s="334">
        <v>57</v>
      </c>
      <c r="C58" s="337" t="s">
        <v>272</v>
      </c>
      <c r="D58" s="327"/>
      <c r="E58" s="288">
        <v>57</v>
      </c>
      <c r="F58" s="180" t="s">
        <v>381</v>
      </c>
      <c r="G58" s="178" t="s">
        <v>444</v>
      </c>
      <c r="H58" s="374">
        <v>20</v>
      </c>
      <c r="I58" s="288"/>
      <c r="J58" s="331"/>
      <c r="K58" s="288"/>
    </row>
    <row r="59" spans="2:11" s="177" customFormat="1" ht="17.25" customHeight="1" x14ac:dyDescent="0.25">
      <c r="B59" s="334">
        <v>58</v>
      </c>
      <c r="C59" s="337" t="s">
        <v>273</v>
      </c>
      <c r="D59" s="327"/>
      <c r="E59" s="288">
        <v>58</v>
      </c>
      <c r="F59" s="180" t="s">
        <v>382</v>
      </c>
      <c r="G59" s="178" t="s">
        <v>473</v>
      </c>
      <c r="H59" s="374">
        <v>21</v>
      </c>
      <c r="I59" s="288"/>
      <c r="J59" s="331"/>
      <c r="K59" s="288"/>
    </row>
    <row r="60" spans="2:11" s="177" customFormat="1" ht="17.25" customHeight="1" x14ac:dyDescent="0.25">
      <c r="B60" s="334">
        <v>59</v>
      </c>
      <c r="C60" s="336" t="s">
        <v>311</v>
      </c>
      <c r="D60" s="326"/>
      <c r="E60" s="288">
        <v>59</v>
      </c>
      <c r="F60" s="180" t="s">
        <v>383</v>
      </c>
      <c r="G60" s="178" t="s">
        <v>473</v>
      </c>
      <c r="H60" s="374">
        <v>28</v>
      </c>
      <c r="I60" s="288"/>
      <c r="J60" s="331"/>
      <c r="K60" s="288"/>
    </row>
    <row r="61" spans="2:11" s="177" customFormat="1" ht="17.25" customHeight="1" x14ac:dyDescent="0.25">
      <c r="B61" s="334">
        <v>60</v>
      </c>
      <c r="C61" s="336" t="s">
        <v>312</v>
      </c>
      <c r="D61" s="326"/>
      <c r="E61" s="288">
        <v>60</v>
      </c>
      <c r="F61" s="180" t="s">
        <v>384</v>
      </c>
      <c r="G61" s="178" t="s">
        <v>473</v>
      </c>
      <c r="H61" s="374">
        <v>38</v>
      </c>
      <c r="I61" s="288"/>
      <c r="J61" s="331"/>
      <c r="K61" s="288"/>
    </row>
    <row r="62" spans="2:11" s="177" customFormat="1" ht="17.25" customHeight="1" x14ac:dyDescent="0.25">
      <c r="B62" s="334">
        <v>61</v>
      </c>
      <c r="C62" s="336" t="s">
        <v>313</v>
      </c>
      <c r="D62" s="326"/>
      <c r="E62" s="288">
        <v>61</v>
      </c>
      <c r="F62" s="180" t="s">
        <v>385</v>
      </c>
      <c r="G62" s="178" t="s">
        <v>444</v>
      </c>
      <c r="H62" s="374">
        <v>2</v>
      </c>
      <c r="I62" s="288"/>
      <c r="J62" s="331"/>
      <c r="K62" s="288"/>
    </row>
    <row r="63" spans="2:11" s="177" customFormat="1" ht="17.25" customHeight="1" x14ac:dyDescent="0.25">
      <c r="B63" s="334">
        <v>62</v>
      </c>
      <c r="C63" s="336" t="s">
        <v>334</v>
      </c>
      <c r="D63" s="326"/>
      <c r="E63" s="288">
        <v>62</v>
      </c>
      <c r="F63" s="180" t="s">
        <v>272</v>
      </c>
      <c r="G63" s="178" t="s">
        <v>444</v>
      </c>
      <c r="H63" s="374">
        <v>82</v>
      </c>
      <c r="I63" s="288"/>
      <c r="J63" s="331"/>
      <c r="K63" s="288"/>
    </row>
    <row r="64" spans="2:11" s="177" customFormat="1" ht="17.25" customHeight="1" x14ac:dyDescent="0.25">
      <c r="B64" s="334">
        <v>63</v>
      </c>
      <c r="C64" s="336" t="s">
        <v>333</v>
      </c>
      <c r="D64" s="326"/>
      <c r="E64" s="288">
        <v>63</v>
      </c>
      <c r="F64" s="180" t="s">
        <v>386</v>
      </c>
      <c r="G64" s="178" t="s">
        <v>473</v>
      </c>
      <c r="H64" s="374">
        <v>4</v>
      </c>
      <c r="I64" s="288"/>
      <c r="J64" s="331"/>
      <c r="K64" s="288"/>
    </row>
    <row r="65" spans="2:11" s="177" customFormat="1" ht="17.25" customHeight="1" x14ac:dyDescent="0.25">
      <c r="B65" s="334">
        <v>64</v>
      </c>
      <c r="C65" s="336" t="s">
        <v>332</v>
      </c>
      <c r="D65" s="326"/>
      <c r="E65" s="288">
        <v>64</v>
      </c>
      <c r="F65" s="180" t="s">
        <v>387</v>
      </c>
      <c r="G65" s="178" t="s">
        <v>444</v>
      </c>
      <c r="H65" s="374">
        <v>13</v>
      </c>
      <c r="I65" s="288"/>
      <c r="J65" s="331"/>
      <c r="K65" s="288"/>
    </row>
    <row r="66" spans="2:11" s="177" customFormat="1" ht="17.25" customHeight="1" x14ac:dyDescent="0.25">
      <c r="B66" s="334">
        <v>65</v>
      </c>
      <c r="C66" s="336" t="s">
        <v>327</v>
      </c>
      <c r="D66" s="326"/>
      <c r="E66" s="288">
        <v>65</v>
      </c>
      <c r="F66" s="180" t="s">
        <v>388</v>
      </c>
      <c r="G66" s="178" t="s">
        <v>444</v>
      </c>
      <c r="H66" s="374">
        <v>19</v>
      </c>
      <c r="I66" s="288"/>
      <c r="J66" s="331"/>
      <c r="K66" s="288"/>
    </row>
    <row r="67" spans="2:11" s="177" customFormat="1" ht="17.25" customHeight="1" x14ac:dyDescent="0.25">
      <c r="B67" s="334">
        <v>66</v>
      </c>
      <c r="C67" s="336" t="s">
        <v>326</v>
      </c>
      <c r="D67" s="326"/>
      <c r="E67" s="288">
        <v>66</v>
      </c>
      <c r="F67" s="180" t="s">
        <v>389</v>
      </c>
      <c r="G67" s="178" t="s">
        <v>444</v>
      </c>
      <c r="H67" s="374">
        <v>8</v>
      </c>
      <c r="I67" s="288"/>
      <c r="J67" s="331"/>
      <c r="K67" s="288"/>
    </row>
    <row r="68" spans="2:11" s="177" customFormat="1" ht="17.25" customHeight="1" x14ac:dyDescent="0.25">
      <c r="B68" s="334">
        <v>67</v>
      </c>
      <c r="C68" s="336" t="s">
        <v>328</v>
      </c>
      <c r="D68" s="326"/>
      <c r="E68" s="288">
        <v>67</v>
      </c>
      <c r="F68" s="180" t="s">
        <v>390</v>
      </c>
      <c r="G68" s="178" t="s">
        <v>444</v>
      </c>
      <c r="H68" s="374">
        <v>1</v>
      </c>
      <c r="I68" s="288"/>
      <c r="J68" s="331"/>
      <c r="K68" s="288"/>
    </row>
    <row r="69" spans="2:11" s="177" customFormat="1" ht="17.25" customHeight="1" x14ac:dyDescent="0.25">
      <c r="B69" s="334">
        <v>68</v>
      </c>
      <c r="C69" s="336" t="s">
        <v>330</v>
      </c>
      <c r="D69" s="326"/>
      <c r="E69" s="288">
        <v>68</v>
      </c>
      <c r="F69" s="180" t="s">
        <v>391</v>
      </c>
      <c r="G69" s="178" t="s">
        <v>444</v>
      </c>
      <c r="H69" s="374">
        <v>19</v>
      </c>
      <c r="I69" s="288"/>
      <c r="J69" s="331"/>
      <c r="K69" s="288"/>
    </row>
    <row r="70" spans="2:11" s="177" customFormat="1" ht="17.25" customHeight="1" x14ac:dyDescent="0.25">
      <c r="B70" s="334">
        <v>69</v>
      </c>
      <c r="C70" s="336" t="s">
        <v>329</v>
      </c>
      <c r="D70" s="326"/>
      <c r="E70" s="288">
        <v>69</v>
      </c>
      <c r="F70" s="180" t="s">
        <v>392</v>
      </c>
      <c r="G70" s="178" t="s">
        <v>444</v>
      </c>
      <c r="H70" s="374">
        <v>16</v>
      </c>
      <c r="I70" s="288"/>
      <c r="J70" s="331"/>
      <c r="K70" s="288"/>
    </row>
    <row r="71" spans="2:11" s="177" customFormat="1" ht="17.25" customHeight="1" x14ac:dyDescent="0.25">
      <c r="B71" s="334">
        <v>70</v>
      </c>
      <c r="C71" s="336" t="s">
        <v>331</v>
      </c>
      <c r="D71" s="326"/>
      <c r="E71" s="288">
        <v>70</v>
      </c>
      <c r="F71" s="180" t="s">
        <v>393</v>
      </c>
      <c r="G71" s="178" t="s">
        <v>444</v>
      </c>
      <c r="H71" s="374">
        <v>8</v>
      </c>
      <c r="I71" s="288"/>
      <c r="J71" s="331"/>
      <c r="K71" s="288"/>
    </row>
    <row r="72" spans="2:11" s="177" customFormat="1" ht="17.25" customHeight="1" x14ac:dyDescent="0.25">
      <c r="B72" s="334">
        <v>71</v>
      </c>
      <c r="C72" s="336" t="s">
        <v>314</v>
      </c>
      <c r="D72" s="326"/>
      <c r="E72" s="288">
        <v>71</v>
      </c>
      <c r="F72" s="180" t="s">
        <v>394</v>
      </c>
      <c r="G72" s="178" t="s">
        <v>444</v>
      </c>
      <c r="H72" s="374">
        <v>2</v>
      </c>
      <c r="I72" s="288"/>
      <c r="J72" s="331"/>
      <c r="K72" s="288"/>
    </row>
    <row r="73" spans="2:11" s="177" customFormat="1" ht="17.25" customHeight="1" x14ac:dyDescent="0.25">
      <c r="B73" s="334">
        <v>72</v>
      </c>
      <c r="C73" s="336" t="s">
        <v>315</v>
      </c>
      <c r="D73" s="326"/>
      <c r="E73" s="288">
        <v>72</v>
      </c>
      <c r="F73" s="179" t="s">
        <v>279</v>
      </c>
      <c r="G73" s="178" t="s">
        <v>473</v>
      </c>
      <c r="H73" s="373">
        <v>44</v>
      </c>
      <c r="I73" s="288"/>
      <c r="J73" s="331"/>
      <c r="K73" s="288"/>
    </row>
    <row r="74" spans="2:11" s="177" customFormat="1" ht="17.25" customHeight="1" x14ac:dyDescent="0.25">
      <c r="B74" s="334">
        <v>73</v>
      </c>
      <c r="C74" s="336" t="s">
        <v>319</v>
      </c>
      <c r="D74" s="326"/>
      <c r="E74" s="288">
        <v>73</v>
      </c>
      <c r="F74" s="179" t="s">
        <v>280</v>
      </c>
      <c r="G74" s="178" t="s">
        <v>473</v>
      </c>
      <c r="H74" s="373">
        <v>44</v>
      </c>
      <c r="I74" s="288"/>
      <c r="J74" s="331"/>
      <c r="K74" s="288"/>
    </row>
    <row r="75" spans="2:11" s="177" customFormat="1" ht="17.25" customHeight="1" x14ac:dyDescent="0.25">
      <c r="B75" s="334">
        <v>74</v>
      </c>
      <c r="C75" s="336" t="s">
        <v>320</v>
      </c>
      <c r="D75" s="326"/>
      <c r="E75" s="288">
        <v>74</v>
      </c>
      <c r="F75" s="179" t="s">
        <v>281</v>
      </c>
      <c r="G75" s="178" t="s">
        <v>473</v>
      </c>
      <c r="H75" s="373">
        <v>124</v>
      </c>
      <c r="I75" s="288"/>
      <c r="J75" s="331"/>
      <c r="K75" s="288"/>
    </row>
    <row r="76" spans="2:11" s="177" customFormat="1" ht="17.25" customHeight="1" x14ac:dyDescent="0.25">
      <c r="B76" s="334">
        <v>75</v>
      </c>
      <c r="C76" s="336" t="s">
        <v>321</v>
      </c>
      <c r="D76" s="326"/>
      <c r="E76" s="288">
        <v>75</v>
      </c>
      <c r="F76" s="179" t="s">
        <v>282</v>
      </c>
      <c r="G76" s="178" t="s">
        <v>473</v>
      </c>
      <c r="H76" s="373">
        <v>44</v>
      </c>
      <c r="I76" s="288"/>
      <c r="J76" s="331"/>
      <c r="K76" s="288"/>
    </row>
    <row r="77" spans="2:11" s="177" customFormat="1" ht="17.25" customHeight="1" x14ac:dyDescent="0.25">
      <c r="B77" s="334">
        <v>76</v>
      </c>
      <c r="C77" s="336" t="s">
        <v>274</v>
      </c>
      <c r="D77" s="326"/>
      <c r="E77" s="288">
        <v>76</v>
      </c>
      <c r="F77" s="179" t="s">
        <v>283</v>
      </c>
      <c r="G77" s="178" t="s">
        <v>473</v>
      </c>
      <c r="H77" s="373">
        <v>44</v>
      </c>
      <c r="I77" s="288"/>
      <c r="J77" s="331"/>
      <c r="K77" s="288"/>
    </row>
    <row r="78" spans="2:11" s="177" customFormat="1" ht="17.25" customHeight="1" x14ac:dyDescent="0.25">
      <c r="B78" s="334">
        <v>77</v>
      </c>
      <c r="C78" s="336" t="s">
        <v>275</v>
      </c>
      <c r="D78" s="326"/>
      <c r="E78" s="288">
        <v>77</v>
      </c>
      <c r="F78" s="179" t="s">
        <v>284</v>
      </c>
      <c r="G78" s="178" t="s">
        <v>473</v>
      </c>
      <c r="H78" s="373">
        <v>44</v>
      </c>
      <c r="I78" s="288"/>
      <c r="J78" s="331"/>
      <c r="K78" s="288"/>
    </row>
    <row r="79" spans="2:11" s="177" customFormat="1" ht="17.25" customHeight="1" x14ac:dyDescent="0.25">
      <c r="B79" s="334">
        <v>78</v>
      </c>
      <c r="C79" s="336" t="s">
        <v>584</v>
      </c>
      <c r="D79" s="326"/>
      <c r="E79" s="288">
        <v>78</v>
      </c>
      <c r="F79" s="179" t="s">
        <v>285</v>
      </c>
      <c r="G79" s="178" t="s">
        <v>473</v>
      </c>
      <c r="H79" s="373">
        <v>30</v>
      </c>
      <c r="I79" s="288"/>
      <c r="J79" s="331"/>
      <c r="K79" s="288"/>
    </row>
    <row r="80" spans="2:11" s="177" customFormat="1" ht="17.25" customHeight="1" x14ac:dyDescent="0.25">
      <c r="B80" s="334">
        <v>79</v>
      </c>
      <c r="C80" s="336" t="s">
        <v>316</v>
      </c>
      <c r="D80" s="326"/>
      <c r="E80" s="288">
        <v>79</v>
      </c>
      <c r="F80" s="179" t="s">
        <v>286</v>
      </c>
      <c r="G80" s="178" t="s">
        <v>473</v>
      </c>
      <c r="H80" s="373">
        <v>32</v>
      </c>
      <c r="I80" s="288"/>
      <c r="J80" s="331"/>
      <c r="K80" s="288"/>
    </row>
    <row r="81" spans="2:11" s="177" customFormat="1" ht="17.25" customHeight="1" x14ac:dyDescent="0.25">
      <c r="B81" s="334">
        <v>80</v>
      </c>
      <c r="C81" s="336" t="s">
        <v>276</v>
      </c>
      <c r="D81" s="326"/>
      <c r="E81" s="288">
        <v>80</v>
      </c>
      <c r="F81" s="179" t="s">
        <v>287</v>
      </c>
      <c r="G81" s="178" t="s">
        <v>473</v>
      </c>
      <c r="H81" s="373">
        <v>54</v>
      </c>
      <c r="I81" s="288"/>
      <c r="J81" s="331"/>
      <c r="K81" s="288"/>
    </row>
    <row r="82" spans="2:11" s="177" customFormat="1" ht="17.25" customHeight="1" x14ac:dyDescent="0.25">
      <c r="B82" s="334">
        <v>81</v>
      </c>
      <c r="C82" s="336" t="s">
        <v>277</v>
      </c>
      <c r="D82" s="326"/>
      <c r="E82" s="288">
        <v>81</v>
      </c>
      <c r="F82" s="179" t="s">
        <v>288</v>
      </c>
      <c r="G82" s="178" t="s">
        <v>473</v>
      </c>
      <c r="H82" s="373">
        <v>120</v>
      </c>
      <c r="I82" s="288"/>
      <c r="J82" s="331"/>
      <c r="K82" s="288"/>
    </row>
    <row r="83" spans="2:11" s="177" customFormat="1" ht="17.25" customHeight="1" x14ac:dyDescent="0.25">
      <c r="B83" s="334">
        <v>82</v>
      </c>
      <c r="C83" s="336" t="s">
        <v>278</v>
      </c>
      <c r="D83" s="326"/>
      <c r="E83" s="288">
        <v>82</v>
      </c>
      <c r="F83" s="179" t="s">
        <v>395</v>
      </c>
      <c r="G83" s="178" t="s">
        <v>473</v>
      </c>
      <c r="H83" s="373">
        <v>54</v>
      </c>
      <c r="I83" s="288"/>
      <c r="J83" s="331"/>
      <c r="K83" s="288"/>
    </row>
    <row r="84" spans="2:11" x14ac:dyDescent="0.25">
      <c r="B84" s="334">
        <v>83</v>
      </c>
      <c r="C84" s="286" t="s">
        <v>530</v>
      </c>
      <c r="E84" s="288">
        <v>83</v>
      </c>
      <c r="F84" s="179" t="s">
        <v>396</v>
      </c>
      <c r="G84" s="286" t="s">
        <v>473</v>
      </c>
      <c r="H84" s="373">
        <v>70</v>
      </c>
      <c r="I84" s="378"/>
      <c r="J84" s="375"/>
      <c r="K84" s="378"/>
    </row>
    <row r="85" spans="2:11" x14ac:dyDescent="0.25">
      <c r="B85" s="334">
        <v>84</v>
      </c>
      <c r="C85" s="286" t="s">
        <v>531</v>
      </c>
      <c r="E85" s="288">
        <v>84</v>
      </c>
      <c r="F85" s="179" t="s">
        <v>397</v>
      </c>
      <c r="G85" s="286" t="s">
        <v>473</v>
      </c>
      <c r="H85" s="373">
        <v>8</v>
      </c>
      <c r="I85" s="378"/>
      <c r="J85" s="375"/>
      <c r="K85" s="378"/>
    </row>
    <row r="86" spans="2:11" x14ac:dyDescent="0.25">
      <c r="B86" s="334">
        <v>85</v>
      </c>
      <c r="C86" s="286" t="s">
        <v>534</v>
      </c>
      <c r="E86" s="288">
        <v>85</v>
      </c>
      <c r="F86" s="179" t="s">
        <v>398</v>
      </c>
      <c r="G86" s="286" t="s">
        <v>473</v>
      </c>
      <c r="H86" s="373">
        <v>28</v>
      </c>
      <c r="I86" s="378"/>
      <c r="J86" s="375"/>
      <c r="K86" s="378"/>
    </row>
    <row r="87" spans="2:11" x14ac:dyDescent="0.25">
      <c r="B87" s="334">
        <v>86</v>
      </c>
      <c r="C87" s="286" t="s">
        <v>563</v>
      </c>
      <c r="E87" s="288">
        <v>86</v>
      </c>
      <c r="F87" s="180" t="s">
        <v>291</v>
      </c>
      <c r="G87" s="286" t="s">
        <v>473</v>
      </c>
      <c r="H87" s="374">
        <v>84</v>
      </c>
      <c r="I87" s="378"/>
      <c r="J87" s="375"/>
      <c r="K87" s="378"/>
    </row>
    <row r="88" spans="2:11" x14ac:dyDescent="0.25">
      <c r="B88" s="334">
        <v>87</v>
      </c>
      <c r="C88" s="286" t="s">
        <v>565</v>
      </c>
      <c r="E88" s="288">
        <v>87</v>
      </c>
      <c r="F88" s="180" t="s">
        <v>399</v>
      </c>
      <c r="G88" s="286" t="s">
        <v>444</v>
      </c>
      <c r="H88" s="374">
        <v>12</v>
      </c>
      <c r="I88" s="378"/>
      <c r="J88" s="375"/>
      <c r="K88" s="378"/>
    </row>
    <row r="89" spans="2:11" x14ac:dyDescent="0.25">
      <c r="B89" s="334">
        <v>88</v>
      </c>
      <c r="C89" s="286" t="s">
        <v>575</v>
      </c>
      <c r="E89" s="288">
        <v>88</v>
      </c>
      <c r="F89" s="179" t="s">
        <v>400</v>
      </c>
      <c r="G89" s="286" t="s">
        <v>444</v>
      </c>
      <c r="H89" s="373">
        <v>103</v>
      </c>
      <c r="I89" s="378"/>
      <c r="J89" s="375"/>
      <c r="K89" s="378"/>
    </row>
    <row r="90" spans="2:11" x14ac:dyDescent="0.25">
      <c r="B90" s="334">
        <v>89</v>
      </c>
      <c r="C90" s="286" t="s">
        <v>576</v>
      </c>
      <c r="E90" s="288">
        <v>89</v>
      </c>
      <c r="F90" s="179" t="s">
        <v>401</v>
      </c>
      <c r="G90" s="286" t="s">
        <v>444</v>
      </c>
      <c r="H90" s="373">
        <v>6</v>
      </c>
      <c r="I90" s="378"/>
      <c r="J90" s="375"/>
      <c r="K90" s="378"/>
    </row>
    <row r="91" spans="2:11" x14ac:dyDescent="0.25">
      <c r="B91" s="334">
        <v>90</v>
      </c>
      <c r="C91" s="286" t="s">
        <v>585</v>
      </c>
      <c r="E91" s="288">
        <v>90</v>
      </c>
      <c r="F91" s="179" t="s">
        <v>402</v>
      </c>
      <c r="G91" s="286" t="s">
        <v>444</v>
      </c>
      <c r="H91" s="373">
        <v>29</v>
      </c>
      <c r="I91" s="378"/>
      <c r="J91" s="375"/>
      <c r="K91" s="378"/>
    </row>
    <row r="92" spans="2:11" x14ac:dyDescent="0.25">
      <c r="B92" s="334">
        <v>91</v>
      </c>
      <c r="C92" s="286" t="s">
        <v>595</v>
      </c>
      <c r="E92" s="288">
        <v>91</v>
      </c>
      <c r="F92" s="179" t="s">
        <v>403</v>
      </c>
      <c r="G92" s="286" t="s">
        <v>473</v>
      </c>
      <c r="H92" s="373">
        <v>59</v>
      </c>
      <c r="I92" s="378"/>
      <c r="J92" s="375"/>
      <c r="K92" s="378"/>
    </row>
    <row r="93" spans="2:11" x14ac:dyDescent="0.25">
      <c r="B93" s="334">
        <v>92</v>
      </c>
      <c r="C93" s="286" t="s">
        <v>598</v>
      </c>
      <c r="E93" s="288">
        <v>92</v>
      </c>
      <c r="F93" s="179" t="s">
        <v>475</v>
      </c>
      <c r="G93" s="286" t="s">
        <v>444</v>
      </c>
      <c r="H93" s="373">
        <v>59</v>
      </c>
      <c r="I93" s="378"/>
      <c r="J93" s="375"/>
      <c r="K93" s="378"/>
    </row>
    <row r="94" spans="2:11" x14ac:dyDescent="0.25">
      <c r="B94" s="334">
        <v>93</v>
      </c>
      <c r="C94" s="286" t="s">
        <v>597</v>
      </c>
      <c r="E94" s="288">
        <v>93</v>
      </c>
      <c r="F94" s="179" t="s">
        <v>404</v>
      </c>
      <c r="G94" s="286" t="s">
        <v>444</v>
      </c>
      <c r="H94" s="373">
        <v>38</v>
      </c>
      <c r="I94" s="378"/>
      <c r="J94" s="375"/>
      <c r="K94" s="378"/>
    </row>
    <row r="95" spans="2:11" x14ac:dyDescent="0.25">
      <c r="B95" s="334">
        <v>94</v>
      </c>
      <c r="C95" s="286" t="s">
        <v>599</v>
      </c>
      <c r="E95" s="288">
        <v>94</v>
      </c>
      <c r="F95" s="179" t="s">
        <v>405</v>
      </c>
      <c r="G95" s="286" t="s">
        <v>473</v>
      </c>
      <c r="H95" s="373">
        <v>6</v>
      </c>
      <c r="I95" s="378"/>
      <c r="J95" s="375"/>
      <c r="K95" s="378"/>
    </row>
    <row r="96" spans="2:11" x14ac:dyDescent="0.25">
      <c r="B96" s="334">
        <v>95</v>
      </c>
      <c r="C96" s="286" t="s">
        <v>600</v>
      </c>
      <c r="E96" s="288">
        <v>95</v>
      </c>
      <c r="F96" s="179" t="s">
        <v>294</v>
      </c>
      <c r="G96" s="286" t="s">
        <v>444</v>
      </c>
      <c r="H96" s="373">
        <v>130</v>
      </c>
      <c r="I96" s="378"/>
      <c r="J96" s="375"/>
      <c r="K96" s="378"/>
    </row>
    <row r="97" spans="2:11" x14ac:dyDescent="0.25">
      <c r="B97" s="334">
        <v>96</v>
      </c>
      <c r="C97" s="286" t="s">
        <v>601</v>
      </c>
      <c r="E97" s="288">
        <v>96</v>
      </c>
      <c r="F97" s="179" t="s">
        <v>406</v>
      </c>
      <c r="G97" s="286" t="s">
        <v>444</v>
      </c>
      <c r="H97" s="373">
        <v>21</v>
      </c>
      <c r="I97" s="378"/>
      <c r="J97" s="375"/>
      <c r="K97" s="378"/>
    </row>
    <row r="98" spans="2:11" x14ac:dyDescent="0.25">
      <c r="B98" s="334">
        <v>97</v>
      </c>
      <c r="C98" s="286" t="s">
        <v>602</v>
      </c>
      <c r="E98" s="288">
        <v>97</v>
      </c>
      <c r="F98" s="179" t="s">
        <v>407</v>
      </c>
      <c r="G98" s="286" t="s">
        <v>444</v>
      </c>
      <c r="H98" s="373">
        <v>35</v>
      </c>
      <c r="I98" s="378"/>
      <c r="J98" s="375"/>
      <c r="K98" s="378"/>
    </row>
    <row r="99" spans="2:11" x14ac:dyDescent="0.25">
      <c r="B99" s="334">
        <v>98</v>
      </c>
      <c r="C99" s="286" t="s">
        <v>603</v>
      </c>
      <c r="E99" s="288">
        <v>98</v>
      </c>
      <c r="F99" s="179" t="s">
        <v>297</v>
      </c>
      <c r="G99" s="286" t="s">
        <v>444</v>
      </c>
      <c r="H99" s="373">
        <v>177</v>
      </c>
      <c r="I99" s="378"/>
      <c r="J99" s="375"/>
      <c r="K99" s="378"/>
    </row>
    <row r="100" spans="2:11" x14ac:dyDescent="0.25">
      <c r="B100" s="334">
        <v>99</v>
      </c>
      <c r="C100" s="286" t="s">
        <v>606</v>
      </c>
      <c r="E100" s="288">
        <v>99</v>
      </c>
      <c r="F100" s="179" t="s">
        <v>408</v>
      </c>
      <c r="G100" s="286" t="s">
        <v>444</v>
      </c>
      <c r="H100" s="373">
        <v>223</v>
      </c>
      <c r="I100" s="378">
        <v>1</v>
      </c>
      <c r="J100" s="375">
        <v>223</v>
      </c>
      <c r="K100" s="378">
        <v>34</v>
      </c>
    </row>
    <row r="101" spans="2:11" x14ac:dyDescent="0.25">
      <c r="B101" s="334">
        <v>100</v>
      </c>
      <c r="C101" s="286" t="s">
        <v>604</v>
      </c>
      <c r="E101" s="288">
        <v>100</v>
      </c>
      <c r="F101" s="179" t="s">
        <v>409</v>
      </c>
      <c r="G101" s="286" t="s">
        <v>444</v>
      </c>
      <c r="H101" s="373">
        <v>35</v>
      </c>
      <c r="I101" s="378"/>
      <c r="J101" s="375"/>
      <c r="K101" s="378"/>
    </row>
    <row r="102" spans="2:11" x14ac:dyDescent="0.25">
      <c r="B102" s="334">
        <v>101</v>
      </c>
      <c r="C102" s="286" t="s">
        <v>605</v>
      </c>
      <c r="E102" s="288">
        <v>101</v>
      </c>
      <c r="F102" s="179" t="s">
        <v>410</v>
      </c>
      <c r="G102" s="286" t="s">
        <v>444</v>
      </c>
      <c r="H102" s="373">
        <v>74</v>
      </c>
      <c r="I102" s="378"/>
      <c r="J102" s="375"/>
      <c r="K102" s="378"/>
    </row>
    <row r="103" spans="2:11" x14ac:dyDescent="0.25">
      <c r="B103" s="334">
        <v>102</v>
      </c>
      <c r="C103" s="286" t="s">
        <v>625</v>
      </c>
      <c r="E103" s="288">
        <v>102</v>
      </c>
      <c r="F103" s="179" t="s">
        <v>411</v>
      </c>
      <c r="G103" s="286" t="s">
        <v>444</v>
      </c>
      <c r="H103" s="373">
        <v>22</v>
      </c>
      <c r="I103" s="378"/>
      <c r="J103" s="375"/>
      <c r="K103" s="378"/>
    </row>
    <row r="104" spans="2:11" x14ac:dyDescent="0.25">
      <c r="B104" s="334">
        <v>103</v>
      </c>
      <c r="C104" s="286" t="s">
        <v>626</v>
      </c>
      <c r="E104" s="288">
        <v>103</v>
      </c>
      <c r="F104" s="179" t="s">
        <v>412</v>
      </c>
      <c r="G104" s="286" t="s">
        <v>444</v>
      </c>
      <c r="H104" s="373">
        <v>2</v>
      </c>
      <c r="I104" s="378"/>
      <c r="J104" s="375"/>
      <c r="K104" s="378"/>
    </row>
    <row r="105" spans="2:11" x14ac:dyDescent="0.25">
      <c r="B105" s="334">
        <v>104</v>
      </c>
      <c r="C105" s="286" t="s">
        <v>627</v>
      </c>
      <c r="E105" s="288">
        <v>104</v>
      </c>
      <c r="F105" s="179" t="s">
        <v>413</v>
      </c>
      <c r="G105" s="286" t="s">
        <v>444</v>
      </c>
      <c r="H105" s="373">
        <v>240</v>
      </c>
      <c r="I105" s="378"/>
      <c r="J105" s="375"/>
      <c r="K105" s="378"/>
    </row>
    <row r="106" spans="2:11" x14ac:dyDescent="0.25">
      <c r="B106" s="334">
        <v>105</v>
      </c>
      <c r="C106" s="286" t="s">
        <v>628</v>
      </c>
      <c r="E106" s="288">
        <v>105</v>
      </c>
      <c r="F106" s="179" t="s">
        <v>414</v>
      </c>
      <c r="G106" s="286" t="s">
        <v>444</v>
      </c>
      <c r="H106" s="373">
        <v>86</v>
      </c>
      <c r="I106" s="378">
        <v>2</v>
      </c>
      <c r="J106" s="375">
        <v>172</v>
      </c>
      <c r="K106" s="378"/>
    </row>
    <row r="107" spans="2:11" x14ac:dyDescent="0.25">
      <c r="B107" s="334">
        <v>106</v>
      </c>
      <c r="C107" s="286" t="s">
        <v>629</v>
      </c>
      <c r="E107" s="288">
        <v>106</v>
      </c>
      <c r="F107" s="179" t="s">
        <v>415</v>
      </c>
      <c r="G107" s="286" t="s">
        <v>444</v>
      </c>
      <c r="H107" s="373">
        <v>5</v>
      </c>
      <c r="I107" s="378"/>
      <c r="J107" s="375"/>
      <c r="K107" s="378"/>
    </row>
    <row r="108" spans="2:11" x14ac:dyDescent="0.25">
      <c r="B108" s="334">
        <v>107</v>
      </c>
      <c r="C108" s="286" t="s">
        <v>630</v>
      </c>
      <c r="E108" s="288">
        <v>107</v>
      </c>
      <c r="F108" s="179" t="s">
        <v>416</v>
      </c>
      <c r="G108" s="286" t="s">
        <v>444</v>
      </c>
      <c r="H108" s="373">
        <v>141</v>
      </c>
      <c r="I108" s="378"/>
      <c r="J108" s="375"/>
      <c r="K108" s="378"/>
    </row>
    <row r="109" spans="2:11" x14ac:dyDescent="0.25">
      <c r="B109" s="334">
        <v>108</v>
      </c>
      <c r="C109" s="286" t="s">
        <v>631</v>
      </c>
      <c r="E109" s="288">
        <v>108</v>
      </c>
      <c r="F109" s="179" t="s">
        <v>417</v>
      </c>
      <c r="G109" s="286" t="s">
        <v>444</v>
      </c>
      <c r="H109" s="373">
        <v>210</v>
      </c>
      <c r="I109" s="378"/>
      <c r="J109" s="375"/>
      <c r="K109" s="378"/>
    </row>
    <row r="110" spans="2:11" x14ac:dyDescent="0.25">
      <c r="B110" s="334">
        <v>109</v>
      </c>
      <c r="C110" s="286" t="s">
        <v>657</v>
      </c>
      <c r="E110" s="288">
        <v>109</v>
      </c>
      <c r="F110" s="179" t="s">
        <v>418</v>
      </c>
      <c r="G110" s="286" t="s">
        <v>444</v>
      </c>
      <c r="H110" s="373">
        <v>55</v>
      </c>
      <c r="I110" s="378"/>
      <c r="J110" s="375"/>
      <c r="K110" s="378"/>
    </row>
    <row r="111" spans="2:11" x14ac:dyDescent="0.25">
      <c r="B111" s="334">
        <v>110</v>
      </c>
      <c r="C111" s="286" t="s">
        <v>659</v>
      </c>
      <c r="E111" s="288">
        <v>110</v>
      </c>
      <c r="F111" s="179" t="s">
        <v>303</v>
      </c>
      <c r="G111" s="286" t="s">
        <v>473</v>
      </c>
      <c r="H111" s="373">
        <v>19</v>
      </c>
      <c r="I111" s="378"/>
      <c r="J111" s="375"/>
      <c r="K111" s="378"/>
    </row>
    <row r="112" spans="2:11" x14ac:dyDescent="0.25">
      <c r="B112" s="334">
        <v>111</v>
      </c>
      <c r="C112" s="286" t="s">
        <v>654</v>
      </c>
      <c r="E112" s="288">
        <v>111</v>
      </c>
      <c r="F112" s="179" t="s">
        <v>304</v>
      </c>
      <c r="G112" s="286" t="s">
        <v>473</v>
      </c>
      <c r="H112" s="373">
        <v>15</v>
      </c>
      <c r="I112" s="378"/>
      <c r="J112" s="375"/>
      <c r="K112" s="378"/>
    </row>
    <row r="113" spans="2:11" x14ac:dyDescent="0.25">
      <c r="B113" s="334">
        <v>112</v>
      </c>
      <c r="C113" s="286" t="s">
        <v>655</v>
      </c>
      <c r="E113" s="288">
        <v>112</v>
      </c>
      <c r="F113" s="179" t="s">
        <v>305</v>
      </c>
      <c r="G113" s="286" t="s">
        <v>473</v>
      </c>
      <c r="H113" s="373">
        <v>17</v>
      </c>
      <c r="I113" s="378"/>
      <c r="J113" s="375"/>
      <c r="K113" s="378"/>
    </row>
    <row r="114" spans="2:11" x14ac:dyDescent="0.25">
      <c r="B114" s="334">
        <v>113</v>
      </c>
      <c r="C114" s="336" t="s">
        <v>660</v>
      </c>
      <c r="E114" s="288">
        <v>113</v>
      </c>
      <c r="F114" s="179" t="s">
        <v>419</v>
      </c>
      <c r="G114" s="286" t="s">
        <v>444</v>
      </c>
      <c r="H114" s="373">
        <v>3</v>
      </c>
      <c r="I114" s="378"/>
      <c r="J114" s="375"/>
      <c r="K114" s="378"/>
    </row>
    <row r="115" spans="2:11" x14ac:dyDescent="0.25">
      <c r="B115" s="334">
        <v>114</v>
      </c>
      <c r="C115" s="336" t="s">
        <v>661</v>
      </c>
      <c r="E115" s="288">
        <v>114</v>
      </c>
      <c r="F115" s="179" t="s">
        <v>420</v>
      </c>
      <c r="G115" s="286" t="s">
        <v>444</v>
      </c>
      <c r="H115" s="373">
        <v>2</v>
      </c>
      <c r="I115" s="378"/>
      <c r="J115" s="375"/>
      <c r="K115" s="378"/>
    </row>
    <row r="116" spans="2:11" x14ac:dyDescent="0.25">
      <c r="B116" s="334">
        <v>115</v>
      </c>
      <c r="C116" s="336" t="s">
        <v>662</v>
      </c>
      <c r="E116" s="288">
        <v>115</v>
      </c>
      <c r="F116" s="179" t="s">
        <v>421</v>
      </c>
      <c r="G116" s="286" t="s">
        <v>473</v>
      </c>
      <c r="H116" s="373">
        <v>20</v>
      </c>
      <c r="I116" s="378"/>
      <c r="J116" s="375"/>
      <c r="K116" s="378"/>
    </row>
    <row r="117" spans="2:11" x14ac:dyDescent="0.25">
      <c r="B117" s="334">
        <v>116</v>
      </c>
      <c r="C117" s="336" t="s">
        <v>663</v>
      </c>
      <c r="E117" s="288">
        <v>116</v>
      </c>
      <c r="F117" s="179" t="s">
        <v>422</v>
      </c>
      <c r="G117" s="286" t="s">
        <v>473</v>
      </c>
      <c r="H117" s="373">
        <v>25</v>
      </c>
      <c r="I117" s="378"/>
      <c r="J117" s="375"/>
      <c r="K117" s="378"/>
    </row>
    <row r="118" spans="2:11" x14ac:dyDescent="0.25">
      <c r="B118" s="334">
        <v>117</v>
      </c>
      <c r="C118" s="286" t="s">
        <v>658</v>
      </c>
      <c r="E118" s="288">
        <v>117</v>
      </c>
      <c r="F118" s="179" t="s">
        <v>423</v>
      </c>
      <c r="G118" s="286" t="s">
        <v>444</v>
      </c>
      <c r="H118" s="373">
        <v>2.5</v>
      </c>
      <c r="I118" s="378"/>
      <c r="J118" s="375"/>
      <c r="K118" s="378"/>
    </row>
    <row r="119" spans="2:11" x14ac:dyDescent="0.25">
      <c r="B119" s="334">
        <v>118</v>
      </c>
      <c r="C119" s="286" t="s">
        <v>664</v>
      </c>
      <c r="E119" s="288">
        <v>118</v>
      </c>
      <c r="F119" s="179" t="s">
        <v>424</v>
      </c>
      <c r="G119" s="286" t="s">
        <v>444</v>
      </c>
      <c r="H119" s="373">
        <v>25</v>
      </c>
      <c r="I119" s="378"/>
      <c r="J119" s="375"/>
      <c r="K119" s="378"/>
    </row>
    <row r="120" spans="2:11" x14ac:dyDescent="0.25">
      <c r="B120" s="178">
        <v>119</v>
      </c>
      <c r="C120" s="336" t="s">
        <v>667</v>
      </c>
      <c r="E120" s="288">
        <v>119</v>
      </c>
      <c r="F120" s="179" t="s">
        <v>425</v>
      </c>
      <c r="G120" s="286" t="s">
        <v>444</v>
      </c>
      <c r="H120" s="373">
        <v>45</v>
      </c>
      <c r="I120" s="378"/>
      <c r="J120" s="375"/>
      <c r="K120" s="378"/>
    </row>
    <row r="121" spans="2:11" x14ac:dyDescent="0.25">
      <c r="B121" s="178">
        <v>120</v>
      </c>
      <c r="C121" s="336" t="s">
        <v>668</v>
      </c>
      <c r="E121" s="288">
        <v>120</v>
      </c>
      <c r="F121" s="179" t="s">
        <v>426</v>
      </c>
      <c r="G121" s="286" t="s">
        <v>444</v>
      </c>
      <c r="H121" s="373">
        <v>70</v>
      </c>
      <c r="I121" s="378"/>
      <c r="J121" s="375"/>
      <c r="K121" s="378"/>
    </row>
    <row r="122" spans="2:11" x14ac:dyDescent="0.25">
      <c r="B122" s="178">
        <v>121</v>
      </c>
      <c r="C122" s="336" t="s">
        <v>669</v>
      </c>
      <c r="E122" s="288">
        <v>121</v>
      </c>
      <c r="F122" s="179" t="s">
        <v>427</v>
      </c>
      <c r="G122" s="286" t="s">
        <v>444</v>
      </c>
      <c r="H122" s="373">
        <v>110</v>
      </c>
      <c r="I122" s="378"/>
      <c r="J122" s="375"/>
      <c r="K122" s="378"/>
    </row>
    <row r="123" spans="2:11" x14ac:dyDescent="0.25">
      <c r="B123" s="178">
        <v>122</v>
      </c>
      <c r="C123" s="336" t="s">
        <v>670</v>
      </c>
      <c r="E123" s="288">
        <v>122</v>
      </c>
      <c r="F123" s="179" t="s">
        <v>428</v>
      </c>
      <c r="G123" s="286" t="s">
        <v>444</v>
      </c>
      <c r="H123" s="373">
        <v>32</v>
      </c>
      <c r="I123" s="378"/>
      <c r="J123" s="375"/>
      <c r="K123" s="378"/>
    </row>
    <row r="124" spans="2:11" x14ac:dyDescent="0.25">
      <c r="B124" s="178">
        <v>123</v>
      </c>
      <c r="C124" s="336" t="s">
        <v>671</v>
      </c>
      <c r="E124" s="288">
        <v>123</v>
      </c>
      <c r="F124" s="179" t="s">
        <v>429</v>
      </c>
      <c r="G124" s="286" t="s">
        <v>444</v>
      </c>
      <c r="H124" s="373">
        <v>61</v>
      </c>
      <c r="I124" s="378"/>
      <c r="J124" s="375"/>
      <c r="K124" s="378"/>
    </row>
    <row r="125" spans="2:11" x14ac:dyDescent="0.25">
      <c r="B125" s="178">
        <v>124</v>
      </c>
      <c r="C125" s="286" t="s">
        <v>672</v>
      </c>
      <c r="E125" s="288">
        <v>124</v>
      </c>
      <c r="F125" s="179" t="s">
        <v>430</v>
      </c>
      <c r="G125" s="286" t="s">
        <v>444</v>
      </c>
      <c r="H125" s="373">
        <v>85</v>
      </c>
      <c r="I125" s="378"/>
      <c r="J125" s="375"/>
      <c r="K125" s="378"/>
    </row>
    <row r="126" spans="2:11" x14ac:dyDescent="0.25">
      <c r="B126" s="178">
        <v>125</v>
      </c>
      <c r="C126" s="286" t="s">
        <v>674</v>
      </c>
      <c r="E126" s="288">
        <v>125</v>
      </c>
      <c r="F126" s="179" t="s">
        <v>431</v>
      </c>
      <c r="G126" s="286" t="s">
        <v>444</v>
      </c>
      <c r="H126" s="373">
        <v>99</v>
      </c>
      <c r="I126" s="378"/>
      <c r="J126" s="375"/>
      <c r="K126" s="378"/>
    </row>
    <row r="127" spans="2:11" x14ac:dyDescent="0.25">
      <c r="B127" s="178">
        <v>126</v>
      </c>
      <c r="C127" s="286" t="s">
        <v>675</v>
      </c>
      <c r="E127" s="288">
        <v>126</v>
      </c>
      <c r="F127" s="179" t="s">
        <v>432</v>
      </c>
      <c r="G127" s="286" t="s">
        <v>444</v>
      </c>
      <c r="H127" s="373">
        <v>125</v>
      </c>
      <c r="I127" s="378"/>
      <c r="J127" s="375"/>
      <c r="K127" s="378"/>
    </row>
    <row r="128" spans="2:11" x14ac:dyDescent="0.25">
      <c r="B128" s="178">
        <v>127</v>
      </c>
      <c r="C128" s="286" t="s">
        <v>676</v>
      </c>
      <c r="E128" s="288">
        <v>127</v>
      </c>
      <c r="F128" s="179" t="s">
        <v>433</v>
      </c>
      <c r="G128" s="286" t="s">
        <v>444</v>
      </c>
      <c r="H128" s="373">
        <v>75</v>
      </c>
      <c r="I128" s="378"/>
      <c r="J128" s="375"/>
      <c r="K128" s="378"/>
    </row>
    <row r="129" spans="2:11" x14ac:dyDescent="0.25">
      <c r="B129" s="178">
        <v>128</v>
      </c>
      <c r="C129" s="286" t="s">
        <v>673</v>
      </c>
      <c r="E129" s="288">
        <v>128</v>
      </c>
      <c r="F129" s="179" t="s">
        <v>434</v>
      </c>
      <c r="G129" s="286" t="s">
        <v>444</v>
      </c>
      <c r="H129" s="373">
        <v>220</v>
      </c>
      <c r="I129" s="378"/>
      <c r="J129" s="375"/>
      <c r="K129" s="378"/>
    </row>
    <row r="130" spans="2:11" x14ac:dyDescent="0.25">
      <c r="B130" s="178">
        <v>129</v>
      </c>
      <c r="C130" s="286" t="s">
        <v>677</v>
      </c>
      <c r="E130" s="288">
        <v>129</v>
      </c>
      <c r="F130" s="179" t="s">
        <v>435</v>
      </c>
      <c r="G130" s="286" t="s">
        <v>444</v>
      </c>
      <c r="H130" s="373">
        <v>100</v>
      </c>
      <c r="I130" s="378"/>
      <c r="J130" s="375"/>
      <c r="K130" s="378"/>
    </row>
    <row r="131" spans="2:11" x14ac:dyDescent="0.25">
      <c r="B131" s="178">
        <v>130</v>
      </c>
      <c r="C131" s="286" t="s">
        <v>678</v>
      </c>
      <c r="E131" s="288">
        <v>130</v>
      </c>
      <c r="F131" s="179" t="s">
        <v>584</v>
      </c>
      <c r="G131" s="286" t="s">
        <v>444</v>
      </c>
      <c r="H131" s="373">
        <v>23.5</v>
      </c>
      <c r="I131" s="378"/>
      <c r="J131" s="375"/>
      <c r="K131" s="378"/>
    </row>
    <row r="132" spans="2:11" x14ac:dyDescent="0.25">
      <c r="B132" s="178">
        <v>131</v>
      </c>
      <c r="C132" s="286" t="s">
        <v>679</v>
      </c>
      <c r="E132" s="288">
        <v>131</v>
      </c>
      <c r="F132" s="179" t="s">
        <v>436</v>
      </c>
      <c r="G132" s="286" t="s">
        <v>444</v>
      </c>
      <c r="H132" s="373">
        <v>23.5</v>
      </c>
      <c r="I132" s="378"/>
      <c r="J132" s="375"/>
      <c r="K132" s="378"/>
    </row>
    <row r="133" spans="2:11" x14ac:dyDescent="0.25">
      <c r="B133" s="178">
        <v>132</v>
      </c>
      <c r="C133" s="286" t="s">
        <v>684</v>
      </c>
      <c r="E133" s="288">
        <v>132</v>
      </c>
      <c r="F133" s="181" t="s">
        <v>495</v>
      </c>
      <c r="G133" s="286" t="s">
        <v>444</v>
      </c>
      <c r="H133" s="376">
        <v>15</v>
      </c>
      <c r="I133" s="378"/>
      <c r="J133" s="375"/>
      <c r="K133" s="378"/>
    </row>
    <row r="134" spans="2:11" x14ac:dyDescent="0.25">
      <c r="B134" s="178">
        <v>133</v>
      </c>
      <c r="C134" s="286" t="s">
        <v>694</v>
      </c>
      <c r="E134" s="288">
        <v>133</v>
      </c>
      <c r="F134" s="181" t="s">
        <v>324</v>
      </c>
      <c r="G134" s="286" t="s">
        <v>444</v>
      </c>
      <c r="H134" s="376">
        <v>40</v>
      </c>
      <c r="I134" s="378"/>
      <c r="J134" s="375"/>
      <c r="K134" s="378"/>
    </row>
    <row r="135" spans="2:11" x14ac:dyDescent="0.25">
      <c r="B135" s="178">
        <v>134</v>
      </c>
      <c r="C135" s="286"/>
      <c r="E135" s="288">
        <v>134</v>
      </c>
      <c r="F135" s="181" t="s">
        <v>325</v>
      </c>
      <c r="G135" s="286" t="s">
        <v>444</v>
      </c>
      <c r="H135" s="376">
        <v>75</v>
      </c>
      <c r="I135" s="378"/>
      <c r="J135" s="375"/>
      <c r="K135" s="378"/>
    </row>
    <row r="136" spans="2:11" x14ac:dyDescent="0.25">
      <c r="B136" s="178">
        <v>135</v>
      </c>
      <c r="C136" s="286"/>
      <c r="E136" s="288">
        <v>135</v>
      </c>
      <c r="F136" s="179" t="s">
        <v>317</v>
      </c>
      <c r="G136" s="286" t="s">
        <v>444</v>
      </c>
      <c r="H136" s="373">
        <v>95</v>
      </c>
      <c r="I136" s="378"/>
      <c r="J136" s="375"/>
      <c r="K136" s="378"/>
    </row>
    <row r="137" spans="2:11" x14ac:dyDescent="0.25">
      <c r="B137" s="178">
        <v>136</v>
      </c>
      <c r="C137" s="286"/>
      <c r="E137" s="288">
        <v>136</v>
      </c>
      <c r="F137" s="179" t="s">
        <v>437</v>
      </c>
      <c r="G137" s="286" t="s">
        <v>444</v>
      </c>
      <c r="H137" s="373">
        <v>38</v>
      </c>
      <c r="I137" s="378"/>
      <c r="J137" s="375"/>
      <c r="K137" s="378"/>
    </row>
    <row r="138" spans="2:11" x14ac:dyDescent="0.25">
      <c r="B138" s="178">
        <v>137</v>
      </c>
      <c r="C138" s="286"/>
      <c r="E138" s="288">
        <v>137</v>
      </c>
      <c r="F138" s="179" t="s">
        <v>318</v>
      </c>
      <c r="G138" s="286" t="s">
        <v>444</v>
      </c>
      <c r="H138" s="373">
        <v>146</v>
      </c>
      <c r="I138" s="378"/>
      <c r="J138" s="375"/>
      <c r="K138" s="378"/>
    </row>
    <row r="139" spans="2:11" x14ac:dyDescent="0.25">
      <c r="B139" s="178">
        <v>138</v>
      </c>
      <c r="C139" s="286"/>
      <c r="E139" s="288">
        <v>138</v>
      </c>
      <c r="F139" s="179" t="s">
        <v>438</v>
      </c>
      <c r="G139" s="286" t="s">
        <v>444</v>
      </c>
      <c r="H139" s="373">
        <v>54</v>
      </c>
      <c r="I139" s="378"/>
      <c r="J139" s="375"/>
      <c r="K139" s="378"/>
    </row>
    <row r="140" spans="2:11" x14ac:dyDescent="0.25">
      <c r="B140" s="178">
        <v>139</v>
      </c>
      <c r="C140" s="286"/>
      <c r="E140" s="288">
        <v>139</v>
      </c>
      <c r="F140" s="179" t="s">
        <v>439</v>
      </c>
      <c r="G140" s="286" t="s">
        <v>444</v>
      </c>
      <c r="H140" s="373">
        <v>10</v>
      </c>
      <c r="I140" s="378">
        <v>4</v>
      </c>
      <c r="J140" s="375">
        <v>14</v>
      </c>
      <c r="K140" s="378"/>
    </row>
    <row r="141" spans="2:11" x14ac:dyDescent="0.25">
      <c r="B141" s="178">
        <v>140</v>
      </c>
      <c r="C141" s="286"/>
      <c r="E141" s="288">
        <v>140</v>
      </c>
      <c r="F141" s="179" t="s">
        <v>504</v>
      </c>
      <c r="G141" s="286" t="s">
        <v>444</v>
      </c>
      <c r="H141" s="373">
        <v>89</v>
      </c>
      <c r="I141" s="378">
        <v>1</v>
      </c>
      <c r="J141" s="375">
        <v>92</v>
      </c>
      <c r="K141" s="378"/>
    </row>
    <row r="142" spans="2:11" x14ac:dyDescent="0.25">
      <c r="B142" s="178">
        <v>141</v>
      </c>
      <c r="C142" s="286"/>
      <c r="E142" s="378">
        <v>141</v>
      </c>
      <c r="F142" s="179" t="s">
        <v>505</v>
      </c>
      <c r="G142" s="286" t="s">
        <v>473</v>
      </c>
      <c r="H142" s="375">
        <v>62</v>
      </c>
      <c r="I142" s="378">
        <v>1</v>
      </c>
      <c r="J142" s="375">
        <v>84</v>
      </c>
      <c r="K142" s="378"/>
    </row>
    <row r="143" spans="2:11" x14ac:dyDescent="0.25">
      <c r="B143" s="178">
        <v>142</v>
      </c>
      <c r="C143" s="286"/>
      <c r="E143" s="378">
        <v>142</v>
      </c>
      <c r="F143" s="179" t="s">
        <v>534</v>
      </c>
      <c r="G143" s="286" t="s">
        <v>444</v>
      </c>
      <c r="H143" s="375">
        <v>4</v>
      </c>
      <c r="I143" s="378">
        <v>8</v>
      </c>
      <c r="J143" s="375">
        <v>52</v>
      </c>
      <c r="K143" s="378"/>
    </row>
    <row r="144" spans="2:11" x14ac:dyDescent="0.25">
      <c r="B144" s="178">
        <v>143</v>
      </c>
      <c r="C144" s="286"/>
      <c r="E144" s="378">
        <v>143</v>
      </c>
      <c r="F144" s="179" t="s">
        <v>563</v>
      </c>
      <c r="G144" s="286" t="s">
        <v>444</v>
      </c>
      <c r="H144" s="375">
        <v>123</v>
      </c>
      <c r="I144" s="378">
        <v>1</v>
      </c>
      <c r="J144" s="375">
        <v>128</v>
      </c>
      <c r="K144" s="378"/>
    </row>
    <row r="145" spans="2:11" x14ac:dyDescent="0.25">
      <c r="B145" s="178">
        <v>144</v>
      </c>
      <c r="C145" s="286"/>
      <c r="E145" s="378">
        <v>144</v>
      </c>
      <c r="F145" s="179" t="s">
        <v>564</v>
      </c>
      <c r="G145" s="286" t="s">
        <v>444</v>
      </c>
      <c r="H145" s="375">
        <v>15</v>
      </c>
      <c r="I145" s="378">
        <v>4</v>
      </c>
      <c r="J145" s="375">
        <v>70</v>
      </c>
      <c r="K145" s="378"/>
    </row>
    <row r="146" spans="2:11" x14ac:dyDescent="0.25">
      <c r="B146" s="178">
        <v>145</v>
      </c>
      <c r="C146" s="286"/>
      <c r="E146" s="378">
        <v>145</v>
      </c>
      <c r="F146" s="179" t="s">
        <v>566</v>
      </c>
      <c r="G146" s="286" t="s">
        <v>473</v>
      </c>
      <c r="H146" s="375">
        <v>18</v>
      </c>
      <c r="I146" s="378">
        <v>1</v>
      </c>
      <c r="J146" s="375"/>
      <c r="K146" s="378"/>
    </row>
    <row r="147" spans="2:11" x14ac:dyDescent="0.25">
      <c r="B147" s="178">
        <v>146</v>
      </c>
      <c r="C147" s="286"/>
      <c r="E147" s="378">
        <v>146</v>
      </c>
      <c r="F147" s="179" t="s">
        <v>567</v>
      </c>
      <c r="G147" s="286" t="s">
        <v>473</v>
      </c>
      <c r="H147" s="375">
        <v>20</v>
      </c>
      <c r="I147" s="378">
        <v>1</v>
      </c>
      <c r="J147" s="375"/>
      <c r="K147" s="378"/>
    </row>
    <row r="148" spans="2:11" x14ac:dyDescent="0.25">
      <c r="B148" s="178">
        <v>147</v>
      </c>
      <c r="C148" s="286"/>
      <c r="E148" s="378">
        <v>147</v>
      </c>
      <c r="F148" s="179" t="s">
        <v>568</v>
      </c>
      <c r="G148" s="286" t="s">
        <v>444</v>
      </c>
      <c r="H148" s="375">
        <v>22</v>
      </c>
      <c r="I148" s="378">
        <v>4</v>
      </c>
      <c r="J148" s="375"/>
      <c r="K148" s="378"/>
    </row>
    <row r="149" spans="2:11" x14ac:dyDescent="0.25">
      <c r="B149" s="178">
        <v>148</v>
      </c>
      <c r="C149" s="286"/>
      <c r="E149" s="378">
        <v>148</v>
      </c>
      <c r="F149" s="179" t="s">
        <v>569</v>
      </c>
      <c r="G149" s="286" t="s">
        <v>444</v>
      </c>
      <c r="H149" s="375">
        <v>1.5</v>
      </c>
      <c r="I149" s="378">
        <v>11</v>
      </c>
      <c r="J149" s="375"/>
      <c r="K149" s="378"/>
    </row>
    <row r="150" spans="2:11" x14ac:dyDescent="0.25">
      <c r="B150" s="178">
        <v>149</v>
      </c>
      <c r="C150" s="286"/>
      <c r="E150" s="378">
        <v>149</v>
      </c>
      <c r="F150" s="286" t="s">
        <v>575</v>
      </c>
      <c r="G150" s="286" t="s">
        <v>473</v>
      </c>
      <c r="H150" s="375">
        <v>30</v>
      </c>
      <c r="I150" s="378">
        <v>1</v>
      </c>
      <c r="J150" s="375"/>
      <c r="K150" s="378"/>
    </row>
    <row r="151" spans="2:11" x14ac:dyDescent="0.25">
      <c r="B151" s="178">
        <v>150</v>
      </c>
      <c r="C151" s="286"/>
      <c r="E151" s="378">
        <v>150</v>
      </c>
      <c r="F151" s="179" t="s">
        <v>577</v>
      </c>
      <c r="G151" s="286" t="s">
        <v>444</v>
      </c>
      <c r="H151" s="375">
        <v>97</v>
      </c>
      <c r="I151" s="378">
        <v>1</v>
      </c>
      <c r="J151" s="375"/>
      <c r="K151" s="378"/>
    </row>
    <row r="152" spans="2:11" x14ac:dyDescent="0.25">
      <c r="B152" s="178">
        <v>151</v>
      </c>
      <c r="C152" s="286"/>
      <c r="E152" s="378">
        <v>151</v>
      </c>
      <c r="F152" s="179" t="s">
        <v>578</v>
      </c>
      <c r="G152" s="286" t="s">
        <v>444</v>
      </c>
      <c r="H152" s="375"/>
      <c r="I152" s="378"/>
      <c r="J152" s="375"/>
      <c r="K152" s="378"/>
    </row>
    <row r="153" spans="2:11" x14ac:dyDescent="0.25">
      <c r="B153" s="178">
        <v>152</v>
      </c>
      <c r="C153" s="286"/>
      <c r="E153" s="378">
        <v>152</v>
      </c>
      <c r="F153" s="179" t="s">
        <v>579</v>
      </c>
      <c r="G153" s="286" t="s">
        <v>444</v>
      </c>
      <c r="H153" s="375"/>
      <c r="I153" s="378"/>
      <c r="J153" s="375"/>
      <c r="K153" s="378"/>
    </row>
    <row r="154" spans="2:11" x14ac:dyDescent="0.25">
      <c r="B154" s="178">
        <v>153</v>
      </c>
      <c r="C154" s="286"/>
      <c r="E154" s="378">
        <v>153</v>
      </c>
      <c r="F154" s="179" t="s">
        <v>580</v>
      </c>
      <c r="G154" s="286" t="s">
        <v>444</v>
      </c>
      <c r="H154" s="375"/>
      <c r="I154" s="378"/>
      <c r="J154" s="375"/>
      <c r="K154" s="378"/>
    </row>
    <row r="155" spans="2:11" x14ac:dyDescent="0.25">
      <c r="B155" s="178">
        <v>154</v>
      </c>
      <c r="C155" s="286"/>
      <c r="E155" s="378">
        <v>154</v>
      </c>
      <c r="F155" s="179" t="s">
        <v>585</v>
      </c>
      <c r="G155" s="286" t="s">
        <v>473</v>
      </c>
      <c r="H155" s="375">
        <v>18</v>
      </c>
      <c r="I155" s="378"/>
      <c r="J155" s="375"/>
      <c r="K155" s="378"/>
    </row>
    <row r="156" spans="2:11" x14ac:dyDescent="0.25">
      <c r="B156" s="178">
        <v>155</v>
      </c>
      <c r="C156" s="286"/>
      <c r="E156" s="378">
        <v>155</v>
      </c>
      <c r="F156" s="179" t="s">
        <v>594</v>
      </c>
      <c r="G156" s="286" t="s">
        <v>444</v>
      </c>
      <c r="H156" s="375">
        <v>1</v>
      </c>
      <c r="I156" s="378">
        <v>16</v>
      </c>
      <c r="J156" s="375"/>
      <c r="K156" s="378"/>
    </row>
    <row r="157" spans="2:11" x14ac:dyDescent="0.25">
      <c r="B157" s="178">
        <v>156</v>
      </c>
      <c r="C157" s="286"/>
      <c r="E157" s="378">
        <v>156</v>
      </c>
      <c r="F157" s="179" t="s">
        <v>596</v>
      </c>
      <c r="G157" s="286" t="s">
        <v>444</v>
      </c>
      <c r="H157" s="375">
        <v>1</v>
      </c>
      <c r="I157" s="378">
        <v>60</v>
      </c>
      <c r="J157" s="375"/>
      <c r="K157" s="378"/>
    </row>
    <row r="158" spans="2:11" x14ac:dyDescent="0.25">
      <c r="B158" s="178">
        <v>157</v>
      </c>
      <c r="C158" s="286"/>
      <c r="E158" s="378">
        <v>157</v>
      </c>
      <c r="F158" s="179" t="s">
        <v>597</v>
      </c>
      <c r="G158" s="286" t="s">
        <v>444</v>
      </c>
      <c r="H158" s="375">
        <v>168</v>
      </c>
      <c r="I158" s="378">
        <v>1</v>
      </c>
      <c r="J158" s="375"/>
      <c r="K158" s="378"/>
    </row>
    <row r="159" spans="2:11" x14ac:dyDescent="0.25">
      <c r="B159" s="178">
        <v>158</v>
      </c>
      <c r="C159" s="286"/>
      <c r="E159" s="378">
        <v>158</v>
      </c>
      <c r="F159" s="179" t="s">
        <v>598</v>
      </c>
      <c r="G159" s="286" t="s">
        <v>444</v>
      </c>
      <c r="H159" s="375">
        <v>18</v>
      </c>
      <c r="I159" s="378">
        <v>1</v>
      </c>
      <c r="J159" s="375"/>
      <c r="K159" s="378"/>
    </row>
    <row r="160" spans="2:11" x14ac:dyDescent="0.25">
      <c r="B160" s="178">
        <v>159</v>
      </c>
      <c r="C160" s="286"/>
      <c r="E160" s="378">
        <v>159</v>
      </c>
      <c r="F160" s="179" t="s">
        <v>599</v>
      </c>
      <c r="G160" s="286" t="s">
        <v>444</v>
      </c>
      <c r="H160" s="375">
        <v>19</v>
      </c>
      <c r="I160" s="378">
        <v>1</v>
      </c>
      <c r="J160" s="375"/>
      <c r="K160" s="378"/>
    </row>
    <row r="161" spans="2:11" x14ac:dyDescent="0.25">
      <c r="B161" s="178">
        <v>160</v>
      </c>
      <c r="C161" s="286"/>
      <c r="E161" s="378">
        <v>160</v>
      </c>
      <c r="F161" s="179" t="s">
        <v>602</v>
      </c>
      <c r="G161" s="286" t="s">
        <v>444</v>
      </c>
      <c r="H161" s="375"/>
      <c r="I161" s="378"/>
      <c r="J161" s="375"/>
      <c r="K161" s="378"/>
    </row>
    <row r="162" spans="2:11" x14ac:dyDescent="0.25">
      <c r="B162" s="178">
        <v>161</v>
      </c>
      <c r="C162" s="286"/>
      <c r="E162" s="378">
        <v>161</v>
      </c>
      <c r="F162" s="179" t="s">
        <v>601</v>
      </c>
      <c r="G162" s="286" t="s">
        <v>444</v>
      </c>
      <c r="H162" s="375">
        <v>21.3</v>
      </c>
      <c r="I162" s="378">
        <v>6</v>
      </c>
      <c r="J162" s="375"/>
      <c r="K162" s="378"/>
    </row>
    <row r="163" spans="2:11" x14ac:dyDescent="0.25">
      <c r="B163" s="178">
        <v>162</v>
      </c>
      <c r="C163" s="286"/>
      <c r="E163" s="378">
        <v>162</v>
      </c>
      <c r="F163" s="179" t="s">
        <v>600</v>
      </c>
      <c r="G163" s="286" t="s">
        <v>444</v>
      </c>
      <c r="H163" s="375">
        <v>179</v>
      </c>
      <c r="I163" s="378">
        <v>1</v>
      </c>
      <c r="J163" s="375"/>
      <c r="K163" s="378"/>
    </row>
    <row r="164" spans="2:11" x14ac:dyDescent="0.25">
      <c r="B164" s="178">
        <v>163</v>
      </c>
      <c r="C164" s="286"/>
      <c r="E164" s="378">
        <v>163</v>
      </c>
      <c r="F164" s="179" t="s">
        <v>603</v>
      </c>
      <c r="G164" s="286" t="s">
        <v>444</v>
      </c>
      <c r="H164" s="375">
        <v>68</v>
      </c>
      <c r="I164" s="378">
        <v>1</v>
      </c>
      <c r="J164" s="375"/>
      <c r="K164" s="378"/>
    </row>
    <row r="165" spans="2:11" x14ac:dyDescent="0.25">
      <c r="B165" s="178">
        <v>164</v>
      </c>
      <c r="C165" s="286"/>
      <c r="E165" s="378">
        <v>164</v>
      </c>
      <c r="F165" s="179" t="s">
        <v>604</v>
      </c>
      <c r="G165" s="286" t="s">
        <v>444</v>
      </c>
      <c r="H165" s="375">
        <v>40</v>
      </c>
      <c r="I165" s="378">
        <v>1</v>
      </c>
      <c r="J165" s="375"/>
      <c r="K165" s="378"/>
    </row>
    <row r="166" spans="2:11" x14ac:dyDescent="0.25">
      <c r="B166" s="178">
        <v>165</v>
      </c>
      <c r="C166" s="286"/>
      <c r="E166" s="378">
        <v>165</v>
      </c>
      <c r="F166" s="179" t="s">
        <v>605</v>
      </c>
      <c r="G166" s="286" t="s">
        <v>444</v>
      </c>
      <c r="H166" s="375">
        <v>93</v>
      </c>
      <c r="I166" s="378">
        <v>1</v>
      </c>
      <c r="J166" s="375"/>
      <c r="K166" s="378"/>
    </row>
    <row r="167" spans="2:11" x14ac:dyDescent="0.25">
      <c r="B167" s="178">
        <v>166</v>
      </c>
      <c r="C167" s="286"/>
      <c r="E167" s="378">
        <v>166</v>
      </c>
      <c r="F167" s="179" t="s">
        <v>606</v>
      </c>
      <c r="G167" s="286" t="s">
        <v>444</v>
      </c>
      <c r="H167" s="375">
        <v>376</v>
      </c>
      <c r="I167" s="378">
        <v>1</v>
      </c>
      <c r="J167" s="375"/>
      <c r="K167" s="378"/>
    </row>
    <row r="168" spans="2:11" x14ac:dyDescent="0.25">
      <c r="B168" s="178">
        <v>167</v>
      </c>
      <c r="C168" s="286"/>
      <c r="E168" s="378">
        <v>167</v>
      </c>
      <c r="F168" s="286" t="s">
        <v>625</v>
      </c>
      <c r="G168" s="286" t="s">
        <v>444</v>
      </c>
      <c r="H168" s="375">
        <v>190</v>
      </c>
      <c r="I168" s="378">
        <v>1</v>
      </c>
      <c r="J168" s="375"/>
      <c r="K168" s="378"/>
    </row>
    <row r="169" spans="2:11" x14ac:dyDescent="0.25">
      <c r="B169" s="178">
        <v>168</v>
      </c>
      <c r="C169" s="286"/>
      <c r="E169" s="378">
        <v>168</v>
      </c>
      <c r="F169" s="286" t="s">
        <v>626</v>
      </c>
      <c r="G169" s="286" t="s">
        <v>444</v>
      </c>
      <c r="H169" s="375">
        <v>375</v>
      </c>
      <c r="I169" s="378">
        <v>1</v>
      </c>
      <c r="J169" s="375"/>
      <c r="K169" s="378"/>
    </row>
    <row r="170" spans="2:11" x14ac:dyDescent="0.25">
      <c r="B170" s="178">
        <v>169</v>
      </c>
      <c r="C170" s="286"/>
      <c r="E170" s="378">
        <v>169</v>
      </c>
      <c r="F170" s="286" t="s">
        <v>627</v>
      </c>
      <c r="G170" s="286" t="s">
        <v>444</v>
      </c>
      <c r="H170" s="375">
        <v>520</v>
      </c>
      <c r="I170" s="378">
        <v>1</v>
      </c>
      <c r="J170" s="375"/>
      <c r="K170" s="378"/>
    </row>
    <row r="171" spans="2:11" x14ac:dyDescent="0.25">
      <c r="B171" s="178">
        <v>170</v>
      </c>
      <c r="C171" s="286"/>
      <c r="E171" s="378">
        <v>170</v>
      </c>
      <c r="F171" s="286" t="s">
        <v>628</v>
      </c>
      <c r="G171" s="286" t="s">
        <v>444</v>
      </c>
      <c r="H171" s="375">
        <v>115</v>
      </c>
      <c r="I171" s="378">
        <v>1</v>
      </c>
      <c r="J171" s="375"/>
      <c r="K171" s="378"/>
    </row>
    <row r="172" spans="2:11" x14ac:dyDescent="0.25">
      <c r="B172" s="178">
        <v>171</v>
      </c>
      <c r="C172" s="286"/>
      <c r="E172" s="378">
        <v>171</v>
      </c>
      <c r="F172" s="286" t="s">
        <v>629</v>
      </c>
      <c r="G172" s="286" t="s">
        <v>444</v>
      </c>
      <c r="H172" s="375">
        <v>60</v>
      </c>
      <c r="I172" s="378">
        <v>1</v>
      </c>
      <c r="J172" s="375"/>
      <c r="K172" s="378"/>
    </row>
    <row r="173" spans="2:11" x14ac:dyDescent="0.25">
      <c r="B173" s="178">
        <v>172</v>
      </c>
      <c r="C173" s="286"/>
      <c r="E173" s="378">
        <v>172</v>
      </c>
      <c r="F173" s="286" t="s">
        <v>630</v>
      </c>
      <c r="G173" s="286" t="s">
        <v>444</v>
      </c>
      <c r="H173" s="375">
        <v>54</v>
      </c>
      <c r="I173" s="378">
        <v>2</v>
      </c>
      <c r="J173" s="375"/>
      <c r="K173" s="378"/>
    </row>
    <row r="174" spans="2:11" x14ac:dyDescent="0.25">
      <c r="B174" s="178">
        <v>173</v>
      </c>
      <c r="C174" s="286"/>
      <c r="E174" s="378">
        <v>173</v>
      </c>
      <c r="F174" s="286" t="s">
        <v>631</v>
      </c>
      <c r="G174" s="286" t="s">
        <v>444</v>
      </c>
      <c r="H174" s="375">
        <v>68</v>
      </c>
      <c r="I174" s="378">
        <v>1</v>
      </c>
      <c r="J174" s="375"/>
      <c r="K174" s="378"/>
    </row>
    <row r="175" spans="2:11" x14ac:dyDescent="0.25">
      <c r="B175" s="178">
        <v>174</v>
      </c>
      <c r="C175" s="286"/>
      <c r="E175" s="378">
        <v>174</v>
      </c>
      <c r="F175" s="286" t="s">
        <v>632</v>
      </c>
      <c r="G175" s="286" t="s">
        <v>444</v>
      </c>
      <c r="H175" s="375">
        <v>85</v>
      </c>
      <c r="I175" s="378">
        <v>1</v>
      </c>
      <c r="J175" s="375"/>
      <c r="K175" s="378"/>
    </row>
    <row r="176" spans="2:11" x14ac:dyDescent="0.25">
      <c r="B176" s="178">
        <v>175</v>
      </c>
      <c r="C176" s="286"/>
      <c r="E176" s="378">
        <v>175</v>
      </c>
      <c r="F176" s="286" t="s">
        <v>633</v>
      </c>
      <c r="G176" s="286" t="s">
        <v>444</v>
      </c>
      <c r="H176" s="375">
        <v>60</v>
      </c>
      <c r="I176" s="378">
        <v>1</v>
      </c>
      <c r="J176" s="375"/>
      <c r="K176" s="378"/>
    </row>
    <row r="177" spans="5:11" x14ac:dyDescent="0.25">
      <c r="E177" s="378">
        <v>176</v>
      </c>
      <c r="F177" s="286" t="s">
        <v>634</v>
      </c>
      <c r="G177" s="286" t="s">
        <v>444</v>
      </c>
      <c r="H177" s="375">
        <v>80</v>
      </c>
      <c r="I177" s="378">
        <v>1</v>
      </c>
      <c r="J177" s="375"/>
      <c r="K177" s="378"/>
    </row>
    <row r="178" spans="5:11" x14ac:dyDescent="0.25">
      <c r="E178" s="378">
        <v>177</v>
      </c>
      <c r="F178" s="286" t="s">
        <v>635</v>
      </c>
      <c r="G178" s="286" t="s">
        <v>444</v>
      </c>
      <c r="H178" s="375">
        <v>138</v>
      </c>
      <c r="I178" s="378">
        <v>1</v>
      </c>
      <c r="J178" s="375"/>
      <c r="K178" s="378"/>
    </row>
    <row r="179" spans="5:11" x14ac:dyDescent="0.25">
      <c r="E179" s="378">
        <v>178</v>
      </c>
      <c r="F179" s="286" t="s">
        <v>636</v>
      </c>
      <c r="G179" s="286" t="s">
        <v>444</v>
      </c>
      <c r="H179" s="375">
        <v>175</v>
      </c>
      <c r="I179" s="378">
        <v>1</v>
      </c>
      <c r="J179" s="375"/>
      <c r="K179" s="378"/>
    </row>
    <row r="180" spans="5:11" x14ac:dyDescent="0.25">
      <c r="E180" s="378">
        <v>179</v>
      </c>
      <c r="F180" s="286" t="s">
        <v>637</v>
      </c>
      <c r="G180" s="286" t="s">
        <v>444</v>
      </c>
      <c r="H180" s="375">
        <v>32</v>
      </c>
      <c r="I180" s="378">
        <v>4</v>
      </c>
      <c r="J180" s="375"/>
      <c r="K180" s="378"/>
    </row>
    <row r="181" spans="5:11" x14ac:dyDescent="0.25">
      <c r="E181" s="378">
        <v>180</v>
      </c>
      <c r="F181" s="286" t="s">
        <v>638</v>
      </c>
      <c r="G181" s="286" t="s">
        <v>444</v>
      </c>
      <c r="H181" s="375">
        <v>2</v>
      </c>
      <c r="I181" s="378">
        <v>12</v>
      </c>
      <c r="J181" s="375"/>
      <c r="K181" s="378"/>
    </row>
    <row r="182" spans="5:11" x14ac:dyDescent="0.25">
      <c r="E182" s="378">
        <v>181</v>
      </c>
      <c r="F182" s="286" t="s">
        <v>639</v>
      </c>
      <c r="G182" s="286" t="s">
        <v>444</v>
      </c>
      <c r="H182" s="375">
        <v>10</v>
      </c>
      <c r="I182" s="378">
        <v>4</v>
      </c>
      <c r="J182" s="375"/>
      <c r="K182" s="378"/>
    </row>
    <row r="183" spans="5:11" x14ac:dyDescent="0.25">
      <c r="E183" s="378">
        <v>182</v>
      </c>
      <c r="F183" s="286" t="s">
        <v>691</v>
      </c>
      <c r="G183" s="286" t="s">
        <v>444</v>
      </c>
      <c r="H183" s="375">
        <v>10</v>
      </c>
      <c r="I183" s="378">
        <v>4</v>
      </c>
      <c r="J183" s="375"/>
      <c r="K183" s="378"/>
    </row>
    <row r="184" spans="5:11" x14ac:dyDescent="0.25">
      <c r="E184" s="378">
        <v>183</v>
      </c>
      <c r="F184" s="286" t="s">
        <v>654</v>
      </c>
      <c r="G184" s="286" t="s">
        <v>666</v>
      </c>
      <c r="H184" s="375">
        <v>114</v>
      </c>
      <c r="I184" s="378">
        <v>1</v>
      </c>
      <c r="J184" s="375"/>
      <c r="K184" s="378"/>
    </row>
    <row r="185" spans="5:11" x14ac:dyDescent="0.25">
      <c r="E185" s="378">
        <v>184</v>
      </c>
      <c r="F185" s="286" t="s">
        <v>655</v>
      </c>
      <c r="G185" s="286" t="s">
        <v>666</v>
      </c>
      <c r="H185" s="375">
        <v>114</v>
      </c>
      <c r="I185" s="378">
        <v>1</v>
      </c>
      <c r="J185" s="375"/>
      <c r="K185" s="378"/>
    </row>
    <row r="186" spans="5:11" x14ac:dyDescent="0.25">
      <c r="E186" s="378">
        <v>185</v>
      </c>
      <c r="F186" s="286" t="s">
        <v>681</v>
      </c>
      <c r="G186" s="286" t="s">
        <v>444</v>
      </c>
      <c r="H186" s="375">
        <v>112</v>
      </c>
      <c r="I186" s="378">
        <v>2</v>
      </c>
      <c r="J186" s="375"/>
      <c r="K186" s="378"/>
    </row>
    <row r="187" spans="5:11" x14ac:dyDescent="0.25">
      <c r="E187" s="378">
        <v>186</v>
      </c>
      <c r="F187" s="286" t="s">
        <v>680</v>
      </c>
      <c r="G187" s="286" t="s">
        <v>444</v>
      </c>
      <c r="H187" s="375">
        <v>43</v>
      </c>
      <c r="I187" s="378">
        <v>2</v>
      </c>
      <c r="J187" s="375"/>
      <c r="K187" s="378"/>
    </row>
    <row r="188" spans="5:11" x14ac:dyDescent="0.25">
      <c r="E188" s="378">
        <v>187</v>
      </c>
      <c r="F188" s="286" t="s">
        <v>682</v>
      </c>
      <c r="G188" s="286" t="s">
        <v>444</v>
      </c>
      <c r="H188" s="375">
        <v>195</v>
      </c>
      <c r="I188" s="378">
        <v>2</v>
      </c>
      <c r="J188" s="375"/>
      <c r="K188" s="378"/>
    </row>
    <row r="189" spans="5:11" x14ac:dyDescent="0.25">
      <c r="E189" s="378">
        <v>188</v>
      </c>
      <c r="F189" s="286" t="s">
        <v>683</v>
      </c>
      <c r="G189" s="286" t="s">
        <v>444</v>
      </c>
      <c r="H189" s="375">
        <v>75</v>
      </c>
      <c r="I189" s="378">
        <v>2</v>
      </c>
      <c r="J189" s="375"/>
      <c r="K189" s="378"/>
    </row>
    <row r="190" spans="5:11" x14ac:dyDescent="0.25">
      <c r="E190" s="378">
        <v>189</v>
      </c>
      <c r="F190" s="286" t="s">
        <v>685</v>
      </c>
      <c r="G190" s="286" t="s">
        <v>666</v>
      </c>
      <c r="H190" s="375">
        <v>48</v>
      </c>
      <c r="I190" s="378">
        <v>1</v>
      </c>
      <c r="J190" s="375"/>
      <c r="K190" s="378"/>
    </row>
  </sheetData>
  <autoFilter ref="B1:K119" xr:uid="{00000000-0001-0000-0000-000000000000}"/>
  <phoneticPr fontId="4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1">
    <tabColor rgb="FFFFD1D1"/>
  </sheetPr>
  <dimension ref="A3:AD13"/>
  <sheetViews>
    <sheetView workbookViewId="0">
      <selection activeCell="W20" sqref="W20"/>
    </sheetView>
  </sheetViews>
  <sheetFormatPr baseColWidth="10" defaultRowHeight="15" x14ac:dyDescent="0.25"/>
  <cols>
    <col min="1" max="1" width="6.140625" customWidth="1"/>
    <col min="2" max="4" width="7.5703125" bestFit="1" customWidth="1"/>
    <col min="5" max="5" width="12.7109375" bestFit="1" customWidth="1"/>
    <col min="6" max="6" width="7.140625" bestFit="1" customWidth="1"/>
    <col min="7" max="7" width="12.7109375" bestFit="1" customWidth="1"/>
    <col min="8" max="8" width="7.140625" bestFit="1" customWidth="1"/>
    <col min="9" max="9" width="6.140625" bestFit="1" customWidth="1"/>
    <col min="10" max="12" width="12.28515625" bestFit="1" customWidth="1"/>
    <col min="13" max="14" width="8.7109375" bestFit="1" customWidth="1"/>
    <col min="15" max="16" width="11.85546875" bestFit="1" customWidth="1"/>
    <col min="17" max="17" width="8" bestFit="1" customWidth="1"/>
    <col min="18" max="18" width="9.7109375" bestFit="1" customWidth="1"/>
    <col min="19" max="20" width="8.7109375" bestFit="1" customWidth="1"/>
    <col min="21" max="22" width="7.28515625" bestFit="1" customWidth="1"/>
    <col min="23" max="24" width="7.7109375" style="56" bestFit="1" customWidth="1"/>
    <col min="25" max="25" width="7.28515625" style="56" bestFit="1" customWidth="1"/>
    <col min="26" max="26" width="9.7109375" style="56" bestFit="1" customWidth="1"/>
    <col min="27" max="27" width="8.7109375" style="56" bestFit="1" customWidth="1"/>
    <col min="28" max="29" width="7.28515625" style="56" bestFit="1" customWidth="1"/>
    <col min="30" max="30" width="6.140625" bestFit="1" customWidth="1"/>
    <col min="31" max="31" width="9.7109375" bestFit="1" customWidth="1"/>
    <col min="32" max="32" width="8" bestFit="1" customWidth="1"/>
    <col min="33" max="33" width="8.7109375" bestFit="1" customWidth="1"/>
    <col min="34" max="34" width="10.7109375" bestFit="1" customWidth="1"/>
    <col min="35" max="35" width="9.7109375" bestFit="1" customWidth="1"/>
    <col min="36" max="36" width="8.42578125" customWidth="1"/>
    <col min="37" max="37" width="8.85546875" customWidth="1"/>
    <col min="38" max="38" width="8.7109375" bestFit="1" customWidth="1"/>
    <col min="39" max="39" width="9.7109375" bestFit="1" customWidth="1"/>
  </cols>
  <sheetData>
    <row r="3" spans="1:30" x14ac:dyDescent="0.25">
      <c r="A3" s="49" t="str">
        <f>CONCATENATE("COSTOS DE ",Ordenes!B7)</f>
        <v>COSTOS DE BALDE PLAYERO ROMANO</v>
      </c>
      <c r="B3" s="43"/>
      <c r="C3" s="43"/>
      <c r="D3" s="43"/>
      <c r="E3" s="42"/>
      <c r="F3" s="42"/>
      <c r="G3" s="42"/>
      <c r="H3" s="42"/>
      <c r="I3" s="53"/>
      <c r="J3" s="53"/>
      <c r="K3" s="53"/>
      <c r="L3" s="53"/>
      <c r="M3" s="53" t="s">
        <v>448</v>
      </c>
      <c r="N3" s="53"/>
      <c r="O3" s="53"/>
      <c r="P3" s="42"/>
      <c r="Q3" s="42"/>
      <c r="R3" s="42"/>
      <c r="S3" s="42"/>
      <c r="T3" s="42"/>
      <c r="U3" s="42"/>
      <c r="V3" s="42"/>
      <c r="W3" s="42"/>
      <c r="X3" s="42"/>
      <c r="Y3" s="42"/>
    </row>
    <row r="4" spans="1:30" ht="38.25" x14ac:dyDescent="0.25">
      <c r="A4" s="34" t="s">
        <v>1</v>
      </c>
      <c r="B4" s="41" t="s">
        <v>139</v>
      </c>
      <c r="C4" s="41" t="s">
        <v>140</v>
      </c>
      <c r="D4" s="41" t="s">
        <v>91</v>
      </c>
      <c r="E4" s="41" t="s">
        <v>125</v>
      </c>
      <c r="F4" s="41" t="s">
        <v>126</v>
      </c>
      <c r="G4" s="41" t="s">
        <v>127</v>
      </c>
      <c r="H4" s="41" t="s">
        <v>128</v>
      </c>
      <c r="I4" s="41" t="s">
        <v>129</v>
      </c>
      <c r="J4" s="54" t="s">
        <v>175</v>
      </c>
      <c r="K4" s="54" t="s">
        <v>176</v>
      </c>
      <c r="L4" s="54" t="s">
        <v>177</v>
      </c>
      <c r="M4" s="54" t="s">
        <v>178</v>
      </c>
      <c r="N4" s="54" t="s">
        <v>179</v>
      </c>
      <c r="O4" s="54" t="s">
        <v>180</v>
      </c>
      <c r="P4" s="54" t="s">
        <v>181</v>
      </c>
      <c r="Q4" s="54" t="s">
        <v>199</v>
      </c>
      <c r="R4" s="34" t="s">
        <v>147</v>
      </c>
      <c r="S4" s="34" t="s">
        <v>148</v>
      </c>
      <c r="T4" s="34" t="s">
        <v>130</v>
      </c>
      <c r="U4" s="40" t="s">
        <v>182</v>
      </c>
      <c r="V4" s="34" t="s">
        <v>183</v>
      </c>
      <c r="W4" s="34" t="s">
        <v>184</v>
      </c>
      <c r="X4" s="34" t="s">
        <v>185</v>
      </c>
      <c r="Y4" s="34" t="s">
        <v>131</v>
      </c>
      <c r="Z4" s="34" t="s">
        <v>92</v>
      </c>
      <c r="AA4" s="54" t="s">
        <v>587</v>
      </c>
      <c r="AB4" s="54" t="s">
        <v>588</v>
      </c>
      <c r="AC4" s="54" t="s">
        <v>589</v>
      </c>
      <c r="AD4" s="54"/>
    </row>
    <row r="5" spans="1:30" x14ac:dyDescent="0.25">
      <c r="A5" s="30">
        <v>1</v>
      </c>
      <c r="B5" s="45">
        <f>+DATOS!$J$3</f>
        <v>5.5778599999999994</v>
      </c>
      <c r="C5" s="45">
        <f>+DATOS!$J$4</f>
        <v>5.6932639999999992</v>
      </c>
      <c r="D5" s="45">
        <f>DATOS!$J$5</f>
        <v>4</v>
      </c>
      <c r="E5" s="45">
        <f>IFERROR(VLOOKUP(Ordenes!B40,DATOS!$A$3:$B$20,2,FALSE),0)</f>
        <v>50</v>
      </c>
      <c r="F5" s="45">
        <f>IFERROR(VLOOKUP(Ordenes!C40,DATOS!$A$3:$B$20,2,FALSE),0)</f>
        <v>50</v>
      </c>
      <c r="G5" s="45">
        <f>IFERROR(VLOOKUP(Ordenes!D40,DATOS!$A$3:$B$20,2,FALSE),0)</f>
        <v>0</v>
      </c>
      <c r="H5" s="45">
        <f>IFERROR(VLOOKUP(Ordenes!E40,DATOS!$A$3:$B$20,2,FALSE),0)</f>
        <v>0</v>
      </c>
      <c r="I5" s="45">
        <f>+DATOS!$M$3</f>
        <v>4.5454545454545459</v>
      </c>
      <c r="J5" s="45">
        <f>IF(Ordenes!$D$21=Ordenes!$L$21,Ordenes!G27*Ordenes!J27,Ordenes!G27*Ordenes!K27)</f>
        <v>89.499935433884318</v>
      </c>
      <c r="K5" s="45">
        <f>IF(Ordenes!$D$21=Ordenes!$L$21,Ordenes!H27*Ordenes!J27,Ordenes!H27*Ordenes!K27)</f>
        <v>0</v>
      </c>
      <c r="L5" s="45">
        <f>IF(Ordenes!$D$21=Ordenes!$L$21,Ordenes!I27*Ordenes!J27,Ordenes!I27*Ordenes!K27)</f>
        <v>89.499935433884318</v>
      </c>
      <c r="M5" s="220">
        <f>IFERROR(Ordenes!$K27*Ordenes!F40/12.5,0)</f>
        <v>429.59969008264471</v>
      </c>
      <c r="N5" s="220">
        <f>IFERROR(Ordenes!$K27/12.5*Ordenes!G40,0)</f>
        <v>71.599948347107457</v>
      </c>
      <c r="O5" s="220">
        <f>IFERROR(Ordenes!$K27/12.5*Ordenes!H40,0)</f>
        <v>0</v>
      </c>
      <c r="P5" s="45">
        <f>IFERROR(Ordenes!$K27/12.5*Ordenes!I40,0)</f>
        <v>0</v>
      </c>
      <c r="Q5" s="45">
        <f>+Ordenes!K40</f>
        <v>8.3812260536398462</v>
      </c>
      <c r="R5" s="45">
        <f t="shared" ref="R5:T10" si="0">+B5*J5</f>
        <v>499.21810985924594</v>
      </c>
      <c r="S5" s="45">
        <f t="shared" si="0"/>
        <v>0</v>
      </c>
      <c r="T5" s="45">
        <f t="shared" si="0"/>
        <v>357.99974173553727</v>
      </c>
      <c r="U5" s="75">
        <f>+E5*M5/1000</f>
        <v>21.479984504132236</v>
      </c>
      <c r="V5" s="75">
        <f t="shared" ref="U5:X10" si="1">+F5*N5/1000</f>
        <v>3.579997417355373</v>
      </c>
      <c r="W5" s="75">
        <f t="shared" si="1"/>
        <v>0</v>
      </c>
      <c r="X5" s="75">
        <f t="shared" si="1"/>
        <v>0</v>
      </c>
      <c r="Y5" s="45">
        <f t="shared" ref="Y5:Y10" si="2">+Q5*I5</f>
        <v>38.096482061999303</v>
      </c>
      <c r="Z5" s="47">
        <f t="shared" ref="Z5:Z10" si="3">SUM(R5:Y5)</f>
        <v>920.37431557827017</v>
      </c>
      <c r="AA5" s="461">
        <f>25*Ordenes!G27</f>
        <v>12.5</v>
      </c>
      <c r="AB5" s="461">
        <f>25*Ordenes!H27</f>
        <v>0</v>
      </c>
      <c r="AC5" s="461">
        <f>25*Ordenes!I27</f>
        <v>12.5</v>
      </c>
    </row>
    <row r="6" spans="1:30" x14ac:dyDescent="0.25">
      <c r="A6" s="30">
        <v>2</v>
      </c>
      <c r="B6" s="45">
        <f>+DATOS!$J$3</f>
        <v>5.5778599999999994</v>
      </c>
      <c r="C6" s="45">
        <f>+DATOS!$J$4</f>
        <v>5.6932639999999992</v>
      </c>
      <c r="D6" s="45">
        <f>DATOS!$J$5</f>
        <v>4</v>
      </c>
      <c r="E6" s="45">
        <f>IFERROR(VLOOKUP(Ordenes!B41,DATOS!$A$3:$B$20,2,FALSE),0)</f>
        <v>0</v>
      </c>
      <c r="F6" s="45">
        <f>IFERROR(VLOOKUP(Ordenes!C41,DATOS!$A$3:$B$20,2,FALSE),0)</f>
        <v>50</v>
      </c>
      <c r="G6" s="45">
        <f>IFERROR(VLOOKUP(Ordenes!D41,DATOS!$A$3:$B$20,2,FALSE),0)</f>
        <v>0</v>
      </c>
      <c r="H6" s="45">
        <f>IFERROR(VLOOKUP(Ordenes!E41,DATOS!$A$3:$B$20,2,FALSE),0)</f>
        <v>0</v>
      </c>
      <c r="I6" s="45">
        <f>+DATOS!$M$3</f>
        <v>4.5454545454545459</v>
      </c>
      <c r="J6" s="45">
        <f>IF(Ordenes!$D$21=Ordenes!$L$21,Ordenes!G28*Ordenes!J28,Ordenes!G28*Ordenes!K28)</f>
        <v>89.499935433884318</v>
      </c>
      <c r="K6" s="45">
        <f>IF(Ordenes!$D$21=Ordenes!$L$21,Ordenes!H28*Ordenes!J28,Ordenes!H28*Ordenes!K28)</f>
        <v>0</v>
      </c>
      <c r="L6" s="45">
        <f>IF(Ordenes!$D$21=Ordenes!$L$21,Ordenes!I28*Ordenes!J28,Ordenes!I28*Ordenes!K28)</f>
        <v>89.499935433884318</v>
      </c>
      <c r="M6" s="220">
        <f>IFERROR(Ordenes!$K28*Ordenes!F41/12.5,0)</f>
        <v>859.19938016528943</v>
      </c>
      <c r="N6" s="220">
        <f>IFERROR(Ordenes!$K28/12.5*Ordenes!G41,0)</f>
        <v>71.599948347107457</v>
      </c>
      <c r="O6" s="220">
        <f>IFERROR(Ordenes!$K28/12.5*Ordenes!H41,0)</f>
        <v>0</v>
      </c>
      <c r="P6" s="45">
        <f>IFERROR(Ordenes!$K28/12.5*Ordenes!I41,0)</f>
        <v>0</v>
      </c>
      <c r="Q6" s="45">
        <f>+Ordenes!K41</f>
        <v>8.3812260536398462</v>
      </c>
      <c r="R6" s="45">
        <f t="shared" si="0"/>
        <v>499.21810985924594</v>
      </c>
      <c r="S6" s="45">
        <f t="shared" si="0"/>
        <v>0</v>
      </c>
      <c r="T6" s="45">
        <f t="shared" si="0"/>
        <v>357.99974173553727</v>
      </c>
      <c r="U6" s="75">
        <f t="shared" si="1"/>
        <v>0</v>
      </c>
      <c r="V6" s="75">
        <f t="shared" si="1"/>
        <v>3.579997417355373</v>
      </c>
      <c r="W6" s="75">
        <f t="shared" si="1"/>
        <v>0</v>
      </c>
      <c r="X6" s="75">
        <f t="shared" si="1"/>
        <v>0</v>
      </c>
      <c r="Y6" s="45">
        <f t="shared" si="2"/>
        <v>38.096482061999303</v>
      </c>
      <c r="Z6" s="47">
        <f t="shared" si="3"/>
        <v>898.89433107413788</v>
      </c>
      <c r="AA6" s="461">
        <f>25*Ordenes!G28</f>
        <v>12.5</v>
      </c>
      <c r="AB6" s="461">
        <f>25*Ordenes!H28</f>
        <v>0</v>
      </c>
      <c r="AC6" s="461">
        <f>25*Ordenes!I28</f>
        <v>12.5</v>
      </c>
    </row>
    <row r="7" spans="1:30" x14ac:dyDescent="0.25">
      <c r="A7" s="30">
        <v>3</v>
      </c>
      <c r="B7" s="45">
        <f>+DATOS!$J$3</f>
        <v>5.5778599999999994</v>
      </c>
      <c r="C7" s="45">
        <f>+DATOS!$J$4</f>
        <v>5.6932639999999992</v>
      </c>
      <c r="D7" s="45">
        <f>DATOS!$J$5</f>
        <v>4</v>
      </c>
      <c r="E7" s="45">
        <f>IFERROR(VLOOKUP(Ordenes!B42,DATOS!$A$3:$B$20,2,FALSE),0)</f>
        <v>50</v>
      </c>
      <c r="F7" s="45">
        <f>IFERROR(VLOOKUP(Ordenes!C42,DATOS!$A$3:$B$20,2,FALSE),0)</f>
        <v>50</v>
      </c>
      <c r="G7" s="45">
        <f>IFERROR(VLOOKUP(Ordenes!D42,DATOS!$A$3:$B$20,2,FALSE),0)</f>
        <v>0</v>
      </c>
      <c r="H7" s="45">
        <f>IFERROR(VLOOKUP(Ordenes!E42,DATOS!$A$3:$B$20,2,FALSE),0)</f>
        <v>0</v>
      </c>
      <c r="I7" s="45">
        <f>+DATOS!$M$3</f>
        <v>4.5454545454545459</v>
      </c>
      <c r="J7" s="45">
        <f>IF(Ordenes!$D$21=Ordenes!$L$21,Ordenes!G29*Ordenes!J29,Ordenes!G29*Ordenes!K29)</f>
        <v>89.499935433884318</v>
      </c>
      <c r="K7" s="45">
        <f>IF(Ordenes!$D$21=Ordenes!$L$21,Ordenes!H29*Ordenes!J29,Ordenes!H29*Ordenes!K29)</f>
        <v>0</v>
      </c>
      <c r="L7" s="45">
        <f>IF(Ordenes!$D$21=Ordenes!$L$21,Ordenes!I29*Ordenes!J29,Ordenes!I29*Ordenes!K29)</f>
        <v>89.499935433884318</v>
      </c>
      <c r="M7" s="220">
        <f>IFERROR(Ordenes!$K29*Ordenes!F42/12.5,0)</f>
        <v>572.79958677685966</v>
      </c>
      <c r="N7" s="220">
        <f>IFERROR(Ordenes!$K29/12.5*Ordenes!G42,0)</f>
        <v>71.599948347107457</v>
      </c>
      <c r="O7" s="220">
        <f>IFERROR(Ordenes!$K29/12.5*Ordenes!H42,0)</f>
        <v>0</v>
      </c>
      <c r="P7" s="45">
        <f>IFERROR(Ordenes!$K29/12.5*Ordenes!I42,0)</f>
        <v>0</v>
      </c>
      <c r="Q7" s="45">
        <f>+Ordenes!K42</f>
        <v>8.3812260536398462</v>
      </c>
      <c r="R7" s="45">
        <f t="shared" si="0"/>
        <v>499.21810985924594</v>
      </c>
      <c r="S7" s="45">
        <f t="shared" si="0"/>
        <v>0</v>
      </c>
      <c r="T7" s="45">
        <f t="shared" si="0"/>
        <v>357.99974173553727</v>
      </c>
      <c r="U7" s="75">
        <f t="shared" si="1"/>
        <v>28.639979338842984</v>
      </c>
      <c r="V7" s="75">
        <f t="shared" si="1"/>
        <v>3.579997417355373</v>
      </c>
      <c r="W7" s="75">
        <f t="shared" si="1"/>
        <v>0</v>
      </c>
      <c r="X7" s="75">
        <f t="shared" si="1"/>
        <v>0</v>
      </c>
      <c r="Y7" s="45">
        <f t="shared" si="2"/>
        <v>38.096482061999303</v>
      </c>
      <c r="Z7" s="47">
        <f t="shared" si="3"/>
        <v>927.53431041298086</v>
      </c>
      <c r="AA7" s="461">
        <f>25*Ordenes!G29</f>
        <v>12.5</v>
      </c>
      <c r="AB7" s="461">
        <f>25*Ordenes!H29</f>
        <v>0</v>
      </c>
      <c r="AC7" s="461">
        <f>25*Ordenes!I29</f>
        <v>12.5</v>
      </c>
    </row>
    <row r="8" spans="1:30" x14ac:dyDescent="0.25">
      <c r="A8" s="30">
        <v>4</v>
      </c>
      <c r="B8" s="45">
        <f>+DATOS!$J$3</f>
        <v>5.5778599999999994</v>
      </c>
      <c r="C8" s="45">
        <f>+DATOS!$J$4</f>
        <v>5.6932639999999992</v>
      </c>
      <c r="D8" s="45">
        <f>DATOS!$J$5</f>
        <v>4</v>
      </c>
      <c r="E8" s="45">
        <f>IFERROR(VLOOKUP(Ordenes!B43,DATOS!$A$3:$B$20,2,FALSE),0)</f>
        <v>50</v>
      </c>
      <c r="F8" s="45">
        <f>IFERROR(VLOOKUP(Ordenes!C43,DATOS!$A$3:$B$20,2,FALSE),0)</f>
        <v>50</v>
      </c>
      <c r="G8" s="45">
        <f>IFERROR(VLOOKUP(Ordenes!D43,DATOS!$A$3:$B$20,2,FALSE),0)</f>
        <v>0</v>
      </c>
      <c r="H8" s="45">
        <f>IFERROR(VLOOKUP(Ordenes!E43,DATOS!$A$3:$B$20,2,FALSE),0)</f>
        <v>0</v>
      </c>
      <c r="I8" s="45">
        <f>+DATOS!$M$3</f>
        <v>4.5454545454545459</v>
      </c>
      <c r="J8" s="45">
        <f>IF(Ordenes!$D$21=Ordenes!$L$21,Ordenes!G30*Ordenes!J30,Ordenes!G30*Ordenes!K30)</f>
        <v>89.499935433884318</v>
      </c>
      <c r="K8" s="45">
        <f>IF(Ordenes!$D$21=Ordenes!$L$21,Ordenes!H30*Ordenes!J30,Ordenes!H30*Ordenes!K30)</f>
        <v>0</v>
      </c>
      <c r="L8" s="45">
        <f>IF(Ordenes!$D$21=Ordenes!$L$21,Ordenes!I30*Ordenes!J30,Ordenes!I30*Ordenes!K30)</f>
        <v>89.499935433884318</v>
      </c>
      <c r="M8" s="220">
        <f>IFERROR(Ordenes!$K30*Ordenes!F43/12.5,0)</f>
        <v>572.79958677685966</v>
      </c>
      <c r="N8" s="220">
        <f>IFERROR(Ordenes!$K30/12.5*Ordenes!G43,0)</f>
        <v>71.599948347107457</v>
      </c>
      <c r="O8" s="220">
        <f>IFERROR(Ordenes!$K30/12.5*Ordenes!H43,0)</f>
        <v>0</v>
      </c>
      <c r="P8" s="45">
        <f>IFERROR(Ordenes!$K30/12.5*Ordenes!I43,0)</f>
        <v>0</v>
      </c>
      <c r="Q8" s="45">
        <f>+Ordenes!K43</f>
        <v>8.3812260536398462</v>
      </c>
      <c r="R8" s="45">
        <f t="shared" si="0"/>
        <v>499.21810985924594</v>
      </c>
      <c r="S8" s="45">
        <f t="shared" si="0"/>
        <v>0</v>
      </c>
      <c r="T8" s="45">
        <f t="shared" si="0"/>
        <v>357.99974173553727</v>
      </c>
      <c r="U8" s="75">
        <f t="shared" si="1"/>
        <v>28.639979338842984</v>
      </c>
      <c r="V8" s="75">
        <f t="shared" si="1"/>
        <v>3.579997417355373</v>
      </c>
      <c r="W8" s="75">
        <f t="shared" si="1"/>
        <v>0</v>
      </c>
      <c r="X8" s="75">
        <f t="shared" si="1"/>
        <v>0</v>
      </c>
      <c r="Y8" s="45">
        <f t="shared" si="2"/>
        <v>38.096482061999303</v>
      </c>
      <c r="Z8" s="47">
        <f t="shared" si="3"/>
        <v>927.53431041298086</v>
      </c>
      <c r="AA8" s="461">
        <f>25*Ordenes!G30</f>
        <v>12.5</v>
      </c>
      <c r="AB8" s="461">
        <f>25*Ordenes!H30</f>
        <v>0</v>
      </c>
      <c r="AC8" s="461">
        <f>25*Ordenes!I30</f>
        <v>12.5</v>
      </c>
    </row>
    <row r="9" spans="1:30" x14ac:dyDescent="0.25">
      <c r="A9" s="30">
        <v>5</v>
      </c>
      <c r="B9" s="45">
        <f>+DATOS!$J$3</f>
        <v>5.5778599999999994</v>
      </c>
      <c r="C9" s="45">
        <f>+DATOS!$J$4</f>
        <v>5.6932639999999992</v>
      </c>
      <c r="D9" s="45">
        <f>DATOS!$J$5</f>
        <v>4</v>
      </c>
      <c r="E9" s="45">
        <f>IFERROR(VLOOKUP(Ordenes!B44,DATOS!$A$3:$B$20,2,FALSE),0)</f>
        <v>50</v>
      </c>
      <c r="F9" s="45">
        <f>IFERROR(VLOOKUP(Ordenes!C44,DATOS!$A$3:$B$20,2,FALSE),0)</f>
        <v>50</v>
      </c>
      <c r="G9" s="45">
        <f>IFERROR(VLOOKUP(Ordenes!D44,DATOS!$A$3:$B$20,2,FALSE),0)</f>
        <v>50</v>
      </c>
      <c r="H9" s="45">
        <f>IFERROR(VLOOKUP(Ordenes!E44,DATOS!$A$3:$B$20,2,FALSE),0)</f>
        <v>0</v>
      </c>
      <c r="I9" s="45">
        <f>+DATOS!$M$3</f>
        <v>4.5454545454545459</v>
      </c>
      <c r="J9" s="45">
        <f>IF(Ordenes!$D$21=Ordenes!$L$21,Ordenes!G31*Ordenes!J31,Ordenes!G31*Ordenes!K31)</f>
        <v>89.499935433884318</v>
      </c>
      <c r="K9" s="45">
        <f>IF(Ordenes!$D$21=Ordenes!$L$21,Ordenes!H31*Ordenes!J31,Ordenes!H31*Ordenes!K31)</f>
        <v>0</v>
      </c>
      <c r="L9" s="45">
        <f>IF(Ordenes!$D$21=Ordenes!$L$21,Ordenes!I31*Ordenes!J31,Ordenes!I31*Ordenes!K31)</f>
        <v>89.499935433884318</v>
      </c>
      <c r="M9" s="220">
        <f>IFERROR(Ordenes!$K31*Ordenes!F44/12.5,0)</f>
        <v>286.39979338842983</v>
      </c>
      <c r="N9" s="220">
        <f>IFERROR(Ordenes!$K31/12.5*Ordenes!G44,0)</f>
        <v>71.599948347107457</v>
      </c>
      <c r="O9" s="220">
        <f>IFERROR(Ordenes!$K31/12.5*Ordenes!H44,0)</f>
        <v>71.599948347107457</v>
      </c>
      <c r="P9" s="45">
        <f>IFERROR(Ordenes!$K31/12.5*Ordenes!I44,0)</f>
        <v>0</v>
      </c>
      <c r="Q9" s="45">
        <f>+Ordenes!K44</f>
        <v>8.3812260536398462</v>
      </c>
      <c r="R9" s="45">
        <f t="shared" si="0"/>
        <v>499.21810985924594</v>
      </c>
      <c r="S9" s="45">
        <f t="shared" si="0"/>
        <v>0</v>
      </c>
      <c r="T9" s="45">
        <f t="shared" si="0"/>
        <v>357.99974173553727</v>
      </c>
      <c r="U9" s="75">
        <f t="shared" si="1"/>
        <v>14.319989669421492</v>
      </c>
      <c r="V9" s="75">
        <f t="shared" si="1"/>
        <v>3.579997417355373</v>
      </c>
      <c r="W9" s="75">
        <f t="shared" si="1"/>
        <v>3.579997417355373</v>
      </c>
      <c r="X9" s="75">
        <f t="shared" si="1"/>
        <v>0</v>
      </c>
      <c r="Y9" s="45">
        <f t="shared" si="2"/>
        <v>38.096482061999303</v>
      </c>
      <c r="Z9" s="47">
        <f t="shared" si="3"/>
        <v>916.79431816091471</v>
      </c>
      <c r="AA9" s="461">
        <f>25*Ordenes!G31</f>
        <v>12.5</v>
      </c>
      <c r="AB9" s="461">
        <f>25*Ordenes!H31</f>
        <v>0</v>
      </c>
      <c r="AC9" s="461">
        <f>25*Ordenes!I31</f>
        <v>12.5</v>
      </c>
    </row>
    <row r="10" spans="1:30" x14ac:dyDescent="0.25">
      <c r="A10" s="30">
        <v>6</v>
      </c>
      <c r="B10" s="45">
        <f>+DATOS!$J$3</f>
        <v>5.5778599999999994</v>
      </c>
      <c r="C10" s="45">
        <f>+DATOS!$J$4</f>
        <v>5.6932639999999992</v>
      </c>
      <c r="D10" s="45">
        <f>DATOS!$J$5</f>
        <v>4</v>
      </c>
      <c r="E10" s="45">
        <f>IFERROR(VLOOKUP(Ordenes!B45,DATOS!$A$3:$B$20,2,FALSE),0)</f>
        <v>50</v>
      </c>
      <c r="F10" s="45">
        <f>IFERROR(VLOOKUP(Ordenes!C45,DATOS!$A$3:$B$20,2,FALSE),0)</f>
        <v>50</v>
      </c>
      <c r="G10" s="45">
        <f>IFERROR(VLOOKUP(Ordenes!D45,DATOS!$A$3:$B$20,2,FALSE),0)</f>
        <v>0</v>
      </c>
      <c r="H10" s="45">
        <f>IFERROR(VLOOKUP(Ordenes!E45,DATOS!$A$3:$B$20,2,FALSE),0)</f>
        <v>0</v>
      </c>
      <c r="I10" s="45">
        <f>+DATOS!$M$3</f>
        <v>4.5454545454545459</v>
      </c>
      <c r="J10" s="45">
        <f>IF(Ordenes!$D$21=Ordenes!$L$21,Ordenes!G32*Ordenes!J32,Ordenes!G32*Ordenes!K32)</f>
        <v>89.499935433884318</v>
      </c>
      <c r="K10" s="45">
        <f>IF(Ordenes!$D$21=Ordenes!$L$21,Ordenes!H32*Ordenes!J32,Ordenes!H32*Ordenes!K32)</f>
        <v>0</v>
      </c>
      <c r="L10" s="45">
        <f>IF(Ordenes!$D$21=Ordenes!$L$21,Ordenes!I32*Ordenes!J32,Ordenes!I32*Ordenes!K32)</f>
        <v>89.499935433884318</v>
      </c>
      <c r="M10" s="220">
        <f>IFERROR(Ordenes!$K32*Ordenes!F45/12.5,0)</f>
        <v>71.599948347107457</v>
      </c>
      <c r="N10" s="220">
        <f>IFERROR(Ordenes!$K32/12.5*Ordenes!G45,0)</f>
        <v>572.79958677685966</v>
      </c>
      <c r="O10" s="220">
        <f>IFERROR(Ordenes!$K32/12.5*Ordenes!H45,0)</f>
        <v>601.43956611570263</v>
      </c>
      <c r="P10" s="45">
        <f>IFERROR(Ordenes!$K32/12.5*Ordenes!I45,0)</f>
        <v>0</v>
      </c>
      <c r="Q10" s="45">
        <f>+Ordenes!K45</f>
        <v>8.3812260536398462</v>
      </c>
      <c r="R10" s="45">
        <f t="shared" si="0"/>
        <v>499.21810985924594</v>
      </c>
      <c r="S10" s="45">
        <f t="shared" si="0"/>
        <v>0</v>
      </c>
      <c r="T10" s="45">
        <f t="shared" si="0"/>
        <v>357.99974173553727</v>
      </c>
      <c r="U10" s="75">
        <f t="shared" si="1"/>
        <v>3.579997417355373</v>
      </c>
      <c r="V10" s="75">
        <f t="shared" si="1"/>
        <v>28.639979338842984</v>
      </c>
      <c r="W10" s="75">
        <f t="shared" si="1"/>
        <v>0</v>
      </c>
      <c r="X10" s="75">
        <f t="shared" si="1"/>
        <v>0</v>
      </c>
      <c r="Y10" s="45">
        <f t="shared" si="2"/>
        <v>38.096482061999303</v>
      </c>
      <c r="Z10" s="47">
        <f t="shared" si="3"/>
        <v>927.53431041298086</v>
      </c>
      <c r="AA10" s="461">
        <f>25*Ordenes!G32</f>
        <v>12.5</v>
      </c>
      <c r="AB10" s="461">
        <f>25*Ordenes!H32</f>
        <v>0</v>
      </c>
      <c r="AC10" s="461">
        <f>25*Ordenes!I32</f>
        <v>12.5</v>
      </c>
    </row>
    <row r="11" spans="1:30" x14ac:dyDescent="0.25">
      <c r="A11" s="42"/>
      <c r="B11" s="46"/>
      <c r="C11" s="46"/>
      <c r="D11" s="46"/>
      <c r="E11" s="46"/>
      <c r="F11" s="46"/>
      <c r="G11" s="46"/>
      <c r="H11" s="46"/>
      <c r="I11" s="46"/>
      <c r="J11" s="55">
        <f>SUM(J5:J10)</f>
        <v>536.99961260330588</v>
      </c>
      <c r="K11" s="55">
        <f>SUM(K5:K10)</f>
        <v>0</v>
      </c>
      <c r="L11" s="55">
        <f>SUM(L5:L10)</f>
        <v>536.99961260330588</v>
      </c>
      <c r="M11" s="55">
        <f>SUM(M5:M10)</f>
        <v>2792.3979855371904</v>
      </c>
      <c r="N11" s="55">
        <f t="shared" ref="N11:Z11" si="4">SUM(N5:N10)</f>
        <v>930.79932851239687</v>
      </c>
      <c r="O11" s="55">
        <f t="shared" si="4"/>
        <v>673.03951446281008</v>
      </c>
      <c r="P11" s="55">
        <f t="shared" si="4"/>
        <v>0</v>
      </c>
      <c r="Q11" s="55">
        <f t="shared" si="4"/>
        <v>50.287356321839084</v>
      </c>
      <c r="R11" s="48">
        <f t="shared" si="4"/>
        <v>2995.3086591554757</v>
      </c>
      <c r="S11" s="48">
        <f t="shared" si="4"/>
        <v>0</v>
      </c>
      <c r="T11" s="48">
        <f t="shared" si="4"/>
        <v>2147.9984504132235</v>
      </c>
      <c r="U11" s="48">
        <f t="shared" si="4"/>
        <v>96.659930268595076</v>
      </c>
      <c r="V11" s="48">
        <f t="shared" si="4"/>
        <v>46.539966425619852</v>
      </c>
      <c r="W11" s="48">
        <f t="shared" si="4"/>
        <v>3.579997417355373</v>
      </c>
      <c r="X11" s="48">
        <f t="shared" si="4"/>
        <v>0</v>
      </c>
      <c r="Y11" s="48">
        <f t="shared" si="4"/>
        <v>228.57889237199581</v>
      </c>
      <c r="Z11" s="47">
        <f t="shared" si="4"/>
        <v>5518.6658960522645</v>
      </c>
    </row>
    <row r="12" spans="1:3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53"/>
      <c r="K12" s="53"/>
      <c r="L12" s="53"/>
      <c r="M12" s="53"/>
      <c r="N12" s="53"/>
      <c r="O12" s="53"/>
      <c r="P12" s="53"/>
      <c r="Q12" s="53"/>
      <c r="R12" s="42"/>
      <c r="S12" s="42"/>
      <c r="T12" s="42"/>
      <c r="U12" s="42"/>
      <c r="V12" s="42"/>
      <c r="W12" s="42"/>
      <c r="X12" s="42"/>
      <c r="Y12" s="42"/>
      <c r="Z12" s="42"/>
    </row>
    <row r="13" spans="1:3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53"/>
      <c r="K13" s="53"/>
      <c r="L13" s="53"/>
      <c r="M13" s="53"/>
      <c r="N13" s="53"/>
      <c r="O13" s="53"/>
      <c r="P13" s="53"/>
      <c r="Q13" s="53"/>
      <c r="R13" s="42"/>
      <c r="S13" s="42"/>
      <c r="T13" s="42"/>
      <c r="U13" s="42"/>
      <c r="V13" s="42"/>
      <c r="W13" s="42"/>
      <c r="X13" s="42"/>
      <c r="Y13" s="42"/>
      <c r="Z13" s="42"/>
    </row>
  </sheetData>
  <pageMargins left="0.25" right="0.25" top="0.75" bottom="0.75" header="0.3" footer="0.3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rgb="FFFF0000"/>
  </sheetPr>
  <dimension ref="A1:Z46"/>
  <sheetViews>
    <sheetView showGridLines="0" tabSelected="1" zoomScaleNormal="100" workbookViewId="0">
      <selection activeCell="E7" sqref="E7"/>
    </sheetView>
  </sheetViews>
  <sheetFormatPr baseColWidth="10" defaultRowHeight="12.75" x14ac:dyDescent="0.2"/>
  <cols>
    <col min="1" max="1" width="8" style="42" customWidth="1"/>
    <col min="2" max="2" width="24.7109375" style="42" customWidth="1"/>
    <col min="3" max="3" width="22" style="42" customWidth="1"/>
    <col min="4" max="4" width="18" style="42" customWidth="1"/>
    <col min="5" max="5" width="19.5703125" style="42" customWidth="1"/>
    <col min="6" max="6" width="18" style="42" customWidth="1"/>
    <col min="7" max="7" width="11.140625" style="42" customWidth="1"/>
    <col min="8" max="8" width="10.140625" style="42" customWidth="1"/>
    <col min="9" max="9" width="11" style="42" customWidth="1"/>
    <col min="10" max="10" width="17" style="42" bestFit="1" customWidth="1"/>
    <col min="11" max="11" width="16" style="42" customWidth="1"/>
    <col min="12" max="12" width="17.28515625" style="42" customWidth="1"/>
    <col min="13" max="14" width="20" style="42" bestFit="1" customWidth="1"/>
    <col min="15" max="15" width="11.5703125" style="42" bestFit="1" customWidth="1"/>
    <col min="16" max="16" width="14.85546875" style="42" customWidth="1"/>
    <col min="17" max="17" width="10" style="42" customWidth="1"/>
    <col min="18" max="18" width="10.140625" style="42" customWidth="1"/>
    <col min="19" max="19" width="9.85546875" style="42" bestFit="1" customWidth="1"/>
    <col min="20" max="20" width="10.42578125" style="42" bestFit="1" customWidth="1"/>
    <col min="21" max="23" width="8.42578125" style="42" customWidth="1"/>
    <col min="24" max="24" width="11.85546875" style="42" customWidth="1"/>
    <col min="25" max="27" width="20" style="42" bestFit="1" customWidth="1"/>
    <col min="28" max="16384" width="11.42578125" style="42"/>
  </cols>
  <sheetData>
    <row r="1" spans="1:26" ht="15" x14ac:dyDescent="0.25">
      <c r="A1" s="29" t="s">
        <v>149</v>
      </c>
    </row>
    <row r="2" spans="1:26" ht="12" customHeight="1" x14ac:dyDescent="0.2">
      <c r="A2" s="252" t="s">
        <v>449</v>
      </c>
      <c r="C2" s="423" t="s">
        <v>454</v>
      </c>
      <c r="E2" s="254" t="s">
        <v>57</v>
      </c>
      <c r="F2" s="296" t="s">
        <v>695</v>
      </c>
      <c r="J2" s="252"/>
      <c r="K2" s="91"/>
      <c r="L2" s="44"/>
      <c r="M2" s="44"/>
      <c r="N2" s="44"/>
      <c r="O2" s="44"/>
      <c r="P2" s="44"/>
      <c r="Q2" s="44"/>
      <c r="R2" s="44"/>
    </row>
    <row r="3" spans="1:26" x14ac:dyDescent="0.2">
      <c r="A3" s="508" t="s">
        <v>2</v>
      </c>
      <c r="B3" s="508"/>
      <c r="C3" s="423">
        <f ca="1">TODAY()</f>
        <v>46006</v>
      </c>
      <c r="D3" s="250"/>
      <c r="E3" s="254" t="s">
        <v>3</v>
      </c>
      <c r="F3" s="312" t="s">
        <v>693</v>
      </c>
      <c r="K3" s="44"/>
      <c r="L3" s="92"/>
      <c r="M3" s="92"/>
      <c r="N3" s="44"/>
      <c r="O3" s="44"/>
      <c r="P3" s="44"/>
      <c r="Q3" s="44"/>
      <c r="R3" s="44"/>
      <c r="Z3" s="256"/>
    </row>
    <row r="4" spans="1:26" x14ac:dyDescent="0.2">
      <c r="A4" s="257" t="s">
        <v>4</v>
      </c>
      <c r="B4" s="257"/>
      <c r="C4" s="424" t="s">
        <v>317</v>
      </c>
      <c r="D4" s="424"/>
      <c r="E4" s="254" t="s">
        <v>151</v>
      </c>
      <c r="F4" s="253">
        <v>3.5</v>
      </c>
      <c r="J4" s="255"/>
      <c r="K4" s="91"/>
      <c r="L4" s="92"/>
      <c r="M4" s="301"/>
      <c r="N4" s="92"/>
      <c r="O4" s="101"/>
      <c r="P4" s="44"/>
      <c r="Q4" s="44"/>
      <c r="R4" s="44"/>
      <c r="Z4" s="256"/>
    </row>
    <row r="5" spans="1:26" ht="10.5" customHeight="1" x14ac:dyDescent="0.2">
      <c r="A5" s="257"/>
      <c r="B5" s="257"/>
      <c r="C5" s="257"/>
      <c r="D5" s="257"/>
      <c r="E5" s="257"/>
      <c r="K5" s="44"/>
      <c r="L5" s="44"/>
      <c r="M5" s="44"/>
      <c r="N5" s="92"/>
      <c r="O5" s="44"/>
      <c r="P5" s="44"/>
      <c r="Q5" s="44"/>
      <c r="R5" s="44"/>
    </row>
    <row r="6" spans="1:26" ht="27" customHeight="1" x14ac:dyDescent="0.2">
      <c r="A6" s="34" t="s">
        <v>450</v>
      </c>
      <c r="B6" s="34" t="s">
        <v>55</v>
      </c>
      <c r="C6" s="34" t="s">
        <v>68</v>
      </c>
      <c r="D6" s="34" t="s">
        <v>470</v>
      </c>
      <c r="E6" s="34" t="s">
        <v>89</v>
      </c>
      <c r="F6" s="34" t="s">
        <v>445</v>
      </c>
      <c r="G6" s="34" t="s">
        <v>86</v>
      </c>
      <c r="H6" s="34" t="s">
        <v>87</v>
      </c>
      <c r="I6" s="34" t="s">
        <v>60</v>
      </c>
      <c r="K6" s="44"/>
      <c r="L6" s="44"/>
      <c r="M6" s="44"/>
      <c r="N6" s="44"/>
      <c r="O6" s="44"/>
      <c r="P6" s="44"/>
      <c r="Q6" s="44"/>
      <c r="R6" s="44"/>
    </row>
    <row r="7" spans="1:26" s="258" customFormat="1" ht="16.5" customHeight="1" x14ac:dyDescent="0.25">
      <c r="A7" s="251"/>
      <c r="B7" s="251" t="s">
        <v>696</v>
      </c>
      <c r="C7" s="251" t="s">
        <v>692</v>
      </c>
      <c r="D7" s="251">
        <v>87</v>
      </c>
      <c r="E7" s="251">
        <v>2</v>
      </c>
      <c r="F7" s="251">
        <v>176</v>
      </c>
      <c r="G7" s="251">
        <v>30</v>
      </c>
      <c r="H7" s="251">
        <v>23</v>
      </c>
      <c r="I7" s="289">
        <v>45981</v>
      </c>
      <c r="S7" s="259"/>
      <c r="T7" s="259"/>
    </row>
    <row r="8" spans="1:26" x14ac:dyDescent="0.2">
      <c r="H8" s="256"/>
      <c r="I8" s="256"/>
      <c r="N8" s="256"/>
      <c r="O8" s="256"/>
      <c r="P8" s="256"/>
      <c r="Q8" s="260"/>
      <c r="R8" s="256"/>
      <c r="X8" s="260"/>
      <c r="Y8" s="260"/>
    </row>
    <row r="9" spans="1:26" ht="25.5" x14ac:dyDescent="0.2">
      <c r="B9" s="34" t="s">
        <v>99</v>
      </c>
      <c r="C9" s="34" t="s">
        <v>471</v>
      </c>
      <c r="D9" s="34" t="s">
        <v>469</v>
      </c>
      <c r="E9" s="34" t="s">
        <v>456</v>
      </c>
      <c r="F9" s="34" t="s">
        <v>499</v>
      </c>
      <c r="G9" s="34" t="s">
        <v>500</v>
      </c>
      <c r="N9" s="256"/>
      <c r="O9" s="256"/>
      <c r="P9" s="256"/>
      <c r="Q9" s="260"/>
      <c r="R9" s="256"/>
      <c r="X9" s="260"/>
      <c r="Y9" s="260"/>
    </row>
    <row r="10" spans="1:26" x14ac:dyDescent="0.2">
      <c r="B10" s="251">
        <v>6</v>
      </c>
      <c r="C10" s="354"/>
      <c r="D10" s="354">
        <v>1050</v>
      </c>
      <c r="E10" s="355"/>
      <c r="F10" s="357">
        <f>J21</f>
        <v>11.931818181818182</v>
      </c>
      <c r="G10" s="357">
        <f>SUM(G13:G18)</f>
        <v>1061.9318181818182</v>
      </c>
      <c r="H10" s="358" t="str">
        <f>IF(OR(B21&lt;3,F21&lt;3%),"ENTREGAR MATERIAL EXTRA","LA MERMA ES RECUPERABLE")</f>
        <v>ENTREGAR MATERIAL EXTRA</v>
      </c>
      <c r="I10" s="359"/>
      <c r="J10" s="359"/>
      <c r="K10" s="44"/>
      <c r="N10" s="256"/>
      <c r="O10" s="256"/>
      <c r="P10" s="256"/>
      <c r="Q10" s="260"/>
      <c r="R10" s="256"/>
      <c r="X10" s="260"/>
      <c r="Y10" s="260"/>
    </row>
    <row r="11" spans="1:26" x14ac:dyDescent="0.2">
      <c r="A11" s="262"/>
      <c r="B11" s="263"/>
      <c r="C11" s="264"/>
      <c r="D11" s="265" t="s">
        <v>468</v>
      </c>
      <c r="E11" s="262"/>
      <c r="F11" s="256"/>
      <c r="G11" s="256"/>
      <c r="H11" s="256"/>
      <c r="I11" s="256"/>
      <c r="N11" s="256"/>
      <c r="O11" s="256"/>
      <c r="P11" s="256"/>
      <c r="Q11" s="260"/>
      <c r="R11" s="256"/>
      <c r="X11" s="260"/>
      <c r="Y11" s="260"/>
    </row>
    <row r="12" spans="1:26" ht="15" x14ac:dyDescent="0.2">
      <c r="A12" s="256"/>
      <c r="B12" s="291" t="s">
        <v>451</v>
      </c>
      <c r="C12" s="256"/>
      <c r="D12" s="256"/>
      <c r="E12" s="291" t="s">
        <v>476</v>
      </c>
      <c r="F12" s="256"/>
      <c r="G12" s="256"/>
      <c r="H12" s="256"/>
      <c r="I12" s="256"/>
      <c r="N12" s="256"/>
      <c r="O12" s="256"/>
      <c r="P12" s="256"/>
      <c r="Q12" s="260"/>
      <c r="R12" s="256"/>
      <c r="X12" s="260"/>
      <c r="Y12" s="260"/>
    </row>
    <row r="13" spans="1:26" s="368" customFormat="1" x14ac:dyDescent="0.2">
      <c r="A13" s="409">
        <v>1</v>
      </c>
      <c r="B13" s="285" t="s">
        <v>50</v>
      </c>
      <c r="C13" s="261" t="str">
        <f>IFERROR(IF(B13="","",IF($C$2="Por cantidad",$C$10*12*$D$7/1000/IF(COUNTA($B$13:$B$18)=$B$10,$B$10,0),"")),"Revisar Colores")</f>
        <v/>
      </c>
      <c r="D13" s="261">
        <f t="shared" ref="D13" si="0">IFERROR(IF(B13="","",IF($C$2="Por peso",$D$10/IF(COUNTA($B$13:$B$18)=$B$10,$B$10,0),"")),"Revisar Colores")</f>
        <v>175</v>
      </c>
      <c r="E13" s="290"/>
      <c r="F13" s="366">
        <f>IF(AND($C$2="por cantidad",C13&lt;&gt;""),$F$10/$B$10,IF(AND($C$2="Por Peso",D13&lt;&gt;""),$F$10/$B$10,IF(AND($C$2="completar Stock",E13&lt;&gt;""),$F$10/$B$10,"")))</f>
        <v>1.9886363636363635</v>
      </c>
      <c r="G13" s="366">
        <f>IF(AND($C$2="por cantidad",C13&lt;&gt;""),C13+F13,IF(AND($C$2="Por Peso",D13&lt;&gt;""),D13+F13,IF(AND($C$2="completar Stock",E13&lt;&gt;""),E13+F13,"")))</f>
        <v>176.98863636363637</v>
      </c>
      <c r="H13" s="367"/>
      <c r="I13" s="367">
        <f>1000000/23</f>
        <v>43478.260869565216</v>
      </c>
      <c r="N13" s="367"/>
      <c r="O13" s="367"/>
      <c r="P13" s="367"/>
      <c r="Q13" s="369"/>
      <c r="R13" s="367"/>
      <c r="X13" s="369"/>
      <c r="Y13" s="369"/>
    </row>
    <row r="14" spans="1:26" s="368" customFormat="1" x14ac:dyDescent="0.2">
      <c r="A14" s="409">
        <v>2</v>
      </c>
      <c r="B14" s="285" t="s">
        <v>52</v>
      </c>
      <c r="C14" s="261" t="str">
        <f t="shared" ref="C14:C18" si="1">IFERROR(IF(B14="","",IF($C$2="Por cantidad",$C$10*12*$D$7/1000/IF(COUNTA($B$13:$B$18)=$B$10,$B$10,0),"")),"Revisar Colores")</f>
        <v/>
      </c>
      <c r="D14" s="261">
        <f>IFERROR(IF(B14="","",IF($C$2="Por peso",$D$10/IF(COUNTA($B$13:$B$18)=$B$10,$B$10,0),"")),"Revisar Colores")</f>
        <v>175</v>
      </c>
      <c r="E14" s="290"/>
      <c r="F14" s="366">
        <f t="shared" ref="F14:F18" si="2">IF(AND($C$2="por cantidad",C14&lt;&gt;""),$F$10/$B$10,IF(AND($C$2="Por Peso",D14&lt;&gt;""),$F$10/$B$10,IF(AND($C$2="completar Stock",E14&lt;&gt;""),$F$10/$B$10,"")))</f>
        <v>1.9886363636363635</v>
      </c>
      <c r="G14" s="366">
        <f t="shared" ref="G14:G18" si="3">IF(AND($C$2="por cantidad",C14&lt;&gt;""),C14+F14,IF(AND($C$2="Por Peso",D14&lt;&gt;""),D14+F14,IF(AND($C$2="completar Stock",E14&lt;&gt;""),E14+F14,"")))</f>
        <v>176.98863636363637</v>
      </c>
      <c r="H14" s="367"/>
      <c r="I14" s="367">
        <f>+I13/7</f>
        <v>6211.1801242236024</v>
      </c>
      <c r="N14" s="367"/>
      <c r="O14" s="367"/>
      <c r="P14" s="367"/>
      <c r="Q14" s="369"/>
      <c r="R14" s="367"/>
      <c r="X14" s="369"/>
      <c r="Y14" s="369"/>
    </row>
    <row r="15" spans="1:26" s="368" customFormat="1" x14ac:dyDescent="0.2">
      <c r="A15" s="409">
        <v>3</v>
      </c>
      <c r="B15" s="285" t="s">
        <v>51</v>
      </c>
      <c r="C15" s="261" t="str">
        <f t="shared" si="1"/>
        <v/>
      </c>
      <c r="D15" s="261">
        <f t="shared" ref="D15:D18" si="4">IFERROR(IF(B15="","",IF($C$2="Por peso",$D$10/IF(COUNTA($B$13:$B$18)=$B$10,$B$10,0),"")),"Revisar Colores")</f>
        <v>175</v>
      </c>
      <c r="E15" s="290"/>
      <c r="F15" s="366">
        <f t="shared" si="2"/>
        <v>1.9886363636363635</v>
      </c>
      <c r="G15" s="366">
        <f t="shared" si="3"/>
        <v>176.98863636363637</v>
      </c>
      <c r="H15" s="367"/>
      <c r="I15" s="367">
        <f>+I14*F7/1000</f>
        <v>1093.1677018633541</v>
      </c>
      <c r="J15" s="367">
        <f>+I15/6</f>
        <v>182.19461697722568</v>
      </c>
      <c r="N15" s="367"/>
      <c r="O15" s="367"/>
      <c r="P15" s="367"/>
      <c r="Q15" s="369"/>
      <c r="R15" s="367"/>
      <c r="X15" s="369"/>
      <c r="Y15" s="369"/>
    </row>
    <row r="16" spans="1:26" s="368" customFormat="1" x14ac:dyDescent="0.2">
      <c r="A16" s="409">
        <v>4</v>
      </c>
      <c r="B16" s="285" t="s">
        <v>607</v>
      </c>
      <c r="C16" s="261" t="str">
        <f t="shared" si="1"/>
        <v/>
      </c>
      <c r="D16" s="261">
        <f t="shared" si="4"/>
        <v>175</v>
      </c>
      <c r="E16" s="290"/>
      <c r="F16" s="366">
        <f t="shared" si="2"/>
        <v>1.9886363636363635</v>
      </c>
      <c r="G16" s="366">
        <f t="shared" si="3"/>
        <v>176.98863636363637</v>
      </c>
      <c r="H16" s="367"/>
      <c r="I16" s="367"/>
      <c r="N16" s="367"/>
      <c r="O16" s="367"/>
      <c r="P16" s="367"/>
      <c r="Q16" s="369"/>
      <c r="R16" s="367"/>
      <c r="X16" s="369"/>
      <c r="Y16" s="369"/>
    </row>
    <row r="17" spans="1:26" s="368" customFormat="1" x14ac:dyDescent="0.2">
      <c r="A17" s="409">
        <v>5</v>
      </c>
      <c r="B17" s="285" t="s">
        <v>49</v>
      </c>
      <c r="C17" s="261" t="str">
        <f t="shared" si="1"/>
        <v/>
      </c>
      <c r="D17" s="261">
        <f t="shared" si="4"/>
        <v>175</v>
      </c>
      <c r="E17" s="290"/>
      <c r="F17" s="366">
        <f t="shared" si="2"/>
        <v>1.9886363636363635</v>
      </c>
      <c r="G17" s="366">
        <f t="shared" si="3"/>
        <v>176.98863636363637</v>
      </c>
      <c r="H17" s="367"/>
      <c r="I17" s="367"/>
      <c r="N17" s="367"/>
      <c r="O17" s="367"/>
      <c r="P17" s="367"/>
      <c r="Q17" s="369"/>
      <c r="R17" s="367"/>
      <c r="X17" s="369"/>
      <c r="Y17" s="369"/>
    </row>
    <row r="18" spans="1:26" x14ac:dyDescent="0.2">
      <c r="A18" s="409">
        <v>6</v>
      </c>
      <c r="B18" s="285" t="s">
        <v>462</v>
      </c>
      <c r="C18" s="261" t="str">
        <f t="shared" si="1"/>
        <v/>
      </c>
      <c r="D18" s="261">
        <f t="shared" si="4"/>
        <v>175</v>
      </c>
      <c r="E18" s="290"/>
      <c r="F18" s="366">
        <f t="shared" si="2"/>
        <v>1.9886363636363635</v>
      </c>
      <c r="G18" s="366">
        <f t="shared" si="3"/>
        <v>176.98863636363637</v>
      </c>
      <c r="H18" s="256"/>
      <c r="I18" s="256"/>
      <c r="N18" s="256"/>
      <c r="O18" s="256"/>
      <c r="P18" s="256"/>
      <c r="Q18" s="260"/>
      <c r="R18" s="256"/>
      <c r="X18" s="260"/>
      <c r="Y18" s="260"/>
    </row>
    <row r="19" spans="1:26" x14ac:dyDescent="0.2">
      <c r="A19" s="266"/>
      <c r="B19" s="267"/>
      <c r="C19" s="267"/>
      <c r="D19" s="266"/>
      <c r="E19" s="266"/>
      <c r="F19" s="256"/>
      <c r="H19" s="256"/>
      <c r="I19" s="256"/>
      <c r="N19" s="256"/>
      <c r="O19" s="256"/>
      <c r="P19" s="256"/>
      <c r="Q19" s="260"/>
      <c r="R19" s="256"/>
      <c r="X19" s="260"/>
      <c r="Y19" s="260"/>
    </row>
    <row r="20" spans="1:26" ht="38.25" x14ac:dyDescent="0.2">
      <c r="A20" s="34" t="s">
        <v>61</v>
      </c>
      <c r="B20" s="34" t="s">
        <v>88</v>
      </c>
      <c r="C20" s="34" t="s">
        <v>506</v>
      </c>
      <c r="D20" s="268" t="s">
        <v>497</v>
      </c>
      <c r="E20" s="268" t="s">
        <v>207</v>
      </c>
      <c r="F20" s="34" t="s">
        <v>78</v>
      </c>
      <c r="G20" s="40" t="s">
        <v>208</v>
      </c>
      <c r="H20" s="40" t="s">
        <v>472</v>
      </c>
      <c r="I20" s="40" t="s">
        <v>498</v>
      </c>
      <c r="J20" s="40" t="s">
        <v>496</v>
      </c>
      <c r="K20" s="40" t="s">
        <v>483</v>
      </c>
      <c r="L20" s="360" t="s">
        <v>501</v>
      </c>
      <c r="N20" s="256"/>
      <c r="O20" s="256"/>
      <c r="P20" s="256"/>
      <c r="Q20" s="260"/>
      <c r="R20" s="256"/>
      <c r="X20" s="260"/>
      <c r="Y20" s="260"/>
    </row>
    <row r="21" spans="1:26" ht="15" x14ac:dyDescent="0.2">
      <c r="A21" s="269">
        <f>IF(B21=0,"",WORKDAY.INTL(I7,B21,11))</f>
        <v>45983</v>
      </c>
      <c r="B21" s="270">
        <f>IF(C2="Completar Stock",E10*1000/D7/E7*G7/3600/H7,IF(C2="Por Peso",D10*1000/D7/E7*G7/3600/H7,IF(C2="Por cantidad",C10*12/E7*G7/H7/3600,"Error")))</f>
        <v>2.1864067966016991</v>
      </c>
      <c r="C21" s="430">
        <f>+B21*H7</f>
        <v>50.287356321839077</v>
      </c>
      <c r="D21" s="271">
        <f>IF($C$2="Por cantidad",SUM($C$13:$C$18),IF($C$2="Por peso",SUM($D$13:$D$18),IF($C$2="Completar Stock",SUM($E$13:$E$18),"error")))</f>
        <v>1050</v>
      </c>
      <c r="E21" s="271">
        <f>+D21*(1+F21)</f>
        <v>1061.9318181818182</v>
      </c>
      <c r="F21" s="365">
        <f>(F7-D7*E7)/F7</f>
        <v>1.1363636363636364E-2</v>
      </c>
      <c r="G21" s="271">
        <f>E21-D21</f>
        <v>11.931818181818244</v>
      </c>
      <c r="H21" s="271">
        <f>IF($C$2="Por cantidad",C10,IF($C$2="Por peso",D10*1000/D7/12,IF($C$2="Completar Stock",E10*1000/D7/12,"error")))</f>
        <v>1005.7471264367815</v>
      </c>
      <c r="I21" s="292">
        <f>IF(F21&lt;5%,F21,IF(AND(F21&gt;=5%,F21&lt;=10%),F21/2,0))</f>
        <v>1.1363636363636364E-2</v>
      </c>
      <c r="J21" s="293">
        <f>+D21*I21</f>
        <v>11.931818181818182</v>
      </c>
      <c r="K21" s="338">
        <f>$D$21*1000/$D$7/12</f>
        <v>1005.7471264367815</v>
      </c>
      <c r="L21" s="362">
        <f>SUM($G$13:$G$19)</f>
        <v>1061.9318181818182</v>
      </c>
      <c r="N21" s="256"/>
      <c r="O21" s="256"/>
      <c r="P21" s="256"/>
      <c r="Q21" s="260"/>
      <c r="R21" s="256"/>
      <c r="X21" s="260"/>
      <c r="Y21" s="260"/>
    </row>
    <row r="22" spans="1:26" ht="12" customHeight="1" x14ac:dyDescent="0.2">
      <c r="A22" s="272"/>
      <c r="B22" s="273"/>
      <c r="C22" s="273"/>
      <c r="D22" s="273">
        <f>SUM(D21:D21)</f>
        <v>1050</v>
      </c>
      <c r="E22" s="274">
        <f>SUM(E21:E21)</f>
        <v>1061.9318181818182</v>
      </c>
      <c r="F22" s="275">
        <f>IF(AND(B19&lt;&gt;"",C19&lt;&gt;""),"Error",IF(D22=0,"",((E22-D22)/D22)))</f>
        <v>1.1363636363636423E-2</v>
      </c>
      <c r="G22" s="274">
        <f>+E22-D22</f>
        <v>11.931818181818244</v>
      </c>
      <c r="H22" s="274"/>
      <c r="I22" s="274"/>
      <c r="J22" s="274"/>
      <c r="K22" s="274"/>
      <c r="L22" s="361"/>
      <c r="U22" s="260"/>
      <c r="V22" s="260"/>
      <c r="W22" s="260"/>
      <c r="X22" s="260"/>
      <c r="Y22" s="260"/>
    </row>
    <row r="23" spans="1:26" ht="12" customHeight="1" x14ac:dyDescent="0.2"/>
    <row r="24" spans="1:26" ht="13.5" thickBot="1" x14ac:dyDescent="0.25">
      <c r="A24" s="43" t="str">
        <f>+B7</f>
        <v>BALDE PLAYERO ROMANO</v>
      </c>
      <c r="B24" s="43"/>
      <c r="C24" s="43"/>
      <c r="D24" s="43"/>
    </row>
    <row r="25" spans="1:26" s="260" customFormat="1" ht="13.5" thickBot="1" x14ac:dyDescent="0.25">
      <c r="C25" s="276" t="s">
        <v>93</v>
      </c>
      <c r="D25" s="277"/>
      <c r="E25" s="277"/>
      <c r="F25" s="277"/>
      <c r="G25" s="278"/>
      <c r="H25" s="278"/>
      <c r="I25" s="278"/>
      <c r="J25" s="278"/>
      <c r="K25" s="279"/>
    </row>
    <row r="26" spans="1:26" s="280" customFormat="1" ht="25.5" x14ac:dyDescent="0.2">
      <c r="A26" s="34" t="s">
        <v>1</v>
      </c>
      <c r="B26" s="34" t="s">
        <v>0</v>
      </c>
      <c r="C26" s="268" t="s">
        <v>152</v>
      </c>
      <c r="D26" s="268" t="s">
        <v>153</v>
      </c>
      <c r="E26" s="268" t="s">
        <v>154</v>
      </c>
      <c r="F26" s="268" t="s">
        <v>336</v>
      </c>
      <c r="G26" s="268" t="s">
        <v>167</v>
      </c>
      <c r="H26" s="268" t="s">
        <v>168</v>
      </c>
      <c r="I26" s="268" t="s">
        <v>169</v>
      </c>
      <c r="J26" s="268" t="s">
        <v>206</v>
      </c>
      <c r="K26" s="40" t="s">
        <v>477</v>
      </c>
    </row>
    <row r="27" spans="1:26" x14ac:dyDescent="0.2">
      <c r="A27" s="30">
        <v>1</v>
      </c>
      <c r="B27" s="294" t="str">
        <f>IF(B13="","",B13)</f>
        <v>Amarillo</v>
      </c>
      <c r="C27" s="251" t="s">
        <v>441</v>
      </c>
      <c r="D27" s="251"/>
      <c r="E27" s="251" t="s">
        <v>583</v>
      </c>
      <c r="F27" s="370">
        <f>G13</f>
        <v>176.98863636363637</v>
      </c>
      <c r="G27" s="464">
        <v>0.5</v>
      </c>
      <c r="H27" s="464"/>
      <c r="I27" s="464">
        <v>0.5</v>
      </c>
      <c r="J27" s="363">
        <f>IF(SUM(F27:I27)=0,0,IF(SUM(G27:I27)=1,IF(ISNUMBER($F$33),F27,"Error"),"Error Fraccion"))</f>
        <v>176.98863636363637</v>
      </c>
      <c r="K27" s="363">
        <f t="shared" ref="K27:K32" si="5">IF(SUM(F27:I27)=0,0,IF(SUM(G27:I27)=1,IF(ISNUMBER($F$33),IF($C$10&lt;&gt;"",$E$21/$B$10,F27*(1+$F$21)),"Error"),"Error Fraccion"))</f>
        <v>178.99987086776864</v>
      </c>
      <c r="Z27" s="42" t="str">
        <f>CONCATENATE(IF(DATOS!BA3=0,"",CONCATENATE(" Error 1: ",DATOS!BA3)),IF(DATOS!BB3=0,"",CONCATENATE(" Error 2: ",DATOS!BB3)),IF(DATOS!BC3=0,"",CONCATENATE(" Error 3: ",DATOS!BC3)))</f>
        <v/>
      </c>
    </row>
    <row r="28" spans="1:26" x14ac:dyDescent="0.2">
      <c r="A28" s="30">
        <v>2</v>
      </c>
      <c r="B28" s="294" t="str">
        <f t="shared" ref="B28:B32" si="6">IF(B14="","",B14)</f>
        <v>Azul</v>
      </c>
      <c r="C28" s="251" t="s">
        <v>441</v>
      </c>
      <c r="D28" s="251"/>
      <c r="E28" s="251" t="s">
        <v>583</v>
      </c>
      <c r="F28" s="370">
        <f t="shared" ref="F28:F33" si="7">G14</f>
        <v>176.98863636363637</v>
      </c>
      <c r="G28" s="464">
        <v>0.5</v>
      </c>
      <c r="H28" s="464"/>
      <c r="I28" s="464">
        <v>0.5</v>
      </c>
      <c r="J28" s="281">
        <f t="shared" ref="J28:J32" si="8">IF(SUM(F28:I28)=0,0,IF(SUM(G28:I28)=1,IF(ISNUMBER($F$33),F28,"Error"),"Error Fraccion"))</f>
        <v>176.98863636363637</v>
      </c>
      <c r="K28" s="281">
        <f t="shared" si="5"/>
        <v>178.99987086776864</v>
      </c>
      <c r="Z28" s="42" t="str">
        <f>CONCATENATE(IF(DATOS!BA4=0,"",CONCATENATE(" Error 1: ",DATOS!BA4)),IF(DATOS!BB4=0,"",CONCATENATE(" Error 2: ",DATOS!BB4)),IF(DATOS!BC4=0,"",CONCATENATE(" Error 3: ",DATOS!BC4)))</f>
        <v/>
      </c>
    </row>
    <row r="29" spans="1:26" x14ac:dyDescent="0.2">
      <c r="A29" s="30">
        <v>3</v>
      </c>
      <c r="B29" s="294" t="str">
        <f t="shared" si="6"/>
        <v>Rojo</v>
      </c>
      <c r="C29" s="251" t="s">
        <v>441</v>
      </c>
      <c r="D29" s="251"/>
      <c r="E29" s="251" t="s">
        <v>583</v>
      </c>
      <c r="F29" s="370">
        <f t="shared" si="7"/>
        <v>176.98863636363637</v>
      </c>
      <c r="G29" s="464">
        <v>0.5</v>
      </c>
      <c r="H29" s="464"/>
      <c r="I29" s="464">
        <v>0.5</v>
      </c>
      <c r="J29" s="281">
        <f t="shared" si="8"/>
        <v>176.98863636363637</v>
      </c>
      <c r="K29" s="281">
        <f t="shared" si="5"/>
        <v>178.99987086776864</v>
      </c>
      <c r="Z29" s="42" t="str">
        <f>CONCATENATE(IF(DATOS!BA5=0,"",CONCATENATE(" Error 1: ",DATOS!BA5)),IF(DATOS!BB5=0,"",CONCATENATE(" Error 2: ",DATOS!BB5)),IF(DATOS!BC5=0,"",CONCATENATE(" Error 3: ",DATOS!BC5)))</f>
        <v/>
      </c>
    </row>
    <row r="30" spans="1:26" x14ac:dyDescent="0.2">
      <c r="A30" s="30">
        <v>4</v>
      </c>
      <c r="B30" s="294" t="str">
        <f t="shared" si="6"/>
        <v>Fucsia</v>
      </c>
      <c r="C30" s="251" t="s">
        <v>441</v>
      </c>
      <c r="D30" s="251"/>
      <c r="E30" s="251" t="s">
        <v>583</v>
      </c>
      <c r="F30" s="370">
        <f t="shared" si="7"/>
        <v>176.98863636363637</v>
      </c>
      <c r="G30" s="464">
        <v>0.5</v>
      </c>
      <c r="H30" s="464"/>
      <c r="I30" s="464">
        <v>0.5</v>
      </c>
      <c r="J30" s="281">
        <f t="shared" si="8"/>
        <v>176.98863636363637</v>
      </c>
      <c r="K30" s="281">
        <f t="shared" si="5"/>
        <v>178.99987086776864</v>
      </c>
      <c r="Z30" s="42" t="str">
        <f>CONCATENATE(IF(DATOS!BA6=0,"",CONCATENATE(" Error 1: ",DATOS!BA6)),IF(DATOS!BB6=0,"",CONCATENATE(" Error 2: ",DATOS!BB6)),IF(DATOS!BC6=0,"",CONCATENATE(" Error 3: ",DATOS!BC6)))</f>
        <v/>
      </c>
    </row>
    <row r="31" spans="1:26" x14ac:dyDescent="0.2">
      <c r="A31" s="30">
        <v>5</v>
      </c>
      <c r="B31" s="294" t="str">
        <f t="shared" si="6"/>
        <v>Verde</v>
      </c>
      <c r="C31" s="251" t="s">
        <v>441</v>
      </c>
      <c r="D31" s="251"/>
      <c r="E31" s="251" t="s">
        <v>583</v>
      </c>
      <c r="F31" s="370">
        <f t="shared" si="7"/>
        <v>176.98863636363637</v>
      </c>
      <c r="G31" s="464">
        <v>0.5</v>
      </c>
      <c r="H31" s="464"/>
      <c r="I31" s="464">
        <v>0.5</v>
      </c>
      <c r="J31" s="281">
        <f t="shared" si="8"/>
        <v>176.98863636363637</v>
      </c>
      <c r="K31" s="281">
        <f t="shared" si="5"/>
        <v>178.99987086776864</v>
      </c>
      <c r="Z31" s="42" t="str">
        <f>CONCATENATE(IF(DATOS!BA7=0,"",CONCATENATE(" Error 1: ",DATOS!BA7)),IF(DATOS!BB7=0,"",CONCATENATE(" Error 2: ",DATOS!BB7)),IF(DATOS!BC7=0,"",CONCATENATE(" Error 3: ",DATOS!BC7)))</f>
        <v/>
      </c>
    </row>
    <row r="32" spans="1:26" x14ac:dyDescent="0.2">
      <c r="A32" s="30">
        <v>6</v>
      </c>
      <c r="B32" s="294" t="str">
        <f t="shared" si="6"/>
        <v>Lila</v>
      </c>
      <c r="C32" s="251" t="s">
        <v>441</v>
      </c>
      <c r="D32" s="251"/>
      <c r="E32" s="251" t="s">
        <v>583</v>
      </c>
      <c r="F32" s="370">
        <f t="shared" si="7"/>
        <v>176.98863636363637</v>
      </c>
      <c r="G32" s="464">
        <v>0.5</v>
      </c>
      <c r="H32" s="464"/>
      <c r="I32" s="464">
        <v>0.5</v>
      </c>
      <c r="J32" s="281">
        <f t="shared" si="8"/>
        <v>176.98863636363637</v>
      </c>
      <c r="K32" s="281">
        <f t="shared" si="5"/>
        <v>178.99987086776864</v>
      </c>
      <c r="Z32" s="42" t="str">
        <f>CONCATENATE(IF(DATOS!BA8=0,"",CONCATENATE(" Error 1: ",DATOS!BA8)),IF(DATOS!BB8=0,"",CONCATENATE(" Error 2: ",DATOS!BB8)),IF(DATOS!BC8=0,"",CONCATENATE(" Error 3: ",DATOS!BC8)))</f>
        <v/>
      </c>
    </row>
    <row r="33" spans="1:12" x14ac:dyDescent="0.2">
      <c r="B33" s="295" t="s">
        <v>23</v>
      </c>
      <c r="C33" s="251"/>
      <c r="D33" s="251"/>
      <c r="E33" s="251"/>
      <c r="F33" s="370">
        <f t="shared" si="7"/>
        <v>0</v>
      </c>
      <c r="G33" s="434"/>
      <c r="H33" s="283"/>
      <c r="I33" s="298"/>
      <c r="J33" s="282"/>
      <c r="K33" s="282">
        <f>SUM(K27:K32)</f>
        <v>1073.9992252066118</v>
      </c>
    </row>
    <row r="34" spans="1:12" x14ac:dyDescent="0.2">
      <c r="A34" s="252"/>
      <c r="F34" s="367"/>
      <c r="G34" s="284" t="str">
        <f>IF(SUM(DATOS!BA3:BA8)=0,"OK","Error: Mate/Frac")</f>
        <v>OK</v>
      </c>
      <c r="H34" s="284" t="str">
        <f>IF(SUM(DATOS!BB3:BB8)=0,"OK","Error: Mate/Frac")</f>
        <v>OK</v>
      </c>
      <c r="I34" s="284" t="str">
        <f>IF(SUM(DATOS!BC3:BC8)=0,"OK","Error: Mate/Frac")</f>
        <v>OK</v>
      </c>
    </row>
    <row r="37" spans="1:12" ht="13.5" thickBot="1" x14ac:dyDescent="0.25"/>
    <row r="38" spans="1:12" ht="13.5" thickBot="1" x14ac:dyDescent="0.25">
      <c r="A38" s="297"/>
      <c r="B38" s="278" t="s">
        <v>97</v>
      </c>
      <c r="C38" s="278"/>
      <c r="D38" s="278"/>
      <c r="E38" s="279"/>
      <c r="F38" s="276" t="s">
        <v>586</v>
      </c>
      <c r="G38" s="278"/>
      <c r="H38" s="278"/>
      <c r="I38" s="279"/>
      <c r="J38" s="278" t="s">
        <v>59</v>
      </c>
      <c r="K38" s="278"/>
      <c r="L38" s="279"/>
    </row>
    <row r="39" spans="1:12" x14ac:dyDescent="0.2">
      <c r="A39" s="342" t="s">
        <v>1</v>
      </c>
      <c r="B39" s="268" t="s">
        <v>94</v>
      </c>
      <c r="C39" s="268" t="s">
        <v>95</v>
      </c>
      <c r="D39" s="268" t="s">
        <v>96</v>
      </c>
      <c r="E39" s="343" t="s">
        <v>98</v>
      </c>
      <c r="F39" s="342" t="s">
        <v>94</v>
      </c>
      <c r="G39" s="268" t="s">
        <v>95</v>
      </c>
      <c r="H39" s="268" t="s">
        <v>96</v>
      </c>
      <c r="I39" s="343" t="s">
        <v>98</v>
      </c>
      <c r="J39" s="340" t="s">
        <v>65</v>
      </c>
      <c r="K39" s="268" t="s">
        <v>66</v>
      </c>
      <c r="L39" s="268" t="s">
        <v>67</v>
      </c>
    </row>
    <row r="40" spans="1:12" x14ac:dyDescent="0.2">
      <c r="A40" s="347">
        <v>1</v>
      </c>
      <c r="B40" s="285" t="s">
        <v>112</v>
      </c>
      <c r="C40" s="285" t="s">
        <v>111</v>
      </c>
      <c r="D40" s="285"/>
      <c r="E40" s="285"/>
      <c r="F40" s="351">
        <v>30</v>
      </c>
      <c r="G40" s="352">
        <v>5</v>
      </c>
      <c r="H40" s="352"/>
      <c r="I40" s="353"/>
      <c r="J40" s="397">
        <v>1</v>
      </c>
      <c r="K40" s="364">
        <f t="shared" ref="K40:K45" si="9">IF($B$10=0,0,$B$21*$H$7*J40/$B$10)</f>
        <v>8.3812260536398462</v>
      </c>
      <c r="L40" s="356">
        <f t="shared" ref="L40:L45" si="10">+J40*K40</f>
        <v>8.3812260536398462</v>
      </c>
    </row>
    <row r="41" spans="1:12" x14ac:dyDescent="0.2">
      <c r="A41" s="347">
        <v>2</v>
      </c>
      <c r="B41" s="285" t="s">
        <v>616</v>
      </c>
      <c r="C41" s="285" t="s">
        <v>111</v>
      </c>
      <c r="D41" s="285"/>
      <c r="E41" s="285"/>
      <c r="F41" s="351">
        <v>60</v>
      </c>
      <c r="G41" s="352">
        <v>5</v>
      </c>
      <c r="H41" s="352"/>
      <c r="I41" s="353"/>
      <c r="J41" s="397">
        <v>1</v>
      </c>
      <c r="K41" s="364">
        <f t="shared" si="9"/>
        <v>8.3812260536398462</v>
      </c>
      <c r="L41" s="356">
        <f t="shared" si="10"/>
        <v>8.3812260536398462</v>
      </c>
    </row>
    <row r="42" spans="1:12" x14ac:dyDescent="0.2">
      <c r="A42" s="347">
        <v>3</v>
      </c>
      <c r="B42" s="285" t="s">
        <v>109</v>
      </c>
      <c r="C42" s="285" t="s">
        <v>111</v>
      </c>
      <c r="D42" s="285"/>
      <c r="E42" s="285"/>
      <c r="F42" s="351">
        <v>40</v>
      </c>
      <c r="G42" s="352">
        <v>5</v>
      </c>
      <c r="H42" s="352"/>
      <c r="I42" s="353"/>
      <c r="J42" s="397">
        <v>1</v>
      </c>
      <c r="K42" s="364">
        <f t="shared" si="9"/>
        <v>8.3812260536398462</v>
      </c>
      <c r="L42" s="356">
        <f t="shared" si="10"/>
        <v>8.3812260536398462</v>
      </c>
    </row>
    <row r="43" spans="1:12" x14ac:dyDescent="0.2">
      <c r="A43" s="347">
        <v>4</v>
      </c>
      <c r="B43" s="285" t="s">
        <v>117</v>
      </c>
      <c r="C43" s="285" t="s">
        <v>111</v>
      </c>
      <c r="D43" s="285"/>
      <c r="E43" s="285"/>
      <c r="F43" s="351">
        <v>40</v>
      </c>
      <c r="G43" s="352">
        <v>5</v>
      </c>
      <c r="H43" s="352"/>
      <c r="I43" s="353"/>
      <c r="J43" s="397">
        <v>1</v>
      </c>
      <c r="K43" s="364">
        <f t="shared" si="9"/>
        <v>8.3812260536398462</v>
      </c>
      <c r="L43" s="356">
        <f t="shared" si="10"/>
        <v>8.3812260536398462</v>
      </c>
    </row>
    <row r="44" spans="1:12" x14ac:dyDescent="0.2">
      <c r="A44" s="347">
        <v>5</v>
      </c>
      <c r="B44" s="285" t="s">
        <v>104</v>
      </c>
      <c r="C44" s="285" t="s">
        <v>112</v>
      </c>
      <c r="D44" s="285" t="s">
        <v>111</v>
      </c>
      <c r="E44" s="285"/>
      <c r="F44" s="351">
        <v>20</v>
      </c>
      <c r="G44" s="352">
        <v>5</v>
      </c>
      <c r="H44" s="352">
        <v>5</v>
      </c>
      <c r="I44" s="353"/>
      <c r="J44" s="397">
        <v>1</v>
      </c>
      <c r="K44" s="364">
        <f t="shared" si="9"/>
        <v>8.3812260536398462</v>
      </c>
      <c r="L44" s="356">
        <f t="shared" si="10"/>
        <v>8.3812260536398462</v>
      </c>
    </row>
    <row r="45" spans="1:12" x14ac:dyDescent="0.2">
      <c r="A45" s="347">
        <v>6</v>
      </c>
      <c r="B45" s="285" t="s">
        <v>111</v>
      </c>
      <c r="C45" s="285" t="s">
        <v>117</v>
      </c>
      <c r="D45" s="285" t="s">
        <v>616</v>
      </c>
      <c r="E45" s="285"/>
      <c r="F45" s="351">
        <v>5</v>
      </c>
      <c r="G45" s="352">
        <v>40</v>
      </c>
      <c r="H45" s="352">
        <v>42</v>
      </c>
      <c r="I45" s="353"/>
      <c r="J45" s="397">
        <v>1</v>
      </c>
      <c r="K45" s="364">
        <f t="shared" si="9"/>
        <v>8.3812260536398462</v>
      </c>
      <c r="L45" s="356">
        <f t="shared" si="10"/>
        <v>8.3812260536398462</v>
      </c>
    </row>
    <row r="46" spans="1:12" ht="13.5" thickBot="1" x14ac:dyDescent="0.25">
      <c r="A46" s="348"/>
      <c r="B46" s="345"/>
      <c r="C46" s="345"/>
      <c r="D46" s="345"/>
      <c r="E46" s="346"/>
      <c r="F46" s="344"/>
      <c r="G46" s="345"/>
      <c r="H46" s="345"/>
      <c r="I46" s="346"/>
      <c r="J46" s="341"/>
      <c r="K46" s="364">
        <f>SUM(K40:K45)</f>
        <v>50.287356321839084</v>
      </c>
      <c r="L46" s="282">
        <f>SUM(L40:L45)</f>
        <v>50.287356321839084</v>
      </c>
    </row>
  </sheetData>
  <dataConsolidate/>
  <mergeCells count="1">
    <mergeCell ref="A3:B3"/>
  </mergeCells>
  <phoneticPr fontId="46" type="noConversion"/>
  <pageMargins left="0.23622047244094491" right="0" top="0.35433070866141736" bottom="0" header="0" footer="0.31496062992125984"/>
  <pageSetup paperSize="9" scale="80" fitToHeight="3" orientation="landscape" horizontalDpi="1200" verticalDpi="1200" r:id="rId1"/>
  <headerFooter>
    <oddHeader>&amp;C&amp;"-,Negrita"&amp;16Orden de Producción  Maquinas</oddHeader>
  </headerFooter>
  <ignoredErrors>
    <ignoredError sqref="F10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00F411C4-AA27-4506-916D-01309E43F121}">
            <xm:f>$C$2=DATOS!$W$4</xm:f>
            <x14:dxf>
              <fill>
                <patternFill>
                  <bgColor theme="1"/>
                </patternFill>
              </fill>
            </x14:dxf>
          </x14:cfRule>
          <x14:cfRule type="expression" priority="14" id="{FB718219-209A-46C0-9CA2-59CA0F6D18B4}">
            <xm:f>$C$2=DATOS!$W$5</xm:f>
            <x14:dxf>
              <fill>
                <patternFill>
                  <bgColor theme="1"/>
                </patternFill>
              </fill>
            </x14:dxf>
          </x14:cfRule>
          <xm:sqref>C13:C18</xm:sqref>
        </x14:conditionalFormatting>
        <x14:conditionalFormatting xmlns:xm="http://schemas.microsoft.com/office/excel/2006/main">
          <x14:cfRule type="expression" priority="11" id="{F46C1C85-4316-440E-9D1C-A39AFCA2E40B}">
            <xm:f>$C$2=DATOS!$W$3</xm:f>
            <x14:dxf>
              <fill>
                <patternFill>
                  <bgColor theme="1"/>
                </patternFill>
              </fill>
            </x14:dxf>
          </x14:cfRule>
          <x14:cfRule type="expression" priority="12" id="{342D7FCF-3B3B-4B86-AC34-ADFD30B1600C}">
            <xm:f>$C$2=DATOS!$W$5</xm:f>
            <x14:dxf>
              <fill>
                <patternFill>
                  <bgColor theme="1"/>
                </patternFill>
              </fill>
            </x14:dxf>
          </x14:cfRule>
          <xm:sqref>D13:D18</xm:sqref>
        </x14:conditionalFormatting>
        <x14:conditionalFormatting xmlns:xm="http://schemas.microsoft.com/office/excel/2006/main">
          <x14:cfRule type="expression" priority="8" id="{98124E61-A8EF-4084-B725-BFDD70B2C909}">
            <xm:f>$C$2=DATOS!$W$3</xm:f>
            <x14:dxf>
              <fill>
                <patternFill>
                  <bgColor theme="1"/>
                </patternFill>
              </fill>
            </x14:dxf>
          </x14:cfRule>
          <x14:cfRule type="expression" priority="9" id="{DAE869D3-DA75-4E02-BBA1-028FE13E0287}">
            <xm:f>$C$2=DATOS!$W$4</xm:f>
            <x14:dxf>
              <fill>
                <patternFill>
                  <bgColor theme="1"/>
                </patternFill>
              </fill>
            </x14:dxf>
          </x14:cfRule>
          <xm:sqref>E13:E18</xm:sqref>
        </x14:conditionalFormatting>
        <x14:conditionalFormatting xmlns:xm="http://schemas.microsoft.com/office/excel/2006/main">
          <x14:cfRule type="expression" priority="6" id="{28C52620-6BD7-4545-AC03-53B5363ACD17}">
            <xm:f>$C$2=DATOS!$W$5</xm:f>
            <x14:dxf>
              <fill>
                <patternFill>
                  <bgColor theme="1"/>
                </patternFill>
              </fill>
            </x14:dxf>
          </x14:cfRule>
          <x14:cfRule type="expression" priority="7" id="{6F7B287C-1A55-4664-9E70-7BC6E59155A2}">
            <xm:f>$C$2=DATOS!$W$4</xm:f>
            <x14:dxf>
              <fill>
                <patternFill>
                  <bgColor theme="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" id="{9F295FA4-C4AA-4FF9-982C-EADF62937401}">
            <xm:f>$C$2=DATOS!$W$5</xm:f>
            <x14:dxf>
              <fill>
                <patternFill>
                  <bgColor theme="1"/>
                </patternFill>
              </fill>
            </x14:dxf>
          </x14:cfRule>
          <x14:cfRule type="expression" priority="5" id="{34F85288-A2DF-42E2-A68C-61B8C58D7D34}">
            <xm:f>$C$2=DATOS!$W$3</xm:f>
            <x14:dxf>
              <fill>
                <patternFill>
                  <bgColor theme="1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" id="{6C06AE9C-F18B-488E-B90C-614EF9E49EDF}">
            <xm:f>$C$2=DATOS!$W$4</xm:f>
            <x14:dxf>
              <fill>
                <patternFill>
                  <bgColor theme="1"/>
                </patternFill>
              </fill>
            </x14:dxf>
          </x14:cfRule>
          <x14:cfRule type="expression" priority="2" id="{C4028C04-D306-4922-896A-E2E012F9D039}">
            <xm:f>$C$2=DATOS!$W$3</xm:f>
            <x14:dxf>
              <fill>
                <patternFill>
                  <bgColor theme="1"/>
                </patternFill>
              </fill>
            </x14:dxf>
          </x14:cfRule>
          <xm:sqref>E10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0000000}">
          <x14:formula1>
            <xm:f>DATOS!$O$3:$O$15</xm:f>
          </x14:formula1>
          <xm:sqref>C27:D33</xm:sqref>
        </x14:dataValidation>
        <x14:dataValidation type="list" allowBlank="1" showInputMessage="1" showErrorMessage="1" xr:uid="{00000000-0002-0000-0200-000001000000}">
          <x14:formula1>
            <xm:f>DATOS!$Q$3:$Q$19</xm:f>
          </x14:formula1>
          <xm:sqref>E27:E33</xm:sqref>
        </x14:dataValidation>
        <x14:dataValidation type="list" allowBlank="1" showInputMessage="1" showErrorMessage="1" xr:uid="{00000000-0002-0000-0200-000002000000}">
          <x14:formula1>
            <xm:f>DATOS!$D$3:$D$6</xm:f>
          </x14:formula1>
          <xm:sqref>H3</xm:sqref>
        </x14:dataValidation>
        <x14:dataValidation type="list" allowBlank="1" showInputMessage="1" showErrorMessage="1" promptTitle="MOLDE " xr:uid="{00000000-0002-0000-0200-000003000000}">
          <x14:formula1>
            <xm:f>MOLDES!$C$2:$C$83</xm:f>
          </x14:formula1>
          <xm:sqref>D4</xm:sqref>
        </x14:dataValidation>
        <x14:dataValidation type="list" allowBlank="1" showInputMessage="1" showErrorMessage="1" xr:uid="{00000000-0002-0000-0200-000004000000}">
          <x14:formula1>
            <xm:f>DATOS!$W$3:$W$5</xm:f>
          </x14:formula1>
          <xm:sqref>C2</xm:sqref>
        </x14:dataValidation>
        <x14:dataValidation type="list" allowBlank="1" showInputMessage="1" showErrorMessage="1" promptTitle="MOLDE " xr:uid="{00000000-0002-0000-0200-000005000000}">
          <x14:formula1>
            <xm:f>MOLDES!$C$2:$C$300</xm:f>
          </x14:formula1>
          <xm:sqref>C4</xm:sqref>
        </x14:dataValidation>
        <x14:dataValidation type="list" allowBlank="1" showInputMessage="1" showErrorMessage="1" xr:uid="{00000000-0002-0000-0200-000006000000}">
          <x14:formula1>
            <xm:f>DATOS!$Y$3:$Y$21</xm:f>
          </x14:formula1>
          <xm:sqref>B13:B18</xm:sqref>
        </x14:dataValidation>
        <x14:dataValidation type="list" allowBlank="1" showInputMessage="1" showErrorMessage="1" xr:uid="{00000000-0002-0000-0200-000007000000}">
          <x14:formula1>
            <xm:f>DATOS!$A$3:$A$49</xm:f>
          </x14:formula1>
          <xm:sqref>B40:E45</xm:sqref>
        </x14:dataValidation>
        <x14:dataValidation type="list" allowBlank="1" showInputMessage="1" showErrorMessage="1" xr:uid="{00000000-0002-0000-0200-000008000000}">
          <x14:formula1>
            <xm:f>DATOS!$T$3:$T$18</xm:f>
          </x14:formula1>
          <xm:sqref>F3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3" tint="-0.499984740745262"/>
    <pageSetUpPr fitToPage="1"/>
  </sheetPr>
  <dimension ref="B1:I54"/>
  <sheetViews>
    <sheetView zoomScale="96" zoomScaleNormal="100" workbookViewId="0">
      <selection activeCell="E1" sqref="E1"/>
    </sheetView>
  </sheetViews>
  <sheetFormatPr baseColWidth="10" defaultRowHeight="15.75" x14ac:dyDescent="0.25"/>
  <cols>
    <col min="1" max="1" width="1.85546875" customWidth="1"/>
    <col min="2" max="2" width="18.85546875" style="184" customWidth="1"/>
    <col min="3" max="3" width="27.85546875" style="184" customWidth="1"/>
    <col min="4" max="4" width="9.5703125" style="184" customWidth="1"/>
    <col min="5" max="5" width="24.7109375" style="184" customWidth="1"/>
    <col min="6" max="6" width="10" style="184" customWidth="1"/>
    <col min="7" max="7" width="24.7109375" style="184" customWidth="1"/>
    <col min="8" max="8" width="10" style="184" customWidth="1"/>
    <col min="9" max="9" width="1" style="44" customWidth="1"/>
  </cols>
  <sheetData>
    <row r="1" spans="2:9" s="172" customFormat="1" ht="23.25" x14ac:dyDescent="0.35">
      <c r="B1" s="313" t="str">
        <f>CONCATENATE("ORDEN DE PRODUCCION:    ",Ordenes!K2)</f>
        <v xml:space="preserve">ORDEN DE PRODUCCION:    </v>
      </c>
      <c r="C1" s="184"/>
      <c r="D1" s="313" t="str">
        <f>Ordenes!$F$2</f>
        <v>OP1322</v>
      </c>
      <c r="E1" s="184"/>
      <c r="F1" s="184"/>
      <c r="G1" s="184"/>
      <c r="H1" s="184"/>
    </row>
    <row r="2" spans="2:9" ht="4.5" customHeight="1" x14ac:dyDescent="0.25">
      <c r="I2" s="66"/>
    </row>
    <row r="3" spans="2:9" s="184" customFormat="1" x14ac:dyDescent="0.25">
      <c r="B3" s="182" t="s">
        <v>13</v>
      </c>
      <c r="C3" s="183">
        <f ca="1">+Ordenes!$C$3</f>
        <v>46006</v>
      </c>
      <c r="E3" s="185"/>
      <c r="F3" s="186"/>
    </row>
    <row r="4" spans="2:9" s="184" customFormat="1" x14ac:dyDescent="0.25">
      <c r="B4" s="182" t="s">
        <v>4</v>
      </c>
      <c r="C4" s="222" t="str">
        <f>+Ordenes!$C$4</f>
        <v>Balde Payero Romano</v>
      </c>
      <c r="D4" s="191" t="s">
        <v>494</v>
      </c>
      <c r="E4" s="226" t="str">
        <f>IF(Ordenes!$D$4 = "", "",Ordenes!$D$4)</f>
        <v/>
      </c>
      <c r="F4" s="187" t="s">
        <v>3</v>
      </c>
      <c r="G4" s="188" t="str">
        <f>Ordenes!$F$3</f>
        <v>HT-320 A</v>
      </c>
    </row>
    <row r="5" spans="2:9" s="184" customFormat="1" ht="15" customHeight="1" x14ac:dyDescent="0.3">
      <c r="B5" s="182" t="s">
        <v>90</v>
      </c>
      <c r="C5" s="349">
        <f>Ordenes!$K$21</f>
        <v>1005.7471264367815</v>
      </c>
      <c r="G5" s="506" t="str">
        <f>CONCATENATE("https://docs.google.com/forms/d/e/1FAIpQLSdf85x8DVmY_szgqvlwBgOWcdJWLqJZI5IafMdygaNk-QcA8g/viewform?usp=pp_url&amp;entry.374896580=",SUBSTITUTE(D1," ","+"),"&amp;entry.1779940712=",G6,"&amp;entry.885430358=",SUBSTITUTE(G8," ","+"),"&amp;entry.873760233=",SUBSTITUTE(G4," ",+""))</f>
        <v>https://docs.google.com/forms/d/e/1FAIpQLSdf85x8DVmY_szgqvlwBgOWcdJWLqJZI5IafMdygaNk-QcA8g/viewform?usp=pp_url&amp;entry.374896580=OP1322&amp;entry.1779940712=BALDE+PLAYERO+ROMANO&amp;entry.885430358=87&amp;entry.873760233=HT-320A</v>
      </c>
    </row>
    <row r="6" spans="2:9" ht="15" customHeight="1" x14ac:dyDescent="0.25">
      <c r="G6" s="505" t="str">
        <f>SUBSTITUTE(SUBSTITUTE(B7," ","+"),"#","%23")</f>
        <v>BALDE+PLAYERO+ROMANO</v>
      </c>
      <c r="I6" s="66"/>
    </row>
    <row r="7" spans="2:9" s="56" customFormat="1" ht="15" customHeight="1" x14ac:dyDescent="0.25">
      <c r="B7" s="507" t="str">
        <f>+Ordenes!B7</f>
        <v>BALDE PLAYERO ROMANO</v>
      </c>
      <c r="D7" s="188"/>
      <c r="E7" s="188"/>
      <c r="F7" s="188"/>
      <c r="G7" s="188"/>
      <c r="H7" s="188"/>
      <c r="I7" s="78"/>
    </row>
    <row r="8" spans="2:9" s="184" customFormat="1" x14ac:dyDescent="0.25">
      <c r="B8" s="189" t="s">
        <v>214</v>
      </c>
      <c r="C8" s="205">
        <f>+Ordenes!$B$21</f>
        <v>2.1864067966016991</v>
      </c>
      <c r="E8" s="189" t="s">
        <v>213</v>
      </c>
      <c r="F8" s="190"/>
      <c r="G8" s="209">
        <f>+Ordenes!$D$7</f>
        <v>87</v>
      </c>
    </row>
    <row r="9" spans="2:9" s="184" customFormat="1" x14ac:dyDescent="0.25">
      <c r="B9" s="189" t="s">
        <v>215</v>
      </c>
      <c r="C9" s="206">
        <f>+Ordenes!$H$7</f>
        <v>23</v>
      </c>
      <c r="E9" s="189" t="s">
        <v>212</v>
      </c>
      <c r="F9" s="190"/>
      <c r="G9" s="209">
        <f>+Ordenes!$F$7</f>
        <v>176</v>
      </c>
    </row>
    <row r="10" spans="2:9" s="184" customFormat="1" x14ac:dyDescent="0.25">
      <c r="B10" s="189" t="s">
        <v>216</v>
      </c>
      <c r="C10" s="207">
        <f>+Ordenes!$E$7</f>
        <v>2</v>
      </c>
      <c r="E10" s="189" t="s">
        <v>217</v>
      </c>
      <c r="F10" s="190"/>
      <c r="G10" s="210">
        <f>+Ordenes!$F$21</f>
        <v>1.1363636363636364E-2</v>
      </c>
    </row>
    <row r="11" spans="2:9" s="184" customFormat="1" x14ac:dyDescent="0.25">
      <c r="B11" s="189" t="s">
        <v>221</v>
      </c>
      <c r="C11" s="208">
        <f>3600/Ordenes!$G$7</f>
        <v>120</v>
      </c>
      <c r="E11" s="189" t="s">
        <v>2</v>
      </c>
      <c r="F11" s="190"/>
      <c r="G11" s="211" t="str">
        <f>CONCATENATE(TEXT(Ordenes!$I$7,"DD/MM")," a ",TEXT(Ordenes!$A$21,"DD/MM"))</f>
        <v>20/11 a 22/11</v>
      </c>
    </row>
    <row r="12" spans="2:9" x14ac:dyDescent="0.25">
      <c r="B12" s="224"/>
      <c r="C12" s="224"/>
      <c r="G12" s="225"/>
      <c r="I12" s="66"/>
    </row>
    <row r="13" spans="2:9" x14ac:dyDescent="0.25">
      <c r="B13" s="226"/>
      <c r="C13" s="227"/>
      <c r="D13" s="227"/>
      <c r="E13" s="226"/>
      <c r="F13" s="226"/>
      <c r="G13" s="225"/>
      <c r="I13" s="66"/>
    </row>
    <row r="14" spans="2:9" x14ac:dyDescent="0.25">
      <c r="B14" s="228" t="s">
        <v>0</v>
      </c>
      <c r="C14" s="229" t="s">
        <v>210</v>
      </c>
      <c r="D14" s="229"/>
      <c r="E14" s="228" t="s">
        <v>479</v>
      </c>
      <c r="F14" s="228"/>
      <c r="G14" s="228" t="s">
        <v>478</v>
      </c>
      <c r="H14" s="228"/>
      <c r="I14" s="66"/>
    </row>
    <row r="15" spans="2:9" s="184" customFormat="1" x14ac:dyDescent="0.25">
      <c r="B15" s="245" t="str">
        <f>+Ordenes!B27</f>
        <v>Amarillo</v>
      </c>
      <c r="C15" s="249">
        <f>IF($B15="","",Ordenes!J27)</f>
        <v>176.98863636363637</v>
      </c>
      <c r="D15" s="249"/>
      <c r="E15" s="249">
        <f>IF(C15="","",C15*Ordenes!$F$21)</f>
        <v>2.0112345041322315</v>
      </c>
      <c r="F15" s="249"/>
      <c r="G15" s="350">
        <f>IF(C15="","",C15*1000/Ordenes!$D$7/Ordenes!$E$7)</f>
        <v>1017.1760710553815</v>
      </c>
      <c r="H15" s="248"/>
    </row>
    <row r="16" spans="2:9" s="184" customFormat="1" x14ac:dyDescent="0.25">
      <c r="B16" s="245" t="str">
        <f>+Ordenes!B28</f>
        <v>Azul</v>
      </c>
      <c r="C16" s="249">
        <f>IF($B16="","",Ordenes!J28)</f>
        <v>176.98863636363637</v>
      </c>
      <c r="D16" s="249"/>
      <c r="E16" s="249">
        <f>IF(C16="","",C16*Ordenes!$F$21)</f>
        <v>2.0112345041322315</v>
      </c>
      <c r="F16" s="249"/>
      <c r="G16" s="350">
        <f>IF(C16="","",C16*1000/Ordenes!$D$7/Ordenes!$E$7)</f>
        <v>1017.1760710553815</v>
      </c>
      <c r="H16" s="248"/>
    </row>
    <row r="17" spans="2:9" s="184" customFormat="1" x14ac:dyDescent="0.25">
      <c r="B17" s="245" t="str">
        <f>+Ordenes!B29</f>
        <v>Rojo</v>
      </c>
      <c r="C17" s="249">
        <f>IF($B17="","",Ordenes!J29)</f>
        <v>176.98863636363637</v>
      </c>
      <c r="D17" s="249"/>
      <c r="E17" s="249">
        <f>IF(C17="","",C17*Ordenes!$F$21)</f>
        <v>2.0112345041322315</v>
      </c>
      <c r="F17" s="249"/>
      <c r="G17" s="350">
        <f>IF(C17="","",C17*1000/Ordenes!$D$7/Ordenes!$E$7)</f>
        <v>1017.1760710553815</v>
      </c>
      <c r="H17" s="248"/>
    </row>
    <row r="18" spans="2:9" s="184" customFormat="1" x14ac:dyDescent="0.25">
      <c r="B18" s="245" t="str">
        <f>+Ordenes!B30</f>
        <v>Fucsia</v>
      </c>
      <c r="C18" s="249">
        <f>IF($B18="","",Ordenes!J30)</f>
        <v>176.98863636363637</v>
      </c>
      <c r="D18" s="249"/>
      <c r="E18" s="249">
        <f>IF(C18="","",C18*Ordenes!$F$21)</f>
        <v>2.0112345041322315</v>
      </c>
      <c r="F18" s="249"/>
      <c r="G18" s="350">
        <f>IF(C18="","",C18*1000/Ordenes!$D$7/Ordenes!$E$7)</f>
        <v>1017.1760710553815</v>
      </c>
      <c r="H18" s="248"/>
    </row>
    <row r="19" spans="2:9" x14ac:dyDescent="0.25">
      <c r="B19" s="245" t="str">
        <f>+Ordenes!B31</f>
        <v>Verde</v>
      </c>
      <c r="C19" s="249">
        <f>IF($B19="","",Ordenes!J31)</f>
        <v>176.98863636363637</v>
      </c>
      <c r="D19" s="249"/>
      <c r="E19" s="249">
        <f>IF(C19="","",C19*Ordenes!$F$21)</f>
        <v>2.0112345041322315</v>
      </c>
      <c r="F19" s="249"/>
      <c r="G19" s="350">
        <f>IF(C19="","",C19*1000/Ordenes!$D$7/Ordenes!$E$7)</f>
        <v>1017.1760710553815</v>
      </c>
      <c r="H19" s="248"/>
      <c r="I19" s="66"/>
    </row>
    <row r="20" spans="2:9" x14ac:dyDescent="0.25">
      <c r="B20" s="245" t="str">
        <f>+Ordenes!B32</f>
        <v>Lila</v>
      </c>
      <c r="C20" s="249">
        <f>IF($B20="","",Ordenes!J32)</f>
        <v>176.98863636363637</v>
      </c>
      <c r="D20" s="249"/>
      <c r="E20" s="249">
        <f>IF(C20="","",C20*Ordenes!$F$21)</f>
        <v>2.0112345041322315</v>
      </c>
      <c r="F20" s="249"/>
      <c r="G20" s="350">
        <f>IF(C20="","",C20*1000/Ordenes!$D$7/Ordenes!$E$7)</f>
        <v>1017.1760710553815</v>
      </c>
      <c r="H20" s="248"/>
      <c r="I20" s="66"/>
    </row>
    <row r="21" spans="2:9" s="63" customFormat="1" x14ac:dyDescent="0.25">
      <c r="B21" s="230"/>
      <c r="C21" s="231">
        <f>SUM(C15:C20)</f>
        <v>1061.9318181818182</v>
      </c>
      <c r="D21" s="231"/>
      <c r="E21" s="231">
        <f>SUM(E15:E20)</f>
        <v>12.067407024793388</v>
      </c>
      <c r="F21" s="231"/>
      <c r="G21" s="231">
        <f>SUM(G15:G20)</f>
        <v>6103.0564263322894</v>
      </c>
      <c r="H21" s="231"/>
      <c r="I21" s="66"/>
    </row>
    <row r="22" spans="2:9" s="44" customFormat="1" x14ac:dyDescent="0.25">
      <c r="B22" s="184"/>
      <c r="C22" s="184"/>
      <c r="D22" s="184"/>
      <c r="E22" s="184"/>
      <c r="F22" s="184"/>
      <c r="G22" s="184"/>
      <c r="H22" s="184"/>
    </row>
    <row r="23" spans="2:9" x14ac:dyDescent="0.25">
      <c r="B23" s="232" t="s">
        <v>132</v>
      </c>
      <c r="C23" s="233"/>
      <c r="D23" s="233"/>
      <c r="E23" s="233"/>
      <c r="F23" s="233"/>
      <c r="G23" s="233"/>
      <c r="H23" s="233"/>
      <c r="I23" s="66"/>
    </row>
    <row r="24" spans="2:9" s="184" customFormat="1" x14ac:dyDescent="0.25">
      <c r="F24" s="191" t="s">
        <v>62</v>
      </c>
      <c r="G24" s="191"/>
    </row>
    <row r="25" spans="2:9" s="192" customFormat="1" x14ac:dyDescent="0.25">
      <c r="C25" s="193" t="str">
        <f>IF(D25=0,"","Virgen 1")</f>
        <v/>
      </c>
      <c r="D25" s="192">
        <f>+Ordenes!C33</f>
        <v>0</v>
      </c>
      <c r="F25" s="194">
        <f>Temporal!J11</f>
        <v>536.99961260330588</v>
      </c>
      <c r="G25" s="195"/>
      <c r="H25" s="196"/>
    </row>
    <row r="26" spans="2:9" s="192" customFormat="1" x14ac:dyDescent="0.25">
      <c r="C26" s="193" t="str">
        <f>IF(D26=0,"","Virgen 2")</f>
        <v/>
      </c>
      <c r="D26" s="192">
        <f>+Ordenes!D33</f>
        <v>0</v>
      </c>
      <c r="F26" s="194">
        <f>Temporal!K11</f>
        <v>0</v>
      </c>
      <c r="G26" s="195"/>
      <c r="H26" s="196"/>
    </row>
    <row r="27" spans="2:9" s="192" customFormat="1" x14ac:dyDescent="0.25">
      <c r="C27" s="193" t="str">
        <f>IF(D27=0,"","Segunda")</f>
        <v/>
      </c>
      <c r="D27" s="192">
        <f>+Ordenes!E33</f>
        <v>0</v>
      </c>
      <c r="F27" s="197">
        <f>Temporal!L11</f>
        <v>536.99961260330588</v>
      </c>
      <c r="G27" s="195"/>
      <c r="H27" s="196"/>
    </row>
    <row r="28" spans="2:9" s="192" customFormat="1" x14ac:dyDescent="0.25">
      <c r="F28" s="198">
        <f>SUM(F25:F27)</f>
        <v>1073.9992252066118</v>
      </c>
    </row>
    <row r="29" spans="2:9" x14ac:dyDescent="0.25">
      <c r="I29" s="66"/>
    </row>
    <row r="30" spans="2:9" x14ac:dyDescent="0.25">
      <c r="B30" s="234" t="s">
        <v>222</v>
      </c>
      <c r="C30" s="235"/>
      <c r="D30" s="236"/>
      <c r="F30" s="237"/>
      <c r="I30" s="66"/>
    </row>
    <row r="31" spans="2:9" x14ac:dyDescent="0.25">
      <c r="B31" s="238" t="s">
        <v>219</v>
      </c>
      <c r="C31" s="238" t="s">
        <v>141</v>
      </c>
      <c r="D31" s="238" t="s">
        <v>19</v>
      </c>
      <c r="E31" s="238" t="s">
        <v>142</v>
      </c>
      <c r="F31" s="238" t="s">
        <v>19</v>
      </c>
      <c r="G31" s="238" t="s">
        <v>133</v>
      </c>
      <c r="H31" s="238" t="s">
        <v>19</v>
      </c>
      <c r="I31" s="66"/>
    </row>
    <row r="32" spans="2:9" s="188" customFormat="1" x14ac:dyDescent="0.25">
      <c r="B32" s="212" t="str">
        <f>+Ordenes!B27</f>
        <v>Amarillo</v>
      </c>
      <c r="C32" s="212" t="str">
        <f>IF(Ordenes!C27="","",CONCATENATE(Ordenes!C27," = ",TEXT(Ordenes!G27,"#/6")))</f>
        <v>PP Clarif. (Mayor 80 ) = 3/6</v>
      </c>
      <c r="D32" s="212">
        <f>+Temporal!J5</f>
        <v>89.499935433884318</v>
      </c>
      <c r="E32" s="212" t="str">
        <f>IF(Ordenes!D27="","",CONCATENATE(Ordenes!D27," = ",TEXT(Ordenes!H27,"#/6")))</f>
        <v/>
      </c>
      <c r="F32" s="212">
        <f>+Temporal!K5</f>
        <v>0</v>
      </c>
      <c r="G32" s="212" t="str">
        <f>IF(Ordenes!E27="","",CONCATENATE(Ordenes!E27," = ",TEXT(Ordenes!I27,"#/6")))</f>
        <v>PP Iny. Molido Segunda = 3/6</v>
      </c>
      <c r="H32" s="212">
        <f>+Temporal!L5</f>
        <v>89.499935433884318</v>
      </c>
    </row>
    <row r="33" spans="2:9" s="188" customFormat="1" x14ac:dyDescent="0.25">
      <c r="B33" s="212" t="str">
        <f>+Ordenes!B28</f>
        <v>Azul</v>
      </c>
      <c r="C33" s="212" t="str">
        <f>IF(Ordenes!C28="","",CONCATENATE(Ordenes!C28," = ",TEXT(Ordenes!G28,"#/6")))</f>
        <v>PP Clarif. (Mayor 80 ) = 3/6</v>
      </c>
      <c r="D33" s="212">
        <f>+Temporal!J6</f>
        <v>89.499935433884318</v>
      </c>
      <c r="E33" s="212" t="str">
        <f>IF(Ordenes!D28="","",CONCATENATE(Ordenes!D28," = ",TEXT(Ordenes!H28,"#/6")))</f>
        <v/>
      </c>
      <c r="F33" s="212">
        <f>+Temporal!K6</f>
        <v>0</v>
      </c>
      <c r="G33" s="212" t="str">
        <f>IF(Ordenes!E28="","",CONCATENATE(Ordenes!E28," = ",TEXT(Ordenes!I28,"#/6")))</f>
        <v>PP Iny. Molido Segunda = 3/6</v>
      </c>
      <c r="H33" s="212">
        <f>+Temporal!L6</f>
        <v>89.499935433884318</v>
      </c>
    </row>
    <row r="34" spans="2:9" s="188" customFormat="1" x14ac:dyDescent="0.25">
      <c r="B34" s="212" t="str">
        <f>+Ordenes!B29</f>
        <v>Rojo</v>
      </c>
      <c r="C34" s="212" t="str">
        <f>IF(Ordenes!C29="","",CONCATENATE(Ordenes!C29," = ",TEXT(Ordenes!G29,"#/6")))</f>
        <v>PP Clarif. (Mayor 80 ) = 3/6</v>
      </c>
      <c r="D34" s="212">
        <f>+Temporal!J7</f>
        <v>89.499935433884318</v>
      </c>
      <c r="E34" s="212" t="str">
        <f>IF(Ordenes!D29="","",CONCATENATE(Ordenes!D29," = ",TEXT(Ordenes!H29,"#/6")))</f>
        <v/>
      </c>
      <c r="F34" s="212">
        <f>+Temporal!K7</f>
        <v>0</v>
      </c>
      <c r="G34" s="212" t="str">
        <f>IF(Ordenes!E29="","",CONCATENATE(Ordenes!E29," = ",TEXT(Ordenes!I29,"#/6")))</f>
        <v>PP Iny. Molido Segunda = 3/6</v>
      </c>
      <c r="H34" s="212">
        <f>+Temporal!L7</f>
        <v>89.499935433884318</v>
      </c>
    </row>
    <row r="35" spans="2:9" s="188" customFormat="1" x14ac:dyDescent="0.25">
      <c r="B35" s="212" t="str">
        <f>+Ordenes!B30</f>
        <v>Fucsia</v>
      </c>
      <c r="C35" s="212" t="str">
        <f>IF(Ordenes!C30="","",CONCATENATE(Ordenes!C30," = ",TEXT(Ordenes!G30,"#/6")))</f>
        <v>PP Clarif. (Mayor 80 ) = 3/6</v>
      </c>
      <c r="D35" s="212">
        <f>+Temporal!J8</f>
        <v>89.499935433884318</v>
      </c>
      <c r="E35" s="212" t="str">
        <f>IF(Ordenes!D30="","",CONCATENATE(Ordenes!D30," = ",TEXT(Ordenes!H30,"#/6")))</f>
        <v/>
      </c>
      <c r="F35" s="212">
        <f>+Temporal!K8</f>
        <v>0</v>
      </c>
      <c r="G35" s="212" t="str">
        <f>IF(Ordenes!E30="","",CONCATENATE(Ordenes!E30," = ",TEXT(Ordenes!I30,"#/6")))</f>
        <v>PP Iny. Molido Segunda = 3/6</v>
      </c>
      <c r="H35" s="212">
        <f>+Temporal!L8</f>
        <v>89.499935433884318</v>
      </c>
    </row>
    <row r="36" spans="2:9" s="188" customFormat="1" x14ac:dyDescent="0.25">
      <c r="B36" s="212" t="str">
        <f>+Ordenes!B31</f>
        <v>Verde</v>
      </c>
      <c r="C36" s="212" t="str">
        <f>IF(Ordenes!C31="","",CONCATENATE(Ordenes!C31," = ",TEXT(Ordenes!G31,"#/6")))</f>
        <v>PP Clarif. (Mayor 80 ) = 3/6</v>
      </c>
      <c r="D36" s="212">
        <f>+Temporal!J9</f>
        <v>89.499935433884318</v>
      </c>
      <c r="E36" s="212" t="str">
        <f>IF(Ordenes!D31="","",CONCATENATE(Ordenes!D31," = ",TEXT(Ordenes!H31,"#/6")))</f>
        <v/>
      </c>
      <c r="F36" s="212">
        <f>+Temporal!K9</f>
        <v>0</v>
      </c>
      <c r="G36" s="212" t="str">
        <f>IF(Ordenes!E31="","",CONCATENATE(Ordenes!E31," = ",TEXT(Ordenes!I31,"#/6")))</f>
        <v>PP Iny. Molido Segunda = 3/6</v>
      </c>
      <c r="H36" s="212">
        <f>+Temporal!L9</f>
        <v>89.499935433884318</v>
      </c>
    </row>
    <row r="37" spans="2:9" s="188" customFormat="1" x14ac:dyDescent="0.25">
      <c r="B37" s="212" t="str">
        <f>+Ordenes!B32</f>
        <v>Lila</v>
      </c>
      <c r="C37" s="212" t="str">
        <f>IF(Ordenes!C32="","",CONCATENATE(Ordenes!C32," = ",TEXT(Ordenes!G32,"#/6")))</f>
        <v>PP Clarif. (Mayor 80 ) = 3/6</v>
      </c>
      <c r="D37" s="212">
        <f>+Temporal!J10</f>
        <v>89.499935433884318</v>
      </c>
      <c r="E37" s="212" t="str">
        <f>IF(Ordenes!D32="","",CONCATENATE(Ordenes!D32," = ",TEXT(Ordenes!H32,"#/6")))</f>
        <v/>
      </c>
      <c r="F37" s="212">
        <f>+Temporal!K10</f>
        <v>0</v>
      </c>
      <c r="G37" s="212" t="str">
        <f>IF(Ordenes!E32="","",CONCATENATE(Ordenes!E32," = ",TEXT(Ordenes!I32,"#/6")))</f>
        <v>PP Iny. Molido Segunda = 3/6</v>
      </c>
      <c r="H37" s="212">
        <f>+Temporal!L10</f>
        <v>89.499935433884318</v>
      </c>
    </row>
    <row r="38" spans="2:9" s="167" customFormat="1" x14ac:dyDescent="0.25">
      <c r="B38" s="239"/>
      <c r="C38" s="239"/>
      <c r="D38" s="240">
        <f>SUM(D32:D37)</f>
        <v>536.99961260330588</v>
      </c>
      <c r="E38" s="240"/>
      <c r="F38" s="239">
        <f>SUM(F32:F37)</f>
        <v>0</v>
      </c>
      <c r="G38" s="239"/>
      <c r="H38" s="371">
        <f>SUM(H32:H37)</f>
        <v>536.99961260330588</v>
      </c>
      <c r="I38" s="166"/>
    </row>
    <row r="39" spans="2:9" x14ac:dyDescent="0.25">
      <c r="D39" s="237"/>
      <c r="F39" s="237"/>
      <c r="I39" s="66"/>
    </row>
    <row r="40" spans="2:9" x14ac:dyDescent="0.25">
      <c r="B40" s="241" t="s">
        <v>188</v>
      </c>
      <c r="C40" s="242" t="s">
        <v>443</v>
      </c>
      <c r="D40" s="233"/>
      <c r="E40" s="233"/>
      <c r="F40" s="233"/>
      <c r="G40" s="233"/>
      <c r="H40" s="233"/>
      <c r="I40" s="66"/>
    </row>
    <row r="41" spans="2:9" s="56" customFormat="1" x14ac:dyDescent="0.25">
      <c r="B41" s="188"/>
      <c r="C41" s="243" t="str">
        <f>+Ordenes!B27</f>
        <v>Amarillo</v>
      </c>
      <c r="D41" s="243" t="s">
        <v>220</v>
      </c>
      <c r="E41" s="243" t="str">
        <f>+Ordenes!B28</f>
        <v>Azul</v>
      </c>
      <c r="F41" s="243" t="s">
        <v>220</v>
      </c>
      <c r="G41" s="243" t="str">
        <f>+Ordenes!B29</f>
        <v>Rojo</v>
      </c>
      <c r="H41" s="243" t="s">
        <v>220</v>
      </c>
      <c r="I41" s="78"/>
    </row>
    <row r="42" spans="2:9" s="188" customFormat="1" x14ac:dyDescent="0.25">
      <c r="C42" s="246" t="str">
        <f>Ordenes!B40</f>
        <v>Amarillo CH 1041</v>
      </c>
      <c r="D42" s="212">
        <f>Ordenes!F40*2</f>
        <v>60</v>
      </c>
      <c r="E42" s="246" t="str">
        <f>Ordenes!B41</f>
        <v>Azul UltramarEP-24</v>
      </c>
      <c r="F42" s="212">
        <f>Ordenes!F41*2</f>
        <v>120</v>
      </c>
      <c r="G42" s="246" t="str">
        <f>Ordenes!B42</f>
        <v>Rojo R120</v>
      </c>
      <c r="H42" s="212">
        <f>Ordenes!F42*2</f>
        <v>80</v>
      </c>
    </row>
    <row r="43" spans="2:9" s="188" customFormat="1" x14ac:dyDescent="0.25">
      <c r="C43" s="246" t="str">
        <f>Ordenes!C40</f>
        <v>Dioxido de Titanio 2220</v>
      </c>
      <c r="D43" s="212">
        <f>Ordenes!G40*2</f>
        <v>10</v>
      </c>
      <c r="E43" s="246" t="str">
        <f>Ordenes!C41</f>
        <v>Dioxido de Titanio 2220</v>
      </c>
      <c r="F43" s="212">
        <f>Ordenes!G41*2</f>
        <v>10</v>
      </c>
      <c r="G43" s="246" t="str">
        <f>Ordenes!C42</f>
        <v>Dioxido de Titanio 2220</v>
      </c>
      <c r="H43" s="212">
        <f>Ordenes!G42*2</f>
        <v>10</v>
      </c>
    </row>
    <row r="44" spans="2:9" s="188" customFormat="1" x14ac:dyDescent="0.25">
      <c r="C44" s="246">
        <f>Ordenes!D40</f>
        <v>0</v>
      </c>
      <c r="D44" s="212">
        <f>Ordenes!H40*2</f>
        <v>0</v>
      </c>
      <c r="E44" s="246">
        <f>Ordenes!D41</f>
        <v>0</v>
      </c>
      <c r="F44" s="212">
        <f>Ordenes!H41*2</f>
        <v>0</v>
      </c>
      <c r="G44" s="246">
        <f>Ordenes!D42</f>
        <v>0</v>
      </c>
      <c r="H44" s="212">
        <f>Ordenes!H42*2</f>
        <v>0</v>
      </c>
    </row>
    <row r="45" spans="2:9" s="188" customFormat="1" x14ac:dyDescent="0.25">
      <c r="C45" s="247">
        <f>Ordenes!E40</f>
        <v>0</v>
      </c>
      <c r="D45" s="212">
        <f>Ordenes!I40*2</f>
        <v>0</v>
      </c>
      <c r="E45" s="246">
        <f>Ordenes!E41</f>
        <v>0</v>
      </c>
      <c r="F45" s="212">
        <f>Ordenes!I41*2</f>
        <v>0</v>
      </c>
      <c r="G45" s="246">
        <f>Ordenes!E42</f>
        <v>0</v>
      </c>
      <c r="H45" s="212">
        <f>Ordenes!I42*2</f>
        <v>0</v>
      </c>
    </row>
    <row r="46" spans="2:9" s="168" customFormat="1" x14ac:dyDescent="0.25">
      <c r="B46" s="188"/>
      <c r="C46" s="243" t="str">
        <f>+Ordenes!B30</f>
        <v>Fucsia</v>
      </c>
      <c r="D46" s="243"/>
      <c r="E46" s="243" t="str">
        <f>+Ordenes!B31</f>
        <v>Verde</v>
      </c>
      <c r="F46" s="243"/>
      <c r="G46" s="243" t="str">
        <f>+Ordenes!B32</f>
        <v>Lila</v>
      </c>
      <c r="H46" s="243"/>
      <c r="I46" s="78"/>
    </row>
    <row r="47" spans="2:9" s="188" customFormat="1" x14ac:dyDescent="0.25">
      <c r="C47" s="246" t="str">
        <f>Ordenes!B43</f>
        <v>Magenta 21</v>
      </c>
      <c r="D47" s="212">
        <f>Ordenes!F43*2</f>
        <v>80</v>
      </c>
      <c r="E47" s="246" t="str">
        <f>Ordenes!B44</f>
        <v>Verde 7041</v>
      </c>
      <c r="F47" s="212">
        <f>Ordenes!F44*2</f>
        <v>40</v>
      </c>
      <c r="G47" s="246" t="str">
        <f>Ordenes!B45</f>
        <v>Dioxido de Titanio 2220</v>
      </c>
      <c r="H47" s="212">
        <f>Ordenes!F45*2</f>
        <v>10</v>
      </c>
    </row>
    <row r="48" spans="2:9" s="188" customFormat="1" x14ac:dyDescent="0.25">
      <c r="C48" s="246" t="str">
        <f>Ordenes!C43</f>
        <v>Dioxido de Titanio 2220</v>
      </c>
      <c r="D48" s="212">
        <f>Ordenes!G43*2</f>
        <v>10</v>
      </c>
      <c r="E48" s="246" t="str">
        <f>Ordenes!C44</f>
        <v>Amarillo CH 1041</v>
      </c>
      <c r="F48" s="212">
        <f>Ordenes!G44*2</f>
        <v>10</v>
      </c>
      <c r="G48" s="246" t="str">
        <f>Ordenes!C45</f>
        <v>Magenta 21</v>
      </c>
      <c r="H48" s="212">
        <f>Ordenes!G45*2</f>
        <v>80</v>
      </c>
    </row>
    <row r="49" spans="2:9" s="188" customFormat="1" x14ac:dyDescent="0.25">
      <c r="C49" s="246">
        <f>Ordenes!D43</f>
        <v>0</v>
      </c>
      <c r="D49" s="212">
        <f>+Ordenes!H43*2</f>
        <v>0</v>
      </c>
      <c r="E49" s="246" t="str">
        <f>Ordenes!D44</f>
        <v>Dioxido de Titanio 2220</v>
      </c>
      <c r="F49" s="212">
        <f>Ordenes!H44*2</f>
        <v>10</v>
      </c>
      <c r="G49" s="246" t="str">
        <f>Ordenes!D45</f>
        <v>Azul UltramarEP-24</v>
      </c>
      <c r="H49" s="212">
        <f>Ordenes!H45*2</f>
        <v>84</v>
      </c>
    </row>
    <row r="50" spans="2:9" s="188" customFormat="1" x14ac:dyDescent="0.25">
      <c r="C50" s="246">
        <f>Ordenes!E43</f>
        <v>0</v>
      </c>
      <c r="D50" s="212">
        <f>Ordenes!I43*2</f>
        <v>0</v>
      </c>
      <c r="E50" s="246">
        <f>Ordenes!E44</f>
        <v>0</v>
      </c>
      <c r="F50" s="212">
        <f>Ordenes!I44*2</f>
        <v>0</v>
      </c>
      <c r="G50" s="246">
        <f>Ordenes!E45</f>
        <v>0</v>
      </c>
      <c r="H50" s="212">
        <f>Ordenes!I45*2</f>
        <v>0</v>
      </c>
    </row>
    <row r="51" spans="2:9" x14ac:dyDescent="0.25">
      <c r="B51" s="233"/>
      <c r="C51" s="233"/>
      <c r="D51" s="233"/>
      <c r="E51" s="244"/>
      <c r="F51" s="244"/>
      <c r="G51" s="233"/>
      <c r="H51" s="233"/>
      <c r="I51" s="66"/>
    </row>
    <row r="53" spans="2:9" x14ac:dyDescent="0.25">
      <c r="B53" s="184" t="s">
        <v>653</v>
      </c>
    </row>
    <row r="54" spans="2:9" x14ac:dyDescent="0.25">
      <c r="B54" s="184" t="str">
        <f>InsertarQR(C56,G5,150)</f>
        <v>OK</v>
      </c>
    </row>
  </sheetData>
  <pageMargins left="0.25" right="0.25" top="0.33" bottom="0.75" header="0.3" footer="0.3"/>
  <pageSetup paperSize="9" scale="26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tabColor theme="3" tint="-0.249977111117893"/>
    <pageSetUpPr fitToPage="1"/>
  </sheetPr>
  <dimension ref="B1:AB52"/>
  <sheetViews>
    <sheetView zoomScale="82" zoomScaleNormal="82" workbookViewId="0">
      <selection activeCell="H7" sqref="H7:J7"/>
    </sheetView>
  </sheetViews>
  <sheetFormatPr baseColWidth="10" defaultRowHeight="15" x14ac:dyDescent="0.25"/>
  <cols>
    <col min="1" max="1" width="2.140625" customWidth="1"/>
    <col min="2" max="2" width="5.7109375" style="309" customWidth="1"/>
    <col min="3" max="3" width="13.42578125" style="308" customWidth="1"/>
    <col min="4" max="4" width="17.140625" style="308" customWidth="1"/>
    <col min="5" max="5" width="11.28515625" style="308" customWidth="1"/>
    <col min="6" max="6" width="13.85546875" style="309" customWidth="1"/>
    <col min="7" max="7" width="6.42578125" style="396" customWidth="1"/>
    <col min="8" max="8" width="11.140625" style="308" customWidth="1"/>
    <col min="9" max="9" width="12.140625" style="308" customWidth="1"/>
    <col min="10" max="10" width="10" style="308" customWidth="1"/>
    <col min="11" max="11" width="12.140625" style="308" customWidth="1"/>
    <col min="12" max="12" width="11.140625" style="308" customWidth="1"/>
    <col min="13" max="13" width="5.140625" style="308" customWidth="1"/>
    <col min="14" max="14" width="12.7109375" style="308" customWidth="1"/>
    <col min="15" max="15" width="9.42578125" style="308" customWidth="1"/>
    <col min="16" max="20" width="9" style="308" customWidth="1"/>
    <col min="21" max="21" width="17" style="308" customWidth="1"/>
    <col min="22" max="22" width="10.42578125" style="308" customWidth="1"/>
    <col min="23" max="23" width="9" customWidth="1"/>
    <col min="24" max="24" width="8.85546875" customWidth="1"/>
    <col min="25" max="25" width="7.85546875" customWidth="1"/>
    <col min="27" max="27" width="20.5703125" bestFit="1" customWidth="1"/>
    <col min="28" max="28" width="20.28515625" style="63" bestFit="1" customWidth="1"/>
  </cols>
  <sheetData>
    <row r="1" spans="2:28" s="320" customFormat="1" ht="30" customHeight="1" x14ac:dyDescent="0.25">
      <c r="B1" s="323" t="s">
        <v>487</v>
      </c>
      <c r="C1" s="321"/>
      <c r="D1" s="321"/>
      <c r="E1" s="321"/>
      <c r="F1" s="311"/>
      <c r="G1" s="395"/>
      <c r="H1" s="324" t="str">
        <f>+Ordenes!F2</f>
        <v>OP1322</v>
      </c>
      <c r="I1" s="321"/>
      <c r="J1" s="522" t="s">
        <v>2</v>
      </c>
      <c r="K1" s="522"/>
      <c r="L1" s="523" t="str">
        <f ca="1">TEXT(Ordenes!$C$3,"DD/MM/YY")</f>
        <v>15/12/25</v>
      </c>
      <c r="M1" s="523"/>
      <c r="N1" s="523"/>
      <c r="O1" s="394" t="s">
        <v>8</v>
      </c>
      <c r="P1" s="527" t="str">
        <f>Ordenes!$B$7</f>
        <v>BALDE PLAYERO ROMANO</v>
      </c>
      <c r="Q1" s="527"/>
      <c r="R1" s="527"/>
      <c r="S1" s="527"/>
      <c r="T1" s="513" t="s">
        <v>491</v>
      </c>
      <c r="U1" s="513"/>
      <c r="V1" s="447" t="str">
        <f>+Ordenes!F3</f>
        <v>HT-320 A</v>
      </c>
      <c r="W1" s="322"/>
    </row>
    <row r="2" spans="2:28" s="172" customFormat="1" ht="13.5" customHeight="1" thickBot="1" x14ac:dyDescent="0.4">
      <c r="B2" s="310"/>
      <c r="C2" s="307"/>
      <c r="D2" s="307"/>
      <c r="E2" s="307"/>
      <c r="F2" s="310"/>
      <c r="G2" s="396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</row>
    <row r="3" spans="2:28" s="325" customFormat="1" ht="13.5" customHeight="1" thickBot="1" x14ac:dyDescent="0.3">
      <c r="B3" s="448"/>
      <c r="C3" s="514" t="s">
        <v>132</v>
      </c>
      <c r="D3" s="515"/>
      <c r="E3" s="455" t="s">
        <v>41</v>
      </c>
      <c r="F3" s="462" t="s">
        <v>489</v>
      </c>
      <c r="G3" s="463"/>
      <c r="H3" s="515" t="s">
        <v>488</v>
      </c>
      <c r="I3" s="515"/>
      <c r="J3" s="515"/>
      <c r="K3" s="456" t="s">
        <v>220</v>
      </c>
      <c r="L3" s="457"/>
      <c r="M3" s="457"/>
      <c r="N3" s="458"/>
      <c r="O3" s="524" t="s">
        <v>132</v>
      </c>
      <c r="P3" s="525"/>
      <c r="Q3" s="526"/>
      <c r="R3" s="459" t="s">
        <v>41</v>
      </c>
      <c r="S3" s="455" t="s">
        <v>489</v>
      </c>
      <c r="T3" s="515" t="s">
        <v>490</v>
      </c>
      <c r="U3" s="515"/>
      <c r="V3" s="456" t="s">
        <v>220</v>
      </c>
      <c r="W3" s="460"/>
      <c r="X3" s="449"/>
    </row>
    <row r="4" spans="2:28" s="315" customFormat="1" ht="18" customHeight="1" x14ac:dyDescent="0.25">
      <c r="B4" s="535" t="str">
        <f>+Ordenes!$B$27</f>
        <v>Amarillo</v>
      </c>
      <c r="C4" s="516" t="str">
        <f>IF(Ordenes!C27="","",CONCATENATE(Ordenes!C27,"   =   ",Ordenes!G27*6))</f>
        <v>PP Clarif. (Mayor 80 )   =   3</v>
      </c>
      <c r="D4" s="517"/>
      <c r="E4" s="465">
        <f>+Temporal!AA5</f>
        <v>12.5</v>
      </c>
      <c r="F4" s="528">
        <v>125</v>
      </c>
      <c r="G4" s="529"/>
      <c r="H4" s="517" t="str">
        <f>+Ordenes!$B$40</f>
        <v>Amarillo CH 1041</v>
      </c>
      <c r="I4" s="517"/>
      <c r="J4" s="517"/>
      <c r="K4" s="466">
        <f>+Ordenes!$F$40*2</f>
        <v>60</v>
      </c>
      <c r="L4" s="467"/>
      <c r="M4" s="467"/>
      <c r="N4" s="541" t="str">
        <f>+Ordenes!$B$30</f>
        <v>Fucsia</v>
      </c>
      <c r="O4" s="547" t="str">
        <f>IF(Ordenes!C30="","",CONCATENATE(Ordenes!C30,"    =    ",Ordenes!G30*6))</f>
        <v>PP Clarif. (Mayor 80 )    =    3</v>
      </c>
      <c r="P4" s="548"/>
      <c r="Q4" s="516"/>
      <c r="R4" s="468">
        <f>+Temporal!AA8</f>
        <v>12.5</v>
      </c>
      <c r="S4" s="538">
        <v>125</v>
      </c>
      <c r="T4" s="517" t="str">
        <f>+Ordenes!$B$43</f>
        <v>Magenta 21</v>
      </c>
      <c r="U4" s="517"/>
      <c r="V4" s="466">
        <f>+Ordenes!$F$43*2</f>
        <v>80</v>
      </c>
      <c r="W4" s="469"/>
      <c r="X4" s="450"/>
    </row>
    <row r="5" spans="2:28" s="316" customFormat="1" ht="18" customHeight="1" x14ac:dyDescent="0.25">
      <c r="B5" s="536"/>
      <c r="C5" s="518" t="str">
        <f>IF(Ordenes!D27="","",CONCATENATE(Ordenes!D27,"  =   ",Ordenes!H27*6))</f>
        <v/>
      </c>
      <c r="D5" s="519"/>
      <c r="E5" s="470">
        <f>+Temporal!AB5</f>
        <v>0</v>
      </c>
      <c r="F5" s="530"/>
      <c r="G5" s="531"/>
      <c r="H5" s="519" t="str">
        <f>+Ordenes!$C$40</f>
        <v>Dioxido de Titanio 2220</v>
      </c>
      <c r="I5" s="519"/>
      <c r="J5" s="519"/>
      <c r="K5" s="471">
        <f>+Ordenes!$G$40*2</f>
        <v>10</v>
      </c>
      <c r="L5" s="472"/>
      <c r="M5" s="472"/>
      <c r="N5" s="542"/>
      <c r="O5" s="545" t="str">
        <f>IF(Ordenes!D30="","",CONCATENATE(Ordenes!D30,"    =    ",Ordenes!H30*6))</f>
        <v/>
      </c>
      <c r="P5" s="546"/>
      <c r="Q5" s="518"/>
      <c r="R5" s="473">
        <f>+Temporal!AB8</f>
        <v>0</v>
      </c>
      <c r="S5" s="539"/>
      <c r="T5" s="519" t="str">
        <f>+Ordenes!$C$43</f>
        <v>Dioxido de Titanio 2220</v>
      </c>
      <c r="U5" s="519"/>
      <c r="V5" s="471">
        <f>+Ordenes!$G$43*2</f>
        <v>10</v>
      </c>
      <c r="W5" s="474"/>
      <c r="X5" s="451"/>
    </row>
    <row r="6" spans="2:28" s="316" customFormat="1" ht="18" customHeight="1" thickBot="1" x14ac:dyDescent="0.3">
      <c r="B6" s="537"/>
      <c r="C6" s="520" t="str">
        <f>IF(Ordenes!E27="","",CONCATENATE(Ordenes!E27,"     =     ",Ordenes!I27*6))</f>
        <v>PP Iny. Molido Segunda     =     3</v>
      </c>
      <c r="D6" s="521"/>
      <c r="E6" s="475">
        <f>+Temporal!AC5</f>
        <v>12.5</v>
      </c>
      <c r="F6" s="532"/>
      <c r="G6" s="533"/>
      <c r="H6" s="521">
        <f>+Ordenes!$D$40</f>
        <v>0</v>
      </c>
      <c r="I6" s="521"/>
      <c r="J6" s="521"/>
      <c r="K6" s="476">
        <f>+Ordenes!$H$40*2</f>
        <v>0</v>
      </c>
      <c r="L6" s="472"/>
      <c r="M6" s="472"/>
      <c r="N6" s="543"/>
      <c r="O6" s="534" t="str">
        <f>IF(Ordenes!E30="","",CONCATENATE(Ordenes!E30,"    =    ",Ordenes!I30*6))</f>
        <v>PP Iny. Molido Segunda    =    3</v>
      </c>
      <c r="P6" s="544"/>
      <c r="Q6" s="520"/>
      <c r="R6" s="477">
        <f>+Temporal!AC8</f>
        <v>12.5</v>
      </c>
      <c r="S6" s="540"/>
      <c r="T6" s="521">
        <f>+Ordenes!$D$43</f>
        <v>0</v>
      </c>
      <c r="U6" s="521"/>
      <c r="V6" s="476">
        <f>+Ordenes!$H$43*2</f>
        <v>0</v>
      </c>
      <c r="W6" s="474"/>
      <c r="X6" s="451"/>
    </row>
    <row r="7" spans="2:28" s="317" customFormat="1" ht="18" customHeight="1" x14ac:dyDescent="0.3">
      <c r="B7" s="535" t="str">
        <f>+Ordenes!$B$28</f>
        <v>Azul</v>
      </c>
      <c r="C7" s="517" t="str">
        <f>IF(Ordenes!C28="","",CONCATENATE(Ordenes!C28,"     =    ",Ordenes!G28*6))</f>
        <v>PP Clarif. (Mayor 80 )     =    3</v>
      </c>
      <c r="D7" s="517"/>
      <c r="E7" s="465">
        <f>+Temporal!AA6</f>
        <v>12.5</v>
      </c>
      <c r="F7" s="528">
        <v>125</v>
      </c>
      <c r="G7" s="529"/>
      <c r="H7" s="517" t="str">
        <f>+Ordenes!$B$41</f>
        <v>Azul UltramarEP-24</v>
      </c>
      <c r="I7" s="517"/>
      <c r="J7" s="517"/>
      <c r="K7" s="466">
        <f>+Ordenes!$F$41*2</f>
        <v>120</v>
      </c>
      <c r="L7" s="478"/>
      <c r="M7" s="478"/>
      <c r="N7" s="541" t="str">
        <f>+Ordenes!$B$31</f>
        <v>Verde</v>
      </c>
      <c r="O7" s="547" t="str">
        <f>IF(Ordenes!C31="","",CONCATENATE(Ordenes!C31,"    =    ",Ordenes!G31*6))</f>
        <v>PP Clarif. (Mayor 80 )    =    3</v>
      </c>
      <c r="P7" s="548"/>
      <c r="Q7" s="516"/>
      <c r="R7" s="479">
        <f>+Temporal!AA9</f>
        <v>12.5</v>
      </c>
      <c r="S7" s="538">
        <v>125</v>
      </c>
      <c r="T7" s="557" t="str">
        <f>+Ordenes!$B$44</f>
        <v>Verde 7041</v>
      </c>
      <c r="U7" s="516"/>
      <c r="V7" s="466">
        <f>+Ordenes!$F$44*2</f>
        <v>40</v>
      </c>
      <c r="W7" s="480"/>
      <c r="X7" s="452"/>
    </row>
    <row r="8" spans="2:28" s="315" customFormat="1" ht="18" customHeight="1" x14ac:dyDescent="0.25">
      <c r="B8" s="536"/>
      <c r="C8" s="519" t="str">
        <f>IF(Ordenes!D28="","",CONCATENATE(Ordenes!D28,"     =    ",Ordenes!H28*6))</f>
        <v/>
      </c>
      <c r="D8" s="519"/>
      <c r="E8" s="470">
        <f>+Temporal!AB6</f>
        <v>0</v>
      </c>
      <c r="F8" s="530"/>
      <c r="G8" s="531"/>
      <c r="H8" s="519" t="str">
        <f>+Ordenes!$C$41</f>
        <v>Dioxido de Titanio 2220</v>
      </c>
      <c r="I8" s="519"/>
      <c r="J8" s="519"/>
      <c r="K8" s="471">
        <f>+Ordenes!$G$41*2</f>
        <v>10</v>
      </c>
      <c r="L8" s="467"/>
      <c r="M8" s="467"/>
      <c r="N8" s="542"/>
      <c r="O8" s="545" t="str">
        <f>IF(Ordenes!D31="","",CONCATENATE(Ordenes!D31,"    =    ",Ordenes!H31*6))</f>
        <v/>
      </c>
      <c r="P8" s="546"/>
      <c r="Q8" s="518"/>
      <c r="R8" s="481">
        <f>+Temporal!AB9</f>
        <v>0</v>
      </c>
      <c r="S8" s="539"/>
      <c r="T8" s="562" t="str">
        <f>+Ordenes!$C$44</f>
        <v>Amarillo CH 1041</v>
      </c>
      <c r="U8" s="518"/>
      <c r="V8" s="471">
        <f>+Ordenes!$G$44*2</f>
        <v>10</v>
      </c>
      <c r="W8" s="469"/>
      <c r="X8" s="450"/>
    </row>
    <row r="9" spans="2:28" s="315" customFormat="1" ht="18" customHeight="1" thickBot="1" x14ac:dyDescent="0.3">
      <c r="B9" s="537"/>
      <c r="C9" s="521" t="str">
        <f>IF(Ordenes!E28="","",CONCATENATE(Ordenes!E28,"    =    ",Ordenes!I28*6))</f>
        <v>PP Iny. Molido Segunda    =    3</v>
      </c>
      <c r="D9" s="521"/>
      <c r="E9" s="475">
        <f>+Temporal!AC6</f>
        <v>12.5</v>
      </c>
      <c r="F9" s="532"/>
      <c r="G9" s="533"/>
      <c r="H9" s="521">
        <f>+Ordenes!$D$41</f>
        <v>0</v>
      </c>
      <c r="I9" s="521"/>
      <c r="J9" s="521"/>
      <c r="K9" s="476">
        <f>+Ordenes!$H$41*2</f>
        <v>0</v>
      </c>
      <c r="L9" s="467"/>
      <c r="M9" s="467"/>
      <c r="N9" s="543"/>
      <c r="O9" s="534" t="str">
        <f>IF(Ordenes!E31="","",CONCATENATE(Ordenes!E31,"    =     ",Ordenes!I31*6))</f>
        <v>PP Iny. Molido Segunda    =     3</v>
      </c>
      <c r="P9" s="544"/>
      <c r="Q9" s="520"/>
      <c r="R9" s="482">
        <f>+Temporal!AC9</f>
        <v>12.5</v>
      </c>
      <c r="S9" s="540"/>
      <c r="T9" s="561" t="str">
        <f>+Ordenes!$D$44</f>
        <v>Dioxido de Titanio 2220</v>
      </c>
      <c r="U9" s="520"/>
      <c r="V9" s="476">
        <f>+Ordenes!$H$44*2</f>
        <v>10</v>
      </c>
      <c r="W9" s="469"/>
      <c r="X9" s="450"/>
    </row>
    <row r="10" spans="2:28" s="318" customFormat="1" ht="18" customHeight="1" x14ac:dyDescent="0.3">
      <c r="B10" s="535" t="str">
        <f>+Ordenes!$B$29</f>
        <v>Rojo</v>
      </c>
      <c r="C10" s="517" t="str">
        <f>IF(Ordenes!C29="","",CONCATENATE(Ordenes!C29,"    =     ",Ordenes!G29*6))</f>
        <v>PP Clarif. (Mayor 80 )    =     3</v>
      </c>
      <c r="D10" s="517"/>
      <c r="E10" s="465">
        <f>+Temporal!AA7</f>
        <v>12.5</v>
      </c>
      <c r="F10" s="528">
        <v>125</v>
      </c>
      <c r="G10" s="529"/>
      <c r="H10" s="517" t="str">
        <f>+Ordenes!$B$42</f>
        <v>Rojo R120</v>
      </c>
      <c r="I10" s="517"/>
      <c r="J10" s="517"/>
      <c r="K10" s="466">
        <f>+Ordenes!$F$42*2</f>
        <v>80</v>
      </c>
      <c r="L10" s="483"/>
      <c r="M10" s="483"/>
      <c r="N10" s="555" t="str">
        <f>+Ordenes!$B$32</f>
        <v>Lila</v>
      </c>
      <c r="O10" s="552" t="str">
        <f>IF(Ordenes!C32="","",CONCATENATE(Ordenes!C32,"     =     ",Ordenes!G32*6))</f>
        <v>PP Clarif. (Mayor 80 )     =     3</v>
      </c>
      <c r="P10" s="553"/>
      <c r="Q10" s="554"/>
      <c r="R10" s="484">
        <f>+Temporal!AA10</f>
        <v>12.5</v>
      </c>
      <c r="S10" s="538">
        <v>125</v>
      </c>
      <c r="T10" s="560" t="str">
        <f>+Ordenes!$B$45</f>
        <v>Dioxido de Titanio 2220</v>
      </c>
      <c r="U10" s="560"/>
      <c r="V10" s="485">
        <f>+Ordenes!$F$45*2</f>
        <v>10</v>
      </c>
      <c r="W10" s="486"/>
      <c r="X10" s="453"/>
      <c r="AB10" s="319"/>
    </row>
    <row r="11" spans="2:28" s="318" customFormat="1" ht="18" customHeight="1" thickBot="1" x14ac:dyDescent="0.35">
      <c r="B11" s="536"/>
      <c r="C11" s="519" t="str">
        <f>IF(Ordenes!D29="","",CONCATENATE(Ordenes!D29,"     =     ",Ordenes!H29*6))</f>
        <v/>
      </c>
      <c r="D11" s="519"/>
      <c r="E11" s="470">
        <f>+Temporal!AB7</f>
        <v>0</v>
      </c>
      <c r="F11" s="530"/>
      <c r="G11" s="531"/>
      <c r="H11" s="519" t="str">
        <f>+Ordenes!$C$42</f>
        <v>Dioxido de Titanio 2220</v>
      </c>
      <c r="I11" s="519"/>
      <c r="J11" s="519"/>
      <c r="K11" s="471">
        <f>+Ordenes!$G$42*2</f>
        <v>10</v>
      </c>
      <c r="L11" s="483"/>
      <c r="M11" s="483"/>
      <c r="N11" s="555"/>
      <c r="O11" s="549" t="str">
        <f>IF(Ordenes!D32="","",CONCATENATE(Ordenes!D32,"    =    ",Ordenes!H32*6))</f>
        <v/>
      </c>
      <c r="P11" s="550"/>
      <c r="Q11" s="551"/>
      <c r="R11" s="487">
        <f>+Temporal!AB10</f>
        <v>0</v>
      </c>
      <c r="S11" s="539"/>
      <c r="T11" s="559" t="str">
        <f>+Ordenes!$C$45</f>
        <v>Magenta 21</v>
      </c>
      <c r="U11" s="559"/>
      <c r="V11" s="489">
        <f>+Ordenes!$G$45*2</f>
        <v>80</v>
      </c>
      <c r="W11" s="486"/>
      <c r="X11" s="453"/>
      <c r="AB11" s="319"/>
    </row>
    <row r="12" spans="2:28" s="318" customFormat="1" ht="18" customHeight="1" thickBot="1" x14ac:dyDescent="0.35">
      <c r="B12" s="537"/>
      <c r="C12" s="534" t="str">
        <f>IF(Ordenes!E29="","",CONCATENATE(Ordenes!E27,"   =   ",Ordenes!I29*6))</f>
        <v>PP Iny. Molido Segunda   =   3</v>
      </c>
      <c r="D12" s="520"/>
      <c r="E12" s="475">
        <f>+Temporal!AC7</f>
        <v>12.5</v>
      </c>
      <c r="F12" s="532"/>
      <c r="G12" s="533"/>
      <c r="H12" s="521">
        <f>+Ordenes!$D$42</f>
        <v>0</v>
      </c>
      <c r="I12" s="521"/>
      <c r="J12" s="521"/>
      <c r="K12" s="476">
        <f>+Ordenes!$H$42*2</f>
        <v>0</v>
      </c>
      <c r="L12" s="483"/>
      <c r="M12" s="483"/>
      <c r="N12" s="556"/>
      <c r="O12" s="563" t="str">
        <f>IF(Ordenes!E32="","",CONCATENATE(Ordenes!E32,"     =     ",Ordenes!I32*6))</f>
        <v>PP Iny. Molido Segunda     =     3</v>
      </c>
      <c r="P12" s="564"/>
      <c r="Q12" s="565"/>
      <c r="R12" s="488">
        <f>+Temporal!AC10</f>
        <v>12.5</v>
      </c>
      <c r="S12" s="540"/>
      <c r="T12" s="558" t="str">
        <f>+Ordenes!$D$45</f>
        <v>Azul UltramarEP-24</v>
      </c>
      <c r="U12" s="558"/>
      <c r="V12" s="489">
        <f>+Ordenes!$H$45*2</f>
        <v>84</v>
      </c>
      <c r="W12" s="486"/>
      <c r="X12" s="453"/>
      <c r="AB12" s="319"/>
    </row>
    <row r="13" spans="2:28" ht="12" customHeight="1" x14ac:dyDescent="0.3">
      <c r="B13" s="490"/>
      <c r="C13" s="483"/>
      <c r="D13" s="483"/>
      <c r="E13" s="483"/>
      <c r="F13" s="490"/>
      <c r="G13" s="490"/>
      <c r="H13" s="483"/>
      <c r="I13" s="483"/>
      <c r="J13" s="483"/>
      <c r="K13" s="483"/>
      <c r="L13" s="483"/>
      <c r="M13" s="483"/>
      <c r="N13" s="483"/>
      <c r="O13" s="483"/>
      <c r="P13" s="483"/>
      <c r="Q13" s="483"/>
      <c r="R13" s="483"/>
      <c r="S13" s="483"/>
      <c r="T13" s="483"/>
      <c r="U13" s="483"/>
      <c r="V13" s="483"/>
      <c r="W13" s="486"/>
      <c r="X13" s="453"/>
    </row>
    <row r="14" spans="2:28" s="305" customFormat="1" ht="18.75" customHeight="1" x14ac:dyDescent="0.25">
      <c r="B14" s="491" t="s">
        <v>592</v>
      </c>
      <c r="C14" s="492"/>
      <c r="D14" s="492"/>
      <c r="E14" s="492"/>
      <c r="F14" s="501" t="s">
        <v>591</v>
      </c>
      <c r="G14" s="501"/>
      <c r="H14" s="501"/>
      <c r="I14" s="501"/>
      <c r="J14" s="492"/>
      <c r="K14" s="492"/>
      <c r="L14" s="492"/>
      <c r="M14" s="492"/>
      <c r="N14" s="492"/>
      <c r="O14" s="492"/>
      <c r="P14" s="492"/>
      <c r="Q14" s="492"/>
      <c r="R14" s="492"/>
      <c r="S14" s="492"/>
      <c r="T14" s="492"/>
      <c r="U14" s="492"/>
      <c r="V14" s="492"/>
      <c r="W14" s="494"/>
      <c r="X14" s="454"/>
      <c r="AB14" s="306"/>
    </row>
    <row r="15" spans="2:28" s="305" customFormat="1" ht="18.75" customHeight="1" x14ac:dyDescent="0.25">
      <c r="B15" s="491"/>
      <c r="C15" s="492"/>
      <c r="D15" s="492"/>
      <c r="E15" s="492"/>
      <c r="F15" s="493"/>
      <c r="G15" s="493"/>
      <c r="H15" s="492"/>
      <c r="I15" s="492"/>
      <c r="J15" s="492"/>
      <c r="K15" s="492"/>
      <c r="L15" s="492"/>
      <c r="M15" s="492" t="s">
        <v>573</v>
      </c>
      <c r="N15" s="492"/>
      <c r="O15" s="492"/>
      <c r="P15" s="492"/>
      <c r="Q15" s="492"/>
      <c r="R15" s="492"/>
      <c r="S15" s="492"/>
      <c r="T15" s="492"/>
      <c r="U15" s="492"/>
      <c r="V15" s="492"/>
      <c r="W15" s="494"/>
      <c r="X15" s="454"/>
      <c r="AB15" s="306"/>
    </row>
    <row r="16" spans="2:28" s="306" customFormat="1" ht="18.75" customHeight="1" x14ac:dyDescent="0.25">
      <c r="B16" s="495" t="s">
        <v>486</v>
      </c>
      <c r="C16" s="495" t="s">
        <v>13</v>
      </c>
      <c r="D16" s="495" t="s">
        <v>118</v>
      </c>
      <c r="E16" s="495" t="s">
        <v>485</v>
      </c>
      <c r="F16" s="495" t="s">
        <v>0</v>
      </c>
      <c r="G16" s="570" t="s">
        <v>570</v>
      </c>
      <c r="H16" s="570"/>
      <c r="I16" s="570"/>
      <c r="J16" s="570"/>
      <c r="K16" s="570"/>
      <c r="L16" s="495" t="s">
        <v>590</v>
      </c>
      <c r="M16" s="571" t="s">
        <v>571</v>
      </c>
      <c r="N16" s="571"/>
      <c r="O16" s="496">
        <v>1</v>
      </c>
      <c r="P16" s="496">
        <v>2</v>
      </c>
      <c r="Q16" s="496">
        <v>3</v>
      </c>
      <c r="R16" s="496">
        <v>4</v>
      </c>
      <c r="S16" s="496">
        <v>5</v>
      </c>
      <c r="T16" s="496">
        <v>6</v>
      </c>
      <c r="U16" s="496">
        <v>7</v>
      </c>
      <c r="V16" s="497" t="s">
        <v>19</v>
      </c>
      <c r="W16" s="497" t="s">
        <v>574</v>
      </c>
      <c r="X16" s="449"/>
    </row>
    <row r="17" spans="2:24" ht="18" customHeight="1" x14ac:dyDescent="0.3">
      <c r="B17" s="566"/>
      <c r="C17" s="567"/>
      <c r="D17" s="568"/>
      <c r="E17" s="568"/>
      <c r="F17" s="568"/>
      <c r="G17" s="569" t="s">
        <v>572</v>
      </c>
      <c r="H17" s="569"/>
      <c r="I17" s="569"/>
      <c r="J17" s="569"/>
      <c r="K17" s="569"/>
      <c r="L17" s="498"/>
      <c r="M17" s="569"/>
      <c r="N17" s="569"/>
      <c r="O17" s="498"/>
      <c r="P17" s="498"/>
      <c r="Q17" s="498"/>
      <c r="R17" s="498"/>
      <c r="S17" s="498"/>
      <c r="T17" s="498"/>
      <c r="U17" s="498"/>
      <c r="V17" s="499"/>
      <c r="W17" s="500"/>
      <c r="X17" s="453"/>
    </row>
    <row r="18" spans="2:24" ht="18" customHeight="1" x14ac:dyDescent="0.3">
      <c r="B18" s="566"/>
      <c r="C18" s="567"/>
      <c r="D18" s="568"/>
      <c r="E18" s="568"/>
      <c r="F18" s="568"/>
      <c r="G18" s="569"/>
      <c r="H18" s="569"/>
      <c r="I18" s="569"/>
      <c r="J18" s="569"/>
      <c r="K18" s="569"/>
      <c r="L18" s="498"/>
      <c r="M18" s="569"/>
      <c r="N18" s="569"/>
      <c r="O18" s="498"/>
      <c r="P18" s="498"/>
      <c r="Q18" s="498"/>
      <c r="R18" s="498"/>
      <c r="S18" s="498"/>
      <c r="T18" s="498"/>
      <c r="U18" s="498"/>
      <c r="V18" s="499"/>
      <c r="W18" s="500"/>
      <c r="X18" s="453"/>
    </row>
    <row r="19" spans="2:24" ht="18" customHeight="1" x14ac:dyDescent="0.3">
      <c r="B19" s="566"/>
      <c r="C19" s="567"/>
      <c r="D19" s="568"/>
      <c r="E19" s="568"/>
      <c r="F19" s="568"/>
      <c r="G19" s="569"/>
      <c r="H19" s="569"/>
      <c r="I19" s="569"/>
      <c r="J19" s="569"/>
      <c r="K19" s="569"/>
      <c r="L19" s="498"/>
      <c r="M19" s="569"/>
      <c r="N19" s="569"/>
      <c r="O19" s="498"/>
      <c r="P19" s="498"/>
      <c r="Q19" s="498"/>
      <c r="R19" s="498"/>
      <c r="S19" s="498"/>
      <c r="T19" s="498"/>
      <c r="U19" s="498"/>
      <c r="V19" s="499"/>
      <c r="W19" s="500"/>
      <c r="X19" s="453"/>
    </row>
    <row r="20" spans="2:24" ht="18" customHeight="1" x14ac:dyDescent="0.3">
      <c r="B20" s="509"/>
      <c r="C20" s="510"/>
      <c r="D20" s="511"/>
      <c r="E20" s="511"/>
      <c r="F20" s="511"/>
      <c r="G20" s="512" t="s">
        <v>572</v>
      </c>
      <c r="H20" s="512"/>
      <c r="I20" s="512"/>
      <c r="J20" s="512"/>
      <c r="K20" s="512"/>
      <c r="L20" s="502"/>
      <c r="M20" s="512"/>
      <c r="N20" s="512"/>
      <c r="O20" s="502"/>
      <c r="P20" s="502"/>
      <c r="Q20" s="502"/>
      <c r="R20" s="502"/>
      <c r="S20" s="502"/>
      <c r="T20" s="502"/>
      <c r="U20" s="502"/>
      <c r="V20" s="503"/>
      <c r="W20" s="504"/>
      <c r="X20" s="453"/>
    </row>
    <row r="21" spans="2:24" ht="18" customHeight="1" x14ac:dyDescent="0.3">
      <c r="B21" s="509"/>
      <c r="C21" s="510"/>
      <c r="D21" s="511"/>
      <c r="E21" s="511"/>
      <c r="F21" s="511"/>
      <c r="G21" s="512"/>
      <c r="H21" s="512"/>
      <c r="I21" s="512"/>
      <c r="J21" s="512"/>
      <c r="K21" s="512"/>
      <c r="L21" s="502"/>
      <c r="M21" s="512"/>
      <c r="N21" s="512"/>
      <c r="O21" s="502"/>
      <c r="P21" s="502"/>
      <c r="Q21" s="502"/>
      <c r="R21" s="502"/>
      <c r="S21" s="502"/>
      <c r="T21" s="502"/>
      <c r="U21" s="502"/>
      <c r="V21" s="503"/>
      <c r="W21" s="504"/>
      <c r="X21" s="453"/>
    </row>
    <row r="22" spans="2:24" ht="18" customHeight="1" x14ac:dyDescent="0.3">
      <c r="B22" s="509"/>
      <c r="C22" s="510"/>
      <c r="D22" s="511"/>
      <c r="E22" s="511"/>
      <c r="F22" s="511"/>
      <c r="G22" s="512"/>
      <c r="H22" s="512"/>
      <c r="I22" s="512"/>
      <c r="J22" s="512"/>
      <c r="K22" s="512"/>
      <c r="L22" s="502"/>
      <c r="M22" s="512"/>
      <c r="N22" s="512"/>
      <c r="O22" s="502"/>
      <c r="P22" s="502"/>
      <c r="Q22" s="502"/>
      <c r="R22" s="502"/>
      <c r="S22" s="502"/>
      <c r="T22" s="502"/>
      <c r="U22" s="502"/>
      <c r="V22" s="503"/>
      <c r="W22" s="504"/>
      <c r="X22" s="453"/>
    </row>
    <row r="23" spans="2:24" ht="18" customHeight="1" x14ac:dyDescent="0.3">
      <c r="B23" s="566"/>
      <c r="C23" s="567"/>
      <c r="D23" s="568"/>
      <c r="E23" s="568"/>
      <c r="F23" s="568"/>
      <c r="G23" s="569" t="s">
        <v>572</v>
      </c>
      <c r="H23" s="569"/>
      <c r="I23" s="569"/>
      <c r="J23" s="569"/>
      <c r="K23" s="569"/>
      <c r="L23" s="498"/>
      <c r="M23" s="569"/>
      <c r="N23" s="569"/>
      <c r="O23" s="498"/>
      <c r="P23" s="498"/>
      <c r="Q23" s="498"/>
      <c r="R23" s="498"/>
      <c r="S23" s="498"/>
      <c r="T23" s="498"/>
      <c r="U23" s="498"/>
      <c r="V23" s="499"/>
      <c r="W23" s="500"/>
      <c r="X23" s="453"/>
    </row>
    <row r="24" spans="2:24" ht="18" customHeight="1" x14ac:dyDescent="0.3">
      <c r="B24" s="566"/>
      <c r="C24" s="567"/>
      <c r="D24" s="568"/>
      <c r="E24" s="568"/>
      <c r="F24" s="568"/>
      <c r="G24" s="569"/>
      <c r="H24" s="569"/>
      <c r="I24" s="569"/>
      <c r="J24" s="569"/>
      <c r="K24" s="569"/>
      <c r="L24" s="498"/>
      <c r="M24" s="569"/>
      <c r="N24" s="569"/>
      <c r="O24" s="498"/>
      <c r="P24" s="498"/>
      <c r="Q24" s="498"/>
      <c r="R24" s="498"/>
      <c r="S24" s="498"/>
      <c r="T24" s="498"/>
      <c r="U24" s="498"/>
      <c r="V24" s="499"/>
      <c r="W24" s="500"/>
      <c r="X24" s="453"/>
    </row>
    <row r="25" spans="2:24" ht="18" customHeight="1" x14ac:dyDescent="0.3">
      <c r="B25" s="566"/>
      <c r="C25" s="567"/>
      <c r="D25" s="568"/>
      <c r="E25" s="568"/>
      <c r="F25" s="568"/>
      <c r="G25" s="569"/>
      <c r="H25" s="569"/>
      <c r="I25" s="569"/>
      <c r="J25" s="569"/>
      <c r="K25" s="569"/>
      <c r="L25" s="498"/>
      <c r="M25" s="569"/>
      <c r="N25" s="569"/>
      <c r="O25" s="498"/>
      <c r="P25" s="498"/>
      <c r="Q25" s="498"/>
      <c r="R25" s="498"/>
      <c r="S25" s="498"/>
      <c r="T25" s="498"/>
      <c r="U25" s="498"/>
      <c r="V25" s="499"/>
      <c r="W25" s="500"/>
      <c r="X25" s="453"/>
    </row>
    <row r="26" spans="2:24" ht="18" customHeight="1" x14ac:dyDescent="0.3">
      <c r="B26" s="509"/>
      <c r="C26" s="510"/>
      <c r="D26" s="511"/>
      <c r="E26" s="511"/>
      <c r="F26" s="511"/>
      <c r="G26" s="512" t="s">
        <v>572</v>
      </c>
      <c r="H26" s="512"/>
      <c r="I26" s="512"/>
      <c r="J26" s="512"/>
      <c r="K26" s="512"/>
      <c r="L26" s="502"/>
      <c r="M26" s="512"/>
      <c r="N26" s="512"/>
      <c r="O26" s="502"/>
      <c r="P26" s="502"/>
      <c r="Q26" s="502"/>
      <c r="R26" s="502"/>
      <c r="S26" s="502"/>
      <c r="T26" s="502"/>
      <c r="U26" s="502"/>
      <c r="V26" s="503"/>
      <c r="W26" s="504"/>
      <c r="X26" s="453"/>
    </row>
    <row r="27" spans="2:24" ht="18" customHeight="1" x14ac:dyDescent="0.3">
      <c r="B27" s="509"/>
      <c r="C27" s="510"/>
      <c r="D27" s="511"/>
      <c r="E27" s="511"/>
      <c r="F27" s="511"/>
      <c r="G27" s="512"/>
      <c r="H27" s="512"/>
      <c r="I27" s="512"/>
      <c r="J27" s="512"/>
      <c r="K27" s="512"/>
      <c r="L27" s="502"/>
      <c r="M27" s="512"/>
      <c r="N27" s="512"/>
      <c r="O27" s="502"/>
      <c r="P27" s="502"/>
      <c r="Q27" s="502"/>
      <c r="R27" s="502"/>
      <c r="S27" s="502"/>
      <c r="T27" s="502"/>
      <c r="U27" s="502"/>
      <c r="V27" s="503"/>
      <c r="W27" s="504"/>
      <c r="X27" s="453"/>
    </row>
    <row r="28" spans="2:24" ht="18" customHeight="1" x14ac:dyDescent="0.3">
      <c r="B28" s="509"/>
      <c r="C28" s="510"/>
      <c r="D28" s="511"/>
      <c r="E28" s="511"/>
      <c r="F28" s="511"/>
      <c r="G28" s="512"/>
      <c r="H28" s="512"/>
      <c r="I28" s="512"/>
      <c r="J28" s="512"/>
      <c r="K28" s="512"/>
      <c r="L28" s="502"/>
      <c r="M28" s="512"/>
      <c r="N28" s="512"/>
      <c r="O28" s="502"/>
      <c r="P28" s="502"/>
      <c r="Q28" s="502"/>
      <c r="R28" s="502"/>
      <c r="S28" s="502"/>
      <c r="T28" s="502"/>
      <c r="U28" s="502"/>
      <c r="V28" s="503"/>
      <c r="W28" s="504"/>
      <c r="X28" s="453"/>
    </row>
    <row r="29" spans="2:24" ht="18" customHeight="1" x14ac:dyDescent="0.3">
      <c r="B29" s="566"/>
      <c r="C29" s="567"/>
      <c r="D29" s="568"/>
      <c r="E29" s="568"/>
      <c r="F29" s="568"/>
      <c r="G29" s="569" t="s">
        <v>572</v>
      </c>
      <c r="H29" s="569"/>
      <c r="I29" s="569"/>
      <c r="J29" s="569"/>
      <c r="K29" s="569"/>
      <c r="L29" s="498"/>
      <c r="M29" s="569"/>
      <c r="N29" s="569"/>
      <c r="O29" s="498"/>
      <c r="P29" s="498"/>
      <c r="Q29" s="498"/>
      <c r="R29" s="498"/>
      <c r="S29" s="498"/>
      <c r="T29" s="498"/>
      <c r="U29" s="498"/>
      <c r="V29" s="499"/>
      <c r="W29" s="500"/>
      <c r="X29" s="453"/>
    </row>
    <row r="30" spans="2:24" ht="18" customHeight="1" x14ac:dyDescent="0.3">
      <c r="B30" s="566"/>
      <c r="C30" s="567"/>
      <c r="D30" s="568"/>
      <c r="E30" s="568"/>
      <c r="F30" s="568"/>
      <c r="G30" s="569"/>
      <c r="H30" s="569"/>
      <c r="I30" s="569"/>
      <c r="J30" s="569"/>
      <c r="K30" s="569"/>
      <c r="L30" s="498"/>
      <c r="M30" s="569"/>
      <c r="N30" s="569"/>
      <c r="O30" s="498"/>
      <c r="P30" s="498"/>
      <c r="Q30" s="498"/>
      <c r="R30" s="498"/>
      <c r="S30" s="498"/>
      <c r="T30" s="498"/>
      <c r="U30" s="498"/>
      <c r="V30" s="499"/>
      <c r="W30" s="500"/>
      <c r="X30" s="453"/>
    </row>
    <row r="31" spans="2:24" ht="18" customHeight="1" x14ac:dyDescent="0.3">
      <c r="B31" s="566"/>
      <c r="C31" s="567"/>
      <c r="D31" s="568"/>
      <c r="E31" s="568"/>
      <c r="F31" s="568"/>
      <c r="G31" s="569"/>
      <c r="H31" s="569"/>
      <c r="I31" s="569"/>
      <c r="J31" s="569"/>
      <c r="K31" s="569"/>
      <c r="L31" s="498"/>
      <c r="M31" s="569"/>
      <c r="N31" s="569"/>
      <c r="O31" s="498"/>
      <c r="P31" s="498"/>
      <c r="Q31" s="498"/>
      <c r="R31" s="498"/>
      <c r="S31" s="498"/>
      <c r="T31" s="498"/>
      <c r="U31" s="498"/>
      <c r="V31" s="499"/>
      <c r="W31" s="500"/>
      <c r="X31" s="453"/>
    </row>
    <row r="32" spans="2:24" ht="18" customHeight="1" x14ac:dyDescent="0.3">
      <c r="B32" s="509"/>
      <c r="C32" s="510"/>
      <c r="D32" s="511"/>
      <c r="E32" s="511"/>
      <c r="F32" s="511"/>
      <c r="G32" s="512" t="s">
        <v>572</v>
      </c>
      <c r="H32" s="512"/>
      <c r="I32" s="512"/>
      <c r="J32" s="512"/>
      <c r="K32" s="512"/>
      <c r="L32" s="502"/>
      <c r="M32" s="512"/>
      <c r="N32" s="512"/>
      <c r="O32" s="502"/>
      <c r="P32" s="502"/>
      <c r="Q32" s="502"/>
      <c r="R32" s="502"/>
      <c r="S32" s="502"/>
      <c r="T32" s="502"/>
      <c r="U32" s="502"/>
      <c r="V32" s="503"/>
      <c r="W32" s="504"/>
      <c r="X32" s="453"/>
    </row>
    <row r="33" spans="2:24" ht="18" customHeight="1" x14ac:dyDescent="0.3">
      <c r="B33" s="509"/>
      <c r="C33" s="510"/>
      <c r="D33" s="511"/>
      <c r="E33" s="511"/>
      <c r="F33" s="511"/>
      <c r="G33" s="512"/>
      <c r="H33" s="512"/>
      <c r="I33" s="512"/>
      <c r="J33" s="512"/>
      <c r="K33" s="512"/>
      <c r="L33" s="502"/>
      <c r="M33" s="512"/>
      <c r="N33" s="512"/>
      <c r="O33" s="502"/>
      <c r="P33" s="502"/>
      <c r="Q33" s="502"/>
      <c r="R33" s="502"/>
      <c r="S33" s="502"/>
      <c r="T33" s="502"/>
      <c r="U33" s="502"/>
      <c r="V33" s="503"/>
      <c r="W33" s="504"/>
      <c r="X33" s="453"/>
    </row>
    <row r="34" spans="2:24" ht="18" customHeight="1" x14ac:dyDescent="0.3">
      <c r="B34" s="509"/>
      <c r="C34" s="510"/>
      <c r="D34" s="511"/>
      <c r="E34" s="511"/>
      <c r="F34" s="511"/>
      <c r="G34" s="512"/>
      <c r="H34" s="512"/>
      <c r="I34" s="512"/>
      <c r="J34" s="512"/>
      <c r="K34" s="512"/>
      <c r="L34" s="502"/>
      <c r="M34" s="512"/>
      <c r="N34" s="512"/>
      <c r="O34" s="502"/>
      <c r="P34" s="502"/>
      <c r="Q34" s="502"/>
      <c r="R34" s="502"/>
      <c r="S34" s="502"/>
      <c r="T34" s="502"/>
      <c r="U34" s="502"/>
      <c r="V34" s="503"/>
      <c r="W34" s="504"/>
      <c r="X34" s="453"/>
    </row>
    <row r="35" spans="2:24" ht="18" customHeight="1" x14ac:dyDescent="0.3">
      <c r="B35" s="566"/>
      <c r="C35" s="567"/>
      <c r="D35" s="568"/>
      <c r="E35" s="568"/>
      <c r="F35" s="568"/>
      <c r="G35" s="569" t="s">
        <v>572</v>
      </c>
      <c r="H35" s="569"/>
      <c r="I35" s="569"/>
      <c r="J35" s="569"/>
      <c r="K35" s="569"/>
      <c r="L35" s="498"/>
      <c r="M35" s="569"/>
      <c r="N35" s="569"/>
      <c r="O35" s="498"/>
      <c r="P35" s="498"/>
      <c r="Q35" s="498"/>
      <c r="R35" s="498"/>
      <c r="S35" s="498"/>
      <c r="T35" s="498"/>
      <c r="U35" s="498"/>
      <c r="V35" s="499"/>
      <c r="W35" s="500"/>
      <c r="X35" s="453"/>
    </row>
    <row r="36" spans="2:24" ht="18" customHeight="1" x14ac:dyDescent="0.3">
      <c r="B36" s="566"/>
      <c r="C36" s="567"/>
      <c r="D36" s="568"/>
      <c r="E36" s="568"/>
      <c r="F36" s="568"/>
      <c r="G36" s="569"/>
      <c r="H36" s="569"/>
      <c r="I36" s="569"/>
      <c r="J36" s="569"/>
      <c r="K36" s="569"/>
      <c r="L36" s="498"/>
      <c r="M36" s="569"/>
      <c r="N36" s="569"/>
      <c r="O36" s="498"/>
      <c r="P36" s="498"/>
      <c r="Q36" s="498"/>
      <c r="R36" s="498"/>
      <c r="S36" s="498"/>
      <c r="T36" s="498"/>
      <c r="U36" s="498"/>
      <c r="V36" s="499"/>
      <c r="W36" s="500"/>
      <c r="X36" s="453"/>
    </row>
    <row r="37" spans="2:24" ht="18" customHeight="1" x14ac:dyDescent="0.3">
      <c r="B37" s="566"/>
      <c r="C37" s="567"/>
      <c r="D37" s="568"/>
      <c r="E37" s="568"/>
      <c r="F37" s="568"/>
      <c r="G37" s="569"/>
      <c r="H37" s="569"/>
      <c r="I37" s="569"/>
      <c r="J37" s="569"/>
      <c r="K37" s="569"/>
      <c r="L37" s="498"/>
      <c r="M37" s="569"/>
      <c r="N37" s="569"/>
      <c r="O37" s="498"/>
      <c r="P37" s="498"/>
      <c r="Q37" s="498"/>
      <c r="R37" s="498"/>
      <c r="S37" s="498"/>
      <c r="T37" s="498"/>
      <c r="U37" s="498"/>
      <c r="V37" s="499"/>
      <c r="W37" s="500"/>
      <c r="X37" s="453"/>
    </row>
    <row r="38" spans="2:24" ht="18" customHeight="1" x14ac:dyDescent="0.3">
      <c r="B38" s="509"/>
      <c r="C38" s="510"/>
      <c r="D38" s="511"/>
      <c r="E38" s="511"/>
      <c r="F38" s="511"/>
      <c r="G38" s="512" t="s">
        <v>572</v>
      </c>
      <c r="H38" s="512"/>
      <c r="I38" s="512"/>
      <c r="J38" s="512"/>
      <c r="K38" s="512"/>
      <c r="L38" s="502"/>
      <c r="M38" s="512"/>
      <c r="N38" s="512"/>
      <c r="O38" s="502"/>
      <c r="P38" s="502"/>
      <c r="Q38" s="502"/>
      <c r="R38" s="502"/>
      <c r="S38" s="502"/>
      <c r="T38" s="502"/>
      <c r="U38" s="502"/>
      <c r="V38" s="503"/>
      <c r="W38" s="504"/>
      <c r="X38" s="453"/>
    </row>
    <row r="39" spans="2:24" ht="18" customHeight="1" x14ac:dyDescent="0.3">
      <c r="B39" s="509"/>
      <c r="C39" s="510"/>
      <c r="D39" s="511"/>
      <c r="E39" s="511"/>
      <c r="F39" s="511"/>
      <c r="G39" s="512"/>
      <c r="H39" s="512"/>
      <c r="I39" s="512"/>
      <c r="J39" s="512"/>
      <c r="K39" s="512"/>
      <c r="L39" s="502"/>
      <c r="M39" s="512"/>
      <c r="N39" s="512"/>
      <c r="O39" s="502"/>
      <c r="P39" s="502"/>
      <c r="Q39" s="502"/>
      <c r="R39" s="502"/>
      <c r="S39" s="502"/>
      <c r="T39" s="502"/>
      <c r="U39" s="502"/>
      <c r="V39" s="503"/>
      <c r="W39" s="504"/>
      <c r="X39" s="453"/>
    </row>
    <row r="40" spans="2:24" ht="18" customHeight="1" x14ac:dyDescent="0.3">
      <c r="B40" s="509"/>
      <c r="C40" s="510"/>
      <c r="D40" s="511"/>
      <c r="E40" s="511"/>
      <c r="F40" s="511"/>
      <c r="G40" s="512"/>
      <c r="H40" s="512"/>
      <c r="I40" s="512"/>
      <c r="J40" s="512"/>
      <c r="K40" s="512"/>
      <c r="L40" s="502"/>
      <c r="M40" s="512"/>
      <c r="N40" s="512"/>
      <c r="O40" s="502"/>
      <c r="P40" s="502"/>
      <c r="Q40" s="502"/>
      <c r="R40" s="502"/>
      <c r="S40" s="502"/>
      <c r="T40" s="502"/>
      <c r="U40" s="502"/>
      <c r="V40" s="503"/>
      <c r="W40" s="504"/>
      <c r="X40" s="453"/>
    </row>
    <row r="41" spans="2:24" ht="18" customHeight="1" x14ac:dyDescent="0.3">
      <c r="B41" s="566"/>
      <c r="C41" s="567"/>
      <c r="D41" s="568"/>
      <c r="E41" s="568"/>
      <c r="F41" s="568"/>
      <c r="G41" s="569" t="s">
        <v>572</v>
      </c>
      <c r="H41" s="569"/>
      <c r="I41" s="569"/>
      <c r="J41" s="569"/>
      <c r="K41" s="569"/>
      <c r="L41" s="498"/>
      <c r="M41" s="569"/>
      <c r="N41" s="569"/>
      <c r="O41" s="498"/>
      <c r="P41" s="498"/>
      <c r="Q41" s="498"/>
      <c r="R41" s="498"/>
      <c r="S41" s="498"/>
      <c r="T41" s="498"/>
      <c r="U41" s="498"/>
      <c r="V41" s="499"/>
      <c r="W41" s="500"/>
      <c r="X41" s="453"/>
    </row>
    <row r="42" spans="2:24" ht="18" customHeight="1" x14ac:dyDescent="0.3">
      <c r="B42" s="566"/>
      <c r="C42" s="567"/>
      <c r="D42" s="568"/>
      <c r="E42" s="568"/>
      <c r="F42" s="568"/>
      <c r="G42" s="569"/>
      <c r="H42" s="569"/>
      <c r="I42" s="569"/>
      <c r="J42" s="569"/>
      <c r="K42" s="569"/>
      <c r="L42" s="498"/>
      <c r="M42" s="569"/>
      <c r="N42" s="569"/>
      <c r="O42" s="498"/>
      <c r="P42" s="498"/>
      <c r="Q42" s="498"/>
      <c r="R42" s="498"/>
      <c r="S42" s="498"/>
      <c r="T42" s="498"/>
      <c r="U42" s="498"/>
      <c r="V42" s="499"/>
      <c r="W42" s="500"/>
      <c r="X42" s="453"/>
    </row>
    <row r="43" spans="2:24" ht="18" customHeight="1" x14ac:dyDescent="0.3">
      <c r="B43" s="566"/>
      <c r="C43" s="567"/>
      <c r="D43" s="568"/>
      <c r="E43" s="568"/>
      <c r="F43" s="568"/>
      <c r="G43" s="569"/>
      <c r="H43" s="569"/>
      <c r="I43" s="569"/>
      <c r="J43" s="569"/>
      <c r="K43" s="569"/>
      <c r="L43" s="498"/>
      <c r="M43" s="569"/>
      <c r="N43" s="569"/>
      <c r="O43" s="498"/>
      <c r="P43" s="498"/>
      <c r="Q43" s="498"/>
      <c r="R43" s="498"/>
      <c r="S43" s="498"/>
      <c r="T43" s="498"/>
      <c r="U43" s="498"/>
      <c r="V43" s="499"/>
      <c r="W43" s="500"/>
      <c r="X43" s="453"/>
    </row>
    <row r="44" spans="2:24" ht="18" customHeight="1" x14ac:dyDescent="0.3">
      <c r="B44" s="509"/>
      <c r="C44" s="510"/>
      <c r="D44" s="511"/>
      <c r="E44" s="511"/>
      <c r="F44" s="511"/>
      <c r="G44" s="512" t="s">
        <v>572</v>
      </c>
      <c r="H44" s="512"/>
      <c r="I44" s="512"/>
      <c r="J44" s="512"/>
      <c r="K44" s="512"/>
      <c r="L44" s="502"/>
      <c r="M44" s="512"/>
      <c r="N44" s="512"/>
      <c r="O44" s="502"/>
      <c r="P44" s="502"/>
      <c r="Q44" s="502"/>
      <c r="R44" s="502"/>
      <c r="S44" s="502"/>
      <c r="T44" s="502"/>
      <c r="U44" s="502"/>
      <c r="V44" s="503"/>
      <c r="W44" s="504"/>
      <c r="X44" s="453"/>
    </row>
    <row r="45" spans="2:24" ht="18" customHeight="1" x14ac:dyDescent="0.3">
      <c r="B45" s="509"/>
      <c r="C45" s="510"/>
      <c r="D45" s="511"/>
      <c r="E45" s="511"/>
      <c r="F45" s="511"/>
      <c r="G45" s="512"/>
      <c r="H45" s="512"/>
      <c r="I45" s="512"/>
      <c r="J45" s="512"/>
      <c r="K45" s="512"/>
      <c r="L45" s="502"/>
      <c r="M45" s="512"/>
      <c r="N45" s="512"/>
      <c r="O45" s="502"/>
      <c r="P45" s="502"/>
      <c r="Q45" s="502"/>
      <c r="R45" s="502"/>
      <c r="S45" s="502"/>
      <c r="T45" s="502"/>
      <c r="U45" s="502"/>
      <c r="V45" s="503"/>
      <c r="W45" s="504"/>
      <c r="X45" s="453"/>
    </row>
    <row r="46" spans="2:24" ht="18" customHeight="1" x14ac:dyDescent="0.3">
      <c r="B46" s="509"/>
      <c r="C46" s="510"/>
      <c r="D46" s="511"/>
      <c r="E46" s="511"/>
      <c r="F46" s="511"/>
      <c r="G46" s="512"/>
      <c r="H46" s="512"/>
      <c r="I46" s="512"/>
      <c r="J46" s="512"/>
      <c r="K46" s="512"/>
      <c r="L46" s="502"/>
      <c r="M46" s="512"/>
      <c r="N46" s="512"/>
      <c r="O46" s="502"/>
      <c r="P46" s="502"/>
      <c r="Q46" s="502"/>
      <c r="R46" s="502"/>
      <c r="S46" s="502"/>
      <c r="T46" s="502"/>
      <c r="U46" s="502"/>
      <c r="V46" s="503"/>
      <c r="W46" s="504"/>
      <c r="X46" s="453"/>
    </row>
    <row r="47" spans="2:24" ht="18" customHeight="1" x14ac:dyDescent="0.3">
      <c r="B47" s="566"/>
      <c r="C47" s="567"/>
      <c r="D47" s="568"/>
      <c r="E47" s="568"/>
      <c r="F47" s="568"/>
      <c r="G47" s="569" t="s">
        <v>572</v>
      </c>
      <c r="H47" s="569"/>
      <c r="I47" s="569"/>
      <c r="J47" s="569"/>
      <c r="K47" s="569"/>
      <c r="L47" s="498"/>
      <c r="M47" s="569"/>
      <c r="N47" s="569"/>
      <c r="O47" s="498"/>
      <c r="P47" s="498"/>
      <c r="Q47" s="498"/>
      <c r="R47" s="498"/>
      <c r="S47" s="498"/>
      <c r="T47" s="498"/>
      <c r="U47" s="498"/>
      <c r="V47" s="499"/>
      <c r="W47" s="500"/>
      <c r="X47" s="453"/>
    </row>
    <row r="48" spans="2:24" ht="18" customHeight="1" x14ac:dyDescent="0.3">
      <c r="B48" s="566"/>
      <c r="C48" s="567"/>
      <c r="D48" s="568"/>
      <c r="E48" s="568"/>
      <c r="F48" s="568"/>
      <c r="G48" s="569"/>
      <c r="H48" s="569"/>
      <c r="I48" s="569"/>
      <c r="J48" s="569"/>
      <c r="K48" s="569"/>
      <c r="L48" s="498"/>
      <c r="M48" s="569"/>
      <c r="N48" s="569"/>
      <c r="O48" s="498"/>
      <c r="P48" s="498"/>
      <c r="Q48" s="498"/>
      <c r="R48" s="498"/>
      <c r="S48" s="498"/>
      <c r="T48" s="498"/>
      <c r="U48" s="498"/>
      <c r="V48" s="499"/>
      <c r="W48" s="500"/>
      <c r="X48" s="453"/>
    </row>
    <row r="49" spans="2:24" ht="18" customHeight="1" x14ac:dyDescent="0.3">
      <c r="B49" s="566"/>
      <c r="C49" s="567"/>
      <c r="D49" s="568"/>
      <c r="E49" s="568"/>
      <c r="F49" s="568"/>
      <c r="G49" s="569"/>
      <c r="H49" s="569"/>
      <c r="I49" s="569"/>
      <c r="J49" s="569"/>
      <c r="K49" s="569"/>
      <c r="L49" s="498"/>
      <c r="M49" s="569"/>
      <c r="N49" s="569"/>
      <c r="O49" s="498"/>
      <c r="P49" s="498"/>
      <c r="Q49" s="498"/>
      <c r="R49" s="498"/>
      <c r="S49" s="498"/>
      <c r="T49" s="498"/>
      <c r="U49" s="498"/>
      <c r="V49" s="499"/>
      <c r="W49" s="500"/>
      <c r="X49" s="453"/>
    </row>
    <row r="50" spans="2:24" ht="18" customHeight="1" x14ac:dyDescent="0.3">
      <c r="B50" s="509"/>
      <c r="C50" s="510"/>
      <c r="D50" s="511"/>
      <c r="E50" s="511"/>
      <c r="F50" s="511"/>
      <c r="G50" s="512" t="s">
        <v>572</v>
      </c>
      <c r="H50" s="512"/>
      <c r="I50" s="512"/>
      <c r="J50" s="512"/>
      <c r="K50" s="512"/>
      <c r="L50" s="502"/>
      <c r="M50" s="512"/>
      <c r="N50" s="512"/>
      <c r="O50" s="502"/>
      <c r="P50" s="502"/>
      <c r="Q50" s="502"/>
      <c r="R50" s="502"/>
      <c r="S50" s="502"/>
      <c r="T50" s="502"/>
      <c r="U50" s="502"/>
      <c r="V50" s="503"/>
      <c r="W50" s="504"/>
      <c r="X50" s="453"/>
    </row>
    <row r="51" spans="2:24" ht="18" customHeight="1" x14ac:dyDescent="0.3">
      <c r="B51" s="509"/>
      <c r="C51" s="510"/>
      <c r="D51" s="511"/>
      <c r="E51" s="511"/>
      <c r="F51" s="511"/>
      <c r="G51" s="512"/>
      <c r="H51" s="512"/>
      <c r="I51" s="512"/>
      <c r="J51" s="512"/>
      <c r="K51" s="512"/>
      <c r="L51" s="502"/>
      <c r="M51" s="512"/>
      <c r="N51" s="512"/>
      <c r="O51" s="502"/>
      <c r="P51" s="502"/>
      <c r="Q51" s="502"/>
      <c r="R51" s="502"/>
      <c r="S51" s="502"/>
      <c r="T51" s="502"/>
      <c r="U51" s="502"/>
      <c r="V51" s="503"/>
      <c r="W51" s="504"/>
      <c r="X51" s="453"/>
    </row>
    <row r="52" spans="2:24" ht="18" customHeight="1" x14ac:dyDescent="0.3">
      <c r="B52" s="509"/>
      <c r="C52" s="510"/>
      <c r="D52" s="511"/>
      <c r="E52" s="511"/>
      <c r="F52" s="511"/>
      <c r="G52" s="512"/>
      <c r="H52" s="512"/>
      <c r="I52" s="512"/>
      <c r="J52" s="512"/>
      <c r="K52" s="512"/>
      <c r="L52" s="502"/>
      <c r="M52" s="512"/>
      <c r="N52" s="512"/>
      <c r="O52" s="502"/>
      <c r="P52" s="502"/>
      <c r="Q52" s="502"/>
      <c r="R52" s="502"/>
      <c r="S52" s="502"/>
      <c r="T52" s="502"/>
      <c r="U52" s="502"/>
      <c r="V52" s="503"/>
      <c r="W52" s="504"/>
      <c r="X52" s="453"/>
    </row>
  </sheetData>
  <mergeCells count="166">
    <mergeCell ref="M44:N44"/>
    <mergeCell ref="M45:N45"/>
    <mergeCell ref="M46:N46"/>
    <mergeCell ref="G47:K49"/>
    <mergeCell ref="M47:N47"/>
    <mergeCell ref="M48:N48"/>
    <mergeCell ref="M49:N49"/>
    <mergeCell ref="M31:N31"/>
    <mergeCell ref="G32:K34"/>
    <mergeCell ref="M32:N32"/>
    <mergeCell ref="M33:N33"/>
    <mergeCell ref="M34:N34"/>
    <mergeCell ref="G35:K37"/>
    <mergeCell ref="M35:N35"/>
    <mergeCell ref="M36:N36"/>
    <mergeCell ref="M37:N37"/>
    <mergeCell ref="G44:K46"/>
    <mergeCell ref="G38:K40"/>
    <mergeCell ref="M38:N38"/>
    <mergeCell ref="M39:N39"/>
    <mergeCell ref="M40:N40"/>
    <mergeCell ref="G41:K43"/>
    <mergeCell ref="M41:N41"/>
    <mergeCell ref="M42:N42"/>
    <mergeCell ref="G17:K19"/>
    <mergeCell ref="G16:K16"/>
    <mergeCell ref="M16:N16"/>
    <mergeCell ref="M17:N17"/>
    <mergeCell ref="M18:N18"/>
    <mergeCell ref="M19:N19"/>
    <mergeCell ref="G20:K22"/>
    <mergeCell ref="M20:N20"/>
    <mergeCell ref="M21:N21"/>
    <mergeCell ref="M22:N22"/>
    <mergeCell ref="M24:N24"/>
    <mergeCell ref="M25:N25"/>
    <mergeCell ref="G26:K28"/>
    <mergeCell ref="M26:N26"/>
    <mergeCell ref="M27:N27"/>
    <mergeCell ref="M28:N28"/>
    <mergeCell ref="G29:K31"/>
    <mergeCell ref="M29:N29"/>
    <mergeCell ref="M30:N30"/>
    <mergeCell ref="B47:B49"/>
    <mergeCell ref="C47:C49"/>
    <mergeCell ref="D47:D49"/>
    <mergeCell ref="E47:E49"/>
    <mergeCell ref="F47:F49"/>
    <mergeCell ref="B44:B46"/>
    <mergeCell ref="C44:C46"/>
    <mergeCell ref="D44:D46"/>
    <mergeCell ref="E44:E46"/>
    <mergeCell ref="F44:F46"/>
    <mergeCell ref="F20:F22"/>
    <mergeCell ref="M43:N43"/>
    <mergeCell ref="B35:B37"/>
    <mergeCell ref="C35:C37"/>
    <mergeCell ref="D35:D37"/>
    <mergeCell ref="E35:E37"/>
    <mergeCell ref="F35:F37"/>
    <mergeCell ref="B32:B34"/>
    <mergeCell ref="C32:C34"/>
    <mergeCell ref="D32:D34"/>
    <mergeCell ref="E32:E34"/>
    <mergeCell ref="F32:F34"/>
    <mergeCell ref="B41:B43"/>
    <mergeCell ref="C41:C43"/>
    <mergeCell ref="D41:D43"/>
    <mergeCell ref="E41:E43"/>
    <mergeCell ref="F41:F43"/>
    <mergeCell ref="B38:B40"/>
    <mergeCell ref="C38:C40"/>
    <mergeCell ref="D38:D40"/>
    <mergeCell ref="E38:E40"/>
    <mergeCell ref="F38:F40"/>
    <mergeCell ref="G23:K25"/>
    <mergeCell ref="M23:N23"/>
    <mergeCell ref="B17:B19"/>
    <mergeCell ref="C17:C19"/>
    <mergeCell ref="D17:D19"/>
    <mergeCell ref="E17:E19"/>
    <mergeCell ref="F17:F19"/>
    <mergeCell ref="B29:B31"/>
    <mergeCell ref="C29:C31"/>
    <mergeCell ref="D29:D31"/>
    <mergeCell ref="E29:E31"/>
    <mergeCell ref="F29:F31"/>
    <mergeCell ref="B26:B28"/>
    <mergeCell ref="C26:C28"/>
    <mergeCell ref="D26:D28"/>
    <mergeCell ref="E26:E28"/>
    <mergeCell ref="F26:F28"/>
    <mergeCell ref="B23:B25"/>
    <mergeCell ref="C23:C25"/>
    <mergeCell ref="D23:D25"/>
    <mergeCell ref="E23:E25"/>
    <mergeCell ref="F23:F25"/>
    <mergeCell ref="B20:B22"/>
    <mergeCell ref="C20:C22"/>
    <mergeCell ref="D20:D22"/>
    <mergeCell ref="E20:E22"/>
    <mergeCell ref="F7:G9"/>
    <mergeCell ref="F10:G12"/>
    <mergeCell ref="O8:Q8"/>
    <mergeCell ref="O7:Q7"/>
    <mergeCell ref="T7:U7"/>
    <mergeCell ref="T12:U12"/>
    <mergeCell ref="T11:U11"/>
    <mergeCell ref="T10:U10"/>
    <mergeCell ref="T9:U9"/>
    <mergeCell ref="T8:U8"/>
    <mergeCell ref="H8:J8"/>
    <mergeCell ref="H9:J9"/>
    <mergeCell ref="N7:N9"/>
    <mergeCell ref="O12:Q12"/>
    <mergeCell ref="C9:D9"/>
    <mergeCell ref="C10:D10"/>
    <mergeCell ref="C11:D11"/>
    <mergeCell ref="C12:D12"/>
    <mergeCell ref="H10:J10"/>
    <mergeCell ref="H11:J11"/>
    <mergeCell ref="H7:J7"/>
    <mergeCell ref="B4:B6"/>
    <mergeCell ref="S7:S9"/>
    <mergeCell ref="S10:S12"/>
    <mergeCell ref="C7:D7"/>
    <mergeCell ref="N4:N6"/>
    <mergeCell ref="S4:S6"/>
    <mergeCell ref="O6:Q6"/>
    <mergeCell ref="O5:Q5"/>
    <mergeCell ref="O4:Q4"/>
    <mergeCell ref="H12:J12"/>
    <mergeCell ref="B10:B12"/>
    <mergeCell ref="O11:Q11"/>
    <mergeCell ref="O10:Q10"/>
    <mergeCell ref="O9:Q9"/>
    <mergeCell ref="B7:B9"/>
    <mergeCell ref="N10:N12"/>
    <mergeCell ref="C8:D8"/>
    <mergeCell ref="T1:U1"/>
    <mergeCell ref="C3:D3"/>
    <mergeCell ref="C4:D4"/>
    <mergeCell ref="C5:D5"/>
    <mergeCell ref="C6:D6"/>
    <mergeCell ref="H3:J3"/>
    <mergeCell ref="H4:J4"/>
    <mergeCell ref="H5:J5"/>
    <mergeCell ref="H6:J6"/>
    <mergeCell ref="T3:U3"/>
    <mergeCell ref="T4:U4"/>
    <mergeCell ref="T5:U5"/>
    <mergeCell ref="T6:U6"/>
    <mergeCell ref="J1:K1"/>
    <mergeCell ref="L1:N1"/>
    <mergeCell ref="O3:Q3"/>
    <mergeCell ref="P1:S1"/>
    <mergeCell ref="F4:G6"/>
    <mergeCell ref="B50:B52"/>
    <mergeCell ref="C50:C52"/>
    <mergeCell ref="D50:D52"/>
    <mergeCell ref="E50:E52"/>
    <mergeCell ref="F50:F52"/>
    <mergeCell ref="G50:K52"/>
    <mergeCell ref="M50:N50"/>
    <mergeCell ref="M51:N51"/>
    <mergeCell ref="M52:N52"/>
  </mergeCells>
  <pageMargins left="0.23622047244094491" right="0.23622047244094491" top="0.15748031496062992" bottom="0.15748031496062992" header="0.31496062992125984" footer="0.31496062992125984"/>
  <pageSetup paperSize="9" scale="6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3554" r:id="rId4" name="dd">
          <controlPr defaultSize="0" autoLine="0" r:id="rId5">
            <anchor moveWithCells="1">
              <from>
                <xdr:col>1</xdr:col>
                <xdr:colOff>104775</xdr:colOff>
                <xdr:row>19</xdr:row>
                <xdr:rowOff>0</xdr:rowOff>
              </from>
              <to>
                <xdr:col>2</xdr:col>
                <xdr:colOff>638175</xdr:colOff>
                <xdr:row>20</xdr:row>
                <xdr:rowOff>123825</xdr:rowOff>
              </to>
            </anchor>
          </controlPr>
        </control>
      </mc:Choice>
      <mc:Fallback>
        <control shapeId="23554" r:id="rId4" name="dd"/>
      </mc:Fallback>
    </mc:AlternateContent>
    <mc:AlternateContent xmlns:mc="http://schemas.openxmlformats.org/markup-compatibility/2006">
      <mc:Choice Requires="x14">
        <control shapeId="23555" r:id="rId6" name="CheckBox1">
          <controlPr defaultSize="0" autoLine="0" r:id="rId7">
            <anchor moveWithCells="1">
              <from>
                <xdr:col>1</xdr:col>
                <xdr:colOff>104775</xdr:colOff>
                <xdr:row>19</xdr:row>
                <xdr:rowOff>0</xdr:rowOff>
              </from>
              <to>
                <xdr:col>3</xdr:col>
                <xdr:colOff>0</xdr:colOff>
                <xdr:row>20</xdr:row>
                <xdr:rowOff>123825</xdr:rowOff>
              </to>
            </anchor>
          </controlPr>
        </control>
      </mc:Choice>
      <mc:Fallback>
        <control shapeId="23555" r:id="rId6" name="CheckBox1"/>
      </mc:Fallback>
    </mc:AlternateContent>
    <mc:AlternateContent xmlns:mc="http://schemas.openxmlformats.org/markup-compatibility/2006">
      <mc:Choice Requires="x14">
        <control shapeId="23556" r:id="rId8" name="CheckBox2">
          <controlPr defaultSize="0" autoLine="0" r:id="rId9">
            <anchor moveWithCells="1">
              <from>
                <xdr:col>1</xdr:col>
                <xdr:colOff>95250</xdr:colOff>
                <xdr:row>20</xdr:row>
                <xdr:rowOff>0</xdr:rowOff>
              </from>
              <to>
                <xdr:col>2</xdr:col>
                <xdr:colOff>885825</xdr:colOff>
                <xdr:row>21</xdr:row>
                <xdr:rowOff>123825</xdr:rowOff>
              </to>
            </anchor>
          </controlPr>
        </control>
      </mc:Choice>
      <mc:Fallback>
        <control shapeId="23556" r:id="rId8" name="CheckBox2"/>
      </mc:Fallback>
    </mc:AlternateContent>
    <mc:AlternateContent xmlns:mc="http://schemas.openxmlformats.org/markup-compatibility/2006">
      <mc:Choice Requires="x14">
        <control shapeId="23557" r:id="rId10" name="CheckBox3">
          <controlPr defaultSize="0" autoLine="0" r:id="rId11">
            <anchor moveWithCells="1">
              <from>
                <xdr:col>5</xdr:col>
                <xdr:colOff>66675</xdr:colOff>
                <xdr:row>19</xdr:row>
                <xdr:rowOff>0</xdr:rowOff>
              </from>
              <to>
                <xdr:col>6</xdr:col>
                <xdr:colOff>314325</xdr:colOff>
                <xdr:row>20</xdr:row>
                <xdr:rowOff>123825</xdr:rowOff>
              </to>
            </anchor>
          </controlPr>
        </control>
      </mc:Choice>
      <mc:Fallback>
        <control shapeId="23557" r:id="rId10" name="CheckBox3"/>
      </mc:Fallback>
    </mc:AlternateContent>
    <mc:AlternateContent xmlns:mc="http://schemas.openxmlformats.org/markup-compatibility/2006">
      <mc:Choice Requires="x14">
        <control shapeId="23558" r:id="rId12" name="CheckBox4">
          <controlPr defaultSize="0" autoLine="0" r:id="rId13">
            <anchor moveWithCells="1">
              <from>
                <xdr:col>5</xdr:col>
                <xdr:colOff>85725</xdr:colOff>
                <xdr:row>19</xdr:row>
                <xdr:rowOff>0</xdr:rowOff>
              </from>
              <to>
                <xdr:col>6</xdr:col>
                <xdr:colOff>323850</xdr:colOff>
                <xdr:row>20</xdr:row>
                <xdr:rowOff>123825</xdr:rowOff>
              </to>
            </anchor>
          </controlPr>
        </control>
      </mc:Choice>
      <mc:Fallback>
        <control shapeId="23558" r:id="rId12" name="CheckBox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theme="3" tint="0.39997558519241921"/>
  </sheetPr>
  <dimension ref="A1:P26"/>
  <sheetViews>
    <sheetView topLeftCell="A4" workbookViewId="0">
      <selection activeCell="E11" sqref="E11"/>
    </sheetView>
  </sheetViews>
  <sheetFormatPr baseColWidth="10" defaultRowHeight="18.75" x14ac:dyDescent="0.3"/>
  <cols>
    <col min="1" max="1" width="2.42578125" style="10" customWidth="1"/>
    <col min="2" max="2" width="13.42578125" style="1" customWidth="1"/>
    <col min="3" max="3" width="9" style="1" customWidth="1"/>
    <col min="4" max="4" width="9.42578125" style="1" customWidth="1"/>
    <col min="5" max="8" width="8.7109375" style="1" customWidth="1"/>
    <col min="9" max="9" width="11.28515625" style="1" customWidth="1"/>
    <col min="10" max="16" width="8.7109375" style="1" customWidth="1"/>
    <col min="17" max="24" width="9" style="1" customWidth="1"/>
    <col min="25" max="16384" width="11.42578125" style="1"/>
  </cols>
  <sheetData>
    <row r="1" spans="1:16" ht="21" x14ac:dyDescent="0.35">
      <c r="A1" s="24" t="str">
        <f>CONCATENATE("SEGUIMIENTO ORDEN DE PRODUCCION  N°",E3)</f>
        <v>SEGUIMIENTO ORDEN DE PRODUCCION  N° OP1322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</row>
    <row r="2" spans="1:16" x14ac:dyDescent="0.3">
      <c r="B2" s="142" t="s">
        <v>2</v>
      </c>
      <c r="C2" s="584">
        <f ca="1">+Ordenes!$C$3</f>
        <v>46006</v>
      </c>
      <c r="D2" s="584"/>
      <c r="E2" s="584"/>
      <c r="F2" s="584"/>
      <c r="G2" s="146" t="s">
        <v>244</v>
      </c>
      <c r="H2" s="145"/>
      <c r="I2" s="446">
        <f>+Ordenes!A21</f>
        <v>45983</v>
      </c>
      <c r="J2" s="18"/>
      <c r="K2" s="8"/>
      <c r="L2" s="141" t="s">
        <v>234</v>
      </c>
      <c r="M2" s="142" t="s">
        <v>26</v>
      </c>
      <c r="N2" s="143" t="s">
        <v>19</v>
      </c>
      <c r="O2" s="142" t="s">
        <v>41</v>
      </c>
    </row>
    <row r="3" spans="1:16" x14ac:dyDescent="0.3">
      <c r="B3" s="142" t="s">
        <v>337</v>
      </c>
      <c r="C3" s="4"/>
      <c r="D3" s="4"/>
      <c r="E3" s="148" t="str">
        <f>CONCATENATE(" ",Ordenes!$F$2)</f>
        <v xml:space="preserve"> OP1322</v>
      </c>
      <c r="F3" s="140"/>
      <c r="G3" s="146" t="s">
        <v>245</v>
      </c>
      <c r="H3" s="146"/>
      <c r="I3" s="141">
        <f>+Ordenes!$D$7</f>
        <v>87</v>
      </c>
      <c r="J3" s="147"/>
      <c r="L3" s="144" t="s">
        <v>235</v>
      </c>
      <c r="M3" s="142" t="s">
        <v>236</v>
      </c>
      <c r="N3" s="144" t="s">
        <v>237</v>
      </c>
      <c r="O3" s="142" t="s">
        <v>238</v>
      </c>
    </row>
    <row r="4" spans="1:16" x14ac:dyDescent="0.3">
      <c r="B4" s="146" t="s">
        <v>4</v>
      </c>
      <c r="C4" s="18" t="str">
        <f>+Ordenes!$C$4</f>
        <v>Balde Payero Romano</v>
      </c>
      <c r="D4" s="18"/>
      <c r="E4" s="18"/>
      <c r="F4" s="18"/>
      <c r="G4" s="146" t="s">
        <v>212</v>
      </c>
      <c r="I4" s="141">
        <f>Ordenes!$D$7*Ordenes!$E$7</f>
        <v>174</v>
      </c>
      <c r="J4" s="147"/>
      <c r="K4" s="8"/>
      <c r="L4" s="145" t="s">
        <v>239</v>
      </c>
      <c r="M4" s="142" t="s">
        <v>240</v>
      </c>
      <c r="N4" s="145" t="s">
        <v>241</v>
      </c>
      <c r="O4" s="142" t="s">
        <v>242</v>
      </c>
    </row>
    <row r="5" spans="1:16" ht="21" x14ac:dyDescent="0.35">
      <c r="B5" s="146" t="s">
        <v>55</v>
      </c>
      <c r="C5" s="407" t="str">
        <f>+Ordenes!$B$7</f>
        <v>BALDE PLAYERO ROMANO</v>
      </c>
      <c r="D5" s="408"/>
      <c r="E5" s="408"/>
      <c r="F5" s="408"/>
    </row>
    <row r="6" spans="1:16" x14ac:dyDescent="0.3">
      <c r="B6" s="146" t="s">
        <v>3</v>
      </c>
      <c r="C6" s="339" t="str">
        <f>Ordenes!$F$3</f>
        <v>HT-320 A</v>
      </c>
      <c r="D6" s="18"/>
      <c r="E6" s="18"/>
      <c r="F6" s="18"/>
      <c r="H6" s="156"/>
      <c r="I6" s="156"/>
      <c r="J6" s="173"/>
    </row>
    <row r="7" spans="1:16" ht="12" customHeight="1" thickBot="1" x14ac:dyDescent="0.4">
      <c r="K7" s="24"/>
      <c r="L7" s="24"/>
    </row>
    <row r="8" spans="1:16" ht="19.5" thickBot="1" x14ac:dyDescent="0.35">
      <c r="A8" s="576" t="s">
        <v>24</v>
      </c>
      <c r="B8" s="577" t="s">
        <v>0</v>
      </c>
      <c r="C8" s="578" t="s">
        <v>25</v>
      </c>
      <c r="D8" s="579"/>
      <c r="E8" s="585" t="s">
        <v>243</v>
      </c>
      <c r="F8" s="586"/>
      <c r="G8" s="586"/>
      <c r="H8" s="586"/>
      <c r="I8" s="586"/>
      <c r="J8" s="586"/>
      <c r="K8" s="586"/>
      <c r="L8" s="586"/>
      <c r="M8" s="586"/>
      <c r="N8" s="586"/>
      <c r="O8" s="586"/>
      <c r="P8" s="587"/>
    </row>
    <row r="9" spans="1:16" x14ac:dyDescent="0.3">
      <c r="A9" s="576"/>
      <c r="B9" s="577"/>
      <c r="C9" s="580"/>
      <c r="D9" s="581"/>
      <c r="E9" s="388" t="s">
        <v>502</v>
      </c>
      <c r="F9" s="389" t="s">
        <v>503</v>
      </c>
      <c r="G9" s="388" t="s">
        <v>502</v>
      </c>
      <c r="H9" s="389" t="s">
        <v>503</v>
      </c>
      <c r="I9" s="388" t="s">
        <v>502</v>
      </c>
      <c r="J9" s="389" t="s">
        <v>503</v>
      </c>
      <c r="K9" s="388" t="s">
        <v>502</v>
      </c>
      <c r="L9" s="389" t="s">
        <v>503</v>
      </c>
      <c r="M9" s="388" t="s">
        <v>502</v>
      </c>
      <c r="N9" s="389" t="s">
        <v>503</v>
      </c>
      <c r="O9" s="388" t="s">
        <v>502</v>
      </c>
      <c r="P9" s="389" t="s">
        <v>503</v>
      </c>
    </row>
    <row r="10" spans="1:16" x14ac:dyDescent="0.3">
      <c r="A10" s="576"/>
      <c r="B10" s="577"/>
      <c r="C10" s="399" t="s">
        <v>41</v>
      </c>
      <c r="D10" s="400" t="s">
        <v>440</v>
      </c>
      <c r="E10" s="582" t="s">
        <v>2</v>
      </c>
      <c r="F10" s="583"/>
      <c r="G10" s="582" t="s">
        <v>2</v>
      </c>
      <c r="H10" s="583"/>
      <c r="I10" s="582" t="s">
        <v>2</v>
      </c>
      <c r="J10" s="583"/>
      <c r="K10" s="582" t="s">
        <v>2</v>
      </c>
      <c r="L10" s="583"/>
      <c r="M10" s="582" t="s">
        <v>2</v>
      </c>
      <c r="N10" s="583"/>
      <c r="O10" s="582" t="s">
        <v>2</v>
      </c>
      <c r="P10" s="583"/>
    </row>
    <row r="11" spans="1:16" x14ac:dyDescent="0.3">
      <c r="A11" s="155">
        <v>1</v>
      </c>
      <c r="B11" s="398" t="str">
        <f>+Ordenes!B27</f>
        <v>Amarillo</v>
      </c>
      <c r="C11" s="405">
        <f>IF(Ordenes!$C$2="Por cantidad",Ordenes!C13,IF(Ordenes!$C$2="Por Peso",Ordenes!D13,Ordenes!E13))</f>
        <v>175</v>
      </c>
      <c r="D11" s="403">
        <f>IF(C11="","",C11*1000/$I$4)</f>
        <v>1005.7471264367816</v>
      </c>
      <c r="E11" s="379"/>
      <c r="F11" s="380"/>
      <c r="G11" s="379"/>
      <c r="H11" s="380"/>
      <c r="I11" s="379"/>
      <c r="J11" s="380"/>
      <c r="K11" s="379"/>
      <c r="L11" s="390"/>
      <c r="M11" s="379"/>
      <c r="N11" s="380"/>
      <c r="O11" s="385"/>
      <c r="P11" s="380"/>
    </row>
    <row r="12" spans="1:16" x14ac:dyDescent="0.3">
      <c r="A12" s="155">
        <v>2</v>
      </c>
      <c r="B12" s="398" t="str">
        <f>+Ordenes!B28</f>
        <v>Azul</v>
      </c>
      <c r="C12" s="405">
        <f>IF(Ordenes!$C$2="Por cantidad",Ordenes!C14,IF(Ordenes!$C$2="Por Peso",Ordenes!D14,Ordenes!E14))</f>
        <v>175</v>
      </c>
      <c r="D12" s="403">
        <f t="shared" ref="D12:D16" si="0">IF(C12="","",C12*1000/$I$4)</f>
        <v>1005.7471264367816</v>
      </c>
      <c r="E12" s="381"/>
      <c r="F12" s="382"/>
      <c r="G12" s="381"/>
      <c r="H12" s="382"/>
      <c r="I12" s="381"/>
      <c r="J12" s="382"/>
      <c r="K12" s="381"/>
      <c r="L12" s="391"/>
      <c r="M12" s="381"/>
      <c r="N12" s="382"/>
      <c r="O12" s="386"/>
      <c r="P12" s="382"/>
    </row>
    <row r="13" spans="1:16" x14ac:dyDescent="0.3">
      <c r="A13" s="155">
        <v>3</v>
      </c>
      <c r="B13" s="398" t="str">
        <f>+Ordenes!B29</f>
        <v>Rojo</v>
      </c>
      <c r="C13" s="405">
        <f>IF(Ordenes!$C$2="Por cantidad",Ordenes!C15,IF(Ordenes!$C$2="Por Peso",Ordenes!D15,Ordenes!E15))</f>
        <v>175</v>
      </c>
      <c r="D13" s="403">
        <f t="shared" si="0"/>
        <v>1005.7471264367816</v>
      </c>
      <c r="E13" s="381"/>
      <c r="F13" s="382"/>
      <c r="G13" s="381"/>
      <c r="H13" s="382"/>
      <c r="I13" s="381"/>
      <c r="J13" s="382"/>
      <c r="K13" s="381"/>
      <c r="L13" s="391"/>
      <c r="M13" s="381"/>
      <c r="N13" s="382"/>
      <c r="O13" s="386"/>
      <c r="P13" s="382"/>
    </row>
    <row r="14" spans="1:16" x14ac:dyDescent="0.3">
      <c r="A14" s="155">
        <v>4</v>
      </c>
      <c r="B14" s="398" t="str">
        <f>+Ordenes!B30</f>
        <v>Fucsia</v>
      </c>
      <c r="C14" s="405">
        <f>IF(Ordenes!$C$2="Por cantidad",Ordenes!C16,IF(Ordenes!$C$2="Por Peso",Ordenes!D16,Ordenes!E16))</f>
        <v>175</v>
      </c>
      <c r="D14" s="403">
        <f t="shared" si="0"/>
        <v>1005.7471264367816</v>
      </c>
      <c r="E14" s="381"/>
      <c r="F14" s="382"/>
      <c r="G14" s="381"/>
      <c r="H14" s="382"/>
      <c r="I14" s="381"/>
      <c r="J14" s="382"/>
      <c r="K14" s="381"/>
      <c r="L14" s="391"/>
      <c r="M14" s="381"/>
      <c r="N14" s="382"/>
      <c r="O14" s="386"/>
      <c r="P14" s="382"/>
    </row>
    <row r="15" spans="1:16" x14ac:dyDescent="0.3">
      <c r="A15" s="155">
        <v>5</v>
      </c>
      <c r="B15" s="398" t="str">
        <f>+Ordenes!B31</f>
        <v>Verde</v>
      </c>
      <c r="C15" s="405">
        <f>IF(Ordenes!$C$2="Por cantidad",Ordenes!C17,IF(Ordenes!$C$2="Por Peso",Ordenes!D17,Ordenes!E17))</f>
        <v>175</v>
      </c>
      <c r="D15" s="403">
        <f t="shared" si="0"/>
        <v>1005.7471264367816</v>
      </c>
      <c r="E15" s="381"/>
      <c r="F15" s="382"/>
      <c r="G15" s="381"/>
      <c r="H15" s="382"/>
      <c r="I15" s="381"/>
      <c r="J15" s="382"/>
      <c r="K15" s="381"/>
      <c r="L15" s="391"/>
      <c r="M15" s="381"/>
      <c r="N15" s="382"/>
      <c r="O15" s="386"/>
      <c r="P15" s="382"/>
    </row>
    <row r="16" spans="1:16" ht="19.5" thickBot="1" x14ac:dyDescent="0.35">
      <c r="A16" s="155">
        <v>6</v>
      </c>
      <c r="B16" s="398" t="str">
        <f>+Ordenes!B32</f>
        <v>Lila</v>
      </c>
      <c r="C16" s="406">
        <f>IF(Ordenes!$C$2="Por cantidad",Ordenes!C18,IF(Ordenes!$C$2="Por Peso",Ordenes!D18,Ordenes!E18))</f>
        <v>175</v>
      </c>
      <c r="D16" s="404">
        <f t="shared" si="0"/>
        <v>1005.7471264367816</v>
      </c>
      <c r="E16" s="383"/>
      <c r="F16" s="384"/>
      <c r="G16" s="383"/>
      <c r="H16" s="384"/>
      <c r="I16" s="383"/>
      <c r="J16" s="384"/>
      <c r="K16" s="383"/>
      <c r="L16" s="392"/>
      <c r="M16" s="383"/>
      <c r="N16" s="384"/>
      <c r="O16" s="387"/>
      <c r="P16" s="384"/>
    </row>
    <row r="17" spans="1:16" ht="19.5" thickBot="1" x14ac:dyDescent="0.35">
      <c r="A17" s="156"/>
      <c r="B17" s="157"/>
      <c r="C17" s="401">
        <f>SUM(C11:C16)</f>
        <v>1050</v>
      </c>
      <c r="D17" s="402">
        <f>SUM(D11:D16)</f>
        <v>6034.4827586206893</v>
      </c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</row>
    <row r="18" spans="1:16" ht="12.75" customHeight="1" thickBot="1" x14ac:dyDescent="0.35">
      <c r="A18" s="1"/>
    </row>
    <row r="19" spans="1:16" x14ac:dyDescent="0.3">
      <c r="A19" s="572">
        <v>1</v>
      </c>
      <c r="B19" s="574" t="s">
        <v>0</v>
      </c>
      <c r="C19" s="388" t="s">
        <v>502</v>
      </c>
      <c r="D19" s="389" t="s">
        <v>503</v>
      </c>
      <c r="E19" s="388" t="s">
        <v>502</v>
      </c>
      <c r="F19" s="389" t="s">
        <v>503</v>
      </c>
      <c r="G19" s="388" t="s">
        <v>502</v>
      </c>
      <c r="H19" s="389" t="s">
        <v>503</v>
      </c>
      <c r="I19" s="388" t="s">
        <v>502</v>
      </c>
      <c r="J19" s="389" t="s">
        <v>503</v>
      </c>
      <c r="K19" s="388" t="s">
        <v>502</v>
      </c>
      <c r="L19" s="389" t="s">
        <v>503</v>
      </c>
      <c r="M19" s="388" t="s">
        <v>502</v>
      </c>
      <c r="N19" s="389" t="s">
        <v>503</v>
      </c>
      <c r="O19" s="388" t="s">
        <v>502</v>
      </c>
      <c r="P19" s="389" t="s">
        <v>503</v>
      </c>
    </row>
    <row r="20" spans="1:16" x14ac:dyDescent="0.3">
      <c r="A20" s="573"/>
      <c r="B20" s="575"/>
      <c r="C20" s="582" t="s">
        <v>2</v>
      </c>
      <c r="D20" s="583"/>
      <c r="E20" s="582" t="s">
        <v>2</v>
      </c>
      <c r="F20" s="583"/>
      <c r="G20" s="582" t="s">
        <v>2</v>
      </c>
      <c r="H20" s="583"/>
      <c r="I20" s="582" t="s">
        <v>2</v>
      </c>
      <c r="J20" s="583"/>
      <c r="K20" s="582" t="s">
        <v>2</v>
      </c>
      <c r="L20" s="583"/>
      <c r="M20" s="582" t="s">
        <v>2</v>
      </c>
      <c r="N20" s="583"/>
      <c r="O20" s="582" t="s">
        <v>2</v>
      </c>
      <c r="P20" s="583"/>
    </row>
    <row r="21" spans="1:16" x14ac:dyDescent="0.3">
      <c r="A21" s="158">
        <v>1</v>
      </c>
      <c r="B21" s="393" t="str">
        <f>B11</f>
        <v>Amarillo</v>
      </c>
      <c r="C21" s="379"/>
      <c r="D21" s="380"/>
      <c r="E21" s="379"/>
      <c r="F21" s="380"/>
      <c r="G21" s="379"/>
      <c r="H21" s="380"/>
      <c r="I21" s="379"/>
      <c r="J21" s="380"/>
      <c r="K21" s="379"/>
      <c r="L21" s="390"/>
      <c r="M21" s="379"/>
      <c r="N21" s="380"/>
      <c r="O21" s="385"/>
      <c r="P21" s="380"/>
    </row>
    <row r="22" spans="1:16" x14ac:dyDescent="0.3">
      <c r="A22" s="158">
        <v>2</v>
      </c>
      <c r="B22" s="393" t="str">
        <f>B12</f>
        <v>Azul</v>
      </c>
      <c r="C22" s="381"/>
      <c r="D22" s="382"/>
      <c r="E22" s="381"/>
      <c r="F22" s="382"/>
      <c r="G22" s="381"/>
      <c r="H22" s="382"/>
      <c r="I22" s="381"/>
      <c r="J22" s="382"/>
      <c r="K22" s="381"/>
      <c r="L22" s="391"/>
      <c r="M22" s="381"/>
      <c r="N22" s="382"/>
      <c r="O22" s="386"/>
      <c r="P22" s="382"/>
    </row>
    <row r="23" spans="1:16" x14ac:dyDescent="0.3">
      <c r="A23" s="158">
        <v>3</v>
      </c>
      <c r="B23" s="393" t="str">
        <f>B13</f>
        <v>Rojo</v>
      </c>
      <c r="C23" s="381"/>
      <c r="D23" s="382"/>
      <c r="E23" s="381"/>
      <c r="F23" s="382"/>
      <c r="G23" s="381"/>
      <c r="H23" s="382"/>
      <c r="I23" s="381"/>
      <c r="J23" s="382"/>
      <c r="K23" s="381"/>
      <c r="L23" s="391"/>
      <c r="M23" s="381"/>
      <c r="N23" s="382"/>
      <c r="O23" s="386"/>
      <c r="P23" s="382"/>
    </row>
    <row r="24" spans="1:16" x14ac:dyDescent="0.3">
      <c r="A24" s="158">
        <v>4</v>
      </c>
      <c r="B24" s="393" t="str">
        <f>B14</f>
        <v>Fucsia</v>
      </c>
      <c r="C24" s="381"/>
      <c r="D24" s="382"/>
      <c r="E24" s="381"/>
      <c r="F24" s="382"/>
      <c r="G24" s="381"/>
      <c r="H24" s="382"/>
      <c r="I24" s="381"/>
      <c r="J24" s="382"/>
      <c r="K24" s="381"/>
      <c r="L24" s="391"/>
      <c r="M24" s="381"/>
      <c r="N24" s="382"/>
      <c r="O24" s="386"/>
      <c r="P24" s="382"/>
    </row>
    <row r="25" spans="1:16" x14ac:dyDescent="0.3">
      <c r="A25" s="158">
        <v>5</v>
      </c>
      <c r="B25" s="393" t="str">
        <f>B15</f>
        <v>Verde</v>
      </c>
      <c r="C25" s="381"/>
      <c r="D25" s="382"/>
      <c r="E25" s="381"/>
      <c r="F25" s="382"/>
      <c r="G25" s="381"/>
      <c r="H25" s="382"/>
      <c r="I25" s="381"/>
      <c r="J25" s="382"/>
      <c r="K25" s="381"/>
      <c r="L25" s="391"/>
      <c r="M25" s="381"/>
      <c r="N25" s="382"/>
      <c r="O25" s="386"/>
      <c r="P25" s="382"/>
    </row>
    <row r="26" spans="1:16" ht="19.5" thickBot="1" x14ac:dyDescent="0.35">
      <c r="A26" s="158">
        <v>6</v>
      </c>
      <c r="B26" s="393"/>
      <c r="C26" s="383"/>
      <c r="D26" s="384"/>
      <c r="E26" s="383"/>
      <c r="F26" s="384"/>
      <c r="G26" s="383"/>
      <c r="H26" s="384"/>
      <c r="I26" s="383"/>
      <c r="J26" s="384"/>
      <c r="K26" s="383"/>
      <c r="L26" s="392"/>
      <c r="M26" s="383"/>
      <c r="N26" s="384"/>
      <c r="O26" s="387"/>
      <c r="P26" s="384"/>
    </row>
  </sheetData>
  <mergeCells count="20">
    <mergeCell ref="M20:N20"/>
    <mergeCell ref="C2:F2"/>
    <mergeCell ref="K10:L10"/>
    <mergeCell ref="M10:N10"/>
    <mergeCell ref="O10:P10"/>
    <mergeCell ref="E8:P8"/>
    <mergeCell ref="E10:F10"/>
    <mergeCell ref="G10:H10"/>
    <mergeCell ref="I10:J10"/>
    <mergeCell ref="O20:P20"/>
    <mergeCell ref="E20:F20"/>
    <mergeCell ref="G20:H20"/>
    <mergeCell ref="I20:J20"/>
    <mergeCell ref="K20:L20"/>
    <mergeCell ref="A19:A20"/>
    <mergeCell ref="B19:B20"/>
    <mergeCell ref="A8:A10"/>
    <mergeCell ref="B8:B10"/>
    <mergeCell ref="C8:D9"/>
    <mergeCell ref="C20:D20"/>
  </mergeCells>
  <pageMargins left="0.23622047244094491" right="3.937007874015748E-2" top="0.74803149606299213" bottom="0.74803149606299213" header="0.31496062992125984" footer="0.31496062992125984"/>
  <pageSetup paperSize="9" orientation="landscape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2:Q55"/>
  <sheetViews>
    <sheetView topLeftCell="A7" workbookViewId="0">
      <selection activeCell="C24" sqref="A18:C24"/>
    </sheetView>
  </sheetViews>
  <sheetFormatPr baseColWidth="10" defaultRowHeight="15" x14ac:dyDescent="0.25"/>
  <cols>
    <col min="1" max="1" width="21.28515625" customWidth="1"/>
    <col min="2" max="2" width="22" bestFit="1" customWidth="1"/>
    <col min="3" max="3" width="25.28515625" customWidth="1"/>
    <col min="4" max="4" width="13.42578125" customWidth="1"/>
    <col min="5" max="5" width="7.7109375" bestFit="1" customWidth="1"/>
    <col min="7" max="7" width="15.7109375" customWidth="1"/>
    <col min="8" max="8" width="22.85546875" bestFit="1" customWidth="1"/>
    <col min="9" max="9" width="13.42578125" bestFit="1" customWidth="1"/>
    <col min="10" max="10" width="16.140625" bestFit="1" customWidth="1"/>
    <col min="11" max="11" width="7.7109375" bestFit="1" customWidth="1"/>
    <col min="14" max="14" width="21.85546875" bestFit="1" customWidth="1"/>
    <col min="15" max="15" width="13.42578125" bestFit="1" customWidth="1"/>
    <col min="16" max="16" width="16.140625" bestFit="1" customWidth="1"/>
  </cols>
  <sheetData>
    <row r="2" spans="1:17" ht="21" x14ac:dyDescent="0.35">
      <c r="A2" s="52" t="str">
        <f>CONCATENATE("ORDEN DE COSTOS DE PRODUCCION: N° ",Ordenes!$F$2)</f>
        <v>ORDEN DE COSTOS DE PRODUCCION: N° OP1322</v>
      </c>
      <c r="G2" s="52" t="str">
        <f>CONCATENATE("ORDEN DE COSTOS DE PRODUCCION: N° ",Ordenes!$F$2)</f>
        <v>ORDEN DE COSTOS DE PRODUCCION: N° OP1322</v>
      </c>
      <c r="M2" s="52" t="str">
        <f>CONCATENATE("ORDEN DE COSTOS DE PRODUCCION: N° ",Ordenes!$F$2)</f>
        <v>ORDEN DE COSTOS DE PRODUCCION: N° OP1322</v>
      </c>
    </row>
    <row r="4" spans="1:17" x14ac:dyDescent="0.25">
      <c r="A4" s="35" t="s">
        <v>13</v>
      </c>
      <c r="B4" s="50">
        <f ca="1">+Ordenes!$C$3</f>
        <v>46006</v>
      </c>
      <c r="C4" s="59"/>
      <c r="D4" s="59"/>
      <c r="G4" s="35" t="s">
        <v>13</v>
      </c>
      <c r="H4" s="50">
        <f ca="1">+Ordenes!$C$3</f>
        <v>46006</v>
      </c>
      <c r="I4" s="59" t="s">
        <v>204</v>
      </c>
      <c r="J4" s="64">
        <f>+Ordenes!$F$4</f>
        <v>3.5</v>
      </c>
      <c r="M4" s="35" t="s">
        <v>13</v>
      </c>
      <c r="N4" s="50">
        <f ca="1">+Ordenes!$C$3</f>
        <v>46006</v>
      </c>
      <c r="O4" s="59" t="s">
        <v>204</v>
      </c>
      <c r="P4" s="64">
        <f>+Ordenes!$F$4</f>
        <v>3.5</v>
      </c>
    </row>
    <row r="5" spans="1:17" x14ac:dyDescent="0.25">
      <c r="A5" s="35" t="s">
        <v>4</v>
      </c>
      <c r="B5" s="50" t="str">
        <f>+Ordenes!$C$4</f>
        <v>Balde Payero Romano</v>
      </c>
      <c r="G5" s="35" t="s">
        <v>4</v>
      </c>
      <c r="H5" s="50" t="str">
        <f>+Ordenes!$C$4</f>
        <v>Balde Payero Romano</v>
      </c>
      <c r="M5" s="35" t="s">
        <v>4</v>
      </c>
      <c r="N5" s="50" t="str">
        <f>+Ordenes!$C$4</f>
        <v>Balde Payero Romano</v>
      </c>
    </row>
    <row r="6" spans="1:17" x14ac:dyDescent="0.25">
      <c r="A6" s="35" t="s">
        <v>90</v>
      </c>
      <c r="B6">
        <f>+Ordenes!$H$4</f>
        <v>0</v>
      </c>
      <c r="G6" s="35" t="s">
        <v>90</v>
      </c>
      <c r="H6">
        <f>+Ordenes!$H$4</f>
        <v>0</v>
      </c>
      <c r="M6" s="35" t="s">
        <v>90</v>
      </c>
      <c r="N6">
        <f>+Ordenes!$H$4</f>
        <v>0</v>
      </c>
    </row>
    <row r="8" spans="1:17" ht="15.75" x14ac:dyDescent="0.25">
      <c r="A8" s="58" t="str">
        <f>+Ordenes!B7</f>
        <v>BALDE PLAYERO ROMANO</v>
      </c>
      <c r="G8" s="58" t="e">
        <f>+Ordenes!#REF!</f>
        <v>#REF!</v>
      </c>
      <c r="M8" s="81" t="e">
        <f>+Ordenes!#REF!</f>
        <v>#REF!</v>
      </c>
    </row>
    <row r="9" spans="1:17" x14ac:dyDescent="0.25">
      <c r="A9" s="35" t="s">
        <v>187</v>
      </c>
      <c r="B9" s="5">
        <f>+Ordenes!C10/12</f>
        <v>0</v>
      </c>
      <c r="G9" s="35" t="s">
        <v>187</v>
      </c>
      <c r="H9" s="5" t="e">
        <f>+Ordenes!#REF!/12</f>
        <v>#REF!</v>
      </c>
      <c r="M9" s="35" t="s">
        <v>187</v>
      </c>
      <c r="N9" s="56" t="e">
        <f>+Ordenes!#REF!</f>
        <v>#REF!</v>
      </c>
    </row>
    <row r="10" spans="1:17" x14ac:dyDescent="0.25">
      <c r="A10" s="35" t="s">
        <v>88</v>
      </c>
      <c r="B10" s="80">
        <f>+Ordenes!B21</f>
        <v>2.1864067966016991</v>
      </c>
      <c r="G10" s="35" t="s">
        <v>88</v>
      </c>
      <c r="H10" s="80" t="e">
        <f>+Ordenes!#REF!</f>
        <v>#REF!</v>
      </c>
      <c r="M10" s="35" t="s">
        <v>88</v>
      </c>
    </row>
    <row r="11" spans="1:17" x14ac:dyDescent="0.25">
      <c r="A11" s="35" t="s">
        <v>200</v>
      </c>
      <c r="B11" s="79">
        <f>+Ordenes!H7</f>
        <v>23</v>
      </c>
      <c r="C11" s="85" t="s">
        <v>201</v>
      </c>
      <c r="D11" s="59"/>
      <c r="G11" s="35" t="s">
        <v>200</v>
      </c>
      <c r="H11" s="79" t="e">
        <f>+Ordenes!#REF!</f>
        <v>#REF!</v>
      </c>
      <c r="I11" s="59" t="s">
        <v>201</v>
      </c>
      <c r="J11" s="63" t="e">
        <f>+Ordenes!#REF!</f>
        <v>#REF!</v>
      </c>
      <c r="M11" s="35" t="s">
        <v>200</v>
      </c>
    </row>
    <row r="12" spans="1:17" x14ac:dyDescent="0.25">
      <c r="G12" s="35"/>
      <c r="M12" s="35"/>
    </row>
    <row r="13" spans="1:17" x14ac:dyDescent="0.25">
      <c r="A13" s="51" t="s">
        <v>132</v>
      </c>
      <c r="G13" s="51" t="s">
        <v>132</v>
      </c>
      <c r="M13" s="51" t="s">
        <v>132</v>
      </c>
      <c r="O13" s="60" t="s">
        <v>62</v>
      </c>
      <c r="P13" s="60" t="s">
        <v>196</v>
      </c>
    </row>
    <row r="14" spans="1:17" x14ac:dyDescent="0.25">
      <c r="A14" s="59" t="s">
        <v>186</v>
      </c>
      <c r="C14" s="60" t="s">
        <v>62</v>
      </c>
      <c r="D14" s="60"/>
      <c r="G14" s="59" t="s">
        <v>186</v>
      </c>
      <c r="I14" s="60" t="s">
        <v>62</v>
      </c>
      <c r="J14" s="60" t="s">
        <v>196</v>
      </c>
      <c r="M14" s="59" t="s">
        <v>186</v>
      </c>
    </row>
    <row r="15" spans="1:17" x14ac:dyDescent="0.25">
      <c r="B15" s="57">
        <f>+Ordenes!C33</f>
        <v>0</v>
      </c>
      <c r="C15" s="56">
        <f>+Temporal!J11</f>
        <v>536.99961260330588</v>
      </c>
      <c r="D15" s="56"/>
      <c r="E15" s="35"/>
      <c r="H15" s="57" t="e">
        <f>+Ordenes!#REF!</f>
        <v>#REF!</v>
      </c>
      <c r="I15" s="61" t="e">
        <f>+Temporal!#REF!</f>
        <v>#REF!</v>
      </c>
      <c r="J15" s="61" t="e">
        <f>IFERROR(VLOOKUP('IMPRIMIR OP'!#REF!,DATOS!$O$3:$P$15,2,FALSE),0)*I15</f>
        <v>#REF!</v>
      </c>
      <c r="K15" s="35" t="e">
        <f>IF(J15=0,"","Dolares")</f>
        <v>#REF!</v>
      </c>
      <c r="L15" s="35"/>
      <c r="N15" s="56" t="e">
        <f>+Ordenes!#REF!</f>
        <v>#REF!</v>
      </c>
      <c r="O15" s="56" t="e">
        <f>+Temporal!#REF!</f>
        <v>#REF!</v>
      </c>
      <c r="P15" s="56" t="e">
        <f>+Temporal!#REF!</f>
        <v>#REF!</v>
      </c>
      <c r="Q15" s="35" t="e">
        <f>IF(P15=0,"","Dolares")</f>
        <v>#REF!</v>
      </c>
    </row>
    <row r="16" spans="1:17" x14ac:dyDescent="0.25">
      <c r="B16" s="56">
        <f>+Ordenes!D33</f>
        <v>0</v>
      </c>
      <c r="C16" s="56">
        <f>+Temporal!K11</f>
        <v>0</v>
      </c>
      <c r="D16" s="56"/>
      <c r="E16" s="35"/>
      <c r="H16" s="56" t="e">
        <f>+Ordenes!#REF!</f>
        <v>#REF!</v>
      </c>
      <c r="I16" s="61" t="e">
        <f>+Temporal!#REF!</f>
        <v>#REF!</v>
      </c>
      <c r="J16" s="61" t="e">
        <f>+Temporal!#REF!</f>
        <v>#REF!</v>
      </c>
      <c r="K16" s="35" t="e">
        <f>IF(J16=0,"","Dolares")</f>
        <v>#REF!</v>
      </c>
      <c r="N16" s="56" t="e">
        <f>+Ordenes!#REF!</f>
        <v>#REF!</v>
      </c>
      <c r="O16" s="56" t="e">
        <f>+Temporal!#REF!</f>
        <v>#REF!</v>
      </c>
      <c r="P16" s="56" t="e">
        <f>+Temporal!#REF!</f>
        <v>#REF!</v>
      </c>
      <c r="Q16" s="35" t="e">
        <f>IF(P16=0,"","Dolares")</f>
        <v>#REF!</v>
      </c>
    </row>
    <row r="17" spans="1:17" x14ac:dyDescent="0.25">
      <c r="A17" s="59" t="s">
        <v>133</v>
      </c>
      <c r="G17" s="59" t="s">
        <v>133</v>
      </c>
      <c r="H17" s="56"/>
      <c r="K17" s="35" t="str">
        <f>IF(J17="","","Soles")</f>
        <v/>
      </c>
      <c r="L17" s="35"/>
      <c r="M17" s="59" t="s">
        <v>133</v>
      </c>
      <c r="N17" s="56"/>
      <c r="O17" s="56"/>
      <c r="P17" s="56"/>
      <c r="Q17" s="35"/>
    </row>
    <row r="18" spans="1:17" x14ac:dyDescent="0.25">
      <c r="B18" s="57">
        <f>+Ordenes!E33</f>
        <v>0</v>
      </c>
      <c r="C18" s="61">
        <f>+Temporal!L11</f>
        <v>536.99961260330588</v>
      </c>
      <c r="D18" s="61"/>
      <c r="E18" s="35"/>
      <c r="H18" s="56" t="e">
        <f>+Ordenes!#REF!</f>
        <v>#REF!</v>
      </c>
      <c r="I18" s="61" t="e">
        <f>+Temporal!#REF!</f>
        <v>#REF!</v>
      </c>
      <c r="J18" s="61" t="e">
        <f>_xlfn.IFNA(VLOOKUP(H18,DATOS!$Q$3:$R$19,2,FALSE),0)*I18</f>
        <v>#REF!</v>
      </c>
      <c r="K18" s="35" t="e">
        <f>IF(J18=0,"","Soles")</f>
        <v>#REF!</v>
      </c>
      <c r="N18" s="56" t="e">
        <f>+Ordenes!#REF!</f>
        <v>#REF!</v>
      </c>
      <c r="O18" s="56" t="e">
        <f>+Temporal!#REF!</f>
        <v>#REF!</v>
      </c>
      <c r="P18" s="56" t="e">
        <f>+Temporal!#REF!</f>
        <v>#REF!</v>
      </c>
      <c r="Q18" s="35" t="e">
        <f>IF(P18=0,"","Soles")</f>
        <v>#REF!</v>
      </c>
    </row>
    <row r="19" spans="1:17" x14ac:dyDescent="0.25">
      <c r="C19" s="62">
        <f>SUM(C15:C18)</f>
        <v>1073.9992252066118</v>
      </c>
      <c r="D19" s="62"/>
    </row>
    <row r="20" spans="1:17" x14ac:dyDescent="0.25">
      <c r="C20" s="62"/>
      <c r="D20" s="62"/>
    </row>
    <row r="21" spans="1:17" x14ac:dyDescent="0.25">
      <c r="G21" s="51" t="s">
        <v>188</v>
      </c>
      <c r="M21" s="51" t="s">
        <v>188</v>
      </c>
    </row>
    <row r="22" spans="1:17" x14ac:dyDescent="0.25">
      <c r="G22" s="51"/>
      <c r="M22" s="51"/>
    </row>
    <row r="23" spans="1:17" x14ac:dyDescent="0.25">
      <c r="G23" s="51"/>
      <c r="M23" s="51"/>
    </row>
    <row r="24" spans="1:17" x14ac:dyDescent="0.25">
      <c r="G24" s="51"/>
      <c r="M24" s="51"/>
    </row>
    <row r="25" spans="1:17" x14ac:dyDescent="0.25">
      <c r="G25" s="51"/>
      <c r="M25" s="51"/>
    </row>
    <row r="26" spans="1:17" x14ac:dyDescent="0.25">
      <c r="G26" s="51"/>
      <c r="M26" s="51"/>
    </row>
    <row r="27" spans="1:17" x14ac:dyDescent="0.25">
      <c r="G27" s="51"/>
      <c r="M27" s="51"/>
    </row>
    <row r="28" spans="1:17" x14ac:dyDescent="0.25">
      <c r="G28" s="51"/>
      <c r="M28" s="51"/>
    </row>
    <row r="29" spans="1:17" x14ac:dyDescent="0.25">
      <c r="G29" s="51"/>
      <c r="M29" s="51"/>
    </row>
    <row r="30" spans="1:17" x14ac:dyDescent="0.25">
      <c r="G30" s="51"/>
      <c r="M30" s="51"/>
    </row>
    <row r="31" spans="1:17" x14ac:dyDescent="0.25">
      <c r="M31" s="51"/>
    </row>
    <row r="32" spans="1:17" x14ac:dyDescent="0.25">
      <c r="M32" s="51"/>
    </row>
    <row r="33" spans="1:13" x14ac:dyDescent="0.25">
      <c r="M33" s="83"/>
    </row>
    <row r="34" spans="1:13" x14ac:dyDescent="0.25">
      <c r="M34" s="51"/>
    </row>
    <row r="35" spans="1:13" x14ac:dyDescent="0.25">
      <c r="M35" s="51"/>
    </row>
    <row r="36" spans="1:13" x14ac:dyDescent="0.25">
      <c r="M36" s="51"/>
    </row>
    <row r="37" spans="1:13" x14ac:dyDescent="0.25">
      <c r="A37" s="51"/>
      <c r="G37" s="51"/>
      <c r="M37" s="51"/>
    </row>
    <row r="38" spans="1:13" x14ac:dyDescent="0.25">
      <c r="A38" s="51"/>
      <c r="G38" s="51"/>
      <c r="M38" s="51"/>
    </row>
    <row r="39" spans="1:13" x14ac:dyDescent="0.25">
      <c r="A39" s="51"/>
      <c r="G39" s="51"/>
      <c r="M39" s="51"/>
    </row>
    <row r="40" spans="1:13" x14ac:dyDescent="0.25">
      <c r="A40" s="51"/>
      <c r="G40" s="51"/>
      <c r="M40" s="51"/>
    </row>
    <row r="41" spans="1:13" x14ac:dyDescent="0.25">
      <c r="A41" s="51"/>
      <c r="G41" s="51"/>
      <c r="M41" s="51"/>
    </row>
    <row r="42" spans="1:13" x14ac:dyDescent="0.25">
      <c r="A42" s="51"/>
      <c r="G42" s="51"/>
      <c r="M42" s="51"/>
    </row>
    <row r="43" spans="1:13" x14ac:dyDescent="0.25">
      <c r="A43" s="51"/>
      <c r="G43" s="51"/>
      <c r="M43" s="51"/>
    </row>
    <row r="44" spans="1:13" x14ac:dyDescent="0.25">
      <c r="A44" s="51"/>
      <c r="G44" s="51"/>
      <c r="M44" s="51"/>
    </row>
    <row r="45" spans="1:13" x14ac:dyDescent="0.25">
      <c r="A45" s="51"/>
      <c r="G45" s="51"/>
      <c r="M45" s="51"/>
    </row>
    <row r="46" spans="1:13" x14ac:dyDescent="0.25">
      <c r="A46" s="51"/>
      <c r="G46" s="51"/>
      <c r="M46" s="51"/>
    </row>
    <row r="47" spans="1:13" x14ac:dyDescent="0.25">
      <c r="A47" s="51"/>
      <c r="G47" s="51"/>
      <c r="M47" s="51"/>
    </row>
    <row r="48" spans="1:13" x14ac:dyDescent="0.25">
      <c r="A48" s="51"/>
      <c r="G48" s="51"/>
      <c r="M48" s="51"/>
    </row>
    <row r="49" spans="1:17" x14ac:dyDescent="0.25">
      <c r="A49" s="51"/>
      <c r="G49" s="51"/>
      <c r="M49" s="51"/>
    </row>
    <row r="50" spans="1:17" x14ac:dyDescent="0.25">
      <c r="A50" s="51"/>
      <c r="G50" s="51"/>
      <c r="M50" s="51"/>
    </row>
    <row r="51" spans="1:17" x14ac:dyDescent="0.25">
      <c r="A51" s="51"/>
      <c r="G51" s="51"/>
      <c r="M51" s="51"/>
    </row>
    <row r="52" spans="1:17" x14ac:dyDescent="0.25">
      <c r="B52" s="84">
        <f>+Ordenes!E45</f>
        <v>0</v>
      </c>
    </row>
    <row r="53" spans="1:17" x14ac:dyDescent="0.25">
      <c r="B53" s="82"/>
    </row>
    <row r="54" spans="1:17" x14ac:dyDescent="0.25">
      <c r="A54" s="35" t="s">
        <v>59</v>
      </c>
      <c r="C54" s="60" t="s">
        <v>67</v>
      </c>
      <c r="D54" s="60"/>
      <c r="G54" s="35" t="s">
        <v>59</v>
      </c>
      <c r="I54" s="60" t="s">
        <v>67</v>
      </c>
      <c r="J54" s="60" t="s">
        <v>202</v>
      </c>
      <c r="M54" s="35" t="s">
        <v>59</v>
      </c>
      <c r="O54" s="60" t="s">
        <v>67</v>
      </c>
      <c r="P54" s="60" t="s">
        <v>202</v>
      </c>
    </row>
    <row r="55" spans="1:17" x14ac:dyDescent="0.25">
      <c r="B55" s="59"/>
      <c r="C55" s="61">
        <f>+Temporal!Q11</f>
        <v>50.287356321839084</v>
      </c>
      <c r="D55" s="61"/>
      <c r="E55" s="35"/>
      <c r="H55" s="59"/>
      <c r="I55" s="61" t="e">
        <f>+Temporal!#REF!</f>
        <v>#REF!</v>
      </c>
      <c r="J55" s="61" t="e">
        <f>+Temporal!#REF!</f>
        <v>#REF!</v>
      </c>
      <c r="K55" s="35" t="e">
        <f>IF(J55=0,"","Soles")</f>
        <v>#REF!</v>
      </c>
      <c r="O55" s="61" t="e">
        <f>+Temporal!#REF!</f>
        <v>#REF!</v>
      </c>
      <c r="P55" s="61" t="e">
        <f>+Temporal!#REF!</f>
        <v>#REF!</v>
      </c>
      <c r="Q55" s="35" t="e">
        <f>IF(P55=0,"","Soles")</f>
        <v>#REF!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>
    <tabColor theme="3" tint="-0.499984740745262"/>
  </sheetPr>
  <dimension ref="B1:H100"/>
  <sheetViews>
    <sheetView topLeftCell="B17" zoomScale="189" zoomScaleNormal="100" workbookViewId="0">
      <selection activeCell="F26" sqref="F26"/>
    </sheetView>
  </sheetViews>
  <sheetFormatPr baseColWidth="10" defaultRowHeight="15.75" x14ac:dyDescent="0.25"/>
  <cols>
    <col min="1" max="1" width="1.85546875" customWidth="1"/>
    <col min="2" max="2" width="13.140625" style="184" customWidth="1"/>
    <col min="3" max="3" width="27.85546875" style="184" customWidth="1"/>
    <col min="4" max="4" width="14.42578125" style="184" customWidth="1"/>
    <col min="5" max="5" width="17.5703125" style="184" customWidth="1"/>
    <col min="6" max="6" width="24.7109375" style="184" customWidth="1"/>
    <col min="7" max="7" width="10" style="184" customWidth="1"/>
    <col min="8" max="8" width="1" style="44" customWidth="1"/>
  </cols>
  <sheetData>
    <row r="1" spans="2:8" s="172" customFormat="1" ht="24" customHeight="1" x14ac:dyDescent="0.35">
      <c r="B1" s="588" t="s">
        <v>536</v>
      </c>
      <c r="C1" s="588"/>
      <c r="D1" s="588"/>
      <c r="E1" s="588"/>
      <c r="F1" s="588"/>
      <c r="G1" s="184"/>
    </row>
    <row r="2" spans="2:8" ht="4.5" customHeight="1" x14ac:dyDescent="0.25">
      <c r="H2" s="66"/>
    </row>
    <row r="3" spans="2:8" s="184" customFormat="1" x14ac:dyDescent="0.25">
      <c r="B3" s="182" t="s">
        <v>13</v>
      </c>
      <c r="C3" s="183">
        <f ca="1">+Ordenes!$C$3</f>
        <v>46006</v>
      </c>
      <c r="E3" s="182" t="s">
        <v>537</v>
      </c>
      <c r="F3" s="183" t="str">
        <f>Ordenes!$F$2</f>
        <v>OP1322</v>
      </c>
    </row>
    <row r="4" spans="2:8" s="184" customFormat="1" x14ac:dyDescent="0.25">
      <c r="B4" s="182" t="s">
        <v>4</v>
      </c>
      <c r="C4" s="222" t="str">
        <f>+Ordenes!B7</f>
        <v>BALDE PLAYERO ROMANO</v>
      </c>
      <c r="D4" s="191"/>
      <c r="E4" s="187" t="s">
        <v>3</v>
      </c>
      <c r="F4" s="188" t="str">
        <f>Ordenes!$F$3</f>
        <v>HT-320 A</v>
      </c>
    </row>
    <row r="5" spans="2:8" ht="3" customHeight="1" x14ac:dyDescent="0.25">
      <c r="H5" s="66"/>
    </row>
    <row r="6" spans="2:8" s="56" customFormat="1" ht="5.25" customHeight="1" x14ac:dyDescent="0.25">
      <c r="B6" s="187"/>
      <c r="C6" s="188"/>
      <c r="D6" s="188"/>
      <c r="E6" s="188"/>
      <c r="F6" s="188"/>
      <c r="G6" s="188"/>
      <c r="H6" s="78"/>
    </row>
    <row r="7" spans="2:8" s="184" customFormat="1" x14ac:dyDescent="0.25">
      <c r="B7" s="189" t="s">
        <v>214</v>
      </c>
      <c r="C7" s="205">
        <f>+Ordenes!$B$21</f>
        <v>2.1864067966016991</v>
      </c>
      <c r="E7" s="189" t="s">
        <v>213</v>
      </c>
      <c r="F7" s="209">
        <f>+Ordenes!$D$7</f>
        <v>87</v>
      </c>
    </row>
    <row r="8" spans="2:8" s="184" customFormat="1" x14ac:dyDescent="0.25">
      <c r="B8" s="189" t="s">
        <v>215</v>
      </c>
      <c r="C8" s="206">
        <f>+Ordenes!$H$7</f>
        <v>23</v>
      </c>
      <c r="E8" s="189" t="s">
        <v>212</v>
      </c>
      <c r="F8" s="209">
        <f>+Ordenes!$F$7</f>
        <v>176</v>
      </c>
    </row>
    <row r="9" spans="2:8" s="184" customFormat="1" x14ac:dyDescent="0.25">
      <c r="B9" s="189" t="s">
        <v>216</v>
      </c>
      <c r="C9" s="207">
        <f>+Ordenes!$E$7</f>
        <v>2</v>
      </c>
      <c r="E9" s="189" t="s">
        <v>217</v>
      </c>
      <c r="F9" s="210">
        <f>+Ordenes!$F$21</f>
        <v>1.1363636363636364E-2</v>
      </c>
    </row>
    <row r="10" spans="2:8" s="184" customFormat="1" x14ac:dyDescent="0.25">
      <c r="B10" s="189" t="s">
        <v>221</v>
      </c>
      <c r="C10" s="208">
        <f>3600/Ordenes!$G$7</f>
        <v>120</v>
      </c>
      <c r="E10" s="189" t="s">
        <v>2</v>
      </c>
      <c r="F10" s="211" t="str">
        <f>CONCATENATE(TEXT(Ordenes!$I$7,"DD/MM")," a ",TEXT(Ordenes!$A$21,"DD/MM"))</f>
        <v>20/11 a 22/11</v>
      </c>
    </row>
    <row r="11" spans="2:8" ht="6.75" customHeight="1" x14ac:dyDescent="0.25">
      <c r="B11" s="224"/>
      <c r="C11" s="224"/>
      <c r="F11" s="225"/>
      <c r="H11" s="66"/>
    </row>
    <row r="12" spans="2:8" x14ac:dyDescent="0.25">
      <c r="B12" s="438" t="s">
        <v>538</v>
      </c>
      <c r="C12" s="439" t="s">
        <v>539</v>
      </c>
      <c r="D12" s="435"/>
      <c r="E12" s="439" t="s">
        <v>198</v>
      </c>
      <c r="F12" s="437"/>
      <c r="H12" s="66"/>
    </row>
    <row r="13" spans="2:8" ht="21" customHeight="1" x14ac:dyDescent="0.25">
      <c r="B13" s="440" t="s">
        <v>0</v>
      </c>
      <c r="E13" s="441"/>
      <c r="F13" s="442"/>
      <c r="H13" s="66"/>
    </row>
    <row r="14" spans="2:8" x14ac:dyDescent="0.25">
      <c r="B14" s="440" t="s">
        <v>540</v>
      </c>
      <c r="C14" s="441"/>
      <c r="D14" s="184" t="s">
        <v>561</v>
      </c>
      <c r="E14" s="441"/>
      <c r="F14" s="442"/>
      <c r="H14" s="66"/>
    </row>
    <row r="15" spans="2:8" ht="20.25" customHeight="1" x14ac:dyDescent="0.25">
      <c r="B15" s="443" t="s">
        <v>541</v>
      </c>
      <c r="C15" s="436"/>
      <c r="D15" s="444"/>
      <c r="E15" s="444"/>
      <c r="F15" s="442"/>
      <c r="H15" s="66"/>
    </row>
    <row r="16" spans="2:8" ht="7.5" customHeight="1" x14ac:dyDescent="0.25">
      <c r="F16" s="225"/>
      <c r="H16" s="66"/>
    </row>
    <row r="17" spans="2:8" x14ac:dyDescent="0.25">
      <c r="B17" s="438" t="s">
        <v>542</v>
      </c>
      <c r="C17" s="439" t="s">
        <v>539</v>
      </c>
      <c r="D17" s="435"/>
      <c r="E17" s="439" t="s">
        <v>198</v>
      </c>
      <c r="F17" s="437"/>
      <c r="H17" s="66"/>
    </row>
    <row r="18" spans="2:8" ht="21" customHeight="1" x14ac:dyDescent="0.25">
      <c r="B18" s="440" t="s">
        <v>0</v>
      </c>
      <c r="E18" s="441"/>
      <c r="F18" s="442"/>
      <c r="H18" s="66"/>
    </row>
    <row r="19" spans="2:8" x14ac:dyDescent="0.25">
      <c r="B19" s="440" t="s">
        <v>540</v>
      </c>
      <c r="C19" s="441"/>
      <c r="D19" s="184" t="s">
        <v>561</v>
      </c>
      <c r="E19" s="441"/>
      <c r="F19" s="442"/>
      <c r="H19" s="66"/>
    </row>
    <row r="20" spans="2:8" ht="21" customHeight="1" x14ac:dyDescent="0.25">
      <c r="B20" s="443" t="s">
        <v>541</v>
      </c>
      <c r="C20" s="436"/>
      <c r="D20" s="444"/>
      <c r="E20" s="444"/>
      <c r="F20" s="442"/>
      <c r="H20" s="66"/>
    </row>
    <row r="21" spans="2:8" ht="7.5" customHeight="1" x14ac:dyDescent="0.25">
      <c r="C21" s="245"/>
      <c r="F21" s="225"/>
      <c r="H21" s="66"/>
    </row>
    <row r="22" spans="2:8" ht="21" customHeight="1" x14ac:dyDescent="0.25">
      <c r="B22" s="438" t="s">
        <v>543</v>
      </c>
      <c r="C22" s="439" t="s">
        <v>539</v>
      </c>
      <c r="D22" s="435"/>
      <c r="E22" s="439" t="s">
        <v>198</v>
      </c>
      <c r="F22" s="437"/>
      <c r="H22" s="66"/>
    </row>
    <row r="23" spans="2:8" ht="21" customHeight="1" x14ac:dyDescent="0.25">
      <c r="B23" s="440" t="s">
        <v>0</v>
      </c>
      <c r="E23" s="445"/>
      <c r="F23" s="442"/>
      <c r="H23" s="66"/>
    </row>
    <row r="24" spans="2:8" x14ac:dyDescent="0.25">
      <c r="B24" s="440" t="s">
        <v>540</v>
      </c>
      <c r="C24" s="445"/>
      <c r="D24" s="184" t="s">
        <v>561</v>
      </c>
      <c r="E24" s="445"/>
      <c r="F24" s="442"/>
      <c r="H24" s="66"/>
    </row>
    <row r="25" spans="2:8" ht="22.5" customHeight="1" x14ac:dyDescent="0.25">
      <c r="B25" s="443" t="s">
        <v>541</v>
      </c>
      <c r="C25" s="436"/>
      <c r="D25" s="444"/>
      <c r="E25" s="444"/>
      <c r="F25" s="442"/>
      <c r="H25" s="66"/>
    </row>
    <row r="26" spans="2:8" ht="7.5" customHeight="1" x14ac:dyDescent="0.25">
      <c r="F26" s="225"/>
      <c r="H26" s="66"/>
    </row>
    <row r="27" spans="2:8" x14ac:dyDescent="0.25">
      <c r="B27" s="438" t="s">
        <v>544</v>
      </c>
      <c r="C27" s="439" t="s">
        <v>539</v>
      </c>
      <c r="D27" s="212"/>
      <c r="E27" s="439" t="s">
        <v>198</v>
      </c>
      <c r="F27" s="437"/>
      <c r="H27" s="66"/>
    </row>
    <row r="28" spans="2:8" x14ac:dyDescent="0.25">
      <c r="B28" s="440" t="s">
        <v>0</v>
      </c>
      <c r="E28" s="445"/>
      <c r="F28" s="442"/>
      <c r="H28" s="66"/>
    </row>
    <row r="29" spans="2:8" x14ac:dyDescent="0.25">
      <c r="B29" s="440" t="s">
        <v>540</v>
      </c>
      <c r="C29" s="445"/>
      <c r="D29" s="184" t="s">
        <v>562</v>
      </c>
      <c r="E29" s="445"/>
      <c r="F29" s="442"/>
      <c r="H29" s="66"/>
    </row>
    <row r="30" spans="2:8" ht="19.5" customHeight="1" x14ac:dyDescent="0.25">
      <c r="B30" s="443" t="s">
        <v>541</v>
      </c>
      <c r="C30" s="436"/>
      <c r="D30" s="444"/>
      <c r="E30" s="444"/>
      <c r="F30" s="442"/>
      <c r="H30" s="66"/>
    </row>
    <row r="31" spans="2:8" ht="8.25" customHeight="1" x14ac:dyDescent="0.25"/>
    <row r="32" spans="2:8" x14ac:dyDescent="0.25">
      <c r="B32" s="438" t="s">
        <v>545</v>
      </c>
      <c r="C32" s="439" t="s">
        <v>539</v>
      </c>
      <c r="D32" s="212"/>
      <c r="E32" s="439" t="s">
        <v>198</v>
      </c>
      <c r="F32" s="437"/>
    </row>
    <row r="33" spans="2:6" x14ac:dyDescent="0.25">
      <c r="B33" s="440" t="s">
        <v>0</v>
      </c>
      <c r="E33" s="445"/>
      <c r="F33" s="442"/>
    </row>
    <row r="34" spans="2:6" x14ac:dyDescent="0.25">
      <c r="B34" s="440" t="s">
        <v>540</v>
      </c>
      <c r="C34" s="445"/>
      <c r="D34" s="184" t="s">
        <v>561</v>
      </c>
      <c r="E34" s="445"/>
      <c r="F34" s="442"/>
    </row>
    <row r="35" spans="2:6" ht="20.25" customHeight="1" x14ac:dyDescent="0.25">
      <c r="B35" s="443" t="s">
        <v>541</v>
      </c>
      <c r="C35" s="436"/>
      <c r="D35" s="444"/>
      <c r="E35" s="444"/>
      <c r="F35" s="442"/>
    </row>
    <row r="36" spans="2:6" ht="7.5" customHeight="1" x14ac:dyDescent="0.25">
      <c r="F36" s="225"/>
    </row>
    <row r="37" spans="2:6" x14ac:dyDescent="0.25">
      <c r="B37" s="438" t="s">
        <v>546</v>
      </c>
      <c r="C37" s="439" t="s">
        <v>539</v>
      </c>
      <c r="D37" s="212"/>
      <c r="E37" s="439" t="s">
        <v>198</v>
      </c>
      <c r="F37" s="437"/>
    </row>
    <row r="38" spans="2:6" x14ac:dyDescent="0.25">
      <c r="B38" s="440" t="s">
        <v>0</v>
      </c>
      <c r="E38" s="445"/>
      <c r="F38" s="442"/>
    </row>
    <row r="39" spans="2:6" x14ac:dyDescent="0.25">
      <c r="B39" s="440" t="s">
        <v>540</v>
      </c>
      <c r="C39" s="445"/>
      <c r="D39" s="184" t="s">
        <v>561</v>
      </c>
      <c r="E39" s="445"/>
      <c r="F39" s="442"/>
    </row>
    <row r="40" spans="2:6" ht="19.5" customHeight="1" x14ac:dyDescent="0.25">
      <c r="B40" s="443" t="s">
        <v>541</v>
      </c>
      <c r="C40" s="436"/>
      <c r="D40" s="444"/>
      <c r="E40" s="444"/>
      <c r="F40" s="442"/>
    </row>
    <row r="41" spans="2:6" ht="7.5" customHeight="1" x14ac:dyDescent="0.25"/>
    <row r="42" spans="2:6" x14ac:dyDescent="0.25">
      <c r="B42" s="438" t="s">
        <v>547</v>
      </c>
      <c r="C42" s="439" t="s">
        <v>539</v>
      </c>
      <c r="D42" s="212"/>
      <c r="E42" s="439" t="s">
        <v>198</v>
      </c>
      <c r="F42" s="437"/>
    </row>
    <row r="43" spans="2:6" x14ac:dyDescent="0.25">
      <c r="B43" s="440" t="s">
        <v>0</v>
      </c>
      <c r="E43" s="445"/>
      <c r="F43" s="442"/>
    </row>
    <row r="44" spans="2:6" x14ac:dyDescent="0.25">
      <c r="B44" s="440" t="s">
        <v>540</v>
      </c>
      <c r="C44" s="445"/>
      <c r="D44" s="184" t="s">
        <v>561</v>
      </c>
      <c r="E44" s="445"/>
      <c r="F44" s="442"/>
    </row>
    <row r="45" spans="2:6" ht="21" customHeight="1" x14ac:dyDescent="0.25">
      <c r="B45" s="443" t="s">
        <v>541</v>
      </c>
      <c r="C45" s="436"/>
      <c r="D45" s="444"/>
      <c r="E45" s="444"/>
      <c r="F45" s="442"/>
    </row>
    <row r="46" spans="2:6" ht="7.5" customHeight="1" x14ac:dyDescent="0.25">
      <c r="F46" s="225"/>
    </row>
    <row r="47" spans="2:6" x14ac:dyDescent="0.25">
      <c r="B47" s="438" t="s">
        <v>548</v>
      </c>
      <c r="C47" s="439" t="s">
        <v>539</v>
      </c>
      <c r="D47" s="212"/>
      <c r="E47" s="439" t="s">
        <v>198</v>
      </c>
      <c r="F47" s="437"/>
    </row>
    <row r="48" spans="2:6" x14ac:dyDescent="0.25">
      <c r="B48" s="440" t="s">
        <v>0</v>
      </c>
      <c r="E48" s="445"/>
      <c r="F48" s="442"/>
    </row>
    <row r="49" spans="2:6" x14ac:dyDescent="0.25">
      <c r="B49" s="440" t="s">
        <v>540</v>
      </c>
      <c r="C49" s="445"/>
      <c r="D49" s="184" t="s">
        <v>561</v>
      </c>
      <c r="E49" s="445"/>
      <c r="F49" s="442"/>
    </row>
    <row r="50" spans="2:6" ht="20.25" customHeight="1" x14ac:dyDescent="0.25">
      <c r="B50" s="443" t="s">
        <v>541</v>
      </c>
      <c r="C50" s="436"/>
      <c r="D50" s="444"/>
      <c r="E50" s="444"/>
      <c r="F50" s="442"/>
    </row>
    <row r="51" spans="2:6" ht="7.5" customHeight="1" x14ac:dyDescent="0.25"/>
    <row r="52" spans="2:6" x14ac:dyDescent="0.25">
      <c r="B52" s="438" t="s">
        <v>549</v>
      </c>
      <c r="C52" s="439" t="s">
        <v>539</v>
      </c>
      <c r="D52" s="212"/>
      <c r="E52" s="439" t="s">
        <v>198</v>
      </c>
      <c r="F52" s="437"/>
    </row>
    <row r="53" spans="2:6" x14ac:dyDescent="0.25">
      <c r="B53" s="440" t="s">
        <v>0</v>
      </c>
      <c r="E53" s="445"/>
      <c r="F53" s="442"/>
    </row>
    <row r="54" spans="2:6" x14ac:dyDescent="0.25">
      <c r="B54" s="440" t="s">
        <v>540</v>
      </c>
      <c r="C54" s="445"/>
      <c r="D54" s="184" t="s">
        <v>561</v>
      </c>
      <c r="E54" s="445"/>
      <c r="F54" s="442"/>
    </row>
    <row r="55" spans="2:6" ht="21" customHeight="1" x14ac:dyDescent="0.25">
      <c r="B55" s="443" t="s">
        <v>541</v>
      </c>
      <c r="C55" s="436"/>
      <c r="D55" s="444"/>
      <c r="E55" s="444"/>
      <c r="F55" s="442"/>
    </row>
    <row r="56" spans="2:6" ht="9.75" customHeight="1" x14ac:dyDescent="0.25">
      <c r="F56" s="225"/>
    </row>
    <row r="57" spans="2:6" x14ac:dyDescent="0.25">
      <c r="B57" s="438" t="s">
        <v>550</v>
      </c>
      <c r="C57" s="439" t="s">
        <v>539</v>
      </c>
      <c r="D57" s="212"/>
      <c r="E57" s="439" t="s">
        <v>198</v>
      </c>
      <c r="F57" s="437"/>
    </row>
    <row r="58" spans="2:6" x14ac:dyDescent="0.25">
      <c r="B58" s="440" t="s">
        <v>0</v>
      </c>
      <c r="E58" s="445"/>
      <c r="F58" s="442"/>
    </row>
    <row r="59" spans="2:6" x14ac:dyDescent="0.25">
      <c r="B59" s="440" t="s">
        <v>540</v>
      </c>
      <c r="C59" s="445"/>
      <c r="D59" s="184" t="s">
        <v>561</v>
      </c>
      <c r="E59" s="445"/>
      <c r="F59" s="442"/>
    </row>
    <row r="60" spans="2:6" ht="21.75" customHeight="1" x14ac:dyDescent="0.25">
      <c r="B60" s="443" t="s">
        <v>541</v>
      </c>
      <c r="C60" s="436"/>
      <c r="D60" s="444"/>
      <c r="E60" s="444"/>
      <c r="F60" s="442"/>
    </row>
    <row r="61" spans="2:6" ht="5.25" customHeight="1" x14ac:dyDescent="0.25"/>
    <row r="62" spans="2:6" x14ac:dyDescent="0.25">
      <c r="B62" s="438" t="s">
        <v>551</v>
      </c>
      <c r="C62" s="439" t="s">
        <v>539</v>
      </c>
      <c r="D62" s="212"/>
      <c r="E62" s="439" t="s">
        <v>198</v>
      </c>
      <c r="F62" s="437"/>
    </row>
    <row r="63" spans="2:6" x14ac:dyDescent="0.25">
      <c r="B63" s="440" t="s">
        <v>0</v>
      </c>
      <c r="E63" s="445"/>
      <c r="F63" s="442"/>
    </row>
    <row r="64" spans="2:6" x14ac:dyDescent="0.25">
      <c r="B64" s="440" t="s">
        <v>540</v>
      </c>
      <c r="C64" s="445"/>
      <c r="D64" s="184" t="s">
        <v>561</v>
      </c>
      <c r="E64" s="445"/>
      <c r="F64" s="442"/>
    </row>
    <row r="65" spans="2:6" ht="19.5" customHeight="1" x14ac:dyDescent="0.25">
      <c r="B65" s="443" t="s">
        <v>541</v>
      </c>
      <c r="C65" s="436"/>
      <c r="D65" s="444"/>
      <c r="E65" s="444"/>
      <c r="F65" s="442"/>
    </row>
    <row r="66" spans="2:6" ht="6" customHeight="1" x14ac:dyDescent="0.25"/>
    <row r="67" spans="2:6" x14ac:dyDescent="0.25">
      <c r="B67" s="438" t="s">
        <v>552</v>
      </c>
      <c r="C67" s="439" t="s">
        <v>539</v>
      </c>
      <c r="D67" s="212"/>
      <c r="E67" s="439" t="s">
        <v>198</v>
      </c>
      <c r="F67" s="437"/>
    </row>
    <row r="68" spans="2:6" x14ac:dyDescent="0.25">
      <c r="B68" s="440" t="s">
        <v>0</v>
      </c>
      <c r="E68" s="445"/>
      <c r="F68" s="442"/>
    </row>
    <row r="69" spans="2:6" x14ac:dyDescent="0.25">
      <c r="B69" s="440" t="s">
        <v>540</v>
      </c>
      <c r="C69" s="445"/>
      <c r="D69" s="184" t="s">
        <v>561</v>
      </c>
      <c r="E69" s="445"/>
      <c r="F69" s="442"/>
    </row>
    <row r="70" spans="2:6" ht="21" customHeight="1" x14ac:dyDescent="0.25">
      <c r="B70" s="443" t="s">
        <v>541</v>
      </c>
      <c r="C70" s="436"/>
      <c r="D70" s="444"/>
      <c r="E70" s="444"/>
      <c r="F70" s="442"/>
    </row>
    <row r="71" spans="2:6" ht="6" customHeight="1" x14ac:dyDescent="0.25">
      <c r="F71" s="225"/>
    </row>
    <row r="72" spans="2:6" x14ac:dyDescent="0.25">
      <c r="B72" s="438" t="s">
        <v>553</v>
      </c>
      <c r="C72" s="439" t="s">
        <v>539</v>
      </c>
      <c r="D72" s="212"/>
      <c r="E72" s="439" t="s">
        <v>198</v>
      </c>
      <c r="F72" s="437"/>
    </row>
    <row r="73" spans="2:6" x14ac:dyDescent="0.25">
      <c r="B73" s="440" t="s">
        <v>0</v>
      </c>
      <c r="E73" s="445"/>
      <c r="F73" s="442"/>
    </row>
    <row r="74" spans="2:6" x14ac:dyDescent="0.25">
      <c r="B74" s="440" t="s">
        <v>540</v>
      </c>
      <c r="C74" s="445"/>
      <c r="D74" s="184" t="s">
        <v>561</v>
      </c>
      <c r="E74" s="445"/>
      <c r="F74" s="442"/>
    </row>
    <row r="75" spans="2:6" ht="24" customHeight="1" x14ac:dyDescent="0.25">
      <c r="B75" s="443" t="s">
        <v>541</v>
      </c>
      <c r="C75" s="436"/>
      <c r="D75" s="444"/>
      <c r="E75" s="444"/>
      <c r="F75" s="442"/>
    </row>
    <row r="76" spans="2:6" ht="5.25" customHeight="1" x14ac:dyDescent="0.25"/>
    <row r="77" spans="2:6" x14ac:dyDescent="0.25">
      <c r="B77" s="438" t="s">
        <v>554</v>
      </c>
      <c r="C77" s="439" t="s">
        <v>539</v>
      </c>
      <c r="D77" s="212"/>
      <c r="E77" s="439" t="s">
        <v>198</v>
      </c>
      <c r="F77" s="437"/>
    </row>
    <row r="78" spans="2:6" x14ac:dyDescent="0.25">
      <c r="B78" s="440" t="s">
        <v>0</v>
      </c>
      <c r="E78" s="445"/>
      <c r="F78" s="442"/>
    </row>
    <row r="79" spans="2:6" x14ac:dyDescent="0.25">
      <c r="B79" s="440" t="s">
        <v>540</v>
      </c>
      <c r="C79" s="445"/>
      <c r="D79" s="184" t="s">
        <v>561</v>
      </c>
      <c r="E79" s="445"/>
      <c r="F79" s="442"/>
    </row>
    <row r="80" spans="2:6" ht="21.75" customHeight="1" x14ac:dyDescent="0.25">
      <c r="B80" s="443" t="s">
        <v>541</v>
      </c>
      <c r="C80" s="436"/>
      <c r="D80" s="444"/>
      <c r="E80" s="444"/>
      <c r="F80" s="442"/>
    </row>
    <row r="81" spans="2:6" ht="4.5" customHeight="1" x14ac:dyDescent="0.25"/>
    <row r="82" spans="2:6" x14ac:dyDescent="0.25">
      <c r="B82" s="438" t="s">
        <v>555</v>
      </c>
      <c r="C82" s="439" t="s">
        <v>539</v>
      </c>
      <c r="D82" s="212"/>
      <c r="E82" s="439" t="s">
        <v>198</v>
      </c>
      <c r="F82" s="437"/>
    </row>
    <row r="83" spans="2:6" x14ac:dyDescent="0.25">
      <c r="B83" s="440" t="s">
        <v>0</v>
      </c>
      <c r="E83" s="445"/>
      <c r="F83" s="442"/>
    </row>
    <row r="84" spans="2:6" x14ac:dyDescent="0.25">
      <c r="B84" s="440" t="s">
        <v>540</v>
      </c>
      <c r="C84" s="445"/>
      <c r="D84" s="184" t="s">
        <v>561</v>
      </c>
      <c r="E84" s="445"/>
      <c r="F84" s="442"/>
    </row>
    <row r="85" spans="2:6" ht="24.75" customHeight="1" x14ac:dyDescent="0.25">
      <c r="B85" s="443" t="s">
        <v>541</v>
      </c>
      <c r="C85" s="436"/>
      <c r="D85" s="444"/>
      <c r="E85" s="444"/>
      <c r="F85" s="442"/>
    </row>
    <row r="86" spans="2:6" ht="6" customHeight="1" x14ac:dyDescent="0.25">
      <c r="F86" s="225"/>
    </row>
    <row r="87" spans="2:6" x14ac:dyDescent="0.25">
      <c r="B87" s="438" t="s">
        <v>556</v>
      </c>
      <c r="C87" s="439" t="s">
        <v>539</v>
      </c>
      <c r="D87" s="212"/>
      <c r="E87" s="439" t="s">
        <v>198</v>
      </c>
      <c r="F87" s="437"/>
    </row>
    <row r="88" spans="2:6" x14ac:dyDescent="0.25">
      <c r="B88" s="440" t="s">
        <v>0</v>
      </c>
      <c r="E88" s="445"/>
      <c r="F88" s="442"/>
    </row>
    <row r="89" spans="2:6" x14ac:dyDescent="0.25">
      <c r="B89" s="440" t="s">
        <v>540</v>
      </c>
      <c r="C89" s="445"/>
      <c r="D89" s="184" t="s">
        <v>561</v>
      </c>
      <c r="E89" s="445"/>
      <c r="F89" s="442"/>
    </row>
    <row r="90" spans="2:6" ht="21.75" customHeight="1" x14ac:dyDescent="0.25">
      <c r="B90" s="443" t="s">
        <v>541</v>
      </c>
      <c r="C90" s="436"/>
      <c r="D90" s="444"/>
      <c r="E90" s="444"/>
      <c r="F90" s="442"/>
    </row>
    <row r="91" spans="2:6" ht="7.5" customHeight="1" x14ac:dyDescent="0.25"/>
    <row r="92" spans="2:6" x14ac:dyDescent="0.25">
      <c r="B92" s="438" t="s">
        <v>557</v>
      </c>
      <c r="C92" s="439" t="s">
        <v>539</v>
      </c>
      <c r="D92" s="212"/>
      <c r="E92" s="439" t="s">
        <v>198</v>
      </c>
      <c r="F92" s="437"/>
    </row>
    <row r="93" spans="2:6" x14ac:dyDescent="0.25">
      <c r="B93" s="440" t="s">
        <v>0</v>
      </c>
      <c r="E93" s="445"/>
      <c r="F93" s="442"/>
    </row>
    <row r="94" spans="2:6" x14ac:dyDescent="0.25">
      <c r="B94" s="440" t="s">
        <v>540</v>
      </c>
      <c r="C94" s="445"/>
      <c r="D94" s="184" t="s">
        <v>561</v>
      </c>
      <c r="E94" s="445"/>
      <c r="F94" s="442"/>
    </row>
    <row r="95" spans="2:6" ht="21.75" customHeight="1" x14ac:dyDescent="0.25">
      <c r="B95" s="443" t="s">
        <v>541</v>
      </c>
      <c r="C95" s="436"/>
      <c r="D95" s="444"/>
      <c r="E95" s="444"/>
      <c r="F95" s="442"/>
    </row>
    <row r="96" spans="2:6" ht="8.25" customHeight="1" x14ac:dyDescent="0.25"/>
    <row r="97" spans="2:6" x14ac:dyDescent="0.25">
      <c r="B97" s="438" t="s">
        <v>558</v>
      </c>
      <c r="C97" s="439" t="s">
        <v>539</v>
      </c>
      <c r="D97" s="212"/>
      <c r="E97" s="439" t="s">
        <v>198</v>
      </c>
      <c r="F97" s="437"/>
    </row>
    <row r="98" spans="2:6" x14ac:dyDescent="0.25">
      <c r="B98" s="440" t="s">
        <v>0</v>
      </c>
      <c r="E98" s="445"/>
      <c r="F98" s="442"/>
    </row>
    <row r="99" spans="2:6" x14ac:dyDescent="0.25">
      <c r="B99" s="440" t="s">
        <v>540</v>
      </c>
      <c r="C99" s="445"/>
      <c r="D99" s="184" t="s">
        <v>561</v>
      </c>
      <c r="E99" s="445"/>
      <c r="F99" s="442"/>
    </row>
    <row r="100" spans="2:6" x14ac:dyDescent="0.25">
      <c r="B100" s="443" t="s">
        <v>541</v>
      </c>
      <c r="C100" s="436"/>
      <c r="D100" s="444"/>
      <c r="E100" s="444"/>
      <c r="F100" s="442"/>
    </row>
  </sheetData>
  <mergeCells count="1">
    <mergeCell ref="B1:F1"/>
  </mergeCells>
  <pageMargins left="0.23622047244094491" right="0.23622047244094491" top="0.74803149606299213" bottom="0.74803149606299213" header="0.31496062992125984" footer="0.31496062992125984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2</xdr:col>
                    <xdr:colOff>66675</xdr:colOff>
                    <xdr:row>12</xdr:row>
                    <xdr:rowOff>38100</xdr:rowOff>
                  </from>
                  <to>
                    <xdr:col>2</xdr:col>
                    <xdr:colOff>838200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2</xdr:col>
                    <xdr:colOff>1771650</xdr:colOff>
                    <xdr:row>12</xdr:row>
                    <xdr:rowOff>28575</xdr:rowOff>
                  </from>
                  <to>
                    <xdr:col>3</xdr:col>
                    <xdr:colOff>819150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3</xdr:col>
                    <xdr:colOff>828675</xdr:colOff>
                    <xdr:row>12</xdr:row>
                    <xdr:rowOff>28575</xdr:rowOff>
                  </from>
                  <to>
                    <xdr:col>4</xdr:col>
                    <xdr:colOff>638175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2</xdr:col>
                    <xdr:colOff>571500</xdr:colOff>
                    <xdr:row>12</xdr:row>
                    <xdr:rowOff>28575</xdr:rowOff>
                  </from>
                  <to>
                    <xdr:col>2</xdr:col>
                    <xdr:colOff>1343025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2</xdr:col>
                    <xdr:colOff>1200150</xdr:colOff>
                    <xdr:row>12</xdr:row>
                    <xdr:rowOff>38100</xdr:rowOff>
                  </from>
                  <to>
                    <xdr:col>3</xdr:col>
                    <xdr:colOff>114300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4</xdr:col>
                    <xdr:colOff>495300</xdr:colOff>
                    <xdr:row>12</xdr:row>
                    <xdr:rowOff>28575</xdr:rowOff>
                  </from>
                  <to>
                    <xdr:col>5</xdr:col>
                    <xdr:colOff>95250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0" name="Check Box 13">
              <controlPr defaultSize="0" autoFill="0" autoLine="0" autoPict="0">
                <anchor moveWithCells="1">
                  <from>
                    <xdr:col>2</xdr:col>
                    <xdr:colOff>57150</xdr:colOff>
                    <xdr:row>13</xdr:row>
                    <xdr:rowOff>19050</xdr:rowOff>
                  </from>
                  <to>
                    <xdr:col>2</xdr:col>
                    <xdr:colOff>828675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1" name="Check Box 14">
              <controlPr defaultSize="0" autoFill="0" autoLine="0" autoPict="0">
                <anchor moveWithCells="1">
                  <from>
                    <xdr:col>2</xdr:col>
                    <xdr:colOff>695325</xdr:colOff>
                    <xdr:row>13</xdr:row>
                    <xdr:rowOff>9525</xdr:rowOff>
                  </from>
                  <to>
                    <xdr:col>2</xdr:col>
                    <xdr:colOff>1600200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2" name="Check Box 15">
              <controlPr defaultSize="0" autoFill="0" autoLine="0" autoPict="0">
                <anchor moveWithCells="1">
                  <from>
                    <xdr:col>2</xdr:col>
                    <xdr:colOff>1190625</xdr:colOff>
                    <xdr:row>13</xdr:row>
                    <xdr:rowOff>9525</xdr:rowOff>
                  </from>
                  <to>
                    <xdr:col>3</xdr:col>
                    <xdr:colOff>104775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3" name="Check Box 19">
              <controlPr defaultSize="0" autoFill="0" autoLine="0" autoPict="0">
                <anchor moveWithCells="1">
                  <from>
                    <xdr:col>2</xdr:col>
                    <xdr:colOff>66675</xdr:colOff>
                    <xdr:row>14</xdr:row>
                    <xdr:rowOff>0</xdr:rowOff>
                  </from>
                  <to>
                    <xdr:col>2</xdr:col>
                    <xdr:colOff>990600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4" name="Check Box 20">
              <controlPr defaultSize="0" autoFill="0" autoLine="0" autoPict="0">
                <anchor moveWithCells="1">
                  <from>
                    <xdr:col>2</xdr:col>
                    <xdr:colOff>1000125</xdr:colOff>
                    <xdr:row>14</xdr:row>
                    <xdr:rowOff>0</xdr:rowOff>
                  </from>
                  <to>
                    <xdr:col>3</xdr:col>
                    <xdr:colOff>847725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5" name="Check Box 21">
              <controlPr defaultSize="0" autoFill="0" autoLine="0" autoPict="0">
                <anchor moveWithCells="1">
                  <from>
                    <xdr:col>3</xdr:col>
                    <xdr:colOff>657225</xdr:colOff>
                    <xdr:row>14</xdr:row>
                    <xdr:rowOff>0</xdr:rowOff>
                  </from>
                  <to>
                    <xdr:col>4</xdr:col>
                    <xdr:colOff>638175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6" name="Check Box 22">
              <controlPr defaultSize="0" autoFill="0" autoLine="0" autoPict="0">
                <anchor moveWithCells="1">
                  <from>
                    <xdr:col>2</xdr:col>
                    <xdr:colOff>66675</xdr:colOff>
                    <xdr:row>17</xdr:row>
                    <xdr:rowOff>38100</xdr:rowOff>
                  </from>
                  <to>
                    <xdr:col>2</xdr:col>
                    <xdr:colOff>838200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17" name="Check Box 23">
              <controlPr defaultSize="0" autoFill="0" autoLine="0" autoPict="0">
                <anchor moveWithCells="1">
                  <from>
                    <xdr:col>2</xdr:col>
                    <xdr:colOff>1771650</xdr:colOff>
                    <xdr:row>17</xdr:row>
                    <xdr:rowOff>28575</xdr:rowOff>
                  </from>
                  <to>
                    <xdr:col>3</xdr:col>
                    <xdr:colOff>819150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8" name="Check Box 24">
              <controlPr defaultSize="0" autoFill="0" autoLine="0" autoPict="0">
                <anchor moveWithCells="1">
                  <from>
                    <xdr:col>3</xdr:col>
                    <xdr:colOff>828675</xdr:colOff>
                    <xdr:row>17</xdr:row>
                    <xdr:rowOff>28575</xdr:rowOff>
                  </from>
                  <to>
                    <xdr:col>4</xdr:col>
                    <xdr:colOff>638175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19" name="Check Box 25">
              <controlPr defaultSize="0" autoFill="0" autoLine="0" autoPict="0">
                <anchor moveWithCells="1">
                  <from>
                    <xdr:col>2</xdr:col>
                    <xdr:colOff>571500</xdr:colOff>
                    <xdr:row>17</xdr:row>
                    <xdr:rowOff>28575</xdr:rowOff>
                  </from>
                  <to>
                    <xdr:col>2</xdr:col>
                    <xdr:colOff>1343025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20" name="Check Box 26">
              <controlPr defaultSize="0" autoFill="0" autoLine="0" autoPict="0">
                <anchor moveWithCells="1">
                  <from>
                    <xdr:col>2</xdr:col>
                    <xdr:colOff>1200150</xdr:colOff>
                    <xdr:row>17</xdr:row>
                    <xdr:rowOff>38100</xdr:rowOff>
                  </from>
                  <to>
                    <xdr:col>3</xdr:col>
                    <xdr:colOff>114300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21" name="Check Box 27">
              <controlPr defaultSize="0" autoFill="0" autoLine="0" autoPict="0">
                <anchor moveWithCells="1">
                  <from>
                    <xdr:col>4</xdr:col>
                    <xdr:colOff>495300</xdr:colOff>
                    <xdr:row>17</xdr:row>
                    <xdr:rowOff>28575</xdr:rowOff>
                  </from>
                  <to>
                    <xdr:col>5</xdr:col>
                    <xdr:colOff>95250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22" name="Check Box 28">
              <controlPr defaultSize="0" autoFill="0" autoLine="0" autoPict="0">
                <anchor moveWithCells="1">
                  <from>
                    <xdr:col>2</xdr:col>
                    <xdr:colOff>57150</xdr:colOff>
                    <xdr:row>18</xdr:row>
                    <xdr:rowOff>19050</xdr:rowOff>
                  </from>
                  <to>
                    <xdr:col>2</xdr:col>
                    <xdr:colOff>828675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23" name="Check Box 29">
              <controlPr defaultSize="0" autoFill="0" autoLine="0" autoPict="0">
                <anchor moveWithCells="1">
                  <from>
                    <xdr:col>2</xdr:col>
                    <xdr:colOff>695325</xdr:colOff>
                    <xdr:row>18</xdr:row>
                    <xdr:rowOff>9525</xdr:rowOff>
                  </from>
                  <to>
                    <xdr:col>2</xdr:col>
                    <xdr:colOff>1600200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24" name="Check Box 30">
              <controlPr defaultSize="0" autoFill="0" autoLine="0" autoPict="0">
                <anchor moveWithCells="1">
                  <from>
                    <xdr:col>2</xdr:col>
                    <xdr:colOff>1190625</xdr:colOff>
                    <xdr:row>18</xdr:row>
                    <xdr:rowOff>9525</xdr:rowOff>
                  </from>
                  <to>
                    <xdr:col>3</xdr:col>
                    <xdr:colOff>104775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25" name="Check Box 31">
              <controlPr defaultSize="0" autoFill="0" autoLine="0" autoPict="0">
                <anchor moveWithCells="1">
                  <from>
                    <xdr:col>2</xdr:col>
                    <xdr:colOff>66675</xdr:colOff>
                    <xdr:row>19</xdr:row>
                    <xdr:rowOff>0</xdr:rowOff>
                  </from>
                  <to>
                    <xdr:col>2</xdr:col>
                    <xdr:colOff>990600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26" name="Check Box 32">
              <controlPr defaultSize="0" autoFill="0" autoLine="0" autoPict="0">
                <anchor moveWithCells="1">
                  <from>
                    <xdr:col>2</xdr:col>
                    <xdr:colOff>1000125</xdr:colOff>
                    <xdr:row>19</xdr:row>
                    <xdr:rowOff>0</xdr:rowOff>
                  </from>
                  <to>
                    <xdr:col>3</xdr:col>
                    <xdr:colOff>847725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27" name="Check Box 33">
              <controlPr defaultSize="0" autoFill="0" autoLine="0" autoPict="0">
                <anchor moveWithCells="1">
                  <from>
                    <xdr:col>3</xdr:col>
                    <xdr:colOff>657225</xdr:colOff>
                    <xdr:row>19</xdr:row>
                    <xdr:rowOff>0</xdr:rowOff>
                  </from>
                  <to>
                    <xdr:col>4</xdr:col>
                    <xdr:colOff>638175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28" name="Check Box 34">
              <controlPr defaultSize="0" autoFill="0" autoLine="0" autoPict="0">
                <anchor moveWithCells="1">
                  <from>
                    <xdr:col>2</xdr:col>
                    <xdr:colOff>66675</xdr:colOff>
                    <xdr:row>22</xdr:row>
                    <xdr:rowOff>38100</xdr:rowOff>
                  </from>
                  <to>
                    <xdr:col>2</xdr:col>
                    <xdr:colOff>838200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29" name="Check Box 35">
              <controlPr defaultSize="0" autoFill="0" autoLine="0" autoPict="0">
                <anchor moveWithCells="1">
                  <from>
                    <xdr:col>2</xdr:col>
                    <xdr:colOff>1771650</xdr:colOff>
                    <xdr:row>22</xdr:row>
                    <xdr:rowOff>28575</xdr:rowOff>
                  </from>
                  <to>
                    <xdr:col>3</xdr:col>
                    <xdr:colOff>819150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30" name="Check Box 36">
              <controlPr defaultSize="0" autoFill="0" autoLine="0" autoPict="0">
                <anchor moveWithCells="1">
                  <from>
                    <xdr:col>3</xdr:col>
                    <xdr:colOff>828675</xdr:colOff>
                    <xdr:row>22</xdr:row>
                    <xdr:rowOff>28575</xdr:rowOff>
                  </from>
                  <to>
                    <xdr:col>4</xdr:col>
                    <xdr:colOff>638175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31" name="Check Box 37">
              <controlPr defaultSize="0" autoFill="0" autoLine="0" autoPict="0">
                <anchor moveWithCells="1">
                  <from>
                    <xdr:col>2</xdr:col>
                    <xdr:colOff>571500</xdr:colOff>
                    <xdr:row>22</xdr:row>
                    <xdr:rowOff>28575</xdr:rowOff>
                  </from>
                  <to>
                    <xdr:col>2</xdr:col>
                    <xdr:colOff>1343025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32" name="Check Box 38">
              <controlPr defaultSize="0" autoFill="0" autoLine="0" autoPict="0">
                <anchor moveWithCells="1">
                  <from>
                    <xdr:col>2</xdr:col>
                    <xdr:colOff>1200150</xdr:colOff>
                    <xdr:row>22</xdr:row>
                    <xdr:rowOff>38100</xdr:rowOff>
                  </from>
                  <to>
                    <xdr:col>3</xdr:col>
                    <xdr:colOff>114300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33" name="Check Box 39">
              <controlPr defaultSize="0" autoFill="0" autoLine="0" autoPict="0">
                <anchor moveWithCells="1">
                  <from>
                    <xdr:col>4</xdr:col>
                    <xdr:colOff>495300</xdr:colOff>
                    <xdr:row>22</xdr:row>
                    <xdr:rowOff>28575</xdr:rowOff>
                  </from>
                  <to>
                    <xdr:col>5</xdr:col>
                    <xdr:colOff>95250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34" name="Check Box 40">
              <controlPr defaultSize="0" autoFill="0" autoLine="0" autoPict="0">
                <anchor moveWithCells="1">
                  <from>
                    <xdr:col>2</xdr:col>
                    <xdr:colOff>57150</xdr:colOff>
                    <xdr:row>23</xdr:row>
                    <xdr:rowOff>19050</xdr:rowOff>
                  </from>
                  <to>
                    <xdr:col>2</xdr:col>
                    <xdr:colOff>828675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35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23</xdr:row>
                    <xdr:rowOff>9525</xdr:rowOff>
                  </from>
                  <to>
                    <xdr:col>2</xdr:col>
                    <xdr:colOff>1600200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36" name="Check Box 42">
              <controlPr defaultSize="0" autoFill="0" autoLine="0" autoPict="0">
                <anchor moveWithCells="1">
                  <from>
                    <xdr:col>2</xdr:col>
                    <xdr:colOff>1190625</xdr:colOff>
                    <xdr:row>23</xdr:row>
                    <xdr:rowOff>9525</xdr:rowOff>
                  </from>
                  <to>
                    <xdr:col>3</xdr:col>
                    <xdr:colOff>104775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37" name="Check Box 43">
              <controlPr defaultSize="0" autoFill="0" autoLine="0" autoPict="0">
                <anchor moveWithCells="1">
                  <from>
                    <xdr:col>2</xdr:col>
                    <xdr:colOff>66675</xdr:colOff>
                    <xdr:row>24</xdr:row>
                    <xdr:rowOff>0</xdr:rowOff>
                  </from>
                  <to>
                    <xdr:col>2</xdr:col>
                    <xdr:colOff>990600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38" name="Check Box 44">
              <controlPr defaultSize="0" autoFill="0" autoLine="0" autoPict="0">
                <anchor moveWithCells="1">
                  <from>
                    <xdr:col>2</xdr:col>
                    <xdr:colOff>1000125</xdr:colOff>
                    <xdr:row>24</xdr:row>
                    <xdr:rowOff>0</xdr:rowOff>
                  </from>
                  <to>
                    <xdr:col>3</xdr:col>
                    <xdr:colOff>847725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39" name="Check Box 45">
              <controlPr defaultSize="0" autoFill="0" autoLine="0" autoPict="0">
                <anchor moveWithCells="1">
                  <from>
                    <xdr:col>3</xdr:col>
                    <xdr:colOff>657225</xdr:colOff>
                    <xdr:row>24</xdr:row>
                    <xdr:rowOff>0</xdr:rowOff>
                  </from>
                  <to>
                    <xdr:col>4</xdr:col>
                    <xdr:colOff>638175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40" name="Check Box 46">
              <controlPr defaultSize="0" autoFill="0" autoLine="0" autoPict="0">
                <anchor moveWithCells="1">
                  <from>
                    <xdr:col>2</xdr:col>
                    <xdr:colOff>66675</xdr:colOff>
                    <xdr:row>27</xdr:row>
                    <xdr:rowOff>38100</xdr:rowOff>
                  </from>
                  <to>
                    <xdr:col>2</xdr:col>
                    <xdr:colOff>838200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41" name="Check Box 47">
              <controlPr defaultSize="0" autoFill="0" autoLine="0" autoPict="0">
                <anchor moveWithCells="1">
                  <from>
                    <xdr:col>2</xdr:col>
                    <xdr:colOff>1771650</xdr:colOff>
                    <xdr:row>27</xdr:row>
                    <xdr:rowOff>28575</xdr:rowOff>
                  </from>
                  <to>
                    <xdr:col>3</xdr:col>
                    <xdr:colOff>819150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42" name="Check Box 48">
              <controlPr defaultSize="0" autoFill="0" autoLine="0" autoPict="0">
                <anchor moveWithCells="1">
                  <from>
                    <xdr:col>3</xdr:col>
                    <xdr:colOff>828675</xdr:colOff>
                    <xdr:row>27</xdr:row>
                    <xdr:rowOff>28575</xdr:rowOff>
                  </from>
                  <to>
                    <xdr:col>4</xdr:col>
                    <xdr:colOff>638175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3" r:id="rId43" name="Check Box 49">
              <controlPr defaultSize="0" autoFill="0" autoLine="0" autoPict="0">
                <anchor moveWithCells="1">
                  <from>
                    <xdr:col>2</xdr:col>
                    <xdr:colOff>571500</xdr:colOff>
                    <xdr:row>27</xdr:row>
                    <xdr:rowOff>28575</xdr:rowOff>
                  </from>
                  <to>
                    <xdr:col>2</xdr:col>
                    <xdr:colOff>1343025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4" r:id="rId44" name="Check Box 50">
              <controlPr defaultSize="0" autoFill="0" autoLine="0" autoPict="0">
                <anchor moveWithCells="1">
                  <from>
                    <xdr:col>2</xdr:col>
                    <xdr:colOff>1200150</xdr:colOff>
                    <xdr:row>27</xdr:row>
                    <xdr:rowOff>38100</xdr:rowOff>
                  </from>
                  <to>
                    <xdr:col>3</xdr:col>
                    <xdr:colOff>114300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5" r:id="rId45" name="Check Box 51">
              <controlPr defaultSize="0" autoFill="0" autoLine="0" autoPict="0">
                <anchor moveWithCells="1">
                  <from>
                    <xdr:col>4</xdr:col>
                    <xdr:colOff>495300</xdr:colOff>
                    <xdr:row>27</xdr:row>
                    <xdr:rowOff>28575</xdr:rowOff>
                  </from>
                  <to>
                    <xdr:col>5</xdr:col>
                    <xdr:colOff>95250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6" r:id="rId46" name="Check Box 52">
              <controlPr defaultSize="0" autoFill="0" autoLine="0" autoPict="0">
                <anchor moveWithCells="1">
                  <from>
                    <xdr:col>2</xdr:col>
                    <xdr:colOff>57150</xdr:colOff>
                    <xdr:row>28</xdr:row>
                    <xdr:rowOff>19050</xdr:rowOff>
                  </from>
                  <to>
                    <xdr:col>2</xdr:col>
                    <xdr:colOff>828675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7" r:id="rId47" name="Check Box 53">
              <controlPr defaultSize="0" autoFill="0" autoLine="0" autoPict="0">
                <anchor moveWithCells="1">
                  <from>
                    <xdr:col>2</xdr:col>
                    <xdr:colOff>695325</xdr:colOff>
                    <xdr:row>28</xdr:row>
                    <xdr:rowOff>9525</xdr:rowOff>
                  </from>
                  <to>
                    <xdr:col>2</xdr:col>
                    <xdr:colOff>1600200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8" r:id="rId48" name="Check Box 54">
              <controlPr defaultSize="0" autoFill="0" autoLine="0" autoPict="0">
                <anchor moveWithCells="1">
                  <from>
                    <xdr:col>2</xdr:col>
                    <xdr:colOff>1190625</xdr:colOff>
                    <xdr:row>28</xdr:row>
                    <xdr:rowOff>9525</xdr:rowOff>
                  </from>
                  <to>
                    <xdr:col>3</xdr:col>
                    <xdr:colOff>104775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9" r:id="rId49" name="Check Box 55">
              <controlPr defaultSize="0" autoFill="0" autoLine="0" autoPict="0">
                <anchor moveWithCells="1">
                  <from>
                    <xdr:col>2</xdr:col>
                    <xdr:colOff>66675</xdr:colOff>
                    <xdr:row>29</xdr:row>
                    <xdr:rowOff>0</xdr:rowOff>
                  </from>
                  <to>
                    <xdr:col>2</xdr:col>
                    <xdr:colOff>990600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0" r:id="rId50" name="Check Box 56">
              <controlPr defaultSize="0" autoFill="0" autoLine="0" autoPict="0">
                <anchor moveWithCells="1">
                  <from>
                    <xdr:col>2</xdr:col>
                    <xdr:colOff>1000125</xdr:colOff>
                    <xdr:row>29</xdr:row>
                    <xdr:rowOff>0</xdr:rowOff>
                  </from>
                  <to>
                    <xdr:col>3</xdr:col>
                    <xdr:colOff>847725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1" r:id="rId51" name="Check Box 57">
              <controlPr defaultSize="0" autoFill="0" autoLine="0" autoPict="0">
                <anchor moveWithCells="1">
                  <from>
                    <xdr:col>3</xdr:col>
                    <xdr:colOff>657225</xdr:colOff>
                    <xdr:row>29</xdr:row>
                    <xdr:rowOff>0</xdr:rowOff>
                  </from>
                  <to>
                    <xdr:col>4</xdr:col>
                    <xdr:colOff>638175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2" r:id="rId52" name="Check Box 58">
              <controlPr defaultSize="0" autoFill="0" autoLine="0" autoPict="0">
                <anchor moveWithCells="1">
                  <from>
                    <xdr:col>2</xdr:col>
                    <xdr:colOff>66675</xdr:colOff>
                    <xdr:row>32</xdr:row>
                    <xdr:rowOff>38100</xdr:rowOff>
                  </from>
                  <to>
                    <xdr:col>2</xdr:col>
                    <xdr:colOff>838200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3" r:id="rId53" name="Check Box 59">
              <controlPr defaultSize="0" autoFill="0" autoLine="0" autoPict="0">
                <anchor moveWithCells="1">
                  <from>
                    <xdr:col>2</xdr:col>
                    <xdr:colOff>1771650</xdr:colOff>
                    <xdr:row>32</xdr:row>
                    <xdr:rowOff>28575</xdr:rowOff>
                  </from>
                  <to>
                    <xdr:col>3</xdr:col>
                    <xdr:colOff>819150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4" r:id="rId54" name="Check Box 60">
              <controlPr defaultSize="0" autoFill="0" autoLine="0" autoPict="0">
                <anchor moveWithCells="1">
                  <from>
                    <xdr:col>3</xdr:col>
                    <xdr:colOff>828675</xdr:colOff>
                    <xdr:row>32</xdr:row>
                    <xdr:rowOff>28575</xdr:rowOff>
                  </from>
                  <to>
                    <xdr:col>4</xdr:col>
                    <xdr:colOff>638175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5" r:id="rId55" name="Check Box 61">
              <controlPr defaultSize="0" autoFill="0" autoLine="0" autoPict="0">
                <anchor moveWithCells="1">
                  <from>
                    <xdr:col>2</xdr:col>
                    <xdr:colOff>571500</xdr:colOff>
                    <xdr:row>32</xdr:row>
                    <xdr:rowOff>28575</xdr:rowOff>
                  </from>
                  <to>
                    <xdr:col>2</xdr:col>
                    <xdr:colOff>1343025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6" r:id="rId56" name="Check Box 62">
              <controlPr defaultSize="0" autoFill="0" autoLine="0" autoPict="0">
                <anchor moveWithCells="1">
                  <from>
                    <xdr:col>2</xdr:col>
                    <xdr:colOff>1200150</xdr:colOff>
                    <xdr:row>32</xdr:row>
                    <xdr:rowOff>38100</xdr:rowOff>
                  </from>
                  <to>
                    <xdr:col>3</xdr:col>
                    <xdr:colOff>114300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7" r:id="rId57" name="Check Box 63">
              <controlPr defaultSize="0" autoFill="0" autoLine="0" autoPict="0">
                <anchor moveWithCells="1">
                  <from>
                    <xdr:col>4</xdr:col>
                    <xdr:colOff>495300</xdr:colOff>
                    <xdr:row>32</xdr:row>
                    <xdr:rowOff>28575</xdr:rowOff>
                  </from>
                  <to>
                    <xdr:col>5</xdr:col>
                    <xdr:colOff>95250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8" r:id="rId58" name="Check Box 64">
              <controlPr defaultSize="0" autoFill="0" autoLine="0" autoPict="0">
                <anchor moveWithCells="1">
                  <from>
                    <xdr:col>2</xdr:col>
                    <xdr:colOff>57150</xdr:colOff>
                    <xdr:row>33</xdr:row>
                    <xdr:rowOff>19050</xdr:rowOff>
                  </from>
                  <to>
                    <xdr:col>2</xdr:col>
                    <xdr:colOff>828675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9" r:id="rId59" name="Check Box 65">
              <controlPr defaultSize="0" autoFill="0" autoLine="0" autoPict="0">
                <anchor moveWithCells="1">
                  <from>
                    <xdr:col>2</xdr:col>
                    <xdr:colOff>695325</xdr:colOff>
                    <xdr:row>33</xdr:row>
                    <xdr:rowOff>9525</xdr:rowOff>
                  </from>
                  <to>
                    <xdr:col>2</xdr:col>
                    <xdr:colOff>1600200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0" r:id="rId60" name="Check Box 66">
              <controlPr defaultSize="0" autoFill="0" autoLine="0" autoPict="0">
                <anchor moveWithCells="1">
                  <from>
                    <xdr:col>2</xdr:col>
                    <xdr:colOff>1190625</xdr:colOff>
                    <xdr:row>33</xdr:row>
                    <xdr:rowOff>9525</xdr:rowOff>
                  </from>
                  <to>
                    <xdr:col>3</xdr:col>
                    <xdr:colOff>104775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1" r:id="rId61" name="Check Box 67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0</xdr:rowOff>
                  </from>
                  <to>
                    <xdr:col>2</xdr:col>
                    <xdr:colOff>990600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2" r:id="rId62" name="Check Box 68">
              <controlPr defaultSize="0" autoFill="0" autoLine="0" autoPict="0">
                <anchor moveWithCells="1">
                  <from>
                    <xdr:col>2</xdr:col>
                    <xdr:colOff>1000125</xdr:colOff>
                    <xdr:row>34</xdr:row>
                    <xdr:rowOff>0</xdr:rowOff>
                  </from>
                  <to>
                    <xdr:col>3</xdr:col>
                    <xdr:colOff>847725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3" r:id="rId63" name="Check Box 69">
              <controlPr defaultSize="0" autoFill="0" autoLine="0" autoPict="0">
                <anchor moveWithCells="1">
                  <from>
                    <xdr:col>3</xdr:col>
                    <xdr:colOff>657225</xdr:colOff>
                    <xdr:row>34</xdr:row>
                    <xdr:rowOff>0</xdr:rowOff>
                  </from>
                  <to>
                    <xdr:col>4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4" r:id="rId64" name="Check Box 70">
              <controlPr defaultSize="0" autoFill="0" autoLine="0" autoPict="0">
                <anchor moveWithCells="1">
                  <from>
                    <xdr:col>2</xdr:col>
                    <xdr:colOff>66675</xdr:colOff>
                    <xdr:row>37</xdr:row>
                    <xdr:rowOff>38100</xdr:rowOff>
                  </from>
                  <to>
                    <xdr:col>2</xdr:col>
                    <xdr:colOff>838200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5" r:id="rId65" name="Check Box 71">
              <controlPr defaultSize="0" autoFill="0" autoLine="0" autoPict="0">
                <anchor moveWithCells="1">
                  <from>
                    <xdr:col>2</xdr:col>
                    <xdr:colOff>1771650</xdr:colOff>
                    <xdr:row>37</xdr:row>
                    <xdr:rowOff>28575</xdr:rowOff>
                  </from>
                  <to>
                    <xdr:col>3</xdr:col>
                    <xdr:colOff>819150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6" r:id="rId66" name="Check Box 72">
              <controlPr defaultSize="0" autoFill="0" autoLine="0" autoPict="0">
                <anchor moveWithCells="1">
                  <from>
                    <xdr:col>3</xdr:col>
                    <xdr:colOff>828675</xdr:colOff>
                    <xdr:row>37</xdr:row>
                    <xdr:rowOff>28575</xdr:rowOff>
                  </from>
                  <to>
                    <xdr:col>4</xdr:col>
                    <xdr:colOff>638175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7" r:id="rId67" name="Check Box 73">
              <controlPr defaultSize="0" autoFill="0" autoLine="0" autoPict="0">
                <anchor moveWithCells="1">
                  <from>
                    <xdr:col>2</xdr:col>
                    <xdr:colOff>571500</xdr:colOff>
                    <xdr:row>37</xdr:row>
                    <xdr:rowOff>28575</xdr:rowOff>
                  </from>
                  <to>
                    <xdr:col>2</xdr:col>
                    <xdr:colOff>1343025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8" r:id="rId68" name="Check Box 74">
              <controlPr defaultSize="0" autoFill="0" autoLine="0" autoPict="0">
                <anchor moveWithCells="1">
                  <from>
                    <xdr:col>2</xdr:col>
                    <xdr:colOff>1200150</xdr:colOff>
                    <xdr:row>37</xdr:row>
                    <xdr:rowOff>38100</xdr:rowOff>
                  </from>
                  <to>
                    <xdr:col>3</xdr:col>
                    <xdr:colOff>114300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9" r:id="rId69" name="Check Box 75">
              <controlPr defaultSize="0" autoFill="0" autoLine="0" autoPict="0">
                <anchor moveWithCells="1">
                  <from>
                    <xdr:col>4</xdr:col>
                    <xdr:colOff>495300</xdr:colOff>
                    <xdr:row>37</xdr:row>
                    <xdr:rowOff>28575</xdr:rowOff>
                  </from>
                  <to>
                    <xdr:col>5</xdr:col>
                    <xdr:colOff>95250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0" r:id="rId70" name="Check Box 76">
              <controlPr defaultSize="0" autoFill="0" autoLine="0" autoPict="0">
                <anchor moveWithCells="1">
                  <from>
                    <xdr:col>2</xdr:col>
                    <xdr:colOff>57150</xdr:colOff>
                    <xdr:row>38</xdr:row>
                    <xdr:rowOff>19050</xdr:rowOff>
                  </from>
                  <to>
                    <xdr:col>2</xdr:col>
                    <xdr:colOff>828675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1" r:id="rId71" name="Check Box 77">
              <controlPr defaultSize="0" autoFill="0" autoLine="0" autoPict="0">
                <anchor moveWithCells="1">
                  <from>
                    <xdr:col>2</xdr:col>
                    <xdr:colOff>695325</xdr:colOff>
                    <xdr:row>38</xdr:row>
                    <xdr:rowOff>9525</xdr:rowOff>
                  </from>
                  <to>
                    <xdr:col>2</xdr:col>
                    <xdr:colOff>1600200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2" r:id="rId72" name="Check Box 78">
              <controlPr defaultSize="0" autoFill="0" autoLine="0" autoPict="0">
                <anchor moveWithCells="1">
                  <from>
                    <xdr:col>2</xdr:col>
                    <xdr:colOff>1190625</xdr:colOff>
                    <xdr:row>38</xdr:row>
                    <xdr:rowOff>9525</xdr:rowOff>
                  </from>
                  <to>
                    <xdr:col>3</xdr:col>
                    <xdr:colOff>104775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3" r:id="rId73" name="Check Box 79">
              <controlPr defaultSize="0" autoFill="0" autoLine="0" autoPict="0">
                <anchor moveWithCells="1">
                  <from>
                    <xdr:col>2</xdr:col>
                    <xdr:colOff>66675</xdr:colOff>
                    <xdr:row>39</xdr:row>
                    <xdr:rowOff>0</xdr:rowOff>
                  </from>
                  <to>
                    <xdr:col>2</xdr:col>
                    <xdr:colOff>990600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4" r:id="rId74" name="Check Box 80">
              <controlPr defaultSize="0" autoFill="0" autoLine="0" autoPict="0">
                <anchor moveWithCells="1">
                  <from>
                    <xdr:col>2</xdr:col>
                    <xdr:colOff>1000125</xdr:colOff>
                    <xdr:row>39</xdr:row>
                    <xdr:rowOff>0</xdr:rowOff>
                  </from>
                  <to>
                    <xdr:col>3</xdr:col>
                    <xdr:colOff>847725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5" r:id="rId75" name="Check Box 81">
              <controlPr defaultSize="0" autoFill="0" autoLine="0" autoPict="0">
                <anchor moveWithCells="1">
                  <from>
                    <xdr:col>3</xdr:col>
                    <xdr:colOff>657225</xdr:colOff>
                    <xdr:row>39</xdr:row>
                    <xdr:rowOff>0</xdr:rowOff>
                  </from>
                  <to>
                    <xdr:col>4</xdr:col>
                    <xdr:colOff>638175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6" r:id="rId76" name="Check Box 82">
              <controlPr defaultSize="0" autoFill="0" autoLine="0" autoPict="0">
                <anchor moveWithCells="1">
                  <from>
                    <xdr:col>2</xdr:col>
                    <xdr:colOff>66675</xdr:colOff>
                    <xdr:row>42</xdr:row>
                    <xdr:rowOff>38100</xdr:rowOff>
                  </from>
                  <to>
                    <xdr:col>2</xdr:col>
                    <xdr:colOff>838200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7" r:id="rId77" name="Check Box 83">
              <controlPr defaultSize="0" autoFill="0" autoLine="0" autoPict="0">
                <anchor moveWithCells="1">
                  <from>
                    <xdr:col>2</xdr:col>
                    <xdr:colOff>1771650</xdr:colOff>
                    <xdr:row>42</xdr:row>
                    <xdr:rowOff>28575</xdr:rowOff>
                  </from>
                  <to>
                    <xdr:col>3</xdr:col>
                    <xdr:colOff>819150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8" r:id="rId78" name="Check Box 84">
              <controlPr defaultSize="0" autoFill="0" autoLine="0" autoPict="0">
                <anchor moveWithCells="1">
                  <from>
                    <xdr:col>3</xdr:col>
                    <xdr:colOff>828675</xdr:colOff>
                    <xdr:row>42</xdr:row>
                    <xdr:rowOff>28575</xdr:rowOff>
                  </from>
                  <to>
                    <xdr:col>4</xdr:col>
                    <xdr:colOff>638175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9" r:id="rId79" name="Check Box 85">
              <controlPr defaultSize="0" autoFill="0" autoLine="0" autoPict="0">
                <anchor moveWithCells="1">
                  <from>
                    <xdr:col>2</xdr:col>
                    <xdr:colOff>571500</xdr:colOff>
                    <xdr:row>42</xdr:row>
                    <xdr:rowOff>28575</xdr:rowOff>
                  </from>
                  <to>
                    <xdr:col>2</xdr:col>
                    <xdr:colOff>1343025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0" r:id="rId80" name="Check Box 86">
              <controlPr defaultSize="0" autoFill="0" autoLine="0" autoPict="0">
                <anchor moveWithCells="1">
                  <from>
                    <xdr:col>2</xdr:col>
                    <xdr:colOff>1200150</xdr:colOff>
                    <xdr:row>42</xdr:row>
                    <xdr:rowOff>38100</xdr:rowOff>
                  </from>
                  <to>
                    <xdr:col>3</xdr:col>
                    <xdr:colOff>114300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1" r:id="rId81" name="Check Box 87">
              <controlPr defaultSize="0" autoFill="0" autoLine="0" autoPict="0">
                <anchor moveWithCells="1">
                  <from>
                    <xdr:col>4</xdr:col>
                    <xdr:colOff>495300</xdr:colOff>
                    <xdr:row>42</xdr:row>
                    <xdr:rowOff>28575</xdr:rowOff>
                  </from>
                  <to>
                    <xdr:col>5</xdr:col>
                    <xdr:colOff>95250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2" r:id="rId82" name="Check Box 88">
              <controlPr defaultSize="0" autoFill="0" autoLine="0" autoPict="0">
                <anchor moveWithCells="1">
                  <from>
                    <xdr:col>2</xdr:col>
                    <xdr:colOff>57150</xdr:colOff>
                    <xdr:row>43</xdr:row>
                    <xdr:rowOff>19050</xdr:rowOff>
                  </from>
                  <to>
                    <xdr:col>2</xdr:col>
                    <xdr:colOff>828675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3" r:id="rId83" name="Check Box 89">
              <controlPr defaultSize="0" autoFill="0" autoLine="0" autoPict="0">
                <anchor moveWithCells="1">
                  <from>
                    <xdr:col>2</xdr:col>
                    <xdr:colOff>695325</xdr:colOff>
                    <xdr:row>43</xdr:row>
                    <xdr:rowOff>9525</xdr:rowOff>
                  </from>
                  <to>
                    <xdr:col>2</xdr:col>
                    <xdr:colOff>1600200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4" r:id="rId84" name="Check Box 90">
              <controlPr defaultSize="0" autoFill="0" autoLine="0" autoPict="0">
                <anchor moveWithCells="1">
                  <from>
                    <xdr:col>2</xdr:col>
                    <xdr:colOff>1190625</xdr:colOff>
                    <xdr:row>43</xdr:row>
                    <xdr:rowOff>9525</xdr:rowOff>
                  </from>
                  <to>
                    <xdr:col>3</xdr:col>
                    <xdr:colOff>104775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5" r:id="rId85" name="Check Box 91">
              <controlPr defaultSize="0" autoFill="0" autoLine="0" autoPict="0">
                <anchor moveWithCells="1">
                  <from>
                    <xdr:col>2</xdr:col>
                    <xdr:colOff>66675</xdr:colOff>
                    <xdr:row>44</xdr:row>
                    <xdr:rowOff>0</xdr:rowOff>
                  </from>
                  <to>
                    <xdr:col>2</xdr:col>
                    <xdr:colOff>990600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6" r:id="rId86" name="Check Box 92">
              <controlPr defaultSize="0" autoFill="0" autoLine="0" autoPict="0">
                <anchor moveWithCells="1">
                  <from>
                    <xdr:col>2</xdr:col>
                    <xdr:colOff>1000125</xdr:colOff>
                    <xdr:row>44</xdr:row>
                    <xdr:rowOff>0</xdr:rowOff>
                  </from>
                  <to>
                    <xdr:col>3</xdr:col>
                    <xdr:colOff>847725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7" r:id="rId87" name="Check Box 93">
              <controlPr defaultSize="0" autoFill="0" autoLine="0" autoPict="0">
                <anchor moveWithCells="1">
                  <from>
                    <xdr:col>3</xdr:col>
                    <xdr:colOff>657225</xdr:colOff>
                    <xdr:row>44</xdr:row>
                    <xdr:rowOff>0</xdr:rowOff>
                  </from>
                  <to>
                    <xdr:col>4</xdr:col>
                    <xdr:colOff>638175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8" r:id="rId88" name="Check Box 94">
              <controlPr defaultSize="0" autoFill="0" autoLine="0" autoPict="0">
                <anchor moveWithCells="1">
                  <from>
                    <xdr:col>2</xdr:col>
                    <xdr:colOff>66675</xdr:colOff>
                    <xdr:row>47</xdr:row>
                    <xdr:rowOff>38100</xdr:rowOff>
                  </from>
                  <to>
                    <xdr:col>2</xdr:col>
                    <xdr:colOff>838200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9" r:id="rId89" name="Check Box 95">
              <controlPr defaultSize="0" autoFill="0" autoLine="0" autoPict="0">
                <anchor moveWithCells="1">
                  <from>
                    <xdr:col>2</xdr:col>
                    <xdr:colOff>1771650</xdr:colOff>
                    <xdr:row>47</xdr:row>
                    <xdr:rowOff>28575</xdr:rowOff>
                  </from>
                  <to>
                    <xdr:col>3</xdr:col>
                    <xdr:colOff>819150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0" r:id="rId90" name="Check Box 96">
              <controlPr defaultSize="0" autoFill="0" autoLine="0" autoPict="0">
                <anchor moveWithCells="1">
                  <from>
                    <xdr:col>3</xdr:col>
                    <xdr:colOff>828675</xdr:colOff>
                    <xdr:row>47</xdr:row>
                    <xdr:rowOff>28575</xdr:rowOff>
                  </from>
                  <to>
                    <xdr:col>4</xdr:col>
                    <xdr:colOff>638175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1" r:id="rId91" name="Check Box 97">
              <controlPr defaultSize="0" autoFill="0" autoLine="0" autoPict="0">
                <anchor moveWithCells="1">
                  <from>
                    <xdr:col>2</xdr:col>
                    <xdr:colOff>571500</xdr:colOff>
                    <xdr:row>47</xdr:row>
                    <xdr:rowOff>28575</xdr:rowOff>
                  </from>
                  <to>
                    <xdr:col>2</xdr:col>
                    <xdr:colOff>1343025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2" r:id="rId92" name="Check Box 98">
              <controlPr defaultSize="0" autoFill="0" autoLine="0" autoPict="0">
                <anchor moveWithCells="1">
                  <from>
                    <xdr:col>2</xdr:col>
                    <xdr:colOff>1200150</xdr:colOff>
                    <xdr:row>47</xdr:row>
                    <xdr:rowOff>38100</xdr:rowOff>
                  </from>
                  <to>
                    <xdr:col>3</xdr:col>
                    <xdr:colOff>114300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3" r:id="rId93" name="Check Box 99">
              <controlPr defaultSize="0" autoFill="0" autoLine="0" autoPict="0">
                <anchor moveWithCells="1">
                  <from>
                    <xdr:col>4</xdr:col>
                    <xdr:colOff>495300</xdr:colOff>
                    <xdr:row>47</xdr:row>
                    <xdr:rowOff>28575</xdr:rowOff>
                  </from>
                  <to>
                    <xdr:col>5</xdr:col>
                    <xdr:colOff>95250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4" r:id="rId94" name="Check Box 100">
              <controlPr defaultSize="0" autoFill="0" autoLine="0" autoPict="0">
                <anchor moveWithCells="1">
                  <from>
                    <xdr:col>2</xdr:col>
                    <xdr:colOff>57150</xdr:colOff>
                    <xdr:row>48</xdr:row>
                    <xdr:rowOff>19050</xdr:rowOff>
                  </from>
                  <to>
                    <xdr:col>2</xdr:col>
                    <xdr:colOff>828675</xdr:colOff>
                    <xdr:row>49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5" r:id="rId95" name="Check Box 101">
              <controlPr defaultSize="0" autoFill="0" autoLine="0" autoPict="0">
                <anchor moveWithCells="1">
                  <from>
                    <xdr:col>2</xdr:col>
                    <xdr:colOff>695325</xdr:colOff>
                    <xdr:row>48</xdr:row>
                    <xdr:rowOff>9525</xdr:rowOff>
                  </from>
                  <to>
                    <xdr:col>2</xdr:col>
                    <xdr:colOff>1600200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" r:id="rId96" name="Check Box 102">
              <controlPr defaultSize="0" autoFill="0" autoLine="0" autoPict="0">
                <anchor moveWithCells="1">
                  <from>
                    <xdr:col>2</xdr:col>
                    <xdr:colOff>1190625</xdr:colOff>
                    <xdr:row>48</xdr:row>
                    <xdr:rowOff>9525</xdr:rowOff>
                  </from>
                  <to>
                    <xdr:col>3</xdr:col>
                    <xdr:colOff>104775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" r:id="rId97" name="Check Box 103">
              <controlPr defaultSize="0" autoFill="0" autoLine="0" autoPict="0">
                <anchor moveWithCells="1">
                  <from>
                    <xdr:col>2</xdr:col>
                    <xdr:colOff>66675</xdr:colOff>
                    <xdr:row>49</xdr:row>
                    <xdr:rowOff>0</xdr:rowOff>
                  </from>
                  <to>
                    <xdr:col>2</xdr:col>
                    <xdr:colOff>990600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" r:id="rId98" name="Check Box 104">
              <controlPr defaultSize="0" autoFill="0" autoLine="0" autoPict="0">
                <anchor moveWithCells="1">
                  <from>
                    <xdr:col>2</xdr:col>
                    <xdr:colOff>1000125</xdr:colOff>
                    <xdr:row>49</xdr:row>
                    <xdr:rowOff>0</xdr:rowOff>
                  </from>
                  <to>
                    <xdr:col>3</xdr:col>
                    <xdr:colOff>847725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" r:id="rId99" name="Check Box 105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0</xdr:rowOff>
                  </from>
                  <to>
                    <xdr:col>4</xdr:col>
                    <xdr:colOff>638175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" r:id="rId100" name="Check Box 106">
              <controlPr defaultSize="0" autoFill="0" autoLine="0" autoPict="0">
                <anchor moveWithCells="1">
                  <from>
                    <xdr:col>2</xdr:col>
                    <xdr:colOff>66675</xdr:colOff>
                    <xdr:row>52</xdr:row>
                    <xdr:rowOff>38100</xdr:rowOff>
                  </from>
                  <to>
                    <xdr:col>2</xdr:col>
                    <xdr:colOff>838200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" r:id="rId101" name="Check Box 107">
              <controlPr defaultSize="0" autoFill="0" autoLine="0" autoPict="0">
                <anchor moveWithCells="1">
                  <from>
                    <xdr:col>2</xdr:col>
                    <xdr:colOff>1771650</xdr:colOff>
                    <xdr:row>52</xdr:row>
                    <xdr:rowOff>28575</xdr:rowOff>
                  </from>
                  <to>
                    <xdr:col>3</xdr:col>
                    <xdr:colOff>819150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" r:id="rId102" name="Check Box 108">
              <controlPr defaultSize="0" autoFill="0" autoLine="0" autoPict="0">
                <anchor moveWithCells="1">
                  <from>
                    <xdr:col>3</xdr:col>
                    <xdr:colOff>828675</xdr:colOff>
                    <xdr:row>52</xdr:row>
                    <xdr:rowOff>28575</xdr:rowOff>
                  </from>
                  <to>
                    <xdr:col>4</xdr:col>
                    <xdr:colOff>638175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" r:id="rId103" name="Check Box 109">
              <controlPr defaultSize="0" autoFill="0" autoLine="0" autoPict="0">
                <anchor moveWithCells="1">
                  <from>
                    <xdr:col>2</xdr:col>
                    <xdr:colOff>571500</xdr:colOff>
                    <xdr:row>52</xdr:row>
                    <xdr:rowOff>28575</xdr:rowOff>
                  </from>
                  <to>
                    <xdr:col>2</xdr:col>
                    <xdr:colOff>1343025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4" r:id="rId104" name="Check Box 110">
              <controlPr defaultSize="0" autoFill="0" autoLine="0" autoPict="0">
                <anchor moveWithCells="1">
                  <from>
                    <xdr:col>2</xdr:col>
                    <xdr:colOff>1200150</xdr:colOff>
                    <xdr:row>52</xdr:row>
                    <xdr:rowOff>38100</xdr:rowOff>
                  </from>
                  <to>
                    <xdr:col>3</xdr:col>
                    <xdr:colOff>114300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5" r:id="rId105" name="Check Box 111">
              <controlPr defaultSize="0" autoFill="0" autoLine="0" autoPict="0">
                <anchor moveWithCells="1">
                  <from>
                    <xdr:col>4</xdr:col>
                    <xdr:colOff>495300</xdr:colOff>
                    <xdr:row>52</xdr:row>
                    <xdr:rowOff>28575</xdr:rowOff>
                  </from>
                  <to>
                    <xdr:col>5</xdr:col>
                    <xdr:colOff>95250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6" r:id="rId106" name="Check Box 112">
              <controlPr defaultSize="0" autoFill="0" autoLine="0" autoPict="0">
                <anchor moveWithCells="1">
                  <from>
                    <xdr:col>2</xdr:col>
                    <xdr:colOff>57150</xdr:colOff>
                    <xdr:row>53</xdr:row>
                    <xdr:rowOff>19050</xdr:rowOff>
                  </from>
                  <to>
                    <xdr:col>2</xdr:col>
                    <xdr:colOff>828675</xdr:colOff>
                    <xdr:row>54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7" r:id="rId107" name="Check Box 113">
              <controlPr defaultSize="0" autoFill="0" autoLine="0" autoPict="0">
                <anchor moveWithCells="1">
                  <from>
                    <xdr:col>2</xdr:col>
                    <xdr:colOff>695325</xdr:colOff>
                    <xdr:row>53</xdr:row>
                    <xdr:rowOff>9525</xdr:rowOff>
                  </from>
                  <to>
                    <xdr:col>2</xdr:col>
                    <xdr:colOff>1600200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8" r:id="rId108" name="Check Box 114">
              <controlPr defaultSize="0" autoFill="0" autoLine="0" autoPict="0">
                <anchor moveWithCells="1">
                  <from>
                    <xdr:col>2</xdr:col>
                    <xdr:colOff>1190625</xdr:colOff>
                    <xdr:row>53</xdr:row>
                    <xdr:rowOff>9525</xdr:rowOff>
                  </from>
                  <to>
                    <xdr:col>3</xdr:col>
                    <xdr:colOff>104775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9" r:id="rId109" name="Check Box 115">
              <controlPr defaultSize="0" autoFill="0" autoLine="0" autoPict="0">
                <anchor moveWithCells="1">
                  <from>
                    <xdr:col>2</xdr:col>
                    <xdr:colOff>66675</xdr:colOff>
                    <xdr:row>54</xdr:row>
                    <xdr:rowOff>0</xdr:rowOff>
                  </from>
                  <to>
                    <xdr:col>2</xdr:col>
                    <xdr:colOff>990600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0" r:id="rId110" name="Check Box 116">
              <controlPr defaultSize="0" autoFill="0" autoLine="0" autoPict="0">
                <anchor moveWithCells="1">
                  <from>
                    <xdr:col>2</xdr:col>
                    <xdr:colOff>1000125</xdr:colOff>
                    <xdr:row>54</xdr:row>
                    <xdr:rowOff>0</xdr:rowOff>
                  </from>
                  <to>
                    <xdr:col>3</xdr:col>
                    <xdr:colOff>847725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1" r:id="rId111" name="Check Box 117">
              <controlPr defaultSize="0" autoFill="0" autoLine="0" autoPict="0">
                <anchor moveWithCells="1">
                  <from>
                    <xdr:col>3</xdr:col>
                    <xdr:colOff>657225</xdr:colOff>
                    <xdr:row>54</xdr:row>
                    <xdr:rowOff>0</xdr:rowOff>
                  </from>
                  <to>
                    <xdr:col>4</xdr:col>
                    <xdr:colOff>638175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2" r:id="rId112" name="Check Box 118">
              <controlPr defaultSize="0" autoFill="0" autoLine="0" autoPict="0">
                <anchor moveWithCells="1">
                  <from>
                    <xdr:col>2</xdr:col>
                    <xdr:colOff>66675</xdr:colOff>
                    <xdr:row>57</xdr:row>
                    <xdr:rowOff>38100</xdr:rowOff>
                  </from>
                  <to>
                    <xdr:col>2</xdr:col>
                    <xdr:colOff>838200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3" r:id="rId113" name="Check Box 119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4" r:id="rId114" name="Check Box 120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5" r:id="rId115" name="Check Box 121">
              <controlPr defaultSize="0" autoFill="0" autoLine="0" autoPict="0">
                <anchor moveWithCells="1">
                  <from>
                    <xdr:col>2</xdr:col>
                    <xdr:colOff>571500</xdr:colOff>
                    <xdr:row>57</xdr:row>
                    <xdr:rowOff>28575</xdr:rowOff>
                  </from>
                  <to>
                    <xdr:col>2</xdr:col>
                    <xdr:colOff>1343025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6" r:id="rId116" name="Check Box 122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7" r:id="rId117" name="Check Box 123">
              <controlPr defaultSize="0" autoFill="0" autoLine="0" autoPict="0">
                <anchor moveWithCells="1">
                  <from>
                    <xdr:col>4</xdr:col>
                    <xdr:colOff>495300</xdr:colOff>
                    <xdr:row>57</xdr:row>
                    <xdr:rowOff>28575</xdr:rowOff>
                  </from>
                  <to>
                    <xdr:col>5</xdr:col>
                    <xdr:colOff>95250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8" r:id="rId118" name="Check Box 124">
              <controlPr defaultSize="0" autoFill="0" autoLine="0" autoPict="0">
                <anchor moveWithCells="1">
                  <from>
                    <xdr:col>2</xdr:col>
                    <xdr:colOff>57150</xdr:colOff>
                    <xdr:row>58</xdr:row>
                    <xdr:rowOff>19050</xdr:rowOff>
                  </from>
                  <to>
                    <xdr:col>2</xdr:col>
                    <xdr:colOff>828675</xdr:colOff>
                    <xdr:row>59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9" r:id="rId119" name="Check Box 125">
              <controlPr defaultSize="0" autoFill="0" autoLine="0" autoPict="0">
                <anchor moveWithCells="1">
                  <from>
                    <xdr:col>2</xdr:col>
                    <xdr:colOff>695325</xdr:colOff>
                    <xdr:row>58</xdr:row>
                    <xdr:rowOff>9525</xdr:rowOff>
                  </from>
                  <to>
                    <xdr:col>2</xdr:col>
                    <xdr:colOff>1600200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0" r:id="rId120" name="Check Box 126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1" r:id="rId121" name="Check Box 127">
              <controlPr defaultSize="0" autoFill="0" autoLine="0" autoPict="0">
                <anchor moveWithCells="1">
                  <from>
                    <xdr:col>2</xdr:col>
                    <xdr:colOff>66675</xdr:colOff>
                    <xdr:row>59</xdr:row>
                    <xdr:rowOff>0</xdr:rowOff>
                  </from>
                  <to>
                    <xdr:col>2</xdr:col>
                    <xdr:colOff>990600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2" r:id="rId122" name="Check Box 128">
              <controlPr defaultSize="0" autoFill="0" autoLine="0" autoPict="0">
                <anchor moveWithCells="1">
                  <from>
                    <xdr:col>2</xdr:col>
                    <xdr:colOff>1000125</xdr:colOff>
                    <xdr:row>59</xdr:row>
                    <xdr:rowOff>0</xdr:rowOff>
                  </from>
                  <to>
                    <xdr:col>3</xdr:col>
                    <xdr:colOff>847725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3" r:id="rId123" name="Check Box 129">
              <controlPr defaultSize="0" autoFill="0" autoLine="0" autoPict="0">
                <anchor moveWithCells="1">
                  <from>
                    <xdr:col>3</xdr:col>
                    <xdr:colOff>657225</xdr:colOff>
                    <xdr:row>59</xdr:row>
                    <xdr:rowOff>0</xdr:rowOff>
                  </from>
                  <to>
                    <xdr:col>4</xdr:col>
                    <xdr:colOff>638175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4" r:id="rId124" name="Check Box 130">
              <controlPr defaultSize="0" autoFill="0" autoLine="0" autoPict="0">
                <anchor moveWithCells="1">
                  <from>
                    <xdr:col>2</xdr:col>
                    <xdr:colOff>66675</xdr:colOff>
                    <xdr:row>62</xdr:row>
                    <xdr:rowOff>38100</xdr:rowOff>
                  </from>
                  <to>
                    <xdr:col>2</xdr:col>
                    <xdr:colOff>838200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5" r:id="rId125" name="Check Box 131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6" r:id="rId126" name="Check Box 132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7" r:id="rId127" name="Check Box 133">
              <controlPr defaultSize="0" autoFill="0" autoLine="0" autoPict="0">
                <anchor moveWithCells="1">
                  <from>
                    <xdr:col>2</xdr:col>
                    <xdr:colOff>571500</xdr:colOff>
                    <xdr:row>62</xdr:row>
                    <xdr:rowOff>28575</xdr:rowOff>
                  </from>
                  <to>
                    <xdr:col>2</xdr:col>
                    <xdr:colOff>1343025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8" r:id="rId128" name="Check Box 134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9" r:id="rId129" name="Check Box 135">
              <controlPr defaultSize="0" autoFill="0" autoLine="0" autoPict="0">
                <anchor moveWithCells="1">
                  <from>
                    <xdr:col>4</xdr:col>
                    <xdr:colOff>495300</xdr:colOff>
                    <xdr:row>62</xdr:row>
                    <xdr:rowOff>28575</xdr:rowOff>
                  </from>
                  <to>
                    <xdr:col>5</xdr:col>
                    <xdr:colOff>95250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0" r:id="rId130" name="Check Box 136">
              <controlPr defaultSize="0" autoFill="0" autoLine="0" autoPict="0">
                <anchor moveWithCells="1">
                  <from>
                    <xdr:col>2</xdr:col>
                    <xdr:colOff>57150</xdr:colOff>
                    <xdr:row>63</xdr:row>
                    <xdr:rowOff>19050</xdr:rowOff>
                  </from>
                  <to>
                    <xdr:col>2</xdr:col>
                    <xdr:colOff>828675</xdr:colOff>
                    <xdr:row>64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1" r:id="rId131" name="Check Box 137">
              <controlPr defaultSize="0" autoFill="0" autoLine="0" autoPict="0">
                <anchor moveWithCells="1">
                  <from>
                    <xdr:col>2</xdr:col>
                    <xdr:colOff>695325</xdr:colOff>
                    <xdr:row>63</xdr:row>
                    <xdr:rowOff>9525</xdr:rowOff>
                  </from>
                  <to>
                    <xdr:col>2</xdr:col>
                    <xdr:colOff>1600200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2" r:id="rId132" name="Check Box 138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3" r:id="rId133" name="Check Box 139">
              <controlPr defaultSize="0" autoFill="0" autoLine="0" autoPict="0">
                <anchor moveWithCells="1">
                  <from>
                    <xdr:col>2</xdr:col>
                    <xdr:colOff>66675</xdr:colOff>
                    <xdr:row>64</xdr:row>
                    <xdr:rowOff>0</xdr:rowOff>
                  </from>
                  <to>
                    <xdr:col>2</xdr:col>
                    <xdr:colOff>990600</xdr:colOff>
                    <xdr:row>65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4" r:id="rId134" name="Check Box 140">
              <controlPr defaultSize="0" autoFill="0" autoLine="0" autoPict="0">
                <anchor moveWithCells="1">
                  <from>
                    <xdr:col>2</xdr:col>
                    <xdr:colOff>1000125</xdr:colOff>
                    <xdr:row>64</xdr:row>
                    <xdr:rowOff>0</xdr:rowOff>
                  </from>
                  <to>
                    <xdr:col>3</xdr:col>
                    <xdr:colOff>847725</xdr:colOff>
                    <xdr:row>65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5" r:id="rId135" name="Check Box 141">
              <controlPr defaultSize="0" autoFill="0" autoLine="0" autoPict="0">
                <anchor moveWithCells="1">
                  <from>
                    <xdr:col>3</xdr:col>
                    <xdr:colOff>657225</xdr:colOff>
                    <xdr:row>64</xdr:row>
                    <xdr:rowOff>0</xdr:rowOff>
                  </from>
                  <to>
                    <xdr:col>4</xdr:col>
                    <xdr:colOff>638175</xdr:colOff>
                    <xdr:row>65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6" r:id="rId136" name="Check Box 142">
              <controlPr defaultSize="0" autoFill="0" autoLine="0" autoPict="0">
                <anchor moveWithCells="1">
                  <from>
                    <xdr:col>2</xdr:col>
                    <xdr:colOff>66675</xdr:colOff>
                    <xdr:row>67</xdr:row>
                    <xdr:rowOff>38100</xdr:rowOff>
                  </from>
                  <to>
                    <xdr:col>2</xdr:col>
                    <xdr:colOff>838200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7" r:id="rId137" name="Check Box 143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8" r:id="rId138" name="Check Box 144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9" r:id="rId139" name="Check Box 145">
              <controlPr defaultSize="0" autoFill="0" autoLine="0" autoPict="0">
                <anchor moveWithCells="1">
                  <from>
                    <xdr:col>2</xdr:col>
                    <xdr:colOff>571500</xdr:colOff>
                    <xdr:row>67</xdr:row>
                    <xdr:rowOff>28575</xdr:rowOff>
                  </from>
                  <to>
                    <xdr:col>2</xdr:col>
                    <xdr:colOff>1343025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0" r:id="rId140" name="Check Box 146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1" r:id="rId141" name="Check Box 147">
              <controlPr defaultSize="0" autoFill="0" autoLine="0" autoPict="0">
                <anchor moveWithCells="1">
                  <from>
                    <xdr:col>4</xdr:col>
                    <xdr:colOff>495300</xdr:colOff>
                    <xdr:row>67</xdr:row>
                    <xdr:rowOff>28575</xdr:rowOff>
                  </from>
                  <to>
                    <xdr:col>5</xdr:col>
                    <xdr:colOff>95250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2" r:id="rId142" name="Check Box 148">
              <controlPr defaultSize="0" autoFill="0" autoLine="0" autoPict="0">
                <anchor moveWithCells="1">
                  <from>
                    <xdr:col>2</xdr:col>
                    <xdr:colOff>57150</xdr:colOff>
                    <xdr:row>68</xdr:row>
                    <xdr:rowOff>19050</xdr:rowOff>
                  </from>
                  <to>
                    <xdr:col>2</xdr:col>
                    <xdr:colOff>828675</xdr:colOff>
                    <xdr:row>69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3" r:id="rId143" name="Check Box 149">
              <controlPr defaultSize="0" autoFill="0" autoLine="0" autoPict="0">
                <anchor moveWithCells="1">
                  <from>
                    <xdr:col>2</xdr:col>
                    <xdr:colOff>695325</xdr:colOff>
                    <xdr:row>68</xdr:row>
                    <xdr:rowOff>9525</xdr:rowOff>
                  </from>
                  <to>
                    <xdr:col>2</xdr:col>
                    <xdr:colOff>1600200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4" r:id="rId144" name="Check Box 150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5" r:id="rId145" name="Check Box 151">
              <controlPr defaultSize="0" autoFill="0" autoLine="0" autoPict="0">
                <anchor moveWithCells="1">
                  <from>
                    <xdr:col>2</xdr:col>
                    <xdr:colOff>66675</xdr:colOff>
                    <xdr:row>69</xdr:row>
                    <xdr:rowOff>0</xdr:rowOff>
                  </from>
                  <to>
                    <xdr:col>2</xdr:col>
                    <xdr:colOff>990600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6" r:id="rId146" name="Check Box 152">
              <controlPr defaultSize="0" autoFill="0" autoLine="0" autoPict="0">
                <anchor moveWithCells="1">
                  <from>
                    <xdr:col>2</xdr:col>
                    <xdr:colOff>1000125</xdr:colOff>
                    <xdr:row>69</xdr:row>
                    <xdr:rowOff>0</xdr:rowOff>
                  </from>
                  <to>
                    <xdr:col>3</xdr:col>
                    <xdr:colOff>847725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7" r:id="rId147" name="Check Box 153">
              <controlPr defaultSize="0" autoFill="0" autoLine="0" autoPict="0">
                <anchor moveWithCells="1">
                  <from>
                    <xdr:col>3</xdr:col>
                    <xdr:colOff>657225</xdr:colOff>
                    <xdr:row>69</xdr:row>
                    <xdr:rowOff>0</xdr:rowOff>
                  </from>
                  <to>
                    <xdr:col>4</xdr:col>
                    <xdr:colOff>638175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8" r:id="rId148" name="Check Box 154">
              <controlPr defaultSize="0" autoFill="0" autoLine="0" autoPict="0">
                <anchor moveWithCells="1">
                  <from>
                    <xdr:col>2</xdr:col>
                    <xdr:colOff>66675</xdr:colOff>
                    <xdr:row>72</xdr:row>
                    <xdr:rowOff>38100</xdr:rowOff>
                  </from>
                  <to>
                    <xdr:col>2</xdr:col>
                    <xdr:colOff>838200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9" r:id="rId149" name="Check Box 155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0" r:id="rId150" name="Check Box 156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1" r:id="rId151" name="Check Box 157">
              <controlPr defaultSize="0" autoFill="0" autoLine="0" autoPict="0">
                <anchor moveWithCells="1">
                  <from>
                    <xdr:col>2</xdr:col>
                    <xdr:colOff>571500</xdr:colOff>
                    <xdr:row>72</xdr:row>
                    <xdr:rowOff>28575</xdr:rowOff>
                  </from>
                  <to>
                    <xdr:col>2</xdr:col>
                    <xdr:colOff>1343025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2" r:id="rId152" name="Check Box 158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3" r:id="rId153" name="Check Box 159">
              <controlPr defaultSize="0" autoFill="0" autoLine="0" autoPict="0">
                <anchor moveWithCells="1">
                  <from>
                    <xdr:col>4</xdr:col>
                    <xdr:colOff>495300</xdr:colOff>
                    <xdr:row>72</xdr:row>
                    <xdr:rowOff>28575</xdr:rowOff>
                  </from>
                  <to>
                    <xdr:col>5</xdr:col>
                    <xdr:colOff>95250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4" r:id="rId154" name="Check Box 160">
              <controlPr defaultSize="0" autoFill="0" autoLine="0" autoPict="0">
                <anchor moveWithCells="1">
                  <from>
                    <xdr:col>2</xdr:col>
                    <xdr:colOff>57150</xdr:colOff>
                    <xdr:row>73</xdr:row>
                    <xdr:rowOff>19050</xdr:rowOff>
                  </from>
                  <to>
                    <xdr:col>2</xdr:col>
                    <xdr:colOff>828675</xdr:colOff>
                    <xdr:row>74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5" r:id="rId155" name="Check Box 161">
              <controlPr defaultSize="0" autoFill="0" autoLine="0" autoPict="0">
                <anchor moveWithCells="1">
                  <from>
                    <xdr:col>2</xdr:col>
                    <xdr:colOff>695325</xdr:colOff>
                    <xdr:row>73</xdr:row>
                    <xdr:rowOff>9525</xdr:rowOff>
                  </from>
                  <to>
                    <xdr:col>2</xdr:col>
                    <xdr:colOff>1600200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6" r:id="rId156" name="Check Box 162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7" r:id="rId157" name="Check Box 163">
              <controlPr defaultSize="0" autoFill="0" autoLine="0" autoPict="0">
                <anchor moveWithCells="1">
                  <from>
                    <xdr:col>2</xdr:col>
                    <xdr:colOff>66675</xdr:colOff>
                    <xdr:row>74</xdr:row>
                    <xdr:rowOff>0</xdr:rowOff>
                  </from>
                  <to>
                    <xdr:col>2</xdr:col>
                    <xdr:colOff>990600</xdr:colOff>
                    <xdr:row>74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8" r:id="rId158" name="Check Box 164">
              <controlPr defaultSize="0" autoFill="0" autoLine="0" autoPict="0">
                <anchor moveWithCells="1">
                  <from>
                    <xdr:col>2</xdr:col>
                    <xdr:colOff>1000125</xdr:colOff>
                    <xdr:row>74</xdr:row>
                    <xdr:rowOff>0</xdr:rowOff>
                  </from>
                  <to>
                    <xdr:col>3</xdr:col>
                    <xdr:colOff>847725</xdr:colOff>
                    <xdr:row>74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9" r:id="rId159" name="Check Box 165">
              <controlPr defaultSize="0" autoFill="0" autoLine="0" autoPict="0">
                <anchor moveWithCells="1">
                  <from>
                    <xdr:col>3</xdr:col>
                    <xdr:colOff>657225</xdr:colOff>
                    <xdr:row>74</xdr:row>
                    <xdr:rowOff>0</xdr:rowOff>
                  </from>
                  <to>
                    <xdr:col>4</xdr:col>
                    <xdr:colOff>638175</xdr:colOff>
                    <xdr:row>74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0" r:id="rId160" name="Check Box 166">
              <controlPr defaultSize="0" autoFill="0" autoLine="0" autoPict="0">
                <anchor moveWithCells="1">
                  <from>
                    <xdr:col>2</xdr:col>
                    <xdr:colOff>66675</xdr:colOff>
                    <xdr:row>77</xdr:row>
                    <xdr:rowOff>38100</xdr:rowOff>
                  </from>
                  <to>
                    <xdr:col>2</xdr:col>
                    <xdr:colOff>838200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1" r:id="rId161" name="Check Box 167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2" r:id="rId162" name="Check Box 168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3" r:id="rId163" name="Check Box 169">
              <controlPr defaultSize="0" autoFill="0" autoLine="0" autoPict="0">
                <anchor moveWithCells="1">
                  <from>
                    <xdr:col>2</xdr:col>
                    <xdr:colOff>571500</xdr:colOff>
                    <xdr:row>77</xdr:row>
                    <xdr:rowOff>28575</xdr:rowOff>
                  </from>
                  <to>
                    <xdr:col>2</xdr:col>
                    <xdr:colOff>1343025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4" r:id="rId164" name="Check Box 170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5" r:id="rId165" name="Check Box 171">
              <controlPr defaultSize="0" autoFill="0" autoLine="0" autoPict="0">
                <anchor moveWithCells="1">
                  <from>
                    <xdr:col>4</xdr:col>
                    <xdr:colOff>495300</xdr:colOff>
                    <xdr:row>77</xdr:row>
                    <xdr:rowOff>28575</xdr:rowOff>
                  </from>
                  <to>
                    <xdr:col>5</xdr:col>
                    <xdr:colOff>95250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6" r:id="rId166" name="Check Box 172">
              <controlPr defaultSize="0" autoFill="0" autoLine="0" autoPict="0">
                <anchor moveWithCells="1">
                  <from>
                    <xdr:col>2</xdr:col>
                    <xdr:colOff>57150</xdr:colOff>
                    <xdr:row>78</xdr:row>
                    <xdr:rowOff>19050</xdr:rowOff>
                  </from>
                  <to>
                    <xdr:col>2</xdr:col>
                    <xdr:colOff>828675</xdr:colOff>
                    <xdr:row>79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7" r:id="rId167" name="Check Box 173">
              <controlPr defaultSize="0" autoFill="0" autoLine="0" autoPict="0">
                <anchor moveWithCells="1">
                  <from>
                    <xdr:col>2</xdr:col>
                    <xdr:colOff>695325</xdr:colOff>
                    <xdr:row>78</xdr:row>
                    <xdr:rowOff>9525</xdr:rowOff>
                  </from>
                  <to>
                    <xdr:col>2</xdr:col>
                    <xdr:colOff>1600200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8" r:id="rId168" name="Check Box 174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9" r:id="rId169" name="Check Box 175">
              <controlPr defaultSize="0" autoFill="0" autoLine="0" autoPict="0">
                <anchor moveWithCells="1">
                  <from>
                    <xdr:col>2</xdr:col>
                    <xdr:colOff>66675</xdr:colOff>
                    <xdr:row>79</xdr:row>
                    <xdr:rowOff>0</xdr:rowOff>
                  </from>
                  <to>
                    <xdr:col>2</xdr:col>
                    <xdr:colOff>990600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0" r:id="rId170" name="Check Box 176">
              <controlPr defaultSize="0" autoFill="0" autoLine="0" autoPict="0">
                <anchor moveWithCells="1">
                  <from>
                    <xdr:col>2</xdr:col>
                    <xdr:colOff>1000125</xdr:colOff>
                    <xdr:row>79</xdr:row>
                    <xdr:rowOff>0</xdr:rowOff>
                  </from>
                  <to>
                    <xdr:col>3</xdr:col>
                    <xdr:colOff>847725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1" r:id="rId171" name="Check Box 177">
              <controlPr defaultSize="0" autoFill="0" autoLine="0" autoPict="0">
                <anchor moveWithCells="1">
                  <from>
                    <xdr:col>3</xdr:col>
                    <xdr:colOff>657225</xdr:colOff>
                    <xdr:row>79</xdr:row>
                    <xdr:rowOff>0</xdr:rowOff>
                  </from>
                  <to>
                    <xdr:col>4</xdr:col>
                    <xdr:colOff>638175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2" r:id="rId172" name="Check Box 178">
              <controlPr defaultSize="0" autoFill="0" autoLine="0" autoPict="0">
                <anchor moveWithCells="1">
                  <from>
                    <xdr:col>2</xdr:col>
                    <xdr:colOff>66675</xdr:colOff>
                    <xdr:row>82</xdr:row>
                    <xdr:rowOff>38100</xdr:rowOff>
                  </from>
                  <to>
                    <xdr:col>2</xdr:col>
                    <xdr:colOff>838200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3" r:id="rId173" name="Check Box 179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4" r:id="rId174" name="Check Box 180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5" r:id="rId175" name="Check Box 181">
              <controlPr defaultSize="0" autoFill="0" autoLine="0" autoPict="0">
                <anchor moveWithCells="1">
                  <from>
                    <xdr:col>2</xdr:col>
                    <xdr:colOff>571500</xdr:colOff>
                    <xdr:row>82</xdr:row>
                    <xdr:rowOff>28575</xdr:rowOff>
                  </from>
                  <to>
                    <xdr:col>2</xdr:col>
                    <xdr:colOff>1343025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6" r:id="rId176" name="Check Box 182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7" r:id="rId177" name="Check Box 183">
              <controlPr defaultSize="0" autoFill="0" autoLine="0" autoPict="0">
                <anchor moveWithCells="1">
                  <from>
                    <xdr:col>4</xdr:col>
                    <xdr:colOff>495300</xdr:colOff>
                    <xdr:row>82</xdr:row>
                    <xdr:rowOff>28575</xdr:rowOff>
                  </from>
                  <to>
                    <xdr:col>5</xdr:col>
                    <xdr:colOff>95250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8" r:id="rId178" name="Check Box 184">
              <controlPr defaultSize="0" autoFill="0" autoLine="0" autoPict="0">
                <anchor moveWithCells="1">
                  <from>
                    <xdr:col>2</xdr:col>
                    <xdr:colOff>57150</xdr:colOff>
                    <xdr:row>83</xdr:row>
                    <xdr:rowOff>19050</xdr:rowOff>
                  </from>
                  <to>
                    <xdr:col>2</xdr:col>
                    <xdr:colOff>828675</xdr:colOff>
                    <xdr:row>84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9" r:id="rId179" name="Check Box 185">
              <controlPr defaultSize="0" autoFill="0" autoLine="0" autoPict="0">
                <anchor moveWithCells="1">
                  <from>
                    <xdr:col>2</xdr:col>
                    <xdr:colOff>695325</xdr:colOff>
                    <xdr:row>83</xdr:row>
                    <xdr:rowOff>9525</xdr:rowOff>
                  </from>
                  <to>
                    <xdr:col>2</xdr:col>
                    <xdr:colOff>1600200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0" r:id="rId180" name="Check Box 186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1" r:id="rId181" name="Check Box 187">
              <controlPr defaultSize="0" autoFill="0" autoLine="0" autoPict="0">
                <anchor moveWithCells="1">
                  <from>
                    <xdr:col>2</xdr:col>
                    <xdr:colOff>66675</xdr:colOff>
                    <xdr:row>84</xdr:row>
                    <xdr:rowOff>0</xdr:rowOff>
                  </from>
                  <to>
                    <xdr:col>2</xdr:col>
                    <xdr:colOff>990600</xdr:colOff>
                    <xdr:row>84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2" r:id="rId182" name="Check Box 188">
              <controlPr defaultSize="0" autoFill="0" autoLine="0" autoPict="0">
                <anchor moveWithCells="1">
                  <from>
                    <xdr:col>2</xdr:col>
                    <xdr:colOff>1000125</xdr:colOff>
                    <xdr:row>84</xdr:row>
                    <xdr:rowOff>0</xdr:rowOff>
                  </from>
                  <to>
                    <xdr:col>3</xdr:col>
                    <xdr:colOff>847725</xdr:colOff>
                    <xdr:row>84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3" r:id="rId183" name="Check Box 189">
              <controlPr defaultSize="0" autoFill="0" autoLine="0" autoPict="0">
                <anchor moveWithCells="1">
                  <from>
                    <xdr:col>3</xdr:col>
                    <xdr:colOff>657225</xdr:colOff>
                    <xdr:row>84</xdr:row>
                    <xdr:rowOff>0</xdr:rowOff>
                  </from>
                  <to>
                    <xdr:col>4</xdr:col>
                    <xdr:colOff>638175</xdr:colOff>
                    <xdr:row>84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4" r:id="rId184" name="Check Box 190">
              <controlPr defaultSize="0" autoFill="0" autoLine="0" autoPict="0">
                <anchor moveWithCells="1">
                  <from>
                    <xdr:col>2</xdr:col>
                    <xdr:colOff>66675</xdr:colOff>
                    <xdr:row>87</xdr:row>
                    <xdr:rowOff>38100</xdr:rowOff>
                  </from>
                  <to>
                    <xdr:col>2</xdr:col>
                    <xdr:colOff>838200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5" r:id="rId185" name="Check Box 191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6" r:id="rId186" name="Check Box 192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7" r:id="rId187" name="Check Box 193">
              <controlPr defaultSize="0" autoFill="0" autoLine="0" autoPict="0">
                <anchor moveWithCells="1">
                  <from>
                    <xdr:col>2</xdr:col>
                    <xdr:colOff>571500</xdr:colOff>
                    <xdr:row>87</xdr:row>
                    <xdr:rowOff>28575</xdr:rowOff>
                  </from>
                  <to>
                    <xdr:col>2</xdr:col>
                    <xdr:colOff>1343025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" r:id="rId188" name="Check Box 194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9" r:id="rId189" name="Check Box 195">
              <controlPr defaultSize="0" autoFill="0" autoLine="0" autoPict="0">
                <anchor moveWithCells="1">
                  <from>
                    <xdr:col>4</xdr:col>
                    <xdr:colOff>495300</xdr:colOff>
                    <xdr:row>87</xdr:row>
                    <xdr:rowOff>28575</xdr:rowOff>
                  </from>
                  <to>
                    <xdr:col>5</xdr:col>
                    <xdr:colOff>95250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0" r:id="rId190" name="Check Box 196">
              <controlPr defaultSize="0" autoFill="0" autoLine="0" autoPict="0">
                <anchor moveWithCells="1">
                  <from>
                    <xdr:col>2</xdr:col>
                    <xdr:colOff>57150</xdr:colOff>
                    <xdr:row>88</xdr:row>
                    <xdr:rowOff>19050</xdr:rowOff>
                  </from>
                  <to>
                    <xdr:col>2</xdr:col>
                    <xdr:colOff>828675</xdr:colOff>
                    <xdr:row>89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1" r:id="rId191" name="Check Box 197">
              <controlPr defaultSize="0" autoFill="0" autoLine="0" autoPict="0">
                <anchor moveWithCells="1">
                  <from>
                    <xdr:col>2</xdr:col>
                    <xdr:colOff>695325</xdr:colOff>
                    <xdr:row>88</xdr:row>
                    <xdr:rowOff>9525</xdr:rowOff>
                  </from>
                  <to>
                    <xdr:col>2</xdr:col>
                    <xdr:colOff>1600200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2" r:id="rId192" name="Check Box 198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3" r:id="rId193" name="Check Box 199">
              <controlPr defaultSize="0" autoFill="0" autoLine="0" autoPict="0">
                <anchor moveWithCells="1">
                  <from>
                    <xdr:col>2</xdr:col>
                    <xdr:colOff>66675</xdr:colOff>
                    <xdr:row>89</xdr:row>
                    <xdr:rowOff>0</xdr:rowOff>
                  </from>
                  <to>
                    <xdr:col>2</xdr:col>
                    <xdr:colOff>990600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4" r:id="rId194" name="Check Box 200">
              <controlPr defaultSize="0" autoFill="0" autoLine="0" autoPict="0">
                <anchor moveWithCells="1">
                  <from>
                    <xdr:col>2</xdr:col>
                    <xdr:colOff>1000125</xdr:colOff>
                    <xdr:row>89</xdr:row>
                    <xdr:rowOff>0</xdr:rowOff>
                  </from>
                  <to>
                    <xdr:col>3</xdr:col>
                    <xdr:colOff>847725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5" r:id="rId195" name="Check Box 201">
              <controlPr defaultSize="0" autoFill="0" autoLine="0" autoPict="0">
                <anchor moveWithCells="1">
                  <from>
                    <xdr:col>3</xdr:col>
                    <xdr:colOff>657225</xdr:colOff>
                    <xdr:row>89</xdr:row>
                    <xdr:rowOff>0</xdr:rowOff>
                  </from>
                  <to>
                    <xdr:col>4</xdr:col>
                    <xdr:colOff>638175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6" r:id="rId196" name="Check Box 202">
              <controlPr defaultSize="0" autoFill="0" autoLine="0" autoPict="0">
                <anchor moveWithCells="1">
                  <from>
                    <xdr:col>2</xdr:col>
                    <xdr:colOff>66675</xdr:colOff>
                    <xdr:row>92</xdr:row>
                    <xdr:rowOff>38100</xdr:rowOff>
                  </from>
                  <to>
                    <xdr:col>2</xdr:col>
                    <xdr:colOff>838200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7" r:id="rId197" name="Check Box 203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" r:id="rId198" name="Check Box 204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" r:id="rId199" name="Check Box 205">
              <controlPr defaultSize="0" autoFill="0" autoLine="0" autoPict="0">
                <anchor moveWithCells="1">
                  <from>
                    <xdr:col>2</xdr:col>
                    <xdr:colOff>571500</xdr:colOff>
                    <xdr:row>92</xdr:row>
                    <xdr:rowOff>28575</xdr:rowOff>
                  </from>
                  <to>
                    <xdr:col>2</xdr:col>
                    <xdr:colOff>1343025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" r:id="rId200" name="Check Box 206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" r:id="rId201" name="Check Box 207">
              <controlPr defaultSize="0" autoFill="0" autoLine="0" autoPict="0">
                <anchor moveWithCells="1">
                  <from>
                    <xdr:col>4</xdr:col>
                    <xdr:colOff>495300</xdr:colOff>
                    <xdr:row>92</xdr:row>
                    <xdr:rowOff>28575</xdr:rowOff>
                  </from>
                  <to>
                    <xdr:col>5</xdr:col>
                    <xdr:colOff>95250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" r:id="rId202" name="Check Box 208">
              <controlPr defaultSize="0" autoFill="0" autoLine="0" autoPict="0">
                <anchor moveWithCells="1">
                  <from>
                    <xdr:col>2</xdr:col>
                    <xdr:colOff>57150</xdr:colOff>
                    <xdr:row>93</xdr:row>
                    <xdr:rowOff>19050</xdr:rowOff>
                  </from>
                  <to>
                    <xdr:col>2</xdr:col>
                    <xdr:colOff>828675</xdr:colOff>
                    <xdr:row>94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" r:id="rId203" name="Check Box 209">
              <controlPr defaultSize="0" autoFill="0" autoLine="0" autoPict="0">
                <anchor moveWithCells="1">
                  <from>
                    <xdr:col>2</xdr:col>
                    <xdr:colOff>695325</xdr:colOff>
                    <xdr:row>93</xdr:row>
                    <xdr:rowOff>9525</xdr:rowOff>
                  </from>
                  <to>
                    <xdr:col>2</xdr:col>
                    <xdr:colOff>1600200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" r:id="rId204" name="Check Box 210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" r:id="rId205" name="Check Box 211">
              <controlPr defaultSize="0" autoFill="0" autoLine="0" autoPict="0">
                <anchor moveWithCells="1">
                  <from>
                    <xdr:col>2</xdr:col>
                    <xdr:colOff>66675</xdr:colOff>
                    <xdr:row>94</xdr:row>
                    <xdr:rowOff>0</xdr:rowOff>
                  </from>
                  <to>
                    <xdr:col>2</xdr:col>
                    <xdr:colOff>990600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6" r:id="rId206" name="Check Box 212">
              <controlPr defaultSize="0" autoFill="0" autoLine="0" autoPict="0">
                <anchor moveWithCells="1">
                  <from>
                    <xdr:col>2</xdr:col>
                    <xdr:colOff>1000125</xdr:colOff>
                    <xdr:row>94</xdr:row>
                    <xdr:rowOff>0</xdr:rowOff>
                  </from>
                  <to>
                    <xdr:col>3</xdr:col>
                    <xdr:colOff>847725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7" r:id="rId207" name="Check Box 213">
              <controlPr defaultSize="0" autoFill="0" autoLine="0" autoPict="0">
                <anchor moveWithCells="1">
                  <from>
                    <xdr:col>3</xdr:col>
                    <xdr:colOff>657225</xdr:colOff>
                    <xdr:row>94</xdr:row>
                    <xdr:rowOff>0</xdr:rowOff>
                  </from>
                  <to>
                    <xdr:col>4</xdr:col>
                    <xdr:colOff>638175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8" r:id="rId208" name="Check Box 214">
              <controlPr defaultSize="0" autoFill="0" autoLine="0" autoPict="0">
                <anchor moveWithCells="1">
                  <from>
                    <xdr:col>2</xdr:col>
                    <xdr:colOff>66675</xdr:colOff>
                    <xdr:row>97</xdr:row>
                    <xdr:rowOff>38100</xdr:rowOff>
                  </from>
                  <to>
                    <xdr:col>2</xdr:col>
                    <xdr:colOff>838200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" r:id="rId209" name="Check Box 215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0" r:id="rId210" name="Check Box 216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1" r:id="rId211" name="Check Box 217">
              <controlPr defaultSize="0" autoFill="0" autoLine="0" autoPict="0">
                <anchor moveWithCells="1">
                  <from>
                    <xdr:col>2</xdr:col>
                    <xdr:colOff>571500</xdr:colOff>
                    <xdr:row>97</xdr:row>
                    <xdr:rowOff>28575</xdr:rowOff>
                  </from>
                  <to>
                    <xdr:col>2</xdr:col>
                    <xdr:colOff>1343025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2" r:id="rId212" name="Check Box 218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3" r:id="rId213" name="Check Box 219">
              <controlPr defaultSize="0" autoFill="0" autoLine="0" autoPict="0">
                <anchor moveWithCells="1">
                  <from>
                    <xdr:col>4</xdr:col>
                    <xdr:colOff>495300</xdr:colOff>
                    <xdr:row>97</xdr:row>
                    <xdr:rowOff>28575</xdr:rowOff>
                  </from>
                  <to>
                    <xdr:col>5</xdr:col>
                    <xdr:colOff>95250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4" r:id="rId214" name="Check Box 220">
              <controlPr defaultSize="0" autoFill="0" autoLine="0" autoPict="0">
                <anchor moveWithCells="1">
                  <from>
                    <xdr:col>2</xdr:col>
                    <xdr:colOff>57150</xdr:colOff>
                    <xdr:row>98</xdr:row>
                    <xdr:rowOff>19050</xdr:rowOff>
                  </from>
                  <to>
                    <xdr:col>2</xdr:col>
                    <xdr:colOff>828675</xdr:colOff>
                    <xdr:row>99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5" r:id="rId215" name="Check Box 221">
              <controlPr defaultSize="0" autoFill="0" autoLine="0" autoPict="0">
                <anchor moveWithCells="1">
                  <from>
                    <xdr:col>2</xdr:col>
                    <xdr:colOff>695325</xdr:colOff>
                    <xdr:row>98</xdr:row>
                    <xdr:rowOff>9525</xdr:rowOff>
                  </from>
                  <to>
                    <xdr:col>2</xdr:col>
                    <xdr:colOff>1600200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6" r:id="rId216" name="Check Box 222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7" r:id="rId217" name="Check Box 223">
              <controlPr defaultSize="0" autoFill="0" autoLine="0" autoPict="0">
                <anchor moveWithCells="1">
                  <from>
                    <xdr:col>2</xdr:col>
                    <xdr:colOff>66675</xdr:colOff>
                    <xdr:row>99</xdr:row>
                    <xdr:rowOff>0</xdr:rowOff>
                  </from>
                  <to>
                    <xdr:col>2</xdr:col>
                    <xdr:colOff>990600</xdr:colOff>
                    <xdr:row>100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8" r:id="rId218" name="Check Box 224">
              <controlPr defaultSize="0" autoFill="0" autoLine="0" autoPict="0">
                <anchor moveWithCells="1">
                  <from>
                    <xdr:col>2</xdr:col>
                    <xdr:colOff>1000125</xdr:colOff>
                    <xdr:row>99</xdr:row>
                    <xdr:rowOff>0</xdr:rowOff>
                  </from>
                  <to>
                    <xdr:col>3</xdr:col>
                    <xdr:colOff>847725</xdr:colOff>
                    <xdr:row>100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" r:id="rId219" name="Check Box 225">
              <controlPr defaultSize="0" autoFill="0" autoLine="0" autoPict="0">
                <anchor moveWithCells="1">
                  <from>
                    <xdr:col>3</xdr:col>
                    <xdr:colOff>657225</xdr:colOff>
                    <xdr:row>99</xdr:row>
                    <xdr:rowOff>0</xdr:rowOff>
                  </from>
                  <to>
                    <xdr:col>4</xdr:col>
                    <xdr:colOff>638175</xdr:colOff>
                    <xdr:row>100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0" r:id="rId220" name="Check Box 226">
              <controlPr defaultSize="0" autoFill="0" autoLine="0" autoPict="0">
                <anchor moveWithCells="1">
                  <from>
                    <xdr:col>2</xdr:col>
                    <xdr:colOff>1771650</xdr:colOff>
                    <xdr:row>17</xdr:row>
                    <xdr:rowOff>28575</xdr:rowOff>
                  </from>
                  <to>
                    <xdr:col>3</xdr:col>
                    <xdr:colOff>819150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1" r:id="rId221" name="Check Box 227">
              <controlPr defaultSize="0" autoFill="0" autoLine="0" autoPict="0">
                <anchor moveWithCells="1">
                  <from>
                    <xdr:col>3</xdr:col>
                    <xdr:colOff>828675</xdr:colOff>
                    <xdr:row>17</xdr:row>
                    <xdr:rowOff>28575</xdr:rowOff>
                  </from>
                  <to>
                    <xdr:col>4</xdr:col>
                    <xdr:colOff>638175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2" r:id="rId222" name="Check Box 228">
              <controlPr defaultSize="0" autoFill="0" autoLine="0" autoPict="0">
                <anchor moveWithCells="1">
                  <from>
                    <xdr:col>2</xdr:col>
                    <xdr:colOff>1200150</xdr:colOff>
                    <xdr:row>17</xdr:row>
                    <xdr:rowOff>38100</xdr:rowOff>
                  </from>
                  <to>
                    <xdr:col>3</xdr:col>
                    <xdr:colOff>114300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3" r:id="rId223" name="Check Box 229">
              <controlPr defaultSize="0" autoFill="0" autoLine="0" autoPict="0">
                <anchor moveWithCells="1">
                  <from>
                    <xdr:col>2</xdr:col>
                    <xdr:colOff>1190625</xdr:colOff>
                    <xdr:row>18</xdr:row>
                    <xdr:rowOff>9525</xdr:rowOff>
                  </from>
                  <to>
                    <xdr:col>3</xdr:col>
                    <xdr:colOff>104775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4" r:id="rId224" name="Check Box 230">
              <controlPr defaultSize="0" autoFill="0" autoLine="0" autoPict="0">
                <anchor moveWithCells="1">
                  <from>
                    <xdr:col>2</xdr:col>
                    <xdr:colOff>1771650</xdr:colOff>
                    <xdr:row>22</xdr:row>
                    <xdr:rowOff>28575</xdr:rowOff>
                  </from>
                  <to>
                    <xdr:col>3</xdr:col>
                    <xdr:colOff>819150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5" r:id="rId225" name="Check Box 231">
              <controlPr defaultSize="0" autoFill="0" autoLine="0" autoPict="0">
                <anchor moveWithCells="1">
                  <from>
                    <xdr:col>3</xdr:col>
                    <xdr:colOff>828675</xdr:colOff>
                    <xdr:row>22</xdr:row>
                    <xdr:rowOff>28575</xdr:rowOff>
                  </from>
                  <to>
                    <xdr:col>4</xdr:col>
                    <xdr:colOff>638175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6" r:id="rId226" name="Check Box 232">
              <controlPr defaultSize="0" autoFill="0" autoLine="0" autoPict="0">
                <anchor moveWithCells="1">
                  <from>
                    <xdr:col>2</xdr:col>
                    <xdr:colOff>1200150</xdr:colOff>
                    <xdr:row>22</xdr:row>
                    <xdr:rowOff>38100</xdr:rowOff>
                  </from>
                  <to>
                    <xdr:col>3</xdr:col>
                    <xdr:colOff>114300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7" r:id="rId227" name="Check Box 233">
              <controlPr defaultSize="0" autoFill="0" autoLine="0" autoPict="0">
                <anchor moveWithCells="1">
                  <from>
                    <xdr:col>2</xdr:col>
                    <xdr:colOff>1190625</xdr:colOff>
                    <xdr:row>23</xdr:row>
                    <xdr:rowOff>9525</xdr:rowOff>
                  </from>
                  <to>
                    <xdr:col>3</xdr:col>
                    <xdr:colOff>104775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8" r:id="rId228" name="Check Box 234">
              <controlPr defaultSize="0" autoFill="0" autoLine="0" autoPict="0">
                <anchor moveWithCells="1">
                  <from>
                    <xdr:col>2</xdr:col>
                    <xdr:colOff>1771650</xdr:colOff>
                    <xdr:row>22</xdr:row>
                    <xdr:rowOff>28575</xdr:rowOff>
                  </from>
                  <to>
                    <xdr:col>3</xdr:col>
                    <xdr:colOff>819150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" r:id="rId229" name="Check Box 235">
              <controlPr defaultSize="0" autoFill="0" autoLine="0" autoPict="0">
                <anchor moveWithCells="1">
                  <from>
                    <xdr:col>3</xdr:col>
                    <xdr:colOff>828675</xdr:colOff>
                    <xdr:row>22</xdr:row>
                    <xdr:rowOff>28575</xdr:rowOff>
                  </from>
                  <to>
                    <xdr:col>4</xdr:col>
                    <xdr:colOff>638175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0" r:id="rId230" name="Check Box 236">
              <controlPr defaultSize="0" autoFill="0" autoLine="0" autoPict="0">
                <anchor moveWithCells="1">
                  <from>
                    <xdr:col>2</xdr:col>
                    <xdr:colOff>1200150</xdr:colOff>
                    <xdr:row>22</xdr:row>
                    <xdr:rowOff>38100</xdr:rowOff>
                  </from>
                  <to>
                    <xdr:col>3</xdr:col>
                    <xdr:colOff>114300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1" r:id="rId231" name="Check Box 237">
              <controlPr defaultSize="0" autoFill="0" autoLine="0" autoPict="0">
                <anchor moveWithCells="1">
                  <from>
                    <xdr:col>2</xdr:col>
                    <xdr:colOff>1190625</xdr:colOff>
                    <xdr:row>23</xdr:row>
                    <xdr:rowOff>9525</xdr:rowOff>
                  </from>
                  <to>
                    <xdr:col>3</xdr:col>
                    <xdr:colOff>104775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2" r:id="rId232" name="Check Box 238">
              <controlPr defaultSize="0" autoFill="0" autoLine="0" autoPict="0">
                <anchor moveWithCells="1">
                  <from>
                    <xdr:col>2</xdr:col>
                    <xdr:colOff>1771650</xdr:colOff>
                    <xdr:row>27</xdr:row>
                    <xdr:rowOff>28575</xdr:rowOff>
                  </from>
                  <to>
                    <xdr:col>3</xdr:col>
                    <xdr:colOff>819150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3" r:id="rId233" name="Check Box 239">
              <controlPr defaultSize="0" autoFill="0" autoLine="0" autoPict="0">
                <anchor moveWithCells="1">
                  <from>
                    <xdr:col>3</xdr:col>
                    <xdr:colOff>828675</xdr:colOff>
                    <xdr:row>27</xdr:row>
                    <xdr:rowOff>28575</xdr:rowOff>
                  </from>
                  <to>
                    <xdr:col>4</xdr:col>
                    <xdr:colOff>638175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4" r:id="rId234" name="Check Box 240">
              <controlPr defaultSize="0" autoFill="0" autoLine="0" autoPict="0">
                <anchor moveWithCells="1">
                  <from>
                    <xdr:col>2</xdr:col>
                    <xdr:colOff>1200150</xdr:colOff>
                    <xdr:row>27</xdr:row>
                    <xdr:rowOff>38100</xdr:rowOff>
                  </from>
                  <to>
                    <xdr:col>3</xdr:col>
                    <xdr:colOff>114300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5" r:id="rId235" name="Check Box 241">
              <controlPr defaultSize="0" autoFill="0" autoLine="0" autoPict="0">
                <anchor moveWithCells="1">
                  <from>
                    <xdr:col>2</xdr:col>
                    <xdr:colOff>1190625</xdr:colOff>
                    <xdr:row>28</xdr:row>
                    <xdr:rowOff>9525</xdr:rowOff>
                  </from>
                  <to>
                    <xdr:col>3</xdr:col>
                    <xdr:colOff>104775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6" r:id="rId236" name="Check Box 242">
              <controlPr defaultSize="0" autoFill="0" autoLine="0" autoPict="0">
                <anchor moveWithCells="1">
                  <from>
                    <xdr:col>2</xdr:col>
                    <xdr:colOff>1771650</xdr:colOff>
                    <xdr:row>27</xdr:row>
                    <xdr:rowOff>28575</xdr:rowOff>
                  </from>
                  <to>
                    <xdr:col>3</xdr:col>
                    <xdr:colOff>819150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7" r:id="rId237" name="Check Box 243">
              <controlPr defaultSize="0" autoFill="0" autoLine="0" autoPict="0">
                <anchor moveWithCells="1">
                  <from>
                    <xdr:col>3</xdr:col>
                    <xdr:colOff>828675</xdr:colOff>
                    <xdr:row>27</xdr:row>
                    <xdr:rowOff>28575</xdr:rowOff>
                  </from>
                  <to>
                    <xdr:col>4</xdr:col>
                    <xdr:colOff>638175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8" r:id="rId238" name="Check Box 244">
              <controlPr defaultSize="0" autoFill="0" autoLine="0" autoPict="0">
                <anchor moveWithCells="1">
                  <from>
                    <xdr:col>2</xdr:col>
                    <xdr:colOff>1200150</xdr:colOff>
                    <xdr:row>27</xdr:row>
                    <xdr:rowOff>38100</xdr:rowOff>
                  </from>
                  <to>
                    <xdr:col>3</xdr:col>
                    <xdr:colOff>114300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" r:id="rId239" name="Check Box 245">
              <controlPr defaultSize="0" autoFill="0" autoLine="0" autoPict="0">
                <anchor moveWithCells="1">
                  <from>
                    <xdr:col>2</xdr:col>
                    <xdr:colOff>1190625</xdr:colOff>
                    <xdr:row>28</xdr:row>
                    <xdr:rowOff>9525</xdr:rowOff>
                  </from>
                  <to>
                    <xdr:col>3</xdr:col>
                    <xdr:colOff>104775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0" r:id="rId240" name="Check Box 246">
              <controlPr defaultSize="0" autoFill="0" autoLine="0" autoPict="0">
                <anchor moveWithCells="1">
                  <from>
                    <xdr:col>2</xdr:col>
                    <xdr:colOff>1771650</xdr:colOff>
                    <xdr:row>27</xdr:row>
                    <xdr:rowOff>28575</xdr:rowOff>
                  </from>
                  <to>
                    <xdr:col>3</xdr:col>
                    <xdr:colOff>819150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1" r:id="rId241" name="Check Box 247">
              <controlPr defaultSize="0" autoFill="0" autoLine="0" autoPict="0">
                <anchor moveWithCells="1">
                  <from>
                    <xdr:col>3</xdr:col>
                    <xdr:colOff>828675</xdr:colOff>
                    <xdr:row>27</xdr:row>
                    <xdr:rowOff>28575</xdr:rowOff>
                  </from>
                  <to>
                    <xdr:col>4</xdr:col>
                    <xdr:colOff>638175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2" r:id="rId242" name="Check Box 248">
              <controlPr defaultSize="0" autoFill="0" autoLine="0" autoPict="0">
                <anchor moveWithCells="1">
                  <from>
                    <xdr:col>2</xdr:col>
                    <xdr:colOff>1200150</xdr:colOff>
                    <xdr:row>27</xdr:row>
                    <xdr:rowOff>38100</xdr:rowOff>
                  </from>
                  <to>
                    <xdr:col>3</xdr:col>
                    <xdr:colOff>114300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3" r:id="rId243" name="Check Box 249">
              <controlPr defaultSize="0" autoFill="0" autoLine="0" autoPict="0">
                <anchor moveWithCells="1">
                  <from>
                    <xdr:col>2</xdr:col>
                    <xdr:colOff>1190625</xdr:colOff>
                    <xdr:row>28</xdr:row>
                    <xdr:rowOff>9525</xdr:rowOff>
                  </from>
                  <to>
                    <xdr:col>3</xdr:col>
                    <xdr:colOff>104775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4" r:id="rId244" name="Check Box 250">
              <controlPr defaultSize="0" autoFill="0" autoLine="0" autoPict="0">
                <anchor moveWithCells="1">
                  <from>
                    <xdr:col>2</xdr:col>
                    <xdr:colOff>1771650</xdr:colOff>
                    <xdr:row>32</xdr:row>
                    <xdr:rowOff>28575</xdr:rowOff>
                  </from>
                  <to>
                    <xdr:col>3</xdr:col>
                    <xdr:colOff>819150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5" r:id="rId245" name="Check Box 251">
              <controlPr defaultSize="0" autoFill="0" autoLine="0" autoPict="0">
                <anchor moveWithCells="1">
                  <from>
                    <xdr:col>3</xdr:col>
                    <xdr:colOff>828675</xdr:colOff>
                    <xdr:row>32</xdr:row>
                    <xdr:rowOff>28575</xdr:rowOff>
                  </from>
                  <to>
                    <xdr:col>4</xdr:col>
                    <xdr:colOff>638175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6" r:id="rId246" name="Check Box 252">
              <controlPr defaultSize="0" autoFill="0" autoLine="0" autoPict="0">
                <anchor moveWithCells="1">
                  <from>
                    <xdr:col>2</xdr:col>
                    <xdr:colOff>1200150</xdr:colOff>
                    <xdr:row>32</xdr:row>
                    <xdr:rowOff>38100</xdr:rowOff>
                  </from>
                  <to>
                    <xdr:col>3</xdr:col>
                    <xdr:colOff>114300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7" r:id="rId247" name="Check Box 253">
              <controlPr defaultSize="0" autoFill="0" autoLine="0" autoPict="0">
                <anchor moveWithCells="1">
                  <from>
                    <xdr:col>2</xdr:col>
                    <xdr:colOff>1190625</xdr:colOff>
                    <xdr:row>33</xdr:row>
                    <xdr:rowOff>9525</xdr:rowOff>
                  </from>
                  <to>
                    <xdr:col>3</xdr:col>
                    <xdr:colOff>104775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8" r:id="rId248" name="Check Box 254">
              <controlPr defaultSize="0" autoFill="0" autoLine="0" autoPict="0">
                <anchor moveWithCells="1">
                  <from>
                    <xdr:col>2</xdr:col>
                    <xdr:colOff>1771650</xdr:colOff>
                    <xdr:row>32</xdr:row>
                    <xdr:rowOff>28575</xdr:rowOff>
                  </from>
                  <to>
                    <xdr:col>3</xdr:col>
                    <xdr:colOff>819150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9" r:id="rId249" name="Check Box 255">
              <controlPr defaultSize="0" autoFill="0" autoLine="0" autoPict="0">
                <anchor moveWithCells="1">
                  <from>
                    <xdr:col>3</xdr:col>
                    <xdr:colOff>828675</xdr:colOff>
                    <xdr:row>32</xdr:row>
                    <xdr:rowOff>28575</xdr:rowOff>
                  </from>
                  <to>
                    <xdr:col>4</xdr:col>
                    <xdr:colOff>638175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0" r:id="rId250" name="Check Box 256">
              <controlPr defaultSize="0" autoFill="0" autoLine="0" autoPict="0">
                <anchor moveWithCells="1">
                  <from>
                    <xdr:col>2</xdr:col>
                    <xdr:colOff>1200150</xdr:colOff>
                    <xdr:row>32</xdr:row>
                    <xdr:rowOff>38100</xdr:rowOff>
                  </from>
                  <to>
                    <xdr:col>3</xdr:col>
                    <xdr:colOff>114300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1" r:id="rId251" name="Check Box 257">
              <controlPr defaultSize="0" autoFill="0" autoLine="0" autoPict="0">
                <anchor moveWithCells="1">
                  <from>
                    <xdr:col>2</xdr:col>
                    <xdr:colOff>1190625</xdr:colOff>
                    <xdr:row>33</xdr:row>
                    <xdr:rowOff>9525</xdr:rowOff>
                  </from>
                  <to>
                    <xdr:col>3</xdr:col>
                    <xdr:colOff>104775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2" r:id="rId252" name="Check Box 258">
              <controlPr defaultSize="0" autoFill="0" autoLine="0" autoPict="0">
                <anchor moveWithCells="1">
                  <from>
                    <xdr:col>2</xdr:col>
                    <xdr:colOff>1771650</xdr:colOff>
                    <xdr:row>32</xdr:row>
                    <xdr:rowOff>28575</xdr:rowOff>
                  </from>
                  <to>
                    <xdr:col>3</xdr:col>
                    <xdr:colOff>819150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3" r:id="rId253" name="Check Box 259">
              <controlPr defaultSize="0" autoFill="0" autoLine="0" autoPict="0">
                <anchor moveWithCells="1">
                  <from>
                    <xdr:col>3</xdr:col>
                    <xdr:colOff>828675</xdr:colOff>
                    <xdr:row>32</xdr:row>
                    <xdr:rowOff>28575</xdr:rowOff>
                  </from>
                  <to>
                    <xdr:col>4</xdr:col>
                    <xdr:colOff>638175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4" r:id="rId254" name="Check Box 260">
              <controlPr defaultSize="0" autoFill="0" autoLine="0" autoPict="0">
                <anchor moveWithCells="1">
                  <from>
                    <xdr:col>2</xdr:col>
                    <xdr:colOff>1200150</xdr:colOff>
                    <xdr:row>32</xdr:row>
                    <xdr:rowOff>38100</xdr:rowOff>
                  </from>
                  <to>
                    <xdr:col>3</xdr:col>
                    <xdr:colOff>114300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5" r:id="rId255" name="Check Box 261">
              <controlPr defaultSize="0" autoFill="0" autoLine="0" autoPict="0">
                <anchor moveWithCells="1">
                  <from>
                    <xdr:col>2</xdr:col>
                    <xdr:colOff>1190625</xdr:colOff>
                    <xdr:row>33</xdr:row>
                    <xdr:rowOff>9525</xdr:rowOff>
                  </from>
                  <to>
                    <xdr:col>3</xdr:col>
                    <xdr:colOff>104775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6" r:id="rId256" name="Check Box 262">
              <controlPr defaultSize="0" autoFill="0" autoLine="0" autoPict="0">
                <anchor moveWithCells="1">
                  <from>
                    <xdr:col>2</xdr:col>
                    <xdr:colOff>1771650</xdr:colOff>
                    <xdr:row>32</xdr:row>
                    <xdr:rowOff>28575</xdr:rowOff>
                  </from>
                  <to>
                    <xdr:col>3</xdr:col>
                    <xdr:colOff>819150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7" r:id="rId257" name="Check Box 263">
              <controlPr defaultSize="0" autoFill="0" autoLine="0" autoPict="0">
                <anchor moveWithCells="1">
                  <from>
                    <xdr:col>3</xdr:col>
                    <xdr:colOff>828675</xdr:colOff>
                    <xdr:row>32</xdr:row>
                    <xdr:rowOff>28575</xdr:rowOff>
                  </from>
                  <to>
                    <xdr:col>4</xdr:col>
                    <xdr:colOff>638175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8" r:id="rId258" name="Check Box 264">
              <controlPr defaultSize="0" autoFill="0" autoLine="0" autoPict="0">
                <anchor moveWithCells="1">
                  <from>
                    <xdr:col>2</xdr:col>
                    <xdr:colOff>1200150</xdr:colOff>
                    <xdr:row>32</xdr:row>
                    <xdr:rowOff>38100</xdr:rowOff>
                  </from>
                  <to>
                    <xdr:col>3</xdr:col>
                    <xdr:colOff>114300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9" r:id="rId259" name="Check Box 265">
              <controlPr defaultSize="0" autoFill="0" autoLine="0" autoPict="0">
                <anchor moveWithCells="1">
                  <from>
                    <xdr:col>2</xdr:col>
                    <xdr:colOff>1190625</xdr:colOff>
                    <xdr:row>33</xdr:row>
                    <xdr:rowOff>9525</xdr:rowOff>
                  </from>
                  <to>
                    <xdr:col>3</xdr:col>
                    <xdr:colOff>104775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" r:id="rId260" name="Check Box 266">
              <controlPr defaultSize="0" autoFill="0" autoLine="0" autoPict="0">
                <anchor moveWithCells="1">
                  <from>
                    <xdr:col>2</xdr:col>
                    <xdr:colOff>1771650</xdr:colOff>
                    <xdr:row>37</xdr:row>
                    <xdr:rowOff>28575</xdr:rowOff>
                  </from>
                  <to>
                    <xdr:col>3</xdr:col>
                    <xdr:colOff>819150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1" r:id="rId261" name="Check Box 267">
              <controlPr defaultSize="0" autoFill="0" autoLine="0" autoPict="0">
                <anchor moveWithCells="1">
                  <from>
                    <xdr:col>3</xdr:col>
                    <xdr:colOff>828675</xdr:colOff>
                    <xdr:row>37</xdr:row>
                    <xdr:rowOff>28575</xdr:rowOff>
                  </from>
                  <to>
                    <xdr:col>4</xdr:col>
                    <xdr:colOff>638175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2" r:id="rId262" name="Check Box 268">
              <controlPr defaultSize="0" autoFill="0" autoLine="0" autoPict="0">
                <anchor moveWithCells="1">
                  <from>
                    <xdr:col>2</xdr:col>
                    <xdr:colOff>1200150</xdr:colOff>
                    <xdr:row>37</xdr:row>
                    <xdr:rowOff>38100</xdr:rowOff>
                  </from>
                  <to>
                    <xdr:col>3</xdr:col>
                    <xdr:colOff>114300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3" r:id="rId263" name="Check Box 269">
              <controlPr defaultSize="0" autoFill="0" autoLine="0" autoPict="0">
                <anchor moveWithCells="1">
                  <from>
                    <xdr:col>2</xdr:col>
                    <xdr:colOff>1190625</xdr:colOff>
                    <xdr:row>38</xdr:row>
                    <xdr:rowOff>9525</xdr:rowOff>
                  </from>
                  <to>
                    <xdr:col>3</xdr:col>
                    <xdr:colOff>104775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4" r:id="rId264" name="Check Box 270">
              <controlPr defaultSize="0" autoFill="0" autoLine="0" autoPict="0">
                <anchor moveWithCells="1">
                  <from>
                    <xdr:col>2</xdr:col>
                    <xdr:colOff>1771650</xdr:colOff>
                    <xdr:row>37</xdr:row>
                    <xdr:rowOff>28575</xdr:rowOff>
                  </from>
                  <to>
                    <xdr:col>3</xdr:col>
                    <xdr:colOff>819150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5" r:id="rId265" name="Check Box 271">
              <controlPr defaultSize="0" autoFill="0" autoLine="0" autoPict="0">
                <anchor moveWithCells="1">
                  <from>
                    <xdr:col>3</xdr:col>
                    <xdr:colOff>828675</xdr:colOff>
                    <xdr:row>37</xdr:row>
                    <xdr:rowOff>28575</xdr:rowOff>
                  </from>
                  <to>
                    <xdr:col>4</xdr:col>
                    <xdr:colOff>638175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6" r:id="rId266" name="Check Box 272">
              <controlPr defaultSize="0" autoFill="0" autoLine="0" autoPict="0">
                <anchor moveWithCells="1">
                  <from>
                    <xdr:col>2</xdr:col>
                    <xdr:colOff>1200150</xdr:colOff>
                    <xdr:row>37</xdr:row>
                    <xdr:rowOff>38100</xdr:rowOff>
                  </from>
                  <to>
                    <xdr:col>3</xdr:col>
                    <xdr:colOff>114300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7" r:id="rId267" name="Check Box 273">
              <controlPr defaultSize="0" autoFill="0" autoLine="0" autoPict="0">
                <anchor moveWithCells="1">
                  <from>
                    <xdr:col>2</xdr:col>
                    <xdr:colOff>1190625</xdr:colOff>
                    <xdr:row>38</xdr:row>
                    <xdr:rowOff>9525</xdr:rowOff>
                  </from>
                  <to>
                    <xdr:col>3</xdr:col>
                    <xdr:colOff>104775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8" r:id="rId268" name="Check Box 274">
              <controlPr defaultSize="0" autoFill="0" autoLine="0" autoPict="0">
                <anchor moveWithCells="1">
                  <from>
                    <xdr:col>2</xdr:col>
                    <xdr:colOff>1771650</xdr:colOff>
                    <xdr:row>37</xdr:row>
                    <xdr:rowOff>28575</xdr:rowOff>
                  </from>
                  <to>
                    <xdr:col>3</xdr:col>
                    <xdr:colOff>819150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9" r:id="rId269" name="Check Box 275">
              <controlPr defaultSize="0" autoFill="0" autoLine="0" autoPict="0">
                <anchor moveWithCells="1">
                  <from>
                    <xdr:col>3</xdr:col>
                    <xdr:colOff>828675</xdr:colOff>
                    <xdr:row>37</xdr:row>
                    <xdr:rowOff>28575</xdr:rowOff>
                  </from>
                  <to>
                    <xdr:col>4</xdr:col>
                    <xdr:colOff>638175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" r:id="rId270" name="Check Box 276">
              <controlPr defaultSize="0" autoFill="0" autoLine="0" autoPict="0">
                <anchor moveWithCells="1">
                  <from>
                    <xdr:col>2</xdr:col>
                    <xdr:colOff>1200150</xdr:colOff>
                    <xdr:row>37</xdr:row>
                    <xdr:rowOff>38100</xdr:rowOff>
                  </from>
                  <to>
                    <xdr:col>3</xdr:col>
                    <xdr:colOff>114300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1" r:id="rId271" name="Check Box 277">
              <controlPr defaultSize="0" autoFill="0" autoLine="0" autoPict="0">
                <anchor moveWithCells="1">
                  <from>
                    <xdr:col>2</xdr:col>
                    <xdr:colOff>1190625</xdr:colOff>
                    <xdr:row>38</xdr:row>
                    <xdr:rowOff>9525</xdr:rowOff>
                  </from>
                  <to>
                    <xdr:col>3</xdr:col>
                    <xdr:colOff>104775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2" r:id="rId272" name="Check Box 278">
              <controlPr defaultSize="0" autoFill="0" autoLine="0" autoPict="0">
                <anchor moveWithCells="1">
                  <from>
                    <xdr:col>2</xdr:col>
                    <xdr:colOff>1771650</xdr:colOff>
                    <xdr:row>37</xdr:row>
                    <xdr:rowOff>28575</xdr:rowOff>
                  </from>
                  <to>
                    <xdr:col>3</xdr:col>
                    <xdr:colOff>819150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3" r:id="rId273" name="Check Box 279">
              <controlPr defaultSize="0" autoFill="0" autoLine="0" autoPict="0">
                <anchor moveWithCells="1">
                  <from>
                    <xdr:col>3</xdr:col>
                    <xdr:colOff>828675</xdr:colOff>
                    <xdr:row>37</xdr:row>
                    <xdr:rowOff>28575</xdr:rowOff>
                  </from>
                  <to>
                    <xdr:col>4</xdr:col>
                    <xdr:colOff>638175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4" r:id="rId274" name="Check Box 280">
              <controlPr defaultSize="0" autoFill="0" autoLine="0" autoPict="0">
                <anchor moveWithCells="1">
                  <from>
                    <xdr:col>2</xdr:col>
                    <xdr:colOff>1200150</xdr:colOff>
                    <xdr:row>37</xdr:row>
                    <xdr:rowOff>38100</xdr:rowOff>
                  </from>
                  <to>
                    <xdr:col>3</xdr:col>
                    <xdr:colOff>114300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5" r:id="rId275" name="Check Box 281">
              <controlPr defaultSize="0" autoFill="0" autoLine="0" autoPict="0">
                <anchor moveWithCells="1">
                  <from>
                    <xdr:col>2</xdr:col>
                    <xdr:colOff>1190625</xdr:colOff>
                    <xdr:row>38</xdr:row>
                    <xdr:rowOff>9525</xdr:rowOff>
                  </from>
                  <to>
                    <xdr:col>3</xdr:col>
                    <xdr:colOff>104775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6" r:id="rId276" name="Check Box 282">
              <controlPr defaultSize="0" autoFill="0" autoLine="0" autoPict="0">
                <anchor moveWithCells="1">
                  <from>
                    <xdr:col>2</xdr:col>
                    <xdr:colOff>1771650</xdr:colOff>
                    <xdr:row>37</xdr:row>
                    <xdr:rowOff>28575</xdr:rowOff>
                  </from>
                  <to>
                    <xdr:col>3</xdr:col>
                    <xdr:colOff>819150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7" r:id="rId277" name="Check Box 283">
              <controlPr defaultSize="0" autoFill="0" autoLine="0" autoPict="0">
                <anchor moveWithCells="1">
                  <from>
                    <xdr:col>3</xdr:col>
                    <xdr:colOff>828675</xdr:colOff>
                    <xdr:row>37</xdr:row>
                    <xdr:rowOff>28575</xdr:rowOff>
                  </from>
                  <to>
                    <xdr:col>4</xdr:col>
                    <xdr:colOff>638175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8" r:id="rId278" name="Check Box 284">
              <controlPr defaultSize="0" autoFill="0" autoLine="0" autoPict="0">
                <anchor moveWithCells="1">
                  <from>
                    <xdr:col>2</xdr:col>
                    <xdr:colOff>1200150</xdr:colOff>
                    <xdr:row>37</xdr:row>
                    <xdr:rowOff>38100</xdr:rowOff>
                  </from>
                  <to>
                    <xdr:col>3</xdr:col>
                    <xdr:colOff>114300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9" r:id="rId279" name="Check Box 285">
              <controlPr defaultSize="0" autoFill="0" autoLine="0" autoPict="0">
                <anchor moveWithCells="1">
                  <from>
                    <xdr:col>2</xdr:col>
                    <xdr:colOff>1190625</xdr:colOff>
                    <xdr:row>38</xdr:row>
                    <xdr:rowOff>9525</xdr:rowOff>
                  </from>
                  <to>
                    <xdr:col>3</xdr:col>
                    <xdr:colOff>104775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" r:id="rId280" name="Check Box 286">
              <controlPr defaultSize="0" autoFill="0" autoLine="0" autoPict="0">
                <anchor moveWithCells="1">
                  <from>
                    <xdr:col>2</xdr:col>
                    <xdr:colOff>1771650</xdr:colOff>
                    <xdr:row>42</xdr:row>
                    <xdr:rowOff>28575</xdr:rowOff>
                  </from>
                  <to>
                    <xdr:col>3</xdr:col>
                    <xdr:colOff>819150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1" r:id="rId281" name="Check Box 287">
              <controlPr defaultSize="0" autoFill="0" autoLine="0" autoPict="0">
                <anchor moveWithCells="1">
                  <from>
                    <xdr:col>3</xdr:col>
                    <xdr:colOff>828675</xdr:colOff>
                    <xdr:row>42</xdr:row>
                    <xdr:rowOff>28575</xdr:rowOff>
                  </from>
                  <to>
                    <xdr:col>4</xdr:col>
                    <xdr:colOff>638175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2" r:id="rId282" name="Check Box 288">
              <controlPr defaultSize="0" autoFill="0" autoLine="0" autoPict="0">
                <anchor moveWithCells="1">
                  <from>
                    <xdr:col>2</xdr:col>
                    <xdr:colOff>1200150</xdr:colOff>
                    <xdr:row>42</xdr:row>
                    <xdr:rowOff>38100</xdr:rowOff>
                  </from>
                  <to>
                    <xdr:col>3</xdr:col>
                    <xdr:colOff>114300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3" r:id="rId283" name="Check Box 289">
              <controlPr defaultSize="0" autoFill="0" autoLine="0" autoPict="0">
                <anchor moveWithCells="1">
                  <from>
                    <xdr:col>2</xdr:col>
                    <xdr:colOff>1190625</xdr:colOff>
                    <xdr:row>43</xdr:row>
                    <xdr:rowOff>9525</xdr:rowOff>
                  </from>
                  <to>
                    <xdr:col>3</xdr:col>
                    <xdr:colOff>104775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4" r:id="rId284" name="Check Box 290">
              <controlPr defaultSize="0" autoFill="0" autoLine="0" autoPict="0">
                <anchor moveWithCells="1">
                  <from>
                    <xdr:col>2</xdr:col>
                    <xdr:colOff>1771650</xdr:colOff>
                    <xdr:row>42</xdr:row>
                    <xdr:rowOff>28575</xdr:rowOff>
                  </from>
                  <to>
                    <xdr:col>3</xdr:col>
                    <xdr:colOff>819150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5" r:id="rId285" name="Check Box 291">
              <controlPr defaultSize="0" autoFill="0" autoLine="0" autoPict="0">
                <anchor moveWithCells="1">
                  <from>
                    <xdr:col>3</xdr:col>
                    <xdr:colOff>828675</xdr:colOff>
                    <xdr:row>42</xdr:row>
                    <xdr:rowOff>28575</xdr:rowOff>
                  </from>
                  <to>
                    <xdr:col>4</xdr:col>
                    <xdr:colOff>638175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6" r:id="rId286" name="Check Box 292">
              <controlPr defaultSize="0" autoFill="0" autoLine="0" autoPict="0">
                <anchor moveWithCells="1">
                  <from>
                    <xdr:col>2</xdr:col>
                    <xdr:colOff>1200150</xdr:colOff>
                    <xdr:row>42</xdr:row>
                    <xdr:rowOff>38100</xdr:rowOff>
                  </from>
                  <to>
                    <xdr:col>3</xdr:col>
                    <xdr:colOff>114300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7" r:id="rId287" name="Check Box 293">
              <controlPr defaultSize="0" autoFill="0" autoLine="0" autoPict="0">
                <anchor moveWithCells="1">
                  <from>
                    <xdr:col>2</xdr:col>
                    <xdr:colOff>1190625</xdr:colOff>
                    <xdr:row>43</xdr:row>
                    <xdr:rowOff>9525</xdr:rowOff>
                  </from>
                  <to>
                    <xdr:col>3</xdr:col>
                    <xdr:colOff>104775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8" r:id="rId288" name="Check Box 294">
              <controlPr defaultSize="0" autoFill="0" autoLine="0" autoPict="0">
                <anchor moveWithCells="1">
                  <from>
                    <xdr:col>2</xdr:col>
                    <xdr:colOff>1771650</xdr:colOff>
                    <xdr:row>42</xdr:row>
                    <xdr:rowOff>28575</xdr:rowOff>
                  </from>
                  <to>
                    <xdr:col>3</xdr:col>
                    <xdr:colOff>819150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9" r:id="rId289" name="Check Box 295">
              <controlPr defaultSize="0" autoFill="0" autoLine="0" autoPict="0">
                <anchor moveWithCells="1">
                  <from>
                    <xdr:col>3</xdr:col>
                    <xdr:colOff>828675</xdr:colOff>
                    <xdr:row>42</xdr:row>
                    <xdr:rowOff>28575</xdr:rowOff>
                  </from>
                  <to>
                    <xdr:col>4</xdr:col>
                    <xdr:colOff>638175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0" r:id="rId290" name="Check Box 296">
              <controlPr defaultSize="0" autoFill="0" autoLine="0" autoPict="0">
                <anchor moveWithCells="1">
                  <from>
                    <xdr:col>2</xdr:col>
                    <xdr:colOff>1200150</xdr:colOff>
                    <xdr:row>42</xdr:row>
                    <xdr:rowOff>38100</xdr:rowOff>
                  </from>
                  <to>
                    <xdr:col>3</xdr:col>
                    <xdr:colOff>114300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" r:id="rId291" name="Check Box 297">
              <controlPr defaultSize="0" autoFill="0" autoLine="0" autoPict="0">
                <anchor moveWithCells="1">
                  <from>
                    <xdr:col>2</xdr:col>
                    <xdr:colOff>1190625</xdr:colOff>
                    <xdr:row>43</xdr:row>
                    <xdr:rowOff>9525</xdr:rowOff>
                  </from>
                  <to>
                    <xdr:col>3</xdr:col>
                    <xdr:colOff>104775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2" r:id="rId292" name="Check Box 298">
              <controlPr defaultSize="0" autoFill="0" autoLine="0" autoPict="0">
                <anchor moveWithCells="1">
                  <from>
                    <xdr:col>2</xdr:col>
                    <xdr:colOff>1771650</xdr:colOff>
                    <xdr:row>42</xdr:row>
                    <xdr:rowOff>28575</xdr:rowOff>
                  </from>
                  <to>
                    <xdr:col>3</xdr:col>
                    <xdr:colOff>819150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3" r:id="rId293" name="Check Box 299">
              <controlPr defaultSize="0" autoFill="0" autoLine="0" autoPict="0">
                <anchor moveWithCells="1">
                  <from>
                    <xdr:col>3</xdr:col>
                    <xdr:colOff>828675</xdr:colOff>
                    <xdr:row>42</xdr:row>
                    <xdr:rowOff>28575</xdr:rowOff>
                  </from>
                  <to>
                    <xdr:col>4</xdr:col>
                    <xdr:colOff>638175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4" r:id="rId294" name="Check Box 300">
              <controlPr defaultSize="0" autoFill="0" autoLine="0" autoPict="0">
                <anchor moveWithCells="1">
                  <from>
                    <xdr:col>2</xdr:col>
                    <xdr:colOff>1200150</xdr:colOff>
                    <xdr:row>42</xdr:row>
                    <xdr:rowOff>38100</xdr:rowOff>
                  </from>
                  <to>
                    <xdr:col>3</xdr:col>
                    <xdr:colOff>114300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5" r:id="rId295" name="Check Box 301">
              <controlPr defaultSize="0" autoFill="0" autoLine="0" autoPict="0">
                <anchor moveWithCells="1">
                  <from>
                    <xdr:col>2</xdr:col>
                    <xdr:colOff>1190625</xdr:colOff>
                    <xdr:row>43</xdr:row>
                    <xdr:rowOff>9525</xdr:rowOff>
                  </from>
                  <to>
                    <xdr:col>3</xdr:col>
                    <xdr:colOff>104775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6" r:id="rId296" name="Check Box 302">
              <controlPr defaultSize="0" autoFill="0" autoLine="0" autoPict="0">
                <anchor moveWithCells="1">
                  <from>
                    <xdr:col>2</xdr:col>
                    <xdr:colOff>1771650</xdr:colOff>
                    <xdr:row>42</xdr:row>
                    <xdr:rowOff>28575</xdr:rowOff>
                  </from>
                  <to>
                    <xdr:col>3</xdr:col>
                    <xdr:colOff>819150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7" r:id="rId297" name="Check Box 303">
              <controlPr defaultSize="0" autoFill="0" autoLine="0" autoPict="0">
                <anchor moveWithCells="1">
                  <from>
                    <xdr:col>3</xdr:col>
                    <xdr:colOff>828675</xdr:colOff>
                    <xdr:row>42</xdr:row>
                    <xdr:rowOff>28575</xdr:rowOff>
                  </from>
                  <to>
                    <xdr:col>4</xdr:col>
                    <xdr:colOff>638175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8" r:id="rId298" name="Check Box 304">
              <controlPr defaultSize="0" autoFill="0" autoLine="0" autoPict="0">
                <anchor moveWithCells="1">
                  <from>
                    <xdr:col>2</xdr:col>
                    <xdr:colOff>1200150</xdr:colOff>
                    <xdr:row>42</xdr:row>
                    <xdr:rowOff>38100</xdr:rowOff>
                  </from>
                  <to>
                    <xdr:col>3</xdr:col>
                    <xdr:colOff>114300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9" r:id="rId299" name="Check Box 305">
              <controlPr defaultSize="0" autoFill="0" autoLine="0" autoPict="0">
                <anchor moveWithCells="1">
                  <from>
                    <xdr:col>2</xdr:col>
                    <xdr:colOff>1190625</xdr:colOff>
                    <xdr:row>43</xdr:row>
                    <xdr:rowOff>9525</xdr:rowOff>
                  </from>
                  <to>
                    <xdr:col>3</xdr:col>
                    <xdr:colOff>104775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0" r:id="rId300" name="Check Box 306">
              <controlPr defaultSize="0" autoFill="0" autoLine="0" autoPict="0">
                <anchor moveWithCells="1">
                  <from>
                    <xdr:col>2</xdr:col>
                    <xdr:colOff>1771650</xdr:colOff>
                    <xdr:row>42</xdr:row>
                    <xdr:rowOff>28575</xdr:rowOff>
                  </from>
                  <to>
                    <xdr:col>3</xdr:col>
                    <xdr:colOff>819150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" r:id="rId301" name="Check Box 307">
              <controlPr defaultSize="0" autoFill="0" autoLine="0" autoPict="0">
                <anchor moveWithCells="1">
                  <from>
                    <xdr:col>3</xdr:col>
                    <xdr:colOff>828675</xdr:colOff>
                    <xdr:row>42</xdr:row>
                    <xdr:rowOff>28575</xdr:rowOff>
                  </from>
                  <to>
                    <xdr:col>4</xdr:col>
                    <xdr:colOff>638175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" r:id="rId302" name="Check Box 308">
              <controlPr defaultSize="0" autoFill="0" autoLine="0" autoPict="0">
                <anchor moveWithCells="1">
                  <from>
                    <xdr:col>2</xdr:col>
                    <xdr:colOff>1200150</xdr:colOff>
                    <xdr:row>42</xdr:row>
                    <xdr:rowOff>38100</xdr:rowOff>
                  </from>
                  <to>
                    <xdr:col>3</xdr:col>
                    <xdr:colOff>114300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" r:id="rId303" name="Check Box 309">
              <controlPr defaultSize="0" autoFill="0" autoLine="0" autoPict="0">
                <anchor moveWithCells="1">
                  <from>
                    <xdr:col>2</xdr:col>
                    <xdr:colOff>1190625</xdr:colOff>
                    <xdr:row>43</xdr:row>
                    <xdr:rowOff>9525</xdr:rowOff>
                  </from>
                  <to>
                    <xdr:col>3</xdr:col>
                    <xdr:colOff>104775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" r:id="rId304" name="Check Box 310">
              <controlPr defaultSize="0" autoFill="0" autoLine="0" autoPict="0">
                <anchor moveWithCells="1">
                  <from>
                    <xdr:col>2</xdr:col>
                    <xdr:colOff>1771650</xdr:colOff>
                    <xdr:row>47</xdr:row>
                    <xdr:rowOff>28575</xdr:rowOff>
                  </from>
                  <to>
                    <xdr:col>3</xdr:col>
                    <xdr:colOff>819150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" r:id="rId305" name="Check Box 311">
              <controlPr defaultSize="0" autoFill="0" autoLine="0" autoPict="0">
                <anchor moveWithCells="1">
                  <from>
                    <xdr:col>3</xdr:col>
                    <xdr:colOff>828675</xdr:colOff>
                    <xdr:row>47</xdr:row>
                    <xdr:rowOff>28575</xdr:rowOff>
                  </from>
                  <to>
                    <xdr:col>4</xdr:col>
                    <xdr:colOff>638175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" r:id="rId306" name="Check Box 312">
              <controlPr defaultSize="0" autoFill="0" autoLine="0" autoPict="0">
                <anchor moveWithCells="1">
                  <from>
                    <xdr:col>2</xdr:col>
                    <xdr:colOff>1200150</xdr:colOff>
                    <xdr:row>47</xdr:row>
                    <xdr:rowOff>38100</xdr:rowOff>
                  </from>
                  <to>
                    <xdr:col>3</xdr:col>
                    <xdr:colOff>114300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" r:id="rId307" name="Check Box 313">
              <controlPr defaultSize="0" autoFill="0" autoLine="0" autoPict="0">
                <anchor moveWithCells="1">
                  <from>
                    <xdr:col>2</xdr:col>
                    <xdr:colOff>1190625</xdr:colOff>
                    <xdr:row>48</xdr:row>
                    <xdr:rowOff>9525</xdr:rowOff>
                  </from>
                  <to>
                    <xdr:col>3</xdr:col>
                    <xdr:colOff>104775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8" r:id="rId308" name="Check Box 314">
              <controlPr defaultSize="0" autoFill="0" autoLine="0" autoPict="0">
                <anchor moveWithCells="1">
                  <from>
                    <xdr:col>2</xdr:col>
                    <xdr:colOff>1771650</xdr:colOff>
                    <xdr:row>47</xdr:row>
                    <xdr:rowOff>28575</xdr:rowOff>
                  </from>
                  <to>
                    <xdr:col>3</xdr:col>
                    <xdr:colOff>819150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9" r:id="rId309" name="Check Box 315">
              <controlPr defaultSize="0" autoFill="0" autoLine="0" autoPict="0">
                <anchor moveWithCells="1">
                  <from>
                    <xdr:col>3</xdr:col>
                    <xdr:colOff>828675</xdr:colOff>
                    <xdr:row>47</xdr:row>
                    <xdr:rowOff>28575</xdr:rowOff>
                  </from>
                  <to>
                    <xdr:col>4</xdr:col>
                    <xdr:colOff>638175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0" r:id="rId310" name="Check Box 316">
              <controlPr defaultSize="0" autoFill="0" autoLine="0" autoPict="0">
                <anchor moveWithCells="1">
                  <from>
                    <xdr:col>2</xdr:col>
                    <xdr:colOff>1200150</xdr:colOff>
                    <xdr:row>47</xdr:row>
                    <xdr:rowOff>38100</xdr:rowOff>
                  </from>
                  <to>
                    <xdr:col>3</xdr:col>
                    <xdr:colOff>114300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1" r:id="rId311" name="Check Box 317">
              <controlPr defaultSize="0" autoFill="0" autoLine="0" autoPict="0">
                <anchor moveWithCells="1">
                  <from>
                    <xdr:col>2</xdr:col>
                    <xdr:colOff>1190625</xdr:colOff>
                    <xdr:row>48</xdr:row>
                    <xdr:rowOff>9525</xdr:rowOff>
                  </from>
                  <to>
                    <xdr:col>3</xdr:col>
                    <xdr:colOff>104775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2" r:id="rId312" name="Check Box 318">
              <controlPr defaultSize="0" autoFill="0" autoLine="0" autoPict="0">
                <anchor moveWithCells="1">
                  <from>
                    <xdr:col>2</xdr:col>
                    <xdr:colOff>1771650</xdr:colOff>
                    <xdr:row>47</xdr:row>
                    <xdr:rowOff>28575</xdr:rowOff>
                  </from>
                  <to>
                    <xdr:col>3</xdr:col>
                    <xdr:colOff>819150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3" r:id="rId313" name="Check Box 319">
              <controlPr defaultSize="0" autoFill="0" autoLine="0" autoPict="0">
                <anchor moveWithCells="1">
                  <from>
                    <xdr:col>3</xdr:col>
                    <xdr:colOff>828675</xdr:colOff>
                    <xdr:row>47</xdr:row>
                    <xdr:rowOff>28575</xdr:rowOff>
                  </from>
                  <to>
                    <xdr:col>4</xdr:col>
                    <xdr:colOff>638175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4" r:id="rId314" name="Check Box 320">
              <controlPr defaultSize="0" autoFill="0" autoLine="0" autoPict="0">
                <anchor moveWithCells="1">
                  <from>
                    <xdr:col>2</xdr:col>
                    <xdr:colOff>1200150</xdr:colOff>
                    <xdr:row>47</xdr:row>
                    <xdr:rowOff>38100</xdr:rowOff>
                  </from>
                  <to>
                    <xdr:col>3</xdr:col>
                    <xdr:colOff>114300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5" r:id="rId315" name="Check Box 321">
              <controlPr defaultSize="0" autoFill="0" autoLine="0" autoPict="0">
                <anchor moveWithCells="1">
                  <from>
                    <xdr:col>2</xdr:col>
                    <xdr:colOff>1190625</xdr:colOff>
                    <xdr:row>48</xdr:row>
                    <xdr:rowOff>9525</xdr:rowOff>
                  </from>
                  <to>
                    <xdr:col>3</xdr:col>
                    <xdr:colOff>104775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6" r:id="rId316" name="Check Box 322">
              <controlPr defaultSize="0" autoFill="0" autoLine="0" autoPict="0">
                <anchor moveWithCells="1">
                  <from>
                    <xdr:col>2</xdr:col>
                    <xdr:colOff>1771650</xdr:colOff>
                    <xdr:row>47</xdr:row>
                    <xdr:rowOff>28575</xdr:rowOff>
                  </from>
                  <to>
                    <xdr:col>3</xdr:col>
                    <xdr:colOff>819150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7" r:id="rId317" name="Check Box 323">
              <controlPr defaultSize="0" autoFill="0" autoLine="0" autoPict="0">
                <anchor moveWithCells="1">
                  <from>
                    <xdr:col>3</xdr:col>
                    <xdr:colOff>828675</xdr:colOff>
                    <xdr:row>47</xdr:row>
                    <xdr:rowOff>28575</xdr:rowOff>
                  </from>
                  <to>
                    <xdr:col>4</xdr:col>
                    <xdr:colOff>638175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8" r:id="rId318" name="Check Box 324">
              <controlPr defaultSize="0" autoFill="0" autoLine="0" autoPict="0">
                <anchor moveWithCells="1">
                  <from>
                    <xdr:col>2</xdr:col>
                    <xdr:colOff>1200150</xdr:colOff>
                    <xdr:row>47</xdr:row>
                    <xdr:rowOff>38100</xdr:rowOff>
                  </from>
                  <to>
                    <xdr:col>3</xdr:col>
                    <xdr:colOff>114300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9" r:id="rId319" name="Check Box 325">
              <controlPr defaultSize="0" autoFill="0" autoLine="0" autoPict="0">
                <anchor moveWithCells="1">
                  <from>
                    <xdr:col>2</xdr:col>
                    <xdr:colOff>1190625</xdr:colOff>
                    <xdr:row>48</xdr:row>
                    <xdr:rowOff>9525</xdr:rowOff>
                  </from>
                  <to>
                    <xdr:col>3</xdr:col>
                    <xdr:colOff>104775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0" r:id="rId320" name="Check Box 326">
              <controlPr defaultSize="0" autoFill="0" autoLine="0" autoPict="0">
                <anchor moveWithCells="1">
                  <from>
                    <xdr:col>2</xdr:col>
                    <xdr:colOff>1771650</xdr:colOff>
                    <xdr:row>47</xdr:row>
                    <xdr:rowOff>28575</xdr:rowOff>
                  </from>
                  <to>
                    <xdr:col>3</xdr:col>
                    <xdr:colOff>819150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" r:id="rId321" name="Check Box 327">
              <controlPr defaultSize="0" autoFill="0" autoLine="0" autoPict="0">
                <anchor moveWithCells="1">
                  <from>
                    <xdr:col>3</xdr:col>
                    <xdr:colOff>828675</xdr:colOff>
                    <xdr:row>47</xdr:row>
                    <xdr:rowOff>28575</xdr:rowOff>
                  </from>
                  <to>
                    <xdr:col>4</xdr:col>
                    <xdr:colOff>638175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2" r:id="rId322" name="Check Box 328">
              <controlPr defaultSize="0" autoFill="0" autoLine="0" autoPict="0">
                <anchor moveWithCells="1">
                  <from>
                    <xdr:col>2</xdr:col>
                    <xdr:colOff>1200150</xdr:colOff>
                    <xdr:row>47</xdr:row>
                    <xdr:rowOff>38100</xdr:rowOff>
                  </from>
                  <to>
                    <xdr:col>3</xdr:col>
                    <xdr:colOff>114300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3" r:id="rId323" name="Check Box 329">
              <controlPr defaultSize="0" autoFill="0" autoLine="0" autoPict="0">
                <anchor moveWithCells="1">
                  <from>
                    <xdr:col>2</xdr:col>
                    <xdr:colOff>1190625</xdr:colOff>
                    <xdr:row>48</xdr:row>
                    <xdr:rowOff>9525</xdr:rowOff>
                  </from>
                  <to>
                    <xdr:col>3</xdr:col>
                    <xdr:colOff>104775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4" r:id="rId324" name="Check Box 330">
              <controlPr defaultSize="0" autoFill="0" autoLine="0" autoPict="0">
                <anchor moveWithCells="1">
                  <from>
                    <xdr:col>2</xdr:col>
                    <xdr:colOff>1771650</xdr:colOff>
                    <xdr:row>47</xdr:row>
                    <xdr:rowOff>28575</xdr:rowOff>
                  </from>
                  <to>
                    <xdr:col>3</xdr:col>
                    <xdr:colOff>819150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5" r:id="rId325" name="Check Box 331">
              <controlPr defaultSize="0" autoFill="0" autoLine="0" autoPict="0">
                <anchor moveWithCells="1">
                  <from>
                    <xdr:col>3</xdr:col>
                    <xdr:colOff>828675</xdr:colOff>
                    <xdr:row>47</xdr:row>
                    <xdr:rowOff>28575</xdr:rowOff>
                  </from>
                  <to>
                    <xdr:col>4</xdr:col>
                    <xdr:colOff>638175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6" r:id="rId326" name="Check Box 332">
              <controlPr defaultSize="0" autoFill="0" autoLine="0" autoPict="0">
                <anchor moveWithCells="1">
                  <from>
                    <xdr:col>2</xdr:col>
                    <xdr:colOff>1200150</xdr:colOff>
                    <xdr:row>47</xdr:row>
                    <xdr:rowOff>38100</xdr:rowOff>
                  </from>
                  <to>
                    <xdr:col>3</xdr:col>
                    <xdr:colOff>114300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7" r:id="rId327" name="Check Box 333">
              <controlPr defaultSize="0" autoFill="0" autoLine="0" autoPict="0">
                <anchor moveWithCells="1">
                  <from>
                    <xdr:col>2</xdr:col>
                    <xdr:colOff>1190625</xdr:colOff>
                    <xdr:row>48</xdr:row>
                    <xdr:rowOff>9525</xdr:rowOff>
                  </from>
                  <to>
                    <xdr:col>3</xdr:col>
                    <xdr:colOff>104775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8" r:id="rId328" name="Check Box 334">
              <controlPr defaultSize="0" autoFill="0" autoLine="0" autoPict="0">
                <anchor moveWithCells="1">
                  <from>
                    <xdr:col>2</xdr:col>
                    <xdr:colOff>1771650</xdr:colOff>
                    <xdr:row>47</xdr:row>
                    <xdr:rowOff>28575</xdr:rowOff>
                  </from>
                  <to>
                    <xdr:col>3</xdr:col>
                    <xdr:colOff>819150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9" r:id="rId329" name="Check Box 335">
              <controlPr defaultSize="0" autoFill="0" autoLine="0" autoPict="0">
                <anchor moveWithCells="1">
                  <from>
                    <xdr:col>3</xdr:col>
                    <xdr:colOff>828675</xdr:colOff>
                    <xdr:row>47</xdr:row>
                    <xdr:rowOff>28575</xdr:rowOff>
                  </from>
                  <to>
                    <xdr:col>4</xdr:col>
                    <xdr:colOff>638175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0" r:id="rId330" name="Check Box 336">
              <controlPr defaultSize="0" autoFill="0" autoLine="0" autoPict="0">
                <anchor moveWithCells="1">
                  <from>
                    <xdr:col>2</xdr:col>
                    <xdr:colOff>1200150</xdr:colOff>
                    <xdr:row>47</xdr:row>
                    <xdr:rowOff>38100</xdr:rowOff>
                  </from>
                  <to>
                    <xdr:col>3</xdr:col>
                    <xdr:colOff>114300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" r:id="rId331" name="Check Box 337">
              <controlPr defaultSize="0" autoFill="0" autoLine="0" autoPict="0">
                <anchor moveWithCells="1">
                  <from>
                    <xdr:col>2</xdr:col>
                    <xdr:colOff>1190625</xdr:colOff>
                    <xdr:row>48</xdr:row>
                    <xdr:rowOff>9525</xdr:rowOff>
                  </from>
                  <to>
                    <xdr:col>3</xdr:col>
                    <xdr:colOff>104775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2" r:id="rId332" name="Check Box 338">
              <controlPr defaultSize="0" autoFill="0" autoLine="0" autoPict="0">
                <anchor moveWithCells="1">
                  <from>
                    <xdr:col>2</xdr:col>
                    <xdr:colOff>1771650</xdr:colOff>
                    <xdr:row>52</xdr:row>
                    <xdr:rowOff>28575</xdr:rowOff>
                  </from>
                  <to>
                    <xdr:col>3</xdr:col>
                    <xdr:colOff>819150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3" r:id="rId333" name="Check Box 339">
              <controlPr defaultSize="0" autoFill="0" autoLine="0" autoPict="0">
                <anchor moveWithCells="1">
                  <from>
                    <xdr:col>3</xdr:col>
                    <xdr:colOff>828675</xdr:colOff>
                    <xdr:row>52</xdr:row>
                    <xdr:rowOff>28575</xdr:rowOff>
                  </from>
                  <to>
                    <xdr:col>4</xdr:col>
                    <xdr:colOff>638175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4" r:id="rId334" name="Check Box 340">
              <controlPr defaultSize="0" autoFill="0" autoLine="0" autoPict="0">
                <anchor moveWithCells="1">
                  <from>
                    <xdr:col>2</xdr:col>
                    <xdr:colOff>1200150</xdr:colOff>
                    <xdr:row>52</xdr:row>
                    <xdr:rowOff>38100</xdr:rowOff>
                  </from>
                  <to>
                    <xdr:col>3</xdr:col>
                    <xdr:colOff>114300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5" r:id="rId335" name="Check Box 341">
              <controlPr defaultSize="0" autoFill="0" autoLine="0" autoPict="0">
                <anchor moveWithCells="1">
                  <from>
                    <xdr:col>2</xdr:col>
                    <xdr:colOff>1190625</xdr:colOff>
                    <xdr:row>53</xdr:row>
                    <xdr:rowOff>9525</xdr:rowOff>
                  </from>
                  <to>
                    <xdr:col>3</xdr:col>
                    <xdr:colOff>104775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6" r:id="rId336" name="Check Box 342">
              <controlPr defaultSize="0" autoFill="0" autoLine="0" autoPict="0">
                <anchor moveWithCells="1">
                  <from>
                    <xdr:col>2</xdr:col>
                    <xdr:colOff>1771650</xdr:colOff>
                    <xdr:row>52</xdr:row>
                    <xdr:rowOff>28575</xdr:rowOff>
                  </from>
                  <to>
                    <xdr:col>3</xdr:col>
                    <xdr:colOff>819150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7" r:id="rId337" name="Check Box 343">
              <controlPr defaultSize="0" autoFill="0" autoLine="0" autoPict="0">
                <anchor moveWithCells="1">
                  <from>
                    <xdr:col>3</xdr:col>
                    <xdr:colOff>828675</xdr:colOff>
                    <xdr:row>52</xdr:row>
                    <xdr:rowOff>28575</xdr:rowOff>
                  </from>
                  <to>
                    <xdr:col>4</xdr:col>
                    <xdr:colOff>638175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8" r:id="rId338" name="Check Box 344">
              <controlPr defaultSize="0" autoFill="0" autoLine="0" autoPict="0">
                <anchor moveWithCells="1">
                  <from>
                    <xdr:col>2</xdr:col>
                    <xdr:colOff>1200150</xdr:colOff>
                    <xdr:row>52</xdr:row>
                    <xdr:rowOff>38100</xdr:rowOff>
                  </from>
                  <to>
                    <xdr:col>3</xdr:col>
                    <xdr:colOff>114300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9" r:id="rId339" name="Check Box 345">
              <controlPr defaultSize="0" autoFill="0" autoLine="0" autoPict="0">
                <anchor moveWithCells="1">
                  <from>
                    <xdr:col>2</xdr:col>
                    <xdr:colOff>1190625</xdr:colOff>
                    <xdr:row>53</xdr:row>
                    <xdr:rowOff>9525</xdr:rowOff>
                  </from>
                  <to>
                    <xdr:col>3</xdr:col>
                    <xdr:colOff>104775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0" r:id="rId340" name="Check Box 346">
              <controlPr defaultSize="0" autoFill="0" autoLine="0" autoPict="0">
                <anchor moveWithCells="1">
                  <from>
                    <xdr:col>2</xdr:col>
                    <xdr:colOff>1771650</xdr:colOff>
                    <xdr:row>52</xdr:row>
                    <xdr:rowOff>28575</xdr:rowOff>
                  </from>
                  <to>
                    <xdr:col>3</xdr:col>
                    <xdr:colOff>819150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1" r:id="rId341" name="Check Box 347">
              <controlPr defaultSize="0" autoFill="0" autoLine="0" autoPict="0">
                <anchor moveWithCells="1">
                  <from>
                    <xdr:col>3</xdr:col>
                    <xdr:colOff>828675</xdr:colOff>
                    <xdr:row>52</xdr:row>
                    <xdr:rowOff>28575</xdr:rowOff>
                  </from>
                  <to>
                    <xdr:col>4</xdr:col>
                    <xdr:colOff>638175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" r:id="rId342" name="Check Box 348">
              <controlPr defaultSize="0" autoFill="0" autoLine="0" autoPict="0">
                <anchor moveWithCells="1">
                  <from>
                    <xdr:col>2</xdr:col>
                    <xdr:colOff>1200150</xdr:colOff>
                    <xdr:row>52</xdr:row>
                    <xdr:rowOff>38100</xdr:rowOff>
                  </from>
                  <to>
                    <xdr:col>3</xdr:col>
                    <xdr:colOff>114300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3" r:id="rId343" name="Check Box 349">
              <controlPr defaultSize="0" autoFill="0" autoLine="0" autoPict="0">
                <anchor moveWithCells="1">
                  <from>
                    <xdr:col>2</xdr:col>
                    <xdr:colOff>1190625</xdr:colOff>
                    <xdr:row>53</xdr:row>
                    <xdr:rowOff>9525</xdr:rowOff>
                  </from>
                  <to>
                    <xdr:col>3</xdr:col>
                    <xdr:colOff>104775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4" r:id="rId344" name="Check Box 350">
              <controlPr defaultSize="0" autoFill="0" autoLine="0" autoPict="0">
                <anchor moveWithCells="1">
                  <from>
                    <xdr:col>2</xdr:col>
                    <xdr:colOff>1771650</xdr:colOff>
                    <xdr:row>52</xdr:row>
                    <xdr:rowOff>28575</xdr:rowOff>
                  </from>
                  <to>
                    <xdr:col>3</xdr:col>
                    <xdr:colOff>819150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5" r:id="rId345" name="Check Box 351">
              <controlPr defaultSize="0" autoFill="0" autoLine="0" autoPict="0">
                <anchor moveWithCells="1">
                  <from>
                    <xdr:col>3</xdr:col>
                    <xdr:colOff>828675</xdr:colOff>
                    <xdr:row>52</xdr:row>
                    <xdr:rowOff>28575</xdr:rowOff>
                  </from>
                  <to>
                    <xdr:col>4</xdr:col>
                    <xdr:colOff>638175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6" r:id="rId346" name="Check Box 352">
              <controlPr defaultSize="0" autoFill="0" autoLine="0" autoPict="0">
                <anchor moveWithCells="1">
                  <from>
                    <xdr:col>2</xdr:col>
                    <xdr:colOff>1200150</xdr:colOff>
                    <xdr:row>52</xdr:row>
                    <xdr:rowOff>38100</xdr:rowOff>
                  </from>
                  <to>
                    <xdr:col>3</xdr:col>
                    <xdr:colOff>114300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7" r:id="rId347" name="Check Box 353">
              <controlPr defaultSize="0" autoFill="0" autoLine="0" autoPict="0">
                <anchor moveWithCells="1">
                  <from>
                    <xdr:col>2</xdr:col>
                    <xdr:colOff>1190625</xdr:colOff>
                    <xdr:row>53</xdr:row>
                    <xdr:rowOff>9525</xdr:rowOff>
                  </from>
                  <to>
                    <xdr:col>3</xdr:col>
                    <xdr:colOff>104775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8" r:id="rId348" name="Check Box 354">
              <controlPr defaultSize="0" autoFill="0" autoLine="0" autoPict="0">
                <anchor moveWithCells="1">
                  <from>
                    <xdr:col>2</xdr:col>
                    <xdr:colOff>1771650</xdr:colOff>
                    <xdr:row>52</xdr:row>
                    <xdr:rowOff>28575</xdr:rowOff>
                  </from>
                  <to>
                    <xdr:col>3</xdr:col>
                    <xdr:colOff>819150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9" r:id="rId349" name="Check Box 355">
              <controlPr defaultSize="0" autoFill="0" autoLine="0" autoPict="0">
                <anchor moveWithCells="1">
                  <from>
                    <xdr:col>3</xdr:col>
                    <xdr:colOff>828675</xdr:colOff>
                    <xdr:row>52</xdr:row>
                    <xdr:rowOff>28575</xdr:rowOff>
                  </from>
                  <to>
                    <xdr:col>4</xdr:col>
                    <xdr:colOff>638175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0" r:id="rId350" name="Check Box 356">
              <controlPr defaultSize="0" autoFill="0" autoLine="0" autoPict="0">
                <anchor moveWithCells="1">
                  <from>
                    <xdr:col>2</xdr:col>
                    <xdr:colOff>1200150</xdr:colOff>
                    <xdr:row>52</xdr:row>
                    <xdr:rowOff>38100</xdr:rowOff>
                  </from>
                  <to>
                    <xdr:col>3</xdr:col>
                    <xdr:colOff>114300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1" r:id="rId351" name="Check Box 357">
              <controlPr defaultSize="0" autoFill="0" autoLine="0" autoPict="0">
                <anchor moveWithCells="1">
                  <from>
                    <xdr:col>2</xdr:col>
                    <xdr:colOff>1190625</xdr:colOff>
                    <xdr:row>53</xdr:row>
                    <xdr:rowOff>9525</xdr:rowOff>
                  </from>
                  <to>
                    <xdr:col>3</xdr:col>
                    <xdr:colOff>104775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" r:id="rId352" name="Check Box 358">
              <controlPr defaultSize="0" autoFill="0" autoLine="0" autoPict="0">
                <anchor moveWithCells="1">
                  <from>
                    <xdr:col>2</xdr:col>
                    <xdr:colOff>1771650</xdr:colOff>
                    <xdr:row>52</xdr:row>
                    <xdr:rowOff>28575</xdr:rowOff>
                  </from>
                  <to>
                    <xdr:col>3</xdr:col>
                    <xdr:colOff>819150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3" r:id="rId353" name="Check Box 359">
              <controlPr defaultSize="0" autoFill="0" autoLine="0" autoPict="0">
                <anchor moveWithCells="1">
                  <from>
                    <xdr:col>3</xdr:col>
                    <xdr:colOff>828675</xdr:colOff>
                    <xdr:row>52</xdr:row>
                    <xdr:rowOff>28575</xdr:rowOff>
                  </from>
                  <to>
                    <xdr:col>4</xdr:col>
                    <xdr:colOff>638175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4" r:id="rId354" name="Check Box 360">
              <controlPr defaultSize="0" autoFill="0" autoLine="0" autoPict="0">
                <anchor moveWithCells="1">
                  <from>
                    <xdr:col>2</xdr:col>
                    <xdr:colOff>1200150</xdr:colOff>
                    <xdr:row>52</xdr:row>
                    <xdr:rowOff>38100</xdr:rowOff>
                  </from>
                  <to>
                    <xdr:col>3</xdr:col>
                    <xdr:colOff>114300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5" r:id="rId355" name="Check Box 361">
              <controlPr defaultSize="0" autoFill="0" autoLine="0" autoPict="0">
                <anchor moveWithCells="1">
                  <from>
                    <xdr:col>2</xdr:col>
                    <xdr:colOff>1190625</xdr:colOff>
                    <xdr:row>53</xdr:row>
                    <xdr:rowOff>9525</xdr:rowOff>
                  </from>
                  <to>
                    <xdr:col>3</xdr:col>
                    <xdr:colOff>104775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6" r:id="rId356" name="Check Box 362">
              <controlPr defaultSize="0" autoFill="0" autoLine="0" autoPict="0">
                <anchor moveWithCells="1">
                  <from>
                    <xdr:col>2</xdr:col>
                    <xdr:colOff>1771650</xdr:colOff>
                    <xdr:row>52</xdr:row>
                    <xdr:rowOff>28575</xdr:rowOff>
                  </from>
                  <to>
                    <xdr:col>3</xdr:col>
                    <xdr:colOff>819150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7" r:id="rId357" name="Check Box 363">
              <controlPr defaultSize="0" autoFill="0" autoLine="0" autoPict="0">
                <anchor moveWithCells="1">
                  <from>
                    <xdr:col>3</xdr:col>
                    <xdr:colOff>828675</xdr:colOff>
                    <xdr:row>52</xdr:row>
                    <xdr:rowOff>28575</xdr:rowOff>
                  </from>
                  <to>
                    <xdr:col>4</xdr:col>
                    <xdr:colOff>638175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8" r:id="rId358" name="Check Box 364">
              <controlPr defaultSize="0" autoFill="0" autoLine="0" autoPict="0">
                <anchor moveWithCells="1">
                  <from>
                    <xdr:col>2</xdr:col>
                    <xdr:colOff>1200150</xdr:colOff>
                    <xdr:row>52</xdr:row>
                    <xdr:rowOff>38100</xdr:rowOff>
                  </from>
                  <to>
                    <xdr:col>3</xdr:col>
                    <xdr:colOff>114300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9" r:id="rId359" name="Check Box 365">
              <controlPr defaultSize="0" autoFill="0" autoLine="0" autoPict="0">
                <anchor moveWithCells="1">
                  <from>
                    <xdr:col>2</xdr:col>
                    <xdr:colOff>1190625</xdr:colOff>
                    <xdr:row>53</xdr:row>
                    <xdr:rowOff>9525</xdr:rowOff>
                  </from>
                  <to>
                    <xdr:col>3</xdr:col>
                    <xdr:colOff>104775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0" r:id="rId360" name="Check Box 366">
              <controlPr defaultSize="0" autoFill="0" autoLine="0" autoPict="0">
                <anchor moveWithCells="1">
                  <from>
                    <xdr:col>2</xdr:col>
                    <xdr:colOff>1771650</xdr:colOff>
                    <xdr:row>52</xdr:row>
                    <xdr:rowOff>28575</xdr:rowOff>
                  </from>
                  <to>
                    <xdr:col>3</xdr:col>
                    <xdr:colOff>819150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1" r:id="rId361" name="Check Box 367">
              <controlPr defaultSize="0" autoFill="0" autoLine="0" autoPict="0">
                <anchor moveWithCells="1">
                  <from>
                    <xdr:col>3</xdr:col>
                    <xdr:colOff>828675</xdr:colOff>
                    <xdr:row>52</xdr:row>
                    <xdr:rowOff>28575</xdr:rowOff>
                  </from>
                  <to>
                    <xdr:col>4</xdr:col>
                    <xdr:colOff>638175</xdr:colOff>
                    <xdr:row>53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" r:id="rId362" name="Check Box 368">
              <controlPr defaultSize="0" autoFill="0" autoLine="0" autoPict="0">
                <anchor moveWithCells="1">
                  <from>
                    <xdr:col>2</xdr:col>
                    <xdr:colOff>1200150</xdr:colOff>
                    <xdr:row>52</xdr:row>
                    <xdr:rowOff>38100</xdr:rowOff>
                  </from>
                  <to>
                    <xdr:col>3</xdr:col>
                    <xdr:colOff>114300</xdr:colOff>
                    <xdr:row>53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3" r:id="rId363" name="Check Box 369">
              <controlPr defaultSize="0" autoFill="0" autoLine="0" autoPict="0">
                <anchor moveWithCells="1">
                  <from>
                    <xdr:col>2</xdr:col>
                    <xdr:colOff>1190625</xdr:colOff>
                    <xdr:row>53</xdr:row>
                    <xdr:rowOff>9525</xdr:rowOff>
                  </from>
                  <to>
                    <xdr:col>3</xdr:col>
                    <xdr:colOff>104775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4" r:id="rId364" name="Check Box 370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5" r:id="rId365" name="Check Box 371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6" r:id="rId366" name="Check Box 372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7" r:id="rId367" name="Check Box 373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8" r:id="rId368" name="Check Box 374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9" r:id="rId369" name="Check Box 375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0" r:id="rId370" name="Check Box 376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1" r:id="rId371" name="Check Box 377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2" r:id="rId372" name="Check Box 378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3" r:id="rId373" name="Check Box 379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4" r:id="rId374" name="Check Box 380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5" r:id="rId375" name="Check Box 381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6" r:id="rId376" name="Check Box 382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7" r:id="rId377" name="Check Box 383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8" r:id="rId378" name="Check Box 384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9" r:id="rId379" name="Check Box 385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0" r:id="rId380" name="Check Box 386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1" r:id="rId381" name="Check Box 387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2" r:id="rId382" name="Check Box 388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3" r:id="rId383" name="Check Box 389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4" r:id="rId384" name="Check Box 390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5" r:id="rId385" name="Check Box 391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6" r:id="rId386" name="Check Box 392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7" r:id="rId387" name="Check Box 393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8" r:id="rId388" name="Check Box 394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9" r:id="rId389" name="Check Box 395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0" r:id="rId390" name="Check Box 396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1" r:id="rId391" name="Check Box 397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2" r:id="rId392" name="Check Box 398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3" r:id="rId393" name="Check Box 399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4" r:id="rId394" name="Check Box 400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5" r:id="rId395" name="Check Box 401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6" r:id="rId396" name="Check Box 402">
              <controlPr defaultSize="0" autoFill="0" autoLine="0" autoPict="0">
                <anchor moveWithCells="1">
                  <from>
                    <xdr:col>2</xdr:col>
                    <xdr:colOff>1771650</xdr:colOff>
                    <xdr:row>57</xdr:row>
                    <xdr:rowOff>28575</xdr:rowOff>
                  </from>
                  <to>
                    <xdr:col>3</xdr:col>
                    <xdr:colOff>819150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7" r:id="rId397" name="Check Box 403">
              <controlPr defaultSize="0" autoFill="0" autoLine="0" autoPict="0">
                <anchor moveWithCells="1">
                  <from>
                    <xdr:col>3</xdr:col>
                    <xdr:colOff>828675</xdr:colOff>
                    <xdr:row>57</xdr:row>
                    <xdr:rowOff>28575</xdr:rowOff>
                  </from>
                  <to>
                    <xdr:col>4</xdr:col>
                    <xdr:colOff>638175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8" r:id="rId398" name="Check Box 404">
              <controlPr defaultSize="0" autoFill="0" autoLine="0" autoPict="0">
                <anchor moveWithCells="1">
                  <from>
                    <xdr:col>2</xdr:col>
                    <xdr:colOff>1200150</xdr:colOff>
                    <xdr:row>57</xdr:row>
                    <xdr:rowOff>38100</xdr:rowOff>
                  </from>
                  <to>
                    <xdr:col>3</xdr:col>
                    <xdr:colOff>114300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9" r:id="rId399" name="Check Box 405">
              <controlPr defaultSize="0" autoFill="0" autoLine="0" autoPict="0">
                <anchor moveWithCells="1">
                  <from>
                    <xdr:col>2</xdr:col>
                    <xdr:colOff>1190625</xdr:colOff>
                    <xdr:row>58</xdr:row>
                    <xdr:rowOff>9525</xdr:rowOff>
                  </from>
                  <to>
                    <xdr:col>3</xdr:col>
                    <xdr:colOff>104775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0" r:id="rId400" name="Check Box 406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1" r:id="rId401" name="Check Box 407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2" r:id="rId402" name="Check Box 408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" r:id="rId403" name="Check Box 409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" r:id="rId404" name="Check Box 410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" r:id="rId405" name="Check Box 411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" r:id="rId406" name="Check Box 412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" r:id="rId407" name="Check Box 413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" r:id="rId408" name="Check Box 414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" r:id="rId409" name="Check Box 415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" r:id="rId410" name="Check Box 416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1" r:id="rId411" name="Check Box 417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2" r:id="rId412" name="Check Box 418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3" r:id="rId413" name="Check Box 419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4" r:id="rId414" name="Check Box 420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5" r:id="rId415" name="Check Box 421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6" r:id="rId416" name="Check Box 422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7" r:id="rId417" name="Check Box 423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8" r:id="rId418" name="Check Box 424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9" r:id="rId419" name="Check Box 425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0" r:id="rId420" name="Check Box 426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1" r:id="rId421" name="Check Box 427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2" r:id="rId422" name="Check Box 428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3" r:id="rId423" name="Check Box 429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4" r:id="rId424" name="Check Box 430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5" r:id="rId425" name="Check Box 431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6" r:id="rId426" name="Check Box 432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7" r:id="rId427" name="Check Box 433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8" r:id="rId428" name="Check Box 434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9" r:id="rId429" name="Check Box 435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0" r:id="rId430" name="Check Box 436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1" r:id="rId431" name="Check Box 437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2" r:id="rId432" name="Check Box 438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3" r:id="rId433" name="Check Box 439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4" r:id="rId434" name="Check Box 440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5" r:id="rId435" name="Check Box 441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6" r:id="rId436" name="Check Box 442">
              <controlPr defaultSize="0" autoFill="0" autoLine="0" autoPict="0">
                <anchor moveWithCells="1">
                  <from>
                    <xdr:col>2</xdr:col>
                    <xdr:colOff>1771650</xdr:colOff>
                    <xdr:row>62</xdr:row>
                    <xdr:rowOff>28575</xdr:rowOff>
                  </from>
                  <to>
                    <xdr:col>3</xdr:col>
                    <xdr:colOff>819150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7" r:id="rId437" name="Check Box 443">
              <controlPr defaultSize="0" autoFill="0" autoLine="0" autoPict="0">
                <anchor moveWithCells="1">
                  <from>
                    <xdr:col>3</xdr:col>
                    <xdr:colOff>828675</xdr:colOff>
                    <xdr:row>62</xdr:row>
                    <xdr:rowOff>28575</xdr:rowOff>
                  </from>
                  <to>
                    <xdr:col>4</xdr:col>
                    <xdr:colOff>638175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8" r:id="rId438" name="Check Box 444">
              <controlPr defaultSize="0" autoFill="0" autoLine="0" autoPict="0">
                <anchor moveWithCells="1">
                  <from>
                    <xdr:col>2</xdr:col>
                    <xdr:colOff>1200150</xdr:colOff>
                    <xdr:row>62</xdr:row>
                    <xdr:rowOff>38100</xdr:rowOff>
                  </from>
                  <to>
                    <xdr:col>3</xdr:col>
                    <xdr:colOff>114300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9" r:id="rId439" name="Check Box 445">
              <controlPr defaultSize="0" autoFill="0" autoLine="0" autoPict="0">
                <anchor moveWithCells="1">
                  <from>
                    <xdr:col>2</xdr:col>
                    <xdr:colOff>1190625</xdr:colOff>
                    <xdr:row>63</xdr:row>
                    <xdr:rowOff>9525</xdr:rowOff>
                  </from>
                  <to>
                    <xdr:col>3</xdr:col>
                    <xdr:colOff>104775</xdr:colOff>
                    <xdr:row>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0" r:id="rId440" name="Check Box 446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1" r:id="rId441" name="Check Box 447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2" r:id="rId442" name="Check Box 448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3" r:id="rId443" name="Check Box 449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" r:id="rId444" name="Check Box 450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5" r:id="rId445" name="Check Box 451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6" r:id="rId446" name="Check Box 452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7" r:id="rId447" name="Check Box 453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8" r:id="rId448" name="Check Box 454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9" r:id="rId449" name="Check Box 455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0" r:id="rId450" name="Check Box 456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1" r:id="rId451" name="Check Box 457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2" r:id="rId452" name="Check Box 458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3" r:id="rId453" name="Check Box 459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4" r:id="rId454" name="Check Box 460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5" r:id="rId455" name="Check Box 461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6" r:id="rId456" name="Check Box 462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7" r:id="rId457" name="Check Box 463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8" r:id="rId458" name="Check Box 464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9" r:id="rId459" name="Check Box 465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0" r:id="rId460" name="Check Box 466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1" r:id="rId461" name="Check Box 467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2" r:id="rId462" name="Check Box 468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3" r:id="rId463" name="Check Box 469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4" r:id="rId464" name="Check Box 470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5" r:id="rId465" name="Check Box 471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6" r:id="rId466" name="Check Box 472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7" r:id="rId467" name="Check Box 473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8" r:id="rId468" name="Check Box 474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9" r:id="rId469" name="Check Box 475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0" r:id="rId470" name="Check Box 476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1" r:id="rId471" name="Check Box 477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2" r:id="rId472" name="Check Box 478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3" r:id="rId473" name="Check Box 479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4" r:id="rId474" name="Check Box 480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5" r:id="rId475" name="Check Box 481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6" r:id="rId476" name="Check Box 482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7" r:id="rId477" name="Check Box 483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8" r:id="rId478" name="Check Box 484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9" r:id="rId479" name="Check Box 485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0" r:id="rId480" name="Check Box 486">
              <controlPr defaultSize="0" autoFill="0" autoLine="0" autoPict="0">
                <anchor moveWithCells="1">
                  <from>
                    <xdr:col>2</xdr:col>
                    <xdr:colOff>1771650</xdr:colOff>
                    <xdr:row>67</xdr:row>
                    <xdr:rowOff>28575</xdr:rowOff>
                  </from>
                  <to>
                    <xdr:col>3</xdr:col>
                    <xdr:colOff>819150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1" r:id="rId481" name="Check Box 487">
              <controlPr defaultSize="0" autoFill="0" autoLine="0" autoPict="0">
                <anchor moveWithCells="1">
                  <from>
                    <xdr:col>3</xdr:col>
                    <xdr:colOff>828675</xdr:colOff>
                    <xdr:row>67</xdr:row>
                    <xdr:rowOff>28575</xdr:rowOff>
                  </from>
                  <to>
                    <xdr:col>4</xdr:col>
                    <xdr:colOff>638175</xdr:colOff>
                    <xdr:row>68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2" r:id="rId482" name="Check Box 488">
              <controlPr defaultSize="0" autoFill="0" autoLine="0" autoPict="0">
                <anchor moveWithCells="1">
                  <from>
                    <xdr:col>2</xdr:col>
                    <xdr:colOff>1200150</xdr:colOff>
                    <xdr:row>67</xdr:row>
                    <xdr:rowOff>38100</xdr:rowOff>
                  </from>
                  <to>
                    <xdr:col>3</xdr:col>
                    <xdr:colOff>114300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3" r:id="rId483" name="Check Box 489">
              <controlPr defaultSize="0" autoFill="0" autoLine="0" autoPict="0">
                <anchor moveWithCells="1">
                  <from>
                    <xdr:col>2</xdr:col>
                    <xdr:colOff>1190625</xdr:colOff>
                    <xdr:row>68</xdr:row>
                    <xdr:rowOff>9525</xdr:rowOff>
                  </from>
                  <to>
                    <xdr:col>3</xdr:col>
                    <xdr:colOff>104775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4" r:id="rId484" name="Check Box 490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5" r:id="rId485" name="Check Box 491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6" r:id="rId486" name="Check Box 492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7" r:id="rId487" name="Check Box 493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8" r:id="rId488" name="Check Box 494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9" r:id="rId489" name="Check Box 495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0" r:id="rId490" name="Check Box 496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1" r:id="rId491" name="Check Box 497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2" r:id="rId492" name="Check Box 498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3" r:id="rId493" name="Check Box 499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4" r:id="rId494" name="Check Box 500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5" r:id="rId495" name="Check Box 501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6" r:id="rId496" name="Check Box 502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7" r:id="rId497" name="Check Box 503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8" r:id="rId498" name="Check Box 504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9" r:id="rId499" name="Check Box 505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0" r:id="rId500" name="Check Box 506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1" r:id="rId501" name="Check Box 507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2" r:id="rId502" name="Check Box 508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3" r:id="rId503" name="Check Box 509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4" r:id="rId504" name="Check Box 510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5" r:id="rId505" name="Check Box 511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" r:id="rId506" name="Check Box 512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" r:id="rId507" name="Check Box 513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" r:id="rId508" name="Check Box 514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" r:id="rId509" name="Check Box 515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" r:id="rId510" name="Check Box 516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" r:id="rId511" name="Check Box 517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" r:id="rId512" name="Check Box 518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3" r:id="rId513" name="Check Box 519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4" r:id="rId514" name="Check Box 520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5" r:id="rId515" name="Check Box 521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6" r:id="rId516" name="Check Box 522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7" r:id="rId517" name="Check Box 523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8" r:id="rId518" name="Check Box 524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9" r:id="rId519" name="Check Box 525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0" r:id="rId520" name="Check Box 526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1" r:id="rId521" name="Check Box 527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2" r:id="rId522" name="Check Box 528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3" r:id="rId523" name="Check Box 529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4" r:id="rId524" name="Check Box 530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5" r:id="rId525" name="Check Box 531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6" r:id="rId526" name="Check Box 532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7" r:id="rId527" name="Check Box 533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8" r:id="rId528" name="Check Box 534">
              <controlPr defaultSize="0" autoFill="0" autoLine="0" autoPict="0">
                <anchor moveWithCells="1">
                  <from>
                    <xdr:col>2</xdr:col>
                    <xdr:colOff>1771650</xdr:colOff>
                    <xdr:row>72</xdr:row>
                    <xdr:rowOff>28575</xdr:rowOff>
                  </from>
                  <to>
                    <xdr:col>3</xdr:col>
                    <xdr:colOff>819150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9" r:id="rId529" name="Check Box 535">
              <controlPr defaultSize="0" autoFill="0" autoLine="0" autoPict="0">
                <anchor moveWithCells="1">
                  <from>
                    <xdr:col>3</xdr:col>
                    <xdr:colOff>828675</xdr:colOff>
                    <xdr:row>72</xdr:row>
                    <xdr:rowOff>28575</xdr:rowOff>
                  </from>
                  <to>
                    <xdr:col>4</xdr:col>
                    <xdr:colOff>638175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0" r:id="rId530" name="Check Box 536">
              <controlPr defaultSize="0" autoFill="0" autoLine="0" autoPict="0">
                <anchor moveWithCells="1">
                  <from>
                    <xdr:col>2</xdr:col>
                    <xdr:colOff>1200150</xdr:colOff>
                    <xdr:row>72</xdr:row>
                    <xdr:rowOff>38100</xdr:rowOff>
                  </from>
                  <to>
                    <xdr:col>3</xdr:col>
                    <xdr:colOff>114300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1" r:id="rId531" name="Check Box 537">
              <controlPr defaultSize="0" autoFill="0" autoLine="0" autoPict="0">
                <anchor moveWithCells="1">
                  <from>
                    <xdr:col>2</xdr:col>
                    <xdr:colOff>1190625</xdr:colOff>
                    <xdr:row>73</xdr:row>
                    <xdr:rowOff>9525</xdr:rowOff>
                  </from>
                  <to>
                    <xdr:col>3</xdr:col>
                    <xdr:colOff>104775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2" r:id="rId532" name="Check Box 538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3" r:id="rId533" name="Check Box 539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4" r:id="rId534" name="Check Box 540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5" r:id="rId535" name="Check Box 541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6" r:id="rId536" name="Check Box 542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7" r:id="rId537" name="Check Box 543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8" r:id="rId538" name="Check Box 544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9" r:id="rId539" name="Check Box 545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0" r:id="rId540" name="Check Box 546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1" r:id="rId541" name="Check Box 547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2" r:id="rId542" name="Check Box 548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3" r:id="rId543" name="Check Box 549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4" r:id="rId544" name="Check Box 550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5" r:id="rId545" name="Check Box 551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6" r:id="rId546" name="Check Box 552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7" r:id="rId547" name="Check Box 553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8" r:id="rId548" name="Check Box 554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9" r:id="rId549" name="Check Box 555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0" r:id="rId550" name="Check Box 556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1" r:id="rId551" name="Check Box 557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2" r:id="rId552" name="Check Box 558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3" r:id="rId553" name="Check Box 559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4" r:id="rId554" name="Check Box 560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5" r:id="rId555" name="Check Box 561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6" r:id="rId556" name="Check Box 562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7" r:id="rId557" name="Check Box 563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8" r:id="rId558" name="Check Box 564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9" r:id="rId559" name="Check Box 565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0" r:id="rId560" name="Check Box 566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1" r:id="rId561" name="Check Box 567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2" r:id="rId562" name="Check Box 568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3" r:id="rId563" name="Check Box 569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4" r:id="rId564" name="Check Box 570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5" r:id="rId565" name="Check Box 571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6" r:id="rId566" name="Check Box 572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7" r:id="rId567" name="Check Box 573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8" r:id="rId568" name="Check Box 574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9" r:id="rId569" name="Check Box 575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0" r:id="rId570" name="Check Box 576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1" r:id="rId571" name="Check Box 577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2" r:id="rId572" name="Check Box 578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3" r:id="rId573" name="Check Box 579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4" r:id="rId574" name="Check Box 580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5" r:id="rId575" name="Check Box 581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6" r:id="rId576" name="Check Box 582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7" r:id="rId577" name="Check Box 583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8" r:id="rId578" name="Check Box 584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9" r:id="rId579" name="Check Box 585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0" r:id="rId580" name="Check Box 586">
              <controlPr defaultSize="0" autoFill="0" autoLine="0" autoPict="0">
                <anchor moveWithCells="1">
                  <from>
                    <xdr:col>2</xdr:col>
                    <xdr:colOff>1771650</xdr:colOff>
                    <xdr:row>77</xdr:row>
                    <xdr:rowOff>28575</xdr:rowOff>
                  </from>
                  <to>
                    <xdr:col>3</xdr:col>
                    <xdr:colOff>819150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1" r:id="rId581" name="Check Box 587">
              <controlPr defaultSize="0" autoFill="0" autoLine="0" autoPict="0">
                <anchor moveWithCells="1">
                  <from>
                    <xdr:col>3</xdr:col>
                    <xdr:colOff>828675</xdr:colOff>
                    <xdr:row>77</xdr:row>
                    <xdr:rowOff>28575</xdr:rowOff>
                  </from>
                  <to>
                    <xdr:col>4</xdr:col>
                    <xdr:colOff>638175</xdr:colOff>
                    <xdr:row>78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2" r:id="rId582" name="Check Box 588">
              <controlPr defaultSize="0" autoFill="0" autoLine="0" autoPict="0">
                <anchor moveWithCells="1">
                  <from>
                    <xdr:col>2</xdr:col>
                    <xdr:colOff>1200150</xdr:colOff>
                    <xdr:row>77</xdr:row>
                    <xdr:rowOff>38100</xdr:rowOff>
                  </from>
                  <to>
                    <xdr:col>3</xdr:col>
                    <xdr:colOff>114300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3" r:id="rId583" name="Check Box 589">
              <controlPr defaultSize="0" autoFill="0" autoLine="0" autoPict="0">
                <anchor moveWithCells="1">
                  <from>
                    <xdr:col>2</xdr:col>
                    <xdr:colOff>1190625</xdr:colOff>
                    <xdr:row>78</xdr:row>
                    <xdr:rowOff>9525</xdr:rowOff>
                  </from>
                  <to>
                    <xdr:col>3</xdr:col>
                    <xdr:colOff>104775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4" r:id="rId584" name="Check Box 590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5" r:id="rId585" name="Check Box 591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6" r:id="rId586" name="Check Box 592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7" r:id="rId587" name="Check Box 593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8" r:id="rId588" name="Check Box 594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9" r:id="rId589" name="Check Box 595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0" r:id="rId590" name="Check Box 596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1" r:id="rId591" name="Check Box 597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2" r:id="rId592" name="Check Box 598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3" r:id="rId593" name="Check Box 599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4" r:id="rId594" name="Check Box 600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5" r:id="rId595" name="Check Box 601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6" r:id="rId596" name="Check Box 602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7" r:id="rId597" name="Check Box 603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8" r:id="rId598" name="Check Box 604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9" r:id="rId599" name="Check Box 605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0" r:id="rId600" name="Check Box 606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1" r:id="rId601" name="Check Box 607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2" r:id="rId602" name="Check Box 608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3" r:id="rId603" name="Check Box 609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4" r:id="rId604" name="Check Box 610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5" r:id="rId605" name="Check Box 611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6" r:id="rId606" name="Check Box 612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7" r:id="rId607" name="Check Box 613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" r:id="rId608" name="Check Box 614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" r:id="rId609" name="Check Box 615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" r:id="rId610" name="Check Box 616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" r:id="rId611" name="Check Box 617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" r:id="rId612" name="Check Box 618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" r:id="rId613" name="Check Box 619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" r:id="rId614" name="Check Box 620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5" r:id="rId615" name="Check Box 621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6" r:id="rId616" name="Check Box 622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7" r:id="rId617" name="Check Box 623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8" r:id="rId618" name="Check Box 624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9" r:id="rId619" name="Check Box 625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0" r:id="rId620" name="Check Box 626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1" r:id="rId621" name="Check Box 627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2" r:id="rId622" name="Check Box 628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3" r:id="rId623" name="Check Box 629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4" r:id="rId624" name="Check Box 630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5" r:id="rId625" name="Check Box 631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6" r:id="rId626" name="Check Box 632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7" r:id="rId627" name="Check Box 633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8" r:id="rId628" name="Check Box 634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9" r:id="rId629" name="Check Box 635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0" r:id="rId630" name="Check Box 636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1" r:id="rId631" name="Check Box 637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2" r:id="rId632" name="Check Box 638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3" r:id="rId633" name="Check Box 639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4" r:id="rId634" name="Check Box 640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5" r:id="rId635" name="Check Box 641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6" r:id="rId636" name="Check Box 642">
              <controlPr defaultSize="0" autoFill="0" autoLine="0" autoPict="0">
                <anchor moveWithCells="1">
                  <from>
                    <xdr:col>2</xdr:col>
                    <xdr:colOff>1771650</xdr:colOff>
                    <xdr:row>82</xdr:row>
                    <xdr:rowOff>28575</xdr:rowOff>
                  </from>
                  <to>
                    <xdr:col>3</xdr:col>
                    <xdr:colOff>819150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7" r:id="rId637" name="Check Box 643">
              <controlPr defaultSize="0" autoFill="0" autoLine="0" autoPict="0">
                <anchor moveWithCells="1">
                  <from>
                    <xdr:col>3</xdr:col>
                    <xdr:colOff>828675</xdr:colOff>
                    <xdr:row>82</xdr:row>
                    <xdr:rowOff>28575</xdr:rowOff>
                  </from>
                  <to>
                    <xdr:col>4</xdr:col>
                    <xdr:colOff>638175</xdr:colOff>
                    <xdr:row>83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8" r:id="rId638" name="Check Box 644">
              <controlPr defaultSize="0" autoFill="0" autoLine="0" autoPict="0">
                <anchor moveWithCells="1">
                  <from>
                    <xdr:col>2</xdr:col>
                    <xdr:colOff>1200150</xdr:colOff>
                    <xdr:row>82</xdr:row>
                    <xdr:rowOff>38100</xdr:rowOff>
                  </from>
                  <to>
                    <xdr:col>3</xdr:col>
                    <xdr:colOff>114300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9" r:id="rId639" name="Check Box 645">
              <controlPr defaultSize="0" autoFill="0" autoLine="0" autoPict="0">
                <anchor moveWithCells="1">
                  <from>
                    <xdr:col>2</xdr:col>
                    <xdr:colOff>1190625</xdr:colOff>
                    <xdr:row>83</xdr:row>
                    <xdr:rowOff>9525</xdr:rowOff>
                  </from>
                  <to>
                    <xdr:col>3</xdr:col>
                    <xdr:colOff>104775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0" r:id="rId640" name="Check Box 646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1" r:id="rId641" name="Check Box 647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2" r:id="rId642" name="Check Box 648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3" r:id="rId643" name="Check Box 649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4" r:id="rId644" name="Check Box 650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5" r:id="rId645" name="Check Box 651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6" r:id="rId646" name="Check Box 652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7" r:id="rId647" name="Check Box 653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8" r:id="rId648" name="Check Box 654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9" r:id="rId649" name="Check Box 655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0" r:id="rId650" name="Check Box 656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1" r:id="rId651" name="Check Box 657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2" r:id="rId652" name="Check Box 658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3" r:id="rId653" name="Check Box 659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4" r:id="rId654" name="Check Box 660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5" r:id="rId655" name="Check Box 661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6" r:id="rId656" name="Check Box 662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7" r:id="rId657" name="Check Box 663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8" r:id="rId658" name="Check Box 664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9" r:id="rId659" name="Check Box 665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0" r:id="rId660" name="Check Box 666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1" r:id="rId661" name="Check Box 667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2" r:id="rId662" name="Check Box 668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3" r:id="rId663" name="Check Box 669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4" r:id="rId664" name="Check Box 670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5" r:id="rId665" name="Check Box 671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6" r:id="rId666" name="Check Box 672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7" r:id="rId667" name="Check Box 673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8" r:id="rId668" name="Check Box 674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9" r:id="rId669" name="Check Box 675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0" r:id="rId670" name="Check Box 676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1" r:id="rId671" name="Check Box 677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2" r:id="rId672" name="Check Box 678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3" r:id="rId673" name="Check Box 679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4" r:id="rId674" name="Check Box 680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5" r:id="rId675" name="Check Box 681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6" r:id="rId676" name="Check Box 682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7" r:id="rId677" name="Check Box 683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8" r:id="rId678" name="Check Box 684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9" r:id="rId679" name="Check Box 685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0" r:id="rId680" name="Check Box 686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1" r:id="rId681" name="Check Box 687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2" r:id="rId682" name="Check Box 688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3" r:id="rId683" name="Check Box 689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4" r:id="rId684" name="Check Box 690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5" r:id="rId685" name="Check Box 691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6" r:id="rId686" name="Check Box 692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7" r:id="rId687" name="Check Box 693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8" r:id="rId688" name="Check Box 694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9" r:id="rId689" name="Check Box 695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0" r:id="rId690" name="Check Box 696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1" r:id="rId691" name="Check Box 697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2" r:id="rId692" name="Check Box 698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3" r:id="rId693" name="Check Box 699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4" r:id="rId694" name="Check Box 700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5" r:id="rId695" name="Check Box 701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6" r:id="rId696" name="Check Box 702">
              <controlPr defaultSize="0" autoFill="0" autoLine="0" autoPict="0">
                <anchor moveWithCells="1">
                  <from>
                    <xdr:col>2</xdr:col>
                    <xdr:colOff>1771650</xdr:colOff>
                    <xdr:row>87</xdr:row>
                    <xdr:rowOff>28575</xdr:rowOff>
                  </from>
                  <to>
                    <xdr:col>3</xdr:col>
                    <xdr:colOff>819150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7" r:id="rId697" name="Check Box 703">
              <controlPr defaultSize="0" autoFill="0" autoLine="0" autoPict="0">
                <anchor moveWithCells="1">
                  <from>
                    <xdr:col>3</xdr:col>
                    <xdr:colOff>828675</xdr:colOff>
                    <xdr:row>87</xdr:row>
                    <xdr:rowOff>28575</xdr:rowOff>
                  </from>
                  <to>
                    <xdr:col>4</xdr:col>
                    <xdr:colOff>638175</xdr:colOff>
                    <xdr:row>88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8" r:id="rId698" name="Check Box 704">
              <controlPr defaultSize="0" autoFill="0" autoLine="0" autoPict="0">
                <anchor moveWithCells="1">
                  <from>
                    <xdr:col>2</xdr:col>
                    <xdr:colOff>1200150</xdr:colOff>
                    <xdr:row>87</xdr:row>
                    <xdr:rowOff>38100</xdr:rowOff>
                  </from>
                  <to>
                    <xdr:col>3</xdr:col>
                    <xdr:colOff>114300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9" r:id="rId699" name="Check Box 705">
              <controlPr defaultSize="0" autoFill="0" autoLine="0" autoPict="0">
                <anchor moveWithCells="1">
                  <from>
                    <xdr:col>2</xdr:col>
                    <xdr:colOff>1190625</xdr:colOff>
                    <xdr:row>88</xdr:row>
                    <xdr:rowOff>9525</xdr:rowOff>
                  </from>
                  <to>
                    <xdr:col>3</xdr:col>
                    <xdr:colOff>104775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0" r:id="rId700" name="Check Box 706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1" r:id="rId701" name="Check Box 707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2" r:id="rId702" name="Check Box 708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3" r:id="rId703" name="Check Box 709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4" r:id="rId704" name="Check Box 710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5" r:id="rId705" name="Check Box 711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6" r:id="rId706" name="Check Box 712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7" r:id="rId707" name="Check Box 713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8" r:id="rId708" name="Check Box 714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9" r:id="rId709" name="Check Box 715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0" r:id="rId710" name="Check Box 716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" r:id="rId711" name="Check Box 717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2" r:id="rId712" name="Check Box 718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3" r:id="rId713" name="Check Box 719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4" r:id="rId714" name="Check Box 720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5" r:id="rId715" name="Check Box 721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6" r:id="rId716" name="Check Box 722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7" r:id="rId717" name="Check Box 723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8" r:id="rId718" name="Check Box 724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9" r:id="rId719" name="Check Box 725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0" r:id="rId720" name="Check Box 726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1" r:id="rId721" name="Check Box 727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2" r:id="rId722" name="Check Box 728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3" r:id="rId723" name="Check Box 729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4" r:id="rId724" name="Check Box 730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5" r:id="rId725" name="Check Box 731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6" r:id="rId726" name="Check Box 732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7" r:id="rId727" name="Check Box 733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8" r:id="rId728" name="Check Box 734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9" r:id="rId729" name="Check Box 735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0" r:id="rId730" name="Check Box 736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1" r:id="rId731" name="Check Box 737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2" r:id="rId732" name="Check Box 738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3" r:id="rId733" name="Check Box 739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4" r:id="rId734" name="Check Box 740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5" r:id="rId735" name="Check Box 741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6" r:id="rId736" name="Check Box 742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7" r:id="rId737" name="Check Box 743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8" r:id="rId738" name="Check Box 744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9" r:id="rId739" name="Check Box 745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0" r:id="rId740" name="Check Box 746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1" r:id="rId741" name="Check Box 747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2" r:id="rId742" name="Check Box 748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3" r:id="rId743" name="Check Box 749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4" r:id="rId744" name="Check Box 750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5" r:id="rId745" name="Check Box 751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6" r:id="rId746" name="Check Box 752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7" r:id="rId747" name="Check Box 753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8" r:id="rId748" name="Check Box 754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9" r:id="rId749" name="Check Box 755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0" r:id="rId750" name="Check Box 756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1" r:id="rId751" name="Check Box 757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2" r:id="rId752" name="Check Box 758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3" r:id="rId753" name="Check Box 759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4" r:id="rId754" name="Check Box 760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5" r:id="rId755" name="Check Box 761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6" r:id="rId756" name="Check Box 762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7" r:id="rId757" name="Check Box 763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8" r:id="rId758" name="Check Box 764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9" r:id="rId759" name="Check Box 765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0" r:id="rId760" name="Check Box 766">
              <controlPr defaultSize="0" autoFill="0" autoLine="0" autoPict="0">
                <anchor moveWithCells="1">
                  <from>
                    <xdr:col>2</xdr:col>
                    <xdr:colOff>1771650</xdr:colOff>
                    <xdr:row>92</xdr:row>
                    <xdr:rowOff>28575</xdr:rowOff>
                  </from>
                  <to>
                    <xdr:col>3</xdr:col>
                    <xdr:colOff>819150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1" r:id="rId761" name="Check Box 767">
              <controlPr defaultSize="0" autoFill="0" autoLine="0" autoPict="0">
                <anchor moveWithCells="1">
                  <from>
                    <xdr:col>3</xdr:col>
                    <xdr:colOff>828675</xdr:colOff>
                    <xdr:row>92</xdr:row>
                    <xdr:rowOff>28575</xdr:rowOff>
                  </from>
                  <to>
                    <xdr:col>4</xdr:col>
                    <xdr:colOff>638175</xdr:colOff>
                    <xdr:row>93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2" r:id="rId762" name="Check Box 768">
              <controlPr defaultSize="0" autoFill="0" autoLine="0" autoPict="0">
                <anchor moveWithCells="1">
                  <from>
                    <xdr:col>2</xdr:col>
                    <xdr:colOff>1200150</xdr:colOff>
                    <xdr:row>92</xdr:row>
                    <xdr:rowOff>38100</xdr:rowOff>
                  </from>
                  <to>
                    <xdr:col>3</xdr:col>
                    <xdr:colOff>114300</xdr:colOff>
                    <xdr:row>93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3" r:id="rId763" name="Check Box 769">
              <controlPr defaultSize="0" autoFill="0" autoLine="0" autoPict="0">
                <anchor moveWithCells="1">
                  <from>
                    <xdr:col>2</xdr:col>
                    <xdr:colOff>1190625</xdr:colOff>
                    <xdr:row>93</xdr:row>
                    <xdr:rowOff>9525</xdr:rowOff>
                  </from>
                  <to>
                    <xdr:col>3</xdr:col>
                    <xdr:colOff>104775</xdr:colOff>
                    <xdr:row>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4" r:id="rId764" name="Check Box 770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5" r:id="rId765" name="Check Box 771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6" r:id="rId766" name="Check Box 772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7" r:id="rId767" name="Check Box 773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8" r:id="rId768" name="Check Box 774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9" r:id="rId769" name="Check Box 775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0" r:id="rId770" name="Check Box 776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1" r:id="rId771" name="Check Box 777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2" r:id="rId772" name="Check Box 778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3" r:id="rId773" name="Check Box 779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4" r:id="rId774" name="Check Box 780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5" r:id="rId775" name="Check Box 781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6" r:id="rId776" name="Check Box 782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7" r:id="rId777" name="Check Box 783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8" r:id="rId778" name="Check Box 784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9" r:id="rId779" name="Check Box 785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0" r:id="rId780" name="Check Box 786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1" r:id="rId781" name="Check Box 787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2" r:id="rId782" name="Check Box 788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3" r:id="rId783" name="Check Box 789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4" r:id="rId784" name="Check Box 790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5" r:id="rId785" name="Check Box 791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6" r:id="rId786" name="Check Box 792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7" r:id="rId787" name="Check Box 793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8" r:id="rId788" name="Check Box 794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9" r:id="rId789" name="Check Box 795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0" r:id="rId790" name="Check Box 796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1" r:id="rId791" name="Check Box 797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2" r:id="rId792" name="Check Box 798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3" r:id="rId793" name="Check Box 799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4" r:id="rId794" name="Check Box 800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5" r:id="rId795" name="Check Box 801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6" r:id="rId796" name="Check Box 802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7" r:id="rId797" name="Check Box 803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8" r:id="rId798" name="Check Box 804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9" r:id="rId799" name="Check Box 805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0" r:id="rId800" name="Check Box 806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1" r:id="rId801" name="Check Box 807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2" r:id="rId802" name="Check Box 808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3" r:id="rId803" name="Check Box 809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4" r:id="rId804" name="Check Box 810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5" r:id="rId805" name="Check Box 811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6" r:id="rId806" name="Check Box 812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7" r:id="rId807" name="Check Box 813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8" r:id="rId808" name="Check Box 814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9" r:id="rId809" name="Check Box 815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0" r:id="rId810" name="Check Box 816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1" r:id="rId811" name="Check Box 817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2" r:id="rId812" name="Check Box 818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" r:id="rId813" name="Check Box 819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4" r:id="rId814" name="Check Box 820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5" r:id="rId815" name="Check Box 821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6" r:id="rId816" name="Check Box 822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7" r:id="rId817" name="Check Box 823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8" r:id="rId818" name="Check Box 824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9" r:id="rId819" name="Check Box 825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0" r:id="rId820" name="Check Box 826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1" r:id="rId821" name="Check Box 827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2" r:id="rId822" name="Check Box 828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3" r:id="rId823" name="Check Box 829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4" r:id="rId824" name="Check Box 830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5" r:id="rId825" name="Check Box 831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6" r:id="rId826" name="Check Box 832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7" r:id="rId827" name="Check Box 833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8" r:id="rId828" name="Check Box 834">
              <controlPr defaultSize="0" autoFill="0" autoLine="0" autoPict="0">
                <anchor moveWithCells="1">
                  <from>
                    <xdr:col>2</xdr:col>
                    <xdr:colOff>1771650</xdr:colOff>
                    <xdr:row>97</xdr:row>
                    <xdr:rowOff>28575</xdr:rowOff>
                  </from>
                  <to>
                    <xdr:col>3</xdr:col>
                    <xdr:colOff>819150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9" r:id="rId829" name="Check Box 835">
              <controlPr defaultSize="0" autoFill="0" autoLine="0" autoPict="0">
                <anchor moveWithCells="1">
                  <from>
                    <xdr:col>3</xdr:col>
                    <xdr:colOff>828675</xdr:colOff>
                    <xdr:row>97</xdr:row>
                    <xdr:rowOff>28575</xdr:rowOff>
                  </from>
                  <to>
                    <xdr:col>4</xdr:col>
                    <xdr:colOff>638175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0" r:id="rId830" name="Check Box 836">
              <controlPr defaultSize="0" autoFill="0" autoLine="0" autoPict="0">
                <anchor moveWithCells="1">
                  <from>
                    <xdr:col>2</xdr:col>
                    <xdr:colOff>1200150</xdr:colOff>
                    <xdr:row>97</xdr:row>
                    <xdr:rowOff>38100</xdr:rowOff>
                  </from>
                  <to>
                    <xdr:col>3</xdr:col>
                    <xdr:colOff>114300</xdr:colOff>
                    <xdr:row>98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1" r:id="rId831" name="Check Box 837">
              <controlPr defaultSize="0" autoFill="0" autoLine="0" autoPict="0">
                <anchor moveWithCells="1">
                  <from>
                    <xdr:col>2</xdr:col>
                    <xdr:colOff>1190625</xdr:colOff>
                    <xdr:row>98</xdr:row>
                    <xdr:rowOff>9525</xdr:rowOff>
                  </from>
                  <to>
                    <xdr:col>3</xdr:col>
                    <xdr:colOff>104775</xdr:colOff>
                    <xdr:row>99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6"/>
  <dimension ref="A1:K31"/>
  <sheetViews>
    <sheetView zoomScale="175" zoomScaleNormal="175" workbookViewId="0">
      <selection activeCell="F16" sqref="F16"/>
    </sheetView>
  </sheetViews>
  <sheetFormatPr baseColWidth="10" defaultRowHeight="15" x14ac:dyDescent="0.25"/>
  <cols>
    <col min="1" max="6" width="15.7109375" customWidth="1"/>
    <col min="7" max="10" width="15" customWidth="1"/>
  </cols>
  <sheetData>
    <row r="1" spans="1:11" ht="21" x14ac:dyDescent="0.25">
      <c r="A1" s="313" t="str">
        <f>CONCATENATE("CIERRE ORDEN DE PRODUCCION:    ",Ordenes!J2)</f>
        <v xml:space="preserve">CIERRE ORDEN DE PRODUCCION:    </v>
      </c>
      <c r="B1" s="184"/>
      <c r="D1" s="313" t="str">
        <f>Ordenes!$F$2</f>
        <v>OP1322</v>
      </c>
    </row>
    <row r="3" spans="1:11" ht="15.75" x14ac:dyDescent="0.25">
      <c r="A3" s="182" t="s">
        <v>13</v>
      </c>
      <c r="B3" s="183">
        <f ca="1">+Ordenes!$C$3</f>
        <v>46006</v>
      </c>
      <c r="C3" s="184"/>
      <c r="D3" s="185"/>
      <c r="E3" s="186"/>
      <c r="F3" s="184"/>
      <c r="G3" s="184"/>
    </row>
    <row r="4" spans="1:11" ht="15.75" x14ac:dyDescent="0.25">
      <c r="A4" s="182" t="s">
        <v>4</v>
      </c>
      <c r="B4" s="222" t="str">
        <f>+Ordenes!$C$4</f>
        <v>Balde Payero Romano</v>
      </c>
      <c r="C4" s="191"/>
      <c r="D4" s="226" t="str">
        <f>IF(Ordenes!$D$4 = "", "",Ordenes!$D$4)</f>
        <v/>
      </c>
      <c r="E4" s="187" t="s">
        <v>3</v>
      </c>
      <c r="F4" s="188" t="str">
        <f>Ordenes!$F$3</f>
        <v>HT-320 A</v>
      </c>
      <c r="G4" s="188"/>
    </row>
    <row r="5" spans="1:11" ht="18.75" x14ac:dyDescent="0.3">
      <c r="A5" s="182" t="s">
        <v>90</v>
      </c>
      <c r="B5" s="349">
        <f>Ordenes!$K$21</f>
        <v>1005.7471264367815</v>
      </c>
      <c r="C5" s="184"/>
      <c r="D5" s="184"/>
      <c r="E5" s="184"/>
      <c r="F5" s="184"/>
      <c r="G5" s="184"/>
    </row>
    <row r="6" spans="1:11" ht="15.75" x14ac:dyDescent="0.25">
      <c r="A6" s="184"/>
      <c r="B6" s="184"/>
      <c r="C6" s="184"/>
      <c r="D6" s="184"/>
      <c r="E6" s="184"/>
      <c r="F6" s="184"/>
      <c r="G6" s="184"/>
    </row>
    <row r="7" spans="1:11" ht="15.75" x14ac:dyDescent="0.25">
      <c r="A7" s="223">
        <f>+Ordenes!A7</f>
        <v>0</v>
      </c>
      <c r="B7" s="188"/>
      <c r="C7" s="188"/>
      <c r="D7" s="188"/>
      <c r="E7" s="188"/>
      <c r="F7" s="188"/>
      <c r="G7" s="188"/>
      <c r="K7" s="413"/>
    </row>
    <row r="8" spans="1:11" ht="15.75" x14ac:dyDescent="0.25">
      <c r="A8" s="419" t="s">
        <v>214</v>
      </c>
      <c r="B8" s="205">
        <f>+Ordenes!$B$21</f>
        <v>2.1864067966016991</v>
      </c>
      <c r="C8" s="184"/>
      <c r="D8" s="419" t="s">
        <v>213</v>
      </c>
      <c r="E8" s="190"/>
      <c r="F8" s="209">
        <f>+Ordenes!$D$7</f>
        <v>87</v>
      </c>
      <c r="G8" s="414"/>
      <c r="K8" s="413"/>
    </row>
    <row r="9" spans="1:11" ht="15.75" x14ac:dyDescent="0.25">
      <c r="A9" s="419" t="s">
        <v>215</v>
      </c>
      <c r="B9" s="206">
        <f>+Ordenes!$H$7</f>
        <v>23</v>
      </c>
      <c r="C9" s="184"/>
      <c r="D9" s="419" t="s">
        <v>212</v>
      </c>
      <c r="E9" s="190"/>
      <c r="F9" s="209">
        <f>+Ordenes!$F$7</f>
        <v>176</v>
      </c>
      <c r="G9" s="414"/>
      <c r="K9" s="413"/>
    </row>
    <row r="10" spans="1:11" ht="15.75" x14ac:dyDescent="0.25">
      <c r="A10" s="419" t="s">
        <v>216</v>
      </c>
      <c r="B10" s="207">
        <f>+Ordenes!$E$7</f>
        <v>2</v>
      </c>
      <c r="C10" s="184"/>
      <c r="D10" s="419" t="s">
        <v>217</v>
      </c>
      <c r="E10" s="190"/>
      <c r="F10" s="210">
        <f>+Ordenes!$F$21</f>
        <v>1.1363636363636364E-2</v>
      </c>
      <c r="G10" s="415"/>
      <c r="K10" s="413"/>
    </row>
    <row r="11" spans="1:11" ht="15.75" x14ac:dyDescent="0.25">
      <c r="A11" s="419" t="s">
        <v>221</v>
      </c>
      <c r="B11" s="208">
        <f>3600/Ordenes!$G$7</f>
        <v>120</v>
      </c>
      <c r="C11" s="184"/>
      <c r="D11" s="419" t="s">
        <v>2</v>
      </c>
      <c r="E11" s="190"/>
      <c r="F11" s="211" t="str">
        <f>CONCATENATE(TEXT(Ordenes!$I$7,"DD/MM")," a ",TEXT(Ordenes!$A$21,"DD/MM"))</f>
        <v>20/11 a 22/11</v>
      </c>
      <c r="G11" s="186"/>
    </row>
    <row r="14" spans="1:11" ht="15.75" x14ac:dyDescent="0.25">
      <c r="A14" s="410" t="s">
        <v>519</v>
      </c>
    </row>
    <row r="15" spans="1:11" s="429" customFormat="1" ht="26.25" customHeight="1" x14ac:dyDescent="0.25">
      <c r="A15" s="589" t="s">
        <v>510</v>
      </c>
      <c r="B15" s="589"/>
      <c r="C15" s="589" t="s">
        <v>511</v>
      </c>
      <c r="D15" s="589"/>
      <c r="F15" s="429">
        <f>3600/90</f>
        <v>40</v>
      </c>
    </row>
    <row r="16" spans="1:11" s="425" customFormat="1" ht="26.25" customHeight="1" x14ac:dyDescent="0.25">
      <c r="A16" s="428" t="s">
        <v>508</v>
      </c>
      <c r="B16" s="428" t="s">
        <v>509</v>
      </c>
      <c r="C16" s="428" t="s">
        <v>522</v>
      </c>
      <c r="D16" s="428" t="s">
        <v>523</v>
      </c>
    </row>
    <row r="17" spans="1:6" ht="21.75" customHeight="1" x14ac:dyDescent="0.25">
      <c r="A17" s="411">
        <f>+Ordenes!$D$21</f>
        <v>1050</v>
      </c>
      <c r="B17" s="411">
        <f>+Ordenes!$E$21</f>
        <v>1061.9318181818182</v>
      </c>
      <c r="C17" s="412"/>
      <c r="D17" s="412"/>
    </row>
    <row r="19" spans="1:6" s="429" customFormat="1" ht="26.25" customHeight="1" x14ac:dyDescent="0.25">
      <c r="A19" s="590" t="s">
        <v>525</v>
      </c>
      <c r="B19" s="591"/>
      <c r="C19" s="592"/>
      <c r="D19" s="589" t="s">
        <v>526</v>
      </c>
      <c r="E19" s="589"/>
      <c r="F19" s="589"/>
    </row>
    <row r="20" spans="1:6" s="425" customFormat="1" ht="26.25" customHeight="1" x14ac:dyDescent="0.25">
      <c r="A20" s="428" t="s">
        <v>516</v>
      </c>
      <c r="B20" s="428" t="s">
        <v>517</v>
      </c>
      <c r="C20" s="428" t="s">
        <v>524</v>
      </c>
      <c r="D20" s="428" t="s">
        <v>516</v>
      </c>
      <c r="E20" s="428" t="s">
        <v>517</v>
      </c>
      <c r="F20" s="428" t="s">
        <v>524</v>
      </c>
    </row>
    <row r="21" spans="1:6" ht="21.75" customHeight="1" x14ac:dyDescent="0.25">
      <c r="A21" s="417" t="str">
        <f>IF($C$17="", "",$C$17-$A$17)</f>
        <v/>
      </c>
      <c r="B21" s="418" t="str">
        <f>IF($A$21="","",1+$A$21/$A$17)</f>
        <v/>
      </c>
      <c r="C21" s="416" t="str">
        <f>IF($B$21="","",IF(OR($B$21&lt;96%,$B$21&gt;104%),"Deficiente",IF(OR(AND($B$21&gt;=96%,$B$21&lt;98%),AND($B$21&gt;102%,$B$21&lt;=104%)),"Mejorable","Eficiente")))</f>
        <v/>
      </c>
      <c r="D21" s="417" t="str">
        <f>IF($D$17="", "",$D$17-$B$17)</f>
        <v/>
      </c>
      <c r="E21" s="418" t="str">
        <f>IF($D$21="","",1+$D$21/$B$17)</f>
        <v/>
      </c>
      <c r="F21" s="416" t="str">
        <f>IF($E$21="","",IF(OR($E$21&lt;96%,$E$21&gt;104%),"Deficiente",IF(OR(AND($E$21&gt;=96%,$E$21&lt;98%),AND($E$21&gt;102%,$E$21&lt;=104%)),"Mejorable","Eficiente")))</f>
        <v/>
      </c>
    </row>
    <row r="24" spans="1:6" ht="15.75" x14ac:dyDescent="0.25">
      <c r="A24" s="410" t="s">
        <v>520</v>
      </c>
    </row>
    <row r="25" spans="1:6" s="429" customFormat="1" ht="26.25" customHeight="1" x14ac:dyDescent="0.25">
      <c r="A25" s="426" t="s">
        <v>512</v>
      </c>
      <c r="B25" s="426" t="s">
        <v>513</v>
      </c>
      <c r="C25" s="427" t="s">
        <v>516</v>
      </c>
      <c r="D25" s="427" t="s">
        <v>518</v>
      </c>
      <c r="E25" s="427" t="s">
        <v>524</v>
      </c>
    </row>
    <row r="26" spans="1:6" ht="21.75" customHeight="1" x14ac:dyDescent="0.25">
      <c r="A26" s="431">
        <f>Ordenes!$L$46</f>
        <v>50.287356321839084</v>
      </c>
      <c r="B26" s="421"/>
      <c r="C26" s="420" t="str">
        <f>IF($B$26="","",$B$26-$A$26)</f>
        <v/>
      </c>
      <c r="D26" s="422" t="str">
        <f>IF($C$26="","",1+$C$26/$A$26)</f>
        <v/>
      </c>
      <c r="E26" s="416" t="str">
        <f>IF($D$26="","",IF(OR($D$26&lt;96%,$D$26&gt;104%),"Deficiente",IF(OR(AND($D$26&gt;=96%,$D$26&lt;98%),AND($D$26&gt;102%,$D$26&lt;=104%)),"Mejorable","Eficiente")))</f>
        <v/>
      </c>
    </row>
    <row r="27" spans="1:6" x14ac:dyDescent="0.25">
      <c r="A27" s="432"/>
      <c r="B27" t="s">
        <v>527</v>
      </c>
    </row>
    <row r="29" spans="1:6" ht="15.75" x14ac:dyDescent="0.25">
      <c r="A29" s="410" t="s">
        <v>521</v>
      </c>
    </row>
    <row r="30" spans="1:6" s="429" customFormat="1" ht="26.25" customHeight="1" x14ac:dyDescent="0.25">
      <c r="A30" s="426" t="s">
        <v>514</v>
      </c>
      <c r="B30" s="426" t="s">
        <v>515</v>
      </c>
      <c r="C30" s="426" t="s">
        <v>516</v>
      </c>
      <c r="D30" s="426" t="s">
        <v>518</v>
      </c>
      <c r="E30" s="427" t="s">
        <v>524</v>
      </c>
    </row>
    <row r="31" spans="1:6" ht="21.75" customHeight="1" x14ac:dyDescent="0.25">
      <c r="A31" s="433">
        <f>Ordenes!$C$21</f>
        <v>50.287356321839077</v>
      </c>
      <c r="B31" s="421"/>
      <c r="C31" s="420" t="str">
        <f>IF($B$31="","",$B$31-$A$31)</f>
        <v/>
      </c>
      <c r="D31" s="422" t="str">
        <f>IF($C$31="","",1+$C$31/$A$31)</f>
        <v/>
      </c>
      <c r="E31" s="416" t="str">
        <f>IF($D$31="","",IF(OR($D$31&lt;96%,$D$31&gt;104%),"Deficiente",IF(OR(AND($D$31&gt;=96%,$D$31&lt;98%),AND($D$31&gt;102%,$D$31&lt;=104%)),"Mejorable","Eficiente")))</f>
        <v/>
      </c>
    </row>
  </sheetData>
  <mergeCells count="4">
    <mergeCell ref="A15:B15"/>
    <mergeCell ref="C15:D15"/>
    <mergeCell ref="A19:C19"/>
    <mergeCell ref="D19:F19"/>
  </mergeCells>
  <conditionalFormatting sqref="C21">
    <cfRule type="expression" dxfId="16" priority="10">
      <formula>$C$21="Eficiente"</formula>
    </cfRule>
    <cfRule type="expression" dxfId="15" priority="11">
      <formula>$C$21="Mejorable"</formula>
    </cfRule>
    <cfRule type="expression" dxfId="14" priority="12">
      <formula>$C$21="Deficiente"</formula>
    </cfRule>
  </conditionalFormatting>
  <conditionalFormatting sqref="F21">
    <cfRule type="expression" dxfId="13" priority="7">
      <formula>$F$21="Eficiente"</formula>
    </cfRule>
    <cfRule type="expression" dxfId="12" priority="8">
      <formula>$F$21="Mejorable"</formula>
    </cfRule>
    <cfRule type="expression" dxfId="11" priority="9">
      <formula>$F$21="Deficiente"</formula>
    </cfRule>
  </conditionalFormatting>
  <conditionalFormatting sqref="E26">
    <cfRule type="expression" dxfId="10" priority="4">
      <formula>$E$26="Eficiente"</formula>
    </cfRule>
    <cfRule type="expression" dxfId="9" priority="5">
      <formula>$E$26="Mejorable"</formula>
    </cfRule>
    <cfRule type="expression" dxfId="8" priority="6">
      <formula>$E$26="Deficiente"</formula>
    </cfRule>
  </conditionalFormatting>
  <conditionalFormatting sqref="E31">
    <cfRule type="expression" dxfId="7" priority="1">
      <formula>$E$31="Eficiente"</formula>
    </cfRule>
    <cfRule type="expression" dxfId="6" priority="2">
      <formula>$E$31="Mejorable"</formula>
    </cfRule>
    <cfRule type="expression" dxfId="5" priority="3">
      <formula>$E$31="Deficiente"</formula>
    </cfRule>
  </conditionalFormatting>
  <pageMargins left="0.25" right="0.25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tabColor theme="3" tint="0.59999389629810485"/>
  </sheetPr>
  <dimension ref="A1:H51"/>
  <sheetViews>
    <sheetView topLeftCell="A7" zoomScaleNormal="100" workbookViewId="0">
      <selection activeCell="G22" sqref="G22"/>
    </sheetView>
  </sheetViews>
  <sheetFormatPr baseColWidth="10" defaultRowHeight="15" x14ac:dyDescent="0.25"/>
  <cols>
    <col min="1" max="1" width="13.7109375" customWidth="1"/>
    <col min="2" max="2" width="20.28515625" bestFit="1" customWidth="1"/>
    <col min="3" max="3" width="8.7109375" bestFit="1" customWidth="1"/>
    <col min="4" max="4" width="16.7109375" customWidth="1"/>
    <col min="5" max="5" width="5.85546875" customWidth="1"/>
    <col min="6" max="6" width="23.42578125" bestFit="1" customWidth="1"/>
    <col min="7" max="7" width="8.42578125" customWidth="1"/>
    <col min="8" max="8" width="1" style="44" customWidth="1"/>
  </cols>
  <sheetData>
    <row r="1" spans="1:8" s="172" customFormat="1" ht="23.25" x14ac:dyDescent="0.35">
      <c r="A1" s="171" t="s">
        <v>484</v>
      </c>
    </row>
    <row r="2" spans="1:8" ht="4.5" customHeight="1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86" t="s">
        <v>13</v>
      </c>
      <c r="B3" s="87">
        <f ca="1">+Ordenes!$C$3</f>
        <v>46006</v>
      </c>
      <c r="C3" s="44"/>
      <c r="D3" s="88"/>
      <c r="E3" s="89"/>
      <c r="G3" s="66"/>
      <c r="H3" s="66"/>
    </row>
    <row r="4" spans="1:8" x14ac:dyDescent="0.25">
      <c r="A4" s="86" t="s">
        <v>4</v>
      </c>
      <c r="B4" s="87" t="str">
        <f>+Ordenes!$C$4</f>
        <v>Balde Payero Romano</v>
      </c>
      <c r="C4" s="87"/>
      <c r="D4" s="88" t="s">
        <v>246</v>
      </c>
      <c r="E4" s="170" t="str">
        <f>+Ordenes!F2</f>
        <v>OP1322</v>
      </c>
      <c r="F4" s="66"/>
      <c r="G4" s="66"/>
      <c r="H4" s="66"/>
    </row>
    <row r="5" spans="1:8" ht="3" customHeight="1" x14ac:dyDescent="0.25">
      <c r="A5" s="66"/>
      <c r="B5" s="66"/>
      <c r="C5" s="66"/>
      <c r="D5" s="66"/>
      <c r="E5" s="66"/>
      <c r="F5" s="66"/>
      <c r="G5" s="66"/>
      <c r="H5" s="66"/>
    </row>
    <row r="6" spans="1:8" s="56" customFormat="1" x14ac:dyDescent="0.25">
      <c r="A6" s="175" t="s">
        <v>247</v>
      </c>
      <c r="B6" s="174" t="s">
        <v>248</v>
      </c>
      <c r="C6" s="78"/>
      <c r="D6" s="78"/>
      <c r="E6" s="78"/>
      <c r="F6" s="78"/>
      <c r="G6" s="78"/>
      <c r="H6" s="78"/>
    </row>
    <row r="7" spans="1:8" s="56" customFormat="1" x14ac:dyDescent="0.25">
      <c r="A7" s="78"/>
      <c r="B7" s="78"/>
      <c r="C7" s="78"/>
      <c r="D7" s="78" t="s">
        <v>249</v>
      </c>
      <c r="E7" s="176"/>
      <c r="F7" s="176"/>
      <c r="G7" s="78"/>
      <c r="H7" s="78"/>
    </row>
    <row r="8" spans="1:8" s="56" customFormat="1" x14ac:dyDescent="0.25">
      <c r="A8" s="169"/>
      <c r="B8" s="78"/>
      <c r="C8" s="78"/>
      <c r="D8" s="78"/>
      <c r="E8" s="78"/>
      <c r="F8" s="78"/>
      <c r="G8" s="78"/>
      <c r="H8" s="78"/>
    </row>
    <row r="9" spans="1:8" x14ac:dyDescent="0.25">
      <c r="A9" s="112" t="s">
        <v>214</v>
      </c>
      <c r="B9" s="113">
        <f>+Ordenes!B21</f>
        <v>2.1864067966016991</v>
      </c>
      <c r="C9" s="66"/>
      <c r="D9" s="112" t="s">
        <v>213</v>
      </c>
      <c r="E9" s="129"/>
      <c r="F9" s="130">
        <f>+Ordenes!D7</f>
        <v>87</v>
      </c>
      <c r="G9" s="66"/>
      <c r="H9" s="66"/>
    </row>
    <row r="10" spans="1:8" x14ac:dyDescent="0.25">
      <c r="A10" s="112" t="s">
        <v>215</v>
      </c>
      <c r="B10" s="114">
        <f>+Ordenes!H7</f>
        <v>23</v>
      </c>
      <c r="C10" s="66"/>
      <c r="D10" s="112" t="s">
        <v>212</v>
      </c>
      <c r="E10" s="129"/>
      <c r="F10" s="130">
        <f>+Ordenes!F7</f>
        <v>176</v>
      </c>
      <c r="G10" s="66"/>
      <c r="H10" s="66"/>
    </row>
    <row r="11" spans="1:8" x14ac:dyDescent="0.25">
      <c r="A11" s="112" t="s">
        <v>216</v>
      </c>
      <c r="B11" s="115">
        <f>+Ordenes!E7</f>
        <v>2</v>
      </c>
      <c r="C11" s="66"/>
      <c r="D11" s="112" t="s">
        <v>217</v>
      </c>
      <c r="E11" s="129"/>
      <c r="F11" s="131">
        <f>+Ordenes!F21</f>
        <v>1.1363636363636364E-2</v>
      </c>
      <c r="G11" s="66"/>
      <c r="H11" s="66"/>
    </row>
    <row r="12" spans="1:8" x14ac:dyDescent="0.25">
      <c r="A12" s="112" t="s">
        <v>221</v>
      </c>
      <c r="B12" s="116">
        <f>3600/Ordenes!G7</f>
        <v>120</v>
      </c>
      <c r="C12" s="66"/>
      <c r="D12" s="112" t="s">
        <v>2</v>
      </c>
      <c r="E12" s="129"/>
      <c r="F12" s="132" t="str">
        <f>CONCATENATE(TEXT(Ordenes!I7,"DD/MM")," a ",TEXT(Ordenes!A21,"DD/MM"))</f>
        <v>20/11 a 22/11</v>
      </c>
      <c r="G12" s="66"/>
      <c r="H12" s="66"/>
    </row>
    <row r="13" spans="1:8" x14ac:dyDescent="0.25">
      <c r="A13" s="133"/>
      <c r="B13" s="133"/>
      <c r="C13" s="66"/>
      <c r="D13" s="66"/>
      <c r="E13" s="66"/>
      <c r="F13" s="119"/>
      <c r="G13" s="66"/>
      <c r="H13" s="66"/>
    </row>
    <row r="14" spans="1:8" x14ac:dyDescent="0.25">
      <c r="A14" s="117"/>
      <c r="B14" s="118"/>
      <c r="C14" s="118"/>
      <c r="D14" s="117"/>
      <c r="E14" s="117"/>
      <c r="F14" s="119"/>
      <c r="G14" s="66"/>
      <c r="H14" s="66"/>
    </row>
    <row r="15" spans="1:8" x14ac:dyDescent="0.25">
      <c r="A15" s="120" t="s">
        <v>0</v>
      </c>
      <c r="B15" s="121" t="s">
        <v>210</v>
      </c>
      <c r="C15" s="121"/>
      <c r="D15" s="120" t="s">
        <v>211</v>
      </c>
      <c r="E15" s="120"/>
      <c r="F15" s="120" t="s">
        <v>58</v>
      </c>
      <c r="G15" s="120"/>
      <c r="H15" s="66"/>
    </row>
    <row r="16" spans="1:8" x14ac:dyDescent="0.25">
      <c r="A16" s="149" t="str">
        <f>+Ordenes!B27</f>
        <v>Amarillo</v>
      </c>
      <c r="B16" s="78">
        <f>IF($A16="","",Ordenes!J27)</f>
        <v>176.98863636363637</v>
      </c>
      <c r="C16" s="78"/>
      <c r="D16" s="78">
        <f>+Ordenes!K27</f>
        <v>178.99987086776864</v>
      </c>
      <c r="E16" s="151"/>
      <c r="F16" s="152">
        <f>+B16*1000/Ordenes!$D$7</f>
        <v>2034.352142110763</v>
      </c>
      <c r="G16" s="122"/>
      <c r="H16" s="66"/>
    </row>
    <row r="17" spans="1:8" x14ac:dyDescent="0.25">
      <c r="A17" s="149" t="str">
        <f>+Ordenes!B28</f>
        <v>Azul</v>
      </c>
      <c r="B17" s="78">
        <f>IF($A17="","",Ordenes!J28)</f>
        <v>176.98863636363637</v>
      </c>
      <c r="C17" s="78"/>
      <c r="D17" s="78">
        <f>+Ordenes!K28</f>
        <v>178.99987086776864</v>
      </c>
      <c r="E17" s="151"/>
      <c r="F17" s="152">
        <f>+B17*1000/Ordenes!$D$7</f>
        <v>2034.352142110763</v>
      </c>
      <c r="G17" s="122"/>
      <c r="H17" s="66"/>
    </row>
    <row r="18" spans="1:8" x14ac:dyDescent="0.25">
      <c r="A18" s="149" t="str">
        <f>+Ordenes!B29</f>
        <v>Rojo</v>
      </c>
      <c r="B18" s="78">
        <f>IF($A18="","",Ordenes!J29)</f>
        <v>176.98863636363637</v>
      </c>
      <c r="C18" s="78"/>
      <c r="D18" s="78">
        <f>+Ordenes!K29</f>
        <v>178.99987086776864</v>
      </c>
      <c r="E18" s="151"/>
      <c r="F18" s="152">
        <f>+B18*1000/Ordenes!$D$7</f>
        <v>2034.352142110763</v>
      </c>
      <c r="G18" s="122"/>
      <c r="H18" s="66"/>
    </row>
    <row r="19" spans="1:8" x14ac:dyDescent="0.25">
      <c r="A19" s="149" t="str">
        <f>+Ordenes!B30</f>
        <v>Fucsia</v>
      </c>
      <c r="B19" s="78">
        <f>IF($A19="","",Ordenes!J30)</f>
        <v>176.98863636363637</v>
      </c>
      <c r="C19" s="78"/>
      <c r="D19" s="78">
        <f>+Ordenes!K30</f>
        <v>178.99987086776864</v>
      </c>
      <c r="E19" s="151"/>
      <c r="F19" s="152">
        <f>+B19*1000/Ordenes!$D$7</f>
        <v>2034.352142110763</v>
      </c>
      <c r="G19" s="122"/>
      <c r="H19" s="66"/>
    </row>
    <row r="20" spans="1:8" x14ac:dyDescent="0.25">
      <c r="A20" s="149" t="str">
        <f>+Ordenes!B31</f>
        <v>Verde</v>
      </c>
      <c r="B20" s="78">
        <f>IF($A20="","",Ordenes!J31)</f>
        <v>176.98863636363637</v>
      </c>
      <c r="C20" s="78"/>
      <c r="D20" s="78">
        <f>+Ordenes!K31</f>
        <v>178.99987086776864</v>
      </c>
      <c r="E20" s="151"/>
      <c r="F20" s="152">
        <f>+B20*1000/Ordenes!$D$7</f>
        <v>2034.352142110763</v>
      </c>
      <c r="G20" s="122"/>
      <c r="H20" s="66"/>
    </row>
    <row r="21" spans="1:8" x14ac:dyDescent="0.25">
      <c r="A21" s="149" t="str">
        <f>+Ordenes!B32</f>
        <v>Lila</v>
      </c>
      <c r="B21" s="78">
        <f>IF($A21="","",Ordenes!J32)</f>
        <v>176.98863636363637</v>
      </c>
      <c r="C21" s="78"/>
      <c r="D21" s="78">
        <f>+Ordenes!K32</f>
        <v>178.99987086776864</v>
      </c>
      <c r="E21" s="151"/>
      <c r="F21" s="152">
        <f>+B21*1000/Ordenes!$D$7</f>
        <v>2034.352142110763</v>
      </c>
      <c r="G21" s="122"/>
      <c r="H21" s="66"/>
    </row>
    <row r="22" spans="1:8" s="63" customFormat="1" x14ac:dyDescent="0.25">
      <c r="A22" s="123"/>
      <c r="B22" s="124">
        <f>SUM(B16:B21)</f>
        <v>1061.9318181818182</v>
      </c>
      <c r="C22" s="124"/>
      <c r="D22" s="124">
        <f>SUM(D16:D21)</f>
        <v>1073.9992252066118</v>
      </c>
      <c r="E22" s="124"/>
      <c r="F22" s="124">
        <f>SUM(F16:F21)</f>
        <v>12206.112852664579</v>
      </c>
      <c r="G22" s="124"/>
      <c r="H22" s="66"/>
    </row>
    <row r="23" spans="1:8" s="44" customFormat="1" ht="12.75" x14ac:dyDescent="0.2"/>
    <row r="24" spans="1:8" x14ac:dyDescent="0.25">
      <c r="A24" s="137" t="s">
        <v>132</v>
      </c>
      <c r="B24" s="135"/>
      <c r="C24" s="135"/>
      <c r="D24" s="135"/>
      <c r="E24" s="135"/>
      <c r="F24" s="135"/>
      <c r="G24" s="135"/>
      <c r="H24" s="66"/>
    </row>
    <row r="25" spans="1:8" x14ac:dyDescent="0.25">
      <c r="C25" s="66"/>
      <c r="D25" s="66"/>
      <c r="E25" s="136" t="s">
        <v>62</v>
      </c>
      <c r="F25" s="136"/>
      <c r="G25" s="66"/>
      <c r="H25" s="66"/>
    </row>
    <row r="26" spans="1:8" s="160" customFormat="1" x14ac:dyDescent="0.25">
      <c r="C26" s="153" t="str">
        <f>IF(D26=0,"","Virgen")</f>
        <v/>
      </c>
      <c r="D26" s="151">
        <f>+Ordenes!C33</f>
        <v>0</v>
      </c>
      <c r="E26" s="151">
        <f>+Temporal!J11</f>
        <v>536.99961260330588</v>
      </c>
      <c r="F26" s="162"/>
      <c r="G26" s="153"/>
      <c r="H26" s="151"/>
    </row>
    <row r="27" spans="1:8" s="160" customFormat="1" x14ac:dyDescent="0.25">
      <c r="C27" s="151"/>
      <c r="D27" s="151">
        <f>+Ordenes!D33</f>
        <v>0</v>
      </c>
      <c r="E27" s="151">
        <f>+Temporal!K11</f>
        <v>0</v>
      </c>
      <c r="F27" s="162"/>
      <c r="G27" s="153"/>
      <c r="H27" s="151"/>
    </row>
    <row r="28" spans="1:8" s="160" customFormat="1" x14ac:dyDescent="0.25">
      <c r="C28" s="153" t="str">
        <f>IF(D28=0,"","Segunda")</f>
        <v/>
      </c>
      <c r="D28" s="151">
        <f>+Ordenes!E33</f>
        <v>0</v>
      </c>
      <c r="E28" s="163">
        <f>+Temporal!L11</f>
        <v>536.99961260330588</v>
      </c>
      <c r="F28" s="162"/>
      <c r="G28" s="153"/>
      <c r="H28" s="151"/>
    </row>
    <row r="29" spans="1:8" s="160" customFormat="1" x14ac:dyDescent="0.25">
      <c r="C29" s="151"/>
      <c r="D29" s="151"/>
      <c r="E29" s="153">
        <f>SUM(E26:E28)</f>
        <v>1073.9992252066118</v>
      </c>
      <c r="F29" s="151"/>
      <c r="G29" s="151"/>
      <c r="H29" s="151"/>
    </row>
    <row r="30" spans="1:8" x14ac:dyDescent="0.25">
      <c r="A30" s="125" t="s">
        <v>222</v>
      </c>
      <c r="B30" s="66"/>
      <c r="C30" s="126"/>
      <c r="D30" s="66"/>
      <c r="E30" s="126"/>
      <c r="F30" s="66"/>
      <c r="G30" s="66"/>
      <c r="H30" s="66"/>
    </row>
    <row r="31" spans="1:8" x14ac:dyDescent="0.25">
      <c r="A31" s="127" t="s">
        <v>219</v>
      </c>
      <c r="B31" s="127" t="s">
        <v>141</v>
      </c>
      <c r="C31" s="127" t="s">
        <v>19</v>
      </c>
      <c r="D31" s="127" t="s">
        <v>142</v>
      </c>
      <c r="E31" s="127" t="s">
        <v>19</v>
      </c>
      <c r="F31" s="127" t="s">
        <v>133</v>
      </c>
      <c r="G31" s="127" t="s">
        <v>19</v>
      </c>
      <c r="H31" s="66"/>
    </row>
    <row r="32" spans="1:8" s="56" customFormat="1" x14ac:dyDescent="0.25">
      <c r="A32" s="111" t="str">
        <f>+Ordenes!B27</f>
        <v>Amarillo</v>
      </c>
      <c r="B32" s="111" t="str">
        <f>IF(Ordenes!C27="","",CONCATENATE(Ordenes!C27," = ",TEXT(Ordenes!G27,"#/6")))</f>
        <v>PP Clarif. (Mayor 80 ) = 3/6</v>
      </c>
      <c r="C32" s="111">
        <f>+Temporal!J5</f>
        <v>89.499935433884318</v>
      </c>
      <c r="D32" s="111" t="str">
        <f>IF(Ordenes!D27="","",CONCATENATE(Ordenes!D27," = ",TEXT(Ordenes!H27,"#/6")))</f>
        <v/>
      </c>
      <c r="E32" s="111">
        <f>+Temporal!K5</f>
        <v>0</v>
      </c>
      <c r="F32" s="111" t="str">
        <f>IF(Ordenes!E27="","",CONCATENATE(Ordenes!E27," = ",TEXT(Ordenes!I27,"#/6")))</f>
        <v>PP Iny. Molido Segunda = 3/6</v>
      </c>
      <c r="G32" s="111">
        <f>+Temporal!L5</f>
        <v>89.499935433884318</v>
      </c>
      <c r="H32" s="78"/>
    </row>
    <row r="33" spans="1:8" s="56" customFormat="1" x14ac:dyDescent="0.25">
      <c r="A33" s="111" t="str">
        <f>+Ordenes!B28</f>
        <v>Azul</v>
      </c>
      <c r="B33" s="111" t="str">
        <f>IF(Ordenes!C28="","",CONCATENATE(Ordenes!C28," = ",TEXT(Ordenes!G28,"#/6")))</f>
        <v>PP Clarif. (Mayor 80 ) = 3/6</v>
      </c>
      <c r="C33" s="111">
        <f>+Temporal!J6</f>
        <v>89.499935433884318</v>
      </c>
      <c r="D33" s="111" t="str">
        <f>IF(Ordenes!D28="","",CONCATENATE(Ordenes!D28," = ",TEXT(Ordenes!H28,"#/6")))</f>
        <v/>
      </c>
      <c r="E33" s="111">
        <f>+Temporal!K6</f>
        <v>0</v>
      </c>
      <c r="F33" s="111" t="str">
        <f>IF(Ordenes!E28="","",CONCATENATE(Ordenes!E28," = ",TEXT(Ordenes!I28,"#/6")))</f>
        <v>PP Iny. Molido Segunda = 3/6</v>
      </c>
      <c r="G33" s="111">
        <f>+Temporal!L6</f>
        <v>89.499935433884318</v>
      </c>
      <c r="H33" s="78"/>
    </row>
    <row r="34" spans="1:8" s="56" customFormat="1" x14ac:dyDescent="0.25">
      <c r="A34" s="111" t="str">
        <f>+Ordenes!B29</f>
        <v>Rojo</v>
      </c>
      <c r="B34" s="111" t="str">
        <f>IF(Ordenes!C29="","",CONCATENATE(Ordenes!C29," = ",TEXT(Ordenes!G29,"#/6")))</f>
        <v>PP Clarif. (Mayor 80 ) = 3/6</v>
      </c>
      <c r="C34" s="111">
        <f>+Temporal!J7</f>
        <v>89.499935433884318</v>
      </c>
      <c r="D34" s="111" t="str">
        <f>IF(Ordenes!D29="","",CONCATENATE(Ordenes!D29," = ",TEXT(Ordenes!H29,"#/6")))</f>
        <v/>
      </c>
      <c r="E34" s="111">
        <f>+Temporal!K7</f>
        <v>0</v>
      </c>
      <c r="F34" s="111" t="str">
        <f>IF(Ordenes!E29="","",CONCATENATE(Ordenes!E29," = ",TEXT(Ordenes!I29,"#/6")))</f>
        <v>PP Iny. Molido Segunda = 3/6</v>
      </c>
      <c r="G34" s="111">
        <f>+Temporal!L7</f>
        <v>89.499935433884318</v>
      </c>
      <c r="H34" s="78"/>
    </row>
    <row r="35" spans="1:8" s="56" customFormat="1" x14ac:dyDescent="0.25">
      <c r="A35" s="111" t="str">
        <f>+Ordenes!B30</f>
        <v>Fucsia</v>
      </c>
      <c r="B35" s="111" t="str">
        <f>IF(Ordenes!C30="","",CONCATENATE(Ordenes!C30," = ",TEXT(Ordenes!G30,"#/6")))</f>
        <v>PP Clarif. (Mayor 80 ) = 3/6</v>
      </c>
      <c r="C35" s="111">
        <f>+Temporal!J8</f>
        <v>89.499935433884318</v>
      </c>
      <c r="D35" s="111" t="str">
        <f>IF(Ordenes!D30="","",CONCATENATE(Ordenes!D30," = ",TEXT(Ordenes!H30,"#/6")))</f>
        <v/>
      </c>
      <c r="E35" s="111">
        <f>+Temporal!K8</f>
        <v>0</v>
      </c>
      <c r="F35" s="111" t="str">
        <f>IF(Ordenes!E30="","",CONCATENATE(Ordenes!E30," = ",TEXT(Ordenes!I30,"#/6")))</f>
        <v>PP Iny. Molido Segunda = 3/6</v>
      </c>
      <c r="G35" s="111">
        <f>+Temporal!L8</f>
        <v>89.499935433884318</v>
      </c>
      <c r="H35" s="78"/>
    </row>
    <row r="36" spans="1:8" s="56" customFormat="1" x14ac:dyDescent="0.25">
      <c r="A36" s="111" t="str">
        <f>+Ordenes!B31</f>
        <v>Verde</v>
      </c>
      <c r="B36" s="111" t="str">
        <f>IF(Ordenes!C31="","",CONCATENATE(Ordenes!C31," = ",TEXT(Ordenes!G31,"#/6")))</f>
        <v>PP Clarif. (Mayor 80 ) = 3/6</v>
      </c>
      <c r="C36" s="111">
        <f>+Temporal!J9</f>
        <v>89.499935433884318</v>
      </c>
      <c r="D36" s="111" t="str">
        <f>IF(Ordenes!D31="","",CONCATENATE(Ordenes!D31," = ",TEXT(Ordenes!H31,"#/6")))</f>
        <v/>
      </c>
      <c r="E36" s="111">
        <f>+Temporal!K9</f>
        <v>0</v>
      </c>
      <c r="F36" s="111" t="str">
        <f>IF(Ordenes!E31="","",CONCATENATE(Ordenes!E31," = ",TEXT(Ordenes!I31,"#/6")))</f>
        <v>PP Iny. Molido Segunda = 3/6</v>
      </c>
      <c r="G36" s="111">
        <f>+Temporal!L9</f>
        <v>89.499935433884318</v>
      </c>
      <c r="H36" s="78"/>
    </row>
    <row r="37" spans="1:8" s="56" customFormat="1" x14ac:dyDescent="0.25">
      <c r="A37" s="111" t="str">
        <f>+Ordenes!B32</f>
        <v>Lila</v>
      </c>
      <c r="B37" s="111" t="str">
        <f>IF(Ordenes!C32="","",CONCATENATE(Ordenes!C32," = ",TEXT(Ordenes!G32,"#/6")))</f>
        <v>PP Clarif. (Mayor 80 ) = 3/6</v>
      </c>
      <c r="C37" s="111">
        <f>+Temporal!J10</f>
        <v>89.499935433884318</v>
      </c>
      <c r="D37" s="111" t="str">
        <f>IF(Ordenes!D32="","",CONCATENATE(Ordenes!D32," = ",TEXT(Ordenes!H32,"#/6")))</f>
        <v/>
      </c>
      <c r="E37" s="111">
        <f>+Temporal!K10</f>
        <v>0</v>
      </c>
      <c r="F37" s="111" t="str">
        <f>IF(Ordenes!E32="","",CONCATENATE(Ordenes!E32," = ",TEXT(Ordenes!I32,"#/6")))</f>
        <v>PP Iny. Molido Segunda = 3/6</v>
      </c>
      <c r="G37" s="111">
        <f>+Temporal!L10</f>
        <v>89.499935433884318</v>
      </c>
      <c r="H37" s="78"/>
    </row>
    <row r="38" spans="1:8" s="167" customFormat="1" x14ac:dyDescent="0.25">
      <c r="A38" s="164"/>
      <c r="B38" s="164"/>
      <c r="C38" s="165">
        <f>SUM(C32:C37)</f>
        <v>536.99961260330588</v>
      </c>
      <c r="D38" s="165"/>
      <c r="E38" s="164">
        <f>SUM(E32:E37)</f>
        <v>0</v>
      </c>
      <c r="F38" s="164"/>
      <c r="G38" s="165">
        <f>SUM(G32:G37)</f>
        <v>536.99961260330588</v>
      </c>
      <c r="H38" s="166"/>
    </row>
    <row r="39" spans="1:8" x14ac:dyDescent="0.25">
      <c r="A39" s="66"/>
      <c r="B39" s="66"/>
      <c r="C39" s="126"/>
      <c r="D39" s="66"/>
      <c r="E39" s="126"/>
      <c r="F39" s="66"/>
      <c r="G39" s="66"/>
      <c r="H39" s="66"/>
    </row>
    <row r="40" spans="1:8" x14ac:dyDescent="0.25">
      <c r="A40" s="137" t="s">
        <v>188</v>
      </c>
      <c r="B40" s="139" t="s">
        <v>218</v>
      </c>
      <c r="C40" s="134"/>
      <c r="D40" s="135"/>
      <c r="E40" s="135"/>
      <c r="F40" s="135"/>
      <c r="G40" s="135"/>
      <c r="H40" s="66"/>
    </row>
    <row r="41" spans="1:8" s="56" customFormat="1" x14ac:dyDescent="0.25">
      <c r="A41" s="78"/>
      <c r="B41" s="150" t="str">
        <f>+Ordenes!$B$27</f>
        <v>Amarillo</v>
      </c>
      <c r="C41" s="150" t="s">
        <v>220</v>
      </c>
      <c r="D41" s="150" t="str">
        <f>+Ordenes!$B$28</f>
        <v>Azul</v>
      </c>
      <c r="E41" s="150" t="s">
        <v>220</v>
      </c>
      <c r="F41" s="150" t="str">
        <f>+Ordenes!$B$29</f>
        <v>Rojo</v>
      </c>
      <c r="G41" s="150" t="s">
        <v>220</v>
      </c>
      <c r="H41" s="78"/>
    </row>
    <row r="42" spans="1:8" s="168" customFormat="1" x14ac:dyDescent="0.25">
      <c r="A42" s="78"/>
      <c r="B42" s="128" t="str">
        <f>+Ordenes!$B$40</f>
        <v>Amarillo CH 1041</v>
      </c>
      <c r="C42" s="111">
        <f>+Ordenes!$F$40/2</f>
        <v>15</v>
      </c>
      <c r="D42" s="128" t="str">
        <f>+Ordenes!$B$41</f>
        <v>Azul UltramarEP-24</v>
      </c>
      <c r="E42" s="111">
        <f>+Ordenes!$F$41/2</f>
        <v>30</v>
      </c>
      <c r="F42" s="128" t="str">
        <f>+Ordenes!$B$42</f>
        <v>Rojo R120</v>
      </c>
      <c r="G42" s="111">
        <f>+Ordenes!$F$42/2</f>
        <v>20</v>
      </c>
      <c r="H42" s="78"/>
    </row>
    <row r="43" spans="1:8" s="168" customFormat="1" x14ac:dyDescent="0.25">
      <c r="A43" s="78"/>
      <c r="B43" s="128" t="str">
        <f>+Ordenes!$C$40</f>
        <v>Dioxido de Titanio 2220</v>
      </c>
      <c r="C43" s="111">
        <f>+Ordenes!$G$40/2</f>
        <v>2.5</v>
      </c>
      <c r="D43" s="128" t="str">
        <f>+Ordenes!$C$41</f>
        <v>Dioxido de Titanio 2220</v>
      </c>
      <c r="E43" s="111">
        <f>+Ordenes!$G$41/2</f>
        <v>2.5</v>
      </c>
      <c r="F43" s="128" t="str">
        <f>+Ordenes!$C$42</f>
        <v>Dioxido de Titanio 2220</v>
      </c>
      <c r="G43" s="111">
        <f>+Ordenes!$G$42/2</f>
        <v>2.5</v>
      </c>
      <c r="H43" s="78"/>
    </row>
    <row r="44" spans="1:8" s="168" customFormat="1" x14ac:dyDescent="0.25">
      <c r="A44" s="78"/>
      <c r="B44" s="128">
        <f>+Ordenes!$D$40</f>
        <v>0</v>
      </c>
      <c r="C44" s="111">
        <f>+Ordenes!$H$40/2</f>
        <v>0</v>
      </c>
      <c r="D44" s="128">
        <f>+Ordenes!$D$41</f>
        <v>0</v>
      </c>
      <c r="E44" s="111">
        <f>+Ordenes!$H$41/2</f>
        <v>0</v>
      </c>
      <c r="F44" s="128">
        <f>+Ordenes!$D$42</f>
        <v>0</v>
      </c>
      <c r="G44" s="111">
        <f>+Ordenes!$H$42/2</f>
        <v>0</v>
      </c>
      <c r="H44" s="78"/>
    </row>
    <row r="45" spans="1:8" s="168" customFormat="1" x14ac:dyDescent="0.25">
      <c r="A45" s="78"/>
      <c r="B45" s="110">
        <f>+Ordenes!$E$40</f>
        <v>0</v>
      </c>
      <c r="C45" s="111">
        <f>+Ordenes!$I$40/2</f>
        <v>0</v>
      </c>
      <c r="D45" s="128">
        <f>+Ordenes!$E$41</f>
        <v>0</v>
      </c>
      <c r="E45" s="111">
        <f>+Ordenes!$I$41/2</f>
        <v>0</v>
      </c>
      <c r="F45" s="128">
        <f>+Ordenes!$E$42</f>
        <v>0</v>
      </c>
      <c r="G45" s="111">
        <f>+Ordenes!$I$42/2</f>
        <v>0</v>
      </c>
      <c r="H45" s="78"/>
    </row>
    <row r="46" spans="1:8" s="168" customFormat="1" x14ac:dyDescent="0.25">
      <c r="A46" s="78"/>
      <c r="B46" s="150" t="str">
        <f>+Ordenes!$B$30</f>
        <v>Fucsia</v>
      </c>
      <c r="C46" s="150"/>
      <c r="D46" s="150" t="str">
        <f>+Ordenes!$B$31</f>
        <v>Verde</v>
      </c>
      <c r="E46" s="150"/>
      <c r="F46" s="150" t="str">
        <f>+Ordenes!$B$32</f>
        <v>Lila</v>
      </c>
      <c r="G46" s="150"/>
      <c r="H46" s="78"/>
    </row>
    <row r="47" spans="1:8" s="168" customFormat="1" x14ac:dyDescent="0.25">
      <c r="A47" s="78"/>
      <c r="B47" s="128" t="str">
        <f>+Ordenes!$B$43</f>
        <v>Magenta 21</v>
      </c>
      <c r="C47" s="111">
        <f>+Ordenes!$F$43/2</f>
        <v>20</v>
      </c>
      <c r="D47" s="128" t="str">
        <f>+Ordenes!$B$44</f>
        <v>Verde 7041</v>
      </c>
      <c r="E47" s="111">
        <f>+Ordenes!$F$44/2</f>
        <v>10</v>
      </c>
      <c r="F47" s="128" t="str">
        <f>+Ordenes!$B$45</f>
        <v>Dioxido de Titanio 2220</v>
      </c>
      <c r="G47" s="111">
        <f>+Ordenes!$F$45/2</f>
        <v>2.5</v>
      </c>
      <c r="H47" s="78"/>
    </row>
    <row r="48" spans="1:8" s="168" customFormat="1" x14ac:dyDescent="0.25">
      <c r="A48" s="78"/>
      <c r="B48" s="128" t="str">
        <f>+Ordenes!$C$43</f>
        <v>Dioxido de Titanio 2220</v>
      </c>
      <c r="C48" s="111">
        <f>+Ordenes!$G$43/2</f>
        <v>2.5</v>
      </c>
      <c r="D48" s="128" t="str">
        <f>+Ordenes!$C$44</f>
        <v>Amarillo CH 1041</v>
      </c>
      <c r="E48" s="111">
        <f>+Ordenes!$G$44/2</f>
        <v>2.5</v>
      </c>
      <c r="F48" s="128" t="str">
        <f>+Ordenes!$C$45</f>
        <v>Magenta 21</v>
      </c>
      <c r="G48" s="111">
        <f>+Ordenes!$G$45/2</f>
        <v>20</v>
      </c>
      <c r="H48" s="78"/>
    </row>
    <row r="49" spans="1:8" s="168" customFormat="1" x14ac:dyDescent="0.25">
      <c r="A49" s="78"/>
      <c r="B49" s="128">
        <f>+Ordenes!$D$43</f>
        <v>0</v>
      </c>
      <c r="C49" s="111">
        <f>+Ordenes!$H$43/2</f>
        <v>0</v>
      </c>
      <c r="D49" s="128" t="str">
        <f>+Ordenes!$D$44</f>
        <v>Dioxido de Titanio 2220</v>
      </c>
      <c r="E49" s="111">
        <f>+Ordenes!$H$44/2</f>
        <v>2.5</v>
      </c>
      <c r="F49" s="128" t="str">
        <f>+Ordenes!$D$45</f>
        <v>Azul UltramarEP-24</v>
      </c>
      <c r="G49" s="111">
        <f>+Ordenes!$H$45/2</f>
        <v>21</v>
      </c>
      <c r="H49" s="78"/>
    </row>
    <row r="50" spans="1:8" s="168" customFormat="1" x14ac:dyDescent="0.25">
      <c r="A50" s="78"/>
      <c r="B50" s="128">
        <f>+Ordenes!$E$43</f>
        <v>0</v>
      </c>
      <c r="C50" s="111">
        <f>+Ordenes!$I$43/2</f>
        <v>0</v>
      </c>
      <c r="D50" s="128">
        <f>+Ordenes!$E$44</f>
        <v>0</v>
      </c>
      <c r="E50" s="111">
        <f>+Ordenes!$I$44/2</f>
        <v>0</v>
      </c>
      <c r="F50" s="128">
        <f>+Ordenes!$E$45</f>
        <v>0</v>
      </c>
      <c r="G50" s="111">
        <f>+Ordenes!$I$45/2</f>
        <v>0</v>
      </c>
      <c r="H50" s="78"/>
    </row>
    <row r="51" spans="1:8" x14ac:dyDescent="0.25">
      <c r="A51" s="135"/>
      <c r="B51" s="135"/>
      <c r="C51" s="135"/>
      <c r="D51" s="138"/>
      <c r="E51" s="138"/>
      <c r="F51" s="135"/>
      <c r="G51" s="135"/>
      <c r="H51" s="66"/>
    </row>
  </sheetData>
  <pageMargins left="0.23622047244094491" right="3.937007874015748E-2" top="0.74803149606299213" bottom="0.74803149606299213" header="0.31496062992125984" footer="0.31496062992125984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DATOS!$T$3:$T$14</xm:f>
          </x14:formula1>
          <xm:sqref>B6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">
    <tabColor theme="8"/>
  </sheetPr>
  <dimension ref="A1:F58"/>
  <sheetViews>
    <sheetView topLeftCell="A43" zoomScale="130" zoomScaleNormal="130" workbookViewId="0">
      <selection activeCell="B23" sqref="B23"/>
    </sheetView>
  </sheetViews>
  <sheetFormatPr baseColWidth="10" defaultRowHeight="15" x14ac:dyDescent="0.25"/>
  <cols>
    <col min="1" max="1" width="16.5703125" customWidth="1"/>
    <col min="2" max="2" width="22" bestFit="1" customWidth="1"/>
    <col min="3" max="4" width="16.140625" bestFit="1" customWidth="1"/>
    <col min="5" max="6" width="7.7109375" bestFit="1" customWidth="1"/>
  </cols>
  <sheetData>
    <row r="1" spans="1:6" s="303" customFormat="1" ht="18.75" x14ac:dyDescent="0.25">
      <c r="A1" s="304" t="str">
        <f>CONCATENATE("ORDERN COSTOS DE PRODUCCION:     ",Ordenes!K2)</f>
        <v xml:space="preserve">ORDERN COSTOS DE PRODUCCION:     </v>
      </c>
      <c r="B1" s="302"/>
      <c r="C1" s="305" t="str">
        <f>Ordenes!F2</f>
        <v>OP1322</v>
      </c>
      <c r="E1" s="302"/>
      <c r="F1" s="302"/>
    </row>
    <row r="2" spans="1:6" ht="5.25" customHeight="1" x14ac:dyDescent="0.25">
      <c r="A2" s="44"/>
      <c r="B2" s="44"/>
      <c r="C2" s="44"/>
      <c r="D2" s="44"/>
      <c r="E2" s="44"/>
      <c r="F2" s="44"/>
    </row>
    <row r="3" spans="1:6" x14ac:dyDescent="0.25">
      <c r="A3" s="86" t="s">
        <v>13</v>
      </c>
      <c r="B3" s="87">
        <f ca="1">+Ordenes!$C$3</f>
        <v>46006</v>
      </c>
      <c r="D3" s="44"/>
      <c r="E3" s="44"/>
      <c r="F3" s="44"/>
    </row>
    <row r="4" spans="1:6" x14ac:dyDescent="0.25">
      <c r="A4" s="86" t="s">
        <v>4</v>
      </c>
      <c r="B4" s="87" t="str">
        <f>+Ordenes!$C$4</f>
        <v>Balde Payero Romano</v>
      </c>
      <c r="C4" s="44"/>
      <c r="D4" s="44"/>
      <c r="E4" s="44"/>
      <c r="F4" s="44"/>
    </row>
    <row r="5" spans="1:6" x14ac:dyDescent="0.25">
      <c r="A5" s="86" t="s">
        <v>90</v>
      </c>
      <c r="B5" s="299">
        <f>+Ordenes!$K$21</f>
        <v>1005.7471264367815</v>
      </c>
      <c r="C5" s="88" t="s">
        <v>204</v>
      </c>
      <c r="D5" s="89">
        <f>+Ordenes!$F$4</f>
        <v>3.5</v>
      </c>
      <c r="E5" s="44"/>
      <c r="F5" s="44"/>
    </row>
    <row r="6" spans="1:6" ht="3" customHeight="1" x14ac:dyDescent="0.25">
      <c r="A6" s="44"/>
      <c r="B6" s="44"/>
      <c r="C6" s="44"/>
      <c r="D6" s="44"/>
      <c r="E6" s="44"/>
      <c r="F6" s="44"/>
    </row>
    <row r="7" spans="1:6" s="56" customFormat="1" x14ac:dyDescent="0.25">
      <c r="A7" s="161" t="str">
        <f>+Ordenes!B7</f>
        <v>BALDE PLAYERO ROMANO</v>
      </c>
      <c r="B7" s="94"/>
      <c r="C7" s="94"/>
      <c r="D7" s="94"/>
      <c r="E7" s="94"/>
      <c r="F7" s="94"/>
    </row>
    <row r="8" spans="1:6" x14ac:dyDescent="0.25">
      <c r="A8" s="109" t="s">
        <v>214</v>
      </c>
      <c r="B8" s="199">
        <f>MROUND(Ordenes!B21,0.5)</f>
        <v>2</v>
      </c>
      <c r="C8" s="109" t="s">
        <v>213</v>
      </c>
      <c r="D8" s="203">
        <f>+Ordenes!D7</f>
        <v>87</v>
      </c>
      <c r="E8" s="44"/>
      <c r="F8" s="44"/>
    </row>
    <row r="9" spans="1:6" x14ac:dyDescent="0.25">
      <c r="A9" s="109" t="s">
        <v>215</v>
      </c>
      <c r="B9" s="200">
        <f>+Ordenes!H7</f>
        <v>23</v>
      </c>
      <c r="C9" s="109" t="s">
        <v>446</v>
      </c>
      <c r="D9" s="203">
        <f>+Ordenes!F7</f>
        <v>176</v>
      </c>
      <c r="E9" s="44"/>
      <c r="F9" s="44"/>
    </row>
    <row r="10" spans="1:6" x14ac:dyDescent="0.25">
      <c r="A10" s="109" t="s">
        <v>216</v>
      </c>
      <c r="B10" s="201">
        <f>+Ordenes!E7</f>
        <v>2</v>
      </c>
      <c r="C10" s="109" t="s">
        <v>217</v>
      </c>
      <c r="D10" s="204">
        <f>+Ordenes!F21</f>
        <v>1.1363636363636364E-2</v>
      </c>
      <c r="E10" s="44"/>
      <c r="F10" s="44"/>
    </row>
    <row r="11" spans="1:6" x14ac:dyDescent="0.25">
      <c r="A11" s="109" t="s">
        <v>201</v>
      </c>
      <c r="B11" s="202">
        <f>+Ordenes!G7</f>
        <v>30</v>
      </c>
      <c r="C11" s="109" t="s">
        <v>2</v>
      </c>
      <c r="D11" s="199" t="str">
        <f>CONCATENATE(TEXT(Ordenes!I7,"DD/MM")," a ",TEXT(Ordenes!A21,"DD/MM"))</f>
        <v>20/11 a 22/11</v>
      </c>
      <c r="E11" s="44"/>
      <c r="F11" s="44"/>
    </row>
    <row r="12" spans="1:6" ht="8.25" customHeight="1" x14ac:dyDescent="0.25">
      <c r="A12" s="108"/>
      <c r="B12" s="106"/>
      <c r="C12" s="108"/>
      <c r="D12" s="107"/>
      <c r="E12" s="44"/>
      <c r="F12" s="44"/>
    </row>
    <row r="13" spans="1:6" x14ac:dyDescent="0.25">
      <c r="A13" s="102" t="s">
        <v>0</v>
      </c>
      <c r="B13" s="103" t="s">
        <v>480</v>
      </c>
      <c r="C13" s="102" t="s">
        <v>481</v>
      </c>
      <c r="D13" s="102" t="s">
        <v>482</v>
      </c>
      <c r="E13" s="44"/>
      <c r="F13" s="44"/>
    </row>
    <row r="14" spans="1:6" s="160" customFormat="1" x14ac:dyDescent="0.25">
      <c r="A14" s="154" t="str">
        <f>+Ordenes!B27</f>
        <v>Amarillo</v>
      </c>
      <c r="B14" s="314">
        <f>IF($A14="","",Ordenes!J27)</f>
        <v>176.98863636363637</v>
      </c>
      <c r="C14" s="314">
        <f>IF(B14="","",Ordenes!K27-B14)</f>
        <v>2.0112345041322612</v>
      </c>
      <c r="D14" s="159">
        <f>IF(B14="","",B14*1000/Ordenes!$D$7/12)</f>
        <v>169.52934517589691</v>
      </c>
      <c r="E14" s="154"/>
      <c r="F14" s="154"/>
    </row>
    <row r="15" spans="1:6" s="160" customFormat="1" x14ac:dyDescent="0.25">
      <c r="A15" s="154" t="str">
        <f>+Ordenes!B28</f>
        <v>Azul</v>
      </c>
      <c r="B15" s="314">
        <f>IF($A15="","",Ordenes!J28)</f>
        <v>176.98863636363637</v>
      </c>
      <c r="C15" s="314">
        <f>IF(B15="","",Ordenes!K28-B15)</f>
        <v>2.0112345041322612</v>
      </c>
      <c r="D15" s="159">
        <f>IF(B15="","",B15*1000/Ordenes!$D$7/12)</f>
        <v>169.52934517589691</v>
      </c>
      <c r="E15" s="154"/>
      <c r="F15" s="154"/>
    </row>
    <row r="16" spans="1:6" s="160" customFormat="1" x14ac:dyDescent="0.25">
      <c r="A16" s="154" t="str">
        <f>+Ordenes!B29</f>
        <v>Rojo</v>
      </c>
      <c r="B16" s="314">
        <f>IF($A16="","",Ordenes!J29)</f>
        <v>176.98863636363637</v>
      </c>
      <c r="C16" s="314">
        <f>IF(B16="","",Ordenes!K29-B16)</f>
        <v>2.0112345041322612</v>
      </c>
      <c r="D16" s="159">
        <f>IF(B16="","",B16*1000/Ordenes!$D$7/12)</f>
        <v>169.52934517589691</v>
      </c>
      <c r="E16" s="154"/>
      <c r="F16" s="154"/>
    </row>
    <row r="17" spans="1:6" s="160" customFormat="1" x14ac:dyDescent="0.25">
      <c r="A17" s="154" t="str">
        <f>+Ordenes!B30</f>
        <v>Fucsia</v>
      </c>
      <c r="B17" s="314">
        <f>IF($A17="","",Ordenes!J30)</f>
        <v>176.98863636363637</v>
      </c>
      <c r="C17" s="314">
        <f>IF(B17="","",Ordenes!K30-B17)</f>
        <v>2.0112345041322612</v>
      </c>
      <c r="D17" s="159">
        <f>IF(B17="","",B17*1000/Ordenes!$D$7/12)</f>
        <v>169.52934517589691</v>
      </c>
      <c r="E17" s="154"/>
      <c r="F17" s="154"/>
    </row>
    <row r="18" spans="1:6" s="160" customFormat="1" x14ac:dyDescent="0.25">
      <c r="A18" s="154" t="str">
        <f>+Ordenes!B31</f>
        <v>Verde</v>
      </c>
      <c r="B18" s="314">
        <f>IF($A18="","",Ordenes!J31)</f>
        <v>176.98863636363637</v>
      </c>
      <c r="C18" s="314">
        <f>IF(B18="","",Ordenes!K31-B18)</f>
        <v>2.0112345041322612</v>
      </c>
      <c r="D18" s="159">
        <f>IF(B18="","",B18*1000/Ordenes!$D$7/12)</f>
        <v>169.52934517589691</v>
      </c>
      <c r="E18" s="154"/>
      <c r="F18" s="154"/>
    </row>
    <row r="19" spans="1:6" s="160" customFormat="1" x14ac:dyDescent="0.25">
      <c r="A19" s="154" t="str">
        <f>+Ordenes!B32</f>
        <v>Lila</v>
      </c>
      <c r="B19" s="314">
        <f>IF($A19="","",Ordenes!J32)</f>
        <v>176.98863636363637</v>
      </c>
      <c r="C19" s="314">
        <f>IF(B19="","",Ordenes!K32-B19)</f>
        <v>2.0112345041322612</v>
      </c>
      <c r="D19" s="159">
        <f>IF(B19="","",B19*1000/Ordenes!$D$7/12)</f>
        <v>169.52934517589691</v>
      </c>
      <c r="E19" s="154"/>
      <c r="F19" s="154"/>
    </row>
    <row r="20" spans="1:6" s="63" customFormat="1" x14ac:dyDescent="0.25">
      <c r="A20" s="104"/>
      <c r="B20" s="105">
        <f>SUM(B14:B19)</f>
        <v>1061.9318181818182</v>
      </c>
      <c r="C20" s="105">
        <f>SUM(C14:C19)</f>
        <v>12.067407024793567</v>
      </c>
      <c r="D20" s="105">
        <f>SUM(D14:D19)</f>
        <v>1017.1760710553814</v>
      </c>
      <c r="E20" s="44"/>
      <c r="F20" s="91"/>
    </row>
    <row r="21" spans="1:6" x14ac:dyDescent="0.25">
      <c r="A21" s="93" t="s">
        <v>132</v>
      </c>
      <c r="B21" s="44"/>
      <c r="C21" s="44"/>
      <c r="D21" s="44"/>
      <c r="E21" s="44"/>
      <c r="F21" s="44"/>
    </row>
    <row r="22" spans="1:6" x14ac:dyDescent="0.25">
      <c r="A22" s="88" t="s">
        <v>186</v>
      </c>
      <c r="B22" s="44"/>
      <c r="C22" s="92" t="s">
        <v>62</v>
      </c>
      <c r="D22" s="92" t="s">
        <v>196</v>
      </c>
      <c r="E22" s="44"/>
      <c r="F22" s="44"/>
    </row>
    <row r="23" spans="1:6" x14ac:dyDescent="0.25">
      <c r="A23" s="44"/>
      <c r="B23" s="94">
        <f>+Ordenes!C33</f>
        <v>0</v>
      </c>
      <c r="C23" s="94">
        <f>+Temporal!J11</f>
        <v>536.99961260330588</v>
      </c>
      <c r="D23" s="95">
        <f>IFERROR(VLOOKUP('IMP COSTOS'!B23,DATOS!$O$3:$P$15,2,FALSE),0)*C23</f>
        <v>0</v>
      </c>
      <c r="E23" s="86" t="str">
        <f>IF(D23="","","Dolares")</f>
        <v>Dolares</v>
      </c>
      <c r="F23" s="97"/>
    </row>
    <row r="24" spans="1:6" x14ac:dyDescent="0.25">
      <c r="A24" s="44"/>
      <c r="B24" s="94">
        <f>+Ordenes!D33</f>
        <v>0</v>
      </c>
      <c r="C24" s="94">
        <f>+Temporal!K11</f>
        <v>0</v>
      </c>
      <c r="D24" s="95">
        <f>IFERROR(VLOOKUP('IMP COSTOS'!B24,DATOS!$O$3:$P$15,2,FALSE),0)*C24</f>
        <v>0</v>
      </c>
      <c r="E24" s="86" t="str">
        <f>IF(D24=0,"","Dolares")</f>
        <v/>
      </c>
      <c r="F24" s="86"/>
    </row>
    <row r="25" spans="1:6" x14ac:dyDescent="0.25">
      <c r="A25" s="88" t="s">
        <v>133</v>
      </c>
      <c r="B25" s="94"/>
      <c r="C25" s="94"/>
      <c r="D25" s="95"/>
      <c r="E25" s="44"/>
      <c r="F25" s="44"/>
    </row>
    <row r="26" spans="1:6" x14ac:dyDescent="0.25">
      <c r="A26" s="44"/>
      <c r="B26" s="94">
        <f>+Ordenes!E33</f>
        <v>0</v>
      </c>
      <c r="C26" s="98">
        <f>+Temporal!L11</f>
        <v>536.99961260330588</v>
      </c>
      <c r="D26" s="98">
        <f>IFERROR(VLOOKUP(B26,DATOS!$Q$3:$R$29,2,FALSE),0)*C26</f>
        <v>0</v>
      </c>
      <c r="E26" s="86" t="str">
        <f>IF(D26="","","Soles")</f>
        <v>Soles</v>
      </c>
      <c r="F26" s="97"/>
    </row>
    <row r="27" spans="1:6" x14ac:dyDescent="0.25">
      <c r="A27" s="44"/>
      <c r="B27" s="44"/>
      <c r="C27" s="97">
        <f>SUM(C23:C26)</f>
        <v>1073.9992252066118</v>
      </c>
      <c r="D27" s="97">
        <f>+D23*$D$5+D24*D5+D26</f>
        <v>0</v>
      </c>
      <c r="E27" s="44"/>
      <c r="F27" s="44"/>
    </row>
    <row r="28" spans="1:6" x14ac:dyDescent="0.25">
      <c r="A28" s="93" t="s">
        <v>188</v>
      </c>
      <c r="B28" s="44"/>
      <c r="C28" s="44"/>
      <c r="D28" s="44"/>
      <c r="E28" s="44"/>
      <c r="F28" s="44"/>
    </row>
    <row r="29" spans="1:6" x14ac:dyDescent="0.25">
      <c r="A29" s="44"/>
      <c r="B29" s="92" t="s">
        <v>56</v>
      </c>
      <c r="C29" s="92" t="s">
        <v>198</v>
      </c>
      <c r="D29" s="92" t="s">
        <v>197</v>
      </c>
      <c r="E29" s="44"/>
      <c r="F29" s="44"/>
    </row>
    <row r="30" spans="1:6" x14ac:dyDescent="0.25">
      <c r="A30" s="44"/>
      <c r="B30" s="44" t="s">
        <v>103</v>
      </c>
      <c r="C30" s="213" t="str">
        <f>IFERROR(VLOOKUP(B30,DATOS!$AW$3:$AY$25,2,FALSE),"")</f>
        <v/>
      </c>
      <c r="D30" s="213" t="str">
        <f>IFERROR(VLOOKUP(B30,DATOS!$AW$3:$AY$25,3,FALSE),"")</f>
        <v/>
      </c>
      <c r="E30" s="44"/>
      <c r="F30" s="44"/>
    </row>
    <row r="31" spans="1:6" x14ac:dyDescent="0.25">
      <c r="A31" s="44"/>
      <c r="B31" s="44" t="s">
        <v>104</v>
      </c>
      <c r="C31" s="215">
        <f>IFERROR(VLOOKUP(B31,DATOS!$AW$3:$AY$25,2,FALSE),"")</f>
        <v>286.39979338842983</v>
      </c>
      <c r="D31" s="216">
        <f>IFERROR(VLOOKUP(B31,DATOS!$AW$3:$AY$25,3,FALSE),"")</f>
        <v>14.319989669421492</v>
      </c>
      <c r="E31" s="44"/>
      <c r="F31" s="44"/>
    </row>
    <row r="32" spans="1:6" x14ac:dyDescent="0.25">
      <c r="A32" s="44"/>
      <c r="B32" s="44" t="s">
        <v>105</v>
      </c>
      <c r="C32" s="215" t="str">
        <f>IFERROR(VLOOKUP(B32,DATOS!$AW$3:$AY$25,2,FALSE),"")</f>
        <v/>
      </c>
      <c r="D32" s="216" t="str">
        <f>IFERROR(VLOOKUP(B32,DATOS!$AW$3:$AY$25,3,FALSE),"")</f>
        <v/>
      </c>
      <c r="E32" s="44"/>
      <c r="F32" s="44"/>
    </row>
    <row r="33" spans="1:6" x14ac:dyDescent="0.25">
      <c r="A33" s="44"/>
      <c r="B33" s="44" t="s">
        <v>112</v>
      </c>
      <c r="C33" s="215">
        <f>IFERROR(VLOOKUP(B33,DATOS!$AW$3:$AY$25,2,FALSE),"")</f>
        <v>501.19963842975216</v>
      </c>
      <c r="D33" s="216">
        <f>IFERROR(VLOOKUP(B33,DATOS!$AW$3:$AY$25,3,FALSE),"")</f>
        <v>25.059981921487609</v>
      </c>
      <c r="E33" s="44"/>
      <c r="F33" s="44"/>
    </row>
    <row r="34" spans="1:6" x14ac:dyDescent="0.25">
      <c r="A34" s="44"/>
      <c r="B34" s="44" t="s">
        <v>111</v>
      </c>
      <c r="C34" s="215">
        <f>IFERROR(VLOOKUP(B34,DATOS!$AW$3:$AY$25,2,FALSE),"")</f>
        <v>429.59969008264471</v>
      </c>
      <c r="D34" s="216">
        <f>IFERROR(VLOOKUP(B34,DATOS!$AW$3:$AY$25,3,FALSE),"")</f>
        <v>21.479984504132236</v>
      </c>
      <c r="E34" s="44"/>
      <c r="F34" s="44"/>
    </row>
    <row r="35" spans="1:6" x14ac:dyDescent="0.25">
      <c r="A35" s="44"/>
      <c r="B35" s="44" t="s">
        <v>117</v>
      </c>
      <c r="C35" s="215">
        <f>IFERROR(VLOOKUP(B35,DATOS!$AW$3:$AY$25,2,FALSE),"")</f>
        <v>1145.5991735537193</v>
      </c>
      <c r="D35" s="216">
        <f>IFERROR(VLOOKUP(B35,DATOS!$AW$3:$AY$25,3,FALSE),"")</f>
        <v>57.279958677685968</v>
      </c>
      <c r="E35" s="44"/>
      <c r="F35" s="44"/>
    </row>
    <row r="36" spans="1:6" x14ac:dyDescent="0.25">
      <c r="A36" s="44"/>
      <c r="B36" s="44" t="s">
        <v>100</v>
      </c>
      <c r="C36" s="215" t="str">
        <f>IFERROR(VLOOKUP(B36,DATOS!$AW$3:$AY$25,2,FALSE),"")</f>
        <v/>
      </c>
      <c r="D36" s="216" t="str">
        <f>IFERROR(VLOOKUP(B36,DATOS!$AW$3:$AY$25,3,FALSE),"")</f>
        <v/>
      </c>
      <c r="E36" s="44"/>
      <c r="F36" s="44"/>
    </row>
    <row r="37" spans="1:6" x14ac:dyDescent="0.25">
      <c r="A37" s="44"/>
      <c r="B37" s="44" t="s">
        <v>107</v>
      </c>
      <c r="C37" s="215" t="str">
        <f>IFERROR(VLOOKUP(B37,DATOS!$AW$3:$AY$25,2,FALSE),"")</f>
        <v/>
      </c>
      <c r="D37" s="216" t="str">
        <f>IFERROR(VLOOKUP(B37,DATOS!$AW$3:$AY$25,3,FALSE),"")</f>
        <v/>
      </c>
      <c r="E37" s="44"/>
      <c r="F37" s="44"/>
    </row>
    <row r="38" spans="1:6" x14ac:dyDescent="0.25">
      <c r="A38" s="44"/>
      <c r="B38" s="44" t="s">
        <v>113</v>
      </c>
      <c r="C38" s="215" t="str">
        <f>IFERROR(VLOOKUP(B38,DATOS!$AW$3:$AY$25,2,FALSE),"")</f>
        <v/>
      </c>
      <c r="D38" s="216" t="str">
        <f>IFERROR(VLOOKUP(B38,DATOS!$AW$3:$AY$25,3,FALSE),"")</f>
        <v/>
      </c>
      <c r="E38" s="44"/>
      <c r="F38" s="44"/>
    </row>
    <row r="39" spans="1:6" x14ac:dyDescent="0.25">
      <c r="A39" s="44"/>
      <c r="B39" s="44" t="s">
        <v>102</v>
      </c>
      <c r="C39" s="215" t="str">
        <f>IFERROR(VLOOKUP(B39,DATOS!$AW$3:$AY$25,2,FALSE),"")</f>
        <v/>
      </c>
      <c r="D39" s="216" t="str">
        <f>IFERROR(VLOOKUP(B39,DATOS!$AW$3:$AY$25,3,FALSE),"")</f>
        <v/>
      </c>
      <c r="E39" s="86"/>
      <c r="F39" s="86"/>
    </row>
    <row r="40" spans="1:6" x14ac:dyDescent="0.25">
      <c r="A40" s="44"/>
      <c r="B40" s="44" t="s">
        <v>116</v>
      </c>
      <c r="C40" s="215" t="str">
        <f>IFERROR(VLOOKUP(B40,DATOS!$AW$3:$AY$25,2,FALSE),"")</f>
        <v/>
      </c>
      <c r="D40" s="216" t="str">
        <f>IFERROR(VLOOKUP(B40,DATOS!$AW$3:$AY$25,3,FALSE),"")</f>
        <v/>
      </c>
      <c r="E40" s="44"/>
      <c r="F40" s="44"/>
    </row>
    <row r="41" spans="1:6" x14ac:dyDescent="0.25">
      <c r="A41" s="44"/>
      <c r="B41" s="44" t="s">
        <v>101</v>
      </c>
      <c r="C41" s="215" t="str">
        <f>IFERROR(VLOOKUP(B41,DATOS!$AW$3:$AY$25,2,FALSE),"")</f>
        <v/>
      </c>
      <c r="D41" s="216" t="str">
        <f>IFERROR(VLOOKUP(B41,DATOS!$AW$3:$AY$25,3,FALSE),"")</f>
        <v/>
      </c>
      <c r="E41" s="44"/>
      <c r="F41" s="44"/>
    </row>
    <row r="42" spans="1:6" x14ac:dyDescent="0.25">
      <c r="A42" s="44"/>
      <c r="B42" s="44" t="s">
        <v>108</v>
      </c>
      <c r="C42" s="215" t="str">
        <f>IFERROR(VLOOKUP(B42,DATOS!$AW$3:$AY$25,2,FALSE),"")</f>
        <v/>
      </c>
      <c r="D42" s="216" t="str">
        <f>IFERROR(VLOOKUP(B42,DATOS!$AW$3:$AY$25,3,FALSE),"")</f>
        <v/>
      </c>
      <c r="E42" s="44"/>
      <c r="F42" s="44"/>
    </row>
    <row r="43" spans="1:6" x14ac:dyDescent="0.25">
      <c r="A43" s="44"/>
      <c r="B43" s="44" t="s">
        <v>110</v>
      </c>
      <c r="C43" s="215" t="str">
        <f>IFERROR(VLOOKUP(B43,DATOS!$AW$3:$AY$25,2,FALSE),"")</f>
        <v/>
      </c>
      <c r="D43" s="216" t="str">
        <f>IFERROR(VLOOKUP(B43,DATOS!$AW$3:$AY$25,3,FALSE),"")</f>
        <v/>
      </c>
      <c r="E43" s="44"/>
      <c r="F43" s="44"/>
    </row>
    <row r="44" spans="1:6" x14ac:dyDescent="0.25">
      <c r="A44" s="44"/>
      <c r="B44" s="44" t="s">
        <v>109</v>
      </c>
      <c r="C44" s="215">
        <f>IFERROR(VLOOKUP(B44,DATOS!$AW$3:$AY$25,2,FALSE),"")</f>
        <v>572.79958677685966</v>
      </c>
      <c r="D44" s="216">
        <f>IFERROR(VLOOKUP(B44,DATOS!$AW$3:$AY$25,3,FALSE),"")</f>
        <v>28.639979338842984</v>
      </c>
      <c r="E44" s="44"/>
      <c r="F44" s="44"/>
    </row>
    <row r="45" spans="1:6" x14ac:dyDescent="0.25">
      <c r="A45" s="44"/>
      <c r="B45" s="44" t="s">
        <v>115</v>
      </c>
      <c r="C45" s="215" t="str">
        <f>IFERROR(VLOOKUP(B45,DATOS!$AW$3:$AY$25,2,FALSE),"")</f>
        <v/>
      </c>
      <c r="D45" s="216" t="str">
        <f>IFERROR(VLOOKUP(B45,DATOS!$AW$3:$AY$25,3,FALSE),"")</f>
        <v/>
      </c>
      <c r="E45" s="44"/>
      <c r="F45" s="44"/>
    </row>
    <row r="46" spans="1:6" x14ac:dyDescent="0.25">
      <c r="A46" s="44"/>
      <c r="B46" s="44" t="s">
        <v>106</v>
      </c>
      <c r="C46" s="215" t="str">
        <f>IFERROR(VLOOKUP(B46,DATOS!$AW$3:$AY$25,2,FALSE),"")</f>
        <v/>
      </c>
      <c r="D46" s="216" t="str">
        <f>IFERROR(VLOOKUP(B46,DATOS!$AW$3:$AY$25,3,FALSE),"")</f>
        <v/>
      </c>
      <c r="E46" s="44"/>
      <c r="F46" s="44"/>
    </row>
    <row r="47" spans="1:6" x14ac:dyDescent="0.25">
      <c r="A47" s="44"/>
      <c r="B47" s="44" t="s">
        <v>114</v>
      </c>
      <c r="C47" s="215" t="str">
        <f>IFERROR(VLOOKUP(B47,DATOS!$AW$3:$AY$25,2,FALSE),"")</f>
        <v/>
      </c>
      <c r="D47" s="213" t="str">
        <f>IFERROR(VLOOKUP(B47,DATOS!$AW$3:$AY$25,3,FALSE),"")</f>
        <v/>
      </c>
      <c r="E47" s="44"/>
      <c r="F47" s="44"/>
    </row>
    <row r="48" spans="1:6" x14ac:dyDescent="0.25">
      <c r="A48" s="44"/>
      <c r="B48" s="44"/>
      <c r="C48" s="221">
        <f>SUBTOTAL(109,Tabla62[Peso (gr)])</f>
        <v>2935.5978822314055</v>
      </c>
      <c r="D48" s="99">
        <f>SUBTOTAL(109,Tabla62[Costo (USD)])</f>
        <v>146.77989411157029</v>
      </c>
      <c r="E48" s="86" t="str">
        <f>IF(D48=0,"","Dolares")</f>
        <v>Dolares</v>
      </c>
      <c r="F48" s="86"/>
    </row>
    <row r="49" spans="1:6" ht="6.75" customHeight="1" x14ac:dyDescent="0.25">
      <c r="A49" s="44"/>
      <c r="B49" s="44"/>
      <c r="C49" s="44"/>
      <c r="D49" s="44"/>
      <c r="E49" s="44"/>
      <c r="F49" s="44"/>
    </row>
    <row r="50" spans="1:6" x14ac:dyDescent="0.25">
      <c r="A50" s="86" t="s">
        <v>59</v>
      </c>
      <c r="B50" s="44"/>
      <c r="C50" s="92" t="s">
        <v>67</v>
      </c>
      <c r="D50" s="92" t="s">
        <v>202</v>
      </c>
      <c r="E50" s="44"/>
      <c r="F50" s="44"/>
    </row>
    <row r="51" spans="1:6" x14ac:dyDescent="0.25">
      <c r="A51" s="44"/>
      <c r="B51" s="88"/>
      <c r="C51" s="96">
        <f>+Temporal!Q11</f>
        <v>50.287356321839084</v>
      </c>
      <c r="D51" s="96">
        <f>+Temporal!Y11</f>
        <v>228.57889237199581</v>
      </c>
      <c r="E51" s="86" t="str">
        <f>IF(D51="","","Soles")</f>
        <v>Soles</v>
      </c>
      <c r="F51" s="86"/>
    </row>
    <row r="52" spans="1:6" x14ac:dyDescent="0.25">
      <c r="A52" s="44"/>
      <c r="B52" s="44"/>
      <c r="C52" s="44"/>
      <c r="D52" s="44"/>
      <c r="E52" s="44"/>
      <c r="F52" s="44"/>
    </row>
    <row r="53" spans="1:6" x14ac:dyDescent="0.25">
      <c r="A53" s="93" t="s">
        <v>203</v>
      </c>
      <c r="B53" s="44"/>
      <c r="C53" s="86" t="s">
        <v>205</v>
      </c>
      <c r="D53" s="44"/>
      <c r="E53" s="44"/>
      <c r="F53" s="44"/>
    </row>
    <row r="54" spans="1:6" x14ac:dyDescent="0.25">
      <c r="A54" s="44"/>
      <c r="B54" s="86" t="s">
        <v>132</v>
      </c>
      <c r="C54" s="90">
        <f>SUM(D23:D24)*D5+D26</f>
        <v>0</v>
      </c>
      <c r="D54" s="44"/>
      <c r="E54" s="44"/>
      <c r="F54" s="44"/>
    </row>
    <row r="55" spans="1:6" x14ac:dyDescent="0.25">
      <c r="A55" s="44"/>
      <c r="B55" s="86" t="s">
        <v>188</v>
      </c>
      <c r="C55" s="90">
        <f>+D48*D5</f>
        <v>513.72962939049603</v>
      </c>
      <c r="D55" s="44"/>
      <c r="E55" s="44"/>
      <c r="F55" s="44"/>
    </row>
    <row r="56" spans="1:6" x14ac:dyDescent="0.25">
      <c r="A56" s="44"/>
      <c r="B56" s="86" t="s">
        <v>59</v>
      </c>
      <c r="C56" s="100">
        <f>+D51</f>
        <v>228.57889237199581</v>
      </c>
      <c r="D56" s="44"/>
      <c r="E56" s="44"/>
      <c r="F56" s="44"/>
    </row>
    <row r="57" spans="1:6" x14ac:dyDescent="0.25">
      <c r="A57" s="44"/>
      <c r="B57" s="44"/>
      <c r="C57" s="101">
        <f>SUM(C54:C56)</f>
        <v>742.30852176249186</v>
      </c>
      <c r="D57" s="44"/>
      <c r="E57" s="44"/>
      <c r="F57" s="44"/>
    </row>
    <row r="58" spans="1:6" ht="15.75" x14ac:dyDescent="0.25">
      <c r="B58" s="86" t="s">
        <v>507</v>
      </c>
      <c r="C58" s="300">
        <f>+C57/B5</f>
        <v>0.73806675878099193</v>
      </c>
    </row>
  </sheetData>
  <pageMargins left="0.70866141732283472" right="0.70866141732283472" top="0.39370078740157483" bottom="0" header="0.31496062992125984" footer="0.31496062992125984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1">
    <tabColor rgb="FFFA9090"/>
  </sheetPr>
  <dimension ref="A1:BC36"/>
  <sheetViews>
    <sheetView topLeftCell="P9" zoomScaleNormal="100" workbookViewId="0">
      <selection activeCell="T15" sqref="T15"/>
    </sheetView>
  </sheetViews>
  <sheetFormatPr baseColWidth="10" defaultRowHeight="15" x14ac:dyDescent="0.25"/>
  <cols>
    <col min="1" max="1" width="21.28515625" customWidth="1"/>
    <col min="2" max="2" width="12.28515625" style="63" customWidth="1"/>
    <col min="15" max="15" width="22.85546875" bestFit="1" customWidth="1"/>
    <col min="16" max="16" width="22.85546875" customWidth="1"/>
    <col min="17" max="17" width="28.5703125" bestFit="1" customWidth="1"/>
    <col min="20" max="20" width="17" bestFit="1" customWidth="1"/>
    <col min="21" max="21" width="16.140625" bestFit="1" customWidth="1"/>
    <col min="23" max="23" width="16.5703125" bestFit="1" customWidth="1"/>
    <col min="25" max="25" width="13.42578125" bestFit="1" customWidth="1"/>
    <col min="41" max="41" width="20.28515625" bestFit="1" customWidth="1"/>
    <col min="42" max="42" width="5.85546875" customWidth="1"/>
    <col min="43" max="43" width="6.140625" style="63" customWidth="1"/>
    <col min="44" max="44" width="2" style="63" bestFit="1" customWidth="1"/>
    <col min="45" max="45" width="22.7109375" style="64" bestFit="1" customWidth="1"/>
    <col min="46" max="47" width="13.85546875" style="64" customWidth="1"/>
    <col min="48" max="48" width="3" style="63" bestFit="1" customWidth="1"/>
    <col min="49" max="49" width="19.42578125" style="64" bestFit="1" customWidth="1"/>
    <col min="50" max="50" width="15.85546875" style="64" bestFit="1" customWidth="1"/>
    <col min="51" max="51" width="20.28515625" style="64" bestFit="1" customWidth="1"/>
  </cols>
  <sheetData>
    <row r="1" spans="1:55" x14ac:dyDescent="0.25">
      <c r="A1" s="35" t="s">
        <v>56</v>
      </c>
      <c r="B1" s="60"/>
      <c r="D1" s="35" t="s">
        <v>120</v>
      </c>
      <c r="F1" s="35" t="s">
        <v>132</v>
      </c>
      <c r="L1" t="s">
        <v>143</v>
      </c>
      <c r="N1" s="35" t="s">
        <v>155</v>
      </c>
      <c r="AO1" s="66" t="s">
        <v>189</v>
      </c>
      <c r="AP1" s="66"/>
      <c r="AQ1" s="67"/>
      <c r="AR1" s="67"/>
      <c r="AS1" s="68"/>
      <c r="AT1" s="68"/>
      <c r="AU1" s="68"/>
      <c r="AV1" s="67"/>
      <c r="AW1" s="68"/>
      <c r="AX1" s="68"/>
      <c r="AY1" s="68"/>
    </row>
    <row r="2" spans="1:55" x14ac:dyDescent="0.25">
      <c r="A2" s="214" t="s">
        <v>118</v>
      </c>
      <c r="B2" s="214" t="s">
        <v>255</v>
      </c>
      <c r="D2" s="35" t="s">
        <v>118</v>
      </c>
      <c r="E2" s="35"/>
      <c r="F2" s="35" t="s">
        <v>118</v>
      </c>
      <c r="G2" s="35" t="s">
        <v>119</v>
      </c>
      <c r="H2" s="35" t="s">
        <v>137</v>
      </c>
      <c r="I2" s="35" t="s">
        <v>134</v>
      </c>
      <c r="J2" s="35" t="s">
        <v>138</v>
      </c>
      <c r="L2" s="35" t="s">
        <v>144</v>
      </c>
      <c r="M2" s="35" t="s">
        <v>145</v>
      </c>
      <c r="N2" s="35" t="s">
        <v>156</v>
      </c>
      <c r="O2" s="35" t="s">
        <v>170</v>
      </c>
      <c r="P2" s="35" t="s">
        <v>253</v>
      </c>
      <c r="Q2" s="35" t="s">
        <v>171</v>
      </c>
      <c r="R2" s="35" t="s">
        <v>254</v>
      </c>
      <c r="T2" s="35" t="s">
        <v>17</v>
      </c>
      <c r="U2" s="35" t="s">
        <v>250</v>
      </c>
      <c r="W2" s="35" t="s">
        <v>452</v>
      </c>
      <c r="Y2" s="35" t="s">
        <v>457</v>
      </c>
      <c r="AO2" s="69" t="s">
        <v>447</v>
      </c>
      <c r="AP2" s="66"/>
      <c r="AQ2" s="67"/>
      <c r="AR2" s="67"/>
      <c r="AS2" s="76" t="s">
        <v>191</v>
      </c>
      <c r="AT2" s="76" t="s">
        <v>190</v>
      </c>
      <c r="AU2" s="76" t="s">
        <v>192</v>
      </c>
      <c r="AV2" s="77"/>
      <c r="AW2" s="76" t="s">
        <v>195</v>
      </c>
      <c r="AX2" s="74" t="s">
        <v>194</v>
      </c>
      <c r="AY2" s="74" t="s">
        <v>193</v>
      </c>
      <c r="BA2" s="35" t="s">
        <v>209</v>
      </c>
    </row>
    <row r="3" spans="1:55" x14ac:dyDescent="0.25">
      <c r="A3" t="s">
        <v>112</v>
      </c>
      <c r="B3" s="63">
        <v>50</v>
      </c>
      <c r="D3" t="s">
        <v>121</v>
      </c>
      <c r="F3" t="s">
        <v>141</v>
      </c>
      <c r="G3" s="5">
        <f>1.45*1.18</f>
        <v>1.7109999999999999</v>
      </c>
      <c r="H3">
        <v>3.26</v>
      </c>
      <c r="I3" t="s">
        <v>135</v>
      </c>
      <c r="J3">
        <f>+G3*H3</f>
        <v>5.5778599999999994</v>
      </c>
      <c r="L3" t="s">
        <v>146</v>
      </c>
      <c r="M3" s="5">
        <f>300/6/11</f>
        <v>4.5454545454545459</v>
      </c>
      <c r="O3" t="s">
        <v>158</v>
      </c>
      <c r="P3" s="5">
        <f>1.55*1.18</f>
        <v>1.829</v>
      </c>
      <c r="Q3" t="s">
        <v>172</v>
      </c>
      <c r="R3">
        <v>4</v>
      </c>
      <c r="T3" t="s">
        <v>640</v>
      </c>
      <c r="U3" t="s">
        <v>251</v>
      </c>
      <c r="W3" t="s">
        <v>453</v>
      </c>
      <c r="Y3" t="s">
        <v>50</v>
      </c>
      <c r="AO3" s="217" t="str">
        <f>+Ordenes!B40</f>
        <v>Amarillo CH 1041</v>
      </c>
      <c r="AP3" s="66"/>
      <c r="AQ3" s="70">
        <f>COUNTIF($AO$3:AO3,AO3)</f>
        <v>1</v>
      </c>
      <c r="AR3" s="70">
        <f>COUNTIF($AQ$3:AQ3,1)</f>
        <v>1</v>
      </c>
      <c r="AS3" s="71" t="str">
        <f t="shared" ref="AS3:AS25" si="0">+AO3</f>
        <v>Amarillo CH 1041</v>
      </c>
      <c r="AT3" s="71">
        <f>+Temporal!M5</f>
        <v>429.59969008264471</v>
      </c>
      <c r="AU3" s="71">
        <f>+Temporal!U5</f>
        <v>21.479984504132236</v>
      </c>
      <c r="AV3" s="70">
        <v>1</v>
      </c>
      <c r="AW3" s="72" t="str">
        <f t="shared" ref="AW3:AW25" si="1">IF(IFERROR(VLOOKUP(AV3,$AR$3:$AS$25,2,FALSE),"")=0,"",IFERROR(VLOOKUP(AV3,$AR$3:$AS$25,2,FALSE),""))</f>
        <v>Amarillo CH 1041</v>
      </c>
      <c r="AX3" s="73">
        <f t="shared" ref="AX3:AX25" si="2">SUMIF($AS$3:$AS$25,AW3,$AT$3:$AT$25)</f>
        <v>501.19963842975216</v>
      </c>
      <c r="AY3" s="71">
        <f t="shared" ref="AY3:AY25" si="3">SUMIF($AS$3:$AS$25,AW3,$AU$3:$AU$25)</f>
        <v>25.059981921487609</v>
      </c>
      <c r="BA3" s="42">
        <f>IF(OR(AND(Ordenes!C27&lt;&gt;"",Ordenes!G27&lt;&gt;""),AND(Ordenes!C27="",Ordenes!G27="")),0,-1)</f>
        <v>0</v>
      </c>
      <c r="BB3" s="42">
        <f>IF(OR(AND(Ordenes!D27&lt;&gt;"",Ordenes!H27&lt;&gt;""),AND(Ordenes!D27="",Ordenes!H27="")),0,-1)</f>
        <v>0</v>
      </c>
      <c r="BC3" s="42">
        <f>IF(OR(AND(Ordenes!E27&lt;&gt;"",Ordenes!I27&lt;&gt;""),AND(Ordenes!E27="",Ordenes!I27="")),0,-1)</f>
        <v>0</v>
      </c>
    </row>
    <row r="4" spans="1:55" x14ac:dyDescent="0.25">
      <c r="A4" t="s">
        <v>113</v>
      </c>
      <c r="B4" s="63">
        <v>21.59</v>
      </c>
      <c r="D4" t="s">
        <v>122</v>
      </c>
      <c r="F4" t="s">
        <v>142</v>
      </c>
      <c r="G4" s="5">
        <f>1.48*1.18</f>
        <v>1.7464</v>
      </c>
      <c r="H4">
        <v>3.26</v>
      </c>
      <c r="I4" t="s">
        <v>135</v>
      </c>
      <c r="J4">
        <f>+G4*H4</f>
        <v>5.6932639999999992</v>
      </c>
      <c r="O4" t="s">
        <v>159</v>
      </c>
      <c r="P4">
        <v>1.55</v>
      </c>
      <c r="Q4" t="s">
        <v>581</v>
      </c>
      <c r="R4">
        <v>4</v>
      </c>
      <c r="T4" t="s">
        <v>641</v>
      </c>
      <c r="U4" t="s">
        <v>252</v>
      </c>
      <c r="W4" t="s">
        <v>454</v>
      </c>
      <c r="Y4" t="s">
        <v>458</v>
      </c>
      <c r="AO4" s="217" t="str">
        <f>+Ordenes!B41</f>
        <v>Azul UltramarEP-24</v>
      </c>
      <c r="AP4" s="66"/>
      <c r="AQ4" s="70">
        <f>COUNTIF($AO$3:AO4,AO4)</f>
        <v>1</v>
      </c>
      <c r="AR4" s="70">
        <f>COUNTIF($AQ$3:AQ4,1)</f>
        <v>2</v>
      </c>
      <c r="AS4" s="71" t="str">
        <f t="shared" si="0"/>
        <v>Azul UltramarEP-24</v>
      </c>
      <c r="AT4" s="71">
        <f>+Temporal!M6</f>
        <v>859.19938016528943</v>
      </c>
      <c r="AU4" s="71">
        <f>+Temporal!U6</f>
        <v>0</v>
      </c>
      <c r="AV4" s="70">
        <v>2</v>
      </c>
      <c r="AW4" s="72" t="str">
        <f t="shared" si="1"/>
        <v>Azul UltramarEP-24</v>
      </c>
      <c r="AX4" s="73">
        <f t="shared" si="2"/>
        <v>1460.6389462809921</v>
      </c>
      <c r="AY4" s="71">
        <f t="shared" si="3"/>
        <v>0</v>
      </c>
      <c r="BA4" s="42">
        <f>IF(OR(AND(Ordenes!C28&lt;&gt;"",Ordenes!G28&lt;&gt;""),AND(Ordenes!C28="",Ordenes!G28="")),0,-1)</f>
        <v>0</v>
      </c>
      <c r="BB4" s="42">
        <f>IF(OR(AND(Ordenes!D28&lt;&gt;"",Ordenes!H28&lt;&gt;""),AND(Ordenes!D28="",Ordenes!H28="")),0,-1)</f>
        <v>0</v>
      </c>
      <c r="BC4" s="42">
        <f>IF(OR(AND(Ordenes!E28&lt;&gt;"",Ordenes!I28&lt;&gt;""),AND(Ordenes!E28="",Ordenes!I28="")),0,-1)</f>
        <v>0</v>
      </c>
    </row>
    <row r="5" spans="1:55" x14ac:dyDescent="0.25">
      <c r="A5" t="s">
        <v>100</v>
      </c>
      <c r="B5" s="63">
        <v>9.4499999999999993</v>
      </c>
      <c r="D5" t="s">
        <v>123</v>
      </c>
      <c r="F5" t="s">
        <v>133</v>
      </c>
      <c r="G5">
        <v>4</v>
      </c>
      <c r="H5">
        <v>1</v>
      </c>
      <c r="I5" t="s">
        <v>136</v>
      </c>
      <c r="J5">
        <f>+G5*H5</f>
        <v>4</v>
      </c>
      <c r="O5" t="s">
        <v>160</v>
      </c>
      <c r="P5">
        <v>1.55</v>
      </c>
      <c r="Q5" t="s">
        <v>224</v>
      </c>
      <c r="R5">
        <v>4</v>
      </c>
      <c r="T5" t="s">
        <v>642</v>
      </c>
      <c r="W5" t="s">
        <v>455</v>
      </c>
      <c r="Y5" t="s">
        <v>459</v>
      </c>
      <c r="AO5" s="217" t="str">
        <f>+Ordenes!B42</f>
        <v>Rojo R120</v>
      </c>
      <c r="AP5" s="66"/>
      <c r="AQ5" s="70">
        <f>COUNTIF($AO$3:AO5,AO5)</f>
        <v>1</v>
      </c>
      <c r="AR5" s="70">
        <f>COUNTIF($AQ$3:AQ5,1)</f>
        <v>3</v>
      </c>
      <c r="AS5" s="71" t="str">
        <f t="shared" si="0"/>
        <v>Rojo R120</v>
      </c>
      <c r="AT5" s="71">
        <f>+Temporal!M7</f>
        <v>572.79958677685966</v>
      </c>
      <c r="AU5" s="71">
        <f>+Temporal!U7</f>
        <v>28.639979338842984</v>
      </c>
      <c r="AV5" s="70">
        <v>3</v>
      </c>
      <c r="AW5" s="72" t="str">
        <f t="shared" si="1"/>
        <v>Rojo R120</v>
      </c>
      <c r="AX5" s="73">
        <f t="shared" si="2"/>
        <v>572.79958677685966</v>
      </c>
      <c r="AY5" s="71">
        <f t="shared" si="3"/>
        <v>28.639979338842984</v>
      </c>
      <c r="BA5" s="42">
        <f>IF(OR(AND(Ordenes!C29&lt;&gt;"",Ordenes!G29&lt;&gt;""),AND(Ordenes!C29="",Ordenes!G29="")),0,-1)</f>
        <v>0</v>
      </c>
      <c r="BB5" s="42">
        <f>IF(OR(AND(Ordenes!D29&lt;&gt;"",Ordenes!H29&lt;&gt;""),AND(Ordenes!D29="",Ordenes!H29="")),0,-1)</f>
        <v>0</v>
      </c>
      <c r="BC5" s="42">
        <f>IF(OR(AND(Ordenes!E29&lt;&gt;"",Ordenes!I29&lt;&gt;""),AND(Ordenes!E29="",Ordenes!I29="")),0,-1)</f>
        <v>0</v>
      </c>
    </row>
    <row r="6" spans="1:55" x14ac:dyDescent="0.25">
      <c r="A6" t="s">
        <v>615</v>
      </c>
      <c r="B6" s="63">
        <v>50</v>
      </c>
      <c r="D6" t="s">
        <v>124</v>
      </c>
      <c r="O6" t="s">
        <v>157</v>
      </c>
      <c r="P6">
        <v>1.55</v>
      </c>
      <c r="Q6" t="s">
        <v>173</v>
      </c>
      <c r="R6">
        <v>4</v>
      </c>
      <c r="T6" t="s">
        <v>643</v>
      </c>
      <c r="Y6" t="s">
        <v>52</v>
      </c>
      <c r="AO6" s="217" t="str">
        <f>+Ordenes!B43</f>
        <v>Magenta 21</v>
      </c>
      <c r="AP6" s="66"/>
      <c r="AQ6" s="70">
        <f>COUNTIF($AO$3:AO6,AO6)</f>
        <v>1</v>
      </c>
      <c r="AR6" s="70">
        <f>COUNTIF($AQ$3:AQ6,1)</f>
        <v>4</v>
      </c>
      <c r="AS6" s="71" t="str">
        <f t="shared" si="0"/>
        <v>Magenta 21</v>
      </c>
      <c r="AT6" s="71">
        <f>+Temporal!M8</f>
        <v>572.79958677685966</v>
      </c>
      <c r="AU6" s="71">
        <f>+Temporal!U8</f>
        <v>28.639979338842984</v>
      </c>
      <c r="AV6" s="70">
        <v>4</v>
      </c>
      <c r="AW6" s="72" t="str">
        <f t="shared" si="1"/>
        <v>Magenta 21</v>
      </c>
      <c r="AX6" s="73">
        <f t="shared" si="2"/>
        <v>1145.5991735537193</v>
      </c>
      <c r="AY6" s="71">
        <f t="shared" si="3"/>
        <v>57.279958677685968</v>
      </c>
      <c r="BA6" s="42">
        <f>IF(OR(AND(Ordenes!C30&lt;&gt;"",Ordenes!G30&lt;&gt;""),AND(Ordenes!C30="",Ordenes!G30="")),0,-1)</f>
        <v>0</v>
      </c>
      <c r="BB6" s="42">
        <f>IF(OR(AND(Ordenes!D30&lt;&gt;"",Ordenes!H30&lt;&gt;""),AND(Ordenes!D30="",Ordenes!H30="")),0,-1)</f>
        <v>0</v>
      </c>
      <c r="BC6" s="42">
        <f>IF(OR(AND(Ordenes!E30&lt;&gt;"",Ordenes!I30&lt;&gt;""),AND(Ordenes!E30="",Ordenes!I30="")),0,-1)</f>
        <v>0</v>
      </c>
    </row>
    <row r="7" spans="1:55" x14ac:dyDescent="0.25">
      <c r="A7" t="s">
        <v>618</v>
      </c>
      <c r="B7" s="63">
        <v>50</v>
      </c>
      <c r="O7" t="s">
        <v>442</v>
      </c>
      <c r="P7">
        <v>1.55</v>
      </c>
      <c r="Q7" t="s">
        <v>227</v>
      </c>
      <c r="R7">
        <v>4</v>
      </c>
      <c r="T7" t="s">
        <v>644</v>
      </c>
      <c r="Y7" t="s">
        <v>460</v>
      </c>
      <c r="AO7" s="217" t="str">
        <f>+Ordenes!B44</f>
        <v>Verde 7041</v>
      </c>
      <c r="AP7" s="66"/>
      <c r="AQ7" s="70">
        <f>COUNTIF($AO$3:AO7,AO7)</f>
        <v>1</v>
      </c>
      <c r="AR7" s="70">
        <f>COUNTIF($AQ$3:AQ7,1)</f>
        <v>5</v>
      </c>
      <c r="AS7" s="71" t="str">
        <f t="shared" si="0"/>
        <v>Verde 7041</v>
      </c>
      <c r="AT7" s="71">
        <f>+Temporal!M9</f>
        <v>286.39979338842983</v>
      </c>
      <c r="AU7" s="71">
        <f>+Temporal!U9</f>
        <v>14.319989669421492</v>
      </c>
      <c r="AV7" s="70">
        <v>5</v>
      </c>
      <c r="AW7" s="72" t="str">
        <f t="shared" si="1"/>
        <v>Verde 7041</v>
      </c>
      <c r="AX7" s="73">
        <f t="shared" si="2"/>
        <v>286.39979338842983</v>
      </c>
      <c r="AY7" s="71">
        <f t="shared" si="3"/>
        <v>14.319989669421492</v>
      </c>
      <c r="BA7" s="42">
        <f>IF(OR(AND(Ordenes!C31&lt;&gt;"",Ordenes!G31&lt;&gt;""),AND(Ordenes!C31="",Ordenes!G31="")),0,-1)</f>
        <v>0</v>
      </c>
      <c r="BB7" s="42">
        <f>IF(OR(AND(Ordenes!D31&lt;&gt;"",Ordenes!H31&lt;&gt;""),AND(Ordenes!D31="",Ordenes!H31="")),0,-1)</f>
        <v>0</v>
      </c>
      <c r="BC7" s="42">
        <f>IF(OR(AND(Ordenes!E31&lt;&gt;"",Ordenes!I31&lt;&gt;""),AND(Ordenes!E31="",Ordenes!I31="")),0,-1)</f>
        <v>0</v>
      </c>
    </row>
    <row r="8" spans="1:55" x14ac:dyDescent="0.25">
      <c r="A8" t="s">
        <v>111</v>
      </c>
      <c r="B8" s="63">
        <v>50</v>
      </c>
      <c r="O8" t="s">
        <v>223</v>
      </c>
      <c r="P8">
        <v>1.55</v>
      </c>
      <c r="Q8" t="s">
        <v>228</v>
      </c>
      <c r="R8">
        <v>4</v>
      </c>
      <c r="T8" t="s">
        <v>645</v>
      </c>
      <c r="Y8" t="s">
        <v>535</v>
      </c>
      <c r="AO8" s="217" t="str">
        <f>+Ordenes!B45</f>
        <v>Dioxido de Titanio 2220</v>
      </c>
      <c r="AP8" s="66"/>
      <c r="AQ8" s="70">
        <f>COUNTIF($AO$3:AO8,AO8)</f>
        <v>1</v>
      </c>
      <c r="AR8" s="70">
        <f>COUNTIF($AQ$3:AQ8,1)</f>
        <v>6</v>
      </c>
      <c r="AS8" s="71" t="str">
        <f t="shared" si="0"/>
        <v>Dioxido de Titanio 2220</v>
      </c>
      <c r="AT8" s="71">
        <f>+Temporal!M10</f>
        <v>71.599948347107457</v>
      </c>
      <c r="AU8" s="71">
        <f>+Temporal!U10</f>
        <v>3.579997417355373</v>
      </c>
      <c r="AV8" s="70">
        <v>6</v>
      </c>
      <c r="AW8" s="72" t="str">
        <f t="shared" si="1"/>
        <v>Dioxido de Titanio 2220</v>
      </c>
      <c r="AX8" s="73">
        <f t="shared" si="2"/>
        <v>429.59969008264471</v>
      </c>
      <c r="AY8" s="71">
        <f t="shared" si="3"/>
        <v>21.479984504132236</v>
      </c>
      <c r="BA8" s="42">
        <f>IF(OR(AND(Ordenes!C32&lt;&gt;"",Ordenes!G32&lt;&gt;""),AND(Ordenes!C32="",Ordenes!G32="")),0,-1)</f>
        <v>0</v>
      </c>
      <c r="BB8" s="42">
        <f>IF(OR(AND(Ordenes!D32&lt;&gt;"",Ordenes!H32&lt;&gt;""),AND(Ordenes!D32="",Ordenes!H32="")),0,-1)</f>
        <v>0</v>
      </c>
      <c r="BC8" s="42">
        <f>IF(OR(AND(Ordenes!E32&lt;&gt;"",Ordenes!I32&lt;&gt;""),AND(Ordenes!E32="",Ordenes!I32="")),0,-1)</f>
        <v>0</v>
      </c>
    </row>
    <row r="9" spans="1:55" x14ac:dyDescent="0.25">
      <c r="A9" t="s">
        <v>608</v>
      </c>
      <c r="B9" s="63">
        <v>50</v>
      </c>
      <c r="O9" t="s">
        <v>441</v>
      </c>
      <c r="P9">
        <v>1.55</v>
      </c>
      <c r="Q9" t="s">
        <v>229</v>
      </c>
      <c r="R9">
        <v>4</v>
      </c>
      <c r="T9" t="s">
        <v>646</v>
      </c>
      <c r="Y9" t="s">
        <v>116</v>
      </c>
      <c r="AO9" s="219" t="str">
        <f>+Ordenes!C40</f>
        <v>Dioxido de Titanio 2220</v>
      </c>
      <c r="AP9" s="66"/>
      <c r="AQ9" s="70">
        <f>COUNTIF($AO$3:AO9,AO9)</f>
        <v>2</v>
      </c>
      <c r="AR9" s="70">
        <f>COUNTIF($AQ$3:AQ9,1)</f>
        <v>6</v>
      </c>
      <c r="AS9" s="71" t="str">
        <f t="shared" si="0"/>
        <v>Dioxido de Titanio 2220</v>
      </c>
      <c r="AT9" s="71">
        <f>+Temporal!N5</f>
        <v>71.599948347107457</v>
      </c>
      <c r="AU9" s="71">
        <f>+Temporal!V5</f>
        <v>3.579997417355373</v>
      </c>
      <c r="AV9" s="70">
        <v>7</v>
      </c>
      <c r="AW9" s="72" t="str">
        <f t="shared" si="1"/>
        <v/>
      </c>
      <c r="AX9" s="73">
        <f t="shared" si="2"/>
        <v>0</v>
      </c>
      <c r="AY9" s="71">
        <f t="shared" si="3"/>
        <v>0</v>
      </c>
      <c r="BA9" s="42"/>
      <c r="BB9" s="42"/>
      <c r="BC9" s="42"/>
    </row>
    <row r="10" spans="1:55" x14ac:dyDescent="0.25">
      <c r="A10" t="s">
        <v>117</v>
      </c>
      <c r="B10" s="63">
        <v>50</v>
      </c>
      <c r="O10" t="s">
        <v>161</v>
      </c>
      <c r="P10">
        <v>1.55</v>
      </c>
      <c r="Q10" t="s">
        <v>230</v>
      </c>
      <c r="R10">
        <v>4</v>
      </c>
      <c r="T10" t="s">
        <v>647</v>
      </c>
      <c r="Y10" t="s">
        <v>461</v>
      </c>
      <c r="AO10" s="219" t="str">
        <f>+Ordenes!C41</f>
        <v>Dioxido de Titanio 2220</v>
      </c>
      <c r="AP10" s="66"/>
      <c r="AQ10" s="70">
        <f>COUNTIF($AO$3:AO10,AO10)</f>
        <v>3</v>
      </c>
      <c r="AR10" s="70">
        <f>COUNTIF($AQ$3:AQ10,1)</f>
        <v>6</v>
      </c>
      <c r="AS10" s="71" t="str">
        <f t="shared" si="0"/>
        <v>Dioxido de Titanio 2220</v>
      </c>
      <c r="AT10" s="71">
        <f>+Temporal!N6</f>
        <v>71.599948347107457</v>
      </c>
      <c r="AU10" s="71">
        <f>+Temporal!V6</f>
        <v>3.579997417355373</v>
      </c>
      <c r="AV10" s="70">
        <v>8</v>
      </c>
      <c r="AW10" s="72" t="str">
        <f t="shared" si="1"/>
        <v/>
      </c>
      <c r="AX10" s="73">
        <f t="shared" si="2"/>
        <v>0</v>
      </c>
      <c r="AY10" s="71">
        <f t="shared" si="3"/>
        <v>0</v>
      </c>
      <c r="BA10" s="42"/>
      <c r="BB10" s="42"/>
      <c r="BC10" s="42"/>
    </row>
    <row r="11" spans="1:55" x14ac:dyDescent="0.25">
      <c r="A11" t="s">
        <v>613</v>
      </c>
      <c r="B11" s="63">
        <v>50</v>
      </c>
      <c r="O11" t="s">
        <v>162</v>
      </c>
      <c r="P11">
        <v>1.55</v>
      </c>
      <c r="Q11" t="s">
        <v>227</v>
      </c>
      <c r="R11">
        <v>4</v>
      </c>
      <c r="T11" t="s">
        <v>648</v>
      </c>
      <c r="Y11" t="s">
        <v>607</v>
      </c>
      <c r="AO11" s="219" t="str">
        <f>+Ordenes!C42</f>
        <v>Dioxido de Titanio 2220</v>
      </c>
      <c r="AP11" s="66"/>
      <c r="AQ11" s="70">
        <f>COUNTIF($AO$3:AO11,AO11)</f>
        <v>4</v>
      </c>
      <c r="AR11" s="70">
        <f>COUNTIF($AQ$3:AQ11,1)</f>
        <v>6</v>
      </c>
      <c r="AS11" s="71" t="str">
        <f t="shared" si="0"/>
        <v>Dioxido de Titanio 2220</v>
      </c>
      <c r="AT11" s="71">
        <f>+Temporal!N7</f>
        <v>71.599948347107457</v>
      </c>
      <c r="AU11" s="71">
        <f>+Temporal!V7</f>
        <v>3.579997417355373</v>
      </c>
      <c r="AV11" s="70">
        <v>9</v>
      </c>
      <c r="AW11" s="72" t="str">
        <f t="shared" si="1"/>
        <v/>
      </c>
      <c r="AX11" s="73">
        <f t="shared" si="2"/>
        <v>0</v>
      </c>
      <c r="AY11" s="71">
        <f t="shared" si="3"/>
        <v>0</v>
      </c>
      <c r="BA11" s="42"/>
      <c r="BB11" s="42"/>
      <c r="BC11" s="42"/>
    </row>
    <row r="12" spans="1:55" x14ac:dyDescent="0.25">
      <c r="A12" t="s">
        <v>108</v>
      </c>
      <c r="B12" s="63">
        <v>50</v>
      </c>
      <c r="O12" t="s">
        <v>163</v>
      </c>
      <c r="P12">
        <v>1.55</v>
      </c>
      <c r="Q12" t="s">
        <v>233</v>
      </c>
      <c r="R12">
        <v>4</v>
      </c>
      <c r="T12" t="s">
        <v>649</v>
      </c>
      <c r="Y12" t="s">
        <v>462</v>
      </c>
      <c r="AO12" s="219" t="str">
        <f>+Ordenes!C43</f>
        <v>Dioxido de Titanio 2220</v>
      </c>
      <c r="AP12" s="66"/>
      <c r="AQ12" s="70">
        <f>COUNTIF($AO$3:AO12,AO12)</f>
        <v>5</v>
      </c>
      <c r="AR12" s="70">
        <f>COUNTIF($AQ$3:AQ12,1)</f>
        <v>6</v>
      </c>
      <c r="AS12" s="71" t="str">
        <f t="shared" si="0"/>
        <v>Dioxido de Titanio 2220</v>
      </c>
      <c r="AT12" s="71">
        <f>+Temporal!N8</f>
        <v>71.599948347107457</v>
      </c>
      <c r="AU12" s="71">
        <f>+Temporal!V8</f>
        <v>3.579997417355373</v>
      </c>
      <c r="AV12" s="70">
        <v>10</v>
      </c>
      <c r="AW12" s="72" t="str">
        <f t="shared" si="1"/>
        <v/>
      </c>
      <c r="AX12" s="73">
        <f t="shared" si="2"/>
        <v>0</v>
      </c>
      <c r="AY12" s="71">
        <f t="shared" si="3"/>
        <v>0</v>
      </c>
      <c r="BA12" s="42"/>
      <c r="BB12" s="42"/>
      <c r="BC12" s="42"/>
    </row>
    <row r="13" spans="1:55" x14ac:dyDescent="0.25">
      <c r="A13" t="s">
        <v>107</v>
      </c>
      <c r="B13" s="63">
        <v>50</v>
      </c>
      <c r="O13" t="s">
        <v>164</v>
      </c>
      <c r="P13">
        <v>1.55</v>
      </c>
      <c r="Q13" t="s">
        <v>232</v>
      </c>
      <c r="R13">
        <v>4</v>
      </c>
      <c r="T13" t="s">
        <v>650</v>
      </c>
      <c r="Y13" t="s">
        <v>463</v>
      </c>
      <c r="AO13" s="219" t="str">
        <f>+Ordenes!C44</f>
        <v>Amarillo CH 1041</v>
      </c>
      <c r="AP13" s="66"/>
      <c r="AQ13" s="70">
        <f>COUNTIF($AO$3:AO13,AO13)</f>
        <v>2</v>
      </c>
      <c r="AR13" s="70">
        <f>COUNTIF($AQ$3:AQ13,1)</f>
        <v>6</v>
      </c>
      <c r="AS13" s="71" t="str">
        <f t="shared" si="0"/>
        <v>Amarillo CH 1041</v>
      </c>
      <c r="AT13" s="71">
        <f>+Temporal!N9</f>
        <v>71.599948347107457</v>
      </c>
      <c r="AU13" s="71">
        <f>+Temporal!V9</f>
        <v>3.579997417355373</v>
      </c>
      <c r="AV13" s="70">
        <v>11</v>
      </c>
      <c r="AW13" s="72" t="str">
        <f t="shared" si="1"/>
        <v/>
      </c>
      <c r="AX13" s="73">
        <f t="shared" si="2"/>
        <v>0</v>
      </c>
      <c r="AY13" s="71">
        <f t="shared" si="3"/>
        <v>0</v>
      </c>
      <c r="BA13" s="42"/>
      <c r="BB13" s="42"/>
      <c r="BC13" s="42"/>
    </row>
    <row r="14" spans="1:55" x14ac:dyDescent="0.25">
      <c r="A14" t="s">
        <v>110</v>
      </c>
      <c r="B14" s="63">
        <v>50</v>
      </c>
      <c r="O14" t="s">
        <v>165</v>
      </c>
      <c r="P14">
        <v>1.55</v>
      </c>
      <c r="Q14" t="s">
        <v>231</v>
      </c>
      <c r="R14">
        <v>4</v>
      </c>
      <c r="T14" t="s">
        <v>693</v>
      </c>
      <c r="Y14" t="s">
        <v>464</v>
      </c>
      <c r="AO14" s="219" t="str">
        <f>+Ordenes!C45</f>
        <v>Magenta 21</v>
      </c>
      <c r="AP14" s="66"/>
      <c r="AQ14" s="70">
        <f>COUNTIF($AO$3:AO14,AO14)</f>
        <v>2</v>
      </c>
      <c r="AR14" s="70">
        <f>COUNTIF($AQ$3:AQ14,1)</f>
        <v>6</v>
      </c>
      <c r="AS14" s="71" t="str">
        <f t="shared" si="0"/>
        <v>Magenta 21</v>
      </c>
      <c r="AT14" s="71">
        <f>+Temporal!N10</f>
        <v>572.79958677685966</v>
      </c>
      <c r="AU14" s="71">
        <f>+Temporal!V10</f>
        <v>28.639979338842984</v>
      </c>
      <c r="AV14" s="70">
        <v>12</v>
      </c>
      <c r="AW14" s="72" t="str">
        <f t="shared" si="1"/>
        <v/>
      </c>
      <c r="AX14" s="73">
        <f t="shared" si="2"/>
        <v>0</v>
      </c>
      <c r="AY14" s="71">
        <f t="shared" si="3"/>
        <v>0</v>
      </c>
      <c r="BA14" s="42"/>
      <c r="BB14" s="42"/>
      <c r="BC14" s="42"/>
    </row>
    <row r="15" spans="1:55" x14ac:dyDescent="0.25">
      <c r="A15" t="s">
        <v>109</v>
      </c>
      <c r="B15" s="63">
        <v>50</v>
      </c>
      <c r="O15" t="s">
        <v>166</v>
      </c>
      <c r="P15">
        <v>1.55</v>
      </c>
      <c r="Q15" t="s">
        <v>174</v>
      </c>
      <c r="R15">
        <v>4</v>
      </c>
      <c r="T15" t="s">
        <v>651</v>
      </c>
      <c r="Y15" t="s">
        <v>465</v>
      </c>
      <c r="AO15" s="218">
        <f>+Ordenes!D40</f>
        <v>0</v>
      </c>
      <c r="AP15" s="66"/>
      <c r="AQ15" s="70">
        <f>COUNTIF($AO$3:AO15,AO15)</f>
        <v>1</v>
      </c>
      <c r="AR15" s="70">
        <f>COUNTIF($AQ$3:AQ15,1)</f>
        <v>7</v>
      </c>
      <c r="AS15" s="71">
        <f t="shared" si="0"/>
        <v>0</v>
      </c>
      <c r="AT15" s="71">
        <f>+Temporal!O5</f>
        <v>0</v>
      </c>
      <c r="AU15" s="71">
        <f>+Temporal!W5</f>
        <v>0</v>
      </c>
      <c r="AV15" s="70">
        <v>13</v>
      </c>
      <c r="AW15" s="72" t="str">
        <f t="shared" si="1"/>
        <v/>
      </c>
      <c r="AX15" s="73">
        <f t="shared" si="2"/>
        <v>0</v>
      </c>
      <c r="AY15" s="71">
        <f t="shared" si="3"/>
        <v>0</v>
      </c>
      <c r="BA15" s="42"/>
      <c r="BB15" s="42"/>
      <c r="BC15" s="42"/>
    </row>
    <row r="16" spans="1:55" x14ac:dyDescent="0.25">
      <c r="A16" t="s">
        <v>617</v>
      </c>
      <c r="B16" s="63">
        <v>50</v>
      </c>
      <c r="O16" t="s">
        <v>593</v>
      </c>
      <c r="Q16" t="s">
        <v>583</v>
      </c>
      <c r="R16">
        <v>4</v>
      </c>
      <c r="T16" t="s">
        <v>652</v>
      </c>
      <c r="Y16" t="s">
        <v>51</v>
      </c>
      <c r="AO16" s="218">
        <f>+Ordenes!D41</f>
        <v>0</v>
      </c>
      <c r="AP16" s="66"/>
      <c r="AQ16" s="70">
        <f>COUNTIF($AO$3:AO16,AO16)</f>
        <v>2</v>
      </c>
      <c r="AR16" s="70">
        <f>COUNTIF($AQ$3:AQ16,1)</f>
        <v>7</v>
      </c>
      <c r="AS16" s="71">
        <f t="shared" si="0"/>
        <v>0</v>
      </c>
      <c r="AT16" s="71">
        <f>+Temporal!O6</f>
        <v>0</v>
      </c>
      <c r="AU16" s="71">
        <f>+Temporal!W6</f>
        <v>0</v>
      </c>
      <c r="AV16" s="70">
        <v>14</v>
      </c>
      <c r="AW16" s="72" t="str">
        <f t="shared" si="1"/>
        <v/>
      </c>
      <c r="AX16" s="73">
        <f t="shared" si="2"/>
        <v>0</v>
      </c>
      <c r="AY16" s="71">
        <f t="shared" si="3"/>
        <v>0</v>
      </c>
      <c r="BA16" s="42"/>
      <c r="BB16" s="42"/>
      <c r="BC16" s="42"/>
    </row>
    <row r="17" spans="1:55" x14ac:dyDescent="0.25">
      <c r="A17" t="s">
        <v>619</v>
      </c>
      <c r="B17" s="63">
        <v>50</v>
      </c>
      <c r="Q17" t="s">
        <v>225</v>
      </c>
      <c r="R17">
        <v>4</v>
      </c>
      <c r="Y17" t="s">
        <v>53</v>
      </c>
      <c r="AO17" s="218">
        <f>+Ordenes!D42</f>
        <v>0</v>
      </c>
      <c r="AP17" s="66"/>
      <c r="AQ17" s="70">
        <f>COUNTIF($AO$3:AO17,AO17)</f>
        <v>3</v>
      </c>
      <c r="AR17" s="70">
        <f>COUNTIF($AQ$3:AQ17,1)</f>
        <v>7</v>
      </c>
      <c r="AS17" s="71">
        <f t="shared" si="0"/>
        <v>0</v>
      </c>
      <c r="AT17" s="71">
        <f>+Temporal!O7</f>
        <v>0</v>
      </c>
      <c r="AU17" s="71">
        <f>+Temporal!W7</f>
        <v>0</v>
      </c>
      <c r="AV17" s="70">
        <v>15</v>
      </c>
      <c r="AW17" s="72" t="str">
        <f t="shared" si="1"/>
        <v/>
      </c>
      <c r="AX17" s="73">
        <f t="shared" si="2"/>
        <v>0</v>
      </c>
      <c r="AY17" s="71">
        <f t="shared" si="3"/>
        <v>0</v>
      </c>
      <c r="BA17" s="42"/>
      <c r="BB17" s="42"/>
      <c r="BC17" s="42"/>
    </row>
    <row r="18" spans="1:55" x14ac:dyDescent="0.25">
      <c r="A18" t="s">
        <v>104</v>
      </c>
      <c r="B18" s="63">
        <v>50</v>
      </c>
      <c r="Q18" t="s">
        <v>226</v>
      </c>
      <c r="R18">
        <v>4</v>
      </c>
      <c r="Y18" t="s">
        <v>49</v>
      </c>
      <c r="AO18" s="218">
        <f>+Ordenes!D43</f>
        <v>0</v>
      </c>
      <c r="AP18" s="66"/>
      <c r="AQ18" s="70">
        <f>COUNTIF($AO$3:AO18,AO18)</f>
        <v>4</v>
      </c>
      <c r="AR18" s="70">
        <f>COUNTIF($AQ$3:AQ18,1)</f>
        <v>7</v>
      </c>
      <c r="AS18" s="71">
        <f t="shared" si="0"/>
        <v>0</v>
      </c>
      <c r="AT18" s="71">
        <f>+Temporal!O8</f>
        <v>0</v>
      </c>
      <c r="AU18" s="71">
        <f>+Temporal!W8</f>
        <v>0</v>
      </c>
      <c r="AV18" s="70">
        <v>16</v>
      </c>
      <c r="AW18" s="72" t="str">
        <f t="shared" si="1"/>
        <v/>
      </c>
      <c r="AX18" s="73">
        <f t="shared" si="2"/>
        <v>0</v>
      </c>
      <c r="AY18" s="71">
        <f t="shared" si="3"/>
        <v>0</v>
      </c>
      <c r="BA18" s="42"/>
      <c r="BB18" s="42"/>
      <c r="BC18" s="42"/>
    </row>
    <row r="19" spans="1:55" x14ac:dyDescent="0.25">
      <c r="A19" t="s">
        <v>105</v>
      </c>
      <c r="B19" s="63">
        <v>50</v>
      </c>
      <c r="Q19" t="s">
        <v>560</v>
      </c>
      <c r="R19">
        <v>4</v>
      </c>
      <c r="Y19" t="s">
        <v>466</v>
      </c>
      <c r="AO19" s="218" t="str">
        <f>+Ordenes!D44</f>
        <v>Dioxido de Titanio 2220</v>
      </c>
      <c r="AP19" s="66"/>
      <c r="AQ19" s="70">
        <f>COUNTIF($AO$3:AO19,AO19)</f>
        <v>6</v>
      </c>
      <c r="AR19" s="70">
        <f>COUNTIF($AQ$3:AQ19,1)</f>
        <v>7</v>
      </c>
      <c r="AS19" s="71" t="str">
        <f t="shared" si="0"/>
        <v>Dioxido de Titanio 2220</v>
      </c>
      <c r="AT19" s="71">
        <f>+Temporal!O9</f>
        <v>71.599948347107457</v>
      </c>
      <c r="AU19" s="71">
        <f>+Temporal!W9</f>
        <v>3.579997417355373</v>
      </c>
      <c r="AV19" s="70">
        <v>17</v>
      </c>
      <c r="AW19" s="72" t="str">
        <f t="shared" si="1"/>
        <v/>
      </c>
      <c r="AX19" s="73">
        <f t="shared" si="2"/>
        <v>0</v>
      </c>
      <c r="AY19" s="71">
        <f t="shared" si="3"/>
        <v>0</v>
      </c>
      <c r="BA19" s="42"/>
      <c r="BB19" s="42"/>
      <c r="BC19" s="42"/>
    </row>
    <row r="20" spans="1:55" x14ac:dyDescent="0.25">
      <c r="A20" t="s">
        <v>114</v>
      </c>
      <c r="B20" s="63">
        <v>50</v>
      </c>
      <c r="Y20" t="s">
        <v>467</v>
      </c>
      <c r="AO20" s="218" t="str">
        <f>+Ordenes!D45</f>
        <v>Azul UltramarEP-24</v>
      </c>
      <c r="AP20" s="66"/>
      <c r="AQ20" s="70">
        <f>COUNTIF($AO$3:AO20,AO20)</f>
        <v>2</v>
      </c>
      <c r="AR20" s="70">
        <f>COUNTIF($AQ$3:AQ20,1)</f>
        <v>7</v>
      </c>
      <c r="AS20" s="71" t="str">
        <f t="shared" si="0"/>
        <v>Azul UltramarEP-24</v>
      </c>
      <c r="AT20" s="71">
        <f>+Temporal!O10</f>
        <v>601.43956611570263</v>
      </c>
      <c r="AU20" s="71">
        <f>+Temporal!W10</f>
        <v>0</v>
      </c>
      <c r="AV20" s="70">
        <v>18</v>
      </c>
      <c r="AW20" s="72" t="str">
        <f t="shared" si="1"/>
        <v/>
      </c>
      <c r="AX20" s="73">
        <f t="shared" si="2"/>
        <v>0</v>
      </c>
      <c r="AY20" s="71">
        <f t="shared" si="3"/>
        <v>0</v>
      </c>
      <c r="BA20" s="42"/>
      <c r="BB20" s="42"/>
      <c r="BC20" s="42"/>
    </row>
    <row r="21" spans="1:55" x14ac:dyDescent="0.25">
      <c r="A21" t="s">
        <v>559</v>
      </c>
      <c r="B21" s="63">
        <v>50</v>
      </c>
      <c r="Y21" t="s">
        <v>614</v>
      </c>
      <c r="AO21" s="217">
        <f>+Ordenes!E40</f>
        <v>0</v>
      </c>
      <c r="AP21" s="66"/>
      <c r="AQ21" s="70">
        <f>COUNTIF($AO$3:AO21,AO21)</f>
        <v>5</v>
      </c>
      <c r="AR21" s="70">
        <f>COUNTIF($AQ$3:AQ21,1)</f>
        <v>7</v>
      </c>
      <c r="AS21" s="71">
        <f t="shared" si="0"/>
        <v>0</v>
      </c>
      <c r="AT21" s="71">
        <f>+Temporal!P5</f>
        <v>0</v>
      </c>
      <c r="AU21" s="71">
        <f>+Temporal!X5</f>
        <v>0</v>
      </c>
      <c r="AV21" s="70">
        <v>19</v>
      </c>
      <c r="AW21" s="72" t="str">
        <f t="shared" si="1"/>
        <v/>
      </c>
      <c r="AX21" s="73">
        <f t="shared" si="2"/>
        <v>0</v>
      </c>
      <c r="AY21" s="71">
        <f t="shared" si="3"/>
        <v>0</v>
      </c>
      <c r="BA21" s="42"/>
      <c r="BB21" s="42"/>
      <c r="BC21" s="42"/>
    </row>
    <row r="22" spans="1:55" x14ac:dyDescent="0.25">
      <c r="A22" t="s">
        <v>611</v>
      </c>
      <c r="B22" s="63">
        <v>50</v>
      </c>
      <c r="Y22" t="s">
        <v>532</v>
      </c>
      <c r="AO22" s="217">
        <f>+Ordenes!E41</f>
        <v>0</v>
      </c>
      <c r="AP22" s="66"/>
      <c r="AQ22" s="70">
        <f>COUNTIF($AO$3:AO22,AO22)</f>
        <v>6</v>
      </c>
      <c r="AR22" s="70">
        <f>COUNTIF($AQ$3:AQ22,1)</f>
        <v>7</v>
      </c>
      <c r="AS22" s="71">
        <f t="shared" si="0"/>
        <v>0</v>
      </c>
      <c r="AT22" s="71">
        <f>+Temporal!P6</f>
        <v>0</v>
      </c>
      <c r="AU22" s="71">
        <f>+Temporal!X6</f>
        <v>0</v>
      </c>
      <c r="AV22" s="70">
        <v>20</v>
      </c>
      <c r="AW22" s="72" t="str">
        <f t="shared" si="1"/>
        <v/>
      </c>
      <c r="AX22" s="73">
        <f t="shared" si="2"/>
        <v>0</v>
      </c>
      <c r="AY22" s="71">
        <f t="shared" si="3"/>
        <v>0</v>
      </c>
      <c r="BA22" s="42"/>
      <c r="BB22" s="42"/>
      <c r="BC22" s="42"/>
    </row>
    <row r="23" spans="1:55" x14ac:dyDescent="0.25">
      <c r="A23" t="s">
        <v>610</v>
      </c>
      <c r="B23" s="63">
        <v>50</v>
      </c>
      <c r="Y23" t="s">
        <v>533</v>
      </c>
      <c r="AO23" s="217">
        <f>+Ordenes!E42</f>
        <v>0</v>
      </c>
      <c r="AP23" s="66"/>
      <c r="AQ23" s="70">
        <f>COUNTIF($AO$3:AO23,AO23)</f>
        <v>7</v>
      </c>
      <c r="AR23" s="70">
        <f>COUNTIF($AQ$3:AQ23,1)</f>
        <v>7</v>
      </c>
      <c r="AS23" s="71">
        <f t="shared" si="0"/>
        <v>0</v>
      </c>
      <c r="AT23" s="71">
        <f>+Temporal!P7</f>
        <v>0</v>
      </c>
      <c r="AU23" s="71">
        <f>+Temporal!X7</f>
        <v>0</v>
      </c>
      <c r="AV23" s="70">
        <v>21</v>
      </c>
      <c r="AW23" s="72" t="str">
        <f t="shared" si="1"/>
        <v/>
      </c>
      <c r="AX23" s="73">
        <f t="shared" si="2"/>
        <v>0</v>
      </c>
      <c r="AY23" s="71">
        <f t="shared" si="3"/>
        <v>0</v>
      </c>
      <c r="BA23" s="42"/>
      <c r="BB23" s="42"/>
      <c r="BC23" s="42"/>
    </row>
    <row r="24" spans="1:55" x14ac:dyDescent="0.25">
      <c r="A24" t="s">
        <v>623</v>
      </c>
      <c r="B24" s="63">
        <v>50</v>
      </c>
      <c r="Y24" t="s">
        <v>686</v>
      </c>
      <c r="AO24" s="217">
        <f>+Ordenes!E43</f>
        <v>0</v>
      </c>
      <c r="AP24" s="66"/>
      <c r="AQ24" s="70">
        <f>COUNTIF($AO$3:AO24,AO24)</f>
        <v>8</v>
      </c>
      <c r="AR24" s="70">
        <f>COUNTIF($AQ$3:AQ24,1)</f>
        <v>7</v>
      </c>
      <c r="AS24" s="71">
        <f t="shared" si="0"/>
        <v>0</v>
      </c>
      <c r="AT24" s="71">
        <f>+Temporal!P8</f>
        <v>0</v>
      </c>
      <c r="AU24" s="71">
        <f>+Temporal!X8</f>
        <v>0</v>
      </c>
      <c r="AV24" s="70">
        <v>22</v>
      </c>
      <c r="AW24" s="72" t="str">
        <f t="shared" si="1"/>
        <v/>
      </c>
      <c r="AX24" s="73">
        <f t="shared" si="2"/>
        <v>0</v>
      </c>
      <c r="AY24" s="71">
        <f t="shared" si="3"/>
        <v>0</v>
      </c>
      <c r="BA24" s="42"/>
      <c r="BB24" s="42"/>
      <c r="BC24" s="42"/>
    </row>
    <row r="25" spans="1:55" x14ac:dyDescent="0.25">
      <c r="A25" t="s">
        <v>622</v>
      </c>
      <c r="B25" s="63">
        <v>50</v>
      </c>
      <c r="AO25" s="217">
        <f>+Ordenes!E44</f>
        <v>0</v>
      </c>
      <c r="AP25" s="66"/>
      <c r="AQ25" s="70">
        <f>COUNTIF($AO$3:AO25,AO25)</f>
        <v>9</v>
      </c>
      <c r="AR25" s="70">
        <f>COUNTIF($AQ$3:AQ25,1)</f>
        <v>7</v>
      </c>
      <c r="AS25" s="71">
        <f t="shared" si="0"/>
        <v>0</v>
      </c>
      <c r="AT25" s="71">
        <f>+Temporal!P9</f>
        <v>0</v>
      </c>
      <c r="AU25" s="71">
        <f>+Temporal!X9</f>
        <v>0</v>
      </c>
      <c r="AV25" s="70">
        <v>23</v>
      </c>
      <c r="AW25" s="72" t="str">
        <f t="shared" si="1"/>
        <v/>
      </c>
      <c r="AX25" s="73">
        <f t="shared" si="2"/>
        <v>0</v>
      </c>
      <c r="AY25" s="71">
        <f t="shared" si="3"/>
        <v>0</v>
      </c>
      <c r="BA25" s="42" t="e">
        <f>IF(OR(AND(Ordenes!#REF!&lt;&gt;"",Ordenes!#REF!&lt;&gt;""),AND(Ordenes!#REF!="",Ordenes!#REF!="")),0,-1)</f>
        <v>#REF!</v>
      </c>
      <c r="BB25" s="42" t="e">
        <f>IF(OR(AND(Ordenes!#REF!&lt;&gt;"",Ordenes!#REF!&lt;&gt;""),AND(Ordenes!#REF!="",Ordenes!#REF!="")),0,-1)</f>
        <v>#REF!</v>
      </c>
      <c r="BC25" s="42" t="e">
        <f>IF(OR(AND(Ordenes!#REF!&lt;&gt;"",Ordenes!#REF!&lt;&gt;""),AND(Ordenes!#REF!="",Ordenes!#REF!="")),0,-1)</f>
        <v>#REF!</v>
      </c>
    </row>
    <row r="26" spans="1:55" x14ac:dyDescent="0.25">
      <c r="A26" t="s">
        <v>621</v>
      </c>
      <c r="B26" s="63">
        <v>50</v>
      </c>
      <c r="BA26" s="42" t="e">
        <f>IF(OR(AND(Ordenes!#REF!&lt;&gt;"",Ordenes!#REF!&lt;&gt;""),AND(Ordenes!#REF!="",Ordenes!#REF!="")),0,-1)</f>
        <v>#REF!</v>
      </c>
      <c r="BB26" s="42" t="e">
        <f>IF(OR(AND(Ordenes!#REF!&lt;&gt;"",Ordenes!#REF!&lt;&gt;""),AND(Ordenes!#REF!="",Ordenes!#REF!="")),0,-1)</f>
        <v>#REF!</v>
      </c>
      <c r="BC26" s="42" t="e">
        <f>IF(OR(AND(Ordenes!#REF!&lt;&gt;"",Ordenes!#REF!&lt;&gt;""),AND(Ordenes!#REF!="",Ordenes!#REF!="")),0,-1)</f>
        <v>#REF!</v>
      </c>
    </row>
    <row r="27" spans="1:55" x14ac:dyDescent="0.25">
      <c r="A27" t="s">
        <v>620</v>
      </c>
      <c r="B27" s="63">
        <v>50</v>
      </c>
      <c r="AW27" s="65"/>
      <c r="AX27" s="65"/>
      <c r="AY27" s="65">
        <f>+Temporal!W5</f>
        <v>0</v>
      </c>
      <c r="BA27" s="42" t="e">
        <f>IF(OR(AND(Ordenes!#REF!&lt;&gt;"",Ordenes!#REF!&lt;&gt;""),AND(Ordenes!#REF!="",Ordenes!#REF!="")),0,-1)</f>
        <v>#REF!</v>
      </c>
      <c r="BB27" s="42" t="e">
        <f>IF(OR(AND(Ordenes!#REF!&lt;&gt;"",Ordenes!#REF!&lt;&gt;""),AND(Ordenes!#REF!="",Ordenes!#REF!="")),0,-1)</f>
        <v>#REF!</v>
      </c>
      <c r="BC27" s="42" t="e">
        <f>IF(OR(AND(Ordenes!#REF!&lt;&gt;"",Ordenes!#REF!&lt;&gt;""),AND(Ordenes!#REF!="",Ordenes!#REF!="")),0,-1)</f>
        <v>#REF!</v>
      </c>
    </row>
    <row r="28" spans="1:55" x14ac:dyDescent="0.25">
      <c r="A28" t="s">
        <v>582</v>
      </c>
      <c r="B28" s="63">
        <v>50</v>
      </c>
      <c r="BA28" s="42" t="e">
        <f>IF(OR(AND(Ordenes!#REF!&lt;&gt;"",Ordenes!#REF!&lt;&gt;""),AND(Ordenes!#REF!="",Ordenes!#REF!="")),0,-1)</f>
        <v>#REF!</v>
      </c>
      <c r="BB28" s="42" t="e">
        <f>IF(OR(AND(Ordenes!#REF!&lt;&gt;"",Ordenes!#REF!&lt;&gt;""),AND(Ordenes!#REF!="",Ordenes!#REF!="")),0,-1)</f>
        <v>#REF!</v>
      </c>
      <c r="BC28" s="42" t="e">
        <f>IF(OR(AND(Ordenes!#REF!&lt;&gt;"",Ordenes!#REF!&lt;&gt;""),AND(Ordenes!#REF!="",Ordenes!#REF!="")),0,-1)</f>
        <v>#REF!</v>
      </c>
    </row>
    <row r="29" spans="1:55" x14ac:dyDescent="0.25">
      <c r="A29" t="s">
        <v>612</v>
      </c>
      <c r="B29" s="63">
        <v>50</v>
      </c>
      <c r="BA29" s="42" t="e">
        <f>IF(OR(AND(Ordenes!#REF!&lt;&gt;"",Ordenes!#REF!&lt;&gt;""),AND(Ordenes!#REF!="",Ordenes!#REF!="")),0,-1)</f>
        <v>#REF!</v>
      </c>
      <c r="BB29" s="42" t="e">
        <f>IF(OR(AND(Ordenes!#REF!&lt;&gt;"",Ordenes!#REF!&lt;&gt;""),AND(Ordenes!#REF!="",Ordenes!#REF!="")),0,-1)</f>
        <v>#REF!</v>
      </c>
      <c r="BC29" s="42" t="e">
        <f>IF(OR(AND(Ordenes!#REF!&lt;&gt;"",Ordenes!#REF!&lt;&gt;""),AND(Ordenes!#REF!="",Ordenes!#REF!="")),0,-1)</f>
        <v>#REF!</v>
      </c>
    </row>
    <row r="30" spans="1:55" x14ac:dyDescent="0.25">
      <c r="A30" t="s">
        <v>616</v>
      </c>
      <c r="B30" s="63">
        <v>50</v>
      </c>
    </row>
    <row r="31" spans="1:55" x14ac:dyDescent="0.25">
      <c r="A31" t="s">
        <v>609</v>
      </c>
      <c r="B31" s="63">
        <v>50</v>
      </c>
    </row>
    <row r="32" spans="1:55" x14ac:dyDescent="0.25">
      <c r="A32" t="s">
        <v>624</v>
      </c>
      <c r="B32" s="63">
        <v>50</v>
      </c>
    </row>
    <row r="33" spans="1:2" x14ac:dyDescent="0.25">
      <c r="A33" t="s">
        <v>687</v>
      </c>
      <c r="B33" s="63">
        <v>50</v>
      </c>
    </row>
    <row r="34" spans="1:2" x14ac:dyDescent="0.25">
      <c r="A34" t="s">
        <v>688</v>
      </c>
      <c r="B34" s="63">
        <v>50</v>
      </c>
    </row>
    <row r="35" spans="1:2" x14ac:dyDescent="0.25">
      <c r="A35" t="s">
        <v>689</v>
      </c>
      <c r="B35" s="63">
        <v>50</v>
      </c>
    </row>
    <row r="36" spans="1:2" x14ac:dyDescent="0.25">
      <c r="A36" t="s">
        <v>690</v>
      </c>
      <c r="B36" s="63">
        <v>50</v>
      </c>
    </row>
  </sheetData>
  <conditionalFormatting sqref="C11">
    <cfRule type="expression" priority="3">
      <formula>$W$3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CAD6531-1804-4983-9FB0-0BE357DA080B}">
            <xm:f>Ordenes!$C$2="Completar Stock"</xm:f>
            <x14:dxf/>
          </x14:cfRule>
          <x14:cfRule type="expression" priority="2" id="{97D07ED7-35A5-47B4-9968-584384A7A991}">
            <xm:f>Ordenes!$C$3=$W$4</xm:f>
            <x14:dxf/>
          </x14:cfRule>
          <xm:sqref>C11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1"/>
  <dimension ref="A1:O78"/>
  <sheetViews>
    <sheetView workbookViewId="0">
      <selection activeCell="L16" sqref="L16"/>
    </sheetView>
  </sheetViews>
  <sheetFormatPr baseColWidth="10" defaultRowHeight="15" x14ac:dyDescent="0.25"/>
  <sheetData>
    <row r="1" spans="1:15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39"/>
      <c r="M1" s="39"/>
      <c r="N1" s="39"/>
      <c r="O1" s="27"/>
    </row>
    <row r="2" spans="1:15" x14ac:dyDescent="0.25">
      <c r="A2" s="31" t="s">
        <v>73</v>
      </c>
      <c r="B2" s="32"/>
      <c r="C2" s="32" t="s">
        <v>79</v>
      </c>
      <c r="D2" s="32"/>
      <c r="E2" s="32"/>
      <c r="F2" s="33"/>
      <c r="G2" s="595" t="s">
        <v>59</v>
      </c>
      <c r="H2" s="596"/>
      <c r="I2" s="597"/>
      <c r="J2" s="593"/>
      <c r="K2" s="594"/>
      <c r="L2" s="27"/>
      <c r="M2" s="27"/>
      <c r="N2" s="27"/>
      <c r="O2" s="27"/>
    </row>
    <row r="3" spans="1:15" ht="25.5" x14ac:dyDescent="0.25">
      <c r="A3" s="34" t="s">
        <v>1</v>
      </c>
      <c r="B3" s="34" t="s">
        <v>0</v>
      </c>
      <c r="C3" s="34" t="s">
        <v>63</v>
      </c>
      <c r="D3" s="34" t="s">
        <v>64</v>
      </c>
      <c r="E3" s="34" t="s">
        <v>62</v>
      </c>
      <c r="F3" s="34" t="s">
        <v>85</v>
      </c>
      <c r="G3" s="34" t="s">
        <v>65</v>
      </c>
      <c r="H3" s="34" t="s">
        <v>66</v>
      </c>
      <c r="I3" s="34" t="s">
        <v>67</v>
      </c>
      <c r="J3" s="36" t="s">
        <v>76</v>
      </c>
      <c r="K3" s="36" t="s">
        <v>77</v>
      </c>
      <c r="L3" s="36" t="s">
        <v>76</v>
      </c>
      <c r="M3" s="36"/>
      <c r="N3" s="36"/>
      <c r="O3" s="36" t="s">
        <v>77</v>
      </c>
    </row>
    <row r="4" spans="1:15" x14ac:dyDescent="0.25">
      <c r="A4" s="30">
        <v>1</v>
      </c>
      <c r="B4" s="30" t="s">
        <v>51</v>
      </c>
      <c r="C4" s="38">
        <f t="shared" ref="C4:C9" si="0">1/6</f>
        <v>0.16666666666666666</v>
      </c>
      <c r="D4" s="38">
        <v>0.83333333333333337</v>
      </c>
      <c r="E4" s="28">
        <f>+Ordenes!$D$21/6</f>
        <v>175</v>
      </c>
      <c r="F4" s="28"/>
      <c r="G4" s="28"/>
      <c r="H4" s="28"/>
      <c r="I4" s="28"/>
      <c r="J4" s="37"/>
      <c r="K4" s="37"/>
      <c r="L4" s="37"/>
      <c r="M4" s="37"/>
      <c r="N4" s="37"/>
      <c r="O4" s="37"/>
    </row>
    <row r="5" spans="1:15" x14ac:dyDescent="0.25">
      <c r="A5" s="30">
        <v>2</v>
      </c>
      <c r="B5" s="30" t="s">
        <v>80</v>
      </c>
      <c r="C5" s="38">
        <f t="shared" si="0"/>
        <v>0.16666666666666666</v>
      </c>
      <c r="D5" s="38">
        <v>0.83333333333333337</v>
      </c>
      <c r="E5" s="28">
        <f>+Ordenes!$D$21/6</f>
        <v>175</v>
      </c>
      <c r="F5" s="28"/>
      <c r="G5" s="28"/>
      <c r="H5" s="28"/>
      <c r="I5" s="28"/>
      <c r="J5" s="37"/>
      <c r="K5" s="37"/>
      <c r="L5" s="37"/>
      <c r="M5" s="37"/>
      <c r="N5" s="37"/>
      <c r="O5" s="37"/>
    </row>
    <row r="6" spans="1:15" x14ac:dyDescent="0.25">
      <c r="A6" s="30">
        <v>3</v>
      </c>
      <c r="B6" s="30" t="s">
        <v>81</v>
      </c>
      <c r="C6" s="38">
        <f t="shared" si="0"/>
        <v>0.16666666666666666</v>
      </c>
      <c r="D6" s="38">
        <v>0.83333333333333337</v>
      </c>
      <c r="E6" s="28">
        <f>+Ordenes!$D$21/6</f>
        <v>175</v>
      </c>
      <c r="F6" s="28"/>
      <c r="G6" s="28"/>
      <c r="H6" s="28"/>
      <c r="I6" s="28"/>
      <c r="J6" s="37"/>
      <c r="K6" s="37"/>
      <c r="L6" s="37"/>
      <c r="M6" s="37"/>
      <c r="N6" s="37"/>
      <c r="O6" s="37"/>
    </row>
    <row r="7" spans="1:15" x14ac:dyDescent="0.25">
      <c r="A7" s="30">
        <v>4</v>
      </c>
      <c r="B7" s="30" t="s">
        <v>82</v>
      </c>
      <c r="C7" s="38">
        <f t="shared" si="0"/>
        <v>0.16666666666666666</v>
      </c>
      <c r="D7" s="38">
        <v>0.83333333333333337</v>
      </c>
      <c r="E7" s="28">
        <f>+Ordenes!$D$21/6</f>
        <v>175</v>
      </c>
      <c r="F7" s="28"/>
      <c r="G7" s="28"/>
      <c r="H7" s="28"/>
      <c r="I7" s="28"/>
      <c r="J7" s="37"/>
      <c r="K7" s="37"/>
      <c r="L7" s="37"/>
      <c r="M7" s="37"/>
      <c r="N7" s="37"/>
      <c r="O7" s="37"/>
    </row>
    <row r="8" spans="1:15" x14ac:dyDescent="0.25">
      <c r="A8" s="30">
        <v>5</v>
      </c>
      <c r="B8" s="30" t="s">
        <v>83</v>
      </c>
      <c r="C8" s="38">
        <f t="shared" si="0"/>
        <v>0.16666666666666666</v>
      </c>
      <c r="D8" s="38">
        <v>0.83333333333333337</v>
      </c>
      <c r="E8" s="28">
        <f>+Ordenes!$D$21/6</f>
        <v>175</v>
      </c>
      <c r="F8" s="28"/>
      <c r="G8" s="28"/>
      <c r="H8" s="28"/>
      <c r="I8" s="28"/>
      <c r="J8" s="37"/>
      <c r="K8" s="37"/>
      <c r="L8" s="37"/>
      <c r="M8" s="37"/>
      <c r="N8" s="37"/>
      <c r="O8" s="37"/>
    </row>
    <row r="9" spans="1:15" x14ac:dyDescent="0.25">
      <c r="A9" s="30">
        <v>6</v>
      </c>
      <c r="B9" s="30" t="s">
        <v>84</v>
      </c>
      <c r="C9" s="38">
        <f t="shared" si="0"/>
        <v>0.16666666666666666</v>
      </c>
      <c r="D9" s="38">
        <v>0.83333333333333337</v>
      </c>
      <c r="E9" s="28">
        <f>+Ordenes!$D$21/6</f>
        <v>175</v>
      </c>
      <c r="F9" s="28"/>
      <c r="G9" s="28"/>
      <c r="H9" s="28"/>
      <c r="I9" s="28"/>
      <c r="J9" s="37"/>
      <c r="K9" s="37"/>
      <c r="L9" s="37"/>
      <c r="M9" s="37"/>
      <c r="N9" s="37"/>
      <c r="O9" s="37"/>
    </row>
    <row r="10" spans="1:15" x14ac:dyDescent="0.25">
      <c r="A10" s="27"/>
      <c r="B10" s="27" t="s">
        <v>23</v>
      </c>
      <c r="C10" s="28"/>
      <c r="D10" s="28"/>
      <c r="E10" s="28">
        <f>SUM(E4:E9)</f>
        <v>1050</v>
      </c>
      <c r="F10" s="28"/>
      <c r="G10" s="28"/>
      <c r="H10" s="28"/>
      <c r="I10" s="28"/>
      <c r="J10" s="37"/>
      <c r="K10" s="37"/>
      <c r="L10" s="37"/>
      <c r="M10" s="37"/>
      <c r="N10" s="37"/>
      <c r="O10" s="37"/>
    </row>
    <row r="11" spans="1:15" x14ac:dyDescent="0.25">
      <c r="A11" s="29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15" x14ac:dyDescent="0.25">
      <c r="A12" s="31" t="s">
        <v>74</v>
      </c>
      <c r="B12" s="32"/>
      <c r="C12" s="32"/>
      <c r="D12" s="32"/>
      <c r="E12" s="32"/>
      <c r="F12" s="33"/>
      <c r="G12" s="595" t="s">
        <v>59</v>
      </c>
      <c r="H12" s="596"/>
      <c r="I12" s="597"/>
      <c r="J12" s="27"/>
      <c r="K12" s="27"/>
      <c r="L12" s="27"/>
      <c r="M12" s="27"/>
      <c r="N12" s="27"/>
      <c r="O12" s="27"/>
    </row>
    <row r="13" spans="1:15" x14ac:dyDescent="0.25">
      <c r="A13" s="34" t="s">
        <v>1</v>
      </c>
      <c r="B13" s="34" t="s">
        <v>0</v>
      </c>
      <c r="C13" s="34" t="s">
        <v>63</v>
      </c>
      <c r="D13" s="34" t="s">
        <v>64</v>
      </c>
      <c r="E13" s="34" t="s">
        <v>62</v>
      </c>
      <c r="F13" s="34" t="s">
        <v>56</v>
      </c>
      <c r="G13" s="34" t="s">
        <v>65</v>
      </c>
      <c r="H13" s="34" t="s">
        <v>66</v>
      </c>
      <c r="I13" s="34" t="s">
        <v>67</v>
      </c>
      <c r="J13" s="27"/>
      <c r="K13" s="27"/>
      <c r="L13" s="27"/>
      <c r="M13" s="27"/>
      <c r="N13" s="27"/>
      <c r="O13" s="27"/>
    </row>
    <row r="14" spans="1:15" x14ac:dyDescent="0.25">
      <c r="A14" s="30">
        <v>1</v>
      </c>
      <c r="B14" s="30"/>
      <c r="C14" s="28"/>
      <c r="D14" s="28"/>
      <c r="E14" s="28"/>
      <c r="F14" s="28"/>
      <c r="G14" s="28"/>
      <c r="H14" s="28"/>
      <c r="I14" s="28"/>
      <c r="J14" s="27"/>
      <c r="K14" s="27"/>
      <c r="L14" s="27"/>
      <c r="M14" s="27"/>
      <c r="N14" s="27"/>
      <c r="O14" s="27"/>
    </row>
    <row r="15" spans="1:15" x14ac:dyDescent="0.25">
      <c r="A15" s="30">
        <v>2</v>
      </c>
      <c r="B15" s="30"/>
      <c r="C15" s="28"/>
      <c r="D15" s="28"/>
      <c r="E15" s="28"/>
      <c r="F15" s="28"/>
      <c r="G15" s="28"/>
      <c r="H15" s="28"/>
      <c r="I15" s="28"/>
      <c r="J15" s="27"/>
      <c r="K15" s="27"/>
      <c r="L15" s="27"/>
      <c r="M15" s="27"/>
      <c r="N15" s="27"/>
      <c r="O15" s="27"/>
    </row>
    <row r="16" spans="1:15" x14ac:dyDescent="0.25">
      <c r="A16" s="30">
        <v>3</v>
      </c>
      <c r="B16" s="30"/>
      <c r="C16" s="28"/>
      <c r="D16" s="28"/>
      <c r="E16" s="28"/>
      <c r="F16" s="28"/>
      <c r="G16" s="28"/>
      <c r="H16" s="28"/>
      <c r="I16" s="28"/>
      <c r="J16" s="27"/>
      <c r="K16" s="27"/>
      <c r="L16" s="27"/>
      <c r="M16" s="27"/>
      <c r="N16" s="27"/>
      <c r="O16" s="27"/>
    </row>
    <row r="17" spans="1:15" x14ac:dyDescent="0.25">
      <c r="A17" s="30">
        <v>4</v>
      </c>
      <c r="B17" s="30"/>
      <c r="C17" s="28"/>
      <c r="D17" s="28"/>
      <c r="E17" s="28"/>
      <c r="F17" s="28"/>
      <c r="G17" s="28"/>
      <c r="H17" s="28"/>
      <c r="I17" s="28"/>
      <c r="J17" s="27"/>
      <c r="K17" s="27"/>
      <c r="L17" s="27"/>
      <c r="M17" s="27"/>
      <c r="N17" s="27"/>
      <c r="O17" s="27"/>
    </row>
    <row r="18" spans="1:15" x14ac:dyDescent="0.25">
      <c r="A18" s="30">
        <v>5</v>
      </c>
      <c r="B18" s="30"/>
      <c r="C18" s="28"/>
      <c r="D18" s="28"/>
      <c r="E18" s="28"/>
      <c r="F18" s="28"/>
      <c r="G18" s="28"/>
      <c r="H18" s="28"/>
      <c r="I18" s="28"/>
      <c r="J18" s="27"/>
      <c r="K18" s="27"/>
      <c r="L18" s="27"/>
      <c r="M18" s="27"/>
      <c r="N18" s="27"/>
      <c r="O18" s="27"/>
    </row>
    <row r="19" spans="1:15" x14ac:dyDescent="0.25">
      <c r="A19" s="30">
        <v>6</v>
      </c>
      <c r="B19" s="30"/>
      <c r="C19" s="28"/>
      <c r="D19" s="28"/>
      <c r="E19" s="28"/>
      <c r="F19" s="28"/>
      <c r="G19" s="28"/>
      <c r="H19" s="28"/>
      <c r="I19" s="28"/>
      <c r="J19" s="27"/>
      <c r="K19" s="27"/>
      <c r="L19" s="27"/>
      <c r="M19" s="27"/>
      <c r="N19" s="27"/>
      <c r="O19" s="27"/>
    </row>
    <row r="20" spans="1:15" x14ac:dyDescent="0.25">
      <c r="A20" s="27"/>
      <c r="B20" s="27" t="s">
        <v>23</v>
      </c>
      <c r="C20" s="28"/>
      <c r="D20" s="28"/>
      <c r="E20" s="28"/>
      <c r="F20" s="28"/>
      <c r="G20" s="28"/>
      <c r="H20" s="28"/>
      <c r="I20" s="28"/>
      <c r="J20" s="27"/>
      <c r="K20" s="27"/>
      <c r="L20" s="27"/>
      <c r="M20" s="27"/>
      <c r="N20" s="27"/>
      <c r="O20" s="27"/>
    </row>
    <row r="21" spans="1:15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</row>
    <row r="22" spans="1:15" x14ac:dyDescent="0.25">
      <c r="A22" s="31" t="s">
        <v>69</v>
      </c>
      <c r="B22" s="32"/>
      <c r="C22" s="32"/>
      <c r="D22" s="32"/>
      <c r="E22" s="32"/>
      <c r="F22" s="33"/>
      <c r="G22" s="595" t="s">
        <v>59</v>
      </c>
      <c r="H22" s="596"/>
      <c r="I22" s="597"/>
      <c r="J22" s="27"/>
      <c r="K22" s="27"/>
      <c r="L22" s="27"/>
      <c r="M22" s="27"/>
      <c r="N22" s="27"/>
      <c r="O22" s="27"/>
    </row>
    <row r="23" spans="1:15" x14ac:dyDescent="0.25">
      <c r="A23" s="34" t="s">
        <v>1</v>
      </c>
      <c r="B23" s="34" t="s">
        <v>0</v>
      </c>
      <c r="C23" s="34" t="s">
        <v>63</v>
      </c>
      <c r="D23" s="34" t="s">
        <v>64</v>
      </c>
      <c r="E23" s="34" t="s">
        <v>62</v>
      </c>
      <c r="F23" s="34" t="s">
        <v>56</v>
      </c>
      <c r="G23" s="34" t="s">
        <v>65</v>
      </c>
      <c r="H23" s="34" t="s">
        <v>66</v>
      </c>
      <c r="I23" s="34" t="s">
        <v>67</v>
      </c>
      <c r="J23" s="27"/>
      <c r="K23" s="27"/>
      <c r="L23" s="27"/>
      <c r="M23" s="27"/>
      <c r="N23" s="27"/>
      <c r="O23" s="27"/>
    </row>
    <row r="24" spans="1:15" x14ac:dyDescent="0.25">
      <c r="A24" s="30">
        <v>1</v>
      </c>
      <c r="B24" s="30"/>
      <c r="C24" s="28"/>
      <c r="D24" s="28"/>
      <c r="E24" s="28"/>
      <c r="F24" s="28"/>
      <c r="G24" s="28"/>
      <c r="H24" s="28"/>
      <c r="I24" s="28"/>
      <c r="J24" s="27"/>
      <c r="K24" s="27"/>
      <c r="L24" s="27"/>
      <c r="M24" s="27"/>
      <c r="N24" s="27"/>
      <c r="O24" s="27"/>
    </row>
    <row r="25" spans="1:15" x14ac:dyDescent="0.25">
      <c r="A25" s="30">
        <v>2</v>
      </c>
      <c r="B25" s="30"/>
      <c r="C25" s="28"/>
      <c r="D25" s="28"/>
      <c r="E25" s="28"/>
      <c r="F25" s="28"/>
      <c r="G25" s="28"/>
      <c r="H25" s="28"/>
      <c r="I25" s="28"/>
      <c r="J25" s="27"/>
      <c r="K25" s="27"/>
      <c r="L25" s="27"/>
      <c r="M25" s="27"/>
      <c r="N25" s="27"/>
      <c r="O25" s="27"/>
    </row>
    <row r="26" spans="1:15" x14ac:dyDescent="0.25">
      <c r="A26" s="30">
        <v>3</v>
      </c>
      <c r="B26" s="30"/>
      <c r="C26" s="28"/>
      <c r="D26" s="28"/>
      <c r="E26" s="28"/>
      <c r="F26" s="28"/>
      <c r="G26" s="28"/>
      <c r="H26" s="28"/>
      <c r="I26" s="28"/>
      <c r="J26" s="27"/>
      <c r="K26" s="27"/>
      <c r="L26" s="27"/>
      <c r="M26" s="27"/>
      <c r="N26" s="27"/>
      <c r="O26" s="27"/>
    </row>
    <row r="27" spans="1:15" x14ac:dyDescent="0.25">
      <c r="A27" s="30">
        <v>4</v>
      </c>
      <c r="B27" s="30"/>
      <c r="C27" s="28"/>
      <c r="D27" s="28"/>
      <c r="E27" s="28"/>
      <c r="F27" s="28"/>
      <c r="G27" s="28"/>
      <c r="H27" s="28"/>
      <c r="I27" s="28"/>
      <c r="J27" s="27"/>
      <c r="K27" s="27"/>
      <c r="L27" s="27"/>
      <c r="M27" s="27"/>
      <c r="N27" s="27"/>
      <c r="O27" s="27"/>
    </row>
    <row r="28" spans="1:15" x14ac:dyDescent="0.25">
      <c r="A28" s="30">
        <v>5</v>
      </c>
      <c r="B28" s="30"/>
      <c r="C28" s="28"/>
      <c r="D28" s="28"/>
      <c r="E28" s="28"/>
      <c r="F28" s="28"/>
      <c r="G28" s="28"/>
      <c r="H28" s="28"/>
      <c r="I28" s="28"/>
      <c r="J28" s="27"/>
      <c r="K28" s="27"/>
      <c r="L28" s="27"/>
      <c r="M28" s="27"/>
      <c r="N28" s="27"/>
      <c r="O28" s="27"/>
    </row>
    <row r="29" spans="1:15" x14ac:dyDescent="0.25">
      <c r="A29" s="30">
        <v>6</v>
      </c>
      <c r="B29" s="30"/>
      <c r="C29" s="28"/>
      <c r="D29" s="28"/>
      <c r="E29" s="28"/>
      <c r="F29" s="28"/>
      <c r="G29" s="28"/>
      <c r="H29" s="28"/>
      <c r="I29" s="28"/>
      <c r="J29" s="27"/>
      <c r="K29" s="27"/>
      <c r="L29" s="27"/>
      <c r="M29" s="27"/>
      <c r="N29" s="27"/>
      <c r="O29" s="27"/>
    </row>
    <row r="30" spans="1:15" x14ac:dyDescent="0.25">
      <c r="A30" s="27"/>
      <c r="B30" s="27" t="s">
        <v>23</v>
      </c>
      <c r="C30" s="28"/>
      <c r="D30" s="28"/>
      <c r="E30" s="28"/>
      <c r="F30" s="28"/>
      <c r="G30" s="28"/>
      <c r="H30" s="28"/>
      <c r="I30" s="28"/>
      <c r="J30" s="27"/>
      <c r="K30" s="27"/>
      <c r="L30" s="27"/>
      <c r="M30" s="27"/>
      <c r="N30" s="27"/>
      <c r="O30" s="27"/>
    </row>
    <row r="31" spans="1:15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</row>
    <row r="32" spans="1:15" x14ac:dyDescent="0.25">
      <c r="A32" s="31" t="s">
        <v>75</v>
      </c>
      <c r="B32" s="32"/>
      <c r="C32" s="32"/>
      <c r="D32" s="32"/>
      <c r="E32" s="32"/>
      <c r="F32" s="33"/>
      <c r="G32" s="595" t="s">
        <v>59</v>
      </c>
      <c r="H32" s="596"/>
      <c r="I32" s="597"/>
      <c r="J32" s="27"/>
      <c r="K32" s="27"/>
      <c r="L32" s="27"/>
      <c r="M32" s="27"/>
      <c r="N32" s="27"/>
      <c r="O32" s="27"/>
    </row>
    <row r="33" spans="1:15" x14ac:dyDescent="0.25">
      <c r="A33" s="34" t="s">
        <v>1</v>
      </c>
      <c r="B33" s="34" t="s">
        <v>0</v>
      </c>
      <c r="C33" s="34" t="s">
        <v>63</v>
      </c>
      <c r="D33" s="34" t="s">
        <v>64</v>
      </c>
      <c r="E33" s="34" t="s">
        <v>62</v>
      </c>
      <c r="F33" s="34" t="s">
        <v>56</v>
      </c>
      <c r="G33" s="34" t="s">
        <v>65</v>
      </c>
      <c r="H33" s="34" t="s">
        <v>66</v>
      </c>
      <c r="I33" s="34" t="s">
        <v>67</v>
      </c>
      <c r="J33" s="27"/>
      <c r="K33" s="27"/>
      <c r="L33" s="27"/>
      <c r="M33" s="27"/>
      <c r="N33" s="27"/>
      <c r="O33" s="27"/>
    </row>
    <row r="34" spans="1:15" x14ac:dyDescent="0.25">
      <c r="A34" s="30">
        <v>1</v>
      </c>
      <c r="B34" s="30"/>
      <c r="C34" s="28"/>
      <c r="D34" s="28"/>
      <c r="E34" s="28"/>
      <c r="F34" s="28"/>
      <c r="G34" s="28"/>
      <c r="H34" s="28"/>
      <c r="I34" s="28"/>
      <c r="J34" s="27"/>
      <c r="K34" s="27"/>
      <c r="L34" s="27"/>
      <c r="M34" s="27"/>
      <c r="N34" s="27"/>
      <c r="O34" s="27"/>
    </row>
    <row r="35" spans="1:15" x14ac:dyDescent="0.25">
      <c r="A35" s="30">
        <v>2</v>
      </c>
      <c r="B35" s="30"/>
      <c r="C35" s="28"/>
      <c r="D35" s="28"/>
      <c r="E35" s="28"/>
      <c r="F35" s="28"/>
      <c r="G35" s="28"/>
      <c r="H35" s="28"/>
      <c r="I35" s="28"/>
      <c r="J35" s="27"/>
      <c r="K35" s="27"/>
      <c r="L35" s="27"/>
      <c r="M35" s="27"/>
      <c r="N35" s="27"/>
      <c r="O35" s="27"/>
    </row>
    <row r="36" spans="1:15" x14ac:dyDescent="0.25">
      <c r="A36" s="30">
        <v>3</v>
      </c>
      <c r="B36" s="30"/>
      <c r="C36" s="28"/>
      <c r="D36" s="28"/>
      <c r="E36" s="28"/>
      <c r="F36" s="28"/>
      <c r="G36" s="28"/>
      <c r="H36" s="28"/>
      <c r="I36" s="28"/>
      <c r="J36" s="27"/>
      <c r="K36" s="27"/>
      <c r="L36" s="27"/>
      <c r="M36" s="27"/>
      <c r="N36" s="27"/>
      <c r="O36" s="27"/>
    </row>
    <row r="37" spans="1:15" x14ac:dyDescent="0.25">
      <c r="A37" s="30">
        <v>4</v>
      </c>
      <c r="B37" s="30"/>
      <c r="C37" s="28"/>
      <c r="D37" s="28"/>
      <c r="E37" s="28"/>
      <c r="F37" s="28"/>
      <c r="G37" s="28"/>
      <c r="H37" s="28"/>
      <c r="I37" s="28"/>
      <c r="J37" s="27"/>
      <c r="K37" s="27"/>
      <c r="L37" s="27"/>
      <c r="M37" s="27"/>
      <c r="N37" s="27"/>
      <c r="O37" s="27"/>
    </row>
    <row r="38" spans="1:15" x14ac:dyDescent="0.25">
      <c r="A38" s="30">
        <v>5</v>
      </c>
      <c r="B38" s="30"/>
      <c r="C38" s="28"/>
      <c r="D38" s="28"/>
      <c r="E38" s="28"/>
      <c r="F38" s="28"/>
      <c r="G38" s="28"/>
      <c r="H38" s="28"/>
      <c r="I38" s="28"/>
      <c r="J38" s="27"/>
      <c r="K38" s="27"/>
      <c r="L38" s="27"/>
      <c r="M38" s="27"/>
      <c r="N38" s="27"/>
      <c r="O38" s="27"/>
    </row>
    <row r="39" spans="1:15" x14ac:dyDescent="0.25">
      <c r="A39" s="30">
        <v>6</v>
      </c>
      <c r="B39" s="30"/>
      <c r="C39" s="28"/>
      <c r="D39" s="28"/>
      <c r="E39" s="28"/>
      <c r="F39" s="28"/>
      <c r="G39" s="28"/>
      <c r="H39" s="28"/>
      <c r="I39" s="28"/>
      <c r="J39" s="27"/>
      <c r="K39" s="27"/>
      <c r="L39" s="27"/>
      <c r="M39" s="27"/>
      <c r="N39" s="27"/>
      <c r="O39" s="27"/>
    </row>
    <row r="40" spans="1:15" x14ac:dyDescent="0.25">
      <c r="A40" s="27"/>
      <c r="B40" s="27" t="s">
        <v>23</v>
      </c>
      <c r="C40" s="28"/>
      <c r="D40" s="28"/>
      <c r="E40" s="28"/>
      <c r="F40" s="28"/>
      <c r="G40" s="28"/>
      <c r="H40" s="28"/>
      <c r="I40" s="28"/>
      <c r="J40" s="27"/>
      <c r="K40" s="27"/>
      <c r="L40" s="27"/>
      <c r="M40" s="27"/>
      <c r="N40" s="27"/>
      <c r="O40" s="27"/>
    </row>
    <row r="41" spans="1:15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</row>
    <row r="42" spans="1:15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</row>
    <row r="43" spans="1:15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</row>
    <row r="44" spans="1:15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</row>
    <row r="45" spans="1:15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</row>
    <row r="46" spans="1:15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</row>
    <row r="47" spans="1:15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</row>
    <row r="48" spans="1:15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</row>
    <row r="49" spans="1:15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</row>
    <row r="50" spans="1:15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</row>
    <row r="51" spans="1:15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</row>
    <row r="52" spans="1:15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</row>
    <row r="53" spans="1:15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</row>
    <row r="54" spans="1:15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</row>
    <row r="55" spans="1:15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</row>
    <row r="56" spans="1:15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</row>
    <row r="57" spans="1:15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</row>
    <row r="58" spans="1:15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</row>
    <row r="59" spans="1:15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</row>
    <row r="60" spans="1:15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</row>
    <row r="61" spans="1:15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</row>
    <row r="62" spans="1:15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1:15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1:15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1:15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1:15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</row>
    <row r="67" spans="1:15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</row>
    <row r="68" spans="1:15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</row>
    <row r="69" spans="1:15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</row>
    <row r="70" spans="1:15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</row>
    <row r="71" spans="1:15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</row>
    <row r="72" spans="1:15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</row>
    <row r="73" spans="1:15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</row>
    <row r="74" spans="1:15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1:15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</row>
    <row r="76" spans="1:15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1:15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</row>
    <row r="78" spans="1:15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</row>
  </sheetData>
  <mergeCells count="5">
    <mergeCell ref="J2:K2"/>
    <mergeCell ref="G2:I2"/>
    <mergeCell ref="G12:I12"/>
    <mergeCell ref="G22:I22"/>
    <mergeCell ref="G32:I3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51"/>
  <dimension ref="A1:Z25"/>
  <sheetViews>
    <sheetView zoomScale="70" zoomScaleNormal="70" workbookViewId="0">
      <selection activeCell="I11" sqref="I11"/>
    </sheetView>
  </sheetViews>
  <sheetFormatPr baseColWidth="10" defaultRowHeight="18.75" x14ac:dyDescent="0.3"/>
  <cols>
    <col min="1" max="1" width="3.140625" style="10" bestFit="1" customWidth="1"/>
    <col min="2" max="2" width="11.28515625" style="1" customWidth="1"/>
    <col min="3" max="4" width="9" style="1" customWidth="1"/>
    <col min="5" max="5" width="8" style="1" customWidth="1"/>
    <col min="6" max="26" width="9" style="1" customWidth="1"/>
    <col min="27" max="16384" width="11.42578125" style="1"/>
  </cols>
  <sheetData>
    <row r="1" spans="1:26" x14ac:dyDescent="0.3">
      <c r="E1" s="4"/>
      <c r="F1" s="4"/>
      <c r="I1" s="19" t="s">
        <v>39</v>
      </c>
      <c r="J1" s="19"/>
    </row>
    <row r="2" spans="1:26" x14ac:dyDescent="0.3">
      <c r="B2" s="599" t="s">
        <v>2</v>
      </c>
      <c r="C2" s="599"/>
      <c r="D2" s="8"/>
      <c r="O2" s="8" t="s">
        <v>22</v>
      </c>
      <c r="P2" s="8"/>
      <c r="Q2" s="8"/>
      <c r="R2" s="8"/>
    </row>
    <row r="3" spans="1:26" x14ac:dyDescent="0.3">
      <c r="B3" s="4" t="s">
        <v>9</v>
      </c>
      <c r="C3" s="4"/>
      <c r="D3" s="4"/>
      <c r="O3" s="599" t="s">
        <v>5</v>
      </c>
      <c r="P3" s="599"/>
      <c r="Q3" s="599"/>
      <c r="R3" s="8"/>
    </row>
    <row r="4" spans="1:26" x14ac:dyDescent="0.3">
      <c r="B4" s="8" t="s">
        <v>4</v>
      </c>
      <c r="C4" s="8"/>
      <c r="D4" s="8"/>
      <c r="I4" s="8" t="s">
        <v>8</v>
      </c>
      <c r="J4" s="8"/>
      <c r="O4" s="8" t="s">
        <v>6</v>
      </c>
      <c r="P4" s="8"/>
      <c r="Q4" s="8"/>
      <c r="R4" s="8"/>
    </row>
    <row r="5" spans="1:26" x14ac:dyDescent="0.3">
      <c r="B5" s="8" t="s">
        <v>3</v>
      </c>
      <c r="C5" s="8"/>
      <c r="D5" s="8"/>
      <c r="O5" s="8" t="s">
        <v>7</v>
      </c>
      <c r="P5" s="8"/>
      <c r="Q5" s="8"/>
      <c r="R5" s="8"/>
    </row>
    <row r="7" spans="1:26" s="2" customFormat="1" ht="18.75" customHeight="1" x14ac:dyDescent="0.25">
      <c r="A7" s="598" t="s">
        <v>24</v>
      </c>
      <c r="B7" s="598" t="s">
        <v>0</v>
      </c>
      <c r="C7" s="600" t="s">
        <v>25</v>
      </c>
      <c r="D7" s="601"/>
      <c r="E7" s="21"/>
      <c r="F7" s="22"/>
      <c r="G7" s="22"/>
      <c r="H7" s="22"/>
      <c r="I7" s="22"/>
      <c r="J7" s="22"/>
      <c r="K7" s="22"/>
      <c r="L7" s="22"/>
      <c r="M7" s="22" t="s">
        <v>28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spans="1:26" s="2" customFormat="1" ht="18.75" customHeight="1" x14ac:dyDescent="0.25">
      <c r="A8" s="598"/>
      <c r="B8" s="598"/>
      <c r="C8" s="604"/>
      <c r="D8" s="605"/>
      <c r="E8" s="600" t="s">
        <v>26</v>
      </c>
      <c r="F8" s="601"/>
      <c r="G8" s="600" t="s">
        <v>27</v>
      </c>
      <c r="H8" s="601"/>
      <c r="I8" s="600" t="s">
        <v>29</v>
      </c>
      <c r="J8" s="601"/>
      <c r="K8" s="600" t="s">
        <v>30</v>
      </c>
      <c r="L8" s="601"/>
      <c r="M8" s="600" t="s">
        <v>31</v>
      </c>
      <c r="N8" s="601"/>
      <c r="O8" s="600" t="s">
        <v>32</v>
      </c>
      <c r="P8" s="601"/>
      <c r="Q8" s="600" t="s">
        <v>33</v>
      </c>
      <c r="R8" s="601"/>
      <c r="S8" s="600" t="s">
        <v>34</v>
      </c>
      <c r="T8" s="601"/>
      <c r="U8" s="600" t="s">
        <v>35</v>
      </c>
      <c r="V8" s="601"/>
      <c r="W8" s="600" t="s">
        <v>36</v>
      </c>
      <c r="X8" s="601"/>
      <c r="Y8" s="600" t="s">
        <v>37</v>
      </c>
      <c r="Z8" s="601"/>
    </row>
    <row r="9" spans="1:26" s="2" customFormat="1" x14ac:dyDescent="0.25">
      <c r="A9" s="598"/>
      <c r="B9" s="598"/>
      <c r="C9" s="12" t="s">
        <v>41</v>
      </c>
      <c r="D9" s="11" t="s">
        <v>42</v>
      </c>
      <c r="E9" s="602" t="s">
        <v>38</v>
      </c>
      <c r="F9" s="603"/>
      <c r="G9" s="602" t="s">
        <v>38</v>
      </c>
      <c r="H9" s="603"/>
      <c r="I9" s="602" t="s">
        <v>38</v>
      </c>
      <c r="J9" s="603"/>
      <c r="K9" s="602" t="s">
        <v>38</v>
      </c>
      <c r="L9" s="603"/>
      <c r="M9" s="602" t="s">
        <v>38</v>
      </c>
      <c r="N9" s="603"/>
      <c r="O9" s="602" t="s">
        <v>38</v>
      </c>
      <c r="P9" s="603"/>
      <c r="Q9" s="602" t="s">
        <v>38</v>
      </c>
      <c r="R9" s="603"/>
      <c r="S9" s="602" t="s">
        <v>38</v>
      </c>
      <c r="T9" s="603"/>
      <c r="U9" s="602" t="s">
        <v>38</v>
      </c>
      <c r="V9" s="603"/>
      <c r="W9" s="602" t="s">
        <v>38</v>
      </c>
      <c r="X9" s="603"/>
      <c r="Y9" s="602" t="s">
        <v>38</v>
      </c>
      <c r="Z9" s="603"/>
    </row>
    <row r="10" spans="1:26" ht="22.5" customHeight="1" x14ac:dyDescent="0.3">
      <c r="A10" s="9">
        <v>1</v>
      </c>
      <c r="B10" s="3"/>
      <c r="C10" s="3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ht="22.5" customHeight="1" x14ac:dyDescent="0.3">
      <c r="A11" s="9">
        <v>2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2.5" customHeight="1" x14ac:dyDescent="0.3">
      <c r="A12" s="9">
        <v>3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2.5" customHeight="1" x14ac:dyDescent="0.3">
      <c r="A13" s="9">
        <v>4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2.5" customHeight="1" x14ac:dyDescent="0.3">
      <c r="A14" s="9">
        <v>5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2.5" customHeight="1" x14ac:dyDescent="0.3">
      <c r="A15" s="9">
        <v>6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2.5" customHeight="1" x14ac:dyDescent="0.3">
      <c r="A16" s="9">
        <v>7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2.5" customHeight="1" x14ac:dyDescent="0.3">
      <c r="A17" s="9">
        <v>8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2.5" customHeight="1" x14ac:dyDescent="0.3">
      <c r="A18" s="9">
        <v>9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2.5" customHeight="1" x14ac:dyDescent="0.3">
      <c r="A19" s="9">
        <v>10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x14ac:dyDescent="0.3">
      <c r="B20" s="6" t="s">
        <v>23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3">
      <c r="A21" s="20" t="s">
        <v>40</v>
      </c>
    </row>
    <row r="22" spans="1:26" x14ac:dyDescent="0.3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x14ac:dyDescent="0.3">
      <c r="A23" s="16"/>
    </row>
    <row r="24" spans="1:26" x14ac:dyDescent="0.3">
      <c r="A24" s="16"/>
    </row>
    <row r="25" spans="1:26" x14ac:dyDescent="0.3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</sheetData>
  <mergeCells count="27">
    <mergeCell ref="K9:L9"/>
    <mergeCell ref="M9:N9"/>
    <mergeCell ref="Y8:Z8"/>
    <mergeCell ref="Y9:Z9"/>
    <mergeCell ref="S8:T8"/>
    <mergeCell ref="U8:V8"/>
    <mergeCell ref="W8:X8"/>
    <mergeCell ref="S9:T9"/>
    <mergeCell ref="U9:V9"/>
    <mergeCell ref="W9:X9"/>
    <mergeCell ref="O9:P9"/>
    <mergeCell ref="A7:A9"/>
    <mergeCell ref="B2:C2"/>
    <mergeCell ref="O3:Q3"/>
    <mergeCell ref="E8:F8"/>
    <mergeCell ref="E9:F9"/>
    <mergeCell ref="G8:H8"/>
    <mergeCell ref="I8:J8"/>
    <mergeCell ref="K8:L8"/>
    <mergeCell ref="M8:N8"/>
    <mergeCell ref="O8:P8"/>
    <mergeCell ref="Q8:R8"/>
    <mergeCell ref="C7:D8"/>
    <mergeCell ref="Q9:R9"/>
    <mergeCell ref="B7:B9"/>
    <mergeCell ref="G9:H9"/>
    <mergeCell ref="I9:J9"/>
  </mergeCells>
  <pageMargins left="0.31496062992125984" right="0.31496062992125984" top="0.39370078740157483" bottom="0.94488188976377963" header="0" footer="0.31496062992125984"/>
  <pageSetup paperSize="9" orientation="landscape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61"/>
  <dimension ref="A1:W26"/>
  <sheetViews>
    <sheetView zoomScale="70" zoomScaleNormal="70" workbookViewId="0">
      <selection activeCell="W14" sqref="W14"/>
    </sheetView>
  </sheetViews>
  <sheetFormatPr baseColWidth="10" defaultRowHeight="18.75" x14ac:dyDescent="0.3"/>
  <cols>
    <col min="1" max="1" width="3.85546875" style="10" customWidth="1"/>
    <col min="2" max="2" width="12.85546875" style="1" customWidth="1"/>
    <col min="3" max="4" width="9" style="1" customWidth="1"/>
    <col min="5" max="16" width="7.85546875" style="1" customWidth="1"/>
    <col min="17" max="17" width="8.85546875" style="1" customWidth="1"/>
    <col min="18" max="26" width="9" style="1" customWidth="1"/>
    <col min="27" max="16384" width="11.42578125" style="1"/>
  </cols>
  <sheetData>
    <row r="1" spans="1:23" ht="21" x14ac:dyDescent="0.35">
      <c r="H1" s="24" t="s">
        <v>70</v>
      </c>
    </row>
    <row r="2" spans="1:23" x14ac:dyDescent="0.3">
      <c r="B2" s="4" t="s">
        <v>2</v>
      </c>
      <c r="C2" s="606">
        <v>42740</v>
      </c>
      <c r="D2" s="606"/>
      <c r="E2" s="606"/>
      <c r="F2" s="606"/>
      <c r="G2" s="606"/>
      <c r="H2" s="606"/>
      <c r="I2" s="606"/>
      <c r="K2" s="8" t="s">
        <v>22</v>
      </c>
      <c r="L2" s="8"/>
      <c r="M2" s="8"/>
      <c r="N2" s="607">
        <v>6</v>
      </c>
      <c r="O2" s="607"/>
      <c r="P2" s="607"/>
      <c r="Q2" s="607"/>
      <c r="R2" s="607"/>
    </row>
    <row r="3" spans="1:23" x14ac:dyDescent="0.3">
      <c r="B3" s="4" t="s">
        <v>9</v>
      </c>
      <c r="C3" s="4"/>
      <c r="E3" s="608" t="s">
        <v>47</v>
      </c>
      <c r="F3" s="609"/>
      <c r="G3" s="609"/>
      <c r="H3" s="609"/>
      <c r="I3" s="609"/>
      <c r="K3" s="4" t="s">
        <v>5</v>
      </c>
      <c r="L3" s="607">
        <v>107</v>
      </c>
      <c r="M3" s="607"/>
      <c r="N3" s="607"/>
      <c r="O3" s="607"/>
      <c r="P3" s="607"/>
      <c r="Q3" s="607"/>
      <c r="R3" s="607"/>
    </row>
    <row r="4" spans="1:23" x14ac:dyDescent="0.3">
      <c r="B4" s="8" t="s">
        <v>4</v>
      </c>
      <c r="C4" s="18" t="s">
        <v>48</v>
      </c>
      <c r="D4" s="18"/>
      <c r="E4" s="18"/>
      <c r="F4" s="18"/>
      <c r="G4" s="18"/>
      <c r="H4" s="18"/>
      <c r="I4" s="18"/>
      <c r="K4" s="8" t="s">
        <v>6</v>
      </c>
      <c r="L4" s="8"/>
      <c r="M4" s="8"/>
      <c r="N4" s="610">
        <v>42740</v>
      </c>
      <c r="O4" s="610"/>
      <c r="P4" s="610"/>
      <c r="Q4" s="610"/>
      <c r="R4" s="610"/>
    </row>
    <row r="5" spans="1:23" x14ac:dyDescent="0.3">
      <c r="B5" s="8" t="s">
        <v>55</v>
      </c>
      <c r="C5" s="18" t="s">
        <v>71</v>
      </c>
      <c r="D5" s="18"/>
      <c r="E5" s="18"/>
      <c r="F5" s="18"/>
      <c r="G5" s="18"/>
      <c r="H5" s="18"/>
      <c r="I5" s="18"/>
      <c r="K5" s="8"/>
      <c r="L5" s="8"/>
      <c r="M5" s="8"/>
      <c r="N5" s="25"/>
      <c r="O5" s="25"/>
      <c r="P5" s="25"/>
      <c r="Q5" s="25"/>
      <c r="R5" s="25"/>
    </row>
    <row r="6" spans="1:23" x14ac:dyDescent="0.3">
      <c r="B6" s="8" t="s">
        <v>3</v>
      </c>
      <c r="C6" s="18"/>
      <c r="D6" s="18"/>
      <c r="E6" s="18"/>
      <c r="F6" s="18"/>
      <c r="G6" s="18"/>
      <c r="H6" s="18"/>
      <c r="I6" s="18"/>
      <c r="K6" s="8" t="s">
        <v>7</v>
      </c>
      <c r="L6" s="8"/>
      <c r="M6" s="8"/>
      <c r="N6" s="609"/>
      <c r="O6" s="609"/>
      <c r="P6" s="609"/>
      <c r="Q6" s="609"/>
      <c r="R6" s="609"/>
    </row>
    <row r="7" spans="1:23" ht="21" x14ac:dyDescent="0.35">
      <c r="K7" s="24"/>
      <c r="L7" s="24"/>
      <c r="M7" s="24"/>
      <c r="N7" s="24"/>
    </row>
    <row r="8" spans="1:23" s="2" customFormat="1" ht="18.75" customHeight="1" x14ac:dyDescent="0.25">
      <c r="A8" s="616" t="s">
        <v>24</v>
      </c>
      <c r="B8" s="598" t="s">
        <v>0</v>
      </c>
      <c r="C8" s="600" t="s">
        <v>25</v>
      </c>
      <c r="D8" s="601"/>
      <c r="E8" s="613" t="s">
        <v>72</v>
      </c>
      <c r="F8" s="614"/>
      <c r="G8" s="614"/>
      <c r="H8" s="614"/>
      <c r="I8" s="614"/>
      <c r="J8" s="614"/>
      <c r="K8" s="614"/>
      <c r="L8" s="614"/>
      <c r="M8" s="614"/>
      <c r="N8" s="614"/>
      <c r="O8" s="614"/>
      <c r="P8" s="614"/>
      <c r="Q8" s="614"/>
      <c r="R8" s="615"/>
    </row>
    <row r="9" spans="1:23" s="2" customFormat="1" ht="18.75" customHeight="1" x14ac:dyDescent="0.25">
      <c r="A9" s="616"/>
      <c r="B9" s="598"/>
      <c r="C9" s="604"/>
      <c r="D9" s="605"/>
      <c r="E9" s="611" t="s">
        <v>26</v>
      </c>
      <c r="F9" s="612"/>
      <c r="G9" s="611" t="s">
        <v>27</v>
      </c>
      <c r="H9" s="612"/>
      <c r="I9" s="611" t="s">
        <v>29</v>
      </c>
      <c r="J9" s="612"/>
      <c r="K9" s="611" t="s">
        <v>30</v>
      </c>
      <c r="L9" s="612"/>
      <c r="M9" s="611" t="s">
        <v>31</v>
      </c>
      <c r="N9" s="612"/>
      <c r="O9" s="611" t="s">
        <v>32</v>
      </c>
      <c r="P9" s="612"/>
      <c r="Q9" s="611" t="s">
        <v>33</v>
      </c>
      <c r="R9" s="612"/>
    </row>
    <row r="10" spans="1:23" s="2" customFormat="1" x14ac:dyDescent="0.25">
      <c r="A10" s="616"/>
      <c r="B10" s="598"/>
      <c r="C10" s="12" t="s">
        <v>41</v>
      </c>
      <c r="D10" s="11" t="s">
        <v>42</v>
      </c>
      <c r="E10" s="617">
        <v>43106</v>
      </c>
      <c r="F10" s="603"/>
      <c r="G10" s="602"/>
      <c r="H10" s="603"/>
      <c r="I10" s="602"/>
      <c r="J10" s="603"/>
      <c r="K10" s="602"/>
      <c r="L10" s="603"/>
      <c r="M10" s="602"/>
      <c r="N10" s="603"/>
      <c r="O10" s="602"/>
      <c r="P10" s="603"/>
      <c r="Q10" s="602"/>
      <c r="R10" s="603"/>
    </row>
    <row r="11" spans="1:23" ht="24" customHeight="1" x14ac:dyDescent="0.3">
      <c r="A11" s="23">
        <v>1</v>
      </c>
      <c r="B11" s="3" t="s">
        <v>49</v>
      </c>
      <c r="C11" s="3">
        <f t="shared" ref="C11:C16" si="0">+D11*107/1000</f>
        <v>0</v>
      </c>
      <c r="D11" s="15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23" ht="24" customHeight="1" x14ac:dyDescent="0.3">
      <c r="A12" s="23">
        <v>2</v>
      </c>
      <c r="B12" s="3" t="s">
        <v>50</v>
      </c>
      <c r="C12" s="3">
        <f t="shared" si="0"/>
        <v>144.44999999999999</v>
      </c>
      <c r="D12" s="3">
        <f>2000-650</f>
        <v>1350</v>
      </c>
      <c r="E12" s="3">
        <f>+C12-50</f>
        <v>94.449999999999989</v>
      </c>
      <c r="F12" s="3"/>
      <c r="G12" s="26"/>
      <c r="H12" s="26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23" ht="24" customHeight="1" x14ac:dyDescent="0.3">
      <c r="A13" s="23">
        <v>3</v>
      </c>
      <c r="B13" s="3" t="s">
        <v>51</v>
      </c>
      <c r="C13" s="3">
        <f t="shared" si="0"/>
        <v>181.9</v>
      </c>
      <c r="D13" s="3">
        <f>2000-300</f>
        <v>1700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23" ht="24" customHeight="1" x14ac:dyDescent="0.3">
      <c r="A14" s="23">
        <v>4</v>
      </c>
      <c r="B14" s="3" t="s">
        <v>52</v>
      </c>
      <c r="C14" s="3">
        <f t="shared" si="0"/>
        <v>0</v>
      </c>
      <c r="D14" s="3">
        <v>0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W14" s="1" t="s">
        <v>150</v>
      </c>
    </row>
    <row r="15" spans="1:23" ht="24" customHeight="1" x14ac:dyDescent="0.3">
      <c r="A15" s="23">
        <v>5</v>
      </c>
      <c r="B15" s="3" t="s">
        <v>53</v>
      </c>
      <c r="C15" s="3">
        <f t="shared" si="0"/>
        <v>226.30500000000001</v>
      </c>
      <c r="D15" s="3">
        <v>2115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23" ht="24" customHeight="1" x14ac:dyDescent="0.3">
      <c r="A16" s="23">
        <v>6</v>
      </c>
      <c r="B16" s="3" t="s">
        <v>54</v>
      </c>
      <c r="C16" s="3">
        <f t="shared" si="0"/>
        <v>251.45</v>
      </c>
      <c r="D16" s="3">
        <v>2350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ht="13.5" customHeight="1" x14ac:dyDescent="0.3">
      <c r="A17" s="1"/>
    </row>
    <row r="18" spans="1:18" x14ac:dyDescent="0.3">
      <c r="A18" s="618" t="s">
        <v>24</v>
      </c>
      <c r="B18" s="620" t="s">
        <v>0</v>
      </c>
      <c r="C18" s="611" t="s">
        <v>34</v>
      </c>
      <c r="D18" s="612"/>
      <c r="E18" s="611" t="s">
        <v>35</v>
      </c>
      <c r="F18" s="612"/>
      <c r="G18" s="611" t="s">
        <v>36</v>
      </c>
      <c r="H18" s="612"/>
      <c r="I18" s="611" t="s">
        <v>37</v>
      </c>
      <c r="J18" s="612"/>
      <c r="K18" s="611" t="s">
        <v>43</v>
      </c>
      <c r="L18" s="612"/>
      <c r="M18" s="611" t="s">
        <v>44</v>
      </c>
      <c r="N18" s="612"/>
      <c r="O18" s="611" t="s">
        <v>45</v>
      </c>
      <c r="P18" s="612"/>
      <c r="Q18" s="611" t="s">
        <v>46</v>
      </c>
      <c r="R18" s="612"/>
    </row>
    <row r="19" spans="1:18" ht="18.75" customHeight="1" x14ac:dyDescent="0.3">
      <c r="A19" s="619"/>
      <c r="B19" s="621"/>
      <c r="C19" s="602"/>
      <c r="D19" s="603"/>
      <c r="E19" s="602"/>
      <c r="F19" s="603"/>
      <c r="G19" s="602"/>
      <c r="H19" s="603"/>
      <c r="I19" s="602"/>
      <c r="J19" s="603"/>
      <c r="K19" s="602"/>
      <c r="L19" s="603"/>
      <c r="M19" s="602"/>
      <c r="N19" s="603"/>
      <c r="O19" s="602"/>
      <c r="P19" s="603"/>
      <c r="Q19" s="602"/>
      <c r="R19" s="603"/>
    </row>
    <row r="20" spans="1:18" ht="23.25" customHeight="1" x14ac:dyDescent="0.3">
      <c r="A20" s="23">
        <v>1</v>
      </c>
      <c r="B20" s="3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</row>
    <row r="21" spans="1:18" ht="23.25" customHeight="1" x14ac:dyDescent="0.3">
      <c r="A21" s="23">
        <v>2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ht="23.25" customHeight="1" x14ac:dyDescent="0.3">
      <c r="A22" s="23">
        <v>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ht="23.25" customHeight="1" x14ac:dyDescent="0.3">
      <c r="A23" s="23">
        <v>4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ht="23.25" customHeight="1" x14ac:dyDescent="0.3">
      <c r="A24" s="23">
        <v>5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ht="23.25" customHeight="1" x14ac:dyDescent="0.3">
      <c r="A25" s="23">
        <v>6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x14ac:dyDescent="0.3">
      <c r="A26" s="1"/>
    </row>
  </sheetData>
  <mergeCells count="42">
    <mergeCell ref="C19:D19"/>
    <mergeCell ref="E19:F19"/>
    <mergeCell ref="G19:H19"/>
    <mergeCell ref="I19:J19"/>
    <mergeCell ref="A8:A10"/>
    <mergeCell ref="B8:B10"/>
    <mergeCell ref="E10:F10"/>
    <mergeCell ref="A18:A19"/>
    <mergeCell ref="B18:B19"/>
    <mergeCell ref="I9:J9"/>
    <mergeCell ref="K19:L19"/>
    <mergeCell ref="I10:J10"/>
    <mergeCell ref="K10:L10"/>
    <mergeCell ref="Q18:R18"/>
    <mergeCell ref="O18:P18"/>
    <mergeCell ref="Q19:R19"/>
    <mergeCell ref="M10:N10"/>
    <mergeCell ref="O10:P10"/>
    <mergeCell ref="M19:N19"/>
    <mergeCell ref="O19:P19"/>
    <mergeCell ref="K9:L9"/>
    <mergeCell ref="M9:N9"/>
    <mergeCell ref="Q10:R10"/>
    <mergeCell ref="C18:D18"/>
    <mergeCell ref="E18:F18"/>
    <mergeCell ref="G18:H18"/>
    <mergeCell ref="I18:J18"/>
    <mergeCell ref="M18:N18"/>
    <mergeCell ref="C8:D9"/>
    <mergeCell ref="E9:F9"/>
    <mergeCell ref="G9:H9"/>
    <mergeCell ref="O9:P9"/>
    <mergeCell ref="Q9:R9"/>
    <mergeCell ref="E8:R8"/>
    <mergeCell ref="G10:H10"/>
    <mergeCell ref="K18:L18"/>
    <mergeCell ref="C2:I2"/>
    <mergeCell ref="N2:R2"/>
    <mergeCell ref="E3:I3"/>
    <mergeCell ref="N4:R4"/>
    <mergeCell ref="N6:R6"/>
    <mergeCell ref="L3:R3"/>
  </mergeCells>
  <pageMargins left="0.11811023622047245" right="0" top="0.35433070866141736" bottom="0.74803149606299213" header="0" footer="0.31496062992125984"/>
  <pageSetup paperSize="9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/>
  <dimension ref="A1:J1"/>
  <sheetViews>
    <sheetView workbookViewId="0">
      <selection activeCell="E15" sqref="E15"/>
    </sheetView>
  </sheetViews>
  <sheetFormatPr baseColWidth="10" defaultRowHeight="15" x14ac:dyDescent="0.25"/>
  <sheetData>
    <row r="1" spans="1:10" x14ac:dyDescent="0.25">
      <c r="A1" t="s">
        <v>1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12</v>
      </c>
      <c r="J1" t="s">
        <v>20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/>
  <dimension ref="A1:E1"/>
  <sheetViews>
    <sheetView workbookViewId="0">
      <selection activeCell="E1" sqref="E1"/>
    </sheetView>
  </sheetViews>
  <sheetFormatPr baseColWidth="10" defaultRowHeight="15" x14ac:dyDescent="0.25"/>
  <cols>
    <col min="1" max="1" width="4.28515625" bestFit="1" customWidth="1"/>
    <col min="2" max="2" width="10.85546875" bestFit="1" customWidth="1"/>
    <col min="3" max="3" width="11.7109375" bestFit="1" customWidth="1"/>
    <col min="4" max="4" width="17.42578125" bestFit="1" customWidth="1"/>
    <col min="5" max="5" width="13.140625" bestFit="1" customWidth="1"/>
  </cols>
  <sheetData>
    <row r="1" spans="1:5" x14ac:dyDescent="0.25">
      <c r="A1" t="s">
        <v>1</v>
      </c>
      <c r="B1" t="s">
        <v>14</v>
      </c>
      <c r="C1" t="s">
        <v>21</v>
      </c>
      <c r="D1" t="s">
        <v>10</v>
      </c>
      <c r="E1" t="s">
        <v>11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0"/>
  <dimension ref="A1"/>
  <sheetViews>
    <sheetView workbookViewId="0">
      <selection activeCell="D5" sqref="D5:D6"/>
    </sheetView>
  </sheetViews>
  <sheetFormatPr baseColWidth="10" defaultRowHeight="15" x14ac:dyDescent="0.25"/>
  <sheetData>
    <row r="1" spans="1:1" x14ac:dyDescent="0.25">
      <c r="A1" t="s">
        <v>14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1"/>
  <sheetViews>
    <sheetView workbookViewId="0">
      <selection activeCell="G13" sqref="G13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MOLDES</vt:lpstr>
      <vt:lpstr>Temporal</vt:lpstr>
      <vt:lpstr>Ordenes</vt:lpstr>
      <vt:lpstr>IMPRIMIR OP</vt:lpstr>
      <vt:lpstr>CONTROL PREPARAR MP</vt:lpstr>
      <vt:lpstr>IMPRIMIR SEGUIMIENTO OP</vt:lpstr>
      <vt:lpstr>IMPRIMIR OF</vt:lpstr>
      <vt:lpstr>IMPRIMIR Calidad</vt:lpstr>
      <vt:lpstr>CIERRE</vt:lpstr>
      <vt:lpstr>CAMBIO PROD</vt:lpstr>
      <vt:lpstr>IMP COSTOS</vt:lpstr>
      <vt:lpstr>DATOS</vt:lpstr>
      <vt:lpstr>Hoja5</vt:lpstr>
      <vt:lpstr>Hoja1</vt:lpstr>
      <vt:lpstr>SEGUIMIENTO OF</vt:lpstr>
      <vt:lpstr>OP Cabecera</vt:lpstr>
      <vt:lpstr>OP Detalle</vt:lpstr>
      <vt:lpstr>OP Necesidades</vt:lpstr>
      <vt:lpstr>IMPRIMIR OT PREP. MATERIAL</vt:lpstr>
      <vt:lpstr>IMPRIMIR OT CALIDAD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2025-11-20T22:56:41Z</cp:lastPrinted>
  <dcterms:created xsi:type="dcterms:W3CDTF">2015-02-10T20:57:43Z</dcterms:created>
  <dcterms:modified xsi:type="dcterms:W3CDTF">2025-12-15T19:57:24Z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88c8641c-3a0e-40b1-8d94-b80a977d696d</vt:lpwstr>
  </property>
</Properties>
</file>